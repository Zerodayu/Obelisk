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drawings/drawing2.xml" ContentType="application/vnd.openxmlformats-officedocument.drawing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01c29cbafd49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4b6450aca51c433f"/>
    <x:sheet xmlns:r="http://schemas.openxmlformats.org/officeDocument/2006/relationships" name="Direct CLO" sheetId="2" r:id="R9ee02a9f50bd46ae"/>
    <x:sheet xmlns:r="http://schemas.openxmlformats.org/officeDocument/2006/relationships" name="README" sheetId="3" r:id="R235245ee5b0448c6"/>
    <x:sheet xmlns:r="http://schemas.openxmlformats.org/officeDocument/2006/relationships" name="Indirect CLO" sheetId="4" r:id="R193d082e052c4a04"/>
    <x:sheet xmlns:r="http://schemas.openxmlformats.org/officeDocument/2006/relationships" name="SETUP" sheetId="5" r:id="R1f17c60362174da1"/>
    <x:sheet xmlns:r="http://schemas.openxmlformats.org/officeDocument/2006/relationships" name="RECORD" sheetId="6" r:id="R7ee65dc848534fa6"/>
    <x:sheet xmlns:r="http://schemas.openxmlformats.org/officeDocument/2006/relationships" name="GRADES" sheetId="7" r:id="Rdfbbc92901924fec"/>
    <x:sheet xmlns:r="http://schemas.openxmlformats.org/officeDocument/2006/relationships" name="PRINTABLE (per grading)" sheetId="8" r:id="R80f74d4c62f5422e"/>
    <x:sheet xmlns:r="http://schemas.openxmlformats.org/officeDocument/2006/relationships" name="PRINTABLE (GRADESHEET)" sheetId="9" r:id="R2376f208eb4c4061"/>
    <x:sheet xmlns:r="http://schemas.openxmlformats.org/officeDocument/2006/relationships" name="F12" sheetId="10" r:id="R34ad4a7a8e5d475d"/>
    <x:sheet xmlns:r="http://schemas.openxmlformats.org/officeDocument/2006/relationships" name="Sheet1" sheetId="11" r:id="R075bd2e8256e4096"/>
  </x:sheets>
</x:workbook>
</file>

<file path=xl/comments1.xml><?xml version="1.0" encoding="utf-8"?>
<x:comments xmlns:x="http://schemas.openxmlformats.org/spreadsheetml/2006/main">
  <x:authors>
    <x:author>Unknown Author</x:author>
  </x:authors>
  <x:commentList>
    <x:comment ref="C73" authorId="0">
      <x:text>
        <x:r>
          <x:t>Formula: (Mean Rating / Scale Max[5]) * 100. Consistent with WIN-OBE Formula 9 (Perceived Att % = Mean Rating x 20, i.e. mean/5*100).</x:t>
        </x:r>
      </x:text>
    </x:comment>
    <x:comment ref="E73" authorId="0">
      <x:text>
        <x:r>
          <x:t>Formula: (Mean Rating / Scale Max[5]) * 100. Consistent with WIN-OBE Formula 9 (Perceived Att % = Mean Rating x 20, i.e. mean/5*100).</x:t>
        </x:r>
      </x:text>
    </x:comment>
    <x:comment ref="G73" authorId="0">
      <x:text>
        <x:r>
          <x:t>Formula: (Mean Rating / Scale Max[5]) * 100. Consistent with WIN-OBE Formula 9 (Perceived Att % = Mean Rating x 20, i.e. mean/5*100).</x:t>
        </x:r>
      </x:text>
    </x:comment>
    <x:comment ref="I73" authorId="0">
      <x:text>
        <x:r>
          <x:t>Formula: (Mean Rating / Scale Max[5]) * 100. Consistent with WIN-OBE Formula 9 (Perceived Att % = Mean Rating x 20, i.e. mean/5*100).</x:t>
        </x:r>
      </x:text>
    </x:comment>
    <x:comment ref="K73" authorId="0">
      <x:text>
        <x:r>
          <x:t>Formula: (Mean Rating / Scale Max[5]) * 100. Consistent with WIN-OBE Formula 9 (Perceived Att % = Mean Rating x 20, i.e. mean/5*100).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<x:sst xmlns:x="http://schemas.openxmlformats.org/spreadsheetml/2006/main">
  <x:si>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OBELISK — CLO ATTAINMENT DASHBOARD (SYSTEM FETCH TARGET)</x:t>
  </x:si>
  <x:si>
    <x:t xml:space="preserve">This is the ONLY tab OBELISK reads. All values below are computed live from 'Direct CLO' and 'Indirect CLO'. Do not edit this tab directly.</x:t>
  </x:si>
  <x:si>
    <x:t xml:space="preserve">Course Code</x:t>
  </x:si>
  <x:si>
    <x:t xml:space="preserve">Course Title</x:t>
  </x:si>
  <x:si>
    <x:t xml:space="preserve">Section</x:t>
  </x:si>
  <x:si>
    <x:t xml:space="preserve">Instructor Name</x:t>
  </x:si>
  <x:si>
    <x:t xml:space="preserve">A.Y. / Semester</x:t>
  </x:si>
  <x:si>
    <x:t xml:space="preserve">Grading System</x:t>
  </x:si>
  <x:si>
    <x:t xml:space="preserve">Institutional Threshold</x:t>
  </x:si>
  <x:si>
    <x:t xml:space="preserve">Program</x:t>
  </x:si>
  <x:si>
    <x:t xml:space="preserve">CLO Code</x:t>
  </x:si>
  <x:si>
    <x:t xml:space="preserve">Direct Attainment %</x:t>
  </x:si>
  <x:si>
    <x:t xml:space="preserve">Indirect Attainment %</x:t>
  </x:si>
  <x:si>
    <x:t xml:space="preserve">Composite (70/30) %</x:t>
  </x:si>
  <x:si>
    <x:t xml:space="preserve">Met Threshold (&gt;=70%)</x:t>
  </x:si>
  <x:si>
    <x:t xml:space="preserve">CLO Level</x:t>
  </x:si>
  <x:si>
    <x:t xml:space="preserve">CLO1</x:t>
  </x:si>
  <x:si>
    <x:t xml:space="preserve">CLO2</x:t>
  </x:si>
  <x:si>
    <x:t xml:space="preserve">CLO3</x:t>
  </x:si>
  <x:si>
    <x:t xml:space="preserve">CLO4</x:t>
  </x:si>
  <x:si>
    <x:t xml:space="preserve">CLO5</x:t>
  </x:si>
  <x:si>
    <x:t xml:space="preserve">COURSE AVERAGE</x:t>
  </x:si>
  <x:si>
    <x:t xml:space="preserve">PER-STUDENT CLO ATTAINMENT (DIRECT + INDIRECT)</x:t>
  </x:si>
  <x:si>
    <x:t xml:space="preserve">Class averages can hide individual at-risk students. This table shows every student's Direct %, Indirect %, and Composite % per CLO, with an At-Risk flag (&lt; 70% composite).</x:t>
  </x:si>
  <x:si>
    <x:t xml:space="preserve">Student ID</x:t>
  </x:si>
  <x:si>
    <x:t xml:space="preserve">Student Name</x:t>
  </x:si>
  <x:si>
    <x:t xml:space="preserve">Direct %</x:t>
  </x:si>
  <x:si>
    <x:t xml:space="preserve">Indirect %</x:t>
  </x:si>
  <x:si>
    <x:t xml:space="preserve">Composite %</x:t>
  </x:si>
  <x:si>
    <x:t xml:space="preserve">At-Risk?</x:t>
  </x:si>
  <x:si>
    <x:t xml:space="preserve">DIRECT CLO — PER-STUDENT RAW SCORES</x:t>
  </x:si>
  <x:si>
    <x:t xml:space="preserve">Legend: yellow cells = faculty input (raw score / max score per period). CLO columns are repeatable — copy a CLO block to add more CLOs.</x:t>
  </x:si>
  <x:si>
    <x:t xml:space="preserve">Prelim Score</x:t>
  </x:si>
  <x:si>
    <x:t xml:space="preserve">Prelim Max</x:t>
  </x:si>
  <x:si>
    <x:t xml:space="preserve">Midterm Score</x:t>
  </x:si>
  <x:si>
    <x:t xml:space="preserve">Midterm Max</x:t>
  </x:si>
  <x:si>
    <x:t xml:space="preserve">Final Score</x:t>
  </x:si>
  <x:si>
    <x:t xml:space="preserve">Final Max</x:t>
  </x:si>
  <x:si>
    <x:t xml:space="preserve">CLO1 Attainment %</x:t>
  </x:si>
  <x:si>
    <x:t xml:space="preserve">CLO2 Attainment %</x:t>
  </x:si>
  <x:si>
    <x:t xml:space="preserve">CLO3 Attainment %</x:t>
  </x:si>
  <x:si>
    <x:t xml:space="preserve">CLO4 Attainment %</x:t>
  </x:si>
  <x:si>
    <x:t xml:space="preserve">CLO5 Attainment %</x:t>
  </x:si>
  <x:si>
    <x:t xml:space="preserve">CLASS AVERAGE (Direct CLO Attainment %)</x:t>
  </x:si>
  <x:si>
    <x:t xml:space="preserve">JMCFI OBE CLASS RECORD TEMPLATE</x:t>
  </x:si>
  <x:si>
    <x:t xml:space="preserve">Integrates WIN-OBE Forms F07, F08, F12, and F13 into one class-level workbook</x:t>
  </x:si>
  <x:si>
    <x:t xml:space="preserve">WHAT THIS WORKBOOK IS</x:t>
  </x:si>
  <x:si>
    <x:t xml:space="preserve">A single-course, single-section class record for one faculty member. It replaces four separate</x:t>
  </x:si>
  <x:si>
    <x:t xml:space="preserve">paper forms with one linked workbook: enter raw scores once, and the Mid-Cycle Summary, the</x:t>
  </x:si>
  <x:si>
    <x:t xml:space="preserve">Perception Survey tabulation, and the final Course Assessment Report (CAR) all compute automatically.</x:t>
  </x:si>
  <x:si>
    <x:t xml:space="preserve">TAB MAP — WIN-OBE form covered by each tab</x:t>
  </x:si>
  <x:si>
    <x:t xml:space="preserve">  SETUP        -&gt;  Course / CLO / Assessment master data (feeds every other tab)</x:t>
  </x:si>
  <x:si>
    <x:t xml:space="preserve">  F07          -&gt;  Per-Student CLO Raw Data Sheet — Course Level (DO phase)</x:t>
  </x:si>
  <x:si>
    <x:t xml:space="preserve">  F08          -&gt;  Mid-Cycle CLO Attainment Summary — by Year-Level Cohort (DO/CHECK phase)</x:t>
  </x:si>
  <x:si>
    <x:t xml:space="preserve">  F12          -&gt;  CLO Achievement Perception Survey — Tabulation per Course (DO/CHECK phase)</x:t>
  </x:si>
  <x:si>
    <x:t xml:space="preserve">  F13          -&gt;  Course Assessment Report (CAR) — CLO Attainment per Assessment Type (CHECK phase)</x:t>
  </x:si>
  <x:si>
    <x:t xml:space="preserve">HOW TO USE IT</x:t>
  </x:si>
  <x:si>
    <x:t xml:space="preserve">  1. Fill in SETUP first: course info, your 5 CLOs, and your 9 assessments (name, period, CLO tagged, max score).</x:t>
  </x:si>
  <x:si>
    <x:t xml:space="preserve">  2. In F07, enter each student's raw score for every assessment as it happens through the term.</x:t>
  </x:si>
  <x:si>
    <x:t xml:space="preserve">     CLO %, status, and At-Risk flags recompute automatically.</x:t>
  </x:si>
  <x:si>
    <x:t xml:space="preserve">  3. F08 recomputes itself from F07 — it only uses Prelim + Midterm assessments, so check it at midterm</x:t>
  </x:si>
  <x:si>
    <x:t xml:space="preserve">     to catch At-Risk students early (institutional rule: report to Program Chair within 5 working days).</x:t>
  </x:si>
  <x:si>
    <x:t xml:space="preserve">  4. Administer the CLO Achievement Perception Survey before grades are released, and enter the 1-5</x:t>
  </x:si>
  <x:si>
    <x:t xml:space="preserve">     ratings in F12. It compares perceived attainment against your direct F07 data and flags any</x:t>
  </x:si>
  <x:si>
    <x:t xml:space="preserve">     divergence of 20 percentage points or more, per the manual's decision rule.</x:t>
  </x:si>
  <x:si>
    <x:t xml:space="preserve">  5. F13 consolidates everything into the final CAR. Fill in the yellow CQI observation cells and</x:t>
  </x:si>
  <x:si>
    <x:t xml:space="preserve">     the signature block, then file within 10 working days of the term ending.</x:t>
  </x:si>
  <x:si>
    <x:t xml:space="preserve">COLOR LEGEND</x:t>
  </x:si>
  <x:si>
    <x:t xml:space="preserve">  Blue text        = type your own value here (course info, CLO/assessment setup, raw scores, ratings)</x:t>
  </x:si>
  <x:si>
    <x:t xml:space="preserve">  Yellow fill      = narrative fields you must fill in (CQI observations, signatures)</x:t>
  </x:si>
  <x:si>
    <x:t xml:space="preserve">  Black text       = formula — do not overwrite</x:t>
  </x:si>
  <x:si>
    <x:t xml:space="preserve">  Green fill       = MET / at or above the 70% floor</x:t>
  </x:si>
  <x:si>
    <x:t xml:space="preserve">  Red fill         = NOT MET / below the 70% floor — needs a CQI look</x:t>
  </x:si>
  <x:si>
    <x:t xml:space="preserve">TO ADD MORE STUDENTS OR ASSESSMENTS</x:t>
  </x:si>
  <x:si>
    <x:t xml:space="preserve">  Insert rows within the existing tables in F07/F08/F12 and copy the formulas from the row above down.</x:t>
  </x:si>
  <x:si>
    <x:t xml:space="preserve">  To add an assessment, add a row in SETUP's Assessment Master List and add a matching column in F07</x:t>
  </x:si>
  <x:si>
    <x:t xml:space="preserve">  (copy an existing assessment column's formatting) — then extend the SUMPRODUCT ranges in F07/F08/F13</x:t>
  </x:si>
  <x:si>
    <x:t xml:space="preserve">  to include the new row.</x:t>
  </x:si>
  <x:si>
    <x:t xml:space="preserve">INDIRECT CLO — COURSE EXIT SURVEY RESPONSES</x:t>
  </x:si>
  <x:si>
    <x:t xml:space="preserve">Legend: yellow cells = student survey response (1-5 Likert scale). 1=Strongly Disagree ... 5=Strongly Agree, on 'I feel I have developed [CLO objective].'</x:t>
  </x:si>
  <x:si>
    <x:t xml:space="preserve">CLO1 Rating (1-5)</x:t>
  </x:si>
  <x:si>
    <x:t xml:space="preserve">CLO2 Rating (1-5)</x:t>
  </x:si>
  <x:si>
    <x:t xml:space="preserve">CLO3 Rating (1-5)</x:t>
  </x:si>
  <x:si>
    <x:t xml:space="preserve">CLO4 Rating (1-5)</x:t>
  </x:si>
  <x:si>
    <x:t xml:space="preserve">CLO5 Rating (1-5)</x:t>
  </x:si>
  <x:si>
    <x:t xml:space="preserve">MEAN RATING (of 5)</x:t>
  </x:si>
  <x:si>
    <x:t xml:space="preserve">%age CO ATTAINMENT (Indirect)</x:t>
  </x:si>
  <x:si>
    <x:t xml:space="preserve">SETUP — COURSE, CLO, AND ASSESSMENT MASTER DATA</x:t>
  </x:si>
  <x:si>
    <x:t xml:space="preserve">Course Title:</x:t>
  </x:si>
  <x:si>
    <x:t xml:space="preserve">Introduction to Computing</x:t>
  </x:si>
  <x:si>
    <x:t xml:space="preserve">Course Code:</x:t>
  </x:si>
  <x:si>
    <x:t xml:space="preserve">IT 101</x:t>
  </x:si>
  <x:si>
    <x:t xml:space="preserve">Section:</x:t>
  </x:si>
  <x:si>
    <x:t xml:space="preserve">BSIT - 1A</x:t>
  </x:si>
  <x:si>
    <x:t xml:space="preserve">Term / AY:</x:t>
  </x:si>
  <x:si>
    <x:t xml:space="preserve">1st Sem, AY 2026-2027</x:t>
  </x:si>
  <x:si>
    <x:t xml:space="preserve">Faculty Name:</x:t>
  </x:si>
  <x:si>
    <x:t xml:space="preserve">Sample: Prof. Juan Dela Cruz</x:t>
  </x:si>
  <x:si>
    <x:t xml:space="preserve">Program:</x:t>
  </x:si>
  <x:si>
    <x:t xml:space="preserve">BSIT</x:t>
  </x:si>
  <x:si>
    <x:t xml:space="preserve">CLO MASTER LIST</x:t>
  </x:si>
  <x:si>
    <x:t xml:space="preserve">CLO Statement</x:t>
  </x:si>
  <x:si>
    <x:t xml:space="preserve">Bloom's Level</x:t>
  </x:si>
  <x:si>
    <x:t xml:space="preserve">Mapped PLO(s)</x:t>
  </x:si>
  <x:si>
    <x:t xml:space="preserve">Target Attainment %</x:t>
  </x:si>
  <x:si>
    <x:t xml:space="preserve">Design and implement basic data structures (arrays, linked lists, stacks, queues)</x:t>
  </x:si>
  <x:si>
    <x:t xml:space="preserve">Apply</x:t>
  </x:si>
  <x:si>
    <x:t xml:space="preserve">PLO2</x:t>
  </x:si>
  <x:si>
    <x:t xml:space="preserve">Target Attainment</x:t>
  </x:si>
  <x:si>
    <x:t xml:space="preserve">Analyze the time and space complexity of algorithms</x:t>
  </x:si>
  <x:si>
    <x:t xml:space="preserve">Analyze</x:t>
  </x:si>
  <x:si>
    <x:t xml:space="preserve">PLO2, PLO3</x:t>
  </x:si>
  <x:si>
    <x:t xml:space="preserve">Implement sorting and searching algorithms correctly and efficiently</x:t>
  </x:si>
  <x:si>
    <x:t xml:space="preserve">Design and implement tree and graph-based data structures</x:t>
  </x:si>
  <x:si>
    <x:t xml:space="preserve">Create</x:t>
  </x:si>
  <x:si>
    <x:t xml:space="preserve">Develop a working program that integrates multiple data structures to solve a real problem</x:t>
  </x:si>
  <x:si>
    <x:t xml:space="preserve">PLO2, PLO4</x:t>
  </x:si>
  <x:si>
    <x:t xml:space="preserve">CLO6</x:t>
  </x:si>
  <x:si>
    <x:t xml:space="preserve">CLO7</x:t>
  </x:si>
  <x:si>
    <x:t xml:space="preserve">CLO8</x:t>
  </x:si>
  <x:si>
    <x:t xml:space="preserve">For Lecture: AT &amp; Exam</x:t>
  </x:si>
  <x:si>
    <x:t xml:space="preserve">CLO9</x:t>
  </x:si>
  <x:si>
    <x:t xml:space="preserve">For PE/SF/OJT/Research: AT &amp; Output</x:t>
  </x:si>
  <x:si>
    <x:t xml:space="preserve">CLO10</x:t>
  </x:si>
  <x:si>
    <x:t xml:space="preserve">For Lab/RLE: AT &amp; Output</x:t>
  </x:si>
  <x:si>
    <x:t xml:space="preserve">Note: Assessment order below is auto-filled. Do not change or edit.</x:t>
  </x:si>
  <x:si>
    <x:t xml:space="preserve">ASSESSMENT MASTER LIST</x:t>
  </x:si>
  <x:si>
    <x:t xml:space="preserve">TOTAL MAX SCORES</x:t>
  </x:si>
  <x:si>
    <x:t xml:space="preserve">#</x:t>
  </x:si>
  <x:si>
    <x:t xml:space="preserve">Assessment Name</x:t>
  </x:si>
  <x:si>
    <x:t xml:space="preserve">Period</x:t>
  </x:si>
  <x:si>
    <x:t xml:space="preserve">CLO Tagged</x:t>
  </x:si>
  <x:si>
    <x:t xml:space="preserve">Max Score</x:t>
  </x:si>
  <x:si>
    <x:t xml:space="preserve">Prelim</x:t>
  </x:si>
  <x:si>
    <x:t xml:space="preserve">Midterm</x:t>
  </x:si>
  <x:si>
    <x:t xml:space="preserve">Final</x:t>
  </x:si>
  <x:si>
    <x:t xml:space="preserve">Semestral</x:t>
  </x:si>
  <x:si>
    <x:t xml:space="preserve"> Type</x:t>
  </x:si>
  <x:si>
    <x:t xml:space="preserve">Quiz</x:t>
  </x:si>
  <x:si>
    <x:t xml:space="preserve">AT</x:t>
  </x:si>
  <x:si>
    <x:t xml:space="preserve">Exam</x:t>
  </x:si>
  <x:si>
    <x:t xml:space="preserve">Rubric-Scored Output</x:t>
  </x:si>
  <x:si>
    <x:t xml:space="preserve">Output</x:t>
  </x:si>
  <x:si>
    <x:t xml:space="preserve">Performance Tasks</x:t>
  </x:si>
  <x:si>
    <x:t xml:space="preserve">Lab Outputs</x:t>
  </x:si>
  <x:si>
    <x:t xml:space="preserve">Skills Demonstration/ RLE</x:t>
  </x:si>
  <x:si>
    <x:t xml:space="preserve">Portfolio</x:t>
  </x:si>
  <x:si>
    <x:t xml:space="preserve">Capstone</x:t>
  </x:si>
  <x:si>
    <x:t xml:space="preserve">Culminating Project</x:t>
  </x:si>
  <x:si>
    <x:t xml:space="preserve">Panel Evaluation</x:t>
  </x:si>
  <x:si>
    <x:t xml:space="preserve">Internship Evaluation</x:t>
  </x:si>
  <x:si>
    <x:t xml:space="preserve">CLO 1</x:t>
  </x:si>
  <x:si>
    <x:t xml:space="preserve">CLO 2</x:t>
  </x:si>
  <x:si>
    <x:t xml:space="preserve">CLO 3</x:t>
  </x:si>
  <x:si>
    <x:t xml:space="preserve">CLO 4</x:t>
  </x:si>
  <x:si>
    <x:t xml:space="preserve">CLO 5</x:t>
  </x:si>
  <x:si>
    <x:t xml:space="preserve">CLO 6</x:t>
  </x:si>
  <x:si>
    <x:t xml:space="preserve">CLO 7</x:t>
  </x:si>
  <x:si>
    <x:t xml:space="preserve">CLO 8</x:t>
  </x:si>
  <x:si>
    <x:t xml:space="preserve">CLO 9</x:t>
  </x:si>
  <x:si>
    <x:t xml:space="preserve">CLO 10</x:t>
  </x:si>
  <x:si>
    <x:t xml:space="preserve">CLASS RECORD — PER-STUDENT SCORES DATA SHEET — COURSE LEVEL</x:t>
  </x:si>
  <x:si>
    <x:t xml:space="preserve">TLA - Lecture</x:t>
  </x:si>
  <x:si>
    <x:t xml:space="preserve">AT - Lecture</x:t>
  </x:si>
  <x:si>
    <x:t xml:space="preserve">No. of Students who Passed</x:t>
  </x:si>
  <x:si>
    <x:t xml:space="preserve">Periodical</x:t>
  </x:si>
  <x:si>
    <x:t xml:space="preserve">Threshold Marks for each Assessment</x:t>
  </x:si>
  <x:si>
    <x:t xml:space="preserve">Output - PE/SF/Research </x:t>
  </x:si>
  <x:si>
    <x:t xml:space="preserve">No. of Students who got &gt;70%</x:t>
  </x:si>
  <x:si>
    <x:t xml:space="preserve">TLA - Lab</x:t>
  </x:si>
  <x:si>
    <x:t xml:space="preserve">Percentage of Students who Passed</x:t>
  </x:si>
  <x:si>
    <x:t xml:space="preserve">AT - Lab</x:t>
  </x:si>
  <x:si>
    <x:t xml:space="preserve">No.</x:t>
  </x:si>
  <x:si>
    <x:t xml:space="preserve">Assessment</x:t>
  </x:si>
  <x:si>
    <x:t xml:space="preserve">Output - Lab</x:t>
  </x:si>
  <x:si>
    <x:t xml:space="preserve">Recorded as</x:t>
  </x:si>
  <x:si>
    <x:t xml:space="preserve">AT- RLE</x:t>
  </x:si>
  <x:si>
    <x:t xml:space="preserve">TLA - RLE</x:t>
  </x:si>
  <x:si>
    <x:t xml:space="preserve">Output - RLE</x:t>
  </x:si>
  <x:si>
    <x:t xml:space="preserve">Assessment Title</x:t>
  </x:si>
  <x:si>
    <x:t xml:space="preserve">Q#1</x:t>
  </x:si>
  <x:si>
    <x:t xml:space="preserve">Role Play</x:t>
  </x:si>
  <x:si>
    <x:t xml:space="preserve">Q#2</x:t>
  </x:si>
  <x:si>
    <x:t xml:space="preserve">Group Work</x:t>
  </x:si>
  <x:si>
    <x:t xml:space="preserve">Q#3</x:t>
  </x:si>
  <x:si>
    <x:t xml:space="preserve">Reporting</x:t>
  </x:si>
  <x:si>
    <x:t xml:space="preserve">1-25 items</x:t>
  </x:si>
  <x:si>
    <x:t xml:space="preserve">26-50 items</x:t>
  </x:si>
  <x:si>
    <x:t xml:space="preserve">51-75 items</x:t>
  </x:si>
  <x:si>
    <x:t xml:space="preserve">76-100 items</x:t>
  </x:si>
  <x:si>
    <x:t xml:space="preserve">101-125 items</x:t>
  </x:si>
  <x:si>
    <x:t xml:space="preserve">Date</x:t>
  </x:si>
  <x:si>
    <x:t xml:space="preserve">Grading</x:t>
  </x:si>
  <x:si>
    <x:t xml:space="preserve">CLO</x:t>
  </x:si>
  <x:si>
    <x:t xml:space="preserve">Max Score
SECTION</x:t>
  </x:si>
  <x:si>
    <x:t xml:space="preserve">2024-00123</x:t>
  </x:si>
  <x:si>
    <x:t xml:space="preserve">2024-00145</x:t>
  </x:si>
  <x:si>
    <x:t xml:space="preserve">2024-00167</x:t>
  </x:si>
  <x:si>
    <x:t xml:space="preserve">2024-00189</x:t>
  </x:si>
  <x:si>
    <x:t xml:space="preserve">2024-00201</x:t>
  </x:si>
  <x:si>
    <x:t xml:space="preserve">2024-00223</x:t>
  </x:si>
  <x:si>
    <x:t xml:space="preserve">2024-00245</x:t>
  </x:si>
  <x:si>
    <x:t xml:space="preserve">2024-00267</x:t>
  </x:si>
  <x:si>
    <x:t xml:space="preserve">2024-00289</x:t>
  </x:si>
  <x:si>
    <x:t xml:space="preserve">2024-00301</x:t>
  </x:si>
  <x:si>
    <x:t xml:space="preserve">2024-00323</x:t>
  </x:si>
  <x:si>
    <x:t xml:space="preserve">2024-00345</x:t>
  </x:si>
  <x:si>
    <x:t xml:space="preserve">2024-00367</x:t>
  </x:si>
  <x:si>
    <x:t xml:space="preserve">2024-00389</x:t>
  </x:si>
  <x:si>
    <x:t xml:space="preserve">2024-00401</x:t>
  </x:si>
  <x:si>
    <x:t xml:space="preserve">2024-00423</x:t>
  </x:si>
  <x:si>
    <x:t xml:space="preserve">2024-00445</x:t>
  </x:si>
  <x:si>
    <x:t xml:space="preserve">2024-00467</x:t>
  </x:si>
  <x:si>
    <x:t xml:space="preserve">2024-00489</x:t>
  </x:si>
  <x:si>
    <x:t xml:space="preserve">2024-00511</x:t>
  </x:si>
  <x:si>
    <x:t xml:space="preserve">2024-00533</x:t>
  </x:si>
  <x:si>
    <x:t xml:space="preserve">2024-00555</x:t>
  </x:si>
  <x:si>
    <x:t xml:space="preserve">2024-00577</x:t>
  </x:si>
  <x:si>
    <x:t xml:space="preserve">2024-00599</x:t>
  </x:si>
  <x:si>
    <x:t xml:space="preserve">2024-00621</x:t>
  </x:si>
  <x:si>
    <x:t xml:space="preserve">2024-00643</x:t>
  </x:si>
  <x:si>
    <x:t xml:space="preserve">2024-00665</x:t>
  </x:si>
  <x:si>
    <x:t xml:space="preserve">2024-00687</x:t>
  </x:si>
  <x:si>
    <x:t xml:space="preserve">2024-00709</x:t>
  </x:si>
  <x:si>
    <x:t xml:space="preserve">2024-00731</x:t>
  </x:si>
  <x:si>
    <x:t xml:space="preserve">GRADES COMPUTATION — PER-STUDENT GRADE SHEET — COURSE LEVEL</x:t>
  </x:si>
  <x:si>
    <x:t xml:space="preserve">LECTURE</x:t>
  </x:si>
  <x:si>
    <x:t xml:space="preserve">CLASS TYPE</x:t>
  </x:si>
  <x:si>
    <x:t xml:space="preserve">TLA</x:t>
  </x:si>
  <x:si>
    <x:t xml:space="preserve">PE/SF/OJT/RESEARCH</x:t>
  </x:si>
  <x:si>
    <x:t xml:space="preserve">WEIGHTED DISTRIBUTION</x:t>
  </x:si>
  <x:si>
    <x:t xml:space="preserve">LAB &amp; LECTURE</x:t>
  </x:si>
  <x:si>
    <x:t xml:space="preserve">GRADING SYSTEM</x:t>
  </x:si>
  <x:si>
    <x:t xml:space="preserve">TERM</x:t>
  </x:si>
  <x:si>
    <x:t xml:space="preserve">FIRST SEMESTER</x:t>
  </x:si>
  <x:si>
    <x:t xml:space="preserve">LABORATORY</x:t>
  </x:si>
  <x:si>
    <x:t xml:space="preserve">PRELIM</x:t>
  </x:si>
  <x:si>
    <x:t xml:space="preserve">MIDTERM</x:t>
  </x:si>
  <x:si>
    <x:t xml:space="preserve">FINAL</x:t>
  </x:si>
  <x:si>
    <x:t xml:space="preserve">OVERALL GRADES</x:t>
  </x:si>
  <x:si>
    <x:t xml:space="preserve">OVERALL REMARKS</x:t>
  </x:si>
  <x:si>
    <x:t xml:space="preserve">%</x:t>
  </x:si>
  <x:si>
    <x:t xml:space="preserve">GRADE</x:t>
  </x:si>
  <x:si>
    <x:t xml:space="preserve">REMARKS</x:t>
  </x:si>
  <x:si>
    <x:t xml:space="preserve">EXAM</x:t>
  </x:si>
  <x:si>
    <x:t xml:space="preserve">OUTPUT</x:t>
  </x:si>
  <x:si>
    <x:t xml:space="preserve">SECOND SEMESTER</x:t>
  </x:si>
  <x:si>
    <x:t xml:space="preserve">SUMMER</x:t>
  </x:si>
  <x:si>
    <x:t xml:space="preserve">JOSE MARIA COLLEGE FOUNDATION, INC.</x:t>
  </x:si>
  <x:si>
    <x:t xml:space="preserve">Philippine-Japan Friendship Highway, Sasa, Davao City</x:t>
  </x:si>
  <x:si>
    <x:t xml:space="preserve">OBE E-CLASS RECORD (CLO-PLO ATTAINMENT SYSTEM)</x:t>
  </x:si>
  <x:si>
    <x:t xml:space="preserve">     CLO ATTAINMENT REPORT</x:t>
  </x:si>
  <x:si>
    <x:t xml:space="preserve">Semester &amp; Year:</x:t>
  </x:si>
  <x:si>
    <x:t xml:space="preserve">Low</x:t>
  </x:si>
  <x:si>
    <x:t xml:space="preserve">High</x:t>
  </x:si>
  <x:si>
    <x:t xml:space="preserve">80-20</x:t>
  </x:si>
  <x:si>
    <x:t xml:space="preserve">60-40</x:t>
  </x:si>
  <x:si>
    <x:t xml:space="preserve">CLO ATTAINMENT FOR THIS GRADING PERIOD</x:t>
  </x:si>
  <x:si>
    <x:t xml:space="preserve">Low attainment</x:t>
  </x:si>
  <x:si>
    <x:t xml:space="preserve">Moderate attainment</x:t>
  </x:si>
  <x:si>
    <x:t xml:space="preserve">Course Type:</x:t>
  </x:si>
  <x:si>
    <x:t xml:space="preserve">High Attainment</x:t>
  </x:si>
  <x:si>
    <x:t xml:space="preserve">No. of Students:</x:t>
  </x:si>
  <x:si>
    <x:t xml:space="preserve">threshold</x:t>
  </x:si>
  <x:si>
    <x:t xml:space="preserve">Instructor's Name</x:t>
  </x:si>
  <x:si>
    <x:t xml:space="preserve">Grading Period:</x:t>
  </x:si>
  <x:si>
    <x:t xml:space="preserve">Date Printed:</x:t>
  </x:si>
  <x:si>
    <x:t xml:space="preserve">STUDENT ID</x:t>
  </x:si>
  <x:si>
    <x:t xml:space="preserve">STUDENT NAME</x:t>
  </x:si>
  <x:si>
    <x:t xml:space="preserve">AVE CO RATE</x:t>
  </x:si>
  <x:si>
    <x:t xml:space="preserve">RATE </x:t>
  </x:si>
  <x:si>
    <x:t xml:space="preserve">% ATTAINED</x:t>
  </x:si>
  <x:si>
    <x:t xml:space="preserve">NO. OF STUDENT ATTAINED</x:t>
  </x:si>
  <x:si>
    <x:t xml:space="preserve">C04</x:t>
  </x:si>
  <x:si>
    <x:t xml:space="preserve">A</x:t>
  </x:si>
  <x:si>
    <x:t xml:space="preserve">B</x:t>
  </x:si>
  <x:si>
    <x:t xml:space="preserve">C</x:t>
  </x:si>
  <x:si>
    <x:t xml:space="preserve">D</x:t>
  </x:si>
  <x:si>
    <x:t xml:space="preserve">E</x:t>
  </x:si>
  <x:si>
    <x:t xml:space="preserve">Prepared by:</x:t>
  </x:si>
  <x:si>
    <x:t xml:space="preserve">Faculty</x:t>
  </x:si>
  <x:si>
    <x:t xml:space="preserve">Checked by:</x:t>
  </x:si>
  <x:si>
    <x:t xml:space="preserve">Program Head</x:t>
  </x:si>
  <x:si>
    <x:t xml:space="preserve">Approved by:</x:t>
  </x:si>
  <x:si>
    <x:t xml:space="preserve">TLA/AT</x:t>
  </x:si>
  <x:si>
    <x:t xml:space="preserve">EXAM/OUTPUT</x:t>
  </x:si>
  <x:si>
    <x:t xml:space="preserve">Dean of College</x:t>
  </x:si>
  <x:si>
    <x:t xml:space="preserve">AVE</x:t>
  </x:si>
  <x:si>
    <x:t xml:space="preserve">WA</x:t>
  </x:si>
  <x:si>
    <x:t xml:space="preserve">CLO-PLO</x:t>
  </x:si>
  <x:si>
    <x:t xml:space="preserve">OBE E-GRADE SHEET (CLO-PLO ATTAINMENT SYSTEM)</x:t>
  </x:si>
  <x:si>
    <x:t xml:space="preserve">COURSE CLO ATTAINMENT</x:t>
  </x:si>
  <x:si>
    <x:t xml:space="preserve">FINAL GRADE</x:t>
  </x:si>
  <x:si>
    <x:t xml:space="preserve">F12 — CLO ACHIEVEMENT PERCEPTION SURVEY — TABULATION PER COURSE</x:t>
  </x:si>
  <x:si>
    <x:t xml:space="preserve">TABULATION</x:t>
  </x:si>
  <x:si>
    <x:t xml:space="preserve">Respondents (n)</x:t>
  </x:si>
  <x:si>
    <x:t xml:space="preserve">Mean Rating</x:t>
  </x:si>
  <x:si>
    <x:t xml:space="preserve">% Rating Agree (4) or Strongly Agree (5)</x:t>
  </x:si>
  <x:si>
    <x:t xml:space="preserve">Direct CLO Attainment % (cohort average, from F07)</x:t>
  </x:si>
  <x:si>
    <x:t xml:space="preserve">Divergence (pp) — direct vs. perceived</x:t>
  </x:si>
  <x:si>
    <x:t xml:space="preserve">Flag (&gt;=20pp = faculty review required)</x:t>
  </x:si>
</x:sst>
</file>

<file path=xl/styles.xml><?xml version="1.0" encoding="utf-8"?>
<x:styleSheet xmlns:x="http://schemas.openxmlformats.org/spreadsheetml/2006/main">
  <x:numFmts count="4">
    <x:numFmt numFmtId="164" formatCode="0.0"/>
    <x:numFmt numFmtId="165" formatCode="m/d/yy;@"/>
    <x:numFmt numFmtId="166" formatCode="[$-F800]dddd&quot;, &quot;mmmm\ dd&quot;, &quot;yyyy"/>
    <x:numFmt numFmtId="167" formatCode="0.0\%"/>
  </x:numFmts>
  <x:fonts count="47">
    <x:font>
      <x:sz val="11"/>
      <x:color theme="1"/>
      <x:name val="Calibri"/>
    </x:font>
    <x:font>
      <x:sz val="12"/>
      <x:color theme="1"/>
      <x:name val="Calibri"/>
    </x:font>
    <x:font>
      <x:b/>
      <x:sz val="14"/>
      <x:name val="Arial"/>
    </x:font>
    <x:font>
      <x:i/>
      <x:sz val="9"/>
      <x:color rgb="FF808080"/>
      <x:name val="Arial"/>
    </x:font>
    <x:font>
      <x:b/>
      <x:sz val="10"/>
      <x:name val="Arial"/>
    </x:font>
    <x:font>
      <x:sz val="10"/>
      <x:color rgb="FF0000FF"/>
      <x:name val="Arial"/>
    </x:font>
    <x:font>
      <x:b/>
      <x:sz val="10"/>
      <x:color rgb="FFFFFFFF"/>
      <x:name val="Arial"/>
    </x:font>
    <x:font>
      <x:sz val="10"/>
      <x:name val="Arial"/>
    </x:font>
    <x:font>
      <x:sz val="10"/>
      <x:color rgb="FF008000"/>
      <x:name val="Arial"/>
    </x:font>
    <x:font>
      <x:sz val="10"/>
      <x:color rgb="FF000000"/>
      <x:name val="Arial"/>
    </x:font>
    <x:font>
      <x:b/>
      <x:sz val="11"/>
      <x:name val="Arial"/>
    </x:font>
    <x:font>
      <x:i/>
      <x:sz val="10"/>
      <x:color rgb="FF595959"/>
      <x:name val="Arial"/>
    </x:font>
    <x:font>
      <x:sz val="10"/>
      <x:name val="Arial"/>
    </x:font>
    <x:font>
      <x:b/>
      <x:sz val="11"/>
      <x:color theme="1"/>
      <x:name val="Calibri"/>
    </x:font>
    <x:font>
      <x:sz val="11"/>
      <x:name val="Calibri"/>
    </x:font>
    <x:font>
      <x:sz val="11"/>
      <x:color rgb="FFFFC000"/>
      <x:name val="Calibri"/>
    </x:font>
    <x:font>
      <x:b/>
      <x:sz val="10"/>
      <x:color theme="1"/>
      <x:name val="Calibri"/>
    </x:font>
    <x:font>
      <x:i/>
      <x:sz val="10"/>
      <x:color rgb="FF595959"/>
      <x:name val="Calibri"/>
    </x:font>
    <x:font>
      <x:sz val="10"/>
      <x:color theme="1"/>
      <x:name val="Calibri"/>
    </x:font>
    <x:font>
      <x:sz val="10"/>
      <x:color rgb="FFFFC000"/>
      <x:name val="Calibri"/>
    </x:font>
    <x:font>
      <x:b/>
      <x:sz val="10"/>
      <x:color theme="0"/>
      <x:name val="Calibri"/>
    </x:font>
    <x:font>
      <x:b/>
      <x:sz val="9"/>
      <x:color rgb="FFFFFFFF"/>
      <x:name val="Arial"/>
    </x:font>
    <x:font>
      <x:i/>
      <x:sz val="8"/>
      <x:color theme="0" tint="-0.34999"/>
      <x:name val="Calibri"/>
    </x:font>
    <x:font>
      <x:i/>
      <x:sz val="8"/>
      <x:color theme="1"/>
      <x:name val="Calibri"/>
    </x:font>
    <x:font>
      <x:b/>
      <x:sz val="11"/>
      <x:color rgb="FFFF0000"/>
      <x:name val="Calibri"/>
    </x:font>
    <x:font>
      <x:b/>
      <x:sz val="11"/>
      <x:color theme="0"/>
      <x:name val="Calibri"/>
    </x:font>
    <x:font>
      <x:sz val="10"/>
      <x:color theme="3"/>
      <x:name val="Arial"/>
    </x:font>
    <x:font>
      <x:sz val="11"/>
      <x:color theme="3"/>
      <x:name val="Calibri"/>
    </x:font>
    <x:font>
      <x:sz val="11"/>
      <x:color theme="3" tint="0.39988"/>
      <x:name val="Calibri"/>
    </x:font>
    <x:font>
      <x:sz val="11"/>
      <x:color theme="4"/>
      <x:name val="Calibri"/>
    </x:font>
    <x:font>
      <x:b/>
      <x:sz val="22"/>
      <x:color theme="1"/>
      <x:name val="Calibri"/>
    </x:font>
    <x:font>
      <x:sz val="16"/>
      <x:color theme="1"/>
      <x:name val="Calibri"/>
    </x:font>
    <x:font>
      <x:sz val="12"/>
      <x:color rgb="FFFF0000"/>
      <x:name val="Calibri"/>
    </x:font>
    <x:font>
      <x:b/>
      <x:sz val="12"/>
      <x:color rgb="FFFF0000"/>
      <x:name val="Calibri"/>
    </x:font>
    <x:font>
      <x:b/>
      <x:sz val="16"/>
      <x:color theme="1"/>
      <x:name val="Calibri"/>
    </x:font>
    <x:font>
      <x:b/>
      <x:sz val="12"/>
      <x:color rgb="FFFFC000"/>
      <x:name val="Calibri"/>
    </x:font>
    <x:font>
      <x:i/>
      <x:sz val="12"/>
      <x:color theme="1"/>
      <x:name val="Calibri"/>
    </x:font>
    <x:font>
      <x:b/>
      <x:sz val="12"/>
      <x:color theme="1"/>
      <x:name val="Calibri"/>
    </x:font>
    <x:font>
      <x:b/>
      <x:sz val="12"/>
      <x:color rgb="FF831E32"/>
      <x:name val="Calibri"/>
    </x:font>
    <x:font>
      <x:b/>
      <x:sz val="12"/>
      <x:color rgb="FF002060"/>
      <x:name val="Calibri"/>
    </x:font>
    <x:font>
      <x:b/>
      <x:sz val="12"/>
      <x:color rgb="FFC00000"/>
      <x:name val="Calibri"/>
    </x:font>
    <x:font>
      <x:sz val="12"/>
      <x:color theme="0"/>
      <x:name val="Calibri"/>
    </x:font>
    <x:font>
      <x:b/>
      <x:sz val="18"/>
      <x:color theme="1"/>
      <x:name val="Calibri"/>
    </x:font>
    <x:font>
      <x:b/>
      <x:sz val="14"/>
      <x:color theme="1"/>
      <x:name val="Calibri"/>
    </x:font>
    <x:font>
      <x:sz val="9"/>
      <x:color rgb="FFFF0000"/>
      <x:name val="Calibri"/>
    </x:font>
    <x:font>
      <x:b/>
      <x:sz val="14"/>
      <x:color rgb="FFFF0000"/>
      <x:name val="Calibri"/>
    </x:font>
    <x:font>
      <x:sz val="11"/>
      <x:color theme="1"/>
      <x:name val="Calibri"/>
    </x:font>
  </x:fonts>
  <x:fills count="24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7030A0"/>
      </x:patternFill>
    </x:fill>
    <x:fill>
      <x:patternFill patternType="solid">
        <x:fgColor rgb="FFE2EFDA"/>
      </x:patternFill>
    </x:fill>
    <x:fill>
      <x:patternFill patternType="solid">
        <x:fgColor rgb="FFFFC000"/>
      </x:patternFill>
    </x:fill>
    <x:fill>
      <x:patternFill patternType="solid">
        <x:fgColor rgb="FFFFF2CC"/>
      </x:patternFill>
    </x:fill>
    <x:fill>
      <x:patternFill patternType="solid">
        <x:fgColor rgb="FFD9E1F2"/>
      </x:patternFill>
    </x:fill>
    <x:fill>
      <x:patternFill patternType="solid">
        <x:fgColor rgb="FF1F4E78"/>
      </x:patternFill>
    </x:fill>
    <x:fill>
      <x:patternFill patternType="solid">
        <x:fgColor rgb="FFFFFF00"/>
      </x:patternFill>
    </x:fill>
    <x:fill>
      <x:patternFill patternType="solid">
        <x:fgColor theme="7" tint="0.39988"/>
      </x:patternFill>
    </x:fill>
    <x:fill>
      <x:patternFill patternType="solid">
        <x:fgColor theme="0"/>
      </x:patternFill>
    </x:fill>
    <x:fill>
      <x:patternFill patternType="solid">
        <x:fgColor theme="9" tint="0.39988"/>
      </x:patternFill>
    </x:fill>
    <x:fill>
      <x:patternFill patternType="solid">
        <x:fgColor rgb="FFFFFF66"/>
      </x:patternFill>
    </x:fill>
    <x:fill>
      <x:patternFill patternType="solid">
        <x:fgColor theme="9" tint="-0.24998"/>
      </x:patternFill>
    </x:fill>
    <x:fill>
      <x:patternFill patternType="solid">
        <x:fgColor theme="9" tint="0.79989"/>
      </x:patternFill>
    </x:fill>
    <x:fill>
      <x:patternFill patternType="solid">
        <x:fgColor theme="7"/>
      </x:patternFill>
    </x:fill>
    <x:fill>
      <x:patternFill patternType="solid">
        <x:fgColor theme="7" tint="-0.49998"/>
      </x:patternFill>
    </x:fill>
    <x:fill>
      <x:patternFill patternType="solid">
        <x:fgColor rgb="FFFEF2CB"/>
      </x:patternFill>
    </x:fill>
    <x:fill>
      <x:patternFill patternType="solid">
        <x:fgColor rgb="FF9CC2E5"/>
      </x:patternFill>
    </x:fill>
    <x:fill>
      <x:patternFill patternType="solid">
        <x:fgColor rgb="FFD0CECE"/>
      </x:patternFill>
    </x:fill>
    <x:fill>
      <x:patternFill patternType="solid">
        <x:fgColor rgb="FFDEEAF6"/>
      </x:patternFill>
    </x:fill>
    <x:fill>
      <x:patternFill patternType="solid">
        <x:fgColor rgb="FFC00000"/>
      </x:patternFill>
    </x:fill>
    <x:fill>
      <x:patternFill patternType="solid">
        <x:fgColor rgb="FFFF0000"/>
      </x:patternFill>
    </x:fill>
  </x:fills>
  <x:borders count="56">
    <x:border/>
    <x:border>
      <x:left style="thin">
        <x:color rgb="FFB7B7B7"/>
      </x:left>
      <x:right style="thin">
        <x:color rgb="FFB7B7B7"/>
      </x:right>
      <x:top style="thin">
        <x:color rgb="FFB7B7B7"/>
      </x:top>
      <x:bottom style="thin">
        <x:color rgb="FFB7B7B7"/>
      </x:bottom>
    </x:border>
    <x:border>
      <x:left style="thin">
        <x:color rgb="FFB7B7B7"/>
      </x:left>
      <x:right style="thin">
        <x:color rgb="FFB7B7B7"/>
      </x:right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B7B7B7"/>
      </x:left>
      <x:right style="thin">
        <x:color rgb="FFB7B7B7"/>
      </x:right>
      <x:bottom style="thin">
        <x:color rgb="FFB7B7B7"/>
      </x:bottom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>
      <x:left style="thin">
        <x:color rgb="FFBFBFBF"/>
      </x:left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</x:border>
    <x:border>
      <x:left style="thin">
        <x:color rgb="FFBFBFBF"/>
      </x:left>
      <x:right style="hair">
        <x:color auto="1"/>
      </x:right>
      <x:top style="thin">
        <x:color rgb="FFBFBFBF"/>
      </x:top>
      <x:bottom style="thin">
        <x:color rgb="FFBFBFBF"/>
      </x:bottom>
    </x:border>
    <x:border>
      <x:right style="thin">
        <x:color auto="1"/>
      </x:right>
    </x:border>
    <x:border>
      <x:right style="thin">
        <x:color theme="0" tint="-0.34999"/>
      </x:right>
    </x:border>
    <x:border>
      <x:left style="thin">
        <x:color rgb="FFBFBFBF"/>
      </x:left>
      <x:right style="thin">
        <x:color auto="1"/>
      </x:right>
      <x:top style="thin">
        <x:color rgb="FFBFBFBF"/>
      </x:top>
      <x:bottom style="thin">
        <x:color rgb="FFBFBFBF"/>
      </x:bottom>
    </x:border>
    <x:border>
      <x:right style="hair">
        <x:color auto="1"/>
      </x:right>
      <x:top style="thin">
        <x:color rgb="FFBFBFBF"/>
      </x:top>
      <x:bottom style="thin">
        <x:color rgb="FFBFBFBF"/>
      </x:bottom>
    </x:border>
    <x:border>
      <x:left style="thin">
        <x:color rgb="FFBFBFBF"/>
      </x:left>
      <x:right style="thin">
        <x:color auto="1"/>
      </x:right>
    </x:border>
    <x:border>
      <x:right style="thick">
        <x:color auto="1"/>
      </x:right>
    </x:border>
    <x:border>
      <x:left style="medium">
        <x:color auto="1"/>
      </x:left>
    </x:border>
    <x:border>
      <x:top style="medium">
        <x:color auto="1"/>
      </x:top>
    </x:border>
    <x:border>
      <x:left style="medium">
        <x:color auto="1"/>
      </x:left>
      <x:right style="thin">
        <x:color rgb="FFBFBFBF"/>
      </x:right>
      <x:top style="medium">
        <x:color auto="1"/>
      </x:top>
      <x:bottom style="thin">
        <x:color rgb="FFBFBFBF"/>
      </x:bottom>
    </x:border>
    <x:border>
      <x:left style="thin">
        <x:color rgb="FFBFBFBF"/>
      </x:left>
      <x:right style="thin">
        <x:color rgb="FFBFBFBF"/>
      </x:right>
      <x:top style="medium">
        <x:color auto="1"/>
      </x:top>
      <x:bottom style="thin">
        <x:color rgb="FFBFBFBF"/>
      </x:bottom>
    </x:border>
    <x:border>
      <x:left style="thin">
        <x:color rgb="FFBFBFBF"/>
      </x:left>
      <x:top style="medium">
        <x:color auto="1"/>
      </x:top>
      <x:bottom style="thin">
        <x:color rgb="FFBFBFBF"/>
      </x:bottom>
    </x:border>
    <x:border>
      <x:left style="medium">
        <x:color auto="1"/>
      </x:left>
      <x:right style="medium">
        <x:color auto="1"/>
      </x:right>
      <x:top style="medium">
        <x:color auto="1"/>
      </x:top>
    </x:border>
    <x:border>
      <x:left style="medium">
        <x:color auto="1"/>
      </x:left>
      <x:right style="medium">
        <x:color auto="1"/>
      </x:right>
      <x:top style="medium">
        <x:color auto="1"/>
      </x:top>
      <x:bottom style="medium">
        <x:color auto="1"/>
      </x:bottom>
    </x:border>
    <x:border>
      <x:bottom style="medium">
        <x:color auto="1"/>
      </x:bottom>
    </x:border>
    <x:border>
      <x:right style="medium">
        <x:color auto="1"/>
      </x:right>
      <x:bottom style="medium">
        <x:color auto="1"/>
      </x:bottom>
    </x:border>
    <x:border>
      <x:right style="medium">
        <x:color auto="1"/>
      </x:right>
    </x:border>
    <x:border>
      <x:left style="medium">
        <x:color auto="1"/>
      </x:left>
      <x:bottom style="medium">
        <x:color auto="1"/>
      </x:bottom>
    </x:border>
    <x:border>
      <x:left style="thin">
        <x:color theme="0" tint="-0.24998"/>
      </x:left>
      <x:top style="thin">
        <x:color theme="0" tint="-0.24998"/>
      </x:top>
      <x:bottom style="thin">
        <x:color theme="0" tint="-0.24998"/>
      </x:bottom>
    </x:border>
    <x:border>
      <x:left style="medium">
        <x:color auto="1"/>
      </x:left>
      <x:right style="thin">
        <x:color theme="0" tint="-0.24998"/>
      </x:right>
      <x:bottom style="thin">
        <x:color theme="0" tint="-0.24998"/>
      </x:bottom>
    </x:border>
    <x:border>
      <x:right style="thin">
        <x:color theme="0" tint="-0.24998"/>
      </x:right>
      <x:bottom style="thin">
        <x:color theme="0" tint="-0.24998"/>
      </x:bottom>
    </x:border>
    <x:border>
      <x:left style="thin">
        <x:color theme="0" tint="-0.24998"/>
      </x:left>
      <x:right style="thin">
        <x:color theme="0" tint="-0.24998"/>
      </x:right>
      <x:bottom style="thin">
        <x:color theme="0" tint="-0.24998"/>
      </x:bottom>
    </x:border>
    <x:border>
      <x:left style="thin">
        <x:color theme="0" tint="-0.24998"/>
      </x:left>
      <x:right style="medium">
        <x:color auto="1"/>
      </x:right>
      <x:bottom style="thin">
        <x:color theme="0" tint="-0.24998"/>
      </x:bottom>
    </x:border>
    <x:border>
      <x:bottom style="thin">
        <x:color theme="0" tint="-0.24998"/>
      </x:bottom>
    </x:border>
    <x:border>
      <x:left style="medium">
        <x:color auto="1"/>
      </x:left>
      <x:right style="medium">
        <x:color auto="1"/>
      </x:right>
      <x:bottom style="thin">
        <x:color theme="0" tint="-0.24998"/>
      </x:bottom>
    </x:border>
    <x:border>
      <x:right style="thin">
        <x:color theme="0" tint="-0.24998"/>
      </x:right>
      <x:top style="thin">
        <x:color theme="0" tint="-0.24998"/>
      </x:top>
      <x:bottom style="thin">
        <x:color theme="0" tint="-0.24998"/>
      </x:bottom>
    </x:border>
    <x:border>
      <x:left style="thin">
        <x:color theme="0" tint="-0.24998"/>
      </x:left>
      <x:right style="thick">
        <x:color auto="1"/>
      </x:right>
      <x:top style="thin">
        <x:color theme="0" tint="-0.24998"/>
      </x:top>
      <x:bottom style="thin">
        <x:color theme="0" tint="-0.24998"/>
      </x:bottom>
    </x:border>
    <x:border>
      <x:left style="medium">
        <x:color auto="1"/>
      </x:left>
      <x:right style="thin">
        <x:color theme="0" tint="-0.24998"/>
      </x:right>
      <x:top style="thin">
        <x:color theme="0" tint="-0.24998"/>
      </x:top>
      <x:bottom style="thin">
        <x:color theme="0" tint="-0.24998"/>
      </x:bottom>
    </x:border>
    <x:border>
      <x:left style="thin">
        <x:color theme="0" tint="-0.24998"/>
      </x:left>
      <x:bottom style="thin">
        <x:color theme="0" tint="-0.24998"/>
      </x:bottom>
    </x:border>
    <x:border>
      <x:left style="dotted">
        <x:color auto="1"/>
      </x:left>
      <x:right style="dotted">
        <x:color auto="1"/>
      </x:right>
    </x:border>
    <x:border>
      <x:left style="dotted">
        <x:color auto="1"/>
      </x:left>
    </x:border>
    <x:border>
      <x:right style="dotted">
        <x:color auto="1"/>
      </x:right>
    </x:border>
    <x:border>
      <x:top style="medium">
        <x:color auto="1"/>
      </x:top>
      <x:bottom style="medium">
        <x:color auto="1"/>
      </x:bottom>
    </x:border>
    <x:border>
      <x:left style="dotted">
        <x:color auto="1"/>
      </x:left>
      <x:bottom style="dotted">
        <x:color auto="1"/>
      </x:bottom>
    </x:border>
    <x:border>
      <x:bottom style="dotted">
        <x:color auto="1"/>
      </x:bottom>
    </x:border>
    <x:border>
      <x:right style="dotted">
        <x:color auto="1"/>
      </x:right>
      <x:bottom style="dotted">
        <x:color auto="1"/>
      </x:bottom>
    </x:border>
    <x:border>
      <x:left style="medium">
        <x:color auto="1"/>
      </x:left>
      <x:right style="thin">
        <x:color auto="1"/>
      </x:right>
      <x:top style="medium"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 style="thin">
        <x:color auto="1"/>
      </x:left>
      <x:top style="medium"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bottom style="medium">
        <x:color auto="1"/>
      </x:bottom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left style="thin">
        <x:color auto="1"/>
      </x:left>
      <x:bottom style="thin">
        <x:color auto="1"/>
      </x:bottom>
    </x:border>
    <x:border>
      <x:bottom style="thin">
        <x:color auto="1"/>
      </x:bottom>
    </x:border>
    <x:border>
      <x:right style="thin">
        <x:color auto="1"/>
      </x:right>
      <x:bottom style="thin">
        <x:color auto="1"/>
      </x:bottom>
    </x:border>
    <x:border>
      <x:left style="medium">
        <x:color auto="1"/>
      </x:left>
      <x:top style="medium">
        <x:color auto="1"/>
      </x:top>
      <x:bottom style="medium">
        <x:color auto="1"/>
      </x:bottom>
    </x:border>
    <x:border>
      <x:left style="medium">
        <x:color auto="1"/>
      </x:left>
      <x:right style="thin">
        <x:color auto="1"/>
      </x:right>
    </x:border>
  </x:borders>
  <x:cellStyleXfs count="3">
    <x:xf numFmtId="0" fontId="0" fillId="0" borderId="0"/>
    <x:xf numFmtId="9" fontId="46" fillId="0" borderId="0"/>
    <x:xf numFmtId="0" fontId="1" fillId="0" borderId="0"/>
  </x:cellStyleXfs>
  <x:cellXfs count="262">
    <x:xf numFmtId="0" fontId="0" fillId="0" borderId="0" xfId="0"/>
    <x:xf numFmtId="0" fontId="6" fillId="3" borderId="5" xfId="0" applyFont="1" applyFill="1" applyBorder="1" applyAlignment="1">
      <x:alignment horizontal="center" vertical="center" wrapText="1"/>
    </x:xf>
    <x:xf numFmtId="0" fontId="11" fillId="0" borderId="0" xfId="0" applyFont="1"/>
    <x:xf numFmtId="0" fontId="0" fillId="0" borderId="0" xfId="0" applyAlignment="1">
      <x:alignment horizontal="center"/>
    </x:xf>
    <x:xf numFmtId="0" fontId="2" fillId="0" borderId="0" xfId="0" applyFont="1"/>
    <x:xf numFmtId="0" fontId="4" fillId="0" borderId="0" xfId="0" applyFont="1"/>
    <x:xf numFmtId="0" fontId="5" fillId="2" borderId="1" xfId="0" applyFont="1" applyFill="1" applyBorder="1"/>
    <x:xf numFmtId="9" fontId="5" fillId="2" borderId="1" xfId="0" applyNumberFormat="1" applyFont="1" applyFill="1" applyBorder="1"/>
    <x:xf numFmtId="0" fontId="5" fillId="2" borderId="2" xfId="0" applyFont="1" applyFill="1" applyBorder="1"/>
    <x:xf numFmtId="0" fontId="6" fillId="3" borderId="1" xfId="0" applyFont="1" applyFill="1" applyBorder="1" applyAlignment="1">
      <x:alignment horizontal="center" vertical="center" wrapText="1"/>
    </x:xf>
    <x:xf numFmtId="0" fontId="7" fillId="0" borderId="1" xfId="0" applyFont="1" applyBorder="1" applyAlignment="1">
      <x:alignment horizontal="center" vertical="center" wrapText="1"/>
    </x:xf>
    <x:xf numFmtId="164" fontId="8" fillId="0" borderId="1" xfId="0" applyNumberFormat="1" applyFont="1" applyBorder="1" applyAlignment="1">
      <x:alignment horizontal="center" vertical="center" wrapText="1"/>
    </x:xf>
    <x:xf numFmtId="0" fontId="9" fillId="0" borderId="1" xfId="0" applyFont="1" applyBorder="1" applyAlignment="1">
      <x:alignment horizontal="center" vertical="center" wrapText="1"/>
    </x:xf>
    <x:xf numFmtId="0" fontId="10" fillId="0" borderId="0" xfId="0" applyFont="1"/>
    <x:xf numFmtId="164" fontId="10" fillId="4" borderId="1" xfId="0" applyNumberFormat="1" applyFont="1" applyFill="1" applyBorder="1" applyAlignment="1">
      <x:alignment horizontal="center" vertical="center" wrapText="1"/>
    </x:xf>
    <x:xf numFmtId="0" fontId="6" fillId="3" borderId="4" xfId="0" applyFont="1" applyFill="1" applyBorder="1" applyAlignment="1">
      <x:alignment horizontal="center" vertical="center" wrapText="1"/>
    </x:xf>
    <x:xf numFmtId="0" fontId="7" fillId="0" borderId="1" xfId="0" applyFont="1" applyBorder="1"/>
    <x:xf numFmtId="164" fontId="0" fillId="0" borderId="0" xfId="0" applyNumberFormat="1"/>
    <x:xf numFmtId="0" fontId="7" fillId="0" borderId="0" xfId="0" applyFont="1"/>
    <x:xf numFmtId="0" fontId="5" fillId="2" borderId="1" xfId="0" applyFont="1" applyFill="1" applyBorder="1" applyAlignment="1">
      <x:alignment horizontal="center" vertical="center" wrapText="1"/>
    </x:xf>
    <x:xf numFmtId="164" fontId="9" fillId="0" borderId="1" xfId="0" applyNumberFormat="1" applyFont="1" applyBorder="1" applyAlignment="1">
      <x:alignment horizontal="center" vertical="center" wrapText="1"/>
    </x:xf>
    <x:xf numFmtId="164" fontId="4" fillId="4" borderId="1" xfId="0" applyNumberFormat="1" applyFont="1" applyFill="1" applyBorder="1" applyAlignment="1">
      <x:alignment horizontal="center" vertical="center" wrapText="1"/>
    </x:xf>
    <x:xf numFmtId="0" fontId="7" fillId="0" borderId="0" xfId="0" applyFont="1" applyAlignment="1">
      <x:alignment horizontal="left" vertical="top" wrapText="1"/>
    </x:xf>
    <x:xf numFmtId="0" fontId="4" fillId="0" borderId="0" xfId="0" applyFont="1" applyAlignment="1">
      <x:alignment horizontal="left" vertical="top" wrapText="1"/>
    </x:xf>
    <x:xf numFmtId="2" fontId="9" fillId="0" borderId="1" xfId="0" applyNumberFormat="1" applyFont="1" applyBorder="1" applyAlignment="1">
      <x:alignment horizontal="center" vertical="center" wrapText="1"/>
    </x:xf>
    <x:xf numFmtId="0" fontId="5" fillId="6" borderId="0" xfId="0" applyFont="1" applyFill="1"/>
    <x:xf numFmtId="0" fontId="6" fillId="8" borderId="5" xfId="0" applyFont="1" applyFill="1" applyBorder="1" applyAlignment="1">
      <x:alignment horizontal="center" vertical="center" wrapText="1"/>
    </x:xf>
    <x:xf numFmtId="0" fontId="5" fillId="6" borderId="5" xfId="0" applyFont="1" applyFill="1" applyBorder="1" applyAlignment="1">
      <x:alignment horizontal="center" vertical="center" wrapText="1"/>
    </x:xf>
    <x:xf numFmtId="0" fontId="5" fillId="6" borderId="5" xfId="0" applyFont="1" applyFill="1" applyBorder="1" applyAlignment="1">
      <x:alignment horizontal="left" vertical="center" wrapText="1"/>
    </x:xf>
    <x:xf numFmtId="0" fontId="5" fillId="6" borderId="6" xfId="0" applyFont="1" applyFill="1" applyBorder="1" applyAlignment="1">
      <x:alignment horizontal="center" vertical="center" wrapText="1"/>
    </x:xf>
    <x:xf numFmtId="0" fontId="6" fillId="8" borderId="7" xfId="0" applyFont="1" applyFill="1" applyBorder="1" applyAlignment="1">
      <x:alignment horizontal="center" vertical="center" wrapText="1"/>
    </x:xf>
    <x:xf numFmtId="0" fontId="6" fillId="8" borderId="0" xfId="0" applyFont="1" applyFill="1" applyAlignment="1">
      <x:alignment horizontal="center" vertical="center" wrapText="1"/>
    </x:xf>
    <x:xf numFmtId="0" fontId="9" fillId="0" borderId="5" xfId="0" applyFont="1" applyBorder="1" applyAlignment="1">
      <x:alignment horizontal="center" vertical="center" wrapText="1"/>
    </x:xf>
    <x:xf numFmtId="0" fontId="5" fillId="6" borderId="5" xfId="0" applyFont="1" applyFill="1" applyBorder="1" applyAlignment="1">
      <x:alignment horizontal="left" vertical="center" wrapText="1"/>
    </x:xf>
    <x:xf numFmtId="0" fontId="5" fillId="6" borderId="5" xfId="0" applyFont="1" applyFill="1" applyBorder="1" applyAlignment="1">
      <x:alignment horizontal="center" vertical="center" wrapText="1"/>
    </x:xf>
    <x:xf numFmtId="0" fontId="5" fillId="6" borderId="8" xfId="0" applyFont="1" applyFill="1" applyBorder="1" applyAlignment="1">
      <x:alignment horizontal="center" vertical="center" wrapText="1"/>
    </x:xf>
    <x:xf numFmtId="0" fontId="0" fillId="0" borderId="7" xfId="0" applyBorder="1"/>
    <x:xf numFmtId="0" fontId="0" fillId="9" borderId="0" xfId="0" applyFill="1"/>
    <x:xf numFmtId="0" fontId="13" fillId="0" borderId="0" xfId="0" applyFont="1"/>
    <x:xf numFmtId="0" fontId="5" fillId="6" borderId="6" xfId="0" applyFont="1" applyFill="1" applyBorder="1" applyAlignment="1">
      <x:alignment horizontal="center" vertical="center" wrapText="1"/>
    </x:xf>
    <x:xf numFmtId="0" fontId="14" fillId="0" borderId="0" xfId="0" applyFont="1" applyAlignment="1">
      <x:alignment horizontal="center"/>
    </x:xf>
    <x:xf numFmtId="0" fontId="0" fillId="0" borderId="9" xfId="0" applyBorder="1"/>
    <x:xf numFmtId="0" fontId="0" fillId="0" borderId="10" xfId="0" applyBorder="1"/>
    <x:xf numFmtId="0" fontId="15" fillId="0" borderId="0" xfId="0" applyFont="1"/>
    <x:xf numFmtId="0" fontId="17" fillId="0" borderId="0" xfId="0" applyFont="1"/>
    <x:xf numFmtId="0" fontId="18" fillId="0" borderId="0" xfId="0" applyFont="1"/>
    <x:xf numFmtId="0" fontId="18" fillId="0" borderId="9" xfId="0" applyFont="1" applyBorder="1"/>
    <x:xf numFmtId="0" fontId="18" fillId="0" borderId="10" xfId="0" applyFont="1" applyBorder="1"/>
    <x:xf numFmtId="0" fontId="19" fillId="0" borderId="0" xfId="0" applyFont="1"/>
    <x:xf numFmtId="1" fontId="17" fillId="10" borderId="0" xfId="0" applyNumberFormat="1" applyFont="1" applyFill="1"/>
    <x:xf numFmtId="9" fontId="18" fillId="0" borderId="0" xfId="1" applyFont="1"/>
    <x:xf numFmtId="9" fontId="18" fillId="0" borderId="9" xfId="1" applyFont="1" applyBorder="1"/>
    <x:xf numFmtId="9" fontId="18" fillId="0" borderId="10" xfId="1" applyFont="1" applyBorder="1"/>
    <x:xf numFmtId="9" fontId="19" fillId="0" borderId="0" xfId="1" applyFont="1"/>
    <x:xf numFmtId="0" fontId="4" fillId="5" borderId="5" xfId="0" applyFont="1" applyFill="1" applyBorder="1" applyAlignment="1">
      <x:alignment horizontal="center" vertical="center" wrapText="1"/>
    </x:xf>
    <x:xf numFmtId="0" fontId="5" fillId="6" borderId="11" xfId="0" applyFont="1" applyFill="1" applyBorder="1" applyAlignment="1">
      <x:alignment horizontal="center" vertical="center" wrapText="1"/>
    </x:xf>
    <x:xf numFmtId="0" fontId="5" fillId="6" borderId="12" xfId="0" applyFont="1" applyFill="1" applyBorder="1" applyAlignment="1">
      <x:alignment horizontal="center" vertical="center" wrapText="1"/>
    </x:xf>
    <x:xf numFmtId="0" fontId="21" fillId="3" borderId="5" xfId="0" applyFont="1" applyFill="1" applyBorder="1" applyAlignment="1">
      <x:alignment horizontal="center" vertical="center" wrapText="1"/>
    </x:xf>
    <x:xf numFmtId="0" fontId="5" fillId="6" borderId="0" xfId="0" applyFont="1" applyFill="1" applyAlignment="1">
      <x:alignment horizontal="center" vertical="center" wrapText="1"/>
    </x:xf>
    <x:xf numFmtId="0" fontId="5" fillId="6" borderId="9" xfId="0" applyFont="1" applyFill="1" applyBorder="1" applyAlignment="1">
      <x:alignment horizontal="center" vertical="center" wrapText="1"/>
    </x:xf>
    <x:xf numFmtId="0" fontId="0" fillId="0" borderId="0" xfId="0" applyAlignment="1">
      <x:alignment horizontal="center" vertical="center"/>
    </x:xf>
    <x:xf numFmtId="0" fontId="7" fillId="0" borderId="10" xfId="0" applyFont="1" applyBorder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22" fillId="3" borderId="5" xfId="0" applyFont="1" applyFill="1" applyBorder="1" applyAlignment="1">
      <x:alignment horizontal="center" vertical="center" wrapText="1"/>
    </x:xf>
    <x:xf numFmtId="17" fontId="22" fillId="3" borderId="5" xfId="0" applyNumberFormat="1" applyFont="1" applyFill="1" applyBorder="1" applyAlignment="1">
      <x:alignment horizontal="center" vertical="center" wrapText="1"/>
    </x:xf>
    <x:xf numFmtId="16" fontId="22" fillId="3" borderId="5" xfId="0" applyNumberFormat="1" applyFont="1" applyFill="1" applyBorder="1" applyAlignment="1">
      <x:alignment horizontal="center" vertical="center" wrapText="1"/>
    </x:xf>
    <x:xf numFmtId="0" fontId="23" fillId="0" borderId="0" xfId="0" applyFont="1"/>
    <x:xf numFmtId="0" fontId="23" fillId="0" borderId="9" xfId="0" applyFont="1" applyBorder="1"/>
    <x:xf numFmtId="0" fontId="23" fillId="0" borderId="10" xfId="0" applyFont="1" applyBorder="1"/>
    <x:xf numFmtId="165" fontId="22" fillId="3" borderId="5" xfId="0" applyNumberFormat="1" applyFont="1" applyFill="1" applyBorder="1" applyAlignment="1">
      <x:alignment horizontal="center" vertical="center" wrapText="1"/>
    </x:xf>
    <x:xf numFmtId="0" fontId="4" fillId="10" borderId="5" xfId="0" applyFont="1" applyFill="1" applyBorder="1" applyAlignment="1">
      <x:alignment horizontal="center" vertical="center" wrapText="1"/>
    </x:xf>
    <x:xf numFmtId="0" fontId="13" fillId="0" borderId="9" xfId="0" applyFont="1" applyBorder="1"/>
    <x:xf numFmtId="0" fontId="0" fillId="0" borderId="5" xfId="0" applyBorder="1" applyAlignment="1">
      <x:alignment horizontal="center" vertical="center" wrapText="1"/>
    </x:xf>
    <x:xf numFmtId="0" fontId="5" fillId="6" borderId="5" xfId="0" applyFont="1" applyFill="1" applyBorder="1"/>
    <x:xf numFmtId="0" fontId="14" fillId="11" borderId="0" xfId="0" applyFont="1" applyFill="1" applyAlignment="1">
      <x:alignment horizontal="center"/>
    </x:xf>
    <x:xf numFmtId="0" fontId="24" fillId="12" borderId="0" xfId="0" applyFont="1" applyFill="1"/>
    <x:xf numFmtId="0" fontId="24" fillId="12" borderId="9" xfId="0" applyFont="1" applyFill="1" applyBorder="1"/>
    <x:xf numFmtId="0" fontId="0" fillId="0" borderId="14" xfId="0" applyBorder="1"/>
    <x:xf numFmtId="0" fontId="0" fillId="0" borderId="15" xfId="0" applyBorder="1"/>
    <x:xf numFmtId="0" fontId="0" fillId="13" borderId="0" xfId="0" applyFill="1"/>
    <x:xf numFmtId="0" fontId="0" fillId="0" borderId="16" xfId="0" applyBorder="1"/>
    <x:xf numFmtId="0" fontId="13" fillId="15" borderId="3" xfId="0" applyFont="1" applyFill="1" applyBorder="1"/>
    <x:xf numFmtId="0" fontId="13" fillId="0" borderId="0" xfId="0" applyFont="1"/>
    <x:xf numFmtId="0" fontId="13" fillId="16" borderId="3" xfId="0" applyFont="1" applyFill="1" applyBorder="1" applyAlignment="1">
      <x:alignment horizontal="center"/>
    </x:xf>
    <x:xf numFmtId="0" fontId="13" fillId="0" borderId="0" xfId="0" applyFont="1" applyAlignment="1">
      <x:alignment horizontal="center"/>
    </x:xf>
    <x:xf numFmtId="0" fontId="13" fillId="15" borderId="3" xfId="0" applyFont="1" applyFill="1" applyBorder="1" applyAlignment="1">
      <x:alignment horizontal="center" vertical="center"/>
    </x:xf>
    <x:xf numFmtId="0" fontId="13" fillId="0" borderId="0" xfId="0" applyFont="1" applyAlignment="1">
      <x:alignment horizontal="center" vertical="center"/>
    </x:xf>
    <x:xf numFmtId="0" fontId="13" fillId="15" borderId="3" xfId="0" applyFont="1" applyFill="1" applyBorder="1" applyAlignment="1">
      <x:alignment horizontal="center"/>
    </x:xf>
    <x:xf numFmtId="0" fontId="4" fillId="0" borderId="15" xfId="0" applyFont="1" applyBorder="1" applyAlignment="1">
      <x:alignment horizontal="center" vertical="center" wrapText="1"/>
    </x:xf>
    <x:xf numFmtId="0" fontId="4" fillId="0" borderId="0" xfId="0" applyFont="1" applyAlignment="1">
      <x:alignment horizontal="center" vertical="center" wrapText="1"/>
    </x:xf>
    <x:xf numFmtId="0" fontId="13" fillId="0" borderId="15" xfId="0" applyFont="1" applyBorder="1" applyAlignment="1">
      <x:alignment horizontal="center" vertical="center"/>
    </x:xf>
    <x:xf numFmtId="0" fontId="13" fillId="0" borderId="0" xfId="0" applyFont="1" applyAlignment="1">
      <x:alignment horizontal="center" vertical="center"/>
    </x:xf>
    <x:xf numFmtId="0" fontId="13" fillId="0" borderId="22" xfId="0" applyFont="1" applyBorder="1" applyAlignment="1">
      <x:alignment horizontal="center" vertical="center"/>
    </x:xf>
    <x:xf numFmtId="0" fontId="13" fillId="0" borderId="15" xfId="0" applyFont="1" applyBorder="1" applyAlignment="1">
      <x:alignment horizontal="center"/>
    </x:xf>
    <x:xf numFmtId="0" fontId="13" fillId="0" borderId="24" xfId="0" applyFont="1" applyBorder="1" applyAlignment="1">
      <x:alignment horizontal="center" vertical="center"/>
    </x:xf>
    <x:xf numFmtId="0" fontId="13" fillId="0" borderId="25" xfId="0" applyFont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 wrapText="1"/>
    </x:xf>
    <x:xf numFmtId="1" fontId="26" fillId="0" borderId="22" xfId="0" applyNumberFormat="1" applyFont="1" applyBorder="1" applyAlignment="1">
      <x:alignment horizontal="center" vertical="center" wrapText="1"/>
    </x:xf>
    <x:xf numFmtId="0" fontId="27" fillId="0" borderId="22" xfId="0" applyFont="1" applyBorder="1" applyAlignment="1">
      <x:alignment horizontal="center" vertical="center"/>
    </x:xf>
    <x:xf numFmtId="0" fontId="0" fillId="0" borderId="25" xfId="0" applyBorder="1"/>
    <x:xf numFmtId="0" fontId="0" fillId="0" borderId="22" xfId="0" applyBorder="1"/>
    <x:xf numFmtId="0" fontId="0" fillId="0" borderId="23" xfId="0" applyBorder="1"/>
    <x:xf numFmtId="0" fontId="0" fillId="0" borderId="5" xfId="0" applyBorder="1"/>
    <x:xf numFmtId="0" fontId="0" fillId="0" borderId="26" xfId="0" applyBorder="1"/>
    <x:xf numFmtId="0" fontId="0" fillId="0" borderId="27" xfId="0" applyBorder="1"/>
    <x:xf numFmtId="2" fontId="28" fillId="0" borderId="28" xfId="0" applyNumberFormat="1" applyFont="1" applyBorder="1"/>
    <x:xf numFmtId="2" fontId="29" fillId="0" borderId="29" xfId="0" applyNumberFormat="1" applyFont="1" applyBorder="1"/>
    <x:xf numFmtId="0" fontId="0" fillId="0" borderId="29" xfId="0" applyBorder="1"/>
    <x:xf numFmtId="2" fontId="13" fillId="13" borderId="29" xfId="0" applyNumberFormat="1" applyFont="1" applyFill="1" applyBorder="1"/>
    <x:xf numFmtId="0" fontId="0" fillId="0" borderId="30" xfId="0" applyBorder="1"/>
    <x:xf numFmtId="0" fontId="0" fillId="0" borderId="31" xfId="0" applyBorder="1"/>
    <x:xf numFmtId="2" fontId="13" fillId="5" borderId="32" xfId="0" applyNumberFormat="1" applyFont="1" applyFill="1" applyBorder="1" applyAlignment="1">
      <x:alignment horizontal="center"/>
    </x:xf>
    <x:xf numFmtId="0" fontId="0" fillId="0" borderId="33" xfId="0" applyBorder="1"/>
    <x:xf numFmtId="0" fontId="0" fillId="0" borderId="34" xfId="0" applyBorder="1"/>
    <x:xf numFmtId="0" fontId="0" fillId="0" borderId="35" xfId="0" applyBorder="1"/>
    <x:xf numFmtId="0" fontId="0" fillId="0" borderId="36" xfId="0" applyBorder="1"/>
    <x:xf numFmtId="0" fontId="0" fillId="13" borderId="29" xfId="0" applyFill="1" applyBorder="1"/>
    <x:xf numFmtId="0" fontId="0" fillId="13" borderId="5" xfId="0" applyFill="1" applyBorder="1"/>
    <x:xf numFmtId="0" fontId="1" fillId="0" borderId="0" xfId="2"/>
    <x:xf numFmtId="0" fontId="1" fillId="0" borderId="0" xfId="2"/>
    <x:xf numFmtId="0" fontId="1" fillId="18" borderId="0" xfId="2" applyFill="1"/>
    <x:xf numFmtId="0" fontId="1" fillId="0" borderId="9" xfId="2" applyBorder="1"/>
    <x:xf numFmtId="9" fontId="1" fillId="0" borderId="0" xfId="2" applyNumberFormat="1"/>
    <x:xf numFmtId="0" fontId="32" fillId="18" borderId="0" xfId="2" applyFont="1" applyFill="1"/>
    <x:xf numFmtId="0" fontId="32" fillId="0" borderId="9" xfId="2" applyFont="1" applyBorder="1"/>
    <x:xf numFmtId="0" fontId="32" fillId="0" borderId="0" xfId="2" applyFont="1"/>
    <x:xf numFmtId="9" fontId="32" fillId="0" borderId="0" xfId="2" applyNumberFormat="1" applyFont="1"/>
    <x:xf numFmtId="0" fontId="1" fillId="3" borderId="0" xfId="2" applyFill="1"/>
    <x:xf numFmtId="0" fontId="33" fillId="3" borderId="0" xfId="2" applyFont="1" applyFill="1" applyAlignment="1">
      <x:alignment horizontal="center" vertical="center"/>
    </x:xf>
    <x:xf numFmtId="0" fontId="33" fillId="3" borderId="9" xfId="2" applyFont="1" applyFill="1" applyBorder="1" applyAlignment="1">
      <x:alignment horizontal="center" vertical="center"/>
    </x:xf>
    <x:xf numFmtId="0" fontId="32" fillId="3" borderId="0" xfId="2" applyFont="1" applyFill="1"/>
    <x:xf numFmtId="0" fontId="32" fillId="3" borderId="9" xfId="2" applyFont="1" applyFill="1" applyBorder="1"/>
    <x:xf numFmtId="9" fontId="32" fillId="3" borderId="0" xfId="2" applyNumberFormat="1" applyFont="1" applyFill="1"/>
    <x:xf numFmtId="9" fontId="1" fillId="3" borderId="0" xfId="2" applyNumberFormat="1" applyFill="1"/>
    <x:xf numFmtId="0" fontId="1" fillId="3" borderId="0" xfId="2" applyFill="1"/>
    <x:xf numFmtId="0" fontId="1" fillId="3" borderId="9" xfId="2" applyFill="1" applyBorder="1"/>
    <x:xf numFmtId="0" fontId="36" fillId="0" borderId="0" xfId="2" applyFont="1"/>
    <x:xf numFmtId="0" fontId="37" fillId="0" borderId="22" xfId="2" applyFont="1" applyBorder="1"/>
    <x:xf numFmtId="0" fontId="38" fillId="0" borderId="38" xfId="2" applyFont="1" applyBorder="1" applyAlignment="1">
      <x:alignment horizontal="right"/>
    </x:xf>
    <x:xf numFmtId="9" fontId="39" fillId="0" borderId="0" xfId="2" applyNumberFormat="1" applyFont="1" applyAlignment="1">
      <x:alignment horizontal="center"/>
    </x:xf>
    <x:xf numFmtId="9" fontId="40" fillId="0" borderId="39" xfId="2" applyNumberFormat="1" applyFont="1" applyBorder="1" applyAlignment="1">
      <x:alignment horizontal="left"/>
    </x:xf>
    <x:xf numFmtId="0" fontId="33" fillId="0" borderId="0" xfId="2" applyFont="1" applyAlignment="1">
      <x:alignment horizontal="center"/>
    </x:xf>
    <x:xf numFmtId="0" fontId="33" fillId="18" borderId="0" xfId="2" applyFont="1" applyFill="1" applyAlignment="1">
      <x:alignment horizontal="center"/>
    </x:xf>
    <x:xf numFmtId="0" fontId="33" fillId="0" borderId="0" xfId="2" applyFont="1"/>
    <x:xf numFmtId="0" fontId="33" fillId="0" borderId="0" xfId="2" applyFont="1" applyAlignment="1">
      <x:alignment horizontal="center" vertical="center"/>
    </x:xf>
    <x:xf numFmtId="0" fontId="41" fillId="18" borderId="0" xfId="2" applyFont="1" applyFill="1"/>
    <x:xf numFmtId="0" fontId="37" fillId="0" borderId="40" xfId="2" applyFont="1" applyBorder="1"/>
    <x:xf numFmtId="0" fontId="33" fillId="0" borderId="0" xfId="2" applyFont="1" applyAlignment="1">
      <x:alignment horizontal="right"/>
    </x:xf>
    <x:xf numFmtId="0" fontId="33" fillId="18" borderId="0" xfId="2" applyFont="1" applyFill="1" applyAlignment="1">
      <x:alignment horizontal="right"/>
    </x:xf>
    <x:xf numFmtId="0" fontId="33" fillId="18" borderId="0" xfId="2" applyFont="1" applyFill="1"/>
    <x:xf numFmtId="9" fontId="33" fillId="18" borderId="0" xfId="2" applyNumberFormat="1" applyFont="1" applyFill="1"/>
    <x:xf numFmtId="9" fontId="33" fillId="0" borderId="0" xfId="2" applyNumberFormat="1" applyFont="1"/>
    <x:xf numFmtId="0" fontId="37" fillId="0" borderId="40" xfId="2" applyFont="1" applyBorder="1" applyAlignment="1">
      <x:alignment horizontal="left"/>
    </x:xf>
    <x:xf numFmtId="9" fontId="1" fillId="18" borderId="0" xfId="2" applyNumberFormat="1" applyFill="1"/>
    <x:xf numFmtId="0" fontId="43" fillId="18" borderId="40" xfId="2" applyFont="1" applyFill="1" applyBorder="1"/>
    <x:xf numFmtId="166" fontId="37" fillId="0" borderId="40" xfId="2" applyNumberFormat="1" applyFont="1" applyBorder="1" applyAlignment="1">
      <x:alignment horizontal="left"/>
    </x:xf>
    <x:xf numFmtId="0" fontId="38" fillId="0" borderId="41" xfId="2" applyFont="1" applyBorder="1" applyAlignment="1">
      <x:alignment horizontal="right"/>
    </x:xf>
    <x:xf numFmtId="9" fontId="39" fillId="0" borderId="42" xfId="2" applyNumberFormat="1" applyFont="1" applyBorder="1" applyAlignment="1">
      <x:alignment horizontal="center"/>
    </x:xf>
    <x:xf numFmtId="9" fontId="40" fillId="0" borderId="43" xfId="2" applyNumberFormat="1" applyFont="1" applyBorder="1" applyAlignment="1">
      <x:alignment horizontal="left"/>
    </x:xf>
    <x:xf numFmtId="9" fontId="1" fillId="0" borderId="9" xfId="2" applyNumberFormat="1" applyBorder="1"/>
    <x:xf numFmtId="0" fontId="1" fillId="0" borderId="3" xfId="2" applyBorder="1" applyAlignment="1">
      <x:alignment horizontal="center"/>
    </x:xf>
    <x:xf numFmtId="0" fontId="32" fillId="0" borderId="48" xfId="2" applyFont="1" applyBorder="1" applyAlignment="1">
      <x:alignment horizontal="center"/>
    </x:xf>
    <x:xf numFmtId="9" fontId="32" fillId="20" borderId="48" xfId="2" applyNumberFormat="1" applyFont="1" applyFill="1" applyBorder="1" applyAlignment="1">
      <x:alignment horizontal="center" wrapText="1"/>
    </x:xf>
    <x:xf numFmtId="0" fontId="33" fillId="0" borderId="48" xfId="2" applyFont="1" applyBorder="1" applyAlignment="1">
      <x:alignment horizontal="center"/>
    </x:xf>
    <x:xf numFmtId="9" fontId="32" fillId="20" borderId="48" xfId="2" applyNumberFormat="1" applyFont="1" applyFill="1" applyBorder="1" applyAlignment="1">
      <x:alignment horizontal="center"/>
    </x:xf>
    <x:xf numFmtId="0" fontId="1" fillId="0" borderId="0" xfId="2" applyAlignment="1">
      <x:alignment horizontal="center" vertical="center"/>
    </x:xf>
    <x:xf numFmtId="0" fontId="1" fillId="18" borderId="0" xfId="2" applyFill="1" applyAlignment="1">
      <x:alignment horizontal="center" vertical="center"/>
    </x:xf>
    <x:xf numFmtId="0" fontId="1" fillId="0" borderId="9" xfId="2" applyBorder="1" applyAlignment="1">
      <x:alignment horizontal="center" vertical="center"/>
    </x:xf>
    <x:xf numFmtId="9" fontId="1" fillId="0" borderId="0" xfId="2" applyNumberFormat="1" applyAlignment="1">
      <x:alignment horizontal="center" vertical="center"/>
    </x:xf>
    <x:xf numFmtId="0" fontId="1" fillId="0" borderId="50" xfId="2" applyBorder="1" applyAlignment="1">
      <x:alignment horizontal="center"/>
    </x:xf>
    <x:xf numFmtId="0" fontId="1" fillId="0" borderId="50" xfId="2" applyBorder="1"/>
    <x:xf numFmtId="1" fontId="1" fillId="0" borderId="3" xfId="2" applyNumberFormat="1" applyBorder="1"/>
    <x:xf numFmtId="2" fontId="1" fillId="21" borderId="3" xfId="2" applyNumberFormat="1" applyFill="1" applyBorder="1"/>
    <x:xf numFmtId="2" fontId="1" fillId="21" borderId="50" xfId="2" applyNumberFormat="1" applyFill="1" applyBorder="1"/>
    <x:xf numFmtId="2" fontId="1" fillId="20" borderId="50" xfId="2" applyNumberFormat="1" applyFill="1" applyBorder="1"/>
    <x:xf numFmtId="0" fontId="1" fillId="0" borderId="50" xfId="2" applyBorder="1" applyAlignment="1">
      <x:alignment horizontal="center" vertical="center"/>
    </x:xf>
    <x:xf numFmtId="1" fontId="37" fillId="16" borderId="51" xfId="2" applyNumberFormat="1" applyFont="1" applyFill="1" applyBorder="1"/>
    <x:xf numFmtId="2" fontId="1" fillId="18" borderId="0" xfId="2" applyNumberFormat="1" applyFill="1"/>
    <x:xf numFmtId="2" fontId="1" fillId="0" borderId="9" xfId="2" applyNumberFormat="1" applyBorder="1"/>
    <x:xf numFmtId="0" fontId="1" fillId="0" borderId="3" xfId="2" applyBorder="1"/>
    <x:xf numFmtId="9" fontId="1" fillId="0" borderId="52" xfId="2" applyNumberFormat="1" applyBorder="1"/>
    <x:xf numFmtId="2" fontId="1" fillId="18" borderId="52" xfId="2" applyNumberFormat="1" applyFill="1" applyBorder="1"/>
    <x:xf numFmtId="2" fontId="1" fillId="0" borderId="53" xfId="2" applyNumberFormat="1" applyBorder="1"/>
    <x:xf numFmtId="0" fontId="1" fillId="0" borderId="52" xfId="2" applyBorder="1"/>
    <x:xf numFmtId="0" fontId="37" fillId="0" borderId="22" xfId="2" applyFont="1" applyBorder="1" applyAlignment="1">
      <x:alignment horizontal="center"/>
    </x:xf>
    <x:xf numFmtId="0" fontId="1" fillId="0" borderId="0" xfId="2" applyAlignment="1">
      <x:alignment horizontal="center" vertical="top"/>
    </x:xf>
    <x:xf numFmtId="0" fontId="1" fillId="0" borderId="0" xfId="2" applyAlignment="1">
      <x:alignment horizontal="center" vertical="center"/>
    </x:xf>
    <x:xf numFmtId="0" fontId="1" fillId="18" borderId="0" xfId="2" applyFill="1" applyAlignment="1">
      <x:alignment wrapText="1"/>
    </x:xf>
    <x:xf numFmtId="0" fontId="1" fillId="0" borderId="0" xfId="2" applyAlignment="1">
      <x:alignment wrapText="1"/>
    </x:xf>
    <x:xf numFmtId="2" fontId="1" fillId="0" borderId="0" xfId="2" applyNumberFormat="1"/>
    <x:xf numFmtId="2" fontId="44" fillId="18" borderId="0" xfId="2" applyNumberFormat="1" applyFont="1" applyFill="1"/>
    <x:xf numFmtId="2" fontId="44" fillId="0" borderId="0" xfId="2" applyNumberFormat="1" applyFont="1"/>
    <x:xf numFmtId="2" fontId="32" fillId="18" borderId="0" xfId="2" applyNumberFormat="1" applyFont="1" applyFill="1"/>
    <x:xf numFmtId="2" fontId="32" fillId="0" borderId="0" xfId="2" applyNumberFormat="1" applyFont="1"/>
    <x:xf numFmtId="0" fontId="35" fillId="0" borderId="38" xfId="2" applyFont="1" applyBorder="1"/>
    <x:xf numFmtId="0" fontId="35" fillId="0" borderId="0" xfId="2" applyFont="1"/>
    <x:xf numFmtId="0" fontId="35" fillId="0" borderId="39" xfId="2" applyFont="1" applyBorder="1"/>
    <x:xf numFmtId="0" fontId="37" fillId="0" borderId="0" xfId="2" applyFont="1"/>
    <x:xf numFmtId="0" fontId="34" fillId="0" borderId="0" xfId="2" applyFont="1" applyAlignment="1">
      <x:alignment vertical="center"/>
    </x:xf>
    <x:xf numFmtId="166" fontId="37" fillId="0" borderId="0" xfId="2" applyNumberFormat="1" applyFont="1" applyAlignment="1">
      <x:alignment horizontal="left"/>
    </x:xf>
    <x:xf numFmtId="1" fontId="43" fillId="0" borderId="50" xfId="2" applyNumberFormat="1" applyFont="1" applyBorder="1" applyAlignment="1">
      <x:alignment horizontal="center" vertical="center"/>
    </x:xf>
    <x:xf numFmtId="2" fontId="43" fillId="21" borderId="50" xfId="2" applyNumberFormat="1" applyFont="1" applyFill="1" applyBorder="1" applyAlignment="1">
      <x:alignment horizontal="center" vertical="center"/>
    </x:xf>
    <x:xf numFmtId="0" fontId="4" fillId="0" borderId="5" xfId="0" applyFont="1" applyBorder="1"/>
    <x:xf numFmtId="167" fontId="0" fillId="0" borderId="5" xfId="0" applyNumberFormat="1" applyBorder="1" applyAlignment="1">
      <x:alignment horizontal="center" vertical="center" wrapText="1"/>
    </x:xf>
    <x:xf numFmtId="0" fontId="4" fillId="5" borderId="3" xfId="0" applyFont="1" applyFill="1" applyBorder="1" applyAlignment="1">
      <x:alignment horizontal="center" vertical="center" wrapText="1"/>
    </x:xf>
    <x:xf numFmtId="0" fontId="2" fillId="0" borderId="0" xfId="0" applyFont="1"/>
    <x:xf numFmtId="0" fontId="3" fillId="0" borderId="0" xfId="0" applyFont="1"/>
    <x:xf numFmtId="0" fontId="4" fillId="5" borderId="0" xfId="0" applyFont="1" applyFill="1" applyAlignment="1">
      <x:alignment horizontal="center" vertical="center" wrapText="1"/>
    </x:xf>
    <x:xf numFmtId="0" fontId="4" fillId="7" borderId="0" xfId="0" applyFont="1" applyFill="1"/>
    <x:xf numFmtId="0" fontId="0" fillId="0" borderId="0" xfId="0" applyAlignment="1">
      <x:alignment horizontal="center"/>
    </x:xf>
    <x:xf numFmtId="0" fontId="0" fillId="5" borderId="0" xfId="0" applyFill="1" applyAlignment="1">
      <x:alignment horizontal="center"/>
    </x:xf>
    <x:xf numFmtId="0" fontId="0" fillId="9" borderId="13" xfId="0" applyFill="1" applyBorder="1" applyAlignment="1">
      <x:alignment horizontal="center"/>
    </x:xf>
    <x:xf numFmtId="0" fontId="0" fillId="9" borderId="6" xfId="0" applyFill="1" applyBorder="1" applyAlignment="1">
      <x:alignment horizontal="center"/>
    </x:xf>
    <x:xf numFmtId="0" fontId="0" fillId="5" borderId="10" xfId="0" applyFill="1" applyBorder="1" applyAlignment="1">
      <x:alignment horizontal="center"/>
    </x:xf>
    <x:xf numFmtId="0" fontId="16" fillId="10" borderId="9" xfId="0" applyFont="1" applyFill="1" applyBorder="1" applyAlignment="1">
      <x:alignment horizontal="center"/>
    </x:xf>
    <x:xf numFmtId="0" fontId="6" fillId="3" borderId="5" xfId="0" applyFont="1" applyFill="1" applyBorder="1" applyAlignment="1">
      <x:alignment horizontal="center" vertical="center" wrapText="1"/>
    </x:xf>
    <x:xf numFmtId="0" fontId="11" fillId="0" borderId="0" xfId="0" applyFont="1"/>
    <x:xf numFmtId="0" fontId="20" fillId="3" borderId="9" xfId="0" applyFont="1" applyFill="1" applyBorder="1" applyAlignment="1">
      <x:alignment horizontal="center" vertical="center"/>
    </x:xf>
    <x:xf numFmtId="0" fontId="25" fillId="17" borderId="20" xfId="0" applyFont="1" applyFill="1" applyBorder="1" applyAlignment="1">
      <x:alignment horizontal="center" vertical="center"/>
    </x:xf>
    <x:xf numFmtId="0" fontId="25" fillId="3" borderId="20" xfId="0" applyFont="1" applyFill="1" applyBorder="1" applyAlignment="1">
      <x:alignment horizontal="center" vertical="center"/>
    </x:xf>
    <x:xf numFmtId="0" fontId="13" fillId="5" borderId="21" xfId="0" applyFont="1" applyFill="1" applyBorder="1" applyAlignment="1">
      <x:alignment horizontal="center" vertical="center" wrapText="1"/>
    </x:xf>
    <x:xf numFmtId="0" fontId="13" fillId="0" borderId="22" xfId="0" applyFont="1" applyBorder="1" applyAlignment="1">
      <x:alignment horizontal="center" vertical="center"/>
    </x:xf>
    <x:xf numFmtId="0" fontId="13" fillId="0" borderId="23" xfId="0" applyFont="1" applyBorder="1" applyAlignment="1">
      <x:alignment horizontal="center" vertical="center"/>
    </x:xf>
    <x:xf numFmtId="0" fontId="13" fillId="0" borderId="25" xfId="0" applyFont="1" applyBorder="1" applyAlignment="1">
      <x:alignment horizontal="center" vertical="center"/>
    </x:xf>
    <x:xf numFmtId="0" fontId="13" fillId="15" borderId="3" xfId="0" applyFont="1" applyFill="1" applyBorder="1" applyAlignment="1">
      <x:alignment horizontal="center"/>
    </x:xf>
    <x:xf numFmtId="0" fontId="13" fillId="9" borderId="0" xfId="0" applyFont="1" applyFill="1" applyAlignment="1">
      <x:alignment horizontal="center"/>
    </x:xf>
    <x:xf numFmtId="0" fontId="6" fillId="3" borderId="17" xfId="0" applyFont="1" applyFill="1" applyBorder="1" applyAlignment="1">
      <x:alignment horizontal="center" vertical="center" wrapText="1"/>
    </x:xf>
    <x:xf numFmtId="0" fontId="6" fillId="3" borderId="18" xfId="0" applyFont="1" applyFill="1" applyBorder="1" applyAlignment="1">
      <x:alignment horizontal="center" vertical="center" wrapText="1"/>
    </x:xf>
    <x:xf numFmtId="0" fontId="6" fillId="3" borderId="19" xfId="0" applyFont="1" applyFill="1" applyBorder="1" applyAlignment="1">
      <x:alignment horizontal="center" vertical="center" wrapText="1"/>
    </x:xf>
    <x:xf numFmtId="0" fontId="13" fillId="0" borderId="21" xfId="0" applyFont="1" applyBorder="1" applyAlignment="1">
      <x:alignment horizontal="center" vertical="center" wrapText="1"/>
    </x:xf>
    <x:xf numFmtId="0" fontId="0" fillId="5" borderId="3" xfId="0" applyFill="1" applyBorder="1" applyAlignment="1">
      <x:alignment horizontal="center"/>
    </x:xf>
    <x:xf numFmtId="0" fontId="0" fillId="9" borderId="3" xfId="0" applyFill="1" applyBorder="1" applyAlignment="1">
      <x:alignment horizontal="center"/>
    </x:xf>
    <x:xf numFmtId="0" fontId="0" fillId="14" borderId="3" xfId="0" applyFill="1" applyBorder="1" applyAlignment="1">
      <x:alignment horizontal="center"/>
    </x:xf>
    <x:xf numFmtId="0" fontId="1" fillId="0" borderId="3" xfId="2" applyBorder="1" applyAlignment="1">
      <x:alignment horizontal="center"/>
    </x:xf>
    <x:xf numFmtId="2" fontId="37" fillId="18" borderId="0" xfId="2" applyNumberFormat="1" applyFont="1" applyFill="1" applyAlignment="1">
      <x:alignment horizontal="center"/>
    </x:xf>
    <x:xf numFmtId="0" fontId="1" fillId="22" borderId="22" xfId="2" applyFill="1" applyBorder="1" applyAlignment="1">
      <x:alignment horizontal="center"/>
    </x:xf>
    <x:xf numFmtId="0" fontId="1" fillId="0" borderId="50" xfId="2" applyBorder="1" applyAlignment="1">
      <x:alignment horizontal="center"/>
    </x:xf>
    <x:xf numFmtId="0" fontId="1" fillId="23" borderId="22" xfId="2" applyFill="1" applyBorder="1" applyAlignment="1">
      <x:alignment horizontal="center"/>
    </x:xf>
    <x:xf numFmtId="0" fontId="1" fillId="22" borderId="0" xfId="2" applyFill="1" applyAlignment="1">
      <x:alignment horizontal="center"/>
    </x:xf>
    <x:xf numFmtId="0" fontId="1" fillId="22" borderId="49" xfId="2" applyFill="1" applyBorder="1" applyAlignment="1">
      <x:alignment horizontal="center"/>
    </x:xf>
    <x:xf numFmtId="0" fontId="30" fillId="0" borderId="0" xfId="2" applyFont="1" applyAlignment="1">
      <x:alignment horizontal="center" vertical="center"/>
    </x:xf>
    <x:xf numFmtId="0" fontId="31" fillId="0" borderId="0" xfId="2" applyFont="1" applyAlignment="1">
      <x:alignment horizontal="center" vertical="center"/>
    </x:xf>
    <x:xf numFmtId="0" fontId="34" fillId="0" borderId="0" xfId="2" applyFont="1" applyAlignment="1">
      <x:alignment horizontal="center"/>
    </x:xf>
    <x:xf numFmtId="0" fontId="35" fillId="0" borderId="37" xfId="2" applyFont="1" applyBorder="1" applyAlignment="1">
      <x:alignment horizontal="center"/>
    </x:xf>
    <x:xf numFmtId="0" fontId="37" fillId="16" borderId="0" xfId="2" applyFont="1" applyFill="1" applyAlignment="1">
      <x:alignment horizontal="center"/>
    </x:xf>
    <x:xf numFmtId="2" fontId="42" fillId="18" borderId="0" xfId="2" applyNumberFormat="1" applyFont="1" applyFill="1" applyAlignment="1">
      <x:alignment horizontal="center" vertical="center"/>
    </x:xf>
    <x:xf numFmtId="9" fontId="34" fillId="9" borderId="0" xfId="2" applyNumberFormat="1" applyFont="1" applyFill="1" applyAlignment="1">
      <x:alignment horizontal="center" vertical="center"/>
    </x:xf>
    <x:xf numFmtId="0" fontId="37" fillId="0" borderId="44" xfId="2" applyFont="1" applyBorder="1" applyAlignment="1">
      <x:alignment horizontal="center" vertical="center"/>
    </x:xf>
    <x:xf numFmtId="0" fontId="37" fillId="0" borderId="45" xfId="2" applyFont="1" applyBorder="1" applyAlignment="1">
      <x:alignment horizontal="center" vertical="center"/>
    </x:xf>
    <x:xf numFmtId="0" fontId="37" fillId="19" borderId="46" xfId="2" applyFont="1" applyFill="1" applyBorder="1" applyAlignment="1">
      <x:alignment horizontal="center" vertical="center"/>
    </x:xf>
    <x:xf numFmtId="9" fontId="1" fillId="20" borderId="46" xfId="2" applyNumberFormat="1" applyFill="1" applyBorder="1" applyAlignment="1">
      <x:alignment horizontal="center" wrapText="1"/>
    </x:xf>
    <x:xf numFmtId="9" fontId="37" fillId="0" borderId="46" xfId="2" applyNumberFormat="1" applyFont="1" applyBorder="1" applyAlignment="1">
      <x:alignment horizontal="center" vertical="center" wrapText="1"/>
    </x:xf>
    <x:xf numFmtId="0" fontId="43" fillId="16" borderId="47" xfId="2" applyFont="1" applyFill="1" applyBorder="1" applyAlignment="1">
      <x:alignment horizontal="center" vertical="center"/>
    </x:xf>
    <x:xf numFmtId="0" fontId="37" fillId="9" borderId="21" xfId="2" applyFont="1" applyFill="1" applyBorder="1" applyAlignment="1">
      <x:alignment horizontal="center" vertical="center"/>
    </x:xf>
    <x:xf numFmtId="9" fontId="32" fillId="21" borderId="48" xfId="2" applyNumberFormat="1" applyFont="1" applyFill="1" applyBorder="1" applyAlignment="1">
      <x:alignment horizontal="center"/>
    </x:xf>
    <x:xf numFmtId="0" fontId="43" fillId="0" borderId="50" xfId="2" applyFont="1" applyBorder="1" applyAlignment="1">
      <x:alignment horizontal="center" vertical="center"/>
    </x:xf>
    <x:xf numFmtId="0" fontId="34" fillId="0" borderId="39" xfId="2" applyFont="1" applyBorder="1" applyAlignment="1">
      <x:alignment horizontal="center"/>
    </x:xf>
    <x:xf numFmtId="9" fontId="34" fillId="9" borderId="0" xfId="2" applyNumberFormat="1" applyFont="1" applyFill="1" applyAlignment="1">
      <x:alignment horizontal="center" vertical="center" wrapText="1"/>
    </x:xf>
    <x:xf numFmtId="0" fontId="43" fillId="16" borderId="45" xfId="2" applyFont="1" applyFill="1" applyBorder="1" applyAlignment="1">
      <x:alignment horizontal="center" vertical="center"/>
    </x:xf>
    <x:xf numFmtId="0" fontId="45" fillId="5" borderId="54" xfId="2" applyFont="1" applyFill="1" applyBorder="1" applyAlignment="1">
      <x:alignment horizontal="center" vertical="center"/>
    </x:xf>
    <x:xf numFmtId="0" fontId="43" fillId="9" borderId="55" xfId="2" applyFont="1" applyFill="1" applyBorder="1" applyAlignment="1">
      <x:alignment horizontal="center" vertical="center"/>
    </x:xf>
    <x:xf numFmtId="0" fontId="4" fillId="3" borderId="5" xfId="0" applyFont="1" applyFill="1" applyBorder="1"/>
  </x:cellXfs>
  <x:cellStyles count="3">
    <x:cellStyle name="Normal" xfId="0"/>
    <x:cellStyle name="Normal 2" xfId="2"/>
    <x:cellStyle name="Percent" xfId="1"/>
  </x:cellStyles>
  <x:dxfs count="8">
    <x:dxf>
      <x:fill>
        <x:patternFill>
          <x:bgColor rgb="FFC6EFCE"/>
        </x:patternFill>
      </x:fill>
    </x:dxf>
    <x:dxf>
      <x:fill>
        <x:patternFill>
          <x:bgColor rgb="FFFFC7CE"/>
        </x:patternFill>
      </x:fill>
    </x:dxf>
    <x:dxf>
      <x:fill>
        <x:patternFill>
          <x:bgColor rgb="FFFFC7CE"/>
        </x:patternFill>
      </x:fill>
    </x:dxf>
    <x:dxf>
      <x:font>
        <x:color rgb="FF9C0006"/>
      </x:font>
    </x:dxf>
    <x:dxf>
      <x:fill>
        <x:patternFill>
          <x:bgColor rgb="FFFFC7CE"/>
        </x:patternFill>
      </x:fill>
    </x:dxf>
    <x:dxf>
      <x:font>
        <x:color rgb="FF9C0006"/>
      </x:font>
    </x:dxf>
    <x:dxf>
      <x:font>
        <x:color rgb="FF9C0006"/>
      </x:font>
    </x:dxf>
    <x:dxf>
      <x:font>
        <x:color rgb="FF9C0006"/>
      </x:font>
    </x:dxf>
  </x:dxf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9C0006"/>
      <x:rgbColor rgb="FF008000"/>
      <x:rgbColor rgb="FF000080"/>
      <x:rgbColor rgb="FF808000"/>
      <x:rgbColor rgb="FF800080"/>
      <x:rgbColor rgb="FF4F81BD"/>
      <x:rgbColor rgb="FFBFBFBF"/>
      <x:rgbColor rgb="FF808080"/>
      <x:rgbColor rgb="FFB7B7B7"/>
      <x:rgbColor rgb="FF7030A0"/>
      <x:rgbColor rgb="FFFFFFCC"/>
      <x:rgbColor rgb="FFDEEAF6"/>
      <x:rgbColor rgb="FF660066"/>
      <x:rgbColor rgb="FFD9E1F2"/>
      <x:rgbColor rgb="FF1F4E78"/>
      <x:rgbColor rgb="FFD0CECE"/>
      <x:rgbColor rgb="FF000080"/>
      <x:rgbColor rgb="FFFF00FF"/>
      <x:rgbColor rgb="FFFEF2CB"/>
      <x:rgbColor rgb="FF00FFFF"/>
      <x:rgbColor rgb="FF800080"/>
      <x:rgbColor rgb="FFC00000"/>
      <x:rgbColor rgb="FF008080"/>
      <x:rgbColor rgb="FF0000FF"/>
      <x:rgbColor rgb="FF00CCFF"/>
      <x:rgbColor rgb="FFE2EFDA"/>
      <x:rgbColor rgb="FFC6EFCE"/>
      <x:rgbColor rgb="FFFFFF66"/>
      <x:rgbColor rgb="FF9CC2E5"/>
      <x:rgbColor rgb="FFFFC7CE"/>
      <x:rgbColor rgb="FFB3A2C7"/>
      <x:rgbColor rgb="FFFAC090"/>
      <x:rgbColor rgb="FF2E75B6"/>
      <x:rgbColor rgb="FF558ED5"/>
      <x:rgbColor rgb="FFFFF2CC"/>
      <x:rgbColor rgb="FFFFC000"/>
      <x:rgbColor rgb="FFFDEADA"/>
      <x:rgbColor rgb="FFE46C0A"/>
      <x:rgbColor rgb="FF8064A2"/>
      <x:rgbColor rgb="FFA6A6A6"/>
      <x:rgbColor rgb="FF002060"/>
      <x:rgbColor rgb="FF00B050"/>
      <x:rgbColor rgb="FF003300"/>
      <x:rgbColor rgb="FF333300"/>
      <x:rgbColor rgb="FF831E32"/>
      <x:rgbColor rgb="FF595959"/>
      <x:rgbColor rgb="FF1F497D"/>
      <x:rgbColor rgb="FF403152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2f5910fadc494f" /><Relationship Type="http://schemas.openxmlformats.org/officeDocument/2006/relationships/theme" Target="/xl/theme/theme1.xml" Id="R3be3486c13c14588" /><Relationship Type="http://schemas.openxmlformats.org/officeDocument/2006/relationships/sharedStrings" Target="/xl/sharedStrings.xml" Id="R6c2dbaaa8461462d" /><Relationship Type="http://schemas.openxmlformats.org/officeDocument/2006/relationships/worksheet" Target="/xl/worksheets/sheet1.xml" Id="R4b6450aca51c433f" /><Relationship Type="http://schemas.openxmlformats.org/officeDocument/2006/relationships/worksheet" Target="/xl/worksheets/sheet2.xml" Id="R9ee02a9f50bd46ae" /><Relationship Type="http://schemas.openxmlformats.org/officeDocument/2006/relationships/worksheet" Target="/xl/worksheets/sheet3.xml" Id="R235245ee5b0448c6" /><Relationship Type="http://schemas.openxmlformats.org/officeDocument/2006/relationships/worksheet" Target="/xl/worksheets/sheet4.xml" Id="R193d082e052c4a04" /><Relationship Type="http://schemas.openxmlformats.org/officeDocument/2006/relationships/worksheet" Target="/xl/worksheets/sheet5.xml" Id="R1f17c60362174da1" /><Relationship Type="http://schemas.openxmlformats.org/officeDocument/2006/relationships/worksheet" Target="/xl/worksheets/sheet6.xml" Id="R7ee65dc848534fa6" /><Relationship Type="http://schemas.openxmlformats.org/officeDocument/2006/relationships/worksheet" Target="/xl/worksheets/sheet7.xml" Id="Rdfbbc92901924fec" /><Relationship Type="http://schemas.openxmlformats.org/officeDocument/2006/relationships/worksheet" Target="/xl/worksheets/sheet8.xml" Id="R80f74d4c62f5422e" /><Relationship Type="http://schemas.openxmlformats.org/officeDocument/2006/relationships/worksheet" Target="/xl/worksheets/sheet9.xml" Id="R2376f208eb4c4061" /><Relationship Type="http://schemas.openxmlformats.org/officeDocument/2006/relationships/worksheet" Target="/xl/worksheets/sheet10.xml" Id="R34ad4a7a8e5d475d" /><Relationship Type="http://schemas.openxmlformats.org/officeDocument/2006/relationships/worksheet" Target="/xl/worksheets/sheet11.xml" Id="R075bd2e8256e4096" /><Relationship Type="http://schemas.microsoft.com/office/2017/10/relationships/person" Target="/xl/persons/person.xml" Id="Rc112ed11d07c452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f5c873bca13c4c0b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e3e9b70859c94099" /></Relationships>
</file>

<file path=xl/drawings/drawing1.xml><?xml version="1.0" encoding="utf-8"?>
<xdr:wsDr xmlns:xdr="http://schemas.openxmlformats.org/drawingml/2006/spreadsheetDrawing">
  <xdr:twoCellAnchor editAs="oneCell">
    <xdr:from>
      <xdr:col>1</xdr:col>
      <xdr:colOff>325080</xdr:colOff>
      <xdr:row>0</xdr:row>
      <xdr:rowOff>0</xdr:rowOff>
    </xdr:from>
    <xdr:to>
      <xdr:col>1</xdr:col>
      <xdr:colOff>1705680</xdr:colOff>
      <xdr:row>4</xdr:row>
      <xdr:rowOff>85320</xdr:rowOff>
    </xdr:to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5c873bca13c4c0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2.xml><?xml version="1.0" encoding="utf-8"?>
<xdr:wsDr xmlns:xdr="http://schemas.openxmlformats.org/drawingml/2006/spreadsheetDrawing">
  <xdr:twoCellAnchor editAs="oneCell">
    <xdr:from>
      <xdr:col>1</xdr:col>
      <xdr:colOff>324000</xdr:colOff>
      <xdr:row>0</xdr:row>
      <xdr:rowOff>0</xdr:rowOff>
    </xdr:from>
    <xdr:to>
      <xdr:col>1</xdr:col>
      <xdr:colOff>1704600</xdr:colOff>
      <xdr:row>4</xdr:row>
      <xdr:rowOff>85320</xdr:rowOff>
    </xdr:to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3e9b70859c9409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persons/person.xml><?xml version="1.0" encoding="utf-8"?>
<xltc:personList xmlns:xltc="http://schemas.microsoft.com/office/spreadsheetml/2018/threadedcomments">
  <xltc:person displayName="Unknown Author" id="{72C14078-2B3C-012C-75D8-348E525AABB3}"/>
</xltc:personList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1.xml" Id="Rdbecea0f8c21444f" /><Relationship Type="http://schemas.openxmlformats.org/officeDocument/2006/relationships/vmlDrawing" Target="/xl/drawings/vmldrawing.vml" Id="Rb9b47b44719c49d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1.xml" Id="R9a769820254641b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2.xml" Id="R531eb2807d354072" /></Relationships>
</file>

<file path=xl/worksheets/sheet1.xml><?xml version="1.0" encoding="utf-8"?>
<x:worksheet xmlns:x="http://schemas.openxmlformats.org/spreadsheetml/2006/main">
  <x:sheetFormatPr defaultColWidth="8.7109375" defaultRowHeight="15"/>
  <x:cols>
    <x:col min="1" max="1" width="21.7109375" customWidth="1"/>
    <x:col min="2" max="2" width="27.85546875" customWidth="1"/>
    <x:col min="3" max="22" width="12" customWidth="1"/>
  </x:cols>
  <x:sheetData>
    <x:row r="1" ht="17.25" customHeight="1">
      <x:c r="A1" s="205" t="s">
        <x:v>0</x:v>
      </x:c>
      <x:c r="B1" s="205"/>
      <x:c r="C1" s="205"/>
      <x:c r="D1" s="205"/>
      <x:c r="E1" s="205"/>
      <x:c r="F1" s="205"/>
      <x:c r="G1" s="205"/>
      <x:c r="H1" s="205"/>
    </x:row>
    <x:row r="2">
      <x:c r="A2" s="206" t="s">
        <x:v>1</x:v>
      </x:c>
      <x:c r="B2" s="206"/>
      <x:c r="C2" s="206"/>
      <x:c r="D2" s="206"/>
      <x:c r="E2" s="206"/>
      <x:c r="F2" s="206"/>
      <x:c r="G2" s="206"/>
      <x:c r="H2" s="206"/>
    </x:row>
    <x:row r="4">
      <x:c r="A4" s="5" t="s">
        <x:v>2</x:v>
      </x:c>
      <x:c r="B4" s="6" t="str">
        <x:f>SETUP!D3</x:f>
        <x:v>IT 101</x:v>
      </x:c>
    </x:row>
    <x:row r="5">
      <x:c r="A5" s="5" t="s">
        <x:v>3</x:v>
      </x:c>
      <x:c r="B5" s="6" t="str">
        <x:f>SETUP!B3</x:f>
        <x:v>Introduction to Computing</x:v>
      </x:c>
    </x:row>
    <x:row r="6">
      <x:c r="A6" s="5" t="s">
        <x:v>4</x:v>
      </x:c>
      <x:c r="B6" s="6" t="str">
        <x:f>SETUP!B4</x:f>
        <x:v>BSIT - 1A</x:v>
      </x:c>
    </x:row>
    <x:row r="7">
      <x:c r="A7" s="5" t="s">
        <x:v>5</x:v>
      </x:c>
      <x:c r="B7" s="6" t="str">
        <x:f>SETUP!B5</x:f>
        <x:v>Sample: Prof. Juan Dela Cruz</x:v>
      </x:c>
    </x:row>
    <x:row r="8">
      <x:c r="A8" s="5" t="s">
        <x:v>6</x:v>
      </x:c>
      <x:c r="B8" s="6" t="str">
        <x:f>SETUP!D4</x:f>
        <x:v>1st Sem, AY 2026-2027</x:v>
      </x:c>
    </x:row>
    <x:row r="9">
      <x:c r="A9" s="5" t="s">
        <x:v>7</x:v>
      </x:c>
      <x:c r="B9" s="6" t="str">
        <x:f>GRADES!F6&amp;"-"&amp;GRADES!G6</x:f>
        <x:v>60-40</x:v>
      </x:c>
    </x:row>
    <x:row r="10">
      <x:c r="A10" s="5" t="s">
        <x:v>8</x:v>
      </x:c>
      <x:c r="B10" s="7">
        <x:v>0.7</x:v>
      </x:c>
    </x:row>
    <x:row r="11">
      <x:c r="A11" s="5" t="s">
        <x:v>9</x:v>
      </x:c>
      <x:c r="B11" s="8" t="str">
        <x:f>SETUP!D5</x:f>
        <x:v>BSIT</x:v>
      </x:c>
    </x:row>
    <x:row r="13" ht="39" customHeight="1">
      <x:c r="A13" s="9" t="s">
        <x:v>10</x:v>
      </x:c>
      <x:c r="B13" s="9" t="s">
        <x:v>11</x:v>
      </x:c>
      <x:c r="C13" s="9" t="s">
        <x:v>12</x:v>
      </x:c>
      <x:c r="D13" s="9" t="s">
        <x:v>13</x:v>
      </x:c>
      <x:c r="E13" s="9" t="s">
        <x:v>14</x:v>
      </x:c>
      <x:c r="F13" s="9" t="s">
        <x:v>15</x:v>
      </x:c>
    </x:row>
    <x:row r="14">
      <x:c r="A14" s="10" t="s">
        <x:v>16</x:v>
      </x:c>
      <x:c r="B14" s="11" t="n">
        <x:f>IF('Direct CLO'!I72=0,"",'Direct CLO'!I72)</x:f>
        <x:v>79.77777777777779</x:v>
      </x:c>
      <x:c r="C14" s="11" t="n">
        <x:f>'Indirect CLO'!C73</x:f>
        <x:v>52</x:v>
      </x:c>
      <x:c r="D14" s="11" t="n">
        <x:f>IFERROR((B14*0.7)+(C14*0.3),"")</x:f>
        <x:v>71.44444444444444</x:v>
      </x:c>
      <x:c r="E14" s="12" t="str">
        <x:f>IF(D14&lt;&gt;"",IF(D14&gt;=$B$10*100,"MET","NOT MET"),"")</x:f>
        <x:v>MET</x:v>
      </x:c>
      <x:c r="F14" s="12" t="str">
        <x:f>IF(E14&lt;&gt;"",IF(D14&gt;=85,"Exceptional",IF(D14&gt;=70,"Proficient",IF(D14&gt;=60,"Basic","Below Basic"))),"")</x:f>
        <x:v>Proficient</x:v>
      </x:c>
    </x:row>
    <x:row r="15">
      <x:c r="A15" s="10" t="s">
        <x:v>17</x:v>
      </x:c>
      <x:c r="B15" s="11" t="n">
        <x:f>IF('Direct CLO'!P72=0,"",'Direct CLO'!P72)</x:f>
        <x:v>76.44444444444444</x:v>
      </x:c>
      <x:c r="C15" s="11" t="n">
        <x:f>'Indirect CLO'!E73</x:f>
        <x:v>59.333333333333336</x:v>
      </x:c>
      <x:c r="D15" s="11" t="n">
        <x:f>IFERROR((B15*0.7)+(C15*0.3),"")</x:f>
        <x:v>71.3111111111111</x:v>
      </x:c>
      <x:c r="E15" s="12" t="str">
        <x:f>IF(D15&lt;&gt;"",IF(D15&gt;=$B$10*100,"MET","NOT MET"),"")</x:f>
        <x:v>MET</x:v>
      </x:c>
      <x:c r="F15" s="12" t="str">
        <x:f>IF(E15&lt;&gt;"",IF(D15&gt;=85,"Exceptional",IF(D15&gt;=70,"Proficient",IF(D15&gt;=60,"Basic","Below Basic"))),"")</x:f>
        <x:v>Proficient</x:v>
      </x:c>
    </x:row>
    <x:row r="16">
      <x:c r="A16" s="10" t="s">
        <x:v>18</x:v>
      </x:c>
      <x:c r="B16" s="11" t="n">
        <x:f>IF('Direct CLO'!W72=0,"",'Direct CLO'!W72)</x:f>
        <x:v>82.71544715447155</x:v>
      </x:c>
      <x:c r="C16" s="11" t="n">
        <x:f>'Indirect CLO'!G73</x:f>
        <x:v>52.666666666666664</x:v>
      </x:c>
      <x:c r="D16" s="11" t="n">
        <x:f>IFERROR((B16*0.7)+(C16*0.3),"")</x:f>
        <x:v>73.70081300813008</x:v>
      </x:c>
      <x:c r="E16" s="12" t="str">
        <x:f>IF(D16&lt;&gt;"",IF(D16&gt;=$B$10*100,"MET","NOT MET"),"")</x:f>
        <x:v>MET</x:v>
      </x:c>
      <x:c r="F16" s="12" t="str">
        <x:f>IF(E16&lt;&gt;"",IF(D16&gt;=85,"Exceptional",IF(D16&gt;=70,"Proficient",IF(D16&gt;=60,"Basic","Below Basic"))),"")</x:f>
        <x:v>Proficient</x:v>
      </x:c>
    </x:row>
    <x:row r="17">
      <x:c r="A17" s="10" t="s">
        <x:v>19</x:v>
      </x:c>
      <x:c r="B17" s="11" t="n">
        <x:f>IF('Direct CLO'!AD72=0,"",'Direct CLO'!AD72)</x:f>
        <x:v>77.85185185185188</x:v>
      </x:c>
      <x:c r="C17" s="11" t="n">
        <x:f>'Indirect CLO'!I73</x:f>
        <x:v>57.333333333333336</x:v>
      </x:c>
      <x:c r="D17" s="11" t="n">
        <x:f>IFERROR((B17*0.7)+(C17*0.3),"")</x:f>
        <x:v>71.69629629629631</x:v>
      </x:c>
      <x:c r="E17" s="12" t="str">
        <x:f>IF(D17&lt;&gt;"",IF(D17&gt;=$B$10*100,"MET","NOT MET"),"")</x:f>
        <x:v>MET</x:v>
      </x:c>
      <x:c r="F17" s="12" t="str">
        <x:f>IF(E17&lt;&gt;"",IF(D17&gt;=85,"Exceptional",IF(D17&gt;=70,"Proficient",IF(D17&gt;=60,"Basic","Below Basic"))),"")</x:f>
        <x:v>Proficient</x:v>
      </x:c>
    </x:row>
    <x:row r="18">
      <x:c r="A18" s="10" t="s">
        <x:v>20</x:v>
      </x:c>
      <x:c r="B18" s="11" t="n">
        <x:f>IF('Direct CLO'!AK72=0,"",'Direct CLO'!AK72)</x:f>
        <x:v>80.79999999999998</x:v>
      </x:c>
      <x:c r="C18" s="11" t="n">
        <x:f>'Indirect CLO'!K73</x:f>
        <x:v>51.33333333333334</x:v>
      </x:c>
      <x:c r="D18" s="11" t="n">
        <x:f>IFERROR((B18*0.7)+(C18*0.3),"")</x:f>
        <x:v>71.95999999999998</x:v>
      </x:c>
      <x:c r="E18" s="12" t="str">
        <x:f>IF(D18&lt;&gt;"",IF(D18&gt;=$B$10*100,"MET","NOT MET"),"")</x:f>
        <x:v>MET</x:v>
      </x:c>
      <x:c r="F18" s="12" t="str">
        <x:f>IF(E18&lt;&gt;"",IF(D18&gt;=85,"Exceptional",IF(D18&gt;=70,"Proficient",IF(D18&gt;=60,"Basic","Below Basic"))),"")</x:f>
        <x:v>Proficient</x:v>
      </x:c>
    </x:row>
    <x:row r="19">
      <x:c r="A19" s="13" t="s">
        <x:v>21</x:v>
      </x:c>
      <x:c r="B19" s="14" t="n">
        <x:f>AVERAGE(B14:B18)</x:f>
        <x:v>79.51790424570913</x:v>
      </x:c>
      <x:c r="C19" s="14" t="n">
        <x:f>AVERAGE(C14:C18)</x:f>
        <x:v>54.53333333333334</x:v>
      </x:c>
      <x:c r="D19" s="14" t="n">
        <x:f>AVERAGE(D14:D18)</x:f>
        <x:v>72.02253297199637</x:v>
      </x:c>
    </x:row>
    <x:row r="22" ht="17.25" customHeight="1">
      <x:c r="A22" s="205" t="s">
        <x:v>22</x:v>
      </x:c>
      <x:c r="B22" s="205"/>
      <x:c r="C22" s="205"/>
      <x:c r="D22" s="205"/>
      <x:c r="E22" s="205"/>
      <x:c r="F22" s="205"/>
      <x:c r="G22" s="205"/>
      <x:c r="H22" s="205"/>
    </x:row>
    <x:row r="23">
      <x:c r="A23" s="206" t="s">
        <x:v>23</x:v>
      </x:c>
      <x:c r="B23" s="206"/>
      <x:c r="C23" s="206"/>
      <x:c r="D23" s="206"/>
      <x:c r="E23" s="206"/>
      <x:c r="F23" s="206"/>
      <x:c r="G23" s="206"/>
      <x:c r="H23" s="206"/>
    </x:row>
    <x:row r="24" ht="15" customHeight="1">
      <x:c r="C24" s="204" t="s">
        <x:v>16</x:v>
      </x:c>
      <x:c r="D24" s="204"/>
      <x:c r="E24" s="204"/>
      <x:c r="F24" s="204"/>
      <x:c r="G24" s="204" t="s">
        <x:v>17</x:v>
      </x:c>
      <x:c r="H24" s="204"/>
      <x:c r="I24" s="204"/>
      <x:c r="J24" s="204"/>
      <x:c r="K24" s="204" t="s">
        <x:v>18</x:v>
      </x:c>
      <x:c r="L24" s="204"/>
      <x:c r="M24" s="204"/>
      <x:c r="N24" s="204"/>
      <x:c r="O24" s="204" t="s">
        <x:v>19</x:v>
      </x:c>
      <x:c r="P24" s="204"/>
      <x:c r="Q24" s="204"/>
      <x:c r="R24" s="204"/>
      <x:c r="S24" s="204" t="s">
        <x:v>20</x:v>
      </x:c>
      <x:c r="T24" s="204"/>
      <x:c r="U24" s="204"/>
      <x:c r="V24" s="204"/>
    </x:row>
    <x:row r="25" ht="26.25" customHeight="1">
      <x:c r="A25" s="9" t="s">
        <x:v>24</x:v>
      </x:c>
      <x:c r="B25" s="9" t="s">
        <x:v>25</x:v>
      </x:c>
      <x:c r="C25" s="15" t="s">
        <x:v>26</x:v>
      </x:c>
      <x:c r="D25" s="15" t="s">
        <x:v>27</x:v>
      </x:c>
      <x:c r="E25" s="15" t="s">
        <x:v>28</x:v>
      </x:c>
      <x:c r="F25" s="15" t="s">
        <x:v>29</x:v>
      </x:c>
      <x:c r="G25" s="15" t="s">
        <x:v>26</x:v>
      </x:c>
      <x:c r="H25" s="15" t="s">
        <x:v>27</x:v>
      </x:c>
      <x:c r="I25" s="15" t="s">
        <x:v>28</x:v>
      </x:c>
      <x:c r="J25" s="15" t="s">
        <x:v>29</x:v>
      </x:c>
      <x:c r="K25" s="15" t="s">
        <x:v>26</x:v>
      </x:c>
      <x:c r="L25" s="15" t="s">
        <x:v>27</x:v>
      </x:c>
      <x:c r="M25" s="15" t="s">
        <x:v>28</x:v>
      </x:c>
      <x:c r="N25" s="15" t="s">
        <x:v>29</x:v>
      </x:c>
      <x:c r="O25" s="15" t="s">
        <x:v>26</x:v>
      </x:c>
      <x:c r="P25" s="15" t="s">
        <x:v>27</x:v>
      </x:c>
      <x:c r="Q25" s="15" t="s">
        <x:v>28</x:v>
      </x:c>
      <x:c r="R25" s="15" t="s">
        <x:v>29</x:v>
      </x:c>
      <x:c r="S25" s="15" t="s">
        <x:v>26</x:v>
      </x:c>
      <x:c r="T25" s="15" t="s">
        <x:v>27</x:v>
      </x:c>
      <x:c r="U25" s="15" t="s">
        <x:v>28</x:v>
      </x:c>
      <x:c r="V25" s="15" t="s">
        <x:v>29</x:v>
      </x:c>
    </x:row>
    <x:row r="26">
      <x:c r="A26" s="16" t="str">
        <x:f>IF(RECORD!B14="","",RECORD!B14)</x:f>
        <x:v>2024-00123</x:v>
      </x:c>
      <x:c r="B26" s="16" t="str">
        <x:f>IF(RECORD!C14="","",RECORD!C14)</x:f>
        <x:v>Castillo, Danica C.</x:v>
      </x:c>
      <x:c r="C26" s="11" t="n">
        <x:f>'Direct CLO'!I5</x:f>
        <x:v>40.95238095238095</x:v>
      </x:c>
      <x:c r="D26" s="11" t="n">
        <x:f>'Indirect CLO'!D5</x:f>
        <x:v>60</x:v>
      </x:c>
      <x:c r="E26" s="11" t="n">
        <x:f t="shared" ref="E26:E57" si="0">IFERROR((C26*0.7)+(D26*0.3),"")</x:f>
        <x:v>46.66666666666666</x:v>
      </x:c>
      <x:c r="F26" s="12" t="str">
        <x:f t="shared" ref="F26:F57" si="1">IF(A26&lt;&gt;"",IF(E26&lt;70,"AT-RISK","OK"),"")</x:f>
        <x:v>AT-RISK</x:v>
      </x:c>
      <x:c r="G26" s="11" t="n">
        <x:f>'Direct CLO'!P5</x:f>
        <x:v>29.629629629629626</x:v>
      </x:c>
      <x:c r="H26" s="11" t="n">
        <x:f>'Indirect CLO'!F5</x:f>
        <x:v>60</x:v>
      </x:c>
      <x:c r="I26" s="11" t="n">
        <x:f t="shared" ref="I26:I57" si="2">IFERROR((G26*0.7)+(H26*0.3),"")</x:f>
        <x:v>38.74074074074073</x:v>
      </x:c>
      <x:c r="J26" s="12" t="str">
        <x:f t="shared" ref="J26:J57" si="3">IF(A26&lt;&gt;"",IF(I26&lt;70,"AT-RISK","OK"),"")</x:f>
        <x:v>AT-RISK</x:v>
      </x:c>
      <x:c r="K26" s="11" t="n">
        <x:f>'Direct CLO'!W5</x:f>
        <x:v>41.46341463414634</x:v>
      </x:c>
      <x:c r="L26" s="11" t="n">
        <x:f>'Indirect CLO'!H5</x:f>
        <x:v>60</x:v>
      </x:c>
      <x:c r="M26" s="11" t="n">
        <x:f t="shared" ref="M26:M57" si="4">IFERROR((K26*0.7)+(L26*0.3),"")</x:f>
        <x:v>47.02439024390243</x:v>
      </x:c>
      <x:c r="N26" s="12" t="str">
        <x:f t="shared" ref="N26:N57" si="5">IF(A26&lt;&gt;"",IF(M26&lt;70,"AT-RISK","OK"),"")</x:f>
        <x:v>AT-RISK</x:v>
      </x:c>
      <x:c r="O26" s="11" t="n">
        <x:f>'Direct CLO'!AD5</x:f>
        <x:v>44.44444444444444</x:v>
      </x:c>
      <x:c r="P26" s="11" t="n">
        <x:f>'Indirect CLO'!J5</x:f>
        <x:v>20</x:v>
      </x:c>
      <x:c r="Q26" s="11" t="n">
        <x:f t="shared" ref="Q26:Q57" si="6">IFERROR((O26*0.7)+(P26*0.3),"")</x:f>
        <x:v>37.11111111111111</x:v>
      </x:c>
      <x:c r="R26" s="12" t="str">
        <x:f t="shared" ref="R26:R57" si="7">IF(A26&lt;&gt;"",IF(Q26&lt;70,"AT-RISK","OK"),"")</x:f>
        <x:v>AT-RISK</x:v>
      </x:c>
      <x:c r="S26" s="11" t="n">
        <x:f>'Direct CLO'!AK5</x:f>
        <x:v>41.333333333333336</x:v>
      </x:c>
      <x:c r="T26" s="11" t="n">
        <x:f>'Indirect CLO'!L5</x:f>
        <x:v>20</x:v>
      </x:c>
      <x:c r="U26" s="11" t="n">
        <x:f t="shared" ref="U26:U57" si="8">IFERROR((S26*0.7)+(T26*0.3),"")</x:f>
        <x:v>34.93333333333334</x:v>
      </x:c>
      <x:c r="V26" s="12" t="str">
        <x:f t="shared" ref="V26:V57" si="9">IF(A26&lt;&gt;"",IF(U26&lt;70,"AT-RISK","OK"),"")</x:f>
        <x:v>AT-RISK</x:v>
      </x:c>
    </x:row>
    <x:row r="27">
      <x:c r="A27" s="16" t="str">
        <x:f>IF(RECORD!B15="","",RECORD!B15)</x:f>
        <x:v>2024-00145</x:v>
      </x:c>
      <x:c r="B27" s="16" t="str">
        <x:f>IF(RECORD!C15="","",RECORD!C15)</x:f>
        <x:v>Soriano, Kyle G.</x:v>
      </x:c>
      <x:c r="C27" s="11" t="n">
        <x:f>'Direct CLO'!I6</x:f>
        <x:v>87.61904761904762</x:v>
      </x:c>
      <x:c r="D27" s="11" t="n">
        <x:f>'Indirect CLO'!D6</x:f>
        <x:v>80</x:v>
      </x:c>
      <x:c r="E27" s="11">
        <x:f t="shared" si="0"/>
        <x:v>85.333333333333329</x:v>
      </x:c>
      <x:c r="F27" s="12" t="str">
        <x:f t="shared" si="1"/>
        <x:v>OK</x:v>
      </x:c>
      <x:c r="G27" s="11" t="n">
        <x:f>'Direct CLO'!P6</x:f>
        <x:v>81.48148148148148</x:v>
      </x:c>
      <x:c r="H27" s="11" t="n">
        <x:f>'Indirect CLO'!F6</x:f>
        <x:v>60</x:v>
      </x:c>
      <x:c r="I27" s="11">
        <x:f t="shared" si="2"/>
        <x:v>75.037037037037038</x:v>
      </x:c>
      <x:c r="J27" s="12" t="str">
        <x:f t="shared" si="3"/>
        <x:v>OK</x:v>
      </x:c>
      <x:c r="K27" s="11" t="n">
        <x:f>'Direct CLO'!W6</x:f>
        <x:v>85.36585365853658</x:v>
      </x:c>
      <x:c r="L27" s="11" t="n">
        <x:f>'Indirect CLO'!H6</x:f>
        <x:v>100</x:v>
      </x:c>
      <x:c r="M27" s="11">
        <x:f t="shared" si="4"/>
        <x:v>89.756097560975604</x:v>
      </x:c>
      <x:c r="N27" s="12" t="str">
        <x:f t="shared" si="5"/>
        <x:v>OK</x:v>
      </x:c>
      <x:c r="O27" s="11" t="n">
        <x:f>'Direct CLO'!AD6</x:f>
        <x:v>88.88888888888889</x:v>
      </x:c>
      <x:c r="P27" s="11" t="n">
        <x:f>'Indirect CLO'!J6</x:f>
        <x:v>60</x:v>
      </x:c>
      <x:c r="Q27" s="11">
        <x:f t="shared" si="6"/>
        <x:v>80.222222222222214</x:v>
      </x:c>
      <x:c r="R27" s="12" t="str">
        <x:f t="shared" si="7"/>
        <x:v>OK</x:v>
      </x:c>
      <x:c r="S27" s="11" t="n">
        <x:f>'Direct CLO'!AK6</x:f>
        <x:v>93.33333333333333</x:v>
      </x:c>
      <x:c r="T27" s="11" t="n">
        <x:f>'Indirect CLO'!L6</x:f>
        <x:v>100</x:v>
      </x:c>
      <x:c r="U27" s="11">
        <x:f t="shared" si="8"/>
        <x:v>95.333333333333329</x:v>
      </x:c>
      <x:c r="V27" s="12" t="str">
        <x:f t="shared" si="9"/>
        <x:v>OK</x:v>
      </x:c>
    </x:row>
    <x:row r="28">
      <x:c r="A28" s="16" t="str">
        <x:f>IF(RECORD!B16="","",RECORD!B16)</x:f>
        <x:v>2024-00167</x:v>
      </x:c>
      <x:c r="B28" s="16" t="str">
        <x:f>IF(RECORD!C16="","",RECORD!C16)</x:f>
        <x:v>Santiago, Frances J.</x:v>
      </x:c>
      <x:c r="C28" s="11" t="n">
        <x:f>'Direct CLO'!I7</x:f>
        <x:v>86.66666666666667</x:v>
      </x:c>
      <x:c r="D28" s="11" t="n">
        <x:f>'Indirect CLO'!D7</x:f>
        <x:v>100</x:v>
      </x:c>
      <x:c r="E28" s="11">
        <x:f t="shared" si="0"/>
        <x:v>90.666666666666657</x:v>
      </x:c>
      <x:c r="F28" s="12" t="str">
        <x:f t="shared" si="1"/>
        <x:v>OK</x:v>
      </x:c>
      <x:c r="G28" s="11" t="n">
        <x:f>'Direct CLO'!P7</x:f>
        <x:v>81.48148148148148</x:v>
      </x:c>
      <x:c r="H28" s="11" t="n">
        <x:f>'Indirect CLO'!F7</x:f>
        <x:v>60</x:v>
      </x:c>
      <x:c r="I28" s="11">
        <x:f t="shared" si="2"/>
        <x:v>75.037037037037038</x:v>
      </x:c>
      <x:c r="J28" s="12" t="str">
        <x:f t="shared" si="3"/>
        <x:v>OK</x:v>
      </x:c>
      <x:c r="K28" s="11" t="n">
        <x:f>'Direct CLO'!W7</x:f>
        <x:v>97.5609756097561</x:v>
      </x:c>
      <x:c r="L28" s="11" t="n">
        <x:f>'Indirect CLO'!H7</x:f>
        <x:v>60</x:v>
      </x:c>
      <x:c r="M28" s="11">
        <x:f t="shared" si="4"/>
        <x:v>86.292682926829258</x:v>
      </x:c>
      <x:c r="N28" s="12" t="str">
        <x:f t="shared" si="5"/>
        <x:v>OK</x:v>
      </x:c>
      <x:c r="O28" s="11" t="n">
        <x:f>'Direct CLO'!AD7</x:f>
        <x:v>88.88888888888889</x:v>
      </x:c>
      <x:c r="P28" s="11" t="n">
        <x:f>'Indirect CLO'!J7</x:f>
        <x:v>60</x:v>
      </x:c>
      <x:c r="Q28" s="11">
        <x:f t="shared" si="6"/>
        <x:v>80.222222222222214</x:v>
      </x:c>
      <x:c r="R28" s="12" t="str">
        <x:f t="shared" si="7"/>
        <x:v>OK</x:v>
      </x:c>
      <x:c r="S28" s="11" t="n">
        <x:f>'Direct CLO'!AK7</x:f>
        <x:v>93.33333333333333</x:v>
      </x:c>
      <x:c r="T28" s="11" t="n">
        <x:f>'Indirect CLO'!L7</x:f>
        <x:v>80</x:v>
      </x:c>
      <x:c r="U28" s="11">
        <x:f t="shared" si="8"/>
        <x:v>89.333333333333329</x:v>
      </x:c>
      <x:c r="V28" s="12" t="str">
        <x:f t="shared" si="9"/>
        <x:v>OK</x:v>
      </x:c>
    </x:row>
    <x:row r="29">
      <x:c r="A29" s="16" t="str">
        <x:f>IF(RECORD!B17="","",RECORD!B17)</x:f>
        <x:v>2024-00189</x:v>
      </x:c>
      <x:c r="B29" s="16" t="str">
        <x:f>IF(RECORD!C17="","",RECORD!C17)</x:f>
        <x:v>Dizon, Zoe D.</x:v>
      </x:c>
      <x:c r="C29" s="11" t="n">
        <x:f>'Direct CLO'!I8</x:f>
        <x:v>86.66666666666667</x:v>
      </x:c>
      <x:c r="D29" s="11" t="n">
        <x:f>'Indirect CLO'!D8</x:f>
        <x:v>80</x:v>
      </x:c>
      <x:c r="E29" s="11">
        <x:f t="shared" si="0"/>
        <x:v>84.666666666666657</x:v>
      </x:c>
      <x:c r="F29" s="12" t="str">
        <x:f t="shared" si="1"/>
        <x:v>OK</x:v>
      </x:c>
      <x:c r="G29" s="11" t="n">
        <x:f>'Direct CLO'!P8</x:f>
        <x:v>81.48148148148148</x:v>
      </x:c>
      <x:c r="H29" s="11" t="n">
        <x:f>'Indirect CLO'!F8</x:f>
        <x:v>100</x:v>
      </x:c>
      <x:c r="I29" s="11">
        <x:f t="shared" si="2"/>
        <x:v>87.037037037037038</x:v>
      </x:c>
      <x:c r="J29" s="12" t="str">
        <x:f t="shared" si="3"/>
        <x:v>OK</x:v>
      </x:c>
      <x:c r="K29" s="11" t="n">
        <x:f>'Direct CLO'!W8</x:f>
        <x:v>99.02439024390245</x:v>
      </x:c>
      <x:c r="L29" s="11" t="n">
        <x:f>'Indirect CLO'!H8</x:f>
        <x:v>100</x:v>
      </x:c>
      <x:c r="M29" s="11">
        <x:f t="shared" si="4"/>
        <x:v>99.317073170731703</x:v>
      </x:c>
      <x:c r="N29" s="12" t="str">
        <x:f t="shared" si="5"/>
        <x:v>OK</x:v>
      </x:c>
      <x:c r="O29" s="11" t="n">
        <x:f>'Direct CLO'!AD8</x:f>
        <x:v>77.77777777777779</x:v>
      </x:c>
      <x:c r="P29" s="11" t="n">
        <x:f>'Indirect CLO'!J8</x:f>
        <x:v>60</x:v>
      </x:c>
      <x:c r="Q29" s="11">
        <x:f t="shared" si="6"/>
        <x:v>72.444444444444457</x:v>
      </x:c>
      <x:c r="R29" s="12" t="str">
        <x:f t="shared" si="7"/>
        <x:v>OK</x:v>
      </x:c>
      <x:c r="S29" s="11" t="n">
        <x:f>'Direct CLO'!AK8</x:f>
        <x:v>60</x:v>
      </x:c>
      <x:c r="T29" s="11" t="n">
        <x:f>'Indirect CLO'!L8</x:f>
        <x:v>100</x:v>
      </x:c>
      <x:c r="U29" s="11">
        <x:f t="shared" si="8"/>
        <x:v>72</x:v>
      </x:c>
      <x:c r="V29" s="12" t="str">
        <x:f t="shared" si="9"/>
        <x:v>OK</x:v>
      </x:c>
    </x:row>
    <x:row r="30">
      <x:c r="A30" s="16" t="str">
        <x:f>IF(RECORD!B18="","",RECORD!B18)</x:f>
        <x:v>2024-00201</x:v>
      </x:c>
      <x:c r="B30" s="16" t="str">
        <x:f>IF(RECORD!C18="","",RECORD!C18)</x:f>
        <x:v>Pineda, Bianca H.</x:v>
      </x:c>
      <x:c r="C30" s="11" t="n">
        <x:f>'Direct CLO'!I9</x:f>
        <x:v>72.38095238095238</x:v>
      </x:c>
      <x:c r="D30" s="11" t="n">
        <x:f>'Indirect CLO'!D9</x:f>
        <x:v>80</x:v>
      </x:c>
      <x:c r="E30" s="11">
        <x:f t="shared" si="0"/>
        <x:v>74.666666666666657</x:v>
      </x:c>
      <x:c r="F30" s="12" t="str">
        <x:f t="shared" si="1"/>
        <x:v>OK</x:v>
      </x:c>
      <x:c r="G30" s="11" t="n">
        <x:f>'Direct CLO'!P9</x:f>
        <x:v>70.37037037037037</x:v>
      </x:c>
      <x:c r="H30" s="11" t="n">
        <x:f>'Indirect CLO'!F9</x:f>
        <x:v>100</x:v>
      </x:c>
      <x:c r="I30" s="11">
        <x:f t="shared" si="2"/>
        <x:v>79.259259259259252</x:v>
      </x:c>
      <x:c r="J30" s="12" t="str">
        <x:f t="shared" si="3"/>
        <x:v>OK</x:v>
      </x:c>
      <x:c r="K30" s="11" t="n">
        <x:f>'Direct CLO'!W9</x:f>
        <x:v>87.8048780487805</x:v>
      </x:c>
      <x:c r="L30" s="11" t="n">
        <x:f>'Indirect CLO'!H9</x:f>
        <x:v>100</x:v>
      </x:c>
      <x:c r="M30" s="11">
        <x:f t="shared" si="4"/>
        <x:v>91.463414634146346</x:v>
      </x:c>
      <x:c r="N30" s="12" t="str">
        <x:f t="shared" si="5"/>
        <x:v>OK</x:v>
      </x:c>
      <x:c r="O30" s="11" t="n">
        <x:f>'Direct CLO'!AD9</x:f>
        <x:v>64.44444444444444</x:v>
      </x:c>
      <x:c r="P30" s="11" t="n">
        <x:f>'Indirect CLO'!J9</x:f>
        <x:v>80</x:v>
      </x:c>
      <x:c r="Q30" s="11">
        <x:f t="shared" si="6"/>
        <x:v>69.111111111111114</x:v>
      </x:c>
      <x:c r="R30" s="12" t="str">
        <x:f t="shared" si="7"/>
        <x:v>AT-RISK</x:v>
      </x:c>
      <x:c r="S30" s="11" t="n">
        <x:f>'Direct CLO'!AK9</x:f>
        <x:v>57.333333333333336</x:v>
      </x:c>
      <x:c r="T30" s="11" t="n">
        <x:f>'Indirect CLO'!L9</x:f>
        <x:v>100</x:v>
      </x:c>
      <x:c r="U30" s="11">
        <x:f t="shared" si="8"/>
        <x:v>70.133333333333326</x:v>
      </x:c>
      <x:c r="V30" s="12" t="str">
        <x:f t="shared" si="9"/>
        <x:v>OK</x:v>
      </x:c>
    </x:row>
    <x:row r="31">
      <x:c r="A31" s="16" t="str">
        <x:f>IF(RECORD!B19="","",RECORD!B19)</x:f>
        <x:v>2024-00223</x:v>
      </x:c>
      <x:c r="B31" s="16" t="str">
        <x:f>IF(RECORD!C19="","",RECORD!C19)</x:f>
        <x:v>Ramos, Amiel E.</x:v>
      </x:c>
      <x:c r="C31" s="11" t="n">
        <x:f>'Direct CLO'!I10</x:f>
        <x:v>71.42857142857143</x:v>
      </x:c>
      <x:c r="D31" s="11" t="n">
        <x:f>'Indirect CLO'!D10</x:f>
        <x:v>80</x:v>
      </x:c>
      <x:c r="E31" s="11">
        <x:f t="shared" si="0"/>
        <x:v>74</x:v>
      </x:c>
      <x:c r="F31" s="12" t="str">
        <x:f t="shared" si="1"/>
        <x:v>OK</x:v>
      </x:c>
      <x:c r="G31" s="11" t="n">
        <x:f>'Direct CLO'!P10</x:f>
        <x:v>62.96296296296296</x:v>
      </x:c>
      <x:c r="H31" s="11" t="n">
        <x:f>'Indirect CLO'!F10</x:f>
        <x:v>100</x:v>
      </x:c>
      <x:c r="I31" s="11">
        <x:f t="shared" si="2"/>
        <x:v>74.074074074074076</x:v>
      </x:c>
      <x:c r="J31" s="12" t="str">
        <x:f t="shared" si="3"/>
        <x:v>OK</x:v>
      </x:c>
      <x:c r="K31" s="11" t="n">
        <x:f>'Direct CLO'!W10</x:f>
        <x:v>93.17073170731707</x:v>
      </x:c>
      <x:c r="L31" s="11" t="n">
        <x:f>'Indirect CLO'!H10</x:f>
        <x:v>100</x:v>
      </x:c>
      <x:c r="M31" s="11">
        <x:f t="shared" si="4"/>
        <x:v>95.219512195121951</x:v>
      </x:c>
      <x:c r="N31" s="12" t="str">
        <x:f t="shared" si="5"/>
        <x:v>OK</x:v>
      </x:c>
      <x:c r="O31" s="11" t="n">
        <x:f>'Direct CLO'!AD10</x:f>
        <x:v>55.55555555555556</x:v>
      </x:c>
      <x:c r="P31" s="11" t="n">
        <x:f>'Indirect CLO'!J10</x:f>
        <x:v>80</x:v>
      </x:c>
      <x:c r="Q31" s="11">
        <x:f t="shared" si="6"/>
        <x:v>62.888888888888886</x:v>
      </x:c>
      <x:c r="R31" s="12" t="str">
        <x:f t="shared" si="7"/>
        <x:v>AT-RISK</x:v>
      </x:c>
      <x:c r="S31" s="11" t="n">
        <x:f>'Direct CLO'!AK10</x:f>
        <x:v>57.333333333333336</x:v>
      </x:c>
      <x:c r="T31" s="11" t="n">
        <x:f>'Indirect CLO'!L10</x:f>
        <x:v>100</x:v>
      </x:c>
      <x:c r="U31" s="11">
        <x:f t="shared" si="8"/>
        <x:v>70.133333333333326</x:v>
      </x:c>
      <x:c r="V31" s="12" t="str">
        <x:f t="shared" si="9"/>
        <x:v>OK</x:v>
      </x:c>
    </x:row>
    <x:row r="32">
      <x:c r="A32" s="16" t="str">
        <x:f>IF(RECORD!B20="","",RECORD!B20)</x:f>
        <x:v>2024-00245</x:v>
      </x:c>
      <x:c r="B32" s="16" t="str">
        <x:f>IF(RECORD!C20="","",RECORD!C20)</x:f>
        <x:v>Del Rosario, Beatrice F.</x:v>
      </x:c>
      <x:c r="C32" s="11" t="n">
        <x:f>'Direct CLO'!I11</x:f>
        <x:v>71.42857142857143</x:v>
      </x:c>
      <x:c r="D32" s="11" t="n">
        <x:f>'Indirect CLO'!D11</x:f>
        <x:v>80</x:v>
      </x:c>
      <x:c r="E32" s="11">
        <x:f t="shared" si="0"/>
        <x:v>74</x:v>
      </x:c>
      <x:c r="F32" s="12" t="str">
        <x:f t="shared" si="1"/>
        <x:v>OK</x:v>
      </x:c>
      <x:c r="G32" s="11" t="n">
        <x:f>'Direct CLO'!P11</x:f>
        <x:v>62.96296296296296</x:v>
      </x:c>
      <x:c r="H32" s="11" t="n">
        <x:f>'Indirect CLO'!F11</x:f>
        <x:v>100</x:v>
      </x:c>
      <x:c r="I32" s="11">
        <x:f t="shared" si="2"/>
        <x:v>74.074074074074076</x:v>
      </x:c>
      <x:c r="J32" s="12" t="str">
        <x:f t="shared" si="3"/>
        <x:v>OK</x:v>
      </x:c>
      <x:c r="K32" s="11" t="n">
        <x:f>'Direct CLO'!W11</x:f>
        <x:v>70.73170731707317</x:v>
      </x:c>
      <x:c r="L32" s="11" t="n">
        <x:f>'Indirect CLO'!H11</x:f>
        <x:v>100</x:v>
      </x:c>
      <x:c r="M32" s="11">
        <x:f t="shared" si="4"/>
        <x:v>79.512195121951208</x:v>
      </x:c>
      <x:c r="N32" s="12" t="str">
        <x:f t="shared" si="5"/>
        <x:v>OK</x:v>
      </x:c>
      <x:c r="O32" s="11" t="n">
        <x:f>'Direct CLO'!AD11</x:f>
        <x:v>55.55555555555556</x:v>
      </x:c>
      <x:c r="P32" s="11" t="n">
        <x:f>'Indirect CLO'!J11</x:f>
        <x:v>80</x:v>
      </x:c>
      <x:c r="Q32" s="11">
        <x:f t="shared" si="6"/>
        <x:v>62.888888888888886</x:v>
      </x:c>
      <x:c r="R32" s="12" t="str">
        <x:f t="shared" si="7"/>
        <x:v>AT-RISK</x:v>
      </x:c>
      <x:c r="S32" s="11" t="n">
        <x:f>'Direct CLO'!AK11</x:f>
        <x:v>57.333333333333336</x:v>
      </x:c>
      <x:c r="T32" s="11" t="n">
        <x:f>'Indirect CLO'!L11</x:f>
        <x:v>100</x:v>
      </x:c>
      <x:c r="U32" s="11">
        <x:f t="shared" si="8"/>
        <x:v>70.133333333333326</x:v>
      </x:c>
      <x:c r="V32" s="12" t="str">
        <x:f t="shared" si="9"/>
        <x:v>OK</x:v>
      </x:c>
    </x:row>
    <x:row r="33">
      <x:c r="A33" s="16" t="str">
        <x:f>IF(RECORD!B21="","",RECORD!B21)</x:f>
        <x:v>2024-00267</x:v>
      </x:c>
      <x:c r="B33" s="16" t="str">
        <x:f>IF(RECORD!C21="","",RECORD!C21)</x:f>
        <x:v>Rosales, Vanessa A.</x:v>
      </x:c>
      <x:c r="C33" s="11" t="n">
        <x:f>'Direct CLO'!I12</x:f>
        <x:v>71.42857142857143</x:v>
      </x:c>
      <x:c r="D33" s="11" t="n">
        <x:f>'Indirect CLO'!D12</x:f>
        <x:v>80</x:v>
      </x:c>
      <x:c r="E33" s="11">
        <x:f t="shared" si="0"/>
        <x:v>74</x:v>
      </x:c>
      <x:c r="F33" s="12" t="str">
        <x:f t="shared" si="1"/>
        <x:v>OK</x:v>
      </x:c>
      <x:c r="G33" s="11" t="n">
        <x:f>'Direct CLO'!P12</x:f>
        <x:v>62.96296296296296</x:v>
      </x:c>
      <x:c r="H33" s="11" t="n">
        <x:f>'Indirect CLO'!F12</x:f>
        <x:v>100</x:v>
      </x:c>
      <x:c r="I33" s="11">
        <x:f t="shared" si="2"/>
        <x:v>74.074074074074076</x:v>
      </x:c>
      <x:c r="J33" s="12" t="str">
        <x:f t="shared" si="3"/>
        <x:v>OK</x:v>
      </x:c>
      <x:c r="K33" s="11" t="n">
        <x:f>'Direct CLO'!W12</x:f>
        <x:v>65.85365853658537</x:v>
      </x:c>
      <x:c r="L33" s="11" t="n">
        <x:f>'Indirect CLO'!H12</x:f>
        <x:v>40</x:v>
      </x:c>
      <x:c r="M33" s="11">
        <x:f t="shared" si="4"/>
        <x:v>58.09756097560976</x:v>
      </x:c>
      <x:c r="N33" s="12" t="str">
        <x:f t="shared" si="5"/>
        <x:v>AT-RISK</x:v>
      </x:c>
      <x:c r="O33" s="11" t="n">
        <x:f>'Direct CLO'!AD12</x:f>
        <x:v>77.77777777777779</x:v>
      </x:c>
      <x:c r="P33" s="11" t="n">
        <x:f>'Indirect CLO'!J12</x:f>
        <x:v>80</x:v>
      </x:c>
      <x:c r="Q33" s="11">
        <x:f t="shared" si="6"/>
        <x:v>78.444444444444457</x:v>
      </x:c>
      <x:c r="R33" s="12" t="str">
        <x:f t="shared" si="7"/>
        <x:v>OK</x:v>
      </x:c>
      <x:c r="S33" s="11" t="n">
        <x:f>'Direct CLO'!AK12</x:f>
        <x:v>90.66666666666666</x:v>
      </x:c>
      <x:c r="T33" s="11" t="n">
        <x:f>'Indirect CLO'!L12</x:f>
        <x:v>100</x:v>
      </x:c>
      <x:c r="U33" s="11">
        <x:f t="shared" si="8"/>
        <x:v>93.466666666666654</x:v>
      </x:c>
      <x:c r="V33" s="12" t="str">
        <x:f t="shared" si="9"/>
        <x:v>OK</x:v>
      </x:c>
    </x:row>
    <x:row r="34">
      <x:c r="A34" s="16" t="str">
        <x:f>IF(RECORD!B22="","",RECORD!B22)</x:f>
        <x:v>2024-00289</x:v>
      </x:c>
      <x:c r="B34" s="16" t="str">
        <x:f>IF(RECORD!C22="","",RECORD!C22)</x:f>
        <x:v>Sarmiento, Daphne C.</x:v>
      </x:c>
      <x:c r="C34" s="11" t="n">
        <x:f>'Direct CLO'!I13</x:f>
        <x:v>71.42857142857143</x:v>
      </x:c>
      <x:c r="D34" s="11" t="n">
        <x:f>'Indirect CLO'!D13</x:f>
        <x:v>80</x:v>
      </x:c>
      <x:c r="E34" s="11">
        <x:f t="shared" si="0"/>
        <x:v>74</x:v>
      </x:c>
      <x:c r="F34" s="12" t="str">
        <x:f t="shared" si="1"/>
        <x:v>OK</x:v>
      </x:c>
      <x:c r="G34" s="11" t="n">
        <x:f>'Direct CLO'!P13</x:f>
        <x:v>62.96296296296296</x:v>
      </x:c>
      <x:c r="H34" s="11" t="n">
        <x:f>'Indirect CLO'!F13</x:f>
        <x:v>100</x:v>
      </x:c>
      <x:c r="I34" s="11">
        <x:f t="shared" si="2"/>
        <x:v>74.074074074074076</x:v>
      </x:c>
      <x:c r="J34" s="12" t="str">
        <x:f t="shared" si="3"/>
        <x:v>OK</x:v>
      </x:c>
      <x:c r="K34" s="11" t="n">
        <x:f>'Direct CLO'!W13</x:f>
        <x:v>65.85365853658537</x:v>
      </x:c>
      <x:c r="L34" s="11" t="n">
        <x:f>'Indirect CLO'!H13</x:f>
        <x:v>40</x:v>
      </x:c>
      <x:c r="M34" s="11">
        <x:f t="shared" si="4"/>
        <x:v>58.09756097560976</x:v>
      </x:c>
      <x:c r="N34" s="12" t="str">
        <x:f t="shared" si="5"/>
        <x:v>AT-RISK</x:v>
      </x:c>
      <x:c r="O34" s="11" t="n">
        <x:f>'Direct CLO'!AD13</x:f>
        <x:v>77.77777777777779</x:v>
      </x:c>
      <x:c r="P34" s="11" t="n">
        <x:f>'Indirect CLO'!J13</x:f>
        <x:v>80</x:v>
      </x:c>
      <x:c r="Q34" s="11">
        <x:f t="shared" si="6"/>
        <x:v>78.444444444444457</x:v>
      </x:c>
      <x:c r="R34" s="12" t="str">
        <x:f t="shared" si="7"/>
        <x:v>OK</x:v>
      </x:c>
      <x:c r="S34" s="11" t="n">
        <x:f>'Direct CLO'!AK13</x:f>
        <x:v>90.66666666666666</x:v>
      </x:c>
      <x:c r="T34" s="11" t="n">
        <x:f>'Indirect CLO'!L13</x:f>
        <x:v>100</x:v>
      </x:c>
      <x:c r="U34" s="11">
        <x:f t="shared" si="8"/>
        <x:v>93.466666666666654</x:v>
      </x:c>
      <x:c r="V34" s="12" t="str">
        <x:f t="shared" si="9"/>
        <x:v>OK</x:v>
      </x:c>
    </x:row>
    <x:row r="35">
      <x:c r="A35" s="16" t="str">
        <x:f>IF(RECORD!B23="","",RECORD!B23)</x:f>
        <x:v>2024-00301</x:v>
      </x:c>
      <x:c r="B35" s="16" t="str">
        <x:f>IF(RECORD!C23="","",RECORD!C23)</x:f>
        <x:v>Fernandez, Trisha S.</x:v>
      </x:c>
      <x:c r="C35" s="11" t="n">
        <x:f>'Direct CLO'!I14</x:f>
        <x:v>71.42857142857143</x:v>
      </x:c>
      <x:c r="D35" s="11" t="n">
        <x:f>'Indirect CLO'!D14</x:f>
        <x:v>80</x:v>
      </x:c>
      <x:c r="E35" s="11">
        <x:f t="shared" si="0"/>
        <x:v>74</x:v>
      </x:c>
      <x:c r="F35" s="12" t="str">
        <x:f t="shared" si="1"/>
        <x:v>OK</x:v>
      </x:c>
      <x:c r="G35" s="11" t="n">
        <x:f>'Direct CLO'!P14</x:f>
        <x:v>62.96296296296296</x:v>
      </x:c>
      <x:c r="H35" s="11" t="n">
        <x:f>'Indirect CLO'!F14</x:f>
        <x:v>100</x:v>
      </x:c>
      <x:c r="I35" s="11">
        <x:f t="shared" si="2"/>
        <x:v>74.074074074074076</x:v>
      </x:c>
      <x:c r="J35" s="12" t="str">
        <x:f t="shared" si="3"/>
        <x:v>OK</x:v>
      </x:c>
      <x:c r="K35" s="11" t="n">
        <x:f>'Direct CLO'!W14</x:f>
        <x:v>65.85365853658537</x:v>
      </x:c>
      <x:c r="L35" s="11" t="n">
        <x:f>'Indirect CLO'!H14</x:f>
        <x:v>40</x:v>
      </x:c>
      <x:c r="M35" s="11">
        <x:f t="shared" si="4"/>
        <x:v>58.09756097560976</x:v>
      </x:c>
      <x:c r="N35" s="12" t="str">
        <x:f t="shared" si="5"/>
        <x:v>AT-RISK</x:v>
      </x:c>
      <x:c r="O35" s="11" t="n">
        <x:f>'Direct CLO'!AD14</x:f>
        <x:v>77.77777777777779</x:v>
      </x:c>
      <x:c r="P35" s="11" t="n">
        <x:f>'Indirect CLO'!J14</x:f>
        <x:v>80</x:v>
      </x:c>
      <x:c r="Q35" s="11">
        <x:f t="shared" si="6"/>
        <x:v>78.444444444444457</x:v>
      </x:c>
      <x:c r="R35" s="12" t="str">
        <x:f t="shared" si="7"/>
        <x:v>OK</x:v>
      </x:c>
      <x:c r="S35" s="11" t="n">
        <x:f>'Direct CLO'!AK14</x:f>
        <x:v>90.66666666666666</x:v>
      </x:c>
      <x:c r="T35" s="11" t="n">
        <x:f>'Indirect CLO'!L14</x:f>
        <x:v>100</x:v>
      </x:c>
      <x:c r="U35" s="11">
        <x:f t="shared" si="8"/>
        <x:v>93.466666666666654</x:v>
      </x:c>
      <x:c r="V35" s="12" t="str">
        <x:f t="shared" si="9"/>
        <x:v>OK</x:v>
      </x:c>
    </x:row>
    <x:row r="36">
      <x:c r="A36" s="16" t="str">
        <x:f>IF(RECORD!B24="","",RECORD!B24)</x:f>
        <x:v>2024-00323</x:v>
      </x:c>
      <x:c r="B36" s="16" t="str">
        <x:f>IF(RECORD!C24="","",RECORD!C24)</x:f>
        <x:v>Aquino, Hannah R.</x:v>
      </x:c>
      <x:c r="C36" s="11" t="n">
        <x:f>'Direct CLO'!I15</x:f>
        <x:v>85.71428571428571</x:v>
      </x:c>
      <x:c r="D36" s="11" t="n">
        <x:f>'Indirect CLO'!D15</x:f>
        <x:v>80</x:v>
      </x:c>
      <x:c r="E36" s="11">
        <x:f t="shared" si="0"/>
        <x:v>84</x:v>
      </x:c>
      <x:c r="F36" s="12" t="str">
        <x:f t="shared" si="1"/>
        <x:v>OK</x:v>
      </x:c>
      <x:c r="G36" s="11" t="n">
        <x:f>'Direct CLO'!P15</x:f>
        <x:v>74.07407407407408</x:v>
      </x:c>
      <x:c r="H36" s="11" t="n">
        <x:f>'Indirect CLO'!F15</x:f>
        <x:v>100</x:v>
      </x:c>
      <x:c r="I36" s="11">
        <x:f t="shared" si="2"/>
        <x:v>81.851851851851848</x:v>
      </x:c>
      <x:c r="J36" s="12" t="str">
        <x:f t="shared" si="3"/>
        <x:v>OK</x:v>
      </x:c>
      <x:c r="K36" s="11" t="n">
        <x:f>'Direct CLO'!W15</x:f>
        <x:v>70.73170731707317</x:v>
      </x:c>
      <x:c r="L36" s="11" t="n">
        <x:f>'Indirect CLO'!H15</x:f>
        <x:v>40</x:v>
      </x:c>
      <x:c r="M36" s="11">
        <x:f t="shared" si="4"/>
        <x:v>61.512195121951216</x:v>
      </x:c>
      <x:c r="N36" s="12" t="str">
        <x:f t="shared" si="5"/>
        <x:v>AT-RISK</x:v>
      </x:c>
      <x:c r="O36" s="11" t="n">
        <x:f>'Direct CLO'!AD15</x:f>
        <x:v>100</x:v>
      </x:c>
      <x:c r="P36" s="11" t="n">
        <x:f>'Indirect CLO'!J15</x:f>
        <x:v>80</x:v>
      </x:c>
      <x:c r="Q36" s="11">
        <x:f t="shared" si="6"/>
        <x:v>94</x:v>
      </x:c>
      <x:c r="R36" s="12" t="str">
        <x:f t="shared" si="7"/>
        <x:v>OK</x:v>
      </x:c>
      <x:c r="S36" s="11" t="n">
        <x:f>'Direct CLO'!AK15</x:f>
        <x:v>100</x:v>
      </x:c>
      <x:c r="T36" s="11" t="n">
        <x:f>'Indirect CLO'!L15</x:f>
        <x:v>100</x:v>
      </x:c>
      <x:c r="U36" s="11">
        <x:f t="shared" si="8"/>
        <x:v>100</x:v>
      </x:c>
      <x:c r="V36" s="12" t="str">
        <x:f t="shared" si="9"/>
        <x:v>OK</x:v>
      </x:c>
    </x:row>
    <x:row r="37">
      <x:c r="A37" s="16" t="str">
        <x:f>IF(RECORD!B25="","",RECORD!B25)</x:f>
        <x:v>2024-00345</x:v>
      </x:c>
      <x:c r="B37" s="16" t="str">
        <x:f>IF(RECORD!C25="","",RECORD!C25)</x:f>
        <x:v>Cabrera, Quentin P.</x:v>
      </x:c>
      <x:c r="C37" s="11" t="n">
        <x:f>'Direct CLO'!I16</x:f>
        <x:v>100</x:v>
      </x:c>
      <x:c r="D37" s="11" t="n">
        <x:f>'Indirect CLO'!D16</x:f>
        <x:v>80</x:v>
      </x:c>
      <x:c r="E37" s="11">
        <x:f t="shared" si="0"/>
        <x:v>94</x:v>
      </x:c>
      <x:c r="F37" s="12" t="str">
        <x:f t="shared" si="1"/>
        <x:v>OK</x:v>
      </x:c>
      <x:c r="G37" s="11" t="n">
        <x:f>'Direct CLO'!P16</x:f>
        <x:v>100</x:v>
      </x:c>
      <x:c r="H37" s="11" t="n">
        <x:f>'Indirect CLO'!F16</x:f>
        <x:v>100</x:v>
      </x:c>
      <x:c r="I37" s="11">
        <x:f t="shared" si="2"/>
        <x:v>100</x:v>
      </x:c>
      <x:c r="J37" s="12" t="str">
        <x:f t="shared" si="3"/>
        <x:v>OK</x:v>
      </x:c>
      <x:c r="K37" s="11" t="n">
        <x:f>'Direct CLO'!W16</x:f>
        <x:v>109.75609756097562</x:v>
      </x:c>
      <x:c r="L37" s="11" t="n">
        <x:f>'Indirect CLO'!H16</x:f>
        <x:v>40</x:v>
      </x:c>
      <x:c r="M37" s="11">
        <x:f t="shared" si="4"/>
        <x:v>88.829268292682926</x:v>
      </x:c>
      <x:c r="N37" s="12" t="str">
        <x:f t="shared" si="5"/>
        <x:v>OK</x:v>
      </x:c>
      <x:c r="O37" s="11" t="n">
        <x:f>'Direct CLO'!AD16</x:f>
        <x:v>100</x:v>
      </x:c>
      <x:c r="P37" s="11" t="n">
        <x:f>'Indirect CLO'!J16</x:f>
        <x:v>80</x:v>
      </x:c>
      <x:c r="Q37" s="11">
        <x:f t="shared" si="6"/>
        <x:v>94</x:v>
      </x:c>
      <x:c r="R37" s="12" t="str">
        <x:f t="shared" si="7"/>
        <x:v>OK</x:v>
      </x:c>
      <x:c r="S37" s="11" t="n">
        <x:f>'Direct CLO'!AK16</x:f>
        <x:v>100</x:v>
      </x:c>
      <x:c r="T37" s="11" t="n">
        <x:f>'Indirect CLO'!L16</x:f>
        <x:v>100</x:v>
      </x:c>
      <x:c r="U37" s="11">
        <x:f t="shared" si="8"/>
        <x:v>100</x:v>
      </x:c>
      <x:c r="V37" s="12" t="str">
        <x:f t="shared" si="9"/>
        <x:v>OK</x:v>
      </x:c>
    </x:row>
    <x:row r="38">
      <x:c r="A38" s="16" t="str">
        <x:f>IF(RECORD!B26="","",RECORD!B26)</x:f>
        <x:v>2024-00367</x:v>
      </x:c>
      <x:c r="B38" s="16" t="str">
        <x:f>IF(RECORD!C26="","",RECORD!C26)</x:f>
        <x:v>Rivera, Caleb T.</x:v>
      </x:c>
      <x:c r="C38" s="11" t="n">
        <x:f>'Direct CLO'!I17</x:f>
        <x:v>100</x:v>
      </x:c>
      <x:c r="D38" s="11" t="n">
        <x:f>'Indirect CLO'!D17</x:f>
        <x:v>80</x:v>
      </x:c>
      <x:c r="E38" s="11">
        <x:f t="shared" si="0"/>
        <x:v>94</x:v>
      </x:c>
      <x:c r="F38" s="12" t="str">
        <x:f t="shared" si="1"/>
        <x:v>OK</x:v>
      </x:c>
      <x:c r="G38" s="11" t="n">
        <x:f>'Direct CLO'!P17</x:f>
        <x:v>100</x:v>
      </x:c>
      <x:c r="H38" s="11" t="n">
        <x:f>'Indirect CLO'!F17</x:f>
        <x:v>100</x:v>
      </x:c>
      <x:c r="I38" s="11">
        <x:f t="shared" si="2"/>
        <x:v>100</x:v>
      </x:c>
      <x:c r="J38" s="12" t="str">
        <x:f t="shared" si="3"/>
        <x:v>OK</x:v>
      </x:c>
      <x:c r="K38" s="11" t="n">
        <x:f>'Direct CLO'!W17</x:f>
        <x:v>109.75609756097562</x:v>
      </x:c>
      <x:c r="L38" s="11" t="n">
        <x:f>'Indirect CLO'!H17</x:f>
        <x:v>40</x:v>
      </x:c>
      <x:c r="M38" s="11">
        <x:f t="shared" si="4"/>
        <x:v>88.829268292682926</x:v>
      </x:c>
      <x:c r="N38" s="12" t="str">
        <x:f t="shared" si="5"/>
        <x:v>OK</x:v>
      </x:c>
      <x:c r="O38" s="11" t="n">
        <x:f>'Direct CLO'!AD17</x:f>
        <x:v>100</x:v>
      </x:c>
      <x:c r="P38" s="11" t="n">
        <x:f>'Indirect CLO'!J17</x:f>
        <x:v>80</x:v>
      </x:c>
      <x:c r="Q38" s="11">
        <x:f t="shared" si="6"/>
        <x:v>94</x:v>
      </x:c>
      <x:c r="R38" s="12" t="str">
        <x:f t="shared" si="7"/>
        <x:v>OK</x:v>
      </x:c>
      <x:c r="S38" s="11" t="n">
        <x:f>'Direct CLO'!AK17</x:f>
        <x:v>100</x:v>
      </x:c>
      <x:c r="T38" s="11" t="n">
        <x:f>'Indirect CLO'!L17</x:f>
        <x:v>100</x:v>
      </x:c>
      <x:c r="U38" s="11">
        <x:f t="shared" si="8"/>
        <x:v>100</x:v>
      </x:c>
      <x:c r="V38" s="12" t="str">
        <x:f t="shared" si="9"/>
        <x:v>OK</x:v>
      </x:c>
    </x:row>
    <x:row r="39">
      <x:c r="A39" s="16" t="str">
        <x:f>IF(RECORD!B27="","",RECORD!B27)</x:f>
        <x:v>2024-00389</x:v>
      </x:c>
      <x:c r="B39" s="16" t="str">
        <x:f>IF(RECORD!C27="","",RECORD!C27)</x:f>
        <x:v>Villamor, Yves E.</x:v>
      </x:c>
      <x:c r="C39" s="11" t="n">
        <x:f>'Direct CLO'!I18</x:f>
        <x:v>100</x:v>
      </x:c>
      <x:c r="D39" s="11" t="n">
        <x:f>'Indirect CLO'!D18</x:f>
        <x:v>80</x:v>
      </x:c>
      <x:c r="E39" s="11">
        <x:f t="shared" si="0"/>
        <x:v>94</x:v>
      </x:c>
      <x:c r="F39" s="12" t="str">
        <x:f t="shared" si="1"/>
        <x:v>OK</x:v>
      </x:c>
      <x:c r="G39" s="11" t="n">
        <x:f>'Direct CLO'!P18</x:f>
        <x:v>100</x:v>
      </x:c>
      <x:c r="H39" s="11" t="n">
        <x:f>'Indirect CLO'!F18</x:f>
        <x:v>100</x:v>
      </x:c>
      <x:c r="I39" s="11">
        <x:f t="shared" si="2"/>
        <x:v>100</x:v>
      </x:c>
      <x:c r="J39" s="12" t="str">
        <x:f t="shared" si="3"/>
        <x:v>OK</x:v>
      </x:c>
      <x:c r="K39" s="11" t="n">
        <x:f>'Direct CLO'!W18</x:f>
        <x:v>109.75609756097562</x:v>
      </x:c>
      <x:c r="L39" s="11" t="n">
        <x:f>'Indirect CLO'!H18</x:f>
        <x:v>40</x:v>
      </x:c>
      <x:c r="M39" s="11">
        <x:f t="shared" si="4"/>
        <x:v>88.829268292682926</x:v>
      </x:c>
      <x:c r="N39" s="12" t="str">
        <x:f t="shared" si="5"/>
        <x:v>OK</x:v>
      </x:c>
      <x:c r="O39" s="11" t="n">
        <x:f>'Direct CLO'!AD18</x:f>
        <x:v>100</x:v>
      </x:c>
      <x:c r="P39" s="11" t="n">
        <x:f>'Indirect CLO'!J18</x:f>
        <x:v>80</x:v>
      </x:c>
      <x:c r="Q39" s="11">
        <x:f t="shared" si="6"/>
        <x:v>94</x:v>
      </x:c>
      <x:c r="R39" s="12" t="str">
        <x:f t="shared" si="7"/>
        <x:v>OK</x:v>
      </x:c>
      <x:c r="S39" s="11" t="n">
        <x:f>'Direct CLO'!AK18</x:f>
        <x:v>100</x:v>
      </x:c>
      <x:c r="T39" s="11" t="n">
        <x:f>'Indirect CLO'!L18</x:f>
        <x:v>100</x:v>
      </x:c>
      <x:c r="U39" s="11">
        <x:f t="shared" si="8"/>
        <x:v>100</x:v>
      </x:c>
      <x:c r="V39" s="12" t="str">
        <x:f t="shared" si="9"/>
        <x:v>OK</x:v>
      </x:c>
    </x:row>
    <x:row r="40">
      <x:c r="A40" s="16" t="str">
        <x:f>IF(RECORD!B28="","",RECORD!B28)</x:f>
        <x:v>2024-00401</x:v>
      </x:c>
      <x:c r="B40" s="16" t="str">
        <x:f>IF(RECORD!C28="","",RECORD!C28)</x:f>
        <x:v>Valdez, Warren R.</x:v>
      </x:c>
      <x:c r="C40" s="11" t="n">
        <x:f>'Direct CLO'!I19</x:f>
        <x:v>100</x:v>
      </x:c>
      <x:c r="D40" s="11" t="n">
        <x:f>'Indirect CLO'!D19</x:f>
        <x:v>80</x:v>
      </x:c>
      <x:c r="E40" s="11">
        <x:f t="shared" si="0"/>
        <x:v>94</x:v>
      </x:c>
      <x:c r="F40" s="12" t="str">
        <x:f t="shared" si="1"/>
        <x:v>OK</x:v>
      </x:c>
      <x:c r="G40" s="11" t="n">
        <x:f>'Direct CLO'!P19</x:f>
        <x:v>100</x:v>
      </x:c>
      <x:c r="H40" s="11" t="n">
        <x:f>'Indirect CLO'!F19</x:f>
        <x:v>100</x:v>
      </x:c>
      <x:c r="I40" s="11">
        <x:f t="shared" si="2"/>
        <x:v>100</x:v>
      </x:c>
      <x:c r="J40" s="12" t="str">
        <x:f t="shared" si="3"/>
        <x:v>OK</x:v>
      </x:c>
      <x:c r="K40" s="11" t="n">
        <x:f>'Direct CLO'!W19</x:f>
        <x:v>109.75609756097562</x:v>
      </x:c>
      <x:c r="L40" s="11" t="n">
        <x:f>'Indirect CLO'!H19</x:f>
        <x:v>40</x:v>
      </x:c>
      <x:c r="M40" s="11">
        <x:f t="shared" si="4"/>
        <x:v>88.829268292682926</x:v>
      </x:c>
      <x:c r="N40" s="12" t="str">
        <x:f t="shared" si="5"/>
        <x:v>OK</x:v>
      </x:c>
      <x:c r="O40" s="11" t="n">
        <x:f>'Direct CLO'!AD19</x:f>
        <x:v>100</x:v>
      </x:c>
      <x:c r="P40" s="11" t="n">
        <x:f>'Indirect CLO'!J19</x:f>
        <x:v>80</x:v>
      </x:c>
      <x:c r="Q40" s="11">
        <x:f t="shared" si="6"/>
        <x:v>94</x:v>
      </x:c>
      <x:c r="R40" s="12" t="str">
        <x:f t="shared" si="7"/>
        <x:v>OK</x:v>
      </x:c>
      <x:c r="S40" s="11" t="n">
        <x:f>'Direct CLO'!AK19</x:f>
        <x:v>100</x:v>
      </x:c>
      <x:c r="T40" s="11" t="n">
        <x:f>'Indirect CLO'!L19</x:f>
        <x:v>100</x:v>
      </x:c>
      <x:c r="U40" s="11">
        <x:f t="shared" si="8"/>
        <x:v>100</x:v>
      </x:c>
      <x:c r="V40" s="12" t="str">
        <x:f t="shared" si="9"/>
        <x:v>OK</x:v>
      </x:c>
    </x:row>
    <x:row r="41">
      <x:c r="A41" s="16" t="str">
        <x:f>IF(RECORD!B29="","",RECORD!B29)</x:f>
        <x:v>2024-00423</x:v>
      </x:c>
      <x:c r="B41" s="16" t="str">
        <x:f>IF(RECORD!C29="","",RECORD!C29)</x:f>
        <x:v>Cordero, Rhea G.</x:v>
      </x:c>
      <x:c r="C41" s="11" t="n">
        <x:f>'Direct CLO'!I20</x:f>
        <x:v>84.76190476190476</x:v>
      </x:c>
      <x:c r="D41" s="11" t="n">
        <x:f>'Indirect CLO'!D20</x:f>
        <x:v>80</x:v>
      </x:c>
      <x:c r="E41" s="11">
        <x:f t="shared" si="0"/>
        <x:v>83.333333333333329</x:v>
      </x:c>
      <x:c r="F41" s="12" t="str">
        <x:f t="shared" si="1"/>
        <x:v>OK</x:v>
      </x:c>
      <x:c r="G41" s="11" t="n">
        <x:f>'Direct CLO'!P20</x:f>
        <x:v>88.88888888888889</x:v>
      </x:c>
      <x:c r="H41" s="11" t="n">
        <x:f>'Indirect CLO'!F20</x:f>
        <x:v>80</x:v>
      </x:c>
      <x:c r="I41" s="11">
        <x:f t="shared" si="2"/>
        <x:v>86.222222222222214</x:v>
      </x:c>
      <x:c r="J41" s="12" t="str">
        <x:f t="shared" si="3"/>
        <x:v>OK</x:v>
      </x:c>
      <x:c r="K41" s="11" t="n">
        <x:f>'Direct CLO'!W20</x:f>
        <x:v>90.2439024390244</x:v>
      </x:c>
      <x:c r="L41" s="11" t="n">
        <x:f>'Indirect CLO'!H20</x:f>
        <x:v>100</x:v>
      </x:c>
      <x:c r="M41" s="11">
        <x:f t="shared" si="4"/>
        <x:v>93.170731707317074</x:v>
      </x:c>
      <x:c r="N41" s="12" t="str">
        <x:f t="shared" si="5"/>
        <x:v>OK</x:v>
      </x:c>
      <x:c r="O41" s="11" t="n">
        <x:f>'Direct CLO'!AD20</x:f>
        <x:v>88.88888888888889</x:v>
      </x:c>
      <x:c r="P41" s="11" t="n">
        <x:f>'Indirect CLO'!J20</x:f>
        <x:v>80</x:v>
      </x:c>
      <x:c r="Q41" s="11">
        <x:f t="shared" si="6"/>
        <x:v>86.222222222222214</x:v>
      </x:c>
      <x:c r="R41" s="12" t="str">
        <x:f t="shared" si="7"/>
        <x:v>OK</x:v>
      </x:c>
      <x:c r="S41" s="11" t="n">
        <x:f>'Direct CLO'!AK20</x:f>
        <x:v>93.33333333333333</x:v>
      </x:c>
      <x:c r="T41" s="11" t="n">
        <x:f>'Indirect CLO'!L20</x:f>
        <x:v>80</x:v>
      </x:c>
      <x:c r="U41" s="11">
        <x:f t="shared" si="8"/>
        <x:v>89.333333333333329</x:v>
      </x:c>
      <x:c r="V41" s="12" t="str">
        <x:f t="shared" si="9"/>
        <x:v>OK</x:v>
      </x:c>
    </x:row>
    <x:row r="42">
      <x:c r="A42" s="16" t="str">
        <x:f>IF(RECORD!B30="","",RECORD!B30)</x:f>
        <x:v>2024-00445</x:v>
      </x:c>
      <x:c r="B42" s="16" t="str">
        <x:f>IF(RECORD!C30="","",RECORD!C30)</x:f>
        <x:v>Montemayor, Leah O.</x:v>
      </x:c>
      <x:c r="C42" s="11" t="n">
        <x:f>'Direct CLO'!I21</x:f>
        <x:v>95.23809523809523</x:v>
      </x:c>
      <x:c r="D42" s="11" t="n">
        <x:f>'Indirect CLO'!D21</x:f>
        <x:v>100</x:v>
      </x:c>
      <x:c r="E42" s="11">
        <x:f t="shared" si="0"/>
        <x:v>96.666666666666657</x:v>
      </x:c>
      <x:c r="F42" s="12" t="str">
        <x:f t="shared" si="1"/>
        <x:v>OK</x:v>
      </x:c>
      <x:c r="G42" s="11" t="n">
        <x:f>'Direct CLO'!P21</x:f>
        <x:v>94.07407407407408</x:v>
      </x:c>
      <x:c r="H42" s="11" t="n">
        <x:f>'Indirect CLO'!F21</x:f>
        <x:v>100</x:v>
      </x:c>
      <x:c r="I42" s="11">
        <x:f t="shared" si="2"/>
        <x:v>95.851851851851848</x:v>
      </x:c>
      <x:c r="J42" s="12" t="str">
        <x:f t="shared" si="3"/>
        <x:v>OK</x:v>
      </x:c>
      <x:c r="K42" s="11" t="n">
        <x:f>'Direct CLO'!W21</x:f>
        <x:v>96.09756097560975</x:v>
      </x:c>
      <x:c r="L42" s="11" t="n">
        <x:f>'Indirect CLO'!H21</x:f>
        <x:v>100</x:v>
      </x:c>
      <x:c r="M42" s="11">
        <x:f t="shared" si="4"/>
        <x:v>97.268292682926827</x:v>
      </x:c>
      <x:c r="N42" s="12" t="str">
        <x:f t="shared" si="5"/>
        <x:v>OK</x:v>
      </x:c>
      <x:c r="O42" s="11" t="n">
        <x:f>'Direct CLO'!AD21</x:f>
        <x:v>93.33333333333333</x:v>
      </x:c>
      <x:c r="P42" s="11" t="n">
        <x:f>'Indirect CLO'!J21</x:f>
        <x:v>100</x:v>
      </x:c>
      <x:c r="Q42" s="11">
        <x:f t="shared" si="6"/>
        <x:v>95.333333333333329</x:v>
      </x:c>
      <x:c r="R42" s="12" t="str">
        <x:f t="shared" si="7"/>
        <x:v>OK</x:v>
      </x:c>
      <x:c r="S42" s="11" t="n">
        <x:f>'Direct CLO'!AK21</x:f>
        <x:v>97.33333333333334</x:v>
      </x:c>
      <x:c r="T42" s="11" t="n">
        <x:f>'Indirect CLO'!L21</x:f>
        <x:v>100</x:v>
      </x:c>
      <x:c r="U42" s="11">
        <x:f t="shared" si="8"/>
        <x:v>98.13333333333334</x:v>
      </x:c>
      <x:c r="V42" s="12" t="str">
        <x:f t="shared" si="9"/>
        <x:v>OK</x:v>
      </x:c>
    </x:row>
    <x:row r="43">
      <x:c r="A43" s="16" t="str">
        <x:f>IF(RECORD!B31="","",RECORD!B31)</x:f>
        <x:v>2024-00467</x:v>
      </x:c>
      <x:c r="B43" s="16" t="str">
        <x:f>IF(RECORD!C31="","",RECORD!C31)</x:f>
        <x:v>Mercado, Marco V.</x:v>
      </x:c>
      <x:c r="C43" s="11" t="n">
        <x:f>'Direct CLO'!I22</x:f>
        <x:v>66.66666666666666</x:v>
      </x:c>
      <x:c r="D43" s="11" t="n">
        <x:f>'Indirect CLO'!D22</x:f>
        <x:v>60</x:v>
      </x:c>
      <x:c r="E43" s="11">
        <x:f t="shared" si="0"/>
        <x:v>64.666666666666657</x:v>
      </x:c>
      <x:c r="F43" s="12" t="str">
        <x:f t="shared" si="1"/>
        <x:v>AT-RISK</x:v>
      </x:c>
      <x:c r="G43" s="11" t="n">
        <x:f>'Direct CLO'!P22</x:f>
        <x:v>62.96296296296296</x:v>
      </x:c>
      <x:c r="H43" s="11" t="n">
        <x:f>'Indirect CLO'!F22</x:f>
        <x:v>60</x:v>
      </x:c>
      <x:c r="I43" s="11">
        <x:f t="shared" si="2"/>
        <x:v>62.074074074074069</x:v>
      </x:c>
      <x:c r="J43" s="12" t="str">
        <x:f t="shared" si="3"/>
        <x:v>AT-RISK</x:v>
      </x:c>
      <x:c r="K43" s="11" t="n">
        <x:f>'Direct CLO'!W22</x:f>
        <x:v>63.41463414634146</x:v>
      </x:c>
      <x:c r="L43" s="11" t="n">
        <x:f>'Indirect CLO'!H22</x:f>
        <x:v>100</x:v>
      </x:c>
      <x:c r="M43" s="11">
        <x:f t="shared" si="4"/>
        <x:v>74.390243902439025</x:v>
      </x:c>
      <x:c r="N43" s="12" t="str">
        <x:f t="shared" si="5"/>
        <x:v>OK</x:v>
      </x:c>
      <x:c r="O43" s="11" t="n">
        <x:f>'Direct CLO'!AD22</x:f>
        <x:v>64.44444444444444</x:v>
      </x:c>
      <x:c r="P43" s="11" t="n">
        <x:f>'Indirect CLO'!J22</x:f>
        <x:v>60</x:v>
      </x:c>
      <x:c r="Q43" s="11">
        <x:f t="shared" si="6"/>
        <x:v>63.111111111111107</x:v>
      </x:c>
      <x:c r="R43" s="12" t="str">
        <x:f t="shared" si="7"/>
        <x:v>AT-RISK</x:v>
      </x:c>
      <x:c r="S43" s="11" t="n">
        <x:f>'Direct CLO'!AK22</x:f>
        <x:v>66.66666666666666</x:v>
      </x:c>
      <x:c r="T43" s="11" t="n">
        <x:f>'Indirect CLO'!L22</x:f>
        <x:v>60</x:v>
      </x:c>
      <x:c r="U43" s="11">
        <x:f t="shared" si="8"/>
        <x:v>64.666666666666657</x:v>
      </x:c>
      <x:c r="V43" s="12" t="str">
        <x:f t="shared" si="9"/>
        <x:v>AT-RISK</x:v>
      </x:c>
    </x:row>
    <x:row r="44">
      <x:c r="A44" s="16" t="str">
        <x:f>IF(RECORD!B32="","",RECORD!B32)</x:f>
        <x:v>2024-00489</x:v>
      </x:c>
      <x:c r="B44" s="16" t="str">
        <x:f>IF(RECORD!C32="","",RECORD!C32)</x:f>
        <x:v>Tiongson, Cedric F.</x:v>
      </x:c>
      <x:c r="C44" s="11" t="n">
        <x:f>'Direct CLO'!I23</x:f>
        <x:v>85.71428571428571</x:v>
      </x:c>
      <x:c r="D44" s="11" t="n">
        <x:f>'Indirect CLO'!D23</x:f>
        <x:v>80</x:v>
      </x:c>
      <x:c r="E44" s="11">
        <x:f t="shared" si="0"/>
        <x:v>84</x:v>
      </x:c>
      <x:c r="F44" s="12" t="str">
        <x:f t="shared" si="1"/>
        <x:v>OK</x:v>
      </x:c>
      <x:c r="G44" s="11" t="n">
        <x:f>'Direct CLO'!P23</x:f>
        <x:v>83.7037037037037</x:v>
      </x:c>
      <x:c r="H44" s="11" t="n">
        <x:f>'Indirect CLO'!F23</x:f>
        <x:v>80</x:v>
      </x:c>
      <x:c r="I44" s="11">
        <x:f t="shared" si="2"/>
        <x:v>82.592592592592581</x:v>
      </x:c>
      <x:c r="J44" s="12" t="str">
        <x:f t="shared" si="3"/>
        <x:v>OK</x:v>
      </x:c>
      <x:c r="K44" s="11" t="n">
        <x:f>'Direct CLO'!W23</x:f>
        <x:v>86.34146341463415</x:v>
      </x:c>
      <x:c r="L44" s="11" t="n">
        <x:f>'Indirect CLO'!H23</x:f>
        <x:v>80</x:v>
      </x:c>
      <x:c r="M44" s="11">
        <x:f t="shared" si="4"/>
        <x:v>84.439024390243901</x:v>
      </x:c>
      <x:c r="N44" s="12" t="str">
        <x:f t="shared" si="5"/>
        <x:v>OK</x:v>
      </x:c>
      <x:c r="O44" s="11" t="n">
        <x:f>'Direct CLO'!AD23</x:f>
        <x:v>80</x:v>
      </x:c>
      <x:c r="P44" s="11" t="n">
        <x:f>'Indirect CLO'!J23</x:f>
        <x:v>80</x:v>
      </x:c>
      <x:c r="Q44" s="11">
        <x:f t="shared" si="6"/>
        <x:v>80</x:v>
      </x:c>
      <x:c r="R44" s="12" t="str">
        <x:f t="shared" si="7"/>
        <x:v>OK</x:v>
      </x:c>
      <x:c r="S44" s="11" t="n">
        <x:f>'Direct CLO'!AK23</x:f>
        <x:v>85.33333333333334</x:v>
      </x:c>
      <x:c r="T44" s="11" t="n">
        <x:f>'Indirect CLO'!L23</x:f>
        <x:v>80</x:v>
      </x:c>
      <x:c r="U44" s="11">
        <x:f t="shared" si="8"/>
        <x:v>83.733333333333334</x:v>
      </x:c>
      <x:c r="V44" s="12" t="str">
        <x:f t="shared" si="9"/>
        <x:v>OK</x:v>
      </x:c>
    </x:row>
    <x:row r="45">
      <x:c r="A45" s="16" t="str">
        <x:f>IF(RECORD!B33="","",RECORD!B33)</x:f>
        <x:v>2024-00511</x:v>
      </x:c>
      <x:c r="B45" s="16" t="str">
        <x:f>IF(RECORD!C33="","",RECORD!C33)</x:f>
        <x:v>Lorenzo, Owen M.</x:v>
      </x:c>
      <x:c r="C45" s="11" t="n">
        <x:f>'Direct CLO'!I24</x:f>
        <x:v>38.095238095238095</x:v>
      </x:c>
      <x:c r="D45" s="11" t="n">
        <x:f>'Indirect CLO'!D24</x:f>
        <x:v>40</x:v>
      </x:c>
      <x:c r="E45" s="11">
        <x:f t="shared" si="0"/>
        <x:v>38.666666666666664</x:v>
      </x:c>
      <x:c r="F45" s="12" t="str">
        <x:f t="shared" si="1"/>
        <x:v>AT-RISK</x:v>
      </x:c>
      <x:c r="G45" s="11" t="n">
        <x:f>'Direct CLO'!P24</x:f>
        <x:v>35.55555555555556</x:v>
      </x:c>
      <x:c r="H45" s="11" t="n">
        <x:f>'Indirect CLO'!F24</x:f>
        <x:v>40</x:v>
      </x:c>
      <x:c r="I45" s="11">
        <x:f t="shared" si="2"/>
        <x:v>36.888888888888886</x:v>
      </x:c>
      <x:c r="J45" s="12" t="str">
        <x:f t="shared" si="3"/>
        <x:v>AT-RISK</x:v>
      </x:c>
      <x:c r="K45" s="11" t="n">
        <x:f>'Direct CLO'!W24</x:f>
        <x:v>46.34146341463415</x:v>
      </x:c>
      <x:c r="L45" s="11" t="n">
        <x:f>'Indirect CLO'!H24</x:f>
        <x:v>40</x:v>
      </x:c>
      <x:c r="M45" s="11">
        <x:f t="shared" si="4"/>
        <x:v>44.439024390243901</x:v>
      </x:c>
      <x:c r="N45" s="12" t="str">
        <x:f t="shared" si="5"/>
        <x:v>AT-RISK</x:v>
      </x:c>
      <x:c r="O45" s="11" t="n">
        <x:f>'Direct CLO'!AD24</x:f>
        <x:v>35.55555555555556</x:v>
      </x:c>
      <x:c r="P45" s="11" t="n">
        <x:f>'Indirect CLO'!J24</x:f>
        <x:v>40</x:v>
      </x:c>
      <x:c r="Q45" s="11">
        <x:f t="shared" si="6"/>
        <x:v>36.888888888888886</x:v>
      </x:c>
      <x:c r="R45" s="12" t="str">
        <x:f t="shared" si="7"/>
        <x:v>AT-RISK</x:v>
      </x:c>
      <x:c r="S45" s="11" t="n">
        <x:f>'Direct CLO'!AK24</x:f>
        <x:v>41.333333333333336</x:v>
      </x:c>
      <x:c r="T45" s="11" t="n">
        <x:f>'Indirect CLO'!L24</x:f>
        <x:v>40</x:v>
      </x:c>
      <x:c r="U45" s="11">
        <x:f t="shared" si="8"/>
        <x:v>40.933333333333337</x:v>
      </x:c>
      <x:c r="V45" s="12" t="str">
        <x:f t="shared" si="9"/>
        <x:v>AT-RISK</x:v>
      </x:c>
    </x:row>
    <x:row r="46">
      <x:c r="A46" s="16" t="str">
        <x:f>IF(RECORD!B34="","",RECORD!B34)</x:f>
        <x:v>2024-00533</x:v>
      </x:c>
      <x:c r="B46" s="16" t="str">
        <x:f>IF(RECORD!C34="","",RECORD!C34)</x:f>
        <x:v>Mendoza, Nina M.</x:v>
      </x:c>
      <x:c r="C46" s="11" t="n">
        <x:f>'Direct CLO'!I25</x:f>
        <x:v>91.42857142857143</x:v>
      </x:c>
      <x:c r="D46" s="11" t="n">
        <x:f>'Indirect CLO'!D25</x:f>
        <x:v>100</x:v>
      </x:c>
      <x:c r="E46" s="11">
        <x:f t="shared" si="0"/>
        <x:v>94</x:v>
      </x:c>
      <x:c r="F46" s="12" t="str">
        <x:f t="shared" si="1"/>
        <x:v>OK</x:v>
      </x:c>
      <x:c r="G46" s="11" t="n">
        <x:f>'Direct CLO'!P25</x:f>
        <x:v>91.11111111111111</x:v>
      </x:c>
      <x:c r="H46" s="11" t="n">
        <x:f>'Indirect CLO'!F25</x:f>
        <x:v>80</x:v>
      </x:c>
      <x:c r="I46" s="11">
        <x:f t="shared" si="2"/>
        <x:v>87.777777777777771</x:v>
      </x:c>
      <x:c r="J46" s="12" t="str">
        <x:f t="shared" si="3"/>
        <x:v>OK</x:v>
      </x:c>
      <x:c r="K46" s="11" t="n">
        <x:f>'Direct CLO'!W25</x:f>
        <x:v>92.19512195121952</x:v>
      </x:c>
      <x:c r="L46" s="11" t="n">
        <x:f>'Indirect CLO'!H25</x:f>
        <x:v>100</x:v>
      </x:c>
      <x:c r="M46" s="11">
        <x:f t="shared" si="4"/>
        <x:v>94.536585365853654</x:v>
      </x:c>
      <x:c r="N46" s="12" t="str">
        <x:f t="shared" si="5"/>
        <x:v>OK</x:v>
      </x:c>
      <x:c r="O46" s="11" t="n">
        <x:f>'Direct CLO'!AD25</x:f>
        <x:v>86.66666666666667</x:v>
      </x:c>
      <x:c r="P46" s="11" t="n">
        <x:f>'Indirect CLO'!J25</x:f>
        <x:v>80</x:v>
      </x:c>
      <x:c r="Q46" s="11">
        <x:f t="shared" si="6"/>
        <x:v>84.666666666666657</x:v>
      </x:c>
      <x:c r="R46" s="12" t="str">
        <x:f t="shared" si="7"/>
        <x:v>OK</x:v>
      </x:c>
      <x:c r="S46" s="11" t="n">
        <x:f>'Direct CLO'!AK25</x:f>
        <x:v>92</x:v>
      </x:c>
      <x:c r="T46" s="11" t="n">
        <x:f>'Indirect CLO'!L25</x:f>
        <x:v>100</x:v>
      </x:c>
      <x:c r="U46" s="11">
        <x:f t="shared" si="8"/>
        <x:v>94.399999999999991</x:v>
      </x:c>
      <x:c r="V46" s="12" t="str">
        <x:f t="shared" si="9"/>
        <x:v>OK</x:v>
      </x:c>
    </x:row>
    <x:row r="47">
      <x:c r="A47" s="16" t="str">
        <x:f>IF(RECORD!B35="","",RECORD!B35)</x:f>
        <x:v>2024-00555</x:v>
      </x:c>
      <x:c r="B47" s="16" t="str">
        <x:f>IF(RECORD!C35="","",RECORD!C35)</x:f>
        <x:v>Robles, Elijah D.</x:v>
      </x:c>
      <x:c r="C47" s="11" t="n">
        <x:f>'Direct CLO'!I26</x:f>
        <x:v>73.33333333333333</x:v>
      </x:c>
      <x:c r="D47" s="11" t="n">
        <x:f>'Indirect CLO'!D26</x:f>
        <x:v>80</x:v>
      </x:c>
      <x:c r="E47" s="11">
        <x:f t="shared" si="0"/>
        <x:v>75.333333333333329</x:v>
      </x:c>
      <x:c r="F47" s="12" t="str">
        <x:f t="shared" si="1"/>
        <x:v>OK</x:v>
      </x:c>
      <x:c r="G47" s="11" t="n">
        <x:f>'Direct CLO'!P26</x:f>
        <x:v>71.85185185185186</x:v>
      </x:c>
      <x:c r="H47" s="11" t="n">
        <x:f>'Indirect CLO'!F26</x:f>
        <x:v>80</x:v>
      </x:c>
      <x:c r="I47" s="11">
        <x:f t="shared" si="2"/>
        <x:v>74.296296296296305</x:v>
      </x:c>
      <x:c r="J47" s="12" t="str">
        <x:f t="shared" si="3"/>
        <x:v>OK</x:v>
      </x:c>
      <x:c r="K47" s="11" t="n">
        <x:f>'Direct CLO'!W26</x:f>
        <x:v>73.65853658536585</x:v>
      </x:c>
      <x:c r="L47" s="11" t="n">
        <x:f>'Indirect CLO'!H26</x:f>
        <x:v>80</x:v>
      </x:c>
      <x:c r="M47" s="11">
        <x:f t="shared" si="4"/>
        <x:v>75.560975609756099</x:v>
      </x:c>
      <x:c r="N47" s="12" t="str">
        <x:f t="shared" si="5"/>
        <x:v>OK</x:v>
      </x:c>
      <x:c r="O47" s="11" t="n">
        <x:f>'Direct CLO'!AD26</x:f>
        <x:v>64.44444444444444</x:v>
      </x:c>
      <x:c r="P47" s="11" t="n">
        <x:f>'Indirect CLO'!J26</x:f>
        <x:v>40</x:v>
      </x:c>
      <x:c r="Q47" s="11">
        <x:f t="shared" si="6"/>
        <x:v>57.111111111111107</x:v>
      </x:c>
      <x:c r="R47" s="12" t="str">
        <x:f t="shared" si="7"/>
        <x:v>AT-RISK</x:v>
      </x:c>
      <x:c r="S47" s="11" t="n">
        <x:f>'Direct CLO'!AK26</x:f>
        <x:v>70.66666666666667</x:v>
      </x:c>
      <x:c r="T47" s="11" t="n">
        <x:f>'Indirect CLO'!L26</x:f>
        <x:v>80</x:v>
      </x:c>
      <x:c r="U47" s="11">
        <x:f t="shared" si="8"/>
        <x:v>73.466666666666669</x:v>
      </x:c>
      <x:c r="V47" s="12" t="str">
        <x:f t="shared" si="9"/>
        <x:v>OK</x:v>
      </x:c>
    </x:row>
    <x:row r="48">
      <x:c r="A48" s="16" t="str">
        <x:f>IF(RECORD!B36="","",RECORD!B36)</x:f>
        <x:v>2024-00577</x:v>
      </x:c>
      <x:c r="B48" s="16" t="str">
        <x:f>IF(RECORD!C36="","",RECORD!C36)</x:f>
        <x:v>Marquez, Jasmine B.</x:v>
      </x:c>
      <x:c r="C48" s="11" t="n">
        <x:f>'Direct CLO'!I27</x:f>
        <x:v>98.09523809523809</x:v>
      </x:c>
      <x:c r="D48" s="11" t="n">
        <x:f>'Indirect CLO'!D27</x:f>
        <x:v>100</x:v>
      </x:c>
      <x:c r="E48" s="11">
        <x:f t="shared" si="0"/>
        <x:v>98.666666666666657</x:v>
      </x:c>
      <x:c r="F48" s="12" t="str">
        <x:f t="shared" si="1"/>
        <x:v>OK</x:v>
      </x:c>
      <x:c r="G48" s="11" t="n">
        <x:f>'Direct CLO'!P27</x:f>
        <x:v>97.03703703703704</x:v>
      </x:c>
      <x:c r="H48" s="11" t="n">
        <x:f>'Indirect CLO'!F27</x:f>
        <x:v>100</x:v>
      </x:c>
      <x:c r="I48" s="11">
        <x:f t="shared" si="2"/>
        <x:v>97.925925925925924</x:v>
      </x:c>
      <x:c r="J48" s="12" t="str">
        <x:f t="shared" si="3"/>
        <x:v>OK</x:v>
      </x:c>
      <x:c r="K48" s="11" t="n">
        <x:f>'Direct CLO'!W27</x:f>
        <x:v>98.53658536585365</x:v>
      </x:c>
      <x:c r="L48" s="11" t="n">
        <x:f>'Indirect CLO'!H27</x:f>
        <x:v>100</x:v>
      </x:c>
      <x:c r="M48" s="11">
        <x:f t="shared" si="4"/>
        <x:v>98.975609756097555</x:v>
      </x:c>
      <x:c r="N48" s="12" t="str">
        <x:f t="shared" si="5"/>
        <x:v>OK</x:v>
      </x:c>
      <x:c r="O48" s="11" t="n">
        <x:f>'Direct CLO'!AD27</x:f>
        <x:v>97.77777777777777</x:v>
      </x:c>
      <x:c r="P48" s="11" t="n">
        <x:f>'Indirect CLO'!J27</x:f>
        <x:v>100</x:v>
      </x:c>
      <x:c r="Q48" s="11">
        <x:f t="shared" si="6"/>
        <x:v>98.444444444444429</x:v>
      </x:c>
      <x:c r="R48" s="12" t="str">
        <x:f t="shared" si="7"/>
        <x:v>OK</x:v>
      </x:c>
      <x:c r="S48" s="11" t="n">
        <x:f>'Direct CLO'!AK27</x:f>
        <x:v>100</x:v>
      </x:c>
      <x:c r="T48" s="11" t="n">
        <x:f>'Indirect CLO'!L27</x:f>
        <x:v>100</x:v>
      </x:c>
      <x:c r="U48" s="11">
        <x:f t="shared" si="8"/>
        <x:v>100</x:v>
      </x:c>
      <x:c r="V48" s="12" t="str">
        <x:f t="shared" si="9"/>
        <x:v>OK</x:v>
      </x:c>
    </x:row>
    <x:row r="49">
      <x:c r="A49" s="16" t="str">
        <x:f>IF(RECORD!B37="","",RECORD!B37)</x:f>
        <x:v>2024-00599</x:v>
      </x:c>
      <x:c r="B49" s="16" t="str">
        <x:f>IF(RECORD!C37="","",RECORD!C37)</x:f>
        <x:v>Velasco, Adrian V.</x:v>
      </x:c>
      <x:c r="C49" s="11" t="n">
        <x:f>'Direct CLO'!I28</x:f>
        <x:v>70.47619047619048</x:v>
      </x:c>
      <x:c r="D49" s="11" t="n">
        <x:f>'Indirect CLO'!D28</x:f>
        <x:v>60</x:v>
      </x:c>
      <x:c r="E49" s="11">
        <x:f t="shared" si="0"/>
        <x:v>67.333333333333343</x:v>
      </x:c>
      <x:c r="F49" s="12" t="str">
        <x:f t="shared" si="1"/>
        <x:v>AT-RISK</x:v>
      </x:c>
      <x:c r="G49" s="11" t="n">
        <x:f>'Direct CLO'!P28</x:f>
        <x:v>68.14814814814815</x:v>
      </x:c>
      <x:c r="H49" s="11" t="n">
        <x:f>'Indirect CLO'!F28</x:f>
        <x:v>60</x:v>
      </x:c>
      <x:c r="I49" s="11">
        <x:f t="shared" si="2"/>
        <x:v>65.703703703703695</x:v>
      </x:c>
      <x:c r="J49" s="12" t="str">
        <x:f t="shared" si="3"/>
        <x:v>AT-RISK</x:v>
      </x:c>
      <x:c r="K49" s="11" t="n">
        <x:f>'Direct CLO'!W28</x:f>
        <x:v>70.24390243902438</x:v>
      </x:c>
      <x:c r="L49" s="11" t="n">
        <x:f>'Indirect CLO'!H28</x:f>
        <x:v>60</x:v>
      </x:c>
      <x:c r="M49" s="11">
        <x:f t="shared" si="4"/>
        <x:v>67.17073170731706</x:v>
      </x:c>
      <x:c r="N49" s="12" t="str">
        <x:f t="shared" si="5"/>
        <x:v>AT-RISK</x:v>
      </x:c>
      <x:c r="O49" s="11" t="n">
        <x:f>'Direct CLO'!AD28</x:f>
        <x:v>62.22222222222222</x:v>
      </x:c>
      <x:c r="P49" s="11" t="n">
        <x:f>'Indirect CLO'!J28</x:f>
        <x:v>60</x:v>
      </x:c>
      <x:c r="Q49" s="11">
        <x:f t="shared" si="6"/>
        <x:v>61.55555555555555</x:v>
      </x:c>
      <x:c r="R49" s="12" t="str">
        <x:f t="shared" si="7"/>
        <x:v>AT-RISK</x:v>
      </x:c>
      <x:c r="S49" s="11" t="n">
        <x:f>'Direct CLO'!AK28</x:f>
        <x:v>68</x:v>
      </x:c>
      <x:c r="T49" s="11" t="n">
        <x:f>'Indirect CLO'!L28</x:f>
        <x:v>60</x:v>
      </x:c>
      <x:c r="U49" s="11">
        <x:f t="shared" si="8"/>
        <x:v>65.599999999999994</x:v>
      </x:c>
      <x:c r="V49" s="12" t="str">
        <x:f t="shared" si="9"/>
        <x:v>AT-RISK</x:v>
      </x:c>
    </x:row>
    <x:row r="50">
      <x:c r="A50" s="16" t="str">
        <x:f>IF(RECORD!B38="","",RECORD!B38)</x:f>
        <x:v>2024-00621</x:v>
      </x:c>
      <x:c r="B50" s="16" t="str">
        <x:f>IF(RECORD!C38="","",RECORD!C38)</x:f>
        <x:v>Palma, Gian K.</x:v>
      </x:c>
      <x:c r="C50" s="11" t="n">
        <x:f>'Direct CLO'!I29</x:f>
        <x:v>80</x:v>
      </x:c>
      <x:c r="D50" s="11" t="n">
        <x:f>'Indirect CLO'!D29</x:f>
        <x:v>80</x:v>
      </x:c>
      <x:c r="E50" s="11">
        <x:f t="shared" si="0"/>
        <x:v>80</x:v>
      </x:c>
      <x:c r="F50" s="12" t="str">
        <x:f t="shared" si="1"/>
        <x:v>OK</x:v>
      </x:c>
      <x:c r="G50" s="11" t="n">
        <x:f>'Direct CLO'!P29</x:f>
        <x:v>80</x:v>
      </x:c>
      <x:c r="H50" s="11" t="n">
        <x:f>'Indirect CLO'!F29</x:f>
        <x:v>80</x:v>
      </x:c>
      <x:c r="I50" s="11">
        <x:f t="shared" si="2"/>
        <x:v>80</x:v>
      </x:c>
      <x:c r="J50" s="12" t="str">
        <x:f t="shared" si="3"/>
        <x:v>OK</x:v>
      </x:c>
      <x:c r="K50" s="11" t="n">
        <x:f>'Direct CLO'!W29</x:f>
        <x:v>82.4390243902439</x:v>
      </x:c>
      <x:c r="L50" s="11" t="n">
        <x:f>'Indirect CLO'!H29</x:f>
        <x:v>80</x:v>
      </x:c>
      <x:c r="M50" s="11">
        <x:f t="shared" si="4"/>
        <x:v>81.707317073170728</x:v>
      </x:c>
      <x:c r="N50" s="12" t="str">
        <x:f t="shared" si="5"/>
        <x:v>OK</x:v>
      </x:c>
      <x:c r="O50" s="11" t="n">
        <x:f>'Direct CLO'!AD29</x:f>
        <x:v>77.77777777777779</x:v>
      </x:c>
      <x:c r="P50" s="11" t="n">
        <x:f>'Indirect CLO'!J29</x:f>
        <x:v>80</x:v>
      </x:c>
      <x:c r="Q50" s="11">
        <x:f t="shared" si="6"/>
        <x:v>78.444444444444457</x:v>
      </x:c>
      <x:c r="R50" s="12" t="str">
        <x:f t="shared" si="7"/>
        <x:v>OK</x:v>
      </x:c>
      <x:c r="S50" s="11" t="n">
        <x:f>'Direct CLO'!AK29</x:f>
        <x:v>82.66666666666667</x:v>
      </x:c>
      <x:c r="T50" s="11" t="n">
        <x:f>'Indirect CLO'!L29</x:f>
        <x:v>80</x:v>
      </x:c>
      <x:c r="U50" s="11">
        <x:f t="shared" si="8"/>
        <x:v>81.866666666666674</x:v>
      </x:c>
      <x:c r="V50" s="12" t="str">
        <x:f t="shared" si="9"/>
        <x:v>OK</x:v>
      </x:c>
    </x:row>
    <x:row r="51">
      <x:c r="A51" s="16" t="str">
        <x:f>IF(RECORD!B39="","",RECORD!B39)</x:f>
        <x:v>2024-00643</x:v>
      </x:c>
      <x:c r="B51" s="16" t="str">
        <x:f>IF(RECORD!C39="","",RECORD!C39)</x:f>
        <x:v>Torres, Sean T.</x:v>
      </x:c>
      <x:c r="C51" s="11" t="n">
        <x:f>'Direct CLO'!I30</x:f>
        <x:v>84.76190476190476</x:v>
      </x:c>
      <x:c r="D51" s="11" t="n">
        <x:f>'Indirect CLO'!D30</x:f>
        <x:v>80</x:v>
      </x:c>
      <x:c r="E51" s="11">
        <x:f t="shared" si="0"/>
        <x:v>83.333333333333329</x:v>
      </x:c>
      <x:c r="F51" s="12" t="str">
        <x:f t="shared" si="1"/>
        <x:v>OK</x:v>
      </x:c>
      <x:c r="G51" s="11" t="n">
        <x:f>'Direct CLO'!P30</x:f>
        <x:v>83.7037037037037</x:v>
      </x:c>
      <x:c r="H51" s="11" t="n">
        <x:f>'Indirect CLO'!F30</x:f>
        <x:v>80</x:v>
      </x:c>
      <x:c r="I51" s="11">
        <x:f t="shared" si="2"/>
        <x:v>82.592592592592581</x:v>
      </x:c>
      <x:c r="J51" s="12" t="str">
        <x:f t="shared" si="3"/>
        <x:v>OK</x:v>
      </x:c>
      <x:c r="K51" s="11" t="n">
        <x:f>'Direct CLO'!W30</x:f>
        <x:v>86.34146341463415</x:v>
      </x:c>
      <x:c r="L51" s="11" t="n">
        <x:f>'Indirect CLO'!H30</x:f>
        <x:v>80</x:v>
      </x:c>
      <x:c r="M51" s="11">
        <x:f t="shared" si="4"/>
        <x:v>84.439024390243901</x:v>
      </x:c>
      <x:c r="N51" s="12" t="str">
        <x:f t="shared" si="5"/>
        <x:v>OK</x:v>
      </x:c>
      <x:c r="O51" s="11" t="n">
        <x:f>'Direct CLO'!AD30</x:f>
        <x:v>84.44444444444444</x:v>
      </x:c>
      <x:c r="P51" s="11" t="n">
        <x:f>'Indirect CLO'!J30</x:f>
        <x:v>80</x:v>
      </x:c>
      <x:c r="Q51" s="11">
        <x:f t="shared" si="6"/>
        <x:v>83.111111111111114</x:v>
      </x:c>
      <x:c r="R51" s="12" t="str">
        <x:f t="shared" si="7"/>
        <x:v>OK</x:v>
      </x:c>
      <x:c r="S51" s="11" t="n">
        <x:f>'Direct CLO'!AK30</x:f>
        <x:v>88</x:v>
      </x:c>
      <x:c r="T51" s="11" t="n">
        <x:f>'Indirect CLO'!L30</x:f>
        <x:v>80</x:v>
      </x:c>
      <x:c r="U51" s="11">
        <x:f t="shared" si="8"/>
        <x:v>85.6</x:v>
      </x:c>
      <x:c r="V51" s="12" t="str">
        <x:f t="shared" si="9"/>
        <x:v>OK</x:v>
      </x:c>
    </x:row>
    <x:row r="52">
      <x:c r="A52" s="16" t="str">
        <x:f>IF(RECORD!B40="","",RECORD!B40)</x:f>
        <x:v>2024-00665</x:v>
      </x:c>
      <x:c r="B52" s="16" t="str">
        <x:f>IF(RECORD!C40="","",RECORD!C40)</x:f>
        <x:v>Santos, Xandra J.</x:v>
      </x:c>
      <x:c r="C52" s="11" t="n">
        <x:f>'Direct CLO'!I31</x:f>
        <x:v>49.523809523809526</x:v>
      </x:c>
      <x:c r="D52" s="11" t="n">
        <x:f>'Indirect CLO'!D31</x:f>
        <x:v>40</x:v>
      </x:c>
      <x:c r="E52" s="11">
        <x:f t="shared" si="0"/>
        <x:v>46.666666666666664</x:v>
      </x:c>
      <x:c r="F52" s="12" t="str">
        <x:f t="shared" si="1"/>
        <x:v>AT-RISK</x:v>
      </x:c>
      <x:c r="G52" s="11" t="n">
        <x:f>'Direct CLO'!P31</x:f>
        <x:v>47.40740740740741</x:v>
      </x:c>
      <x:c r="H52" s="11" t="n">
        <x:f>'Indirect CLO'!F31</x:f>
        <x:v>40</x:v>
      </x:c>
      <x:c r="I52" s="11">
        <x:f t="shared" si="2"/>
        <x:v>45.185185185185183</x:v>
      </x:c>
      <x:c r="J52" s="12" t="str">
        <x:f t="shared" si="3"/>
        <x:v>AT-RISK</x:v>
      </x:c>
      <x:c r="K52" s="11" t="n">
        <x:f>'Direct CLO'!W31</x:f>
        <x:v>53.65853658536586</x:v>
      </x:c>
      <x:c r="L52" s="11" t="n">
        <x:f>'Indirect CLO'!H31</x:f>
        <x:v>40</x:v>
      </x:c>
      <x:c r="M52" s="11">
        <x:f t="shared" si="4"/>
        <x:v>49.560975609756099</x:v>
      </x:c>
      <x:c r="N52" s="12" t="str">
        <x:f t="shared" si="5"/>
        <x:v>AT-RISK</x:v>
      </x:c>
      <x:c r="O52" s="11" t="n">
        <x:f>'Direct CLO'!AD31</x:f>
        <x:v>44.44444444444444</x:v>
      </x:c>
      <x:c r="P52" s="11" t="n">
        <x:f>'Indirect CLO'!J31</x:f>
        <x:v>40</x:v>
      </x:c>
      <x:c r="Q52" s="11">
        <x:f t="shared" si="6"/>
        <x:v>43.111111111111107</x:v>
      </x:c>
      <x:c r="R52" s="12" t="str">
        <x:f t="shared" si="7"/>
        <x:v>AT-RISK</x:v>
      </x:c>
      <x:c r="S52" s="11" t="n">
        <x:f>'Direct CLO'!AK31</x:f>
        <x:v>48</x:v>
      </x:c>
      <x:c r="T52" s="11" t="n">
        <x:f>'Indirect CLO'!L31</x:f>
        <x:v>40</x:v>
      </x:c>
      <x:c r="U52" s="11">
        <x:f t="shared" si="8"/>
        <x:v>45.599999999999994</x:v>
      </x:c>
      <x:c r="V52" s="12" t="str">
        <x:f t="shared" si="9"/>
        <x:v>AT-RISK</x:v>
      </x:c>
    </x:row>
    <x:row r="53">
      <x:c r="A53" s="16" t="str">
        <x:f>IF(RECORD!B41="","",RECORD!B41)</x:f>
        <x:v>2024-00687</x:v>
      </x:c>
      <x:c r="B53" s="16" t="str">
        <x:f>IF(RECORD!C41="","",RECORD!C41)</x:f>
        <x:v>Alvarez, Ivan A.</x:v>
      </x:c>
      <x:c r="C53" s="11" t="n">
        <x:f>'Direct CLO'!I32</x:f>
        <x:v>86.66666666666667</x:v>
      </x:c>
      <x:c r="D53" s="11" t="n">
        <x:f>'Indirect CLO'!D32</x:f>
        <x:v>80</x:v>
      </x:c>
      <x:c r="E53" s="11">
        <x:f t="shared" si="0"/>
        <x:v>84.666666666666657</x:v>
      </x:c>
      <x:c r="F53" s="12" t="str">
        <x:f t="shared" si="1"/>
        <x:v>OK</x:v>
      </x:c>
      <x:c r="G53" s="11" t="n">
        <x:f>'Direct CLO'!P32</x:f>
        <x:v>85.92592592592592</x:v>
      </x:c>
      <x:c r="H53" s="11" t="n">
        <x:f>'Indirect CLO'!F32</x:f>
        <x:v>80</x:v>
      </x:c>
      <x:c r="I53" s="11">
        <x:f t="shared" si="2"/>
        <x:v>84.148148148148152</x:v>
      </x:c>
      <x:c r="J53" s="12" t="str">
        <x:f t="shared" si="3"/>
        <x:v>OK</x:v>
      </x:c>
      <x:c r="K53" s="11" t="n">
        <x:f>'Direct CLO'!W32</x:f>
        <x:v>88.29268292682927</x:v>
      </x:c>
      <x:c r="L53" s="11" t="n">
        <x:f>'Indirect CLO'!H32</x:f>
        <x:v>80</x:v>
      </x:c>
      <x:c r="M53" s="11">
        <x:f t="shared" si="4"/>
        <x:v>85.804878048780495</x:v>
      </x:c>
      <x:c r="N53" s="12" t="str">
        <x:f t="shared" si="5"/>
        <x:v>OK</x:v>
      </x:c>
      <x:c r="O53" s="11" t="n">
        <x:f>'Direct CLO'!AD32</x:f>
        <x:v>84.44444444444444</x:v>
      </x:c>
      <x:c r="P53" s="11" t="n">
        <x:f>'Indirect CLO'!J32</x:f>
        <x:v>80</x:v>
      </x:c>
      <x:c r="Q53" s="11">
        <x:f t="shared" si="6"/>
        <x:v>83.111111111111114</x:v>
      </x:c>
      <x:c r="R53" s="12" t="str">
        <x:f t="shared" si="7"/>
        <x:v>OK</x:v>
      </x:c>
      <x:c r="S53" s="11" t="n">
        <x:f>'Direct CLO'!AK32</x:f>
        <x:v>88</x:v>
      </x:c>
      <x:c r="T53" s="11" t="n">
        <x:f>'Indirect CLO'!L32</x:f>
        <x:v>80</x:v>
      </x:c>
      <x:c r="U53" s="11">
        <x:f t="shared" si="8"/>
        <x:v>85.6</x:v>
      </x:c>
      <x:c r="V53" s="12" t="str">
        <x:f t="shared" si="9"/>
        <x:v>OK</x:v>
      </x:c>
    </x:row>
    <x:row r="54">
      <x:c r="A54" s="16" t="str">
        <x:f>IF(RECORD!B42="","",RECORD!B42)</x:f>
        <x:v>2024-00709</x:v>
      </x:c>
      <x:c r="B54" s="16" t="str">
        <x:f>IF(RECORD!C42="","",RECORD!C42)</x:f>
        <x:v>Pascual, Uriel V.</x:v>
      </x:c>
      <x:c r="C54" s="11" t="n">
        <x:f>'Direct CLO'!I33</x:f>
        <x:v>94.28571428571428</x:v>
      </x:c>
      <x:c r="D54" s="11" t="n">
        <x:f>'Indirect CLO'!D33</x:f>
        <x:v>100</x:v>
      </x:c>
      <x:c r="E54" s="11">
        <x:f t="shared" si="0"/>
        <x:v>95.999999999999986</x:v>
      </x:c>
      <x:c r="F54" s="12" t="str">
        <x:f t="shared" si="1"/>
        <x:v>OK</x:v>
      </x:c>
      <x:c r="G54" s="11" t="n">
        <x:f>'Direct CLO'!P33</x:f>
        <x:v>94.07407407407408</x:v>
      </x:c>
      <x:c r="H54" s="11" t="n">
        <x:f>'Indirect CLO'!F33</x:f>
        <x:v>80</x:v>
      </x:c>
      <x:c r="I54" s="11">
        <x:f t="shared" si="2"/>
        <x:v>89.851851851851848</x:v>
      </x:c>
      <x:c r="J54" s="12" t="str">
        <x:f t="shared" si="3"/>
        <x:v>OK</x:v>
      </x:c>
      <x:c r="K54" s="11" t="n">
        <x:f>'Direct CLO'!W33</x:f>
        <x:v>93.65853658536587</x:v>
      </x:c>
      <x:c r="L54" s="11" t="n">
        <x:f>'Indirect CLO'!H33</x:f>
        <x:v>100</x:v>
      </x:c>
      <x:c r="M54" s="11">
        <x:f t="shared" si="4"/>
        <x:v>95.560975609756099</x:v>
      </x:c>
      <x:c r="N54" s="12" t="str">
        <x:f t="shared" si="5"/>
        <x:v>OK</x:v>
      </x:c>
      <x:c r="O54" s="11" t="n">
        <x:f>'Direct CLO'!AD33</x:f>
        <x:v>91.11111111111111</x:v>
      </x:c>
      <x:c r="P54" s="11" t="n">
        <x:f>'Indirect CLO'!J33</x:f>
        <x:v>80</x:v>
      </x:c>
      <x:c r="Q54" s="11">
        <x:f t="shared" si="6"/>
        <x:v>87.777777777777771</x:v>
      </x:c>
      <x:c r="R54" s="12" t="str">
        <x:f t="shared" si="7"/>
        <x:v>OK</x:v>
      </x:c>
      <x:c r="S54" s="11" t="n">
        <x:f>'Direct CLO'!AK33</x:f>
        <x:v>94.66666666666667</x:v>
      </x:c>
      <x:c r="T54" s="11" t="n">
        <x:f>'Indirect CLO'!L33</x:f>
        <x:v>100</x:v>
      </x:c>
      <x:c r="U54" s="11">
        <x:f t="shared" si="8"/>
        <x:v>96.266666666666666</x:v>
      </x:c>
      <x:c r="V54" s="12" t="str">
        <x:f t="shared" si="9"/>
        <x:v>OK</x:v>
      </x:c>
    </x:row>
    <x:row r="55">
      <x:c r="A55" s="16" t="str">
        <x:f>IF(RECORD!B43="","",RECORD!B43)</x:f>
        <x:v>2024-00731</x:v>
      </x:c>
      <x:c r="B55" s="16" t="str">
        <x:f>IF(RECORD!C43="","",RECORD!C43)</x:f>
        <x:v>De Guzman, Patricia O.</x:v>
      </x:c>
      <x:c r="C55" s="11" t="n">
        <x:f>'Direct CLO'!I34</x:f>
        <x:v>77.14285714285715</x:v>
      </x:c>
      <x:c r="D55" s="11" t="n">
        <x:f>'Indirect CLO'!D34</x:f>
        <x:v>60</x:v>
      </x:c>
      <x:c r="E55" s="11">
        <x:f t="shared" si="0"/>
        <x:v>72</x:v>
      </x:c>
      <x:c r="F55" s="12" t="str">
        <x:f t="shared" si="1"/>
        <x:v>OK</x:v>
      </x:c>
      <x:c r="G55" s="11" t="n">
        <x:f>'Direct CLO'!P34</x:f>
        <x:v>75.55555555555556</x:v>
      </x:c>
      <x:c r="H55" s="11" t="n">
        <x:f>'Indirect CLO'!F34</x:f>
        <x:v>80</x:v>
      </x:c>
      <x:c r="I55" s="11">
        <x:f t="shared" si="2"/>
        <x:v>76.888888888888886</x:v>
      </x:c>
      <x:c r="J55" s="12" t="str">
        <x:f t="shared" si="3"/>
        <x:v>OK</x:v>
      </x:c>
      <x:c r="K55" s="11" t="n">
        <x:f>'Direct CLO'!W34</x:f>
        <x:v>77.5609756097561</x:v>
      </x:c>
      <x:c r="L55" s="11" t="n">
        <x:f>'Indirect CLO'!H34</x:f>
        <x:v>60</x:v>
      </x:c>
      <x:c r="M55" s="11">
        <x:f t="shared" si="4"/>
        <x:v>72.292682926829258</x:v>
      </x:c>
      <x:c r="N55" s="12" t="str">
        <x:f t="shared" si="5"/>
        <x:v>OK</x:v>
      </x:c>
      <x:c r="O55" s="11" t="n">
        <x:f>'Direct CLO'!AD34</x:f>
        <x:v>71.11111111111111</x:v>
      </x:c>
      <x:c r="P55" s="11" t="n">
        <x:f>'Indirect CLO'!J34</x:f>
        <x:v>60</x:v>
      </x:c>
      <x:c r="Q55" s="11">
        <x:f t="shared" si="6"/>
        <x:v>67.777777777777771</x:v>
      </x:c>
      <x:c r="R55" s="12" t="str">
        <x:f t="shared" si="7"/>
        <x:v>AT-RISK</x:v>
      </x:c>
      <x:c r="S55" s="11" t="n">
        <x:f>'Direct CLO'!AK34</x:f>
        <x:v>76</x:v>
      </x:c>
      <x:c r="T55" s="11" t="n">
        <x:f>'Indirect CLO'!L34</x:f>
        <x:v>60</x:v>
      </x:c>
      <x:c r="U55" s="11">
        <x:f t="shared" si="8"/>
        <x:v>71.199999999999989</x:v>
      </x:c>
      <x:c r="V55" s="12" t="str">
        <x:f t="shared" si="9"/>
        <x:v>OK</x:v>
      </x:c>
    </x:row>
    <x:row r="56">
      <x:c r="A56" s="16" t="str">
        <x:f>IF(RECORD!B44="","",RECORD!B44)</x:f>
      </x:c>
      <x:c r="B56" s="16" t="str">
        <x:f>IF(RECORD!C44="","",RECORD!C44)</x:f>
      </x:c>
      <x:c r="C56" s="11" t="n">
        <x:f>'Direct CLO'!I35</x:f>
        <x:v>0</x:v>
      </x:c>
      <x:c r="D56" s="11" t="n">
        <x:f>'Indirect CLO'!D35</x:f>
        <x:v>0</x:v>
      </x:c>
      <x:c r="E56" s="11" t="str">
        <x:f t="shared" si="0"/>
      </x:c>
      <x:c r="F56" s="12" t="str">
        <x:f t="shared" si="1"/>
      </x:c>
      <x:c r="G56" s="11" t="n">
        <x:f>'Direct CLO'!P35</x:f>
        <x:v>0</x:v>
      </x:c>
      <x:c r="H56" s="11" t="n">
        <x:f>'Indirect CLO'!F35</x:f>
        <x:v>0</x:v>
      </x:c>
      <x:c r="I56" s="11" t="str">
        <x:f t="shared" si="2"/>
      </x:c>
      <x:c r="J56" s="12" t="str">
        <x:f t="shared" si="3"/>
      </x:c>
      <x:c r="K56" s="11" t="n">
        <x:f>'Direct CLO'!W35</x:f>
        <x:v>0</x:v>
      </x:c>
      <x:c r="L56" s="11" t="n">
        <x:f>'Indirect CLO'!H35</x:f>
        <x:v>0</x:v>
      </x:c>
      <x:c r="M56" s="11" t="str">
        <x:f t="shared" si="4"/>
      </x:c>
      <x:c r="N56" s="12" t="str">
        <x:f t="shared" si="5"/>
      </x:c>
      <x:c r="O56" s="11" t="n">
        <x:f>'Direct CLO'!AD35</x:f>
        <x:v>0</x:v>
      </x:c>
      <x:c r="P56" s="11" t="n">
        <x:f>'Indirect CLO'!J35</x:f>
        <x:v>0</x:v>
      </x:c>
      <x:c r="Q56" s="11" t="str">
        <x:f t="shared" si="6"/>
      </x:c>
      <x:c r="R56" s="12" t="str">
        <x:f t="shared" si="7"/>
      </x:c>
      <x:c r="S56" s="11" t="n">
        <x:f>'Direct CLO'!AK35</x:f>
        <x:v>0</x:v>
      </x:c>
      <x:c r="T56" s="11" t="n">
        <x:f>'Indirect CLO'!L35</x:f>
        <x:v>0</x:v>
      </x:c>
      <x:c r="U56" s="11" t="str">
        <x:f t="shared" si="8"/>
      </x:c>
      <x:c r="V56" s="12" t="str">
        <x:f t="shared" si="9"/>
      </x:c>
    </x:row>
    <x:row r="57">
      <x:c r="A57" s="16" t="str">
        <x:f>IF(RECORD!B45="","",RECORD!B45)</x:f>
      </x:c>
      <x:c r="B57" s="16" t="str">
        <x:f>IF(RECORD!C45="","",RECORD!C45)</x:f>
      </x:c>
      <x:c r="C57" s="11" t="n">
        <x:f>'Direct CLO'!I36</x:f>
        <x:v>0</x:v>
      </x:c>
      <x:c r="D57" s="11" t="n">
        <x:f>'Indirect CLO'!D36</x:f>
        <x:v>0</x:v>
      </x:c>
      <x:c r="E57" s="11" t="str">
        <x:f t="shared" si="0"/>
      </x:c>
      <x:c r="F57" s="12" t="str">
        <x:f t="shared" si="1"/>
      </x:c>
      <x:c r="G57" s="11" t="n">
        <x:f>'Direct CLO'!P36</x:f>
        <x:v>0</x:v>
      </x:c>
      <x:c r="H57" s="11" t="n">
        <x:f>'Indirect CLO'!F36</x:f>
        <x:v>0</x:v>
      </x:c>
      <x:c r="I57" s="11" t="str">
        <x:f t="shared" si="2"/>
      </x:c>
      <x:c r="J57" s="12" t="str">
        <x:f t="shared" si="3"/>
      </x:c>
      <x:c r="K57" s="11" t="n">
        <x:f>'Direct CLO'!W36</x:f>
        <x:v>0</x:v>
      </x:c>
      <x:c r="L57" s="11" t="n">
        <x:f>'Indirect CLO'!H36</x:f>
        <x:v>0</x:v>
      </x:c>
      <x:c r="M57" s="11" t="str">
        <x:f t="shared" si="4"/>
      </x:c>
      <x:c r="N57" s="12" t="str">
        <x:f t="shared" si="5"/>
      </x:c>
      <x:c r="O57" s="11" t="n">
        <x:f>'Direct CLO'!AD36</x:f>
        <x:v>0</x:v>
      </x:c>
      <x:c r="P57" s="11" t="n">
        <x:f>'Indirect CLO'!J36</x:f>
        <x:v>0</x:v>
      </x:c>
      <x:c r="Q57" s="11" t="str">
        <x:f t="shared" si="6"/>
      </x:c>
      <x:c r="R57" s="12" t="str">
        <x:f t="shared" si="7"/>
      </x:c>
      <x:c r="S57" s="11" t="n">
        <x:f>'Direct CLO'!AK36</x:f>
        <x:v>0</x:v>
      </x:c>
      <x:c r="T57" s="11" t="n">
        <x:f>'Indirect CLO'!L36</x:f>
        <x:v>0</x:v>
      </x:c>
      <x:c r="U57" s="11" t="str">
        <x:f t="shared" si="8"/>
      </x:c>
      <x:c r="V57" s="12" t="str">
        <x:f t="shared" si="9"/>
      </x:c>
    </x:row>
    <x:row r="58">
      <x:c r="A58" s="16" t="str">
        <x:f>IF(RECORD!B46="","",RECORD!B46)</x:f>
      </x:c>
      <x:c r="B58" s="16" t="str">
        <x:f>IF(RECORD!C46="","",RECORD!C46)</x:f>
      </x:c>
      <x:c r="C58" s="11" t="str">
        <x:f>'Direct CLO'!I37</x:f>
      </x:c>
      <x:c r="D58" s="11" t="str">
        <x:f>'Indirect CLO'!D37</x:f>
      </x:c>
      <x:c r="E58" s="11" t="n">
        <x:f t="shared" ref="E58:E89" si="10">IFERROR((C58*0.7)+(D58*0.3),"")</x:f>
        <x:v>0</x:v>
      </x:c>
      <x:c r="F58" s="12" t="str">
        <x:f t="shared" ref="F58:F89" si="11">IF(A58&lt;&gt;"",IF(E58&lt;70,"AT-RISK","OK"),"")</x:f>
      </x:c>
      <x:c r="G58" s="11" t="str">
        <x:f>'Direct CLO'!P37</x:f>
      </x:c>
      <x:c r="H58" s="11" t="str">
        <x:f>'Indirect CLO'!F37</x:f>
      </x:c>
      <x:c r="I58" s="11" t="n">
        <x:f t="shared" ref="I58:I89" si="12">IFERROR((G58*0.7)+(H58*0.3),"")</x:f>
        <x:v>0</x:v>
      </x:c>
      <x:c r="J58" s="12" t="str">
        <x:f t="shared" ref="J58:J89" si="13">IF(A58&lt;&gt;"",IF(I58&lt;70,"AT-RISK","OK"),"")</x:f>
      </x:c>
      <x:c r="K58" s="11" t="str">
        <x:f>'Direct CLO'!W37</x:f>
      </x:c>
      <x:c r="L58" s="11" t="str">
        <x:f>'Indirect CLO'!H37</x:f>
      </x:c>
      <x:c r="M58" s="11" t="n">
        <x:f t="shared" ref="M58:M89" si="14">IFERROR((K58*0.7)+(L58*0.3),"")</x:f>
        <x:v>0</x:v>
      </x:c>
      <x:c r="N58" s="12" t="str">
        <x:f t="shared" ref="N58:N89" si="15">IF(A58&lt;&gt;"",IF(M58&lt;70,"AT-RISK","OK"),"")</x:f>
      </x:c>
      <x:c r="O58" s="11" t="str">
        <x:f>'Direct CLO'!AD37</x:f>
      </x:c>
      <x:c r="P58" s="11" t="str">
        <x:f>'Indirect CLO'!J37</x:f>
      </x:c>
      <x:c r="Q58" s="11" t="n">
        <x:f t="shared" ref="Q58:Q89" si="16">IFERROR((O58*0.7)+(P58*0.3),"")</x:f>
        <x:v>0</x:v>
      </x:c>
      <x:c r="R58" s="12" t="str">
        <x:f t="shared" ref="R58:R89" si="17">IF(A58&lt;&gt;"",IF(Q58&lt;70,"AT-RISK","OK"),"")</x:f>
      </x:c>
      <x:c r="S58" s="11" t="n">
        <x:f>'Direct CLO'!AK37</x:f>
        <x:v>0</x:v>
      </x:c>
      <x:c r="T58" s="11" t="n">
        <x:f>'Indirect CLO'!L37</x:f>
        <x:v>0</x:v>
      </x:c>
      <x:c r="U58" s="11" t="n">
        <x:f t="shared" ref="U58:U89" si="18">IFERROR((S58*0.7)+(T58*0.3),"")</x:f>
        <x:v>0</x:v>
      </x:c>
      <x:c r="V58" s="12" t="str">
        <x:f t="shared" ref="V58:V89" si="19">IF(A58&lt;&gt;"",IF(U58&lt;70,"AT-RISK","OK"),"")</x:f>
      </x:c>
    </x:row>
    <x:row r="59">
      <x:c r="A59" s="16" t="str">
        <x:f>IF(RECORD!B47="","",RECORD!B47)</x:f>
      </x:c>
      <x:c r="B59" s="16" t="str">
        <x:f>IF(RECORD!C47="","",RECORD!C47)</x:f>
      </x:c>
      <x:c r="C59" s="11" t="n">
        <x:f>'Direct CLO'!I38</x:f>
        <x:v>0</x:v>
      </x:c>
      <x:c r="D59" s="11" t="n">
        <x:f>'Indirect CLO'!D38</x:f>
        <x:v>0</x:v>
      </x:c>
      <x:c r="E59" s="11" t="str">
        <x:f t="shared" si="10"/>
      </x:c>
      <x:c r="F59" s="12" t="str">
        <x:f t="shared" si="11"/>
      </x:c>
      <x:c r="G59" s="11" t="n">
        <x:f>'Direct CLO'!P38</x:f>
        <x:v>0</x:v>
      </x:c>
      <x:c r="H59" s="11" t="n">
        <x:f>'Indirect CLO'!F38</x:f>
        <x:v>0</x:v>
      </x:c>
      <x:c r="I59" s="11" t="str">
        <x:f t="shared" si="12"/>
      </x:c>
      <x:c r="J59" s="12" t="str">
        <x:f t="shared" si="13"/>
      </x:c>
      <x:c r="K59" s="11" t="n">
        <x:f>'Direct CLO'!W38</x:f>
        <x:v>0</x:v>
      </x:c>
      <x:c r="L59" s="11" t="n">
        <x:f>'Indirect CLO'!H38</x:f>
        <x:v>0</x:v>
      </x:c>
      <x:c r="M59" s="11" t="str">
        <x:f t="shared" si="14"/>
      </x:c>
      <x:c r="N59" s="12" t="str">
        <x:f t="shared" si="15"/>
      </x:c>
      <x:c r="O59" s="11" t="n">
        <x:f>'Direct CLO'!AD38</x:f>
        <x:v>0</x:v>
      </x:c>
      <x:c r="P59" s="11" t="n">
        <x:f>'Indirect CLO'!J38</x:f>
        <x:v>0</x:v>
      </x:c>
      <x:c r="Q59" s="11" t="str">
        <x:f t="shared" si="16"/>
      </x:c>
      <x:c r="R59" s="12" t="str">
        <x:f t="shared" si="17"/>
      </x:c>
      <x:c r="S59" s="11" t="n">
        <x:f>'Direct CLO'!AK38</x:f>
        <x:v>0</x:v>
      </x:c>
      <x:c r="T59" s="11" t="n">
        <x:f>'Indirect CLO'!L38</x:f>
        <x:v>0</x:v>
      </x:c>
      <x:c r="U59" s="11" t="str">
        <x:f t="shared" si="18"/>
      </x:c>
      <x:c r="V59" s="12" t="str">
        <x:f t="shared" si="19"/>
      </x:c>
    </x:row>
    <x:row r="60">
      <x:c r="A60" s="16" t="str">
        <x:f>IF(RECORD!B48="","",RECORD!B48)</x:f>
      </x:c>
      <x:c r="B60" s="16" t="str">
        <x:f>IF(RECORD!C48="","",RECORD!C48)</x:f>
      </x:c>
      <x:c r="C60" s="11" t="n">
        <x:f>'Direct CLO'!I39</x:f>
        <x:v>0</x:v>
      </x:c>
      <x:c r="D60" s="11" t="n">
        <x:f>'Indirect CLO'!D39</x:f>
        <x:v>0</x:v>
      </x:c>
      <x:c r="E60" s="11" t="str">
        <x:f t="shared" si="10"/>
      </x:c>
      <x:c r="F60" s="12" t="str">
        <x:f t="shared" si="11"/>
      </x:c>
      <x:c r="G60" s="11" t="n">
        <x:f>'Direct CLO'!P39</x:f>
        <x:v>0</x:v>
      </x:c>
      <x:c r="H60" s="11" t="n">
        <x:f>'Indirect CLO'!F39</x:f>
        <x:v>0</x:v>
      </x:c>
      <x:c r="I60" s="11" t="str">
        <x:f t="shared" si="12"/>
      </x:c>
      <x:c r="J60" s="12" t="str">
        <x:f t="shared" si="13"/>
      </x:c>
      <x:c r="K60" s="11" t="n">
        <x:f>'Direct CLO'!W39</x:f>
        <x:v>0</x:v>
      </x:c>
      <x:c r="L60" s="11" t="n">
        <x:f>'Indirect CLO'!H39</x:f>
        <x:v>0</x:v>
      </x:c>
      <x:c r="M60" s="11" t="str">
        <x:f t="shared" si="14"/>
      </x:c>
      <x:c r="N60" s="12" t="str">
        <x:f t="shared" si="15"/>
      </x:c>
      <x:c r="O60" s="11" t="n">
        <x:f>'Direct CLO'!AD39</x:f>
        <x:v>0</x:v>
      </x:c>
      <x:c r="P60" s="11" t="n">
        <x:f>'Indirect CLO'!J39</x:f>
        <x:v>0</x:v>
      </x:c>
      <x:c r="Q60" s="11" t="str">
        <x:f t="shared" si="16"/>
      </x:c>
      <x:c r="R60" s="12" t="str">
        <x:f t="shared" si="17"/>
      </x:c>
      <x:c r="S60" s="11" t="n">
        <x:f>'Direct CLO'!AK39</x:f>
        <x:v>0</x:v>
      </x:c>
      <x:c r="T60" s="11" t="n">
        <x:f>'Indirect CLO'!L39</x:f>
        <x:v>0</x:v>
      </x:c>
      <x:c r="U60" s="11" t="str">
        <x:f t="shared" si="18"/>
      </x:c>
      <x:c r="V60" s="12" t="str">
        <x:f t="shared" si="19"/>
      </x:c>
    </x:row>
    <x:row r="61">
      <x:c r="A61" s="16" t="str">
        <x:f>IF(RECORD!B49="","",RECORD!B49)</x:f>
      </x:c>
      <x:c r="B61" s="16" t="str">
        <x:f>IF(RECORD!C49="","",RECORD!C49)</x:f>
      </x:c>
      <x:c r="C61" s="11" t="n">
        <x:f>'Direct CLO'!I40</x:f>
        <x:v>0</x:v>
      </x:c>
      <x:c r="D61" s="11" t="n">
        <x:f>'Indirect CLO'!D40</x:f>
        <x:v>0</x:v>
      </x:c>
      <x:c r="E61" s="11" t="str">
        <x:f t="shared" si="10"/>
      </x:c>
      <x:c r="F61" s="12" t="str">
        <x:f t="shared" si="11"/>
      </x:c>
      <x:c r="G61" s="11" t="n">
        <x:f>'Direct CLO'!P40</x:f>
        <x:v>0</x:v>
      </x:c>
      <x:c r="H61" s="11" t="n">
        <x:f>'Indirect CLO'!F40</x:f>
        <x:v>0</x:v>
      </x:c>
      <x:c r="I61" s="11" t="str">
        <x:f t="shared" si="12"/>
      </x:c>
      <x:c r="J61" s="12" t="str">
        <x:f t="shared" si="13"/>
      </x:c>
      <x:c r="K61" s="11" t="n">
        <x:f>'Direct CLO'!W40</x:f>
        <x:v>0</x:v>
      </x:c>
      <x:c r="L61" s="11" t="n">
        <x:f>'Indirect CLO'!H40</x:f>
        <x:v>0</x:v>
      </x:c>
      <x:c r="M61" s="11" t="str">
        <x:f t="shared" si="14"/>
      </x:c>
      <x:c r="N61" s="12" t="str">
        <x:f t="shared" si="15"/>
      </x:c>
      <x:c r="O61" s="11" t="n">
        <x:f>'Direct CLO'!AD40</x:f>
        <x:v>0</x:v>
      </x:c>
      <x:c r="P61" s="11" t="n">
        <x:f>'Indirect CLO'!J40</x:f>
        <x:v>0</x:v>
      </x:c>
      <x:c r="Q61" s="11" t="str">
        <x:f t="shared" si="16"/>
      </x:c>
      <x:c r="R61" s="12" t="str">
        <x:f t="shared" si="17"/>
      </x:c>
      <x:c r="S61" s="11" t="n">
        <x:f>'Direct CLO'!AK40</x:f>
        <x:v>0</x:v>
      </x:c>
      <x:c r="T61" s="11" t="n">
        <x:f>'Indirect CLO'!L40</x:f>
        <x:v>0</x:v>
      </x:c>
      <x:c r="U61" s="11" t="str">
        <x:f t="shared" si="18"/>
      </x:c>
      <x:c r="V61" s="12" t="str">
        <x:f t="shared" si="19"/>
      </x:c>
    </x:row>
    <x:row r="62">
      <x:c r="A62" s="16" t="str">
        <x:f>IF(RECORD!B50="","",RECORD!B50)</x:f>
      </x:c>
      <x:c r="B62" s="16" t="str">
        <x:f>IF(RECORD!C50="","",RECORD!C50)</x:f>
      </x:c>
      <x:c r="C62" s="11" t="n">
        <x:f>'Direct CLO'!I41</x:f>
        <x:v>0</x:v>
      </x:c>
      <x:c r="D62" s="11" t="n">
        <x:f>'Indirect CLO'!D41</x:f>
        <x:v>0</x:v>
      </x:c>
      <x:c r="E62" s="11" t="str">
        <x:f t="shared" si="10"/>
      </x:c>
      <x:c r="F62" s="12" t="str">
        <x:f t="shared" si="11"/>
      </x:c>
      <x:c r="G62" s="11" t="n">
        <x:f>'Direct CLO'!P41</x:f>
        <x:v>0</x:v>
      </x:c>
      <x:c r="H62" s="11" t="n">
        <x:f>'Indirect CLO'!F41</x:f>
        <x:v>0</x:v>
      </x:c>
      <x:c r="I62" s="11" t="str">
        <x:f t="shared" si="12"/>
      </x:c>
      <x:c r="J62" s="12" t="str">
        <x:f t="shared" si="13"/>
      </x:c>
      <x:c r="K62" s="11" t="n">
        <x:f>'Direct CLO'!W41</x:f>
        <x:v>0</x:v>
      </x:c>
      <x:c r="L62" s="11" t="n">
        <x:f>'Indirect CLO'!H41</x:f>
        <x:v>0</x:v>
      </x:c>
      <x:c r="M62" s="11" t="str">
        <x:f t="shared" si="14"/>
      </x:c>
      <x:c r="N62" s="12" t="str">
        <x:f t="shared" si="15"/>
      </x:c>
      <x:c r="O62" s="11" t="n">
        <x:f>'Direct CLO'!AD41</x:f>
        <x:v>0</x:v>
      </x:c>
      <x:c r="P62" s="11" t="n">
        <x:f>'Indirect CLO'!J41</x:f>
        <x:v>0</x:v>
      </x:c>
      <x:c r="Q62" s="11" t="str">
        <x:f t="shared" si="16"/>
      </x:c>
      <x:c r="R62" s="12" t="str">
        <x:f t="shared" si="17"/>
      </x:c>
      <x:c r="S62" s="11" t="n">
        <x:f>'Direct CLO'!AK41</x:f>
        <x:v>0</x:v>
      </x:c>
      <x:c r="T62" s="11" t="n">
        <x:f>'Indirect CLO'!L41</x:f>
        <x:v>0</x:v>
      </x:c>
      <x:c r="U62" s="11" t="str">
        <x:f t="shared" si="18"/>
      </x:c>
      <x:c r="V62" s="12" t="str">
        <x:f t="shared" si="19"/>
      </x:c>
    </x:row>
    <x:row r="63">
      <x:c r="A63" s="16" t="str">
        <x:f>IF(RECORD!B51="","",RECORD!B51)</x:f>
      </x:c>
      <x:c r="B63" s="16" t="str">
        <x:f>IF(RECORD!C51="","",RECORD!C51)</x:f>
      </x:c>
      <x:c r="C63" s="11" t="n">
        <x:f>'Direct CLO'!I42</x:f>
        <x:v>0</x:v>
      </x:c>
      <x:c r="D63" s="11" t="n">
        <x:f>'Indirect CLO'!D42</x:f>
        <x:v>0</x:v>
      </x:c>
      <x:c r="E63" s="11" t="str">
        <x:f t="shared" si="10"/>
      </x:c>
      <x:c r="F63" s="12" t="str">
        <x:f t="shared" si="11"/>
      </x:c>
      <x:c r="G63" s="11" t="n">
        <x:f>'Direct CLO'!P42</x:f>
        <x:v>0</x:v>
      </x:c>
      <x:c r="H63" s="11" t="n">
        <x:f>'Indirect CLO'!F42</x:f>
        <x:v>0</x:v>
      </x:c>
      <x:c r="I63" s="11" t="str">
        <x:f t="shared" si="12"/>
      </x:c>
      <x:c r="J63" s="12" t="str">
        <x:f t="shared" si="13"/>
      </x:c>
      <x:c r="K63" s="11" t="n">
        <x:f>'Direct CLO'!W42</x:f>
        <x:v>0</x:v>
      </x:c>
      <x:c r="L63" s="11" t="n">
        <x:f>'Indirect CLO'!H42</x:f>
        <x:v>0</x:v>
      </x:c>
      <x:c r="M63" s="11" t="str">
        <x:f t="shared" si="14"/>
      </x:c>
      <x:c r="N63" s="12" t="str">
        <x:f t="shared" si="15"/>
      </x:c>
      <x:c r="O63" s="11" t="n">
        <x:f>'Direct CLO'!AD42</x:f>
        <x:v>0</x:v>
      </x:c>
      <x:c r="P63" s="11" t="n">
        <x:f>'Indirect CLO'!J42</x:f>
        <x:v>0</x:v>
      </x:c>
      <x:c r="Q63" s="11" t="str">
        <x:f t="shared" si="16"/>
      </x:c>
      <x:c r="R63" s="12" t="str">
        <x:f t="shared" si="17"/>
      </x:c>
      <x:c r="S63" s="11" t="n">
        <x:f>'Direct CLO'!AK42</x:f>
        <x:v>0</x:v>
      </x:c>
      <x:c r="T63" s="11" t="n">
        <x:f>'Indirect CLO'!L42</x:f>
        <x:v>0</x:v>
      </x:c>
      <x:c r="U63" s="11" t="str">
        <x:f t="shared" si="18"/>
      </x:c>
      <x:c r="V63" s="12" t="str">
        <x:f t="shared" si="19"/>
      </x:c>
    </x:row>
    <x:row r="64">
      <x:c r="A64" s="16" t="str">
        <x:f>IF(RECORD!B52="","",RECORD!B52)</x:f>
      </x:c>
      <x:c r="B64" s="16" t="str">
        <x:f>IF(RECORD!C52="","",RECORD!C52)</x:f>
      </x:c>
      <x:c r="C64" s="11" t="n">
        <x:f>'Direct CLO'!I43</x:f>
        <x:v>0</x:v>
      </x:c>
      <x:c r="D64" s="11" t="n">
        <x:f>'Indirect CLO'!D43</x:f>
        <x:v>0</x:v>
      </x:c>
      <x:c r="E64" s="11" t="str">
        <x:f t="shared" si="10"/>
      </x:c>
      <x:c r="F64" s="12" t="str">
        <x:f t="shared" si="11"/>
      </x:c>
      <x:c r="G64" s="11" t="n">
        <x:f>'Direct CLO'!P43</x:f>
        <x:v>0</x:v>
      </x:c>
      <x:c r="H64" s="11" t="n">
        <x:f>'Indirect CLO'!F43</x:f>
        <x:v>0</x:v>
      </x:c>
      <x:c r="I64" s="11" t="str">
        <x:f t="shared" si="12"/>
      </x:c>
      <x:c r="J64" s="12" t="str">
        <x:f t="shared" si="13"/>
      </x:c>
      <x:c r="K64" s="11" t="n">
        <x:f>'Direct CLO'!W43</x:f>
        <x:v>0</x:v>
      </x:c>
      <x:c r="L64" s="11" t="n">
        <x:f>'Indirect CLO'!H43</x:f>
        <x:v>0</x:v>
      </x:c>
      <x:c r="M64" s="11" t="str">
        <x:f t="shared" si="14"/>
      </x:c>
      <x:c r="N64" s="12" t="str">
        <x:f t="shared" si="15"/>
      </x:c>
      <x:c r="O64" s="11" t="n">
        <x:f>'Direct CLO'!AD43</x:f>
        <x:v>0</x:v>
      </x:c>
      <x:c r="P64" s="11" t="n">
        <x:f>'Indirect CLO'!J43</x:f>
        <x:v>0</x:v>
      </x:c>
      <x:c r="Q64" s="11" t="str">
        <x:f t="shared" si="16"/>
      </x:c>
      <x:c r="R64" s="12" t="str">
        <x:f t="shared" si="17"/>
      </x:c>
      <x:c r="S64" s="11" t="n">
        <x:f>'Direct CLO'!AK43</x:f>
        <x:v>0</x:v>
      </x:c>
      <x:c r="T64" s="11" t="n">
        <x:f>'Indirect CLO'!L43</x:f>
        <x:v>0</x:v>
      </x:c>
      <x:c r="U64" s="11" t="str">
        <x:f t="shared" si="18"/>
      </x:c>
      <x:c r="V64" s="12" t="str">
        <x:f t="shared" si="19"/>
      </x:c>
    </x:row>
    <x:row r="65">
      <x:c r="A65" s="16" t="str">
        <x:f>IF(RECORD!B53="","",RECORD!B53)</x:f>
      </x:c>
      <x:c r="B65" s="16" t="str">
        <x:f>IF(RECORD!C53="","",RECORD!C53)</x:f>
      </x:c>
      <x:c r="C65" s="11" t="n">
        <x:f>'Direct CLO'!I44</x:f>
        <x:v>0</x:v>
      </x:c>
      <x:c r="D65" s="11" t="n">
        <x:f>'Indirect CLO'!D44</x:f>
        <x:v>0</x:v>
      </x:c>
      <x:c r="E65" s="11" t="str">
        <x:f t="shared" si="10"/>
      </x:c>
      <x:c r="F65" s="12" t="str">
        <x:f t="shared" si="11"/>
      </x:c>
      <x:c r="G65" s="11" t="n">
        <x:f>'Direct CLO'!P44</x:f>
        <x:v>0</x:v>
      </x:c>
      <x:c r="H65" s="11" t="n">
        <x:f>'Indirect CLO'!F44</x:f>
        <x:v>0</x:v>
      </x:c>
      <x:c r="I65" s="11" t="str">
        <x:f t="shared" si="12"/>
      </x:c>
      <x:c r="J65" s="12" t="str">
        <x:f t="shared" si="13"/>
      </x:c>
      <x:c r="K65" s="11" t="n">
        <x:f>'Direct CLO'!W44</x:f>
        <x:v>0</x:v>
      </x:c>
      <x:c r="L65" s="11" t="n">
        <x:f>'Indirect CLO'!H44</x:f>
        <x:v>0</x:v>
      </x:c>
      <x:c r="M65" s="11" t="str">
        <x:f t="shared" si="14"/>
      </x:c>
      <x:c r="N65" s="12" t="str">
        <x:f t="shared" si="15"/>
      </x:c>
      <x:c r="O65" s="11" t="n">
        <x:f>'Direct CLO'!AD44</x:f>
        <x:v>0</x:v>
      </x:c>
      <x:c r="P65" s="11" t="n">
        <x:f>'Indirect CLO'!J44</x:f>
        <x:v>0</x:v>
      </x:c>
      <x:c r="Q65" s="11" t="str">
        <x:f t="shared" si="16"/>
      </x:c>
      <x:c r="R65" s="12" t="str">
        <x:f t="shared" si="17"/>
      </x:c>
      <x:c r="S65" s="11" t="n">
        <x:f>'Direct CLO'!AK44</x:f>
        <x:v>0</x:v>
      </x:c>
      <x:c r="T65" s="11" t="n">
        <x:f>'Indirect CLO'!L44</x:f>
        <x:v>0</x:v>
      </x:c>
      <x:c r="U65" s="11" t="str">
        <x:f t="shared" si="18"/>
      </x:c>
      <x:c r="V65" s="12" t="str">
        <x:f t="shared" si="19"/>
      </x:c>
    </x:row>
    <x:row r="66">
      <x:c r="A66" s="16" t="str">
        <x:f>IF(RECORD!B54="","",RECORD!B54)</x:f>
      </x:c>
      <x:c r="B66" s="16" t="str">
        <x:f>IF(RECORD!C54="","",RECORD!C54)</x:f>
      </x:c>
      <x:c r="C66" s="11" t="n">
        <x:f>'Direct CLO'!I45</x:f>
        <x:v>0</x:v>
      </x:c>
      <x:c r="D66" s="11" t="n">
        <x:f>'Indirect CLO'!D45</x:f>
        <x:v>0</x:v>
      </x:c>
      <x:c r="E66" s="11" t="str">
        <x:f t="shared" si="10"/>
      </x:c>
      <x:c r="F66" s="12" t="str">
        <x:f t="shared" si="11"/>
      </x:c>
      <x:c r="G66" s="11" t="n">
        <x:f>'Direct CLO'!P45</x:f>
        <x:v>0</x:v>
      </x:c>
      <x:c r="H66" s="11" t="n">
        <x:f>'Indirect CLO'!F45</x:f>
        <x:v>0</x:v>
      </x:c>
      <x:c r="I66" s="11" t="str">
        <x:f t="shared" si="12"/>
      </x:c>
      <x:c r="J66" s="12" t="str">
        <x:f t="shared" si="13"/>
      </x:c>
      <x:c r="K66" s="11" t="n">
        <x:f>'Direct CLO'!W45</x:f>
        <x:v>0</x:v>
      </x:c>
      <x:c r="L66" s="11" t="n">
        <x:f>'Indirect CLO'!H45</x:f>
        <x:v>0</x:v>
      </x:c>
      <x:c r="M66" s="11" t="str">
        <x:f t="shared" si="14"/>
      </x:c>
      <x:c r="N66" s="12" t="str">
        <x:f t="shared" si="15"/>
      </x:c>
      <x:c r="O66" s="11" t="n">
        <x:f>'Direct CLO'!AD45</x:f>
        <x:v>0</x:v>
      </x:c>
      <x:c r="P66" s="11" t="n">
        <x:f>'Indirect CLO'!J45</x:f>
        <x:v>0</x:v>
      </x:c>
      <x:c r="Q66" s="11" t="str">
        <x:f t="shared" si="16"/>
      </x:c>
      <x:c r="R66" s="12" t="str">
        <x:f t="shared" si="17"/>
      </x:c>
      <x:c r="S66" s="11" t="n">
        <x:f>'Direct CLO'!AK45</x:f>
        <x:v>0</x:v>
      </x:c>
      <x:c r="T66" s="11" t="n">
        <x:f>'Indirect CLO'!L45</x:f>
        <x:v>0</x:v>
      </x:c>
      <x:c r="U66" s="11" t="str">
        <x:f t="shared" si="18"/>
      </x:c>
      <x:c r="V66" s="12" t="str">
        <x:f t="shared" si="19"/>
      </x:c>
    </x:row>
    <x:row r="67">
      <x:c r="A67" s="16" t="str">
        <x:f>IF(RECORD!B55="","",RECORD!B55)</x:f>
      </x:c>
      <x:c r="B67" s="16" t="str">
        <x:f>IF(RECORD!C55="","",RECORD!C55)</x:f>
      </x:c>
      <x:c r="C67" s="11" t="n">
        <x:f>'Direct CLO'!I46</x:f>
        <x:v>0</x:v>
      </x:c>
      <x:c r="D67" s="11" t="n">
        <x:f>'Indirect CLO'!D46</x:f>
        <x:v>0</x:v>
      </x:c>
      <x:c r="E67" s="11" t="str">
        <x:f t="shared" si="10"/>
      </x:c>
      <x:c r="F67" s="12" t="str">
        <x:f t="shared" si="11"/>
      </x:c>
      <x:c r="G67" s="11" t="n">
        <x:f>'Direct CLO'!P46</x:f>
        <x:v>0</x:v>
      </x:c>
      <x:c r="H67" s="11" t="n">
        <x:f>'Indirect CLO'!F46</x:f>
        <x:v>0</x:v>
      </x:c>
      <x:c r="I67" s="11" t="str">
        <x:f t="shared" si="12"/>
      </x:c>
      <x:c r="J67" s="12" t="str">
        <x:f t="shared" si="13"/>
      </x:c>
      <x:c r="K67" s="11" t="n">
        <x:f>'Direct CLO'!W46</x:f>
        <x:v>0</x:v>
      </x:c>
      <x:c r="L67" s="11" t="n">
        <x:f>'Indirect CLO'!H46</x:f>
        <x:v>0</x:v>
      </x:c>
      <x:c r="M67" s="11" t="str">
        <x:f t="shared" si="14"/>
      </x:c>
      <x:c r="N67" s="12" t="str">
        <x:f t="shared" si="15"/>
      </x:c>
      <x:c r="O67" s="11" t="n">
        <x:f>'Direct CLO'!AD46</x:f>
        <x:v>0</x:v>
      </x:c>
      <x:c r="P67" s="11" t="n">
        <x:f>'Indirect CLO'!J46</x:f>
        <x:v>0</x:v>
      </x:c>
      <x:c r="Q67" s="11" t="str">
        <x:f t="shared" si="16"/>
      </x:c>
      <x:c r="R67" s="12" t="str">
        <x:f t="shared" si="17"/>
      </x:c>
      <x:c r="S67" s="11" t="n">
        <x:f>'Direct CLO'!AK46</x:f>
        <x:v>0</x:v>
      </x:c>
      <x:c r="T67" s="11" t="n">
        <x:f>'Indirect CLO'!L46</x:f>
        <x:v>0</x:v>
      </x:c>
      <x:c r="U67" s="11" t="str">
        <x:f t="shared" si="18"/>
      </x:c>
      <x:c r="V67" s="12" t="str">
        <x:f t="shared" si="19"/>
      </x:c>
    </x:row>
    <x:row r="68">
      <x:c r="A68" s="16" t="str">
        <x:f>IF(RECORD!B56="","",RECORD!B56)</x:f>
      </x:c>
      <x:c r="B68" s="16" t="str">
        <x:f>IF(RECORD!C56="","",RECORD!C56)</x:f>
      </x:c>
      <x:c r="C68" s="11" t="n">
        <x:f>'Direct CLO'!I47</x:f>
        <x:v>0</x:v>
      </x:c>
      <x:c r="D68" s="11" t="n">
        <x:f>'Indirect CLO'!D47</x:f>
        <x:v>0</x:v>
      </x:c>
      <x:c r="E68" s="11" t="str">
        <x:f t="shared" si="10"/>
      </x:c>
      <x:c r="F68" s="12" t="str">
        <x:f t="shared" si="11"/>
      </x:c>
      <x:c r="G68" s="11" t="n">
        <x:f>'Direct CLO'!P47</x:f>
        <x:v>0</x:v>
      </x:c>
      <x:c r="H68" s="11" t="n">
        <x:f>'Indirect CLO'!F47</x:f>
        <x:v>0</x:v>
      </x:c>
      <x:c r="I68" s="11" t="str">
        <x:f t="shared" si="12"/>
      </x:c>
      <x:c r="J68" s="12" t="str">
        <x:f t="shared" si="13"/>
      </x:c>
      <x:c r="K68" s="11" t="n">
        <x:f>'Direct CLO'!W47</x:f>
        <x:v>0</x:v>
      </x:c>
      <x:c r="L68" s="11" t="n">
        <x:f>'Indirect CLO'!H47</x:f>
        <x:v>0</x:v>
      </x:c>
      <x:c r="M68" s="11" t="str">
        <x:f t="shared" si="14"/>
      </x:c>
      <x:c r="N68" s="12" t="str">
        <x:f t="shared" si="15"/>
      </x:c>
      <x:c r="O68" s="11" t="n">
        <x:f>'Direct CLO'!AD47</x:f>
        <x:v>0</x:v>
      </x:c>
      <x:c r="P68" s="11" t="n">
        <x:f>'Indirect CLO'!J47</x:f>
        <x:v>0</x:v>
      </x:c>
      <x:c r="Q68" s="11" t="str">
        <x:f t="shared" si="16"/>
      </x:c>
      <x:c r="R68" s="12" t="str">
        <x:f t="shared" si="17"/>
      </x:c>
      <x:c r="S68" s="11" t="n">
        <x:f>'Direct CLO'!AK47</x:f>
        <x:v>0</x:v>
      </x:c>
      <x:c r="T68" s="11" t="n">
        <x:f>'Indirect CLO'!L47</x:f>
        <x:v>0</x:v>
      </x:c>
      <x:c r="U68" s="11" t="str">
        <x:f t="shared" si="18"/>
      </x:c>
      <x:c r="V68" s="12" t="str">
        <x:f t="shared" si="19"/>
      </x:c>
    </x:row>
    <x:row r="69">
      <x:c r="A69" s="16" t="str">
        <x:f>IF(RECORD!B57="","",RECORD!B57)</x:f>
      </x:c>
      <x:c r="B69" s="16" t="str">
        <x:f>IF(RECORD!C57="","",RECORD!C57)</x:f>
      </x:c>
      <x:c r="C69" s="11" t="n">
        <x:f>'Direct CLO'!I48</x:f>
        <x:v>0</x:v>
      </x:c>
      <x:c r="D69" s="11" t="n">
        <x:f>'Indirect CLO'!D48</x:f>
        <x:v>0</x:v>
      </x:c>
      <x:c r="E69" s="11" t="str">
        <x:f t="shared" si="10"/>
      </x:c>
      <x:c r="F69" s="12" t="str">
        <x:f t="shared" si="11"/>
      </x:c>
      <x:c r="G69" s="11" t="n">
        <x:f>'Direct CLO'!P48</x:f>
        <x:v>0</x:v>
      </x:c>
      <x:c r="H69" s="11" t="n">
        <x:f>'Indirect CLO'!F48</x:f>
        <x:v>0</x:v>
      </x:c>
      <x:c r="I69" s="11" t="str">
        <x:f t="shared" si="12"/>
      </x:c>
      <x:c r="J69" s="12" t="str">
        <x:f t="shared" si="13"/>
      </x:c>
      <x:c r="K69" s="11" t="n">
        <x:f>'Direct CLO'!W48</x:f>
        <x:v>0</x:v>
      </x:c>
      <x:c r="L69" s="11" t="n">
        <x:f>'Indirect CLO'!H48</x:f>
        <x:v>0</x:v>
      </x:c>
      <x:c r="M69" s="11" t="str">
        <x:f t="shared" si="14"/>
      </x:c>
      <x:c r="N69" s="12" t="str">
        <x:f t="shared" si="15"/>
      </x:c>
      <x:c r="O69" s="11" t="n">
        <x:f>'Direct CLO'!AD48</x:f>
        <x:v>0</x:v>
      </x:c>
      <x:c r="P69" s="11" t="n">
        <x:f>'Indirect CLO'!J48</x:f>
        <x:v>0</x:v>
      </x:c>
      <x:c r="Q69" s="11" t="str">
        <x:f t="shared" si="16"/>
      </x:c>
      <x:c r="R69" s="12" t="str">
        <x:f t="shared" si="17"/>
      </x:c>
      <x:c r="S69" s="11" t="n">
        <x:f>'Direct CLO'!AK48</x:f>
        <x:v>0</x:v>
      </x:c>
      <x:c r="T69" s="11" t="n">
        <x:f>'Indirect CLO'!L48</x:f>
        <x:v>0</x:v>
      </x:c>
      <x:c r="U69" s="11" t="str">
        <x:f t="shared" si="18"/>
      </x:c>
      <x:c r="V69" s="12" t="str">
        <x:f t="shared" si="19"/>
      </x:c>
    </x:row>
    <x:row r="70">
      <x:c r="A70" s="16" t="str">
        <x:f>IF(RECORD!B58="","",RECORD!B58)</x:f>
      </x:c>
      <x:c r="B70" s="16" t="str">
        <x:f>IF(RECORD!C58="","",RECORD!C58)</x:f>
      </x:c>
      <x:c r="C70" s="11" t="n">
        <x:f>'Direct CLO'!I49</x:f>
        <x:v>0</x:v>
      </x:c>
      <x:c r="D70" s="11" t="n">
        <x:f>'Indirect CLO'!D49</x:f>
        <x:v>0</x:v>
      </x:c>
      <x:c r="E70" s="11" t="str">
        <x:f t="shared" si="10"/>
      </x:c>
      <x:c r="F70" s="12" t="str">
        <x:f t="shared" si="11"/>
      </x:c>
      <x:c r="G70" s="11" t="n">
        <x:f>'Direct CLO'!P49</x:f>
        <x:v>0</x:v>
      </x:c>
      <x:c r="H70" s="11" t="n">
        <x:f>'Indirect CLO'!F49</x:f>
        <x:v>0</x:v>
      </x:c>
      <x:c r="I70" s="11" t="str">
        <x:f t="shared" si="12"/>
      </x:c>
      <x:c r="J70" s="12" t="str">
        <x:f t="shared" si="13"/>
      </x:c>
      <x:c r="K70" s="11" t="n">
        <x:f>'Direct CLO'!W49</x:f>
        <x:v>0</x:v>
      </x:c>
      <x:c r="L70" s="11" t="n">
        <x:f>'Indirect CLO'!H49</x:f>
        <x:v>0</x:v>
      </x:c>
      <x:c r="M70" s="11" t="str">
        <x:f t="shared" si="14"/>
      </x:c>
      <x:c r="N70" s="12" t="str">
        <x:f t="shared" si="15"/>
      </x:c>
      <x:c r="O70" s="11" t="n">
        <x:f>'Direct CLO'!AD49</x:f>
        <x:v>0</x:v>
      </x:c>
      <x:c r="P70" s="11" t="n">
        <x:f>'Indirect CLO'!J49</x:f>
        <x:v>0</x:v>
      </x:c>
      <x:c r="Q70" s="11" t="str">
        <x:f t="shared" si="16"/>
      </x:c>
      <x:c r="R70" s="12" t="str">
        <x:f t="shared" si="17"/>
      </x:c>
      <x:c r="S70" s="11" t="n">
        <x:f>'Direct CLO'!AK49</x:f>
        <x:v>0</x:v>
      </x:c>
      <x:c r="T70" s="11" t="n">
        <x:f>'Indirect CLO'!L49</x:f>
        <x:v>0</x:v>
      </x:c>
      <x:c r="U70" s="11" t="str">
        <x:f t="shared" si="18"/>
      </x:c>
      <x:c r="V70" s="12" t="str">
        <x:f t="shared" si="19"/>
      </x:c>
    </x:row>
    <x:row r="71">
      <x:c r="A71" s="16" t="str">
        <x:f>IF(RECORD!B59="","",RECORD!B59)</x:f>
      </x:c>
      <x:c r="B71" s="16" t="str">
        <x:f>IF(RECORD!C59="","",RECORD!C59)</x:f>
      </x:c>
      <x:c r="C71" s="11" t="n">
        <x:f>'Direct CLO'!I50</x:f>
        <x:v>0</x:v>
      </x:c>
      <x:c r="D71" s="11" t="n">
        <x:f>'Indirect CLO'!D50</x:f>
        <x:v>0</x:v>
      </x:c>
      <x:c r="E71" s="11" t="str">
        <x:f t="shared" si="10"/>
      </x:c>
      <x:c r="F71" s="12" t="str">
        <x:f t="shared" si="11"/>
      </x:c>
      <x:c r="G71" s="11" t="n">
        <x:f>'Direct CLO'!P50</x:f>
        <x:v>0</x:v>
      </x:c>
      <x:c r="H71" s="11" t="n">
        <x:f>'Indirect CLO'!F50</x:f>
        <x:v>0</x:v>
      </x:c>
      <x:c r="I71" s="11" t="str">
        <x:f t="shared" si="12"/>
      </x:c>
      <x:c r="J71" s="12" t="str">
        <x:f t="shared" si="13"/>
      </x:c>
      <x:c r="K71" s="11" t="n">
        <x:f>'Direct CLO'!W50</x:f>
        <x:v>0</x:v>
      </x:c>
      <x:c r="L71" s="11" t="n">
        <x:f>'Indirect CLO'!H50</x:f>
        <x:v>0</x:v>
      </x:c>
      <x:c r="M71" s="11" t="str">
        <x:f t="shared" si="14"/>
      </x:c>
      <x:c r="N71" s="12" t="str">
        <x:f t="shared" si="15"/>
      </x:c>
      <x:c r="O71" s="11" t="n">
        <x:f>'Direct CLO'!AD50</x:f>
        <x:v>0</x:v>
      </x:c>
      <x:c r="P71" s="11" t="n">
        <x:f>'Indirect CLO'!J50</x:f>
        <x:v>0</x:v>
      </x:c>
      <x:c r="Q71" s="11" t="str">
        <x:f t="shared" si="16"/>
      </x:c>
      <x:c r="R71" s="12" t="str">
        <x:f t="shared" si="17"/>
      </x:c>
      <x:c r="S71" s="11" t="n">
        <x:f>'Direct CLO'!AK50</x:f>
        <x:v>0</x:v>
      </x:c>
      <x:c r="T71" s="11" t="n">
        <x:f>'Indirect CLO'!L50</x:f>
        <x:v>0</x:v>
      </x:c>
      <x:c r="U71" s="11" t="str">
        <x:f t="shared" si="18"/>
      </x:c>
      <x:c r="V71" s="12" t="str">
        <x:f t="shared" si="19"/>
      </x:c>
    </x:row>
    <x:row r="72">
      <x:c r="A72" s="16" t="str">
        <x:f>IF(RECORD!B60="","",RECORD!B60)</x:f>
      </x:c>
      <x:c r="B72" s="16" t="str">
        <x:f>IF(RECORD!C60="","",RECORD!C60)</x:f>
      </x:c>
      <x:c r="C72" s="11" t="n">
        <x:f>'Direct CLO'!I51</x:f>
        <x:v>0</x:v>
      </x:c>
      <x:c r="D72" s="11" t="n">
        <x:f>'Indirect CLO'!D51</x:f>
        <x:v>0</x:v>
      </x:c>
      <x:c r="E72" s="11" t="str">
        <x:f t="shared" si="10"/>
      </x:c>
      <x:c r="F72" s="12" t="str">
        <x:f t="shared" si="11"/>
      </x:c>
      <x:c r="G72" s="11" t="n">
        <x:f>'Direct CLO'!P51</x:f>
        <x:v>0</x:v>
      </x:c>
      <x:c r="H72" s="11" t="n">
        <x:f>'Indirect CLO'!F51</x:f>
        <x:v>0</x:v>
      </x:c>
      <x:c r="I72" s="11" t="str">
        <x:f t="shared" si="12"/>
      </x:c>
      <x:c r="J72" s="12" t="str">
        <x:f t="shared" si="13"/>
      </x:c>
      <x:c r="K72" s="11" t="n">
        <x:f>'Direct CLO'!W51</x:f>
        <x:v>0</x:v>
      </x:c>
      <x:c r="L72" s="11" t="n">
        <x:f>'Indirect CLO'!H51</x:f>
        <x:v>0</x:v>
      </x:c>
      <x:c r="M72" s="11" t="str">
        <x:f t="shared" si="14"/>
      </x:c>
      <x:c r="N72" s="12" t="str">
        <x:f t="shared" si="15"/>
      </x:c>
      <x:c r="O72" s="11" t="n">
        <x:f>'Direct CLO'!AD51</x:f>
        <x:v>0</x:v>
      </x:c>
      <x:c r="P72" s="11" t="n">
        <x:f>'Indirect CLO'!J51</x:f>
        <x:v>0</x:v>
      </x:c>
      <x:c r="Q72" s="11" t="str">
        <x:f t="shared" si="16"/>
      </x:c>
      <x:c r="R72" s="12" t="str">
        <x:f t="shared" si="17"/>
      </x:c>
      <x:c r="S72" s="11" t="n">
        <x:f>'Direct CLO'!AK51</x:f>
        <x:v>0</x:v>
      </x:c>
      <x:c r="T72" s="11" t="n">
        <x:f>'Indirect CLO'!L51</x:f>
        <x:v>0</x:v>
      </x:c>
      <x:c r="U72" s="11" t="str">
        <x:f t="shared" si="18"/>
      </x:c>
      <x:c r="V72" s="12" t="str">
        <x:f t="shared" si="19"/>
      </x:c>
    </x:row>
    <x:row r="73">
      <x:c r="A73" s="16" t="str">
        <x:f>IF(RECORD!B61="","",RECORD!B61)</x:f>
      </x:c>
      <x:c r="B73" s="16" t="str">
        <x:f>IF(RECORD!C61="","",RECORD!C61)</x:f>
      </x:c>
      <x:c r="C73" s="11" t="n">
        <x:f>'Direct CLO'!I52</x:f>
        <x:v>0</x:v>
      </x:c>
      <x:c r="D73" s="11" t="n">
        <x:f>'Indirect CLO'!D52</x:f>
        <x:v>0</x:v>
      </x:c>
      <x:c r="E73" s="11" t="str">
        <x:f t="shared" si="10"/>
      </x:c>
      <x:c r="F73" s="12" t="str">
        <x:f t="shared" si="11"/>
      </x:c>
      <x:c r="G73" s="11" t="n">
        <x:f>'Direct CLO'!P52</x:f>
        <x:v>0</x:v>
      </x:c>
      <x:c r="H73" s="11" t="n">
        <x:f>'Indirect CLO'!F52</x:f>
        <x:v>0</x:v>
      </x:c>
      <x:c r="I73" s="11" t="str">
        <x:f t="shared" si="12"/>
      </x:c>
      <x:c r="J73" s="12" t="str">
        <x:f t="shared" si="13"/>
      </x:c>
      <x:c r="K73" s="11" t="n">
        <x:f>'Direct CLO'!W52</x:f>
        <x:v>0</x:v>
      </x:c>
      <x:c r="L73" s="11" t="n">
        <x:f>'Indirect CLO'!H52</x:f>
        <x:v>0</x:v>
      </x:c>
      <x:c r="M73" s="11" t="str">
        <x:f t="shared" si="14"/>
      </x:c>
      <x:c r="N73" s="12" t="str">
        <x:f t="shared" si="15"/>
      </x:c>
      <x:c r="O73" s="11" t="n">
        <x:f>'Direct CLO'!AD52</x:f>
        <x:v>0</x:v>
      </x:c>
      <x:c r="P73" s="11" t="n">
        <x:f>'Indirect CLO'!J52</x:f>
        <x:v>0</x:v>
      </x:c>
      <x:c r="Q73" s="11" t="str">
        <x:f t="shared" si="16"/>
      </x:c>
      <x:c r="R73" s="12" t="str">
        <x:f t="shared" si="17"/>
      </x:c>
      <x:c r="S73" s="11" t="n">
        <x:f>'Direct CLO'!AK52</x:f>
        <x:v>0</x:v>
      </x:c>
      <x:c r="T73" s="11" t="n">
        <x:f>'Indirect CLO'!L52</x:f>
        <x:v>0</x:v>
      </x:c>
      <x:c r="U73" s="11" t="str">
        <x:f t="shared" si="18"/>
      </x:c>
      <x:c r="V73" s="12" t="str">
        <x:f t="shared" si="19"/>
      </x:c>
    </x:row>
    <x:row r="74">
      <x:c r="A74" s="16" t="str">
        <x:f>IF(RECORD!B62="","",RECORD!B62)</x:f>
      </x:c>
      <x:c r="B74" s="16" t="str">
        <x:f>IF(RECORD!C62="","",RECORD!C62)</x:f>
      </x:c>
      <x:c r="C74" s="11" t="n">
        <x:f>'Direct CLO'!I53</x:f>
        <x:v>0</x:v>
      </x:c>
      <x:c r="D74" s="11" t="n">
        <x:f>'Indirect CLO'!D53</x:f>
        <x:v>0</x:v>
      </x:c>
      <x:c r="E74" s="11" t="str">
        <x:f t="shared" si="10"/>
      </x:c>
      <x:c r="F74" s="12" t="str">
        <x:f t="shared" si="11"/>
      </x:c>
      <x:c r="G74" s="11" t="n">
        <x:f>'Direct CLO'!P53</x:f>
        <x:v>0</x:v>
      </x:c>
      <x:c r="H74" s="11" t="n">
        <x:f>'Indirect CLO'!F53</x:f>
        <x:v>0</x:v>
      </x:c>
      <x:c r="I74" s="11" t="str">
        <x:f t="shared" si="12"/>
      </x:c>
      <x:c r="J74" s="12" t="str">
        <x:f t="shared" si="13"/>
      </x:c>
      <x:c r="K74" s="11" t="n">
        <x:f>'Direct CLO'!W53</x:f>
        <x:v>0</x:v>
      </x:c>
      <x:c r="L74" s="11" t="n">
        <x:f>'Indirect CLO'!H53</x:f>
        <x:v>0</x:v>
      </x:c>
      <x:c r="M74" s="11" t="str">
        <x:f t="shared" si="14"/>
      </x:c>
      <x:c r="N74" s="12" t="str">
        <x:f t="shared" si="15"/>
      </x:c>
      <x:c r="O74" s="11" t="n">
        <x:f>'Direct CLO'!AD53</x:f>
        <x:v>0</x:v>
      </x:c>
      <x:c r="P74" s="11" t="n">
        <x:f>'Indirect CLO'!J53</x:f>
        <x:v>0</x:v>
      </x:c>
      <x:c r="Q74" s="11" t="str">
        <x:f t="shared" si="16"/>
      </x:c>
      <x:c r="R74" s="12" t="str">
        <x:f t="shared" si="17"/>
      </x:c>
      <x:c r="S74" s="11" t="n">
        <x:f>'Direct CLO'!AK53</x:f>
        <x:v>0</x:v>
      </x:c>
      <x:c r="T74" s="11" t="n">
        <x:f>'Indirect CLO'!L53</x:f>
        <x:v>0</x:v>
      </x:c>
      <x:c r="U74" s="11" t="str">
        <x:f t="shared" si="18"/>
      </x:c>
      <x:c r="V74" s="12" t="str">
        <x:f t="shared" si="19"/>
      </x:c>
    </x:row>
    <x:row r="75">
      <x:c r="A75" s="16" t="str">
        <x:f>IF(RECORD!B63="","",RECORD!B63)</x:f>
      </x:c>
      <x:c r="B75" s="16" t="str">
        <x:f>IF(RECORD!C63="","",RECORD!C63)</x:f>
      </x:c>
      <x:c r="C75" s="11" t="n">
        <x:f>'Direct CLO'!I54</x:f>
        <x:v>0</x:v>
      </x:c>
      <x:c r="D75" s="11" t="n">
        <x:f>'Indirect CLO'!D54</x:f>
        <x:v>0</x:v>
      </x:c>
      <x:c r="E75" s="11" t="str">
        <x:f t="shared" si="10"/>
      </x:c>
      <x:c r="F75" s="12" t="str">
        <x:f t="shared" si="11"/>
      </x:c>
      <x:c r="G75" s="11" t="n">
        <x:f>'Direct CLO'!P54</x:f>
        <x:v>0</x:v>
      </x:c>
      <x:c r="H75" s="11" t="n">
        <x:f>'Indirect CLO'!F54</x:f>
        <x:v>0</x:v>
      </x:c>
      <x:c r="I75" s="11" t="str">
        <x:f t="shared" si="12"/>
      </x:c>
      <x:c r="J75" s="12" t="str">
        <x:f t="shared" si="13"/>
      </x:c>
      <x:c r="K75" s="11" t="n">
        <x:f>'Direct CLO'!W54</x:f>
        <x:v>0</x:v>
      </x:c>
      <x:c r="L75" s="11" t="n">
        <x:f>'Indirect CLO'!H54</x:f>
        <x:v>0</x:v>
      </x:c>
      <x:c r="M75" s="11" t="str">
        <x:f t="shared" si="14"/>
      </x:c>
      <x:c r="N75" s="12" t="str">
        <x:f t="shared" si="15"/>
      </x:c>
      <x:c r="O75" s="11" t="n">
        <x:f>'Direct CLO'!AD54</x:f>
        <x:v>0</x:v>
      </x:c>
      <x:c r="P75" s="11" t="n">
        <x:f>'Indirect CLO'!J54</x:f>
        <x:v>0</x:v>
      </x:c>
      <x:c r="Q75" s="11" t="str">
        <x:f t="shared" si="16"/>
      </x:c>
      <x:c r="R75" s="12" t="str">
        <x:f t="shared" si="17"/>
      </x:c>
      <x:c r="S75" s="11" t="n">
        <x:f>'Direct CLO'!AK54</x:f>
        <x:v>0</x:v>
      </x:c>
      <x:c r="T75" s="11" t="n">
        <x:f>'Indirect CLO'!L54</x:f>
        <x:v>0</x:v>
      </x:c>
      <x:c r="U75" s="11" t="str">
        <x:f t="shared" si="18"/>
      </x:c>
      <x:c r="V75" s="12" t="str">
        <x:f t="shared" si="19"/>
      </x:c>
    </x:row>
    <x:row r="76">
      <x:c r="A76" s="16" t="str">
        <x:f>IF(RECORD!B64="","",RECORD!B64)</x:f>
      </x:c>
      <x:c r="B76" s="16" t="str">
        <x:f>IF(RECORD!C64="","",RECORD!C64)</x:f>
      </x:c>
      <x:c r="C76" s="11" t="n">
        <x:f>'Direct CLO'!I55</x:f>
        <x:v>0</x:v>
      </x:c>
      <x:c r="D76" s="11" t="n">
        <x:f>'Indirect CLO'!D55</x:f>
        <x:v>0</x:v>
      </x:c>
      <x:c r="E76" s="11" t="str">
        <x:f t="shared" si="10"/>
      </x:c>
      <x:c r="F76" s="12" t="str">
        <x:f t="shared" si="11"/>
      </x:c>
      <x:c r="G76" s="11" t="n">
        <x:f>'Direct CLO'!P55</x:f>
        <x:v>0</x:v>
      </x:c>
      <x:c r="H76" s="11" t="n">
        <x:f>'Indirect CLO'!F55</x:f>
        <x:v>0</x:v>
      </x:c>
      <x:c r="I76" s="11" t="str">
        <x:f t="shared" si="12"/>
      </x:c>
      <x:c r="J76" s="12" t="str">
        <x:f t="shared" si="13"/>
      </x:c>
      <x:c r="K76" s="11" t="n">
        <x:f>'Direct CLO'!W55</x:f>
        <x:v>0</x:v>
      </x:c>
      <x:c r="L76" s="11" t="n">
        <x:f>'Indirect CLO'!H55</x:f>
        <x:v>0</x:v>
      </x:c>
      <x:c r="M76" s="11" t="str">
        <x:f t="shared" si="14"/>
      </x:c>
      <x:c r="N76" s="12" t="str">
        <x:f t="shared" si="15"/>
      </x:c>
      <x:c r="O76" s="11" t="n">
        <x:f>'Direct CLO'!AD55</x:f>
        <x:v>0</x:v>
      </x:c>
      <x:c r="P76" s="11" t="n">
        <x:f>'Indirect CLO'!J55</x:f>
        <x:v>0</x:v>
      </x:c>
      <x:c r="Q76" s="11" t="str">
        <x:f t="shared" si="16"/>
      </x:c>
      <x:c r="R76" s="12" t="str">
        <x:f t="shared" si="17"/>
      </x:c>
      <x:c r="S76" s="11" t="n">
        <x:f>'Direct CLO'!AK55</x:f>
        <x:v>0</x:v>
      </x:c>
      <x:c r="T76" s="11" t="n">
        <x:f>'Indirect CLO'!L55</x:f>
        <x:v>0</x:v>
      </x:c>
      <x:c r="U76" s="11" t="str">
        <x:f t="shared" si="18"/>
      </x:c>
      <x:c r="V76" s="12" t="str">
        <x:f t="shared" si="19"/>
      </x:c>
    </x:row>
    <x:row r="77">
      <x:c r="A77" s="16" t="str">
        <x:f>IF(RECORD!B65="","",RECORD!B65)</x:f>
      </x:c>
      <x:c r="B77" s="16" t="str">
        <x:f>IF(RECORD!C65="","",RECORD!C65)</x:f>
      </x:c>
      <x:c r="C77" s="11" t="n">
        <x:f>'Direct CLO'!I56</x:f>
        <x:v>0</x:v>
      </x:c>
      <x:c r="D77" s="11" t="n">
        <x:f>'Indirect CLO'!D56</x:f>
        <x:v>0</x:v>
      </x:c>
      <x:c r="E77" s="11" t="str">
        <x:f t="shared" si="10"/>
      </x:c>
      <x:c r="F77" s="12" t="str">
        <x:f t="shared" si="11"/>
      </x:c>
      <x:c r="G77" s="11" t="n">
        <x:f>'Direct CLO'!P56</x:f>
        <x:v>0</x:v>
      </x:c>
      <x:c r="H77" s="11" t="n">
        <x:f>'Indirect CLO'!F56</x:f>
        <x:v>0</x:v>
      </x:c>
      <x:c r="I77" s="11" t="str">
        <x:f t="shared" si="12"/>
      </x:c>
      <x:c r="J77" s="12" t="str">
        <x:f t="shared" si="13"/>
      </x:c>
      <x:c r="K77" s="11" t="n">
        <x:f>'Direct CLO'!W56</x:f>
        <x:v>0</x:v>
      </x:c>
      <x:c r="L77" s="11" t="n">
        <x:f>'Indirect CLO'!H56</x:f>
        <x:v>0</x:v>
      </x:c>
      <x:c r="M77" s="11" t="str">
        <x:f t="shared" si="14"/>
      </x:c>
      <x:c r="N77" s="12" t="str">
        <x:f t="shared" si="15"/>
      </x:c>
      <x:c r="O77" s="11" t="n">
        <x:f>'Direct CLO'!AD56</x:f>
        <x:v>0</x:v>
      </x:c>
      <x:c r="P77" s="11" t="n">
        <x:f>'Indirect CLO'!J56</x:f>
        <x:v>0</x:v>
      </x:c>
      <x:c r="Q77" s="11" t="str">
        <x:f t="shared" si="16"/>
      </x:c>
      <x:c r="R77" s="12" t="str">
        <x:f t="shared" si="17"/>
      </x:c>
      <x:c r="S77" s="11" t="n">
        <x:f>'Direct CLO'!AK56</x:f>
        <x:v>0</x:v>
      </x:c>
      <x:c r="T77" s="11" t="n">
        <x:f>'Indirect CLO'!L56</x:f>
        <x:v>0</x:v>
      </x:c>
      <x:c r="U77" s="11" t="str">
        <x:f t="shared" si="18"/>
      </x:c>
      <x:c r="V77" s="12" t="str">
        <x:f t="shared" si="19"/>
      </x:c>
    </x:row>
    <x:row r="78">
      <x:c r="A78" s="16" t="str">
        <x:f>IF(RECORD!B66="","",RECORD!B66)</x:f>
      </x:c>
      <x:c r="B78" s="16" t="str">
        <x:f>IF(RECORD!C66="","",RECORD!C66)</x:f>
      </x:c>
      <x:c r="C78" s="11" t="n">
        <x:f>'Direct CLO'!I57</x:f>
        <x:v>0</x:v>
      </x:c>
      <x:c r="D78" s="11" t="n">
        <x:f>'Indirect CLO'!D57</x:f>
        <x:v>0</x:v>
      </x:c>
      <x:c r="E78" s="11" t="str">
        <x:f t="shared" si="10"/>
      </x:c>
      <x:c r="F78" s="12" t="str">
        <x:f t="shared" si="11"/>
      </x:c>
      <x:c r="G78" s="11" t="n">
        <x:f>'Direct CLO'!P57</x:f>
        <x:v>0</x:v>
      </x:c>
      <x:c r="H78" s="11" t="n">
        <x:f>'Indirect CLO'!F57</x:f>
        <x:v>0</x:v>
      </x:c>
      <x:c r="I78" s="11" t="str">
        <x:f t="shared" si="12"/>
      </x:c>
      <x:c r="J78" s="12" t="str">
        <x:f t="shared" si="13"/>
      </x:c>
      <x:c r="K78" s="11" t="n">
        <x:f>'Direct CLO'!W57</x:f>
        <x:v>0</x:v>
      </x:c>
      <x:c r="L78" s="11" t="n">
        <x:f>'Indirect CLO'!H57</x:f>
        <x:v>0</x:v>
      </x:c>
      <x:c r="M78" s="11" t="str">
        <x:f t="shared" si="14"/>
      </x:c>
      <x:c r="N78" s="12" t="str">
        <x:f t="shared" si="15"/>
      </x:c>
      <x:c r="O78" s="11" t="n">
        <x:f>'Direct CLO'!AD57</x:f>
        <x:v>0</x:v>
      </x:c>
      <x:c r="P78" s="11" t="n">
        <x:f>'Indirect CLO'!J57</x:f>
        <x:v>0</x:v>
      </x:c>
      <x:c r="Q78" s="11" t="str">
        <x:f t="shared" si="16"/>
      </x:c>
      <x:c r="R78" s="12" t="str">
        <x:f t="shared" si="17"/>
      </x:c>
      <x:c r="S78" s="11" t="n">
        <x:f>'Direct CLO'!AK57</x:f>
        <x:v>0</x:v>
      </x:c>
      <x:c r="T78" s="11" t="n">
        <x:f>'Indirect CLO'!L57</x:f>
        <x:v>0</x:v>
      </x:c>
      <x:c r="U78" s="11" t="str">
        <x:f t="shared" si="18"/>
      </x:c>
      <x:c r="V78" s="12" t="str">
        <x:f t="shared" si="19"/>
      </x:c>
    </x:row>
    <x:row r="79">
      <x:c r="A79" s="16" t="str">
        <x:f>IF(RECORD!B67="","",RECORD!B67)</x:f>
      </x:c>
      <x:c r="B79" s="16" t="str">
        <x:f>IF(RECORD!C67="","",RECORD!C67)</x:f>
      </x:c>
      <x:c r="C79" s="11" t="n">
        <x:f>'Direct CLO'!I58</x:f>
        <x:v>0</x:v>
      </x:c>
      <x:c r="D79" s="11" t="n">
        <x:f>'Indirect CLO'!D58</x:f>
        <x:v>0</x:v>
      </x:c>
      <x:c r="E79" s="11" t="str">
        <x:f t="shared" si="10"/>
      </x:c>
      <x:c r="F79" s="12" t="str">
        <x:f t="shared" si="11"/>
      </x:c>
      <x:c r="G79" s="11" t="n">
        <x:f>'Direct CLO'!P58</x:f>
        <x:v>0</x:v>
      </x:c>
      <x:c r="H79" s="11" t="n">
        <x:f>'Indirect CLO'!F58</x:f>
        <x:v>0</x:v>
      </x:c>
      <x:c r="I79" s="11" t="str">
        <x:f t="shared" si="12"/>
      </x:c>
      <x:c r="J79" s="12" t="str">
        <x:f t="shared" si="13"/>
      </x:c>
      <x:c r="K79" s="11" t="n">
        <x:f>'Direct CLO'!W58</x:f>
        <x:v>0</x:v>
      </x:c>
      <x:c r="L79" s="11" t="n">
        <x:f>'Indirect CLO'!H58</x:f>
        <x:v>0</x:v>
      </x:c>
      <x:c r="M79" s="11" t="str">
        <x:f t="shared" si="14"/>
      </x:c>
      <x:c r="N79" s="12" t="str">
        <x:f t="shared" si="15"/>
      </x:c>
      <x:c r="O79" s="11" t="n">
        <x:f>'Direct CLO'!AD58</x:f>
        <x:v>0</x:v>
      </x:c>
      <x:c r="P79" s="11" t="n">
        <x:f>'Indirect CLO'!J58</x:f>
        <x:v>0</x:v>
      </x:c>
      <x:c r="Q79" s="11" t="str">
        <x:f t="shared" si="16"/>
      </x:c>
      <x:c r="R79" s="12" t="str">
        <x:f t="shared" si="17"/>
      </x:c>
      <x:c r="S79" s="11" t="n">
        <x:f>'Direct CLO'!AK58</x:f>
        <x:v>0</x:v>
      </x:c>
      <x:c r="T79" s="11" t="n">
        <x:f>'Indirect CLO'!L58</x:f>
        <x:v>0</x:v>
      </x:c>
      <x:c r="U79" s="11" t="str">
        <x:f t="shared" si="18"/>
      </x:c>
      <x:c r="V79" s="12" t="str">
        <x:f t="shared" si="19"/>
      </x:c>
    </x:row>
    <x:row r="80">
      <x:c r="A80" s="16" t="str">
        <x:f>IF(RECORD!B68="","",RECORD!B68)</x:f>
      </x:c>
      <x:c r="B80" s="16" t="str">
        <x:f>IF(RECORD!C68="","",RECORD!C68)</x:f>
      </x:c>
      <x:c r="C80" s="11" t="n">
        <x:f>'Direct CLO'!I59</x:f>
        <x:v>0</x:v>
      </x:c>
      <x:c r="D80" s="11" t="n">
        <x:f>'Indirect CLO'!D59</x:f>
        <x:v>0</x:v>
      </x:c>
      <x:c r="E80" s="11" t="str">
        <x:f t="shared" si="10"/>
      </x:c>
      <x:c r="F80" s="12" t="str">
        <x:f t="shared" si="11"/>
      </x:c>
      <x:c r="G80" s="11" t="n">
        <x:f>'Direct CLO'!P59</x:f>
        <x:v>0</x:v>
      </x:c>
      <x:c r="H80" s="11" t="n">
        <x:f>'Indirect CLO'!F59</x:f>
        <x:v>0</x:v>
      </x:c>
      <x:c r="I80" s="11" t="str">
        <x:f t="shared" si="12"/>
      </x:c>
      <x:c r="J80" s="12" t="str">
        <x:f t="shared" si="13"/>
      </x:c>
      <x:c r="K80" s="11" t="n">
        <x:f>'Direct CLO'!W59</x:f>
        <x:v>0</x:v>
      </x:c>
      <x:c r="L80" s="11" t="n">
        <x:f>'Indirect CLO'!H59</x:f>
        <x:v>0</x:v>
      </x:c>
      <x:c r="M80" s="11" t="str">
        <x:f t="shared" si="14"/>
      </x:c>
      <x:c r="N80" s="12" t="str">
        <x:f t="shared" si="15"/>
      </x:c>
      <x:c r="O80" s="11" t="n">
        <x:f>'Direct CLO'!AD59</x:f>
        <x:v>0</x:v>
      </x:c>
      <x:c r="P80" s="11" t="n">
        <x:f>'Indirect CLO'!J59</x:f>
        <x:v>0</x:v>
      </x:c>
      <x:c r="Q80" s="11" t="str">
        <x:f t="shared" si="16"/>
      </x:c>
      <x:c r="R80" s="12" t="str">
        <x:f t="shared" si="17"/>
      </x:c>
      <x:c r="S80" s="11" t="n">
        <x:f>'Direct CLO'!AK59</x:f>
        <x:v>0</x:v>
      </x:c>
      <x:c r="T80" s="11" t="n">
        <x:f>'Indirect CLO'!L59</x:f>
        <x:v>0</x:v>
      </x:c>
      <x:c r="U80" s="11" t="str">
        <x:f t="shared" si="18"/>
      </x:c>
      <x:c r="V80" s="12" t="str">
        <x:f t="shared" si="19"/>
      </x:c>
    </x:row>
    <x:row r="81">
      <x:c r="A81" s="16" t="str">
        <x:f>IF(RECORD!B69="","",RECORD!B69)</x:f>
      </x:c>
      <x:c r="B81" s="16" t="str">
        <x:f>IF(RECORD!C69="","",RECORD!C69)</x:f>
      </x:c>
      <x:c r="C81" s="11" t="n">
        <x:f>'Direct CLO'!I60</x:f>
        <x:v>0</x:v>
      </x:c>
      <x:c r="D81" s="11" t="n">
        <x:f>'Indirect CLO'!D60</x:f>
        <x:v>0</x:v>
      </x:c>
      <x:c r="E81" s="11" t="str">
        <x:f t="shared" si="10"/>
      </x:c>
      <x:c r="F81" s="12" t="str">
        <x:f t="shared" si="11"/>
      </x:c>
      <x:c r="G81" s="11" t="n">
        <x:f>'Direct CLO'!P60</x:f>
        <x:v>0</x:v>
      </x:c>
      <x:c r="H81" s="11" t="n">
        <x:f>'Indirect CLO'!F60</x:f>
        <x:v>0</x:v>
      </x:c>
      <x:c r="I81" s="11" t="str">
        <x:f t="shared" si="12"/>
      </x:c>
      <x:c r="J81" s="12" t="str">
        <x:f t="shared" si="13"/>
      </x:c>
      <x:c r="K81" s="11" t="n">
        <x:f>'Direct CLO'!W60</x:f>
        <x:v>0</x:v>
      </x:c>
      <x:c r="L81" s="11" t="n">
        <x:f>'Indirect CLO'!H60</x:f>
        <x:v>0</x:v>
      </x:c>
      <x:c r="M81" s="11" t="str">
        <x:f t="shared" si="14"/>
      </x:c>
      <x:c r="N81" s="12" t="str">
        <x:f t="shared" si="15"/>
      </x:c>
      <x:c r="O81" s="11" t="n">
        <x:f>'Direct CLO'!AD60</x:f>
        <x:v>0</x:v>
      </x:c>
      <x:c r="P81" s="11" t="n">
        <x:f>'Indirect CLO'!J60</x:f>
        <x:v>0</x:v>
      </x:c>
      <x:c r="Q81" s="11" t="str">
        <x:f t="shared" si="16"/>
      </x:c>
      <x:c r="R81" s="12" t="str">
        <x:f t="shared" si="17"/>
      </x:c>
      <x:c r="S81" s="11" t="n">
        <x:f>'Direct CLO'!AK60</x:f>
        <x:v>0</x:v>
      </x:c>
      <x:c r="T81" s="11" t="n">
        <x:f>'Indirect CLO'!L60</x:f>
        <x:v>0</x:v>
      </x:c>
      <x:c r="U81" s="11" t="str">
        <x:f t="shared" si="18"/>
      </x:c>
      <x:c r="V81" s="12" t="str">
        <x:f t="shared" si="19"/>
      </x:c>
    </x:row>
    <x:row r="82">
      <x:c r="A82" s="16" t="str">
        <x:f>IF(RECORD!B70="","",RECORD!B70)</x:f>
      </x:c>
      <x:c r="B82" s="16" t="str">
        <x:f>IF(RECORD!C70="","",RECORD!C70)</x:f>
      </x:c>
      <x:c r="C82" s="11" t="n">
        <x:f>'Direct CLO'!I61</x:f>
        <x:v>0</x:v>
      </x:c>
      <x:c r="D82" s="11" t="n">
        <x:f>'Indirect CLO'!D61</x:f>
        <x:v>0</x:v>
      </x:c>
      <x:c r="E82" s="11" t="str">
        <x:f t="shared" si="10"/>
      </x:c>
      <x:c r="F82" s="12" t="str">
        <x:f t="shared" si="11"/>
      </x:c>
      <x:c r="G82" s="11" t="n">
        <x:f>'Direct CLO'!P61</x:f>
        <x:v>0</x:v>
      </x:c>
      <x:c r="H82" s="11" t="n">
        <x:f>'Indirect CLO'!F61</x:f>
        <x:v>0</x:v>
      </x:c>
      <x:c r="I82" s="11" t="str">
        <x:f t="shared" si="12"/>
      </x:c>
      <x:c r="J82" s="12" t="str">
        <x:f t="shared" si="13"/>
      </x:c>
      <x:c r="K82" s="11" t="n">
        <x:f>'Direct CLO'!W61</x:f>
        <x:v>0</x:v>
      </x:c>
      <x:c r="L82" s="11" t="n">
        <x:f>'Indirect CLO'!H61</x:f>
        <x:v>0</x:v>
      </x:c>
      <x:c r="M82" s="11" t="str">
        <x:f t="shared" si="14"/>
      </x:c>
      <x:c r="N82" s="12" t="str">
        <x:f t="shared" si="15"/>
      </x:c>
      <x:c r="O82" s="11" t="n">
        <x:f>'Direct CLO'!AD61</x:f>
        <x:v>0</x:v>
      </x:c>
      <x:c r="P82" s="11" t="n">
        <x:f>'Indirect CLO'!J61</x:f>
        <x:v>0</x:v>
      </x:c>
      <x:c r="Q82" s="11" t="str">
        <x:f t="shared" si="16"/>
      </x:c>
      <x:c r="R82" s="12" t="str">
        <x:f t="shared" si="17"/>
      </x:c>
      <x:c r="S82" s="11" t="n">
        <x:f>'Direct CLO'!AK61</x:f>
        <x:v>0</x:v>
      </x:c>
      <x:c r="T82" s="11" t="n">
        <x:f>'Indirect CLO'!L61</x:f>
        <x:v>0</x:v>
      </x:c>
      <x:c r="U82" s="11" t="str">
        <x:f t="shared" si="18"/>
      </x:c>
      <x:c r="V82" s="12" t="str">
        <x:f t="shared" si="19"/>
      </x:c>
    </x:row>
    <x:row r="83">
      <x:c r="A83" s="16" t="str">
        <x:f>IF(RECORD!B71="","",RECORD!B71)</x:f>
      </x:c>
      <x:c r="B83" s="16" t="str">
        <x:f>IF(RECORD!C71="","",RECORD!C71)</x:f>
      </x:c>
      <x:c r="C83" s="11" t="n">
        <x:f>'Direct CLO'!I62</x:f>
        <x:v>0</x:v>
      </x:c>
      <x:c r="D83" s="11" t="n">
        <x:f>'Indirect CLO'!D62</x:f>
        <x:v>0</x:v>
      </x:c>
      <x:c r="E83" s="11" t="str">
        <x:f t="shared" si="10"/>
      </x:c>
      <x:c r="F83" s="12" t="str">
        <x:f t="shared" si="11"/>
      </x:c>
      <x:c r="G83" s="11" t="n">
        <x:f>'Direct CLO'!P62</x:f>
        <x:v>0</x:v>
      </x:c>
      <x:c r="H83" s="11" t="n">
        <x:f>'Indirect CLO'!F62</x:f>
        <x:v>0</x:v>
      </x:c>
      <x:c r="I83" s="11" t="str">
        <x:f t="shared" si="12"/>
      </x:c>
      <x:c r="J83" s="12" t="str">
        <x:f t="shared" si="13"/>
      </x:c>
      <x:c r="K83" s="11" t="n">
        <x:f>'Direct CLO'!W62</x:f>
        <x:v>0</x:v>
      </x:c>
      <x:c r="L83" s="11" t="n">
        <x:f>'Indirect CLO'!H62</x:f>
        <x:v>0</x:v>
      </x:c>
      <x:c r="M83" s="11" t="str">
        <x:f t="shared" si="14"/>
      </x:c>
      <x:c r="N83" s="12" t="str">
        <x:f t="shared" si="15"/>
      </x:c>
      <x:c r="O83" s="11" t="n">
        <x:f>'Direct CLO'!AD62</x:f>
        <x:v>0</x:v>
      </x:c>
      <x:c r="P83" s="11" t="n">
        <x:f>'Indirect CLO'!J62</x:f>
        <x:v>0</x:v>
      </x:c>
      <x:c r="Q83" s="11" t="str">
        <x:f t="shared" si="16"/>
      </x:c>
      <x:c r="R83" s="12" t="str">
        <x:f t="shared" si="17"/>
      </x:c>
      <x:c r="S83" s="11" t="n">
        <x:f>'Direct CLO'!AK62</x:f>
        <x:v>0</x:v>
      </x:c>
      <x:c r="T83" s="11" t="n">
        <x:f>'Indirect CLO'!L62</x:f>
        <x:v>0</x:v>
      </x:c>
      <x:c r="U83" s="11" t="str">
        <x:f t="shared" si="18"/>
      </x:c>
      <x:c r="V83" s="12" t="str">
        <x:f t="shared" si="19"/>
      </x:c>
    </x:row>
    <x:row r="84">
      <x:c r="A84" s="16" t="str">
        <x:f>IF(RECORD!B72="","",RECORD!B72)</x:f>
      </x:c>
      <x:c r="B84" s="16" t="str">
        <x:f>IF(RECORD!C72="","",RECORD!C72)</x:f>
      </x:c>
      <x:c r="C84" s="11" t="n">
        <x:f>'Direct CLO'!I63</x:f>
        <x:v>0</x:v>
      </x:c>
      <x:c r="D84" s="11" t="n">
        <x:f>'Indirect CLO'!D63</x:f>
        <x:v>0</x:v>
      </x:c>
      <x:c r="E84" s="11" t="str">
        <x:f t="shared" si="10"/>
      </x:c>
      <x:c r="F84" s="12" t="str">
        <x:f t="shared" si="11"/>
      </x:c>
      <x:c r="G84" s="11" t="n">
        <x:f>'Direct CLO'!P63</x:f>
        <x:v>0</x:v>
      </x:c>
      <x:c r="H84" s="11" t="n">
        <x:f>'Indirect CLO'!F63</x:f>
        <x:v>0</x:v>
      </x:c>
      <x:c r="I84" s="11" t="str">
        <x:f t="shared" si="12"/>
      </x:c>
      <x:c r="J84" s="12" t="str">
        <x:f t="shared" si="13"/>
      </x:c>
      <x:c r="K84" s="11" t="n">
        <x:f>'Direct CLO'!W63</x:f>
        <x:v>0</x:v>
      </x:c>
      <x:c r="L84" s="11" t="n">
        <x:f>'Indirect CLO'!H63</x:f>
        <x:v>0</x:v>
      </x:c>
      <x:c r="M84" s="11" t="str">
        <x:f t="shared" si="14"/>
      </x:c>
      <x:c r="N84" s="12" t="str">
        <x:f t="shared" si="15"/>
      </x:c>
      <x:c r="O84" s="11" t="n">
        <x:f>'Direct CLO'!AD63</x:f>
        <x:v>0</x:v>
      </x:c>
      <x:c r="P84" s="11" t="n">
        <x:f>'Indirect CLO'!J63</x:f>
        <x:v>0</x:v>
      </x:c>
      <x:c r="Q84" s="11" t="str">
        <x:f t="shared" si="16"/>
      </x:c>
      <x:c r="R84" s="12" t="str">
        <x:f t="shared" si="17"/>
      </x:c>
      <x:c r="S84" s="11" t="n">
        <x:f>'Direct CLO'!AK63</x:f>
        <x:v>0</x:v>
      </x:c>
      <x:c r="T84" s="11" t="n">
        <x:f>'Indirect CLO'!L63</x:f>
        <x:v>0</x:v>
      </x:c>
      <x:c r="U84" s="11" t="str">
        <x:f t="shared" si="18"/>
      </x:c>
      <x:c r="V84" s="12" t="str">
        <x:f t="shared" si="19"/>
      </x:c>
    </x:row>
    <x:row r="85">
      <x:c r="A85" s="16" t="str">
        <x:f>IF(RECORD!B73="","",RECORD!B73)</x:f>
      </x:c>
      <x:c r="B85" s="16" t="str">
        <x:f>IF(RECORD!C73="","",RECORD!C73)</x:f>
      </x:c>
      <x:c r="C85" s="11" t="n">
        <x:f>'Direct CLO'!I64</x:f>
        <x:v>0</x:v>
      </x:c>
      <x:c r="D85" s="11" t="n">
        <x:f>'Indirect CLO'!D64</x:f>
        <x:v>0</x:v>
      </x:c>
      <x:c r="E85" s="11" t="str">
        <x:f t="shared" si="10"/>
      </x:c>
      <x:c r="F85" s="12" t="str">
        <x:f t="shared" si="11"/>
      </x:c>
      <x:c r="G85" s="11" t="n">
        <x:f>'Direct CLO'!P64</x:f>
        <x:v>0</x:v>
      </x:c>
      <x:c r="H85" s="11" t="n">
        <x:f>'Indirect CLO'!F64</x:f>
        <x:v>0</x:v>
      </x:c>
      <x:c r="I85" s="11" t="str">
        <x:f t="shared" si="12"/>
      </x:c>
      <x:c r="J85" s="12" t="str">
        <x:f t="shared" si="13"/>
      </x:c>
      <x:c r="K85" s="11" t="n">
        <x:f>'Direct CLO'!W64</x:f>
        <x:v>0</x:v>
      </x:c>
      <x:c r="L85" s="11" t="n">
        <x:f>'Indirect CLO'!H64</x:f>
        <x:v>0</x:v>
      </x:c>
      <x:c r="M85" s="11" t="str">
        <x:f t="shared" si="14"/>
      </x:c>
      <x:c r="N85" s="12" t="str">
        <x:f t="shared" si="15"/>
      </x:c>
      <x:c r="O85" s="11" t="n">
        <x:f>'Direct CLO'!AD64</x:f>
        <x:v>0</x:v>
      </x:c>
      <x:c r="P85" s="11" t="n">
        <x:f>'Indirect CLO'!J64</x:f>
        <x:v>0</x:v>
      </x:c>
      <x:c r="Q85" s="11" t="str">
        <x:f t="shared" si="16"/>
      </x:c>
      <x:c r="R85" s="12" t="str">
        <x:f t="shared" si="17"/>
      </x:c>
      <x:c r="S85" s="11" t="n">
        <x:f>'Direct CLO'!AK64</x:f>
        <x:v>0</x:v>
      </x:c>
      <x:c r="T85" s="11" t="n">
        <x:f>'Indirect CLO'!L64</x:f>
        <x:v>0</x:v>
      </x:c>
      <x:c r="U85" s="11" t="str">
        <x:f t="shared" si="18"/>
      </x:c>
      <x:c r="V85" s="12" t="str">
        <x:f t="shared" si="19"/>
      </x:c>
    </x:row>
    <x:row r="86">
      <x:c r="A86" s="16" t="str">
        <x:f>IF(RECORD!B74="","",RECORD!B74)</x:f>
      </x:c>
      <x:c r="B86" s="16" t="str">
        <x:f>IF(RECORD!C74="","",RECORD!C74)</x:f>
      </x:c>
      <x:c r="C86" s="11" t="n">
        <x:f>'Direct CLO'!I65</x:f>
        <x:v>0</x:v>
      </x:c>
      <x:c r="D86" s="11" t="n">
        <x:f>'Indirect CLO'!D65</x:f>
        <x:v>0</x:v>
      </x:c>
      <x:c r="E86" s="11" t="str">
        <x:f t="shared" si="10"/>
      </x:c>
      <x:c r="F86" s="12" t="str">
        <x:f t="shared" si="11"/>
      </x:c>
      <x:c r="G86" s="11" t="n">
        <x:f>'Direct CLO'!P65</x:f>
        <x:v>0</x:v>
      </x:c>
      <x:c r="H86" s="11" t="n">
        <x:f>'Indirect CLO'!F65</x:f>
        <x:v>0</x:v>
      </x:c>
      <x:c r="I86" s="11" t="str">
        <x:f t="shared" si="12"/>
      </x:c>
      <x:c r="J86" s="12" t="str">
        <x:f t="shared" si="13"/>
      </x:c>
      <x:c r="K86" s="11" t="n">
        <x:f>'Direct CLO'!W65</x:f>
        <x:v>0</x:v>
      </x:c>
      <x:c r="L86" s="11" t="n">
        <x:f>'Indirect CLO'!H65</x:f>
        <x:v>0</x:v>
      </x:c>
      <x:c r="M86" s="11" t="str">
        <x:f t="shared" si="14"/>
      </x:c>
      <x:c r="N86" s="12" t="str">
        <x:f t="shared" si="15"/>
      </x:c>
      <x:c r="O86" s="11" t="n">
        <x:f>'Direct CLO'!AD65</x:f>
        <x:v>0</x:v>
      </x:c>
      <x:c r="P86" s="11" t="n">
        <x:f>'Indirect CLO'!J65</x:f>
        <x:v>0</x:v>
      </x:c>
      <x:c r="Q86" s="11" t="str">
        <x:f t="shared" si="16"/>
      </x:c>
      <x:c r="R86" s="12" t="str">
        <x:f t="shared" si="17"/>
      </x:c>
      <x:c r="S86" s="11" t="n">
        <x:f>'Direct CLO'!AK65</x:f>
        <x:v>0</x:v>
      </x:c>
      <x:c r="T86" s="11" t="n">
        <x:f>'Indirect CLO'!L65</x:f>
        <x:v>0</x:v>
      </x:c>
      <x:c r="U86" s="11" t="str">
        <x:f t="shared" si="18"/>
      </x:c>
      <x:c r="V86" s="12" t="str">
        <x:f t="shared" si="19"/>
      </x:c>
    </x:row>
    <x:row r="87">
      <x:c r="A87" s="16" t="str">
        <x:f>IF(RECORD!B75="","",RECORD!B75)</x:f>
      </x:c>
      <x:c r="B87" s="16" t="str">
        <x:f>IF(RECORD!C75="","",RECORD!C75)</x:f>
      </x:c>
      <x:c r="C87" s="11" t="n">
        <x:f>'Direct CLO'!I66</x:f>
        <x:v>0</x:v>
      </x:c>
      <x:c r="D87" s="11" t="n">
        <x:f>'Indirect CLO'!D66</x:f>
        <x:v>0</x:v>
      </x:c>
      <x:c r="E87" s="11" t="str">
        <x:f t="shared" si="10"/>
      </x:c>
      <x:c r="F87" s="12" t="str">
        <x:f t="shared" si="11"/>
      </x:c>
      <x:c r="G87" s="11" t="n">
        <x:f>'Direct CLO'!P66</x:f>
        <x:v>0</x:v>
      </x:c>
      <x:c r="H87" s="11" t="n">
        <x:f>'Indirect CLO'!F66</x:f>
        <x:v>0</x:v>
      </x:c>
      <x:c r="I87" s="11" t="str">
        <x:f t="shared" si="12"/>
      </x:c>
      <x:c r="J87" s="12" t="str">
        <x:f t="shared" si="13"/>
      </x:c>
      <x:c r="K87" s="11" t="n">
        <x:f>'Direct CLO'!W66</x:f>
        <x:v>0</x:v>
      </x:c>
      <x:c r="L87" s="11" t="n">
        <x:f>'Indirect CLO'!H66</x:f>
        <x:v>0</x:v>
      </x:c>
      <x:c r="M87" s="11" t="str">
        <x:f t="shared" si="14"/>
      </x:c>
      <x:c r="N87" s="12" t="str">
        <x:f t="shared" si="15"/>
      </x:c>
      <x:c r="O87" s="11" t="n">
        <x:f>'Direct CLO'!AD66</x:f>
        <x:v>0</x:v>
      </x:c>
      <x:c r="P87" s="11" t="n">
        <x:f>'Indirect CLO'!J66</x:f>
        <x:v>0</x:v>
      </x:c>
      <x:c r="Q87" s="11" t="str">
        <x:f t="shared" si="16"/>
      </x:c>
      <x:c r="R87" s="12" t="str">
        <x:f t="shared" si="17"/>
      </x:c>
      <x:c r="S87" s="11" t="n">
        <x:f>'Direct CLO'!AK66</x:f>
        <x:v>0</x:v>
      </x:c>
      <x:c r="T87" s="11" t="n">
        <x:f>'Indirect CLO'!L66</x:f>
        <x:v>0</x:v>
      </x:c>
      <x:c r="U87" s="11" t="str">
        <x:f t="shared" si="18"/>
      </x:c>
      <x:c r="V87" s="12" t="str">
        <x:f t="shared" si="19"/>
      </x:c>
    </x:row>
    <x:row r="88">
      <x:c r="A88" s="16" t="str">
        <x:f>IF(RECORD!B76="","",RECORD!B76)</x:f>
      </x:c>
      <x:c r="B88" s="16" t="str">
        <x:f>IF(RECORD!C76="","",RECORD!C76)</x:f>
      </x:c>
      <x:c r="C88" s="11" t="n">
        <x:f>'Direct CLO'!I67</x:f>
        <x:v>0</x:v>
      </x:c>
      <x:c r="D88" s="11" t="n">
        <x:f>'Indirect CLO'!D67</x:f>
        <x:v>0</x:v>
      </x:c>
      <x:c r="E88" s="11" t="str">
        <x:f t="shared" si="10"/>
      </x:c>
      <x:c r="F88" s="12" t="str">
        <x:f t="shared" si="11"/>
      </x:c>
      <x:c r="G88" s="11" t="n">
        <x:f>'Direct CLO'!P67</x:f>
        <x:v>0</x:v>
      </x:c>
      <x:c r="H88" s="11" t="n">
        <x:f>'Indirect CLO'!F67</x:f>
        <x:v>0</x:v>
      </x:c>
      <x:c r="I88" s="11" t="str">
        <x:f t="shared" si="12"/>
      </x:c>
      <x:c r="J88" s="12" t="str">
        <x:f t="shared" si="13"/>
      </x:c>
      <x:c r="K88" s="11" t="n">
        <x:f>'Direct CLO'!W67</x:f>
        <x:v>0</x:v>
      </x:c>
      <x:c r="L88" s="11" t="n">
        <x:f>'Indirect CLO'!H67</x:f>
        <x:v>0</x:v>
      </x:c>
      <x:c r="M88" s="11" t="str">
        <x:f t="shared" si="14"/>
      </x:c>
      <x:c r="N88" s="12" t="str">
        <x:f t="shared" si="15"/>
      </x:c>
      <x:c r="O88" s="11" t="n">
        <x:f>'Direct CLO'!AD67</x:f>
        <x:v>0</x:v>
      </x:c>
      <x:c r="P88" s="11" t="n">
        <x:f>'Indirect CLO'!J67</x:f>
        <x:v>0</x:v>
      </x:c>
      <x:c r="Q88" s="11" t="str">
        <x:f t="shared" si="16"/>
      </x:c>
      <x:c r="R88" s="12" t="str">
        <x:f t="shared" si="17"/>
      </x:c>
      <x:c r="S88" s="11" t="n">
        <x:f>'Direct CLO'!AK67</x:f>
        <x:v>0</x:v>
      </x:c>
      <x:c r="T88" s="11" t="n">
        <x:f>'Indirect CLO'!L67</x:f>
        <x:v>0</x:v>
      </x:c>
      <x:c r="U88" s="11" t="str">
        <x:f t="shared" si="18"/>
      </x:c>
      <x:c r="V88" s="12" t="str">
        <x:f t="shared" si="19"/>
      </x:c>
    </x:row>
    <x:row r="89">
      <x:c r="A89" s="16" t="str">
        <x:f>IF(RECORD!B77="","",RECORD!B77)</x:f>
      </x:c>
      <x:c r="B89" s="16" t="str">
        <x:f>IF(RECORD!C77="","",RECORD!C77)</x:f>
      </x:c>
      <x:c r="C89" s="11" t="n">
        <x:f>'Direct CLO'!I68</x:f>
        <x:v>0</x:v>
      </x:c>
      <x:c r="D89" s="11" t="n">
        <x:f>'Indirect CLO'!D68</x:f>
        <x:v>0</x:v>
      </x:c>
      <x:c r="E89" s="11" t="str">
        <x:f t="shared" si="10"/>
      </x:c>
      <x:c r="F89" s="12" t="str">
        <x:f t="shared" si="11"/>
      </x:c>
      <x:c r="G89" s="11" t="n">
        <x:f>'Direct CLO'!P68</x:f>
        <x:v>0</x:v>
      </x:c>
      <x:c r="H89" s="11" t="n">
        <x:f>'Indirect CLO'!F68</x:f>
        <x:v>0</x:v>
      </x:c>
      <x:c r="I89" s="11" t="str">
        <x:f t="shared" si="12"/>
      </x:c>
      <x:c r="J89" s="12" t="str">
        <x:f t="shared" si="13"/>
      </x:c>
      <x:c r="K89" s="11" t="n">
        <x:f>'Direct CLO'!W68</x:f>
        <x:v>0</x:v>
      </x:c>
      <x:c r="L89" s="11" t="n">
        <x:f>'Indirect CLO'!H68</x:f>
        <x:v>0</x:v>
      </x:c>
      <x:c r="M89" s="11" t="str">
        <x:f t="shared" si="14"/>
      </x:c>
      <x:c r="N89" s="12" t="str">
        <x:f t="shared" si="15"/>
      </x:c>
      <x:c r="O89" s="11" t="n">
        <x:f>'Direct CLO'!AD68</x:f>
        <x:v>0</x:v>
      </x:c>
      <x:c r="P89" s="11" t="n">
        <x:f>'Indirect CLO'!J68</x:f>
        <x:v>0</x:v>
      </x:c>
      <x:c r="Q89" s="11" t="str">
        <x:f t="shared" si="16"/>
      </x:c>
      <x:c r="R89" s="12" t="str">
        <x:f t="shared" si="17"/>
      </x:c>
      <x:c r="S89" s="11" t="n">
        <x:f>'Direct CLO'!AK68</x:f>
        <x:v>0</x:v>
      </x:c>
      <x:c r="T89" s="11" t="n">
        <x:f>'Indirect CLO'!L68</x:f>
        <x:v>0</x:v>
      </x:c>
      <x:c r="U89" s="11" t="str">
        <x:f t="shared" si="18"/>
      </x:c>
      <x:c r="V89" s="12" t="str">
        <x:f t="shared" si="19"/>
      </x:c>
    </x:row>
    <x:row r="90">
      <x:c r="A90" s="16" t="str">
        <x:f>IF(RECORD!B78="","",RECORD!B78)</x:f>
      </x:c>
      <x:c r="B90" s="16" t="str">
        <x:f>IF(RECORD!C78="","",RECORD!C78)</x:f>
      </x:c>
      <x:c r="C90" s="11" t="str">
        <x:f>'Direct CLO'!I69</x:f>
      </x:c>
      <x:c r="D90" s="11" t="str">
        <x:f>'Indirect CLO'!D69</x:f>
      </x:c>
      <x:c r="E90" s="11" t="n">
        <x:f t="shared" ref="E90:E91" si="20">IFERROR((C90*0.7)+(D90*0.3),"")</x:f>
        <x:v>0</x:v>
      </x:c>
      <x:c r="F90" s="12" t="str">
        <x:f t="shared" ref="F90:F91" si="21">IF(A90&lt;&gt;"",IF(E90&lt;70,"AT-RISK","OK"),"")</x:f>
      </x:c>
      <x:c r="G90" s="11" t="str">
        <x:f>'Direct CLO'!P69</x:f>
      </x:c>
      <x:c r="H90" s="11" t="str">
        <x:f>'Indirect CLO'!F69</x:f>
      </x:c>
      <x:c r="I90" s="11" t="n">
        <x:f t="shared" ref="I90:I91" si="22">IFERROR((G90*0.7)+(H90*0.3),"")</x:f>
        <x:v>0</x:v>
      </x:c>
      <x:c r="J90" s="12" t="str">
        <x:f t="shared" ref="J90:J91" si="23">IF(A90&lt;&gt;"",IF(I90&lt;70,"AT-RISK","OK"),"")</x:f>
      </x:c>
      <x:c r="K90" s="11" t="str">
        <x:f>'Direct CLO'!W69</x:f>
      </x:c>
      <x:c r="L90" s="11" t="str">
        <x:f>'Indirect CLO'!H69</x:f>
      </x:c>
      <x:c r="M90" s="11" t="n">
        <x:f t="shared" ref="M90:M91" si="24">IFERROR((K90*0.7)+(L90*0.3),"")</x:f>
        <x:v>0</x:v>
      </x:c>
      <x:c r="N90" s="12" t="str">
        <x:f t="shared" ref="N90:N91" si="25">IF(A90&lt;&gt;"",IF(M90&lt;70,"AT-RISK","OK"),"")</x:f>
      </x:c>
      <x:c r="O90" s="11" t="str">
        <x:f>'Direct CLO'!AD69</x:f>
      </x:c>
      <x:c r="P90" s="11" t="str">
        <x:f>'Indirect CLO'!J69</x:f>
      </x:c>
      <x:c r="Q90" s="11" t="n">
        <x:f t="shared" ref="Q90:Q91" si="26">IFERROR((O90*0.7)+(P90*0.3),"")</x:f>
        <x:v>0</x:v>
      </x:c>
      <x:c r="R90" s="12" t="str">
        <x:f t="shared" ref="R90:R91" si="27">IF(A90&lt;&gt;"",IF(Q90&lt;70,"AT-RISK","OK"),"")</x:f>
      </x:c>
      <x:c r="S90" s="11" t="n">
        <x:f>'Direct CLO'!AK69</x:f>
        <x:v>0</x:v>
      </x:c>
      <x:c r="T90" s="11" t="n">
        <x:f>'Indirect CLO'!L69</x:f>
        <x:v>0</x:v>
      </x:c>
      <x:c r="U90" s="11" t="n">
        <x:f t="shared" ref="U90:U91" si="28">IFERROR((S90*0.7)+(T90*0.3),"")</x:f>
        <x:v>0</x:v>
      </x:c>
      <x:c r="V90" s="12" t="str">
        <x:f t="shared" ref="V90:V91" si="29">IF(A90&lt;&gt;"",IF(U90&lt;70,"AT-RISK","OK"),"")</x:f>
      </x:c>
    </x:row>
    <x:row r="91">
      <x:c r="A91" s="16" t="str">
        <x:f>IF(RECORD!B79="","",RECORD!B79)</x:f>
      </x:c>
      <x:c r="B91" s="16" t="str">
        <x:f>IF(RECORD!C79="","",RECORD!C79)</x:f>
      </x:c>
      <x:c r="C91" s="11" t="n">
        <x:f>'Direct CLO'!I70</x:f>
        <x:v>0</x:v>
      </x:c>
      <x:c r="D91" s="11" t="n">
        <x:f>'Indirect CLO'!D70</x:f>
        <x:v>0</x:v>
      </x:c>
      <x:c r="E91" s="11" t="str">
        <x:f t="shared" si="20"/>
      </x:c>
      <x:c r="F91" s="12" t="str">
        <x:f t="shared" si="21"/>
      </x:c>
      <x:c r="G91" s="11" t="n">
        <x:f>'Direct CLO'!P70</x:f>
        <x:v>0</x:v>
      </x:c>
      <x:c r="H91" s="11" t="n">
        <x:f>'Indirect CLO'!F70</x:f>
        <x:v>0</x:v>
      </x:c>
      <x:c r="I91" s="11" t="str">
        <x:f t="shared" si="22"/>
      </x:c>
      <x:c r="J91" s="12" t="str">
        <x:f t="shared" si="23"/>
      </x:c>
      <x:c r="K91" s="11" t="n">
        <x:f>'Direct CLO'!W70</x:f>
        <x:v>0</x:v>
      </x:c>
      <x:c r="L91" s="11" t="n">
        <x:f>'Indirect CLO'!H70</x:f>
        <x:v>0</x:v>
      </x:c>
      <x:c r="M91" s="11" t="str">
        <x:f t="shared" si="24"/>
      </x:c>
      <x:c r="N91" s="12" t="str">
        <x:f t="shared" si="25"/>
      </x:c>
      <x:c r="O91" s="11" t="n">
        <x:f>'Direct CLO'!AD70</x:f>
        <x:v>0</x:v>
      </x:c>
      <x:c r="P91" s="11" t="n">
        <x:f>'Indirect CLO'!J70</x:f>
        <x:v>0</x:v>
      </x:c>
      <x:c r="Q91" s="11" t="str">
        <x:f t="shared" si="26"/>
      </x:c>
      <x:c r="R91" s="12" t="str">
        <x:f t="shared" si="27"/>
      </x:c>
      <x:c r="S91" s="11" t="n">
        <x:f>'Direct CLO'!AK70</x:f>
        <x:v>0</x:v>
      </x:c>
      <x:c r="T91" s="11" t="n">
        <x:f>'Indirect CLO'!L70</x:f>
        <x:v>0</x:v>
      </x:c>
      <x:c r="U91" s="11" t="str">
        <x:f t="shared" si="28"/>
      </x:c>
      <x:c r="V91" s="12" t="str">
        <x:f t="shared" si="29"/>
      </x:c>
    </x:row>
  </x:sheetData>
  <x:mergeCells>
    <x:mergeCell ref="K24:N24"/>
    <x:mergeCell ref="O24:R24"/>
    <x:mergeCell ref="S24:V24"/>
    <x:mergeCell ref="A1:H1"/>
    <x:mergeCell ref="A2:H2"/>
    <x:mergeCell ref="A22:H22"/>
    <x:mergeCell ref="A23:H23"/>
    <x:mergeCell ref="C24:F24"/>
    <x:mergeCell ref="G24:J2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2" ySplit="4" topLeftCell="C5" activePane="bottomRight" state="frozen"/>
    </x:sheetView>
  </x:sheetViews>
  <x:sheetFormatPr defaultColWidth="8.7109375" defaultRowHeight="15"/>
  <x:cols>
    <x:col min="1" max="1" width="12" customWidth="1"/>
    <x:col min="2" max="2" width="22" customWidth="1"/>
    <x:col min="3" max="3" width="11" customWidth="1"/>
    <x:col min="4" max="4" width="10" customWidth="1"/>
    <x:col min="5" max="5" width="11" customWidth="1"/>
    <x:col min="6" max="6" width="10" customWidth="1"/>
    <x:col min="7" max="7" width="11" customWidth="1"/>
    <x:col min="8" max="8" width="10" customWidth="1"/>
    <x:col min="9" max="9" width="14" customWidth="1"/>
    <x:col min="10" max="10" width="11" customWidth="1"/>
    <x:col min="11" max="11" width="10" customWidth="1"/>
    <x:col min="12" max="12" width="11" customWidth="1"/>
    <x:col min="13" max="13" width="10" customWidth="1"/>
    <x:col min="14" max="14" width="11" customWidth="1"/>
    <x:col min="15" max="15" width="10" customWidth="1"/>
    <x:col min="16" max="16" width="14" customWidth="1"/>
    <x:col min="17" max="17" width="11" customWidth="1"/>
    <x:col min="18" max="18" width="10" customWidth="1"/>
    <x:col min="19" max="19" width="11" customWidth="1"/>
    <x:col min="20" max="20" width="10" customWidth="1"/>
    <x:col min="21" max="21" width="11" customWidth="1"/>
    <x:col min="22" max="22" width="10" customWidth="1"/>
    <x:col min="23" max="23" width="14" customWidth="1"/>
    <x:col min="24" max="24" width="11" customWidth="1"/>
    <x:col min="25" max="25" width="10" customWidth="1"/>
    <x:col min="26" max="26" width="11" customWidth="1"/>
    <x:col min="27" max="27" width="10" customWidth="1"/>
    <x:col min="28" max="28" width="11" customWidth="1"/>
    <x:col min="29" max="29" width="10" customWidth="1"/>
    <x:col min="30" max="30" width="14" customWidth="1"/>
    <x:col min="31" max="31" width="11" customWidth="1"/>
    <x:col min="32" max="32" width="10" customWidth="1"/>
    <x:col min="33" max="33" width="11" customWidth="1"/>
    <x:col min="34" max="34" width="10" customWidth="1"/>
    <x:col min="35" max="35" width="11" customWidth="1"/>
    <x:col min="36" max="36" width="10" customWidth="1"/>
    <x:col min="37" max="37" width="14" customWidth="1"/>
  </x:cols>
  <x:sheetData>
    <x:row r="1" ht="17.25" customHeight="1">
      <x:c r="A1" s="205" t="s">
        <x:v>30</x:v>
      </x:c>
      <x:c r="B1" s="205"/>
      <x:c r="C1" s="205"/>
      <x:c r="D1" s="205"/>
      <x:c r="I1" s="17"/>
      <x:c r="W1" s="17"/>
    </x:row>
    <x:row r="2">
      <x:c r="A2" s="206" t="s">
        <x:v>31</x:v>
      </x:c>
      <x:c r="B2" s="206"/>
      <x:c r="C2" s="206"/>
      <x:c r="D2" s="206"/>
      <x:c r="E2" s="206"/>
      <x:c r="F2" s="206"/>
      <x:c r="G2" s="206"/>
      <x:c r="H2" s="206"/>
      <x:c r="I2" s="206"/>
      <x:c r="J2" s="206"/>
      <x:c r="K2" s="206"/>
      <x:c r="L2" s="206"/>
      <x:c r="M2" s="206"/>
      <x:c r="N2" s="206"/>
    </x:row>
    <x:row r="3" ht="15" customHeight="1">
      <x:c r="C3" s="207" t="s">
        <x:v>16</x:v>
      </x:c>
      <x:c r="D3" s="207"/>
      <x:c r="E3" s="207"/>
      <x:c r="F3" s="207"/>
      <x:c r="G3" s="207"/>
      <x:c r="H3" s="207"/>
      <x:c r="I3" s="207"/>
      <x:c r="J3" s="207" t="s">
        <x:v>17</x:v>
      </x:c>
      <x:c r="K3" s="207"/>
      <x:c r="L3" s="207"/>
      <x:c r="M3" s="207"/>
      <x:c r="N3" s="207"/>
      <x:c r="O3" s="207"/>
      <x:c r="P3" s="207"/>
      <x:c r="Q3" s="207" t="s">
        <x:v>18</x:v>
      </x:c>
      <x:c r="R3" s="207"/>
      <x:c r="S3" s="207"/>
      <x:c r="T3" s="207"/>
      <x:c r="U3" s="207"/>
      <x:c r="V3" s="207"/>
      <x:c r="W3" s="207"/>
      <x:c r="X3" s="207" t="s">
        <x:v>19</x:v>
      </x:c>
      <x:c r="Y3" s="207"/>
      <x:c r="Z3" s="207"/>
      <x:c r="AA3" s="207"/>
      <x:c r="AB3" s="207"/>
      <x:c r="AC3" s="207"/>
      <x:c r="AD3" s="207"/>
      <x:c r="AE3" s="207" t="s">
        <x:v>20</x:v>
      </x:c>
      <x:c r="AF3" s="207"/>
      <x:c r="AG3" s="207"/>
      <x:c r="AH3" s="207"/>
      <x:c r="AI3" s="207"/>
      <x:c r="AJ3" s="207"/>
      <x:c r="AK3" s="207"/>
    </x:row>
    <x:row r="4" ht="26.25" customHeight="1">
      <x:c r="A4" s="9" t="s">
        <x:v>24</x:v>
      </x:c>
      <x:c r="B4" s="9" t="s">
        <x:v>25</x:v>
      </x:c>
      <x:c r="C4" s="9" t="s">
        <x:v>32</x:v>
      </x:c>
      <x:c r="D4" s="9" t="s">
        <x:v>33</x:v>
      </x:c>
      <x:c r="E4" s="9" t="s">
        <x:v>34</x:v>
      </x:c>
      <x:c r="F4" s="9" t="s">
        <x:v>35</x:v>
      </x:c>
      <x:c r="G4" s="9" t="s">
        <x:v>36</x:v>
      </x:c>
      <x:c r="H4" s="9" t="s">
        <x:v>37</x:v>
      </x:c>
      <x:c r="I4" s="9" t="s">
        <x:v>38</x:v>
      </x:c>
      <x:c r="J4" s="9" t="s">
        <x:v>32</x:v>
      </x:c>
      <x:c r="K4" s="9" t="s">
        <x:v>33</x:v>
      </x:c>
      <x:c r="L4" s="9" t="s">
        <x:v>34</x:v>
      </x:c>
      <x:c r="M4" s="9" t="s">
        <x:v>35</x:v>
      </x:c>
      <x:c r="N4" s="9" t="s">
        <x:v>36</x:v>
      </x:c>
      <x:c r="O4" s="9" t="s">
        <x:v>37</x:v>
      </x:c>
      <x:c r="P4" s="9" t="s">
        <x:v>39</x:v>
      </x:c>
      <x:c r="Q4" s="9" t="s">
        <x:v>32</x:v>
      </x:c>
      <x:c r="R4" s="9" t="s">
        <x:v>33</x:v>
      </x:c>
      <x:c r="S4" s="9" t="s">
        <x:v>34</x:v>
      </x:c>
      <x:c r="T4" s="9" t="s">
        <x:v>35</x:v>
      </x:c>
      <x:c r="U4" s="9" t="s">
        <x:v>36</x:v>
      </x:c>
      <x:c r="V4" s="9" t="s">
        <x:v>37</x:v>
      </x:c>
      <x:c r="W4" s="9" t="s">
        <x:v>40</x:v>
      </x:c>
      <x:c r="X4" s="9" t="s">
        <x:v>32</x:v>
      </x:c>
      <x:c r="Y4" s="9" t="s">
        <x:v>33</x:v>
      </x:c>
      <x:c r="Z4" s="9" t="s">
        <x:v>34</x:v>
      </x:c>
      <x:c r="AA4" s="9" t="s">
        <x:v>35</x:v>
      </x:c>
      <x:c r="AB4" s="9" t="s">
        <x:v>36</x:v>
      </x:c>
      <x:c r="AC4" s="9" t="s">
        <x:v>37</x:v>
      </x:c>
      <x:c r="AD4" s="9" t="s">
        <x:v>41</x:v>
      </x:c>
      <x:c r="AE4" s="9" t="s">
        <x:v>32</x:v>
      </x:c>
      <x:c r="AF4" s="9" t="s">
        <x:v>33</x:v>
      </x:c>
      <x:c r="AG4" s="9" t="s">
        <x:v>34</x:v>
      </x:c>
      <x:c r="AH4" s="9" t="s">
        <x:v>35</x:v>
      </x:c>
      <x:c r="AI4" s="9" t="s">
        <x:v>36</x:v>
      </x:c>
      <x:c r="AJ4" s="9" t="s">
        <x:v>37</x:v>
      </x:c>
      <x:c r="AK4" s="9" t="s">
        <x:v>42</x:v>
      </x:c>
    </x:row>
    <x:row r="5">
      <x:c r="A5" s="18" t="str">
        <x:f>IF(RECORD!B14="","",RECORD!B14)</x:f>
        <x:v>2024-00123</x:v>
      </x:c>
      <x:c r="B5" s="18" t="str">
        <x:f>IF(RECORD!C14="","",RECORD!C14)</x:f>
        <x:v>Castillo, Danica C.</x:v>
      </x:c>
      <x:c r="C5" s="19" t="n">
        <x:f>IF(B5&lt;&gt;"",SUMIFS(RECORD!E14:EP14,RECORD!E$12:EP$12,"CLO1",RECORD!E$11:EP$11,"Prelim"),"")</x:f>
        <x:v>11</x:v>
      </x:c>
      <x:c r="D5" s="19" t="n">
        <x:f>IF(B5&lt;&gt;"",SUMIFS(RECORD!E$13:EP$13,RECORD!E$12:EP$12,"CLO1",RECORD!E$11:EP$11,"Prelim"),"")</x:f>
        <x:v>30</x:v>
      </x:c>
      <x:c r="E5" s="19" t="n">
        <x:f>IF(B5&lt;&gt;"",SUMIFS(RECORD!E14:EP14,RECORD!E$12:EP$12,"CLO1",RECORD!E$11:EP$11,"Midterm"),"")</x:f>
        <x:v>19</x:v>
      </x:c>
      <x:c r="F5" s="19" t="n">
        <x:f>IF(B5&lt;&gt;"",SUMIFS(RECORD!E$13:EP$13,RECORD!E$12:EP$12,"CLO1",RECORD!E$11:EP$11,"Midterm"),"")</x:f>
        <x:v>50</x:v>
      </x:c>
      <x:c r="G5" s="19" t="n">
        <x:f>IF(B5&lt;&gt;"",SUMIFS(RECORD!E14:EP14,RECORD!E$12:EP$12,"CLO1",RECORD!E$11:EP$11,"Final"),"")</x:f>
        <x:v>13</x:v>
      </x:c>
      <x:c r="H5" s="19" t="n">
        <x:f>IF(B5&lt;&gt;"",SUMIFS(RECORD!E$13:EP$13,RECORD!E$12:EP$12,"CLO1",RECORD!E$11:EP$11,"Final"),"")</x:f>
        <x:v>25</x:v>
      </x:c>
      <x:c r="I5" s="20" t="n">
        <x:f t="shared" ref="I5:I36" si="0">IF(B5&lt;&gt;"",IFERROR((C5+E5+G5)/(D5+F5+H5)*100,0),"")</x:f>
        <x:v>40.95238095238095</x:v>
      </x:c>
      <x:c r="J5" s="19" t="n">
        <x:f>IF(B5&lt;&gt;"",SUMIFS(RECORD!E14:EP14,RECORD!E$12:EP$12,"CLO2",RECORD!E$11:EP$11,"Prelim"),"")</x:f>
        <x:v>15</x:v>
      </x:c>
      <x:c r="K5" s="19" t="n">
        <x:f>IF(B5&lt;&gt;"",SUMIFS(RECORD!E$13:EP$13,RECORD!E$12:EP$12,"CLO2",RECORD!E$11:EP$11,"Prelim"),"")</x:f>
        <x:v>60</x:v>
      </x:c>
      <x:c r="L5" s="19" t="n">
        <x:f>IF(B5&lt;&gt;"",SUMIFS(RECORD!E14:EP14,RECORD!E$12:EP$12,"CLO2",RECORD!E$11:EP$11,"Midterm"),"")</x:f>
        <x:v>19</x:v>
      </x:c>
      <x:c r="M5" s="19" t="n">
        <x:f>IF(B5&lt;&gt;"",SUMIFS(RECORD!E$13:EP$13,RECORD!E$12:EP$12,"CLO2",RECORD!E$11:EP$11,"Midterm"),"")</x:f>
        <x:v>50</x:v>
      </x:c>
      <x:c r="N5" s="19" t="n">
        <x:f>IF(B5&lt;&gt;"",SUMIFS(RECORD!E14:EP14,RECORD!E$12:EP$12,"CLO2",RECORD!E$11:EP$11,"Final"),"")</x:f>
        <x:v>6</x:v>
      </x:c>
      <x:c r="O5" s="19" t="n">
        <x:f>IF(B5&lt;&gt;"",SUMIFS(RECORD!E$13:EP$13,RECORD!E$12:EP$12,"CLO2",RECORD!E$11:EP$11,"Final"),"")</x:f>
        <x:v>25</x:v>
      </x:c>
      <x:c r="P5" s="20" t="n">
        <x:f t="shared" ref="P5:P36" si="1">IF(B5&lt;&gt;"",IFERROR((J5+L5+N5)/(K5+M5+O5)*100,0),"")</x:f>
        <x:v>29.629629629629626</x:v>
      </x:c>
      <x:c r="Q5" s="19" t="n">
        <x:f>IF(B5&lt;&gt;"",SUMIFS(RECORD!E14:EP14,RECORD!E$12:EP$12,"CLO3",RECORD!E$11:EP$11,"Prelim"),"")</x:f>
        <x:v>38</x:v>
      </x:c>
      <x:c r="R5" s="19" t="n">
        <x:f>IF(B5&lt;&gt;"",SUMIFS(RECORD!E$13:EP$13,RECORD!E$12:EP$12,"CLO3",RECORD!E$11:EP$11,"Prelim"),"")</x:f>
        <x:v>80</x:v>
      </x:c>
      <x:c r="S5" s="19" t="n">
        <x:f>IF(B5&lt;&gt;"",SUMIFS(RECORD!E14:EP14,RECORD!E$12:EP$12,"CLO3",RECORD!E$11:EP$11,"Midterm"),"")</x:f>
        <x:v>41</x:v>
      </x:c>
      <x:c r="T5" s="19" t="n">
        <x:f>IF(B5&lt;&gt;"",SUMIFS(RECORD!E$13:EP$13,RECORD!E$12:EP$12,"CLO3",RECORD!E$11:EP$11,"Midterm"),"")</x:f>
        <x:v>100</x:v>
      </x:c>
      <x:c r="U5" s="19" t="n">
        <x:f>IF(B5&lt;&gt;"",SUMIFS(RECORD!E14:EP14,RECORD!E$12:EP$12,"CLO3",RECORD!E$11:EP$11,"Final"),"")</x:f>
        <x:v>6</x:v>
      </x:c>
      <x:c r="V5" s="19" t="n">
        <x:f>IF(B5&lt;&gt;"",SUMIFS(RECORD!E$13:EP$13,RECORD!E$12:EP$12,"CLO3",RECORD!E$11:EP$11,"Final"),"")</x:f>
        <x:v>25</x:v>
      </x:c>
      <x:c r="W5" s="20" t="n">
        <x:f t="shared" ref="W5:W36" si="2">IF(B5&lt;&gt;"",IFERROR((Q5+S5+U5)/(R5+T5+V5)*100,0),"")</x:f>
        <x:v>41.46341463414634</x:v>
      </x:c>
      <x:c r="X5" s="19" t="n">
        <x:f>IF(B5&lt;&gt;"",SUMIFS(RECORD!E14:EP14,RECORD!E$12:EP$12,"CLO4",RECORD!E$11:EP$11,"Prelim"),"")</x:f>
        <x:v>0</x:v>
      </x:c>
      <x:c r="Y5" s="19" t="n">
        <x:f>IF(B5&lt;&gt;"",SUMIFS(RECORD!E$13:EP$13,RECORD!E$12:EP$12,"CLO4",RECORD!E$11:EP$11,"Prelim"),"")</x:f>
        <x:v>0</x:v>
      </x:c>
      <x:c r="Z5" s="19" t="n">
        <x:f>IF(B5&lt;&gt;"",SUMIFS(RECORD!E14:EP14,RECORD!E$12:EP$12,"CLO4",RECORD!E$11:EP$11,"Midterm"),"")</x:f>
        <x:v>0</x:v>
      </x:c>
      <x:c r="AA5" s="19" t="n">
        <x:f>IF(B5&lt;&gt;"",SUMIFS(RECORD!E$13:EP$13,RECORD!E$12:EP$12,"CLO4",RECORD!E$11:EP$11,"Midterm"),"")</x:f>
        <x:v>0</x:v>
      </x:c>
      <x:c r="AB5" s="19" t="n">
        <x:f>IF(B5&lt;&gt;"",SUMIFS(RECORD!E14:EP14,RECORD!E$12:EP$12,"CLO4",RECORD!E$11:EP$11,"Final"),"")</x:f>
        <x:v>20</x:v>
      </x:c>
      <x:c r="AC5" s="19" t="n">
        <x:f>IF(B5&lt;&gt;"",SUMIFS(RECORD!E$13:EP$13,RECORD!E$12:EP$12,"CLO4",RECORD!E$11:EP$11,"Final"),"")</x:f>
        <x:v>45</x:v>
      </x:c>
      <x:c r="AD5" s="20" t="n">
        <x:f t="shared" ref="AD5:AD36" si="3">IF(B5&lt;&gt;"",IFERROR((X5+Z5+AB5)/(Y5+AA5+AC5)*100,0),"")</x:f>
        <x:v>44.44444444444444</x:v>
      </x:c>
      <x:c r="AE5" s="19" t="n">
        <x:f>IF(B5&lt;&gt;"",SUMIFS(RECORD!E14:EP14,RECORD!E$12:EP$12,"CLO5",RECORD!E$11:EP$11,"Prelim"),"")</x:f>
        <x:v>0</x:v>
      </x:c>
      <x:c r="AF5" s="19" t="n">
        <x:f>IF(B5&lt;&gt;"",SUMIFS(RECORD!E$13:EP$13,RECORD!E$12:EP$12,"CLO5",RECORD!E$11:EP$11,"Prelim"),"")</x:f>
        <x:v>0</x:v>
      </x:c>
      <x:c r="AG5" s="19" t="n">
        <x:f>IF(B5&lt;&gt;"",SUMIFS(RECORD!E14:EP14,RECORD!E$12:EP$12,"CLO5",RECORD!E$11:EP$11,"Midterm"),"")</x:f>
        <x:v>0</x:v>
      </x:c>
      <x:c r="AH5" s="19" t="n">
        <x:f>IF(B5&lt;&gt;"",SUMIFS(RECORD!E$13:EP$13,RECORD!E$12:EP$12,"CLO5",RECORD!E$11:EP$11,"Midterm"),"")</x:f>
        <x:v>0</x:v>
      </x:c>
      <x:c r="AI5" s="19" t="n">
        <x:f>IF(B5&lt;&gt;"",SUMIFS(RECORD!E14:EP14,RECORD!E$12:EP$12,"CLO5",RECORD!E$11:EP$11,"Final"),"")</x:f>
        <x:v>31</x:v>
      </x:c>
      <x:c r="AJ5" s="19" t="n">
        <x:f>IF(B5&lt;&gt;"",SUMIFS(RECORD!E$13:EP$13,RECORD!E$12:EP$12,"CLO5",RECORD!E$11:EP$11,"Final"),"")</x:f>
        <x:v>75</x:v>
      </x:c>
      <x:c r="AK5" s="20" t="n">
        <x:f t="shared" ref="AK5:AK36" si="4">IF(B5&lt;&gt;"",IFERROR((AE5+AG5+AI5)/(AF5+AH5+AJ5)*100,0),"")</x:f>
        <x:v>41.333333333333336</x:v>
      </x:c>
    </x:row>
    <x:row r="6">
      <x:c r="A6" s="18" t="str">
        <x:f>IF(RECORD!B15="","",RECORD!B15)</x:f>
        <x:v>2024-00145</x:v>
      </x:c>
      <x:c r="B6" s="18" t="str">
        <x:f>IF(RECORD!C15="","",RECORD!C15)</x:f>
        <x:v>Soriano, Kyle G.</x:v>
      </x:c>
      <x:c r="C6" s="19" t="n">
        <x:f>IF(B6&lt;&gt;"",SUMIFS(RECORD!E15:EP15,RECORD!E$12:EP$12,"CLO1",RECORD!E$11:EP$11,"Prelim"),"")</x:f>
        <x:v>15</x:v>
      </x:c>
      <x:c r="D6" s="19" t="n">
        <x:f>IF(B6&lt;&gt;"",SUMIFS(RECORD!E$13:EP$13,RECORD!E$12:EP$12,"CLO1",RECORD!E$11:EP$11,"Prelim"),"")</x:f>
        <x:v>30</x:v>
      </x:c>
      <x:c r="E6" s="19" t="n">
        <x:f>IF(B6&lt;&gt;"",SUMIFS(RECORD!E15:EP15,RECORD!E$12:EP$12,"CLO1",RECORD!E$11:EP$11,"Midterm"),"")</x:f>
        <x:v>30</x:v>
      </x:c>
      <x:c r="F6" s="19" t="n">
        <x:f>IF(B6&lt;&gt;"",SUMIFS(RECORD!E$13:EP$13,RECORD!E$12:EP$12,"CLO1",RECORD!E$11:EP$11,"Midterm"),"")</x:f>
        <x:v>50</x:v>
      </x:c>
      <x:c r="G6" s="19" t="n">
        <x:f>IF(B6&lt;&gt;"",SUMIFS(RECORD!E15:EP15,RECORD!E$12:EP$12,"CLO1",RECORD!E$11:EP$11,"Final"),"")</x:f>
        <x:v>17</x:v>
      </x:c>
      <x:c r="H6" s="19" t="n">
        <x:f>IF(B6&lt;&gt;"",SUMIFS(RECORD!E$13:EP$13,RECORD!E$12:EP$12,"CLO1",RECORD!E$11:EP$11,"Final"),"")</x:f>
        <x:v>25</x:v>
      </x:c>
      <x:c r="I6" s="20">
        <x:f t="shared" si="0"/>
        <x:v>87.61904761904762</x:v>
      </x:c>
      <x:c r="J6" s="19" t="n">
        <x:f>IF(B6&lt;&gt;"",SUMIFS(RECORD!E15:EP15,RECORD!E$12:EP$12,"CLO2",RECORD!E$11:EP$11,"Prelim"),"")</x:f>
        <x:v>36</x:v>
      </x:c>
      <x:c r="K6" s="19" t="n">
        <x:f>IF(B6&lt;&gt;"",SUMIFS(RECORD!E$13:EP$13,RECORD!E$12:EP$12,"CLO2",RECORD!E$11:EP$11,"Prelim"),"")</x:f>
        <x:v>60</x:v>
      </x:c>
      <x:c r="L6" s="19" t="n">
        <x:f>IF(B6&lt;&gt;"",SUMIFS(RECORD!E15:EP15,RECORD!E$12:EP$12,"CLO2",RECORD!E$11:EP$11,"Midterm"),"")</x:f>
        <x:v>39</x:v>
      </x:c>
      <x:c r="M6" s="19" t="n">
        <x:f>IF(B6&lt;&gt;"",SUMIFS(RECORD!E$13:EP$13,RECORD!E$12:EP$12,"CLO2",RECORD!E$11:EP$11,"Midterm"),"")</x:f>
        <x:v>50</x:v>
      </x:c>
      <x:c r="N6" s="19" t="n">
        <x:f>IF(B6&lt;&gt;"",SUMIFS(RECORD!E15:EP15,RECORD!E$12:EP$12,"CLO2",RECORD!E$11:EP$11,"Final"),"")</x:f>
        <x:v>16</x:v>
      </x:c>
      <x:c r="O6" s="19" t="n">
        <x:f>IF(B6&lt;&gt;"",SUMIFS(RECORD!E$13:EP$13,RECORD!E$12:EP$12,"CLO2",RECORD!E$11:EP$11,"Final"),"")</x:f>
        <x:v>25</x:v>
      </x:c>
      <x:c r="P6" s="20">
        <x:f t="shared" si="1"/>
        <x:v>81.481481481481481</x:v>
      </x:c>
      <x:c r="Q6" s="19" t="n">
        <x:f>IF(B6&lt;&gt;"",SUMIFS(RECORD!E15:EP15,RECORD!E$12:EP$12,"CLO3",RECORD!E$11:EP$11,"Prelim"),"")</x:f>
        <x:v>39</x:v>
      </x:c>
      <x:c r="R6" s="19" t="n">
        <x:f>IF(B6&lt;&gt;"",SUMIFS(RECORD!E$13:EP$13,RECORD!E$12:EP$12,"CLO3",RECORD!E$11:EP$11,"Prelim"),"")</x:f>
        <x:v>80</x:v>
      </x:c>
      <x:c r="S6" s="19" t="n">
        <x:f>IF(B6&lt;&gt;"",SUMIFS(RECORD!E15:EP15,RECORD!E$12:EP$12,"CLO3",RECORD!E$11:EP$11,"Midterm"),"")</x:f>
        <x:v>70</x:v>
      </x:c>
      <x:c r="T6" s="19" t="n">
        <x:f>IF(B6&lt;&gt;"",SUMIFS(RECORD!E$13:EP$13,RECORD!E$12:EP$12,"CLO3",RECORD!E$11:EP$11,"Midterm"),"")</x:f>
        <x:v>100</x:v>
      </x:c>
      <x:c r="U6" s="19" t="n">
        <x:f>IF(B6&lt;&gt;"",SUMIFS(RECORD!E15:EP15,RECORD!E$12:EP$12,"CLO3",RECORD!E$11:EP$11,"Final"),"")</x:f>
        <x:v>16</x:v>
      </x:c>
      <x:c r="V6" s="19" t="n">
        <x:f>IF(B6&lt;&gt;"",SUMIFS(RECORD!E$13:EP$13,RECORD!E$12:EP$12,"CLO3",RECORD!E$11:EP$11,"Final"),"")</x:f>
        <x:v>25</x:v>
      </x:c>
      <x:c r="W6" s="20">
        <x:f t="shared" si="2"/>
        <x:v>85.365853658536579</x:v>
      </x:c>
      <x:c r="X6" s="19" t="n">
        <x:f>IF(B6&lt;&gt;"",SUMIFS(RECORD!E15:EP15,RECORD!E$12:EP$12,"CLO4",RECORD!E$11:EP$11,"Prelim"),"")</x:f>
        <x:v>0</x:v>
      </x:c>
      <x:c r="Y6" s="19" t="n">
        <x:f>IF(B6&lt;&gt;"",SUMIFS(RECORD!E$13:EP$13,RECORD!E$12:EP$12,"CLO4",RECORD!E$11:EP$11,"Prelim"),"")</x:f>
        <x:v>0</x:v>
      </x:c>
      <x:c r="Z6" s="19" t="n">
        <x:f>IF(B6&lt;&gt;"",SUMIFS(RECORD!E15:EP15,RECORD!E$12:EP$12,"CLO4",RECORD!E$11:EP$11,"Midterm"),"")</x:f>
        <x:v>0</x:v>
      </x:c>
      <x:c r="AA6" s="19" t="n">
        <x:f>IF(B6&lt;&gt;"",SUMIFS(RECORD!E$13:EP$13,RECORD!E$12:EP$12,"CLO4",RECORD!E$11:EP$11,"Midterm"),"")</x:f>
        <x:v>0</x:v>
      </x:c>
      <x:c r="AB6" s="19" t="n">
        <x:f>IF(B6&lt;&gt;"",SUMIFS(RECORD!E15:EP15,RECORD!E$12:EP$12,"CLO4",RECORD!E$11:EP$11,"Final"),"")</x:f>
        <x:v>23</x:v>
      </x:c>
      <x:c r="AC6" s="19" t="n">
        <x:f>IF(B6&lt;&gt;"",SUMIFS(RECORD!E$13:EP$13,RECORD!E$12:EP$12,"CLO4",RECORD!E$11:EP$11,"Final"),"")</x:f>
        <x:v>45</x:v>
      </x:c>
      <x:c r="AD6" s="20">
        <x:f t="shared" si="3"/>
        <x:v>88.888888888888886</x:v>
      </x:c>
      <x:c r="AE6" s="19" t="n">
        <x:f>IF(B6&lt;&gt;"",SUMIFS(RECORD!E15:EP15,RECORD!E$12:EP$12,"CLO5",RECORD!E$11:EP$11,"Prelim"),"")</x:f>
        <x:v>0</x:v>
      </x:c>
      <x:c r="AF6" s="19" t="n">
        <x:f>IF(B6&lt;&gt;"",SUMIFS(RECORD!E$13:EP$13,RECORD!E$12:EP$12,"CLO5",RECORD!E$11:EP$11,"Prelim"),"")</x:f>
        <x:v>0</x:v>
      </x:c>
      <x:c r="AG6" s="19" t="n">
        <x:f>IF(B6&lt;&gt;"",SUMIFS(RECORD!E15:EP15,RECORD!E$12:EP$12,"CLO5",RECORD!E$11:EP$11,"Midterm"),"")</x:f>
        <x:v>0</x:v>
      </x:c>
      <x:c r="AH6" s="19" t="n">
        <x:f>IF(B6&lt;&gt;"",SUMIFS(RECORD!E$13:EP$13,RECORD!E$12:EP$12,"CLO5",RECORD!E$11:EP$11,"Midterm"),"")</x:f>
        <x:v>0</x:v>
      </x:c>
      <x:c r="AI6" s="19" t="n">
        <x:f>IF(B6&lt;&gt;"",SUMIFS(RECORD!E15:EP15,RECORD!E$12:EP$12,"CLO5",RECORD!E$11:EP$11,"Final"),"")</x:f>
        <x:v>44</x:v>
      </x:c>
      <x:c r="AJ6" s="19" t="n">
        <x:f>IF(B6&lt;&gt;"",SUMIFS(RECORD!E$13:EP$13,RECORD!E$12:EP$12,"CLO5",RECORD!E$11:EP$11,"Final"),"")</x:f>
        <x:v>75</x:v>
      </x:c>
      <x:c r="AK6" s="20">
        <x:f t="shared" si="4"/>
        <x:v>93.333333333333329</x:v>
      </x:c>
    </x:row>
    <x:row r="7">
      <x:c r="A7" s="18" t="str">
        <x:f>IF(RECORD!B16="","",RECORD!B16)</x:f>
        <x:v>2024-00167</x:v>
      </x:c>
      <x:c r="B7" s="18" t="str">
        <x:f>IF(RECORD!C16="","",RECORD!C16)</x:f>
        <x:v>Santiago, Frances J.</x:v>
      </x:c>
      <x:c r="C7" s="19" t="n">
        <x:f>IF(B7&lt;&gt;"",SUMIFS(RECORD!E16:EP16,RECORD!E$12:EP$12,"CLO1",RECORD!E$11:EP$11,"Prelim"),"")</x:f>
        <x:v>14</x:v>
      </x:c>
      <x:c r="D7" s="19" t="n">
        <x:f>IF(B7&lt;&gt;"",SUMIFS(RECORD!E$13:EP$13,RECORD!E$12:EP$12,"CLO1",RECORD!E$11:EP$11,"Prelim"),"")</x:f>
        <x:v>30</x:v>
      </x:c>
      <x:c r="E7" s="19" t="n">
        <x:f>IF(B7&lt;&gt;"",SUMIFS(RECORD!E16:EP16,RECORD!E$12:EP$12,"CLO1",RECORD!E$11:EP$11,"Midterm"),"")</x:f>
        <x:v>26</x:v>
      </x:c>
      <x:c r="F7" s="19" t="n">
        <x:f>IF(B7&lt;&gt;"",SUMIFS(RECORD!E$13:EP$13,RECORD!E$12:EP$12,"CLO1",RECORD!E$11:EP$11,"Midterm"),"")</x:f>
        <x:v>50</x:v>
      </x:c>
      <x:c r="G7" s="19" t="n">
        <x:f>IF(B7&lt;&gt;"",SUMIFS(RECORD!E16:EP16,RECORD!E$12:EP$12,"CLO1",RECORD!E$11:EP$11,"Final"),"")</x:f>
        <x:v>16</x:v>
      </x:c>
      <x:c r="H7" s="19" t="n">
        <x:f>IF(B7&lt;&gt;"",SUMIFS(RECORD!E$13:EP$13,RECORD!E$12:EP$12,"CLO1",RECORD!E$11:EP$11,"Final"),"")</x:f>
        <x:v>25</x:v>
      </x:c>
      <x:c r="I7" s="20">
        <x:f t="shared" si="0"/>
        <x:v>86.666666666666671</x:v>
      </x:c>
      <x:c r="J7" s="19" t="n">
        <x:f>IF(B7&lt;&gt;"",SUMIFS(RECORD!E16:EP16,RECORD!E$12:EP$12,"CLO2",RECORD!E$11:EP$11,"Prelim"),"")</x:f>
        <x:v>37</x:v>
      </x:c>
      <x:c r="K7" s="19" t="n">
        <x:f>IF(B7&lt;&gt;"",SUMIFS(RECORD!E$13:EP$13,RECORD!E$12:EP$12,"CLO2",RECORD!E$11:EP$11,"Prelim"),"")</x:f>
        <x:v>60</x:v>
      </x:c>
      <x:c r="L7" s="19" t="n">
        <x:f>IF(B7&lt;&gt;"",SUMIFS(RECORD!E16:EP16,RECORD!E$12:EP$12,"CLO2",RECORD!E$11:EP$11,"Midterm"),"")</x:f>
        <x:v>19</x:v>
      </x:c>
      <x:c r="M7" s="19" t="n">
        <x:f>IF(B7&lt;&gt;"",SUMIFS(RECORD!E$13:EP$13,RECORD!E$12:EP$12,"CLO2",RECORD!E$11:EP$11,"Midterm"),"")</x:f>
        <x:v>50</x:v>
      </x:c>
      <x:c r="N7" s="19" t="n">
        <x:f>IF(B7&lt;&gt;"",SUMIFS(RECORD!E16:EP16,RECORD!E$12:EP$12,"CLO2",RECORD!E$11:EP$11,"Final"),"")</x:f>
        <x:v>14</x:v>
      </x:c>
      <x:c r="O7" s="19" t="n">
        <x:f>IF(B7&lt;&gt;"",SUMIFS(RECORD!E$13:EP$13,RECORD!E$12:EP$12,"CLO2",RECORD!E$11:EP$11,"Final"),"")</x:f>
        <x:v>25</x:v>
      </x:c>
      <x:c r="P7" s="20">
        <x:f t="shared" si="1"/>
        <x:v>81.481481481481481</x:v>
      </x:c>
      <x:c r="Q7" s="19" t="n">
        <x:f>IF(B7&lt;&gt;"",SUMIFS(RECORD!E16:EP16,RECORD!E$12:EP$12,"CLO3",RECORD!E$11:EP$11,"Prelim"),"")</x:f>
        <x:v>36</x:v>
      </x:c>
      <x:c r="R7" s="19" t="n">
        <x:f>IF(B7&lt;&gt;"",SUMIFS(RECORD!E$13:EP$13,RECORD!E$12:EP$12,"CLO3",RECORD!E$11:EP$11,"Prelim"),"")</x:f>
        <x:v>80</x:v>
      </x:c>
      <x:c r="S7" s="19" t="n">
        <x:f>IF(B7&lt;&gt;"",SUMIFS(RECORD!E16:EP16,RECORD!E$12:EP$12,"CLO3",RECORD!E$11:EP$11,"Midterm"),"")</x:f>
        <x:v>57</x:v>
      </x:c>
      <x:c r="T7" s="19" t="n">
        <x:f>IF(B7&lt;&gt;"",SUMIFS(RECORD!E$13:EP$13,RECORD!E$12:EP$12,"CLO3",RECORD!E$11:EP$11,"Midterm"),"")</x:f>
        <x:v>100</x:v>
      </x:c>
      <x:c r="U7" s="19" t="n">
        <x:f>IF(B7&lt;&gt;"",SUMIFS(RECORD!E16:EP16,RECORD!E$12:EP$12,"CLO3",RECORD!E$11:EP$11,"Final"),"")</x:f>
        <x:v>14</x:v>
      </x:c>
      <x:c r="V7" s="19" t="n">
        <x:f>IF(B7&lt;&gt;"",SUMIFS(RECORD!E$13:EP$13,RECORD!E$12:EP$12,"CLO3",RECORD!E$11:EP$11,"Final"),"")</x:f>
        <x:v>25</x:v>
      </x:c>
      <x:c r="W7" s="20">
        <x:f t="shared" si="2"/>
        <x:v>97.560975609756099</x:v>
      </x:c>
      <x:c r="X7" s="19" t="n">
        <x:f>IF(B7&lt;&gt;"",SUMIFS(RECORD!E16:EP16,RECORD!E$12:EP$12,"CLO4",RECORD!E$11:EP$11,"Prelim"),"")</x:f>
        <x:v>0</x:v>
      </x:c>
      <x:c r="Y7" s="19" t="n">
        <x:f>IF(B7&lt;&gt;"",SUMIFS(RECORD!E$13:EP$13,RECORD!E$12:EP$12,"CLO4",RECORD!E$11:EP$11,"Prelim"),"")</x:f>
        <x:v>0</x:v>
      </x:c>
      <x:c r="Z7" s="19" t="n">
        <x:f>IF(B7&lt;&gt;"",SUMIFS(RECORD!E16:EP16,RECORD!E$12:EP$12,"CLO4",RECORD!E$11:EP$11,"Midterm"),"")</x:f>
        <x:v>0</x:v>
      </x:c>
      <x:c r="AA7" s="19" t="n">
        <x:f>IF(B7&lt;&gt;"",SUMIFS(RECORD!E$13:EP$13,RECORD!E$12:EP$12,"CLO4",RECORD!E$11:EP$11,"Midterm"),"")</x:f>
        <x:v>0</x:v>
      </x:c>
      <x:c r="AB7" s="19" t="n">
        <x:f>IF(B7&lt;&gt;"",SUMIFS(RECORD!E16:EP16,RECORD!E$12:EP$12,"CLO4",RECORD!E$11:EP$11,"Final"),"")</x:f>
        <x:v>27</x:v>
      </x:c>
      <x:c r="AC7" s="19" t="n">
        <x:f>IF(B7&lt;&gt;"",SUMIFS(RECORD!E$13:EP$13,RECORD!E$12:EP$12,"CLO4",RECORD!E$11:EP$11,"Final"),"")</x:f>
        <x:v>45</x:v>
      </x:c>
      <x:c r="AD7" s="20">
        <x:f t="shared" si="3"/>
        <x:v>88.888888888888886</x:v>
      </x:c>
      <x:c r="AE7" s="19" t="n">
        <x:f>IF(B7&lt;&gt;"",SUMIFS(RECORD!E16:EP16,RECORD!E$12:EP$12,"CLO5",RECORD!E$11:EP$11,"Prelim"),"")</x:f>
        <x:v>0</x:v>
      </x:c>
      <x:c r="AF7" s="19" t="n">
        <x:f>IF(B7&lt;&gt;"",SUMIFS(RECORD!E$13:EP$13,RECORD!E$12:EP$12,"CLO5",RECORD!E$11:EP$11,"Prelim"),"")</x:f>
        <x:v>0</x:v>
      </x:c>
      <x:c r="AG7" s="19" t="n">
        <x:f>IF(B7&lt;&gt;"",SUMIFS(RECORD!E16:EP16,RECORD!E$12:EP$12,"CLO5",RECORD!E$11:EP$11,"Midterm"),"")</x:f>
        <x:v>0</x:v>
      </x:c>
      <x:c r="AH7" s="19" t="n">
        <x:f>IF(B7&lt;&gt;"",SUMIFS(RECORD!E$13:EP$13,RECORD!E$12:EP$12,"CLO5",RECORD!E$11:EP$11,"Midterm"),"")</x:f>
        <x:v>0</x:v>
      </x:c>
      <x:c r="AI7" s="19" t="n">
        <x:f>IF(B7&lt;&gt;"",SUMIFS(RECORD!E16:EP16,RECORD!E$12:EP$12,"CLO5",RECORD!E$11:EP$11,"Final"),"")</x:f>
        <x:v>42</x:v>
      </x:c>
      <x:c r="AJ7" s="19" t="n">
        <x:f>IF(B7&lt;&gt;"",SUMIFS(RECORD!E$13:EP$13,RECORD!E$12:EP$12,"CLO5",RECORD!E$11:EP$11,"Final"),"")</x:f>
        <x:v>75</x:v>
      </x:c>
      <x:c r="AK7" s="20">
        <x:f t="shared" si="4"/>
        <x:v>93.333333333333329</x:v>
      </x:c>
    </x:row>
    <x:row r="8">
      <x:c r="A8" s="18" t="str">
        <x:f>IF(RECORD!B17="","",RECORD!B17)</x:f>
        <x:v>2024-00189</x:v>
      </x:c>
      <x:c r="B8" s="18" t="str">
        <x:f>IF(RECORD!C17="","",RECORD!C17)</x:f>
        <x:v>Dizon, Zoe D.</x:v>
      </x:c>
      <x:c r="C8" s="19" t="n">
        <x:f>IF(B8&lt;&gt;"",SUMIFS(RECORD!E17:EP17,RECORD!E$12:EP$12,"CLO1",RECORD!E$11:EP$11,"Prelim"),"")</x:f>
        <x:v>15</x:v>
      </x:c>
      <x:c r="D8" s="19" t="n">
        <x:f>IF(B8&lt;&gt;"",SUMIFS(RECORD!E$13:EP$13,RECORD!E$12:EP$12,"CLO1",RECORD!E$11:EP$11,"Prelim"),"")</x:f>
        <x:v>30</x:v>
      </x:c>
      <x:c r="E8" s="19" t="n">
        <x:f>IF(B8&lt;&gt;"",SUMIFS(RECORD!E17:EP17,RECORD!E$12:EP$12,"CLO1",RECORD!E$11:EP$11,"Midterm"),"")</x:f>
        <x:v>19</x:v>
      </x:c>
      <x:c r="F8" s="19" t="n">
        <x:f>IF(B8&lt;&gt;"",SUMIFS(RECORD!E$13:EP$13,RECORD!E$12:EP$12,"CLO1",RECORD!E$11:EP$11,"Midterm"),"")</x:f>
        <x:v>50</x:v>
      </x:c>
      <x:c r="G8" s="19" t="n">
        <x:f>IF(B8&lt;&gt;"",SUMIFS(RECORD!E17:EP17,RECORD!E$12:EP$12,"CLO1",RECORD!E$11:EP$11,"Final"),"")</x:f>
        <x:v>9</x:v>
      </x:c>
      <x:c r="H8" s="19" t="n">
        <x:f>IF(B8&lt;&gt;"",SUMIFS(RECORD!E$13:EP$13,RECORD!E$12:EP$12,"CLO1",RECORD!E$11:EP$11,"Final"),"")</x:f>
        <x:v>25</x:v>
      </x:c>
      <x:c r="I8" s="20">
        <x:f t="shared" si="0"/>
        <x:v>86.666666666666671</x:v>
      </x:c>
      <x:c r="J8" s="19" t="n">
        <x:f>IF(B8&lt;&gt;"",SUMIFS(RECORD!E17:EP17,RECORD!E$12:EP$12,"CLO2",RECORD!E$11:EP$11,"Prelim"),"")</x:f>
        <x:v>36</x:v>
      </x:c>
      <x:c r="K8" s="19" t="n">
        <x:f>IF(B8&lt;&gt;"",SUMIFS(RECORD!E$13:EP$13,RECORD!E$12:EP$12,"CLO2",RECORD!E$11:EP$11,"Prelim"),"")</x:f>
        <x:v>60</x:v>
      </x:c>
      <x:c r="L8" s="19" t="n">
        <x:f>IF(B8&lt;&gt;"",SUMIFS(RECORD!E17:EP17,RECORD!E$12:EP$12,"CLO2",RECORD!E$11:EP$11,"Midterm"),"")</x:f>
        <x:v>21</x:v>
      </x:c>
      <x:c r="M8" s="19" t="n">
        <x:f>IF(B8&lt;&gt;"",SUMIFS(RECORD!E$13:EP$13,RECORD!E$12:EP$12,"CLO2",RECORD!E$11:EP$11,"Midterm"),"")</x:f>
        <x:v>50</x:v>
      </x:c>
      <x:c r="N8" s="19" t="n">
        <x:f>IF(B8&lt;&gt;"",SUMIFS(RECORD!E17:EP17,RECORD!E$12:EP$12,"CLO2",RECORD!E$11:EP$11,"Final"),"")</x:f>
        <x:v>12</x:v>
      </x:c>
      <x:c r="O8" s="19" t="n">
        <x:f>IF(B8&lt;&gt;"",SUMIFS(RECORD!E$13:EP$13,RECORD!E$12:EP$12,"CLO2",RECORD!E$11:EP$11,"Final"),"")</x:f>
        <x:v>25</x:v>
      </x:c>
      <x:c r="P8" s="20">
        <x:f t="shared" si="1"/>
        <x:v>81.481481481481481</x:v>
      </x:c>
      <x:c r="Q8" s="19" t="n">
        <x:f>IF(B8&lt;&gt;"",SUMIFS(RECORD!E17:EP17,RECORD!E$12:EP$12,"CLO3",RECORD!E$11:EP$11,"Prelim"),"")</x:f>
        <x:v>37</x:v>
      </x:c>
      <x:c r="R8" s="19" t="n">
        <x:f>IF(B8&lt;&gt;"",SUMIFS(RECORD!E$13:EP$13,RECORD!E$12:EP$12,"CLO3",RECORD!E$11:EP$11,"Prelim"),"")</x:f>
        <x:v>80</x:v>
      </x:c>
      <x:c r="S8" s="19" t="n">
        <x:f>IF(B8&lt;&gt;"",SUMIFS(RECORD!E17:EP17,RECORD!E$12:EP$12,"CLO3",RECORD!E$11:EP$11,"Midterm"),"")</x:f>
        <x:v>61</x:v>
      </x:c>
      <x:c r="T8" s="19" t="n">
        <x:f>IF(B8&lt;&gt;"",SUMIFS(RECORD!E$13:EP$13,RECORD!E$12:EP$12,"CLO3",RECORD!E$11:EP$11,"Midterm"),"")</x:f>
        <x:v>100</x:v>
      </x:c>
      <x:c r="U8" s="19" t="n">
        <x:f>IF(B8&lt;&gt;"",SUMIFS(RECORD!E17:EP17,RECORD!E$12:EP$12,"CLO3",RECORD!E$11:EP$11,"Final"),"")</x:f>
        <x:v>16</x:v>
      </x:c>
      <x:c r="V8" s="19" t="n">
        <x:f>IF(B8&lt;&gt;"",SUMIFS(RECORD!E$13:EP$13,RECORD!E$12:EP$12,"CLO3",RECORD!E$11:EP$11,"Final"),"")</x:f>
        <x:v>25</x:v>
      </x:c>
      <x:c r="W8" s="20">
        <x:f t="shared" si="2"/>
        <x:v>99.024390243902445</x:v>
      </x:c>
      <x:c r="X8" s="19" t="n">
        <x:f>IF(B8&lt;&gt;"",SUMIFS(RECORD!E17:EP17,RECORD!E$12:EP$12,"CLO4",RECORD!E$11:EP$11,"Prelim"),"")</x:f>
        <x:v>0</x:v>
      </x:c>
      <x:c r="Y8" s="19" t="n">
        <x:f>IF(B8&lt;&gt;"",SUMIFS(RECORD!E$13:EP$13,RECORD!E$12:EP$12,"CLO4",RECORD!E$11:EP$11,"Prelim"),"")</x:f>
        <x:v>0</x:v>
      </x:c>
      <x:c r="Z8" s="19" t="n">
        <x:f>IF(B8&lt;&gt;"",SUMIFS(RECORD!E17:EP17,RECORD!E$12:EP$12,"CLO4",RECORD!E$11:EP$11,"Midterm"),"")</x:f>
        <x:v>0</x:v>
      </x:c>
      <x:c r="AA8" s="19" t="n">
        <x:f>IF(B8&lt;&gt;"",SUMIFS(RECORD!E$13:EP$13,RECORD!E$12:EP$12,"CLO4",RECORD!E$11:EP$11,"Midterm"),"")</x:f>
        <x:v>0</x:v>
      </x:c>
      <x:c r="AB8" s="19" t="n">
        <x:f>IF(B8&lt;&gt;"",SUMIFS(RECORD!E17:EP17,RECORD!E$12:EP$12,"CLO4",RECORD!E$11:EP$11,"Final"),"")</x:f>
        <x:v>25</x:v>
      </x:c>
      <x:c r="AC8" s="19" t="n">
        <x:f>IF(B8&lt;&gt;"",SUMIFS(RECORD!E$13:EP$13,RECORD!E$12:EP$12,"CLO4",RECORD!E$11:EP$11,"Final"),"")</x:f>
        <x:v>45</x:v>
      </x:c>
      <x:c r="AD8" s="20">
        <x:f t="shared" si="3"/>
        <x:v>77.777777777777786</x:v>
      </x:c>
      <x:c r="AE8" s="19" t="n">
        <x:f>IF(B8&lt;&gt;"",SUMIFS(RECORD!E17:EP17,RECORD!E$12:EP$12,"CLO5",RECORD!E$11:EP$11,"Prelim"),"")</x:f>
        <x:v>0</x:v>
      </x:c>
      <x:c r="AF8" s="19" t="n">
        <x:f>IF(B8&lt;&gt;"",SUMIFS(RECORD!E$13:EP$13,RECORD!E$12:EP$12,"CLO5",RECORD!E$11:EP$11,"Prelim"),"")</x:f>
        <x:v>0</x:v>
      </x:c>
      <x:c r="AG8" s="19" t="n">
        <x:f>IF(B8&lt;&gt;"",SUMIFS(RECORD!E17:EP17,RECORD!E$12:EP$12,"CLO5",RECORD!E$11:EP$11,"Midterm"),"")</x:f>
        <x:v>0</x:v>
      </x:c>
      <x:c r="AH8" s="19" t="n">
        <x:f>IF(B8&lt;&gt;"",SUMIFS(RECORD!E$13:EP$13,RECORD!E$12:EP$12,"CLO5",RECORD!E$11:EP$11,"Midterm"),"")</x:f>
        <x:v>0</x:v>
      </x:c>
      <x:c r="AI8" s="19" t="n">
        <x:f>IF(B8&lt;&gt;"",SUMIFS(RECORD!E17:EP17,RECORD!E$12:EP$12,"CLO5",RECORD!E$11:EP$11,"Final"),"")</x:f>
        <x:v>44</x:v>
      </x:c>
      <x:c r="AJ8" s="19" t="n">
        <x:f>IF(B8&lt;&gt;"",SUMIFS(RECORD!E$13:EP$13,RECORD!E$12:EP$12,"CLO5",RECORD!E$11:EP$11,"Final"),"")</x:f>
        <x:v>75</x:v>
      </x:c>
      <x:c r="AK8" s="20">
        <x:f t="shared" si="4"/>
        <x:v>60</x:v>
      </x:c>
    </x:row>
    <x:row r="9">
      <x:c r="A9" s="18" t="str">
        <x:f>IF(RECORD!B18="","",RECORD!B18)</x:f>
        <x:v>2024-00201</x:v>
      </x:c>
      <x:c r="B9" s="18" t="str">
        <x:f>IF(RECORD!C18="","",RECORD!C18)</x:f>
        <x:v>Pineda, Bianca H.</x:v>
      </x:c>
      <x:c r="C9" s="19" t="n">
        <x:f>IF(B9&lt;&gt;"",SUMIFS(RECORD!E18:EP18,RECORD!E$12:EP$12,"CLO1",RECORD!E$11:EP$11,"Prelim"),"")</x:f>
        <x:v>15</x:v>
      </x:c>
      <x:c r="D9" s="19" t="n">
        <x:f>IF(B9&lt;&gt;"",SUMIFS(RECORD!E$13:EP$13,RECORD!E$12:EP$12,"CLO1",RECORD!E$11:EP$11,"Prelim"),"")</x:f>
        <x:v>30</x:v>
      </x:c>
      <x:c r="E9" s="19" t="n">
        <x:f>IF(B9&lt;&gt;"",SUMIFS(RECORD!E18:EP18,RECORD!E$12:EP$12,"CLO1",RECORD!E$11:EP$11,"Midterm"),"")</x:f>
        <x:v>26</x:v>
      </x:c>
      <x:c r="F9" s="19" t="n">
        <x:f>IF(B9&lt;&gt;"",SUMIFS(RECORD!E$13:EP$13,RECORD!E$12:EP$12,"CLO1",RECORD!E$11:EP$11,"Midterm"),"")</x:f>
        <x:v>50</x:v>
      </x:c>
      <x:c r="G9" s="19" t="n">
        <x:f>IF(B9&lt;&gt;"",SUMIFS(RECORD!E18:EP18,RECORD!E$12:EP$12,"CLO1",RECORD!E$11:EP$11,"Final"),"")</x:f>
        <x:v>12</x:v>
      </x:c>
      <x:c r="H9" s="19" t="n">
        <x:f>IF(B9&lt;&gt;"",SUMIFS(RECORD!E$13:EP$13,RECORD!E$12:EP$12,"CLO1",RECORD!E$11:EP$11,"Final"),"")</x:f>
        <x:v>25</x:v>
      </x:c>
      <x:c r="I9" s="20">
        <x:f t="shared" si="0"/>
        <x:v>72.38095238095238</x:v>
      </x:c>
      <x:c r="J9" s="19" t="n">
        <x:f>IF(B9&lt;&gt;"",SUMIFS(RECORD!E18:EP18,RECORD!E$12:EP$12,"CLO2",RECORD!E$11:EP$11,"Prelim"),"")</x:f>
        <x:v>25</x:v>
      </x:c>
      <x:c r="K9" s="19" t="n">
        <x:f>IF(B9&lt;&gt;"",SUMIFS(RECORD!E$13:EP$13,RECORD!E$12:EP$12,"CLO2",RECORD!E$11:EP$11,"Prelim"),"")</x:f>
        <x:v>60</x:v>
      </x:c>
      <x:c r="L9" s="19" t="n">
        <x:f>IF(B9&lt;&gt;"",SUMIFS(RECORD!E18:EP18,RECORD!E$12:EP$12,"CLO2",RECORD!E$11:EP$11,"Midterm"),"")</x:f>
        <x:v>14</x:v>
      </x:c>
      <x:c r="M9" s="19" t="n">
        <x:f>IF(B9&lt;&gt;"",SUMIFS(RECORD!E$13:EP$13,RECORD!E$12:EP$12,"CLO2",RECORD!E$11:EP$11,"Midterm"),"")</x:f>
        <x:v>50</x:v>
      </x:c>
      <x:c r="N9" s="19" t="n">
        <x:f>IF(B9&lt;&gt;"",SUMIFS(RECORD!E18:EP18,RECORD!E$12:EP$12,"CLO2",RECORD!E$11:EP$11,"Final"),"")</x:f>
        <x:v>10</x:v>
      </x:c>
      <x:c r="O9" s="19" t="n">
        <x:f>IF(B9&lt;&gt;"",SUMIFS(RECORD!E$13:EP$13,RECORD!E$12:EP$12,"CLO2",RECORD!E$11:EP$11,"Final"),"")</x:f>
        <x:v>25</x:v>
      </x:c>
      <x:c r="P9" s="20">
        <x:f t="shared" si="1"/>
        <x:v>70.370370370370367</x:v>
      </x:c>
      <x:c r="Q9" s="19" t="n">
        <x:f>IF(B9&lt;&gt;"",SUMIFS(RECORD!E18:EP18,RECORD!E$12:EP$12,"CLO3",RECORD!E$11:EP$11,"Prelim"),"")</x:f>
        <x:v>21</x:v>
      </x:c>
      <x:c r="R9" s="19" t="n">
        <x:f>IF(B9&lt;&gt;"",SUMIFS(RECORD!E$13:EP$13,RECORD!E$12:EP$12,"CLO3",RECORD!E$11:EP$11,"Prelim"),"")</x:f>
        <x:v>80</x:v>
      </x:c>
      <x:c r="S9" s="19" t="n">
        <x:f>IF(B9&lt;&gt;"",SUMIFS(RECORD!E18:EP18,RECORD!E$12:EP$12,"CLO3",RECORD!E$11:EP$11,"Midterm"),"")</x:f>
        <x:v>42</x:v>
      </x:c>
      <x:c r="T9" s="19" t="n">
        <x:f>IF(B9&lt;&gt;"",SUMIFS(RECORD!E$13:EP$13,RECORD!E$12:EP$12,"CLO3",RECORD!E$11:EP$11,"Midterm"),"")</x:f>
        <x:v>100</x:v>
      </x:c>
      <x:c r="U9" s="19" t="n">
        <x:f>IF(B9&lt;&gt;"",SUMIFS(RECORD!E18:EP18,RECORD!E$12:EP$12,"CLO3",RECORD!E$11:EP$11,"Final"),"")</x:f>
        <x:v>12</x:v>
      </x:c>
      <x:c r="V9" s="19" t="n">
        <x:f>IF(B9&lt;&gt;"",SUMIFS(RECORD!E$13:EP$13,RECORD!E$12:EP$12,"CLO3",RECORD!E$11:EP$11,"Final"),"")</x:f>
        <x:v>25</x:v>
      </x:c>
      <x:c r="W9" s="20">
        <x:f t="shared" si="2"/>
        <x:v>87.804878048780495</x:v>
      </x:c>
      <x:c r="X9" s="19" t="n">
        <x:f>IF(B9&lt;&gt;"",SUMIFS(RECORD!E18:EP18,RECORD!E$12:EP$12,"CLO4",RECORD!E$11:EP$11,"Prelim"),"")</x:f>
        <x:v>0</x:v>
      </x:c>
      <x:c r="Y9" s="19" t="n">
        <x:f>IF(B9&lt;&gt;"",SUMIFS(RECORD!E$13:EP$13,RECORD!E$12:EP$12,"CLO4",RECORD!E$11:EP$11,"Prelim"),"")</x:f>
        <x:v>0</x:v>
      </x:c>
      <x:c r="Z9" s="19" t="n">
        <x:f>IF(B9&lt;&gt;"",SUMIFS(RECORD!E18:EP18,RECORD!E$12:EP$12,"CLO4",RECORD!E$11:EP$11,"Midterm"),"")</x:f>
        <x:v>0</x:v>
      </x:c>
      <x:c r="AA9" s="19" t="n">
        <x:f>IF(B9&lt;&gt;"",SUMIFS(RECORD!E$13:EP$13,RECORD!E$12:EP$12,"CLO4",RECORD!E$11:EP$11,"Midterm"),"")</x:f>
        <x:v>0</x:v>
      </x:c>
      <x:c r="AB9" s="19" t="n">
        <x:f>IF(B9&lt;&gt;"",SUMIFS(RECORD!E18:EP18,RECORD!E$12:EP$12,"CLO4",RECORD!E$11:EP$11,"Final"),"")</x:f>
        <x:v>22</x:v>
      </x:c>
      <x:c r="AC9" s="19" t="n">
        <x:f>IF(B9&lt;&gt;"",SUMIFS(RECORD!E$13:EP$13,RECORD!E$12:EP$12,"CLO4",RECORD!E$11:EP$11,"Final"),"")</x:f>
        <x:v>45</x:v>
      </x:c>
      <x:c r="AD9" s="20">
        <x:f t="shared" si="3"/>
        <x:v>64.444444444444443</x:v>
      </x:c>
      <x:c r="AE9" s="19" t="n">
        <x:f>IF(B9&lt;&gt;"",SUMIFS(RECORD!E18:EP18,RECORD!E$12:EP$12,"CLO5",RECORD!E$11:EP$11,"Prelim"),"")</x:f>
        <x:v>0</x:v>
      </x:c>
      <x:c r="AF9" s="19" t="n">
        <x:f>IF(B9&lt;&gt;"",SUMIFS(RECORD!E$13:EP$13,RECORD!E$12:EP$12,"CLO5",RECORD!E$11:EP$11,"Prelim"),"")</x:f>
        <x:v>0</x:v>
      </x:c>
      <x:c r="AG9" s="19" t="n">
        <x:f>IF(B9&lt;&gt;"",SUMIFS(RECORD!E18:EP18,RECORD!E$12:EP$12,"CLO5",RECORD!E$11:EP$11,"Midterm"),"")</x:f>
        <x:v>0</x:v>
      </x:c>
      <x:c r="AH9" s="19" t="n">
        <x:f>IF(B9&lt;&gt;"",SUMIFS(RECORD!E$13:EP$13,RECORD!E$12:EP$12,"CLO5",RECORD!E$11:EP$11,"Midterm"),"")</x:f>
        <x:v>0</x:v>
      </x:c>
      <x:c r="AI9" s="19" t="n">
        <x:f>IF(B9&lt;&gt;"",SUMIFS(RECORD!E18:EP18,RECORD!E$12:EP$12,"CLO5",RECORD!E$11:EP$11,"Final"),"")</x:f>
        <x:v>31</x:v>
      </x:c>
      <x:c r="AJ9" s="19" t="n">
        <x:f>IF(B9&lt;&gt;"",SUMIFS(RECORD!E$13:EP$13,RECORD!E$12:EP$12,"CLO5",RECORD!E$11:EP$11,"Final"),"")</x:f>
        <x:v>75</x:v>
      </x:c>
      <x:c r="AK9" s="20">
        <x:f t="shared" si="4"/>
        <x:v>57.333333333333336</x:v>
      </x:c>
    </x:row>
    <x:row r="10">
      <x:c r="A10" s="18" t="str">
        <x:f>IF(RECORD!B19="","",RECORD!B19)</x:f>
        <x:v>2024-00223</x:v>
      </x:c>
      <x:c r="B10" s="18" t="str">
        <x:f>IF(RECORD!C19="","",RECORD!C19)</x:f>
        <x:v>Ramos, Amiel E.</x:v>
      </x:c>
      <x:c r="C10" s="19" t="n">
        <x:f>IF(B10&lt;&gt;"",SUMIFS(RECORD!E19:EP19,RECORD!E$12:EP$12,"CLO1",RECORD!E$11:EP$11,"Prelim"),"")</x:f>
        <x:v>8</x:v>
      </x:c>
      <x:c r="D10" s="19" t="n">
        <x:f>IF(B10&lt;&gt;"",SUMIFS(RECORD!E$13:EP$13,RECORD!E$12:EP$12,"CLO1",RECORD!E$11:EP$11,"Prelim"),"")</x:f>
        <x:v>30</x:v>
      </x:c>
      <x:c r="E10" s="19" t="n">
        <x:f>IF(B10&lt;&gt;"",SUMIFS(RECORD!E19:EP19,RECORD!E$12:EP$12,"CLO1",RECORD!E$11:EP$11,"Midterm"),"")</x:f>
        <x:v>26</x:v>
      </x:c>
      <x:c r="F10" s="19" t="n">
        <x:f>IF(B10&lt;&gt;"",SUMIFS(RECORD!E$13:EP$13,RECORD!E$12:EP$12,"CLO1",RECORD!E$11:EP$11,"Midterm"),"")</x:f>
        <x:v>50</x:v>
      </x:c>
      <x:c r="G10" s="19" t="n">
        <x:f>IF(B10&lt;&gt;"",SUMIFS(RECORD!E19:EP19,RECORD!E$12:EP$12,"CLO1",RECORD!E$11:EP$11,"Final"),"")</x:f>
        <x:v>10</x:v>
      </x:c>
      <x:c r="H10" s="19" t="n">
        <x:f>IF(B10&lt;&gt;"",SUMIFS(RECORD!E$13:EP$13,RECORD!E$12:EP$12,"CLO1",RECORD!E$11:EP$11,"Final"),"")</x:f>
        <x:v>25</x:v>
      </x:c>
      <x:c r="I10" s="20">
        <x:f t="shared" si="0"/>
        <x:v>71.428571428571431</x:v>
      </x:c>
      <x:c r="J10" s="19" t="n">
        <x:f>IF(B10&lt;&gt;"",SUMIFS(RECORD!E19:EP19,RECORD!E$12:EP$12,"CLO2",RECORD!E$11:EP$11,"Prelim"),"")</x:f>
        <x:v>29</x:v>
      </x:c>
      <x:c r="K10" s="19" t="n">
        <x:f>IF(B10&lt;&gt;"",SUMIFS(RECORD!E$13:EP$13,RECORD!E$12:EP$12,"CLO2",RECORD!E$11:EP$11,"Prelim"),"")</x:f>
        <x:v>60</x:v>
      </x:c>
      <x:c r="L10" s="19" t="n">
        <x:f>IF(B10&lt;&gt;"",SUMIFS(RECORD!E19:EP19,RECORD!E$12:EP$12,"CLO2",RECORD!E$11:EP$11,"Midterm"),"")</x:f>
        <x:v>18</x:v>
      </x:c>
      <x:c r="M10" s="19" t="n">
        <x:f>IF(B10&lt;&gt;"",SUMIFS(RECORD!E$13:EP$13,RECORD!E$12:EP$12,"CLO2",RECORD!E$11:EP$11,"Midterm"),"")</x:f>
        <x:v>50</x:v>
      </x:c>
      <x:c r="N10" s="19" t="n">
        <x:f>IF(B10&lt;&gt;"",SUMIFS(RECORD!E19:EP19,RECORD!E$12:EP$12,"CLO2",RECORD!E$11:EP$11,"Final"),"")</x:f>
        <x:v>8</x:v>
      </x:c>
      <x:c r="O10" s="19" t="n">
        <x:f>IF(B10&lt;&gt;"",SUMIFS(RECORD!E$13:EP$13,RECORD!E$12:EP$12,"CLO2",RECORD!E$11:EP$11,"Final"),"")</x:f>
        <x:v>25</x:v>
      </x:c>
      <x:c r="P10" s="20">
        <x:f t="shared" si="1"/>
        <x:v>62.962962962962962</x:v>
      </x:c>
      <x:c r="Q10" s="19" t="n">
        <x:f>IF(B10&lt;&gt;"",SUMIFS(RECORD!E19:EP19,RECORD!E$12:EP$12,"CLO3",RECORD!E$11:EP$11,"Prelim"),"")</x:f>
        <x:v>32</x:v>
      </x:c>
      <x:c r="R10" s="19" t="n">
        <x:f>IF(B10&lt;&gt;"",SUMIFS(RECORD!E$13:EP$13,RECORD!E$12:EP$12,"CLO3",RECORD!E$11:EP$11,"Prelim"),"")</x:f>
        <x:v>80</x:v>
      </x:c>
      <x:c r="S10" s="19" t="n">
        <x:f>IF(B10&lt;&gt;"",SUMIFS(RECORD!E19:EP19,RECORD!E$12:EP$12,"CLO3",RECORD!E$11:EP$11,"Midterm"),"")</x:f>
        <x:v>36</x:v>
      </x:c>
      <x:c r="T10" s="19" t="n">
        <x:f>IF(B10&lt;&gt;"",SUMIFS(RECORD!E$13:EP$13,RECORD!E$12:EP$12,"CLO3",RECORD!E$11:EP$11,"Midterm"),"")</x:f>
        <x:v>100</x:v>
      </x:c>
      <x:c r="U10" s="19" t="n">
        <x:f>IF(B10&lt;&gt;"",SUMIFS(RECORD!E19:EP19,RECORD!E$12:EP$12,"CLO3",RECORD!E$11:EP$11,"Final"),"")</x:f>
        <x:v>11</x:v>
      </x:c>
      <x:c r="V10" s="19" t="n">
        <x:f>IF(B10&lt;&gt;"",SUMIFS(RECORD!E$13:EP$13,RECORD!E$12:EP$12,"CLO3",RECORD!E$11:EP$11,"Final"),"")</x:f>
        <x:v>25</x:v>
      </x:c>
      <x:c r="W10" s="20">
        <x:f t="shared" si="2"/>
        <x:v>93.170731707317074</x:v>
      </x:c>
      <x:c r="X10" s="19" t="n">
        <x:f>IF(B10&lt;&gt;"",SUMIFS(RECORD!E19:EP19,RECORD!E$12:EP$12,"CLO4",RECORD!E$11:EP$11,"Prelim"),"")</x:f>
        <x:v>0</x:v>
      </x:c>
      <x:c r="Y10" s="19" t="n">
        <x:f>IF(B10&lt;&gt;"",SUMIFS(RECORD!E$13:EP$13,RECORD!E$12:EP$12,"CLO4",RECORD!E$11:EP$11,"Prelim"),"")</x:f>
        <x:v>0</x:v>
      </x:c>
      <x:c r="Z10" s="19" t="n">
        <x:f>IF(B10&lt;&gt;"",SUMIFS(RECORD!E19:EP19,RECORD!E$12:EP$12,"CLO4",RECORD!E$11:EP$11,"Midterm"),"")</x:f>
        <x:v>0</x:v>
      </x:c>
      <x:c r="AA10" s="19" t="n">
        <x:f>IF(B10&lt;&gt;"",SUMIFS(RECORD!E$13:EP$13,RECORD!E$12:EP$12,"CLO4",RECORD!E$11:EP$11,"Midterm"),"")</x:f>
        <x:v>0</x:v>
      </x:c>
      <x:c r="AB10" s="19" t="n">
        <x:f>IF(B10&lt;&gt;"",SUMIFS(RECORD!E19:EP19,RECORD!E$12:EP$12,"CLO4",RECORD!E$11:EP$11,"Final"),"")</x:f>
        <x:v>17</x:v>
      </x:c>
      <x:c r="AC10" s="19" t="n">
        <x:f>IF(B10&lt;&gt;"",SUMIFS(RECORD!E$13:EP$13,RECORD!E$12:EP$12,"CLO4",RECORD!E$11:EP$11,"Final"),"")</x:f>
        <x:v>45</x:v>
      </x:c>
      <x:c r="AD10" s="20">
        <x:f t="shared" si="3"/>
        <x:v>55.555555555555557</x:v>
      </x:c>
      <x:c r="AE10" s="19" t="n">
        <x:f>IF(B10&lt;&gt;"",SUMIFS(RECORD!E19:EP19,RECORD!E$12:EP$12,"CLO5",RECORD!E$11:EP$11,"Prelim"),"")</x:f>
        <x:v>0</x:v>
      </x:c>
      <x:c r="AF10" s="19" t="n">
        <x:f>IF(B10&lt;&gt;"",SUMIFS(RECORD!E$13:EP$13,RECORD!E$12:EP$12,"CLO5",RECORD!E$11:EP$11,"Prelim"),"")</x:f>
        <x:v>0</x:v>
      </x:c>
      <x:c r="AG10" s="19" t="n">
        <x:f>IF(B10&lt;&gt;"",SUMIFS(RECORD!E19:EP19,RECORD!E$12:EP$12,"CLO5",RECORD!E$11:EP$11,"Midterm"),"")</x:f>
        <x:v>0</x:v>
      </x:c>
      <x:c r="AH10" s="19" t="n">
        <x:f>IF(B10&lt;&gt;"",SUMIFS(RECORD!E$13:EP$13,RECORD!E$12:EP$12,"CLO5",RECORD!E$11:EP$11,"Midterm"),"")</x:f>
        <x:v>0</x:v>
      </x:c>
      <x:c r="AI10" s="19" t="n">
        <x:f>IF(B10&lt;&gt;"",SUMIFS(RECORD!E19:EP19,RECORD!E$12:EP$12,"CLO5",RECORD!E$11:EP$11,"Final"),"")</x:f>
        <x:v>26</x:v>
      </x:c>
      <x:c r="AJ10" s="19" t="n">
        <x:f>IF(B10&lt;&gt;"",SUMIFS(RECORD!E$13:EP$13,RECORD!E$12:EP$12,"CLO5",RECORD!E$11:EP$11,"Final"),"")</x:f>
        <x:v>75</x:v>
      </x:c>
      <x:c r="AK10" s="20">
        <x:f t="shared" si="4"/>
        <x:v>57.333333333333336</x:v>
      </x:c>
    </x:row>
    <x:row r="11">
      <x:c r="A11" s="18" t="str">
        <x:f>IF(RECORD!B20="","",RECORD!B20)</x:f>
        <x:v>2024-00245</x:v>
      </x:c>
      <x:c r="B11" s="18" t="str">
        <x:f>IF(RECORD!C20="","",RECORD!C20)</x:f>
        <x:v>Del Rosario, Beatrice F.</x:v>
      </x:c>
      <x:c r="C11" s="19" t="n">
        <x:f>IF(B11&lt;&gt;"",SUMIFS(RECORD!E20:EP20,RECORD!E$12:EP$12,"CLO1",RECORD!E$11:EP$11,"Prelim"),"")</x:f>
        <x:v>15</x:v>
      </x:c>
      <x:c r="D11" s="19" t="n">
        <x:f>IF(B11&lt;&gt;"",SUMIFS(RECORD!E$13:EP$13,RECORD!E$12:EP$12,"CLO1",RECORD!E$11:EP$11,"Prelim"),"")</x:f>
        <x:v>30</x:v>
      </x:c>
      <x:c r="E11" s="19" t="n">
        <x:f>IF(B11&lt;&gt;"",SUMIFS(RECORD!E20:EP20,RECORD!E$12:EP$12,"CLO1",RECORD!E$11:EP$11,"Midterm"),"")</x:f>
        <x:v>25</x:v>
      </x:c>
      <x:c r="F11" s="19" t="n">
        <x:f>IF(B11&lt;&gt;"",SUMIFS(RECORD!E$13:EP$13,RECORD!E$12:EP$12,"CLO1",RECORD!E$11:EP$11,"Midterm"),"")</x:f>
        <x:v>50</x:v>
      </x:c>
      <x:c r="G11" s="19" t="n">
        <x:f>IF(B11&lt;&gt;"",SUMIFS(RECORD!E20:EP20,RECORD!E$12:EP$12,"CLO1",RECORD!E$11:EP$11,"Final"),"")</x:f>
        <x:v>13</x:v>
      </x:c>
      <x:c r="H11" s="19" t="n">
        <x:f>IF(B11&lt;&gt;"",SUMIFS(RECORD!E$13:EP$13,RECORD!E$12:EP$12,"CLO1",RECORD!E$11:EP$11,"Final"),"")</x:f>
        <x:v>25</x:v>
      </x:c>
      <x:c r="I11" s="20">
        <x:f t="shared" si="0"/>
        <x:v>71.428571428571431</x:v>
      </x:c>
      <x:c r="J11" s="19" t="n">
        <x:f>IF(B11&lt;&gt;"",SUMIFS(RECORD!E20:EP20,RECORD!E$12:EP$12,"CLO2",RECORD!E$11:EP$11,"Prelim"),"")</x:f>
        <x:v>23</x:v>
      </x:c>
      <x:c r="K11" s="19" t="n">
        <x:f>IF(B11&lt;&gt;"",SUMIFS(RECORD!E$13:EP$13,RECORD!E$12:EP$12,"CLO2",RECORD!E$11:EP$11,"Prelim"),"")</x:f>
        <x:v>60</x:v>
      </x:c>
      <x:c r="L11" s="19" t="n">
        <x:f>IF(B11&lt;&gt;"",SUMIFS(RECORD!E20:EP20,RECORD!E$12:EP$12,"CLO2",RECORD!E$11:EP$11,"Midterm"),"")</x:f>
        <x:v>23</x:v>
      </x:c>
      <x:c r="M11" s="19" t="n">
        <x:f>IF(B11&lt;&gt;"",SUMIFS(RECORD!E$13:EP$13,RECORD!E$12:EP$12,"CLO2",RECORD!E$11:EP$11,"Midterm"),"")</x:f>
        <x:v>50</x:v>
      </x:c>
      <x:c r="N11" s="19" t="n">
        <x:f>IF(B11&lt;&gt;"",SUMIFS(RECORD!E20:EP20,RECORD!E$12:EP$12,"CLO2",RECORD!E$11:EP$11,"Final"),"")</x:f>
        <x:v>11</x:v>
      </x:c>
      <x:c r="O11" s="19" t="n">
        <x:f>IF(B11&lt;&gt;"",SUMIFS(RECORD!E$13:EP$13,RECORD!E$12:EP$12,"CLO2",RECORD!E$11:EP$11,"Final"),"")</x:f>
        <x:v>25</x:v>
      </x:c>
      <x:c r="P11" s="20">
        <x:f t="shared" si="1"/>
        <x:v>62.962962962962962</x:v>
      </x:c>
      <x:c r="Q11" s="19" t="n">
        <x:f>IF(B11&lt;&gt;"",SUMIFS(RECORD!E20:EP20,RECORD!E$12:EP$12,"CLO3",RECORD!E$11:EP$11,"Prelim"),"")</x:f>
        <x:v>37</x:v>
      </x:c>
      <x:c r="R11" s="19" t="n">
        <x:f>IF(B11&lt;&gt;"",SUMIFS(RECORD!E$13:EP$13,RECORD!E$12:EP$12,"CLO3",RECORD!E$11:EP$11,"Prelim"),"")</x:f>
        <x:v>80</x:v>
      </x:c>
      <x:c r="S11" s="19" t="n">
        <x:f>IF(B11&lt;&gt;"",SUMIFS(RECORD!E20:EP20,RECORD!E$12:EP$12,"CLO3",RECORD!E$11:EP$11,"Midterm"),"")</x:f>
        <x:v>34</x:v>
      </x:c>
      <x:c r="T11" s="19" t="n">
        <x:f>IF(B11&lt;&gt;"",SUMIFS(RECORD!E$13:EP$13,RECORD!E$12:EP$12,"CLO3",RECORD!E$11:EP$11,"Midterm"),"")</x:f>
        <x:v>100</x:v>
      </x:c>
      <x:c r="U11" s="19" t="n">
        <x:f>IF(B11&lt;&gt;"",SUMIFS(RECORD!E20:EP20,RECORD!E$12:EP$12,"CLO3",RECORD!E$11:EP$11,"Final"),"")</x:f>
        <x:v>12</x:v>
      </x:c>
      <x:c r="V11" s="19" t="n">
        <x:f>IF(B11&lt;&gt;"",SUMIFS(RECORD!E$13:EP$13,RECORD!E$12:EP$12,"CLO3",RECORD!E$11:EP$11,"Final"),"")</x:f>
        <x:v>25</x:v>
      </x:c>
      <x:c r="W11" s="20">
        <x:f t="shared" si="2"/>
        <x:v>70.731707317073173</x:v>
      </x:c>
      <x:c r="X11" s="19" t="n">
        <x:f>IF(B11&lt;&gt;"",SUMIFS(RECORD!E20:EP20,RECORD!E$12:EP$12,"CLO4",RECORD!E$11:EP$11,"Prelim"),"")</x:f>
        <x:v>0</x:v>
      </x:c>
      <x:c r="Y11" s="19" t="n">
        <x:f>IF(B11&lt;&gt;"",SUMIFS(RECORD!E$13:EP$13,RECORD!E$12:EP$12,"CLO4",RECORD!E$11:EP$11,"Prelim"),"")</x:f>
        <x:v>0</x:v>
      </x:c>
      <x:c r="Z11" s="19" t="n">
        <x:f>IF(B11&lt;&gt;"",SUMIFS(RECORD!E20:EP20,RECORD!E$12:EP$12,"CLO4",RECORD!E$11:EP$11,"Midterm"),"")</x:f>
        <x:v>0</x:v>
      </x:c>
      <x:c r="AA11" s="19" t="n">
        <x:f>IF(B11&lt;&gt;"",SUMIFS(RECORD!E$13:EP$13,RECORD!E$12:EP$12,"CLO4",RECORD!E$11:EP$11,"Midterm"),"")</x:f>
        <x:v>0</x:v>
      </x:c>
      <x:c r="AB11" s="19" t="n">
        <x:f>IF(B11&lt;&gt;"",SUMIFS(RECORD!E20:EP20,RECORD!E$12:EP$12,"CLO4",RECORD!E$11:EP$11,"Final"),"")</x:f>
        <x:v>25</x:v>
      </x:c>
      <x:c r="AC11" s="19" t="n">
        <x:f>IF(B11&lt;&gt;"",SUMIFS(RECORD!E$13:EP$13,RECORD!E$12:EP$12,"CLO4",RECORD!E$11:EP$11,"Final"),"")</x:f>
        <x:v>45</x:v>
      </x:c>
      <x:c r="AD11" s="20">
        <x:f t="shared" si="3"/>
        <x:v>55.555555555555557</x:v>
      </x:c>
      <x:c r="AE11" s="19" t="n">
        <x:f>IF(B11&lt;&gt;"",SUMIFS(RECORD!E20:EP20,RECORD!E$12:EP$12,"CLO5",RECORD!E$11:EP$11,"Prelim"),"")</x:f>
        <x:v>0</x:v>
      </x:c>
      <x:c r="AF11" s="19" t="n">
        <x:f>IF(B11&lt;&gt;"",SUMIFS(RECORD!E$13:EP$13,RECORD!E$12:EP$12,"CLO5",RECORD!E$11:EP$11,"Prelim"),"")</x:f>
        <x:v>0</x:v>
      </x:c>
      <x:c r="AG11" s="19" t="n">
        <x:f>IF(B11&lt;&gt;"",SUMIFS(RECORD!E20:EP20,RECORD!E$12:EP$12,"CLO5",RECORD!E$11:EP$11,"Midterm"),"")</x:f>
        <x:v>0</x:v>
      </x:c>
      <x:c r="AH11" s="19" t="n">
        <x:f>IF(B11&lt;&gt;"",SUMIFS(RECORD!E$13:EP$13,RECORD!E$12:EP$12,"CLO5",RECORD!E$11:EP$11,"Midterm"),"")</x:f>
        <x:v>0</x:v>
      </x:c>
      <x:c r="AI11" s="19" t="n">
        <x:f>IF(B11&lt;&gt;"",SUMIFS(RECORD!E20:EP20,RECORD!E$12:EP$12,"CLO5",RECORD!E$11:EP$11,"Final"),"")</x:f>
        <x:v>29</x:v>
      </x:c>
      <x:c r="AJ11" s="19" t="n">
        <x:f>IF(B11&lt;&gt;"",SUMIFS(RECORD!E$13:EP$13,RECORD!E$12:EP$12,"CLO5",RECORD!E$11:EP$11,"Final"),"")</x:f>
        <x:v>75</x:v>
      </x:c>
      <x:c r="AK11" s="20">
        <x:f t="shared" si="4"/>
        <x:v>57.333333333333336</x:v>
      </x:c>
    </x:row>
    <x:row r="12">
      <x:c r="A12" s="18" t="str">
        <x:f>IF(RECORD!B21="","",RECORD!B21)</x:f>
        <x:v>2024-00267</x:v>
      </x:c>
      <x:c r="B12" s="18" t="str">
        <x:f>IF(RECORD!C21="","",RECORD!C21)</x:f>
        <x:v>Rosales, Vanessa A.</x:v>
      </x:c>
      <x:c r="C12" s="19" t="n">
        <x:f>IF(B12&lt;&gt;"",SUMIFS(RECORD!E21:EP21,RECORD!E$12:EP$12,"CLO1",RECORD!E$11:EP$11,"Prelim"),"")</x:f>
        <x:v>15</x:v>
      </x:c>
      <x:c r="D12" s="19" t="n">
        <x:f>IF(B12&lt;&gt;"",SUMIFS(RECORD!E$13:EP$13,RECORD!E$12:EP$12,"CLO1",RECORD!E$11:EP$11,"Prelim"),"")</x:f>
        <x:v>30</x:v>
      </x:c>
      <x:c r="E12" s="19" t="n">
        <x:f>IF(B12&lt;&gt;"",SUMIFS(RECORD!E21:EP21,RECORD!E$12:EP$12,"CLO1",RECORD!E$11:EP$11,"Midterm"),"")</x:f>
        <x:v>32</x:v>
      </x:c>
      <x:c r="F12" s="19" t="n">
        <x:f>IF(B12&lt;&gt;"",SUMIFS(RECORD!E$13:EP$13,RECORD!E$12:EP$12,"CLO1",RECORD!E$11:EP$11,"Midterm"),"")</x:f>
        <x:v>50</x:v>
      </x:c>
      <x:c r="G12" s="19" t="n">
        <x:f>IF(B12&lt;&gt;"",SUMIFS(RECORD!E21:EP21,RECORD!E$12:EP$12,"CLO1",RECORD!E$11:EP$11,"Final"),"")</x:f>
        <x:v>11</x:v>
      </x:c>
      <x:c r="H12" s="19" t="n">
        <x:f>IF(B12&lt;&gt;"",SUMIFS(RECORD!E$13:EP$13,RECORD!E$12:EP$12,"CLO1",RECORD!E$11:EP$11,"Final"),"")</x:f>
        <x:v>25</x:v>
      </x:c>
      <x:c r="I12" s="20">
        <x:f t="shared" si="0"/>
        <x:v>71.428571428571431</x:v>
      </x:c>
      <x:c r="J12" s="19" t="n">
        <x:f>IF(B12&lt;&gt;"",SUMIFS(RECORD!E21:EP21,RECORD!E$12:EP$12,"CLO2",RECORD!E$11:EP$11,"Prelim"),"")</x:f>
        <x:v>28</x:v>
      </x:c>
      <x:c r="K12" s="19" t="n">
        <x:f>IF(B12&lt;&gt;"",SUMIFS(RECORD!E$13:EP$13,RECORD!E$12:EP$12,"CLO2",RECORD!E$11:EP$11,"Prelim"),"")</x:f>
        <x:v>60</x:v>
      </x:c>
      <x:c r="L12" s="19" t="n">
        <x:f>IF(B12&lt;&gt;"",SUMIFS(RECORD!E21:EP21,RECORD!E$12:EP$12,"CLO2",RECORD!E$11:EP$11,"Midterm"),"")</x:f>
        <x:v>24</x:v>
      </x:c>
      <x:c r="M12" s="19" t="n">
        <x:f>IF(B12&lt;&gt;"",SUMIFS(RECORD!E$13:EP$13,RECORD!E$12:EP$12,"CLO2",RECORD!E$11:EP$11,"Midterm"),"")</x:f>
        <x:v>50</x:v>
      </x:c>
      <x:c r="N12" s="19" t="n">
        <x:f>IF(B12&lt;&gt;"",SUMIFS(RECORD!E21:EP21,RECORD!E$12:EP$12,"CLO2",RECORD!E$11:EP$11,"Final"),"")</x:f>
        <x:v>10</x:v>
      </x:c>
      <x:c r="O12" s="19" t="n">
        <x:f>IF(B12&lt;&gt;"",SUMIFS(RECORD!E$13:EP$13,RECORD!E$12:EP$12,"CLO2",RECORD!E$11:EP$11,"Final"),"")</x:f>
        <x:v>25</x:v>
      </x:c>
      <x:c r="P12" s="20">
        <x:f t="shared" si="1"/>
        <x:v>62.962962962962962</x:v>
      </x:c>
      <x:c r="Q12" s="19" t="n">
        <x:f>IF(B12&lt;&gt;"",SUMIFS(RECORD!E21:EP21,RECORD!E$12:EP$12,"CLO3",RECORD!E$11:EP$11,"Prelim"),"")</x:f>
        <x:v>43</x:v>
      </x:c>
      <x:c r="R12" s="19" t="n">
        <x:f>IF(B12&lt;&gt;"",SUMIFS(RECORD!E$13:EP$13,RECORD!E$12:EP$12,"CLO3",RECORD!E$11:EP$11,"Prelim"),"")</x:f>
        <x:v>80</x:v>
      </x:c>
      <x:c r="S12" s="19" t="n">
        <x:f>IF(B12&lt;&gt;"",SUMIFS(RECORD!E21:EP21,RECORD!E$12:EP$12,"CLO3",RECORD!E$11:EP$11,"Midterm"),"")</x:f>
        <x:v>36</x:v>
      </x:c>
      <x:c r="T12" s="19" t="n">
        <x:f>IF(B12&lt;&gt;"",SUMIFS(RECORD!E$13:EP$13,RECORD!E$12:EP$12,"CLO3",RECORD!E$11:EP$11,"Midterm"),"")</x:f>
        <x:v>100</x:v>
      </x:c>
      <x:c r="U12" s="19" t="n">
        <x:f>IF(B12&lt;&gt;"",SUMIFS(RECORD!E21:EP21,RECORD!E$12:EP$12,"CLO3",RECORD!E$11:EP$11,"Final"),"")</x:f>
        <x:v>13</x:v>
      </x:c>
      <x:c r="V12" s="19" t="n">
        <x:f>IF(B12&lt;&gt;"",SUMIFS(RECORD!E$13:EP$13,RECORD!E$12:EP$12,"CLO3",RECORD!E$11:EP$11,"Final"),"")</x:f>
        <x:v>25</x:v>
      </x:c>
      <x:c r="W12" s="20">
        <x:f t="shared" si="2"/>
        <x:v>65.853658536585371</x:v>
      </x:c>
      <x:c r="X12" s="19" t="n">
        <x:f>IF(B12&lt;&gt;"",SUMIFS(RECORD!E21:EP21,RECORD!E$12:EP$12,"CLO4",RECORD!E$11:EP$11,"Prelim"),"")</x:f>
        <x:v>0</x:v>
      </x:c>
      <x:c r="Y12" s="19" t="n">
        <x:f>IF(B12&lt;&gt;"",SUMIFS(RECORD!E$13:EP$13,RECORD!E$12:EP$12,"CLO4",RECORD!E$11:EP$11,"Prelim"),"")</x:f>
        <x:v>0</x:v>
      </x:c>
      <x:c r="Z12" s="19" t="n">
        <x:f>IF(B12&lt;&gt;"",SUMIFS(RECORD!E21:EP21,RECORD!E$12:EP$12,"CLO4",RECORD!E$11:EP$11,"Midterm"),"")</x:f>
        <x:v>0</x:v>
      </x:c>
      <x:c r="AA12" s="19" t="n">
        <x:f>IF(B12&lt;&gt;"",SUMIFS(RECORD!E$13:EP$13,RECORD!E$12:EP$12,"CLO4",RECORD!E$11:EP$11,"Midterm"),"")</x:f>
        <x:v>0</x:v>
      </x:c>
      <x:c r="AB12" s="19" t="n">
        <x:f>IF(B12&lt;&gt;"",SUMIFS(RECORD!E21:EP21,RECORD!E$12:EP$12,"CLO4",RECORD!E$11:EP$11,"Final"),"")</x:f>
        <x:v>21</x:v>
      </x:c>
      <x:c r="AC12" s="19" t="n">
        <x:f>IF(B12&lt;&gt;"",SUMIFS(RECORD!E$13:EP$13,RECORD!E$12:EP$12,"CLO4",RECORD!E$11:EP$11,"Final"),"")</x:f>
        <x:v>45</x:v>
      </x:c>
      <x:c r="AD12" s="20">
        <x:f t="shared" si="3"/>
        <x:v>77.777777777777786</x:v>
      </x:c>
      <x:c r="AE12" s="19" t="n">
        <x:f>IF(B12&lt;&gt;"",SUMIFS(RECORD!E21:EP21,RECORD!E$12:EP$12,"CLO5",RECORD!E$11:EP$11,"Prelim"),"")</x:f>
        <x:v>0</x:v>
      </x:c>
      <x:c r="AF12" s="19" t="n">
        <x:f>IF(B12&lt;&gt;"",SUMIFS(RECORD!E$13:EP$13,RECORD!E$12:EP$12,"CLO5",RECORD!E$11:EP$11,"Prelim"),"")</x:f>
        <x:v>0</x:v>
      </x:c>
      <x:c r="AG12" s="19" t="n">
        <x:f>IF(B12&lt;&gt;"",SUMIFS(RECORD!E21:EP21,RECORD!E$12:EP$12,"CLO5",RECORD!E$11:EP$11,"Midterm"),"")</x:f>
        <x:v>0</x:v>
      </x:c>
      <x:c r="AH12" s="19" t="n">
        <x:f>IF(B12&lt;&gt;"",SUMIFS(RECORD!E$13:EP$13,RECORD!E$12:EP$12,"CLO5",RECORD!E$11:EP$11,"Midterm"),"")</x:f>
        <x:v>0</x:v>
      </x:c>
      <x:c r="AI12" s="19" t="n">
        <x:f>IF(B12&lt;&gt;"",SUMIFS(RECORD!E21:EP21,RECORD!E$12:EP$12,"CLO5",RECORD!E$11:EP$11,"Final"),"")</x:f>
        <x:v>38</x:v>
      </x:c>
      <x:c r="AJ12" s="19" t="n">
        <x:f>IF(B12&lt;&gt;"",SUMIFS(RECORD!E$13:EP$13,RECORD!E$12:EP$12,"CLO5",RECORD!E$11:EP$11,"Final"),"")</x:f>
        <x:v>75</x:v>
      </x:c>
      <x:c r="AK12" s="20">
        <x:f t="shared" si="4"/>
        <x:v>90.666666666666657</x:v>
      </x:c>
    </x:row>
    <x:row r="13">
      <x:c r="A13" s="18" t="str">
        <x:f>IF(RECORD!B22="","",RECORD!B22)</x:f>
        <x:v>2024-00289</x:v>
      </x:c>
      <x:c r="B13" s="18" t="str">
        <x:f>IF(RECORD!C22="","",RECORD!C22)</x:f>
        <x:v>Sarmiento, Daphne C.</x:v>
      </x:c>
      <x:c r="C13" s="19" t="n">
        <x:f>IF(B13&lt;&gt;"",SUMIFS(RECORD!E22:EP22,RECORD!E$12:EP$12,"CLO1",RECORD!E$11:EP$11,"Prelim"),"")</x:f>
        <x:v>14</x:v>
      </x:c>
      <x:c r="D13" s="19" t="n">
        <x:f>IF(B13&lt;&gt;"",SUMIFS(RECORD!E$13:EP$13,RECORD!E$12:EP$12,"CLO1",RECORD!E$11:EP$11,"Prelim"),"")</x:f>
        <x:v>30</x:v>
      </x:c>
      <x:c r="E13" s="19" t="n">
        <x:f>IF(B13&lt;&gt;"",SUMIFS(RECORD!E22:EP22,RECORD!E$12:EP$12,"CLO1",RECORD!E$11:EP$11,"Midterm"),"")</x:f>
        <x:v>27</x:v>
      </x:c>
      <x:c r="F13" s="19" t="n">
        <x:f>IF(B13&lt;&gt;"",SUMIFS(RECORD!E$13:EP$13,RECORD!E$12:EP$12,"CLO1",RECORD!E$11:EP$11,"Midterm"),"")</x:f>
        <x:v>50</x:v>
      </x:c>
      <x:c r="G13" s="19" t="n">
        <x:f>IF(B13&lt;&gt;"",SUMIFS(RECORD!E22:EP22,RECORD!E$12:EP$12,"CLO1",RECORD!E$11:EP$11,"Final"),"")</x:f>
        <x:v>14</x:v>
      </x:c>
      <x:c r="H13" s="19" t="n">
        <x:f>IF(B13&lt;&gt;"",SUMIFS(RECORD!E$13:EP$13,RECORD!E$12:EP$12,"CLO1",RECORD!E$11:EP$11,"Final"),"")</x:f>
        <x:v>25</x:v>
      </x:c>
      <x:c r="I13" s="20">
        <x:f t="shared" si="0"/>
        <x:v>71.428571428571431</x:v>
      </x:c>
      <x:c r="J13" s="19" t="n">
        <x:f>IF(B13&lt;&gt;"",SUMIFS(RECORD!E22:EP22,RECORD!E$12:EP$12,"CLO2",RECORD!E$11:EP$11,"Prelim"),"")</x:f>
        <x:v>31</x:v>
      </x:c>
      <x:c r="K13" s="19" t="n">
        <x:f>IF(B13&lt;&gt;"",SUMIFS(RECORD!E$13:EP$13,RECORD!E$12:EP$12,"CLO2",RECORD!E$11:EP$11,"Prelim"),"")</x:f>
        <x:v>60</x:v>
      </x:c>
      <x:c r="L13" s="19" t="n">
        <x:f>IF(B13&lt;&gt;"",SUMIFS(RECORD!E22:EP22,RECORD!E$12:EP$12,"CLO2",RECORD!E$11:EP$11,"Midterm"),"")</x:f>
        <x:v>23</x:v>
      </x:c>
      <x:c r="M13" s="19" t="n">
        <x:f>IF(B13&lt;&gt;"",SUMIFS(RECORD!E$13:EP$13,RECORD!E$12:EP$12,"CLO2",RECORD!E$11:EP$11,"Midterm"),"")</x:f>
        <x:v>50</x:v>
      </x:c>
      <x:c r="N13" s="19" t="n">
        <x:f>IF(B13&lt;&gt;"",SUMIFS(RECORD!E22:EP22,RECORD!E$12:EP$12,"CLO2",RECORD!E$11:EP$11,"Final"),"")</x:f>
        <x:v>10</x:v>
      </x:c>
      <x:c r="O13" s="19" t="n">
        <x:f>IF(B13&lt;&gt;"",SUMIFS(RECORD!E$13:EP$13,RECORD!E$12:EP$12,"CLO2",RECORD!E$11:EP$11,"Final"),"")</x:f>
        <x:v>25</x:v>
      </x:c>
      <x:c r="P13" s="20">
        <x:f t="shared" si="1"/>
        <x:v>62.962962962962962</x:v>
      </x:c>
      <x:c r="Q13" s="19" t="n">
        <x:f>IF(B13&lt;&gt;"",SUMIFS(RECORD!E22:EP22,RECORD!E$12:EP$12,"CLO3",RECORD!E$11:EP$11,"Prelim"),"")</x:f>
        <x:v>38</x:v>
      </x:c>
      <x:c r="R13" s="19" t="n">
        <x:f>IF(B13&lt;&gt;"",SUMIFS(RECORD!E$13:EP$13,RECORD!E$12:EP$12,"CLO3",RECORD!E$11:EP$11,"Prelim"),"")</x:f>
        <x:v>80</x:v>
      </x:c>
      <x:c r="S13" s="19" t="n">
        <x:f>IF(B13&lt;&gt;"",SUMIFS(RECORD!E22:EP22,RECORD!E$12:EP$12,"CLO3",RECORD!E$11:EP$11,"Midterm"),"")</x:f>
        <x:v>35</x:v>
      </x:c>
      <x:c r="T13" s="19" t="n">
        <x:f>IF(B13&lt;&gt;"",SUMIFS(RECORD!E$13:EP$13,RECORD!E$12:EP$12,"CLO3",RECORD!E$11:EP$11,"Midterm"),"")</x:f>
        <x:v>100</x:v>
      </x:c>
      <x:c r="U13" s="19" t="n">
        <x:f>IF(B13&lt;&gt;"",SUMIFS(RECORD!E22:EP22,RECORD!E$12:EP$12,"CLO3",RECORD!E$11:EP$11,"Final"),"")</x:f>
        <x:v>9</x:v>
      </x:c>
      <x:c r="V13" s="19" t="n">
        <x:f>IF(B13&lt;&gt;"",SUMIFS(RECORD!E$13:EP$13,RECORD!E$12:EP$12,"CLO3",RECORD!E$11:EP$11,"Final"),"")</x:f>
        <x:v>25</x:v>
      </x:c>
      <x:c r="W13" s="20">
        <x:f t="shared" si="2"/>
        <x:v>65.853658536585371</x:v>
      </x:c>
      <x:c r="X13" s="19" t="n">
        <x:f>IF(B13&lt;&gt;"",SUMIFS(RECORD!E22:EP22,RECORD!E$12:EP$12,"CLO4",RECORD!E$11:EP$11,"Prelim"),"")</x:f>
        <x:v>0</x:v>
      </x:c>
      <x:c r="Y13" s="19" t="n">
        <x:f>IF(B13&lt;&gt;"",SUMIFS(RECORD!E$13:EP$13,RECORD!E$12:EP$12,"CLO4",RECORD!E$11:EP$11,"Prelim"),"")</x:f>
        <x:v>0</x:v>
      </x:c>
      <x:c r="Z13" s="19" t="n">
        <x:f>IF(B13&lt;&gt;"",SUMIFS(RECORD!E22:EP22,RECORD!E$12:EP$12,"CLO4",RECORD!E$11:EP$11,"Midterm"),"")</x:f>
        <x:v>0</x:v>
      </x:c>
      <x:c r="AA13" s="19" t="n">
        <x:f>IF(B13&lt;&gt;"",SUMIFS(RECORD!E$13:EP$13,RECORD!E$12:EP$12,"CLO4",RECORD!E$11:EP$11,"Midterm"),"")</x:f>
        <x:v>0</x:v>
      </x:c>
      <x:c r="AB13" s="19" t="n">
        <x:f>IF(B13&lt;&gt;"",SUMIFS(RECORD!E22:EP22,RECORD!E$12:EP$12,"CLO4",RECORD!E$11:EP$11,"Final"),"")</x:f>
        <x:v>15</x:v>
      </x:c>
      <x:c r="AC13" s="19" t="n">
        <x:f>IF(B13&lt;&gt;"",SUMIFS(RECORD!E$13:EP$13,RECORD!E$12:EP$12,"CLO4",RECORD!E$11:EP$11,"Final"),"")</x:f>
        <x:v>45</x:v>
      </x:c>
      <x:c r="AD13" s="20">
        <x:f t="shared" si="3"/>
        <x:v>77.777777777777786</x:v>
      </x:c>
      <x:c r="AE13" s="19" t="n">
        <x:f>IF(B13&lt;&gt;"",SUMIFS(RECORD!E22:EP22,RECORD!E$12:EP$12,"CLO5",RECORD!E$11:EP$11,"Prelim"),"")</x:f>
        <x:v>0</x:v>
      </x:c>
      <x:c r="AF13" s="19" t="n">
        <x:f>IF(B13&lt;&gt;"",SUMIFS(RECORD!E$13:EP$13,RECORD!E$12:EP$12,"CLO5",RECORD!E$11:EP$11,"Prelim"),"")</x:f>
        <x:v>0</x:v>
      </x:c>
      <x:c r="AG13" s="19" t="n">
        <x:f>IF(B13&lt;&gt;"",SUMIFS(RECORD!E22:EP22,RECORD!E$12:EP$12,"CLO5",RECORD!E$11:EP$11,"Midterm"),"")</x:f>
        <x:v>0</x:v>
      </x:c>
      <x:c r="AH13" s="19" t="n">
        <x:f>IF(B13&lt;&gt;"",SUMIFS(RECORD!E$13:EP$13,RECORD!E$12:EP$12,"CLO5",RECORD!E$11:EP$11,"Midterm"),"")</x:f>
        <x:v>0</x:v>
      </x:c>
      <x:c r="AI13" s="19" t="n">
        <x:f>IF(B13&lt;&gt;"",SUMIFS(RECORD!E22:EP22,RECORD!E$12:EP$12,"CLO5",RECORD!E$11:EP$11,"Final"),"")</x:f>
        <x:v>25</x:v>
      </x:c>
      <x:c r="AJ13" s="19" t="n">
        <x:f>IF(B13&lt;&gt;"",SUMIFS(RECORD!E$13:EP$13,RECORD!E$12:EP$12,"CLO5",RECORD!E$11:EP$11,"Final"),"")</x:f>
        <x:v>75</x:v>
      </x:c>
      <x:c r="AK13" s="20">
        <x:f t="shared" si="4"/>
        <x:v>90.666666666666657</x:v>
      </x:c>
    </x:row>
    <x:row r="14">
      <x:c r="A14" s="18" t="str">
        <x:f>IF(RECORD!B23="","",RECORD!B23)</x:f>
        <x:v>2024-00301</x:v>
      </x:c>
      <x:c r="B14" s="18" t="str">
        <x:f>IF(RECORD!C23="","",RECORD!C23)</x:f>
        <x:v>Fernandez, Trisha S.</x:v>
      </x:c>
      <x:c r="C14" s="19" t="n">
        <x:f>IF(B14&lt;&gt;"",SUMIFS(RECORD!E23:EP23,RECORD!E$12:EP$12,"CLO1",RECORD!E$11:EP$11,"Prelim"),"")</x:f>
        <x:v>19</x:v>
      </x:c>
      <x:c r="D14" s="19" t="n">
        <x:f>IF(B14&lt;&gt;"",SUMIFS(RECORD!E$13:EP$13,RECORD!E$12:EP$12,"CLO1",RECORD!E$11:EP$11,"Prelim"),"")</x:f>
        <x:v>30</x:v>
      </x:c>
      <x:c r="E14" s="19" t="n">
        <x:f>IF(B14&lt;&gt;"",SUMIFS(RECORD!E23:EP23,RECORD!E$12:EP$12,"CLO1",RECORD!E$11:EP$11,"Midterm"),"")</x:f>
        <x:v>27</x:v>
      </x:c>
      <x:c r="F14" s="19" t="n">
        <x:f>IF(B14&lt;&gt;"",SUMIFS(RECORD!E$13:EP$13,RECORD!E$12:EP$12,"CLO1",RECORD!E$11:EP$11,"Midterm"),"")</x:f>
        <x:v>50</x:v>
      </x:c>
      <x:c r="G14" s="19" t="n">
        <x:f>IF(B14&lt;&gt;"",SUMIFS(RECORD!E23:EP23,RECORD!E$12:EP$12,"CLO1",RECORD!E$11:EP$11,"Final"),"")</x:f>
        <x:v>14</x:v>
      </x:c>
      <x:c r="H14" s="19" t="n">
        <x:f>IF(B14&lt;&gt;"",SUMIFS(RECORD!E$13:EP$13,RECORD!E$12:EP$12,"CLO1",RECORD!E$11:EP$11,"Final"),"")</x:f>
        <x:v>25</x:v>
      </x:c>
      <x:c r="I14" s="20">
        <x:f t="shared" si="0"/>
        <x:v>71.428571428571431</x:v>
      </x:c>
      <x:c r="J14" s="19" t="n">
        <x:f>IF(B14&lt;&gt;"",SUMIFS(RECORD!E23:EP23,RECORD!E$12:EP$12,"CLO2",RECORD!E$11:EP$11,"Prelim"),"")</x:f>
        <x:v>31</x:v>
      </x:c>
      <x:c r="K14" s="19" t="n">
        <x:f>IF(B14&lt;&gt;"",SUMIFS(RECORD!E$13:EP$13,RECORD!E$12:EP$12,"CLO2",RECORD!E$11:EP$11,"Prelim"),"")</x:f>
        <x:v>60</x:v>
      </x:c>
      <x:c r="L14" s="19" t="n">
        <x:f>IF(B14&lt;&gt;"",SUMIFS(RECORD!E23:EP23,RECORD!E$12:EP$12,"CLO2",RECORD!E$11:EP$11,"Midterm"),"")</x:f>
        <x:v>29</x:v>
      </x:c>
      <x:c r="M14" s="19" t="n">
        <x:f>IF(B14&lt;&gt;"",SUMIFS(RECORD!E$13:EP$13,RECORD!E$12:EP$12,"CLO2",RECORD!E$11:EP$11,"Midterm"),"")</x:f>
        <x:v>50</x:v>
      </x:c>
      <x:c r="N14" s="19" t="n">
        <x:f>IF(B14&lt;&gt;"",SUMIFS(RECORD!E23:EP23,RECORD!E$12:EP$12,"CLO2",RECORD!E$11:EP$11,"Final"),"")</x:f>
        <x:v>17</x:v>
      </x:c>
      <x:c r="O14" s="19" t="n">
        <x:f>IF(B14&lt;&gt;"",SUMIFS(RECORD!E$13:EP$13,RECORD!E$12:EP$12,"CLO2",RECORD!E$11:EP$11,"Final"),"")</x:f>
        <x:v>25</x:v>
      </x:c>
      <x:c r="P14" s="20">
        <x:f t="shared" si="1"/>
        <x:v>62.962962962962962</x:v>
      </x:c>
      <x:c r="Q14" s="19" t="n">
        <x:f>IF(B14&lt;&gt;"",SUMIFS(RECORD!E23:EP23,RECORD!E$12:EP$12,"CLO3",RECORD!E$11:EP$11,"Prelim"),"")</x:f>
        <x:v>48</x:v>
      </x:c>
      <x:c r="R14" s="19" t="n">
        <x:f>IF(B14&lt;&gt;"",SUMIFS(RECORD!E$13:EP$13,RECORD!E$12:EP$12,"CLO3",RECORD!E$11:EP$11,"Prelim"),"")</x:f>
        <x:v>80</x:v>
      </x:c>
      <x:c r="S14" s="19" t="n">
        <x:f>IF(B14&lt;&gt;"",SUMIFS(RECORD!E23:EP23,RECORD!E$12:EP$12,"CLO3",RECORD!E$11:EP$11,"Midterm"),"")</x:f>
        <x:v>52</x:v>
      </x:c>
      <x:c r="T14" s="19" t="n">
        <x:f>IF(B14&lt;&gt;"",SUMIFS(RECORD!E$13:EP$13,RECORD!E$12:EP$12,"CLO3",RECORD!E$11:EP$11,"Midterm"),"")</x:f>
        <x:v>100</x:v>
      </x:c>
      <x:c r="U14" s="19" t="n">
        <x:f>IF(B14&lt;&gt;"",SUMIFS(RECORD!E23:EP23,RECORD!E$12:EP$12,"CLO3",RECORD!E$11:EP$11,"Final"),"")</x:f>
        <x:v>17</x:v>
      </x:c>
      <x:c r="V14" s="19" t="n">
        <x:f>IF(B14&lt;&gt;"",SUMIFS(RECORD!E$13:EP$13,RECORD!E$12:EP$12,"CLO3",RECORD!E$11:EP$11,"Final"),"")</x:f>
        <x:v>25</x:v>
      </x:c>
      <x:c r="W14" s="20">
        <x:f t="shared" si="2"/>
        <x:v>65.853658536585371</x:v>
      </x:c>
      <x:c r="X14" s="19" t="n">
        <x:f>IF(B14&lt;&gt;"",SUMIFS(RECORD!E23:EP23,RECORD!E$12:EP$12,"CLO4",RECORD!E$11:EP$11,"Prelim"),"")</x:f>
        <x:v>0</x:v>
      </x:c>
      <x:c r="Y14" s="19" t="n">
        <x:f>IF(B14&lt;&gt;"",SUMIFS(RECORD!E$13:EP$13,RECORD!E$12:EP$12,"CLO4",RECORD!E$11:EP$11,"Prelim"),"")</x:f>
        <x:v>0</x:v>
      </x:c>
      <x:c r="Z14" s="19" t="n">
        <x:f>IF(B14&lt;&gt;"",SUMIFS(RECORD!E23:EP23,RECORD!E$12:EP$12,"CLO4",RECORD!E$11:EP$11,"Midterm"),"")</x:f>
        <x:v>0</x:v>
      </x:c>
      <x:c r="AA14" s="19" t="n">
        <x:f>IF(B14&lt;&gt;"",SUMIFS(RECORD!E$13:EP$13,RECORD!E$12:EP$12,"CLO4",RECORD!E$11:EP$11,"Midterm"),"")</x:f>
        <x:v>0</x:v>
      </x:c>
      <x:c r="AB14" s="19" t="n">
        <x:f>IF(B14&lt;&gt;"",SUMIFS(RECORD!E23:EP23,RECORD!E$12:EP$12,"CLO4",RECORD!E$11:EP$11,"Final"),"")</x:f>
        <x:v>26</x:v>
      </x:c>
      <x:c r="AC14" s="19" t="n">
        <x:f>IF(B14&lt;&gt;"",SUMIFS(RECORD!E$13:EP$13,RECORD!E$12:EP$12,"CLO4",RECORD!E$11:EP$11,"Final"),"")</x:f>
        <x:v>45</x:v>
      </x:c>
      <x:c r="AD14" s="20">
        <x:f t="shared" si="3"/>
        <x:v>77.777777777777786</x:v>
      </x:c>
      <x:c r="AE14" s="19" t="n">
        <x:f>IF(B14&lt;&gt;"",SUMIFS(RECORD!E23:EP23,RECORD!E$12:EP$12,"CLO5",RECORD!E$11:EP$11,"Prelim"),"")</x:f>
        <x:v>0</x:v>
      </x:c>
      <x:c r="AF14" s="19" t="n">
        <x:f>IF(B14&lt;&gt;"",SUMIFS(RECORD!E$13:EP$13,RECORD!E$12:EP$12,"CLO5",RECORD!E$11:EP$11,"Prelim"),"")</x:f>
        <x:v>0</x:v>
      </x:c>
      <x:c r="AG14" s="19" t="n">
        <x:f>IF(B14&lt;&gt;"",SUMIFS(RECORD!E23:EP23,RECORD!E$12:EP$12,"CLO5",RECORD!E$11:EP$11,"Midterm"),"")</x:f>
        <x:v>0</x:v>
      </x:c>
      <x:c r="AH14" s="19" t="n">
        <x:f>IF(B14&lt;&gt;"",SUMIFS(RECORD!E$13:EP$13,RECORD!E$12:EP$12,"CLO5",RECORD!E$11:EP$11,"Midterm"),"")</x:f>
        <x:v>0</x:v>
      </x:c>
      <x:c r="AI14" s="19" t="n">
        <x:f>IF(B14&lt;&gt;"",SUMIFS(RECORD!E23:EP23,RECORD!E$12:EP$12,"CLO5",RECORD!E$11:EP$11,"Final"),"")</x:f>
        <x:v>43</x:v>
      </x:c>
      <x:c r="AJ14" s="19" t="n">
        <x:f>IF(B14&lt;&gt;"",SUMIFS(RECORD!E$13:EP$13,RECORD!E$12:EP$12,"CLO5",RECORD!E$11:EP$11,"Final"),"")</x:f>
        <x:v>75</x:v>
      </x:c>
      <x:c r="AK14" s="20">
        <x:f t="shared" si="4"/>
        <x:v>90.666666666666657</x:v>
      </x:c>
    </x:row>
    <x:row r="15">
      <x:c r="A15" s="18" t="str">
        <x:f>IF(RECORD!B24="","",RECORD!B24)</x:f>
        <x:v>2024-00323</x:v>
      </x:c>
      <x:c r="B15" s="18" t="str">
        <x:f>IF(RECORD!C24="","",RECORD!C24)</x:f>
        <x:v>Aquino, Hannah R.</x:v>
      </x:c>
      <x:c r="C15" s="19" t="n">
        <x:f>IF(B15&lt;&gt;"",SUMIFS(RECORD!E24:EP24,RECORD!E$12:EP$12,"CLO1",RECORD!E$11:EP$11,"Prelim"),"")</x:f>
        <x:v>13</x:v>
      </x:c>
      <x:c r="D15" s="19" t="n">
        <x:f>IF(B15&lt;&gt;"",SUMIFS(RECORD!E$13:EP$13,RECORD!E$12:EP$12,"CLO1",RECORD!E$11:EP$11,"Prelim"),"")</x:f>
        <x:v>30</x:v>
      </x:c>
      <x:c r="E15" s="19" t="n">
        <x:f>IF(B15&lt;&gt;"",SUMIFS(RECORD!E24:EP24,RECORD!E$12:EP$12,"CLO1",RECORD!E$11:EP$11,"Midterm"),"")</x:f>
        <x:v>14</x:v>
      </x:c>
      <x:c r="F15" s="19" t="n">
        <x:f>IF(B15&lt;&gt;"",SUMIFS(RECORD!E$13:EP$13,RECORD!E$12:EP$12,"CLO1",RECORD!E$11:EP$11,"Midterm"),"")</x:f>
        <x:v>50</x:v>
      </x:c>
      <x:c r="G15" s="19" t="n">
        <x:f>IF(B15&lt;&gt;"",SUMIFS(RECORD!E24:EP24,RECORD!E$12:EP$12,"CLO1",RECORD!E$11:EP$11,"Final"),"")</x:f>
        <x:v>8</x:v>
      </x:c>
      <x:c r="H15" s="19" t="n">
        <x:f>IF(B15&lt;&gt;"",SUMIFS(RECORD!E$13:EP$13,RECORD!E$12:EP$12,"CLO1",RECORD!E$11:EP$11,"Final"),"")</x:f>
        <x:v>25</x:v>
      </x:c>
      <x:c r="I15" s="20">
        <x:f t="shared" si="0"/>
        <x:v>85.714285714285708</x:v>
      </x:c>
      <x:c r="J15" s="19" t="n">
        <x:f>IF(B15&lt;&gt;"",SUMIFS(RECORD!E24:EP24,RECORD!E$12:EP$12,"CLO2",RECORD!E$11:EP$11,"Prelim"),"")</x:f>
        <x:v>18</x:v>
      </x:c>
      <x:c r="K15" s="19" t="n">
        <x:f>IF(B15&lt;&gt;"",SUMIFS(RECORD!E$13:EP$13,RECORD!E$12:EP$12,"CLO2",RECORD!E$11:EP$11,"Prelim"),"")</x:f>
        <x:v>60</x:v>
      </x:c>
      <x:c r="L15" s="19" t="n">
        <x:f>IF(B15&lt;&gt;"",SUMIFS(RECORD!E24:EP24,RECORD!E$12:EP$12,"CLO2",RECORD!E$11:EP$11,"Midterm"),"")</x:f>
        <x:v>15</x:v>
      </x:c>
      <x:c r="M15" s="19" t="n">
        <x:f>IF(B15&lt;&gt;"",SUMIFS(RECORD!E$13:EP$13,RECORD!E$12:EP$12,"CLO2",RECORD!E$11:EP$11,"Midterm"),"")</x:f>
        <x:v>50</x:v>
      </x:c>
      <x:c r="N15" s="19" t="n">
        <x:f>IF(B15&lt;&gt;"",SUMIFS(RECORD!E24:EP24,RECORD!E$12:EP$12,"CLO2",RECORD!E$11:EP$11,"Final"),"")</x:f>
        <x:v>11</x:v>
      </x:c>
      <x:c r="O15" s="19" t="n">
        <x:f>IF(B15&lt;&gt;"",SUMIFS(RECORD!E$13:EP$13,RECORD!E$12:EP$12,"CLO2",RECORD!E$11:EP$11,"Final"),"")</x:f>
        <x:v>25</x:v>
      </x:c>
      <x:c r="P15" s="20">
        <x:f t="shared" si="1"/>
        <x:v>74.074074074074076</x:v>
      </x:c>
      <x:c r="Q15" s="19" t="n">
        <x:f>IF(B15&lt;&gt;"",SUMIFS(RECORD!E24:EP24,RECORD!E$12:EP$12,"CLO3",RECORD!E$11:EP$11,"Prelim"),"")</x:f>
        <x:v>26</x:v>
      </x:c>
      <x:c r="R15" s="19" t="n">
        <x:f>IF(B15&lt;&gt;"",SUMIFS(RECORD!E$13:EP$13,RECORD!E$12:EP$12,"CLO3",RECORD!E$11:EP$11,"Prelim"),"")</x:f>
        <x:v>80</x:v>
      </x:c>
      <x:c r="S15" s="19" t="n">
        <x:f>IF(B15&lt;&gt;"",SUMIFS(RECORD!E24:EP24,RECORD!E$12:EP$12,"CLO3",RECORD!E$11:EP$11,"Midterm"),"")</x:f>
        <x:v>50</x:v>
      </x:c>
      <x:c r="T15" s="19" t="n">
        <x:f>IF(B15&lt;&gt;"",SUMIFS(RECORD!E$13:EP$13,RECORD!E$12:EP$12,"CLO3",RECORD!E$11:EP$11,"Midterm"),"")</x:f>
        <x:v>100</x:v>
      </x:c>
      <x:c r="U15" s="19" t="n">
        <x:f>IF(B15&lt;&gt;"",SUMIFS(RECORD!E24:EP24,RECORD!E$12:EP$12,"CLO3",RECORD!E$11:EP$11,"Final"),"")</x:f>
        <x:v>12</x:v>
      </x:c>
      <x:c r="V15" s="19" t="n">
        <x:f>IF(B15&lt;&gt;"",SUMIFS(RECORD!E$13:EP$13,RECORD!E$12:EP$12,"CLO3",RECORD!E$11:EP$11,"Final"),"")</x:f>
        <x:v>25</x:v>
      </x:c>
      <x:c r="W15" s="20">
        <x:f t="shared" si="2"/>
        <x:v>70.731707317073173</x:v>
      </x:c>
      <x:c r="X15" s="19" t="n">
        <x:f>IF(B15&lt;&gt;"",SUMIFS(RECORD!E24:EP24,RECORD!E$12:EP$12,"CLO4",RECORD!E$11:EP$11,"Prelim"),"")</x:f>
        <x:v>0</x:v>
      </x:c>
      <x:c r="Y15" s="19" t="n">
        <x:f>IF(B15&lt;&gt;"",SUMIFS(RECORD!E$13:EP$13,RECORD!E$12:EP$12,"CLO4",RECORD!E$11:EP$11,"Prelim"),"")</x:f>
        <x:v>0</x:v>
      </x:c>
      <x:c r="Z15" s="19" t="n">
        <x:f>IF(B15&lt;&gt;"",SUMIFS(RECORD!E24:EP24,RECORD!E$12:EP$12,"CLO4",RECORD!E$11:EP$11,"Midterm"),"")</x:f>
        <x:v>0</x:v>
      </x:c>
      <x:c r="AA15" s="19" t="n">
        <x:f>IF(B15&lt;&gt;"",SUMIFS(RECORD!E$13:EP$13,RECORD!E$12:EP$12,"CLO4",RECORD!E$11:EP$11,"Midterm"),"")</x:f>
        <x:v>0</x:v>
      </x:c>
      <x:c r="AB15" s="19" t="n">
        <x:f>IF(B15&lt;&gt;"",SUMIFS(RECORD!E24:EP24,RECORD!E$12:EP$12,"CLO4",RECORD!E$11:EP$11,"Final"),"")</x:f>
        <x:v>21</x:v>
      </x:c>
      <x:c r="AC15" s="19" t="n">
        <x:f>IF(B15&lt;&gt;"",SUMIFS(RECORD!E$13:EP$13,RECORD!E$12:EP$12,"CLO4",RECORD!E$11:EP$11,"Final"),"")</x:f>
        <x:v>45</x:v>
      </x:c>
      <x:c r="AD15" s="20">
        <x:f t="shared" si="3"/>
        <x:v>100</x:v>
      </x:c>
      <x:c r="AE15" s="19" t="n">
        <x:f>IF(B15&lt;&gt;"",SUMIFS(RECORD!E24:EP24,RECORD!E$12:EP$12,"CLO5",RECORD!E$11:EP$11,"Prelim"),"")</x:f>
        <x:v>0</x:v>
      </x:c>
      <x:c r="AF15" s="19" t="n">
        <x:f>IF(B15&lt;&gt;"",SUMIFS(RECORD!E$13:EP$13,RECORD!E$12:EP$12,"CLO5",RECORD!E$11:EP$11,"Prelim"),"")</x:f>
        <x:v>0</x:v>
      </x:c>
      <x:c r="AG15" s="19" t="n">
        <x:f>IF(B15&lt;&gt;"",SUMIFS(RECORD!E24:EP24,RECORD!E$12:EP$12,"CLO5",RECORD!E$11:EP$11,"Midterm"),"")</x:f>
        <x:v>0</x:v>
      </x:c>
      <x:c r="AH15" s="19" t="n">
        <x:f>IF(B15&lt;&gt;"",SUMIFS(RECORD!E$13:EP$13,RECORD!E$12:EP$12,"CLO5",RECORD!E$11:EP$11,"Midterm"),"")</x:f>
        <x:v>0</x:v>
      </x:c>
      <x:c r="AI15" s="19" t="n">
        <x:f>IF(B15&lt;&gt;"",SUMIFS(RECORD!E24:EP24,RECORD!E$12:EP$12,"CLO5",RECORD!E$11:EP$11,"Final"),"")</x:f>
        <x:v>34</x:v>
      </x:c>
      <x:c r="AJ15" s="19" t="n">
        <x:f>IF(B15&lt;&gt;"",SUMIFS(RECORD!E$13:EP$13,RECORD!E$12:EP$12,"CLO5",RECORD!E$11:EP$11,"Final"),"")</x:f>
        <x:v>75</x:v>
      </x:c>
      <x:c r="AK15" s="20">
        <x:f t="shared" si="4"/>
        <x:v>100</x:v>
      </x:c>
    </x:row>
    <x:row r="16">
      <x:c r="A16" s="18" t="str">
        <x:f>IF(RECORD!B25="","",RECORD!B25)</x:f>
        <x:v>2024-00345</x:v>
      </x:c>
      <x:c r="B16" s="18" t="str">
        <x:f>IF(RECORD!C25="","",RECORD!C25)</x:f>
        <x:v>Cabrera, Quentin P.</x:v>
      </x:c>
      <x:c r="C16" s="19" t="n">
        <x:f>IF(B16&lt;&gt;"",SUMIFS(RECORD!E25:EP25,RECORD!E$12:EP$12,"CLO1",RECORD!E$11:EP$11,"Prelim"),"")</x:f>
        <x:v>13</x:v>
      </x:c>
      <x:c r="D16" s="19" t="n">
        <x:f>IF(B16&lt;&gt;"",SUMIFS(RECORD!E$13:EP$13,RECORD!E$12:EP$12,"CLO1",RECORD!E$11:EP$11,"Prelim"),"")</x:f>
        <x:v>30</x:v>
      </x:c>
      <x:c r="E16" s="19" t="n">
        <x:f>IF(B16&lt;&gt;"",SUMIFS(RECORD!E25:EP25,RECORD!E$12:EP$12,"CLO1",RECORD!E$11:EP$11,"Midterm"),"")</x:f>
        <x:v>31</x:v>
      </x:c>
      <x:c r="F16" s="19" t="n">
        <x:f>IF(B16&lt;&gt;"",SUMIFS(RECORD!E$13:EP$13,RECORD!E$12:EP$12,"CLO1",RECORD!E$11:EP$11,"Midterm"),"")</x:f>
        <x:v>50</x:v>
      </x:c>
      <x:c r="G16" s="19" t="n">
        <x:f>IF(B16&lt;&gt;"",SUMIFS(RECORD!E25:EP25,RECORD!E$12:EP$12,"CLO1",RECORD!E$11:EP$11,"Final"),"")</x:f>
        <x:v>13</x:v>
      </x:c>
      <x:c r="H16" s="19" t="n">
        <x:f>IF(B16&lt;&gt;"",SUMIFS(RECORD!E$13:EP$13,RECORD!E$12:EP$12,"CLO1",RECORD!E$11:EP$11,"Final"),"")</x:f>
        <x:v>25</x:v>
      </x:c>
      <x:c r="I16" s="20">
        <x:f t="shared" si="0"/>
        <x:v>100</x:v>
      </x:c>
      <x:c r="J16" s="19" t="n">
        <x:f>IF(B16&lt;&gt;"",SUMIFS(RECORD!E25:EP25,RECORD!E$12:EP$12,"CLO2",RECORD!E$11:EP$11,"Prelim"),"")</x:f>
        <x:v>28</x:v>
      </x:c>
      <x:c r="K16" s="19" t="n">
        <x:f>IF(B16&lt;&gt;"",SUMIFS(RECORD!E$13:EP$13,RECORD!E$12:EP$12,"CLO2",RECORD!E$11:EP$11,"Prelim"),"")</x:f>
        <x:v>60</x:v>
      </x:c>
      <x:c r="L16" s="19" t="n">
        <x:f>IF(B16&lt;&gt;"",SUMIFS(RECORD!E25:EP25,RECORD!E$12:EP$12,"CLO2",RECORD!E$11:EP$11,"Midterm"),"")</x:f>
        <x:v>20</x:v>
      </x:c>
      <x:c r="M16" s="19" t="n">
        <x:f>IF(B16&lt;&gt;"",SUMIFS(RECORD!E$13:EP$13,RECORD!E$12:EP$12,"CLO2",RECORD!E$11:EP$11,"Midterm"),"")</x:f>
        <x:v>50</x:v>
      </x:c>
      <x:c r="N16" s="19" t="n">
        <x:f>IF(B16&lt;&gt;"",SUMIFS(RECORD!E25:EP25,RECORD!E$12:EP$12,"CLO2",RECORD!E$11:EP$11,"Final"),"")</x:f>
        <x:v>10</x:v>
      </x:c>
      <x:c r="O16" s="19" t="n">
        <x:f>IF(B16&lt;&gt;"",SUMIFS(RECORD!E$13:EP$13,RECORD!E$12:EP$12,"CLO2",RECORD!E$11:EP$11,"Final"),"")</x:f>
        <x:v>25</x:v>
      </x:c>
      <x:c r="P16" s="20">
        <x:f t="shared" si="1"/>
        <x:v>100</x:v>
      </x:c>
      <x:c r="Q16" s="19" t="n">
        <x:f>IF(B16&lt;&gt;"",SUMIFS(RECORD!E25:EP25,RECORD!E$12:EP$12,"CLO3",RECORD!E$11:EP$11,"Prelim"),"")</x:f>
        <x:v>43</x:v>
      </x:c>
      <x:c r="R16" s="19" t="n">
        <x:f>IF(B16&lt;&gt;"",SUMIFS(RECORD!E$13:EP$13,RECORD!E$12:EP$12,"CLO3",RECORD!E$11:EP$11,"Prelim"),"")</x:f>
        <x:v>80</x:v>
      </x:c>
      <x:c r="S16" s="19" t="n">
        <x:f>IF(B16&lt;&gt;"",SUMIFS(RECORD!E25:EP25,RECORD!E$12:EP$12,"CLO3",RECORD!E$11:EP$11,"Midterm"),"")</x:f>
        <x:v>47</x:v>
      </x:c>
      <x:c r="T16" s="19" t="n">
        <x:f>IF(B16&lt;&gt;"",SUMIFS(RECORD!E$13:EP$13,RECORD!E$12:EP$12,"CLO3",RECORD!E$11:EP$11,"Midterm"),"")</x:f>
        <x:v>100</x:v>
      </x:c>
      <x:c r="U16" s="19" t="n">
        <x:f>IF(B16&lt;&gt;"",SUMIFS(RECORD!E25:EP25,RECORD!E$12:EP$12,"CLO3",RECORD!E$11:EP$11,"Final"),"")</x:f>
        <x:v>12</x:v>
      </x:c>
      <x:c r="V16" s="19" t="n">
        <x:f>IF(B16&lt;&gt;"",SUMIFS(RECORD!E$13:EP$13,RECORD!E$12:EP$12,"CLO3",RECORD!E$11:EP$11,"Final"),"")</x:f>
        <x:v>25</x:v>
      </x:c>
      <x:c r="W16" s="20">
        <x:f t="shared" si="2"/>
        <x:v>109.75609756097562</x:v>
      </x:c>
      <x:c r="X16" s="19" t="n">
        <x:f>IF(B16&lt;&gt;"",SUMIFS(RECORD!E25:EP25,RECORD!E$12:EP$12,"CLO4",RECORD!E$11:EP$11,"Prelim"),"")</x:f>
        <x:v>0</x:v>
      </x:c>
      <x:c r="Y16" s="19" t="n">
        <x:f>IF(B16&lt;&gt;"",SUMIFS(RECORD!E$13:EP$13,RECORD!E$12:EP$12,"CLO4",RECORD!E$11:EP$11,"Prelim"),"")</x:f>
        <x:v>0</x:v>
      </x:c>
      <x:c r="Z16" s="19" t="n">
        <x:f>IF(B16&lt;&gt;"",SUMIFS(RECORD!E25:EP25,RECORD!E$12:EP$12,"CLO4",RECORD!E$11:EP$11,"Midterm"),"")</x:f>
        <x:v>0</x:v>
      </x:c>
      <x:c r="AA16" s="19" t="n">
        <x:f>IF(B16&lt;&gt;"",SUMIFS(RECORD!E$13:EP$13,RECORD!E$12:EP$12,"CLO4",RECORD!E$11:EP$11,"Midterm"),"")</x:f>
        <x:v>0</x:v>
      </x:c>
      <x:c r="AB16" s="19" t="n">
        <x:f>IF(B16&lt;&gt;"",SUMIFS(RECORD!E25:EP25,RECORD!E$12:EP$12,"CLO4",RECORD!E$11:EP$11,"Final"),"")</x:f>
        <x:v>23</x:v>
      </x:c>
      <x:c r="AC16" s="19" t="n">
        <x:f>IF(B16&lt;&gt;"",SUMIFS(RECORD!E$13:EP$13,RECORD!E$12:EP$12,"CLO4",RECORD!E$11:EP$11,"Final"),"")</x:f>
        <x:v>45</x:v>
      </x:c>
      <x:c r="AD16" s="20">
        <x:f t="shared" si="3"/>
        <x:v>100</x:v>
      </x:c>
      <x:c r="AE16" s="19" t="n">
        <x:f>IF(B16&lt;&gt;"",SUMIFS(RECORD!E25:EP25,RECORD!E$12:EP$12,"CLO5",RECORD!E$11:EP$11,"Prelim"),"")</x:f>
        <x:v>0</x:v>
      </x:c>
      <x:c r="AF16" s="19" t="n">
        <x:f>IF(B16&lt;&gt;"",SUMIFS(RECORD!E$13:EP$13,RECORD!E$12:EP$12,"CLO5",RECORD!E$11:EP$11,"Prelim"),"")</x:f>
        <x:v>0</x:v>
      </x:c>
      <x:c r="AG16" s="19" t="n">
        <x:f>IF(B16&lt;&gt;"",SUMIFS(RECORD!E25:EP25,RECORD!E$12:EP$12,"CLO5",RECORD!E$11:EP$11,"Midterm"),"")</x:f>
        <x:v>0</x:v>
      </x:c>
      <x:c r="AH16" s="19" t="n">
        <x:f>IF(B16&lt;&gt;"",SUMIFS(RECORD!E$13:EP$13,RECORD!E$12:EP$12,"CLO5",RECORD!E$11:EP$11,"Midterm"),"")</x:f>
        <x:v>0</x:v>
      </x:c>
      <x:c r="AI16" s="19" t="n">
        <x:f>IF(B16&lt;&gt;"",SUMIFS(RECORD!E25:EP25,RECORD!E$12:EP$12,"CLO5",RECORD!E$11:EP$11,"Final"),"")</x:f>
        <x:v>38</x:v>
      </x:c>
      <x:c r="AJ16" s="19" t="n">
        <x:f>IF(B16&lt;&gt;"",SUMIFS(RECORD!E$13:EP$13,RECORD!E$12:EP$12,"CLO5",RECORD!E$11:EP$11,"Final"),"")</x:f>
        <x:v>75</x:v>
      </x:c>
      <x:c r="AK16" s="20">
        <x:f t="shared" si="4"/>
        <x:v>100</x:v>
      </x:c>
    </x:row>
    <x:row r="17">
      <x:c r="A17" s="18" t="str">
        <x:f>IF(RECORD!B26="","",RECORD!B26)</x:f>
        <x:v>2024-00367</x:v>
      </x:c>
      <x:c r="B17" s="18" t="str">
        <x:f>IF(RECORD!C26="","",RECORD!C26)</x:f>
        <x:v>Rivera, Caleb T.</x:v>
      </x:c>
      <x:c r="C17" s="19" t="n">
        <x:f>IF(B17&lt;&gt;"",SUMIFS(RECORD!E26:EP26,RECORD!E$12:EP$12,"CLO1",RECORD!E$11:EP$11,"Prelim"),"")</x:f>
        <x:v>18</x:v>
      </x:c>
      <x:c r="D17" s="19" t="n">
        <x:f>IF(B17&lt;&gt;"",SUMIFS(RECORD!E$13:EP$13,RECORD!E$12:EP$12,"CLO1",RECORD!E$11:EP$11,"Prelim"),"")</x:f>
        <x:v>30</x:v>
      </x:c>
      <x:c r="E17" s="19" t="n">
        <x:f>IF(B17&lt;&gt;"",SUMIFS(RECORD!E26:EP26,RECORD!E$12:EP$12,"CLO1",RECORD!E$11:EP$11,"Midterm"),"")</x:f>
        <x:v>21</x:v>
      </x:c>
      <x:c r="F17" s="19" t="n">
        <x:f>IF(B17&lt;&gt;"",SUMIFS(RECORD!E$13:EP$13,RECORD!E$12:EP$12,"CLO1",RECORD!E$11:EP$11,"Midterm"),"")</x:f>
        <x:v>50</x:v>
      </x:c>
      <x:c r="G17" s="19" t="n">
        <x:f>IF(B17&lt;&gt;"",SUMIFS(RECORD!E26:EP26,RECORD!E$12:EP$12,"CLO1",RECORD!E$11:EP$11,"Final"),"")</x:f>
        <x:v>12</x:v>
      </x:c>
      <x:c r="H17" s="19" t="n">
        <x:f>IF(B17&lt;&gt;"",SUMIFS(RECORD!E$13:EP$13,RECORD!E$12:EP$12,"CLO1",RECORD!E$11:EP$11,"Final"),"")</x:f>
        <x:v>25</x:v>
      </x:c>
      <x:c r="I17" s="20">
        <x:f t="shared" si="0"/>
        <x:v>100</x:v>
      </x:c>
      <x:c r="J17" s="19" t="n">
        <x:f>IF(B17&lt;&gt;"",SUMIFS(RECORD!E26:EP26,RECORD!E$12:EP$12,"CLO2",RECORD!E$11:EP$11,"Prelim"),"")</x:f>
        <x:v>27</x:v>
      </x:c>
      <x:c r="K17" s="19" t="n">
        <x:f>IF(B17&lt;&gt;"",SUMIFS(RECORD!E$13:EP$13,RECORD!E$12:EP$12,"CLO2",RECORD!E$11:EP$11,"Prelim"),"")</x:f>
        <x:v>60</x:v>
      </x:c>
      <x:c r="L17" s="19" t="n">
        <x:f>IF(B17&lt;&gt;"",SUMIFS(RECORD!E26:EP26,RECORD!E$12:EP$12,"CLO2",RECORD!E$11:EP$11,"Midterm"),"")</x:f>
        <x:v>35</x:v>
      </x:c>
      <x:c r="M17" s="19" t="n">
        <x:f>IF(B17&lt;&gt;"",SUMIFS(RECORD!E$13:EP$13,RECORD!E$12:EP$12,"CLO2",RECORD!E$11:EP$11,"Midterm"),"")</x:f>
        <x:v>50</x:v>
      </x:c>
      <x:c r="N17" s="19" t="n">
        <x:f>IF(B17&lt;&gt;"",SUMIFS(RECORD!E26:EP26,RECORD!E$12:EP$12,"CLO2",RECORD!E$11:EP$11,"Final"),"")</x:f>
        <x:v>12</x:v>
      </x:c>
      <x:c r="O17" s="19" t="n">
        <x:f>IF(B17&lt;&gt;"",SUMIFS(RECORD!E$13:EP$13,RECORD!E$12:EP$12,"CLO2",RECORD!E$11:EP$11,"Final"),"")</x:f>
        <x:v>25</x:v>
      </x:c>
      <x:c r="P17" s="20">
        <x:f t="shared" si="1"/>
        <x:v>100</x:v>
      </x:c>
      <x:c r="Q17" s="19" t="n">
        <x:f>IF(B17&lt;&gt;"",SUMIFS(RECORD!E26:EP26,RECORD!E$12:EP$12,"CLO3",RECORD!E$11:EP$11,"Prelim"),"")</x:f>
        <x:v>57</x:v>
      </x:c>
      <x:c r="R17" s="19" t="n">
        <x:f>IF(B17&lt;&gt;"",SUMIFS(RECORD!E$13:EP$13,RECORD!E$12:EP$12,"CLO3",RECORD!E$11:EP$11,"Prelim"),"")</x:f>
        <x:v>80</x:v>
      </x:c>
      <x:c r="S17" s="19" t="n">
        <x:f>IF(B17&lt;&gt;"",SUMIFS(RECORD!E26:EP26,RECORD!E$12:EP$12,"CLO3",RECORD!E$11:EP$11,"Midterm"),"")</x:f>
        <x:v>54</x:v>
      </x:c>
      <x:c r="T17" s="19" t="n">
        <x:f>IF(B17&lt;&gt;"",SUMIFS(RECORD!E$13:EP$13,RECORD!E$12:EP$12,"CLO3",RECORD!E$11:EP$11,"Midterm"),"")</x:f>
        <x:v>100</x:v>
      </x:c>
      <x:c r="U17" s="19" t="n">
        <x:f>IF(B17&lt;&gt;"",SUMIFS(RECORD!E26:EP26,RECORD!E$12:EP$12,"CLO3",RECORD!E$11:EP$11,"Final"),"")</x:f>
        <x:v>13</x:v>
      </x:c>
      <x:c r="V17" s="19" t="n">
        <x:f>IF(B17&lt;&gt;"",SUMIFS(RECORD!E$13:EP$13,RECORD!E$12:EP$12,"CLO3",RECORD!E$11:EP$11,"Final"),"")</x:f>
        <x:v>25</x:v>
      </x:c>
      <x:c r="W17" s="20">
        <x:f t="shared" si="2"/>
        <x:v>109.75609756097562</x:v>
      </x:c>
      <x:c r="X17" s="19" t="n">
        <x:f>IF(B17&lt;&gt;"",SUMIFS(RECORD!E26:EP26,RECORD!E$12:EP$12,"CLO4",RECORD!E$11:EP$11,"Prelim"),"")</x:f>
        <x:v>0</x:v>
      </x:c>
      <x:c r="Y17" s="19" t="n">
        <x:f>IF(B17&lt;&gt;"",SUMIFS(RECORD!E$13:EP$13,RECORD!E$12:EP$12,"CLO4",RECORD!E$11:EP$11,"Prelim"),"")</x:f>
        <x:v>0</x:v>
      </x:c>
      <x:c r="Z17" s="19" t="n">
        <x:f>IF(B17&lt;&gt;"",SUMIFS(RECORD!E26:EP26,RECORD!E$12:EP$12,"CLO4",RECORD!E$11:EP$11,"Midterm"),"")</x:f>
        <x:v>0</x:v>
      </x:c>
      <x:c r="AA17" s="19" t="n">
        <x:f>IF(B17&lt;&gt;"",SUMIFS(RECORD!E$13:EP$13,RECORD!E$12:EP$12,"CLO4",RECORD!E$11:EP$11,"Midterm"),"")</x:f>
        <x:v>0</x:v>
      </x:c>
      <x:c r="AB17" s="19" t="n">
        <x:f>IF(B17&lt;&gt;"",SUMIFS(RECORD!E26:EP26,RECORD!E$12:EP$12,"CLO4",RECORD!E$11:EP$11,"Final"),"")</x:f>
        <x:v>31</x:v>
      </x:c>
      <x:c r="AC17" s="19" t="n">
        <x:f>IF(B17&lt;&gt;"",SUMIFS(RECORD!E$13:EP$13,RECORD!E$12:EP$12,"CLO4",RECORD!E$11:EP$11,"Final"),"")</x:f>
        <x:v>45</x:v>
      </x:c>
      <x:c r="AD17" s="20">
        <x:f t="shared" si="3"/>
        <x:v>100</x:v>
      </x:c>
      <x:c r="AE17" s="19" t="n">
        <x:f>IF(B17&lt;&gt;"",SUMIFS(RECORD!E26:EP26,RECORD!E$12:EP$12,"CLO5",RECORD!E$11:EP$11,"Prelim"),"")</x:f>
        <x:v>0</x:v>
      </x:c>
      <x:c r="AF17" s="19" t="n">
        <x:f>IF(B17&lt;&gt;"",SUMIFS(RECORD!E$13:EP$13,RECORD!E$12:EP$12,"CLO5",RECORD!E$11:EP$11,"Prelim"),"")</x:f>
        <x:v>0</x:v>
      </x:c>
      <x:c r="AG17" s="19" t="n">
        <x:f>IF(B17&lt;&gt;"",SUMIFS(RECORD!E26:EP26,RECORD!E$12:EP$12,"CLO5",RECORD!E$11:EP$11,"Midterm"),"")</x:f>
        <x:v>0</x:v>
      </x:c>
      <x:c r="AH17" s="19" t="n">
        <x:f>IF(B17&lt;&gt;"",SUMIFS(RECORD!E$13:EP$13,RECORD!E$12:EP$12,"CLO5",RECORD!E$11:EP$11,"Midterm"),"")</x:f>
        <x:v>0</x:v>
      </x:c>
      <x:c r="AI17" s="19" t="n">
        <x:f>IF(B17&lt;&gt;"",SUMIFS(RECORD!E26:EP26,RECORD!E$12:EP$12,"CLO5",RECORD!E$11:EP$11,"Final"),"")</x:f>
        <x:v>47</x:v>
      </x:c>
      <x:c r="AJ17" s="19" t="n">
        <x:f>IF(B17&lt;&gt;"",SUMIFS(RECORD!E$13:EP$13,RECORD!E$12:EP$12,"CLO5",RECORD!E$11:EP$11,"Final"),"")</x:f>
        <x:v>75</x:v>
      </x:c>
      <x:c r="AK17" s="20">
        <x:f t="shared" si="4"/>
        <x:v>100</x:v>
      </x:c>
    </x:row>
    <x:row r="18">
      <x:c r="A18" s="18" t="str">
        <x:f>IF(RECORD!B27="","",RECORD!B27)</x:f>
        <x:v>2024-00389</x:v>
      </x:c>
      <x:c r="B18" s="18" t="str">
        <x:f>IF(RECORD!C27="","",RECORD!C27)</x:f>
        <x:v>Villamor, Yves E.</x:v>
      </x:c>
      <x:c r="C18" s="19" t="n">
        <x:f>IF(B18&lt;&gt;"",SUMIFS(RECORD!E27:EP27,RECORD!E$12:EP$12,"CLO1",RECORD!E$11:EP$11,"Prelim"),"")</x:f>
        <x:v>13</x:v>
      </x:c>
      <x:c r="D18" s="19" t="n">
        <x:f>IF(B18&lt;&gt;"",SUMIFS(RECORD!E$13:EP$13,RECORD!E$12:EP$12,"CLO1",RECORD!E$11:EP$11,"Prelim"),"")</x:f>
        <x:v>30</x:v>
      </x:c>
      <x:c r="E18" s="19" t="n">
        <x:f>IF(B18&lt;&gt;"",SUMIFS(RECORD!E27:EP27,RECORD!E$12:EP$12,"CLO1",RECORD!E$11:EP$11,"Midterm"),"")</x:f>
        <x:v>21</x:v>
      </x:c>
      <x:c r="F18" s="19" t="n">
        <x:f>IF(B18&lt;&gt;"",SUMIFS(RECORD!E$13:EP$13,RECORD!E$12:EP$12,"CLO1",RECORD!E$11:EP$11,"Midterm"),"")</x:f>
        <x:v>50</x:v>
      </x:c>
      <x:c r="G18" s="19" t="n">
        <x:f>IF(B18&lt;&gt;"",SUMIFS(RECORD!E27:EP27,RECORD!E$12:EP$12,"CLO1",RECORD!E$11:EP$11,"Final"),"")</x:f>
        <x:v>13</x:v>
      </x:c>
      <x:c r="H18" s="19" t="n">
        <x:f>IF(B18&lt;&gt;"",SUMIFS(RECORD!E$13:EP$13,RECORD!E$12:EP$12,"CLO1",RECORD!E$11:EP$11,"Final"),"")</x:f>
        <x:v>25</x:v>
      </x:c>
      <x:c r="I18" s="20">
        <x:f t="shared" si="0"/>
        <x:v>100</x:v>
      </x:c>
      <x:c r="J18" s="19" t="n">
        <x:f>IF(B18&lt;&gt;"",SUMIFS(RECORD!E27:EP27,RECORD!E$12:EP$12,"CLO2",RECORD!E$11:EP$11,"Prelim"),"")</x:f>
        <x:v>25</x:v>
      </x:c>
      <x:c r="K18" s="19" t="n">
        <x:f>IF(B18&lt;&gt;"",SUMIFS(RECORD!E$13:EP$13,RECORD!E$12:EP$12,"CLO2",RECORD!E$11:EP$11,"Prelim"),"")</x:f>
        <x:v>60</x:v>
      </x:c>
      <x:c r="L18" s="19" t="n">
        <x:f>IF(B18&lt;&gt;"",SUMIFS(RECORD!E27:EP27,RECORD!E$12:EP$12,"CLO2",RECORD!E$11:EP$11,"Midterm"),"")</x:f>
        <x:v>21</x:v>
      </x:c>
      <x:c r="M18" s="19" t="n">
        <x:f>IF(B18&lt;&gt;"",SUMIFS(RECORD!E$13:EP$13,RECORD!E$12:EP$12,"CLO2",RECORD!E$11:EP$11,"Midterm"),"")</x:f>
        <x:v>50</x:v>
      </x:c>
      <x:c r="N18" s="19" t="n">
        <x:f>IF(B18&lt;&gt;"",SUMIFS(RECORD!E27:EP27,RECORD!E$12:EP$12,"CLO2",RECORD!E$11:EP$11,"Final"),"")</x:f>
        <x:v>18</x:v>
      </x:c>
      <x:c r="O18" s="19" t="n">
        <x:f>IF(B18&lt;&gt;"",SUMIFS(RECORD!E$13:EP$13,RECORD!E$12:EP$12,"CLO2",RECORD!E$11:EP$11,"Final"),"")</x:f>
        <x:v>25</x:v>
      </x:c>
      <x:c r="P18" s="20">
        <x:f t="shared" si="1"/>
        <x:v>100</x:v>
      </x:c>
      <x:c r="Q18" s="19" t="n">
        <x:f>IF(B18&lt;&gt;"",SUMIFS(RECORD!E27:EP27,RECORD!E$12:EP$12,"CLO3",RECORD!E$11:EP$11,"Prelim"),"")</x:f>
        <x:v>49</x:v>
      </x:c>
      <x:c r="R18" s="19" t="n">
        <x:f>IF(B18&lt;&gt;"",SUMIFS(RECORD!E$13:EP$13,RECORD!E$12:EP$12,"CLO3",RECORD!E$11:EP$11,"Prelim"),"")</x:f>
        <x:v>80</x:v>
      </x:c>
      <x:c r="S18" s="19" t="n">
        <x:f>IF(B18&lt;&gt;"",SUMIFS(RECORD!E27:EP27,RECORD!E$12:EP$12,"CLO3",RECORD!E$11:EP$11,"Midterm"),"")</x:f>
        <x:v>56</x:v>
      </x:c>
      <x:c r="T18" s="19" t="n">
        <x:f>IF(B18&lt;&gt;"",SUMIFS(RECORD!E$13:EP$13,RECORD!E$12:EP$12,"CLO3",RECORD!E$11:EP$11,"Midterm"),"")</x:f>
        <x:v>100</x:v>
      </x:c>
      <x:c r="U18" s="19" t="n">
        <x:f>IF(B18&lt;&gt;"",SUMIFS(RECORD!E27:EP27,RECORD!E$12:EP$12,"CLO3",RECORD!E$11:EP$11,"Final"),"")</x:f>
        <x:v>14</x:v>
      </x:c>
      <x:c r="V18" s="19" t="n">
        <x:f>IF(B18&lt;&gt;"",SUMIFS(RECORD!E$13:EP$13,RECORD!E$12:EP$12,"CLO3",RECORD!E$11:EP$11,"Final"),"")</x:f>
        <x:v>25</x:v>
      </x:c>
      <x:c r="W18" s="20">
        <x:f t="shared" si="2"/>
        <x:v>109.75609756097562</x:v>
      </x:c>
      <x:c r="X18" s="19" t="n">
        <x:f>IF(B18&lt;&gt;"",SUMIFS(RECORD!E27:EP27,RECORD!E$12:EP$12,"CLO4",RECORD!E$11:EP$11,"Prelim"),"")</x:f>
        <x:v>0</x:v>
      </x:c>
      <x:c r="Y18" s="19" t="n">
        <x:f>IF(B18&lt;&gt;"",SUMIFS(RECORD!E$13:EP$13,RECORD!E$12:EP$12,"CLO4",RECORD!E$11:EP$11,"Prelim"),"")</x:f>
        <x:v>0</x:v>
      </x:c>
      <x:c r="Z18" s="19" t="n">
        <x:f>IF(B18&lt;&gt;"",SUMIFS(RECORD!E27:EP27,RECORD!E$12:EP$12,"CLO4",RECORD!E$11:EP$11,"Midterm"),"")</x:f>
        <x:v>0</x:v>
      </x:c>
      <x:c r="AA18" s="19" t="n">
        <x:f>IF(B18&lt;&gt;"",SUMIFS(RECORD!E$13:EP$13,RECORD!E$12:EP$12,"CLO4",RECORD!E$11:EP$11,"Midterm"),"")</x:f>
        <x:v>0</x:v>
      </x:c>
      <x:c r="AB18" s="19" t="n">
        <x:f>IF(B18&lt;&gt;"",SUMIFS(RECORD!E27:EP27,RECORD!E$12:EP$12,"CLO4",RECORD!E$11:EP$11,"Final"),"")</x:f>
        <x:v>29</x:v>
      </x:c>
      <x:c r="AC18" s="19" t="n">
        <x:f>IF(B18&lt;&gt;"",SUMIFS(RECORD!E$13:EP$13,RECORD!E$12:EP$12,"CLO4",RECORD!E$11:EP$11,"Final"),"")</x:f>
        <x:v>45</x:v>
      </x:c>
      <x:c r="AD18" s="20">
        <x:f t="shared" si="3"/>
        <x:v>100</x:v>
      </x:c>
      <x:c r="AE18" s="19" t="n">
        <x:f>IF(B18&lt;&gt;"",SUMIFS(RECORD!E27:EP27,RECORD!E$12:EP$12,"CLO5",RECORD!E$11:EP$11,"Prelim"),"")</x:f>
        <x:v>0</x:v>
      </x:c>
      <x:c r="AF18" s="19" t="n">
        <x:f>IF(B18&lt;&gt;"",SUMIFS(RECORD!E$13:EP$13,RECORD!E$12:EP$12,"CLO5",RECORD!E$11:EP$11,"Prelim"),"")</x:f>
        <x:v>0</x:v>
      </x:c>
      <x:c r="AG18" s="19" t="n">
        <x:f>IF(B18&lt;&gt;"",SUMIFS(RECORD!E27:EP27,RECORD!E$12:EP$12,"CLO5",RECORD!E$11:EP$11,"Midterm"),"")</x:f>
        <x:v>0</x:v>
      </x:c>
      <x:c r="AH18" s="19" t="n">
        <x:f>IF(B18&lt;&gt;"",SUMIFS(RECORD!E$13:EP$13,RECORD!E$12:EP$12,"CLO5",RECORD!E$11:EP$11,"Midterm"),"")</x:f>
        <x:v>0</x:v>
      </x:c>
      <x:c r="AI18" s="19" t="n">
        <x:f>IF(B18&lt;&gt;"",SUMIFS(RECORD!E27:EP27,RECORD!E$12:EP$12,"CLO5",RECORD!E$11:EP$11,"Final"),"")</x:f>
        <x:v>50</x:v>
      </x:c>
      <x:c r="AJ18" s="19" t="n">
        <x:f>IF(B18&lt;&gt;"",SUMIFS(RECORD!E$13:EP$13,RECORD!E$12:EP$12,"CLO5",RECORD!E$11:EP$11,"Final"),"")</x:f>
        <x:v>75</x:v>
      </x:c>
      <x:c r="AK18" s="20">
        <x:f t="shared" si="4"/>
        <x:v>100</x:v>
      </x:c>
    </x:row>
    <x:row r="19">
      <x:c r="A19" s="18" t="str">
        <x:f>IF(RECORD!B28="","",RECORD!B28)</x:f>
        <x:v>2024-00401</x:v>
      </x:c>
      <x:c r="B19" s="18" t="str">
        <x:f>IF(RECORD!C28="","",RECORD!C28)</x:f>
        <x:v>Valdez, Warren R.</x:v>
      </x:c>
      <x:c r="C19" s="19" t="n">
        <x:f>IF(B19&lt;&gt;"",SUMIFS(RECORD!E28:EP28,RECORD!E$12:EP$12,"CLO1",RECORD!E$11:EP$11,"Prelim"),"")</x:f>
        <x:v>11</x:v>
      </x:c>
      <x:c r="D19" s="19" t="n">
        <x:f>IF(B19&lt;&gt;"",SUMIFS(RECORD!E$13:EP$13,RECORD!E$12:EP$12,"CLO1",RECORD!E$11:EP$11,"Prelim"),"")</x:f>
        <x:v>30</x:v>
      </x:c>
      <x:c r="E19" s="19" t="n">
        <x:f>IF(B19&lt;&gt;"",SUMIFS(RECORD!E28:EP28,RECORD!E$12:EP$12,"CLO1",RECORD!E$11:EP$11,"Midterm"),"")</x:f>
        <x:v>23</x:v>
      </x:c>
      <x:c r="F19" s="19" t="n">
        <x:f>IF(B19&lt;&gt;"",SUMIFS(RECORD!E$13:EP$13,RECORD!E$12:EP$12,"CLO1",RECORD!E$11:EP$11,"Midterm"),"")</x:f>
        <x:v>50</x:v>
      </x:c>
      <x:c r="G19" s="19" t="n">
        <x:f>IF(B19&lt;&gt;"",SUMIFS(RECORD!E28:EP28,RECORD!E$12:EP$12,"CLO1",RECORD!E$11:EP$11,"Final"),"")</x:f>
        <x:v>16</x:v>
      </x:c>
      <x:c r="H19" s="19" t="n">
        <x:f>IF(B19&lt;&gt;"",SUMIFS(RECORD!E$13:EP$13,RECORD!E$12:EP$12,"CLO1",RECORD!E$11:EP$11,"Final"),"")</x:f>
        <x:v>25</x:v>
      </x:c>
      <x:c r="I19" s="20">
        <x:f t="shared" si="0"/>
        <x:v>100</x:v>
      </x:c>
      <x:c r="J19" s="19" t="n">
        <x:f>IF(B19&lt;&gt;"",SUMIFS(RECORD!E28:EP28,RECORD!E$12:EP$12,"CLO2",RECORD!E$11:EP$11,"Prelim"),"")</x:f>
        <x:v>30</x:v>
      </x:c>
      <x:c r="K19" s="19" t="n">
        <x:f>IF(B19&lt;&gt;"",SUMIFS(RECORD!E$13:EP$13,RECORD!E$12:EP$12,"CLO2",RECORD!E$11:EP$11,"Prelim"),"")</x:f>
        <x:v>60</x:v>
      </x:c>
      <x:c r="L19" s="19" t="n">
        <x:f>IF(B19&lt;&gt;"",SUMIFS(RECORD!E28:EP28,RECORD!E$12:EP$12,"CLO2",RECORD!E$11:EP$11,"Midterm"),"")</x:f>
        <x:v>30</x:v>
      </x:c>
      <x:c r="M19" s="19" t="n">
        <x:f>IF(B19&lt;&gt;"",SUMIFS(RECORD!E$13:EP$13,RECORD!E$12:EP$12,"CLO2",RECORD!E$11:EP$11,"Midterm"),"")</x:f>
        <x:v>50</x:v>
      </x:c>
      <x:c r="N19" s="19" t="n">
        <x:f>IF(B19&lt;&gt;"",SUMIFS(RECORD!E28:EP28,RECORD!E$12:EP$12,"CLO2",RECORD!E$11:EP$11,"Final"),"")</x:f>
        <x:v>13</x:v>
      </x:c>
      <x:c r="O19" s="19" t="n">
        <x:f>IF(B19&lt;&gt;"",SUMIFS(RECORD!E$13:EP$13,RECORD!E$12:EP$12,"CLO2",RECORD!E$11:EP$11,"Final"),"")</x:f>
        <x:v>25</x:v>
      </x:c>
      <x:c r="P19" s="20">
        <x:f t="shared" si="1"/>
        <x:v>100</x:v>
      </x:c>
      <x:c r="Q19" s="19" t="n">
        <x:f>IF(B19&lt;&gt;"",SUMIFS(RECORD!E28:EP28,RECORD!E$12:EP$12,"CLO3",RECORD!E$11:EP$11,"Prelim"),"")</x:f>
        <x:v>44</x:v>
      </x:c>
      <x:c r="R19" s="19" t="n">
        <x:f>IF(B19&lt;&gt;"",SUMIFS(RECORD!E$13:EP$13,RECORD!E$12:EP$12,"CLO3",RECORD!E$11:EP$11,"Prelim"),"")</x:f>
        <x:v>80</x:v>
      </x:c>
      <x:c r="S19" s="19" t="n">
        <x:f>IF(B19&lt;&gt;"",SUMIFS(RECORD!E28:EP28,RECORD!E$12:EP$12,"CLO3",RECORD!E$11:EP$11,"Midterm"),"")</x:f>
        <x:v>54</x:v>
      </x:c>
      <x:c r="T19" s="19" t="n">
        <x:f>IF(B19&lt;&gt;"",SUMIFS(RECORD!E$13:EP$13,RECORD!E$12:EP$12,"CLO3",RECORD!E$11:EP$11,"Midterm"),"")</x:f>
        <x:v>100</x:v>
      </x:c>
      <x:c r="U19" s="19" t="n">
        <x:f>IF(B19&lt;&gt;"",SUMIFS(RECORD!E28:EP28,RECORD!E$12:EP$12,"CLO3",RECORD!E$11:EP$11,"Final"),"")</x:f>
        <x:v>12</x:v>
      </x:c>
      <x:c r="V19" s="19" t="n">
        <x:f>IF(B19&lt;&gt;"",SUMIFS(RECORD!E$13:EP$13,RECORD!E$12:EP$12,"CLO3",RECORD!E$11:EP$11,"Final"),"")</x:f>
        <x:v>25</x:v>
      </x:c>
      <x:c r="W19" s="20">
        <x:f t="shared" si="2"/>
        <x:v>109.75609756097562</x:v>
      </x:c>
      <x:c r="X19" s="19" t="n">
        <x:f>IF(B19&lt;&gt;"",SUMIFS(RECORD!E28:EP28,RECORD!E$12:EP$12,"CLO4",RECORD!E$11:EP$11,"Prelim"),"")</x:f>
        <x:v>0</x:v>
      </x:c>
      <x:c r="Y19" s="19" t="n">
        <x:f>IF(B19&lt;&gt;"",SUMIFS(RECORD!E$13:EP$13,RECORD!E$12:EP$12,"CLO4",RECORD!E$11:EP$11,"Prelim"),"")</x:f>
        <x:v>0</x:v>
      </x:c>
      <x:c r="Z19" s="19" t="n">
        <x:f>IF(B19&lt;&gt;"",SUMIFS(RECORD!E28:EP28,RECORD!E$12:EP$12,"CLO4",RECORD!E$11:EP$11,"Midterm"),"")</x:f>
        <x:v>0</x:v>
      </x:c>
      <x:c r="AA19" s="19" t="n">
        <x:f>IF(B19&lt;&gt;"",SUMIFS(RECORD!E$13:EP$13,RECORD!E$12:EP$12,"CLO4",RECORD!E$11:EP$11,"Midterm"),"")</x:f>
        <x:v>0</x:v>
      </x:c>
      <x:c r="AB19" s="19" t="n">
        <x:f>IF(B19&lt;&gt;"",SUMIFS(RECORD!E28:EP28,RECORD!E$12:EP$12,"CLO4",RECORD!E$11:EP$11,"Final"),"")</x:f>
        <x:v>26</x:v>
      </x:c>
      <x:c r="AC19" s="19" t="n">
        <x:f>IF(B19&lt;&gt;"",SUMIFS(RECORD!E$13:EP$13,RECORD!E$12:EP$12,"CLO4",RECORD!E$11:EP$11,"Final"),"")</x:f>
        <x:v>45</x:v>
      </x:c>
      <x:c r="AD19" s="20">
        <x:f t="shared" si="3"/>
        <x:v>100</x:v>
      </x:c>
      <x:c r="AE19" s="19" t="n">
        <x:f>IF(B19&lt;&gt;"",SUMIFS(RECORD!E28:EP28,RECORD!E$12:EP$12,"CLO5",RECORD!E$11:EP$11,"Prelim"),"")</x:f>
        <x:v>0</x:v>
      </x:c>
      <x:c r="AF19" s="19" t="n">
        <x:f>IF(B19&lt;&gt;"",SUMIFS(RECORD!E$13:EP$13,RECORD!E$12:EP$12,"CLO5",RECORD!E$11:EP$11,"Prelim"),"")</x:f>
        <x:v>0</x:v>
      </x:c>
      <x:c r="AG19" s="19" t="n">
        <x:f>IF(B19&lt;&gt;"",SUMIFS(RECORD!E28:EP28,RECORD!E$12:EP$12,"CLO5",RECORD!E$11:EP$11,"Midterm"),"")</x:f>
        <x:v>0</x:v>
      </x:c>
      <x:c r="AH19" s="19" t="n">
        <x:f>IF(B19&lt;&gt;"",SUMIFS(RECORD!E$13:EP$13,RECORD!E$12:EP$12,"CLO5",RECORD!E$11:EP$11,"Midterm"),"")</x:f>
        <x:v>0</x:v>
      </x:c>
      <x:c r="AI19" s="19" t="n">
        <x:f>IF(B19&lt;&gt;"",SUMIFS(RECORD!E28:EP28,RECORD!E$12:EP$12,"CLO5",RECORD!E$11:EP$11,"Final"),"")</x:f>
        <x:v>28</x:v>
      </x:c>
      <x:c r="AJ19" s="19" t="n">
        <x:f>IF(B19&lt;&gt;"",SUMIFS(RECORD!E$13:EP$13,RECORD!E$12:EP$12,"CLO5",RECORD!E$11:EP$11,"Final"),"")</x:f>
        <x:v>75</x:v>
      </x:c>
      <x:c r="AK19" s="20">
        <x:f t="shared" si="4"/>
        <x:v>100</x:v>
      </x:c>
    </x:row>
    <x:row r="20">
      <x:c r="A20" s="18" t="str">
        <x:f>IF(RECORD!B29="","",RECORD!B29)</x:f>
        <x:v>2024-00423</x:v>
      </x:c>
      <x:c r="B20" s="18" t="str">
        <x:f>IF(RECORD!C29="","",RECORD!C29)</x:f>
        <x:v>Cordero, Rhea G.</x:v>
      </x:c>
      <x:c r="C20" s="19" t="n">
        <x:f>IF(B20&lt;&gt;"",SUMIFS(RECORD!E29:EP29,RECORD!E$12:EP$12,"CLO1",RECORD!E$11:EP$11,"Prelim"),"")</x:f>
        <x:v>19</x:v>
      </x:c>
      <x:c r="D20" s="19" t="n">
        <x:f>IF(B20&lt;&gt;"",SUMIFS(RECORD!E$13:EP$13,RECORD!E$12:EP$12,"CLO1",RECORD!E$11:EP$11,"Prelim"),"")</x:f>
        <x:v>30</x:v>
      </x:c>
      <x:c r="E20" s="19" t="n">
        <x:f>IF(B20&lt;&gt;"",SUMIFS(RECORD!E29:EP29,RECORD!E$12:EP$12,"CLO1",RECORD!E$11:EP$11,"Midterm"),"")</x:f>
        <x:v>27</x:v>
      </x:c>
      <x:c r="F20" s="19" t="n">
        <x:f>IF(B20&lt;&gt;"",SUMIFS(RECORD!E$13:EP$13,RECORD!E$12:EP$12,"CLO1",RECORD!E$11:EP$11,"Midterm"),"")</x:f>
        <x:v>50</x:v>
      </x:c>
      <x:c r="G20" s="19" t="n">
        <x:f>IF(B20&lt;&gt;"",SUMIFS(RECORD!E29:EP29,RECORD!E$12:EP$12,"CLO1",RECORD!E$11:EP$11,"Final"),"")</x:f>
        <x:v>11</x:v>
      </x:c>
      <x:c r="H20" s="19" t="n">
        <x:f>IF(B20&lt;&gt;"",SUMIFS(RECORD!E$13:EP$13,RECORD!E$12:EP$12,"CLO1",RECORD!E$11:EP$11,"Final"),"")</x:f>
        <x:v>25</x:v>
      </x:c>
      <x:c r="I20" s="20">
        <x:f t="shared" si="0"/>
        <x:v>84.761904761904759</x:v>
      </x:c>
      <x:c r="J20" s="19" t="n">
        <x:f>IF(B20&lt;&gt;"",SUMIFS(RECORD!E29:EP29,RECORD!E$12:EP$12,"CLO2",RECORD!E$11:EP$11,"Prelim"),"")</x:f>
        <x:v>38</x:v>
      </x:c>
      <x:c r="K20" s="19" t="n">
        <x:f>IF(B20&lt;&gt;"",SUMIFS(RECORD!E$13:EP$13,RECORD!E$12:EP$12,"CLO2",RECORD!E$11:EP$11,"Prelim"),"")</x:f>
        <x:v>60</x:v>
      </x:c>
      <x:c r="L20" s="19" t="n">
        <x:f>IF(B20&lt;&gt;"",SUMIFS(RECORD!E29:EP29,RECORD!E$12:EP$12,"CLO2",RECORD!E$11:EP$11,"Midterm"),"")</x:f>
        <x:v>24</x:v>
      </x:c>
      <x:c r="M20" s="19" t="n">
        <x:f>IF(B20&lt;&gt;"",SUMIFS(RECORD!E$13:EP$13,RECORD!E$12:EP$12,"CLO2",RECORD!E$11:EP$11,"Midterm"),"")</x:f>
        <x:v>50</x:v>
      </x:c>
      <x:c r="N20" s="19" t="n">
        <x:f>IF(B20&lt;&gt;"",SUMIFS(RECORD!E29:EP29,RECORD!E$12:EP$12,"CLO2",RECORD!E$11:EP$11,"Final"),"")</x:f>
        <x:v>16</x:v>
      </x:c>
      <x:c r="O20" s="19" t="n">
        <x:f>IF(B20&lt;&gt;"",SUMIFS(RECORD!E$13:EP$13,RECORD!E$12:EP$12,"CLO2",RECORD!E$11:EP$11,"Final"),"")</x:f>
        <x:v>25</x:v>
      </x:c>
      <x:c r="P20" s="20">
        <x:f t="shared" si="1"/>
        <x:v>88.888888888888886</x:v>
      </x:c>
      <x:c r="Q20" s="19" t="n">
        <x:f>IF(B20&lt;&gt;"",SUMIFS(RECORD!E29:EP29,RECORD!E$12:EP$12,"CLO3",RECORD!E$11:EP$11,"Prelim"),"")</x:f>
        <x:v>32</x:v>
      </x:c>
      <x:c r="R20" s="19" t="n">
        <x:f>IF(B20&lt;&gt;"",SUMIFS(RECORD!E$13:EP$13,RECORD!E$12:EP$12,"CLO3",RECORD!E$11:EP$11,"Prelim"),"")</x:f>
        <x:v>80</x:v>
      </x:c>
      <x:c r="S20" s="19" t="n">
        <x:f>IF(B20&lt;&gt;"",SUMIFS(RECORD!E29:EP29,RECORD!E$12:EP$12,"CLO3",RECORD!E$11:EP$11,"Midterm"),"")</x:f>
        <x:v>60</x:v>
      </x:c>
      <x:c r="T20" s="19" t="n">
        <x:f>IF(B20&lt;&gt;"",SUMIFS(RECORD!E$13:EP$13,RECORD!E$12:EP$12,"CLO3",RECORD!E$11:EP$11,"Midterm"),"")</x:f>
        <x:v>100</x:v>
      </x:c>
      <x:c r="U20" s="19" t="n">
        <x:f>IF(B20&lt;&gt;"",SUMIFS(RECORD!E29:EP29,RECORD!E$12:EP$12,"CLO3",RECORD!E$11:EP$11,"Final"),"")</x:f>
        <x:v>17</x:v>
      </x:c>
      <x:c r="V20" s="19" t="n">
        <x:f>IF(B20&lt;&gt;"",SUMIFS(RECORD!E$13:EP$13,RECORD!E$12:EP$12,"CLO3",RECORD!E$11:EP$11,"Final"),"")</x:f>
        <x:v>25</x:v>
      </x:c>
      <x:c r="W20" s="20">
        <x:f t="shared" si="2"/>
        <x:v>90.243902439024396</x:v>
      </x:c>
      <x:c r="X20" s="19" t="n">
        <x:f>IF(B20&lt;&gt;"",SUMIFS(RECORD!E29:EP29,RECORD!E$12:EP$12,"CLO4",RECORD!E$11:EP$11,"Prelim"),"")</x:f>
        <x:v>0</x:v>
      </x:c>
      <x:c r="Y20" s="19" t="n">
        <x:f>IF(B20&lt;&gt;"",SUMIFS(RECORD!E$13:EP$13,RECORD!E$12:EP$12,"CLO4",RECORD!E$11:EP$11,"Prelim"),"")</x:f>
        <x:v>0</x:v>
      </x:c>
      <x:c r="Z20" s="19" t="n">
        <x:f>IF(B20&lt;&gt;"",SUMIFS(RECORD!E29:EP29,RECORD!E$12:EP$12,"CLO4",RECORD!E$11:EP$11,"Midterm"),"")</x:f>
        <x:v>0</x:v>
      </x:c>
      <x:c r="AA20" s="19" t="n">
        <x:f>IF(B20&lt;&gt;"",SUMIFS(RECORD!E$13:EP$13,RECORD!E$12:EP$12,"CLO4",RECORD!E$11:EP$11,"Midterm"),"")</x:f>
        <x:v>0</x:v>
      </x:c>
      <x:c r="AB20" s="19" t="n">
        <x:f>IF(B20&lt;&gt;"",SUMIFS(RECORD!E29:EP29,RECORD!E$12:EP$12,"CLO4",RECORD!E$11:EP$11,"Final"),"")</x:f>
        <x:v>26</x:v>
      </x:c>
      <x:c r="AC20" s="19" t="n">
        <x:f>IF(B20&lt;&gt;"",SUMIFS(RECORD!E$13:EP$13,RECORD!E$12:EP$12,"CLO4",RECORD!E$11:EP$11,"Final"),"")</x:f>
        <x:v>45</x:v>
      </x:c>
      <x:c r="AD20" s="20">
        <x:f t="shared" si="3"/>
        <x:v>88.888888888888886</x:v>
      </x:c>
      <x:c r="AE20" s="19" t="n">
        <x:f>IF(B20&lt;&gt;"",SUMIFS(RECORD!E29:EP29,RECORD!E$12:EP$12,"CLO5",RECORD!E$11:EP$11,"Prelim"),"")</x:f>
        <x:v>0</x:v>
      </x:c>
      <x:c r="AF20" s="19" t="n">
        <x:f>IF(B20&lt;&gt;"",SUMIFS(RECORD!E$13:EP$13,RECORD!E$12:EP$12,"CLO5",RECORD!E$11:EP$11,"Prelim"),"")</x:f>
        <x:v>0</x:v>
      </x:c>
      <x:c r="AG20" s="19" t="n">
        <x:f>IF(B20&lt;&gt;"",SUMIFS(RECORD!E29:EP29,RECORD!E$12:EP$12,"CLO5",RECORD!E$11:EP$11,"Midterm"),"")</x:f>
        <x:v>0</x:v>
      </x:c>
      <x:c r="AH20" s="19" t="n">
        <x:f>IF(B20&lt;&gt;"",SUMIFS(RECORD!E$13:EP$13,RECORD!E$12:EP$12,"CLO5",RECORD!E$11:EP$11,"Midterm"),"")</x:f>
        <x:v>0</x:v>
      </x:c>
      <x:c r="AI20" s="19" t="n">
        <x:f>IF(B20&lt;&gt;"",SUMIFS(RECORD!E29:EP29,RECORD!E$12:EP$12,"CLO5",RECORD!E$11:EP$11,"Final"),"")</x:f>
        <x:v>32</x:v>
      </x:c>
      <x:c r="AJ20" s="19" t="n">
        <x:f>IF(B20&lt;&gt;"",SUMIFS(RECORD!E$13:EP$13,RECORD!E$12:EP$12,"CLO5",RECORD!E$11:EP$11,"Final"),"")</x:f>
        <x:v>75</x:v>
      </x:c>
      <x:c r="AK20" s="20">
        <x:f t="shared" si="4"/>
        <x:v>93.333333333333329</x:v>
      </x:c>
    </x:row>
    <x:row r="21">
      <x:c r="A21" s="18" t="str">
        <x:f>IF(RECORD!B30="","",RECORD!B30)</x:f>
        <x:v>2024-00445</x:v>
      </x:c>
      <x:c r="B21" s="18" t="str">
        <x:f>IF(RECORD!C30="","",RECORD!C30)</x:f>
        <x:v>Montemayor, Leah O.</x:v>
      </x:c>
      <x:c r="C21" s="19" t="n">
        <x:f>IF(B21&lt;&gt;"",SUMIFS(RECORD!E30:EP30,RECORD!E$12:EP$12,"CLO1",RECORD!E$11:EP$11,"Prelim"),"")</x:f>
        <x:v>11</x:v>
      </x:c>
      <x:c r="D21" s="19" t="n">
        <x:f>IF(B21&lt;&gt;"",SUMIFS(RECORD!E$13:EP$13,RECORD!E$12:EP$12,"CLO1",RECORD!E$11:EP$11,"Prelim"),"")</x:f>
        <x:v>30</x:v>
      </x:c>
      <x:c r="E21" s="19" t="n">
        <x:f>IF(B21&lt;&gt;"",SUMIFS(RECORD!E30:EP30,RECORD!E$12:EP$12,"CLO1",RECORD!E$11:EP$11,"Midterm"),"")</x:f>
        <x:v>26</x:v>
      </x:c>
      <x:c r="F21" s="19" t="n">
        <x:f>IF(B21&lt;&gt;"",SUMIFS(RECORD!E$13:EP$13,RECORD!E$12:EP$12,"CLO1",RECORD!E$11:EP$11,"Midterm"),"")</x:f>
        <x:v>50</x:v>
      </x:c>
      <x:c r="G21" s="19" t="n">
        <x:f>IF(B21&lt;&gt;"",SUMIFS(RECORD!E30:EP30,RECORD!E$12:EP$12,"CLO1",RECORD!E$11:EP$11,"Final"),"")</x:f>
        <x:v>12</x:v>
      </x:c>
      <x:c r="H21" s="19" t="n">
        <x:f>IF(B21&lt;&gt;"",SUMIFS(RECORD!E$13:EP$13,RECORD!E$12:EP$12,"CLO1",RECORD!E$11:EP$11,"Final"),"")</x:f>
        <x:v>25</x:v>
      </x:c>
      <x:c r="I21" s="20">
        <x:f t="shared" si="0"/>
        <x:v>95.238095238095227</x:v>
      </x:c>
      <x:c r="J21" s="19" t="n">
        <x:f>IF(B21&lt;&gt;"",SUMIFS(RECORD!E30:EP30,RECORD!E$12:EP$12,"CLO2",RECORD!E$11:EP$11,"Prelim"),"")</x:f>
        <x:v>20</x:v>
      </x:c>
      <x:c r="K21" s="19" t="n">
        <x:f>IF(B21&lt;&gt;"",SUMIFS(RECORD!E$13:EP$13,RECORD!E$12:EP$12,"CLO2",RECORD!E$11:EP$11,"Prelim"),"")</x:f>
        <x:v>60</x:v>
      </x:c>
      <x:c r="L21" s="19" t="n">
        <x:f>IF(B21&lt;&gt;"",SUMIFS(RECORD!E30:EP30,RECORD!E$12:EP$12,"CLO2",RECORD!E$11:EP$11,"Midterm"),"")</x:f>
        <x:v>22</x:v>
      </x:c>
      <x:c r="M21" s="19" t="n">
        <x:f>IF(B21&lt;&gt;"",SUMIFS(RECORD!E$13:EP$13,RECORD!E$12:EP$12,"CLO2",RECORD!E$11:EP$11,"Midterm"),"")</x:f>
        <x:v>50</x:v>
      </x:c>
      <x:c r="N21" s="19" t="n">
        <x:f>IF(B21&lt;&gt;"",SUMIFS(RECORD!E30:EP30,RECORD!E$12:EP$12,"CLO2",RECORD!E$11:EP$11,"Final"),"")</x:f>
        <x:v>13</x:v>
      </x:c>
      <x:c r="O21" s="19" t="n">
        <x:f>IF(B21&lt;&gt;"",SUMIFS(RECORD!E$13:EP$13,RECORD!E$12:EP$12,"CLO2",RECORD!E$11:EP$11,"Final"),"")</x:f>
        <x:v>25</x:v>
      </x:c>
      <x:c r="P21" s="20">
        <x:f t="shared" si="1"/>
        <x:v>94.074074074074076</x:v>
      </x:c>
      <x:c r="Q21" s="19" t="n">
        <x:f>IF(B21&lt;&gt;"",SUMIFS(RECORD!E30:EP30,RECORD!E$12:EP$12,"CLO3",RECORD!E$11:EP$11,"Prelim"),"")</x:f>
        <x:v>43</x:v>
      </x:c>
      <x:c r="R21" s="19" t="n">
        <x:f>IF(B21&lt;&gt;"",SUMIFS(RECORD!E$13:EP$13,RECORD!E$12:EP$12,"CLO3",RECORD!E$11:EP$11,"Prelim"),"")</x:f>
        <x:v>80</x:v>
      </x:c>
      <x:c r="S21" s="19" t="n">
        <x:f>IF(B21&lt;&gt;"",SUMIFS(RECORD!E30:EP30,RECORD!E$12:EP$12,"CLO3",RECORD!E$11:EP$11,"Midterm"),"")</x:f>
        <x:v>39</x:v>
      </x:c>
      <x:c r="T21" s="19" t="n">
        <x:f>IF(B21&lt;&gt;"",SUMIFS(RECORD!E$13:EP$13,RECORD!E$12:EP$12,"CLO3",RECORD!E$11:EP$11,"Midterm"),"")</x:f>
        <x:v>100</x:v>
      </x:c>
      <x:c r="U21" s="19" t="n">
        <x:f>IF(B21&lt;&gt;"",SUMIFS(RECORD!E30:EP30,RECORD!E$12:EP$12,"CLO3",RECORD!E$11:EP$11,"Final"),"")</x:f>
        <x:v>14</x:v>
      </x:c>
      <x:c r="V21" s="19" t="n">
        <x:f>IF(B21&lt;&gt;"",SUMIFS(RECORD!E$13:EP$13,RECORD!E$12:EP$12,"CLO3",RECORD!E$11:EP$11,"Final"),"")</x:f>
        <x:v>25</x:v>
      </x:c>
      <x:c r="W21" s="20">
        <x:f t="shared" si="2"/>
        <x:v>96.097560975609753</x:v>
      </x:c>
      <x:c r="X21" s="19" t="n">
        <x:f>IF(B21&lt;&gt;"",SUMIFS(RECORD!E30:EP30,RECORD!E$12:EP$12,"CLO4",RECORD!E$11:EP$11,"Prelim"),"")</x:f>
        <x:v>0</x:v>
      </x:c>
      <x:c r="Y21" s="19" t="n">
        <x:f>IF(B21&lt;&gt;"",SUMIFS(RECORD!E$13:EP$13,RECORD!E$12:EP$12,"CLO4",RECORD!E$11:EP$11,"Prelim"),"")</x:f>
        <x:v>0</x:v>
      </x:c>
      <x:c r="Z21" s="19" t="n">
        <x:f>IF(B21&lt;&gt;"",SUMIFS(RECORD!E30:EP30,RECORD!E$12:EP$12,"CLO4",RECORD!E$11:EP$11,"Midterm"),"")</x:f>
        <x:v>0</x:v>
      </x:c>
      <x:c r="AA21" s="19" t="n">
        <x:f>IF(B21&lt;&gt;"",SUMIFS(RECORD!E$13:EP$13,RECORD!E$12:EP$12,"CLO4",RECORD!E$11:EP$11,"Midterm"),"")</x:f>
        <x:v>0</x:v>
      </x:c>
      <x:c r="AB21" s="19" t="n">
        <x:f>IF(B21&lt;&gt;"",SUMIFS(RECORD!E30:EP30,RECORD!E$12:EP$12,"CLO4",RECORD!E$11:EP$11,"Final"),"")</x:f>
        <x:v>20</x:v>
      </x:c>
      <x:c r="AC21" s="19" t="n">
        <x:f>IF(B21&lt;&gt;"",SUMIFS(RECORD!E$13:EP$13,RECORD!E$12:EP$12,"CLO4",RECORD!E$11:EP$11,"Final"),"")</x:f>
        <x:v>45</x:v>
      </x:c>
      <x:c r="AD21" s="20">
        <x:f t="shared" si="3"/>
        <x:v>93.333333333333329</x:v>
      </x:c>
      <x:c r="AE21" s="19" t="n">
        <x:f>IF(B21&lt;&gt;"",SUMIFS(RECORD!E30:EP30,RECORD!E$12:EP$12,"CLO5",RECORD!E$11:EP$11,"Prelim"),"")</x:f>
        <x:v>0</x:v>
      </x:c>
      <x:c r="AF21" s="19" t="n">
        <x:f>IF(B21&lt;&gt;"",SUMIFS(RECORD!E$13:EP$13,RECORD!E$12:EP$12,"CLO5",RECORD!E$11:EP$11,"Prelim"),"")</x:f>
        <x:v>0</x:v>
      </x:c>
      <x:c r="AG21" s="19" t="n">
        <x:f>IF(B21&lt;&gt;"",SUMIFS(RECORD!E30:EP30,RECORD!E$12:EP$12,"CLO5",RECORD!E$11:EP$11,"Midterm"),"")</x:f>
        <x:v>0</x:v>
      </x:c>
      <x:c r="AH21" s="19" t="n">
        <x:f>IF(B21&lt;&gt;"",SUMIFS(RECORD!E$13:EP$13,RECORD!E$12:EP$12,"CLO5",RECORD!E$11:EP$11,"Midterm"),"")</x:f>
        <x:v>0</x:v>
      </x:c>
      <x:c r="AI21" s="19" t="n">
        <x:f>IF(B21&lt;&gt;"",SUMIFS(RECORD!E30:EP30,RECORD!E$12:EP$12,"CLO5",RECORD!E$11:EP$11,"Final"),"")</x:f>
        <x:v>36</x:v>
      </x:c>
      <x:c r="AJ21" s="19" t="n">
        <x:f>IF(B21&lt;&gt;"",SUMIFS(RECORD!E$13:EP$13,RECORD!E$12:EP$12,"CLO5",RECORD!E$11:EP$11,"Final"),"")</x:f>
        <x:v>75</x:v>
      </x:c>
      <x:c r="AK21" s="20">
        <x:f t="shared" si="4"/>
        <x:v>97.333333333333343</x:v>
      </x:c>
    </x:row>
    <x:row r="22">
      <x:c r="A22" s="18" t="str">
        <x:f>IF(RECORD!B31="","",RECORD!B31)</x:f>
        <x:v>2024-00467</x:v>
      </x:c>
      <x:c r="B22" s="18" t="str">
        <x:f>IF(RECORD!C31="","",RECORD!C31)</x:f>
        <x:v>Mercado, Marco V.</x:v>
      </x:c>
      <x:c r="C22" s="19" t="n">
        <x:f>IF(B22&lt;&gt;"",SUMIFS(RECORD!E31:EP31,RECORD!E$12:EP$12,"CLO1",RECORD!E$11:EP$11,"Prelim"),"")</x:f>
        <x:v>18</x:v>
      </x:c>
      <x:c r="D22" s="19" t="n">
        <x:f>IF(B22&lt;&gt;"",SUMIFS(RECORD!E$13:EP$13,RECORD!E$12:EP$12,"CLO1",RECORD!E$11:EP$11,"Prelim"),"")</x:f>
        <x:v>30</x:v>
      </x:c>
      <x:c r="E22" s="19" t="n">
        <x:f>IF(B22&lt;&gt;"",SUMIFS(RECORD!E31:EP31,RECORD!E$12:EP$12,"CLO1",RECORD!E$11:EP$11,"Midterm"),"")</x:f>
        <x:v>18</x:v>
      </x:c>
      <x:c r="F22" s="19" t="n">
        <x:f>IF(B22&lt;&gt;"",SUMIFS(RECORD!E$13:EP$13,RECORD!E$12:EP$12,"CLO1",RECORD!E$11:EP$11,"Midterm"),"")</x:f>
        <x:v>50</x:v>
      </x:c>
      <x:c r="G22" s="19" t="n">
        <x:f>IF(B22&lt;&gt;"",SUMIFS(RECORD!E31:EP31,RECORD!E$12:EP$12,"CLO1",RECORD!E$11:EP$11,"Final"),"")</x:f>
        <x:v>8</x:v>
      </x:c>
      <x:c r="H22" s="19" t="n">
        <x:f>IF(B22&lt;&gt;"",SUMIFS(RECORD!E$13:EP$13,RECORD!E$12:EP$12,"CLO1",RECORD!E$11:EP$11,"Final"),"")</x:f>
        <x:v>25</x:v>
      </x:c>
      <x:c r="I22" s="20">
        <x:f t="shared" si="0"/>
        <x:v>66.666666666666657</x:v>
      </x:c>
      <x:c r="J22" s="19" t="n">
        <x:f>IF(B22&lt;&gt;"",SUMIFS(RECORD!E31:EP31,RECORD!E$12:EP$12,"CLO2",RECORD!E$11:EP$11,"Prelim"),"")</x:f>
        <x:v>26</x:v>
      </x:c>
      <x:c r="K22" s="19" t="n">
        <x:f>IF(B22&lt;&gt;"",SUMIFS(RECORD!E$13:EP$13,RECORD!E$12:EP$12,"CLO2",RECORD!E$11:EP$11,"Prelim"),"")</x:f>
        <x:v>60</x:v>
      </x:c>
      <x:c r="L22" s="19" t="n">
        <x:f>IF(B22&lt;&gt;"",SUMIFS(RECORD!E31:EP31,RECORD!E$12:EP$12,"CLO2",RECORD!E$11:EP$11,"Midterm"),"")</x:f>
        <x:v>22</x:v>
      </x:c>
      <x:c r="M22" s="19" t="n">
        <x:f>IF(B22&lt;&gt;"",SUMIFS(RECORD!E$13:EP$13,RECORD!E$12:EP$12,"CLO2",RECORD!E$11:EP$11,"Midterm"),"")</x:f>
        <x:v>50</x:v>
      </x:c>
      <x:c r="N22" s="19" t="n">
        <x:f>IF(B22&lt;&gt;"",SUMIFS(RECORD!E31:EP31,RECORD!E$12:EP$12,"CLO2",RECORD!E$11:EP$11,"Final"),"")</x:f>
        <x:v>15</x:v>
      </x:c>
      <x:c r="O22" s="19" t="n">
        <x:f>IF(B22&lt;&gt;"",SUMIFS(RECORD!E$13:EP$13,RECORD!E$12:EP$12,"CLO2",RECORD!E$11:EP$11,"Final"),"")</x:f>
        <x:v>25</x:v>
      </x:c>
      <x:c r="P22" s="20">
        <x:f t="shared" si="1"/>
        <x:v>62.962962962962962</x:v>
      </x:c>
      <x:c r="Q22" s="19" t="n">
        <x:f>IF(B22&lt;&gt;"",SUMIFS(RECORD!E31:EP31,RECORD!E$12:EP$12,"CLO3",RECORD!E$11:EP$11,"Prelim"),"")</x:f>
        <x:v>42</x:v>
      </x:c>
      <x:c r="R22" s="19" t="n">
        <x:f>IF(B22&lt;&gt;"",SUMIFS(RECORD!E$13:EP$13,RECORD!E$12:EP$12,"CLO3",RECORD!E$11:EP$11,"Prelim"),"")</x:f>
        <x:v>80</x:v>
      </x:c>
      <x:c r="S22" s="19" t="n">
        <x:f>IF(B22&lt;&gt;"",SUMIFS(RECORD!E31:EP31,RECORD!E$12:EP$12,"CLO3",RECORD!E$11:EP$11,"Midterm"),"")</x:f>
        <x:v>61</x:v>
      </x:c>
      <x:c r="T22" s="19" t="n">
        <x:f>IF(B22&lt;&gt;"",SUMIFS(RECORD!E$13:EP$13,RECORD!E$12:EP$12,"CLO3",RECORD!E$11:EP$11,"Midterm"),"")</x:f>
        <x:v>100</x:v>
      </x:c>
      <x:c r="U22" s="19" t="n">
        <x:f>IF(B22&lt;&gt;"",SUMIFS(RECORD!E31:EP31,RECORD!E$12:EP$12,"CLO3",RECORD!E$11:EP$11,"Final"),"")</x:f>
        <x:v>13</x:v>
      </x:c>
      <x:c r="V22" s="19" t="n">
        <x:f>IF(B22&lt;&gt;"",SUMIFS(RECORD!E$13:EP$13,RECORD!E$12:EP$12,"CLO3",RECORD!E$11:EP$11,"Final"),"")</x:f>
        <x:v>25</x:v>
      </x:c>
      <x:c r="W22" s="20">
        <x:f t="shared" si="2"/>
        <x:v>63.414634146341463</x:v>
      </x:c>
      <x:c r="X22" s="19" t="n">
        <x:f>IF(B22&lt;&gt;"",SUMIFS(RECORD!E31:EP31,RECORD!E$12:EP$12,"CLO4",RECORD!E$11:EP$11,"Prelim"),"")</x:f>
        <x:v>0</x:v>
      </x:c>
      <x:c r="Y22" s="19" t="n">
        <x:f>IF(B22&lt;&gt;"",SUMIFS(RECORD!E$13:EP$13,RECORD!E$12:EP$12,"CLO4",RECORD!E$11:EP$11,"Prelim"),"")</x:f>
        <x:v>0</x:v>
      </x:c>
      <x:c r="Z22" s="19" t="n">
        <x:f>IF(B22&lt;&gt;"",SUMIFS(RECORD!E31:EP31,RECORD!E$12:EP$12,"CLO4",RECORD!E$11:EP$11,"Midterm"),"")</x:f>
        <x:v>0</x:v>
      </x:c>
      <x:c r="AA22" s="19" t="n">
        <x:f>IF(B22&lt;&gt;"",SUMIFS(RECORD!E$13:EP$13,RECORD!E$12:EP$12,"CLO4",RECORD!E$11:EP$11,"Midterm"),"")</x:f>
        <x:v>0</x:v>
      </x:c>
      <x:c r="AB22" s="19" t="n">
        <x:f>IF(B22&lt;&gt;"",SUMIFS(RECORD!E31:EP31,RECORD!E$12:EP$12,"CLO4",RECORD!E$11:EP$11,"Final"),"")</x:f>
        <x:v>21</x:v>
      </x:c>
      <x:c r="AC22" s="19" t="n">
        <x:f>IF(B22&lt;&gt;"",SUMIFS(RECORD!E$13:EP$13,RECORD!E$12:EP$12,"CLO4",RECORD!E$11:EP$11,"Final"),"")</x:f>
        <x:v>45</x:v>
      </x:c>
      <x:c r="AD22" s="20">
        <x:f t="shared" si="3"/>
        <x:v>64.444444444444443</x:v>
      </x:c>
      <x:c r="AE22" s="19" t="n">
        <x:f>IF(B22&lt;&gt;"",SUMIFS(RECORD!E31:EP31,RECORD!E$12:EP$12,"CLO5",RECORD!E$11:EP$11,"Prelim"),"")</x:f>
        <x:v>0</x:v>
      </x:c>
      <x:c r="AF22" s="19" t="n">
        <x:f>IF(B22&lt;&gt;"",SUMIFS(RECORD!E$13:EP$13,RECORD!E$12:EP$12,"CLO5",RECORD!E$11:EP$11,"Prelim"),"")</x:f>
        <x:v>0</x:v>
      </x:c>
      <x:c r="AG22" s="19" t="n">
        <x:f>IF(B22&lt;&gt;"",SUMIFS(RECORD!E31:EP31,RECORD!E$12:EP$12,"CLO5",RECORD!E$11:EP$11,"Midterm"),"")</x:f>
        <x:v>0</x:v>
      </x:c>
      <x:c r="AH22" s="19" t="n">
        <x:f>IF(B22&lt;&gt;"",SUMIFS(RECORD!E$13:EP$13,RECORD!E$12:EP$12,"CLO5",RECORD!E$11:EP$11,"Midterm"),"")</x:f>
        <x:v>0</x:v>
      </x:c>
      <x:c r="AI22" s="19" t="n">
        <x:f>IF(B22&lt;&gt;"",SUMIFS(RECORD!E31:EP31,RECORD!E$12:EP$12,"CLO5",RECORD!E$11:EP$11,"Final"),"")</x:f>
        <x:v>36</x:v>
      </x:c>
      <x:c r="AJ22" s="19" t="n">
        <x:f>IF(B22&lt;&gt;"",SUMIFS(RECORD!E$13:EP$13,RECORD!E$12:EP$12,"CLO5",RECORD!E$11:EP$11,"Final"),"")</x:f>
        <x:v>75</x:v>
      </x:c>
      <x:c r="AK22" s="20">
        <x:f t="shared" si="4"/>
        <x:v>66.666666666666657</x:v>
      </x:c>
    </x:row>
    <x:row r="23">
      <x:c r="A23" s="18" t="str">
        <x:f>IF(RECORD!B32="","",RECORD!B32)</x:f>
        <x:v>2024-00489</x:v>
      </x:c>
      <x:c r="B23" s="18" t="str">
        <x:f>IF(RECORD!C32="","",RECORD!C32)</x:f>
        <x:v>Tiongson, Cedric F.</x:v>
      </x:c>
      <x:c r="C23" s="19" t="n">
        <x:f>IF(B23&lt;&gt;"",SUMIFS(RECORD!E32:EP32,RECORD!E$12:EP$12,"CLO1",RECORD!E$11:EP$11,"Prelim"),"")</x:f>
        <x:v>13</x:v>
      </x:c>
      <x:c r="D23" s="19" t="n">
        <x:f>IF(B23&lt;&gt;"",SUMIFS(RECORD!E$13:EP$13,RECORD!E$12:EP$12,"CLO1",RECORD!E$11:EP$11,"Prelim"),"")</x:f>
        <x:v>30</x:v>
      </x:c>
      <x:c r="E23" s="19" t="n">
        <x:f>IF(B23&lt;&gt;"",SUMIFS(RECORD!E32:EP32,RECORD!E$12:EP$12,"CLO1",RECORD!E$11:EP$11,"Midterm"),"")</x:f>
        <x:v>20</x:v>
      </x:c>
      <x:c r="F23" s="19" t="n">
        <x:f>IF(B23&lt;&gt;"",SUMIFS(RECORD!E$13:EP$13,RECORD!E$12:EP$12,"CLO1",RECORD!E$11:EP$11,"Midterm"),"")</x:f>
        <x:v>50</x:v>
      </x:c>
      <x:c r="G23" s="19" t="n">
        <x:f>IF(B23&lt;&gt;"",SUMIFS(RECORD!E32:EP32,RECORD!E$12:EP$12,"CLO1",RECORD!E$11:EP$11,"Final"),"")</x:f>
        <x:v>14</x:v>
      </x:c>
      <x:c r="H23" s="19" t="n">
        <x:f>IF(B23&lt;&gt;"",SUMIFS(RECORD!E$13:EP$13,RECORD!E$12:EP$12,"CLO1",RECORD!E$11:EP$11,"Final"),"")</x:f>
        <x:v>25</x:v>
      </x:c>
      <x:c r="I23" s="20">
        <x:f t="shared" si="0"/>
        <x:v>85.714285714285708</x:v>
      </x:c>
      <x:c r="J23" s="19" t="n">
        <x:f>IF(B23&lt;&gt;"",SUMIFS(RECORD!E32:EP32,RECORD!E$12:EP$12,"CLO2",RECORD!E$11:EP$11,"Prelim"),"")</x:f>
        <x:v>18</x:v>
      </x:c>
      <x:c r="K23" s="19" t="n">
        <x:f>IF(B23&lt;&gt;"",SUMIFS(RECORD!E$13:EP$13,RECORD!E$12:EP$12,"CLO2",RECORD!E$11:EP$11,"Prelim"),"")</x:f>
        <x:v>60</x:v>
      </x:c>
      <x:c r="L23" s="19" t="n">
        <x:f>IF(B23&lt;&gt;"",SUMIFS(RECORD!E32:EP32,RECORD!E$12:EP$12,"CLO2",RECORD!E$11:EP$11,"Midterm"),"")</x:f>
        <x:v>21</x:v>
      </x:c>
      <x:c r="M23" s="19" t="n">
        <x:f>IF(B23&lt;&gt;"",SUMIFS(RECORD!E$13:EP$13,RECORD!E$12:EP$12,"CLO2",RECORD!E$11:EP$11,"Midterm"),"")</x:f>
        <x:v>50</x:v>
      </x:c>
      <x:c r="N23" s="19" t="n">
        <x:f>IF(B23&lt;&gt;"",SUMIFS(RECORD!E32:EP32,RECORD!E$12:EP$12,"CLO2",RECORD!E$11:EP$11,"Final"),"")</x:f>
        <x:v>8</x:v>
      </x:c>
      <x:c r="O23" s="19" t="n">
        <x:f>IF(B23&lt;&gt;"",SUMIFS(RECORD!E$13:EP$13,RECORD!E$12:EP$12,"CLO2",RECORD!E$11:EP$11,"Final"),"")</x:f>
        <x:v>25</x:v>
      </x:c>
      <x:c r="P23" s="20">
        <x:f t="shared" si="1"/>
        <x:v>83.703703703703695</x:v>
      </x:c>
      <x:c r="Q23" s="19" t="n">
        <x:f>IF(B23&lt;&gt;"",SUMIFS(RECORD!E32:EP32,RECORD!E$12:EP$12,"CLO3",RECORD!E$11:EP$11,"Prelim"),"")</x:f>
        <x:v>24</x:v>
      </x:c>
      <x:c r="R23" s="19" t="n">
        <x:f>IF(B23&lt;&gt;"",SUMIFS(RECORD!E$13:EP$13,RECORD!E$12:EP$12,"CLO3",RECORD!E$11:EP$11,"Prelim"),"")</x:f>
        <x:v>80</x:v>
      </x:c>
      <x:c r="S23" s="19" t="n">
        <x:f>IF(B23&lt;&gt;"",SUMIFS(RECORD!E32:EP32,RECORD!E$12:EP$12,"CLO3",RECORD!E$11:EP$11,"Midterm"),"")</x:f>
        <x:v>46</x:v>
      </x:c>
      <x:c r="T23" s="19" t="n">
        <x:f>IF(B23&lt;&gt;"",SUMIFS(RECORD!E$13:EP$13,RECORD!E$12:EP$12,"CLO3",RECORD!E$11:EP$11,"Midterm"),"")</x:f>
        <x:v>100</x:v>
      </x:c>
      <x:c r="U23" s="19" t="n">
        <x:f>IF(B23&lt;&gt;"",SUMIFS(RECORD!E32:EP32,RECORD!E$12:EP$12,"CLO3",RECORD!E$11:EP$11,"Final"),"")</x:f>
        <x:v>14</x:v>
      </x:c>
      <x:c r="V23" s="19" t="n">
        <x:f>IF(B23&lt;&gt;"",SUMIFS(RECORD!E$13:EP$13,RECORD!E$12:EP$12,"CLO3",RECORD!E$11:EP$11,"Final"),"")</x:f>
        <x:v>25</x:v>
      </x:c>
      <x:c r="W23" s="20">
        <x:f t="shared" si="2"/>
        <x:v>86.341463414634148</x:v>
      </x:c>
      <x:c r="X23" s="19" t="n">
        <x:f>IF(B23&lt;&gt;"",SUMIFS(RECORD!E32:EP32,RECORD!E$12:EP$12,"CLO4",RECORD!E$11:EP$11,"Prelim"),"")</x:f>
        <x:v>0</x:v>
      </x:c>
      <x:c r="Y23" s="19" t="n">
        <x:f>IF(B23&lt;&gt;"",SUMIFS(RECORD!E$13:EP$13,RECORD!E$12:EP$12,"CLO4",RECORD!E$11:EP$11,"Prelim"),"")</x:f>
        <x:v>0</x:v>
      </x:c>
      <x:c r="Z23" s="19" t="n">
        <x:f>IF(B23&lt;&gt;"",SUMIFS(RECORD!E32:EP32,RECORD!E$12:EP$12,"CLO4",RECORD!E$11:EP$11,"Midterm"),"")</x:f>
        <x:v>0</x:v>
      </x:c>
      <x:c r="AA23" s="19" t="n">
        <x:f>IF(B23&lt;&gt;"",SUMIFS(RECORD!E$13:EP$13,RECORD!E$12:EP$12,"CLO4",RECORD!E$11:EP$11,"Midterm"),"")</x:f>
        <x:v>0</x:v>
      </x:c>
      <x:c r="AB23" s="19" t="n">
        <x:f>IF(B23&lt;&gt;"",SUMIFS(RECORD!E32:EP32,RECORD!E$12:EP$12,"CLO4",RECORD!E$11:EP$11,"Final"),"")</x:f>
        <x:v>19</x:v>
      </x:c>
      <x:c r="AC23" s="19" t="n">
        <x:f>IF(B23&lt;&gt;"",SUMIFS(RECORD!E$13:EP$13,RECORD!E$12:EP$12,"CLO4",RECORD!E$11:EP$11,"Final"),"")</x:f>
        <x:v>45</x:v>
      </x:c>
      <x:c r="AD23" s="20">
        <x:f t="shared" si="3"/>
        <x:v>80</x:v>
      </x:c>
      <x:c r="AE23" s="19" t="n">
        <x:f>IF(B23&lt;&gt;"",SUMIFS(RECORD!E32:EP32,RECORD!E$12:EP$12,"CLO5",RECORD!E$11:EP$11,"Prelim"),"")</x:f>
        <x:v>0</x:v>
      </x:c>
      <x:c r="AF23" s="19" t="n">
        <x:f>IF(B23&lt;&gt;"",SUMIFS(RECORD!E$13:EP$13,RECORD!E$12:EP$12,"CLO5",RECORD!E$11:EP$11,"Prelim"),"")</x:f>
        <x:v>0</x:v>
      </x:c>
      <x:c r="AG23" s="19" t="n">
        <x:f>IF(B23&lt;&gt;"",SUMIFS(RECORD!E32:EP32,RECORD!E$12:EP$12,"CLO5",RECORD!E$11:EP$11,"Midterm"),"")</x:f>
        <x:v>0</x:v>
      </x:c>
      <x:c r="AH23" s="19" t="n">
        <x:f>IF(B23&lt;&gt;"",SUMIFS(RECORD!E$13:EP$13,RECORD!E$12:EP$12,"CLO5",RECORD!E$11:EP$11,"Midterm"),"")</x:f>
        <x:v>0</x:v>
      </x:c>
      <x:c r="AI23" s="19" t="n">
        <x:f>IF(B23&lt;&gt;"",SUMIFS(RECORD!E32:EP32,RECORD!E$12:EP$12,"CLO5",RECORD!E$11:EP$11,"Final"),"")</x:f>
        <x:v>36</x:v>
      </x:c>
      <x:c r="AJ23" s="19" t="n">
        <x:f>IF(B23&lt;&gt;"",SUMIFS(RECORD!E$13:EP$13,RECORD!E$12:EP$12,"CLO5",RECORD!E$11:EP$11,"Final"),"")</x:f>
        <x:v>75</x:v>
      </x:c>
      <x:c r="AK23" s="20">
        <x:f t="shared" si="4"/>
        <x:v>85.333333333333343</x:v>
      </x:c>
    </x:row>
    <x:row r="24">
      <x:c r="A24" s="18" t="str">
        <x:f>IF(RECORD!B33="","",RECORD!B33)</x:f>
        <x:v>2024-00511</x:v>
      </x:c>
      <x:c r="B24" s="18" t="str">
        <x:f>IF(RECORD!C33="","",RECORD!C33)</x:f>
        <x:v>Lorenzo, Owen M.</x:v>
      </x:c>
      <x:c r="C24" s="19" t="n">
        <x:f>IF(B24&lt;&gt;"",SUMIFS(RECORD!E33:EP33,RECORD!E$12:EP$12,"CLO1",RECORD!E$11:EP$11,"Prelim"),"")</x:f>
        <x:v>14</x:v>
      </x:c>
      <x:c r="D24" s="19" t="n">
        <x:f>IF(B24&lt;&gt;"",SUMIFS(RECORD!E$13:EP$13,RECORD!E$12:EP$12,"CLO1",RECORD!E$11:EP$11,"Prelim"),"")</x:f>
        <x:v>30</x:v>
      </x:c>
      <x:c r="E24" s="19" t="n">
        <x:f>IF(B24&lt;&gt;"",SUMIFS(RECORD!E33:EP33,RECORD!E$12:EP$12,"CLO1",RECORD!E$11:EP$11,"Midterm"),"")</x:f>
        <x:v>28</x:v>
      </x:c>
      <x:c r="F24" s="19" t="n">
        <x:f>IF(B24&lt;&gt;"",SUMIFS(RECORD!E$13:EP$13,RECORD!E$12:EP$12,"CLO1",RECORD!E$11:EP$11,"Midterm"),"")</x:f>
        <x:v>50</x:v>
      </x:c>
      <x:c r="G24" s="19" t="n">
        <x:f>IF(B24&lt;&gt;"",SUMIFS(RECORD!E33:EP33,RECORD!E$12:EP$12,"CLO1",RECORD!E$11:EP$11,"Final"),"")</x:f>
        <x:v>12</x:v>
      </x:c>
      <x:c r="H24" s="19" t="n">
        <x:f>IF(B24&lt;&gt;"",SUMIFS(RECORD!E$13:EP$13,RECORD!E$12:EP$12,"CLO1",RECORD!E$11:EP$11,"Final"),"")</x:f>
        <x:v>25</x:v>
      </x:c>
      <x:c r="I24" s="20">
        <x:f t="shared" si="0"/>
        <x:v>38.095238095238095</x:v>
      </x:c>
      <x:c r="J24" s="19" t="n">
        <x:f>IF(B24&lt;&gt;"",SUMIFS(RECORD!E33:EP33,RECORD!E$12:EP$12,"CLO2",RECORD!E$11:EP$11,"Prelim"),"")</x:f>
        <x:v>29</x:v>
      </x:c>
      <x:c r="K24" s="19" t="n">
        <x:f>IF(B24&lt;&gt;"",SUMIFS(RECORD!E$13:EP$13,RECORD!E$12:EP$12,"CLO2",RECORD!E$11:EP$11,"Prelim"),"")</x:f>
        <x:v>60</x:v>
      </x:c>
      <x:c r="L24" s="19" t="n">
        <x:f>IF(B24&lt;&gt;"",SUMIFS(RECORD!E33:EP33,RECORD!E$12:EP$12,"CLO2",RECORD!E$11:EP$11,"Midterm"),"")</x:f>
        <x:v>27</x:v>
      </x:c>
      <x:c r="M24" s="19" t="n">
        <x:f>IF(B24&lt;&gt;"",SUMIFS(RECORD!E$13:EP$13,RECORD!E$12:EP$12,"CLO2",RECORD!E$11:EP$11,"Midterm"),"")</x:f>
        <x:v>50</x:v>
      </x:c>
      <x:c r="N24" s="19" t="n">
        <x:f>IF(B24&lt;&gt;"",SUMIFS(RECORD!E33:EP33,RECORD!E$12:EP$12,"CLO2",RECORD!E$11:EP$11,"Final"),"")</x:f>
        <x:v>14</x:v>
      </x:c>
      <x:c r="O24" s="19" t="n">
        <x:f>IF(B24&lt;&gt;"",SUMIFS(RECORD!E$13:EP$13,RECORD!E$12:EP$12,"CLO2",RECORD!E$11:EP$11,"Final"),"")</x:f>
        <x:v>25</x:v>
      </x:c>
      <x:c r="P24" s="20">
        <x:f t="shared" si="1"/>
        <x:v>35.555555555555557</x:v>
      </x:c>
      <x:c r="Q24" s="19" t="n">
        <x:f>IF(B24&lt;&gt;"",SUMIFS(RECORD!E33:EP33,RECORD!E$12:EP$12,"CLO3",RECORD!E$11:EP$11,"Prelim"),"")</x:f>
        <x:v>35</x:v>
      </x:c>
      <x:c r="R24" s="19" t="n">
        <x:f>IF(B24&lt;&gt;"",SUMIFS(RECORD!E$13:EP$13,RECORD!E$12:EP$12,"CLO3",RECORD!E$11:EP$11,"Prelim"),"")</x:f>
        <x:v>80</x:v>
      </x:c>
      <x:c r="S24" s="19" t="n">
        <x:f>IF(B24&lt;&gt;"",SUMIFS(RECORD!E33:EP33,RECORD!E$12:EP$12,"CLO3",RECORD!E$11:EP$11,"Midterm"),"")</x:f>
        <x:v>37</x:v>
      </x:c>
      <x:c r="T24" s="19" t="n">
        <x:f>IF(B24&lt;&gt;"",SUMIFS(RECORD!E$13:EP$13,RECORD!E$12:EP$12,"CLO3",RECORD!E$11:EP$11,"Midterm"),"")</x:f>
        <x:v>100</x:v>
      </x:c>
      <x:c r="U24" s="19" t="n">
        <x:f>IF(B24&lt;&gt;"",SUMIFS(RECORD!E33:EP33,RECORD!E$12:EP$12,"CLO3",RECORD!E$11:EP$11,"Final"),"")</x:f>
        <x:v>14</x:v>
      </x:c>
      <x:c r="V24" s="19" t="n">
        <x:f>IF(B24&lt;&gt;"",SUMIFS(RECORD!E$13:EP$13,RECORD!E$12:EP$12,"CLO3",RECORD!E$11:EP$11,"Final"),"")</x:f>
        <x:v>25</x:v>
      </x:c>
      <x:c r="W24" s="20">
        <x:f t="shared" si="2"/>
        <x:v>46.341463414634148</x:v>
      </x:c>
      <x:c r="X24" s="19" t="n">
        <x:f>IF(B24&lt;&gt;"",SUMIFS(RECORD!E33:EP33,RECORD!E$12:EP$12,"CLO4",RECORD!E$11:EP$11,"Prelim"),"")</x:f>
        <x:v>0</x:v>
      </x:c>
      <x:c r="Y24" s="19" t="n">
        <x:f>IF(B24&lt;&gt;"",SUMIFS(RECORD!E$13:EP$13,RECORD!E$12:EP$12,"CLO4",RECORD!E$11:EP$11,"Prelim"),"")</x:f>
        <x:v>0</x:v>
      </x:c>
      <x:c r="Z24" s="19" t="n">
        <x:f>IF(B24&lt;&gt;"",SUMIFS(RECORD!E33:EP33,RECORD!E$12:EP$12,"CLO4",RECORD!E$11:EP$11,"Midterm"),"")</x:f>
        <x:v>0</x:v>
      </x:c>
      <x:c r="AA24" s="19" t="n">
        <x:f>IF(B24&lt;&gt;"",SUMIFS(RECORD!E$13:EP$13,RECORD!E$12:EP$12,"CLO4",RECORD!E$11:EP$11,"Midterm"),"")</x:f>
        <x:v>0</x:v>
      </x:c>
      <x:c r="AB24" s="19" t="n">
        <x:f>IF(B24&lt;&gt;"",SUMIFS(RECORD!E33:EP33,RECORD!E$12:EP$12,"CLO4",RECORD!E$11:EP$11,"Final"),"")</x:f>
        <x:v>15</x:v>
      </x:c>
      <x:c r="AC24" s="19" t="n">
        <x:f>IF(B24&lt;&gt;"",SUMIFS(RECORD!E$13:EP$13,RECORD!E$12:EP$12,"CLO4",RECORD!E$11:EP$11,"Final"),"")</x:f>
        <x:v>45</x:v>
      </x:c>
      <x:c r="AD24" s="20">
        <x:f t="shared" si="3"/>
        <x:v>35.555555555555557</x:v>
      </x:c>
      <x:c r="AE24" s="19" t="n">
        <x:f>IF(B24&lt;&gt;"",SUMIFS(RECORD!E33:EP33,RECORD!E$12:EP$12,"CLO5",RECORD!E$11:EP$11,"Prelim"),"")</x:f>
        <x:v>0</x:v>
      </x:c>
      <x:c r="AF24" s="19" t="n">
        <x:f>IF(B24&lt;&gt;"",SUMIFS(RECORD!E$13:EP$13,RECORD!E$12:EP$12,"CLO5",RECORD!E$11:EP$11,"Prelim"),"")</x:f>
        <x:v>0</x:v>
      </x:c>
      <x:c r="AG24" s="19" t="n">
        <x:f>IF(B24&lt;&gt;"",SUMIFS(RECORD!E33:EP33,RECORD!E$12:EP$12,"CLO5",RECORD!E$11:EP$11,"Midterm"),"")</x:f>
        <x:v>0</x:v>
      </x:c>
      <x:c r="AH24" s="19" t="n">
        <x:f>IF(B24&lt;&gt;"",SUMIFS(RECORD!E$13:EP$13,RECORD!E$12:EP$12,"CLO5",RECORD!E$11:EP$11,"Midterm"),"")</x:f>
        <x:v>0</x:v>
      </x:c>
      <x:c r="AI24" s="19" t="n">
        <x:f>IF(B24&lt;&gt;"",SUMIFS(RECORD!E33:EP33,RECORD!E$12:EP$12,"CLO5",RECORD!E$11:EP$11,"Final"),"")</x:f>
        <x:v>29</x:v>
      </x:c>
      <x:c r="AJ24" s="19" t="n">
        <x:f>IF(B24&lt;&gt;"",SUMIFS(RECORD!E$13:EP$13,RECORD!E$12:EP$12,"CLO5",RECORD!E$11:EP$11,"Final"),"")</x:f>
        <x:v>75</x:v>
      </x:c>
      <x:c r="AK24" s="20">
        <x:f t="shared" si="4"/>
        <x:v>41.333333333333336</x:v>
      </x:c>
    </x:row>
    <x:row r="25">
      <x:c r="A25" s="18" t="str">
        <x:f>IF(RECORD!B34="","",RECORD!B34)</x:f>
        <x:v>2024-00533</x:v>
      </x:c>
      <x:c r="B25" s="18" t="str">
        <x:f>IF(RECORD!C34="","",RECORD!C34)</x:f>
        <x:v>Mendoza, Nina M.</x:v>
      </x:c>
      <x:c r="C25" s="19" t="n">
        <x:f>IF(B25&lt;&gt;"",SUMIFS(RECORD!E34:EP34,RECORD!E$12:EP$12,"CLO1",RECORD!E$11:EP$11,"Prelim"),"")</x:f>
        <x:v>9</x:v>
      </x:c>
      <x:c r="D25" s="19" t="n">
        <x:f>IF(B25&lt;&gt;"",SUMIFS(RECORD!E$13:EP$13,RECORD!E$12:EP$12,"CLO1",RECORD!E$11:EP$11,"Prelim"),"")</x:f>
        <x:v>30</x:v>
      </x:c>
      <x:c r="E25" s="19" t="n">
        <x:f>IF(B25&lt;&gt;"",SUMIFS(RECORD!E34:EP34,RECORD!E$12:EP$12,"CLO1",RECORD!E$11:EP$11,"Midterm"),"")</x:f>
        <x:v>26</x:v>
      </x:c>
      <x:c r="F25" s="19" t="n">
        <x:f>IF(B25&lt;&gt;"",SUMIFS(RECORD!E$13:EP$13,RECORD!E$12:EP$12,"CLO1",RECORD!E$11:EP$11,"Midterm"),"")</x:f>
        <x:v>50</x:v>
      </x:c>
      <x:c r="G25" s="19" t="n">
        <x:f>IF(B25&lt;&gt;"",SUMIFS(RECORD!E34:EP34,RECORD!E$12:EP$12,"CLO1",RECORD!E$11:EP$11,"Final"),"")</x:f>
        <x:v>13</x:v>
      </x:c>
      <x:c r="H25" s="19" t="n">
        <x:f>IF(B25&lt;&gt;"",SUMIFS(RECORD!E$13:EP$13,RECORD!E$12:EP$12,"CLO1",RECORD!E$11:EP$11,"Final"),"")</x:f>
        <x:v>25</x:v>
      </x:c>
      <x:c r="I25" s="20">
        <x:f t="shared" si="0"/>
        <x:v>91.428571428571431</x:v>
      </x:c>
      <x:c r="J25" s="19" t="n">
        <x:f>IF(B25&lt;&gt;"",SUMIFS(RECORD!E34:EP34,RECORD!E$12:EP$12,"CLO2",RECORD!E$11:EP$11,"Prelim"),"")</x:f>
        <x:v>30</x:v>
      </x:c>
      <x:c r="K25" s="19" t="n">
        <x:f>IF(B25&lt;&gt;"",SUMIFS(RECORD!E$13:EP$13,RECORD!E$12:EP$12,"CLO2",RECORD!E$11:EP$11,"Prelim"),"")</x:f>
        <x:v>60</x:v>
      </x:c>
      <x:c r="L25" s="19" t="n">
        <x:f>IF(B25&lt;&gt;"",SUMIFS(RECORD!E34:EP34,RECORD!E$12:EP$12,"CLO2",RECORD!E$11:EP$11,"Midterm"),"")</x:f>
        <x:v>15</x:v>
      </x:c>
      <x:c r="M25" s="19" t="n">
        <x:f>IF(B25&lt;&gt;"",SUMIFS(RECORD!E$13:EP$13,RECORD!E$12:EP$12,"CLO2",RECORD!E$11:EP$11,"Midterm"),"")</x:f>
        <x:v>50</x:v>
      </x:c>
      <x:c r="N25" s="19" t="n">
        <x:f>IF(B25&lt;&gt;"",SUMIFS(RECORD!E34:EP34,RECORD!E$12:EP$12,"CLO2",RECORD!E$11:EP$11,"Final"),"")</x:f>
        <x:v>9</x:v>
      </x:c>
      <x:c r="O25" s="19" t="n">
        <x:f>IF(B25&lt;&gt;"",SUMIFS(RECORD!E$13:EP$13,RECORD!E$12:EP$12,"CLO2",RECORD!E$11:EP$11,"Final"),"")</x:f>
        <x:v>25</x:v>
      </x:c>
      <x:c r="P25" s="20">
        <x:f t="shared" si="1"/>
        <x:v>91.111111111111114</x:v>
      </x:c>
      <x:c r="Q25" s="19" t="n">
        <x:f>IF(B25&lt;&gt;"",SUMIFS(RECORD!E34:EP34,RECORD!E$12:EP$12,"CLO3",RECORD!E$11:EP$11,"Prelim"),"")</x:f>
        <x:v>29</x:v>
      </x:c>
      <x:c r="R25" s="19" t="n">
        <x:f>IF(B25&lt;&gt;"",SUMIFS(RECORD!E$13:EP$13,RECORD!E$12:EP$12,"CLO3",RECORD!E$11:EP$11,"Prelim"),"")</x:f>
        <x:v>80</x:v>
      </x:c>
      <x:c r="S25" s="19" t="n">
        <x:f>IF(B25&lt;&gt;"",SUMIFS(RECORD!E34:EP34,RECORD!E$12:EP$12,"CLO3",RECORD!E$11:EP$11,"Midterm"),"")</x:f>
        <x:v>25</x:v>
      </x:c>
      <x:c r="T25" s="19" t="n">
        <x:f>IF(B25&lt;&gt;"",SUMIFS(RECORD!E$13:EP$13,RECORD!E$12:EP$12,"CLO3",RECORD!E$11:EP$11,"Midterm"),"")</x:f>
        <x:v>100</x:v>
      </x:c>
      <x:c r="U25" s="19" t="n">
        <x:f>IF(B25&lt;&gt;"",SUMIFS(RECORD!E34:EP34,RECORD!E$12:EP$12,"CLO3",RECORD!E$11:EP$11,"Final"),"")</x:f>
        <x:v>9</x:v>
      </x:c>
      <x:c r="V25" s="19" t="n">
        <x:f>IF(B25&lt;&gt;"",SUMIFS(RECORD!E$13:EP$13,RECORD!E$12:EP$12,"CLO3",RECORD!E$11:EP$11,"Final"),"")</x:f>
        <x:v>25</x:v>
      </x:c>
      <x:c r="W25" s="20">
        <x:f t="shared" si="2"/>
        <x:v>92.195121951219519</x:v>
      </x:c>
      <x:c r="X25" s="19" t="n">
        <x:f>IF(B25&lt;&gt;"",SUMIFS(RECORD!E34:EP34,RECORD!E$12:EP$12,"CLO4",RECORD!E$11:EP$11,"Prelim"),"")</x:f>
        <x:v>0</x:v>
      </x:c>
      <x:c r="Y25" s="19" t="n">
        <x:f>IF(B25&lt;&gt;"",SUMIFS(RECORD!E$13:EP$13,RECORD!E$12:EP$12,"CLO4",RECORD!E$11:EP$11,"Prelim"),"")</x:f>
        <x:v>0</x:v>
      </x:c>
      <x:c r="Z25" s="19" t="n">
        <x:f>IF(B25&lt;&gt;"",SUMIFS(RECORD!E34:EP34,RECORD!E$12:EP$12,"CLO4",RECORD!E$11:EP$11,"Midterm"),"")</x:f>
        <x:v>0</x:v>
      </x:c>
      <x:c r="AA25" s="19" t="n">
        <x:f>IF(B25&lt;&gt;"",SUMIFS(RECORD!E$13:EP$13,RECORD!E$12:EP$12,"CLO4",RECORD!E$11:EP$11,"Midterm"),"")</x:f>
        <x:v>0</x:v>
      </x:c>
      <x:c r="AB25" s="19" t="n">
        <x:f>IF(B25&lt;&gt;"",SUMIFS(RECORD!E34:EP34,RECORD!E$12:EP$12,"CLO4",RECORD!E$11:EP$11,"Final"),"")</x:f>
        <x:v>22</x:v>
      </x:c>
      <x:c r="AC25" s="19" t="n">
        <x:f>IF(B25&lt;&gt;"",SUMIFS(RECORD!E$13:EP$13,RECORD!E$12:EP$12,"CLO4",RECORD!E$11:EP$11,"Final"),"")</x:f>
        <x:v>45</x:v>
      </x:c>
      <x:c r="AD25" s="20">
        <x:f t="shared" si="3"/>
        <x:v>86.666666666666671</x:v>
      </x:c>
      <x:c r="AE25" s="19" t="n">
        <x:f>IF(B25&lt;&gt;"",SUMIFS(RECORD!E34:EP34,RECORD!E$12:EP$12,"CLO5",RECORD!E$11:EP$11,"Prelim"),"")</x:f>
        <x:v>0</x:v>
      </x:c>
      <x:c r="AF25" s="19" t="n">
        <x:f>IF(B25&lt;&gt;"",SUMIFS(RECORD!E$13:EP$13,RECORD!E$12:EP$12,"CLO5",RECORD!E$11:EP$11,"Prelim"),"")</x:f>
        <x:v>0</x:v>
      </x:c>
      <x:c r="AG25" s="19" t="n">
        <x:f>IF(B25&lt;&gt;"",SUMIFS(RECORD!E34:EP34,RECORD!E$12:EP$12,"CLO5",RECORD!E$11:EP$11,"Midterm"),"")</x:f>
        <x:v>0</x:v>
      </x:c>
      <x:c r="AH25" s="19" t="n">
        <x:f>IF(B25&lt;&gt;"",SUMIFS(RECORD!E$13:EP$13,RECORD!E$12:EP$12,"CLO5",RECORD!E$11:EP$11,"Midterm"),"")</x:f>
        <x:v>0</x:v>
      </x:c>
      <x:c r="AI25" s="19" t="n">
        <x:f>IF(B25&lt;&gt;"",SUMIFS(RECORD!E34:EP34,RECORD!E$12:EP$12,"CLO5",RECORD!E$11:EP$11,"Final"),"")</x:f>
        <x:v>37</x:v>
      </x:c>
      <x:c r="AJ25" s="19" t="n">
        <x:f>IF(B25&lt;&gt;"",SUMIFS(RECORD!E$13:EP$13,RECORD!E$12:EP$12,"CLO5",RECORD!E$11:EP$11,"Final"),"")</x:f>
        <x:v>75</x:v>
      </x:c>
      <x:c r="AK25" s="20">
        <x:f t="shared" si="4"/>
        <x:v>92</x:v>
      </x:c>
    </x:row>
    <x:row r="26">
      <x:c r="A26" s="18" t="str">
        <x:f>IF(RECORD!B35="","",RECORD!B35)</x:f>
        <x:v>2024-00555</x:v>
      </x:c>
      <x:c r="B26" s="18" t="str">
        <x:f>IF(RECORD!C35="","",RECORD!C35)</x:f>
        <x:v>Robles, Elijah D.</x:v>
      </x:c>
      <x:c r="C26" s="19" t="n">
        <x:f>IF(B26&lt;&gt;"",SUMIFS(RECORD!E35:EP35,RECORD!E$12:EP$12,"CLO1",RECORD!E$11:EP$11,"Prelim"),"")</x:f>
        <x:v>21</x:v>
      </x:c>
      <x:c r="D26" s="19" t="n">
        <x:f>IF(B26&lt;&gt;"",SUMIFS(RECORD!E$13:EP$13,RECORD!E$12:EP$12,"CLO1",RECORD!E$11:EP$11,"Prelim"),"")</x:f>
        <x:v>30</x:v>
      </x:c>
      <x:c r="E26" s="19" t="n">
        <x:f>IF(B26&lt;&gt;"",SUMIFS(RECORD!E35:EP35,RECORD!E$12:EP$12,"CLO1",RECORD!E$11:EP$11,"Midterm"),"")</x:f>
        <x:v>24</x:v>
      </x:c>
      <x:c r="F26" s="19" t="n">
        <x:f>IF(B26&lt;&gt;"",SUMIFS(RECORD!E$13:EP$13,RECORD!E$12:EP$12,"CLO1",RECORD!E$11:EP$11,"Midterm"),"")</x:f>
        <x:v>50</x:v>
      </x:c>
      <x:c r="G26" s="19" t="n">
        <x:f>IF(B26&lt;&gt;"",SUMIFS(RECORD!E35:EP35,RECORD!E$12:EP$12,"CLO1",RECORD!E$11:EP$11,"Final"),"")</x:f>
        <x:v>14</x:v>
      </x:c>
      <x:c r="H26" s="19" t="n">
        <x:f>IF(B26&lt;&gt;"",SUMIFS(RECORD!E$13:EP$13,RECORD!E$12:EP$12,"CLO1",RECORD!E$11:EP$11,"Final"),"")</x:f>
        <x:v>25</x:v>
      </x:c>
      <x:c r="I26" s="20">
        <x:f t="shared" si="0"/>
        <x:v>73.333333333333329</x:v>
      </x:c>
      <x:c r="J26" s="19" t="n">
        <x:f>IF(B26&lt;&gt;"",SUMIFS(RECORD!E35:EP35,RECORD!E$12:EP$12,"CLO2",RECORD!E$11:EP$11,"Prelim"),"")</x:f>
        <x:v>42</x:v>
      </x:c>
      <x:c r="K26" s="19" t="n">
        <x:f>IF(B26&lt;&gt;"",SUMIFS(RECORD!E$13:EP$13,RECORD!E$12:EP$12,"CLO2",RECORD!E$11:EP$11,"Prelim"),"")</x:f>
        <x:v>60</x:v>
      </x:c>
      <x:c r="L26" s="19" t="n">
        <x:f>IF(B26&lt;&gt;"",SUMIFS(RECORD!E35:EP35,RECORD!E$12:EP$12,"CLO2",RECORD!E$11:EP$11,"Midterm"),"")</x:f>
        <x:v>29</x:v>
      </x:c>
      <x:c r="M26" s="19" t="n">
        <x:f>IF(B26&lt;&gt;"",SUMIFS(RECORD!E$13:EP$13,RECORD!E$12:EP$12,"CLO2",RECORD!E$11:EP$11,"Midterm"),"")</x:f>
        <x:v>50</x:v>
      </x:c>
      <x:c r="N26" s="19" t="n">
        <x:f>IF(B26&lt;&gt;"",SUMIFS(RECORD!E35:EP35,RECORD!E$12:EP$12,"CLO2",RECORD!E$11:EP$11,"Final"),"")</x:f>
        <x:v>17</x:v>
      </x:c>
      <x:c r="O26" s="19" t="n">
        <x:f>IF(B26&lt;&gt;"",SUMIFS(RECORD!E$13:EP$13,RECORD!E$12:EP$12,"CLO2",RECORD!E$11:EP$11,"Final"),"")</x:f>
        <x:v>25</x:v>
      </x:c>
      <x:c r="P26" s="20">
        <x:f t="shared" si="1"/>
        <x:v>71.851851851851862</x:v>
      </x:c>
      <x:c r="Q26" s="19" t="n">
        <x:f>IF(B26&lt;&gt;"",SUMIFS(RECORD!E35:EP35,RECORD!E$12:EP$12,"CLO3",RECORD!E$11:EP$11,"Prelim"),"")</x:f>
        <x:v>49</x:v>
      </x:c>
      <x:c r="R26" s="19" t="n">
        <x:f>IF(B26&lt;&gt;"",SUMIFS(RECORD!E$13:EP$13,RECORD!E$12:EP$12,"CLO3",RECORD!E$11:EP$11,"Prelim"),"")</x:f>
        <x:v>80</x:v>
      </x:c>
      <x:c r="S26" s="19" t="n">
        <x:f>IF(B26&lt;&gt;"",SUMIFS(RECORD!E35:EP35,RECORD!E$12:EP$12,"CLO3",RECORD!E$11:EP$11,"Midterm"),"")</x:f>
        <x:v>68</x:v>
      </x:c>
      <x:c r="T26" s="19" t="n">
        <x:f>IF(B26&lt;&gt;"",SUMIFS(RECORD!E$13:EP$13,RECORD!E$12:EP$12,"CLO3",RECORD!E$11:EP$11,"Midterm"),"")</x:f>
        <x:v>100</x:v>
      </x:c>
      <x:c r="U26" s="19" t="n">
        <x:f>IF(B26&lt;&gt;"",SUMIFS(RECORD!E35:EP35,RECORD!E$12:EP$12,"CLO3",RECORD!E$11:EP$11,"Final"),"")</x:f>
        <x:v>17</x:v>
      </x:c>
      <x:c r="V26" s="19" t="n">
        <x:f>IF(B26&lt;&gt;"",SUMIFS(RECORD!E$13:EP$13,RECORD!E$12:EP$12,"CLO3",RECORD!E$11:EP$11,"Final"),"")</x:f>
        <x:v>25</x:v>
      </x:c>
      <x:c r="W26" s="20">
        <x:f t="shared" si="2"/>
        <x:v>73.658536585365852</x:v>
      </x:c>
      <x:c r="X26" s="19" t="n">
        <x:f>IF(B26&lt;&gt;"",SUMIFS(RECORD!E35:EP35,RECORD!E$12:EP$12,"CLO4",RECORD!E$11:EP$11,"Prelim"),"")</x:f>
        <x:v>0</x:v>
      </x:c>
      <x:c r="Y26" s="19" t="n">
        <x:f>IF(B26&lt;&gt;"",SUMIFS(RECORD!E$13:EP$13,RECORD!E$12:EP$12,"CLO4",RECORD!E$11:EP$11,"Prelim"),"")</x:f>
        <x:v>0</x:v>
      </x:c>
      <x:c r="Z26" s="19" t="n">
        <x:f>IF(B26&lt;&gt;"",SUMIFS(RECORD!E35:EP35,RECORD!E$12:EP$12,"CLO4",RECORD!E$11:EP$11,"Midterm"),"")</x:f>
        <x:v>0</x:v>
      </x:c>
      <x:c r="AA26" s="19" t="n">
        <x:f>IF(B26&lt;&gt;"",SUMIFS(RECORD!E$13:EP$13,RECORD!E$12:EP$12,"CLO4",RECORD!E$11:EP$11,"Midterm"),"")</x:f>
        <x:v>0</x:v>
      </x:c>
      <x:c r="AB26" s="19" t="n">
        <x:f>IF(B26&lt;&gt;"",SUMIFS(RECORD!E35:EP35,RECORD!E$12:EP$12,"CLO4",RECORD!E$11:EP$11,"Final"),"")</x:f>
        <x:v>30</x:v>
      </x:c>
      <x:c r="AC26" s="19" t="n">
        <x:f>IF(B26&lt;&gt;"",SUMIFS(RECORD!E$13:EP$13,RECORD!E$12:EP$12,"CLO4",RECORD!E$11:EP$11,"Final"),"")</x:f>
        <x:v>45</x:v>
      </x:c>
      <x:c r="AD26" s="20">
        <x:f t="shared" si="3"/>
        <x:v>64.444444444444443</x:v>
      </x:c>
      <x:c r="AE26" s="19" t="n">
        <x:f>IF(B26&lt;&gt;"",SUMIFS(RECORD!E35:EP35,RECORD!E$12:EP$12,"CLO5",RECORD!E$11:EP$11,"Prelim"),"")</x:f>
        <x:v>0</x:v>
      </x:c>
      <x:c r="AF26" s="19" t="n">
        <x:f>IF(B26&lt;&gt;"",SUMIFS(RECORD!E$13:EP$13,RECORD!E$12:EP$12,"CLO5",RECORD!E$11:EP$11,"Prelim"),"")</x:f>
        <x:v>0</x:v>
      </x:c>
      <x:c r="AG26" s="19" t="n">
        <x:f>IF(B26&lt;&gt;"",SUMIFS(RECORD!E35:EP35,RECORD!E$12:EP$12,"CLO5",RECORD!E$11:EP$11,"Midterm"),"")</x:f>
        <x:v>0</x:v>
      </x:c>
      <x:c r="AH26" s="19" t="n">
        <x:f>IF(B26&lt;&gt;"",SUMIFS(RECORD!E$13:EP$13,RECORD!E$12:EP$12,"CLO5",RECORD!E$11:EP$11,"Midterm"),"")</x:f>
        <x:v>0</x:v>
      </x:c>
      <x:c r="AI26" s="19" t="n">
        <x:f>IF(B26&lt;&gt;"",SUMIFS(RECORD!E35:EP35,RECORD!E$12:EP$12,"CLO5",RECORD!E$11:EP$11,"Final"),"")</x:f>
        <x:v>57</x:v>
      </x:c>
      <x:c r="AJ26" s="19" t="n">
        <x:f>IF(B26&lt;&gt;"",SUMIFS(RECORD!E$13:EP$13,RECORD!E$12:EP$12,"CLO5",RECORD!E$11:EP$11,"Final"),"")</x:f>
        <x:v>75</x:v>
      </x:c>
      <x:c r="AK26" s="20">
        <x:f t="shared" si="4"/>
        <x:v>70.666666666666671</x:v>
      </x:c>
    </x:row>
    <x:row r="27">
      <x:c r="A27" s="18" t="str">
        <x:f>IF(RECORD!B36="","",RECORD!B36)</x:f>
        <x:v>2024-00577</x:v>
      </x:c>
      <x:c r="B27" s="18" t="str">
        <x:f>IF(RECORD!C36="","",RECORD!C36)</x:f>
        <x:v>Marquez, Jasmine B.</x:v>
      </x:c>
      <x:c r="C27" s="19" t="n">
        <x:f>IF(B27&lt;&gt;"",SUMIFS(RECORD!E36:EP36,RECORD!E$12:EP$12,"CLO1",RECORD!E$11:EP$11,"Prelim"),"")</x:f>
        <x:v>15</x:v>
      </x:c>
      <x:c r="D27" s="19" t="n">
        <x:f>IF(B27&lt;&gt;"",SUMIFS(RECORD!E$13:EP$13,RECORD!E$12:EP$12,"CLO1",RECORD!E$11:EP$11,"Prelim"),"")</x:f>
        <x:v>30</x:v>
      </x:c>
      <x:c r="E27" s="19" t="n">
        <x:f>IF(B27&lt;&gt;"",SUMIFS(RECORD!E36:EP36,RECORD!E$12:EP$12,"CLO1",RECORD!E$11:EP$11,"Midterm"),"")</x:f>
        <x:v>18</x:v>
      </x:c>
      <x:c r="F27" s="19" t="n">
        <x:f>IF(B27&lt;&gt;"",SUMIFS(RECORD!E$13:EP$13,RECORD!E$12:EP$12,"CLO1",RECORD!E$11:EP$11,"Midterm"),"")</x:f>
        <x:v>50</x:v>
      </x:c>
      <x:c r="G27" s="19" t="n">
        <x:f>IF(B27&lt;&gt;"",SUMIFS(RECORD!E36:EP36,RECORD!E$12:EP$12,"CLO1",RECORD!E$11:EP$11,"Final"),"")</x:f>
        <x:v>14</x:v>
      </x:c>
      <x:c r="H27" s="19" t="n">
        <x:f>IF(B27&lt;&gt;"",SUMIFS(RECORD!E$13:EP$13,RECORD!E$12:EP$12,"CLO1",RECORD!E$11:EP$11,"Final"),"")</x:f>
        <x:v>25</x:v>
      </x:c>
      <x:c r="I27" s="20">
        <x:f t="shared" si="0"/>
        <x:v>98.095238095238088</x:v>
      </x:c>
      <x:c r="J27" s="19" t="n">
        <x:f>IF(B27&lt;&gt;"",SUMIFS(RECORD!E36:EP36,RECORD!E$12:EP$12,"CLO2",RECORD!E$11:EP$11,"Prelim"),"")</x:f>
        <x:v>28</x:v>
      </x:c>
      <x:c r="K27" s="19" t="n">
        <x:f>IF(B27&lt;&gt;"",SUMIFS(RECORD!E$13:EP$13,RECORD!E$12:EP$12,"CLO2",RECORD!E$11:EP$11,"Prelim"),"")</x:f>
        <x:v>60</x:v>
      </x:c>
      <x:c r="L27" s="19" t="n">
        <x:f>IF(B27&lt;&gt;"",SUMIFS(RECORD!E36:EP36,RECORD!E$12:EP$12,"CLO2",RECORD!E$11:EP$11,"Midterm"),"")</x:f>
        <x:v>22</x:v>
      </x:c>
      <x:c r="M27" s="19" t="n">
        <x:f>IF(B27&lt;&gt;"",SUMIFS(RECORD!E$13:EP$13,RECORD!E$12:EP$12,"CLO2",RECORD!E$11:EP$11,"Midterm"),"")</x:f>
        <x:v>50</x:v>
      </x:c>
      <x:c r="N27" s="19" t="n">
        <x:f>IF(B27&lt;&gt;"",SUMIFS(RECORD!E36:EP36,RECORD!E$12:EP$12,"CLO2",RECORD!E$11:EP$11,"Final"),"")</x:f>
        <x:v>16</x:v>
      </x:c>
      <x:c r="O27" s="19" t="n">
        <x:f>IF(B27&lt;&gt;"",SUMIFS(RECORD!E$13:EP$13,RECORD!E$12:EP$12,"CLO2",RECORD!E$11:EP$11,"Final"),"")</x:f>
        <x:v>25</x:v>
      </x:c>
      <x:c r="P27" s="20">
        <x:f t="shared" si="1"/>
        <x:v>97.037037037037038</x:v>
      </x:c>
      <x:c r="Q27" s="19" t="n">
        <x:f>IF(B27&lt;&gt;"",SUMIFS(RECORD!E36:EP36,RECORD!E$12:EP$12,"CLO3",RECORD!E$11:EP$11,"Prelim"),"")</x:f>
        <x:v>31</x:v>
      </x:c>
      <x:c r="R27" s="19" t="n">
        <x:f>IF(B27&lt;&gt;"",SUMIFS(RECORD!E$13:EP$13,RECORD!E$12:EP$12,"CLO3",RECORD!E$11:EP$11,"Prelim"),"")</x:f>
        <x:v>80</x:v>
      </x:c>
      <x:c r="S27" s="19" t="n">
        <x:f>IF(B27&lt;&gt;"",SUMIFS(RECORD!E36:EP36,RECORD!E$12:EP$12,"CLO3",RECORD!E$11:EP$11,"Midterm"),"")</x:f>
        <x:v>39</x:v>
      </x:c>
      <x:c r="T27" s="19" t="n">
        <x:f>IF(B27&lt;&gt;"",SUMIFS(RECORD!E$13:EP$13,RECORD!E$12:EP$12,"CLO3",RECORD!E$11:EP$11,"Midterm"),"")</x:f>
        <x:v>100</x:v>
      </x:c>
      <x:c r="U27" s="19" t="n">
        <x:f>IF(B27&lt;&gt;"",SUMIFS(RECORD!E36:EP36,RECORD!E$12:EP$12,"CLO3",RECORD!E$11:EP$11,"Final"),"")</x:f>
        <x:v>11</x:v>
      </x:c>
      <x:c r="V27" s="19" t="n">
        <x:f>IF(B27&lt;&gt;"",SUMIFS(RECORD!E$13:EP$13,RECORD!E$12:EP$12,"CLO3",RECORD!E$11:EP$11,"Final"),"")</x:f>
        <x:v>25</x:v>
      </x:c>
      <x:c r="W27" s="20">
        <x:f t="shared" si="2"/>
        <x:v>98.536585365853654</x:v>
      </x:c>
      <x:c r="X27" s="19" t="n">
        <x:f>IF(B27&lt;&gt;"",SUMIFS(RECORD!E36:EP36,RECORD!E$12:EP$12,"CLO4",RECORD!E$11:EP$11,"Prelim"),"")</x:f>
        <x:v>0</x:v>
      </x:c>
      <x:c r="Y27" s="19" t="n">
        <x:f>IF(B27&lt;&gt;"",SUMIFS(RECORD!E$13:EP$13,RECORD!E$12:EP$12,"CLO4",RECORD!E$11:EP$11,"Prelim"),"")</x:f>
        <x:v>0</x:v>
      </x:c>
      <x:c r="Z27" s="19" t="n">
        <x:f>IF(B27&lt;&gt;"",SUMIFS(RECORD!E36:EP36,RECORD!E$12:EP$12,"CLO4",RECORD!E$11:EP$11,"Midterm"),"")</x:f>
        <x:v>0</x:v>
      </x:c>
      <x:c r="AA27" s="19" t="n">
        <x:f>IF(B27&lt;&gt;"",SUMIFS(RECORD!E$13:EP$13,RECORD!E$12:EP$12,"CLO4",RECORD!E$11:EP$11,"Midterm"),"")</x:f>
        <x:v>0</x:v>
      </x:c>
      <x:c r="AB27" s="19" t="n">
        <x:f>IF(B27&lt;&gt;"",SUMIFS(RECORD!E36:EP36,RECORD!E$12:EP$12,"CLO4",RECORD!E$11:EP$11,"Final"),"")</x:f>
        <x:v>26</x:v>
      </x:c>
      <x:c r="AC27" s="19" t="n">
        <x:f>IF(B27&lt;&gt;"",SUMIFS(RECORD!E$13:EP$13,RECORD!E$12:EP$12,"CLO4",RECORD!E$11:EP$11,"Final"),"")</x:f>
        <x:v>45</x:v>
      </x:c>
      <x:c r="AD27" s="20">
        <x:f t="shared" si="3"/>
        <x:v>97.777777777777771</x:v>
      </x:c>
      <x:c r="AE27" s="19" t="n">
        <x:f>IF(B27&lt;&gt;"",SUMIFS(RECORD!E36:EP36,RECORD!E$12:EP$12,"CLO5",RECORD!E$11:EP$11,"Prelim"),"")</x:f>
        <x:v>0</x:v>
      </x:c>
      <x:c r="AF27" s="19" t="n">
        <x:f>IF(B27&lt;&gt;"",SUMIFS(RECORD!E$13:EP$13,RECORD!E$12:EP$12,"CLO5",RECORD!E$11:EP$11,"Prelim"),"")</x:f>
        <x:v>0</x:v>
      </x:c>
      <x:c r="AG27" s="19" t="n">
        <x:f>IF(B27&lt;&gt;"",SUMIFS(RECORD!E36:EP36,RECORD!E$12:EP$12,"CLO5",RECORD!E$11:EP$11,"Midterm"),"")</x:f>
        <x:v>0</x:v>
      </x:c>
      <x:c r="AH27" s="19" t="n">
        <x:f>IF(B27&lt;&gt;"",SUMIFS(RECORD!E$13:EP$13,RECORD!E$12:EP$12,"CLO5",RECORD!E$11:EP$11,"Midterm"),"")</x:f>
        <x:v>0</x:v>
      </x:c>
      <x:c r="AI27" s="19" t="n">
        <x:f>IF(B27&lt;&gt;"",SUMIFS(RECORD!E36:EP36,RECORD!E$12:EP$12,"CLO5",RECORD!E$11:EP$11,"Final"),"")</x:f>
        <x:v>33</x:v>
      </x:c>
      <x:c r="AJ27" s="19" t="n">
        <x:f>IF(B27&lt;&gt;"",SUMIFS(RECORD!E$13:EP$13,RECORD!E$12:EP$12,"CLO5",RECORD!E$11:EP$11,"Final"),"")</x:f>
        <x:v>75</x:v>
      </x:c>
      <x:c r="AK27" s="20">
        <x:f t="shared" si="4"/>
        <x:v>100</x:v>
      </x:c>
    </x:row>
    <x:row r="28">
      <x:c r="A28" s="18" t="str">
        <x:f>IF(RECORD!B37="","",RECORD!B37)</x:f>
        <x:v>2024-00599</x:v>
      </x:c>
      <x:c r="B28" s="18" t="str">
        <x:f>IF(RECORD!C37="","",RECORD!C37)</x:f>
        <x:v>Velasco, Adrian V.</x:v>
      </x:c>
      <x:c r="C28" s="19" t="n">
        <x:f>IF(B28&lt;&gt;"",SUMIFS(RECORD!E37:EP37,RECORD!E$12:EP$12,"CLO1",RECORD!E$11:EP$11,"Prelim"),"")</x:f>
        <x:v>12</x:v>
      </x:c>
      <x:c r="D28" s="19" t="n">
        <x:f>IF(B28&lt;&gt;"",SUMIFS(RECORD!E$13:EP$13,RECORD!E$12:EP$12,"CLO1",RECORD!E$11:EP$11,"Prelim"),"")</x:f>
        <x:v>30</x:v>
      </x:c>
      <x:c r="E28" s="19" t="n">
        <x:f>IF(B28&lt;&gt;"",SUMIFS(RECORD!E37:EP37,RECORD!E$12:EP$12,"CLO1",RECORD!E$11:EP$11,"Midterm"),"")</x:f>
        <x:v>15</x:v>
      </x:c>
      <x:c r="F28" s="19" t="n">
        <x:f>IF(B28&lt;&gt;"",SUMIFS(RECORD!E$13:EP$13,RECORD!E$12:EP$12,"CLO1",RECORD!E$11:EP$11,"Midterm"),"")</x:f>
        <x:v>50</x:v>
      </x:c>
      <x:c r="G28" s="19" t="n">
        <x:f>IF(B28&lt;&gt;"",SUMIFS(RECORD!E37:EP37,RECORD!E$12:EP$12,"CLO1",RECORD!E$11:EP$11,"Final"),"")</x:f>
        <x:v>12</x:v>
      </x:c>
      <x:c r="H28" s="19" t="n">
        <x:f>IF(B28&lt;&gt;"",SUMIFS(RECORD!E$13:EP$13,RECORD!E$12:EP$12,"CLO1",RECORD!E$11:EP$11,"Final"),"")</x:f>
        <x:v>25</x:v>
      </x:c>
      <x:c r="I28" s="20">
        <x:f t="shared" si="0"/>
        <x:v>70.476190476190482</x:v>
      </x:c>
      <x:c r="J28" s="19" t="n">
        <x:f>IF(B28&lt;&gt;"",SUMIFS(RECORD!E37:EP37,RECORD!E$12:EP$12,"CLO2",RECORD!E$11:EP$11,"Prelim"),"")</x:f>
        <x:v>25</x:v>
      </x:c>
      <x:c r="K28" s="19" t="n">
        <x:f>IF(B28&lt;&gt;"",SUMIFS(RECORD!E$13:EP$13,RECORD!E$12:EP$12,"CLO2",RECORD!E$11:EP$11,"Prelim"),"")</x:f>
        <x:v>60</x:v>
      </x:c>
      <x:c r="L28" s="19" t="n">
        <x:f>IF(B28&lt;&gt;"",SUMIFS(RECORD!E37:EP37,RECORD!E$12:EP$12,"CLO2",RECORD!E$11:EP$11,"Midterm"),"")</x:f>
        <x:v>20</x:v>
      </x:c>
      <x:c r="M28" s="19" t="n">
        <x:f>IF(B28&lt;&gt;"",SUMIFS(RECORD!E$13:EP$13,RECORD!E$12:EP$12,"CLO2",RECORD!E$11:EP$11,"Midterm"),"")</x:f>
        <x:v>50</x:v>
      </x:c>
      <x:c r="N28" s="19" t="n">
        <x:f>IF(B28&lt;&gt;"",SUMIFS(RECORD!E37:EP37,RECORD!E$12:EP$12,"CLO2",RECORD!E$11:EP$11,"Final"),"")</x:f>
        <x:v>7</x:v>
      </x:c>
      <x:c r="O28" s="19" t="n">
        <x:f>IF(B28&lt;&gt;"",SUMIFS(RECORD!E$13:EP$13,RECORD!E$12:EP$12,"CLO2",RECORD!E$11:EP$11,"Final"),"")</x:f>
        <x:v>25</x:v>
      </x:c>
      <x:c r="P28" s="20">
        <x:f t="shared" si="1"/>
        <x:v>68.148148148148152</x:v>
      </x:c>
      <x:c r="Q28" s="19" t="n">
        <x:f>IF(B28&lt;&gt;"",SUMIFS(RECORD!E37:EP37,RECORD!E$12:EP$12,"CLO3",RECORD!E$11:EP$11,"Prelim"),"")</x:f>
        <x:v>20</x:v>
      </x:c>
      <x:c r="R28" s="19" t="n">
        <x:f>IF(B28&lt;&gt;"",SUMIFS(RECORD!E$13:EP$13,RECORD!E$12:EP$12,"CLO3",RECORD!E$11:EP$11,"Prelim"),"")</x:f>
        <x:v>80</x:v>
      </x:c>
      <x:c r="S28" s="19" t="n">
        <x:f>IF(B28&lt;&gt;"",SUMIFS(RECORD!E37:EP37,RECORD!E$12:EP$12,"CLO3",RECORD!E$11:EP$11,"Midterm"),"")</x:f>
        <x:v>38</x:v>
      </x:c>
      <x:c r="T28" s="19" t="n">
        <x:f>IF(B28&lt;&gt;"",SUMIFS(RECORD!E$13:EP$13,RECORD!E$12:EP$12,"CLO3",RECORD!E$11:EP$11,"Midterm"),"")</x:f>
        <x:v>100</x:v>
      </x:c>
      <x:c r="U28" s="19" t="n">
        <x:f>IF(B28&lt;&gt;"",SUMIFS(RECORD!E37:EP37,RECORD!E$12:EP$12,"CLO3",RECORD!E$11:EP$11,"Final"),"")</x:f>
        <x:v>12</x:v>
      </x:c>
      <x:c r="V28" s="19" t="n">
        <x:f>IF(B28&lt;&gt;"",SUMIFS(RECORD!E$13:EP$13,RECORD!E$12:EP$12,"CLO3",RECORD!E$11:EP$11,"Final"),"")</x:f>
        <x:v>25</x:v>
      </x:c>
      <x:c r="W28" s="20">
        <x:f t="shared" si="2"/>
        <x:v>70.243902439024382</x:v>
      </x:c>
      <x:c r="X28" s="19" t="n">
        <x:f>IF(B28&lt;&gt;"",SUMIFS(RECORD!E37:EP37,RECORD!E$12:EP$12,"CLO4",RECORD!E$11:EP$11,"Prelim"),"")</x:f>
        <x:v>0</x:v>
      </x:c>
      <x:c r="Y28" s="19" t="n">
        <x:f>IF(B28&lt;&gt;"",SUMIFS(RECORD!E$13:EP$13,RECORD!E$12:EP$12,"CLO4",RECORD!E$11:EP$11,"Prelim"),"")</x:f>
        <x:v>0</x:v>
      </x:c>
      <x:c r="Z28" s="19" t="n">
        <x:f>IF(B28&lt;&gt;"",SUMIFS(RECORD!E37:EP37,RECORD!E$12:EP$12,"CLO4",RECORD!E$11:EP$11,"Midterm"),"")</x:f>
        <x:v>0</x:v>
      </x:c>
      <x:c r="AA28" s="19" t="n">
        <x:f>IF(B28&lt;&gt;"",SUMIFS(RECORD!E$13:EP$13,RECORD!E$12:EP$12,"CLO4",RECORD!E$11:EP$11,"Midterm"),"")</x:f>
        <x:v>0</x:v>
      </x:c>
      <x:c r="AB28" s="19" t="n">
        <x:f>IF(B28&lt;&gt;"",SUMIFS(RECORD!E37:EP37,RECORD!E$12:EP$12,"CLO4",RECORD!E$11:EP$11,"Final"),"")</x:f>
        <x:v>16</x:v>
      </x:c>
      <x:c r="AC28" s="19" t="n">
        <x:f>IF(B28&lt;&gt;"",SUMIFS(RECORD!E$13:EP$13,RECORD!E$12:EP$12,"CLO4",RECORD!E$11:EP$11,"Final"),"")</x:f>
        <x:v>45</x:v>
      </x:c>
      <x:c r="AD28" s="20">
        <x:f t="shared" si="3"/>
        <x:v>62.222222222222221</x:v>
      </x:c>
      <x:c r="AE28" s="19" t="n">
        <x:f>IF(B28&lt;&gt;"",SUMIFS(RECORD!E37:EP37,RECORD!E$12:EP$12,"CLO5",RECORD!E$11:EP$11,"Prelim"),"")</x:f>
        <x:v>0</x:v>
      </x:c>
      <x:c r="AF28" s="19" t="n">
        <x:f>IF(B28&lt;&gt;"",SUMIFS(RECORD!E$13:EP$13,RECORD!E$12:EP$12,"CLO5",RECORD!E$11:EP$11,"Prelim"),"")</x:f>
        <x:v>0</x:v>
      </x:c>
      <x:c r="AG28" s="19" t="n">
        <x:f>IF(B28&lt;&gt;"",SUMIFS(RECORD!E37:EP37,RECORD!E$12:EP$12,"CLO5",RECORD!E$11:EP$11,"Midterm"),"")</x:f>
        <x:v>0</x:v>
      </x:c>
      <x:c r="AH28" s="19" t="n">
        <x:f>IF(B28&lt;&gt;"",SUMIFS(RECORD!E$13:EP$13,RECORD!E$12:EP$12,"CLO5",RECORD!E$11:EP$11,"Midterm"),"")</x:f>
        <x:v>0</x:v>
      </x:c>
      <x:c r="AI28" s="19" t="n">
        <x:f>IF(B28&lt;&gt;"",SUMIFS(RECORD!E37:EP37,RECORD!E$12:EP$12,"CLO5",RECORD!E$11:EP$11,"Final"),"")</x:f>
        <x:v>33</x:v>
      </x:c>
      <x:c r="AJ28" s="19" t="n">
        <x:f>IF(B28&lt;&gt;"",SUMIFS(RECORD!E$13:EP$13,RECORD!E$12:EP$12,"CLO5",RECORD!E$11:EP$11,"Final"),"")</x:f>
        <x:v>75</x:v>
      </x:c>
      <x:c r="AK28" s="20">
        <x:f t="shared" si="4"/>
        <x:v>68</x:v>
      </x:c>
    </x:row>
    <x:row r="29">
      <x:c r="A29" s="18" t="str">
        <x:f>IF(RECORD!B38="","",RECORD!B38)</x:f>
        <x:v>2024-00621</x:v>
      </x:c>
      <x:c r="B29" s="18" t="str">
        <x:f>IF(RECORD!C38="","",RECORD!C38)</x:f>
        <x:v>Palma, Gian K.</x:v>
      </x:c>
      <x:c r="C29" s="19" t="n">
        <x:f>IF(B29&lt;&gt;"",SUMIFS(RECORD!E38:EP38,RECORD!E$12:EP$12,"CLO1",RECORD!E$11:EP$11,"Prelim"),"")</x:f>
        <x:v>22</x:v>
      </x:c>
      <x:c r="D29" s="19" t="n">
        <x:f>IF(B29&lt;&gt;"",SUMIFS(RECORD!E$13:EP$13,RECORD!E$12:EP$12,"CLO1",RECORD!E$11:EP$11,"Prelim"),"")</x:f>
        <x:v>30</x:v>
      </x:c>
      <x:c r="E29" s="19" t="n">
        <x:f>IF(B29&lt;&gt;"",SUMIFS(RECORD!E38:EP38,RECORD!E$12:EP$12,"CLO1",RECORD!E$11:EP$11,"Midterm"),"")</x:f>
        <x:v>41</x:v>
      </x:c>
      <x:c r="F29" s="19" t="n">
        <x:f>IF(B29&lt;&gt;"",SUMIFS(RECORD!E$13:EP$13,RECORD!E$12:EP$12,"CLO1",RECORD!E$11:EP$11,"Midterm"),"")</x:f>
        <x:v>50</x:v>
      </x:c>
      <x:c r="G29" s="19" t="n">
        <x:f>IF(B29&lt;&gt;"",SUMIFS(RECORD!E38:EP38,RECORD!E$12:EP$12,"CLO1",RECORD!E$11:EP$11,"Final"),"")</x:f>
        <x:v>22</x:v>
      </x:c>
      <x:c r="H29" s="19" t="n">
        <x:f>IF(B29&lt;&gt;"",SUMIFS(RECORD!E$13:EP$13,RECORD!E$12:EP$12,"CLO1",RECORD!E$11:EP$11,"Final"),"")</x:f>
        <x:v>25</x:v>
      </x:c>
      <x:c r="I29" s="20">
        <x:f t="shared" si="0"/>
        <x:v>80</x:v>
      </x:c>
      <x:c r="J29" s="19" t="n">
        <x:f>IF(B29&lt;&gt;"",SUMIFS(RECORD!E38:EP38,RECORD!E$12:EP$12,"CLO2",RECORD!E$11:EP$11,"Prelim"),"")</x:f>
        <x:v>55</x:v>
      </x:c>
      <x:c r="K29" s="19" t="n">
        <x:f>IF(B29&lt;&gt;"",SUMIFS(RECORD!E$13:EP$13,RECORD!E$12:EP$12,"CLO2",RECORD!E$11:EP$11,"Prelim"),"")</x:f>
        <x:v>60</x:v>
      </x:c>
      <x:c r="L29" s="19" t="n">
        <x:f>IF(B29&lt;&gt;"",SUMIFS(RECORD!E38:EP38,RECORD!E$12:EP$12,"CLO2",RECORD!E$11:EP$11,"Midterm"),"")</x:f>
        <x:v>41</x:v>
      </x:c>
      <x:c r="M29" s="19" t="n">
        <x:f>IF(B29&lt;&gt;"",SUMIFS(RECORD!E$13:EP$13,RECORD!E$12:EP$12,"CLO2",RECORD!E$11:EP$11,"Midterm"),"")</x:f>
        <x:v>50</x:v>
      </x:c>
      <x:c r="N29" s="19" t="n">
        <x:f>IF(B29&lt;&gt;"",SUMIFS(RECORD!E38:EP38,RECORD!E$12:EP$12,"CLO2",RECORD!E$11:EP$11,"Final"),"")</x:f>
        <x:v>19</x:v>
      </x:c>
      <x:c r="O29" s="19" t="n">
        <x:f>IF(B29&lt;&gt;"",SUMIFS(RECORD!E$13:EP$13,RECORD!E$12:EP$12,"CLO2",RECORD!E$11:EP$11,"Final"),"")</x:f>
        <x:v>25</x:v>
      </x:c>
      <x:c r="P29" s="20">
        <x:f t="shared" si="1"/>
        <x:v>80</x:v>
      </x:c>
      <x:c r="Q29" s="19" t="n">
        <x:f>IF(B29&lt;&gt;"",SUMIFS(RECORD!E38:EP38,RECORD!E$12:EP$12,"CLO3",RECORD!E$11:EP$11,"Prelim"),"")</x:f>
        <x:v>65</x:v>
      </x:c>
      <x:c r="R29" s="19" t="n">
        <x:f>IF(B29&lt;&gt;"",SUMIFS(RECORD!E$13:EP$13,RECORD!E$12:EP$12,"CLO3",RECORD!E$11:EP$11,"Prelim"),"")</x:f>
        <x:v>80</x:v>
      </x:c>
      <x:c r="S29" s="19" t="n">
        <x:f>IF(B29&lt;&gt;"",SUMIFS(RECORD!E38:EP38,RECORD!E$12:EP$12,"CLO3",RECORD!E$11:EP$11,"Midterm"),"")</x:f>
        <x:v>70</x:v>
      </x:c>
      <x:c r="T29" s="19" t="n">
        <x:f>IF(B29&lt;&gt;"",SUMIFS(RECORD!E$13:EP$13,RECORD!E$12:EP$12,"CLO3",RECORD!E$11:EP$11,"Midterm"),"")</x:f>
        <x:v>100</x:v>
      </x:c>
      <x:c r="U29" s="19" t="n">
        <x:f>IF(B29&lt;&gt;"",SUMIFS(RECORD!E38:EP38,RECORD!E$12:EP$12,"CLO3",RECORD!E$11:EP$11,"Final"),"")</x:f>
        <x:v>21</x:v>
      </x:c>
      <x:c r="V29" s="19" t="n">
        <x:f>IF(B29&lt;&gt;"",SUMIFS(RECORD!E$13:EP$13,RECORD!E$12:EP$12,"CLO3",RECORD!E$11:EP$11,"Final"),"")</x:f>
        <x:v>25</x:v>
      </x:c>
      <x:c r="W29" s="20">
        <x:f t="shared" si="2"/>
        <x:v>82.439024390243901</x:v>
      </x:c>
      <x:c r="X29" s="19" t="n">
        <x:f>IF(B29&lt;&gt;"",SUMIFS(RECORD!E38:EP38,RECORD!E$12:EP$12,"CLO4",RECORD!E$11:EP$11,"Prelim"),"")</x:f>
        <x:v>0</x:v>
      </x:c>
      <x:c r="Y29" s="19" t="n">
        <x:f>IF(B29&lt;&gt;"",SUMIFS(RECORD!E$13:EP$13,RECORD!E$12:EP$12,"CLO4",RECORD!E$11:EP$11,"Prelim"),"")</x:f>
        <x:v>0</x:v>
      </x:c>
      <x:c r="Z29" s="19" t="n">
        <x:f>IF(B29&lt;&gt;"",SUMIFS(RECORD!E38:EP38,RECORD!E$12:EP$12,"CLO4",RECORD!E$11:EP$11,"Midterm"),"")</x:f>
        <x:v>0</x:v>
      </x:c>
      <x:c r="AA29" s="19" t="n">
        <x:f>IF(B29&lt;&gt;"",SUMIFS(RECORD!E$13:EP$13,RECORD!E$12:EP$12,"CLO4",RECORD!E$11:EP$11,"Midterm"),"")</x:f>
        <x:v>0</x:v>
      </x:c>
      <x:c r="AB29" s="19" t="n">
        <x:f>IF(B29&lt;&gt;"",SUMIFS(RECORD!E38:EP38,RECORD!E$12:EP$12,"CLO4",RECORD!E$11:EP$11,"Final"),"")</x:f>
        <x:v>37</x:v>
      </x:c>
      <x:c r="AC29" s="19" t="n">
        <x:f>IF(B29&lt;&gt;"",SUMIFS(RECORD!E$13:EP$13,RECORD!E$12:EP$12,"CLO4",RECORD!E$11:EP$11,"Final"),"")</x:f>
        <x:v>45</x:v>
      </x:c>
      <x:c r="AD29" s="20">
        <x:f t="shared" si="3"/>
        <x:v>77.777777777777786</x:v>
      </x:c>
      <x:c r="AE29" s="19" t="n">
        <x:f>IF(B29&lt;&gt;"",SUMIFS(RECORD!E38:EP38,RECORD!E$12:EP$12,"CLO5",RECORD!E$11:EP$11,"Prelim"),"")</x:f>
        <x:v>0</x:v>
      </x:c>
      <x:c r="AF29" s="19" t="n">
        <x:f>IF(B29&lt;&gt;"",SUMIFS(RECORD!E$13:EP$13,RECORD!E$12:EP$12,"CLO5",RECORD!E$11:EP$11,"Prelim"),"")</x:f>
        <x:v>0</x:v>
      </x:c>
      <x:c r="AG29" s="19" t="n">
        <x:f>IF(B29&lt;&gt;"",SUMIFS(RECORD!E38:EP38,RECORD!E$12:EP$12,"CLO5",RECORD!E$11:EP$11,"Midterm"),"")</x:f>
        <x:v>0</x:v>
      </x:c>
      <x:c r="AH29" s="19" t="n">
        <x:f>IF(B29&lt;&gt;"",SUMIFS(RECORD!E$13:EP$13,RECORD!E$12:EP$12,"CLO5",RECORD!E$11:EP$11,"Midterm"),"")</x:f>
        <x:v>0</x:v>
      </x:c>
      <x:c r="AI29" s="19" t="n">
        <x:f>IF(B29&lt;&gt;"",SUMIFS(RECORD!E38:EP38,RECORD!E$12:EP$12,"CLO5",RECORD!E$11:EP$11,"Final"),"")</x:f>
        <x:v>55</x:v>
      </x:c>
      <x:c r="AJ29" s="19" t="n">
        <x:f>IF(B29&lt;&gt;"",SUMIFS(RECORD!E$13:EP$13,RECORD!E$12:EP$12,"CLO5",RECORD!E$11:EP$11,"Final"),"")</x:f>
        <x:v>75</x:v>
      </x:c>
      <x:c r="AK29" s="20">
        <x:f t="shared" si="4"/>
        <x:v>82.666666666666671</x:v>
      </x:c>
    </x:row>
    <x:row r="30">
      <x:c r="A30" s="18" t="str">
        <x:f>IF(RECORD!B39="","",RECORD!B39)</x:f>
        <x:v>2024-00643</x:v>
      </x:c>
      <x:c r="B30" s="18" t="str">
        <x:f>IF(RECORD!C39="","",RECORD!C39)</x:f>
        <x:v>Torres, Sean T.</x:v>
      </x:c>
      <x:c r="C30" s="19" t="n">
        <x:f>IF(B30&lt;&gt;"",SUMIFS(RECORD!E39:EP39,RECORD!E$12:EP$12,"CLO1",RECORD!E$11:EP$11,"Prelim"),"")</x:f>
        <x:v>22</x:v>
      </x:c>
      <x:c r="D30" s="19" t="n">
        <x:f>IF(B30&lt;&gt;"",SUMIFS(RECORD!E$13:EP$13,RECORD!E$12:EP$12,"CLO1",RECORD!E$11:EP$11,"Prelim"),"")</x:f>
        <x:v>30</x:v>
      </x:c>
      <x:c r="E30" s="19" t="n">
        <x:f>IF(B30&lt;&gt;"",SUMIFS(RECORD!E39:EP39,RECORD!E$12:EP$12,"CLO1",RECORD!E$11:EP$11,"Midterm"),"")</x:f>
        <x:v>37</x:v>
      </x:c>
      <x:c r="F30" s="19" t="n">
        <x:f>IF(B30&lt;&gt;"",SUMIFS(RECORD!E$13:EP$13,RECORD!E$12:EP$12,"CLO1",RECORD!E$11:EP$11,"Midterm"),"")</x:f>
        <x:v>50</x:v>
      </x:c>
      <x:c r="G30" s="19" t="n">
        <x:f>IF(B30&lt;&gt;"",SUMIFS(RECORD!E39:EP39,RECORD!E$12:EP$12,"CLO1",RECORD!E$11:EP$11,"Final"),"")</x:f>
        <x:v>22</x:v>
      </x:c>
      <x:c r="H30" s="19" t="n">
        <x:f>IF(B30&lt;&gt;"",SUMIFS(RECORD!E$13:EP$13,RECORD!E$12:EP$12,"CLO1",RECORD!E$11:EP$11,"Final"),"")</x:f>
        <x:v>25</x:v>
      </x:c>
      <x:c r="I30" s="20">
        <x:f t="shared" si="0"/>
        <x:v>84.761904761904759</x:v>
      </x:c>
      <x:c r="J30" s="19" t="n">
        <x:f>IF(B30&lt;&gt;"",SUMIFS(RECORD!E39:EP39,RECORD!E$12:EP$12,"CLO2",RECORD!E$11:EP$11,"Prelim"),"")</x:f>
        <x:v>50</x:v>
      </x:c>
      <x:c r="K30" s="19" t="n">
        <x:f>IF(B30&lt;&gt;"",SUMIFS(RECORD!E$13:EP$13,RECORD!E$12:EP$12,"CLO2",RECORD!E$11:EP$11,"Prelim"),"")</x:f>
        <x:v>60</x:v>
      </x:c>
      <x:c r="L30" s="19" t="n">
        <x:f>IF(B30&lt;&gt;"",SUMIFS(RECORD!E39:EP39,RECORD!E$12:EP$12,"CLO2",RECORD!E$11:EP$11,"Midterm"),"")</x:f>
        <x:v>33</x:v>
      </x:c>
      <x:c r="M30" s="19" t="n">
        <x:f>IF(B30&lt;&gt;"",SUMIFS(RECORD!E$13:EP$13,RECORD!E$12:EP$12,"CLO2",RECORD!E$11:EP$11,"Midterm"),"")</x:f>
        <x:v>50</x:v>
      </x:c>
      <x:c r="N30" s="19" t="n">
        <x:f>IF(B30&lt;&gt;"",SUMIFS(RECORD!E39:EP39,RECORD!E$12:EP$12,"CLO2",RECORD!E$11:EP$11,"Final"),"")</x:f>
        <x:v>20</x:v>
      </x:c>
      <x:c r="O30" s="19" t="n">
        <x:f>IF(B30&lt;&gt;"",SUMIFS(RECORD!E$13:EP$13,RECORD!E$12:EP$12,"CLO2",RECORD!E$11:EP$11,"Final"),"")</x:f>
        <x:v>25</x:v>
      </x:c>
      <x:c r="P30" s="20">
        <x:f t="shared" si="1"/>
        <x:v>83.703703703703695</x:v>
      </x:c>
      <x:c r="Q30" s="19" t="n">
        <x:f>IF(B30&lt;&gt;"",SUMIFS(RECORD!E39:EP39,RECORD!E$12:EP$12,"CLO3",RECORD!E$11:EP$11,"Prelim"),"")</x:f>
        <x:v>64</x:v>
      </x:c>
      <x:c r="R30" s="19" t="n">
        <x:f>IF(B30&lt;&gt;"",SUMIFS(RECORD!E$13:EP$13,RECORD!E$12:EP$12,"CLO3",RECORD!E$11:EP$11,"Prelim"),"")</x:f>
        <x:v>80</x:v>
      </x:c>
      <x:c r="S30" s="19" t="n">
        <x:f>IF(B30&lt;&gt;"",SUMIFS(RECORD!E39:EP39,RECORD!E$12:EP$12,"CLO3",RECORD!E$11:EP$11,"Midterm"),"")</x:f>
        <x:v>85</x:v>
      </x:c>
      <x:c r="T30" s="19" t="n">
        <x:f>IF(B30&lt;&gt;"",SUMIFS(RECORD!E$13:EP$13,RECORD!E$12:EP$12,"CLO3",RECORD!E$11:EP$11,"Midterm"),"")</x:f>
        <x:v>100</x:v>
      </x:c>
      <x:c r="U30" s="19" t="n">
        <x:f>IF(B30&lt;&gt;"",SUMIFS(RECORD!E39:EP39,RECORD!E$12:EP$12,"CLO3",RECORD!E$11:EP$11,"Final"),"")</x:f>
        <x:v>17</x:v>
      </x:c>
      <x:c r="V30" s="19" t="n">
        <x:f>IF(B30&lt;&gt;"",SUMIFS(RECORD!E$13:EP$13,RECORD!E$12:EP$12,"CLO3",RECORD!E$11:EP$11,"Final"),"")</x:f>
        <x:v>25</x:v>
      </x:c>
      <x:c r="W30" s="20">
        <x:f t="shared" si="2"/>
        <x:v>86.341463414634148</x:v>
      </x:c>
      <x:c r="X30" s="19" t="n">
        <x:f>IF(B30&lt;&gt;"",SUMIFS(RECORD!E39:EP39,RECORD!E$12:EP$12,"CLO4",RECORD!E$11:EP$11,"Prelim"),"")</x:f>
        <x:v>0</x:v>
      </x:c>
      <x:c r="Y30" s="19" t="n">
        <x:f>IF(B30&lt;&gt;"",SUMIFS(RECORD!E$13:EP$13,RECORD!E$12:EP$12,"CLO4",RECORD!E$11:EP$11,"Prelim"),"")</x:f>
        <x:v>0</x:v>
      </x:c>
      <x:c r="Z30" s="19" t="n">
        <x:f>IF(B30&lt;&gt;"",SUMIFS(RECORD!E39:EP39,RECORD!E$12:EP$12,"CLO4",RECORD!E$11:EP$11,"Midterm"),"")</x:f>
        <x:v>0</x:v>
      </x:c>
      <x:c r="AA30" s="19" t="n">
        <x:f>IF(B30&lt;&gt;"",SUMIFS(RECORD!E$13:EP$13,RECORD!E$12:EP$12,"CLO4",RECORD!E$11:EP$11,"Midterm"),"")</x:f>
        <x:v>0</x:v>
      </x:c>
      <x:c r="AB30" s="19" t="n">
        <x:f>IF(B30&lt;&gt;"",SUMIFS(RECORD!E39:EP39,RECORD!E$12:EP$12,"CLO4",RECORD!E$11:EP$11,"Final"),"")</x:f>
        <x:v>34</x:v>
      </x:c>
      <x:c r="AC30" s="19" t="n">
        <x:f>IF(B30&lt;&gt;"",SUMIFS(RECORD!E$13:EP$13,RECORD!E$12:EP$12,"CLO4",RECORD!E$11:EP$11,"Final"),"")</x:f>
        <x:v>45</x:v>
      </x:c>
      <x:c r="AD30" s="20">
        <x:f t="shared" si="3"/>
        <x:v>84.444444444444443</x:v>
      </x:c>
      <x:c r="AE30" s="19" t="n">
        <x:f>IF(B30&lt;&gt;"",SUMIFS(RECORD!E39:EP39,RECORD!E$12:EP$12,"CLO5",RECORD!E$11:EP$11,"Prelim"),"")</x:f>
        <x:v>0</x:v>
      </x:c>
      <x:c r="AF30" s="19" t="n">
        <x:f>IF(B30&lt;&gt;"",SUMIFS(RECORD!E$13:EP$13,RECORD!E$12:EP$12,"CLO5",RECORD!E$11:EP$11,"Prelim"),"")</x:f>
        <x:v>0</x:v>
      </x:c>
      <x:c r="AG30" s="19" t="n">
        <x:f>IF(B30&lt;&gt;"",SUMIFS(RECORD!E39:EP39,RECORD!E$12:EP$12,"CLO5",RECORD!E$11:EP$11,"Midterm"),"")</x:f>
        <x:v>0</x:v>
      </x:c>
      <x:c r="AH30" s="19" t="n">
        <x:f>IF(B30&lt;&gt;"",SUMIFS(RECORD!E$13:EP$13,RECORD!E$12:EP$12,"CLO5",RECORD!E$11:EP$11,"Midterm"),"")</x:f>
        <x:v>0</x:v>
      </x:c>
      <x:c r="AI30" s="19" t="n">
        <x:f>IF(B30&lt;&gt;"",SUMIFS(RECORD!E39:EP39,RECORD!E$12:EP$12,"CLO5",RECORD!E$11:EP$11,"Final"),"")</x:f>
        <x:v>66</x:v>
      </x:c>
      <x:c r="AJ30" s="19" t="n">
        <x:f>IF(B30&lt;&gt;"",SUMIFS(RECORD!E$13:EP$13,RECORD!E$12:EP$12,"CLO5",RECORD!E$11:EP$11,"Final"),"")</x:f>
        <x:v>75</x:v>
      </x:c>
      <x:c r="AK30" s="20">
        <x:f t="shared" si="4"/>
        <x:v>88</x:v>
      </x:c>
    </x:row>
    <x:row r="31">
      <x:c r="A31" s="18" t="str">
        <x:f>IF(RECORD!B40="","",RECORD!B40)</x:f>
        <x:v>2024-00665</x:v>
      </x:c>
      <x:c r="B31" s="18" t="str">
        <x:f>IF(RECORD!C40="","",RECORD!C40)</x:f>
        <x:v>Santos, Xandra J.</x:v>
      </x:c>
      <x:c r="C31" s="19" t="n">
        <x:f>IF(B31&lt;&gt;"",SUMIFS(RECORD!E40:EP40,RECORD!E$12:EP$12,"CLO1",RECORD!E$11:EP$11,"Prelim"),"")</x:f>
        <x:v>19</x:v>
      </x:c>
      <x:c r="D31" s="19" t="n">
        <x:f>IF(B31&lt;&gt;"",SUMIFS(RECORD!E$13:EP$13,RECORD!E$12:EP$12,"CLO1",RECORD!E$11:EP$11,"Prelim"),"")</x:f>
        <x:v>30</x:v>
      </x:c>
      <x:c r="E31" s="19" t="n">
        <x:f>IF(B31&lt;&gt;"",SUMIFS(RECORD!E40:EP40,RECORD!E$12:EP$12,"CLO1",RECORD!E$11:EP$11,"Midterm"),"")</x:f>
        <x:v>35</x:v>
      </x:c>
      <x:c r="F31" s="19" t="n">
        <x:f>IF(B31&lt;&gt;"",SUMIFS(RECORD!E$13:EP$13,RECORD!E$12:EP$12,"CLO1",RECORD!E$11:EP$11,"Midterm"),"")</x:f>
        <x:v>50</x:v>
      </x:c>
      <x:c r="G31" s="19" t="n">
        <x:f>IF(B31&lt;&gt;"",SUMIFS(RECORD!E40:EP40,RECORD!E$12:EP$12,"CLO1",RECORD!E$11:EP$11,"Final"),"")</x:f>
        <x:v>22</x:v>
      </x:c>
      <x:c r="H31" s="19" t="n">
        <x:f>IF(B31&lt;&gt;"",SUMIFS(RECORD!E$13:EP$13,RECORD!E$12:EP$12,"CLO1",RECORD!E$11:EP$11,"Final"),"")</x:f>
        <x:v>25</x:v>
      </x:c>
      <x:c r="I31" s="20">
        <x:f t="shared" si="0"/>
        <x:v>49.523809523809526</x:v>
      </x:c>
      <x:c r="J31" s="19" t="n">
        <x:f>IF(B31&lt;&gt;"",SUMIFS(RECORD!E40:EP40,RECORD!E$12:EP$12,"CLO2",RECORD!E$11:EP$11,"Prelim"),"")</x:f>
        <x:v>47</x:v>
      </x:c>
      <x:c r="K31" s="19" t="n">
        <x:f>IF(B31&lt;&gt;"",SUMIFS(RECORD!E$13:EP$13,RECORD!E$12:EP$12,"CLO2",RECORD!E$11:EP$11,"Prelim"),"")</x:f>
        <x:v>60</x:v>
      </x:c>
      <x:c r="L31" s="19" t="n">
        <x:f>IF(B31&lt;&gt;"",SUMIFS(RECORD!E40:EP40,RECORD!E$12:EP$12,"CLO2",RECORD!E$11:EP$11,"Midterm"),"")</x:f>
        <x:v>42</x:v>
      </x:c>
      <x:c r="M31" s="19" t="n">
        <x:f>IF(B31&lt;&gt;"",SUMIFS(RECORD!E$13:EP$13,RECORD!E$12:EP$12,"CLO2",RECORD!E$11:EP$11,"Midterm"),"")</x:f>
        <x:v>50</x:v>
      </x:c>
      <x:c r="N31" s="19" t="n">
        <x:f>IF(B31&lt;&gt;"",SUMIFS(RECORD!E40:EP40,RECORD!E$12:EP$12,"CLO2",RECORD!E$11:EP$11,"Final"),"")</x:f>
        <x:v>16</x:v>
      </x:c>
      <x:c r="O31" s="19" t="n">
        <x:f>IF(B31&lt;&gt;"",SUMIFS(RECORD!E$13:EP$13,RECORD!E$12:EP$12,"CLO2",RECORD!E$11:EP$11,"Final"),"")</x:f>
        <x:v>25</x:v>
      </x:c>
      <x:c r="P31" s="20">
        <x:f t="shared" si="1"/>
        <x:v>47.407407407407412</x:v>
      </x:c>
      <x:c r="Q31" s="19" t="n">
        <x:f>IF(B31&lt;&gt;"",SUMIFS(RECORD!E40:EP40,RECORD!E$12:EP$12,"CLO3",RECORD!E$11:EP$11,"Prelim"),"")</x:f>
        <x:v>55</x:v>
      </x:c>
      <x:c r="R31" s="19" t="n">
        <x:f>IF(B31&lt;&gt;"",SUMIFS(RECORD!E$13:EP$13,RECORD!E$12:EP$12,"CLO3",RECORD!E$11:EP$11,"Prelim"),"")</x:f>
        <x:v>80</x:v>
      </x:c>
      <x:c r="S31" s="19" t="n">
        <x:f>IF(B31&lt;&gt;"",SUMIFS(RECORD!E40:EP40,RECORD!E$12:EP$12,"CLO3",RECORD!E$11:EP$11,"Midterm"),"")</x:f>
        <x:v>75</x:v>
      </x:c>
      <x:c r="T31" s="19" t="n">
        <x:f>IF(B31&lt;&gt;"",SUMIFS(RECORD!E$13:EP$13,RECORD!E$12:EP$12,"CLO3",RECORD!E$11:EP$11,"Midterm"),"")</x:f>
        <x:v>100</x:v>
      </x:c>
      <x:c r="U31" s="19" t="n">
        <x:f>IF(B31&lt;&gt;"",SUMIFS(RECORD!E40:EP40,RECORD!E$12:EP$12,"CLO3",RECORD!E$11:EP$11,"Final"),"")</x:f>
        <x:v>17</x:v>
      </x:c>
      <x:c r="V31" s="19" t="n">
        <x:f>IF(B31&lt;&gt;"",SUMIFS(RECORD!E$13:EP$13,RECORD!E$12:EP$12,"CLO3",RECORD!E$11:EP$11,"Final"),"")</x:f>
        <x:v>25</x:v>
      </x:c>
      <x:c r="W31" s="20">
        <x:f t="shared" si="2"/>
        <x:v>53.658536585365859</x:v>
      </x:c>
      <x:c r="X31" s="19" t="n">
        <x:f>IF(B31&lt;&gt;"",SUMIFS(RECORD!E40:EP40,RECORD!E$12:EP$12,"CLO4",RECORD!E$11:EP$11,"Prelim"),"")</x:f>
        <x:v>0</x:v>
      </x:c>
      <x:c r="Y31" s="19" t="n">
        <x:f>IF(B31&lt;&gt;"",SUMIFS(RECORD!E$13:EP$13,RECORD!E$12:EP$12,"CLO4",RECORD!E$11:EP$11,"Prelim"),"")</x:f>
        <x:v>0</x:v>
      </x:c>
      <x:c r="Z31" s="19" t="n">
        <x:f>IF(B31&lt;&gt;"",SUMIFS(RECORD!E40:EP40,RECORD!E$12:EP$12,"CLO4",RECORD!E$11:EP$11,"Midterm"),"")</x:f>
        <x:v>0</x:v>
      </x:c>
      <x:c r="AA31" s="19" t="n">
        <x:f>IF(B31&lt;&gt;"",SUMIFS(RECORD!E$13:EP$13,RECORD!E$12:EP$12,"CLO4",RECORD!E$11:EP$11,"Midterm"),"")</x:f>
        <x:v>0</x:v>
      </x:c>
      <x:c r="AB31" s="19" t="n">
        <x:f>IF(B31&lt;&gt;"",SUMIFS(RECORD!E40:EP40,RECORD!E$12:EP$12,"CLO4",RECORD!E$11:EP$11,"Final"),"")</x:f>
        <x:v>37</x:v>
      </x:c>
      <x:c r="AC31" s="19" t="n">
        <x:f>IF(B31&lt;&gt;"",SUMIFS(RECORD!E$13:EP$13,RECORD!E$12:EP$12,"CLO4",RECORD!E$11:EP$11,"Final"),"")</x:f>
        <x:v>45</x:v>
      </x:c>
      <x:c r="AD31" s="20">
        <x:f t="shared" si="3"/>
        <x:v>44.444444444444443</x:v>
      </x:c>
      <x:c r="AE31" s="19" t="n">
        <x:f>IF(B31&lt;&gt;"",SUMIFS(RECORD!E40:EP40,RECORD!E$12:EP$12,"CLO5",RECORD!E$11:EP$11,"Prelim"),"")</x:f>
        <x:v>0</x:v>
      </x:c>
      <x:c r="AF31" s="19" t="n">
        <x:f>IF(B31&lt;&gt;"",SUMIFS(RECORD!E$13:EP$13,RECORD!E$12:EP$12,"CLO5",RECORD!E$11:EP$11,"Prelim"),"")</x:f>
        <x:v>0</x:v>
      </x:c>
      <x:c r="AG31" s="19" t="n">
        <x:f>IF(B31&lt;&gt;"",SUMIFS(RECORD!E40:EP40,RECORD!E$12:EP$12,"CLO5",RECORD!E$11:EP$11,"Midterm"),"")</x:f>
        <x:v>0</x:v>
      </x:c>
      <x:c r="AH31" s="19" t="n">
        <x:f>IF(B31&lt;&gt;"",SUMIFS(RECORD!E$13:EP$13,RECORD!E$12:EP$12,"CLO5",RECORD!E$11:EP$11,"Midterm"),"")</x:f>
        <x:v>0</x:v>
      </x:c>
      <x:c r="AI31" s="19" t="n">
        <x:f>IF(B31&lt;&gt;"",SUMIFS(RECORD!E40:EP40,RECORD!E$12:EP$12,"CLO5",RECORD!E$11:EP$11,"Final"),"")</x:f>
        <x:v>60</x:v>
      </x:c>
      <x:c r="AJ31" s="19" t="n">
        <x:f>IF(B31&lt;&gt;"",SUMIFS(RECORD!E$13:EP$13,RECORD!E$12:EP$12,"CLO5",RECORD!E$11:EP$11,"Final"),"")</x:f>
        <x:v>75</x:v>
      </x:c>
      <x:c r="AK31" s="20">
        <x:f t="shared" si="4"/>
        <x:v>48</x:v>
      </x:c>
    </x:row>
    <x:row r="32">
      <x:c r="A32" s="18" t="str">
        <x:f>IF(RECORD!B41="","",RECORD!B41)</x:f>
        <x:v>2024-00687</x:v>
      </x:c>
      <x:c r="B32" s="18" t="str">
        <x:f>IF(RECORD!C41="","",RECORD!C41)</x:f>
        <x:v>Alvarez, Ivan A.</x:v>
      </x:c>
      <x:c r="C32" s="19" t="n">
        <x:f>IF(B32&lt;&gt;"",SUMIFS(RECORD!E41:EP41,RECORD!E$12:EP$12,"CLO1",RECORD!E$11:EP$11,"Prelim"),"")</x:f>
        <x:v>21</x:v>
      </x:c>
      <x:c r="D32" s="19" t="n">
        <x:f>IF(B32&lt;&gt;"",SUMIFS(RECORD!E$13:EP$13,RECORD!E$12:EP$12,"CLO1",RECORD!E$11:EP$11,"Prelim"),"")</x:f>
        <x:v>30</x:v>
      </x:c>
      <x:c r="E32" s="19" t="n">
        <x:f>IF(B32&lt;&gt;"",SUMIFS(RECORD!E41:EP41,RECORD!E$12:EP$12,"CLO1",RECORD!E$11:EP$11,"Midterm"),"")</x:f>
        <x:v>33</x:v>
      </x:c>
      <x:c r="F32" s="19" t="n">
        <x:f>IF(B32&lt;&gt;"",SUMIFS(RECORD!E$13:EP$13,RECORD!E$12:EP$12,"CLO1",RECORD!E$11:EP$11,"Midterm"),"")</x:f>
        <x:v>50</x:v>
      </x:c>
      <x:c r="G32" s="19" t="n">
        <x:f>IF(B32&lt;&gt;"",SUMIFS(RECORD!E41:EP41,RECORD!E$12:EP$12,"CLO1",RECORD!E$11:EP$11,"Final"),"")</x:f>
        <x:v>17</x:v>
      </x:c>
      <x:c r="H32" s="19" t="n">
        <x:f>IF(B32&lt;&gt;"",SUMIFS(RECORD!E$13:EP$13,RECORD!E$12:EP$12,"CLO1",RECORD!E$11:EP$11,"Final"),"")</x:f>
        <x:v>25</x:v>
      </x:c>
      <x:c r="I32" s="20">
        <x:f t="shared" si="0"/>
        <x:v>86.666666666666671</x:v>
      </x:c>
      <x:c r="J32" s="19" t="n">
        <x:f>IF(B32&lt;&gt;"",SUMIFS(RECORD!E41:EP41,RECORD!E$12:EP$12,"CLO2",RECORD!E$11:EP$11,"Prelim"),"")</x:f>
        <x:v>53</x:v>
      </x:c>
      <x:c r="K32" s="19" t="n">
        <x:f>IF(B32&lt;&gt;"",SUMIFS(RECORD!E$13:EP$13,RECORD!E$12:EP$12,"CLO2",RECORD!E$11:EP$11,"Prelim"),"")</x:f>
        <x:v>60</x:v>
      </x:c>
      <x:c r="L32" s="19" t="n">
        <x:f>IF(B32&lt;&gt;"",SUMIFS(RECORD!E41:EP41,RECORD!E$12:EP$12,"CLO2",RECORD!E$11:EP$11,"Midterm"),"")</x:f>
        <x:v>38</x:v>
      </x:c>
      <x:c r="M32" s="19" t="n">
        <x:f>IF(B32&lt;&gt;"",SUMIFS(RECORD!E$13:EP$13,RECORD!E$12:EP$12,"CLO2",RECORD!E$11:EP$11,"Midterm"),"")</x:f>
        <x:v>50</x:v>
      </x:c>
      <x:c r="N32" s="19" t="n">
        <x:f>IF(B32&lt;&gt;"",SUMIFS(RECORD!E41:EP41,RECORD!E$12:EP$12,"CLO2",RECORD!E$11:EP$11,"Final"),"")</x:f>
        <x:v>22</x:v>
      </x:c>
      <x:c r="O32" s="19" t="n">
        <x:f>IF(B32&lt;&gt;"",SUMIFS(RECORD!E$13:EP$13,RECORD!E$12:EP$12,"CLO2",RECORD!E$11:EP$11,"Final"),"")</x:f>
        <x:v>25</x:v>
      </x:c>
      <x:c r="P32" s="20">
        <x:f t="shared" si="1"/>
        <x:v>85.925925925925924</x:v>
      </x:c>
      <x:c r="Q32" s="19" t="n">
        <x:f>IF(B32&lt;&gt;"",SUMIFS(RECORD!E41:EP41,RECORD!E$12:EP$12,"CLO3",RECORD!E$11:EP$11,"Prelim"),"")</x:f>
        <x:v>59</x:v>
      </x:c>
      <x:c r="R32" s="19" t="n">
        <x:f>IF(B32&lt;&gt;"",SUMIFS(RECORD!E$13:EP$13,RECORD!E$12:EP$12,"CLO3",RECORD!E$11:EP$11,"Prelim"),"")</x:f>
        <x:v>80</x:v>
      </x:c>
      <x:c r="S32" s="19" t="n">
        <x:f>IF(B32&lt;&gt;"",SUMIFS(RECORD!E41:EP41,RECORD!E$12:EP$12,"CLO3",RECORD!E$11:EP$11,"Midterm"),"")</x:f>
        <x:v>71</x:v>
      </x:c>
      <x:c r="T32" s="19" t="n">
        <x:f>IF(B32&lt;&gt;"",SUMIFS(RECORD!E$13:EP$13,RECORD!E$12:EP$12,"CLO3",RECORD!E$11:EP$11,"Midterm"),"")</x:f>
        <x:v>100</x:v>
      </x:c>
      <x:c r="U32" s="19" t="n">
        <x:f>IF(B32&lt;&gt;"",SUMIFS(RECORD!E41:EP41,RECORD!E$12:EP$12,"CLO3",RECORD!E$11:EP$11,"Final"),"")</x:f>
        <x:v>19</x:v>
      </x:c>
      <x:c r="V32" s="19" t="n">
        <x:f>IF(B32&lt;&gt;"",SUMIFS(RECORD!E$13:EP$13,RECORD!E$12:EP$12,"CLO3",RECORD!E$11:EP$11,"Final"),"")</x:f>
        <x:v>25</x:v>
      </x:c>
      <x:c r="W32" s="20">
        <x:f t="shared" si="2"/>
        <x:v>88.292682926829272</x:v>
      </x:c>
      <x:c r="X32" s="19" t="n">
        <x:f>IF(B32&lt;&gt;"",SUMIFS(RECORD!E41:EP41,RECORD!E$12:EP$12,"CLO4",RECORD!E$11:EP$11,"Prelim"),"")</x:f>
        <x:v>0</x:v>
      </x:c>
      <x:c r="Y32" s="19" t="n">
        <x:f>IF(B32&lt;&gt;"",SUMIFS(RECORD!E$13:EP$13,RECORD!E$12:EP$12,"CLO4",RECORD!E$11:EP$11,"Prelim"),"")</x:f>
        <x:v>0</x:v>
      </x:c>
      <x:c r="Z32" s="19" t="n">
        <x:f>IF(B32&lt;&gt;"",SUMIFS(RECORD!E41:EP41,RECORD!E$12:EP$12,"CLO4",RECORD!E$11:EP$11,"Midterm"),"")</x:f>
        <x:v>0</x:v>
      </x:c>
      <x:c r="AA32" s="19" t="n">
        <x:f>IF(B32&lt;&gt;"",SUMIFS(RECORD!E$13:EP$13,RECORD!E$12:EP$12,"CLO4",RECORD!E$11:EP$11,"Midterm"),"")</x:f>
        <x:v>0</x:v>
      </x:c>
      <x:c r="AB32" s="19" t="n">
        <x:f>IF(B32&lt;&gt;"",SUMIFS(RECORD!E41:EP41,RECORD!E$12:EP$12,"CLO4",RECORD!E$11:EP$11,"Final"),"")</x:f>
        <x:v>30</x:v>
      </x:c>
      <x:c r="AC32" s="19" t="n">
        <x:f>IF(B32&lt;&gt;"",SUMIFS(RECORD!E$13:EP$13,RECORD!E$12:EP$12,"CLO4",RECORD!E$11:EP$11,"Final"),"")</x:f>
        <x:v>45</x:v>
      </x:c>
      <x:c r="AD32" s="20">
        <x:f t="shared" si="3"/>
        <x:v>84.444444444444443</x:v>
      </x:c>
      <x:c r="AE32" s="19" t="n">
        <x:f>IF(B32&lt;&gt;"",SUMIFS(RECORD!E41:EP41,RECORD!E$12:EP$12,"CLO5",RECORD!E$11:EP$11,"Prelim"),"")</x:f>
        <x:v>0</x:v>
      </x:c>
      <x:c r="AF32" s="19" t="n">
        <x:f>IF(B32&lt;&gt;"",SUMIFS(RECORD!E$13:EP$13,RECORD!E$12:EP$12,"CLO5",RECORD!E$11:EP$11,"Prelim"),"")</x:f>
        <x:v>0</x:v>
      </x:c>
      <x:c r="AG32" s="19" t="n">
        <x:f>IF(B32&lt;&gt;"",SUMIFS(RECORD!E41:EP41,RECORD!E$12:EP$12,"CLO5",RECORD!E$11:EP$11,"Midterm"),"")</x:f>
        <x:v>0</x:v>
      </x:c>
      <x:c r="AH32" s="19" t="n">
        <x:f>IF(B32&lt;&gt;"",SUMIFS(RECORD!E$13:EP$13,RECORD!E$12:EP$12,"CLO5",RECORD!E$11:EP$11,"Midterm"),"")</x:f>
        <x:v>0</x:v>
      </x:c>
      <x:c r="AI32" s="19" t="n">
        <x:f>IF(B32&lt;&gt;"",SUMIFS(RECORD!E41:EP41,RECORD!E$12:EP$12,"CLO5",RECORD!E$11:EP$11,"Final"),"")</x:f>
        <x:v>61</x:v>
      </x:c>
      <x:c r="AJ32" s="19" t="n">
        <x:f>IF(B32&lt;&gt;"",SUMIFS(RECORD!E$13:EP$13,RECORD!E$12:EP$12,"CLO5",RECORD!E$11:EP$11,"Final"),"")</x:f>
        <x:v>75</x:v>
      </x:c>
      <x:c r="AK32" s="20">
        <x:f t="shared" si="4"/>
        <x:v>88</x:v>
      </x:c>
    </x:row>
    <x:row r="33">
      <x:c r="A33" s="18" t="str">
        <x:f>IF(RECORD!B42="","",RECORD!B42)</x:f>
        <x:v>2024-00709</x:v>
      </x:c>
      <x:c r="B33" s="18" t="str">
        <x:f>IF(RECORD!C42="","",RECORD!C42)</x:f>
        <x:v>Pascual, Uriel V.</x:v>
      </x:c>
      <x:c r="C33" s="19" t="n">
        <x:f>IF(B33&lt;&gt;"",SUMIFS(RECORD!E42:EP42,RECORD!E$12:EP$12,"CLO1",RECORD!E$11:EP$11,"Prelim"),"")</x:f>
        <x:v>19</x:v>
      </x:c>
      <x:c r="D33" s="19" t="n">
        <x:f>IF(B33&lt;&gt;"",SUMIFS(RECORD!E$13:EP$13,RECORD!E$12:EP$12,"CLO1",RECORD!E$11:EP$11,"Prelim"),"")</x:f>
        <x:v>30</x:v>
      </x:c>
      <x:c r="E33" s="19" t="n">
        <x:f>IF(B33&lt;&gt;"",SUMIFS(RECORD!E42:EP42,RECORD!E$12:EP$12,"CLO1",RECORD!E$11:EP$11,"Midterm"),"")</x:f>
        <x:v>44</x:v>
      </x:c>
      <x:c r="F33" s="19" t="n">
        <x:f>IF(B33&lt;&gt;"",SUMIFS(RECORD!E$13:EP$13,RECORD!E$12:EP$12,"CLO1",RECORD!E$11:EP$11,"Midterm"),"")</x:f>
        <x:v>50</x:v>
      </x:c>
      <x:c r="G33" s="19" t="n">
        <x:f>IF(B33&lt;&gt;"",SUMIFS(RECORD!E42:EP42,RECORD!E$12:EP$12,"CLO1",RECORD!E$11:EP$11,"Final"),"")</x:f>
        <x:v>15</x:v>
      </x:c>
      <x:c r="H33" s="19" t="n">
        <x:f>IF(B33&lt;&gt;"",SUMIFS(RECORD!E$13:EP$13,RECORD!E$12:EP$12,"CLO1",RECORD!E$11:EP$11,"Final"),"")</x:f>
        <x:v>25</x:v>
      </x:c>
      <x:c r="I33" s="20">
        <x:f t="shared" si="0"/>
        <x:v>94.285714285714278</x:v>
      </x:c>
      <x:c r="J33" s="19" t="n">
        <x:f>IF(B33&lt;&gt;"",SUMIFS(RECORD!E42:EP42,RECORD!E$12:EP$12,"CLO2",RECORD!E$11:EP$11,"Prelim"),"")</x:f>
        <x:v>46</x:v>
      </x:c>
      <x:c r="K33" s="19" t="n">
        <x:f>IF(B33&lt;&gt;"",SUMIFS(RECORD!E$13:EP$13,RECORD!E$12:EP$12,"CLO2",RECORD!E$11:EP$11,"Prelim"),"")</x:f>
        <x:v>60</x:v>
      </x:c>
      <x:c r="L33" s="19" t="n">
        <x:f>IF(B33&lt;&gt;"",SUMIFS(RECORD!E42:EP42,RECORD!E$12:EP$12,"CLO2",RECORD!E$11:EP$11,"Midterm"),"")</x:f>
        <x:v>43</x:v>
      </x:c>
      <x:c r="M33" s="19" t="n">
        <x:f>IF(B33&lt;&gt;"",SUMIFS(RECORD!E$13:EP$13,RECORD!E$12:EP$12,"CLO2",RECORD!E$11:EP$11,"Midterm"),"")</x:f>
        <x:v>50</x:v>
      </x:c>
      <x:c r="N33" s="19" t="n">
        <x:f>IF(B33&lt;&gt;"",SUMIFS(RECORD!E42:EP42,RECORD!E$12:EP$12,"CLO2",RECORD!E$11:EP$11,"Final"),"")</x:f>
        <x:v>19</x:v>
      </x:c>
      <x:c r="O33" s="19" t="n">
        <x:f>IF(B33&lt;&gt;"",SUMIFS(RECORD!E$13:EP$13,RECORD!E$12:EP$12,"CLO2",RECORD!E$11:EP$11,"Final"),"")</x:f>
        <x:v>25</x:v>
      </x:c>
      <x:c r="P33" s="20">
        <x:f t="shared" si="1"/>
        <x:v>94.074074074074076</x:v>
      </x:c>
      <x:c r="Q33" s="19" t="n">
        <x:f>IF(B33&lt;&gt;"",SUMIFS(RECORD!E42:EP42,RECORD!E$12:EP$12,"CLO3",RECORD!E$11:EP$11,"Prelim"),"")</x:f>
        <x:v>59</x:v>
      </x:c>
      <x:c r="R33" s="19" t="n">
        <x:f>IF(B33&lt;&gt;"",SUMIFS(RECORD!E$13:EP$13,RECORD!E$12:EP$12,"CLO3",RECORD!E$11:EP$11,"Prelim"),"")</x:f>
        <x:v>80</x:v>
      </x:c>
      <x:c r="S33" s="19" t="n">
        <x:f>IF(B33&lt;&gt;"",SUMIFS(RECORD!E42:EP42,RECORD!E$12:EP$12,"CLO3",RECORD!E$11:EP$11,"Midterm"),"")</x:f>
        <x:v>78</x:v>
      </x:c>
      <x:c r="T33" s="19" t="n">
        <x:f>IF(B33&lt;&gt;"",SUMIFS(RECORD!E$13:EP$13,RECORD!E$12:EP$12,"CLO3",RECORD!E$11:EP$11,"Midterm"),"")</x:f>
        <x:v>100</x:v>
      </x:c>
      <x:c r="U33" s="19" t="n">
        <x:f>IF(B33&lt;&gt;"",SUMIFS(RECORD!E42:EP42,RECORD!E$12:EP$12,"CLO3",RECORD!E$11:EP$11,"Final"),"")</x:f>
        <x:v>22</x:v>
      </x:c>
      <x:c r="V33" s="19" t="n">
        <x:f>IF(B33&lt;&gt;"",SUMIFS(RECORD!E$13:EP$13,RECORD!E$12:EP$12,"CLO3",RECORD!E$11:EP$11,"Final"),"")</x:f>
        <x:v>25</x:v>
      </x:c>
      <x:c r="W33" s="20">
        <x:f t="shared" si="2"/>
        <x:v>93.658536585365866</x:v>
      </x:c>
      <x:c r="X33" s="19" t="n">
        <x:f>IF(B33&lt;&gt;"",SUMIFS(RECORD!E42:EP42,RECORD!E$12:EP$12,"CLO4",RECORD!E$11:EP$11,"Prelim"),"")</x:f>
        <x:v>0</x:v>
      </x:c>
      <x:c r="Y33" s="19" t="n">
        <x:f>IF(B33&lt;&gt;"",SUMIFS(RECORD!E$13:EP$13,RECORD!E$12:EP$12,"CLO4",RECORD!E$11:EP$11,"Prelim"),"")</x:f>
        <x:v>0</x:v>
      </x:c>
      <x:c r="Z33" s="19" t="n">
        <x:f>IF(B33&lt;&gt;"",SUMIFS(RECORD!E42:EP42,RECORD!E$12:EP$12,"CLO4",RECORD!E$11:EP$11,"Midterm"),"")</x:f>
        <x:v>0</x:v>
      </x:c>
      <x:c r="AA33" s="19" t="n">
        <x:f>IF(B33&lt;&gt;"",SUMIFS(RECORD!E$13:EP$13,RECORD!E$12:EP$12,"CLO4",RECORD!E$11:EP$11,"Midterm"),"")</x:f>
        <x:v>0</x:v>
      </x:c>
      <x:c r="AB33" s="19" t="n">
        <x:f>IF(B33&lt;&gt;"",SUMIFS(RECORD!E42:EP42,RECORD!E$12:EP$12,"CLO4",RECORD!E$11:EP$11,"Final"),"")</x:f>
        <x:v>29</x:v>
      </x:c>
      <x:c r="AC33" s="19" t="n">
        <x:f>IF(B33&lt;&gt;"",SUMIFS(RECORD!E$13:EP$13,RECORD!E$12:EP$12,"CLO4",RECORD!E$11:EP$11,"Final"),"")</x:f>
        <x:v>45</x:v>
      </x:c>
      <x:c r="AD33" s="20">
        <x:f t="shared" si="3"/>
        <x:v>91.111111111111114</x:v>
      </x:c>
      <x:c r="AE33" s="19" t="n">
        <x:f>IF(B33&lt;&gt;"",SUMIFS(RECORD!E42:EP42,RECORD!E$12:EP$12,"CLO5",RECORD!E$11:EP$11,"Prelim"),"")</x:f>
        <x:v>0</x:v>
      </x:c>
      <x:c r="AF33" s="19" t="n">
        <x:f>IF(B33&lt;&gt;"",SUMIFS(RECORD!E$13:EP$13,RECORD!E$12:EP$12,"CLO5",RECORD!E$11:EP$11,"Prelim"),"")</x:f>
        <x:v>0</x:v>
      </x:c>
      <x:c r="AG33" s="19" t="n">
        <x:f>IF(B33&lt;&gt;"",SUMIFS(RECORD!E42:EP42,RECORD!E$12:EP$12,"CLO5",RECORD!E$11:EP$11,"Midterm"),"")</x:f>
        <x:v>0</x:v>
      </x:c>
      <x:c r="AH33" s="19" t="n">
        <x:f>IF(B33&lt;&gt;"",SUMIFS(RECORD!E$13:EP$13,RECORD!E$12:EP$12,"CLO5",RECORD!E$11:EP$11,"Midterm"),"")</x:f>
        <x:v>0</x:v>
      </x:c>
      <x:c r="AI33" s="19" t="n">
        <x:f>IF(B33&lt;&gt;"",SUMIFS(RECORD!E42:EP42,RECORD!E$12:EP$12,"CLO5",RECORD!E$11:EP$11,"Final"),"")</x:f>
        <x:v>54</x:v>
      </x:c>
      <x:c r="AJ33" s="19" t="n">
        <x:f>IF(B33&lt;&gt;"",SUMIFS(RECORD!E$13:EP$13,RECORD!E$12:EP$12,"CLO5",RECORD!E$11:EP$11,"Final"),"")</x:f>
        <x:v>75</x:v>
      </x:c>
      <x:c r="AK33" s="20">
        <x:f t="shared" si="4"/>
        <x:v>94.666666666666671</x:v>
      </x:c>
    </x:row>
    <x:row r="34">
      <x:c r="A34" s="18" t="str">
        <x:f>IF(RECORD!B43="","",RECORD!B43)</x:f>
        <x:v>2024-00731</x:v>
      </x:c>
      <x:c r="B34" s="18" t="str">
        <x:f>IF(RECORD!C43="","",RECORD!C43)</x:f>
        <x:v>De Guzman, Patricia O.</x:v>
      </x:c>
      <x:c r="C34" s="19" t="n">
        <x:f>IF(B34&lt;&gt;"",SUMIFS(RECORD!E43:EP43,RECORD!E$12:EP$12,"CLO1",RECORD!E$11:EP$11,"Prelim"),"")</x:f>
        <x:v>21</x:v>
      </x:c>
      <x:c r="D34" s="19" t="n">
        <x:f>IF(B34&lt;&gt;"",SUMIFS(RECORD!E$13:EP$13,RECORD!E$12:EP$12,"CLO1",RECORD!E$11:EP$11,"Prelim"),"")</x:f>
        <x:v>30</x:v>
      </x:c>
      <x:c r="E34" s="19" t="n">
        <x:f>IF(B34&lt;&gt;"",SUMIFS(RECORD!E43:EP43,RECORD!E$12:EP$12,"CLO1",RECORD!E$11:EP$11,"Midterm"),"")</x:f>
        <x:v>36</x:v>
      </x:c>
      <x:c r="F34" s="19" t="n">
        <x:f>IF(B34&lt;&gt;"",SUMIFS(RECORD!E$13:EP$13,RECORD!E$12:EP$12,"CLO1",RECORD!E$11:EP$11,"Midterm"),"")</x:f>
        <x:v>50</x:v>
      </x:c>
      <x:c r="G34" s="19" t="n">
        <x:f>IF(B34&lt;&gt;"",SUMIFS(RECORD!E43:EP43,RECORD!E$12:EP$12,"CLO1",RECORD!E$11:EP$11,"Final"),"")</x:f>
        <x:v>17</x:v>
      </x:c>
      <x:c r="H34" s="19" t="n">
        <x:f>IF(B34&lt;&gt;"",SUMIFS(RECORD!E$13:EP$13,RECORD!E$12:EP$12,"CLO1",RECORD!E$11:EP$11,"Final"),"")</x:f>
        <x:v>25</x:v>
      </x:c>
      <x:c r="I34" s="20">
        <x:f t="shared" si="0"/>
        <x:v>77.142857142857153</x:v>
      </x:c>
      <x:c r="J34" s="19" t="n">
        <x:f>IF(B34&lt;&gt;"",SUMIFS(RECORD!E43:EP43,RECORD!E$12:EP$12,"CLO2",RECORD!E$11:EP$11,"Prelim"),"")</x:f>
        <x:v>43</x:v>
      </x:c>
      <x:c r="K34" s="19" t="n">
        <x:f>IF(B34&lt;&gt;"",SUMIFS(RECORD!E$13:EP$13,RECORD!E$12:EP$12,"CLO2",RECORD!E$11:EP$11,"Prelim"),"")</x:f>
        <x:v>60</x:v>
      </x:c>
      <x:c r="L34" s="19" t="n">
        <x:f>IF(B34&lt;&gt;"",SUMIFS(RECORD!E43:EP43,RECORD!E$12:EP$12,"CLO2",RECORD!E$11:EP$11,"Midterm"),"")</x:f>
        <x:v>42</x:v>
      </x:c>
      <x:c r="M34" s="19" t="n">
        <x:f>IF(B34&lt;&gt;"",SUMIFS(RECORD!E$13:EP$13,RECORD!E$12:EP$12,"CLO2",RECORD!E$11:EP$11,"Midterm"),"")</x:f>
        <x:v>50</x:v>
      </x:c>
      <x:c r="N34" s="19" t="n">
        <x:f>IF(B34&lt;&gt;"",SUMIFS(RECORD!E43:EP43,RECORD!E$12:EP$12,"CLO2",RECORD!E$11:EP$11,"Final"),"")</x:f>
        <x:v>22</x:v>
      </x:c>
      <x:c r="O34" s="19" t="n">
        <x:f>IF(B34&lt;&gt;"",SUMIFS(RECORD!E$13:EP$13,RECORD!E$12:EP$12,"CLO2",RECORD!E$11:EP$11,"Final"),"")</x:f>
        <x:v>25</x:v>
      </x:c>
      <x:c r="P34" s="20">
        <x:f t="shared" si="1"/>
        <x:v>75.555555555555557</x:v>
      </x:c>
      <x:c r="Q34" s="19" t="n">
        <x:f>IF(B34&lt;&gt;"",SUMIFS(RECORD!E43:EP43,RECORD!E$12:EP$12,"CLO3",RECORD!E$11:EP$11,"Prelim"),"")</x:f>
        <x:v>65</x:v>
      </x:c>
      <x:c r="R34" s="19" t="n">
        <x:f>IF(B34&lt;&gt;"",SUMIFS(RECORD!E$13:EP$13,RECORD!E$12:EP$12,"CLO3",RECORD!E$11:EP$11,"Prelim"),"")</x:f>
        <x:v>80</x:v>
      </x:c>
      <x:c r="S34" s="19" t="n">
        <x:f>IF(B34&lt;&gt;"",SUMIFS(RECORD!E43:EP43,RECORD!E$12:EP$12,"CLO3",RECORD!E$11:EP$11,"Midterm"),"")</x:f>
        <x:v>60</x:v>
      </x:c>
      <x:c r="T34" s="19" t="n">
        <x:f>IF(B34&lt;&gt;"",SUMIFS(RECORD!E$13:EP$13,RECORD!E$12:EP$12,"CLO3",RECORD!E$11:EP$11,"Midterm"),"")</x:f>
        <x:v>100</x:v>
      </x:c>
      <x:c r="U34" s="19" t="n">
        <x:f>IF(B34&lt;&gt;"",SUMIFS(RECORD!E43:EP43,RECORD!E$12:EP$12,"CLO3",RECORD!E$11:EP$11,"Final"),"")</x:f>
        <x:v>20</x:v>
      </x:c>
      <x:c r="V34" s="19" t="n">
        <x:f>IF(B34&lt;&gt;"",SUMIFS(RECORD!E$13:EP$13,RECORD!E$12:EP$12,"CLO3",RECORD!E$11:EP$11,"Final"),"")</x:f>
        <x:v>25</x:v>
      </x:c>
      <x:c r="W34" s="20">
        <x:f t="shared" si="2"/>
        <x:v>77.560975609756099</x:v>
      </x:c>
      <x:c r="X34" s="19" t="n">
        <x:f>IF(B34&lt;&gt;"",SUMIFS(RECORD!E43:EP43,RECORD!E$12:EP$12,"CLO4",RECORD!E$11:EP$11,"Prelim"),"")</x:f>
        <x:v>0</x:v>
      </x:c>
      <x:c r="Y34" s="19" t="n">
        <x:f>IF(B34&lt;&gt;"",SUMIFS(RECORD!E$13:EP$13,RECORD!E$12:EP$12,"CLO4",RECORD!E$11:EP$11,"Prelim"),"")</x:f>
        <x:v>0</x:v>
      </x:c>
      <x:c r="Z34" s="19" t="n">
        <x:f>IF(B34&lt;&gt;"",SUMIFS(RECORD!E43:EP43,RECORD!E$12:EP$12,"CLO4",RECORD!E$11:EP$11,"Midterm"),"")</x:f>
        <x:v>0</x:v>
      </x:c>
      <x:c r="AA34" s="19" t="n">
        <x:f>IF(B34&lt;&gt;"",SUMIFS(RECORD!E$13:EP$13,RECORD!E$12:EP$12,"CLO4",RECORD!E$11:EP$11,"Midterm"),"")</x:f>
        <x:v>0</x:v>
      </x:c>
      <x:c r="AB34" s="19" t="n">
        <x:f>IF(B34&lt;&gt;"",SUMIFS(RECORD!E43:EP43,RECORD!E$12:EP$12,"CLO4",RECORD!E$11:EP$11,"Final"),"")</x:f>
        <x:v>29</x:v>
      </x:c>
      <x:c r="AC34" s="19" t="n">
        <x:f>IF(B34&lt;&gt;"",SUMIFS(RECORD!E$13:EP$13,RECORD!E$12:EP$12,"CLO4",RECORD!E$11:EP$11,"Final"),"")</x:f>
        <x:v>45</x:v>
      </x:c>
      <x:c r="AD34" s="20">
        <x:f t="shared" si="3"/>
        <x:v>71.111111111111114</x:v>
      </x:c>
      <x:c r="AE34" s="19" t="n">
        <x:f>IF(B34&lt;&gt;"",SUMIFS(RECORD!E43:EP43,RECORD!E$12:EP$12,"CLO5",RECORD!E$11:EP$11,"Prelim"),"")</x:f>
        <x:v>0</x:v>
      </x:c>
      <x:c r="AF34" s="19" t="n">
        <x:f>IF(B34&lt;&gt;"",SUMIFS(RECORD!E$13:EP$13,RECORD!E$12:EP$12,"CLO5",RECORD!E$11:EP$11,"Prelim"),"")</x:f>
        <x:v>0</x:v>
      </x:c>
      <x:c r="AG34" s="19" t="n">
        <x:f>IF(B34&lt;&gt;"",SUMIFS(RECORD!E43:EP43,RECORD!E$12:EP$12,"CLO5",RECORD!E$11:EP$11,"Midterm"),"")</x:f>
        <x:v>0</x:v>
      </x:c>
      <x:c r="AH34" s="19" t="n">
        <x:f>IF(B34&lt;&gt;"",SUMIFS(RECORD!E$13:EP$13,RECORD!E$12:EP$12,"CLO5",RECORD!E$11:EP$11,"Midterm"),"")</x:f>
        <x:v>0</x:v>
      </x:c>
      <x:c r="AI34" s="19" t="n">
        <x:f>IF(B34&lt;&gt;"",SUMIFS(RECORD!E43:EP43,RECORD!E$12:EP$12,"CLO5",RECORD!E$11:EP$11,"Final"),"")</x:f>
        <x:v>57</x:v>
      </x:c>
      <x:c r="AJ34" s="19" t="n">
        <x:f>IF(B34&lt;&gt;"",SUMIFS(RECORD!E$13:EP$13,RECORD!E$12:EP$12,"CLO5",RECORD!E$11:EP$11,"Final"),"")</x:f>
        <x:v>75</x:v>
      </x:c>
      <x:c r="AK34" s="20">
        <x:f t="shared" si="4"/>
        <x:v>76</x:v>
      </x:c>
    </x:row>
    <x:row r="35">
      <x:c r="A35" s="18" t="str">
        <x:f>IF(RECORD!B44="","",RECORD!B44)</x:f>
      </x:c>
      <x:c r="B35" s="18" t="str">
        <x:f>IF(RECORD!C44="","",RECORD!C44)</x:f>
      </x:c>
      <x:c r="C35" s="19" t="str">
        <x:f>IF(B35&lt;&gt;"",SUMIFS(RECORD!E44:EP44,RECORD!E$12:EP$12,"CLO1",RECORD!E$11:EP$11,"Prelim"),"")</x:f>
      </x:c>
      <x:c r="D35" s="19" t="str">
        <x:f>IF(B35&lt;&gt;"",SUMIFS(RECORD!E$13:EP$13,RECORD!E$12:EP$12,"CLO1",RECORD!E$11:EP$11,"Prelim"),"")</x:f>
      </x:c>
      <x:c r="E35" s="19" t="str">
        <x:f>IF(B35&lt;&gt;"",SUMIFS(RECORD!E44:EP44,RECORD!E$12:EP$12,"CLO1",RECORD!E$11:EP$11,"Midterm"),"")</x:f>
      </x:c>
      <x:c r="F35" s="19" t="str">
        <x:f>IF(B35&lt;&gt;"",SUMIFS(RECORD!E$13:EP$13,RECORD!E$12:EP$12,"CLO1",RECORD!E$11:EP$11,"Midterm"),"")</x:f>
      </x:c>
      <x:c r="G35" s="19" t="str">
        <x:f>IF(B35&lt;&gt;"",SUMIFS(RECORD!E44:EP44,RECORD!E$12:EP$12,"CLO1",RECORD!E$11:EP$11,"Final"),"")</x:f>
      </x:c>
      <x:c r="H35" s="19" t="str">
        <x:f>IF(B35&lt;&gt;"",SUMIFS(RECORD!E$13:EP$13,RECORD!E$12:EP$12,"CLO1",RECORD!E$11:EP$11,"Final"),"")</x:f>
      </x:c>
      <x:c r="I35" s="20" t="str">
        <x:f t="shared" si="0"/>
      </x:c>
      <x:c r="J35" s="19" t="str">
        <x:f>IF(B35&lt;&gt;"",SUMIFS(RECORD!E44:EP44,RECORD!E$12:EP$12,"CLO2",RECORD!E$11:EP$11,"Prelim"),"")</x:f>
      </x:c>
      <x:c r="K35" s="19" t="str">
        <x:f>IF(B35&lt;&gt;"",SUMIFS(RECORD!E$13:EP$13,RECORD!E$12:EP$12,"CLO2",RECORD!E$11:EP$11,"Prelim"),"")</x:f>
      </x:c>
      <x:c r="L35" s="19" t="str">
        <x:f>IF(B35&lt;&gt;"",SUMIFS(RECORD!E44:EP44,RECORD!E$12:EP$12,"CLO2",RECORD!E$11:EP$11,"Midterm"),"")</x:f>
      </x:c>
      <x:c r="M35" s="19" t="str">
        <x:f>IF(B35&lt;&gt;"",SUMIFS(RECORD!E$13:EP$13,RECORD!E$12:EP$12,"CLO2",RECORD!E$11:EP$11,"Midterm"),"")</x:f>
      </x:c>
      <x:c r="N35" s="19" t="str">
        <x:f>IF(B35&lt;&gt;"",SUMIFS(RECORD!E44:EP44,RECORD!E$12:EP$12,"CLO2",RECORD!E$11:EP$11,"Final"),"")</x:f>
      </x:c>
      <x:c r="O35" s="19" t="str">
        <x:f>IF(B35&lt;&gt;"",SUMIFS(RECORD!E$13:EP$13,RECORD!E$12:EP$12,"CLO2",RECORD!E$11:EP$11,"Final"),"")</x:f>
      </x:c>
      <x:c r="P35" s="20" t="str">
        <x:f t="shared" si="1"/>
      </x:c>
      <x:c r="Q35" s="19" t="str">
        <x:f>IF(B35&lt;&gt;"",SUMIFS(RECORD!E44:EP44,RECORD!E$12:EP$12,"CLO3",RECORD!E$11:EP$11,"Prelim"),"")</x:f>
      </x:c>
      <x:c r="R35" s="19" t="str">
        <x:f>IF(B35&lt;&gt;"",SUMIFS(RECORD!E$13:EP$13,RECORD!E$12:EP$12,"CLO3",RECORD!E$11:EP$11,"Prelim"),"")</x:f>
      </x:c>
      <x:c r="S35" s="19" t="str">
        <x:f>IF(B35&lt;&gt;"",SUMIFS(RECORD!E44:EP44,RECORD!E$12:EP$12,"CLO3",RECORD!E$11:EP$11,"Midterm"),"")</x:f>
      </x:c>
      <x:c r="T35" s="19" t="str">
        <x:f>IF(B35&lt;&gt;"",SUMIFS(RECORD!E$13:EP$13,RECORD!E$12:EP$12,"CLO3",RECORD!E$11:EP$11,"Midterm"),"")</x:f>
      </x:c>
      <x:c r="U35" s="19" t="str">
        <x:f>IF(B35&lt;&gt;"",SUMIFS(RECORD!E44:EP44,RECORD!E$12:EP$12,"CLO3",RECORD!E$11:EP$11,"Final"),"")</x:f>
      </x:c>
      <x:c r="V35" s="19" t="str">
        <x:f>IF(B35&lt;&gt;"",SUMIFS(RECORD!E$13:EP$13,RECORD!E$12:EP$12,"CLO3",RECORD!E$11:EP$11,"Final"),"")</x:f>
      </x:c>
      <x:c r="W35" s="20" t="str">
        <x:f t="shared" si="2"/>
      </x:c>
      <x:c r="X35" s="19" t="str">
        <x:f>IF(B35&lt;&gt;"",SUMIFS(RECORD!E44:EP44,RECORD!E$12:EP$12,"CLO4",RECORD!E$11:EP$11,"Prelim"),"")</x:f>
      </x:c>
      <x:c r="Y35" s="19" t="str">
        <x:f>IF(B35&lt;&gt;"",SUMIFS(RECORD!E$13:EP$13,RECORD!E$12:EP$12,"CLO4",RECORD!E$11:EP$11,"Prelim"),"")</x:f>
      </x:c>
      <x:c r="Z35" s="19" t="str">
        <x:f>IF(B35&lt;&gt;"",SUMIFS(RECORD!E44:EP44,RECORD!E$12:EP$12,"CLO4",RECORD!E$11:EP$11,"Midterm"),"")</x:f>
      </x:c>
      <x:c r="AA35" s="19" t="str">
        <x:f>IF(B35&lt;&gt;"",SUMIFS(RECORD!E$13:EP$13,RECORD!E$12:EP$12,"CLO4",RECORD!E$11:EP$11,"Midterm"),"")</x:f>
      </x:c>
      <x:c r="AB35" s="19" t="str">
        <x:f>IF(B35&lt;&gt;"",SUMIFS(RECORD!E44:EP44,RECORD!E$12:EP$12,"CLO4",RECORD!E$11:EP$11,"Final"),"")</x:f>
      </x:c>
      <x:c r="AC35" s="19" t="str">
        <x:f>IF(B35&lt;&gt;"",SUMIFS(RECORD!E$13:EP$13,RECORD!E$12:EP$12,"CLO4",RECORD!E$11:EP$11,"Final"),"")</x:f>
      </x:c>
      <x:c r="AD35" s="20" t="str">
        <x:f t="shared" si="3"/>
      </x:c>
      <x:c r="AE35" s="19" t="str">
        <x:f>IF(B35&lt;&gt;"",SUMIFS(RECORD!E44:EP44,RECORD!E$12:EP$12,"CLO5",RECORD!E$11:EP$11,"Prelim"),"")</x:f>
      </x:c>
      <x:c r="AF35" s="19" t="str">
        <x:f>IF(B35&lt;&gt;"",SUMIFS(RECORD!E$13:EP$13,RECORD!E$12:EP$12,"CLO5",RECORD!E$11:EP$11,"Prelim"),"")</x:f>
      </x:c>
      <x:c r="AG35" s="19" t="str">
        <x:f>IF(B35&lt;&gt;"",SUMIFS(RECORD!E44:EP44,RECORD!E$12:EP$12,"CLO5",RECORD!E$11:EP$11,"Midterm"),"")</x:f>
      </x:c>
      <x:c r="AH35" s="19" t="str">
        <x:f>IF(B35&lt;&gt;"",SUMIFS(RECORD!E$13:EP$13,RECORD!E$12:EP$12,"CLO5",RECORD!E$11:EP$11,"Midterm"),"")</x:f>
      </x:c>
      <x:c r="AI35" s="19" t="str">
        <x:f>IF(B35&lt;&gt;"",SUMIFS(RECORD!E44:EP44,RECORD!E$12:EP$12,"CLO5",RECORD!E$11:EP$11,"Final"),"")</x:f>
      </x:c>
      <x:c r="AJ35" s="19" t="str">
        <x:f>IF(B35&lt;&gt;"",SUMIFS(RECORD!E$13:EP$13,RECORD!E$12:EP$12,"CLO5",RECORD!E$11:EP$11,"Final"),"")</x:f>
      </x:c>
      <x:c r="AK35" s="20" t="str">
        <x:f t="shared" si="4"/>
      </x:c>
    </x:row>
    <x:row r="36">
      <x:c r="A36" s="18" t="str">
        <x:f>IF(RECORD!B45="","",RECORD!B45)</x:f>
      </x:c>
      <x:c r="B36" s="18" t="str">
        <x:f>IF(RECORD!C45="","",RECORD!C45)</x:f>
      </x:c>
      <x:c r="C36" s="19" t="str">
        <x:f>IF(B36&lt;&gt;"",SUMIFS(RECORD!E45:EP45,RECORD!E$12:EP$12,"CLO1",RECORD!E$11:EP$11,"Prelim"),"")</x:f>
      </x:c>
      <x:c r="D36" s="19" t="str">
        <x:f>IF(B36&lt;&gt;"",SUMIFS(RECORD!E$13:EP$13,RECORD!E$12:EP$12,"CLO1",RECORD!E$11:EP$11,"Prelim"),"")</x:f>
      </x:c>
      <x:c r="E36" s="19" t="str">
        <x:f>IF(B36&lt;&gt;"",SUMIFS(RECORD!E45:EP45,RECORD!E$12:EP$12,"CLO1",RECORD!E$11:EP$11,"Midterm"),"")</x:f>
      </x:c>
      <x:c r="F36" s="19" t="str">
        <x:f>IF(B36&lt;&gt;"",SUMIFS(RECORD!E$13:EP$13,RECORD!E$12:EP$12,"CLO1",RECORD!E$11:EP$11,"Midterm"),"")</x:f>
      </x:c>
      <x:c r="G36" s="19" t="str">
        <x:f>IF(B36&lt;&gt;"",SUMIFS(RECORD!E45:EP45,RECORD!E$12:EP$12,"CLO1",RECORD!E$11:EP$11,"Final"),"")</x:f>
      </x:c>
      <x:c r="H36" s="19" t="str">
        <x:f>IF(B36&lt;&gt;"",SUMIFS(RECORD!E$13:EP$13,RECORD!E$12:EP$12,"CLO1",RECORD!E$11:EP$11,"Final"),"")</x:f>
      </x:c>
      <x:c r="I36" s="20" t="str">
        <x:f t="shared" si="0"/>
      </x:c>
      <x:c r="J36" s="19" t="str">
        <x:f>IF(B36&lt;&gt;"",SUMIFS(RECORD!E45:EP45,RECORD!E$12:EP$12,"CLO2",RECORD!E$11:EP$11,"Prelim"),"")</x:f>
      </x:c>
      <x:c r="K36" s="19" t="str">
        <x:f>IF(B36&lt;&gt;"",SUMIFS(RECORD!E$13:EP$13,RECORD!E$12:EP$12,"CLO2",RECORD!E$11:EP$11,"Prelim"),"")</x:f>
      </x:c>
      <x:c r="L36" s="19" t="str">
        <x:f>IF(B36&lt;&gt;"",SUMIFS(RECORD!E45:EP45,RECORD!E$12:EP$12,"CLO2",RECORD!E$11:EP$11,"Midterm"),"")</x:f>
      </x:c>
      <x:c r="M36" s="19" t="str">
        <x:f>IF(B36&lt;&gt;"",SUMIFS(RECORD!E$13:EP$13,RECORD!E$12:EP$12,"CLO2",RECORD!E$11:EP$11,"Midterm"),"")</x:f>
      </x:c>
      <x:c r="N36" s="19" t="str">
        <x:f>IF(B36&lt;&gt;"",SUMIFS(RECORD!E45:EP45,RECORD!E$12:EP$12,"CLO2",RECORD!E$11:EP$11,"Final"),"")</x:f>
      </x:c>
      <x:c r="O36" s="19" t="str">
        <x:f>IF(B36&lt;&gt;"",SUMIFS(RECORD!E$13:EP$13,RECORD!E$12:EP$12,"CLO2",RECORD!E$11:EP$11,"Final"),"")</x:f>
      </x:c>
      <x:c r="P36" s="20" t="str">
        <x:f t="shared" si="1"/>
      </x:c>
      <x:c r="Q36" s="19" t="str">
        <x:f>IF(B36&lt;&gt;"",SUMIFS(RECORD!E45:EP45,RECORD!E$12:EP$12,"CLO3",RECORD!E$11:EP$11,"Prelim"),"")</x:f>
      </x:c>
      <x:c r="R36" s="19" t="str">
        <x:f>IF(B36&lt;&gt;"",SUMIFS(RECORD!E$13:EP$13,RECORD!E$12:EP$12,"CLO3",RECORD!E$11:EP$11,"Prelim"),"")</x:f>
      </x:c>
      <x:c r="S36" s="19" t="str">
        <x:f>IF(B36&lt;&gt;"",SUMIFS(RECORD!E45:EP45,RECORD!E$12:EP$12,"CLO3",RECORD!E$11:EP$11,"Midterm"),"")</x:f>
      </x:c>
      <x:c r="T36" s="19" t="str">
        <x:f>IF(B36&lt;&gt;"",SUMIFS(RECORD!E$13:EP$13,RECORD!E$12:EP$12,"CLO3",RECORD!E$11:EP$11,"Midterm"),"")</x:f>
      </x:c>
      <x:c r="U36" s="19" t="str">
        <x:f>IF(B36&lt;&gt;"",SUMIFS(RECORD!E45:EP45,RECORD!E$12:EP$12,"CLO3",RECORD!E$11:EP$11,"Final"),"")</x:f>
      </x:c>
      <x:c r="V36" s="19" t="str">
        <x:f>IF(B36&lt;&gt;"",SUMIFS(RECORD!E$13:EP$13,RECORD!E$12:EP$12,"CLO3",RECORD!E$11:EP$11,"Final"),"")</x:f>
      </x:c>
      <x:c r="W36" s="20" t="str">
        <x:f t="shared" si="2"/>
      </x:c>
      <x:c r="X36" s="19" t="str">
        <x:f>IF(B36&lt;&gt;"",SUMIFS(RECORD!E45:EP45,RECORD!E$12:EP$12,"CLO4",RECORD!E$11:EP$11,"Prelim"),"")</x:f>
      </x:c>
      <x:c r="Y36" s="19" t="str">
        <x:f>IF(B36&lt;&gt;"",SUMIFS(RECORD!E$13:EP$13,RECORD!E$12:EP$12,"CLO4",RECORD!E$11:EP$11,"Prelim"),"")</x:f>
      </x:c>
      <x:c r="Z36" s="19" t="str">
        <x:f>IF(B36&lt;&gt;"",SUMIFS(RECORD!E45:EP45,RECORD!E$12:EP$12,"CLO4",RECORD!E$11:EP$11,"Midterm"),"")</x:f>
      </x:c>
      <x:c r="AA36" s="19" t="str">
        <x:f>IF(B36&lt;&gt;"",SUMIFS(RECORD!E$13:EP$13,RECORD!E$12:EP$12,"CLO4",RECORD!E$11:EP$11,"Midterm"),"")</x:f>
      </x:c>
      <x:c r="AB36" s="19" t="str">
        <x:f>IF(B36&lt;&gt;"",SUMIFS(RECORD!E45:EP45,RECORD!E$12:EP$12,"CLO4",RECORD!E$11:EP$11,"Final"),"")</x:f>
      </x:c>
      <x:c r="AC36" s="19" t="str">
        <x:f>IF(B36&lt;&gt;"",SUMIFS(RECORD!E$13:EP$13,RECORD!E$12:EP$12,"CLO4",RECORD!E$11:EP$11,"Final"),"")</x:f>
      </x:c>
      <x:c r="AD36" s="20" t="str">
        <x:f t="shared" si="3"/>
      </x:c>
      <x:c r="AE36" s="19" t="str">
        <x:f>IF(B36&lt;&gt;"",SUMIFS(RECORD!E45:EP45,RECORD!E$12:EP$12,"CLO5",RECORD!E$11:EP$11,"Prelim"),"")</x:f>
      </x:c>
      <x:c r="AF36" s="19" t="str">
        <x:f>IF(B36&lt;&gt;"",SUMIFS(RECORD!E$13:EP$13,RECORD!E$12:EP$12,"CLO5",RECORD!E$11:EP$11,"Prelim"),"")</x:f>
      </x:c>
      <x:c r="AG36" s="19" t="str">
        <x:f>IF(B36&lt;&gt;"",SUMIFS(RECORD!E45:EP45,RECORD!E$12:EP$12,"CLO5",RECORD!E$11:EP$11,"Midterm"),"")</x:f>
      </x:c>
      <x:c r="AH36" s="19" t="str">
        <x:f>IF(B36&lt;&gt;"",SUMIFS(RECORD!E$13:EP$13,RECORD!E$12:EP$12,"CLO5",RECORD!E$11:EP$11,"Midterm"),"")</x:f>
      </x:c>
      <x:c r="AI36" s="19" t="str">
        <x:f>IF(B36&lt;&gt;"",SUMIFS(RECORD!E45:EP45,RECORD!E$12:EP$12,"CLO5",RECORD!E$11:EP$11,"Final"),"")</x:f>
      </x:c>
      <x:c r="AJ36" s="19" t="str">
        <x:f>IF(B36&lt;&gt;"",SUMIFS(RECORD!E$13:EP$13,RECORD!E$12:EP$12,"CLO5",RECORD!E$11:EP$11,"Final"),"")</x:f>
      </x:c>
      <x:c r="AK36" s="20" t="str">
        <x:f t="shared" si="4"/>
      </x:c>
    </x:row>
    <x:row r="37">
      <x:c r="A37" s="18" t="str">
        <x:f>IF(RECORD!B46="","",RECORD!B46)</x:f>
      </x:c>
      <x:c r="B37" s="18" t="str">
        <x:f>IF(RECORD!C46="","",RECORD!C46)</x:f>
      </x:c>
      <x:c r="C37" s="19" t="str">
        <x:f>IF(B37&lt;&gt;"",SUMIFS(RECORD!E46:EP46,RECORD!E$12:EP$12,"CLO1",RECORD!E$11:EP$11,"Prelim"),"")</x:f>
      </x:c>
      <x:c r="D37" s="19" t="str">
        <x:f>IF(B37&lt;&gt;"",SUMIFS(RECORD!E$13:EP$13,RECORD!E$12:EP$12,"CLO1",RECORD!E$11:EP$11,"Prelim"),"")</x:f>
      </x:c>
      <x:c r="E37" s="19" t="str">
        <x:f>IF(B37&lt;&gt;"",SUMIFS(RECORD!E46:EP46,RECORD!E$12:EP$12,"CLO1",RECORD!E$11:EP$11,"Midterm"),"")</x:f>
      </x:c>
      <x:c r="F37" s="19" t="str">
        <x:f>IF(B37&lt;&gt;"",SUMIFS(RECORD!E$13:EP$13,RECORD!E$12:EP$12,"CLO1",RECORD!E$11:EP$11,"Midterm"),"")</x:f>
      </x:c>
      <x:c r="G37" s="19" t="str">
        <x:f>IF(B37&lt;&gt;"",SUMIFS(RECORD!E46:EP46,RECORD!E$12:EP$12,"CLO1",RECORD!E$11:EP$11,"Final"),"")</x:f>
      </x:c>
      <x:c r="H37" s="19" t="str">
        <x:f>IF(B37&lt;&gt;"",SUMIFS(RECORD!E$13:EP$13,RECORD!E$12:EP$12,"CLO1",RECORD!E$11:EP$11,"Final"),"")</x:f>
      </x:c>
      <x:c r="I37" s="20" t="str">
        <x:f t="shared" ref="I37:I68" si="5">IF(B37&lt;&gt;"",IFERROR((C37+E37+G37)/(D37+F37+H37)*100,0),"")</x:f>
      </x:c>
      <x:c r="J37" s="19" t="str">
        <x:f>IF(B37&lt;&gt;"",SUMIFS(RECORD!E46:EP46,RECORD!E$12:EP$12,"CLO2",RECORD!E$11:EP$11,"Prelim"),"")</x:f>
      </x:c>
      <x:c r="K37" s="19" t="str">
        <x:f>IF(B37&lt;&gt;"",SUMIFS(RECORD!E$13:EP$13,RECORD!E$12:EP$12,"CLO2",RECORD!E$11:EP$11,"Prelim"),"")</x:f>
      </x:c>
      <x:c r="L37" s="19" t="str">
        <x:f>IF(B37&lt;&gt;"",SUMIFS(RECORD!E46:EP46,RECORD!E$12:EP$12,"CLO2",RECORD!E$11:EP$11,"Midterm"),"")</x:f>
      </x:c>
      <x:c r="M37" s="19" t="str">
        <x:f>IF(B37&lt;&gt;"",SUMIFS(RECORD!E$13:EP$13,RECORD!E$12:EP$12,"CLO2",RECORD!E$11:EP$11,"Midterm"),"")</x:f>
      </x:c>
      <x:c r="N37" s="19" t="str">
        <x:f>IF(B37&lt;&gt;"",SUMIFS(RECORD!E46:EP46,RECORD!E$12:EP$12,"CLO2",RECORD!E$11:EP$11,"Final"),"")</x:f>
      </x:c>
      <x:c r="O37" s="19" t="str">
        <x:f>IF(B37&lt;&gt;"",SUMIFS(RECORD!E$13:EP$13,RECORD!E$12:EP$12,"CLO2",RECORD!E$11:EP$11,"Final"),"")</x:f>
      </x:c>
      <x:c r="P37" s="20" t="str">
        <x:f t="shared" ref="P37:P68" si="6">IF(B37&lt;&gt;"",IFERROR((J37+L37+N37)/(K37+M37+O37)*100,0),"")</x:f>
      </x:c>
      <x:c r="Q37" s="19" t="str">
        <x:f>IF(B37&lt;&gt;"",SUMIFS(RECORD!E46:EP46,RECORD!E$12:EP$12,"CLO3",RECORD!E$11:EP$11,"Prelim"),"")</x:f>
      </x:c>
      <x:c r="R37" s="19" t="str">
        <x:f>IF(B37&lt;&gt;"",SUMIFS(RECORD!E$13:EP$13,RECORD!E$12:EP$12,"CLO3",RECORD!E$11:EP$11,"Prelim"),"")</x:f>
      </x:c>
      <x:c r="S37" s="19" t="str">
        <x:f>IF(B37&lt;&gt;"",SUMIFS(RECORD!E46:EP46,RECORD!E$12:EP$12,"CLO3",RECORD!E$11:EP$11,"Midterm"),"")</x:f>
      </x:c>
      <x:c r="T37" s="19" t="str">
        <x:f>IF(B37&lt;&gt;"",SUMIFS(RECORD!E$13:EP$13,RECORD!E$12:EP$12,"CLO3",RECORD!E$11:EP$11,"Midterm"),"")</x:f>
      </x:c>
      <x:c r="U37" s="19" t="str">
        <x:f>IF(B37&lt;&gt;"",SUMIFS(RECORD!E46:EP46,RECORD!E$12:EP$12,"CLO3",RECORD!E$11:EP$11,"Final"),"")</x:f>
      </x:c>
      <x:c r="V37" s="19" t="str">
        <x:f>IF(B37&lt;&gt;"",SUMIFS(RECORD!E$13:EP$13,RECORD!E$12:EP$12,"CLO3",RECORD!E$11:EP$11,"Final"),"")</x:f>
      </x:c>
      <x:c r="W37" s="20" t="str">
        <x:f t="shared" ref="W37:W68" si="7">IF(B37&lt;&gt;"",IFERROR((Q37+S37+U37)/(R37+T37+V37)*100,0),"")</x:f>
      </x:c>
      <x:c r="X37" s="19" t="str">
        <x:f>IF(B37&lt;&gt;"",SUMIFS(RECORD!E46:EP46,RECORD!E$12:EP$12,"CLO4",RECORD!E$11:EP$11,"Prelim"),"")</x:f>
      </x:c>
      <x:c r="Y37" s="19" t="str">
        <x:f>IF(B37&lt;&gt;"",SUMIFS(RECORD!E$13:EP$13,RECORD!E$12:EP$12,"CLO4",RECORD!E$11:EP$11,"Prelim"),"")</x:f>
      </x:c>
      <x:c r="Z37" s="19" t="str">
        <x:f>IF(B37&lt;&gt;"",SUMIFS(RECORD!E46:EP46,RECORD!E$12:EP$12,"CLO4",RECORD!E$11:EP$11,"Midterm"),"")</x:f>
      </x:c>
      <x:c r="AA37" s="19" t="str">
        <x:f>IF(B37&lt;&gt;"",SUMIFS(RECORD!E$13:EP$13,RECORD!E$12:EP$12,"CLO4",RECORD!E$11:EP$11,"Midterm"),"")</x:f>
      </x:c>
      <x:c r="AB37" s="19" t="str">
        <x:f>IF(B37&lt;&gt;"",SUMIFS(RECORD!E46:EP46,RECORD!E$12:EP$12,"CLO4",RECORD!E$11:EP$11,"Final"),"")</x:f>
      </x:c>
      <x:c r="AC37" s="19" t="str">
        <x:f>IF(B37&lt;&gt;"",SUMIFS(RECORD!E$13:EP$13,RECORD!E$12:EP$12,"CLO4",RECORD!E$11:EP$11,"Final"),"")</x:f>
      </x:c>
      <x:c r="AD37" s="20" t="str">
        <x:f t="shared" ref="AD37:AD68" si="8">IF(B37&lt;&gt;"",IFERROR((X37+Z37+AB37)/(Y37+AA37+AC37)*100,0),"")</x:f>
      </x:c>
      <x:c r="AE37" s="19" t="str">
        <x:f>IF(B37&lt;&gt;"",SUMIFS(RECORD!E46:EP46,RECORD!E$12:EP$12,"CLO5",RECORD!E$11:EP$11,"Prelim"),"")</x:f>
      </x:c>
      <x:c r="AF37" s="19" t="str">
        <x:f>IF(B37&lt;&gt;"",SUMIFS(RECORD!E$13:EP$13,RECORD!E$12:EP$12,"CLO5",RECORD!E$11:EP$11,"Prelim"),"")</x:f>
      </x:c>
      <x:c r="AG37" s="19" t="str">
        <x:f>IF(B37&lt;&gt;"",SUMIFS(RECORD!E46:EP46,RECORD!E$12:EP$12,"CLO5",RECORD!E$11:EP$11,"Midterm"),"")</x:f>
      </x:c>
      <x:c r="AH37" s="19" t="str">
        <x:f>IF(B37&lt;&gt;"",SUMIFS(RECORD!E$13:EP$13,RECORD!E$12:EP$12,"CLO5",RECORD!E$11:EP$11,"Midterm"),"")</x:f>
      </x:c>
      <x:c r="AI37" s="19" t="str">
        <x:f>IF(B37&lt;&gt;"",SUMIFS(RECORD!E46:EP46,RECORD!E$12:EP$12,"CLO5",RECORD!E$11:EP$11,"Final"),"")</x:f>
      </x:c>
      <x:c r="AJ37" s="19" t="str">
        <x:f>IF(B37&lt;&gt;"",SUMIFS(RECORD!E$13:EP$13,RECORD!E$12:EP$12,"CLO5",RECORD!E$11:EP$11,"Final"),"")</x:f>
      </x:c>
      <x:c r="AK37" s="20" t="str">
        <x:f t="shared" ref="AK37:AK68" si="9">IF(B37&lt;&gt;"",IFERROR((AE37+AG37+AI37)/(AF37+AH37+AJ37)*100,0),"")</x:f>
      </x:c>
    </x:row>
    <x:row r="38">
      <x:c r="A38" s="18" t="str">
        <x:f>IF(RECORD!B47="","",RECORD!B47)</x:f>
      </x:c>
      <x:c r="B38" s="18" t="str">
        <x:f>IF(RECORD!C47="","",RECORD!C47)</x:f>
      </x:c>
      <x:c r="C38" s="19" t="str">
        <x:f>IF(B38&lt;&gt;"",SUMIFS(RECORD!E47:EP47,RECORD!E$12:EP$12,"CLO1",RECORD!E$11:EP$11,"Prelim"),"")</x:f>
      </x:c>
      <x:c r="D38" s="19" t="str">
        <x:f>IF(B38&lt;&gt;"",SUMIFS(RECORD!E$13:EP$13,RECORD!E$12:EP$12,"CLO1",RECORD!E$11:EP$11,"Prelim"),"")</x:f>
      </x:c>
      <x:c r="E38" s="19" t="str">
        <x:f>IF(B38&lt;&gt;"",SUMIFS(RECORD!E47:EP47,RECORD!E$12:EP$12,"CLO1",RECORD!E$11:EP$11,"Midterm"),"")</x:f>
      </x:c>
      <x:c r="F38" s="19" t="str">
        <x:f>IF(B38&lt;&gt;"",SUMIFS(RECORD!E$13:EP$13,RECORD!E$12:EP$12,"CLO1",RECORD!E$11:EP$11,"Midterm"),"")</x:f>
      </x:c>
      <x:c r="G38" s="19" t="str">
        <x:f>IF(B38&lt;&gt;"",SUMIFS(RECORD!E47:EP47,RECORD!E$12:EP$12,"CLO1",RECORD!E$11:EP$11,"Final"),"")</x:f>
      </x:c>
      <x:c r="H38" s="19" t="str">
        <x:f>IF(B38&lt;&gt;"",SUMIFS(RECORD!E$13:EP$13,RECORD!E$12:EP$12,"CLO1",RECORD!E$11:EP$11,"Final"),"")</x:f>
      </x:c>
      <x:c r="I38" s="20" t="str">
        <x:f t="shared" si="5"/>
      </x:c>
      <x:c r="J38" s="19" t="str">
        <x:f>IF(B38&lt;&gt;"",SUMIFS(RECORD!E47:EP47,RECORD!E$12:EP$12,"CLO2",RECORD!E$11:EP$11,"Prelim"),"")</x:f>
      </x:c>
      <x:c r="K38" s="19" t="str">
        <x:f>IF(B38&lt;&gt;"",SUMIFS(RECORD!E$13:EP$13,RECORD!E$12:EP$12,"CLO2",RECORD!E$11:EP$11,"Prelim"),"")</x:f>
      </x:c>
      <x:c r="L38" s="19" t="str">
        <x:f>IF(B38&lt;&gt;"",SUMIFS(RECORD!E47:EP47,RECORD!E$12:EP$12,"CLO2",RECORD!E$11:EP$11,"Midterm"),"")</x:f>
      </x:c>
      <x:c r="M38" s="19" t="str">
        <x:f>IF(B38&lt;&gt;"",SUMIFS(RECORD!E$13:EP$13,RECORD!E$12:EP$12,"CLO2",RECORD!E$11:EP$11,"Midterm"),"")</x:f>
      </x:c>
      <x:c r="N38" s="19" t="str">
        <x:f>IF(B38&lt;&gt;"",SUMIFS(RECORD!E47:EP47,RECORD!E$12:EP$12,"CLO2",RECORD!E$11:EP$11,"Final"),"")</x:f>
      </x:c>
      <x:c r="O38" s="19" t="str">
        <x:f>IF(B38&lt;&gt;"",SUMIFS(RECORD!E$13:EP$13,RECORD!E$12:EP$12,"CLO2",RECORD!E$11:EP$11,"Final"),"")</x:f>
      </x:c>
      <x:c r="P38" s="20" t="str">
        <x:f t="shared" si="6"/>
      </x:c>
      <x:c r="Q38" s="19" t="str">
        <x:f>IF(B38&lt;&gt;"",SUMIFS(RECORD!E47:EP47,RECORD!E$12:EP$12,"CLO3",RECORD!E$11:EP$11,"Prelim"),"")</x:f>
      </x:c>
      <x:c r="R38" s="19" t="str">
        <x:f>IF(B38&lt;&gt;"",SUMIFS(RECORD!E$13:EP$13,RECORD!E$12:EP$12,"CLO3",RECORD!E$11:EP$11,"Prelim"),"")</x:f>
      </x:c>
      <x:c r="S38" s="19" t="str">
        <x:f>IF(B38&lt;&gt;"",SUMIFS(RECORD!E47:EP47,RECORD!E$12:EP$12,"CLO3",RECORD!E$11:EP$11,"Midterm"),"")</x:f>
      </x:c>
      <x:c r="T38" s="19" t="str">
        <x:f>IF(B38&lt;&gt;"",SUMIFS(RECORD!E$13:EP$13,RECORD!E$12:EP$12,"CLO3",RECORD!E$11:EP$11,"Midterm"),"")</x:f>
      </x:c>
      <x:c r="U38" s="19" t="str">
        <x:f>IF(B38&lt;&gt;"",SUMIFS(RECORD!E47:EP47,RECORD!E$12:EP$12,"CLO3",RECORD!E$11:EP$11,"Final"),"")</x:f>
      </x:c>
      <x:c r="V38" s="19" t="str">
        <x:f>IF(B38&lt;&gt;"",SUMIFS(RECORD!E$13:EP$13,RECORD!E$12:EP$12,"CLO3",RECORD!E$11:EP$11,"Final"),"")</x:f>
      </x:c>
      <x:c r="W38" s="20" t="str">
        <x:f t="shared" si="7"/>
      </x:c>
      <x:c r="X38" s="19" t="str">
        <x:f>IF(B38&lt;&gt;"",SUMIFS(RECORD!E47:EP47,RECORD!E$12:EP$12,"CLO4",RECORD!E$11:EP$11,"Prelim"),"")</x:f>
      </x:c>
      <x:c r="Y38" s="19" t="str">
        <x:f>IF(B38&lt;&gt;"",SUMIFS(RECORD!E$13:EP$13,RECORD!E$12:EP$12,"CLO4",RECORD!E$11:EP$11,"Prelim"),"")</x:f>
      </x:c>
      <x:c r="Z38" s="19" t="str">
        <x:f>IF(B38&lt;&gt;"",SUMIFS(RECORD!E47:EP47,RECORD!E$12:EP$12,"CLO4",RECORD!E$11:EP$11,"Midterm"),"")</x:f>
      </x:c>
      <x:c r="AA38" s="19" t="str">
        <x:f>IF(B38&lt;&gt;"",SUMIFS(RECORD!E$13:EP$13,RECORD!E$12:EP$12,"CLO4",RECORD!E$11:EP$11,"Midterm"),"")</x:f>
      </x:c>
      <x:c r="AB38" s="19" t="str">
        <x:f>IF(B38&lt;&gt;"",SUMIFS(RECORD!E47:EP47,RECORD!E$12:EP$12,"CLO4",RECORD!E$11:EP$11,"Final"),"")</x:f>
      </x:c>
      <x:c r="AC38" s="19" t="str">
        <x:f>IF(B38&lt;&gt;"",SUMIFS(RECORD!E$13:EP$13,RECORD!E$12:EP$12,"CLO4",RECORD!E$11:EP$11,"Final"),"")</x:f>
      </x:c>
      <x:c r="AD38" s="20" t="str">
        <x:f t="shared" si="8"/>
      </x:c>
      <x:c r="AE38" s="19" t="str">
        <x:f>IF(B38&lt;&gt;"",SUMIFS(RECORD!E47:EP47,RECORD!E$12:EP$12,"CLO5",RECORD!E$11:EP$11,"Prelim"),"")</x:f>
      </x:c>
      <x:c r="AF38" s="19" t="str">
        <x:f>IF(B38&lt;&gt;"",SUMIFS(RECORD!E$13:EP$13,RECORD!E$12:EP$12,"CLO5",RECORD!E$11:EP$11,"Prelim"),"")</x:f>
      </x:c>
      <x:c r="AG38" s="19" t="str">
        <x:f>IF(B38&lt;&gt;"",SUMIFS(RECORD!E47:EP47,RECORD!E$12:EP$12,"CLO5",RECORD!E$11:EP$11,"Midterm"),"")</x:f>
      </x:c>
      <x:c r="AH38" s="19" t="str">
        <x:f>IF(B38&lt;&gt;"",SUMIFS(RECORD!E$13:EP$13,RECORD!E$12:EP$12,"CLO5",RECORD!E$11:EP$11,"Midterm"),"")</x:f>
      </x:c>
      <x:c r="AI38" s="19" t="str">
        <x:f>IF(B38&lt;&gt;"",SUMIFS(RECORD!E47:EP47,RECORD!E$12:EP$12,"CLO5",RECORD!E$11:EP$11,"Final"),"")</x:f>
      </x:c>
      <x:c r="AJ38" s="19" t="str">
        <x:f>IF(B38&lt;&gt;"",SUMIFS(RECORD!E$13:EP$13,RECORD!E$12:EP$12,"CLO5",RECORD!E$11:EP$11,"Final"),"")</x:f>
      </x:c>
      <x:c r="AK38" s="20" t="str">
        <x:f t="shared" si="9"/>
      </x:c>
    </x:row>
    <x:row r="39">
      <x:c r="A39" s="18" t="str">
        <x:f>IF(RECORD!B48="","",RECORD!B48)</x:f>
      </x:c>
      <x:c r="B39" s="18" t="str">
        <x:f>IF(RECORD!C48="","",RECORD!C48)</x:f>
      </x:c>
      <x:c r="C39" s="19" t="str">
        <x:f>IF(B39&lt;&gt;"",SUMIFS(RECORD!E48:EP48,RECORD!E$12:EP$12,"CLO1",RECORD!E$11:EP$11,"Prelim"),"")</x:f>
      </x:c>
      <x:c r="D39" s="19" t="str">
        <x:f>IF(B39&lt;&gt;"",SUMIFS(RECORD!E$13:EP$13,RECORD!E$12:EP$12,"CLO1",RECORD!E$11:EP$11,"Prelim"),"")</x:f>
      </x:c>
      <x:c r="E39" s="19" t="str">
        <x:f>IF(B39&lt;&gt;"",SUMIFS(RECORD!E48:EP48,RECORD!E$12:EP$12,"CLO1",RECORD!E$11:EP$11,"Midterm"),"")</x:f>
      </x:c>
      <x:c r="F39" s="19" t="str">
        <x:f>IF(B39&lt;&gt;"",SUMIFS(RECORD!E$13:EP$13,RECORD!E$12:EP$12,"CLO1",RECORD!E$11:EP$11,"Midterm"),"")</x:f>
      </x:c>
      <x:c r="G39" s="19" t="str">
        <x:f>IF(B39&lt;&gt;"",SUMIFS(RECORD!E48:EP48,RECORD!E$12:EP$12,"CLO1",RECORD!E$11:EP$11,"Final"),"")</x:f>
      </x:c>
      <x:c r="H39" s="19" t="str">
        <x:f>IF(B39&lt;&gt;"",SUMIFS(RECORD!E$13:EP$13,RECORD!E$12:EP$12,"CLO1",RECORD!E$11:EP$11,"Final"),"")</x:f>
      </x:c>
      <x:c r="I39" s="20" t="str">
        <x:f t="shared" si="5"/>
      </x:c>
      <x:c r="J39" s="19" t="str">
        <x:f>IF(B39&lt;&gt;"",SUMIFS(RECORD!E48:EP48,RECORD!E$12:EP$12,"CLO2",RECORD!E$11:EP$11,"Prelim"),"")</x:f>
      </x:c>
      <x:c r="K39" s="19" t="str">
        <x:f>IF(B39&lt;&gt;"",SUMIFS(RECORD!E$13:EP$13,RECORD!E$12:EP$12,"CLO2",RECORD!E$11:EP$11,"Prelim"),"")</x:f>
      </x:c>
      <x:c r="L39" s="19" t="str">
        <x:f>IF(B39&lt;&gt;"",SUMIFS(RECORD!E48:EP48,RECORD!E$12:EP$12,"CLO2",RECORD!E$11:EP$11,"Midterm"),"")</x:f>
      </x:c>
      <x:c r="M39" s="19" t="str">
        <x:f>IF(B39&lt;&gt;"",SUMIFS(RECORD!E$13:EP$13,RECORD!E$12:EP$12,"CLO2",RECORD!E$11:EP$11,"Midterm"),"")</x:f>
      </x:c>
      <x:c r="N39" s="19" t="str">
        <x:f>IF(B39&lt;&gt;"",SUMIFS(RECORD!E48:EP48,RECORD!E$12:EP$12,"CLO2",RECORD!E$11:EP$11,"Final"),"")</x:f>
      </x:c>
      <x:c r="O39" s="19" t="str">
        <x:f>IF(B39&lt;&gt;"",SUMIFS(RECORD!E$13:EP$13,RECORD!E$12:EP$12,"CLO2",RECORD!E$11:EP$11,"Final"),"")</x:f>
      </x:c>
      <x:c r="P39" s="20" t="str">
        <x:f t="shared" si="6"/>
      </x:c>
      <x:c r="Q39" s="19" t="str">
        <x:f>IF(B39&lt;&gt;"",SUMIFS(RECORD!E48:EP48,RECORD!E$12:EP$12,"CLO3",RECORD!E$11:EP$11,"Prelim"),"")</x:f>
      </x:c>
      <x:c r="R39" s="19" t="str">
        <x:f>IF(B39&lt;&gt;"",SUMIFS(RECORD!E$13:EP$13,RECORD!E$12:EP$12,"CLO3",RECORD!E$11:EP$11,"Prelim"),"")</x:f>
      </x:c>
      <x:c r="S39" s="19" t="str">
        <x:f>IF(B39&lt;&gt;"",SUMIFS(RECORD!E48:EP48,RECORD!E$12:EP$12,"CLO3",RECORD!E$11:EP$11,"Midterm"),"")</x:f>
      </x:c>
      <x:c r="T39" s="19" t="str">
        <x:f>IF(B39&lt;&gt;"",SUMIFS(RECORD!E$13:EP$13,RECORD!E$12:EP$12,"CLO3",RECORD!E$11:EP$11,"Midterm"),"")</x:f>
      </x:c>
      <x:c r="U39" s="19" t="str">
        <x:f>IF(B39&lt;&gt;"",SUMIFS(RECORD!E48:EP48,RECORD!E$12:EP$12,"CLO3",RECORD!E$11:EP$11,"Final"),"")</x:f>
      </x:c>
      <x:c r="V39" s="19" t="str">
        <x:f>IF(B39&lt;&gt;"",SUMIFS(RECORD!E$13:EP$13,RECORD!E$12:EP$12,"CLO3",RECORD!E$11:EP$11,"Final"),"")</x:f>
      </x:c>
      <x:c r="W39" s="20" t="str">
        <x:f t="shared" si="7"/>
      </x:c>
      <x:c r="X39" s="19" t="str">
        <x:f>IF(B39&lt;&gt;"",SUMIFS(RECORD!E48:EP48,RECORD!E$12:EP$12,"CLO4",RECORD!E$11:EP$11,"Prelim"),"")</x:f>
      </x:c>
      <x:c r="Y39" s="19" t="str">
        <x:f>IF(B39&lt;&gt;"",SUMIFS(RECORD!E$13:EP$13,RECORD!E$12:EP$12,"CLO4",RECORD!E$11:EP$11,"Prelim"),"")</x:f>
      </x:c>
      <x:c r="Z39" s="19" t="str">
        <x:f>IF(B39&lt;&gt;"",SUMIFS(RECORD!E48:EP48,RECORD!E$12:EP$12,"CLO4",RECORD!E$11:EP$11,"Midterm"),"")</x:f>
      </x:c>
      <x:c r="AA39" s="19" t="str">
        <x:f>IF(B39&lt;&gt;"",SUMIFS(RECORD!E$13:EP$13,RECORD!E$12:EP$12,"CLO4",RECORD!E$11:EP$11,"Midterm"),"")</x:f>
      </x:c>
      <x:c r="AB39" s="19" t="str">
        <x:f>IF(B39&lt;&gt;"",SUMIFS(RECORD!E48:EP48,RECORD!E$12:EP$12,"CLO4",RECORD!E$11:EP$11,"Final"),"")</x:f>
      </x:c>
      <x:c r="AC39" s="19" t="str">
        <x:f>IF(B39&lt;&gt;"",SUMIFS(RECORD!E$13:EP$13,RECORD!E$12:EP$12,"CLO4",RECORD!E$11:EP$11,"Final"),"")</x:f>
      </x:c>
      <x:c r="AD39" s="20" t="str">
        <x:f t="shared" si="8"/>
      </x:c>
      <x:c r="AE39" s="19" t="str">
        <x:f>IF(B39&lt;&gt;"",SUMIFS(RECORD!E48:EP48,RECORD!E$12:EP$12,"CLO5",RECORD!E$11:EP$11,"Prelim"),"")</x:f>
      </x:c>
      <x:c r="AF39" s="19" t="str">
        <x:f>IF(B39&lt;&gt;"",SUMIFS(RECORD!E$13:EP$13,RECORD!E$12:EP$12,"CLO5",RECORD!E$11:EP$11,"Prelim"),"")</x:f>
      </x:c>
      <x:c r="AG39" s="19" t="str">
        <x:f>IF(B39&lt;&gt;"",SUMIFS(RECORD!E48:EP48,RECORD!E$12:EP$12,"CLO5",RECORD!E$11:EP$11,"Midterm"),"")</x:f>
      </x:c>
      <x:c r="AH39" s="19" t="str">
        <x:f>IF(B39&lt;&gt;"",SUMIFS(RECORD!E$13:EP$13,RECORD!E$12:EP$12,"CLO5",RECORD!E$11:EP$11,"Midterm"),"")</x:f>
      </x:c>
      <x:c r="AI39" s="19" t="str">
        <x:f>IF(B39&lt;&gt;"",SUMIFS(RECORD!E48:EP48,RECORD!E$12:EP$12,"CLO5",RECORD!E$11:EP$11,"Final"),"")</x:f>
      </x:c>
      <x:c r="AJ39" s="19" t="str">
        <x:f>IF(B39&lt;&gt;"",SUMIFS(RECORD!E$13:EP$13,RECORD!E$12:EP$12,"CLO5",RECORD!E$11:EP$11,"Final"),"")</x:f>
      </x:c>
      <x:c r="AK39" s="20" t="str">
        <x:f t="shared" si="9"/>
      </x:c>
    </x:row>
    <x:row r="40">
      <x:c r="A40" s="18" t="str">
        <x:f>IF(RECORD!B49="","",RECORD!B49)</x:f>
      </x:c>
      <x:c r="B40" s="18" t="str">
        <x:f>IF(RECORD!C49="","",RECORD!C49)</x:f>
      </x:c>
      <x:c r="C40" s="19" t="str">
        <x:f>IF(B40&lt;&gt;"",SUMIFS(RECORD!E49:EP49,RECORD!E$12:EP$12,"CLO1",RECORD!E$11:EP$11,"Prelim"),"")</x:f>
      </x:c>
      <x:c r="D40" s="19" t="str">
        <x:f>IF(B40&lt;&gt;"",SUMIFS(RECORD!E$13:EP$13,RECORD!E$12:EP$12,"CLO1",RECORD!E$11:EP$11,"Prelim"),"")</x:f>
      </x:c>
      <x:c r="E40" s="19" t="str">
        <x:f>IF(B40&lt;&gt;"",SUMIFS(RECORD!E49:EP49,RECORD!E$12:EP$12,"CLO1",RECORD!E$11:EP$11,"Midterm"),"")</x:f>
      </x:c>
      <x:c r="F40" s="19" t="str">
        <x:f>IF(B40&lt;&gt;"",SUMIFS(RECORD!E$13:EP$13,RECORD!E$12:EP$12,"CLO1",RECORD!E$11:EP$11,"Midterm"),"")</x:f>
      </x:c>
      <x:c r="G40" s="19" t="str">
        <x:f>IF(B40&lt;&gt;"",SUMIFS(RECORD!E49:EP49,RECORD!E$12:EP$12,"CLO1",RECORD!E$11:EP$11,"Final"),"")</x:f>
      </x:c>
      <x:c r="H40" s="19" t="str">
        <x:f>IF(B40&lt;&gt;"",SUMIFS(RECORD!E$13:EP$13,RECORD!E$12:EP$12,"CLO1",RECORD!E$11:EP$11,"Final"),"")</x:f>
      </x:c>
      <x:c r="I40" s="20" t="str">
        <x:f t="shared" si="5"/>
      </x:c>
      <x:c r="J40" s="19" t="str">
        <x:f>IF(B40&lt;&gt;"",SUMIFS(RECORD!E49:EP49,RECORD!E$12:EP$12,"CLO2",RECORD!E$11:EP$11,"Prelim"),"")</x:f>
      </x:c>
      <x:c r="K40" s="19" t="str">
        <x:f>IF(B40&lt;&gt;"",SUMIFS(RECORD!E$13:EP$13,RECORD!E$12:EP$12,"CLO2",RECORD!E$11:EP$11,"Prelim"),"")</x:f>
      </x:c>
      <x:c r="L40" s="19" t="str">
        <x:f>IF(B40&lt;&gt;"",SUMIFS(RECORD!E49:EP49,RECORD!E$12:EP$12,"CLO2",RECORD!E$11:EP$11,"Midterm"),"")</x:f>
      </x:c>
      <x:c r="M40" s="19" t="str">
        <x:f>IF(B40&lt;&gt;"",SUMIFS(RECORD!E$13:EP$13,RECORD!E$12:EP$12,"CLO2",RECORD!E$11:EP$11,"Midterm"),"")</x:f>
      </x:c>
      <x:c r="N40" s="19" t="str">
        <x:f>IF(B40&lt;&gt;"",SUMIFS(RECORD!E49:EP49,RECORD!E$12:EP$12,"CLO2",RECORD!E$11:EP$11,"Final"),"")</x:f>
      </x:c>
      <x:c r="O40" s="19" t="str">
        <x:f>IF(B40&lt;&gt;"",SUMIFS(RECORD!E$13:EP$13,RECORD!E$12:EP$12,"CLO2",RECORD!E$11:EP$11,"Final"),"")</x:f>
      </x:c>
      <x:c r="P40" s="20" t="str">
        <x:f t="shared" si="6"/>
      </x:c>
      <x:c r="Q40" s="19" t="str">
        <x:f>IF(B40&lt;&gt;"",SUMIFS(RECORD!E49:EP49,RECORD!E$12:EP$12,"CLO3",RECORD!E$11:EP$11,"Prelim"),"")</x:f>
      </x:c>
      <x:c r="R40" s="19" t="str">
        <x:f>IF(B40&lt;&gt;"",SUMIFS(RECORD!E$13:EP$13,RECORD!E$12:EP$12,"CLO3",RECORD!E$11:EP$11,"Prelim"),"")</x:f>
      </x:c>
      <x:c r="S40" s="19" t="str">
        <x:f>IF(B40&lt;&gt;"",SUMIFS(RECORD!E49:EP49,RECORD!E$12:EP$12,"CLO3",RECORD!E$11:EP$11,"Midterm"),"")</x:f>
      </x:c>
      <x:c r="T40" s="19" t="str">
        <x:f>IF(B40&lt;&gt;"",SUMIFS(RECORD!E$13:EP$13,RECORD!E$12:EP$12,"CLO3",RECORD!E$11:EP$11,"Midterm"),"")</x:f>
      </x:c>
      <x:c r="U40" s="19" t="str">
        <x:f>IF(B40&lt;&gt;"",SUMIFS(RECORD!E49:EP49,RECORD!E$12:EP$12,"CLO3",RECORD!E$11:EP$11,"Final"),"")</x:f>
      </x:c>
      <x:c r="V40" s="19" t="str">
        <x:f>IF(B40&lt;&gt;"",SUMIFS(RECORD!E$13:EP$13,RECORD!E$12:EP$12,"CLO3",RECORD!E$11:EP$11,"Final"),"")</x:f>
      </x:c>
      <x:c r="W40" s="20" t="str">
        <x:f t="shared" si="7"/>
      </x:c>
      <x:c r="X40" s="19" t="str">
        <x:f>IF(B40&lt;&gt;"",SUMIFS(RECORD!E49:EP49,RECORD!E$12:EP$12,"CLO4",RECORD!E$11:EP$11,"Prelim"),"")</x:f>
      </x:c>
      <x:c r="Y40" s="19" t="str">
        <x:f>IF(B40&lt;&gt;"",SUMIFS(RECORD!E$13:EP$13,RECORD!E$12:EP$12,"CLO4",RECORD!E$11:EP$11,"Prelim"),"")</x:f>
      </x:c>
      <x:c r="Z40" s="19" t="str">
        <x:f>IF(B40&lt;&gt;"",SUMIFS(RECORD!E49:EP49,RECORD!E$12:EP$12,"CLO4",RECORD!E$11:EP$11,"Midterm"),"")</x:f>
      </x:c>
      <x:c r="AA40" s="19" t="str">
        <x:f>IF(B40&lt;&gt;"",SUMIFS(RECORD!E$13:EP$13,RECORD!E$12:EP$12,"CLO4",RECORD!E$11:EP$11,"Midterm"),"")</x:f>
      </x:c>
      <x:c r="AB40" s="19" t="str">
        <x:f>IF(B40&lt;&gt;"",SUMIFS(RECORD!E49:EP49,RECORD!E$12:EP$12,"CLO4",RECORD!E$11:EP$11,"Final"),"")</x:f>
      </x:c>
      <x:c r="AC40" s="19" t="str">
        <x:f>IF(B40&lt;&gt;"",SUMIFS(RECORD!E$13:EP$13,RECORD!E$12:EP$12,"CLO4",RECORD!E$11:EP$11,"Final"),"")</x:f>
      </x:c>
      <x:c r="AD40" s="20" t="str">
        <x:f t="shared" si="8"/>
      </x:c>
      <x:c r="AE40" s="19" t="str">
        <x:f>IF(B40&lt;&gt;"",SUMIFS(RECORD!E49:EP49,RECORD!E$12:EP$12,"CLO5",RECORD!E$11:EP$11,"Prelim"),"")</x:f>
      </x:c>
      <x:c r="AF40" s="19" t="str">
        <x:f>IF(B40&lt;&gt;"",SUMIFS(RECORD!E$13:EP$13,RECORD!E$12:EP$12,"CLO5",RECORD!E$11:EP$11,"Prelim"),"")</x:f>
      </x:c>
      <x:c r="AG40" s="19" t="str">
        <x:f>IF(B40&lt;&gt;"",SUMIFS(RECORD!E49:EP49,RECORD!E$12:EP$12,"CLO5",RECORD!E$11:EP$11,"Midterm"),"")</x:f>
      </x:c>
      <x:c r="AH40" s="19" t="str">
        <x:f>IF(B40&lt;&gt;"",SUMIFS(RECORD!E$13:EP$13,RECORD!E$12:EP$12,"CLO5",RECORD!E$11:EP$11,"Midterm"),"")</x:f>
      </x:c>
      <x:c r="AI40" s="19" t="str">
        <x:f>IF(B40&lt;&gt;"",SUMIFS(RECORD!E49:EP49,RECORD!E$12:EP$12,"CLO5",RECORD!E$11:EP$11,"Final"),"")</x:f>
      </x:c>
      <x:c r="AJ40" s="19" t="str">
        <x:f>IF(B40&lt;&gt;"",SUMIFS(RECORD!E$13:EP$13,RECORD!E$12:EP$12,"CLO5",RECORD!E$11:EP$11,"Final"),"")</x:f>
      </x:c>
      <x:c r="AK40" s="20" t="str">
        <x:f t="shared" si="9"/>
      </x:c>
    </x:row>
    <x:row r="41">
      <x:c r="A41" s="18" t="str">
        <x:f>IF(RECORD!B50="","",RECORD!B50)</x:f>
      </x:c>
      <x:c r="B41" s="18" t="str">
        <x:f>IF(RECORD!C50="","",RECORD!C50)</x:f>
      </x:c>
      <x:c r="C41" s="19" t="str">
        <x:f>IF(B41&lt;&gt;"",SUMIFS(RECORD!E50:EP50,RECORD!E$12:EP$12,"CLO1",RECORD!E$11:EP$11,"Prelim"),"")</x:f>
      </x:c>
      <x:c r="D41" s="19" t="str">
        <x:f>IF(B41&lt;&gt;"",SUMIFS(RECORD!E$13:EP$13,RECORD!E$12:EP$12,"CLO1",RECORD!E$11:EP$11,"Prelim"),"")</x:f>
      </x:c>
      <x:c r="E41" s="19" t="str">
        <x:f>IF(B41&lt;&gt;"",SUMIFS(RECORD!E50:EP50,RECORD!E$12:EP$12,"CLO1",RECORD!E$11:EP$11,"Midterm"),"")</x:f>
      </x:c>
      <x:c r="F41" s="19" t="str">
        <x:f>IF(B41&lt;&gt;"",SUMIFS(RECORD!E$13:EP$13,RECORD!E$12:EP$12,"CLO1",RECORD!E$11:EP$11,"Midterm"),"")</x:f>
      </x:c>
      <x:c r="G41" s="19" t="str">
        <x:f>IF(B41&lt;&gt;"",SUMIFS(RECORD!E50:EP50,RECORD!E$12:EP$12,"CLO1",RECORD!E$11:EP$11,"Final"),"")</x:f>
      </x:c>
      <x:c r="H41" s="19" t="str">
        <x:f>IF(B41&lt;&gt;"",SUMIFS(RECORD!E$13:EP$13,RECORD!E$12:EP$12,"CLO1",RECORD!E$11:EP$11,"Final"),"")</x:f>
      </x:c>
      <x:c r="I41" s="20" t="str">
        <x:f t="shared" si="5"/>
      </x:c>
      <x:c r="J41" s="19" t="str">
        <x:f>IF(B41&lt;&gt;"",SUMIFS(RECORD!E50:EP50,RECORD!E$12:EP$12,"CLO2",RECORD!E$11:EP$11,"Prelim"),"")</x:f>
      </x:c>
      <x:c r="K41" s="19" t="str">
        <x:f>IF(B41&lt;&gt;"",SUMIFS(RECORD!E$13:EP$13,RECORD!E$12:EP$12,"CLO2",RECORD!E$11:EP$11,"Prelim"),"")</x:f>
      </x:c>
      <x:c r="L41" s="19" t="str">
        <x:f>IF(B41&lt;&gt;"",SUMIFS(RECORD!E50:EP50,RECORD!E$12:EP$12,"CLO2",RECORD!E$11:EP$11,"Midterm"),"")</x:f>
      </x:c>
      <x:c r="M41" s="19" t="str">
        <x:f>IF(B41&lt;&gt;"",SUMIFS(RECORD!E$13:EP$13,RECORD!E$12:EP$12,"CLO2",RECORD!E$11:EP$11,"Midterm"),"")</x:f>
      </x:c>
      <x:c r="N41" s="19" t="str">
        <x:f>IF(B41&lt;&gt;"",SUMIFS(RECORD!E50:EP50,RECORD!E$12:EP$12,"CLO2",RECORD!E$11:EP$11,"Final"),"")</x:f>
      </x:c>
      <x:c r="O41" s="19" t="str">
        <x:f>IF(B41&lt;&gt;"",SUMIFS(RECORD!E$13:EP$13,RECORD!E$12:EP$12,"CLO2",RECORD!E$11:EP$11,"Final"),"")</x:f>
      </x:c>
      <x:c r="P41" s="20" t="str">
        <x:f t="shared" si="6"/>
      </x:c>
      <x:c r="Q41" s="19" t="str">
        <x:f>IF(B41&lt;&gt;"",SUMIFS(RECORD!E50:EP50,RECORD!E$12:EP$12,"CLO3",RECORD!E$11:EP$11,"Prelim"),"")</x:f>
      </x:c>
      <x:c r="R41" s="19" t="str">
        <x:f>IF(B41&lt;&gt;"",SUMIFS(RECORD!E$13:EP$13,RECORD!E$12:EP$12,"CLO3",RECORD!E$11:EP$11,"Prelim"),"")</x:f>
      </x:c>
      <x:c r="S41" s="19" t="str">
        <x:f>IF(B41&lt;&gt;"",SUMIFS(RECORD!E50:EP50,RECORD!E$12:EP$12,"CLO3",RECORD!E$11:EP$11,"Midterm"),"")</x:f>
      </x:c>
      <x:c r="T41" s="19" t="str">
        <x:f>IF(B41&lt;&gt;"",SUMIFS(RECORD!E$13:EP$13,RECORD!E$12:EP$12,"CLO3",RECORD!E$11:EP$11,"Midterm"),"")</x:f>
      </x:c>
      <x:c r="U41" s="19" t="str">
        <x:f>IF(B41&lt;&gt;"",SUMIFS(RECORD!E50:EP50,RECORD!E$12:EP$12,"CLO3",RECORD!E$11:EP$11,"Final"),"")</x:f>
      </x:c>
      <x:c r="V41" s="19" t="str">
        <x:f>IF(B41&lt;&gt;"",SUMIFS(RECORD!E$13:EP$13,RECORD!E$12:EP$12,"CLO3",RECORD!E$11:EP$11,"Final"),"")</x:f>
      </x:c>
      <x:c r="W41" s="20" t="str">
        <x:f t="shared" si="7"/>
      </x:c>
      <x:c r="X41" s="19" t="str">
        <x:f>IF(B41&lt;&gt;"",SUMIFS(RECORD!E50:EP50,RECORD!E$12:EP$12,"CLO4",RECORD!E$11:EP$11,"Prelim"),"")</x:f>
      </x:c>
      <x:c r="Y41" s="19" t="str">
        <x:f>IF(B41&lt;&gt;"",SUMIFS(RECORD!E$13:EP$13,RECORD!E$12:EP$12,"CLO4",RECORD!E$11:EP$11,"Prelim"),"")</x:f>
      </x:c>
      <x:c r="Z41" s="19" t="str">
        <x:f>IF(B41&lt;&gt;"",SUMIFS(RECORD!E50:EP50,RECORD!E$12:EP$12,"CLO4",RECORD!E$11:EP$11,"Midterm"),"")</x:f>
      </x:c>
      <x:c r="AA41" s="19" t="str">
        <x:f>IF(B41&lt;&gt;"",SUMIFS(RECORD!E$13:EP$13,RECORD!E$12:EP$12,"CLO4",RECORD!E$11:EP$11,"Midterm"),"")</x:f>
      </x:c>
      <x:c r="AB41" s="19" t="str">
        <x:f>IF(B41&lt;&gt;"",SUMIFS(RECORD!E50:EP50,RECORD!E$12:EP$12,"CLO4",RECORD!E$11:EP$11,"Final"),"")</x:f>
      </x:c>
      <x:c r="AC41" s="19" t="str">
        <x:f>IF(B41&lt;&gt;"",SUMIFS(RECORD!E$13:EP$13,RECORD!E$12:EP$12,"CLO4",RECORD!E$11:EP$11,"Final"),"")</x:f>
      </x:c>
      <x:c r="AD41" s="20" t="str">
        <x:f t="shared" si="8"/>
      </x:c>
      <x:c r="AE41" s="19" t="str">
        <x:f>IF(B41&lt;&gt;"",SUMIFS(RECORD!E50:EP50,RECORD!E$12:EP$12,"CLO5",RECORD!E$11:EP$11,"Prelim"),"")</x:f>
      </x:c>
      <x:c r="AF41" s="19" t="str">
        <x:f>IF(B41&lt;&gt;"",SUMIFS(RECORD!E$13:EP$13,RECORD!E$12:EP$12,"CLO5",RECORD!E$11:EP$11,"Prelim"),"")</x:f>
      </x:c>
      <x:c r="AG41" s="19" t="str">
        <x:f>IF(B41&lt;&gt;"",SUMIFS(RECORD!E50:EP50,RECORD!E$12:EP$12,"CLO5",RECORD!E$11:EP$11,"Midterm"),"")</x:f>
      </x:c>
      <x:c r="AH41" s="19" t="str">
        <x:f>IF(B41&lt;&gt;"",SUMIFS(RECORD!E$13:EP$13,RECORD!E$12:EP$12,"CLO5",RECORD!E$11:EP$11,"Midterm"),"")</x:f>
      </x:c>
      <x:c r="AI41" s="19" t="str">
        <x:f>IF(B41&lt;&gt;"",SUMIFS(RECORD!E50:EP50,RECORD!E$12:EP$12,"CLO5",RECORD!E$11:EP$11,"Final"),"")</x:f>
      </x:c>
      <x:c r="AJ41" s="19" t="str">
        <x:f>IF(B41&lt;&gt;"",SUMIFS(RECORD!E$13:EP$13,RECORD!E$12:EP$12,"CLO5",RECORD!E$11:EP$11,"Final"),"")</x:f>
      </x:c>
      <x:c r="AK41" s="20" t="str">
        <x:f t="shared" si="9"/>
      </x:c>
    </x:row>
    <x:row r="42">
      <x:c r="A42" s="18" t="str">
        <x:f>IF(RECORD!B51="","",RECORD!B51)</x:f>
      </x:c>
      <x:c r="B42" s="18" t="str">
        <x:f>IF(RECORD!C51="","",RECORD!C51)</x:f>
      </x:c>
      <x:c r="C42" s="19" t="str">
        <x:f>IF(B42&lt;&gt;"",SUMIFS(RECORD!E51:EP51,RECORD!E$12:EP$12,"CLO1",RECORD!E$11:EP$11,"Prelim"),"")</x:f>
      </x:c>
      <x:c r="D42" s="19" t="str">
        <x:f>IF(B42&lt;&gt;"",SUMIFS(RECORD!E$13:EP$13,RECORD!E$12:EP$12,"CLO1",RECORD!E$11:EP$11,"Prelim"),"")</x:f>
      </x:c>
      <x:c r="E42" s="19" t="str">
        <x:f>IF(B42&lt;&gt;"",SUMIFS(RECORD!E51:EP51,RECORD!E$12:EP$12,"CLO1",RECORD!E$11:EP$11,"Midterm"),"")</x:f>
      </x:c>
      <x:c r="F42" s="19" t="str">
        <x:f>IF(B42&lt;&gt;"",SUMIFS(RECORD!E$13:EP$13,RECORD!E$12:EP$12,"CLO1",RECORD!E$11:EP$11,"Midterm"),"")</x:f>
      </x:c>
      <x:c r="G42" s="19" t="str">
        <x:f>IF(B42&lt;&gt;"",SUMIFS(RECORD!E51:EP51,RECORD!E$12:EP$12,"CLO1",RECORD!E$11:EP$11,"Final"),"")</x:f>
      </x:c>
      <x:c r="H42" s="19" t="str">
        <x:f>IF(B42&lt;&gt;"",SUMIFS(RECORD!E$13:EP$13,RECORD!E$12:EP$12,"CLO1",RECORD!E$11:EP$11,"Final"),"")</x:f>
      </x:c>
      <x:c r="I42" s="20" t="str">
        <x:f t="shared" si="5"/>
      </x:c>
      <x:c r="J42" s="19" t="str">
        <x:f>IF(B42&lt;&gt;"",SUMIFS(RECORD!E51:EP51,RECORD!E$12:EP$12,"CLO2",RECORD!E$11:EP$11,"Prelim"),"")</x:f>
      </x:c>
      <x:c r="K42" s="19" t="str">
        <x:f>IF(B42&lt;&gt;"",SUMIFS(RECORD!E$13:EP$13,RECORD!E$12:EP$12,"CLO2",RECORD!E$11:EP$11,"Prelim"),"")</x:f>
      </x:c>
      <x:c r="L42" s="19" t="str">
        <x:f>IF(B42&lt;&gt;"",SUMIFS(RECORD!E51:EP51,RECORD!E$12:EP$12,"CLO2",RECORD!E$11:EP$11,"Midterm"),"")</x:f>
      </x:c>
      <x:c r="M42" s="19" t="str">
        <x:f>IF(B42&lt;&gt;"",SUMIFS(RECORD!E$13:EP$13,RECORD!E$12:EP$12,"CLO2",RECORD!E$11:EP$11,"Midterm"),"")</x:f>
      </x:c>
      <x:c r="N42" s="19" t="str">
        <x:f>IF(B42&lt;&gt;"",SUMIFS(RECORD!E51:EP51,RECORD!E$12:EP$12,"CLO2",RECORD!E$11:EP$11,"Final"),"")</x:f>
      </x:c>
      <x:c r="O42" s="19" t="str">
        <x:f>IF(B42&lt;&gt;"",SUMIFS(RECORD!E$13:EP$13,RECORD!E$12:EP$12,"CLO2",RECORD!E$11:EP$11,"Final"),"")</x:f>
      </x:c>
      <x:c r="P42" s="20" t="str">
        <x:f t="shared" si="6"/>
      </x:c>
      <x:c r="Q42" s="19" t="str">
        <x:f>IF(B42&lt;&gt;"",SUMIFS(RECORD!E51:EP51,RECORD!E$12:EP$12,"CLO3",RECORD!E$11:EP$11,"Prelim"),"")</x:f>
      </x:c>
      <x:c r="R42" s="19" t="str">
        <x:f>IF(B42&lt;&gt;"",SUMIFS(RECORD!E$13:EP$13,RECORD!E$12:EP$12,"CLO3",RECORD!E$11:EP$11,"Prelim"),"")</x:f>
      </x:c>
      <x:c r="S42" s="19" t="str">
        <x:f>IF(B42&lt;&gt;"",SUMIFS(RECORD!E51:EP51,RECORD!E$12:EP$12,"CLO3",RECORD!E$11:EP$11,"Midterm"),"")</x:f>
      </x:c>
      <x:c r="T42" s="19" t="str">
        <x:f>IF(B42&lt;&gt;"",SUMIFS(RECORD!E$13:EP$13,RECORD!E$12:EP$12,"CLO3",RECORD!E$11:EP$11,"Midterm"),"")</x:f>
      </x:c>
      <x:c r="U42" s="19" t="str">
        <x:f>IF(B42&lt;&gt;"",SUMIFS(RECORD!E51:EP51,RECORD!E$12:EP$12,"CLO3",RECORD!E$11:EP$11,"Final"),"")</x:f>
      </x:c>
      <x:c r="V42" s="19" t="str">
        <x:f>IF(B42&lt;&gt;"",SUMIFS(RECORD!E$13:EP$13,RECORD!E$12:EP$12,"CLO3",RECORD!E$11:EP$11,"Final"),"")</x:f>
      </x:c>
      <x:c r="W42" s="20" t="str">
        <x:f t="shared" si="7"/>
      </x:c>
      <x:c r="X42" s="19" t="str">
        <x:f>IF(B42&lt;&gt;"",SUMIFS(RECORD!E51:EP51,RECORD!E$12:EP$12,"CLO4",RECORD!E$11:EP$11,"Prelim"),"")</x:f>
      </x:c>
      <x:c r="Y42" s="19" t="str">
        <x:f>IF(B42&lt;&gt;"",SUMIFS(RECORD!E$13:EP$13,RECORD!E$12:EP$12,"CLO4",RECORD!E$11:EP$11,"Prelim"),"")</x:f>
      </x:c>
      <x:c r="Z42" s="19" t="str">
        <x:f>IF(B42&lt;&gt;"",SUMIFS(RECORD!E51:EP51,RECORD!E$12:EP$12,"CLO4",RECORD!E$11:EP$11,"Midterm"),"")</x:f>
      </x:c>
      <x:c r="AA42" s="19" t="str">
        <x:f>IF(B42&lt;&gt;"",SUMIFS(RECORD!E$13:EP$13,RECORD!E$12:EP$12,"CLO4",RECORD!E$11:EP$11,"Midterm"),"")</x:f>
      </x:c>
      <x:c r="AB42" s="19" t="str">
        <x:f>IF(B42&lt;&gt;"",SUMIFS(RECORD!E51:EP51,RECORD!E$12:EP$12,"CLO4",RECORD!E$11:EP$11,"Final"),"")</x:f>
      </x:c>
      <x:c r="AC42" s="19" t="str">
        <x:f>IF(B42&lt;&gt;"",SUMIFS(RECORD!E$13:EP$13,RECORD!E$12:EP$12,"CLO4",RECORD!E$11:EP$11,"Final"),"")</x:f>
      </x:c>
      <x:c r="AD42" s="20" t="str">
        <x:f t="shared" si="8"/>
      </x:c>
      <x:c r="AE42" s="19" t="str">
        <x:f>IF(B42&lt;&gt;"",SUMIFS(RECORD!E51:EP51,RECORD!E$12:EP$12,"CLO5",RECORD!E$11:EP$11,"Prelim"),"")</x:f>
      </x:c>
      <x:c r="AF42" s="19" t="str">
        <x:f>IF(B42&lt;&gt;"",SUMIFS(RECORD!E$13:EP$13,RECORD!E$12:EP$12,"CLO5",RECORD!E$11:EP$11,"Prelim"),"")</x:f>
      </x:c>
      <x:c r="AG42" s="19" t="str">
        <x:f>IF(B42&lt;&gt;"",SUMIFS(RECORD!E51:EP51,RECORD!E$12:EP$12,"CLO5",RECORD!E$11:EP$11,"Midterm"),"")</x:f>
      </x:c>
      <x:c r="AH42" s="19" t="str">
        <x:f>IF(B42&lt;&gt;"",SUMIFS(RECORD!E$13:EP$13,RECORD!E$12:EP$12,"CLO5",RECORD!E$11:EP$11,"Midterm"),"")</x:f>
      </x:c>
      <x:c r="AI42" s="19" t="str">
        <x:f>IF(B42&lt;&gt;"",SUMIFS(RECORD!E51:EP51,RECORD!E$12:EP$12,"CLO5",RECORD!E$11:EP$11,"Final"),"")</x:f>
      </x:c>
      <x:c r="AJ42" s="19" t="str">
        <x:f>IF(B42&lt;&gt;"",SUMIFS(RECORD!E$13:EP$13,RECORD!E$12:EP$12,"CLO5",RECORD!E$11:EP$11,"Final"),"")</x:f>
      </x:c>
      <x:c r="AK42" s="20" t="str">
        <x:f t="shared" si="9"/>
      </x:c>
    </x:row>
    <x:row r="43">
      <x:c r="A43" s="18" t="str">
        <x:f>IF(RECORD!B52="","",RECORD!B52)</x:f>
      </x:c>
      <x:c r="B43" s="18" t="str">
        <x:f>IF(RECORD!C52="","",RECORD!C52)</x:f>
      </x:c>
      <x:c r="C43" s="19" t="str">
        <x:f>IF(B43&lt;&gt;"",SUMIFS(RECORD!E52:EP52,RECORD!E$12:EP$12,"CLO1",RECORD!E$11:EP$11,"Prelim"),"")</x:f>
      </x:c>
      <x:c r="D43" s="19" t="str">
        <x:f>IF(B43&lt;&gt;"",SUMIFS(RECORD!E$13:EP$13,RECORD!E$12:EP$12,"CLO1",RECORD!E$11:EP$11,"Prelim"),"")</x:f>
      </x:c>
      <x:c r="E43" s="19" t="str">
        <x:f>IF(B43&lt;&gt;"",SUMIFS(RECORD!E52:EP52,RECORD!E$12:EP$12,"CLO1",RECORD!E$11:EP$11,"Midterm"),"")</x:f>
      </x:c>
      <x:c r="F43" s="19" t="str">
        <x:f>IF(B43&lt;&gt;"",SUMIFS(RECORD!E$13:EP$13,RECORD!E$12:EP$12,"CLO1",RECORD!E$11:EP$11,"Midterm"),"")</x:f>
      </x:c>
      <x:c r="G43" s="19" t="str">
        <x:f>IF(B43&lt;&gt;"",SUMIFS(RECORD!E52:EP52,RECORD!E$12:EP$12,"CLO1",RECORD!E$11:EP$11,"Final"),"")</x:f>
      </x:c>
      <x:c r="H43" s="19" t="str">
        <x:f>IF(B43&lt;&gt;"",SUMIFS(RECORD!E$13:EP$13,RECORD!E$12:EP$12,"CLO1",RECORD!E$11:EP$11,"Final"),"")</x:f>
      </x:c>
      <x:c r="I43" s="20" t="str">
        <x:f t="shared" si="5"/>
      </x:c>
      <x:c r="J43" s="19" t="str">
        <x:f>IF(B43&lt;&gt;"",SUMIFS(RECORD!E52:EP52,RECORD!E$12:EP$12,"CLO2",RECORD!E$11:EP$11,"Prelim"),"")</x:f>
      </x:c>
      <x:c r="K43" s="19" t="str">
        <x:f>IF(B43&lt;&gt;"",SUMIFS(RECORD!E$13:EP$13,RECORD!E$12:EP$12,"CLO2",RECORD!E$11:EP$11,"Prelim"),"")</x:f>
      </x:c>
      <x:c r="L43" s="19" t="str">
        <x:f>IF(B43&lt;&gt;"",SUMIFS(RECORD!E52:EP52,RECORD!E$12:EP$12,"CLO2",RECORD!E$11:EP$11,"Midterm"),"")</x:f>
      </x:c>
      <x:c r="M43" s="19" t="str">
        <x:f>IF(B43&lt;&gt;"",SUMIFS(RECORD!E$13:EP$13,RECORD!E$12:EP$12,"CLO2",RECORD!E$11:EP$11,"Midterm"),"")</x:f>
      </x:c>
      <x:c r="N43" s="19" t="str">
        <x:f>IF(B43&lt;&gt;"",SUMIFS(RECORD!E52:EP52,RECORD!E$12:EP$12,"CLO2",RECORD!E$11:EP$11,"Final"),"")</x:f>
      </x:c>
      <x:c r="O43" s="19" t="str">
        <x:f>IF(B43&lt;&gt;"",SUMIFS(RECORD!E$13:EP$13,RECORD!E$12:EP$12,"CLO2",RECORD!E$11:EP$11,"Final"),"")</x:f>
      </x:c>
      <x:c r="P43" s="20" t="str">
        <x:f t="shared" si="6"/>
      </x:c>
      <x:c r="Q43" s="19" t="str">
        <x:f>IF(B43&lt;&gt;"",SUMIFS(RECORD!E52:EP52,RECORD!E$12:EP$12,"CLO3",RECORD!E$11:EP$11,"Prelim"),"")</x:f>
      </x:c>
      <x:c r="R43" s="19" t="str">
        <x:f>IF(B43&lt;&gt;"",SUMIFS(RECORD!E$13:EP$13,RECORD!E$12:EP$12,"CLO3",RECORD!E$11:EP$11,"Prelim"),"")</x:f>
      </x:c>
      <x:c r="S43" s="19" t="str">
        <x:f>IF(B43&lt;&gt;"",SUMIFS(RECORD!E52:EP52,RECORD!E$12:EP$12,"CLO3",RECORD!E$11:EP$11,"Midterm"),"")</x:f>
      </x:c>
      <x:c r="T43" s="19" t="str">
        <x:f>IF(B43&lt;&gt;"",SUMIFS(RECORD!E$13:EP$13,RECORD!E$12:EP$12,"CLO3",RECORD!E$11:EP$11,"Midterm"),"")</x:f>
      </x:c>
      <x:c r="U43" s="19" t="str">
        <x:f>IF(B43&lt;&gt;"",SUMIFS(RECORD!E52:EP52,RECORD!E$12:EP$12,"CLO3",RECORD!E$11:EP$11,"Final"),"")</x:f>
      </x:c>
      <x:c r="V43" s="19" t="str">
        <x:f>IF(B43&lt;&gt;"",SUMIFS(RECORD!E$13:EP$13,RECORD!E$12:EP$12,"CLO3",RECORD!E$11:EP$11,"Final"),"")</x:f>
      </x:c>
      <x:c r="W43" s="20" t="str">
        <x:f t="shared" si="7"/>
      </x:c>
      <x:c r="X43" s="19" t="str">
        <x:f>IF(B43&lt;&gt;"",SUMIFS(RECORD!E52:EP52,RECORD!E$12:EP$12,"CLO4",RECORD!E$11:EP$11,"Prelim"),"")</x:f>
      </x:c>
      <x:c r="Y43" s="19" t="str">
        <x:f>IF(B43&lt;&gt;"",SUMIFS(RECORD!E$13:EP$13,RECORD!E$12:EP$12,"CLO4",RECORD!E$11:EP$11,"Prelim"),"")</x:f>
      </x:c>
      <x:c r="Z43" s="19" t="str">
        <x:f>IF(B43&lt;&gt;"",SUMIFS(RECORD!E52:EP52,RECORD!E$12:EP$12,"CLO4",RECORD!E$11:EP$11,"Midterm"),"")</x:f>
      </x:c>
      <x:c r="AA43" s="19" t="str">
        <x:f>IF(B43&lt;&gt;"",SUMIFS(RECORD!E$13:EP$13,RECORD!E$12:EP$12,"CLO4",RECORD!E$11:EP$11,"Midterm"),"")</x:f>
      </x:c>
      <x:c r="AB43" s="19" t="str">
        <x:f>IF(B43&lt;&gt;"",SUMIFS(RECORD!E52:EP52,RECORD!E$12:EP$12,"CLO4",RECORD!E$11:EP$11,"Final"),"")</x:f>
      </x:c>
      <x:c r="AC43" s="19" t="str">
        <x:f>IF(B43&lt;&gt;"",SUMIFS(RECORD!E$13:EP$13,RECORD!E$12:EP$12,"CLO4",RECORD!E$11:EP$11,"Final"),"")</x:f>
      </x:c>
      <x:c r="AD43" s="20" t="str">
        <x:f t="shared" si="8"/>
      </x:c>
      <x:c r="AE43" s="19" t="str">
        <x:f>IF(B43&lt;&gt;"",SUMIFS(RECORD!E52:EP52,RECORD!E$12:EP$12,"CLO5",RECORD!E$11:EP$11,"Prelim"),"")</x:f>
      </x:c>
      <x:c r="AF43" s="19" t="str">
        <x:f>IF(B43&lt;&gt;"",SUMIFS(RECORD!E$13:EP$13,RECORD!E$12:EP$12,"CLO5",RECORD!E$11:EP$11,"Prelim"),"")</x:f>
      </x:c>
      <x:c r="AG43" s="19" t="str">
        <x:f>IF(B43&lt;&gt;"",SUMIFS(RECORD!E52:EP52,RECORD!E$12:EP$12,"CLO5",RECORD!E$11:EP$11,"Midterm"),"")</x:f>
      </x:c>
      <x:c r="AH43" s="19" t="str">
        <x:f>IF(B43&lt;&gt;"",SUMIFS(RECORD!E$13:EP$13,RECORD!E$12:EP$12,"CLO5",RECORD!E$11:EP$11,"Midterm"),"")</x:f>
      </x:c>
      <x:c r="AI43" s="19" t="str">
        <x:f>IF(B43&lt;&gt;"",SUMIFS(RECORD!E52:EP52,RECORD!E$12:EP$12,"CLO5",RECORD!E$11:EP$11,"Final"),"")</x:f>
      </x:c>
      <x:c r="AJ43" s="19" t="str">
        <x:f>IF(B43&lt;&gt;"",SUMIFS(RECORD!E$13:EP$13,RECORD!E$12:EP$12,"CLO5",RECORD!E$11:EP$11,"Final"),"")</x:f>
      </x:c>
      <x:c r="AK43" s="20" t="str">
        <x:f t="shared" si="9"/>
      </x:c>
    </x:row>
    <x:row r="44">
      <x:c r="A44" s="18" t="str">
        <x:f>IF(RECORD!B53="","",RECORD!B53)</x:f>
      </x:c>
      <x:c r="B44" s="18" t="str">
        <x:f>IF(RECORD!C53="","",RECORD!C53)</x:f>
      </x:c>
      <x:c r="C44" s="19" t="str">
        <x:f>IF(B44&lt;&gt;"",SUMIFS(RECORD!E53:EP53,RECORD!E$12:EP$12,"CLO1",RECORD!E$11:EP$11,"Prelim"),"")</x:f>
      </x:c>
      <x:c r="D44" s="19" t="str">
        <x:f>IF(B44&lt;&gt;"",SUMIFS(RECORD!E$13:EP$13,RECORD!E$12:EP$12,"CLO1",RECORD!E$11:EP$11,"Prelim"),"")</x:f>
      </x:c>
      <x:c r="E44" s="19" t="str">
        <x:f>IF(B44&lt;&gt;"",SUMIFS(RECORD!E53:EP53,RECORD!E$12:EP$12,"CLO1",RECORD!E$11:EP$11,"Midterm"),"")</x:f>
      </x:c>
      <x:c r="F44" s="19" t="str">
        <x:f>IF(B44&lt;&gt;"",SUMIFS(RECORD!E$13:EP$13,RECORD!E$12:EP$12,"CLO1",RECORD!E$11:EP$11,"Midterm"),"")</x:f>
      </x:c>
      <x:c r="G44" s="19" t="str">
        <x:f>IF(B44&lt;&gt;"",SUMIFS(RECORD!E53:EP53,RECORD!E$12:EP$12,"CLO1",RECORD!E$11:EP$11,"Final"),"")</x:f>
      </x:c>
      <x:c r="H44" s="19" t="str">
        <x:f>IF(B44&lt;&gt;"",SUMIFS(RECORD!E$13:EP$13,RECORD!E$12:EP$12,"CLO1",RECORD!E$11:EP$11,"Final"),"")</x:f>
      </x:c>
      <x:c r="I44" s="20" t="str">
        <x:f t="shared" si="5"/>
      </x:c>
      <x:c r="J44" s="19" t="str">
        <x:f>IF(B44&lt;&gt;"",SUMIFS(RECORD!E53:EP53,RECORD!E$12:EP$12,"CLO2",RECORD!E$11:EP$11,"Prelim"),"")</x:f>
      </x:c>
      <x:c r="K44" s="19" t="str">
        <x:f>IF(B44&lt;&gt;"",SUMIFS(RECORD!E$13:EP$13,RECORD!E$12:EP$12,"CLO2",RECORD!E$11:EP$11,"Prelim"),"")</x:f>
      </x:c>
      <x:c r="L44" s="19" t="str">
        <x:f>IF(B44&lt;&gt;"",SUMIFS(RECORD!E53:EP53,RECORD!E$12:EP$12,"CLO2",RECORD!E$11:EP$11,"Midterm"),"")</x:f>
      </x:c>
      <x:c r="M44" s="19" t="str">
        <x:f>IF(B44&lt;&gt;"",SUMIFS(RECORD!E$13:EP$13,RECORD!E$12:EP$12,"CLO2",RECORD!E$11:EP$11,"Midterm"),"")</x:f>
      </x:c>
      <x:c r="N44" s="19" t="str">
        <x:f>IF(B44&lt;&gt;"",SUMIFS(RECORD!E53:EP53,RECORD!E$12:EP$12,"CLO2",RECORD!E$11:EP$11,"Final"),"")</x:f>
      </x:c>
      <x:c r="O44" s="19" t="str">
        <x:f>IF(B44&lt;&gt;"",SUMIFS(RECORD!E$13:EP$13,RECORD!E$12:EP$12,"CLO2",RECORD!E$11:EP$11,"Final"),"")</x:f>
      </x:c>
      <x:c r="P44" s="20" t="str">
        <x:f t="shared" si="6"/>
      </x:c>
      <x:c r="Q44" s="19" t="str">
        <x:f>IF(B44&lt;&gt;"",SUMIFS(RECORD!E53:EP53,RECORD!E$12:EP$12,"CLO3",RECORD!E$11:EP$11,"Prelim"),"")</x:f>
      </x:c>
      <x:c r="R44" s="19" t="str">
        <x:f>IF(B44&lt;&gt;"",SUMIFS(RECORD!E$13:EP$13,RECORD!E$12:EP$12,"CLO3",RECORD!E$11:EP$11,"Prelim"),"")</x:f>
      </x:c>
      <x:c r="S44" s="19" t="str">
        <x:f>IF(B44&lt;&gt;"",SUMIFS(RECORD!E53:EP53,RECORD!E$12:EP$12,"CLO3",RECORD!E$11:EP$11,"Midterm"),"")</x:f>
      </x:c>
      <x:c r="T44" s="19" t="str">
        <x:f>IF(B44&lt;&gt;"",SUMIFS(RECORD!E$13:EP$13,RECORD!E$12:EP$12,"CLO3",RECORD!E$11:EP$11,"Midterm"),"")</x:f>
      </x:c>
      <x:c r="U44" s="19" t="str">
        <x:f>IF(B44&lt;&gt;"",SUMIFS(RECORD!E53:EP53,RECORD!E$12:EP$12,"CLO3",RECORD!E$11:EP$11,"Final"),"")</x:f>
      </x:c>
      <x:c r="V44" s="19" t="str">
        <x:f>IF(B44&lt;&gt;"",SUMIFS(RECORD!E$13:EP$13,RECORD!E$12:EP$12,"CLO3",RECORD!E$11:EP$11,"Final"),"")</x:f>
      </x:c>
      <x:c r="W44" s="20" t="str">
        <x:f t="shared" si="7"/>
      </x:c>
      <x:c r="X44" s="19" t="str">
        <x:f>IF(B44&lt;&gt;"",SUMIFS(RECORD!E53:EP53,RECORD!E$12:EP$12,"CLO4",RECORD!E$11:EP$11,"Prelim"),"")</x:f>
      </x:c>
      <x:c r="Y44" s="19" t="str">
        <x:f>IF(B44&lt;&gt;"",SUMIFS(RECORD!E$13:EP$13,RECORD!E$12:EP$12,"CLO4",RECORD!E$11:EP$11,"Prelim"),"")</x:f>
      </x:c>
      <x:c r="Z44" s="19" t="str">
        <x:f>IF(B44&lt;&gt;"",SUMIFS(RECORD!E53:EP53,RECORD!E$12:EP$12,"CLO4",RECORD!E$11:EP$11,"Midterm"),"")</x:f>
      </x:c>
      <x:c r="AA44" s="19" t="str">
        <x:f>IF(B44&lt;&gt;"",SUMIFS(RECORD!E$13:EP$13,RECORD!E$12:EP$12,"CLO4",RECORD!E$11:EP$11,"Midterm"),"")</x:f>
      </x:c>
      <x:c r="AB44" s="19" t="str">
        <x:f>IF(B44&lt;&gt;"",SUMIFS(RECORD!E53:EP53,RECORD!E$12:EP$12,"CLO4",RECORD!E$11:EP$11,"Final"),"")</x:f>
      </x:c>
      <x:c r="AC44" s="19" t="str">
        <x:f>IF(B44&lt;&gt;"",SUMIFS(RECORD!E$13:EP$13,RECORD!E$12:EP$12,"CLO4",RECORD!E$11:EP$11,"Final"),"")</x:f>
      </x:c>
      <x:c r="AD44" s="20" t="str">
        <x:f t="shared" si="8"/>
      </x:c>
      <x:c r="AE44" s="19" t="str">
        <x:f>IF(B44&lt;&gt;"",SUMIFS(RECORD!E53:EP53,RECORD!E$12:EP$12,"CLO5",RECORD!E$11:EP$11,"Prelim"),"")</x:f>
      </x:c>
      <x:c r="AF44" s="19" t="str">
        <x:f>IF(B44&lt;&gt;"",SUMIFS(RECORD!E$13:EP$13,RECORD!E$12:EP$12,"CLO5",RECORD!E$11:EP$11,"Prelim"),"")</x:f>
      </x:c>
      <x:c r="AG44" s="19" t="str">
        <x:f>IF(B44&lt;&gt;"",SUMIFS(RECORD!E53:EP53,RECORD!E$12:EP$12,"CLO5",RECORD!E$11:EP$11,"Midterm"),"")</x:f>
      </x:c>
      <x:c r="AH44" s="19" t="str">
        <x:f>IF(B44&lt;&gt;"",SUMIFS(RECORD!E$13:EP$13,RECORD!E$12:EP$12,"CLO5",RECORD!E$11:EP$11,"Midterm"),"")</x:f>
      </x:c>
      <x:c r="AI44" s="19" t="str">
        <x:f>IF(B44&lt;&gt;"",SUMIFS(RECORD!E53:EP53,RECORD!E$12:EP$12,"CLO5",RECORD!E$11:EP$11,"Final"),"")</x:f>
      </x:c>
      <x:c r="AJ44" s="19" t="str">
        <x:f>IF(B44&lt;&gt;"",SUMIFS(RECORD!E$13:EP$13,RECORD!E$12:EP$12,"CLO5",RECORD!E$11:EP$11,"Final"),"")</x:f>
      </x:c>
      <x:c r="AK44" s="20" t="str">
        <x:f t="shared" si="9"/>
      </x:c>
    </x:row>
    <x:row r="45">
      <x:c r="A45" s="18" t="str">
        <x:f>IF(RECORD!B54="","",RECORD!B54)</x:f>
      </x:c>
      <x:c r="B45" s="18" t="str">
        <x:f>IF(RECORD!C54="","",RECORD!C54)</x:f>
      </x:c>
      <x:c r="C45" s="19" t="str">
        <x:f>IF(B45&lt;&gt;"",SUMIFS(RECORD!E54:EP54,RECORD!E$12:EP$12,"CLO1",RECORD!E$11:EP$11,"Prelim"),"")</x:f>
      </x:c>
      <x:c r="D45" s="19" t="str">
        <x:f>IF(B45&lt;&gt;"",SUMIFS(RECORD!E$13:EP$13,RECORD!E$12:EP$12,"CLO1",RECORD!E$11:EP$11,"Prelim"),"")</x:f>
      </x:c>
      <x:c r="E45" s="19" t="str">
        <x:f>IF(B45&lt;&gt;"",SUMIFS(RECORD!E54:EP54,RECORD!E$12:EP$12,"CLO1",RECORD!E$11:EP$11,"Midterm"),"")</x:f>
      </x:c>
      <x:c r="F45" s="19" t="str">
        <x:f>IF(B45&lt;&gt;"",SUMIFS(RECORD!E$13:EP$13,RECORD!E$12:EP$12,"CLO1",RECORD!E$11:EP$11,"Midterm"),"")</x:f>
      </x:c>
      <x:c r="G45" s="19" t="str">
        <x:f>IF(B45&lt;&gt;"",SUMIFS(RECORD!E54:EP54,RECORD!E$12:EP$12,"CLO1",RECORD!E$11:EP$11,"Final"),"")</x:f>
      </x:c>
      <x:c r="H45" s="19" t="str">
        <x:f>IF(B45&lt;&gt;"",SUMIFS(RECORD!E$13:EP$13,RECORD!E$12:EP$12,"CLO1",RECORD!E$11:EP$11,"Final"),"")</x:f>
      </x:c>
      <x:c r="I45" s="20" t="str">
        <x:f t="shared" si="5"/>
      </x:c>
      <x:c r="J45" s="19" t="str">
        <x:f>IF(B45&lt;&gt;"",SUMIFS(RECORD!E54:EP54,RECORD!E$12:EP$12,"CLO2",RECORD!E$11:EP$11,"Prelim"),"")</x:f>
      </x:c>
      <x:c r="K45" s="19" t="str">
        <x:f>IF(B45&lt;&gt;"",SUMIFS(RECORD!E$13:EP$13,RECORD!E$12:EP$12,"CLO2",RECORD!E$11:EP$11,"Prelim"),"")</x:f>
      </x:c>
      <x:c r="L45" s="19" t="str">
        <x:f>IF(B45&lt;&gt;"",SUMIFS(RECORD!E54:EP54,RECORD!E$12:EP$12,"CLO2",RECORD!E$11:EP$11,"Midterm"),"")</x:f>
      </x:c>
      <x:c r="M45" s="19" t="str">
        <x:f>IF(B45&lt;&gt;"",SUMIFS(RECORD!E$13:EP$13,RECORD!E$12:EP$12,"CLO2",RECORD!E$11:EP$11,"Midterm"),"")</x:f>
      </x:c>
      <x:c r="N45" s="19" t="str">
        <x:f>IF(B45&lt;&gt;"",SUMIFS(RECORD!E54:EP54,RECORD!E$12:EP$12,"CLO2",RECORD!E$11:EP$11,"Final"),"")</x:f>
      </x:c>
      <x:c r="O45" s="19" t="str">
        <x:f>IF(B45&lt;&gt;"",SUMIFS(RECORD!E$13:EP$13,RECORD!E$12:EP$12,"CLO2",RECORD!E$11:EP$11,"Final"),"")</x:f>
      </x:c>
      <x:c r="P45" s="20" t="str">
        <x:f t="shared" si="6"/>
      </x:c>
      <x:c r="Q45" s="19" t="str">
        <x:f>IF(B45&lt;&gt;"",SUMIFS(RECORD!E54:EP54,RECORD!E$12:EP$12,"CLO3",RECORD!E$11:EP$11,"Prelim"),"")</x:f>
      </x:c>
      <x:c r="R45" s="19" t="str">
        <x:f>IF(B45&lt;&gt;"",SUMIFS(RECORD!E$13:EP$13,RECORD!E$12:EP$12,"CLO3",RECORD!E$11:EP$11,"Prelim"),"")</x:f>
      </x:c>
      <x:c r="S45" s="19" t="str">
        <x:f>IF(B45&lt;&gt;"",SUMIFS(RECORD!E54:EP54,RECORD!E$12:EP$12,"CLO3",RECORD!E$11:EP$11,"Midterm"),"")</x:f>
      </x:c>
      <x:c r="T45" s="19" t="str">
        <x:f>IF(B45&lt;&gt;"",SUMIFS(RECORD!E$13:EP$13,RECORD!E$12:EP$12,"CLO3",RECORD!E$11:EP$11,"Midterm"),"")</x:f>
      </x:c>
      <x:c r="U45" s="19" t="str">
        <x:f>IF(B45&lt;&gt;"",SUMIFS(RECORD!E54:EP54,RECORD!E$12:EP$12,"CLO3",RECORD!E$11:EP$11,"Final"),"")</x:f>
      </x:c>
      <x:c r="V45" s="19" t="str">
        <x:f>IF(B45&lt;&gt;"",SUMIFS(RECORD!E$13:EP$13,RECORD!E$12:EP$12,"CLO3",RECORD!E$11:EP$11,"Final"),"")</x:f>
      </x:c>
      <x:c r="W45" s="20" t="str">
        <x:f t="shared" si="7"/>
      </x:c>
      <x:c r="X45" s="19" t="str">
        <x:f>IF(B45&lt;&gt;"",SUMIFS(RECORD!E54:EP54,RECORD!E$12:EP$12,"CLO4",RECORD!E$11:EP$11,"Prelim"),"")</x:f>
      </x:c>
      <x:c r="Y45" s="19" t="str">
        <x:f>IF(B45&lt;&gt;"",SUMIFS(RECORD!E$13:EP$13,RECORD!E$12:EP$12,"CLO4",RECORD!E$11:EP$11,"Prelim"),"")</x:f>
      </x:c>
      <x:c r="Z45" s="19" t="str">
        <x:f>IF(B45&lt;&gt;"",SUMIFS(RECORD!E54:EP54,RECORD!E$12:EP$12,"CLO4",RECORD!E$11:EP$11,"Midterm"),"")</x:f>
      </x:c>
      <x:c r="AA45" s="19" t="str">
        <x:f>IF(B45&lt;&gt;"",SUMIFS(RECORD!E$13:EP$13,RECORD!E$12:EP$12,"CLO4",RECORD!E$11:EP$11,"Midterm"),"")</x:f>
      </x:c>
      <x:c r="AB45" s="19" t="str">
        <x:f>IF(B45&lt;&gt;"",SUMIFS(RECORD!E54:EP54,RECORD!E$12:EP$12,"CLO4",RECORD!E$11:EP$11,"Final"),"")</x:f>
      </x:c>
      <x:c r="AC45" s="19" t="str">
        <x:f>IF(B45&lt;&gt;"",SUMIFS(RECORD!E$13:EP$13,RECORD!E$12:EP$12,"CLO4",RECORD!E$11:EP$11,"Final"),"")</x:f>
      </x:c>
      <x:c r="AD45" s="20" t="str">
        <x:f t="shared" si="8"/>
      </x:c>
      <x:c r="AE45" s="19" t="str">
        <x:f>IF(B45&lt;&gt;"",SUMIFS(RECORD!E54:EP54,RECORD!E$12:EP$12,"CLO5",RECORD!E$11:EP$11,"Prelim"),"")</x:f>
      </x:c>
      <x:c r="AF45" s="19" t="str">
        <x:f>IF(B45&lt;&gt;"",SUMIFS(RECORD!E$13:EP$13,RECORD!E$12:EP$12,"CLO5",RECORD!E$11:EP$11,"Prelim"),"")</x:f>
      </x:c>
      <x:c r="AG45" s="19" t="str">
        <x:f>IF(B45&lt;&gt;"",SUMIFS(RECORD!E54:EP54,RECORD!E$12:EP$12,"CLO5",RECORD!E$11:EP$11,"Midterm"),"")</x:f>
      </x:c>
      <x:c r="AH45" s="19" t="str">
        <x:f>IF(B45&lt;&gt;"",SUMIFS(RECORD!E$13:EP$13,RECORD!E$12:EP$12,"CLO5",RECORD!E$11:EP$11,"Midterm"),"")</x:f>
      </x:c>
      <x:c r="AI45" s="19" t="str">
        <x:f>IF(B45&lt;&gt;"",SUMIFS(RECORD!E54:EP54,RECORD!E$12:EP$12,"CLO5",RECORD!E$11:EP$11,"Final"),"")</x:f>
      </x:c>
      <x:c r="AJ45" s="19" t="str">
        <x:f>IF(B45&lt;&gt;"",SUMIFS(RECORD!E$13:EP$13,RECORD!E$12:EP$12,"CLO5",RECORD!E$11:EP$11,"Final"),"")</x:f>
      </x:c>
      <x:c r="AK45" s="20" t="str">
        <x:f t="shared" si="9"/>
      </x:c>
    </x:row>
    <x:row r="46">
      <x:c r="A46" s="18" t="str">
        <x:f>IF(RECORD!B55="","",RECORD!B55)</x:f>
      </x:c>
      <x:c r="B46" s="18" t="str">
        <x:f>IF(RECORD!C55="","",RECORD!C55)</x:f>
      </x:c>
      <x:c r="C46" s="19" t="str">
        <x:f>IF(B46&lt;&gt;"",SUMIFS(RECORD!E55:EP55,RECORD!E$12:EP$12,"CLO1",RECORD!E$11:EP$11,"Prelim"),"")</x:f>
      </x:c>
      <x:c r="D46" s="19" t="str">
        <x:f>IF(B46&lt;&gt;"",SUMIFS(RECORD!E$13:EP$13,RECORD!E$12:EP$12,"CLO1",RECORD!E$11:EP$11,"Prelim"),"")</x:f>
      </x:c>
      <x:c r="E46" s="19" t="str">
        <x:f>IF(B46&lt;&gt;"",SUMIFS(RECORD!E55:EP55,RECORD!E$12:EP$12,"CLO1",RECORD!E$11:EP$11,"Midterm"),"")</x:f>
      </x:c>
      <x:c r="F46" s="19" t="str">
        <x:f>IF(B46&lt;&gt;"",SUMIFS(RECORD!E$13:EP$13,RECORD!E$12:EP$12,"CLO1",RECORD!E$11:EP$11,"Midterm"),"")</x:f>
      </x:c>
      <x:c r="G46" s="19" t="str">
        <x:f>IF(B46&lt;&gt;"",SUMIFS(RECORD!E55:EP55,RECORD!E$12:EP$12,"CLO1",RECORD!E$11:EP$11,"Final"),"")</x:f>
      </x:c>
      <x:c r="H46" s="19" t="str">
        <x:f>IF(B46&lt;&gt;"",SUMIFS(RECORD!E$13:EP$13,RECORD!E$12:EP$12,"CLO1",RECORD!E$11:EP$11,"Final"),"")</x:f>
      </x:c>
      <x:c r="I46" s="20" t="str">
        <x:f t="shared" si="5"/>
      </x:c>
      <x:c r="J46" s="19" t="str">
        <x:f>IF(B46&lt;&gt;"",SUMIFS(RECORD!E55:EP55,RECORD!E$12:EP$12,"CLO2",RECORD!E$11:EP$11,"Prelim"),"")</x:f>
      </x:c>
      <x:c r="K46" s="19" t="str">
        <x:f>IF(B46&lt;&gt;"",SUMIFS(RECORD!E$13:EP$13,RECORD!E$12:EP$12,"CLO2",RECORD!E$11:EP$11,"Prelim"),"")</x:f>
      </x:c>
      <x:c r="L46" s="19" t="str">
        <x:f>IF(B46&lt;&gt;"",SUMIFS(RECORD!E55:EP55,RECORD!E$12:EP$12,"CLO2",RECORD!E$11:EP$11,"Midterm"),"")</x:f>
      </x:c>
      <x:c r="M46" s="19" t="str">
        <x:f>IF(B46&lt;&gt;"",SUMIFS(RECORD!E$13:EP$13,RECORD!E$12:EP$12,"CLO2",RECORD!E$11:EP$11,"Midterm"),"")</x:f>
      </x:c>
      <x:c r="N46" s="19" t="str">
        <x:f>IF(B46&lt;&gt;"",SUMIFS(RECORD!E55:EP55,RECORD!E$12:EP$12,"CLO2",RECORD!E$11:EP$11,"Final"),"")</x:f>
      </x:c>
      <x:c r="O46" s="19" t="str">
        <x:f>IF(B46&lt;&gt;"",SUMIFS(RECORD!E$13:EP$13,RECORD!E$12:EP$12,"CLO2",RECORD!E$11:EP$11,"Final"),"")</x:f>
      </x:c>
      <x:c r="P46" s="20" t="str">
        <x:f t="shared" si="6"/>
      </x:c>
      <x:c r="Q46" s="19" t="str">
        <x:f>IF(B46&lt;&gt;"",SUMIFS(RECORD!E55:EP55,RECORD!E$12:EP$12,"CLO3",RECORD!E$11:EP$11,"Prelim"),"")</x:f>
      </x:c>
      <x:c r="R46" s="19" t="str">
        <x:f>IF(B46&lt;&gt;"",SUMIFS(RECORD!E$13:EP$13,RECORD!E$12:EP$12,"CLO3",RECORD!E$11:EP$11,"Prelim"),"")</x:f>
      </x:c>
      <x:c r="S46" s="19" t="str">
        <x:f>IF(B46&lt;&gt;"",SUMIFS(RECORD!E55:EP55,RECORD!E$12:EP$12,"CLO3",RECORD!E$11:EP$11,"Midterm"),"")</x:f>
      </x:c>
      <x:c r="T46" s="19" t="str">
        <x:f>IF(B46&lt;&gt;"",SUMIFS(RECORD!E$13:EP$13,RECORD!E$12:EP$12,"CLO3",RECORD!E$11:EP$11,"Midterm"),"")</x:f>
      </x:c>
      <x:c r="U46" s="19" t="str">
        <x:f>IF(B46&lt;&gt;"",SUMIFS(RECORD!E55:EP55,RECORD!E$12:EP$12,"CLO3",RECORD!E$11:EP$11,"Final"),"")</x:f>
      </x:c>
      <x:c r="V46" s="19" t="str">
        <x:f>IF(B46&lt;&gt;"",SUMIFS(RECORD!E$13:EP$13,RECORD!E$12:EP$12,"CLO3",RECORD!E$11:EP$11,"Final"),"")</x:f>
      </x:c>
      <x:c r="W46" s="20" t="str">
        <x:f t="shared" si="7"/>
      </x:c>
      <x:c r="X46" s="19" t="str">
        <x:f>IF(B46&lt;&gt;"",SUMIFS(RECORD!E55:EP55,RECORD!E$12:EP$12,"CLO4",RECORD!E$11:EP$11,"Prelim"),"")</x:f>
      </x:c>
      <x:c r="Y46" s="19" t="str">
        <x:f>IF(B46&lt;&gt;"",SUMIFS(RECORD!E$13:EP$13,RECORD!E$12:EP$12,"CLO4",RECORD!E$11:EP$11,"Prelim"),"")</x:f>
      </x:c>
      <x:c r="Z46" s="19" t="str">
        <x:f>IF(B46&lt;&gt;"",SUMIFS(RECORD!E55:EP55,RECORD!E$12:EP$12,"CLO4",RECORD!E$11:EP$11,"Midterm"),"")</x:f>
      </x:c>
      <x:c r="AA46" s="19" t="str">
        <x:f>IF(B46&lt;&gt;"",SUMIFS(RECORD!E$13:EP$13,RECORD!E$12:EP$12,"CLO4",RECORD!E$11:EP$11,"Midterm"),"")</x:f>
      </x:c>
      <x:c r="AB46" s="19" t="str">
        <x:f>IF(B46&lt;&gt;"",SUMIFS(RECORD!E55:EP55,RECORD!E$12:EP$12,"CLO4",RECORD!E$11:EP$11,"Final"),"")</x:f>
      </x:c>
      <x:c r="AC46" s="19" t="str">
        <x:f>IF(B46&lt;&gt;"",SUMIFS(RECORD!E$13:EP$13,RECORD!E$12:EP$12,"CLO4",RECORD!E$11:EP$11,"Final"),"")</x:f>
      </x:c>
      <x:c r="AD46" s="20" t="str">
        <x:f t="shared" si="8"/>
      </x:c>
      <x:c r="AE46" s="19" t="str">
        <x:f>IF(B46&lt;&gt;"",SUMIFS(RECORD!E55:EP55,RECORD!E$12:EP$12,"CLO5",RECORD!E$11:EP$11,"Prelim"),"")</x:f>
      </x:c>
      <x:c r="AF46" s="19" t="str">
        <x:f>IF(B46&lt;&gt;"",SUMIFS(RECORD!E$13:EP$13,RECORD!E$12:EP$12,"CLO5",RECORD!E$11:EP$11,"Prelim"),"")</x:f>
      </x:c>
      <x:c r="AG46" s="19" t="str">
        <x:f>IF(B46&lt;&gt;"",SUMIFS(RECORD!E55:EP55,RECORD!E$12:EP$12,"CLO5",RECORD!E$11:EP$11,"Midterm"),"")</x:f>
      </x:c>
      <x:c r="AH46" s="19" t="str">
        <x:f>IF(B46&lt;&gt;"",SUMIFS(RECORD!E$13:EP$13,RECORD!E$12:EP$12,"CLO5",RECORD!E$11:EP$11,"Midterm"),"")</x:f>
      </x:c>
      <x:c r="AI46" s="19" t="str">
        <x:f>IF(B46&lt;&gt;"",SUMIFS(RECORD!E55:EP55,RECORD!E$12:EP$12,"CLO5",RECORD!E$11:EP$11,"Final"),"")</x:f>
      </x:c>
      <x:c r="AJ46" s="19" t="str">
        <x:f>IF(B46&lt;&gt;"",SUMIFS(RECORD!E$13:EP$13,RECORD!E$12:EP$12,"CLO5",RECORD!E$11:EP$11,"Final"),"")</x:f>
      </x:c>
      <x:c r="AK46" s="20" t="str">
        <x:f t="shared" si="9"/>
      </x:c>
    </x:row>
    <x:row r="47">
      <x:c r="A47" s="18" t="str">
        <x:f>IF(RECORD!B56="","",RECORD!B56)</x:f>
      </x:c>
      <x:c r="B47" s="18" t="str">
        <x:f>IF(RECORD!C56="","",RECORD!C56)</x:f>
      </x:c>
      <x:c r="C47" s="19" t="str">
        <x:f>IF(B47&lt;&gt;"",SUMIFS(RECORD!E56:EP56,RECORD!E$12:EP$12,"CLO1",RECORD!E$11:EP$11,"Prelim"),"")</x:f>
      </x:c>
      <x:c r="D47" s="19" t="str">
        <x:f>IF(B47&lt;&gt;"",SUMIFS(RECORD!E$13:EP$13,RECORD!E$12:EP$12,"CLO1",RECORD!E$11:EP$11,"Prelim"),"")</x:f>
      </x:c>
      <x:c r="E47" s="19" t="str">
        <x:f>IF(B47&lt;&gt;"",SUMIFS(RECORD!E56:EP56,RECORD!E$12:EP$12,"CLO1",RECORD!E$11:EP$11,"Midterm"),"")</x:f>
      </x:c>
      <x:c r="F47" s="19" t="str">
        <x:f>IF(B47&lt;&gt;"",SUMIFS(RECORD!E$13:EP$13,RECORD!E$12:EP$12,"CLO1",RECORD!E$11:EP$11,"Midterm"),"")</x:f>
      </x:c>
      <x:c r="G47" s="19" t="str">
        <x:f>IF(B47&lt;&gt;"",SUMIFS(RECORD!E56:EP56,RECORD!E$12:EP$12,"CLO1",RECORD!E$11:EP$11,"Final"),"")</x:f>
      </x:c>
      <x:c r="H47" s="19" t="str">
        <x:f>IF(B47&lt;&gt;"",SUMIFS(RECORD!E$13:EP$13,RECORD!E$12:EP$12,"CLO1",RECORD!E$11:EP$11,"Final"),"")</x:f>
      </x:c>
      <x:c r="I47" s="20" t="str">
        <x:f t="shared" si="5"/>
      </x:c>
      <x:c r="J47" s="19" t="str">
        <x:f>IF(B47&lt;&gt;"",SUMIFS(RECORD!E56:EP56,RECORD!E$12:EP$12,"CLO2",RECORD!E$11:EP$11,"Prelim"),"")</x:f>
      </x:c>
      <x:c r="K47" s="19" t="str">
        <x:f>IF(B47&lt;&gt;"",SUMIFS(RECORD!E$13:EP$13,RECORD!E$12:EP$12,"CLO2",RECORD!E$11:EP$11,"Prelim"),"")</x:f>
      </x:c>
      <x:c r="L47" s="19" t="str">
        <x:f>IF(B47&lt;&gt;"",SUMIFS(RECORD!E56:EP56,RECORD!E$12:EP$12,"CLO2",RECORD!E$11:EP$11,"Midterm"),"")</x:f>
      </x:c>
      <x:c r="M47" s="19" t="str">
        <x:f>IF(B47&lt;&gt;"",SUMIFS(RECORD!E$13:EP$13,RECORD!E$12:EP$12,"CLO2",RECORD!E$11:EP$11,"Midterm"),"")</x:f>
      </x:c>
      <x:c r="N47" s="19" t="str">
        <x:f>IF(B47&lt;&gt;"",SUMIFS(RECORD!E56:EP56,RECORD!E$12:EP$12,"CLO2",RECORD!E$11:EP$11,"Final"),"")</x:f>
      </x:c>
      <x:c r="O47" s="19" t="str">
        <x:f>IF(B47&lt;&gt;"",SUMIFS(RECORD!E$13:EP$13,RECORD!E$12:EP$12,"CLO2",RECORD!E$11:EP$11,"Final"),"")</x:f>
      </x:c>
      <x:c r="P47" s="20" t="str">
        <x:f t="shared" si="6"/>
      </x:c>
      <x:c r="Q47" s="19" t="str">
        <x:f>IF(B47&lt;&gt;"",SUMIFS(RECORD!E56:EP56,RECORD!E$12:EP$12,"CLO3",RECORD!E$11:EP$11,"Prelim"),"")</x:f>
      </x:c>
      <x:c r="R47" s="19" t="str">
        <x:f>IF(B47&lt;&gt;"",SUMIFS(RECORD!E$13:EP$13,RECORD!E$12:EP$12,"CLO3",RECORD!E$11:EP$11,"Prelim"),"")</x:f>
      </x:c>
      <x:c r="S47" s="19" t="str">
        <x:f>IF(B47&lt;&gt;"",SUMIFS(RECORD!E56:EP56,RECORD!E$12:EP$12,"CLO3",RECORD!E$11:EP$11,"Midterm"),"")</x:f>
      </x:c>
      <x:c r="T47" s="19" t="str">
        <x:f>IF(B47&lt;&gt;"",SUMIFS(RECORD!E$13:EP$13,RECORD!E$12:EP$12,"CLO3",RECORD!E$11:EP$11,"Midterm"),"")</x:f>
      </x:c>
      <x:c r="U47" s="19" t="str">
        <x:f>IF(B47&lt;&gt;"",SUMIFS(RECORD!E56:EP56,RECORD!E$12:EP$12,"CLO3",RECORD!E$11:EP$11,"Final"),"")</x:f>
      </x:c>
      <x:c r="V47" s="19" t="str">
        <x:f>IF(B47&lt;&gt;"",SUMIFS(RECORD!E$13:EP$13,RECORD!E$12:EP$12,"CLO3",RECORD!E$11:EP$11,"Final"),"")</x:f>
      </x:c>
      <x:c r="W47" s="20" t="str">
        <x:f t="shared" si="7"/>
      </x:c>
      <x:c r="X47" s="19" t="str">
        <x:f>IF(B47&lt;&gt;"",SUMIFS(RECORD!E56:EP56,RECORD!E$12:EP$12,"CLO4",RECORD!E$11:EP$11,"Prelim"),"")</x:f>
      </x:c>
      <x:c r="Y47" s="19" t="str">
        <x:f>IF(B47&lt;&gt;"",SUMIFS(RECORD!E$13:EP$13,RECORD!E$12:EP$12,"CLO4",RECORD!E$11:EP$11,"Prelim"),"")</x:f>
      </x:c>
      <x:c r="Z47" s="19" t="str">
        <x:f>IF(B47&lt;&gt;"",SUMIFS(RECORD!E56:EP56,RECORD!E$12:EP$12,"CLO4",RECORD!E$11:EP$11,"Midterm"),"")</x:f>
      </x:c>
      <x:c r="AA47" s="19" t="str">
        <x:f>IF(B47&lt;&gt;"",SUMIFS(RECORD!E$13:EP$13,RECORD!E$12:EP$12,"CLO4",RECORD!E$11:EP$11,"Midterm"),"")</x:f>
      </x:c>
      <x:c r="AB47" s="19" t="str">
        <x:f>IF(B47&lt;&gt;"",SUMIFS(RECORD!E56:EP56,RECORD!E$12:EP$12,"CLO4",RECORD!E$11:EP$11,"Final"),"")</x:f>
      </x:c>
      <x:c r="AC47" s="19" t="str">
        <x:f>IF(B47&lt;&gt;"",SUMIFS(RECORD!E$13:EP$13,RECORD!E$12:EP$12,"CLO4",RECORD!E$11:EP$11,"Final"),"")</x:f>
      </x:c>
      <x:c r="AD47" s="20" t="str">
        <x:f t="shared" si="8"/>
      </x:c>
      <x:c r="AE47" s="19" t="str">
        <x:f>IF(B47&lt;&gt;"",SUMIFS(RECORD!E56:EP56,RECORD!E$12:EP$12,"CLO5",RECORD!E$11:EP$11,"Prelim"),"")</x:f>
      </x:c>
      <x:c r="AF47" s="19" t="str">
        <x:f>IF(B47&lt;&gt;"",SUMIFS(RECORD!E$13:EP$13,RECORD!E$12:EP$12,"CLO5",RECORD!E$11:EP$11,"Prelim"),"")</x:f>
      </x:c>
      <x:c r="AG47" s="19" t="str">
        <x:f>IF(B47&lt;&gt;"",SUMIFS(RECORD!E56:EP56,RECORD!E$12:EP$12,"CLO5",RECORD!E$11:EP$11,"Midterm"),"")</x:f>
      </x:c>
      <x:c r="AH47" s="19" t="str">
        <x:f>IF(B47&lt;&gt;"",SUMIFS(RECORD!E$13:EP$13,RECORD!E$12:EP$12,"CLO5",RECORD!E$11:EP$11,"Midterm"),"")</x:f>
      </x:c>
      <x:c r="AI47" s="19" t="str">
        <x:f>IF(B47&lt;&gt;"",SUMIFS(RECORD!E56:EP56,RECORD!E$12:EP$12,"CLO5",RECORD!E$11:EP$11,"Final"),"")</x:f>
      </x:c>
      <x:c r="AJ47" s="19" t="str">
        <x:f>IF(B47&lt;&gt;"",SUMIFS(RECORD!E$13:EP$13,RECORD!E$12:EP$12,"CLO5",RECORD!E$11:EP$11,"Final"),"")</x:f>
      </x:c>
      <x:c r="AK47" s="20" t="str">
        <x:f t="shared" si="9"/>
      </x:c>
    </x:row>
    <x:row r="48">
      <x:c r="A48" s="18" t="str">
        <x:f>IF(RECORD!B57="","",RECORD!B57)</x:f>
      </x:c>
      <x:c r="B48" s="18" t="str">
        <x:f>IF(RECORD!C57="","",RECORD!C57)</x:f>
      </x:c>
      <x:c r="C48" s="19" t="str">
        <x:f>IF(B48&lt;&gt;"",SUMIFS(RECORD!E57:EP57,RECORD!E$12:EP$12,"CLO1",RECORD!E$11:EP$11,"Prelim"),"")</x:f>
      </x:c>
      <x:c r="D48" s="19" t="str">
        <x:f>IF(B48&lt;&gt;"",SUMIFS(RECORD!E$13:EP$13,RECORD!E$12:EP$12,"CLO1",RECORD!E$11:EP$11,"Prelim"),"")</x:f>
      </x:c>
      <x:c r="E48" s="19" t="str">
        <x:f>IF(B48&lt;&gt;"",SUMIFS(RECORD!E57:EP57,RECORD!E$12:EP$12,"CLO1",RECORD!E$11:EP$11,"Midterm"),"")</x:f>
      </x:c>
      <x:c r="F48" s="19" t="str">
        <x:f>IF(B48&lt;&gt;"",SUMIFS(RECORD!E$13:EP$13,RECORD!E$12:EP$12,"CLO1",RECORD!E$11:EP$11,"Midterm"),"")</x:f>
      </x:c>
      <x:c r="G48" s="19" t="str">
        <x:f>IF(B48&lt;&gt;"",SUMIFS(RECORD!E57:EP57,RECORD!E$12:EP$12,"CLO1",RECORD!E$11:EP$11,"Final"),"")</x:f>
      </x:c>
      <x:c r="H48" s="19" t="str">
        <x:f>IF(B48&lt;&gt;"",SUMIFS(RECORD!E$13:EP$13,RECORD!E$12:EP$12,"CLO1",RECORD!E$11:EP$11,"Final"),"")</x:f>
      </x:c>
      <x:c r="I48" s="20" t="str">
        <x:f t="shared" si="5"/>
      </x:c>
      <x:c r="J48" s="19" t="str">
        <x:f>IF(B48&lt;&gt;"",SUMIFS(RECORD!E57:EP57,RECORD!E$12:EP$12,"CLO2",RECORD!E$11:EP$11,"Prelim"),"")</x:f>
      </x:c>
      <x:c r="K48" s="19" t="str">
        <x:f>IF(B48&lt;&gt;"",SUMIFS(RECORD!E$13:EP$13,RECORD!E$12:EP$12,"CLO2",RECORD!E$11:EP$11,"Prelim"),"")</x:f>
      </x:c>
      <x:c r="L48" s="19" t="str">
        <x:f>IF(B48&lt;&gt;"",SUMIFS(RECORD!E57:EP57,RECORD!E$12:EP$12,"CLO2",RECORD!E$11:EP$11,"Midterm"),"")</x:f>
      </x:c>
      <x:c r="M48" s="19" t="str">
        <x:f>IF(B48&lt;&gt;"",SUMIFS(RECORD!E$13:EP$13,RECORD!E$12:EP$12,"CLO2",RECORD!E$11:EP$11,"Midterm"),"")</x:f>
      </x:c>
      <x:c r="N48" s="19" t="str">
        <x:f>IF(B48&lt;&gt;"",SUMIFS(RECORD!E57:EP57,RECORD!E$12:EP$12,"CLO2",RECORD!E$11:EP$11,"Final"),"")</x:f>
      </x:c>
      <x:c r="O48" s="19" t="str">
        <x:f>IF(B48&lt;&gt;"",SUMIFS(RECORD!E$13:EP$13,RECORD!E$12:EP$12,"CLO2",RECORD!E$11:EP$11,"Final"),"")</x:f>
      </x:c>
      <x:c r="P48" s="20" t="str">
        <x:f t="shared" si="6"/>
      </x:c>
      <x:c r="Q48" s="19" t="str">
        <x:f>IF(B48&lt;&gt;"",SUMIFS(RECORD!E57:EP57,RECORD!E$12:EP$12,"CLO3",RECORD!E$11:EP$11,"Prelim"),"")</x:f>
      </x:c>
      <x:c r="R48" s="19" t="str">
        <x:f>IF(B48&lt;&gt;"",SUMIFS(RECORD!E$13:EP$13,RECORD!E$12:EP$12,"CLO3",RECORD!E$11:EP$11,"Prelim"),"")</x:f>
      </x:c>
      <x:c r="S48" s="19" t="str">
        <x:f>IF(B48&lt;&gt;"",SUMIFS(RECORD!E57:EP57,RECORD!E$12:EP$12,"CLO3",RECORD!E$11:EP$11,"Midterm"),"")</x:f>
      </x:c>
      <x:c r="T48" s="19" t="str">
        <x:f>IF(B48&lt;&gt;"",SUMIFS(RECORD!E$13:EP$13,RECORD!E$12:EP$12,"CLO3",RECORD!E$11:EP$11,"Midterm"),"")</x:f>
      </x:c>
      <x:c r="U48" s="19" t="str">
        <x:f>IF(B48&lt;&gt;"",SUMIFS(RECORD!E57:EP57,RECORD!E$12:EP$12,"CLO3",RECORD!E$11:EP$11,"Final"),"")</x:f>
      </x:c>
      <x:c r="V48" s="19" t="str">
        <x:f>IF(B48&lt;&gt;"",SUMIFS(RECORD!E$13:EP$13,RECORD!E$12:EP$12,"CLO3",RECORD!E$11:EP$11,"Final"),"")</x:f>
      </x:c>
      <x:c r="W48" s="20" t="str">
        <x:f t="shared" si="7"/>
      </x:c>
      <x:c r="X48" s="19" t="str">
        <x:f>IF(B48&lt;&gt;"",SUMIFS(RECORD!E57:EP57,RECORD!E$12:EP$12,"CLO4",RECORD!E$11:EP$11,"Prelim"),"")</x:f>
      </x:c>
      <x:c r="Y48" s="19" t="str">
        <x:f>IF(B48&lt;&gt;"",SUMIFS(RECORD!E$13:EP$13,RECORD!E$12:EP$12,"CLO4",RECORD!E$11:EP$11,"Prelim"),"")</x:f>
      </x:c>
      <x:c r="Z48" s="19" t="str">
        <x:f>IF(B48&lt;&gt;"",SUMIFS(RECORD!E57:EP57,RECORD!E$12:EP$12,"CLO4",RECORD!E$11:EP$11,"Midterm"),"")</x:f>
      </x:c>
      <x:c r="AA48" s="19" t="str">
        <x:f>IF(B48&lt;&gt;"",SUMIFS(RECORD!E$13:EP$13,RECORD!E$12:EP$12,"CLO4",RECORD!E$11:EP$11,"Midterm"),"")</x:f>
      </x:c>
      <x:c r="AB48" s="19" t="str">
        <x:f>IF(B48&lt;&gt;"",SUMIFS(RECORD!E57:EP57,RECORD!E$12:EP$12,"CLO4",RECORD!E$11:EP$11,"Final"),"")</x:f>
      </x:c>
      <x:c r="AC48" s="19" t="str">
        <x:f>IF(B48&lt;&gt;"",SUMIFS(RECORD!E$13:EP$13,RECORD!E$12:EP$12,"CLO4",RECORD!E$11:EP$11,"Final"),"")</x:f>
      </x:c>
      <x:c r="AD48" s="20" t="str">
        <x:f t="shared" si="8"/>
      </x:c>
      <x:c r="AE48" s="19" t="str">
        <x:f>IF(B48&lt;&gt;"",SUMIFS(RECORD!E57:EP57,RECORD!E$12:EP$12,"CLO5",RECORD!E$11:EP$11,"Prelim"),"")</x:f>
      </x:c>
      <x:c r="AF48" s="19" t="str">
        <x:f>IF(B48&lt;&gt;"",SUMIFS(RECORD!E$13:EP$13,RECORD!E$12:EP$12,"CLO5",RECORD!E$11:EP$11,"Prelim"),"")</x:f>
      </x:c>
      <x:c r="AG48" s="19" t="str">
        <x:f>IF(B48&lt;&gt;"",SUMIFS(RECORD!E57:EP57,RECORD!E$12:EP$12,"CLO5",RECORD!E$11:EP$11,"Midterm"),"")</x:f>
      </x:c>
      <x:c r="AH48" s="19" t="str">
        <x:f>IF(B48&lt;&gt;"",SUMIFS(RECORD!E$13:EP$13,RECORD!E$12:EP$12,"CLO5",RECORD!E$11:EP$11,"Midterm"),"")</x:f>
      </x:c>
      <x:c r="AI48" s="19" t="str">
        <x:f>IF(B48&lt;&gt;"",SUMIFS(RECORD!E57:EP57,RECORD!E$12:EP$12,"CLO5",RECORD!E$11:EP$11,"Final"),"")</x:f>
      </x:c>
      <x:c r="AJ48" s="19" t="str">
        <x:f>IF(B48&lt;&gt;"",SUMIFS(RECORD!E$13:EP$13,RECORD!E$12:EP$12,"CLO5",RECORD!E$11:EP$11,"Final"),"")</x:f>
      </x:c>
      <x:c r="AK48" s="20" t="str">
        <x:f t="shared" si="9"/>
      </x:c>
    </x:row>
    <x:row r="49">
      <x:c r="A49" s="18" t="str">
        <x:f>IF(RECORD!B58="","",RECORD!B58)</x:f>
      </x:c>
      <x:c r="B49" s="18" t="str">
        <x:f>IF(RECORD!C58="","",RECORD!C58)</x:f>
      </x:c>
      <x:c r="C49" s="19" t="str">
        <x:f>IF(B49&lt;&gt;"",SUMIFS(RECORD!E58:EP58,RECORD!E$12:EP$12,"CLO1",RECORD!E$11:EP$11,"Prelim"),"")</x:f>
      </x:c>
      <x:c r="D49" s="19" t="str">
        <x:f>IF(B49&lt;&gt;"",SUMIFS(RECORD!E$13:EP$13,RECORD!E$12:EP$12,"CLO1",RECORD!E$11:EP$11,"Prelim"),"")</x:f>
      </x:c>
      <x:c r="E49" s="19" t="str">
        <x:f>IF(B49&lt;&gt;"",SUMIFS(RECORD!E58:EP58,RECORD!E$12:EP$12,"CLO1",RECORD!E$11:EP$11,"Midterm"),"")</x:f>
      </x:c>
      <x:c r="F49" s="19" t="str">
        <x:f>IF(B49&lt;&gt;"",SUMIFS(RECORD!E$13:EP$13,RECORD!E$12:EP$12,"CLO1",RECORD!E$11:EP$11,"Midterm"),"")</x:f>
      </x:c>
      <x:c r="G49" s="19" t="str">
        <x:f>IF(B49&lt;&gt;"",SUMIFS(RECORD!E58:EP58,RECORD!E$12:EP$12,"CLO1",RECORD!E$11:EP$11,"Final"),"")</x:f>
      </x:c>
      <x:c r="H49" s="19" t="str">
        <x:f>IF(B49&lt;&gt;"",SUMIFS(RECORD!E$13:EP$13,RECORD!E$12:EP$12,"CLO1",RECORD!E$11:EP$11,"Final"),"")</x:f>
      </x:c>
      <x:c r="I49" s="20" t="str">
        <x:f t="shared" si="5"/>
      </x:c>
      <x:c r="J49" s="19" t="str">
        <x:f>IF(B49&lt;&gt;"",SUMIFS(RECORD!E58:EP58,RECORD!E$12:EP$12,"CLO2",RECORD!E$11:EP$11,"Prelim"),"")</x:f>
      </x:c>
      <x:c r="K49" s="19" t="str">
        <x:f>IF(B49&lt;&gt;"",SUMIFS(RECORD!E$13:EP$13,RECORD!E$12:EP$12,"CLO2",RECORD!E$11:EP$11,"Prelim"),"")</x:f>
      </x:c>
      <x:c r="L49" s="19" t="str">
        <x:f>IF(B49&lt;&gt;"",SUMIFS(RECORD!E58:EP58,RECORD!E$12:EP$12,"CLO2",RECORD!E$11:EP$11,"Midterm"),"")</x:f>
      </x:c>
      <x:c r="M49" s="19" t="str">
        <x:f>IF(B49&lt;&gt;"",SUMIFS(RECORD!E$13:EP$13,RECORD!E$12:EP$12,"CLO2",RECORD!E$11:EP$11,"Midterm"),"")</x:f>
      </x:c>
      <x:c r="N49" s="19" t="str">
        <x:f>IF(B49&lt;&gt;"",SUMIFS(RECORD!E58:EP58,RECORD!E$12:EP$12,"CLO2",RECORD!E$11:EP$11,"Final"),"")</x:f>
      </x:c>
      <x:c r="O49" s="19" t="str">
        <x:f>IF(B49&lt;&gt;"",SUMIFS(RECORD!E$13:EP$13,RECORD!E$12:EP$12,"CLO2",RECORD!E$11:EP$11,"Final"),"")</x:f>
      </x:c>
      <x:c r="P49" s="20" t="str">
        <x:f t="shared" si="6"/>
      </x:c>
      <x:c r="Q49" s="19" t="str">
        <x:f>IF(B49&lt;&gt;"",SUMIFS(RECORD!E58:EP58,RECORD!E$12:EP$12,"CLO3",RECORD!E$11:EP$11,"Prelim"),"")</x:f>
      </x:c>
      <x:c r="R49" s="19" t="str">
        <x:f>IF(B49&lt;&gt;"",SUMIFS(RECORD!E$13:EP$13,RECORD!E$12:EP$12,"CLO3",RECORD!E$11:EP$11,"Prelim"),"")</x:f>
      </x:c>
      <x:c r="S49" s="19" t="str">
        <x:f>IF(B49&lt;&gt;"",SUMIFS(RECORD!E58:EP58,RECORD!E$12:EP$12,"CLO3",RECORD!E$11:EP$11,"Midterm"),"")</x:f>
      </x:c>
      <x:c r="T49" s="19" t="str">
        <x:f>IF(B49&lt;&gt;"",SUMIFS(RECORD!E$13:EP$13,RECORD!E$12:EP$12,"CLO3",RECORD!E$11:EP$11,"Midterm"),"")</x:f>
      </x:c>
      <x:c r="U49" s="19" t="str">
        <x:f>IF(B49&lt;&gt;"",SUMIFS(RECORD!E58:EP58,RECORD!E$12:EP$12,"CLO3",RECORD!E$11:EP$11,"Final"),"")</x:f>
      </x:c>
      <x:c r="V49" s="19" t="str">
        <x:f>IF(B49&lt;&gt;"",SUMIFS(RECORD!E$13:EP$13,RECORD!E$12:EP$12,"CLO3",RECORD!E$11:EP$11,"Final"),"")</x:f>
      </x:c>
      <x:c r="W49" s="20" t="str">
        <x:f t="shared" si="7"/>
      </x:c>
      <x:c r="X49" s="19" t="str">
        <x:f>IF(B49&lt;&gt;"",SUMIFS(RECORD!E58:EP58,RECORD!E$12:EP$12,"CLO4",RECORD!E$11:EP$11,"Prelim"),"")</x:f>
      </x:c>
      <x:c r="Y49" s="19" t="str">
        <x:f>IF(B49&lt;&gt;"",SUMIFS(RECORD!E$13:EP$13,RECORD!E$12:EP$12,"CLO4",RECORD!E$11:EP$11,"Prelim"),"")</x:f>
      </x:c>
      <x:c r="Z49" s="19" t="str">
        <x:f>IF(B49&lt;&gt;"",SUMIFS(RECORD!E58:EP58,RECORD!E$12:EP$12,"CLO4",RECORD!E$11:EP$11,"Midterm"),"")</x:f>
      </x:c>
      <x:c r="AA49" s="19" t="str">
        <x:f>IF(B49&lt;&gt;"",SUMIFS(RECORD!E$13:EP$13,RECORD!E$12:EP$12,"CLO4",RECORD!E$11:EP$11,"Midterm"),"")</x:f>
      </x:c>
      <x:c r="AB49" s="19" t="str">
        <x:f>IF(B49&lt;&gt;"",SUMIFS(RECORD!E58:EP58,RECORD!E$12:EP$12,"CLO4",RECORD!E$11:EP$11,"Final"),"")</x:f>
      </x:c>
      <x:c r="AC49" s="19" t="str">
        <x:f>IF(B49&lt;&gt;"",SUMIFS(RECORD!E$13:EP$13,RECORD!E$12:EP$12,"CLO4",RECORD!E$11:EP$11,"Final"),"")</x:f>
      </x:c>
      <x:c r="AD49" s="20" t="str">
        <x:f t="shared" si="8"/>
      </x:c>
      <x:c r="AE49" s="19" t="str">
        <x:f>IF(B49&lt;&gt;"",SUMIFS(RECORD!E58:EP58,RECORD!E$12:EP$12,"CLO5",RECORD!E$11:EP$11,"Prelim"),"")</x:f>
      </x:c>
      <x:c r="AF49" s="19" t="str">
        <x:f>IF(B49&lt;&gt;"",SUMIFS(RECORD!E$13:EP$13,RECORD!E$12:EP$12,"CLO5",RECORD!E$11:EP$11,"Prelim"),"")</x:f>
      </x:c>
      <x:c r="AG49" s="19" t="str">
        <x:f>IF(B49&lt;&gt;"",SUMIFS(RECORD!E58:EP58,RECORD!E$12:EP$12,"CLO5",RECORD!E$11:EP$11,"Midterm"),"")</x:f>
      </x:c>
      <x:c r="AH49" s="19" t="str">
        <x:f>IF(B49&lt;&gt;"",SUMIFS(RECORD!E$13:EP$13,RECORD!E$12:EP$12,"CLO5",RECORD!E$11:EP$11,"Midterm"),"")</x:f>
      </x:c>
      <x:c r="AI49" s="19" t="str">
        <x:f>IF(B49&lt;&gt;"",SUMIFS(RECORD!E58:EP58,RECORD!E$12:EP$12,"CLO5",RECORD!E$11:EP$11,"Final"),"")</x:f>
      </x:c>
      <x:c r="AJ49" s="19" t="str">
        <x:f>IF(B49&lt;&gt;"",SUMIFS(RECORD!E$13:EP$13,RECORD!E$12:EP$12,"CLO5",RECORD!E$11:EP$11,"Final"),"")</x:f>
      </x:c>
      <x:c r="AK49" s="20" t="str">
        <x:f t="shared" si="9"/>
      </x:c>
    </x:row>
    <x:row r="50">
      <x:c r="A50" s="18" t="str">
        <x:f>IF(RECORD!B59="","",RECORD!B59)</x:f>
      </x:c>
      <x:c r="B50" s="18" t="str">
        <x:f>IF(RECORD!C59="","",RECORD!C59)</x:f>
      </x:c>
      <x:c r="C50" s="19" t="str">
        <x:f>IF(B50&lt;&gt;"",SUMIFS(RECORD!E59:EP59,RECORD!E$12:EP$12,"CLO1",RECORD!E$11:EP$11,"Prelim"),"")</x:f>
      </x:c>
      <x:c r="D50" s="19" t="str">
        <x:f>IF(B50&lt;&gt;"",SUMIFS(RECORD!E$13:EP$13,RECORD!E$12:EP$12,"CLO1",RECORD!E$11:EP$11,"Prelim"),"")</x:f>
      </x:c>
      <x:c r="E50" s="19" t="str">
        <x:f>IF(B50&lt;&gt;"",SUMIFS(RECORD!E59:EP59,RECORD!E$12:EP$12,"CLO1",RECORD!E$11:EP$11,"Midterm"),"")</x:f>
      </x:c>
      <x:c r="F50" s="19" t="str">
        <x:f>IF(B50&lt;&gt;"",SUMIFS(RECORD!E$13:EP$13,RECORD!E$12:EP$12,"CLO1",RECORD!E$11:EP$11,"Midterm"),"")</x:f>
      </x:c>
      <x:c r="G50" s="19" t="str">
        <x:f>IF(B50&lt;&gt;"",SUMIFS(RECORD!E59:EP59,RECORD!E$12:EP$12,"CLO1",RECORD!E$11:EP$11,"Final"),"")</x:f>
      </x:c>
      <x:c r="H50" s="19" t="str">
        <x:f>IF(B50&lt;&gt;"",SUMIFS(RECORD!E$13:EP$13,RECORD!E$12:EP$12,"CLO1",RECORD!E$11:EP$11,"Final"),"")</x:f>
      </x:c>
      <x:c r="I50" s="20" t="str">
        <x:f t="shared" si="5"/>
      </x:c>
      <x:c r="J50" s="19" t="str">
        <x:f>IF(B50&lt;&gt;"",SUMIFS(RECORD!E59:EP59,RECORD!E$12:EP$12,"CLO2",RECORD!E$11:EP$11,"Prelim"),"")</x:f>
      </x:c>
      <x:c r="K50" s="19" t="str">
        <x:f>IF(B50&lt;&gt;"",SUMIFS(RECORD!E$13:EP$13,RECORD!E$12:EP$12,"CLO2",RECORD!E$11:EP$11,"Prelim"),"")</x:f>
      </x:c>
      <x:c r="L50" s="19" t="str">
        <x:f>IF(B50&lt;&gt;"",SUMIFS(RECORD!E59:EP59,RECORD!E$12:EP$12,"CLO2",RECORD!E$11:EP$11,"Midterm"),"")</x:f>
      </x:c>
      <x:c r="M50" s="19" t="str">
        <x:f>IF(B50&lt;&gt;"",SUMIFS(RECORD!E$13:EP$13,RECORD!E$12:EP$12,"CLO2",RECORD!E$11:EP$11,"Midterm"),"")</x:f>
      </x:c>
      <x:c r="N50" s="19" t="str">
        <x:f>IF(B50&lt;&gt;"",SUMIFS(RECORD!E59:EP59,RECORD!E$12:EP$12,"CLO2",RECORD!E$11:EP$11,"Final"),"")</x:f>
      </x:c>
      <x:c r="O50" s="19" t="str">
        <x:f>IF(B50&lt;&gt;"",SUMIFS(RECORD!E$13:EP$13,RECORD!E$12:EP$12,"CLO2",RECORD!E$11:EP$11,"Final"),"")</x:f>
      </x:c>
      <x:c r="P50" s="20" t="str">
        <x:f t="shared" si="6"/>
      </x:c>
      <x:c r="Q50" s="19" t="str">
        <x:f>IF(B50&lt;&gt;"",SUMIFS(RECORD!E59:EP59,RECORD!E$12:EP$12,"CLO3",RECORD!E$11:EP$11,"Prelim"),"")</x:f>
      </x:c>
      <x:c r="R50" s="19" t="str">
        <x:f>IF(B50&lt;&gt;"",SUMIFS(RECORD!E$13:EP$13,RECORD!E$12:EP$12,"CLO3",RECORD!E$11:EP$11,"Prelim"),"")</x:f>
      </x:c>
      <x:c r="S50" s="19" t="str">
        <x:f>IF(B50&lt;&gt;"",SUMIFS(RECORD!E59:EP59,RECORD!E$12:EP$12,"CLO3",RECORD!E$11:EP$11,"Midterm"),"")</x:f>
      </x:c>
      <x:c r="T50" s="19" t="str">
        <x:f>IF(B50&lt;&gt;"",SUMIFS(RECORD!E$13:EP$13,RECORD!E$12:EP$12,"CLO3",RECORD!E$11:EP$11,"Midterm"),"")</x:f>
      </x:c>
      <x:c r="U50" s="19" t="str">
        <x:f>IF(B50&lt;&gt;"",SUMIFS(RECORD!E59:EP59,RECORD!E$12:EP$12,"CLO3",RECORD!E$11:EP$11,"Final"),"")</x:f>
      </x:c>
      <x:c r="V50" s="19" t="str">
        <x:f>IF(B50&lt;&gt;"",SUMIFS(RECORD!E$13:EP$13,RECORD!E$12:EP$12,"CLO3",RECORD!E$11:EP$11,"Final"),"")</x:f>
      </x:c>
      <x:c r="W50" s="20" t="str">
        <x:f t="shared" si="7"/>
      </x:c>
      <x:c r="X50" s="19" t="str">
        <x:f>IF(B50&lt;&gt;"",SUMIFS(RECORD!E59:EP59,RECORD!E$12:EP$12,"CLO4",RECORD!E$11:EP$11,"Prelim"),"")</x:f>
      </x:c>
      <x:c r="Y50" s="19" t="str">
        <x:f>IF(B50&lt;&gt;"",SUMIFS(RECORD!E$13:EP$13,RECORD!E$12:EP$12,"CLO4",RECORD!E$11:EP$11,"Prelim"),"")</x:f>
      </x:c>
      <x:c r="Z50" s="19" t="str">
        <x:f>IF(B50&lt;&gt;"",SUMIFS(RECORD!E59:EP59,RECORD!E$12:EP$12,"CLO4",RECORD!E$11:EP$11,"Midterm"),"")</x:f>
      </x:c>
      <x:c r="AA50" s="19" t="str">
        <x:f>IF(B50&lt;&gt;"",SUMIFS(RECORD!E$13:EP$13,RECORD!E$12:EP$12,"CLO4",RECORD!E$11:EP$11,"Midterm"),"")</x:f>
      </x:c>
      <x:c r="AB50" s="19" t="str">
        <x:f>IF(B50&lt;&gt;"",SUMIFS(RECORD!E59:EP59,RECORD!E$12:EP$12,"CLO4",RECORD!E$11:EP$11,"Final"),"")</x:f>
      </x:c>
      <x:c r="AC50" s="19" t="str">
        <x:f>IF(B50&lt;&gt;"",SUMIFS(RECORD!E$13:EP$13,RECORD!E$12:EP$12,"CLO4",RECORD!E$11:EP$11,"Final"),"")</x:f>
      </x:c>
      <x:c r="AD50" s="20" t="str">
        <x:f t="shared" si="8"/>
      </x:c>
      <x:c r="AE50" s="19" t="str">
        <x:f>IF(B50&lt;&gt;"",SUMIFS(RECORD!E59:EP59,RECORD!E$12:EP$12,"CLO5",RECORD!E$11:EP$11,"Prelim"),"")</x:f>
      </x:c>
      <x:c r="AF50" s="19" t="str">
        <x:f>IF(B50&lt;&gt;"",SUMIFS(RECORD!E$13:EP$13,RECORD!E$12:EP$12,"CLO5",RECORD!E$11:EP$11,"Prelim"),"")</x:f>
      </x:c>
      <x:c r="AG50" s="19" t="str">
        <x:f>IF(B50&lt;&gt;"",SUMIFS(RECORD!E59:EP59,RECORD!E$12:EP$12,"CLO5",RECORD!E$11:EP$11,"Midterm"),"")</x:f>
      </x:c>
      <x:c r="AH50" s="19" t="str">
        <x:f>IF(B50&lt;&gt;"",SUMIFS(RECORD!E$13:EP$13,RECORD!E$12:EP$12,"CLO5",RECORD!E$11:EP$11,"Midterm"),"")</x:f>
      </x:c>
      <x:c r="AI50" s="19" t="str">
        <x:f>IF(B50&lt;&gt;"",SUMIFS(RECORD!E59:EP59,RECORD!E$12:EP$12,"CLO5",RECORD!E$11:EP$11,"Final"),"")</x:f>
      </x:c>
      <x:c r="AJ50" s="19" t="str">
        <x:f>IF(B50&lt;&gt;"",SUMIFS(RECORD!E$13:EP$13,RECORD!E$12:EP$12,"CLO5",RECORD!E$11:EP$11,"Final"),"")</x:f>
      </x:c>
      <x:c r="AK50" s="20" t="str">
        <x:f t="shared" si="9"/>
      </x:c>
    </x:row>
    <x:row r="51">
      <x:c r="A51" s="18" t="str">
        <x:f>IF(RECORD!B60="","",RECORD!B60)</x:f>
      </x:c>
      <x:c r="B51" s="18" t="str">
        <x:f>IF(RECORD!C60="","",RECORD!C60)</x:f>
      </x:c>
      <x:c r="C51" s="19" t="str">
        <x:f>IF(B51&lt;&gt;"",SUMIFS(RECORD!E60:EP60,RECORD!E$12:EP$12,"CLO1",RECORD!E$11:EP$11,"Prelim"),"")</x:f>
      </x:c>
      <x:c r="D51" s="19" t="str">
        <x:f>IF(B51&lt;&gt;"",SUMIFS(RECORD!E$13:EP$13,RECORD!E$12:EP$12,"CLO1",RECORD!E$11:EP$11,"Prelim"),"")</x:f>
      </x:c>
      <x:c r="E51" s="19" t="str">
        <x:f>IF(B51&lt;&gt;"",SUMIFS(RECORD!E60:EP60,RECORD!E$12:EP$12,"CLO1",RECORD!E$11:EP$11,"Midterm"),"")</x:f>
      </x:c>
      <x:c r="F51" s="19" t="str">
        <x:f>IF(B51&lt;&gt;"",SUMIFS(RECORD!E$13:EP$13,RECORD!E$12:EP$12,"CLO1",RECORD!E$11:EP$11,"Midterm"),"")</x:f>
      </x:c>
      <x:c r="G51" s="19" t="str">
        <x:f>IF(B51&lt;&gt;"",SUMIFS(RECORD!E60:EP60,RECORD!E$12:EP$12,"CLO1",RECORD!E$11:EP$11,"Final"),"")</x:f>
      </x:c>
      <x:c r="H51" s="19" t="str">
        <x:f>IF(B51&lt;&gt;"",SUMIFS(RECORD!E$13:EP$13,RECORD!E$12:EP$12,"CLO1",RECORD!E$11:EP$11,"Final"),"")</x:f>
      </x:c>
      <x:c r="I51" s="20" t="str">
        <x:f t="shared" si="5"/>
      </x:c>
      <x:c r="J51" s="19" t="str">
        <x:f>IF(B51&lt;&gt;"",SUMIFS(RECORD!E60:EP60,RECORD!E$12:EP$12,"CLO2",RECORD!E$11:EP$11,"Prelim"),"")</x:f>
      </x:c>
      <x:c r="K51" s="19" t="str">
        <x:f>IF(B51&lt;&gt;"",SUMIFS(RECORD!E$13:EP$13,RECORD!E$12:EP$12,"CLO2",RECORD!E$11:EP$11,"Prelim"),"")</x:f>
      </x:c>
      <x:c r="L51" s="19" t="str">
        <x:f>IF(B51&lt;&gt;"",SUMIFS(RECORD!E60:EP60,RECORD!E$12:EP$12,"CLO2",RECORD!E$11:EP$11,"Midterm"),"")</x:f>
      </x:c>
      <x:c r="M51" s="19" t="str">
        <x:f>IF(B51&lt;&gt;"",SUMIFS(RECORD!E$13:EP$13,RECORD!E$12:EP$12,"CLO2",RECORD!E$11:EP$11,"Midterm"),"")</x:f>
      </x:c>
      <x:c r="N51" s="19" t="str">
        <x:f>IF(B51&lt;&gt;"",SUMIFS(RECORD!E60:EP60,RECORD!E$12:EP$12,"CLO2",RECORD!E$11:EP$11,"Final"),"")</x:f>
      </x:c>
      <x:c r="O51" s="19" t="str">
        <x:f>IF(B51&lt;&gt;"",SUMIFS(RECORD!E$13:EP$13,RECORD!E$12:EP$12,"CLO2",RECORD!E$11:EP$11,"Final"),"")</x:f>
      </x:c>
      <x:c r="P51" s="20" t="str">
        <x:f t="shared" si="6"/>
      </x:c>
      <x:c r="Q51" s="19" t="str">
        <x:f>IF(B51&lt;&gt;"",SUMIFS(RECORD!E60:EP60,RECORD!E$12:EP$12,"CLO3",RECORD!E$11:EP$11,"Prelim"),"")</x:f>
      </x:c>
      <x:c r="R51" s="19" t="str">
        <x:f>IF(B51&lt;&gt;"",SUMIFS(RECORD!E$13:EP$13,RECORD!E$12:EP$12,"CLO3",RECORD!E$11:EP$11,"Prelim"),"")</x:f>
      </x:c>
      <x:c r="S51" s="19" t="str">
        <x:f>IF(B51&lt;&gt;"",SUMIFS(RECORD!E60:EP60,RECORD!E$12:EP$12,"CLO3",RECORD!E$11:EP$11,"Midterm"),"")</x:f>
      </x:c>
      <x:c r="T51" s="19" t="str">
        <x:f>IF(B51&lt;&gt;"",SUMIFS(RECORD!E$13:EP$13,RECORD!E$12:EP$12,"CLO3",RECORD!E$11:EP$11,"Midterm"),"")</x:f>
      </x:c>
      <x:c r="U51" s="19" t="str">
        <x:f>IF(B51&lt;&gt;"",SUMIFS(RECORD!E60:EP60,RECORD!E$12:EP$12,"CLO3",RECORD!E$11:EP$11,"Final"),"")</x:f>
      </x:c>
      <x:c r="V51" s="19" t="str">
        <x:f>IF(B51&lt;&gt;"",SUMIFS(RECORD!E$13:EP$13,RECORD!E$12:EP$12,"CLO3",RECORD!E$11:EP$11,"Final"),"")</x:f>
      </x:c>
      <x:c r="W51" s="20" t="str">
        <x:f t="shared" si="7"/>
      </x:c>
      <x:c r="X51" s="19" t="str">
        <x:f>IF(B51&lt;&gt;"",SUMIFS(RECORD!E60:EP60,RECORD!E$12:EP$12,"CLO4",RECORD!E$11:EP$11,"Prelim"),"")</x:f>
      </x:c>
      <x:c r="Y51" s="19" t="str">
        <x:f>IF(B51&lt;&gt;"",SUMIFS(RECORD!E$13:EP$13,RECORD!E$12:EP$12,"CLO4",RECORD!E$11:EP$11,"Prelim"),"")</x:f>
      </x:c>
      <x:c r="Z51" s="19" t="str">
        <x:f>IF(B51&lt;&gt;"",SUMIFS(RECORD!E60:EP60,RECORD!E$12:EP$12,"CLO4",RECORD!E$11:EP$11,"Midterm"),"")</x:f>
      </x:c>
      <x:c r="AA51" s="19" t="str">
        <x:f>IF(B51&lt;&gt;"",SUMIFS(RECORD!E$13:EP$13,RECORD!E$12:EP$12,"CLO4",RECORD!E$11:EP$11,"Midterm"),"")</x:f>
      </x:c>
      <x:c r="AB51" s="19" t="str">
        <x:f>IF(B51&lt;&gt;"",SUMIFS(RECORD!E60:EP60,RECORD!E$12:EP$12,"CLO4",RECORD!E$11:EP$11,"Final"),"")</x:f>
      </x:c>
      <x:c r="AC51" s="19" t="str">
        <x:f>IF(B51&lt;&gt;"",SUMIFS(RECORD!E$13:EP$13,RECORD!E$12:EP$12,"CLO4",RECORD!E$11:EP$11,"Final"),"")</x:f>
      </x:c>
      <x:c r="AD51" s="20" t="str">
        <x:f t="shared" si="8"/>
      </x:c>
      <x:c r="AE51" s="19" t="str">
        <x:f>IF(B51&lt;&gt;"",SUMIFS(RECORD!E60:EP60,RECORD!E$12:EP$12,"CLO5",RECORD!E$11:EP$11,"Prelim"),"")</x:f>
      </x:c>
      <x:c r="AF51" s="19" t="str">
        <x:f>IF(B51&lt;&gt;"",SUMIFS(RECORD!E$13:EP$13,RECORD!E$12:EP$12,"CLO5",RECORD!E$11:EP$11,"Prelim"),"")</x:f>
      </x:c>
      <x:c r="AG51" s="19" t="str">
        <x:f>IF(B51&lt;&gt;"",SUMIFS(RECORD!E60:EP60,RECORD!E$12:EP$12,"CLO5",RECORD!E$11:EP$11,"Midterm"),"")</x:f>
      </x:c>
      <x:c r="AH51" s="19" t="str">
        <x:f>IF(B51&lt;&gt;"",SUMIFS(RECORD!E$13:EP$13,RECORD!E$12:EP$12,"CLO5",RECORD!E$11:EP$11,"Midterm"),"")</x:f>
      </x:c>
      <x:c r="AI51" s="19" t="str">
        <x:f>IF(B51&lt;&gt;"",SUMIFS(RECORD!E60:EP60,RECORD!E$12:EP$12,"CLO5",RECORD!E$11:EP$11,"Final"),"")</x:f>
      </x:c>
      <x:c r="AJ51" s="19" t="str">
        <x:f>IF(B51&lt;&gt;"",SUMIFS(RECORD!E$13:EP$13,RECORD!E$12:EP$12,"CLO5",RECORD!E$11:EP$11,"Final"),"")</x:f>
      </x:c>
      <x:c r="AK51" s="20" t="str">
        <x:f t="shared" si="9"/>
      </x:c>
    </x:row>
    <x:row r="52">
      <x:c r="A52" s="18" t="str">
        <x:f>IF(RECORD!B61="","",RECORD!B61)</x:f>
      </x:c>
      <x:c r="B52" s="18" t="str">
        <x:f>IF(RECORD!C61="","",RECORD!C61)</x:f>
      </x:c>
      <x:c r="C52" s="19" t="str">
        <x:f>IF(B52&lt;&gt;"",SUMIFS(RECORD!E61:EP61,RECORD!E$12:EP$12,"CLO1",RECORD!E$11:EP$11,"Prelim"),"")</x:f>
      </x:c>
      <x:c r="D52" s="19" t="str">
        <x:f>IF(B52&lt;&gt;"",SUMIFS(RECORD!E$13:EP$13,RECORD!E$12:EP$12,"CLO1",RECORD!E$11:EP$11,"Prelim"),"")</x:f>
      </x:c>
      <x:c r="E52" s="19" t="str">
        <x:f>IF(B52&lt;&gt;"",SUMIFS(RECORD!E61:EP61,RECORD!E$12:EP$12,"CLO1",RECORD!E$11:EP$11,"Midterm"),"")</x:f>
      </x:c>
      <x:c r="F52" s="19" t="str">
        <x:f>IF(B52&lt;&gt;"",SUMIFS(RECORD!E$13:EP$13,RECORD!E$12:EP$12,"CLO1",RECORD!E$11:EP$11,"Midterm"),"")</x:f>
      </x:c>
      <x:c r="G52" s="19" t="str">
        <x:f>IF(B52&lt;&gt;"",SUMIFS(RECORD!E61:EP61,RECORD!E$12:EP$12,"CLO1",RECORD!E$11:EP$11,"Final"),"")</x:f>
      </x:c>
      <x:c r="H52" s="19" t="str">
        <x:f>IF(B52&lt;&gt;"",SUMIFS(RECORD!E$13:EP$13,RECORD!E$12:EP$12,"CLO1",RECORD!E$11:EP$11,"Final"),"")</x:f>
      </x:c>
      <x:c r="I52" s="20" t="str">
        <x:f t="shared" si="5"/>
      </x:c>
      <x:c r="J52" s="19" t="str">
        <x:f>IF(B52&lt;&gt;"",SUMIFS(RECORD!E61:EP61,RECORD!E$12:EP$12,"CLO2",RECORD!E$11:EP$11,"Prelim"),"")</x:f>
      </x:c>
      <x:c r="K52" s="19" t="str">
        <x:f>IF(B52&lt;&gt;"",SUMIFS(RECORD!E$13:EP$13,RECORD!E$12:EP$12,"CLO2",RECORD!E$11:EP$11,"Prelim"),"")</x:f>
      </x:c>
      <x:c r="L52" s="19" t="str">
        <x:f>IF(B52&lt;&gt;"",SUMIFS(RECORD!E61:EP61,RECORD!E$12:EP$12,"CLO2",RECORD!E$11:EP$11,"Midterm"),"")</x:f>
      </x:c>
      <x:c r="M52" s="19" t="str">
        <x:f>IF(B52&lt;&gt;"",SUMIFS(RECORD!E$13:EP$13,RECORD!E$12:EP$12,"CLO2",RECORD!E$11:EP$11,"Midterm"),"")</x:f>
      </x:c>
      <x:c r="N52" s="19" t="str">
        <x:f>IF(B52&lt;&gt;"",SUMIFS(RECORD!E61:EP61,RECORD!E$12:EP$12,"CLO2",RECORD!E$11:EP$11,"Final"),"")</x:f>
      </x:c>
      <x:c r="O52" s="19" t="str">
        <x:f>IF(B52&lt;&gt;"",SUMIFS(RECORD!E$13:EP$13,RECORD!E$12:EP$12,"CLO2",RECORD!E$11:EP$11,"Final"),"")</x:f>
      </x:c>
      <x:c r="P52" s="20" t="str">
        <x:f t="shared" si="6"/>
      </x:c>
      <x:c r="Q52" s="19" t="str">
        <x:f>IF(B52&lt;&gt;"",SUMIFS(RECORD!E61:EP61,RECORD!E$12:EP$12,"CLO3",RECORD!E$11:EP$11,"Prelim"),"")</x:f>
      </x:c>
      <x:c r="R52" s="19" t="str">
        <x:f>IF(B52&lt;&gt;"",SUMIFS(RECORD!E$13:EP$13,RECORD!E$12:EP$12,"CLO3",RECORD!E$11:EP$11,"Prelim"),"")</x:f>
      </x:c>
      <x:c r="S52" s="19" t="str">
        <x:f>IF(B52&lt;&gt;"",SUMIFS(RECORD!E61:EP61,RECORD!E$12:EP$12,"CLO3",RECORD!E$11:EP$11,"Midterm"),"")</x:f>
      </x:c>
      <x:c r="T52" s="19" t="str">
        <x:f>IF(B52&lt;&gt;"",SUMIFS(RECORD!E$13:EP$13,RECORD!E$12:EP$12,"CLO3",RECORD!E$11:EP$11,"Midterm"),"")</x:f>
      </x:c>
      <x:c r="U52" s="19" t="str">
        <x:f>IF(B52&lt;&gt;"",SUMIFS(RECORD!E61:EP61,RECORD!E$12:EP$12,"CLO3",RECORD!E$11:EP$11,"Final"),"")</x:f>
      </x:c>
      <x:c r="V52" s="19" t="str">
        <x:f>IF(B52&lt;&gt;"",SUMIFS(RECORD!E$13:EP$13,RECORD!E$12:EP$12,"CLO3",RECORD!E$11:EP$11,"Final"),"")</x:f>
      </x:c>
      <x:c r="W52" s="20" t="str">
        <x:f t="shared" si="7"/>
      </x:c>
      <x:c r="X52" s="19" t="str">
        <x:f>IF(B52&lt;&gt;"",SUMIFS(RECORD!E61:EP61,RECORD!E$12:EP$12,"CLO4",RECORD!E$11:EP$11,"Prelim"),"")</x:f>
      </x:c>
      <x:c r="Y52" s="19" t="str">
        <x:f>IF(B52&lt;&gt;"",SUMIFS(RECORD!E$13:EP$13,RECORD!E$12:EP$12,"CLO4",RECORD!E$11:EP$11,"Prelim"),"")</x:f>
      </x:c>
      <x:c r="Z52" s="19" t="str">
        <x:f>IF(B52&lt;&gt;"",SUMIFS(RECORD!E61:EP61,RECORD!E$12:EP$12,"CLO4",RECORD!E$11:EP$11,"Midterm"),"")</x:f>
      </x:c>
      <x:c r="AA52" s="19" t="str">
        <x:f>IF(B52&lt;&gt;"",SUMIFS(RECORD!E$13:EP$13,RECORD!E$12:EP$12,"CLO4",RECORD!E$11:EP$11,"Midterm"),"")</x:f>
      </x:c>
      <x:c r="AB52" s="19" t="str">
        <x:f>IF(B52&lt;&gt;"",SUMIFS(RECORD!E61:EP61,RECORD!E$12:EP$12,"CLO4",RECORD!E$11:EP$11,"Final"),"")</x:f>
      </x:c>
      <x:c r="AC52" s="19" t="str">
        <x:f>IF(B52&lt;&gt;"",SUMIFS(RECORD!E$13:EP$13,RECORD!E$12:EP$12,"CLO4",RECORD!E$11:EP$11,"Final"),"")</x:f>
      </x:c>
      <x:c r="AD52" s="20" t="str">
        <x:f t="shared" si="8"/>
      </x:c>
      <x:c r="AE52" s="19" t="str">
        <x:f>IF(B52&lt;&gt;"",SUMIFS(RECORD!E61:EP61,RECORD!E$12:EP$12,"CLO5",RECORD!E$11:EP$11,"Prelim"),"")</x:f>
      </x:c>
      <x:c r="AF52" s="19" t="str">
        <x:f>IF(B52&lt;&gt;"",SUMIFS(RECORD!E$13:EP$13,RECORD!E$12:EP$12,"CLO5",RECORD!E$11:EP$11,"Prelim"),"")</x:f>
      </x:c>
      <x:c r="AG52" s="19" t="str">
        <x:f>IF(B52&lt;&gt;"",SUMIFS(RECORD!E61:EP61,RECORD!E$12:EP$12,"CLO5",RECORD!E$11:EP$11,"Midterm"),"")</x:f>
      </x:c>
      <x:c r="AH52" s="19" t="str">
        <x:f>IF(B52&lt;&gt;"",SUMIFS(RECORD!E$13:EP$13,RECORD!E$12:EP$12,"CLO5",RECORD!E$11:EP$11,"Midterm"),"")</x:f>
      </x:c>
      <x:c r="AI52" s="19" t="str">
        <x:f>IF(B52&lt;&gt;"",SUMIFS(RECORD!E61:EP61,RECORD!E$12:EP$12,"CLO5",RECORD!E$11:EP$11,"Final"),"")</x:f>
      </x:c>
      <x:c r="AJ52" s="19" t="str">
        <x:f>IF(B52&lt;&gt;"",SUMIFS(RECORD!E$13:EP$13,RECORD!E$12:EP$12,"CLO5",RECORD!E$11:EP$11,"Final"),"")</x:f>
      </x:c>
      <x:c r="AK52" s="20" t="str">
        <x:f t="shared" si="9"/>
      </x:c>
    </x:row>
    <x:row r="53">
      <x:c r="A53" s="18" t="str">
        <x:f>IF(RECORD!B62="","",RECORD!B62)</x:f>
      </x:c>
      <x:c r="B53" s="18" t="str">
        <x:f>IF(RECORD!C62="","",RECORD!C62)</x:f>
      </x:c>
      <x:c r="C53" s="19" t="str">
        <x:f>IF(B53&lt;&gt;"",SUMIFS(RECORD!E62:EP62,RECORD!E$12:EP$12,"CLO1",RECORD!E$11:EP$11,"Prelim"),"")</x:f>
      </x:c>
      <x:c r="D53" s="19" t="str">
        <x:f>IF(B53&lt;&gt;"",SUMIFS(RECORD!E$13:EP$13,RECORD!E$12:EP$12,"CLO1",RECORD!E$11:EP$11,"Prelim"),"")</x:f>
      </x:c>
      <x:c r="E53" s="19" t="str">
        <x:f>IF(B53&lt;&gt;"",SUMIFS(RECORD!E62:EP62,RECORD!E$12:EP$12,"CLO1",RECORD!E$11:EP$11,"Midterm"),"")</x:f>
      </x:c>
      <x:c r="F53" s="19" t="str">
        <x:f>IF(B53&lt;&gt;"",SUMIFS(RECORD!E$13:EP$13,RECORD!E$12:EP$12,"CLO1",RECORD!E$11:EP$11,"Midterm"),"")</x:f>
      </x:c>
      <x:c r="G53" s="19" t="str">
        <x:f>IF(B53&lt;&gt;"",SUMIFS(RECORD!E62:EP62,RECORD!E$12:EP$12,"CLO1",RECORD!E$11:EP$11,"Final"),"")</x:f>
      </x:c>
      <x:c r="H53" s="19" t="str">
        <x:f>IF(B53&lt;&gt;"",SUMIFS(RECORD!E$13:EP$13,RECORD!E$12:EP$12,"CLO1",RECORD!E$11:EP$11,"Final"),"")</x:f>
      </x:c>
      <x:c r="I53" s="20" t="str">
        <x:f t="shared" si="5"/>
      </x:c>
      <x:c r="J53" s="19" t="str">
        <x:f>IF(B53&lt;&gt;"",SUMIFS(RECORD!E62:EP62,RECORD!E$12:EP$12,"CLO2",RECORD!E$11:EP$11,"Prelim"),"")</x:f>
      </x:c>
      <x:c r="K53" s="19" t="str">
        <x:f>IF(B53&lt;&gt;"",SUMIFS(RECORD!E$13:EP$13,RECORD!E$12:EP$12,"CLO2",RECORD!E$11:EP$11,"Prelim"),"")</x:f>
      </x:c>
      <x:c r="L53" s="19" t="str">
        <x:f>IF(B53&lt;&gt;"",SUMIFS(RECORD!E62:EP62,RECORD!E$12:EP$12,"CLO2",RECORD!E$11:EP$11,"Midterm"),"")</x:f>
      </x:c>
      <x:c r="M53" s="19" t="str">
        <x:f>IF(B53&lt;&gt;"",SUMIFS(RECORD!E$13:EP$13,RECORD!E$12:EP$12,"CLO2",RECORD!E$11:EP$11,"Midterm"),"")</x:f>
      </x:c>
      <x:c r="N53" s="19" t="str">
        <x:f>IF(B53&lt;&gt;"",SUMIFS(RECORD!E62:EP62,RECORD!E$12:EP$12,"CLO2",RECORD!E$11:EP$11,"Final"),"")</x:f>
      </x:c>
      <x:c r="O53" s="19" t="str">
        <x:f>IF(B53&lt;&gt;"",SUMIFS(RECORD!E$13:EP$13,RECORD!E$12:EP$12,"CLO2",RECORD!E$11:EP$11,"Final"),"")</x:f>
      </x:c>
      <x:c r="P53" s="20" t="str">
        <x:f t="shared" si="6"/>
      </x:c>
      <x:c r="Q53" s="19" t="str">
        <x:f>IF(B53&lt;&gt;"",SUMIFS(RECORD!E62:EP62,RECORD!E$12:EP$12,"CLO3",RECORD!E$11:EP$11,"Prelim"),"")</x:f>
      </x:c>
      <x:c r="R53" s="19" t="str">
        <x:f>IF(B53&lt;&gt;"",SUMIFS(RECORD!E$13:EP$13,RECORD!E$12:EP$12,"CLO3",RECORD!E$11:EP$11,"Prelim"),"")</x:f>
      </x:c>
      <x:c r="S53" s="19" t="str">
        <x:f>IF(B53&lt;&gt;"",SUMIFS(RECORD!E62:EP62,RECORD!E$12:EP$12,"CLO3",RECORD!E$11:EP$11,"Midterm"),"")</x:f>
      </x:c>
      <x:c r="T53" s="19" t="str">
        <x:f>IF(B53&lt;&gt;"",SUMIFS(RECORD!E$13:EP$13,RECORD!E$12:EP$12,"CLO3",RECORD!E$11:EP$11,"Midterm"),"")</x:f>
      </x:c>
      <x:c r="U53" s="19" t="str">
        <x:f>IF(B53&lt;&gt;"",SUMIFS(RECORD!E62:EP62,RECORD!E$12:EP$12,"CLO3",RECORD!E$11:EP$11,"Final"),"")</x:f>
      </x:c>
      <x:c r="V53" s="19" t="str">
        <x:f>IF(B53&lt;&gt;"",SUMIFS(RECORD!E$13:EP$13,RECORD!E$12:EP$12,"CLO3",RECORD!E$11:EP$11,"Final"),"")</x:f>
      </x:c>
      <x:c r="W53" s="20" t="str">
        <x:f t="shared" si="7"/>
      </x:c>
      <x:c r="X53" s="19" t="str">
        <x:f>IF(B53&lt;&gt;"",SUMIFS(RECORD!E62:EP62,RECORD!E$12:EP$12,"CLO4",RECORD!E$11:EP$11,"Prelim"),"")</x:f>
      </x:c>
      <x:c r="Y53" s="19" t="str">
        <x:f>IF(B53&lt;&gt;"",SUMIFS(RECORD!E$13:EP$13,RECORD!E$12:EP$12,"CLO4",RECORD!E$11:EP$11,"Prelim"),"")</x:f>
      </x:c>
      <x:c r="Z53" s="19" t="str">
        <x:f>IF(B53&lt;&gt;"",SUMIFS(RECORD!E62:EP62,RECORD!E$12:EP$12,"CLO4",RECORD!E$11:EP$11,"Midterm"),"")</x:f>
      </x:c>
      <x:c r="AA53" s="19" t="str">
        <x:f>IF(B53&lt;&gt;"",SUMIFS(RECORD!E$13:EP$13,RECORD!E$12:EP$12,"CLO4",RECORD!E$11:EP$11,"Midterm"),"")</x:f>
      </x:c>
      <x:c r="AB53" s="19" t="str">
        <x:f>IF(B53&lt;&gt;"",SUMIFS(RECORD!E62:EP62,RECORD!E$12:EP$12,"CLO4",RECORD!E$11:EP$11,"Final"),"")</x:f>
      </x:c>
      <x:c r="AC53" s="19" t="str">
        <x:f>IF(B53&lt;&gt;"",SUMIFS(RECORD!E$13:EP$13,RECORD!E$12:EP$12,"CLO4",RECORD!E$11:EP$11,"Final"),"")</x:f>
      </x:c>
      <x:c r="AD53" s="20" t="str">
        <x:f t="shared" si="8"/>
      </x:c>
      <x:c r="AE53" s="19" t="str">
        <x:f>IF(B53&lt;&gt;"",SUMIFS(RECORD!E62:EP62,RECORD!E$12:EP$12,"CLO5",RECORD!E$11:EP$11,"Prelim"),"")</x:f>
      </x:c>
      <x:c r="AF53" s="19" t="str">
        <x:f>IF(B53&lt;&gt;"",SUMIFS(RECORD!E$13:EP$13,RECORD!E$12:EP$12,"CLO5",RECORD!E$11:EP$11,"Prelim"),"")</x:f>
      </x:c>
      <x:c r="AG53" s="19" t="str">
        <x:f>IF(B53&lt;&gt;"",SUMIFS(RECORD!E62:EP62,RECORD!E$12:EP$12,"CLO5",RECORD!E$11:EP$11,"Midterm"),"")</x:f>
      </x:c>
      <x:c r="AH53" s="19" t="str">
        <x:f>IF(B53&lt;&gt;"",SUMIFS(RECORD!E$13:EP$13,RECORD!E$12:EP$12,"CLO5",RECORD!E$11:EP$11,"Midterm"),"")</x:f>
      </x:c>
      <x:c r="AI53" s="19" t="str">
        <x:f>IF(B53&lt;&gt;"",SUMIFS(RECORD!E62:EP62,RECORD!E$12:EP$12,"CLO5",RECORD!E$11:EP$11,"Final"),"")</x:f>
      </x:c>
      <x:c r="AJ53" s="19" t="str">
        <x:f>IF(B53&lt;&gt;"",SUMIFS(RECORD!E$13:EP$13,RECORD!E$12:EP$12,"CLO5",RECORD!E$11:EP$11,"Final"),"")</x:f>
      </x:c>
      <x:c r="AK53" s="20" t="str">
        <x:f t="shared" si="9"/>
      </x:c>
    </x:row>
    <x:row r="54">
      <x:c r="A54" s="18" t="str">
        <x:f>IF(RECORD!B63="","",RECORD!B63)</x:f>
      </x:c>
      <x:c r="B54" s="18" t="str">
        <x:f>IF(RECORD!C63="","",RECORD!C63)</x:f>
      </x:c>
      <x:c r="C54" s="19" t="str">
        <x:f>IF(B54&lt;&gt;"",SUMIFS(RECORD!E63:EP63,RECORD!E$12:EP$12,"CLO1",RECORD!E$11:EP$11,"Prelim"),"")</x:f>
      </x:c>
      <x:c r="D54" s="19" t="str">
        <x:f>IF(B54&lt;&gt;"",SUMIFS(RECORD!E$13:EP$13,RECORD!E$12:EP$12,"CLO1",RECORD!E$11:EP$11,"Prelim"),"")</x:f>
      </x:c>
      <x:c r="E54" s="19" t="str">
        <x:f>IF(B54&lt;&gt;"",SUMIFS(RECORD!E63:EP63,RECORD!E$12:EP$12,"CLO1",RECORD!E$11:EP$11,"Midterm"),"")</x:f>
      </x:c>
      <x:c r="F54" s="19" t="str">
        <x:f>IF(B54&lt;&gt;"",SUMIFS(RECORD!E$13:EP$13,RECORD!E$12:EP$12,"CLO1",RECORD!E$11:EP$11,"Midterm"),"")</x:f>
      </x:c>
      <x:c r="G54" s="19" t="str">
        <x:f>IF(B54&lt;&gt;"",SUMIFS(RECORD!E63:EP63,RECORD!E$12:EP$12,"CLO1",RECORD!E$11:EP$11,"Final"),"")</x:f>
      </x:c>
      <x:c r="H54" s="19" t="str">
        <x:f>IF(B54&lt;&gt;"",SUMIFS(RECORD!E$13:EP$13,RECORD!E$12:EP$12,"CLO1",RECORD!E$11:EP$11,"Final"),"")</x:f>
      </x:c>
      <x:c r="I54" s="20" t="str">
        <x:f t="shared" si="5"/>
      </x:c>
      <x:c r="J54" s="19" t="str">
        <x:f>IF(B54&lt;&gt;"",SUMIFS(RECORD!E63:EP63,RECORD!E$12:EP$12,"CLO2",RECORD!E$11:EP$11,"Prelim"),"")</x:f>
      </x:c>
      <x:c r="K54" s="19" t="str">
        <x:f>IF(B54&lt;&gt;"",SUMIFS(RECORD!E$13:EP$13,RECORD!E$12:EP$12,"CLO2",RECORD!E$11:EP$11,"Prelim"),"")</x:f>
      </x:c>
      <x:c r="L54" s="19" t="str">
        <x:f>IF(B54&lt;&gt;"",SUMIFS(RECORD!E63:EP63,RECORD!E$12:EP$12,"CLO2",RECORD!E$11:EP$11,"Midterm"),"")</x:f>
      </x:c>
      <x:c r="M54" s="19" t="str">
        <x:f>IF(B54&lt;&gt;"",SUMIFS(RECORD!E$13:EP$13,RECORD!E$12:EP$12,"CLO2",RECORD!E$11:EP$11,"Midterm"),"")</x:f>
      </x:c>
      <x:c r="N54" s="19" t="str">
        <x:f>IF(B54&lt;&gt;"",SUMIFS(RECORD!E63:EP63,RECORD!E$12:EP$12,"CLO2",RECORD!E$11:EP$11,"Final"),"")</x:f>
      </x:c>
      <x:c r="O54" s="19" t="str">
        <x:f>IF(B54&lt;&gt;"",SUMIFS(RECORD!E$13:EP$13,RECORD!E$12:EP$12,"CLO2",RECORD!E$11:EP$11,"Final"),"")</x:f>
      </x:c>
      <x:c r="P54" s="20" t="str">
        <x:f t="shared" si="6"/>
      </x:c>
      <x:c r="Q54" s="19" t="str">
        <x:f>IF(B54&lt;&gt;"",SUMIFS(RECORD!E63:EP63,RECORD!E$12:EP$12,"CLO3",RECORD!E$11:EP$11,"Prelim"),"")</x:f>
      </x:c>
      <x:c r="R54" s="19" t="str">
        <x:f>IF(B54&lt;&gt;"",SUMIFS(RECORD!E$13:EP$13,RECORD!E$12:EP$12,"CLO3",RECORD!E$11:EP$11,"Prelim"),"")</x:f>
      </x:c>
      <x:c r="S54" s="19" t="str">
        <x:f>IF(B54&lt;&gt;"",SUMIFS(RECORD!E63:EP63,RECORD!E$12:EP$12,"CLO3",RECORD!E$11:EP$11,"Midterm"),"")</x:f>
      </x:c>
      <x:c r="T54" s="19" t="str">
        <x:f>IF(B54&lt;&gt;"",SUMIFS(RECORD!E$13:EP$13,RECORD!E$12:EP$12,"CLO3",RECORD!E$11:EP$11,"Midterm"),"")</x:f>
      </x:c>
      <x:c r="U54" s="19" t="str">
        <x:f>IF(B54&lt;&gt;"",SUMIFS(RECORD!E63:EP63,RECORD!E$12:EP$12,"CLO3",RECORD!E$11:EP$11,"Final"),"")</x:f>
      </x:c>
      <x:c r="V54" s="19" t="str">
        <x:f>IF(B54&lt;&gt;"",SUMIFS(RECORD!E$13:EP$13,RECORD!E$12:EP$12,"CLO3",RECORD!E$11:EP$11,"Final"),"")</x:f>
      </x:c>
      <x:c r="W54" s="20" t="str">
        <x:f t="shared" si="7"/>
      </x:c>
      <x:c r="X54" s="19" t="str">
        <x:f>IF(B54&lt;&gt;"",SUMIFS(RECORD!E63:EP63,RECORD!E$12:EP$12,"CLO4",RECORD!E$11:EP$11,"Prelim"),"")</x:f>
      </x:c>
      <x:c r="Y54" s="19" t="str">
        <x:f>IF(B54&lt;&gt;"",SUMIFS(RECORD!E$13:EP$13,RECORD!E$12:EP$12,"CLO4",RECORD!E$11:EP$11,"Prelim"),"")</x:f>
      </x:c>
      <x:c r="Z54" s="19" t="str">
        <x:f>IF(B54&lt;&gt;"",SUMIFS(RECORD!E63:EP63,RECORD!E$12:EP$12,"CLO4",RECORD!E$11:EP$11,"Midterm"),"")</x:f>
      </x:c>
      <x:c r="AA54" s="19" t="str">
        <x:f>IF(B54&lt;&gt;"",SUMIFS(RECORD!E$13:EP$13,RECORD!E$12:EP$12,"CLO4",RECORD!E$11:EP$11,"Midterm"),"")</x:f>
      </x:c>
      <x:c r="AB54" s="19" t="str">
        <x:f>IF(B54&lt;&gt;"",SUMIFS(RECORD!E63:EP63,RECORD!E$12:EP$12,"CLO4",RECORD!E$11:EP$11,"Final"),"")</x:f>
      </x:c>
      <x:c r="AC54" s="19" t="str">
        <x:f>IF(B54&lt;&gt;"",SUMIFS(RECORD!E$13:EP$13,RECORD!E$12:EP$12,"CLO4",RECORD!E$11:EP$11,"Final"),"")</x:f>
      </x:c>
      <x:c r="AD54" s="20" t="str">
        <x:f t="shared" si="8"/>
      </x:c>
      <x:c r="AE54" s="19" t="str">
        <x:f>IF(B54&lt;&gt;"",SUMIFS(RECORD!E63:EP63,RECORD!E$12:EP$12,"CLO5",RECORD!E$11:EP$11,"Prelim"),"")</x:f>
      </x:c>
      <x:c r="AF54" s="19" t="str">
        <x:f>IF(B54&lt;&gt;"",SUMIFS(RECORD!E$13:EP$13,RECORD!E$12:EP$12,"CLO5",RECORD!E$11:EP$11,"Prelim"),"")</x:f>
      </x:c>
      <x:c r="AG54" s="19" t="str">
        <x:f>IF(B54&lt;&gt;"",SUMIFS(RECORD!E63:EP63,RECORD!E$12:EP$12,"CLO5",RECORD!E$11:EP$11,"Midterm"),"")</x:f>
      </x:c>
      <x:c r="AH54" s="19" t="str">
        <x:f>IF(B54&lt;&gt;"",SUMIFS(RECORD!E$13:EP$13,RECORD!E$12:EP$12,"CLO5",RECORD!E$11:EP$11,"Midterm"),"")</x:f>
      </x:c>
      <x:c r="AI54" s="19" t="str">
        <x:f>IF(B54&lt;&gt;"",SUMIFS(RECORD!E63:EP63,RECORD!E$12:EP$12,"CLO5",RECORD!E$11:EP$11,"Final"),"")</x:f>
      </x:c>
      <x:c r="AJ54" s="19" t="str">
        <x:f>IF(B54&lt;&gt;"",SUMIFS(RECORD!E$13:EP$13,RECORD!E$12:EP$12,"CLO5",RECORD!E$11:EP$11,"Final"),"")</x:f>
      </x:c>
      <x:c r="AK54" s="20" t="str">
        <x:f t="shared" si="9"/>
      </x:c>
    </x:row>
    <x:row r="55">
      <x:c r="A55" s="18" t="str">
        <x:f>IF(RECORD!B64="","",RECORD!B64)</x:f>
      </x:c>
      <x:c r="B55" s="18" t="str">
        <x:f>IF(RECORD!C64="","",RECORD!C64)</x:f>
      </x:c>
      <x:c r="C55" s="19" t="str">
        <x:f>IF(B55&lt;&gt;"",SUMIFS(RECORD!E64:EP64,RECORD!E$12:EP$12,"CLO1",RECORD!E$11:EP$11,"Prelim"),"")</x:f>
      </x:c>
      <x:c r="D55" s="19" t="str">
        <x:f>IF(B55&lt;&gt;"",SUMIFS(RECORD!E$13:EP$13,RECORD!E$12:EP$12,"CLO1",RECORD!E$11:EP$11,"Prelim"),"")</x:f>
      </x:c>
      <x:c r="E55" s="19" t="str">
        <x:f>IF(B55&lt;&gt;"",SUMIFS(RECORD!E64:EP64,RECORD!E$12:EP$12,"CLO1",RECORD!E$11:EP$11,"Midterm"),"")</x:f>
      </x:c>
      <x:c r="F55" s="19" t="str">
        <x:f>IF(B55&lt;&gt;"",SUMIFS(RECORD!E$13:EP$13,RECORD!E$12:EP$12,"CLO1",RECORD!E$11:EP$11,"Midterm"),"")</x:f>
      </x:c>
      <x:c r="G55" s="19" t="str">
        <x:f>IF(B55&lt;&gt;"",SUMIFS(RECORD!E64:EP64,RECORD!E$12:EP$12,"CLO1",RECORD!E$11:EP$11,"Final"),"")</x:f>
      </x:c>
      <x:c r="H55" s="19" t="str">
        <x:f>IF(B55&lt;&gt;"",SUMIFS(RECORD!E$13:EP$13,RECORD!E$12:EP$12,"CLO1",RECORD!E$11:EP$11,"Final"),"")</x:f>
      </x:c>
      <x:c r="I55" s="20" t="str">
        <x:f t="shared" si="5"/>
      </x:c>
      <x:c r="J55" s="19" t="str">
        <x:f>IF(B55&lt;&gt;"",SUMIFS(RECORD!E64:EP64,RECORD!E$12:EP$12,"CLO2",RECORD!E$11:EP$11,"Prelim"),"")</x:f>
      </x:c>
      <x:c r="K55" s="19" t="str">
        <x:f>IF(B55&lt;&gt;"",SUMIFS(RECORD!E$13:EP$13,RECORD!E$12:EP$12,"CLO2",RECORD!E$11:EP$11,"Prelim"),"")</x:f>
      </x:c>
      <x:c r="L55" s="19" t="str">
        <x:f>IF(B55&lt;&gt;"",SUMIFS(RECORD!E64:EP64,RECORD!E$12:EP$12,"CLO2",RECORD!E$11:EP$11,"Midterm"),"")</x:f>
      </x:c>
      <x:c r="M55" s="19" t="str">
        <x:f>IF(B55&lt;&gt;"",SUMIFS(RECORD!E$13:EP$13,RECORD!E$12:EP$12,"CLO2",RECORD!E$11:EP$11,"Midterm"),"")</x:f>
      </x:c>
      <x:c r="N55" s="19" t="str">
        <x:f>IF(B55&lt;&gt;"",SUMIFS(RECORD!E64:EP64,RECORD!E$12:EP$12,"CLO2",RECORD!E$11:EP$11,"Final"),"")</x:f>
      </x:c>
      <x:c r="O55" s="19" t="str">
        <x:f>IF(B55&lt;&gt;"",SUMIFS(RECORD!E$13:EP$13,RECORD!E$12:EP$12,"CLO2",RECORD!E$11:EP$11,"Final"),"")</x:f>
      </x:c>
      <x:c r="P55" s="20" t="str">
        <x:f t="shared" si="6"/>
      </x:c>
      <x:c r="Q55" s="19" t="str">
        <x:f>IF(B55&lt;&gt;"",SUMIFS(RECORD!E64:EP64,RECORD!E$12:EP$12,"CLO3",RECORD!E$11:EP$11,"Prelim"),"")</x:f>
      </x:c>
      <x:c r="R55" s="19" t="str">
        <x:f>IF(B55&lt;&gt;"",SUMIFS(RECORD!E$13:EP$13,RECORD!E$12:EP$12,"CLO3",RECORD!E$11:EP$11,"Prelim"),"")</x:f>
      </x:c>
      <x:c r="S55" s="19" t="str">
        <x:f>IF(B55&lt;&gt;"",SUMIFS(RECORD!E64:EP64,RECORD!E$12:EP$12,"CLO3",RECORD!E$11:EP$11,"Midterm"),"")</x:f>
      </x:c>
      <x:c r="T55" s="19" t="str">
        <x:f>IF(B55&lt;&gt;"",SUMIFS(RECORD!E$13:EP$13,RECORD!E$12:EP$12,"CLO3",RECORD!E$11:EP$11,"Midterm"),"")</x:f>
      </x:c>
      <x:c r="U55" s="19" t="str">
        <x:f>IF(B55&lt;&gt;"",SUMIFS(RECORD!E64:EP64,RECORD!E$12:EP$12,"CLO3",RECORD!E$11:EP$11,"Final"),"")</x:f>
      </x:c>
      <x:c r="V55" s="19" t="str">
        <x:f>IF(B55&lt;&gt;"",SUMIFS(RECORD!E$13:EP$13,RECORD!E$12:EP$12,"CLO3",RECORD!E$11:EP$11,"Final"),"")</x:f>
      </x:c>
      <x:c r="W55" s="20" t="str">
        <x:f t="shared" si="7"/>
      </x:c>
      <x:c r="X55" s="19" t="str">
        <x:f>IF(B55&lt;&gt;"",SUMIFS(RECORD!E64:EP64,RECORD!E$12:EP$12,"CLO4",RECORD!E$11:EP$11,"Prelim"),"")</x:f>
      </x:c>
      <x:c r="Y55" s="19" t="str">
        <x:f>IF(B55&lt;&gt;"",SUMIFS(RECORD!E$13:EP$13,RECORD!E$12:EP$12,"CLO4",RECORD!E$11:EP$11,"Prelim"),"")</x:f>
      </x:c>
      <x:c r="Z55" s="19" t="str">
        <x:f>IF(B55&lt;&gt;"",SUMIFS(RECORD!E64:EP64,RECORD!E$12:EP$12,"CLO4",RECORD!E$11:EP$11,"Midterm"),"")</x:f>
      </x:c>
      <x:c r="AA55" s="19" t="str">
        <x:f>IF(B55&lt;&gt;"",SUMIFS(RECORD!E$13:EP$13,RECORD!E$12:EP$12,"CLO4",RECORD!E$11:EP$11,"Midterm"),"")</x:f>
      </x:c>
      <x:c r="AB55" s="19" t="str">
        <x:f>IF(B55&lt;&gt;"",SUMIFS(RECORD!E64:EP64,RECORD!E$12:EP$12,"CLO4",RECORD!E$11:EP$11,"Final"),"")</x:f>
      </x:c>
      <x:c r="AC55" s="19" t="str">
        <x:f>IF(B55&lt;&gt;"",SUMIFS(RECORD!E$13:EP$13,RECORD!E$12:EP$12,"CLO4",RECORD!E$11:EP$11,"Final"),"")</x:f>
      </x:c>
      <x:c r="AD55" s="20" t="str">
        <x:f t="shared" si="8"/>
      </x:c>
      <x:c r="AE55" s="19" t="str">
        <x:f>IF(B55&lt;&gt;"",SUMIFS(RECORD!E64:EP64,RECORD!E$12:EP$12,"CLO5",RECORD!E$11:EP$11,"Prelim"),"")</x:f>
      </x:c>
      <x:c r="AF55" s="19" t="str">
        <x:f>IF(B55&lt;&gt;"",SUMIFS(RECORD!E$13:EP$13,RECORD!E$12:EP$12,"CLO5",RECORD!E$11:EP$11,"Prelim"),"")</x:f>
      </x:c>
      <x:c r="AG55" s="19" t="str">
        <x:f>IF(B55&lt;&gt;"",SUMIFS(RECORD!E64:EP64,RECORD!E$12:EP$12,"CLO5",RECORD!E$11:EP$11,"Midterm"),"")</x:f>
      </x:c>
      <x:c r="AH55" s="19" t="str">
        <x:f>IF(B55&lt;&gt;"",SUMIFS(RECORD!E$13:EP$13,RECORD!E$12:EP$12,"CLO5",RECORD!E$11:EP$11,"Midterm"),"")</x:f>
      </x:c>
      <x:c r="AI55" s="19" t="str">
        <x:f>IF(B55&lt;&gt;"",SUMIFS(RECORD!E64:EP64,RECORD!E$12:EP$12,"CLO5",RECORD!E$11:EP$11,"Final"),"")</x:f>
      </x:c>
      <x:c r="AJ55" s="19" t="str">
        <x:f>IF(B55&lt;&gt;"",SUMIFS(RECORD!E$13:EP$13,RECORD!E$12:EP$12,"CLO5",RECORD!E$11:EP$11,"Final"),"")</x:f>
      </x:c>
      <x:c r="AK55" s="20" t="str">
        <x:f t="shared" si="9"/>
      </x:c>
    </x:row>
    <x:row r="56">
      <x:c r="A56" s="18" t="str">
        <x:f>IF(RECORD!B65="","",RECORD!B65)</x:f>
      </x:c>
      <x:c r="B56" s="18" t="str">
        <x:f>IF(RECORD!C65="","",RECORD!C65)</x:f>
      </x:c>
      <x:c r="C56" s="19" t="str">
        <x:f>IF(B56&lt;&gt;"",SUMIFS(RECORD!E65:EP65,RECORD!E$12:EP$12,"CLO1",RECORD!E$11:EP$11,"Prelim"),"")</x:f>
      </x:c>
      <x:c r="D56" s="19" t="str">
        <x:f>IF(B56&lt;&gt;"",SUMIFS(RECORD!E$13:EP$13,RECORD!E$12:EP$12,"CLO1",RECORD!E$11:EP$11,"Prelim"),"")</x:f>
      </x:c>
      <x:c r="E56" s="19" t="str">
        <x:f>IF(B56&lt;&gt;"",SUMIFS(RECORD!E65:EP65,RECORD!E$12:EP$12,"CLO1",RECORD!E$11:EP$11,"Midterm"),"")</x:f>
      </x:c>
      <x:c r="F56" s="19" t="str">
        <x:f>IF(B56&lt;&gt;"",SUMIFS(RECORD!E$13:EP$13,RECORD!E$12:EP$12,"CLO1",RECORD!E$11:EP$11,"Midterm"),"")</x:f>
      </x:c>
      <x:c r="G56" s="19" t="str">
        <x:f>IF(B56&lt;&gt;"",SUMIFS(RECORD!E65:EP65,RECORD!E$12:EP$12,"CLO1",RECORD!E$11:EP$11,"Final"),"")</x:f>
      </x:c>
      <x:c r="H56" s="19" t="str">
        <x:f>IF(B56&lt;&gt;"",SUMIFS(RECORD!E$13:EP$13,RECORD!E$12:EP$12,"CLO1",RECORD!E$11:EP$11,"Final"),"")</x:f>
      </x:c>
      <x:c r="I56" s="20" t="str">
        <x:f t="shared" si="5"/>
      </x:c>
      <x:c r="J56" s="19" t="str">
        <x:f>IF(B56&lt;&gt;"",SUMIFS(RECORD!E65:EP65,RECORD!E$12:EP$12,"CLO2",RECORD!E$11:EP$11,"Prelim"),"")</x:f>
      </x:c>
      <x:c r="K56" s="19" t="str">
        <x:f>IF(B56&lt;&gt;"",SUMIFS(RECORD!E$13:EP$13,RECORD!E$12:EP$12,"CLO2",RECORD!E$11:EP$11,"Prelim"),"")</x:f>
      </x:c>
      <x:c r="L56" s="19" t="str">
        <x:f>IF(B56&lt;&gt;"",SUMIFS(RECORD!E65:EP65,RECORD!E$12:EP$12,"CLO2",RECORD!E$11:EP$11,"Midterm"),"")</x:f>
      </x:c>
      <x:c r="M56" s="19" t="str">
        <x:f>IF(B56&lt;&gt;"",SUMIFS(RECORD!E$13:EP$13,RECORD!E$12:EP$12,"CLO2",RECORD!E$11:EP$11,"Midterm"),"")</x:f>
      </x:c>
      <x:c r="N56" s="19" t="str">
        <x:f>IF(B56&lt;&gt;"",SUMIFS(RECORD!E65:EP65,RECORD!E$12:EP$12,"CLO2",RECORD!E$11:EP$11,"Final"),"")</x:f>
      </x:c>
      <x:c r="O56" s="19" t="str">
        <x:f>IF(B56&lt;&gt;"",SUMIFS(RECORD!E$13:EP$13,RECORD!E$12:EP$12,"CLO2",RECORD!E$11:EP$11,"Final"),"")</x:f>
      </x:c>
      <x:c r="P56" s="20" t="str">
        <x:f t="shared" si="6"/>
      </x:c>
      <x:c r="Q56" s="19" t="str">
        <x:f>IF(B56&lt;&gt;"",SUMIFS(RECORD!E65:EP65,RECORD!E$12:EP$12,"CLO3",RECORD!E$11:EP$11,"Prelim"),"")</x:f>
      </x:c>
      <x:c r="R56" s="19" t="str">
        <x:f>IF(B56&lt;&gt;"",SUMIFS(RECORD!E$13:EP$13,RECORD!E$12:EP$12,"CLO3",RECORD!E$11:EP$11,"Prelim"),"")</x:f>
      </x:c>
      <x:c r="S56" s="19" t="str">
        <x:f>IF(B56&lt;&gt;"",SUMIFS(RECORD!E65:EP65,RECORD!E$12:EP$12,"CLO3",RECORD!E$11:EP$11,"Midterm"),"")</x:f>
      </x:c>
      <x:c r="T56" s="19" t="str">
        <x:f>IF(B56&lt;&gt;"",SUMIFS(RECORD!E$13:EP$13,RECORD!E$12:EP$12,"CLO3",RECORD!E$11:EP$11,"Midterm"),"")</x:f>
      </x:c>
      <x:c r="U56" s="19" t="str">
        <x:f>IF(B56&lt;&gt;"",SUMIFS(RECORD!E65:EP65,RECORD!E$12:EP$12,"CLO3",RECORD!E$11:EP$11,"Final"),"")</x:f>
      </x:c>
      <x:c r="V56" s="19" t="str">
        <x:f>IF(B56&lt;&gt;"",SUMIFS(RECORD!E$13:EP$13,RECORD!E$12:EP$12,"CLO3",RECORD!E$11:EP$11,"Final"),"")</x:f>
      </x:c>
      <x:c r="W56" s="20" t="str">
        <x:f t="shared" si="7"/>
      </x:c>
      <x:c r="X56" s="19" t="str">
        <x:f>IF(B56&lt;&gt;"",SUMIFS(RECORD!E65:EP65,RECORD!E$12:EP$12,"CLO4",RECORD!E$11:EP$11,"Prelim"),"")</x:f>
      </x:c>
      <x:c r="Y56" s="19" t="str">
        <x:f>IF(B56&lt;&gt;"",SUMIFS(RECORD!E$13:EP$13,RECORD!E$12:EP$12,"CLO4",RECORD!E$11:EP$11,"Prelim"),"")</x:f>
      </x:c>
      <x:c r="Z56" s="19" t="str">
        <x:f>IF(B56&lt;&gt;"",SUMIFS(RECORD!E65:EP65,RECORD!E$12:EP$12,"CLO4",RECORD!E$11:EP$11,"Midterm"),"")</x:f>
      </x:c>
      <x:c r="AA56" s="19" t="str">
        <x:f>IF(B56&lt;&gt;"",SUMIFS(RECORD!E$13:EP$13,RECORD!E$12:EP$12,"CLO4",RECORD!E$11:EP$11,"Midterm"),"")</x:f>
      </x:c>
      <x:c r="AB56" s="19" t="str">
        <x:f>IF(B56&lt;&gt;"",SUMIFS(RECORD!E65:EP65,RECORD!E$12:EP$12,"CLO4",RECORD!E$11:EP$11,"Final"),"")</x:f>
      </x:c>
      <x:c r="AC56" s="19" t="str">
        <x:f>IF(B56&lt;&gt;"",SUMIFS(RECORD!E$13:EP$13,RECORD!E$12:EP$12,"CLO4",RECORD!E$11:EP$11,"Final"),"")</x:f>
      </x:c>
      <x:c r="AD56" s="20" t="str">
        <x:f t="shared" si="8"/>
      </x:c>
      <x:c r="AE56" s="19" t="str">
        <x:f>IF(B56&lt;&gt;"",SUMIFS(RECORD!E65:EP65,RECORD!E$12:EP$12,"CLO5",RECORD!E$11:EP$11,"Prelim"),"")</x:f>
      </x:c>
      <x:c r="AF56" s="19" t="str">
        <x:f>IF(B56&lt;&gt;"",SUMIFS(RECORD!E$13:EP$13,RECORD!E$12:EP$12,"CLO5",RECORD!E$11:EP$11,"Prelim"),"")</x:f>
      </x:c>
      <x:c r="AG56" s="19" t="str">
        <x:f>IF(B56&lt;&gt;"",SUMIFS(RECORD!E65:EP65,RECORD!E$12:EP$12,"CLO5",RECORD!E$11:EP$11,"Midterm"),"")</x:f>
      </x:c>
      <x:c r="AH56" s="19" t="str">
        <x:f>IF(B56&lt;&gt;"",SUMIFS(RECORD!E$13:EP$13,RECORD!E$12:EP$12,"CLO5",RECORD!E$11:EP$11,"Midterm"),"")</x:f>
      </x:c>
      <x:c r="AI56" s="19" t="str">
        <x:f>IF(B56&lt;&gt;"",SUMIFS(RECORD!E65:EP65,RECORD!E$12:EP$12,"CLO5",RECORD!E$11:EP$11,"Final"),"")</x:f>
      </x:c>
      <x:c r="AJ56" s="19" t="str">
        <x:f>IF(B56&lt;&gt;"",SUMIFS(RECORD!E$13:EP$13,RECORD!E$12:EP$12,"CLO5",RECORD!E$11:EP$11,"Final"),"")</x:f>
      </x:c>
      <x:c r="AK56" s="20" t="str">
        <x:f t="shared" si="9"/>
      </x:c>
    </x:row>
    <x:row r="57">
      <x:c r="A57" s="18" t="str">
        <x:f>IF(RECORD!B66="","",RECORD!B66)</x:f>
      </x:c>
      <x:c r="B57" s="18" t="str">
        <x:f>IF(RECORD!C66="","",RECORD!C66)</x:f>
      </x:c>
      <x:c r="C57" s="19" t="str">
        <x:f>IF(B57&lt;&gt;"",SUMIFS(RECORD!E66:EP66,RECORD!E$12:EP$12,"CLO1",RECORD!E$11:EP$11,"Prelim"),"")</x:f>
      </x:c>
      <x:c r="D57" s="19" t="str">
        <x:f>IF(B57&lt;&gt;"",SUMIFS(RECORD!E$13:EP$13,RECORD!E$12:EP$12,"CLO1",RECORD!E$11:EP$11,"Prelim"),"")</x:f>
      </x:c>
      <x:c r="E57" s="19" t="str">
        <x:f>IF(B57&lt;&gt;"",SUMIFS(RECORD!E66:EP66,RECORD!E$12:EP$12,"CLO1",RECORD!E$11:EP$11,"Midterm"),"")</x:f>
      </x:c>
      <x:c r="F57" s="19" t="str">
        <x:f>IF(B57&lt;&gt;"",SUMIFS(RECORD!E$13:EP$13,RECORD!E$12:EP$12,"CLO1",RECORD!E$11:EP$11,"Midterm"),"")</x:f>
      </x:c>
      <x:c r="G57" s="19" t="str">
        <x:f>IF(B57&lt;&gt;"",SUMIFS(RECORD!E66:EP66,RECORD!E$12:EP$12,"CLO1",RECORD!E$11:EP$11,"Final"),"")</x:f>
      </x:c>
      <x:c r="H57" s="19" t="str">
        <x:f>IF(B57&lt;&gt;"",SUMIFS(RECORD!E$13:EP$13,RECORD!E$12:EP$12,"CLO1",RECORD!E$11:EP$11,"Final"),"")</x:f>
      </x:c>
      <x:c r="I57" s="20" t="str">
        <x:f t="shared" si="5"/>
      </x:c>
      <x:c r="J57" s="19" t="str">
        <x:f>IF(B57&lt;&gt;"",SUMIFS(RECORD!E66:EP66,RECORD!E$12:EP$12,"CLO2",RECORD!E$11:EP$11,"Prelim"),"")</x:f>
      </x:c>
      <x:c r="K57" s="19" t="str">
        <x:f>IF(B57&lt;&gt;"",SUMIFS(RECORD!E$13:EP$13,RECORD!E$12:EP$12,"CLO2",RECORD!E$11:EP$11,"Prelim"),"")</x:f>
      </x:c>
      <x:c r="L57" s="19" t="str">
        <x:f>IF(B57&lt;&gt;"",SUMIFS(RECORD!E66:EP66,RECORD!E$12:EP$12,"CLO2",RECORD!E$11:EP$11,"Midterm"),"")</x:f>
      </x:c>
      <x:c r="M57" s="19" t="str">
        <x:f>IF(B57&lt;&gt;"",SUMIFS(RECORD!E$13:EP$13,RECORD!E$12:EP$12,"CLO2",RECORD!E$11:EP$11,"Midterm"),"")</x:f>
      </x:c>
      <x:c r="N57" s="19" t="str">
        <x:f>IF(B57&lt;&gt;"",SUMIFS(RECORD!E66:EP66,RECORD!E$12:EP$12,"CLO2",RECORD!E$11:EP$11,"Final"),"")</x:f>
      </x:c>
      <x:c r="O57" s="19" t="str">
        <x:f>IF(B57&lt;&gt;"",SUMIFS(RECORD!E$13:EP$13,RECORD!E$12:EP$12,"CLO2",RECORD!E$11:EP$11,"Final"),"")</x:f>
      </x:c>
      <x:c r="P57" s="20" t="str">
        <x:f t="shared" si="6"/>
      </x:c>
      <x:c r="Q57" s="19" t="str">
        <x:f>IF(B57&lt;&gt;"",SUMIFS(RECORD!E66:EP66,RECORD!E$12:EP$12,"CLO3",RECORD!E$11:EP$11,"Prelim"),"")</x:f>
      </x:c>
      <x:c r="R57" s="19" t="str">
        <x:f>IF(B57&lt;&gt;"",SUMIFS(RECORD!E$13:EP$13,RECORD!E$12:EP$12,"CLO3",RECORD!E$11:EP$11,"Prelim"),"")</x:f>
      </x:c>
      <x:c r="S57" s="19" t="str">
        <x:f>IF(B57&lt;&gt;"",SUMIFS(RECORD!E66:EP66,RECORD!E$12:EP$12,"CLO3",RECORD!E$11:EP$11,"Midterm"),"")</x:f>
      </x:c>
      <x:c r="T57" s="19" t="str">
        <x:f>IF(B57&lt;&gt;"",SUMIFS(RECORD!E$13:EP$13,RECORD!E$12:EP$12,"CLO3",RECORD!E$11:EP$11,"Midterm"),"")</x:f>
      </x:c>
      <x:c r="U57" s="19" t="str">
        <x:f>IF(B57&lt;&gt;"",SUMIFS(RECORD!E66:EP66,RECORD!E$12:EP$12,"CLO3",RECORD!E$11:EP$11,"Final"),"")</x:f>
      </x:c>
      <x:c r="V57" s="19" t="str">
        <x:f>IF(B57&lt;&gt;"",SUMIFS(RECORD!E$13:EP$13,RECORD!E$12:EP$12,"CLO3",RECORD!E$11:EP$11,"Final"),"")</x:f>
      </x:c>
      <x:c r="W57" s="20" t="str">
        <x:f t="shared" si="7"/>
      </x:c>
      <x:c r="X57" s="19" t="str">
        <x:f>IF(B57&lt;&gt;"",SUMIFS(RECORD!E66:EP66,RECORD!E$12:EP$12,"CLO4",RECORD!E$11:EP$11,"Prelim"),"")</x:f>
      </x:c>
      <x:c r="Y57" s="19" t="str">
        <x:f>IF(B57&lt;&gt;"",SUMIFS(RECORD!E$13:EP$13,RECORD!E$12:EP$12,"CLO4",RECORD!E$11:EP$11,"Prelim"),"")</x:f>
      </x:c>
      <x:c r="Z57" s="19" t="str">
        <x:f>IF(B57&lt;&gt;"",SUMIFS(RECORD!E66:EP66,RECORD!E$12:EP$12,"CLO4",RECORD!E$11:EP$11,"Midterm"),"")</x:f>
      </x:c>
      <x:c r="AA57" s="19" t="str">
        <x:f>IF(B57&lt;&gt;"",SUMIFS(RECORD!E$13:EP$13,RECORD!E$12:EP$12,"CLO4",RECORD!E$11:EP$11,"Midterm"),"")</x:f>
      </x:c>
      <x:c r="AB57" s="19" t="str">
        <x:f>IF(B57&lt;&gt;"",SUMIFS(RECORD!E66:EP66,RECORD!E$12:EP$12,"CLO4",RECORD!E$11:EP$11,"Final"),"")</x:f>
      </x:c>
      <x:c r="AC57" s="19" t="str">
        <x:f>IF(B57&lt;&gt;"",SUMIFS(RECORD!E$13:EP$13,RECORD!E$12:EP$12,"CLO4",RECORD!E$11:EP$11,"Final"),"")</x:f>
      </x:c>
      <x:c r="AD57" s="20" t="str">
        <x:f t="shared" si="8"/>
      </x:c>
      <x:c r="AE57" s="19" t="str">
        <x:f>IF(B57&lt;&gt;"",SUMIFS(RECORD!E66:EP66,RECORD!E$12:EP$12,"CLO5",RECORD!E$11:EP$11,"Prelim"),"")</x:f>
      </x:c>
      <x:c r="AF57" s="19" t="str">
        <x:f>IF(B57&lt;&gt;"",SUMIFS(RECORD!E$13:EP$13,RECORD!E$12:EP$12,"CLO5",RECORD!E$11:EP$11,"Prelim"),"")</x:f>
      </x:c>
      <x:c r="AG57" s="19" t="str">
        <x:f>IF(B57&lt;&gt;"",SUMIFS(RECORD!E66:EP66,RECORD!E$12:EP$12,"CLO5",RECORD!E$11:EP$11,"Midterm"),"")</x:f>
      </x:c>
      <x:c r="AH57" s="19" t="str">
        <x:f>IF(B57&lt;&gt;"",SUMIFS(RECORD!E$13:EP$13,RECORD!E$12:EP$12,"CLO5",RECORD!E$11:EP$11,"Midterm"),"")</x:f>
      </x:c>
      <x:c r="AI57" s="19" t="str">
        <x:f>IF(B57&lt;&gt;"",SUMIFS(RECORD!E66:EP66,RECORD!E$12:EP$12,"CLO5",RECORD!E$11:EP$11,"Final"),"")</x:f>
      </x:c>
      <x:c r="AJ57" s="19" t="str">
        <x:f>IF(B57&lt;&gt;"",SUMIFS(RECORD!E$13:EP$13,RECORD!E$12:EP$12,"CLO5",RECORD!E$11:EP$11,"Final"),"")</x:f>
      </x:c>
      <x:c r="AK57" s="20" t="str">
        <x:f t="shared" si="9"/>
      </x:c>
    </x:row>
    <x:row r="58">
      <x:c r="A58" s="18" t="str">
        <x:f>IF(RECORD!B67="","",RECORD!B67)</x:f>
      </x:c>
      <x:c r="B58" s="18" t="str">
        <x:f>IF(RECORD!C67="","",RECORD!C67)</x:f>
      </x:c>
      <x:c r="C58" s="19" t="str">
        <x:f>IF(B58&lt;&gt;"",SUMIFS(RECORD!E67:EP67,RECORD!E$12:EP$12,"CLO1",RECORD!E$11:EP$11,"Prelim"),"")</x:f>
      </x:c>
      <x:c r="D58" s="19" t="str">
        <x:f>IF(B58&lt;&gt;"",SUMIFS(RECORD!E$13:EP$13,RECORD!E$12:EP$12,"CLO1",RECORD!E$11:EP$11,"Prelim"),"")</x:f>
      </x:c>
      <x:c r="E58" s="19" t="str">
        <x:f>IF(B58&lt;&gt;"",SUMIFS(RECORD!E67:EP67,RECORD!E$12:EP$12,"CLO1",RECORD!E$11:EP$11,"Midterm"),"")</x:f>
      </x:c>
      <x:c r="F58" s="19" t="str">
        <x:f>IF(B58&lt;&gt;"",SUMIFS(RECORD!E$13:EP$13,RECORD!E$12:EP$12,"CLO1",RECORD!E$11:EP$11,"Midterm"),"")</x:f>
      </x:c>
      <x:c r="G58" s="19" t="str">
        <x:f>IF(B58&lt;&gt;"",SUMIFS(RECORD!E67:EP67,RECORD!E$12:EP$12,"CLO1",RECORD!E$11:EP$11,"Final"),"")</x:f>
      </x:c>
      <x:c r="H58" s="19" t="str">
        <x:f>IF(B58&lt;&gt;"",SUMIFS(RECORD!E$13:EP$13,RECORD!E$12:EP$12,"CLO1",RECORD!E$11:EP$11,"Final"),"")</x:f>
      </x:c>
      <x:c r="I58" s="20" t="str">
        <x:f t="shared" si="5"/>
      </x:c>
      <x:c r="J58" s="19" t="str">
        <x:f>IF(B58&lt;&gt;"",SUMIFS(RECORD!E67:EP67,RECORD!E$12:EP$12,"CLO2",RECORD!E$11:EP$11,"Prelim"),"")</x:f>
      </x:c>
      <x:c r="K58" s="19" t="str">
        <x:f>IF(B58&lt;&gt;"",SUMIFS(RECORD!E$13:EP$13,RECORD!E$12:EP$12,"CLO2",RECORD!E$11:EP$11,"Prelim"),"")</x:f>
      </x:c>
      <x:c r="L58" s="19" t="str">
        <x:f>IF(B58&lt;&gt;"",SUMIFS(RECORD!E67:EP67,RECORD!E$12:EP$12,"CLO2",RECORD!E$11:EP$11,"Midterm"),"")</x:f>
      </x:c>
      <x:c r="M58" s="19" t="str">
        <x:f>IF(B58&lt;&gt;"",SUMIFS(RECORD!E$13:EP$13,RECORD!E$12:EP$12,"CLO2",RECORD!E$11:EP$11,"Midterm"),"")</x:f>
      </x:c>
      <x:c r="N58" s="19" t="str">
        <x:f>IF(B58&lt;&gt;"",SUMIFS(RECORD!E67:EP67,RECORD!E$12:EP$12,"CLO2",RECORD!E$11:EP$11,"Final"),"")</x:f>
      </x:c>
      <x:c r="O58" s="19" t="str">
        <x:f>IF(B58&lt;&gt;"",SUMIFS(RECORD!E$13:EP$13,RECORD!E$12:EP$12,"CLO2",RECORD!E$11:EP$11,"Final"),"")</x:f>
      </x:c>
      <x:c r="P58" s="20" t="str">
        <x:f t="shared" si="6"/>
      </x:c>
      <x:c r="Q58" s="19" t="str">
        <x:f>IF(B58&lt;&gt;"",SUMIFS(RECORD!E67:EP67,RECORD!E$12:EP$12,"CLO3",RECORD!E$11:EP$11,"Prelim"),"")</x:f>
      </x:c>
      <x:c r="R58" s="19" t="str">
        <x:f>IF(B58&lt;&gt;"",SUMIFS(RECORD!E$13:EP$13,RECORD!E$12:EP$12,"CLO3",RECORD!E$11:EP$11,"Prelim"),"")</x:f>
      </x:c>
      <x:c r="S58" s="19" t="str">
        <x:f>IF(B58&lt;&gt;"",SUMIFS(RECORD!E67:EP67,RECORD!E$12:EP$12,"CLO3",RECORD!E$11:EP$11,"Midterm"),"")</x:f>
      </x:c>
      <x:c r="T58" s="19" t="str">
        <x:f>IF(B58&lt;&gt;"",SUMIFS(RECORD!E$13:EP$13,RECORD!E$12:EP$12,"CLO3",RECORD!E$11:EP$11,"Midterm"),"")</x:f>
      </x:c>
      <x:c r="U58" s="19" t="str">
        <x:f>IF(B58&lt;&gt;"",SUMIFS(RECORD!E67:EP67,RECORD!E$12:EP$12,"CLO3",RECORD!E$11:EP$11,"Final"),"")</x:f>
      </x:c>
      <x:c r="V58" s="19" t="str">
        <x:f>IF(B58&lt;&gt;"",SUMIFS(RECORD!E$13:EP$13,RECORD!E$12:EP$12,"CLO3",RECORD!E$11:EP$11,"Final"),"")</x:f>
      </x:c>
      <x:c r="W58" s="20" t="str">
        <x:f t="shared" si="7"/>
      </x:c>
      <x:c r="X58" s="19" t="str">
        <x:f>IF(B58&lt;&gt;"",SUMIFS(RECORD!E67:EP67,RECORD!E$12:EP$12,"CLO4",RECORD!E$11:EP$11,"Prelim"),"")</x:f>
      </x:c>
      <x:c r="Y58" s="19" t="str">
        <x:f>IF(B58&lt;&gt;"",SUMIFS(RECORD!E$13:EP$13,RECORD!E$12:EP$12,"CLO4",RECORD!E$11:EP$11,"Prelim"),"")</x:f>
      </x:c>
      <x:c r="Z58" s="19" t="str">
        <x:f>IF(B58&lt;&gt;"",SUMIFS(RECORD!E67:EP67,RECORD!E$12:EP$12,"CLO4",RECORD!E$11:EP$11,"Midterm"),"")</x:f>
      </x:c>
      <x:c r="AA58" s="19" t="str">
        <x:f>IF(B58&lt;&gt;"",SUMIFS(RECORD!E$13:EP$13,RECORD!E$12:EP$12,"CLO4",RECORD!E$11:EP$11,"Midterm"),"")</x:f>
      </x:c>
      <x:c r="AB58" s="19" t="str">
        <x:f>IF(B58&lt;&gt;"",SUMIFS(RECORD!E67:EP67,RECORD!E$12:EP$12,"CLO4",RECORD!E$11:EP$11,"Final"),"")</x:f>
      </x:c>
      <x:c r="AC58" s="19" t="str">
        <x:f>IF(B58&lt;&gt;"",SUMIFS(RECORD!E$13:EP$13,RECORD!E$12:EP$12,"CLO4",RECORD!E$11:EP$11,"Final"),"")</x:f>
      </x:c>
      <x:c r="AD58" s="20" t="str">
        <x:f t="shared" si="8"/>
      </x:c>
      <x:c r="AE58" s="19" t="str">
        <x:f>IF(B58&lt;&gt;"",SUMIFS(RECORD!E67:EP67,RECORD!E$12:EP$12,"CLO5",RECORD!E$11:EP$11,"Prelim"),"")</x:f>
      </x:c>
      <x:c r="AF58" s="19" t="str">
        <x:f>IF(B58&lt;&gt;"",SUMIFS(RECORD!E$13:EP$13,RECORD!E$12:EP$12,"CLO5",RECORD!E$11:EP$11,"Prelim"),"")</x:f>
      </x:c>
      <x:c r="AG58" s="19" t="str">
        <x:f>IF(B58&lt;&gt;"",SUMIFS(RECORD!E67:EP67,RECORD!E$12:EP$12,"CLO5",RECORD!E$11:EP$11,"Midterm"),"")</x:f>
      </x:c>
      <x:c r="AH58" s="19" t="str">
        <x:f>IF(B58&lt;&gt;"",SUMIFS(RECORD!E$13:EP$13,RECORD!E$12:EP$12,"CLO5",RECORD!E$11:EP$11,"Midterm"),"")</x:f>
      </x:c>
      <x:c r="AI58" s="19" t="str">
        <x:f>IF(B58&lt;&gt;"",SUMIFS(RECORD!E67:EP67,RECORD!E$12:EP$12,"CLO5",RECORD!E$11:EP$11,"Final"),"")</x:f>
      </x:c>
      <x:c r="AJ58" s="19" t="str">
        <x:f>IF(B58&lt;&gt;"",SUMIFS(RECORD!E$13:EP$13,RECORD!E$12:EP$12,"CLO5",RECORD!E$11:EP$11,"Final"),"")</x:f>
      </x:c>
      <x:c r="AK58" s="20" t="str">
        <x:f t="shared" si="9"/>
      </x:c>
    </x:row>
    <x:row r="59">
      <x:c r="A59" s="18" t="str">
        <x:f>IF(RECORD!B68="","",RECORD!B68)</x:f>
      </x:c>
      <x:c r="B59" s="18" t="str">
        <x:f>IF(RECORD!C68="","",RECORD!C68)</x:f>
      </x:c>
      <x:c r="C59" s="19" t="str">
        <x:f>IF(B59&lt;&gt;"",SUMIFS(RECORD!E68:EP68,RECORD!E$12:EP$12,"CLO1",RECORD!E$11:EP$11,"Prelim"),"")</x:f>
      </x:c>
      <x:c r="D59" s="19" t="str">
        <x:f>IF(B59&lt;&gt;"",SUMIFS(RECORD!E$13:EP$13,RECORD!E$12:EP$12,"CLO1",RECORD!E$11:EP$11,"Prelim"),"")</x:f>
      </x:c>
      <x:c r="E59" s="19" t="str">
        <x:f>IF(B59&lt;&gt;"",SUMIFS(RECORD!E68:EP68,RECORD!E$12:EP$12,"CLO1",RECORD!E$11:EP$11,"Midterm"),"")</x:f>
      </x:c>
      <x:c r="F59" s="19" t="str">
        <x:f>IF(B59&lt;&gt;"",SUMIFS(RECORD!E$13:EP$13,RECORD!E$12:EP$12,"CLO1",RECORD!E$11:EP$11,"Midterm"),"")</x:f>
      </x:c>
      <x:c r="G59" s="19" t="str">
        <x:f>IF(B59&lt;&gt;"",SUMIFS(RECORD!E68:EP68,RECORD!E$12:EP$12,"CLO1",RECORD!E$11:EP$11,"Final"),"")</x:f>
      </x:c>
      <x:c r="H59" s="19" t="str">
        <x:f>IF(B59&lt;&gt;"",SUMIFS(RECORD!E$13:EP$13,RECORD!E$12:EP$12,"CLO1",RECORD!E$11:EP$11,"Final"),"")</x:f>
      </x:c>
      <x:c r="I59" s="20" t="str">
        <x:f t="shared" si="5"/>
      </x:c>
      <x:c r="J59" s="19" t="str">
        <x:f>IF(B59&lt;&gt;"",SUMIFS(RECORD!E68:EP68,RECORD!E$12:EP$12,"CLO2",RECORD!E$11:EP$11,"Prelim"),"")</x:f>
      </x:c>
      <x:c r="K59" s="19" t="str">
        <x:f>IF(B59&lt;&gt;"",SUMIFS(RECORD!E$13:EP$13,RECORD!E$12:EP$12,"CLO2",RECORD!E$11:EP$11,"Prelim"),"")</x:f>
      </x:c>
      <x:c r="L59" s="19" t="str">
        <x:f>IF(B59&lt;&gt;"",SUMIFS(RECORD!E68:EP68,RECORD!E$12:EP$12,"CLO2",RECORD!E$11:EP$11,"Midterm"),"")</x:f>
      </x:c>
      <x:c r="M59" s="19" t="str">
        <x:f>IF(B59&lt;&gt;"",SUMIFS(RECORD!E$13:EP$13,RECORD!E$12:EP$12,"CLO2",RECORD!E$11:EP$11,"Midterm"),"")</x:f>
      </x:c>
      <x:c r="N59" s="19" t="str">
        <x:f>IF(B59&lt;&gt;"",SUMIFS(RECORD!E68:EP68,RECORD!E$12:EP$12,"CLO2",RECORD!E$11:EP$11,"Final"),"")</x:f>
      </x:c>
      <x:c r="O59" s="19" t="str">
        <x:f>IF(B59&lt;&gt;"",SUMIFS(RECORD!E$13:EP$13,RECORD!E$12:EP$12,"CLO2",RECORD!E$11:EP$11,"Final"),"")</x:f>
      </x:c>
      <x:c r="P59" s="20" t="str">
        <x:f t="shared" si="6"/>
      </x:c>
      <x:c r="Q59" s="19" t="str">
        <x:f>IF(B59&lt;&gt;"",SUMIFS(RECORD!E68:EP68,RECORD!E$12:EP$12,"CLO3",RECORD!E$11:EP$11,"Prelim"),"")</x:f>
      </x:c>
      <x:c r="R59" s="19" t="str">
        <x:f>IF(B59&lt;&gt;"",SUMIFS(RECORD!E$13:EP$13,RECORD!E$12:EP$12,"CLO3",RECORD!E$11:EP$11,"Prelim"),"")</x:f>
      </x:c>
      <x:c r="S59" s="19" t="str">
        <x:f>IF(B59&lt;&gt;"",SUMIFS(RECORD!E68:EP68,RECORD!E$12:EP$12,"CLO3",RECORD!E$11:EP$11,"Midterm"),"")</x:f>
      </x:c>
      <x:c r="T59" s="19" t="str">
        <x:f>IF(B59&lt;&gt;"",SUMIFS(RECORD!E$13:EP$13,RECORD!E$12:EP$12,"CLO3",RECORD!E$11:EP$11,"Midterm"),"")</x:f>
      </x:c>
      <x:c r="U59" s="19" t="str">
        <x:f>IF(B59&lt;&gt;"",SUMIFS(RECORD!E68:EP68,RECORD!E$12:EP$12,"CLO3",RECORD!E$11:EP$11,"Final"),"")</x:f>
      </x:c>
      <x:c r="V59" s="19" t="str">
        <x:f>IF(B59&lt;&gt;"",SUMIFS(RECORD!E$13:EP$13,RECORD!E$12:EP$12,"CLO3",RECORD!E$11:EP$11,"Final"),"")</x:f>
      </x:c>
      <x:c r="W59" s="20" t="str">
        <x:f t="shared" si="7"/>
      </x:c>
      <x:c r="X59" s="19" t="str">
        <x:f>IF(B59&lt;&gt;"",SUMIFS(RECORD!E68:EP68,RECORD!E$12:EP$12,"CLO4",RECORD!E$11:EP$11,"Prelim"),"")</x:f>
      </x:c>
      <x:c r="Y59" s="19" t="str">
        <x:f>IF(B59&lt;&gt;"",SUMIFS(RECORD!E$13:EP$13,RECORD!E$12:EP$12,"CLO4",RECORD!E$11:EP$11,"Prelim"),"")</x:f>
      </x:c>
      <x:c r="Z59" s="19" t="str">
        <x:f>IF(B59&lt;&gt;"",SUMIFS(RECORD!E68:EP68,RECORD!E$12:EP$12,"CLO4",RECORD!E$11:EP$11,"Midterm"),"")</x:f>
      </x:c>
      <x:c r="AA59" s="19" t="str">
        <x:f>IF(B59&lt;&gt;"",SUMIFS(RECORD!E$13:EP$13,RECORD!E$12:EP$12,"CLO4",RECORD!E$11:EP$11,"Midterm"),"")</x:f>
      </x:c>
      <x:c r="AB59" s="19" t="str">
        <x:f>IF(B59&lt;&gt;"",SUMIFS(RECORD!E68:EP68,RECORD!E$12:EP$12,"CLO4",RECORD!E$11:EP$11,"Final"),"")</x:f>
      </x:c>
      <x:c r="AC59" s="19" t="str">
        <x:f>IF(B59&lt;&gt;"",SUMIFS(RECORD!E$13:EP$13,RECORD!E$12:EP$12,"CLO4",RECORD!E$11:EP$11,"Final"),"")</x:f>
      </x:c>
      <x:c r="AD59" s="20" t="str">
        <x:f t="shared" si="8"/>
      </x:c>
      <x:c r="AE59" s="19" t="str">
        <x:f>IF(B59&lt;&gt;"",SUMIFS(RECORD!E68:EP68,RECORD!E$12:EP$12,"CLO5",RECORD!E$11:EP$11,"Prelim"),"")</x:f>
      </x:c>
      <x:c r="AF59" s="19" t="str">
        <x:f>IF(B59&lt;&gt;"",SUMIFS(RECORD!E$13:EP$13,RECORD!E$12:EP$12,"CLO5",RECORD!E$11:EP$11,"Prelim"),"")</x:f>
      </x:c>
      <x:c r="AG59" s="19" t="str">
        <x:f>IF(B59&lt;&gt;"",SUMIFS(RECORD!E68:EP68,RECORD!E$12:EP$12,"CLO5",RECORD!E$11:EP$11,"Midterm"),"")</x:f>
      </x:c>
      <x:c r="AH59" s="19" t="str">
        <x:f>IF(B59&lt;&gt;"",SUMIFS(RECORD!E$13:EP$13,RECORD!E$12:EP$12,"CLO5",RECORD!E$11:EP$11,"Midterm"),"")</x:f>
      </x:c>
      <x:c r="AI59" s="19" t="str">
        <x:f>IF(B59&lt;&gt;"",SUMIFS(RECORD!E68:EP68,RECORD!E$12:EP$12,"CLO5",RECORD!E$11:EP$11,"Final"),"")</x:f>
      </x:c>
      <x:c r="AJ59" s="19" t="str">
        <x:f>IF(B59&lt;&gt;"",SUMIFS(RECORD!E$13:EP$13,RECORD!E$12:EP$12,"CLO5",RECORD!E$11:EP$11,"Final"),"")</x:f>
      </x:c>
      <x:c r="AK59" s="20" t="str">
        <x:f t="shared" si="9"/>
      </x:c>
    </x:row>
    <x:row r="60">
      <x:c r="A60" s="18" t="str">
        <x:f>IF(RECORD!B69="","",RECORD!B69)</x:f>
      </x:c>
      <x:c r="B60" s="18" t="str">
        <x:f>IF(RECORD!C69="","",RECORD!C69)</x:f>
      </x:c>
      <x:c r="C60" s="19" t="str">
        <x:f>IF(B60&lt;&gt;"",SUMIFS(RECORD!E69:EP69,RECORD!E$12:EP$12,"CLO1",RECORD!E$11:EP$11,"Prelim"),"")</x:f>
      </x:c>
      <x:c r="D60" s="19" t="str">
        <x:f>IF(B60&lt;&gt;"",SUMIFS(RECORD!E$13:EP$13,RECORD!E$12:EP$12,"CLO1",RECORD!E$11:EP$11,"Prelim"),"")</x:f>
      </x:c>
      <x:c r="E60" s="19" t="str">
        <x:f>IF(B60&lt;&gt;"",SUMIFS(RECORD!E69:EP69,RECORD!E$12:EP$12,"CLO1",RECORD!E$11:EP$11,"Midterm"),"")</x:f>
      </x:c>
      <x:c r="F60" s="19" t="str">
        <x:f>IF(B60&lt;&gt;"",SUMIFS(RECORD!E$13:EP$13,RECORD!E$12:EP$12,"CLO1",RECORD!E$11:EP$11,"Midterm"),"")</x:f>
      </x:c>
      <x:c r="G60" s="19" t="str">
        <x:f>IF(B60&lt;&gt;"",SUMIFS(RECORD!E69:EP69,RECORD!E$12:EP$12,"CLO1",RECORD!E$11:EP$11,"Final"),"")</x:f>
      </x:c>
      <x:c r="H60" s="19" t="str">
        <x:f>IF(B60&lt;&gt;"",SUMIFS(RECORD!E$13:EP$13,RECORD!E$12:EP$12,"CLO1",RECORD!E$11:EP$11,"Final"),"")</x:f>
      </x:c>
      <x:c r="I60" s="20" t="str">
        <x:f t="shared" si="5"/>
      </x:c>
      <x:c r="J60" s="19" t="str">
        <x:f>IF(B60&lt;&gt;"",SUMIFS(RECORD!E69:EP69,RECORD!E$12:EP$12,"CLO2",RECORD!E$11:EP$11,"Prelim"),"")</x:f>
      </x:c>
      <x:c r="K60" s="19" t="str">
        <x:f>IF(B60&lt;&gt;"",SUMIFS(RECORD!E$13:EP$13,RECORD!E$12:EP$12,"CLO2",RECORD!E$11:EP$11,"Prelim"),"")</x:f>
      </x:c>
      <x:c r="L60" s="19" t="str">
        <x:f>IF(B60&lt;&gt;"",SUMIFS(RECORD!E69:EP69,RECORD!E$12:EP$12,"CLO2",RECORD!E$11:EP$11,"Midterm"),"")</x:f>
      </x:c>
      <x:c r="M60" s="19" t="str">
        <x:f>IF(B60&lt;&gt;"",SUMIFS(RECORD!E$13:EP$13,RECORD!E$12:EP$12,"CLO2",RECORD!E$11:EP$11,"Midterm"),"")</x:f>
      </x:c>
      <x:c r="N60" s="19" t="str">
        <x:f>IF(B60&lt;&gt;"",SUMIFS(RECORD!E69:EP69,RECORD!E$12:EP$12,"CLO2",RECORD!E$11:EP$11,"Final"),"")</x:f>
      </x:c>
      <x:c r="O60" s="19" t="str">
        <x:f>IF(B60&lt;&gt;"",SUMIFS(RECORD!E$13:EP$13,RECORD!E$12:EP$12,"CLO2",RECORD!E$11:EP$11,"Final"),"")</x:f>
      </x:c>
      <x:c r="P60" s="20" t="str">
        <x:f t="shared" si="6"/>
      </x:c>
      <x:c r="Q60" s="19" t="str">
        <x:f>IF(B60&lt;&gt;"",SUMIFS(RECORD!E69:EP69,RECORD!E$12:EP$12,"CLO3",RECORD!E$11:EP$11,"Prelim"),"")</x:f>
      </x:c>
      <x:c r="R60" s="19" t="str">
        <x:f>IF(B60&lt;&gt;"",SUMIFS(RECORD!E$13:EP$13,RECORD!E$12:EP$12,"CLO3",RECORD!E$11:EP$11,"Prelim"),"")</x:f>
      </x:c>
      <x:c r="S60" s="19" t="str">
        <x:f>IF(B60&lt;&gt;"",SUMIFS(RECORD!E69:EP69,RECORD!E$12:EP$12,"CLO3",RECORD!E$11:EP$11,"Midterm"),"")</x:f>
      </x:c>
      <x:c r="T60" s="19" t="str">
        <x:f>IF(B60&lt;&gt;"",SUMIFS(RECORD!E$13:EP$13,RECORD!E$12:EP$12,"CLO3",RECORD!E$11:EP$11,"Midterm"),"")</x:f>
      </x:c>
      <x:c r="U60" s="19" t="str">
        <x:f>IF(B60&lt;&gt;"",SUMIFS(RECORD!E69:EP69,RECORD!E$12:EP$12,"CLO3",RECORD!E$11:EP$11,"Final"),"")</x:f>
      </x:c>
      <x:c r="V60" s="19" t="str">
        <x:f>IF(B60&lt;&gt;"",SUMIFS(RECORD!E$13:EP$13,RECORD!E$12:EP$12,"CLO3",RECORD!E$11:EP$11,"Final"),"")</x:f>
      </x:c>
      <x:c r="W60" s="20" t="str">
        <x:f t="shared" si="7"/>
      </x:c>
      <x:c r="X60" s="19" t="str">
        <x:f>IF(B60&lt;&gt;"",SUMIFS(RECORD!E69:EP69,RECORD!E$12:EP$12,"CLO4",RECORD!E$11:EP$11,"Prelim"),"")</x:f>
      </x:c>
      <x:c r="Y60" s="19" t="str">
        <x:f>IF(B60&lt;&gt;"",SUMIFS(RECORD!E$13:EP$13,RECORD!E$12:EP$12,"CLO4",RECORD!E$11:EP$11,"Prelim"),"")</x:f>
      </x:c>
      <x:c r="Z60" s="19" t="str">
        <x:f>IF(B60&lt;&gt;"",SUMIFS(RECORD!E69:EP69,RECORD!E$12:EP$12,"CLO4",RECORD!E$11:EP$11,"Midterm"),"")</x:f>
      </x:c>
      <x:c r="AA60" s="19" t="str">
        <x:f>IF(B60&lt;&gt;"",SUMIFS(RECORD!E$13:EP$13,RECORD!E$12:EP$12,"CLO4",RECORD!E$11:EP$11,"Midterm"),"")</x:f>
      </x:c>
      <x:c r="AB60" s="19" t="str">
        <x:f>IF(B60&lt;&gt;"",SUMIFS(RECORD!E69:EP69,RECORD!E$12:EP$12,"CLO4",RECORD!E$11:EP$11,"Final"),"")</x:f>
      </x:c>
      <x:c r="AC60" s="19" t="str">
        <x:f>IF(B60&lt;&gt;"",SUMIFS(RECORD!E$13:EP$13,RECORD!E$12:EP$12,"CLO4",RECORD!E$11:EP$11,"Final"),"")</x:f>
      </x:c>
      <x:c r="AD60" s="20" t="str">
        <x:f t="shared" si="8"/>
      </x:c>
      <x:c r="AE60" s="19" t="str">
        <x:f>IF(B60&lt;&gt;"",SUMIFS(RECORD!E69:EP69,RECORD!E$12:EP$12,"CLO5",RECORD!E$11:EP$11,"Prelim"),"")</x:f>
      </x:c>
      <x:c r="AF60" s="19" t="str">
        <x:f>IF(B60&lt;&gt;"",SUMIFS(RECORD!E$13:EP$13,RECORD!E$12:EP$12,"CLO5",RECORD!E$11:EP$11,"Prelim"),"")</x:f>
      </x:c>
      <x:c r="AG60" s="19" t="str">
        <x:f>IF(B60&lt;&gt;"",SUMIFS(RECORD!E69:EP69,RECORD!E$12:EP$12,"CLO5",RECORD!E$11:EP$11,"Midterm"),"")</x:f>
      </x:c>
      <x:c r="AH60" s="19" t="str">
        <x:f>IF(B60&lt;&gt;"",SUMIFS(RECORD!E$13:EP$13,RECORD!E$12:EP$12,"CLO5",RECORD!E$11:EP$11,"Midterm"),"")</x:f>
      </x:c>
      <x:c r="AI60" s="19" t="str">
        <x:f>IF(B60&lt;&gt;"",SUMIFS(RECORD!E69:EP69,RECORD!E$12:EP$12,"CLO5",RECORD!E$11:EP$11,"Final"),"")</x:f>
      </x:c>
      <x:c r="AJ60" s="19" t="str">
        <x:f>IF(B60&lt;&gt;"",SUMIFS(RECORD!E$13:EP$13,RECORD!E$12:EP$12,"CLO5",RECORD!E$11:EP$11,"Final"),"")</x:f>
      </x:c>
      <x:c r="AK60" s="20" t="str">
        <x:f t="shared" si="9"/>
      </x:c>
    </x:row>
    <x:row r="61">
      <x:c r="A61" s="18" t="str">
        <x:f>IF(RECORD!B70="","",RECORD!B70)</x:f>
      </x:c>
      <x:c r="B61" s="18" t="str">
        <x:f>IF(RECORD!C70="","",RECORD!C70)</x:f>
      </x:c>
      <x:c r="C61" s="19" t="str">
        <x:f>IF(B61&lt;&gt;"",SUMIFS(RECORD!E70:EP70,RECORD!E$12:EP$12,"CLO1",RECORD!E$11:EP$11,"Prelim"),"")</x:f>
      </x:c>
      <x:c r="D61" s="19" t="str">
        <x:f>IF(B61&lt;&gt;"",SUMIFS(RECORD!E$13:EP$13,RECORD!E$12:EP$12,"CLO1",RECORD!E$11:EP$11,"Prelim"),"")</x:f>
      </x:c>
      <x:c r="E61" s="19" t="str">
        <x:f>IF(B61&lt;&gt;"",SUMIFS(RECORD!E70:EP70,RECORD!E$12:EP$12,"CLO1",RECORD!E$11:EP$11,"Midterm"),"")</x:f>
      </x:c>
      <x:c r="F61" s="19" t="str">
        <x:f>IF(B61&lt;&gt;"",SUMIFS(RECORD!E$13:EP$13,RECORD!E$12:EP$12,"CLO1",RECORD!E$11:EP$11,"Midterm"),"")</x:f>
      </x:c>
      <x:c r="G61" s="19" t="str">
        <x:f>IF(B61&lt;&gt;"",SUMIFS(RECORD!E70:EP70,RECORD!E$12:EP$12,"CLO1",RECORD!E$11:EP$11,"Final"),"")</x:f>
      </x:c>
      <x:c r="H61" s="19" t="str">
        <x:f>IF(B61&lt;&gt;"",SUMIFS(RECORD!E$13:EP$13,RECORD!E$12:EP$12,"CLO1",RECORD!E$11:EP$11,"Final"),"")</x:f>
      </x:c>
      <x:c r="I61" s="20" t="str">
        <x:f t="shared" si="5"/>
      </x:c>
      <x:c r="J61" s="19" t="str">
        <x:f>IF(B61&lt;&gt;"",SUMIFS(RECORD!E70:EP70,RECORD!E$12:EP$12,"CLO2",RECORD!E$11:EP$11,"Prelim"),"")</x:f>
      </x:c>
      <x:c r="K61" s="19" t="str">
        <x:f>IF(B61&lt;&gt;"",SUMIFS(RECORD!E$13:EP$13,RECORD!E$12:EP$12,"CLO2",RECORD!E$11:EP$11,"Prelim"),"")</x:f>
      </x:c>
      <x:c r="L61" s="19" t="str">
        <x:f>IF(B61&lt;&gt;"",SUMIFS(RECORD!E70:EP70,RECORD!E$12:EP$12,"CLO2",RECORD!E$11:EP$11,"Midterm"),"")</x:f>
      </x:c>
      <x:c r="M61" s="19" t="str">
        <x:f>IF(B61&lt;&gt;"",SUMIFS(RECORD!E$13:EP$13,RECORD!E$12:EP$12,"CLO2",RECORD!E$11:EP$11,"Midterm"),"")</x:f>
      </x:c>
      <x:c r="N61" s="19" t="str">
        <x:f>IF(B61&lt;&gt;"",SUMIFS(RECORD!E70:EP70,RECORD!E$12:EP$12,"CLO2",RECORD!E$11:EP$11,"Final"),"")</x:f>
      </x:c>
      <x:c r="O61" s="19" t="str">
        <x:f>IF(B61&lt;&gt;"",SUMIFS(RECORD!E$13:EP$13,RECORD!E$12:EP$12,"CLO2",RECORD!E$11:EP$11,"Final"),"")</x:f>
      </x:c>
      <x:c r="P61" s="20" t="str">
        <x:f t="shared" si="6"/>
      </x:c>
      <x:c r="Q61" s="19" t="str">
        <x:f>IF(B61&lt;&gt;"",SUMIFS(RECORD!E70:EP70,RECORD!E$12:EP$12,"CLO3",RECORD!E$11:EP$11,"Prelim"),"")</x:f>
      </x:c>
      <x:c r="R61" s="19" t="str">
        <x:f>IF(B61&lt;&gt;"",SUMIFS(RECORD!E$13:EP$13,RECORD!E$12:EP$12,"CLO3",RECORD!E$11:EP$11,"Prelim"),"")</x:f>
      </x:c>
      <x:c r="S61" s="19" t="str">
        <x:f>IF(B61&lt;&gt;"",SUMIFS(RECORD!E70:EP70,RECORD!E$12:EP$12,"CLO3",RECORD!E$11:EP$11,"Midterm"),"")</x:f>
      </x:c>
      <x:c r="T61" s="19" t="str">
        <x:f>IF(B61&lt;&gt;"",SUMIFS(RECORD!E$13:EP$13,RECORD!E$12:EP$12,"CLO3",RECORD!E$11:EP$11,"Midterm"),"")</x:f>
      </x:c>
      <x:c r="U61" s="19" t="str">
        <x:f>IF(B61&lt;&gt;"",SUMIFS(RECORD!E70:EP70,RECORD!E$12:EP$12,"CLO3",RECORD!E$11:EP$11,"Final"),"")</x:f>
      </x:c>
      <x:c r="V61" s="19" t="str">
        <x:f>IF(B61&lt;&gt;"",SUMIFS(RECORD!E$13:EP$13,RECORD!E$12:EP$12,"CLO3",RECORD!E$11:EP$11,"Final"),"")</x:f>
      </x:c>
      <x:c r="W61" s="20" t="str">
        <x:f t="shared" si="7"/>
      </x:c>
      <x:c r="X61" s="19" t="str">
        <x:f>IF(B61&lt;&gt;"",SUMIFS(RECORD!E70:EP70,RECORD!E$12:EP$12,"CLO4",RECORD!E$11:EP$11,"Prelim"),"")</x:f>
      </x:c>
      <x:c r="Y61" s="19" t="str">
        <x:f>IF(B61&lt;&gt;"",SUMIFS(RECORD!E$13:EP$13,RECORD!E$12:EP$12,"CLO4",RECORD!E$11:EP$11,"Prelim"),"")</x:f>
      </x:c>
      <x:c r="Z61" s="19" t="str">
        <x:f>IF(B61&lt;&gt;"",SUMIFS(RECORD!E70:EP70,RECORD!E$12:EP$12,"CLO4",RECORD!E$11:EP$11,"Midterm"),"")</x:f>
      </x:c>
      <x:c r="AA61" s="19" t="str">
        <x:f>IF(B61&lt;&gt;"",SUMIFS(RECORD!E$13:EP$13,RECORD!E$12:EP$12,"CLO4",RECORD!E$11:EP$11,"Midterm"),"")</x:f>
      </x:c>
      <x:c r="AB61" s="19" t="str">
        <x:f>IF(B61&lt;&gt;"",SUMIFS(RECORD!E70:EP70,RECORD!E$12:EP$12,"CLO4",RECORD!E$11:EP$11,"Final"),"")</x:f>
      </x:c>
      <x:c r="AC61" s="19" t="str">
        <x:f>IF(B61&lt;&gt;"",SUMIFS(RECORD!E$13:EP$13,RECORD!E$12:EP$12,"CLO4",RECORD!E$11:EP$11,"Final"),"")</x:f>
      </x:c>
      <x:c r="AD61" s="20" t="str">
        <x:f t="shared" si="8"/>
      </x:c>
      <x:c r="AE61" s="19" t="str">
        <x:f>IF(B61&lt;&gt;"",SUMIFS(RECORD!E70:EP70,RECORD!E$12:EP$12,"CLO5",RECORD!E$11:EP$11,"Prelim"),"")</x:f>
      </x:c>
      <x:c r="AF61" s="19" t="str">
        <x:f>IF(B61&lt;&gt;"",SUMIFS(RECORD!E$13:EP$13,RECORD!E$12:EP$12,"CLO5",RECORD!E$11:EP$11,"Prelim"),"")</x:f>
      </x:c>
      <x:c r="AG61" s="19" t="str">
        <x:f>IF(B61&lt;&gt;"",SUMIFS(RECORD!E70:EP70,RECORD!E$12:EP$12,"CLO5",RECORD!E$11:EP$11,"Midterm"),"")</x:f>
      </x:c>
      <x:c r="AH61" s="19" t="str">
        <x:f>IF(B61&lt;&gt;"",SUMIFS(RECORD!E$13:EP$13,RECORD!E$12:EP$12,"CLO5",RECORD!E$11:EP$11,"Midterm"),"")</x:f>
      </x:c>
      <x:c r="AI61" s="19" t="str">
        <x:f>IF(B61&lt;&gt;"",SUMIFS(RECORD!E70:EP70,RECORD!E$12:EP$12,"CLO5",RECORD!E$11:EP$11,"Final"),"")</x:f>
      </x:c>
      <x:c r="AJ61" s="19" t="str">
        <x:f>IF(B61&lt;&gt;"",SUMIFS(RECORD!E$13:EP$13,RECORD!E$12:EP$12,"CLO5",RECORD!E$11:EP$11,"Final"),"")</x:f>
      </x:c>
      <x:c r="AK61" s="20" t="str">
        <x:f t="shared" si="9"/>
      </x:c>
    </x:row>
    <x:row r="62">
      <x:c r="A62" s="18" t="str">
        <x:f>IF(RECORD!B71="","",RECORD!B71)</x:f>
      </x:c>
      <x:c r="B62" s="18" t="str">
        <x:f>IF(RECORD!C71="","",RECORD!C71)</x:f>
      </x:c>
      <x:c r="C62" s="19" t="str">
        <x:f>IF(B62&lt;&gt;"",SUMIFS(RECORD!E71:EP71,RECORD!E$12:EP$12,"CLO1",RECORD!E$11:EP$11,"Prelim"),"")</x:f>
      </x:c>
      <x:c r="D62" s="19" t="str">
        <x:f>IF(B62&lt;&gt;"",SUMIFS(RECORD!E$13:EP$13,RECORD!E$12:EP$12,"CLO1",RECORD!E$11:EP$11,"Prelim"),"")</x:f>
      </x:c>
      <x:c r="E62" s="19" t="str">
        <x:f>IF(B62&lt;&gt;"",SUMIFS(RECORD!E71:EP71,RECORD!E$12:EP$12,"CLO1",RECORD!E$11:EP$11,"Midterm"),"")</x:f>
      </x:c>
      <x:c r="F62" s="19" t="str">
        <x:f>IF(B62&lt;&gt;"",SUMIFS(RECORD!E$13:EP$13,RECORD!E$12:EP$12,"CLO1",RECORD!E$11:EP$11,"Midterm"),"")</x:f>
      </x:c>
      <x:c r="G62" s="19" t="str">
        <x:f>IF(B62&lt;&gt;"",SUMIFS(RECORD!E71:EP71,RECORD!E$12:EP$12,"CLO1",RECORD!E$11:EP$11,"Final"),"")</x:f>
      </x:c>
      <x:c r="H62" s="19" t="str">
        <x:f>IF(B62&lt;&gt;"",SUMIFS(RECORD!E$13:EP$13,RECORD!E$12:EP$12,"CLO1",RECORD!E$11:EP$11,"Final"),"")</x:f>
      </x:c>
      <x:c r="I62" s="20" t="str">
        <x:f t="shared" si="5"/>
      </x:c>
      <x:c r="J62" s="19" t="str">
        <x:f>IF(B62&lt;&gt;"",SUMIFS(RECORD!E71:EP71,RECORD!E$12:EP$12,"CLO2",RECORD!E$11:EP$11,"Prelim"),"")</x:f>
      </x:c>
      <x:c r="K62" s="19" t="str">
        <x:f>IF(B62&lt;&gt;"",SUMIFS(RECORD!E$13:EP$13,RECORD!E$12:EP$12,"CLO2",RECORD!E$11:EP$11,"Prelim"),"")</x:f>
      </x:c>
      <x:c r="L62" s="19" t="str">
        <x:f>IF(B62&lt;&gt;"",SUMIFS(RECORD!E71:EP71,RECORD!E$12:EP$12,"CLO2",RECORD!E$11:EP$11,"Midterm"),"")</x:f>
      </x:c>
      <x:c r="M62" s="19" t="str">
        <x:f>IF(B62&lt;&gt;"",SUMIFS(RECORD!E$13:EP$13,RECORD!E$12:EP$12,"CLO2",RECORD!E$11:EP$11,"Midterm"),"")</x:f>
      </x:c>
      <x:c r="N62" s="19" t="str">
        <x:f>IF(B62&lt;&gt;"",SUMIFS(RECORD!E71:EP71,RECORD!E$12:EP$12,"CLO2",RECORD!E$11:EP$11,"Final"),"")</x:f>
      </x:c>
      <x:c r="O62" s="19" t="str">
        <x:f>IF(B62&lt;&gt;"",SUMIFS(RECORD!E$13:EP$13,RECORD!E$12:EP$12,"CLO2",RECORD!E$11:EP$11,"Final"),"")</x:f>
      </x:c>
      <x:c r="P62" s="20" t="str">
        <x:f t="shared" si="6"/>
      </x:c>
      <x:c r="Q62" s="19" t="str">
        <x:f>IF(B62&lt;&gt;"",SUMIFS(RECORD!E71:EP71,RECORD!E$12:EP$12,"CLO3",RECORD!E$11:EP$11,"Prelim"),"")</x:f>
      </x:c>
      <x:c r="R62" s="19" t="str">
        <x:f>IF(B62&lt;&gt;"",SUMIFS(RECORD!E$13:EP$13,RECORD!E$12:EP$12,"CLO3",RECORD!E$11:EP$11,"Prelim"),"")</x:f>
      </x:c>
      <x:c r="S62" s="19" t="str">
        <x:f>IF(B62&lt;&gt;"",SUMIFS(RECORD!E71:EP71,RECORD!E$12:EP$12,"CLO3",RECORD!E$11:EP$11,"Midterm"),"")</x:f>
      </x:c>
      <x:c r="T62" s="19" t="str">
        <x:f>IF(B62&lt;&gt;"",SUMIFS(RECORD!E$13:EP$13,RECORD!E$12:EP$12,"CLO3",RECORD!E$11:EP$11,"Midterm"),"")</x:f>
      </x:c>
      <x:c r="U62" s="19" t="str">
        <x:f>IF(B62&lt;&gt;"",SUMIFS(RECORD!E71:EP71,RECORD!E$12:EP$12,"CLO3",RECORD!E$11:EP$11,"Final"),"")</x:f>
      </x:c>
      <x:c r="V62" s="19" t="str">
        <x:f>IF(B62&lt;&gt;"",SUMIFS(RECORD!E$13:EP$13,RECORD!E$12:EP$12,"CLO3",RECORD!E$11:EP$11,"Final"),"")</x:f>
      </x:c>
      <x:c r="W62" s="20" t="str">
        <x:f t="shared" si="7"/>
      </x:c>
      <x:c r="X62" s="19" t="str">
        <x:f>IF(B62&lt;&gt;"",SUMIFS(RECORD!E71:EP71,RECORD!E$12:EP$12,"CLO4",RECORD!E$11:EP$11,"Prelim"),"")</x:f>
      </x:c>
      <x:c r="Y62" s="19" t="str">
        <x:f>IF(B62&lt;&gt;"",SUMIFS(RECORD!E$13:EP$13,RECORD!E$12:EP$12,"CLO4",RECORD!E$11:EP$11,"Prelim"),"")</x:f>
      </x:c>
      <x:c r="Z62" s="19" t="str">
        <x:f>IF(B62&lt;&gt;"",SUMIFS(RECORD!E71:EP71,RECORD!E$12:EP$12,"CLO4",RECORD!E$11:EP$11,"Midterm"),"")</x:f>
      </x:c>
      <x:c r="AA62" s="19" t="str">
        <x:f>IF(B62&lt;&gt;"",SUMIFS(RECORD!E$13:EP$13,RECORD!E$12:EP$12,"CLO4",RECORD!E$11:EP$11,"Midterm"),"")</x:f>
      </x:c>
      <x:c r="AB62" s="19" t="str">
        <x:f>IF(B62&lt;&gt;"",SUMIFS(RECORD!E71:EP71,RECORD!E$12:EP$12,"CLO4",RECORD!E$11:EP$11,"Final"),"")</x:f>
      </x:c>
      <x:c r="AC62" s="19" t="str">
        <x:f>IF(B62&lt;&gt;"",SUMIFS(RECORD!E$13:EP$13,RECORD!E$12:EP$12,"CLO4",RECORD!E$11:EP$11,"Final"),"")</x:f>
      </x:c>
      <x:c r="AD62" s="20" t="str">
        <x:f t="shared" si="8"/>
      </x:c>
      <x:c r="AE62" s="19" t="str">
        <x:f>IF(B62&lt;&gt;"",SUMIFS(RECORD!E71:EP71,RECORD!E$12:EP$12,"CLO5",RECORD!E$11:EP$11,"Prelim"),"")</x:f>
      </x:c>
      <x:c r="AF62" s="19" t="str">
        <x:f>IF(B62&lt;&gt;"",SUMIFS(RECORD!E$13:EP$13,RECORD!E$12:EP$12,"CLO5",RECORD!E$11:EP$11,"Prelim"),"")</x:f>
      </x:c>
      <x:c r="AG62" s="19" t="str">
        <x:f>IF(B62&lt;&gt;"",SUMIFS(RECORD!E71:EP71,RECORD!E$12:EP$12,"CLO5",RECORD!E$11:EP$11,"Midterm"),"")</x:f>
      </x:c>
      <x:c r="AH62" s="19" t="str">
        <x:f>IF(B62&lt;&gt;"",SUMIFS(RECORD!E$13:EP$13,RECORD!E$12:EP$12,"CLO5",RECORD!E$11:EP$11,"Midterm"),"")</x:f>
      </x:c>
      <x:c r="AI62" s="19" t="str">
        <x:f>IF(B62&lt;&gt;"",SUMIFS(RECORD!E71:EP71,RECORD!E$12:EP$12,"CLO5",RECORD!E$11:EP$11,"Final"),"")</x:f>
      </x:c>
      <x:c r="AJ62" s="19" t="str">
        <x:f>IF(B62&lt;&gt;"",SUMIFS(RECORD!E$13:EP$13,RECORD!E$12:EP$12,"CLO5",RECORD!E$11:EP$11,"Final"),"")</x:f>
      </x:c>
      <x:c r="AK62" s="20" t="str">
        <x:f t="shared" si="9"/>
      </x:c>
    </x:row>
    <x:row r="63">
      <x:c r="A63" s="18" t="str">
        <x:f>IF(RECORD!B72="","",RECORD!B72)</x:f>
      </x:c>
      <x:c r="B63" s="18" t="str">
        <x:f>IF(RECORD!C72="","",RECORD!C72)</x:f>
      </x:c>
      <x:c r="C63" s="19" t="str">
        <x:f>IF(B63&lt;&gt;"",SUMIFS(RECORD!E72:EP72,RECORD!E$12:EP$12,"CLO1",RECORD!E$11:EP$11,"Prelim"),"")</x:f>
      </x:c>
      <x:c r="D63" s="19" t="str">
        <x:f>IF(B63&lt;&gt;"",SUMIFS(RECORD!E$13:EP$13,RECORD!E$12:EP$12,"CLO1",RECORD!E$11:EP$11,"Prelim"),"")</x:f>
      </x:c>
      <x:c r="E63" s="19" t="str">
        <x:f>IF(B63&lt;&gt;"",SUMIFS(RECORD!E72:EP72,RECORD!E$12:EP$12,"CLO1",RECORD!E$11:EP$11,"Midterm"),"")</x:f>
      </x:c>
      <x:c r="F63" s="19" t="str">
        <x:f>IF(B63&lt;&gt;"",SUMIFS(RECORD!E$13:EP$13,RECORD!E$12:EP$12,"CLO1",RECORD!E$11:EP$11,"Midterm"),"")</x:f>
      </x:c>
      <x:c r="G63" s="19" t="str">
        <x:f>IF(B63&lt;&gt;"",SUMIFS(RECORD!E72:EP72,RECORD!E$12:EP$12,"CLO1",RECORD!E$11:EP$11,"Final"),"")</x:f>
      </x:c>
      <x:c r="H63" s="19" t="str">
        <x:f>IF(B63&lt;&gt;"",SUMIFS(RECORD!E$13:EP$13,RECORD!E$12:EP$12,"CLO1",RECORD!E$11:EP$11,"Final"),"")</x:f>
      </x:c>
      <x:c r="I63" s="20" t="str">
        <x:f t="shared" si="5"/>
      </x:c>
      <x:c r="J63" s="19" t="str">
        <x:f>IF(B63&lt;&gt;"",SUMIFS(RECORD!E72:EP72,RECORD!E$12:EP$12,"CLO2",RECORD!E$11:EP$11,"Prelim"),"")</x:f>
      </x:c>
      <x:c r="K63" s="19" t="str">
        <x:f>IF(B63&lt;&gt;"",SUMIFS(RECORD!E$13:EP$13,RECORD!E$12:EP$12,"CLO2",RECORD!E$11:EP$11,"Prelim"),"")</x:f>
      </x:c>
      <x:c r="L63" s="19" t="str">
        <x:f>IF(B63&lt;&gt;"",SUMIFS(RECORD!E72:EP72,RECORD!E$12:EP$12,"CLO2",RECORD!E$11:EP$11,"Midterm"),"")</x:f>
      </x:c>
      <x:c r="M63" s="19" t="str">
        <x:f>IF(B63&lt;&gt;"",SUMIFS(RECORD!E$13:EP$13,RECORD!E$12:EP$12,"CLO2",RECORD!E$11:EP$11,"Midterm"),"")</x:f>
      </x:c>
      <x:c r="N63" s="19" t="str">
        <x:f>IF(B63&lt;&gt;"",SUMIFS(RECORD!E72:EP72,RECORD!E$12:EP$12,"CLO2",RECORD!E$11:EP$11,"Final"),"")</x:f>
      </x:c>
      <x:c r="O63" s="19" t="str">
        <x:f>IF(B63&lt;&gt;"",SUMIFS(RECORD!E$13:EP$13,RECORD!E$12:EP$12,"CLO2",RECORD!E$11:EP$11,"Final"),"")</x:f>
      </x:c>
      <x:c r="P63" s="20" t="str">
        <x:f t="shared" si="6"/>
      </x:c>
      <x:c r="Q63" s="19" t="str">
        <x:f>IF(B63&lt;&gt;"",SUMIFS(RECORD!E72:EP72,RECORD!E$12:EP$12,"CLO3",RECORD!E$11:EP$11,"Prelim"),"")</x:f>
      </x:c>
      <x:c r="R63" s="19" t="str">
        <x:f>IF(B63&lt;&gt;"",SUMIFS(RECORD!E$13:EP$13,RECORD!E$12:EP$12,"CLO3",RECORD!E$11:EP$11,"Prelim"),"")</x:f>
      </x:c>
      <x:c r="S63" s="19" t="str">
        <x:f>IF(B63&lt;&gt;"",SUMIFS(RECORD!E72:EP72,RECORD!E$12:EP$12,"CLO3",RECORD!E$11:EP$11,"Midterm"),"")</x:f>
      </x:c>
      <x:c r="T63" s="19" t="str">
        <x:f>IF(B63&lt;&gt;"",SUMIFS(RECORD!E$13:EP$13,RECORD!E$12:EP$12,"CLO3",RECORD!E$11:EP$11,"Midterm"),"")</x:f>
      </x:c>
      <x:c r="U63" s="19" t="str">
        <x:f>IF(B63&lt;&gt;"",SUMIFS(RECORD!E72:EP72,RECORD!E$12:EP$12,"CLO3",RECORD!E$11:EP$11,"Final"),"")</x:f>
      </x:c>
      <x:c r="V63" s="19" t="str">
        <x:f>IF(B63&lt;&gt;"",SUMIFS(RECORD!E$13:EP$13,RECORD!E$12:EP$12,"CLO3",RECORD!E$11:EP$11,"Final"),"")</x:f>
      </x:c>
      <x:c r="W63" s="20" t="str">
        <x:f t="shared" si="7"/>
      </x:c>
      <x:c r="X63" s="19" t="str">
        <x:f>IF(B63&lt;&gt;"",SUMIFS(RECORD!E72:EP72,RECORD!E$12:EP$12,"CLO4",RECORD!E$11:EP$11,"Prelim"),"")</x:f>
      </x:c>
      <x:c r="Y63" s="19" t="str">
        <x:f>IF(B63&lt;&gt;"",SUMIFS(RECORD!E$13:EP$13,RECORD!E$12:EP$12,"CLO4",RECORD!E$11:EP$11,"Prelim"),"")</x:f>
      </x:c>
      <x:c r="Z63" s="19" t="str">
        <x:f>IF(B63&lt;&gt;"",SUMIFS(RECORD!E72:EP72,RECORD!E$12:EP$12,"CLO4",RECORD!E$11:EP$11,"Midterm"),"")</x:f>
      </x:c>
      <x:c r="AA63" s="19" t="str">
        <x:f>IF(B63&lt;&gt;"",SUMIFS(RECORD!E$13:EP$13,RECORD!E$12:EP$12,"CLO4",RECORD!E$11:EP$11,"Midterm"),"")</x:f>
      </x:c>
      <x:c r="AB63" s="19" t="str">
        <x:f>IF(B63&lt;&gt;"",SUMIFS(RECORD!E72:EP72,RECORD!E$12:EP$12,"CLO4",RECORD!E$11:EP$11,"Final"),"")</x:f>
      </x:c>
      <x:c r="AC63" s="19" t="str">
        <x:f>IF(B63&lt;&gt;"",SUMIFS(RECORD!E$13:EP$13,RECORD!E$12:EP$12,"CLO4",RECORD!E$11:EP$11,"Final"),"")</x:f>
      </x:c>
      <x:c r="AD63" s="20" t="str">
        <x:f t="shared" si="8"/>
      </x:c>
      <x:c r="AE63" s="19" t="str">
        <x:f>IF(B63&lt;&gt;"",SUMIFS(RECORD!E72:EP72,RECORD!E$12:EP$12,"CLO5",RECORD!E$11:EP$11,"Prelim"),"")</x:f>
      </x:c>
      <x:c r="AF63" s="19" t="str">
        <x:f>IF(B63&lt;&gt;"",SUMIFS(RECORD!E$13:EP$13,RECORD!E$12:EP$12,"CLO5",RECORD!E$11:EP$11,"Prelim"),"")</x:f>
      </x:c>
      <x:c r="AG63" s="19" t="str">
        <x:f>IF(B63&lt;&gt;"",SUMIFS(RECORD!E72:EP72,RECORD!E$12:EP$12,"CLO5",RECORD!E$11:EP$11,"Midterm"),"")</x:f>
      </x:c>
      <x:c r="AH63" s="19" t="str">
        <x:f>IF(B63&lt;&gt;"",SUMIFS(RECORD!E$13:EP$13,RECORD!E$12:EP$12,"CLO5",RECORD!E$11:EP$11,"Midterm"),"")</x:f>
      </x:c>
      <x:c r="AI63" s="19" t="str">
        <x:f>IF(B63&lt;&gt;"",SUMIFS(RECORD!E72:EP72,RECORD!E$12:EP$12,"CLO5",RECORD!E$11:EP$11,"Final"),"")</x:f>
      </x:c>
      <x:c r="AJ63" s="19" t="str">
        <x:f>IF(B63&lt;&gt;"",SUMIFS(RECORD!E$13:EP$13,RECORD!E$12:EP$12,"CLO5",RECORD!E$11:EP$11,"Final"),"")</x:f>
      </x:c>
      <x:c r="AK63" s="20" t="str">
        <x:f t="shared" si="9"/>
      </x:c>
    </x:row>
    <x:row r="64">
      <x:c r="A64" s="18" t="str">
        <x:f>IF(RECORD!B73="","",RECORD!B73)</x:f>
      </x:c>
      <x:c r="B64" s="18" t="str">
        <x:f>IF(RECORD!C73="","",RECORD!C73)</x:f>
      </x:c>
      <x:c r="C64" s="19" t="str">
        <x:f>IF(B64&lt;&gt;"",SUMIFS(RECORD!E73:EP73,RECORD!E$12:EP$12,"CLO1",RECORD!E$11:EP$11,"Prelim"),"")</x:f>
      </x:c>
      <x:c r="D64" s="19" t="str">
        <x:f>IF(B64&lt;&gt;"",SUMIFS(RECORD!E$13:EP$13,RECORD!E$12:EP$12,"CLO1",RECORD!E$11:EP$11,"Prelim"),"")</x:f>
      </x:c>
      <x:c r="E64" s="19" t="str">
        <x:f>IF(B64&lt;&gt;"",SUMIFS(RECORD!E73:EP73,RECORD!E$12:EP$12,"CLO1",RECORD!E$11:EP$11,"Midterm"),"")</x:f>
      </x:c>
      <x:c r="F64" s="19" t="str">
        <x:f>IF(B64&lt;&gt;"",SUMIFS(RECORD!E$13:EP$13,RECORD!E$12:EP$12,"CLO1",RECORD!E$11:EP$11,"Midterm"),"")</x:f>
      </x:c>
      <x:c r="G64" s="19" t="str">
        <x:f>IF(B64&lt;&gt;"",SUMIFS(RECORD!E73:EP73,RECORD!E$12:EP$12,"CLO1",RECORD!E$11:EP$11,"Final"),"")</x:f>
      </x:c>
      <x:c r="H64" s="19" t="str">
        <x:f>IF(B64&lt;&gt;"",SUMIFS(RECORD!E$13:EP$13,RECORD!E$12:EP$12,"CLO1",RECORD!E$11:EP$11,"Final"),"")</x:f>
      </x:c>
      <x:c r="I64" s="20" t="str">
        <x:f t="shared" si="5"/>
      </x:c>
      <x:c r="J64" s="19" t="str">
        <x:f>IF(B64&lt;&gt;"",SUMIFS(RECORD!E73:EP73,RECORD!E$12:EP$12,"CLO2",RECORD!E$11:EP$11,"Prelim"),"")</x:f>
      </x:c>
      <x:c r="K64" s="19" t="str">
        <x:f>IF(B64&lt;&gt;"",SUMIFS(RECORD!E$13:EP$13,RECORD!E$12:EP$12,"CLO2",RECORD!E$11:EP$11,"Prelim"),"")</x:f>
      </x:c>
      <x:c r="L64" s="19" t="str">
        <x:f>IF(B64&lt;&gt;"",SUMIFS(RECORD!E73:EP73,RECORD!E$12:EP$12,"CLO2",RECORD!E$11:EP$11,"Midterm"),"")</x:f>
      </x:c>
      <x:c r="M64" s="19" t="str">
        <x:f>IF(B64&lt;&gt;"",SUMIFS(RECORD!E$13:EP$13,RECORD!E$12:EP$12,"CLO2",RECORD!E$11:EP$11,"Midterm"),"")</x:f>
      </x:c>
      <x:c r="N64" s="19" t="str">
        <x:f>IF(B64&lt;&gt;"",SUMIFS(RECORD!E73:EP73,RECORD!E$12:EP$12,"CLO2",RECORD!E$11:EP$11,"Final"),"")</x:f>
      </x:c>
      <x:c r="O64" s="19" t="str">
        <x:f>IF(B64&lt;&gt;"",SUMIFS(RECORD!E$13:EP$13,RECORD!E$12:EP$12,"CLO2",RECORD!E$11:EP$11,"Final"),"")</x:f>
      </x:c>
      <x:c r="P64" s="20" t="str">
        <x:f t="shared" si="6"/>
      </x:c>
      <x:c r="Q64" s="19" t="str">
        <x:f>IF(B64&lt;&gt;"",SUMIFS(RECORD!E73:EP73,RECORD!E$12:EP$12,"CLO3",RECORD!E$11:EP$11,"Prelim"),"")</x:f>
      </x:c>
      <x:c r="R64" s="19" t="str">
        <x:f>IF(B64&lt;&gt;"",SUMIFS(RECORD!E$13:EP$13,RECORD!E$12:EP$12,"CLO3",RECORD!E$11:EP$11,"Prelim"),"")</x:f>
      </x:c>
      <x:c r="S64" s="19" t="str">
        <x:f>IF(B64&lt;&gt;"",SUMIFS(RECORD!E73:EP73,RECORD!E$12:EP$12,"CLO3",RECORD!E$11:EP$11,"Midterm"),"")</x:f>
      </x:c>
      <x:c r="T64" s="19" t="str">
        <x:f>IF(B64&lt;&gt;"",SUMIFS(RECORD!E$13:EP$13,RECORD!E$12:EP$12,"CLO3",RECORD!E$11:EP$11,"Midterm"),"")</x:f>
      </x:c>
      <x:c r="U64" s="19" t="str">
        <x:f>IF(B64&lt;&gt;"",SUMIFS(RECORD!E73:EP73,RECORD!E$12:EP$12,"CLO3",RECORD!E$11:EP$11,"Final"),"")</x:f>
      </x:c>
      <x:c r="V64" s="19" t="str">
        <x:f>IF(B64&lt;&gt;"",SUMIFS(RECORD!E$13:EP$13,RECORD!E$12:EP$12,"CLO3",RECORD!E$11:EP$11,"Final"),"")</x:f>
      </x:c>
      <x:c r="W64" s="20" t="str">
        <x:f t="shared" si="7"/>
      </x:c>
      <x:c r="X64" s="19" t="str">
        <x:f>IF(B64&lt;&gt;"",SUMIFS(RECORD!E73:EP73,RECORD!E$12:EP$12,"CLO4",RECORD!E$11:EP$11,"Prelim"),"")</x:f>
      </x:c>
      <x:c r="Y64" s="19" t="str">
        <x:f>IF(B64&lt;&gt;"",SUMIFS(RECORD!E$13:EP$13,RECORD!E$12:EP$12,"CLO4",RECORD!E$11:EP$11,"Prelim"),"")</x:f>
      </x:c>
      <x:c r="Z64" s="19" t="str">
        <x:f>IF(B64&lt;&gt;"",SUMIFS(RECORD!E73:EP73,RECORD!E$12:EP$12,"CLO4",RECORD!E$11:EP$11,"Midterm"),"")</x:f>
      </x:c>
      <x:c r="AA64" s="19" t="str">
        <x:f>IF(B64&lt;&gt;"",SUMIFS(RECORD!E$13:EP$13,RECORD!E$12:EP$12,"CLO4",RECORD!E$11:EP$11,"Midterm"),"")</x:f>
      </x:c>
      <x:c r="AB64" s="19" t="str">
        <x:f>IF(B64&lt;&gt;"",SUMIFS(RECORD!E73:EP73,RECORD!E$12:EP$12,"CLO4",RECORD!E$11:EP$11,"Final"),"")</x:f>
      </x:c>
      <x:c r="AC64" s="19" t="str">
        <x:f>IF(B64&lt;&gt;"",SUMIFS(RECORD!E$13:EP$13,RECORD!E$12:EP$12,"CLO4",RECORD!E$11:EP$11,"Final"),"")</x:f>
      </x:c>
      <x:c r="AD64" s="20" t="str">
        <x:f t="shared" si="8"/>
      </x:c>
      <x:c r="AE64" s="19" t="str">
        <x:f>IF(B64&lt;&gt;"",SUMIFS(RECORD!E73:EP73,RECORD!E$12:EP$12,"CLO5",RECORD!E$11:EP$11,"Prelim"),"")</x:f>
      </x:c>
      <x:c r="AF64" s="19" t="str">
        <x:f>IF(B64&lt;&gt;"",SUMIFS(RECORD!E$13:EP$13,RECORD!E$12:EP$12,"CLO5",RECORD!E$11:EP$11,"Prelim"),"")</x:f>
      </x:c>
      <x:c r="AG64" s="19" t="str">
        <x:f>IF(B64&lt;&gt;"",SUMIFS(RECORD!E73:EP73,RECORD!E$12:EP$12,"CLO5",RECORD!E$11:EP$11,"Midterm"),"")</x:f>
      </x:c>
      <x:c r="AH64" s="19" t="str">
        <x:f>IF(B64&lt;&gt;"",SUMIFS(RECORD!E$13:EP$13,RECORD!E$12:EP$12,"CLO5",RECORD!E$11:EP$11,"Midterm"),"")</x:f>
      </x:c>
      <x:c r="AI64" s="19" t="str">
        <x:f>IF(B64&lt;&gt;"",SUMIFS(RECORD!E73:EP73,RECORD!E$12:EP$12,"CLO5",RECORD!E$11:EP$11,"Final"),"")</x:f>
      </x:c>
      <x:c r="AJ64" s="19" t="str">
        <x:f>IF(B64&lt;&gt;"",SUMIFS(RECORD!E$13:EP$13,RECORD!E$12:EP$12,"CLO5",RECORD!E$11:EP$11,"Final"),"")</x:f>
      </x:c>
      <x:c r="AK64" s="20" t="str">
        <x:f t="shared" si="9"/>
      </x:c>
    </x:row>
    <x:row r="65">
      <x:c r="A65" s="18" t="str">
        <x:f>IF(RECORD!B74="","",RECORD!B74)</x:f>
      </x:c>
      <x:c r="B65" s="18" t="str">
        <x:f>IF(RECORD!C74="","",RECORD!C74)</x:f>
      </x:c>
      <x:c r="C65" s="19" t="str">
        <x:f>IF(B65&lt;&gt;"",SUMIFS(RECORD!E74:EP74,RECORD!E$12:EP$12,"CLO1",RECORD!E$11:EP$11,"Prelim"),"")</x:f>
      </x:c>
      <x:c r="D65" s="19" t="str">
        <x:f>IF(B65&lt;&gt;"",SUMIFS(RECORD!E$13:EP$13,RECORD!E$12:EP$12,"CLO1",RECORD!E$11:EP$11,"Prelim"),"")</x:f>
      </x:c>
      <x:c r="E65" s="19" t="str">
        <x:f>IF(B65&lt;&gt;"",SUMIFS(RECORD!E74:EP74,RECORD!E$12:EP$12,"CLO1",RECORD!E$11:EP$11,"Midterm"),"")</x:f>
      </x:c>
      <x:c r="F65" s="19" t="str">
        <x:f>IF(B65&lt;&gt;"",SUMIFS(RECORD!E$13:EP$13,RECORD!E$12:EP$12,"CLO1",RECORD!E$11:EP$11,"Midterm"),"")</x:f>
      </x:c>
      <x:c r="G65" s="19" t="str">
        <x:f>IF(B65&lt;&gt;"",SUMIFS(RECORD!E74:EP74,RECORD!E$12:EP$12,"CLO1",RECORD!E$11:EP$11,"Final"),"")</x:f>
      </x:c>
      <x:c r="H65" s="19" t="str">
        <x:f>IF(B65&lt;&gt;"",SUMIFS(RECORD!E$13:EP$13,RECORD!E$12:EP$12,"CLO1",RECORD!E$11:EP$11,"Final"),"")</x:f>
      </x:c>
      <x:c r="I65" s="20" t="str">
        <x:f t="shared" si="5"/>
      </x:c>
      <x:c r="J65" s="19" t="str">
        <x:f>IF(B65&lt;&gt;"",SUMIFS(RECORD!E74:EP74,RECORD!E$12:EP$12,"CLO2",RECORD!E$11:EP$11,"Prelim"),"")</x:f>
      </x:c>
      <x:c r="K65" s="19" t="str">
        <x:f>IF(B65&lt;&gt;"",SUMIFS(RECORD!E$13:EP$13,RECORD!E$12:EP$12,"CLO2",RECORD!E$11:EP$11,"Prelim"),"")</x:f>
      </x:c>
      <x:c r="L65" s="19" t="str">
        <x:f>IF(B65&lt;&gt;"",SUMIFS(RECORD!E74:EP74,RECORD!E$12:EP$12,"CLO2",RECORD!E$11:EP$11,"Midterm"),"")</x:f>
      </x:c>
      <x:c r="M65" s="19" t="str">
        <x:f>IF(B65&lt;&gt;"",SUMIFS(RECORD!E$13:EP$13,RECORD!E$12:EP$12,"CLO2",RECORD!E$11:EP$11,"Midterm"),"")</x:f>
      </x:c>
      <x:c r="N65" s="19" t="str">
        <x:f>IF(B65&lt;&gt;"",SUMIFS(RECORD!E74:EP74,RECORD!E$12:EP$12,"CLO2",RECORD!E$11:EP$11,"Final"),"")</x:f>
      </x:c>
      <x:c r="O65" s="19" t="str">
        <x:f>IF(B65&lt;&gt;"",SUMIFS(RECORD!E$13:EP$13,RECORD!E$12:EP$12,"CLO2",RECORD!E$11:EP$11,"Final"),"")</x:f>
      </x:c>
      <x:c r="P65" s="20" t="str">
        <x:f t="shared" si="6"/>
      </x:c>
      <x:c r="Q65" s="19" t="str">
        <x:f>IF(B65&lt;&gt;"",SUMIFS(RECORD!E74:EP74,RECORD!E$12:EP$12,"CLO3",RECORD!E$11:EP$11,"Prelim"),"")</x:f>
      </x:c>
      <x:c r="R65" s="19" t="str">
        <x:f>IF(B65&lt;&gt;"",SUMIFS(RECORD!E$13:EP$13,RECORD!E$12:EP$12,"CLO3",RECORD!E$11:EP$11,"Prelim"),"")</x:f>
      </x:c>
      <x:c r="S65" s="19" t="str">
        <x:f>IF(B65&lt;&gt;"",SUMIFS(RECORD!E74:EP74,RECORD!E$12:EP$12,"CLO3",RECORD!E$11:EP$11,"Midterm"),"")</x:f>
      </x:c>
      <x:c r="T65" s="19" t="str">
        <x:f>IF(B65&lt;&gt;"",SUMIFS(RECORD!E$13:EP$13,RECORD!E$12:EP$12,"CLO3",RECORD!E$11:EP$11,"Midterm"),"")</x:f>
      </x:c>
      <x:c r="U65" s="19" t="str">
        <x:f>IF(B65&lt;&gt;"",SUMIFS(RECORD!E74:EP74,RECORD!E$12:EP$12,"CLO3",RECORD!E$11:EP$11,"Final"),"")</x:f>
      </x:c>
      <x:c r="V65" s="19" t="str">
        <x:f>IF(B65&lt;&gt;"",SUMIFS(RECORD!E$13:EP$13,RECORD!E$12:EP$12,"CLO3",RECORD!E$11:EP$11,"Final"),"")</x:f>
      </x:c>
      <x:c r="W65" s="20" t="str">
        <x:f t="shared" si="7"/>
      </x:c>
      <x:c r="X65" s="19" t="str">
        <x:f>IF(B65&lt;&gt;"",SUMIFS(RECORD!E74:EP74,RECORD!E$12:EP$12,"CLO4",RECORD!E$11:EP$11,"Prelim"),"")</x:f>
      </x:c>
      <x:c r="Y65" s="19" t="str">
        <x:f>IF(B65&lt;&gt;"",SUMIFS(RECORD!E$13:EP$13,RECORD!E$12:EP$12,"CLO4",RECORD!E$11:EP$11,"Prelim"),"")</x:f>
      </x:c>
      <x:c r="Z65" s="19" t="str">
        <x:f>IF(B65&lt;&gt;"",SUMIFS(RECORD!E74:EP74,RECORD!E$12:EP$12,"CLO4",RECORD!E$11:EP$11,"Midterm"),"")</x:f>
      </x:c>
      <x:c r="AA65" s="19" t="str">
        <x:f>IF(B65&lt;&gt;"",SUMIFS(RECORD!E$13:EP$13,RECORD!E$12:EP$12,"CLO4",RECORD!E$11:EP$11,"Midterm"),"")</x:f>
      </x:c>
      <x:c r="AB65" s="19" t="str">
        <x:f>IF(B65&lt;&gt;"",SUMIFS(RECORD!E74:EP74,RECORD!E$12:EP$12,"CLO4",RECORD!E$11:EP$11,"Final"),"")</x:f>
      </x:c>
      <x:c r="AC65" s="19" t="str">
        <x:f>IF(B65&lt;&gt;"",SUMIFS(RECORD!E$13:EP$13,RECORD!E$12:EP$12,"CLO4",RECORD!E$11:EP$11,"Final"),"")</x:f>
      </x:c>
      <x:c r="AD65" s="20" t="str">
        <x:f t="shared" si="8"/>
      </x:c>
      <x:c r="AE65" s="19" t="str">
        <x:f>IF(B65&lt;&gt;"",SUMIFS(RECORD!E74:EP74,RECORD!E$12:EP$12,"CLO5",RECORD!E$11:EP$11,"Prelim"),"")</x:f>
      </x:c>
      <x:c r="AF65" s="19" t="str">
        <x:f>IF(B65&lt;&gt;"",SUMIFS(RECORD!E$13:EP$13,RECORD!E$12:EP$12,"CLO5",RECORD!E$11:EP$11,"Prelim"),"")</x:f>
      </x:c>
      <x:c r="AG65" s="19" t="str">
        <x:f>IF(B65&lt;&gt;"",SUMIFS(RECORD!E74:EP74,RECORD!E$12:EP$12,"CLO5",RECORD!E$11:EP$11,"Midterm"),"")</x:f>
      </x:c>
      <x:c r="AH65" s="19" t="str">
        <x:f>IF(B65&lt;&gt;"",SUMIFS(RECORD!E$13:EP$13,RECORD!E$12:EP$12,"CLO5",RECORD!E$11:EP$11,"Midterm"),"")</x:f>
      </x:c>
      <x:c r="AI65" s="19" t="str">
        <x:f>IF(B65&lt;&gt;"",SUMIFS(RECORD!E74:EP74,RECORD!E$12:EP$12,"CLO5",RECORD!E$11:EP$11,"Final"),"")</x:f>
      </x:c>
      <x:c r="AJ65" s="19" t="str">
        <x:f>IF(B65&lt;&gt;"",SUMIFS(RECORD!E$13:EP$13,RECORD!E$12:EP$12,"CLO5",RECORD!E$11:EP$11,"Final"),"")</x:f>
      </x:c>
      <x:c r="AK65" s="20" t="str">
        <x:f t="shared" si="9"/>
      </x:c>
    </x:row>
    <x:row r="66">
      <x:c r="A66" s="18" t="str">
        <x:f>IF(RECORD!B75="","",RECORD!B75)</x:f>
      </x:c>
      <x:c r="B66" s="18" t="str">
        <x:f>IF(RECORD!C75="","",RECORD!C75)</x:f>
      </x:c>
      <x:c r="C66" s="19" t="str">
        <x:f>IF(B66&lt;&gt;"",SUMIFS(RECORD!E75:EP75,RECORD!E$12:EP$12,"CLO1",RECORD!E$11:EP$11,"Prelim"),"")</x:f>
      </x:c>
      <x:c r="D66" s="19" t="str">
        <x:f>IF(B66&lt;&gt;"",SUMIFS(RECORD!E$13:EP$13,RECORD!E$12:EP$12,"CLO1",RECORD!E$11:EP$11,"Prelim"),"")</x:f>
      </x:c>
      <x:c r="E66" s="19" t="str">
        <x:f>IF(B66&lt;&gt;"",SUMIFS(RECORD!E75:EP75,RECORD!E$12:EP$12,"CLO1",RECORD!E$11:EP$11,"Midterm"),"")</x:f>
      </x:c>
      <x:c r="F66" s="19" t="str">
        <x:f>IF(B66&lt;&gt;"",SUMIFS(RECORD!E$13:EP$13,RECORD!E$12:EP$12,"CLO1",RECORD!E$11:EP$11,"Midterm"),"")</x:f>
      </x:c>
      <x:c r="G66" s="19" t="str">
        <x:f>IF(B66&lt;&gt;"",SUMIFS(RECORD!E75:EP75,RECORD!E$12:EP$12,"CLO1",RECORD!E$11:EP$11,"Final"),"")</x:f>
      </x:c>
      <x:c r="H66" s="19" t="str">
        <x:f>IF(B66&lt;&gt;"",SUMIFS(RECORD!E$13:EP$13,RECORD!E$12:EP$12,"CLO1",RECORD!E$11:EP$11,"Final"),"")</x:f>
      </x:c>
      <x:c r="I66" s="20" t="str">
        <x:f t="shared" si="5"/>
      </x:c>
      <x:c r="J66" s="19" t="str">
        <x:f>IF(B66&lt;&gt;"",SUMIFS(RECORD!E75:EP75,RECORD!E$12:EP$12,"CLO2",RECORD!E$11:EP$11,"Prelim"),"")</x:f>
      </x:c>
      <x:c r="K66" s="19" t="str">
        <x:f>IF(B66&lt;&gt;"",SUMIFS(RECORD!E$13:EP$13,RECORD!E$12:EP$12,"CLO2",RECORD!E$11:EP$11,"Prelim"),"")</x:f>
      </x:c>
      <x:c r="L66" s="19" t="str">
        <x:f>IF(B66&lt;&gt;"",SUMIFS(RECORD!E75:EP75,RECORD!E$12:EP$12,"CLO2",RECORD!E$11:EP$11,"Midterm"),"")</x:f>
      </x:c>
      <x:c r="M66" s="19" t="str">
        <x:f>IF(B66&lt;&gt;"",SUMIFS(RECORD!E$13:EP$13,RECORD!E$12:EP$12,"CLO2",RECORD!E$11:EP$11,"Midterm"),"")</x:f>
      </x:c>
      <x:c r="N66" s="19" t="str">
        <x:f>IF(B66&lt;&gt;"",SUMIFS(RECORD!E75:EP75,RECORD!E$12:EP$12,"CLO2",RECORD!E$11:EP$11,"Final"),"")</x:f>
      </x:c>
      <x:c r="O66" s="19" t="str">
        <x:f>IF(B66&lt;&gt;"",SUMIFS(RECORD!E$13:EP$13,RECORD!E$12:EP$12,"CLO2",RECORD!E$11:EP$11,"Final"),"")</x:f>
      </x:c>
      <x:c r="P66" s="20" t="str">
        <x:f t="shared" si="6"/>
      </x:c>
      <x:c r="Q66" s="19" t="str">
        <x:f>IF(B66&lt;&gt;"",SUMIFS(RECORD!E75:EP75,RECORD!E$12:EP$12,"CLO3",RECORD!E$11:EP$11,"Prelim"),"")</x:f>
      </x:c>
      <x:c r="R66" s="19" t="str">
        <x:f>IF(B66&lt;&gt;"",SUMIFS(RECORD!E$13:EP$13,RECORD!E$12:EP$12,"CLO3",RECORD!E$11:EP$11,"Prelim"),"")</x:f>
      </x:c>
      <x:c r="S66" s="19" t="str">
        <x:f>IF(B66&lt;&gt;"",SUMIFS(RECORD!E75:EP75,RECORD!E$12:EP$12,"CLO3",RECORD!E$11:EP$11,"Midterm"),"")</x:f>
      </x:c>
      <x:c r="T66" s="19" t="str">
        <x:f>IF(B66&lt;&gt;"",SUMIFS(RECORD!E$13:EP$13,RECORD!E$12:EP$12,"CLO3",RECORD!E$11:EP$11,"Midterm"),"")</x:f>
      </x:c>
      <x:c r="U66" s="19" t="str">
        <x:f>IF(B66&lt;&gt;"",SUMIFS(RECORD!E75:EP75,RECORD!E$12:EP$12,"CLO3",RECORD!E$11:EP$11,"Final"),"")</x:f>
      </x:c>
      <x:c r="V66" s="19" t="str">
        <x:f>IF(B66&lt;&gt;"",SUMIFS(RECORD!E$13:EP$13,RECORD!E$12:EP$12,"CLO3",RECORD!E$11:EP$11,"Final"),"")</x:f>
      </x:c>
      <x:c r="W66" s="20" t="str">
        <x:f t="shared" si="7"/>
      </x:c>
      <x:c r="X66" s="19" t="str">
        <x:f>IF(B66&lt;&gt;"",SUMIFS(RECORD!E75:EP75,RECORD!E$12:EP$12,"CLO4",RECORD!E$11:EP$11,"Prelim"),"")</x:f>
      </x:c>
      <x:c r="Y66" s="19" t="str">
        <x:f>IF(B66&lt;&gt;"",SUMIFS(RECORD!E$13:EP$13,RECORD!E$12:EP$12,"CLO4",RECORD!E$11:EP$11,"Prelim"),"")</x:f>
      </x:c>
      <x:c r="Z66" s="19" t="str">
        <x:f>IF(B66&lt;&gt;"",SUMIFS(RECORD!E75:EP75,RECORD!E$12:EP$12,"CLO4",RECORD!E$11:EP$11,"Midterm"),"")</x:f>
      </x:c>
      <x:c r="AA66" s="19" t="str">
        <x:f>IF(B66&lt;&gt;"",SUMIFS(RECORD!E$13:EP$13,RECORD!E$12:EP$12,"CLO4",RECORD!E$11:EP$11,"Midterm"),"")</x:f>
      </x:c>
      <x:c r="AB66" s="19" t="str">
        <x:f>IF(B66&lt;&gt;"",SUMIFS(RECORD!E75:EP75,RECORD!E$12:EP$12,"CLO4",RECORD!E$11:EP$11,"Final"),"")</x:f>
      </x:c>
      <x:c r="AC66" s="19" t="str">
        <x:f>IF(B66&lt;&gt;"",SUMIFS(RECORD!E$13:EP$13,RECORD!E$12:EP$12,"CLO4",RECORD!E$11:EP$11,"Final"),"")</x:f>
      </x:c>
      <x:c r="AD66" s="20" t="str">
        <x:f t="shared" si="8"/>
      </x:c>
      <x:c r="AE66" s="19" t="str">
        <x:f>IF(B66&lt;&gt;"",SUMIFS(RECORD!E75:EP75,RECORD!E$12:EP$12,"CLO5",RECORD!E$11:EP$11,"Prelim"),"")</x:f>
      </x:c>
      <x:c r="AF66" s="19" t="str">
        <x:f>IF(B66&lt;&gt;"",SUMIFS(RECORD!E$13:EP$13,RECORD!E$12:EP$12,"CLO5",RECORD!E$11:EP$11,"Prelim"),"")</x:f>
      </x:c>
      <x:c r="AG66" s="19" t="str">
        <x:f>IF(B66&lt;&gt;"",SUMIFS(RECORD!E75:EP75,RECORD!E$12:EP$12,"CLO5",RECORD!E$11:EP$11,"Midterm"),"")</x:f>
      </x:c>
      <x:c r="AH66" s="19" t="str">
        <x:f>IF(B66&lt;&gt;"",SUMIFS(RECORD!E$13:EP$13,RECORD!E$12:EP$12,"CLO5",RECORD!E$11:EP$11,"Midterm"),"")</x:f>
      </x:c>
      <x:c r="AI66" s="19" t="str">
        <x:f>IF(B66&lt;&gt;"",SUMIFS(RECORD!E75:EP75,RECORD!E$12:EP$12,"CLO5",RECORD!E$11:EP$11,"Final"),"")</x:f>
      </x:c>
      <x:c r="AJ66" s="19" t="str">
        <x:f>IF(B66&lt;&gt;"",SUMIFS(RECORD!E$13:EP$13,RECORD!E$12:EP$12,"CLO5",RECORD!E$11:EP$11,"Final"),"")</x:f>
      </x:c>
      <x:c r="AK66" s="20" t="str">
        <x:f t="shared" si="9"/>
      </x:c>
    </x:row>
    <x:row r="67">
      <x:c r="A67" s="18" t="str">
        <x:f>IF(RECORD!B76="","",RECORD!B76)</x:f>
      </x:c>
      <x:c r="B67" s="18" t="str">
        <x:f>IF(RECORD!C76="","",RECORD!C76)</x:f>
      </x:c>
      <x:c r="C67" s="19" t="str">
        <x:f>IF(B67&lt;&gt;"",SUMIFS(RECORD!E76:EP76,RECORD!E$12:EP$12,"CLO1",RECORD!E$11:EP$11,"Prelim"),"")</x:f>
      </x:c>
      <x:c r="D67" s="19" t="str">
        <x:f>IF(B67&lt;&gt;"",SUMIFS(RECORD!E$13:EP$13,RECORD!E$12:EP$12,"CLO1",RECORD!E$11:EP$11,"Prelim"),"")</x:f>
      </x:c>
      <x:c r="E67" s="19" t="str">
        <x:f>IF(B67&lt;&gt;"",SUMIFS(RECORD!E76:EP76,RECORD!E$12:EP$12,"CLO1",RECORD!E$11:EP$11,"Midterm"),"")</x:f>
      </x:c>
      <x:c r="F67" s="19" t="str">
        <x:f>IF(B67&lt;&gt;"",SUMIFS(RECORD!E$13:EP$13,RECORD!E$12:EP$12,"CLO1",RECORD!E$11:EP$11,"Midterm"),"")</x:f>
      </x:c>
      <x:c r="G67" s="19" t="str">
        <x:f>IF(B67&lt;&gt;"",SUMIFS(RECORD!E76:EP76,RECORD!E$12:EP$12,"CLO1",RECORD!E$11:EP$11,"Final"),"")</x:f>
      </x:c>
      <x:c r="H67" s="19" t="str">
        <x:f>IF(B67&lt;&gt;"",SUMIFS(RECORD!E$13:EP$13,RECORD!E$12:EP$12,"CLO1",RECORD!E$11:EP$11,"Final"),"")</x:f>
      </x:c>
      <x:c r="I67" s="20" t="str">
        <x:f t="shared" si="5"/>
      </x:c>
      <x:c r="J67" s="19" t="str">
        <x:f>IF(B67&lt;&gt;"",SUMIFS(RECORD!E76:EP76,RECORD!E$12:EP$12,"CLO2",RECORD!E$11:EP$11,"Prelim"),"")</x:f>
      </x:c>
      <x:c r="K67" s="19" t="str">
        <x:f>IF(B67&lt;&gt;"",SUMIFS(RECORD!E$13:EP$13,RECORD!E$12:EP$12,"CLO2",RECORD!E$11:EP$11,"Prelim"),"")</x:f>
      </x:c>
      <x:c r="L67" s="19" t="str">
        <x:f>IF(B67&lt;&gt;"",SUMIFS(RECORD!E76:EP76,RECORD!E$12:EP$12,"CLO2",RECORD!E$11:EP$11,"Midterm"),"")</x:f>
      </x:c>
      <x:c r="M67" s="19" t="str">
        <x:f>IF(B67&lt;&gt;"",SUMIFS(RECORD!E$13:EP$13,RECORD!E$12:EP$12,"CLO2",RECORD!E$11:EP$11,"Midterm"),"")</x:f>
      </x:c>
      <x:c r="N67" s="19" t="str">
        <x:f>IF(B67&lt;&gt;"",SUMIFS(RECORD!E76:EP76,RECORD!E$12:EP$12,"CLO2",RECORD!E$11:EP$11,"Final"),"")</x:f>
      </x:c>
      <x:c r="O67" s="19" t="str">
        <x:f>IF(B67&lt;&gt;"",SUMIFS(RECORD!E$13:EP$13,RECORD!E$12:EP$12,"CLO2",RECORD!E$11:EP$11,"Final"),"")</x:f>
      </x:c>
      <x:c r="P67" s="20" t="str">
        <x:f t="shared" si="6"/>
      </x:c>
      <x:c r="Q67" s="19" t="str">
        <x:f>IF(B67&lt;&gt;"",SUMIFS(RECORD!E76:EP76,RECORD!E$12:EP$12,"CLO3",RECORD!E$11:EP$11,"Prelim"),"")</x:f>
      </x:c>
      <x:c r="R67" s="19" t="str">
        <x:f>IF(B67&lt;&gt;"",SUMIFS(RECORD!E$13:EP$13,RECORD!E$12:EP$12,"CLO3",RECORD!E$11:EP$11,"Prelim"),"")</x:f>
      </x:c>
      <x:c r="S67" s="19" t="str">
        <x:f>IF(B67&lt;&gt;"",SUMIFS(RECORD!E76:EP76,RECORD!E$12:EP$12,"CLO3",RECORD!E$11:EP$11,"Midterm"),"")</x:f>
      </x:c>
      <x:c r="T67" s="19" t="str">
        <x:f>IF(B67&lt;&gt;"",SUMIFS(RECORD!E$13:EP$13,RECORD!E$12:EP$12,"CLO3",RECORD!E$11:EP$11,"Midterm"),"")</x:f>
      </x:c>
      <x:c r="U67" s="19" t="str">
        <x:f>IF(B67&lt;&gt;"",SUMIFS(RECORD!E76:EP76,RECORD!E$12:EP$12,"CLO3",RECORD!E$11:EP$11,"Final"),"")</x:f>
      </x:c>
      <x:c r="V67" s="19" t="str">
        <x:f>IF(B67&lt;&gt;"",SUMIFS(RECORD!E$13:EP$13,RECORD!E$12:EP$12,"CLO3",RECORD!E$11:EP$11,"Final"),"")</x:f>
      </x:c>
      <x:c r="W67" s="20" t="str">
        <x:f t="shared" si="7"/>
      </x:c>
      <x:c r="X67" s="19" t="str">
        <x:f>IF(B67&lt;&gt;"",SUMIFS(RECORD!E76:EP76,RECORD!E$12:EP$12,"CLO4",RECORD!E$11:EP$11,"Prelim"),"")</x:f>
      </x:c>
      <x:c r="Y67" s="19" t="str">
        <x:f>IF(B67&lt;&gt;"",SUMIFS(RECORD!E$13:EP$13,RECORD!E$12:EP$12,"CLO4",RECORD!E$11:EP$11,"Prelim"),"")</x:f>
      </x:c>
      <x:c r="Z67" s="19" t="str">
        <x:f>IF(B67&lt;&gt;"",SUMIFS(RECORD!E76:EP76,RECORD!E$12:EP$12,"CLO4",RECORD!E$11:EP$11,"Midterm"),"")</x:f>
      </x:c>
      <x:c r="AA67" s="19" t="str">
        <x:f>IF(B67&lt;&gt;"",SUMIFS(RECORD!E$13:EP$13,RECORD!E$12:EP$12,"CLO4",RECORD!E$11:EP$11,"Midterm"),"")</x:f>
      </x:c>
      <x:c r="AB67" s="19" t="str">
        <x:f>IF(B67&lt;&gt;"",SUMIFS(RECORD!E76:EP76,RECORD!E$12:EP$12,"CLO4",RECORD!E$11:EP$11,"Final"),"")</x:f>
      </x:c>
      <x:c r="AC67" s="19" t="str">
        <x:f>IF(B67&lt;&gt;"",SUMIFS(RECORD!E$13:EP$13,RECORD!E$12:EP$12,"CLO4",RECORD!E$11:EP$11,"Final"),"")</x:f>
      </x:c>
      <x:c r="AD67" s="20" t="str">
        <x:f t="shared" si="8"/>
      </x:c>
      <x:c r="AE67" s="19" t="str">
        <x:f>IF(B67&lt;&gt;"",SUMIFS(RECORD!E76:EP76,RECORD!E$12:EP$12,"CLO5",RECORD!E$11:EP$11,"Prelim"),"")</x:f>
      </x:c>
      <x:c r="AF67" s="19" t="str">
        <x:f>IF(B67&lt;&gt;"",SUMIFS(RECORD!E$13:EP$13,RECORD!E$12:EP$12,"CLO5",RECORD!E$11:EP$11,"Prelim"),"")</x:f>
      </x:c>
      <x:c r="AG67" s="19" t="str">
        <x:f>IF(B67&lt;&gt;"",SUMIFS(RECORD!E76:EP76,RECORD!E$12:EP$12,"CLO5",RECORD!E$11:EP$11,"Midterm"),"")</x:f>
      </x:c>
      <x:c r="AH67" s="19" t="str">
        <x:f>IF(B67&lt;&gt;"",SUMIFS(RECORD!E$13:EP$13,RECORD!E$12:EP$12,"CLO5",RECORD!E$11:EP$11,"Midterm"),"")</x:f>
      </x:c>
      <x:c r="AI67" s="19" t="str">
        <x:f>IF(B67&lt;&gt;"",SUMIFS(RECORD!E76:EP76,RECORD!E$12:EP$12,"CLO5",RECORD!E$11:EP$11,"Final"),"")</x:f>
      </x:c>
      <x:c r="AJ67" s="19" t="str">
        <x:f>IF(B67&lt;&gt;"",SUMIFS(RECORD!E$13:EP$13,RECORD!E$12:EP$12,"CLO5",RECORD!E$11:EP$11,"Final"),"")</x:f>
      </x:c>
      <x:c r="AK67" s="20" t="str">
        <x:f t="shared" si="9"/>
      </x:c>
    </x:row>
    <x:row r="68">
      <x:c r="A68" s="18" t="str">
        <x:f>IF(RECORD!B77="","",RECORD!B77)</x:f>
      </x:c>
      <x:c r="B68" s="18" t="str">
        <x:f>IF(RECORD!C77="","",RECORD!C77)</x:f>
      </x:c>
      <x:c r="C68" s="19" t="str">
        <x:f>IF(B68&lt;&gt;"",SUMIFS(RECORD!E77:EP77,RECORD!E$12:EP$12,"CLO1",RECORD!E$11:EP$11,"Prelim"),"")</x:f>
      </x:c>
      <x:c r="D68" s="19" t="str">
        <x:f>IF(B68&lt;&gt;"",SUMIFS(RECORD!E$13:EP$13,RECORD!E$12:EP$12,"CLO1",RECORD!E$11:EP$11,"Prelim"),"")</x:f>
      </x:c>
      <x:c r="E68" s="19" t="str">
        <x:f>IF(B68&lt;&gt;"",SUMIFS(RECORD!E77:EP77,RECORD!E$12:EP$12,"CLO1",RECORD!E$11:EP$11,"Midterm"),"")</x:f>
      </x:c>
      <x:c r="F68" s="19" t="str">
        <x:f>IF(B68&lt;&gt;"",SUMIFS(RECORD!E$13:EP$13,RECORD!E$12:EP$12,"CLO1",RECORD!E$11:EP$11,"Midterm"),"")</x:f>
      </x:c>
      <x:c r="G68" s="19" t="str">
        <x:f>IF(B68&lt;&gt;"",SUMIFS(RECORD!E77:EP77,RECORD!E$12:EP$12,"CLO1",RECORD!E$11:EP$11,"Final"),"")</x:f>
      </x:c>
      <x:c r="H68" s="19" t="str">
        <x:f>IF(B68&lt;&gt;"",SUMIFS(RECORD!E$13:EP$13,RECORD!E$12:EP$12,"CLO1",RECORD!E$11:EP$11,"Final"),"")</x:f>
      </x:c>
      <x:c r="I68" s="20" t="str">
        <x:f t="shared" si="5"/>
      </x:c>
      <x:c r="J68" s="19" t="str">
        <x:f>IF(B68&lt;&gt;"",SUMIFS(RECORD!E77:EP77,RECORD!E$12:EP$12,"CLO2",RECORD!E$11:EP$11,"Prelim"),"")</x:f>
      </x:c>
      <x:c r="K68" s="19" t="str">
        <x:f>IF(B68&lt;&gt;"",SUMIFS(RECORD!E$13:EP$13,RECORD!E$12:EP$12,"CLO2",RECORD!E$11:EP$11,"Prelim"),"")</x:f>
      </x:c>
      <x:c r="L68" s="19" t="str">
        <x:f>IF(B68&lt;&gt;"",SUMIFS(RECORD!E77:EP77,RECORD!E$12:EP$12,"CLO2",RECORD!E$11:EP$11,"Midterm"),"")</x:f>
      </x:c>
      <x:c r="M68" s="19" t="str">
        <x:f>IF(B68&lt;&gt;"",SUMIFS(RECORD!E$13:EP$13,RECORD!E$12:EP$12,"CLO2",RECORD!E$11:EP$11,"Midterm"),"")</x:f>
      </x:c>
      <x:c r="N68" s="19" t="str">
        <x:f>IF(B68&lt;&gt;"",SUMIFS(RECORD!E77:EP77,RECORD!E$12:EP$12,"CLO2",RECORD!E$11:EP$11,"Final"),"")</x:f>
      </x:c>
      <x:c r="O68" s="19" t="str">
        <x:f>IF(B68&lt;&gt;"",SUMIFS(RECORD!E$13:EP$13,RECORD!E$12:EP$12,"CLO2",RECORD!E$11:EP$11,"Final"),"")</x:f>
      </x:c>
      <x:c r="P68" s="20" t="str">
        <x:f t="shared" si="6"/>
      </x:c>
      <x:c r="Q68" s="19" t="str">
        <x:f>IF(B68&lt;&gt;"",SUMIFS(RECORD!E77:EP77,RECORD!E$12:EP$12,"CLO3",RECORD!E$11:EP$11,"Prelim"),"")</x:f>
      </x:c>
      <x:c r="R68" s="19" t="str">
        <x:f>IF(B68&lt;&gt;"",SUMIFS(RECORD!E$13:EP$13,RECORD!E$12:EP$12,"CLO3",RECORD!E$11:EP$11,"Prelim"),"")</x:f>
      </x:c>
      <x:c r="S68" s="19" t="str">
        <x:f>IF(B68&lt;&gt;"",SUMIFS(RECORD!E77:EP77,RECORD!E$12:EP$12,"CLO3",RECORD!E$11:EP$11,"Midterm"),"")</x:f>
      </x:c>
      <x:c r="T68" s="19" t="str">
        <x:f>IF(B68&lt;&gt;"",SUMIFS(RECORD!E$13:EP$13,RECORD!E$12:EP$12,"CLO3",RECORD!E$11:EP$11,"Midterm"),"")</x:f>
      </x:c>
      <x:c r="U68" s="19" t="str">
        <x:f>IF(B68&lt;&gt;"",SUMIFS(RECORD!E77:EP77,RECORD!E$12:EP$12,"CLO3",RECORD!E$11:EP$11,"Final"),"")</x:f>
      </x:c>
      <x:c r="V68" s="19" t="str">
        <x:f>IF(B68&lt;&gt;"",SUMIFS(RECORD!E$13:EP$13,RECORD!E$12:EP$12,"CLO3",RECORD!E$11:EP$11,"Final"),"")</x:f>
      </x:c>
      <x:c r="W68" s="20" t="str">
        <x:f t="shared" si="7"/>
      </x:c>
      <x:c r="X68" s="19" t="str">
        <x:f>IF(B68&lt;&gt;"",SUMIFS(RECORD!E77:EP77,RECORD!E$12:EP$12,"CLO4",RECORD!E$11:EP$11,"Prelim"),"")</x:f>
      </x:c>
      <x:c r="Y68" s="19" t="str">
        <x:f>IF(B68&lt;&gt;"",SUMIFS(RECORD!E$13:EP$13,RECORD!E$12:EP$12,"CLO4",RECORD!E$11:EP$11,"Prelim"),"")</x:f>
      </x:c>
      <x:c r="Z68" s="19" t="str">
        <x:f>IF(B68&lt;&gt;"",SUMIFS(RECORD!E77:EP77,RECORD!E$12:EP$12,"CLO4",RECORD!E$11:EP$11,"Midterm"),"")</x:f>
      </x:c>
      <x:c r="AA68" s="19" t="str">
        <x:f>IF(B68&lt;&gt;"",SUMIFS(RECORD!E$13:EP$13,RECORD!E$12:EP$12,"CLO4",RECORD!E$11:EP$11,"Midterm"),"")</x:f>
      </x:c>
      <x:c r="AB68" s="19" t="str">
        <x:f>IF(B68&lt;&gt;"",SUMIFS(RECORD!E77:EP77,RECORD!E$12:EP$12,"CLO4",RECORD!E$11:EP$11,"Final"),"")</x:f>
      </x:c>
      <x:c r="AC68" s="19" t="str">
        <x:f>IF(B68&lt;&gt;"",SUMIFS(RECORD!E$13:EP$13,RECORD!E$12:EP$12,"CLO4",RECORD!E$11:EP$11,"Final"),"")</x:f>
      </x:c>
      <x:c r="AD68" s="20" t="str">
        <x:f t="shared" si="8"/>
      </x:c>
      <x:c r="AE68" s="19" t="str">
        <x:f>IF(B68&lt;&gt;"",SUMIFS(RECORD!E77:EP77,RECORD!E$12:EP$12,"CLO5",RECORD!E$11:EP$11,"Prelim"),"")</x:f>
      </x:c>
      <x:c r="AF68" s="19" t="str">
        <x:f>IF(B68&lt;&gt;"",SUMIFS(RECORD!E$13:EP$13,RECORD!E$12:EP$12,"CLO5",RECORD!E$11:EP$11,"Prelim"),"")</x:f>
      </x:c>
      <x:c r="AG68" s="19" t="str">
        <x:f>IF(B68&lt;&gt;"",SUMIFS(RECORD!E77:EP77,RECORD!E$12:EP$12,"CLO5",RECORD!E$11:EP$11,"Midterm"),"")</x:f>
      </x:c>
      <x:c r="AH68" s="19" t="str">
        <x:f>IF(B68&lt;&gt;"",SUMIFS(RECORD!E$13:EP$13,RECORD!E$12:EP$12,"CLO5",RECORD!E$11:EP$11,"Midterm"),"")</x:f>
      </x:c>
      <x:c r="AI68" s="19" t="str">
        <x:f>IF(B68&lt;&gt;"",SUMIFS(RECORD!E77:EP77,RECORD!E$12:EP$12,"CLO5",RECORD!E$11:EP$11,"Final"),"")</x:f>
      </x:c>
      <x:c r="AJ68" s="19" t="str">
        <x:f>IF(B68&lt;&gt;"",SUMIFS(RECORD!E$13:EP$13,RECORD!E$12:EP$12,"CLO5",RECORD!E$11:EP$11,"Final"),"")</x:f>
      </x:c>
      <x:c r="AK68" s="20" t="str">
        <x:f t="shared" si="9"/>
      </x:c>
    </x:row>
    <x:row r="69">
      <x:c r="A69" s="18" t="str">
        <x:f>IF(RECORD!B78="","",RECORD!B78)</x:f>
      </x:c>
      <x:c r="B69" s="18" t="str">
        <x:f>IF(RECORD!C78="","",RECORD!C78)</x:f>
      </x:c>
      <x:c r="C69" s="19" t="str">
        <x:f>IF(B69&lt;&gt;"",SUMIFS(RECORD!E78:EP78,RECORD!E$12:EP$12,"CLO1",RECORD!E$11:EP$11,"Prelim"),"")</x:f>
      </x:c>
      <x:c r="D69" s="19" t="str">
        <x:f>IF(B69&lt;&gt;"",SUMIFS(RECORD!E$13:EP$13,RECORD!E$12:EP$12,"CLO1",RECORD!E$11:EP$11,"Prelim"),"")</x:f>
      </x:c>
      <x:c r="E69" s="19" t="str">
        <x:f>IF(B69&lt;&gt;"",SUMIFS(RECORD!E78:EP78,RECORD!E$12:EP$12,"CLO1",RECORD!E$11:EP$11,"Midterm"),"")</x:f>
      </x:c>
      <x:c r="F69" s="19" t="str">
        <x:f>IF(B69&lt;&gt;"",SUMIFS(RECORD!E$13:EP$13,RECORD!E$12:EP$12,"CLO1",RECORD!E$11:EP$11,"Midterm"),"")</x:f>
      </x:c>
      <x:c r="G69" s="19" t="str">
        <x:f>IF(B69&lt;&gt;"",SUMIFS(RECORD!E78:EP78,RECORD!E$12:EP$12,"CLO1",RECORD!E$11:EP$11,"Final"),"")</x:f>
      </x:c>
      <x:c r="H69" s="19" t="str">
        <x:f>IF(B69&lt;&gt;"",SUMIFS(RECORD!E$13:EP$13,RECORD!E$12:EP$12,"CLO1",RECORD!E$11:EP$11,"Final"),"")</x:f>
      </x:c>
      <x:c r="I69" s="20" t="str">
        <x:f t="shared" ref="I69:I70" si="10">IF(B69&lt;&gt;"",IFERROR((C69+E69+G69)/(D69+F69+H69)*100,0),"")</x:f>
      </x:c>
      <x:c r="J69" s="19" t="str">
        <x:f>IF(B69&lt;&gt;"",SUMIFS(RECORD!E78:EP78,RECORD!E$12:EP$12,"CLO2",RECORD!E$11:EP$11,"Prelim"),"")</x:f>
      </x:c>
      <x:c r="K69" s="19" t="str">
        <x:f>IF(B69&lt;&gt;"",SUMIFS(RECORD!E$13:EP$13,RECORD!E$12:EP$12,"CLO2",RECORD!E$11:EP$11,"Prelim"),"")</x:f>
      </x:c>
      <x:c r="L69" s="19" t="str">
        <x:f>IF(B69&lt;&gt;"",SUMIFS(RECORD!E78:EP78,RECORD!E$12:EP$12,"CLO2",RECORD!E$11:EP$11,"Midterm"),"")</x:f>
      </x:c>
      <x:c r="M69" s="19" t="str">
        <x:f>IF(B69&lt;&gt;"",SUMIFS(RECORD!E$13:EP$13,RECORD!E$12:EP$12,"CLO2",RECORD!E$11:EP$11,"Midterm"),"")</x:f>
      </x:c>
      <x:c r="N69" s="19" t="str">
        <x:f>IF(B69&lt;&gt;"",SUMIFS(RECORD!E78:EP78,RECORD!E$12:EP$12,"CLO2",RECORD!E$11:EP$11,"Final"),"")</x:f>
      </x:c>
      <x:c r="O69" s="19" t="str">
        <x:f>IF(B69&lt;&gt;"",SUMIFS(RECORD!E$13:EP$13,RECORD!E$12:EP$12,"CLO2",RECORD!E$11:EP$11,"Final"),"")</x:f>
      </x:c>
      <x:c r="P69" s="20" t="str">
        <x:f t="shared" ref="P69:P70" si="11">IF(B69&lt;&gt;"",IFERROR((J69+L69+N69)/(K69+M69+O69)*100,0),"")</x:f>
      </x:c>
      <x:c r="Q69" s="19" t="str">
        <x:f>IF(B69&lt;&gt;"",SUMIFS(RECORD!E78:EP78,RECORD!E$12:EP$12,"CLO3",RECORD!E$11:EP$11,"Prelim"),"")</x:f>
      </x:c>
      <x:c r="R69" s="19" t="str">
        <x:f>IF(B69&lt;&gt;"",SUMIFS(RECORD!E$13:EP$13,RECORD!E$12:EP$12,"CLO3",RECORD!E$11:EP$11,"Prelim"),"")</x:f>
      </x:c>
      <x:c r="S69" s="19" t="str">
        <x:f>IF(B69&lt;&gt;"",SUMIFS(RECORD!E78:EP78,RECORD!E$12:EP$12,"CLO3",RECORD!E$11:EP$11,"Midterm"),"")</x:f>
      </x:c>
      <x:c r="T69" s="19" t="str">
        <x:f>IF(B69&lt;&gt;"",SUMIFS(RECORD!E$13:EP$13,RECORD!E$12:EP$12,"CLO3",RECORD!E$11:EP$11,"Midterm"),"")</x:f>
      </x:c>
      <x:c r="U69" s="19" t="str">
        <x:f>IF(B69&lt;&gt;"",SUMIFS(RECORD!E78:EP78,RECORD!E$12:EP$12,"CLO3",RECORD!E$11:EP$11,"Final"),"")</x:f>
      </x:c>
      <x:c r="V69" s="19" t="str">
        <x:f>IF(B69&lt;&gt;"",SUMIFS(RECORD!E$13:EP$13,RECORD!E$12:EP$12,"CLO3",RECORD!E$11:EP$11,"Final"),"")</x:f>
      </x:c>
      <x:c r="W69" s="20" t="str">
        <x:f t="shared" ref="W69:W70" si="12">IF(B69&lt;&gt;"",IFERROR((Q69+S69+U69)/(R69+T69+V69)*100,0),"")</x:f>
      </x:c>
      <x:c r="X69" s="19" t="str">
        <x:f>IF(B69&lt;&gt;"",SUMIFS(RECORD!E78:EP78,RECORD!E$12:EP$12,"CLO4",RECORD!E$11:EP$11,"Prelim"),"")</x:f>
      </x:c>
      <x:c r="Y69" s="19" t="str">
        <x:f>IF(B69&lt;&gt;"",SUMIFS(RECORD!E$13:EP$13,RECORD!E$12:EP$12,"CLO4",RECORD!E$11:EP$11,"Prelim"),"")</x:f>
      </x:c>
      <x:c r="Z69" s="19" t="str">
        <x:f>IF(B69&lt;&gt;"",SUMIFS(RECORD!E78:EP78,RECORD!E$12:EP$12,"CLO4",RECORD!E$11:EP$11,"Midterm"),"")</x:f>
      </x:c>
      <x:c r="AA69" s="19" t="str">
        <x:f>IF(B69&lt;&gt;"",SUMIFS(RECORD!E$13:EP$13,RECORD!E$12:EP$12,"CLO4",RECORD!E$11:EP$11,"Midterm"),"")</x:f>
      </x:c>
      <x:c r="AB69" s="19" t="str">
        <x:f>IF(B69&lt;&gt;"",SUMIFS(RECORD!E78:EP78,RECORD!E$12:EP$12,"CLO4",RECORD!E$11:EP$11,"Final"),"")</x:f>
      </x:c>
      <x:c r="AC69" s="19" t="str">
        <x:f>IF(B69&lt;&gt;"",SUMIFS(RECORD!E$13:EP$13,RECORD!E$12:EP$12,"CLO4",RECORD!E$11:EP$11,"Final"),"")</x:f>
      </x:c>
      <x:c r="AD69" s="20" t="str">
        <x:f t="shared" ref="AD69:AD70" si="13">IF(B69&lt;&gt;"",IFERROR((X69+Z69+AB69)/(Y69+AA69+AC69)*100,0),"")</x:f>
      </x:c>
      <x:c r="AE69" s="19" t="str">
        <x:f>IF(B69&lt;&gt;"",SUMIFS(RECORD!E78:EP78,RECORD!E$12:EP$12,"CLO5",RECORD!E$11:EP$11,"Prelim"),"")</x:f>
      </x:c>
      <x:c r="AF69" s="19" t="str">
        <x:f>IF(B69&lt;&gt;"",SUMIFS(RECORD!E$13:EP$13,RECORD!E$12:EP$12,"CLO5",RECORD!E$11:EP$11,"Prelim"),"")</x:f>
      </x:c>
      <x:c r="AG69" s="19" t="str">
        <x:f>IF(B69&lt;&gt;"",SUMIFS(RECORD!E78:EP78,RECORD!E$12:EP$12,"CLO5",RECORD!E$11:EP$11,"Midterm"),"")</x:f>
      </x:c>
      <x:c r="AH69" s="19" t="str">
        <x:f>IF(B69&lt;&gt;"",SUMIFS(RECORD!E$13:EP$13,RECORD!E$12:EP$12,"CLO5",RECORD!E$11:EP$11,"Midterm"),"")</x:f>
      </x:c>
      <x:c r="AI69" s="19" t="str">
        <x:f>IF(B69&lt;&gt;"",SUMIFS(RECORD!E78:EP78,RECORD!E$12:EP$12,"CLO5",RECORD!E$11:EP$11,"Final"),"")</x:f>
      </x:c>
      <x:c r="AJ69" s="19" t="str">
        <x:f>IF(B69&lt;&gt;"",SUMIFS(RECORD!E$13:EP$13,RECORD!E$12:EP$12,"CLO5",RECORD!E$11:EP$11,"Final"),"")</x:f>
      </x:c>
      <x:c r="AK69" s="20" t="str">
        <x:f t="shared" ref="AK69:AK70" si="14">IF(B69&lt;&gt;"",IFERROR((AE69+AG69+AI69)/(AF69+AH69+AJ69)*100,0),"")</x:f>
      </x:c>
    </x:row>
    <x:row r="70">
      <x:c r="A70" s="18" t="str">
        <x:f>IF(RECORD!B79="","",RECORD!B79)</x:f>
      </x:c>
      <x:c r="B70" s="18" t="str">
        <x:f>IF(RECORD!C79="","",RECORD!C79)</x:f>
      </x:c>
      <x:c r="C70" s="19" t="str">
        <x:f>IF(B70&lt;&gt;"",SUMIFS(RECORD!E79:EP79,RECORD!E$12:EP$12,"CLO1",RECORD!E$11:EP$11,"Prelim"),"")</x:f>
      </x:c>
      <x:c r="D70" s="19" t="str">
        <x:f>IF(B70&lt;&gt;"",SUMIFS(RECORD!E$13:EP$13,RECORD!E$12:EP$12,"CLO1",RECORD!E$11:EP$11,"Prelim"),"")</x:f>
      </x:c>
      <x:c r="E70" s="19" t="str">
        <x:f>IF(B70&lt;&gt;"",SUMIFS(RECORD!E79:EP79,RECORD!E$12:EP$12,"CLO1",RECORD!E$11:EP$11,"Midterm"),"")</x:f>
      </x:c>
      <x:c r="F70" s="19" t="str">
        <x:f>IF(B70&lt;&gt;"",SUMIFS(RECORD!E$13:EP$13,RECORD!E$12:EP$12,"CLO1",RECORD!E$11:EP$11,"Midterm"),"")</x:f>
      </x:c>
      <x:c r="G70" s="19" t="str">
        <x:f>IF(B70&lt;&gt;"",SUMIFS(RECORD!E79:EP79,RECORD!E$12:EP$12,"CLO1",RECORD!E$11:EP$11,"Final"),"")</x:f>
      </x:c>
      <x:c r="H70" s="19" t="str">
        <x:f>IF(B70&lt;&gt;"",SUMIFS(RECORD!E$13:EP$13,RECORD!E$12:EP$12,"CLO1",RECORD!E$11:EP$11,"Final"),"")</x:f>
      </x:c>
      <x:c r="I70" s="20" t="str">
        <x:f t="shared" si="10"/>
      </x:c>
      <x:c r="J70" s="19" t="str">
        <x:f>IF(B70&lt;&gt;"",SUMIFS(RECORD!E79:EP79,RECORD!E$12:EP$12,"CLO2",RECORD!E$11:EP$11,"Prelim"),"")</x:f>
      </x:c>
      <x:c r="K70" s="19" t="str">
        <x:f>IF(B70&lt;&gt;"",SUMIFS(RECORD!E$13:EP$13,RECORD!E$12:EP$12,"CLO2",RECORD!E$11:EP$11,"Prelim"),"")</x:f>
      </x:c>
      <x:c r="L70" s="19" t="str">
        <x:f>IF(B70&lt;&gt;"",SUMIFS(RECORD!E79:EP79,RECORD!E$12:EP$12,"CLO2",RECORD!E$11:EP$11,"Midterm"),"")</x:f>
      </x:c>
      <x:c r="M70" s="19" t="str">
        <x:f>IF(B70&lt;&gt;"",SUMIFS(RECORD!E$13:EP$13,RECORD!E$12:EP$12,"CLO2",RECORD!E$11:EP$11,"Midterm"),"")</x:f>
      </x:c>
      <x:c r="N70" s="19" t="str">
        <x:f>IF(B70&lt;&gt;"",SUMIFS(RECORD!E79:EP79,RECORD!E$12:EP$12,"CLO2",RECORD!E$11:EP$11,"Final"),"")</x:f>
      </x:c>
      <x:c r="O70" s="19" t="str">
        <x:f>IF(B70&lt;&gt;"",SUMIFS(RECORD!E$13:EP$13,RECORD!E$12:EP$12,"CLO2",RECORD!E$11:EP$11,"Final"),"")</x:f>
      </x:c>
      <x:c r="P70" s="20" t="str">
        <x:f t="shared" si="11"/>
      </x:c>
      <x:c r="Q70" s="19" t="str">
        <x:f>IF(B70&lt;&gt;"",SUMIFS(RECORD!E79:EP79,RECORD!E$12:EP$12,"CLO3",RECORD!E$11:EP$11,"Prelim"),"")</x:f>
      </x:c>
      <x:c r="R70" s="19" t="str">
        <x:f>IF(B70&lt;&gt;"",SUMIFS(RECORD!E$13:EP$13,RECORD!E$12:EP$12,"CLO3",RECORD!E$11:EP$11,"Prelim"),"")</x:f>
      </x:c>
      <x:c r="S70" s="19" t="str">
        <x:f>IF(B70&lt;&gt;"",SUMIFS(RECORD!E79:EP79,RECORD!E$12:EP$12,"CLO3",RECORD!E$11:EP$11,"Midterm"),"")</x:f>
      </x:c>
      <x:c r="T70" s="19" t="str">
        <x:f>IF(B70&lt;&gt;"",SUMIFS(RECORD!E$13:EP$13,RECORD!E$12:EP$12,"CLO3",RECORD!E$11:EP$11,"Midterm"),"")</x:f>
      </x:c>
      <x:c r="U70" s="19" t="str">
        <x:f>IF(B70&lt;&gt;"",SUMIFS(RECORD!E79:EP79,RECORD!E$12:EP$12,"CLO3",RECORD!E$11:EP$11,"Final"),"")</x:f>
      </x:c>
      <x:c r="V70" s="19" t="str">
        <x:f>IF(B70&lt;&gt;"",SUMIFS(RECORD!E$13:EP$13,RECORD!E$12:EP$12,"CLO3",RECORD!E$11:EP$11,"Final"),"")</x:f>
      </x:c>
      <x:c r="W70" s="20" t="str">
        <x:f t="shared" si="12"/>
      </x:c>
      <x:c r="X70" s="19" t="str">
        <x:f>IF(B70&lt;&gt;"",SUMIFS(RECORD!E79:EP79,RECORD!E$12:EP$12,"CLO4",RECORD!E$11:EP$11,"Prelim"),"")</x:f>
      </x:c>
      <x:c r="Y70" s="19" t="str">
        <x:f>IF(B70&lt;&gt;"",SUMIFS(RECORD!E$13:EP$13,RECORD!E$12:EP$12,"CLO4",RECORD!E$11:EP$11,"Prelim"),"")</x:f>
      </x:c>
      <x:c r="Z70" s="19" t="str">
        <x:f>IF(B70&lt;&gt;"",SUMIFS(RECORD!E79:EP79,RECORD!E$12:EP$12,"CLO4",RECORD!E$11:EP$11,"Midterm"),"")</x:f>
      </x:c>
      <x:c r="AA70" s="19" t="str">
        <x:f>IF(B70&lt;&gt;"",SUMIFS(RECORD!E$13:EP$13,RECORD!E$12:EP$12,"CLO4",RECORD!E$11:EP$11,"Midterm"),"")</x:f>
      </x:c>
      <x:c r="AB70" s="19" t="str">
        <x:f>IF(B70&lt;&gt;"",SUMIFS(RECORD!E79:EP79,RECORD!E$12:EP$12,"CLO4",RECORD!E$11:EP$11,"Final"),"")</x:f>
      </x:c>
      <x:c r="AC70" s="19" t="str">
        <x:f>IF(B70&lt;&gt;"",SUMIFS(RECORD!E$13:EP$13,RECORD!E$12:EP$12,"CLO4",RECORD!E$11:EP$11,"Final"),"")</x:f>
      </x:c>
      <x:c r="AD70" s="20" t="str">
        <x:f t="shared" si="13"/>
      </x:c>
      <x:c r="AE70" s="19" t="str">
        <x:f>IF(B70&lt;&gt;"",SUMIFS(RECORD!E79:EP79,RECORD!E$12:EP$12,"CLO5",RECORD!E$11:EP$11,"Prelim"),"")</x:f>
      </x:c>
      <x:c r="AF70" s="19" t="str">
        <x:f>IF(B70&lt;&gt;"",SUMIFS(RECORD!E$13:EP$13,RECORD!E$12:EP$12,"CLO5",RECORD!E$11:EP$11,"Prelim"),"")</x:f>
      </x:c>
      <x:c r="AG70" s="19" t="str">
        <x:f>IF(B70&lt;&gt;"",SUMIFS(RECORD!E79:EP79,RECORD!E$12:EP$12,"CLO5",RECORD!E$11:EP$11,"Midterm"),"")</x:f>
      </x:c>
      <x:c r="AH70" s="19" t="str">
        <x:f>IF(B70&lt;&gt;"",SUMIFS(RECORD!E$13:EP$13,RECORD!E$12:EP$12,"CLO5",RECORD!E$11:EP$11,"Midterm"),"")</x:f>
      </x:c>
      <x:c r="AI70" s="19" t="str">
        <x:f>IF(B70&lt;&gt;"",SUMIFS(RECORD!E79:EP79,RECORD!E$12:EP$12,"CLO5",RECORD!E$11:EP$11,"Final"),"")</x:f>
      </x:c>
      <x:c r="AJ70" s="19" t="str">
        <x:f>IF(B70&lt;&gt;"",SUMIFS(RECORD!E$13:EP$13,RECORD!E$12:EP$12,"CLO5",RECORD!E$11:EP$11,"Final"),"")</x:f>
      </x:c>
      <x:c r="AK70" s="20" t="str">
        <x:f t="shared" si="14"/>
      </x:c>
    </x:row>
    <x:row r="72">
      <x:c r="B72" s="5" t="s">
        <x:v>43</x:v>
      </x:c>
      <x:c r="I72" s="21" t="n">
        <x:f>IFERROR(AVERAGE(I5:I70),0)</x:f>
        <x:v>79.77777777777779</x:v>
      </x:c>
      <x:c r="P72" s="21" t="n">
        <x:f>IFERROR(AVERAGE(P5:P70),0)</x:f>
        <x:v>76.44444444444444</x:v>
      </x:c>
      <x:c r="W72" s="21" t="n">
        <x:f>IFERROR(AVERAGE(W5:W70),0)</x:f>
        <x:v>82.71544715447155</x:v>
      </x:c>
      <x:c r="AD72" s="21" t="n">
        <x:f>IFERROR(AVERAGE(AD5:AD70),0)</x:f>
        <x:v>77.85185185185188</x:v>
      </x:c>
      <x:c r="AK72" s="21" t="n">
        <x:f>IFERROR(AVERAGE(AK5:AK70),0)</x:f>
        <x:v>80.79999999999998</x:v>
      </x:c>
    </x:row>
  </x:sheetData>
  <x:mergeCells>
    <x:mergeCell ref="X3:AD3"/>
    <x:mergeCell ref="AE3:AK3"/>
    <x:mergeCell ref="A1:D1"/>
    <x:mergeCell ref="A2:N2"/>
    <x:mergeCell ref="C3:I3"/>
    <x:mergeCell ref="J3:P3"/>
    <x:mergeCell ref="Q3:W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808080"/>
  </x:sheetPr>
  <x:sheetViews>
    <x:sheetView showGridLines="0" workbookViewId="0"/>
  </x:sheetViews>
  <x:sheetFormatPr defaultColWidth="8.7109375" defaultRowHeight="15"/>
  <x:cols>
    <x:col min="1" max="1" width="100" customWidth="1"/>
  </x:cols>
  <x:sheetData>
    <x:row r="1" ht="17.25" customHeight="1">
      <x:c r="A1" s="4" t="s">
        <x:v>44</x:v>
      </x:c>
    </x:row>
    <x:row r="2">
      <x:c r="A2" s="2" t="s">
        <x:v>45</x:v>
      </x:c>
    </x:row>
    <x:row r="3">
      <x:c r="A3" s="22"/>
    </x:row>
    <x:row r="4">
      <x:c r="A4" s="23" t="s">
        <x:v>46</x:v>
      </x:c>
    </x:row>
    <x:row r="5">
      <x:c r="A5" s="22" t="s">
        <x:v>47</x:v>
      </x:c>
    </x:row>
    <x:row r="6">
      <x:c r="A6" s="22" t="s">
        <x:v>48</x:v>
      </x:c>
    </x:row>
    <x:row r="7">
      <x:c r="A7" s="22" t="s">
        <x:v>49</x:v>
      </x:c>
    </x:row>
    <x:row r="8">
      <x:c r="A8" s="22"/>
    </x:row>
    <x:row r="9">
      <x:c r="A9" s="23" t="s">
        <x:v>50</x:v>
      </x:c>
    </x:row>
    <x:row r="10">
      <x:c r="A10" s="22" t="s">
        <x:v>51</x:v>
      </x:c>
    </x:row>
    <x:row r="11">
      <x:c r="A11" s="22" t="s">
        <x:v>52</x:v>
      </x:c>
    </x:row>
    <x:row r="12">
      <x:c r="A12" s="22" t="s">
        <x:v>53</x:v>
      </x:c>
    </x:row>
    <x:row r="13">
      <x:c r="A13" s="22" t="s">
        <x:v>54</x:v>
      </x:c>
    </x:row>
    <x:row r="14">
      <x:c r="A14" s="22" t="s">
        <x:v>55</x:v>
      </x:c>
    </x:row>
    <x:row r="15">
      <x:c r="A15" s="22"/>
    </x:row>
    <x:row r="16">
      <x:c r="A16" s="23" t="s">
        <x:v>56</x:v>
      </x:c>
    </x:row>
    <x:row r="17">
      <x:c r="A17" s="22" t="s">
        <x:v>57</x:v>
      </x:c>
    </x:row>
    <x:row r="18">
      <x:c r="A18" s="22" t="s">
        <x:v>58</x:v>
      </x:c>
    </x:row>
    <x:row r="19">
      <x:c r="A19" s="22" t="s">
        <x:v>59</x:v>
      </x:c>
    </x:row>
    <x:row r="20">
      <x:c r="A20" s="22" t="s">
        <x:v>60</x:v>
      </x:c>
    </x:row>
    <x:row r="21">
      <x:c r="A21" s="22" t="s">
        <x:v>61</x:v>
      </x:c>
    </x:row>
    <x:row r="22">
      <x:c r="A22" s="22" t="s">
        <x:v>62</x:v>
      </x:c>
    </x:row>
    <x:row r="23">
      <x:c r="A23" s="22" t="s">
        <x:v>63</x:v>
      </x:c>
    </x:row>
    <x:row r="24">
      <x:c r="A24" s="22" t="s">
        <x:v>64</x:v>
      </x:c>
    </x:row>
    <x:row r="25">
      <x:c r="A25" s="22" t="s">
        <x:v>65</x:v>
      </x:c>
    </x:row>
    <x:row r="26">
      <x:c r="A26" s="22" t="s">
        <x:v>66</x:v>
      </x:c>
    </x:row>
    <x:row r="27">
      <x:c r="A27" s="22"/>
    </x:row>
    <x:row r="28">
      <x:c r="A28" s="23" t="s">
        <x:v>67</x:v>
      </x:c>
    </x:row>
    <x:row r="29">
      <x:c r="A29" s="22" t="s">
        <x:v>68</x:v>
      </x:c>
    </x:row>
    <x:row r="30">
      <x:c r="A30" s="22" t="s">
        <x:v>69</x:v>
      </x:c>
    </x:row>
    <x:row r="31">
      <x:c r="A31" s="22" t="s">
        <x:v>70</x:v>
      </x:c>
    </x:row>
    <x:row r="32">
      <x:c r="A32" s="22" t="s">
        <x:v>71</x:v>
      </x:c>
    </x:row>
    <x:row r="33">
      <x:c r="A33" s="22" t="s">
        <x:v>72</x:v>
      </x:c>
    </x:row>
    <x:row r="34">
      <x:c r="A34" s="22"/>
    </x:row>
    <x:row r="35">
      <x:c r="A35" s="23" t="s">
        <x:v>73</x:v>
      </x:c>
    </x:row>
    <x:row r="36">
      <x:c r="A36" s="22" t="s">
        <x:v>74</x:v>
      </x:c>
    </x:row>
    <x:row r="37">
      <x:c r="A37" s="22" t="s">
        <x:v>75</x:v>
      </x:c>
    </x:row>
    <x:row r="38">
      <x:c r="A38" s="22" t="s">
        <x:v>76</x:v>
      </x:c>
    </x:row>
    <x:row r="39">
      <x:c r="A39" s="22" t="s">
        <x:v>77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xSplit="2" ySplit="4" topLeftCell="C5" activePane="bottomRight" state="frozen"/>
    </x:sheetView>
  </x:sheetViews>
  <x:sheetFormatPr defaultColWidth="8.7109375" defaultRowHeight="15"/>
  <x:cols>
    <x:col min="1" max="1" width="12" customWidth="1"/>
    <x:col min="2" max="2" width="22" customWidth="1"/>
    <x:col min="3" max="12" width="15" customWidth="1"/>
  </x:cols>
  <x:sheetData>
    <x:row r="1" ht="17.25" customHeight="1">
      <x:c r="A1" s="205" t="s">
        <x:v>78</x:v>
      </x:c>
      <x:c r="B1" s="205"/>
      <x:c r="C1" s="205"/>
      <x:c r="D1" s="205"/>
    </x:row>
    <x:row r="2">
      <x:c r="A2" s="206" t="s">
        <x:v>79</x:v>
      </x:c>
      <x:c r="B2" s="206"/>
      <x:c r="C2" s="206"/>
      <x:c r="D2" s="206"/>
      <x:c r="E2" s="206"/>
      <x:c r="F2" s="206"/>
      <x:c r="G2" s="206"/>
      <x:c r="H2" s="206"/>
    </x:row>
    <x:row r="4" ht="26.25" customHeight="1">
      <x:c r="A4" s="9" t="s">
        <x:v>24</x:v>
      </x:c>
      <x:c r="B4" s="9" t="s">
        <x:v>25</x:v>
      </x:c>
      <x:c r="C4" s="9" t="s">
        <x:v>80</x:v>
      </x:c>
      <x:c r="D4" s="9" t="s">
        <x:v>38</x:v>
      </x:c>
      <x:c r="E4" s="9" t="s">
        <x:v>81</x:v>
      </x:c>
      <x:c r="F4" s="9" t="s">
        <x:v>39</x:v>
      </x:c>
      <x:c r="G4" s="9" t="s">
        <x:v>82</x:v>
      </x:c>
      <x:c r="H4" s="9" t="s">
        <x:v>40</x:v>
      </x:c>
      <x:c r="I4" s="9" t="s">
        <x:v>83</x:v>
      </x:c>
      <x:c r="J4" s="9" t="s">
        <x:v>41</x:v>
      </x:c>
      <x:c r="K4" s="9" t="s">
        <x:v>84</x:v>
      </x:c>
      <x:c r="L4" s="9" t="s">
        <x:v>42</x:v>
      </x:c>
    </x:row>
    <x:row r="5">
      <x:c r="A5" s="18" t="str">
        <x:f>IF(RECORD!B14="","",RECORD!B14)</x:f>
        <x:v>2024-00123</x:v>
      </x:c>
      <x:c r="B5" s="18" t="str">
        <x:f>IF(RECORD!C14="","",RECORD!C14)</x:f>
        <x:v>Castillo, Danica C.</x:v>
      </x:c>
      <x:c r="C5" s="19" t="n">
        <x:f>IF('F12'!D5&lt;&gt;"",'F12'!D5,"")</x:f>
        <x:v>3</x:v>
      </x:c>
      <x:c r="D5" s="20" t="n">
        <x:f t="shared" ref="D5:D36" si="0">IF(B5&lt;&gt;"",IFERROR((C5/5)*100,0),"")</x:f>
        <x:v>60</x:v>
      </x:c>
      <x:c r="E5" s="19" t="n">
        <x:f>IF('F12'!E5&lt;&gt;"",'F12'!E5,"")</x:f>
        <x:v>3</x:v>
      </x:c>
      <x:c r="F5" s="20" t="n">
        <x:f t="shared" ref="F5:F36" si="1">IF(B5&lt;&gt;"",IFERROR((E5/5)*100,0),"")</x:f>
        <x:v>60</x:v>
      </x:c>
      <x:c r="G5" s="19" t="n">
        <x:f>IF('F12'!F5&lt;&gt;"",'F12'!F5,"")</x:f>
        <x:v>3</x:v>
      </x:c>
      <x:c r="H5" s="20" t="n">
        <x:f t="shared" ref="H5:H36" si="2">IF(B5&lt;&gt;"",IFERROR((G5/5)*100,0),"")</x:f>
        <x:v>60</x:v>
      </x:c>
      <x:c r="I5" s="19" t="n">
        <x:f>IF('F12'!G5&lt;&gt;"",'F12'!G5,"")</x:f>
        <x:v>1</x:v>
      </x:c>
      <x:c r="J5" s="20" t="n">
        <x:f t="shared" ref="J5:J36" si="3">IF(B5&lt;&gt;"",IFERROR((I5/5)*100,0),"")</x:f>
        <x:v>20</x:v>
      </x:c>
      <x:c r="K5" s="19" t="n">
        <x:f>IF('F12'!H5&lt;&gt;"",'F12'!H5,"")</x:f>
        <x:v>1</x:v>
      </x:c>
      <x:c r="L5" s="20" t="n">
        <x:f t="shared" ref="L5:L36" si="4">IF(B5&lt;&gt;"",IFERROR((K5/5)*100,0),"")</x:f>
        <x:v>20</x:v>
      </x:c>
    </x:row>
    <x:row r="6">
      <x:c r="A6" s="18" t="str">
        <x:f>IF(RECORD!B15="","",RECORD!B15)</x:f>
        <x:v>2024-00145</x:v>
      </x:c>
      <x:c r="B6" s="18" t="str">
        <x:f>IF(RECORD!C15="","",RECORD!C15)</x:f>
        <x:v>Soriano, Kyle G.</x:v>
      </x:c>
      <x:c r="C6" s="19" t="n">
        <x:f>IF('F12'!D6&lt;&gt;"",'F12'!D6,"")</x:f>
        <x:v>4</x:v>
      </x:c>
      <x:c r="D6" s="20">
        <x:f t="shared" si="0"/>
        <x:v>80</x:v>
      </x:c>
      <x:c r="E6" s="19" t="n">
        <x:f>IF('F12'!E6&lt;&gt;"",'F12'!E6,"")</x:f>
        <x:v>3</x:v>
      </x:c>
      <x:c r="F6" s="20">
        <x:f t="shared" si="1"/>
        <x:v>60</x:v>
      </x:c>
      <x:c r="G6" s="19" t="n">
        <x:f>IF('F12'!F6&lt;&gt;"",'F12'!F6,"")</x:f>
        <x:v>3</x:v>
      </x:c>
      <x:c r="H6" s="20">
        <x:f t="shared" si="2"/>
        <x:v>100</x:v>
      </x:c>
      <x:c r="I6" s="19" t="n">
        <x:f>IF('F12'!G6&lt;&gt;"",'F12'!G6,"")</x:f>
        <x:v>3</x:v>
      </x:c>
      <x:c r="J6" s="20">
        <x:f t="shared" si="3"/>
        <x:v>60</x:v>
      </x:c>
      <x:c r="K6" s="19" t="n">
        <x:f>IF('F12'!H6&lt;&gt;"",'F12'!H6,"")</x:f>
        <x:v>3</x:v>
      </x:c>
      <x:c r="L6" s="20">
        <x:f t="shared" si="4"/>
        <x:v>100</x:v>
      </x:c>
    </x:row>
    <x:row r="7">
      <x:c r="A7" s="18" t="str">
        <x:f>IF(RECORD!B16="","",RECORD!B16)</x:f>
        <x:v>2024-00167</x:v>
      </x:c>
      <x:c r="B7" s="18" t="str">
        <x:f>IF(RECORD!C16="","",RECORD!C16)</x:f>
        <x:v>Santiago, Frances J.</x:v>
      </x:c>
      <x:c r="C7" s="19" t="n">
        <x:f>IF('F12'!D7&lt;&gt;"",'F12'!D7,"")</x:f>
        <x:v>3</x:v>
      </x:c>
      <x:c r="D7" s="20">
        <x:f t="shared" si="0"/>
        <x:v>100</x:v>
      </x:c>
      <x:c r="E7" s="19" t="n">
        <x:f>IF('F12'!E7&lt;&gt;"",'F12'!E7,"")</x:f>
        <x:v>3</x:v>
      </x:c>
      <x:c r="F7" s="20">
        <x:f t="shared" si="1"/>
        <x:v>60</x:v>
      </x:c>
      <x:c r="G7" s="19" t="n">
        <x:f>IF('F12'!F7&lt;&gt;"",'F12'!F7,"")</x:f>
        <x:v>3</x:v>
      </x:c>
      <x:c r="H7" s="20">
        <x:f t="shared" si="2"/>
        <x:v>60</x:v>
      </x:c>
      <x:c r="I7" s="19" t="n">
        <x:f>IF('F12'!G7&lt;&gt;"",'F12'!G7,"")</x:f>
        <x:v>3</x:v>
      </x:c>
      <x:c r="J7" s="20">
        <x:f t="shared" si="3"/>
        <x:v>60</x:v>
      </x:c>
      <x:c r="K7" s="19" t="n">
        <x:f>IF('F12'!H7&lt;&gt;"",'F12'!H7,"")</x:f>
        <x:v>3</x:v>
      </x:c>
      <x:c r="L7" s="20">
        <x:f t="shared" si="4"/>
        <x:v>80</x:v>
      </x:c>
    </x:row>
    <x:row r="8">
      <x:c r="A8" s="18" t="str">
        <x:f>IF(RECORD!B17="","",RECORD!B17)</x:f>
        <x:v>2024-00189</x:v>
      </x:c>
      <x:c r="B8" s="18" t="str">
        <x:f>IF(RECORD!C17="","",RECORD!C17)</x:f>
        <x:v>Dizon, Zoe D.</x:v>
      </x:c>
      <x:c r="C8" s="19" t="n">
        <x:f>IF('F12'!D8&lt;&gt;"",'F12'!D8,"")</x:f>
        <x:v>2</x:v>
      </x:c>
      <x:c r="D8" s="20">
        <x:f t="shared" si="0"/>
        <x:v>80</x:v>
      </x:c>
      <x:c r="E8" s="19" t="n">
        <x:f>IF('F12'!E8&lt;&gt;"",'F12'!E8,"")</x:f>
        <x:v>4</x:v>
      </x:c>
      <x:c r="F8" s="20">
        <x:f t="shared" si="1"/>
        <x:v>100</x:v>
      </x:c>
      <x:c r="G8" s="19" t="n">
        <x:f>IF('F12'!F8&lt;&gt;"",'F12'!F8,"")</x:f>
        <x:v>4</x:v>
      </x:c>
      <x:c r="H8" s="20">
        <x:f t="shared" si="2"/>
        <x:v>100</x:v>
      </x:c>
      <x:c r="I8" s="19" t="n">
        <x:f>IF('F12'!G8&lt;&gt;"",'F12'!G8,"")</x:f>
        <x:v>3</x:v>
      </x:c>
      <x:c r="J8" s="20">
        <x:f t="shared" si="3"/>
        <x:v>60</x:v>
      </x:c>
      <x:c r="K8" s="19" t="n">
        <x:f>IF('F12'!H8&lt;&gt;"",'F12'!H8,"")</x:f>
        <x:v>4</x:v>
      </x:c>
      <x:c r="L8" s="20">
        <x:f t="shared" si="4"/>
        <x:v>100</x:v>
      </x:c>
    </x:row>
    <x:row r="9">
      <x:c r="A9" s="18" t="str">
        <x:f>IF(RECORD!B18="","",RECORD!B18)</x:f>
        <x:v>2024-00201</x:v>
      </x:c>
      <x:c r="B9" s="18" t="str">
        <x:f>IF(RECORD!C18="","",RECORD!C18)</x:f>
        <x:v>Pineda, Bianca H.</x:v>
      </x:c>
      <x:c r="C9" s="19" t="n">
        <x:f>IF('F12'!D9&lt;&gt;"",'F12'!D9,"")</x:f>
        <x:v>3</x:v>
      </x:c>
      <x:c r="D9" s="20">
        <x:f t="shared" si="0"/>
        <x:v>80</x:v>
      </x:c>
      <x:c r="E9" s="19" t="n">
        <x:f>IF('F12'!E9&lt;&gt;"",'F12'!E9,"")</x:f>
        <x:v>3</x:v>
      </x:c>
      <x:c r="F9" s="20">
        <x:f t="shared" si="1"/>
        <x:v>100</x:v>
      </x:c>
      <x:c r="G9" s="19" t="n">
        <x:f>IF('F12'!F9&lt;&gt;"",'F12'!F9,"")</x:f>
        <x:v>3</x:v>
      </x:c>
      <x:c r="H9" s="20">
        <x:f t="shared" si="2"/>
        <x:v>100</x:v>
      </x:c>
      <x:c r="I9" s="19" t="n">
        <x:f>IF('F12'!G9&lt;&gt;"",'F12'!G9,"")</x:f>
        <x:v>3</x:v>
      </x:c>
      <x:c r="J9" s="20">
        <x:f t="shared" si="3"/>
        <x:v>80</x:v>
      </x:c>
      <x:c r="K9" s="19" t="n">
        <x:f>IF('F12'!H9&lt;&gt;"",'F12'!H9,"")</x:f>
        <x:v>1</x:v>
      </x:c>
      <x:c r="L9" s="20">
        <x:f t="shared" si="4"/>
        <x:v>100</x:v>
      </x:c>
    </x:row>
    <x:row r="10">
      <x:c r="A10" s="18" t="str">
        <x:f>IF(RECORD!B19="","",RECORD!B19)</x:f>
        <x:v>2024-00223</x:v>
      </x:c>
      <x:c r="B10" s="18" t="str">
        <x:f>IF(RECORD!C19="","",RECORD!C19)</x:f>
        <x:v>Ramos, Amiel E.</x:v>
      </x:c>
      <x:c r="C10" s="19" t="n">
        <x:f>IF('F12'!D10&lt;&gt;"",'F12'!D10,"")</x:f>
        <x:v>3</x:v>
      </x:c>
      <x:c r="D10" s="20">
        <x:f t="shared" si="0"/>
        <x:v>80</x:v>
      </x:c>
      <x:c r="E10" s="19" t="n">
        <x:f>IF('F12'!E10&lt;&gt;"",'F12'!E10,"")</x:f>
        <x:v>3</x:v>
      </x:c>
      <x:c r="F10" s="20">
        <x:f t="shared" si="1"/>
        <x:v>100</x:v>
      </x:c>
      <x:c r="G10" s="19" t="n">
        <x:f>IF('F12'!F10&lt;&gt;"",'F12'!F10,"")</x:f>
        <x:v>3</x:v>
      </x:c>
      <x:c r="H10" s="20">
        <x:f t="shared" si="2"/>
        <x:v>100</x:v>
      </x:c>
      <x:c r="I10" s="19" t="n">
        <x:f>IF('F12'!G10&lt;&gt;"",'F12'!G10,"")</x:f>
        <x:v>3</x:v>
      </x:c>
      <x:c r="J10" s="20">
        <x:f t="shared" si="3"/>
        <x:v>80</x:v>
      </x:c>
      <x:c r="K10" s="19" t="n">
        <x:f>IF('F12'!H10&lt;&gt;"",'F12'!H10,"")</x:f>
        <x:v>3</x:v>
      </x:c>
      <x:c r="L10" s="20">
        <x:f t="shared" si="4"/>
        <x:v>100</x:v>
      </x:c>
    </x:row>
    <x:row r="11">
      <x:c r="A11" s="18" t="str">
        <x:f>IF(RECORD!B20="","",RECORD!B20)</x:f>
        <x:v>2024-00245</x:v>
      </x:c>
      <x:c r="B11" s="18" t="str">
        <x:f>IF(RECORD!C20="","",RECORD!C20)</x:f>
        <x:v>Del Rosario, Beatrice F.</x:v>
      </x:c>
      <x:c r="C11" s="19" t="n">
        <x:f>IF('F12'!D11&lt;&gt;"",'F12'!D11,"")</x:f>
        <x:v>3</x:v>
      </x:c>
      <x:c r="D11" s="20">
        <x:f t="shared" si="0"/>
        <x:v>80</x:v>
      </x:c>
      <x:c r="E11" s="19" t="n">
        <x:f>IF('F12'!E11&lt;&gt;"",'F12'!E11,"")</x:f>
        <x:v>3</x:v>
      </x:c>
      <x:c r="F11" s="20">
        <x:f t="shared" si="1"/>
        <x:v>100</x:v>
      </x:c>
      <x:c r="G11" s="19" t="n">
        <x:f>IF('F12'!F11&lt;&gt;"",'F12'!F11,"")</x:f>
        <x:v>3</x:v>
      </x:c>
      <x:c r="H11" s="20">
        <x:f t="shared" si="2"/>
        <x:v>100</x:v>
      </x:c>
      <x:c r="I11" s="19" t="n">
        <x:f>IF('F12'!G11&lt;&gt;"",'F12'!G11,"")</x:f>
        <x:v>1</x:v>
      </x:c>
      <x:c r="J11" s="20">
        <x:f t="shared" si="3"/>
        <x:v>80</x:v>
      </x:c>
      <x:c r="K11" s="19" t="n">
        <x:f>IF('F12'!H11&lt;&gt;"",'F12'!H11,"")</x:f>
        <x:v>2</x:v>
      </x:c>
      <x:c r="L11" s="20">
        <x:f t="shared" si="4"/>
        <x:v>100</x:v>
      </x:c>
    </x:row>
    <x:row r="12">
      <x:c r="A12" s="18" t="str">
        <x:f>IF(RECORD!B21="","",RECORD!B21)</x:f>
        <x:v>2024-00267</x:v>
      </x:c>
      <x:c r="B12" s="18" t="str">
        <x:f>IF(RECORD!C21="","",RECORD!C21)</x:f>
        <x:v>Rosales, Vanessa A.</x:v>
      </x:c>
      <x:c r="C12" s="19" t="n">
        <x:f>IF('F12'!D12&lt;&gt;"",'F12'!D12,"")</x:f>
        <x:v>3</x:v>
      </x:c>
      <x:c r="D12" s="20">
        <x:f t="shared" si="0"/>
        <x:v>80</x:v>
      </x:c>
      <x:c r="E12" s="19" t="n">
        <x:f>IF('F12'!E12&lt;&gt;"",'F12'!E12,"")</x:f>
        <x:v>4</x:v>
      </x:c>
      <x:c r="F12" s="20">
        <x:f t="shared" si="1"/>
        <x:v>100</x:v>
      </x:c>
      <x:c r="G12" s="19" t="n">
        <x:f>IF('F12'!F12&lt;&gt;"",'F12'!F12,"")</x:f>
        <x:v>3</x:v>
      </x:c>
      <x:c r="H12" s="20">
        <x:f t="shared" si="2"/>
        <x:v>40</x:v>
      </x:c>
      <x:c r="I12" s="19" t="n">
        <x:f>IF('F12'!G12&lt;&gt;"",'F12'!G12,"")</x:f>
        <x:v>4</x:v>
      </x:c>
      <x:c r="J12" s="20">
        <x:f t="shared" si="3"/>
        <x:v>80</x:v>
      </x:c>
      <x:c r="K12" s="19" t="n">
        <x:f>IF('F12'!H12&lt;&gt;"",'F12'!H12,"")</x:f>
        <x:v>4</x:v>
      </x:c>
      <x:c r="L12" s="20">
        <x:f t="shared" si="4"/>
        <x:v>100</x:v>
      </x:c>
    </x:row>
    <x:row r="13">
      <x:c r="A13" s="18" t="str">
        <x:f>IF(RECORD!B22="","",RECORD!B22)</x:f>
        <x:v>2024-00289</x:v>
      </x:c>
      <x:c r="B13" s="18" t="str">
        <x:f>IF(RECORD!C22="","",RECORD!C22)</x:f>
        <x:v>Sarmiento, Daphne C.</x:v>
      </x:c>
      <x:c r="C13" s="19" t="n">
        <x:f>IF('F12'!D13&lt;&gt;"",'F12'!D13,"")</x:f>
        <x:v>4</x:v>
      </x:c>
      <x:c r="D13" s="20">
        <x:f t="shared" si="0"/>
        <x:v>80</x:v>
      </x:c>
      <x:c r="E13" s="19" t="n">
        <x:f>IF('F12'!E13&lt;&gt;"",'F12'!E13,"")</x:f>
        <x:v>5</x:v>
      </x:c>
      <x:c r="F13" s="20">
        <x:f t="shared" si="1"/>
        <x:v>100</x:v>
      </x:c>
      <x:c r="G13" s="19" t="n">
        <x:f>IF('F12'!F13&lt;&gt;"",'F12'!F13,"")</x:f>
        <x:v>2</x:v>
      </x:c>
      <x:c r="H13" s="20">
        <x:f t="shared" si="2"/>
        <x:v>40</x:v>
      </x:c>
      <x:c r="I13" s="19" t="n">
        <x:f>IF('F12'!G13&lt;&gt;"",'F12'!G13,"")</x:f>
        <x:v>2</x:v>
      </x:c>
      <x:c r="J13" s="20">
        <x:f t="shared" si="3"/>
        <x:v>80</x:v>
      </x:c>
      <x:c r="K13" s="19" t="n">
        <x:f>IF('F12'!H13&lt;&gt;"",'F12'!H13,"")</x:f>
        <x:v>4</x:v>
      </x:c>
      <x:c r="L13" s="20">
        <x:f t="shared" si="4"/>
        <x:v>100</x:v>
      </x:c>
    </x:row>
    <x:row r="14">
      <x:c r="A14" s="18" t="str">
        <x:f>IF(RECORD!B23="","",RECORD!B23)</x:f>
        <x:v>2024-00301</x:v>
      </x:c>
      <x:c r="B14" s="18" t="str">
        <x:f>IF(RECORD!C23="","",RECORD!C23)</x:f>
        <x:v>Fernandez, Trisha S.</x:v>
      </x:c>
      <x:c r="C14" s="19" t="n">
        <x:f>IF('F12'!D14&lt;&gt;"",'F12'!D14,"")</x:f>
        <x:v>3</x:v>
      </x:c>
      <x:c r="D14" s="20">
        <x:f t="shared" si="0"/>
        <x:v>80</x:v>
      </x:c>
      <x:c r="E14" s="19" t="n">
        <x:f>IF('F12'!E14&lt;&gt;"",'F12'!E14,"")</x:f>
        <x:v>2</x:v>
      </x:c>
      <x:c r="F14" s="20">
        <x:f t="shared" si="1"/>
        <x:v>100</x:v>
      </x:c>
      <x:c r="G14" s="19" t="n">
        <x:f>IF('F12'!F14&lt;&gt;"",'F12'!F14,"")</x:f>
        <x:v>3</x:v>
      </x:c>
      <x:c r="H14" s="20">
        <x:f t="shared" si="2"/>
        <x:v>40</x:v>
      </x:c>
      <x:c r="I14" s="19" t="n">
        <x:f>IF('F12'!G14&lt;&gt;"",'F12'!G14,"")</x:f>
        <x:v>1</x:v>
      </x:c>
      <x:c r="J14" s="20">
        <x:f t="shared" si="3"/>
        <x:v>80</x:v>
      </x:c>
      <x:c r="K14" s="19" t="n">
        <x:f>IF('F12'!H14&lt;&gt;"",'F12'!H14,"")</x:f>
        <x:v>2</x:v>
      </x:c>
      <x:c r="L14" s="20">
        <x:f t="shared" si="4"/>
        <x:v>100</x:v>
      </x:c>
    </x:row>
    <x:row r="15">
      <x:c r="A15" s="18" t="str">
        <x:f>IF(RECORD!B24="","",RECORD!B24)</x:f>
        <x:v>2024-00323</x:v>
      </x:c>
      <x:c r="B15" s="18" t="str">
        <x:f>IF(RECORD!C24="","",RECORD!C24)</x:f>
        <x:v>Aquino, Hannah R.</x:v>
      </x:c>
      <x:c r="C15" s="19" t="n">
        <x:f>IF('F12'!D15&lt;&gt;"",'F12'!D15,"")</x:f>
        <x:v>1</x:v>
      </x:c>
      <x:c r="D15" s="20">
        <x:f t="shared" si="0"/>
        <x:v>80</x:v>
      </x:c>
      <x:c r="E15" s="19" t="n">
        <x:f>IF('F12'!E15&lt;&gt;"",'F12'!E15,"")</x:f>
        <x:v>5</x:v>
      </x:c>
      <x:c r="F15" s="20">
        <x:f t="shared" si="1"/>
        <x:v>100</x:v>
      </x:c>
      <x:c r="G15" s="19" t="n">
        <x:f>IF('F12'!F15&lt;&gt;"",'F12'!F15,"")</x:f>
        <x:v>2</x:v>
      </x:c>
      <x:c r="H15" s="20">
        <x:f t="shared" si="2"/>
        <x:v>40</x:v>
      </x:c>
      <x:c r="I15" s="19" t="n">
        <x:f>IF('F12'!G15&lt;&gt;"",'F12'!G15,"")</x:f>
        <x:v>4</x:v>
      </x:c>
      <x:c r="J15" s="20">
        <x:f t="shared" si="3"/>
        <x:v>80</x:v>
      </x:c>
      <x:c r="K15" s="19" t="n">
        <x:f>IF('F12'!H15&lt;&gt;"",'F12'!H15,"")</x:f>
        <x:v>2</x:v>
      </x:c>
      <x:c r="L15" s="20">
        <x:f t="shared" si="4"/>
        <x:v>100</x:v>
      </x:c>
    </x:row>
    <x:row r="16">
      <x:c r="A16" s="18" t="str">
        <x:f>IF(RECORD!B25="","",RECORD!B25)</x:f>
        <x:v>2024-00345</x:v>
      </x:c>
      <x:c r="B16" s="18" t="str">
        <x:f>IF(RECORD!C25="","",RECORD!C25)</x:f>
        <x:v>Cabrera, Quentin P.</x:v>
      </x:c>
      <x:c r="C16" s="19" t="n">
        <x:f>IF('F12'!D16&lt;&gt;"",'F12'!D16,"")</x:f>
        <x:v>2</x:v>
      </x:c>
      <x:c r="D16" s="20">
        <x:f t="shared" si="0"/>
        <x:v>80</x:v>
      </x:c>
      <x:c r="E16" s="19" t="n">
        <x:f>IF('F12'!E16&lt;&gt;"",'F12'!E16,"")</x:f>
        <x:v>3</x:v>
      </x:c>
      <x:c r="F16" s="20">
        <x:f t="shared" si="1"/>
        <x:v>100</x:v>
      </x:c>
      <x:c r="G16" s="19" t="n">
        <x:f>IF('F12'!F16&lt;&gt;"",'F12'!F16,"")</x:f>
        <x:v>1</x:v>
      </x:c>
      <x:c r="H16" s="20">
        <x:f t="shared" si="2"/>
        <x:v>40</x:v>
      </x:c>
      <x:c r="I16" s="19" t="n">
        <x:f>IF('F12'!G16&lt;&gt;"",'F12'!G16,"")</x:f>
        <x:v>4</x:v>
      </x:c>
      <x:c r="J16" s="20">
        <x:f t="shared" si="3"/>
        <x:v>80</x:v>
      </x:c>
      <x:c r="K16" s="19" t="n">
        <x:f>IF('F12'!H16&lt;&gt;"",'F12'!H16,"")</x:f>
        <x:v>2</x:v>
      </x:c>
      <x:c r="L16" s="20">
        <x:f t="shared" si="4"/>
        <x:v>100</x:v>
      </x:c>
    </x:row>
    <x:row r="17">
      <x:c r="A17" s="18" t="str">
        <x:f>IF(RECORD!B26="","",RECORD!B26)</x:f>
        <x:v>2024-00367</x:v>
      </x:c>
      <x:c r="B17" s="18" t="str">
        <x:f>IF(RECORD!C26="","",RECORD!C26)</x:f>
        <x:v>Rivera, Caleb T.</x:v>
      </x:c>
      <x:c r="C17" s="19" t="n">
        <x:f>IF('F12'!D17&lt;&gt;"",'F12'!D17,"")</x:f>
        <x:v>3</x:v>
      </x:c>
      <x:c r="D17" s="20">
        <x:f t="shared" si="0"/>
        <x:v>80</x:v>
      </x:c>
      <x:c r="E17" s="19" t="n">
        <x:f>IF('F12'!E17&lt;&gt;"",'F12'!E17,"")</x:f>
        <x:v>3</x:v>
      </x:c>
      <x:c r="F17" s="20">
        <x:f t="shared" si="1"/>
        <x:v>100</x:v>
      </x:c>
      <x:c r="G17" s="19" t="n">
        <x:f>IF('F12'!F17&lt;&gt;"",'F12'!F17,"")</x:f>
        <x:v>1</x:v>
      </x:c>
      <x:c r="H17" s="20">
        <x:f t="shared" si="2"/>
        <x:v>40</x:v>
      </x:c>
      <x:c r="I17" s="19" t="n">
        <x:f>IF('F12'!G17&lt;&gt;"",'F12'!G17,"")</x:f>
        <x:v>3</x:v>
      </x:c>
      <x:c r="J17" s="20">
        <x:f t="shared" si="3"/>
        <x:v>80</x:v>
      </x:c>
      <x:c r="K17" s="19" t="n">
        <x:f>IF('F12'!H17&lt;&gt;"",'F12'!H17,"")</x:f>
        <x:v>4</x:v>
      </x:c>
      <x:c r="L17" s="20">
        <x:f t="shared" si="4"/>
        <x:v>100</x:v>
      </x:c>
    </x:row>
    <x:row r="18">
      <x:c r="A18" s="18" t="str">
        <x:f>IF(RECORD!B27="","",RECORD!B27)</x:f>
        <x:v>2024-00389</x:v>
      </x:c>
      <x:c r="B18" s="18" t="str">
        <x:f>IF(RECORD!C27="","",RECORD!C27)</x:f>
        <x:v>Villamor, Yves E.</x:v>
      </x:c>
      <x:c r="C18" s="19" t="n">
        <x:f>IF('F12'!D18&lt;&gt;"",'F12'!D18,"")</x:f>
        <x:v>3</x:v>
      </x:c>
      <x:c r="D18" s="20">
        <x:f t="shared" si="0"/>
        <x:v>80</x:v>
      </x:c>
      <x:c r="E18" s="19" t="n">
        <x:f>IF('F12'!E18&lt;&gt;"",'F12'!E18,"")</x:f>
        <x:v>3</x:v>
      </x:c>
      <x:c r="F18" s="20">
        <x:f t="shared" si="1"/>
        <x:v>100</x:v>
      </x:c>
      <x:c r="G18" s="19" t="n">
        <x:f>IF('F12'!F18&lt;&gt;"",'F12'!F18,"")</x:f>
        <x:v>3</x:v>
      </x:c>
      <x:c r="H18" s="20">
        <x:f t="shared" si="2"/>
        <x:v>40</x:v>
      </x:c>
      <x:c r="I18" s="19" t="n">
        <x:f>IF('F12'!G18&lt;&gt;"",'F12'!G18,"")</x:f>
        <x:v>3</x:v>
      </x:c>
      <x:c r="J18" s="20">
        <x:f t="shared" si="3"/>
        <x:v>80</x:v>
      </x:c>
      <x:c r="K18" s="19" t="n">
        <x:f>IF('F12'!H18&lt;&gt;"",'F12'!H18,"")</x:f>
        <x:v>2</x:v>
      </x:c>
      <x:c r="L18" s="20">
        <x:f t="shared" si="4"/>
        <x:v>100</x:v>
      </x:c>
    </x:row>
    <x:row r="19">
      <x:c r="A19" s="18" t="str">
        <x:f>IF(RECORD!B28="","",RECORD!B28)</x:f>
        <x:v>2024-00401</x:v>
      </x:c>
      <x:c r="B19" s="18" t="str">
        <x:f>IF(RECORD!C28="","",RECORD!C28)</x:f>
        <x:v>Valdez, Warren R.</x:v>
      </x:c>
      <x:c r="C19" s="19" t="n">
        <x:f>IF('F12'!D19&lt;&gt;"",'F12'!D19,"")</x:f>
        <x:v>3</x:v>
      </x:c>
      <x:c r="D19" s="20">
        <x:f t="shared" si="0"/>
        <x:v>80</x:v>
      </x:c>
      <x:c r="E19" s="19" t="n">
        <x:f>IF('F12'!E19&lt;&gt;"",'F12'!E19,"")</x:f>
        <x:v>1</x:v>
      </x:c>
      <x:c r="F19" s="20">
        <x:f t="shared" si="1"/>
        <x:v>100</x:v>
      </x:c>
      <x:c r="G19" s="19" t="n">
        <x:f>IF('F12'!F19&lt;&gt;"",'F12'!F19,"")</x:f>
        <x:v>3</x:v>
      </x:c>
      <x:c r="H19" s="20">
        <x:f t="shared" si="2"/>
        <x:v>40</x:v>
      </x:c>
      <x:c r="I19" s="19" t="n">
        <x:f>IF('F12'!G19&lt;&gt;"",'F12'!G19,"")</x:f>
        <x:v>2</x:v>
      </x:c>
      <x:c r="J19" s="20">
        <x:f t="shared" si="3"/>
        <x:v>80</x:v>
      </x:c>
      <x:c r="K19" s="19" t="n">
        <x:f>IF('F12'!H19&lt;&gt;"",'F12'!H19,"")</x:f>
        <x:v>3</x:v>
      </x:c>
      <x:c r="L19" s="20">
        <x:f t="shared" si="4"/>
        <x:v>100</x:v>
      </x:c>
    </x:row>
    <x:row r="20">
      <x:c r="A20" s="18" t="str">
        <x:f>IF(RECORD!B29="","",RECORD!B29)</x:f>
        <x:v>2024-00423</x:v>
      </x:c>
      <x:c r="B20" s="18" t="str">
        <x:f>IF(RECORD!C29="","",RECORD!C29)</x:f>
        <x:v>Cordero, Rhea G.</x:v>
      </x:c>
      <x:c r="C20" s="19" t="n">
        <x:f>IF('F12'!D20&lt;&gt;"",'F12'!D20,"")</x:f>
        <x:v>2</x:v>
      </x:c>
      <x:c r="D20" s="20">
        <x:f t="shared" si="0"/>
        <x:v>80</x:v>
      </x:c>
      <x:c r="E20" s="19" t="n">
        <x:f>IF('F12'!E20&lt;&gt;"",'F12'!E20,"")</x:f>
        <x:v>3</x:v>
      </x:c>
      <x:c r="F20" s="20">
        <x:f t="shared" si="1"/>
        <x:v>80</x:v>
      </x:c>
      <x:c r="G20" s="19" t="n">
        <x:f>IF('F12'!F20&lt;&gt;"",'F12'!F20,"")</x:f>
        <x:v>3</x:v>
      </x:c>
      <x:c r="H20" s="20">
        <x:f t="shared" si="2"/>
        <x:v>100</x:v>
      </x:c>
      <x:c r="I20" s="19" t="n">
        <x:f>IF('F12'!G20&lt;&gt;"",'F12'!G20,"")</x:f>
        <x:v>4</x:v>
      </x:c>
      <x:c r="J20" s="20">
        <x:f t="shared" si="3"/>
        <x:v>80</x:v>
      </x:c>
      <x:c r="K20" s="19" t="n">
        <x:f>IF('F12'!H20&lt;&gt;"",'F12'!H20,"")</x:f>
        <x:v>2</x:v>
      </x:c>
      <x:c r="L20" s="20">
        <x:f t="shared" si="4"/>
        <x:v>80</x:v>
      </x:c>
    </x:row>
    <x:row r="21">
      <x:c r="A21" s="18" t="str">
        <x:f>IF(RECORD!B30="","",RECORD!B30)</x:f>
        <x:v>2024-00445</x:v>
      </x:c>
      <x:c r="B21" s="18" t="str">
        <x:f>IF(RECORD!C30="","",RECORD!C30)</x:f>
        <x:v>Montemayor, Leah O.</x:v>
      </x:c>
      <x:c r="C21" s="19" t="n">
        <x:f>IF('F12'!D21&lt;&gt;"",'F12'!D21,"")</x:f>
        <x:v>1</x:v>
      </x:c>
      <x:c r="D21" s="20">
        <x:f t="shared" si="0"/>
        <x:v>100</x:v>
      </x:c>
      <x:c r="E21" s="19" t="n">
        <x:f>IF('F12'!E21&lt;&gt;"",'F12'!E21,"")</x:f>
        <x:v>2</x:v>
      </x:c>
      <x:c r="F21" s="20">
        <x:f t="shared" si="1"/>
        <x:v>100</x:v>
      </x:c>
      <x:c r="G21" s="19" t="n">
        <x:f>IF('F12'!F21&lt;&gt;"",'F12'!F21,"")</x:f>
        <x:v>2</x:v>
      </x:c>
      <x:c r="H21" s="20">
        <x:f t="shared" si="2"/>
        <x:v>100</x:v>
      </x:c>
      <x:c r="I21" s="19" t="n">
        <x:f>IF('F12'!G21&lt;&gt;"",'F12'!G21,"")</x:f>
        <x:v>1</x:v>
      </x:c>
      <x:c r="J21" s="20">
        <x:f t="shared" si="3"/>
        <x:v>100</x:v>
      </x:c>
      <x:c r="K21" s="19" t="n">
        <x:f>IF('F12'!H21&lt;&gt;"",'F12'!H21,"")</x:f>
        <x:v>4</x:v>
      </x:c>
      <x:c r="L21" s="20">
        <x:f t="shared" si="4"/>
        <x:v>100</x:v>
      </x:c>
    </x:row>
    <x:row r="22">
      <x:c r="A22" s="18" t="str">
        <x:f>IF(RECORD!B31="","",RECORD!B31)</x:f>
        <x:v>2024-00467</x:v>
      </x:c>
      <x:c r="B22" s="18" t="str">
        <x:f>IF(RECORD!C31="","",RECORD!C31)</x:f>
        <x:v>Mercado, Marco V.</x:v>
      </x:c>
      <x:c r="C22" s="19" t="n">
        <x:f>IF('F12'!D22&lt;&gt;"",'F12'!D22,"")</x:f>
        <x:v>3</x:v>
      </x:c>
      <x:c r="D22" s="20">
        <x:f t="shared" si="0"/>
        <x:v>60</x:v>
      </x:c>
      <x:c r="E22" s="19" t="n">
        <x:f>IF('F12'!E22&lt;&gt;"",'F12'!E22,"")</x:f>
        <x:v>3</x:v>
      </x:c>
      <x:c r="F22" s="20">
        <x:f t="shared" si="1"/>
        <x:v>60</x:v>
      </x:c>
      <x:c r="G22" s="19" t="n">
        <x:f>IF('F12'!F22&lt;&gt;"",'F12'!F22,"")</x:f>
        <x:v>4</x:v>
      </x:c>
      <x:c r="H22" s="20">
        <x:f t="shared" si="2"/>
        <x:v>100</x:v>
      </x:c>
      <x:c r="I22" s="19" t="n">
        <x:f>IF('F12'!G22&lt;&gt;"",'F12'!G22,"")</x:f>
        <x:v>4</x:v>
      </x:c>
      <x:c r="J22" s="20">
        <x:f t="shared" si="3"/>
        <x:v>60</x:v>
      </x:c>
      <x:c r="K22" s="19" t="n">
        <x:f>IF('F12'!H22&lt;&gt;"",'F12'!H22,"")</x:f>
        <x:v>2</x:v>
      </x:c>
      <x:c r="L22" s="20">
        <x:f t="shared" si="4"/>
        <x:v>60</x:v>
      </x:c>
    </x:row>
    <x:row r="23">
      <x:c r="A23" s="18" t="str">
        <x:f>IF(RECORD!B32="","",RECORD!B32)</x:f>
        <x:v>2024-00489</x:v>
      </x:c>
      <x:c r="B23" s="18" t="str">
        <x:f>IF(RECORD!C32="","",RECORD!C32)</x:f>
        <x:v>Tiongson, Cedric F.</x:v>
      </x:c>
      <x:c r="C23" s="19" t="n">
        <x:f>IF('F12'!D23&lt;&gt;"",'F12'!D23,"")</x:f>
        <x:v>3</x:v>
      </x:c>
      <x:c r="D23" s="20">
        <x:f t="shared" si="0"/>
        <x:v>80</x:v>
      </x:c>
      <x:c r="E23" s="19" t="n">
        <x:f>IF('F12'!E23&lt;&gt;"",'F12'!E23,"")</x:f>
        <x:v>3</x:v>
      </x:c>
      <x:c r="F23" s="20">
        <x:f t="shared" si="1"/>
        <x:v>80</x:v>
      </x:c>
      <x:c r="G23" s="19" t="n">
        <x:f>IF('F12'!F23&lt;&gt;"",'F12'!F23,"")</x:f>
        <x:v>2</x:v>
      </x:c>
      <x:c r="H23" s="20">
        <x:f t="shared" si="2"/>
        <x:v>80</x:v>
      </x:c>
      <x:c r="I23" s="19" t="n">
        <x:f>IF('F12'!G23&lt;&gt;"",'F12'!G23,"")</x:f>
        <x:v>3</x:v>
      </x:c>
      <x:c r="J23" s="20">
        <x:f t="shared" si="3"/>
        <x:v>80</x:v>
      </x:c>
      <x:c r="K23" s="19" t="n">
        <x:f>IF('F12'!H23&lt;&gt;"",'F12'!H23,"")</x:f>
        <x:v>4</x:v>
      </x:c>
      <x:c r="L23" s="20">
        <x:f t="shared" si="4"/>
        <x:v>80</x:v>
      </x:c>
    </x:row>
    <x:row r="24">
      <x:c r="A24" s="18" t="str">
        <x:f>IF(RECORD!B33="","",RECORD!B33)</x:f>
        <x:v>2024-00511</x:v>
      </x:c>
      <x:c r="B24" s="18" t="str">
        <x:f>IF(RECORD!C33="","",RECORD!C33)</x:f>
        <x:v>Lorenzo, Owen M.</x:v>
      </x:c>
      <x:c r="C24" s="19" t="n">
        <x:f>IF('F12'!D24&lt;&gt;"",'F12'!D24,"")</x:f>
        <x:v>3</x:v>
      </x:c>
      <x:c r="D24" s="20">
        <x:f t="shared" si="0"/>
        <x:v>40</x:v>
      </x:c>
      <x:c r="E24" s="19" t="n">
        <x:f>IF('F12'!E24&lt;&gt;"",'F12'!E24,"")</x:f>
        <x:v>2</x:v>
      </x:c>
      <x:c r="F24" s="20">
        <x:f t="shared" si="1"/>
        <x:v>40</x:v>
      </x:c>
      <x:c r="G24" s="19" t="n">
        <x:f>IF('F12'!F24&lt;&gt;"",'F12'!F24,"")</x:f>
        <x:v>4</x:v>
      </x:c>
      <x:c r="H24" s="20">
        <x:f t="shared" si="2"/>
        <x:v>40</x:v>
      </x:c>
      <x:c r="I24" s="19" t="n">
        <x:f>IF('F12'!G24&lt;&gt;"",'F12'!G24,"")</x:f>
        <x:v>5</x:v>
      </x:c>
      <x:c r="J24" s="20">
        <x:f t="shared" si="3"/>
        <x:v>40</x:v>
      </x:c>
      <x:c r="K24" s="19" t="n">
        <x:f>IF('F12'!H24&lt;&gt;"",'F12'!H24,"")</x:f>
        <x:v>2</x:v>
      </x:c>
      <x:c r="L24" s="20">
        <x:f t="shared" si="4"/>
        <x:v>40</x:v>
      </x:c>
    </x:row>
    <x:row r="25">
      <x:c r="A25" s="18" t="str">
        <x:f>IF(RECORD!B34="","",RECORD!B34)</x:f>
        <x:v>2024-00533</x:v>
      </x:c>
      <x:c r="B25" s="18" t="str">
        <x:f>IF(RECORD!C34="","",RECORD!C34)</x:f>
        <x:v>Mendoza, Nina M.</x:v>
      </x:c>
      <x:c r="C25" s="19" t="n">
        <x:f>IF('F12'!D25&lt;&gt;"",'F12'!D25,"")</x:f>
        <x:v>2</x:v>
      </x:c>
      <x:c r="D25" s="20">
        <x:f t="shared" si="0"/>
        <x:v>100</x:v>
      </x:c>
      <x:c r="E25" s="19" t="n">
        <x:f>IF('F12'!E25&lt;&gt;"",'F12'!E25,"")</x:f>
        <x:v>3</x:v>
      </x:c>
      <x:c r="F25" s="20">
        <x:f t="shared" si="1"/>
        <x:v>80</x:v>
      </x:c>
      <x:c r="G25" s="19" t="n">
        <x:f>IF('F12'!F25&lt;&gt;"",'F12'!F25,"")</x:f>
        <x:v>3</x:v>
      </x:c>
      <x:c r="H25" s="20">
        <x:f t="shared" si="2"/>
        <x:v>100</x:v>
      </x:c>
      <x:c r="I25" s="19" t="n">
        <x:f>IF('F12'!G25&lt;&gt;"",'F12'!G25,"")</x:f>
        <x:v>3</x:v>
      </x:c>
      <x:c r="J25" s="20">
        <x:f t="shared" si="3"/>
        <x:v>80</x:v>
      </x:c>
      <x:c r="K25" s="19" t="n">
        <x:f>IF('F12'!H25&lt;&gt;"",'F12'!H25,"")</x:f>
        <x:v>4</x:v>
      </x:c>
      <x:c r="L25" s="20">
        <x:f t="shared" si="4"/>
        <x:v>100</x:v>
      </x:c>
    </x:row>
    <x:row r="26">
      <x:c r="A26" s="18" t="str">
        <x:f>IF(RECORD!B35="","",RECORD!B35)</x:f>
        <x:v>2024-00555</x:v>
      </x:c>
      <x:c r="B26" s="18" t="str">
        <x:f>IF(RECORD!C35="","",RECORD!C35)</x:f>
        <x:v>Robles, Elijah D.</x:v>
      </x:c>
      <x:c r="C26" s="19" t="n">
        <x:f>IF('F12'!D26&lt;&gt;"",'F12'!D26,"")</x:f>
        <x:v>2</x:v>
      </x:c>
      <x:c r="D26" s="20">
        <x:f t="shared" si="0"/>
        <x:v>80</x:v>
      </x:c>
      <x:c r="E26" s="19" t="n">
        <x:f>IF('F12'!E26&lt;&gt;"",'F12'!E26,"")</x:f>
        <x:v>1</x:v>
      </x:c>
      <x:c r="F26" s="20">
        <x:f t="shared" si="1"/>
        <x:v>80</x:v>
      </x:c>
      <x:c r="G26" s="19" t="n">
        <x:f>IF('F12'!F26&lt;&gt;"",'F12'!F26,"")</x:f>
        <x:v>2</x:v>
      </x:c>
      <x:c r="H26" s="20">
        <x:f t="shared" si="2"/>
        <x:v>80</x:v>
      </x:c>
      <x:c r="I26" s="19" t="n">
        <x:f>IF('F12'!G26&lt;&gt;"",'F12'!G26,"")</x:f>
        <x:v>2</x:v>
      </x:c>
      <x:c r="J26" s="20">
        <x:f t="shared" si="3"/>
        <x:v>40</x:v>
      </x:c>
      <x:c r="K26" s="19" t="n">
        <x:f>IF('F12'!H26&lt;&gt;"",'F12'!H26,"")</x:f>
        <x:v>3</x:v>
      </x:c>
      <x:c r="L26" s="20">
        <x:f t="shared" si="4"/>
        <x:v>80</x:v>
      </x:c>
    </x:row>
    <x:row r="27">
      <x:c r="A27" s="18" t="str">
        <x:f>IF(RECORD!B36="","",RECORD!B36)</x:f>
        <x:v>2024-00577</x:v>
      </x:c>
      <x:c r="B27" s="18" t="str">
        <x:f>IF(RECORD!C36="","",RECORD!C36)</x:f>
        <x:v>Marquez, Jasmine B.</x:v>
      </x:c>
      <x:c r="C27" s="19" t="n">
        <x:f>IF('F12'!D27&lt;&gt;"",'F12'!D27,"")</x:f>
        <x:v>3</x:v>
      </x:c>
      <x:c r="D27" s="20">
        <x:f t="shared" si="0"/>
        <x:v>100</x:v>
      </x:c>
      <x:c r="E27" s="19" t="n">
        <x:f>IF('F12'!E27&lt;&gt;"",'F12'!E27,"")</x:f>
        <x:v>4</x:v>
      </x:c>
      <x:c r="F27" s="20">
        <x:f t="shared" si="1"/>
        <x:v>100</x:v>
      </x:c>
      <x:c r="G27" s="19" t="n">
        <x:f>IF('F12'!F27&lt;&gt;"",'F12'!F27,"")</x:f>
        <x:v>2</x:v>
      </x:c>
      <x:c r="H27" s="20">
        <x:f t="shared" si="2"/>
        <x:v>100</x:v>
      </x:c>
      <x:c r="I27" s="19" t="n">
        <x:f>IF('F12'!G27&lt;&gt;"",'F12'!G27,"")</x:f>
        <x:v>3</x:v>
      </x:c>
      <x:c r="J27" s="20">
        <x:f t="shared" si="3"/>
        <x:v>100</x:v>
      </x:c>
      <x:c r="K27" s="19" t="n">
        <x:f>IF('F12'!H27&lt;&gt;"",'F12'!H27,"")</x:f>
        <x:v>2</x:v>
      </x:c>
      <x:c r="L27" s="20">
        <x:f t="shared" si="4"/>
        <x:v>100</x:v>
      </x:c>
    </x:row>
    <x:row r="28">
      <x:c r="A28" s="18" t="str">
        <x:f>IF(RECORD!B37="","",RECORD!B37)</x:f>
        <x:v>2024-00599</x:v>
      </x:c>
      <x:c r="B28" s="18" t="str">
        <x:f>IF(RECORD!C37="","",RECORD!C37)</x:f>
        <x:v>Velasco, Adrian V.</x:v>
      </x:c>
      <x:c r="C28" s="19" t="n">
        <x:f>IF('F12'!D28&lt;&gt;"",'F12'!D28,"")</x:f>
        <x:v>2</x:v>
      </x:c>
      <x:c r="D28" s="20">
        <x:f t="shared" si="0"/>
        <x:v>60</x:v>
      </x:c>
      <x:c r="E28" s="19" t="n">
        <x:f>IF('F12'!E28&lt;&gt;"",'F12'!E28,"")</x:f>
        <x:v>3</x:v>
      </x:c>
      <x:c r="F28" s="20">
        <x:f t="shared" si="1"/>
        <x:v>60</x:v>
      </x:c>
      <x:c r="G28" s="19" t="n">
        <x:f>IF('F12'!F28&lt;&gt;"",'F12'!F28,"")</x:f>
        <x:v>1</x:v>
      </x:c>
      <x:c r="H28" s="20">
        <x:f t="shared" si="2"/>
        <x:v>60</x:v>
      </x:c>
      <x:c r="I28" s="19" t="n">
        <x:f>IF('F12'!G28&lt;&gt;"",'F12'!G28,"")</x:f>
        <x:v>4</x:v>
      </x:c>
      <x:c r="J28" s="20">
        <x:f t="shared" si="3"/>
        <x:v>60</x:v>
      </x:c>
      <x:c r="K28" s="19" t="n">
        <x:f>IF('F12'!H28&lt;&gt;"",'F12'!H28,"")</x:f>
        <x:v>2</x:v>
      </x:c>
      <x:c r="L28" s="20">
        <x:f t="shared" si="4"/>
        <x:v>60</x:v>
      </x:c>
    </x:row>
    <x:row r="29">
      <x:c r="A29" s="18" t="str">
        <x:f>IF(RECORD!B38="","",RECORD!B38)</x:f>
        <x:v>2024-00621</x:v>
      </x:c>
      <x:c r="B29" s="18" t="str">
        <x:f>IF(RECORD!C38="","",RECORD!C38)</x:f>
        <x:v>Palma, Gian K.</x:v>
      </x:c>
      <x:c r="C29" s="19" t="n">
        <x:f>IF('F12'!D29&lt;&gt;"",'F12'!D29,"")</x:f>
        <x:v>3</x:v>
      </x:c>
      <x:c r="D29" s="20">
        <x:f t="shared" si="0"/>
        <x:v>80</x:v>
      </x:c>
      <x:c r="E29" s="19" t="n">
        <x:f>IF('F12'!E29&lt;&gt;"",'F12'!E29,"")</x:f>
        <x:v>2</x:v>
      </x:c>
      <x:c r="F29" s="20">
        <x:f t="shared" si="1"/>
        <x:v>80</x:v>
      </x:c>
      <x:c r="G29" s="19" t="n">
        <x:f>IF('F12'!F29&lt;&gt;"",'F12'!F29,"")</x:f>
        <x:v>2</x:v>
      </x:c>
      <x:c r="H29" s="20">
        <x:f t="shared" si="2"/>
        <x:v>80</x:v>
      </x:c>
      <x:c r="I29" s="19" t="n">
        <x:f>IF('F12'!G29&lt;&gt;"",'F12'!G29,"")</x:f>
        <x:v>1</x:v>
      </x:c>
      <x:c r="J29" s="20">
        <x:f t="shared" si="3"/>
        <x:v>80</x:v>
      </x:c>
      <x:c r="K29" s="19" t="n">
        <x:f>IF('F12'!H29&lt;&gt;"",'F12'!H29,"")</x:f>
        <x:v>2</x:v>
      </x:c>
      <x:c r="L29" s="20">
        <x:f t="shared" si="4"/>
        <x:v>80</x:v>
      </x:c>
    </x:row>
    <x:row r="30">
      <x:c r="A30" s="18" t="str">
        <x:f>IF(RECORD!B39="","",RECORD!B39)</x:f>
        <x:v>2024-00643</x:v>
      </x:c>
      <x:c r="B30" s="18" t="str">
        <x:f>IF(RECORD!C39="","",RECORD!C39)</x:f>
        <x:v>Torres, Sean T.</x:v>
      </x:c>
      <x:c r="C30" s="19" t="n">
        <x:f>IF('F12'!D30&lt;&gt;"",'F12'!D30,"")</x:f>
        <x:v>3</x:v>
      </x:c>
      <x:c r="D30" s="20">
        <x:f t="shared" si="0"/>
        <x:v>80</x:v>
      </x:c>
      <x:c r="E30" s="19" t="n">
        <x:f>IF('F12'!E30&lt;&gt;"",'F12'!E30,"")</x:f>
        <x:v>2</x:v>
      </x:c>
      <x:c r="F30" s="20">
        <x:f t="shared" si="1"/>
        <x:v>80</x:v>
      </x:c>
      <x:c r="G30" s="19" t="n">
        <x:f>IF('F12'!F30&lt;&gt;"",'F12'!F30,"")</x:f>
        <x:v>2</x:v>
      </x:c>
      <x:c r="H30" s="20">
        <x:f t="shared" si="2"/>
        <x:v>80</x:v>
      </x:c>
      <x:c r="I30" s="19" t="n">
        <x:f>IF('F12'!G30&lt;&gt;"",'F12'!G30,"")</x:f>
        <x:v>4</x:v>
      </x:c>
      <x:c r="J30" s="20">
        <x:f t="shared" si="3"/>
        <x:v>80</x:v>
      </x:c>
      <x:c r="K30" s="19" t="n">
        <x:f>IF('F12'!H30&lt;&gt;"",'F12'!H30,"")</x:f>
        <x:v>4</x:v>
      </x:c>
      <x:c r="L30" s="20">
        <x:f t="shared" si="4"/>
        <x:v>80</x:v>
      </x:c>
    </x:row>
    <x:row r="31">
      <x:c r="A31" s="18" t="str">
        <x:f>IF(RECORD!B40="","",RECORD!B40)</x:f>
        <x:v>2024-00665</x:v>
      </x:c>
      <x:c r="B31" s="18" t="str">
        <x:f>IF(RECORD!C40="","",RECORD!C40)</x:f>
        <x:v>Santos, Xandra J.</x:v>
      </x:c>
      <x:c r="C31" s="19" t="n">
        <x:f>IF('F12'!D31&lt;&gt;"",'F12'!D31,"")</x:f>
        <x:v>1</x:v>
      </x:c>
      <x:c r="D31" s="20">
        <x:f t="shared" si="0"/>
        <x:v>40</x:v>
      </x:c>
      <x:c r="E31" s="19" t="n">
        <x:f>IF('F12'!E31&lt;&gt;"",'F12'!E31,"")</x:f>
        <x:v>3</x:v>
      </x:c>
      <x:c r="F31" s="20">
        <x:f t="shared" si="1"/>
        <x:v>40</x:v>
      </x:c>
      <x:c r="G31" s="19" t="n">
        <x:f>IF('F12'!F31&lt;&gt;"",'F12'!F31,"")</x:f>
        <x:v>3</x:v>
      </x:c>
      <x:c r="H31" s="20">
        <x:f t="shared" si="2"/>
        <x:v>40</x:v>
      </x:c>
      <x:c r="I31" s="19" t="n">
        <x:f>IF('F12'!G31&lt;&gt;"",'F12'!G31,"")</x:f>
        <x:v>3</x:v>
      </x:c>
      <x:c r="J31" s="20">
        <x:f t="shared" si="3"/>
        <x:v>40</x:v>
      </x:c>
      <x:c r="K31" s="19" t="n">
        <x:f>IF('F12'!H31&lt;&gt;"",'F12'!H31,"")</x:f>
        <x:v>1</x:v>
      </x:c>
      <x:c r="L31" s="20">
        <x:f t="shared" si="4"/>
        <x:v>40</x:v>
      </x:c>
    </x:row>
    <x:row r="32">
      <x:c r="A32" s="18" t="str">
        <x:f>IF(RECORD!B41="","",RECORD!B41)</x:f>
        <x:v>2024-00687</x:v>
      </x:c>
      <x:c r="B32" s="18" t="str">
        <x:f>IF(RECORD!C41="","",RECORD!C41)</x:f>
        <x:v>Alvarez, Ivan A.</x:v>
      </x:c>
      <x:c r="C32" s="19" t="n">
        <x:f>IF('F12'!D32&lt;&gt;"",'F12'!D32,"")</x:f>
        <x:v>3</x:v>
      </x:c>
      <x:c r="D32" s="20">
        <x:f t="shared" si="0"/>
        <x:v>80</x:v>
      </x:c>
      <x:c r="E32" s="19" t="n">
        <x:f>IF('F12'!E32&lt;&gt;"",'F12'!E32,"")</x:f>
        <x:v>4</x:v>
      </x:c>
      <x:c r="F32" s="20">
        <x:f t="shared" si="1"/>
        <x:v>80</x:v>
      </x:c>
      <x:c r="G32" s="19" t="n">
        <x:f>IF('F12'!F32&lt;&gt;"",'F12'!F32,"")</x:f>
        <x:v>3</x:v>
      </x:c>
      <x:c r="H32" s="20">
        <x:f t="shared" si="2"/>
        <x:v>80</x:v>
      </x:c>
      <x:c r="I32" s="19" t="n">
        <x:f>IF('F12'!G32&lt;&gt;"",'F12'!G32,"")</x:f>
        <x:v>5</x:v>
      </x:c>
      <x:c r="J32" s="20">
        <x:f t="shared" si="3"/>
        <x:v>80</x:v>
      </x:c>
      <x:c r="K32" s="19" t="n">
        <x:f>IF('F12'!H32&lt;&gt;"",'F12'!H32,"")</x:f>
        <x:v>1</x:v>
      </x:c>
      <x:c r="L32" s="20">
        <x:f t="shared" si="4"/>
        <x:v>80</x:v>
      </x:c>
    </x:row>
    <x:row r="33">
      <x:c r="A33" s="18" t="str">
        <x:f>IF(RECORD!B42="","",RECORD!B42)</x:f>
        <x:v>2024-00709</x:v>
      </x:c>
      <x:c r="B33" s="18" t="str">
        <x:f>IF(RECORD!C42="","",RECORD!C42)</x:f>
        <x:v>Pascual, Uriel V.</x:v>
      </x:c>
      <x:c r="C33" s="19" t="n">
        <x:f>IF('F12'!D33&lt;&gt;"",'F12'!D33,"")</x:f>
        <x:v>1</x:v>
      </x:c>
      <x:c r="D33" s="20">
        <x:f t="shared" si="0"/>
        <x:v>100</x:v>
      </x:c>
      <x:c r="E33" s="19" t="n">
        <x:f>IF('F12'!E33&lt;&gt;"",'F12'!E33,"")</x:f>
        <x:v>3</x:v>
      </x:c>
      <x:c r="F33" s="20">
        <x:f t="shared" si="1"/>
        <x:v>80</x:v>
      </x:c>
      <x:c r="G33" s="19" t="n">
        <x:f>IF('F12'!F33&lt;&gt;"",'F12'!F33,"")</x:f>
        <x:v>3</x:v>
      </x:c>
      <x:c r="H33" s="20">
        <x:f t="shared" si="2"/>
        <x:v>100</x:v>
      </x:c>
      <x:c r="I33" s="19" t="n">
        <x:f>IF('F12'!G33&lt;&gt;"",'F12'!G33,"")</x:f>
        <x:v>3</x:v>
      </x:c>
      <x:c r="J33" s="20">
        <x:f t="shared" si="3"/>
        <x:v>80</x:v>
      </x:c>
      <x:c r="K33" s="19" t="n">
        <x:f>IF('F12'!H33&lt;&gt;"",'F12'!H33,"")</x:f>
        <x:v>2</x:v>
      </x:c>
      <x:c r="L33" s="20">
        <x:f t="shared" si="4"/>
        <x:v>100</x:v>
      </x:c>
    </x:row>
    <x:row r="34">
      <x:c r="A34" s="18" t="str">
        <x:f>IF(RECORD!B43="","",RECORD!B43)</x:f>
        <x:v>2024-00731</x:v>
      </x:c>
      <x:c r="B34" s="18" t="str">
        <x:f>IF(RECORD!C43="","",RECORD!C43)</x:f>
        <x:v>De Guzman, Patricia O.</x:v>
      </x:c>
      <x:c r="C34" s="19" t="n">
        <x:f>IF('F12'!D34&lt;&gt;"",'F12'!D34,"")</x:f>
        <x:v>3</x:v>
      </x:c>
      <x:c r="D34" s="20">
        <x:f t="shared" si="0"/>
        <x:v>60</x:v>
      </x:c>
      <x:c r="E34" s="19" t="n">
        <x:f>IF('F12'!E34&lt;&gt;"",'F12'!E34,"")</x:f>
        <x:v>3</x:v>
      </x:c>
      <x:c r="F34" s="20">
        <x:f t="shared" si="1"/>
        <x:v>80</x:v>
      </x:c>
      <x:c r="G34" s="19" t="n">
        <x:f>IF('F12'!F34&lt;&gt;"",'F12'!F34,"")</x:f>
        <x:v>3</x:v>
      </x:c>
      <x:c r="H34" s="20">
        <x:f t="shared" si="2"/>
        <x:v>60</x:v>
      </x:c>
      <x:c r="I34" s="19" t="n">
        <x:f>IF('F12'!G34&lt;&gt;"",'F12'!G34,"")</x:f>
        <x:v>1</x:v>
      </x:c>
      <x:c r="J34" s="20">
        <x:f t="shared" si="3"/>
        <x:v>60</x:v>
      </x:c>
      <x:c r="K34" s="19" t="n">
        <x:f>IF('F12'!H34&lt;&gt;"",'F12'!H34,"")</x:f>
        <x:v>2</x:v>
      </x:c>
      <x:c r="L34" s="20">
        <x:f t="shared" si="4"/>
        <x:v>60</x:v>
      </x:c>
    </x:row>
    <x:row r="35">
      <x:c r="A35" s="18" t="str">
        <x:f>IF(RECORD!B44="","",RECORD!B44)</x:f>
      </x:c>
      <x:c r="B35" s="18" t="str">
        <x:f>IF(RECORD!C44="","",RECORD!C44)</x:f>
      </x:c>
      <x:c r="C35" s="19" t="str">
        <x:f>IF('F12'!D35&lt;&gt;"",'F12'!D35,"")</x:f>
      </x:c>
      <x:c r="D35" s="20" t="str">
        <x:f t="shared" si="0"/>
      </x:c>
      <x:c r="E35" s="19" t="str">
        <x:f>IF('F12'!E35&lt;&gt;"",'F12'!E35,"")</x:f>
      </x:c>
      <x:c r="F35" s="20" t="str">
        <x:f t="shared" si="1"/>
      </x:c>
      <x:c r="G35" s="19" t="str">
        <x:f>IF('F12'!F35&lt;&gt;"",'F12'!F35,"")</x:f>
      </x:c>
      <x:c r="H35" s="20" t="str">
        <x:f t="shared" si="2"/>
      </x:c>
      <x:c r="I35" s="19" t="str">
        <x:f>IF('F12'!G35&lt;&gt;"",'F12'!G35,"")</x:f>
      </x:c>
      <x:c r="J35" s="20" t="str">
        <x:f t="shared" si="3"/>
      </x:c>
      <x:c r="K35" s="19" t="str">
        <x:f>IF('F12'!H35&lt;&gt;"",'F12'!H35,"")</x:f>
      </x:c>
      <x:c r="L35" s="20" t="str">
        <x:f t="shared" si="4"/>
      </x:c>
    </x:row>
    <x:row r="36">
      <x:c r="A36" s="18" t="str">
        <x:f>IF(RECORD!B45="","",RECORD!B45)</x:f>
      </x:c>
      <x:c r="B36" s="18" t="str">
        <x:f>IF(RECORD!C45="","",RECORD!C45)</x:f>
      </x:c>
      <x:c r="C36" s="19" t="str">
        <x:f>IF('F12'!D36&lt;&gt;"",'F12'!D36,"")</x:f>
      </x:c>
      <x:c r="D36" s="20" t="str">
        <x:f t="shared" si="0"/>
      </x:c>
      <x:c r="E36" s="19" t="str">
        <x:f>IF('F12'!E36&lt;&gt;"",'F12'!E36,"")</x:f>
      </x:c>
      <x:c r="F36" s="20" t="str">
        <x:f t="shared" si="1"/>
      </x:c>
      <x:c r="G36" s="19" t="str">
        <x:f>IF('F12'!F36&lt;&gt;"",'F12'!F36,"")</x:f>
      </x:c>
      <x:c r="H36" s="20" t="str">
        <x:f t="shared" si="2"/>
      </x:c>
      <x:c r="I36" s="19" t="str">
        <x:f>IF('F12'!G36&lt;&gt;"",'F12'!G36,"")</x:f>
      </x:c>
      <x:c r="J36" s="20" t="str">
        <x:f t="shared" si="3"/>
      </x:c>
      <x:c r="K36" s="19" t="str">
        <x:f>IF('F12'!H36&lt;&gt;"",'F12'!H36,"")</x:f>
      </x:c>
      <x:c r="L36" s="20" t="str">
        <x:f t="shared" si="4"/>
      </x:c>
    </x:row>
    <x:row r="37">
      <x:c r="A37" s="18" t="str">
        <x:f>IF(RECORD!B46="","",RECORD!B46)</x:f>
      </x:c>
      <x:c r="B37" s="18" t="str">
        <x:f>IF(RECORD!C46="","",RECORD!C46)</x:f>
      </x:c>
      <x:c r="C37" s="19" t="str">
        <x:f>IF('F12'!D37&lt;&gt;"",'F12'!D37,"")</x:f>
      </x:c>
      <x:c r="D37" s="20" t="str">
        <x:f t="shared" ref="D37:D68" si="5">IF(B37&lt;&gt;"",IFERROR((C37/5)*100,0),"")</x:f>
      </x:c>
      <x:c r="E37" s="19" t="str">
        <x:f>IF('F12'!E37&lt;&gt;"",'F12'!E37,"")</x:f>
      </x:c>
      <x:c r="F37" s="20" t="str">
        <x:f t="shared" ref="F37:F68" si="6">IF(B37&lt;&gt;"",IFERROR((E37/5)*100,0),"")</x:f>
      </x:c>
      <x:c r="G37" s="19" t="str">
        <x:f>IF('F12'!F37&lt;&gt;"",'F12'!F37,"")</x:f>
      </x:c>
      <x:c r="H37" s="20" t="str">
        <x:f t="shared" ref="H37:H68" si="7">IF(B37&lt;&gt;"",IFERROR((G37/5)*100,0),"")</x:f>
      </x:c>
      <x:c r="I37" s="19" t="str">
        <x:f>IF('F12'!G37&lt;&gt;"",'F12'!G37,"")</x:f>
      </x:c>
      <x:c r="J37" s="20" t="str">
        <x:f t="shared" ref="J37:J68" si="8">IF(B37&lt;&gt;"",IFERROR((I37/5)*100,0),"")</x:f>
      </x:c>
      <x:c r="K37" s="19" t="str">
        <x:f>IF('F12'!H37&lt;&gt;"",'F12'!H37,"")</x:f>
      </x:c>
      <x:c r="L37" s="20" t="str">
        <x:f t="shared" ref="L37:L68" si="9">IF(B37&lt;&gt;"",IFERROR((K37/5)*100,0),"")</x:f>
      </x:c>
    </x:row>
    <x:row r="38">
      <x:c r="A38" s="18" t="str">
        <x:f>IF(RECORD!B47="","",RECORD!B47)</x:f>
      </x:c>
      <x:c r="B38" s="18" t="str">
        <x:f>IF(RECORD!C47="","",RECORD!C47)</x:f>
      </x:c>
      <x:c r="C38" s="19" t="str">
        <x:f>IF('F12'!D38&lt;&gt;"",'F12'!D38,"")</x:f>
      </x:c>
      <x:c r="D38" s="20" t="str">
        <x:f t="shared" si="5"/>
      </x:c>
      <x:c r="E38" s="19" t="str">
        <x:f>IF('F12'!E38&lt;&gt;"",'F12'!E38,"")</x:f>
      </x:c>
      <x:c r="F38" s="20" t="str">
        <x:f t="shared" si="6"/>
      </x:c>
      <x:c r="G38" s="19" t="str">
        <x:f>IF('F12'!F38&lt;&gt;"",'F12'!F38,"")</x:f>
      </x:c>
      <x:c r="H38" s="20" t="str">
        <x:f t="shared" si="7"/>
      </x:c>
      <x:c r="I38" s="19" t="str">
        <x:f>IF('F12'!G38&lt;&gt;"",'F12'!G38,"")</x:f>
      </x:c>
      <x:c r="J38" s="20" t="str">
        <x:f t="shared" si="8"/>
      </x:c>
      <x:c r="K38" s="19" t="str">
        <x:f>IF('F12'!H38&lt;&gt;"",'F12'!H38,"")</x:f>
      </x:c>
      <x:c r="L38" s="20" t="str">
        <x:f t="shared" si="9"/>
      </x:c>
    </x:row>
    <x:row r="39">
      <x:c r="A39" s="18" t="str">
        <x:f>IF(RECORD!B48="","",RECORD!B48)</x:f>
      </x:c>
      <x:c r="B39" s="18" t="str">
        <x:f>IF(RECORD!C48="","",RECORD!C48)</x:f>
      </x:c>
      <x:c r="C39" s="19" t="str">
        <x:f>IF('F12'!D39&lt;&gt;"",'F12'!D39,"")</x:f>
      </x:c>
      <x:c r="D39" s="20" t="str">
        <x:f t="shared" si="5"/>
      </x:c>
      <x:c r="E39" s="19" t="str">
        <x:f>IF('F12'!E39&lt;&gt;"",'F12'!E39,"")</x:f>
      </x:c>
      <x:c r="F39" s="20" t="str">
        <x:f t="shared" si="6"/>
      </x:c>
      <x:c r="G39" s="19" t="str">
        <x:f>IF('F12'!F39&lt;&gt;"",'F12'!F39,"")</x:f>
      </x:c>
      <x:c r="H39" s="20" t="str">
        <x:f t="shared" si="7"/>
      </x:c>
      <x:c r="I39" s="19" t="str">
        <x:f>IF('F12'!G39&lt;&gt;"",'F12'!G39,"")</x:f>
      </x:c>
      <x:c r="J39" s="20" t="str">
        <x:f t="shared" si="8"/>
      </x:c>
      <x:c r="K39" s="19" t="str">
        <x:f>IF('F12'!H39&lt;&gt;"",'F12'!H39,"")</x:f>
      </x:c>
      <x:c r="L39" s="20" t="str">
        <x:f t="shared" si="9"/>
      </x:c>
    </x:row>
    <x:row r="40">
      <x:c r="A40" s="18" t="str">
        <x:f>IF(RECORD!B49="","",RECORD!B49)</x:f>
      </x:c>
      <x:c r="B40" s="18" t="str">
        <x:f>IF(RECORD!C49="","",RECORD!C49)</x:f>
      </x:c>
      <x:c r="C40" s="19" t="str">
        <x:f>IF('F12'!D40&lt;&gt;"",'F12'!D40,"")</x:f>
      </x:c>
      <x:c r="D40" s="20" t="str">
        <x:f t="shared" si="5"/>
      </x:c>
      <x:c r="E40" s="19" t="str">
        <x:f>IF('F12'!E40&lt;&gt;"",'F12'!E40,"")</x:f>
      </x:c>
      <x:c r="F40" s="20" t="str">
        <x:f t="shared" si="6"/>
      </x:c>
      <x:c r="G40" s="19" t="str">
        <x:f>IF('F12'!F40&lt;&gt;"",'F12'!F40,"")</x:f>
      </x:c>
      <x:c r="H40" s="20" t="str">
        <x:f t="shared" si="7"/>
      </x:c>
      <x:c r="I40" s="19" t="str">
        <x:f>IF('F12'!G40&lt;&gt;"",'F12'!G40,"")</x:f>
      </x:c>
      <x:c r="J40" s="20" t="str">
        <x:f t="shared" si="8"/>
      </x:c>
      <x:c r="K40" s="19" t="str">
        <x:f>IF('F12'!H40&lt;&gt;"",'F12'!H40,"")</x:f>
      </x:c>
      <x:c r="L40" s="20" t="str">
        <x:f t="shared" si="9"/>
      </x:c>
    </x:row>
    <x:row r="41">
      <x:c r="A41" s="18" t="str">
        <x:f>IF(RECORD!B50="","",RECORD!B50)</x:f>
      </x:c>
      <x:c r="B41" s="18" t="str">
        <x:f>IF(RECORD!C50="","",RECORD!C50)</x:f>
      </x:c>
      <x:c r="C41" s="19" t="str">
        <x:f>IF('F12'!D41&lt;&gt;"",'F12'!D41,"")</x:f>
      </x:c>
      <x:c r="D41" s="20" t="str">
        <x:f t="shared" si="5"/>
      </x:c>
      <x:c r="E41" s="19" t="str">
        <x:f>IF('F12'!E41&lt;&gt;"",'F12'!E41,"")</x:f>
      </x:c>
      <x:c r="F41" s="20" t="str">
        <x:f t="shared" si="6"/>
      </x:c>
      <x:c r="G41" s="19" t="str">
        <x:f>IF('F12'!F41&lt;&gt;"",'F12'!F41,"")</x:f>
      </x:c>
      <x:c r="H41" s="20" t="str">
        <x:f t="shared" si="7"/>
      </x:c>
      <x:c r="I41" s="19" t="str">
        <x:f>IF('F12'!G41&lt;&gt;"",'F12'!G41,"")</x:f>
      </x:c>
      <x:c r="J41" s="20" t="str">
        <x:f t="shared" si="8"/>
      </x:c>
      <x:c r="K41" s="19" t="str">
        <x:f>IF('F12'!H41&lt;&gt;"",'F12'!H41,"")</x:f>
      </x:c>
      <x:c r="L41" s="20" t="str">
        <x:f t="shared" si="9"/>
      </x:c>
    </x:row>
    <x:row r="42">
      <x:c r="A42" s="18" t="str">
        <x:f>IF(RECORD!B51="","",RECORD!B51)</x:f>
      </x:c>
      <x:c r="B42" s="18" t="str">
        <x:f>IF(RECORD!C51="","",RECORD!C51)</x:f>
      </x:c>
      <x:c r="C42" s="19" t="str">
        <x:f>IF('F12'!D42&lt;&gt;"",'F12'!D42,"")</x:f>
      </x:c>
      <x:c r="D42" s="20" t="str">
        <x:f t="shared" si="5"/>
      </x:c>
      <x:c r="E42" s="19" t="str">
        <x:f>IF('F12'!E42&lt;&gt;"",'F12'!E42,"")</x:f>
      </x:c>
      <x:c r="F42" s="20" t="str">
        <x:f t="shared" si="6"/>
      </x:c>
      <x:c r="G42" s="19" t="str">
        <x:f>IF('F12'!F42&lt;&gt;"",'F12'!F42,"")</x:f>
      </x:c>
      <x:c r="H42" s="20" t="str">
        <x:f t="shared" si="7"/>
      </x:c>
      <x:c r="I42" s="19" t="str">
        <x:f>IF('F12'!G42&lt;&gt;"",'F12'!G42,"")</x:f>
      </x:c>
      <x:c r="J42" s="20" t="str">
        <x:f t="shared" si="8"/>
      </x:c>
      <x:c r="K42" s="19" t="str">
        <x:f>IF('F12'!H42&lt;&gt;"",'F12'!H42,"")</x:f>
      </x:c>
      <x:c r="L42" s="20" t="str">
        <x:f t="shared" si="9"/>
      </x:c>
    </x:row>
    <x:row r="43">
      <x:c r="A43" s="18" t="str">
        <x:f>IF(RECORD!B52="","",RECORD!B52)</x:f>
      </x:c>
      <x:c r="B43" s="18" t="str">
        <x:f>IF(RECORD!C52="","",RECORD!C52)</x:f>
      </x:c>
      <x:c r="C43" s="19" t="str">
        <x:f>IF('F12'!D43&lt;&gt;"",'F12'!D43,"")</x:f>
      </x:c>
      <x:c r="D43" s="20" t="str">
        <x:f t="shared" si="5"/>
      </x:c>
      <x:c r="E43" s="19" t="str">
        <x:f>IF('F12'!E43&lt;&gt;"",'F12'!E43,"")</x:f>
      </x:c>
      <x:c r="F43" s="20" t="str">
        <x:f t="shared" si="6"/>
      </x:c>
      <x:c r="G43" s="19" t="str">
        <x:f>IF('F12'!F43&lt;&gt;"",'F12'!F43,"")</x:f>
      </x:c>
      <x:c r="H43" s="20" t="str">
        <x:f t="shared" si="7"/>
      </x:c>
      <x:c r="I43" s="19" t="str">
        <x:f>IF('F12'!G43&lt;&gt;"",'F12'!G43,"")</x:f>
      </x:c>
      <x:c r="J43" s="20" t="str">
        <x:f t="shared" si="8"/>
      </x:c>
      <x:c r="K43" s="19" t="str">
        <x:f>IF('F12'!H43&lt;&gt;"",'F12'!H43,"")</x:f>
      </x:c>
      <x:c r="L43" s="20" t="str">
        <x:f t="shared" si="9"/>
      </x:c>
    </x:row>
    <x:row r="44">
      <x:c r="A44" s="18" t="str">
        <x:f>IF(RECORD!B53="","",RECORD!B53)</x:f>
      </x:c>
      <x:c r="B44" s="18" t="str">
        <x:f>IF(RECORD!C53="","",RECORD!C53)</x:f>
      </x:c>
      <x:c r="C44" s="19" t="str">
        <x:f>IF('F12'!D44&lt;&gt;"",'F12'!D44,"")</x:f>
      </x:c>
      <x:c r="D44" s="20" t="str">
        <x:f t="shared" si="5"/>
      </x:c>
      <x:c r="E44" s="19" t="str">
        <x:f>IF('F12'!E44&lt;&gt;"",'F12'!E44,"")</x:f>
      </x:c>
      <x:c r="F44" s="20" t="str">
        <x:f t="shared" si="6"/>
      </x:c>
      <x:c r="G44" s="19" t="str">
        <x:f>IF('F12'!F44&lt;&gt;"",'F12'!F44,"")</x:f>
      </x:c>
      <x:c r="H44" s="20" t="str">
        <x:f t="shared" si="7"/>
      </x:c>
      <x:c r="I44" s="19" t="str">
        <x:f>IF('F12'!G44&lt;&gt;"",'F12'!G44,"")</x:f>
      </x:c>
      <x:c r="J44" s="20" t="str">
        <x:f t="shared" si="8"/>
      </x:c>
      <x:c r="K44" s="19" t="str">
        <x:f>IF('F12'!H44&lt;&gt;"",'F12'!H44,"")</x:f>
      </x:c>
      <x:c r="L44" s="20" t="str">
        <x:f t="shared" si="9"/>
      </x:c>
    </x:row>
    <x:row r="45">
      <x:c r="A45" s="18" t="str">
        <x:f>IF(RECORD!B54="","",RECORD!B54)</x:f>
      </x:c>
      <x:c r="B45" s="18" t="str">
        <x:f>IF(RECORD!C54="","",RECORD!C54)</x:f>
      </x:c>
      <x:c r="C45" s="19" t="str">
        <x:f>IF('F12'!D45&lt;&gt;"",'F12'!D45,"")</x:f>
      </x:c>
      <x:c r="D45" s="20" t="str">
        <x:f t="shared" si="5"/>
      </x:c>
      <x:c r="E45" s="19" t="str">
        <x:f>IF('F12'!E45&lt;&gt;"",'F12'!E45,"")</x:f>
      </x:c>
      <x:c r="F45" s="20" t="str">
        <x:f t="shared" si="6"/>
      </x:c>
      <x:c r="G45" s="19" t="str">
        <x:f>IF('F12'!F45&lt;&gt;"",'F12'!F45,"")</x:f>
      </x:c>
      <x:c r="H45" s="20" t="str">
        <x:f t="shared" si="7"/>
      </x:c>
      <x:c r="I45" s="19" t="str">
        <x:f>IF('F12'!G45&lt;&gt;"",'F12'!G45,"")</x:f>
      </x:c>
      <x:c r="J45" s="20" t="str">
        <x:f t="shared" si="8"/>
      </x:c>
      <x:c r="K45" s="19" t="str">
        <x:f>IF('F12'!H45&lt;&gt;"",'F12'!H45,"")</x:f>
      </x:c>
      <x:c r="L45" s="20" t="str">
        <x:f t="shared" si="9"/>
      </x:c>
    </x:row>
    <x:row r="46">
      <x:c r="A46" s="18" t="str">
        <x:f>IF(RECORD!B55="","",RECORD!B55)</x:f>
      </x:c>
      <x:c r="B46" s="18" t="str">
        <x:f>IF(RECORD!C55="","",RECORD!C55)</x:f>
      </x:c>
      <x:c r="C46" s="19" t="str">
        <x:f>IF('F12'!D46&lt;&gt;"",'F12'!D46,"")</x:f>
      </x:c>
      <x:c r="D46" s="20" t="str">
        <x:f t="shared" si="5"/>
      </x:c>
      <x:c r="E46" s="19" t="str">
        <x:f>IF('F12'!E46&lt;&gt;"",'F12'!E46,"")</x:f>
      </x:c>
      <x:c r="F46" s="20" t="str">
        <x:f t="shared" si="6"/>
      </x:c>
      <x:c r="G46" s="19" t="str">
        <x:f>IF('F12'!F46&lt;&gt;"",'F12'!F46,"")</x:f>
      </x:c>
      <x:c r="H46" s="20" t="str">
        <x:f t="shared" si="7"/>
      </x:c>
      <x:c r="I46" s="19" t="str">
        <x:f>IF('F12'!G46&lt;&gt;"",'F12'!G46,"")</x:f>
      </x:c>
      <x:c r="J46" s="20" t="str">
        <x:f t="shared" si="8"/>
      </x:c>
      <x:c r="K46" s="19" t="str">
        <x:f>IF('F12'!H46&lt;&gt;"",'F12'!H46,"")</x:f>
      </x:c>
      <x:c r="L46" s="20" t="str">
        <x:f t="shared" si="9"/>
      </x:c>
    </x:row>
    <x:row r="47">
      <x:c r="A47" s="18" t="str">
        <x:f>IF(RECORD!B56="","",RECORD!B56)</x:f>
      </x:c>
      <x:c r="B47" s="18" t="str">
        <x:f>IF(RECORD!C56="","",RECORD!C56)</x:f>
      </x:c>
      <x:c r="C47" s="19" t="str">
        <x:f>IF('F12'!D47&lt;&gt;"",'F12'!D47,"")</x:f>
      </x:c>
      <x:c r="D47" s="20" t="str">
        <x:f t="shared" si="5"/>
      </x:c>
      <x:c r="E47" s="19" t="str">
        <x:f>IF('F12'!E47&lt;&gt;"",'F12'!E47,"")</x:f>
      </x:c>
      <x:c r="F47" s="20" t="str">
        <x:f t="shared" si="6"/>
      </x:c>
      <x:c r="G47" s="19" t="str">
        <x:f>IF('F12'!F47&lt;&gt;"",'F12'!F47,"")</x:f>
      </x:c>
      <x:c r="H47" s="20" t="str">
        <x:f t="shared" si="7"/>
      </x:c>
      <x:c r="I47" s="19" t="str">
        <x:f>IF('F12'!G47&lt;&gt;"",'F12'!G47,"")</x:f>
      </x:c>
      <x:c r="J47" s="20" t="str">
        <x:f t="shared" si="8"/>
      </x:c>
      <x:c r="K47" s="19" t="str">
        <x:f>IF('F12'!H47&lt;&gt;"",'F12'!H47,"")</x:f>
      </x:c>
      <x:c r="L47" s="20" t="str">
        <x:f t="shared" si="9"/>
      </x:c>
    </x:row>
    <x:row r="48">
      <x:c r="A48" s="18" t="str">
        <x:f>IF(RECORD!B57="","",RECORD!B57)</x:f>
      </x:c>
      <x:c r="B48" s="18" t="str">
        <x:f>IF(RECORD!C57="","",RECORD!C57)</x:f>
      </x:c>
      <x:c r="C48" s="19" t="str">
        <x:f>IF('F12'!D48&lt;&gt;"",'F12'!D48,"")</x:f>
      </x:c>
      <x:c r="D48" s="20" t="str">
        <x:f t="shared" si="5"/>
      </x:c>
      <x:c r="E48" s="19" t="str">
        <x:f>IF('F12'!E48&lt;&gt;"",'F12'!E48,"")</x:f>
      </x:c>
      <x:c r="F48" s="20" t="str">
        <x:f t="shared" si="6"/>
      </x:c>
      <x:c r="G48" s="19" t="str">
        <x:f>IF('F12'!F48&lt;&gt;"",'F12'!F48,"")</x:f>
      </x:c>
      <x:c r="H48" s="20" t="str">
        <x:f t="shared" si="7"/>
      </x:c>
      <x:c r="I48" s="19" t="str">
        <x:f>IF('F12'!G48&lt;&gt;"",'F12'!G48,"")</x:f>
      </x:c>
      <x:c r="J48" s="20" t="str">
        <x:f t="shared" si="8"/>
      </x:c>
      <x:c r="K48" s="19" t="str">
        <x:f>IF('F12'!H48&lt;&gt;"",'F12'!H48,"")</x:f>
      </x:c>
      <x:c r="L48" s="20" t="str">
        <x:f t="shared" si="9"/>
      </x:c>
    </x:row>
    <x:row r="49">
      <x:c r="A49" s="18" t="str">
        <x:f>IF(RECORD!B58="","",RECORD!B58)</x:f>
      </x:c>
      <x:c r="B49" s="18" t="str">
        <x:f>IF(RECORD!C58="","",RECORD!C58)</x:f>
      </x:c>
      <x:c r="C49" s="19" t="str">
        <x:f>IF('F12'!D49&lt;&gt;"",'F12'!D49,"")</x:f>
      </x:c>
      <x:c r="D49" s="20" t="str">
        <x:f t="shared" si="5"/>
      </x:c>
      <x:c r="E49" s="19" t="str">
        <x:f>IF('F12'!E49&lt;&gt;"",'F12'!E49,"")</x:f>
      </x:c>
      <x:c r="F49" s="20" t="str">
        <x:f t="shared" si="6"/>
      </x:c>
      <x:c r="G49" s="19" t="str">
        <x:f>IF('F12'!F49&lt;&gt;"",'F12'!F49,"")</x:f>
      </x:c>
      <x:c r="H49" s="20" t="str">
        <x:f t="shared" si="7"/>
      </x:c>
      <x:c r="I49" s="19" t="str">
        <x:f>IF('F12'!G49&lt;&gt;"",'F12'!G49,"")</x:f>
      </x:c>
      <x:c r="J49" s="20" t="str">
        <x:f t="shared" si="8"/>
      </x:c>
      <x:c r="K49" s="19" t="str">
        <x:f>IF('F12'!H49&lt;&gt;"",'F12'!H49,"")</x:f>
      </x:c>
      <x:c r="L49" s="20" t="str">
        <x:f t="shared" si="9"/>
      </x:c>
    </x:row>
    <x:row r="50">
      <x:c r="A50" s="18" t="str">
        <x:f>IF(RECORD!B59="","",RECORD!B59)</x:f>
      </x:c>
      <x:c r="B50" s="18" t="str">
        <x:f>IF(RECORD!C59="","",RECORD!C59)</x:f>
      </x:c>
      <x:c r="C50" s="19" t="str">
        <x:f>IF('F12'!D50&lt;&gt;"",'F12'!D50,"")</x:f>
      </x:c>
      <x:c r="D50" s="20" t="str">
        <x:f t="shared" si="5"/>
      </x:c>
      <x:c r="E50" s="19" t="str">
        <x:f>IF('F12'!E50&lt;&gt;"",'F12'!E50,"")</x:f>
      </x:c>
      <x:c r="F50" s="20" t="str">
        <x:f t="shared" si="6"/>
      </x:c>
      <x:c r="G50" s="19" t="str">
        <x:f>IF('F12'!F50&lt;&gt;"",'F12'!F50,"")</x:f>
      </x:c>
      <x:c r="H50" s="20" t="str">
        <x:f t="shared" si="7"/>
      </x:c>
      <x:c r="I50" s="19" t="str">
        <x:f>IF('F12'!G50&lt;&gt;"",'F12'!G50,"")</x:f>
      </x:c>
      <x:c r="J50" s="20" t="str">
        <x:f t="shared" si="8"/>
      </x:c>
      <x:c r="K50" s="19" t="str">
        <x:f>IF('F12'!H50&lt;&gt;"",'F12'!H50,"")</x:f>
      </x:c>
      <x:c r="L50" s="20" t="str">
        <x:f t="shared" si="9"/>
      </x:c>
    </x:row>
    <x:row r="51">
      <x:c r="A51" s="18" t="str">
        <x:f>IF(RECORD!B60="","",RECORD!B60)</x:f>
      </x:c>
      <x:c r="B51" s="18" t="str">
        <x:f>IF(RECORD!C60="","",RECORD!C60)</x:f>
      </x:c>
      <x:c r="C51" s="19" t="str">
        <x:f>IF('F12'!D51&lt;&gt;"",'F12'!D51,"")</x:f>
      </x:c>
      <x:c r="D51" s="20" t="str">
        <x:f t="shared" si="5"/>
      </x:c>
      <x:c r="E51" s="19" t="str">
        <x:f>IF('F12'!E51&lt;&gt;"",'F12'!E51,"")</x:f>
      </x:c>
      <x:c r="F51" s="20" t="str">
        <x:f t="shared" si="6"/>
      </x:c>
      <x:c r="G51" s="19" t="str">
        <x:f>IF('F12'!F51&lt;&gt;"",'F12'!F51,"")</x:f>
      </x:c>
      <x:c r="H51" s="20" t="str">
        <x:f t="shared" si="7"/>
      </x:c>
      <x:c r="I51" s="19" t="str">
        <x:f>IF('F12'!G51&lt;&gt;"",'F12'!G51,"")</x:f>
      </x:c>
      <x:c r="J51" s="20" t="str">
        <x:f t="shared" si="8"/>
      </x:c>
      <x:c r="K51" s="19" t="str">
        <x:f>IF('F12'!H51&lt;&gt;"",'F12'!H51,"")</x:f>
      </x:c>
      <x:c r="L51" s="20" t="str">
        <x:f t="shared" si="9"/>
      </x:c>
    </x:row>
    <x:row r="52">
      <x:c r="A52" s="18" t="str">
        <x:f>IF(RECORD!B61="","",RECORD!B61)</x:f>
      </x:c>
      <x:c r="B52" s="18" t="str">
        <x:f>IF(RECORD!C61="","",RECORD!C61)</x:f>
      </x:c>
      <x:c r="C52" s="19" t="str">
        <x:f>IF('F12'!D52&lt;&gt;"",'F12'!D52,"")</x:f>
      </x:c>
      <x:c r="D52" s="20" t="str">
        <x:f t="shared" si="5"/>
      </x:c>
      <x:c r="E52" s="19" t="str">
        <x:f>IF('F12'!E52&lt;&gt;"",'F12'!E52,"")</x:f>
      </x:c>
      <x:c r="F52" s="20" t="str">
        <x:f t="shared" si="6"/>
      </x:c>
      <x:c r="G52" s="19" t="str">
        <x:f>IF('F12'!F52&lt;&gt;"",'F12'!F52,"")</x:f>
      </x:c>
      <x:c r="H52" s="20" t="str">
        <x:f t="shared" si="7"/>
      </x:c>
      <x:c r="I52" s="19" t="str">
        <x:f>IF('F12'!G52&lt;&gt;"",'F12'!G52,"")</x:f>
      </x:c>
      <x:c r="J52" s="20" t="str">
        <x:f t="shared" si="8"/>
      </x:c>
      <x:c r="K52" s="19" t="str">
        <x:f>IF('F12'!H52&lt;&gt;"",'F12'!H52,"")</x:f>
      </x:c>
      <x:c r="L52" s="20" t="str">
        <x:f t="shared" si="9"/>
      </x:c>
    </x:row>
    <x:row r="53">
      <x:c r="A53" s="18" t="str">
        <x:f>IF(RECORD!B62="","",RECORD!B62)</x:f>
      </x:c>
      <x:c r="B53" s="18" t="str">
        <x:f>IF(RECORD!C62="","",RECORD!C62)</x:f>
      </x:c>
      <x:c r="C53" s="19" t="str">
        <x:f>IF('F12'!D53&lt;&gt;"",'F12'!D53,"")</x:f>
      </x:c>
      <x:c r="D53" s="20" t="str">
        <x:f t="shared" si="5"/>
      </x:c>
      <x:c r="E53" s="19" t="str">
        <x:f>IF('F12'!E53&lt;&gt;"",'F12'!E53,"")</x:f>
      </x:c>
      <x:c r="F53" s="20" t="str">
        <x:f t="shared" si="6"/>
      </x:c>
      <x:c r="G53" s="19" t="str">
        <x:f>IF('F12'!F53&lt;&gt;"",'F12'!F53,"")</x:f>
      </x:c>
      <x:c r="H53" s="20" t="str">
        <x:f t="shared" si="7"/>
      </x:c>
      <x:c r="I53" s="19" t="str">
        <x:f>IF('F12'!G53&lt;&gt;"",'F12'!G53,"")</x:f>
      </x:c>
      <x:c r="J53" s="20" t="str">
        <x:f t="shared" si="8"/>
      </x:c>
      <x:c r="K53" s="19" t="str">
        <x:f>IF('F12'!H53&lt;&gt;"",'F12'!H53,"")</x:f>
      </x:c>
      <x:c r="L53" s="20" t="str">
        <x:f t="shared" si="9"/>
      </x:c>
    </x:row>
    <x:row r="54">
      <x:c r="A54" s="18" t="str">
        <x:f>IF(RECORD!B63="","",RECORD!B63)</x:f>
      </x:c>
      <x:c r="B54" s="18" t="str">
        <x:f>IF(RECORD!C63="","",RECORD!C63)</x:f>
      </x:c>
      <x:c r="C54" s="19" t="str">
        <x:f>IF('F12'!D54&lt;&gt;"",'F12'!D54,"")</x:f>
      </x:c>
      <x:c r="D54" s="20" t="str">
        <x:f t="shared" si="5"/>
      </x:c>
      <x:c r="E54" s="19" t="str">
        <x:f>IF('F12'!E54&lt;&gt;"",'F12'!E54,"")</x:f>
      </x:c>
      <x:c r="F54" s="20" t="str">
        <x:f t="shared" si="6"/>
      </x:c>
      <x:c r="G54" s="19" t="str">
        <x:f>IF('F12'!F54&lt;&gt;"",'F12'!F54,"")</x:f>
      </x:c>
      <x:c r="H54" s="20" t="str">
        <x:f t="shared" si="7"/>
      </x:c>
      <x:c r="I54" s="19" t="str">
        <x:f>IF('F12'!G54&lt;&gt;"",'F12'!G54,"")</x:f>
      </x:c>
      <x:c r="J54" s="20" t="str">
        <x:f t="shared" si="8"/>
      </x:c>
      <x:c r="K54" s="19" t="str">
        <x:f>IF('F12'!H54&lt;&gt;"",'F12'!H54,"")</x:f>
      </x:c>
      <x:c r="L54" s="20" t="str">
        <x:f t="shared" si="9"/>
      </x:c>
    </x:row>
    <x:row r="55">
      <x:c r="A55" s="18" t="str">
        <x:f>IF(RECORD!B64="","",RECORD!B64)</x:f>
      </x:c>
      <x:c r="B55" s="18" t="str">
        <x:f>IF(RECORD!C64="","",RECORD!C64)</x:f>
      </x:c>
      <x:c r="C55" s="19" t="str">
        <x:f>IF('F12'!D55&lt;&gt;"",'F12'!D55,"")</x:f>
      </x:c>
      <x:c r="D55" s="20" t="str">
        <x:f t="shared" si="5"/>
      </x:c>
      <x:c r="E55" s="19" t="str">
        <x:f>IF('F12'!E55&lt;&gt;"",'F12'!E55,"")</x:f>
      </x:c>
      <x:c r="F55" s="20" t="str">
        <x:f t="shared" si="6"/>
      </x:c>
      <x:c r="G55" s="19" t="str">
        <x:f>IF('F12'!F55&lt;&gt;"",'F12'!F55,"")</x:f>
      </x:c>
      <x:c r="H55" s="20" t="str">
        <x:f t="shared" si="7"/>
      </x:c>
      <x:c r="I55" s="19" t="str">
        <x:f>IF('F12'!G55&lt;&gt;"",'F12'!G55,"")</x:f>
      </x:c>
      <x:c r="J55" s="20" t="str">
        <x:f t="shared" si="8"/>
      </x:c>
      <x:c r="K55" s="19" t="str">
        <x:f>IF('F12'!H55&lt;&gt;"",'F12'!H55,"")</x:f>
      </x:c>
      <x:c r="L55" s="20" t="str">
        <x:f t="shared" si="9"/>
      </x:c>
    </x:row>
    <x:row r="56">
      <x:c r="A56" s="18" t="str">
        <x:f>IF(RECORD!B65="","",RECORD!B65)</x:f>
      </x:c>
      <x:c r="B56" s="18" t="str">
        <x:f>IF(RECORD!C65="","",RECORD!C65)</x:f>
      </x:c>
      <x:c r="C56" s="19" t="str">
        <x:f>IF('F12'!D56&lt;&gt;"",'F12'!D56,"")</x:f>
      </x:c>
      <x:c r="D56" s="20" t="str">
        <x:f t="shared" si="5"/>
      </x:c>
      <x:c r="E56" s="19" t="str">
        <x:f>IF('F12'!E56&lt;&gt;"",'F12'!E56,"")</x:f>
      </x:c>
      <x:c r="F56" s="20" t="str">
        <x:f t="shared" si="6"/>
      </x:c>
      <x:c r="G56" s="19" t="str">
        <x:f>IF('F12'!F56&lt;&gt;"",'F12'!F56,"")</x:f>
      </x:c>
      <x:c r="H56" s="20" t="str">
        <x:f t="shared" si="7"/>
      </x:c>
      <x:c r="I56" s="19" t="str">
        <x:f>IF('F12'!G56&lt;&gt;"",'F12'!G56,"")</x:f>
      </x:c>
      <x:c r="J56" s="20" t="str">
        <x:f t="shared" si="8"/>
      </x:c>
      <x:c r="K56" s="19" t="str">
        <x:f>IF('F12'!H56&lt;&gt;"",'F12'!H56,"")</x:f>
      </x:c>
      <x:c r="L56" s="20" t="str">
        <x:f t="shared" si="9"/>
      </x:c>
    </x:row>
    <x:row r="57">
      <x:c r="A57" s="18" t="str">
        <x:f>IF(RECORD!B66="","",RECORD!B66)</x:f>
      </x:c>
      <x:c r="B57" s="18" t="str">
        <x:f>IF(RECORD!C66="","",RECORD!C66)</x:f>
      </x:c>
      <x:c r="C57" s="19" t="str">
        <x:f>IF('F12'!D57&lt;&gt;"",'F12'!D57,"")</x:f>
      </x:c>
      <x:c r="D57" s="20" t="str">
        <x:f t="shared" si="5"/>
      </x:c>
      <x:c r="E57" s="19" t="str">
        <x:f>IF('F12'!E57&lt;&gt;"",'F12'!E57,"")</x:f>
      </x:c>
      <x:c r="F57" s="20" t="str">
        <x:f t="shared" si="6"/>
      </x:c>
      <x:c r="G57" s="19" t="str">
        <x:f>IF('F12'!F57&lt;&gt;"",'F12'!F57,"")</x:f>
      </x:c>
      <x:c r="H57" s="20" t="str">
        <x:f t="shared" si="7"/>
      </x:c>
      <x:c r="I57" s="19" t="str">
        <x:f>IF('F12'!G57&lt;&gt;"",'F12'!G57,"")</x:f>
      </x:c>
      <x:c r="J57" s="20" t="str">
        <x:f t="shared" si="8"/>
      </x:c>
      <x:c r="K57" s="19" t="str">
        <x:f>IF('F12'!H57&lt;&gt;"",'F12'!H57,"")</x:f>
      </x:c>
      <x:c r="L57" s="20" t="str">
        <x:f t="shared" si="9"/>
      </x:c>
    </x:row>
    <x:row r="58">
      <x:c r="A58" s="18" t="str">
        <x:f>IF(RECORD!B67="","",RECORD!B67)</x:f>
      </x:c>
      <x:c r="B58" s="18" t="str">
        <x:f>IF(RECORD!C67="","",RECORD!C67)</x:f>
      </x:c>
      <x:c r="C58" s="19" t="str">
        <x:f>IF('F12'!D58&lt;&gt;"",'F12'!D58,"")</x:f>
      </x:c>
      <x:c r="D58" s="20" t="str">
        <x:f t="shared" si="5"/>
      </x:c>
      <x:c r="E58" s="19" t="str">
        <x:f>IF('F12'!E58&lt;&gt;"",'F12'!E58,"")</x:f>
      </x:c>
      <x:c r="F58" s="20" t="str">
        <x:f t="shared" si="6"/>
      </x:c>
      <x:c r="G58" s="19" t="str">
        <x:f>IF('F12'!F58&lt;&gt;"",'F12'!F58,"")</x:f>
      </x:c>
      <x:c r="H58" s="20" t="str">
        <x:f t="shared" si="7"/>
      </x:c>
      <x:c r="I58" s="19" t="str">
        <x:f>IF('F12'!G58&lt;&gt;"",'F12'!G58,"")</x:f>
      </x:c>
      <x:c r="J58" s="20" t="str">
        <x:f t="shared" si="8"/>
      </x:c>
      <x:c r="K58" s="19" t="str">
        <x:f>IF('F12'!H58&lt;&gt;"",'F12'!H58,"")</x:f>
      </x:c>
      <x:c r="L58" s="20" t="str">
        <x:f t="shared" si="9"/>
      </x:c>
    </x:row>
    <x:row r="59">
      <x:c r="A59" s="18" t="str">
        <x:f>IF(RECORD!B68="","",RECORD!B68)</x:f>
      </x:c>
      <x:c r="B59" s="18" t="str">
        <x:f>IF(RECORD!C68="","",RECORD!C68)</x:f>
      </x:c>
      <x:c r="C59" s="19" t="str">
        <x:f>IF('F12'!D59&lt;&gt;"",'F12'!D59,"")</x:f>
      </x:c>
      <x:c r="D59" s="20" t="str">
        <x:f t="shared" si="5"/>
      </x:c>
      <x:c r="E59" s="19" t="str">
        <x:f>IF('F12'!E59&lt;&gt;"",'F12'!E59,"")</x:f>
      </x:c>
      <x:c r="F59" s="20" t="str">
        <x:f t="shared" si="6"/>
      </x:c>
      <x:c r="G59" s="19" t="str">
        <x:f>IF('F12'!F59&lt;&gt;"",'F12'!F59,"")</x:f>
      </x:c>
      <x:c r="H59" s="20" t="str">
        <x:f t="shared" si="7"/>
      </x:c>
      <x:c r="I59" s="19" t="str">
        <x:f>IF('F12'!G59&lt;&gt;"",'F12'!G59,"")</x:f>
      </x:c>
      <x:c r="J59" s="20" t="str">
        <x:f t="shared" si="8"/>
      </x:c>
      <x:c r="K59" s="19" t="str">
        <x:f>IF('F12'!H59&lt;&gt;"",'F12'!H59,"")</x:f>
      </x:c>
      <x:c r="L59" s="20" t="str">
        <x:f t="shared" si="9"/>
      </x:c>
    </x:row>
    <x:row r="60">
      <x:c r="A60" s="18" t="str">
        <x:f>IF(RECORD!B69="","",RECORD!B69)</x:f>
      </x:c>
      <x:c r="B60" s="18" t="str">
        <x:f>IF(RECORD!C69="","",RECORD!C69)</x:f>
      </x:c>
      <x:c r="C60" s="19" t="str">
        <x:f>IF('F12'!D60&lt;&gt;"",'F12'!D60,"")</x:f>
      </x:c>
      <x:c r="D60" s="20" t="str">
        <x:f t="shared" si="5"/>
      </x:c>
      <x:c r="E60" s="19" t="str">
        <x:f>IF('F12'!E60&lt;&gt;"",'F12'!E60,"")</x:f>
      </x:c>
      <x:c r="F60" s="20" t="str">
        <x:f t="shared" si="6"/>
      </x:c>
      <x:c r="G60" s="19" t="str">
        <x:f>IF('F12'!F60&lt;&gt;"",'F12'!F60,"")</x:f>
      </x:c>
      <x:c r="H60" s="20" t="str">
        <x:f t="shared" si="7"/>
      </x:c>
      <x:c r="I60" s="19" t="str">
        <x:f>IF('F12'!G60&lt;&gt;"",'F12'!G60,"")</x:f>
      </x:c>
      <x:c r="J60" s="20" t="str">
        <x:f t="shared" si="8"/>
      </x:c>
      <x:c r="K60" s="19" t="str">
        <x:f>IF('F12'!H60&lt;&gt;"",'F12'!H60,"")</x:f>
      </x:c>
      <x:c r="L60" s="20" t="str">
        <x:f t="shared" si="9"/>
      </x:c>
    </x:row>
    <x:row r="61">
      <x:c r="A61" s="18" t="str">
        <x:f>IF(RECORD!B70="","",RECORD!B70)</x:f>
      </x:c>
      <x:c r="B61" s="18" t="str">
        <x:f>IF(RECORD!C70="","",RECORD!C70)</x:f>
      </x:c>
      <x:c r="C61" s="19" t="str">
        <x:f>IF('F12'!D61&lt;&gt;"",'F12'!D61,"")</x:f>
      </x:c>
      <x:c r="D61" s="20" t="str">
        <x:f t="shared" si="5"/>
      </x:c>
      <x:c r="E61" s="19" t="str">
        <x:f>IF('F12'!E61&lt;&gt;"",'F12'!E61,"")</x:f>
      </x:c>
      <x:c r="F61" s="20" t="str">
        <x:f t="shared" si="6"/>
      </x:c>
      <x:c r="G61" s="19" t="str">
        <x:f>IF('F12'!F61&lt;&gt;"",'F12'!F61,"")</x:f>
      </x:c>
      <x:c r="H61" s="20" t="str">
        <x:f t="shared" si="7"/>
      </x:c>
      <x:c r="I61" s="19" t="str">
        <x:f>IF('F12'!G61&lt;&gt;"",'F12'!G61,"")</x:f>
      </x:c>
      <x:c r="J61" s="20" t="str">
        <x:f t="shared" si="8"/>
      </x:c>
      <x:c r="K61" s="19" t="str">
        <x:f>IF('F12'!H61&lt;&gt;"",'F12'!H61,"")</x:f>
      </x:c>
      <x:c r="L61" s="20" t="str">
        <x:f t="shared" si="9"/>
      </x:c>
    </x:row>
    <x:row r="62">
      <x:c r="A62" s="18" t="str">
        <x:f>IF(RECORD!B71="","",RECORD!B71)</x:f>
      </x:c>
      <x:c r="B62" s="18" t="str">
        <x:f>IF(RECORD!C71="","",RECORD!C71)</x:f>
      </x:c>
      <x:c r="C62" s="19" t="str">
        <x:f>IF('F12'!D62&lt;&gt;"",'F12'!D62,"")</x:f>
      </x:c>
      <x:c r="D62" s="20" t="str">
        <x:f t="shared" si="5"/>
      </x:c>
      <x:c r="E62" s="19" t="str">
        <x:f>IF('F12'!E62&lt;&gt;"",'F12'!E62,"")</x:f>
      </x:c>
      <x:c r="F62" s="20" t="str">
        <x:f t="shared" si="6"/>
      </x:c>
      <x:c r="G62" s="19" t="str">
        <x:f>IF('F12'!F62&lt;&gt;"",'F12'!F62,"")</x:f>
      </x:c>
      <x:c r="H62" s="20" t="str">
        <x:f t="shared" si="7"/>
      </x:c>
      <x:c r="I62" s="19" t="str">
        <x:f>IF('F12'!G62&lt;&gt;"",'F12'!G62,"")</x:f>
      </x:c>
      <x:c r="J62" s="20" t="str">
        <x:f t="shared" si="8"/>
      </x:c>
      <x:c r="K62" s="19" t="str">
        <x:f>IF('F12'!H62&lt;&gt;"",'F12'!H62,"")</x:f>
      </x:c>
      <x:c r="L62" s="20" t="str">
        <x:f t="shared" si="9"/>
      </x:c>
    </x:row>
    <x:row r="63">
      <x:c r="A63" s="18" t="str">
        <x:f>IF(RECORD!B72="","",RECORD!B72)</x:f>
      </x:c>
      <x:c r="B63" s="18" t="str">
        <x:f>IF(RECORD!C72="","",RECORD!C72)</x:f>
      </x:c>
      <x:c r="C63" s="19" t="str">
        <x:f>IF('F12'!D63&lt;&gt;"",'F12'!D63,"")</x:f>
      </x:c>
      <x:c r="D63" s="20" t="str">
        <x:f t="shared" si="5"/>
      </x:c>
      <x:c r="E63" s="19" t="str">
        <x:f>IF('F12'!E63&lt;&gt;"",'F12'!E63,"")</x:f>
      </x:c>
      <x:c r="F63" s="20" t="str">
        <x:f t="shared" si="6"/>
      </x:c>
      <x:c r="G63" s="19" t="str">
        <x:f>IF('F12'!F63&lt;&gt;"",'F12'!F63,"")</x:f>
      </x:c>
      <x:c r="H63" s="20" t="str">
        <x:f t="shared" si="7"/>
      </x:c>
      <x:c r="I63" s="19" t="str">
        <x:f>IF('F12'!G63&lt;&gt;"",'F12'!G63,"")</x:f>
      </x:c>
      <x:c r="J63" s="20" t="str">
        <x:f t="shared" si="8"/>
      </x:c>
      <x:c r="K63" s="19" t="str">
        <x:f>IF('F12'!H63&lt;&gt;"",'F12'!H63,"")</x:f>
      </x:c>
      <x:c r="L63" s="20" t="str">
        <x:f t="shared" si="9"/>
      </x:c>
    </x:row>
    <x:row r="64">
      <x:c r="A64" s="18" t="str">
        <x:f>IF(RECORD!B73="","",RECORD!B73)</x:f>
      </x:c>
      <x:c r="B64" s="18" t="str">
        <x:f>IF(RECORD!C73="","",RECORD!C73)</x:f>
      </x:c>
      <x:c r="C64" s="19" t="str">
        <x:f>IF('F12'!D64&lt;&gt;"",'F12'!D64,"")</x:f>
      </x:c>
      <x:c r="D64" s="20" t="str">
        <x:f t="shared" si="5"/>
      </x:c>
      <x:c r="E64" s="19" t="str">
        <x:f>IF('F12'!E64&lt;&gt;"",'F12'!E64,"")</x:f>
      </x:c>
      <x:c r="F64" s="20" t="str">
        <x:f t="shared" si="6"/>
      </x:c>
      <x:c r="G64" s="19" t="str">
        <x:f>IF('F12'!F64&lt;&gt;"",'F12'!F64,"")</x:f>
      </x:c>
      <x:c r="H64" s="20" t="str">
        <x:f t="shared" si="7"/>
      </x:c>
      <x:c r="I64" s="19" t="str">
        <x:f>IF('F12'!G64&lt;&gt;"",'F12'!G64,"")</x:f>
      </x:c>
      <x:c r="J64" s="20" t="str">
        <x:f t="shared" si="8"/>
      </x:c>
      <x:c r="K64" s="19" t="str">
        <x:f>IF('F12'!H64&lt;&gt;"",'F12'!H64,"")</x:f>
      </x:c>
      <x:c r="L64" s="20" t="str">
        <x:f t="shared" si="9"/>
      </x:c>
    </x:row>
    <x:row r="65">
      <x:c r="A65" s="18" t="str">
        <x:f>IF(RECORD!B74="","",RECORD!B74)</x:f>
      </x:c>
      <x:c r="B65" s="18" t="str">
        <x:f>IF(RECORD!C74="","",RECORD!C74)</x:f>
      </x:c>
      <x:c r="C65" s="19" t="str">
        <x:f>IF('F12'!D65&lt;&gt;"",'F12'!D65,"")</x:f>
      </x:c>
      <x:c r="D65" s="20" t="str">
        <x:f t="shared" si="5"/>
      </x:c>
      <x:c r="E65" s="19" t="str">
        <x:f>IF('F12'!E65&lt;&gt;"",'F12'!E65,"")</x:f>
      </x:c>
      <x:c r="F65" s="20" t="str">
        <x:f t="shared" si="6"/>
      </x:c>
      <x:c r="G65" s="19" t="str">
        <x:f>IF('F12'!F65&lt;&gt;"",'F12'!F65,"")</x:f>
      </x:c>
      <x:c r="H65" s="20" t="str">
        <x:f t="shared" si="7"/>
      </x:c>
      <x:c r="I65" s="19" t="str">
        <x:f>IF('F12'!G65&lt;&gt;"",'F12'!G65,"")</x:f>
      </x:c>
      <x:c r="J65" s="20" t="str">
        <x:f t="shared" si="8"/>
      </x:c>
      <x:c r="K65" s="19" t="str">
        <x:f>IF('F12'!H65&lt;&gt;"",'F12'!H65,"")</x:f>
      </x:c>
      <x:c r="L65" s="20" t="str">
        <x:f t="shared" si="9"/>
      </x:c>
    </x:row>
    <x:row r="66">
      <x:c r="A66" s="18" t="str">
        <x:f>IF(RECORD!B75="","",RECORD!B75)</x:f>
      </x:c>
      <x:c r="B66" s="18" t="str">
        <x:f>IF(RECORD!C75="","",RECORD!C75)</x:f>
      </x:c>
      <x:c r="C66" s="19" t="str">
        <x:f>IF('F12'!D66&lt;&gt;"",'F12'!D66,"")</x:f>
      </x:c>
      <x:c r="D66" s="20" t="str">
        <x:f t="shared" si="5"/>
      </x:c>
      <x:c r="E66" s="19" t="str">
        <x:f>IF('F12'!E66&lt;&gt;"",'F12'!E66,"")</x:f>
      </x:c>
      <x:c r="F66" s="20" t="str">
        <x:f t="shared" si="6"/>
      </x:c>
      <x:c r="G66" s="19" t="str">
        <x:f>IF('F12'!F66&lt;&gt;"",'F12'!F66,"")</x:f>
      </x:c>
      <x:c r="H66" s="20" t="str">
        <x:f t="shared" si="7"/>
      </x:c>
      <x:c r="I66" s="19" t="str">
        <x:f>IF('F12'!G66&lt;&gt;"",'F12'!G66,"")</x:f>
      </x:c>
      <x:c r="J66" s="20" t="str">
        <x:f t="shared" si="8"/>
      </x:c>
      <x:c r="K66" s="19" t="str">
        <x:f>IF('F12'!H66&lt;&gt;"",'F12'!H66,"")</x:f>
      </x:c>
      <x:c r="L66" s="20" t="str">
        <x:f t="shared" si="9"/>
      </x:c>
    </x:row>
    <x:row r="67">
      <x:c r="A67" s="18" t="str">
        <x:f>IF(RECORD!B76="","",RECORD!B76)</x:f>
      </x:c>
      <x:c r="B67" s="18" t="str">
        <x:f>IF(RECORD!C76="","",RECORD!C76)</x:f>
      </x:c>
      <x:c r="C67" s="19" t="str">
        <x:f>IF('F12'!D67&lt;&gt;"",'F12'!D67,"")</x:f>
      </x:c>
      <x:c r="D67" s="20" t="str">
        <x:f t="shared" si="5"/>
      </x:c>
      <x:c r="E67" s="19" t="str">
        <x:f>IF('F12'!E67&lt;&gt;"",'F12'!E67,"")</x:f>
      </x:c>
      <x:c r="F67" s="20" t="str">
        <x:f t="shared" si="6"/>
      </x:c>
      <x:c r="G67" s="19" t="str">
        <x:f>IF('F12'!F67&lt;&gt;"",'F12'!F67,"")</x:f>
      </x:c>
      <x:c r="H67" s="20" t="str">
        <x:f t="shared" si="7"/>
      </x:c>
      <x:c r="I67" s="19" t="str">
        <x:f>IF('F12'!G67&lt;&gt;"",'F12'!G67,"")</x:f>
      </x:c>
      <x:c r="J67" s="20" t="str">
        <x:f t="shared" si="8"/>
      </x:c>
      <x:c r="K67" s="19" t="str">
        <x:f>IF('F12'!H67&lt;&gt;"",'F12'!H67,"")</x:f>
      </x:c>
      <x:c r="L67" s="20" t="str">
        <x:f t="shared" si="9"/>
      </x:c>
    </x:row>
    <x:row r="68">
      <x:c r="A68" s="18" t="str">
        <x:f>IF(RECORD!B77="","",RECORD!B77)</x:f>
      </x:c>
      <x:c r="B68" s="18" t="str">
        <x:f>IF(RECORD!C77="","",RECORD!C77)</x:f>
      </x:c>
      <x:c r="C68" s="19" t="str">
        <x:f>IF('F12'!D68&lt;&gt;"",'F12'!D68,"")</x:f>
      </x:c>
      <x:c r="D68" s="20" t="str">
        <x:f t="shared" si="5"/>
      </x:c>
      <x:c r="E68" s="19" t="str">
        <x:f>IF('F12'!E68&lt;&gt;"",'F12'!E68,"")</x:f>
      </x:c>
      <x:c r="F68" s="20" t="str">
        <x:f t="shared" si="6"/>
      </x:c>
      <x:c r="G68" s="19" t="str">
        <x:f>IF('F12'!F68&lt;&gt;"",'F12'!F68,"")</x:f>
      </x:c>
      <x:c r="H68" s="20" t="str">
        <x:f t="shared" si="7"/>
      </x:c>
      <x:c r="I68" s="19" t="str">
        <x:f>IF('F12'!G68&lt;&gt;"",'F12'!G68,"")</x:f>
      </x:c>
      <x:c r="J68" s="20" t="str">
        <x:f t="shared" si="8"/>
      </x:c>
      <x:c r="K68" s="19" t="str">
        <x:f>IF('F12'!H68&lt;&gt;"",'F12'!H68,"")</x:f>
      </x:c>
      <x:c r="L68" s="20" t="str">
        <x:f t="shared" si="9"/>
      </x:c>
    </x:row>
    <x:row r="69">
      <x:c r="A69" s="18" t="str">
        <x:f>IF(RECORD!B78="","",RECORD!B78)</x:f>
      </x:c>
      <x:c r="B69" s="18" t="str">
        <x:f>IF(RECORD!C78="","",RECORD!C78)</x:f>
      </x:c>
      <x:c r="C69" s="19" t="str">
        <x:f>IF('F12'!D69&lt;&gt;"",'F12'!D69,"")</x:f>
      </x:c>
      <x:c r="D69" s="20" t="str">
        <x:f t="shared" ref="D69:D70" si="10">IF(B69&lt;&gt;"",IFERROR((C69/5)*100,0),"")</x:f>
      </x:c>
      <x:c r="E69" s="19" t="str">
        <x:f>IF('F12'!E69&lt;&gt;"",'F12'!E69,"")</x:f>
      </x:c>
      <x:c r="F69" s="20" t="str">
        <x:f t="shared" ref="F69:F70" si="11">IF(B69&lt;&gt;"",IFERROR((E69/5)*100,0),"")</x:f>
      </x:c>
      <x:c r="G69" s="19" t="str">
        <x:f>IF('F12'!F69&lt;&gt;"",'F12'!F69,"")</x:f>
      </x:c>
      <x:c r="H69" s="20" t="str">
        <x:f t="shared" ref="H69:H70" si="12">IF(B69&lt;&gt;"",IFERROR((G69/5)*100,0),"")</x:f>
      </x:c>
      <x:c r="I69" s="19" t="str">
        <x:f>IF('F12'!G69&lt;&gt;"",'F12'!G69,"")</x:f>
      </x:c>
      <x:c r="J69" s="20" t="str">
        <x:f t="shared" ref="J69:J70" si="13">IF(B69&lt;&gt;"",IFERROR((I69/5)*100,0),"")</x:f>
      </x:c>
      <x:c r="K69" s="19" t="str">
        <x:f>IF('F12'!H69&lt;&gt;"",'F12'!H69,"")</x:f>
      </x:c>
      <x:c r="L69" s="20" t="str">
        <x:f t="shared" ref="L69:L70" si="14">IF(B69&lt;&gt;"",IFERROR((K69/5)*100,0),"")</x:f>
      </x:c>
    </x:row>
    <x:row r="70">
      <x:c r="A70" s="18" t="str">
        <x:f>IF(RECORD!B79="","",RECORD!B79)</x:f>
      </x:c>
      <x:c r="B70" s="18" t="str">
        <x:f>IF(RECORD!C79="","",RECORD!C79)</x:f>
      </x:c>
      <x:c r="C70" s="19" t="str">
        <x:f>IF('F12'!D70&lt;&gt;"",'F12'!D70,"")</x:f>
      </x:c>
      <x:c r="D70" s="20" t="str">
        <x:f t="shared" si="10"/>
      </x:c>
      <x:c r="E70" s="19" t="str">
        <x:f>IF('F12'!E70&lt;&gt;"",'F12'!E70,"")</x:f>
      </x:c>
      <x:c r="F70" s="20" t="str">
        <x:f t="shared" si="11"/>
      </x:c>
      <x:c r="G70" s="19" t="str">
        <x:f>IF('F12'!F70&lt;&gt;"",'F12'!F70,"")</x:f>
      </x:c>
      <x:c r="H70" s="20" t="str">
        <x:f t="shared" si="12"/>
      </x:c>
      <x:c r="I70" s="19" t="str">
        <x:f>IF('F12'!G70&lt;&gt;"",'F12'!G70,"")</x:f>
      </x:c>
      <x:c r="J70" s="20" t="str">
        <x:f t="shared" si="13"/>
      </x:c>
      <x:c r="K70" s="19" t="str">
        <x:f>IF('F12'!H70&lt;&gt;"",'F12'!H70,"")</x:f>
      </x:c>
      <x:c r="L70" s="20" t="str">
        <x:f t="shared" si="14"/>
      </x:c>
    </x:row>
    <x:row r="72">
      <x:c r="A72" s="5" t="s">
        <x:v>85</x:v>
      </x:c>
      <x:c r="C72" s="24" t="n">
        <x:f>IFERROR(AVERAGE(C5:C70),0)</x:f>
        <x:v>2.6</x:v>
      </x:c>
      <x:c r="E72" s="24" t="n">
        <x:f>IFERROR(AVERAGE(E5:E70),0)</x:f>
        <x:v>2.966666666666667</x:v>
      </x:c>
      <x:c r="G72" s="24" t="n">
        <x:f>IFERROR(AVERAGE(G5:G70),0)</x:f>
        <x:v>2.6333333333333333</x:v>
      </x:c>
      <x:c r="I72" s="24" t="n">
        <x:f>IFERROR(AVERAGE(I5:I70),0)</x:f>
        <x:v>2.8666666666666667</x:v>
      </x:c>
      <x:c r="K72" s="24" t="n">
        <x:f>IFERROR(AVERAGE(K5:K70),0)</x:f>
        <x:v>2.566666666666667</x:v>
      </x:c>
    </x:row>
    <x:row r="73">
      <x:c r="A73" s="5" t="s">
        <x:v>86</x:v>
      </x:c>
      <x:c r="C73" s="21" t="n">
        <x:f>IFERROR((C72/5)*100,0)</x:f>
        <x:v>52</x:v>
      </x:c>
      <x:c r="E73" s="21" t="n">
        <x:f>IFERROR((E72/5)*100,0)</x:f>
        <x:v>59.333333333333336</x:v>
      </x:c>
      <x:c r="G73" s="21" t="n">
        <x:f>IFERROR((G72/5)*100,0)</x:f>
        <x:v>52.666666666666664</x:v>
      </x:c>
      <x:c r="I73" s="21" t="n">
        <x:f>IFERROR((I72/5)*100,0)</x:f>
        <x:v>57.333333333333336</x:v>
      </x:c>
      <x:c r="K73" s="21" t="n">
        <x:f>IFERROR((K72/5)*100,0)</x:f>
        <x:v>51.33333333333334</x:v>
      </x:c>
    </x:row>
  </x:sheetData>
  <x:mergeCells>
    <x:mergeCell ref="A1:D1"/>
    <x:mergeCell ref="A2:H2"/>
  </x:mergeCells>
  <x:pageMargins left="0.7" right="0.7" top="0.75" bottom="0.75" header="0.3" footer="0.3"/>
  <x:legacyDrawing xmlns:r="http://schemas.openxmlformats.org/officeDocument/2006/relationships" r:id="Rb9b47b44719c49d5"/>
</x:worksheet>
</file>

<file path=xl/worksheets/sheet5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16" customWidth="1"/>
    <x:col min="2" max="2" width="34" customWidth="1"/>
    <x:col min="3" max="3" width="14" customWidth="1"/>
    <x:col min="4" max="4" width="22" customWidth="1"/>
    <x:col min="5" max="5" width="18" customWidth="1"/>
    <x:col min="6" max="6" width="15.85546875" hidden="1" customWidth="1"/>
    <x:col min="7" max="9" width="8.7109375" hidden="1" customWidth="0"/>
    <x:col min="10" max="10" width="9.7109375" hidden="1" customWidth="1"/>
    <x:col min="11" max="16384" width="8.7109375" hidden="1" customWidth="0"/>
  </x:cols>
  <x:sheetData>
    <x:row r="1" ht="17.25" customHeight="1">
      <x:c r="A1" s="205" t="s">
        <x:v>87</x:v>
      </x:c>
      <x:c r="B1" s="205"/>
      <x:c r="C1" s="205"/>
      <x:c r="D1" s="205"/>
      <x:c r="E1" s="205"/>
    </x:row>
    <x:row r="3">
      <x:c r="A3" s="5" t="s">
        <x:v>88</x:v>
      </x:c>
      <x:c r="B3" s="25" t="s">
        <x:v>89</x:v>
      </x:c>
      <x:c r="C3" s="5" t="s">
        <x:v>90</x:v>
      </x:c>
      <x:c r="D3" s="25" t="s">
        <x:v>91</x:v>
      </x:c>
    </x:row>
    <x:row r="4">
      <x:c r="A4" s="5" t="s">
        <x:v>92</x:v>
      </x:c>
      <x:c r="B4" s="25" t="s">
        <x:v>93</x:v>
      </x:c>
      <x:c r="C4" s="5" t="s">
        <x:v>94</x:v>
      </x:c>
      <x:c r="D4" s="25" t="s">
        <x:v>95</x:v>
      </x:c>
    </x:row>
    <x:row r="5">
      <x:c r="A5" s="5" t="s">
        <x:v>96</x:v>
      </x:c>
      <x:c r="B5" s="25" t="s">
        <x:v>97</x:v>
      </x:c>
      <x:c r="C5" s="5" t="s">
        <x:v>98</x:v>
      </x:c>
      <x:c r="D5" s="25" t="s">
        <x:v>99</x:v>
      </x:c>
    </x:row>
    <x:row r="7">
      <x:c r="A7" s="208" t="s">
        <x:v>100</x:v>
      </x:c>
      <x:c r="B7" s="208"/>
      <x:c r="C7" s="208"/>
      <x:c r="D7" s="208"/>
      <x:c r="E7" s="208"/>
    </x:row>
    <x:row r="8" ht="26.25" customHeight="1">
      <x:c r="A8" s="26" t="s">
        <x:v>10</x:v>
      </x:c>
      <x:c r="B8" s="26" t="s">
        <x:v>101</x:v>
      </x:c>
      <x:c r="C8" s="26" t="s">
        <x:v>102</x:v>
      </x:c>
      <x:c r="D8" s="26" t="s">
        <x:v>103</x:v>
      </x:c>
      <x:c r="E8" s="26" t="s">
        <x:v>104</x:v>
      </x:c>
    </x:row>
    <x:row r="9" ht="39" customHeight="1">
      <x:c r="A9" s="27" t="s">
        <x:v>16</x:v>
      </x:c>
      <x:c r="B9" s="28" t="s">
        <x:v>105</x:v>
      </x:c>
      <x:c r="C9" s="27" t="s">
        <x:v>106</x:v>
      </x:c>
      <x:c r="D9" s="27" t="s">
        <x:v>107</x:v>
      </x:c>
      <x:c r="E9" s="27">
        <x:v>70</x:v>
      </x:c>
      <x:c r="G9" s="29" t="s">
        <x:v>108</x:v>
      </x:c>
      <x:c r="H9" t="n">
        <x:f>AVERAGE(E9:E18)</x:f>
        <x:v>70</x:v>
      </x:c>
    </x:row>
    <x:row r="10" ht="26.25" customHeight="1">
      <x:c r="A10" s="27" t="s">
        <x:v>17</x:v>
      </x:c>
      <x:c r="B10" s="28" t="s">
        <x:v>109</x:v>
      </x:c>
      <x:c r="C10" s="27" t="s">
        <x:v>110</x:v>
      </x:c>
      <x:c r="D10" s="27" t="s">
        <x:v>111</x:v>
      </x:c>
      <x:c r="E10" s="27">
        <x:v>70</x:v>
      </x:c>
    </x:row>
    <x:row r="11" ht="26.25" customHeight="1">
      <x:c r="A11" s="27" t="s">
        <x:v>18</x:v>
      </x:c>
      <x:c r="B11" s="28" t="s">
        <x:v>112</x:v>
      </x:c>
      <x:c r="C11" s="27" t="s">
        <x:v>106</x:v>
      </x:c>
      <x:c r="D11" s="27" t="s">
        <x:v>107</x:v>
      </x:c>
      <x:c r="E11" s="27">
        <x:v>70</x:v>
      </x:c>
    </x:row>
    <x:row r="12" ht="26.25" customHeight="1">
      <x:c r="A12" s="27" t="s">
        <x:v>19</x:v>
      </x:c>
      <x:c r="B12" s="28" t="s">
        <x:v>113</x:v>
      </x:c>
      <x:c r="C12" s="27" t="s">
        <x:v>114</x:v>
      </x:c>
      <x:c r="D12" s="27" t="s">
        <x:v>111</x:v>
      </x:c>
      <x:c r="E12" s="27">
        <x:v>70</x:v>
      </x:c>
    </x:row>
    <x:row r="13" ht="39" customHeight="1">
      <x:c r="A13" s="27" t="s">
        <x:v>20</x:v>
      </x:c>
      <x:c r="B13" s="28" t="s">
        <x:v>115</x:v>
      </x:c>
      <x:c r="C13" s="27" t="s">
        <x:v>114</x:v>
      </x:c>
      <x:c r="D13" s="27" t="s">
        <x:v>116</x:v>
      </x:c>
      <x:c r="E13" s="27">
        <x:v>70</x:v>
      </x:c>
    </x:row>
    <x:row r="14">
      <x:c r="A14" s="27" t="s">
        <x:v>117</x:v>
      </x:c>
      <x:c r="B14" s="28"/>
      <x:c r="C14" s="27"/>
      <x:c r="D14" s="27"/>
      <x:c r="E14" s="27"/>
    </x:row>
    <x:row r="15">
      <x:c r="A15" s="27" t="s">
        <x:v>118</x:v>
      </x:c>
      <x:c r="B15" s="28"/>
      <x:c r="C15" s="27"/>
      <x:c r="D15" s="27"/>
      <x:c r="E15" s="27"/>
    </x:row>
    <x:row r="16">
      <x:c r="A16" s="27" t="s">
        <x:v>119</x:v>
      </x:c>
      <x:c r="B16" s="28"/>
      <x:c r="C16" s="27"/>
      <x:c r="D16" s="27"/>
      <x:c r="E16" s="27"/>
      <x:c r="G16" t="s">
        <x:v>120</x:v>
      </x:c>
    </x:row>
    <x:row r="17">
      <x:c r="A17" s="27" t="s">
        <x:v>121</x:v>
      </x:c>
      <x:c r="B17" s="28"/>
      <x:c r="C17" s="27"/>
      <x:c r="D17" s="27"/>
      <x:c r="E17" s="27"/>
      <x:c r="G17" t="s">
        <x:v>122</x:v>
      </x:c>
    </x:row>
    <x:row r="18">
      <x:c r="A18" s="27" t="s">
        <x:v>123</x:v>
      </x:c>
      <x:c r="B18" s="28"/>
      <x:c r="C18" s="27"/>
      <x:c r="D18" s="27"/>
      <x:c r="E18" s="27"/>
      <x:c r="G18" t="s">
        <x:v>124</x:v>
      </x:c>
    </x:row>
    <x:row r="19">
      <x:c r="A19" s="2" t="s">
        <x:v>125</x:v>
      </x:c>
    </x:row>
    <x:row r="20">
      <x:c r="A20" s="208" t="s">
        <x:v>126</x:v>
      </x:c>
      <x:c r="B20" s="208"/>
      <x:c r="C20" s="208"/>
      <x:c r="D20" s="208"/>
      <x:c r="E20" s="208"/>
      <x:c r="G20" s="209" t="s">
        <x:v>127</x:v>
      </x:c>
      <x:c r="H20" s="209"/>
      <x:c r="I20" s="209"/>
      <x:c r="J20" s="209"/>
      <x:c r="K20" s="209"/>
    </x:row>
    <x:row r="21" ht="25.5">
      <x:c r="A21" s="26" t="s">
        <x:v>128</x:v>
      </x:c>
      <x:c r="B21" s="26" t="s">
        <x:v>129</x:v>
      </x:c>
      <x:c r="C21" s="26" t="s">
        <x:v>130</x:v>
      </x:c>
      <x:c r="D21" s="26" t="s">
        <x:v>131</x:v>
      </x:c>
      <x:c r="E21" s="26" t="s">
        <x:v>132</x:v>
      </x:c>
      <x:c r="G21" s="30" t="s">
        <x:v>133</x:v>
      </x:c>
      <x:c r="H21" s="30" t="s">
        <x:v>134</x:v>
      </x:c>
      <x:c r="I21" s="30" t="s">
        <x:v>135</x:v>
      </x:c>
      <x:c r="J21" s="31" t="s">
        <x:v>136</x:v>
      </x:c>
      <x:c r="K21" s="31" t="s">
        <x:v>137</x:v>
      </x:c>
    </x:row>
    <x:row r="22">
      <x:c r="A22" s="32">
        <x:v>1</x:v>
      </x:c>
      <x:c r="B22" s="33" t="str">
        <x:f t="array" ref="B22">IF(INDEX(RECORD!$E$7:$EP$7,ROWS(RECORD!$E$7:F7))=0,"",(INDEX(RECORD!$E$7:$EP$7,ROWS(RECORD!$E$7:F7))))</x:f>
        <x:v>Quiz</x:v>
      </x:c>
      <x:c r="C22" s="34" t="str">
        <x:f t="array" ref="C22">IF((INDEX(RECORD!$E$11:$EP$11,ROWS(RECORD!$E$11:F11)))=0,"",(INDEX(RECORD!$E$11:$EP$11,ROWS(RECORD!$E$11:F11))))</x:f>
        <x:v>Prelim</x:v>
      </x:c>
      <x:c r="D22" s="34" t="str">
        <x:f t="array" ref="D22">IF(INDEX(RECORD!$E$12:$EP$12,ROWS(RECORD!$E$12:F12))=0,"",(INDEX(RECORD!$E$12:$EP$12,ROWS(RECORD!$E$12:F12))))</x:f>
        <x:v>CLO1</x:v>
      </x:c>
      <x:c r="E22" s="34" t="n">
        <x:f t="array" ref="E22">IF(INDEX(RECORD!$E$13:$EP$13,ROWS(RECORD!$E$13:F13))=0,"",(INDEX(RECORD!$E$13:$EP$13,ROWS(RECORD!$E$13:F13))))</x:f>
        <x:v>30</x:v>
      </x:c>
      <x:c r="F22" s="35" t="s">
        <x:v>138</x:v>
      </x:c>
      <x:c r="G22" s="36" t="e">
        <x:f>SUMIFS(E$22:E$142,B$22:B$142,"Quiz",C$22:C$142,G$21)</x:f>
        <x:v>#REF!</x:v>
      </x:c>
      <x:c r="H22" s="36" t="e">
        <x:f>SUMIFS(E$22:E$142,B$22:B$142,"Quiz",C$22:C$142,H$21)</x:f>
        <x:v>#REF!</x:v>
      </x:c>
      <x:c r="I22" s="36" t="e">
        <x:f>SUMIFS(E$22:E$142,B$22:B$142,"Quiz",C$22:C$142,I$21)</x:f>
        <x:v>#REF!</x:v>
      </x:c>
      <x:c r="J22" t="e">
        <x:f t="shared" ref="J22:J32" si="0">SUM(G22:I22)</x:f>
        <x:v>#REF!</x:v>
      </x:c>
      <x:c r="K22" s="37" t="s">
        <x:v>139</x:v>
      </x:c>
      <x:c r="L22" t="s">
        <x:v>139</x:v>
      </x:c>
    </x:row>
    <x:row r="23">
      <x:c r="A23" s="32">
        <x:v>2</x:v>
      </x:c>
      <x:c r="B23" s="33" t="e">
        <x:f t="array" ref="B23">IF(INDEX(RECORD!$E$7:$EP$7,ROWS(RECORD!$E$7:F8))=0,"",(INDEX(RECORD!$E$7:$EP$7,ROWS(RECORD!$E$7:F8))))</x:f>
        <x:v>#REF!</x:v>
      </x:c>
      <x:c r="C23" s="34" t="e">
        <x:f t="array" ref="C23">IF((INDEX(RECORD!$E$11:$EP$11,ROWS(RECORD!$E$11:F12)))=0,"",(INDEX(RECORD!$E$11:$EP$11,ROWS(RECORD!$E$11:F12))))</x:f>
        <x:v>#REF!</x:v>
      </x:c>
      <x:c r="D23" s="34" t="e">
        <x:f t="array" ref="D23">IF(INDEX(RECORD!$E$12:$EP$12,ROWS(RECORD!$E$12:F13))=0,"",(INDEX(RECORD!$E$12:$EP$12,ROWS(RECORD!$E$12:F13))))</x:f>
        <x:v>#REF!</x:v>
      </x:c>
      <x:c r="E23" s="34" t="e">
        <x:f t="array" ref="E23">IF(INDEX(RECORD!$E$13:$EP$13,ROWS(RECORD!$E$13:F14))=0,"",(INDEX(RECORD!$E$13:$EP$13,ROWS(RECORD!$E$13:F14))))</x:f>
        <x:v>#REF!</x:v>
      </x:c>
      <x:c r="F23" s="35" t="s">
        <x:v>140</x:v>
      </x:c>
      <x:c r="G23" s="36" t="e">
        <x:f>SUMIFS(E$22:E$142,B$22:B$142,"Exam",C$22:C$142,G$21)</x:f>
        <x:v>#REF!</x:v>
      </x:c>
      <x:c r="H23" s="36" t="e">
        <x:f>SUMIFS(E$22:E$142,B$22:B$142,"Exam",C$22:C$142,H$21)</x:f>
        <x:v>#REF!</x:v>
      </x:c>
      <x:c r="I23" s="36" t="e">
        <x:f>SUMIFS(E$22:E$142,B$22:B$142,"Exam",C$22:C$142,I$21)</x:f>
        <x:v>#REF!</x:v>
      </x:c>
      <x:c r="J23">
        <x:f t="shared" si="0"/>
        <x:v>305</x:v>
      </x:c>
      <x:c r="K23" s="37" t="s">
        <x:v>140</x:v>
      </x:c>
      <x:c r="L23" t="s">
        <x:v>140</x:v>
      </x:c>
    </x:row>
    <x:row r="24" ht="26.25" customHeight="1">
      <x:c r="A24" s="32">
        <x:v>3</x:v>
      </x:c>
      <x:c r="B24" s="33" t="e">
        <x:f t="array" ref="B24">IF(INDEX(RECORD!$E$7:$EP$7,ROWS(RECORD!$E$7:F9))=0,"",(INDEX(RECORD!$E$7:$EP$7,ROWS(RECORD!$E$7:F9))))</x:f>
        <x:v>#REF!</x:v>
      </x:c>
      <x:c r="C24" s="34" t="e">
        <x:f t="array" ref="C24">IF((INDEX(RECORD!$E$11:$EP$11,ROWS(RECORD!$E$11:F13)))=0,"",(INDEX(RECORD!$E$11:$EP$11,ROWS(RECORD!$E$11:F13))))</x:f>
        <x:v>#REF!</x:v>
      </x:c>
      <x:c r="D24" s="34" t="e">
        <x:f t="array" ref="D24">IF(INDEX(RECORD!$E$12:$EP$12,ROWS(RECORD!$E$12:F14))=0,"",(INDEX(RECORD!$E$12:$EP$12,ROWS(RECORD!$E$12:F14))))</x:f>
        <x:v>#REF!</x:v>
      </x:c>
      <x:c r="E24" s="34" t="e">
        <x:f t="array" ref="E24">IF(INDEX(RECORD!$E$13:$EP$13,ROWS(RECORD!$E$13:F15))=0,"",(INDEX(RECORD!$E$13:$EP$13,ROWS(RECORD!$E$13:F15))))</x:f>
        <x:v>#REF!</x:v>
      </x:c>
      <x:c r="F24" s="35" t="s">
        <x:v>141</x:v>
      </x:c>
      <x:c r="G24" s="36" t="e">
        <x:f>SUMIFS(E$22:E$142,B$22:B$142,"Rubric-Scored Output",C$22:C$142,G$21)</x:f>
        <x:v>#REF!</x:v>
      </x:c>
      <x:c r="H24" s="36" t="e">
        <x:f>SUMIFS(E$22:E$142,B$22:B$142,"Rubric-Scored Output",C$22:C$142,H$21)</x:f>
        <x:v>#REF!</x:v>
      </x:c>
      <x:c r="I24" s="36" t="e">
        <x:f>SUMIFS(E$22:E$142,B$22:B$142,"Rubric-Scored Output",C$22:C$142,I$21)</x:f>
        <x:v>#REF!</x:v>
      </x:c>
      <x:c r="J24">
        <x:f t="shared" si="0"/>
        <x:v>110</x:v>
      </x:c>
      <x:c r="K24" s="37" t="s">
        <x:v>139</x:v>
      </x:c>
      <x:c r="L24" t="s">
        <x:v>142</x:v>
      </x:c>
    </x:row>
    <x:row r="25" ht="26.25" customHeight="1">
      <x:c r="A25" s="32">
        <x:v>4</x:v>
      </x:c>
      <x:c r="B25" s="33" t="e">
        <x:f t="array" ref="B25">IF(INDEX(RECORD!$E$7:$EP$7,ROWS(RECORD!$E$7:F10))=0,"",(INDEX(RECORD!$E$7:$EP$7,ROWS(RECORD!$E$7:F10))))</x:f>
        <x:v>#REF!</x:v>
      </x:c>
      <x:c r="C25" s="34" t="e">
        <x:f t="array" ref="C25">IF((INDEX(RECORD!$E$11:$EP$11,ROWS(RECORD!$E$11:F14)))=0,"",(INDEX(RECORD!$E$11:$EP$11,ROWS(RECORD!$E$11:F14))))</x:f>
        <x:v>#REF!</x:v>
      </x:c>
      <x:c r="D25" s="34" t="e">
        <x:f t="array" ref="D25">IF(INDEX(RECORD!$E$12:$EP$12,ROWS(RECORD!$E$12:F15))=0,"",(INDEX(RECORD!$E$12:$EP$12,ROWS(RECORD!$E$12:F15))))</x:f>
        <x:v>#REF!</x:v>
      </x:c>
      <x:c r="E25" s="34" t="e">
        <x:f t="array" ref="E25">IF(INDEX(RECORD!$E$13:$EP$13,ROWS(RECORD!$E$13:F16))=0,"",(INDEX(RECORD!$E$13:$EP$13,ROWS(RECORD!$E$13:F16))))</x:f>
        <x:v>#REF!</x:v>
      </x:c>
      <x:c r="F25" s="35" t="s">
        <x:v>143</x:v>
      </x:c>
      <x:c r="G25" s="36" t="e">
        <x:f>SUMIFS(E$22:E$142,B$22:B$142,"Performance Tasks",C$22:C$142,G$21)</x:f>
        <x:v>#REF!</x:v>
      </x:c>
      <x:c r="H25" s="36" t="e">
        <x:f>SUMIFS(E$22:E$142,B$22:B$142,"Performance Tasks",C$22:C$142,H$21)</x:f>
        <x:v>#REF!</x:v>
      </x:c>
      <x:c r="I25" s="36" t="e">
        <x:f>SUMIFS(E$22:E$142,B$22:B$142,"Performance Tasks",C$22:C$142,I$21)</x:f>
        <x:v>#REF!</x:v>
      </x:c>
      <x:c r="J25">
        <x:f t="shared" si="0"/>
        <x:v>50</x:v>
      </x:c>
      <x:c r="K25" s="37" t="s">
        <x:v>139</x:v>
      </x:c>
    </x:row>
    <x:row r="26">
      <x:c r="A26" s="32">
        <x:v>5</x:v>
      </x:c>
      <x:c r="B26" s="33" t="e">
        <x:f t="array" ref="B26">IF(INDEX(RECORD!$E$7:$EP$7,ROWS(RECORD!$E$7:F11))=0,"",(INDEX(RECORD!$E$7:$EP$7,ROWS(RECORD!$E$7:F11))))</x:f>
        <x:v>#REF!</x:v>
      </x:c>
      <x:c r="C26" s="34" t="e">
        <x:f t="array" ref="C26">IF((INDEX(RECORD!$E$11:$EP$11,ROWS(RECORD!$E$11:F15)))=0,"",(INDEX(RECORD!$E$11:$EP$11,ROWS(RECORD!$E$11:F15))))</x:f>
        <x:v>#REF!</x:v>
      </x:c>
      <x:c r="D26" s="34" t="e">
        <x:f t="array" ref="D26">IF(INDEX(RECORD!$E$12:$EP$12,ROWS(RECORD!$E$12:F16))=0,"",(INDEX(RECORD!$E$12:$EP$12,ROWS(RECORD!$E$12:F16))))</x:f>
        <x:v>#REF!</x:v>
      </x:c>
      <x:c r="E26" s="34" t="e">
        <x:f t="array" ref="E26">IF(INDEX(RECORD!$E$13:$EP$13,ROWS(RECORD!$E$13:F17))=0,"",(INDEX(RECORD!$E$13:$EP$13,ROWS(RECORD!$E$13:F17))))</x:f>
        <x:v>#REF!</x:v>
      </x:c>
      <x:c r="F26" s="35" t="s">
        <x:v>144</x:v>
      </x:c>
      <x:c r="G26" s="36" t="e">
        <x:f>SUMIFS(E$22:E$142,B$22:B$142,"Lab Outputs",C$22:C$142,G$21)</x:f>
        <x:v>#REF!</x:v>
      </x:c>
      <x:c r="H26" s="36" t="e">
        <x:f>SUMIFS(E$22:E$142,B$22:B$142,"Lab Outputsz",C$22:C$142,H$21)</x:f>
        <x:v>#REF!</x:v>
      </x:c>
      <x:c r="I26" s="36" t="e">
        <x:f>SUMIFS(E$22:E$142,B$22:B$142,"Lab Outputs",C$22:C$142,I$21)</x:f>
        <x:v>#REF!</x:v>
      </x:c>
      <x:c r="J26">
        <x:f t="shared" si="0"/>
        <x:v>0</x:v>
      </x:c>
      <x:c r="K26" s="37" t="s">
        <x:v>142</x:v>
      </x:c>
    </x:row>
    <x:row r="27" ht="39" customHeight="1">
      <x:c r="A27" s="32">
        <x:v>6</x:v>
      </x:c>
      <x:c r="B27" s="33" t="e">
        <x:f t="array" ref="B27">IF(INDEX(RECORD!$E$7:$EP$7,ROWS(RECORD!$E$7:F12))=0,"",(INDEX(RECORD!$E$7:$EP$7,ROWS(RECORD!$E$7:F12))))</x:f>
        <x:v>#REF!</x:v>
      </x:c>
      <x:c r="C27" s="34" t="e">
        <x:f t="array" ref="C27">IF((INDEX(RECORD!$E$11:$EP$11,ROWS(RECORD!$E$11:F16)))=0,"",(INDEX(RECORD!$E$11:$EP$11,ROWS(RECORD!$E$11:F16))))</x:f>
        <x:v>#REF!</x:v>
      </x:c>
      <x:c r="D27" s="34" t="e">
        <x:f t="array" ref="D27">IF(INDEX(RECORD!$E$12:$EP$12,ROWS(RECORD!$E$12:F17))=0,"",(INDEX(RECORD!$E$12:$EP$12,ROWS(RECORD!$E$12:F17))))</x:f>
        <x:v>#REF!</x:v>
      </x:c>
      <x:c r="E27" s="34" t="e">
        <x:f t="array" ref="E27">IF(INDEX(RECORD!$E$13:$EP$13,ROWS(RECORD!$E$13:F18))=0,"",(INDEX(RECORD!$E$13:$EP$13,ROWS(RECORD!$E$13:F18))))</x:f>
        <x:v>#REF!</x:v>
      </x:c>
      <x:c r="F27" s="35" t="s">
        <x:v>145</x:v>
      </x:c>
      <x:c r="G27" s="36" t="e">
        <x:f>SUMIFS(E$22:E$142,B$22:B$142,"Skills Demonstration/ RLE",C$22:C$142,G$21)</x:f>
        <x:v>#REF!</x:v>
      </x:c>
      <x:c r="H27" s="36" t="e">
        <x:f>SUMIFS(E$22:E$142,B$22:B$142,"Skills Demonstration/ RLE",C$22:C$142,H$21)</x:f>
        <x:v>#REF!</x:v>
      </x:c>
      <x:c r="I27" s="36" t="e">
        <x:f>SUMIFS(E$22:E$142,B$22:B$142,"Skills Demonstration/ RLE",C$22:C$142,I$21)</x:f>
        <x:v>#REF!</x:v>
      </x:c>
      <x:c r="J27">
        <x:f t="shared" si="0"/>
        <x:v>0</x:v>
      </x:c>
      <x:c r="K27" s="37" t="s">
        <x:v>142</x:v>
      </x:c>
    </x:row>
    <x:row r="28">
      <x:c r="A28" s="32">
        <x:v>7</x:v>
      </x:c>
      <x:c r="B28" s="33" t="e">
        <x:f t="array" ref="B28">IF(INDEX(RECORD!$E$7:$EP$7,ROWS(RECORD!$E$7:F13))=0,"",(INDEX(RECORD!$E$7:$EP$7,ROWS(RECORD!$E$7:F13))))</x:f>
        <x:v>#REF!</x:v>
      </x:c>
      <x:c r="C28" s="34" t="e">
        <x:f t="array" ref="C28">IF((INDEX(RECORD!$E$11:$EP$11,ROWS(RECORD!$E$11:F17)))=0,"",(INDEX(RECORD!$E$11:$EP$11,ROWS(RECORD!$E$11:F17))))</x:f>
        <x:v>#REF!</x:v>
      </x:c>
      <x:c r="D28" s="34" t="e">
        <x:f t="array" ref="D28">IF(INDEX(RECORD!$E$12:$EP$12,ROWS(RECORD!$E$12:F18))=0,"",(INDEX(RECORD!$E$12:$EP$12,ROWS(RECORD!$E$12:F18))))</x:f>
        <x:v>#REF!</x:v>
      </x:c>
      <x:c r="E28" s="34" t="e">
        <x:f t="array" ref="E28">IF(INDEX(RECORD!$E$13:$EP$13,ROWS(RECORD!$E$13:F19))=0,"",(INDEX(RECORD!$E$13:$EP$13,ROWS(RECORD!$E$13:F19))))</x:f>
        <x:v>#REF!</x:v>
      </x:c>
      <x:c r="F28" s="35" t="s">
        <x:v>146</x:v>
      </x:c>
      <x:c r="G28" s="36" t="e">
        <x:f>SUMIFS(E$22:E$142,B$22:B$142,"Portfolio",C$22:C$142,G$21)</x:f>
        <x:v>#REF!</x:v>
      </x:c>
      <x:c r="H28" s="36" t="e">
        <x:f>SUMIFS(E$22:E$142,B$22:B$142,"Portfolio",C$22:C$142,H$21)</x:f>
        <x:v>#REF!</x:v>
      </x:c>
      <x:c r="I28" s="36" t="e">
        <x:f>SUMIFS(E$22:E$142,B$22:B$142,"Portfolio",C$22:C$142,I$21)</x:f>
        <x:v>#REF!</x:v>
      </x:c>
      <x:c r="J28">
        <x:f t="shared" si="0"/>
        <x:v>0</x:v>
      </x:c>
      <x:c r="K28" s="37"/>
    </x:row>
    <x:row r="29">
      <x:c r="A29" s="32">
        <x:v>8</x:v>
      </x:c>
      <x:c r="B29" s="33" t="e">
        <x:f t="array" ref="B29">IF(INDEX(RECORD!$E$7:$EP$7,ROWS(RECORD!$E$7:F14))=0,"",(INDEX(RECORD!$E$7:$EP$7,ROWS(RECORD!$E$7:F14))))</x:f>
        <x:v>#REF!</x:v>
      </x:c>
      <x:c r="C29" s="34" t="e">
        <x:f t="array" ref="C29">IF((INDEX(RECORD!$E$11:$EP$11,ROWS(RECORD!$E$11:F18)))=0,"",(INDEX(RECORD!$E$11:$EP$11,ROWS(RECORD!$E$11:F18))))</x:f>
        <x:v>#REF!</x:v>
      </x:c>
      <x:c r="D29" s="34" t="e">
        <x:f t="array" ref="D29">IF(INDEX(RECORD!$E$12:$EP$12,ROWS(RECORD!$E$12:F19))=0,"",(INDEX(RECORD!$E$12:$EP$12,ROWS(RECORD!$E$12:F19))))</x:f>
        <x:v>#REF!</x:v>
      </x:c>
      <x:c r="E29" s="34" t="e">
        <x:f t="array" ref="E29">IF(INDEX(RECORD!$E$13:$EP$13,ROWS(RECORD!$E$13:F20))=0,"",(INDEX(RECORD!$E$13:$EP$13,ROWS(RECORD!$E$13:F20))))</x:f>
        <x:v>#REF!</x:v>
      </x:c>
      <x:c r="F29" s="35" t="s">
        <x:v>147</x:v>
      </x:c>
      <x:c r="G29" s="36" t="e">
        <x:f>SUMIFS(E$22:E$142,B$22:B$142,"Capstone",C$22:C$142,G$21)</x:f>
        <x:v>#REF!</x:v>
      </x:c>
      <x:c r="H29" s="36" t="e">
        <x:f>SUMIFS(E$22:E$142,B$22:B$142,"Capstone",C$22:C$142,H$21)</x:f>
        <x:v>#REF!</x:v>
      </x:c>
      <x:c r="I29" s="36" t="e">
        <x:f>SUMIFS(E$22:E$142,B$22:B$142,"Capstone",C$22:C$142,I$21)</x:f>
        <x:v>#REF!</x:v>
      </x:c>
      <x:c r="J29">
        <x:f t="shared" si="0"/>
        <x:v>0</x:v>
      </x:c>
      <x:c r="K29" s="37" t="s">
        <x:v>142</x:v>
      </x:c>
    </x:row>
    <x:row r="30" ht="26.25" customHeight="1">
      <x:c r="A30" s="32">
        <x:v>9</x:v>
      </x:c>
      <x:c r="B30" s="33" t="e">
        <x:f t="array" ref="B30">IF(INDEX(RECORD!$E$7:$EP$7,ROWS(RECORD!$E$7:F15))=0,"",(INDEX(RECORD!$E$7:$EP$7,ROWS(RECORD!$E$7:F15))))</x:f>
        <x:v>#REF!</x:v>
      </x:c>
      <x:c r="C30" s="34" t="e">
        <x:f t="array" ref="C30">IF((INDEX(RECORD!$E$11:$EP$11,ROWS(RECORD!$E$11:F19)))=0,"",(INDEX(RECORD!$E$11:$EP$11,ROWS(RECORD!$E$11:F19))))</x:f>
        <x:v>#REF!</x:v>
      </x:c>
      <x:c r="D30" s="34" t="e">
        <x:f t="array" ref="D30">IF(INDEX(RECORD!$E$12:$EP$12,ROWS(RECORD!$E$12:F20))=0,"",(INDEX(RECORD!$E$12:$EP$12,ROWS(RECORD!$E$12:F20))))</x:f>
        <x:v>#REF!</x:v>
      </x:c>
      <x:c r="E30" s="34" t="e">
        <x:f t="array" ref="E30">IF(INDEX(RECORD!$E$13:$EP$13,ROWS(RECORD!$E$13:F21))=0,"",(INDEX(RECORD!$E$13:$EP$13,ROWS(RECORD!$E$13:F21))))</x:f>
        <x:v>#REF!</x:v>
      </x:c>
      <x:c r="F30" s="35" t="s">
        <x:v>148</x:v>
      </x:c>
      <x:c r="G30" s="36" t="e">
        <x:f>SUMIFS(E$22:E$142,B$22:B$142,"Culminating Project",C$22:C$142,G$21)</x:f>
        <x:v>#REF!</x:v>
      </x:c>
      <x:c r="H30" s="36" t="e">
        <x:f>SUMIFS(E$22:E$142,B$22:B$142,"Culminating Project",C$22:C$142,H$21)</x:f>
        <x:v>#REF!</x:v>
      </x:c>
      <x:c r="I30" s="36" t="e">
        <x:f>SUMIFS(E$22:E$142,B$22:B$142,"Culminating Project",C$22:C$142,I$21)</x:f>
        <x:v>#REF!</x:v>
      </x:c>
      <x:c r="J30">
        <x:f t="shared" si="0"/>
        <x:v>0</x:v>
      </x:c>
      <x:c r="K30" s="37"/>
    </x:row>
    <x:row r="31">
      <x:c r="A31" s="32">
        <x:v>10</x:v>
      </x:c>
      <x:c r="B31" s="33" t="e">
        <x:f t="array" ref="B31">IF(INDEX(RECORD!$E$7:$EP$7,ROWS(RECORD!$E$7:F16))=0,"",(INDEX(RECORD!$E$7:$EP$7,ROWS(RECORD!$E$7:F16))))</x:f>
        <x:v>#REF!</x:v>
      </x:c>
      <x:c r="C31" s="34" t="e">
        <x:f t="array" ref="C31">IF((INDEX(RECORD!$E$11:$EP$11,ROWS(RECORD!$E$11:F20)))=0,"",(INDEX(RECORD!$E$11:$EP$11,ROWS(RECORD!$E$11:F20))))</x:f>
        <x:v>#REF!</x:v>
      </x:c>
      <x:c r="D31" s="34" t="e">
        <x:f t="array" ref="D31">IF(INDEX(RECORD!$E$12:$EP$12,ROWS(RECORD!$E$12:F21))=0,"",(INDEX(RECORD!$E$12:$EP$12,ROWS(RECORD!$E$12:F21))))</x:f>
        <x:v>#REF!</x:v>
      </x:c>
      <x:c r="E31" s="34" t="e">
        <x:f t="array" ref="E31">IF(INDEX(RECORD!$E$13:$EP$13,ROWS(RECORD!$E$13:F22))=0,"",(INDEX(RECORD!$E$13:$EP$13,ROWS(RECORD!$E$13:F22))))</x:f>
        <x:v>#REF!</x:v>
      </x:c>
      <x:c r="F31" s="35" t="s">
        <x:v>149</x:v>
      </x:c>
      <x:c r="G31" s="36" t="e">
        <x:f>SUMIFS(E$22:E$142,B$22:B$142,"Panel Evaluation",C$22:C$142,G$21)</x:f>
        <x:v>#REF!</x:v>
      </x:c>
      <x:c r="H31" s="36" t="e">
        <x:f>SUMIFS(E$22:E$142,B$22:B$142,"Panel Evaluation",C$22:C$142,H$21)</x:f>
        <x:v>#REF!</x:v>
      </x:c>
      <x:c r="I31" s="36" t="e">
        <x:f>SUMIFS(E$22:E$142,B$22:B$142,"Panel Evaluation",C$22:C$142,I$21)</x:f>
        <x:v>#REF!</x:v>
      </x:c>
      <x:c r="J31">
        <x:f t="shared" si="0"/>
        <x:v>0</x:v>
      </x:c>
      <x:c r="K31" s="37"/>
    </x:row>
    <x:row r="32" ht="26.25" customHeight="1">
      <x:c r="A32" s="32">
        <x:v>11</x:v>
      </x:c>
      <x:c r="B32" s="33" t="e">
        <x:f t="array" ref="B32">IF(INDEX(RECORD!$E$7:$EP$7,ROWS(RECORD!$E$7:F17))=0,"",(INDEX(RECORD!$E$7:$EP$7,ROWS(RECORD!$E$7:F17))))</x:f>
        <x:v>#REF!</x:v>
      </x:c>
      <x:c r="C32" s="34" t="e">
        <x:f t="array" ref="C32">IF((INDEX(RECORD!$E$11:$EP$11,ROWS(RECORD!$E$11:F21)))=0,"",(INDEX(RECORD!$E$11:$EP$11,ROWS(RECORD!$E$11:F21))))</x:f>
        <x:v>#REF!</x:v>
      </x:c>
      <x:c r="D32" s="34" t="e">
        <x:f t="array" ref="D32">IF(INDEX(RECORD!$E$12:$EP$12,ROWS(RECORD!$E$12:F22))=0,"",(INDEX(RECORD!$E$12:$EP$12,ROWS(RECORD!$E$12:F22))))</x:f>
        <x:v>#REF!</x:v>
      </x:c>
      <x:c r="E32" s="34" t="e">
        <x:f t="array" ref="E32">IF(INDEX(RECORD!$E$13:$EP$13,ROWS(RECORD!$E$13:F23))=0,"",(INDEX(RECORD!$E$13:$EP$13,ROWS(RECORD!$E$13:F23))))</x:f>
        <x:v>#REF!</x:v>
      </x:c>
      <x:c r="F32" s="35" t="s">
        <x:v>150</x:v>
      </x:c>
      <x:c r="G32" s="36" t="e">
        <x:f>SUMIFS(E$22:E$142,B$22:B$142,"Internship Evaluation",C$22:C$142,G$21)</x:f>
        <x:v>#REF!</x:v>
      </x:c>
      <x:c r="H32" s="36" t="e">
        <x:f>SUMIFS(E$22:E$142,B$22:B$142,"Internship Evaluation",C$22:C$142,H$21)</x:f>
        <x:v>#REF!</x:v>
      </x:c>
      <x:c r="I32" s="36" t="e">
        <x:f>SUMIFS(E$22:E$142,B$22:B$142,"Internship Evaluation",C$22:C$142,I$21)</x:f>
        <x:v>#REF!</x:v>
      </x:c>
      <x:c r="J32">
        <x:f t="shared" si="0"/>
        <x:v>0</x:v>
      </x:c>
      <x:c r="K32" s="37"/>
    </x:row>
    <x:row r="33">
      <x:c r="A33" s="32">
        <x:v>12</x:v>
      </x:c>
      <x:c r="B33" s="33" t="e">
        <x:f t="array" ref="B33">IF(INDEX(RECORD!$E$7:$EP$7,ROWS(RECORD!$E$7:F18))=0,"",(INDEX(RECORD!$E$7:$EP$7,ROWS(RECORD!$E$7:F18))))</x:f>
        <x:v>#REF!</x:v>
      </x:c>
      <x:c r="C33" s="34" t="e">
        <x:f t="array" ref="C33">IF((INDEX(RECORD!$E$11:$EP$11,ROWS(RECORD!$E$11:F22)))=0,"",(INDEX(RECORD!$E$11:$EP$11,ROWS(RECORD!$E$11:F22))))</x:f>
        <x:v>#REF!</x:v>
      </x:c>
      <x:c r="D33" s="34" t="e">
        <x:f t="array" ref="D33">IF(INDEX(RECORD!$E$12:$EP$12,ROWS(RECORD!$E$12:F23))=0,"",(INDEX(RECORD!$E$12:$EP$12,ROWS(RECORD!$E$12:F23))))</x:f>
        <x:v>#REF!</x:v>
      </x:c>
      <x:c r="E33" s="34" t="e">
        <x:f t="array" ref="E33">IF(INDEX(RECORD!$E$13:$EP$13,ROWS(RECORD!$E$13:F24))=0,"",(INDEX(RECORD!$E$13:$EP$13,ROWS(RECORD!$E$13:F24))))</x:f>
        <x:v>#REF!</x:v>
      </x:c>
      <x:c r="G33" s="38"/>
      <x:c r="H33" s="38"/>
      <x:c r="I33" s="38"/>
      <x:c r="J33" s="38"/>
    </x:row>
    <x:row r="34">
      <x:c r="A34" s="32">
        <x:v>13</x:v>
      </x:c>
      <x:c r="B34" s="33" t="e">
        <x:f t="array" ref="B34">IF(INDEX(RECORD!$E$7:$EP$7,ROWS(RECORD!$E$7:F19))=0,"",(INDEX(RECORD!$E$7:$EP$7,ROWS(RECORD!$E$7:F19))))</x:f>
        <x:v>#REF!</x:v>
      </x:c>
      <x:c r="C34" s="34" t="e">
        <x:f t="array" ref="C34">IF((INDEX(RECORD!$E$11:$EP$11,ROWS(RECORD!$E$11:F23)))=0,"",(INDEX(RECORD!$E$11:$EP$11,ROWS(RECORD!$E$11:F23))))</x:f>
        <x:v>#REF!</x:v>
      </x:c>
      <x:c r="D34" s="34" t="e">
        <x:f t="array" ref="D34">IF(INDEX(RECORD!$E$12:$EP$12,ROWS(RECORD!$E$12:F24))=0,"",(INDEX(RECORD!$E$12:$EP$12,ROWS(RECORD!$E$12:F24))))</x:f>
        <x:v>#REF!</x:v>
      </x:c>
      <x:c r="E34" s="34" t="e">
        <x:f t="array" ref="E34">IF(INDEX(RECORD!$E$13:$EP$13,ROWS(RECORD!$E$13:F25))=0,"",(INDEX(RECORD!$E$13:$EP$13,ROWS(RECORD!$E$13:F25))))</x:f>
        <x:v>#REF!</x:v>
      </x:c>
      <x:c r="F34" s="39" t="s">
        <x:v>151</x:v>
      </x:c>
      <x:c r="G34" t="e">
        <x:f t="shared" ref="G34:G43" si="1">SUMIFS(E$22:E$162,D$22:D$162,A9,C$22:C$162,G$21)</x:f>
        <x:v>#REF!</x:v>
      </x:c>
      <x:c r="H34" t="e">
        <x:f t="shared" ref="H34:H43" si="2">SUMIFS(E$22:E$162,D$22:D$162,A9,C$22:C$162,H$21)</x:f>
        <x:v>#REF!</x:v>
      </x:c>
      <x:c r="I34" t="e">
        <x:f t="shared" ref="I34:I43" si="3">SUMIFS(E$22:E$162, D$22:D$162,A9,C$22:C$162,I$21)</x:f>
        <x:v>#REF!</x:v>
      </x:c>
      <x:c r="J34" t="e">
        <x:f t="shared" ref="J34:J43" si="4">SUM(G34:I34)</x:f>
        <x:v>#REF!</x:v>
      </x:c>
    </x:row>
    <x:row r="35">
      <x:c r="A35" s="32">
        <x:v>14</x:v>
      </x:c>
      <x:c r="B35" s="33" t="e">
        <x:f t="array" ref="B35">IF(INDEX(RECORD!$E$7:$EP$7,ROWS(RECORD!$E$7:F20))=0,"",(INDEX(RECORD!$E$7:$EP$7,ROWS(RECORD!$E$7:F20))))</x:f>
        <x:v>#REF!</x:v>
      </x:c>
      <x:c r="C35" s="34" t="e">
        <x:f t="array" ref="C35">IF((INDEX(RECORD!$E$11:$EP$11,ROWS(RECORD!$E$11:F24)))=0,"",(INDEX(RECORD!$E$11:$EP$11,ROWS(RECORD!$E$11:F24))))</x:f>
        <x:v>#REF!</x:v>
      </x:c>
      <x:c r="D35" s="34" t="e">
        <x:f t="array" ref="D35">IF(INDEX(RECORD!$E$12:$EP$12,ROWS(RECORD!$E$12:F25))=0,"",(INDEX(RECORD!$E$12:$EP$12,ROWS(RECORD!$E$12:F25))))</x:f>
        <x:v>#REF!</x:v>
      </x:c>
      <x:c r="E35" s="34" t="e">
        <x:f t="array" ref="E35">IF(INDEX(RECORD!$E$13:$EP$13,ROWS(RECORD!$E$13:F26))=0,"",(INDEX(RECORD!$E$13:$EP$13,ROWS(RECORD!$E$13:F26))))</x:f>
        <x:v>#REF!</x:v>
      </x:c>
      <x:c r="F35" s="39" t="s">
        <x:v>152</x:v>
      </x:c>
      <x:c r="G35">
        <x:f t="shared" si="1"/>
        <x:v>60</x:v>
      </x:c>
      <x:c r="H35">
        <x:f t="shared" si="2"/>
        <x:v>50</x:v>
      </x:c>
      <x:c r="I35">
        <x:f t="shared" si="3"/>
        <x:v>25</x:v>
      </x:c>
      <x:c r="J35">
        <x:f t="shared" si="4"/>
        <x:v>135</x:v>
      </x:c>
    </x:row>
    <x:row r="36">
      <x:c r="A36" s="32">
        <x:v>15</x:v>
      </x:c>
      <x:c r="B36" s="33" t="e">
        <x:f t="array" ref="B36">IF(INDEX(RECORD!$E$7:$EP$7,ROWS(RECORD!$E$7:F21))=0,"",(INDEX(RECORD!$E$7:$EP$7,ROWS(RECORD!$E$7:F21))))</x:f>
        <x:v>#REF!</x:v>
      </x:c>
      <x:c r="C36" s="34" t="e">
        <x:f t="array" ref="C36">IF((INDEX(RECORD!$E$11:$EP$11,ROWS(RECORD!$E$11:F25)))=0,"",(INDEX(RECORD!$E$11:$EP$11,ROWS(RECORD!$E$11:F25))))</x:f>
        <x:v>#REF!</x:v>
      </x:c>
      <x:c r="D36" s="34" t="e">
        <x:f t="array" ref="D36">IF(INDEX(RECORD!$E$12:$EP$12,ROWS(RECORD!$E$12:F26))=0,"",(INDEX(RECORD!$E$12:$EP$12,ROWS(RECORD!$E$12:F26))))</x:f>
        <x:v>#REF!</x:v>
      </x:c>
      <x:c r="E36" s="34" t="e">
        <x:f t="array" ref="E36">IF(INDEX(RECORD!$E$13:$EP$13,ROWS(RECORD!$E$13:F27))=0,"",(INDEX(RECORD!$E$13:$EP$13,ROWS(RECORD!$E$13:F27))))</x:f>
        <x:v>#REF!</x:v>
      </x:c>
      <x:c r="F36" s="39" t="s">
        <x:v>153</x:v>
      </x:c>
      <x:c r="G36">
        <x:f t="shared" si="1"/>
        <x:v>80</x:v>
      </x:c>
      <x:c r="H36">
        <x:f t="shared" si="2"/>
        <x:v>100</x:v>
      </x:c>
      <x:c r="I36">
        <x:f t="shared" si="3"/>
        <x:v>25</x:v>
      </x:c>
      <x:c r="J36">
        <x:f t="shared" si="4"/>
        <x:v>205</x:v>
      </x:c>
    </x:row>
    <x:row r="37">
      <x:c r="A37" s="32">
        <x:v>16</x:v>
      </x:c>
      <x:c r="B37" s="33" t="e">
        <x:f t="array" ref="B37">IF(INDEX(RECORD!$E$7:$EP$7,ROWS(RECORD!$E$7:F22))=0,"",(INDEX(RECORD!$E$7:$EP$7,ROWS(RECORD!$E$7:F22))))</x:f>
        <x:v>#REF!</x:v>
      </x:c>
      <x:c r="C37" s="34" t="e">
        <x:f t="array" ref="C37">IF((INDEX(RECORD!$E$11:$EP$11,ROWS(RECORD!$E$11:F26)))=0,"",(INDEX(RECORD!$E$11:$EP$11,ROWS(RECORD!$E$11:F26))))</x:f>
        <x:v>#REF!</x:v>
      </x:c>
      <x:c r="D37" s="34" t="e">
        <x:f t="array" ref="D37">IF(INDEX(RECORD!$E$12:$EP$12,ROWS(RECORD!$E$12:F27))=0,"",(INDEX(RECORD!$E$12:$EP$12,ROWS(RECORD!$E$12:F27))))</x:f>
        <x:v>#REF!</x:v>
      </x:c>
      <x:c r="E37" s="34" t="e">
        <x:f t="array" ref="E37">IF(INDEX(RECORD!$E$13:$EP$13,ROWS(RECORD!$E$13:F28))=0,"",(INDEX(RECORD!$E$13:$EP$13,ROWS(RECORD!$E$13:F28))))</x:f>
        <x:v>#REF!</x:v>
      </x:c>
      <x:c r="F37" s="39" t="s">
        <x:v>154</x:v>
      </x:c>
      <x:c r="G37">
        <x:f t="shared" si="1"/>
        <x:v>0</x:v>
      </x:c>
      <x:c r="H37">
        <x:f t="shared" si="2"/>
        <x:v>0</x:v>
      </x:c>
      <x:c r="I37">
        <x:f t="shared" si="3"/>
        <x:v>45</x:v>
      </x:c>
      <x:c r="J37">
        <x:f t="shared" si="4"/>
        <x:v>45</x:v>
      </x:c>
    </x:row>
    <x:row r="38">
      <x:c r="A38" s="32">
        <x:v>17</x:v>
      </x:c>
      <x:c r="B38" s="33" t="e">
        <x:f t="array" ref="B38">IF(INDEX(RECORD!$E$7:$EP$7,ROWS(RECORD!$E$7:F23))=0,"",(INDEX(RECORD!$E$7:$EP$7,ROWS(RECORD!$E$7:F23))))</x:f>
        <x:v>#REF!</x:v>
      </x:c>
      <x:c r="C38" s="34" t="e">
        <x:f t="array" ref="C38">IF((INDEX(RECORD!$E$11:$EP$11,ROWS(RECORD!$E$11:F27)))=0,"",(INDEX(RECORD!$E$11:$EP$11,ROWS(RECORD!$E$11:F27))))</x:f>
        <x:v>#REF!</x:v>
      </x:c>
      <x:c r="D38" s="34" t="e">
        <x:f t="array" ref="D38">IF(INDEX(RECORD!$E$12:$EP$12,ROWS(RECORD!$E$12:F28))=0,"",(INDEX(RECORD!$E$12:$EP$12,ROWS(RECORD!$E$12:F28))))</x:f>
        <x:v>#REF!</x:v>
      </x:c>
      <x:c r="E38" s="34" t="e">
        <x:f t="array" ref="E38">IF(INDEX(RECORD!$E$13:$EP$13,ROWS(RECORD!$E$13:F29))=0,"",(INDEX(RECORD!$E$13:$EP$13,ROWS(RECORD!$E$13:F29))))</x:f>
        <x:v>#REF!</x:v>
      </x:c>
      <x:c r="F38" s="39" t="s">
        <x:v>155</x:v>
      </x:c>
      <x:c r="G38">
        <x:f t="shared" si="1"/>
        <x:v>0</x:v>
      </x:c>
      <x:c r="H38">
        <x:f t="shared" si="2"/>
        <x:v>0</x:v>
      </x:c>
      <x:c r="I38">
        <x:f t="shared" si="3"/>
        <x:v>75</x:v>
      </x:c>
      <x:c r="J38">
        <x:f t="shared" si="4"/>
        <x:v>75</x:v>
      </x:c>
    </x:row>
    <x:row r="39">
      <x:c r="A39" s="32">
        <x:v>18</x:v>
      </x:c>
      <x:c r="B39" s="33" t="e">
        <x:f t="array" ref="B39">IF(INDEX(RECORD!$E$7:$EP$7,ROWS(RECORD!$E$7:F24))=0,"",(INDEX(RECORD!$E$7:$EP$7,ROWS(RECORD!$E$7:F24))))</x:f>
        <x:v>#REF!</x:v>
      </x:c>
      <x:c r="C39" s="34" t="e">
        <x:f t="array" ref="C39">IF((INDEX(RECORD!$E$11:$EP$11,ROWS(RECORD!$E$11:F28)))=0,"",(INDEX(RECORD!$E$11:$EP$11,ROWS(RECORD!$E$11:F28))))</x:f>
        <x:v>#REF!</x:v>
      </x:c>
      <x:c r="D39" s="34" t="e">
        <x:f t="array" ref="D39">IF(INDEX(RECORD!$E$12:$EP$12,ROWS(RECORD!$E$12:F29))=0,"",(INDEX(RECORD!$E$12:$EP$12,ROWS(RECORD!$E$12:F29))))</x:f>
        <x:v>#REF!</x:v>
      </x:c>
      <x:c r="E39" s="34" t="e">
        <x:f t="array" ref="E39">IF(INDEX(RECORD!$E$13:$EP$13,ROWS(RECORD!$E$13:F30))=0,"",(INDEX(RECORD!$E$13:$EP$13,ROWS(RECORD!$E$13:F30))))</x:f>
        <x:v>#REF!</x:v>
      </x:c>
      <x:c r="F39" s="39" t="s">
        <x:v>156</x:v>
      </x:c>
      <x:c r="G39">
        <x:f t="shared" si="1"/>
        <x:v>0</x:v>
      </x:c>
      <x:c r="H39">
        <x:f t="shared" si="2"/>
        <x:v>0</x:v>
      </x:c>
      <x:c r="I39">
        <x:f t="shared" si="3"/>
        <x:v>0</x:v>
      </x:c>
      <x:c r="J39">
        <x:f t="shared" si="4"/>
        <x:v>0</x:v>
      </x:c>
    </x:row>
    <x:row r="40">
      <x:c r="A40" s="32">
        <x:v>19</x:v>
      </x:c>
      <x:c r="B40" s="33" t="e">
        <x:f t="array" ref="B40">IF(INDEX(RECORD!$E$7:$EP$7,ROWS(RECORD!$E$7:F25))=0,"",(INDEX(RECORD!$E$7:$EP$7,ROWS(RECORD!$E$7:F25))))</x:f>
        <x:v>#REF!</x:v>
      </x:c>
      <x:c r="C40" s="34" t="e">
        <x:f t="array" ref="C40">IF((INDEX(RECORD!$E$11:$EP$11,ROWS(RECORD!$E$11:F29)))=0,"",(INDEX(RECORD!$E$11:$EP$11,ROWS(RECORD!$E$11:F29))))</x:f>
        <x:v>#REF!</x:v>
      </x:c>
      <x:c r="D40" s="34" t="e">
        <x:f t="array" ref="D40">IF(INDEX(RECORD!$E$12:$EP$12,ROWS(RECORD!$E$12:F30))=0,"",(INDEX(RECORD!$E$12:$EP$12,ROWS(RECORD!$E$12:F30))))</x:f>
        <x:v>#REF!</x:v>
      </x:c>
      <x:c r="E40" s="34" t="e">
        <x:f t="array" ref="E40">IF(INDEX(RECORD!$E$13:$EP$13,ROWS(RECORD!$E$13:F31))=0,"",(INDEX(RECORD!$E$13:$EP$13,ROWS(RECORD!$E$13:F31))))</x:f>
        <x:v>#REF!</x:v>
      </x:c>
      <x:c r="F40" s="39" t="s">
        <x:v>157</x:v>
      </x:c>
      <x:c r="G40">
        <x:f t="shared" si="1"/>
        <x:v>0</x:v>
      </x:c>
      <x:c r="H40">
        <x:f t="shared" si="2"/>
        <x:v>0</x:v>
      </x:c>
      <x:c r="I40">
        <x:f t="shared" si="3"/>
        <x:v>0</x:v>
      </x:c>
      <x:c r="J40">
        <x:f t="shared" si="4"/>
        <x:v>0</x:v>
      </x:c>
    </x:row>
    <x:row r="41">
      <x:c r="A41" s="32">
        <x:v>20</x:v>
      </x:c>
      <x:c r="B41" s="33" t="e">
        <x:f t="array" ref="B41">IF(INDEX(RECORD!$E$7:$EP$7,ROWS(RECORD!$E$7:F26))=0,"",(INDEX(RECORD!$E$7:$EP$7,ROWS(RECORD!$E$7:F26))))</x:f>
        <x:v>#REF!</x:v>
      </x:c>
      <x:c r="C41" s="34" t="e">
        <x:f t="array" ref="C41">IF((INDEX(RECORD!$E$11:$EP$11,ROWS(RECORD!$E$11:F30)))=0,"",(INDEX(RECORD!$E$11:$EP$11,ROWS(RECORD!$E$11:F30))))</x:f>
        <x:v>#REF!</x:v>
      </x:c>
      <x:c r="D41" s="34" t="e">
        <x:f t="array" ref="D41">IF(INDEX(RECORD!$E$12:$EP$12,ROWS(RECORD!$E$12:F31))=0,"",(INDEX(RECORD!$E$12:$EP$12,ROWS(RECORD!$E$12:F31))))</x:f>
        <x:v>#REF!</x:v>
      </x:c>
      <x:c r="E41" s="34" t="e">
        <x:f t="array" ref="E41">IF(INDEX(RECORD!$E$13:$EP$13,ROWS(RECORD!$E$13:F32))=0,"",(INDEX(RECORD!$E$13:$EP$13,ROWS(RECORD!$E$13:F32))))</x:f>
        <x:v>#REF!</x:v>
      </x:c>
      <x:c r="F41" s="39" t="s">
        <x:v>158</x:v>
      </x:c>
      <x:c r="G41">
        <x:f t="shared" si="1"/>
        <x:v>0</x:v>
      </x:c>
      <x:c r="H41">
        <x:f t="shared" si="2"/>
        <x:v>0</x:v>
      </x:c>
      <x:c r="I41">
        <x:f t="shared" si="3"/>
        <x:v>0</x:v>
      </x:c>
      <x:c r="J41">
        <x:f t="shared" si="4"/>
        <x:v>0</x:v>
      </x:c>
    </x:row>
    <x:row r="42">
      <x:c r="A42" s="32">
        <x:v>21</x:v>
      </x:c>
      <x:c r="B42" s="33" t="e">
        <x:f t="array" ref="B42">IF(INDEX(RECORD!$E$7:$EP$7,ROWS(RECORD!$E$7:F27))=0,"",(INDEX(RECORD!$E$7:$EP$7,ROWS(RECORD!$E$7:F27))))</x:f>
        <x:v>#REF!</x:v>
      </x:c>
      <x:c r="C42" s="34" t="e">
        <x:f t="array" ref="C42">IF((INDEX(RECORD!$E$11:$EP$11,ROWS(RECORD!$E$11:F31)))=0,"",(INDEX(RECORD!$E$11:$EP$11,ROWS(RECORD!$E$11:F31))))</x:f>
        <x:v>#REF!</x:v>
      </x:c>
      <x:c r="D42" s="34" t="e">
        <x:f t="array" ref="D42">IF(INDEX(RECORD!$E$12:$EP$12,ROWS(RECORD!$E$12:F32))=0,"",(INDEX(RECORD!$E$12:$EP$12,ROWS(RECORD!$E$12:F32))))</x:f>
        <x:v>#REF!</x:v>
      </x:c>
      <x:c r="E42" s="34" t="e">
        <x:f t="array" ref="E42">IF(INDEX(RECORD!$E$13:$EP$13,ROWS(RECORD!$E$13:F33))=0,"",(INDEX(RECORD!$E$13:$EP$13,ROWS(RECORD!$E$13:F33))))</x:f>
        <x:v>#REF!</x:v>
      </x:c>
      <x:c r="F42" s="39" t="s">
        <x:v>159</x:v>
      </x:c>
      <x:c r="G42">
        <x:f t="shared" si="1"/>
        <x:v>0</x:v>
      </x:c>
      <x:c r="H42">
        <x:f t="shared" si="2"/>
        <x:v>0</x:v>
      </x:c>
      <x:c r="I42">
        <x:f t="shared" si="3"/>
        <x:v>0</x:v>
      </x:c>
      <x:c r="J42">
        <x:f t="shared" si="4"/>
        <x:v>0</x:v>
      </x:c>
    </x:row>
    <x:row r="43">
      <x:c r="A43" s="32">
        <x:v>22</x:v>
      </x:c>
      <x:c r="B43" s="33" t="e">
        <x:f t="array" ref="B43">IF(INDEX(RECORD!$E$7:$EP$7,ROWS(RECORD!$E$7:F28))=0,"",(INDEX(RECORD!$E$7:$EP$7,ROWS(RECORD!$E$7:F28))))</x:f>
        <x:v>#REF!</x:v>
      </x:c>
      <x:c r="C43" s="34" t="e">
        <x:f t="array" ref="C43">IF((INDEX(RECORD!$E$11:$EP$11,ROWS(RECORD!$E$11:F32)))=0,"",(INDEX(RECORD!$E$11:$EP$11,ROWS(RECORD!$E$11:F32))))</x:f>
        <x:v>#REF!</x:v>
      </x:c>
      <x:c r="D43" s="34" t="e">
        <x:f t="array" ref="D43">IF(INDEX(RECORD!$E$12:$EP$12,ROWS(RECORD!$E$12:F33))=0,"",(INDEX(RECORD!$E$12:$EP$12,ROWS(RECORD!$E$12:F33))))</x:f>
        <x:v>#REF!</x:v>
      </x:c>
      <x:c r="E43" s="34" t="e">
        <x:f t="array" ref="E43">IF(INDEX(RECORD!$E$13:$EP$13,ROWS(RECORD!$E$13:F34))=0,"",(INDEX(RECORD!$E$13:$EP$13,ROWS(RECORD!$E$13:F34))))</x:f>
        <x:v>#REF!</x:v>
      </x:c>
      <x:c r="F43" s="39" t="s">
        <x:v>160</x:v>
      </x:c>
      <x:c r="G43">
        <x:f t="shared" si="1"/>
        <x:v>0</x:v>
      </x:c>
      <x:c r="H43">
        <x:f t="shared" si="2"/>
        <x:v>0</x:v>
      </x:c>
      <x:c r="I43">
        <x:f t="shared" si="3"/>
        <x:v>0</x:v>
      </x:c>
      <x:c r="J43">
        <x:f t="shared" si="4"/>
        <x:v>0</x:v>
      </x:c>
    </x:row>
    <x:row r="44">
      <x:c r="A44" s="32">
        <x:v>23</x:v>
      </x:c>
      <x:c r="B44" s="33" t="e">
        <x:f t="array" ref="B44">IF(INDEX(RECORD!$E$7:$EP$7,ROWS(RECORD!$E$7:F29))=0,"",(INDEX(RECORD!$E$7:$EP$7,ROWS(RECORD!$E$7:F29))))</x:f>
        <x:v>#REF!</x:v>
      </x:c>
      <x:c r="C44" s="34" t="e">
        <x:f t="array" ref="C44">IF((INDEX(RECORD!$E$11:$EP$11,ROWS(RECORD!$E$11:F33)))=0,"",(INDEX(RECORD!$E$11:$EP$11,ROWS(RECORD!$E$11:F33))))</x:f>
        <x:v>#REF!</x:v>
      </x:c>
      <x:c r="D44" s="34" t="e">
        <x:f t="array" ref="D44">IF(INDEX(RECORD!$E$12:$EP$12,ROWS(RECORD!$E$12:F34))=0,"",(INDEX(RECORD!$E$12:$EP$12,ROWS(RECORD!$E$12:F34))))</x:f>
        <x:v>#REF!</x:v>
      </x:c>
      <x:c r="E44" s="34" t="e">
        <x:f t="array" ref="E44">IF(INDEX(RECORD!$E$13:$EP$13,ROWS(RECORD!$E$13:F35))=0,"",(INDEX(RECORD!$E$13:$EP$13,ROWS(RECORD!$E$13:F35))))</x:f>
        <x:v>#REF!</x:v>
      </x:c>
    </x:row>
    <x:row r="45">
      <x:c r="A45" s="32">
        <x:v>24</x:v>
      </x:c>
      <x:c r="B45" s="33" t="e">
        <x:f t="array" ref="B45">IF(INDEX(RECORD!$E$7:$EP$7,ROWS(RECORD!$E$7:F30))=0,"",(INDEX(RECORD!$E$7:$EP$7,ROWS(RECORD!$E$7:F30))))</x:f>
        <x:v>#REF!</x:v>
      </x:c>
      <x:c r="C45" s="34" t="e">
        <x:f t="array" ref="C45">IF((INDEX(RECORD!$E$11:$EP$11,ROWS(RECORD!$E$11:F34)))=0,"",(INDEX(RECORD!$E$11:$EP$11,ROWS(RECORD!$E$11:F34))))</x:f>
        <x:v>#REF!</x:v>
      </x:c>
      <x:c r="D45" s="34" t="e">
        <x:f t="array" ref="D45">IF(INDEX(RECORD!$E$12:$EP$12,ROWS(RECORD!$E$12:F35))=0,"",(INDEX(RECORD!$E$12:$EP$12,ROWS(RECORD!$E$12:F35))))</x:f>
        <x:v>#REF!</x:v>
      </x:c>
      <x:c r="E45" s="34" t="e">
        <x:f t="array" ref="E45">IF(INDEX(RECORD!$E$13:$EP$13,ROWS(RECORD!$E$13:F36))=0,"",(INDEX(RECORD!$E$13:$EP$13,ROWS(RECORD!$E$13:F36))))</x:f>
        <x:v>#REF!</x:v>
      </x:c>
    </x:row>
    <x:row r="46">
      <x:c r="A46" s="32">
        <x:v>25</x:v>
      </x:c>
      <x:c r="B46" s="33" t="e">
        <x:f t="array" ref="B46">IF(INDEX(RECORD!$E$7:$EP$7,ROWS(RECORD!$E$7:F31))=0,"",(INDEX(RECORD!$E$7:$EP$7,ROWS(RECORD!$E$7:F31))))</x:f>
        <x:v>#REF!</x:v>
      </x:c>
      <x:c r="C46" s="34" t="e">
        <x:f t="array" ref="C46">IF((INDEX(RECORD!$E$11:$EP$11,ROWS(RECORD!$E$11:F35)))=0,"",(INDEX(RECORD!$E$11:$EP$11,ROWS(RECORD!$E$11:F35))))</x:f>
        <x:v>#REF!</x:v>
      </x:c>
      <x:c r="D46" s="34" t="e">
        <x:f t="array" ref="D46">IF(INDEX(RECORD!$E$12:$EP$12,ROWS(RECORD!$E$12:F36))=0,"",(INDEX(RECORD!$E$12:$EP$12,ROWS(RECORD!$E$12:F36))))</x:f>
        <x:v>#REF!</x:v>
      </x:c>
      <x:c r="E46" s="34" t="e">
        <x:f t="array" ref="E46">IF(INDEX(RECORD!$E$13:$EP$13,ROWS(RECORD!$E$13:F37))=0,"",(INDEX(RECORD!$E$13:$EP$13,ROWS(RECORD!$E$13:F37))))</x:f>
        <x:v>#REF!</x:v>
      </x:c>
    </x:row>
    <x:row r="47">
      <x:c r="A47" s="32">
        <x:v>26</x:v>
      </x:c>
      <x:c r="B47" s="33" t="e">
        <x:f t="array" ref="B47">IF(INDEX(RECORD!$E$7:$EP$7,ROWS(RECORD!$E$7:F32))=0,"",(INDEX(RECORD!$E$7:$EP$7,ROWS(RECORD!$E$7:F32))))</x:f>
        <x:v>#REF!</x:v>
      </x:c>
      <x:c r="C47" s="34" t="e">
        <x:f t="array" ref="C47">IF((INDEX(RECORD!$E$11:$EP$11,ROWS(RECORD!$E$11:F36)))=0,"",(INDEX(RECORD!$E$11:$EP$11,ROWS(RECORD!$E$11:F36))))</x:f>
        <x:v>#REF!</x:v>
      </x:c>
      <x:c r="D47" s="34" t="e">
        <x:f t="array" ref="D47">IF(INDEX(RECORD!$E$12:$EP$12,ROWS(RECORD!$E$12:F37))=0,"",(INDEX(RECORD!$E$12:$EP$12,ROWS(RECORD!$E$12:F37))))</x:f>
        <x:v>#REF!</x:v>
      </x:c>
      <x:c r="E47" s="34" t="e">
        <x:f t="array" ref="E47">IF(INDEX(RECORD!$E$13:$EP$13,ROWS(RECORD!$E$13:F38))=0,"",(INDEX(RECORD!$E$13:$EP$13,ROWS(RECORD!$E$13:F38))))</x:f>
        <x:v>#REF!</x:v>
      </x:c>
    </x:row>
    <x:row r="48">
      <x:c r="A48" s="32">
        <x:v>27</x:v>
      </x:c>
      <x:c r="B48" s="33" t="e">
        <x:f t="array" ref="B48">IF(INDEX(RECORD!$E$7:$EP$7,ROWS(RECORD!$E$7:F33))=0,"",(INDEX(RECORD!$E$7:$EP$7,ROWS(RECORD!$E$7:F33))))</x:f>
        <x:v>#REF!</x:v>
      </x:c>
      <x:c r="C48" s="34" t="e">
        <x:f t="array" ref="C48">IF((INDEX(RECORD!$E$11:$EP$11,ROWS(RECORD!$E$11:F37)))=0,"",(INDEX(RECORD!$E$11:$EP$11,ROWS(RECORD!$E$11:F37))))</x:f>
        <x:v>#REF!</x:v>
      </x:c>
      <x:c r="D48" s="34" t="e">
        <x:f t="array" ref="D48">IF(INDEX(RECORD!$E$12:$EP$12,ROWS(RECORD!$E$12:F38))=0,"",(INDEX(RECORD!$E$12:$EP$12,ROWS(RECORD!$E$12:F38))))</x:f>
        <x:v>#REF!</x:v>
      </x:c>
      <x:c r="E48" s="34" t="e">
        <x:f t="array" ref="E48">IF(INDEX(RECORD!$E$13:$EP$13,ROWS(RECORD!$E$13:F39))=0,"",(INDEX(RECORD!$E$13:$EP$13,ROWS(RECORD!$E$13:F39))))</x:f>
        <x:v>#REF!</x:v>
      </x:c>
    </x:row>
    <x:row r="49">
      <x:c r="A49" s="32">
        <x:v>28</x:v>
      </x:c>
      <x:c r="B49" s="33" t="e">
        <x:f t="array" ref="B49">IF(INDEX(RECORD!$E$7:$EP$7,ROWS(RECORD!$E$7:F34))=0,"",(INDEX(RECORD!$E$7:$EP$7,ROWS(RECORD!$E$7:F34))))</x:f>
        <x:v>#REF!</x:v>
      </x:c>
      <x:c r="C49" s="34" t="e">
        <x:f t="array" ref="C49">IF((INDEX(RECORD!$E$11:$EP$11,ROWS(RECORD!$E$11:F38)))=0,"",(INDEX(RECORD!$E$11:$EP$11,ROWS(RECORD!$E$11:F38))))</x:f>
        <x:v>#REF!</x:v>
      </x:c>
      <x:c r="D49" s="34" t="e">
        <x:f t="array" ref="D49">IF(INDEX(RECORD!$E$12:$EP$12,ROWS(RECORD!$E$12:F39))=0,"",(INDEX(RECORD!$E$12:$EP$12,ROWS(RECORD!$E$12:F39))))</x:f>
        <x:v>#REF!</x:v>
      </x:c>
      <x:c r="E49" s="34" t="e">
        <x:f t="array" ref="E49">IF(INDEX(RECORD!$E$13:$EP$13,ROWS(RECORD!$E$13:F40))=0,"",(INDEX(RECORD!$E$13:$EP$13,ROWS(RECORD!$E$13:F40))))</x:f>
        <x:v>#REF!</x:v>
      </x:c>
    </x:row>
    <x:row r="50">
      <x:c r="A50" s="32">
        <x:v>29</x:v>
      </x:c>
      <x:c r="B50" s="33" t="e">
        <x:f t="array" ref="B50">IF(INDEX(RECORD!$E$7:$EP$7,ROWS(RECORD!$E$7:F35))=0,"",(INDEX(RECORD!$E$7:$EP$7,ROWS(RECORD!$E$7:F35))))</x:f>
        <x:v>#REF!</x:v>
      </x:c>
      <x:c r="C50" s="34" t="e">
        <x:f t="array" ref="C50">IF((INDEX(RECORD!$E$11:$EP$11,ROWS(RECORD!$E$11:F39)))=0,"",(INDEX(RECORD!$E$11:$EP$11,ROWS(RECORD!$E$11:F39))))</x:f>
        <x:v>#REF!</x:v>
      </x:c>
      <x:c r="D50" s="34" t="e">
        <x:f t="array" ref="D50">IF(INDEX(RECORD!$E$12:$EP$12,ROWS(RECORD!$E$12:F40))=0,"",(INDEX(RECORD!$E$12:$EP$12,ROWS(RECORD!$E$12:F40))))</x:f>
        <x:v>#REF!</x:v>
      </x:c>
      <x:c r="E50" s="34" t="e">
        <x:f t="array" ref="E50">IF(INDEX(RECORD!$E$13:$EP$13,ROWS(RECORD!$E$13:F41))=0,"",(INDEX(RECORD!$E$13:$EP$13,ROWS(RECORD!$E$13:F41))))</x:f>
        <x:v>#REF!</x:v>
      </x:c>
    </x:row>
    <x:row r="51">
      <x:c r="A51" s="32">
        <x:v>30</x:v>
      </x:c>
      <x:c r="B51" s="33" t="e">
        <x:f t="array" ref="B51">IF(INDEX(RECORD!$E$7:$EP$7,ROWS(RECORD!$E$7:F36))=0,"",(INDEX(RECORD!$E$7:$EP$7,ROWS(RECORD!$E$7:F36))))</x:f>
        <x:v>#REF!</x:v>
      </x:c>
      <x:c r="C51" s="34" t="e">
        <x:f t="array" ref="C51">IF((INDEX(RECORD!$E$11:$EP$11,ROWS(RECORD!$E$11:F40)))=0,"",(INDEX(RECORD!$E$11:$EP$11,ROWS(RECORD!$E$11:F40))))</x:f>
        <x:v>#REF!</x:v>
      </x:c>
      <x:c r="D51" s="34" t="e">
        <x:f t="array" ref="D51">IF(INDEX(RECORD!$E$12:$EP$12,ROWS(RECORD!$E$12:F41))=0,"",(INDEX(RECORD!$E$12:$EP$12,ROWS(RECORD!$E$12:F41))))</x:f>
        <x:v>#REF!</x:v>
      </x:c>
      <x:c r="E51" s="34" t="e">
        <x:f t="array" ref="E51">IF(INDEX(RECORD!$E$13:$EP$13,ROWS(RECORD!$E$13:F42))=0,"",(INDEX(RECORD!$E$13:$EP$13,ROWS(RECORD!$E$13:F42))))</x:f>
        <x:v>#REF!</x:v>
      </x:c>
    </x:row>
    <x:row r="52">
      <x:c r="A52" s="32">
        <x:v>31</x:v>
      </x:c>
      <x:c r="B52" s="33" t="e">
        <x:f t="array" ref="B52">IF(INDEX(RECORD!$E$7:$EP$7,ROWS(RECORD!$E$7:F37))=0,"",(INDEX(RECORD!$E$7:$EP$7,ROWS(RECORD!$E$7:F37))))</x:f>
        <x:v>#REF!</x:v>
      </x:c>
      <x:c r="C52" s="34" t="e">
        <x:f t="array" ref="C52">IF((INDEX(RECORD!$E$11:$EP$11,ROWS(RECORD!$E$11:F41)))=0,"",(INDEX(RECORD!$E$11:$EP$11,ROWS(RECORD!$E$11:F41))))</x:f>
        <x:v>#REF!</x:v>
      </x:c>
      <x:c r="D52" s="34" t="e">
        <x:f t="array" ref="D52">IF(INDEX(RECORD!$E$12:$EP$12,ROWS(RECORD!$E$12:F42))=0,"",(INDEX(RECORD!$E$12:$EP$12,ROWS(RECORD!$E$12:F42))))</x:f>
        <x:v>#REF!</x:v>
      </x:c>
      <x:c r="E52" s="34" t="e">
        <x:f t="array" ref="E52">IF(INDEX(RECORD!$E$13:$EP$13,ROWS(RECORD!$E$13:F43))=0,"",(INDEX(RECORD!$E$13:$EP$13,ROWS(RECORD!$E$13:F43))))</x:f>
        <x:v>#REF!</x:v>
      </x:c>
    </x:row>
    <x:row r="53">
      <x:c r="A53" s="32">
        <x:v>32</x:v>
      </x:c>
      <x:c r="B53" s="33" t="e">
        <x:f t="array" ref="B53">IF(INDEX(RECORD!$E$7:$EP$7,ROWS(RECORD!$E$7:F38))=0,"",(INDEX(RECORD!$E$7:$EP$7,ROWS(RECORD!$E$7:F38))))</x:f>
        <x:v>#REF!</x:v>
      </x:c>
      <x:c r="C53" s="34" t="e">
        <x:f t="array" ref="C53">IF((INDEX(RECORD!$E$11:$EP$11,ROWS(RECORD!$E$11:F42)))=0,"",(INDEX(RECORD!$E$11:$EP$11,ROWS(RECORD!$E$11:F42))))</x:f>
        <x:v>#REF!</x:v>
      </x:c>
      <x:c r="D53" s="34" t="e">
        <x:f t="array" ref="D53">IF(INDEX(RECORD!$E$12:$EP$12,ROWS(RECORD!$E$12:F43))=0,"",(INDEX(RECORD!$E$12:$EP$12,ROWS(RECORD!$E$12:F43))))</x:f>
        <x:v>#REF!</x:v>
      </x:c>
      <x:c r="E53" s="34" t="e">
        <x:f t="array" ref="E53">IF(INDEX(RECORD!$E$13:$EP$13,ROWS(RECORD!$E$13:F44))=0,"",(INDEX(RECORD!$E$13:$EP$13,ROWS(RECORD!$E$13:F44))))</x:f>
        <x:v>#REF!</x:v>
      </x:c>
    </x:row>
    <x:row r="54">
      <x:c r="A54" s="32">
        <x:v>33</x:v>
      </x:c>
      <x:c r="B54" s="33" t="e">
        <x:f t="array" ref="B54">IF(INDEX(RECORD!$E$7:$EP$7,ROWS(RECORD!$E$7:F39))=0,"",(INDEX(RECORD!$E$7:$EP$7,ROWS(RECORD!$E$7:F39))))</x:f>
        <x:v>#REF!</x:v>
      </x:c>
      <x:c r="C54" s="34" t="e">
        <x:f t="array" ref="C54">IF((INDEX(RECORD!$E$11:$EP$11,ROWS(RECORD!$E$11:F43)))=0,"",(INDEX(RECORD!$E$11:$EP$11,ROWS(RECORD!$E$11:F43))))</x:f>
        <x:v>#REF!</x:v>
      </x:c>
      <x:c r="D54" s="34" t="e">
        <x:f t="array" ref="D54">IF(INDEX(RECORD!$E$12:$EP$12,ROWS(RECORD!$E$12:F44))=0,"",(INDEX(RECORD!$E$12:$EP$12,ROWS(RECORD!$E$12:F44))))</x:f>
        <x:v>#REF!</x:v>
      </x:c>
      <x:c r="E54" s="34" t="e">
        <x:f t="array" ref="E54">IF(INDEX(RECORD!$E$13:$EP$13,ROWS(RECORD!$E$13:F45))=0,"",(INDEX(RECORD!$E$13:$EP$13,ROWS(RECORD!$E$13:F45))))</x:f>
        <x:v>#REF!</x:v>
      </x:c>
    </x:row>
    <x:row r="55">
      <x:c r="A55" s="32">
        <x:v>34</x:v>
      </x:c>
      <x:c r="B55" s="33" t="e">
        <x:f t="array" ref="B55">IF(INDEX(RECORD!$E$7:$EP$7,ROWS(RECORD!$E$7:F40))=0,"",(INDEX(RECORD!$E$7:$EP$7,ROWS(RECORD!$E$7:F40))))</x:f>
        <x:v>#REF!</x:v>
      </x:c>
      <x:c r="C55" s="34" t="e">
        <x:f t="array" ref="C55">IF((INDEX(RECORD!$E$11:$EP$11,ROWS(RECORD!$E$11:F44)))=0,"",(INDEX(RECORD!$E$11:$EP$11,ROWS(RECORD!$E$11:F44))))</x:f>
        <x:v>#REF!</x:v>
      </x:c>
      <x:c r="D55" s="34" t="e">
        <x:f t="array" ref="D55">IF(INDEX(RECORD!$E$12:$EP$12,ROWS(RECORD!$E$12:F45))=0,"",(INDEX(RECORD!$E$12:$EP$12,ROWS(RECORD!$E$12:F45))))</x:f>
        <x:v>#REF!</x:v>
      </x:c>
      <x:c r="E55" s="34" t="e">
        <x:f t="array" ref="E55">IF(INDEX(RECORD!$E$13:$EP$13,ROWS(RECORD!$E$13:F46))=0,"",(INDEX(RECORD!$E$13:$EP$13,ROWS(RECORD!$E$13:F46))))</x:f>
        <x:v>#REF!</x:v>
      </x:c>
    </x:row>
    <x:row r="56">
      <x:c r="A56" s="32">
        <x:v>35</x:v>
      </x:c>
      <x:c r="B56" s="33" t="e">
        <x:f t="array" ref="B56">IF(INDEX(RECORD!$E$7:$EP$7,ROWS(RECORD!$E$7:F41))=0,"",(INDEX(RECORD!$E$7:$EP$7,ROWS(RECORD!$E$7:F41))))</x:f>
        <x:v>#REF!</x:v>
      </x:c>
      <x:c r="C56" s="34" t="e">
        <x:f t="array" ref="C56">IF((INDEX(RECORD!$E$11:$EP$11,ROWS(RECORD!$E$11:F45)))=0,"",(INDEX(RECORD!$E$11:$EP$11,ROWS(RECORD!$E$11:F45))))</x:f>
        <x:v>#REF!</x:v>
      </x:c>
      <x:c r="D56" s="34" t="e">
        <x:f t="array" ref="D56">IF(INDEX(RECORD!$E$12:$EP$12,ROWS(RECORD!$E$12:F46))=0,"",(INDEX(RECORD!$E$12:$EP$12,ROWS(RECORD!$E$12:F46))))</x:f>
        <x:v>#REF!</x:v>
      </x:c>
      <x:c r="E56" s="34" t="e">
        <x:f t="array" ref="E56">IF(INDEX(RECORD!$E$13:$EP$13,ROWS(RECORD!$E$13:F47))=0,"",(INDEX(RECORD!$E$13:$EP$13,ROWS(RECORD!$E$13:F47))))</x:f>
        <x:v>#REF!</x:v>
      </x:c>
    </x:row>
    <x:row r="57">
      <x:c r="A57" s="32">
        <x:v>36</x:v>
      </x:c>
      <x:c r="B57" s="33" t="e">
        <x:f t="array" ref="B57">IF(INDEX(RECORD!$E$7:$EP$7,ROWS(RECORD!$E$7:F42))=0,"",(INDEX(RECORD!$E$7:$EP$7,ROWS(RECORD!$E$7:F42))))</x:f>
        <x:v>#REF!</x:v>
      </x:c>
      <x:c r="C57" s="34" t="e">
        <x:f t="array" ref="C57">IF((INDEX(RECORD!$E$11:$EP$11,ROWS(RECORD!$E$11:F46)))=0,"",(INDEX(RECORD!$E$11:$EP$11,ROWS(RECORD!$E$11:F46))))</x:f>
        <x:v>#REF!</x:v>
      </x:c>
      <x:c r="D57" s="34" t="e">
        <x:f t="array" ref="D57">IF(INDEX(RECORD!$E$12:$EP$12,ROWS(RECORD!$E$12:F47))=0,"",(INDEX(RECORD!$E$12:$EP$12,ROWS(RECORD!$E$12:F47))))</x:f>
        <x:v>#REF!</x:v>
      </x:c>
      <x:c r="E57" s="34" t="e">
        <x:f t="array" ref="E57">IF(INDEX(RECORD!$E$13:$EP$13,ROWS(RECORD!$E$13:F48))=0,"",(INDEX(RECORD!$E$13:$EP$13,ROWS(RECORD!$E$13:F48))))</x:f>
        <x:v>#REF!</x:v>
      </x:c>
    </x:row>
    <x:row r="58">
      <x:c r="A58" s="32">
        <x:v>37</x:v>
      </x:c>
      <x:c r="B58" s="33" t="e">
        <x:f t="array" ref="B58">IF(INDEX(RECORD!$E$7:$EP$7,ROWS(RECORD!$E$7:F43))=0,"",(INDEX(RECORD!$E$7:$EP$7,ROWS(RECORD!$E$7:F43))))</x:f>
        <x:v>#REF!</x:v>
      </x:c>
      <x:c r="C58" s="34" t="e">
        <x:f t="array" ref="C58">IF((INDEX(RECORD!$E$11:$EP$11,ROWS(RECORD!$E$11:F47)))=0,"",(INDEX(RECORD!$E$11:$EP$11,ROWS(RECORD!$E$11:F47))))</x:f>
        <x:v>#REF!</x:v>
      </x:c>
      <x:c r="D58" s="34" t="e">
        <x:f t="array" ref="D58">IF(INDEX(RECORD!$E$12:$EP$12,ROWS(RECORD!$E$12:F48))=0,"",(INDEX(RECORD!$E$12:$EP$12,ROWS(RECORD!$E$12:F48))))</x:f>
        <x:v>#REF!</x:v>
      </x:c>
      <x:c r="E58" s="34" t="e">
        <x:f t="array" ref="E58">IF(INDEX(RECORD!$E$13:$EP$13,ROWS(RECORD!$E$13:F49))=0,"",(INDEX(RECORD!$E$13:$EP$13,ROWS(RECORD!$E$13:F49))))</x:f>
        <x:v>#REF!</x:v>
      </x:c>
    </x:row>
    <x:row r="59">
      <x:c r="A59" s="32">
        <x:v>38</x:v>
      </x:c>
      <x:c r="B59" s="33" t="e">
        <x:f t="array" ref="B59">IF(INDEX(RECORD!$E$7:$EP$7,ROWS(RECORD!$E$7:F44))=0,"",(INDEX(RECORD!$E$7:$EP$7,ROWS(RECORD!$E$7:F44))))</x:f>
        <x:v>#REF!</x:v>
      </x:c>
      <x:c r="C59" s="34" t="e">
        <x:f t="array" ref="C59">IF((INDEX(RECORD!$E$11:$EP$11,ROWS(RECORD!$E$11:F48)))=0,"",(INDEX(RECORD!$E$11:$EP$11,ROWS(RECORD!$E$11:F48))))</x:f>
        <x:v>#REF!</x:v>
      </x:c>
      <x:c r="D59" s="34" t="e">
        <x:f t="array" ref="D59">IF(INDEX(RECORD!$E$12:$EP$12,ROWS(RECORD!$E$12:F49))=0,"",(INDEX(RECORD!$E$12:$EP$12,ROWS(RECORD!$E$12:F49))))</x:f>
        <x:v>#REF!</x:v>
      </x:c>
      <x:c r="E59" s="34" t="e">
        <x:f t="array" ref="E59">IF(INDEX(RECORD!$E$13:$EP$13,ROWS(RECORD!$E$13:F50))=0,"",(INDEX(RECORD!$E$13:$EP$13,ROWS(RECORD!$E$13:F50))))</x:f>
        <x:v>#REF!</x:v>
      </x:c>
    </x:row>
    <x:row r="60">
      <x:c r="A60" s="32">
        <x:v>39</x:v>
      </x:c>
      <x:c r="B60" s="33" t="e">
        <x:f t="array" ref="B60">IF(INDEX(RECORD!$E$7:$EP$7,ROWS(RECORD!$E$7:F45))=0,"",(INDEX(RECORD!$E$7:$EP$7,ROWS(RECORD!$E$7:F45))))</x:f>
        <x:v>#REF!</x:v>
      </x:c>
      <x:c r="C60" s="34" t="e">
        <x:f t="array" ref="C60">IF((INDEX(RECORD!$E$11:$EP$11,ROWS(RECORD!$E$11:F49)))=0,"",(INDEX(RECORD!$E$11:$EP$11,ROWS(RECORD!$E$11:F49))))</x:f>
        <x:v>#REF!</x:v>
      </x:c>
      <x:c r="D60" s="34" t="e">
        <x:f t="array" ref="D60">IF(INDEX(RECORD!$E$12:$EP$12,ROWS(RECORD!$E$12:F50))=0,"",(INDEX(RECORD!$E$12:$EP$12,ROWS(RECORD!$E$12:F50))))</x:f>
        <x:v>#REF!</x:v>
      </x:c>
      <x:c r="E60" s="34" t="e">
        <x:f t="array" ref="E60">IF(INDEX(RECORD!$E$13:$EP$13,ROWS(RECORD!$E$13:F51))=0,"",(INDEX(RECORD!$E$13:$EP$13,ROWS(RECORD!$E$13:F51))))</x:f>
        <x:v>#REF!</x:v>
      </x:c>
    </x:row>
    <x:row r="61">
      <x:c r="A61" s="32">
        <x:v>40</x:v>
      </x:c>
      <x:c r="B61" s="33" t="e">
        <x:f t="array" ref="B61">IF(INDEX(RECORD!$E$7:$EP$7,ROWS(RECORD!$E$7:F46))=0,"",(INDEX(RECORD!$E$7:$EP$7,ROWS(RECORD!$E$7:F46))))</x:f>
        <x:v>#REF!</x:v>
      </x:c>
      <x:c r="C61" s="34" t="e">
        <x:f t="array" ref="C61">IF((INDEX(RECORD!$E$11:$EP$11,ROWS(RECORD!$E$11:F50)))=0,"",(INDEX(RECORD!$E$11:$EP$11,ROWS(RECORD!$E$11:F50))))</x:f>
        <x:v>#REF!</x:v>
      </x:c>
      <x:c r="D61" s="34" t="e">
        <x:f t="array" ref="D61">IF(INDEX(RECORD!$E$12:$EP$12,ROWS(RECORD!$E$12:F51))=0,"",(INDEX(RECORD!$E$12:$EP$12,ROWS(RECORD!$E$12:F51))))</x:f>
        <x:v>#REF!</x:v>
      </x:c>
      <x:c r="E61" s="34" t="e">
        <x:f t="array" ref="E61">IF(INDEX(RECORD!$E$13:$EP$13,ROWS(RECORD!$E$13:F52))=0,"",(INDEX(RECORD!$E$13:$EP$13,ROWS(RECORD!$E$13:F52))))</x:f>
        <x:v>#REF!</x:v>
      </x:c>
    </x:row>
    <x:row r="62">
      <x:c r="A62" s="32">
        <x:v>41</x:v>
      </x:c>
      <x:c r="B62" s="33" t="e">
        <x:f t="array" ref="B62">IF(INDEX(RECORD!$E$7:$EP$7,ROWS(RECORD!$E$7:F47))=0,"",(INDEX(RECORD!$E$7:$EP$7,ROWS(RECORD!$E$7:F47))))</x:f>
        <x:v>#REF!</x:v>
      </x:c>
      <x:c r="C62" s="34" t="e">
        <x:f t="array" ref="C62">IF((INDEX(RECORD!$E$11:$EP$11,ROWS(RECORD!$E$11:F51)))=0,"",(INDEX(RECORD!$E$11:$EP$11,ROWS(RECORD!$E$11:F51))))</x:f>
        <x:v>#REF!</x:v>
      </x:c>
      <x:c r="D62" s="34" t="e">
        <x:f t="array" ref="D62">IF(INDEX(RECORD!$E$12:$EP$12,ROWS(RECORD!$E$12:F52))=0,"",(INDEX(RECORD!$E$12:$EP$12,ROWS(RECORD!$E$12:F52))))</x:f>
        <x:v>#REF!</x:v>
      </x:c>
      <x:c r="E62" s="34" t="e">
        <x:f t="array" ref="E62">IF(INDEX(RECORD!$E$13:$EP$13,ROWS(RECORD!$E$13:F53))=0,"",(INDEX(RECORD!$E$13:$EP$13,ROWS(RECORD!$E$13:F53))))</x:f>
        <x:v>#REF!</x:v>
      </x:c>
    </x:row>
    <x:row r="63">
      <x:c r="A63" s="32">
        <x:v>42</x:v>
      </x:c>
      <x:c r="B63" s="33" t="e">
        <x:f t="array" ref="B63">IF(INDEX(RECORD!$E$7:$EP$7,ROWS(RECORD!$E$7:F48))=0,"",(INDEX(RECORD!$E$7:$EP$7,ROWS(RECORD!$E$7:F48))))</x:f>
        <x:v>#REF!</x:v>
      </x:c>
      <x:c r="C63" s="34" t="e">
        <x:f t="array" ref="C63">IF((INDEX(RECORD!$E$11:$EP$11,ROWS(RECORD!$E$11:F52)))=0,"",(INDEX(RECORD!$E$11:$EP$11,ROWS(RECORD!$E$11:F52))))</x:f>
        <x:v>#REF!</x:v>
      </x:c>
      <x:c r="D63" s="34" t="e">
        <x:f t="array" ref="D63">IF(INDEX(RECORD!$E$12:$EP$12,ROWS(RECORD!$E$12:F53))=0,"",(INDEX(RECORD!$E$12:$EP$12,ROWS(RECORD!$E$12:F53))))</x:f>
        <x:v>#REF!</x:v>
      </x:c>
      <x:c r="E63" s="34" t="e">
        <x:f t="array" ref="E63">IF(INDEX(RECORD!$E$13:$EP$13,ROWS(RECORD!$E$13:F54))=0,"",(INDEX(RECORD!$E$13:$EP$13,ROWS(RECORD!$E$13:F54))))</x:f>
        <x:v>#REF!</x:v>
      </x:c>
    </x:row>
    <x:row r="64">
      <x:c r="A64" s="32">
        <x:v>43</x:v>
      </x:c>
      <x:c r="B64" s="33" t="e">
        <x:f t="array" ref="B64">IF(INDEX(RECORD!$E$7:$EP$7,ROWS(RECORD!$E$7:F49))=0,"",(INDEX(RECORD!$E$7:$EP$7,ROWS(RECORD!$E$7:F49))))</x:f>
        <x:v>#REF!</x:v>
      </x:c>
      <x:c r="C64" s="34" t="e">
        <x:f t="array" ref="C64">IF((INDEX(RECORD!$E$11:$EP$11,ROWS(RECORD!$E$11:F53)))=0,"",(INDEX(RECORD!$E$11:$EP$11,ROWS(RECORD!$E$11:F53))))</x:f>
        <x:v>#REF!</x:v>
      </x:c>
      <x:c r="D64" s="34" t="e">
        <x:f t="array" ref="D64">IF(INDEX(RECORD!$E$12:$EP$12,ROWS(RECORD!$E$12:F54))=0,"",(INDEX(RECORD!$E$12:$EP$12,ROWS(RECORD!$E$12:F54))))</x:f>
        <x:v>#REF!</x:v>
      </x:c>
      <x:c r="E64" s="34" t="e">
        <x:f t="array" ref="E64">IF(INDEX(RECORD!$E$13:$EP$13,ROWS(RECORD!$E$13:F55))=0,"",(INDEX(RECORD!$E$13:$EP$13,ROWS(RECORD!$E$13:F55))))</x:f>
        <x:v>#REF!</x:v>
      </x:c>
    </x:row>
    <x:row r="65">
      <x:c r="A65" s="32">
        <x:v>44</x:v>
      </x:c>
      <x:c r="B65" s="33" t="e">
        <x:f t="array" ref="B65">IF(INDEX(RECORD!$E$7:$EP$7,ROWS(RECORD!$E$7:F50))=0,"",(INDEX(RECORD!$E$7:$EP$7,ROWS(RECORD!$E$7:F50))))</x:f>
        <x:v>#REF!</x:v>
      </x:c>
      <x:c r="C65" s="34" t="e">
        <x:f t="array" ref="C65">IF((INDEX(RECORD!$E$11:$EP$11,ROWS(RECORD!$E$11:F54)))=0,"",(INDEX(RECORD!$E$11:$EP$11,ROWS(RECORD!$E$11:F54))))</x:f>
        <x:v>#REF!</x:v>
      </x:c>
      <x:c r="D65" s="34" t="e">
        <x:f t="array" ref="D65">IF(INDEX(RECORD!$E$12:$EP$12,ROWS(RECORD!$E$12:F55))=0,"",(INDEX(RECORD!$E$12:$EP$12,ROWS(RECORD!$E$12:F55))))</x:f>
        <x:v>#REF!</x:v>
      </x:c>
      <x:c r="E65" s="34" t="e">
        <x:f t="array" ref="E65">IF(INDEX(RECORD!$E$13:$EP$13,ROWS(RECORD!$E$13:F56))=0,"",(INDEX(RECORD!$E$13:$EP$13,ROWS(RECORD!$E$13:F56))))</x:f>
        <x:v>#REF!</x:v>
      </x:c>
    </x:row>
    <x:row r="66">
      <x:c r="A66" s="32">
        <x:v>45</x:v>
      </x:c>
      <x:c r="B66" s="33" t="e">
        <x:f t="array" ref="B66">IF(INDEX(RECORD!$E$7:$EP$7,ROWS(RECORD!$E$7:F51))=0,"",(INDEX(RECORD!$E$7:$EP$7,ROWS(RECORD!$E$7:F51))))</x:f>
        <x:v>#REF!</x:v>
      </x:c>
      <x:c r="C66" s="34" t="e">
        <x:f t="array" ref="C66">IF((INDEX(RECORD!$E$11:$EP$11,ROWS(RECORD!$E$11:F55)))=0,"",(INDEX(RECORD!$E$11:$EP$11,ROWS(RECORD!$E$11:F55))))</x:f>
        <x:v>#REF!</x:v>
      </x:c>
      <x:c r="D66" s="34" t="e">
        <x:f t="array" ref="D66">IF(INDEX(RECORD!$E$12:$EP$12,ROWS(RECORD!$E$12:F56))=0,"",(INDEX(RECORD!$E$12:$EP$12,ROWS(RECORD!$E$12:F56))))</x:f>
        <x:v>#REF!</x:v>
      </x:c>
      <x:c r="E66" s="34" t="e">
        <x:f t="array" ref="E66">IF(INDEX(RECORD!$E$13:$EP$13,ROWS(RECORD!$E$13:F57))=0,"",(INDEX(RECORD!$E$13:$EP$13,ROWS(RECORD!$E$13:F57))))</x:f>
        <x:v>#REF!</x:v>
      </x:c>
    </x:row>
    <x:row r="67">
      <x:c r="A67" s="32">
        <x:v>46</x:v>
      </x:c>
      <x:c r="B67" s="33" t="e">
        <x:f t="array" ref="B67">IF(INDEX(RECORD!$E$7:$EP$7,ROWS(RECORD!$E$7:F52))=0,"",(INDEX(RECORD!$E$7:$EP$7,ROWS(RECORD!$E$7:F52))))</x:f>
        <x:v>#REF!</x:v>
      </x:c>
      <x:c r="C67" s="34" t="e">
        <x:f t="array" ref="C67">IF((INDEX(RECORD!$E$11:$EP$11,ROWS(RECORD!$E$11:F56)))=0,"",(INDEX(RECORD!$E$11:$EP$11,ROWS(RECORD!$E$11:F56))))</x:f>
        <x:v>#REF!</x:v>
      </x:c>
      <x:c r="D67" s="34" t="e">
        <x:f t="array" ref="D67">IF(INDEX(RECORD!$E$12:$EP$12,ROWS(RECORD!$E$12:F57))=0,"",(INDEX(RECORD!$E$12:$EP$12,ROWS(RECORD!$E$12:F57))))</x:f>
        <x:v>#REF!</x:v>
      </x:c>
      <x:c r="E67" s="34" t="e">
        <x:f t="array" ref="E67">IF(INDEX(RECORD!$E$13:$EP$13,ROWS(RECORD!$E$13:F58))=0,"",(INDEX(RECORD!$E$13:$EP$13,ROWS(RECORD!$E$13:F58))))</x:f>
        <x:v>#REF!</x:v>
      </x:c>
    </x:row>
    <x:row r="68">
      <x:c r="A68" s="32">
        <x:v>47</x:v>
      </x:c>
      <x:c r="B68" s="33" t="e">
        <x:f t="array" ref="B68">IF(INDEX(RECORD!$E$7:$EP$7,ROWS(RECORD!$E$7:F53))=0,"",(INDEX(RECORD!$E$7:$EP$7,ROWS(RECORD!$E$7:F53))))</x:f>
        <x:v>#REF!</x:v>
      </x:c>
      <x:c r="C68" s="34" t="e">
        <x:f t="array" ref="C68">IF((INDEX(RECORD!$E$11:$EP$11,ROWS(RECORD!$E$11:F57)))=0,"",(INDEX(RECORD!$E$11:$EP$11,ROWS(RECORD!$E$11:F57))))</x:f>
        <x:v>#REF!</x:v>
      </x:c>
      <x:c r="D68" s="34" t="e">
        <x:f t="array" ref="D68">IF(INDEX(RECORD!$E$12:$EP$12,ROWS(RECORD!$E$12:F58))=0,"",(INDEX(RECORD!$E$12:$EP$12,ROWS(RECORD!$E$12:F58))))</x:f>
        <x:v>#REF!</x:v>
      </x:c>
      <x:c r="E68" s="34" t="e">
        <x:f t="array" ref="E68">IF(INDEX(RECORD!$E$13:$EP$13,ROWS(RECORD!$E$13:F59))=0,"",(INDEX(RECORD!$E$13:$EP$13,ROWS(RECORD!$E$13:F59))))</x:f>
        <x:v>#REF!</x:v>
      </x:c>
    </x:row>
    <x:row r="69">
      <x:c r="A69" s="32">
        <x:v>48</x:v>
      </x:c>
      <x:c r="B69" s="33" t="e">
        <x:f t="array" ref="B69">IF(INDEX(RECORD!$E$7:$EP$7,ROWS(RECORD!$E$7:F54))=0,"",(INDEX(RECORD!$E$7:$EP$7,ROWS(RECORD!$E$7:F54))))</x:f>
        <x:v>#REF!</x:v>
      </x:c>
      <x:c r="C69" s="34" t="e">
        <x:f t="array" ref="C69">IF((INDEX(RECORD!$E$11:$EP$11,ROWS(RECORD!$E$11:F58)))=0,"",(INDEX(RECORD!$E$11:$EP$11,ROWS(RECORD!$E$11:F58))))</x:f>
        <x:v>#REF!</x:v>
      </x:c>
      <x:c r="D69" s="34" t="e">
        <x:f t="array" ref="D69">IF(INDEX(RECORD!$E$12:$EP$12,ROWS(RECORD!$E$12:F59))=0,"",(INDEX(RECORD!$E$12:$EP$12,ROWS(RECORD!$E$12:F59))))</x:f>
        <x:v>#REF!</x:v>
      </x:c>
      <x:c r="E69" s="34" t="e">
        <x:f t="array" ref="E69">IF(INDEX(RECORD!$E$13:$EP$13,ROWS(RECORD!$E$13:F60))=0,"",(INDEX(RECORD!$E$13:$EP$13,ROWS(RECORD!$E$13:F60))))</x:f>
        <x:v>#REF!</x:v>
      </x:c>
    </x:row>
    <x:row r="70">
      <x:c r="A70" s="32">
        <x:v>49</x:v>
      </x:c>
      <x:c r="B70" s="33" t="e">
        <x:f t="array" ref="B70">IF(INDEX(RECORD!$E$7:$EP$7,ROWS(RECORD!$E$7:F55))=0,"",(INDEX(RECORD!$E$7:$EP$7,ROWS(RECORD!$E$7:F55))))</x:f>
        <x:v>#REF!</x:v>
      </x:c>
      <x:c r="C70" s="34" t="e">
        <x:f t="array" ref="C70">IF((INDEX(RECORD!$E$11:$EP$11,ROWS(RECORD!$E$11:F59)))=0,"",(INDEX(RECORD!$E$11:$EP$11,ROWS(RECORD!$E$11:F59))))</x:f>
        <x:v>#REF!</x:v>
      </x:c>
      <x:c r="D70" s="34" t="e">
        <x:f t="array" ref="D70">IF(INDEX(RECORD!$E$12:$EP$12,ROWS(RECORD!$E$12:F60))=0,"",(INDEX(RECORD!$E$12:$EP$12,ROWS(RECORD!$E$12:F60))))</x:f>
        <x:v>#REF!</x:v>
      </x:c>
      <x:c r="E70" s="34" t="e">
        <x:f t="array" ref="E70">IF(INDEX(RECORD!$E$13:$EP$13,ROWS(RECORD!$E$13:F61))=0,"",(INDEX(RECORD!$E$13:$EP$13,ROWS(RECORD!$E$13:F61))))</x:f>
        <x:v>#REF!</x:v>
      </x:c>
    </x:row>
    <x:row r="71">
      <x:c r="A71" s="32">
        <x:v>50</x:v>
      </x:c>
      <x:c r="B71" s="33" t="e">
        <x:f t="array" ref="B71">IF(INDEX(RECORD!$E$7:$EP$7,ROWS(RECORD!$E$7:F56))=0,"",(INDEX(RECORD!$E$7:$EP$7,ROWS(RECORD!$E$7:F56))))</x:f>
        <x:v>#REF!</x:v>
      </x:c>
      <x:c r="C71" s="34" t="e">
        <x:f t="array" ref="C71">IF((INDEX(RECORD!$E$11:$EP$11,ROWS(RECORD!$E$11:F60)))=0,"",(INDEX(RECORD!$E$11:$EP$11,ROWS(RECORD!$E$11:F60))))</x:f>
        <x:v>#REF!</x:v>
      </x:c>
      <x:c r="D71" s="34" t="e">
        <x:f t="array" ref="D71">IF(INDEX(RECORD!$E$12:$EP$12,ROWS(RECORD!$E$12:F61))=0,"",(INDEX(RECORD!$E$12:$EP$12,ROWS(RECORD!$E$12:F61))))</x:f>
        <x:v>#REF!</x:v>
      </x:c>
      <x:c r="E71" s="34" t="e">
        <x:f t="array" ref="E71">IF(INDEX(RECORD!$E$13:$EP$13,ROWS(RECORD!$E$13:F62))=0,"",(INDEX(RECORD!$E$13:$EP$13,ROWS(RECORD!$E$13:F62))))</x:f>
        <x:v>#REF!</x:v>
      </x:c>
    </x:row>
    <x:row r="72">
      <x:c r="A72" s="32">
        <x:v>51</x:v>
      </x:c>
      <x:c r="B72" s="33" t="e">
        <x:f t="array" ref="B72">IF(INDEX(RECORD!$E$7:$EP$7,ROWS(RECORD!$E$7:F57))=0,"",(INDEX(RECORD!$E$7:$EP$7,ROWS(RECORD!$E$7:F57))))</x:f>
        <x:v>#REF!</x:v>
      </x:c>
      <x:c r="C72" s="34" t="e">
        <x:f t="array" ref="C72">IF((INDEX(RECORD!$E$11:$EP$11,ROWS(RECORD!$E$11:F61)))=0,"",(INDEX(RECORD!$E$11:$EP$11,ROWS(RECORD!$E$11:F61))))</x:f>
        <x:v>#REF!</x:v>
      </x:c>
      <x:c r="D72" s="34" t="e">
        <x:f t="array" ref="D72">IF(INDEX(RECORD!$E$12:$EP$12,ROWS(RECORD!$E$12:F62))=0,"",(INDEX(RECORD!$E$12:$EP$12,ROWS(RECORD!$E$12:F62))))</x:f>
        <x:v>#REF!</x:v>
      </x:c>
      <x:c r="E72" s="34" t="e">
        <x:f t="array" ref="E72">IF(INDEX(RECORD!$E$13:$EP$13,ROWS(RECORD!$E$13:F63))=0,"",(INDEX(RECORD!$E$13:$EP$13,ROWS(RECORD!$E$13:F63))))</x:f>
        <x:v>#REF!</x:v>
      </x:c>
    </x:row>
    <x:row r="73">
      <x:c r="A73" s="32">
        <x:v>52</x:v>
      </x:c>
      <x:c r="B73" s="33" t="e">
        <x:f t="array" ref="B73">IF(INDEX(RECORD!$E$7:$EP$7,ROWS(RECORD!$E$7:F58))=0,"",(INDEX(RECORD!$E$7:$EP$7,ROWS(RECORD!$E$7:F58))))</x:f>
        <x:v>#REF!</x:v>
      </x:c>
      <x:c r="C73" s="34" t="e">
        <x:f t="array" ref="C73">IF((INDEX(RECORD!$E$11:$EP$11,ROWS(RECORD!$E$11:F62)))=0,"",(INDEX(RECORD!$E$11:$EP$11,ROWS(RECORD!$E$11:F62))))</x:f>
        <x:v>#REF!</x:v>
      </x:c>
      <x:c r="D73" s="34" t="e">
        <x:f t="array" ref="D73">IF(INDEX(RECORD!$E$12:$EP$12,ROWS(RECORD!$E$12:F63))=0,"",(INDEX(RECORD!$E$12:$EP$12,ROWS(RECORD!$E$12:F63))))</x:f>
        <x:v>#REF!</x:v>
      </x:c>
      <x:c r="E73" s="34" t="e">
        <x:f t="array" ref="E73">IF(INDEX(RECORD!$E$13:$EP$13,ROWS(RECORD!$E$13:F64))=0,"",(INDEX(RECORD!$E$13:$EP$13,ROWS(RECORD!$E$13:F64))))</x:f>
        <x:v>#REF!</x:v>
      </x:c>
    </x:row>
    <x:row r="74">
      <x:c r="A74" s="32">
        <x:v>53</x:v>
      </x:c>
      <x:c r="B74" s="33" t="e">
        <x:f t="array" ref="B74">IF(INDEX(RECORD!$E$7:$EP$7,ROWS(RECORD!$E$7:F59))=0,"",(INDEX(RECORD!$E$7:$EP$7,ROWS(RECORD!$E$7:F59))))</x:f>
        <x:v>#REF!</x:v>
      </x:c>
      <x:c r="C74" s="34" t="e">
        <x:f t="array" ref="C74">IF((INDEX(RECORD!$E$11:$EP$11,ROWS(RECORD!$E$11:F63)))=0,"",(INDEX(RECORD!$E$11:$EP$11,ROWS(RECORD!$E$11:F63))))</x:f>
        <x:v>#REF!</x:v>
      </x:c>
      <x:c r="D74" s="34" t="e">
        <x:f t="array" ref="D74">IF(INDEX(RECORD!$E$12:$EP$12,ROWS(RECORD!$E$12:F64))=0,"",(INDEX(RECORD!$E$12:$EP$12,ROWS(RECORD!$E$12:F64))))</x:f>
        <x:v>#REF!</x:v>
      </x:c>
      <x:c r="E74" s="34" t="e">
        <x:f t="array" ref="E74">IF(INDEX(RECORD!$E$13:$EP$13,ROWS(RECORD!$E$13:F65))=0,"",(INDEX(RECORD!$E$13:$EP$13,ROWS(RECORD!$E$13:F65))))</x:f>
        <x:v>#REF!</x:v>
      </x:c>
    </x:row>
    <x:row r="75">
      <x:c r="A75" s="32">
        <x:v>54</x:v>
      </x:c>
      <x:c r="B75" s="33" t="e">
        <x:f t="array" ref="B75">IF(INDEX(RECORD!$E$7:$EP$7,ROWS(RECORD!$E$7:F60))=0,"",(INDEX(RECORD!$E$7:$EP$7,ROWS(RECORD!$E$7:F60))))</x:f>
        <x:v>#REF!</x:v>
      </x:c>
      <x:c r="C75" s="34" t="e">
        <x:f t="array" ref="C75">IF((INDEX(RECORD!$E$11:$EP$11,ROWS(RECORD!$E$11:F64)))=0,"",(INDEX(RECORD!$E$11:$EP$11,ROWS(RECORD!$E$11:F64))))</x:f>
        <x:v>#REF!</x:v>
      </x:c>
      <x:c r="D75" s="34" t="e">
        <x:f t="array" ref="D75">IF(INDEX(RECORD!$E$12:$EP$12,ROWS(RECORD!$E$12:F65))=0,"",(INDEX(RECORD!$E$12:$EP$12,ROWS(RECORD!$E$12:F65))))</x:f>
        <x:v>#REF!</x:v>
      </x:c>
      <x:c r="E75" s="34" t="e">
        <x:f t="array" ref="E75">IF(INDEX(RECORD!$E$13:$EP$13,ROWS(RECORD!$E$13:F66))=0,"",(INDEX(RECORD!$E$13:$EP$13,ROWS(RECORD!$E$13:F66))))</x:f>
        <x:v>#REF!</x:v>
      </x:c>
    </x:row>
    <x:row r="76">
      <x:c r="A76" s="32">
        <x:v>55</x:v>
      </x:c>
      <x:c r="B76" s="33" t="e">
        <x:f t="array" ref="B76">IF(INDEX(RECORD!$E$7:$EP$7,ROWS(RECORD!$E$7:F61))=0,"",(INDEX(RECORD!$E$7:$EP$7,ROWS(RECORD!$E$7:F61))))</x:f>
        <x:v>#REF!</x:v>
      </x:c>
      <x:c r="C76" s="34" t="e">
        <x:f t="array" ref="C76">IF((INDEX(RECORD!$E$11:$EP$11,ROWS(RECORD!$E$11:F65)))=0,"",(INDEX(RECORD!$E$11:$EP$11,ROWS(RECORD!$E$11:F65))))</x:f>
        <x:v>#REF!</x:v>
      </x:c>
      <x:c r="D76" s="34" t="e">
        <x:f t="array" ref="D76">IF(INDEX(RECORD!$E$12:$EP$12,ROWS(RECORD!$E$12:F66))=0,"",(INDEX(RECORD!$E$12:$EP$12,ROWS(RECORD!$E$12:F66))))</x:f>
        <x:v>#REF!</x:v>
      </x:c>
      <x:c r="E76" s="34" t="e">
        <x:f t="array" ref="E76">IF(INDEX(RECORD!$E$13:$EP$13,ROWS(RECORD!$E$13:F67))=0,"",(INDEX(RECORD!$E$13:$EP$13,ROWS(RECORD!$E$13:F67))))</x:f>
        <x:v>#REF!</x:v>
      </x:c>
    </x:row>
    <x:row r="77">
      <x:c r="A77" s="32">
        <x:v>56</x:v>
      </x:c>
      <x:c r="B77" s="33" t="e">
        <x:f t="array" ref="B77">IF(INDEX(RECORD!$E$7:$EP$7,ROWS(RECORD!$E$7:F62))=0,"",(INDEX(RECORD!$E$7:$EP$7,ROWS(RECORD!$E$7:F62))))</x:f>
        <x:v>#REF!</x:v>
      </x:c>
      <x:c r="C77" s="34" t="e">
        <x:f t="array" ref="C77">IF((INDEX(RECORD!$E$11:$EP$11,ROWS(RECORD!$E$11:F66)))=0,"",(INDEX(RECORD!$E$11:$EP$11,ROWS(RECORD!$E$11:F66))))</x:f>
        <x:v>#REF!</x:v>
      </x:c>
      <x:c r="D77" s="34" t="e">
        <x:f t="array" ref="D77">IF(INDEX(RECORD!$E$12:$EP$12,ROWS(RECORD!$E$12:F67))=0,"",(INDEX(RECORD!$E$12:$EP$12,ROWS(RECORD!$E$12:F67))))</x:f>
        <x:v>#REF!</x:v>
      </x:c>
      <x:c r="E77" s="34" t="e">
        <x:f t="array" ref="E77">IF(INDEX(RECORD!$E$13:$EP$13,ROWS(RECORD!$E$13:F68))=0,"",(INDEX(RECORD!$E$13:$EP$13,ROWS(RECORD!$E$13:F68))))</x:f>
        <x:v>#REF!</x:v>
      </x:c>
    </x:row>
    <x:row r="78">
      <x:c r="A78" s="32">
        <x:v>57</x:v>
      </x:c>
      <x:c r="B78" s="33" t="e">
        <x:f t="array" ref="B78">IF(INDEX(RECORD!$E$7:$EP$7,ROWS(RECORD!$E$7:F63))=0,"",(INDEX(RECORD!$E$7:$EP$7,ROWS(RECORD!$E$7:F63))))</x:f>
        <x:v>#REF!</x:v>
      </x:c>
      <x:c r="C78" s="34" t="e">
        <x:f t="array" ref="C78">IF((INDEX(RECORD!$E$11:$EP$11,ROWS(RECORD!$E$11:F67)))=0,"",(INDEX(RECORD!$E$11:$EP$11,ROWS(RECORD!$E$11:F67))))</x:f>
        <x:v>#REF!</x:v>
      </x:c>
      <x:c r="D78" s="34" t="e">
        <x:f t="array" ref="D78">IF(INDEX(RECORD!$E$12:$EP$12,ROWS(RECORD!$E$12:F68))=0,"",(INDEX(RECORD!$E$12:$EP$12,ROWS(RECORD!$E$12:F68))))</x:f>
        <x:v>#REF!</x:v>
      </x:c>
      <x:c r="E78" s="34" t="e">
        <x:f t="array" ref="E78">IF(INDEX(RECORD!$E$13:$EP$13,ROWS(RECORD!$E$13:F69))=0,"",(INDEX(RECORD!$E$13:$EP$13,ROWS(RECORD!$E$13:F69))))</x:f>
        <x:v>#REF!</x:v>
      </x:c>
    </x:row>
    <x:row r="79">
      <x:c r="A79" s="32">
        <x:v>58</x:v>
      </x:c>
      <x:c r="B79" s="33" t="e">
        <x:f t="array" ref="B79">IF(INDEX(RECORD!$E$7:$EP$7,ROWS(RECORD!$E$7:F64))=0,"",(INDEX(RECORD!$E$7:$EP$7,ROWS(RECORD!$E$7:F64))))</x:f>
        <x:v>#REF!</x:v>
      </x:c>
      <x:c r="C79" s="34" t="e">
        <x:f t="array" ref="C79">IF((INDEX(RECORD!$E$11:$EP$11,ROWS(RECORD!$E$11:F68)))=0,"",(INDEX(RECORD!$E$11:$EP$11,ROWS(RECORD!$E$11:F68))))</x:f>
        <x:v>#REF!</x:v>
      </x:c>
      <x:c r="D79" s="34" t="e">
        <x:f t="array" ref="D79">IF(INDEX(RECORD!$E$12:$EP$12,ROWS(RECORD!$E$12:F69))=0,"",(INDEX(RECORD!$E$12:$EP$12,ROWS(RECORD!$E$12:F69))))</x:f>
        <x:v>#REF!</x:v>
      </x:c>
      <x:c r="E79" s="34" t="e">
        <x:f t="array" ref="E79">IF(INDEX(RECORD!$E$13:$EP$13,ROWS(RECORD!$E$13:F70))=0,"",(INDEX(RECORD!$E$13:$EP$13,ROWS(RECORD!$E$13:F70))))</x:f>
        <x:v>#REF!</x:v>
      </x:c>
    </x:row>
    <x:row r="80">
      <x:c r="A80" s="32">
        <x:v>59</x:v>
      </x:c>
      <x:c r="B80" s="33" t="e">
        <x:f t="array" ref="B80">IF(INDEX(RECORD!$E$7:$EP$7,ROWS(RECORD!$E$7:F65))=0,"",(INDEX(RECORD!$E$7:$EP$7,ROWS(RECORD!$E$7:F65))))</x:f>
        <x:v>#REF!</x:v>
      </x:c>
      <x:c r="C80" s="34" t="e">
        <x:f t="array" ref="C80">IF((INDEX(RECORD!$E$11:$EP$11,ROWS(RECORD!$E$11:F69)))=0,"",(INDEX(RECORD!$E$11:$EP$11,ROWS(RECORD!$E$11:F69))))</x:f>
        <x:v>#REF!</x:v>
      </x:c>
      <x:c r="D80" s="34" t="e">
        <x:f t="array" ref="D80">IF(INDEX(RECORD!$E$12:$EP$12,ROWS(RECORD!$E$12:F70))=0,"",(INDEX(RECORD!$E$12:$EP$12,ROWS(RECORD!$E$12:F70))))</x:f>
        <x:v>#REF!</x:v>
      </x:c>
      <x:c r="E80" s="34" t="e">
        <x:f t="array" ref="E80">IF(INDEX(RECORD!$E$13:$EP$13,ROWS(RECORD!$E$13:F71))=0,"",(INDEX(RECORD!$E$13:$EP$13,ROWS(RECORD!$E$13:F71))))</x:f>
        <x:v>#REF!</x:v>
      </x:c>
    </x:row>
    <x:row r="81">
      <x:c r="A81" s="32">
        <x:v>60</x:v>
      </x:c>
      <x:c r="B81" s="33" t="e">
        <x:f t="array" ref="B81">IF(INDEX(RECORD!$E$7:$EP$7,ROWS(RECORD!$E$7:F66))=0,"",(INDEX(RECORD!$E$7:$EP$7,ROWS(RECORD!$E$7:F66))))</x:f>
        <x:v>#REF!</x:v>
      </x:c>
      <x:c r="C81" s="34" t="e">
        <x:f t="array" ref="C81">IF((INDEX(RECORD!$E$11:$EP$11,ROWS(RECORD!$E$11:F70)))=0,"",(INDEX(RECORD!$E$11:$EP$11,ROWS(RECORD!$E$11:F70))))</x:f>
        <x:v>#REF!</x:v>
      </x:c>
      <x:c r="D81" s="34" t="e">
        <x:f t="array" ref="D81">IF(INDEX(RECORD!$E$12:$EP$12,ROWS(RECORD!$E$12:F71))=0,"",(INDEX(RECORD!$E$12:$EP$12,ROWS(RECORD!$E$12:F71))))</x:f>
        <x:v>#REF!</x:v>
      </x:c>
      <x:c r="E81" s="34" t="e">
        <x:f t="array" ref="E81">IF(INDEX(RECORD!$E$13:$EP$13,ROWS(RECORD!$E$13:F72))=0,"",(INDEX(RECORD!$E$13:$EP$13,ROWS(RECORD!$E$13:F72))))</x:f>
        <x:v>#REF!</x:v>
      </x:c>
    </x:row>
    <x:row r="82">
      <x:c r="A82" s="32">
        <x:v>61</x:v>
      </x:c>
      <x:c r="B82" s="33" t="e">
        <x:f t="array" ref="B82">IF(INDEX(RECORD!$E$7:$EP$7,ROWS(RECORD!$E$7:F67))=0,"",(INDEX(RECORD!$E$7:$EP$7,ROWS(RECORD!$E$7:F67))))</x:f>
        <x:v>#REF!</x:v>
      </x:c>
      <x:c r="C82" s="34" t="e">
        <x:f t="array" ref="C82">IF((INDEX(RECORD!$E$11:$EP$11,ROWS(RECORD!$E$11:F71)))=0,"",(INDEX(RECORD!$E$11:$EP$11,ROWS(RECORD!$E$11:F71))))</x:f>
        <x:v>#REF!</x:v>
      </x:c>
      <x:c r="D82" s="34" t="e">
        <x:f t="array" ref="D82">IF(INDEX(RECORD!$E$12:$EP$12,ROWS(RECORD!$E$12:F72))=0,"",(INDEX(RECORD!$E$12:$EP$12,ROWS(RECORD!$E$12:F72))))</x:f>
        <x:v>#REF!</x:v>
      </x:c>
      <x:c r="E82" s="34" t="e">
        <x:f t="array" ref="E82">IF(INDEX(RECORD!$E$13:$EP$13,ROWS(RECORD!$E$13:F73))=0,"",(INDEX(RECORD!$E$13:$EP$13,ROWS(RECORD!$E$13:F73))))</x:f>
        <x:v>#REF!</x:v>
      </x:c>
    </x:row>
    <x:row r="83">
      <x:c r="A83" s="32">
        <x:v>62</x:v>
      </x:c>
      <x:c r="B83" s="33" t="e">
        <x:f t="array" ref="B83">IF(INDEX(RECORD!$E$7:$EP$7,ROWS(RECORD!$E$7:F68))=0,"",(INDEX(RECORD!$E$7:$EP$7,ROWS(RECORD!$E$7:F68))))</x:f>
        <x:v>#REF!</x:v>
      </x:c>
      <x:c r="C83" s="34" t="e">
        <x:f t="array" ref="C83">IF((INDEX(RECORD!$E$11:$EP$11,ROWS(RECORD!$E$11:F72)))=0,"",(INDEX(RECORD!$E$11:$EP$11,ROWS(RECORD!$E$11:F72))))</x:f>
        <x:v>#REF!</x:v>
      </x:c>
      <x:c r="D83" s="34" t="e">
        <x:f t="array" ref="D83">IF(INDEX(RECORD!$E$12:$EP$12,ROWS(RECORD!$E$12:F73))=0,"",(INDEX(RECORD!$E$12:$EP$12,ROWS(RECORD!$E$12:F73))))</x:f>
        <x:v>#REF!</x:v>
      </x:c>
      <x:c r="E83" s="34" t="e">
        <x:f t="array" ref="E83">IF(INDEX(RECORD!$E$13:$EP$13,ROWS(RECORD!$E$13:F74))=0,"",(INDEX(RECORD!$E$13:$EP$13,ROWS(RECORD!$E$13:F74))))</x:f>
        <x:v>#REF!</x:v>
      </x:c>
    </x:row>
    <x:row r="84">
      <x:c r="A84" s="32">
        <x:v>63</x:v>
      </x:c>
      <x:c r="B84" s="33" t="e">
        <x:f t="array" ref="B84">IF(INDEX(RECORD!$E$7:$EP$7,ROWS(RECORD!$E$7:F69))=0,"",(INDEX(RECORD!$E$7:$EP$7,ROWS(RECORD!$E$7:F69))))</x:f>
        <x:v>#REF!</x:v>
      </x:c>
      <x:c r="C84" s="34" t="e">
        <x:f t="array" ref="C84">IF((INDEX(RECORD!$E$11:$EP$11,ROWS(RECORD!$E$11:F73)))=0,"",(INDEX(RECORD!$E$11:$EP$11,ROWS(RECORD!$E$11:F73))))</x:f>
        <x:v>#REF!</x:v>
      </x:c>
      <x:c r="D84" s="34" t="e">
        <x:f t="array" ref="D84">IF(INDEX(RECORD!$E$12:$EP$12,ROWS(RECORD!$E$12:F74))=0,"",(INDEX(RECORD!$E$12:$EP$12,ROWS(RECORD!$E$12:F74))))</x:f>
        <x:v>#REF!</x:v>
      </x:c>
      <x:c r="E84" s="34" t="e">
        <x:f t="array" ref="E84">IF(INDEX(RECORD!$E$13:$EP$13,ROWS(RECORD!$E$13:F75))=0,"",(INDEX(RECORD!$E$13:$EP$13,ROWS(RECORD!$E$13:F75))))</x:f>
        <x:v>#REF!</x:v>
      </x:c>
    </x:row>
    <x:row r="85">
      <x:c r="A85" s="32">
        <x:v>64</x:v>
      </x:c>
      <x:c r="B85" s="33" t="e">
        <x:f t="array" ref="B85">IF(INDEX(RECORD!$E$7:$EP$7,ROWS(RECORD!$E$7:F70))=0,"",(INDEX(RECORD!$E$7:$EP$7,ROWS(RECORD!$E$7:F70))))</x:f>
        <x:v>#REF!</x:v>
      </x:c>
      <x:c r="C85" s="34" t="e">
        <x:f t="array" ref="C85">IF((INDEX(RECORD!$E$11:$EP$11,ROWS(RECORD!$E$11:F74)))=0,"",(INDEX(RECORD!$E$11:$EP$11,ROWS(RECORD!$E$11:F74))))</x:f>
        <x:v>#REF!</x:v>
      </x:c>
      <x:c r="D85" s="34" t="e">
        <x:f t="array" ref="D85">IF(INDEX(RECORD!$E$12:$EP$12,ROWS(RECORD!$E$12:F75))=0,"",(INDEX(RECORD!$E$12:$EP$12,ROWS(RECORD!$E$12:F75))))</x:f>
        <x:v>#REF!</x:v>
      </x:c>
      <x:c r="E85" s="34" t="e">
        <x:f t="array" ref="E85">IF(INDEX(RECORD!$E$13:$EP$13,ROWS(RECORD!$E$13:F76))=0,"",(INDEX(RECORD!$E$13:$EP$13,ROWS(RECORD!$E$13:F76))))</x:f>
        <x:v>#REF!</x:v>
      </x:c>
    </x:row>
    <x:row r="86">
      <x:c r="A86" s="32">
        <x:v>65</x:v>
      </x:c>
      <x:c r="B86" s="33" t="e">
        <x:f t="array" ref="B86">IF(INDEX(RECORD!$E$7:$EP$7,ROWS(RECORD!$E$7:F71))=0,"",(INDEX(RECORD!$E$7:$EP$7,ROWS(RECORD!$E$7:F71))))</x:f>
        <x:v>#REF!</x:v>
      </x:c>
      <x:c r="C86" s="34" t="e">
        <x:f t="array" ref="C86">IF((INDEX(RECORD!$E$11:$EP$11,ROWS(RECORD!$E$11:F75)))=0,"",(INDEX(RECORD!$E$11:$EP$11,ROWS(RECORD!$E$11:F75))))</x:f>
        <x:v>#REF!</x:v>
      </x:c>
      <x:c r="D86" s="34" t="e">
        <x:f t="array" ref="D86">IF(INDEX(RECORD!$E$12:$EP$12,ROWS(RECORD!$E$12:F76))=0,"",(INDEX(RECORD!$E$12:$EP$12,ROWS(RECORD!$E$12:F76))))</x:f>
        <x:v>#REF!</x:v>
      </x:c>
      <x:c r="E86" s="34" t="e">
        <x:f t="array" ref="E86">IF(INDEX(RECORD!$E$13:$EP$13,ROWS(RECORD!$E$13:F77))=0,"",(INDEX(RECORD!$E$13:$EP$13,ROWS(RECORD!$E$13:F77))))</x:f>
        <x:v>#REF!</x:v>
      </x:c>
    </x:row>
    <x:row r="87">
      <x:c r="A87" s="32">
        <x:v>66</x:v>
      </x:c>
      <x:c r="B87" s="33" t="e">
        <x:f t="array" ref="B87">IF(INDEX(RECORD!$E$7:$EP$7,ROWS(RECORD!$E$7:F72))=0,"",(INDEX(RECORD!$E$7:$EP$7,ROWS(RECORD!$E$7:F72))))</x:f>
        <x:v>#REF!</x:v>
      </x:c>
      <x:c r="C87" s="34" t="e">
        <x:f t="array" ref="C87">IF((INDEX(RECORD!$E$11:$EP$11,ROWS(RECORD!$E$11:F76)))=0,"",(INDEX(RECORD!$E$11:$EP$11,ROWS(RECORD!$E$11:F76))))</x:f>
        <x:v>#REF!</x:v>
      </x:c>
      <x:c r="D87" s="34" t="e">
        <x:f t="array" ref="D87">IF(INDEX(RECORD!$E$12:$EP$12,ROWS(RECORD!$E$12:F77))=0,"",(INDEX(RECORD!$E$12:$EP$12,ROWS(RECORD!$E$12:F77))))</x:f>
        <x:v>#REF!</x:v>
      </x:c>
      <x:c r="E87" s="34" t="e">
        <x:f t="array" ref="E87">IF(INDEX(RECORD!$E$13:$EP$13,ROWS(RECORD!$E$13:F78))=0,"",(INDEX(RECORD!$E$13:$EP$13,ROWS(RECORD!$E$13:F78))))</x:f>
        <x:v>#REF!</x:v>
      </x:c>
    </x:row>
    <x:row r="88">
      <x:c r="A88" s="32">
        <x:v>67</x:v>
      </x:c>
      <x:c r="B88" s="33" t="e">
        <x:f t="array" ref="B88">IF(INDEX(RECORD!$E$7:$EP$7,ROWS(RECORD!$E$7:F73))=0,"",(INDEX(RECORD!$E$7:$EP$7,ROWS(RECORD!$E$7:F73))))</x:f>
        <x:v>#REF!</x:v>
      </x:c>
      <x:c r="C88" s="34" t="e">
        <x:f t="array" ref="C88">IF((INDEX(RECORD!$E$11:$EP$11,ROWS(RECORD!$E$11:F77)))=0,"",(INDEX(RECORD!$E$11:$EP$11,ROWS(RECORD!$E$11:F77))))</x:f>
        <x:v>#REF!</x:v>
      </x:c>
      <x:c r="D88" s="34" t="e">
        <x:f t="array" ref="D88">IF(INDEX(RECORD!$E$12:$EP$12,ROWS(RECORD!$E$12:F78))=0,"",(INDEX(RECORD!$E$12:$EP$12,ROWS(RECORD!$E$12:F78))))</x:f>
        <x:v>#REF!</x:v>
      </x:c>
      <x:c r="E88" s="34" t="e">
        <x:f t="array" ref="E88">IF(INDEX(RECORD!$E$13:$EP$13,ROWS(RECORD!$E$13:F79))=0,"",(INDEX(RECORD!$E$13:$EP$13,ROWS(RECORD!$E$13:F79))))</x:f>
        <x:v>#REF!</x:v>
      </x:c>
    </x:row>
    <x:row r="89">
      <x:c r="A89" s="32">
        <x:v>68</x:v>
      </x:c>
      <x:c r="B89" s="33" t="e">
        <x:f t="array" ref="B89">IF(INDEX(RECORD!$E$7:$EP$7,ROWS(RECORD!$E$7:F74))=0,"",(INDEX(RECORD!$E$7:$EP$7,ROWS(RECORD!$E$7:F74))))</x:f>
        <x:v>#REF!</x:v>
      </x:c>
      <x:c r="C89" s="34" t="e">
        <x:f t="array" ref="C89">IF((INDEX(RECORD!$E$11:$EP$11,ROWS(RECORD!$E$11:F78)))=0,"",(INDEX(RECORD!$E$11:$EP$11,ROWS(RECORD!$E$11:F78))))</x:f>
        <x:v>#REF!</x:v>
      </x:c>
      <x:c r="D89" s="34" t="e">
        <x:f t="array" ref="D89">IF(INDEX(RECORD!$E$12:$EP$12,ROWS(RECORD!$E$12:F79))=0,"",(INDEX(RECORD!$E$12:$EP$12,ROWS(RECORD!$E$12:F79))))</x:f>
        <x:v>#REF!</x:v>
      </x:c>
      <x:c r="E89" s="34" t="e">
        <x:f t="array" ref="E89">IF(INDEX(RECORD!$E$13:$EP$13,ROWS(RECORD!$E$13:F80))=0,"",(INDEX(RECORD!$E$13:$EP$13,ROWS(RECORD!$E$13:F80))))</x:f>
        <x:v>#REF!</x:v>
      </x:c>
    </x:row>
    <x:row r="90">
      <x:c r="A90" s="32">
        <x:v>69</x:v>
      </x:c>
      <x:c r="B90" s="33" t="e">
        <x:f t="array" ref="B90">IF(INDEX(RECORD!$E$7:$EP$7,ROWS(RECORD!$E$7:F75))=0,"",(INDEX(RECORD!$E$7:$EP$7,ROWS(RECORD!$E$7:F75))))</x:f>
        <x:v>#REF!</x:v>
      </x:c>
      <x:c r="C90" s="34" t="e">
        <x:f t="array" ref="C90">IF((INDEX(RECORD!$E$11:$EP$11,ROWS(RECORD!$E$11:F79)))=0,"",(INDEX(RECORD!$E$11:$EP$11,ROWS(RECORD!$E$11:F79))))</x:f>
        <x:v>#REF!</x:v>
      </x:c>
      <x:c r="D90" s="34" t="e">
        <x:f t="array" ref="D90">IF(INDEX(RECORD!$E$12:$EP$12,ROWS(RECORD!$E$12:F80))=0,"",(INDEX(RECORD!$E$12:$EP$12,ROWS(RECORD!$E$12:F80))))</x:f>
        <x:v>#REF!</x:v>
      </x:c>
      <x:c r="E90" s="34" t="e">
        <x:f t="array" ref="E90">IF(INDEX(RECORD!$E$13:$EP$13,ROWS(RECORD!$E$13:F81))=0,"",(INDEX(RECORD!$E$13:$EP$13,ROWS(RECORD!$E$13:F81))))</x:f>
        <x:v>#REF!</x:v>
      </x:c>
    </x:row>
    <x:row r="91">
      <x:c r="A91" s="32">
        <x:v>70</x:v>
      </x:c>
      <x:c r="B91" s="33" t="e">
        <x:f t="array" ref="B91">IF(INDEX(RECORD!$E$7:$EP$7,ROWS(RECORD!$E$7:F76))=0,"",(INDEX(RECORD!$E$7:$EP$7,ROWS(RECORD!$E$7:F76))))</x:f>
        <x:v>#REF!</x:v>
      </x:c>
      <x:c r="C91" s="34" t="e">
        <x:f t="array" ref="C91">IF((INDEX(RECORD!$E$11:$EP$11,ROWS(RECORD!$E$11:F80)))=0,"",(INDEX(RECORD!$E$11:$EP$11,ROWS(RECORD!$E$11:F80))))</x:f>
        <x:v>#REF!</x:v>
      </x:c>
      <x:c r="D91" s="34" t="e">
        <x:f t="array" ref="D91">IF(INDEX(RECORD!$E$12:$EP$12,ROWS(RECORD!$E$12:F81))=0,"",(INDEX(RECORD!$E$12:$EP$12,ROWS(RECORD!$E$12:F81))))</x:f>
        <x:v>#REF!</x:v>
      </x:c>
      <x:c r="E91" s="34" t="e">
        <x:f t="array" ref="E91">IF(INDEX(RECORD!$E$13:$EP$13,ROWS(RECORD!$E$13:F82))=0,"",(INDEX(RECORD!$E$13:$EP$13,ROWS(RECORD!$E$13:F82))))</x:f>
        <x:v>#REF!</x:v>
      </x:c>
    </x:row>
    <x:row r="92">
      <x:c r="A92" s="32">
        <x:v>71</x:v>
      </x:c>
      <x:c r="B92" s="33" t="e">
        <x:f t="array" ref="B92">IF(INDEX(RECORD!$E$7:$EP$7,ROWS(RECORD!$E$7:F77))=0,"",(INDEX(RECORD!$E$7:$EP$7,ROWS(RECORD!$E$7:F77))))</x:f>
        <x:v>#REF!</x:v>
      </x:c>
      <x:c r="C92" s="34" t="e">
        <x:f t="array" ref="C92">IF((INDEX(RECORD!$E$11:$EP$11,ROWS(RECORD!$E$11:F81)))=0,"",(INDEX(RECORD!$E$11:$EP$11,ROWS(RECORD!$E$11:F81))))</x:f>
        <x:v>#REF!</x:v>
      </x:c>
      <x:c r="D92" s="34" t="e">
        <x:f t="array" ref="D92">IF(INDEX(RECORD!$E$12:$EP$12,ROWS(RECORD!$E$12:F82))=0,"",(INDEX(RECORD!$E$12:$EP$12,ROWS(RECORD!$E$12:F82))))</x:f>
        <x:v>#REF!</x:v>
      </x:c>
      <x:c r="E92" s="34" t="e">
        <x:f t="array" ref="E92">IF(INDEX(RECORD!$E$13:$EP$13,ROWS(RECORD!$E$13:F83))=0,"",(INDEX(RECORD!$E$13:$EP$13,ROWS(RECORD!$E$13:F83))))</x:f>
        <x:v>#REF!</x:v>
      </x:c>
    </x:row>
    <x:row r="93">
      <x:c r="A93" s="32">
        <x:v>72</x:v>
      </x:c>
      <x:c r="B93" s="33" t="e">
        <x:f t="array" ref="B93">IF(INDEX(RECORD!$E$7:$EP$7,ROWS(RECORD!$E$7:F78))=0,"",(INDEX(RECORD!$E$7:$EP$7,ROWS(RECORD!$E$7:F78))))</x:f>
        <x:v>#REF!</x:v>
      </x:c>
      <x:c r="C93" s="34" t="e">
        <x:f t="array" ref="C93">IF((INDEX(RECORD!$E$11:$EP$11,ROWS(RECORD!$E$11:F82)))=0,"",(INDEX(RECORD!$E$11:$EP$11,ROWS(RECORD!$E$11:F82))))</x:f>
        <x:v>#REF!</x:v>
      </x:c>
      <x:c r="D93" s="34" t="e">
        <x:f t="array" ref="D93">IF(INDEX(RECORD!$E$12:$EP$12,ROWS(RECORD!$E$12:F83))=0,"",(INDEX(RECORD!$E$12:$EP$12,ROWS(RECORD!$E$12:F83))))</x:f>
        <x:v>#REF!</x:v>
      </x:c>
      <x:c r="E93" s="34" t="e">
        <x:f t="array" ref="E93">IF(INDEX(RECORD!$E$13:$EP$13,ROWS(RECORD!$E$13:F84))=0,"",(INDEX(RECORD!$E$13:$EP$13,ROWS(RECORD!$E$13:F84))))</x:f>
        <x:v>#REF!</x:v>
      </x:c>
    </x:row>
    <x:row r="94">
      <x:c r="A94" s="32">
        <x:v>73</x:v>
      </x:c>
      <x:c r="B94" s="33" t="e">
        <x:f t="array" ref="B94">IF(INDEX(RECORD!$E$7:$EP$7,ROWS(RECORD!$E$7:F79))=0,"",(INDEX(RECORD!$E$7:$EP$7,ROWS(RECORD!$E$7:F79))))</x:f>
        <x:v>#REF!</x:v>
      </x:c>
      <x:c r="C94" s="34" t="e">
        <x:f t="array" ref="C94">IF((INDEX(RECORD!$E$11:$EP$11,ROWS(RECORD!$E$11:F83)))=0,"",(INDEX(RECORD!$E$11:$EP$11,ROWS(RECORD!$E$11:F83))))</x:f>
        <x:v>#REF!</x:v>
      </x:c>
      <x:c r="D94" s="34" t="e">
        <x:f t="array" ref="D94">IF(INDEX(RECORD!$E$12:$EP$12,ROWS(RECORD!$E$12:F84))=0,"",(INDEX(RECORD!$E$12:$EP$12,ROWS(RECORD!$E$12:F84))))</x:f>
        <x:v>#REF!</x:v>
      </x:c>
      <x:c r="E94" s="34" t="e">
        <x:f t="array" ref="E94">IF(INDEX(RECORD!$E$13:$EP$13,ROWS(RECORD!$E$13:F85))=0,"",(INDEX(RECORD!$E$13:$EP$13,ROWS(RECORD!$E$13:F85))))</x:f>
        <x:v>#REF!</x:v>
      </x:c>
    </x:row>
    <x:row r="95">
      <x:c r="A95" s="32">
        <x:v>74</x:v>
      </x:c>
      <x:c r="B95" s="33" t="e">
        <x:f t="array" ref="B95">IF(INDEX(RECORD!$E$7:$EP$7,ROWS(RECORD!$E$7:F80))=0,"",(INDEX(RECORD!$E$7:$EP$7,ROWS(RECORD!$E$7:F80))))</x:f>
        <x:v>#REF!</x:v>
      </x:c>
      <x:c r="C95" s="34" t="e">
        <x:f t="array" ref="C95">IF((INDEX(RECORD!$E$11:$EP$11,ROWS(RECORD!$E$11:F84)))=0,"",(INDEX(RECORD!$E$11:$EP$11,ROWS(RECORD!$E$11:F84))))</x:f>
        <x:v>#REF!</x:v>
      </x:c>
      <x:c r="D95" s="34" t="e">
        <x:f t="array" ref="D95">IF(INDEX(RECORD!$E$12:$EP$12,ROWS(RECORD!$E$12:F85))=0,"",(INDEX(RECORD!$E$12:$EP$12,ROWS(RECORD!$E$12:F85))))</x:f>
        <x:v>#REF!</x:v>
      </x:c>
      <x:c r="E95" s="34" t="e">
        <x:f t="array" ref="E95">IF(INDEX(RECORD!$E$13:$EP$13,ROWS(RECORD!$E$13:F86))=0,"",(INDEX(RECORD!$E$13:$EP$13,ROWS(RECORD!$E$13:F86))))</x:f>
        <x:v>#REF!</x:v>
      </x:c>
    </x:row>
    <x:row r="96">
      <x:c r="A96" s="32">
        <x:v>75</x:v>
      </x:c>
      <x:c r="B96" s="33" t="e">
        <x:f t="array" ref="B96">IF(INDEX(RECORD!$E$7:$EP$7,ROWS(RECORD!$E$7:F81))=0,"",(INDEX(RECORD!$E$7:$EP$7,ROWS(RECORD!$E$7:F81))))</x:f>
        <x:v>#REF!</x:v>
      </x:c>
      <x:c r="C96" s="34" t="e">
        <x:f t="array" ref="C96">IF((INDEX(RECORD!$E$11:$EP$11,ROWS(RECORD!$E$11:F85)))=0,"",(INDEX(RECORD!$E$11:$EP$11,ROWS(RECORD!$E$11:F85))))</x:f>
        <x:v>#REF!</x:v>
      </x:c>
      <x:c r="D96" s="34" t="e">
        <x:f t="array" ref="D96">IF(INDEX(RECORD!$E$12:$EP$12,ROWS(RECORD!$E$12:F86))=0,"",(INDEX(RECORD!$E$12:$EP$12,ROWS(RECORD!$E$12:F86))))</x:f>
        <x:v>#REF!</x:v>
      </x:c>
      <x:c r="E96" s="34" t="e">
        <x:f t="array" ref="E96">IF(INDEX(RECORD!$E$13:$EP$13,ROWS(RECORD!$E$13:F87))=0,"",(INDEX(RECORD!$E$13:$EP$13,ROWS(RECORD!$E$13:F87))))</x:f>
        <x:v>#REF!</x:v>
      </x:c>
    </x:row>
    <x:row r="97">
      <x:c r="A97" s="32">
        <x:v>76</x:v>
      </x:c>
      <x:c r="B97" s="33" t="e">
        <x:f t="array" ref="B97">IF(INDEX(RECORD!$E$7:$EP$7,ROWS(RECORD!$E$7:F82))=0,"",(INDEX(RECORD!$E$7:$EP$7,ROWS(RECORD!$E$7:F82))))</x:f>
        <x:v>#REF!</x:v>
      </x:c>
      <x:c r="C97" s="34" t="e">
        <x:f t="array" ref="C97">IF((INDEX(RECORD!$E$11:$EP$11,ROWS(RECORD!$E$11:F86)))=0,"",(INDEX(RECORD!$E$11:$EP$11,ROWS(RECORD!$E$11:F86))))</x:f>
        <x:v>#REF!</x:v>
      </x:c>
      <x:c r="D97" s="34" t="e">
        <x:f t="array" ref="D97">IF(INDEX(RECORD!$E$12:$EP$12,ROWS(RECORD!$E$12:F87))=0,"",(INDEX(RECORD!$E$12:$EP$12,ROWS(RECORD!$E$12:F87))))</x:f>
        <x:v>#REF!</x:v>
      </x:c>
      <x:c r="E97" s="34" t="e">
        <x:f t="array" ref="E97">IF(INDEX(RECORD!$E$13:$EP$13,ROWS(RECORD!$E$13:F88))=0,"",(INDEX(RECORD!$E$13:$EP$13,ROWS(RECORD!$E$13:F88))))</x:f>
        <x:v>#REF!</x:v>
      </x:c>
    </x:row>
    <x:row r="98">
      <x:c r="A98" s="32">
        <x:v>77</x:v>
      </x:c>
      <x:c r="B98" s="33" t="e">
        <x:f t="array" ref="B98">IF(INDEX(RECORD!$E$7:$EP$7,ROWS(RECORD!$E$7:F83))=0,"",(INDEX(RECORD!$E$7:$EP$7,ROWS(RECORD!$E$7:F83))))</x:f>
        <x:v>#REF!</x:v>
      </x:c>
      <x:c r="C98" s="34" t="e">
        <x:f t="array" ref="C98">IF((INDEX(RECORD!$E$11:$EP$11,ROWS(RECORD!$E$11:F87)))=0,"",(INDEX(RECORD!$E$11:$EP$11,ROWS(RECORD!$E$11:F87))))</x:f>
        <x:v>#REF!</x:v>
      </x:c>
      <x:c r="D98" s="34" t="e">
        <x:f t="array" ref="D98">IF(INDEX(RECORD!$E$12:$EP$12,ROWS(RECORD!$E$12:F88))=0,"",(INDEX(RECORD!$E$12:$EP$12,ROWS(RECORD!$E$12:F88))))</x:f>
        <x:v>#REF!</x:v>
      </x:c>
      <x:c r="E98" s="34" t="e">
        <x:f t="array" ref="E98">IF(INDEX(RECORD!$E$13:$EP$13,ROWS(RECORD!$E$13:F89))=0,"",(INDEX(RECORD!$E$13:$EP$13,ROWS(RECORD!$E$13:F89))))</x:f>
        <x:v>#REF!</x:v>
      </x:c>
    </x:row>
    <x:row r="99">
      <x:c r="A99" s="32">
        <x:v>78</x:v>
      </x:c>
      <x:c r="B99" s="33" t="e">
        <x:f t="array" ref="B99">IF(INDEX(RECORD!$E$7:$EP$7,ROWS(RECORD!$E$7:F84))=0,"",(INDEX(RECORD!$E$7:$EP$7,ROWS(RECORD!$E$7:F84))))</x:f>
        <x:v>#REF!</x:v>
      </x:c>
      <x:c r="C99" s="34" t="e">
        <x:f t="array" ref="C99">IF((INDEX(RECORD!$E$11:$EP$11,ROWS(RECORD!$E$11:F88)))=0,"",(INDEX(RECORD!$E$11:$EP$11,ROWS(RECORD!$E$11:F88))))</x:f>
        <x:v>#REF!</x:v>
      </x:c>
      <x:c r="D99" s="34" t="e">
        <x:f t="array" ref="D99">IF(INDEX(RECORD!$E$12:$EP$12,ROWS(RECORD!$E$12:F89))=0,"",(INDEX(RECORD!$E$12:$EP$12,ROWS(RECORD!$E$12:F89))))</x:f>
        <x:v>#REF!</x:v>
      </x:c>
      <x:c r="E99" s="34" t="e">
        <x:f t="array" ref="E99">IF(INDEX(RECORD!$E$13:$EP$13,ROWS(RECORD!$E$13:F90))=0,"",(INDEX(RECORD!$E$13:$EP$13,ROWS(RECORD!$E$13:F90))))</x:f>
        <x:v>#REF!</x:v>
      </x:c>
    </x:row>
    <x:row r="100">
      <x:c r="A100" s="32">
        <x:v>79</x:v>
      </x:c>
      <x:c r="B100" s="33" t="e">
        <x:f t="array" ref="B100">IF(INDEX(RECORD!$E$7:$EP$7,ROWS(RECORD!$E$7:F85))=0,"",(INDEX(RECORD!$E$7:$EP$7,ROWS(RECORD!$E$7:F85))))</x:f>
        <x:v>#REF!</x:v>
      </x:c>
      <x:c r="C100" s="34" t="e">
        <x:f t="array" ref="C100">IF((INDEX(RECORD!$E$11:$EP$11,ROWS(RECORD!$E$11:F89)))=0,"",(INDEX(RECORD!$E$11:$EP$11,ROWS(RECORD!$E$11:F89))))</x:f>
        <x:v>#REF!</x:v>
      </x:c>
      <x:c r="D100" s="34" t="e">
        <x:f t="array" ref="D100">IF(INDEX(RECORD!$E$12:$EP$12,ROWS(RECORD!$E$12:F90))=0,"",(INDEX(RECORD!$E$12:$EP$12,ROWS(RECORD!$E$12:F90))))</x:f>
        <x:v>#REF!</x:v>
      </x:c>
      <x:c r="E100" s="34" t="e">
        <x:f t="array" ref="E100">IF(INDEX(RECORD!$E$13:$EP$13,ROWS(RECORD!$E$13:F91))=0,"",(INDEX(RECORD!$E$13:$EP$13,ROWS(RECORD!$E$13:F91))))</x:f>
        <x:v>#REF!</x:v>
      </x:c>
    </x:row>
    <x:row r="101">
      <x:c r="A101" s="32">
        <x:v>80</x:v>
      </x:c>
      <x:c r="B101" s="33" t="e">
        <x:f t="array" ref="B101">IF(INDEX(RECORD!$E$7:$EP$7,ROWS(RECORD!$E$7:F86))=0,"",(INDEX(RECORD!$E$7:$EP$7,ROWS(RECORD!$E$7:F86))))</x:f>
        <x:v>#REF!</x:v>
      </x:c>
      <x:c r="C101" s="34" t="e">
        <x:f t="array" ref="C101">IF((INDEX(RECORD!$E$11:$EP$11,ROWS(RECORD!$E$11:F90)))=0,"",(INDEX(RECORD!$E$11:$EP$11,ROWS(RECORD!$E$11:F90))))</x:f>
        <x:v>#REF!</x:v>
      </x:c>
      <x:c r="D101" s="34" t="e">
        <x:f t="array" ref="D101">IF(INDEX(RECORD!$E$12:$EP$12,ROWS(RECORD!$E$12:F91))=0,"",(INDEX(RECORD!$E$12:$EP$12,ROWS(RECORD!$E$12:F91))))</x:f>
        <x:v>#REF!</x:v>
      </x:c>
      <x:c r="E101" s="34" t="e">
        <x:f t="array" ref="E101">IF(INDEX(RECORD!$E$13:$EP$13,ROWS(RECORD!$E$13:F92))=0,"",(INDEX(RECORD!$E$13:$EP$13,ROWS(RECORD!$E$13:F92))))</x:f>
        <x:v>#REF!</x:v>
      </x:c>
    </x:row>
    <x:row r="102">
      <x:c r="A102" s="32">
        <x:v>81</x:v>
      </x:c>
      <x:c r="B102" s="33" t="e">
        <x:f t="array" ref="B102">IF(INDEX(RECORD!$E$7:$EP$7,ROWS(RECORD!$E$7:F87))=0,"",(INDEX(RECORD!$E$7:$EP$7,ROWS(RECORD!$E$7:F87))))</x:f>
        <x:v>#REF!</x:v>
      </x:c>
      <x:c r="C102" s="34" t="e">
        <x:f t="array" ref="C102">IF((INDEX(RECORD!$E$11:$EP$11,ROWS(RECORD!$E$11:F91)))=0,"",(INDEX(RECORD!$E$11:$EP$11,ROWS(RECORD!$E$11:F91))))</x:f>
        <x:v>#REF!</x:v>
      </x:c>
      <x:c r="D102" s="34" t="e">
        <x:f t="array" ref="D102">IF(INDEX(RECORD!$E$12:$EP$12,ROWS(RECORD!$E$12:F92))=0,"",(INDEX(RECORD!$E$12:$EP$12,ROWS(RECORD!$E$12:F92))))</x:f>
        <x:v>#REF!</x:v>
      </x:c>
      <x:c r="E102" s="34" t="e">
        <x:f t="array" ref="E102">IF(INDEX(RECORD!$E$13:$EP$13,ROWS(RECORD!$E$13:F93))=0,"",(INDEX(RECORD!$E$13:$EP$13,ROWS(RECORD!$E$13:F93))))</x:f>
        <x:v>#REF!</x:v>
      </x:c>
    </x:row>
    <x:row r="103">
      <x:c r="A103" s="32">
        <x:v>82</x:v>
      </x:c>
      <x:c r="B103" s="33" t="e">
        <x:f t="array" ref="B103">IF(INDEX(RECORD!$E$7:$EP$7,ROWS(RECORD!$E$7:F88))=0,"",(INDEX(RECORD!$E$7:$EP$7,ROWS(RECORD!$E$7:F88))))</x:f>
        <x:v>#REF!</x:v>
      </x:c>
      <x:c r="C103" s="34" t="e">
        <x:f t="array" ref="C103">IF((INDEX(RECORD!$E$11:$EP$11,ROWS(RECORD!$E$11:F92)))=0,"",(INDEX(RECORD!$E$11:$EP$11,ROWS(RECORD!$E$11:F92))))</x:f>
        <x:v>#REF!</x:v>
      </x:c>
      <x:c r="D103" s="34" t="e">
        <x:f t="array" ref="D103">IF(INDEX(RECORD!$E$12:$EP$12,ROWS(RECORD!$E$12:F93))=0,"",(INDEX(RECORD!$E$12:$EP$12,ROWS(RECORD!$E$12:F93))))</x:f>
        <x:v>#REF!</x:v>
      </x:c>
      <x:c r="E103" s="34" t="e">
        <x:f t="array" ref="E103">IF(INDEX(RECORD!$E$13:$EP$13,ROWS(RECORD!$E$13:F94))=0,"",(INDEX(RECORD!$E$13:$EP$13,ROWS(RECORD!$E$13:F94))))</x:f>
        <x:v>#REF!</x:v>
      </x:c>
    </x:row>
    <x:row r="104">
      <x:c r="A104" s="32">
        <x:v>83</x:v>
      </x:c>
      <x:c r="B104" s="33" t="e">
        <x:f t="array" ref="B104">IF(INDEX(RECORD!$E$7:$EP$7,ROWS(RECORD!$E$7:F89))=0,"",(INDEX(RECORD!$E$7:$EP$7,ROWS(RECORD!$E$7:F89))))</x:f>
        <x:v>#REF!</x:v>
      </x:c>
      <x:c r="C104" s="34" t="e">
        <x:f t="array" ref="C104">IF((INDEX(RECORD!$E$11:$EP$11,ROWS(RECORD!$E$11:F93)))=0,"",(INDEX(RECORD!$E$11:$EP$11,ROWS(RECORD!$E$11:F93))))</x:f>
        <x:v>#REF!</x:v>
      </x:c>
      <x:c r="D104" s="34" t="e">
        <x:f t="array" ref="D104">IF(INDEX(RECORD!$E$12:$EP$12,ROWS(RECORD!$E$12:F94))=0,"",(INDEX(RECORD!$E$12:$EP$12,ROWS(RECORD!$E$12:F94))))</x:f>
        <x:v>#REF!</x:v>
      </x:c>
      <x:c r="E104" s="34" t="e">
        <x:f t="array" ref="E104">IF(INDEX(RECORD!$E$13:$EP$13,ROWS(RECORD!$E$13:F95))=0,"",(INDEX(RECORD!$E$13:$EP$13,ROWS(RECORD!$E$13:F95))))</x:f>
        <x:v>#REF!</x:v>
      </x:c>
    </x:row>
    <x:row r="105">
      <x:c r="A105" s="32">
        <x:v>84</x:v>
      </x:c>
      <x:c r="B105" s="33" t="e">
        <x:f t="array" ref="B105">IF(INDEX(RECORD!$E$7:$EP$7,ROWS(RECORD!$E$7:F90))=0,"",(INDEX(RECORD!$E$7:$EP$7,ROWS(RECORD!$E$7:F90))))</x:f>
        <x:v>#REF!</x:v>
      </x:c>
      <x:c r="C105" s="34" t="e">
        <x:f t="array" ref="C105">IF((INDEX(RECORD!$E$11:$EP$11,ROWS(RECORD!$E$11:F94)))=0,"",(INDEX(RECORD!$E$11:$EP$11,ROWS(RECORD!$E$11:F94))))</x:f>
        <x:v>#REF!</x:v>
      </x:c>
      <x:c r="D105" s="34" t="e">
        <x:f t="array" ref="D105">IF(INDEX(RECORD!$E$12:$EP$12,ROWS(RECORD!$E$12:F95))=0,"",(INDEX(RECORD!$E$12:$EP$12,ROWS(RECORD!$E$12:F95))))</x:f>
        <x:v>#REF!</x:v>
      </x:c>
      <x:c r="E105" s="34" t="e">
        <x:f t="array" ref="E105">IF(INDEX(RECORD!$E$13:$EP$13,ROWS(RECORD!$E$13:F96))=0,"",(INDEX(RECORD!$E$13:$EP$13,ROWS(RECORD!$E$13:F96))))</x:f>
        <x:v>#REF!</x:v>
      </x:c>
    </x:row>
    <x:row r="106">
      <x:c r="A106" s="32">
        <x:v>85</x:v>
      </x:c>
      <x:c r="B106" s="33" t="e">
        <x:f t="array" ref="B106">IF(INDEX(RECORD!$E$7:$EP$7,ROWS(RECORD!$E$7:F91))=0,"",(INDEX(RECORD!$E$7:$EP$7,ROWS(RECORD!$E$7:F91))))</x:f>
        <x:v>#REF!</x:v>
      </x:c>
      <x:c r="C106" s="34" t="e">
        <x:f t="array" ref="C106">IF((INDEX(RECORD!$E$11:$EP$11,ROWS(RECORD!$E$11:F95)))=0,"",(INDEX(RECORD!$E$11:$EP$11,ROWS(RECORD!$E$11:F95))))</x:f>
        <x:v>#REF!</x:v>
      </x:c>
      <x:c r="D106" s="34" t="e">
        <x:f t="array" ref="D106">IF(INDEX(RECORD!$E$12:$EP$12,ROWS(RECORD!$E$12:F96))=0,"",(INDEX(RECORD!$E$12:$EP$12,ROWS(RECORD!$E$12:F96))))</x:f>
        <x:v>#REF!</x:v>
      </x:c>
      <x:c r="E106" s="34" t="e">
        <x:f t="array" ref="E106">IF(INDEX(RECORD!$E$13:$EP$13,ROWS(RECORD!$E$13:F97))=0,"",(INDEX(RECORD!$E$13:$EP$13,ROWS(RECORD!$E$13:F97))))</x:f>
        <x:v>#REF!</x:v>
      </x:c>
    </x:row>
    <x:row r="107">
      <x:c r="A107" s="32">
        <x:v>86</x:v>
      </x:c>
      <x:c r="B107" s="33" t="e">
        <x:f t="array" ref="B107">IF(INDEX(RECORD!$E$7:$EP$7,ROWS(RECORD!$E$7:F92))=0,"",(INDEX(RECORD!$E$7:$EP$7,ROWS(RECORD!$E$7:F92))))</x:f>
        <x:v>#REF!</x:v>
      </x:c>
      <x:c r="C107" s="34" t="e">
        <x:f t="array" ref="C107">IF((INDEX(RECORD!$E$11:$EP$11,ROWS(RECORD!$E$11:F96)))=0,"",(INDEX(RECORD!$E$11:$EP$11,ROWS(RECORD!$E$11:F96))))</x:f>
        <x:v>#REF!</x:v>
      </x:c>
      <x:c r="D107" s="34" t="e">
        <x:f t="array" ref="D107">IF(INDEX(RECORD!$E$12:$EP$12,ROWS(RECORD!$E$12:F97))=0,"",(INDEX(RECORD!$E$12:$EP$12,ROWS(RECORD!$E$12:F97))))</x:f>
        <x:v>#REF!</x:v>
      </x:c>
      <x:c r="E107" s="34" t="e">
        <x:f t="array" ref="E107">IF(INDEX(RECORD!$E$13:$EP$13,ROWS(RECORD!$E$13:F98))=0,"",(INDEX(RECORD!$E$13:$EP$13,ROWS(RECORD!$E$13:F98))))</x:f>
        <x:v>#REF!</x:v>
      </x:c>
    </x:row>
    <x:row r="108">
      <x:c r="A108" s="32">
        <x:v>87</x:v>
      </x:c>
      <x:c r="B108" s="33" t="e">
        <x:f t="array" ref="B108">IF(INDEX(RECORD!$E$7:$EP$7,ROWS(RECORD!$E$7:F93))=0,"",(INDEX(RECORD!$E$7:$EP$7,ROWS(RECORD!$E$7:F93))))</x:f>
        <x:v>#REF!</x:v>
      </x:c>
      <x:c r="C108" s="34" t="e">
        <x:f t="array" ref="C108">IF((INDEX(RECORD!$E$11:$EP$11,ROWS(RECORD!$E$11:F97)))=0,"",(INDEX(RECORD!$E$11:$EP$11,ROWS(RECORD!$E$11:F97))))</x:f>
        <x:v>#REF!</x:v>
      </x:c>
      <x:c r="D108" s="34" t="e">
        <x:f t="array" ref="D108">IF(INDEX(RECORD!$E$12:$EP$12,ROWS(RECORD!$E$12:F98))=0,"",(INDEX(RECORD!$E$12:$EP$12,ROWS(RECORD!$E$12:F98))))</x:f>
        <x:v>#REF!</x:v>
      </x:c>
      <x:c r="E108" s="34" t="e">
        <x:f t="array" ref="E108">IF(INDEX(RECORD!$E$13:$EP$13,ROWS(RECORD!$E$13:F99))=0,"",(INDEX(RECORD!$E$13:$EP$13,ROWS(RECORD!$E$13:F99))))</x:f>
        <x:v>#REF!</x:v>
      </x:c>
    </x:row>
    <x:row r="109">
      <x:c r="A109" s="32">
        <x:v>88</x:v>
      </x:c>
      <x:c r="B109" s="33" t="e">
        <x:f t="array" ref="B109">IF(INDEX(RECORD!$E$7:$EP$7,ROWS(RECORD!$E$7:F94))=0,"",(INDEX(RECORD!$E$7:$EP$7,ROWS(RECORD!$E$7:F94))))</x:f>
        <x:v>#REF!</x:v>
      </x:c>
      <x:c r="C109" s="34" t="e">
        <x:f t="array" ref="C109">IF((INDEX(RECORD!$E$11:$EP$11,ROWS(RECORD!$E$11:F98)))=0,"",(INDEX(RECORD!$E$11:$EP$11,ROWS(RECORD!$E$11:F98))))</x:f>
        <x:v>#REF!</x:v>
      </x:c>
      <x:c r="D109" s="34" t="e">
        <x:f t="array" ref="D109">IF(INDEX(RECORD!$E$12:$EP$12,ROWS(RECORD!$E$12:F99))=0,"",(INDEX(RECORD!$E$12:$EP$12,ROWS(RECORD!$E$12:F99))))</x:f>
        <x:v>#REF!</x:v>
      </x:c>
      <x:c r="E109" s="34" t="e">
        <x:f t="array" ref="E109">IF(INDEX(RECORD!$E$13:$EP$13,ROWS(RECORD!$E$13:F100))=0,"",(INDEX(RECORD!$E$13:$EP$13,ROWS(RECORD!$E$13:F100))))</x:f>
        <x:v>#REF!</x:v>
      </x:c>
    </x:row>
    <x:row r="110">
      <x:c r="A110" s="32">
        <x:v>89</x:v>
      </x:c>
      <x:c r="B110" s="33" t="e">
        <x:f t="array" ref="B110">IF(INDEX(RECORD!$E$7:$EP$7,ROWS(RECORD!$E$7:F95))=0,"",(INDEX(RECORD!$E$7:$EP$7,ROWS(RECORD!$E$7:F95))))</x:f>
        <x:v>#REF!</x:v>
      </x:c>
      <x:c r="C110" s="34" t="e">
        <x:f t="array" ref="C110">IF((INDEX(RECORD!$E$11:$EP$11,ROWS(RECORD!$E$11:F99)))=0,"",(INDEX(RECORD!$E$11:$EP$11,ROWS(RECORD!$E$11:F99))))</x:f>
        <x:v>#REF!</x:v>
      </x:c>
      <x:c r="D110" s="34" t="e">
        <x:f t="array" ref="D110">IF(INDEX(RECORD!$E$12:$EP$12,ROWS(RECORD!$E$12:F100))=0,"",(INDEX(RECORD!$E$12:$EP$12,ROWS(RECORD!$E$12:F100))))</x:f>
        <x:v>#REF!</x:v>
      </x:c>
      <x:c r="E110" s="34" t="e">
        <x:f t="array" ref="E110">IF(INDEX(RECORD!$E$13:$EP$13,ROWS(RECORD!$E$13:F101))=0,"",(INDEX(RECORD!$E$13:$EP$13,ROWS(RECORD!$E$13:F101))))</x:f>
        <x:v>#REF!</x:v>
      </x:c>
    </x:row>
    <x:row r="111">
      <x:c r="A111" s="32">
        <x:v>90</x:v>
      </x:c>
      <x:c r="B111" s="33" t="e">
        <x:f t="array" ref="B111">IF(INDEX(RECORD!$E$7:$EP$7,ROWS(RECORD!$E$7:F96))=0,"",(INDEX(RECORD!$E$7:$EP$7,ROWS(RECORD!$E$7:F96))))</x:f>
        <x:v>#REF!</x:v>
      </x:c>
      <x:c r="C111" s="34" t="e">
        <x:f t="array" ref="C111">IF((INDEX(RECORD!$E$11:$EP$11,ROWS(RECORD!$E$11:F100)))=0,"",(INDEX(RECORD!$E$11:$EP$11,ROWS(RECORD!$E$11:F100))))</x:f>
        <x:v>#REF!</x:v>
      </x:c>
      <x:c r="D111" s="34" t="e">
        <x:f t="array" ref="D111">IF(INDEX(RECORD!$E$12:$EP$12,ROWS(RECORD!$E$12:F101))=0,"",(INDEX(RECORD!$E$12:$EP$12,ROWS(RECORD!$E$12:F101))))</x:f>
        <x:v>#REF!</x:v>
      </x:c>
      <x:c r="E111" s="34" t="e">
        <x:f t="array" ref="E111">IF(INDEX(RECORD!$E$13:$EP$13,ROWS(RECORD!$E$13:F102))=0,"",(INDEX(RECORD!$E$13:$EP$13,ROWS(RECORD!$E$13:F102))))</x:f>
        <x:v>#REF!</x:v>
      </x:c>
    </x:row>
    <x:row r="112">
      <x:c r="A112" s="32">
        <x:v>91</x:v>
      </x:c>
      <x:c r="B112" s="33" t="e">
        <x:f t="array" ref="B112">IF(INDEX(RECORD!$E$7:$EP$7,ROWS(RECORD!$E$7:F97))=0,"",(INDEX(RECORD!$E$7:$EP$7,ROWS(RECORD!$E$7:F97))))</x:f>
        <x:v>#REF!</x:v>
      </x:c>
      <x:c r="C112" s="34" t="e">
        <x:f t="array" ref="C112">IF((INDEX(RECORD!$E$11:$EP$11,ROWS(RECORD!$E$11:F101)))=0,"",(INDEX(RECORD!$E$11:$EP$11,ROWS(RECORD!$E$11:F101))))</x:f>
        <x:v>#REF!</x:v>
      </x:c>
      <x:c r="D112" s="34" t="e">
        <x:f t="array" ref="D112">IF(INDEX(RECORD!$E$12:$EP$12,ROWS(RECORD!$E$12:F102))=0,"",(INDEX(RECORD!$E$12:$EP$12,ROWS(RECORD!$E$12:F102))))</x:f>
        <x:v>#REF!</x:v>
      </x:c>
      <x:c r="E112" s="34" t="e">
        <x:f t="array" ref="E112">IF(INDEX(RECORD!$E$13:$EP$13,ROWS(RECORD!$E$13:F103))=0,"",(INDEX(RECORD!$E$13:$EP$13,ROWS(RECORD!$E$13:F103))))</x:f>
        <x:v>#REF!</x:v>
      </x:c>
    </x:row>
    <x:row r="113">
      <x:c r="A113" s="32">
        <x:v>92</x:v>
      </x:c>
      <x:c r="B113" s="33" t="e">
        <x:f t="array" ref="B113">IF(INDEX(RECORD!$E$7:$EP$7,ROWS(RECORD!$E$7:F98))=0,"",(INDEX(RECORD!$E$7:$EP$7,ROWS(RECORD!$E$7:F98))))</x:f>
        <x:v>#REF!</x:v>
      </x:c>
      <x:c r="C113" s="34" t="e">
        <x:f t="array" ref="C113">IF((INDEX(RECORD!$E$11:$EP$11,ROWS(RECORD!$E$11:F102)))=0,"",(INDEX(RECORD!$E$11:$EP$11,ROWS(RECORD!$E$11:F102))))</x:f>
        <x:v>#REF!</x:v>
      </x:c>
      <x:c r="D113" s="34" t="e">
        <x:f t="array" ref="D113">IF(INDEX(RECORD!$E$12:$EP$12,ROWS(RECORD!$E$12:F103))=0,"",(INDEX(RECORD!$E$12:$EP$12,ROWS(RECORD!$E$12:F103))))</x:f>
        <x:v>#REF!</x:v>
      </x:c>
      <x:c r="E113" s="34" t="e">
        <x:f t="array" ref="E113">IF(INDEX(RECORD!$E$13:$EP$13,ROWS(RECORD!$E$13:F104))=0,"",(INDEX(RECORD!$E$13:$EP$13,ROWS(RECORD!$E$13:F104))))</x:f>
        <x:v>#REF!</x:v>
      </x:c>
    </x:row>
    <x:row r="114">
      <x:c r="A114" s="32">
        <x:v>93</x:v>
      </x:c>
      <x:c r="B114" s="33" t="e">
        <x:f t="array" ref="B114">IF(INDEX(RECORD!$E$7:$EP$7,ROWS(RECORD!$E$7:F99))=0,"",(INDEX(RECORD!$E$7:$EP$7,ROWS(RECORD!$E$7:F99))))</x:f>
        <x:v>#REF!</x:v>
      </x:c>
      <x:c r="C114" s="34" t="e">
        <x:f t="array" ref="C114">IF((INDEX(RECORD!$E$11:$EP$11,ROWS(RECORD!$E$11:F103)))=0,"",(INDEX(RECORD!$E$11:$EP$11,ROWS(RECORD!$E$11:F103))))</x:f>
        <x:v>#REF!</x:v>
      </x:c>
      <x:c r="D114" s="34" t="e">
        <x:f t="array" ref="D114">IF(INDEX(RECORD!$E$12:$EP$12,ROWS(RECORD!$E$12:F104))=0,"",(INDEX(RECORD!$E$12:$EP$12,ROWS(RECORD!$E$12:F104))))</x:f>
        <x:v>#REF!</x:v>
      </x:c>
      <x:c r="E114" s="34" t="e">
        <x:f t="array" ref="E114">IF(INDEX(RECORD!$E$13:$EP$13,ROWS(RECORD!$E$13:F105))=0,"",(INDEX(RECORD!$E$13:$EP$13,ROWS(RECORD!$E$13:F105))))</x:f>
        <x:v>#REF!</x:v>
      </x:c>
    </x:row>
    <x:row r="115">
      <x:c r="A115" s="32">
        <x:v>94</x:v>
      </x:c>
      <x:c r="B115" s="33" t="e">
        <x:f t="array" ref="B115">IF(INDEX(RECORD!$E$7:$EP$7,ROWS(RECORD!$E$7:F100))=0,"",(INDEX(RECORD!$E$7:$EP$7,ROWS(RECORD!$E$7:F100))))</x:f>
        <x:v>#REF!</x:v>
      </x:c>
      <x:c r="C115" s="34" t="e">
        <x:f t="array" ref="C115">IF((INDEX(RECORD!$E$11:$EP$11,ROWS(RECORD!$E$11:F104)))=0,"",(INDEX(RECORD!$E$11:$EP$11,ROWS(RECORD!$E$11:F104))))</x:f>
        <x:v>#REF!</x:v>
      </x:c>
      <x:c r="D115" s="34" t="e">
        <x:f t="array" ref="D115">IF(INDEX(RECORD!$E$12:$EP$12,ROWS(RECORD!$E$12:F105))=0,"",(INDEX(RECORD!$E$12:$EP$12,ROWS(RECORD!$E$12:F105))))</x:f>
        <x:v>#REF!</x:v>
      </x:c>
      <x:c r="E115" s="34" t="e">
        <x:f t="array" ref="E115">IF(INDEX(RECORD!$E$13:$EP$13,ROWS(RECORD!$E$13:F106))=0,"",(INDEX(RECORD!$E$13:$EP$13,ROWS(RECORD!$E$13:F106))))</x:f>
        <x:v>#REF!</x:v>
      </x:c>
    </x:row>
    <x:row r="116">
      <x:c r="A116" s="32">
        <x:v>95</x:v>
      </x:c>
      <x:c r="B116" s="33" t="e">
        <x:f t="array" ref="B116">IF(INDEX(RECORD!$E$7:$EP$7,ROWS(RECORD!$E$7:F101))=0,"",(INDEX(RECORD!$E$7:$EP$7,ROWS(RECORD!$E$7:F101))))</x:f>
        <x:v>#REF!</x:v>
      </x:c>
      <x:c r="C116" s="34" t="e">
        <x:f t="array" ref="C116">IF((INDEX(RECORD!$E$11:$EP$11,ROWS(RECORD!$E$11:F105)))=0,"",(INDEX(RECORD!$E$11:$EP$11,ROWS(RECORD!$E$11:F105))))</x:f>
        <x:v>#REF!</x:v>
      </x:c>
      <x:c r="D116" s="34" t="e">
        <x:f t="array" ref="D116">IF(INDEX(RECORD!$E$12:$EP$12,ROWS(RECORD!$E$12:F106))=0,"",(INDEX(RECORD!$E$12:$EP$12,ROWS(RECORD!$E$12:F106))))</x:f>
        <x:v>#REF!</x:v>
      </x:c>
      <x:c r="E116" s="34" t="e">
        <x:f t="array" ref="E116">IF(INDEX(RECORD!$E$13:$EP$13,ROWS(RECORD!$E$13:F107))=0,"",(INDEX(RECORD!$E$13:$EP$13,ROWS(RECORD!$E$13:F107))))</x:f>
        <x:v>#REF!</x:v>
      </x:c>
    </x:row>
    <x:row r="117">
      <x:c r="A117" s="32">
        <x:v>96</x:v>
      </x:c>
      <x:c r="B117" s="33" t="e">
        <x:f t="array" ref="B117">IF(INDEX(RECORD!$E$7:$EP$7,ROWS(RECORD!$E$7:F102))=0,"",(INDEX(RECORD!$E$7:$EP$7,ROWS(RECORD!$E$7:F102))))</x:f>
        <x:v>#REF!</x:v>
      </x:c>
      <x:c r="C117" s="34" t="e">
        <x:f t="array" ref="C117">IF((INDEX(RECORD!$E$11:$EP$11,ROWS(RECORD!$E$11:F106)))=0,"",(INDEX(RECORD!$E$11:$EP$11,ROWS(RECORD!$E$11:F106))))</x:f>
        <x:v>#REF!</x:v>
      </x:c>
      <x:c r="D117" s="34" t="e">
        <x:f t="array" ref="D117">IF(INDEX(RECORD!$E$12:$EP$12,ROWS(RECORD!$E$12:F107))=0,"",(INDEX(RECORD!$E$12:$EP$12,ROWS(RECORD!$E$12:F107))))</x:f>
        <x:v>#REF!</x:v>
      </x:c>
      <x:c r="E117" s="34" t="e">
        <x:f t="array" ref="E117">IF(INDEX(RECORD!$E$13:$EP$13,ROWS(RECORD!$E$13:F108))=0,"",(INDEX(RECORD!$E$13:$EP$13,ROWS(RECORD!$E$13:F108))))</x:f>
        <x:v>#REF!</x:v>
      </x:c>
    </x:row>
    <x:row r="118">
      <x:c r="A118" s="32">
        <x:v>97</x:v>
      </x:c>
      <x:c r="B118" s="33" t="e">
        <x:f t="array" ref="B118">IF(INDEX(RECORD!$E$7:$EP$7,ROWS(RECORD!$E$7:F103))=0,"",(INDEX(RECORD!$E$7:$EP$7,ROWS(RECORD!$E$7:F103))))</x:f>
        <x:v>#REF!</x:v>
      </x:c>
      <x:c r="C118" s="34" t="e">
        <x:f t="array" ref="C118">IF((INDEX(RECORD!$E$11:$EP$11,ROWS(RECORD!$E$11:F107)))=0,"",(INDEX(RECORD!$E$11:$EP$11,ROWS(RECORD!$E$11:F107))))</x:f>
        <x:v>#REF!</x:v>
      </x:c>
      <x:c r="D118" s="34" t="e">
        <x:f t="array" ref="D118">IF(INDEX(RECORD!$E$12:$EP$12,ROWS(RECORD!$E$12:F108))=0,"",(INDEX(RECORD!$E$12:$EP$12,ROWS(RECORD!$E$12:F108))))</x:f>
        <x:v>#REF!</x:v>
      </x:c>
      <x:c r="E118" s="34" t="e">
        <x:f t="array" ref="E118">IF(INDEX(RECORD!$E$13:$EP$13,ROWS(RECORD!$E$13:F109))=0,"",(INDEX(RECORD!$E$13:$EP$13,ROWS(RECORD!$E$13:F109))))</x:f>
        <x:v>#REF!</x:v>
      </x:c>
    </x:row>
    <x:row r="119">
      <x:c r="A119" s="32">
        <x:v>98</x:v>
      </x:c>
      <x:c r="B119" s="33" t="e">
        <x:f t="array" ref="B119">IF(INDEX(RECORD!$E$7:$EP$7,ROWS(RECORD!$E$7:F104))=0,"",(INDEX(RECORD!$E$7:$EP$7,ROWS(RECORD!$E$7:F104))))</x:f>
        <x:v>#REF!</x:v>
      </x:c>
      <x:c r="C119" s="34" t="e">
        <x:f t="array" ref="C119">IF((INDEX(RECORD!$E$11:$EP$11,ROWS(RECORD!$E$11:F108)))=0,"",(INDEX(RECORD!$E$11:$EP$11,ROWS(RECORD!$E$11:F108))))</x:f>
        <x:v>#REF!</x:v>
      </x:c>
      <x:c r="D119" s="34" t="e">
        <x:f t="array" ref="D119">IF(INDEX(RECORD!$E$12:$EP$12,ROWS(RECORD!$E$12:F109))=0,"",(INDEX(RECORD!$E$12:$EP$12,ROWS(RECORD!$E$12:F109))))</x:f>
        <x:v>#REF!</x:v>
      </x:c>
      <x:c r="E119" s="34" t="e">
        <x:f t="array" ref="E119">IF(INDEX(RECORD!$E$13:$EP$13,ROWS(RECORD!$E$13:F110))=0,"",(INDEX(RECORD!$E$13:$EP$13,ROWS(RECORD!$E$13:F110))))</x:f>
        <x:v>#REF!</x:v>
      </x:c>
    </x:row>
    <x:row r="120">
      <x:c r="A120" s="32">
        <x:v>99</x:v>
      </x:c>
      <x:c r="B120" s="33" t="e">
        <x:f t="array" ref="B120">IF(INDEX(RECORD!$E$7:$EP$7,ROWS(RECORD!$E$7:F105))=0,"",(INDEX(RECORD!$E$7:$EP$7,ROWS(RECORD!$E$7:F105))))</x:f>
        <x:v>#REF!</x:v>
      </x:c>
      <x:c r="C120" s="34" t="e">
        <x:f t="array" ref="C120">IF((INDEX(RECORD!$E$11:$EP$11,ROWS(RECORD!$E$11:F109)))=0,"",(INDEX(RECORD!$E$11:$EP$11,ROWS(RECORD!$E$11:F109))))</x:f>
        <x:v>#REF!</x:v>
      </x:c>
      <x:c r="D120" s="34" t="e">
        <x:f t="array" ref="D120">IF(INDEX(RECORD!$E$12:$EP$12,ROWS(RECORD!$E$12:F110))=0,"",(INDEX(RECORD!$E$12:$EP$12,ROWS(RECORD!$E$12:F110))))</x:f>
        <x:v>#REF!</x:v>
      </x:c>
      <x:c r="E120" s="34" t="e">
        <x:f t="array" ref="E120">IF(INDEX(RECORD!$E$13:$EP$13,ROWS(RECORD!$E$13:F111))=0,"",(INDEX(RECORD!$E$13:$EP$13,ROWS(RECORD!$E$13:F111))))</x:f>
        <x:v>#REF!</x:v>
      </x:c>
    </x:row>
    <x:row r="121">
      <x:c r="A121" s="32">
        <x:v>100</x:v>
      </x:c>
      <x:c r="B121" s="33" t="e">
        <x:f t="array" ref="B121">IF(INDEX(RECORD!$E$7:$EP$7,ROWS(RECORD!$E$7:F106))=0,"",(INDEX(RECORD!$E$7:$EP$7,ROWS(RECORD!$E$7:F106))))</x:f>
        <x:v>#REF!</x:v>
      </x:c>
      <x:c r="C121" s="34" t="e">
        <x:f t="array" ref="C121">IF((INDEX(RECORD!$E$11:$EP$11,ROWS(RECORD!$E$11:F110)))=0,"",(INDEX(RECORD!$E$11:$EP$11,ROWS(RECORD!$E$11:F110))))</x:f>
        <x:v>#REF!</x:v>
      </x:c>
      <x:c r="D121" s="34" t="e">
        <x:f t="array" ref="D121">IF(INDEX(RECORD!$E$12:$EP$12,ROWS(RECORD!$E$12:F111))=0,"",(INDEX(RECORD!$E$12:$EP$12,ROWS(RECORD!$E$12:F111))))</x:f>
        <x:v>#REF!</x:v>
      </x:c>
      <x:c r="E121" s="34" t="e">
        <x:f t="array" ref="E121">IF(INDEX(RECORD!$E$13:$EP$13,ROWS(RECORD!$E$13:F112))=0,"",(INDEX(RECORD!$E$13:$EP$13,ROWS(RECORD!$E$13:F112))))</x:f>
        <x:v>#REF!</x:v>
      </x:c>
    </x:row>
    <x:row r="122">
      <x:c r="A122" s="32">
        <x:v>101</x:v>
      </x:c>
      <x:c r="B122" s="33" t="e">
        <x:f t="array" ref="B122">IF(INDEX(RECORD!$E$7:$EP$7,ROWS(RECORD!$E$7:F107))=0,"",(INDEX(RECORD!$E$7:$EP$7,ROWS(RECORD!$E$7:F107))))</x:f>
        <x:v>#REF!</x:v>
      </x:c>
      <x:c r="C122" s="34" t="e">
        <x:f t="array" ref="C122">IF((INDEX(RECORD!$E$11:$EP$11,ROWS(RECORD!$E$11:F111)))=0,"",(INDEX(RECORD!$E$11:$EP$11,ROWS(RECORD!$E$11:F111))))</x:f>
        <x:v>#REF!</x:v>
      </x:c>
      <x:c r="D122" s="34" t="e">
        <x:f t="array" ref="D122">IF(INDEX(RECORD!$E$12:$EP$12,ROWS(RECORD!$E$12:F112))=0,"",(INDEX(RECORD!$E$12:$EP$12,ROWS(RECORD!$E$12:F112))))</x:f>
        <x:v>#REF!</x:v>
      </x:c>
      <x:c r="E122" s="34" t="e">
        <x:f t="array" ref="E122">IF(INDEX(RECORD!$E$13:$EP$13,ROWS(RECORD!$E$13:F113))=0,"",(INDEX(RECORD!$E$13:$EP$13,ROWS(RECORD!$E$13:F113))))</x:f>
        <x:v>#REF!</x:v>
      </x:c>
    </x:row>
    <x:row r="123">
      <x:c r="A123" s="32">
        <x:v>102</x:v>
      </x:c>
      <x:c r="B123" s="33" t="e">
        <x:f t="array" ref="B123">IF(INDEX(RECORD!$E$7:$EP$7,ROWS(RECORD!$E$7:F108))=0,"",(INDEX(RECORD!$E$7:$EP$7,ROWS(RECORD!$E$7:F108))))</x:f>
        <x:v>#REF!</x:v>
      </x:c>
      <x:c r="C123" s="34" t="e">
        <x:f t="array" ref="C123">IF((INDEX(RECORD!$E$11:$EP$11,ROWS(RECORD!$E$11:F112)))=0,"",(INDEX(RECORD!$E$11:$EP$11,ROWS(RECORD!$E$11:F112))))</x:f>
        <x:v>#REF!</x:v>
      </x:c>
      <x:c r="D123" s="34" t="e">
        <x:f t="array" ref="D123">IF(INDEX(RECORD!$E$12:$EP$12,ROWS(RECORD!$E$12:F113))=0,"",(INDEX(RECORD!$E$12:$EP$12,ROWS(RECORD!$E$12:F113))))</x:f>
        <x:v>#REF!</x:v>
      </x:c>
      <x:c r="E123" s="34" t="e">
        <x:f t="array" ref="E123">IF(INDEX(RECORD!$E$13:$EP$13,ROWS(RECORD!$E$13:F114))=0,"",(INDEX(RECORD!$E$13:$EP$13,ROWS(RECORD!$E$13:F114))))</x:f>
        <x:v>#REF!</x:v>
      </x:c>
    </x:row>
    <x:row r="124">
      <x:c r="A124" s="32">
        <x:v>103</x:v>
      </x:c>
      <x:c r="B124" s="33" t="e">
        <x:f t="array" ref="B124">IF(INDEX(RECORD!$E$7:$EP$7,ROWS(RECORD!$E$7:F109))=0,"",(INDEX(RECORD!$E$7:$EP$7,ROWS(RECORD!$E$7:F109))))</x:f>
        <x:v>#REF!</x:v>
      </x:c>
      <x:c r="C124" s="34" t="e">
        <x:f t="array" ref="C124">IF((INDEX(RECORD!$E$11:$EP$11,ROWS(RECORD!$E$11:F113)))=0,"",(INDEX(RECORD!$E$11:$EP$11,ROWS(RECORD!$E$11:F113))))</x:f>
        <x:v>#REF!</x:v>
      </x:c>
      <x:c r="D124" s="34" t="e">
        <x:f t="array" ref="D124">IF(INDEX(RECORD!$E$12:$EP$12,ROWS(RECORD!$E$12:F114))=0,"",(INDEX(RECORD!$E$12:$EP$12,ROWS(RECORD!$E$12:F114))))</x:f>
        <x:v>#REF!</x:v>
      </x:c>
      <x:c r="E124" s="34" t="e">
        <x:f t="array" ref="E124">IF(INDEX(RECORD!$E$13:$EP$13,ROWS(RECORD!$E$13:F115))=0,"",(INDEX(RECORD!$E$13:$EP$13,ROWS(RECORD!$E$13:F115))))</x:f>
        <x:v>#REF!</x:v>
      </x:c>
    </x:row>
    <x:row r="125">
      <x:c r="A125" s="32">
        <x:v>104</x:v>
      </x:c>
      <x:c r="B125" s="33" t="e">
        <x:f t="array" ref="B125">IF(INDEX(RECORD!$E$7:$EP$7,ROWS(RECORD!$E$7:F110))=0,"",(INDEX(RECORD!$E$7:$EP$7,ROWS(RECORD!$E$7:F110))))</x:f>
        <x:v>#REF!</x:v>
      </x:c>
      <x:c r="C125" s="34" t="e">
        <x:f t="array" ref="C125">IF((INDEX(RECORD!$E$11:$EP$11,ROWS(RECORD!$E$11:F114)))=0,"",(INDEX(RECORD!$E$11:$EP$11,ROWS(RECORD!$E$11:F114))))</x:f>
        <x:v>#REF!</x:v>
      </x:c>
      <x:c r="D125" s="34" t="e">
        <x:f t="array" ref="D125">IF(INDEX(RECORD!$E$12:$EP$12,ROWS(RECORD!$E$12:F115))=0,"",(INDEX(RECORD!$E$12:$EP$12,ROWS(RECORD!$E$12:F115))))</x:f>
        <x:v>#REF!</x:v>
      </x:c>
      <x:c r="E125" s="34" t="e">
        <x:f t="array" ref="E125">IF(INDEX(RECORD!$E$13:$EP$13,ROWS(RECORD!$E$13:F116))=0,"",(INDEX(RECORD!$E$13:$EP$13,ROWS(RECORD!$E$13:F116))))</x:f>
        <x:v>#REF!</x:v>
      </x:c>
    </x:row>
    <x:row r="126">
      <x:c r="A126" s="32">
        <x:v>105</x:v>
      </x:c>
      <x:c r="B126" s="33" t="e">
        <x:f t="array" ref="B126">IF(INDEX(RECORD!$E$7:$EP$7,ROWS(RECORD!$E$7:F111))=0,"",(INDEX(RECORD!$E$7:$EP$7,ROWS(RECORD!$E$7:F111))))</x:f>
        <x:v>#REF!</x:v>
      </x:c>
      <x:c r="C126" s="34" t="e">
        <x:f t="array" ref="C126">IF((INDEX(RECORD!$E$11:$EP$11,ROWS(RECORD!$E$11:F115)))=0,"",(INDEX(RECORD!$E$11:$EP$11,ROWS(RECORD!$E$11:F115))))</x:f>
        <x:v>#REF!</x:v>
      </x:c>
      <x:c r="D126" s="34" t="e">
        <x:f t="array" ref="D126">IF(INDEX(RECORD!$E$12:$EP$12,ROWS(RECORD!$E$12:F116))=0,"",(INDEX(RECORD!$E$12:$EP$12,ROWS(RECORD!$E$12:F116))))</x:f>
        <x:v>#REF!</x:v>
      </x:c>
      <x:c r="E126" s="34" t="e">
        <x:f t="array" ref="E126">IF(INDEX(RECORD!$E$13:$EP$13,ROWS(RECORD!$E$13:F117))=0,"",(INDEX(RECORD!$E$13:$EP$13,ROWS(RECORD!$E$13:F117))))</x:f>
        <x:v>#REF!</x:v>
      </x:c>
    </x:row>
    <x:row r="127">
      <x:c r="A127" s="32">
        <x:v>106</x:v>
      </x:c>
      <x:c r="B127" s="33" t="e">
        <x:f t="array" ref="B127">IF(INDEX(RECORD!$E$7:$EP$7,ROWS(RECORD!$E$7:F112))=0,"",(INDEX(RECORD!$E$7:$EP$7,ROWS(RECORD!$E$7:F112))))</x:f>
        <x:v>#REF!</x:v>
      </x:c>
      <x:c r="C127" s="34" t="e">
        <x:f t="array" ref="C127">IF((INDEX(RECORD!$E$11:$EP$11,ROWS(RECORD!$E$11:F116)))=0,"",(INDEX(RECORD!$E$11:$EP$11,ROWS(RECORD!$E$11:F116))))</x:f>
        <x:v>#REF!</x:v>
      </x:c>
      <x:c r="D127" s="34" t="e">
        <x:f t="array" ref="D127">IF(INDEX(RECORD!$E$12:$EP$12,ROWS(RECORD!$E$12:F117))=0,"",(INDEX(RECORD!$E$12:$EP$12,ROWS(RECORD!$E$12:F117))))</x:f>
        <x:v>#REF!</x:v>
      </x:c>
      <x:c r="E127" s="34" t="e">
        <x:f t="array" ref="E127">IF(INDEX(RECORD!$E$13:$EP$13,ROWS(RECORD!$E$13:F118))=0,"",(INDEX(RECORD!$E$13:$EP$13,ROWS(RECORD!$E$13:F118))))</x:f>
        <x:v>#REF!</x:v>
      </x:c>
    </x:row>
    <x:row r="128">
      <x:c r="A128" s="32">
        <x:v>107</x:v>
      </x:c>
      <x:c r="B128" s="33" t="e">
        <x:f t="array" ref="B128">IF(INDEX(RECORD!$E$7:$EP$7,ROWS(RECORD!$E$7:F113))=0,"",(INDEX(RECORD!$E$7:$EP$7,ROWS(RECORD!$E$7:F113))))</x:f>
        <x:v>#REF!</x:v>
      </x:c>
      <x:c r="C128" s="34" t="e">
        <x:f t="array" ref="C128">IF((INDEX(RECORD!$E$11:$EP$11,ROWS(RECORD!$E$11:F117)))=0,"",(INDEX(RECORD!$E$11:$EP$11,ROWS(RECORD!$E$11:F117))))</x:f>
        <x:v>#REF!</x:v>
      </x:c>
      <x:c r="D128" s="34" t="e">
        <x:f t="array" ref="D128">IF(INDEX(RECORD!$E$12:$EP$12,ROWS(RECORD!$E$12:F118))=0,"",(INDEX(RECORD!$E$12:$EP$12,ROWS(RECORD!$E$12:F118))))</x:f>
        <x:v>#REF!</x:v>
      </x:c>
      <x:c r="E128" s="34" t="e">
        <x:f t="array" ref="E128">IF(INDEX(RECORD!$E$13:$EP$13,ROWS(RECORD!$E$13:F119))=0,"",(INDEX(RECORD!$E$13:$EP$13,ROWS(RECORD!$E$13:F119))))</x:f>
        <x:v>#REF!</x:v>
      </x:c>
    </x:row>
    <x:row r="129">
      <x:c r="A129" s="32">
        <x:v>108</x:v>
      </x:c>
      <x:c r="B129" s="33" t="e">
        <x:f t="array" ref="B129">IF(INDEX(RECORD!$E$7:$EP$7,ROWS(RECORD!$E$7:F114))=0,"",(INDEX(RECORD!$E$7:$EP$7,ROWS(RECORD!$E$7:F114))))</x:f>
        <x:v>#REF!</x:v>
      </x:c>
      <x:c r="C129" s="34" t="e">
        <x:f t="array" ref="C129">IF((INDEX(RECORD!$E$11:$EP$11,ROWS(RECORD!$E$11:F118)))=0,"",(INDEX(RECORD!$E$11:$EP$11,ROWS(RECORD!$E$11:F118))))</x:f>
        <x:v>#REF!</x:v>
      </x:c>
      <x:c r="D129" s="34" t="e">
        <x:f t="array" ref="D129">IF(INDEX(RECORD!$E$12:$EP$12,ROWS(RECORD!$E$12:F119))=0,"",(INDEX(RECORD!$E$12:$EP$12,ROWS(RECORD!$E$12:F119))))</x:f>
        <x:v>#REF!</x:v>
      </x:c>
      <x:c r="E129" s="34" t="e">
        <x:f t="array" ref="E129">IF(INDEX(RECORD!$E$13:$EP$13,ROWS(RECORD!$E$13:F120))=0,"",(INDEX(RECORD!$E$13:$EP$13,ROWS(RECORD!$E$13:F120))))</x:f>
        <x:v>#REF!</x:v>
      </x:c>
    </x:row>
    <x:row r="130">
      <x:c r="A130" s="32">
        <x:v>109</x:v>
      </x:c>
      <x:c r="B130" s="33" t="e">
        <x:f t="array" ref="B130">IF(INDEX(RECORD!$E$7:$EP$7,ROWS(RECORD!$E$7:F115))=0,"",(INDEX(RECORD!$E$7:$EP$7,ROWS(RECORD!$E$7:F115))))</x:f>
        <x:v>#REF!</x:v>
      </x:c>
      <x:c r="C130" s="34" t="e">
        <x:f t="array" ref="C130">IF((INDEX(RECORD!$E$11:$EP$11,ROWS(RECORD!$E$11:F119)))=0,"",(INDEX(RECORD!$E$11:$EP$11,ROWS(RECORD!$E$11:F119))))</x:f>
        <x:v>#REF!</x:v>
      </x:c>
      <x:c r="D130" s="34" t="e">
        <x:f t="array" ref="D130">IF(INDEX(RECORD!$E$12:$EP$12,ROWS(RECORD!$E$12:F120))=0,"",(INDEX(RECORD!$E$12:$EP$12,ROWS(RECORD!$E$12:F120))))</x:f>
        <x:v>#REF!</x:v>
      </x:c>
      <x:c r="E130" s="34" t="e">
        <x:f t="array" ref="E130">IF(INDEX(RECORD!$E$13:$EP$13,ROWS(RECORD!$E$13:F121))=0,"",(INDEX(RECORD!$E$13:$EP$13,ROWS(RECORD!$E$13:F121))))</x:f>
        <x:v>#REF!</x:v>
      </x:c>
    </x:row>
    <x:row r="131">
      <x:c r="A131" s="32">
        <x:v>110</x:v>
      </x:c>
      <x:c r="B131" s="33" t="e">
        <x:f t="array" ref="B131">IF(INDEX(RECORD!$E$7:$EP$7,ROWS(RECORD!$E$7:F116))=0,"",(INDEX(RECORD!$E$7:$EP$7,ROWS(RECORD!$E$7:F116))))</x:f>
        <x:v>#REF!</x:v>
      </x:c>
      <x:c r="C131" s="34" t="e">
        <x:f t="array" ref="C131">IF((INDEX(RECORD!$E$11:$EP$11,ROWS(RECORD!$E$11:F120)))=0,"",(INDEX(RECORD!$E$11:$EP$11,ROWS(RECORD!$E$11:F120))))</x:f>
        <x:v>#REF!</x:v>
      </x:c>
      <x:c r="D131" s="34" t="e">
        <x:f t="array" ref="D131">IF(INDEX(RECORD!$E$12:$EP$12,ROWS(RECORD!$E$12:F121))=0,"",(INDEX(RECORD!$E$12:$EP$12,ROWS(RECORD!$E$12:F121))))</x:f>
        <x:v>#REF!</x:v>
      </x:c>
      <x:c r="E131" s="34" t="e">
        <x:f t="array" ref="E131">IF(INDEX(RECORD!$E$13:$EP$13,ROWS(RECORD!$E$13:F122))=0,"",(INDEX(RECORD!$E$13:$EP$13,ROWS(RECORD!$E$13:F122))))</x:f>
        <x:v>#REF!</x:v>
      </x:c>
    </x:row>
    <x:row r="132">
      <x:c r="A132" s="32">
        <x:v>111</x:v>
      </x:c>
      <x:c r="B132" s="33" t="e">
        <x:f t="array" ref="B132">IF(INDEX(RECORD!$E$7:$EP$7,ROWS(RECORD!$E$7:F117))=0,"",(INDEX(RECORD!$E$7:$EP$7,ROWS(RECORD!$E$7:F117))))</x:f>
        <x:v>#REF!</x:v>
      </x:c>
      <x:c r="C132" s="34" t="e">
        <x:f t="array" ref="C132">IF((INDEX(RECORD!$E$11:$EP$11,ROWS(RECORD!$E$11:F121)))=0,"",(INDEX(RECORD!$E$11:$EP$11,ROWS(RECORD!$E$11:F121))))</x:f>
        <x:v>#REF!</x:v>
      </x:c>
      <x:c r="D132" s="34" t="e">
        <x:f t="array" ref="D132">IF(INDEX(RECORD!$E$12:$EP$12,ROWS(RECORD!$E$12:F122))=0,"",(INDEX(RECORD!$E$12:$EP$12,ROWS(RECORD!$E$12:F122))))</x:f>
        <x:v>#REF!</x:v>
      </x:c>
      <x:c r="E132" s="34" t="e">
        <x:f t="array" ref="E132">IF(INDEX(RECORD!$E$13:$EP$13,ROWS(RECORD!$E$13:F123))=0,"",(INDEX(RECORD!$E$13:$EP$13,ROWS(RECORD!$E$13:F123))))</x:f>
        <x:v>#REF!</x:v>
      </x:c>
    </x:row>
    <x:row r="133">
      <x:c r="A133" s="32">
        <x:v>112</x:v>
      </x:c>
      <x:c r="B133" s="33" t="e">
        <x:f t="array" ref="B133">IF(INDEX(RECORD!$E$7:$EP$7,ROWS(RECORD!$E$7:F118))=0,"",(INDEX(RECORD!$E$7:$EP$7,ROWS(RECORD!$E$7:F118))))</x:f>
        <x:v>#REF!</x:v>
      </x:c>
      <x:c r="C133" s="34" t="e">
        <x:f t="array" ref="C133">IF((INDEX(RECORD!$E$11:$EP$11,ROWS(RECORD!$E$11:F122)))=0,"",(INDEX(RECORD!$E$11:$EP$11,ROWS(RECORD!$E$11:F122))))</x:f>
        <x:v>#REF!</x:v>
      </x:c>
      <x:c r="D133" s="34" t="e">
        <x:f t="array" ref="D133">IF(INDEX(RECORD!$E$12:$EP$12,ROWS(RECORD!$E$12:F123))=0,"",(INDEX(RECORD!$E$12:$EP$12,ROWS(RECORD!$E$12:F123))))</x:f>
        <x:v>#REF!</x:v>
      </x:c>
      <x:c r="E133" s="34" t="e">
        <x:f t="array" ref="E133">IF(INDEX(RECORD!$E$13:$EP$13,ROWS(RECORD!$E$13:F124))=0,"",(INDEX(RECORD!$E$13:$EP$13,ROWS(RECORD!$E$13:F124))))</x:f>
        <x:v>#REF!</x:v>
      </x:c>
    </x:row>
    <x:row r="134">
      <x:c r="A134" s="32">
        <x:v>113</x:v>
      </x:c>
      <x:c r="B134" s="33" t="e">
        <x:f t="array" ref="B134">IF(INDEX(RECORD!$E$7:$EP$7,ROWS(RECORD!$E$7:F119))=0,"",(INDEX(RECORD!$E$7:$EP$7,ROWS(RECORD!$E$7:F119))))</x:f>
        <x:v>#REF!</x:v>
      </x:c>
      <x:c r="C134" s="34" t="e">
        <x:f t="array" ref="C134">IF((INDEX(RECORD!$E$11:$EP$11,ROWS(RECORD!$E$11:F123)))=0,"",(INDEX(RECORD!$E$11:$EP$11,ROWS(RECORD!$E$11:F123))))</x:f>
        <x:v>#REF!</x:v>
      </x:c>
      <x:c r="D134" s="34" t="e">
        <x:f t="array" ref="D134">IF(INDEX(RECORD!$E$12:$EP$12,ROWS(RECORD!$E$12:F124))=0,"",(INDEX(RECORD!$E$12:$EP$12,ROWS(RECORD!$E$12:F124))))</x:f>
        <x:v>#REF!</x:v>
      </x:c>
      <x:c r="E134" s="34" t="e">
        <x:f t="array" ref="E134">IF(INDEX(RECORD!$E$13:$EP$13,ROWS(RECORD!$E$13:F125))=0,"",(INDEX(RECORD!$E$13:$EP$13,ROWS(RECORD!$E$13:F125))))</x:f>
        <x:v>#REF!</x:v>
      </x:c>
    </x:row>
    <x:row r="135">
      <x:c r="A135" s="32">
        <x:v>114</x:v>
      </x:c>
      <x:c r="B135" s="33" t="e">
        <x:f t="array" ref="B135">IF(INDEX(RECORD!$E$7:$EP$7,ROWS(RECORD!$E$7:F120))=0,"",(INDEX(RECORD!$E$7:$EP$7,ROWS(RECORD!$E$7:F120))))</x:f>
        <x:v>#REF!</x:v>
      </x:c>
      <x:c r="C135" s="34" t="e">
        <x:f t="array" ref="C135">IF((INDEX(RECORD!$E$11:$EP$11,ROWS(RECORD!$E$11:F124)))=0,"",(INDEX(RECORD!$E$11:$EP$11,ROWS(RECORD!$E$11:F124))))</x:f>
        <x:v>#REF!</x:v>
      </x:c>
      <x:c r="D135" s="34" t="e">
        <x:f t="array" ref="D135">IF(INDEX(RECORD!$E$12:$EP$12,ROWS(RECORD!$E$12:F125))=0,"",(INDEX(RECORD!$E$12:$EP$12,ROWS(RECORD!$E$12:F125))))</x:f>
        <x:v>#REF!</x:v>
      </x:c>
      <x:c r="E135" s="34" t="e">
        <x:f t="array" ref="E135">IF(INDEX(RECORD!$E$13:$EP$13,ROWS(RECORD!$E$13:F126))=0,"",(INDEX(RECORD!$E$13:$EP$13,ROWS(RECORD!$E$13:F126))))</x:f>
        <x:v>#REF!</x:v>
      </x:c>
    </x:row>
    <x:row r="136">
      <x:c r="A136" s="32">
        <x:v>115</x:v>
      </x:c>
      <x:c r="B136" s="33" t="e">
        <x:f t="array" ref="B136">IF(INDEX(RECORD!$E$7:$EP$7,ROWS(RECORD!$E$7:F121))=0,"",(INDEX(RECORD!$E$7:$EP$7,ROWS(RECORD!$E$7:F121))))</x:f>
        <x:v>#REF!</x:v>
      </x:c>
      <x:c r="C136" s="34" t="e">
        <x:f t="array" ref="C136">IF((INDEX(RECORD!$E$11:$EP$11,ROWS(RECORD!$E$11:F125)))=0,"",(INDEX(RECORD!$E$11:$EP$11,ROWS(RECORD!$E$11:F125))))</x:f>
        <x:v>#REF!</x:v>
      </x:c>
      <x:c r="D136" s="34" t="e">
        <x:f t="array" ref="D136">IF(INDEX(RECORD!$E$12:$EP$12,ROWS(RECORD!$E$12:F126))=0,"",(INDEX(RECORD!$E$12:$EP$12,ROWS(RECORD!$E$12:F126))))</x:f>
        <x:v>#REF!</x:v>
      </x:c>
      <x:c r="E136" s="34" t="e">
        <x:f t="array" ref="E136">IF(INDEX(RECORD!$E$13:$EP$13,ROWS(RECORD!$E$13:F127))=0,"",(INDEX(RECORD!$E$13:$EP$13,ROWS(RECORD!$E$13:F127))))</x:f>
        <x:v>#REF!</x:v>
      </x:c>
    </x:row>
    <x:row r="137">
      <x:c r="A137" s="32">
        <x:v>116</x:v>
      </x:c>
      <x:c r="B137" s="33" t="e">
        <x:f t="array" ref="B137">IF(INDEX(RECORD!$E$7:$EP$7,ROWS(RECORD!$E$7:F122))=0,"",(INDEX(RECORD!$E$7:$EP$7,ROWS(RECORD!$E$7:F122))))</x:f>
        <x:v>#REF!</x:v>
      </x:c>
      <x:c r="C137" s="34" t="e">
        <x:f t="array" ref="C137">IF((INDEX(RECORD!$E$11:$EP$11,ROWS(RECORD!$E$11:F126)))=0,"",(INDEX(RECORD!$E$11:$EP$11,ROWS(RECORD!$E$11:F126))))</x:f>
        <x:v>#REF!</x:v>
      </x:c>
      <x:c r="D137" s="34" t="e">
        <x:f t="array" ref="D137">IF(INDEX(RECORD!$E$12:$EP$12,ROWS(RECORD!$E$12:F127))=0,"",(INDEX(RECORD!$E$12:$EP$12,ROWS(RECORD!$E$12:F127))))</x:f>
        <x:v>#REF!</x:v>
      </x:c>
      <x:c r="E137" s="34" t="e">
        <x:f t="array" ref="E137">IF(INDEX(RECORD!$E$13:$EP$13,ROWS(RECORD!$E$13:F128))=0,"",(INDEX(RECORD!$E$13:$EP$13,ROWS(RECORD!$E$13:F128))))</x:f>
        <x:v>#REF!</x:v>
      </x:c>
    </x:row>
    <x:row r="138">
      <x:c r="A138" s="32">
        <x:v>117</x:v>
      </x:c>
      <x:c r="B138" s="33" t="e">
        <x:f t="array" ref="B138">IF(INDEX(RECORD!$E$7:$EP$7,ROWS(RECORD!$E$7:F123))=0,"",(INDEX(RECORD!$E$7:$EP$7,ROWS(RECORD!$E$7:F123))))</x:f>
        <x:v>#REF!</x:v>
      </x:c>
      <x:c r="C138" s="34" t="e">
        <x:f t="array" ref="C138">IF((INDEX(RECORD!$E$11:$EP$11,ROWS(RECORD!$E$11:F127)))=0,"",(INDEX(RECORD!$E$11:$EP$11,ROWS(RECORD!$E$11:F127))))</x:f>
        <x:v>#REF!</x:v>
      </x:c>
      <x:c r="D138" s="34" t="e">
        <x:f t="array" ref="D138">IF(INDEX(RECORD!$E$12:$EP$12,ROWS(RECORD!$E$12:F128))=0,"",(INDEX(RECORD!$E$12:$EP$12,ROWS(RECORD!$E$12:F128))))</x:f>
        <x:v>#REF!</x:v>
      </x:c>
      <x:c r="E138" s="34" t="e">
        <x:f t="array" ref="E138">IF(INDEX(RECORD!$E$13:$EP$13,ROWS(RECORD!$E$13:F129))=0,"",(INDEX(RECORD!$E$13:$EP$13,ROWS(RECORD!$E$13:F129))))</x:f>
        <x:v>#REF!</x:v>
      </x:c>
    </x:row>
    <x:row r="139">
      <x:c r="A139" s="32">
        <x:v>118</x:v>
      </x:c>
      <x:c r="B139" s="33" t="e">
        <x:f t="array" ref="B139">IF(INDEX(RECORD!$E$7:$EP$7,ROWS(RECORD!$E$7:F124))=0,"",(INDEX(RECORD!$E$7:$EP$7,ROWS(RECORD!$E$7:F124))))</x:f>
        <x:v>#REF!</x:v>
      </x:c>
      <x:c r="C139" s="34" t="e">
        <x:f t="array" ref="C139">IF((INDEX(RECORD!$E$11:$EP$11,ROWS(RECORD!$E$11:F128)))=0,"",(INDEX(RECORD!$E$11:$EP$11,ROWS(RECORD!$E$11:F128))))</x:f>
        <x:v>#REF!</x:v>
      </x:c>
      <x:c r="D139" s="34" t="e">
        <x:f t="array" ref="D139">IF(INDEX(RECORD!$E$12:$EP$12,ROWS(RECORD!$E$12:F129))=0,"",(INDEX(RECORD!$E$12:$EP$12,ROWS(RECORD!$E$12:F129))))</x:f>
        <x:v>#REF!</x:v>
      </x:c>
      <x:c r="E139" s="34" t="e">
        <x:f t="array" ref="E139">IF(INDEX(RECORD!$E$13:$EP$13,ROWS(RECORD!$E$13:F130))=0,"",(INDEX(RECORD!$E$13:$EP$13,ROWS(RECORD!$E$13:F130))))</x:f>
        <x:v>#REF!</x:v>
      </x:c>
    </x:row>
    <x:row r="140">
      <x:c r="A140" s="32">
        <x:v>119</x:v>
      </x:c>
      <x:c r="B140" s="33" t="e">
        <x:f t="array" ref="B140">IF(INDEX(RECORD!$E$7:$EP$7,ROWS(RECORD!$E$7:F125))=0,"",(INDEX(RECORD!$E$7:$EP$7,ROWS(RECORD!$E$7:F125))))</x:f>
        <x:v>#REF!</x:v>
      </x:c>
      <x:c r="C140" s="34" t="e">
        <x:f t="array" ref="C140">IF((INDEX(RECORD!$E$11:$EP$11,ROWS(RECORD!$E$11:F129)))=0,"",(INDEX(RECORD!$E$11:$EP$11,ROWS(RECORD!$E$11:F129))))</x:f>
        <x:v>#REF!</x:v>
      </x:c>
      <x:c r="D140" s="34" t="e">
        <x:f t="array" ref="D140">IF(INDEX(RECORD!$E$12:$EP$12,ROWS(RECORD!$E$12:F130))=0,"",(INDEX(RECORD!$E$12:$EP$12,ROWS(RECORD!$E$12:F130))))</x:f>
        <x:v>#REF!</x:v>
      </x:c>
      <x:c r="E140" s="34" t="e">
        <x:f t="array" ref="E140">IF(INDEX(RECORD!$E$13:$EP$13,ROWS(RECORD!$E$13:F131))=0,"",(INDEX(RECORD!$E$13:$EP$13,ROWS(RECORD!$E$13:F131))))</x:f>
        <x:v>#REF!</x:v>
      </x:c>
    </x:row>
    <x:row r="141">
      <x:c r="A141" s="32">
        <x:v>120</x:v>
      </x:c>
      <x:c r="B141" s="33" t="e">
        <x:f t="array" ref="B141">IF(INDEX(RECORD!$E$7:$EP$7,ROWS(RECORD!$E$7:F126))=0,"",(INDEX(RECORD!$E$7:$EP$7,ROWS(RECORD!$E$7:F126))))</x:f>
        <x:v>#REF!</x:v>
      </x:c>
      <x:c r="C141" s="34" t="e">
        <x:f t="array" ref="C141">IF((INDEX(RECORD!$E$11:$EP$11,ROWS(RECORD!$E$11:F130)))=0,"",(INDEX(RECORD!$E$11:$EP$11,ROWS(RECORD!$E$11:F130))))</x:f>
        <x:v>#REF!</x:v>
      </x:c>
      <x:c r="D141" s="34" t="e">
        <x:f t="array" ref="D141">IF(INDEX(RECORD!$E$12:$EP$12,ROWS(RECORD!$E$12:F131))=0,"",(INDEX(RECORD!$E$12:$EP$12,ROWS(RECORD!$E$12:F131))))</x:f>
        <x:v>#REF!</x:v>
      </x:c>
      <x:c r="E141" s="34" t="e">
        <x:f t="array" ref="E141">IF(INDEX(RECORD!$E$13:$EP$13,ROWS(RECORD!$E$13:F132))=0,"",(INDEX(RECORD!$E$13:$EP$13,ROWS(RECORD!$E$13:F132))))</x:f>
        <x:v>#REF!</x:v>
      </x:c>
    </x:row>
    <x:row r="142">
      <x:c r="A142" s="32">
        <x:v>121</x:v>
      </x:c>
      <x:c r="B142" s="33" t="e">
        <x:f t="array" ref="B142">IF(INDEX(RECORD!$E$7:$EP$7,ROWS(RECORD!$E$7:F127))=0,"",(INDEX(RECORD!$E$7:$EP$7,ROWS(RECORD!$E$7:F127))))</x:f>
        <x:v>#REF!</x:v>
      </x:c>
      <x:c r="C142" s="34" t="e">
        <x:f t="array" ref="C142">IF((INDEX(RECORD!$E$11:$EP$11,ROWS(RECORD!$E$11:F131)))=0,"",(INDEX(RECORD!$E$11:$EP$11,ROWS(RECORD!$E$11:F131))))</x:f>
        <x:v>#REF!</x:v>
      </x:c>
      <x:c r="D142" s="34" t="e">
        <x:f t="array" ref="D142">IF(INDEX(RECORD!$E$12:$EP$12,ROWS(RECORD!$E$12:F132))=0,"",(INDEX(RECORD!$E$12:$EP$12,ROWS(RECORD!$E$12:F132))))</x:f>
        <x:v>#REF!</x:v>
      </x:c>
      <x:c r="E142" s="34" t="e">
        <x:f t="array" ref="E142">IF(INDEX(RECORD!$E$13:$EP$13,ROWS(RECORD!$E$13:F133))=0,"",(INDEX(RECORD!$E$13:$EP$13,ROWS(RECORD!$E$13:F133))))</x:f>
        <x:v>#REF!</x:v>
      </x:c>
    </x:row>
    <x:row r="143">
      <x:c r="A143" s="32">
        <x:v>122</x:v>
      </x:c>
      <x:c r="B143" s="33" t="e">
        <x:f t="array" ref="B143">IF(INDEX(RECORD!$E$7:$EP$7,ROWS(RECORD!$E$7:F128))=0,"",(INDEX(RECORD!$E$7:$EP$7,ROWS(RECORD!$E$7:F128))))</x:f>
        <x:v>#REF!</x:v>
      </x:c>
      <x:c r="C143" s="34" t="e">
        <x:f t="array" ref="C143">IF((INDEX(RECORD!$E$11:$EP$11,ROWS(RECORD!$E$11:F132)))=0,"",(INDEX(RECORD!$E$11:$EP$11,ROWS(RECORD!$E$11:F132))))</x:f>
        <x:v>#REF!</x:v>
      </x:c>
      <x:c r="D143" s="34" t="e">
        <x:f t="array" ref="D143">IF(INDEX(RECORD!$E$12:$EP$12,ROWS(RECORD!$E$12:F133))=0,"",(INDEX(RECORD!$E$12:$EP$12,ROWS(RECORD!$E$12:F133))))</x:f>
        <x:v>#REF!</x:v>
      </x:c>
      <x:c r="E143" s="34" t="e">
        <x:f t="array" ref="E143">IF(INDEX(RECORD!$E$13:$EP$13,ROWS(RECORD!$E$13:F134))=0,"",(INDEX(RECORD!$E$13:$EP$13,ROWS(RECORD!$E$13:F134))))</x:f>
        <x:v>#REF!</x:v>
      </x:c>
    </x:row>
    <x:row r="144">
      <x:c r="A144" s="32">
        <x:v>123</x:v>
      </x:c>
      <x:c r="B144" s="33" t="e">
        <x:f t="array" ref="B144">IF(INDEX(RECORD!$E$7:$EP$7,ROWS(RECORD!$E$7:F129))=0,"",(INDEX(RECORD!$E$7:$EP$7,ROWS(RECORD!$E$7:F129))))</x:f>
        <x:v>#REF!</x:v>
      </x:c>
      <x:c r="C144" s="34" t="e">
        <x:f t="array" ref="C144">IF((INDEX(RECORD!$E$11:$EP$11,ROWS(RECORD!$E$11:F133)))=0,"",(INDEX(RECORD!$E$11:$EP$11,ROWS(RECORD!$E$11:F133))))</x:f>
        <x:v>#REF!</x:v>
      </x:c>
      <x:c r="D144" s="34" t="e">
        <x:f t="array" ref="D144">IF(INDEX(RECORD!$E$12:$EP$12,ROWS(RECORD!$E$12:F134))=0,"",(INDEX(RECORD!$E$12:$EP$12,ROWS(RECORD!$E$12:F134))))</x:f>
        <x:v>#REF!</x:v>
      </x:c>
      <x:c r="E144" s="34" t="e">
        <x:f t="array" ref="E144">IF(INDEX(RECORD!$E$13:$EP$13,ROWS(RECORD!$E$13:F135))=0,"",(INDEX(RECORD!$E$13:$EP$13,ROWS(RECORD!$E$13:F135))))</x:f>
        <x:v>#REF!</x:v>
      </x:c>
    </x:row>
    <x:row r="145">
      <x:c r="A145" s="32">
        <x:v>124</x:v>
      </x:c>
      <x:c r="B145" s="33" t="e">
        <x:f t="array" ref="B145">IF(INDEX(RECORD!$E$7:$EP$7,ROWS(RECORD!$E$7:F130))=0,"",(INDEX(RECORD!$E$7:$EP$7,ROWS(RECORD!$E$7:F130))))</x:f>
        <x:v>#REF!</x:v>
      </x:c>
      <x:c r="C145" s="34" t="e">
        <x:f t="array" ref="C145">IF((INDEX(RECORD!$E$11:$EP$11,ROWS(RECORD!$E$11:F134)))=0,"",(INDEX(RECORD!$E$11:$EP$11,ROWS(RECORD!$E$11:F134))))</x:f>
        <x:v>#REF!</x:v>
      </x:c>
      <x:c r="D145" s="34" t="e">
        <x:f t="array" ref="D145">IF(INDEX(RECORD!$E$12:$EP$12,ROWS(RECORD!$E$12:F135))=0,"",(INDEX(RECORD!$E$12:$EP$12,ROWS(RECORD!$E$12:F135))))</x:f>
        <x:v>#REF!</x:v>
      </x:c>
      <x:c r="E145" s="34" t="e">
        <x:f t="array" ref="E145">IF(INDEX(RECORD!$E$13:$EP$13,ROWS(RECORD!$E$13:F136))=0,"",(INDEX(RECORD!$E$13:$EP$13,ROWS(RECORD!$E$13:F136))))</x:f>
        <x:v>#REF!</x:v>
      </x:c>
    </x:row>
    <x:row r="146">
      <x:c r="A146" s="32">
        <x:v>125</x:v>
      </x:c>
      <x:c r="B146" s="33" t="e">
        <x:f t="array" ref="B146">IF(INDEX(RECORD!$E$7:$EP$7,ROWS(RECORD!$E$7:F131))=0,"",(INDEX(RECORD!$E$7:$EP$7,ROWS(RECORD!$E$7:F131))))</x:f>
        <x:v>#REF!</x:v>
      </x:c>
      <x:c r="C146" s="34" t="e">
        <x:f t="array" ref="C146">IF((INDEX(RECORD!$E$11:$EP$11,ROWS(RECORD!$E$11:F135)))=0,"",(INDEX(RECORD!$E$11:$EP$11,ROWS(RECORD!$E$11:F135))))</x:f>
        <x:v>#REF!</x:v>
      </x:c>
      <x:c r="D146" s="34" t="e">
        <x:f t="array" ref="D146">IF(INDEX(RECORD!$E$12:$EP$12,ROWS(RECORD!$E$12:F136))=0,"",(INDEX(RECORD!$E$12:$EP$12,ROWS(RECORD!$E$12:F136))))</x:f>
        <x:v>#REF!</x:v>
      </x:c>
      <x:c r="E146" s="34" t="e">
        <x:f t="array" ref="E146">IF(INDEX(RECORD!$E$13:$EP$13,ROWS(RECORD!$E$13:F137))=0,"",(INDEX(RECORD!$E$13:$EP$13,ROWS(RECORD!$E$13:F137))))</x:f>
        <x:v>#REF!</x:v>
      </x:c>
    </x:row>
    <x:row r="147">
      <x:c r="A147" s="32">
        <x:v>126</x:v>
      </x:c>
      <x:c r="B147" s="33" t="e">
        <x:f t="array" ref="B147">IF(INDEX(RECORD!$E$7:$EP$7,ROWS(RECORD!$E$7:F132))=0,"",(INDEX(RECORD!$E$7:$EP$7,ROWS(RECORD!$E$7:F132))))</x:f>
        <x:v>#REF!</x:v>
      </x:c>
      <x:c r="C147" s="34" t="e">
        <x:f t="array" ref="C147">IF((INDEX(RECORD!$E$11:$EP$11,ROWS(RECORD!$E$11:F136)))=0,"",(INDEX(RECORD!$E$11:$EP$11,ROWS(RECORD!$E$11:F136))))</x:f>
        <x:v>#REF!</x:v>
      </x:c>
      <x:c r="D147" s="34" t="e">
        <x:f t="array" ref="D147">IF(INDEX(RECORD!$E$12:$EP$12,ROWS(RECORD!$E$12:F137))=0,"",(INDEX(RECORD!$E$12:$EP$12,ROWS(RECORD!$E$12:F137))))</x:f>
        <x:v>#REF!</x:v>
      </x:c>
      <x:c r="E147" s="34" t="e">
        <x:f t="array" ref="E147">IF(INDEX(RECORD!$E$13:$EP$13,ROWS(RECORD!$E$13:F138))=0,"",(INDEX(RECORD!$E$13:$EP$13,ROWS(RECORD!$E$13:F138))))</x:f>
        <x:v>#REF!</x:v>
      </x:c>
    </x:row>
    <x:row r="148">
      <x:c r="A148" s="32">
        <x:v>127</x:v>
      </x:c>
      <x:c r="B148" s="33" t="e">
        <x:f t="array" ref="B148">IF(INDEX(RECORD!$E$7:$EP$7,ROWS(RECORD!$E$7:F133))=0,"",(INDEX(RECORD!$E$7:$EP$7,ROWS(RECORD!$E$7:F133))))</x:f>
        <x:v>#REF!</x:v>
      </x:c>
      <x:c r="C148" s="34" t="e">
        <x:f t="array" ref="C148">IF((INDEX(RECORD!$E$11:$EP$11,ROWS(RECORD!$E$11:F137)))=0,"",(INDEX(RECORD!$E$11:$EP$11,ROWS(RECORD!$E$11:F137))))</x:f>
        <x:v>#REF!</x:v>
      </x:c>
      <x:c r="D148" s="34" t="e">
        <x:f t="array" ref="D148">IF(INDEX(RECORD!$E$12:$EP$12,ROWS(RECORD!$E$12:F138))=0,"",(INDEX(RECORD!$E$12:$EP$12,ROWS(RECORD!$E$12:F138))))</x:f>
        <x:v>#REF!</x:v>
      </x:c>
      <x:c r="E148" s="34" t="e">
        <x:f t="array" ref="E148">IF(INDEX(RECORD!$E$13:$EP$13,ROWS(RECORD!$E$13:F139))=0,"",(INDEX(RECORD!$E$13:$EP$13,ROWS(RECORD!$E$13:F139))))</x:f>
        <x:v>#REF!</x:v>
      </x:c>
    </x:row>
    <x:row r="149">
      <x:c r="A149" s="32">
        <x:v>128</x:v>
      </x:c>
      <x:c r="B149" s="33" t="e">
        <x:f t="array" ref="B149">IF(INDEX(RECORD!$E$7:$EP$7,ROWS(RECORD!$E$7:F134))=0,"",(INDEX(RECORD!$E$7:$EP$7,ROWS(RECORD!$E$7:F134))))</x:f>
        <x:v>#REF!</x:v>
      </x:c>
      <x:c r="C149" s="34" t="e">
        <x:f t="array" ref="C149">IF((INDEX(RECORD!$E$11:$EP$11,ROWS(RECORD!$E$11:F138)))=0,"",(INDEX(RECORD!$E$11:$EP$11,ROWS(RECORD!$E$11:F138))))</x:f>
        <x:v>#REF!</x:v>
      </x:c>
      <x:c r="D149" s="34" t="e">
        <x:f t="array" ref="D149">IF(INDEX(RECORD!$E$12:$EP$12,ROWS(RECORD!$E$12:F139))=0,"",(INDEX(RECORD!$E$12:$EP$12,ROWS(RECORD!$E$12:F139))))</x:f>
        <x:v>#REF!</x:v>
      </x:c>
      <x:c r="E149" s="34" t="e">
        <x:f t="array" ref="E149">IF(INDEX(RECORD!$E$13:$EP$13,ROWS(RECORD!$E$13:F140))=0,"",(INDEX(RECORD!$E$13:$EP$13,ROWS(RECORD!$E$13:F140))))</x:f>
        <x:v>#REF!</x:v>
      </x:c>
    </x:row>
    <x:row r="150">
      <x:c r="A150" s="32">
        <x:v>129</x:v>
      </x:c>
      <x:c r="B150" s="33" t="e">
        <x:f t="array" ref="B150">IF(INDEX(RECORD!$E$7:$EP$7,ROWS(RECORD!$E$7:F135))=0,"",(INDEX(RECORD!$E$7:$EP$7,ROWS(RECORD!$E$7:F135))))</x:f>
        <x:v>#REF!</x:v>
      </x:c>
      <x:c r="C150" s="34" t="e">
        <x:f t="array" ref="C150">IF((INDEX(RECORD!$E$11:$EP$11,ROWS(RECORD!$E$11:F139)))=0,"",(INDEX(RECORD!$E$11:$EP$11,ROWS(RECORD!$E$11:F139))))</x:f>
        <x:v>#REF!</x:v>
      </x:c>
      <x:c r="D150" s="34" t="e">
        <x:f t="array" ref="D150">IF(INDEX(RECORD!$E$12:$EP$12,ROWS(RECORD!$E$12:F140))=0,"",(INDEX(RECORD!$E$12:$EP$12,ROWS(RECORD!$E$12:F140))))</x:f>
        <x:v>#REF!</x:v>
      </x:c>
      <x:c r="E150" s="34" t="e">
        <x:f t="array" ref="E150">IF(INDEX(RECORD!$E$13:$EP$13,ROWS(RECORD!$E$13:F141))=0,"",(INDEX(RECORD!$E$13:$EP$13,ROWS(RECORD!$E$13:F141))))</x:f>
        <x:v>#REF!</x:v>
      </x:c>
    </x:row>
    <x:row r="151">
      <x:c r="A151" s="32">
        <x:v>130</x:v>
      </x:c>
      <x:c r="B151" s="33" t="e">
        <x:f t="array" ref="B151">IF(INDEX(RECORD!$E$7:$EP$7,ROWS(RECORD!$E$7:F136))=0,"",(INDEX(RECORD!$E$7:$EP$7,ROWS(RECORD!$E$7:F136))))</x:f>
        <x:v>#REF!</x:v>
      </x:c>
      <x:c r="C151" s="34" t="e">
        <x:f t="array" ref="C151">IF((INDEX(RECORD!$E$11:$EP$11,ROWS(RECORD!$E$11:F140)))=0,"",(INDEX(RECORD!$E$11:$EP$11,ROWS(RECORD!$E$11:F140))))</x:f>
        <x:v>#REF!</x:v>
      </x:c>
      <x:c r="D151" s="34" t="e">
        <x:f t="array" ref="D151">IF(INDEX(RECORD!$E$12:$EP$12,ROWS(RECORD!$E$12:F141))=0,"",(INDEX(RECORD!$E$12:$EP$12,ROWS(RECORD!$E$12:F141))))</x:f>
        <x:v>#REF!</x:v>
      </x:c>
      <x:c r="E151" s="34" t="e">
        <x:f t="array" ref="E151">IF(INDEX(RECORD!$E$13:$EP$13,ROWS(RECORD!$E$13:F142))=0,"",(INDEX(RECORD!$E$13:$EP$13,ROWS(RECORD!$E$13:F142))))</x:f>
        <x:v>#REF!</x:v>
      </x:c>
    </x:row>
    <x:row r="152">
      <x:c r="A152" s="32">
        <x:v>131</x:v>
      </x:c>
      <x:c r="B152" s="33" t="e">
        <x:f t="array" ref="B152">IF(INDEX(RECORD!$E$7:$EP$7,ROWS(RECORD!$E$7:F137))=0,"",(INDEX(RECORD!$E$7:$EP$7,ROWS(RECORD!$E$7:F137))))</x:f>
        <x:v>#REF!</x:v>
      </x:c>
      <x:c r="C152" s="34" t="e">
        <x:f t="array" ref="C152">IF((INDEX(RECORD!$E$11:$EP$11,ROWS(RECORD!$E$11:F141)))=0,"",(INDEX(RECORD!$E$11:$EP$11,ROWS(RECORD!$E$11:F141))))</x:f>
        <x:v>#REF!</x:v>
      </x:c>
      <x:c r="D152" s="34" t="e">
        <x:f t="array" ref="D152">IF(INDEX(RECORD!$E$12:$EP$12,ROWS(RECORD!$E$12:F142))=0,"",(INDEX(RECORD!$E$12:$EP$12,ROWS(RECORD!$E$12:F142))))</x:f>
        <x:v>#REF!</x:v>
      </x:c>
      <x:c r="E152" s="34" t="e">
        <x:f t="array" ref="E152">IF(INDEX(RECORD!$E$13:$EP$13,ROWS(RECORD!$E$13:F143))=0,"",(INDEX(RECORD!$E$13:$EP$13,ROWS(RECORD!$E$13:F143))))</x:f>
        <x:v>#REF!</x:v>
      </x:c>
    </x:row>
    <x:row r="153">
      <x:c r="A153" s="32">
        <x:v>132</x:v>
      </x:c>
      <x:c r="B153" s="33" t="e">
        <x:f t="array" ref="B153">IF(INDEX(RECORD!$E$7:$EP$7,ROWS(RECORD!$E$7:F138))=0,"",(INDEX(RECORD!$E$7:$EP$7,ROWS(RECORD!$E$7:F138))))</x:f>
        <x:v>#REF!</x:v>
      </x:c>
      <x:c r="C153" s="34" t="e">
        <x:f t="array" ref="C153">IF((INDEX(RECORD!$E$11:$EP$11,ROWS(RECORD!$E$11:F142)))=0,"",(INDEX(RECORD!$E$11:$EP$11,ROWS(RECORD!$E$11:F142))))</x:f>
        <x:v>#REF!</x:v>
      </x:c>
      <x:c r="D153" s="34" t="e">
        <x:f t="array" ref="D153">IF(INDEX(RECORD!$E$12:$EP$12,ROWS(RECORD!$E$12:F143))=0,"",(INDEX(RECORD!$E$12:$EP$12,ROWS(RECORD!$E$12:F143))))</x:f>
        <x:v>#REF!</x:v>
      </x:c>
      <x:c r="E153" s="34" t="e">
        <x:f t="array" ref="E153">IF(INDEX(RECORD!$E$13:$EP$13,ROWS(RECORD!$E$13:F144))=0,"",(INDEX(RECORD!$E$13:$EP$13,ROWS(RECORD!$E$13:F144))))</x:f>
        <x:v>#REF!</x:v>
      </x:c>
    </x:row>
    <x:row r="154">
      <x:c r="A154" s="32">
        <x:v>133</x:v>
      </x:c>
      <x:c r="B154" s="33" t="e">
        <x:f t="array" ref="B154">IF(INDEX(RECORD!$E$7:$EP$7,ROWS(RECORD!$E$7:F139))=0,"",(INDEX(RECORD!$E$7:$EP$7,ROWS(RECORD!$E$7:F139))))</x:f>
        <x:v>#REF!</x:v>
      </x:c>
      <x:c r="C154" s="34" t="e">
        <x:f t="array" ref="C154">IF((INDEX(RECORD!$E$11:$EP$11,ROWS(RECORD!$E$11:F143)))=0,"",(INDEX(RECORD!$E$11:$EP$11,ROWS(RECORD!$E$11:F143))))</x:f>
        <x:v>#REF!</x:v>
      </x:c>
      <x:c r="D154" s="34" t="e">
        <x:f t="array" ref="D154">IF(INDEX(RECORD!$E$12:$EP$12,ROWS(RECORD!$E$12:F144))=0,"",(INDEX(RECORD!$E$12:$EP$12,ROWS(RECORD!$E$12:F144))))</x:f>
        <x:v>#REF!</x:v>
      </x:c>
      <x:c r="E154" s="34" t="e">
        <x:f t="array" ref="E154">IF(INDEX(RECORD!$E$13:$EP$13,ROWS(RECORD!$E$13:F145))=0,"",(INDEX(RECORD!$E$13:$EP$13,ROWS(RECORD!$E$13:F145))))</x:f>
        <x:v>#REF!</x:v>
      </x:c>
    </x:row>
    <x:row r="155">
      <x:c r="A155" s="32">
        <x:v>134</x:v>
      </x:c>
      <x:c r="B155" s="33" t="e">
        <x:f t="array" ref="B155">IF(INDEX(RECORD!$E$7:$EP$7,ROWS(RECORD!$E$7:F140))=0,"",(INDEX(RECORD!$E$7:$EP$7,ROWS(RECORD!$E$7:F140))))</x:f>
        <x:v>#REF!</x:v>
      </x:c>
      <x:c r="C155" s="34" t="e">
        <x:f t="array" ref="C155">IF((INDEX(RECORD!$E$11:$EP$11,ROWS(RECORD!$E$11:F144)))=0,"",(INDEX(RECORD!$E$11:$EP$11,ROWS(RECORD!$E$11:F144))))</x:f>
        <x:v>#REF!</x:v>
      </x:c>
      <x:c r="D155" s="34" t="e">
        <x:f t="array" ref="D155">IF(INDEX(RECORD!$E$12:$EP$12,ROWS(RECORD!$E$12:F145))=0,"",(INDEX(RECORD!$E$12:$EP$12,ROWS(RECORD!$E$12:F145))))</x:f>
        <x:v>#REF!</x:v>
      </x:c>
      <x:c r="E155" s="34" t="e">
        <x:f t="array" ref="E155">IF(INDEX(RECORD!$E$13:$EP$13,ROWS(RECORD!$E$13:F146))=0,"",(INDEX(RECORD!$E$13:$EP$13,ROWS(RECORD!$E$13:F146))))</x:f>
        <x:v>#REF!</x:v>
      </x:c>
    </x:row>
    <x:row r="156">
      <x:c r="A156" s="32">
        <x:v>135</x:v>
      </x:c>
      <x:c r="B156" s="33" t="e">
        <x:f t="array" ref="B156">IF(INDEX(RECORD!$E$7:$EP$7,ROWS(RECORD!$E$7:F141))=0,"",(INDEX(RECORD!$E$7:$EP$7,ROWS(RECORD!$E$7:F141))))</x:f>
        <x:v>#REF!</x:v>
      </x:c>
      <x:c r="C156" s="34" t="e">
        <x:f t="array" ref="C156">IF((INDEX(RECORD!$E$11:$EP$11,ROWS(RECORD!$E$11:F145)))=0,"",(INDEX(RECORD!$E$11:$EP$11,ROWS(RECORD!$E$11:F145))))</x:f>
        <x:v>#REF!</x:v>
      </x:c>
      <x:c r="D156" s="34" t="e">
        <x:f t="array" ref="D156">IF(INDEX(RECORD!$E$12:$EP$12,ROWS(RECORD!$E$12:F146))=0,"",(INDEX(RECORD!$E$12:$EP$12,ROWS(RECORD!$E$12:F146))))</x:f>
        <x:v>#REF!</x:v>
      </x:c>
      <x:c r="E156" s="34" t="e">
        <x:f t="array" ref="E156">IF(INDEX(RECORD!$E$13:$EP$13,ROWS(RECORD!$E$13:F147))=0,"",(INDEX(RECORD!$E$13:$EP$13,ROWS(RECORD!$E$13:F147))))</x:f>
        <x:v>#REF!</x:v>
      </x:c>
    </x:row>
    <x:row r="157">
      <x:c r="A157" s="32">
        <x:v>136</x:v>
      </x:c>
      <x:c r="B157" s="33" t="e">
        <x:f t="array" ref="B157">IF(INDEX(RECORD!$E$7:$EP$7,ROWS(RECORD!$E$7:F142))=0,"",(INDEX(RECORD!$E$7:$EP$7,ROWS(RECORD!$E$7:F142))))</x:f>
        <x:v>#REF!</x:v>
      </x:c>
      <x:c r="C157" s="34" t="e">
        <x:f t="array" ref="C157">IF((INDEX(RECORD!$E$11:$EP$11,ROWS(RECORD!$E$11:F146)))=0,"",(INDEX(RECORD!$E$11:$EP$11,ROWS(RECORD!$E$11:F146))))</x:f>
        <x:v>#REF!</x:v>
      </x:c>
      <x:c r="D157" s="34" t="e">
        <x:f t="array" ref="D157">IF(INDEX(RECORD!$E$12:$EP$12,ROWS(RECORD!$E$12:F147))=0,"",(INDEX(RECORD!$E$12:$EP$12,ROWS(RECORD!$E$12:F147))))</x:f>
        <x:v>#REF!</x:v>
      </x:c>
      <x:c r="E157" s="34" t="e">
        <x:f t="array" ref="E157">IF(INDEX(RECORD!$E$13:$EP$13,ROWS(RECORD!$E$13:F148))=0,"",(INDEX(RECORD!$E$13:$EP$13,ROWS(RECORD!$E$13:F148))))</x:f>
        <x:v>#REF!</x:v>
      </x:c>
    </x:row>
    <x:row r="158">
      <x:c r="A158" s="32">
        <x:v>137</x:v>
      </x:c>
      <x:c r="B158" s="33" t="e">
        <x:f t="array" ref="B158">IF(INDEX(RECORD!$E$7:$EP$7,ROWS(RECORD!$E$7:F143))=0,"",(INDEX(RECORD!$E$7:$EP$7,ROWS(RECORD!$E$7:F143))))</x:f>
        <x:v>#REF!</x:v>
      </x:c>
      <x:c r="C158" s="34" t="e">
        <x:f t="array" ref="C158">IF((INDEX(RECORD!$E$11:$EP$11,ROWS(RECORD!$E$11:F147)))=0,"",(INDEX(RECORD!$E$11:$EP$11,ROWS(RECORD!$E$11:F147))))</x:f>
        <x:v>#REF!</x:v>
      </x:c>
      <x:c r="D158" s="34" t="e">
        <x:f t="array" ref="D158">IF(INDEX(RECORD!$E$12:$EP$12,ROWS(RECORD!$E$12:F148))=0,"",(INDEX(RECORD!$E$12:$EP$12,ROWS(RECORD!$E$12:F148))))</x:f>
        <x:v>#REF!</x:v>
      </x:c>
      <x:c r="E158" s="34" t="e">
        <x:f t="array" ref="E158">IF(INDEX(RECORD!$E$13:$EP$13,ROWS(RECORD!$E$13:F149))=0,"",(INDEX(RECORD!$E$13:$EP$13,ROWS(RECORD!$E$13:F149))))</x:f>
        <x:v>#REF!</x:v>
      </x:c>
    </x:row>
    <x:row r="159">
      <x:c r="A159" s="32">
        <x:v>138</x:v>
      </x:c>
      <x:c r="B159" s="33" t="e">
        <x:f t="array" ref="B159">IF(INDEX(RECORD!$E$7:$EP$7,ROWS(RECORD!$E$7:F144))=0,"",(INDEX(RECORD!$E$7:$EP$7,ROWS(RECORD!$E$7:F144))))</x:f>
        <x:v>#REF!</x:v>
      </x:c>
      <x:c r="C159" s="34" t="e">
        <x:f t="array" ref="C159">IF((INDEX(RECORD!$E$11:$EP$11,ROWS(RECORD!$E$11:F148)))=0,"",(INDEX(RECORD!$E$11:$EP$11,ROWS(RECORD!$E$11:F148))))</x:f>
        <x:v>#REF!</x:v>
      </x:c>
      <x:c r="D159" s="34" t="e">
        <x:f t="array" ref="D159">IF(INDEX(RECORD!$E$12:$EP$12,ROWS(RECORD!$E$12:F149))=0,"",(INDEX(RECORD!$E$12:$EP$12,ROWS(RECORD!$E$12:F149))))</x:f>
        <x:v>#REF!</x:v>
      </x:c>
      <x:c r="E159" s="34" t="e">
        <x:f t="array" ref="E159">IF(INDEX(RECORD!$E$13:$EP$13,ROWS(RECORD!$E$13:F150))=0,"",(INDEX(RECORD!$E$13:$EP$13,ROWS(RECORD!$E$13:F150))))</x:f>
        <x:v>#REF!</x:v>
      </x:c>
    </x:row>
    <x:row r="160">
      <x:c r="A160" s="32">
        <x:v>139</x:v>
      </x:c>
      <x:c r="B160" s="33" t="e">
        <x:f t="array" ref="B160">IF(INDEX(RECORD!$E$7:$EP$7,ROWS(RECORD!$E$7:F145))=0,"",(INDEX(RECORD!$E$7:$EP$7,ROWS(RECORD!$E$7:F145))))</x:f>
        <x:v>#REF!</x:v>
      </x:c>
      <x:c r="C160" s="34" t="e">
        <x:f t="array" ref="C160">IF((INDEX(RECORD!$E$11:$EP$11,ROWS(RECORD!$E$11:F149)))=0,"",(INDEX(RECORD!$E$11:$EP$11,ROWS(RECORD!$E$11:F149))))</x:f>
        <x:v>#REF!</x:v>
      </x:c>
      <x:c r="D160" s="34" t="e">
        <x:f t="array" ref="D160">IF(INDEX(RECORD!$E$12:$EP$12,ROWS(RECORD!$E$12:F150))=0,"",(INDEX(RECORD!$E$12:$EP$12,ROWS(RECORD!$E$12:F150))))</x:f>
        <x:v>#REF!</x:v>
      </x:c>
      <x:c r="E160" s="34" t="e">
        <x:f t="array" ref="E160">IF(INDEX(RECORD!$E$13:$EP$13,ROWS(RECORD!$E$13:F151))=0,"",(INDEX(RECORD!$E$13:$EP$13,ROWS(RECORD!$E$13:F151))))</x:f>
        <x:v>#REF!</x:v>
      </x:c>
    </x:row>
    <x:row r="161">
      <x:c r="A161" s="32">
        <x:v>140</x:v>
      </x:c>
      <x:c r="B161" s="33" t="e">
        <x:f t="array" ref="B161">IF(INDEX(RECORD!$E$7:$EP$7,ROWS(RECORD!$E$7:F146))=0,"",(INDEX(RECORD!$E$7:$EP$7,ROWS(RECORD!$E$7:F146))))</x:f>
        <x:v>#REF!</x:v>
      </x:c>
      <x:c r="C161" s="34" t="e">
        <x:f t="array" ref="C161">IF((INDEX(RECORD!$E$11:$EP$11,ROWS(RECORD!$E$11:F150)))=0,"",(INDEX(RECORD!$E$11:$EP$11,ROWS(RECORD!$E$11:F150))))</x:f>
        <x:v>#REF!</x:v>
      </x:c>
      <x:c r="D161" s="34" t="e">
        <x:f t="array" ref="D161">IF(INDEX(RECORD!$E$12:$EP$12,ROWS(RECORD!$E$12:F151))=0,"",(INDEX(RECORD!$E$12:$EP$12,ROWS(RECORD!$E$12:F151))))</x:f>
        <x:v>#REF!</x:v>
      </x:c>
      <x:c r="E161" s="34" t="e">
        <x:f t="array" ref="E161">IF(INDEX(RECORD!$E$13:$EP$13,ROWS(RECORD!$E$13:F152))=0,"",(INDEX(RECORD!$E$13:$EP$13,ROWS(RECORD!$E$13:F152))))</x:f>
        <x:v>#REF!</x:v>
      </x:c>
    </x:row>
    <x:row r="162">
      <x:c r="A162" s="32">
        <x:v>141</x:v>
      </x:c>
      <x:c r="B162" s="33" t="e">
        <x:f t="array" ref="B162">IF(INDEX(RECORD!$E$7:$EP$7,ROWS(RECORD!$E$7:F147))=0,"",(INDEX(RECORD!$E$7:$EP$7,ROWS(RECORD!$E$7:F147))))</x:f>
        <x:v>#REF!</x:v>
      </x:c>
      <x:c r="C162" s="34" t="e">
        <x:f t="array" ref="C162">IF((INDEX(RECORD!$E$11:$EP$11,ROWS(RECORD!$E$11:F151)))=0,"",(INDEX(RECORD!$E$11:$EP$11,ROWS(RECORD!$E$11:F151))))</x:f>
        <x:v>#REF!</x:v>
      </x:c>
      <x:c r="D162" s="34" t="e">
        <x:f t="array" ref="D162">IF(INDEX(RECORD!$E$12:$EP$12,ROWS(RECORD!$E$12:F152))=0,"",(INDEX(RECORD!$E$12:$EP$12,ROWS(RECORD!$E$12:F152))))</x:f>
        <x:v>#REF!</x:v>
      </x:c>
      <x:c r="E162" s="34" t="e">
        <x:f t="array" ref="E162">IF(INDEX(RECORD!$E$13:$EP$13,ROWS(RECORD!$E$13:F153))=0,"",(INDEX(RECORD!$E$13:$EP$13,ROWS(RECORD!$E$13:F153))))</x:f>
        <x:v>#REF!</x:v>
      </x:c>
    </x:row>
  </x:sheetData>
  <x:mergeCells>
    <x:mergeCell ref="A1:E1"/>
    <x:mergeCell ref="A7:E7"/>
    <x:mergeCell ref="A20:E20"/>
    <x:mergeCell ref="G20:K20"/>
  </x:mergeCells>
  <x:dataValidations count="2">
    <x:dataValidation type="list" sqref="C19">
      <x:formula1>"Prelim,Midterm,Finals"</x:formula1>
      <x:formula2>0</x:formula2>
    </x:dataValidation>
    <x:dataValidation type="list" allowBlank="1" showInputMessage="1" showErrorMessage="1" sqref="K22:K32">
      <x:formula1>$L$22:$L$24</x:formula1>
      <x:formula2>0</x:formula2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00B050"/>
  </x:sheetPr>
  <x:sheetFormatPr defaultRowHeight="15"/>
  <x:cols>
    <x:col min="1" max="1" width="7.28515625" customWidth="1"/>
    <x:col min="2" max="2" width="17.7109375" customWidth="1"/>
    <x:col min="3" max="3" width="31" customWidth="1"/>
    <x:col min="4" max="4" width="12.140625" style="40" customWidth="1"/>
    <x:col min="5" max="146" width="8.85546875" customWidth="0"/>
    <x:col min="147" max="156" width="8.85546875" hidden="1" customWidth="0"/>
    <x:col min="157" max="157" width="8.85546875" style="41" hidden="1" customWidth="0"/>
    <x:col min="158" max="167" width="8.85546875" hidden="1" customWidth="0"/>
    <x:col min="168" max="168" width="8.85546875" style="41" hidden="1" customWidth="0"/>
    <x:col min="169" max="178" width="8.85546875" hidden="1" customWidth="0"/>
    <x:col min="179" max="179" width="8.85546875" style="41" hidden="1" customWidth="0"/>
    <x:col min="180" max="190" width="8.85546875" hidden="1" customWidth="0"/>
    <x:col min="191" max="199" width="13.28515625" hidden="1" customWidth="1"/>
    <x:col min="200" max="200" width="13.28515625" style="42" hidden="1" customWidth="1"/>
    <x:col min="201" max="209" width="13.28515625" hidden="1" customWidth="1"/>
    <x:col min="210" max="210" width="13.28515625" style="42" hidden="1" customWidth="1"/>
    <x:col min="211" max="220" width="13.28515625" hidden="1" customWidth="1"/>
    <x:col min="221" max="222" width="11.5703125" hidden="1" customWidth="1"/>
    <x:col min="223" max="16384" width="8.85546875" hidden="1" customWidth="0"/>
  </x:cols>
  <x:sheetData>
    <x:row r="1" ht="17.25" customHeight="1">
      <x:c r="A1" s="205" t="s">
        <x:v>161</x:v>
      </x:c>
      <x:c r="B1" s="205"/>
      <x:c r="C1" s="205"/>
      <x:c r="D1" s="205"/>
      <x:c r="E1" s="205"/>
      <x:c r="F1" s="205"/>
      <x:c r="G1" s="205"/>
      <x:c r="H1" s="205"/>
      <x:c r="I1" s="205"/>
      <x:c r="J1" s="205"/>
      <x:c r="K1" s="205"/>
      <x:c r="L1" s="205"/>
      <x:c r="M1" s="205"/>
      <x:c r="N1" s="205"/>
      <x:c r="O1" s="205"/>
      <x:c r="P1" s="205"/>
      <x:c r="Q1" s="205"/>
      <x:c r="R1" s="205"/>
      <x:c r="S1" s="205"/>
      <x:c r="T1" s="205"/>
      <x:c r="HN1" t="s">
        <x:v>162</x:v>
      </x:c>
    </x:row>
    <x:row r="2">
      <x:c r="A2" s="216" t="str">
        <x:f>CONCATENATE("Course: ",SETUP!B3," (",SETUP!D3,")   |   Section: ",SETUP!B4,"   |   Term: ",SETUP!D4,"   |   Faculty: ",SETUP!B5)</x:f>
        <x:v>Course: Introduction to Computing (IT 101)   |   Section: BSIT - 1A   |   Term: 1st Sem, AY 2026-2027   |   Faculty: Sample: Prof. Juan Dela Cruz</x:v>
      </x:c>
      <x:c r="B2" s="216"/>
      <x:c r="C2" s="216"/>
      <x:c r="D2" s="216"/>
      <x:c r="E2" s="216"/>
      <x:c r="F2" s="216"/>
      <x:c r="G2" s="216"/>
      <x:c r="H2" s="216"/>
      <x:c r="I2" s="216"/>
      <x:c r="J2" s="216"/>
      <x:c r="K2" s="216"/>
      <x:c r="L2" s="216"/>
      <x:c r="M2" s="216"/>
      <x:c r="N2" s="216"/>
      <x:c r="O2" s="216"/>
      <x:c r="P2" s="216"/>
      <x:c r="Q2" s="216"/>
      <x:c r="R2" s="216"/>
      <x:c r="S2" s="216"/>
      <x:c r="T2" s="216"/>
      <x:c r="HN2" s="43" t="s">
        <x:v>163</x:v>
      </x:c>
    </x:row>
    <x:row r="3" s="45" customFormat="1" ht="13.5" customHeight="1">
      <x:c r="A3" s="214" t="s">
        <x:v>164</x:v>
      </x:c>
      <x:c r="B3" s="214"/>
      <x:c r="C3" s="214"/>
      <x:c r="D3" s="214"/>
      <x:c r="E3" s="44" t="n">
        <x:f t="shared" ref="E3:AJ3" si="0">IFERROR(COUNTIF(E14:E321,"&gt;="&amp;E4),"")</x:f>
        <x:v>5</x:v>
      </x:c>
      <x:c r="F3" s="44">
        <x:f t="shared" si="0"/>
        <x:v>27</x:v>
      </x:c>
      <x:c r="G3" s="44">
        <x:f t="shared" si="0"/>
        <x:v>27</x:v>
      </x:c>
      <x:c r="H3" s="44">
        <x:f t="shared" si="0"/>
        <x:v>28</x:v>
      </x:c>
      <x:c r="I3" s="44">
        <x:f t="shared" si="0"/>
        <x:v>20</x:v>
      </x:c>
      <x:c r="J3" s="44">
        <x:f t="shared" si="0"/>
        <x:v>21</x:v>
      </x:c>
      <x:c r="K3" s="44">
        <x:f t="shared" si="0"/>
        <x:v>26</x:v>
      </x:c>
      <x:c r="L3" s="44">
        <x:f t="shared" si="0"/>
        <x:v>24</x:v>
      </x:c>
      <x:c r="M3" s="44">
        <x:f t="shared" si="0"/>
        <x:v>19</x:v>
      </x:c>
      <x:c r="N3" s="44">
        <x:f t="shared" si="0"/>
        <x:v>19</x:v>
      </x:c>
      <x:c r="O3" s="44">
        <x:f t="shared" si="0"/>
        <x:v>19</x:v>
      </x:c>
      <x:c r="P3" s="44">
        <x:f t="shared" si="0"/>
        <x:v>18</x:v>
      </x:c>
      <x:c r="Q3" s="44">
        <x:f t="shared" si="0"/>
        <x:v>24</x:v>
      </x:c>
      <x:c r="R3" s="44">
        <x:f t="shared" si="0"/>
        <x:v>0</x:v>
      </x:c>
      <x:c r="S3" s="44">
        <x:f t="shared" si="0"/>
        <x:v>0</x:v>
      </x:c>
      <x:c r="T3" s="44">
        <x:f t="shared" si="0"/>
        <x:v>0</x:v>
      </x:c>
      <x:c r="U3" s="44">
        <x:f t="shared" si="0"/>
        <x:v>0</x:v>
      </x:c>
      <x:c r="V3" s="44">
        <x:f t="shared" si="0"/>
        <x:v>0</x:v>
      </x:c>
      <x:c r="W3" s="44">
        <x:f t="shared" si="0"/>
        <x:v>0</x:v>
      </x:c>
      <x:c r="X3" s="44">
        <x:f t="shared" si="0"/>
        <x:v>0</x:v>
      </x:c>
      <x:c r="Y3" s="44">
        <x:f t="shared" si="0"/>
        <x:v>0</x:v>
      </x:c>
      <x:c r="Z3" s="44">
        <x:f t="shared" si="0"/>
        <x:v>0</x:v>
      </x:c>
      <x:c r="AA3" s="44">
        <x:f t="shared" si="0"/>
        <x:v>0</x:v>
      </x:c>
      <x:c r="AB3" s="44">
        <x:f t="shared" si="0"/>
        <x:v>0</x:v>
      </x:c>
      <x:c r="AC3" s="44">
        <x:f t="shared" si="0"/>
        <x:v>0</x:v>
      </x:c>
      <x:c r="AD3" s="44">
        <x:f t="shared" si="0"/>
        <x:v>0</x:v>
      </x:c>
      <x:c r="AE3" s="44">
        <x:f t="shared" si="0"/>
        <x:v>0</x:v>
      </x:c>
      <x:c r="AF3" s="44">
        <x:f t="shared" si="0"/>
        <x:v>0</x:v>
      </x:c>
      <x:c r="AG3" s="44">
        <x:f t="shared" si="0"/>
        <x:v>0</x:v>
      </x:c>
      <x:c r="AH3" s="44">
        <x:f t="shared" si="0"/>
        <x:v>0</x:v>
      </x:c>
      <x:c r="AI3" s="44">
        <x:f t="shared" si="0"/>
        <x:v>0</x:v>
      </x:c>
      <x:c r="AJ3" s="44">
        <x:f t="shared" si="0"/>
        <x:v>0</x:v>
      </x:c>
      <x:c r="AK3" s="44" t="n">
        <x:f t="shared" ref="AK3:BP3" si="1">IFERROR(COUNTIF(AK14:AK321,"&gt;="&amp;AK4),"")</x:f>
        <x:v>308</x:v>
      </x:c>
      <x:c r="AL3" s="44">
        <x:f t="shared" si="1"/>
        <x:v>0</x:v>
      </x:c>
      <x:c r="AM3" s="44">
        <x:f t="shared" si="1"/>
        <x:v>0</x:v>
      </x:c>
      <x:c r="AN3" s="44">
        <x:f t="shared" si="1"/>
        <x:v>0</x:v>
      </x:c>
      <x:c r="AO3" s="44">
        <x:f t="shared" si="1"/>
        <x:v>0</x:v>
      </x:c>
      <x:c r="AP3" s="44">
        <x:f t="shared" si="1"/>
        <x:v>0</x:v>
      </x:c>
      <x:c r="AQ3" s="44">
        <x:f t="shared" si="1"/>
        <x:v>0</x:v>
      </x:c>
      <x:c r="AR3" s="44">
        <x:f t="shared" si="1"/>
        <x:v>0</x:v>
      </x:c>
      <x:c r="AS3" s="44">
        <x:f t="shared" si="1"/>
        <x:v>0</x:v>
      </x:c>
      <x:c r="AT3" s="44">
        <x:f t="shared" si="1"/>
        <x:v>0</x:v>
      </x:c>
      <x:c r="AU3" s="44">
        <x:f t="shared" si="1"/>
        <x:v>0</x:v>
      </x:c>
      <x:c r="AV3" s="44">
        <x:f t="shared" si="1"/>
        <x:v>0</x:v>
      </x:c>
      <x:c r="AW3" s="44">
        <x:f t="shared" si="1"/>
        <x:v>0</x:v>
      </x:c>
      <x:c r="AX3" s="44">
        <x:f t="shared" si="1"/>
        <x:v>0</x:v>
      </x:c>
      <x:c r="AY3" s="44">
        <x:f t="shared" si="1"/>
        <x:v>0</x:v>
      </x:c>
      <x:c r="AZ3" s="44">
        <x:f t="shared" si="1"/>
        <x:v>0</x:v>
      </x:c>
      <x:c r="BA3" s="44">
        <x:f t="shared" si="1"/>
        <x:v>0</x:v>
      </x:c>
      <x:c r="BB3" s="44">
        <x:f t="shared" si="1"/>
        <x:v>0</x:v>
      </x:c>
      <x:c r="BC3" s="44">
        <x:f t="shared" si="1"/>
        <x:v>0</x:v>
      </x:c>
      <x:c r="BD3" s="44">
        <x:f t="shared" si="1"/>
        <x:v>0</x:v>
      </x:c>
      <x:c r="BE3" s="44">
        <x:f t="shared" si="1"/>
        <x:v>0</x:v>
      </x:c>
      <x:c r="BF3" s="44">
        <x:f t="shared" si="1"/>
        <x:v>0</x:v>
      </x:c>
      <x:c r="BG3" s="44">
        <x:f t="shared" si="1"/>
        <x:v>0</x:v>
      </x:c>
      <x:c r="BH3" s="44">
        <x:f t="shared" si="1"/>
        <x:v>0</x:v>
      </x:c>
      <x:c r="BI3" s="44">
        <x:f t="shared" si="1"/>
        <x:v>0</x:v>
      </x:c>
      <x:c r="BJ3" s="44">
        <x:f t="shared" si="1"/>
        <x:v>0</x:v>
      </x:c>
      <x:c r="BK3" s="44">
        <x:f t="shared" si="1"/>
        <x:v>0</x:v>
      </x:c>
      <x:c r="BL3" s="44">
        <x:f t="shared" si="1"/>
        <x:v>0</x:v>
      </x:c>
      <x:c r="BM3" s="44">
        <x:f t="shared" si="1"/>
        <x:v>0</x:v>
      </x:c>
      <x:c r="BN3" s="44">
        <x:f t="shared" si="1"/>
        <x:v>0</x:v>
      </x:c>
      <x:c r="BO3" s="44">
        <x:f t="shared" si="1"/>
        <x:v>0</x:v>
      </x:c>
      <x:c r="BP3" s="44">
        <x:f t="shared" si="1"/>
        <x:v>0</x:v>
      </x:c>
      <x:c r="BQ3" s="44" t="n">
        <x:f t="shared" ref="BQ3:CV3" si="2">IFERROR(COUNTIF(BQ14:BQ321,"&gt;="&amp;BQ4),"")</x:f>
        <x:v>308</x:v>
      </x:c>
      <x:c r="BR3" s="44">
        <x:f t="shared" si="2"/>
        <x:v>0</x:v>
      </x:c>
      <x:c r="BS3" s="44">
        <x:f t="shared" si="2"/>
        <x:v>0</x:v>
      </x:c>
      <x:c r="BT3" s="44">
        <x:f t="shared" si="2"/>
        <x:v>0</x:v>
      </x:c>
      <x:c r="BU3" s="44">
        <x:f t="shared" si="2"/>
        <x:v>0</x:v>
      </x:c>
      <x:c r="BV3" s="44">
        <x:f t="shared" si="2"/>
        <x:v>0</x:v>
      </x:c>
      <x:c r="BW3" s="44">
        <x:f t="shared" si="2"/>
        <x:v>0</x:v>
      </x:c>
      <x:c r="BX3" s="44">
        <x:f t="shared" si="2"/>
        <x:v>0</x:v>
      </x:c>
      <x:c r="BY3" s="44">
        <x:f t="shared" si="2"/>
        <x:v>0</x:v>
      </x:c>
      <x:c r="BZ3" s="44">
        <x:f t="shared" si="2"/>
        <x:v>0</x:v>
      </x:c>
      <x:c r="CA3" s="44">
        <x:f t="shared" si="2"/>
        <x:v>0</x:v>
      </x:c>
      <x:c r="CB3" s="44">
        <x:f t="shared" si="2"/>
        <x:v>0</x:v>
      </x:c>
      <x:c r="CC3" s="44">
        <x:f t="shared" si="2"/>
        <x:v>0</x:v>
      </x:c>
      <x:c r="CD3" s="44">
        <x:f t="shared" si="2"/>
        <x:v>0</x:v>
      </x:c>
      <x:c r="CE3" s="44">
        <x:f t="shared" si="2"/>
        <x:v>0</x:v>
      </x:c>
      <x:c r="CF3" s="44">
        <x:f t="shared" si="2"/>
        <x:v>0</x:v>
      </x:c>
      <x:c r="CG3" s="44">
        <x:f t="shared" si="2"/>
        <x:v>0</x:v>
      </x:c>
      <x:c r="CH3" s="44">
        <x:f t="shared" si="2"/>
        <x:v>0</x:v>
      </x:c>
      <x:c r="CI3" s="44">
        <x:f t="shared" si="2"/>
        <x:v>0</x:v>
      </x:c>
      <x:c r="CJ3" s="44">
        <x:f t="shared" si="2"/>
        <x:v>0</x:v>
      </x:c>
      <x:c r="CK3" s="44">
        <x:f t="shared" si="2"/>
        <x:v>0</x:v>
      </x:c>
      <x:c r="CL3" s="44">
        <x:f t="shared" si="2"/>
        <x:v>0</x:v>
      </x:c>
      <x:c r="CM3" s="44">
        <x:f t="shared" si="2"/>
        <x:v>0</x:v>
      </x:c>
      <x:c r="CN3" s="44">
        <x:f t="shared" si="2"/>
        <x:v>0</x:v>
      </x:c>
      <x:c r="CO3" s="44">
        <x:f t="shared" si="2"/>
        <x:v>0</x:v>
      </x:c>
      <x:c r="CP3" s="44">
        <x:f t="shared" si="2"/>
        <x:v>0</x:v>
      </x:c>
      <x:c r="CQ3" s="44">
        <x:f t="shared" si="2"/>
        <x:v>0</x:v>
      </x:c>
      <x:c r="CR3" s="44">
        <x:f t="shared" si="2"/>
        <x:v>0</x:v>
      </x:c>
      <x:c r="CS3" s="44">
        <x:f t="shared" si="2"/>
        <x:v>0</x:v>
      </x:c>
      <x:c r="CT3" s="44">
        <x:f t="shared" si="2"/>
        <x:v>0</x:v>
      </x:c>
      <x:c r="CU3" s="44">
        <x:f t="shared" si="2"/>
        <x:v>0</x:v>
      </x:c>
      <x:c r="CV3" s="44">
        <x:f t="shared" si="2"/>
        <x:v>0</x:v>
      </x:c>
      <x:c r="CW3" s="44" t="n">
        <x:f t="shared" ref="CW3:EB3" si="3">IFERROR(COUNTIF(CW14:CW321,"&gt;="&amp;CW4),"")</x:f>
        <x:v>308</x:v>
      </x:c>
      <x:c r="CX3" s="44">
        <x:f t="shared" si="3"/>
        <x:v>0</x:v>
      </x:c>
      <x:c r="CY3" s="44">
        <x:f t="shared" si="3"/>
        <x:v>0</x:v>
      </x:c>
      <x:c r="CZ3" s="44">
        <x:f t="shared" si="3"/>
        <x:v>0</x:v>
      </x:c>
      <x:c r="DA3" s="44">
        <x:f t="shared" si="3"/>
        <x:v>0</x:v>
      </x:c>
      <x:c r="DB3" s="44">
        <x:f t="shared" si="3"/>
        <x:v>0</x:v>
      </x:c>
      <x:c r="DC3" s="44">
        <x:f t="shared" si="3"/>
        <x:v>0</x:v>
      </x:c>
      <x:c r="DD3" s="44">
        <x:f t="shared" si="3"/>
        <x:v>0</x:v>
      </x:c>
      <x:c r="DE3" s="44">
        <x:f t="shared" si="3"/>
        <x:v>0</x:v>
      </x:c>
      <x:c r="DF3" s="44">
        <x:f t="shared" si="3"/>
        <x:v>0</x:v>
      </x:c>
      <x:c r="DG3" s="44">
        <x:f t="shared" si="3"/>
        <x:v>0</x:v>
      </x:c>
      <x:c r="DH3" s="44">
        <x:f t="shared" si="3"/>
        <x:v>0</x:v>
      </x:c>
      <x:c r="DI3" s="44">
        <x:f t="shared" si="3"/>
        <x:v>0</x:v>
      </x:c>
      <x:c r="DJ3" s="44">
        <x:f t="shared" si="3"/>
        <x:v>0</x:v>
      </x:c>
      <x:c r="DK3" s="44">
        <x:f t="shared" si="3"/>
        <x:v>0</x:v>
      </x:c>
      <x:c r="DL3" s="44">
        <x:f t="shared" si="3"/>
        <x:v>0</x:v>
      </x:c>
      <x:c r="DM3" s="44">
        <x:f t="shared" si="3"/>
        <x:v>0</x:v>
      </x:c>
      <x:c r="DN3" s="44">
        <x:f t="shared" si="3"/>
        <x:v>0</x:v>
      </x:c>
      <x:c r="DO3" s="44">
        <x:f t="shared" si="3"/>
        <x:v>0</x:v>
      </x:c>
      <x:c r="DP3" s="44">
        <x:f t="shared" si="3"/>
        <x:v>0</x:v>
      </x:c>
      <x:c r="DQ3" s="44">
        <x:f t="shared" si="3"/>
        <x:v>0</x:v>
      </x:c>
      <x:c r="DR3" s="44">
        <x:f t="shared" si="3"/>
        <x:v>0</x:v>
      </x:c>
      <x:c r="DS3" s="44">
        <x:f t="shared" si="3"/>
        <x:v>0</x:v>
      </x:c>
      <x:c r="DT3" s="44">
        <x:f t="shared" si="3"/>
        <x:v>0</x:v>
      </x:c>
      <x:c r="DU3" s="44">
        <x:f t="shared" si="3"/>
        <x:v>0</x:v>
      </x:c>
      <x:c r="DV3" s="44">
        <x:f t="shared" si="3"/>
        <x:v>0</x:v>
      </x:c>
      <x:c r="DW3" s="44">
        <x:f t="shared" si="3"/>
        <x:v>0</x:v>
      </x:c>
      <x:c r="DX3" s="44">
        <x:f t="shared" si="3"/>
        <x:v>0</x:v>
      </x:c>
      <x:c r="DY3" s="44">
        <x:f t="shared" si="3"/>
        <x:v>0</x:v>
      </x:c>
      <x:c r="DZ3" s="44">
        <x:f t="shared" si="3"/>
        <x:v>0</x:v>
      </x:c>
      <x:c r="EA3" s="44">
        <x:f t="shared" si="3"/>
        <x:v>0</x:v>
      </x:c>
      <x:c r="EB3" s="44">
        <x:f t="shared" si="3"/>
        <x:v>0</x:v>
      </x:c>
      <x:c r="EC3" s="44" t="n">
        <x:f t="shared" ref="EC3:EP3" si="4">IFERROR(COUNTIF(EC14:EC321,"&gt;="&amp;EC4),"")</x:f>
        <x:v>308</x:v>
      </x:c>
      <x:c r="ED3" s="44">
        <x:f t="shared" si="4"/>
        <x:v>0</x:v>
      </x:c>
      <x:c r="EE3" s="44">
        <x:f t="shared" si="4"/>
        <x:v>0</x:v>
      </x:c>
      <x:c r="EF3" s="44">
        <x:f t="shared" si="4"/>
        <x:v>0</x:v>
      </x:c>
      <x:c r="EG3" s="44">
        <x:f t="shared" si="4"/>
        <x:v>0</x:v>
      </x:c>
      <x:c r="EH3" s="44">
        <x:f t="shared" si="4"/>
        <x:v>0</x:v>
      </x:c>
      <x:c r="EI3" s="44">
        <x:f t="shared" si="4"/>
        <x:v>0</x:v>
      </x:c>
      <x:c r="EJ3" s="44">
        <x:f t="shared" si="4"/>
        <x:v>0</x:v>
      </x:c>
      <x:c r="EK3" s="44">
        <x:f t="shared" si="4"/>
        <x:v>0</x:v>
      </x:c>
      <x:c r="EL3" s="44">
        <x:f t="shared" si="4"/>
        <x:v>0</x:v>
      </x:c>
      <x:c r="EM3" s="44">
        <x:f t="shared" si="4"/>
        <x:v>0</x:v>
      </x:c>
      <x:c r="EN3" s="44">
        <x:f t="shared" si="4"/>
        <x:v>0</x:v>
      </x:c>
      <x:c r="EO3" s="44">
        <x:f t="shared" si="4"/>
        <x:v>0</x:v>
      </x:c>
      <x:c r="EP3" s="44">
        <x:f t="shared" si="4"/>
        <x:v>0</x:v>
      </x:c>
      <x:c r="FA3" s="46"/>
      <x:c r="FL3" s="46"/>
      <x:c r="FW3" s="46"/>
      <x:c r="GR3" s="47"/>
      <x:c r="HB3" s="47"/>
      <x:c r="HN3" s="48" t="s">
        <x:v>165</x:v>
      </x:c>
    </x:row>
    <x:row r="4" s="45" customFormat="1" ht="13.5" customHeight="1">
      <x:c r="A4" s="217" t="s">
        <x:v>166</x:v>
      </x:c>
      <x:c r="B4" s="217"/>
      <x:c r="C4" s="217"/>
      <x:c r="D4" s="217"/>
      <x:c r="E4" s="49" t="n">
        <x:f t="shared" ref="E4:AJ4" si="5">IFERROR(ROUND(IF(E13&lt;&gt;"",((E13*0.7)+0.3),""),0),"")</x:f>
        <x:v>21</x:v>
      </x:c>
      <x:c r="F4" s="49">
        <x:f t="shared" si="5"/>
        <x:v>42</x:v>
      </x:c>
      <x:c r="G4" s="49">
        <x:f t="shared" si="5"/>
        <x:v>56</x:v>
      </x:c>
      <x:c r="H4" s="49">
        <x:f t="shared" si="5"/>
        <x:v>35</x:v>
      </x:c>
      <x:c r="I4" s="49">
        <x:f t="shared" si="5"/>
        <x:v>35</x:v>
      </x:c>
      <x:c r="J4" s="49">
        <x:f t="shared" si="5"/>
        <x:v>70</x:v>
      </x:c>
      <x:c r="K4" s="49">
        <x:f t="shared" si="5"/>
        <x:v>14</x:v>
      </x:c>
      <x:c r="L4" s="49">
        <x:f t="shared" si="5"/>
        <x:v>35</x:v>
      </x:c>
      <x:c r="M4" s="49">
        <x:f t="shared" si="5"/>
        <x:v>18</x:v>
      </x:c>
      <x:c r="N4" s="49">
        <x:f t="shared" si="5"/>
        <x:v>18</x:v>
      </x:c>
      <x:c r="O4" s="49">
        <x:f t="shared" si="5"/>
        <x:v>18</x:v>
      </x:c>
      <x:c r="P4" s="49">
        <x:f t="shared" si="5"/>
        <x:v>18</x:v>
      </x:c>
      <x:c r="Q4" s="49">
        <x:f t="shared" si="5"/>
        <x:v>18</x:v>
      </x:c>
      <x:c r="R4" s="49" t="str">
        <x:f t="shared" si="5"/>
      </x:c>
      <x:c r="S4" s="49" t="str">
        <x:f t="shared" si="5"/>
      </x:c>
      <x:c r="T4" s="49" t="str">
        <x:f t="shared" si="5"/>
      </x:c>
      <x:c r="U4" s="49" t="str">
        <x:f t="shared" si="5"/>
      </x:c>
      <x:c r="V4" s="49" t="str">
        <x:f t="shared" si="5"/>
      </x:c>
      <x:c r="W4" s="49" t="str">
        <x:f t="shared" si="5"/>
      </x:c>
      <x:c r="X4" s="49" t="str">
        <x:f t="shared" si="5"/>
      </x:c>
      <x:c r="Y4" s="49" t="str">
        <x:f t="shared" si="5"/>
      </x:c>
      <x:c r="Z4" s="49" t="str">
        <x:f t="shared" si="5"/>
      </x:c>
      <x:c r="AA4" s="49" t="str">
        <x:f t="shared" si="5"/>
      </x:c>
      <x:c r="AB4" s="49" t="str">
        <x:f t="shared" si="5"/>
      </x:c>
      <x:c r="AC4" s="49" t="str">
        <x:f t="shared" si="5"/>
      </x:c>
      <x:c r="AD4" s="49" t="str">
        <x:f t="shared" si="5"/>
      </x:c>
      <x:c r="AE4" s="49" t="str">
        <x:f t="shared" si="5"/>
      </x:c>
      <x:c r="AF4" s="49" t="str">
        <x:f t="shared" si="5"/>
      </x:c>
      <x:c r="AG4" s="49" t="str">
        <x:f t="shared" si="5"/>
      </x:c>
      <x:c r="AH4" s="49" t="str">
        <x:f t="shared" si="5"/>
      </x:c>
      <x:c r="AI4" s="49" t="str">
        <x:f t="shared" si="5"/>
      </x:c>
      <x:c r="AJ4" s="49" t="str">
        <x:f t="shared" si="5"/>
      </x:c>
      <x:c r="AK4" s="49" t="n">
        <x:f t="shared" ref="AK4:BP4" si="6">IFERROR(ROUND(IF(AK13&lt;&gt;"",((AK13*0.7)+0.3),""),0),"")</x:f>
        <x:v>0</x:v>
      </x:c>
      <x:c r="AL4" s="49" t="str">
        <x:f t="shared" si="6"/>
      </x:c>
      <x:c r="AM4" s="49" t="str">
        <x:f t="shared" si="6"/>
      </x:c>
      <x:c r="AN4" s="49" t="str">
        <x:f t="shared" si="6"/>
      </x:c>
      <x:c r="AO4" s="49" t="str">
        <x:f t="shared" si="6"/>
      </x:c>
      <x:c r="AP4" s="49" t="str">
        <x:f t="shared" si="6"/>
      </x:c>
      <x:c r="AQ4" s="49" t="str">
        <x:f t="shared" si="6"/>
      </x:c>
      <x:c r="AR4" s="49" t="str">
        <x:f t="shared" si="6"/>
      </x:c>
      <x:c r="AS4" s="49" t="str">
        <x:f t="shared" si="6"/>
      </x:c>
      <x:c r="AT4" s="49" t="str">
        <x:f t="shared" si="6"/>
      </x:c>
      <x:c r="AU4" s="49" t="str">
        <x:f t="shared" si="6"/>
      </x:c>
      <x:c r="AV4" s="49" t="str">
        <x:f t="shared" si="6"/>
      </x:c>
      <x:c r="AW4" s="49" t="str">
        <x:f t="shared" si="6"/>
      </x:c>
      <x:c r="AX4" s="49" t="str">
        <x:f t="shared" si="6"/>
      </x:c>
      <x:c r="AY4" s="49" t="str">
        <x:f t="shared" si="6"/>
      </x:c>
      <x:c r="AZ4" s="49" t="str">
        <x:f t="shared" si="6"/>
      </x:c>
      <x:c r="BA4" s="49" t="str">
        <x:f t="shared" si="6"/>
      </x:c>
      <x:c r="BB4" s="49" t="str">
        <x:f t="shared" si="6"/>
      </x:c>
      <x:c r="BC4" s="49" t="str">
        <x:f t="shared" si="6"/>
      </x:c>
      <x:c r="BD4" s="49" t="str">
        <x:f t="shared" si="6"/>
      </x:c>
      <x:c r="BE4" s="49" t="str">
        <x:f t="shared" si="6"/>
      </x:c>
      <x:c r="BF4" s="49" t="str">
        <x:f t="shared" si="6"/>
      </x:c>
      <x:c r="BG4" s="49" t="str">
        <x:f t="shared" si="6"/>
      </x:c>
      <x:c r="BH4" s="49" t="str">
        <x:f t="shared" si="6"/>
      </x:c>
      <x:c r="BI4" s="49" t="str">
        <x:f t="shared" si="6"/>
      </x:c>
      <x:c r="BJ4" s="49" t="str">
        <x:f t="shared" si="6"/>
      </x:c>
      <x:c r="BK4" s="49" t="str">
        <x:f t="shared" si="6"/>
      </x:c>
      <x:c r="BL4" s="49" t="str">
        <x:f t="shared" si="6"/>
      </x:c>
      <x:c r="BM4" s="49" t="str">
        <x:f t="shared" si="6"/>
      </x:c>
      <x:c r="BN4" s="49" t="str">
        <x:f t="shared" si="6"/>
      </x:c>
      <x:c r="BO4" s="49" t="str">
        <x:f t="shared" si="6"/>
      </x:c>
      <x:c r="BP4" s="49" t="str">
        <x:f t="shared" si="6"/>
      </x:c>
      <x:c r="BQ4" s="49" t="n">
        <x:f t="shared" ref="BQ4:CV4" si="7">IFERROR(ROUND(IF(BQ13&lt;&gt;"",((BQ13*0.7)+0.3),""),0),"")</x:f>
        <x:v>0</x:v>
      </x:c>
      <x:c r="BR4" s="49" t="str">
        <x:f t="shared" si="7"/>
      </x:c>
      <x:c r="BS4" s="49" t="str">
        <x:f t="shared" si="7"/>
      </x:c>
      <x:c r="BT4" s="49" t="str">
        <x:f t="shared" si="7"/>
      </x:c>
      <x:c r="BU4" s="49" t="str">
        <x:f t="shared" si="7"/>
      </x:c>
      <x:c r="BV4" s="49" t="str">
        <x:f t="shared" si="7"/>
      </x:c>
      <x:c r="BW4" s="49" t="str">
        <x:f t="shared" si="7"/>
      </x:c>
      <x:c r="BX4" s="49" t="str">
        <x:f t="shared" si="7"/>
      </x:c>
      <x:c r="BY4" s="49" t="str">
        <x:f t="shared" si="7"/>
      </x:c>
      <x:c r="BZ4" s="49" t="str">
        <x:f t="shared" si="7"/>
      </x:c>
      <x:c r="CA4" s="49" t="str">
        <x:f t="shared" si="7"/>
      </x:c>
      <x:c r="CB4" s="49" t="str">
        <x:f t="shared" si="7"/>
      </x:c>
      <x:c r="CC4" s="49" t="str">
        <x:f t="shared" si="7"/>
      </x:c>
      <x:c r="CD4" s="49" t="str">
        <x:f t="shared" si="7"/>
      </x:c>
      <x:c r="CE4" s="49" t="str">
        <x:f t="shared" si="7"/>
      </x:c>
      <x:c r="CF4" s="49" t="str">
        <x:f t="shared" si="7"/>
      </x:c>
      <x:c r="CG4" s="49" t="str">
        <x:f t="shared" si="7"/>
      </x:c>
      <x:c r="CH4" s="49" t="str">
        <x:f t="shared" si="7"/>
      </x:c>
      <x:c r="CI4" s="49" t="str">
        <x:f t="shared" si="7"/>
      </x:c>
      <x:c r="CJ4" s="49" t="str">
        <x:f t="shared" si="7"/>
      </x:c>
      <x:c r="CK4" s="49" t="str">
        <x:f t="shared" si="7"/>
      </x:c>
      <x:c r="CL4" s="49" t="str">
        <x:f t="shared" si="7"/>
      </x:c>
      <x:c r="CM4" s="49" t="str">
        <x:f t="shared" si="7"/>
      </x:c>
      <x:c r="CN4" s="49" t="str">
        <x:f t="shared" si="7"/>
      </x:c>
      <x:c r="CO4" s="49" t="str">
        <x:f t="shared" si="7"/>
      </x:c>
      <x:c r="CP4" s="49" t="str">
        <x:f t="shared" si="7"/>
      </x:c>
      <x:c r="CQ4" s="49" t="str">
        <x:f t="shared" si="7"/>
      </x:c>
      <x:c r="CR4" s="49" t="str">
        <x:f t="shared" si="7"/>
      </x:c>
      <x:c r="CS4" s="49" t="str">
        <x:f t="shared" si="7"/>
      </x:c>
      <x:c r="CT4" s="49" t="str">
        <x:f t="shared" si="7"/>
      </x:c>
      <x:c r="CU4" s="49" t="str">
        <x:f t="shared" si="7"/>
      </x:c>
      <x:c r="CV4" s="49" t="str">
        <x:f t="shared" si="7"/>
      </x:c>
      <x:c r="CW4" s="49" t="n">
        <x:f t="shared" ref="CW4:EB4" si="8">IFERROR(ROUND(IF(CW13&lt;&gt;"",((CW13*0.7)+0.3),""),0),"")</x:f>
        <x:v>0</x:v>
      </x:c>
      <x:c r="CX4" s="49" t="str">
        <x:f t="shared" si="8"/>
      </x:c>
      <x:c r="CY4" s="49" t="str">
        <x:f t="shared" si="8"/>
      </x:c>
      <x:c r="CZ4" s="49" t="str">
        <x:f t="shared" si="8"/>
      </x:c>
      <x:c r="DA4" s="49" t="str">
        <x:f t="shared" si="8"/>
      </x:c>
      <x:c r="DB4" s="49" t="str">
        <x:f t="shared" si="8"/>
      </x:c>
      <x:c r="DC4" s="49" t="str">
        <x:f t="shared" si="8"/>
      </x:c>
      <x:c r="DD4" s="49" t="str">
        <x:f t="shared" si="8"/>
      </x:c>
      <x:c r="DE4" s="49" t="str">
        <x:f t="shared" si="8"/>
      </x:c>
      <x:c r="DF4" s="49" t="str">
        <x:f t="shared" si="8"/>
      </x:c>
      <x:c r="DG4" s="49" t="str">
        <x:f t="shared" si="8"/>
      </x:c>
      <x:c r="DH4" s="49" t="str">
        <x:f t="shared" si="8"/>
      </x:c>
      <x:c r="DI4" s="49" t="str">
        <x:f t="shared" si="8"/>
      </x:c>
      <x:c r="DJ4" s="49" t="str">
        <x:f t="shared" si="8"/>
      </x:c>
      <x:c r="DK4" s="49" t="str">
        <x:f t="shared" si="8"/>
      </x:c>
      <x:c r="DL4" s="49" t="str">
        <x:f t="shared" si="8"/>
      </x:c>
      <x:c r="DM4" s="49" t="str">
        <x:f t="shared" si="8"/>
      </x:c>
      <x:c r="DN4" s="49" t="str">
        <x:f t="shared" si="8"/>
      </x:c>
      <x:c r="DO4" s="49" t="str">
        <x:f t="shared" si="8"/>
      </x:c>
      <x:c r="DP4" s="49" t="str">
        <x:f t="shared" si="8"/>
      </x:c>
      <x:c r="DQ4" s="49" t="str">
        <x:f t="shared" si="8"/>
      </x:c>
      <x:c r="DR4" s="49" t="str">
        <x:f t="shared" si="8"/>
      </x:c>
      <x:c r="DS4" s="49" t="str">
        <x:f t="shared" si="8"/>
      </x:c>
      <x:c r="DT4" s="49" t="str">
        <x:f t="shared" si="8"/>
      </x:c>
      <x:c r="DU4" s="49" t="str">
        <x:f t="shared" si="8"/>
      </x:c>
      <x:c r="DV4" s="49" t="str">
        <x:f t="shared" si="8"/>
      </x:c>
      <x:c r="DW4" s="49" t="str">
        <x:f t="shared" si="8"/>
      </x:c>
      <x:c r="DX4" s="49" t="str">
        <x:f t="shared" si="8"/>
      </x:c>
      <x:c r="DY4" s="49" t="str">
        <x:f t="shared" si="8"/>
      </x:c>
      <x:c r="DZ4" s="49" t="str">
        <x:f t="shared" si="8"/>
      </x:c>
      <x:c r="EA4" s="49" t="str">
        <x:f t="shared" si="8"/>
      </x:c>
      <x:c r="EB4" s="49" t="str">
        <x:f t="shared" si="8"/>
      </x:c>
      <x:c r="EC4" s="49" t="n">
        <x:f t="shared" ref="EC4:EP4" si="9">IFERROR(ROUND(IF(EC13&lt;&gt;"",((EC13*0.7)+0.3),""),0),"")</x:f>
        <x:v>0</x:v>
      </x:c>
      <x:c r="ED4" s="49" t="str">
        <x:f t="shared" si="9"/>
      </x:c>
      <x:c r="EE4" s="49" t="str">
        <x:f t="shared" si="9"/>
      </x:c>
      <x:c r="EF4" s="49" t="str">
        <x:f t="shared" si="9"/>
      </x:c>
      <x:c r="EG4" s="49" t="str">
        <x:f t="shared" si="9"/>
      </x:c>
      <x:c r="EH4" s="49" t="str">
        <x:f t="shared" si="9"/>
      </x:c>
      <x:c r="EI4" s="49" t="str">
        <x:f t="shared" si="9"/>
      </x:c>
      <x:c r="EJ4" s="49" t="str">
        <x:f t="shared" si="9"/>
      </x:c>
      <x:c r="EK4" s="49" t="str">
        <x:f t="shared" si="9"/>
      </x:c>
      <x:c r="EL4" s="49" t="str">
        <x:f t="shared" si="9"/>
      </x:c>
      <x:c r="EM4" s="49" t="str">
        <x:f t="shared" si="9"/>
      </x:c>
      <x:c r="EN4" s="49" t="str">
        <x:f t="shared" si="9"/>
      </x:c>
      <x:c r="EO4" s="49" t="str">
        <x:f t="shared" si="9"/>
      </x:c>
      <x:c r="EP4" s="49" t="str">
        <x:f t="shared" si="9"/>
      </x:c>
      <x:c r="FA4" s="46"/>
      <x:c r="FL4" s="46"/>
      <x:c r="FW4" s="46"/>
      <x:c r="GR4" s="47"/>
      <x:c r="HB4" s="47"/>
      <x:c r="HN4" s="48" t="s">
        <x:v>167</x:v>
      </x:c>
    </x:row>
    <x:row r="5" s="45" customFormat="1" ht="13.5" customHeight="1">
      <x:c r="A5" s="214" t="s">
        <x:v>168</x:v>
      </x:c>
      <x:c r="B5" s="214"/>
      <x:c r="C5" s="214"/>
      <x:c r="D5" s="214"/>
      <x:c r="E5" s="44" t="n">
        <x:f t="shared" ref="E5:AJ5" si="10">IFERROR(COUNTIF(E14:E321,"&gt;"&amp;E4),"")</x:f>
        <x:v>2</x:v>
      </x:c>
      <x:c r="F5" s="44">
        <x:f t="shared" si="10"/>
        <x:v>25</x:v>
      </x:c>
      <x:c r="G5" s="44">
        <x:f t="shared" si="10"/>
        <x:v>27</x:v>
      </x:c>
      <x:c r="H5" s="44">
        <x:f t="shared" si="10"/>
        <x:v>27</x:v>
      </x:c>
      <x:c r="I5" s="44">
        <x:f t="shared" si="10"/>
        <x:v>15</x:v>
      </x:c>
      <x:c r="J5" s="44">
        <x:f t="shared" si="10"/>
        <x:v>19</x:v>
      </x:c>
      <x:c r="K5" s="44">
        <x:f t="shared" si="10"/>
        <x:v>23</x:v>
      </x:c>
      <x:c r="L5" s="44">
        <x:f t="shared" si="10"/>
        <x:v>23</x:v>
      </x:c>
      <x:c r="M5" s="44">
        <x:f t="shared" si="10"/>
        <x:v>18</x:v>
      </x:c>
      <x:c r="N5" s="44">
        <x:f t="shared" si="10"/>
        <x:v>18</x:v>
      </x:c>
      <x:c r="O5" s="44">
        <x:f t="shared" si="10"/>
        <x:v>18</x:v>
      </x:c>
      <x:c r="P5" s="44">
        <x:f t="shared" si="10"/>
        <x:v>17</x:v>
      </x:c>
      <x:c r="Q5" s="44">
        <x:f t="shared" si="10"/>
        <x:v>18</x:v>
      </x:c>
      <x:c r="R5" s="44">
        <x:f t="shared" si="10"/>
        <x:v>0</x:v>
      </x:c>
      <x:c r="S5" s="44">
        <x:f t="shared" si="10"/>
        <x:v>0</x:v>
      </x:c>
      <x:c r="T5" s="44">
        <x:f t="shared" si="10"/>
        <x:v>0</x:v>
      </x:c>
      <x:c r="U5" s="44">
        <x:f t="shared" si="10"/>
        <x:v>0</x:v>
      </x:c>
      <x:c r="V5" s="44">
        <x:f t="shared" si="10"/>
        <x:v>0</x:v>
      </x:c>
      <x:c r="W5" s="44">
        <x:f t="shared" si="10"/>
        <x:v>0</x:v>
      </x:c>
      <x:c r="X5" s="44">
        <x:f t="shared" si="10"/>
        <x:v>0</x:v>
      </x:c>
      <x:c r="Y5" s="44">
        <x:f t="shared" si="10"/>
        <x:v>0</x:v>
      </x:c>
      <x:c r="Z5" s="44">
        <x:f t="shared" si="10"/>
        <x:v>0</x:v>
      </x:c>
      <x:c r="AA5" s="44">
        <x:f t="shared" si="10"/>
        <x:v>0</x:v>
      </x:c>
      <x:c r="AB5" s="44">
        <x:f t="shared" si="10"/>
        <x:v>0</x:v>
      </x:c>
      <x:c r="AC5" s="44">
        <x:f t="shared" si="10"/>
        <x:v>0</x:v>
      </x:c>
      <x:c r="AD5" s="44">
        <x:f t="shared" si="10"/>
        <x:v>0</x:v>
      </x:c>
      <x:c r="AE5" s="44">
        <x:f t="shared" si="10"/>
        <x:v>0</x:v>
      </x:c>
      <x:c r="AF5" s="44">
        <x:f t="shared" si="10"/>
        <x:v>0</x:v>
      </x:c>
      <x:c r="AG5" s="44">
        <x:f t="shared" si="10"/>
        <x:v>0</x:v>
      </x:c>
      <x:c r="AH5" s="44">
        <x:f t="shared" si="10"/>
        <x:v>0</x:v>
      </x:c>
      <x:c r="AI5" s="44">
        <x:f t="shared" si="10"/>
        <x:v>0</x:v>
      </x:c>
      <x:c r="AJ5" s="44">
        <x:f t="shared" si="10"/>
        <x:v>0</x:v>
      </x:c>
      <x:c r="AK5" s="44" t="n">
        <x:f t="shared" ref="AK5:BP5" si="11">IFERROR(COUNTIF(AK14:AK321,"&gt;"&amp;AK4),"")</x:f>
        <x:v>0</x:v>
      </x:c>
      <x:c r="AL5" s="44">
        <x:f t="shared" si="11"/>
        <x:v>0</x:v>
      </x:c>
      <x:c r="AM5" s="44">
        <x:f t="shared" si="11"/>
        <x:v>0</x:v>
      </x:c>
      <x:c r="AN5" s="44">
        <x:f t="shared" si="11"/>
        <x:v>0</x:v>
      </x:c>
      <x:c r="AO5" s="44">
        <x:f t="shared" si="11"/>
        <x:v>0</x:v>
      </x:c>
      <x:c r="AP5" s="44">
        <x:f t="shared" si="11"/>
        <x:v>0</x:v>
      </x:c>
      <x:c r="AQ5" s="44">
        <x:f t="shared" si="11"/>
        <x:v>0</x:v>
      </x:c>
      <x:c r="AR5" s="44">
        <x:f t="shared" si="11"/>
        <x:v>0</x:v>
      </x:c>
      <x:c r="AS5" s="44">
        <x:f t="shared" si="11"/>
        <x:v>0</x:v>
      </x:c>
      <x:c r="AT5" s="44">
        <x:f t="shared" si="11"/>
        <x:v>0</x:v>
      </x:c>
      <x:c r="AU5" s="44">
        <x:f t="shared" si="11"/>
        <x:v>0</x:v>
      </x:c>
      <x:c r="AV5" s="44">
        <x:f t="shared" si="11"/>
        <x:v>0</x:v>
      </x:c>
      <x:c r="AW5" s="44">
        <x:f t="shared" si="11"/>
        <x:v>0</x:v>
      </x:c>
      <x:c r="AX5" s="44">
        <x:f t="shared" si="11"/>
        <x:v>0</x:v>
      </x:c>
      <x:c r="AY5" s="44">
        <x:f t="shared" si="11"/>
        <x:v>0</x:v>
      </x:c>
      <x:c r="AZ5" s="44">
        <x:f t="shared" si="11"/>
        <x:v>0</x:v>
      </x:c>
      <x:c r="BA5" s="44">
        <x:f t="shared" si="11"/>
        <x:v>0</x:v>
      </x:c>
      <x:c r="BB5" s="44">
        <x:f t="shared" si="11"/>
        <x:v>0</x:v>
      </x:c>
      <x:c r="BC5" s="44">
        <x:f t="shared" si="11"/>
        <x:v>0</x:v>
      </x:c>
      <x:c r="BD5" s="44">
        <x:f t="shared" si="11"/>
        <x:v>0</x:v>
      </x:c>
      <x:c r="BE5" s="44">
        <x:f t="shared" si="11"/>
        <x:v>0</x:v>
      </x:c>
      <x:c r="BF5" s="44">
        <x:f t="shared" si="11"/>
        <x:v>0</x:v>
      </x:c>
      <x:c r="BG5" s="44">
        <x:f t="shared" si="11"/>
        <x:v>0</x:v>
      </x:c>
      <x:c r="BH5" s="44">
        <x:f t="shared" si="11"/>
        <x:v>0</x:v>
      </x:c>
      <x:c r="BI5" s="44">
        <x:f t="shared" si="11"/>
        <x:v>0</x:v>
      </x:c>
      <x:c r="BJ5" s="44">
        <x:f t="shared" si="11"/>
        <x:v>0</x:v>
      </x:c>
      <x:c r="BK5" s="44">
        <x:f t="shared" si="11"/>
        <x:v>0</x:v>
      </x:c>
      <x:c r="BL5" s="44">
        <x:f t="shared" si="11"/>
        <x:v>0</x:v>
      </x:c>
      <x:c r="BM5" s="44">
        <x:f t="shared" si="11"/>
        <x:v>0</x:v>
      </x:c>
      <x:c r="BN5" s="44">
        <x:f t="shared" si="11"/>
        <x:v>0</x:v>
      </x:c>
      <x:c r="BO5" s="44">
        <x:f t="shared" si="11"/>
        <x:v>0</x:v>
      </x:c>
      <x:c r="BP5" s="44">
        <x:f t="shared" si="11"/>
        <x:v>0</x:v>
      </x:c>
      <x:c r="BQ5" s="44" t="n">
        <x:f t="shared" ref="BQ5:CV5" si="12">IFERROR(COUNTIF(BQ14:BQ321,"&gt;"&amp;BQ4),"")</x:f>
        <x:v>0</x:v>
      </x:c>
      <x:c r="BR5" s="44">
        <x:f t="shared" si="12"/>
        <x:v>0</x:v>
      </x:c>
      <x:c r="BS5" s="44">
        <x:f t="shared" si="12"/>
        <x:v>0</x:v>
      </x:c>
      <x:c r="BT5" s="44">
        <x:f t="shared" si="12"/>
        <x:v>0</x:v>
      </x:c>
      <x:c r="BU5" s="44">
        <x:f t="shared" si="12"/>
        <x:v>0</x:v>
      </x:c>
      <x:c r="BV5" s="44">
        <x:f t="shared" si="12"/>
        <x:v>0</x:v>
      </x:c>
      <x:c r="BW5" s="44">
        <x:f t="shared" si="12"/>
        <x:v>0</x:v>
      </x:c>
      <x:c r="BX5" s="44">
        <x:f t="shared" si="12"/>
        <x:v>0</x:v>
      </x:c>
      <x:c r="BY5" s="44">
        <x:f t="shared" si="12"/>
        <x:v>0</x:v>
      </x:c>
      <x:c r="BZ5" s="44">
        <x:f t="shared" si="12"/>
        <x:v>0</x:v>
      </x:c>
      <x:c r="CA5" s="44">
        <x:f t="shared" si="12"/>
        <x:v>0</x:v>
      </x:c>
      <x:c r="CB5" s="44">
        <x:f t="shared" si="12"/>
        <x:v>0</x:v>
      </x:c>
      <x:c r="CC5" s="44">
        <x:f t="shared" si="12"/>
        <x:v>0</x:v>
      </x:c>
      <x:c r="CD5" s="44">
        <x:f t="shared" si="12"/>
        <x:v>0</x:v>
      </x:c>
      <x:c r="CE5" s="44">
        <x:f t="shared" si="12"/>
        <x:v>0</x:v>
      </x:c>
      <x:c r="CF5" s="44">
        <x:f t="shared" si="12"/>
        <x:v>0</x:v>
      </x:c>
      <x:c r="CG5" s="44">
        <x:f t="shared" si="12"/>
        <x:v>0</x:v>
      </x:c>
      <x:c r="CH5" s="44">
        <x:f t="shared" si="12"/>
        <x:v>0</x:v>
      </x:c>
      <x:c r="CI5" s="44">
        <x:f t="shared" si="12"/>
        <x:v>0</x:v>
      </x:c>
      <x:c r="CJ5" s="44">
        <x:f t="shared" si="12"/>
        <x:v>0</x:v>
      </x:c>
      <x:c r="CK5" s="44">
        <x:f t="shared" si="12"/>
        <x:v>0</x:v>
      </x:c>
      <x:c r="CL5" s="44">
        <x:f t="shared" si="12"/>
        <x:v>0</x:v>
      </x:c>
      <x:c r="CM5" s="44">
        <x:f t="shared" si="12"/>
        <x:v>0</x:v>
      </x:c>
      <x:c r="CN5" s="44">
        <x:f t="shared" si="12"/>
        <x:v>0</x:v>
      </x:c>
      <x:c r="CO5" s="44">
        <x:f t="shared" si="12"/>
        <x:v>0</x:v>
      </x:c>
      <x:c r="CP5" s="44">
        <x:f t="shared" si="12"/>
        <x:v>0</x:v>
      </x:c>
      <x:c r="CQ5" s="44">
        <x:f t="shared" si="12"/>
        <x:v>0</x:v>
      </x:c>
      <x:c r="CR5" s="44">
        <x:f t="shared" si="12"/>
        <x:v>0</x:v>
      </x:c>
      <x:c r="CS5" s="44">
        <x:f t="shared" si="12"/>
        <x:v>0</x:v>
      </x:c>
      <x:c r="CT5" s="44">
        <x:f t="shared" si="12"/>
        <x:v>0</x:v>
      </x:c>
      <x:c r="CU5" s="44">
        <x:f t="shared" si="12"/>
        <x:v>0</x:v>
      </x:c>
      <x:c r="CV5" s="44">
        <x:f t="shared" si="12"/>
        <x:v>0</x:v>
      </x:c>
      <x:c r="CW5" s="44" t="n">
        <x:f t="shared" ref="CW5:EB5" si="13">IFERROR(COUNTIF(CW14:CW321,"&gt;"&amp;CW4),"")</x:f>
        <x:v>0</x:v>
      </x:c>
      <x:c r="CX5" s="44">
        <x:f t="shared" si="13"/>
        <x:v>0</x:v>
      </x:c>
      <x:c r="CY5" s="44">
        <x:f t="shared" si="13"/>
        <x:v>0</x:v>
      </x:c>
      <x:c r="CZ5" s="44">
        <x:f t="shared" si="13"/>
        <x:v>0</x:v>
      </x:c>
      <x:c r="DA5" s="44">
        <x:f t="shared" si="13"/>
        <x:v>0</x:v>
      </x:c>
      <x:c r="DB5" s="44">
        <x:f t="shared" si="13"/>
        <x:v>0</x:v>
      </x:c>
      <x:c r="DC5" s="44">
        <x:f t="shared" si="13"/>
        <x:v>0</x:v>
      </x:c>
      <x:c r="DD5" s="44">
        <x:f t="shared" si="13"/>
        <x:v>0</x:v>
      </x:c>
      <x:c r="DE5" s="44">
        <x:f t="shared" si="13"/>
        <x:v>0</x:v>
      </x:c>
      <x:c r="DF5" s="44">
        <x:f t="shared" si="13"/>
        <x:v>0</x:v>
      </x:c>
      <x:c r="DG5" s="44">
        <x:f t="shared" si="13"/>
        <x:v>0</x:v>
      </x:c>
      <x:c r="DH5" s="44">
        <x:f t="shared" si="13"/>
        <x:v>0</x:v>
      </x:c>
      <x:c r="DI5" s="44">
        <x:f t="shared" si="13"/>
        <x:v>0</x:v>
      </x:c>
      <x:c r="DJ5" s="44">
        <x:f t="shared" si="13"/>
        <x:v>0</x:v>
      </x:c>
      <x:c r="DK5" s="44">
        <x:f t="shared" si="13"/>
        <x:v>0</x:v>
      </x:c>
      <x:c r="DL5" s="44">
        <x:f t="shared" si="13"/>
        <x:v>0</x:v>
      </x:c>
      <x:c r="DM5" s="44">
        <x:f t="shared" si="13"/>
        <x:v>0</x:v>
      </x:c>
      <x:c r="DN5" s="44">
        <x:f t="shared" si="13"/>
        <x:v>0</x:v>
      </x:c>
      <x:c r="DO5" s="44">
        <x:f t="shared" si="13"/>
        <x:v>0</x:v>
      </x:c>
      <x:c r="DP5" s="44">
        <x:f t="shared" si="13"/>
        <x:v>0</x:v>
      </x:c>
      <x:c r="DQ5" s="44">
        <x:f t="shared" si="13"/>
        <x:v>0</x:v>
      </x:c>
      <x:c r="DR5" s="44">
        <x:f t="shared" si="13"/>
        <x:v>0</x:v>
      </x:c>
      <x:c r="DS5" s="44">
        <x:f t="shared" si="13"/>
        <x:v>0</x:v>
      </x:c>
      <x:c r="DT5" s="44">
        <x:f t="shared" si="13"/>
        <x:v>0</x:v>
      </x:c>
      <x:c r="DU5" s="44">
        <x:f t="shared" si="13"/>
        <x:v>0</x:v>
      </x:c>
      <x:c r="DV5" s="44">
        <x:f t="shared" si="13"/>
        <x:v>0</x:v>
      </x:c>
      <x:c r="DW5" s="44">
        <x:f t="shared" si="13"/>
        <x:v>0</x:v>
      </x:c>
      <x:c r="DX5" s="44">
        <x:f t="shared" si="13"/>
        <x:v>0</x:v>
      </x:c>
      <x:c r="DY5" s="44">
        <x:f t="shared" si="13"/>
        <x:v>0</x:v>
      </x:c>
      <x:c r="DZ5" s="44">
        <x:f t="shared" si="13"/>
        <x:v>0</x:v>
      </x:c>
      <x:c r="EA5" s="44">
        <x:f t="shared" si="13"/>
        <x:v>0</x:v>
      </x:c>
      <x:c r="EB5" s="44">
        <x:f t="shared" si="13"/>
        <x:v>0</x:v>
      </x:c>
      <x:c r="EC5" s="44" t="n">
        <x:f t="shared" ref="EC5:EP5" si="14">IFERROR(COUNTIF(EC14:EC321,"&gt;"&amp;EC4),"")</x:f>
        <x:v>0</x:v>
      </x:c>
      <x:c r="ED5" s="44">
        <x:f t="shared" si="14"/>
        <x:v>0</x:v>
      </x:c>
      <x:c r="EE5" s="44">
        <x:f t="shared" si="14"/>
        <x:v>0</x:v>
      </x:c>
      <x:c r="EF5" s="44">
        <x:f t="shared" si="14"/>
        <x:v>0</x:v>
      </x:c>
      <x:c r="EG5" s="44">
        <x:f t="shared" si="14"/>
        <x:v>0</x:v>
      </x:c>
      <x:c r="EH5" s="44">
        <x:f t="shared" si="14"/>
        <x:v>0</x:v>
      </x:c>
      <x:c r="EI5" s="44">
        <x:f t="shared" si="14"/>
        <x:v>0</x:v>
      </x:c>
      <x:c r="EJ5" s="44">
        <x:f t="shared" si="14"/>
        <x:v>0</x:v>
      </x:c>
      <x:c r="EK5" s="44">
        <x:f t="shared" si="14"/>
        <x:v>0</x:v>
      </x:c>
      <x:c r="EL5" s="44">
        <x:f t="shared" si="14"/>
        <x:v>0</x:v>
      </x:c>
      <x:c r="EM5" s="44">
        <x:f t="shared" si="14"/>
        <x:v>0</x:v>
      </x:c>
      <x:c r="EN5" s="44">
        <x:f t="shared" si="14"/>
        <x:v>0</x:v>
      </x:c>
      <x:c r="EO5" s="44">
        <x:f t="shared" si="14"/>
        <x:v>0</x:v>
      </x:c>
      <x:c r="EP5" s="44">
        <x:f t="shared" si="14"/>
        <x:v>0</x:v>
      </x:c>
      <x:c r="FA5" s="46"/>
      <x:c r="FL5" s="46"/>
      <x:c r="FW5" s="46"/>
      <x:c r="GR5" s="47"/>
      <x:c r="HB5" s="47"/>
      <x:c r="HN5" s="45" t="s">
        <x:v>169</x:v>
      </x:c>
    </x:row>
    <x:row r="6" s="50" customFormat="1" ht="13.5" customHeight="1">
      <x:c r="A6" s="214" t="s">
        <x:v>170</x:v>
      </x:c>
      <x:c r="B6" s="214"/>
      <x:c r="C6" s="214"/>
      <x:c r="D6" s="214"/>
      <x:c r="E6" s="50" t="n">
        <x:f t="shared" ref="E6:AJ6" si="15">IFERROR(E3/COUNT(E14:E321),"")</x:f>
        <x:v>0.16666666666666666</x:v>
      </x:c>
      <x:c r="F6" s="50">
        <x:f t="shared" si="15"/>
        <x:v>0.9</x:v>
      </x:c>
      <x:c r="G6" s="50">
        <x:f t="shared" si="15"/>
        <x:v>0.9</x:v>
      </x:c>
      <x:c r="H6" s="50">
        <x:f t="shared" si="15"/>
        <x:v>0.93333333333333335</x:v>
      </x:c>
      <x:c r="I6" s="50">
        <x:f t="shared" si="15"/>
        <x:v>0.66666666666666663</x:v>
      </x:c>
      <x:c r="J6" s="50">
        <x:f t="shared" si="15"/>
        <x:v>0.7</x:v>
      </x:c>
      <x:c r="K6" s="50">
        <x:f t="shared" si="15"/>
        <x:v>0.8666666666666667</x:v>
      </x:c>
      <x:c r="L6" s="50">
        <x:f t="shared" si="15"/>
        <x:v>0.8</x:v>
      </x:c>
      <x:c r="M6" s="50">
        <x:f t="shared" si="15"/>
        <x:v>0.6333333333333333</x:v>
      </x:c>
      <x:c r="N6" s="50">
        <x:f t="shared" si="15"/>
        <x:v>0.6333333333333333</x:v>
      </x:c>
      <x:c r="O6" s="50">
        <x:f t="shared" si="15"/>
        <x:v>0.6333333333333333</x:v>
      </x:c>
      <x:c r="P6" s="50">
        <x:f t="shared" si="15"/>
        <x:v>0.6</x:v>
      </x:c>
      <x:c r="Q6" s="50">
        <x:f t="shared" si="15"/>
        <x:v>0.8</x:v>
      </x:c>
      <x:c r="R6" s="50" t="str">
        <x:f t="shared" si="15"/>
      </x:c>
      <x:c r="S6" s="50" t="str">
        <x:f t="shared" si="15"/>
      </x:c>
      <x:c r="T6" s="50" t="str">
        <x:f t="shared" si="15"/>
      </x:c>
      <x:c r="U6" s="50" t="str">
        <x:f t="shared" si="15"/>
      </x:c>
      <x:c r="V6" s="50" t="str">
        <x:f t="shared" si="15"/>
      </x:c>
      <x:c r="W6" s="50" t="str">
        <x:f t="shared" si="15"/>
      </x:c>
      <x:c r="X6" s="50" t="str">
        <x:f t="shared" si="15"/>
      </x:c>
      <x:c r="Y6" s="50" t="str">
        <x:f t="shared" si="15"/>
      </x:c>
      <x:c r="Z6" s="50" t="str">
        <x:f t="shared" si="15"/>
      </x:c>
      <x:c r="AA6" s="50" t="str">
        <x:f t="shared" si="15"/>
      </x:c>
      <x:c r="AB6" s="50" t="str">
        <x:f t="shared" si="15"/>
      </x:c>
      <x:c r="AC6" s="50" t="str">
        <x:f t="shared" si="15"/>
      </x:c>
      <x:c r="AD6" s="50" t="str">
        <x:f t="shared" si="15"/>
      </x:c>
      <x:c r="AE6" s="50" t="str">
        <x:f t="shared" si="15"/>
      </x:c>
      <x:c r="AF6" s="50" t="str">
        <x:f t="shared" si="15"/>
      </x:c>
      <x:c r="AG6" s="50" t="str">
        <x:f t="shared" si="15"/>
      </x:c>
      <x:c r="AH6" s="50" t="str">
        <x:f t="shared" si="15"/>
      </x:c>
      <x:c r="AI6" s="50" t="str">
        <x:f t="shared" si="15"/>
      </x:c>
      <x:c r="AJ6" s="50" t="str">
        <x:f t="shared" si="15"/>
      </x:c>
      <x:c r="AK6" s="50" t="str">
        <x:f t="shared" ref="AK6:BP6" si="16">IFERROR(AK3/COUNT(AK14:AK321),"")</x:f>
      </x:c>
      <x:c r="AL6" s="50" t="str">
        <x:f t="shared" si="16"/>
      </x:c>
      <x:c r="AM6" s="50" t="str">
        <x:f t="shared" si="16"/>
      </x:c>
      <x:c r="AN6" s="50" t="str">
        <x:f t="shared" si="16"/>
      </x:c>
      <x:c r="AO6" s="50" t="str">
        <x:f t="shared" si="16"/>
      </x:c>
      <x:c r="AP6" s="50" t="str">
        <x:f t="shared" si="16"/>
      </x:c>
      <x:c r="AQ6" s="50" t="str">
        <x:f t="shared" si="16"/>
      </x:c>
      <x:c r="AR6" s="50" t="str">
        <x:f t="shared" si="16"/>
      </x:c>
      <x:c r="AS6" s="50" t="str">
        <x:f t="shared" si="16"/>
      </x:c>
      <x:c r="AT6" s="50" t="str">
        <x:f t="shared" si="16"/>
      </x:c>
      <x:c r="AU6" s="50" t="str">
        <x:f t="shared" si="16"/>
      </x:c>
      <x:c r="AV6" s="50" t="str">
        <x:f t="shared" si="16"/>
      </x:c>
      <x:c r="AW6" s="50" t="str">
        <x:f t="shared" si="16"/>
      </x:c>
      <x:c r="AX6" s="50" t="str">
        <x:f t="shared" si="16"/>
      </x:c>
      <x:c r="AY6" s="50" t="str">
        <x:f t="shared" si="16"/>
      </x:c>
      <x:c r="AZ6" s="50" t="str">
        <x:f t="shared" si="16"/>
      </x:c>
      <x:c r="BA6" s="50" t="str">
        <x:f t="shared" si="16"/>
      </x:c>
      <x:c r="BB6" s="50" t="str">
        <x:f t="shared" si="16"/>
      </x:c>
      <x:c r="BC6" s="50" t="str">
        <x:f t="shared" si="16"/>
      </x:c>
      <x:c r="BD6" s="50" t="str">
        <x:f t="shared" si="16"/>
      </x:c>
      <x:c r="BE6" s="50" t="str">
        <x:f t="shared" si="16"/>
      </x:c>
      <x:c r="BF6" s="50" t="str">
        <x:f t="shared" si="16"/>
      </x:c>
      <x:c r="BG6" s="50" t="str">
        <x:f t="shared" si="16"/>
      </x:c>
      <x:c r="BH6" s="50" t="str">
        <x:f t="shared" si="16"/>
      </x:c>
      <x:c r="BI6" s="50" t="str">
        <x:f t="shared" si="16"/>
      </x:c>
      <x:c r="BJ6" s="50" t="str">
        <x:f t="shared" si="16"/>
      </x:c>
      <x:c r="BK6" s="50" t="str">
        <x:f t="shared" si="16"/>
      </x:c>
      <x:c r="BL6" s="50" t="str">
        <x:f t="shared" si="16"/>
      </x:c>
      <x:c r="BM6" s="50" t="str">
        <x:f t="shared" si="16"/>
      </x:c>
      <x:c r="BN6" s="50" t="str">
        <x:f t="shared" si="16"/>
      </x:c>
      <x:c r="BO6" s="50" t="str">
        <x:f t="shared" si="16"/>
      </x:c>
      <x:c r="BP6" s="50" t="str">
        <x:f t="shared" si="16"/>
      </x:c>
      <x:c r="BQ6" s="50" t="str">
        <x:f t="shared" ref="BQ6:CV6" si="17">IFERROR(BQ3/COUNT(BQ14:BQ321),"")</x:f>
      </x:c>
      <x:c r="BR6" s="50" t="str">
        <x:f t="shared" si="17"/>
      </x:c>
      <x:c r="BS6" s="50" t="str">
        <x:f t="shared" si="17"/>
      </x:c>
      <x:c r="BT6" s="50" t="str">
        <x:f t="shared" si="17"/>
      </x:c>
      <x:c r="BU6" s="50" t="str">
        <x:f t="shared" si="17"/>
      </x:c>
      <x:c r="BV6" s="50" t="str">
        <x:f t="shared" si="17"/>
      </x:c>
      <x:c r="BW6" s="50" t="str">
        <x:f t="shared" si="17"/>
      </x:c>
      <x:c r="BX6" s="50" t="str">
        <x:f t="shared" si="17"/>
      </x:c>
      <x:c r="BY6" s="50" t="str">
        <x:f t="shared" si="17"/>
      </x:c>
      <x:c r="BZ6" s="50" t="str">
        <x:f t="shared" si="17"/>
      </x:c>
      <x:c r="CA6" s="50" t="str">
        <x:f t="shared" si="17"/>
      </x:c>
      <x:c r="CB6" s="50" t="str">
        <x:f t="shared" si="17"/>
      </x:c>
      <x:c r="CC6" s="50" t="str">
        <x:f t="shared" si="17"/>
      </x:c>
      <x:c r="CD6" s="50" t="str">
        <x:f t="shared" si="17"/>
      </x:c>
      <x:c r="CE6" s="50" t="str">
        <x:f t="shared" si="17"/>
      </x:c>
      <x:c r="CF6" s="50" t="str">
        <x:f t="shared" si="17"/>
      </x:c>
      <x:c r="CG6" s="50" t="str">
        <x:f t="shared" si="17"/>
      </x:c>
      <x:c r="CH6" s="50" t="str">
        <x:f t="shared" si="17"/>
      </x:c>
      <x:c r="CI6" s="50" t="str">
        <x:f t="shared" si="17"/>
      </x:c>
      <x:c r="CJ6" s="50" t="str">
        <x:f t="shared" si="17"/>
      </x:c>
      <x:c r="CK6" s="50" t="str">
        <x:f t="shared" si="17"/>
      </x:c>
      <x:c r="CL6" s="50" t="str">
        <x:f t="shared" si="17"/>
      </x:c>
      <x:c r="CM6" s="50" t="str">
        <x:f t="shared" si="17"/>
      </x:c>
      <x:c r="CN6" s="50" t="str">
        <x:f t="shared" si="17"/>
      </x:c>
      <x:c r="CO6" s="50" t="str">
        <x:f t="shared" si="17"/>
      </x:c>
      <x:c r="CP6" s="50" t="str">
        <x:f t="shared" si="17"/>
      </x:c>
      <x:c r="CQ6" s="50" t="str">
        <x:f t="shared" si="17"/>
      </x:c>
      <x:c r="CR6" s="50" t="str">
        <x:f t="shared" si="17"/>
      </x:c>
      <x:c r="CS6" s="50" t="str">
        <x:f t="shared" si="17"/>
      </x:c>
      <x:c r="CT6" s="50" t="str">
        <x:f t="shared" si="17"/>
      </x:c>
      <x:c r="CU6" s="50" t="str">
        <x:f t="shared" si="17"/>
      </x:c>
      <x:c r="CV6" s="50" t="str">
        <x:f t="shared" si="17"/>
      </x:c>
      <x:c r="CW6" s="50" t="str">
        <x:f t="shared" ref="CW6:EB6" si="18">IFERROR(CW3/COUNT(CW14:CW321),"")</x:f>
      </x:c>
      <x:c r="CX6" s="50" t="str">
        <x:f t="shared" si="18"/>
      </x:c>
      <x:c r="CY6" s="50" t="str">
        <x:f t="shared" si="18"/>
      </x:c>
      <x:c r="CZ6" s="50" t="str">
        <x:f t="shared" si="18"/>
      </x:c>
      <x:c r="DA6" s="50" t="str">
        <x:f t="shared" si="18"/>
      </x:c>
      <x:c r="DB6" s="50" t="str">
        <x:f t="shared" si="18"/>
      </x:c>
      <x:c r="DC6" s="50" t="str">
        <x:f t="shared" si="18"/>
      </x:c>
      <x:c r="DD6" s="50" t="str">
        <x:f t="shared" si="18"/>
      </x:c>
      <x:c r="DE6" s="50" t="str">
        <x:f t="shared" si="18"/>
      </x:c>
      <x:c r="DF6" s="50" t="str">
        <x:f t="shared" si="18"/>
      </x:c>
      <x:c r="DG6" s="50" t="str">
        <x:f t="shared" si="18"/>
      </x:c>
      <x:c r="DH6" s="50" t="str">
        <x:f t="shared" si="18"/>
      </x:c>
      <x:c r="DI6" s="50" t="str">
        <x:f t="shared" si="18"/>
      </x:c>
      <x:c r="DJ6" s="50" t="str">
        <x:f t="shared" si="18"/>
      </x:c>
      <x:c r="DK6" s="50" t="str">
        <x:f t="shared" si="18"/>
      </x:c>
      <x:c r="DL6" s="50" t="str">
        <x:f t="shared" si="18"/>
      </x:c>
      <x:c r="DM6" s="50" t="str">
        <x:f t="shared" si="18"/>
      </x:c>
      <x:c r="DN6" s="50" t="str">
        <x:f t="shared" si="18"/>
      </x:c>
      <x:c r="DO6" s="50" t="str">
        <x:f t="shared" si="18"/>
      </x:c>
      <x:c r="DP6" s="50" t="str">
        <x:f t="shared" si="18"/>
      </x:c>
      <x:c r="DQ6" s="50" t="str">
        <x:f t="shared" si="18"/>
      </x:c>
      <x:c r="DR6" s="50" t="str">
        <x:f t="shared" si="18"/>
      </x:c>
      <x:c r="DS6" s="50" t="str">
        <x:f t="shared" si="18"/>
      </x:c>
      <x:c r="DT6" s="50" t="str">
        <x:f t="shared" si="18"/>
      </x:c>
      <x:c r="DU6" s="50" t="str">
        <x:f t="shared" si="18"/>
      </x:c>
      <x:c r="DV6" s="50" t="str">
        <x:f t="shared" si="18"/>
      </x:c>
      <x:c r="DW6" s="50" t="str">
        <x:f t="shared" si="18"/>
      </x:c>
      <x:c r="DX6" s="50" t="str">
        <x:f t="shared" si="18"/>
      </x:c>
      <x:c r="DY6" s="50" t="str">
        <x:f t="shared" si="18"/>
      </x:c>
      <x:c r="DZ6" s="50" t="str">
        <x:f t="shared" si="18"/>
      </x:c>
      <x:c r="EA6" s="50" t="str">
        <x:f t="shared" si="18"/>
      </x:c>
      <x:c r="EB6" s="50" t="str">
        <x:f t="shared" si="18"/>
      </x:c>
      <x:c r="EC6" s="50" t="str">
        <x:f t="shared" ref="EC6:EP6" si="19">IFERROR(EC3/COUNT(EC14:EC321),"")</x:f>
      </x:c>
      <x:c r="ED6" s="50" t="str">
        <x:f t="shared" si="19"/>
      </x:c>
      <x:c r="EE6" s="50" t="str">
        <x:f t="shared" si="19"/>
      </x:c>
      <x:c r="EF6" s="50" t="str">
        <x:f t="shared" si="19"/>
      </x:c>
      <x:c r="EG6" s="50" t="str">
        <x:f t="shared" si="19"/>
      </x:c>
      <x:c r="EH6" s="50" t="str">
        <x:f t="shared" si="19"/>
      </x:c>
      <x:c r="EI6" s="50" t="str">
        <x:f t="shared" si="19"/>
      </x:c>
      <x:c r="EJ6" s="50" t="str">
        <x:f t="shared" si="19"/>
      </x:c>
      <x:c r="EK6" s="50" t="str">
        <x:f t="shared" si="19"/>
      </x:c>
      <x:c r="EL6" s="50" t="str">
        <x:f t="shared" si="19"/>
      </x:c>
      <x:c r="EM6" s="50" t="str">
        <x:f t="shared" si="19"/>
      </x:c>
      <x:c r="EN6" s="50" t="str">
        <x:f t="shared" si="19"/>
      </x:c>
      <x:c r="EO6" s="50" t="str">
        <x:f t="shared" si="19"/>
      </x:c>
      <x:c r="EP6" s="50" t="str">
        <x:f t="shared" si="19"/>
      </x:c>
      <x:c r="FA6" s="51"/>
      <x:c r="FL6" s="51"/>
      <x:c r="FW6" s="51"/>
      <x:c r="GR6" s="52"/>
      <x:c r="HB6" s="52"/>
      <x:c r="HN6" s="53" t="s">
        <x:v>171</x:v>
      </x:c>
    </x:row>
    <x:row r="7" ht="52.5" customHeight="1">
      <x:c r="A7" s="215" t="s">
        <x:v>172</x:v>
      </x:c>
      <x:c r="B7" s="215" t="s">
        <x:v>24</x:v>
      </x:c>
      <x:c r="C7" s="215" t="s">
        <x:v>25</x:v>
      </x:c>
      <x:c r="D7" s="54" t="s">
        <x:v>173</x:v>
      </x:c>
      <x:c r="E7" s="1" t="s">
        <x:v>138</x:v>
      </x:c>
      <x:c r="F7" s="1" t="s">
        <x:v>141</x:v>
      </x:c>
      <x:c r="G7" s="1" t="s">
        <x:v>140</x:v>
      </x:c>
      <x:c r="H7" s="1" t="s">
        <x:v>138</x:v>
      </x:c>
      <x:c r="I7" s="1" t="s">
        <x:v>143</x:v>
      </x:c>
      <x:c r="J7" s="1" t="s">
        <x:v>140</x:v>
      </x:c>
      <x:c r="K7" s="1" t="s">
        <x:v>138</x:v>
      </x:c>
      <x:c r="L7" s="1" t="s">
        <x:v>141</x:v>
      </x:c>
      <x:c r="M7" s="1" t="s">
        <x:v>140</x:v>
      </x:c>
      <x:c r="N7" s="1" t="s">
        <x:v>140</x:v>
      </x:c>
      <x:c r="O7" s="1" t="s">
        <x:v>140</x:v>
      </x:c>
      <x:c r="P7" s="1" t="s">
        <x:v>140</x:v>
      </x:c>
      <x:c r="Q7" s="1" t="s">
        <x:v>140</x:v>
      </x:c>
      <x:c r="R7" s="1"/>
      <x:c r="S7" s="1"/>
      <x:c r="T7" s="1"/>
      <x:c r="U7" s="1"/>
      <x:c r="V7" s="1"/>
      <x:c r="W7" s="1"/>
      <x:c r="X7" s="1"/>
      <x:c r="Y7" s="1"/>
      <x:c r="Z7" s="1"/>
      <x:c r="AA7" s="1"/>
      <x:c r="AB7" s="1"/>
      <x:c r="AC7" s="1"/>
      <x:c r="AD7" s="1"/>
      <x:c r="AE7" s="1"/>
      <x:c r="AF7" s="1"/>
      <x:c r="AG7" s="1"/>
      <x:c r="AH7" s="1"/>
      <x:c r="AI7" s="1"/>
      <x:c r="AJ7" s="1"/>
      <x:c r="AK7" s="1"/>
      <x:c r="AL7" s="1"/>
      <x:c r="AM7" s="1"/>
      <x:c r="AN7" s="1"/>
      <x:c r="AO7" s="1"/>
      <x:c r="AP7" s="1"/>
      <x:c r="AQ7" s="1"/>
      <x:c r="AR7" s="1"/>
      <x:c r="AS7" s="1"/>
      <x:c r="AT7" s="1"/>
      <x:c r="AU7" s="1"/>
      <x:c r="AV7" s="1"/>
      <x:c r="AW7" s="1"/>
      <x:c r="AX7" s="1"/>
      <x:c r="AY7" s="1"/>
      <x:c r="AZ7" s="1"/>
      <x:c r="BA7" s="1"/>
      <x:c r="BB7" s="1"/>
      <x:c r="BC7" s="1"/>
      <x:c r="BD7" s="1"/>
      <x:c r="BE7" s="1"/>
      <x:c r="BF7" s="1"/>
      <x:c r="BG7" s="1"/>
      <x:c r="BH7" s="1"/>
      <x:c r="BI7" s="1"/>
      <x:c r="BJ7" s="1"/>
      <x:c r="BK7" s="1"/>
      <x:c r="BL7" s="1"/>
      <x:c r="BM7" s="1"/>
      <x:c r="BN7" s="1"/>
      <x:c r="BO7" s="1"/>
      <x:c r="BP7" s="1"/>
      <x:c r="BQ7" s="1"/>
      <x:c r="BR7" s="1"/>
      <x:c r="BS7" s="1"/>
      <x:c r="BT7" s="1"/>
      <x:c r="BU7" s="1"/>
      <x:c r="BV7" s="1"/>
      <x:c r="BW7" s="1"/>
      <x:c r="BX7" s="1"/>
      <x:c r="BY7" s="1"/>
      <x:c r="BZ7" s="1"/>
      <x:c r="CA7" s="1"/>
      <x:c r="CB7" s="1"/>
      <x:c r="CC7" s="1"/>
      <x:c r="CD7" s="1"/>
      <x:c r="CE7" s="1"/>
      <x:c r="CF7" s="1"/>
      <x:c r="CG7" s="1"/>
      <x:c r="CH7" s="1"/>
      <x:c r="CI7" s="1"/>
      <x:c r="CJ7" s="1"/>
      <x:c r="CK7" s="1"/>
      <x:c r="CL7" s="1"/>
      <x:c r="CM7" s="1"/>
      <x:c r="CN7" s="1"/>
      <x:c r="CO7" s="1"/>
      <x:c r="CP7" s="1"/>
      <x:c r="CQ7" s="1"/>
      <x:c r="CR7" s="1"/>
      <x:c r="CS7" s="1"/>
      <x:c r="CT7" s="1"/>
      <x:c r="CU7" s="1"/>
      <x:c r="CV7" s="1"/>
      <x:c r="CW7" s="1"/>
      <x:c r="CX7" s="1"/>
      <x:c r="CY7" s="1"/>
      <x:c r="CZ7" s="1"/>
      <x:c r="DA7" s="1"/>
      <x:c r="DB7" s="1"/>
      <x:c r="DC7" s="1"/>
      <x:c r="DD7" s="1"/>
      <x:c r="DE7" s="1"/>
      <x:c r="DF7" s="1"/>
      <x:c r="DG7" s="1"/>
      <x:c r="DH7" s="1"/>
      <x:c r="DI7" s="1"/>
      <x:c r="DJ7" s="1"/>
      <x:c r="DK7" s="1"/>
      <x:c r="DL7" s="1"/>
      <x:c r="DM7" s="1"/>
      <x:c r="DN7" s="1"/>
      <x:c r="DO7" s="1"/>
      <x:c r="DP7" s="1"/>
      <x:c r="DQ7" s="1"/>
      <x:c r="DR7" s="1"/>
      <x:c r="DS7" s="1"/>
      <x:c r="DT7" s="1"/>
      <x:c r="DU7" s="1"/>
      <x:c r="DV7" s="1"/>
      <x:c r="DW7" s="1"/>
      <x:c r="DX7" s="1"/>
      <x:c r="DY7" s="1"/>
      <x:c r="DZ7" s="1"/>
      <x:c r="EA7" s="1"/>
      <x:c r="EB7" s="1"/>
      <x:c r="EC7" s="1"/>
      <x:c r="ED7" s="1"/>
      <x:c r="EE7" s="1"/>
      <x:c r="EF7" s="1"/>
      <x:c r="EG7" s="1"/>
      <x:c r="EH7" s="1"/>
      <x:c r="EI7" s="1"/>
      <x:c r="EJ7" s="1"/>
      <x:c r="EK7" s="1"/>
      <x:c r="EL7" s="1"/>
      <x:c r="EM7" s="1"/>
      <x:c r="EN7" s="1"/>
      <x:c r="EO7" s="1"/>
      <x:c r="EP7" s="1"/>
      <x:c r="EQ7" s="35" t="s">
        <x:v>138</x:v>
      </x:c>
      <x:c r="ER7" s="35" t="s">
        <x:v>140</x:v>
      </x:c>
      <x:c r="ES7" s="35" t="s">
        <x:v>141</x:v>
      </x:c>
      <x:c r="ET7" s="35" t="s">
        <x:v>143</x:v>
      </x:c>
      <x:c r="EU7" s="35" t="s">
        <x:v>144</x:v>
      </x:c>
      <x:c r="EV7" s="35" t="s">
        <x:v>145</x:v>
      </x:c>
      <x:c r="EW7" s="35" t="s">
        <x:v>146</x:v>
      </x:c>
      <x:c r="EX7" s="35" t="s">
        <x:v>147</x:v>
      </x:c>
      <x:c r="EY7" s="35" t="s">
        <x:v>148</x:v>
      </x:c>
      <x:c r="EZ7" s="35" t="s">
        <x:v>149</x:v>
      </x:c>
      <x:c r="FA7" s="55" t="s">
        <x:v>150</x:v>
      </x:c>
      <x:c r="FB7" s="56" t="s">
        <x:v>138</x:v>
      </x:c>
      <x:c r="FC7" s="35" t="s">
        <x:v>140</x:v>
      </x:c>
      <x:c r="FD7" s="35" t="s">
        <x:v>141</x:v>
      </x:c>
      <x:c r="FE7" s="35" t="s">
        <x:v>143</x:v>
      </x:c>
      <x:c r="FF7" s="35" t="s">
        <x:v>144</x:v>
      </x:c>
      <x:c r="FG7" s="35" t="s">
        <x:v>145</x:v>
      </x:c>
      <x:c r="FH7" s="35" t="s">
        <x:v>146</x:v>
      </x:c>
      <x:c r="FI7" s="35" t="s">
        <x:v>147</x:v>
      </x:c>
      <x:c r="FJ7" s="35" t="s">
        <x:v>148</x:v>
      </x:c>
      <x:c r="FK7" s="35" t="s">
        <x:v>149</x:v>
      </x:c>
      <x:c r="FL7" s="55" t="s">
        <x:v>150</x:v>
      </x:c>
      <x:c r="FM7" s="56" t="s">
        <x:v>138</x:v>
      </x:c>
      <x:c r="FN7" s="35" t="s">
        <x:v>140</x:v>
      </x:c>
      <x:c r="FO7" s="35" t="s">
        <x:v>141</x:v>
      </x:c>
      <x:c r="FP7" s="35" t="s">
        <x:v>143</x:v>
      </x:c>
      <x:c r="FQ7" s="35" t="s">
        <x:v>144</x:v>
      </x:c>
      <x:c r="FR7" s="35" t="s">
        <x:v>145</x:v>
      </x:c>
      <x:c r="FS7" s="35" t="s">
        <x:v>146</x:v>
      </x:c>
      <x:c r="FT7" s="35" t="s">
        <x:v>147</x:v>
      </x:c>
      <x:c r="FU7" s="35" t="s">
        <x:v>148</x:v>
      </x:c>
      <x:c r="FV7" s="35" t="s">
        <x:v>149</x:v>
      </x:c>
      <x:c r="FW7" s="55" t="s">
        <x:v>150</x:v>
      </x:c>
      <x:c r="FX7" s="56" t="s">
        <x:v>138</x:v>
      </x:c>
      <x:c r="FY7" s="35" t="s">
        <x:v>140</x:v>
      </x:c>
      <x:c r="FZ7" s="35" t="s">
        <x:v>141</x:v>
      </x:c>
      <x:c r="GA7" s="35" t="s">
        <x:v>143</x:v>
      </x:c>
      <x:c r="GB7" s="35" t="s">
        <x:v>144</x:v>
      </x:c>
      <x:c r="GC7" s="35" t="s">
        <x:v>145</x:v>
      </x:c>
      <x:c r="GD7" s="35" t="s">
        <x:v>146</x:v>
      </x:c>
      <x:c r="GE7" s="35" t="s">
        <x:v>147</x:v>
      </x:c>
      <x:c r="GF7" s="35" t="s">
        <x:v>148</x:v>
      </x:c>
      <x:c r="GG7" s="35" t="s">
        <x:v>149</x:v>
      </x:c>
      <x:c r="GH7" s="55" t="s">
        <x:v>150</x:v>
      </x:c>
      <x:c r="HN7" s="43" t="s">
        <x:v>174</x:v>
      </x:c>
    </x:row>
    <x:row r="8" ht="24" customHeight="1">
      <x:c r="A8" s="215"/>
      <x:c r="B8" s="215"/>
      <x:c r="C8" s="215"/>
      <x:c r="D8" s="54" t="s">
        <x:v>175</x:v>
      </x:c>
      <x:c r="E8" s="57" t="s">
        <x:v>162</x:v>
      </x:c>
      <x:c r="F8" s="57" t="s">
        <x:v>163</x:v>
      </x:c>
      <x:c r="G8" s="57" t="s">
        <x:v>165</x:v>
      </x:c>
      <x:c r="H8" s="57" t="s">
        <x:v>162</x:v>
      </x:c>
      <x:c r="I8" s="57" t="s">
        <x:v>163</x:v>
      </x:c>
      <x:c r="J8" s="57" t="s">
        <x:v>165</x:v>
      </x:c>
      <x:c r="K8" s="57" t="s">
        <x:v>162</x:v>
      </x:c>
      <x:c r="L8" s="57" t="s">
        <x:v>163</x:v>
      </x:c>
      <x:c r="M8" s="57" t="s">
        <x:v>165</x:v>
      </x:c>
      <x:c r="N8" s="57" t="s">
        <x:v>165</x:v>
      </x:c>
      <x:c r="O8" s="57" t="s">
        <x:v>165</x:v>
      </x:c>
      <x:c r="P8" s="57" t="s">
        <x:v>165</x:v>
      </x:c>
      <x:c r="Q8" s="57" t="s">
        <x:v>165</x:v>
      </x:c>
      <x:c r="R8" s="57"/>
      <x:c r="S8" s="57"/>
      <x:c r="T8" s="57"/>
      <x:c r="U8" s="57"/>
      <x:c r="V8" s="57"/>
      <x:c r="W8" s="57"/>
      <x:c r="X8" s="57"/>
      <x:c r="Y8" s="57"/>
      <x:c r="Z8" s="57"/>
      <x:c r="AA8" s="57"/>
      <x:c r="AB8" s="57"/>
      <x:c r="AC8" s="57"/>
      <x:c r="AD8" s="57"/>
      <x:c r="AE8" s="57"/>
      <x:c r="AF8" s="57"/>
      <x:c r="AG8" s="57"/>
      <x:c r="AH8" s="57"/>
      <x:c r="AI8" s="57"/>
      <x:c r="AJ8" s="57"/>
      <x:c r="AK8" s="57"/>
      <x:c r="AL8" s="57"/>
      <x:c r="AM8" s="57"/>
      <x:c r="AN8" s="57"/>
      <x:c r="AO8" s="57"/>
      <x:c r="AP8" s="57"/>
      <x:c r="AQ8" s="57"/>
      <x:c r="AR8" s="57"/>
      <x:c r="AS8" s="57"/>
      <x:c r="AT8" s="57"/>
      <x:c r="AU8" s="57"/>
      <x:c r="AV8" s="57"/>
      <x:c r="AW8" s="57"/>
      <x:c r="AX8" s="57"/>
      <x:c r="AY8" s="57"/>
      <x:c r="AZ8" s="57"/>
      <x:c r="BA8" s="57"/>
      <x:c r="BB8" s="57"/>
      <x:c r="BC8" s="57"/>
      <x:c r="BD8" s="57"/>
      <x:c r="BE8" s="57"/>
      <x:c r="BF8" s="57"/>
      <x:c r="BG8" s="57"/>
      <x:c r="BH8" s="57"/>
      <x:c r="BI8" s="57"/>
      <x:c r="BJ8" s="57"/>
      <x:c r="BK8" s="57"/>
      <x:c r="BL8" s="57"/>
      <x:c r="BM8" s="57"/>
      <x:c r="BN8" s="57"/>
      <x:c r="BO8" s="57"/>
      <x:c r="BP8" s="57"/>
      <x:c r="BQ8" s="57"/>
      <x:c r="BR8" s="57"/>
      <x:c r="BS8" s="57"/>
      <x:c r="BT8" s="57"/>
      <x:c r="BU8" s="57"/>
      <x:c r="BV8" s="57"/>
      <x:c r="BW8" s="57"/>
      <x:c r="BX8" s="57"/>
      <x:c r="BY8" s="57"/>
      <x:c r="BZ8" s="57"/>
      <x:c r="CA8" s="57"/>
      <x:c r="CB8" s="57"/>
      <x:c r="CC8" s="57"/>
      <x:c r="CD8" s="57"/>
      <x:c r="CE8" s="57"/>
      <x:c r="CF8" s="57"/>
      <x:c r="CG8" s="57"/>
      <x:c r="CH8" s="57"/>
      <x:c r="CI8" s="57"/>
      <x:c r="CJ8" s="57"/>
      <x:c r="CK8" s="57"/>
      <x:c r="CL8" s="57"/>
      <x:c r="CM8" s="57"/>
      <x:c r="CN8" s="57"/>
      <x:c r="CO8" s="57"/>
      <x:c r="CP8" s="57"/>
      <x:c r="CQ8" s="57"/>
      <x:c r="CR8" s="57"/>
      <x:c r="CS8" s="57"/>
      <x:c r="CT8" s="57"/>
      <x:c r="CU8" s="57"/>
      <x:c r="CV8" s="57"/>
      <x:c r="CW8" s="57"/>
      <x:c r="CX8" s="57"/>
      <x:c r="CY8" s="57"/>
      <x:c r="CZ8" s="57"/>
      <x:c r="DA8" s="57"/>
      <x:c r="DB8" s="57"/>
      <x:c r="DC8" s="57"/>
      <x:c r="DD8" s="57"/>
      <x:c r="DE8" s="57"/>
      <x:c r="DF8" s="57"/>
      <x:c r="DG8" s="57"/>
      <x:c r="DH8" s="57"/>
      <x:c r="DI8" s="57"/>
      <x:c r="DJ8" s="57"/>
      <x:c r="DK8" s="57"/>
      <x:c r="DL8" s="57"/>
      <x:c r="DM8" s="57"/>
      <x:c r="DN8" s="57"/>
      <x:c r="DO8" s="57"/>
      <x:c r="DP8" s="57"/>
      <x:c r="DQ8" s="57"/>
      <x:c r="DR8" s="57"/>
      <x:c r="DS8" s="57"/>
      <x:c r="DT8" s="57"/>
      <x:c r="DU8" s="57"/>
      <x:c r="DV8" s="57"/>
      <x:c r="DW8" s="57"/>
      <x:c r="DX8" s="57"/>
      <x:c r="DY8" s="57"/>
      <x:c r="DZ8" s="57"/>
      <x:c r="EA8" s="57"/>
      <x:c r="EB8" s="57"/>
      <x:c r="EC8" s="57"/>
      <x:c r="ED8" s="57"/>
      <x:c r="EE8" s="57"/>
      <x:c r="EF8" s="57"/>
      <x:c r="EG8" s="57"/>
      <x:c r="EH8" s="57"/>
      <x:c r="EI8" s="57"/>
      <x:c r="EJ8" s="57"/>
      <x:c r="EK8" s="57"/>
      <x:c r="EL8" s="57"/>
      <x:c r="EM8" s="57"/>
      <x:c r="EN8" s="57"/>
      <x:c r="EO8" s="57"/>
      <x:c r="EP8" s="57"/>
      <x:c r="EQ8" s="58"/>
      <x:c r="ER8" s="58"/>
      <x:c r="ES8" s="58"/>
      <x:c r="ET8" s="58"/>
      <x:c r="EU8" s="58"/>
      <x:c r="EV8" s="58"/>
      <x:c r="EW8" s="58"/>
      <x:c r="EX8" s="58"/>
      <x:c r="EY8" s="58"/>
      <x:c r="EZ8" s="58"/>
      <x:c r="FA8" s="59"/>
      <x:c r="FB8" s="58"/>
      <x:c r="FC8" s="58"/>
      <x:c r="FD8" s="58"/>
      <x:c r="FE8" s="58"/>
      <x:c r="FF8" s="58"/>
      <x:c r="FG8" s="58"/>
      <x:c r="FH8" s="58"/>
      <x:c r="FI8" s="58"/>
      <x:c r="FJ8" s="58"/>
      <x:c r="FK8" s="58"/>
      <x:c r="FL8" s="59"/>
      <x:c r="FM8" s="58"/>
      <x:c r="FN8" s="58"/>
      <x:c r="FO8" s="58"/>
      <x:c r="FP8" s="58"/>
      <x:c r="FQ8" s="58"/>
      <x:c r="FR8" s="58"/>
      <x:c r="FS8" s="58"/>
      <x:c r="FT8" s="58"/>
      <x:c r="FU8" s="58"/>
      <x:c r="FV8" s="58"/>
      <x:c r="FW8" s="59"/>
      <x:c r="FX8" s="58"/>
      <x:c r="FY8" s="58"/>
      <x:c r="FZ8" s="58"/>
      <x:c r="GA8" s="58"/>
      <x:c r="GB8" s="58"/>
      <x:c r="GC8" s="58"/>
      <x:c r="GD8" s="58"/>
      <x:c r="GE8" s="58"/>
      <x:c r="GF8" s="58"/>
      <x:c r="GG8" s="58"/>
      <x:c r="GH8" s="58"/>
      <x:c r="GI8" s="60" t="s">
        <x:v>163</x:v>
      </x:c>
      <x:c r="GJ8" s="60" t="s">
        <x:v>165</x:v>
      </x:c>
      <x:c r="GK8" s="60" t="s">
        <x:v>167</x:v>
      </x:c>
      <x:c r="GL8" s="60" t="s">
        <x:v>171</x:v>
      </x:c>
      <x:c r="GM8" s="60" t="s">
        <x:v>176</x:v>
      </x:c>
      <x:c r="GN8" s="60" t="s">
        <x:v>174</x:v>
      </x:c>
      <x:c r="GO8" t="s">
        <x:v>162</x:v>
      </x:c>
      <x:c r="GP8" t="s">
        <x:v>169</x:v>
      </x:c>
      <x:c r="GQ8" t="s">
        <x:v>177</x:v>
      </x:c>
      <x:c r="GR8" s="61" t="s">
        <x:v>178</x:v>
      </x:c>
      <x:c r="GS8" s="60" t="s">
        <x:v>163</x:v>
      </x:c>
      <x:c r="GT8" s="60" t="s">
        <x:v>165</x:v>
      </x:c>
      <x:c r="GU8" s="60" t="s">
        <x:v>167</x:v>
      </x:c>
      <x:c r="GV8" s="60" t="s">
        <x:v>171</x:v>
      </x:c>
      <x:c r="GW8" s="60" t="s">
        <x:v>176</x:v>
      </x:c>
      <x:c r="GX8" s="60" t="s">
        <x:v>174</x:v>
      </x:c>
      <x:c r="GY8" t="s">
        <x:v>162</x:v>
      </x:c>
      <x:c r="GZ8" t="s">
        <x:v>169</x:v>
      </x:c>
      <x:c r="HA8" t="s">
        <x:v>177</x:v>
      </x:c>
      <x:c r="HB8" s="61" t="s">
        <x:v>178</x:v>
      </x:c>
      <x:c r="HC8" s="60" t="s">
        <x:v>163</x:v>
      </x:c>
      <x:c r="HD8" s="60" t="s">
        <x:v>165</x:v>
      </x:c>
      <x:c r="HE8" s="60" t="s">
        <x:v>167</x:v>
      </x:c>
      <x:c r="HF8" s="60" t="s">
        <x:v>171</x:v>
      </x:c>
      <x:c r="HG8" s="60" t="s">
        <x:v>176</x:v>
      </x:c>
      <x:c r="HH8" s="60" t="s">
        <x:v>174</x:v>
      </x:c>
      <x:c r="HI8" t="s">
        <x:v>162</x:v>
      </x:c>
      <x:c r="HJ8" t="s">
        <x:v>169</x:v>
      </x:c>
      <x:c r="HK8" t="s">
        <x:v>177</x:v>
      </x:c>
      <x:c r="HL8" s="62" t="s">
        <x:v>178</x:v>
      </x:c>
    </x:row>
    <x:row r="9" s="66" customFormat="1" ht="26.25" customHeight="1">
      <x:c r="A9" s="215"/>
      <x:c r="B9" s="215"/>
      <x:c r="C9" s="215"/>
      <x:c r="D9" s="54" t="s">
        <x:v>179</x:v>
      </x:c>
      <x:c r="E9" s="63" t="s">
        <x:v>180</x:v>
      </x:c>
      <x:c r="F9" s="63" t="s">
        <x:v>181</x:v>
      </x:c>
      <x:c r="G9" s="64"/>
      <x:c r="H9" s="63" t="s">
        <x:v>182</x:v>
      </x:c>
      <x:c r="I9" s="63" t="s">
        <x:v>183</x:v>
      </x:c>
      <x:c r="J9" s="63"/>
      <x:c r="K9" s="63" t="s">
        <x:v>184</x:v>
      </x:c>
      <x:c r="L9" s="63" t="s">
        <x:v>185</x:v>
      </x:c>
      <x:c r="M9" s="65" t="s">
        <x:v>186</x:v>
      </x:c>
      <x:c r="N9" s="63" t="s">
        <x:v>187</x:v>
      </x:c>
      <x:c r="O9" s="63" t="s">
        <x:v>188</x:v>
      </x:c>
      <x:c r="P9" s="63" t="s">
        <x:v>189</x:v>
      </x:c>
      <x:c r="Q9" s="63" t="s">
        <x:v>190</x:v>
      </x:c>
      <x:c r="R9" s="63"/>
      <x:c r="S9" s="63"/>
      <x:c r="T9" s="63"/>
      <x:c r="U9" s="63"/>
      <x:c r="V9" s="63"/>
      <x:c r="W9" s="63"/>
      <x:c r="X9" s="63"/>
      <x:c r="Y9" s="63"/>
      <x:c r="Z9" s="63"/>
      <x:c r="AA9" s="63"/>
      <x:c r="AB9" s="63"/>
      <x:c r="AC9" s="63"/>
      <x:c r="AD9" s="63"/>
      <x:c r="AE9" s="63"/>
      <x:c r="AF9" s="63"/>
      <x:c r="AG9" s="63"/>
      <x:c r="AH9" s="63"/>
      <x:c r="AI9" s="63"/>
      <x:c r="AJ9" s="63"/>
      <x:c r="AK9" s="63"/>
      <x:c r="AL9" s="63"/>
      <x:c r="AM9" s="63"/>
      <x:c r="AN9" s="63"/>
      <x:c r="AO9" s="63"/>
      <x:c r="AP9" s="63"/>
      <x:c r="AQ9" s="63"/>
      <x:c r="AR9" s="63"/>
      <x:c r="AS9" s="63"/>
      <x:c r="AT9" s="63"/>
      <x:c r="AU9" s="63"/>
      <x:c r="AV9" s="63"/>
      <x:c r="AW9" s="63"/>
      <x:c r="AX9" s="63"/>
      <x:c r="AY9" s="63"/>
      <x:c r="AZ9" s="63"/>
      <x:c r="BA9" s="63"/>
      <x:c r="BB9" s="63"/>
      <x:c r="BC9" s="63"/>
      <x:c r="BD9" s="63"/>
      <x:c r="BE9" s="63"/>
      <x:c r="BF9" s="63"/>
      <x:c r="BG9" s="63"/>
      <x:c r="BH9" s="63"/>
      <x:c r="BI9" s="63"/>
      <x:c r="BJ9" s="63"/>
      <x:c r="BK9" s="63"/>
      <x:c r="BL9" s="63"/>
      <x:c r="BM9" s="63"/>
      <x:c r="BN9" s="63"/>
      <x:c r="BO9" s="63"/>
      <x:c r="BP9" s="63"/>
      <x:c r="BQ9" s="63"/>
      <x:c r="BR9" s="63"/>
      <x:c r="BS9" s="63"/>
      <x:c r="BT9" s="63"/>
      <x:c r="BU9" s="63"/>
      <x:c r="BV9" s="63"/>
      <x:c r="BW9" s="63"/>
      <x:c r="BX9" s="63"/>
      <x:c r="BY9" s="63"/>
      <x:c r="BZ9" s="63"/>
      <x:c r="CA9" s="63"/>
      <x:c r="CB9" s="63"/>
      <x:c r="CC9" s="63"/>
      <x:c r="CD9" s="63"/>
      <x:c r="CE9" s="63"/>
      <x:c r="CF9" s="63"/>
      <x:c r="CG9" s="63"/>
      <x:c r="CH9" s="63"/>
      <x:c r="CI9" s="63"/>
      <x:c r="CJ9" s="63"/>
      <x:c r="CK9" s="63"/>
      <x:c r="CL9" s="63"/>
      <x:c r="CM9" s="63"/>
      <x:c r="CN9" s="63"/>
      <x:c r="CO9" s="63"/>
      <x:c r="CP9" s="63"/>
      <x:c r="CQ9" s="63"/>
      <x:c r="CR9" s="63"/>
      <x:c r="CS9" s="63"/>
      <x:c r="CT9" s="63"/>
      <x:c r="CU9" s="63"/>
      <x:c r="CV9" s="63"/>
      <x:c r="CW9" s="63"/>
      <x:c r="CX9" s="63"/>
      <x:c r="CY9" s="63"/>
      <x:c r="CZ9" s="63"/>
      <x:c r="DA9" s="63"/>
      <x:c r="DB9" s="63"/>
      <x:c r="DC9" s="63"/>
      <x:c r="DD9" s="63"/>
      <x:c r="DE9" s="63"/>
      <x:c r="DF9" s="63"/>
      <x:c r="DG9" s="63"/>
      <x:c r="DH9" s="63"/>
      <x:c r="DI9" s="63"/>
      <x:c r="DJ9" s="63"/>
      <x:c r="DK9" s="63"/>
      <x:c r="DL9" s="63"/>
      <x:c r="DM9" s="63"/>
      <x:c r="DN9" s="63"/>
      <x:c r="DO9" s="63"/>
      <x:c r="DP9" s="63"/>
      <x:c r="DQ9" s="63"/>
      <x:c r="DR9" s="63"/>
      <x:c r="DS9" s="63"/>
      <x:c r="DT9" s="63"/>
      <x:c r="DU9" s="63"/>
      <x:c r="DV9" s="63"/>
      <x:c r="DW9" s="63"/>
      <x:c r="DX9" s="63"/>
      <x:c r="DY9" s="63"/>
      <x:c r="DZ9" s="63"/>
      <x:c r="EA9" s="63"/>
      <x:c r="EB9" s="63"/>
      <x:c r="EC9" s="63"/>
      <x:c r="ED9" s="63"/>
      <x:c r="EE9" s="63"/>
      <x:c r="EF9" s="63"/>
      <x:c r="EG9" s="63"/>
      <x:c r="EH9" s="63"/>
      <x:c r="EI9" s="63"/>
      <x:c r="EJ9" s="63"/>
      <x:c r="EK9" s="63"/>
      <x:c r="EL9" s="63"/>
      <x:c r="EM9" s="63"/>
      <x:c r="EN9" s="63"/>
      <x:c r="EO9" s="63"/>
      <x:c r="EP9" s="63"/>
      <x:c r="FA9" s="67"/>
      <x:c r="FL9" s="67"/>
      <x:c r="FW9" s="67"/>
      <x:c r="GR9" s="68"/>
      <x:c r="HB9" s="68"/>
    </x:row>
    <x:row r="10" s="66" customFormat="1" ht="12.75" customHeight="1">
      <x:c r="A10" s="215"/>
      <x:c r="B10" s="215"/>
      <x:c r="C10" s="215"/>
      <x:c r="D10" s="54" t="s">
        <x:v>191</x:v>
      </x:c>
      <x:c r="E10" s="69">
        <x:v>46270</x:v>
      </x:c>
      <x:c r="F10" s="69"/>
      <x:c r="G10" s="69"/>
      <x:c r="H10" s="69"/>
      <x:c r="I10" s="69"/>
      <x:c r="J10" s="69"/>
      <x:c r="K10" s="69"/>
      <x:c r="L10" s="69"/>
      <x:c r="M10" s="69"/>
      <x:c r="N10" s="69"/>
      <x:c r="O10" s="69"/>
      <x:c r="P10" s="69"/>
      <x:c r="Q10" s="69"/>
      <x:c r="R10" s="69"/>
      <x:c r="S10" s="69"/>
      <x:c r="T10" s="69"/>
      <x:c r="U10" s="69"/>
      <x:c r="V10" s="69"/>
      <x:c r="W10" s="69"/>
      <x:c r="X10" s="69"/>
      <x:c r="Y10" s="69"/>
      <x:c r="Z10" s="69"/>
      <x:c r="AA10" s="69"/>
      <x:c r="AB10" s="69"/>
      <x:c r="AC10" s="69"/>
      <x:c r="AD10" s="69"/>
      <x:c r="AE10" s="69"/>
      <x:c r="AF10" s="69"/>
      <x:c r="AG10" s="69"/>
      <x:c r="AH10" s="69"/>
      <x:c r="AI10" s="69"/>
      <x:c r="AJ10" s="69"/>
      <x:c r="AK10" s="69"/>
      <x:c r="AL10" s="69"/>
      <x:c r="AM10" s="69"/>
      <x:c r="AN10" s="69"/>
      <x:c r="AO10" s="69"/>
      <x:c r="AP10" s="69"/>
      <x:c r="AQ10" s="69"/>
      <x:c r="AR10" s="69"/>
      <x:c r="AS10" s="69"/>
      <x:c r="AT10" s="69"/>
      <x:c r="AU10" s="69"/>
      <x:c r="AV10" s="69"/>
      <x:c r="AW10" s="69"/>
      <x:c r="AX10" s="69"/>
      <x:c r="AY10" s="69"/>
      <x:c r="AZ10" s="69"/>
      <x:c r="BA10" s="69"/>
      <x:c r="BB10" s="69"/>
      <x:c r="BC10" s="69"/>
      <x:c r="BD10" s="69"/>
      <x:c r="BE10" s="69"/>
      <x:c r="BF10" s="69"/>
      <x:c r="BG10" s="69"/>
      <x:c r="BH10" s="69"/>
      <x:c r="BI10" s="69"/>
      <x:c r="BJ10" s="69"/>
      <x:c r="BK10" s="69"/>
      <x:c r="BL10" s="69"/>
      <x:c r="BM10" s="69"/>
      <x:c r="BN10" s="69"/>
      <x:c r="BO10" s="69"/>
      <x:c r="BP10" s="69"/>
      <x:c r="BQ10" s="69"/>
      <x:c r="BR10" s="69"/>
      <x:c r="BS10" s="69"/>
      <x:c r="BT10" s="69"/>
      <x:c r="BU10" s="69"/>
      <x:c r="BV10" s="69"/>
      <x:c r="BW10" s="69"/>
      <x:c r="BX10" s="69"/>
      <x:c r="BY10" s="69"/>
      <x:c r="BZ10" s="69"/>
      <x:c r="CA10" s="69"/>
      <x:c r="CB10" s="69"/>
      <x:c r="CC10" s="69"/>
      <x:c r="CD10" s="69"/>
      <x:c r="CE10" s="69"/>
      <x:c r="CF10" s="69"/>
      <x:c r="CG10" s="69"/>
      <x:c r="CH10" s="69"/>
      <x:c r="CI10" s="69"/>
      <x:c r="CJ10" s="69"/>
      <x:c r="CK10" s="69"/>
      <x:c r="CL10" s="69"/>
      <x:c r="CM10" s="69"/>
      <x:c r="CN10" s="69"/>
      <x:c r="CO10" s="69"/>
      <x:c r="CP10" s="69"/>
      <x:c r="CQ10" s="69"/>
      <x:c r="CR10" s="69"/>
      <x:c r="CS10" s="69"/>
      <x:c r="CT10" s="69"/>
      <x:c r="CU10" s="69"/>
      <x:c r="CV10" s="69"/>
      <x:c r="CW10" s="69"/>
      <x:c r="CX10" s="69"/>
      <x:c r="CY10" s="69"/>
      <x:c r="CZ10" s="69"/>
      <x:c r="DA10" s="69"/>
      <x:c r="DB10" s="69"/>
      <x:c r="DC10" s="69"/>
      <x:c r="DD10" s="69"/>
      <x:c r="DE10" s="69"/>
      <x:c r="DF10" s="69"/>
      <x:c r="DG10" s="69"/>
      <x:c r="DH10" s="69"/>
      <x:c r="DI10" s="69"/>
      <x:c r="DJ10" s="69"/>
      <x:c r="DK10" s="69"/>
      <x:c r="DL10" s="69"/>
      <x:c r="DM10" s="69"/>
      <x:c r="DN10" s="69"/>
      <x:c r="DO10" s="69"/>
      <x:c r="DP10" s="69"/>
      <x:c r="DQ10" s="69"/>
      <x:c r="DR10" s="69"/>
      <x:c r="DS10" s="69"/>
      <x:c r="DT10" s="69"/>
      <x:c r="DU10" s="69"/>
      <x:c r="DV10" s="69"/>
      <x:c r="DW10" s="69"/>
      <x:c r="DX10" s="69"/>
      <x:c r="DY10" s="69"/>
      <x:c r="DZ10" s="69"/>
      <x:c r="EA10" s="69"/>
      <x:c r="EB10" s="69"/>
      <x:c r="EC10" s="69"/>
      <x:c r="ED10" s="69"/>
      <x:c r="EE10" s="69"/>
      <x:c r="EF10" s="69"/>
      <x:c r="EG10" s="69"/>
      <x:c r="EH10" s="69"/>
      <x:c r="EI10" s="69"/>
      <x:c r="EJ10" s="69"/>
      <x:c r="EK10" s="69"/>
      <x:c r="EL10" s="69"/>
      <x:c r="EM10" s="69"/>
      <x:c r="EN10" s="69"/>
      <x:c r="EO10" s="69"/>
      <x:c r="EP10" s="69"/>
      <x:c r="FA10" s="67"/>
      <x:c r="FL10" s="67"/>
      <x:c r="FW10" s="67"/>
      <x:c r="GR10" s="68"/>
      <x:c r="HB10" s="68"/>
    </x:row>
    <x:row r="11">
      <x:c r="A11" s="215"/>
      <x:c r="B11" s="215"/>
      <x:c r="C11" s="215"/>
      <x:c r="D11" s="54" t="s">
        <x:v>192</x:v>
      </x:c>
      <x:c r="E11" s="70" t="s">
        <x:v>133</x:v>
      </x:c>
      <x:c r="F11" s="70" t="s">
        <x:v>133</x:v>
      </x:c>
      <x:c r="G11" s="70" t="s">
        <x:v>133</x:v>
      </x:c>
      <x:c r="H11" s="70" t="s">
        <x:v>134</x:v>
      </x:c>
      <x:c r="I11" s="70" t="s">
        <x:v>134</x:v>
      </x:c>
      <x:c r="J11" s="70" t="s">
        <x:v>134</x:v>
      </x:c>
      <x:c r="K11" s="70" t="s">
        <x:v>135</x:v>
      </x:c>
      <x:c r="L11" s="70" t="s">
        <x:v>135</x:v>
      </x:c>
      <x:c r="M11" s="70" t="s">
        <x:v>135</x:v>
      </x:c>
      <x:c r="N11" s="70" t="s">
        <x:v>135</x:v>
      </x:c>
      <x:c r="O11" s="70" t="s">
        <x:v>135</x:v>
      </x:c>
      <x:c r="P11" s="70" t="s">
        <x:v>135</x:v>
      </x:c>
      <x:c r="Q11" s="70" t="s">
        <x:v>135</x:v>
      </x:c>
      <x:c r="R11" s="70"/>
      <x:c r="S11" s="70"/>
      <x:c r="T11" s="70"/>
      <x:c r="U11" s="70"/>
      <x:c r="V11" s="70"/>
      <x:c r="W11" s="70"/>
      <x:c r="X11" s="70"/>
      <x:c r="Y11" s="70"/>
      <x:c r="Z11" s="70"/>
      <x:c r="AA11" s="70"/>
      <x:c r="AB11" s="70"/>
      <x:c r="AC11" s="70"/>
      <x:c r="AD11" s="70"/>
      <x:c r="AE11" s="70"/>
      <x:c r="AF11" s="70"/>
      <x:c r="AG11" s="70"/>
      <x:c r="AH11" s="70"/>
      <x:c r="AI11" s="70"/>
      <x:c r="AJ11" s="70"/>
      <x:c r="AK11" s="70"/>
      <x:c r="AL11" s="70"/>
      <x:c r="AM11" s="70"/>
      <x:c r="AN11" s="70"/>
      <x:c r="AO11" s="70"/>
      <x:c r="AP11" s="70"/>
      <x:c r="AQ11" s="70"/>
      <x:c r="AR11" s="70"/>
      <x:c r="AS11" s="70"/>
      <x:c r="AT11" s="70"/>
      <x:c r="AU11" s="70"/>
      <x:c r="AV11" s="70"/>
      <x:c r="AW11" s="70"/>
      <x:c r="AX11" s="70"/>
      <x:c r="AY11" s="70"/>
      <x:c r="AZ11" s="70"/>
      <x:c r="BA11" s="70"/>
      <x:c r="BB11" s="70"/>
      <x:c r="BC11" s="70"/>
      <x:c r="BD11" s="70"/>
      <x:c r="BE11" s="70"/>
      <x:c r="BF11" s="70"/>
      <x:c r="BG11" s="70"/>
      <x:c r="BH11" s="70"/>
      <x:c r="BI11" s="70"/>
      <x:c r="BJ11" s="70"/>
      <x:c r="BK11" s="70"/>
      <x:c r="BL11" s="70"/>
      <x:c r="BM11" s="70"/>
      <x:c r="BN11" s="70"/>
      <x:c r="BO11" s="70"/>
      <x:c r="BP11" s="70"/>
      <x:c r="BQ11" s="70"/>
      <x:c r="BR11" s="70"/>
      <x:c r="BS11" s="70"/>
      <x:c r="BT11" s="70"/>
      <x:c r="BU11" s="70"/>
      <x:c r="BV11" s="70"/>
      <x:c r="BW11" s="70"/>
      <x:c r="BX11" s="70"/>
      <x:c r="BY11" s="70"/>
      <x:c r="BZ11" s="70"/>
      <x:c r="CA11" s="70"/>
      <x:c r="CB11" s="70"/>
      <x:c r="CC11" s="70"/>
      <x:c r="CD11" s="70"/>
      <x:c r="CE11" s="70"/>
      <x:c r="CF11" s="70"/>
      <x:c r="CG11" s="70"/>
      <x:c r="CH11" s="70"/>
      <x:c r="CI11" s="70"/>
      <x:c r="CJ11" s="70"/>
      <x:c r="CK11" s="70"/>
      <x:c r="CL11" s="70"/>
      <x:c r="CM11" s="70"/>
      <x:c r="CN11" s="70"/>
      <x:c r="CO11" s="70"/>
      <x:c r="CP11" s="70"/>
      <x:c r="CQ11" s="70"/>
      <x:c r="CR11" s="70"/>
      <x:c r="CS11" s="70"/>
      <x:c r="CT11" s="70"/>
      <x:c r="CU11" s="70"/>
      <x:c r="CV11" s="70"/>
      <x:c r="CW11" s="70"/>
      <x:c r="CX11" s="70"/>
      <x:c r="CY11" s="70"/>
      <x:c r="CZ11" s="70"/>
      <x:c r="DA11" s="70"/>
      <x:c r="DB11" s="70"/>
      <x:c r="DC11" s="70"/>
      <x:c r="DD11" s="70"/>
      <x:c r="DE11" s="70"/>
      <x:c r="DF11" s="70"/>
      <x:c r="DG11" s="70"/>
      <x:c r="DH11" s="70"/>
      <x:c r="DI11" s="70"/>
      <x:c r="DJ11" s="70"/>
      <x:c r="DK11" s="70"/>
      <x:c r="DL11" s="70"/>
      <x:c r="DM11" s="70"/>
      <x:c r="DN11" s="70"/>
      <x:c r="DO11" s="70"/>
      <x:c r="DP11" s="70"/>
      <x:c r="DQ11" s="70"/>
      <x:c r="DR11" s="70"/>
      <x:c r="DS11" s="70"/>
      <x:c r="DT11" s="70"/>
      <x:c r="DU11" s="70"/>
      <x:c r="DV11" s="70"/>
      <x:c r="DW11" s="70"/>
      <x:c r="DX11" s="70"/>
      <x:c r="DY11" s="70"/>
      <x:c r="DZ11" s="70"/>
      <x:c r="EA11" s="70"/>
      <x:c r="EB11" s="70"/>
      <x:c r="EC11" s="70"/>
      <x:c r="ED11" s="70"/>
      <x:c r="EE11" s="70"/>
      <x:c r="EF11" s="70"/>
      <x:c r="EG11" s="70"/>
      <x:c r="EH11" s="70"/>
      <x:c r="EI11" s="70"/>
      <x:c r="EJ11" s="70"/>
      <x:c r="EK11" s="70"/>
      <x:c r="EL11" s="70"/>
      <x:c r="EM11" s="70"/>
      <x:c r="EN11" s="70"/>
      <x:c r="EO11" s="70"/>
      <x:c r="EP11" s="70"/>
      <x:c r="EQ11" s="211" t="s">
        <x:v>133</x:v>
      </x:c>
      <x:c r="ER11" s="211"/>
      <x:c r="ES11" s="211"/>
      <x:c r="ET11" s="211"/>
      <x:c r="EU11" s="211"/>
      <x:c r="EV11" s="211"/>
      <x:c r="EW11" s="211"/>
      <x:c r="EX11" s="211"/>
      <x:c r="EY11" s="211"/>
      <x:c r="EZ11" s="211"/>
      <x:c r="FA11" s="211"/>
      <x:c r="FB11" s="211" t="s">
        <x:v>134</x:v>
      </x:c>
      <x:c r="FC11" s="211"/>
      <x:c r="FD11" s="211"/>
      <x:c r="FE11" s="211"/>
      <x:c r="FF11" s="211"/>
      <x:c r="FG11" s="211"/>
      <x:c r="FH11" s="211"/>
      <x:c r="FI11" s="211"/>
      <x:c r="FJ11" s="211"/>
      <x:c r="FK11" s="211"/>
      <x:c r="FL11" s="211"/>
      <x:c r="FM11" s="211" t="s">
        <x:v>135</x:v>
      </x:c>
      <x:c r="FN11" s="211"/>
      <x:c r="FO11" s="211"/>
      <x:c r="FP11" s="211"/>
      <x:c r="FQ11" s="211"/>
      <x:c r="FR11" s="211"/>
      <x:c r="FS11" s="211"/>
      <x:c r="FT11" s="211"/>
      <x:c r="FU11" s="211"/>
      <x:c r="FV11" s="211"/>
      <x:c r="FW11" s="211"/>
      <x:c r="FX11" s="212" t="s">
        <x:v>136</x:v>
      </x:c>
      <x:c r="FY11" s="212"/>
      <x:c r="FZ11" s="212"/>
      <x:c r="GA11" s="212"/>
      <x:c r="GB11" s="212"/>
      <x:c r="GC11" s="212"/>
      <x:c r="GD11" s="212"/>
      <x:c r="GE11" s="212"/>
      <x:c r="GF11" s="212"/>
      <x:c r="GG11" s="212"/>
      <x:c r="GH11" s="212"/>
      <x:c r="GI11" s="213" t="s">
        <x:v>133</x:v>
      </x:c>
      <x:c r="GJ11" s="213"/>
      <x:c r="GK11" s="213"/>
      <x:c r="GL11" s="213"/>
      <x:c r="GM11" s="213"/>
      <x:c r="GN11" s="213"/>
      <x:c r="GO11" s="213"/>
      <x:c r="GP11" s="213"/>
      <x:c r="GQ11" s="213"/>
      <x:c r="GR11" s="213"/>
      <x:c r="GS11" s="213" t="s">
        <x:v>134</x:v>
      </x:c>
      <x:c r="GT11" s="213"/>
      <x:c r="GU11" s="213"/>
      <x:c r="GV11" s="213"/>
      <x:c r="GW11" s="213"/>
      <x:c r="GX11" s="213"/>
      <x:c r="GY11" s="213"/>
      <x:c r="GZ11" s="213"/>
      <x:c r="HA11" s="213"/>
      <x:c r="HB11" s="213"/>
      <x:c r="HC11" s="210" t="s">
        <x:v>135</x:v>
      </x:c>
      <x:c r="HD11" s="210"/>
      <x:c r="HE11" s="210"/>
      <x:c r="HF11" s="210"/>
      <x:c r="HG11" s="210"/>
      <x:c r="HH11" s="210"/>
      <x:c r="HI11" s="210"/>
      <x:c r="HJ11" s="210"/>
      <x:c r="HK11" s="210"/>
      <x:c r="HL11" s="210"/>
    </x:row>
    <x:row r="12">
      <x:c r="A12" s="215"/>
      <x:c r="B12" s="215"/>
      <x:c r="C12" s="215"/>
      <x:c r="D12" s="54" t="s">
        <x:v>193</x:v>
      </x:c>
      <x:c r="E12" s="1" t="s">
        <x:v>16</x:v>
      </x:c>
      <x:c r="F12" s="1" t="s">
        <x:v>17</x:v>
      </x:c>
      <x:c r="G12" s="1" t="s">
        <x:v>18</x:v>
      </x:c>
      <x:c r="H12" s="1" t="s">
        <x:v>16</x:v>
      </x:c>
      <x:c r="I12" s="1" t="s">
        <x:v>17</x:v>
      </x:c>
      <x:c r="J12" s="1" t="s">
        <x:v>18</x:v>
      </x:c>
      <x:c r="K12" s="1" t="s">
        <x:v>19</x:v>
      </x:c>
      <x:c r="L12" s="1" t="s">
        <x:v>20</x:v>
      </x:c>
      <x:c r="M12" s="1" t="s">
        <x:v>16</x:v>
      </x:c>
      <x:c r="N12" s="1" t="s">
        <x:v>17</x:v>
      </x:c>
      <x:c r="O12" s="1" t="s">
        <x:v>18</x:v>
      </x:c>
      <x:c r="P12" s="1" t="s">
        <x:v>19</x:v>
      </x:c>
      <x:c r="Q12" s="1" t="s">
        <x:v>20</x:v>
      </x:c>
      <x:c r="R12" s="1"/>
      <x:c r="S12" s="1"/>
      <x:c r="T12" s="1"/>
      <x:c r="U12" s="1"/>
      <x:c r="V12" s="1"/>
      <x:c r="W12" s="1"/>
      <x:c r="X12" s="1"/>
      <x:c r="Y12" s="1"/>
      <x:c r="Z12" s="1"/>
      <x:c r="AA12" s="1"/>
      <x:c r="AB12" s="1"/>
      <x:c r="AC12" s="1"/>
      <x:c r="AD12" s="1"/>
      <x:c r="AE12" s="1"/>
      <x:c r="AF12" s="1"/>
      <x:c r="AG12" s="1"/>
      <x:c r="AH12" s="1"/>
      <x:c r="AI12" s="1"/>
      <x:c r="AJ12" s="1"/>
      <x:c r="AK12" s="1"/>
      <x:c r="AL12" s="1"/>
      <x:c r="AM12" s="1"/>
      <x:c r="AN12" s="1"/>
      <x:c r="AO12" s="1"/>
      <x:c r="AP12" s="1"/>
      <x:c r="AQ12" s="1"/>
      <x:c r="AR12" s="1"/>
      <x:c r="AS12" s="1"/>
      <x:c r="AT12" s="1"/>
      <x:c r="AU12" s="1"/>
      <x:c r="AV12" s="1"/>
      <x:c r="AW12" s="1"/>
      <x:c r="AX12" s="1"/>
      <x:c r="AY12" s="1"/>
      <x:c r="AZ12" s="1"/>
      <x:c r="BA12" s="1"/>
      <x:c r="BB12" s="1"/>
      <x:c r="BC12" s="1"/>
      <x:c r="BD12" s="1"/>
      <x:c r="BE12" s="1"/>
      <x:c r="BF12" s="1"/>
      <x:c r="BG12" s="1"/>
      <x:c r="BH12" s="1"/>
      <x:c r="BI12" s="1"/>
      <x:c r="BJ12" s="1"/>
      <x:c r="BK12" s="1"/>
      <x:c r="BL12" s="1"/>
      <x:c r="BM12" s="1"/>
      <x:c r="BN12" s="1"/>
      <x:c r="BO12" s="1"/>
      <x:c r="BP12" s="1"/>
      <x:c r="BQ12" s="1"/>
      <x:c r="BR12" s="1"/>
      <x:c r="BS12" s="1"/>
      <x:c r="BT12" s="1"/>
      <x:c r="BU12" s="1"/>
      <x:c r="BV12" s="1"/>
      <x:c r="BW12" s="1"/>
      <x:c r="BX12" s="1"/>
      <x:c r="BY12" s="1"/>
      <x:c r="BZ12" s="1"/>
      <x:c r="CA12" s="1"/>
      <x:c r="CB12" s="1"/>
      <x:c r="CC12" s="1"/>
      <x:c r="CD12" s="1"/>
      <x:c r="CE12" s="1"/>
      <x:c r="CF12" s="1"/>
      <x:c r="CG12" s="1"/>
      <x:c r="CH12" s="1"/>
      <x:c r="CI12" s="1"/>
      <x:c r="CJ12" s="1"/>
      <x:c r="CK12" s="1"/>
      <x:c r="CL12" s="1"/>
      <x:c r="CM12" s="1"/>
      <x:c r="CN12" s="1"/>
      <x:c r="CO12" s="1"/>
      <x:c r="CP12" s="1"/>
      <x:c r="CQ12" s="1"/>
      <x:c r="CR12" s="1"/>
      <x:c r="CS12" s="1"/>
      <x:c r="CT12" s="1"/>
      <x:c r="CU12" s="1"/>
      <x:c r="CV12" s="1"/>
      <x:c r="CW12" s="1"/>
      <x:c r="CX12" s="1"/>
      <x:c r="CY12" s="1"/>
      <x:c r="CZ12" s="1"/>
      <x:c r="DA12" s="1"/>
      <x:c r="DB12" s="1"/>
      <x:c r="DC12" s="1"/>
      <x:c r="DD12" s="1"/>
      <x:c r="DE12" s="1"/>
      <x:c r="DF12" s="1"/>
      <x:c r="DG12" s="1"/>
      <x:c r="DH12" s="1"/>
      <x:c r="DI12" s="1"/>
      <x:c r="DJ12" s="1"/>
      <x:c r="DK12" s="1"/>
      <x:c r="DL12" s="1"/>
      <x:c r="DM12" s="1"/>
      <x:c r="DN12" s="1"/>
      <x:c r="DO12" s="1"/>
      <x:c r="DP12" s="1"/>
      <x:c r="DQ12" s="1"/>
      <x:c r="DR12" s="1"/>
      <x:c r="DS12" s="1"/>
      <x:c r="DT12" s="1"/>
      <x:c r="DU12" s="1"/>
      <x:c r="DV12" s="1"/>
      <x:c r="DW12" s="1"/>
      <x:c r="DX12" s="1"/>
      <x:c r="DY12" s="1"/>
      <x:c r="DZ12" s="1"/>
      <x:c r="EA12" s="1"/>
      <x:c r="EB12" s="1"/>
      <x:c r="EC12" s="1"/>
      <x:c r="ED12" s="1"/>
      <x:c r="EE12" s="1"/>
      <x:c r="EF12" s="1"/>
      <x:c r="EG12" s="1"/>
      <x:c r="EH12" s="1"/>
      <x:c r="EI12" s="1"/>
      <x:c r="EJ12" s="1"/>
      <x:c r="EK12" s="1"/>
      <x:c r="EL12" s="1"/>
      <x:c r="EM12" s="1"/>
      <x:c r="EN12" s="1"/>
      <x:c r="EO12" s="1"/>
      <x:c r="EP12" s="1"/>
      <x:c r="GK12" s="43"/>
    </x:row>
    <x:row r="13" ht="29.25" customHeight="1">
      <x:c r="A13" s="215"/>
      <x:c r="B13" s="215"/>
      <x:c r="C13" s="215"/>
      <x:c r="D13" s="54" t="s">
        <x:v>194</x:v>
      </x:c>
      <x:c r="E13" s="54">
        <x:v>30</x:v>
      </x:c>
      <x:c r="F13" s="54">
        <x:v>60</x:v>
      </x:c>
      <x:c r="G13" s="54">
        <x:v>80</x:v>
      </x:c>
      <x:c r="H13" s="54">
        <x:v>50</x:v>
      </x:c>
      <x:c r="I13" s="54">
        <x:v>50</x:v>
      </x:c>
      <x:c r="J13" s="54">
        <x:v>100</x:v>
      </x:c>
      <x:c r="K13" s="54">
        <x:v>20</x:v>
      </x:c>
      <x:c r="L13" s="54">
        <x:v>50</x:v>
      </x:c>
      <x:c r="M13" s="54">
        <x:v>25</x:v>
      </x:c>
      <x:c r="N13" s="54">
        <x:v>25</x:v>
      </x:c>
      <x:c r="O13" s="54">
        <x:v>25</x:v>
      </x:c>
      <x:c r="P13" s="54">
        <x:v>25</x:v>
      </x:c>
      <x:c r="Q13" s="54">
        <x:v>25</x:v>
      </x:c>
      <x:c r="R13" s="54"/>
      <x:c r="S13" s="54"/>
      <x:c r="T13" s="54"/>
      <x:c r="U13" s="54"/>
      <x:c r="V13" s="54"/>
      <x:c r="W13" s="54"/>
      <x:c r="X13" s="54"/>
      <x:c r="Y13" s="54"/>
      <x:c r="Z13" s="54"/>
      <x:c r="AA13" s="54"/>
      <x:c r="AB13" s="54"/>
      <x:c r="AC13" s="54"/>
      <x:c r="AD13" s="54"/>
      <x:c r="AE13" s="54"/>
      <x:c r="AF13" s="54"/>
      <x:c r="AG13" s="54"/>
      <x:c r="AH13" s="54"/>
      <x:c r="AI13" s="54"/>
      <x:c r="AJ13" s="54"/>
      <x:c r="AK13" s="54"/>
      <x:c r="AL13" s="54"/>
      <x:c r="AM13" s="54"/>
      <x:c r="AN13" s="54"/>
      <x:c r="AO13" s="54"/>
      <x:c r="AP13" s="54"/>
      <x:c r="AQ13" s="54"/>
      <x:c r="AR13" s="54"/>
      <x:c r="AS13" s="54"/>
      <x:c r="AT13" s="54"/>
      <x:c r="AU13" s="54"/>
      <x:c r="AV13" s="54"/>
      <x:c r="AW13" s="54"/>
      <x:c r="AX13" s="54"/>
      <x:c r="AY13" s="54"/>
      <x:c r="AZ13" s="54"/>
      <x:c r="BA13" s="54"/>
      <x:c r="BB13" s="54"/>
      <x:c r="BC13" s="54"/>
      <x:c r="BD13" s="54"/>
      <x:c r="BE13" s="54"/>
      <x:c r="BF13" s="54"/>
      <x:c r="BG13" s="54"/>
      <x:c r="BH13" s="54"/>
      <x:c r="BI13" s="54"/>
      <x:c r="BJ13" s="54"/>
      <x:c r="BK13" s="54"/>
      <x:c r="BL13" s="54"/>
      <x:c r="BM13" s="54"/>
      <x:c r="BN13" s="54"/>
      <x:c r="BO13" s="54"/>
      <x:c r="BP13" s="54"/>
      <x:c r="BQ13" s="54"/>
      <x:c r="BR13" s="54"/>
      <x:c r="BS13" s="54"/>
      <x:c r="BT13" s="54"/>
      <x:c r="BU13" s="54"/>
      <x:c r="BV13" s="54"/>
      <x:c r="BW13" s="54"/>
      <x:c r="BX13" s="54"/>
      <x:c r="BY13" s="54"/>
      <x:c r="BZ13" s="54"/>
      <x:c r="CA13" s="54"/>
      <x:c r="CB13" s="54"/>
      <x:c r="CC13" s="54"/>
      <x:c r="CD13" s="54"/>
      <x:c r="CE13" s="54"/>
      <x:c r="CF13" s="54"/>
      <x:c r="CG13" s="54"/>
      <x:c r="CH13" s="54"/>
      <x:c r="CI13" s="54"/>
      <x:c r="CJ13" s="54"/>
      <x:c r="CK13" s="54"/>
      <x:c r="CL13" s="54"/>
      <x:c r="CM13" s="54"/>
      <x:c r="CN13" s="54"/>
      <x:c r="CO13" s="54"/>
      <x:c r="CP13" s="54"/>
      <x:c r="CQ13" s="54"/>
      <x:c r="CR13" s="54"/>
      <x:c r="CS13" s="54"/>
      <x:c r="CT13" s="54"/>
      <x:c r="CU13" s="54"/>
      <x:c r="CV13" s="54"/>
      <x:c r="CW13" s="54"/>
      <x:c r="CX13" s="54"/>
      <x:c r="CY13" s="54"/>
      <x:c r="CZ13" s="54"/>
      <x:c r="DA13" s="54"/>
      <x:c r="DB13" s="54"/>
      <x:c r="DC13" s="54"/>
      <x:c r="DD13" s="54"/>
      <x:c r="DE13" s="54"/>
      <x:c r="DF13" s="54"/>
      <x:c r="DG13" s="54"/>
      <x:c r="DH13" s="54"/>
      <x:c r="DI13" s="54"/>
      <x:c r="DJ13" s="54"/>
      <x:c r="DK13" s="54"/>
      <x:c r="DL13" s="54"/>
      <x:c r="DM13" s="54"/>
      <x:c r="DN13" s="54"/>
      <x:c r="DO13" s="54"/>
      <x:c r="DP13" s="54"/>
      <x:c r="DQ13" s="54"/>
      <x:c r="DR13" s="54"/>
      <x:c r="DS13" s="54"/>
      <x:c r="DT13" s="54"/>
      <x:c r="DU13" s="54"/>
      <x:c r="DV13" s="54"/>
      <x:c r="DW13" s="54"/>
      <x:c r="DX13" s="54"/>
      <x:c r="DY13" s="54"/>
      <x:c r="DZ13" s="54"/>
      <x:c r="EA13" s="54"/>
      <x:c r="EB13" s="54"/>
      <x:c r="EC13" s="54"/>
      <x:c r="ED13" s="54"/>
      <x:c r="EE13" s="54"/>
      <x:c r="EF13" s="54"/>
      <x:c r="EG13" s="54"/>
      <x:c r="EH13" s="54"/>
      <x:c r="EI13" s="54"/>
      <x:c r="EJ13" s="54"/>
      <x:c r="EK13" s="54"/>
      <x:c r="EL13" s="54"/>
      <x:c r="EM13" s="54"/>
      <x:c r="EN13" s="54"/>
      <x:c r="EO13" s="54"/>
      <x:c r="EP13" s="54"/>
      <x:c r="EQ13" s="38" t="n">
        <x:f t="shared" ref="EQ13:EQ76" si="20">SUMIFS(E13:EP13,E$7:EP$7,"Quiz",E$11:EP$11,EQ$11)</x:f>
        <x:v>30</x:v>
      </x:c>
      <x:c r="ER13" s="38" t="n">
        <x:f t="shared" ref="ER13:ER76" si="21">SUMIFS(E13:EP13,E$7:EP$7,"Exam",E$11:EP$11,EQ$11)</x:f>
        <x:v>80</x:v>
      </x:c>
      <x:c r="ES13" s="38" t="n">
        <x:f t="shared" ref="ES13:ES76" si="22">SUMIFS(E13:EP13,E$7:EP$7,"Rubric-Scored Output",E$11:EP$11,EQ$11)</x:f>
        <x:v>60</x:v>
      </x:c>
      <x:c r="ET13" s="38" t="n">
        <x:f t="shared" ref="ET13:ET76" si="23">SUMIFS(E13:EP13,E$7:EP$7,"Performance Tasks",E$11:EP$11,EQ$11)</x:f>
        <x:v>0</x:v>
      </x:c>
      <x:c r="EU13" s="38" t="n">
        <x:f t="shared" ref="EU13:EU76" si="24">SUMIFS(E13:EP13,E$7:EP$7,"Lab Outputs",E$11:EP$11,EQ$11)</x:f>
        <x:v>0</x:v>
      </x:c>
      <x:c r="EV13" s="38" t="n">
        <x:f t="shared" ref="EV13:EV76" si="25">SUMIFS(E13:EP13,E$7:EP$7,"Skills Demonstration/ RLE",E$11:EP$11,EQ$11)</x:f>
        <x:v>0</x:v>
      </x:c>
      <x:c r="EW13" s="38" t="n">
        <x:f t="shared" ref="EW13:EW76" si="26">SUMIFS(E13:EP13,E$7:EP$7,"Portfolio",E$11:EP$11,EQ$11)</x:f>
        <x:v>0</x:v>
      </x:c>
      <x:c r="EX13" s="38" t="n">
        <x:f t="shared" ref="EX13:EX76" si="27">SUMIFS(E13:EP13,E$7:EP$7,"Capstone",E$11:EP$11,EQ$11)</x:f>
        <x:v>0</x:v>
      </x:c>
      <x:c r="EY13" s="38" t="n">
        <x:f t="shared" ref="EY13:EY76" si="28">SUMIFS(E13:EP13,E$7:EP$7,"Culminating Project",E$11:EP$11,EQ$11)</x:f>
        <x:v>0</x:v>
      </x:c>
      <x:c r="EZ13" s="38" t="n">
        <x:f t="shared" ref="EZ13:EZ76" si="29">SUMIFS(E13:EP13,E$7:EP$7,"Panel Evaluation",E$11:EP$11,EQ$11)</x:f>
        <x:v>0</x:v>
      </x:c>
      <x:c r="FA13" s="71" t="n">
        <x:f t="shared" ref="FA13:FA76" si="30">SUMIFS(E13:EP13,E$7:EP$7,"Internship Evaluation",E$11:EP$11,EQ$11)</x:f>
        <x:v>0</x:v>
      </x:c>
      <x:c r="FB13" s="38" t="n">
        <x:f t="shared" ref="FB13:FB76" si="31">SUMIFS(E13:EP13,E$7:EP$7,"Quiz",E$11:EP$11,FB$11)</x:f>
        <x:v>50</x:v>
      </x:c>
      <x:c r="FC13" s="38" t="n">
        <x:f t="shared" ref="FC13:FC76" si="32">SUMIFS(E13:EP13,E$7:EP$7,"Exam",E$11:EP$11,FB$11)</x:f>
        <x:v>100</x:v>
      </x:c>
      <x:c r="FD13" s="38" t="n">
        <x:f t="shared" ref="FD13:FD76" si="33">SUMIFS(E13:EP13,E$7:EP$7,"Rubric-Scored Output",E$11:EP$11,FB$11)</x:f>
        <x:v>0</x:v>
      </x:c>
      <x:c r="FE13" s="38" t="n">
        <x:f t="shared" ref="FE13:FE76" si="34">SUMIFS(E13:EP13,E$7:EP$7,"Performance Tasks",E$11:EP$11,FB$11)</x:f>
        <x:v>50</x:v>
      </x:c>
      <x:c r="FF13" s="38" t="n">
        <x:f t="shared" ref="FF13:FF76" si="35">SUMIFS(E13:EP13,E$7:EP$7,"Lab Outputs",E$11:EP$11,FB$11)</x:f>
        <x:v>0</x:v>
      </x:c>
      <x:c r="FG13" s="38" t="n">
        <x:f t="shared" ref="FG13:FG76" si="36">SUMIFS(E13:EP13,E$7:EP$7,"Skills Demonstration/ RLE",E$11:EP$11,FB$11)</x:f>
        <x:v>0</x:v>
      </x:c>
      <x:c r="FH13" s="38" t="n">
        <x:f t="shared" ref="FH13:FH76" si="37">SUMIFS(E13:EP13,E$7:EP$7,"Portfolio",E$11:EP$11,FB$11)</x:f>
        <x:v>0</x:v>
      </x:c>
      <x:c r="FI13" s="38" t="n">
        <x:f t="shared" ref="FI13:FI76" si="38">SUMIFS(E13:EP13,E$7:EP$7,"Capstone",E$11:EP$11,FB$11)</x:f>
        <x:v>0</x:v>
      </x:c>
      <x:c r="FJ13" s="38" t="n">
        <x:f t="shared" ref="FJ13:FJ76" si="39">SUMIFS(E13:EP13,E$7:EP$7,"Culminating Project",E$11:EP$11,FB$11)</x:f>
        <x:v>0</x:v>
      </x:c>
      <x:c r="FK13" s="38" t="n">
        <x:f t="shared" ref="FK13:FK76" si="40">SUMIFS(E13:EP13,E$7:EP$7,"Panel Evaluation",E$11:EP$11,FB$11)</x:f>
        <x:v>0</x:v>
      </x:c>
      <x:c r="FL13" s="71" t="n">
        <x:f t="shared" ref="FL13:FL76" si="41">SUMIFS(E13:EP13,E$7:EP$7,"Internship Evaluation",E$11:EP$11,FB$11)</x:f>
        <x:v>0</x:v>
      </x:c>
      <x:c r="FM13" s="38" t="n">
        <x:f t="shared" ref="FM13:FM76" si="42">SUMIFS(E13:EP13,E$7:EP$7,"Quiz",E$11:EP$11,FM$11)</x:f>
        <x:v>20</x:v>
      </x:c>
      <x:c r="FN13" s="38" t="n">
        <x:f t="shared" ref="FN13:FN76" si="43">SUMIFS(E13:EP13,E$7:EP$7,"Exam",E$11:EP$11,FM$11)</x:f>
        <x:v>125</x:v>
      </x:c>
      <x:c r="FO13" s="38" t="n">
        <x:f t="shared" ref="FO13:FO76" si="44">SUMIFS(E13:EP13,E$7:EP$7,"Rubric-Scored Output",E$11:EP$11,FM$11)</x:f>
        <x:v>50</x:v>
      </x:c>
      <x:c r="FP13" s="38" t="n">
        <x:f t="shared" ref="FP13:FP76" si="45">SUMIFS(E13:EP13,E$7:EP$7,"Performance Tasks",E$11:EP$11,FM$11)</x:f>
        <x:v>0</x:v>
      </x:c>
      <x:c r="FQ13" s="38" t="n">
        <x:f t="shared" ref="FQ13:FQ76" si="46">SUMIFS(E13:EP13,E$7:EP$7,"Lab Outputs",E$11:EP$11,FM$11)</x:f>
        <x:v>0</x:v>
      </x:c>
      <x:c r="FR13" s="38" t="n">
        <x:f t="shared" ref="FR13:FR76" si="47">SUMIFS(E13:EP13,E$7:EP$7,"Skills Demonstration/ RLE",E$11:EP$11,FM$11)</x:f>
        <x:v>0</x:v>
      </x:c>
      <x:c r="FS13" s="38" t="n">
        <x:f t="shared" ref="FS13:FS76" si="48">SUMIFS(E13:EP13,E$7:EP$7,"Portfolio",E$11:EP$11,FM$11)</x:f>
        <x:v>0</x:v>
      </x:c>
      <x:c r="FT13" s="38" t="n">
        <x:f t="shared" ref="FT13:FT76" si="49">SUMIFS(E13:EP13,E$7:EP$7,"Capstone",E$11:EP$11,FM$11)</x:f>
        <x:v>0</x:v>
      </x:c>
      <x:c r="FU13" s="38" t="n">
        <x:f t="shared" ref="FU13:FU76" si="50">SUMIFS(E13:EP13,E$7:EP$7,"Culminating Project",E$11:EP$11,FM$11)</x:f>
        <x:v>0</x:v>
      </x:c>
      <x:c r="FV13" s="38" t="n">
        <x:f t="shared" ref="FV13:FV76" si="51">SUMIFS(E13:EP13,E$7:EP$7,"Panel Evaluation",E$11:EP$11,FM$11)</x:f>
        <x:v>0</x:v>
      </x:c>
      <x:c r="FW13" s="71" t="n">
        <x:f t="shared" ref="FW13:FW76" si="52">SUMIFS(E13:EP13,E$7:EP$7,"Internship Evaluation",E$11:EP$11,FM$11)</x:f>
        <x:v>0</x:v>
      </x:c>
      <x:c r="FX13" s="38" t="n">
        <x:f t="shared" ref="FX13:FX76" si="53">SUMIF(EQ$7:FW$7,"Quiz",EQ13:FW13)</x:f>
        <x:v>100</x:v>
      </x:c>
      <x:c r="FY13" s="38" t="n">
        <x:f t="shared" ref="FY13:FY76" si="54">SUMIF(EQ$7:FW$7,"Exam",EQ13:FW13)</x:f>
        <x:v>305</x:v>
      </x:c>
      <x:c r="FZ13" s="38" t="n">
        <x:f t="shared" ref="FZ13:FZ76" si="55">SUMIF(EQ$7:FW$7,"Rubric-Scored Output",EQ13:FW13)</x:f>
        <x:v>110</x:v>
      </x:c>
      <x:c r="GA13" s="38" t="n">
        <x:f t="shared" ref="GA13:GA76" si="56">SUMIF(EQ$7:FW$7,"Performance Tasks",EQ13:FW13)</x:f>
        <x:v>50</x:v>
      </x:c>
      <x:c r="GB13" s="38" t="n">
        <x:f t="shared" ref="GB13:GB76" si="57">SUMIF(EQ$7:FW$7,"Lab Outputs",EQ13:FW13)</x:f>
        <x:v>0</x:v>
      </x:c>
      <x:c r="GC13" s="38" t="n">
        <x:f t="shared" ref="GC13:GC76" si="58">SUMIF(EQ$7:FW$7,"Skills Demonstration/ RLE",EQ13:FW13)</x:f>
        <x:v>0</x:v>
      </x:c>
      <x:c r="GD13" s="38" t="n">
        <x:f t="shared" ref="GD13:GD76" si="59">SUMIF(EQ$7:FW$7,"Portfolio",EQ13:FW13)</x:f>
        <x:v>0</x:v>
      </x:c>
      <x:c r="GE13" s="38" t="n">
        <x:f t="shared" ref="GE13:GE76" si="60">SUMIF(EQ$7:FW$7,"Capstone",EQ13:FW13)</x:f>
        <x:v>0</x:v>
      </x:c>
      <x:c r="GF13" s="38" t="n">
        <x:f t="shared" ref="GF13:GF76" si="61">SUMIF(EQ$7:FW$7,"Culminating Project",EQ13:FW13)</x:f>
        <x:v>0</x:v>
      </x:c>
      <x:c r="GG13" s="38" t="n">
        <x:f t="shared" ref="GG13:GG76" si="62">SUMIF(EQ$7:FW$7,"Panel Evaluation",EQ13:FW13)</x:f>
        <x:v>0</x:v>
      </x:c>
      <x:c r="GH13" s="38" t="n">
        <x:f t="shared" ref="GH13:GH76" si="63">SUMIF(EQ$7:FW$7,"Internship Evaluation",EQ13:FW13)</x:f>
        <x:v>0</x:v>
      </x:c>
      <x:c r="GI13" t="n">
        <x:f t="shared" ref="GI13:GI76" si="64">SUMIFS(E13:EP13,E$8:EP$8,GI$8,E$11:EP$11,GI$11)</x:f>
        <x:v>60</x:v>
      </x:c>
      <x:c r="GJ13" t="n">
        <x:f t="shared" ref="GJ13:GJ76" si="65">SUMIFS(E13:EP13,E$8:EP$8,GJ$8,E$11:EP$11,GI$11)</x:f>
        <x:v>80</x:v>
      </x:c>
      <x:c r="GK13" t="n">
        <x:f t="shared" ref="GK13:GK76" si="66">SUMIFS(E13:EP13,E$8:EP$8,GK$8,E$11:EP$11,GI$11)</x:f>
        <x:v>0</x:v>
      </x:c>
      <x:c r="GL13" t="n">
        <x:f t="shared" ref="GL13:GL76" si="67">SUMIFS(E13:EP13,E$8:EP$8,GL$8,E$11:EP$11,GI$11)</x:f>
        <x:v>0</x:v>
      </x:c>
      <x:c r="GM13" t="n">
        <x:f t="shared" ref="GM13:GM76" si="68">SUMIFS(E13:EP13,E$8:EP$8,GM$8,E$11:EP$11,GI$11)</x:f>
        <x:v>0</x:v>
      </x:c>
      <x:c r="GN13" t="n">
        <x:f t="shared" ref="GN13:GN76" si="69">SUMIFS(E13:EP13,E$8:EP$8,GN$8,E$11:EP$11,GI$11)</x:f>
        <x:v>0</x:v>
      </x:c>
      <x:c r="GO13" t="n">
        <x:f t="shared" ref="GO13:GO76" si="70">SUMIFS(E13:EP13,E$8:EP$8,GO$8,E$11:EP$11,GI$11)</x:f>
        <x:v>30</x:v>
      </x:c>
      <x:c r="GP13" t="n">
        <x:f t="shared" ref="GP13:GP76" si="71">SUMIFS(E13:EP13,E$8:EP$8,GP$8,E$11:EP$11,GI$11)</x:f>
        <x:v>0</x:v>
      </x:c>
      <x:c r="GQ13" t="n">
        <x:f t="shared" ref="GQ13:GQ76" si="72">SUMIFS(E13:EP13,E$8:EP$8,GQ$8,E$11:EP$11,GI$11)</x:f>
        <x:v>0</x:v>
      </x:c>
      <x:c r="GR13" s="42" t="n">
        <x:f t="shared" ref="GR13:GR76" si="73">SUMIFS(E13:EP13,E$8:EP$8,GR$8,E$11:EP$11,GI$11)</x:f>
        <x:v>0</x:v>
      </x:c>
      <x:c r="GS13" t="n">
        <x:f t="shared" ref="GS13:GS76" si="74">SUMIFS(E13:EP13,E$8:EP$8,GI$8,E$11:EP$11,GS$11)</x:f>
        <x:v>50</x:v>
      </x:c>
      <x:c r="GT13" t="n">
        <x:f t="shared" ref="GT13:GT76" si="75">SUMIFS(E13:EP13,E$8:EP$8,GJ$8,E$11:EP$11,GS$11)</x:f>
        <x:v>100</x:v>
      </x:c>
      <x:c r="GU13" t="n">
        <x:f t="shared" ref="GU13:GU76" si="76">SUMIFS(E13:EP13,E$8:EP$8,GK$8,E$11:EP$11,GS$11)</x:f>
        <x:v>0</x:v>
      </x:c>
      <x:c r="GV13" t="n">
        <x:f t="shared" ref="GV13:GV76" si="77">SUMIFS(E13:EP13,E$8:EP$8,GL$8,E$11:EP$11,GS$11)</x:f>
        <x:v>0</x:v>
      </x:c>
      <x:c r="GW13" t="n">
        <x:f t="shared" ref="GW13:GW76" si="78">SUMIFS(E13:EP13,E$8:EP$8,GM$8,E$11:EP$11,GS$11)</x:f>
        <x:v>0</x:v>
      </x:c>
      <x:c r="GX13" t="n">
        <x:f t="shared" ref="GX13:GX76" si="79">SUMIFS(E13:EP13,E$8:EP$8,GN$8,E$11:EP$11,GS$11)</x:f>
        <x:v>0</x:v>
      </x:c>
      <x:c r="GY13" t="n">
        <x:f t="shared" ref="GY13:GY76" si="80">SUMIFS(E13:EP13,E$8:EP$8,GY$8,E$11:EP$11,GS$11)</x:f>
        <x:v>50</x:v>
      </x:c>
      <x:c r="GZ13" t="n">
        <x:f t="shared" ref="GZ13:GZ76" si="81">SUMIFS(E13:EP13,E$8:EP$8,GZ$8,E$11:EP$11,GS$11)</x:f>
        <x:v>0</x:v>
      </x:c>
      <x:c r="HA13" t="n">
        <x:f t="shared" ref="HA13:HA76" si="82">SUMIFS(E13:EP13,E$8:EP$8,HA$8,E$11:EP$11,GS$11)</x:f>
        <x:v>0</x:v>
      </x:c>
      <x:c r="HB13" s="42" t="n">
        <x:f t="shared" ref="HB13:HB76" si="83">SUMIFS(E13:EP13,E$8:EP$8,GR$8,E$11:EP$11,GS$11)</x:f>
        <x:v>0</x:v>
      </x:c>
      <x:c r="HC13" t="n">
        <x:f t="shared" ref="HC13:HC76" si="84">SUMIFS(E13:EP13,E$8:EP$8,GI$8,E$11:EP$11,HC$11)</x:f>
        <x:v>50</x:v>
      </x:c>
      <x:c r="HD13" t="n">
        <x:f t="shared" ref="HD13:HD76" si="85">SUMIFS(E13:EP13,E$8:EP$8,GJ$8,E$11:EP$11,HC$11)</x:f>
        <x:v>125</x:v>
      </x:c>
      <x:c r="HE13" t="n">
        <x:f t="shared" ref="HE13:HE76" si="86">SUMIFS(E13:EP13,E$8:EP$8,GK$8,E$11:EP$11,HC$11)</x:f>
        <x:v>0</x:v>
      </x:c>
      <x:c r="HF13" t="n">
        <x:f t="shared" ref="HF13:HF76" si="87">SUMIFS(E13:EP13,E$8:EP$8,GL$8,E$11:EP$11,HC$11)</x:f>
        <x:v>0</x:v>
      </x:c>
      <x:c r="HG13" t="n">
        <x:f t="shared" ref="HG13:HG76" si="88">SUMIFS(E13:EP13,E$8:EP$8,GM$8,E$11:EP$11,HC$11)</x:f>
        <x:v>0</x:v>
      </x:c>
      <x:c r="HH13" t="n">
        <x:f t="shared" ref="HH13:HH76" si="89">SUMIFS(E13:EP13,E$8:EP$8,GN$8,E$11:EP$11,HC$11)</x:f>
        <x:v>0</x:v>
      </x:c>
      <x:c r="HI13" t="n">
        <x:f t="shared" ref="HI13:HI76" si="90">SUMIFS(E13:EP13,E$8:EP$8,GO$8,E$11:EP$11,HC$11)</x:f>
        <x:v>20</x:v>
      </x:c>
      <x:c r="HJ13" t="n">
        <x:f t="shared" ref="HJ13:HJ76" si="91">SUMIFS(E13:EP13,E$8:EP$8,GP$8,E$11:EP$11,HC$11)</x:f>
        <x:v>0</x:v>
      </x:c>
      <x:c r="HK13" t="n">
        <x:f t="shared" ref="HK13:HK76" si="92">SUMIFS(E13:EP13,E$8:EP$8,GQ$8,E$11:EP$11,HC$11)</x:f>
        <x:v>0</x:v>
      </x:c>
      <x:c r="HL13" t="n">
        <x:f t="shared" ref="HL13:HL76" si="93">SUMIFS(E13:EP13,E$8:EP$8,GR$8,E$11:EP$11,HC$11)</x:f>
        <x:v>0</x:v>
      </x:c>
    </x:row>
    <x:row r="14">
      <x:c r="A14" s="72">
        <x:v>1</x:v>
      </x:c>
      <x:c r="B14" s="73" t="s">
        <x:v>195</x:v>
      </x:c>
      <x:c r="C14" s="33" t="str">
        <x:v>Castillo, Danica C.</x:v>
      </x:c>
      <x:c r="D14" s="74" t="s">
        <x:v>93</x:v>
      </x:c>
      <x:c r="E14" t="n">
        <x:v>11</x:v>
      </x:c>
      <x:c r="F14" t="n">
        <x:v>15</x:v>
      </x:c>
      <x:c r="G14" t="n">
        <x:v>38</x:v>
      </x:c>
      <x:c r="H14" t="n">
        <x:v>19</x:v>
      </x:c>
      <x:c r="I14" t="n">
        <x:v>19</x:v>
      </x:c>
      <x:c r="J14" t="n">
        <x:v>41</x:v>
      </x:c>
      <x:c r="K14" t="n">
        <x:v>9</x:v>
      </x:c>
      <x:c r="L14" t="n">
        <x:v>20</x:v>
      </x:c>
      <x:c r="M14" t="n">
        <x:v>13</x:v>
      </x:c>
      <x:c r="N14" t="n">
        <x:v>6</x:v>
      </x:c>
      <x:c r="O14" t="n">
        <x:v>6</x:v>
      </x:c>
      <x:c r="P14" t="n">
        <x:v>11</x:v>
      </x:c>
      <x:c r="Q14" t="n">
        <x:v>11</x:v>
      </x:c>
      <x:c r="EQ14" s="75">
        <x:f t="shared" si="20"/>
        <x:v>21</x:v>
      </x:c>
      <x:c r="ER14" s="75">
        <x:f t="shared" si="21"/>
        <x:v>80</x:v>
      </x:c>
      <x:c r="ES14" s="75">
        <x:f t="shared" si="22"/>
        <x:v>42</x:v>
      </x:c>
      <x:c r="ET14" s="75">
        <x:f t="shared" si="23"/>
        <x:v>0</x:v>
      </x:c>
      <x:c r="EU14" s="75">
        <x:f t="shared" si="24"/>
        <x:v>0</x:v>
      </x:c>
      <x:c r="EV14" s="75">
        <x:f t="shared" si="25"/>
        <x:v>0</x:v>
      </x:c>
      <x:c r="EW14" s="75">
        <x:f t="shared" si="26"/>
        <x:v>0</x:v>
      </x:c>
      <x:c r="EX14" s="75">
        <x:f t="shared" si="27"/>
        <x:v>0</x:v>
      </x:c>
      <x:c r="EY14" s="75">
        <x:f t="shared" si="28"/>
        <x:v>0</x:v>
      </x:c>
      <x:c r="EZ14" s="75">
        <x:f t="shared" si="29"/>
        <x:v>0</x:v>
      </x:c>
      <x:c r="FA14" s="76">
        <x:f t="shared" si="30"/>
        <x:v>0</x:v>
      </x:c>
      <x:c r="FB14" s="75">
        <x:f t="shared" si="31"/>
        <x:v>45</x:v>
      </x:c>
      <x:c r="FC14" s="75">
        <x:f t="shared" si="32"/>
        <x:v>100</x:v>
      </x:c>
      <x:c r="FD14" s="75">
        <x:f t="shared" si="33"/>
        <x:v>0</x:v>
      </x:c>
      <x:c r="FE14" s="75">
        <x:f t="shared" si="34"/>
        <x:v>35</x:v>
      </x:c>
      <x:c r="FF14" s="75">
        <x:f t="shared" si="35"/>
        <x:v>0</x:v>
      </x:c>
      <x:c r="FG14" s="75">
        <x:f t="shared" si="36"/>
        <x:v>0</x:v>
      </x:c>
      <x:c r="FH14" s="75">
        <x:f t="shared" si="37"/>
        <x:v>0</x:v>
      </x:c>
      <x:c r="FI14" s="75">
        <x:f t="shared" si="38"/>
        <x:v>0</x:v>
      </x:c>
      <x:c r="FJ14" s="75">
        <x:f t="shared" si="39"/>
        <x:v>0</x:v>
      </x:c>
      <x:c r="FK14" s="75">
        <x:f t="shared" si="40"/>
        <x:v>0</x:v>
      </x:c>
      <x:c r="FL14" s="76">
        <x:f t="shared" si="41"/>
        <x:v>0</x:v>
      </x:c>
      <x:c r="FM14" s="75">
        <x:f t="shared" si="42"/>
        <x:v>20</x:v>
      </x:c>
      <x:c r="FN14" s="75">
        <x:f t="shared" si="43"/>
        <x:v>115</x:v>
      </x:c>
      <x:c r="FO14" s="75">
        <x:f t="shared" si="44"/>
        <x:v>50</x:v>
      </x:c>
      <x:c r="FP14" s="75">
        <x:f t="shared" si="45"/>
        <x:v>0</x:v>
      </x:c>
      <x:c r="FQ14" s="75">
        <x:f t="shared" si="46"/>
        <x:v>0</x:v>
      </x:c>
      <x:c r="FR14" s="75">
        <x:f t="shared" si="47"/>
        <x:v>0</x:v>
      </x:c>
      <x:c r="FS14" s="75">
        <x:f t="shared" si="48"/>
        <x:v>0</x:v>
      </x:c>
      <x:c r="FT14" s="75">
        <x:f t="shared" si="49"/>
        <x:v>0</x:v>
      </x:c>
      <x:c r="FU14" s="75">
        <x:f t="shared" si="50"/>
        <x:v>0</x:v>
      </x:c>
      <x:c r="FV14" s="75">
        <x:f t="shared" si="51"/>
        <x:v>0</x:v>
      </x:c>
      <x:c r="FW14" s="76">
        <x:f t="shared" si="52"/>
        <x:v>0</x:v>
      </x:c>
      <x:c r="FX14" s="75">
        <x:f t="shared" si="53"/>
        <x:v>86</x:v>
      </x:c>
      <x:c r="FY14" s="75">
        <x:f t="shared" si="54"/>
        <x:v>295</x:v>
      </x:c>
      <x:c r="FZ14" s="75">
        <x:f t="shared" si="55"/>
        <x:v>92</x:v>
      </x:c>
      <x:c r="GA14" s="75">
        <x:f t="shared" si="56"/>
        <x:v>35</x:v>
      </x:c>
      <x:c r="GB14" s="75">
        <x:f t="shared" si="57"/>
        <x:v>0</x:v>
      </x:c>
      <x:c r="GC14" s="75">
        <x:f t="shared" si="58"/>
        <x:v>0</x:v>
      </x:c>
      <x:c r="GD14" s="75">
        <x:f t="shared" si="59"/>
        <x:v>0</x:v>
      </x:c>
      <x:c r="GE14" s="75">
        <x:f t="shared" si="60"/>
        <x:v>0</x:v>
      </x:c>
      <x:c r="GF14" s="75">
        <x:f t="shared" si="61"/>
        <x:v>0</x:v>
      </x:c>
      <x:c r="GG14" s="75">
        <x:f t="shared" si="62"/>
        <x:v>0</x:v>
      </x:c>
      <x:c r="GH14" s="75">
        <x:f t="shared" si="63"/>
        <x:v>0</x:v>
      </x:c>
      <x:c r="GI14">
        <x:f t="shared" si="64"/>
        <x:v>42</x:v>
      </x:c>
      <x:c r="GJ14">
        <x:f t="shared" si="65"/>
        <x:v>80</x:v>
      </x:c>
      <x:c r="GK14">
        <x:f t="shared" si="66"/>
        <x:v>0</x:v>
      </x:c>
      <x:c r="GL14">
        <x:f t="shared" si="67"/>
        <x:v>0</x:v>
      </x:c>
      <x:c r="GM14">
        <x:f t="shared" si="68"/>
        <x:v>0</x:v>
      </x:c>
      <x:c r="GN14">
        <x:f t="shared" si="69"/>
        <x:v>0</x:v>
      </x:c>
      <x:c r="GO14">
        <x:f t="shared" si="70"/>
        <x:v>21</x:v>
      </x:c>
      <x:c r="GP14">
        <x:f t="shared" si="71"/>
        <x:v>0</x:v>
      </x:c>
      <x:c r="GQ14">
        <x:f t="shared" si="72"/>
        <x:v>0</x:v>
      </x:c>
      <x:c r="GR14" s="42">
        <x:f t="shared" si="73"/>
        <x:v>0</x:v>
      </x:c>
      <x:c r="GS14">
        <x:f t="shared" si="74"/>
        <x:v>35</x:v>
      </x:c>
      <x:c r="GT14">
        <x:f t="shared" si="75"/>
        <x:v>100</x:v>
      </x:c>
      <x:c r="GU14">
        <x:f t="shared" si="76"/>
        <x:v>0</x:v>
      </x:c>
      <x:c r="GV14">
        <x:f t="shared" si="77"/>
        <x:v>0</x:v>
      </x:c>
      <x:c r="GW14">
        <x:f t="shared" si="78"/>
        <x:v>0</x:v>
      </x:c>
      <x:c r="GX14">
        <x:f t="shared" si="79"/>
        <x:v>0</x:v>
      </x:c>
      <x:c r="GY14">
        <x:f t="shared" si="80"/>
        <x:v>45</x:v>
      </x:c>
      <x:c r="GZ14">
        <x:f t="shared" si="81"/>
        <x:v>0</x:v>
      </x:c>
      <x:c r="HA14">
        <x:f t="shared" si="82"/>
        <x:v>0</x:v>
      </x:c>
      <x:c r="HB14" s="42">
        <x:f t="shared" si="83"/>
        <x:v>0</x:v>
      </x:c>
      <x:c r="HC14">
        <x:f t="shared" si="84"/>
        <x:v>50</x:v>
      </x:c>
      <x:c r="HD14">
        <x:f t="shared" si="85"/>
        <x:v>115</x:v>
      </x:c>
      <x:c r="HE14">
        <x:f t="shared" si="86"/>
        <x:v>0</x:v>
      </x:c>
      <x:c r="HF14">
        <x:f t="shared" si="87"/>
        <x:v>0</x:v>
      </x:c>
      <x:c r="HG14">
        <x:f t="shared" si="88"/>
        <x:v>0</x:v>
      </x:c>
      <x:c r="HH14">
        <x:f t="shared" si="89"/>
        <x:v>0</x:v>
      </x:c>
      <x:c r="HI14">
        <x:f t="shared" si="90"/>
        <x:v>20</x:v>
      </x:c>
      <x:c r="HJ14">
        <x:f t="shared" si="91"/>
        <x:v>0</x:v>
      </x:c>
      <x:c r="HK14">
        <x:f t="shared" si="92"/>
        <x:v>0</x:v>
      </x:c>
      <x:c r="HL14">
        <x:f t="shared" si="93"/>
        <x:v>0</x:v>
      </x:c>
    </x:row>
    <x:row r="15">
      <x:c r="A15" s="72">
        <x:v>2</x:v>
      </x:c>
      <x:c r="B15" s="73" t="s">
        <x:v>196</x:v>
      </x:c>
      <x:c r="C15" s="33" t="str">
        <x:v>Soriano, Kyle G.</x:v>
      </x:c>
      <x:c r="D15" s="74" t="s">
        <x:v>93</x:v>
      </x:c>
      <x:c r="E15" t="n">
        <x:v>15</x:v>
      </x:c>
      <x:c r="F15" t="n">
        <x:v>36</x:v>
      </x:c>
      <x:c r="G15" t="n">
        <x:v>39</x:v>
      </x:c>
      <x:c r="H15" t="n">
        <x:v>30</x:v>
      </x:c>
      <x:c r="I15" t="n">
        <x:v>39</x:v>
      </x:c>
      <x:c r="J15" t="n">
        <x:v>70</x:v>
      </x:c>
      <x:c r="K15" t="n">
        <x:v>9</x:v>
      </x:c>
      <x:c r="L15" t="n">
        <x:v>25</x:v>
      </x:c>
      <x:c r="M15" t="n">
        <x:v>17</x:v>
      </x:c>
      <x:c r="N15" t="n">
        <x:v>16</x:v>
      </x:c>
      <x:c r="O15" t="n">
        <x:v>16</x:v>
      </x:c>
      <x:c r="P15" t="n">
        <x:v>14</x:v>
      </x:c>
      <x:c r="Q15" t="n">
        <x:v>19</x:v>
      </x:c>
      <x:c r="EQ15">
        <x:f t="shared" si="20"/>
        <x:v>22</x:v>
      </x:c>
      <x:c r="ER15">
        <x:f t="shared" si="21"/>
        <x:v>80</x:v>
      </x:c>
      <x:c r="ES15">
        <x:f t="shared" si="22"/>
        <x:v>50</x:v>
      </x:c>
      <x:c r="ET15">
        <x:f t="shared" si="23"/>
        <x:v>0</x:v>
      </x:c>
      <x:c r="EU15">
        <x:f t="shared" si="24"/>
        <x:v>0</x:v>
      </x:c>
      <x:c r="EV15">
        <x:f t="shared" si="25"/>
        <x:v>0</x:v>
      </x:c>
      <x:c r="EW15">
        <x:f t="shared" si="26"/>
        <x:v>0</x:v>
      </x:c>
      <x:c r="EX15">
        <x:f t="shared" si="27"/>
        <x:v>0</x:v>
      </x:c>
      <x:c r="EY15">
        <x:f t="shared" si="28"/>
        <x:v>0</x:v>
      </x:c>
      <x:c r="EZ15">
        <x:f t="shared" si="29"/>
        <x:v>0</x:v>
      </x:c>
      <x:c r="FA15" s="41">
        <x:f t="shared" si="30"/>
        <x:v>0</x:v>
      </x:c>
      <x:c r="FB15">
        <x:f t="shared" si="31"/>
        <x:v>45</x:v>
      </x:c>
      <x:c r="FC15">
        <x:f t="shared" si="32"/>
        <x:v>70</x:v>
      </x:c>
      <x:c r="FD15">
        <x:f t="shared" si="33"/>
        <x:v>0</x:v>
      </x:c>
      <x:c r="FE15">
        <x:f t="shared" si="34"/>
        <x:v>35</x:v>
      </x:c>
      <x:c r="FF15">
        <x:f t="shared" si="35"/>
        <x:v>0</x:v>
      </x:c>
      <x:c r="FG15">
        <x:f t="shared" si="36"/>
        <x:v>0</x:v>
      </x:c>
      <x:c r="FH15">
        <x:f t="shared" si="37"/>
        <x:v>0</x:v>
      </x:c>
      <x:c r="FI15">
        <x:f t="shared" si="38"/>
        <x:v>0</x:v>
      </x:c>
      <x:c r="FJ15">
        <x:f t="shared" si="39"/>
        <x:v>0</x:v>
      </x:c>
      <x:c r="FK15">
        <x:f t="shared" si="40"/>
        <x:v>0</x:v>
      </x:c>
      <x:c r="FL15" s="41">
        <x:f t="shared" si="41"/>
        <x:v>0</x:v>
      </x:c>
      <x:c r="FM15">
        <x:f t="shared" si="42"/>
        <x:v>20</x:v>
      </x:c>
      <x:c r="FN15">
        <x:f t="shared" si="43"/>
        <x:v>115</x:v>
      </x:c>
      <x:c r="FO15">
        <x:f t="shared" si="44"/>
        <x:v>50</x:v>
      </x:c>
      <x:c r="FP15">
        <x:f t="shared" si="45"/>
        <x:v>0</x:v>
      </x:c>
      <x:c r="FQ15">
        <x:f t="shared" si="46"/>
        <x:v>0</x:v>
      </x:c>
      <x:c r="FR15">
        <x:f t="shared" si="47"/>
        <x:v>0</x:v>
      </x:c>
      <x:c r="FS15">
        <x:f t="shared" si="48"/>
        <x:v>0</x:v>
      </x:c>
      <x:c r="FT15">
        <x:f t="shared" si="49"/>
        <x:v>0</x:v>
      </x:c>
      <x:c r="FU15">
        <x:f t="shared" si="50"/>
        <x:v>0</x:v>
      </x:c>
      <x:c r="FV15">
        <x:f t="shared" si="51"/>
        <x:v>0</x:v>
      </x:c>
      <x:c r="FW15" s="41">
        <x:f t="shared" si="52"/>
        <x:v>0</x:v>
      </x:c>
      <x:c r="FX15">
        <x:f t="shared" si="53"/>
        <x:v>87</x:v>
      </x:c>
      <x:c r="FY15">
        <x:f t="shared" si="54"/>
        <x:v>265</x:v>
      </x:c>
      <x:c r="FZ15">
        <x:f t="shared" si="55"/>
        <x:v>100</x:v>
      </x:c>
      <x:c r="GA15">
        <x:f t="shared" si="56"/>
        <x:v>35</x:v>
      </x:c>
      <x:c r="GB15">
        <x:f t="shared" si="57"/>
        <x:v>0</x:v>
      </x:c>
      <x:c r="GC15">
        <x:f t="shared" si="58"/>
        <x:v>0</x:v>
      </x:c>
      <x:c r="GD15">
        <x:f t="shared" si="59"/>
        <x:v>0</x:v>
      </x:c>
      <x:c r="GE15">
        <x:f t="shared" si="60"/>
        <x:v>0</x:v>
      </x:c>
      <x:c r="GF15">
        <x:f t="shared" si="61"/>
        <x:v>0</x:v>
      </x:c>
      <x:c r="GG15">
        <x:f t="shared" si="62"/>
        <x:v>0</x:v>
      </x:c>
      <x:c r="GH15">
        <x:f t="shared" si="63"/>
        <x:v>0</x:v>
      </x:c>
      <x:c r="GI15">
        <x:f t="shared" si="64"/>
        <x:v>50</x:v>
      </x:c>
      <x:c r="GJ15">
        <x:f t="shared" si="65"/>
        <x:v>80</x:v>
      </x:c>
      <x:c r="GK15">
        <x:f t="shared" si="66"/>
        <x:v>0</x:v>
      </x:c>
      <x:c r="GL15">
        <x:f t="shared" si="67"/>
        <x:v>0</x:v>
      </x:c>
      <x:c r="GM15">
        <x:f t="shared" si="68"/>
        <x:v>0</x:v>
      </x:c>
      <x:c r="GN15">
        <x:f t="shared" si="69"/>
        <x:v>0</x:v>
      </x:c>
      <x:c r="GO15">
        <x:f t="shared" si="70"/>
        <x:v>22</x:v>
      </x:c>
      <x:c r="GP15">
        <x:f t="shared" si="71"/>
        <x:v>0</x:v>
      </x:c>
      <x:c r="GQ15">
        <x:f t="shared" si="72"/>
        <x:v>0</x:v>
      </x:c>
      <x:c r="GR15" s="42">
        <x:f t="shared" si="73"/>
        <x:v>0</x:v>
      </x:c>
      <x:c r="GS15">
        <x:f t="shared" si="74"/>
        <x:v>35</x:v>
      </x:c>
      <x:c r="GT15">
        <x:f t="shared" si="75"/>
        <x:v>70</x:v>
      </x:c>
      <x:c r="GU15">
        <x:f t="shared" si="76"/>
        <x:v>0</x:v>
      </x:c>
      <x:c r="GV15">
        <x:f t="shared" si="77"/>
        <x:v>0</x:v>
      </x:c>
      <x:c r="GW15">
        <x:f t="shared" si="78"/>
        <x:v>0</x:v>
      </x:c>
      <x:c r="GX15">
        <x:f t="shared" si="79"/>
        <x:v>0</x:v>
      </x:c>
      <x:c r="GY15">
        <x:f t="shared" si="80"/>
        <x:v>45</x:v>
      </x:c>
      <x:c r="GZ15">
        <x:f t="shared" si="81"/>
        <x:v>0</x:v>
      </x:c>
      <x:c r="HA15">
        <x:f t="shared" si="82"/>
        <x:v>0</x:v>
      </x:c>
      <x:c r="HB15" s="42">
        <x:f t="shared" si="83"/>
        <x:v>0</x:v>
      </x:c>
      <x:c r="HC15">
        <x:f t="shared" si="84"/>
        <x:v>50</x:v>
      </x:c>
      <x:c r="HD15">
        <x:f t="shared" si="85"/>
        <x:v>115</x:v>
      </x:c>
      <x:c r="HE15">
        <x:f t="shared" si="86"/>
        <x:v>0</x:v>
      </x:c>
      <x:c r="HF15">
        <x:f t="shared" si="87"/>
        <x:v>0</x:v>
      </x:c>
      <x:c r="HG15">
        <x:f t="shared" si="88"/>
        <x:v>0</x:v>
      </x:c>
      <x:c r="HH15">
        <x:f t="shared" si="89"/>
        <x:v>0</x:v>
      </x:c>
      <x:c r="HI15">
        <x:f t="shared" si="90"/>
        <x:v>20</x:v>
      </x:c>
      <x:c r="HJ15">
        <x:f t="shared" si="91"/>
        <x:v>0</x:v>
      </x:c>
      <x:c r="HK15">
        <x:f t="shared" si="92"/>
        <x:v>0</x:v>
      </x:c>
      <x:c r="HL15">
        <x:f t="shared" si="93"/>
        <x:v>0</x:v>
      </x:c>
    </x:row>
    <x:row r="16">
      <x:c r="A16" s="72">
        <x:v>3</x:v>
      </x:c>
      <x:c r="B16" s="73" t="s">
        <x:v>197</x:v>
      </x:c>
      <x:c r="C16" s="33" t="str">
        <x:v>Santiago, Frances J.</x:v>
      </x:c>
      <x:c r="D16" s="74" t="s">
        <x:v>93</x:v>
      </x:c>
      <x:c r="E16" t="n">
        <x:v>14</x:v>
      </x:c>
      <x:c r="F16" t="n">
        <x:v>37</x:v>
      </x:c>
      <x:c r="G16" t="n">
        <x:v>36</x:v>
      </x:c>
      <x:c r="H16" t="n">
        <x:v>26</x:v>
      </x:c>
      <x:c r="I16" t="n">
        <x:v>19</x:v>
      </x:c>
      <x:c r="J16" t="n">
        <x:v>57</x:v>
      </x:c>
      <x:c r="K16" t="n">
        <x:v>10</x:v>
      </x:c>
      <x:c r="L16" t="n">
        <x:v>25</x:v>
      </x:c>
      <x:c r="M16" t="n">
        <x:v>16</x:v>
      </x:c>
      <x:c r="N16" t="n">
        <x:v>14</x:v>
      </x:c>
      <x:c r="O16" t="n">
        <x:v>14</x:v>
      </x:c>
      <x:c r="P16" t="n">
        <x:v>17</x:v>
      </x:c>
      <x:c r="Q16" t="n">
        <x:v>17</x:v>
      </x:c>
      <x:c r="EQ16">
        <x:f t="shared" si="20"/>
        <x:v>21</x:v>
      </x:c>
      <x:c r="ER16">
        <x:f t="shared" si="21"/>
        <x:v>80</x:v>
      </x:c>
      <x:c r="ES16">
        <x:f t="shared" si="22"/>
        <x:v>50</x:v>
      </x:c>
      <x:c r="ET16">
        <x:f t="shared" si="23"/>
        <x:v>0</x:v>
      </x:c>
      <x:c r="EU16">
        <x:f t="shared" si="24"/>
        <x:v>0</x:v>
      </x:c>
      <x:c r="EV16">
        <x:f t="shared" si="25"/>
        <x:v>0</x:v>
      </x:c>
      <x:c r="EW16">
        <x:f t="shared" si="26"/>
        <x:v>0</x:v>
      </x:c>
      <x:c r="EX16">
        <x:f t="shared" si="27"/>
        <x:v>0</x:v>
      </x:c>
      <x:c r="EY16">
        <x:f t="shared" si="28"/>
        <x:v>0</x:v>
      </x:c>
      <x:c r="EZ16">
        <x:f t="shared" si="29"/>
        <x:v>0</x:v>
      </x:c>
      <x:c r="FA16" s="41">
        <x:f t="shared" si="30"/>
        <x:v>0</x:v>
      </x:c>
      <x:c r="FB16">
        <x:f t="shared" si="31"/>
        <x:v>45</x:v>
      </x:c>
      <x:c r="FC16">
        <x:f t="shared" si="32"/>
        <x:v>95</x:v>
      </x:c>
      <x:c r="FD16">
        <x:f t="shared" si="33"/>
        <x:v>0</x:v>
      </x:c>
      <x:c r="FE16">
        <x:f t="shared" si="34"/>
        <x:v>35</x:v>
      </x:c>
      <x:c r="FF16">
        <x:f t="shared" si="35"/>
        <x:v>0</x:v>
      </x:c>
      <x:c r="FG16">
        <x:f t="shared" si="36"/>
        <x:v>0</x:v>
      </x:c>
      <x:c r="FH16">
        <x:f t="shared" si="37"/>
        <x:v>0</x:v>
      </x:c>
      <x:c r="FI16">
        <x:f t="shared" si="38"/>
        <x:v>0</x:v>
      </x:c>
      <x:c r="FJ16">
        <x:f t="shared" si="39"/>
        <x:v>0</x:v>
      </x:c>
      <x:c r="FK16">
        <x:f t="shared" si="40"/>
        <x:v>0</x:v>
      </x:c>
      <x:c r="FL16" s="41">
        <x:f t="shared" si="41"/>
        <x:v>0</x:v>
      </x:c>
      <x:c r="FM16">
        <x:f t="shared" si="42"/>
        <x:v>20</x:v>
      </x:c>
      <x:c r="FN16">
        <x:f t="shared" si="43"/>
        <x:v>115</x:v>
      </x:c>
      <x:c r="FO16">
        <x:f t="shared" si="44"/>
        <x:v>50</x:v>
      </x:c>
      <x:c r="FP16">
        <x:f t="shared" si="45"/>
        <x:v>0</x:v>
      </x:c>
      <x:c r="FQ16">
        <x:f t="shared" si="46"/>
        <x:v>0</x:v>
      </x:c>
      <x:c r="FR16">
        <x:f t="shared" si="47"/>
        <x:v>0</x:v>
      </x:c>
      <x:c r="FS16">
        <x:f t="shared" si="48"/>
        <x:v>0</x:v>
      </x:c>
      <x:c r="FT16">
        <x:f t="shared" si="49"/>
        <x:v>0</x:v>
      </x:c>
      <x:c r="FU16">
        <x:f t="shared" si="50"/>
        <x:v>0</x:v>
      </x:c>
      <x:c r="FV16">
        <x:f t="shared" si="51"/>
        <x:v>0</x:v>
      </x:c>
      <x:c r="FW16" s="41">
        <x:f t="shared" si="52"/>
        <x:v>0</x:v>
      </x:c>
      <x:c r="FX16">
        <x:f t="shared" si="53"/>
        <x:v>86</x:v>
      </x:c>
      <x:c r="FY16">
        <x:f t="shared" si="54"/>
        <x:v>290</x:v>
      </x:c>
      <x:c r="FZ16">
        <x:f t="shared" si="55"/>
        <x:v>100</x:v>
      </x:c>
      <x:c r="GA16">
        <x:f t="shared" si="56"/>
        <x:v>35</x:v>
      </x:c>
      <x:c r="GB16">
        <x:f t="shared" si="57"/>
        <x:v>0</x:v>
      </x:c>
      <x:c r="GC16">
        <x:f t="shared" si="58"/>
        <x:v>0</x:v>
      </x:c>
      <x:c r="GD16">
        <x:f t="shared" si="59"/>
        <x:v>0</x:v>
      </x:c>
      <x:c r="GE16">
        <x:f t="shared" si="60"/>
        <x:v>0</x:v>
      </x:c>
      <x:c r="GF16">
        <x:f t="shared" si="61"/>
        <x:v>0</x:v>
      </x:c>
      <x:c r="GG16">
        <x:f t="shared" si="62"/>
        <x:v>0</x:v>
      </x:c>
      <x:c r="GH16">
        <x:f t="shared" si="63"/>
        <x:v>0</x:v>
      </x:c>
      <x:c r="GI16">
        <x:f t="shared" si="64"/>
        <x:v>50</x:v>
      </x:c>
      <x:c r="GJ16">
        <x:f t="shared" si="65"/>
        <x:v>80</x:v>
      </x:c>
      <x:c r="GK16">
        <x:f t="shared" si="66"/>
        <x:v>0</x:v>
      </x:c>
      <x:c r="GL16">
        <x:f t="shared" si="67"/>
        <x:v>0</x:v>
      </x:c>
      <x:c r="GM16">
        <x:f t="shared" si="68"/>
        <x:v>0</x:v>
      </x:c>
      <x:c r="GN16">
        <x:f t="shared" si="69"/>
        <x:v>0</x:v>
      </x:c>
      <x:c r="GO16">
        <x:f t="shared" si="70"/>
        <x:v>21</x:v>
      </x:c>
      <x:c r="GP16">
        <x:f t="shared" si="71"/>
        <x:v>0</x:v>
      </x:c>
      <x:c r="GQ16">
        <x:f t="shared" si="72"/>
        <x:v>0</x:v>
      </x:c>
      <x:c r="GR16" s="42">
        <x:f t="shared" si="73"/>
        <x:v>0</x:v>
      </x:c>
      <x:c r="GS16">
        <x:f t="shared" si="74"/>
        <x:v>35</x:v>
      </x:c>
      <x:c r="GT16">
        <x:f t="shared" si="75"/>
        <x:v>95</x:v>
      </x:c>
      <x:c r="GU16">
        <x:f t="shared" si="76"/>
        <x:v>0</x:v>
      </x:c>
      <x:c r="GV16">
        <x:f t="shared" si="77"/>
        <x:v>0</x:v>
      </x:c>
      <x:c r="GW16">
        <x:f t="shared" si="78"/>
        <x:v>0</x:v>
      </x:c>
      <x:c r="GX16">
        <x:f t="shared" si="79"/>
        <x:v>0</x:v>
      </x:c>
      <x:c r="GY16">
        <x:f t="shared" si="80"/>
        <x:v>45</x:v>
      </x:c>
      <x:c r="GZ16">
        <x:f t="shared" si="81"/>
        <x:v>0</x:v>
      </x:c>
      <x:c r="HA16">
        <x:f t="shared" si="82"/>
        <x:v>0</x:v>
      </x:c>
      <x:c r="HB16" s="42">
        <x:f t="shared" si="83"/>
        <x:v>0</x:v>
      </x:c>
      <x:c r="HC16">
        <x:f t="shared" si="84"/>
        <x:v>50</x:v>
      </x:c>
      <x:c r="HD16">
        <x:f t="shared" si="85"/>
        <x:v>115</x:v>
      </x:c>
      <x:c r="HE16">
        <x:f t="shared" si="86"/>
        <x:v>0</x:v>
      </x:c>
      <x:c r="HF16">
        <x:f t="shared" si="87"/>
        <x:v>0</x:v>
      </x:c>
      <x:c r="HG16">
        <x:f t="shared" si="88"/>
        <x:v>0</x:v>
      </x:c>
      <x:c r="HH16">
        <x:f t="shared" si="89"/>
        <x:v>0</x:v>
      </x:c>
      <x:c r="HI16">
        <x:f t="shared" si="90"/>
        <x:v>20</x:v>
      </x:c>
      <x:c r="HJ16">
        <x:f t="shared" si="91"/>
        <x:v>0</x:v>
      </x:c>
      <x:c r="HK16">
        <x:f t="shared" si="92"/>
        <x:v>0</x:v>
      </x:c>
      <x:c r="HL16">
        <x:f t="shared" si="93"/>
        <x:v>0</x:v>
      </x:c>
    </x:row>
    <x:row r="17">
      <x:c r="A17" s="72">
        <x:v>4</x:v>
      </x:c>
      <x:c r="B17" s="73" t="s">
        <x:v>198</x:v>
      </x:c>
      <x:c r="C17" s="33" t="str">
        <x:v>Dizon, Zoe D.</x:v>
      </x:c>
      <x:c r="D17" s="74" t="s">
        <x:v>93</x:v>
      </x:c>
      <x:c r="E17" t="n">
        <x:v>15</x:v>
      </x:c>
      <x:c r="F17" t="n">
        <x:v>36</x:v>
      </x:c>
      <x:c r="G17" t="n">
        <x:v>37</x:v>
      </x:c>
      <x:c r="H17" t="n">
        <x:v>19</x:v>
      </x:c>
      <x:c r="I17" t="n">
        <x:v>21</x:v>
      </x:c>
      <x:c r="J17" t="n">
        <x:v>61</x:v>
      </x:c>
      <x:c r="K17" t="n">
        <x:v>13</x:v>
      </x:c>
      <x:c r="L17" t="n">
        <x:v>28</x:v>
      </x:c>
      <x:c r="M17" t="n">
        <x:v>9</x:v>
      </x:c>
      <x:c r="N17" t="n">
        <x:v>12</x:v>
      </x:c>
      <x:c r="O17" t="n">
        <x:v>16</x:v>
      </x:c>
      <x:c r="P17" t="n">
        <x:v>12</x:v>
      </x:c>
      <x:c r="Q17" t="n">
        <x:v>16</x:v>
      </x:c>
      <x:c r="EQ17">
        <x:f t="shared" si="20"/>
        <x:v>21</x:v>
      </x:c>
      <x:c r="ER17">
        <x:f t="shared" si="21"/>
        <x:v>80</x:v>
      </x:c>
      <x:c r="ES17">
        <x:f t="shared" si="22"/>
        <x:v>50</x:v>
      </x:c>
      <x:c r="ET17">
        <x:f t="shared" si="23"/>
        <x:v>0</x:v>
      </x:c>
      <x:c r="EU17">
        <x:f t="shared" si="24"/>
        <x:v>0</x:v>
      </x:c>
      <x:c r="EV17">
        <x:f t="shared" si="25"/>
        <x:v>0</x:v>
      </x:c>
      <x:c r="EW17">
        <x:f t="shared" si="26"/>
        <x:v>0</x:v>
      </x:c>
      <x:c r="EX17">
        <x:f t="shared" si="27"/>
        <x:v>0</x:v>
      </x:c>
      <x:c r="EY17">
        <x:f t="shared" si="28"/>
        <x:v>0</x:v>
      </x:c>
      <x:c r="EZ17">
        <x:f t="shared" si="29"/>
        <x:v>0</x:v>
      </x:c>
      <x:c r="FA17" s="41">
        <x:f t="shared" si="30"/>
        <x:v>0</x:v>
      </x:c>
      <x:c r="FB17">
        <x:f t="shared" si="31"/>
        <x:v>45</x:v>
      </x:c>
      <x:c r="FC17">
        <x:f t="shared" si="32"/>
        <x:v>98</x:v>
      </x:c>
      <x:c r="FD17">
        <x:f t="shared" si="33"/>
        <x:v>0</x:v>
      </x:c>
      <x:c r="FE17">
        <x:f t="shared" si="34"/>
        <x:v>35</x:v>
      </x:c>
      <x:c r="FF17">
        <x:f t="shared" si="35"/>
        <x:v>0</x:v>
      </x:c>
      <x:c r="FG17">
        <x:f t="shared" si="36"/>
        <x:v>0</x:v>
      </x:c>
      <x:c r="FH17">
        <x:f t="shared" si="37"/>
        <x:v>0</x:v>
      </x:c>
      <x:c r="FI17">
        <x:f t="shared" si="38"/>
        <x:v>0</x:v>
      </x:c>
      <x:c r="FJ17">
        <x:f t="shared" si="39"/>
        <x:v>0</x:v>
      </x:c>
      <x:c r="FK17">
        <x:f t="shared" si="40"/>
        <x:v>0</x:v>
      </x:c>
      <x:c r="FL17" s="41">
        <x:f t="shared" si="41"/>
        <x:v>0</x:v>
      </x:c>
      <x:c r="FM17">
        <x:f t="shared" si="42"/>
        <x:v>15</x:v>
      </x:c>
      <x:c r="FN17">
        <x:f t="shared" si="43"/>
        <x:v>115</x:v>
      </x:c>
      <x:c r="FO17">
        <x:f t="shared" si="44"/>
        <x:v>25</x:v>
      </x:c>
      <x:c r="FP17">
        <x:f t="shared" si="45"/>
        <x:v>0</x:v>
      </x:c>
      <x:c r="FQ17">
        <x:f t="shared" si="46"/>
        <x:v>0</x:v>
      </x:c>
      <x:c r="FR17">
        <x:f t="shared" si="47"/>
        <x:v>0</x:v>
      </x:c>
      <x:c r="FS17">
        <x:f t="shared" si="48"/>
        <x:v>0</x:v>
      </x:c>
      <x:c r="FT17">
        <x:f t="shared" si="49"/>
        <x:v>0</x:v>
      </x:c>
      <x:c r="FU17">
        <x:f t="shared" si="50"/>
        <x:v>0</x:v>
      </x:c>
      <x:c r="FV17">
        <x:f t="shared" si="51"/>
        <x:v>0</x:v>
      </x:c>
      <x:c r="FW17" s="41">
        <x:f t="shared" si="52"/>
        <x:v>0</x:v>
      </x:c>
      <x:c r="FX17">
        <x:f t="shared" si="53"/>
        <x:v>81</x:v>
      </x:c>
      <x:c r="FY17">
        <x:f t="shared" si="54"/>
        <x:v>293</x:v>
      </x:c>
      <x:c r="FZ17">
        <x:f t="shared" si="55"/>
        <x:v>75</x:v>
      </x:c>
      <x:c r="GA17">
        <x:f t="shared" si="56"/>
        <x:v>35</x:v>
      </x:c>
      <x:c r="GB17">
        <x:f t="shared" si="57"/>
        <x:v>0</x:v>
      </x:c>
      <x:c r="GC17">
        <x:f t="shared" si="58"/>
        <x:v>0</x:v>
      </x:c>
      <x:c r="GD17">
        <x:f t="shared" si="59"/>
        <x:v>0</x:v>
      </x:c>
      <x:c r="GE17">
        <x:f t="shared" si="60"/>
        <x:v>0</x:v>
      </x:c>
      <x:c r="GF17">
        <x:f t="shared" si="61"/>
        <x:v>0</x:v>
      </x:c>
      <x:c r="GG17">
        <x:f t="shared" si="62"/>
        <x:v>0</x:v>
      </x:c>
      <x:c r="GH17">
        <x:f t="shared" si="63"/>
        <x:v>0</x:v>
      </x:c>
      <x:c r="GI17">
        <x:f t="shared" si="64"/>
        <x:v>50</x:v>
      </x:c>
      <x:c r="GJ17">
        <x:f t="shared" si="65"/>
        <x:v>80</x:v>
      </x:c>
      <x:c r="GK17">
        <x:f t="shared" si="66"/>
        <x:v>0</x:v>
      </x:c>
      <x:c r="GL17">
        <x:f t="shared" si="67"/>
        <x:v>0</x:v>
      </x:c>
      <x:c r="GM17">
        <x:f t="shared" si="68"/>
        <x:v>0</x:v>
      </x:c>
      <x:c r="GN17">
        <x:f t="shared" si="69"/>
        <x:v>0</x:v>
      </x:c>
      <x:c r="GO17">
        <x:f t="shared" si="70"/>
        <x:v>21</x:v>
      </x:c>
      <x:c r="GP17">
        <x:f t="shared" si="71"/>
        <x:v>0</x:v>
      </x:c>
      <x:c r="GQ17">
        <x:f t="shared" si="72"/>
        <x:v>0</x:v>
      </x:c>
      <x:c r="GR17" s="42">
        <x:f t="shared" si="73"/>
        <x:v>0</x:v>
      </x:c>
      <x:c r="GS17">
        <x:f t="shared" si="74"/>
        <x:v>35</x:v>
      </x:c>
      <x:c r="GT17">
        <x:f t="shared" si="75"/>
        <x:v>98</x:v>
      </x:c>
      <x:c r="GU17">
        <x:f t="shared" si="76"/>
        <x:v>0</x:v>
      </x:c>
      <x:c r="GV17">
        <x:f t="shared" si="77"/>
        <x:v>0</x:v>
      </x:c>
      <x:c r="GW17">
        <x:f t="shared" si="78"/>
        <x:v>0</x:v>
      </x:c>
      <x:c r="GX17">
        <x:f t="shared" si="79"/>
        <x:v>0</x:v>
      </x:c>
      <x:c r="GY17">
        <x:f t="shared" si="80"/>
        <x:v>45</x:v>
      </x:c>
      <x:c r="GZ17">
        <x:f t="shared" si="81"/>
        <x:v>0</x:v>
      </x:c>
      <x:c r="HA17">
        <x:f t="shared" si="82"/>
        <x:v>0</x:v>
      </x:c>
      <x:c r="HB17" s="42">
        <x:f t="shared" si="83"/>
        <x:v>0</x:v>
      </x:c>
      <x:c r="HC17">
        <x:f t="shared" si="84"/>
        <x:v>25</x:v>
      </x:c>
      <x:c r="HD17">
        <x:f t="shared" si="85"/>
        <x:v>115</x:v>
      </x:c>
      <x:c r="HE17">
        <x:f t="shared" si="86"/>
        <x:v>0</x:v>
      </x:c>
      <x:c r="HF17">
        <x:f t="shared" si="87"/>
        <x:v>0</x:v>
      </x:c>
      <x:c r="HG17">
        <x:f t="shared" si="88"/>
        <x:v>0</x:v>
      </x:c>
      <x:c r="HH17">
        <x:f t="shared" si="89"/>
        <x:v>0</x:v>
      </x:c>
      <x:c r="HI17">
        <x:f t="shared" si="90"/>
        <x:v>15</x:v>
      </x:c>
      <x:c r="HJ17">
        <x:f t="shared" si="91"/>
        <x:v>0</x:v>
      </x:c>
      <x:c r="HK17">
        <x:f t="shared" si="92"/>
        <x:v>0</x:v>
      </x:c>
      <x:c r="HL17">
        <x:f t="shared" si="93"/>
        <x:v>0</x:v>
      </x:c>
    </x:row>
    <x:row r="18">
      <x:c r="A18" s="72">
        <x:v>5</x:v>
      </x:c>
      <x:c r="B18" s="73" t="s">
        <x:v>199</x:v>
      </x:c>
      <x:c r="C18" s="33" t="str">
        <x:v>Pineda, Bianca H.</x:v>
      </x:c>
      <x:c r="D18" s="74" t="s">
        <x:v>93</x:v>
      </x:c>
      <x:c r="E18" t="n">
        <x:v>15</x:v>
      </x:c>
      <x:c r="F18" t="n">
        <x:v>25</x:v>
      </x:c>
      <x:c r="G18" t="n">
        <x:v>21</x:v>
      </x:c>
      <x:c r="H18" t="n">
        <x:v>26</x:v>
      </x:c>
      <x:c r="I18" t="n">
        <x:v>14</x:v>
      </x:c>
      <x:c r="J18" t="n">
        <x:v>42</x:v>
      </x:c>
      <x:c r="K18" t="n">
        <x:v>11</x:v>
      </x:c>
      <x:c r="L18" t="n">
        <x:v>22</x:v>
      </x:c>
      <x:c r="M18" t="n">
        <x:v>12</x:v>
      </x:c>
      <x:c r="N18" t="n">
        <x:v>10</x:v>
      </x:c>
      <x:c r="O18" t="n">
        <x:v>12</x:v>
      </x:c>
      <x:c r="P18" t="n">
        <x:v>11</x:v>
      </x:c>
      <x:c r="Q18" t="n">
        <x:v>9</x:v>
      </x:c>
      <x:c r="EQ18">
        <x:f t="shared" si="20"/>
        <x:v>21</x:v>
      </x:c>
      <x:c r="ER18">
        <x:f t="shared" si="21"/>
        <x:v>80</x:v>
      </x:c>
      <x:c r="ES18">
        <x:f t="shared" si="22"/>
        <x:v>50</x:v>
      </x:c>
      <x:c r="ET18">
        <x:f t="shared" si="23"/>
        <x:v>0</x:v>
      </x:c>
      <x:c r="EU18">
        <x:f t="shared" si="24"/>
        <x:v>0</x:v>
      </x:c>
      <x:c r="EV18">
        <x:f t="shared" si="25"/>
        <x:v>0</x:v>
      </x:c>
      <x:c r="EW18">
        <x:f t="shared" si="26"/>
        <x:v>0</x:v>
      </x:c>
      <x:c r="EX18">
        <x:f t="shared" si="27"/>
        <x:v>0</x:v>
      </x:c>
      <x:c r="EY18">
        <x:f t="shared" si="28"/>
        <x:v>0</x:v>
      </x:c>
      <x:c r="EZ18">
        <x:f t="shared" si="29"/>
        <x:v>0</x:v>
      </x:c>
      <x:c r="FA18" s="41">
        <x:f t="shared" si="30"/>
        <x:v>0</x:v>
      </x:c>
      <x:c r="FB18">
        <x:f t="shared" si="31"/>
        <x:v>45</x:v>
      </x:c>
      <x:c r="FC18">
        <x:f t="shared" si="32"/>
        <x:v>85</x:v>
      </x:c>
      <x:c r="FD18">
        <x:f t="shared" si="33"/>
        <x:v>0</x:v>
      </x:c>
      <x:c r="FE18">
        <x:f t="shared" si="34"/>
        <x:v>35</x:v>
      </x:c>
      <x:c r="FF18">
        <x:f t="shared" si="35"/>
        <x:v>0</x:v>
      </x:c>
      <x:c r="FG18">
        <x:f t="shared" si="36"/>
        <x:v>0</x:v>
      </x:c>
      <x:c r="FH18">
        <x:f t="shared" si="37"/>
        <x:v>0</x:v>
      </x:c>
      <x:c r="FI18">
        <x:f t="shared" si="38"/>
        <x:v>0</x:v>
      </x:c>
      <x:c r="FJ18">
        <x:f t="shared" si="39"/>
        <x:v>0</x:v>
      </x:c>
      <x:c r="FK18">
        <x:f t="shared" si="40"/>
        <x:v>0</x:v>
      </x:c>
      <x:c r="FL18" s="41">
        <x:f t="shared" si="41"/>
        <x:v>0</x:v>
      </x:c>
      <x:c r="FM18">
        <x:f t="shared" si="42"/>
        <x:v>14</x:v>
      </x:c>
      <x:c r="FN18">
        <x:f t="shared" si="43"/>
        <x:v>68</x:v>
      </x:c>
      <x:c r="FO18">
        <x:f t="shared" si="44"/>
        <x:v>25</x:v>
      </x:c>
      <x:c r="FP18">
        <x:f t="shared" si="45"/>
        <x:v>0</x:v>
      </x:c>
      <x:c r="FQ18">
        <x:f t="shared" si="46"/>
        <x:v>0</x:v>
      </x:c>
      <x:c r="FR18">
        <x:f t="shared" si="47"/>
        <x:v>0</x:v>
      </x:c>
      <x:c r="FS18">
        <x:f t="shared" si="48"/>
        <x:v>0</x:v>
      </x:c>
      <x:c r="FT18">
        <x:f t="shared" si="49"/>
        <x:v>0</x:v>
      </x:c>
      <x:c r="FU18">
        <x:f t="shared" si="50"/>
        <x:v>0</x:v>
      </x:c>
      <x:c r="FV18">
        <x:f t="shared" si="51"/>
        <x:v>0</x:v>
      </x:c>
      <x:c r="FW18" s="41">
        <x:f t="shared" si="52"/>
        <x:v>0</x:v>
      </x:c>
      <x:c r="FX18">
        <x:f t="shared" si="53"/>
        <x:v>80</x:v>
      </x:c>
      <x:c r="FY18">
        <x:f t="shared" si="54"/>
        <x:v>233</x:v>
      </x:c>
      <x:c r="FZ18">
        <x:f t="shared" si="55"/>
        <x:v>75</x:v>
      </x:c>
      <x:c r="GA18">
        <x:f t="shared" si="56"/>
        <x:v>35</x:v>
      </x:c>
      <x:c r="GB18">
        <x:f t="shared" si="57"/>
        <x:v>0</x:v>
      </x:c>
      <x:c r="GC18">
        <x:f t="shared" si="58"/>
        <x:v>0</x:v>
      </x:c>
      <x:c r="GD18">
        <x:f t="shared" si="59"/>
        <x:v>0</x:v>
      </x:c>
      <x:c r="GE18">
        <x:f t="shared" si="60"/>
        <x:v>0</x:v>
      </x:c>
      <x:c r="GF18">
        <x:f t="shared" si="61"/>
        <x:v>0</x:v>
      </x:c>
      <x:c r="GG18">
        <x:f t="shared" si="62"/>
        <x:v>0</x:v>
      </x:c>
      <x:c r="GH18">
        <x:f t="shared" si="63"/>
        <x:v>0</x:v>
      </x:c>
      <x:c r="GI18">
        <x:f t="shared" si="64"/>
        <x:v>50</x:v>
      </x:c>
      <x:c r="GJ18">
        <x:f t="shared" si="65"/>
        <x:v>80</x:v>
      </x:c>
      <x:c r="GK18">
        <x:f t="shared" si="66"/>
        <x:v>0</x:v>
      </x:c>
      <x:c r="GL18">
        <x:f t="shared" si="67"/>
        <x:v>0</x:v>
      </x:c>
      <x:c r="GM18">
        <x:f t="shared" si="68"/>
        <x:v>0</x:v>
      </x:c>
      <x:c r="GN18">
        <x:f t="shared" si="69"/>
        <x:v>0</x:v>
      </x:c>
      <x:c r="GO18">
        <x:f t="shared" si="70"/>
        <x:v>21</x:v>
      </x:c>
      <x:c r="GP18">
        <x:f t="shared" si="71"/>
        <x:v>0</x:v>
      </x:c>
      <x:c r="GQ18">
        <x:f t="shared" si="72"/>
        <x:v>0</x:v>
      </x:c>
      <x:c r="GR18" s="42">
        <x:f t="shared" si="73"/>
        <x:v>0</x:v>
      </x:c>
      <x:c r="GS18">
        <x:f t="shared" si="74"/>
        <x:v>35</x:v>
      </x:c>
      <x:c r="GT18">
        <x:f t="shared" si="75"/>
        <x:v>85</x:v>
      </x:c>
      <x:c r="GU18">
        <x:f t="shared" si="76"/>
        <x:v>0</x:v>
      </x:c>
      <x:c r="GV18">
        <x:f t="shared" si="77"/>
        <x:v>0</x:v>
      </x:c>
      <x:c r="GW18">
        <x:f t="shared" si="78"/>
        <x:v>0</x:v>
      </x:c>
      <x:c r="GX18">
        <x:f t="shared" si="79"/>
        <x:v>0</x:v>
      </x:c>
      <x:c r="GY18">
        <x:f t="shared" si="80"/>
        <x:v>45</x:v>
      </x:c>
      <x:c r="GZ18">
        <x:f t="shared" si="81"/>
        <x:v>0</x:v>
      </x:c>
      <x:c r="HA18">
        <x:f t="shared" si="82"/>
        <x:v>0</x:v>
      </x:c>
      <x:c r="HB18" s="42">
        <x:f t="shared" si="83"/>
        <x:v>0</x:v>
      </x:c>
      <x:c r="HC18">
        <x:f t="shared" si="84"/>
        <x:v>25</x:v>
      </x:c>
      <x:c r="HD18">
        <x:f t="shared" si="85"/>
        <x:v>68</x:v>
      </x:c>
      <x:c r="HE18">
        <x:f t="shared" si="86"/>
        <x:v>0</x:v>
      </x:c>
      <x:c r="HF18">
        <x:f t="shared" si="87"/>
        <x:v>0</x:v>
      </x:c>
      <x:c r="HG18">
        <x:f t="shared" si="88"/>
        <x:v>0</x:v>
      </x:c>
      <x:c r="HH18">
        <x:f t="shared" si="89"/>
        <x:v>0</x:v>
      </x:c>
      <x:c r="HI18">
        <x:f t="shared" si="90"/>
        <x:v>14</x:v>
      </x:c>
      <x:c r="HJ18">
        <x:f t="shared" si="91"/>
        <x:v>0</x:v>
      </x:c>
      <x:c r="HK18">
        <x:f t="shared" si="92"/>
        <x:v>0</x:v>
      </x:c>
      <x:c r="HL18">
        <x:f t="shared" si="93"/>
        <x:v>0</x:v>
      </x:c>
    </x:row>
    <x:row r="19">
      <x:c r="A19" s="72">
        <x:v>6</x:v>
      </x:c>
      <x:c r="B19" s="73" t="s">
        <x:v>200</x:v>
      </x:c>
      <x:c r="C19" s="33" t="str">
        <x:v>Ramos, Amiel E.</x:v>
      </x:c>
      <x:c r="D19" s="74" t="s">
        <x:v>93</x:v>
      </x:c>
      <x:c r="E19" t="n">
        <x:v>8</x:v>
      </x:c>
      <x:c r="F19" t="n">
        <x:v>29</x:v>
      </x:c>
      <x:c r="G19" t="n">
        <x:v>32</x:v>
      </x:c>
      <x:c r="H19" t="n">
        <x:v>26</x:v>
      </x:c>
      <x:c r="I19" t="n">
        <x:v>18</x:v>
      </x:c>
      <x:c r="J19" t="n">
        <x:v>36</x:v>
      </x:c>
      <x:c r="K19" t="n">
        <x:v>9</x:v>
      </x:c>
      <x:c r="L19" t="n">
        <x:v>15</x:v>
      </x:c>
      <x:c r="M19" t="n">
        <x:v>10</x:v>
      </x:c>
      <x:c r="N19" t="n">
        <x:v>8</x:v>
      </x:c>
      <x:c r="O19" t="n">
        <x:v>11</x:v>
      </x:c>
      <x:c r="P19" t="n">
        <x:v>8</x:v>
      </x:c>
      <x:c r="Q19" t="n">
        <x:v>11</x:v>
      </x:c>
      <x:c r="EQ19">
        <x:f t="shared" si="20"/>
        <x:v>20</x:v>
      </x:c>
      <x:c r="ER19">
        <x:f t="shared" si="21"/>
        <x:v>80</x:v>
      </x:c>
      <x:c r="ES19">
        <x:f t="shared" si="22"/>
        <x:v>50</x:v>
      </x:c>
      <x:c r="ET19">
        <x:f t="shared" si="23"/>
        <x:v>0</x:v>
      </x:c>
      <x:c r="EU19">
        <x:f t="shared" si="24"/>
        <x:v>0</x:v>
      </x:c>
      <x:c r="EV19">
        <x:f t="shared" si="25"/>
        <x:v>0</x:v>
      </x:c>
      <x:c r="EW19">
        <x:f t="shared" si="26"/>
        <x:v>0</x:v>
      </x:c>
      <x:c r="EX19">
        <x:f t="shared" si="27"/>
        <x:v>0</x:v>
      </x:c>
      <x:c r="EY19">
        <x:f t="shared" si="28"/>
        <x:v>0</x:v>
      </x:c>
      <x:c r="EZ19">
        <x:f t="shared" si="29"/>
        <x:v>0</x:v>
      </x:c>
      <x:c r="FA19" s="41">
        <x:f t="shared" si="30"/>
        <x:v>0</x:v>
      </x:c>
      <x:c r="FB19">
        <x:f t="shared" si="31"/>
        <x:v>45</x:v>
      </x:c>
      <x:c r="FC19">
        <x:f t="shared" si="32"/>
        <x:v>96</x:v>
      </x:c>
      <x:c r="FD19">
        <x:f t="shared" si="33"/>
        <x:v>0</x:v>
      </x:c>
      <x:c r="FE19">
        <x:f t="shared" si="34"/>
        <x:v>25</x:v>
      </x:c>
      <x:c r="FF19">
        <x:f t="shared" si="35"/>
        <x:v>0</x:v>
      </x:c>
      <x:c r="FG19">
        <x:f t="shared" si="36"/>
        <x:v>0</x:v>
      </x:c>
      <x:c r="FH19">
        <x:f t="shared" si="37"/>
        <x:v>0</x:v>
      </x:c>
      <x:c r="FI19">
        <x:f t="shared" si="38"/>
        <x:v>0</x:v>
      </x:c>
      <x:c r="FJ19">
        <x:f t="shared" si="39"/>
        <x:v>0</x:v>
      </x:c>
      <x:c r="FK19">
        <x:f t="shared" si="40"/>
        <x:v>0</x:v>
      </x:c>
      <x:c r="FL19" s="41">
        <x:f t="shared" si="41"/>
        <x:v>0</x:v>
      </x:c>
      <x:c r="FM19">
        <x:f t="shared" si="42"/>
        <x:v>10</x:v>
      </x:c>
      <x:c r="FN19">
        <x:f t="shared" si="43"/>
        <x:v>68</x:v>
      </x:c>
      <x:c r="FO19">
        <x:f t="shared" si="44"/>
        <x:v>25</x:v>
      </x:c>
      <x:c r="FP19">
        <x:f t="shared" si="45"/>
        <x:v>0</x:v>
      </x:c>
      <x:c r="FQ19">
        <x:f t="shared" si="46"/>
        <x:v>0</x:v>
      </x:c>
      <x:c r="FR19">
        <x:f t="shared" si="47"/>
        <x:v>0</x:v>
      </x:c>
      <x:c r="FS19">
        <x:f t="shared" si="48"/>
        <x:v>0</x:v>
      </x:c>
      <x:c r="FT19">
        <x:f t="shared" si="49"/>
        <x:v>0</x:v>
      </x:c>
      <x:c r="FU19">
        <x:f t="shared" si="50"/>
        <x:v>0</x:v>
      </x:c>
      <x:c r="FV19">
        <x:f t="shared" si="51"/>
        <x:v>0</x:v>
      </x:c>
      <x:c r="FW19" s="41">
        <x:f t="shared" si="52"/>
        <x:v>0</x:v>
      </x:c>
      <x:c r="FX19">
        <x:f t="shared" si="53"/>
        <x:v>75</x:v>
      </x:c>
      <x:c r="FY19">
        <x:f t="shared" si="54"/>
        <x:v>244</x:v>
      </x:c>
      <x:c r="FZ19">
        <x:f t="shared" si="55"/>
        <x:v>75</x:v>
      </x:c>
      <x:c r="GA19">
        <x:f t="shared" si="56"/>
        <x:v>25</x:v>
      </x:c>
      <x:c r="GB19">
        <x:f t="shared" si="57"/>
        <x:v>0</x:v>
      </x:c>
      <x:c r="GC19">
        <x:f t="shared" si="58"/>
        <x:v>0</x:v>
      </x:c>
      <x:c r="GD19">
        <x:f t="shared" si="59"/>
        <x:v>0</x:v>
      </x:c>
      <x:c r="GE19">
        <x:f t="shared" si="60"/>
        <x:v>0</x:v>
      </x:c>
      <x:c r="GF19">
        <x:f t="shared" si="61"/>
        <x:v>0</x:v>
      </x:c>
      <x:c r="GG19">
        <x:f t="shared" si="62"/>
        <x:v>0</x:v>
      </x:c>
      <x:c r="GH19">
        <x:f t="shared" si="63"/>
        <x:v>0</x:v>
      </x:c>
      <x:c r="GI19">
        <x:f t="shared" si="64"/>
        <x:v>50</x:v>
      </x:c>
      <x:c r="GJ19">
        <x:f t="shared" si="65"/>
        <x:v>80</x:v>
      </x:c>
      <x:c r="GK19">
        <x:f t="shared" si="66"/>
        <x:v>0</x:v>
      </x:c>
      <x:c r="GL19">
        <x:f t="shared" si="67"/>
        <x:v>0</x:v>
      </x:c>
      <x:c r="GM19">
        <x:f t="shared" si="68"/>
        <x:v>0</x:v>
      </x:c>
      <x:c r="GN19">
        <x:f t="shared" si="69"/>
        <x:v>0</x:v>
      </x:c>
      <x:c r="GO19">
        <x:f t="shared" si="70"/>
        <x:v>20</x:v>
      </x:c>
      <x:c r="GP19">
        <x:f t="shared" si="71"/>
        <x:v>0</x:v>
      </x:c>
      <x:c r="GQ19">
        <x:f t="shared" si="72"/>
        <x:v>0</x:v>
      </x:c>
      <x:c r="GR19" s="42">
        <x:f t="shared" si="73"/>
        <x:v>0</x:v>
      </x:c>
      <x:c r="GS19">
        <x:f t="shared" si="74"/>
        <x:v>25</x:v>
      </x:c>
      <x:c r="GT19">
        <x:f t="shared" si="75"/>
        <x:v>96</x:v>
      </x:c>
      <x:c r="GU19">
        <x:f t="shared" si="76"/>
        <x:v>0</x:v>
      </x:c>
      <x:c r="GV19">
        <x:f t="shared" si="77"/>
        <x:v>0</x:v>
      </x:c>
      <x:c r="GW19">
        <x:f t="shared" si="78"/>
        <x:v>0</x:v>
      </x:c>
      <x:c r="GX19">
        <x:f t="shared" si="79"/>
        <x:v>0</x:v>
      </x:c>
      <x:c r="GY19">
        <x:f t="shared" si="80"/>
        <x:v>45</x:v>
      </x:c>
      <x:c r="GZ19">
        <x:f t="shared" si="81"/>
        <x:v>0</x:v>
      </x:c>
      <x:c r="HA19">
        <x:f t="shared" si="82"/>
        <x:v>0</x:v>
      </x:c>
      <x:c r="HB19" s="42">
        <x:f t="shared" si="83"/>
        <x:v>0</x:v>
      </x:c>
      <x:c r="HC19">
        <x:f t="shared" si="84"/>
        <x:v>25</x:v>
      </x:c>
      <x:c r="HD19">
        <x:f t="shared" si="85"/>
        <x:v>68</x:v>
      </x:c>
      <x:c r="HE19">
        <x:f t="shared" si="86"/>
        <x:v>0</x:v>
      </x:c>
      <x:c r="HF19">
        <x:f t="shared" si="87"/>
        <x:v>0</x:v>
      </x:c>
      <x:c r="HG19">
        <x:f t="shared" si="88"/>
        <x:v>0</x:v>
      </x:c>
      <x:c r="HH19">
        <x:f t="shared" si="89"/>
        <x:v>0</x:v>
      </x:c>
      <x:c r="HI19">
        <x:f t="shared" si="90"/>
        <x:v>10</x:v>
      </x:c>
      <x:c r="HJ19">
        <x:f t="shared" si="91"/>
        <x:v>0</x:v>
      </x:c>
      <x:c r="HK19">
        <x:f t="shared" si="92"/>
        <x:v>0</x:v>
      </x:c>
      <x:c r="HL19">
        <x:f t="shared" si="93"/>
        <x:v>0</x:v>
      </x:c>
    </x:row>
    <x:row r="20">
      <x:c r="A20" s="72">
        <x:v>7</x:v>
      </x:c>
      <x:c r="B20" s="73" t="s">
        <x:v>201</x:v>
      </x:c>
      <x:c r="C20" s="33" t="str">
        <x:v>Del Rosario, Beatrice F.</x:v>
      </x:c>
      <x:c r="D20" s="74" t="s">
        <x:v>93</x:v>
      </x:c>
      <x:c r="E20" t="n">
        <x:v>15</x:v>
      </x:c>
      <x:c r="F20" t="n">
        <x:v>23</x:v>
      </x:c>
      <x:c r="G20" t="n">
        <x:v>37</x:v>
      </x:c>
      <x:c r="H20" t="n">
        <x:v>25</x:v>
      </x:c>
      <x:c r="I20" t="n">
        <x:v>23</x:v>
      </x:c>
      <x:c r="J20" t="n">
        <x:v>34</x:v>
      </x:c>
      <x:c r="K20" t="n">
        <x:v>10</x:v>
      </x:c>
      <x:c r="L20" t="n">
        <x:v>18</x:v>
      </x:c>
      <x:c r="M20" t="n">
        <x:v>13</x:v>
      </x:c>
      <x:c r="N20" t="n">
        <x:v>11</x:v>
      </x:c>
      <x:c r="O20" t="n">
        <x:v>12</x:v>
      </x:c>
      <x:c r="P20" t="n">
        <x:v>15</x:v>
      </x:c>
      <x:c r="Q20" t="n">
        <x:v>11</x:v>
      </x:c>
      <x:c r="EQ20">
        <x:f t="shared" si="20"/>
        <x:v>20</x:v>
      </x:c>
      <x:c r="ER20">
        <x:f t="shared" si="21"/>
        <x:v>80</x:v>
      </x:c>
      <x:c r="ES20">
        <x:f t="shared" si="22"/>
        <x:v>50</x:v>
      </x:c>
      <x:c r="ET20">
        <x:f t="shared" si="23"/>
        <x:v>0</x:v>
      </x:c>
      <x:c r="EU20">
        <x:f t="shared" si="24"/>
        <x:v>0</x:v>
      </x:c>
      <x:c r="EV20">
        <x:f t="shared" si="25"/>
        <x:v>0</x:v>
      </x:c>
      <x:c r="EW20">
        <x:f t="shared" si="26"/>
        <x:v>0</x:v>
      </x:c>
      <x:c r="EX20">
        <x:f t="shared" si="27"/>
        <x:v>0</x:v>
      </x:c>
      <x:c r="EY20">
        <x:f t="shared" si="28"/>
        <x:v>0</x:v>
      </x:c>
      <x:c r="EZ20">
        <x:f t="shared" si="29"/>
        <x:v>0</x:v>
      </x:c>
      <x:c r="FA20" s="41">
        <x:f t="shared" si="30"/>
        <x:v>0</x:v>
      </x:c>
      <x:c r="FB20">
        <x:f t="shared" si="31"/>
        <x:v>45</x:v>
      </x:c>
      <x:c r="FC20">
        <x:f t="shared" si="32"/>
        <x:v>50</x:v>
      </x:c>
      <x:c r="FD20">
        <x:f t="shared" si="33"/>
        <x:v>0</x:v>
      </x:c>
      <x:c r="FE20">
        <x:f t="shared" si="34"/>
        <x:v>25</x:v>
      </x:c>
      <x:c r="FF20">
        <x:f t="shared" si="35"/>
        <x:v>0</x:v>
      </x:c>
      <x:c r="FG20">
        <x:f t="shared" si="36"/>
        <x:v>0</x:v>
      </x:c>
      <x:c r="FH20">
        <x:f t="shared" si="37"/>
        <x:v>0</x:v>
      </x:c>
      <x:c r="FI20">
        <x:f t="shared" si="38"/>
        <x:v>0</x:v>
      </x:c>
      <x:c r="FJ20">
        <x:f t="shared" si="39"/>
        <x:v>0</x:v>
      </x:c>
      <x:c r="FK20">
        <x:f t="shared" si="40"/>
        <x:v>0</x:v>
      </x:c>
      <x:c r="FL20" s="41">
        <x:f t="shared" si="41"/>
        <x:v>0</x:v>
      </x:c>
      <x:c r="FM20">
        <x:f t="shared" si="42"/>
        <x:v>10</x:v>
      </x:c>
      <x:c r="FN20">
        <x:f t="shared" si="43"/>
        <x:v>68</x:v>
      </x:c>
      <x:c r="FO20">
        <x:f t="shared" si="44"/>
        <x:v>25</x:v>
      </x:c>
      <x:c r="FP20">
        <x:f t="shared" si="45"/>
        <x:v>0</x:v>
      </x:c>
      <x:c r="FQ20">
        <x:f t="shared" si="46"/>
        <x:v>0</x:v>
      </x:c>
      <x:c r="FR20">
        <x:f t="shared" si="47"/>
        <x:v>0</x:v>
      </x:c>
      <x:c r="FS20">
        <x:f t="shared" si="48"/>
        <x:v>0</x:v>
      </x:c>
      <x:c r="FT20">
        <x:f t="shared" si="49"/>
        <x:v>0</x:v>
      </x:c>
      <x:c r="FU20">
        <x:f t="shared" si="50"/>
        <x:v>0</x:v>
      </x:c>
      <x:c r="FV20">
        <x:f t="shared" si="51"/>
        <x:v>0</x:v>
      </x:c>
      <x:c r="FW20" s="41">
        <x:f t="shared" si="52"/>
        <x:v>0</x:v>
      </x:c>
      <x:c r="FX20">
        <x:f t="shared" si="53"/>
        <x:v>75</x:v>
      </x:c>
      <x:c r="FY20">
        <x:f t="shared" si="54"/>
        <x:v>198</x:v>
      </x:c>
      <x:c r="FZ20">
        <x:f t="shared" si="55"/>
        <x:v>75</x:v>
      </x:c>
      <x:c r="GA20">
        <x:f t="shared" si="56"/>
        <x:v>25</x:v>
      </x:c>
      <x:c r="GB20">
        <x:f t="shared" si="57"/>
        <x:v>0</x:v>
      </x:c>
      <x:c r="GC20">
        <x:f t="shared" si="58"/>
        <x:v>0</x:v>
      </x:c>
      <x:c r="GD20">
        <x:f t="shared" si="59"/>
        <x:v>0</x:v>
      </x:c>
      <x:c r="GE20">
        <x:f t="shared" si="60"/>
        <x:v>0</x:v>
      </x:c>
      <x:c r="GF20">
        <x:f t="shared" si="61"/>
        <x:v>0</x:v>
      </x:c>
      <x:c r="GG20">
        <x:f t="shared" si="62"/>
        <x:v>0</x:v>
      </x:c>
      <x:c r="GH20">
        <x:f t="shared" si="63"/>
        <x:v>0</x:v>
      </x:c>
      <x:c r="GI20">
        <x:f t="shared" si="64"/>
        <x:v>50</x:v>
      </x:c>
      <x:c r="GJ20">
        <x:f t="shared" si="65"/>
        <x:v>80</x:v>
      </x:c>
      <x:c r="GK20">
        <x:f t="shared" si="66"/>
        <x:v>0</x:v>
      </x:c>
      <x:c r="GL20">
        <x:f t="shared" si="67"/>
        <x:v>0</x:v>
      </x:c>
      <x:c r="GM20">
        <x:f t="shared" si="68"/>
        <x:v>0</x:v>
      </x:c>
      <x:c r="GN20">
        <x:f t="shared" si="69"/>
        <x:v>0</x:v>
      </x:c>
      <x:c r="GO20">
        <x:f t="shared" si="70"/>
        <x:v>20</x:v>
      </x:c>
      <x:c r="GP20">
        <x:f t="shared" si="71"/>
        <x:v>0</x:v>
      </x:c>
      <x:c r="GQ20">
        <x:f t="shared" si="72"/>
        <x:v>0</x:v>
      </x:c>
      <x:c r="GR20" s="42">
        <x:f t="shared" si="73"/>
        <x:v>0</x:v>
      </x:c>
      <x:c r="GS20">
        <x:f t="shared" si="74"/>
        <x:v>25</x:v>
      </x:c>
      <x:c r="GT20">
        <x:f t="shared" si="75"/>
        <x:v>50</x:v>
      </x:c>
      <x:c r="GU20">
        <x:f t="shared" si="76"/>
        <x:v>0</x:v>
      </x:c>
      <x:c r="GV20">
        <x:f t="shared" si="77"/>
        <x:v>0</x:v>
      </x:c>
      <x:c r="GW20">
        <x:f t="shared" si="78"/>
        <x:v>0</x:v>
      </x:c>
      <x:c r="GX20">
        <x:f t="shared" si="79"/>
        <x:v>0</x:v>
      </x:c>
      <x:c r="GY20">
        <x:f t="shared" si="80"/>
        <x:v>45</x:v>
      </x:c>
      <x:c r="GZ20">
        <x:f t="shared" si="81"/>
        <x:v>0</x:v>
      </x:c>
      <x:c r="HA20">
        <x:f t="shared" si="82"/>
        <x:v>0</x:v>
      </x:c>
      <x:c r="HB20" s="42">
        <x:f t="shared" si="83"/>
        <x:v>0</x:v>
      </x:c>
      <x:c r="HC20">
        <x:f t="shared" si="84"/>
        <x:v>25</x:v>
      </x:c>
      <x:c r="HD20">
        <x:f t="shared" si="85"/>
        <x:v>68</x:v>
      </x:c>
      <x:c r="HE20">
        <x:f t="shared" si="86"/>
        <x:v>0</x:v>
      </x:c>
      <x:c r="HF20">
        <x:f t="shared" si="87"/>
        <x:v>0</x:v>
      </x:c>
      <x:c r="HG20">
        <x:f t="shared" si="88"/>
        <x:v>0</x:v>
      </x:c>
      <x:c r="HH20">
        <x:f t="shared" si="89"/>
        <x:v>0</x:v>
      </x:c>
      <x:c r="HI20">
        <x:f t="shared" si="90"/>
        <x:v>10</x:v>
      </x:c>
      <x:c r="HJ20">
        <x:f t="shared" si="91"/>
        <x:v>0</x:v>
      </x:c>
      <x:c r="HK20">
        <x:f t="shared" si="92"/>
        <x:v>0</x:v>
      </x:c>
      <x:c r="HL20">
        <x:f t="shared" si="93"/>
        <x:v>0</x:v>
      </x:c>
    </x:row>
    <x:row r="21">
      <x:c r="A21" s="72">
        <x:v>8</x:v>
      </x:c>
      <x:c r="B21" s="73" t="s">
        <x:v>202</x:v>
      </x:c>
      <x:c r="C21" s="33" t="str">
        <x:v>Rosales, Vanessa A.</x:v>
      </x:c>
      <x:c r="D21" s="74" t="s">
        <x:v>93</x:v>
      </x:c>
      <x:c r="E21" t="n">
        <x:v>15</x:v>
      </x:c>
      <x:c r="F21" t="n">
        <x:v>28</x:v>
      </x:c>
      <x:c r="G21" t="n">
        <x:v>43</x:v>
      </x:c>
      <x:c r="H21" t="n">
        <x:v>32</x:v>
      </x:c>
      <x:c r="I21" t="n">
        <x:v>24</x:v>
      </x:c>
      <x:c r="J21" t="n">
        <x:v>36</x:v>
      </x:c>
      <x:c r="K21" t="n">
        <x:v>7</x:v>
      </x:c>
      <x:c r="L21" t="n">
        <x:v>25</x:v>
      </x:c>
      <x:c r="M21" t="n">
        <x:v>11</x:v>
      </x:c>
      <x:c r="N21" t="n">
        <x:v>10</x:v>
      </x:c>
      <x:c r="O21" t="n">
        <x:v>13</x:v>
      </x:c>
      <x:c r="P21" t="n">
        <x:v>14</x:v>
      </x:c>
      <x:c r="Q21" t="n">
        <x:v>13</x:v>
      </x:c>
      <x:c r="EQ21">
        <x:f t="shared" si="20"/>
        <x:v>20</x:v>
      </x:c>
      <x:c r="ER21">
        <x:f t="shared" si="21"/>
        <x:v>80</x:v>
      </x:c>
      <x:c r="ES21">
        <x:f t="shared" si="22"/>
        <x:v>50</x:v>
      </x:c>
      <x:c r="ET21">
        <x:f t="shared" si="23"/>
        <x:v>0</x:v>
      </x:c>
      <x:c r="EU21">
        <x:f t="shared" si="24"/>
        <x:v>0</x:v>
      </x:c>
      <x:c r="EV21">
        <x:f t="shared" si="25"/>
        <x:v>0</x:v>
      </x:c>
      <x:c r="EW21">
        <x:f t="shared" si="26"/>
        <x:v>0</x:v>
      </x:c>
      <x:c r="EX21">
        <x:f t="shared" si="27"/>
        <x:v>0</x:v>
      </x:c>
      <x:c r="EY21">
        <x:f t="shared" si="28"/>
        <x:v>0</x:v>
      </x:c>
      <x:c r="EZ21">
        <x:f t="shared" si="29"/>
        <x:v>0</x:v>
      </x:c>
      <x:c r="FA21" s="41">
        <x:f t="shared" si="30"/>
        <x:v>0</x:v>
      </x:c>
      <x:c r="FB21">
        <x:f t="shared" si="31"/>
        <x:v>45</x:v>
      </x:c>
      <x:c r="FC21">
        <x:f t="shared" si="32"/>
        <x:v>40</x:v>
      </x:c>
      <x:c r="FD21">
        <x:f t="shared" si="33"/>
        <x:v>0</x:v>
      </x:c>
      <x:c r="FE21">
        <x:f t="shared" si="34"/>
        <x:v>25</x:v>
      </x:c>
      <x:c r="FF21">
        <x:f t="shared" si="35"/>
        <x:v>0</x:v>
      </x:c>
      <x:c r="FG21">
        <x:f t="shared" si="36"/>
        <x:v>0</x:v>
      </x:c>
      <x:c r="FH21">
        <x:f t="shared" si="37"/>
        <x:v>0</x:v>
      </x:c>
      <x:c r="FI21">
        <x:f t="shared" si="38"/>
        <x:v>0</x:v>
      </x:c>
      <x:c r="FJ21">
        <x:f t="shared" si="39"/>
        <x:v>0</x:v>
      </x:c>
      <x:c r="FK21">
        <x:f t="shared" si="40"/>
        <x:v>0</x:v>
      </x:c>
      <x:c r="FL21" s="41">
        <x:f t="shared" si="41"/>
        <x:v>0</x:v>
      </x:c>
      <x:c r="FM21">
        <x:f t="shared" si="42"/>
        <x:v>20</x:v>
      </x:c>
      <x:c r="FN21">
        <x:f t="shared" si="43"/>
        <x:v>68</x:v>
      </x:c>
      <x:c r="FO21">
        <x:f t="shared" si="44"/>
        <x:v>50</x:v>
      </x:c>
      <x:c r="FP21">
        <x:f t="shared" si="45"/>
        <x:v>0</x:v>
      </x:c>
      <x:c r="FQ21">
        <x:f t="shared" si="46"/>
        <x:v>0</x:v>
      </x:c>
      <x:c r="FR21">
        <x:f t="shared" si="47"/>
        <x:v>0</x:v>
      </x:c>
      <x:c r="FS21">
        <x:f t="shared" si="48"/>
        <x:v>0</x:v>
      </x:c>
      <x:c r="FT21">
        <x:f t="shared" si="49"/>
        <x:v>0</x:v>
      </x:c>
      <x:c r="FU21">
        <x:f t="shared" si="50"/>
        <x:v>0</x:v>
      </x:c>
      <x:c r="FV21">
        <x:f t="shared" si="51"/>
        <x:v>0</x:v>
      </x:c>
      <x:c r="FW21" s="41">
        <x:f t="shared" si="52"/>
        <x:v>0</x:v>
      </x:c>
      <x:c r="FX21">
        <x:f t="shared" si="53"/>
        <x:v>85</x:v>
      </x:c>
      <x:c r="FY21">
        <x:f t="shared" si="54"/>
        <x:v>188</x:v>
      </x:c>
      <x:c r="FZ21">
        <x:f t="shared" si="55"/>
        <x:v>100</x:v>
      </x:c>
      <x:c r="GA21">
        <x:f t="shared" si="56"/>
        <x:v>25</x:v>
      </x:c>
      <x:c r="GB21">
        <x:f t="shared" si="57"/>
        <x:v>0</x:v>
      </x:c>
      <x:c r="GC21">
        <x:f t="shared" si="58"/>
        <x:v>0</x:v>
      </x:c>
      <x:c r="GD21">
        <x:f t="shared" si="59"/>
        <x:v>0</x:v>
      </x:c>
      <x:c r="GE21">
        <x:f t="shared" si="60"/>
        <x:v>0</x:v>
      </x:c>
      <x:c r="GF21">
        <x:f t="shared" si="61"/>
        <x:v>0</x:v>
      </x:c>
      <x:c r="GG21">
        <x:f t="shared" si="62"/>
        <x:v>0</x:v>
      </x:c>
      <x:c r="GH21">
        <x:f t="shared" si="63"/>
        <x:v>0</x:v>
      </x:c>
      <x:c r="GI21">
        <x:f t="shared" si="64"/>
        <x:v>50</x:v>
      </x:c>
      <x:c r="GJ21">
        <x:f t="shared" si="65"/>
        <x:v>80</x:v>
      </x:c>
      <x:c r="GK21">
        <x:f t="shared" si="66"/>
        <x:v>0</x:v>
      </x:c>
      <x:c r="GL21">
        <x:f t="shared" si="67"/>
        <x:v>0</x:v>
      </x:c>
      <x:c r="GM21">
        <x:f t="shared" si="68"/>
        <x:v>0</x:v>
      </x:c>
      <x:c r="GN21">
        <x:f t="shared" si="69"/>
        <x:v>0</x:v>
      </x:c>
      <x:c r="GO21">
        <x:f t="shared" si="70"/>
        <x:v>20</x:v>
      </x:c>
      <x:c r="GP21">
        <x:f t="shared" si="71"/>
        <x:v>0</x:v>
      </x:c>
      <x:c r="GQ21">
        <x:f t="shared" si="72"/>
        <x:v>0</x:v>
      </x:c>
      <x:c r="GR21" s="42">
        <x:f t="shared" si="73"/>
        <x:v>0</x:v>
      </x:c>
      <x:c r="GS21">
        <x:f t="shared" si="74"/>
        <x:v>25</x:v>
      </x:c>
      <x:c r="GT21">
        <x:f t="shared" si="75"/>
        <x:v>40</x:v>
      </x:c>
      <x:c r="GU21">
        <x:f t="shared" si="76"/>
        <x:v>0</x:v>
      </x:c>
      <x:c r="GV21">
        <x:f t="shared" si="77"/>
        <x:v>0</x:v>
      </x:c>
      <x:c r="GW21">
        <x:f t="shared" si="78"/>
        <x:v>0</x:v>
      </x:c>
      <x:c r="GX21">
        <x:f t="shared" si="79"/>
        <x:v>0</x:v>
      </x:c>
      <x:c r="GY21">
        <x:f t="shared" si="80"/>
        <x:v>45</x:v>
      </x:c>
      <x:c r="GZ21">
        <x:f t="shared" si="81"/>
        <x:v>0</x:v>
      </x:c>
      <x:c r="HA21">
        <x:f t="shared" si="82"/>
        <x:v>0</x:v>
      </x:c>
      <x:c r="HB21" s="42">
        <x:f t="shared" si="83"/>
        <x:v>0</x:v>
      </x:c>
      <x:c r="HC21">
        <x:f t="shared" si="84"/>
        <x:v>50</x:v>
      </x:c>
      <x:c r="HD21">
        <x:f t="shared" si="85"/>
        <x:v>68</x:v>
      </x:c>
      <x:c r="HE21">
        <x:f t="shared" si="86"/>
        <x:v>0</x:v>
      </x:c>
      <x:c r="HF21">
        <x:f t="shared" si="87"/>
        <x:v>0</x:v>
      </x:c>
      <x:c r="HG21">
        <x:f t="shared" si="88"/>
        <x:v>0</x:v>
      </x:c>
      <x:c r="HH21">
        <x:f t="shared" si="89"/>
        <x:v>0</x:v>
      </x:c>
      <x:c r="HI21">
        <x:f t="shared" si="90"/>
        <x:v>20</x:v>
      </x:c>
      <x:c r="HJ21">
        <x:f t="shared" si="91"/>
        <x:v>0</x:v>
      </x:c>
      <x:c r="HK21">
        <x:f t="shared" si="92"/>
        <x:v>0</x:v>
      </x:c>
      <x:c r="HL21">
        <x:f t="shared" si="93"/>
        <x:v>0</x:v>
      </x:c>
    </x:row>
    <x:row r="22">
      <x:c r="A22" s="72">
        <x:v>9</x:v>
      </x:c>
      <x:c r="B22" s="73" t="s">
        <x:v>203</x:v>
      </x:c>
      <x:c r="C22" s="33" t="str">
        <x:v>Sarmiento, Daphne C.</x:v>
      </x:c>
      <x:c r="D22" s="74" t="s">
        <x:v>93</x:v>
      </x:c>
      <x:c r="E22" t="n">
        <x:v>14</x:v>
      </x:c>
      <x:c r="F22" t="n">
        <x:v>31</x:v>
      </x:c>
      <x:c r="G22" t="n">
        <x:v>38</x:v>
      </x:c>
      <x:c r="H22" t="n">
        <x:v>27</x:v>
      </x:c>
      <x:c r="I22" t="n">
        <x:v>23</x:v>
      </x:c>
      <x:c r="J22" t="n">
        <x:v>35</x:v>
      </x:c>
      <x:c r="K22" t="n">
        <x:v>5</x:v>
      </x:c>
      <x:c r="L22" t="n">
        <x:v>16</x:v>
      </x:c>
      <x:c r="M22" t="n">
        <x:v>14</x:v>
      </x:c>
      <x:c r="N22" t="n">
        <x:v>10</x:v>
      </x:c>
      <x:c r="O22" t="n">
        <x:v>9</x:v>
      </x:c>
      <x:c r="P22" t="n">
        <x:v>10</x:v>
      </x:c>
      <x:c r="Q22" t="n">
        <x:v>9</x:v>
      </x:c>
      <x:c r="EQ22">
        <x:f t="shared" si="20"/>
        <x:v>20</x:v>
      </x:c>
      <x:c r="ER22">
        <x:f t="shared" si="21"/>
        <x:v>80</x:v>
      </x:c>
      <x:c r="ES22">
        <x:f t="shared" si="22"/>
        <x:v>50</x:v>
      </x:c>
      <x:c r="ET22">
        <x:f t="shared" si="23"/>
        <x:v>0</x:v>
      </x:c>
      <x:c r="EU22">
        <x:f t="shared" si="24"/>
        <x:v>0</x:v>
      </x:c>
      <x:c r="EV22">
        <x:f t="shared" si="25"/>
        <x:v>0</x:v>
      </x:c>
      <x:c r="EW22">
        <x:f t="shared" si="26"/>
        <x:v>0</x:v>
      </x:c>
      <x:c r="EX22">
        <x:f t="shared" si="27"/>
        <x:v>0</x:v>
      </x:c>
      <x:c r="EY22">
        <x:f t="shared" si="28"/>
        <x:v>0</x:v>
      </x:c>
      <x:c r="EZ22">
        <x:f t="shared" si="29"/>
        <x:v>0</x:v>
      </x:c>
      <x:c r="FA22" s="41">
        <x:f t="shared" si="30"/>
        <x:v>0</x:v>
      </x:c>
      <x:c r="FB22">
        <x:f t="shared" si="31"/>
        <x:v>45</x:v>
      </x:c>
      <x:c r="FC22">
        <x:f t="shared" si="32"/>
        <x:v>40</x:v>
      </x:c>
      <x:c r="FD22">
        <x:f t="shared" si="33"/>
        <x:v>0</x:v>
      </x:c>
      <x:c r="FE22">
        <x:f t="shared" si="34"/>
        <x:v>25</x:v>
      </x:c>
      <x:c r="FF22">
        <x:f t="shared" si="35"/>
        <x:v>0</x:v>
      </x:c>
      <x:c r="FG22">
        <x:f t="shared" si="36"/>
        <x:v>0</x:v>
      </x:c>
      <x:c r="FH22">
        <x:f t="shared" si="37"/>
        <x:v>0</x:v>
      </x:c>
      <x:c r="FI22">
        <x:f t="shared" si="38"/>
        <x:v>0</x:v>
      </x:c>
      <x:c r="FJ22">
        <x:f t="shared" si="39"/>
        <x:v>0</x:v>
      </x:c>
      <x:c r="FK22">
        <x:f t="shared" si="40"/>
        <x:v>0</x:v>
      </x:c>
      <x:c r="FL22" s="41">
        <x:f t="shared" si="41"/>
        <x:v>0</x:v>
      </x:c>
      <x:c r="FM22">
        <x:f t="shared" si="42"/>
        <x:v>20</x:v>
      </x:c>
      <x:c r="FN22">
        <x:f t="shared" si="43"/>
        <x:v>68</x:v>
      </x:c>
      <x:c r="FO22">
        <x:f t="shared" si="44"/>
        <x:v>50</x:v>
      </x:c>
      <x:c r="FP22">
        <x:f t="shared" si="45"/>
        <x:v>0</x:v>
      </x:c>
      <x:c r="FQ22">
        <x:f t="shared" si="46"/>
        <x:v>0</x:v>
      </x:c>
      <x:c r="FR22">
        <x:f t="shared" si="47"/>
        <x:v>0</x:v>
      </x:c>
      <x:c r="FS22">
        <x:f t="shared" si="48"/>
        <x:v>0</x:v>
      </x:c>
      <x:c r="FT22">
        <x:f t="shared" si="49"/>
        <x:v>0</x:v>
      </x:c>
      <x:c r="FU22">
        <x:f t="shared" si="50"/>
        <x:v>0</x:v>
      </x:c>
      <x:c r="FV22">
        <x:f t="shared" si="51"/>
        <x:v>0</x:v>
      </x:c>
      <x:c r="FW22" s="41">
        <x:f t="shared" si="52"/>
        <x:v>0</x:v>
      </x:c>
      <x:c r="FX22">
        <x:f t="shared" si="53"/>
        <x:v>85</x:v>
      </x:c>
      <x:c r="FY22">
        <x:f t="shared" si="54"/>
        <x:v>188</x:v>
      </x:c>
      <x:c r="FZ22">
        <x:f t="shared" si="55"/>
        <x:v>100</x:v>
      </x:c>
      <x:c r="GA22">
        <x:f t="shared" si="56"/>
        <x:v>25</x:v>
      </x:c>
      <x:c r="GB22">
        <x:f t="shared" si="57"/>
        <x:v>0</x:v>
      </x:c>
      <x:c r="GC22">
        <x:f t="shared" si="58"/>
        <x:v>0</x:v>
      </x:c>
      <x:c r="GD22">
        <x:f t="shared" si="59"/>
        <x:v>0</x:v>
      </x:c>
      <x:c r="GE22">
        <x:f t="shared" si="60"/>
        <x:v>0</x:v>
      </x:c>
      <x:c r="GF22">
        <x:f t="shared" si="61"/>
        <x:v>0</x:v>
      </x:c>
      <x:c r="GG22">
        <x:f t="shared" si="62"/>
        <x:v>0</x:v>
      </x:c>
      <x:c r="GH22">
        <x:f t="shared" si="63"/>
        <x:v>0</x:v>
      </x:c>
      <x:c r="GI22">
        <x:f t="shared" si="64"/>
        <x:v>50</x:v>
      </x:c>
      <x:c r="GJ22">
        <x:f t="shared" si="65"/>
        <x:v>80</x:v>
      </x:c>
      <x:c r="GK22">
        <x:f t="shared" si="66"/>
        <x:v>0</x:v>
      </x:c>
      <x:c r="GL22">
        <x:f t="shared" si="67"/>
        <x:v>0</x:v>
      </x:c>
      <x:c r="GM22">
        <x:f t="shared" si="68"/>
        <x:v>0</x:v>
      </x:c>
      <x:c r="GN22">
        <x:f t="shared" si="69"/>
        <x:v>0</x:v>
      </x:c>
      <x:c r="GO22">
        <x:f t="shared" si="70"/>
        <x:v>20</x:v>
      </x:c>
      <x:c r="GP22">
        <x:f t="shared" si="71"/>
        <x:v>0</x:v>
      </x:c>
      <x:c r="GQ22">
        <x:f t="shared" si="72"/>
        <x:v>0</x:v>
      </x:c>
      <x:c r="GR22" s="42">
        <x:f t="shared" si="73"/>
        <x:v>0</x:v>
      </x:c>
      <x:c r="GS22">
        <x:f t="shared" si="74"/>
        <x:v>25</x:v>
      </x:c>
      <x:c r="GT22">
        <x:f t="shared" si="75"/>
        <x:v>40</x:v>
      </x:c>
      <x:c r="GU22">
        <x:f t="shared" si="76"/>
        <x:v>0</x:v>
      </x:c>
      <x:c r="GV22">
        <x:f t="shared" si="77"/>
        <x:v>0</x:v>
      </x:c>
      <x:c r="GW22">
        <x:f t="shared" si="78"/>
        <x:v>0</x:v>
      </x:c>
      <x:c r="GX22">
        <x:f t="shared" si="79"/>
        <x:v>0</x:v>
      </x:c>
      <x:c r="GY22">
        <x:f t="shared" si="80"/>
        <x:v>45</x:v>
      </x:c>
      <x:c r="GZ22">
        <x:f t="shared" si="81"/>
        <x:v>0</x:v>
      </x:c>
      <x:c r="HA22">
        <x:f t="shared" si="82"/>
        <x:v>0</x:v>
      </x:c>
      <x:c r="HB22" s="42">
        <x:f t="shared" si="83"/>
        <x:v>0</x:v>
      </x:c>
      <x:c r="HC22">
        <x:f t="shared" si="84"/>
        <x:v>50</x:v>
      </x:c>
      <x:c r="HD22">
        <x:f t="shared" si="85"/>
        <x:v>68</x:v>
      </x:c>
      <x:c r="HE22">
        <x:f t="shared" si="86"/>
        <x:v>0</x:v>
      </x:c>
      <x:c r="HF22">
        <x:f t="shared" si="87"/>
        <x:v>0</x:v>
      </x:c>
      <x:c r="HG22">
        <x:f t="shared" si="88"/>
        <x:v>0</x:v>
      </x:c>
      <x:c r="HH22">
        <x:f t="shared" si="89"/>
        <x:v>0</x:v>
      </x:c>
      <x:c r="HI22">
        <x:f t="shared" si="90"/>
        <x:v>20</x:v>
      </x:c>
      <x:c r="HJ22">
        <x:f t="shared" si="91"/>
        <x:v>0</x:v>
      </x:c>
      <x:c r="HK22">
        <x:f t="shared" si="92"/>
        <x:v>0</x:v>
      </x:c>
      <x:c r="HL22">
        <x:f t="shared" si="93"/>
        <x:v>0</x:v>
      </x:c>
    </x:row>
    <x:row r="23">
      <x:c r="A23" s="72">
        <x:v>10</x:v>
      </x:c>
      <x:c r="B23" s="73" t="s">
        <x:v>204</x:v>
      </x:c>
      <x:c r="C23" s="33" t="str">
        <x:v>Fernandez, Trisha S.</x:v>
      </x:c>
      <x:c r="D23" s="74" t="s">
        <x:v>93</x:v>
      </x:c>
      <x:c r="E23" t="n">
        <x:v>19</x:v>
      </x:c>
      <x:c r="F23" t="n">
        <x:v>31</x:v>
      </x:c>
      <x:c r="G23" t="n">
        <x:v>48</x:v>
      </x:c>
      <x:c r="H23" t="n">
        <x:v>27</x:v>
      </x:c>
      <x:c r="I23" t="n">
        <x:v>29</x:v>
      </x:c>
      <x:c r="J23" t="n">
        <x:v>52</x:v>
      </x:c>
      <x:c r="K23" t="n">
        <x:v>11</x:v>
      </x:c>
      <x:c r="L23" t="n">
        <x:v>31</x:v>
      </x:c>
      <x:c r="M23" t="n">
        <x:v>14</x:v>
      </x:c>
      <x:c r="N23" t="n">
        <x:v>17</x:v>
      </x:c>
      <x:c r="O23" t="n">
        <x:v>17</x:v>
      </x:c>
      <x:c r="P23" t="n">
        <x:v>15</x:v>
      </x:c>
      <x:c r="Q23" t="n">
        <x:v>12</x:v>
      </x:c>
      <x:c r="EQ23">
        <x:f t="shared" si="20"/>
        <x:v>20</x:v>
      </x:c>
      <x:c r="ER23">
        <x:f t="shared" si="21"/>
        <x:v>80</x:v>
      </x:c>
      <x:c r="ES23">
        <x:f t="shared" si="22"/>
        <x:v>50</x:v>
      </x:c>
      <x:c r="ET23">
        <x:f t="shared" si="23"/>
        <x:v>0</x:v>
      </x:c>
      <x:c r="EU23">
        <x:f t="shared" si="24"/>
        <x:v>0</x:v>
      </x:c>
      <x:c r="EV23">
        <x:f t="shared" si="25"/>
        <x:v>0</x:v>
      </x:c>
      <x:c r="EW23">
        <x:f t="shared" si="26"/>
        <x:v>0</x:v>
      </x:c>
      <x:c r="EX23">
        <x:f t="shared" si="27"/>
        <x:v>0</x:v>
      </x:c>
      <x:c r="EY23">
        <x:f t="shared" si="28"/>
        <x:v>0</x:v>
      </x:c>
      <x:c r="EZ23">
        <x:f t="shared" si="29"/>
        <x:v>0</x:v>
      </x:c>
      <x:c r="FA23" s="41">
        <x:f t="shared" si="30"/>
        <x:v>0</x:v>
      </x:c>
      <x:c r="FB23">
        <x:f t="shared" si="31"/>
        <x:v>45</x:v>
      </x:c>
      <x:c r="FC23">
        <x:f t="shared" si="32"/>
        <x:v>40</x:v>
      </x:c>
      <x:c r="FD23">
        <x:f t="shared" si="33"/>
        <x:v>0</x:v>
      </x:c>
      <x:c r="FE23">
        <x:f t="shared" si="34"/>
        <x:v>25</x:v>
      </x:c>
      <x:c r="FF23">
        <x:f t="shared" si="35"/>
        <x:v>0</x:v>
      </x:c>
      <x:c r="FG23">
        <x:f t="shared" si="36"/>
        <x:v>0</x:v>
      </x:c>
      <x:c r="FH23">
        <x:f t="shared" si="37"/>
        <x:v>0</x:v>
      </x:c>
      <x:c r="FI23">
        <x:f t="shared" si="38"/>
        <x:v>0</x:v>
      </x:c>
      <x:c r="FJ23">
        <x:f t="shared" si="39"/>
        <x:v>0</x:v>
      </x:c>
      <x:c r="FK23">
        <x:f t="shared" si="40"/>
        <x:v>0</x:v>
      </x:c>
      <x:c r="FL23" s="41">
        <x:f t="shared" si="41"/>
        <x:v>0</x:v>
      </x:c>
      <x:c r="FM23">
        <x:f t="shared" si="42"/>
        <x:v>20</x:v>
      </x:c>
      <x:c r="FN23">
        <x:f t="shared" si="43"/>
        <x:v>68</x:v>
      </x:c>
      <x:c r="FO23">
        <x:f t="shared" si="44"/>
        <x:v>50</x:v>
      </x:c>
      <x:c r="FP23">
        <x:f t="shared" si="45"/>
        <x:v>0</x:v>
      </x:c>
      <x:c r="FQ23">
        <x:f t="shared" si="46"/>
        <x:v>0</x:v>
      </x:c>
      <x:c r="FR23">
        <x:f t="shared" si="47"/>
        <x:v>0</x:v>
      </x:c>
      <x:c r="FS23">
        <x:f t="shared" si="48"/>
        <x:v>0</x:v>
      </x:c>
      <x:c r="FT23">
        <x:f t="shared" si="49"/>
        <x:v>0</x:v>
      </x:c>
      <x:c r="FU23">
        <x:f t="shared" si="50"/>
        <x:v>0</x:v>
      </x:c>
      <x:c r="FV23">
        <x:f t="shared" si="51"/>
        <x:v>0</x:v>
      </x:c>
      <x:c r="FW23" s="41">
        <x:f t="shared" si="52"/>
        <x:v>0</x:v>
      </x:c>
      <x:c r="FX23">
        <x:f t="shared" si="53"/>
        <x:v>85</x:v>
      </x:c>
      <x:c r="FY23">
        <x:f t="shared" si="54"/>
        <x:v>188</x:v>
      </x:c>
      <x:c r="FZ23">
        <x:f t="shared" si="55"/>
        <x:v>100</x:v>
      </x:c>
      <x:c r="GA23">
        <x:f t="shared" si="56"/>
        <x:v>25</x:v>
      </x:c>
      <x:c r="GB23">
        <x:f t="shared" si="57"/>
        <x:v>0</x:v>
      </x:c>
      <x:c r="GC23">
        <x:f t="shared" si="58"/>
        <x:v>0</x:v>
      </x:c>
      <x:c r="GD23">
        <x:f t="shared" si="59"/>
        <x:v>0</x:v>
      </x:c>
      <x:c r="GE23">
        <x:f t="shared" si="60"/>
        <x:v>0</x:v>
      </x:c>
      <x:c r="GF23">
        <x:f t="shared" si="61"/>
        <x:v>0</x:v>
      </x:c>
      <x:c r="GG23">
        <x:f t="shared" si="62"/>
        <x:v>0</x:v>
      </x:c>
      <x:c r="GH23">
        <x:f t="shared" si="63"/>
        <x:v>0</x:v>
      </x:c>
      <x:c r="GI23">
        <x:f t="shared" si="64"/>
        <x:v>50</x:v>
      </x:c>
      <x:c r="GJ23">
        <x:f t="shared" si="65"/>
        <x:v>80</x:v>
      </x:c>
      <x:c r="GK23">
        <x:f t="shared" si="66"/>
        <x:v>0</x:v>
      </x:c>
      <x:c r="GL23">
        <x:f t="shared" si="67"/>
        <x:v>0</x:v>
      </x:c>
      <x:c r="GM23">
        <x:f t="shared" si="68"/>
        <x:v>0</x:v>
      </x:c>
      <x:c r="GN23">
        <x:f t="shared" si="69"/>
        <x:v>0</x:v>
      </x:c>
      <x:c r="GO23">
        <x:f t="shared" si="70"/>
        <x:v>20</x:v>
      </x:c>
      <x:c r="GP23">
        <x:f t="shared" si="71"/>
        <x:v>0</x:v>
      </x:c>
      <x:c r="GQ23">
        <x:f t="shared" si="72"/>
        <x:v>0</x:v>
      </x:c>
      <x:c r="GR23" s="42">
        <x:f t="shared" si="73"/>
        <x:v>0</x:v>
      </x:c>
      <x:c r="GS23">
        <x:f t="shared" si="74"/>
        <x:v>25</x:v>
      </x:c>
      <x:c r="GT23">
        <x:f t="shared" si="75"/>
        <x:v>40</x:v>
      </x:c>
      <x:c r="GU23">
        <x:f t="shared" si="76"/>
        <x:v>0</x:v>
      </x:c>
      <x:c r="GV23">
        <x:f t="shared" si="77"/>
        <x:v>0</x:v>
      </x:c>
      <x:c r="GW23">
        <x:f t="shared" si="78"/>
        <x:v>0</x:v>
      </x:c>
      <x:c r="GX23">
        <x:f t="shared" si="79"/>
        <x:v>0</x:v>
      </x:c>
      <x:c r="GY23">
        <x:f t="shared" si="80"/>
        <x:v>45</x:v>
      </x:c>
      <x:c r="GZ23">
        <x:f t="shared" si="81"/>
        <x:v>0</x:v>
      </x:c>
      <x:c r="HA23">
        <x:f t="shared" si="82"/>
        <x:v>0</x:v>
      </x:c>
      <x:c r="HB23" s="42">
        <x:f t="shared" si="83"/>
        <x:v>0</x:v>
      </x:c>
      <x:c r="HC23">
        <x:f t="shared" si="84"/>
        <x:v>50</x:v>
      </x:c>
      <x:c r="HD23">
        <x:f t="shared" si="85"/>
        <x:v>68</x:v>
      </x:c>
      <x:c r="HE23">
        <x:f t="shared" si="86"/>
        <x:v>0</x:v>
      </x:c>
      <x:c r="HF23">
        <x:f t="shared" si="87"/>
        <x:v>0</x:v>
      </x:c>
      <x:c r="HG23">
        <x:f t="shared" si="88"/>
        <x:v>0</x:v>
      </x:c>
      <x:c r="HH23">
        <x:f t="shared" si="89"/>
        <x:v>0</x:v>
      </x:c>
      <x:c r="HI23">
        <x:f t="shared" si="90"/>
        <x:v>20</x:v>
      </x:c>
      <x:c r="HJ23">
        <x:f t="shared" si="91"/>
        <x:v>0</x:v>
      </x:c>
      <x:c r="HK23">
        <x:f t="shared" si="92"/>
        <x:v>0</x:v>
      </x:c>
      <x:c r="HL23">
        <x:f t="shared" si="93"/>
        <x:v>0</x:v>
      </x:c>
    </x:row>
    <x:row r="24">
      <x:c r="A24" s="72">
        <x:v>11</x:v>
      </x:c>
      <x:c r="B24" s="73" t="s">
        <x:v>205</x:v>
      </x:c>
      <x:c r="C24" s="33" t="str">
        <x:v>Aquino, Hannah R.</x:v>
      </x:c>
      <x:c r="D24" s="74" t="s">
        <x:v>93</x:v>
      </x:c>
      <x:c r="E24" t="n">
        <x:v>13</x:v>
      </x:c>
      <x:c r="F24" t="n">
        <x:v>18</x:v>
      </x:c>
      <x:c r="G24" t="n">
        <x:v>26</x:v>
      </x:c>
      <x:c r="H24" t="n">
        <x:v>14</x:v>
      </x:c>
      <x:c r="I24" t="n">
        <x:v>15</x:v>
      </x:c>
      <x:c r="J24" t="n">
        <x:v>50</x:v>
      </x:c>
      <x:c r="K24" t="n">
        <x:v>10</x:v>
      </x:c>
      <x:c r="L24" t="n">
        <x:v>27</x:v>
      </x:c>
      <x:c r="M24" t="n">
        <x:v>8</x:v>
      </x:c>
      <x:c r="N24" t="n">
        <x:v>11</x:v>
      </x:c>
      <x:c r="O24" t="n">
        <x:v>12</x:v>
      </x:c>
      <x:c r="P24" t="n">
        <x:v>11</x:v>
      </x:c>
      <x:c r="Q24" t="n">
        <x:v>7</x:v>
      </x:c>
      <x:c r="EQ24">
        <x:f t="shared" si="20"/>
        <x:v>20</x:v>
      </x:c>
      <x:c r="ER24">
        <x:f t="shared" si="21"/>
        <x:v>80</x:v>
      </x:c>
      <x:c r="ES24">
        <x:f t="shared" si="22"/>
        <x:v>50</x:v>
      </x:c>
      <x:c r="ET24">
        <x:f t="shared" si="23"/>
        <x:v>0</x:v>
      </x:c>
      <x:c r="EU24">
        <x:f t="shared" si="24"/>
        <x:v>0</x:v>
      </x:c>
      <x:c r="EV24">
        <x:f t="shared" si="25"/>
        <x:v>0</x:v>
      </x:c>
      <x:c r="EW24">
        <x:f t="shared" si="26"/>
        <x:v>0</x:v>
      </x:c>
      <x:c r="EX24">
        <x:f t="shared" si="27"/>
        <x:v>0</x:v>
      </x:c>
      <x:c r="EY24">
        <x:f t="shared" si="28"/>
        <x:v>0</x:v>
      </x:c>
      <x:c r="EZ24">
        <x:f t="shared" si="29"/>
        <x:v>0</x:v>
      </x:c>
      <x:c r="FA24" s="41">
        <x:f t="shared" si="30"/>
        <x:v>0</x:v>
      </x:c>
      <x:c r="FB24">
        <x:f t="shared" si="31"/>
        <x:v>45</x:v>
      </x:c>
      <x:c r="FC24">
        <x:f t="shared" si="32"/>
        <x:v>40</x:v>
      </x:c>
      <x:c r="FD24">
        <x:f t="shared" si="33"/>
        <x:v>0</x:v>
      </x:c>
      <x:c r="FE24">
        <x:f t="shared" si="34"/>
        <x:v>25</x:v>
      </x:c>
      <x:c r="FF24">
        <x:f t="shared" si="35"/>
        <x:v>0</x:v>
      </x:c>
      <x:c r="FG24">
        <x:f t="shared" si="36"/>
        <x:v>0</x:v>
      </x:c>
      <x:c r="FH24">
        <x:f t="shared" si="37"/>
        <x:v>0</x:v>
      </x:c>
      <x:c r="FI24">
        <x:f t="shared" si="38"/>
        <x:v>0</x:v>
      </x:c>
      <x:c r="FJ24">
        <x:f t="shared" si="39"/>
        <x:v>0</x:v>
      </x:c>
      <x:c r="FK24">
        <x:f t="shared" si="40"/>
        <x:v>0</x:v>
      </x:c>
      <x:c r="FL24" s="41">
        <x:f t="shared" si="41"/>
        <x:v>0</x:v>
      </x:c>
      <x:c r="FM24">
        <x:f t="shared" si="42"/>
        <x:v>20</x:v>
      </x:c>
      <x:c r="FN24">
        <x:f t="shared" si="43"/>
        <x:v>125</x:v>
      </x:c>
      <x:c r="FO24">
        <x:f t="shared" si="44"/>
        <x:v>50</x:v>
      </x:c>
      <x:c r="FP24">
        <x:f t="shared" si="45"/>
        <x:v>0</x:v>
      </x:c>
      <x:c r="FQ24">
        <x:f t="shared" si="46"/>
        <x:v>0</x:v>
      </x:c>
      <x:c r="FR24">
        <x:f t="shared" si="47"/>
        <x:v>0</x:v>
      </x:c>
      <x:c r="FS24">
        <x:f t="shared" si="48"/>
        <x:v>0</x:v>
      </x:c>
      <x:c r="FT24">
        <x:f t="shared" si="49"/>
        <x:v>0</x:v>
      </x:c>
      <x:c r="FU24">
        <x:f t="shared" si="50"/>
        <x:v>0</x:v>
      </x:c>
      <x:c r="FV24">
        <x:f t="shared" si="51"/>
        <x:v>0</x:v>
      </x:c>
      <x:c r="FW24" s="41">
        <x:f t="shared" si="52"/>
        <x:v>0</x:v>
      </x:c>
      <x:c r="FX24">
        <x:f t="shared" si="53"/>
        <x:v>85</x:v>
      </x:c>
      <x:c r="FY24">
        <x:f t="shared" si="54"/>
        <x:v>245</x:v>
      </x:c>
      <x:c r="FZ24">
        <x:f t="shared" si="55"/>
        <x:v>100</x:v>
      </x:c>
      <x:c r="GA24">
        <x:f t="shared" si="56"/>
        <x:v>25</x:v>
      </x:c>
      <x:c r="GB24">
        <x:f t="shared" si="57"/>
        <x:v>0</x:v>
      </x:c>
      <x:c r="GC24">
        <x:f t="shared" si="58"/>
        <x:v>0</x:v>
      </x:c>
      <x:c r="GD24">
        <x:f t="shared" si="59"/>
        <x:v>0</x:v>
      </x:c>
      <x:c r="GE24">
        <x:f t="shared" si="60"/>
        <x:v>0</x:v>
      </x:c>
      <x:c r="GF24">
        <x:f t="shared" si="61"/>
        <x:v>0</x:v>
      </x:c>
      <x:c r="GG24">
        <x:f t="shared" si="62"/>
        <x:v>0</x:v>
      </x:c>
      <x:c r="GH24">
        <x:f t="shared" si="63"/>
        <x:v>0</x:v>
      </x:c>
      <x:c r="GI24">
        <x:f t="shared" si="64"/>
        <x:v>50</x:v>
      </x:c>
      <x:c r="GJ24">
        <x:f t="shared" si="65"/>
        <x:v>80</x:v>
      </x:c>
      <x:c r="GK24">
        <x:f t="shared" si="66"/>
        <x:v>0</x:v>
      </x:c>
      <x:c r="GL24">
        <x:f t="shared" si="67"/>
        <x:v>0</x:v>
      </x:c>
      <x:c r="GM24">
        <x:f t="shared" si="68"/>
        <x:v>0</x:v>
      </x:c>
      <x:c r="GN24">
        <x:f t="shared" si="69"/>
        <x:v>0</x:v>
      </x:c>
      <x:c r="GO24">
        <x:f t="shared" si="70"/>
        <x:v>20</x:v>
      </x:c>
      <x:c r="GP24">
        <x:f t="shared" si="71"/>
        <x:v>0</x:v>
      </x:c>
      <x:c r="GQ24">
        <x:f t="shared" si="72"/>
        <x:v>0</x:v>
      </x:c>
      <x:c r="GR24" s="42">
        <x:f t="shared" si="73"/>
        <x:v>0</x:v>
      </x:c>
      <x:c r="GS24">
        <x:f t="shared" si="74"/>
        <x:v>25</x:v>
      </x:c>
      <x:c r="GT24">
        <x:f t="shared" si="75"/>
        <x:v>40</x:v>
      </x:c>
      <x:c r="GU24">
        <x:f t="shared" si="76"/>
        <x:v>0</x:v>
      </x:c>
      <x:c r="GV24">
        <x:f t="shared" si="77"/>
        <x:v>0</x:v>
      </x:c>
      <x:c r="GW24">
        <x:f t="shared" si="78"/>
        <x:v>0</x:v>
      </x:c>
      <x:c r="GX24">
        <x:f t="shared" si="79"/>
        <x:v>0</x:v>
      </x:c>
      <x:c r="GY24">
        <x:f t="shared" si="80"/>
        <x:v>45</x:v>
      </x:c>
      <x:c r="GZ24">
        <x:f t="shared" si="81"/>
        <x:v>0</x:v>
      </x:c>
      <x:c r="HA24">
        <x:f t="shared" si="82"/>
        <x:v>0</x:v>
      </x:c>
      <x:c r="HB24" s="42">
        <x:f t="shared" si="83"/>
        <x:v>0</x:v>
      </x:c>
      <x:c r="HC24">
        <x:f t="shared" si="84"/>
        <x:v>50</x:v>
      </x:c>
      <x:c r="HD24">
        <x:f t="shared" si="85"/>
        <x:v>125</x:v>
      </x:c>
      <x:c r="HE24">
        <x:f t="shared" si="86"/>
        <x:v>0</x:v>
      </x:c>
      <x:c r="HF24">
        <x:f t="shared" si="87"/>
        <x:v>0</x:v>
      </x:c>
      <x:c r="HG24">
        <x:f t="shared" si="88"/>
        <x:v>0</x:v>
      </x:c>
      <x:c r="HH24">
        <x:f t="shared" si="89"/>
        <x:v>0</x:v>
      </x:c>
      <x:c r="HI24">
        <x:f t="shared" si="90"/>
        <x:v>20</x:v>
      </x:c>
      <x:c r="HJ24">
        <x:f t="shared" si="91"/>
        <x:v>0</x:v>
      </x:c>
      <x:c r="HK24">
        <x:f t="shared" si="92"/>
        <x:v>0</x:v>
      </x:c>
      <x:c r="HL24">
        <x:f t="shared" si="93"/>
        <x:v>0</x:v>
      </x:c>
    </x:row>
    <x:row r="25">
      <x:c r="A25" s="72">
        <x:v>12</x:v>
      </x:c>
      <x:c r="B25" s="73" t="s">
        <x:v>206</x:v>
      </x:c>
      <x:c r="C25" s="33" t="str">
        <x:v>Cabrera, Quentin P.</x:v>
      </x:c>
      <x:c r="D25" s="74" t="s">
        <x:v>93</x:v>
      </x:c>
      <x:c r="E25" t="n">
        <x:v>13</x:v>
      </x:c>
      <x:c r="F25" t="n">
        <x:v>28</x:v>
      </x:c>
      <x:c r="G25" t="n">
        <x:v>43</x:v>
      </x:c>
      <x:c r="H25" t="n">
        <x:v>31</x:v>
      </x:c>
      <x:c r="I25" t="n">
        <x:v>20</x:v>
      </x:c>
      <x:c r="J25" t="n">
        <x:v>47</x:v>
      </x:c>
      <x:c r="K25" t="n">
        <x:v>10</x:v>
      </x:c>
      <x:c r="L25" t="n">
        <x:v>22</x:v>
      </x:c>
      <x:c r="M25" t="n">
        <x:v>13</x:v>
      </x:c>
      <x:c r="N25" t="n">
        <x:v>10</x:v>
      </x:c>
      <x:c r="O25" t="n">
        <x:v>12</x:v>
      </x:c>
      <x:c r="P25" t="n">
        <x:v>13</x:v>
      </x:c>
      <x:c r="Q25" t="n">
        <x:v>16</x:v>
      </x:c>
      <x:c r="EQ25">
        <x:f t="shared" si="20"/>
        <x:v>30</x:v>
      </x:c>
      <x:c r="ER25">
        <x:f t="shared" si="21"/>
        <x:v>100</x:v>
      </x:c>
      <x:c r="ES25">
        <x:f t="shared" si="22"/>
        <x:v>60</x:v>
      </x:c>
      <x:c r="ET25">
        <x:f t="shared" si="23"/>
        <x:v>0</x:v>
      </x:c>
      <x:c r="EU25">
        <x:f t="shared" si="24"/>
        <x:v>0</x:v>
      </x:c>
      <x:c r="EV25">
        <x:f t="shared" si="25"/>
        <x:v>0</x:v>
      </x:c>
      <x:c r="EW25">
        <x:f t="shared" si="26"/>
        <x:v>0</x:v>
      </x:c>
      <x:c r="EX25">
        <x:f t="shared" si="27"/>
        <x:v>0</x:v>
      </x:c>
      <x:c r="EY25">
        <x:f t="shared" si="28"/>
        <x:v>0</x:v>
      </x:c>
      <x:c r="EZ25">
        <x:f t="shared" si="29"/>
        <x:v>0</x:v>
      </x:c>
      <x:c r="FA25" s="41">
        <x:f t="shared" si="30"/>
        <x:v>0</x:v>
      </x:c>
      <x:c r="FB25">
        <x:f t="shared" si="31"/>
        <x:v>50</x:v>
      </x:c>
      <x:c r="FC25">
        <x:f t="shared" si="32"/>
        <x:v>100</x:v>
      </x:c>
      <x:c r="FD25">
        <x:f t="shared" si="33"/>
        <x:v>0</x:v>
      </x:c>
      <x:c r="FE25">
        <x:f t="shared" si="34"/>
        <x:v>50</x:v>
      </x:c>
      <x:c r="FF25">
        <x:f t="shared" si="35"/>
        <x:v>0</x:v>
      </x:c>
      <x:c r="FG25">
        <x:f t="shared" si="36"/>
        <x:v>0</x:v>
      </x:c>
      <x:c r="FH25">
        <x:f t="shared" si="37"/>
        <x:v>0</x:v>
      </x:c>
      <x:c r="FI25">
        <x:f t="shared" si="38"/>
        <x:v>0</x:v>
      </x:c>
      <x:c r="FJ25">
        <x:f t="shared" si="39"/>
        <x:v>0</x:v>
      </x:c>
      <x:c r="FK25">
        <x:f t="shared" si="40"/>
        <x:v>0</x:v>
      </x:c>
      <x:c r="FL25" s="41">
        <x:f t="shared" si="41"/>
        <x:v>0</x:v>
      </x:c>
      <x:c r="FM25">
        <x:f t="shared" si="42"/>
        <x:v>20</x:v>
      </x:c>
      <x:c r="FN25">
        <x:f t="shared" si="43"/>
        <x:v>125</x:v>
      </x:c>
      <x:c r="FO25">
        <x:f t="shared" si="44"/>
        <x:v>50</x:v>
      </x:c>
      <x:c r="FP25">
        <x:f t="shared" si="45"/>
        <x:v>0</x:v>
      </x:c>
      <x:c r="FQ25">
        <x:f t="shared" si="46"/>
        <x:v>0</x:v>
      </x:c>
      <x:c r="FR25">
        <x:f t="shared" si="47"/>
        <x:v>0</x:v>
      </x:c>
      <x:c r="FS25">
        <x:f t="shared" si="48"/>
        <x:v>0</x:v>
      </x:c>
      <x:c r="FT25">
        <x:f t="shared" si="49"/>
        <x:v>0</x:v>
      </x:c>
      <x:c r="FU25">
        <x:f t="shared" si="50"/>
        <x:v>0</x:v>
      </x:c>
      <x:c r="FV25">
        <x:f t="shared" si="51"/>
        <x:v>0</x:v>
      </x:c>
      <x:c r="FW25" s="41">
        <x:f t="shared" si="52"/>
        <x:v>0</x:v>
      </x:c>
      <x:c r="FX25">
        <x:f t="shared" si="53"/>
        <x:v>100</x:v>
      </x:c>
      <x:c r="FY25">
        <x:f t="shared" si="54"/>
        <x:v>325</x:v>
      </x:c>
      <x:c r="FZ25">
        <x:f t="shared" si="55"/>
        <x:v>110</x:v>
      </x:c>
      <x:c r="GA25">
        <x:f t="shared" si="56"/>
        <x:v>50</x:v>
      </x:c>
      <x:c r="GB25">
        <x:f t="shared" si="57"/>
        <x:v>0</x:v>
      </x:c>
      <x:c r="GC25">
        <x:f t="shared" si="58"/>
        <x:v>0</x:v>
      </x:c>
      <x:c r="GD25">
        <x:f t="shared" si="59"/>
        <x:v>0</x:v>
      </x:c>
      <x:c r="GE25">
        <x:f t="shared" si="60"/>
        <x:v>0</x:v>
      </x:c>
      <x:c r="GF25">
        <x:f t="shared" si="61"/>
        <x:v>0</x:v>
      </x:c>
      <x:c r="GG25">
        <x:f t="shared" si="62"/>
        <x:v>0</x:v>
      </x:c>
      <x:c r="GH25">
        <x:f t="shared" si="63"/>
        <x:v>0</x:v>
      </x:c>
      <x:c r="GI25">
        <x:f t="shared" si="64"/>
        <x:v>60</x:v>
      </x:c>
      <x:c r="GJ25">
        <x:f t="shared" si="65"/>
        <x:v>100</x:v>
      </x:c>
      <x:c r="GK25">
        <x:f t="shared" si="66"/>
        <x:v>0</x:v>
      </x:c>
      <x:c r="GL25">
        <x:f t="shared" si="67"/>
        <x:v>0</x:v>
      </x:c>
      <x:c r="GM25">
        <x:f t="shared" si="68"/>
        <x:v>0</x:v>
      </x:c>
      <x:c r="GN25">
        <x:f t="shared" si="69"/>
        <x:v>0</x:v>
      </x:c>
      <x:c r="GO25">
        <x:f t="shared" si="70"/>
        <x:v>30</x:v>
      </x:c>
      <x:c r="GP25">
        <x:f t="shared" si="71"/>
        <x:v>0</x:v>
      </x:c>
      <x:c r="GQ25">
        <x:f t="shared" si="72"/>
        <x:v>0</x:v>
      </x:c>
      <x:c r="GR25" s="42">
        <x:f t="shared" si="73"/>
        <x:v>0</x:v>
      </x:c>
      <x:c r="GS25">
        <x:f t="shared" si="74"/>
        <x:v>50</x:v>
      </x:c>
      <x:c r="GT25">
        <x:f t="shared" si="75"/>
        <x:v>100</x:v>
      </x:c>
      <x:c r="GU25">
        <x:f t="shared" si="76"/>
        <x:v>0</x:v>
      </x:c>
      <x:c r="GV25">
        <x:f t="shared" si="77"/>
        <x:v>0</x:v>
      </x:c>
      <x:c r="GW25">
        <x:f t="shared" si="78"/>
        <x:v>0</x:v>
      </x:c>
      <x:c r="GX25">
        <x:f t="shared" si="79"/>
        <x:v>0</x:v>
      </x:c>
      <x:c r="GY25">
        <x:f t="shared" si="80"/>
        <x:v>50</x:v>
      </x:c>
      <x:c r="GZ25">
        <x:f t="shared" si="81"/>
        <x:v>0</x:v>
      </x:c>
      <x:c r="HA25">
        <x:f t="shared" si="82"/>
        <x:v>0</x:v>
      </x:c>
      <x:c r="HB25" s="42">
        <x:f t="shared" si="83"/>
        <x:v>0</x:v>
      </x:c>
      <x:c r="HC25">
        <x:f t="shared" si="84"/>
        <x:v>50</x:v>
      </x:c>
      <x:c r="HD25">
        <x:f t="shared" si="85"/>
        <x:v>125</x:v>
      </x:c>
      <x:c r="HE25">
        <x:f t="shared" si="86"/>
        <x:v>0</x:v>
      </x:c>
      <x:c r="HF25">
        <x:f t="shared" si="87"/>
        <x:v>0</x:v>
      </x:c>
      <x:c r="HG25">
        <x:f t="shared" si="88"/>
        <x:v>0</x:v>
      </x:c>
      <x:c r="HH25">
        <x:f t="shared" si="89"/>
        <x:v>0</x:v>
      </x:c>
      <x:c r="HI25">
        <x:f t="shared" si="90"/>
        <x:v>20</x:v>
      </x:c>
      <x:c r="HJ25">
        <x:f t="shared" si="91"/>
        <x:v>0</x:v>
      </x:c>
      <x:c r="HK25">
        <x:f t="shared" si="92"/>
        <x:v>0</x:v>
      </x:c>
      <x:c r="HL25">
        <x:f t="shared" si="93"/>
        <x:v>0</x:v>
      </x:c>
    </x:row>
    <x:row r="26">
      <x:c r="A26" s="72">
        <x:v>13</x:v>
      </x:c>
      <x:c r="B26" s="73" t="s">
        <x:v>207</x:v>
      </x:c>
      <x:c r="C26" s="33" t="str">
        <x:v>Rivera, Caleb T.</x:v>
      </x:c>
      <x:c r="D26" s="74" t="s">
        <x:v>93</x:v>
      </x:c>
      <x:c r="E26" t="n">
        <x:v>18</x:v>
      </x:c>
      <x:c r="F26" t="n">
        <x:v>27</x:v>
      </x:c>
      <x:c r="G26" t="n">
        <x:v>57</x:v>
      </x:c>
      <x:c r="H26" t="n">
        <x:v>21</x:v>
      </x:c>
      <x:c r="I26" t="n">
        <x:v>35</x:v>
      </x:c>
      <x:c r="J26" t="n">
        <x:v>54</x:v>
      </x:c>
      <x:c r="K26" t="n">
        <x:v>13</x:v>
      </x:c>
      <x:c r="L26" t="n">
        <x:v>34</x:v>
      </x:c>
      <x:c r="M26" t="n">
        <x:v>12</x:v>
      </x:c>
      <x:c r="N26" t="n">
        <x:v>12</x:v>
      </x:c>
      <x:c r="O26" t="n">
        <x:v>13</x:v>
      </x:c>
      <x:c r="P26" t="n">
        <x:v>18</x:v>
      </x:c>
      <x:c r="Q26" t="n">
        <x:v>13</x:v>
      </x:c>
      <x:c r="EQ26">
        <x:f t="shared" si="20"/>
        <x:v>30</x:v>
      </x:c>
      <x:c r="ER26">
        <x:f t="shared" si="21"/>
        <x:v>100</x:v>
      </x:c>
      <x:c r="ES26">
        <x:f t="shared" si="22"/>
        <x:v>60</x:v>
      </x:c>
      <x:c r="ET26">
        <x:f t="shared" si="23"/>
        <x:v>0</x:v>
      </x:c>
      <x:c r="EU26">
        <x:f t="shared" si="24"/>
        <x:v>0</x:v>
      </x:c>
      <x:c r="EV26">
        <x:f t="shared" si="25"/>
        <x:v>0</x:v>
      </x:c>
      <x:c r="EW26">
        <x:f t="shared" si="26"/>
        <x:v>0</x:v>
      </x:c>
      <x:c r="EX26">
        <x:f t="shared" si="27"/>
        <x:v>0</x:v>
      </x:c>
      <x:c r="EY26">
        <x:f t="shared" si="28"/>
        <x:v>0</x:v>
      </x:c>
      <x:c r="EZ26">
        <x:f t="shared" si="29"/>
        <x:v>0</x:v>
      </x:c>
      <x:c r="FA26" s="41">
        <x:f t="shared" si="30"/>
        <x:v>0</x:v>
      </x:c>
      <x:c r="FB26">
        <x:f t="shared" si="31"/>
        <x:v>50</x:v>
      </x:c>
      <x:c r="FC26">
        <x:f t="shared" si="32"/>
        <x:v>100</x:v>
      </x:c>
      <x:c r="FD26">
        <x:f t="shared" si="33"/>
        <x:v>0</x:v>
      </x:c>
      <x:c r="FE26">
        <x:f t="shared" si="34"/>
        <x:v>50</x:v>
      </x:c>
      <x:c r="FF26">
        <x:f t="shared" si="35"/>
        <x:v>0</x:v>
      </x:c>
      <x:c r="FG26">
        <x:f t="shared" si="36"/>
        <x:v>0</x:v>
      </x:c>
      <x:c r="FH26">
        <x:f t="shared" si="37"/>
        <x:v>0</x:v>
      </x:c>
      <x:c r="FI26">
        <x:f t="shared" si="38"/>
        <x:v>0</x:v>
      </x:c>
      <x:c r="FJ26">
        <x:f t="shared" si="39"/>
        <x:v>0</x:v>
      </x:c>
      <x:c r="FK26">
        <x:f t="shared" si="40"/>
        <x:v>0</x:v>
      </x:c>
      <x:c r="FL26" s="41">
        <x:f t="shared" si="41"/>
        <x:v>0</x:v>
      </x:c>
      <x:c r="FM26">
        <x:f t="shared" si="42"/>
        <x:v>20</x:v>
      </x:c>
      <x:c r="FN26">
        <x:f t="shared" si="43"/>
        <x:v>125</x:v>
      </x:c>
      <x:c r="FO26">
        <x:f t="shared" si="44"/>
        <x:v>50</x:v>
      </x:c>
      <x:c r="FP26">
        <x:f t="shared" si="45"/>
        <x:v>0</x:v>
      </x:c>
      <x:c r="FQ26">
        <x:f t="shared" si="46"/>
        <x:v>0</x:v>
      </x:c>
      <x:c r="FR26">
        <x:f t="shared" si="47"/>
        <x:v>0</x:v>
      </x:c>
      <x:c r="FS26">
        <x:f t="shared" si="48"/>
        <x:v>0</x:v>
      </x:c>
      <x:c r="FT26">
        <x:f t="shared" si="49"/>
        <x:v>0</x:v>
      </x:c>
      <x:c r="FU26">
        <x:f t="shared" si="50"/>
        <x:v>0</x:v>
      </x:c>
      <x:c r="FV26">
        <x:f t="shared" si="51"/>
        <x:v>0</x:v>
      </x:c>
      <x:c r="FW26" s="41">
        <x:f t="shared" si="52"/>
        <x:v>0</x:v>
      </x:c>
      <x:c r="FX26">
        <x:f t="shared" si="53"/>
        <x:v>100</x:v>
      </x:c>
      <x:c r="FY26">
        <x:f t="shared" si="54"/>
        <x:v>325</x:v>
      </x:c>
      <x:c r="FZ26">
        <x:f t="shared" si="55"/>
        <x:v>110</x:v>
      </x:c>
      <x:c r="GA26">
        <x:f t="shared" si="56"/>
        <x:v>50</x:v>
      </x:c>
      <x:c r="GB26">
        <x:f t="shared" si="57"/>
        <x:v>0</x:v>
      </x:c>
      <x:c r="GC26">
        <x:f t="shared" si="58"/>
        <x:v>0</x:v>
      </x:c>
      <x:c r="GD26">
        <x:f t="shared" si="59"/>
        <x:v>0</x:v>
      </x:c>
      <x:c r="GE26">
        <x:f t="shared" si="60"/>
        <x:v>0</x:v>
      </x:c>
      <x:c r="GF26">
        <x:f t="shared" si="61"/>
        <x:v>0</x:v>
      </x:c>
      <x:c r="GG26">
        <x:f t="shared" si="62"/>
        <x:v>0</x:v>
      </x:c>
      <x:c r="GH26">
        <x:f t="shared" si="63"/>
        <x:v>0</x:v>
      </x:c>
      <x:c r="GI26">
        <x:f t="shared" si="64"/>
        <x:v>60</x:v>
      </x:c>
      <x:c r="GJ26">
        <x:f t="shared" si="65"/>
        <x:v>100</x:v>
      </x:c>
      <x:c r="GK26">
        <x:f t="shared" si="66"/>
        <x:v>0</x:v>
      </x:c>
      <x:c r="GL26">
        <x:f t="shared" si="67"/>
        <x:v>0</x:v>
      </x:c>
      <x:c r="GM26">
        <x:f t="shared" si="68"/>
        <x:v>0</x:v>
      </x:c>
      <x:c r="GN26">
        <x:f t="shared" si="69"/>
        <x:v>0</x:v>
      </x:c>
      <x:c r="GO26">
        <x:f t="shared" si="70"/>
        <x:v>30</x:v>
      </x:c>
      <x:c r="GP26">
        <x:f t="shared" si="71"/>
        <x:v>0</x:v>
      </x:c>
      <x:c r="GQ26">
        <x:f t="shared" si="72"/>
        <x:v>0</x:v>
      </x:c>
      <x:c r="GR26" s="42">
        <x:f t="shared" si="73"/>
        <x:v>0</x:v>
      </x:c>
      <x:c r="GS26">
        <x:f t="shared" si="74"/>
        <x:v>50</x:v>
      </x:c>
      <x:c r="GT26">
        <x:f t="shared" si="75"/>
        <x:v>100</x:v>
      </x:c>
      <x:c r="GU26">
        <x:f t="shared" si="76"/>
        <x:v>0</x:v>
      </x:c>
      <x:c r="GV26">
        <x:f t="shared" si="77"/>
        <x:v>0</x:v>
      </x:c>
      <x:c r="GW26">
        <x:f t="shared" si="78"/>
        <x:v>0</x:v>
      </x:c>
      <x:c r="GX26">
        <x:f t="shared" si="79"/>
        <x:v>0</x:v>
      </x:c>
      <x:c r="GY26">
        <x:f t="shared" si="80"/>
        <x:v>50</x:v>
      </x:c>
      <x:c r="GZ26">
        <x:f t="shared" si="81"/>
        <x:v>0</x:v>
      </x:c>
      <x:c r="HA26">
        <x:f t="shared" si="82"/>
        <x:v>0</x:v>
      </x:c>
      <x:c r="HB26" s="42">
        <x:f t="shared" si="83"/>
        <x:v>0</x:v>
      </x:c>
      <x:c r="HC26">
        <x:f t="shared" si="84"/>
        <x:v>50</x:v>
      </x:c>
      <x:c r="HD26">
        <x:f t="shared" si="85"/>
        <x:v>125</x:v>
      </x:c>
      <x:c r="HE26">
        <x:f t="shared" si="86"/>
        <x:v>0</x:v>
      </x:c>
      <x:c r="HF26">
        <x:f t="shared" si="87"/>
        <x:v>0</x:v>
      </x:c>
      <x:c r="HG26">
        <x:f t="shared" si="88"/>
        <x:v>0</x:v>
      </x:c>
      <x:c r="HH26">
        <x:f t="shared" si="89"/>
        <x:v>0</x:v>
      </x:c>
      <x:c r="HI26">
        <x:f t="shared" si="90"/>
        <x:v>20</x:v>
      </x:c>
      <x:c r="HJ26">
        <x:f t="shared" si="91"/>
        <x:v>0</x:v>
      </x:c>
      <x:c r="HK26">
        <x:f t="shared" si="92"/>
        <x:v>0</x:v>
      </x:c>
      <x:c r="HL26">
        <x:f t="shared" si="93"/>
        <x:v>0</x:v>
      </x:c>
    </x:row>
    <x:row r="27">
      <x:c r="A27" s="72">
        <x:v>14</x:v>
      </x:c>
      <x:c r="B27" s="73" t="s">
        <x:v>208</x:v>
      </x:c>
      <x:c r="C27" s="33" t="str">
        <x:v>Villamor, Yves E.</x:v>
      </x:c>
      <x:c r="D27" s="74" t="s">
        <x:v>93</x:v>
      </x:c>
      <x:c r="E27" t="n">
        <x:v>13</x:v>
      </x:c>
      <x:c r="F27" t="n">
        <x:v>25</x:v>
      </x:c>
      <x:c r="G27" t="n">
        <x:v>49</x:v>
      </x:c>
      <x:c r="H27" t="n">
        <x:v>21</x:v>
      </x:c>
      <x:c r="I27" t="n">
        <x:v>21</x:v>
      </x:c>
      <x:c r="J27" t="n">
        <x:v>56</x:v>
      </x:c>
      <x:c r="K27" t="n">
        <x:v>14</x:v>
      </x:c>
      <x:c r="L27" t="n">
        <x:v>35</x:v>
      </x:c>
      <x:c r="M27" t="n">
        <x:v>13</x:v>
      </x:c>
      <x:c r="N27" t="n">
        <x:v>18</x:v>
      </x:c>
      <x:c r="O27" t="n">
        <x:v>14</x:v>
      </x:c>
      <x:c r="P27" t="n">
        <x:v>15</x:v>
      </x:c>
      <x:c r="Q27" t="n">
        <x:v>15</x:v>
      </x:c>
      <x:c r="EQ27">
        <x:f t="shared" si="20"/>
        <x:v>30</x:v>
      </x:c>
      <x:c r="ER27">
        <x:f t="shared" si="21"/>
        <x:v>100</x:v>
      </x:c>
      <x:c r="ES27">
        <x:f t="shared" si="22"/>
        <x:v>60</x:v>
      </x:c>
      <x:c r="ET27">
        <x:f t="shared" si="23"/>
        <x:v>0</x:v>
      </x:c>
      <x:c r="EU27">
        <x:f t="shared" si="24"/>
        <x:v>0</x:v>
      </x:c>
      <x:c r="EV27">
        <x:f t="shared" si="25"/>
        <x:v>0</x:v>
      </x:c>
      <x:c r="EW27">
        <x:f t="shared" si="26"/>
        <x:v>0</x:v>
      </x:c>
      <x:c r="EX27">
        <x:f t="shared" si="27"/>
        <x:v>0</x:v>
      </x:c>
      <x:c r="EY27">
        <x:f t="shared" si="28"/>
        <x:v>0</x:v>
      </x:c>
      <x:c r="EZ27">
        <x:f t="shared" si="29"/>
        <x:v>0</x:v>
      </x:c>
      <x:c r="FA27" s="41">
        <x:f t="shared" si="30"/>
        <x:v>0</x:v>
      </x:c>
      <x:c r="FB27">
        <x:f t="shared" si="31"/>
        <x:v>50</x:v>
      </x:c>
      <x:c r="FC27">
        <x:f t="shared" si="32"/>
        <x:v>100</x:v>
      </x:c>
      <x:c r="FD27">
        <x:f t="shared" si="33"/>
        <x:v>0</x:v>
      </x:c>
      <x:c r="FE27">
        <x:f t="shared" si="34"/>
        <x:v>50</x:v>
      </x:c>
      <x:c r="FF27">
        <x:f t="shared" si="35"/>
        <x:v>0</x:v>
      </x:c>
      <x:c r="FG27">
        <x:f t="shared" si="36"/>
        <x:v>0</x:v>
      </x:c>
      <x:c r="FH27">
        <x:f t="shared" si="37"/>
        <x:v>0</x:v>
      </x:c>
      <x:c r="FI27">
        <x:f t="shared" si="38"/>
        <x:v>0</x:v>
      </x:c>
      <x:c r="FJ27">
        <x:f t="shared" si="39"/>
        <x:v>0</x:v>
      </x:c>
      <x:c r="FK27">
        <x:f t="shared" si="40"/>
        <x:v>0</x:v>
      </x:c>
      <x:c r="FL27" s="41">
        <x:f t="shared" si="41"/>
        <x:v>0</x:v>
      </x:c>
      <x:c r="FM27">
        <x:f t="shared" si="42"/>
        <x:v>20</x:v>
      </x:c>
      <x:c r="FN27">
        <x:f t="shared" si="43"/>
        <x:v>125</x:v>
      </x:c>
      <x:c r="FO27">
        <x:f t="shared" si="44"/>
        <x:v>50</x:v>
      </x:c>
      <x:c r="FP27">
        <x:f t="shared" si="45"/>
        <x:v>0</x:v>
      </x:c>
      <x:c r="FQ27">
        <x:f t="shared" si="46"/>
        <x:v>0</x:v>
      </x:c>
      <x:c r="FR27">
        <x:f t="shared" si="47"/>
        <x:v>0</x:v>
      </x:c>
      <x:c r="FS27">
        <x:f t="shared" si="48"/>
        <x:v>0</x:v>
      </x:c>
      <x:c r="FT27">
        <x:f t="shared" si="49"/>
        <x:v>0</x:v>
      </x:c>
      <x:c r="FU27">
        <x:f t="shared" si="50"/>
        <x:v>0</x:v>
      </x:c>
      <x:c r="FV27">
        <x:f t="shared" si="51"/>
        <x:v>0</x:v>
      </x:c>
      <x:c r="FW27" s="41">
        <x:f t="shared" si="52"/>
        <x:v>0</x:v>
      </x:c>
      <x:c r="FX27">
        <x:f t="shared" si="53"/>
        <x:v>100</x:v>
      </x:c>
      <x:c r="FY27">
        <x:f t="shared" si="54"/>
        <x:v>325</x:v>
      </x:c>
      <x:c r="FZ27">
        <x:f t="shared" si="55"/>
        <x:v>110</x:v>
      </x:c>
      <x:c r="GA27">
        <x:f t="shared" si="56"/>
        <x:v>50</x:v>
      </x:c>
      <x:c r="GB27">
        <x:f t="shared" si="57"/>
        <x:v>0</x:v>
      </x:c>
      <x:c r="GC27">
        <x:f t="shared" si="58"/>
        <x:v>0</x:v>
      </x:c>
      <x:c r="GD27">
        <x:f t="shared" si="59"/>
        <x:v>0</x:v>
      </x:c>
      <x:c r="GE27">
        <x:f t="shared" si="60"/>
        <x:v>0</x:v>
      </x:c>
      <x:c r="GF27">
        <x:f t="shared" si="61"/>
        <x:v>0</x:v>
      </x:c>
      <x:c r="GG27">
        <x:f t="shared" si="62"/>
        <x:v>0</x:v>
      </x:c>
      <x:c r="GH27">
        <x:f t="shared" si="63"/>
        <x:v>0</x:v>
      </x:c>
      <x:c r="GI27">
        <x:f t="shared" si="64"/>
        <x:v>60</x:v>
      </x:c>
      <x:c r="GJ27">
        <x:f t="shared" si="65"/>
        <x:v>100</x:v>
      </x:c>
      <x:c r="GK27">
        <x:f t="shared" si="66"/>
        <x:v>0</x:v>
      </x:c>
      <x:c r="GL27">
        <x:f t="shared" si="67"/>
        <x:v>0</x:v>
      </x:c>
      <x:c r="GM27">
        <x:f t="shared" si="68"/>
        <x:v>0</x:v>
      </x:c>
      <x:c r="GN27">
        <x:f t="shared" si="69"/>
        <x:v>0</x:v>
      </x:c>
      <x:c r="GO27">
        <x:f t="shared" si="70"/>
        <x:v>30</x:v>
      </x:c>
      <x:c r="GP27">
        <x:f t="shared" si="71"/>
        <x:v>0</x:v>
      </x:c>
      <x:c r="GQ27">
        <x:f t="shared" si="72"/>
        <x:v>0</x:v>
      </x:c>
      <x:c r="GR27" s="42">
        <x:f t="shared" si="73"/>
        <x:v>0</x:v>
      </x:c>
      <x:c r="GS27">
        <x:f t="shared" si="74"/>
        <x:v>50</x:v>
      </x:c>
      <x:c r="GT27">
        <x:f t="shared" si="75"/>
        <x:v>100</x:v>
      </x:c>
      <x:c r="GU27">
        <x:f t="shared" si="76"/>
        <x:v>0</x:v>
      </x:c>
      <x:c r="GV27">
        <x:f t="shared" si="77"/>
        <x:v>0</x:v>
      </x:c>
      <x:c r="GW27">
        <x:f t="shared" si="78"/>
        <x:v>0</x:v>
      </x:c>
      <x:c r="GX27">
        <x:f t="shared" si="79"/>
        <x:v>0</x:v>
      </x:c>
      <x:c r="GY27">
        <x:f t="shared" si="80"/>
        <x:v>50</x:v>
      </x:c>
      <x:c r="GZ27">
        <x:f t="shared" si="81"/>
        <x:v>0</x:v>
      </x:c>
      <x:c r="HA27">
        <x:f t="shared" si="82"/>
        <x:v>0</x:v>
      </x:c>
      <x:c r="HB27" s="42">
        <x:f t="shared" si="83"/>
        <x:v>0</x:v>
      </x:c>
      <x:c r="HC27">
        <x:f t="shared" si="84"/>
        <x:v>50</x:v>
      </x:c>
      <x:c r="HD27">
        <x:f t="shared" si="85"/>
        <x:v>125</x:v>
      </x:c>
      <x:c r="HE27">
        <x:f t="shared" si="86"/>
        <x:v>0</x:v>
      </x:c>
      <x:c r="HF27">
        <x:f t="shared" si="87"/>
        <x:v>0</x:v>
      </x:c>
      <x:c r="HG27">
        <x:f t="shared" si="88"/>
        <x:v>0</x:v>
      </x:c>
      <x:c r="HH27">
        <x:f t="shared" si="89"/>
        <x:v>0</x:v>
      </x:c>
      <x:c r="HI27">
        <x:f t="shared" si="90"/>
        <x:v>20</x:v>
      </x:c>
      <x:c r="HJ27">
        <x:f t="shared" si="91"/>
        <x:v>0</x:v>
      </x:c>
      <x:c r="HK27">
        <x:f t="shared" si="92"/>
        <x:v>0</x:v>
      </x:c>
      <x:c r="HL27">
        <x:f t="shared" si="93"/>
        <x:v>0</x:v>
      </x:c>
    </x:row>
    <x:row r="28">
      <x:c r="A28" s="72">
        <x:v>15</x:v>
      </x:c>
      <x:c r="B28" s="73" t="s">
        <x:v>209</x:v>
      </x:c>
      <x:c r="C28" s="33" t="str">
        <x:v>Valdez, Warren R.</x:v>
      </x:c>
      <x:c r="D28" s="74" t="s">
        <x:v>93</x:v>
      </x:c>
      <x:c r="E28" t="n">
        <x:v>11</x:v>
      </x:c>
      <x:c r="F28" t="n">
        <x:v>30</x:v>
      </x:c>
      <x:c r="G28" t="n">
        <x:v>44</x:v>
      </x:c>
      <x:c r="H28" t="n">
        <x:v>23</x:v>
      </x:c>
      <x:c r="I28" t="n">
        <x:v>30</x:v>
      </x:c>
      <x:c r="J28" t="n">
        <x:v>54</x:v>
      </x:c>
      <x:c r="K28" t="n">
        <x:v>12</x:v>
      </x:c>
      <x:c r="L28" t="n">
        <x:v>18</x:v>
      </x:c>
      <x:c r="M28" t="n">
        <x:v>16</x:v>
      </x:c>
      <x:c r="N28" t="n">
        <x:v>13</x:v>
      </x:c>
      <x:c r="O28" t="n">
        <x:v>12</x:v>
      </x:c>
      <x:c r="P28" t="n">
        <x:v>14</x:v>
      </x:c>
      <x:c r="Q28" t="n">
        <x:v>10</x:v>
      </x:c>
      <x:c r="EQ28">
        <x:f t="shared" si="20"/>
        <x:v>30</x:v>
      </x:c>
      <x:c r="ER28">
        <x:f t="shared" si="21"/>
        <x:v>100</x:v>
      </x:c>
      <x:c r="ES28">
        <x:f t="shared" si="22"/>
        <x:v>60</x:v>
      </x:c>
      <x:c r="ET28">
        <x:f t="shared" si="23"/>
        <x:v>0</x:v>
      </x:c>
      <x:c r="EU28">
        <x:f t="shared" si="24"/>
        <x:v>0</x:v>
      </x:c>
      <x:c r="EV28">
        <x:f t="shared" si="25"/>
        <x:v>0</x:v>
      </x:c>
      <x:c r="EW28">
        <x:f t="shared" si="26"/>
        <x:v>0</x:v>
      </x:c>
      <x:c r="EX28">
        <x:f t="shared" si="27"/>
        <x:v>0</x:v>
      </x:c>
      <x:c r="EY28">
        <x:f t="shared" si="28"/>
        <x:v>0</x:v>
      </x:c>
      <x:c r="EZ28">
        <x:f t="shared" si="29"/>
        <x:v>0</x:v>
      </x:c>
      <x:c r="FA28" s="41">
        <x:f t="shared" si="30"/>
        <x:v>0</x:v>
      </x:c>
      <x:c r="FB28">
        <x:f t="shared" si="31"/>
        <x:v>50</x:v>
      </x:c>
      <x:c r="FC28">
        <x:f t="shared" si="32"/>
        <x:v>100</x:v>
      </x:c>
      <x:c r="FD28">
        <x:f t="shared" si="33"/>
        <x:v>0</x:v>
      </x:c>
      <x:c r="FE28">
        <x:f t="shared" si="34"/>
        <x:v>50</x:v>
      </x:c>
      <x:c r="FF28">
        <x:f t="shared" si="35"/>
        <x:v>0</x:v>
      </x:c>
      <x:c r="FG28">
        <x:f t="shared" si="36"/>
        <x:v>0</x:v>
      </x:c>
      <x:c r="FH28">
        <x:f t="shared" si="37"/>
        <x:v>0</x:v>
      </x:c>
      <x:c r="FI28">
        <x:f t="shared" si="38"/>
        <x:v>0</x:v>
      </x:c>
      <x:c r="FJ28">
        <x:f t="shared" si="39"/>
        <x:v>0</x:v>
      </x:c>
      <x:c r="FK28">
        <x:f t="shared" si="40"/>
        <x:v>0</x:v>
      </x:c>
      <x:c r="FL28" s="41">
        <x:f t="shared" si="41"/>
        <x:v>0</x:v>
      </x:c>
      <x:c r="FM28">
        <x:f t="shared" si="42"/>
        <x:v>20</x:v>
      </x:c>
      <x:c r="FN28">
        <x:f t="shared" si="43"/>
        <x:v>125</x:v>
      </x:c>
      <x:c r="FO28">
        <x:f t="shared" si="44"/>
        <x:v>50</x:v>
      </x:c>
      <x:c r="FP28">
        <x:f t="shared" si="45"/>
        <x:v>0</x:v>
      </x:c>
      <x:c r="FQ28">
        <x:f t="shared" si="46"/>
        <x:v>0</x:v>
      </x:c>
      <x:c r="FR28">
        <x:f t="shared" si="47"/>
        <x:v>0</x:v>
      </x:c>
      <x:c r="FS28">
        <x:f t="shared" si="48"/>
        <x:v>0</x:v>
      </x:c>
      <x:c r="FT28">
        <x:f t="shared" si="49"/>
        <x:v>0</x:v>
      </x:c>
      <x:c r="FU28">
        <x:f t="shared" si="50"/>
        <x:v>0</x:v>
      </x:c>
      <x:c r="FV28">
        <x:f t="shared" si="51"/>
        <x:v>0</x:v>
      </x:c>
      <x:c r="FW28" s="41">
        <x:f t="shared" si="52"/>
        <x:v>0</x:v>
      </x:c>
      <x:c r="FX28">
        <x:f t="shared" si="53"/>
        <x:v>100</x:v>
      </x:c>
      <x:c r="FY28">
        <x:f t="shared" si="54"/>
        <x:v>325</x:v>
      </x:c>
      <x:c r="FZ28">
        <x:f t="shared" si="55"/>
        <x:v>110</x:v>
      </x:c>
      <x:c r="GA28">
        <x:f t="shared" si="56"/>
        <x:v>50</x:v>
      </x:c>
      <x:c r="GB28">
        <x:f t="shared" si="57"/>
        <x:v>0</x:v>
      </x:c>
      <x:c r="GC28">
        <x:f t="shared" si="58"/>
        <x:v>0</x:v>
      </x:c>
      <x:c r="GD28">
        <x:f t="shared" si="59"/>
        <x:v>0</x:v>
      </x:c>
      <x:c r="GE28">
        <x:f t="shared" si="60"/>
        <x:v>0</x:v>
      </x:c>
      <x:c r="GF28">
        <x:f t="shared" si="61"/>
        <x:v>0</x:v>
      </x:c>
      <x:c r="GG28">
        <x:f t="shared" si="62"/>
        <x:v>0</x:v>
      </x:c>
      <x:c r="GH28">
        <x:f t="shared" si="63"/>
        <x:v>0</x:v>
      </x:c>
      <x:c r="GI28">
        <x:f t="shared" si="64"/>
        <x:v>60</x:v>
      </x:c>
      <x:c r="GJ28">
        <x:f t="shared" si="65"/>
        <x:v>100</x:v>
      </x:c>
      <x:c r="GK28">
        <x:f t="shared" si="66"/>
        <x:v>0</x:v>
      </x:c>
      <x:c r="GL28">
        <x:f t="shared" si="67"/>
        <x:v>0</x:v>
      </x:c>
      <x:c r="GM28">
        <x:f t="shared" si="68"/>
        <x:v>0</x:v>
      </x:c>
      <x:c r="GN28">
        <x:f t="shared" si="69"/>
        <x:v>0</x:v>
      </x:c>
      <x:c r="GO28">
        <x:f t="shared" si="70"/>
        <x:v>30</x:v>
      </x:c>
      <x:c r="GP28">
        <x:f t="shared" si="71"/>
        <x:v>0</x:v>
      </x:c>
      <x:c r="GQ28">
        <x:f t="shared" si="72"/>
        <x:v>0</x:v>
      </x:c>
      <x:c r="GR28" s="42">
        <x:f t="shared" si="73"/>
        <x:v>0</x:v>
      </x:c>
      <x:c r="GS28">
        <x:f t="shared" si="74"/>
        <x:v>50</x:v>
      </x:c>
      <x:c r="GT28">
        <x:f t="shared" si="75"/>
        <x:v>100</x:v>
      </x:c>
      <x:c r="GU28">
        <x:f t="shared" si="76"/>
        <x:v>0</x:v>
      </x:c>
      <x:c r="GV28">
        <x:f t="shared" si="77"/>
        <x:v>0</x:v>
      </x:c>
      <x:c r="GW28">
        <x:f t="shared" si="78"/>
        <x:v>0</x:v>
      </x:c>
      <x:c r="GX28">
        <x:f t="shared" si="79"/>
        <x:v>0</x:v>
      </x:c>
      <x:c r="GY28">
        <x:f t="shared" si="80"/>
        <x:v>50</x:v>
      </x:c>
      <x:c r="GZ28">
        <x:f t="shared" si="81"/>
        <x:v>0</x:v>
      </x:c>
      <x:c r="HA28">
        <x:f t="shared" si="82"/>
        <x:v>0</x:v>
      </x:c>
      <x:c r="HB28" s="42">
        <x:f t="shared" si="83"/>
        <x:v>0</x:v>
      </x:c>
      <x:c r="HC28">
        <x:f t="shared" si="84"/>
        <x:v>50</x:v>
      </x:c>
      <x:c r="HD28">
        <x:f t="shared" si="85"/>
        <x:v>125</x:v>
      </x:c>
      <x:c r="HE28">
        <x:f t="shared" si="86"/>
        <x:v>0</x:v>
      </x:c>
      <x:c r="HF28">
        <x:f t="shared" si="87"/>
        <x:v>0</x:v>
      </x:c>
      <x:c r="HG28">
        <x:f t="shared" si="88"/>
        <x:v>0</x:v>
      </x:c>
      <x:c r="HH28">
        <x:f t="shared" si="89"/>
        <x:v>0</x:v>
      </x:c>
      <x:c r="HI28">
        <x:f t="shared" si="90"/>
        <x:v>20</x:v>
      </x:c>
      <x:c r="HJ28">
        <x:f t="shared" si="91"/>
        <x:v>0</x:v>
      </x:c>
      <x:c r="HK28">
        <x:f t="shared" si="92"/>
        <x:v>0</x:v>
      </x:c>
      <x:c r="HL28">
        <x:f t="shared" si="93"/>
        <x:v>0</x:v>
      </x:c>
    </x:row>
    <x:row r="29">
      <x:c r="A29">
        <x:v>16</x:v>
      </x:c>
      <x:c r="B29" t="s">
        <x:v>210</x:v>
      </x:c>
      <x:c r="C29" t="str">
        <x:v>Cordero, Rhea G.</x:v>
      </x:c>
      <x:c r="D29" s="74" t="s">
        <x:v>93</x:v>
      </x:c>
      <x:c r="E29" t="n">
        <x:v>19</x:v>
      </x:c>
      <x:c r="F29" t="n">
        <x:v>38</x:v>
      </x:c>
      <x:c r="G29" t="n">
        <x:v>32</x:v>
      </x:c>
      <x:c r="H29" t="n">
        <x:v>27</x:v>
      </x:c>
      <x:c r="I29" t="n">
        <x:v>24</x:v>
      </x:c>
      <x:c r="J29" t="n">
        <x:v>60</x:v>
      </x:c>
      <x:c r="K29" t="n">
        <x:v>11</x:v>
      </x:c>
      <x:c r="L29" t="n">
        <x:v>19</x:v>
      </x:c>
      <x:c r="M29" t="n">
        <x:v>11</x:v>
      </x:c>
      <x:c r="N29" t="n">
        <x:v>16</x:v>
      </x:c>
      <x:c r="O29" t="n">
        <x:v>17</x:v>
      </x:c>
      <x:c r="P29" t="n">
        <x:v>15</x:v>
      </x:c>
      <x:c r="Q29" t="n">
        <x:v>13</x:v>
      </x:c>
      <x:c r="EQ29">
        <x:f t="shared" si="20"/>
        <x:v>25</x:v>
      </x:c>
      <x:c r="ER29">
        <x:f t="shared" si="21"/>
        <x:v>75</x:v>
      </x:c>
      <x:c r="ES29">
        <x:f t="shared" si="22"/>
        <x:v>52</x:v>
      </x:c>
      <x:c r="ET29">
        <x:f t="shared" si="23"/>
        <x:v>0</x:v>
      </x:c>
      <x:c r="EU29">
        <x:f t="shared" si="24"/>
        <x:v>0</x:v>
      </x:c>
      <x:c r="EV29">
        <x:f t="shared" si="25"/>
        <x:v>0</x:v>
      </x:c>
      <x:c r="EW29">
        <x:f t="shared" si="26"/>
        <x:v>0</x:v>
      </x:c>
      <x:c r="EX29">
        <x:f t="shared" si="27"/>
        <x:v>0</x:v>
      </x:c>
      <x:c r="EY29">
        <x:f t="shared" si="28"/>
        <x:v>0</x:v>
      </x:c>
      <x:c r="EZ29">
        <x:f t="shared" si="29"/>
        <x:v>0</x:v>
      </x:c>
      <x:c r="FA29" s="41">
        <x:f t="shared" si="30"/>
        <x:v>0</x:v>
      </x:c>
      <x:c r="FB29">
        <x:f t="shared" si="31"/>
        <x:v>42</x:v>
      </x:c>
      <x:c r="FC29">
        <x:f t="shared" si="32"/>
        <x:v>88</x:v>
      </x:c>
      <x:c r="FD29">
        <x:f t="shared" si="33"/>
        <x:v>0</x:v>
      </x:c>
      <x:c r="FE29">
        <x:f t="shared" si="34"/>
        <x:v>45</x:v>
      </x:c>
      <x:c r="FF29">
        <x:f t="shared" si="35"/>
        <x:v>0</x:v>
      </x:c>
      <x:c r="FG29">
        <x:f t="shared" si="36"/>
        <x:v>0</x:v>
      </x:c>
      <x:c r="FH29">
        <x:f t="shared" si="37"/>
        <x:v>0</x:v>
      </x:c>
      <x:c r="FI29">
        <x:f t="shared" si="38"/>
        <x:v>0</x:v>
      </x:c>
      <x:c r="FJ29">
        <x:f t="shared" si="39"/>
        <x:v>0</x:v>
      </x:c>
      <x:c r="FK29">
        <x:f t="shared" si="40"/>
        <x:v>0</x:v>
      </x:c>
      <x:c r="FL29" s="41">
        <x:f t="shared" si="41"/>
        <x:v>0</x:v>
      </x:c>
      <x:c r="FM29">
        <x:f t="shared" si="42"/>
        <x:v>18</x:v>
      </x:c>
      <x:c r="FN29">
        <x:f t="shared" si="43"/>
        <x:v>111</x:v>
      </x:c>
      <x:c r="FO29">
        <x:f t="shared" si="44"/>
        <x:v>48</x:v>
      </x:c>
      <x:c r="FP29">
        <x:f t="shared" si="45"/>
        <x:v>0</x:v>
      </x:c>
      <x:c r="FQ29">
        <x:f t="shared" si="46"/>
        <x:v>0</x:v>
      </x:c>
      <x:c r="FR29">
        <x:f t="shared" si="47"/>
        <x:v>0</x:v>
      </x:c>
      <x:c r="FS29">
        <x:f t="shared" si="48"/>
        <x:v>0</x:v>
      </x:c>
      <x:c r="FT29">
        <x:f t="shared" si="49"/>
        <x:v>0</x:v>
      </x:c>
      <x:c r="FU29">
        <x:f t="shared" si="50"/>
        <x:v>0</x:v>
      </x:c>
      <x:c r="FV29">
        <x:f t="shared" si="51"/>
        <x:v>0</x:v>
      </x:c>
      <x:c r="FW29" s="41">
        <x:f t="shared" si="52"/>
        <x:v>0</x:v>
      </x:c>
      <x:c r="FX29">
        <x:f t="shared" si="53"/>
        <x:v>85</x:v>
      </x:c>
      <x:c r="FY29">
        <x:f t="shared" si="54"/>
        <x:v>274</x:v>
      </x:c>
      <x:c r="FZ29">
        <x:f t="shared" si="55"/>
        <x:v>100</x:v>
      </x:c>
      <x:c r="GA29">
        <x:f t="shared" si="56"/>
        <x:v>45</x:v>
      </x:c>
      <x:c r="GB29">
        <x:f t="shared" si="57"/>
        <x:v>0</x:v>
      </x:c>
      <x:c r="GC29">
        <x:f t="shared" si="58"/>
        <x:v>0</x:v>
      </x:c>
      <x:c r="GD29">
        <x:f t="shared" si="59"/>
        <x:v>0</x:v>
      </x:c>
      <x:c r="GE29">
        <x:f t="shared" si="60"/>
        <x:v>0</x:v>
      </x:c>
      <x:c r="GF29">
        <x:f t="shared" si="61"/>
        <x:v>0</x:v>
      </x:c>
      <x:c r="GG29">
        <x:f t="shared" si="62"/>
        <x:v>0</x:v>
      </x:c>
      <x:c r="GH29">
        <x:f t="shared" si="63"/>
        <x:v>0</x:v>
      </x:c>
      <x:c r="GI29">
        <x:f t="shared" si="64"/>
        <x:v>52</x:v>
      </x:c>
      <x:c r="GJ29">
        <x:f t="shared" si="65"/>
        <x:v>75</x:v>
      </x:c>
      <x:c r="GK29">
        <x:f t="shared" si="66"/>
        <x:v>0</x:v>
      </x:c>
      <x:c r="GL29">
        <x:f t="shared" si="67"/>
        <x:v>0</x:v>
      </x:c>
      <x:c r="GM29">
        <x:f t="shared" si="68"/>
        <x:v>0</x:v>
      </x:c>
      <x:c r="GN29">
        <x:f t="shared" si="69"/>
        <x:v>0</x:v>
      </x:c>
      <x:c r="GO29">
        <x:f t="shared" si="70"/>
        <x:v>25</x:v>
      </x:c>
      <x:c r="GP29">
        <x:f t="shared" si="71"/>
        <x:v>0</x:v>
      </x:c>
      <x:c r="GQ29">
        <x:f t="shared" si="72"/>
        <x:v>0</x:v>
      </x:c>
      <x:c r="GR29" s="42">
        <x:f t="shared" si="73"/>
        <x:v>0</x:v>
      </x:c>
      <x:c r="GS29">
        <x:f t="shared" si="74"/>
        <x:v>45</x:v>
      </x:c>
      <x:c r="GT29">
        <x:f t="shared" si="75"/>
        <x:v>88</x:v>
      </x:c>
      <x:c r="GU29">
        <x:f t="shared" si="76"/>
        <x:v>0</x:v>
      </x:c>
      <x:c r="GV29">
        <x:f t="shared" si="77"/>
        <x:v>0</x:v>
      </x:c>
      <x:c r="GW29">
        <x:f t="shared" si="78"/>
        <x:v>0</x:v>
      </x:c>
      <x:c r="GX29">
        <x:f t="shared" si="79"/>
        <x:v>0</x:v>
      </x:c>
      <x:c r="GY29">
        <x:f t="shared" si="80"/>
        <x:v>42</x:v>
      </x:c>
      <x:c r="GZ29">
        <x:f t="shared" si="81"/>
        <x:v>0</x:v>
      </x:c>
      <x:c r="HA29">
        <x:f t="shared" si="82"/>
        <x:v>0</x:v>
      </x:c>
      <x:c r="HB29" s="42">
        <x:f t="shared" si="83"/>
        <x:v>0</x:v>
      </x:c>
      <x:c r="HC29">
        <x:f t="shared" si="84"/>
        <x:v>48</x:v>
      </x:c>
      <x:c r="HD29">
        <x:f t="shared" si="85"/>
        <x:v>111</x:v>
      </x:c>
      <x:c r="HE29">
        <x:f t="shared" si="86"/>
        <x:v>0</x:v>
      </x:c>
      <x:c r="HF29">
        <x:f t="shared" si="87"/>
        <x:v>0</x:v>
      </x:c>
      <x:c r="HG29">
        <x:f t="shared" si="88"/>
        <x:v>0</x:v>
      </x:c>
      <x:c r="HH29">
        <x:f t="shared" si="89"/>
        <x:v>0</x:v>
      </x:c>
      <x:c r="HI29">
        <x:f t="shared" si="90"/>
        <x:v>18</x:v>
      </x:c>
      <x:c r="HJ29">
        <x:f t="shared" si="91"/>
        <x:v>0</x:v>
      </x:c>
      <x:c r="HK29">
        <x:f t="shared" si="92"/>
        <x:v>0</x:v>
      </x:c>
      <x:c r="HL29">
        <x:f t="shared" si="93"/>
        <x:v>0</x:v>
      </x:c>
    </x:row>
    <x:row r="30">
      <x:c r="A30">
        <x:v>17</x:v>
      </x:c>
      <x:c r="B30" t="s">
        <x:v>211</x:v>
      </x:c>
      <x:c r="C30" t="str">
        <x:v>Montemayor, Leah O.</x:v>
      </x:c>
      <x:c r="D30" s="74" t="s">
        <x:v>93</x:v>
      </x:c>
      <x:c r="E30" t="n">
        <x:v>11</x:v>
      </x:c>
      <x:c r="F30" t="n">
        <x:v>20</x:v>
      </x:c>
      <x:c r="G30" t="n">
        <x:v>43</x:v>
      </x:c>
      <x:c r="H30" t="n">
        <x:v>26</x:v>
      </x:c>
      <x:c r="I30" t="n">
        <x:v>22</x:v>
      </x:c>
      <x:c r="J30" t="n">
        <x:v>39</x:v>
      </x:c>
      <x:c r="K30" t="n">
        <x:v>8</x:v>
      </x:c>
      <x:c r="L30" t="n">
        <x:v>27</x:v>
      </x:c>
      <x:c r="M30" t="n">
        <x:v>12</x:v>
      </x:c>
      <x:c r="N30" t="n">
        <x:v>13</x:v>
      </x:c>
      <x:c r="O30" t="n">
        <x:v>14</x:v>
      </x:c>
      <x:c r="P30" t="n">
        <x:v>12</x:v>
      </x:c>
      <x:c r="Q30" t="n">
        <x:v>9</x:v>
      </x:c>
      <x:c r="EQ30">
        <x:f t="shared" si="20"/>
        <x:v>28</x:v>
      </x:c>
      <x:c r="ER30">
        <x:f t="shared" si="21"/>
        <x:v>78</x:v>
      </x:c>
      <x:c r="ES30">
        <x:f t="shared" si="22"/>
        <x:v>55</x:v>
      </x:c>
      <x:c r="ET30">
        <x:f t="shared" si="23"/>
        <x:v>0</x:v>
      </x:c>
      <x:c r="EU30">
        <x:f t="shared" si="24"/>
        <x:v>0</x:v>
      </x:c>
      <x:c r="EV30">
        <x:f t="shared" si="25"/>
        <x:v>0</x:v>
      </x:c>
      <x:c r="EW30">
        <x:f t="shared" si="26"/>
        <x:v>0</x:v>
      </x:c>
      <x:c r="EX30">
        <x:f t="shared" si="27"/>
        <x:v>0</x:v>
      </x:c>
      <x:c r="EY30">
        <x:f t="shared" si="28"/>
        <x:v>0</x:v>
      </x:c>
      <x:c r="EZ30">
        <x:f t="shared" si="29"/>
        <x:v>0</x:v>
      </x:c>
      <x:c r="FA30" s="41">
        <x:f t="shared" si="30"/>
        <x:v>0</x:v>
      </x:c>
      <x:c r="FB30">
        <x:f t="shared" si="31"/>
        <x:v>48</x:v>
      </x:c>
      <x:c r="FC30">
        <x:f t="shared" si="32"/>
        <x:v>95</x:v>
      </x:c>
      <x:c r="FD30">
        <x:f t="shared" si="33"/>
        <x:v>0</x:v>
      </x:c>
      <x:c r="FE30">
        <x:f t="shared" si="34"/>
        <x:v>48</x:v>
      </x:c>
      <x:c r="FF30">
        <x:f t="shared" si="35"/>
        <x:v>0</x:v>
      </x:c>
      <x:c r="FG30">
        <x:f t="shared" si="36"/>
        <x:v>0</x:v>
      </x:c>
      <x:c r="FH30">
        <x:f t="shared" si="37"/>
        <x:v>0</x:v>
      </x:c>
      <x:c r="FI30">
        <x:f t="shared" si="38"/>
        <x:v>0</x:v>
      </x:c>
      <x:c r="FJ30">
        <x:f t="shared" si="39"/>
        <x:v>0</x:v>
      </x:c>
      <x:c r="FK30">
        <x:f t="shared" si="40"/>
        <x:v>0</x:v>
      </x:c>
      <x:c r="FL30" s="41">
        <x:f t="shared" si="41"/>
        <x:v>0</x:v>
      </x:c>
      <x:c r="FM30">
        <x:f t="shared" si="42"/>
        <x:v>19</x:v>
      </x:c>
      <x:c r="FN30">
        <x:f t="shared" si="43"/>
        <x:v>119</x:v>
      </x:c>
      <x:c r="FO30">
        <x:f t="shared" si="44"/>
        <x:v>49</x:v>
      </x:c>
      <x:c r="FP30">
        <x:f t="shared" si="45"/>
        <x:v>0</x:v>
      </x:c>
      <x:c r="FQ30">
        <x:f t="shared" si="46"/>
        <x:v>0</x:v>
      </x:c>
      <x:c r="FR30">
        <x:f t="shared" si="47"/>
        <x:v>0</x:v>
      </x:c>
      <x:c r="FS30">
        <x:f t="shared" si="48"/>
        <x:v>0</x:v>
      </x:c>
      <x:c r="FT30">
        <x:f t="shared" si="49"/>
        <x:v>0</x:v>
      </x:c>
      <x:c r="FU30">
        <x:f t="shared" si="50"/>
        <x:v>0</x:v>
      </x:c>
      <x:c r="FV30">
        <x:f t="shared" si="51"/>
        <x:v>0</x:v>
      </x:c>
      <x:c r="FW30" s="41">
        <x:f t="shared" si="52"/>
        <x:v>0</x:v>
      </x:c>
      <x:c r="FX30">
        <x:f t="shared" si="53"/>
        <x:v>95</x:v>
      </x:c>
      <x:c r="FY30">
        <x:f t="shared" si="54"/>
        <x:v>292</x:v>
      </x:c>
      <x:c r="FZ30">
        <x:f t="shared" si="55"/>
        <x:v>104</x:v>
      </x:c>
      <x:c r="GA30">
        <x:f t="shared" si="56"/>
        <x:v>48</x:v>
      </x:c>
      <x:c r="GB30">
        <x:f t="shared" si="57"/>
        <x:v>0</x:v>
      </x:c>
      <x:c r="GC30">
        <x:f t="shared" si="58"/>
        <x:v>0</x:v>
      </x:c>
      <x:c r="GD30">
        <x:f t="shared" si="59"/>
        <x:v>0</x:v>
      </x:c>
      <x:c r="GE30">
        <x:f t="shared" si="60"/>
        <x:v>0</x:v>
      </x:c>
      <x:c r="GF30">
        <x:f t="shared" si="61"/>
        <x:v>0</x:v>
      </x:c>
      <x:c r="GG30">
        <x:f t="shared" si="62"/>
        <x:v>0</x:v>
      </x:c>
      <x:c r="GH30">
        <x:f t="shared" si="63"/>
        <x:v>0</x:v>
      </x:c>
      <x:c r="GI30">
        <x:f t="shared" si="64"/>
        <x:v>55</x:v>
      </x:c>
      <x:c r="GJ30">
        <x:f t="shared" si="65"/>
        <x:v>78</x:v>
      </x:c>
      <x:c r="GK30">
        <x:f t="shared" si="66"/>
        <x:v>0</x:v>
      </x:c>
      <x:c r="GL30">
        <x:f t="shared" si="67"/>
        <x:v>0</x:v>
      </x:c>
      <x:c r="GM30">
        <x:f t="shared" si="68"/>
        <x:v>0</x:v>
      </x:c>
      <x:c r="GN30">
        <x:f t="shared" si="69"/>
        <x:v>0</x:v>
      </x:c>
      <x:c r="GO30">
        <x:f t="shared" si="70"/>
        <x:v>28</x:v>
      </x:c>
      <x:c r="GP30">
        <x:f t="shared" si="71"/>
        <x:v>0</x:v>
      </x:c>
      <x:c r="GQ30">
        <x:f t="shared" si="72"/>
        <x:v>0</x:v>
      </x:c>
      <x:c r="GR30" s="42">
        <x:f t="shared" si="73"/>
        <x:v>0</x:v>
      </x:c>
      <x:c r="GS30">
        <x:f t="shared" si="74"/>
        <x:v>48</x:v>
      </x:c>
      <x:c r="GT30">
        <x:f t="shared" si="75"/>
        <x:v>95</x:v>
      </x:c>
      <x:c r="GU30">
        <x:f t="shared" si="76"/>
        <x:v>0</x:v>
      </x:c>
      <x:c r="GV30">
        <x:f t="shared" si="77"/>
        <x:v>0</x:v>
      </x:c>
      <x:c r="GW30">
        <x:f t="shared" si="78"/>
        <x:v>0</x:v>
      </x:c>
      <x:c r="GX30">
        <x:f t="shared" si="79"/>
        <x:v>0</x:v>
      </x:c>
      <x:c r="GY30">
        <x:f t="shared" si="80"/>
        <x:v>48</x:v>
      </x:c>
      <x:c r="GZ30">
        <x:f t="shared" si="81"/>
        <x:v>0</x:v>
      </x:c>
      <x:c r="HA30">
        <x:f t="shared" si="82"/>
        <x:v>0</x:v>
      </x:c>
      <x:c r="HB30" s="42">
        <x:f t="shared" si="83"/>
        <x:v>0</x:v>
      </x:c>
      <x:c r="HC30">
        <x:f t="shared" si="84"/>
        <x:v>49</x:v>
      </x:c>
      <x:c r="HD30">
        <x:f t="shared" si="85"/>
        <x:v>119</x:v>
      </x:c>
      <x:c r="HE30">
        <x:f t="shared" si="86"/>
        <x:v>0</x:v>
      </x:c>
      <x:c r="HF30">
        <x:f t="shared" si="87"/>
        <x:v>0</x:v>
      </x:c>
      <x:c r="HG30">
        <x:f t="shared" si="88"/>
        <x:v>0</x:v>
      </x:c>
      <x:c r="HH30">
        <x:f t="shared" si="89"/>
        <x:v>0</x:v>
      </x:c>
      <x:c r="HI30">
        <x:f t="shared" si="90"/>
        <x:v>19</x:v>
      </x:c>
      <x:c r="HJ30">
        <x:f t="shared" si="91"/>
        <x:v>0</x:v>
      </x:c>
      <x:c r="HK30">
        <x:f t="shared" si="92"/>
        <x:v>0</x:v>
      </x:c>
      <x:c r="HL30">
        <x:f t="shared" si="93"/>
        <x:v>0</x:v>
      </x:c>
    </x:row>
    <x:row r="31">
      <x:c r="A31">
        <x:v>18</x:v>
      </x:c>
      <x:c r="B31" t="s">
        <x:v>212</x:v>
      </x:c>
      <x:c r="C31" t="str">
        <x:v>Mercado, Marco V.</x:v>
      </x:c>
      <x:c r="D31" s="74" t="s">
        <x:v>93</x:v>
      </x:c>
      <x:c r="E31" t="n">
        <x:v>18</x:v>
      </x:c>
      <x:c r="F31" t="n">
        <x:v>26</x:v>
      </x:c>
      <x:c r="G31" t="n">
        <x:v>42</x:v>
      </x:c>
      <x:c r="H31" t="n">
        <x:v>18</x:v>
      </x:c>
      <x:c r="I31" t="n">
        <x:v>22</x:v>
      </x:c>
      <x:c r="J31" t="n">
        <x:v>61</x:v>
      </x:c>
      <x:c r="K31" t="n">
        <x:v>7</x:v>
      </x:c>
      <x:c r="L31" t="n">
        <x:v>28</x:v>
      </x:c>
      <x:c r="M31" t="n">
        <x:v>8</x:v>
      </x:c>
      <x:c r="N31" t="n">
        <x:v>15</x:v>
      </x:c>
      <x:c r="O31" t="n">
        <x:v>13</x:v>
      </x:c>
      <x:c r="P31" t="n">
        <x:v>14</x:v>
      </x:c>
      <x:c r="Q31" t="n">
        <x:v>8</x:v>
      </x:c>
      <x:c r="EQ31">
        <x:f t="shared" si="20"/>
        <x:v>20</x:v>
      </x:c>
      <x:c r="ER31">
        <x:f t="shared" si="21"/>
        <x:v>55</x:v>
      </x:c>
      <x:c r="ES31">
        <x:f t="shared" si="22"/>
        <x:v>40</x:v>
      </x:c>
      <x:c r="ET31">
        <x:f t="shared" si="23"/>
        <x:v>0</x:v>
      </x:c>
      <x:c r="EU31">
        <x:f t="shared" si="24"/>
        <x:v>0</x:v>
      </x:c>
      <x:c r="EV31">
        <x:f t="shared" si="25"/>
        <x:v>0</x:v>
      </x:c>
      <x:c r="EW31">
        <x:f t="shared" si="26"/>
        <x:v>0</x:v>
      </x:c>
      <x:c r="EX31">
        <x:f t="shared" si="27"/>
        <x:v>0</x:v>
      </x:c>
      <x:c r="EY31">
        <x:f t="shared" si="28"/>
        <x:v>0</x:v>
      </x:c>
      <x:c r="EZ31">
        <x:f t="shared" si="29"/>
        <x:v>0</x:v>
      </x:c>
      <x:c r="FA31" s="41">
        <x:f t="shared" si="30"/>
        <x:v>0</x:v>
      </x:c>
      <x:c r="FB31">
        <x:f t="shared" si="31"/>
        <x:v>35</x:v>
      </x:c>
      <x:c r="FC31">
        <x:f t="shared" si="32"/>
        <x:v>60</x:v>
      </x:c>
      <x:c r="FD31">
        <x:f t="shared" si="33"/>
        <x:v>0</x:v>
      </x:c>
      <x:c r="FE31">
        <x:f t="shared" si="34"/>
        <x:v>30</x:v>
      </x:c>
      <x:c r="FF31">
        <x:f t="shared" si="35"/>
        <x:v>0</x:v>
      </x:c>
      <x:c r="FG31">
        <x:f t="shared" si="36"/>
        <x:v>0</x:v>
      </x:c>
      <x:c r="FH31">
        <x:f t="shared" si="37"/>
        <x:v>0</x:v>
      </x:c>
      <x:c r="FI31">
        <x:f t="shared" si="38"/>
        <x:v>0</x:v>
      </x:c>
      <x:c r="FJ31">
        <x:f t="shared" si="39"/>
        <x:v>0</x:v>
      </x:c>
      <x:c r="FK31">
        <x:f t="shared" si="40"/>
        <x:v>0</x:v>
      </x:c>
      <x:c r="FL31" s="41">
        <x:f t="shared" si="41"/>
        <x:v>0</x:v>
      </x:c>
      <x:c r="FM31">
        <x:f t="shared" si="42"/>
        <x:v>14</x:v>
      </x:c>
      <x:c r="FN31">
        <x:f t="shared" si="43"/>
        <x:v>75</x:v>
      </x:c>
      <x:c r="FO31">
        <x:f t="shared" si="44"/>
        <x:v>35</x:v>
      </x:c>
      <x:c r="FP31">
        <x:f t="shared" si="45"/>
        <x:v>0</x:v>
      </x:c>
      <x:c r="FQ31">
        <x:f t="shared" si="46"/>
        <x:v>0</x:v>
      </x:c>
      <x:c r="FR31">
        <x:f t="shared" si="47"/>
        <x:v>0</x:v>
      </x:c>
      <x:c r="FS31">
        <x:f t="shared" si="48"/>
        <x:v>0</x:v>
      </x:c>
      <x:c r="FT31">
        <x:f t="shared" si="49"/>
        <x:v>0</x:v>
      </x:c>
      <x:c r="FU31">
        <x:f t="shared" si="50"/>
        <x:v>0</x:v>
      </x:c>
      <x:c r="FV31">
        <x:f t="shared" si="51"/>
        <x:v>0</x:v>
      </x:c>
      <x:c r="FW31" s="41">
        <x:f t="shared" si="52"/>
        <x:v>0</x:v>
      </x:c>
      <x:c r="FX31">
        <x:f t="shared" si="53"/>
        <x:v>69</x:v>
      </x:c>
      <x:c r="FY31">
        <x:f t="shared" si="54"/>
        <x:v>190</x:v>
      </x:c>
      <x:c r="FZ31">
        <x:f t="shared" si="55"/>
        <x:v>75</x:v>
      </x:c>
      <x:c r="GA31">
        <x:f t="shared" si="56"/>
        <x:v>30</x:v>
      </x:c>
      <x:c r="GB31">
        <x:f t="shared" si="57"/>
        <x:v>0</x:v>
      </x:c>
      <x:c r="GC31">
        <x:f t="shared" si="58"/>
        <x:v>0</x:v>
      </x:c>
      <x:c r="GD31">
        <x:f t="shared" si="59"/>
        <x:v>0</x:v>
      </x:c>
      <x:c r="GE31">
        <x:f t="shared" si="60"/>
        <x:v>0</x:v>
      </x:c>
      <x:c r="GF31">
        <x:f t="shared" si="61"/>
        <x:v>0</x:v>
      </x:c>
      <x:c r="GG31">
        <x:f t="shared" si="62"/>
        <x:v>0</x:v>
      </x:c>
      <x:c r="GH31">
        <x:f t="shared" si="63"/>
        <x:v>0</x:v>
      </x:c>
      <x:c r="GI31">
        <x:f t="shared" si="64"/>
        <x:v>40</x:v>
      </x:c>
      <x:c r="GJ31">
        <x:f t="shared" si="65"/>
        <x:v>55</x:v>
      </x:c>
      <x:c r="GK31">
        <x:f t="shared" si="66"/>
        <x:v>0</x:v>
      </x:c>
      <x:c r="GL31">
        <x:f t="shared" si="67"/>
        <x:v>0</x:v>
      </x:c>
      <x:c r="GM31">
        <x:f t="shared" si="68"/>
        <x:v>0</x:v>
      </x:c>
      <x:c r="GN31">
        <x:f t="shared" si="69"/>
        <x:v>0</x:v>
      </x:c>
      <x:c r="GO31">
        <x:f t="shared" si="70"/>
        <x:v>20</x:v>
      </x:c>
      <x:c r="GP31">
        <x:f t="shared" si="71"/>
        <x:v>0</x:v>
      </x:c>
      <x:c r="GQ31">
        <x:f t="shared" si="72"/>
        <x:v>0</x:v>
      </x:c>
      <x:c r="GR31" s="42">
        <x:f t="shared" si="73"/>
        <x:v>0</x:v>
      </x:c>
      <x:c r="GS31">
        <x:f t="shared" si="74"/>
        <x:v>30</x:v>
      </x:c>
      <x:c r="GT31">
        <x:f t="shared" si="75"/>
        <x:v>60</x:v>
      </x:c>
      <x:c r="GU31">
        <x:f t="shared" si="76"/>
        <x:v>0</x:v>
      </x:c>
      <x:c r="GV31">
        <x:f t="shared" si="77"/>
        <x:v>0</x:v>
      </x:c>
      <x:c r="GW31">
        <x:f t="shared" si="78"/>
        <x:v>0</x:v>
      </x:c>
      <x:c r="GX31">
        <x:f t="shared" si="79"/>
        <x:v>0</x:v>
      </x:c>
      <x:c r="GY31">
        <x:f t="shared" si="80"/>
        <x:v>35</x:v>
      </x:c>
      <x:c r="GZ31">
        <x:f t="shared" si="81"/>
        <x:v>0</x:v>
      </x:c>
      <x:c r="HA31">
        <x:f t="shared" si="82"/>
        <x:v>0</x:v>
      </x:c>
      <x:c r="HB31" s="42">
        <x:f t="shared" si="83"/>
        <x:v>0</x:v>
      </x:c>
      <x:c r="HC31">
        <x:f t="shared" si="84"/>
        <x:v>35</x:v>
      </x:c>
      <x:c r="HD31">
        <x:f t="shared" si="85"/>
        <x:v>75</x:v>
      </x:c>
      <x:c r="HE31">
        <x:f t="shared" si="86"/>
        <x:v>0</x:v>
      </x:c>
      <x:c r="HF31">
        <x:f t="shared" si="87"/>
        <x:v>0</x:v>
      </x:c>
      <x:c r="HG31">
        <x:f t="shared" si="88"/>
        <x:v>0</x:v>
      </x:c>
      <x:c r="HH31">
        <x:f t="shared" si="89"/>
        <x:v>0</x:v>
      </x:c>
      <x:c r="HI31">
        <x:f t="shared" si="90"/>
        <x:v>14</x:v>
      </x:c>
      <x:c r="HJ31">
        <x:f t="shared" si="91"/>
        <x:v>0</x:v>
      </x:c>
      <x:c r="HK31">
        <x:f t="shared" si="92"/>
        <x:v>0</x:v>
      </x:c>
      <x:c r="HL31">
        <x:f t="shared" si="93"/>
        <x:v>0</x:v>
      </x:c>
    </x:row>
    <x:row r="32">
      <x:c r="A32">
        <x:v>19</x:v>
      </x:c>
      <x:c r="B32" t="s">
        <x:v>213</x:v>
      </x:c>
      <x:c r="C32" t="str">
        <x:v>Tiongson, Cedric F.</x:v>
      </x:c>
      <x:c r="D32" s="74" t="s">
        <x:v>93</x:v>
      </x:c>
      <x:c r="E32" t="n">
        <x:v>13</x:v>
      </x:c>
      <x:c r="F32" t="n">
        <x:v>18</x:v>
      </x:c>
      <x:c r="G32" t="n">
        <x:v>24</x:v>
      </x:c>
      <x:c r="H32" t="n">
        <x:v>20</x:v>
      </x:c>
      <x:c r="I32" t="n">
        <x:v>21</x:v>
      </x:c>
      <x:c r="J32" t="n">
        <x:v>46</x:v>
      </x:c>
      <x:c r="K32" t="n">
        <x:v>9</x:v>
      </x:c>
      <x:c r="L32" t="n">
        <x:v>27</x:v>
      </x:c>
      <x:c r="M32" t="n">
        <x:v>14</x:v>
      </x:c>
      <x:c r="N32" t="n">
        <x:v>8</x:v>
      </x:c>
      <x:c r="O32" t="n">
        <x:v>14</x:v>
      </x:c>
      <x:c r="P32" t="n">
        <x:v>10</x:v>
      </x:c>
      <x:c r="Q32" t="n">
        <x:v>9</x:v>
      </x:c>
      <x:c r="EQ32">
        <x:f t="shared" si="20"/>
        <x:v>26</x:v>
      </x:c>
      <x:c r="ER32">
        <x:f t="shared" si="21"/>
        <x:v>72</x:v>
      </x:c>
      <x:c r="ES32">
        <x:f t="shared" si="22"/>
        <x:v>50</x:v>
      </x:c>
      <x:c r="ET32">
        <x:f t="shared" si="23"/>
        <x:v>0</x:v>
      </x:c>
      <x:c r="EU32">
        <x:f t="shared" si="24"/>
        <x:v>0</x:v>
      </x:c>
      <x:c r="EV32">
        <x:f t="shared" si="25"/>
        <x:v>0</x:v>
      </x:c>
      <x:c r="EW32">
        <x:f t="shared" si="26"/>
        <x:v>0</x:v>
      </x:c>
      <x:c r="EX32">
        <x:f t="shared" si="27"/>
        <x:v>0</x:v>
      </x:c>
      <x:c r="EY32">
        <x:f t="shared" si="28"/>
        <x:v>0</x:v>
      </x:c>
      <x:c r="EZ32">
        <x:f t="shared" si="29"/>
        <x:v>0</x:v>
      </x:c>
      <x:c r="FA32" s="41">
        <x:f t="shared" si="30"/>
        <x:v>0</x:v>
      </x:c>
      <x:c r="FB32">
        <x:f t="shared" si="31"/>
        <x:v>44</x:v>
      </x:c>
      <x:c r="FC32">
        <x:f t="shared" si="32"/>
        <x:v>85</x:v>
      </x:c>
      <x:c r="FD32">
        <x:f t="shared" si="33"/>
        <x:v>0</x:v>
      </x:c>
      <x:c r="FE32">
        <x:f t="shared" si="34"/>
        <x:v>42</x:v>
      </x:c>
      <x:c r="FF32">
        <x:f t="shared" si="35"/>
        <x:v>0</x:v>
      </x:c>
      <x:c r="FG32">
        <x:f t="shared" si="36"/>
        <x:v>0</x:v>
      </x:c>
      <x:c r="FH32">
        <x:f t="shared" si="37"/>
        <x:v>0</x:v>
      </x:c>
      <x:c r="FI32">
        <x:f t="shared" si="38"/>
        <x:v>0</x:v>
      </x:c>
      <x:c r="FJ32">
        <x:f t="shared" si="39"/>
        <x:v>0</x:v>
      </x:c>
      <x:c r="FK32">
        <x:f t="shared" si="40"/>
        <x:v>0</x:v>
      </x:c>
      <x:c r="FL32" s="41">
        <x:f t="shared" si="41"/>
        <x:v>0</x:v>
      </x:c>
      <x:c r="FM32">
        <x:f t="shared" si="42"/>
        <x:v>17</x:v>
      </x:c>
      <x:c r="FN32">
        <x:f t="shared" si="43"/>
        <x:v>100</x:v>
      </x:c>
      <x:c r="FO32">
        <x:f t="shared" si="44"/>
        <x:v>44</x:v>
      </x:c>
      <x:c r="FP32">
        <x:f t="shared" si="45"/>
        <x:v>0</x:v>
      </x:c>
      <x:c r="FQ32">
        <x:f t="shared" si="46"/>
        <x:v>0</x:v>
      </x:c>
      <x:c r="FR32">
        <x:f t="shared" si="47"/>
        <x:v>0</x:v>
      </x:c>
      <x:c r="FS32">
        <x:f t="shared" si="48"/>
        <x:v>0</x:v>
      </x:c>
      <x:c r="FT32">
        <x:f t="shared" si="49"/>
        <x:v>0</x:v>
      </x:c>
      <x:c r="FU32">
        <x:f t="shared" si="50"/>
        <x:v>0</x:v>
      </x:c>
      <x:c r="FV32">
        <x:f t="shared" si="51"/>
        <x:v>0</x:v>
      </x:c>
      <x:c r="FW32" s="41">
        <x:f t="shared" si="52"/>
        <x:v>0</x:v>
      </x:c>
      <x:c r="FX32">
        <x:f t="shared" si="53"/>
        <x:v>87</x:v>
      </x:c>
      <x:c r="FY32">
        <x:f t="shared" si="54"/>
        <x:v>257</x:v>
      </x:c>
      <x:c r="FZ32">
        <x:f t="shared" si="55"/>
        <x:v>94</x:v>
      </x:c>
      <x:c r="GA32">
        <x:f t="shared" si="56"/>
        <x:v>42</x:v>
      </x:c>
      <x:c r="GB32">
        <x:f t="shared" si="57"/>
        <x:v>0</x:v>
      </x:c>
      <x:c r="GC32">
        <x:f t="shared" si="58"/>
        <x:v>0</x:v>
      </x:c>
      <x:c r="GD32">
        <x:f t="shared" si="59"/>
        <x:v>0</x:v>
      </x:c>
      <x:c r="GE32">
        <x:f t="shared" si="60"/>
        <x:v>0</x:v>
      </x:c>
      <x:c r="GF32">
        <x:f t="shared" si="61"/>
        <x:v>0</x:v>
      </x:c>
      <x:c r="GG32">
        <x:f t="shared" si="62"/>
        <x:v>0</x:v>
      </x:c>
      <x:c r="GH32">
        <x:f t="shared" si="63"/>
        <x:v>0</x:v>
      </x:c>
      <x:c r="GI32">
        <x:f t="shared" si="64"/>
        <x:v>50</x:v>
      </x:c>
      <x:c r="GJ32">
        <x:f t="shared" si="65"/>
        <x:v>72</x:v>
      </x:c>
      <x:c r="GK32">
        <x:f t="shared" si="66"/>
        <x:v>0</x:v>
      </x:c>
      <x:c r="GL32">
        <x:f t="shared" si="67"/>
        <x:v>0</x:v>
      </x:c>
      <x:c r="GM32">
        <x:f t="shared" si="68"/>
        <x:v>0</x:v>
      </x:c>
      <x:c r="GN32">
        <x:f t="shared" si="69"/>
        <x:v>0</x:v>
      </x:c>
      <x:c r="GO32">
        <x:f t="shared" si="70"/>
        <x:v>26</x:v>
      </x:c>
      <x:c r="GP32">
        <x:f t="shared" si="71"/>
        <x:v>0</x:v>
      </x:c>
      <x:c r="GQ32">
        <x:f t="shared" si="72"/>
        <x:v>0</x:v>
      </x:c>
      <x:c r="GR32" s="42">
        <x:f t="shared" si="73"/>
        <x:v>0</x:v>
      </x:c>
      <x:c r="GS32">
        <x:f t="shared" si="74"/>
        <x:v>42</x:v>
      </x:c>
      <x:c r="GT32">
        <x:f t="shared" si="75"/>
        <x:v>85</x:v>
      </x:c>
      <x:c r="GU32">
        <x:f t="shared" si="76"/>
        <x:v>0</x:v>
      </x:c>
      <x:c r="GV32">
        <x:f t="shared" si="77"/>
        <x:v>0</x:v>
      </x:c>
      <x:c r="GW32">
        <x:f t="shared" si="78"/>
        <x:v>0</x:v>
      </x:c>
      <x:c r="GX32">
        <x:f t="shared" si="79"/>
        <x:v>0</x:v>
      </x:c>
      <x:c r="GY32">
        <x:f t="shared" si="80"/>
        <x:v>44</x:v>
      </x:c>
      <x:c r="GZ32">
        <x:f t="shared" si="81"/>
        <x:v>0</x:v>
      </x:c>
      <x:c r="HA32">
        <x:f t="shared" si="82"/>
        <x:v>0</x:v>
      </x:c>
      <x:c r="HB32" s="42">
        <x:f t="shared" si="83"/>
        <x:v>0</x:v>
      </x:c>
      <x:c r="HC32">
        <x:f t="shared" si="84"/>
        <x:v>44</x:v>
      </x:c>
      <x:c r="HD32">
        <x:f t="shared" si="85"/>
        <x:v>100</x:v>
      </x:c>
      <x:c r="HE32">
        <x:f t="shared" si="86"/>
        <x:v>0</x:v>
      </x:c>
      <x:c r="HF32">
        <x:f t="shared" si="87"/>
        <x:v>0</x:v>
      </x:c>
      <x:c r="HG32">
        <x:f t="shared" si="88"/>
        <x:v>0</x:v>
      </x:c>
      <x:c r="HH32">
        <x:f t="shared" si="89"/>
        <x:v>0</x:v>
      </x:c>
      <x:c r="HI32">
        <x:f t="shared" si="90"/>
        <x:v>17</x:v>
      </x:c>
      <x:c r="HJ32">
        <x:f t="shared" si="91"/>
        <x:v>0</x:v>
      </x:c>
      <x:c r="HK32">
        <x:f t="shared" si="92"/>
        <x:v>0</x:v>
      </x:c>
      <x:c r="HL32">
        <x:f t="shared" si="93"/>
        <x:v>0</x:v>
      </x:c>
    </x:row>
    <x:row r="33">
      <x:c r="A33">
        <x:v>20</x:v>
      </x:c>
      <x:c r="B33" t="s">
        <x:v>214</x:v>
      </x:c>
      <x:c r="C33" t="str">
        <x:v>Lorenzo, Owen M.</x:v>
      </x:c>
      <x:c r="D33" s="74" t="s">
        <x:v>93</x:v>
      </x:c>
      <x:c r="E33" t="n">
        <x:v>14</x:v>
      </x:c>
      <x:c r="F33" t="n">
        <x:v>29</x:v>
      </x:c>
      <x:c r="G33" t="n">
        <x:v>35</x:v>
      </x:c>
      <x:c r="H33" t="n">
        <x:v>28</x:v>
      </x:c>
      <x:c r="I33" t="n">
        <x:v>27</x:v>
      </x:c>
      <x:c r="J33" t="n">
        <x:v>37</x:v>
      </x:c>
      <x:c r="K33" t="n">
        <x:v>7</x:v>
      </x:c>
      <x:c r="L33" t="n">
        <x:v>16</x:v>
      </x:c>
      <x:c r="M33" t="n">
        <x:v>12</x:v>
      </x:c>
      <x:c r="N33" t="n">
        <x:v>14</x:v>
      </x:c>
      <x:c r="O33" t="n">
        <x:v>14</x:v>
      </x:c>
      <x:c r="P33" t="n">
        <x:v>8</x:v>
      </x:c>
      <x:c r="Q33" t="n">
        <x:v>13</x:v>
      </x:c>
      <x:c r="EQ33">
        <x:f t="shared" si="20"/>
        <x:v>10</x:v>
      </x:c>
      <x:c r="ER33">
        <x:f t="shared" si="21"/>
        <x:v>40</x:v>
      </x:c>
      <x:c r="ES33">
        <x:f t="shared" si="22"/>
        <x:v>20</x:v>
      </x:c>
      <x:c r="ET33">
        <x:f t="shared" si="23"/>
        <x:v>0</x:v>
      </x:c>
      <x:c r="EU33">
        <x:f t="shared" si="24"/>
        <x:v>0</x:v>
      </x:c>
      <x:c r="EV33">
        <x:f t="shared" si="25"/>
        <x:v>0</x:v>
      </x:c>
      <x:c r="EW33">
        <x:f t="shared" si="26"/>
        <x:v>0</x:v>
      </x:c>
      <x:c r="EX33">
        <x:f t="shared" si="27"/>
        <x:v>0</x:v>
      </x:c>
      <x:c r="EY33">
        <x:f t="shared" si="28"/>
        <x:v>0</x:v>
      </x:c>
      <x:c r="EZ33">
        <x:f t="shared" si="29"/>
        <x:v>0</x:v>
      </x:c>
      <x:c r="FA33" s="41">
        <x:f t="shared" si="30"/>
        <x:v>0</x:v>
      </x:c>
      <x:c r="FB33">
        <x:f t="shared" si="31"/>
        <x:v>20</x:v>
      </x:c>
      <x:c r="FC33">
        <x:f t="shared" si="32"/>
        <x:v>45</x:v>
      </x:c>
      <x:c r="FD33">
        <x:f t="shared" si="33"/>
        <x:v>0</x:v>
      </x:c>
      <x:c r="FE33">
        <x:f t="shared" si="34"/>
        <x:v>18</x:v>
      </x:c>
      <x:c r="FF33">
        <x:f t="shared" si="35"/>
        <x:v>0</x:v>
      </x:c>
      <x:c r="FG33">
        <x:f t="shared" si="36"/>
        <x:v>0</x:v>
      </x:c>
      <x:c r="FH33">
        <x:f t="shared" si="37"/>
        <x:v>0</x:v>
      </x:c>
      <x:c r="FI33">
        <x:f t="shared" si="38"/>
        <x:v>0</x:v>
      </x:c>
      <x:c r="FJ33">
        <x:f t="shared" si="39"/>
        <x:v>0</x:v>
      </x:c>
      <x:c r="FK33">
        <x:f t="shared" si="40"/>
        <x:v>0</x:v>
      </x:c>
      <x:c r="FL33" s="41">
        <x:f t="shared" si="41"/>
        <x:v>0</x:v>
      </x:c>
      <x:c r="FM33">
        <x:f t="shared" si="42"/>
        <x:v>8</x:v>
      </x:c>
      <x:c r="FN33">
        <x:f t="shared" si="43"/>
        <x:v>47</x:v>
      </x:c>
      <x:c r="FO33">
        <x:f t="shared" si="44"/>
        <x:v>22</x:v>
      </x:c>
      <x:c r="FP33">
        <x:f t="shared" si="45"/>
        <x:v>0</x:v>
      </x:c>
      <x:c r="FQ33">
        <x:f t="shared" si="46"/>
        <x:v>0</x:v>
      </x:c>
      <x:c r="FR33">
        <x:f t="shared" si="47"/>
        <x:v>0</x:v>
      </x:c>
      <x:c r="FS33">
        <x:f t="shared" si="48"/>
        <x:v>0</x:v>
      </x:c>
      <x:c r="FT33">
        <x:f t="shared" si="49"/>
        <x:v>0</x:v>
      </x:c>
      <x:c r="FU33">
        <x:f t="shared" si="50"/>
        <x:v>0</x:v>
      </x:c>
      <x:c r="FV33">
        <x:f t="shared" si="51"/>
        <x:v>0</x:v>
      </x:c>
      <x:c r="FW33" s="41">
        <x:f t="shared" si="52"/>
        <x:v>0</x:v>
      </x:c>
      <x:c r="FX33">
        <x:f t="shared" si="53"/>
        <x:v>38</x:v>
      </x:c>
      <x:c r="FY33">
        <x:f t="shared" si="54"/>
        <x:v>132</x:v>
      </x:c>
      <x:c r="FZ33">
        <x:f t="shared" si="55"/>
        <x:v>42</x:v>
      </x:c>
      <x:c r="GA33">
        <x:f t="shared" si="56"/>
        <x:v>18</x:v>
      </x:c>
      <x:c r="GB33">
        <x:f t="shared" si="57"/>
        <x:v>0</x:v>
      </x:c>
      <x:c r="GC33">
        <x:f t="shared" si="58"/>
        <x:v>0</x:v>
      </x:c>
      <x:c r="GD33">
        <x:f t="shared" si="59"/>
        <x:v>0</x:v>
      </x:c>
      <x:c r="GE33">
        <x:f t="shared" si="60"/>
        <x:v>0</x:v>
      </x:c>
      <x:c r="GF33">
        <x:f t="shared" si="61"/>
        <x:v>0</x:v>
      </x:c>
      <x:c r="GG33">
        <x:f t="shared" si="62"/>
        <x:v>0</x:v>
      </x:c>
      <x:c r="GH33">
        <x:f t="shared" si="63"/>
        <x:v>0</x:v>
      </x:c>
      <x:c r="GI33">
        <x:f t="shared" si="64"/>
        <x:v>20</x:v>
      </x:c>
      <x:c r="GJ33">
        <x:f t="shared" si="65"/>
        <x:v>40</x:v>
      </x:c>
      <x:c r="GK33">
        <x:f t="shared" si="66"/>
        <x:v>0</x:v>
      </x:c>
      <x:c r="GL33">
        <x:f t="shared" si="67"/>
        <x:v>0</x:v>
      </x:c>
      <x:c r="GM33">
        <x:f t="shared" si="68"/>
        <x:v>0</x:v>
      </x:c>
      <x:c r="GN33">
        <x:f t="shared" si="69"/>
        <x:v>0</x:v>
      </x:c>
      <x:c r="GO33">
        <x:f t="shared" si="70"/>
        <x:v>10</x:v>
      </x:c>
      <x:c r="GP33">
        <x:f t="shared" si="71"/>
        <x:v>0</x:v>
      </x:c>
      <x:c r="GQ33">
        <x:f t="shared" si="72"/>
        <x:v>0</x:v>
      </x:c>
      <x:c r="GR33" s="42">
        <x:f t="shared" si="73"/>
        <x:v>0</x:v>
      </x:c>
      <x:c r="GS33">
        <x:f t="shared" si="74"/>
        <x:v>18</x:v>
      </x:c>
      <x:c r="GT33">
        <x:f t="shared" si="75"/>
        <x:v>45</x:v>
      </x:c>
      <x:c r="GU33">
        <x:f t="shared" si="76"/>
        <x:v>0</x:v>
      </x:c>
      <x:c r="GV33">
        <x:f t="shared" si="77"/>
        <x:v>0</x:v>
      </x:c>
      <x:c r="GW33">
        <x:f t="shared" si="78"/>
        <x:v>0</x:v>
      </x:c>
      <x:c r="GX33">
        <x:f t="shared" si="79"/>
        <x:v>0</x:v>
      </x:c>
      <x:c r="GY33">
        <x:f t="shared" si="80"/>
        <x:v>20</x:v>
      </x:c>
      <x:c r="GZ33">
        <x:f t="shared" si="81"/>
        <x:v>0</x:v>
      </x:c>
      <x:c r="HA33">
        <x:f t="shared" si="82"/>
        <x:v>0</x:v>
      </x:c>
      <x:c r="HB33" s="42">
        <x:f t="shared" si="83"/>
        <x:v>0</x:v>
      </x:c>
      <x:c r="HC33">
        <x:f t="shared" si="84"/>
        <x:v>22</x:v>
      </x:c>
      <x:c r="HD33">
        <x:f t="shared" si="85"/>
        <x:v>47</x:v>
      </x:c>
      <x:c r="HE33">
        <x:f t="shared" si="86"/>
        <x:v>0</x:v>
      </x:c>
      <x:c r="HF33">
        <x:f t="shared" si="87"/>
        <x:v>0</x:v>
      </x:c>
      <x:c r="HG33">
        <x:f t="shared" si="88"/>
        <x:v>0</x:v>
      </x:c>
      <x:c r="HH33">
        <x:f t="shared" si="89"/>
        <x:v>0</x:v>
      </x:c>
      <x:c r="HI33">
        <x:f t="shared" si="90"/>
        <x:v>8</x:v>
      </x:c>
      <x:c r="HJ33">
        <x:f t="shared" si="91"/>
        <x:v>0</x:v>
      </x:c>
      <x:c r="HK33">
        <x:f t="shared" si="92"/>
        <x:v>0</x:v>
      </x:c>
      <x:c r="HL33">
        <x:f t="shared" si="93"/>
        <x:v>0</x:v>
      </x:c>
    </x:row>
    <x:row r="34">
      <x:c r="A34">
        <x:v>21</x:v>
      </x:c>
      <x:c r="B34" t="s">
        <x:v>215</x:v>
      </x:c>
      <x:c r="C34" t="str">
        <x:v>Mendoza, Nina M.</x:v>
      </x:c>
      <x:c r="D34" s="74" t="s">
        <x:v>93</x:v>
      </x:c>
      <x:c r="E34" t="n">
        <x:v>9</x:v>
      </x:c>
      <x:c r="F34" t="n">
        <x:v>30</x:v>
      </x:c>
      <x:c r="G34" t="n">
        <x:v>29</x:v>
      </x:c>
      <x:c r="H34" t="n">
        <x:v>26</x:v>
      </x:c>
      <x:c r="I34" t="n">
        <x:v>15</x:v>
      </x:c>
      <x:c r="J34" t="n">
        <x:v>25</x:v>
      </x:c>
      <x:c r="K34" t="n">
        <x:v>9</x:v>
      </x:c>
      <x:c r="L34" t="n">
        <x:v>23</x:v>
      </x:c>
      <x:c r="M34" t="n">
        <x:v>13</x:v>
      </x:c>
      <x:c r="N34" t="n">
        <x:v>9</x:v>
      </x:c>
      <x:c r="O34" t="n">
        <x:v>9</x:v>
      </x:c>
      <x:c r="P34" t="n">
        <x:v>13</x:v>
      </x:c>
      <x:c r="Q34" t="n">
        <x:v>14</x:v>
      </x:c>
      <x:c r="EQ34">
        <x:f t="shared" si="20"/>
        <x:v>27</x:v>
      </x:c>
      <x:c r="ER34">
        <x:f t="shared" si="21"/>
        <x:v>76</x:v>
      </x:c>
      <x:c r="ES34">
        <x:f t="shared" si="22"/>
        <x:v>54</x:v>
      </x:c>
      <x:c r="ET34">
        <x:f t="shared" si="23"/>
        <x:v>0</x:v>
      </x:c>
      <x:c r="EU34">
        <x:f t="shared" si="24"/>
        <x:v>0</x:v>
      </x:c>
      <x:c r="EV34">
        <x:f t="shared" si="25"/>
        <x:v>0</x:v>
      </x:c>
      <x:c r="EW34">
        <x:f t="shared" si="26"/>
        <x:v>0</x:v>
      </x:c>
      <x:c r="EX34">
        <x:f t="shared" si="27"/>
        <x:v>0</x:v>
      </x:c>
      <x:c r="EY34">
        <x:f t="shared" si="28"/>
        <x:v>0</x:v>
      </x:c>
      <x:c r="EZ34">
        <x:f t="shared" si="29"/>
        <x:v>0</x:v>
      </x:c>
      <x:c r="FA34" s="41">
        <x:f t="shared" si="30"/>
        <x:v>0</x:v>
      </x:c>
      <x:c r="FB34">
        <x:f t="shared" si="31"/>
        <x:v>46</x:v>
      </x:c>
      <x:c r="FC34">
        <x:f t="shared" si="32"/>
        <x:v>90</x:v>
      </x:c>
      <x:c r="FD34">
        <x:f t="shared" si="33"/>
        <x:v>0</x:v>
      </x:c>
      <x:c r="FE34">
        <x:f t="shared" si="34"/>
        <x:v>46</x:v>
      </x:c>
      <x:c r="FF34">
        <x:f t="shared" si="35"/>
        <x:v>0</x:v>
      </x:c>
      <x:c r="FG34">
        <x:f t="shared" si="36"/>
        <x:v>0</x:v>
      </x:c>
      <x:c r="FH34">
        <x:f t="shared" si="37"/>
        <x:v>0</x:v>
      </x:c>
      <x:c r="FI34">
        <x:f t="shared" si="38"/>
        <x:v>0</x:v>
      </x:c>
      <x:c r="FJ34">
        <x:f t="shared" si="39"/>
        <x:v>0</x:v>
      </x:c>
      <x:c r="FK34">
        <x:f t="shared" si="40"/>
        <x:v>0</x:v>
      </x:c>
      <x:c r="FL34" s="41">
        <x:f t="shared" si="41"/>
        <x:v>0</x:v>
      </x:c>
      <x:c r="FM34">
        <x:f t="shared" si="42"/>
        <x:v>18</x:v>
      </x:c>
      <x:c r="FN34">
        <x:f t="shared" si="43"/>
        <x:v>112</x:v>
      </x:c>
      <x:c r="FO34">
        <x:f t="shared" si="44"/>
        <x:v>47</x:v>
      </x:c>
      <x:c r="FP34">
        <x:f t="shared" si="45"/>
        <x:v>0</x:v>
      </x:c>
      <x:c r="FQ34">
        <x:f t="shared" si="46"/>
        <x:v>0</x:v>
      </x:c>
      <x:c r="FR34">
        <x:f t="shared" si="47"/>
        <x:v>0</x:v>
      </x:c>
      <x:c r="FS34">
        <x:f t="shared" si="48"/>
        <x:v>0</x:v>
      </x:c>
      <x:c r="FT34">
        <x:f t="shared" si="49"/>
        <x:v>0</x:v>
      </x:c>
      <x:c r="FU34">
        <x:f t="shared" si="50"/>
        <x:v>0</x:v>
      </x:c>
      <x:c r="FV34">
        <x:f t="shared" si="51"/>
        <x:v>0</x:v>
      </x:c>
      <x:c r="FW34" s="41">
        <x:f t="shared" si="52"/>
        <x:v>0</x:v>
      </x:c>
      <x:c r="FX34">
        <x:f t="shared" si="53"/>
        <x:v>91</x:v>
      </x:c>
      <x:c r="FY34">
        <x:f t="shared" si="54"/>
        <x:v>278</x:v>
      </x:c>
      <x:c r="FZ34">
        <x:f t="shared" si="55"/>
        <x:v>101</x:v>
      </x:c>
      <x:c r="GA34">
        <x:f t="shared" si="56"/>
        <x:v>46</x:v>
      </x:c>
      <x:c r="GB34">
        <x:f t="shared" si="57"/>
        <x:v>0</x:v>
      </x:c>
      <x:c r="GC34">
        <x:f t="shared" si="58"/>
        <x:v>0</x:v>
      </x:c>
      <x:c r="GD34">
        <x:f t="shared" si="59"/>
        <x:v>0</x:v>
      </x:c>
      <x:c r="GE34">
        <x:f t="shared" si="60"/>
        <x:v>0</x:v>
      </x:c>
      <x:c r="GF34">
        <x:f t="shared" si="61"/>
        <x:v>0</x:v>
      </x:c>
      <x:c r="GG34">
        <x:f t="shared" si="62"/>
        <x:v>0</x:v>
      </x:c>
      <x:c r="GH34">
        <x:f t="shared" si="63"/>
        <x:v>0</x:v>
      </x:c>
      <x:c r="GI34">
        <x:f t="shared" si="64"/>
        <x:v>54</x:v>
      </x:c>
      <x:c r="GJ34">
        <x:f t="shared" si="65"/>
        <x:v>76</x:v>
      </x:c>
      <x:c r="GK34">
        <x:f t="shared" si="66"/>
        <x:v>0</x:v>
      </x:c>
      <x:c r="GL34">
        <x:f t="shared" si="67"/>
        <x:v>0</x:v>
      </x:c>
      <x:c r="GM34">
        <x:f t="shared" si="68"/>
        <x:v>0</x:v>
      </x:c>
      <x:c r="GN34">
        <x:f t="shared" si="69"/>
        <x:v>0</x:v>
      </x:c>
      <x:c r="GO34">
        <x:f t="shared" si="70"/>
        <x:v>27</x:v>
      </x:c>
      <x:c r="GP34">
        <x:f t="shared" si="71"/>
        <x:v>0</x:v>
      </x:c>
      <x:c r="GQ34">
        <x:f t="shared" si="72"/>
        <x:v>0</x:v>
      </x:c>
      <x:c r="GR34" s="42">
        <x:f t="shared" si="73"/>
        <x:v>0</x:v>
      </x:c>
      <x:c r="GS34">
        <x:f t="shared" si="74"/>
        <x:v>46</x:v>
      </x:c>
      <x:c r="GT34">
        <x:f t="shared" si="75"/>
        <x:v>90</x:v>
      </x:c>
      <x:c r="GU34">
        <x:f t="shared" si="76"/>
        <x:v>0</x:v>
      </x:c>
      <x:c r="GV34">
        <x:f t="shared" si="77"/>
        <x:v>0</x:v>
      </x:c>
      <x:c r="GW34">
        <x:f t="shared" si="78"/>
        <x:v>0</x:v>
      </x:c>
      <x:c r="GX34">
        <x:f t="shared" si="79"/>
        <x:v>0</x:v>
      </x:c>
      <x:c r="GY34">
        <x:f t="shared" si="80"/>
        <x:v>46</x:v>
      </x:c>
      <x:c r="GZ34">
        <x:f t="shared" si="81"/>
        <x:v>0</x:v>
      </x:c>
      <x:c r="HA34">
        <x:f t="shared" si="82"/>
        <x:v>0</x:v>
      </x:c>
      <x:c r="HB34" s="42">
        <x:f t="shared" si="83"/>
        <x:v>0</x:v>
      </x:c>
      <x:c r="HC34">
        <x:f t="shared" si="84"/>
        <x:v>47</x:v>
      </x:c>
      <x:c r="HD34">
        <x:f t="shared" si="85"/>
        <x:v>112</x:v>
      </x:c>
      <x:c r="HE34">
        <x:f t="shared" si="86"/>
        <x:v>0</x:v>
      </x:c>
      <x:c r="HF34">
        <x:f t="shared" si="87"/>
        <x:v>0</x:v>
      </x:c>
      <x:c r="HG34">
        <x:f t="shared" si="88"/>
        <x:v>0</x:v>
      </x:c>
      <x:c r="HH34">
        <x:f t="shared" si="89"/>
        <x:v>0</x:v>
      </x:c>
      <x:c r="HI34">
        <x:f t="shared" si="90"/>
        <x:v>18</x:v>
      </x:c>
      <x:c r="HJ34">
        <x:f t="shared" si="91"/>
        <x:v>0</x:v>
      </x:c>
      <x:c r="HK34">
        <x:f t="shared" si="92"/>
        <x:v>0</x:v>
      </x:c>
      <x:c r="HL34">
        <x:f t="shared" si="93"/>
        <x:v>0</x:v>
      </x:c>
    </x:row>
    <x:row r="35">
      <x:c r="A35">
        <x:v>22</x:v>
      </x:c>
      <x:c r="B35" t="s">
        <x:v>216</x:v>
      </x:c>
      <x:c r="C35" t="str">
        <x:v>Robles, Elijah D.</x:v>
      </x:c>
      <x:c r="D35" s="74" t="s">
        <x:v>93</x:v>
      </x:c>
      <x:c r="E35" t="n">
        <x:v>21</x:v>
      </x:c>
      <x:c r="F35" t="n">
        <x:v>42</x:v>
      </x:c>
      <x:c r="G35" t="n">
        <x:v>49</x:v>
      </x:c>
      <x:c r="H35" t="n">
        <x:v>24</x:v>
      </x:c>
      <x:c r="I35" t="n">
        <x:v>29</x:v>
      </x:c>
      <x:c r="J35" t="n">
        <x:v>68</x:v>
      </x:c>
      <x:c r="K35" t="n">
        <x:v>14</x:v>
      </x:c>
      <x:c r="L35" t="n">
        <x:v>39</x:v>
      </x:c>
      <x:c r="M35" t="n">
        <x:v>14</x:v>
      </x:c>
      <x:c r="N35" t="n">
        <x:v>17</x:v>
      </x:c>
      <x:c r="O35" t="n">
        <x:v>17</x:v>
      </x:c>
      <x:c r="P35" t="n">
        <x:v>16</x:v>
      </x:c>
      <x:c r="Q35" t="n">
        <x:v>18</x:v>
      </x:c>
      <x:c r="EQ35">
        <x:f t="shared" si="20"/>
        <x:v>22</x:v>
      </x:c>
      <x:c r="ER35">
        <x:f t="shared" si="21"/>
        <x:v>64</x:v>
      </x:c>
      <x:c r="ES35">
        <x:f t="shared" si="22"/>
        <x:v>44</x:v>
      </x:c>
      <x:c r="ET35">
        <x:f t="shared" si="23"/>
        <x:v>0</x:v>
      </x:c>
      <x:c r="EU35">
        <x:f t="shared" si="24"/>
        <x:v>0</x:v>
      </x:c>
      <x:c r="EV35">
        <x:f t="shared" si="25"/>
        <x:v>0</x:v>
      </x:c>
      <x:c r="EW35">
        <x:f t="shared" si="26"/>
        <x:v>0</x:v>
      </x:c>
      <x:c r="EX35">
        <x:f t="shared" si="27"/>
        <x:v>0</x:v>
      </x:c>
      <x:c r="EY35">
        <x:f t="shared" si="28"/>
        <x:v>0</x:v>
      </x:c>
      <x:c r="EZ35">
        <x:f t="shared" si="29"/>
        <x:v>0</x:v>
      </x:c>
      <x:c r="FA35" s="41">
        <x:f t="shared" si="30"/>
        <x:v>0</x:v>
      </x:c>
      <x:c r="FB35">
        <x:f t="shared" si="31"/>
        <x:v>38</x:v>
      </x:c>
      <x:c r="FC35">
        <x:f t="shared" si="32"/>
        <x:v>70</x:v>
      </x:c>
      <x:c r="FD35">
        <x:f t="shared" si="33"/>
        <x:v>0</x:v>
      </x:c>
      <x:c r="FE35">
        <x:f t="shared" si="34"/>
        <x:v>36</x:v>
      </x:c>
      <x:c r="FF35">
        <x:f t="shared" si="35"/>
        <x:v>0</x:v>
      </x:c>
      <x:c r="FG35">
        <x:f t="shared" si="36"/>
        <x:v>0</x:v>
      </x:c>
      <x:c r="FH35">
        <x:f t="shared" si="37"/>
        <x:v>0</x:v>
      </x:c>
      <x:c r="FI35">
        <x:f t="shared" si="38"/>
        <x:v>0</x:v>
      </x:c>
      <x:c r="FJ35">
        <x:f t="shared" si="39"/>
        <x:v>0</x:v>
      </x:c>
      <x:c r="FK35">
        <x:f t="shared" si="40"/>
        <x:v>0</x:v>
      </x:c>
      <x:c r="FL35" s="41">
        <x:f t="shared" si="41"/>
        <x:v>0</x:v>
      </x:c>
      <x:c r="FM35">
        <x:f t="shared" si="42"/>
        <x:v>15</x:v>
      </x:c>
      <x:c r="FN35">
        <x:f t="shared" si="43"/>
        <x:v>80</x:v>
      </x:c>
      <x:c r="FO35">
        <x:f t="shared" si="44"/>
        <x:v>38</x:v>
      </x:c>
      <x:c r="FP35">
        <x:f t="shared" si="45"/>
        <x:v>0</x:v>
      </x:c>
      <x:c r="FQ35">
        <x:f t="shared" si="46"/>
        <x:v>0</x:v>
      </x:c>
      <x:c r="FR35">
        <x:f t="shared" si="47"/>
        <x:v>0</x:v>
      </x:c>
      <x:c r="FS35">
        <x:f t="shared" si="48"/>
        <x:v>0</x:v>
      </x:c>
      <x:c r="FT35">
        <x:f t="shared" si="49"/>
        <x:v>0</x:v>
      </x:c>
      <x:c r="FU35">
        <x:f t="shared" si="50"/>
        <x:v>0</x:v>
      </x:c>
      <x:c r="FV35">
        <x:f t="shared" si="51"/>
        <x:v>0</x:v>
      </x:c>
      <x:c r="FW35" s="41">
        <x:f t="shared" si="52"/>
        <x:v>0</x:v>
      </x:c>
      <x:c r="FX35">
        <x:f t="shared" si="53"/>
        <x:v>75</x:v>
      </x:c>
      <x:c r="FY35">
        <x:f t="shared" si="54"/>
        <x:v>214</x:v>
      </x:c>
      <x:c r="FZ35">
        <x:f t="shared" si="55"/>
        <x:v>82</x:v>
      </x:c>
      <x:c r="GA35">
        <x:f t="shared" si="56"/>
        <x:v>36</x:v>
      </x:c>
      <x:c r="GB35">
        <x:f t="shared" si="57"/>
        <x:v>0</x:v>
      </x:c>
      <x:c r="GC35">
        <x:f t="shared" si="58"/>
        <x:v>0</x:v>
      </x:c>
      <x:c r="GD35">
        <x:f t="shared" si="59"/>
        <x:v>0</x:v>
      </x:c>
      <x:c r="GE35">
        <x:f t="shared" si="60"/>
        <x:v>0</x:v>
      </x:c>
      <x:c r="GF35">
        <x:f t="shared" si="61"/>
        <x:v>0</x:v>
      </x:c>
      <x:c r="GG35">
        <x:f t="shared" si="62"/>
        <x:v>0</x:v>
      </x:c>
      <x:c r="GH35">
        <x:f t="shared" si="63"/>
        <x:v>0</x:v>
      </x:c>
      <x:c r="GI35">
        <x:f t="shared" si="64"/>
        <x:v>44</x:v>
      </x:c>
      <x:c r="GJ35">
        <x:f t="shared" si="65"/>
        <x:v>64</x:v>
      </x:c>
      <x:c r="GK35">
        <x:f t="shared" si="66"/>
        <x:v>0</x:v>
      </x:c>
      <x:c r="GL35">
        <x:f t="shared" si="67"/>
        <x:v>0</x:v>
      </x:c>
      <x:c r="GM35">
        <x:f t="shared" si="68"/>
        <x:v>0</x:v>
      </x:c>
      <x:c r="GN35">
        <x:f t="shared" si="69"/>
        <x:v>0</x:v>
      </x:c>
      <x:c r="GO35">
        <x:f t="shared" si="70"/>
        <x:v>22</x:v>
      </x:c>
      <x:c r="GP35">
        <x:f t="shared" si="71"/>
        <x:v>0</x:v>
      </x:c>
      <x:c r="GQ35">
        <x:f t="shared" si="72"/>
        <x:v>0</x:v>
      </x:c>
      <x:c r="GR35" s="42">
        <x:f t="shared" si="73"/>
        <x:v>0</x:v>
      </x:c>
      <x:c r="GS35">
        <x:f t="shared" si="74"/>
        <x:v>36</x:v>
      </x:c>
      <x:c r="GT35">
        <x:f t="shared" si="75"/>
        <x:v>70</x:v>
      </x:c>
      <x:c r="GU35">
        <x:f t="shared" si="76"/>
        <x:v>0</x:v>
      </x:c>
      <x:c r="GV35">
        <x:f t="shared" si="77"/>
        <x:v>0</x:v>
      </x:c>
      <x:c r="GW35">
        <x:f t="shared" si="78"/>
        <x:v>0</x:v>
      </x:c>
      <x:c r="GX35">
        <x:f t="shared" si="79"/>
        <x:v>0</x:v>
      </x:c>
      <x:c r="GY35">
        <x:f t="shared" si="80"/>
        <x:v>38</x:v>
      </x:c>
      <x:c r="GZ35">
        <x:f t="shared" si="81"/>
        <x:v>0</x:v>
      </x:c>
      <x:c r="HA35">
        <x:f t="shared" si="82"/>
        <x:v>0</x:v>
      </x:c>
      <x:c r="HB35" s="42">
        <x:f t="shared" si="83"/>
        <x:v>0</x:v>
      </x:c>
      <x:c r="HC35">
        <x:f t="shared" si="84"/>
        <x:v>38</x:v>
      </x:c>
      <x:c r="HD35">
        <x:f t="shared" si="85"/>
        <x:v>80</x:v>
      </x:c>
      <x:c r="HE35">
        <x:f t="shared" si="86"/>
        <x:v>0</x:v>
      </x:c>
      <x:c r="HF35">
        <x:f t="shared" si="87"/>
        <x:v>0</x:v>
      </x:c>
      <x:c r="HG35">
        <x:f t="shared" si="88"/>
        <x:v>0</x:v>
      </x:c>
      <x:c r="HH35">
        <x:f t="shared" si="89"/>
        <x:v>0</x:v>
      </x:c>
      <x:c r="HI35">
        <x:f t="shared" si="90"/>
        <x:v>15</x:v>
      </x:c>
      <x:c r="HJ35">
        <x:f t="shared" si="91"/>
        <x:v>0</x:v>
      </x:c>
      <x:c r="HK35">
        <x:f t="shared" si="92"/>
        <x:v>0</x:v>
      </x:c>
      <x:c r="HL35">
        <x:f t="shared" si="93"/>
        <x:v>0</x:v>
      </x:c>
    </x:row>
    <x:row r="36">
      <x:c r="A36">
        <x:v>23</x:v>
      </x:c>
      <x:c r="B36" t="s">
        <x:v>217</x:v>
      </x:c>
      <x:c r="C36" t="str">
        <x:v>Marquez, Jasmine B.</x:v>
      </x:c>
      <x:c r="D36" s="74" t="s">
        <x:v>93</x:v>
      </x:c>
      <x:c r="E36" t="n">
        <x:v>15</x:v>
      </x:c>
      <x:c r="F36" t="n">
        <x:v>28</x:v>
      </x:c>
      <x:c r="G36" t="n">
        <x:v>31</x:v>
      </x:c>
      <x:c r="H36" t="n">
        <x:v>18</x:v>
      </x:c>
      <x:c r="I36" t="n">
        <x:v>22</x:v>
      </x:c>
      <x:c r="J36" t="n">
        <x:v>39</x:v>
      </x:c>
      <x:c r="K36" t="n">
        <x:v>12</x:v>
      </x:c>
      <x:c r="L36" t="n">
        <x:v>23</x:v>
      </x:c>
      <x:c r="M36" t="n">
        <x:v>14</x:v>
      </x:c>
      <x:c r="N36" t="n">
        <x:v>16</x:v>
      </x:c>
      <x:c r="O36" t="n">
        <x:v>11</x:v>
      </x:c>
      <x:c r="P36" t="n">
        <x:v>14</x:v>
      </x:c>
      <x:c r="Q36" t="n">
        <x:v>10</x:v>
      </x:c>
      <x:c r="EQ36">
        <x:f t="shared" si="20"/>
        <x:v>29</x:v>
      </x:c>
      <x:c r="ER36">
        <x:f t="shared" si="21"/>
        <x:v>79</x:v>
      </x:c>
      <x:c r="ES36">
        <x:f t="shared" si="22"/>
        <x:v>57</x:v>
      </x:c>
      <x:c r="ET36">
        <x:f t="shared" si="23"/>
        <x:v>0</x:v>
      </x:c>
      <x:c r="EU36">
        <x:f t="shared" si="24"/>
        <x:v>0</x:v>
      </x:c>
      <x:c r="EV36">
        <x:f t="shared" si="25"/>
        <x:v>0</x:v>
      </x:c>
      <x:c r="EW36">
        <x:f t="shared" si="26"/>
        <x:v>0</x:v>
      </x:c>
      <x:c r="EX36">
        <x:f t="shared" si="27"/>
        <x:v>0</x:v>
      </x:c>
      <x:c r="EY36">
        <x:f t="shared" si="28"/>
        <x:v>0</x:v>
      </x:c>
      <x:c r="EZ36">
        <x:f t="shared" si="29"/>
        <x:v>0</x:v>
      </x:c>
      <x:c r="FA36" s="41">
        <x:f t="shared" si="30"/>
        <x:v>0</x:v>
      </x:c>
      <x:c r="FB36">
        <x:f t="shared" si="31"/>
        <x:v>49</x:v>
      </x:c>
      <x:c r="FC36">
        <x:f t="shared" si="32"/>
        <x:v>98</x:v>
      </x:c>
      <x:c r="FD36">
        <x:f t="shared" si="33"/>
        <x:v>0</x:v>
      </x:c>
      <x:c r="FE36">
        <x:f t="shared" si="34"/>
        <x:v>49</x:v>
      </x:c>
      <x:c r="FF36">
        <x:f t="shared" si="35"/>
        <x:v>0</x:v>
      </x:c>
      <x:c r="FG36">
        <x:f t="shared" si="36"/>
        <x:v>0</x:v>
      </x:c>
      <x:c r="FH36">
        <x:f t="shared" si="37"/>
        <x:v>0</x:v>
      </x:c>
      <x:c r="FI36">
        <x:f t="shared" si="38"/>
        <x:v>0</x:v>
      </x:c>
      <x:c r="FJ36">
        <x:f t="shared" si="39"/>
        <x:v>0</x:v>
      </x:c>
      <x:c r="FK36">
        <x:f t="shared" si="40"/>
        <x:v>0</x:v>
      </x:c>
      <x:c r="FL36" s="41">
        <x:f t="shared" si="41"/>
        <x:v>0</x:v>
      </x:c>
      <x:c r="FM36">
        <x:f t="shared" si="42"/>
        <x:v>20</x:v>
      </x:c>
      <x:c r="FN36">
        <x:f t="shared" si="43"/>
        <x:v>124</x:v>
      </x:c>
      <x:c r="FO36">
        <x:f t="shared" si="44"/>
        <x:v>50</x:v>
      </x:c>
      <x:c r="FP36">
        <x:f t="shared" si="45"/>
        <x:v>0</x:v>
      </x:c>
      <x:c r="FQ36">
        <x:f t="shared" si="46"/>
        <x:v>0</x:v>
      </x:c>
      <x:c r="FR36">
        <x:f t="shared" si="47"/>
        <x:v>0</x:v>
      </x:c>
      <x:c r="FS36">
        <x:f t="shared" si="48"/>
        <x:v>0</x:v>
      </x:c>
      <x:c r="FT36">
        <x:f t="shared" si="49"/>
        <x:v>0</x:v>
      </x:c>
      <x:c r="FU36">
        <x:f t="shared" si="50"/>
        <x:v>0</x:v>
      </x:c>
      <x:c r="FV36">
        <x:f t="shared" si="51"/>
        <x:v>0</x:v>
      </x:c>
      <x:c r="FW36" s="41">
        <x:f t="shared" si="52"/>
        <x:v>0</x:v>
      </x:c>
      <x:c r="FX36">
        <x:f t="shared" si="53"/>
        <x:v>98</x:v>
      </x:c>
      <x:c r="FY36">
        <x:f t="shared" si="54"/>
        <x:v>301</x:v>
      </x:c>
      <x:c r="FZ36">
        <x:f t="shared" si="55"/>
        <x:v>107</x:v>
      </x:c>
      <x:c r="GA36">
        <x:f t="shared" si="56"/>
        <x:v>49</x:v>
      </x:c>
      <x:c r="GB36">
        <x:f t="shared" si="57"/>
        <x:v>0</x:v>
      </x:c>
      <x:c r="GC36">
        <x:f t="shared" si="58"/>
        <x:v>0</x:v>
      </x:c>
      <x:c r="GD36">
        <x:f t="shared" si="59"/>
        <x:v>0</x:v>
      </x:c>
      <x:c r="GE36">
        <x:f t="shared" si="60"/>
        <x:v>0</x:v>
      </x:c>
      <x:c r="GF36">
        <x:f t="shared" si="61"/>
        <x:v>0</x:v>
      </x:c>
      <x:c r="GG36">
        <x:f t="shared" si="62"/>
        <x:v>0</x:v>
      </x:c>
      <x:c r="GH36">
        <x:f t="shared" si="63"/>
        <x:v>0</x:v>
      </x:c>
      <x:c r="GI36">
        <x:f t="shared" si="64"/>
        <x:v>57</x:v>
      </x:c>
      <x:c r="GJ36">
        <x:f t="shared" si="65"/>
        <x:v>79</x:v>
      </x:c>
      <x:c r="GK36">
        <x:f t="shared" si="66"/>
        <x:v>0</x:v>
      </x:c>
      <x:c r="GL36">
        <x:f t="shared" si="67"/>
        <x:v>0</x:v>
      </x:c>
      <x:c r="GM36">
        <x:f t="shared" si="68"/>
        <x:v>0</x:v>
      </x:c>
      <x:c r="GN36">
        <x:f t="shared" si="69"/>
        <x:v>0</x:v>
      </x:c>
      <x:c r="GO36">
        <x:f t="shared" si="70"/>
        <x:v>29</x:v>
      </x:c>
      <x:c r="GP36">
        <x:f t="shared" si="71"/>
        <x:v>0</x:v>
      </x:c>
      <x:c r="GQ36">
        <x:f t="shared" si="72"/>
        <x:v>0</x:v>
      </x:c>
      <x:c r="GR36" s="42">
        <x:f t="shared" si="73"/>
        <x:v>0</x:v>
      </x:c>
      <x:c r="GS36">
        <x:f t="shared" si="74"/>
        <x:v>49</x:v>
      </x:c>
      <x:c r="GT36">
        <x:f t="shared" si="75"/>
        <x:v>98</x:v>
      </x:c>
      <x:c r="GU36">
        <x:f t="shared" si="76"/>
        <x:v>0</x:v>
      </x:c>
      <x:c r="GV36">
        <x:f t="shared" si="77"/>
        <x:v>0</x:v>
      </x:c>
      <x:c r="GW36">
        <x:f t="shared" si="78"/>
        <x:v>0</x:v>
      </x:c>
      <x:c r="GX36">
        <x:f t="shared" si="79"/>
        <x:v>0</x:v>
      </x:c>
      <x:c r="GY36">
        <x:f t="shared" si="80"/>
        <x:v>49</x:v>
      </x:c>
      <x:c r="GZ36">
        <x:f t="shared" si="81"/>
        <x:v>0</x:v>
      </x:c>
      <x:c r="HA36">
        <x:f t="shared" si="82"/>
        <x:v>0</x:v>
      </x:c>
      <x:c r="HB36" s="42">
        <x:f t="shared" si="83"/>
        <x:v>0</x:v>
      </x:c>
      <x:c r="HC36">
        <x:f t="shared" si="84"/>
        <x:v>50</x:v>
      </x:c>
      <x:c r="HD36">
        <x:f t="shared" si="85"/>
        <x:v>124</x:v>
      </x:c>
      <x:c r="HE36">
        <x:f t="shared" si="86"/>
        <x:v>0</x:v>
      </x:c>
      <x:c r="HF36">
        <x:f t="shared" si="87"/>
        <x:v>0</x:v>
      </x:c>
      <x:c r="HG36">
        <x:f t="shared" si="88"/>
        <x:v>0</x:v>
      </x:c>
      <x:c r="HH36">
        <x:f t="shared" si="89"/>
        <x:v>0</x:v>
      </x:c>
      <x:c r="HI36">
        <x:f t="shared" si="90"/>
        <x:v>20</x:v>
      </x:c>
      <x:c r="HJ36">
        <x:f t="shared" si="91"/>
        <x:v>0</x:v>
      </x:c>
      <x:c r="HK36">
        <x:f t="shared" si="92"/>
        <x:v>0</x:v>
      </x:c>
      <x:c r="HL36">
        <x:f t="shared" si="93"/>
        <x:v>0</x:v>
      </x:c>
    </x:row>
    <x:row r="37">
      <x:c r="A37">
        <x:v>24</x:v>
      </x:c>
      <x:c r="B37" t="s">
        <x:v>218</x:v>
      </x:c>
      <x:c r="C37" t="str">
        <x:v>Velasco, Adrian V.</x:v>
      </x:c>
      <x:c r="D37" s="74" t="s">
        <x:v>93</x:v>
      </x:c>
      <x:c r="E37" t="n">
        <x:v>12</x:v>
      </x:c>
      <x:c r="F37" t="n">
        <x:v>25</x:v>
      </x:c>
      <x:c r="G37" t="n">
        <x:v>20</x:v>
      </x:c>
      <x:c r="H37" t="n">
        <x:v>15</x:v>
      </x:c>
      <x:c r="I37" t="n">
        <x:v>20</x:v>
      </x:c>
      <x:c r="J37" t="n">
        <x:v>38</x:v>
      </x:c>
      <x:c r="K37" t="n">
        <x:v>5</x:v>
      </x:c>
      <x:c r="L37" t="n">
        <x:v>21</x:v>
      </x:c>
      <x:c r="M37" t="n">
        <x:v>12</x:v>
      </x:c>
      <x:c r="N37" t="n">
        <x:v>7</x:v>
      </x:c>
      <x:c r="O37" t="n">
        <x:v>12</x:v>
      </x:c>
      <x:c r="P37" t="n">
        <x:v>11</x:v>
      </x:c>
      <x:c r="Q37" t="n">
        <x:v>12</x:v>
      </x:c>
      <x:c r="EQ37">
        <x:f t="shared" si="20"/>
        <x:v>21</x:v>
      </x:c>
      <x:c r="ER37">
        <x:f t="shared" si="21"/>
        <x:v>60</x:v>
      </x:c>
      <x:c r="ES37">
        <x:f t="shared" si="22"/>
        <x:v>42</x:v>
      </x:c>
      <x:c r="ET37">
        <x:f t="shared" si="23"/>
        <x:v>0</x:v>
      </x:c>
      <x:c r="EU37">
        <x:f t="shared" si="24"/>
        <x:v>0</x:v>
      </x:c>
      <x:c r="EV37">
        <x:f t="shared" si="25"/>
        <x:v>0</x:v>
      </x:c>
      <x:c r="EW37">
        <x:f t="shared" si="26"/>
        <x:v>0</x:v>
      </x:c>
      <x:c r="EX37">
        <x:f t="shared" si="27"/>
        <x:v>0</x:v>
      </x:c>
      <x:c r="EY37">
        <x:f t="shared" si="28"/>
        <x:v>0</x:v>
      </x:c>
      <x:c r="EZ37">
        <x:f t="shared" si="29"/>
        <x:v>0</x:v>
      </x:c>
      <x:c r="FA37" s="41">
        <x:f t="shared" si="30"/>
        <x:v>0</x:v>
      </x:c>
      <x:c r="FB37">
        <x:f t="shared" si="31"/>
        <x:v>37</x:v>
      </x:c>
      <x:c r="FC37">
        <x:f t="shared" si="32"/>
        <x:v>68</x:v>
      </x:c>
      <x:c r="FD37">
        <x:f t="shared" si="33"/>
        <x:v>0</x:v>
      </x:c>
      <x:c r="FE37">
        <x:f t="shared" si="34"/>
        <x:v>34</x:v>
      </x:c>
      <x:c r="FF37">
        <x:f t="shared" si="35"/>
        <x:v>0</x:v>
      </x:c>
      <x:c r="FG37">
        <x:f t="shared" si="36"/>
        <x:v>0</x:v>
      </x:c>
      <x:c r="FH37">
        <x:f t="shared" si="37"/>
        <x:v>0</x:v>
      </x:c>
      <x:c r="FI37">
        <x:f t="shared" si="38"/>
        <x:v>0</x:v>
      </x:c>
      <x:c r="FJ37">
        <x:f t="shared" si="39"/>
        <x:v>0</x:v>
      </x:c>
      <x:c r="FK37">
        <x:f t="shared" si="40"/>
        <x:v>0</x:v>
      </x:c>
      <x:c r="FL37" s="41">
        <x:f t="shared" si="41"/>
        <x:v>0</x:v>
      </x:c>
      <x:c r="FM37">
        <x:f t="shared" si="42"/>
        <x:v>14</x:v>
      </x:c>
      <x:c r="FN37">
        <x:f t="shared" si="43"/>
        <x:v>77</x:v>
      </x:c>
      <x:c r="FO37">
        <x:f t="shared" si="44"/>
        <x:v>36</x:v>
      </x:c>
      <x:c r="FP37">
        <x:f t="shared" si="45"/>
        <x:v>0</x:v>
      </x:c>
      <x:c r="FQ37">
        <x:f t="shared" si="46"/>
        <x:v>0</x:v>
      </x:c>
      <x:c r="FR37">
        <x:f t="shared" si="47"/>
        <x:v>0</x:v>
      </x:c>
      <x:c r="FS37">
        <x:f t="shared" si="48"/>
        <x:v>0</x:v>
      </x:c>
      <x:c r="FT37">
        <x:f t="shared" si="49"/>
        <x:v>0</x:v>
      </x:c>
      <x:c r="FU37">
        <x:f t="shared" si="50"/>
        <x:v>0</x:v>
      </x:c>
      <x:c r="FV37">
        <x:f t="shared" si="51"/>
        <x:v>0</x:v>
      </x:c>
      <x:c r="FW37" s="41">
        <x:f t="shared" si="52"/>
        <x:v>0</x:v>
      </x:c>
      <x:c r="FX37">
        <x:f t="shared" si="53"/>
        <x:v>72</x:v>
      </x:c>
      <x:c r="FY37">
        <x:f t="shared" si="54"/>
        <x:v>205</x:v>
      </x:c>
      <x:c r="FZ37">
        <x:f t="shared" si="55"/>
        <x:v>78</x:v>
      </x:c>
      <x:c r="GA37">
        <x:f t="shared" si="56"/>
        <x:v>34</x:v>
      </x:c>
      <x:c r="GB37">
        <x:f t="shared" si="57"/>
        <x:v>0</x:v>
      </x:c>
      <x:c r="GC37">
        <x:f t="shared" si="58"/>
        <x:v>0</x:v>
      </x:c>
      <x:c r="GD37">
        <x:f t="shared" si="59"/>
        <x:v>0</x:v>
      </x:c>
      <x:c r="GE37">
        <x:f t="shared" si="60"/>
        <x:v>0</x:v>
      </x:c>
      <x:c r="GF37">
        <x:f t="shared" si="61"/>
        <x:v>0</x:v>
      </x:c>
      <x:c r="GG37">
        <x:f t="shared" si="62"/>
        <x:v>0</x:v>
      </x:c>
      <x:c r="GH37">
        <x:f t="shared" si="63"/>
        <x:v>0</x:v>
      </x:c>
      <x:c r="GI37">
        <x:f t="shared" si="64"/>
        <x:v>42</x:v>
      </x:c>
      <x:c r="GJ37">
        <x:f t="shared" si="65"/>
        <x:v>60</x:v>
      </x:c>
      <x:c r="GK37">
        <x:f t="shared" si="66"/>
        <x:v>0</x:v>
      </x:c>
      <x:c r="GL37">
        <x:f t="shared" si="67"/>
        <x:v>0</x:v>
      </x:c>
      <x:c r="GM37">
        <x:f t="shared" si="68"/>
        <x:v>0</x:v>
      </x:c>
      <x:c r="GN37">
        <x:f t="shared" si="69"/>
        <x:v>0</x:v>
      </x:c>
      <x:c r="GO37">
        <x:f t="shared" si="70"/>
        <x:v>21</x:v>
      </x:c>
      <x:c r="GP37">
        <x:f t="shared" si="71"/>
        <x:v>0</x:v>
      </x:c>
      <x:c r="GQ37">
        <x:f t="shared" si="72"/>
        <x:v>0</x:v>
      </x:c>
      <x:c r="GR37" s="42">
        <x:f t="shared" si="73"/>
        <x:v>0</x:v>
      </x:c>
      <x:c r="GS37">
        <x:f t="shared" si="74"/>
        <x:v>34</x:v>
      </x:c>
      <x:c r="GT37">
        <x:f t="shared" si="75"/>
        <x:v>68</x:v>
      </x:c>
      <x:c r="GU37">
        <x:f t="shared" si="76"/>
        <x:v>0</x:v>
      </x:c>
      <x:c r="GV37">
        <x:f t="shared" si="77"/>
        <x:v>0</x:v>
      </x:c>
      <x:c r="GW37">
        <x:f t="shared" si="78"/>
        <x:v>0</x:v>
      </x:c>
      <x:c r="GX37">
        <x:f t="shared" si="79"/>
        <x:v>0</x:v>
      </x:c>
      <x:c r="GY37">
        <x:f t="shared" si="80"/>
        <x:v>37</x:v>
      </x:c>
      <x:c r="GZ37">
        <x:f t="shared" si="81"/>
        <x:v>0</x:v>
      </x:c>
      <x:c r="HA37">
        <x:f t="shared" si="82"/>
        <x:v>0</x:v>
      </x:c>
      <x:c r="HB37" s="42">
        <x:f t="shared" si="83"/>
        <x:v>0</x:v>
      </x:c>
      <x:c r="HC37">
        <x:f t="shared" si="84"/>
        <x:v>36</x:v>
      </x:c>
      <x:c r="HD37">
        <x:f t="shared" si="85"/>
        <x:v>77</x:v>
      </x:c>
      <x:c r="HE37">
        <x:f t="shared" si="86"/>
        <x:v>0</x:v>
      </x:c>
      <x:c r="HF37">
        <x:f t="shared" si="87"/>
        <x:v>0</x:v>
      </x:c>
      <x:c r="HG37">
        <x:f t="shared" si="88"/>
        <x:v>0</x:v>
      </x:c>
      <x:c r="HH37">
        <x:f t="shared" si="89"/>
        <x:v>0</x:v>
      </x:c>
      <x:c r="HI37">
        <x:f t="shared" si="90"/>
        <x:v>14</x:v>
      </x:c>
      <x:c r="HJ37">
        <x:f t="shared" si="91"/>
        <x:v>0</x:v>
      </x:c>
      <x:c r="HK37">
        <x:f t="shared" si="92"/>
        <x:v>0</x:v>
      </x:c>
      <x:c r="HL37">
        <x:f t="shared" si="93"/>
        <x:v>0</x:v>
      </x:c>
    </x:row>
    <x:row r="38">
      <x:c r="A38">
        <x:v>25</x:v>
      </x:c>
      <x:c r="B38" t="s">
        <x:v>219</x:v>
      </x:c>
      <x:c r="C38" t="str">
        <x:v>Palma, Gian K.</x:v>
      </x:c>
      <x:c r="D38" s="74" t="s">
        <x:v>93</x:v>
      </x:c>
      <x:c r="E38" t="n">
        <x:v>22</x:v>
      </x:c>
      <x:c r="F38" t="n">
        <x:v>55</x:v>
      </x:c>
      <x:c r="G38" t="n">
        <x:v>65</x:v>
      </x:c>
      <x:c r="H38" t="n">
        <x:v>41</x:v>
      </x:c>
      <x:c r="I38" t="n">
        <x:v>41</x:v>
      </x:c>
      <x:c r="J38" t="n">
        <x:v>70</x:v>
      </x:c>
      <x:c r="K38" t="n">
        <x:v>17</x:v>
      </x:c>
      <x:c r="L38" t="n">
        <x:v>35</x:v>
      </x:c>
      <x:c r="M38" t="n">
        <x:v>22</x:v>
      </x:c>
      <x:c r="N38" t="n">
        <x:v>19</x:v>
      </x:c>
      <x:c r="O38" t="n">
        <x:v>21</x:v>
      </x:c>
      <x:c r="P38" t="n">
        <x:v>20</x:v>
      </x:c>
      <x:c r="Q38" t="n">
        <x:v>20</x:v>
      </x:c>
      <x:c r="EQ38">
        <x:f t="shared" si="20"/>
        <x:v>24</x:v>
      </x:c>
      <x:c r="ER38">
        <x:f t="shared" si="21"/>
        <x:v>70</x:v>
      </x:c>
      <x:c r="ES38">
        <x:f t="shared" si="22"/>
        <x:v>48</x:v>
      </x:c>
      <x:c r="ET38">
        <x:f t="shared" si="23"/>
        <x:v>0</x:v>
      </x:c>
      <x:c r="EU38">
        <x:f t="shared" si="24"/>
        <x:v>0</x:v>
      </x:c>
      <x:c r="EV38">
        <x:f t="shared" si="25"/>
        <x:v>0</x:v>
      </x:c>
      <x:c r="EW38">
        <x:f t="shared" si="26"/>
        <x:v>0</x:v>
      </x:c>
      <x:c r="EX38">
        <x:f t="shared" si="27"/>
        <x:v>0</x:v>
      </x:c>
      <x:c r="EY38">
        <x:f t="shared" si="28"/>
        <x:v>0</x:v>
      </x:c>
      <x:c r="EZ38">
        <x:f t="shared" si="29"/>
        <x:v>0</x:v>
      </x:c>
      <x:c r="FA38" s="41">
        <x:f t="shared" si="30"/>
        <x:v>0</x:v>
      </x:c>
      <x:c r="FB38">
        <x:f t="shared" si="31"/>
        <x:v>41</x:v>
      </x:c>
      <x:c r="FC38">
        <x:f t="shared" si="32"/>
        <x:v>80</x:v>
      </x:c>
      <x:c r="FD38">
        <x:f t="shared" si="33"/>
        <x:v>0</x:v>
      </x:c>
      <x:c r="FE38">
        <x:f t="shared" si="34"/>
        <x:v>40</x:v>
      </x:c>
      <x:c r="FF38">
        <x:f t="shared" si="35"/>
        <x:v>0</x:v>
      </x:c>
      <x:c r="FG38">
        <x:f t="shared" si="36"/>
        <x:v>0</x:v>
      </x:c>
      <x:c r="FH38">
        <x:f t="shared" si="37"/>
        <x:v>0</x:v>
      </x:c>
      <x:c r="FI38">
        <x:f t="shared" si="38"/>
        <x:v>0</x:v>
      </x:c>
      <x:c r="FJ38">
        <x:f t="shared" si="39"/>
        <x:v>0</x:v>
      </x:c>
      <x:c r="FK38">
        <x:f t="shared" si="40"/>
        <x:v>0</x:v>
      </x:c>
      <x:c r="FL38" s="41">
        <x:f t="shared" si="41"/>
        <x:v>0</x:v>
      </x:c>
      <x:c r="FM38">
        <x:f t="shared" si="42"/>
        <x:v>17</x:v>
      </x:c>
      <x:c r="FN38">
        <x:f t="shared" si="43"/>
        <x:v>95</x:v>
      </x:c>
      <x:c r="FO38">
        <x:f t="shared" si="44"/>
        <x:v>43</x:v>
      </x:c>
      <x:c r="FP38">
        <x:f t="shared" si="45"/>
        <x:v>0</x:v>
      </x:c>
      <x:c r="FQ38">
        <x:f t="shared" si="46"/>
        <x:v>0</x:v>
      </x:c>
      <x:c r="FR38">
        <x:f t="shared" si="47"/>
        <x:v>0</x:v>
      </x:c>
      <x:c r="FS38">
        <x:f t="shared" si="48"/>
        <x:v>0</x:v>
      </x:c>
      <x:c r="FT38">
        <x:f t="shared" si="49"/>
        <x:v>0</x:v>
      </x:c>
      <x:c r="FU38">
        <x:f t="shared" si="50"/>
        <x:v>0</x:v>
      </x:c>
      <x:c r="FV38">
        <x:f t="shared" si="51"/>
        <x:v>0</x:v>
      </x:c>
      <x:c r="FW38" s="41">
        <x:f t="shared" si="52"/>
        <x:v>0</x:v>
      </x:c>
      <x:c r="FX38">
        <x:f t="shared" si="53"/>
        <x:v>82</x:v>
      </x:c>
      <x:c r="FY38">
        <x:f t="shared" si="54"/>
        <x:v>245</x:v>
      </x:c>
      <x:c r="FZ38">
        <x:f t="shared" si="55"/>
        <x:v>91</x:v>
      </x:c>
      <x:c r="GA38">
        <x:f t="shared" si="56"/>
        <x:v>40</x:v>
      </x:c>
      <x:c r="GB38">
        <x:f t="shared" si="57"/>
        <x:v>0</x:v>
      </x:c>
      <x:c r="GC38">
        <x:f t="shared" si="58"/>
        <x:v>0</x:v>
      </x:c>
      <x:c r="GD38">
        <x:f t="shared" si="59"/>
        <x:v>0</x:v>
      </x:c>
      <x:c r="GE38">
        <x:f t="shared" si="60"/>
        <x:v>0</x:v>
      </x:c>
      <x:c r="GF38">
        <x:f t="shared" si="61"/>
        <x:v>0</x:v>
      </x:c>
      <x:c r="GG38">
        <x:f t="shared" si="62"/>
        <x:v>0</x:v>
      </x:c>
      <x:c r="GH38">
        <x:f t="shared" si="63"/>
        <x:v>0</x:v>
      </x:c>
      <x:c r="GI38">
        <x:f t="shared" si="64"/>
        <x:v>48</x:v>
      </x:c>
      <x:c r="GJ38">
        <x:f t="shared" si="65"/>
        <x:v>70</x:v>
      </x:c>
      <x:c r="GK38">
        <x:f t="shared" si="66"/>
        <x:v>0</x:v>
      </x:c>
      <x:c r="GL38">
        <x:f t="shared" si="67"/>
        <x:v>0</x:v>
      </x:c>
      <x:c r="GM38">
        <x:f t="shared" si="68"/>
        <x:v>0</x:v>
      </x:c>
      <x:c r="GN38">
        <x:f t="shared" si="69"/>
        <x:v>0</x:v>
      </x:c>
      <x:c r="GO38">
        <x:f t="shared" si="70"/>
        <x:v>24</x:v>
      </x:c>
      <x:c r="GP38">
        <x:f t="shared" si="71"/>
        <x:v>0</x:v>
      </x:c>
      <x:c r="GQ38">
        <x:f t="shared" si="72"/>
        <x:v>0</x:v>
      </x:c>
      <x:c r="GR38" s="42">
        <x:f t="shared" si="73"/>
        <x:v>0</x:v>
      </x:c>
      <x:c r="GS38">
        <x:f t="shared" si="74"/>
        <x:v>40</x:v>
      </x:c>
      <x:c r="GT38">
        <x:f t="shared" si="75"/>
        <x:v>80</x:v>
      </x:c>
      <x:c r="GU38">
        <x:f t="shared" si="76"/>
        <x:v>0</x:v>
      </x:c>
      <x:c r="GV38">
        <x:f t="shared" si="77"/>
        <x:v>0</x:v>
      </x:c>
      <x:c r="GW38">
        <x:f t="shared" si="78"/>
        <x:v>0</x:v>
      </x:c>
      <x:c r="GX38">
        <x:f t="shared" si="79"/>
        <x:v>0</x:v>
      </x:c>
      <x:c r="GY38">
        <x:f t="shared" si="80"/>
        <x:v>41</x:v>
      </x:c>
      <x:c r="GZ38">
        <x:f t="shared" si="81"/>
        <x:v>0</x:v>
      </x:c>
      <x:c r="HA38">
        <x:f t="shared" si="82"/>
        <x:v>0</x:v>
      </x:c>
      <x:c r="HB38" s="42">
        <x:f t="shared" si="83"/>
        <x:v>0</x:v>
      </x:c>
      <x:c r="HC38">
        <x:f t="shared" si="84"/>
        <x:v>43</x:v>
      </x:c>
      <x:c r="HD38">
        <x:f t="shared" si="85"/>
        <x:v>95</x:v>
      </x:c>
      <x:c r="HE38">
        <x:f t="shared" si="86"/>
        <x:v>0</x:v>
      </x:c>
      <x:c r="HF38">
        <x:f t="shared" si="87"/>
        <x:v>0</x:v>
      </x:c>
      <x:c r="HG38">
        <x:f t="shared" si="88"/>
        <x:v>0</x:v>
      </x:c>
      <x:c r="HH38">
        <x:f t="shared" si="89"/>
        <x:v>0</x:v>
      </x:c>
      <x:c r="HI38">
        <x:f t="shared" si="90"/>
        <x:v>17</x:v>
      </x:c>
      <x:c r="HJ38">
        <x:f t="shared" si="91"/>
        <x:v>0</x:v>
      </x:c>
      <x:c r="HK38">
        <x:f t="shared" si="92"/>
        <x:v>0</x:v>
      </x:c>
      <x:c r="HL38">
        <x:f t="shared" si="93"/>
        <x:v>0</x:v>
      </x:c>
    </x:row>
    <x:row r="39">
      <x:c r="A39">
        <x:v>26</x:v>
      </x:c>
      <x:c r="B39" t="s">
        <x:v>220</x:v>
      </x:c>
      <x:c r="C39" t="str">
        <x:v>Torres, Sean T.</x:v>
      </x:c>
      <x:c r="D39" s="74" t="s">
        <x:v>93</x:v>
      </x:c>
      <x:c r="E39" t="n">
        <x:v>22</x:v>
      </x:c>
      <x:c r="F39" t="n">
        <x:v>50</x:v>
      </x:c>
      <x:c r="G39" t="n">
        <x:v>64</x:v>
      </x:c>
      <x:c r="H39" t="n">
        <x:v>37</x:v>
      </x:c>
      <x:c r="I39" t="n">
        <x:v>33</x:v>
      </x:c>
      <x:c r="J39" t="n">
        <x:v>85</x:v>
      </x:c>
      <x:c r="K39" t="n">
        <x:v>16</x:v>
      </x:c>
      <x:c r="L39" t="n">
        <x:v>43</x:v>
      </x:c>
      <x:c r="M39" t="n">
        <x:v>22</x:v>
      </x:c>
      <x:c r="N39" t="n">
        <x:v>20</x:v>
      </x:c>
      <x:c r="O39" t="n">
        <x:v>17</x:v>
      </x:c>
      <x:c r="P39" t="n">
        <x:v>18</x:v>
      </x:c>
      <x:c r="Q39" t="n">
        <x:v>23</x:v>
      </x:c>
      <x:c r="EQ39">
        <x:f t="shared" si="20"/>
        <x:v>25</x:v>
      </x:c>
      <x:c r="ER39">
        <x:f t="shared" si="21"/>
        <x:v>73</x:v>
      </x:c>
      <x:c r="ES39">
        <x:f t="shared" si="22"/>
        <x:v>50</x:v>
      </x:c>
      <x:c r="ET39">
        <x:f t="shared" si="23"/>
        <x:v>0</x:v>
      </x:c>
      <x:c r="EU39">
        <x:f t="shared" si="24"/>
        <x:v>0</x:v>
      </x:c>
      <x:c r="EV39">
        <x:f t="shared" si="25"/>
        <x:v>0</x:v>
      </x:c>
      <x:c r="EW39">
        <x:f t="shared" si="26"/>
        <x:v>0</x:v>
      </x:c>
      <x:c r="EX39">
        <x:f t="shared" si="27"/>
        <x:v>0</x:v>
      </x:c>
      <x:c r="EY39">
        <x:f t="shared" si="28"/>
        <x:v>0</x:v>
      </x:c>
      <x:c r="EZ39">
        <x:f t="shared" si="29"/>
        <x:v>0</x:v>
      </x:c>
      <x:c r="FA39" s="41">
        <x:f t="shared" si="30"/>
        <x:v>0</x:v>
      </x:c>
      <x:c r="FB39">
        <x:f t="shared" si="31"/>
        <x:v>43</x:v>
      </x:c>
      <x:c r="FC39">
        <x:f t="shared" si="32"/>
        <x:v>83</x:v>
      </x:c>
      <x:c r="FD39">
        <x:f t="shared" si="33"/>
        <x:v>0</x:v>
      </x:c>
      <x:c r="FE39">
        <x:f t="shared" si="34"/>
        <x:v>42</x:v>
      </x:c>
      <x:c r="FF39">
        <x:f t="shared" si="35"/>
        <x:v>0</x:v>
      </x:c>
      <x:c r="FG39">
        <x:f t="shared" si="36"/>
        <x:v>0</x:v>
      </x:c>
      <x:c r="FH39">
        <x:f t="shared" si="37"/>
        <x:v>0</x:v>
      </x:c>
      <x:c r="FI39">
        <x:f t="shared" si="38"/>
        <x:v>0</x:v>
      </x:c>
      <x:c r="FJ39">
        <x:f t="shared" si="39"/>
        <x:v>0</x:v>
      </x:c>
      <x:c r="FK39">
        <x:f t="shared" si="40"/>
        <x:v>0</x:v>
      </x:c>
      <x:c r="FL39" s="41">
        <x:f t="shared" si="41"/>
        <x:v>0</x:v>
      </x:c>
      <x:c r="FM39">
        <x:f t="shared" si="42"/>
        <x:v>18</x:v>
      </x:c>
      <x:c r="FN39">
        <x:f t="shared" si="43"/>
        <x:v>104</x:v>
      </x:c>
      <x:c r="FO39">
        <x:f t="shared" si="44"/>
        <x:v>45</x:v>
      </x:c>
      <x:c r="FP39">
        <x:f t="shared" si="45"/>
        <x:v>0</x:v>
      </x:c>
      <x:c r="FQ39">
        <x:f t="shared" si="46"/>
        <x:v>0</x:v>
      </x:c>
      <x:c r="FR39">
        <x:f t="shared" si="47"/>
        <x:v>0</x:v>
      </x:c>
      <x:c r="FS39">
        <x:f t="shared" si="48"/>
        <x:v>0</x:v>
      </x:c>
      <x:c r="FT39">
        <x:f t="shared" si="49"/>
        <x:v>0</x:v>
      </x:c>
      <x:c r="FU39">
        <x:f t="shared" si="50"/>
        <x:v>0</x:v>
      </x:c>
      <x:c r="FV39">
        <x:f t="shared" si="51"/>
        <x:v>0</x:v>
      </x:c>
      <x:c r="FW39" s="41">
        <x:f t="shared" si="52"/>
        <x:v>0</x:v>
      </x:c>
      <x:c r="FX39">
        <x:f t="shared" si="53"/>
        <x:v>86</x:v>
      </x:c>
      <x:c r="FY39">
        <x:f t="shared" si="54"/>
        <x:v>260</x:v>
      </x:c>
      <x:c r="FZ39">
        <x:f t="shared" si="55"/>
        <x:v>95</x:v>
      </x:c>
      <x:c r="GA39">
        <x:f t="shared" si="56"/>
        <x:v>42</x:v>
      </x:c>
      <x:c r="GB39">
        <x:f t="shared" si="57"/>
        <x:v>0</x:v>
      </x:c>
      <x:c r="GC39">
        <x:f t="shared" si="58"/>
        <x:v>0</x:v>
      </x:c>
      <x:c r="GD39">
        <x:f t="shared" si="59"/>
        <x:v>0</x:v>
      </x:c>
      <x:c r="GE39">
        <x:f t="shared" si="60"/>
        <x:v>0</x:v>
      </x:c>
      <x:c r="GF39">
        <x:f t="shared" si="61"/>
        <x:v>0</x:v>
      </x:c>
      <x:c r="GG39">
        <x:f t="shared" si="62"/>
        <x:v>0</x:v>
      </x:c>
      <x:c r="GH39">
        <x:f t="shared" si="63"/>
        <x:v>0</x:v>
      </x:c>
      <x:c r="GI39">
        <x:f t="shared" si="64"/>
        <x:v>50</x:v>
      </x:c>
      <x:c r="GJ39">
        <x:f t="shared" si="65"/>
        <x:v>73</x:v>
      </x:c>
      <x:c r="GK39">
        <x:f t="shared" si="66"/>
        <x:v>0</x:v>
      </x:c>
      <x:c r="GL39">
        <x:f t="shared" si="67"/>
        <x:v>0</x:v>
      </x:c>
      <x:c r="GM39">
        <x:f t="shared" si="68"/>
        <x:v>0</x:v>
      </x:c>
      <x:c r="GN39">
        <x:f t="shared" si="69"/>
        <x:v>0</x:v>
      </x:c>
      <x:c r="GO39">
        <x:f t="shared" si="70"/>
        <x:v>25</x:v>
      </x:c>
      <x:c r="GP39">
        <x:f t="shared" si="71"/>
        <x:v>0</x:v>
      </x:c>
      <x:c r="GQ39">
        <x:f t="shared" si="72"/>
        <x:v>0</x:v>
      </x:c>
      <x:c r="GR39" s="42">
        <x:f t="shared" si="73"/>
        <x:v>0</x:v>
      </x:c>
      <x:c r="GS39">
        <x:f t="shared" si="74"/>
        <x:v>42</x:v>
      </x:c>
      <x:c r="GT39">
        <x:f t="shared" si="75"/>
        <x:v>83</x:v>
      </x:c>
      <x:c r="GU39">
        <x:f t="shared" si="76"/>
        <x:v>0</x:v>
      </x:c>
      <x:c r="GV39">
        <x:f t="shared" si="77"/>
        <x:v>0</x:v>
      </x:c>
      <x:c r="GW39">
        <x:f t="shared" si="78"/>
        <x:v>0</x:v>
      </x:c>
      <x:c r="GX39">
        <x:f t="shared" si="79"/>
        <x:v>0</x:v>
      </x:c>
      <x:c r="GY39">
        <x:f t="shared" si="80"/>
        <x:v>43</x:v>
      </x:c>
      <x:c r="GZ39">
        <x:f t="shared" si="81"/>
        <x:v>0</x:v>
      </x:c>
      <x:c r="HA39">
        <x:f t="shared" si="82"/>
        <x:v>0</x:v>
      </x:c>
      <x:c r="HB39" s="42">
        <x:f t="shared" si="83"/>
        <x:v>0</x:v>
      </x:c>
      <x:c r="HC39">
        <x:f t="shared" si="84"/>
        <x:v>45</x:v>
      </x:c>
      <x:c r="HD39">
        <x:f t="shared" si="85"/>
        <x:v>104</x:v>
      </x:c>
      <x:c r="HE39">
        <x:f t="shared" si="86"/>
        <x:v>0</x:v>
      </x:c>
      <x:c r="HF39">
        <x:f t="shared" si="87"/>
        <x:v>0</x:v>
      </x:c>
      <x:c r="HG39">
        <x:f t="shared" si="88"/>
        <x:v>0</x:v>
      </x:c>
      <x:c r="HH39">
        <x:f t="shared" si="89"/>
        <x:v>0</x:v>
      </x:c>
      <x:c r="HI39">
        <x:f t="shared" si="90"/>
        <x:v>18</x:v>
      </x:c>
      <x:c r="HJ39">
        <x:f t="shared" si="91"/>
        <x:v>0</x:v>
      </x:c>
      <x:c r="HK39">
        <x:f t="shared" si="92"/>
        <x:v>0</x:v>
      </x:c>
      <x:c r="HL39">
        <x:f t="shared" si="93"/>
        <x:v>0</x:v>
      </x:c>
    </x:row>
    <x:row r="40">
      <x:c r="A40">
        <x:v>27</x:v>
      </x:c>
      <x:c r="B40" t="s">
        <x:v>221</x:v>
      </x:c>
      <x:c r="C40" t="str">
        <x:v>Santos, Xandra J.</x:v>
      </x:c>
      <x:c r="D40" s="74" t="s">
        <x:v>93</x:v>
      </x:c>
      <x:c r="E40" t="n">
        <x:v>19</x:v>
      </x:c>
      <x:c r="F40" t="n">
        <x:v>47</x:v>
      </x:c>
      <x:c r="G40" t="n">
        <x:v>55</x:v>
      </x:c>
      <x:c r="H40" t="n">
        <x:v>35</x:v>
      </x:c>
      <x:c r="I40" t="n">
        <x:v>42</x:v>
      </x:c>
      <x:c r="J40" t="n">
        <x:v>75</x:v>
      </x:c>
      <x:c r="K40" t="n">
        <x:v>18</x:v>
      </x:c>
      <x:c r="L40" t="n">
        <x:v>41</x:v>
      </x:c>
      <x:c r="M40" t="n">
        <x:v>22</x:v>
      </x:c>
      <x:c r="N40" t="n">
        <x:v>16</x:v>
      </x:c>
      <x:c r="O40" t="n">
        <x:v>17</x:v>
      </x:c>
      <x:c r="P40" t="n">
        <x:v>19</x:v>
      </x:c>
      <x:c r="Q40" t="n">
        <x:v>19</x:v>
      </x:c>
      <x:c r="EQ40">
        <x:f t="shared" si="20"/>
        <x:v>15</x:v>
      </x:c>
      <x:c r="ER40">
        <x:f t="shared" si="21"/>
        <x:v>48</x:v>
      </x:c>
      <x:c r="ES40">
        <x:f t="shared" si="22"/>
        <x:v>30</x:v>
      </x:c>
      <x:c r="ET40">
        <x:f t="shared" si="23"/>
        <x:v>0</x:v>
      </x:c>
      <x:c r="EU40">
        <x:f t="shared" si="24"/>
        <x:v>0</x:v>
      </x:c>
      <x:c r="EV40">
        <x:f t="shared" si="25"/>
        <x:v>0</x:v>
      </x:c>
      <x:c r="EW40">
        <x:f t="shared" si="26"/>
        <x:v>0</x:v>
      </x:c>
      <x:c r="EX40">
        <x:f t="shared" si="27"/>
        <x:v>0</x:v>
      </x:c>
      <x:c r="EY40">
        <x:f t="shared" si="28"/>
        <x:v>0</x:v>
      </x:c>
      <x:c r="EZ40">
        <x:f t="shared" si="29"/>
        <x:v>0</x:v>
      </x:c>
      <x:c r="FA40" s="41">
        <x:f t="shared" si="30"/>
        <x:v>0</x:v>
      </x:c>
      <x:c r="FB40">
        <x:f t="shared" si="31"/>
        <x:v>25</x:v>
      </x:c>
      <x:c r="FC40">
        <x:f t="shared" si="32"/>
        <x:v>50</x:v>
      </x:c>
      <x:c r="FD40">
        <x:f t="shared" si="33"/>
        <x:v>0</x:v>
      </x:c>
      <x:c r="FE40">
        <x:f t="shared" si="34"/>
        <x:v>22</x:v>
      </x:c>
      <x:c r="FF40">
        <x:f t="shared" si="35"/>
        <x:v>0</x:v>
      </x:c>
      <x:c r="FG40">
        <x:f t="shared" si="36"/>
        <x:v>0</x:v>
      </x:c>
      <x:c r="FH40">
        <x:f t="shared" si="37"/>
        <x:v>0</x:v>
      </x:c>
      <x:c r="FI40">
        <x:f t="shared" si="38"/>
        <x:v>0</x:v>
      </x:c>
      <x:c r="FJ40">
        <x:f t="shared" si="39"/>
        <x:v>0</x:v>
      </x:c>
      <x:c r="FK40">
        <x:f t="shared" si="40"/>
        <x:v>0</x:v>
      </x:c>
      <x:c r="FL40" s="41">
        <x:f t="shared" si="41"/>
        <x:v>0</x:v>
      </x:c>
      <x:c r="FM40">
        <x:f t="shared" si="42"/>
        <x:v>10</x:v>
      </x:c>
      <x:c r="FN40">
        <x:f t="shared" si="43"/>
        <x:v>57</x:v>
      </x:c>
      <x:c r="FO40">
        <x:f t="shared" si="44"/>
        <x:v>25</x:v>
      </x:c>
      <x:c r="FP40">
        <x:f t="shared" si="45"/>
        <x:v>0</x:v>
      </x:c>
      <x:c r="FQ40">
        <x:f t="shared" si="46"/>
        <x:v>0</x:v>
      </x:c>
      <x:c r="FR40">
        <x:f t="shared" si="47"/>
        <x:v>0</x:v>
      </x:c>
      <x:c r="FS40">
        <x:f t="shared" si="48"/>
        <x:v>0</x:v>
      </x:c>
      <x:c r="FT40">
        <x:f t="shared" si="49"/>
        <x:v>0</x:v>
      </x:c>
      <x:c r="FU40">
        <x:f t="shared" si="50"/>
        <x:v>0</x:v>
      </x:c>
      <x:c r="FV40">
        <x:f t="shared" si="51"/>
        <x:v>0</x:v>
      </x:c>
      <x:c r="FW40" s="41">
        <x:f t="shared" si="52"/>
        <x:v>0</x:v>
      </x:c>
      <x:c r="FX40">
        <x:f t="shared" si="53"/>
        <x:v>50</x:v>
      </x:c>
      <x:c r="FY40">
        <x:f t="shared" si="54"/>
        <x:v>155</x:v>
      </x:c>
      <x:c r="FZ40">
        <x:f t="shared" si="55"/>
        <x:v>55</x:v>
      </x:c>
      <x:c r="GA40">
        <x:f t="shared" si="56"/>
        <x:v>22</x:v>
      </x:c>
      <x:c r="GB40">
        <x:f t="shared" si="57"/>
        <x:v>0</x:v>
      </x:c>
      <x:c r="GC40">
        <x:f t="shared" si="58"/>
        <x:v>0</x:v>
      </x:c>
      <x:c r="GD40">
        <x:f t="shared" si="59"/>
        <x:v>0</x:v>
      </x:c>
      <x:c r="GE40">
        <x:f t="shared" si="60"/>
        <x:v>0</x:v>
      </x:c>
      <x:c r="GF40">
        <x:f t="shared" si="61"/>
        <x:v>0</x:v>
      </x:c>
      <x:c r="GG40">
        <x:f t="shared" si="62"/>
        <x:v>0</x:v>
      </x:c>
      <x:c r="GH40">
        <x:f t="shared" si="63"/>
        <x:v>0</x:v>
      </x:c>
      <x:c r="GI40">
        <x:f t="shared" si="64"/>
        <x:v>30</x:v>
      </x:c>
      <x:c r="GJ40">
        <x:f t="shared" si="65"/>
        <x:v>48</x:v>
      </x:c>
      <x:c r="GK40">
        <x:f t="shared" si="66"/>
        <x:v>0</x:v>
      </x:c>
      <x:c r="GL40">
        <x:f t="shared" si="67"/>
        <x:v>0</x:v>
      </x:c>
      <x:c r="GM40">
        <x:f t="shared" si="68"/>
        <x:v>0</x:v>
      </x:c>
      <x:c r="GN40">
        <x:f t="shared" si="69"/>
        <x:v>0</x:v>
      </x:c>
      <x:c r="GO40">
        <x:f t="shared" si="70"/>
        <x:v>15</x:v>
      </x:c>
      <x:c r="GP40">
        <x:f t="shared" si="71"/>
        <x:v>0</x:v>
      </x:c>
      <x:c r="GQ40">
        <x:f t="shared" si="72"/>
        <x:v>0</x:v>
      </x:c>
      <x:c r="GR40" s="42">
        <x:f t="shared" si="73"/>
        <x:v>0</x:v>
      </x:c>
      <x:c r="GS40">
        <x:f t="shared" si="74"/>
        <x:v>22</x:v>
      </x:c>
      <x:c r="GT40">
        <x:f t="shared" si="75"/>
        <x:v>50</x:v>
      </x:c>
      <x:c r="GU40">
        <x:f t="shared" si="76"/>
        <x:v>0</x:v>
      </x:c>
      <x:c r="GV40">
        <x:f t="shared" si="77"/>
        <x:v>0</x:v>
      </x:c>
      <x:c r="GW40">
        <x:f t="shared" si="78"/>
        <x:v>0</x:v>
      </x:c>
      <x:c r="GX40">
        <x:f t="shared" si="79"/>
        <x:v>0</x:v>
      </x:c>
      <x:c r="GY40">
        <x:f t="shared" si="80"/>
        <x:v>25</x:v>
      </x:c>
      <x:c r="GZ40">
        <x:f t="shared" si="81"/>
        <x:v>0</x:v>
      </x:c>
      <x:c r="HA40">
        <x:f t="shared" si="82"/>
        <x:v>0</x:v>
      </x:c>
      <x:c r="HB40" s="42">
        <x:f t="shared" si="83"/>
        <x:v>0</x:v>
      </x:c>
      <x:c r="HC40">
        <x:f t="shared" si="84"/>
        <x:v>25</x:v>
      </x:c>
      <x:c r="HD40">
        <x:f t="shared" si="85"/>
        <x:v>57</x:v>
      </x:c>
      <x:c r="HE40">
        <x:f t="shared" si="86"/>
        <x:v>0</x:v>
      </x:c>
      <x:c r="HF40">
        <x:f t="shared" si="87"/>
        <x:v>0</x:v>
      </x:c>
      <x:c r="HG40">
        <x:f t="shared" si="88"/>
        <x:v>0</x:v>
      </x:c>
      <x:c r="HH40">
        <x:f t="shared" si="89"/>
        <x:v>0</x:v>
      </x:c>
      <x:c r="HI40">
        <x:f t="shared" si="90"/>
        <x:v>10</x:v>
      </x:c>
      <x:c r="HJ40">
        <x:f t="shared" si="91"/>
        <x:v>0</x:v>
      </x:c>
      <x:c r="HK40">
        <x:f t="shared" si="92"/>
        <x:v>0</x:v>
      </x:c>
      <x:c r="HL40">
        <x:f t="shared" si="93"/>
        <x:v>0</x:v>
      </x:c>
    </x:row>
    <x:row r="41">
      <x:c r="A41">
        <x:v>28</x:v>
      </x:c>
      <x:c r="B41" t="s">
        <x:v>222</x:v>
      </x:c>
      <x:c r="C41" t="str">
        <x:v>Alvarez, Ivan A.</x:v>
      </x:c>
      <x:c r="D41" s="74" t="s">
        <x:v>93</x:v>
      </x:c>
      <x:c r="E41" t="n">
        <x:v>21</x:v>
      </x:c>
      <x:c r="F41" t="n">
        <x:v>53</x:v>
      </x:c>
      <x:c r="G41" t="n">
        <x:v>59</x:v>
      </x:c>
      <x:c r="H41" t="n">
        <x:v>33</x:v>
      </x:c>
      <x:c r="I41" t="n">
        <x:v>38</x:v>
      </x:c>
      <x:c r="J41" t="n">
        <x:v>71</x:v>
      </x:c>
      <x:c r="K41" t="n">
        <x:v>14</x:v>
      </x:c>
      <x:c r="L41" t="n">
        <x:v>40</x:v>
      </x:c>
      <x:c r="M41" t="n">
        <x:v>17</x:v>
      </x:c>
      <x:c r="N41" t="n">
        <x:v>22</x:v>
      </x:c>
      <x:c r="O41" t="n">
        <x:v>19</x:v>
      </x:c>
      <x:c r="P41" t="n">
        <x:v>16</x:v>
      </x:c>
      <x:c r="Q41" t="n">
        <x:v>21</x:v>
      </x:c>
      <x:c r="EQ41">
        <x:f t="shared" si="20"/>
        <x:v>26</x:v>
      </x:c>
      <x:c r="ER41">
        <x:f t="shared" si="21"/>
        <x:v>74</x:v>
      </x:c>
      <x:c r="ES41">
        <x:f t="shared" si="22"/>
        <x:v>51</x:v>
      </x:c>
      <x:c r="ET41">
        <x:f t="shared" si="23"/>
        <x:v>0</x:v>
      </x:c>
      <x:c r="EU41">
        <x:f t="shared" si="24"/>
        <x:v>0</x:v>
      </x:c>
      <x:c r="EV41">
        <x:f t="shared" si="25"/>
        <x:v>0</x:v>
      </x:c>
      <x:c r="EW41">
        <x:f t="shared" si="26"/>
        <x:v>0</x:v>
      </x:c>
      <x:c r="EX41">
        <x:f t="shared" si="27"/>
        <x:v>0</x:v>
      </x:c>
      <x:c r="EY41">
        <x:f t="shared" si="28"/>
        <x:v>0</x:v>
      </x:c>
      <x:c r="EZ41">
        <x:f t="shared" si="29"/>
        <x:v>0</x:v>
      </x:c>
      <x:c r="FA41" s="41">
        <x:f t="shared" si="30"/>
        <x:v>0</x:v>
      </x:c>
      <x:c r="FB41">
        <x:f t="shared" si="31"/>
        <x:v>44</x:v>
      </x:c>
      <x:c r="FC41">
        <x:f t="shared" si="32"/>
        <x:v>86</x:v>
      </x:c>
      <x:c r="FD41">
        <x:f t="shared" si="33"/>
        <x:v>0</x:v>
      </x:c>
      <x:c r="FE41">
        <x:f t="shared" si="34"/>
        <x:v>43</x:v>
      </x:c>
      <x:c r="FF41">
        <x:f t="shared" si="35"/>
        <x:v>0</x:v>
      </x:c>
      <x:c r="FG41">
        <x:f t="shared" si="36"/>
        <x:v>0</x:v>
      </x:c>
      <x:c r="FH41">
        <x:f t="shared" si="37"/>
        <x:v>0</x:v>
      </x:c>
      <x:c r="FI41">
        <x:f t="shared" si="38"/>
        <x:v>0</x:v>
      </x:c>
      <x:c r="FJ41">
        <x:f t="shared" si="39"/>
        <x:v>0</x:v>
      </x:c>
      <x:c r="FK41">
        <x:f t="shared" si="40"/>
        <x:v>0</x:v>
      </x:c>
      <x:c r="FL41" s="41">
        <x:f t="shared" si="41"/>
        <x:v>0</x:v>
      </x:c>
      <x:c r="FM41">
        <x:f t="shared" si="42"/>
        <x:v>18</x:v>
      </x:c>
      <x:c r="FN41">
        <x:f t="shared" si="43"/>
        <x:v>105</x:v>
      </x:c>
      <x:c r="FO41">
        <x:f t="shared" si="44"/>
        <x:v>45</x:v>
      </x:c>
      <x:c r="FP41">
        <x:f t="shared" si="45"/>
        <x:v>0</x:v>
      </x:c>
      <x:c r="FQ41">
        <x:f t="shared" si="46"/>
        <x:v>0</x:v>
      </x:c>
      <x:c r="FR41">
        <x:f t="shared" si="47"/>
        <x:v>0</x:v>
      </x:c>
      <x:c r="FS41">
        <x:f t="shared" si="48"/>
        <x:v>0</x:v>
      </x:c>
      <x:c r="FT41">
        <x:f t="shared" si="49"/>
        <x:v>0</x:v>
      </x:c>
      <x:c r="FU41">
        <x:f t="shared" si="50"/>
        <x:v>0</x:v>
      </x:c>
      <x:c r="FV41">
        <x:f t="shared" si="51"/>
        <x:v>0</x:v>
      </x:c>
      <x:c r="FW41" s="41">
        <x:f t="shared" si="52"/>
        <x:v>0</x:v>
      </x:c>
      <x:c r="FX41">
        <x:f t="shared" si="53"/>
        <x:v>88</x:v>
      </x:c>
      <x:c r="FY41">
        <x:f t="shared" si="54"/>
        <x:v>265</x:v>
      </x:c>
      <x:c r="FZ41">
        <x:f t="shared" si="55"/>
        <x:v>96</x:v>
      </x:c>
      <x:c r="GA41">
        <x:f t="shared" si="56"/>
        <x:v>43</x:v>
      </x:c>
      <x:c r="GB41">
        <x:f t="shared" si="57"/>
        <x:v>0</x:v>
      </x:c>
      <x:c r="GC41">
        <x:f t="shared" si="58"/>
        <x:v>0</x:v>
      </x:c>
      <x:c r="GD41">
        <x:f t="shared" si="59"/>
        <x:v>0</x:v>
      </x:c>
      <x:c r="GE41">
        <x:f t="shared" si="60"/>
        <x:v>0</x:v>
      </x:c>
      <x:c r="GF41">
        <x:f t="shared" si="61"/>
        <x:v>0</x:v>
      </x:c>
      <x:c r="GG41">
        <x:f t="shared" si="62"/>
        <x:v>0</x:v>
      </x:c>
      <x:c r="GH41">
        <x:f t="shared" si="63"/>
        <x:v>0</x:v>
      </x:c>
      <x:c r="GI41">
        <x:f t="shared" si="64"/>
        <x:v>51</x:v>
      </x:c>
      <x:c r="GJ41">
        <x:f t="shared" si="65"/>
        <x:v>74</x:v>
      </x:c>
      <x:c r="GK41">
        <x:f t="shared" si="66"/>
        <x:v>0</x:v>
      </x:c>
      <x:c r="GL41">
        <x:f t="shared" si="67"/>
        <x:v>0</x:v>
      </x:c>
      <x:c r="GM41">
        <x:f t="shared" si="68"/>
        <x:v>0</x:v>
      </x:c>
      <x:c r="GN41">
        <x:f t="shared" si="69"/>
        <x:v>0</x:v>
      </x:c>
      <x:c r="GO41">
        <x:f t="shared" si="70"/>
        <x:v>26</x:v>
      </x:c>
      <x:c r="GP41">
        <x:f t="shared" si="71"/>
        <x:v>0</x:v>
      </x:c>
      <x:c r="GQ41">
        <x:f t="shared" si="72"/>
        <x:v>0</x:v>
      </x:c>
      <x:c r="GR41" s="42">
        <x:f t="shared" si="73"/>
        <x:v>0</x:v>
      </x:c>
      <x:c r="GS41">
        <x:f t="shared" si="74"/>
        <x:v>43</x:v>
      </x:c>
      <x:c r="GT41">
        <x:f t="shared" si="75"/>
        <x:v>86</x:v>
      </x:c>
      <x:c r="GU41">
        <x:f t="shared" si="76"/>
        <x:v>0</x:v>
      </x:c>
      <x:c r="GV41">
        <x:f t="shared" si="77"/>
        <x:v>0</x:v>
      </x:c>
      <x:c r="GW41">
        <x:f t="shared" si="78"/>
        <x:v>0</x:v>
      </x:c>
      <x:c r="GX41">
        <x:f t="shared" si="79"/>
        <x:v>0</x:v>
      </x:c>
      <x:c r="GY41">
        <x:f t="shared" si="80"/>
        <x:v>44</x:v>
      </x:c>
      <x:c r="GZ41">
        <x:f t="shared" si="81"/>
        <x:v>0</x:v>
      </x:c>
      <x:c r="HA41">
        <x:f t="shared" si="82"/>
        <x:v>0</x:v>
      </x:c>
      <x:c r="HB41" s="42">
        <x:f t="shared" si="83"/>
        <x:v>0</x:v>
      </x:c>
      <x:c r="HC41">
        <x:f t="shared" si="84"/>
        <x:v>45</x:v>
      </x:c>
      <x:c r="HD41">
        <x:f t="shared" si="85"/>
        <x:v>105</x:v>
      </x:c>
      <x:c r="HE41">
        <x:f t="shared" si="86"/>
        <x:v>0</x:v>
      </x:c>
      <x:c r="HF41">
        <x:f t="shared" si="87"/>
        <x:v>0</x:v>
      </x:c>
      <x:c r="HG41">
        <x:f t="shared" si="88"/>
        <x:v>0</x:v>
      </x:c>
      <x:c r="HH41">
        <x:f t="shared" si="89"/>
        <x:v>0</x:v>
      </x:c>
      <x:c r="HI41">
        <x:f t="shared" si="90"/>
        <x:v>18</x:v>
      </x:c>
      <x:c r="HJ41">
        <x:f t="shared" si="91"/>
        <x:v>0</x:v>
      </x:c>
      <x:c r="HK41">
        <x:f t="shared" si="92"/>
        <x:v>0</x:v>
      </x:c>
      <x:c r="HL41">
        <x:f t="shared" si="93"/>
        <x:v>0</x:v>
      </x:c>
    </x:row>
    <x:row r="42">
      <x:c r="A42">
        <x:v>29</x:v>
      </x:c>
      <x:c r="B42" t="s">
        <x:v>223</x:v>
      </x:c>
      <x:c r="C42" t="str">
        <x:v>Pascual, Uriel V.</x:v>
      </x:c>
      <x:c r="D42" s="74" t="s">
        <x:v>93</x:v>
      </x:c>
      <x:c r="E42" t="n">
        <x:v>19</x:v>
      </x:c>
      <x:c r="F42" t="n">
        <x:v>46</x:v>
      </x:c>
      <x:c r="G42" t="n">
        <x:v>59</x:v>
      </x:c>
      <x:c r="H42" t="n">
        <x:v>44</x:v>
      </x:c>
      <x:c r="I42" t="n">
        <x:v>43</x:v>
      </x:c>
      <x:c r="J42" t="n">
        <x:v>78</x:v>
      </x:c>
      <x:c r="K42" t="n">
        <x:v>14</x:v>
      </x:c>
      <x:c r="L42" t="n">
        <x:v>34</x:v>
      </x:c>
      <x:c r="M42" t="n">
        <x:v>15</x:v>
      </x:c>
      <x:c r="N42" t="n">
        <x:v>19</x:v>
      </x:c>
      <x:c r="O42" t="n">
        <x:v>22</x:v>
      </x:c>
      <x:c r="P42" t="n">
        <x:v>15</x:v>
      </x:c>
      <x:c r="Q42" t="n">
        <x:v>20</x:v>
      </x:c>
      <x:c r="EQ42">
        <x:f t="shared" si="20"/>
        <x:v>28</x:v>
      </x:c>
      <x:c r="ER42">
        <x:f t="shared" si="21"/>
        <x:v>77</x:v>
      </x:c>
      <x:c r="ES42">
        <x:f t="shared" si="22"/>
        <x:v>56</x:v>
      </x:c>
      <x:c r="ET42">
        <x:f t="shared" si="23"/>
        <x:v>0</x:v>
      </x:c>
      <x:c r="EU42">
        <x:f t="shared" si="24"/>
        <x:v>0</x:v>
      </x:c>
      <x:c r="EV42">
        <x:f t="shared" si="25"/>
        <x:v>0</x:v>
      </x:c>
      <x:c r="EW42">
        <x:f t="shared" si="26"/>
        <x:v>0</x:v>
      </x:c>
      <x:c r="EX42">
        <x:f t="shared" si="27"/>
        <x:v>0</x:v>
      </x:c>
      <x:c r="EY42">
        <x:f t="shared" si="28"/>
        <x:v>0</x:v>
      </x:c>
      <x:c r="EZ42">
        <x:f t="shared" si="29"/>
        <x:v>0</x:v>
      </x:c>
      <x:c r="FA42" s="41">
        <x:f t="shared" si="30"/>
        <x:v>0</x:v>
      </x:c>
      <x:c r="FB42">
        <x:f t="shared" si="31"/>
        <x:v>47</x:v>
      </x:c>
      <x:c r="FC42">
        <x:f t="shared" si="32"/>
        <x:v>92</x:v>
      </x:c>
      <x:c r="FD42">
        <x:f t="shared" si="33"/>
        <x:v>0</x:v>
      </x:c>
      <x:c r="FE42">
        <x:f t="shared" si="34"/>
        <x:v>47</x:v>
      </x:c>
      <x:c r="FF42">
        <x:f t="shared" si="35"/>
        <x:v>0</x:v>
      </x:c>
      <x:c r="FG42">
        <x:f t="shared" si="36"/>
        <x:v>0</x:v>
      </x:c>
      <x:c r="FH42">
        <x:f t="shared" si="37"/>
        <x:v>0</x:v>
      </x:c>
      <x:c r="FI42">
        <x:f t="shared" si="38"/>
        <x:v>0</x:v>
      </x:c>
      <x:c r="FJ42">
        <x:f t="shared" si="39"/>
        <x:v>0</x:v>
      </x:c>
      <x:c r="FK42">
        <x:f t="shared" si="40"/>
        <x:v>0</x:v>
      </x:c>
      <x:c r="FL42" s="41">
        <x:f t="shared" si="41"/>
        <x:v>0</x:v>
      </x:c>
      <x:c r="FM42">
        <x:f t="shared" si="42"/>
        <x:v>19</x:v>
      </x:c>
      <x:c r="FN42">
        <x:f t="shared" si="43"/>
        <x:v>116</x:v>
      </x:c>
      <x:c r="FO42">
        <x:f t="shared" si="44"/>
        <x:v>48</x:v>
      </x:c>
      <x:c r="FP42">
        <x:f t="shared" si="45"/>
        <x:v>0</x:v>
      </x:c>
      <x:c r="FQ42">
        <x:f t="shared" si="46"/>
        <x:v>0</x:v>
      </x:c>
      <x:c r="FR42">
        <x:f t="shared" si="47"/>
        <x:v>0</x:v>
      </x:c>
      <x:c r="FS42">
        <x:f t="shared" si="48"/>
        <x:v>0</x:v>
      </x:c>
      <x:c r="FT42">
        <x:f t="shared" si="49"/>
        <x:v>0</x:v>
      </x:c>
      <x:c r="FU42">
        <x:f t="shared" si="50"/>
        <x:v>0</x:v>
      </x:c>
      <x:c r="FV42">
        <x:f t="shared" si="51"/>
        <x:v>0</x:v>
      </x:c>
      <x:c r="FW42" s="41">
        <x:f t="shared" si="52"/>
        <x:v>0</x:v>
      </x:c>
      <x:c r="FX42">
        <x:f t="shared" si="53"/>
        <x:v>94</x:v>
      </x:c>
      <x:c r="FY42">
        <x:f t="shared" si="54"/>
        <x:v>285</x:v>
      </x:c>
      <x:c r="FZ42">
        <x:f t="shared" si="55"/>
        <x:v>104</x:v>
      </x:c>
      <x:c r="GA42">
        <x:f t="shared" si="56"/>
        <x:v>47</x:v>
      </x:c>
      <x:c r="GB42">
        <x:f t="shared" si="57"/>
        <x:v>0</x:v>
      </x:c>
      <x:c r="GC42">
        <x:f t="shared" si="58"/>
        <x:v>0</x:v>
      </x:c>
      <x:c r="GD42">
        <x:f t="shared" si="59"/>
        <x:v>0</x:v>
      </x:c>
      <x:c r="GE42">
        <x:f t="shared" si="60"/>
        <x:v>0</x:v>
      </x:c>
      <x:c r="GF42">
        <x:f t="shared" si="61"/>
        <x:v>0</x:v>
      </x:c>
      <x:c r="GG42">
        <x:f t="shared" si="62"/>
        <x:v>0</x:v>
      </x:c>
      <x:c r="GH42">
        <x:f t="shared" si="63"/>
        <x:v>0</x:v>
      </x:c>
      <x:c r="GI42">
        <x:f t="shared" si="64"/>
        <x:v>56</x:v>
      </x:c>
      <x:c r="GJ42">
        <x:f t="shared" si="65"/>
        <x:v>77</x:v>
      </x:c>
      <x:c r="GK42">
        <x:f t="shared" si="66"/>
        <x:v>0</x:v>
      </x:c>
      <x:c r="GL42">
        <x:f t="shared" si="67"/>
        <x:v>0</x:v>
      </x:c>
      <x:c r="GM42">
        <x:f t="shared" si="68"/>
        <x:v>0</x:v>
      </x:c>
      <x:c r="GN42">
        <x:f t="shared" si="69"/>
        <x:v>0</x:v>
      </x:c>
      <x:c r="GO42">
        <x:f t="shared" si="70"/>
        <x:v>28</x:v>
      </x:c>
      <x:c r="GP42">
        <x:f t="shared" si="71"/>
        <x:v>0</x:v>
      </x:c>
      <x:c r="GQ42">
        <x:f t="shared" si="72"/>
        <x:v>0</x:v>
      </x:c>
      <x:c r="GR42" s="42">
        <x:f t="shared" si="73"/>
        <x:v>0</x:v>
      </x:c>
      <x:c r="GS42">
        <x:f t="shared" si="74"/>
        <x:v>47</x:v>
      </x:c>
      <x:c r="GT42">
        <x:f t="shared" si="75"/>
        <x:v>92</x:v>
      </x:c>
      <x:c r="GU42">
        <x:f t="shared" si="76"/>
        <x:v>0</x:v>
      </x:c>
      <x:c r="GV42">
        <x:f t="shared" si="77"/>
        <x:v>0</x:v>
      </x:c>
      <x:c r="GW42">
        <x:f t="shared" si="78"/>
        <x:v>0</x:v>
      </x:c>
      <x:c r="GX42">
        <x:f t="shared" si="79"/>
        <x:v>0</x:v>
      </x:c>
      <x:c r="GY42">
        <x:f t="shared" si="80"/>
        <x:v>47</x:v>
      </x:c>
      <x:c r="GZ42">
        <x:f t="shared" si="81"/>
        <x:v>0</x:v>
      </x:c>
      <x:c r="HA42">
        <x:f t="shared" si="82"/>
        <x:v>0</x:v>
      </x:c>
      <x:c r="HB42" s="42">
        <x:f t="shared" si="83"/>
        <x:v>0</x:v>
      </x:c>
      <x:c r="HC42">
        <x:f t="shared" si="84"/>
        <x:v>48</x:v>
      </x:c>
      <x:c r="HD42">
        <x:f t="shared" si="85"/>
        <x:v>116</x:v>
      </x:c>
      <x:c r="HE42">
        <x:f t="shared" si="86"/>
        <x:v>0</x:v>
      </x:c>
      <x:c r="HF42">
        <x:f t="shared" si="87"/>
        <x:v>0</x:v>
      </x:c>
      <x:c r="HG42">
        <x:f t="shared" si="88"/>
        <x:v>0</x:v>
      </x:c>
      <x:c r="HH42">
        <x:f t="shared" si="89"/>
        <x:v>0</x:v>
      </x:c>
      <x:c r="HI42">
        <x:f t="shared" si="90"/>
        <x:v>19</x:v>
      </x:c>
      <x:c r="HJ42">
        <x:f t="shared" si="91"/>
        <x:v>0</x:v>
      </x:c>
      <x:c r="HK42">
        <x:f t="shared" si="92"/>
        <x:v>0</x:v>
      </x:c>
      <x:c r="HL42">
        <x:f t="shared" si="93"/>
        <x:v>0</x:v>
      </x:c>
    </x:row>
    <x:row r="43">
      <x:c r="A43">
        <x:v>30</x:v>
      </x:c>
      <x:c r="B43" t="s">
        <x:v>224</x:v>
      </x:c>
      <x:c r="C43" t="str">
        <x:v>De Guzman, Patricia O.</x:v>
      </x:c>
      <x:c r="D43" s="74" t="s">
        <x:v>93</x:v>
      </x:c>
      <x:c r="E43" t="n">
        <x:v>21</x:v>
      </x:c>
      <x:c r="F43" t="n">
        <x:v>43</x:v>
      </x:c>
      <x:c r="G43" t="n">
        <x:v>65</x:v>
      </x:c>
      <x:c r="H43" t="n">
        <x:v>36</x:v>
      </x:c>
      <x:c r="I43" t="n">
        <x:v>42</x:v>
      </x:c>
      <x:c r="J43" t="n">
        <x:v>60</x:v>
      </x:c>
      <x:c r="K43" t="n">
        <x:v>14</x:v>
      </x:c>
      <x:c r="L43" t="n">
        <x:v>39</x:v>
      </x:c>
      <x:c r="M43" t="n">
        <x:v>17</x:v>
      </x:c>
      <x:c r="N43" t="n">
        <x:v>22</x:v>
      </x:c>
      <x:c r="O43" t="n">
        <x:v>20</x:v>
      </x:c>
      <x:c r="P43" t="n">
        <x:v>15</x:v>
      </x:c>
      <x:c r="Q43" t="n">
        <x:v>18</x:v>
      </x:c>
      <x:c r="EQ43">
        <x:f t="shared" si="20"/>
        <x:v>23</x:v>
      </x:c>
      <x:c r="ER43">
        <x:f t="shared" si="21"/>
        <x:v>66</x:v>
      </x:c>
      <x:c r="ES43">
        <x:f t="shared" si="22"/>
        <x:v>46</x:v>
      </x:c>
      <x:c r="ET43">
        <x:f t="shared" si="23"/>
        <x:v>0</x:v>
      </x:c>
      <x:c r="EU43">
        <x:f t="shared" si="24"/>
        <x:v>0</x:v>
      </x:c>
      <x:c r="EV43">
        <x:f t="shared" si="25"/>
        <x:v>0</x:v>
      </x:c>
      <x:c r="EW43">
        <x:f t="shared" si="26"/>
        <x:v>0</x:v>
      </x:c>
      <x:c r="EX43">
        <x:f t="shared" si="27"/>
        <x:v>0</x:v>
      </x:c>
      <x:c r="EY43">
        <x:f t="shared" si="28"/>
        <x:v>0</x:v>
      </x:c>
      <x:c r="EZ43">
        <x:f t="shared" si="29"/>
        <x:v>0</x:v>
      </x:c>
      <x:c r="FA43" s="41">
        <x:f t="shared" si="30"/>
        <x:v>0</x:v>
      </x:c>
      <x:c r="FB43">
        <x:f t="shared" si="31"/>
        <x:v>40</x:v>
      </x:c>
      <x:c r="FC43">
        <x:f t="shared" si="32"/>
        <x:v>75</x:v>
      </x:c>
      <x:c r="FD43">
        <x:f t="shared" si="33"/>
        <x:v>0</x:v>
      </x:c>
      <x:c r="FE43">
        <x:f t="shared" si="34"/>
        <x:v>38</x:v>
      </x:c>
      <x:c r="FF43">
        <x:f t="shared" si="35"/>
        <x:v>0</x:v>
      </x:c>
      <x:c r="FG43">
        <x:f t="shared" si="36"/>
        <x:v>0</x:v>
      </x:c>
      <x:c r="FH43">
        <x:f t="shared" si="37"/>
        <x:v>0</x:v>
      </x:c>
      <x:c r="FI43">
        <x:f t="shared" si="38"/>
        <x:v>0</x:v>
      </x:c>
      <x:c r="FJ43">
        <x:f t="shared" si="39"/>
        <x:v>0</x:v>
      </x:c>
      <x:c r="FK43">
        <x:f t="shared" si="40"/>
        <x:v>0</x:v>
      </x:c>
      <x:c r="FL43" s="41">
        <x:f t="shared" si="41"/>
        <x:v>0</x:v>
      </x:c>
      <x:c r="FM43">
        <x:f t="shared" si="42"/>
        <x:v>16</x:v>
      </x:c>
      <x:c r="FN43">
        <x:f t="shared" si="43"/>
        <x:v>87</x:v>
      </x:c>
      <x:c r="FO43">
        <x:f t="shared" si="44"/>
        <x:v>40</x:v>
      </x:c>
      <x:c r="FP43">
        <x:f t="shared" si="45"/>
        <x:v>0</x:v>
      </x:c>
      <x:c r="FQ43">
        <x:f t="shared" si="46"/>
        <x:v>0</x:v>
      </x:c>
      <x:c r="FR43">
        <x:f t="shared" si="47"/>
        <x:v>0</x:v>
      </x:c>
      <x:c r="FS43">
        <x:f t="shared" si="48"/>
        <x:v>0</x:v>
      </x:c>
      <x:c r="FT43">
        <x:f t="shared" si="49"/>
        <x:v>0</x:v>
      </x:c>
      <x:c r="FU43">
        <x:f t="shared" si="50"/>
        <x:v>0</x:v>
      </x:c>
      <x:c r="FV43">
        <x:f t="shared" si="51"/>
        <x:v>0</x:v>
      </x:c>
      <x:c r="FW43" s="41">
        <x:f t="shared" si="52"/>
        <x:v>0</x:v>
      </x:c>
      <x:c r="FX43">
        <x:f t="shared" si="53"/>
        <x:v>79</x:v>
      </x:c>
      <x:c r="FY43">
        <x:f t="shared" si="54"/>
        <x:v>228</x:v>
      </x:c>
      <x:c r="FZ43">
        <x:f t="shared" si="55"/>
        <x:v>86</x:v>
      </x:c>
      <x:c r="GA43">
        <x:f t="shared" si="56"/>
        <x:v>38</x:v>
      </x:c>
      <x:c r="GB43">
        <x:f t="shared" si="57"/>
        <x:v>0</x:v>
      </x:c>
      <x:c r="GC43">
        <x:f t="shared" si="58"/>
        <x:v>0</x:v>
      </x:c>
      <x:c r="GD43">
        <x:f t="shared" si="59"/>
        <x:v>0</x:v>
      </x:c>
      <x:c r="GE43">
        <x:f t="shared" si="60"/>
        <x:v>0</x:v>
      </x:c>
      <x:c r="GF43">
        <x:f t="shared" si="61"/>
        <x:v>0</x:v>
      </x:c>
      <x:c r="GG43">
        <x:f t="shared" si="62"/>
        <x:v>0</x:v>
      </x:c>
      <x:c r="GH43">
        <x:f t="shared" si="63"/>
        <x:v>0</x:v>
      </x:c>
      <x:c r="GI43">
        <x:f t="shared" si="64"/>
        <x:v>46</x:v>
      </x:c>
      <x:c r="GJ43">
        <x:f t="shared" si="65"/>
        <x:v>66</x:v>
      </x:c>
      <x:c r="GK43">
        <x:f t="shared" si="66"/>
        <x:v>0</x:v>
      </x:c>
      <x:c r="GL43">
        <x:f t="shared" si="67"/>
        <x:v>0</x:v>
      </x:c>
      <x:c r="GM43">
        <x:f t="shared" si="68"/>
        <x:v>0</x:v>
      </x:c>
      <x:c r="GN43">
        <x:f t="shared" si="69"/>
        <x:v>0</x:v>
      </x:c>
      <x:c r="GO43">
        <x:f t="shared" si="70"/>
        <x:v>23</x:v>
      </x:c>
      <x:c r="GP43">
        <x:f t="shared" si="71"/>
        <x:v>0</x:v>
      </x:c>
      <x:c r="GQ43">
        <x:f t="shared" si="72"/>
        <x:v>0</x:v>
      </x:c>
      <x:c r="GR43" s="42">
        <x:f t="shared" si="73"/>
        <x:v>0</x:v>
      </x:c>
      <x:c r="GS43">
        <x:f t="shared" si="74"/>
        <x:v>38</x:v>
      </x:c>
      <x:c r="GT43">
        <x:f t="shared" si="75"/>
        <x:v>75</x:v>
      </x:c>
      <x:c r="GU43">
        <x:f t="shared" si="76"/>
        <x:v>0</x:v>
      </x:c>
      <x:c r="GV43">
        <x:f t="shared" si="77"/>
        <x:v>0</x:v>
      </x:c>
      <x:c r="GW43">
        <x:f t="shared" si="78"/>
        <x:v>0</x:v>
      </x:c>
      <x:c r="GX43">
        <x:f t="shared" si="79"/>
        <x:v>0</x:v>
      </x:c>
      <x:c r="GY43">
        <x:f t="shared" si="80"/>
        <x:v>40</x:v>
      </x:c>
      <x:c r="GZ43">
        <x:f t="shared" si="81"/>
        <x:v>0</x:v>
      </x:c>
      <x:c r="HA43">
        <x:f t="shared" si="82"/>
        <x:v>0</x:v>
      </x:c>
      <x:c r="HB43" s="42">
        <x:f t="shared" si="83"/>
        <x:v>0</x:v>
      </x:c>
      <x:c r="HC43">
        <x:f t="shared" si="84"/>
        <x:v>40</x:v>
      </x:c>
      <x:c r="HD43">
        <x:f t="shared" si="85"/>
        <x:v>87</x:v>
      </x:c>
      <x:c r="HE43">
        <x:f t="shared" si="86"/>
        <x:v>0</x:v>
      </x:c>
      <x:c r="HF43">
        <x:f t="shared" si="87"/>
        <x:v>0</x:v>
      </x:c>
      <x:c r="HG43">
        <x:f t="shared" si="88"/>
        <x:v>0</x:v>
      </x:c>
      <x:c r="HH43">
        <x:f t="shared" si="89"/>
        <x:v>0</x:v>
      </x:c>
      <x:c r="HI43">
        <x:f t="shared" si="90"/>
        <x:v>16</x:v>
      </x:c>
      <x:c r="HJ43">
        <x:f t="shared" si="91"/>
        <x:v>0</x:v>
      </x:c>
      <x:c r="HK43">
        <x:f t="shared" si="92"/>
        <x:v>0</x:v>
      </x:c>
      <x:c r="HL43">
        <x:f t="shared" si="93"/>
        <x:v>0</x:v>
      </x:c>
    </x:row>
    <x:row r="44">
      <x:c r="D44" s="74"/>
      <x:c r="EQ44">
        <x:f t="shared" si="20"/>
        <x:v>0</x:v>
      </x:c>
      <x:c r="ER44">
        <x:f t="shared" si="21"/>
        <x:v>0</x:v>
      </x:c>
      <x:c r="ES44">
        <x:f t="shared" si="22"/>
        <x:v>0</x:v>
      </x:c>
      <x:c r="ET44">
        <x:f t="shared" si="23"/>
        <x:v>0</x:v>
      </x:c>
      <x:c r="EU44">
        <x:f t="shared" si="24"/>
        <x:v>0</x:v>
      </x:c>
      <x:c r="EV44">
        <x:f t="shared" si="25"/>
        <x:v>0</x:v>
      </x:c>
      <x:c r="EW44">
        <x:f t="shared" si="26"/>
        <x:v>0</x:v>
      </x:c>
      <x:c r="EX44">
        <x:f t="shared" si="27"/>
        <x:v>0</x:v>
      </x:c>
      <x:c r="EY44">
        <x:f t="shared" si="28"/>
        <x:v>0</x:v>
      </x:c>
      <x:c r="EZ44">
        <x:f t="shared" si="29"/>
        <x:v>0</x:v>
      </x:c>
      <x:c r="FA44" s="41">
        <x:f t="shared" si="30"/>
        <x:v>0</x:v>
      </x:c>
      <x:c r="FB44">
        <x:f t="shared" si="31"/>
        <x:v>0</x:v>
      </x:c>
      <x:c r="FC44">
        <x:f t="shared" si="32"/>
        <x:v>0</x:v>
      </x:c>
      <x:c r="FD44">
        <x:f t="shared" si="33"/>
        <x:v>0</x:v>
      </x:c>
      <x:c r="FE44">
        <x:f t="shared" si="34"/>
        <x:v>0</x:v>
      </x:c>
      <x:c r="FF44">
        <x:f t="shared" si="35"/>
        <x:v>0</x:v>
      </x:c>
      <x:c r="FG44">
        <x:f t="shared" si="36"/>
        <x:v>0</x:v>
      </x:c>
      <x:c r="FH44">
        <x:f t="shared" si="37"/>
        <x:v>0</x:v>
      </x:c>
      <x:c r="FI44">
        <x:f t="shared" si="38"/>
        <x:v>0</x:v>
      </x:c>
      <x:c r="FJ44">
        <x:f t="shared" si="39"/>
        <x:v>0</x:v>
      </x:c>
      <x:c r="FK44">
        <x:f t="shared" si="40"/>
        <x:v>0</x:v>
      </x:c>
      <x:c r="FL44" s="41">
        <x:f t="shared" si="41"/>
        <x:v>0</x:v>
      </x:c>
      <x:c r="FM44">
        <x:f t="shared" si="42"/>
        <x:v>0</x:v>
      </x:c>
      <x:c r="FN44">
        <x:f t="shared" si="43"/>
        <x:v>0</x:v>
      </x:c>
      <x:c r="FO44">
        <x:f t="shared" si="44"/>
        <x:v>0</x:v>
      </x:c>
      <x:c r="FP44">
        <x:f t="shared" si="45"/>
        <x:v>0</x:v>
      </x:c>
      <x:c r="FQ44">
        <x:f t="shared" si="46"/>
        <x:v>0</x:v>
      </x:c>
      <x:c r="FR44">
        <x:f t="shared" si="47"/>
        <x:v>0</x:v>
      </x:c>
      <x:c r="FS44">
        <x:f t="shared" si="48"/>
        <x:v>0</x:v>
      </x:c>
      <x:c r="FT44">
        <x:f t="shared" si="49"/>
        <x:v>0</x:v>
      </x:c>
      <x:c r="FU44">
        <x:f t="shared" si="50"/>
        <x:v>0</x:v>
      </x:c>
      <x:c r="FV44">
        <x:f t="shared" si="51"/>
        <x:v>0</x:v>
      </x:c>
      <x:c r="FW44" s="41">
        <x:f t="shared" si="52"/>
        <x:v>0</x:v>
      </x:c>
      <x:c r="FX44">
        <x:f t="shared" si="53"/>
        <x:v>0</x:v>
      </x:c>
      <x:c r="FY44">
        <x:f t="shared" si="54"/>
        <x:v>0</x:v>
      </x:c>
      <x:c r="FZ44">
        <x:f t="shared" si="55"/>
        <x:v>0</x:v>
      </x:c>
      <x:c r="GA44">
        <x:f t="shared" si="56"/>
        <x:v>0</x:v>
      </x:c>
      <x:c r="GB44">
        <x:f t="shared" si="57"/>
        <x:v>0</x:v>
      </x:c>
      <x:c r="GC44">
        <x:f t="shared" si="58"/>
        <x:v>0</x:v>
      </x:c>
      <x:c r="GD44">
        <x:f t="shared" si="59"/>
        <x:v>0</x:v>
      </x:c>
      <x:c r="GE44">
        <x:f t="shared" si="60"/>
        <x:v>0</x:v>
      </x:c>
      <x:c r="GF44">
        <x:f t="shared" si="61"/>
        <x:v>0</x:v>
      </x:c>
      <x:c r="GG44">
        <x:f t="shared" si="62"/>
        <x:v>0</x:v>
      </x:c>
      <x:c r="GH44">
        <x:f t="shared" si="63"/>
        <x:v>0</x:v>
      </x:c>
      <x:c r="GI44">
        <x:f t="shared" si="64"/>
        <x:v>0</x:v>
      </x:c>
      <x:c r="GJ44">
        <x:f t="shared" si="65"/>
        <x:v>0</x:v>
      </x:c>
      <x:c r="GK44">
        <x:f t="shared" si="66"/>
        <x:v>0</x:v>
      </x:c>
      <x:c r="GL44">
        <x:f t="shared" si="67"/>
        <x:v>0</x:v>
      </x:c>
      <x:c r="GM44">
        <x:f t="shared" si="68"/>
        <x:v>0</x:v>
      </x:c>
      <x:c r="GN44">
        <x:f t="shared" si="69"/>
        <x:v>0</x:v>
      </x:c>
      <x:c r="GO44">
        <x:f t="shared" si="70"/>
        <x:v>0</x:v>
      </x:c>
      <x:c r="GP44">
        <x:f t="shared" si="71"/>
        <x:v>0</x:v>
      </x:c>
      <x:c r="GQ44">
        <x:f t="shared" si="72"/>
        <x:v>0</x:v>
      </x:c>
      <x:c r="GR44" s="42">
        <x:f t="shared" si="73"/>
        <x:v>0</x:v>
      </x:c>
      <x:c r="GS44">
        <x:f t="shared" si="74"/>
        <x:v>0</x:v>
      </x:c>
      <x:c r="GT44">
        <x:f t="shared" si="75"/>
        <x:v>0</x:v>
      </x:c>
      <x:c r="GU44">
        <x:f t="shared" si="76"/>
        <x:v>0</x:v>
      </x:c>
      <x:c r="GV44">
        <x:f t="shared" si="77"/>
        <x:v>0</x:v>
      </x:c>
      <x:c r="GW44">
        <x:f t="shared" si="78"/>
        <x:v>0</x:v>
      </x:c>
      <x:c r="GX44">
        <x:f t="shared" si="79"/>
        <x:v>0</x:v>
      </x:c>
      <x:c r="GY44">
        <x:f t="shared" si="80"/>
        <x:v>0</x:v>
      </x:c>
      <x:c r="GZ44">
        <x:f t="shared" si="81"/>
        <x:v>0</x:v>
      </x:c>
      <x:c r="HA44">
        <x:f t="shared" si="82"/>
        <x:v>0</x:v>
      </x:c>
      <x:c r="HB44" s="42">
        <x:f t="shared" si="83"/>
        <x:v>0</x:v>
      </x:c>
      <x:c r="HC44">
        <x:f t="shared" si="84"/>
        <x:v>0</x:v>
      </x:c>
      <x:c r="HD44">
        <x:f t="shared" si="85"/>
        <x:v>0</x:v>
      </x:c>
      <x:c r="HE44">
        <x:f t="shared" si="86"/>
        <x:v>0</x:v>
      </x:c>
      <x:c r="HF44">
        <x:f t="shared" si="87"/>
        <x:v>0</x:v>
      </x:c>
      <x:c r="HG44">
        <x:f t="shared" si="88"/>
        <x:v>0</x:v>
      </x:c>
      <x:c r="HH44">
        <x:f t="shared" si="89"/>
        <x:v>0</x:v>
      </x:c>
      <x:c r="HI44">
        <x:f t="shared" si="90"/>
        <x:v>0</x:v>
      </x:c>
      <x:c r="HJ44">
        <x:f t="shared" si="91"/>
        <x:v>0</x:v>
      </x:c>
      <x:c r="HK44">
        <x:f t="shared" si="92"/>
        <x:v>0</x:v>
      </x:c>
      <x:c r="HL44">
        <x:f t="shared" si="93"/>
        <x:v>0</x:v>
      </x:c>
    </x:row>
    <x:row r="45">
      <x:c r="D45" s="74"/>
      <x:c r="EQ45">
        <x:f t="shared" si="20"/>
        <x:v>0</x:v>
      </x:c>
      <x:c r="ER45">
        <x:f t="shared" si="21"/>
        <x:v>0</x:v>
      </x:c>
      <x:c r="ES45">
        <x:f t="shared" si="22"/>
        <x:v>0</x:v>
      </x:c>
      <x:c r="ET45">
        <x:f t="shared" si="23"/>
        <x:v>0</x:v>
      </x:c>
      <x:c r="EU45">
        <x:f t="shared" si="24"/>
        <x:v>0</x:v>
      </x:c>
      <x:c r="EV45">
        <x:f t="shared" si="25"/>
        <x:v>0</x:v>
      </x:c>
      <x:c r="EW45">
        <x:f t="shared" si="26"/>
        <x:v>0</x:v>
      </x:c>
      <x:c r="EX45">
        <x:f t="shared" si="27"/>
        <x:v>0</x:v>
      </x:c>
      <x:c r="EY45">
        <x:f t="shared" si="28"/>
        <x:v>0</x:v>
      </x:c>
      <x:c r="EZ45">
        <x:f t="shared" si="29"/>
        <x:v>0</x:v>
      </x:c>
      <x:c r="FA45" s="41">
        <x:f t="shared" si="30"/>
        <x:v>0</x:v>
      </x:c>
      <x:c r="FB45">
        <x:f t="shared" si="31"/>
        <x:v>0</x:v>
      </x:c>
      <x:c r="FC45">
        <x:f t="shared" si="32"/>
        <x:v>0</x:v>
      </x:c>
      <x:c r="FD45">
        <x:f t="shared" si="33"/>
        <x:v>0</x:v>
      </x:c>
      <x:c r="FE45">
        <x:f t="shared" si="34"/>
        <x:v>0</x:v>
      </x:c>
      <x:c r="FF45">
        <x:f t="shared" si="35"/>
        <x:v>0</x:v>
      </x:c>
      <x:c r="FG45">
        <x:f t="shared" si="36"/>
        <x:v>0</x:v>
      </x:c>
      <x:c r="FH45">
        <x:f t="shared" si="37"/>
        <x:v>0</x:v>
      </x:c>
      <x:c r="FI45">
        <x:f t="shared" si="38"/>
        <x:v>0</x:v>
      </x:c>
      <x:c r="FJ45">
        <x:f t="shared" si="39"/>
        <x:v>0</x:v>
      </x:c>
      <x:c r="FK45">
        <x:f t="shared" si="40"/>
        <x:v>0</x:v>
      </x:c>
      <x:c r="FL45" s="41">
        <x:f t="shared" si="41"/>
        <x:v>0</x:v>
      </x:c>
      <x:c r="FM45">
        <x:f t="shared" si="42"/>
        <x:v>0</x:v>
      </x:c>
      <x:c r="FN45">
        <x:f t="shared" si="43"/>
        <x:v>0</x:v>
      </x:c>
      <x:c r="FO45">
        <x:f t="shared" si="44"/>
        <x:v>0</x:v>
      </x:c>
      <x:c r="FP45">
        <x:f t="shared" si="45"/>
        <x:v>0</x:v>
      </x:c>
      <x:c r="FQ45">
        <x:f t="shared" si="46"/>
        <x:v>0</x:v>
      </x:c>
      <x:c r="FR45">
        <x:f t="shared" si="47"/>
        <x:v>0</x:v>
      </x:c>
      <x:c r="FS45">
        <x:f t="shared" si="48"/>
        <x:v>0</x:v>
      </x:c>
      <x:c r="FT45">
        <x:f t="shared" si="49"/>
        <x:v>0</x:v>
      </x:c>
      <x:c r="FU45">
        <x:f t="shared" si="50"/>
        <x:v>0</x:v>
      </x:c>
      <x:c r="FV45">
        <x:f t="shared" si="51"/>
        <x:v>0</x:v>
      </x:c>
      <x:c r="FW45" s="41">
        <x:f t="shared" si="52"/>
        <x:v>0</x:v>
      </x:c>
      <x:c r="FX45">
        <x:f t="shared" si="53"/>
        <x:v>0</x:v>
      </x:c>
      <x:c r="FY45">
        <x:f t="shared" si="54"/>
        <x:v>0</x:v>
      </x:c>
      <x:c r="FZ45">
        <x:f t="shared" si="55"/>
        <x:v>0</x:v>
      </x:c>
      <x:c r="GA45">
        <x:f t="shared" si="56"/>
        <x:v>0</x:v>
      </x:c>
      <x:c r="GB45">
        <x:f t="shared" si="57"/>
        <x:v>0</x:v>
      </x:c>
      <x:c r="GC45">
        <x:f t="shared" si="58"/>
        <x:v>0</x:v>
      </x:c>
      <x:c r="GD45">
        <x:f t="shared" si="59"/>
        <x:v>0</x:v>
      </x:c>
      <x:c r="GE45">
        <x:f t="shared" si="60"/>
        <x:v>0</x:v>
      </x:c>
      <x:c r="GF45">
        <x:f t="shared" si="61"/>
        <x:v>0</x:v>
      </x:c>
      <x:c r="GG45">
        <x:f t="shared" si="62"/>
        <x:v>0</x:v>
      </x:c>
      <x:c r="GH45">
        <x:f t="shared" si="63"/>
        <x:v>0</x:v>
      </x:c>
      <x:c r="GI45">
        <x:f t="shared" si="64"/>
        <x:v>0</x:v>
      </x:c>
      <x:c r="GJ45">
        <x:f t="shared" si="65"/>
        <x:v>0</x:v>
      </x:c>
      <x:c r="GK45">
        <x:f t="shared" si="66"/>
        <x:v>0</x:v>
      </x:c>
      <x:c r="GL45">
        <x:f t="shared" si="67"/>
        <x:v>0</x:v>
      </x:c>
      <x:c r="GM45">
        <x:f t="shared" si="68"/>
        <x:v>0</x:v>
      </x:c>
      <x:c r="GN45">
        <x:f t="shared" si="69"/>
        <x:v>0</x:v>
      </x:c>
      <x:c r="GO45">
        <x:f t="shared" si="70"/>
        <x:v>0</x:v>
      </x:c>
      <x:c r="GP45">
        <x:f t="shared" si="71"/>
        <x:v>0</x:v>
      </x:c>
      <x:c r="GQ45">
        <x:f t="shared" si="72"/>
        <x:v>0</x:v>
      </x:c>
      <x:c r="GR45" s="42">
        <x:f t="shared" si="73"/>
        <x:v>0</x:v>
      </x:c>
      <x:c r="GS45">
        <x:f t="shared" si="74"/>
        <x:v>0</x:v>
      </x:c>
      <x:c r="GT45">
        <x:f t="shared" si="75"/>
        <x:v>0</x:v>
      </x:c>
      <x:c r="GU45">
        <x:f t="shared" si="76"/>
        <x:v>0</x:v>
      </x:c>
      <x:c r="GV45">
        <x:f t="shared" si="77"/>
        <x:v>0</x:v>
      </x:c>
      <x:c r="GW45">
        <x:f t="shared" si="78"/>
        <x:v>0</x:v>
      </x:c>
      <x:c r="GX45">
        <x:f t="shared" si="79"/>
        <x:v>0</x:v>
      </x:c>
      <x:c r="GY45">
        <x:f t="shared" si="80"/>
        <x:v>0</x:v>
      </x:c>
      <x:c r="GZ45">
        <x:f t="shared" si="81"/>
        <x:v>0</x:v>
      </x:c>
      <x:c r="HA45">
        <x:f t="shared" si="82"/>
        <x:v>0</x:v>
      </x:c>
      <x:c r="HB45" s="42">
        <x:f t="shared" si="83"/>
        <x:v>0</x:v>
      </x:c>
      <x:c r="HC45">
        <x:f t="shared" si="84"/>
        <x:v>0</x:v>
      </x:c>
      <x:c r="HD45">
        <x:f t="shared" si="85"/>
        <x:v>0</x:v>
      </x:c>
      <x:c r="HE45">
        <x:f t="shared" si="86"/>
        <x:v>0</x:v>
      </x:c>
      <x:c r="HF45">
        <x:f t="shared" si="87"/>
        <x:v>0</x:v>
      </x:c>
      <x:c r="HG45">
        <x:f t="shared" si="88"/>
        <x:v>0</x:v>
      </x:c>
      <x:c r="HH45">
        <x:f t="shared" si="89"/>
        <x:v>0</x:v>
      </x:c>
      <x:c r="HI45">
        <x:f t="shared" si="90"/>
        <x:v>0</x:v>
      </x:c>
      <x:c r="HJ45">
        <x:f t="shared" si="91"/>
        <x:v>0</x:v>
      </x:c>
      <x:c r="HK45">
        <x:f t="shared" si="92"/>
        <x:v>0</x:v>
      </x:c>
      <x:c r="HL45">
        <x:f t="shared" si="93"/>
        <x:v>0</x:v>
      </x:c>
    </x:row>
    <x:row r="46">
      <x:c r="D46" s="74"/>
      <x:c r="EQ46">
        <x:f t="shared" si="20"/>
        <x:v>0</x:v>
      </x:c>
      <x:c r="ER46">
        <x:f t="shared" si="21"/>
        <x:v>0</x:v>
      </x:c>
      <x:c r="ES46">
        <x:f t="shared" si="22"/>
        <x:v>0</x:v>
      </x:c>
      <x:c r="ET46">
        <x:f t="shared" si="23"/>
        <x:v>0</x:v>
      </x:c>
      <x:c r="EU46">
        <x:f t="shared" si="24"/>
        <x:v>0</x:v>
      </x:c>
      <x:c r="EV46">
        <x:f t="shared" si="25"/>
        <x:v>0</x:v>
      </x:c>
      <x:c r="EW46">
        <x:f t="shared" si="26"/>
        <x:v>0</x:v>
      </x:c>
      <x:c r="EX46">
        <x:f t="shared" si="27"/>
        <x:v>0</x:v>
      </x:c>
      <x:c r="EY46">
        <x:f t="shared" si="28"/>
        <x:v>0</x:v>
      </x:c>
      <x:c r="EZ46">
        <x:f t="shared" si="29"/>
        <x:v>0</x:v>
      </x:c>
      <x:c r="FA46" s="41">
        <x:f t="shared" si="30"/>
        <x:v>0</x:v>
      </x:c>
      <x:c r="FB46">
        <x:f t="shared" si="31"/>
        <x:v>0</x:v>
      </x:c>
      <x:c r="FC46">
        <x:f t="shared" si="32"/>
        <x:v>0</x:v>
      </x:c>
      <x:c r="FD46">
        <x:f t="shared" si="33"/>
        <x:v>0</x:v>
      </x:c>
      <x:c r="FE46">
        <x:f t="shared" si="34"/>
        <x:v>0</x:v>
      </x:c>
      <x:c r="FF46">
        <x:f t="shared" si="35"/>
        <x:v>0</x:v>
      </x:c>
      <x:c r="FG46">
        <x:f t="shared" si="36"/>
        <x:v>0</x:v>
      </x:c>
      <x:c r="FH46">
        <x:f t="shared" si="37"/>
        <x:v>0</x:v>
      </x:c>
      <x:c r="FI46">
        <x:f t="shared" si="38"/>
        <x:v>0</x:v>
      </x:c>
      <x:c r="FJ46">
        <x:f t="shared" si="39"/>
        <x:v>0</x:v>
      </x:c>
      <x:c r="FK46">
        <x:f t="shared" si="40"/>
        <x:v>0</x:v>
      </x:c>
      <x:c r="FL46" s="41">
        <x:f t="shared" si="41"/>
        <x:v>0</x:v>
      </x:c>
      <x:c r="FM46">
        <x:f t="shared" si="42"/>
        <x:v>0</x:v>
      </x:c>
      <x:c r="FN46">
        <x:f t="shared" si="43"/>
        <x:v>0</x:v>
      </x:c>
      <x:c r="FO46">
        <x:f t="shared" si="44"/>
        <x:v>0</x:v>
      </x:c>
      <x:c r="FP46">
        <x:f t="shared" si="45"/>
        <x:v>0</x:v>
      </x:c>
      <x:c r="FQ46">
        <x:f t="shared" si="46"/>
        <x:v>0</x:v>
      </x:c>
      <x:c r="FR46">
        <x:f t="shared" si="47"/>
        <x:v>0</x:v>
      </x:c>
      <x:c r="FS46">
        <x:f t="shared" si="48"/>
        <x:v>0</x:v>
      </x:c>
      <x:c r="FT46">
        <x:f t="shared" si="49"/>
        <x:v>0</x:v>
      </x:c>
      <x:c r="FU46">
        <x:f t="shared" si="50"/>
        <x:v>0</x:v>
      </x:c>
      <x:c r="FV46">
        <x:f t="shared" si="51"/>
        <x:v>0</x:v>
      </x:c>
      <x:c r="FW46" s="41">
        <x:f t="shared" si="52"/>
        <x:v>0</x:v>
      </x:c>
      <x:c r="FX46">
        <x:f t="shared" si="53"/>
        <x:v>0</x:v>
      </x:c>
      <x:c r="FY46">
        <x:f t="shared" si="54"/>
        <x:v>0</x:v>
      </x:c>
      <x:c r="FZ46">
        <x:f t="shared" si="55"/>
        <x:v>0</x:v>
      </x:c>
      <x:c r="GA46">
        <x:f t="shared" si="56"/>
        <x:v>0</x:v>
      </x:c>
      <x:c r="GB46">
        <x:f t="shared" si="57"/>
        <x:v>0</x:v>
      </x:c>
      <x:c r="GC46">
        <x:f t="shared" si="58"/>
        <x:v>0</x:v>
      </x:c>
      <x:c r="GD46">
        <x:f t="shared" si="59"/>
        <x:v>0</x:v>
      </x:c>
      <x:c r="GE46">
        <x:f t="shared" si="60"/>
        <x:v>0</x:v>
      </x:c>
      <x:c r="GF46">
        <x:f t="shared" si="61"/>
        <x:v>0</x:v>
      </x:c>
      <x:c r="GG46">
        <x:f t="shared" si="62"/>
        <x:v>0</x:v>
      </x:c>
      <x:c r="GH46">
        <x:f t="shared" si="63"/>
        <x:v>0</x:v>
      </x:c>
      <x:c r="GI46">
        <x:f t="shared" si="64"/>
        <x:v>0</x:v>
      </x:c>
      <x:c r="GJ46">
        <x:f t="shared" si="65"/>
        <x:v>0</x:v>
      </x:c>
      <x:c r="GK46">
        <x:f t="shared" si="66"/>
        <x:v>0</x:v>
      </x:c>
      <x:c r="GL46">
        <x:f t="shared" si="67"/>
        <x:v>0</x:v>
      </x:c>
      <x:c r="GM46">
        <x:f t="shared" si="68"/>
        <x:v>0</x:v>
      </x:c>
      <x:c r="GN46">
        <x:f t="shared" si="69"/>
        <x:v>0</x:v>
      </x:c>
      <x:c r="GO46">
        <x:f t="shared" si="70"/>
        <x:v>0</x:v>
      </x:c>
      <x:c r="GP46">
        <x:f t="shared" si="71"/>
        <x:v>0</x:v>
      </x:c>
      <x:c r="GQ46">
        <x:f t="shared" si="72"/>
        <x:v>0</x:v>
      </x:c>
      <x:c r="GR46" s="42">
        <x:f t="shared" si="73"/>
        <x:v>0</x:v>
      </x:c>
      <x:c r="GS46">
        <x:f t="shared" si="74"/>
        <x:v>0</x:v>
      </x:c>
      <x:c r="GT46">
        <x:f t="shared" si="75"/>
        <x:v>0</x:v>
      </x:c>
      <x:c r="GU46">
        <x:f t="shared" si="76"/>
        <x:v>0</x:v>
      </x:c>
      <x:c r="GV46">
        <x:f t="shared" si="77"/>
        <x:v>0</x:v>
      </x:c>
      <x:c r="GW46">
        <x:f t="shared" si="78"/>
        <x:v>0</x:v>
      </x:c>
      <x:c r="GX46">
        <x:f t="shared" si="79"/>
        <x:v>0</x:v>
      </x:c>
      <x:c r="GY46">
        <x:f t="shared" si="80"/>
        <x:v>0</x:v>
      </x:c>
      <x:c r="GZ46">
        <x:f t="shared" si="81"/>
        <x:v>0</x:v>
      </x:c>
      <x:c r="HA46">
        <x:f t="shared" si="82"/>
        <x:v>0</x:v>
      </x:c>
      <x:c r="HB46" s="42">
        <x:f t="shared" si="83"/>
        <x:v>0</x:v>
      </x:c>
      <x:c r="HC46">
        <x:f t="shared" si="84"/>
        <x:v>0</x:v>
      </x:c>
      <x:c r="HD46">
        <x:f t="shared" si="85"/>
        <x:v>0</x:v>
      </x:c>
      <x:c r="HE46">
        <x:f t="shared" si="86"/>
        <x:v>0</x:v>
      </x:c>
      <x:c r="HF46">
        <x:f t="shared" si="87"/>
        <x:v>0</x:v>
      </x:c>
      <x:c r="HG46">
        <x:f t="shared" si="88"/>
        <x:v>0</x:v>
      </x:c>
      <x:c r="HH46">
        <x:f t="shared" si="89"/>
        <x:v>0</x:v>
      </x:c>
      <x:c r="HI46">
        <x:f t="shared" si="90"/>
        <x:v>0</x:v>
      </x:c>
      <x:c r="HJ46">
        <x:f t="shared" si="91"/>
        <x:v>0</x:v>
      </x:c>
      <x:c r="HK46">
        <x:f t="shared" si="92"/>
        <x:v>0</x:v>
      </x:c>
      <x:c r="HL46">
        <x:f t="shared" si="93"/>
        <x:v>0</x:v>
      </x:c>
    </x:row>
    <x:row r="47">
      <x:c r="D47" s="74"/>
      <x:c r="EQ47">
        <x:f t="shared" si="20"/>
        <x:v>0</x:v>
      </x:c>
      <x:c r="ER47">
        <x:f t="shared" si="21"/>
        <x:v>0</x:v>
      </x:c>
      <x:c r="ES47">
        <x:f t="shared" si="22"/>
        <x:v>0</x:v>
      </x:c>
      <x:c r="ET47">
        <x:f t="shared" si="23"/>
        <x:v>0</x:v>
      </x:c>
      <x:c r="EU47">
        <x:f t="shared" si="24"/>
        <x:v>0</x:v>
      </x:c>
      <x:c r="EV47">
        <x:f t="shared" si="25"/>
        <x:v>0</x:v>
      </x:c>
      <x:c r="EW47">
        <x:f t="shared" si="26"/>
        <x:v>0</x:v>
      </x:c>
      <x:c r="EX47">
        <x:f t="shared" si="27"/>
        <x:v>0</x:v>
      </x:c>
      <x:c r="EY47">
        <x:f t="shared" si="28"/>
        <x:v>0</x:v>
      </x:c>
      <x:c r="EZ47">
        <x:f t="shared" si="29"/>
        <x:v>0</x:v>
      </x:c>
      <x:c r="FA47" s="41">
        <x:f t="shared" si="30"/>
        <x:v>0</x:v>
      </x:c>
      <x:c r="FB47">
        <x:f t="shared" si="31"/>
        <x:v>0</x:v>
      </x:c>
      <x:c r="FC47">
        <x:f t="shared" si="32"/>
        <x:v>0</x:v>
      </x:c>
      <x:c r="FD47">
        <x:f t="shared" si="33"/>
        <x:v>0</x:v>
      </x:c>
      <x:c r="FE47">
        <x:f t="shared" si="34"/>
        <x:v>0</x:v>
      </x:c>
      <x:c r="FF47">
        <x:f t="shared" si="35"/>
        <x:v>0</x:v>
      </x:c>
      <x:c r="FG47">
        <x:f t="shared" si="36"/>
        <x:v>0</x:v>
      </x:c>
      <x:c r="FH47">
        <x:f t="shared" si="37"/>
        <x:v>0</x:v>
      </x:c>
      <x:c r="FI47">
        <x:f t="shared" si="38"/>
        <x:v>0</x:v>
      </x:c>
      <x:c r="FJ47">
        <x:f t="shared" si="39"/>
        <x:v>0</x:v>
      </x:c>
      <x:c r="FK47">
        <x:f t="shared" si="40"/>
        <x:v>0</x:v>
      </x:c>
      <x:c r="FL47" s="41">
        <x:f t="shared" si="41"/>
        <x:v>0</x:v>
      </x:c>
      <x:c r="FM47">
        <x:f t="shared" si="42"/>
        <x:v>0</x:v>
      </x:c>
      <x:c r="FN47">
        <x:f t="shared" si="43"/>
        <x:v>0</x:v>
      </x:c>
      <x:c r="FO47">
        <x:f t="shared" si="44"/>
        <x:v>0</x:v>
      </x:c>
      <x:c r="FP47">
        <x:f t="shared" si="45"/>
        <x:v>0</x:v>
      </x:c>
      <x:c r="FQ47">
        <x:f t="shared" si="46"/>
        <x:v>0</x:v>
      </x:c>
      <x:c r="FR47">
        <x:f t="shared" si="47"/>
        <x:v>0</x:v>
      </x:c>
      <x:c r="FS47">
        <x:f t="shared" si="48"/>
        <x:v>0</x:v>
      </x:c>
      <x:c r="FT47">
        <x:f t="shared" si="49"/>
        <x:v>0</x:v>
      </x:c>
      <x:c r="FU47">
        <x:f t="shared" si="50"/>
        <x:v>0</x:v>
      </x:c>
      <x:c r="FV47">
        <x:f t="shared" si="51"/>
        <x:v>0</x:v>
      </x:c>
      <x:c r="FW47" s="41">
        <x:f t="shared" si="52"/>
        <x:v>0</x:v>
      </x:c>
      <x:c r="FX47">
        <x:f t="shared" si="53"/>
        <x:v>0</x:v>
      </x:c>
      <x:c r="FY47">
        <x:f t="shared" si="54"/>
        <x:v>0</x:v>
      </x:c>
      <x:c r="FZ47">
        <x:f t="shared" si="55"/>
        <x:v>0</x:v>
      </x:c>
      <x:c r="GA47">
        <x:f t="shared" si="56"/>
        <x:v>0</x:v>
      </x:c>
      <x:c r="GB47">
        <x:f t="shared" si="57"/>
        <x:v>0</x:v>
      </x:c>
      <x:c r="GC47">
        <x:f t="shared" si="58"/>
        <x:v>0</x:v>
      </x:c>
      <x:c r="GD47">
        <x:f t="shared" si="59"/>
        <x:v>0</x:v>
      </x:c>
      <x:c r="GE47">
        <x:f t="shared" si="60"/>
        <x:v>0</x:v>
      </x:c>
      <x:c r="GF47">
        <x:f t="shared" si="61"/>
        <x:v>0</x:v>
      </x:c>
      <x:c r="GG47">
        <x:f t="shared" si="62"/>
        <x:v>0</x:v>
      </x:c>
      <x:c r="GH47">
        <x:f t="shared" si="63"/>
        <x:v>0</x:v>
      </x:c>
      <x:c r="GI47">
        <x:f t="shared" si="64"/>
        <x:v>0</x:v>
      </x:c>
      <x:c r="GJ47">
        <x:f t="shared" si="65"/>
        <x:v>0</x:v>
      </x:c>
      <x:c r="GK47">
        <x:f t="shared" si="66"/>
        <x:v>0</x:v>
      </x:c>
      <x:c r="GL47">
        <x:f t="shared" si="67"/>
        <x:v>0</x:v>
      </x:c>
      <x:c r="GM47">
        <x:f t="shared" si="68"/>
        <x:v>0</x:v>
      </x:c>
      <x:c r="GN47">
        <x:f t="shared" si="69"/>
        <x:v>0</x:v>
      </x:c>
      <x:c r="GO47">
        <x:f t="shared" si="70"/>
        <x:v>0</x:v>
      </x:c>
      <x:c r="GP47">
        <x:f t="shared" si="71"/>
        <x:v>0</x:v>
      </x:c>
      <x:c r="GQ47">
        <x:f t="shared" si="72"/>
        <x:v>0</x:v>
      </x:c>
      <x:c r="GR47" s="42">
        <x:f t="shared" si="73"/>
        <x:v>0</x:v>
      </x:c>
      <x:c r="GS47">
        <x:f t="shared" si="74"/>
        <x:v>0</x:v>
      </x:c>
      <x:c r="GT47">
        <x:f t="shared" si="75"/>
        <x:v>0</x:v>
      </x:c>
      <x:c r="GU47">
        <x:f t="shared" si="76"/>
        <x:v>0</x:v>
      </x:c>
      <x:c r="GV47">
        <x:f t="shared" si="77"/>
        <x:v>0</x:v>
      </x:c>
      <x:c r="GW47">
        <x:f t="shared" si="78"/>
        <x:v>0</x:v>
      </x:c>
      <x:c r="GX47">
        <x:f t="shared" si="79"/>
        <x:v>0</x:v>
      </x:c>
      <x:c r="GY47">
        <x:f t="shared" si="80"/>
        <x:v>0</x:v>
      </x:c>
      <x:c r="GZ47">
        <x:f t="shared" si="81"/>
        <x:v>0</x:v>
      </x:c>
      <x:c r="HA47">
        <x:f t="shared" si="82"/>
        <x:v>0</x:v>
      </x:c>
      <x:c r="HB47" s="42">
        <x:f t="shared" si="83"/>
        <x:v>0</x:v>
      </x:c>
      <x:c r="HC47">
        <x:f t="shared" si="84"/>
        <x:v>0</x:v>
      </x:c>
      <x:c r="HD47">
        <x:f t="shared" si="85"/>
        <x:v>0</x:v>
      </x:c>
      <x:c r="HE47">
        <x:f t="shared" si="86"/>
        <x:v>0</x:v>
      </x:c>
      <x:c r="HF47">
        <x:f t="shared" si="87"/>
        <x:v>0</x:v>
      </x:c>
      <x:c r="HG47">
        <x:f t="shared" si="88"/>
        <x:v>0</x:v>
      </x:c>
      <x:c r="HH47">
        <x:f t="shared" si="89"/>
        <x:v>0</x:v>
      </x:c>
      <x:c r="HI47">
        <x:f t="shared" si="90"/>
        <x:v>0</x:v>
      </x:c>
      <x:c r="HJ47">
        <x:f t="shared" si="91"/>
        <x:v>0</x:v>
      </x:c>
      <x:c r="HK47">
        <x:f t="shared" si="92"/>
        <x:v>0</x:v>
      </x:c>
      <x:c r="HL47">
        <x:f t="shared" si="93"/>
        <x:v>0</x:v>
      </x:c>
    </x:row>
    <x:row r="48">
      <x:c r="D48" s="74"/>
      <x:c r="EQ48">
        <x:f t="shared" si="20"/>
        <x:v>0</x:v>
      </x:c>
      <x:c r="ER48">
        <x:f t="shared" si="21"/>
        <x:v>0</x:v>
      </x:c>
      <x:c r="ES48">
        <x:f t="shared" si="22"/>
        <x:v>0</x:v>
      </x:c>
      <x:c r="ET48">
        <x:f t="shared" si="23"/>
        <x:v>0</x:v>
      </x:c>
      <x:c r="EU48">
        <x:f t="shared" si="24"/>
        <x:v>0</x:v>
      </x:c>
      <x:c r="EV48">
        <x:f t="shared" si="25"/>
        <x:v>0</x:v>
      </x:c>
      <x:c r="EW48">
        <x:f t="shared" si="26"/>
        <x:v>0</x:v>
      </x:c>
      <x:c r="EX48">
        <x:f t="shared" si="27"/>
        <x:v>0</x:v>
      </x:c>
      <x:c r="EY48">
        <x:f t="shared" si="28"/>
        <x:v>0</x:v>
      </x:c>
      <x:c r="EZ48">
        <x:f t="shared" si="29"/>
        <x:v>0</x:v>
      </x:c>
      <x:c r="FA48" s="41">
        <x:f t="shared" si="30"/>
        <x:v>0</x:v>
      </x:c>
      <x:c r="FB48">
        <x:f t="shared" si="31"/>
        <x:v>0</x:v>
      </x:c>
      <x:c r="FC48">
        <x:f t="shared" si="32"/>
        <x:v>0</x:v>
      </x:c>
      <x:c r="FD48">
        <x:f t="shared" si="33"/>
        <x:v>0</x:v>
      </x:c>
      <x:c r="FE48">
        <x:f t="shared" si="34"/>
        <x:v>0</x:v>
      </x:c>
      <x:c r="FF48">
        <x:f t="shared" si="35"/>
        <x:v>0</x:v>
      </x:c>
      <x:c r="FG48">
        <x:f t="shared" si="36"/>
        <x:v>0</x:v>
      </x:c>
      <x:c r="FH48">
        <x:f t="shared" si="37"/>
        <x:v>0</x:v>
      </x:c>
      <x:c r="FI48">
        <x:f t="shared" si="38"/>
        <x:v>0</x:v>
      </x:c>
      <x:c r="FJ48">
        <x:f t="shared" si="39"/>
        <x:v>0</x:v>
      </x:c>
      <x:c r="FK48">
        <x:f t="shared" si="40"/>
        <x:v>0</x:v>
      </x:c>
      <x:c r="FL48" s="41">
        <x:f t="shared" si="41"/>
        <x:v>0</x:v>
      </x:c>
      <x:c r="FM48">
        <x:f t="shared" si="42"/>
        <x:v>0</x:v>
      </x:c>
      <x:c r="FN48">
        <x:f t="shared" si="43"/>
        <x:v>0</x:v>
      </x:c>
      <x:c r="FO48">
        <x:f t="shared" si="44"/>
        <x:v>0</x:v>
      </x:c>
      <x:c r="FP48">
        <x:f t="shared" si="45"/>
        <x:v>0</x:v>
      </x:c>
      <x:c r="FQ48">
        <x:f t="shared" si="46"/>
        <x:v>0</x:v>
      </x:c>
      <x:c r="FR48">
        <x:f t="shared" si="47"/>
        <x:v>0</x:v>
      </x:c>
      <x:c r="FS48">
        <x:f t="shared" si="48"/>
        <x:v>0</x:v>
      </x:c>
      <x:c r="FT48">
        <x:f t="shared" si="49"/>
        <x:v>0</x:v>
      </x:c>
      <x:c r="FU48">
        <x:f t="shared" si="50"/>
        <x:v>0</x:v>
      </x:c>
      <x:c r="FV48">
        <x:f t="shared" si="51"/>
        <x:v>0</x:v>
      </x:c>
      <x:c r="FW48" s="41">
        <x:f t="shared" si="52"/>
        <x:v>0</x:v>
      </x:c>
      <x:c r="FX48">
        <x:f t="shared" si="53"/>
        <x:v>0</x:v>
      </x:c>
      <x:c r="FY48">
        <x:f t="shared" si="54"/>
        <x:v>0</x:v>
      </x:c>
      <x:c r="FZ48">
        <x:f t="shared" si="55"/>
        <x:v>0</x:v>
      </x:c>
      <x:c r="GA48">
        <x:f t="shared" si="56"/>
        <x:v>0</x:v>
      </x:c>
      <x:c r="GB48">
        <x:f t="shared" si="57"/>
        <x:v>0</x:v>
      </x:c>
      <x:c r="GC48">
        <x:f t="shared" si="58"/>
        <x:v>0</x:v>
      </x:c>
      <x:c r="GD48">
        <x:f t="shared" si="59"/>
        <x:v>0</x:v>
      </x:c>
      <x:c r="GE48">
        <x:f t="shared" si="60"/>
        <x:v>0</x:v>
      </x:c>
      <x:c r="GF48">
        <x:f t="shared" si="61"/>
        <x:v>0</x:v>
      </x:c>
      <x:c r="GG48">
        <x:f t="shared" si="62"/>
        <x:v>0</x:v>
      </x:c>
      <x:c r="GH48">
        <x:f t="shared" si="63"/>
        <x:v>0</x:v>
      </x:c>
      <x:c r="GI48">
        <x:f t="shared" si="64"/>
        <x:v>0</x:v>
      </x:c>
      <x:c r="GJ48">
        <x:f t="shared" si="65"/>
        <x:v>0</x:v>
      </x:c>
      <x:c r="GK48">
        <x:f t="shared" si="66"/>
        <x:v>0</x:v>
      </x:c>
      <x:c r="GL48">
        <x:f t="shared" si="67"/>
        <x:v>0</x:v>
      </x:c>
      <x:c r="GM48">
        <x:f t="shared" si="68"/>
        <x:v>0</x:v>
      </x:c>
      <x:c r="GN48">
        <x:f t="shared" si="69"/>
        <x:v>0</x:v>
      </x:c>
      <x:c r="GO48">
        <x:f t="shared" si="70"/>
        <x:v>0</x:v>
      </x:c>
      <x:c r="GP48">
        <x:f t="shared" si="71"/>
        <x:v>0</x:v>
      </x:c>
      <x:c r="GQ48">
        <x:f t="shared" si="72"/>
        <x:v>0</x:v>
      </x:c>
      <x:c r="GR48" s="42">
        <x:f t="shared" si="73"/>
        <x:v>0</x:v>
      </x:c>
      <x:c r="GS48">
        <x:f t="shared" si="74"/>
        <x:v>0</x:v>
      </x:c>
      <x:c r="GT48">
        <x:f t="shared" si="75"/>
        <x:v>0</x:v>
      </x:c>
      <x:c r="GU48">
        <x:f t="shared" si="76"/>
        <x:v>0</x:v>
      </x:c>
      <x:c r="GV48">
        <x:f t="shared" si="77"/>
        <x:v>0</x:v>
      </x:c>
      <x:c r="GW48">
        <x:f t="shared" si="78"/>
        <x:v>0</x:v>
      </x:c>
      <x:c r="GX48">
        <x:f t="shared" si="79"/>
        <x:v>0</x:v>
      </x:c>
      <x:c r="GY48">
        <x:f t="shared" si="80"/>
        <x:v>0</x:v>
      </x:c>
      <x:c r="GZ48">
        <x:f t="shared" si="81"/>
        <x:v>0</x:v>
      </x:c>
      <x:c r="HA48">
        <x:f t="shared" si="82"/>
        <x:v>0</x:v>
      </x:c>
      <x:c r="HB48" s="42">
        <x:f t="shared" si="83"/>
        <x:v>0</x:v>
      </x:c>
      <x:c r="HC48">
        <x:f t="shared" si="84"/>
        <x:v>0</x:v>
      </x:c>
      <x:c r="HD48">
        <x:f t="shared" si="85"/>
        <x:v>0</x:v>
      </x:c>
      <x:c r="HE48">
        <x:f t="shared" si="86"/>
        <x:v>0</x:v>
      </x:c>
      <x:c r="HF48">
        <x:f t="shared" si="87"/>
        <x:v>0</x:v>
      </x:c>
      <x:c r="HG48">
        <x:f t="shared" si="88"/>
        <x:v>0</x:v>
      </x:c>
      <x:c r="HH48">
        <x:f t="shared" si="89"/>
        <x:v>0</x:v>
      </x:c>
      <x:c r="HI48">
        <x:f t="shared" si="90"/>
        <x:v>0</x:v>
      </x:c>
      <x:c r="HJ48">
        <x:f t="shared" si="91"/>
        <x:v>0</x:v>
      </x:c>
      <x:c r="HK48">
        <x:f t="shared" si="92"/>
        <x:v>0</x:v>
      </x:c>
      <x:c r="HL48">
        <x:f t="shared" si="93"/>
        <x:v>0</x:v>
      </x:c>
    </x:row>
    <x:row r="49">
      <x:c r="D49" s="74"/>
      <x:c r="EQ49">
        <x:f t="shared" si="20"/>
        <x:v>0</x:v>
      </x:c>
      <x:c r="ER49">
        <x:f t="shared" si="21"/>
        <x:v>0</x:v>
      </x:c>
      <x:c r="ES49">
        <x:f t="shared" si="22"/>
        <x:v>0</x:v>
      </x:c>
      <x:c r="ET49">
        <x:f t="shared" si="23"/>
        <x:v>0</x:v>
      </x:c>
      <x:c r="EU49">
        <x:f t="shared" si="24"/>
        <x:v>0</x:v>
      </x:c>
      <x:c r="EV49">
        <x:f t="shared" si="25"/>
        <x:v>0</x:v>
      </x:c>
      <x:c r="EW49">
        <x:f t="shared" si="26"/>
        <x:v>0</x:v>
      </x:c>
      <x:c r="EX49">
        <x:f t="shared" si="27"/>
        <x:v>0</x:v>
      </x:c>
      <x:c r="EY49">
        <x:f t="shared" si="28"/>
        <x:v>0</x:v>
      </x:c>
      <x:c r="EZ49">
        <x:f t="shared" si="29"/>
        <x:v>0</x:v>
      </x:c>
      <x:c r="FA49" s="41">
        <x:f t="shared" si="30"/>
        <x:v>0</x:v>
      </x:c>
      <x:c r="FB49">
        <x:f t="shared" si="31"/>
        <x:v>0</x:v>
      </x:c>
      <x:c r="FC49">
        <x:f t="shared" si="32"/>
        <x:v>0</x:v>
      </x:c>
      <x:c r="FD49">
        <x:f t="shared" si="33"/>
        <x:v>0</x:v>
      </x:c>
      <x:c r="FE49">
        <x:f t="shared" si="34"/>
        <x:v>0</x:v>
      </x:c>
      <x:c r="FF49">
        <x:f t="shared" si="35"/>
        <x:v>0</x:v>
      </x:c>
      <x:c r="FG49">
        <x:f t="shared" si="36"/>
        <x:v>0</x:v>
      </x:c>
      <x:c r="FH49">
        <x:f t="shared" si="37"/>
        <x:v>0</x:v>
      </x:c>
      <x:c r="FI49">
        <x:f t="shared" si="38"/>
        <x:v>0</x:v>
      </x:c>
      <x:c r="FJ49">
        <x:f t="shared" si="39"/>
        <x:v>0</x:v>
      </x:c>
      <x:c r="FK49">
        <x:f t="shared" si="40"/>
        <x:v>0</x:v>
      </x:c>
      <x:c r="FL49" s="41">
        <x:f t="shared" si="41"/>
        <x:v>0</x:v>
      </x:c>
      <x:c r="FM49">
        <x:f t="shared" si="42"/>
        <x:v>0</x:v>
      </x:c>
      <x:c r="FN49">
        <x:f t="shared" si="43"/>
        <x:v>0</x:v>
      </x:c>
      <x:c r="FO49">
        <x:f t="shared" si="44"/>
        <x:v>0</x:v>
      </x:c>
      <x:c r="FP49">
        <x:f t="shared" si="45"/>
        <x:v>0</x:v>
      </x:c>
      <x:c r="FQ49">
        <x:f t="shared" si="46"/>
        <x:v>0</x:v>
      </x:c>
      <x:c r="FR49">
        <x:f t="shared" si="47"/>
        <x:v>0</x:v>
      </x:c>
      <x:c r="FS49">
        <x:f t="shared" si="48"/>
        <x:v>0</x:v>
      </x:c>
      <x:c r="FT49">
        <x:f t="shared" si="49"/>
        <x:v>0</x:v>
      </x:c>
      <x:c r="FU49">
        <x:f t="shared" si="50"/>
        <x:v>0</x:v>
      </x:c>
      <x:c r="FV49">
        <x:f t="shared" si="51"/>
        <x:v>0</x:v>
      </x:c>
      <x:c r="FW49" s="41">
        <x:f t="shared" si="52"/>
        <x:v>0</x:v>
      </x:c>
      <x:c r="FX49">
        <x:f t="shared" si="53"/>
        <x:v>0</x:v>
      </x:c>
      <x:c r="FY49">
        <x:f t="shared" si="54"/>
        <x:v>0</x:v>
      </x:c>
      <x:c r="FZ49">
        <x:f t="shared" si="55"/>
        <x:v>0</x:v>
      </x:c>
      <x:c r="GA49">
        <x:f t="shared" si="56"/>
        <x:v>0</x:v>
      </x:c>
      <x:c r="GB49">
        <x:f t="shared" si="57"/>
        <x:v>0</x:v>
      </x:c>
      <x:c r="GC49">
        <x:f t="shared" si="58"/>
        <x:v>0</x:v>
      </x:c>
      <x:c r="GD49">
        <x:f t="shared" si="59"/>
        <x:v>0</x:v>
      </x:c>
      <x:c r="GE49">
        <x:f t="shared" si="60"/>
        <x:v>0</x:v>
      </x:c>
      <x:c r="GF49">
        <x:f t="shared" si="61"/>
        <x:v>0</x:v>
      </x:c>
      <x:c r="GG49">
        <x:f t="shared" si="62"/>
        <x:v>0</x:v>
      </x:c>
      <x:c r="GH49">
        <x:f t="shared" si="63"/>
        <x:v>0</x:v>
      </x:c>
      <x:c r="GI49">
        <x:f t="shared" si="64"/>
        <x:v>0</x:v>
      </x:c>
      <x:c r="GJ49">
        <x:f t="shared" si="65"/>
        <x:v>0</x:v>
      </x:c>
      <x:c r="GK49">
        <x:f t="shared" si="66"/>
        <x:v>0</x:v>
      </x:c>
      <x:c r="GL49">
        <x:f t="shared" si="67"/>
        <x:v>0</x:v>
      </x:c>
      <x:c r="GM49">
        <x:f t="shared" si="68"/>
        <x:v>0</x:v>
      </x:c>
      <x:c r="GN49">
        <x:f t="shared" si="69"/>
        <x:v>0</x:v>
      </x:c>
      <x:c r="GO49">
        <x:f t="shared" si="70"/>
        <x:v>0</x:v>
      </x:c>
      <x:c r="GP49">
        <x:f t="shared" si="71"/>
        <x:v>0</x:v>
      </x:c>
      <x:c r="GQ49">
        <x:f t="shared" si="72"/>
        <x:v>0</x:v>
      </x:c>
      <x:c r="GR49" s="42">
        <x:f t="shared" si="73"/>
        <x:v>0</x:v>
      </x:c>
      <x:c r="GS49">
        <x:f t="shared" si="74"/>
        <x:v>0</x:v>
      </x:c>
      <x:c r="GT49">
        <x:f t="shared" si="75"/>
        <x:v>0</x:v>
      </x:c>
      <x:c r="GU49">
        <x:f t="shared" si="76"/>
        <x:v>0</x:v>
      </x:c>
      <x:c r="GV49">
        <x:f t="shared" si="77"/>
        <x:v>0</x:v>
      </x:c>
      <x:c r="GW49">
        <x:f t="shared" si="78"/>
        <x:v>0</x:v>
      </x:c>
      <x:c r="GX49">
        <x:f t="shared" si="79"/>
        <x:v>0</x:v>
      </x:c>
      <x:c r="GY49">
        <x:f t="shared" si="80"/>
        <x:v>0</x:v>
      </x:c>
      <x:c r="GZ49">
        <x:f t="shared" si="81"/>
        <x:v>0</x:v>
      </x:c>
      <x:c r="HA49">
        <x:f t="shared" si="82"/>
        <x:v>0</x:v>
      </x:c>
      <x:c r="HB49" s="42">
        <x:f t="shared" si="83"/>
        <x:v>0</x:v>
      </x:c>
      <x:c r="HC49">
        <x:f t="shared" si="84"/>
        <x:v>0</x:v>
      </x:c>
      <x:c r="HD49">
        <x:f t="shared" si="85"/>
        <x:v>0</x:v>
      </x:c>
      <x:c r="HE49">
        <x:f t="shared" si="86"/>
        <x:v>0</x:v>
      </x:c>
      <x:c r="HF49">
        <x:f t="shared" si="87"/>
        <x:v>0</x:v>
      </x:c>
      <x:c r="HG49">
        <x:f t="shared" si="88"/>
        <x:v>0</x:v>
      </x:c>
      <x:c r="HH49">
        <x:f t="shared" si="89"/>
        <x:v>0</x:v>
      </x:c>
      <x:c r="HI49">
        <x:f t="shared" si="90"/>
        <x:v>0</x:v>
      </x:c>
      <x:c r="HJ49">
        <x:f t="shared" si="91"/>
        <x:v>0</x:v>
      </x:c>
      <x:c r="HK49">
        <x:f t="shared" si="92"/>
        <x:v>0</x:v>
      </x:c>
      <x:c r="HL49">
        <x:f t="shared" si="93"/>
        <x:v>0</x:v>
      </x:c>
    </x:row>
    <x:row r="50">
      <x:c r="D50" s="74"/>
      <x:c r="EQ50">
        <x:f t="shared" si="20"/>
        <x:v>0</x:v>
      </x:c>
      <x:c r="ER50">
        <x:f t="shared" si="21"/>
        <x:v>0</x:v>
      </x:c>
      <x:c r="ES50">
        <x:f t="shared" si="22"/>
        <x:v>0</x:v>
      </x:c>
      <x:c r="ET50">
        <x:f t="shared" si="23"/>
        <x:v>0</x:v>
      </x:c>
      <x:c r="EU50">
        <x:f t="shared" si="24"/>
        <x:v>0</x:v>
      </x:c>
      <x:c r="EV50">
        <x:f t="shared" si="25"/>
        <x:v>0</x:v>
      </x:c>
      <x:c r="EW50">
        <x:f t="shared" si="26"/>
        <x:v>0</x:v>
      </x:c>
      <x:c r="EX50">
        <x:f t="shared" si="27"/>
        <x:v>0</x:v>
      </x:c>
      <x:c r="EY50">
        <x:f t="shared" si="28"/>
        <x:v>0</x:v>
      </x:c>
      <x:c r="EZ50">
        <x:f t="shared" si="29"/>
        <x:v>0</x:v>
      </x:c>
      <x:c r="FA50" s="41">
        <x:f t="shared" si="30"/>
        <x:v>0</x:v>
      </x:c>
      <x:c r="FB50">
        <x:f t="shared" si="31"/>
        <x:v>0</x:v>
      </x:c>
      <x:c r="FC50">
        <x:f t="shared" si="32"/>
        <x:v>0</x:v>
      </x:c>
      <x:c r="FD50">
        <x:f t="shared" si="33"/>
        <x:v>0</x:v>
      </x:c>
      <x:c r="FE50">
        <x:f t="shared" si="34"/>
        <x:v>0</x:v>
      </x:c>
      <x:c r="FF50">
        <x:f t="shared" si="35"/>
        <x:v>0</x:v>
      </x:c>
      <x:c r="FG50">
        <x:f t="shared" si="36"/>
        <x:v>0</x:v>
      </x:c>
      <x:c r="FH50">
        <x:f t="shared" si="37"/>
        <x:v>0</x:v>
      </x:c>
      <x:c r="FI50">
        <x:f t="shared" si="38"/>
        <x:v>0</x:v>
      </x:c>
      <x:c r="FJ50">
        <x:f t="shared" si="39"/>
        <x:v>0</x:v>
      </x:c>
      <x:c r="FK50">
        <x:f t="shared" si="40"/>
        <x:v>0</x:v>
      </x:c>
      <x:c r="FL50" s="41">
        <x:f t="shared" si="41"/>
        <x:v>0</x:v>
      </x:c>
      <x:c r="FM50">
        <x:f t="shared" si="42"/>
        <x:v>0</x:v>
      </x:c>
      <x:c r="FN50">
        <x:f t="shared" si="43"/>
        <x:v>0</x:v>
      </x:c>
      <x:c r="FO50">
        <x:f t="shared" si="44"/>
        <x:v>0</x:v>
      </x:c>
      <x:c r="FP50">
        <x:f t="shared" si="45"/>
        <x:v>0</x:v>
      </x:c>
      <x:c r="FQ50">
        <x:f t="shared" si="46"/>
        <x:v>0</x:v>
      </x:c>
      <x:c r="FR50">
        <x:f t="shared" si="47"/>
        <x:v>0</x:v>
      </x:c>
      <x:c r="FS50">
        <x:f t="shared" si="48"/>
        <x:v>0</x:v>
      </x:c>
      <x:c r="FT50">
        <x:f t="shared" si="49"/>
        <x:v>0</x:v>
      </x:c>
      <x:c r="FU50">
        <x:f t="shared" si="50"/>
        <x:v>0</x:v>
      </x:c>
      <x:c r="FV50">
        <x:f t="shared" si="51"/>
        <x:v>0</x:v>
      </x:c>
      <x:c r="FW50" s="41">
        <x:f t="shared" si="52"/>
        <x:v>0</x:v>
      </x:c>
      <x:c r="FX50">
        <x:f t="shared" si="53"/>
        <x:v>0</x:v>
      </x:c>
      <x:c r="FY50">
        <x:f t="shared" si="54"/>
        <x:v>0</x:v>
      </x:c>
      <x:c r="FZ50">
        <x:f t="shared" si="55"/>
        <x:v>0</x:v>
      </x:c>
      <x:c r="GA50">
        <x:f t="shared" si="56"/>
        <x:v>0</x:v>
      </x:c>
      <x:c r="GB50">
        <x:f t="shared" si="57"/>
        <x:v>0</x:v>
      </x:c>
      <x:c r="GC50">
        <x:f t="shared" si="58"/>
        <x:v>0</x:v>
      </x:c>
      <x:c r="GD50">
        <x:f t="shared" si="59"/>
        <x:v>0</x:v>
      </x:c>
      <x:c r="GE50">
        <x:f t="shared" si="60"/>
        <x:v>0</x:v>
      </x:c>
      <x:c r="GF50">
        <x:f t="shared" si="61"/>
        <x:v>0</x:v>
      </x:c>
      <x:c r="GG50">
        <x:f t="shared" si="62"/>
        <x:v>0</x:v>
      </x:c>
      <x:c r="GH50">
        <x:f t="shared" si="63"/>
        <x:v>0</x:v>
      </x:c>
      <x:c r="GI50">
        <x:f t="shared" si="64"/>
        <x:v>0</x:v>
      </x:c>
      <x:c r="GJ50">
        <x:f t="shared" si="65"/>
        <x:v>0</x:v>
      </x:c>
      <x:c r="GK50">
        <x:f t="shared" si="66"/>
        <x:v>0</x:v>
      </x:c>
      <x:c r="GL50">
        <x:f t="shared" si="67"/>
        <x:v>0</x:v>
      </x:c>
      <x:c r="GM50">
        <x:f t="shared" si="68"/>
        <x:v>0</x:v>
      </x:c>
      <x:c r="GN50">
        <x:f t="shared" si="69"/>
        <x:v>0</x:v>
      </x:c>
      <x:c r="GO50">
        <x:f t="shared" si="70"/>
        <x:v>0</x:v>
      </x:c>
      <x:c r="GP50">
        <x:f t="shared" si="71"/>
        <x:v>0</x:v>
      </x:c>
      <x:c r="GQ50">
        <x:f t="shared" si="72"/>
        <x:v>0</x:v>
      </x:c>
      <x:c r="GR50" s="42">
        <x:f t="shared" si="73"/>
        <x:v>0</x:v>
      </x:c>
      <x:c r="GS50">
        <x:f t="shared" si="74"/>
        <x:v>0</x:v>
      </x:c>
      <x:c r="GT50">
        <x:f t="shared" si="75"/>
        <x:v>0</x:v>
      </x:c>
      <x:c r="GU50">
        <x:f t="shared" si="76"/>
        <x:v>0</x:v>
      </x:c>
      <x:c r="GV50">
        <x:f t="shared" si="77"/>
        <x:v>0</x:v>
      </x:c>
      <x:c r="GW50">
        <x:f t="shared" si="78"/>
        <x:v>0</x:v>
      </x:c>
      <x:c r="GX50">
        <x:f t="shared" si="79"/>
        <x:v>0</x:v>
      </x:c>
      <x:c r="GY50">
        <x:f t="shared" si="80"/>
        <x:v>0</x:v>
      </x:c>
      <x:c r="GZ50">
        <x:f t="shared" si="81"/>
        <x:v>0</x:v>
      </x:c>
      <x:c r="HA50">
        <x:f t="shared" si="82"/>
        <x:v>0</x:v>
      </x:c>
      <x:c r="HB50" s="42">
        <x:f t="shared" si="83"/>
        <x:v>0</x:v>
      </x:c>
      <x:c r="HC50">
        <x:f t="shared" si="84"/>
        <x:v>0</x:v>
      </x:c>
      <x:c r="HD50">
        <x:f t="shared" si="85"/>
        <x:v>0</x:v>
      </x:c>
      <x:c r="HE50">
        <x:f t="shared" si="86"/>
        <x:v>0</x:v>
      </x:c>
      <x:c r="HF50">
        <x:f t="shared" si="87"/>
        <x:v>0</x:v>
      </x:c>
      <x:c r="HG50">
        <x:f t="shared" si="88"/>
        <x:v>0</x:v>
      </x:c>
      <x:c r="HH50">
        <x:f t="shared" si="89"/>
        <x:v>0</x:v>
      </x:c>
      <x:c r="HI50">
        <x:f t="shared" si="90"/>
        <x:v>0</x:v>
      </x:c>
      <x:c r="HJ50">
        <x:f t="shared" si="91"/>
        <x:v>0</x:v>
      </x:c>
      <x:c r="HK50">
        <x:f t="shared" si="92"/>
        <x:v>0</x:v>
      </x:c>
      <x:c r="HL50">
        <x:f t="shared" si="93"/>
        <x:v>0</x:v>
      </x:c>
    </x:row>
    <x:row r="51">
      <x:c r="D51" s="74"/>
      <x:c r="EQ51">
        <x:f t="shared" si="20"/>
        <x:v>0</x:v>
      </x:c>
      <x:c r="ER51">
        <x:f t="shared" si="21"/>
        <x:v>0</x:v>
      </x:c>
      <x:c r="ES51">
        <x:f t="shared" si="22"/>
        <x:v>0</x:v>
      </x:c>
      <x:c r="ET51">
        <x:f t="shared" si="23"/>
        <x:v>0</x:v>
      </x:c>
      <x:c r="EU51">
        <x:f t="shared" si="24"/>
        <x:v>0</x:v>
      </x:c>
      <x:c r="EV51">
        <x:f t="shared" si="25"/>
        <x:v>0</x:v>
      </x:c>
      <x:c r="EW51">
        <x:f t="shared" si="26"/>
        <x:v>0</x:v>
      </x:c>
      <x:c r="EX51">
        <x:f t="shared" si="27"/>
        <x:v>0</x:v>
      </x:c>
      <x:c r="EY51">
        <x:f t="shared" si="28"/>
        <x:v>0</x:v>
      </x:c>
      <x:c r="EZ51">
        <x:f t="shared" si="29"/>
        <x:v>0</x:v>
      </x:c>
      <x:c r="FA51" s="41">
        <x:f t="shared" si="30"/>
        <x:v>0</x:v>
      </x:c>
      <x:c r="FB51">
        <x:f t="shared" si="31"/>
        <x:v>0</x:v>
      </x:c>
      <x:c r="FC51">
        <x:f t="shared" si="32"/>
        <x:v>0</x:v>
      </x:c>
      <x:c r="FD51">
        <x:f t="shared" si="33"/>
        <x:v>0</x:v>
      </x:c>
      <x:c r="FE51">
        <x:f t="shared" si="34"/>
        <x:v>0</x:v>
      </x:c>
      <x:c r="FF51">
        <x:f t="shared" si="35"/>
        <x:v>0</x:v>
      </x:c>
      <x:c r="FG51">
        <x:f t="shared" si="36"/>
        <x:v>0</x:v>
      </x:c>
      <x:c r="FH51">
        <x:f t="shared" si="37"/>
        <x:v>0</x:v>
      </x:c>
      <x:c r="FI51">
        <x:f t="shared" si="38"/>
        <x:v>0</x:v>
      </x:c>
      <x:c r="FJ51">
        <x:f t="shared" si="39"/>
        <x:v>0</x:v>
      </x:c>
      <x:c r="FK51">
        <x:f t="shared" si="40"/>
        <x:v>0</x:v>
      </x:c>
      <x:c r="FL51" s="41">
        <x:f t="shared" si="41"/>
        <x:v>0</x:v>
      </x:c>
      <x:c r="FM51">
        <x:f t="shared" si="42"/>
        <x:v>0</x:v>
      </x:c>
      <x:c r="FN51">
        <x:f t="shared" si="43"/>
        <x:v>0</x:v>
      </x:c>
      <x:c r="FO51">
        <x:f t="shared" si="44"/>
        <x:v>0</x:v>
      </x:c>
      <x:c r="FP51">
        <x:f t="shared" si="45"/>
        <x:v>0</x:v>
      </x:c>
      <x:c r="FQ51">
        <x:f t="shared" si="46"/>
        <x:v>0</x:v>
      </x:c>
      <x:c r="FR51">
        <x:f t="shared" si="47"/>
        <x:v>0</x:v>
      </x:c>
      <x:c r="FS51">
        <x:f t="shared" si="48"/>
        <x:v>0</x:v>
      </x:c>
      <x:c r="FT51">
        <x:f t="shared" si="49"/>
        <x:v>0</x:v>
      </x:c>
      <x:c r="FU51">
        <x:f t="shared" si="50"/>
        <x:v>0</x:v>
      </x:c>
      <x:c r="FV51">
        <x:f t="shared" si="51"/>
        <x:v>0</x:v>
      </x:c>
      <x:c r="FW51" s="41">
        <x:f t="shared" si="52"/>
        <x:v>0</x:v>
      </x:c>
      <x:c r="FX51">
        <x:f t="shared" si="53"/>
        <x:v>0</x:v>
      </x:c>
      <x:c r="FY51">
        <x:f t="shared" si="54"/>
        <x:v>0</x:v>
      </x:c>
      <x:c r="FZ51">
        <x:f t="shared" si="55"/>
        <x:v>0</x:v>
      </x:c>
      <x:c r="GA51">
        <x:f t="shared" si="56"/>
        <x:v>0</x:v>
      </x:c>
      <x:c r="GB51">
        <x:f t="shared" si="57"/>
        <x:v>0</x:v>
      </x:c>
      <x:c r="GC51">
        <x:f t="shared" si="58"/>
        <x:v>0</x:v>
      </x:c>
      <x:c r="GD51">
        <x:f t="shared" si="59"/>
        <x:v>0</x:v>
      </x:c>
      <x:c r="GE51">
        <x:f t="shared" si="60"/>
        <x:v>0</x:v>
      </x:c>
      <x:c r="GF51">
        <x:f t="shared" si="61"/>
        <x:v>0</x:v>
      </x:c>
      <x:c r="GG51">
        <x:f t="shared" si="62"/>
        <x:v>0</x:v>
      </x:c>
      <x:c r="GH51">
        <x:f t="shared" si="63"/>
        <x:v>0</x:v>
      </x:c>
      <x:c r="GI51">
        <x:f t="shared" si="64"/>
        <x:v>0</x:v>
      </x:c>
      <x:c r="GJ51">
        <x:f t="shared" si="65"/>
        <x:v>0</x:v>
      </x:c>
      <x:c r="GK51">
        <x:f t="shared" si="66"/>
        <x:v>0</x:v>
      </x:c>
      <x:c r="GL51">
        <x:f t="shared" si="67"/>
        <x:v>0</x:v>
      </x:c>
      <x:c r="GM51">
        <x:f t="shared" si="68"/>
        <x:v>0</x:v>
      </x:c>
      <x:c r="GN51">
        <x:f t="shared" si="69"/>
        <x:v>0</x:v>
      </x:c>
      <x:c r="GO51">
        <x:f t="shared" si="70"/>
        <x:v>0</x:v>
      </x:c>
      <x:c r="GP51">
        <x:f t="shared" si="71"/>
        <x:v>0</x:v>
      </x:c>
      <x:c r="GQ51">
        <x:f t="shared" si="72"/>
        <x:v>0</x:v>
      </x:c>
      <x:c r="GR51" s="42">
        <x:f t="shared" si="73"/>
        <x:v>0</x:v>
      </x:c>
      <x:c r="GS51">
        <x:f t="shared" si="74"/>
        <x:v>0</x:v>
      </x:c>
      <x:c r="GT51">
        <x:f t="shared" si="75"/>
        <x:v>0</x:v>
      </x:c>
      <x:c r="GU51">
        <x:f t="shared" si="76"/>
        <x:v>0</x:v>
      </x:c>
      <x:c r="GV51">
        <x:f t="shared" si="77"/>
        <x:v>0</x:v>
      </x:c>
      <x:c r="GW51">
        <x:f t="shared" si="78"/>
        <x:v>0</x:v>
      </x:c>
      <x:c r="GX51">
        <x:f t="shared" si="79"/>
        <x:v>0</x:v>
      </x:c>
      <x:c r="GY51">
        <x:f t="shared" si="80"/>
        <x:v>0</x:v>
      </x:c>
      <x:c r="GZ51">
        <x:f t="shared" si="81"/>
        <x:v>0</x:v>
      </x:c>
      <x:c r="HA51">
        <x:f t="shared" si="82"/>
        <x:v>0</x:v>
      </x:c>
      <x:c r="HB51" s="42">
        <x:f t="shared" si="83"/>
        <x:v>0</x:v>
      </x:c>
      <x:c r="HC51">
        <x:f t="shared" si="84"/>
        <x:v>0</x:v>
      </x:c>
      <x:c r="HD51">
        <x:f t="shared" si="85"/>
        <x:v>0</x:v>
      </x:c>
      <x:c r="HE51">
        <x:f t="shared" si="86"/>
        <x:v>0</x:v>
      </x:c>
      <x:c r="HF51">
        <x:f t="shared" si="87"/>
        <x:v>0</x:v>
      </x:c>
      <x:c r="HG51">
        <x:f t="shared" si="88"/>
        <x:v>0</x:v>
      </x:c>
      <x:c r="HH51">
        <x:f t="shared" si="89"/>
        <x:v>0</x:v>
      </x:c>
      <x:c r="HI51">
        <x:f t="shared" si="90"/>
        <x:v>0</x:v>
      </x:c>
      <x:c r="HJ51">
        <x:f t="shared" si="91"/>
        <x:v>0</x:v>
      </x:c>
      <x:c r="HK51">
        <x:f t="shared" si="92"/>
        <x:v>0</x:v>
      </x:c>
      <x:c r="HL51">
        <x:f t="shared" si="93"/>
        <x:v>0</x:v>
      </x:c>
    </x:row>
    <x:row r="52">
      <x:c r="D52" s="74"/>
      <x:c r="EQ52">
        <x:f t="shared" si="20"/>
        <x:v>0</x:v>
      </x:c>
      <x:c r="ER52">
        <x:f t="shared" si="21"/>
        <x:v>0</x:v>
      </x:c>
      <x:c r="ES52">
        <x:f t="shared" si="22"/>
        <x:v>0</x:v>
      </x:c>
      <x:c r="ET52">
        <x:f t="shared" si="23"/>
        <x:v>0</x:v>
      </x:c>
      <x:c r="EU52">
        <x:f t="shared" si="24"/>
        <x:v>0</x:v>
      </x:c>
      <x:c r="EV52">
        <x:f t="shared" si="25"/>
        <x:v>0</x:v>
      </x:c>
      <x:c r="EW52">
        <x:f t="shared" si="26"/>
        <x:v>0</x:v>
      </x:c>
      <x:c r="EX52">
        <x:f t="shared" si="27"/>
        <x:v>0</x:v>
      </x:c>
      <x:c r="EY52">
        <x:f t="shared" si="28"/>
        <x:v>0</x:v>
      </x:c>
      <x:c r="EZ52">
        <x:f t="shared" si="29"/>
        <x:v>0</x:v>
      </x:c>
      <x:c r="FA52" s="41">
        <x:f t="shared" si="30"/>
        <x:v>0</x:v>
      </x:c>
      <x:c r="FB52">
        <x:f t="shared" si="31"/>
        <x:v>0</x:v>
      </x:c>
      <x:c r="FC52">
        <x:f t="shared" si="32"/>
        <x:v>0</x:v>
      </x:c>
      <x:c r="FD52">
        <x:f t="shared" si="33"/>
        <x:v>0</x:v>
      </x:c>
      <x:c r="FE52">
        <x:f t="shared" si="34"/>
        <x:v>0</x:v>
      </x:c>
      <x:c r="FF52">
        <x:f t="shared" si="35"/>
        <x:v>0</x:v>
      </x:c>
      <x:c r="FG52">
        <x:f t="shared" si="36"/>
        <x:v>0</x:v>
      </x:c>
      <x:c r="FH52">
        <x:f t="shared" si="37"/>
        <x:v>0</x:v>
      </x:c>
      <x:c r="FI52">
        <x:f t="shared" si="38"/>
        <x:v>0</x:v>
      </x:c>
      <x:c r="FJ52">
        <x:f t="shared" si="39"/>
        <x:v>0</x:v>
      </x:c>
      <x:c r="FK52">
        <x:f t="shared" si="40"/>
        <x:v>0</x:v>
      </x:c>
      <x:c r="FL52" s="41">
        <x:f t="shared" si="41"/>
        <x:v>0</x:v>
      </x:c>
      <x:c r="FM52">
        <x:f t="shared" si="42"/>
        <x:v>0</x:v>
      </x:c>
      <x:c r="FN52">
        <x:f t="shared" si="43"/>
        <x:v>0</x:v>
      </x:c>
      <x:c r="FO52">
        <x:f t="shared" si="44"/>
        <x:v>0</x:v>
      </x:c>
      <x:c r="FP52">
        <x:f t="shared" si="45"/>
        <x:v>0</x:v>
      </x:c>
      <x:c r="FQ52">
        <x:f t="shared" si="46"/>
        <x:v>0</x:v>
      </x:c>
      <x:c r="FR52">
        <x:f t="shared" si="47"/>
        <x:v>0</x:v>
      </x:c>
      <x:c r="FS52">
        <x:f t="shared" si="48"/>
        <x:v>0</x:v>
      </x:c>
      <x:c r="FT52">
        <x:f t="shared" si="49"/>
        <x:v>0</x:v>
      </x:c>
      <x:c r="FU52">
        <x:f t="shared" si="50"/>
        <x:v>0</x:v>
      </x:c>
      <x:c r="FV52">
        <x:f t="shared" si="51"/>
        <x:v>0</x:v>
      </x:c>
      <x:c r="FW52" s="41">
        <x:f t="shared" si="52"/>
        <x:v>0</x:v>
      </x:c>
      <x:c r="FX52">
        <x:f t="shared" si="53"/>
        <x:v>0</x:v>
      </x:c>
      <x:c r="FY52">
        <x:f t="shared" si="54"/>
        <x:v>0</x:v>
      </x:c>
      <x:c r="FZ52">
        <x:f t="shared" si="55"/>
        <x:v>0</x:v>
      </x:c>
      <x:c r="GA52">
        <x:f t="shared" si="56"/>
        <x:v>0</x:v>
      </x:c>
      <x:c r="GB52">
        <x:f t="shared" si="57"/>
        <x:v>0</x:v>
      </x:c>
      <x:c r="GC52">
        <x:f t="shared" si="58"/>
        <x:v>0</x:v>
      </x:c>
      <x:c r="GD52">
        <x:f t="shared" si="59"/>
        <x:v>0</x:v>
      </x:c>
      <x:c r="GE52">
        <x:f t="shared" si="60"/>
        <x:v>0</x:v>
      </x:c>
      <x:c r="GF52">
        <x:f t="shared" si="61"/>
        <x:v>0</x:v>
      </x:c>
      <x:c r="GG52">
        <x:f t="shared" si="62"/>
        <x:v>0</x:v>
      </x:c>
      <x:c r="GH52">
        <x:f t="shared" si="63"/>
        <x:v>0</x:v>
      </x:c>
      <x:c r="GI52">
        <x:f t="shared" si="64"/>
        <x:v>0</x:v>
      </x:c>
      <x:c r="GJ52">
        <x:f t="shared" si="65"/>
        <x:v>0</x:v>
      </x:c>
      <x:c r="GK52">
        <x:f t="shared" si="66"/>
        <x:v>0</x:v>
      </x:c>
      <x:c r="GL52">
        <x:f t="shared" si="67"/>
        <x:v>0</x:v>
      </x:c>
      <x:c r="GM52">
        <x:f t="shared" si="68"/>
        <x:v>0</x:v>
      </x:c>
      <x:c r="GN52">
        <x:f t="shared" si="69"/>
        <x:v>0</x:v>
      </x:c>
      <x:c r="GO52">
        <x:f t="shared" si="70"/>
        <x:v>0</x:v>
      </x:c>
      <x:c r="GP52">
        <x:f t="shared" si="71"/>
        <x:v>0</x:v>
      </x:c>
      <x:c r="GQ52">
        <x:f t="shared" si="72"/>
        <x:v>0</x:v>
      </x:c>
      <x:c r="GR52" s="42">
        <x:f t="shared" si="73"/>
        <x:v>0</x:v>
      </x:c>
      <x:c r="GS52">
        <x:f t="shared" si="74"/>
        <x:v>0</x:v>
      </x:c>
      <x:c r="GT52">
        <x:f t="shared" si="75"/>
        <x:v>0</x:v>
      </x:c>
      <x:c r="GU52">
        <x:f t="shared" si="76"/>
        <x:v>0</x:v>
      </x:c>
      <x:c r="GV52">
        <x:f t="shared" si="77"/>
        <x:v>0</x:v>
      </x:c>
      <x:c r="GW52">
        <x:f t="shared" si="78"/>
        <x:v>0</x:v>
      </x:c>
      <x:c r="GX52">
        <x:f t="shared" si="79"/>
        <x:v>0</x:v>
      </x:c>
      <x:c r="GY52">
        <x:f t="shared" si="80"/>
        <x:v>0</x:v>
      </x:c>
      <x:c r="GZ52">
        <x:f t="shared" si="81"/>
        <x:v>0</x:v>
      </x:c>
      <x:c r="HA52">
        <x:f t="shared" si="82"/>
        <x:v>0</x:v>
      </x:c>
      <x:c r="HB52" s="42">
        <x:f t="shared" si="83"/>
        <x:v>0</x:v>
      </x:c>
      <x:c r="HC52">
        <x:f t="shared" si="84"/>
        <x:v>0</x:v>
      </x:c>
      <x:c r="HD52">
        <x:f t="shared" si="85"/>
        <x:v>0</x:v>
      </x:c>
      <x:c r="HE52">
        <x:f t="shared" si="86"/>
        <x:v>0</x:v>
      </x:c>
      <x:c r="HF52">
        <x:f t="shared" si="87"/>
        <x:v>0</x:v>
      </x:c>
      <x:c r="HG52">
        <x:f t="shared" si="88"/>
        <x:v>0</x:v>
      </x:c>
      <x:c r="HH52">
        <x:f t="shared" si="89"/>
        <x:v>0</x:v>
      </x:c>
      <x:c r="HI52">
        <x:f t="shared" si="90"/>
        <x:v>0</x:v>
      </x:c>
      <x:c r="HJ52">
        <x:f t="shared" si="91"/>
        <x:v>0</x:v>
      </x:c>
      <x:c r="HK52">
        <x:f t="shared" si="92"/>
        <x:v>0</x:v>
      </x:c>
      <x:c r="HL52">
        <x:f t="shared" si="93"/>
        <x:v>0</x:v>
      </x:c>
    </x:row>
    <x:row r="53">
      <x:c r="D53" s="74"/>
      <x:c r="EQ53">
        <x:f t="shared" si="20"/>
        <x:v>0</x:v>
      </x:c>
      <x:c r="ER53">
        <x:f t="shared" si="21"/>
        <x:v>0</x:v>
      </x:c>
      <x:c r="ES53">
        <x:f t="shared" si="22"/>
        <x:v>0</x:v>
      </x:c>
      <x:c r="ET53">
        <x:f t="shared" si="23"/>
        <x:v>0</x:v>
      </x:c>
      <x:c r="EU53">
        <x:f t="shared" si="24"/>
        <x:v>0</x:v>
      </x:c>
      <x:c r="EV53">
        <x:f t="shared" si="25"/>
        <x:v>0</x:v>
      </x:c>
      <x:c r="EW53">
        <x:f t="shared" si="26"/>
        <x:v>0</x:v>
      </x:c>
      <x:c r="EX53">
        <x:f t="shared" si="27"/>
        <x:v>0</x:v>
      </x:c>
      <x:c r="EY53">
        <x:f t="shared" si="28"/>
        <x:v>0</x:v>
      </x:c>
      <x:c r="EZ53">
        <x:f t="shared" si="29"/>
        <x:v>0</x:v>
      </x:c>
      <x:c r="FA53" s="41">
        <x:f t="shared" si="30"/>
        <x:v>0</x:v>
      </x:c>
      <x:c r="FB53">
        <x:f t="shared" si="31"/>
        <x:v>0</x:v>
      </x:c>
      <x:c r="FC53">
        <x:f t="shared" si="32"/>
        <x:v>0</x:v>
      </x:c>
      <x:c r="FD53">
        <x:f t="shared" si="33"/>
        <x:v>0</x:v>
      </x:c>
      <x:c r="FE53">
        <x:f t="shared" si="34"/>
        <x:v>0</x:v>
      </x:c>
      <x:c r="FF53">
        <x:f t="shared" si="35"/>
        <x:v>0</x:v>
      </x:c>
      <x:c r="FG53">
        <x:f t="shared" si="36"/>
        <x:v>0</x:v>
      </x:c>
      <x:c r="FH53">
        <x:f t="shared" si="37"/>
        <x:v>0</x:v>
      </x:c>
      <x:c r="FI53">
        <x:f t="shared" si="38"/>
        <x:v>0</x:v>
      </x:c>
      <x:c r="FJ53">
        <x:f t="shared" si="39"/>
        <x:v>0</x:v>
      </x:c>
      <x:c r="FK53">
        <x:f t="shared" si="40"/>
        <x:v>0</x:v>
      </x:c>
      <x:c r="FL53" s="41">
        <x:f t="shared" si="41"/>
        <x:v>0</x:v>
      </x:c>
      <x:c r="FM53">
        <x:f t="shared" si="42"/>
        <x:v>0</x:v>
      </x:c>
      <x:c r="FN53">
        <x:f t="shared" si="43"/>
        <x:v>0</x:v>
      </x:c>
      <x:c r="FO53">
        <x:f t="shared" si="44"/>
        <x:v>0</x:v>
      </x:c>
      <x:c r="FP53">
        <x:f t="shared" si="45"/>
        <x:v>0</x:v>
      </x:c>
      <x:c r="FQ53">
        <x:f t="shared" si="46"/>
        <x:v>0</x:v>
      </x:c>
      <x:c r="FR53">
        <x:f t="shared" si="47"/>
        <x:v>0</x:v>
      </x:c>
      <x:c r="FS53">
        <x:f t="shared" si="48"/>
        <x:v>0</x:v>
      </x:c>
      <x:c r="FT53">
        <x:f t="shared" si="49"/>
        <x:v>0</x:v>
      </x:c>
      <x:c r="FU53">
        <x:f t="shared" si="50"/>
        <x:v>0</x:v>
      </x:c>
      <x:c r="FV53">
        <x:f t="shared" si="51"/>
        <x:v>0</x:v>
      </x:c>
      <x:c r="FW53" s="41">
        <x:f t="shared" si="52"/>
        <x:v>0</x:v>
      </x:c>
      <x:c r="FX53">
        <x:f t="shared" si="53"/>
        <x:v>0</x:v>
      </x:c>
      <x:c r="FY53">
        <x:f t="shared" si="54"/>
        <x:v>0</x:v>
      </x:c>
      <x:c r="FZ53">
        <x:f t="shared" si="55"/>
        <x:v>0</x:v>
      </x:c>
      <x:c r="GA53">
        <x:f t="shared" si="56"/>
        <x:v>0</x:v>
      </x:c>
      <x:c r="GB53">
        <x:f t="shared" si="57"/>
        <x:v>0</x:v>
      </x:c>
      <x:c r="GC53">
        <x:f t="shared" si="58"/>
        <x:v>0</x:v>
      </x:c>
      <x:c r="GD53">
        <x:f t="shared" si="59"/>
        <x:v>0</x:v>
      </x:c>
      <x:c r="GE53">
        <x:f t="shared" si="60"/>
        <x:v>0</x:v>
      </x:c>
      <x:c r="GF53">
        <x:f t="shared" si="61"/>
        <x:v>0</x:v>
      </x:c>
      <x:c r="GG53">
        <x:f t="shared" si="62"/>
        <x:v>0</x:v>
      </x:c>
      <x:c r="GH53">
        <x:f t="shared" si="63"/>
        <x:v>0</x:v>
      </x:c>
      <x:c r="GI53">
        <x:f t="shared" si="64"/>
        <x:v>0</x:v>
      </x:c>
      <x:c r="GJ53">
        <x:f t="shared" si="65"/>
        <x:v>0</x:v>
      </x:c>
      <x:c r="GK53">
        <x:f t="shared" si="66"/>
        <x:v>0</x:v>
      </x:c>
      <x:c r="GL53">
        <x:f t="shared" si="67"/>
        <x:v>0</x:v>
      </x:c>
      <x:c r="GM53">
        <x:f t="shared" si="68"/>
        <x:v>0</x:v>
      </x:c>
      <x:c r="GN53">
        <x:f t="shared" si="69"/>
        <x:v>0</x:v>
      </x:c>
      <x:c r="GO53">
        <x:f t="shared" si="70"/>
        <x:v>0</x:v>
      </x:c>
      <x:c r="GP53">
        <x:f t="shared" si="71"/>
        <x:v>0</x:v>
      </x:c>
      <x:c r="GQ53">
        <x:f t="shared" si="72"/>
        <x:v>0</x:v>
      </x:c>
      <x:c r="GR53" s="42">
        <x:f t="shared" si="73"/>
        <x:v>0</x:v>
      </x:c>
      <x:c r="GS53">
        <x:f t="shared" si="74"/>
        <x:v>0</x:v>
      </x:c>
      <x:c r="GT53">
        <x:f t="shared" si="75"/>
        <x:v>0</x:v>
      </x:c>
      <x:c r="GU53">
        <x:f t="shared" si="76"/>
        <x:v>0</x:v>
      </x:c>
      <x:c r="GV53">
        <x:f t="shared" si="77"/>
        <x:v>0</x:v>
      </x:c>
      <x:c r="GW53">
        <x:f t="shared" si="78"/>
        <x:v>0</x:v>
      </x:c>
      <x:c r="GX53">
        <x:f t="shared" si="79"/>
        <x:v>0</x:v>
      </x:c>
      <x:c r="GY53">
        <x:f t="shared" si="80"/>
        <x:v>0</x:v>
      </x:c>
      <x:c r="GZ53">
        <x:f t="shared" si="81"/>
        <x:v>0</x:v>
      </x:c>
      <x:c r="HA53">
        <x:f t="shared" si="82"/>
        <x:v>0</x:v>
      </x:c>
      <x:c r="HB53" s="42">
        <x:f t="shared" si="83"/>
        <x:v>0</x:v>
      </x:c>
      <x:c r="HC53">
        <x:f t="shared" si="84"/>
        <x:v>0</x:v>
      </x:c>
      <x:c r="HD53">
        <x:f t="shared" si="85"/>
        <x:v>0</x:v>
      </x:c>
      <x:c r="HE53">
        <x:f t="shared" si="86"/>
        <x:v>0</x:v>
      </x:c>
      <x:c r="HF53">
        <x:f t="shared" si="87"/>
        <x:v>0</x:v>
      </x:c>
      <x:c r="HG53">
        <x:f t="shared" si="88"/>
        <x:v>0</x:v>
      </x:c>
      <x:c r="HH53">
        <x:f t="shared" si="89"/>
        <x:v>0</x:v>
      </x:c>
      <x:c r="HI53">
        <x:f t="shared" si="90"/>
        <x:v>0</x:v>
      </x:c>
      <x:c r="HJ53">
        <x:f t="shared" si="91"/>
        <x:v>0</x:v>
      </x:c>
      <x:c r="HK53">
        <x:f t="shared" si="92"/>
        <x:v>0</x:v>
      </x:c>
      <x:c r="HL53">
        <x:f t="shared" si="93"/>
        <x:v>0</x:v>
      </x:c>
    </x:row>
    <x:row r="54">
      <x:c r="D54" s="74"/>
      <x:c r="EQ54">
        <x:f t="shared" si="20"/>
        <x:v>0</x:v>
      </x:c>
      <x:c r="ER54">
        <x:f t="shared" si="21"/>
        <x:v>0</x:v>
      </x:c>
      <x:c r="ES54">
        <x:f t="shared" si="22"/>
        <x:v>0</x:v>
      </x:c>
      <x:c r="ET54">
        <x:f t="shared" si="23"/>
        <x:v>0</x:v>
      </x:c>
      <x:c r="EU54">
        <x:f t="shared" si="24"/>
        <x:v>0</x:v>
      </x:c>
      <x:c r="EV54">
        <x:f t="shared" si="25"/>
        <x:v>0</x:v>
      </x:c>
      <x:c r="EW54">
        <x:f t="shared" si="26"/>
        <x:v>0</x:v>
      </x:c>
      <x:c r="EX54">
        <x:f t="shared" si="27"/>
        <x:v>0</x:v>
      </x:c>
      <x:c r="EY54">
        <x:f t="shared" si="28"/>
        <x:v>0</x:v>
      </x:c>
      <x:c r="EZ54">
        <x:f t="shared" si="29"/>
        <x:v>0</x:v>
      </x:c>
      <x:c r="FA54" s="41">
        <x:f t="shared" si="30"/>
        <x:v>0</x:v>
      </x:c>
      <x:c r="FB54">
        <x:f t="shared" si="31"/>
        <x:v>0</x:v>
      </x:c>
      <x:c r="FC54">
        <x:f t="shared" si="32"/>
        <x:v>0</x:v>
      </x:c>
      <x:c r="FD54">
        <x:f t="shared" si="33"/>
        <x:v>0</x:v>
      </x:c>
      <x:c r="FE54">
        <x:f t="shared" si="34"/>
        <x:v>0</x:v>
      </x:c>
      <x:c r="FF54">
        <x:f t="shared" si="35"/>
        <x:v>0</x:v>
      </x:c>
      <x:c r="FG54">
        <x:f t="shared" si="36"/>
        <x:v>0</x:v>
      </x:c>
      <x:c r="FH54">
        <x:f t="shared" si="37"/>
        <x:v>0</x:v>
      </x:c>
      <x:c r="FI54">
        <x:f t="shared" si="38"/>
        <x:v>0</x:v>
      </x:c>
      <x:c r="FJ54">
        <x:f t="shared" si="39"/>
        <x:v>0</x:v>
      </x:c>
      <x:c r="FK54">
        <x:f t="shared" si="40"/>
        <x:v>0</x:v>
      </x:c>
      <x:c r="FL54" s="41">
        <x:f t="shared" si="41"/>
        <x:v>0</x:v>
      </x:c>
      <x:c r="FM54">
        <x:f t="shared" si="42"/>
        <x:v>0</x:v>
      </x:c>
      <x:c r="FN54">
        <x:f t="shared" si="43"/>
        <x:v>0</x:v>
      </x:c>
      <x:c r="FO54">
        <x:f t="shared" si="44"/>
        <x:v>0</x:v>
      </x:c>
      <x:c r="FP54">
        <x:f t="shared" si="45"/>
        <x:v>0</x:v>
      </x:c>
      <x:c r="FQ54">
        <x:f t="shared" si="46"/>
        <x:v>0</x:v>
      </x:c>
      <x:c r="FR54">
        <x:f t="shared" si="47"/>
        <x:v>0</x:v>
      </x:c>
      <x:c r="FS54">
        <x:f t="shared" si="48"/>
        <x:v>0</x:v>
      </x:c>
      <x:c r="FT54">
        <x:f t="shared" si="49"/>
        <x:v>0</x:v>
      </x:c>
      <x:c r="FU54">
        <x:f t="shared" si="50"/>
        <x:v>0</x:v>
      </x:c>
      <x:c r="FV54">
        <x:f t="shared" si="51"/>
        <x:v>0</x:v>
      </x:c>
      <x:c r="FW54" s="41">
        <x:f t="shared" si="52"/>
        <x:v>0</x:v>
      </x:c>
      <x:c r="FX54">
        <x:f t="shared" si="53"/>
        <x:v>0</x:v>
      </x:c>
      <x:c r="FY54">
        <x:f t="shared" si="54"/>
        <x:v>0</x:v>
      </x:c>
      <x:c r="FZ54">
        <x:f t="shared" si="55"/>
        <x:v>0</x:v>
      </x:c>
      <x:c r="GA54">
        <x:f t="shared" si="56"/>
        <x:v>0</x:v>
      </x:c>
      <x:c r="GB54">
        <x:f t="shared" si="57"/>
        <x:v>0</x:v>
      </x:c>
      <x:c r="GC54">
        <x:f t="shared" si="58"/>
        <x:v>0</x:v>
      </x:c>
      <x:c r="GD54">
        <x:f t="shared" si="59"/>
        <x:v>0</x:v>
      </x:c>
      <x:c r="GE54">
        <x:f t="shared" si="60"/>
        <x:v>0</x:v>
      </x:c>
      <x:c r="GF54">
        <x:f t="shared" si="61"/>
        <x:v>0</x:v>
      </x:c>
      <x:c r="GG54">
        <x:f t="shared" si="62"/>
        <x:v>0</x:v>
      </x:c>
      <x:c r="GH54">
        <x:f t="shared" si="63"/>
        <x:v>0</x:v>
      </x:c>
      <x:c r="GI54">
        <x:f t="shared" si="64"/>
        <x:v>0</x:v>
      </x:c>
      <x:c r="GJ54">
        <x:f t="shared" si="65"/>
        <x:v>0</x:v>
      </x:c>
      <x:c r="GK54">
        <x:f t="shared" si="66"/>
        <x:v>0</x:v>
      </x:c>
      <x:c r="GL54">
        <x:f t="shared" si="67"/>
        <x:v>0</x:v>
      </x:c>
      <x:c r="GM54">
        <x:f t="shared" si="68"/>
        <x:v>0</x:v>
      </x:c>
      <x:c r="GN54">
        <x:f t="shared" si="69"/>
        <x:v>0</x:v>
      </x:c>
      <x:c r="GO54">
        <x:f t="shared" si="70"/>
        <x:v>0</x:v>
      </x:c>
      <x:c r="GP54">
        <x:f t="shared" si="71"/>
        <x:v>0</x:v>
      </x:c>
      <x:c r="GQ54">
        <x:f t="shared" si="72"/>
        <x:v>0</x:v>
      </x:c>
      <x:c r="GR54" s="42">
        <x:f t="shared" si="73"/>
        <x:v>0</x:v>
      </x:c>
      <x:c r="GS54">
        <x:f t="shared" si="74"/>
        <x:v>0</x:v>
      </x:c>
      <x:c r="GT54">
        <x:f t="shared" si="75"/>
        <x:v>0</x:v>
      </x:c>
      <x:c r="GU54">
        <x:f t="shared" si="76"/>
        <x:v>0</x:v>
      </x:c>
      <x:c r="GV54">
        <x:f t="shared" si="77"/>
        <x:v>0</x:v>
      </x:c>
      <x:c r="GW54">
        <x:f t="shared" si="78"/>
        <x:v>0</x:v>
      </x:c>
      <x:c r="GX54">
        <x:f t="shared" si="79"/>
        <x:v>0</x:v>
      </x:c>
      <x:c r="GY54">
        <x:f t="shared" si="80"/>
        <x:v>0</x:v>
      </x:c>
      <x:c r="GZ54">
        <x:f t="shared" si="81"/>
        <x:v>0</x:v>
      </x:c>
      <x:c r="HA54">
        <x:f t="shared" si="82"/>
        <x:v>0</x:v>
      </x:c>
      <x:c r="HB54" s="42">
        <x:f t="shared" si="83"/>
        <x:v>0</x:v>
      </x:c>
      <x:c r="HC54">
        <x:f t="shared" si="84"/>
        <x:v>0</x:v>
      </x:c>
      <x:c r="HD54">
        <x:f t="shared" si="85"/>
        <x:v>0</x:v>
      </x:c>
      <x:c r="HE54">
        <x:f t="shared" si="86"/>
        <x:v>0</x:v>
      </x:c>
      <x:c r="HF54">
        <x:f t="shared" si="87"/>
        <x:v>0</x:v>
      </x:c>
      <x:c r="HG54">
        <x:f t="shared" si="88"/>
        <x:v>0</x:v>
      </x:c>
      <x:c r="HH54">
        <x:f t="shared" si="89"/>
        <x:v>0</x:v>
      </x:c>
      <x:c r="HI54">
        <x:f t="shared" si="90"/>
        <x:v>0</x:v>
      </x:c>
      <x:c r="HJ54">
        <x:f t="shared" si="91"/>
        <x:v>0</x:v>
      </x:c>
      <x:c r="HK54">
        <x:f t="shared" si="92"/>
        <x:v>0</x:v>
      </x:c>
      <x:c r="HL54">
        <x:f t="shared" si="93"/>
        <x:v>0</x:v>
      </x:c>
    </x:row>
    <x:row r="55">
      <x:c r="D55" s="74"/>
      <x:c r="EQ55">
        <x:f t="shared" si="20"/>
        <x:v>0</x:v>
      </x:c>
      <x:c r="ER55">
        <x:f t="shared" si="21"/>
        <x:v>0</x:v>
      </x:c>
      <x:c r="ES55">
        <x:f t="shared" si="22"/>
        <x:v>0</x:v>
      </x:c>
      <x:c r="ET55">
        <x:f t="shared" si="23"/>
        <x:v>0</x:v>
      </x:c>
      <x:c r="EU55">
        <x:f t="shared" si="24"/>
        <x:v>0</x:v>
      </x:c>
      <x:c r="EV55">
        <x:f t="shared" si="25"/>
        <x:v>0</x:v>
      </x:c>
      <x:c r="EW55">
        <x:f t="shared" si="26"/>
        <x:v>0</x:v>
      </x:c>
      <x:c r="EX55">
        <x:f t="shared" si="27"/>
        <x:v>0</x:v>
      </x:c>
      <x:c r="EY55">
        <x:f t="shared" si="28"/>
        <x:v>0</x:v>
      </x:c>
      <x:c r="EZ55">
        <x:f t="shared" si="29"/>
        <x:v>0</x:v>
      </x:c>
      <x:c r="FA55" s="41">
        <x:f t="shared" si="30"/>
        <x:v>0</x:v>
      </x:c>
      <x:c r="FB55">
        <x:f t="shared" si="31"/>
        <x:v>0</x:v>
      </x:c>
      <x:c r="FC55">
        <x:f t="shared" si="32"/>
        <x:v>0</x:v>
      </x:c>
      <x:c r="FD55">
        <x:f t="shared" si="33"/>
        <x:v>0</x:v>
      </x:c>
      <x:c r="FE55">
        <x:f t="shared" si="34"/>
        <x:v>0</x:v>
      </x:c>
      <x:c r="FF55">
        <x:f t="shared" si="35"/>
        <x:v>0</x:v>
      </x:c>
      <x:c r="FG55">
        <x:f t="shared" si="36"/>
        <x:v>0</x:v>
      </x:c>
      <x:c r="FH55">
        <x:f t="shared" si="37"/>
        <x:v>0</x:v>
      </x:c>
      <x:c r="FI55">
        <x:f t="shared" si="38"/>
        <x:v>0</x:v>
      </x:c>
      <x:c r="FJ55">
        <x:f t="shared" si="39"/>
        <x:v>0</x:v>
      </x:c>
      <x:c r="FK55">
        <x:f t="shared" si="40"/>
        <x:v>0</x:v>
      </x:c>
      <x:c r="FL55" s="41">
        <x:f t="shared" si="41"/>
        <x:v>0</x:v>
      </x:c>
      <x:c r="FM55">
        <x:f t="shared" si="42"/>
        <x:v>0</x:v>
      </x:c>
      <x:c r="FN55">
        <x:f t="shared" si="43"/>
        <x:v>0</x:v>
      </x:c>
      <x:c r="FO55">
        <x:f t="shared" si="44"/>
        <x:v>0</x:v>
      </x:c>
      <x:c r="FP55">
        <x:f t="shared" si="45"/>
        <x:v>0</x:v>
      </x:c>
      <x:c r="FQ55">
        <x:f t="shared" si="46"/>
        <x:v>0</x:v>
      </x:c>
      <x:c r="FR55">
        <x:f t="shared" si="47"/>
        <x:v>0</x:v>
      </x:c>
      <x:c r="FS55">
        <x:f t="shared" si="48"/>
        <x:v>0</x:v>
      </x:c>
      <x:c r="FT55">
        <x:f t="shared" si="49"/>
        <x:v>0</x:v>
      </x:c>
      <x:c r="FU55">
        <x:f t="shared" si="50"/>
        <x:v>0</x:v>
      </x:c>
      <x:c r="FV55">
        <x:f t="shared" si="51"/>
        <x:v>0</x:v>
      </x:c>
      <x:c r="FW55" s="41">
        <x:f t="shared" si="52"/>
        <x:v>0</x:v>
      </x:c>
      <x:c r="FX55">
        <x:f t="shared" si="53"/>
        <x:v>0</x:v>
      </x:c>
      <x:c r="FY55">
        <x:f t="shared" si="54"/>
        <x:v>0</x:v>
      </x:c>
      <x:c r="FZ55">
        <x:f t="shared" si="55"/>
        <x:v>0</x:v>
      </x:c>
      <x:c r="GA55">
        <x:f t="shared" si="56"/>
        <x:v>0</x:v>
      </x:c>
      <x:c r="GB55">
        <x:f t="shared" si="57"/>
        <x:v>0</x:v>
      </x:c>
      <x:c r="GC55">
        <x:f t="shared" si="58"/>
        <x:v>0</x:v>
      </x:c>
      <x:c r="GD55">
        <x:f t="shared" si="59"/>
        <x:v>0</x:v>
      </x:c>
      <x:c r="GE55">
        <x:f t="shared" si="60"/>
        <x:v>0</x:v>
      </x:c>
      <x:c r="GF55">
        <x:f t="shared" si="61"/>
        <x:v>0</x:v>
      </x:c>
      <x:c r="GG55">
        <x:f t="shared" si="62"/>
        <x:v>0</x:v>
      </x:c>
      <x:c r="GH55">
        <x:f t="shared" si="63"/>
        <x:v>0</x:v>
      </x:c>
      <x:c r="GI55">
        <x:f t="shared" si="64"/>
        <x:v>0</x:v>
      </x:c>
      <x:c r="GJ55">
        <x:f t="shared" si="65"/>
        <x:v>0</x:v>
      </x:c>
      <x:c r="GK55">
        <x:f t="shared" si="66"/>
        <x:v>0</x:v>
      </x:c>
      <x:c r="GL55">
        <x:f t="shared" si="67"/>
        <x:v>0</x:v>
      </x:c>
      <x:c r="GM55">
        <x:f t="shared" si="68"/>
        <x:v>0</x:v>
      </x:c>
      <x:c r="GN55">
        <x:f t="shared" si="69"/>
        <x:v>0</x:v>
      </x:c>
      <x:c r="GO55">
        <x:f t="shared" si="70"/>
        <x:v>0</x:v>
      </x:c>
      <x:c r="GP55">
        <x:f t="shared" si="71"/>
        <x:v>0</x:v>
      </x:c>
      <x:c r="GQ55">
        <x:f t="shared" si="72"/>
        <x:v>0</x:v>
      </x:c>
      <x:c r="GR55" s="42">
        <x:f t="shared" si="73"/>
        <x:v>0</x:v>
      </x:c>
      <x:c r="GS55">
        <x:f t="shared" si="74"/>
        <x:v>0</x:v>
      </x:c>
      <x:c r="GT55">
        <x:f t="shared" si="75"/>
        <x:v>0</x:v>
      </x:c>
      <x:c r="GU55">
        <x:f t="shared" si="76"/>
        <x:v>0</x:v>
      </x:c>
      <x:c r="GV55">
        <x:f t="shared" si="77"/>
        <x:v>0</x:v>
      </x:c>
      <x:c r="GW55">
        <x:f t="shared" si="78"/>
        <x:v>0</x:v>
      </x:c>
      <x:c r="GX55">
        <x:f t="shared" si="79"/>
        <x:v>0</x:v>
      </x:c>
      <x:c r="GY55">
        <x:f t="shared" si="80"/>
        <x:v>0</x:v>
      </x:c>
      <x:c r="GZ55">
        <x:f t="shared" si="81"/>
        <x:v>0</x:v>
      </x:c>
      <x:c r="HA55">
        <x:f t="shared" si="82"/>
        <x:v>0</x:v>
      </x:c>
      <x:c r="HB55" s="42">
        <x:f t="shared" si="83"/>
        <x:v>0</x:v>
      </x:c>
      <x:c r="HC55">
        <x:f t="shared" si="84"/>
        <x:v>0</x:v>
      </x:c>
      <x:c r="HD55">
        <x:f t="shared" si="85"/>
        <x:v>0</x:v>
      </x:c>
      <x:c r="HE55">
        <x:f t="shared" si="86"/>
        <x:v>0</x:v>
      </x:c>
      <x:c r="HF55">
        <x:f t="shared" si="87"/>
        <x:v>0</x:v>
      </x:c>
      <x:c r="HG55">
        <x:f t="shared" si="88"/>
        <x:v>0</x:v>
      </x:c>
      <x:c r="HH55">
        <x:f t="shared" si="89"/>
        <x:v>0</x:v>
      </x:c>
      <x:c r="HI55">
        <x:f t="shared" si="90"/>
        <x:v>0</x:v>
      </x:c>
      <x:c r="HJ55">
        <x:f t="shared" si="91"/>
        <x:v>0</x:v>
      </x:c>
      <x:c r="HK55">
        <x:f t="shared" si="92"/>
        <x:v>0</x:v>
      </x:c>
      <x:c r="HL55">
        <x:f t="shared" si="93"/>
        <x:v>0</x:v>
      </x:c>
    </x:row>
    <x:row r="56">
      <x:c r="D56" s="74"/>
      <x:c r="EQ56">
        <x:f t="shared" si="20"/>
        <x:v>0</x:v>
      </x:c>
      <x:c r="ER56">
        <x:f t="shared" si="21"/>
        <x:v>0</x:v>
      </x:c>
      <x:c r="ES56">
        <x:f t="shared" si="22"/>
        <x:v>0</x:v>
      </x:c>
      <x:c r="ET56">
        <x:f t="shared" si="23"/>
        <x:v>0</x:v>
      </x:c>
      <x:c r="EU56">
        <x:f t="shared" si="24"/>
        <x:v>0</x:v>
      </x:c>
      <x:c r="EV56">
        <x:f t="shared" si="25"/>
        <x:v>0</x:v>
      </x:c>
      <x:c r="EW56">
        <x:f t="shared" si="26"/>
        <x:v>0</x:v>
      </x:c>
      <x:c r="EX56">
        <x:f t="shared" si="27"/>
        <x:v>0</x:v>
      </x:c>
      <x:c r="EY56">
        <x:f t="shared" si="28"/>
        <x:v>0</x:v>
      </x:c>
      <x:c r="EZ56">
        <x:f t="shared" si="29"/>
        <x:v>0</x:v>
      </x:c>
      <x:c r="FA56" s="41">
        <x:f t="shared" si="30"/>
        <x:v>0</x:v>
      </x:c>
      <x:c r="FB56">
        <x:f t="shared" si="31"/>
        <x:v>0</x:v>
      </x:c>
      <x:c r="FC56">
        <x:f t="shared" si="32"/>
        <x:v>0</x:v>
      </x:c>
      <x:c r="FD56">
        <x:f t="shared" si="33"/>
        <x:v>0</x:v>
      </x:c>
      <x:c r="FE56">
        <x:f t="shared" si="34"/>
        <x:v>0</x:v>
      </x:c>
      <x:c r="FF56">
        <x:f t="shared" si="35"/>
        <x:v>0</x:v>
      </x:c>
      <x:c r="FG56">
        <x:f t="shared" si="36"/>
        <x:v>0</x:v>
      </x:c>
      <x:c r="FH56">
        <x:f t="shared" si="37"/>
        <x:v>0</x:v>
      </x:c>
      <x:c r="FI56">
        <x:f t="shared" si="38"/>
        <x:v>0</x:v>
      </x:c>
      <x:c r="FJ56">
        <x:f t="shared" si="39"/>
        <x:v>0</x:v>
      </x:c>
      <x:c r="FK56">
        <x:f t="shared" si="40"/>
        <x:v>0</x:v>
      </x:c>
      <x:c r="FL56" s="41">
        <x:f t="shared" si="41"/>
        <x:v>0</x:v>
      </x:c>
      <x:c r="FM56">
        <x:f t="shared" si="42"/>
        <x:v>0</x:v>
      </x:c>
      <x:c r="FN56">
        <x:f t="shared" si="43"/>
        <x:v>0</x:v>
      </x:c>
      <x:c r="FO56">
        <x:f t="shared" si="44"/>
        <x:v>0</x:v>
      </x:c>
      <x:c r="FP56">
        <x:f t="shared" si="45"/>
        <x:v>0</x:v>
      </x:c>
      <x:c r="FQ56">
        <x:f t="shared" si="46"/>
        <x:v>0</x:v>
      </x:c>
      <x:c r="FR56">
        <x:f t="shared" si="47"/>
        <x:v>0</x:v>
      </x:c>
      <x:c r="FS56">
        <x:f t="shared" si="48"/>
        <x:v>0</x:v>
      </x:c>
      <x:c r="FT56">
        <x:f t="shared" si="49"/>
        <x:v>0</x:v>
      </x:c>
      <x:c r="FU56">
        <x:f t="shared" si="50"/>
        <x:v>0</x:v>
      </x:c>
      <x:c r="FV56">
        <x:f t="shared" si="51"/>
        <x:v>0</x:v>
      </x:c>
      <x:c r="FW56" s="41">
        <x:f t="shared" si="52"/>
        <x:v>0</x:v>
      </x:c>
      <x:c r="FX56">
        <x:f t="shared" si="53"/>
        <x:v>0</x:v>
      </x:c>
      <x:c r="FY56">
        <x:f t="shared" si="54"/>
        <x:v>0</x:v>
      </x:c>
      <x:c r="FZ56">
        <x:f t="shared" si="55"/>
        <x:v>0</x:v>
      </x:c>
      <x:c r="GA56">
        <x:f t="shared" si="56"/>
        <x:v>0</x:v>
      </x:c>
      <x:c r="GB56">
        <x:f t="shared" si="57"/>
        <x:v>0</x:v>
      </x:c>
      <x:c r="GC56">
        <x:f t="shared" si="58"/>
        <x:v>0</x:v>
      </x:c>
      <x:c r="GD56">
        <x:f t="shared" si="59"/>
        <x:v>0</x:v>
      </x:c>
      <x:c r="GE56">
        <x:f t="shared" si="60"/>
        <x:v>0</x:v>
      </x:c>
      <x:c r="GF56">
        <x:f t="shared" si="61"/>
        <x:v>0</x:v>
      </x:c>
      <x:c r="GG56">
        <x:f t="shared" si="62"/>
        <x:v>0</x:v>
      </x:c>
      <x:c r="GH56">
        <x:f t="shared" si="63"/>
        <x:v>0</x:v>
      </x:c>
      <x:c r="GI56">
        <x:f t="shared" si="64"/>
        <x:v>0</x:v>
      </x:c>
      <x:c r="GJ56">
        <x:f t="shared" si="65"/>
        <x:v>0</x:v>
      </x:c>
      <x:c r="GK56">
        <x:f t="shared" si="66"/>
        <x:v>0</x:v>
      </x:c>
      <x:c r="GL56">
        <x:f t="shared" si="67"/>
        <x:v>0</x:v>
      </x:c>
      <x:c r="GM56">
        <x:f t="shared" si="68"/>
        <x:v>0</x:v>
      </x:c>
      <x:c r="GN56">
        <x:f t="shared" si="69"/>
        <x:v>0</x:v>
      </x:c>
      <x:c r="GO56">
        <x:f t="shared" si="70"/>
        <x:v>0</x:v>
      </x:c>
      <x:c r="GP56">
        <x:f t="shared" si="71"/>
        <x:v>0</x:v>
      </x:c>
      <x:c r="GQ56">
        <x:f t="shared" si="72"/>
        <x:v>0</x:v>
      </x:c>
      <x:c r="GR56" s="42">
        <x:f t="shared" si="73"/>
        <x:v>0</x:v>
      </x:c>
      <x:c r="GS56">
        <x:f t="shared" si="74"/>
        <x:v>0</x:v>
      </x:c>
      <x:c r="GT56">
        <x:f t="shared" si="75"/>
        <x:v>0</x:v>
      </x:c>
      <x:c r="GU56">
        <x:f t="shared" si="76"/>
        <x:v>0</x:v>
      </x:c>
      <x:c r="GV56">
        <x:f t="shared" si="77"/>
        <x:v>0</x:v>
      </x:c>
      <x:c r="GW56">
        <x:f t="shared" si="78"/>
        <x:v>0</x:v>
      </x:c>
      <x:c r="GX56">
        <x:f t="shared" si="79"/>
        <x:v>0</x:v>
      </x:c>
      <x:c r="GY56">
        <x:f t="shared" si="80"/>
        <x:v>0</x:v>
      </x:c>
      <x:c r="GZ56">
        <x:f t="shared" si="81"/>
        <x:v>0</x:v>
      </x:c>
      <x:c r="HA56">
        <x:f t="shared" si="82"/>
        <x:v>0</x:v>
      </x:c>
      <x:c r="HB56" s="42">
        <x:f t="shared" si="83"/>
        <x:v>0</x:v>
      </x:c>
      <x:c r="HC56">
        <x:f t="shared" si="84"/>
        <x:v>0</x:v>
      </x:c>
      <x:c r="HD56">
        <x:f t="shared" si="85"/>
        <x:v>0</x:v>
      </x:c>
      <x:c r="HE56">
        <x:f t="shared" si="86"/>
        <x:v>0</x:v>
      </x:c>
      <x:c r="HF56">
        <x:f t="shared" si="87"/>
        <x:v>0</x:v>
      </x:c>
      <x:c r="HG56">
        <x:f t="shared" si="88"/>
        <x:v>0</x:v>
      </x:c>
      <x:c r="HH56">
        <x:f t="shared" si="89"/>
        <x:v>0</x:v>
      </x:c>
      <x:c r="HI56">
        <x:f t="shared" si="90"/>
        <x:v>0</x:v>
      </x:c>
      <x:c r="HJ56">
        <x:f t="shared" si="91"/>
        <x:v>0</x:v>
      </x:c>
      <x:c r="HK56">
        <x:f t="shared" si="92"/>
        <x:v>0</x:v>
      </x:c>
      <x:c r="HL56">
        <x:f t="shared" si="93"/>
        <x:v>0</x:v>
      </x:c>
    </x:row>
    <x:row r="57">
      <x:c r="D57" s="74"/>
      <x:c r="EQ57">
        <x:f t="shared" si="20"/>
        <x:v>0</x:v>
      </x:c>
      <x:c r="ER57">
        <x:f t="shared" si="21"/>
        <x:v>0</x:v>
      </x:c>
      <x:c r="ES57">
        <x:f t="shared" si="22"/>
        <x:v>0</x:v>
      </x:c>
      <x:c r="ET57">
        <x:f t="shared" si="23"/>
        <x:v>0</x:v>
      </x:c>
      <x:c r="EU57">
        <x:f t="shared" si="24"/>
        <x:v>0</x:v>
      </x:c>
      <x:c r="EV57">
        <x:f t="shared" si="25"/>
        <x:v>0</x:v>
      </x:c>
      <x:c r="EW57">
        <x:f t="shared" si="26"/>
        <x:v>0</x:v>
      </x:c>
      <x:c r="EX57">
        <x:f t="shared" si="27"/>
        <x:v>0</x:v>
      </x:c>
      <x:c r="EY57">
        <x:f t="shared" si="28"/>
        <x:v>0</x:v>
      </x:c>
      <x:c r="EZ57">
        <x:f t="shared" si="29"/>
        <x:v>0</x:v>
      </x:c>
      <x:c r="FA57" s="41">
        <x:f t="shared" si="30"/>
        <x:v>0</x:v>
      </x:c>
      <x:c r="FB57">
        <x:f t="shared" si="31"/>
        <x:v>0</x:v>
      </x:c>
      <x:c r="FC57">
        <x:f t="shared" si="32"/>
        <x:v>0</x:v>
      </x:c>
      <x:c r="FD57">
        <x:f t="shared" si="33"/>
        <x:v>0</x:v>
      </x:c>
      <x:c r="FE57">
        <x:f t="shared" si="34"/>
        <x:v>0</x:v>
      </x:c>
      <x:c r="FF57">
        <x:f t="shared" si="35"/>
        <x:v>0</x:v>
      </x:c>
      <x:c r="FG57">
        <x:f t="shared" si="36"/>
        <x:v>0</x:v>
      </x:c>
      <x:c r="FH57">
        <x:f t="shared" si="37"/>
        <x:v>0</x:v>
      </x:c>
      <x:c r="FI57">
        <x:f t="shared" si="38"/>
        <x:v>0</x:v>
      </x:c>
      <x:c r="FJ57">
        <x:f t="shared" si="39"/>
        <x:v>0</x:v>
      </x:c>
      <x:c r="FK57">
        <x:f t="shared" si="40"/>
        <x:v>0</x:v>
      </x:c>
      <x:c r="FL57" s="41">
        <x:f t="shared" si="41"/>
        <x:v>0</x:v>
      </x:c>
      <x:c r="FM57">
        <x:f t="shared" si="42"/>
        <x:v>0</x:v>
      </x:c>
      <x:c r="FN57">
        <x:f t="shared" si="43"/>
        <x:v>0</x:v>
      </x:c>
      <x:c r="FO57">
        <x:f t="shared" si="44"/>
        <x:v>0</x:v>
      </x:c>
      <x:c r="FP57">
        <x:f t="shared" si="45"/>
        <x:v>0</x:v>
      </x:c>
      <x:c r="FQ57">
        <x:f t="shared" si="46"/>
        <x:v>0</x:v>
      </x:c>
      <x:c r="FR57">
        <x:f t="shared" si="47"/>
        <x:v>0</x:v>
      </x:c>
      <x:c r="FS57">
        <x:f t="shared" si="48"/>
        <x:v>0</x:v>
      </x:c>
      <x:c r="FT57">
        <x:f t="shared" si="49"/>
        <x:v>0</x:v>
      </x:c>
      <x:c r="FU57">
        <x:f t="shared" si="50"/>
        <x:v>0</x:v>
      </x:c>
      <x:c r="FV57">
        <x:f t="shared" si="51"/>
        <x:v>0</x:v>
      </x:c>
      <x:c r="FW57" s="41">
        <x:f t="shared" si="52"/>
        <x:v>0</x:v>
      </x:c>
      <x:c r="FX57">
        <x:f t="shared" si="53"/>
        <x:v>0</x:v>
      </x:c>
      <x:c r="FY57">
        <x:f t="shared" si="54"/>
        <x:v>0</x:v>
      </x:c>
      <x:c r="FZ57">
        <x:f t="shared" si="55"/>
        <x:v>0</x:v>
      </x:c>
      <x:c r="GA57">
        <x:f t="shared" si="56"/>
        <x:v>0</x:v>
      </x:c>
      <x:c r="GB57">
        <x:f t="shared" si="57"/>
        <x:v>0</x:v>
      </x:c>
      <x:c r="GC57">
        <x:f t="shared" si="58"/>
        <x:v>0</x:v>
      </x:c>
      <x:c r="GD57">
        <x:f t="shared" si="59"/>
        <x:v>0</x:v>
      </x:c>
      <x:c r="GE57">
        <x:f t="shared" si="60"/>
        <x:v>0</x:v>
      </x:c>
      <x:c r="GF57">
        <x:f t="shared" si="61"/>
        <x:v>0</x:v>
      </x:c>
      <x:c r="GG57">
        <x:f t="shared" si="62"/>
        <x:v>0</x:v>
      </x:c>
      <x:c r="GH57">
        <x:f t="shared" si="63"/>
        <x:v>0</x:v>
      </x:c>
      <x:c r="GI57">
        <x:f t="shared" si="64"/>
        <x:v>0</x:v>
      </x:c>
      <x:c r="GJ57">
        <x:f t="shared" si="65"/>
        <x:v>0</x:v>
      </x:c>
      <x:c r="GK57">
        <x:f t="shared" si="66"/>
        <x:v>0</x:v>
      </x:c>
      <x:c r="GL57">
        <x:f t="shared" si="67"/>
        <x:v>0</x:v>
      </x:c>
      <x:c r="GM57">
        <x:f t="shared" si="68"/>
        <x:v>0</x:v>
      </x:c>
      <x:c r="GN57">
        <x:f t="shared" si="69"/>
        <x:v>0</x:v>
      </x:c>
      <x:c r="GO57">
        <x:f t="shared" si="70"/>
        <x:v>0</x:v>
      </x:c>
      <x:c r="GP57">
        <x:f t="shared" si="71"/>
        <x:v>0</x:v>
      </x:c>
      <x:c r="GQ57">
        <x:f t="shared" si="72"/>
        <x:v>0</x:v>
      </x:c>
      <x:c r="GR57" s="42">
        <x:f t="shared" si="73"/>
        <x:v>0</x:v>
      </x:c>
      <x:c r="GS57">
        <x:f t="shared" si="74"/>
        <x:v>0</x:v>
      </x:c>
      <x:c r="GT57">
        <x:f t="shared" si="75"/>
        <x:v>0</x:v>
      </x:c>
      <x:c r="GU57">
        <x:f t="shared" si="76"/>
        <x:v>0</x:v>
      </x:c>
      <x:c r="GV57">
        <x:f t="shared" si="77"/>
        <x:v>0</x:v>
      </x:c>
      <x:c r="GW57">
        <x:f t="shared" si="78"/>
        <x:v>0</x:v>
      </x:c>
      <x:c r="GX57">
        <x:f t="shared" si="79"/>
        <x:v>0</x:v>
      </x:c>
      <x:c r="GY57">
        <x:f t="shared" si="80"/>
        <x:v>0</x:v>
      </x:c>
      <x:c r="GZ57">
        <x:f t="shared" si="81"/>
        <x:v>0</x:v>
      </x:c>
      <x:c r="HA57">
        <x:f t="shared" si="82"/>
        <x:v>0</x:v>
      </x:c>
      <x:c r="HB57" s="42">
        <x:f t="shared" si="83"/>
        <x:v>0</x:v>
      </x:c>
      <x:c r="HC57">
        <x:f t="shared" si="84"/>
        <x:v>0</x:v>
      </x:c>
      <x:c r="HD57">
        <x:f t="shared" si="85"/>
        <x:v>0</x:v>
      </x:c>
      <x:c r="HE57">
        <x:f t="shared" si="86"/>
        <x:v>0</x:v>
      </x:c>
      <x:c r="HF57">
        <x:f t="shared" si="87"/>
        <x:v>0</x:v>
      </x:c>
      <x:c r="HG57">
        <x:f t="shared" si="88"/>
        <x:v>0</x:v>
      </x:c>
      <x:c r="HH57">
        <x:f t="shared" si="89"/>
        <x:v>0</x:v>
      </x:c>
      <x:c r="HI57">
        <x:f t="shared" si="90"/>
        <x:v>0</x:v>
      </x:c>
      <x:c r="HJ57">
        <x:f t="shared" si="91"/>
        <x:v>0</x:v>
      </x:c>
      <x:c r="HK57">
        <x:f t="shared" si="92"/>
        <x:v>0</x:v>
      </x:c>
      <x:c r="HL57">
        <x:f t="shared" si="93"/>
        <x:v>0</x:v>
      </x:c>
    </x:row>
    <x:row r="58">
      <x:c r="D58" s="74"/>
      <x:c r="EQ58">
        <x:f t="shared" si="20"/>
        <x:v>0</x:v>
      </x:c>
      <x:c r="ER58">
        <x:f t="shared" si="21"/>
        <x:v>0</x:v>
      </x:c>
      <x:c r="ES58">
        <x:f t="shared" si="22"/>
        <x:v>0</x:v>
      </x:c>
      <x:c r="ET58">
        <x:f t="shared" si="23"/>
        <x:v>0</x:v>
      </x:c>
      <x:c r="EU58">
        <x:f t="shared" si="24"/>
        <x:v>0</x:v>
      </x:c>
      <x:c r="EV58">
        <x:f t="shared" si="25"/>
        <x:v>0</x:v>
      </x:c>
      <x:c r="EW58">
        <x:f t="shared" si="26"/>
        <x:v>0</x:v>
      </x:c>
      <x:c r="EX58">
        <x:f t="shared" si="27"/>
        <x:v>0</x:v>
      </x:c>
      <x:c r="EY58">
        <x:f t="shared" si="28"/>
        <x:v>0</x:v>
      </x:c>
      <x:c r="EZ58">
        <x:f t="shared" si="29"/>
        <x:v>0</x:v>
      </x:c>
      <x:c r="FA58" s="41">
        <x:f t="shared" si="30"/>
        <x:v>0</x:v>
      </x:c>
      <x:c r="FB58">
        <x:f t="shared" si="31"/>
        <x:v>0</x:v>
      </x:c>
      <x:c r="FC58">
        <x:f t="shared" si="32"/>
        <x:v>0</x:v>
      </x:c>
      <x:c r="FD58">
        <x:f t="shared" si="33"/>
        <x:v>0</x:v>
      </x:c>
      <x:c r="FE58">
        <x:f t="shared" si="34"/>
        <x:v>0</x:v>
      </x:c>
      <x:c r="FF58">
        <x:f t="shared" si="35"/>
        <x:v>0</x:v>
      </x:c>
      <x:c r="FG58">
        <x:f t="shared" si="36"/>
        <x:v>0</x:v>
      </x:c>
      <x:c r="FH58">
        <x:f t="shared" si="37"/>
        <x:v>0</x:v>
      </x:c>
      <x:c r="FI58">
        <x:f t="shared" si="38"/>
        <x:v>0</x:v>
      </x:c>
      <x:c r="FJ58">
        <x:f t="shared" si="39"/>
        <x:v>0</x:v>
      </x:c>
      <x:c r="FK58">
        <x:f t="shared" si="40"/>
        <x:v>0</x:v>
      </x:c>
      <x:c r="FL58" s="41">
        <x:f t="shared" si="41"/>
        <x:v>0</x:v>
      </x:c>
      <x:c r="FM58">
        <x:f t="shared" si="42"/>
        <x:v>0</x:v>
      </x:c>
      <x:c r="FN58">
        <x:f t="shared" si="43"/>
        <x:v>0</x:v>
      </x:c>
      <x:c r="FO58">
        <x:f t="shared" si="44"/>
        <x:v>0</x:v>
      </x:c>
      <x:c r="FP58">
        <x:f t="shared" si="45"/>
        <x:v>0</x:v>
      </x:c>
      <x:c r="FQ58">
        <x:f t="shared" si="46"/>
        <x:v>0</x:v>
      </x:c>
      <x:c r="FR58">
        <x:f t="shared" si="47"/>
        <x:v>0</x:v>
      </x:c>
      <x:c r="FS58">
        <x:f t="shared" si="48"/>
        <x:v>0</x:v>
      </x:c>
      <x:c r="FT58">
        <x:f t="shared" si="49"/>
        <x:v>0</x:v>
      </x:c>
      <x:c r="FU58">
        <x:f t="shared" si="50"/>
        <x:v>0</x:v>
      </x:c>
      <x:c r="FV58">
        <x:f t="shared" si="51"/>
        <x:v>0</x:v>
      </x:c>
      <x:c r="FW58" s="41">
        <x:f t="shared" si="52"/>
        <x:v>0</x:v>
      </x:c>
      <x:c r="FX58">
        <x:f t="shared" si="53"/>
        <x:v>0</x:v>
      </x:c>
      <x:c r="FY58">
        <x:f t="shared" si="54"/>
        <x:v>0</x:v>
      </x:c>
      <x:c r="FZ58">
        <x:f t="shared" si="55"/>
        <x:v>0</x:v>
      </x:c>
      <x:c r="GA58">
        <x:f t="shared" si="56"/>
        <x:v>0</x:v>
      </x:c>
      <x:c r="GB58">
        <x:f t="shared" si="57"/>
        <x:v>0</x:v>
      </x:c>
      <x:c r="GC58">
        <x:f t="shared" si="58"/>
        <x:v>0</x:v>
      </x:c>
      <x:c r="GD58">
        <x:f t="shared" si="59"/>
        <x:v>0</x:v>
      </x:c>
      <x:c r="GE58">
        <x:f t="shared" si="60"/>
        <x:v>0</x:v>
      </x:c>
      <x:c r="GF58">
        <x:f t="shared" si="61"/>
        <x:v>0</x:v>
      </x:c>
      <x:c r="GG58">
        <x:f t="shared" si="62"/>
        <x:v>0</x:v>
      </x:c>
      <x:c r="GH58">
        <x:f t="shared" si="63"/>
        <x:v>0</x:v>
      </x:c>
      <x:c r="GI58">
        <x:f t="shared" si="64"/>
        <x:v>0</x:v>
      </x:c>
      <x:c r="GJ58">
        <x:f t="shared" si="65"/>
        <x:v>0</x:v>
      </x:c>
      <x:c r="GK58">
        <x:f t="shared" si="66"/>
        <x:v>0</x:v>
      </x:c>
      <x:c r="GL58">
        <x:f t="shared" si="67"/>
        <x:v>0</x:v>
      </x:c>
      <x:c r="GM58">
        <x:f t="shared" si="68"/>
        <x:v>0</x:v>
      </x:c>
      <x:c r="GN58">
        <x:f t="shared" si="69"/>
        <x:v>0</x:v>
      </x:c>
      <x:c r="GO58">
        <x:f t="shared" si="70"/>
        <x:v>0</x:v>
      </x:c>
      <x:c r="GP58">
        <x:f t="shared" si="71"/>
        <x:v>0</x:v>
      </x:c>
      <x:c r="GQ58">
        <x:f t="shared" si="72"/>
        <x:v>0</x:v>
      </x:c>
      <x:c r="GR58" s="42">
        <x:f t="shared" si="73"/>
        <x:v>0</x:v>
      </x:c>
      <x:c r="GS58">
        <x:f t="shared" si="74"/>
        <x:v>0</x:v>
      </x:c>
      <x:c r="GT58">
        <x:f t="shared" si="75"/>
        <x:v>0</x:v>
      </x:c>
      <x:c r="GU58">
        <x:f t="shared" si="76"/>
        <x:v>0</x:v>
      </x:c>
      <x:c r="GV58">
        <x:f t="shared" si="77"/>
        <x:v>0</x:v>
      </x:c>
      <x:c r="GW58">
        <x:f t="shared" si="78"/>
        <x:v>0</x:v>
      </x:c>
      <x:c r="GX58">
        <x:f t="shared" si="79"/>
        <x:v>0</x:v>
      </x:c>
      <x:c r="GY58">
        <x:f t="shared" si="80"/>
        <x:v>0</x:v>
      </x:c>
      <x:c r="GZ58">
        <x:f t="shared" si="81"/>
        <x:v>0</x:v>
      </x:c>
      <x:c r="HA58">
        <x:f t="shared" si="82"/>
        <x:v>0</x:v>
      </x:c>
      <x:c r="HB58" s="42">
        <x:f t="shared" si="83"/>
        <x:v>0</x:v>
      </x:c>
      <x:c r="HC58">
        <x:f t="shared" si="84"/>
        <x:v>0</x:v>
      </x:c>
      <x:c r="HD58">
        <x:f t="shared" si="85"/>
        <x:v>0</x:v>
      </x:c>
      <x:c r="HE58">
        <x:f t="shared" si="86"/>
        <x:v>0</x:v>
      </x:c>
      <x:c r="HF58">
        <x:f t="shared" si="87"/>
        <x:v>0</x:v>
      </x:c>
      <x:c r="HG58">
        <x:f t="shared" si="88"/>
        <x:v>0</x:v>
      </x:c>
      <x:c r="HH58">
        <x:f t="shared" si="89"/>
        <x:v>0</x:v>
      </x:c>
      <x:c r="HI58">
        <x:f t="shared" si="90"/>
        <x:v>0</x:v>
      </x:c>
      <x:c r="HJ58">
        <x:f t="shared" si="91"/>
        <x:v>0</x:v>
      </x:c>
      <x:c r="HK58">
        <x:f t="shared" si="92"/>
        <x:v>0</x:v>
      </x:c>
      <x:c r="HL58">
        <x:f t="shared" si="93"/>
        <x:v>0</x:v>
      </x:c>
    </x:row>
    <x:row r="59">
      <x:c r="D59" s="74"/>
      <x:c r="EQ59">
        <x:f t="shared" si="20"/>
        <x:v>0</x:v>
      </x:c>
      <x:c r="ER59">
        <x:f t="shared" si="21"/>
        <x:v>0</x:v>
      </x:c>
      <x:c r="ES59">
        <x:f t="shared" si="22"/>
        <x:v>0</x:v>
      </x:c>
      <x:c r="ET59">
        <x:f t="shared" si="23"/>
        <x:v>0</x:v>
      </x:c>
      <x:c r="EU59">
        <x:f t="shared" si="24"/>
        <x:v>0</x:v>
      </x:c>
      <x:c r="EV59">
        <x:f t="shared" si="25"/>
        <x:v>0</x:v>
      </x:c>
      <x:c r="EW59">
        <x:f t="shared" si="26"/>
        <x:v>0</x:v>
      </x:c>
      <x:c r="EX59">
        <x:f t="shared" si="27"/>
        <x:v>0</x:v>
      </x:c>
      <x:c r="EY59">
        <x:f t="shared" si="28"/>
        <x:v>0</x:v>
      </x:c>
      <x:c r="EZ59">
        <x:f t="shared" si="29"/>
        <x:v>0</x:v>
      </x:c>
      <x:c r="FA59" s="41">
        <x:f t="shared" si="30"/>
        <x:v>0</x:v>
      </x:c>
      <x:c r="FB59">
        <x:f t="shared" si="31"/>
        <x:v>0</x:v>
      </x:c>
      <x:c r="FC59">
        <x:f t="shared" si="32"/>
        <x:v>0</x:v>
      </x:c>
      <x:c r="FD59">
        <x:f t="shared" si="33"/>
        <x:v>0</x:v>
      </x:c>
      <x:c r="FE59">
        <x:f t="shared" si="34"/>
        <x:v>0</x:v>
      </x:c>
      <x:c r="FF59">
        <x:f t="shared" si="35"/>
        <x:v>0</x:v>
      </x:c>
      <x:c r="FG59">
        <x:f t="shared" si="36"/>
        <x:v>0</x:v>
      </x:c>
      <x:c r="FH59">
        <x:f t="shared" si="37"/>
        <x:v>0</x:v>
      </x:c>
      <x:c r="FI59">
        <x:f t="shared" si="38"/>
        <x:v>0</x:v>
      </x:c>
      <x:c r="FJ59">
        <x:f t="shared" si="39"/>
        <x:v>0</x:v>
      </x:c>
      <x:c r="FK59">
        <x:f t="shared" si="40"/>
        <x:v>0</x:v>
      </x:c>
      <x:c r="FL59" s="41">
        <x:f t="shared" si="41"/>
        <x:v>0</x:v>
      </x:c>
      <x:c r="FM59">
        <x:f t="shared" si="42"/>
        <x:v>0</x:v>
      </x:c>
      <x:c r="FN59">
        <x:f t="shared" si="43"/>
        <x:v>0</x:v>
      </x:c>
      <x:c r="FO59">
        <x:f t="shared" si="44"/>
        <x:v>0</x:v>
      </x:c>
      <x:c r="FP59">
        <x:f t="shared" si="45"/>
        <x:v>0</x:v>
      </x:c>
      <x:c r="FQ59">
        <x:f t="shared" si="46"/>
        <x:v>0</x:v>
      </x:c>
      <x:c r="FR59">
        <x:f t="shared" si="47"/>
        <x:v>0</x:v>
      </x:c>
      <x:c r="FS59">
        <x:f t="shared" si="48"/>
        <x:v>0</x:v>
      </x:c>
      <x:c r="FT59">
        <x:f t="shared" si="49"/>
        <x:v>0</x:v>
      </x:c>
      <x:c r="FU59">
        <x:f t="shared" si="50"/>
        <x:v>0</x:v>
      </x:c>
      <x:c r="FV59">
        <x:f t="shared" si="51"/>
        <x:v>0</x:v>
      </x:c>
      <x:c r="FW59" s="41">
        <x:f t="shared" si="52"/>
        <x:v>0</x:v>
      </x:c>
      <x:c r="FX59">
        <x:f t="shared" si="53"/>
        <x:v>0</x:v>
      </x:c>
      <x:c r="FY59">
        <x:f t="shared" si="54"/>
        <x:v>0</x:v>
      </x:c>
      <x:c r="FZ59">
        <x:f t="shared" si="55"/>
        <x:v>0</x:v>
      </x:c>
      <x:c r="GA59">
        <x:f t="shared" si="56"/>
        <x:v>0</x:v>
      </x:c>
      <x:c r="GB59">
        <x:f t="shared" si="57"/>
        <x:v>0</x:v>
      </x:c>
      <x:c r="GC59">
        <x:f t="shared" si="58"/>
        <x:v>0</x:v>
      </x:c>
      <x:c r="GD59">
        <x:f t="shared" si="59"/>
        <x:v>0</x:v>
      </x:c>
      <x:c r="GE59">
        <x:f t="shared" si="60"/>
        <x:v>0</x:v>
      </x:c>
      <x:c r="GF59">
        <x:f t="shared" si="61"/>
        <x:v>0</x:v>
      </x:c>
      <x:c r="GG59">
        <x:f t="shared" si="62"/>
        <x:v>0</x:v>
      </x:c>
      <x:c r="GH59">
        <x:f t="shared" si="63"/>
        <x:v>0</x:v>
      </x:c>
      <x:c r="GI59">
        <x:f t="shared" si="64"/>
        <x:v>0</x:v>
      </x:c>
      <x:c r="GJ59">
        <x:f t="shared" si="65"/>
        <x:v>0</x:v>
      </x:c>
      <x:c r="GK59">
        <x:f t="shared" si="66"/>
        <x:v>0</x:v>
      </x:c>
      <x:c r="GL59">
        <x:f t="shared" si="67"/>
        <x:v>0</x:v>
      </x:c>
      <x:c r="GM59">
        <x:f t="shared" si="68"/>
        <x:v>0</x:v>
      </x:c>
      <x:c r="GN59">
        <x:f t="shared" si="69"/>
        <x:v>0</x:v>
      </x:c>
      <x:c r="GO59">
        <x:f t="shared" si="70"/>
        <x:v>0</x:v>
      </x:c>
      <x:c r="GP59">
        <x:f t="shared" si="71"/>
        <x:v>0</x:v>
      </x:c>
      <x:c r="GQ59">
        <x:f t="shared" si="72"/>
        <x:v>0</x:v>
      </x:c>
      <x:c r="GR59" s="42">
        <x:f t="shared" si="73"/>
        <x:v>0</x:v>
      </x:c>
      <x:c r="GS59">
        <x:f t="shared" si="74"/>
        <x:v>0</x:v>
      </x:c>
      <x:c r="GT59">
        <x:f t="shared" si="75"/>
        <x:v>0</x:v>
      </x:c>
      <x:c r="GU59">
        <x:f t="shared" si="76"/>
        <x:v>0</x:v>
      </x:c>
      <x:c r="GV59">
        <x:f t="shared" si="77"/>
        <x:v>0</x:v>
      </x:c>
      <x:c r="GW59">
        <x:f t="shared" si="78"/>
        <x:v>0</x:v>
      </x:c>
      <x:c r="GX59">
        <x:f t="shared" si="79"/>
        <x:v>0</x:v>
      </x:c>
      <x:c r="GY59">
        <x:f t="shared" si="80"/>
        <x:v>0</x:v>
      </x:c>
      <x:c r="GZ59">
        <x:f t="shared" si="81"/>
        <x:v>0</x:v>
      </x:c>
      <x:c r="HA59">
        <x:f t="shared" si="82"/>
        <x:v>0</x:v>
      </x:c>
      <x:c r="HB59" s="42">
        <x:f t="shared" si="83"/>
        <x:v>0</x:v>
      </x:c>
      <x:c r="HC59">
        <x:f t="shared" si="84"/>
        <x:v>0</x:v>
      </x:c>
      <x:c r="HD59">
        <x:f t="shared" si="85"/>
        <x:v>0</x:v>
      </x:c>
      <x:c r="HE59">
        <x:f t="shared" si="86"/>
        <x:v>0</x:v>
      </x:c>
      <x:c r="HF59">
        <x:f t="shared" si="87"/>
        <x:v>0</x:v>
      </x:c>
      <x:c r="HG59">
        <x:f t="shared" si="88"/>
        <x:v>0</x:v>
      </x:c>
      <x:c r="HH59">
        <x:f t="shared" si="89"/>
        <x:v>0</x:v>
      </x:c>
      <x:c r="HI59">
        <x:f t="shared" si="90"/>
        <x:v>0</x:v>
      </x:c>
      <x:c r="HJ59">
        <x:f t="shared" si="91"/>
        <x:v>0</x:v>
      </x:c>
      <x:c r="HK59">
        <x:f t="shared" si="92"/>
        <x:v>0</x:v>
      </x:c>
      <x:c r="HL59">
        <x:f t="shared" si="93"/>
        <x:v>0</x:v>
      </x:c>
    </x:row>
    <x:row r="60">
      <x:c r="D60" s="74"/>
      <x:c r="EQ60">
        <x:f t="shared" si="20"/>
        <x:v>0</x:v>
      </x:c>
      <x:c r="ER60">
        <x:f t="shared" si="21"/>
        <x:v>0</x:v>
      </x:c>
      <x:c r="ES60">
        <x:f t="shared" si="22"/>
        <x:v>0</x:v>
      </x:c>
      <x:c r="ET60">
        <x:f t="shared" si="23"/>
        <x:v>0</x:v>
      </x:c>
      <x:c r="EU60">
        <x:f t="shared" si="24"/>
        <x:v>0</x:v>
      </x:c>
      <x:c r="EV60">
        <x:f t="shared" si="25"/>
        <x:v>0</x:v>
      </x:c>
      <x:c r="EW60">
        <x:f t="shared" si="26"/>
        <x:v>0</x:v>
      </x:c>
      <x:c r="EX60">
        <x:f t="shared" si="27"/>
        <x:v>0</x:v>
      </x:c>
      <x:c r="EY60">
        <x:f t="shared" si="28"/>
        <x:v>0</x:v>
      </x:c>
      <x:c r="EZ60">
        <x:f t="shared" si="29"/>
        <x:v>0</x:v>
      </x:c>
      <x:c r="FA60" s="41">
        <x:f t="shared" si="30"/>
        <x:v>0</x:v>
      </x:c>
      <x:c r="FB60">
        <x:f t="shared" si="31"/>
        <x:v>0</x:v>
      </x:c>
      <x:c r="FC60">
        <x:f t="shared" si="32"/>
        <x:v>0</x:v>
      </x:c>
      <x:c r="FD60">
        <x:f t="shared" si="33"/>
        <x:v>0</x:v>
      </x:c>
      <x:c r="FE60">
        <x:f t="shared" si="34"/>
        <x:v>0</x:v>
      </x:c>
      <x:c r="FF60">
        <x:f t="shared" si="35"/>
        <x:v>0</x:v>
      </x:c>
      <x:c r="FG60">
        <x:f t="shared" si="36"/>
        <x:v>0</x:v>
      </x:c>
      <x:c r="FH60">
        <x:f t="shared" si="37"/>
        <x:v>0</x:v>
      </x:c>
      <x:c r="FI60">
        <x:f t="shared" si="38"/>
        <x:v>0</x:v>
      </x:c>
      <x:c r="FJ60">
        <x:f t="shared" si="39"/>
        <x:v>0</x:v>
      </x:c>
      <x:c r="FK60">
        <x:f t="shared" si="40"/>
        <x:v>0</x:v>
      </x:c>
      <x:c r="FL60" s="41">
        <x:f t="shared" si="41"/>
        <x:v>0</x:v>
      </x:c>
      <x:c r="FM60">
        <x:f t="shared" si="42"/>
        <x:v>0</x:v>
      </x:c>
      <x:c r="FN60">
        <x:f t="shared" si="43"/>
        <x:v>0</x:v>
      </x:c>
      <x:c r="FO60">
        <x:f t="shared" si="44"/>
        <x:v>0</x:v>
      </x:c>
      <x:c r="FP60">
        <x:f t="shared" si="45"/>
        <x:v>0</x:v>
      </x:c>
      <x:c r="FQ60">
        <x:f t="shared" si="46"/>
        <x:v>0</x:v>
      </x:c>
      <x:c r="FR60">
        <x:f t="shared" si="47"/>
        <x:v>0</x:v>
      </x:c>
      <x:c r="FS60">
        <x:f t="shared" si="48"/>
        <x:v>0</x:v>
      </x:c>
      <x:c r="FT60">
        <x:f t="shared" si="49"/>
        <x:v>0</x:v>
      </x:c>
      <x:c r="FU60">
        <x:f t="shared" si="50"/>
        <x:v>0</x:v>
      </x:c>
      <x:c r="FV60">
        <x:f t="shared" si="51"/>
        <x:v>0</x:v>
      </x:c>
      <x:c r="FW60" s="41">
        <x:f t="shared" si="52"/>
        <x:v>0</x:v>
      </x:c>
      <x:c r="FX60">
        <x:f t="shared" si="53"/>
        <x:v>0</x:v>
      </x:c>
      <x:c r="FY60">
        <x:f t="shared" si="54"/>
        <x:v>0</x:v>
      </x:c>
      <x:c r="FZ60">
        <x:f t="shared" si="55"/>
        <x:v>0</x:v>
      </x:c>
      <x:c r="GA60">
        <x:f t="shared" si="56"/>
        <x:v>0</x:v>
      </x:c>
      <x:c r="GB60">
        <x:f t="shared" si="57"/>
        <x:v>0</x:v>
      </x:c>
      <x:c r="GC60">
        <x:f t="shared" si="58"/>
        <x:v>0</x:v>
      </x:c>
      <x:c r="GD60">
        <x:f t="shared" si="59"/>
        <x:v>0</x:v>
      </x:c>
      <x:c r="GE60">
        <x:f t="shared" si="60"/>
        <x:v>0</x:v>
      </x:c>
      <x:c r="GF60">
        <x:f t="shared" si="61"/>
        <x:v>0</x:v>
      </x:c>
      <x:c r="GG60">
        <x:f t="shared" si="62"/>
        <x:v>0</x:v>
      </x:c>
      <x:c r="GH60">
        <x:f t="shared" si="63"/>
        <x:v>0</x:v>
      </x:c>
      <x:c r="GI60">
        <x:f t="shared" si="64"/>
        <x:v>0</x:v>
      </x:c>
      <x:c r="GJ60">
        <x:f t="shared" si="65"/>
        <x:v>0</x:v>
      </x:c>
      <x:c r="GK60">
        <x:f t="shared" si="66"/>
        <x:v>0</x:v>
      </x:c>
      <x:c r="GL60">
        <x:f t="shared" si="67"/>
        <x:v>0</x:v>
      </x:c>
      <x:c r="GM60">
        <x:f t="shared" si="68"/>
        <x:v>0</x:v>
      </x:c>
      <x:c r="GN60">
        <x:f t="shared" si="69"/>
        <x:v>0</x:v>
      </x:c>
      <x:c r="GO60">
        <x:f t="shared" si="70"/>
        <x:v>0</x:v>
      </x:c>
      <x:c r="GP60">
        <x:f t="shared" si="71"/>
        <x:v>0</x:v>
      </x:c>
      <x:c r="GQ60">
        <x:f t="shared" si="72"/>
        <x:v>0</x:v>
      </x:c>
      <x:c r="GR60" s="42">
        <x:f t="shared" si="73"/>
        <x:v>0</x:v>
      </x:c>
      <x:c r="GS60">
        <x:f t="shared" si="74"/>
        <x:v>0</x:v>
      </x:c>
      <x:c r="GT60">
        <x:f t="shared" si="75"/>
        <x:v>0</x:v>
      </x:c>
      <x:c r="GU60">
        <x:f t="shared" si="76"/>
        <x:v>0</x:v>
      </x:c>
      <x:c r="GV60">
        <x:f t="shared" si="77"/>
        <x:v>0</x:v>
      </x:c>
      <x:c r="GW60">
        <x:f t="shared" si="78"/>
        <x:v>0</x:v>
      </x:c>
      <x:c r="GX60">
        <x:f t="shared" si="79"/>
        <x:v>0</x:v>
      </x:c>
      <x:c r="GY60">
        <x:f t="shared" si="80"/>
        <x:v>0</x:v>
      </x:c>
      <x:c r="GZ60">
        <x:f t="shared" si="81"/>
        <x:v>0</x:v>
      </x:c>
      <x:c r="HA60">
        <x:f t="shared" si="82"/>
        <x:v>0</x:v>
      </x:c>
      <x:c r="HB60" s="42">
        <x:f t="shared" si="83"/>
        <x:v>0</x:v>
      </x:c>
      <x:c r="HC60">
        <x:f t="shared" si="84"/>
        <x:v>0</x:v>
      </x:c>
      <x:c r="HD60">
        <x:f t="shared" si="85"/>
        <x:v>0</x:v>
      </x:c>
      <x:c r="HE60">
        <x:f t="shared" si="86"/>
        <x:v>0</x:v>
      </x:c>
      <x:c r="HF60">
        <x:f t="shared" si="87"/>
        <x:v>0</x:v>
      </x:c>
      <x:c r="HG60">
        <x:f t="shared" si="88"/>
        <x:v>0</x:v>
      </x:c>
      <x:c r="HH60">
        <x:f t="shared" si="89"/>
        <x:v>0</x:v>
      </x:c>
      <x:c r="HI60">
        <x:f t="shared" si="90"/>
        <x:v>0</x:v>
      </x:c>
      <x:c r="HJ60">
        <x:f t="shared" si="91"/>
        <x:v>0</x:v>
      </x:c>
      <x:c r="HK60">
        <x:f t="shared" si="92"/>
        <x:v>0</x:v>
      </x:c>
      <x:c r="HL60">
        <x:f t="shared" si="93"/>
        <x:v>0</x:v>
      </x:c>
    </x:row>
    <x:row r="61">
      <x:c r="D61" s="74"/>
      <x:c r="EQ61">
        <x:f t="shared" si="20"/>
        <x:v>0</x:v>
      </x:c>
      <x:c r="ER61">
        <x:f t="shared" si="21"/>
        <x:v>0</x:v>
      </x:c>
      <x:c r="ES61">
        <x:f t="shared" si="22"/>
        <x:v>0</x:v>
      </x:c>
      <x:c r="ET61">
        <x:f t="shared" si="23"/>
        <x:v>0</x:v>
      </x:c>
      <x:c r="EU61">
        <x:f t="shared" si="24"/>
        <x:v>0</x:v>
      </x:c>
      <x:c r="EV61">
        <x:f t="shared" si="25"/>
        <x:v>0</x:v>
      </x:c>
      <x:c r="EW61">
        <x:f t="shared" si="26"/>
        <x:v>0</x:v>
      </x:c>
      <x:c r="EX61">
        <x:f t="shared" si="27"/>
        <x:v>0</x:v>
      </x:c>
      <x:c r="EY61">
        <x:f t="shared" si="28"/>
        <x:v>0</x:v>
      </x:c>
      <x:c r="EZ61">
        <x:f t="shared" si="29"/>
        <x:v>0</x:v>
      </x:c>
      <x:c r="FA61" s="41">
        <x:f t="shared" si="30"/>
        <x:v>0</x:v>
      </x:c>
      <x:c r="FB61">
        <x:f t="shared" si="31"/>
        <x:v>0</x:v>
      </x:c>
      <x:c r="FC61">
        <x:f t="shared" si="32"/>
        <x:v>0</x:v>
      </x:c>
      <x:c r="FD61">
        <x:f t="shared" si="33"/>
        <x:v>0</x:v>
      </x:c>
      <x:c r="FE61">
        <x:f t="shared" si="34"/>
        <x:v>0</x:v>
      </x:c>
      <x:c r="FF61">
        <x:f t="shared" si="35"/>
        <x:v>0</x:v>
      </x:c>
      <x:c r="FG61">
        <x:f t="shared" si="36"/>
        <x:v>0</x:v>
      </x:c>
      <x:c r="FH61">
        <x:f t="shared" si="37"/>
        <x:v>0</x:v>
      </x:c>
      <x:c r="FI61">
        <x:f t="shared" si="38"/>
        <x:v>0</x:v>
      </x:c>
      <x:c r="FJ61">
        <x:f t="shared" si="39"/>
        <x:v>0</x:v>
      </x:c>
      <x:c r="FK61">
        <x:f t="shared" si="40"/>
        <x:v>0</x:v>
      </x:c>
      <x:c r="FL61" s="41">
        <x:f t="shared" si="41"/>
        <x:v>0</x:v>
      </x:c>
      <x:c r="FM61">
        <x:f t="shared" si="42"/>
        <x:v>0</x:v>
      </x:c>
      <x:c r="FN61">
        <x:f t="shared" si="43"/>
        <x:v>0</x:v>
      </x:c>
      <x:c r="FO61">
        <x:f t="shared" si="44"/>
        <x:v>0</x:v>
      </x:c>
      <x:c r="FP61">
        <x:f t="shared" si="45"/>
        <x:v>0</x:v>
      </x:c>
      <x:c r="FQ61">
        <x:f t="shared" si="46"/>
        <x:v>0</x:v>
      </x:c>
      <x:c r="FR61">
        <x:f t="shared" si="47"/>
        <x:v>0</x:v>
      </x:c>
      <x:c r="FS61">
        <x:f t="shared" si="48"/>
        <x:v>0</x:v>
      </x:c>
      <x:c r="FT61">
        <x:f t="shared" si="49"/>
        <x:v>0</x:v>
      </x:c>
      <x:c r="FU61">
        <x:f t="shared" si="50"/>
        <x:v>0</x:v>
      </x:c>
      <x:c r="FV61">
        <x:f t="shared" si="51"/>
        <x:v>0</x:v>
      </x:c>
      <x:c r="FW61" s="41">
        <x:f t="shared" si="52"/>
        <x:v>0</x:v>
      </x:c>
      <x:c r="FX61">
        <x:f t="shared" si="53"/>
        <x:v>0</x:v>
      </x:c>
      <x:c r="FY61">
        <x:f t="shared" si="54"/>
        <x:v>0</x:v>
      </x:c>
      <x:c r="FZ61">
        <x:f t="shared" si="55"/>
        <x:v>0</x:v>
      </x:c>
      <x:c r="GA61">
        <x:f t="shared" si="56"/>
        <x:v>0</x:v>
      </x:c>
      <x:c r="GB61">
        <x:f t="shared" si="57"/>
        <x:v>0</x:v>
      </x:c>
      <x:c r="GC61">
        <x:f t="shared" si="58"/>
        <x:v>0</x:v>
      </x:c>
      <x:c r="GD61">
        <x:f t="shared" si="59"/>
        <x:v>0</x:v>
      </x:c>
      <x:c r="GE61">
        <x:f t="shared" si="60"/>
        <x:v>0</x:v>
      </x:c>
      <x:c r="GF61">
        <x:f t="shared" si="61"/>
        <x:v>0</x:v>
      </x:c>
      <x:c r="GG61">
        <x:f t="shared" si="62"/>
        <x:v>0</x:v>
      </x:c>
      <x:c r="GH61">
        <x:f t="shared" si="63"/>
        <x:v>0</x:v>
      </x:c>
      <x:c r="GI61">
        <x:f t="shared" si="64"/>
        <x:v>0</x:v>
      </x:c>
      <x:c r="GJ61">
        <x:f t="shared" si="65"/>
        <x:v>0</x:v>
      </x:c>
      <x:c r="GK61">
        <x:f t="shared" si="66"/>
        <x:v>0</x:v>
      </x:c>
      <x:c r="GL61">
        <x:f t="shared" si="67"/>
        <x:v>0</x:v>
      </x:c>
      <x:c r="GM61">
        <x:f t="shared" si="68"/>
        <x:v>0</x:v>
      </x:c>
      <x:c r="GN61">
        <x:f t="shared" si="69"/>
        <x:v>0</x:v>
      </x:c>
      <x:c r="GO61">
        <x:f t="shared" si="70"/>
        <x:v>0</x:v>
      </x:c>
      <x:c r="GP61">
        <x:f t="shared" si="71"/>
        <x:v>0</x:v>
      </x:c>
      <x:c r="GQ61">
        <x:f t="shared" si="72"/>
        <x:v>0</x:v>
      </x:c>
      <x:c r="GR61" s="42">
        <x:f t="shared" si="73"/>
        <x:v>0</x:v>
      </x:c>
      <x:c r="GS61">
        <x:f t="shared" si="74"/>
        <x:v>0</x:v>
      </x:c>
      <x:c r="GT61">
        <x:f t="shared" si="75"/>
        <x:v>0</x:v>
      </x:c>
      <x:c r="GU61">
        <x:f t="shared" si="76"/>
        <x:v>0</x:v>
      </x:c>
      <x:c r="GV61">
        <x:f t="shared" si="77"/>
        <x:v>0</x:v>
      </x:c>
      <x:c r="GW61">
        <x:f t="shared" si="78"/>
        <x:v>0</x:v>
      </x:c>
      <x:c r="GX61">
        <x:f t="shared" si="79"/>
        <x:v>0</x:v>
      </x:c>
      <x:c r="GY61">
        <x:f t="shared" si="80"/>
        <x:v>0</x:v>
      </x:c>
      <x:c r="GZ61">
        <x:f t="shared" si="81"/>
        <x:v>0</x:v>
      </x:c>
      <x:c r="HA61">
        <x:f t="shared" si="82"/>
        <x:v>0</x:v>
      </x:c>
      <x:c r="HB61" s="42">
        <x:f t="shared" si="83"/>
        <x:v>0</x:v>
      </x:c>
      <x:c r="HC61">
        <x:f t="shared" si="84"/>
        <x:v>0</x:v>
      </x:c>
      <x:c r="HD61">
        <x:f t="shared" si="85"/>
        <x:v>0</x:v>
      </x:c>
      <x:c r="HE61">
        <x:f t="shared" si="86"/>
        <x:v>0</x:v>
      </x:c>
      <x:c r="HF61">
        <x:f t="shared" si="87"/>
        <x:v>0</x:v>
      </x:c>
      <x:c r="HG61">
        <x:f t="shared" si="88"/>
        <x:v>0</x:v>
      </x:c>
      <x:c r="HH61">
        <x:f t="shared" si="89"/>
        <x:v>0</x:v>
      </x:c>
      <x:c r="HI61">
        <x:f t="shared" si="90"/>
        <x:v>0</x:v>
      </x:c>
      <x:c r="HJ61">
        <x:f t="shared" si="91"/>
        <x:v>0</x:v>
      </x:c>
      <x:c r="HK61">
        <x:f t="shared" si="92"/>
        <x:v>0</x:v>
      </x:c>
      <x:c r="HL61">
        <x:f t="shared" si="93"/>
        <x:v>0</x:v>
      </x:c>
    </x:row>
    <x:row r="62">
      <x:c r="D62" s="74"/>
      <x:c r="EQ62">
        <x:f t="shared" si="20"/>
        <x:v>0</x:v>
      </x:c>
      <x:c r="ER62">
        <x:f t="shared" si="21"/>
        <x:v>0</x:v>
      </x:c>
      <x:c r="ES62">
        <x:f t="shared" si="22"/>
        <x:v>0</x:v>
      </x:c>
      <x:c r="ET62">
        <x:f t="shared" si="23"/>
        <x:v>0</x:v>
      </x:c>
      <x:c r="EU62">
        <x:f t="shared" si="24"/>
        <x:v>0</x:v>
      </x:c>
      <x:c r="EV62">
        <x:f t="shared" si="25"/>
        <x:v>0</x:v>
      </x:c>
      <x:c r="EW62">
        <x:f t="shared" si="26"/>
        <x:v>0</x:v>
      </x:c>
      <x:c r="EX62">
        <x:f t="shared" si="27"/>
        <x:v>0</x:v>
      </x:c>
      <x:c r="EY62">
        <x:f t="shared" si="28"/>
        <x:v>0</x:v>
      </x:c>
      <x:c r="EZ62">
        <x:f t="shared" si="29"/>
        <x:v>0</x:v>
      </x:c>
      <x:c r="FA62" s="41">
        <x:f t="shared" si="30"/>
        <x:v>0</x:v>
      </x:c>
      <x:c r="FB62">
        <x:f t="shared" si="31"/>
        <x:v>0</x:v>
      </x:c>
      <x:c r="FC62">
        <x:f t="shared" si="32"/>
        <x:v>0</x:v>
      </x:c>
      <x:c r="FD62">
        <x:f t="shared" si="33"/>
        <x:v>0</x:v>
      </x:c>
      <x:c r="FE62">
        <x:f t="shared" si="34"/>
        <x:v>0</x:v>
      </x:c>
      <x:c r="FF62">
        <x:f t="shared" si="35"/>
        <x:v>0</x:v>
      </x:c>
      <x:c r="FG62">
        <x:f t="shared" si="36"/>
        <x:v>0</x:v>
      </x:c>
      <x:c r="FH62">
        <x:f t="shared" si="37"/>
        <x:v>0</x:v>
      </x:c>
      <x:c r="FI62">
        <x:f t="shared" si="38"/>
        <x:v>0</x:v>
      </x:c>
      <x:c r="FJ62">
        <x:f t="shared" si="39"/>
        <x:v>0</x:v>
      </x:c>
      <x:c r="FK62">
        <x:f t="shared" si="40"/>
        <x:v>0</x:v>
      </x:c>
      <x:c r="FL62" s="41">
        <x:f t="shared" si="41"/>
        <x:v>0</x:v>
      </x:c>
      <x:c r="FM62">
        <x:f t="shared" si="42"/>
        <x:v>0</x:v>
      </x:c>
      <x:c r="FN62">
        <x:f t="shared" si="43"/>
        <x:v>0</x:v>
      </x:c>
      <x:c r="FO62">
        <x:f t="shared" si="44"/>
        <x:v>0</x:v>
      </x:c>
      <x:c r="FP62">
        <x:f t="shared" si="45"/>
        <x:v>0</x:v>
      </x:c>
      <x:c r="FQ62">
        <x:f t="shared" si="46"/>
        <x:v>0</x:v>
      </x:c>
      <x:c r="FR62">
        <x:f t="shared" si="47"/>
        <x:v>0</x:v>
      </x:c>
      <x:c r="FS62">
        <x:f t="shared" si="48"/>
        <x:v>0</x:v>
      </x:c>
      <x:c r="FT62">
        <x:f t="shared" si="49"/>
        <x:v>0</x:v>
      </x:c>
      <x:c r="FU62">
        <x:f t="shared" si="50"/>
        <x:v>0</x:v>
      </x:c>
      <x:c r="FV62">
        <x:f t="shared" si="51"/>
        <x:v>0</x:v>
      </x:c>
      <x:c r="FW62" s="41">
        <x:f t="shared" si="52"/>
        <x:v>0</x:v>
      </x:c>
      <x:c r="FX62">
        <x:f t="shared" si="53"/>
        <x:v>0</x:v>
      </x:c>
      <x:c r="FY62">
        <x:f t="shared" si="54"/>
        <x:v>0</x:v>
      </x:c>
      <x:c r="FZ62">
        <x:f t="shared" si="55"/>
        <x:v>0</x:v>
      </x:c>
      <x:c r="GA62">
        <x:f t="shared" si="56"/>
        <x:v>0</x:v>
      </x:c>
      <x:c r="GB62">
        <x:f t="shared" si="57"/>
        <x:v>0</x:v>
      </x:c>
      <x:c r="GC62">
        <x:f t="shared" si="58"/>
        <x:v>0</x:v>
      </x:c>
      <x:c r="GD62">
        <x:f t="shared" si="59"/>
        <x:v>0</x:v>
      </x:c>
      <x:c r="GE62">
        <x:f t="shared" si="60"/>
        <x:v>0</x:v>
      </x:c>
      <x:c r="GF62">
        <x:f t="shared" si="61"/>
        <x:v>0</x:v>
      </x:c>
      <x:c r="GG62">
        <x:f t="shared" si="62"/>
        <x:v>0</x:v>
      </x:c>
      <x:c r="GH62">
        <x:f t="shared" si="63"/>
        <x:v>0</x:v>
      </x:c>
      <x:c r="GI62">
        <x:f t="shared" si="64"/>
        <x:v>0</x:v>
      </x:c>
      <x:c r="GJ62">
        <x:f t="shared" si="65"/>
        <x:v>0</x:v>
      </x:c>
      <x:c r="GK62">
        <x:f t="shared" si="66"/>
        <x:v>0</x:v>
      </x:c>
      <x:c r="GL62">
        <x:f t="shared" si="67"/>
        <x:v>0</x:v>
      </x:c>
      <x:c r="GM62">
        <x:f t="shared" si="68"/>
        <x:v>0</x:v>
      </x:c>
      <x:c r="GN62">
        <x:f t="shared" si="69"/>
        <x:v>0</x:v>
      </x:c>
      <x:c r="GO62">
        <x:f t="shared" si="70"/>
        <x:v>0</x:v>
      </x:c>
      <x:c r="GP62">
        <x:f t="shared" si="71"/>
        <x:v>0</x:v>
      </x:c>
      <x:c r="GQ62">
        <x:f t="shared" si="72"/>
        <x:v>0</x:v>
      </x:c>
      <x:c r="GR62" s="42">
        <x:f t="shared" si="73"/>
        <x:v>0</x:v>
      </x:c>
      <x:c r="GS62">
        <x:f t="shared" si="74"/>
        <x:v>0</x:v>
      </x:c>
      <x:c r="GT62">
        <x:f t="shared" si="75"/>
        <x:v>0</x:v>
      </x:c>
      <x:c r="GU62">
        <x:f t="shared" si="76"/>
        <x:v>0</x:v>
      </x:c>
      <x:c r="GV62">
        <x:f t="shared" si="77"/>
        <x:v>0</x:v>
      </x:c>
      <x:c r="GW62">
        <x:f t="shared" si="78"/>
        <x:v>0</x:v>
      </x:c>
      <x:c r="GX62">
        <x:f t="shared" si="79"/>
        <x:v>0</x:v>
      </x:c>
      <x:c r="GY62">
        <x:f t="shared" si="80"/>
        <x:v>0</x:v>
      </x:c>
      <x:c r="GZ62">
        <x:f t="shared" si="81"/>
        <x:v>0</x:v>
      </x:c>
      <x:c r="HA62">
        <x:f t="shared" si="82"/>
        <x:v>0</x:v>
      </x:c>
      <x:c r="HB62" s="42">
        <x:f t="shared" si="83"/>
        <x:v>0</x:v>
      </x:c>
      <x:c r="HC62">
        <x:f t="shared" si="84"/>
        <x:v>0</x:v>
      </x:c>
      <x:c r="HD62">
        <x:f t="shared" si="85"/>
        <x:v>0</x:v>
      </x:c>
      <x:c r="HE62">
        <x:f t="shared" si="86"/>
        <x:v>0</x:v>
      </x:c>
      <x:c r="HF62">
        <x:f t="shared" si="87"/>
        <x:v>0</x:v>
      </x:c>
      <x:c r="HG62">
        <x:f t="shared" si="88"/>
        <x:v>0</x:v>
      </x:c>
      <x:c r="HH62">
        <x:f t="shared" si="89"/>
        <x:v>0</x:v>
      </x:c>
      <x:c r="HI62">
        <x:f t="shared" si="90"/>
        <x:v>0</x:v>
      </x:c>
      <x:c r="HJ62">
        <x:f t="shared" si="91"/>
        <x:v>0</x:v>
      </x:c>
      <x:c r="HK62">
        <x:f t="shared" si="92"/>
        <x:v>0</x:v>
      </x:c>
      <x:c r="HL62">
        <x:f t="shared" si="93"/>
        <x:v>0</x:v>
      </x:c>
    </x:row>
    <x:row r="63">
      <x:c r="D63" s="74"/>
      <x:c r="EQ63">
        <x:f t="shared" si="20"/>
        <x:v>0</x:v>
      </x:c>
      <x:c r="ER63">
        <x:f t="shared" si="21"/>
        <x:v>0</x:v>
      </x:c>
      <x:c r="ES63">
        <x:f t="shared" si="22"/>
        <x:v>0</x:v>
      </x:c>
      <x:c r="ET63">
        <x:f t="shared" si="23"/>
        <x:v>0</x:v>
      </x:c>
      <x:c r="EU63">
        <x:f t="shared" si="24"/>
        <x:v>0</x:v>
      </x:c>
      <x:c r="EV63">
        <x:f t="shared" si="25"/>
        <x:v>0</x:v>
      </x:c>
      <x:c r="EW63">
        <x:f t="shared" si="26"/>
        <x:v>0</x:v>
      </x:c>
      <x:c r="EX63">
        <x:f t="shared" si="27"/>
        <x:v>0</x:v>
      </x:c>
      <x:c r="EY63">
        <x:f t="shared" si="28"/>
        <x:v>0</x:v>
      </x:c>
      <x:c r="EZ63">
        <x:f t="shared" si="29"/>
        <x:v>0</x:v>
      </x:c>
      <x:c r="FA63" s="41">
        <x:f t="shared" si="30"/>
        <x:v>0</x:v>
      </x:c>
      <x:c r="FB63">
        <x:f t="shared" si="31"/>
        <x:v>0</x:v>
      </x:c>
      <x:c r="FC63">
        <x:f t="shared" si="32"/>
        <x:v>0</x:v>
      </x:c>
      <x:c r="FD63">
        <x:f t="shared" si="33"/>
        <x:v>0</x:v>
      </x:c>
      <x:c r="FE63">
        <x:f t="shared" si="34"/>
        <x:v>0</x:v>
      </x:c>
      <x:c r="FF63">
        <x:f t="shared" si="35"/>
        <x:v>0</x:v>
      </x:c>
      <x:c r="FG63">
        <x:f t="shared" si="36"/>
        <x:v>0</x:v>
      </x:c>
      <x:c r="FH63">
        <x:f t="shared" si="37"/>
        <x:v>0</x:v>
      </x:c>
      <x:c r="FI63">
        <x:f t="shared" si="38"/>
        <x:v>0</x:v>
      </x:c>
      <x:c r="FJ63">
        <x:f t="shared" si="39"/>
        <x:v>0</x:v>
      </x:c>
      <x:c r="FK63">
        <x:f t="shared" si="40"/>
        <x:v>0</x:v>
      </x:c>
      <x:c r="FL63" s="41">
        <x:f t="shared" si="41"/>
        <x:v>0</x:v>
      </x:c>
      <x:c r="FM63">
        <x:f t="shared" si="42"/>
        <x:v>0</x:v>
      </x:c>
      <x:c r="FN63">
        <x:f t="shared" si="43"/>
        <x:v>0</x:v>
      </x:c>
      <x:c r="FO63">
        <x:f t="shared" si="44"/>
        <x:v>0</x:v>
      </x:c>
      <x:c r="FP63">
        <x:f t="shared" si="45"/>
        <x:v>0</x:v>
      </x:c>
      <x:c r="FQ63">
        <x:f t="shared" si="46"/>
        <x:v>0</x:v>
      </x:c>
      <x:c r="FR63">
        <x:f t="shared" si="47"/>
        <x:v>0</x:v>
      </x:c>
      <x:c r="FS63">
        <x:f t="shared" si="48"/>
        <x:v>0</x:v>
      </x:c>
      <x:c r="FT63">
        <x:f t="shared" si="49"/>
        <x:v>0</x:v>
      </x:c>
      <x:c r="FU63">
        <x:f t="shared" si="50"/>
        <x:v>0</x:v>
      </x:c>
      <x:c r="FV63">
        <x:f t="shared" si="51"/>
        <x:v>0</x:v>
      </x:c>
      <x:c r="FW63" s="41">
        <x:f t="shared" si="52"/>
        <x:v>0</x:v>
      </x:c>
      <x:c r="FX63">
        <x:f t="shared" si="53"/>
        <x:v>0</x:v>
      </x:c>
      <x:c r="FY63">
        <x:f t="shared" si="54"/>
        <x:v>0</x:v>
      </x:c>
      <x:c r="FZ63">
        <x:f t="shared" si="55"/>
        <x:v>0</x:v>
      </x:c>
      <x:c r="GA63">
        <x:f t="shared" si="56"/>
        <x:v>0</x:v>
      </x:c>
      <x:c r="GB63">
        <x:f t="shared" si="57"/>
        <x:v>0</x:v>
      </x:c>
      <x:c r="GC63">
        <x:f t="shared" si="58"/>
        <x:v>0</x:v>
      </x:c>
      <x:c r="GD63">
        <x:f t="shared" si="59"/>
        <x:v>0</x:v>
      </x:c>
      <x:c r="GE63">
        <x:f t="shared" si="60"/>
        <x:v>0</x:v>
      </x:c>
      <x:c r="GF63">
        <x:f t="shared" si="61"/>
        <x:v>0</x:v>
      </x:c>
      <x:c r="GG63">
        <x:f t="shared" si="62"/>
        <x:v>0</x:v>
      </x:c>
      <x:c r="GH63">
        <x:f t="shared" si="63"/>
        <x:v>0</x:v>
      </x:c>
      <x:c r="GI63">
        <x:f t="shared" si="64"/>
        <x:v>0</x:v>
      </x:c>
      <x:c r="GJ63">
        <x:f t="shared" si="65"/>
        <x:v>0</x:v>
      </x:c>
      <x:c r="GK63">
        <x:f t="shared" si="66"/>
        <x:v>0</x:v>
      </x:c>
      <x:c r="GL63">
        <x:f t="shared" si="67"/>
        <x:v>0</x:v>
      </x:c>
      <x:c r="GM63">
        <x:f t="shared" si="68"/>
        <x:v>0</x:v>
      </x:c>
      <x:c r="GN63">
        <x:f t="shared" si="69"/>
        <x:v>0</x:v>
      </x:c>
      <x:c r="GO63">
        <x:f t="shared" si="70"/>
        <x:v>0</x:v>
      </x:c>
      <x:c r="GP63">
        <x:f t="shared" si="71"/>
        <x:v>0</x:v>
      </x:c>
      <x:c r="GQ63">
        <x:f t="shared" si="72"/>
        <x:v>0</x:v>
      </x:c>
      <x:c r="GR63" s="42">
        <x:f t="shared" si="73"/>
        <x:v>0</x:v>
      </x:c>
      <x:c r="GS63">
        <x:f t="shared" si="74"/>
        <x:v>0</x:v>
      </x:c>
      <x:c r="GT63">
        <x:f t="shared" si="75"/>
        <x:v>0</x:v>
      </x:c>
      <x:c r="GU63">
        <x:f t="shared" si="76"/>
        <x:v>0</x:v>
      </x:c>
      <x:c r="GV63">
        <x:f t="shared" si="77"/>
        <x:v>0</x:v>
      </x:c>
      <x:c r="GW63">
        <x:f t="shared" si="78"/>
        <x:v>0</x:v>
      </x:c>
      <x:c r="GX63">
        <x:f t="shared" si="79"/>
        <x:v>0</x:v>
      </x:c>
      <x:c r="GY63">
        <x:f t="shared" si="80"/>
        <x:v>0</x:v>
      </x:c>
      <x:c r="GZ63">
        <x:f t="shared" si="81"/>
        <x:v>0</x:v>
      </x:c>
      <x:c r="HA63">
        <x:f t="shared" si="82"/>
        <x:v>0</x:v>
      </x:c>
      <x:c r="HB63" s="42">
        <x:f t="shared" si="83"/>
        <x:v>0</x:v>
      </x:c>
      <x:c r="HC63">
        <x:f t="shared" si="84"/>
        <x:v>0</x:v>
      </x:c>
      <x:c r="HD63">
        <x:f t="shared" si="85"/>
        <x:v>0</x:v>
      </x:c>
      <x:c r="HE63">
        <x:f t="shared" si="86"/>
        <x:v>0</x:v>
      </x:c>
      <x:c r="HF63">
        <x:f t="shared" si="87"/>
        <x:v>0</x:v>
      </x:c>
      <x:c r="HG63">
        <x:f t="shared" si="88"/>
        <x:v>0</x:v>
      </x:c>
      <x:c r="HH63">
        <x:f t="shared" si="89"/>
        <x:v>0</x:v>
      </x:c>
      <x:c r="HI63">
        <x:f t="shared" si="90"/>
        <x:v>0</x:v>
      </x:c>
      <x:c r="HJ63">
        <x:f t="shared" si="91"/>
        <x:v>0</x:v>
      </x:c>
      <x:c r="HK63">
        <x:f t="shared" si="92"/>
        <x:v>0</x:v>
      </x:c>
      <x:c r="HL63">
        <x:f t="shared" si="93"/>
        <x:v>0</x:v>
      </x:c>
    </x:row>
    <x:row r="64">
      <x:c r="D64" s="74"/>
      <x:c r="EQ64">
        <x:f t="shared" si="20"/>
        <x:v>0</x:v>
      </x:c>
      <x:c r="ER64">
        <x:f t="shared" si="21"/>
        <x:v>0</x:v>
      </x:c>
      <x:c r="ES64">
        <x:f t="shared" si="22"/>
        <x:v>0</x:v>
      </x:c>
      <x:c r="ET64">
        <x:f t="shared" si="23"/>
        <x:v>0</x:v>
      </x:c>
      <x:c r="EU64">
        <x:f t="shared" si="24"/>
        <x:v>0</x:v>
      </x:c>
      <x:c r="EV64">
        <x:f t="shared" si="25"/>
        <x:v>0</x:v>
      </x:c>
      <x:c r="EW64">
        <x:f t="shared" si="26"/>
        <x:v>0</x:v>
      </x:c>
      <x:c r="EX64">
        <x:f t="shared" si="27"/>
        <x:v>0</x:v>
      </x:c>
      <x:c r="EY64">
        <x:f t="shared" si="28"/>
        <x:v>0</x:v>
      </x:c>
      <x:c r="EZ64">
        <x:f t="shared" si="29"/>
        <x:v>0</x:v>
      </x:c>
      <x:c r="FA64" s="41">
        <x:f t="shared" si="30"/>
        <x:v>0</x:v>
      </x:c>
      <x:c r="FB64">
        <x:f t="shared" si="31"/>
        <x:v>0</x:v>
      </x:c>
      <x:c r="FC64">
        <x:f t="shared" si="32"/>
        <x:v>0</x:v>
      </x:c>
      <x:c r="FD64">
        <x:f t="shared" si="33"/>
        <x:v>0</x:v>
      </x:c>
      <x:c r="FE64">
        <x:f t="shared" si="34"/>
        <x:v>0</x:v>
      </x:c>
      <x:c r="FF64">
        <x:f t="shared" si="35"/>
        <x:v>0</x:v>
      </x:c>
      <x:c r="FG64">
        <x:f t="shared" si="36"/>
        <x:v>0</x:v>
      </x:c>
      <x:c r="FH64">
        <x:f t="shared" si="37"/>
        <x:v>0</x:v>
      </x:c>
      <x:c r="FI64">
        <x:f t="shared" si="38"/>
        <x:v>0</x:v>
      </x:c>
      <x:c r="FJ64">
        <x:f t="shared" si="39"/>
        <x:v>0</x:v>
      </x:c>
      <x:c r="FK64">
        <x:f t="shared" si="40"/>
        <x:v>0</x:v>
      </x:c>
      <x:c r="FL64" s="41">
        <x:f t="shared" si="41"/>
        <x:v>0</x:v>
      </x:c>
      <x:c r="FM64">
        <x:f t="shared" si="42"/>
        <x:v>0</x:v>
      </x:c>
      <x:c r="FN64">
        <x:f t="shared" si="43"/>
        <x:v>0</x:v>
      </x:c>
      <x:c r="FO64">
        <x:f t="shared" si="44"/>
        <x:v>0</x:v>
      </x:c>
      <x:c r="FP64">
        <x:f t="shared" si="45"/>
        <x:v>0</x:v>
      </x:c>
      <x:c r="FQ64">
        <x:f t="shared" si="46"/>
        <x:v>0</x:v>
      </x:c>
      <x:c r="FR64">
        <x:f t="shared" si="47"/>
        <x:v>0</x:v>
      </x:c>
      <x:c r="FS64">
        <x:f t="shared" si="48"/>
        <x:v>0</x:v>
      </x:c>
      <x:c r="FT64">
        <x:f t="shared" si="49"/>
        <x:v>0</x:v>
      </x:c>
      <x:c r="FU64">
        <x:f t="shared" si="50"/>
        <x:v>0</x:v>
      </x:c>
      <x:c r="FV64">
        <x:f t="shared" si="51"/>
        <x:v>0</x:v>
      </x:c>
      <x:c r="FW64" s="41">
        <x:f t="shared" si="52"/>
        <x:v>0</x:v>
      </x:c>
      <x:c r="FX64">
        <x:f t="shared" si="53"/>
        <x:v>0</x:v>
      </x:c>
      <x:c r="FY64">
        <x:f t="shared" si="54"/>
        <x:v>0</x:v>
      </x:c>
      <x:c r="FZ64">
        <x:f t="shared" si="55"/>
        <x:v>0</x:v>
      </x:c>
      <x:c r="GA64">
        <x:f t="shared" si="56"/>
        <x:v>0</x:v>
      </x:c>
      <x:c r="GB64">
        <x:f t="shared" si="57"/>
        <x:v>0</x:v>
      </x:c>
      <x:c r="GC64">
        <x:f t="shared" si="58"/>
        <x:v>0</x:v>
      </x:c>
      <x:c r="GD64">
        <x:f t="shared" si="59"/>
        <x:v>0</x:v>
      </x:c>
      <x:c r="GE64">
        <x:f t="shared" si="60"/>
        <x:v>0</x:v>
      </x:c>
      <x:c r="GF64">
        <x:f t="shared" si="61"/>
        <x:v>0</x:v>
      </x:c>
      <x:c r="GG64">
        <x:f t="shared" si="62"/>
        <x:v>0</x:v>
      </x:c>
      <x:c r="GH64">
        <x:f t="shared" si="63"/>
        <x:v>0</x:v>
      </x:c>
      <x:c r="GI64">
        <x:f t="shared" si="64"/>
        <x:v>0</x:v>
      </x:c>
      <x:c r="GJ64">
        <x:f t="shared" si="65"/>
        <x:v>0</x:v>
      </x:c>
      <x:c r="GK64">
        <x:f t="shared" si="66"/>
        <x:v>0</x:v>
      </x:c>
      <x:c r="GL64">
        <x:f t="shared" si="67"/>
        <x:v>0</x:v>
      </x:c>
      <x:c r="GM64">
        <x:f t="shared" si="68"/>
        <x:v>0</x:v>
      </x:c>
      <x:c r="GN64">
        <x:f t="shared" si="69"/>
        <x:v>0</x:v>
      </x:c>
      <x:c r="GO64">
        <x:f t="shared" si="70"/>
        <x:v>0</x:v>
      </x:c>
      <x:c r="GP64">
        <x:f t="shared" si="71"/>
        <x:v>0</x:v>
      </x:c>
      <x:c r="GQ64">
        <x:f t="shared" si="72"/>
        <x:v>0</x:v>
      </x:c>
      <x:c r="GR64" s="42">
        <x:f t="shared" si="73"/>
        <x:v>0</x:v>
      </x:c>
      <x:c r="GS64">
        <x:f t="shared" si="74"/>
        <x:v>0</x:v>
      </x:c>
      <x:c r="GT64">
        <x:f t="shared" si="75"/>
        <x:v>0</x:v>
      </x:c>
      <x:c r="GU64">
        <x:f t="shared" si="76"/>
        <x:v>0</x:v>
      </x:c>
      <x:c r="GV64">
        <x:f t="shared" si="77"/>
        <x:v>0</x:v>
      </x:c>
      <x:c r="GW64">
        <x:f t="shared" si="78"/>
        <x:v>0</x:v>
      </x:c>
      <x:c r="GX64">
        <x:f t="shared" si="79"/>
        <x:v>0</x:v>
      </x:c>
      <x:c r="GY64">
        <x:f t="shared" si="80"/>
        <x:v>0</x:v>
      </x:c>
      <x:c r="GZ64">
        <x:f t="shared" si="81"/>
        <x:v>0</x:v>
      </x:c>
      <x:c r="HA64">
        <x:f t="shared" si="82"/>
        <x:v>0</x:v>
      </x:c>
      <x:c r="HB64" s="42">
        <x:f t="shared" si="83"/>
        <x:v>0</x:v>
      </x:c>
      <x:c r="HC64">
        <x:f t="shared" si="84"/>
        <x:v>0</x:v>
      </x:c>
      <x:c r="HD64">
        <x:f t="shared" si="85"/>
        <x:v>0</x:v>
      </x:c>
      <x:c r="HE64">
        <x:f t="shared" si="86"/>
        <x:v>0</x:v>
      </x:c>
      <x:c r="HF64">
        <x:f t="shared" si="87"/>
        <x:v>0</x:v>
      </x:c>
      <x:c r="HG64">
        <x:f t="shared" si="88"/>
        <x:v>0</x:v>
      </x:c>
      <x:c r="HH64">
        <x:f t="shared" si="89"/>
        <x:v>0</x:v>
      </x:c>
      <x:c r="HI64">
        <x:f t="shared" si="90"/>
        <x:v>0</x:v>
      </x:c>
      <x:c r="HJ64">
        <x:f t="shared" si="91"/>
        <x:v>0</x:v>
      </x:c>
      <x:c r="HK64">
        <x:f t="shared" si="92"/>
        <x:v>0</x:v>
      </x:c>
      <x:c r="HL64">
        <x:f t="shared" si="93"/>
        <x:v>0</x:v>
      </x:c>
    </x:row>
    <x:row r="65">
      <x:c r="D65" s="74"/>
      <x:c r="EQ65">
        <x:f t="shared" si="20"/>
        <x:v>0</x:v>
      </x:c>
      <x:c r="ER65">
        <x:f t="shared" si="21"/>
        <x:v>0</x:v>
      </x:c>
      <x:c r="ES65">
        <x:f t="shared" si="22"/>
        <x:v>0</x:v>
      </x:c>
      <x:c r="ET65">
        <x:f t="shared" si="23"/>
        <x:v>0</x:v>
      </x:c>
      <x:c r="EU65">
        <x:f t="shared" si="24"/>
        <x:v>0</x:v>
      </x:c>
      <x:c r="EV65">
        <x:f t="shared" si="25"/>
        <x:v>0</x:v>
      </x:c>
      <x:c r="EW65">
        <x:f t="shared" si="26"/>
        <x:v>0</x:v>
      </x:c>
      <x:c r="EX65">
        <x:f t="shared" si="27"/>
        <x:v>0</x:v>
      </x:c>
      <x:c r="EY65">
        <x:f t="shared" si="28"/>
        <x:v>0</x:v>
      </x:c>
      <x:c r="EZ65">
        <x:f t="shared" si="29"/>
        <x:v>0</x:v>
      </x:c>
      <x:c r="FA65" s="41">
        <x:f t="shared" si="30"/>
        <x:v>0</x:v>
      </x:c>
      <x:c r="FB65">
        <x:f t="shared" si="31"/>
        <x:v>0</x:v>
      </x:c>
      <x:c r="FC65">
        <x:f t="shared" si="32"/>
        <x:v>0</x:v>
      </x:c>
      <x:c r="FD65">
        <x:f t="shared" si="33"/>
        <x:v>0</x:v>
      </x:c>
      <x:c r="FE65">
        <x:f t="shared" si="34"/>
        <x:v>0</x:v>
      </x:c>
      <x:c r="FF65">
        <x:f t="shared" si="35"/>
        <x:v>0</x:v>
      </x:c>
      <x:c r="FG65">
        <x:f t="shared" si="36"/>
        <x:v>0</x:v>
      </x:c>
      <x:c r="FH65">
        <x:f t="shared" si="37"/>
        <x:v>0</x:v>
      </x:c>
      <x:c r="FI65">
        <x:f t="shared" si="38"/>
        <x:v>0</x:v>
      </x:c>
      <x:c r="FJ65">
        <x:f t="shared" si="39"/>
        <x:v>0</x:v>
      </x:c>
      <x:c r="FK65">
        <x:f t="shared" si="40"/>
        <x:v>0</x:v>
      </x:c>
      <x:c r="FL65" s="41">
        <x:f t="shared" si="41"/>
        <x:v>0</x:v>
      </x:c>
      <x:c r="FM65">
        <x:f t="shared" si="42"/>
        <x:v>0</x:v>
      </x:c>
      <x:c r="FN65">
        <x:f t="shared" si="43"/>
        <x:v>0</x:v>
      </x:c>
      <x:c r="FO65">
        <x:f t="shared" si="44"/>
        <x:v>0</x:v>
      </x:c>
      <x:c r="FP65">
        <x:f t="shared" si="45"/>
        <x:v>0</x:v>
      </x:c>
      <x:c r="FQ65">
        <x:f t="shared" si="46"/>
        <x:v>0</x:v>
      </x:c>
      <x:c r="FR65">
        <x:f t="shared" si="47"/>
        <x:v>0</x:v>
      </x:c>
      <x:c r="FS65">
        <x:f t="shared" si="48"/>
        <x:v>0</x:v>
      </x:c>
      <x:c r="FT65">
        <x:f t="shared" si="49"/>
        <x:v>0</x:v>
      </x:c>
      <x:c r="FU65">
        <x:f t="shared" si="50"/>
        <x:v>0</x:v>
      </x:c>
      <x:c r="FV65">
        <x:f t="shared" si="51"/>
        <x:v>0</x:v>
      </x:c>
      <x:c r="FW65" s="41">
        <x:f t="shared" si="52"/>
        <x:v>0</x:v>
      </x:c>
      <x:c r="FX65">
        <x:f t="shared" si="53"/>
        <x:v>0</x:v>
      </x:c>
      <x:c r="FY65">
        <x:f t="shared" si="54"/>
        <x:v>0</x:v>
      </x:c>
      <x:c r="FZ65">
        <x:f t="shared" si="55"/>
        <x:v>0</x:v>
      </x:c>
      <x:c r="GA65">
        <x:f t="shared" si="56"/>
        <x:v>0</x:v>
      </x:c>
      <x:c r="GB65">
        <x:f t="shared" si="57"/>
        <x:v>0</x:v>
      </x:c>
      <x:c r="GC65">
        <x:f t="shared" si="58"/>
        <x:v>0</x:v>
      </x:c>
      <x:c r="GD65">
        <x:f t="shared" si="59"/>
        <x:v>0</x:v>
      </x:c>
      <x:c r="GE65">
        <x:f t="shared" si="60"/>
        <x:v>0</x:v>
      </x:c>
      <x:c r="GF65">
        <x:f t="shared" si="61"/>
        <x:v>0</x:v>
      </x:c>
      <x:c r="GG65">
        <x:f t="shared" si="62"/>
        <x:v>0</x:v>
      </x:c>
      <x:c r="GH65">
        <x:f t="shared" si="63"/>
        <x:v>0</x:v>
      </x:c>
      <x:c r="GI65">
        <x:f t="shared" si="64"/>
        <x:v>0</x:v>
      </x:c>
      <x:c r="GJ65">
        <x:f t="shared" si="65"/>
        <x:v>0</x:v>
      </x:c>
      <x:c r="GK65">
        <x:f t="shared" si="66"/>
        <x:v>0</x:v>
      </x:c>
      <x:c r="GL65">
        <x:f t="shared" si="67"/>
        <x:v>0</x:v>
      </x:c>
      <x:c r="GM65">
        <x:f t="shared" si="68"/>
        <x:v>0</x:v>
      </x:c>
      <x:c r="GN65">
        <x:f t="shared" si="69"/>
        <x:v>0</x:v>
      </x:c>
      <x:c r="GO65">
        <x:f t="shared" si="70"/>
        <x:v>0</x:v>
      </x:c>
      <x:c r="GP65">
        <x:f t="shared" si="71"/>
        <x:v>0</x:v>
      </x:c>
      <x:c r="GQ65">
        <x:f t="shared" si="72"/>
        <x:v>0</x:v>
      </x:c>
      <x:c r="GR65" s="42">
        <x:f t="shared" si="73"/>
        <x:v>0</x:v>
      </x:c>
      <x:c r="GS65">
        <x:f t="shared" si="74"/>
        <x:v>0</x:v>
      </x:c>
      <x:c r="GT65">
        <x:f t="shared" si="75"/>
        <x:v>0</x:v>
      </x:c>
      <x:c r="GU65">
        <x:f t="shared" si="76"/>
        <x:v>0</x:v>
      </x:c>
      <x:c r="GV65">
        <x:f t="shared" si="77"/>
        <x:v>0</x:v>
      </x:c>
      <x:c r="GW65">
        <x:f t="shared" si="78"/>
        <x:v>0</x:v>
      </x:c>
      <x:c r="GX65">
        <x:f t="shared" si="79"/>
        <x:v>0</x:v>
      </x:c>
      <x:c r="GY65">
        <x:f t="shared" si="80"/>
        <x:v>0</x:v>
      </x:c>
      <x:c r="GZ65">
        <x:f t="shared" si="81"/>
        <x:v>0</x:v>
      </x:c>
      <x:c r="HA65">
        <x:f t="shared" si="82"/>
        <x:v>0</x:v>
      </x:c>
      <x:c r="HB65" s="42">
        <x:f t="shared" si="83"/>
        <x:v>0</x:v>
      </x:c>
      <x:c r="HC65">
        <x:f t="shared" si="84"/>
        <x:v>0</x:v>
      </x:c>
      <x:c r="HD65">
        <x:f t="shared" si="85"/>
        <x:v>0</x:v>
      </x:c>
      <x:c r="HE65">
        <x:f t="shared" si="86"/>
        <x:v>0</x:v>
      </x:c>
      <x:c r="HF65">
        <x:f t="shared" si="87"/>
        <x:v>0</x:v>
      </x:c>
      <x:c r="HG65">
        <x:f t="shared" si="88"/>
        <x:v>0</x:v>
      </x:c>
      <x:c r="HH65">
        <x:f t="shared" si="89"/>
        <x:v>0</x:v>
      </x:c>
      <x:c r="HI65">
        <x:f t="shared" si="90"/>
        <x:v>0</x:v>
      </x:c>
      <x:c r="HJ65">
        <x:f t="shared" si="91"/>
        <x:v>0</x:v>
      </x:c>
      <x:c r="HK65">
        <x:f t="shared" si="92"/>
        <x:v>0</x:v>
      </x:c>
      <x:c r="HL65">
        <x:f t="shared" si="93"/>
        <x:v>0</x:v>
      </x:c>
    </x:row>
    <x:row r="66">
      <x:c r="D66" s="74"/>
      <x:c r="EQ66">
        <x:f t="shared" si="20"/>
        <x:v>0</x:v>
      </x:c>
      <x:c r="ER66">
        <x:f t="shared" si="21"/>
        <x:v>0</x:v>
      </x:c>
      <x:c r="ES66">
        <x:f t="shared" si="22"/>
        <x:v>0</x:v>
      </x:c>
      <x:c r="ET66">
        <x:f t="shared" si="23"/>
        <x:v>0</x:v>
      </x:c>
      <x:c r="EU66">
        <x:f t="shared" si="24"/>
        <x:v>0</x:v>
      </x:c>
      <x:c r="EV66">
        <x:f t="shared" si="25"/>
        <x:v>0</x:v>
      </x:c>
      <x:c r="EW66">
        <x:f t="shared" si="26"/>
        <x:v>0</x:v>
      </x:c>
      <x:c r="EX66">
        <x:f t="shared" si="27"/>
        <x:v>0</x:v>
      </x:c>
      <x:c r="EY66">
        <x:f t="shared" si="28"/>
        <x:v>0</x:v>
      </x:c>
      <x:c r="EZ66">
        <x:f t="shared" si="29"/>
        <x:v>0</x:v>
      </x:c>
      <x:c r="FA66" s="41">
        <x:f t="shared" si="30"/>
        <x:v>0</x:v>
      </x:c>
      <x:c r="FB66">
        <x:f t="shared" si="31"/>
        <x:v>0</x:v>
      </x:c>
      <x:c r="FC66">
        <x:f t="shared" si="32"/>
        <x:v>0</x:v>
      </x:c>
      <x:c r="FD66">
        <x:f t="shared" si="33"/>
        <x:v>0</x:v>
      </x:c>
      <x:c r="FE66">
        <x:f t="shared" si="34"/>
        <x:v>0</x:v>
      </x:c>
      <x:c r="FF66">
        <x:f t="shared" si="35"/>
        <x:v>0</x:v>
      </x:c>
      <x:c r="FG66">
        <x:f t="shared" si="36"/>
        <x:v>0</x:v>
      </x:c>
      <x:c r="FH66">
        <x:f t="shared" si="37"/>
        <x:v>0</x:v>
      </x:c>
      <x:c r="FI66">
        <x:f t="shared" si="38"/>
        <x:v>0</x:v>
      </x:c>
      <x:c r="FJ66">
        <x:f t="shared" si="39"/>
        <x:v>0</x:v>
      </x:c>
      <x:c r="FK66">
        <x:f t="shared" si="40"/>
        <x:v>0</x:v>
      </x:c>
      <x:c r="FL66" s="41">
        <x:f t="shared" si="41"/>
        <x:v>0</x:v>
      </x:c>
      <x:c r="FM66">
        <x:f t="shared" si="42"/>
        <x:v>0</x:v>
      </x:c>
      <x:c r="FN66">
        <x:f t="shared" si="43"/>
        <x:v>0</x:v>
      </x:c>
      <x:c r="FO66">
        <x:f t="shared" si="44"/>
        <x:v>0</x:v>
      </x:c>
      <x:c r="FP66">
        <x:f t="shared" si="45"/>
        <x:v>0</x:v>
      </x:c>
      <x:c r="FQ66">
        <x:f t="shared" si="46"/>
        <x:v>0</x:v>
      </x:c>
      <x:c r="FR66">
        <x:f t="shared" si="47"/>
        <x:v>0</x:v>
      </x:c>
      <x:c r="FS66">
        <x:f t="shared" si="48"/>
        <x:v>0</x:v>
      </x:c>
      <x:c r="FT66">
        <x:f t="shared" si="49"/>
        <x:v>0</x:v>
      </x:c>
      <x:c r="FU66">
        <x:f t="shared" si="50"/>
        <x:v>0</x:v>
      </x:c>
      <x:c r="FV66">
        <x:f t="shared" si="51"/>
        <x:v>0</x:v>
      </x:c>
      <x:c r="FW66" s="41">
        <x:f t="shared" si="52"/>
        <x:v>0</x:v>
      </x:c>
      <x:c r="FX66">
        <x:f t="shared" si="53"/>
        <x:v>0</x:v>
      </x:c>
      <x:c r="FY66">
        <x:f t="shared" si="54"/>
        <x:v>0</x:v>
      </x:c>
      <x:c r="FZ66">
        <x:f t="shared" si="55"/>
        <x:v>0</x:v>
      </x:c>
      <x:c r="GA66">
        <x:f t="shared" si="56"/>
        <x:v>0</x:v>
      </x:c>
      <x:c r="GB66">
        <x:f t="shared" si="57"/>
        <x:v>0</x:v>
      </x:c>
      <x:c r="GC66">
        <x:f t="shared" si="58"/>
        <x:v>0</x:v>
      </x:c>
      <x:c r="GD66">
        <x:f t="shared" si="59"/>
        <x:v>0</x:v>
      </x:c>
      <x:c r="GE66">
        <x:f t="shared" si="60"/>
        <x:v>0</x:v>
      </x:c>
      <x:c r="GF66">
        <x:f t="shared" si="61"/>
        <x:v>0</x:v>
      </x:c>
      <x:c r="GG66">
        <x:f t="shared" si="62"/>
        <x:v>0</x:v>
      </x:c>
      <x:c r="GH66">
        <x:f t="shared" si="63"/>
        <x:v>0</x:v>
      </x:c>
      <x:c r="GI66">
        <x:f t="shared" si="64"/>
        <x:v>0</x:v>
      </x:c>
      <x:c r="GJ66">
        <x:f t="shared" si="65"/>
        <x:v>0</x:v>
      </x:c>
      <x:c r="GK66">
        <x:f t="shared" si="66"/>
        <x:v>0</x:v>
      </x:c>
      <x:c r="GL66">
        <x:f t="shared" si="67"/>
        <x:v>0</x:v>
      </x:c>
      <x:c r="GM66">
        <x:f t="shared" si="68"/>
        <x:v>0</x:v>
      </x:c>
      <x:c r="GN66">
        <x:f t="shared" si="69"/>
        <x:v>0</x:v>
      </x:c>
      <x:c r="GO66">
        <x:f t="shared" si="70"/>
        <x:v>0</x:v>
      </x:c>
      <x:c r="GP66">
        <x:f t="shared" si="71"/>
        <x:v>0</x:v>
      </x:c>
      <x:c r="GQ66">
        <x:f t="shared" si="72"/>
        <x:v>0</x:v>
      </x:c>
      <x:c r="GR66" s="42">
        <x:f t="shared" si="73"/>
        <x:v>0</x:v>
      </x:c>
      <x:c r="GS66">
        <x:f t="shared" si="74"/>
        <x:v>0</x:v>
      </x:c>
      <x:c r="GT66">
        <x:f t="shared" si="75"/>
        <x:v>0</x:v>
      </x:c>
      <x:c r="GU66">
        <x:f t="shared" si="76"/>
        <x:v>0</x:v>
      </x:c>
      <x:c r="GV66">
        <x:f t="shared" si="77"/>
        <x:v>0</x:v>
      </x:c>
      <x:c r="GW66">
        <x:f t="shared" si="78"/>
        <x:v>0</x:v>
      </x:c>
      <x:c r="GX66">
        <x:f t="shared" si="79"/>
        <x:v>0</x:v>
      </x:c>
      <x:c r="GY66">
        <x:f t="shared" si="80"/>
        <x:v>0</x:v>
      </x:c>
      <x:c r="GZ66">
        <x:f t="shared" si="81"/>
        <x:v>0</x:v>
      </x:c>
      <x:c r="HA66">
        <x:f t="shared" si="82"/>
        <x:v>0</x:v>
      </x:c>
      <x:c r="HB66" s="42">
        <x:f t="shared" si="83"/>
        <x:v>0</x:v>
      </x:c>
      <x:c r="HC66">
        <x:f t="shared" si="84"/>
        <x:v>0</x:v>
      </x:c>
      <x:c r="HD66">
        <x:f t="shared" si="85"/>
        <x:v>0</x:v>
      </x:c>
      <x:c r="HE66">
        <x:f t="shared" si="86"/>
        <x:v>0</x:v>
      </x:c>
      <x:c r="HF66">
        <x:f t="shared" si="87"/>
        <x:v>0</x:v>
      </x:c>
      <x:c r="HG66">
        <x:f t="shared" si="88"/>
        <x:v>0</x:v>
      </x:c>
      <x:c r="HH66">
        <x:f t="shared" si="89"/>
        <x:v>0</x:v>
      </x:c>
      <x:c r="HI66">
        <x:f t="shared" si="90"/>
        <x:v>0</x:v>
      </x:c>
      <x:c r="HJ66">
        <x:f t="shared" si="91"/>
        <x:v>0</x:v>
      </x:c>
      <x:c r="HK66">
        <x:f t="shared" si="92"/>
        <x:v>0</x:v>
      </x:c>
      <x:c r="HL66">
        <x:f t="shared" si="93"/>
        <x:v>0</x:v>
      </x:c>
    </x:row>
    <x:row r="67">
      <x:c r="D67" s="74"/>
      <x:c r="EQ67">
        <x:f t="shared" si="20"/>
        <x:v>0</x:v>
      </x:c>
      <x:c r="ER67">
        <x:f t="shared" si="21"/>
        <x:v>0</x:v>
      </x:c>
      <x:c r="ES67">
        <x:f t="shared" si="22"/>
        <x:v>0</x:v>
      </x:c>
      <x:c r="ET67">
        <x:f t="shared" si="23"/>
        <x:v>0</x:v>
      </x:c>
      <x:c r="EU67">
        <x:f t="shared" si="24"/>
        <x:v>0</x:v>
      </x:c>
      <x:c r="EV67">
        <x:f t="shared" si="25"/>
        <x:v>0</x:v>
      </x:c>
      <x:c r="EW67">
        <x:f t="shared" si="26"/>
        <x:v>0</x:v>
      </x:c>
      <x:c r="EX67">
        <x:f t="shared" si="27"/>
        <x:v>0</x:v>
      </x:c>
      <x:c r="EY67">
        <x:f t="shared" si="28"/>
        <x:v>0</x:v>
      </x:c>
      <x:c r="EZ67">
        <x:f t="shared" si="29"/>
        <x:v>0</x:v>
      </x:c>
      <x:c r="FA67" s="41">
        <x:f t="shared" si="30"/>
        <x:v>0</x:v>
      </x:c>
      <x:c r="FB67">
        <x:f t="shared" si="31"/>
        <x:v>0</x:v>
      </x:c>
      <x:c r="FC67">
        <x:f t="shared" si="32"/>
        <x:v>0</x:v>
      </x:c>
      <x:c r="FD67">
        <x:f t="shared" si="33"/>
        <x:v>0</x:v>
      </x:c>
      <x:c r="FE67">
        <x:f t="shared" si="34"/>
        <x:v>0</x:v>
      </x:c>
      <x:c r="FF67">
        <x:f t="shared" si="35"/>
        <x:v>0</x:v>
      </x:c>
      <x:c r="FG67">
        <x:f t="shared" si="36"/>
        <x:v>0</x:v>
      </x:c>
      <x:c r="FH67">
        <x:f t="shared" si="37"/>
        <x:v>0</x:v>
      </x:c>
      <x:c r="FI67">
        <x:f t="shared" si="38"/>
        <x:v>0</x:v>
      </x:c>
      <x:c r="FJ67">
        <x:f t="shared" si="39"/>
        <x:v>0</x:v>
      </x:c>
      <x:c r="FK67">
        <x:f t="shared" si="40"/>
        <x:v>0</x:v>
      </x:c>
      <x:c r="FL67" s="41">
        <x:f t="shared" si="41"/>
        <x:v>0</x:v>
      </x:c>
      <x:c r="FM67">
        <x:f t="shared" si="42"/>
        <x:v>0</x:v>
      </x:c>
      <x:c r="FN67">
        <x:f t="shared" si="43"/>
        <x:v>0</x:v>
      </x:c>
      <x:c r="FO67">
        <x:f t="shared" si="44"/>
        <x:v>0</x:v>
      </x:c>
      <x:c r="FP67">
        <x:f t="shared" si="45"/>
        <x:v>0</x:v>
      </x:c>
      <x:c r="FQ67">
        <x:f t="shared" si="46"/>
        <x:v>0</x:v>
      </x:c>
      <x:c r="FR67">
        <x:f t="shared" si="47"/>
        <x:v>0</x:v>
      </x:c>
      <x:c r="FS67">
        <x:f t="shared" si="48"/>
        <x:v>0</x:v>
      </x:c>
      <x:c r="FT67">
        <x:f t="shared" si="49"/>
        <x:v>0</x:v>
      </x:c>
      <x:c r="FU67">
        <x:f t="shared" si="50"/>
        <x:v>0</x:v>
      </x:c>
      <x:c r="FV67">
        <x:f t="shared" si="51"/>
        <x:v>0</x:v>
      </x:c>
      <x:c r="FW67" s="41">
        <x:f t="shared" si="52"/>
        <x:v>0</x:v>
      </x:c>
      <x:c r="FX67">
        <x:f t="shared" si="53"/>
        <x:v>0</x:v>
      </x:c>
      <x:c r="FY67">
        <x:f t="shared" si="54"/>
        <x:v>0</x:v>
      </x:c>
      <x:c r="FZ67">
        <x:f t="shared" si="55"/>
        <x:v>0</x:v>
      </x:c>
      <x:c r="GA67">
        <x:f t="shared" si="56"/>
        <x:v>0</x:v>
      </x:c>
      <x:c r="GB67">
        <x:f t="shared" si="57"/>
        <x:v>0</x:v>
      </x:c>
      <x:c r="GC67">
        <x:f t="shared" si="58"/>
        <x:v>0</x:v>
      </x:c>
      <x:c r="GD67">
        <x:f t="shared" si="59"/>
        <x:v>0</x:v>
      </x:c>
      <x:c r="GE67">
        <x:f t="shared" si="60"/>
        <x:v>0</x:v>
      </x:c>
      <x:c r="GF67">
        <x:f t="shared" si="61"/>
        <x:v>0</x:v>
      </x:c>
      <x:c r="GG67">
        <x:f t="shared" si="62"/>
        <x:v>0</x:v>
      </x:c>
      <x:c r="GH67">
        <x:f t="shared" si="63"/>
        <x:v>0</x:v>
      </x:c>
      <x:c r="GI67">
        <x:f t="shared" si="64"/>
        <x:v>0</x:v>
      </x:c>
      <x:c r="GJ67">
        <x:f t="shared" si="65"/>
        <x:v>0</x:v>
      </x:c>
      <x:c r="GK67">
        <x:f t="shared" si="66"/>
        <x:v>0</x:v>
      </x:c>
      <x:c r="GL67">
        <x:f t="shared" si="67"/>
        <x:v>0</x:v>
      </x:c>
      <x:c r="GM67">
        <x:f t="shared" si="68"/>
        <x:v>0</x:v>
      </x:c>
      <x:c r="GN67">
        <x:f t="shared" si="69"/>
        <x:v>0</x:v>
      </x:c>
      <x:c r="GO67">
        <x:f t="shared" si="70"/>
        <x:v>0</x:v>
      </x:c>
      <x:c r="GP67">
        <x:f t="shared" si="71"/>
        <x:v>0</x:v>
      </x:c>
      <x:c r="GQ67">
        <x:f t="shared" si="72"/>
        <x:v>0</x:v>
      </x:c>
      <x:c r="GR67" s="42">
        <x:f t="shared" si="73"/>
        <x:v>0</x:v>
      </x:c>
      <x:c r="GS67">
        <x:f t="shared" si="74"/>
        <x:v>0</x:v>
      </x:c>
      <x:c r="GT67">
        <x:f t="shared" si="75"/>
        <x:v>0</x:v>
      </x:c>
      <x:c r="GU67">
        <x:f t="shared" si="76"/>
        <x:v>0</x:v>
      </x:c>
      <x:c r="GV67">
        <x:f t="shared" si="77"/>
        <x:v>0</x:v>
      </x:c>
      <x:c r="GW67">
        <x:f t="shared" si="78"/>
        <x:v>0</x:v>
      </x:c>
      <x:c r="GX67">
        <x:f t="shared" si="79"/>
        <x:v>0</x:v>
      </x:c>
      <x:c r="GY67">
        <x:f t="shared" si="80"/>
        <x:v>0</x:v>
      </x:c>
      <x:c r="GZ67">
        <x:f t="shared" si="81"/>
        <x:v>0</x:v>
      </x:c>
      <x:c r="HA67">
        <x:f t="shared" si="82"/>
        <x:v>0</x:v>
      </x:c>
      <x:c r="HB67" s="42">
        <x:f t="shared" si="83"/>
        <x:v>0</x:v>
      </x:c>
      <x:c r="HC67">
        <x:f t="shared" si="84"/>
        <x:v>0</x:v>
      </x:c>
      <x:c r="HD67">
        <x:f t="shared" si="85"/>
        <x:v>0</x:v>
      </x:c>
      <x:c r="HE67">
        <x:f t="shared" si="86"/>
        <x:v>0</x:v>
      </x:c>
      <x:c r="HF67">
        <x:f t="shared" si="87"/>
        <x:v>0</x:v>
      </x:c>
      <x:c r="HG67">
        <x:f t="shared" si="88"/>
        <x:v>0</x:v>
      </x:c>
      <x:c r="HH67">
        <x:f t="shared" si="89"/>
        <x:v>0</x:v>
      </x:c>
      <x:c r="HI67">
        <x:f t="shared" si="90"/>
        <x:v>0</x:v>
      </x:c>
      <x:c r="HJ67">
        <x:f t="shared" si="91"/>
        <x:v>0</x:v>
      </x:c>
      <x:c r="HK67">
        <x:f t="shared" si="92"/>
        <x:v>0</x:v>
      </x:c>
      <x:c r="HL67">
        <x:f t="shared" si="93"/>
        <x:v>0</x:v>
      </x:c>
    </x:row>
    <x:row r="68">
      <x:c r="D68" s="74"/>
      <x:c r="EQ68">
        <x:f t="shared" si="20"/>
        <x:v>0</x:v>
      </x:c>
      <x:c r="ER68">
        <x:f t="shared" si="21"/>
        <x:v>0</x:v>
      </x:c>
      <x:c r="ES68">
        <x:f t="shared" si="22"/>
        <x:v>0</x:v>
      </x:c>
      <x:c r="ET68">
        <x:f t="shared" si="23"/>
        <x:v>0</x:v>
      </x:c>
      <x:c r="EU68">
        <x:f t="shared" si="24"/>
        <x:v>0</x:v>
      </x:c>
      <x:c r="EV68">
        <x:f t="shared" si="25"/>
        <x:v>0</x:v>
      </x:c>
      <x:c r="EW68">
        <x:f t="shared" si="26"/>
        <x:v>0</x:v>
      </x:c>
      <x:c r="EX68">
        <x:f t="shared" si="27"/>
        <x:v>0</x:v>
      </x:c>
      <x:c r="EY68">
        <x:f t="shared" si="28"/>
        <x:v>0</x:v>
      </x:c>
      <x:c r="EZ68">
        <x:f t="shared" si="29"/>
        <x:v>0</x:v>
      </x:c>
      <x:c r="FA68" s="41">
        <x:f t="shared" si="30"/>
        <x:v>0</x:v>
      </x:c>
      <x:c r="FB68">
        <x:f t="shared" si="31"/>
        <x:v>0</x:v>
      </x:c>
      <x:c r="FC68">
        <x:f t="shared" si="32"/>
        <x:v>0</x:v>
      </x:c>
      <x:c r="FD68">
        <x:f t="shared" si="33"/>
        <x:v>0</x:v>
      </x:c>
      <x:c r="FE68">
        <x:f t="shared" si="34"/>
        <x:v>0</x:v>
      </x:c>
      <x:c r="FF68">
        <x:f t="shared" si="35"/>
        <x:v>0</x:v>
      </x:c>
      <x:c r="FG68">
        <x:f t="shared" si="36"/>
        <x:v>0</x:v>
      </x:c>
      <x:c r="FH68">
        <x:f t="shared" si="37"/>
        <x:v>0</x:v>
      </x:c>
      <x:c r="FI68">
        <x:f t="shared" si="38"/>
        <x:v>0</x:v>
      </x:c>
      <x:c r="FJ68">
        <x:f t="shared" si="39"/>
        <x:v>0</x:v>
      </x:c>
      <x:c r="FK68">
        <x:f t="shared" si="40"/>
        <x:v>0</x:v>
      </x:c>
      <x:c r="FL68" s="41">
        <x:f t="shared" si="41"/>
        <x:v>0</x:v>
      </x:c>
      <x:c r="FM68">
        <x:f t="shared" si="42"/>
        <x:v>0</x:v>
      </x:c>
      <x:c r="FN68">
        <x:f t="shared" si="43"/>
        <x:v>0</x:v>
      </x:c>
      <x:c r="FO68">
        <x:f t="shared" si="44"/>
        <x:v>0</x:v>
      </x:c>
      <x:c r="FP68">
        <x:f t="shared" si="45"/>
        <x:v>0</x:v>
      </x:c>
      <x:c r="FQ68">
        <x:f t="shared" si="46"/>
        <x:v>0</x:v>
      </x:c>
      <x:c r="FR68">
        <x:f t="shared" si="47"/>
        <x:v>0</x:v>
      </x:c>
      <x:c r="FS68">
        <x:f t="shared" si="48"/>
        <x:v>0</x:v>
      </x:c>
      <x:c r="FT68">
        <x:f t="shared" si="49"/>
        <x:v>0</x:v>
      </x:c>
      <x:c r="FU68">
        <x:f t="shared" si="50"/>
        <x:v>0</x:v>
      </x:c>
      <x:c r="FV68">
        <x:f t="shared" si="51"/>
        <x:v>0</x:v>
      </x:c>
      <x:c r="FW68" s="41">
        <x:f t="shared" si="52"/>
        <x:v>0</x:v>
      </x:c>
      <x:c r="FX68">
        <x:f t="shared" si="53"/>
        <x:v>0</x:v>
      </x:c>
      <x:c r="FY68">
        <x:f t="shared" si="54"/>
        <x:v>0</x:v>
      </x:c>
      <x:c r="FZ68">
        <x:f t="shared" si="55"/>
        <x:v>0</x:v>
      </x:c>
      <x:c r="GA68">
        <x:f t="shared" si="56"/>
        <x:v>0</x:v>
      </x:c>
      <x:c r="GB68">
        <x:f t="shared" si="57"/>
        <x:v>0</x:v>
      </x:c>
      <x:c r="GC68">
        <x:f t="shared" si="58"/>
        <x:v>0</x:v>
      </x:c>
      <x:c r="GD68">
        <x:f t="shared" si="59"/>
        <x:v>0</x:v>
      </x:c>
      <x:c r="GE68">
        <x:f t="shared" si="60"/>
        <x:v>0</x:v>
      </x:c>
      <x:c r="GF68">
        <x:f t="shared" si="61"/>
        <x:v>0</x:v>
      </x:c>
      <x:c r="GG68">
        <x:f t="shared" si="62"/>
        <x:v>0</x:v>
      </x:c>
      <x:c r="GH68">
        <x:f t="shared" si="63"/>
        <x:v>0</x:v>
      </x:c>
      <x:c r="GI68">
        <x:f t="shared" si="64"/>
        <x:v>0</x:v>
      </x:c>
      <x:c r="GJ68">
        <x:f t="shared" si="65"/>
        <x:v>0</x:v>
      </x:c>
      <x:c r="GK68">
        <x:f t="shared" si="66"/>
        <x:v>0</x:v>
      </x:c>
      <x:c r="GL68">
        <x:f t="shared" si="67"/>
        <x:v>0</x:v>
      </x:c>
      <x:c r="GM68">
        <x:f t="shared" si="68"/>
        <x:v>0</x:v>
      </x:c>
      <x:c r="GN68">
        <x:f t="shared" si="69"/>
        <x:v>0</x:v>
      </x:c>
      <x:c r="GO68">
        <x:f t="shared" si="70"/>
        <x:v>0</x:v>
      </x:c>
      <x:c r="GP68">
        <x:f t="shared" si="71"/>
        <x:v>0</x:v>
      </x:c>
      <x:c r="GQ68">
        <x:f t="shared" si="72"/>
        <x:v>0</x:v>
      </x:c>
      <x:c r="GR68" s="42">
        <x:f t="shared" si="73"/>
        <x:v>0</x:v>
      </x:c>
      <x:c r="GS68">
        <x:f t="shared" si="74"/>
        <x:v>0</x:v>
      </x:c>
      <x:c r="GT68">
        <x:f t="shared" si="75"/>
        <x:v>0</x:v>
      </x:c>
      <x:c r="GU68">
        <x:f t="shared" si="76"/>
        <x:v>0</x:v>
      </x:c>
      <x:c r="GV68">
        <x:f t="shared" si="77"/>
        <x:v>0</x:v>
      </x:c>
      <x:c r="GW68">
        <x:f t="shared" si="78"/>
        <x:v>0</x:v>
      </x:c>
      <x:c r="GX68">
        <x:f t="shared" si="79"/>
        <x:v>0</x:v>
      </x:c>
      <x:c r="GY68">
        <x:f t="shared" si="80"/>
        <x:v>0</x:v>
      </x:c>
      <x:c r="GZ68">
        <x:f t="shared" si="81"/>
        <x:v>0</x:v>
      </x:c>
      <x:c r="HA68">
        <x:f t="shared" si="82"/>
        <x:v>0</x:v>
      </x:c>
      <x:c r="HB68" s="42">
        <x:f t="shared" si="83"/>
        <x:v>0</x:v>
      </x:c>
      <x:c r="HC68">
        <x:f t="shared" si="84"/>
        <x:v>0</x:v>
      </x:c>
      <x:c r="HD68">
        <x:f t="shared" si="85"/>
        <x:v>0</x:v>
      </x:c>
      <x:c r="HE68">
        <x:f t="shared" si="86"/>
        <x:v>0</x:v>
      </x:c>
      <x:c r="HF68">
        <x:f t="shared" si="87"/>
        <x:v>0</x:v>
      </x:c>
      <x:c r="HG68">
        <x:f t="shared" si="88"/>
        <x:v>0</x:v>
      </x:c>
      <x:c r="HH68">
        <x:f t="shared" si="89"/>
        <x:v>0</x:v>
      </x:c>
      <x:c r="HI68">
        <x:f t="shared" si="90"/>
        <x:v>0</x:v>
      </x:c>
      <x:c r="HJ68">
        <x:f t="shared" si="91"/>
        <x:v>0</x:v>
      </x:c>
      <x:c r="HK68">
        <x:f t="shared" si="92"/>
        <x:v>0</x:v>
      </x:c>
      <x:c r="HL68">
        <x:f t="shared" si="93"/>
        <x:v>0</x:v>
      </x:c>
    </x:row>
    <x:row r="69">
      <x:c r="D69" s="74"/>
      <x:c r="EQ69">
        <x:f t="shared" si="20"/>
        <x:v>0</x:v>
      </x:c>
      <x:c r="ER69">
        <x:f t="shared" si="21"/>
        <x:v>0</x:v>
      </x:c>
      <x:c r="ES69">
        <x:f t="shared" si="22"/>
        <x:v>0</x:v>
      </x:c>
      <x:c r="ET69">
        <x:f t="shared" si="23"/>
        <x:v>0</x:v>
      </x:c>
      <x:c r="EU69">
        <x:f t="shared" si="24"/>
        <x:v>0</x:v>
      </x:c>
      <x:c r="EV69">
        <x:f t="shared" si="25"/>
        <x:v>0</x:v>
      </x:c>
      <x:c r="EW69">
        <x:f t="shared" si="26"/>
        <x:v>0</x:v>
      </x:c>
      <x:c r="EX69">
        <x:f t="shared" si="27"/>
        <x:v>0</x:v>
      </x:c>
      <x:c r="EY69">
        <x:f t="shared" si="28"/>
        <x:v>0</x:v>
      </x:c>
      <x:c r="EZ69">
        <x:f t="shared" si="29"/>
        <x:v>0</x:v>
      </x:c>
      <x:c r="FA69" s="41">
        <x:f t="shared" si="30"/>
        <x:v>0</x:v>
      </x:c>
      <x:c r="FB69">
        <x:f t="shared" si="31"/>
        <x:v>0</x:v>
      </x:c>
      <x:c r="FC69">
        <x:f t="shared" si="32"/>
        <x:v>0</x:v>
      </x:c>
      <x:c r="FD69">
        <x:f t="shared" si="33"/>
        <x:v>0</x:v>
      </x:c>
      <x:c r="FE69">
        <x:f t="shared" si="34"/>
        <x:v>0</x:v>
      </x:c>
      <x:c r="FF69">
        <x:f t="shared" si="35"/>
        <x:v>0</x:v>
      </x:c>
      <x:c r="FG69">
        <x:f t="shared" si="36"/>
        <x:v>0</x:v>
      </x:c>
      <x:c r="FH69">
        <x:f t="shared" si="37"/>
        <x:v>0</x:v>
      </x:c>
      <x:c r="FI69">
        <x:f t="shared" si="38"/>
        <x:v>0</x:v>
      </x:c>
      <x:c r="FJ69">
        <x:f t="shared" si="39"/>
        <x:v>0</x:v>
      </x:c>
      <x:c r="FK69">
        <x:f t="shared" si="40"/>
        <x:v>0</x:v>
      </x:c>
      <x:c r="FL69" s="41">
        <x:f t="shared" si="41"/>
        <x:v>0</x:v>
      </x:c>
      <x:c r="FM69">
        <x:f t="shared" si="42"/>
        <x:v>0</x:v>
      </x:c>
      <x:c r="FN69">
        <x:f t="shared" si="43"/>
        <x:v>0</x:v>
      </x:c>
      <x:c r="FO69">
        <x:f t="shared" si="44"/>
        <x:v>0</x:v>
      </x:c>
      <x:c r="FP69">
        <x:f t="shared" si="45"/>
        <x:v>0</x:v>
      </x:c>
      <x:c r="FQ69">
        <x:f t="shared" si="46"/>
        <x:v>0</x:v>
      </x:c>
      <x:c r="FR69">
        <x:f t="shared" si="47"/>
        <x:v>0</x:v>
      </x:c>
      <x:c r="FS69">
        <x:f t="shared" si="48"/>
        <x:v>0</x:v>
      </x:c>
      <x:c r="FT69">
        <x:f t="shared" si="49"/>
        <x:v>0</x:v>
      </x:c>
      <x:c r="FU69">
        <x:f t="shared" si="50"/>
        <x:v>0</x:v>
      </x:c>
      <x:c r="FV69">
        <x:f t="shared" si="51"/>
        <x:v>0</x:v>
      </x:c>
      <x:c r="FW69" s="41">
        <x:f t="shared" si="52"/>
        <x:v>0</x:v>
      </x:c>
      <x:c r="FX69">
        <x:f t="shared" si="53"/>
        <x:v>0</x:v>
      </x:c>
      <x:c r="FY69">
        <x:f t="shared" si="54"/>
        <x:v>0</x:v>
      </x:c>
      <x:c r="FZ69">
        <x:f t="shared" si="55"/>
        <x:v>0</x:v>
      </x:c>
      <x:c r="GA69">
        <x:f t="shared" si="56"/>
        <x:v>0</x:v>
      </x:c>
      <x:c r="GB69">
        <x:f t="shared" si="57"/>
        <x:v>0</x:v>
      </x:c>
      <x:c r="GC69">
        <x:f t="shared" si="58"/>
        <x:v>0</x:v>
      </x:c>
      <x:c r="GD69">
        <x:f t="shared" si="59"/>
        <x:v>0</x:v>
      </x:c>
      <x:c r="GE69">
        <x:f t="shared" si="60"/>
        <x:v>0</x:v>
      </x:c>
      <x:c r="GF69">
        <x:f t="shared" si="61"/>
        <x:v>0</x:v>
      </x:c>
      <x:c r="GG69">
        <x:f t="shared" si="62"/>
        <x:v>0</x:v>
      </x:c>
      <x:c r="GH69">
        <x:f t="shared" si="63"/>
        <x:v>0</x:v>
      </x:c>
      <x:c r="GI69">
        <x:f t="shared" si="64"/>
        <x:v>0</x:v>
      </x:c>
      <x:c r="GJ69">
        <x:f t="shared" si="65"/>
        <x:v>0</x:v>
      </x:c>
      <x:c r="GK69">
        <x:f t="shared" si="66"/>
        <x:v>0</x:v>
      </x:c>
      <x:c r="GL69">
        <x:f t="shared" si="67"/>
        <x:v>0</x:v>
      </x:c>
      <x:c r="GM69">
        <x:f t="shared" si="68"/>
        <x:v>0</x:v>
      </x:c>
      <x:c r="GN69">
        <x:f t="shared" si="69"/>
        <x:v>0</x:v>
      </x:c>
      <x:c r="GO69">
        <x:f t="shared" si="70"/>
        <x:v>0</x:v>
      </x:c>
      <x:c r="GP69">
        <x:f t="shared" si="71"/>
        <x:v>0</x:v>
      </x:c>
      <x:c r="GQ69">
        <x:f t="shared" si="72"/>
        <x:v>0</x:v>
      </x:c>
      <x:c r="GR69" s="42">
        <x:f t="shared" si="73"/>
        <x:v>0</x:v>
      </x:c>
      <x:c r="GS69">
        <x:f t="shared" si="74"/>
        <x:v>0</x:v>
      </x:c>
      <x:c r="GT69">
        <x:f t="shared" si="75"/>
        <x:v>0</x:v>
      </x:c>
      <x:c r="GU69">
        <x:f t="shared" si="76"/>
        <x:v>0</x:v>
      </x:c>
      <x:c r="GV69">
        <x:f t="shared" si="77"/>
        <x:v>0</x:v>
      </x:c>
      <x:c r="GW69">
        <x:f t="shared" si="78"/>
        <x:v>0</x:v>
      </x:c>
      <x:c r="GX69">
        <x:f t="shared" si="79"/>
        <x:v>0</x:v>
      </x:c>
      <x:c r="GY69">
        <x:f t="shared" si="80"/>
        <x:v>0</x:v>
      </x:c>
      <x:c r="GZ69">
        <x:f t="shared" si="81"/>
        <x:v>0</x:v>
      </x:c>
      <x:c r="HA69">
        <x:f t="shared" si="82"/>
        <x:v>0</x:v>
      </x:c>
      <x:c r="HB69" s="42">
        <x:f t="shared" si="83"/>
        <x:v>0</x:v>
      </x:c>
      <x:c r="HC69">
        <x:f t="shared" si="84"/>
        <x:v>0</x:v>
      </x:c>
      <x:c r="HD69">
        <x:f t="shared" si="85"/>
        <x:v>0</x:v>
      </x:c>
      <x:c r="HE69">
        <x:f t="shared" si="86"/>
        <x:v>0</x:v>
      </x:c>
      <x:c r="HF69">
        <x:f t="shared" si="87"/>
        <x:v>0</x:v>
      </x:c>
      <x:c r="HG69">
        <x:f t="shared" si="88"/>
        <x:v>0</x:v>
      </x:c>
      <x:c r="HH69">
        <x:f t="shared" si="89"/>
        <x:v>0</x:v>
      </x:c>
      <x:c r="HI69">
        <x:f t="shared" si="90"/>
        <x:v>0</x:v>
      </x:c>
      <x:c r="HJ69">
        <x:f t="shared" si="91"/>
        <x:v>0</x:v>
      </x:c>
      <x:c r="HK69">
        <x:f t="shared" si="92"/>
        <x:v>0</x:v>
      </x:c>
      <x:c r="HL69">
        <x:f t="shared" si="93"/>
        <x:v>0</x:v>
      </x:c>
    </x:row>
    <x:row r="70">
      <x:c r="D70" s="74"/>
      <x:c r="EQ70">
        <x:f t="shared" si="20"/>
        <x:v>0</x:v>
      </x:c>
      <x:c r="ER70">
        <x:f t="shared" si="21"/>
        <x:v>0</x:v>
      </x:c>
      <x:c r="ES70">
        <x:f t="shared" si="22"/>
        <x:v>0</x:v>
      </x:c>
      <x:c r="ET70">
        <x:f t="shared" si="23"/>
        <x:v>0</x:v>
      </x:c>
      <x:c r="EU70">
        <x:f t="shared" si="24"/>
        <x:v>0</x:v>
      </x:c>
      <x:c r="EV70">
        <x:f t="shared" si="25"/>
        <x:v>0</x:v>
      </x:c>
      <x:c r="EW70">
        <x:f t="shared" si="26"/>
        <x:v>0</x:v>
      </x:c>
      <x:c r="EX70">
        <x:f t="shared" si="27"/>
        <x:v>0</x:v>
      </x:c>
      <x:c r="EY70">
        <x:f t="shared" si="28"/>
        <x:v>0</x:v>
      </x:c>
      <x:c r="EZ70">
        <x:f t="shared" si="29"/>
        <x:v>0</x:v>
      </x:c>
      <x:c r="FA70" s="41">
        <x:f t="shared" si="30"/>
        <x:v>0</x:v>
      </x:c>
      <x:c r="FB70">
        <x:f t="shared" si="31"/>
        <x:v>0</x:v>
      </x:c>
      <x:c r="FC70">
        <x:f t="shared" si="32"/>
        <x:v>0</x:v>
      </x:c>
      <x:c r="FD70">
        <x:f t="shared" si="33"/>
        <x:v>0</x:v>
      </x:c>
      <x:c r="FE70">
        <x:f t="shared" si="34"/>
        <x:v>0</x:v>
      </x:c>
      <x:c r="FF70">
        <x:f t="shared" si="35"/>
        <x:v>0</x:v>
      </x:c>
      <x:c r="FG70">
        <x:f t="shared" si="36"/>
        <x:v>0</x:v>
      </x:c>
      <x:c r="FH70">
        <x:f t="shared" si="37"/>
        <x:v>0</x:v>
      </x:c>
      <x:c r="FI70">
        <x:f t="shared" si="38"/>
        <x:v>0</x:v>
      </x:c>
      <x:c r="FJ70">
        <x:f t="shared" si="39"/>
        <x:v>0</x:v>
      </x:c>
      <x:c r="FK70">
        <x:f t="shared" si="40"/>
        <x:v>0</x:v>
      </x:c>
      <x:c r="FL70" s="41">
        <x:f t="shared" si="41"/>
        <x:v>0</x:v>
      </x:c>
      <x:c r="FM70">
        <x:f t="shared" si="42"/>
        <x:v>0</x:v>
      </x:c>
      <x:c r="FN70">
        <x:f t="shared" si="43"/>
        <x:v>0</x:v>
      </x:c>
      <x:c r="FO70">
        <x:f t="shared" si="44"/>
        <x:v>0</x:v>
      </x:c>
      <x:c r="FP70">
        <x:f t="shared" si="45"/>
        <x:v>0</x:v>
      </x:c>
      <x:c r="FQ70">
        <x:f t="shared" si="46"/>
        <x:v>0</x:v>
      </x:c>
      <x:c r="FR70">
        <x:f t="shared" si="47"/>
        <x:v>0</x:v>
      </x:c>
      <x:c r="FS70">
        <x:f t="shared" si="48"/>
        <x:v>0</x:v>
      </x:c>
      <x:c r="FT70">
        <x:f t="shared" si="49"/>
        <x:v>0</x:v>
      </x:c>
      <x:c r="FU70">
        <x:f t="shared" si="50"/>
        <x:v>0</x:v>
      </x:c>
      <x:c r="FV70">
        <x:f t="shared" si="51"/>
        <x:v>0</x:v>
      </x:c>
      <x:c r="FW70" s="41">
        <x:f t="shared" si="52"/>
        <x:v>0</x:v>
      </x:c>
      <x:c r="FX70">
        <x:f t="shared" si="53"/>
        <x:v>0</x:v>
      </x:c>
      <x:c r="FY70">
        <x:f t="shared" si="54"/>
        <x:v>0</x:v>
      </x:c>
      <x:c r="FZ70">
        <x:f t="shared" si="55"/>
        <x:v>0</x:v>
      </x:c>
      <x:c r="GA70">
        <x:f t="shared" si="56"/>
        <x:v>0</x:v>
      </x:c>
      <x:c r="GB70">
        <x:f t="shared" si="57"/>
        <x:v>0</x:v>
      </x:c>
      <x:c r="GC70">
        <x:f t="shared" si="58"/>
        <x:v>0</x:v>
      </x:c>
      <x:c r="GD70">
        <x:f t="shared" si="59"/>
        <x:v>0</x:v>
      </x:c>
      <x:c r="GE70">
        <x:f t="shared" si="60"/>
        <x:v>0</x:v>
      </x:c>
      <x:c r="GF70">
        <x:f t="shared" si="61"/>
        <x:v>0</x:v>
      </x:c>
      <x:c r="GG70">
        <x:f t="shared" si="62"/>
        <x:v>0</x:v>
      </x:c>
      <x:c r="GH70">
        <x:f t="shared" si="63"/>
        <x:v>0</x:v>
      </x:c>
      <x:c r="GI70">
        <x:f t="shared" si="64"/>
        <x:v>0</x:v>
      </x:c>
      <x:c r="GJ70">
        <x:f t="shared" si="65"/>
        <x:v>0</x:v>
      </x:c>
      <x:c r="GK70">
        <x:f t="shared" si="66"/>
        <x:v>0</x:v>
      </x:c>
      <x:c r="GL70">
        <x:f t="shared" si="67"/>
        <x:v>0</x:v>
      </x:c>
      <x:c r="GM70">
        <x:f t="shared" si="68"/>
        <x:v>0</x:v>
      </x:c>
      <x:c r="GN70">
        <x:f t="shared" si="69"/>
        <x:v>0</x:v>
      </x:c>
      <x:c r="GO70">
        <x:f t="shared" si="70"/>
        <x:v>0</x:v>
      </x:c>
      <x:c r="GP70">
        <x:f t="shared" si="71"/>
        <x:v>0</x:v>
      </x:c>
      <x:c r="GQ70">
        <x:f t="shared" si="72"/>
        <x:v>0</x:v>
      </x:c>
      <x:c r="GR70" s="42">
        <x:f t="shared" si="73"/>
        <x:v>0</x:v>
      </x:c>
      <x:c r="GS70">
        <x:f t="shared" si="74"/>
        <x:v>0</x:v>
      </x:c>
      <x:c r="GT70">
        <x:f t="shared" si="75"/>
        <x:v>0</x:v>
      </x:c>
      <x:c r="GU70">
        <x:f t="shared" si="76"/>
        <x:v>0</x:v>
      </x:c>
      <x:c r="GV70">
        <x:f t="shared" si="77"/>
        <x:v>0</x:v>
      </x:c>
      <x:c r="GW70">
        <x:f t="shared" si="78"/>
        <x:v>0</x:v>
      </x:c>
      <x:c r="GX70">
        <x:f t="shared" si="79"/>
        <x:v>0</x:v>
      </x:c>
      <x:c r="GY70">
        <x:f t="shared" si="80"/>
        <x:v>0</x:v>
      </x:c>
      <x:c r="GZ70">
        <x:f t="shared" si="81"/>
        <x:v>0</x:v>
      </x:c>
      <x:c r="HA70">
        <x:f t="shared" si="82"/>
        <x:v>0</x:v>
      </x:c>
      <x:c r="HB70" s="42">
        <x:f t="shared" si="83"/>
        <x:v>0</x:v>
      </x:c>
      <x:c r="HC70">
        <x:f t="shared" si="84"/>
        <x:v>0</x:v>
      </x:c>
      <x:c r="HD70">
        <x:f t="shared" si="85"/>
        <x:v>0</x:v>
      </x:c>
      <x:c r="HE70">
        <x:f t="shared" si="86"/>
        <x:v>0</x:v>
      </x:c>
      <x:c r="HF70">
        <x:f t="shared" si="87"/>
        <x:v>0</x:v>
      </x:c>
      <x:c r="HG70">
        <x:f t="shared" si="88"/>
        <x:v>0</x:v>
      </x:c>
      <x:c r="HH70">
        <x:f t="shared" si="89"/>
        <x:v>0</x:v>
      </x:c>
      <x:c r="HI70">
        <x:f t="shared" si="90"/>
        <x:v>0</x:v>
      </x:c>
      <x:c r="HJ70">
        <x:f t="shared" si="91"/>
        <x:v>0</x:v>
      </x:c>
      <x:c r="HK70">
        <x:f t="shared" si="92"/>
        <x:v>0</x:v>
      </x:c>
      <x:c r="HL70">
        <x:f t="shared" si="93"/>
        <x:v>0</x:v>
      </x:c>
    </x:row>
    <x:row r="71">
      <x:c r="D71" s="74"/>
      <x:c r="EQ71">
        <x:f t="shared" si="20"/>
        <x:v>0</x:v>
      </x:c>
      <x:c r="ER71">
        <x:f t="shared" si="21"/>
        <x:v>0</x:v>
      </x:c>
      <x:c r="ES71">
        <x:f t="shared" si="22"/>
        <x:v>0</x:v>
      </x:c>
      <x:c r="ET71">
        <x:f t="shared" si="23"/>
        <x:v>0</x:v>
      </x:c>
      <x:c r="EU71">
        <x:f t="shared" si="24"/>
        <x:v>0</x:v>
      </x:c>
      <x:c r="EV71">
        <x:f t="shared" si="25"/>
        <x:v>0</x:v>
      </x:c>
      <x:c r="EW71">
        <x:f t="shared" si="26"/>
        <x:v>0</x:v>
      </x:c>
      <x:c r="EX71">
        <x:f t="shared" si="27"/>
        <x:v>0</x:v>
      </x:c>
      <x:c r="EY71">
        <x:f t="shared" si="28"/>
        <x:v>0</x:v>
      </x:c>
      <x:c r="EZ71">
        <x:f t="shared" si="29"/>
        <x:v>0</x:v>
      </x:c>
      <x:c r="FA71" s="41">
        <x:f t="shared" si="30"/>
        <x:v>0</x:v>
      </x:c>
      <x:c r="FB71">
        <x:f t="shared" si="31"/>
        <x:v>0</x:v>
      </x:c>
      <x:c r="FC71">
        <x:f t="shared" si="32"/>
        <x:v>0</x:v>
      </x:c>
      <x:c r="FD71">
        <x:f t="shared" si="33"/>
        <x:v>0</x:v>
      </x:c>
      <x:c r="FE71">
        <x:f t="shared" si="34"/>
        <x:v>0</x:v>
      </x:c>
      <x:c r="FF71">
        <x:f t="shared" si="35"/>
        <x:v>0</x:v>
      </x:c>
      <x:c r="FG71">
        <x:f t="shared" si="36"/>
        <x:v>0</x:v>
      </x:c>
      <x:c r="FH71">
        <x:f t="shared" si="37"/>
        <x:v>0</x:v>
      </x:c>
      <x:c r="FI71">
        <x:f t="shared" si="38"/>
        <x:v>0</x:v>
      </x:c>
      <x:c r="FJ71">
        <x:f t="shared" si="39"/>
        <x:v>0</x:v>
      </x:c>
      <x:c r="FK71">
        <x:f t="shared" si="40"/>
        <x:v>0</x:v>
      </x:c>
      <x:c r="FL71" s="41">
        <x:f t="shared" si="41"/>
        <x:v>0</x:v>
      </x:c>
      <x:c r="FM71">
        <x:f t="shared" si="42"/>
        <x:v>0</x:v>
      </x:c>
      <x:c r="FN71">
        <x:f t="shared" si="43"/>
        <x:v>0</x:v>
      </x:c>
      <x:c r="FO71">
        <x:f t="shared" si="44"/>
        <x:v>0</x:v>
      </x:c>
      <x:c r="FP71">
        <x:f t="shared" si="45"/>
        <x:v>0</x:v>
      </x:c>
      <x:c r="FQ71">
        <x:f t="shared" si="46"/>
        <x:v>0</x:v>
      </x:c>
      <x:c r="FR71">
        <x:f t="shared" si="47"/>
        <x:v>0</x:v>
      </x:c>
      <x:c r="FS71">
        <x:f t="shared" si="48"/>
        <x:v>0</x:v>
      </x:c>
      <x:c r="FT71">
        <x:f t="shared" si="49"/>
        <x:v>0</x:v>
      </x:c>
      <x:c r="FU71">
        <x:f t="shared" si="50"/>
        <x:v>0</x:v>
      </x:c>
      <x:c r="FV71">
        <x:f t="shared" si="51"/>
        <x:v>0</x:v>
      </x:c>
      <x:c r="FW71" s="41">
        <x:f t="shared" si="52"/>
        <x:v>0</x:v>
      </x:c>
      <x:c r="FX71">
        <x:f t="shared" si="53"/>
        <x:v>0</x:v>
      </x:c>
      <x:c r="FY71">
        <x:f t="shared" si="54"/>
        <x:v>0</x:v>
      </x:c>
      <x:c r="FZ71">
        <x:f t="shared" si="55"/>
        <x:v>0</x:v>
      </x:c>
      <x:c r="GA71">
        <x:f t="shared" si="56"/>
        <x:v>0</x:v>
      </x:c>
      <x:c r="GB71">
        <x:f t="shared" si="57"/>
        <x:v>0</x:v>
      </x:c>
      <x:c r="GC71">
        <x:f t="shared" si="58"/>
        <x:v>0</x:v>
      </x:c>
      <x:c r="GD71">
        <x:f t="shared" si="59"/>
        <x:v>0</x:v>
      </x:c>
      <x:c r="GE71">
        <x:f t="shared" si="60"/>
        <x:v>0</x:v>
      </x:c>
      <x:c r="GF71">
        <x:f t="shared" si="61"/>
        <x:v>0</x:v>
      </x:c>
      <x:c r="GG71">
        <x:f t="shared" si="62"/>
        <x:v>0</x:v>
      </x:c>
      <x:c r="GH71">
        <x:f t="shared" si="63"/>
        <x:v>0</x:v>
      </x:c>
      <x:c r="GI71">
        <x:f t="shared" si="64"/>
        <x:v>0</x:v>
      </x:c>
      <x:c r="GJ71">
        <x:f t="shared" si="65"/>
        <x:v>0</x:v>
      </x:c>
      <x:c r="GK71">
        <x:f t="shared" si="66"/>
        <x:v>0</x:v>
      </x:c>
      <x:c r="GL71">
        <x:f t="shared" si="67"/>
        <x:v>0</x:v>
      </x:c>
      <x:c r="GM71">
        <x:f t="shared" si="68"/>
        <x:v>0</x:v>
      </x:c>
      <x:c r="GN71">
        <x:f t="shared" si="69"/>
        <x:v>0</x:v>
      </x:c>
      <x:c r="GO71">
        <x:f t="shared" si="70"/>
        <x:v>0</x:v>
      </x:c>
      <x:c r="GP71">
        <x:f t="shared" si="71"/>
        <x:v>0</x:v>
      </x:c>
      <x:c r="GQ71">
        <x:f t="shared" si="72"/>
        <x:v>0</x:v>
      </x:c>
      <x:c r="GR71" s="42">
        <x:f t="shared" si="73"/>
        <x:v>0</x:v>
      </x:c>
      <x:c r="GS71">
        <x:f t="shared" si="74"/>
        <x:v>0</x:v>
      </x:c>
      <x:c r="GT71">
        <x:f t="shared" si="75"/>
        <x:v>0</x:v>
      </x:c>
      <x:c r="GU71">
        <x:f t="shared" si="76"/>
        <x:v>0</x:v>
      </x:c>
      <x:c r="GV71">
        <x:f t="shared" si="77"/>
        <x:v>0</x:v>
      </x:c>
      <x:c r="GW71">
        <x:f t="shared" si="78"/>
        <x:v>0</x:v>
      </x:c>
      <x:c r="GX71">
        <x:f t="shared" si="79"/>
        <x:v>0</x:v>
      </x:c>
      <x:c r="GY71">
        <x:f t="shared" si="80"/>
        <x:v>0</x:v>
      </x:c>
      <x:c r="GZ71">
        <x:f t="shared" si="81"/>
        <x:v>0</x:v>
      </x:c>
      <x:c r="HA71">
        <x:f t="shared" si="82"/>
        <x:v>0</x:v>
      </x:c>
      <x:c r="HB71" s="42">
        <x:f t="shared" si="83"/>
        <x:v>0</x:v>
      </x:c>
      <x:c r="HC71">
        <x:f t="shared" si="84"/>
        <x:v>0</x:v>
      </x:c>
      <x:c r="HD71">
        <x:f t="shared" si="85"/>
        <x:v>0</x:v>
      </x:c>
      <x:c r="HE71">
        <x:f t="shared" si="86"/>
        <x:v>0</x:v>
      </x:c>
      <x:c r="HF71">
        <x:f t="shared" si="87"/>
        <x:v>0</x:v>
      </x:c>
      <x:c r="HG71">
        <x:f t="shared" si="88"/>
        <x:v>0</x:v>
      </x:c>
      <x:c r="HH71">
        <x:f t="shared" si="89"/>
        <x:v>0</x:v>
      </x:c>
      <x:c r="HI71">
        <x:f t="shared" si="90"/>
        <x:v>0</x:v>
      </x:c>
      <x:c r="HJ71">
        <x:f t="shared" si="91"/>
        <x:v>0</x:v>
      </x:c>
      <x:c r="HK71">
        <x:f t="shared" si="92"/>
        <x:v>0</x:v>
      </x:c>
      <x:c r="HL71">
        <x:f t="shared" si="93"/>
        <x:v>0</x:v>
      </x:c>
    </x:row>
    <x:row r="72">
      <x:c r="D72" s="74"/>
      <x:c r="EQ72">
        <x:f t="shared" si="20"/>
        <x:v>0</x:v>
      </x:c>
      <x:c r="ER72">
        <x:f t="shared" si="21"/>
        <x:v>0</x:v>
      </x:c>
      <x:c r="ES72">
        <x:f t="shared" si="22"/>
        <x:v>0</x:v>
      </x:c>
      <x:c r="ET72">
        <x:f t="shared" si="23"/>
        <x:v>0</x:v>
      </x:c>
      <x:c r="EU72">
        <x:f t="shared" si="24"/>
        <x:v>0</x:v>
      </x:c>
      <x:c r="EV72">
        <x:f t="shared" si="25"/>
        <x:v>0</x:v>
      </x:c>
      <x:c r="EW72">
        <x:f t="shared" si="26"/>
        <x:v>0</x:v>
      </x:c>
      <x:c r="EX72">
        <x:f t="shared" si="27"/>
        <x:v>0</x:v>
      </x:c>
      <x:c r="EY72">
        <x:f t="shared" si="28"/>
        <x:v>0</x:v>
      </x:c>
      <x:c r="EZ72">
        <x:f t="shared" si="29"/>
        <x:v>0</x:v>
      </x:c>
      <x:c r="FA72" s="41">
        <x:f t="shared" si="30"/>
        <x:v>0</x:v>
      </x:c>
      <x:c r="FB72">
        <x:f t="shared" si="31"/>
        <x:v>0</x:v>
      </x:c>
      <x:c r="FC72">
        <x:f t="shared" si="32"/>
        <x:v>0</x:v>
      </x:c>
      <x:c r="FD72">
        <x:f t="shared" si="33"/>
        <x:v>0</x:v>
      </x:c>
      <x:c r="FE72">
        <x:f t="shared" si="34"/>
        <x:v>0</x:v>
      </x:c>
      <x:c r="FF72">
        <x:f t="shared" si="35"/>
        <x:v>0</x:v>
      </x:c>
      <x:c r="FG72">
        <x:f t="shared" si="36"/>
        <x:v>0</x:v>
      </x:c>
      <x:c r="FH72">
        <x:f t="shared" si="37"/>
        <x:v>0</x:v>
      </x:c>
      <x:c r="FI72">
        <x:f t="shared" si="38"/>
        <x:v>0</x:v>
      </x:c>
      <x:c r="FJ72">
        <x:f t="shared" si="39"/>
        <x:v>0</x:v>
      </x:c>
      <x:c r="FK72">
        <x:f t="shared" si="40"/>
        <x:v>0</x:v>
      </x:c>
      <x:c r="FL72" s="41">
        <x:f t="shared" si="41"/>
        <x:v>0</x:v>
      </x:c>
      <x:c r="FM72">
        <x:f t="shared" si="42"/>
        <x:v>0</x:v>
      </x:c>
      <x:c r="FN72">
        <x:f t="shared" si="43"/>
        <x:v>0</x:v>
      </x:c>
      <x:c r="FO72">
        <x:f t="shared" si="44"/>
        <x:v>0</x:v>
      </x:c>
      <x:c r="FP72">
        <x:f t="shared" si="45"/>
        <x:v>0</x:v>
      </x:c>
      <x:c r="FQ72">
        <x:f t="shared" si="46"/>
        <x:v>0</x:v>
      </x:c>
      <x:c r="FR72">
        <x:f t="shared" si="47"/>
        <x:v>0</x:v>
      </x:c>
      <x:c r="FS72">
        <x:f t="shared" si="48"/>
        <x:v>0</x:v>
      </x:c>
      <x:c r="FT72">
        <x:f t="shared" si="49"/>
        <x:v>0</x:v>
      </x:c>
      <x:c r="FU72">
        <x:f t="shared" si="50"/>
        <x:v>0</x:v>
      </x:c>
      <x:c r="FV72">
        <x:f t="shared" si="51"/>
        <x:v>0</x:v>
      </x:c>
      <x:c r="FW72" s="41">
        <x:f t="shared" si="52"/>
        <x:v>0</x:v>
      </x:c>
      <x:c r="FX72">
        <x:f t="shared" si="53"/>
        <x:v>0</x:v>
      </x:c>
      <x:c r="FY72">
        <x:f t="shared" si="54"/>
        <x:v>0</x:v>
      </x:c>
      <x:c r="FZ72">
        <x:f t="shared" si="55"/>
        <x:v>0</x:v>
      </x:c>
      <x:c r="GA72">
        <x:f t="shared" si="56"/>
        <x:v>0</x:v>
      </x:c>
      <x:c r="GB72">
        <x:f t="shared" si="57"/>
        <x:v>0</x:v>
      </x:c>
      <x:c r="GC72">
        <x:f t="shared" si="58"/>
        <x:v>0</x:v>
      </x:c>
      <x:c r="GD72">
        <x:f t="shared" si="59"/>
        <x:v>0</x:v>
      </x:c>
      <x:c r="GE72">
        <x:f t="shared" si="60"/>
        <x:v>0</x:v>
      </x:c>
      <x:c r="GF72">
        <x:f t="shared" si="61"/>
        <x:v>0</x:v>
      </x:c>
      <x:c r="GG72">
        <x:f t="shared" si="62"/>
        <x:v>0</x:v>
      </x:c>
      <x:c r="GH72">
        <x:f t="shared" si="63"/>
        <x:v>0</x:v>
      </x:c>
      <x:c r="GI72">
        <x:f t="shared" si="64"/>
        <x:v>0</x:v>
      </x:c>
      <x:c r="GJ72">
        <x:f t="shared" si="65"/>
        <x:v>0</x:v>
      </x:c>
      <x:c r="GK72">
        <x:f t="shared" si="66"/>
        <x:v>0</x:v>
      </x:c>
      <x:c r="GL72">
        <x:f t="shared" si="67"/>
        <x:v>0</x:v>
      </x:c>
      <x:c r="GM72">
        <x:f t="shared" si="68"/>
        <x:v>0</x:v>
      </x:c>
      <x:c r="GN72">
        <x:f t="shared" si="69"/>
        <x:v>0</x:v>
      </x:c>
      <x:c r="GO72">
        <x:f t="shared" si="70"/>
        <x:v>0</x:v>
      </x:c>
      <x:c r="GP72">
        <x:f t="shared" si="71"/>
        <x:v>0</x:v>
      </x:c>
      <x:c r="GQ72">
        <x:f t="shared" si="72"/>
        <x:v>0</x:v>
      </x:c>
      <x:c r="GR72" s="42">
        <x:f t="shared" si="73"/>
        <x:v>0</x:v>
      </x:c>
      <x:c r="GS72">
        <x:f t="shared" si="74"/>
        <x:v>0</x:v>
      </x:c>
      <x:c r="GT72">
        <x:f t="shared" si="75"/>
        <x:v>0</x:v>
      </x:c>
      <x:c r="GU72">
        <x:f t="shared" si="76"/>
        <x:v>0</x:v>
      </x:c>
      <x:c r="GV72">
        <x:f t="shared" si="77"/>
        <x:v>0</x:v>
      </x:c>
      <x:c r="GW72">
        <x:f t="shared" si="78"/>
        <x:v>0</x:v>
      </x:c>
      <x:c r="GX72">
        <x:f t="shared" si="79"/>
        <x:v>0</x:v>
      </x:c>
      <x:c r="GY72">
        <x:f t="shared" si="80"/>
        <x:v>0</x:v>
      </x:c>
      <x:c r="GZ72">
        <x:f t="shared" si="81"/>
        <x:v>0</x:v>
      </x:c>
      <x:c r="HA72">
        <x:f t="shared" si="82"/>
        <x:v>0</x:v>
      </x:c>
      <x:c r="HB72" s="42">
        <x:f t="shared" si="83"/>
        <x:v>0</x:v>
      </x:c>
      <x:c r="HC72">
        <x:f t="shared" si="84"/>
        <x:v>0</x:v>
      </x:c>
      <x:c r="HD72">
        <x:f t="shared" si="85"/>
        <x:v>0</x:v>
      </x:c>
      <x:c r="HE72">
        <x:f t="shared" si="86"/>
        <x:v>0</x:v>
      </x:c>
      <x:c r="HF72">
        <x:f t="shared" si="87"/>
        <x:v>0</x:v>
      </x:c>
      <x:c r="HG72">
        <x:f t="shared" si="88"/>
        <x:v>0</x:v>
      </x:c>
      <x:c r="HH72">
        <x:f t="shared" si="89"/>
        <x:v>0</x:v>
      </x:c>
      <x:c r="HI72">
        <x:f t="shared" si="90"/>
        <x:v>0</x:v>
      </x:c>
      <x:c r="HJ72">
        <x:f t="shared" si="91"/>
        <x:v>0</x:v>
      </x:c>
      <x:c r="HK72">
        <x:f t="shared" si="92"/>
        <x:v>0</x:v>
      </x:c>
      <x:c r="HL72">
        <x:f t="shared" si="93"/>
        <x:v>0</x:v>
      </x:c>
    </x:row>
    <x:row r="73">
      <x:c r="D73" s="74"/>
      <x:c r="EQ73">
        <x:f t="shared" si="20"/>
        <x:v>0</x:v>
      </x:c>
      <x:c r="ER73">
        <x:f t="shared" si="21"/>
        <x:v>0</x:v>
      </x:c>
      <x:c r="ES73">
        <x:f t="shared" si="22"/>
        <x:v>0</x:v>
      </x:c>
      <x:c r="ET73">
        <x:f t="shared" si="23"/>
        <x:v>0</x:v>
      </x:c>
      <x:c r="EU73">
        <x:f t="shared" si="24"/>
        <x:v>0</x:v>
      </x:c>
      <x:c r="EV73">
        <x:f t="shared" si="25"/>
        <x:v>0</x:v>
      </x:c>
      <x:c r="EW73">
        <x:f t="shared" si="26"/>
        <x:v>0</x:v>
      </x:c>
      <x:c r="EX73">
        <x:f t="shared" si="27"/>
        <x:v>0</x:v>
      </x:c>
      <x:c r="EY73">
        <x:f t="shared" si="28"/>
        <x:v>0</x:v>
      </x:c>
      <x:c r="EZ73">
        <x:f t="shared" si="29"/>
        <x:v>0</x:v>
      </x:c>
      <x:c r="FA73" s="41">
        <x:f t="shared" si="30"/>
        <x:v>0</x:v>
      </x:c>
      <x:c r="FB73">
        <x:f t="shared" si="31"/>
        <x:v>0</x:v>
      </x:c>
      <x:c r="FC73">
        <x:f t="shared" si="32"/>
        <x:v>0</x:v>
      </x:c>
      <x:c r="FD73">
        <x:f t="shared" si="33"/>
        <x:v>0</x:v>
      </x:c>
      <x:c r="FE73">
        <x:f t="shared" si="34"/>
        <x:v>0</x:v>
      </x:c>
      <x:c r="FF73">
        <x:f t="shared" si="35"/>
        <x:v>0</x:v>
      </x:c>
      <x:c r="FG73">
        <x:f t="shared" si="36"/>
        <x:v>0</x:v>
      </x:c>
      <x:c r="FH73">
        <x:f t="shared" si="37"/>
        <x:v>0</x:v>
      </x:c>
      <x:c r="FI73">
        <x:f t="shared" si="38"/>
        <x:v>0</x:v>
      </x:c>
      <x:c r="FJ73">
        <x:f t="shared" si="39"/>
        <x:v>0</x:v>
      </x:c>
      <x:c r="FK73">
        <x:f t="shared" si="40"/>
        <x:v>0</x:v>
      </x:c>
      <x:c r="FL73" s="41">
        <x:f t="shared" si="41"/>
        <x:v>0</x:v>
      </x:c>
      <x:c r="FM73">
        <x:f t="shared" si="42"/>
        <x:v>0</x:v>
      </x:c>
      <x:c r="FN73">
        <x:f t="shared" si="43"/>
        <x:v>0</x:v>
      </x:c>
      <x:c r="FO73">
        <x:f t="shared" si="44"/>
        <x:v>0</x:v>
      </x:c>
      <x:c r="FP73">
        <x:f t="shared" si="45"/>
        <x:v>0</x:v>
      </x:c>
      <x:c r="FQ73">
        <x:f t="shared" si="46"/>
        <x:v>0</x:v>
      </x:c>
      <x:c r="FR73">
        <x:f t="shared" si="47"/>
        <x:v>0</x:v>
      </x:c>
      <x:c r="FS73">
        <x:f t="shared" si="48"/>
        <x:v>0</x:v>
      </x:c>
      <x:c r="FT73">
        <x:f t="shared" si="49"/>
        <x:v>0</x:v>
      </x:c>
      <x:c r="FU73">
        <x:f t="shared" si="50"/>
        <x:v>0</x:v>
      </x:c>
      <x:c r="FV73">
        <x:f t="shared" si="51"/>
        <x:v>0</x:v>
      </x:c>
      <x:c r="FW73" s="41">
        <x:f t="shared" si="52"/>
        <x:v>0</x:v>
      </x:c>
      <x:c r="FX73">
        <x:f t="shared" si="53"/>
        <x:v>0</x:v>
      </x:c>
      <x:c r="FY73">
        <x:f t="shared" si="54"/>
        <x:v>0</x:v>
      </x:c>
      <x:c r="FZ73">
        <x:f t="shared" si="55"/>
        <x:v>0</x:v>
      </x:c>
      <x:c r="GA73">
        <x:f t="shared" si="56"/>
        <x:v>0</x:v>
      </x:c>
      <x:c r="GB73">
        <x:f t="shared" si="57"/>
        <x:v>0</x:v>
      </x:c>
      <x:c r="GC73">
        <x:f t="shared" si="58"/>
        <x:v>0</x:v>
      </x:c>
      <x:c r="GD73">
        <x:f t="shared" si="59"/>
        <x:v>0</x:v>
      </x:c>
      <x:c r="GE73">
        <x:f t="shared" si="60"/>
        <x:v>0</x:v>
      </x:c>
      <x:c r="GF73">
        <x:f t="shared" si="61"/>
        <x:v>0</x:v>
      </x:c>
      <x:c r="GG73">
        <x:f t="shared" si="62"/>
        <x:v>0</x:v>
      </x:c>
      <x:c r="GH73">
        <x:f t="shared" si="63"/>
        <x:v>0</x:v>
      </x:c>
      <x:c r="GI73">
        <x:f t="shared" si="64"/>
        <x:v>0</x:v>
      </x:c>
      <x:c r="GJ73">
        <x:f t="shared" si="65"/>
        <x:v>0</x:v>
      </x:c>
      <x:c r="GK73">
        <x:f t="shared" si="66"/>
        <x:v>0</x:v>
      </x:c>
      <x:c r="GL73">
        <x:f t="shared" si="67"/>
        <x:v>0</x:v>
      </x:c>
      <x:c r="GM73">
        <x:f t="shared" si="68"/>
        <x:v>0</x:v>
      </x:c>
      <x:c r="GN73">
        <x:f t="shared" si="69"/>
        <x:v>0</x:v>
      </x:c>
      <x:c r="GO73">
        <x:f t="shared" si="70"/>
        <x:v>0</x:v>
      </x:c>
      <x:c r="GP73">
        <x:f t="shared" si="71"/>
        <x:v>0</x:v>
      </x:c>
      <x:c r="GQ73">
        <x:f t="shared" si="72"/>
        <x:v>0</x:v>
      </x:c>
      <x:c r="GR73" s="42">
        <x:f t="shared" si="73"/>
        <x:v>0</x:v>
      </x:c>
      <x:c r="GS73">
        <x:f t="shared" si="74"/>
        <x:v>0</x:v>
      </x:c>
      <x:c r="GT73">
        <x:f t="shared" si="75"/>
        <x:v>0</x:v>
      </x:c>
      <x:c r="GU73">
        <x:f t="shared" si="76"/>
        <x:v>0</x:v>
      </x:c>
      <x:c r="GV73">
        <x:f t="shared" si="77"/>
        <x:v>0</x:v>
      </x:c>
      <x:c r="GW73">
        <x:f t="shared" si="78"/>
        <x:v>0</x:v>
      </x:c>
      <x:c r="GX73">
        <x:f t="shared" si="79"/>
        <x:v>0</x:v>
      </x:c>
      <x:c r="GY73">
        <x:f t="shared" si="80"/>
        <x:v>0</x:v>
      </x:c>
      <x:c r="GZ73">
        <x:f t="shared" si="81"/>
        <x:v>0</x:v>
      </x:c>
      <x:c r="HA73">
        <x:f t="shared" si="82"/>
        <x:v>0</x:v>
      </x:c>
      <x:c r="HB73" s="42">
        <x:f t="shared" si="83"/>
        <x:v>0</x:v>
      </x:c>
      <x:c r="HC73">
        <x:f t="shared" si="84"/>
        <x:v>0</x:v>
      </x:c>
      <x:c r="HD73">
        <x:f t="shared" si="85"/>
        <x:v>0</x:v>
      </x:c>
      <x:c r="HE73">
        <x:f t="shared" si="86"/>
        <x:v>0</x:v>
      </x:c>
      <x:c r="HF73">
        <x:f t="shared" si="87"/>
        <x:v>0</x:v>
      </x:c>
      <x:c r="HG73">
        <x:f t="shared" si="88"/>
        <x:v>0</x:v>
      </x:c>
      <x:c r="HH73">
        <x:f t="shared" si="89"/>
        <x:v>0</x:v>
      </x:c>
      <x:c r="HI73">
        <x:f t="shared" si="90"/>
        <x:v>0</x:v>
      </x:c>
      <x:c r="HJ73">
        <x:f t="shared" si="91"/>
        <x:v>0</x:v>
      </x:c>
      <x:c r="HK73">
        <x:f t="shared" si="92"/>
        <x:v>0</x:v>
      </x:c>
      <x:c r="HL73">
        <x:f t="shared" si="93"/>
        <x:v>0</x:v>
      </x:c>
    </x:row>
    <x:row r="74">
      <x:c r="D74" s="74"/>
      <x:c r="EQ74">
        <x:f t="shared" si="20"/>
        <x:v>0</x:v>
      </x:c>
      <x:c r="ER74">
        <x:f t="shared" si="21"/>
        <x:v>0</x:v>
      </x:c>
      <x:c r="ES74">
        <x:f t="shared" si="22"/>
        <x:v>0</x:v>
      </x:c>
      <x:c r="ET74">
        <x:f t="shared" si="23"/>
        <x:v>0</x:v>
      </x:c>
      <x:c r="EU74">
        <x:f t="shared" si="24"/>
        <x:v>0</x:v>
      </x:c>
      <x:c r="EV74">
        <x:f t="shared" si="25"/>
        <x:v>0</x:v>
      </x:c>
      <x:c r="EW74">
        <x:f t="shared" si="26"/>
        <x:v>0</x:v>
      </x:c>
      <x:c r="EX74">
        <x:f t="shared" si="27"/>
        <x:v>0</x:v>
      </x:c>
      <x:c r="EY74">
        <x:f t="shared" si="28"/>
        <x:v>0</x:v>
      </x:c>
      <x:c r="EZ74">
        <x:f t="shared" si="29"/>
        <x:v>0</x:v>
      </x:c>
      <x:c r="FA74" s="41">
        <x:f t="shared" si="30"/>
        <x:v>0</x:v>
      </x:c>
      <x:c r="FB74">
        <x:f t="shared" si="31"/>
        <x:v>0</x:v>
      </x:c>
      <x:c r="FC74">
        <x:f t="shared" si="32"/>
        <x:v>0</x:v>
      </x:c>
      <x:c r="FD74">
        <x:f t="shared" si="33"/>
        <x:v>0</x:v>
      </x:c>
      <x:c r="FE74">
        <x:f t="shared" si="34"/>
        <x:v>0</x:v>
      </x:c>
      <x:c r="FF74">
        <x:f t="shared" si="35"/>
        <x:v>0</x:v>
      </x:c>
      <x:c r="FG74">
        <x:f t="shared" si="36"/>
        <x:v>0</x:v>
      </x:c>
      <x:c r="FH74">
        <x:f t="shared" si="37"/>
        <x:v>0</x:v>
      </x:c>
      <x:c r="FI74">
        <x:f t="shared" si="38"/>
        <x:v>0</x:v>
      </x:c>
      <x:c r="FJ74">
        <x:f t="shared" si="39"/>
        <x:v>0</x:v>
      </x:c>
      <x:c r="FK74">
        <x:f t="shared" si="40"/>
        <x:v>0</x:v>
      </x:c>
      <x:c r="FL74" s="41">
        <x:f t="shared" si="41"/>
        <x:v>0</x:v>
      </x:c>
      <x:c r="FM74">
        <x:f t="shared" si="42"/>
        <x:v>0</x:v>
      </x:c>
      <x:c r="FN74">
        <x:f t="shared" si="43"/>
        <x:v>0</x:v>
      </x:c>
      <x:c r="FO74">
        <x:f t="shared" si="44"/>
        <x:v>0</x:v>
      </x:c>
      <x:c r="FP74">
        <x:f t="shared" si="45"/>
        <x:v>0</x:v>
      </x:c>
      <x:c r="FQ74">
        <x:f t="shared" si="46"/>
        <x:v>0</x:v>
      </x:c>
      <x:c r="FR74">
        <x:f t="shared" si="47"/>
        <x:v>0</x:v>
      </x:c>
      <x:c r="FS74">
        <x:f t="shared" si="48"/>
        <x:v>0</x:v>
      </x:c>
      <x:c r="FT74">
        <x:f t="shared" si="49"/>
        <x:v>0</x:v>
      </x:c>
      <x:c r="FU74">
        <x:f t="shared" si="50"/>
        <x:v>0</x:v>
      </x:c>
      <x:c r="FV74">
        <x:f t="shared" si="51"/>
        <x:v>0</x:v>
      </x:c>
      <x:c r="FW74" s="41">
        <x:f t="shared" si="52"/>
        <x:v>0</x:v>
      </x:c>
      <x:c r="FX74">
        <x:f t="shared" si="53"/>
        <x:v>0</x:v>
      </x:c>
      <x:c r="FY74">
        <x:f t="shared" si="54"/>
        <x:v>0</x:v>
      </x:c>
      <x:c r="FZ74">
        <x:f t="shared" si="55"/>
        <x:v>0</x:v>
      </x:c>
      <x:c r="GA74">
        <x:f t="shared" si="56"/>
        <x:v>0</x:v>
      </x:c>
      <x:c r="GB74">
        <x:f t="shared" si="57"/>
        <x:v>0</x:v>
      </x:c>
      <x:c r="GC74">
        <x:f t="shared" si="58"/>
        <x:v>0</x:v>
      </x:c>
      <x:c r="GD74">
        <x:f t="shared" si="59"/>
        <x:v>0</x:v>
      </x:c>
      <x:c r="GE74">
        <x:f t="shared" si="60"/>
        <x:v>0</x:v>
      </x:c>
      <x:c r="GF74">
        <x:f t="shared" si="61"/>
        <x:v>0</x:v>
      </x:c>
      <x:c r="GG74">
        <x:f t="shared" si="62"/>
        <x:v>0</x:v>
      </x:c>
      <x:c r="GH74">
        <x:f t="shared" si="63"/>
        <x:v>0</x:v>
      </x:c>
      <x:c r="GI74">
        <x:f t="shared" si="64"/>
        <x:v>0</x:v>
      </x:c>
      <x:c r="GJ74">
        <x:f t="shared" si="65"/>
        <x:v>0</x:v>
      </x:c>
      <x:c r="GK74">
        <x:f t="shared" si="66"/>
        <x:v>0</x:v>
      </x:c>
      <x:c r="GL74">
        <x:f t="shared" si="67"/>
        <x:v>0</x:v>
      </x:c>
      <x:c r="GM74">
        <x:f t="shared" si="68"/>
        <x:v>0</x:v>
      </x:c>
      <x:c r="GN74">
        <x:f t="shared" si="69"/>
        <x:v>0</x:v>
      </x:c>
      <x:c r="GO74">
        <x:f t="shared" si="70"/>
        <x:v>0</x:v>
      </x:c>
      <x:c r="GP74">
        <x:f t="shared" si="71"/>
        <x:v>0</x:v>
      </x:c>
      <x:c r="GQ74">
        <x:f t="shared" si="72"/>
        <x:v>0</x:v>
      </x:c>
      <x:c r="GR74" s="42">
        <x:f t="shared" si="73"/>
        <x:v>0</x:v>
      </x:c>
      <x:c r="GS74">
        <x:f t="shared" si="74"/>
        <x:v>0</x:v>
      </x:c>
      <x:c r="GT74">
        <x:f t="shared" si="75"/>
        <x:v>0</x:v>
      </x:c>
      <x:c r="GU74">
        <x:f t="shared" si="76"/>
        <x:v>0</x:v>
      </x:c>
      <x:c r="GV74">
        <x:f t="shared" si="77"/>
        <x:v>0</x:v>
      </x:c>
      <x:c r="GW74">
        <x:f t="shared" si="78"/>
        <x:v>0</x:v>
      </x:c>
      <x:c r="GX74">
        <x:f t="shared" si="79"/>
        <x:v>0</x:v>
      </x:c>
      <x:c r="GY74">
        <x:f t="shared" si="80"/>
        <x:v>0</x:v>
      </x:c>
      <x:c r="GZ74">
        <x:f t="shared" si="81"/>
        <x:v>0</x:v>
      </x:c>
      <x:c r="HA74">
        <x:f t="shared" si="82"/>
        <x:v>0</x:v>
      </x:c>
      <x:c r="HB74" s="42">
        <x:f t="shared" si="83"/>
        <x:v>0</x:v>
      </x:c>
      <x:c r="HC74">
        <x:f t="shared" si="84"/>
        <x:v>0</x:v>
      </x:c>
      <x:c r="HD74">
        <x:f t="shared" si="85"/>
        <x:v>0</x:v>
      </x:c>
      <x:c r="HE74">
        <x:f t="shared" si="86"/>
        <x:v>0</x:v>
      </x:c>
      <x:c r="HF74">
        <x:f t="shared" si="87"/>
        <x:v>0</x:v>
      </x:c>
      <x:c r="HG74">
        <x:f t="shared" si="88"/>
        <x:v>0</x:v>
      </x:c>
      <x:c r="HH74">
        <x:f t="shared" si="89"/>
        <x:v>0</x:v>
      </x:c>
      <x:c r="HI74">
        <x:f t="shared" si="90"/>
        <x:v>0</x:v>
      </x:c>
      <x:c r="HJ74">
        <x:f t="shared" si="91"/>
        <x:v>0</x:v>
      </x:c>
      <x:c r="HK74">
        <x:f t="shared" si="92"/>
        <x:v>0</x:v>
      </x:c>
      <x:c r="HL74">
        <x:f t="shared" si="93"/>
        <x:v>0</x:v>
      </x:c>
    </x:row>
    <x:row r="75">
      <x:c r="D75" s="74"/>
      <x:c r="EQ75">
        <x:f t="shared" si="20"/>
        <x:v>0</x:v>
      </x:c>
      <x:c r="ER75">
        <x:f t="shared" si="21"/>
        <x:v>0</x:v>
      </x:c>
      <x:c r="ES75">
        <x:f t="shared" si="22"/>
        <x:v>0</x:v>
      </x:c>
      <x:c r="ET75">
        <x:f t="shared" si="23"/>
        <x:v>0</x:v>
      </x:c>
      <x:c r="EU75">
        <x:f t="shared" si="24"/>
        <x:v>0</x:v>
      </x:c>
      <x:c r="EV75">
        <x:f t="shared" si="25"/>
        <x:v>0</x:v>
      </x:c>
      <x:c r="EW75">
        <x:f t="shared" si="26"/>
        <x:v>0</x:v>
      </x:c>
      <x:c r="EX75">
        <x:f t="shared" si="27"/>
        <x:v>0</x:v>
      </x:c>
      <x:c r="EY75">
        <x:f t="shared" si="28"/>
        <x:v>0</x:v>
      </x:c>
      <x:c r="EZ75">
        <x:f t="shared" si="29"/>
        <x:v>0</x:v>
      </x:c>
      <x:c r="FA75" s="41">
        <x:f t="shared" si="30"/>
        <x:v>0</x:v>
      </x:c>
      <x:c r="FB75">
        <x:f t="shared" si="31"/>
        <x:v>0</x:v>
      </x:c>
      <x:c r="FC75">
        <x:f t="shared" si="32"/>
        <x:v>0</x:v>
      </x:c>
      <x:c r="FD75">
        <x:f t="shared" si="33"/>
        <x:v>0</x:v>
      </x:c>
      <x:c r="FE75">
        <x:f t="shared" si="34"/>
        <x:v>0</x:v>
      </x:c>
      <x:c r="FF75">
        <x:f t="shared" si="35"/>
        <x:v>0</x:v>
      </x:c>
      <x:c r="FG75">
        <x:f t="shared" si="36"/>
        <x:v>0</x:v>
      </x:c>
      <x:c r="FH75">
        <x:f t="shared" si="37"/>
        <x:v>0</x:v>
      </x:c>
      <x:c r="FI75">
        <x:f t="shared" si="38"/>
        <x:v>0</x:v>
      </x:c>
      <x:c r="FJ75">
        <x:f t="shared" si="39"/>
        <x:v>0</x:v>
      </x:c>
      <x:c r="FK75">
        <x:f t="shared" si="40"/>
        <x:v>0</x:v>
      </x:c>
      <x:c r="FL75" s="41">
        <x:f t="shared" si="41"/>
        <x:v>0</x:v>
      </x:c>
      <x:c r="FM75">
        <x:f t="shared" si="42"/>
        <x:v>0</x:v>
      </x:c>
      <x:c r="FN75">
        <x:f t="shared" si="43"/>
        <x:v>0</x:v>
      </x:c>
      <x:c r="FO75">
        <x:f t="shared" si="44"/>
        <x:v>0</x:v>
      </x:c>
      <x:c r="FP75">
        <x:f t="shared" si="45"/>
        <x:v>0</x:v>
      </x:c>
      <x:c r="FQ75">
        <x:f t="shared" si="46"/>
        <x:v>0</x:v>
      </x:c>
      <x:c r="FR75">
        <x:f t="shared" si="47"/>
        <x:v>0</x:v>
      </x:c>
      <x:c r="FS75">
        <x:f t="shared" si="48"/>
        <x:v>0</x:v>
      </x:c>
      <x:c r="FT75">
        <x:f t="shared" si="49"/>
        <x:v>0</x:v>
      </x:c>
      <x:c r="FU75">
        <x:f t="shared" si="50"/>
        <x:v>0</x:v>
      </x:c>
      <x:c r="FV75">
        <x:f t="shared" si="51"/>
        <x:v>0</x:v>
      </x:c>
      <x:c r="FW75" s="41">
        <x:f t="shared" si="52"/>
        <x:v>0</x:v>
      </x:c>
      <x:c r="FX75">
        <x:f t="shared" si="53"/>
        <x:v>0</x:v>
      </x:c>
      <x:c r="FY75">
        <x:f t="shared" si="54"/>
        <x:v>0</x:v>
      </x:c>
      <x:c r="FZ75">
        <x:f t="shared" si="55"/>
        <x:v>0</x:v>
      </x:c>
      <x:c r="GA75">
        <x:f t="shared" si="56"/>
        <x:v>0</x:v>
      </x:c>
      <x:c r="GB75">
        <x:f t="shared" si="57"/>
        <x:v>0</x:v>
      </x:c>
      <x:c r="GC75">
        <x:f t="shared" si="58"/>
        <x:v>0</x:v>
      </x:c>
      <x:c r="GD75">
        <x:f t="shared" si="59"/>
        <x:v>0</x:v>
      </x:c>
      <x:c r="GE75">
        <x:f t="shared" si="60"/>
        <x:v>0</x:v>
      </x:c>
      <x:c r="GF75">
        <x:f t="shared" si="61"/>
        <x:v>0</x:v>
      </x:c>
      <x:c r="GG75">
        <x:f t="shared" si="62"/>
        <x:v>0</x:v>
      </x:c>
      <x:c r="GH75">
        <x:f t="shared" si="63"/>
        <x:v>0</x:v>
      </x:c>
      <x:c r="GI75">
        <x:f t="shared" si="64"/>
        <x:v>0</x:v>
      </x:c>
      <x:c r="GJ75">
        <x:f t="shared" si="65"/>
        <x:v>0</x:v>
      </x:c>
      <x:c r="GK75">
        <x:f t="shared" si="66"/>
        <x:v>0</x:v>
      </x:c>
      <x:c r="GL75">
        <x:f t="shared" si="67"/>
        <x:v>0</x:v>
      </x:c>
      <x:c r="GM75">
        <x:f t="shared" si="68"/>
        <x:v>0</x:v>
      </x:c>
      <x:c r="GN75">
        <x:f t="shared" si="69"/>
        <x:v>0</x:v>
      </x:c>
      <x:c r="GO75">
        <x:f t="shared" si="70"/>
        <x:v>0</x:v>
      </x:c>
      <x:c r="GP75">
        <x:f t="shared" si="71"/>
        <x:v>0</x:v>
      </x:c>
      <x:c r="GQ75">
        <x:f t="shared" si="72"/>
        <x:v>0</x:v>
      </x:c>
      <x:c r="GR75" s="42">
        <x:f t="shared" si="73"/>
        <x:v>0</x:v>
      </x:c>
      <x:c r="GS75">
        <x:f t="shared" si="74"/>
        <x:v>0</x:v>
      </x:c>
      <x:c r="GT75">
        <x:f t="shared" si="75"/>
        <x:v>0</x:v>
      </x:c>
      <x:c r="GU75">
        <x:f t="shared" si="76"/>
        <x:v>0</x:v>
      </x:c>
      <x:c r="GV75">
        <x:f t="shared" si="77"/>
        <x:v>0</x:v>
      </x:c>
      <x:c r="GW75">
        <x:f t="shared" si="78"/>
        <x:v>0</x:v>
      </x:c>
      <x:c r="GX75">
        <x:f t="shared" si="79"/>
        <x:v>0</x:v>
      </x:c>
      <x:c r="GY75">
        <x:f t="shared" si="80"/>
        <x:v>0</x:v>
      </x:c>
      <x:c r="GZ75">
        <x:f t="shared" si="81"/>
        <x:v>0</x:v>
      </x:c>
      <x:c r="HA75">
        <x:f t="shared" si="82"/>
        <x:v>0</x:v>
      </x:c>
      <x:c r="HB75" s="42">
        <x:f t="shared" si="83"/>
        <x:v>0</x:v>
      </x:c>
      <x:c r="HC75">
        <x:f t="shared" si="84"/>
        <x:v>0</x:v>
      </x:c>
      <x:c r="HD75">
        <x:f t="shared" si="85"/>
        <x:v>0</x:v>
      </x:c>
      <x:c r="HE75">
        <x:f t="shared" si="86"/>
        <x:v>0</x:v>
      </x:c>
      <x:c r="HF75">
        <x:f t="shared" si="87"/>
        <x:v>0</x:v>
      </x:c>
      <x:c r="HG75">
        <x:f t="shared" si="88"/>
        <x:v>0</x:v>
      </x:c>
      <x:c r="HH75">
        <x:f t="shared" si="89"/>
        <x:v>0</x:v>
      </x:c>
      <x:c r="HI75">
        <x:f t="shared" si="90"/>
        <x:v>0</x:v>
      </x:c>
      <x:c r="HJ75">
        <x:f t="shared" si="91"/>
        <x:v>0</x:v>
      </x:c>
      <x:c r="HK75">
        <x:f t="shared" si="92"/>
        <x:v>0</x:v>
      </x:c>
      <x:c r="HL75">
        <x:f t="shared" si="93"/>
        <x:v>0</x:v>
      </x:c>
    </x:row>
    <x:row r="76">
      <x:c r="D76" s="74"/>
      <x:c r="EQ76">
        <x:f t="shared" si="20"/>
        <x:v>0</x:v>
      </x:c>
      <x:c r="ER76">
        <x:f t="shared" si="21"/>
        <x:v>0</x:v>
      </x:c>
      <x:c r="ES76">
        <x:f t="shared" si="22"/>
        <x:v>0</x:v>
      </x:c>
      <x:c r="ET76">
        <x:f t="shared" si="23"/>
        <x:v>0</x:v>
      </x:c>
      <x:c r="EU76">
        <x:f t="shared" si="24"/>
        <x:v>0</x:v>
      </x:c>
      <x:c r="EV76">
        <x:f t="shared" si="25"/>
        <x:v>0</x:v>
      </x:c>
      <x:c r="EW76">
        <x:f t="shared" si="26"/>
        <x:v>0</x:v>
      </x:c>
      <x:c r="EX76">
        <x:f t="shared" si="27"/>
        <x:v>0</x:v>
      </x:c>
      <x:c r="EY76">
        <x:f t="shared" si="28"/>
        <x:v>0</x:v>
      </x:c>
      <x:c r="EZ76">
        <x:f t="shared" si="29"/>
        <x:v>0</x:v>
      </x:c>
      <x:c r="FA76" s="41">
        <x:f t="shared" si="30"/>
        <x:v>0</x:v>
      </x:c>
      <x:c r="FB76">
        <x:f t="shared" si="31"/>
        <x:v>0</x:v>
      </x:c>
      <x:c r="FC76">
        <x:f t="shared" si="32"/>
        <x:v>0</x:v>
      </x:c>
      <x:c r="FD76">
        <x:f t="shared" si="33"/>
        <x:v>0</x:v>
      </x:c>
      <x:c r="FE76">
        <x:f t="shared" si="34"/>
        <x:v>0</x:v>
      </x:c>
      <x:c r="FF76">
        <x:f t="shared" si="35"/>
        <x:v>0</x:v>
      </x:c>
      <x:c r="FG76">
        <x:f t="shared" si="36"/>
        <x:v>0</x:v>
      </x:c>
      <x:c r="FH76">
        <x:f t="shared" si="37"/>
        <x:v>0</x:v>
      </x:c>
      <x:c r="FI76">
        <x:f t="shared" si="38"/>
        <x:v>0</x:v>
      </x:c>
      <x:c r="FJ76">
        <x:f t="shared" si="39"/>
        <x:v>0</x:v>
      </x:c>
      <x:c r="FK76">
        <x:f t="shared" si="40"/>
        <x:v>0</x:v>
      </x:c>
      <x:c r="FL76" s="41">
        <x:f t="shared" si="41"/>
        <x:v>0</x:v>
      </x:c>
      <x:c r="FM76">
        <x:f t="shared" si="42"/>
        <x:v>0</x:v>
      </x:c>
      <x:c r="FN76">
        <x:f t="shared" si="43"/>
        <x:v>0</x:v>
      </x:c>
      <x:c r="FO76">
        <x:f t="shared" si="44"/>
        <x:v>0</x:v>
      </x:c>
      <x:c r="FP76">
        <x:f t="shared" si="45"/>
        <x:v>0</x:v>
      </x:c>
      <x:c r="FQ76">
        <x:f t="shared" si="46"/>
        <x:v>0</x:v>
      </x:c>
      <x:c r="FR76">
        <x:f t="shared" si="47"/>
        <x:v>0</x:v>
      </x:c>
      <x:c r="FS76">
        <x:f t="shared" si="48"/>
        <x:v>0</x:v>
      </x:c>
      <x:c r="FT76">
        <x:f t="shared" si="49"/>
        <x:v>0</x:v>
      </x:c>
      <x:c r="FU76">
        <x:f t="shared" si="50"/>
        <x:v>0</x:v>
      </x:c>
      <x:c r="FV76">
        <x:f t="shared" si="51"/>
        <x:v>0</x:v>
      </x:c>
      <x:c r="FW76" s="41">
        <x:f t="shared" si="52"/>
        <x:v>0</x:v>
      </x:c>
      <x:c r="FX76">
        <x:f t="shared" si="53"/>
        <x:v>0</x:v>
      </x:c>
      <x:c r="FY76">
        <x:f t="shared" si="54"/>
        <x:v>0</x:v>
      </x:c>
      <x:c r="FZ76">
        <x:f t="shared" si="55"/>
        <x:v>0</x:v>
      </x:c>
      <x:c r="GA76">
        <x:f t="shared" si="56"/>
        <x:v>0</x:v>
      </x:c>
      <x:c r="GB76">
        <x:f t="shared" si="57"/>
        <x:v>0</x:v>
      </x:c>
      <x:c r="GC76">
        <x:f t="shared" si="58"/>
        <x:v>0</x:v>
      </x:c>
      <x:c r="GD76">
        <x:f t="shared" si="59"/>
        <x:v>0</x:v>
      </x:c>
      <x:c r="GE76">
        <x:f t="shared" si="60"/>
        <x:v>0</x:v>
      </x:c>
      <x:c r="GF76">
        <x:f t="shared" si="61"/>
        <x:v>0</x:v>
      </x:c>
      <x:c r="GG76">
        <x:f t="shared" si="62"/>
        <x:v>0</x:v>
      </x:c>
      <x:c r="GH76">
        <x:f t="shared" si="63"/>
        <x:v>0</x:v>
      </x:c>
      <x:c r="GI76">
        <x:f t="shared" si="64"/>
        <x:v>0</x:v>
      </x:c>
      <x:c r="GJ76">
        <x:f t="shared" si="65"/>
        <x:v>0</x:v>
      </x:c>
      <x:c r="GK76">
        <x:f t="shared" si="66"/>
        <x:v>0</x:v>
      </x:c>
      <x:c r="GL76">
        <x:f t="shared" si="67"/>
        <x:v>0</x:v>
      </x:c>
      <x:c r="GM76">
        <x:f t="shared" si="68"/>
        <x:v>0</x:v>
      </x:c>
      <x:c r="GN76">
        <x:f t="shared" si="69"/>
        <x:v>0</x:v>
      </x:c>
      <x:c r="GO76">
        <x:f t="shared" si="70"/>
        <x:v>0</x:v>
      </x:c>
      <x:c r="GP76">
        <x:f t="shared" si="71"/>
        <x:v>0</x:v>
      </x:c>
      <x:c r="GQ76">
        <x:f t="shared" si="72"/>
        <x:v>0</x:v>
      </x:c>
      <x:c r="GR76" s="42">
        <x:f t="shared" si="73"/>
        <x:v>0</x:v>
      </x:c>
      <x:c r="GS76">
        <x:f t="shared" si="74"/>
        <x:v>0</x:v>
      </x:c>
      <x:c r="GT76">
        <x:f t="shared" si="75"/>
        <x:v>0</x:v>
      </x:c>
      <x:c r="GU76">
        <x:f t="shared" si="76"/>
        <x:v>0</x:v>
      </x:c>
      <x:c r="GV76">
        <x:f t="shared" si="77"/>
        <x:v>0</x:v>
      </x:c>
      <x:c r="GW76">
        <x:f t="shared" si="78"/>
        <x:v>0</x:v>
      </x:c>
      <x:c r="GX76">
        <x:f t="shared" si="79"/>
        <x:v>0</x:v>
      </x:c>
      <x:c r="GY76">
        <x:f t="shared" si="80"/>
        <x:v>0</x:v>
      </x:c>
      <x:c r="GZ76">
        <x:f t="shared" si="81"/>
        <x:v>0</x:v>
      </x:c>
      <x:c r="HA76">
        <x:f t="shared" si="82"/>
        <x:v>0</x:v>
      </x:c>
      <x:c r="HB76" s="42">
        <x:f t="shared" si="83"/>
        <x:v>0</x:v>
      </x:c>
      <x:c r="HC76">
        <x:f t="shared" si="84"/>
        <x:v>0</x:v>
      </x:c>
      <x:c r="HD76">
        <x:f t="shared" si="85"/>
        <x:v>0</x:v>
      </x:c>
      <x:c r="HE76">
        <x:f t="shared" si="86"/>
        <x:v>0</x:v>
      </x:c>
      <x:c r="HF76">
        <x:f t="shared" si="87"/>
        <x:v>0</x:v>
      </x:c>
      <x:c r="HG76">
        <x:f t="shared" si="88"/>
        <x:v>0</x:v>
      </x:c>
      <x:c r="HH76">
        <x:f t="shared" si="89"/>
        <x:v>0</x:v>
      </x:c>
      <x:c r="HI76">
        <x:f t="shared" si="90"/>
        <x:v>0</x:v>
      </x:c>
      <x:c r="HJ76">
        <x:f t="shared" si="91"/>
        <x:v>0</x:v>
      </x:c>
      <x:c r="HK76">
        <x:f t="shared" si="92"/>
        <x:v>0</x:v>
      </x:c>
      <x:c r="HL76">
        <x:f t="shared" si="93"/>
        <x:v>0</x:v>
      </x:c>
    </x:row>
    <x:row r="77">
      <x:c r="D77" s="74"/>
      <x:c r="EQ77" t="n">
        <x:f t="shared" ref="EQ77:EQ140" si="94">SUMIFS(E77:EP77,E$7:EP$7,"Quiz",E$11:EP$11,EQ$11)</x:f>
        <x:v>0</x:v>
      </x:c>
      <x:c r="ER77" t="n">
        <x:f t="shared" ref="ER77:ER140" si="95">SUMIFS(E77:EP77,E$7:EP$7,"Exam",E$11:EP$11,EQ$11)</x:f>
        <x:v>0</x:v>
      </x:c>
      <x:c r="ES77" t="n">
        <x:f t="shared" ref="ES77:ES140" si="96">SUMIFS(E77:EP77,E$7:EP$7,"Rubric-Scored Output",E$11:EP$11,EQ$11)</x:f>
        <x:v>0</x:v>
      </x:c>
      <x:c r="ET77" t="n">
        <x:f t="shared" ref="ET77:ET140" si="97">SUMIFS(E77:EP77,E$7:EP$7,"Performance Tasks",E$11:EP$11,EQ$11)</x:f>
        <x:v>0</x:v>
      </x:c>
      <x:c r="EU77" t="n">
        <x:f t="shared" ref="EU77:EU140" si="98">SUMIFS(E77:EP77,E$7:EP$7,"Lab Outputs",E$11:EP$11,EQ$11)</x:f>
        <x:v>0</x:v>
      </x:c>
      <x:c r="EV77" t="n">
        <x:f t="shared" ref="EV77:EV140" si="99">SUMIFS(E77:EP77,E$7:EP$7,"Skills Demonstration/ RLE",E$11:EP$11,EQ$11)</x:f>
        <x:v>0</x:v>
      </x:c>
      <x:c r="EW77" t="n">
        <x:f t="shared" ref="EW77:EW140" si="100">SUMIFS(E77:EP77,E$7:EP$7,"Portfolio",E$11:EP$11,EQ$11)</x:f>
        <x:v>0</x:v>
      </x:c>
      <x:c r="EX77" t="n">
        <x:f t="shared" ref="EX77:EX140" si="101">SUMIFS(E77:EP77,E$7:EP$7,"Capstone",E$11:EP$11,EQ$11)</x:f>
        <x:v>0</x:v>
      </x:c>
      <x:c r="EY77" t="n">
        <x:f t="shared" ref="EY77:EY140" si="102">SUMIFS(E77:EP77,E$7:EP$7,"Culminating Project",E$11:EP$11,EQ$11)</x:f>
        <x:v>0</x:v>
      </x:c>
      <x:c r="EZ77" t="n">
        <x:f t="shared" ref="EZ77:EZ140" si="103">SUMIFS(E77:EP77,E$7:EP$7,"Panel Evaluation",E$11:EP$11,EQ$11)</x:f>
        <x:v>0</x:v>
      </x:c>
      <x:c r="FA77" s="41" t="n">
        <x:f t="shared" ref="FA77:FA140" si="104">SUMIFS(E77:EP77,E$7:EP$7,"Internship Evaluation",E$11:EP$11,EQ$11)</x:f>
        <x:v>0</x:v>
      </x:c>
      <x:c r="FB77" t="n">
        <x:f t="shared" ref="FB77:FB140" si="105">SUMIFS(E77:EP77,E$7:EP$7,"Quiz",E$11:EP$11,FB$11)</x:f>
        <x:v>0</x:v>
      </x:c>
      <x:c r="FC77" t="n">
        <x:f t="shared" ref="FC77:FC140" si="106">SUMIFS(E77:EP77,E$7:EP$7,"Exam",E$11:EP$11,FB$11)</x:f>
        <x:v>0</x:v>
      </x:c>
      <x:c r="FD77" t="n">
        <x:f t="shared" ref="FD77:FD140" si="107">SUMIFS(E77:EP77,E$7:EP$7,"Rubric-Scored Output",E$11:EP$11,FB$11)</x:f>
        <x:v>0</x:v>
      </x:c>
      <x:c r="FE77" t="n">
        <x:f t="shared" ref="FE77:FE140" si="108">SUMIFS(E77:EP77,E$7:EP$7,"Performance Tasks",E$11:EP$11,FB$11)</x:f>
        <x:v>0</x:v>
      </x:c>
      <x:c r="FF77" t="n">
        <x:f t="shared" ref="FF77:FF140" si="109">SUMIFS(E77:EP77,E$7:EP$7,"Lab Outputs",E$11:EP$11,FB$11)</x:f>
        <x:v>0</x:v>
      </x:c>
      <x:c r="FG77" t="n">
        <x:f t="shared" ref="FG77:FG140" si="110">SUMIFS(E77:EP77,E$7:EP$7,"Skills Demonstration/ RLE",E$11:EP$11,FB$11)</x:f>
        <x:v>0</x:v>
      </x:c>
      <x:c r="FH77" t="n">
        <x:f t="shared" ref="FH77:FH140" si="111">SUMIFS(E77:EP77,E$7:EP$7,"Portfolio",E$11:EP$11,FB$11)</x:f>
        <x:v>0</x:v>
      </x:c>
      <x:c r="FI77" t="n">
        <x:f t="shared" ref="FI77:FI140" si="112">SUMIFS(E77:EP77,E$7:EP$7,"Capstone",E$11:EP$11,FB$11)</x:f>
        <x:v>0</x:v>
      </x:c>
      <x:c r="FJ77" t="n">
        <x:f t="shared" ref="FJ77:FJ140" si="113">SUMIFS(E77:EP77,E$7:EP$7,"Culminating Project",E$11:EP$11,FB$11)</x:f>
        <x:v>0</x:v>
      </x:c>
      <x:c r="FK77" t="n">
        <x:f t="shared" ref="FK77:FK140" si="114">SUMIFS(E77:EP77,E$7:EP$7,"Panel Evaluation",E$11:EP$11,FB$11)</x:f>
        <x:v>0</x:v>
      </x:c>
      <x:c r="FL77" s="41" t="n">
        <x:f t="shared" ref="FL77:FL140" si="115">SUMIFS(E77:EP77,E$7:EP$7,"Internship Evaluation",E$11:EP$11,FB$11)</x:f>
        <x:v>0</x:v>
      </x:c>
      <x:c r="FM77" t="n">
        <x:f t="shared" ref="FM77:FM140" si="116">SUMIFS(E77:EP77,E$7:EP$7,"Quiz",E$11:EP$11,FM$11)</x:f>
        <x:v>0</x:v>
      </x:c>
      <x:c r="FN77" t="n">
        <x:f t="shared" ref="FN77:FN140" si="117">SUMIFS(E77:EP77,E$7:EP$7,"Exam",E$11:EP$11,FM$11)</x:f>
        <x:v>0</x:v>
      </x:c>
      <x:c r="FO77" t="n">
        <x:f t="shared" ref="FO77:FO140" si="118">SUMIFS(E77:EP77,E$7:EP$7,"Rubric-Scored Output",E$11:EP$11,FM$11)</x:f>
        <x:v>0</x:v>
      </x:c>
      <x:c r="FP77" t="n">
        <x:f t="shared" ref="FP77:FP140" si="119">SUMIFS(E77:EP77,E$7:EP$7,"Performance Tasks",E$11:EP$11,FM$11)</x:f>
        <x:v>0</x:v>
      </x:c>
      <x:c r="FQ77" t="n">
        <x:f t="shared" ref="FQ77:FQ140" si="120">SUMIFS(E77:EP77,E$7:EP$7,"Lab Outputs",E$11:EP$11,FM$11)</x:f>
        <x:v>0</x:v>
      </x:c>
      <x:c r="FR77" t="n">
        <x:f t="shared" ref="FR77:FR140" si="121">SUMIFS(E77:EP77,E$7:EP$7,"Skills Demonstration/ RLE",E$11:EP$11,FM$11)</x:f>
        <x:v>0</x:v>
      </x:c>
      <x:c r="FS77" t="n">
        <x:f t="shared" ref="FS77:FS140" si="122">SUMIFS(E77:EP77,E$7:EP$7,"Portfolio",E$11:EP$11,FM$11)</x:f>
        <x:v>0</x:v>
      </x:c>
      <x:c r="FT77" t="n">
        <x:f t="shared" ref="FT77:FT140" si="123">SUMIFS(E77:EP77,E$7:EP$7,"Capstone",E$11:EP$11,FM$11)</x:f>
        <x:v>0</x:v>
      </x:c>
      <x:c r="FU77" t="n">
        <x:f t="shared" ref="FU77:FU140" si="124">SUMIFS(E77:EP77,E$7:EP$7,"Culminating Project",E$11:EP$11,FM$11)</x:f>
        <x:v>0</x:v>
      </x:c>
      <x:c r="FV77" t="n">
        <x:f t="shared" ref="FV77:FV140" si="125">SUMIFS(E77:EP77,E$7:EP$7,"Panel Evaluation",E$11:EP$11,FM$11)</x:f>
        <x:v>0</x:v>
      </x:c>
      <x:c r="FW77" s="41" t="n">
        <x:f t="shared" ref="FW77:FW140" si="126">SUMIFS(E77:EP77,E$7:EP$7,"Internship Evaluation",E$11:EP$11,FM$11)</x:f>
        <x:v>0</x:v>
      </x:c>
      <x:c r="FX77" t="n">
        <x:f t="shared" ref="FX77:FX140" si="127">SUMIF(EQ$7:FW$7,"Quiz",EQ77:FW77)</x:f>
        <x:v>0</x:v>
      </x:c>
      <x:c r="FY77" t="n">
        <x:f t="shared" ref="FY77:FY140" si="128">SUMIF(EQ$7:FW$7,"Exam",EQ77:FW77)</x:f>
        <x:v>0</x:v>
      </x:c>
      <x:c r="FZ77" t="n">
        <x:f t="shared" ref="FZ77:FZ140" si="129">SUMIF(EQ$7:FW$7,"Rubric-Scored Output",EQ77:FW77)</x:f>
        <x:v>0</x:v>
      </x:c>
      <x:c r="GA77" t="n">
        <x:f t="shared" ref="GA77:GA140" si="130">SUMIF(EQ$7:FW$7,"Performance Tasks",EQ77:FW77)</x:f>
        <x:v>0</x:v>
      </x:c>
      <x:c r="GB77" t="n">
        <x:f t="shared" ref="GB77:GB140" si="131">SUMIF(EQ$7:FW$7,"Lab Outputs",EQ77:FW77)</x:f>
        <x:v>0</x:v>
      </x:c>
      <x:c r="GC77" t="n">
        <x:f t="shared" ref="GC77:GC140" si="132">SUMIF(EQ$7:FW$7,"Skills Demonstration/ RLE",EQ77:FW77)</x:f>
        <x:v>0</x:v>
      </x:c>
      <x:c r="GD77" t="n">
        <x:f t="shared" ref="GD77:GD140" si="133">SUMIF(EQ$7:FW$7,"Portfolio",EQ77:FW77)</x:f>
        <x:v>0</x:v>
      </x:c>
      <x:c r="GE77" t="n">
        <x:f t="shared" ref="GE77:GE140" si="134">SUMIF(EQ$7:FW$7,"Capstone",EQ77:FW77)</x:f>
        <x:v>0</x:v>
      </x:c>
      <x:c r="GF77" t="n">
        <x:f t="shared" ref="GF77:GF140" si="135">SUMIF(EQ$7:FW$7,"Culminating Project",EQ77:FW77)</x:f>
        <x:v>0</x:v>
      </x:c>
      <x:c r="GG77" t="n">
        <x:f t="shared" ref="GG77:GG140" si="136">SUMIF(EQ$7:FW$7,"Panel Evaluation",EQ77:FW77)</x:f>
        <x:v>0</x:v>
      </x:c>
      <x:c r="GH77" t="n">
        <x:f t="shared" ref="GH77:GH140" si="137">SUMIF(EQ$7:FW$7,"Internship Evaluation",EQ77:FW77)</x:f>
        <x:v>0</x:v>
      </x:c>
      <x:c r="GI77" t="n">
        <x:f t="shared" ref="GI77:GI140" si="138">SUMIFS(E77:EP77,E$8:EP$8,GI$8,E$11:EP$11,GI$11)</x:f>
        <x:v>0</x:v>
      </x:c>
      <x:c r="GJ77" t="n">
        <x:f t="shared" ref="GJ77:GJ140" si="139">SUMIFS(E77:EP77,E$8:EP$8,GJ$8,E$11:EP$11,GI$11)</x:f>
        <x:v>0</x:v>
      </x:c>
      <x:c r="GK77" t="n">
        <x:f t="shared" ref="GK77:GK140" si="140">SUMIFS(E77:EP77,E$8:EP$8,GK$8,E$11:EP$11,GI$11)</x:f>
        <x:v>0</x:v>
      </x:c>
      <x:c r="GL77" t="n">
        <x:f t="shared" ref="GL77:GL140" si="141">SUMIFS(E77:EP77,E$8:EP$8,GL$8,E$11:EP$11,GI$11)</x:f>
        <x:v>0</x:v>
      </x:c>
      <x:c r="GM77" t="n">
        <x:f t="shared" ref="GM77:GM140" si="142">SUMIFS(E77:EP77,E$8:EP$8,GM$8,E$11:EP$11,GI$11)</x:f>
        <x:v>0</x:v>
      </x:c>
      <x:c r="GN77" t="n">
        <x:f t="shared" ref="GN77:GN140" si="143">SUMIFS(E77:EP77,E$8:EP$8,GN$8,E$11:EP$11,GI$11)</x:f>
        <x:v>0</x:v>
      </x:c>
      <x:c r="GO77" t="n">
        <x:f t="shared" ref="GO77:GO140" si="144">SUMIFS(E77:EP77,E$8:EP$8,GO$8,E$11:EP$11,GI$11)</x:f>
        <x:v>0</x:v>
      </x:c>
      <x:c r="GP77" t="n">
        <x:f t="shared" ref="GP77:GP140" si="145">SUMIFS(E77:EP77,E$8:EP$8,GP$8,E$11:EP$11,GI$11)</x:f>
        <x:v>0</x:v>
      </x:c>
      <x:c r="GQ77" t="n">
        <x:f t="shared" ref="GQ77:GQ140" si="146">SUMIFS(E77:EP77,E$8:EP$8,GQ$8,E$11:EP$11,GI$11)</x:f>
        <x:v>0</x:v>
      </x:c>
      <x:c r="GR77" s="42" t="n">
        <x:f t="shared" ref="GR77:GR140" si="147">SUMIFS(E77:EP77,E$8:EP$8,GR$8,E$11:EP$11,GI$11)</x:f>
        <x:v>0</x:v>
      </x:c>
      <x:c r="GS77" t="n">
        <x:f t="shared" ref="GS77:GS140" si="148">SUMIFS(E77:EP77,E$8:EP$8,GI$8,E$11:EP$11,GS$11)</x:f>
        <x:v>0</x:v>
      </x:c>
      <x:c r="GT77" t="n">
        <x:f t="shared" ref="GT77:GT140" si="149">SUMIFS(E77:EP77,E$8:EP$8,GJ$8,E$11:EP$11,GS$11)</x:f>
        <x:v>0</x:v>
      </x:c>
      <x:c r="GU77" t="n">
        <x:f t="shared" ref="GU77:GU140" si="150">SUMIFS(E77:EP77,E$8:EP$8,GK$8,E$11:EP$11,GS$11)</x:f>
        <x:v>0</x:v>
      </x:c>
      <x:c r="GV77" t="n">
        <x:f t="shared" ref="GV77:GV140" si="151">SUMIFS(E77:EP77,E$8:EP$8,GL$8,E$11:EP$11,GS$11)</x:f>
        <x:v>0</x:v>
      </x:c>
      <x:c r="GW77" t="n">
        <x:f t="shared" ref="GW77:GW140" si="152">SUMIFS(E77:EP77,E$8:EP$8,GM$8,E$11:EP$11,GS$11)</x:f>
        <x:v>0</x:v>
      </x:c>
      <x:c r="GX77" t="n">
        <x:f t="shared" ref="GX77:GX140" si="153">SUMIFS(E77:EP77,E$8:EP$8,GN$8,E$11:EP$11,GS$11)</x:f>
        <x:v>0</x:v>
      </x:c>
      <x:c r="GY77" t="n">
        <x:f t="shared" ref="GY77:GY140" si="154">SUMIFS(E77:EP77,E$8:EP$8,GY$8,E$11:EP$11,GS$11)</x:f>
        <x:v>0</x:v>
      </x:c>
      <x:c r="GZ77" t="n">
        <x:f t="shared" ref="GZ77:GZ140" si="155">SUMIFS(E77:EP77,E$8:EP$8,GZ$8,E$11:EP$11,GS$11)</x:f>
        <x:v>0</x:v>
      </x:c>
      <x:c r="HA77" t="n">
        <x:f t="shared" ref="HA77:HA140" si="156">SUMIFS(E77:EP77,E$8:EP$8,HA$8,E$11:EP$11,GS$11)</x:f>
        <x:v>0</x:v>
      </x:c>
      <x:c r="HB77" s="42" t="n">
        <x:f t="shared" ref="HB77:HB140" si="157">SUMIFS(E77:EP77,E$8:EP$8,GR$8,E$11:EP$11,GS$11)</x:f>
        <x:v>0</x:v>
      </x:c>
      <x:c r="HC77" t="n">
        <x:f t="shared" ref="HC77:HC140" si="158">SUMIFS(E77:EP77,E$8:EP$8,GI$8,E$11:EP$11,HC$11)</x:f>
        <x:v>0</x:v>
      </x:c>
      <x:c r="HD77" t="n">
        <x:f t="shared" ref="HD77:HD140" si="159">SUMIFS(E77:EP77,E$8:EP$8,GJ$8,E$11:EP$11,HC$11)</x:f>
        <x:v>0</x:v>
      </x:c>
      <x:c r="HE77" t="n">
        <x:f t="shared" ref="HE77:HE140" si="160">SUMIFS(E77:EP77,E$8:EP$8,GK$8,E$11:EP$11,HC$11)</x:f>
        <x:v>0</x:v>
      </x:c>
      <x:c r="HF77" t="n">
        <x:f t="shared" ref="HF77:HF140" si="161">SUMIFS(E77:EP77,E$8:EP$8,GL$8,E$11:EP$11,HC$11)</x:f>
        <x:v>0</x:v>
      </x:c>
      <x:c r="HG77" t="n">
        <x:f t="shared" ref="HG77:HG140" si="162">SUMIFS(E77:EP77,E$8:EP$8,GM$8,E$11:EP$11,HC$11)</x:f>
        <x:v>0</x:v>
      </x:c>
      <x:c r="HH77" t="n">
        <x:f t="shared" ref="HH77:HH140" si="163">SUMIFS(E77:EP77,E$8:EP$8,GN$8,E$11:EP$11,HC$11)</x:f>
        <x:v>0</x:v>
      </x:c>
      <x:c r="HI77" t="n">
        <x:f t="shared" ref="HI77:HI140" si="164">SUMIFS(E77:EP77,E$8:EP$8,GO$8,E$11:EP$11,HC$11)</x:f>
        <x:v>0</x:v>
      </x:c>
      <x:c r="HJ77" t="n">
        <x:f t="shared" ref="HJ77:HJ140" si="165">SUMIFS(E77:EP77,E$8:EP$8,GP$8,E$11:EP$11,HC$11)</x:f>
        <x:v>0</x:v>
      </x:c>
      <x:c r="HK77" t="n">
        <x:f t="shared" ref="HK77:HK140" si="166">SUMIFS(E77:EP77,E$8:EP$8,GQ$8,E$11:EP$11,HC$11)</x:f>
        <x:v>0</x:v>
      </x:c>
      <x:c r="HL77" t="n">
        <x:f t="shared" ref="HL77:HL140" si="167">SUMIFS(E77:EP77,E$8:EP$8,GR$8,E$11:EP$11,HC$11)</x:f>
        <x:v>0</x:v>
      </x:c>
    </x:row>
    <x:row r="78">
      <x:c r="D78" s="74"/>
      <x:c r="EQ78">
        <x:f t="shared" si="94"/>
        <x:v>0</x:v>
      </x:c>
      <x:c r="ER78">
        <x:f t="shared" si="95"/>
        <x:v>0</x:v>
      </x:c>
      <x:c r="ES78">
        <x:f t="shared" si="96"/>
        <x:v>0</x:v>
      </x:c>
      <x:c r="ET78">
        <x:f t="shared" si="97"/>
        <x:v>0</x:v>
      </x:c>
      <x:c r="EU78">
        <x:f t="shared" si="98"/>
        <x:v>0</x:v>
      </x:c>
      <x:c r="EV78">
        <x:f t="shared" si="99"/>
        <x:v>0</x:v>
      </x:c>
      <x:c r="EW78">
        <x:f t="shared" si="100"/>
        <x:v>0</x:v>
      </x:c>
      <x:c r="EX78">
        <x:f t="shared" si="101"/>
        <x:v>0</x:v>
      </x:c>
      <x:c r="EY78">
        <x:f t="shared" si="102"/>
        <x:v>0</x:v>
      </x:c>
      <x:c r="EZ78">
        <x:f t="shared" si="103"/>
        <x:v>0</x:v>
      </x:c>
      <x:c r="FA78" s="41">
        <x:f t="shared" si="104"/>
        <x:v>0</x:v>
      </x:c>
      <x:c r="FB78">
        <x:f t="shared" si="105"/>
        <x:v>0</x:v>
      </x:c>
      <x:c r="FC78">
        <x:f t="shared" si="106"/>
        <x:v>0</x:v>
      </x:c>
      <x:c r="FD78">
        <x:f t="shared" si="107"/>
        <x:v>0</x:v>
      </x:c>
      <x:c r="FE78">
        <x:f t="shared" si="108"/>
        <x:v>0</x:v>
      </x:c>
      <x:c r="FF78">
        <x:f t="shared" si="109"/>
        <x:v>0</x:v>
      </x:c>
      <x:c r="FG78">
        <x:f t="shared" si="110"/>
        <x:v>0</x:v>
      </x:c>
      <x:c r="FH78">
        <x:f t="shared" si="111"/>
        <x:v>0</x:v>
      </x:c>
      <x:c r="FI78">
        <x:f t="shared" si="112"/>
        <x:v>0</x:v>
      </x:c>
      <x:c r="FJ78">
        <x:f t="shared" si="113"/>
        <x:v>0</x:v>
      </x:c>
      <x:c r="FK78">
        <x:f t="shared" si="114"/>
        <x:v>0</x:v>
      </x:c>
      <x:c r="FL78" s="41">
        <x:f t="shared" si="115"/>
        <x:v>0</x:v>
      </x:c>
      <x:c r="FM78">
        <x:f t="shared" si="116"/>
        <x:v>0</x:v>
      </x:c>
      <x:c r="FN78">
        <x:f t="shared" si="117"/>
        <x:v>0</x:v>
      </x:c>
      <x:c r="FO78">
        <x:f t="shared" si="118"/>
        <x:v>0</x:v>
      </x:c>
      <x:c r="FP78">
        <x:f t="shared" si="119"/>
        <x:v>0</x:v>
      </x:c>
      <x:c r="FQ78">
        <x:f t="shared" si="120"/>
        <x:v>0</x:v>
      </x:c>
      <x:c r="FR78">
        <x:f t="shared" si="121"/>
        <x:v>0</x:v>
      </x:c>
      <x:c r="FS78">
        <x:f t="shared" si="122"/>
        <x:v>0</x:v>
      </x:c>
      <x:c r="FT78">
        <x:f t="shared" si="123"/>
        <x:v>0</x:v>
      </x:c>
      <x:c r="FU78">
        <x:f t="shared" si="124"/>
        <x:v>0</x:v>
      </x:c>
      <x:c r="FV78">
        <x:f t="shared" si="125"/>
        <x:v>0</x:v>
      </x:c>
      <x:c r="FW78" s="41">
        <x:f t="shared" si="126"/>
        <x:v>0</x:v>
      </x:c>
      <x:c r="FX78">
        <x:f t="shared" si="127"/>
        <x:v>0</x:v>
      </x:c>
      <x:c r="FY78">
        <x:f t="shared" si="128"/>
        <x:v>0</x:v>
      </x:c>
      <x:c r="FZ78">
        <x:f t="shared" si="129"/>
        <x:v>0</x:v>
      </x:c>
      <x:c r="GA78">
        <x:f t="shared" si="130"/>
        <x:v>0</x:v>
      </x:c>
      <x:c r="GB78">
        <x:f t="shared" si="131"/>
        <x:v>0</x:v>
      </x:c>
      <x:c r="GC78">
        <x:f t="shared" si="132"/>
        <x:v>0</x:v>
      </x:c>
      <x:c r="GD78">
        <x:f t="shared" si="133"/>
        <x:v>0</x:v>
      </x:c>
      <x:c r="GE78">
        <x:f t="shared" si="134"/>
        <x:v>0</x:v>
      </x:c>
      <x:c r="GF78">
        <x:f t="shared" si="135"/>
        <x:v>0</x:v>
      </x:c>
      <x:c r="GG78">
        <x:f t="shared" si="136"/>
        <x:v>0</x:v>
      </x:c>
      <x:c r="GH78">
        <x:f t="shared" si="137"/>
        <x:v>0</x:v>
      </x:c>
      <x:c r="GI78">
        <x:f t="shared" si="138"/>
        <x:v>0</x:v>
      </x:c>
      <x:c r="GJ78">
        <x:f t="shared" si="139"/>
        <x:v>0</x:v>
      </x:c>
      <x:c r="GK78">
        <x:f t="shared" si="140"/>
        <x:v>0</x:v>
      </x:c>
      <x:c r="GL78">
        <x:f t="shared" si="141"/>
        <x:v>0</x:v>
      </x:c>
      <x:c r="GM78">
        <x:f t="shared" si="142"/>
        <x:v>0</x:v>
      </x:c>
      <x:c r="GN78">
        <x:f t="shared" si="143"/>
        <x:v>0</x:v>
      </x:c>
      <x:c r="GO78">
        <x:f t="shared" si="144"/>
        <x:v>0</x:v>
      </x:c>
      <x:c r="GP78">
        <x:f t="shared" si="145"/>
        <x:v>0</x:v>
      </x:c>
      <x:c r="GQ78">
        <x:f t="shared" si="146"/>
        <x:v>0</x:v>
      </x:c>
      <x:c r="GR78" s="42">
        <x:f t="shared" si="147"/>
        <x:v>0</x:v>
      </x:c>
      <x:c r="GS78">
        <x:f t="shared" si="148"/>
        <x:v>0</x:v>
      </x:c>
      <x:c r="GT78">
        <x:f t="shared" si="149"/>
        <x:v>0</x:v>
      </x:c>
      <x:c r="GU78">
        <x:f t="shared" si="150"/>
        <x:v>0</x:v>
      </x:c>
      <x:c r="GV78">
        <x:f t="shared" si="151"/>
        <x:v>0</x:v>
      </x:c>
      <x:c r="GW78">
        <x:f t="shared" si="152"/>
        <x:v>0</x:v>
      </x:c>
      <x:c r="GX78">
        <x:f t="shared" si="153"/>
        <x:v>0</x:v>
      </x:c>
      <x:c r="GY78">
        <x:f t="shared" si="154"/>
        <x:v>0</x:v>
      </x:c>
      <x:c r="GZ78">
        <x:f t="shared" si="155"/>
        <x:v>0</x:v>
      </x:c>
      <x:c r="HA78">
        <x:f t="shared" si="156"/>
        <x:v>0</x:v>
      </x:c>
      <x:c r="HB78" s="42">
        <x:f t="shared" si="157"/>
        <x:v>0</x:v>
      </x:c>
      <x:c r="HC78">
        <x:f t="shared" si="158"/>
        <x:v>0</x:v>
      </x:c>
      <x:c r="HD78">
        <x:f t="shared" si="159"/>
        <x:v>0</x:v>
      </x:c>
      <x:c r="HE78">
        <x:f t="shared" si="160"/>
        <x:v>0</x:v>
      </x:c>
      <x:c r="HF78">
        <x:f t="shared" si="161"/>
        <x:v>0</x:v>
      </x:c>
      <x:c r="HG78">
        <x:f t="shared" si="162"/>
        <x:v>0</x:v>
      </x:c>
      <x:c r="HH78">
        <x:f t="shared" si="163"/>
        <x:v>0</x:v>
      </x:c>
      <x:c r="HI78">
        <x:f t="shared" si="164"/>
        <x:v>0</x:v>
      </x:c>
      <x:c r="HJ78">
        <x:f t="shared" si="165"/>
        <x:v>0</x:v>
      </x:c>
      <x:c r="HK78">
        <x:f t="shared" si="166"/>
        <x:v>0</x:v>
      </x:c>
      <x:c r="HL78">
        <x:f t="shared" si="167"/>
        <x:v>0</x:v>
      </x:c>
    </x:row>
    <x:row r="79">
      <x:c r="D79" s="74"/>
      <x:c r="EQ79">
        <x:f t="shared" si="94"/>
        <x:v>0</x:v>
      </x:c>
      <x:c r="ER79">
        <x:f t="shared" si="95"/>
        <x:v>0</x:v>
      </x:c>
      <x:c r="ES79">
        <x:f t="shared" si="96"/>
        <x:v>0</x:v>
      </x:c>
      <x:c r="ET79">
        <x:f t="shared" si="97"/>
        <x:v>0</x:v>
      </x:c>
      <x:c r="EU79">
        <x:f t="shared" si="98"/>
        <x:v>0</x:v>
      </x:c>
      <x:c r="EV79">
        <x:f t="shared" si="99"/>
        <x:v>0</x:v>
      </x:c>
      <x:c r="EW79">
        <x:f t="shared" si="100"/>
        <x:v>0</x:v>
      </x:c>
      <x:c r="EX79">
        <x:f t="shared" si="101"/>
        <x:v>0</x:v>
      </x:c>
      <x:c r="EY79">
        <x:f t="shared" si="102"/>
        <x:v>0</x:v>
      </x:c>
      <x:c r="EZ79">
        <x:f t="shared" si="103"/>
        <x:v>0</x:v>
      </x:c>
      <x:c r="FA79" s="41">
        <x:f t="shared" si="104"/>
        <x:v>0</x:v>
      </x:c>
      <x:c r="FB79">
        <x:f t="shared" si="105"/>
        <x:v>0</x:v>
      </x:c>
      <x:c r="FC79">
        <x:f t="shared" si="106"/>
        <x:v>0</x:v>
      </x:c>
      <x:c r="FD79">
        <x:f t="shared" si="107"/>
        <x:v>0</x:v>
      </x:c>
      <x:c r="FE79">
        <x:f t="shared" si="108"/>
        <x:v>0</x:v>
      </x:c>
      <x:c r="FF79">
        <x:f t="shared" si="109"/>
        <x:v>0</x:v>
      </x:c>
      <x:c r="FG79">
        <x:f t="shared" si="110"/>
        <x:v>0</x:v>
      </x:c>
      <x:c r="FH79">
        <x:f t="shared" si="111"/>
        <x:v>0</x:v>
      </x:c>
      <x:c r="FI79">
        <x:f t="shared" si="112"/>
        <x:v>0</x:v>
      </x:c>
      <x:c r="FJ79">
        <x:f t="shared" si="113"/>
        <x:v>0</x:v>
      </x:c>
      <x:c r="FK79">
        <x:f t="shared" si="114"/>
        <x:v>0</x:v>
      </x:c>
      <x:c r="FL79" s="41">
        <x:f t="shared" si="115"/>
        <x:v>0</x:v>
      </x:c>
      <x:c r="FM79">
        <x:f t="shared" si="116"/>
        <x:v>0</x:v>
      </x:c>
      <x:c r="FN79">
        <x:f t="shared" si="117"/>
        <x:v>0</x:v>
      </x:c>
      <x:c r="FO79">
        <x:f t="shared" si="118"/>
        <x:v>0</x:v>
      </x:c>
      <x:c r="FP79">
        <x:f t="shared" si="119"/>
        <x:v>0</x:v>
      </x:c>
      <x:c r="FQ79">
        <x:f t="shared" si="120"/>
        <x:v>0</x:v>
      </x:c>
      <x:c r="FR79">
        <x:f t="shared" si="121"/>
        <x:v>0</x:v>
      </x:c>
      <x:c r="FS79">
        <x:f t="shared" si="122"/>
        <x:v>0</x:v>
      </x:c>
      <x:c r="FT79">
        <x:f t="shared" si="123"/>
        <x:v>0</x:v>
      </x:c>
      <x:c r="FU79">
        <x:f t="shared" si="124"/>
        <x:v>0</x:v>
      </x:c>
      <x:c r="FV79">
        <x:f t="shared" si="125"/>
        <x:v>0</x:v>
      </x:c>
      <x:c r="FW79" s="41">
        <x:f t="shared" si="126"/>
        <x:v>0</x:v>
      </x:c>
      <x:c r="FX79">
        <x:f t="shared" si="127"/>
        <x:v>0</x:v>
      </x:c>
      <x:c r="FY79">
        <x:f t="shared" si="128"/>
        <x:v>0</x:v>
      </x:c>
      <x:c r="FZ79">
        <x:f t="shared" si="129"/>
        <x:v>0</x:v>
      </x:c>
      <x:c r="GA79">
        <x:f t="shared" si="130"/>
        <x:v>0</x:v>
      </x:c>
      <x:c r="GB79">
        <x:f t="shared" si="131"/>
        <x:v>0</x:v>
      </x:c>
      <x:c r="GC79">
        <x:f t="shared" si="132"/>
        <x:v>0</x:v>
      </x:c>
      <x:c r="GD79">
        <x:f t="shared" si="133"/>
        <x:v>0</x:v>
      </x:c>
      <x:c r="GE79">
        <x:f t="shared" si="134"/>
        <x:v>0</x:v>
      </x:c>
      <x:c r="GF79">
        <x:f t="shared" si="135"/>
        <x:v>0</x:v>
      </x:c>
      <x:c r="GG79">
        <x:f t="shared" si="136"/>
        <x:v>0</x:v>
      </x:c>
      <x:c r="GH79">
        <x:f t="shared" si="137"/>
        <x:v>0</x:v>
      </x:c>
      <x:c r="GI79">
        <x:f t="shared" si="138"/>
        <x:v>0</x:v>
      </x:c>
      <x:c r="GJ79">
        <x:f t="shared" si="139"/>
        <x:v>0</x:v>
      </x:c>
      <x:c r="GK79">
        <x:f t="shared" si="140"/>
        <x:v>0</x:v>
      </x:c>
      <x:c r="GL79">
        <x:f t="shared" si="141"/>
        <x:v>0</x:v>
      </x:c>
      <x:c r="GM79">
        <x:f t="shared" si="142"/>
        <x:v>0</x:v>
      </x:c>
      <x:c r="GN79">
        <x:f t="shared" si="143"/>
        <x:v>0</x:v>
      </x:c>
      <x:c r="GO79">
        <x:f t="shared" si="144"/>
        <x:v>0</x:v>
      </x:c>
      <x:c r="GP79">
        <x:f t="shared" si="145"/>
        <x:v>0</x:v>
      </x:c>
      <x:c r="GQ79">
        <x:f t="shared" si="146"/>
        <x:v>0</x:v>
      </x:c>
      <x:c r="GR79" s="42">
        <x:f t="shared" si="147"/>
        <x:v>0</x:v>
      </x:c>
      <x:c r="GS79">
        <x:f t="shared" si="148"/>
        <x:v>0</x:v>
      </x:c>
      <x:c r="GT79">
        <x:f t="shared" si="149"/>
        <x:v>0</x:v>
      </x:c>
      <x:c r="GU79">
        <x:f t="shared" si="150"/>
        <x:v>0</x:v>
      </x:c>
      <x:c r="GV79">
        <x:f t="shared" si="151"/>
        <x:v>0</x:v>
      </x:c>
      <x:c r="GW79">
        <x:f t="shared" si="152"/>
        <x:v>0</x:v>
      </x:c>
      <x:c r="GX79">
        <x:f t="shared" si="153"/>
        <x:v>0</x:v>
      </x:c>
      <x:c r="GY79">
        <x:f t="shared" si="154"/>
        <x:v>0</x:v>
      </x:c>
      <x:c r="GZ79">
        <x:f t="shared" si="155"/>
        <x:v>0</x:v>
      </x:c>
      <x:c r="HA79">
        <x:f t="shared" si="156"/>
        <x:v>0</x:v>
      </x:c>
      <x:c r="HB79" s="42">
        <x:f t="shared" si="157"/>
        <x:v>0</x:v>
      </x:c>
      <x:c r="HC79">
        <x:f t="shared" si="158"/>
        <x:v>0</x:v>
      </x:c>
      <x:c r="HD79">
        <x:f t="shared" si="159"/>
        <x:v>0</x:v>
      </x:c>
      <x:c r="HE79">
        <x:f t="shared" si="160"/>
        <x:v>0</x:v>
      </x:c>
      <x:c r="HF79">
        <x:f t="shared" si="161"/>
        <x:v>0</x:v>
      </x:c>
      <x:c r="HG79">
        <x:f t="shared" si="162"/>
        <x:v>0</x:v>
      </x:c>
      <x:c r="HH79">
        <x:f t="shared" si="163"/>
        <x:v>0</x:v>
      </x:c>
      <x:c r="HI79">
        <x:f t="shared" si="164"/>
        <x:v>0</x:v>
      </x:c>
      <x:c r="HJ79">
        <x:f t="shared" si="165"/>
        <x:v>0</x:v>
      </x:c>
      <x:c r="HK79">
        <x:f t="shared" si="166"/>
        <x:v>0</x:v>
      </x:c>
      <x:c r="HL79">
        <x:f t="shared" si="167"/>
        <x:v>0</x:v>
      </x:c>
    </x:row>
    <x:row r="80">
      <x:c r="D80" s="74"/>
      <x:c r="EQ80">
        <x:f t="shared" si="94"/>
        <x:v>0</x:v>
      </x:c>
      <x:c r="ER80">
        <x:f t="shared" si="95"/>
        <x:v>0</x:v>
      </x:c>
      <x:c r="ES80">
        <x:f t="shared" si="96"/>
        <x:v>0</x:v>
      </x:c>
      <x:c r="ET80">
        <x:f t="shared" si="97"/>
        <x:v>0</x:v>
      </x:c>
      <x:c r="EU80">
        <x:f t="shared" si="98"/>
        <x:v>0</x:v>
      </x:c>
      <x:c r="EV80">
        <x:f t="shared" si="99"/>
        <x:v>0</x:v>
      </x:c>
      <x:c r="EW80">
        <x:f t="shared" si="100"/>
        <x:v>0</x:v>
      </x:c>
      <x:c r="EX80">
        <x:f t="shared" si="101"/>
        <x:v>0</x:v>
      </x:c>
      <x:c r="EY80">
        <x:f t="shared" si="102"/>
        <x:v>0</x:v>
      </x:c>
      <x:c r="EZ80">
        <x:f t="shared" si="103"/>
        <x:v>0</x:v>
      </x:c>
      <x:c r="FA80" s="41">
        <x:f t="shared" si="104"/>
        <x:v>0</x:v>
      </x:c>
      <x:c r="FB80">
        <x:f t="shared" si="105"/>
        <x:v>0</x:v>
      </x:c>
      <x:c r="FC80">
        <x:f t="shared" si="106"/>
        <x:v>0</x:v>
      </x:c>
      <x:c r="FD80">
        <x:f t="shared" si="107"/>
        <x:v>0</x:v>
      </x:c>
      <x:c r="FE80">
        <x:f t="shared" si="108"/>
        <x:v>0</x:v>
      </x:c>
      <x:c r="FF80">
        <x:f t="shared" si="109"/>
        <x:v>0</x:v>
      </x:c>
      <x:c r="FG80">
        <x:f t="shared" si="110"/>
        <x:v>0</x:v>
      </x:c>
      <x:c r="FH80">
        <x:f t="shared" si="111"/>
        <x:v>0</x:v>
      </x:c>
      <x:c r="FI80">
        <x:f t="shared" si="112"/>
        <x:v>0</x:v>
      </x:c>
      <x:c r="FJ80">
        <x:f t="shared" si="113"/>
        <x:v>0</x:v>
      </x:c>
      <x:c r="FK80">
        <x:f t="shared" si="114"/>
        <x:v>0</x:v>
      </x:c>
      <x:c r="FL80" s="41">
        <x:f t="shared" si="115"/>
        <x:v>0</x:v>
      </x:c>
      <x:c r="FM80">
        <x:f t="shared" si="116"/>
        <x:v>0</x:v>
      </x:c>
      <x:c r="FN80">
        <x:f t="shared" si="117"/>
        <x:v>0</x:v>
      </x:c>
      <x:c r="FO80">
        <x:f t="shared" si="118"/>
        <x:v>0</x:v>
      </x:c>
      <x:c r="FP80">
        <x:f t="shared" si="119"/>
        <x:v>0</x:v>
      </x:c>
      <x:c r="FQ80">
        <x:f t="shared" si="120"/>
        <x:v>0</x:v>
      </x:c>
      <x:c r="FR80">
        <x:f t="shared" si="121"/>
        <x:v>0</x:v>
      </x:c>
      <x:c r="FS80">
        <x:f t="shared" si="122"/>
        <x:v>0</x:v>
      </x:c>
      <x:c r="FT80">
        <x:f t="shared" si="123"/>
        <x:v>0</x:v>
      </x:c>
      <x:c r="FU80">
        <x:f t="shared" si="124"/>
        <x:v>0</x:v>
      </x:c>
      <x:c r="FV80">
        <x:f t="shared" si="125"/>
        <x:v>0</x:v>
      </x:c>
      <x:c r="FW80" s="41">
        <x:f t="shared" si="126"/>
        <x:v>0</x:v>
      </x:c>
      <x:c r="FX80">
        <x:f t="shared" si="127"/>
        <x:v>0</x:v>
      </x:c>
      <x:c r="FY80">
        <x:f t="shared" si="128"/>
        <x:v>0</x:v>
      </x:c>
      <x:c r="FZ80">
        <x:f t="shared" si="129"/>
        <x:v>0</x:v>
      </x:c>
      <x:c r="GA80">
        <x:f t="shared" si="130"/>
        <x:v>0</x:v>
      </x:c>
      <x:c r="GB80">
        <x:f t="shared" si="131"/>
        <x:v>0</x:v>
      </x:c>
      <x:c r="GC80">
        <x:f t="shared" si="132"/>
        <x:v>0</x:v>
      </x:c>
      <x:c r="GD80">
        <x:f t="shared" si="133"/>
        <x:v>0</x:v>
      </x:c>
      <x:c r="GE80">
        <x:f t="shared" si="134"/>
        <x:v>0</x:v>
      </x:c>
      <x:c r="GF80">
        <x:f t="shared" si="135"/>
        <x:v>0</x:v>
      </x:c>
      <x:c r="GG80">
        <x:f t="shared" si="136"/>
        <x:v>0</x:v>
      </x:c>
      <x:c r="GH80">
        <x:f t="shared" si="137"/>
        <x:v>0</x:v>
      </x:c>
      <x:c r="GI80">
        <x:f t="shared" si="138"/>
        <x:v>0</x:v>
      </x:c>
      <x:c r="GJ80">
        <x:f t="shared" si="139"/>
        <x:v>0</x:v>
      </x:c>
      <x:c r="GK80">
        <x:f t="shared" si="140"/>
        <x:v>0</x:v>
      </x:c>
      <x:c r="GL80">
        <x:f t="shared" si="141"/>
        <x:v>0</x:v>
      </x:c>
      <x:c r="GM80">
        <x:f t="shared" si="142"/>
        <x:v>0</x:v>
      </x:c>
      <x:c r="GN80">
        <x:f t="shared" si="143"/>
        <x:v>0</x:v>
      </x:c>
      <x:c r="GO80">
        <x:f t="shared" si="144"/>
        <x:v>0</x:v>
      </x:c>
      <x:c r="GP80">
        <x:f t="shared" si="145"/>
        <x:v>0</x:v>
      </x:c>
      <x:c r="GQ80">
        <x:f t="shared" si="146"/>
        <x:v>0</x:v>
      </x:c>
      <x:c r="GR80" s="42">
        <x:f t="shared" si="147"/>
        <x:v>0</x:v>
      </x:c>
      <x:c r="GS80">
        <x:f t="shared" si="148"/>
        <x:v>0</x:v>
      </x:c>
      <x:c r="GT80">
        <x:f t="shared" si="149"/>
        <x:v>0</x:v>
      </x:c>
      <x:c r="GU80">
        <x:f t="shared" si="150"/>
        <x:v>0</x:v>
      </x:c>
      <x:c r="GV80">
        <x:f t="shared" si="151"/>
        <x:v>0</x:v>
      </x:c>
      <x:c r="GW80">
        <x:f t="shared" si="152"/>
        <x:v>0</x:v>
      </x:c>
      <x:c r="GX80">
        <x:f t="shared" si="153"/>
        <x:v>0</x:v>
      </x:c>
      <x:c r="GY80">
        <x:f t="shared" si="154"/>
        <x:v>0</x:v>
      </x:c>
      <x:c r="GZ80">
        <x:f t="shared" si="155"/>
        <x:v>0</x:v>
      </x:c>
      <x:c r="HA80">
        <x:f t="shared" si="156"/>
        <x:v>0</x:v>
      </x:c>
      <x:c r="HB80" s="42">
        <x:f t="shared" si="157"/>
        <x:v>0</x:v>
      </x:c>
      <x:c r="HC80">
        <x:f t="shared" si="158"/>
        <x:v>0</x:v>
      </x:c>
      <x:c r="HD80">
        <x:f t="shared" si="159"/>
        <x:v>0</x:v>
      </x:c>
      <x:c r="HE80">
        <x:f t="shared" si="160"/>
        <x:v>0</x:v>
      </x:c>
      <x:c r="HF80">
        <x:f t="shared" si="161"/>
        <x:v>0</x:v>
      </x:c>
      <x:c r="HG80">
        <x:f t="shared" si="162"/>
        <x:v>0</x:v>
      </x:c>
      <x:c r="HH80">
        <x:f t="shared" si="163"/>
        <x:v>0</x:v>
      </x:c>
      <x:c r="HI80">
        <x:f t="shared" si="164"/>
        <x:v>0</x:v>
      </x:c>
      <x:c r="HJ80">
        <x:f t="shared" si="165"/>
        <x:v>0</x:v>
      </x:c>
      <x:c r="HK80">
        <x:f t="shared" si="166"/>
        <x:v>0</x:v>
      </x:c>
      <x:c r="HL80">
        <x:f t="shared" si="167"/>
        <x:v>0</x:v>
      </x:c>
    </x:row>
    <x:row r="81">
      <x:c r="D81" s="74"/>
      <x:c r="EQ81">
        <x:f t="shared" si="94"/>
        <x:v>0</x:v>
      </x:c>
      <x:c r="ER81">
        <x:f t="shared" si="95"/>
        <x:v>0</x:v>
      </x:c>
      <x:c r="ES81">
        <x:f t="shared" si="96"/>
        <x:v>0</x:v>
      </x:c>
      <x:c r="ET81">
        <x:f t="shared" si="97"/>
        <x:v>0</x:v>
      </x:c>
      <x:c r="EU81">
        <x:f t="shared" si="98"/>
        <x:v>0</x:v>
      </x:c>
      <x:c r="EV81">
        <x:f t="shared" si="99"/>
        <x:v>0</x:v>
      </x:c>
      <x:c r="EW81">
        <x:f t="shared" si="100"/>
        <x:v>0</x:v>
      </x:c>
      <x:c r="EX81">
        <x:f t="shared" si="101"/>
        <x:v>0</x:v>
      </x:c>
      <x:c r="EY81">
        <x:f t="shared" si="102"/>
        <x:v>0</x:v>
      </x:c>
      <x:c r="EZ81">
        <x:f t="shared" si="103"/>
        <x:v>0</x:v>
      </x:c>
      <x:c r="FA81" s="41">
        <x:f t="shared" si="104"/>
        <x:v>0</x:v>
      </x:c>
      <x:c r="FB81">
        <x:f t="shared" si="105"/>
        <x:v>0</x:v>
      </x:c>
      <x:c r="FC81">
        <x:f t="shared" si="106"/>
        <x:v>0</x:v>
      </x:c>
      <x:c r="FD81">
        <x:f t="shared" si="107"/>
        <x:v>0</x:v>
      </x:c>
      <x:c r="FE81">
        <x:f t="shared" si="108"/>
        <x:v>0</x:v>
      </x:c>
      <x:c r="FF81">
        <x:f t="shared" si="109"/>
        <x:v>0</x:v>
      </x:c>
      <x:c r="FG81">
        <x:f t="shared" si="110"/>
        <x:v>0</x:v>
      </x:c>
      <x:c r="FH81">
        <x:f t="shared" si="111"/>
        <x:v>0</x:v>
      </x:c>
      <x:c r="FI81">
        <x:f t="shared" si="112"/>
        <x:v>0</x:v>
      </x:c>
      <x:c r="FJ81">
        <x:f t="shared" si="113"/>
        <x:v>0</x:v>
      </x:c>
      <x:c r="FK81">
        <x:f t="shared" si="114"/>
        <x:v>0</x:v>
      </x:c>
      <x:c r="FL81" s="41">
        <x:f t="shared" si="115"/>
        <x:v>0</x:v>
      </x:c>
      <x:c r="FM81">
        <x:f t="shared" si="116"/>
        <x:v>0</x:v>
      </x:c>
      <x:c r="FN81">
        <x:f t="shared" si="117"/>
        <x:v>0</x:v>
      </x:c>
      <x:c r="FO81">
        <x:f t="shared" si="118"/>
        <x:v>0</x:v>
      </x:c>
      <x:c r="FP81">
        <x:f t="shared" si="119"/>
        <x:v>0</x:v>
      </x:c>
      <x:c r="FQ81">
        <x:f t="shared" si="120"/>
        <x:v>0</x:v>
      </x:c>
      <x:c r="FR81">
        <x:f t="shared" si="121"/>
        <x:v>0</x:v>
      </x:c>
      <x:c r="FS81">
        <x:f t="shared" si="122"/>
        <x:v>0</x:v>
      </x:c>
      <x:c r="FT81">
        <x:f t="shared" si="123"/>
        <x:v>0</x:v>
      </x:c>
      <x:c r="FU81">
        <x:f t="shared" si="124"/>
        <x:v>0</x:v>
      </x:c>
      <x:c r="FV81">
        <x:f t="shared" si="125"/>
        <x:v>0</x:v>
      </x:c>
      <x:c r="FW81" s="41">
        <x:f t="shared" si="126"/>
        <x:v>0</x:v>
      </x:c>
      <x:c r="FX81">
        <x:f t="shared" si="127"/>
        <x:v>0</x:v>
      </x:c>
      <x:c r="FY81">
        <x:f t="shared" si="128"/>
        <x:v>0</x:v>
      </x:c>
      <x:c r="FZ81">
        <x:f t="shared" si="129"/>
        <x:v>0</x:v>
      </x:c>
      <x:c r="GA81">
        <x:f t="shared" si="130"/>
        <x:v>0</x:v>
      </x:c>
      <x:c r="GB81">
        <x:f t="shared" si="131"/>
        <x:v>0</x:v>
      </x:c>
      <x:c r="GC81">
        <x:f t="shared" si="132"/>
        <x:v>0</x:v>
      </x:c>
      <x:c r="GD81">
        <x:f t="shared" si="133"/>
        <x:v>0</x:v>
      </x:c>
      <x:c r="GE81">
        <x:f t="shared" si="134"/>
        <x:v>0</x:v>
      </x:c>
      <x:c r="GF81">
        <x:f t="shared" si="135"/>
        <x:v>0</x:v>
      </x:c>
      <x:c r="GG81">
        <x:f t="shared" si="136"/>
        <x:v>0</x:v>
      </x:c>
      <x:c r="GH81">
        <x:f t="shared" si="137"/>
        <x:v>0</x:v>
      </x:c>
      <x:c r="GI81">
        <x:f t="shared" si="138"/>
        <x:v>0</x:v>
      </x:c>
      <x:c r="GJ81">
        <x:f t="shared" si="139"/>
        <x:v>0</x:v>
      </x:c>
      <x:c r="GK81">
        <x:f t="shared" si="140"/>
        <x:v>0</x:v>
      </x:c>
      <x:c r="GL81">
        <x:f t="shared" si="141"/>
        <x:v>0</x:v>
      </x:c>
      <x:c r="GM81">
        <x:f t="shared" si="142"/>
        <x:v>0</x:v>
      </x:c>
      <x:c r="GN81">
        <x:f t="shared" si="143"/>
        <x:v>0</x:v>
      </x:c>
      <x:c r="GO81">
        <x:f t="shared" si="144"/>
        <x:v>0</x:v>
      </x:c>
      <x:c r="GP81">
        <x:f t="shared" si="145"/>
        <x:v>0</x:v>
      </x:c>
      <x:c r="GQ81">
        <x:f t="shared" si="146"/>
        <x:v>0</x:v>
      </x:c>
      <x:c r="GR81" s="42">
        <x:f t="shared" si="147"/>
        <x:v>0</x:v>
      </x:c>
      <x:c r="GS81">
        <x:f t="shared" si="148"/>
        <x:v>0</x:v>
      </x:c>
      <x:c r="GT81">
        <x:f t="shared" si="149"/>
        <x:v>0</x:v>
      </x:c>
      <x:c r="GU81">
        <x:f t="shared" si="150"/>
        <x:v>0</x:v>
      </x:c>
      <x:c r="GV81">
        <x:f t="shared" si="151"/>
        <x:v>0</x:v>
      </x:c>
      <x:c r="GW81">
        <x:f t="shared" si="152"/>
        <x:v>0</x:v>
      </x:c>
      <x:c r="GX81">
        <x:f t="shared" si="153"/>
        <x:v>0</x:v>
      </x:c>
      <x:c r="GY81">
        <x:f t="shared" si="154"/>
        <x:v>0</x:v>
      </x:c>
      <x:c r="GZ81">
        <x:f t="shared" si="155"/>
        <x:v>0</x:v>
      </x:c>
      <x:c r="HA81">
        <x:f t="shared" si="156"/>
        <x:v>0</x:v>
      </x:c>
      <x:c r="HB81" s="42">
        <x:f t="shared" si="157"/>
        <x:v>0</x:v>
      </x:c>
      <x:c r="HC81">
        <x:f t="shared" si="158"/>
        <x:v>0</x:v>
      </x:c>
      <x:c r="HD81">
        <x:f t="shared" si="159"/>
        <x:v>0</x:v>
      </x:c>
      <x:c r="HE81">
        <x:f t="shared" si="160"/>
        <x:v>0</x:v>
      </x:c>
      <x:c r="HF81">
        <x:f t="shared" si="161"/>
        <x:v>0</x:v>
      </x:c>
      <x:c r="HG81">
        <x:f t="shared" si="162"/>
        <x:v>0</x:v>
      </x:c>
      <x:c r="HH81">
        <x:f t="shared" si="163"/>
        <x:v>0</x:v>
      </x:c>
      <x:c r="HI81">
        <x:f t="shared" si="164"/>
        <x:v>0</x:v>
      </x:c>
      <x:c r="HJ81">
        <x:f t="shared" si="165"/>
        <x:v>0</x:v>
      </x:c>
      <x:c r="HK81">
        <x:f t="shared" si="166"/>
        <x:v>0</x:v>
      </x:c>
      <x:c r="HL81">
        <x:f t="shared" si="167"/>
        <x:v>0</x:v>
      </x:c>
    </x:row>
    <x:row r="82">
      <x:c r="D82" s="74"/>
      <x:c r="EQ82">
        <x:f t="shared" si="94"/>
        <x:v>0</x:v>
      </x:c>
      <x:c r="ER82">
        <x:f t="shared" si="95"/>
        <x:v>0</x:v>
      </x:c>
      <x:c r="ES82">
        <x:f t="shared" si="96"/>
        <x:v>0</x:v>
      </x:c>
      <x:c r="ET82">
        <x:f t="shared" si="97"/>
        <x:v>0</x:v>
      </x:c>
      <x:c r="EU82">
        <x:f t="shared" si="98"/>
        <x:v>0</x:v>
      </x:c>
      <x:c r="EV82">
        <x:f t="shared" si="99"/>
        <x:v>0</x:v>
      </x:c>
      <x:c r="EW82">
        <x:f t="shared" si="100"/>
        <x:v>0</x:v>
      </x:c>
      <x:c r="EX82">
        <x:f t="shared" si="101"/>
        <x:v>0</x:v>
      </x:c>
      <x:c r="EY82">
        <x:f t="shared" si="102"/>
        <x:v>0</x:v>
      </x:c>
      <x:c r="EZ82">
        <x:f t="shared" si="103"/>
        <x:v>0</x:v>
      </x:c>
      <x:c r="FA82" s="41">
        <x:f t="shared" si="104"/>
        <x:v>0</x:v>
      </x:c>
      <x:c r="FB82">
        <x:f t="shared" si="105"/>
        <x:v>0</x:v>
      </x:c>
      <x:c r="FC82">
        <x:f t="shared" si="106"/>
        <x:v>0</x:v>
      </x:c>
      <x:c r="FD82">
        <x:f t="shared" si="107"/>
        <x:v>0</x:v>
      </x:c>
      <x:c r="FE82">
        <x:f t="shared" si="108"/>
        <x:v>0</x:v>
      </x:c>
      <x:c r="FF82">
        <x:f t="shared" si="109"/>
        <x:v>0</x:v>
      </x:c>
      <x:c r="FG82">
        <x:f t="shared" si="110"/>
        <x:v>0</x:v>
      </x:c>
      <x:c r="FH82">
        <x:f t="shared" si="111"/>
        <x:v>0</x:v>
      </x:c>
      <x:c r="FI82">
        <x:f t="shared" si="112"/>
        <x:v>0</x:v>
      </x:c>
      <x:c r="FJ82">
        <x:f t="shared" si="113"/>
        <x:v>0</x:v>
      </x:c>
      <x:c r="FK82">
        <x:f t="shared" si="114"/>
        <x:v>0</x:v>
      </x:c>
      <x:c r="FL82" s="41">
        <x:f t="shared" si="115"/>
        <x:v>0</x:v>
      </x:c>
      <x:c r="FM82">
        <x:f t="shared" si="116"/>
        <x:v>0</x:v>
      </x:c>
      <x:c r="FN82">
        <x:f t="shared" si="117"/>
        <x:v>0</x:v>
      </x:c>
      <x:c r="FO82">
        <x:f t="shared" si="118"/>
        <x:v>0</x:v>
      </x:c>
      <x:c r="FP82">
        <x:f t="shared" si="119"/>
        <x:v>0</x:v>
      </x:c>
      <x:c r="FQ82">
        <x:f t="shared" si="120"/>
        <x:v>0</x:v>
      </x:c>
      <x:c r="FR82">
        <x:f t="shared" si="121"/>
        <x:v>0</x:v>
      </x:c>
      <x:c r="FS82">
        <x:f t="shared" si="122"/>
        <x:v>0</x:v>
      </x:c>
      <x:c r="FT82">
        <x:f t="shared" si="123"/>
        <x:v>0</x:v>
      </x:c>
      <x:c r="FU82">
        <x:f t="shared" si="124"/>
        <x:v>0</x:v>
      </x:c>
      <x:c r="FV82">
        <x:f t="shared" si="125"/>
        <x:v>0</x:v>
      </x:c>
      <x:c r="FW82" s="41">
        <x:f t="shared" si="126"/>
        <x:v>0</x:v>
      </x:c>
      <x:c r="FX82">
        <x:f t="shared" si="127"/>
        <x:v>0</x:v>
      </x:c>
      <x:c r="FY82">
        <x:f t="shared" si="128"/>
        <x:v>0</x:v>
      </x:c>
      <x:c r="FZ82">
        <x:f t="shared" si="129"/>
        <x:v>0</x:v>
      </x:c>
      <x:c r="GA82">
        <x:f t="shared" si="130"/>
        <x:v>0</x:v>
      </x:c>
      <x:c r="GB82">
        <x:f t="shared" si="131"/>
        <x:v>0</x:v>
      </x:c>
      <x:c r="GC82">
        <x:f t="shared" si="132"/>
        <x:v>0</x:v>
      </x:c>
      <x:c r="GD82">
        <x:f t="shared" si="133"/>
        <x:v>0</x:v>
      </x:c>
      <x:c r="GE82">
        <x:f t="shared" si="134"/>
        <x:v>0</x:v>
      </x:c>
      <x:c r="GF82">
        <x:f t="shared" si="135"/>
        <x:v>0</x:v>
      </x:c>
      <x:c r="GG82">
        <x:f t="shared" si="136"/>
        <x:v>0</x:v>
      </x:c>
      <x:c r="GH82">
        <x:f t="shared" si="137"/>
        <x:v>0</x:v>
      </x:c>
      <x:c r="GI82">
        <x:f t="shared" si="138"/>
        <x:v>0</x:v>
      </x:c>
      <x:c r="GJ82">
        <x:f t="shared" si="139"/>
        <x:v>0</x:v>
      </x:c>
      <x:c r="GK82">
        <x:f t="shared" si="140"/>
        <x:v>0</x:v>
      </x:c>
      <x:c r="GL82">
        <x:f t="shared" si="141"/>
        <x:v>0</x:v>
      </x:c>
      <x:c r="GM82">
        <x:f t="shared" si="142"/>
        <x:v>0</x:v>
      </x:c>
      <x:c r="GN82">
        <x:f t="shared" si="143"/>
        <x:v>0</x:v>
      </x:c>
      <x:c r="GO82">
        <x:f t="shared" si="144"/>
        <x:v>0</x:v>
      </x:c>
      <x:c r="GP82">
        <x:f t="shared" si="145"/>
        <x:v>0</x:v>
      </x:c>
      <x:c r="GQ82">
        <x:f t="shared" si="146"/>
        <x:v>0</x:v>
      </x:c>
      <x:c r="GR82" s="42">
        <x:f t="shared" si="147"/>
        <x:v>0</x:v>
      </x:c>
      <x:c r="GS82">
        <x:f t="shared" si="148"/>
        <x:v>0</x:v>
      </x:c>
      <x:c r="GT82">
        <x:f t="shared" si="149"/>
        <x:v>0</x:v>
      </x:c>
      <x:c r="GU82">
        <x:f t="shared" si="150"/>
        <x:v>0</x:v>
      </x:c>
      <x:c r="GV82">
        <x:f t="shared" si="151"/>
        <x:v>0</x:v>
      </x:c>
      <x:c r="GW82">
        <x:f t="shared" si="152"/>
        <x:v>0</x:v>
      </x:c>
      <x:c r="GX82">
        <x:f t="shared" si="153"/>
        <x:v>0</x:v>
      </x:c>
      <x:c r="GY82">
        <x:f t="shared" si="154"/>
        <x:v>0</x:v>
      </x:c>
      <x:c r="GZ82">
        <x:f t="shared" si="155"/>
        <x:v>0</x:v>
      </x:c>
      <x:c r="HA82">
        <x:f t="shared" si="156"/>
        <x:v>0</x:v>
      </x:c>
      <x:c r="HB82" s="42">
        <x:f t="shared" si="157"/>
        <x:v>0</x:v>
      </x:c>
      <x:c r="HC82">
        <x:f t="shared" si="158"/>
        <x:v>0</x:v>
      </x:c>
      <x:c r="HD82">
        <x:f t="shared" si="159"/>
        <x:v>0</x:v>
      </x:c>
      <x:c r="HE82">
        <x:f t="shared" si="160"/>
        <x:v>0</x:v>
      </x:c>
      <x:c r="HF82">
        <x:f t="shared" si="161"/>
        <x:v>0</x:v>
      </x:c>
      <x:c r="HG82">
        <x:f t="shared" si="162"/>
        <x:v>0</x:v>
      </x:c>
      <x:c r="HH82">
        <x:f t="shared" si="163"/>
        <x:v>0</x:v>
      </x:c>
      <x:c r="HI82">
        <x:f t="shared" si="164"/>
        <x:v>0</x:v>
      </x:c>
      <x:c r="HJ82">
        <x:f t="shared" si="165"/>
        <x:v>0</x:v>
      </x:c>
      <x:c r="HK82">
        <x:f t="shared" si="166"/>
        <x:v>0</x:v>
      </x:c>
      <x:c r="HL82">
        <x:f t="shared" si="167"/>
        <x:v>0</x:v>
      </x:c>
    </x:row>
    <x:row r="83">
      <x:c r="D83" s="74"/>
      <x:c r="EQ83">
        <x:f t="shared" si="94"/>
        <x:v>0</x:v>
      </x:c>
      <x:c r="ER83">
        <x:f t="shared" si="95"/>
        <x:v>0</x:v>
      </x:c>
      <x:c r="ES83">
        <x:f t="shared" si="96"/>
        <x:v>0</x:v>
      </x:c>
      <x:c r="ET83">
        <x:f t="shared" si="97"/>
        <x:v>0</x:v>
      </x:c>
      <x:c r="EU83">
        <x:f t="shared" si="98"/>
        <x:v>0</x:v>
      </x:c>
      <x:c r="EV83">
        <x:f t="shared" si="99"/>
        <x:v>0</x:v>
      </x:c>
      <x:c r="EW83">
        <x:f t="shared" si="100"/>
        <x:v>0</x:v>
      </x:c>
      <x:c r="EX83">
        <x:f t="shared" si="101"/>
        <x:v>0</x:v>
      </x:c>
      <x:c r="EY83">
        <x:f t="shared" si="102"/>
        <x:v>0</x:v>
      </x:c>
      <x:c r="EZ83">
        <x:f t="shared" si="103"/>
        <x:v>0</x:v>
      </x:c>
      <x:c r="FA83" s="41">
        <x:f t="shared" si="104"/>
        <x:v>0</x:v>
      </x:c>
      <x:c r="FB83">
        <x:f t="shared" si="105"/>
        <x:v>0</x:v>
      </x:c>
      <x:c r="FC83">
        <x:f t="shared" si="106"/>
        <x:v>0</x:v>
      </x:c>
      <x:c r="FD83">
        <x:f t="shared" si="107"/>
        <x:v>0</x:v>
      </x:c>
      <x:c r="FE83">
        <x:f t="shared" si="108"/>
        <x:v>0</x:v>
      </x:c>
      <x:c r="FF83">
        <x:f t="shared" si="109"/>
        <x:v>0</x:v>
      </x:c>
      <x:c r="FG83">
        <x:f t="shared" si="110"/>
        <x:v>0</x:v>
      </x:c>
      <x:c r="FH83">
        <x:f t="shared" si="111"/>
        <x:v>0</x:v>
      </x:c>
      <x:c r="FI83">
        <x:f t="shared" si="112"/>
        <x:v>0</x:v>
      </x:c>
      <x:c r="FJ83">
        <x:f t="shared" si="113"/>
        <x:v>0</x:v>
      </x:c>
      <x:c r="FK83">
        <x:f t="shared" si="114"/>
        <x:v>0</x:v>
      </x:c>
      <x:c r="FL83" s="41">
        <x:f t="shared" si="115"/>
        <x:v>0</x:v>
      </x:c>
      <x:c r="FM83">
        <x:f t="shared" si="116"/>
        <x:v>0</x:v>
      </x:c>
      <x:c r="FN83">
        <x:f t="shared" si="117"/>
        <x:v>0</x:v>
      </x:c>
      <x:c r="FO83">
        <x:f t="shared" si="118"/>
        <x:v>0</x:v>
      </x:c>
      <x:c r="FP83">
        <x:f t="shared" si="119"/>
        <x:v>0</x:v>
      </x:c>
      <x:c r="FQ83">
        <x:f t="shared" si="120"/>
        <x:v>0</x:v>
      </x:c>
      <x:c r="FR83">
        <x:f t="shared" si="121"/>
        <x:v>0</x:v>
      </x:c>
      <x:c r="FS83">
        <x:f t="shared" si="122"/>
        <x:v>0</x:v>
      </x:c>
      <x:c r="FT83">
        <x:f t="shared" si="123"/>
        <x:v>0</x:v>
      </x:c>
      <x:c r="FU83">
        <x:f t="shared" si="124"/>
        <x:v>0</x:v>
      </x:c>
      <x:c r="FV83">
        <x:f t="shared" si="125"/>
        <x:v>0</x:v>
      </x:c>
      <x:c r="FW83" s="41">
        <x:f t="shared" si="126"/>
        <x:v>0</x:v>
      </x:c>
      <x:c r="FX83">
        <x:f t="shared" si="127"/>
        <x:v>0</x:v>
      </x:c>
      <x:c r="FY83">
        <x:f t="shared" si="128"/>
        <x:v>0</x:v>
      </x:c>
      <x:c r="FZ83">
        <x:f t="shared" si="129"/>
        <x:v>0</x:v>
      </x:c>
      <x:c r="GA83">
        <x:f t="shared" si="130"/>
        <x:v>0</x:v>
      </x:c>
      <x:c r="GB83">
        <x:f t="shared" si="131"/>
        <x:v>0</x:v>
      </x:c>
      <x:c r="GC83">
        <x:f t="shared" si="132"/>
        <x:v>0</x:v>
      </x:c>
      <x:c r="GD83">
        <x:f t="shared" si="133"/>
        <x:v>0</x:v>
      </x:c>
      <x:c r="GE83">
        <x:f t="shared" si="134"/>
        <x:v>0</x:v>
      </x:c>
      <x:c r="GF83">
        <x:f t="shared" si="135"/>
        <x:v>0</x:v>
      </x:c>
      <x:c r="GG83">
        <x:f t="shared" si="136"/>
        <x:v>0</x:v>
      </x:c>
      <x:c r="GH83">
        <x:f t="shared" si="137"/>
        <x:v>0</x:v>
      </x:c>
      <x:c r="GI83">
        <x:f t="shared" si="138"/>
        <x:v>0</x:v>
      </x:c>
      <x:c r="GJ83">
        <x:f t="shared" si="139"/>
        <x:v>0</x:v>
      </x:c>
      <x:c r="GK83">
        <x:f t="shared" si="140"/>
        <x:v>0</x:v>
      </x:c>
      <x:c r="GL83">
        <x:f t="shared" si="141"/>
        <x:v>0</x:v>
      </x:c>
      <x:c r="GM83">
        <x:f t="shared" si="142"/>
        <x:v>0</x:v>
      </x:c>
      <x:c r="GN83">
        <x:f t="shared" si="143"/>
        <x:v>0</x:v>
      </x:c>
      <x:c r="GO83">
        <x:f t="shared" si="144"/>
        <x:v>0</x:v>
      </x:c>
      <x:c r="GP83">
        <x:f t="shared" si="145"/>
        <x:v>0</x:v>
      </x:c>
      <x:c r="GQ83">
        <x:f t="shared" si="146"/>
        <x:v>0</x:v>
      </x:c>
      <x:c r="GR83" s="42">
        <x:f t="shared" si="147"/>
        <x:v>0</x:v>
      </x:c>
      <x:c r="GS83">
        <x:f t="shared" si="148"/>
        <x:v>0</x:v>
      </x:c>
      <x:c r="GT83">
        <x:f t="shared" si="149"/>
        <x:v>0</x:v>
      </x:c>
      <x:c r="GU83">
        <x:f t="shared" si="150"/>
        <x:v>0</x:v>
      </x:c>
      <x:c r="GV83">
        <x:f t="shared" si="151"/>
        <x:v>0</x:v>
      </x:c>
      <x:c r="GW83">
        <x:f t="shared" si="152"/>
        <x:v>0</x:v>
      </x:c>
      <x:c r="GX83">
        <x:f t="shared" si="153"/>
        <x:v>0</x:v>
      </x:c>
      <x:c r="GY83">
        <x:f t="shared" si="154"/>
        <x:v>0</x:v>
      </x:c>
      <x:c r="GZ83">
        <x:f t="shared" si="155"/>
        <x:v>0</x:v>
      </x:c>
      <x:c r="HA83">
        <x:f t="shared" si="156"/>
        <x:v>0</x:v>
      </x:c>
      <x:c r="HB83" s="42">
        <x:f t="shared" si="157"/>
        <x:v>0</x:v>
      </x:c>
      <x:c r="HC83">
        <x:f t="shared" si="158"/>
        <x:v>0</x:v>
      </x:c>
      <x:c r="HD83">
        <x:f t="shared" si="159"/>
        <x:v>0</x:v>
      </x:c>
      <x:c r="HE83">
        <x:f t="shared" si="160"/>
        <x:v>0</x:v>
      </x:c>
      <x:c r="HF83">
        <x:f t="shared" si="161"/>
        <x:v>0</x:v>
      </x:c>
      <x:c r="HG83">
        <x:f t="shared" si="162"/>
        <x:v>0</x:v>
      </x:c>
      <x:c r="HH83">
        <x:f t="shared" si="163"/>
        <x:v>0</x:v>
      </x:c>
      <x:c r="HI83">
        <x:f t="shared" si="164"/>
        <x:v>0</x:v>
      </x:c>
      <x:c r="HJ83">
        <x:f t="shared" si="165"/>
        <x:v>0</x:v>
      </x:c>
      <x:c r="HK83">
        <x:f t="shared" si="166"/>
        <x:v>0</x:v>
      </x:c>
      <x:c r="HL83">
        <x:f t="shared" si="167"/>
        <x:v>0</x:v>
      </x:c>
    </x:row>
    <x:row r="84">
      <x:c r="D84" s="74"/>
      <x:c r="EQ84">
        <x:f t="shared" si="94"/>
        <x:v>0</x:v>
      </x:c>
      <x:c r="ER84">
        <x:f t="shared" si="95"/>
        <x:v>0</x:v>
      </x:c>
      <x:c r="ES84">
        <x:f t="shared" si="96"/>
        <x:v>0</x:v>
      </x:c>
      <x:c r="ET84">
        <x:f t="shared" si="97"/>
        <x:v>0</x:v>
      </x:c>
      <x:c r="EU84">
        <x:f t="shared" si="98"/>
        <x:v>0</x:v>
      </x:c>
      <x:c r="EV84">
        <x:f t="shared" si="99"/>
        <x:v>0</x:v>
      </x:c>
      <x:c r="EW84">
        <x:f t="shared" si="100"/>
        <x:v>0</x:v>
      </x:c>
      <x:c r="EX84">
        <x:f t="shared" si="101"/>
        <x:v>0</x:v>
      </x:c>
      <x:c r="EY84">
        <x:f t="shared" si="102"/>
        <x:v>0</x:v>
      </x:c>
      <x:c r="EZ84">
        <x:f t="shared" si="103"/>
        <x:v>0</x:v>
      </x:c>
      <x:c r="FA84" s="41">
        <x:f t="shared" si="104"/>
        <x:v>0</x:v>
      </x:c>
      <x:c r="FB84">
        <x:f t="shared" si="105"/>
        <x:v>0</x:v>
      </x:c>
      <x:c r="FC84">
        <x:f t="shared" si="106"/>
        <x:v>0</x:v>
      </x:c>
      <x:c r="FD84">
        <x:f t="shared" si="107"/>
        <x:v>0</x:v>
      </x:c>
      <x:c r="FE84">
        <x:f t="shared" si="108"/>
        <x:v>0</x:v>
      </x:c>
      <x:c r="FF84">
        <x:f t="shared" si="109"/>
        <x:v>0</x:v>
      </x:c>
      <x:c r="FG84">
        <x:f t="shared" si="110"/>
        <x:v>0</x:v>
      </x:c>
      <x:c r="FH84">
        <x:f t="shared" si="111"/>
        <x:v>0</x:v>
      </x:c>
      <x:c r="FI84">
        <x:f t="shared" si="112"/>
        <x:v>0</x:v>
      </x:c>
      <x:c r="FJ84">
        <x:f t="shared" si="113"/>
        <x:v>0</x:v>
      </x:c>
      <x:c r="FK84">
        <x:f t="shared" si="114"/>
        <x:v>0</x:v>
      </x:c>
      <x:c r="FL84" s="41">
        <x:f t="shared" si="115"/>
        <x:v>0</x:v>
      </x:c>
      <x:c r="FM84">
        <x:f t="shared" si="116"/>
        <x:v>0</x:v>
      </x:c>
      <x:c r="FN84">
        <x:f t="shared" si="117"/>
        <x:v>0</x:v>
      </x:c>
      <x:c r="FO84">
        <x:f t="shared" si="118"/>
        <x:v>0</x:v>
      </x:c>
      <x:c r="FP84">
        <x:f t="shared" si="119"/>
        <x:v>0</x:v>
      </x:c>
      <x:c r="FQ84">
        <x:f t="shared" si="120"/>
        <x:v>0</x:v>
      </x:c>
      <x:c r="FR84">
        <x:f t="shared" si="121"/>
        <x:v>0</x:v>
      </x:c>
      <x:c r="FS84">
        <x:f t="shared" si="122"/>
        <x:v>0</x:v>
      </x:c>
      <x:c r="FT84">
        <x:f t="shared" si="123"/>
        <x:v>0</x:v>
      </x:c>
      <x:c r="FU84">
        <x:f t="shared" si="124"/>
        <x:v>0</x:v>
      </x:c>
      <x:c r="FV84">
        <x:f t="shared" si="125"/>
        <x:v>0</x:v>
      </x:c>
      <x:c r="FW84" s="41">
        <x:f t="shared" si="126"/>
        <x:v>0</x:v>
      </x:c>
      <x:c r="FX84">
        <x:f t="shared" si="127"/>
        <x:v>0</x:v>
      </x:c>
      <x:c r="FY84">
        <x:f t="shared" si="128"/>
        <x:v>0</x:v>
      </x:c>
      <x:c r="FZ84">
        <x:f t="shared" si="129"/>
        <x:v>0</x:v>
      </x:c>
      <x:c r="GA84">
        <x:f t="shared" si="130"/>
        <x:v>0</x:v>
      </x:c>
      <x:c r="GB84">
        <x:f t="shared" si="131"/>
        <x:v>0</x:v>
      </x:c>
      <x:c r="GC84">
        <x:f t="shared" si="132"/>
        <x:v>0</x:v>
      </x:c>
      <x:c r="GD84">
        <x:f t="shared" si="133"/>
        <x:v>0</x:v>
      </x:c>
      <x:c r="GE84">
        <x:f t="shared" si="134"/>
        <x:v>0</x:v>
      </x:c>
      <x:c r="GF84">
        <x:f t="shared" si="135"/>
        <x:v>0</x:v>
      </x:c>
      <x:c r="GG84">
        <x:f t="shared" si="136"/>
        <x:v>0</x:v>
      </x:c>
      <x:c r="GH84">
        <x:f t="shared" si="137"/>
        <x:v>0</x:v>
      </x:c>
      <x:c r="GI84">
        <x:f t="shared" si="138"/>
        <x:v>0</x:v>
      </x:c>
      <x:c r="GJ84">
        <x:f t="shared" si="139"/>
        <x:v>0</x:v>
      </x:c>
      <x:c r="GK84">
        <x:f t="shared" si="140"/>
        <x:v>0</x:v>
      </x:c>
      <x:c r="GL84">
        <x:f t="shared" si="141"/>
        <x:v>0</x:v>
      </x:c>
      <x:c r="GM84">
        <x:f t="shared" si="142"/>
        <x:v>0</x:v>
      </x:c>
      <x:c r="GN84">
        <x:f t="shared" si="143"/>
        <x:v>0</x:v>
      </x:c>
      <x:c r="GO84">
        <x:f t="shared" si="144"/>
        <x:v>0</x:v>
      </x:c>
      <x:c r="GP84">
        <x:f t="shared" si="145"/>
        <x:v>0</x:v>
      </x:c>
      <x:c r="GQ84">
        <x:f t="shared" si="146"/>
        <x:v>0</x:v>
      </x:c>
      <x:c r="GR84" s="42">
        <x:f t="shared" si="147"/>
        <x:v>0</x:v>
      </x:c>
      <x:c r="GS84">
        <x:f t="shared" si="148"/>
        <x:v>0</x:v>
      </x:c>
      <x:c r="GT84">
        <x:f t="shared" si="149"/>
        <x:v>0</x:v>
      </x:c>
      <x:c r="GU84">
        <x:f t="shared" si="150"/>
        <x:v>0</x:v>
      </x:c>
      <x:c r="GV84">
        <x:f t="shared" si="151"/>
        <x:v>0</x:v>
      </x:c>
      <x:c r="GW84">
        <x:f t="shared" si="152"/>
        <x:v>0</x:v>
      </x:c>
      <x:c r="GX84">
        <x:f t="shared" si="153"/>
        <x:v>0</x:v>
      </x:c>
      <x:c r="GY84">
        <x:f t="shared" si="154"/>
        <x:v>0</x:v>
      </x:c>
      <x:c r="GZ84">
        <x:f t="shared" si="155"/>
        <x:v>0</x:v>
      </x:c>
      <x:c r="HA84">
        <x:f t="shared" si="156"/>
        <x:v>0</x:v>
      </x:c>
      <x:c r="HB84" s="42">
        <x:f t="shared" si="157"/>
        <x:v>0</x:v>
      </x:c>
      <x:c r="HC84">
        <x:f t="shared" si="158"/>
        <x:v>0</x:v>
      </x:c>
      <x:c r="HD84">
        <x:f t="shared" si="159"/>
        <x:v>0</x:v>
      </x:c>
      <x:c r="HE84">
        <x:f t="shared" si="160"/>
        <x:v>0</x:v>
      </x:c>
      <x:c r="HF84">
        <x:f t="shared" si="161"/>
        <x:v>0</x:v>
      </x:c>
      <x:c r="HG84">
        <x:f t="shared" si="162"/>
        <x:v>0</x:v>
      </x:c>
      <x:c r="HH84">
        <x:f t="shared" si="163"/>
        <x:v>0</x:v>
      </x:c>
      <x:c r="HI84">
        <x:f t="shared" si="164"/>
        <x:v>0</x:v>
      </x:c>
      <x:c r="HJ84">
        <x:f t="shared" si="165"/>
        <x:v>0</x:v>
      </x:c>
      <x:c r="HK84">
        <x:f t="shared" si="166"/>
        <x:v>0</x:v>
      </x:c>
      <x:c r="HL84">
        <x:f t="shared" si="167"/>
        <x:v>0</x:v>
      </x:c>
    </x:row>
    <x:row r="85">
      <x:c r="D85" s="74"/>
      <x:c r="EQ85">
        <x:f t="shared" si="94"/>
        <x:v>0</x:v>
      </x:c>
      <x:c r="ER85">
        <x:f t="shared" si="95"/>
        <x:v>0</x:v>
      </x:c>
      <x:c r="ES85">
        <x:f t="shared" si="96"/>
        <x:v>0</x:v>
      </x:c>
      <x:c r="ET85">
        <x:f t="shared" si="97"/>
        <x:v>0</x:v>
      </x:c>
      <x:c r="EU85">
        <x:f t="shared" si="98"/>
        <x:v>0</x:v>
      </x:c>
      <x:c r="EV85">
        <x:f t="shared" si="99"/>
        <x:v>0</x:v>
      </x:c>
      <x:c r="EW85">
        <x:f t="shared" si="100"/>
        <x:v>0</x:v>
      </x:c>
      <x:c r="EX85">
        <x:f t="shared" si="101"/>
        <x:v>0</x:v>
      </x:c>
      <x:c r="EY85">
        <x:f t="shared" si="102"/>
        <x:v>0</x:v>
      </x:c>
      <x:c r="EZ85">
        <x:f t="shared" si="103"/>
        <x:v>0</x:v>
      </x:c>
      <x:c r="FA85" s="41">
        <x:f t="shared" si="104"/>
        <x:v>0</x:v>
      </x:c>
      <x:c r="FB85">
        <x:f t="shared" si="105"/>
        <x:v>0</x:v>
      </x:c>
      <x:c r="FC85">
        <x:f t="shared" si="106"/>
        <x:v>0</x:v>
      </x:c>
      <x:c r="FD85">
        <x:f t="shared" si="107"/>
        <x:v>0</x:v>
      </x:c>
      <x:c r="FE85">
        <x:f t="shared" si="108"/>
        <x:v>0</x:v>
      </x:c>
      <x:c r="FF85">
        <x:f t="shared" si="109"/>
        <x:v>0</x:v>
      </x:c>
      <x:c r="FG85">
        <x:f t="shared" si="110"/>
        <x:v>0</x:v>
      </x:c>
      <x:c r="FH85">
        <x:f t="shared" si="111"/>
        <x:v>0</x:v>
      </x:c>
      <x:c r="FI85">
        <x:f t="shared" si="112"/>
        <x:v>0</x:v>
      </x:c>
      <x:c r="FJ85">
        <x:f t="shared" si="113"/>
        <x:v>0</x:v>
      </x:c>
      <x:c r="FK85">
        <x:f t="shared" si="114"/>
        <x:v>0</x:v>
      </x:c>
      <x:c r="FL85" s="41">
        <x:f t="shared" si="115"/>
        <x:v>0</x:v>
      </x:c>
      <x:c r="FM85">
        <x:f t="shared" si="116"/>
        <x:v>0</x:v>
      </x:c>
      <x:c r="FN85">
        <x:f t="shared" si="117"/>
        <x:v>0</x:v>
      </x:c>
      <x:c r="FO85">
        <x:f t="shared" si="118"/>
        <x:v>0</x:v>
      </x:c>
      <x:c r="FP85">
        <x:f t="shared" si="119"/>
        <x:v>0</x:v>
      </x:c>
      <x:c r="FQ85">
        <x:f t="shared" si="120"/>
        <x:v>0</x:v>
      </x:c>
      <x:c r="FR85">
        <x:f t="shared" si="121"/>
        <x:v>0</x:v>
      </x:c>
      <x:c r="FS85">
        <x:f t="shared" si="122"/>
        <x:v>0</x:v>
      </x:c>
      <x:c r="FT85">
        <x:f t="shared" si="123"/>
        <x:v>0</x:v>
      </x:c>
      <x:c r="FU85">
        <x:f t="shared" si="124"/>
        <x:v>0</x:v>
      </x:c>
      <x:c r="FV85">
        <x:f t="shared" si="125"/>
        <x:v>0</x:v>
      </x:c>
      <x:c r="FW85" s="41">
        <x:f t="shared" si="126"/>
        <x:v>0</x:v>
      </x:c>
      <x:c r="FX85">
        <x:f t="shared" si="127"/>
        <x:v>0</x:v>
      </x:c>
      <x:c r="FY85">
        <x:f t="shared" si="128"/>
        <x:v>0</x:v>
      </x:c>
      <x:c r="FZ85">
        <x:f t="shared" si="129"/>
        <x:v>0</x:v>
      </x:c>
      <x:c r="GA85">
        <x:f t="shared" si="130"/>
        <x:v>0</x:v>
      </x:c>
      <x:c r="GB85">
        <x:f t="shared" si="131"/>
        <x:v>0</x:v>
      </x:c>
      <x:c r="GC85">
        <x:f t="shared" si="132"/>
        <x:v>0</x:v>
      </x:c>
      <x:c r="GD85">
        <x:f t="shared" si="133"/>
        <x:v>0</x:v>
      </x:c>
      <x:c r="GE85">
        <x:f t="shared" si="134"/>
        <x:v>0</x:v>
      </x:c>
      <x:c r="GF85">
        <x:f t="shared" si="135"/>
        <x:v>0</x:v>
      </x:c>
      <x:c r="GG85">
        <x:f t="shared" si="136"/>
        <x:v>0</x:v>
      </x:c>
      <x:c r="GH85">
        <x:f t="shared" si="137"/>
        <x:v>0</x:v>
      </x:c>
      <x:c r="GI85">
        <x:f t="shared" si="138"/>
        <x:v>0</x:v>
      </x:c>
      <x:c r="GJ85">
        <x:f t="shared" si="139"/>
        <x:v>0</x:v>
      </x:c>
      <x:c r="GK85">
        <x:f t="shared" si="140"/>
        <x:v>0</x:v>
      </x:c>
      <x:c r="GL85">
        <x:f t="shared" si="141"/>
        <x:v>0</x:v>
      </x:c>
      <x:c r="GM85">
        <x:f t="shared" si="142"/>
        <x:v>0</x:v>
      </x:c>
      <x:c r="GN85">
        <x:f t="shared" si="143"/>
        <x:v>0</x:v>
      </x:c>
      <x:c r="GO85">
        <x:f t="shared" si="144"/>
        <x:v>0</x:v>
      </x:c>
      <x:c r="GP85">
        <x:f t="shared" si="145"/>
        <x:v>0</x:v>
      </x:c>
      <x:c r="GQ85">
        <x:f t="shared" si="146"/>
        <x:v>0</x:v>
      </x:c>
      <x:c r="GR85" s="42">
        <x:f t="shared" si="147"/>
        <x:v>0</x:v>
      </x:c>
      <x:c r="GS85">
        <x:f t="shared" si="148"/>
        <x:v>0</x:v>
      </x:c>
      <x:c r="GT85">
        <x:f t="shared" si="149"/>
        <x:v>0</x:v>
      </x:c>
      <x:c r="GU85">
        <x:f t="shared" si="150"/>
        <x:v>0</x:v>
      </x:c>
      <x:c r="GV85">
        <x:f t="shared" si="151"/>
        <x:v>0</x:v>
      </x:c>
      <x:c r="GW85">
        <x:f t="shared" si="152"/>
        <x:v>0</x:v>
      </x:c>
      <x:c r="GX85">
        <x:f t="shared" si="153"/>
        <x:v>0</x:v>
      </x:c>
      <x:c r="GY85">
        <x:f t="shared" si="154"/>
        <x:v>0</x:v>
      </x:c>
      <x:c r="GZ85">
        <x:f t="shared" si="155"/>
        <x:v>0</x:v>
      </x:c>
      <x:c r="HA85">
        <x:f t="shared" si="156"/>
        <x:v>0</x:v>
      </x:c>
      <x:c r="HB85" s="42">
        <x:f t="shared" si="157"/>
        <x:v>0</x:v>
      </x:c>
      <x:c r="HC85">
        <x:f t="shared" si="158"/>
        <x:v>0</x:v>
      </x:c>
      <x:c r="HD85">
        <x:f t="shared" si="159"/>
        <x:v>0</x:v>
      </x:c>
      <x:c r="HE85">
        <x:f t="shared" si="160"/>
        <x:v>0</x:v>
      </x:c>
      <x:c r="HF85">
        <x:f t="shared" si="161"/>
        <x:v>0</x:v>
      </x:c>
      <x:c r="HG85">
        <x:f t="shared" si="162"/>
        <x:v>0</x:v>
      </x:c>
      <x:c r="HH85">
        <x:f t="shared" si="163"/>
        <x:v>0</x:v>
      </x:c>
      <x:c r="HI85">
        <x:f t="shared" si="164"/>
        <x:v>0</x:v>
      </x:c>
      <x:c r="HJ85">
        <x:f t="shared" si="165"/>
        <x:v>0</x:v>
      </x:c>
      <x:c r="HK85">
        <x:f t="shared" si="166"/>
        <x:v>0</x:v>
      </x:c>
      <x:c r="HL85">
        <x:f t="shared" si="167"/>
        <x:v>0</x:v>
      </x:c>
    </x:row>
    <x:row r="86">
      <x:c r="D86" s="74"/>
      <x:c r="EQ86">
        <x:f t="shared" si="94"/>
        <x:v>0</x:v>
      </x:c>
      <x:c r="ER86">
        <x:f t="shared" si="95"/>
        <x:v>0</x:v>
      </x:c>
      <x:c r="ES86">
        <x:f t="shared" si="96"/>
        <x:v>0</x:v>
      </x:c>
      <x:c r="ET86">
        <x:f t="shared" si="97"/>
        <x:v>0</x:v>
      </x:c>
      <x:c r="EU86">
        <x:f t="shared" si="98"/>
        <x:v>0</x:v>
      </x:c>
      <x:c r="EV86">
        <x:f t="shared" si="99"/>
        <x:v>0</x:v>
      </x:c>
      <x:c r="EW86">
        <x:f t="shared" si="100"/>
        <x:v>0</x:v>
      </x:c>
      <x:c r="EX86">
        <x:f t="shared" si="101"/>
        <x:v>0</x:v>
      </x:c>
      <x:c r="EY86">
        <x:f t="shared" si="102"/>
        <x:v>0</x:v>
      </x:c>
      <x:c r="EZ86">
        <x:f t="shared" si="103"/>
        <x:v>0</x:v>
      </x:c>
      <x:c r="FA86" s="41">
        <x:f t="shared" si="104"/>
        <x:v>0</x:v>
      </x:c>
      <x:c r="FB86">
        <x:f t="shared" si="105"/>
        <x:v>0</x:v>
      </x:c>
      <x:c r="FC86">
        <x:f t="shared" si="106"/>
        <x:v>0</x:v>
      </x:c>
      <x:c r="FD86">
        <x:f t="shared" si="107"/>
        <x:v>0</x:v>
      </x:c>
      <x:c r="FE86">
        <x:f t="shared" si="108"/>
        <x:v>0</x:v>
      </x:c>
      <x:c r="FF86">
        <x:f t="shared" si="109"/>
        <x:v>0</x:v>
      </x:c>
      <x:c r="FG86">
        <x:f t="shared" si="110"/>
        <x:v>0</x:v>
      </x:c>
      <x:c r="FH86">
        <x:f t="shared" si="111"/>
        <x:v>0</x:v>
      </x:c>
      <x:c r="FI86">
        <x:f t="shared" si="112"/>
        <x:v>0</x:v>
      </x:c>
      <x:c r="FJ86">
        <x:f t="shared" si="113"/>
        <x:v>0</x:v>
      </x:c>
      <x:c r="FK86">
        <x:f t="shared" si="114"/>
        <x:v>0</x:v>
      </x:c>
      <x:c r="FL86" s="41">
        <x:f t="shared" si="115"/>
        <x:v>0</x:v>
      </x:c>
      <x:c r="FM86">
        <x:f t="shared" si="116"/>
        <x:v>0</x:v>
      </x:c>
      <x:c r="FN86">
        <x:f t="shared" si="117"/>
        <x:v>0</x:v>
      </x:c>
      <x:c r="FO86">
        <x:f t="shared" si="118"/>
        <x:v>0</x:v>
      </x:c>
      <x:c r="FP86">
        <x:f t="shared" si="119"/>
        <x:v>0</x:v>
      </x:c>
      <x:c r="FQ86">
        <x:f t="shared" si="120"/>
        <x:v>0</x:v>
      </x:c>
      <x:c r="FR86">
        <x:f t="shared" si="121"/>
        <x:v>0</x:v>
      </x:c>
      <x:c r="FS86">
        <x:f t="shared" si="122"/>
        <x:v>0</x:v>
      </x:c>
      <x:c r="FT86">
        <x:f t="shared" si="123"/>
        <x:v>0</x:v>
      </x:c>
      <x:c r="FU86">
        <x:f t="shared" si="124"/>
        <x:v>0</x:v>
      </x:c>
      <x:c r="FV86">
        <x:f t="shared" si="125"/>
        <x:v>0</x:v>
      </x:c>
      <x:c r="FW86" s="41">
        <x:f t="shared" si="126"/>
        <x:v>0</x:v>
      </x:c>
      <x:c r="FX86">
        <x:f t="shared" si="127"/>
        <x:v>0</x:v>
      </x:c>
      <x:c r="FY86">
        <x:f t="shared" si="128"/>
        <x:v>0</x:v>
      </x:c>
      <x:c r="FZ86">
        <x:f t="shared" si="129"/>
        <x:v>0</x:v>
      </x:c>
      <x:c r="GA86">
        <x:f t="shared" si="130"/>
        <x:v>0</x:v>
      </x:c>
      <x:c r="GB86">
        <x:f t="shared" si="131"/>
        <x:v>0</x:v>
      </x:c>
      <x:c r="GC86">
        <x:f t="shared" si="132"/>
        <x:v>0</x:v>
      </x:c>
      <x:c r="GD86">
        <x:f t="shared" si="133"/>
        <x:v>0</x:v>
      </x:c>
      <x:c r="GE86">
        <x:f t="shared" si="134"/>
        <x:v>0</x:v>
      </x:c>
      <x:c r="GF86">
        <x:f t="shared" si="135"/>
        <x:v>0</x:v>
      </x:c>
      <x:c r="GG86">
        <x:f t="shared" si="136"/>
        <x:v>0</x:v>
      </x:c>
      <x:c r="GH86">
        <x:f t="shared" si="137"/>
        <x:v>0</x:v>
      </x:c>
      <x:c r="GI86">
        <x:f t="shared" si="138"/>
        <x:v>0</x:v>
      </x:c>
      <x:c r="GJ86">
        <x:f t="shared" si="139"/>
        <x:v>0</x:v>
      </x:c>
      <x:c r="GK86">
        <x:f t="shared" si="140"/>
        <x:v>0</x:v>
      </x:c>
      <x:c r="GL86">
        <x:f t="shared" si="141"/>
        <x:v>0</x:v>
      </x:c>
      <x:c r="GM86">
        <x:f t="shared" si="142"/>
        <x:v>0</x:v>
      </x:c>
      <x:c r="GN86">
        <x:f t="shared" si="143"/>
        <x:v>0</x:v>
      </x:c>
      <x:c r="GO86">
        <x:f t="shared" si="144"/>
        <x:v>0</x:v>
      </x:c>
      <x:c r="GP86">
        <x:f t="shared" si="145"/>
        <x:v>0</x:v>
      </x:c>
      <x:c r="GQ86">
        <x:f t="shared" si="146"/>
        <x:v>0</x:v>
      </x:c>
      <x:c r="GR86" s="42">
        <x:f t="shared" si="147"/>
        <x:v>0</x:v>
      </x:c>
      <x:c r="GS86">
        <x:f t="shared" si="148"/>
        <x:v>0</x:v>
      </x:c>
      <x:c r="GT86">
        <x:f t="shared" si="149"/>
        <x:v>0</x:v>
      </x:c>
      <x:c r="GU86">
        <x:f t="shared" si="150"/>
        <x:v>0</x:v>
      </x:c>
      <x:c r="GV86">
        <x:f t="shared" si="151"/>
        <x:v>0</x:v>
      </x:c>
      <x:c r="GW86">
        <x:f t="shared" si="152"/>
        <x:v>0</x:v>
      </x:c>
      <x:c r="GX86">
        <x:f t="shared" si="153"/>
        <x:v>0</x:v>
      </x:c>
      <x:c r="GY86">
        <x:f t="shared" si="154"/>
        <x:v>0</x:v>
      </x:c>
      <x:c r="GZ86">
        <x:f t="shared" si="155"/>
        <x:v>0</x:v>
      </x:c>
      <x:c r="HA86">
        <x:f t="shared" si="156"/>
        <x:v>0</x:v>
      </x:c>
      <x:c r="HB86" s="42">
        <x:f t="shared" si="157"/>
        <x:v>0</x:v>
      </x:c>
      <x:c r="HC86">
        <x:f t="shared" si="158"/>
        <x:v>0</x:v>
      </x:c>
      <x:c r="HD86">
        <x:f t="shared" si="159"/>
        <x:v>0</x:v>
      </x:c>
      <x:c r="HE86">
        <x:f t="shared" si="160"/>
        <x:v>0</x:v>
      </x:c>
      <x:c r="HF86">
        <x:f t="shared" si="161"/>
        <x:v>0</x:v>
      </x:c>
      <x:c r="HG86">
        <x:f t="shared" si="162"/>
        <x:v>0</x:v>
      </x:c>
      <x:c r="HH86">
        <x:f t="shared" si="163"/>
        <x:v>0</x:v>
      </x:c>
      <x:c r="HI86">
        <x:f t="shared" si="164"/>
        <x:v>0</x:v>
      </x:c>
      <x:c r="HJ86">
        <x:f t="shared" si="165"/>
        <x:v>0</x:v>
      </x:c>
      <x:c r="HK86">
        <x:f t="shared" si="166"/>
        <x:v>0</x:v>
      </x:c>
      <x:c r="HL86">
        <x:f t="shared" si="167"/>
        <x:v>0</x:v>
      </x:c>
    </x:row>
    <x:row r="87">
      <x:c r="D87" s="74"/>
      <x:c r="EQ87">
        <x:f t="shared" si="94"/>
        <x:v>0</x:v>
      </x:c>
      <x:c r="ER87">
        <x:f t="shared" si="95"/>
        <x:v>0</x:v>
      </x:c>
      <x:c r="ES87">
        <x:f t="shared" si="96"/>
        <x:v>0</x:v>
      </x:c>
      <x:c r="ET87">
        <x:f t="shared" si="97"/>
        <x:v>0</x:v>
      </x:c>
      <x:c r="EU87">
        <x:f t="shared" si="98"/>
        <x:v>0</x:v>
      </x:c>
      <x:c r="EV87">
        <x:f t="shared" si="99"/>
        <x:v>0</x:v>
      </x:c>
      <x:c r="EW87">
        <x:f t="shared" si="100"/>
        <x:v>0</x:v>
      </x:c>
      <x:c r="EX87">
        <x:f t="shared" si="101"/>
        <x:v>0</x:v>
      </x:c>
      <x:c r="EY87">
        <x:f t="shared" si="102"/>
        <x:v>0</x:v>
      </x:c>
      <x:c r="EZ87">
        <x:f t="shared" si="103"/>
        <x:v>0</x:v>
      </x:c>
      <x:c r="FA87" s="41">
        <x:f t="shared" si="104"/>
        <x:v>0</x:v>
      </x:c>
      <x:c r="FB87">
        <x:f t="shared" si="105"/>
        <x:v>0</x:v>
      </x:c>
      <x:c r="FC87">
        <x:f t="shared" si="106"/>
        <x:v>0</x:v>
      </x:c>
      <x:c r="FD87">
        <x:f t="shared" si="107"/>
        <x:v>0</x:v>
      </x:c>
      <x:c r="FE87">
        <x:f t="shared" si="108"/>
        <x:v>0</x:v>
      </x:c>
      <x:c r="FF87">
        <x:f t="shared" si="109"/>
        <x:v>0</x:v>
      </x:c>
      <x:c r="FG87">
        <x:f t="shared" si="110"/>
        <x:v>0</x:v>
      </x:c>
      <x:c r="FH87">
        <x:f t="shared" si="111"/>
        <x:v>0</x:v>
      </x:c>
      <x:c r="FI87">
        <x:f t="shared" si="112"/>
        <x:v>0</x:v>
      </x:c>
      <x:c r="FJ87">
        <x:f t="shared" si="113"/>
        <x:v>0</x:v>
      </x:c>
      <x:c r="FK87">
        <x:f t="shared" si="114"/>
        <x:v>0</x:v>
      </x:c>
      <x:c r="FL87" s="41">
        <x:f t="shared" si="115"/>
        <x:v>0</x:v>
      </x:c>
      <x:c r="FM87">
        <x:f t="shared" si="116"/>
        <x:v>0</x:v>
      </x:c>
      <x:c r="FN87">
        <x:f t="shared" si="117"/>
        <x:v>0</x:v>
      </x:c>
      <x:c r="FO87">
        <x:f t="shared" si="118"/>
        <x:v>0</x:v>
      </x:c>
      <x:c r="FP87">
        <x:f t="shared" si="119"/>
        <x:v>0</x:v>
      </x:c>
      <x:c r="FQ87">
        <x:f t="shared" si="120"/>
        <x:v>0</x:v>
      </x:c>
      <x:c r="FR87">
        <x:f t="shared" si="121"/>
        <x:v>0</x:v>
      </x:c>
      <x:c r="FS87">
        <x:f t="shared" si="122"/>
        <x:v>0</x:v>
      </x:c>
      <x:c r="FT87">
        <x:f t="shared" si="123"/>
        <x:v>0</x:v>
      </x:c>
      <x:c r="FU87">
        <x:f t="shared" si="124"/>
        <x:v>0</x:v>
      </x:c>
      <x:c r="FV87">
        <x:f t="shared" si="125"/>
        <x:v>0</x:v>
      </x:c>
      <x:c r="FW87" s="41">
        <x:f t="shared" si="126"/>
        <x:v>0</x:v>
      </x:c>
      <x:c r="FX87">
        <x:f t="shared" si="127"/>
        <x:v>0</x:v>
      </x:c>
      <x:c r="FY87">
        <x:f t="shared" si="128"/>
        <x:v>0</x:v>
      </x:c>
      <x:c r="FZ87">
        <x:f t="shared" si="129"/>
        <x:v>0</x:v>
      </x:c>
      <x:c r="GA87">
        <x:f t="shared" si="130"/>
        <x:v>0</x:v>
      </x:c>
      <x:c r="GB87">
        <x:f t="shared" si="131"/>
        <x:v>0</x:v>
      </x:c>
      <x:c r="GC87">
        <x:f t="shared" si="132"/>
        <x:v>0</x:v>
      </x:c>
      <x:c r="GD87">
        <x:f t="shared" si="133"/>
        <x:v>0</x:v>
      </x:c>
      <x:c r="GE87">
        <x:f t="shared" si="134"/>
        <x:v>0</x:v>
      </x:c>
      <x:c r="GF87">
        <x:f t="shared" si="135"/>
        <x:v>0</x:v>
      </x:c>
      <x:c r="GG87">
        <x:f t="shared" si="136"/>
        <x:v>0</x:v>
      </x:c>
      <x:c r="GH87">
        <x:f t="shared" si="137"/>
        <x:v>0</x:v>
      </x:c>
      <x:c r="GI87">
        <x:f t="shared" si="138"/>
        <x:v>0</x:v>
      </x:c>
      <x:c r="GJ87">
        <x:f t="shared" si="139"/>
        <x:v>0</x:v>
      </x:c>
      <x:c r="GK87">
        <x:f t="shared" si="140"/>
        <x:v>0</x:v>
      </x:c>
      <x:c r="GL87">
        <x:f t="shared" si="141"/>
        <x:v>0</x:v>
      </x:c>
      <x:c r="GM87">
        <x:f t="shared" si="142"/>
        <x:v>0</x:v>
      </x:c>
      <x:c r="GN87">
        <x:f t="shared" si="143"/>
        <x:v>0</x:v>
      </x:c>
      <x:c r="GO87">
        <x:f t="shared" si="144"/>
        <x:v>0</x:v>
      </x:c>
      <x:c r="GP87">
        <x:f t="shared" si="145"/>
        <x:v>0</x:v>
      </x:c>
      <x:c r="GQ87">
        <x:f t="shared" si="146"/>
        <x:v>0</x:v>
      </x:c>
      <x:c r="GR87" s="42">
        <x:f t="shared" si="147"/>
        <x:v>0</x:v>
      </x:c>
      <x:c r="GS87">
        <x:f t="shared" si="148"/>
        <x:v>0</x:v>
      </x:c>
      <x:c r="GT87">
        <x:f t="shared" si="149"/>
        <x:v>0</x:v>
      </x:c>
      <x:c r="GU87">
        <x:f t="shared" si="150"/>
        <x:v>0</x:v>
      </x:c>
      <x:c r="GV87">
        <x:f t="shared" si="151"/>
        <x:v>0</x:v>
      </x:c>
      <x:c r="GW87">
        <x:f t="shared" si="152"/>
        <x:v>0</x:v>
      </x:c>
      <x:c r="GX87">
        <x:f t="shared" si="153"/>
        <x:v>0</x:v>
      </x:c>
      <x:c r="GY87">
        <x:f t="shared" si="154"/>
        <x:v>0</x:v>
      </x:c>
      <x:c r="GZ87">
        <x:f t="shared" si="155"/>
        <x:v>0</x:v>
      </x:c>
      <x:c r="HA87">
        <x:f t="shared" si="156"/>
        <x:v>0</x:v>
      </x:c>
      <x:c r="HB87" s="42">
        <x:f t="shared" si="157"/>
        <x:v>0</x:v>
      </x:c>
      <x:c r="HC87">
        <x:f t="shared" si="158"/>
        <x:v>0</x:v>
      </x:c>
      <x:c r="HD87">
        <x:f t="shared" si="159"/>
        <x:v>0</x:v>
      </x:c>
      <x:c r="HE87">
        <x:f t="shared" si="160"/>
        <x:v>0</x:v>
      </x:c>
      <x:c r="HF87">
        <x:f t="shared" si="161"/>
        <x:v>0</x:v>
      </x:c>
      <x:c r="HG87">
        <x:f t="shared" si="162"/>
        <x:v>0</x:v>
      </x:c>
      <x:c r="HH87">
        <x:f t="shared" si="163"/>
        <x:v>0</x:v>
      </x:c>
      <x:c r="HI87">
        <x:f t="shared" si="164"/>
        <x:v>0</x:v>
      </x:c>
      <x:c r="HJ87">
        <x:f t="shared" si="165"/>
        <x:v>0</x:v>
      </x:c>
      <x:c r="HK87">
        <x:f t="shared" si="166"/>
        <x:v>0</x:v>
      </x:c>
      <x:c r="HL87">
        <x:f t="shared" si="167"/>
        <x:v>0</x:v>
      </x:c>
    </x:row>
    <x:row r="88">
      <x:c r="D88" s="74"/>
      <x:c r="EQ88">
        <x:f t="shared" si="94"/>
        <x:v>0</x:v>
      </x:c>
      <x:c r="ER88">
        <x:f t="shared" si="95"/>
        <x:v>0</x:v>
      </x:c>
      <x:c r="ES88">
        <x:f t="shared" si="96"/>
        <x:v>0</x:v>
      </x:c>
      <x:c r="ET88">
        <x:f t="shared" si="97"/>
        <x:v>0</x:v>
      </x:c>
      <x:c r="EU88">
        <x:f t="shared" si="98"/>
        <x:v>0</x:v>
      </x:c>
      <x:c r="EV88">
        <x:f t="shared" si="99"/>
        <x:v>0</x:v>
      </x:c>
      <x:c r="EW88">
        <x:f t="shared" si="100"/>
        <x:v>0</x:v>
      </x:c>
      <x:c r="EX88">
        <x:f t="shared" si="101"/>
        <x:v>0</x:v>
      </x:c>
      <x:c r="EY88">
        <x:f t="shared" si="102"/>
        <x:v>0</x:v>
      </x:c>
      <x:c r="EZ88">
        <x:f t="shared" si="103"/>
        <x:v>0</x:v>
      </x:c>
      <x:c r="FA88" s="41">
        <x:f t="shared" si="104"/>
        <x:v>0</x:v>
      </x:c>
      <x:c r="FB88">
        <x:f t="shared" si="105"/>
        <x:v>0</x:v>
      </x:c>
      <x:c r="FC88">
        <x:f t="shared" si="106"/>
        <x:v>0</x:v>
      </x:c>
      <x:c r="FD88">
        <x:f t="shared" si="107"/>
        <x:v>0</x:v>
      </x:c>
      <x:c r="FE88">
        <x:f t="shared" si="108"/>
        <x:v>0</x:v>
      </x:c>
      <x:c r="FF88">
        <x:f t="shared" si="109"/>
        <x:v>0</x:v>
      </x:c>
      <x:c r="FG88">
        <x:f t="shared" si="110"/>
        <x:v>0</x:v>
      </x:c>
      <x:c r="FH88">
        <x:f t="shared" si="111"/>
        <x:v>0</x:v>
      </x:c>
      <x:c r="FI88">
        <x:f t="shared" si="112"/>
        <x:v>0</x:v>
      </x:c>
      <x:c r="FJ88">
        <x:f t="shared" si="113"/>
        <x:v>0</x:v>
      </x:c>
      <x:c r="FK88">
        <x:f t="shared" si="114"/>
        <x:v>0</x:v>
      </x:c>
      <x:c r="FL88" s="41">
        <x:f t="shared" si="115"/>
        <x:v>0</x:v>
      </x:c>
      <x:c r="FM88">
        <x:f t="shared" si="116"/>
        <x:v>0</x:v>
      </x:c>
      <x:c r="FN88">
        <x:f t="shared" si="117"/>
        <x:v>0</x:v>
      </x:c>
      <x:c r="FO88">
        <x:f t="shared" si="118"/>
        <x:v>0</x:v>
      </x:c>
      <x:c r="FP88">
        <x:f t="shared" si="119"/>
        <x:v>0</x:v>
      </x:c>
      <x:c r="FQ88">
        <x:f t="shared" si="120"/>
        <x:v>0</x:v>
      </x:c>
      <x:c r="FR88">
        <x:f t="shared" si="121"/>
        <x:v>0</x:v>
      </x:c>
      <x:c r="FS88">
        <x:f t="shared" si="122"/>
        <x:v>0</x:v>
      </x:c>
      <x:c r="FT88">
        <x:f t="shared" si="123"/>
        <x:v>0</x:v>
      </x:c>
      <x:c r="FU88">
        <x:f t="shared" si="124"/>
        <x:v>0</x:v>
      </x:c>
      <x:c r="FV88">
        <x:f t="shared" si="125"/>
        <x:v>0</x:v>
      </x:c>
      <x:c r="FW88" s="41">
        <x:f t="shared" si="126"/>
        <x:v>0</x:v>
      </x:c>
      <x:c r="FX88">
        <x:f t="shared" si="127"/>
        <x:v>0</x:v>
      </x:c>
      <x:c r="FY88">
        <x:f t="shared" si="128"/>
        <x:v>0</x:v>
      </x:c>
      <x:c r="FZ88">
        <x:f t="shared" si="129"/>
        <x:v>0</x:v>
      </x:c>
      <x:c r="GA88">
        <x:f t="shared" si="130"/>
        <x:v>0</x:v>
      </x:c>
      <x:c r="GB88">
        <x:f t="shared" si="131"/>
        <x:v>0</x:v>
      </x:c>
      <x:c r="GC88">
        <x:f t="shared" si="132"/>
        <x:v>0</x:v>
      </x:c>
      <x:c r="GD88">
        <x:f t="shared" si="133"/>
        <x:v>0</x:v>
      </x:c>
      <x:c r="GE88">
        <x:f t="shared" si="134"/>
        <x:v>0</x:v>
      </x:c>
      <x:c r="GF88">
        <x:f t="shared" si="135"/>
        <x:v>0</x:v>
      </x:c>
      <x:c r="GG88">
        <x:f t="shared" si="136"/>
        <x:v>0</x:v>
      </x:c>
      <x:c r="GH88">
        <x:f t="shared" si="137"/>
        <x:v>0</x:v>
      </x:c>
      <x:c r="GI88">
        <x:f t="shared" si="138"/>
        <x:v>0</x:v>
      </x:c>
      <x:c r="GJ88">
        <x:f t="shared" si="139"/>
        <x:v>0</x:v>
      </x:c>
      <x:c r="GK88">
        <x:f t="shared" si="140"/>
        <x:v>0</x:v>
      </x:c>
      <x:c r="GL88">
        <x:f t="shared" si="141"/>
        <x:v>0</x:v>
      </x:c>
      <x:c r="GM88">
        <x:f t="shared" si="142"/>
        <x:v>0</x:v>
      </x:c>
      <x:c r="GN88">
        <x:f t="shared" si="143"/>
        <x:v>0</x:v>
      </x:c>
      <x:c r="GO88">
        <x:f t="shared" si="144"/>
        <x:v>0</x:v>
      </x:c>
      <x:c r="GP88">
        <x:f t="shared" si="145"/>
        <x:v>0</x:v>
      </x:c>
      <x:c r="GQ88">
        <x:f t="shared" si="146"/>
        <x:v>0</x:v>
      </x:c>
      <x:c r="GR88" s="42">
        <x:f t="shared" si="147"/>
        <x:v>0</x:v>
      </x:c>
      <x:c r="GS88">
        <x:f t="shared" si="148"/>
        <x:v>0</x:v>
      </x:c>
      <x:c r="GT88">
        <x:f t="shared" si="149"/>
        <x:v>0</x:v>
      </x:c>
      <x:c r="GU88">
        <x:f t="shared" si="150"/>
        <x:v>0</x:v>
      </x:c>
      <x:c r="GV88">
        <x:f t="shared" si="151"/>
        <x:v>0</x:v>
      </x:c>
      <x:c r="GW88">
        <x:f t="shared" si="152"/>
        <x:v>0</x:v>
      </x:c>
      <x:c r="GX88">
        <x:f t="shared" si="153"/>
        <x:v>0</x:v>
      </x:c>
      <x:c r="GY88">
        <x:f t="shared" si="154"/>
        <x:v>0</x:v>
      </x:c>
      <x:c r="GZ88">
        <x:f t="shared" si="155"/>
        <x:v>0</x:v>
      </x:c>
      <x:c r="HA88">
        <x:f t="shared" si="156"/>
        <x:v>0</x:v>
      </x:c>
      <x:c r="HB88" s="42">
        <x:f t="shared" si="157"/>
        <x:v>0</x:v>
      </x:c>
      <x:c r="HC88">
        <x:f t="shared" si="158"/>
        <x:v>0</x:v>
      </x:c>
      <x:c r="HD88">
        <x:f t="shared" si="159"/>
        <x:v>0</x:v>
      </x:c>
      <x:c r="HE88">
        <x:f t="shared" si="160"/>
        <x:v>0</x:v>
      </x:c>
      <x:c r="HF88">
        <x:f t="shared" si="161"/>
        <x:v>0</x:v>
      </x:c>
      <x:c r="HG88">
        <x:f t="shared" si="162"/>
        <x:v>0</x:v>
      </x:c>
      <x:c r="HH88">
        <x:f t="shared" si="163"/>
        <x:v>0</x:v>
      </x:c>
      <x:c r="HI88">
        <x:f t="shared" si="164"/>
        <x:v>0</x:v>
      </x:c>
      <x:c r="HJ88">
        <x:f t="shared" si="165"/>
        <x:v>0</x:v>
      </x:c>
      <x:c r="HK88">
        <x:f t="shared" si="166"/>
        <x:v>0</x:v>
      </x:c>
      <x:c r="HL88">
        <x:f t="shared" si="167"/>
        <x:v>0</x:v>
      </x:c>
    </x:row>
    <x:row r="89">
      <x:c r="D89" s="74"/>
      <x:c r="EQ89">
        <x:f t="shared" si="94"/>
        <x:v>0</x:v>
      </x:c>
      <x:c r="ER89">
        <x:f t="shared" si="95"/>
        <x:v>0</x:v>
      </x:c>
      <x:c r="ES89">
        <x:f t="shared" si="96"/>
        <x:v>0</x:v>
      </x:c>
      <x:c r="ET89">
        <x:f t="shared" si="97"/>
        <x:v>0</x:v>
      </x:c>
      <x:c r="EU89">
        <x:f t="shared" si="98"/>
        <x:v>0</x:v>
      </x:c>
      <x:c r="EV89">
        <x:f t="shared" si="99"/>
        <x:v>0</x:v>
      </x:c>
      <x:c r="EW89">
        <x:f t="shared" si="100"/>
        <x:v>0</x:v>
      </x:c>
      <x:c r="EX89">
        <x:f t="shared" si="101"/>
        <x:v>0</x:v>
      </x:c>
      <x:c r="EY89">
        <x:f t="shared" si="102"/>
        <x:v>0</x:v>
      </x:c>
      <x:c r="EZ89">
        <x:f t="shared" si="103"/>
        <x:v>0</x:v>
      </x:c>
      <x:c r="FA89" s="41">
        <x:f t="shared" si="104"/>
        <x:v>0</x:v>
      </x:c>
      <x:c r="FB89">
        <x:f t="shared" si="105"/>
        <x:v>0</x:v>
      </x:c>
      <x:c r="FC89">
        <x:f t="shared" si="106"/>
        <x:v>0</x:v>
      </x:c>
      <x:c r="FD89">
        <x:f t="shared" si="107"/>
        <x:v>0</x:v>
      </x:c>
      <x:c r="FE89">
        <x:f t="shared" si="108"/>
        <x:v>0</x:v>
      </x:c>
      <x:c r="FF89">
        <x:f t="shared" si="109"/>
        <x:v>0</x:v>
      </x:c>
      <x:c r="FG89">
        <x:f t="shared" si="110"/>
        <x:v>0</x:v>
      </x:c>
      <x:c r="FH89">
        <x:f t="shared" si="111"/>
        <x:v>0</x:v>
      </x:c>
      <x:c r="FI89">
        <x:f t="shared" si="112"/>
        <x:v>0</x:v>
      </x:c>
      <x:c r="FJ89">
        <x:f t="shared" si="113"/>
        <x:v>0</x:v>
      </x:c>
      <x:c r="FK89">
        <x:f t="shared" si="114"/>
        <x:v>0</x:v>
      </x:c>
      <x:c r="FL89" s="41">
        <x:f t="shared" si="115"/>
        <x:v>0</x:v>
      </x:c>
      <x:c r="FM89">
        <x:f t="shared" si="116"/>
        <x:v>0</x:v>
      </x:c>
      <x:c r="FN89">
        <x:f t="shared" si="117"/>
        <x:v>0</x:v>
      </x:c>
      <x:c r="FO89">
        <x:f t="shared" si="118"/>
        <x:v>0</x:v>
      </x:c>
      <x:c r="FP89">
        <x:f t="shared" si="119"/>
        <x:v>0</x:v>
      </x:c>
      <x:c r="FQ89">
        <x:f t="shared" si="120"/>
        <x:v>0</x:v>
      </x:c>
      <x:c r="FR89">
        <x:f t="shared" si="121"/>
        <x:v>0</x:v>
      </x:c>
      <x:c r="FS89">
        <x:f t="shared" si="122"/>
        <x:v>0</x:v>
      </x:c>
      <x:c r="FT89">
        <x:f t="shared" si="123"/>
        <x:v>0</x:v>
      </x:c>
      <x:c r="FU89">
        <x:f t="shared" si="124"/>
        <x:v>0</x:v>
      </x:c>
      <x:c r="FV89">
        <x:f t="shared" si="125"/>
        <x:v>0</x:v>
      </x:c>
      <x:c r="FW89" s="41">
        <x:f t="shared" si="126"/>
        <x:v>0</x:v>
      </x:c>
      <x:c r="FX89">
        <x:f t="shared" si="127"/>
        <x:v>0</x:v>
      </x:c>
      <x:c r="FY89">
        <x:f t="shared" si="128"/>
        <x:v>0</x:v>
      </x:c>
      <x:c r="FZ89">
        <x:f t="shared" si="129"/>
        <x:v>0</x:v>
      </x:c>
      <x:c r="GA89">
        <x:f t="shared" si="130"/>
        <x:v>0</x:v>
      </x:c>
      <x:c r="GB89">
        <x:f t="shared" si="131"/>
        <x:v>0</x:v>
      </x:c>
      <x:c r="GC89">
        <x:f t="shared" si="132"/>
        <x:v>0</x:v>
      </x:c>
      <x:c r="GD89">
        <x:f t="shared" si="133"/>
        <x:v>0</x:v>
      </x:c>
      <x:c r="GE89">
        <x:f t="shared" si="134"/>
        <x:v>0</x:v>
      </x:c>
      <x:c r="GF89">
        <x:f t="shared" si="135"/>
        <x:v>0</x:v>
      </x:c>
      <x:c r="GG89">
        <x:f t="shared" si="136"/>
        <x:v>0</x:v>
      </x:c>
      <x:c r="GH89">
        <x:f t="shared" si="137"/>
        <x:v>0</x:v>
      </x:c>
      <x:c r="GI89">
        <x:f t="shared" si="138"/>
        <x:v>0</x:v>
      </x:c>
      <x:c r="GJ89">
        <x:f t="shared" si="139"/>
        <x:v>0</x:v>
      </x:c>
      <x:c r="GK89">
        <x:f t="shared" si="140"/>
        <x:v>0</x:v>
      </x:c>
      <x:c r="GL89">
        <x:f t="shared" si="141"/>
        <x:v>0</x:v>
      </x:c>
      <x:c r="GM89">
        <x:f t="shared" si="142"/>
        <x:v>0</x:v>
      </x:c>
      <x:c r="GN89">
        <x:f t="shared" si="143"/>
        <x:v>0</x:v>
      </x:c>
      <x:c r="GO89">
        <x:f t="shared" si="144"/>
        <x:v>0</x:v>
      </x:c>
      <x:c r="GP89">
        <x:f t="shared" si="145"/>
        <x:v>0</x:v>
      </x:c>
      <x:c r="GQ89">
        <x:f t="shared" si="146"/>
        <x:v>0</x:v>
      </x:c>
      <x:c r="GR89" s="42">
        <x:f t="shared" si="147"/>
        <x:v>0</x:v>
      </x:c>
      <x:c r="GS89">
        <x:f t="shared" si="148"/>
        <x:v>0</x:v>
      </x:c>
      <x:c r="GT89">
        <x:f t="shared" si="149"/>
        <x:v>0</x:v>
      </x:c>
      <x:c r="GU89">
        <x:f t="shared" si="150"/>
        <x:v>0</x:v>
      </x:c>
      <x:c r="GV89">
        <x:f t="shared" si="151"/>
        <x:v>0</x:v>
      </x:c>
      <x:c r="GW89">
        <x:f t="shared" si="152"/>
        <x:v>0</x:v>
      </x:c>
      <x:c r="GX89">
        <x:f t="shared" si="153"/>
        <x:v>0</x:v>
      </x:c>
      <x:c r="GY89">
        <x:f t="shared" si="154"/>
        <x:v>0</x:v>
      </x:c>
      <x:c r="GZ89">
        <x:f t="shared" si="155"/>
        <x:v>0</x:v>
      </x:c>
      <x:c r="HA89">
        <x:f t="shared" si="156"/>
        <x:v>0</x:v>
      </x:c>
      <x:c r="HB89" s="42">
        <x:f t="shared" si="157"/>
        <x:v>0</x:v>
      </x:c>
      <x:c r="HC89">
        <x:f t="shared" si="158"/>
        <x:v>0</x:v>
      </x:c>
      <x:c r="HD89">
        <x:f t="shared" si="159"/>
        <x:v>0</x:v>
      </x:c>
      <x:c r="HE89">
        <x:f t="shared" si="160"/>
        <x:v>0</x:v>
      </x:c>
      <x:c r="HF89">
        <x:f t="shared" si="161"/>
        <x:v>0</x:v>
      </x:c>
      <x:c r="HG89">
        <x:f t="shared" si="162"/>
        <x:v>0</x:v>
      </x:c>
      <x:c r="HH89">
        <x:f t="shared" si="163"/>
        <x:v>0</x:v>
      </x:c>
      <x:c r="HI89">
        <x:f t="shared" si="164"/>
        <x:v>0</x:v>
      </x:c>
      <x:c r="HJ89">
        <x:f t="shared" si="165"/>
        <x:v>0</x:v>
      </x:c>
      <x:c r="HK89">
        <x:f t="shared" si="166"/>
        <x:v>0</x:v>
      </x:c>
      <x:c r="HL89">
        <x:f t="shared" si="167"/>
        <x:v>0</x:v>
      </x:c>
    </x:row>
    <x:row r="90">
      <x:c r="D90" s="74"/>
      <x:c r="EQ90">
        <x:f t="shared" si="94"/>
        <x:v>0</x:v>
      </x:c>
      <x:c r="ER90">
        <x:f t="shared" si="95"/>
        <x:v>0</x:v>
      </x:c>
      <x:c r="ES90">
        <x:f t="shared" si="96"/>
        <x:v>0</x:v>
      </x:c>
      <x:c r="ET90">
        <x:f t="shared" si="97"/>
        <x:v>0</x:v>
      </x:c>
      <x:c r="EU90">
        <x:f t="shared" si="98"/>
        <x:v>0</x:v>
      </x:c>
      <x:c r="EV90">
        <x:f t="shared" si="99"/>
        <x:v>0</x:v>
      </x:c>
      <x:c r="EW90">
        <x:f t="shared" si="100"/>
        <x:v>0</x:v>
      </x:c>
      <x:c r="EX90">
        <x:f t="shared" si="101"/>
        <x:v>0</x:v>
      </x:c>
      <x:c r="EY90">
        <x:f t="shared" si="102"/>
        <x:v>0</x:v>
      </x:c>
      <x:c r="EZ90">
        <x:f t="shared" si="103"/>
        <x:v>0</x:v>
      </x:c>
      <x:c r="FA90" s="41">
        <x:f t="shared" si="104"/>
        <x:v>0</x:v>
      </x:c>
      <x:c r="FB90">
        <x:f t="shared" si="105"/>
        <x:v>0</x:v>
      </x:c>
      <x:c r="FC90">
        <x:f t="shared" si="106"/>
        <x:v>0</x:v>
      </x:c>
      <x:c r="FD90">
        <x:f t="shared" si="107"/>
        <x:v>0</x:v>
      </x:c>
      <x:c r="FE90">
        <x:f t="shared" si="108"/>
        <x:v>0</x:v>
      </x:c>
      <x:c r="FF90">
        <x:f t="shared" si="109"/>
        <x:v>0</x:v>
      </x:c>
      <x:c r="FG90">
        <x:f t="shared" si="110"/>
        <x:v>0</x:v>
      </x:c>
      <x:c r="FH90">
        <x:f t="shared" si="111"/>
        <x:v>0</x:v>
      </x:c>
      <x:c r="FI90">
        <x:f t="shared" si="112"/>
        <x:v>0</x:v>
      </x:c>
      <x:c r="FJ90">
        <x:f t="shared" si="113"/>
        <x:v>0</x:v>
      </x:c>
      <x:c r="FK90">
        <x:f t="shared" si="114"/>
        <x:v>0</x:v>
      </x:c>
      <x:c r="FL90" s="41">
        <x:f t="shared" si="115"/>
        <x:v>0</x:v>
      </x:c>
      <x:c r="FM90">
        <x:f t="shared" si="116"/>
        <x:v>0</x:v>
      </x:c>
      <x:c r="FN90">
        <x:f t="shared" si="117"/>
        <x:v>0</x:v>
      </x:c>
      <x:c r="FO90">
        <x:f t="shared" si="118"/>
        <x:v>0</x:v>
      </x:c>
      <x:c r="FP90">
        <x:f t="shared" si="119"/>
        <x:v>0</x:v>
      </x:c>
      <x:c r="FQ90">
        <x:f t="shared" si="120"/>
        <x:v>0</x:v>
      </x:c>
      <x:c r="FR90">
        <x:f t="shared" si="121"/>
        <x:v>0</x:v>
      </x:c>
      <x:c r="FS90">
        <x:f t="shared" si="122"/>
        <x:v>0</x:v>
      </x:c>
      <x:c r="FT90">
        <x:f t="shared" si="123"/>
        <x:v>0</x:v>
      </x:c>
      <x:c r="FU90">
        <x:f t="shared" si="124"/>
        <x:v>0</x:v>
      </x:c>
      <x:c r="FV90">
        <x:f t="shared" si="125"/>
        <x:v>0</x:v>
      </x:c>
      <x:c r="FW90" s="41">
        <x:f t="shared" si="126"/>
        <x:v>0</x:v>
      </x:c>
      <x:c r="FX90">
        <x:f t="shared" si="127"/>
        <x:v>0</x:v>
      </x:c>
      <x:c r="FY90">
        <x:f t="shared" si="128"/>
        <x:v>0</x:v>
      </x:c>
      <x:c r="FZ90">
        <x:f t="shared" si="129"/>
        <x:v>0</x:v>
      </x:c>
      <x:c r="GA90">
        <x:f t="shared" si="130"/>
        <x:v>0</x:v>
      </x:c>
      <x:c r="GB90">
        <x:f t="shared" si="131"/>
        <x:v>0</x:v>
      </x:c>
      <x:c r="GC90">
        <x:f t="shared" si="132"/>
        <x:v>0</x:v>
      </x:c>
      <x:c r="GD90">
        <x:f t="shared" si="133"/>
        <x:v>0</x:v>
      </x:c>
      <x:c r="GE90">
        <x:f t="shared" si="134"/>
        <x:v>0</x:v>
      </x:c>
      <x:c r="GF90">
        <x:f t="shared" si="135"/>
        <x:v>0</x:v>
      </x:c>
      <x:c r="GG90">
        <x:f t="shared" si="136"/>
        <x:v>0</x:v>
      </x:c>
      <x:c r="GH90">
        <x:f t="shared" si="137"/>
        <x:v>0</x:v>
      </x:c>
      <x:c r="GI90">
        <x:f t="shared" si="138"/>
        <x:v>0</x:v>
      </x:c>
      <x:c r="GJ90">
        <x:f t="shared" si="139"/>
        <x:v>0</x:v>
      </x:c>
      <x:c r="GK90">
        <x:f t="shared" si="140"/>
        <x:v>0</x:v>
      </x:c>
      <x:c r="GL90">
        <x:f t="shared" si="141"/>
        <x:v>0</x:v>
      </x:c>
      <x:c r="GM90">
        <x:f t="shared" si="142"/>
        <x:v>0</x:v>
      </x:c>
      <x:c r="GN90">
        <x:f t="shared" si="143"/>
        <x:v>0</x:v>
      </x:c>
      <x:c r="GO90">
        <x:f t="shared" si="144"/>
        <x:v>0</x:v>
      </x:c>
      <x:c r="GP90">
        <x:f t="shared" si="145"/>
        <x:v>0</x:v>
      </x:c>
      <x:c r="GQ90">
        <x:f t="shared" si="146"/>
        <x:v>0</x:v>
      </x:c>
      <x:c r="GR90" s="42">
        <x:f t="shared" si="147"/>
        <x:v>0</x:v>
      </x:c>
      <x:c r="GS90">
        <x:f t="shared" si="148"/>
        <x:v>0</x:v>
      </x:c>
      <x:c r="GT90">
        <x:f t="shared" si="149"/>
        <x:v>0</x:v>
      </x:c>
      <x:c r="GU90">
        <x:f t="shared" si="150"/>
        <x:v>0</x:v>
      </x:c>
      <x:c r="GV90">
        <x:f t="shared" si="151"/>
        <x:v>0</x:v>
      </x:c>
      <x:c r="GW90">
        <x:f t="shared" si="152"/>
        <x:v>0</x:v>
      </x:c>
      <x:c r="GX90">
        <x:f t="shared" si="153"/>
        <x:v>0</x:v>
      </x:c>
      <x:c r="GY90">
        <x:f t="shared" si="154"/>
        <x:v>0</x:v>
      </x:c>
      <x:c r="GZ90">
        <x:f t="shared" si="155"/>
        <x:v>0</x:v>
      </x:c>
      <x:c r="HA90">
        <x:f t="shared" si="156"/>
        <x:v>0</x:v>
      </x:c>
      <x:c r="HB90" s="42">
        <x:f t="shared" si="157"/>
        <x:v>0</x:v>
      </x:c>
      <x:c r="HC90">
        <x:f t="shared" si="158"/>
        <x:v>0</x:v>
      </x:c>
      <x:c r="HD90">
        <x:f t="shared" si="159"/>
        <x:v>0</x:v>
      </x:c>
      <x:c r="HE90">
        <x:f t="shared" si="160"/>
        <x:v>0</x:v>
      </x:c>
      <x:c r="HF90">
        <x:f t="shared" si="161"/>
        <x:v>0</x:v>
      </x:c>
      <x:c r="HG90">
        <x:f t="shared" si="162"/>
        <x:v>0</x:v>
      </x:c>
      <x:c r="HH90">
        <x:f t="shared" si="163"/>
        <x:v>0</x:v>
      </x:c>
      <x:c r="HI90">
        <x:f t="shared" si="164"/>
        <x:v>0</x:v>
      </x:c>
      <x:c r="HJ90">
        <x:f t="shared" si="165"/>
        <x:v>0</x:v>
      </x:c>
      <x:c r="HK90">
        <x:f t="shared" si="166"/>
        <x:v>0</x:v>
      </x:c>
      <x:c r="HL90">
        <x:f t="shared" si="167"/>
        <x:v>0</x:v>
      </x:c>
    </x:row>
    <x:row r="91">
      <x:c r="D91" s="74"/>
      <x:c r="EQ91">
        <x:f t="shared" si="94"/>
        <x:v>0</x:v>
      </x:c>
      <x:c r="ER91">
        <x:f t="shared" si="95"/>
        <x:v>0</x:v>
      </x:c>
      <x:c r="ES91">
        <x:f t="shared" si="96"/>
        <x:v>0</x:v>
      </x:c>
      <x:c r="ET91">
        <x:f t="shared" si="97"/>
        <x:v>0</x:v>
      </x:c>
      <x:c r="EU91">
        <x:f t="shared" si="98"/>
        <x:v>0</x:v>
      </x:c>
      <x:c r="EV91">
        <x:f t="shared" si="99"/>
        <x:v>0</x:v>
      </x:c>
      <x:c r="EW91">
        <x:f t="shared" si="100"/>
        <x:v>0</x:v>
      </x:c>
      <x:c r="EX91">
        <x:f t="shared" si="101"/>
        <x:v>0</x:v>
      </x:c>
      <x:c r="EY91">
        <x:f t="shared" si="102"/>
        <x:v>0</x:v>
      </x:c>
      <x:c r="EZ91">
        <x:f t="shared" si="103"/>
        <x:v>0</x:v>
      </x:c>
      <x:c r="FA91" s="41">
        <x:f t="shared" si="104"/>
        <x:v>0</x:v>
      </x:c>
      <x:c r="FB91">
        <x:f t="shared" si="105"/>
        <x:v>0</x:v>
      </x:c>
      <x:c r="FC91">
        <x:f t="shared" si="106"/>
        <x:v>0</x:v>
      </x:c>
      <x:c r="FD91">
        <x:f t="shared" si="107"/>
        <x:v>0</x:v>
      </x:c>
      <x:c r="FE91">
        <x:f t="shared" si="108"/>
        <x:v>0</x:v>
      </x:c>
      <x:c r="FF91">
        <x:f t="shared" si="109"/>
        <x:v>0</x:v>
      </x:c>
      <x:c r="FG91">
        <x:f t="shared" si="110"/>
        <x:v>0</x:v>
      </x:c>
      <x:c r="FH91">
        <x:f t="shared" si="111"/>
        <x:v>0</x:v>
      </x:c>
      <x:c r="FI91">
        <x:f t="shared" si="112"/>
        <x:v>0</x:v>
      </x:c>
      <x:c r="FJ91">
        <x:f t="shared" si="113"/>
        <x:v>0</x:v>
      </x:c>
      <x:c r="FK91">
        <x:f t="shared" si="114"/>
        <x:v>0</x:v>
      </x:c>
      <x:c r="FL91" s="41">
        <x:f t="shared" si="115"/>
        <x:v>0</x:v>
      </x:c>
      <x:c r="FM91">
        <x:f t="shared" si="116"/>
        <x:v>0</x:v>
      </x:c>
      <x:c r="FN91">
        <x:f t="shared" si="117"/>
        <x:v>0</x:v>
      </x:c>
      <x:c r="FO91">
        <x:f t="shared" si="118"/>
        <x:v>0</x:v>
      </x:c>
      <x:c r="FP91">
        <x:f t="shared" si="119"/>
        <x:v>0</x:v>
      </x:c>
      <x:c r="FQ91">
        <x:f t="shared" si="120"/>
        <x:v>0</x:v>
      </x:c>
      <x:c r="FR91">
        <x:f t="shared" si="121"/>
        <x:v>0</x:v>
      </x:c>
      <x:c r="FS91">
        <x:f t="shared" si="122"/>
        <x:v>0</x:v>
      </x:c>
      <x:c r="FT91">
        <x:f t="shared" si="123"/>
        <x:v>0</x:v>
      </x:c>
      <x:c r="FU91">
        <x:f t="shared" si="124"/>
        <x:v>0</x:v>
      </x:c>
      <x:c r="FV91">
        <x:f t="shared" si="125"/>
        <x:v>0</x:v>
      </x:c>
      <x:c r="FW91" s="41">
        <x:f t="shared" si="126"/>
        <x:v>0</x:v>
      </x:c>
      <x:c r="FX91">
        <x:f t="shared" si="127"/>
        <x:v>0</x:v>
      </x:c>
      <x:c r="FY91">
        <x:f t="shared" si="128"/>
        <x:v>0</x:v>
      </x:c>
      <x:c r="FZ91">
        <x:f t="shared" si="129"/>
        <x:v>0</x:v>
      </x:c>
      <x:c r="GA91">
        <x:f t="shared" si="130"/>
        <x:v>0</x:v>
      </x:c>
      <x:c r="GB91">
        <x:f t="shared" si="131"/>
        <x:v>0</x:v>
      </x:c>
      <x:c r="GC91">
        <x:f t="shared" si="132"/>
        <x:v>0</x:v>
      </x:c>
      <x:c r="GD91">
        <x:f t="shared" si="133"/>
        <x:v>0</x:v>
      </x:c>
      <x:c r="GE91">
        <x:f t="shared" si="134"/>
        <x:v>0</x:v>
      </x:c>
      <x:c r="GF91">
        <x:f t="shared" si="135"/>
        <x:v>0</x:v>
      </x:c>
      <x:c r="GG91">
        <x:f t="shared" si="136"/>
        <x:v>0</x:v>
      </x:c>
      <x:c r="GH91">
        <x:f t="shared" si="137"/>
        <x:v>0</x:v>
      </x:c>
      <x:c r="GI91">
        <x:f t="shared" si="138"/>
        <x:v>0</x:v>
      </x:c>
      <x:c r="GJ91">
        <x:f t="shared" si="139"/>
        <x:v>0</x:v>
      </x:c>
      <x:c r="GK91">
        <x:f t="shared" si="140"/>
        <x:v>0</x:v>
      </x:c>
      <x:c r="GL91">
        <x:f t="shared" si="141"/>
        <x:v>0</x:v>
      </x:c>
      <x:c r="GM91">
        <x:f t="shared" si="142"/>
        <x:v>0</x:v>
      </x:c>
      <x:c r="GN91">
        <x:f t="shared" si="143"/>
        <x:v>0</x:v>
      </x:c>
      <x:c r="GO91">
        <x:f t="shared" si="144"/>
        <x:v>0</x:v>
      </x:c>
      <x:c r="GP91">
        <x:f t="shared" si="145"/>
        <x:v>0</x:v>
      </x:c>
      <x:c r="GQ91">
        <x:f t="shared" si="146"/>
        <x:v>0</x:v>
      </x:c>
      <x:c r="GR91" s="42">
        <x:f t="shared" si="147"/>
        <x:v>0</x:v>
      </x:c>
      <x:c r="GS91">
        <x:f t="shared" si="148"/>
        <x:v>0</x:v>
      </x:c>
      <x:c r="GT91">
        <x:f t="shared" si="149"/>
        <x:v>0</x:v>
      </x:c>
      <x:c r="GU91">
        <x:f t="shared" si="150"/>
        <x:v>0</x:v>
      </x:c>
      <x:c r="GV91">
        <x:f t="shared" si="151"/>
        <x:v>0</x:v>
      </x:c>
      <x:c r="GW91">
        <x:f t="shared" si="152"/>
        <x:v>0</x:v>
      </x:c>
      <x:c r="GX91">
        <x:f t="shared" si="153"/>
        <x:v>0</x:v>
      </x:c>
      <x:c r="GY91">
        <x:f t="shared" si="154"/>
        <x:v>0</x:v>
      </x:c>
      <x:c r="GZ91">
        <x:f t="shared" si="155"/>
        <x:v>0</x:v>
      </x:c>
      <x:c r="HA91">
        <x:f t="shared" si="156"/>
        <x:v>0</x:v>
      </x:c>
      <x:c r="HB91" s="42">
        <x:f t="shared" si="157"/>
        <x:v>0</x:v>
      </x:c>
      <x:c r="HC91">
        <x:f t="shared" si="158"/>
        <x:v>0</x:v>
      </x:c>
      <x:c r="HD91">
        <x:f t="shared" si="159"/>
        <x:v>0</x:v>
      </x:c>
      <x:c r="HE91">
        <x:f t="shared" si="160"/>
        <x:v>0</x:v>
      </x:c>
      <x:c r="HF91">
        <x:f t="shared" si="161"/>
        <x:v>0</x:v>
      </x:c>
      <x:c r="HG91">
        <x:f t="shared" si="162"/>
        <x:v>0</x:v>
      </x:c>
      <x:c r="HH91">
        <x:f t="shared" si="163"/>
        <x:v>0</x:v>
      </x:c>
      <x:c r="HI91">
        <x:f t="shared" si="164"/>
        <x:v>0</x:v>
      </x:c>
      <x:c r="HJ91">
        <x:f t="shared" si="165"/>
        <x:v>0</x:v>
      </x:c>
      <x:c r="HK91">
        <x:f t="shared" si="166"/>
        <x:v>0</x:v>
      </x:c>
      <x:c r="HL91">
        <x:f t="shared" si="167"/>
        <x:v>0</x:v>
      </x:c>
    </x:row>
    <x:row r="92">
      <x:c r="D92" s="74"/>
      <x:c r="EQ92">
        <x:f t="shared" si="94"/>
        <x:v>0</x:v>
      </x:c>
      <x:c r="ER92">
        <x:f t="shared" si="95"/>
        <x:v>0</x:v>
      </x:c>
      <x:c r="ES92">
        <x:f t="shared" si="96"/>
        <x:v>0</x:v>
      </x:c>
      <x:c r="ET92">
        <x:f t="shared" si="97"/>
        <x:v>0</x:v>
      </x:c>
      <x:c r="EU92">
        <x:f t="shared" si="98"/>
        <x:v>0</x:v>
      </x:c>
      <x:c r="EV92">
        <x:f t="shared" si="99"/>
        <x:v>0</x:v>
      </x:c>
      <x:c r="EW92">
        <x:f t="shared" si="100"/>
        <x:v>0</x:v>
      </x:c>
      <x:c r="EX92">
        <x:f t="shared" si="101"/>
        <x:v>0</x:v>
      </x:c>
      <x:c r="EY92">
        <x:f t="shared" si="102"/>
        <x:v>0</x:v>
      </x:c>
      <x:c r="EZ92">
        <x:f t="shared" si="103"/>
        <x:v>0</x:v>
      </x:c>
      <x:c r="FA92" s="41">
        <x:f t="shared" si="104"/>
        <x:v>0</x:v>
      </x:c>
      <x:c r="FB92">
        <x:f t="shared" si="105"/>
        <x:v>0</x:v>
      </x:c>
      <x:c r="FC92">
        <x:f t="shared" si="106"/>
        <x:v>0</x:v>
      </x:c>
      <x:c r="FD92">
        <x:f t="shared" si="107"/>
        <x:v>0</x:v>
      </x:c>
      <x:c r="FE92">
        <x:f t="shared" si="108"/>
        <x:v>0</x:v>
      </x:c>
      <x:c r="FF92">
        <x:f t="shared" si="109"/>
        <x:v>0</x:v>
      </x:c>
      <x:c r="FG92">
        <x:f t="shared" si="110"/>
        <x:v>0</x:v>
      </x:c>
      <x:c r="FH92">
        <x:f t="shared" si="111"/>
        <x:v>0</x:v>
      </x:c>
      <x:c r="FI92">
        <x:f t="shared" si="112"/>
        <x:v>0</x:v>
      </x:c>
      <x:c r="FJ92">
        <x:f t="shared" si="113"/>
        <x:v>0</x:v>
      </x:c>
      <x:c r="FK92">
        <x:f t="shared" si="114"/>
        <x:v>0</x:v>
      </x:c>
      <x:c r="FL92" s="41">
        <x:f t="shared" si="115"/>
        <x:v>0</x:v>
      </x:c>
      <x:c r="FM92">
        <x:f t="shared" si="116"/>
        <x:v>0</x:v>
      </x:c>
      <x:c r="FN92">
        <x:f t="shared" si="117"/>
        <x:v>0</x:v>
      </x:c>
      <x:c r="FO92">
        <x:f t="shared" si="118"/>
        <x:v>0</x:v>
      </x:c>
      <x:c r="FP92">
        <x:f t="shared" si="119"/>
        <x:v>0</x:v>
      </x:c>
      <x:c r="FQ92">
        <x:f t="shared" si="120"/>
        <x:v>0</x:v>
      </x:c>
      <x:c r="FR92">
        <x:f t="shared" si="121"/>
        <x:v>0</x:v>
      </x:c>
      <x:c r="FS92">
        <x:f t="shared" si="122"/>
        <x:v>0</x:v>
      </x:c>
      <x:c r="FT92">
        <x:f t="shared" si="123"/>
        <x:v>0</x:v>
      </x:c>
      <x:c r="FU92">
        <x:f t="shared" si="124"/>
        <x:v>0</x:v>
      </x:c>
      <x:c r="FV92">
        <x:f t="shared" si="125"/>
        <x:v>0</x:v>
      </x:c>
      <x:c r="FW92" s="41">
        <x:f t="shared" si="126"/>
        <x:v>0</x:v>
      </x:c>
      <x:c r="FX92">
        <x:f t="shared" si="127"/>
        <x:v>0</x:v>
      </x:c>
      <x:c r="FY92">
        <x:f t="shared" si="128"/>
        <x:v>0</x:v>
      </x:c>
      <x:c r="FZ92">
        <x:f t="shared" si="129"/>
        <x:v>0</x:v>
      </x:c>
      <x:c r="GA92">
        <x:f t="shared" si="130"/>
        <x:v>0</x:v>
      </x:c>
      <x:c r="GB92">
        <x:f t="shared" si="131"/>
        <x:v>0</x:v>
      </x:c>
      <x:c r="GC92">
        <x:f t="shared" si="132"/>
        <x:v>0</x:v>
      </x:c>
      <x:c r="GD92">
        <x:f t="shared" si="133"/>
        <x:v>0</x:v>
      </x:c>
      <x:c r="GE92">
        <x:f t="shared" si="134"/>
        <x:v>0</x:v>
      </x:c>
      <x:c r="GF92">
        <x:f t="shared" si="135"/>
        <x:v>0</x:v>
      </x:c>
      <x:c r="GG92">
        <x:f t="shared" si="136"/>
        <x:v>0</x:v>
      </x:c>
      <x:c r="GH92">
        <x:f t="shared" si="137"/>
        <x:v>0</x:v>
      </x:c>
      <x:c r="GI92">
        <x:f t="shared" si="138"/>
        <x:v>0</x:v>
      </x:c>
      <x:c r="GJ92">
        <x:f t="shared" si="139"/>
        <x:v>0</x:v>
      </x:c>
      <x:c r="GK92">
        <x:f t="shared" si="140"/>
        <x:v>0</x:v>
      </x:c>
      <x:c r="GL92">
        <x:f t="shared" si="141"/>
        <x:v>0</x:v>
      </x:c>
      <x:c r="GM92">
        <x:f t="shared" si="142"/>
        <x:v>0</x:v>
      </x:c>
      <x:c r="GN92">
        <x:f t="shared" si="143"/>
        <x:v>0</x:v>
      </x:c>
      <x:c r="GO92">
        <x:f t="shared" si="144"/>
        <x:v>0</x:v>
      </x:c>
      <x:c r="GP92">
        <x:f t="shared" si="145"/>
        <x:v>0</x:v>
      </x:c>
      <x:c r="GQ92">
        <x:f t="shared" si="146"/>
        <x:v>0</x:v>
      </x:c>
      <x:c r="GR92" s="42">
        <x:f t="shared" si="147"/>
        <x:v>0</x:v>
      </x:c>
      <x:c r="GS92">
        <x:f t="shared" si="148"/>
        <x:v>0</x:v>
      </x:c>
      <x:c r="GT92">
        <x:f t="shared" si="149"/>
        <x:v>0</x:v>
      </x:c>
      <x:c r="GU92">
        <x:f t="shared" si="150"/>
        <x:v>0</x:v>
      </x:c>
      <x:c r="GV92">
        <x:f t="shared" si="151"/>
        <x:v>0</x:v>
      </x:c>
      <x:c r="GW92">
        <x:f t="shared" si="152"/>
        <x:v>0</x:v>
      </x:c>
      <x:c r="GX92">
        <x:f t="shared" si="153"/>
        <x:v>0</x:v>
      </x:c>
      <x:c r="GY92">
        <x:f t="shared" si="154"/>
        <x:v>0</x:v>
      </x:c>
      <x:c r="GZ92">
        <x:f t="shared" si="155"/>
        <x:v>0</x:v>
      </x:c>
      <x:c r="HA92">
        <x:f t="shared" si="156"/>
        <x:v>0</x:v>
      </x:c>
      <x:c r="HB92" s="42">
        <x:f t="shared" si="157"/>
        <x:v>0</x:v>
      </x:c>
      <x:c r="HC92">
        <x:f t="shared" si="158"/>
        <x:v>0</x:v>
      </x:c>
      <x:c r="HD92">
        <x:f t="shared" si="159"/>
        <x:v>0</x:v>
      </x:c>
      <x:c r="HE92">
        <x:f t="shared" si="160"/>
        <x:v>0</x:v>
      </x:c>
      <x:c r="HF92">
        <x:f t="shared" si="161"/>
        <x:v>0</x:v>
      </x:c>
      <x:c r="HG92">
        <x:f t="shared" si="162"/>
        <x:v>0</x:v>
      </x:c>
      <x:c r="HH92">
        <x:f t="shared" si="163"/>
        <x:v>0</x:v>
      </x:c>
      <x:c r="HI92">
        <x:f t="shared" si="164"/>
        <x:v>0</x:v>
      </x:c>
      <x:c r="HJ92">
        <x:f t="shared" si="165"/>
        <x:v>0</x:v>
      </x:c>
      <x:c r="HK92">
        <x:f t="shared" si="166"/>
        <x:v>0</x:v>
      </x:c>
      <x:c r="HL92">
        <x:f t="shared" si="167"/>
        <x:v>0</x:v>
      </x:c>
    </x:row>
    <x:row r="93">
      <x:c r="D93" s="74"/>
      <x:c r="EQ93">
        <x:f t="shared" si="94"/>
        <x:v>0</x:v>
      </x:c>
      <x:c r="ER93">
        <x:f t="shared" si="95"/>
        <x:v>0</x:v>
      </x:c>
      <x:c r="ES93">
        <x:f t="shared" si="96"/>
        <x:v>0</x:v>
      </x:c>
      <x:c r="ET93">
        <x:f t="shared" si="97"/>
        <x:v>0</x:v>
      </x:c>
      <x:c r="EU93">
        <x:f t="shared" si="98"/>
        <x:v>0</x:v>
      </x:c>
      <x:c r="EV93">
        <x:f t="shared" si="99"/>
        <x:v>0</x:v>
      </x:c>
      <x:c r="EW93">
        <x:f t="shared" si="100"/>
        <x:v>0</x:v>
      </x:c>
      <x:c r="EX93">
        <x:f t="shared" si="101"/>
        <x:v>0</x:v>
      </x:c>
      <x:c r="EY93">
        <x:f t="shared" si="102"/>
        <x:v>0</x:v>
      </x:c>
      <x:c r="EZ93">
        <x:f t="shared" si="103"/>
        <x:v>0</x:v>
      </x:c>
      <x:c r="FA93" s="41">
        <x:f t="shared" si="104"/>
        <x:v>0</x:v>
      </x:c>
      <x:c r="FB93">
        <x:f t="shared" si="105"/>
        <x:v>0</x:v>
      </x:c>
      <x:c r="FC93">
        <x:f t="shared" si="106"/>
        <x:v>0</x:v>
      </x:c>
      <x:c r="FD93">
        <x:f t="shared" si="107"/>
        <x:v>0</x:v>
      </x:c>
      <x:c r="FE93">
        <x:f t="shared" si="108"/>
        <x:v>0</x:v>
      </x:c>
      <x:c r="FF93">
        <x:f t="shared" si="109"/>
        <x:v>0</x:v>
      </x:c>
      <x:c r="FG93">
        <x:f t="shared" si="110"/>
        <x:v>0</x:v>
      </x:c>
      <x:c r="FH93">
        <x:f t="shared" si="111"/>
        <x:v>0</x:v>
      </x:c>
      <x:c r="FI93">
        <x:f t="shared" si="112"/>
        <x:v>0</x:v>
      </x:c>
      <x:c r="FJ93">
        <x:f t="shared" si="113"/>
        <x:v>0</x:v>
      </x:c>
      <x:c r="FK93">
        <x:f t="shared" si="114"/>
        <x:v>0</x:v>
      </x:c>
      <x:c r="FL93" s="41">
        <x:f t="shared" si="115"/>
        <x:v>0</x:v>
      </x:c>
      <x:c r="FM93">
        <x:f t="shared" si="116"/>
        <x:v>0</x:v>
      </x:c>
      <x:c r="FN93">
        <x:f t="shared" si="117"/>
        <x:v>0</x:v>
      </x:c>
      <x:c r="FO93">
        <x:f t="shared" si="118"/>
        <x:v>0</x:v>
      </x:c>
      <x:c r="FP93">
        <x:f t="shared" si="119"/>
        <x:v>0</x:v>
      </x:c>
      <x:c r="FQ93">
        <x:f t="shared" si="120"/>
        <x:v>0</x:v>
      </x:c>
      <x:c r="FR93">
        <x:f t="shared" si="121"/>
        <x:v>0</x:v>
      </x:c>
      <x:c r="FS93">
        <x:f t="shared" si="122"/>
        <x:v>0</x:v>
      </x:c>
      <x:c r="FT93">
        <x:f t="shared" si="123"/>
        <x:v>0</x:v>
      </x:c>
      <x:c r="FU93">
        <x:f t="shared" si="124"/>
        <x:v>0</x:v>
      </x:c>
      <x:c r="FV93">
        <x:f t="shared" si="125"/>
        <x:v>0</x:v>
      </x:c>
      <x:c r="FW93" s="41">
        <x:f t="shared" si="126"/>
        <x:v>0</x:v>
      </x:c>
      <x:c r="FX93">
        <x:f t="shared" si="127"/>
        <x:v>0</x:v>
      </x:c>
      <x:c r="FY93">
        <x:f t="shared" si="128"/>
        <x:v>0</x:v>
      </x:c>
      <x:c r="FZ93">
        <x:f t="shared" si="129"/>
        <x:v>0</x:v>
      </x:c>
      <x:c r="GA93">
        <x:f t="shared" si="130"/>
        <x:v>0</x:v>
      </x:c>
      <x:c r="GB93">
        <x:f t="shared" si="131"/>
        <x:v>0</x:v>
      </x:c>
      <x:c r="GC93">
        <x:f t="shared" si="132"/>
        <x:v>0</x:v>
      </x:c>
      <x:c r="GD93">
        <x:f t="shared" si="133"/>
        <x:v>0</x:v>
      </x:c>
      <x:c r="GE93">
        <x:f t="shared" si="134"/>
        <x:v>0</x:v>
      </x:c>
      <x:c r="GF93">
        <x:f t="shared" si="135"/>
        <x:v>0</x:v>
      </x:c>
      <x:c r="GG93">
        <x:f t="shared" si="136"/>
        <x:v>0</x:v>
      </x:c>
      <x:c r="GH93">
        <x:f t="shared" si="137"/>
        <x:v>0</x:v>
      </x:c>
      <x:c r="GI93">
        <x:f t="shared" si="138"/>
        <x:v>0</x:v>
      </x:c>
      <x:c r="GJ93">
        <x:f t="shared" si="139"/>
        <x:v>0</x:v>
      </x:c>
      <x:c r="GK93">
        <x:f t="shared" si="140"/>
        <x:v>0</x:v>
      </x:c>
      <x:c r="GL93">
        <x:f t="shared" si="141"/>
        <x:v>0</x:v>
      </x:c>
      <x:c r="GM93">
        <x:f t="shared" si="142"/>
        <x:v>0</x:v>
      </x:c>
      <x:c r="GN93">
        <x:f t="shared" si="143"/>
        <x:v>0</x:v>
      </x:c>
      <x:c r="GO93">
        <x:f t="shared" si="144"/>
        <x:v>0</x:v>
      </x:c>
      <x:c r="GP93">
        <x:f t="shared" si="145"/>
        <x:v>0</x:v>
      </x:c>
      <x:c r="GQ93">
        <x:f t="shared" si="146"/>
        <x:v>0</x:v>
      </x:c>
      <x:c r="GR93" s="42">
        <x:f t="shared" si="147"/>
        <x:v>0</x:v>
      </x:c>
      <x:c r="GS93">
        <x:f t="shared" si="148"/>
        <x:v>0</x:v>
      </x:c>
      <x:c r="GT93">
        <x:f t="shared" si="149"/>
        <x:v>0</x:v>
      </x:c>
      <x:c r="GU93">
        <x:f t="shared" si="150"/>
        <x:v>0</x:v>
      </x:c>
      <x:c r="GV93">
        <x:f t="shared" si="151"/>
        <x:v>0</x:v>
      </x:c>
      <x:c r="GW93">
        <x:f t="shared" si="152"/>
        <x:v>0</x:v>
      </x:c>
      <x:c r="GX93">
        <x:f t="shared" si="153"/>
        <x:v>0</x:v>
      </x:c>
      <x:c r="GY93">
        <x:f t="shared" si="154"/>
        <x:v>0</x:v>
      </x:c>
      <x:c r="GZ93">
        <x:f t="shared" si="155"/>
        <x:v>0</x:v>
      </x:c>
      <x:c r="HA93">
        <x:f t="shared" si="156"/>
        <x:v>0</x:v>
      </x:c>
      <x:c r="HB93" s="42">
        <x:f t="shared" si="157"/>
        <x:v>0</x:v>
      </x:c>
      <x:c r="HC93">
        <x:f t="shared" si="158"/>
        <x:v>0</x:v>
      </x:c>
      <x:c r="HD93">
        <x:f t="shared" si="159"/>
        <x:v>0</x:v>
      </x:c>
      <x:c r="HE93">
        <x:f t="shared" si="160"/>
        <x:v>0</x:v>
      </x:c>
      <x:c r="HF93">
        <x:f t="shared" si="161"/>
        <x:v>0</x:v>
      </x:c>
      <x:c r="HG93">
        <x:f t="shared" si="162"/>
        <x:v>0</x:v>
      </x:c>
      <x:c r="HH93">
        <x:f t="shared" si="163"/>
        <x:v>0</x:v>
      </x:c>
      <x:c r="HI93">
        <x:f t="shared" si="164"/>
        <x:v>0</x:v>
      </x:c>
      <x:c r="HJ93">
        <x:f t="shared" si="165"/>
        <x:v>0</x:v>
      </x:c>
      <x:c r="HK93">
        <x:f t="shared" si="166"/>
        <x:v>0</x:v>
      </x:c>
      <x:c r="HL93">
        <x:f t="shared" si="167"/>
        <x:v>0</x:v>
      </x:c>
    </x:row>
    <x:row r="94">
      <x:c r="D94" s="74"/>
      <x:c r="EQ94">
        <x:f t="shared" si="94"/>
        <x:v>0</x:v>
      </x:c>
      <x:c r="ER94">
        <x:f t="shared" si="95"/>
        <x:v>0</x:v>
      </x:c>
      <x:c r="ES94">
        <x:f t="shared" si="96"/>
        <x:v>0</x:v>
      </x:c>
      <x:c r="ET94">
        <x:f t="shared" si="97"/>
        <x:v>0</x:v>
      </x:c>
      <x:c r="EU94">
        <x:f t="shared" si="98"/>
        <x:v>0</x:v>
      </x:c>
      <x:c r="EV94">
        <x:f t="shared" si="99"/>
        <x:v>0</x:v>
      </x:c>
      <x:c r="EW94">
        <x:f t="shared" si="100"/>
        <x:v>0</x:v>
      </x:c>
      <x:c r="EX94">
        <x:f t="shared" si="101"/>
        <x:v>0</x:v>
      </x:c>
      <x:c r="EY94">
        <x:f t="shared" si="102"/>
        <x:v>0</x:v>
      </x:c>
      <x:c r="EZ94">
        <x:f t="shared" si="103"/>
        <x:v>0</x:v>
      </x:c>
      <x:c r="FA94" s="41">
        <x:f t="shared" si="104"/>
        <x:v>0</x:v>
      </x:c>
      <x:c r="FB94">
        <x:f t="shared" si="105"/>
        <x:v>0</x:v>
      </x:c>
      <x:c r="FC94">
        <x:f t="shared" si="106"/>
        <x:v>0</x:v>
      </x:c>
      <x:c r="FD94">
        <x:f t="shared" si="107"/>
        <x:v>0</x:v>
      </x:c>
      <x:c r="FE94">
        <x:f t="shared" si="108"/>
        <x:v>0</x:v>
      </x:c>
      <x:c r="FF94">
        <x:f t="shared" si="109"/>
        <x:v>0</x:v>
      </x:c>
      <x:c r="FG94">
        <x:f t="shared" si="110"/>
        <x:v>0</x:v>
      </x:c>
      <x:c r="FH94">
        <x:f t="shared" si="111"/>
        <x:v>0</x:v>
      </x:c>
      <x:c r="FI94">
        <x:f t="shared" si="112"/>
        <x:v>0</x:v>
      </x:c>
      <x:c r="FJ94">
        <x:f t="shared" si="113"/>
        <x:v>0</x:v>
      </x:c>
      <x:c r="FK94">
        <x:f t="shared" si="114"/>
        <x:v>0</x:v>
      </x:c>
      <x:c r="FL94" s="41">
        <x:f t="shared" si="115"/>
        <x:v>0</x:v>
      </x:c>
      <x:c r="FM94">
        <x:f t="shared" si="116"/>
        <x:v>0</x:v>
      </x:c>
      <x:c r="FN94">
        <x:f t="shared" si="117"/>
        <x:v>0</x:v>
      </x:c>
      <x:c r="FO94">
        <x:f t="shared" si="118"/>
        <x:v>0</x:v>
      </x:c>
      <x:c r="FP94">
        <x:f t="shared" si="119"/>
        <x:v>0</x:v>
      </x:c>
      <x:c r="FQ94">
        <x:f t="shared" si="120"/>
        <x:v>0</x:v>
      </x:c>
      <x:c r="FR94">
        <x:f t="shared" si="121"/>
        <x:v>0</x:v>
      </x:c>
      <x:c r="FS94">
        <x:f t="shared" si="122"/>
        <x:v>0</x:v>
      </x:c>
      <x:c r="FT94">
        <x:f t="shared" si="123"/>
        <x:v>0</x:v>
      </x:c>
      <x:c r="FU94">
        <x:f t="shared" si="124"/>
        <x:v>0</x:v>
      </x:c>
      <x:c r="FV94">
        <x:f t="shared" si="125"/>
        <x:v>0</x:v>
      </x:c>
      <x:c r="FW94" s="41">
        <x:f t="shared" si="126"/>
        <x:v>0</x:v>
      </x:c>
      <x:c r="FX94">
        <x:f t="shared" si="127"/>
        <x:v>0</x:v>
      </x:c>
      <x:c r="FY94">
        <x:f t="shared" si="128"/>
        <x:v>0</x:v>
      </x:c>
      <x:c r="FZ94">
        <x:f t="shared" si="129"/>
        <x:v>0</x:v>
      </x:c>
      <x:c r="GA94">
        <x:f t="shared" si="130"/>
        <x:v>0</x:v>
      </x:c>
      <x:c r="GB94">
        <x:f t="shared" si="131"/>
        <x:v>0</x:v>
      </x:c>
      <x:c r="GC94">
        <x:f t="shared" si="132"/>
        <x:v>0</x:v>
      </x:c>
      <x:c r="GD94">
        <x:f t="shared" si="133"/>
        <x:v>0</x:v>
      </x:c>
      <x:c r="GE94">
        <x:f t="shared" si="134"/>
        <x:v>0</x:v>
      </x:c>
      <x:c r="GF94">
        <x:f t="shared" si="135"/>
        <x:v>0</x:v>
      </x:c>
      <x:c r="GG94">
        <x:f t="shared" si="136"/>
        <x:v>0</x:v>
      </x:c>
      <x:c r="GH94">
        <x:f t="shared" si="137"/>
        <x:v>0</x:v>
      </x:c>
      <x:c r="GI94">
        <x:f t="shared" si="138"/>
        <x:v>0</x:v>
      </x:c>
      <x:c r="GJ94">
        <x:f t="shared" si="139"/>
        <x:v>0</x:v>
      </x:c>
      <x:c r="GK94">
        <x:f t="shared" si="140"/>
        <x:v>0</x:v>
      </x:c>
      <x:c r="GL94">
        <x:f t="shared" si="141"/>
        <x:v>0</x:v>
      </x:c>
      <x:c r="GM94">
        <x:f t="shared" si="142"/>
        <x:v>0</x:v>
      </x:c>
      <x:c r="GN94">
        <x:f t="shared" si="143"/>
        <x:v>0</x:v>
      </x:c>
      <x:c r="GO94">
        <x:f t="shared" si="144"/>
        <x:v>0</x:v>
      </x:c>
      <x:c r="GP94">
        <x:f t="shared" si="145"/>
        <x:v>0</x:v>
      </x:c>
      <x:c r="GQ94">
        <x:f t="shared" si="146"/>
        <x:v>0</x:v>
      </x:c>
      <x:c r="GR94" s="42">
        <x:f t="shared" si="147"/>
        <x:v>0</x:v>
      </x:c>
      <x:c r="GS94">
        <x:f t="shared" si="148"/>
        <x:v>0</x:v>
      </x:c>
      <x:c r="GT94">
        <x:f t="shared" si="149"/>
        <x:v>0</x:v>
      </x:c>
      <x:c r="GU94">
        <x:f t="shared" si="150"/>
        <x:v>0</x:v>
      </x:c>
      <x:c r="GV94">
        <x:f t="shared" si="151"/>
        <x:v>0</x:v>
      </x:c>
      <x:c r="GW94">
        <x:f t="shared" si="152"/>
        <x:v>0</x:v>
      </x:c>
      <x:c r="GX94">
        <x:f t="shared" si="153"/>
        <x:v>0</x:v>
      </x:c>
      <x:c r="GY94">
        <x:f t="shared" si="154"/>
        <x:v>0</x:v>
      </x:c>
      <x:c r="GZ94">
        <x:f t="shared" si="155"/>
        <x:v>0</x:v>
      </x:c>
      <x:c r="HA94">
        <x:f t="shared" si="156"/>
        <x:v>0</x:v>
      </x:c>
      <x:c r="HB94" s="42">
        <x:f t="shared" si="157"/>
        <x:v>0</x:v>
      </x:c>
      <x:c r="HC94">
        <x:f t="shared" si="158"/>
        <x:v>0</x:v>
      </x:c>
      <x:c r="HD94">
        <x:f t="shared" si="159"/>
        <x:v>0</x:v>
      </x:c>
      <x:c r="HE94">
        <x:f t="shared" si="160"/>
        <x:v>0</x:v>
      </x:c>
      <x:c r="HF94">
        <x:f t="shared" si="161"/>
        <x:v>0</x:v>
      </x:c>
      <x:c r="HG94">
        <x:f t="shared" si="162"/>
        <x:v>0</x:v>
      </x:c>
      <x:c r="HH94">
        <x:f t="shared" si="163"/>
        <x:v>0</x:v>
      </x:c>
      <x:c r="HI94">
        <x:f t="shared" si="164"/>
        <x:v>0</x:v>
      </x:c>
      <x:c r="HJ94">
        <x:f t="shared" si="165"/>
        <x:v>0</x:v>
      </x:c>
      <x:c r="HK94">
        <x:f t="shared" si="166"/>
        <x:v>0</x:v>
      </x:c>
      <x:c r="HL94">
        <x:f t="shared" si="167"/>
        <x:v>0</x:v>
      </x:c>
    </x:row>
    <x:row r="95">
      <x:c r="D95" s="74"/>
      <x:c r="EQ95">
        <x:f t="shared" si="94"/>
        <x:v>0</x:v>
      </x:c>
      <x:c r="ER95">
        <x:f t="shared" si="95"/>
        <x:v>0</x:v>
      </x:c>
      <x:c r="ES95">
        <x:f t="shared" si="96"/>
        <x:v>0</x:v>
      </x:c>
      <x:c r="ET95">
        <x:f t="shared" si="97"/>
        <x:v>0</x:v>
      </x:c>
      <x:c r="EU95">
        <x:f t="shared" si="98"/>
        <x:v>0</x:v>
      </x:c>
      <x:c r="EV95">
        <x:f t="shared" si="99"/>
        <x:v>0</x:v>
      </x:c>
      <x:c r="EW95">
        <x:f t="shared" si="100"/>
        <x:v>0</x:v>
      </x:c>
      <x:c r="EX95">
        <x:f t="shared" si="101"/>
        <x:v>0</x:v>
      </x:c>
      <x:c r="EY95">
        <x:f t="shared" si="102"/>
        <x:v>0</x:v>
      </x:c>
      <x:c r="EZ95">
        <x:f t="shared" si="103"/>
        <x:v>0</x:v>
      </x:c>
      <x:c r="FA95" s="41">
        <x:f t="shared" si="104"/>
        <x:v>0</x:v>
      </x:c>
      <x:c r="FB95">
        <x:f t="shared" si="105"/>
        <x:v>0</x:v>
      </x:c>
      <x:c r="FC95">
        <x:f t="shared" si="106"/>
        <x:v>0</x:v>
      </x:c>
      <x:c r="FD95">
        <x:f t="shared" si="107"/>
        <x:v>0</x:v>
      </x:c>
      <x:c r="FE95">
        <x:f t="shared" si="108"/>
        <x:v>0</x:v>
      </x:c>
      <x:c r="FF95">
        <x:f t="shared" si="109"/>
        <x:v>0</x:v>
      </x:c>
      <x:c r="FG95">
        <x:f t="shared" si="110"/>
        <x:v>0</x:v>
      </x:c>
      <x:c r="FH95">
        <x:f t="shared" si="111"/>
        <x:v>0</x:v>
      </x:c>
      <x:c r="FI95">
        <x:f t="shared" si="112"/>
        <x:v>0</x:v>
      </x:c>
      <x:c r="FJ95">
        <x:f t="shared" si="113"/>
        <x:v>0</x:v>
      </x:c>
      <x:c r="FK95">
        <x:f t="shared" si="114"/>
        <x:v>0</x:v>
      </x:c>
      <x:c r="FL95" s="41">
        <x:f t="shared" si="115"/>
        <x:v>0</x:v>
      </x:c>
      <x:c r="FM95">
        <x:f t="shared" si="116"/>
        <x:v>0</x:v>
      </x:c>
      <x:c r="FN95">
        <x:f t="shared" si="117"/>
        <x:v>0</x:v>
      </x:c>
      <x:c r="FO95">
        <x:f t="shared" si="118"/>
        <x:v>0</x:v>
      </x:c>
      <x:c r="FP95">
        <x:f t="shared" si="119"/>
        <x:v>0</x:v>
      </x:c>
      <x:c r="FQ95">
        <x:f t="shared" si="120"/>
        <x:v>0</x:v>
      </x:c>
      <x:c r="FR95">
        <x:f t="shared" si="121"/>
        <x:v>0</x:v>
      </x:c>
      <x:c r="FS95">
        <x:f t="shared" si="122"/>
        <x:v>0</x:v>
      </x:c>
      <x:c r="FT95">
        <x:f t="shared" si="123"/>
        <x:v>0</x:v>
      </x:c>
      <x:c r="FU95">
        <x:f t="shared" si="124"/>
        <x:v>0</x:v>
      </x:c>
      <x:c r="FV95">
        <x:f t="shared" si="125"/>
        <x:v>0</x:v>
      </x:c>
      <x:c r="FW95" s="41">
        <x:f t="shared" si="126"/>
        <x:v>0</x:v>
      </x:c>
      <x:c r="FX95">
        <x:f t="shared" si="127"/>
        <x:v>0</x:v>
      </x:c>
      <x:c r="FY95">
        <x:f t="shared" si="128"/>
        <x:v>0</x:v>
      </x:c>
      <x:c r="FZ95">
        <x:f t="shared" si="129"/>
        <x:v>0</x:v>
      </x:c>
      <x:c r="GA95">
        <x:f t="shared" si="130"/>
        <x:v>0</x:v>
      </x:c>
      <x:c r="GB95">
        <x:f t="shared" si="131"/>
        <x:v>0</x:v>
      </x:c>
      <x:c r="GC95">
        <x:f t="shared" si="132"/>
        <x:v>0</x:v>
      </x:c>
      <x:c r="GD95">
        <x:f t="shared" si="133"/>
        <x:v>0</x:v>
      </x:c>
      <x:c r="GE95">
        <x:f t="shared" si="134"/>
        <x:v>0</x:v>
      </x:c>
      <x:c r="GF95">
        <x:f t="shared" si="135"/>
        <x:v>0</x:v>
      </x:c>
      <x:c r="GG95">
        <x:f t="shared" si="136"/>
        <x:v>0</x:v>
      </x:c>
      <x:c r="GH95">
        <x:f t="shared" si="137"/>
        <x:v>0</x:v>
      </x:c>
      <x:c r="GI95">
        <x:f t="shared" si="138"/>
        <x:v>0</x:v>
      </x:c>
      <x:c r="GJ95">
        <x:f t="shared" si="139"/>
        <x:v>0</x:v>
      </x:c>
      <x:c r="GK95">
        <x:f t="shared" si="140"/>
        <x:v>0</x:v>
      </x:c>
      <x:c r="GL95">
        <x:f t="shared" si="141"/>
        <x:v>0</x:v>
      </x:c>
      <x:c r="GM95">
        <x:f t="shared" si="142"/>
        <x:v>0</x:v>
      </x:c>
      <x:c r="GN95">
        <x:f t="shared" si="143"/>
        <x:v>0</x:v>
      </x:c>
      <x:c r="GO95">
        <x:f t="shared" si="144"/>
        <x:v>0</x:v>
      </x:c>
      <x:c r="GP95">
        <x:f t="shared" si="145"/>
        <x:v>0</x:v>
      </x:c>
      <x:c r="GQ95">
        <x:f t="shared" si="146"/>
        <x:v>0</x:v>
      </x:c>
      <x:c r="GR95" s="42">
        <x:f t="shared" si="147"/>
        <x:v>0</x:v>
      </x:c>
      <x:c r="GS95">
        <x:f t="shared" si="148"/>
        <x:v>0</x:v>
      </x:c>
      <x:c r="GT95">
        <x:f t="shared" si="149"/>
        <x:v>0</x:v>
      </x:c>
      <x:c r="GU95">
        <x:f t="shared" si="150"/>
        <x:v>0</x:v>
      </x:c>
      <x:c r="GV95">
        <x:f t="shared" si="151"/>
        <x:v>0</x:v>
      </x:c>
      <x:c r="GW95">
        <x:f t="shared" si="152"/>
        <x:v>0</x:v>
      </x:c>
      <x:c r="GX95">
        <x:f t="shared" si="153"/>
        <x:v>0</x:v>
      </x:c>
      <x:c r="GY95">
        <x:f t="shared" si="154"/>
        <x:v>0</x:v>
      </x:c>
      <x:c r="GZ95">
        <x:f t="shared" si="155"/>
        <x:v>0</x:v>
      </x:c>
      <x:c r="HA95">
        <x:f t="shared" si="156"/>
        <x:v>0</x:v>
      </x:c>
      <x:c r="HB95" s="42">
        <x:f t="shared" si="157"/>
        <x:v>0</x:v>
      </x:c>
      <x:c r="HC95">
        <x:f t="shared" si="158"/>
        <x:v>0</x:v>
      </x:c>
      <x:c r="HD95">
        <x:f t="shared" si="159"/>
        <x:v>0</x:v>
      </x:c>
      <x:c r="HE95">
        <x:f t="shared" si="160"/>
        <x:v>0</x:v>
      </x:c>
      <x:c r="HF95">
        <x:f t="shared" si="161"/>
        <x:v>0</x:v>
      </x:c>
      <x:c r="HG95">
        <x:f t="shared" si="162"/>
        <x:v>0</x:v>
      </x:c>
      <x:c r="HH95">
        <x:f t="shared" si="163"/>
        <x:v>0</x:v>
      </x:c>
      <x:c r="HI95">
        <x:f t="shared" si="164"/>
        <x:v>0</x:v>
      </x:c>
      <x:c r="HJ95">
        <x:f t="shared" si="165"/>
        <x:v>0</x:v>
      </x:c>
      <x:c r="HK95">
        <x:f t="shared" si="166"/>
        <x:v>0</x:v>
      </x:c>
      <x:c r="HL95">
        <x:f t="shared" si="167"/>
        <x:v>0</x:v>
      </x:c>
    </x:row>
    <x:row r="96">
      <x:c r="D96" s="74"/>
      <x:c r="EQ96">
        <x:f t="shared" si="94"/>
        <x:v>0</x:v>
      </x:c>
      <x:c r="ER96">
        <x:f t="shared" si="95"/>
        <x:v>0</x:v>
      </x:c>
      <x:c r="ES96">
        <x:f t="shared" si="96"/>
        <x:v>0</x:v>
      </x:c>
      <x:c r="ET96">
        <x:f t="shared" si="97"/>
        <x:v>0</x:v>
      </x:c>
      <x:c r="EU96">
        <x:f t="shared" si="98"/>
        <x:v>0</x:v>
      </x:c>
      <x:c r="EV96">
        <x:f t="shared" si="99"/>
        <x:v>0</x:v>
      </x:c>
      <x:c r="EW96">
        <x:f t="shared" si="100"/>
        <x:v>0</x:v>
      </x:c>
      <x:c r="EX96">
        <x:f t="shared" si="101"/>
        <x:v>0</x:v>
      </x:c>
      <x:c r="EY96">
        <x:f t="shared" si="102"/>
        <x:v>0</x:v>
      </x:c>
      <x:c r="EZ96">
        <x:f t="shared" si="103"/>
        <x:v>0</x:v>
      </x:c>
      <x:c r="FA96" s="41">
        <x:f t="shared" si="104"/>
        <x:v>0</x:v>
      </x:c>
      <x:c r="FB96">
        <x:f t="shared" si="105"/>
        <x:v>0</x:v>
      </x:c>
      <x:c r="FC96">
        <x:f t="shared" si="106"/>
        <x:v>0</x:v>
      </x:c>
      <x:c r="FD96">
        <x:f t="shared" si="107"/>
        <x:v>0</x:v>
      </x:c>
      <x:c r="FE96">
        <x:f t="shared" si="108"/>
        <x:v>0</x:v>
      </x:c>
      <x:c r="FF96">
        <x:f t="shared" si="109"/>
        <x:v>0</x:v>
      </x:c>
      <x:c r="FG96">
        <x:f t="shared" si="110"/>
        <x:v>0</x:v>
      </x:c>
      <x:c r="FH96">
        <x:f t="shared" si="111"/>
        <x:v>0</x:v>
      </x:c>
      <x:c r="FI96">
        <x:f t="shared" si="112"/>
        <x:v>0</x:v>
      </x:c>
      <x:c r="FJ96">
        <x:f t="shared" si="113"/>
        <x:v>0</x:v>
      </x:c>
      <x:c r="FK96">
        <x:f t="shared" si="114"/>
        <x:v>0</x:v>
      </x:c>
      <x:c r="FL96" s="41">
        <x:f t="shared" si="115"/>
        <x:v>0</x:v>
      </x:c>
      <x:c r="FM96">
        <x:f t="shared" si="116"/>
        <x:v>0</x:v>
      </x:c>
      <x:c r="FN96">
        <x:f t="shared" si="117"/>
        <x:v>0</x:v>
      </x:c>
      <x:c r="FO96">
        <x:f t="shared" si="118"/>
        <x:v>0</x:v>
      </x:c>
      <x:c r="FP96">
        <x:f t="shared" si="119"/>
        <x:v>0</x:v>
      </x:c>
      <x:c r="FQ96">
        <x:f t="shared" si="120"/>
        <x:v>0</x:v>
      </x:c>
      <x:c r="FR96">
        <x:f t="shared" si="121"/>
        <x:v>0</x:v>
      </x:c>
      <x:c r="FS96">
        <x:f t="shared" si="122"/>
        <x:v>0</x:v>
      </x:c>
      <x:c r="FT96">
        <x:f t="shared" si="123"/>
        <x:v>0</x:v>
      </x:c>
      <x:c r="FU96">
        <x:f t="shared" si="124"/>
        <x:v>0</x:v>
      </x:c>
      <x:c r="FV96">
        <x:f t="shared" si="125"/>
        <x:v>0</x:v>
      </x:c>
      <x:c r="FW96" s="41">
        <x:f t="shared" si="126"/>
        <x:v>0</x:v>
      </x:c>
      <x:c r="FX96">
        <x:f t="shared" si="127"/>
        <x:v>0</x:v>
      </x:c>
      <x:c r="FY96">
        <x:f t="shared" si="128"/>
        <x:v>0</x:v>
      </x:c>
      <x:c r="FZ96">
        <x:f t="shared" si="129"/>
        <x:v>0</x:v>
      </x:c>
      <x:c r="GA96">
        <x:f t="shared" si="130"/>
        <x:v>0</x:v>
      </x:c>
      <x:c r="GB96">
        <x:f t="shared" si="131"/>
        <x:v>0</x:v>
      </x:c>
      <x:c r="GC96">
        <x:f t="shared" si="132"/>
        <x:v>0</x:v>
      </x:c>
      <x:c r="GD96">
        <x:f t="shared" si="133"/>
        <x:v>0</x:v>
      </x:c>
      <x:c r="GE96">
        <x:f t="shared" si="134"/>
        <x:v>0</x:v>
      </x:c>
      <x:c r="GF96">
        <x:f t="shared" si="135"/>
        <x:v>0</x:v>
      </x:c>
      <x:c r="GG96">
        <x:f t="shared" si="136"/>
        <x:v>0</x:v>
      </x:c>
      <x:c r="GH96">
        <x:f t="shared" si="137"/>
        <x:v>0</x:v>
      </x:c>
      <x:c r="GI96">
        <x:f t="shared" si="138"/>
        <x:v>0</x:v>
      </x:c>
      <x:c r="GJ96">
        <x:f t="shared" si="139"/>
        <x:v>0</x:v>
      </x:c>
      <x:c r="GK96">
        <x:f t="shared" si="140"/>
        <x:v>0</x:v>
      </x:c>
      <x:c r="GL96">
        <x:f t="shared" si="141"/>
        <x:v>0</x:v>
      </x:c>
      <x:c r="GM96">
        <x:f t="shared" si="142"/>
        <x:v>0</x:v>
      </x:c>
      <x:c r="GN96">
        <x:f t="shared" si="143"/>
        <x:v>0</x:v>
      </x:c>
      <x:c r="GO96">
        <x:f t="shared" si="144"/>
        <x:v>0</x:v>
      </x:c>
      <x:c r="GP96">
        <x:f t="shared" si="145"/>
        <x:v>0</x:v>
      </x:c>
      <x:c r="GQ96">
        <x:f t="shared" si="146"/>
        <x:v>0</x:v>
      </x:c>
      <x:c r="GR96" s="42">
        <x:f t="shared" si="147"/>
        <x:v>0</x:v>
      </x:c>
      <x:c r="GS96">
        <x:f t="shared" si="148"/>
        <x:v>0</x:v>
      </x:c>
      <x:c r="GT96">
        <x:f t="shared" si="149"/>
        <x:v>0</x:v>
      </x:c>
      <x:c r="GU96">
        <x:f t="shared" si="150"/>
        <x:v>0</x:v>
      </x:c>
      <x:c r="GV96">
        <x:f t="shared" si="151"/>
        <x:v>0</x:v>
      </x:c>
      <x:c r="GW96">
        <x:f t="shared" si="152"/>
        <x:v>0</x:v>
      </x:c>
      <x:c r="GX96">
        <x:f t="shared" si="153"/>
        <x:v>0</x:v>
      </x:c>
      <x:c r="GY96">
        <x:f t="shared" si="154"/>
        <x:v>0</x:v>
      </x:c>
      <x:c r="GZ96">
        <x:f t="shared" si="155"/>
        <x:v>0</x:v>
      </x:c>
      <x:c r="HA96">
        <x:f t="shared" si="156"/>
        <x:v>0</x:v>
      </x:c>
      <x:c r="HB96" s="42">
        <x:f t="shared" si="157"/>
        <x:v>0</x:v>
      </x:c>
      <x:c r="HC96">
        <x:f t="shared" si="158"/>
        <x:v>0</x:v>
      </x:c>
      <x:c r="HD96">
        <x:f t="shared" si="159"/>
        <x:v>0</x:v>
      </x:c>
      <x:c r="HE96">
        <x:f t="shared" si="160"/>
        <x:v>0</x:v>
      </x:c>
      <x:c r="HF96">
        <x:f t="shared" si="161"/>
        <x:v>0</x:v>
      </x:c>
      <x:c r="HG96">
        <x:f t="shared" si="162"/>
        <x:v>0</x:v>
      </x:c>
      <x:c r="HH96">
        <x:f t="shared" si="163"/>
        <x:v>0</x:v>
      </x:c>
      <x:c r="HI96">
        <x:f t="shared" si="164"/>
        <x:v>0</x:v>
      </x:c>
      <x:c r="HJ96">
        <x:f t="shared" si="165"/>
        <x:v>0</x:v>
      </x:c>
      <x:c r="HK96">
        <x:f t="shared" si="166"/>
        <x:v>0</x:v>
      </x:c>
      <x:c r="HL96">
        <x:f t="shared" si="167"/>
        <x:v>0</x:v>
      </x:c>
    </x:row>
    <x:row r="97">
      <x:c r="D97" s="74"/>
      <x:c r="EQ97">
        <x:f t="shared" si="94"/>
        <x:v>0</x:v>
      </x:c>
      <x:c r="ER97">
        <x:f t="shared" si="95"/>
        <x:v>0</x:v>
      </x:c>
      <x:c r="ES97">
        <x:f t="shared" si="96"/>
        <x:v>0</x:v>
      </x:c>
      <x:c r="ET97">
        <x:f t="shared" si="97"/>
        <x:v>0</x:v>
      </x:c>
      <x:c r="EU97">
        <x:f t="shared" si="98"/>
        <x:v>0</x:v>
      </x:c>
      <x:c r="EV97">
        <x:f t="shared" si="99"/>
        <x:v>0</x:v>
      </x:c>
      <x:c r="EW97">
        <x:f t="shared" si="100"/>
        <x:v>0</x:v>
      </x:c>
      <x:c r="EX97">
        <x:f t="shared" si="101"/>
        <x:v>0</x:v>
      </x:c>
      <x:c r="EY97">
        <x:f t="shared" si="102"/>
        <x:v>0</x:v>
      </x:c>
      <x:c r="EZ97">
        <x:f t="shared" si="103"/>
        <x:v>0</x:v>
      </x:c>
      <x:c r="FA97" s="41">
        <x:f t="shared" si="104"/>
        <x:v>0</x:v>
      </x:c>
      <x:c r="FB97">
        <x:f t="shared" si="105"/>
        <x:v>0</x:v>
      </x:c>
      <x:c r="FC97">
        <x:f t="shared" si="106"/>
        <x:v>0</x:v>
      </x:c>
      <x:c r="FD97">
        <x:f t="shared" si="107"/>
        <x:v>0</x:v>
      </x:c>
      <x:c r="FE97">
        <x:f t="shared" si="108"/>
        <x:v>0</x:v>
      </x:c>
      <x:c r="FF97">
        <x:f t="shared" si="109"/>
        <x:v>0</x:v>
      </x:c>
      <x:c r="FG97">
        <x:f t="shared" si="110"/>
        <x:v>0</x:v>
      </x:c>
      <x:c r="FH97">
        <x:f t="shared" si="111"/>
        <x:v>0</x:v>
      </x:c>
      <x:c r="FI97">
        <x:f t="shared" si="112"/>
        <x:v>0</x:v>
      </x:c>
      <x:c r="FJ97">
        <x:f t="shared" si="113"/>
        <x:v>0</x:v>
      </x:c>
      <x:c r="FK97">
        <x:f t="shared" si="114"/>
        <x:v>0</x:v>
      </x:c>
      <x:c r="FL97" s="41">
        <x:f t="shared" si="115"/>
        <x:v>0</x:v>
      </x:c>
      <x:c r="FM97">
        <x:f t="shared" si="116"/>
        <x:v>0</x:v>
      </x:c>
      <x:c r="FN97">
        <x:f t="shared" si="117"/>
        <x:v>0</x:v>
      </x:c>
      <x:c r="FO97">
        <x:f t="shared" si="118"/>
        <x:v>0</x:v>
      </x:c>
      <x:c r="FP97">
        <x:f t="shared" si="119"/>
        <x:v>0</x:v>
      </x:c>
      <x:c r="FQ97">
        <x:f t="shared" si="120"/>
        <x:v>0</x:v>
      </x:c>
      <x:c r="FR97">
        <x:f t="shared" si="121"/>
        <x:v>0</x:v>
      </x:c>
      <x:c r="FS97">
        <x:f t="shared" si="122"/>
        <x:v>0</x:v>
      </x:c>
      <x:c r="FT97">
        <x:f t="shared" si="123"/>
        <x:v>0</x:v>
      </x:c>
      <x:c r="FU97">
        <x:f t="shared" si="124"/>
        <x:v>0</x:v>
      </x:c>
      <x:c r="FV97">
        <x:f t="shared" si="125"/>
        <x:v>0</x:v>
      </x:c>
      <x:c r="FW97" s="41">
        <x:f t="shared" si="126"/>
        <x:v>0</x:v>
      </x:c>
      <x:c r="FX97">
        <x:f t="shared" si="127"/>
        <x:v>0</x:v>
      </x:c>
      <x:c r="FY97">
        <x:f t="shared" si="128"/>
        <x:v>0</x:v>
      </x:c>
      <x:c r="FZ97">
        <x:f t="shared" si="129"/>
        <x:v>0</x:v>
      </x:c>
      <x:c r="GA97">
        <x:f t="shared" si="130"/>
        <x:v>0</x:v>
      </x:c>
      <x:c r="GB97">
        <x:f t="shared" si="131"/>
        <x:v>0</x:v>
      </x:c>
      <x:c r="GC97">
        <x:f t="shared" si="132"/>
        <x:v>0</x:v>
      </x:c>
      <x:c r="GD97">
        <x:f t="shared" si="133"/>
        <x:v>0</x:v>
      </x:c>
      <x:c r="GE97">
        <x:f t="shared" si="134"/>
        <x:v>0</x:v>
      </x:c>
      <x:c r="GF97">
        <x:f t="shared" si="135"/>
        <x:v>0</x:v>
      </x:c>
      <x:c r="GG97">
        <x:f t="shared" si="136"/>
        <x:v>0</x:v>
      </x:c>
      <x:c r="GH97">
        <x:f t="shared" si="137"/>
        <x:v>0</x:v>
      </x:c>
      <x:c r="GI97">
        <x:f t="shared" si="138"/>
        <x:v>0</x:v>
      </x:c>
      <x:c r="GJ97">
        <x:f t="shared" si="139"/>
        <x:v>0</x:v>
      </x:c>
      <x:c r="GK97">
        <x:f t="shared" si="140"/>
        <x:v>0</x:v>
      </x:c>
      <x:c r="GL97">
        <x:f t="shared" si="141"/>
        <x:v>0</x:v>
      </x:c>
      <x:c r="GM97">
        <x:f t="shared" si="142"/>
        <x:v>0</x:v>
      </x:c>
      <x:c r="GN97">
        <x:f t="shared" si="143"/>
        <x:v>0</x:v>
      </x:c>
      <x:c r="GO97">
        <x:f t="shared" si="144"/>
        <x:v>0</x:v>
      </x:c>
      <x:c r="GP97">
        <x:f t="shared" si="145"/>
        <x:v>0</x:v>
      </x:c>
      <x:c r="GQ97">
        <x:f t="shared" si="146"/>
        <x:v>0</x:v>
      </x:c>
      <x:c r="GR97" s="42">
        <x:f t="shared" si="147"/>
        <x:v>0</x:v>
      </x:c>
      <x:c r="GS97">
        <x:f t="shared" si="148"/>
        <x:v>0</x:v>
      </x:c>
      <x:c r="GT97">
        <x:f t="shared" si="149"/>
        <x:v>0</x:v>
      </x:c>
      <x:c r="GU97">
        <x:f t="shared" si="150"/>
        <x:v>0</x:v>
      </x:c>
      <x:c r="GV97">
        <x:f t="shared" si="151"/>
        <x:v>0</x:v>
      </x:c>
      <x:c r="GW97">
        <x:f t="shared" si="152"/>
        <x:v>0</x:v>
      </x:c>
      <x:c r="GX97">
        <x:f t="shared" si="153"/>
        <x:v>0</x:v>
      </x:c>
      <x:c r="GY97">
        <x:f t="shared" si="154"/>
        <x:v>0</x:v>
      </x:c>
      <x:c r="GZ97">
        <x:f t="shared" si="155"/>
        <x:v>0</x:v>
      </x:c>
      <x:c r="HA97">
        <x:f t="shared" si="156"/>
        <x:v>0</x:v>
      </x:c>
      <x:c r="HB97" s="42">
        <x:f t="shared" si="157"/>
        <x:v>0</x:v>
      </x:c>
      <x:c r="HC97">
        <x:f t="shared" si="158"/>
        <x:v>0</x:v>
      </x:c>
      <x:c r="HD97">
        <x:f t="shared" si="159"/>
        <x:v>0</x:v>
      </x:c>
      <x:c r="HE97">
        <x:f t="shared" si="160"/>
        <x:v>0</x:v>
      </x:c>
      <x:c r="HF97">
        <x:f t="shared" si="161"/>
        <x:v>0</x:v>
      </x:c>
      <x:c r="HG97">
        <x:f t="shared" si="162"/>
        <x:v>0</x:v>
      </x:c>
      <x:c r="HH97">
        <x:f t="shared" si="163"/>
        <x:v>0</x:v>
      </x:c>
      <x:c r="HI97">
        <x:f t="shared" si="164"/>
        <x:v>0</x:v>
      </x:c>
      <x:c r="HJ97">
        <x:f t="shared" si="165"/>
        <x:v>0</x:v>
      </x:c>
      <x:c r="HK97">
        <x:f t="shared" si="166"/>
        <x:v>0</x:v>
      </x:c>
      <x:c r="HL97">
        <x:f t="shared" si="167"/>
        <x:v>0</x:v>
      </x:c>
    </x:row>
    <x:row r="98">
      <x:c r="D98" s="74"/>
      <x:c r="EQ98">
        <x:f t="shared" si="94"/>
        <x:v>0</x:v>
      </x:c>
      <x:c r="ER98">
        <x:f t="shared" si="95"/>
        <x:v>0</x:v>
      </x:c>
      <x:c r="ES98">
        <x:f t="shared" si="96"/>
        <x:v>0</x:v>
      </x:c>
      <x:c r="ET98">
        <x:f t="shared" si="97"/>
        <x:v>0</x:v>
      </x:c>
      <x:c r="EU98">
        <x:f t="shared" si="98"/>
        <x:v>0</x:v>
      </x:c>
      <x:c r="EV98">
        <x:f t="shared" si="99"/>
        <x:v>0</x:v>
      </x:c>
      <x:c r="EW98">
        <x:f t="shared" si="100"/>
        <x:v>0</x:v>
      </x:c>
      <x:c r="EX98">
        <x:f t="shared" si="101"/>
        <x:v>0</x:v>
      </x:c>
      <x:c r="EY98">
        <x:f t="shared" si="102"/>
        <x:v>0</x:v>
      </x:c>
      <x:c r="EZ98">
        <x:f t="shared" si="103"/>
        <x:v>0</x:v>
      </x:c>
      <x:c r="FA98" s="41">
        <x:f t="shared" si="104"/>
        <x:v>0</x:v>
      </x:c>
      <x:c r="FB98">
        <x:f t="shared" si="105"/>
        <x:v>0</x:v>
      </x:c>
      <x:c r="FC98">
        <x:f t="shared" si="106"/>
        <x:v>0</x:v>
      </x:c>
      <x:c r="FD98">
        <x:f t="shared" si="107"/>
        <x:v>0</x:v>
      </x:c>
      <x:c r="FE98">
        <x:f t="shared" si="108"/>
        <x:v>0</x:v>
      </x:c>
      <x:c r="FF98">
        <x:f t="shared" si="109"/>
        <x:v>0</x:v>
      </x:c>
      <x:c r="FG98">
        <x:f t="shared" si="110"/>
        <x:v>0</x:v>
      </x:c>
      <x:c r="FH98">
        <x:f t="shared" si="111"/>
        <x:v>0</x:v>
      </x:c>
      <x:c r="FI98">
        <x:f t="shared" si="112"/>
        <x:v>0</x:v>
      </x:c>
      <x:c r="FJ98">
        <x:f t="shared" si="113"/>
        <x:v>0</x:v>
      </x:c>
      <x:c r="FK98">
        <x:f t="shared" si="114"/>
        <x:v>0</x:v>
      </x:c>
      <x:c r="FL98" s="41">
        <x:f t="shared" si="115"/>
        <x:v>0</x:v>
      </x:c>
      <x:c r="FM98">
        <x:f t="shared" si="116"/>
        <x:v>0</x:v>
      </x:c>
      <x:c r="FN98">
        <x:f t="shared" si="117"/>
        <x:v>0</x:v>
      </x:c>
      <x:c r="FO98">
        <x:f t="shared" si="118"/>
        <x:v>0</x:v>
      </x:c>
      <x:c r="FP98">
        <x:f t="shared" si="119"/>
        <x:v>0</x:v>
      </x:c>
      <x:c r="FQ98">
        <x:f t="shared" si="120"/>
        <x:v>0</x:v>
      </x:c>
      <x:c r="FR98">
        <x:f t="shared" si="121"/>
        <x:v>0</x:v>
      </x:c>
      <x:c r="FS98">
        <x:f t="shared" si="122"/>
        <x:v>0</x:v>
      </x:c>
      <x:c r="FT98">
        <x:f t="shared" si="123"/>
        <x:v>0</x:v>
      </x:c>
      <x:c r="FU98">
        <x:f t="shared" si="124"/>
        <x:v>0</x:v>
      </x:c>
      <x:c r="FV98">
        <x:f t="shared" si="125"/>
        <x:v>0</x:v>
      </x:c>
      <x:c r="FW98" s="41">
        <x:f t="shared" si="126"/>
        <x:v>0</x:v>
      </x:c>
      <x:c r="FX98">
        <x:f t="shared" si="127"/>
        <x:v>0</x:v>
      </x:c>
      <x:c r="FY98">
        <x:f t="shared" si="128"/>
        <x:v>0</x:v>
      </x:c>
      <x:c r="FZ98">
        <x:f t="shared" si="129"/>
        <x:v>0</x:v>
      </x:c>
      <x:c r="GA98">
        <x:f t="shared" si="130"/>
        <x:v>0</x:v>
      </x:c>
      <x:c r="GB98">
        <x:f t="shared" si="131"/>
        <x:v>0</x:v>
      </x:c>
      <x:c r="GC98">
        <x:f t="shared" si="132"/>
        <x:v>0</x:v>
      </x:c>
      <x:c r="GD98">
        <x:f t="shared" si="133"/>
        <x:v>0</x:v>
      </x:c>
      <x:c r="GE98">
        <x:f t="shared" si="134"/>
        <x:v>0</x:v>
      </x:c>
      <x:c r="GF98">
        <x:f t="shared" si="135"/>
        <x:v>0</x:v>
      </x:c>
      <x:c r="GG98">
        <x:f t="shared" si="136"/>
        <x:v>0</x:v>
      </x:c>
      <x:c r="GH98">
        <x:f t="shared" si="137"/>
        <x:v>0</x:v>
      </x:c>
      <x:c r="GI98">
        <x:f t="shared" si="138"/>
        <x:v>0</x:v>
      </x:c>
      <x:c r="GJ98">
        <x:f t="shared" si="139"/>
        <x:v>0</x:v>
      </x:c>
      <x:c r="GK98">
        <x:f t="shared" si="140"/>
        <x:v>0</x:v>
      </x:c>
      <x:c r="GL98">
        <x:f t="shared" si="141"/>
        <x:v>0</x:v>
      </x:c>
      <x:c r="GM98">
        <x:f t="shared" si="142"/>
        <x:v>0</x:v>
      </x:c>
      <x:c r="GN98">
        <x:f t="shared" si="143"/>
        <x:v>0</x:v>
      </x:c>
      <x:c r="GO98">
        <x:f t="shared" si="144"/>
        <x:v>0</x:v>
      </x:c>
      <x:c r="GP98">
        <x:f t="shared" si="145"/>
        <x:v>0</x:v>
      </x:c>
      <x:c r="GQ98">
        <x:f t="shared" si="146"/>
        <x:v>0</x:v>
      </x:c>
      <x:c r="GR98" s="42">
        <x:f t="shared" si="147"/>
        <x:v>0</x:v>
      </x:c>
      <x:c r="GS98">
        <x:f t="shared" si="148"/>
        <x:v>0</x:v>
      </x:c>
      <x:c r="GT98">
        <x:f t="shared" si="149"/>
        <x:v>0</x:v>
      </x:c>
      <x:c r="GU98">
        <x:f t="shared" si="150"/>
        <x:v>0</x:v>
      </x:c>
      <x:c r="GV98">
        <x:f t="shared" si="151"/>
        <x:v>0</x:v>
      </x:c>
      <x:c r="GW98">
        <x:f t="shared" si="152"/>
        <x:v>0</x:v>
      </x:c>
      <x:c r="GX98">
        <x:f t="shared" si="153"/>
        <x:v>0</x:v>
      </x:c>
      <x:c r="GY98">
        <x:f t="shared" si="154"/>
        <x:v>0</x:v>
      </x:c>
      <x:c r="GZ98">
        <x:f t="shared" si="155"/>
        <x:v>0</x:v>
      </x:c>
      <x:c r="HA98">
        <x:f t="shared" si="156"/>
        <x:v>0</x:v>
      </x:c>
      <x:c r="HB98" s="42">
        <x:f t="shared" si="157"/>
        <x:v>0</x:v>
      </x:c>
      <x:c r="HC98">
        <x:f t="shared" si="158"/>
        <x:v>0</x:v>
      </x:c>
      <x:c r="HD98">
        <x:f t="shared" si="159"/>
        <x:v>0</x:v>
      </x:c>
      <x:c r="HE98">
        <x:f t="shared" si="160"/>
        <x:v>0</x:v>
      </x:c>
      <x:c r="HF98">
        <x:f t="shared" si="161"/>
        <x:v>0</x:v>
      </x:c>
      <x:c r="HG98">
        <x:f t="shared" si="162"/>
        <x:v>0</x:v>
      </x:c>
      <x:c r="HH98">
        <x:f t="shared" si="163"/>
        <x:v>0</x:v>
      </x:c>
      <x:c r="HI98">
        <x:f t="shared" si="164"/>
        <x:v>0</x:v>
      </x:c>
      <x:c r="HJ98">
        <x:f t="shared" si="165"/>
        <x:v>0</x:v>
      </x:c>
      <x:c r="HK98">
        <x:f t="shared" si="166"/>
        <x:v>0</x:v>
      </x:c>
      <x:c r="HL98">
        <x:f t="shared" si="167"/>
        <x:v>0</x:v>
      </x:c>
    </x:row>
    <x:row r="99">
      <x:c r="D99" s="74"/>
      <x:c r="EQ99">
        <x:f t="shared" si="94"/>
        <x:v>0</x:v>
      </x:c>
      <x:c r="ER99">
        <x:f t="shared" si="95"/>
        <x:v>0</x:v>
      </x:c>
      <x:c r="ES99">
        <x:f t="shared" si="96"/>
        <x:v>0</x:v>
      </x:c>
      <x:c r="ET99">
        <x:f t="shared" si="97"/>
        <x:v>0</x:v>
      </x:c>
      <x:c r="EU99">
        <x:f t="shared" si="98"/>
        <x:v>0</x:v>
      </x:c>
      <x:c r="EV99">
        <x:f t="shared" si="99"/>
        <x:v>0</x:v>
      </x:c>
      <x:c r="EW99">
        <x:f t="shared" si="100"/>
        <x:v>0</x:v>
      </x:c>
      <x:c r="EX99">
        <x:f t="shared" si="101"/>
        <x:v>0</x:v>
      </x:c>
      <x:c r="EY99">
        <x:f t="shared" si="102"/>
        <x:v>0</x:v>
      </x:c>
      <x:c r="EZ99">
        <x:f t="shared" si="103"/>
        <x:v>0</x:v>
      </x:c>
      <x:c r="FA99" s="41">
        <x:f t="shared" si="104"/>
        <x:v>0</x:v>
      </x:c>
      <x:c r="FB99">
        <x:f t="shared" si="105"/>
        <x:v>0</x:v>
      </x:c>
      <x:c r="FC99">
        <x:f t="shared" si="106"/>
        <x:v>0</x:v>
      </x:c>
      <x:c r="FD99">
        <x:f t="shared" si="107"/>
        <x:v>0</x:v>
      </x:c>
      <x:c r="FE99">
        <x:f t="shared" si="108"/>
        <x:v>0</x:v>
      </x:c>
      <x:c r="FF99">
        <x:f t="shared" si="109"/>
        <x:v>0</x:v>
      </x:c>
      <x:c r="FG99">
        <x:f t="shared" si="110"/>
        <x:v>0</x:v>
      </x:c>
      <x:c r="FH99">
        <x:f t="shared" si="111"/>
        <x:v>0</x:v>
      </x:c>
      <x:c r="FI99">
        <x:f t="shared" si="112"/>
        <x:v>0</x:v>
      </x:c>
      <x:c r="FJ99">
        <x:f t="shared" si="113"/>
        <x:v>0</x:v>
      </x:c>
      <x:c r="FK99">
        <x:f t="shared" si="114"/>
        <x:v>0</x:v>
      </x:c>
      <x:c r="FL99" s="41">
        <x:f t="shared" si="115"/>
        <x:v>0</x:v>
      </x:c>
      <x:c r="FM99">
        <x:f t="shared" si="116"/>
        <x:v>0</x:v>
      </x:c>
      <x:c r="FN99">
        <x:f t="shared" si="117"/>
        <x:v>0</x:v>
      </x:c>
      <x:c r="FO99">
        <x:f t="shared" si="118"/>
        <x:v>0</x:v>
      </x:c>
      <x:c r="FP99">
        <x:f t="shared" si="119"/>
        <x:v>0</x:v>
      </x:c>
      <x:c r="FQ99">
        <x:f t="shared" si="120"/>
        <x:v>0</x:v>
      </x:c>
      <x:c r="FR99">
        <x:f t="shared" si="121"/>
        <x:v>0</x:v>
      </x:c>
      <x:c r="FS99">
        <x:f t="shared" si="122"/>
        <x:v>0</x:v>
      </x:c>
      <x:c r="FT99">
        <x:f t="shared" si="123"/>
        <x:v>0</x:v>
      </x:c>
      <x:c r="FU99">
        <x:f t="shared" si="124"/>
        <x:v>0</x:v>
      </x:c>
      <x:c r="FV99">
        <x:f t="shared" si="125"/>
        <x:v>0</x:v>
      </x:c>
      <x:c r="FW99" s="41">
        <x:f t="shared" si="126"/>
        <x:v>0</x:v>
      </x:c>
      <x:c r="FX99">
        <x:f t="shared" si="127"/>
        <x:v>0</x:v>
      </x:c>
      <x:c r="FY99">
        <x:f t="shared" si="128"/>
        <x:v>0</x:v>
      </x:c>
      <x:c r="FZ99">
        <x:f t="shared" si="129"/>
        <x:v>0</x:v>
      </x:c>
      <x:c r="GA99">
        <x:f t="shared" si="130"/>
        <x:v>0</x:v>
      </x:c>
      <x:c r="GB99">
        <x:f t="shared" si="131"/>
        <x:v>0</x:v>
      </x:c>
      <x:c r="GC99">
        <x:f t="shared" si="132"/>
        <x:v>0</x:v>
      </x:c>
      <x:c r="GD99">
        <x:f t="shared" si="133"/>
        <x:v>0</x:v>
      </x:c>
      <x:c r="GE99">
        <x:f t="shared" si="134"/>
        <x:v>0</x:v>
      </x:c>
      <x:c r="GF99">
        <x:f t="shared" si="135"/>
        <x:v>0</x:v>
      </x:c>
      <x:c r="GG99">
        <x:f t="shared" si="136"/>
        <x:v>0</x:v>
      </x:c>
      <x:c r="GH99">
        <x:f t="shared" si="137"/>
        <x:v>0</x:v>
      </x:c>
      <x:c r="GI99">
        <x:f t="shared" si="138"/>
        <x:v>0</x:v>
      </x:c>
      <x:c r="GJ99">
        <x:f t="shared" si="139"/>
        <x:v>0</x:v>
      </x:c>
      <x:c r="GK99">
        <x:f t="shared" si="140"/>
        <x:v>0</x:v>
      </x:c>
      <x:c r="GL99">
        <x:f t="shared" si="141"/>
        <x:v>0</x:v>
      </x:c>
      <x:c r="GM99">
        <x:f t="shared" si="142"/>
        <x:v>0</x:v>
      </x:c>
      <x:c r="GN99">
        <x:f t="shared" si="143"/>
        <x:v>0</x:v>
      </x:c>
      <x:c r="GO99">
        <x:f t="shared" si="144"/>
        <x:v>0</x:v>
      </x:c>
      <x:c r="GP99">
        <x:f t="shared" si="145"/>
        <x:v>0</x:v>
      </x:c>
      <x:c r="GQ99">
        <x:f t="shared" si="146"/>
        <x:v>0</x:v>
      </x:c>
      <x:c r="GR99" s="42">
        <x:f t="shared" si="147"/>
        <x:v>0</x:v>
      </x:c>
      <x:c r="GS99">
        <x:f t="shared" si="148"/>
        <x:v>0</x:v>
      </x:c>
      <x:c r="GT99">
        <x:f t="shared" si="149"/>
        <x:v>0</x:v>
      </x:c>
      <x:c r="GU99">
        <x:f t="shared" si="150"/>
        <x:v>0</x:v>
      </x:c>
      <x:c r="GV99">
        <x:f t="shared" si="151"/>
        <x:v>0</x:v>
      </x:c>
      <x:c r="GW99">
        <x:f t="shared" si="152"/>
        <x:v>0</x:v>
      </x:c>
      <x:c r="GX99">
        <x:f t="shared" si="153"/>
        <x:v>0</x:v>
      </x:c>
      <x:c r="GY99">
        <x:f t="shared" si="154"/>
        <x:v>0</x:v>
      </x:c>
      <x:c r="GZ99">
        <x:f t="shared" si="155"/>
        <x:v>0</x:v>
      </x:c>
      <x:c r="HA99">
        <x:f t="shared" si="156"/>
        <x:v>0</x:v>
      </x:c>
      <x:c r="HB99" s="42">
        <x:f t="shared" si="157"/>
        <x:v>0</x:v>
      </x:c>
      <x:c r="HC99">
        <x:f t="shared" si="158"/>
        <x:v>0</x:v>
      </x:c>
      <x:c r="HD99">
        <x:f t="shared" si="159"/>
        <x:v>0</x:v>
      </x:c>
      <x:c r="HE99">
        <x:f t="shared" si="160"/>
        <x:v>0</x:v>
      </x:c>
      <x:c r="HF99">
        <x:f t="shared" si="161"/>
        <x:v>0</x:v>
      </x:c>
      <x:c r="HG99">
        <x:f t="shared" si="162"/>
        <x:v>0</x:v>
      </x:c>
      <x:c r="HH99">
        <x:f t="shared" si="163"/>
        <x:v>0</x:v>
      </x:c>
      <x:c r="HI99">
        <x:f t="shared" si="164"/>
        <x:v>0</x:v>
      </x:c>
      <x:c r="HJ99">
        <x:f t="shared" si="165"/>
        <x:v>0</x:v>
      </x:c>
      <x:c r="HK99">
        <x:f t="shared" si="166"/>
        <x:v>0</x:v>
      </x:c>
      <x:c r="HL99">
        <x:f t="shared" si="167"/>
        <x:v>0</x:v>
      </x:c>
    </x:row>
    <x:row r="100">
      <x:c r="D100" s="74"/>
      <x:c r="EQ100">
        <x:f t="shared" si="94"/>
        <x:v>0</x:v>
      </x:c>
      <x:c r="ER100">
        <x:f t="shared" si="95"/>
        <x:v>0</x:v>
      </x:c>
      <x:c r="ES100">
        <x:f t="shared" si="96"/>
        <x:v>0</x:v>
      </x:c>
      <x:c r="ET100">
        <x:f t="shared" si="97"/>
        <x:v>0</x:v>
      </x:c>
      <x:c r="EU100">
        <x:f t="shared" si="98"/>
        <x:v>0</x:v>
      </x:c>
      <x:c r="EV100">
        <x:f t="shared" si="99"/>
        <x:v>0</x:v>
      </x:c>
      <x:c r="EW100">
        <x:f t="shared" si="100"/>
        <x:v>0</x:v>
      </x:c>
      <x:c r="EX100">
        <x:f t="shared" si="101"/>
        <x:v>0</x:v>
      </x:c>
      <x:c r="EY100">
        <x:f t="shared" si="102"/>
        <x:v>0</x:v>
      </x:c>
      <x:c r="EZ100">
        <x:f t="shared" si="103"/>
        <x:v>0</x:v>
      </x:c>
      <x:c r="FA100" s="41">
        <x:f t="shared" si="104"/>
        <x:v>0</x:v>
      </x:c>
      <x:c r="FB100">
        <x:f t="shared" si="105"/>
        <x:v>0</x:v>
      </x:c>
      <x:c r="FC100">
        <x:f t="shared" si="106"/>
        <x:v>0</x:v>
      </x:c>
      <x:c r="FD100">
        <x:f t="shared" si="107"/>
        <x:v>0</x:v>
      </x:c>
      <x:c r="FE100">
        <x:f t="shared" si="108"/>
        <x:v>0</x:v>
      </x:c>
      <x:c r="FF100">
        <x:f t="shared" si="109"/>
        <x:v>0</x:v>
      </x:c>
      <x:c r="FG100">
        <x:f t="shared" si="110"/>
        <x:v>0</x:v>
      </x:c>
      <x:c r="FH100">
        <x:f t="shared" si="111"/>
        <x:v>0</x:v>
      </x:c>
      <x:c r="FI100">
        <x:f t="shared" si="112"/>
        <x:v>0</x:v>
      </x:c>
      <x:c r="FJ100">
        <x:f t="shared" si="113"/>
        <x:v>0</x:v>
      </x:c>
      <x:c r="FK100">
        <x:f t="shared" si="114"/>
        <x:v>0</x:v>
      </x:c>
      <x:c r="FL100" s="41">
        <x:f t="shared" si="115"/>
        <x:v>0</x:v>
      </x:c>
      <x:c r="FM100">
        <x:f t="shared" si="116"/>
        <x:v>0</x:v>
      </x:c>
      <x:c r="FN100">
        <x:f t="shared" si="117"/>
        <x:v>0</x:v>
      </x:c>
      <x:c r="FO100">
        <x:f t="shared" si="118"/>
        <x:v>0</x:v>
      </x:c>
      <x:c r="FP100">
        <x:f t="shared" si="119"/>
        <x:v>0</x:v>
      </x:c>
      <x:c r="FQ100">
        <x:f t="shared" si="120"/>
        <x:v>0</x:v>
      </x:c>
      <x:c r="FR100">
        <x:f t="shared" si="121"/>
        <x:v>0</x:v>
      </x:c>
      <x:c r="FS100">
        <x:f t="shared" si="122"/>
        <x:v>0</x:v>
      </x:c>
      <x:c r="FT100">
        <x:f t="shared" si="123"/>
        <x:v>0</x:v>
      </x:c>
      <x:c r="FU100">
        <x:f t="shared" si="124"/>
        <x:v>0</x:v>
      </x:c>
      <x:c r="FV100">
        <x:f t="shared" si="125"/>
        <x:v>0</x:v>
      </x:c>
      <x:c r="FW100" s="41">
        <x:f t="shared" si="126"/>
        <x:v>0</x:v>
      </x:c>
      <x:c r="FX100">
        <x:f t="shared" si="127"/>
        <x:v>0</x:v>
      </x:c>
      <x:c r="FY100">
        <x:f t="shared" si="128"/>
        <x:v>0</x:v>
      </x:c>
      <x:c r="FZ100">
        <x:f t="shared" si="129"/>
        <x:v>0</x:v>
      </x:c>
      <x:c r="GA100">
        <x:f t="shared" si="130"/>
        <x:v>0</x:v>
      </x:c>
      <x:c r="GB100">
        <x:f t="shared" si="131"/>
        <x:v>0</x:v>
      </x:c>
      <x:c r="GC100">
        <x:f t="shared" si="132"/>
        <x:v>0</x:v>
      </x:c>
      <x:c r="GD100">
        <x:f t="shared" si="133"/>
        <x:v>0</x:v>
      </x:c>
      <x:c r="GE100">
        <x:f t="shared" si="134"/>
        <x:v>0</x:v>
      </x:c>
      <x:c r="GF100">
        <x:f t="shared" si="135"/>
        <x:v>0</x:v>
      </x:c>
      <x:c r="GG100">
        <x:f t="shared" si="136"/>
        <x:v>0</x:v>
      </x:c>
      <x:c r="GH100">
        <x:f t="shared" si="137"/>
        <x:v>0</x:v>
      </x:c>
      <x:c r="GI100">
        <x:f t="shared" si="138"/>
        <x:v>0</x:v>
      </x:c>
      <x:c r="GJ100">
        <x:f t="shared" si="139"/>
        <x:v>0</x:v>
      </x:c>
      <x:c r="GK100">
        <x:f t="shared" si="140"/>
        <x:v>0</x:v>
      </x:c>
      <x:c r="GL100">
        <x:f t="shared" si="141"/>
        <x:v>0</x:v>
      </x:c>
      <x:c r="GM100">
        <x:f t="shared" si="142"/>
        <x:v>0</x:v>
      </x:c>
      <x:c r="GN100">
        <x:f t="shared" si="143"/>
        <x:v>0</x:v>
      </x:c>
      <x:c r="GO100">
        <x:f t="shared" si="144"/>
        <x:v>0</x:v>
      </x:c>
      <x:c r="GP100">
        <x:f t="shared" si="145"/>
        <x:v>0</x:v>
      </x:c>
      <x:c r="GQ100">
        <x:f t="shared" si="146"/>
        <x:v>0</x:v>
      </x:c>
      <x:c r="GR100" s="42">
        <x:f t="shared" si="147"/>
        <x:v>0</x:v>
      </x:c>
      <x:c r="GS100">
        <x:f t="shared" si="148"/>
        <x:v>0</x:v>
      </x:c>
      <x:c r="GT100">
        <x:f t="shared" si="149"/>
        <x:v>0</x:v>
      </x:c>
      <x:c r="GU100">
        <x:f t="shared" si="150"/>
        <x:v>0</x:v>
      </x:c>
      <x:c r="GV100">
        <x:f t="shared" si="151"/>
        <x:v>0</x:v>
      </x:c>
      <x:c r="GW100">
        <x:f t="shared" si="152"/>
        <x:v>0</x:v>
      </x:c>
      <x:c r="GX100">
        <x:f t="shared" si="153"/>
        <x:v>0</x:v>
      </x:c>
      <x:c r="GY100">
        <x:f t="shared" si="154"/>
        <x:v>0</x:v>
      </x:c>
      <x:c r="GZ100">
        <x:f t="shared" si="155"/>
        <x:v>0</x:v>
      </x:c>
      <x:c r="HA100">
        <x:f t="shared" si="156"/>
        <x:v>0</x:v>
      </x:c>
      <x:c r="HB100" s="42">
        <x:f t="shared" si="157"/>
        <x:v>0</x:v>
      </x:c>
      <x:c r="HC100">
        <x:f t="shared" si="158"/>
        <x:v>0</x:v>
      </x:c>
      <x:c r="HD100">
        <x:f t="shared" si="159"/>
        <x:v>0</x:v>
      </x:c>
      <x:c r="HE100">
        <x:f t="shared" si="160"/>
        <x:v>0</x:v>
      </x:c>
      <x:c r="HF100">
        <x:f t="shared" si="161"/>
        <x:v>0</x:v>
      </x:c>
      <x:c r="HG100">
        <x:f t="shared" si="162"/>
        <x:v>0</x:v>
      </x:c>
      <x:c r="HH100">
        <x:f t="shared" si="163"/>
        <x:v>0</x:v>
      </x:c>
      <x:c r="HI100">
        <x:f t="shared" si="164"/>
        <x:v>0</x:v>
      </x:c>
      <x:c r="HJ100">
        <x:f t="shared" si="165"/>
        <x:v>0</x:v>
      </x:c>
      <x:c r="HK100">
        <x:f t="shared" si="166"/>
        <x:v>0</x:v>
      </x:c>
      <x:c r="HL100">
        <x:f t="shared" si="167"/>
        <x:v>0</x:v>
      </x:c>
    </x:row>
    <x:row r="101">
      <x:c r="D101" s="74"/>
      <x:c r="EQ101">
        <x:f t="shared" si="94"/>
        <x:v>0</x:v>
      </x:c>
      <x:c r="ER101">
        <x:f t="shared" si="95"/>
        <x:v>0</x:v>
      </x:c>
      <x:c r="ES101">
        <x:f t="shared" si="96"/>
        <x:v>0</x:v>
      </x:c>
      <x:c r="ET101">
        <x:f t="shared" si="97"/>
        <x:v>0</x:v>
      </x:c>
      <x:c r="EU101">
        <x:f t="shared" si="98"/>
        <x:v>0</x:v>
      </x:c>
      <x:c r="EV101">
        <x:f t="shared" si="99"/>
        <x:v>0</x:v>
      </x:c>
      <x:c r="EW101">
        <x:f t="shared" si="100"/>
        <x:v>0</x:v>
      </x:c>
      <x:c r="EX101">
        <x:f t="shared" si="101"/>
        <x:v>0</x:v>
      </x:c>
      <x:c r="EY101">
        <x:f t="shared" si="102"/>
        <x:v>0</x:v>
      </x:c>
      <x:c r="EZ101">
        <x:f t="shared" si="103"/>
        <x:v>0</x:v>
      </x:c>
      <x:c r="FA101" s="41">
        <x:f t="shared" si="104"/>
        <x:v>0</x:v>
      </x:c>
      <x:c r="FB101">
        <x:f t="shared" si="105"/>
        <x:v>0</x:v>
      </x:c>
      <x:c r="FC101">
        <x:f t="shared" si="106"/>
        <x:v>0</x:v>
      </x:c>
      <x:c r="FD101">
        <x:f t="shared" si="107"/>
        <x:v>0</x:v>
      </x:c>
      <x:c r="FE101">
        <x:f t="shared" si="108"/>
        <x:v>0</x:v>
      </x:c>
      <x:c r="FF101">
        <x:f t="shared" si="109"/>
        <x:v>0</x:v>
      </x:c>
      <x:c r="FG101">
        <x:f t="shared" si="110"/>
        <x:v>0</x:v>
      </x:c>
      <x:c r="FH101">
        <x:f t="shared" si="111"/>
        <x:v>0</x:v>
      </x:c>
      <x:c r="FI101">
        <x:f t="shared" si="112"/>
        <x:v>0</x:v>
      </x:c>
      <x:c r="FJ101">
        <x:f t="shared" si="113"/>
        <x:v>0</x:v>
      </x:c>
      <x:c r="FK101">
        <x:f t="shared" si="114"/>
        <x:v>0</x:v>
      </x:c>
      <x:c r="FL101" s="41">
        <x:f t="shared" si="115"/>
        <x:v>0</x:v>
      </x:c>
      <x:c r="FM101">
        <x:f t="shared" si="116"/>
        <x:v>0</x:v>
      </x:c>
      <x:c r="FN101">
        <x:f t="shared" si="117"/>
        <x:v>0</x:v>
      </x:c>
      <x:c r="FO101">
        <x:f t="shared" si="118"/>
        <x:v>0</x:v>
      </x:c>
      <x:c r="FP101">
        <x:f t="shared" si="119"/>
        <x:v>0</x:v>
      </x:c>
      <x:c r="FQ101">
        <x:f t="shared" si="120"/>
        <x:v>0</x:v>
      </x:c>
      <x:c r="FR101">
        <x:f t="shared" si="121"/>
        <x:v>0</x:v>
      </x:c>
      <x:c r="FS101">
        <x:f t="shared" si="122"/>
        <x:v>0</x:v>
      </x:c>
      <x:c r="FT101">
        <x:f t="shared" si="123"/>
        <x:v>0</x:v>
      </x:c>
      <x:c r="FU101">
        <x:f t="shared" si="124"/>
        <x:v>0</x:v>
      </x:c>
      <x:c r="FV101">
        <x:f t="shared" si="125"/>
        <x:v>0</x:v>
      </x:c>
      <x:c r="FW101" s="41">
        <x:f t="shared" si="126"/>
        <x:v>0</x:v>
      </x:c>
      <x:c r="FX101">
        <x:f t="shared" si="127"/>
        <x:v>0</x:v>
      </x:c>
      <x:c r="FY101">
        <x:f t="shared" si="128"/>
        <x:v>0</x:v>
      </x:c>
      <x:c r="FZ101">
        <x:f t="shared" si="129"/>
        <x:v>0</x:v>
      </x:c>
      <x:c r="GA101">
        <x:f t="shared" si="130"/>
        <x:v>0</x:v>
      </x:c>
      <x:c r="GB101">
        <x:f t="shared" si="131"/>
        <x:v>0</x:v>
      </x:c>
      <x:c r="GC101">
        <x:f t="shared" si="132"/>
        <x:v>0</x:v>
      </x:c>
      <x:c r="GD101">
        <x:f t="shared" si="133"/>
        <x:v>0</x:v>
      </x:c>
      <x:c r="GE101">
        <x:f t="shared" si="134"/>
        <x:v>0</x:v>
      </x:c>
      <x:c r="GF101">
        <x:f t="shared" si="135"/>
        <x:v>0</x:v>
      </x:c>
      <x:c r="GG101">
        <x:f t="shared" si="136"/>
        <x:v>0</x:v>
      </x:c>
      <x:c r="GH101">
        <x:f t="shared" si="137"/>
        <x:v>0</x:v>
      </x:c>
      <x:c r="GI101">
        <x:f t="shared" si="138"/>
        <x:v>0</x:v>
      </x:c>
      <x:c r="GJ101">
        <x:f t="shared" si="139"/>
        <x:v>0</x:v>
      </x:c>
      <x:c r="GK101">
        <x:f t="shared" si="140"/>
        <x:v>0</x:v>
      </x:c>
      <x:c r="GL101">
        <x:f t="shared" si="141"/>
        <x:v>0</x:v>
      </x:c>
      <x:c r="GM101">
        <x:f t="shared" si="142"/>
        <x:v>0</x:v>
      </x:c>
      <x:c r="GN101">
        <x:f t="shared" si="143"/>
        <x:v>0</x:v>
      </x:c>
      <x:c r="GO101">
        <x:f t="shared" si="144"/>
        <x:v>0</x:v>
      </x:c>
      <x:c r="GP101">
        <x:f t="shared" si="145"/>
        <x:v>0</x:v>
      </x:c>
      <x:c r="GQ101">
        <x:f t="shared" si="146"/>
        <x:v>0</x:v>
      </x:c>
      <x:c r="GR101" s="42">
        <x:f t="shared" si="147"/>
        <x:v>0</x:v>
      </x:c>
      <x:c r="GS101">
        <x:f t="shared" si="148"/>
        <x:v>0</x:v>
      </x:c>
      <x:c r="GT101">
        <x:f t="shared" si="149"/>
        <x:v>0</x:v>
      </x:c>
      <x:c r="GU101">
        <x:f t="shared" si="150"/>
        <x:v>0</x:v>
      </x:c>
      <x:c r="GV101">
        <x:f t="shared" si="151"/>
        <x:v>0</x:v>
      </x:c>
      <x:c r="GW101">
        <x:f t="shared" si="152"/>
        <x:v>0</x:v>
      </x:c>
      <x:c r="GX101">
        <x:f t="shared" si="153"/>
        <x:v>0</x:v>
      </x:c>
      <x:c r="GY101">
        <x:f t="shared" si="154"/>
        <x:v>0</x:v>
      </x:c>
      <x:c r="GZ101">
        <x:f t="shared" si="155"/>
        <x:v>0</x:v>
      </x:c>
      <x:c r="HA101">
        <x:f t="shared" si="156"/>
        <x:v>0</x:v>
      </x:c>
      <x:c r="HB101" s="42">
        <x:f t="shared" si="157"/>
        <x:v>0</x:v>
      </x:c>
      <x:c r="HC101">
        <x:f t="shared" si="158"/>
        <x:v>0</x:v>
      </x:c>
      <x:c r="HD101">
        <x:f t="shared" si="159"/>
        <x:v>0</x:v>
      </x:c>
      <x:c r="HE101">
        <x:f t="shared" si="160"/>
        <x:v>0</x:v>
      </x:c>
      <x:c r="HF101">
        <x:f t="shared" si="161"/>
        <x:v>0</x:v>
      </x:c>
      <x:c r="HG101">
        <x:f t="shared" si="162"/>
        <x:v>0</x:v>
      </x:c>
      <x:c r="HH101">
        <x:f t="shared" si="163"/>
        <x:v>0</x:v>
      </x:c>
      <x:c r="HI101">
        <x:f t="shared" si="164"/>
        <x:v>0</x:v>
      </x:c>
      <x:c r="HJ101">
        <x:f t="shared" si="165"/>
        <x:v>0</x:v>
      </x:c>
      <x:c r="HK101">
        <x:f t="shared" si="166"/>
        <x:v>0</x:v>
      </x:c>
      <x:c r="HL101">
        <x:f t="shared" si="167"/>
        <x:v>0</x:v>
      </x:c>
    </x:row>
    <x:row r="102">
      <x:c r="D102" s="74"/>
      <x:c r="EQ102">
        <x:f t="shared" si="94"/>
        <x:v>0</x:v>
      </x:c>
      <x:c r="ER102">
        <x:f t="shared" si="95"/>
        <x:v>0</x:v>
      </x:c>
      <x:c r="ES102">
        <x:f t="shared" si="96"/>
        <x:v>0</x:v>
      </x:c>
      <x:c r="ET102">
        <x:f t="shared" si="97"/>
        <x:v>0</x:v>
      </x:c>
      <x:c r="EU102">
        <x:f t="shared" si="98"/>
        <x:v>0</x:v>
      </x:c>
      <x:c r="EV102">
        <x:f t="shared" si="99"/>
        <x:v>0</x:v>
      </x:c>
      <x:c r="EW102">
        <x:f t="shared" si="100"/>
        <x:v>0</x:v>
      </x:c>
      <x:c r="EX102">
        <x:f t="shared" si="101"/>
        <x:v>0</x:v>
      </x:c>
      <x:c r="EY102">
        <x:f t="shared" si="102"/>
        <x:v>0</x:v>
      </x:c>
      <x:c r="EZ102">
        <x:f t="shared" si="103"/>
        <x:v>0</x:v>
      </x:c>
      <x:c r="FA102" s="41">
        <x:f t="shared" si="104"/>
        <x:v>0</x:v>
      </x:c>
      <x:c r="FB102">
        <x:f t="shared" si="105"/>
        <x:v>0</x:v>
      </x:c>
      <x:c r="FC102">
        <x:f t="shared" si="106"/>
        <x:v>0</x:v>
      </x:c>
      <x:c r="FD102">
        <x:f t="shared" si="107"/>
        <x:v>0</x:v>
      </x:c>
      <x:c r="FE102">
        <x:f t="shared" si="108"/>
        <x:v>0</x:v>
      </x:c>
      <x:c r="FF102">
        <x:f t="shared" si="109"/>
        <x:v>0</x:v>
      </x:c>
      <x:c r="FG102">
        <x:f t="shared" si="110"/>
        <x:v>0</x:v>
      </x:c>
      <x:c r="FH102">
        <x:f t="shared" si="111"/>
        <x:v>0</x:v>
      </x:c>
      <x:c r="FI102">
        <x:f t="shared" si="112"/>
        <x:v>0</x:v>
      </x:c>
      <x:c r="FJ102">
        <x:f t="shared" si="113"/>
        <x:v>0</x:v>
      </x:c>
      <x:c r="FK102">
        <x:f t="shared" si="114"/>
        <x:v>0</x:v>
      </x:c>
      <x:c r="FL102" s="41">
        <x:f t="shared" si="115"/>
        <x:v>0</x:v>
      </x:c>
      <x:c r="FM102">
        <x:f t="shared" si="116"/>
        <x:v>0</x:v>
      </x:c>
      <x:c r="FN102">
        <x:f t="shared" si="117"/>
        <x:v>0</x:v>
      </x:c>
      <x:c r="FO102">
        <x:f t="shared" si="118"/>
        <x:v>0</x:v>
      </x:c>
      <x:c r="FP102">
        <x:f t="shared" si="119"/>
        <x:v>0</x:v>
      </x:c>
      <x:c r="FQ102">
        <x:f t="shared" si="120"/>
        <x:v>0</x:v>
      </x:c>
      <x:c r="FR102">
        <x:f t="shared" si="121"/>
        <x:v>0</x:v>
      </x:c>
      <x:c r="FS102">
        <x:f t="shared" si="122"/>
        <x:v>0</x:v>
      </x:c>
      <x:c r="FT102">
        <x:f t="shared" si="123"/>
        <x:v>0</x:v>
      </x:c>
      <x:c r="FU102">
        <x:f t="shared" si="124"/>
        <x:v>0</x:v>
      </x:c>
      <x:c r="FV102">
        <x:f t="shared" si="125"/>
        <x:v>0</x:v>
      </x:c>
      <x:c r="FW102" s="41">
        <x:f t="shared" si="126"/>
        <x:v>0</x:v>
      </x:c>
      <x:c r="FX102">
        <x:f t="shared" si="127"/>
        <x:v>0</x:v>
      </x:c>
      <x:c r="FY102">
        <x:f t="shared" si="128"/>
        <x:v>0</x:v>
      </x:c>
      <x:c r="FZ102">
        <x:f t="shared" si="129"/>
        <x:v>0</x:v>
      </x:c>
      <x:c r="GA102">
        <x:f t="shared" si="130"/>
        <x:v>0</x:v>
      </x:c>
      <x:c r="GB102">
        <x:f t="shared" si="131"/>
        <x:v>0</x:v>
      </x:c>
      <x:c r="GC102">
        <x:f t="shared" si="132"/>
        <x:v>0</x:v>
      </x:c>
      <x:c r="GD102">
        <x:f t="shared" si="133"/>
        <x:v>0</x:v>
      </x:c>
      <x:c r="GE102">
        <x:f t="shared" si="134"/>
        <x:v>0</x:v>
      </x:c>
      <x:c r="GF102">
        <x:f t="shared" si="135"/>
        <x:v>0</x:v>
      </x:c>
      <x:c r="GG102">
        <x:f t="shared" si="136"/>
        <x:v>0</x:v>
      </x:c>
      <x:c r="GH102">
        <x:f t="shared" si="137"/>
        <x:v>0</x:v>
      </x:c>
      <x:c r="GI102">
        <x:f t="shared" si="138"/>
        <x:v>0</x:v>
      </x:c>
      <x:c r="GJ102">
        <x:f t="shared" si="139"/>
        <x:v>0</x:v>
      </x:c>
      <x:c r="GK102">
        <x:f t="shared" si="140"/>
        <x:v>0</x:v>
      </x:c>
      <x:c r="GL102">
        <x:f t="shared" si="141"/>
        <x:v>0</x:v>
      </x:c>
      <x:c r="GM102">
        <x:f t="shared" si="142"/>
        <x:v>0</x:v>
      </x:c>
      <x:c r="GN102">
        <x:f t="shared" si="143"/>
        <x:v>0</x:v>
      </x:c>
      <x:c r="GO102">
        <x:f t="shared" si="144"/>
        <x:v>0</x:v>
      </x:c>
      <x:c r="GP102">
        <x:f t="shared" si="145"/>
        <x:v>0</x:v>
      </x:c>
      <x:c r="GQ102">
        <x:f t="shared" si="146"/>
        <x:v>0</x:v>
      </x:c>
      <x:c r="GR102" s="42">
        <x:f t="shared" si="147"/>
        <x:v>0</x:v>
      </x:c>
      <x:c r="GS102">
        <x:f t="shared" si="148"/>
        <x:v>0</x:v>
      </x:c>
      <x:c r="GT102">
        <x:f t="shared" si="149"/>
        <x:v>0</x:v>
      </x:c>
      <x:c r="GU102">
        <x:f t="shared" si="150"/>
        <x:v>0</x:v>
      </x:c>
      <x:c r="GV102">
        <x:f t="shared" si="151"/>
        <x:v>0</x:v>
      </x:c>
      <x:c r="GW102">
        <x:f t="shared" si="152"/>
        <x:v>0</x:v>
      </x:c>
      <x:c r="GX102">
        <x:f t="shared" si="153"/>
        <x:v>0</x:v>
      </x:c>
      <x:c r="GY102">
        <x:f t="shared" si="154"/>
        <x:v>0</x:v>
      </x:c>
      <x:c r="GZ102">
        <x:f t="shared" si="155"/>
        <x:v>0</x:v>
      </x:c>
      <x:c r="HA102">
        <x:f t="shared" si="156"/>
        <x:v>0</x:v>
      </x:c>
      <x:c r="HB102" s="42">
        <x:f t="shared" si="157"/>
        <x:v>0</x:v>
      </x:c>
      <x:c r="HC102">
        <x:f t="shared" si="158"/>
        <x:v>0</x:v>
      </x:c>
      <x:c r="HD102">
        <x:f t="shared" si="159"/>
        <x:v>0</x:v>
      </x:c>
      <x:c r="HE102">
        <x:f t="shared" si="160"/>
        <x:v>0</x:v>
      </x:c>
      <x:c r="HF102">
        <x:f t="shared" si="161"/>
        <x:v>0</x:v>
      </x:c>
      <x:c r="HG102">
        <x:f t="shared" si="162"/>
        <x:v>0</x:v>
      </x:c>
      <x:c r="HH102">
        <x:f t="shared" si="163"/>
        <x:v>0</x:v>
      </x:c>
      <x:c r="HI102">
        <x:f t="shared" si="164"/>
        <x:v>0</x:v>
      </x:c>
      <x:c r="HJ102">
        <x:f t="shared" si="165"/>
        <x:v>0</x:v>
      </x:c>
      <x:c r="HK102">
        <x:f t="shared" si="166"/>
        <x:v>0</x:v>
      </x:c>
      <x:c r="HL102">
        <x:f t="shared" si="167"/>
        <x:v>0</x:v>
      </x:c>
    </x:row>
    <x:row r="103">
      <x:c r="D103" s="74"/>
      <x:c r="EQ103">
        <x:f t="shared" si="94"/>
        <x:v>0</x:v>
      </x:c>
      <x:c r="ER103">
        <x:f t="shared" si="95"/>
        <x:v>0</x:v>
      </x:c>
      <x:c r="ES103">
        <x:f t="shared" si="96"/>
        <x:v>0</x:v>
      </x:c>
      <x:c r="ET103">
        <x:f t="shared" si="97"/>
        <x:v>0</x:v>
      </x:c>
      <x:c r="EU103">
        <x:f t="shared" si="98"/>
        <x:v>0</x:v>
      </x:c>
      <x:c r="EV103">
        <x:f t="shared" si="99"/>
        <x:v>0</x:v>
      </x:c>
      <x:c r="EW103">
        <x:f t="shared" si="100"/>
        <x:v>0</x:v>
      </x:c>
      <x:c r="EX103">
        <x:f t="shared" si="101"/>
        <x:v>0</x:v>
      </x:c>
      <x:c r="EY103">
        <x:f t="shared" si="102"/>
        <x:v>0</x:v>
      </x:c>
      <x:c r="EZ103">
        <x:f t="shared" si="103"/>
        <x:v>0</x:v>
      </x:c>
      <x:c r="FA103" s="41">
        <x:f t="shared" si="104"/>
        <x:v>0</x:v>
      </x:c>
      <x:c r="FB103">
        <x:f t="shared" si="105"/>
        <x:v>0</x:v>
      </x:c>
      <x:c r="FC103">
        <x:f t="shared" si="106"/>
        <x:v>0</x:v>
      </x:c>
      <x:c r="FD103">
        <x:f t="shared" si="107"/>
        <x:v>0</x:v>
      </x:c>
      <x:c r="FE103">
        <x:f t="shared" si="108"/>
        <x:v>0</x:v>
      </x:c>
      <x:c r="FF103">
        <x:f t="shared" si="109"/>
        <x:v>0</x:v>
      </x:c>
      <x:c r="FG103">
        <x:f t="shared" si="110"/>
        <x:v>0</x:v>
      </x:c>
      <x:c r="FH103">
        <x:f t="shared" si="111"/>
        <x:v>0</x:v>
      </x:c>
      <x:c r="FI103">
        <x:f t="shared" si="112"/>
        <x:v>0</x:v>
      </x:c>
      <x:c r="FJ103">
        <x:f t="shared" si="113"/>
        <x:v>0</x:v>
      </x:c>
      <x:c r="FK103">
        <x:f t="shared" si="114"/>
        <x:v>0</x:v>
      </x:c>
      <x:c r="FL103" s="41">
        <x:f t="shared" si="115"/>
        <x:v>0</x:v>
      </x:c>
      <x:c r="FM103">
        <x:f t="shared" si="116"/>
        <x:v>0</x:v>
      </x:c>
      <x:c r="FN103">
        <x:f t="shared" si="117"/>
        <x:v>0</x:v>
      </x:c>
      <x:c r="FO103">
        <x:f t="shared" si="118"/>
        <x:v>0</x:v>
      </x:c>
      <x:c r="FP103">
        <x:f t="shared" si="119"/>
        <x:v>0</x:v>
      </x:c>
      <x:c r="FQ103">
        <x:f t="shared" si="120"/>
        <x:v>0</x:v>
      </x:c>
      <x:c r="FR103">
        <x:f t="shared" si="121"/>
        <x:v>0</x:v>
      </x:c>
      <x:c r="FS103">
        <x:f t="shared" si="122"/>
        <x:v>0</x:v>
      </x:c>
      <x:c r="FT103">
        <x:f t="shared" si="123"/>
        <x:v>0</x:v>
      </x:c>
      <x:c r="FU103">
        <x:f t="shared" si="124"/>
        <x:v>0</x:v>
      </x:c>
      <x:c r="FV103">
        <x:f t="shared" si="125"/>
        <x:v>0</x:v>
      </x:c>
      <x:c r="FW103" s="41">
        <x:f t="shared" si="126"/>
        <x:v>0</x:v>
      </x:c>
      <x:c r="FX103">
        <x:f t="shared" si="127"/>
        <x:v>0</x:v>
      </x:c>
      <x:c r="FY103">
        <x:f t="shared" si="128"/>
        <x:v>0</x:v>
      </x:c>
      <x:c r="FZ103">
        <x:f t="shared" si="129"/>
        <x:v>0</x:v>
      </x:c>
      <x:c r="GA103">
        <x:f t="shared" si="130"/>
        <x:v>0</x:v>
      </x:c>
      <x:c r="GB103">
        <x:f t="shared" si="131"/>
        <x:v>0</x:v>
      </x:c>
      <x:c r="GC103">
        <x:f t="shared" si="132"/>
        <x:v>0</x:v>
      </x:c>
      <x:c r="GD103">
        <x:f t="shared" si="133"/>
        <x:v>0</x:v>
      </x:c>
      <x:c r="GE103">
        <x:f t="shared" si="134"/>
        <x:v>0</x:v>
      </x:c>
      <x:c r="GF103">
        <x:f t="shared" si="135"/>
        <x:v>0</x:v>
      </x:c>
      <x:c r="GG103">
        <x:f t="shared" si="136"/>
        <x:v>0</x:v>
      </x:c>
      <x:c r="GH103">
        <x:f t="shared" si="137"/>
        <x:v>0</x:v>
      </x:c>
      <x:c r="GI103">
        <x:f t="shared" si="138"/>
        <x:v>0</x:v>
      </x:c>
      <x:c r="GJ103">
        <x:f t="shared" si="139"/>
        <x:v>0</x:v>
      </x:c>
      <x:c r="GK103">
        <x:f t="shared" si="140"/>
        <x:v>0</x:v>
      </x:c>
      <x:c r="GL103">
        <x:f t="shared" si="141"/>
        <x:v>0</x:v>
      </x:c>
      <x:c r="GM103">
        <x:f t="shared" si="142"/>
        <x:v>0</x:v>
      </x:c>
      <x:c r="GN103">
        <x:f t="shared" si="143"/>
        <x:v>0</x:v>
      </x:c>
      <x:c r="GO103">
        <x:f t="shared" si="144"/>
        <x:v>0</x:v>
      </x:c>
      <x:c r="GP103">
        <x:f t="shared" si="145"/>
        <x:v>0</x:v>
      </x:c>
      <x:c r="GQ103">
        <x:f t="shared" si="146"/>
        <x:v>0</x:v>
      </x:c>
      <x:c r="GR103" s="42">
        <x:f t="shared" si="147"/>
        <x:v>0</x:v>
      </x:c>
      <x:c r="GS103">
        <x:f t="shared" si="148"/>
        <x:v>0</x:v>
      </x:c>
      <x:c r="GT103">
        <x:f t="shared" si="149"/>
        <x:v>0</x:v>
      </x:c>
      <x:c r="GU103">
        <x:f t="shared" si="150"/>
        <x:v>0</x:v>
      </x:c>
      <x:c r="GV103">
        <x:f t="shared" si="151"/>
        <x:v>0</x:v>
      </x:c>
      <x:c r="GW103">
        <x:f t="shared" si="152"/>
        <x:v>0</x:v>
      </x:c>
      <x:c r="GX103">
        <x:f t="shared" si="153"/>
        <x:v>0</x:v>
      </x:c>
      <x:c r="GY103">
        <x:f t="shared" si="154"/>
        <x:v>0</x:v>
      </x:c>
      <x:c r="GZ103">
        <x:f t="shared" si="155"/>
        <x:v>0</x:v>
      </x:c>
      <x:c r="HA103">
        <x:f t="shared" si="156"/>
        <x:v>0</x:v>
      </x:c>
      <x:c r="HB103" s="42">
        <x:f t="shared" si="157"/>
        <x:v>0</x:v>
      </x:c>
      <x:c r="HC103">
        <x:f t="shared" si="158"/>
        <x:v>0</x:v>
      </x:c>
      <x:c r="HD103">
        <x:f t="shared" si="159"/>
        <x:v>0</x:v>
      </x:c>
      <x:c r="HE103">
        <x:f t="shared" si="160"/>
        <x:v>0</x:v>
      </x:c>
      <x:c r="HF103">
        <x:f t="shared" si="161"/>
        <x:v>0</x:v>
      </x:c>
      <x:c r="HG103">
        <x:f t="shared" si="162"/>
        <x:v>0</x:v>
      </x:c>
      <x:c r="HH103">
        <x:f t="shared" si="163"/>
        <x:v>0</x:v>
      </x:c>
      <x:c r="HI103">
        <x:f t="shared" si="164"/>
        <x:v>0</x:v>
      </x:c>
      <x:c r="HJ103">
        <x:f t="shared" si="165"/>
        <x:v>0</x:v>
      </x:c>
      <x:c r="HK103">
        <x:f t="shared" si="166"/>
        <x:v>0</x:v>
      </x:c>
      <x:c r="HL103">
        <x:f t="shared" si="167"/>
        <x:v>0</x:v>
      </x:c>
    </x:row>
    <x:row r="104">
      <x:c r="D104" s="74"/>
      <x:c r="EQ104">
        <x:f t="shared" si="94"/>
        <x:v>0</x:v>
      </x:c>
      <x:c r="ER104">
        <x:f t="shared" si="95"/>
        <x:v>0</x:v>
      </x:c>
      <x:c r="ES104">
        <x:f t="shared" si="96"/>
        <x:v>0</x:v>
      </x:c>
      <x:c r="ET104">
        <x:f t="shared" si="97"/>
        <x:v>0</x:v>
      </x:c>
      <x:c r="EU104">
        <x:f t="shared" si="98"/>
        <x:v>0</x:v>
      </x:c>
      <x:c r="EV104">
        <x:f t="shared" si="99"/>
        <x:v>0</x:v>
      </x:c>
      <x:c r="EW104">
        <x:f t="shared" si="100"/>
        <x:v>0</x:v>
      </x:c>
      <x:c r="EX104">
        <x:f t="shared" si="101"/>
        <x:v>0</x:v>
      </x:c>
      <x:c r="EY104">
        <x:f t="shared" si="102"/>
        <x:v>0</x:v>
      </x:c>
      <x:c r="EZ104">
        <x:f t="shared" si="103"/>
        <x:v>0</x:v>
      </x:c>
      <x:c r="FA104" s="41">
        <x:f t="shared" si="104"/>
        <x:v>0</x:v>
      </x:c>
      <x:c r="FB104">
        <x:f t="shared" si="105"/>
        <x:v>0</x:v>
      </x:c>
      <x:c r="FC104">
        <x:f t="shared" si="106"/>
        <x:v>0</x:v>
      </x:c>
      <x:c r="FD104">
        <x:f t="shared" si="107"/>
        <x:v>0</x:v>
      </x:c>
      <x:c r="FE104">
        <x:f t="shared" si="108"/>
        <x:v>0</x:v>
      </x:c>
      <x:c r="FF104">
        <x:f t="shared" si="109"/>
        <x:v>0</x:v>
      </x:c>
      <x:c r="FG104">
        <x:f t="shared" si="110"/>
        <x:v>0</x:v>
      </x:c>
      <x:c r="FH104">
        <x:f t="shared" si="111"/>
        <x:v>0</x:v>
      </x:c>
      <x:c r="FI104">
        <x:f t="shared" si="112"/>
        <x:v>0</x:v>
      </x:c>
      <x:c r="FJ104">
        <x:f t="shared" si="113"/>
        <x:v>0</x:v>
      </x:c>
      <x:c r="FK104">
        <x:f t="shared" si="114"/>
        <x:v>0</x:v>
      </x:c>
      <x:c r="FL104" s="41">
        <x:f t="shared" si="115"/>
        <x:v>0</x:v>
      </x:c>
      <x:c r="FM104">
        <x:f t="shared" si="116"/>
        <x:v>0</x:v>
      </x:c>
      <x:c r="FN104">
        <x:f t="shared" si="117"/>
        <x:v>0</x:v>
      </x:c>
      <x:c r="FO104">
        <x:f t="shared" si="118"/>
        <x:v>0</x:v>
      </x:c>
      <x:c r="FP104">
        <x:f t="shared" si="119"/>
        <x:v>0</x:v>
      </x:c>
      <x:c r="FQ104">
        <x:f t="shared" si="120"/>
        <x:v>0</x:v>
      </x:c>
      <x:c r="FR104">
        <x:f t="shared" si="121"/>
        <x:v>0</x:v>
      </x:c>
      <x:c r="FS104">
        <x:f t="shared" si="122"/>
        <x:v>0</x:v>
      </x:c>
      <x:c r="FT104">
        <x:f t="shared" si="123"/>
        <x:v>0</x:v>
      </x:c>
      <x:c r="FU104">
        <x:f t="shared" si="124"/>
        <x:v>0</x:v>
      </x:c>
      <x:c r="FV104">
        <x:f t="shared" si="125"/>
        <x:v>0</x:v>
      </x:c>
      <x:c r="FW104" s="41">
        <x:f t="shared" si="126"/>
        <x:v>0</x:v>
      </x:c>
      <x:c r="FX104">
        <x:f t="shared" si="127"/>
        <x:v>0</x:v>
      </x:c>
      <x:c r="FY104">
        <x:f t="shared" si="128"/>
        <x:v>0</x:v>
      </x:c>
      <x:c r="FZ104">
        <x:f t="shared" si="129"/>
        <x:v>0</x:v>
      </x:c>
      <x:c r="GA104">
        <x:f t="shared" si="130"/>
        <x:v>0</x:v>
      </x:c>
      <x:c r="GB104">
        <x:f t="shared" si="131"/>
        <x:v>0</x:v>
      </x:c>
      <x:c r="GC104">
        <x:f t="shared" si="132"/>
        <x:v>0</x:v>
      </x:c>
      <x:c r="GD104">
        <x:f t="shared" si="133"/>
        <x:v>0</x:v>
      </x:c>
      <x:c r="GE104">
        <x:f t="shared" si="134"/>
        <x:v>0</x:v>
      </x:c>
      <x:c r="GF104">
        <x:f t="shared" si="135"/>
        <x:v>0</x:v>
      </x:c>
      <x:c r="GG104">
        <x:f t="shared" si="136"/>
        <x:v>0</x:v>
      </x:c>
      <x:c r="GH104">
        <x:f t="shared" si="137"/>
        <x:v>0</x:v>
      </x:c>
      <x:c r="GI104">
        <x:f t="shared" si="138"/>
        <x:v>0</x:v>
      </x:c>
      <x:c r="GJ104">
        <x:f t="shared" si="139"/>
        <x:v>0</x:v>
      </x:c>
      <x:c r="GK104">
        <x:f t="shared" si="140"/>
        <x:v>0</x:v>
      </x:c>
      <x:c r="GL104">
        <x:f t="shared" si="141"/>
        <x:v>0</x:v>
      </x:c>
      <x:c r="GM104">
        <x:f t="shared" si="142"/>
        <x:v>0</x:v>
      </x:c>
      <x:c r="GN104">
        <x:f t="shared" si="143"/>
        <x:v>0</x:v>
      </x:c>
      <x:c r="GO104">
        <x:f t="shared" si="144"/>
        <x:v>0</x:v>
      </x:c>
      <x:c r="GP104">
        <x:f t="shared" si="145"/>
        <x:v>0</x:v>
      </x:c>
      <x:c r="GQ104">
        <x:f t="shared" si="146"/>
        <x:v>0</x:v>
      </x:c>
      <x:c r="GR104" s="42">
        <x:f t="shared" si="147"/>
        <x:v>0</x:v>
      </x:c>
      <x:c r="GS104">
        <x:f t="shared" si="148"/>
        <x:v>0</x:v>
      </x:c>
      <x:c r="GT104">
        <x:f t="shared" si="149"/>
        <x:v>0</x:v>
      </x:c>
      <x:c r="GU104">
        <x:f t="shared" si="150"/>
        <x:v>0</x:v>
      </x:c>
      <x:c r="GV104">
        <x:f t="shared" si="151"/>
        <x:v>0</x:v>
      </x:c>
      <x:c r="GW104">
        <x:f t="shared" si="152"/>
        <x:v>0</x:v>
      </x:c>
      <x:c r="GX104">
        <x:f t="shared" si="153"/>
        <x:v>0</x:v>
      </x:c>
      <x:c r="GY104">
        <x:f t="shared" si="154"/>
        <x:v>0</x:v>
      </x:c>
      <x:c r="GZ104">
        <x:f t="shared" si="155"/>
        <x:v>0</x:v>
      </x:c>
      <x:c r="HA104">
        <x:f t="shared" si="156"/>
        <x:v>0</x:v>
      </x:c>
      <x:c r="HB104" s="42">
        <x:f t="shared" si="157"/>
        <x:v>0</x:v>
      </x:c>
      <x:c r="HC104">
        <x:f t="shared" si="158"/>
        <x:v>0</x:v>
      </x:c>
      <x:c r="HD104">
        <x:f t="shared" si="159"/>
        <x:v>0</x:v>
      </x:c>
      <x:c r="HE104">
        <x:f t="shared" si="160"/>
        <x:v>0</x:v>
      </x:c>
      <x:c r="HF104">
        <x:f t="shared" si="161"/>
        <x:v>0</x:v>
      </x:c>
      <x:c r="HG104">
        <x:f t="shared" si="162"/>
        <x:v>0</x:v>
      </x:c>
      <x:c r="HH104">
        <x:f t="shared" si="163"/>
        <x:v>0</x:v>
      </x:c>
      <x:c r="HI104">
        <x:f t="shared" si="164"/>
        <x:v>0</x:v>
      </x:c>
      <x:c r="HJ104">
        <x:f t="shared" si="165"/>
        <x:v>0</x:v>
      </x:c>
      <x:c r="HK104">
        <x:f t="shared" si="166"/>
        <x:v>0</x:v>
      </x:c>
      <x:c r="HL104">
        <x:f t="shared" si="167"/>
        <x:v>0</x:v>
      </x:c>
    </x:row>
    <x:row r="105">
      <x:c r="D105" s="74"/>
      <x:c r="EQ105">
        <x:f t="shared" si="94"/>
        <x:v>0</x:v>
      </x:c>
      <x:c r="ER105">
        <x:f t="shared" si="95"/>
        <x:v>0</x:v>
      </x:c>
      <x:c r="ES105">
        <x:f t="shared" si="96"/>
        <x:v>0</x:v>
      </x:c>
      <x:c r="ET105">
        <x:f t="shared" si="97"/>
        <x:v>0</x:v>
      </x:c>
      <x:c r="EU105">
        <x:f t="shared" si="98"/>
        <x:v>0</x:v>
      </x:c>
      <x:c r="EV105">
        <x:f t="shared" si="99"/>
        <x:v>0</x:v>
      </x:c>
      <x:c r="EW105">
        <x:f t="shared" si="100"/>
        <x:v>0</x:v>
      </x:c>
      <x:c r="EX105">
        <x:f t="shared" si="101"/>
        <x:v>0</x:v>
      </x:c>
      <x:c r="EY105">
        <x:f t="shared" si="102"/>
        <x:v>0</x:v>
      </x:c>
      <x:c r="EZ105">
        <x:f t="shared" si="103"/>
        <x:v>0</x:v>
      </x:c>
      <x:c r="FA105" s="41">
        <x:f t="shared" si="104"/>
        <x:v>0</x:v>
      </x:c>
      <x:c r="FB105">
        <x:f t="shared" si="105"/>
        <x:v>0</x:v>
      </x:c>
      <x:c r="FC105">
        <x:f t="shared" si="106"/>
        <x:v>0</x:v>
      </x:c>
      <x:c r="FD105">
        <x:f t="shared" si="107"/>
        <x:v>0</x:v>
      </x:c>
      <x:c r="FE105">
        <x:f t="shared" si="108"/>
        <x:v>0</x:v>
      </x:c>
      <x:c r="FF105">
        <x:f t="shared" si="109"/>
        <x:v>0</x:v>
      </x:c>
      <x:c r="FG105">
        <x:f t="shared" si="110"/>
        <x:v>0</x:v>
      </x:c>
      <x:c r="FH105">
        <x:f t="shared" si="111"/>
        <x:v>0</x:v>
      </x:c>
      <x:c r="FI105">
        <x:f t="shared" si="112"/>
        <x:v>0</x:v>
      </x:c>
      <x:c r="FJ105">
        <x:f t="shared" si="113"/>
        <x:v>0</x:v>
      </x:c>
      <x:c r="FK105">
        <x:f t="shared" si="114"/>
        <x:v>0</x:v>
      </x:c>
      <x:c r="FL105" s="41">
        <x:f t="shared" si="115"/>
        <x:v>0</x:v>
      </x:c>
      <x:c r="FM105">
        <x:f t="shared" si="116"/>
        <x:v>0</x:v>
      </x:c>
      <x:c r="FN105">
        <x:f t="shared" si="117"/>
        <x:v>0</x:v>
      </x:c>
      <x:c r="FO105">
        <x:f t="shared" si="118"/>
        <x:v>0</x:v>
      </x:c>
      <x:c r="FP105">
        <x:f t="shared" si="119"/>
        <x:v>0</x:v>
      </x:c>
      <x:c r="FQ105">
        <x:f t="shared" si="120"/>
        <x:v>0</x:v>
      </x:c>
      <x:c r="FR105">
        <x:f t="shared" si="121"/>
        <x:v>0</x:v>
      </x:c>
      <x:c r="FS105">
        <x:f t="shared" si="122"/>
        <x:v>0</x:v>
      </x:c>
      <x:c r="FT105">
        <x:f t="shared" si="123"/>
        <x:v>0</x:v>
      </x:c>
      <x:c r="FU105">
        <x:f t="shared" si="124"/>
        <x:v>0</x:v>
      </x:c>
      <x:c r="FV105">
        <x:f t="shared" si="125"/>
        <x:v>0</x:v>
      </x:c>
      <x:c r="FW105" s="41">
        <x:f t="shared" si="126"/>
        <x:v>0</x:v>
      </x:c>
      <x:c r="FX105">
        <x:f t="shared" si="127"/>
        <x:v>0</x:v>
      </x:c>
      <x:c r="FY105">
        <x:f t="shared" si="128"/>
        <x:v>0</x:v>
      </x:c>
      <x:c r="FZ105">
        <x:f t="shared" si="129"/>
        <x:v>0</x:v>
      </x:c>
      <x:c r="GA105">
        <x:f t="shared" si="130"/>
        <x:v>0</x:v>
      </x:c>
      <x:c r="GB105">
        <x:f t="shared" si="131"/>
        <x:v>0</x:v>
      </x:c>
      <x:c r="GC105">
        <x:f t="shared" si="132"/>
        <x:v>0</x:v>
      </x:c>
      <x:c r="GD105">
        <x:f t="shared" si="133"/>
        <x:v>0</x:v>
      </x:c>
      <x:c r="GE105">
        <x:f t="shared" si="134"/>
        <x:v>0</x:v>
      </x:c>
      <x:c r="GF105">
        <x:f t="shared" si="135"/>
        <x:v>0</x:v>
      </x:c>
      <x:c r="GG105">
        <x:f t="shared" si="136"/>
        <x:v>0</x:v>
      </x:c>
      <x:c r="GH105">
        <x:f t="shared" si="137"/>
        <x:v>0</x:v>
      </x:c>
      <x:c r="GI105">
        <x:f t="shared" si="138"/>
        <x:v>0</x:v>
      </x:c>
      <x:c r="GJ105">
        <x:f t="shared" si="139"/>
        <x:v>0</x:v>
      </x:c>
      <x:c r="GK105">
        <x:f t="shared" si="140"/>
        <x:v>0</x:v>
      </x:c>
      <x:c r="GL105">
        <x:f t="shared" si="141"/>
        <x:v>0</x:v>
      </x:c>
      <x:c r="GM105">
        <x:f t="shared" si="142"/>
        <x:v>0</x:v>
      </x:c>
      <x:c r="GN105">
        <x:f t="shared" si="143"/>
        <x:v>0</x:v>
      </x:c>
      <x:c r="GO105">
        <x:f t="shared" si="144"/>
        <x:v>0</x:v>
      </x:c>
      <x:c r="GP105">
        <x:f t="shared" si="145"/>
        <x:v>0</x:v>
      </x:c>
      <x:c r="GQ105">
        <x:f t="shared" si="146"/>
        <x:v>0</x:v>
      </x:c>
      <x:c r="GR105" s="42">
        <x:f t="shared" si="147"/>
        <x:v>0</x:v>
      </x:c>
      <x:c r="GS105">
        <x:f t="shared" si="148"/>
        <x:v>0</x:v>
      </x:c>
      <x:c r="GT105">
        <x:f t="shared" si="149"/>
        <x:v>0</x:v>
      </x:c>
      <x:c r="GU105">
        <x:f t="shared" si="150"/>
        <x:v>0</x:v>
      </x:c>
      <x:c r="GV105">
        <x:f t="shared" si="151"/>
        <x:v>0</x:v>
      </x:c>
      <x:c r="GW105">
        <x:f t="shared" si="152"/>
        <x:v>0</x:v>
      </x:c>
      <x:c r="GX105">
        <x:f t="shared" si="153"/>
        <x:v>0</x:v>
      </x:c>
      <x:c r="GY105">
        <x:f t="shared" si="154"/>
        <x:v>0</x:v>
      </x:c>
      <x:c r="GZ105">
        <x:f t="shared" si="155"/>
        <x:v>0</x:v>
      </x:c>
      <x:c r="HA105">
        <x:f t="shared" si="156"/>
        <x:v>0</x:v>
      </x:c>
      <x:c r="HB105" s="42">
        <x:f t="shared" si="157"/>
        <x:v>0</x:v>
      </x:c>
      <x:c r="HC105">
        <x:f t="shared" si="158"/>
        <x:v>0</x:v>
      </x:c>
      <x:c r="HD105">
        <x:f t="shared" si="159"/>
        <x:v>0</x:v>
      </x:c>
      <x:c r="HE105">
        <x:f t="shared" si="160"/>
        <x:v>0</x:v>
      </x:c>
      <x:c r="HF105">
        <x:f t="shared" si="161"/>
        <x:v>0</x:v>
      </x:c>
      <x:c r="HG105">
        <x:f t="shared" si="162"/>
        <x:v>0</x:v>
      </x:c>
      <x:c r="HH105">
        <x:f t="shared" si="163"/>
        <x:v>0</x:v>
      </x:c>
      <x:c r="HI105">
        <x:f t="shared" si="164"/>
        <x:v>0</x:v>
      </x:c>
      <x:c r="HJ105">
        <x:f t="shared" si="165"/>
        <x:v>0</x:v>
      </x:c>
      <x:c r="HK105">
        <x:f t="shared" si="166"/>
        <x:v>0</x:v>
      </x:c>
      <x:c r="HL105">
        <x:f t="shared" si="167"/>
        <x:v>0</x:v>
      </x:c>
    </x:row>
    <x:row r="106">
      <x:c r="D106" s="74"/>
      <x:c r="EQ106">
        <x:f t="shared" si="94"/>
        <x:v>0</x:v>
      </x:c>
      <x:c r="ER106">
        <x:f t="shared" si="95"/>
        <x:v>0</x:v>
      </x:c>
      <x:c r="ES106">
        <x:f t="shared" si="96"/>
        <x:v>0</x:v>
      </x:c>
      <x:c r="ET106">
        <x:f t="shared" si="97"/>
        <x:v>0</x:v>
      </x:c>
      <x:c r="EU106">
        <x:f t="shared" si="98"/>
        <x:v>0</x:v>
      </x:c>
      <x:c r="EV106">
        <x:f t="shared" si="99"/>
        <x:v>0</x:v>
      </x:c>
      <x:c r="EW106">
        <x:f t="shared" si="100"/>
        <x:v>0</x:v>
      </x:c>
      <x:c r="EX106">
        <x:f t="shared" si="101"/>
        <x:v>0</x:v>
      </x:c>
      <x:c r="EY106">
        <x:f t="shared" si="102"/>
        <x:v>0</x:v>
      </x:c>
      <x:c r="EZ106">
        <x:f t="shared" si="103"/>
        <x:v>0</x:v>
      </x:c>
      <x:c r="FA106" s="41">
        <x:f t="shared" si="104"/>
        <x:v>0</x:v>
      </x:c>
      <x:c r="FB106">
        <x:f t="shared" si="105"/>
        <x:v>0</x:v>
      </x:c>
      <x:c r="FC106">
        <x:f t="shared" si="106"/>
        <x:v>0</x:v>
      </x:c>
      <x:c r="FD106">
        <x:f t="shared" si="107"/>
        <x:v>0</x:v>
      </x:c>
      <x:c r="FE106">
        <x:f t="shared" si="108"/>
        <x:v>0</x:v>
      </x:c>
      <x:c r="FF106">
        <x:f t="shared" si="109"/>
        <x:v>0</x:v>
      </x:c>
      <x:c r="FG106">
        <x:f t="shared" si="110"/>
        <x:v>0</x:v>
      </x:c>
      <x:c r="FH106">
        <x:f t="shared" si="111"/>
        <x:v>0</x:v>
      </x:c>
      <x:c r="FI106">
        <x:f t="shared" si="112"/>
        <x:v>0</x:v>
      </x:c>
      <x:c r="FJ106">
        <x:f t="shared" si="113"/>
        <x:v>0</x:v>
      </x:c>
      <x:c r="FK106">
        <x:f t="shared" si="114"/>
        <x:v>0</x:v>
      </x:c>
      <x:c r="FL106" s="41">
        <x:f t="shared" si="115"/>
        <x:v>0</x:v>
      </x:c>
      <x:c r="FM106">
        <x:f t="shared" si="116"/>
        <x:v>0</x:v>
      </x:c>
      <x:c r="FN106">
        <x:f t="shared" si="117"/>
        <x:v>0</x:v>
      </x:c>
      <x:c r="FO106">
        <x:f t="shared" si="118"/>
        <x:v>0</x:v>
      </x:c>
      <x:c r="FP106">
        <x:f t="shared" si="119"/>
        <x:v>0</x:v>
      </x:c>
      <x:c r="FQ106">
        <x:f t="shared" si="120"/>
        <x:v>0</x:v>
      </x:c>
      <x:c r="FR106">
        <x:f t="shared" si="121"/>
        <x:v>0</x:v>
      </x:c>
      <x:c r="FS106">
        <x:f t="shared" si="122"/>
        <x:v>0</x:v>
      </x:c>
      <x:c r="FT106">
        <x:f t="shared" si="123"/>
        <x:v>0</x:v>
      </x:c>
      <x:c r="FU106">
        <x:f t="shared" si="124"/>
        <x:v>0</x:v>
      </x:c>
      <x:c r="FV106">
        <x:f t="shared" si="125"/>
        <x:v>0</x:v>
      </x:c>
      <x:c r="FW106" s="41">
        <x:f t="shared" si="126"/>
        <x:v>0</x:v>
      </x:c>
      <x:c r="FX106">
        <x:f t="shared" si="127"/>
        <x:v>0</x:v>
      </x:c>
      <x:c r="FY106">
        <x:f t="shared" si="128"/>
        <x:v>0</x:v>
      </x:c>
      <x:c r="FZ106">
        <x:f t="shared" si="129"/>
        <x:v>0</x:v>
      </x:c>
      <x:c r="GA106">
        <x:f t="shared" si="130"/>
        <x:v>0</x:v>
      </x:c>
      <x:c r="GB106">
        <x:f t="shared" si="131"/>
        <x:v>0</x:v>
      </x:c>
      <x:c r="GC106">
        <x:f t="shared" si="132"/>
        <x:v>0</x:v>
      </x:c>
      <x:c r="GD106">
        <x:f t="shared" si="133"/>
        <x:v>0</x:v>
      </x:c>
      <x:c r="GE106">
        <x:f t="shared" si="134"/>
        <x:v>0</x:v>
      </x:c>
      <x:c r="GF106">
        <x:f t="shared" si="135"/>
        <x:v>0</x:v>
      </x:c>
      <x:c r="GG106">
        <x:f t="shared" si="136"/>
        <x:v>0</x:v>
      </x:c>
      <x:c r="GH106">
        <x:f t="shared" si="137"/>
        <x:v>0</x:v>
      </x:c>
      <x:c r="GI106">
        <x:f t="shared" si="138"/>
        <x:v>0</x:v>
      </x:c>
      <x:c r="GJ106">
        <x:f t="shared" si="139"/>
        <x:v>0</x:v>
      </x:c>
      <x:c r="GK106">
        <x:f t="shared" si="140"/>
        <x:v>0</x:v>
      </x:c>
      <x:c r="GL106">
        <x:f t="shared" si="141"/>
        <x:v>0</x:v>
      </x:c>
      <x:c r="GM106">
        <x:f t="shared" si="142"/>
        <x:v>0</x:v>
      </x:c>
      <x:c r="GN106">
        <x:f t="shared" si="143"/>
        <x:v>0</x:v>
      </x:c>
      <x:c r="GO106">
        <x:f t="shared" si="144"/>
        <x:v>0</x:v>
      </x:c>
      <x:c r="GP106">
        <x:f t="shared" si="145"/>
        <x:v>0</x:v>
      </x:c>
      <x:c r="GQ106">
        <x:f t="shared" si="146"/>
        <x:v>0</x:v>
      </x:c>
      <x:c r="GR106" s="42">
        <x:f t="shared" si="147"/>
        <x:v>0</x:v>
      </x:c>
      <x:c r="GS106">
        <x:f t="shared" si="148"/>
        <x:v>0</x:v>
      </x:c>
      <x:c r="GT106">
        <x:f t="shared" si="149"/>
        <x:v>0</x:v>
      </x:c>
      <x:c r="GU106">
        <x:f t="shared" si="150"/>
        <x:v>0</x:v>
      </x:c>
      <x:c r="GV106">
        <x:f t="shared" si="151"/>
        <x:v>0</x:v>
      </x:c>
      <x:c r="GW106">
        <x:f t="shared" si="152"/>
        <x:v>0</x:v>
      </x:c>
      <x:c r="GX106">
        <x:f t="shared" si="153"/>
        <x:v>0</x:v>
      </x:c>
      <x:c r="GY106">
        <x:f t="shared" si="154"/>
        <x:v>0</x:v>
      </x:c>
      <x:c r="GZ106">
        <x:f t="shared" si="155"/>
        <x:v>0</x:v>
      </x:c>
      <x:c r="HA106">
        <x:f t="shared" si="156"/>
        <x:v>0</x:v>
      </x:c>
      <x:c r="HB106" s="42">
        <x:f t="shared" si="157"/>
        <x:v>0</x:v>
      </x:c>
      <x:c r="HC106">
        <x:f t="shared" si="158"/>
        <x:v>0</x:v>
      </x:c>
      <x:c r="HD106">
        <x:f t="shared" si="159"/>
        <x:v>0</x:v>
      </x:c>
      <x:c r="HE106">
        <x:f t="shared" si="160"/>
        <x:v>0</x:v>
      </x:c>
      <x:c r="HF106">
        <x:f t="shared" si="161"/>
        <x:v>0</x:v>
      </x:c>
      <x:c r="HG106">
        <x:f t="shared" si="162"/>
        <x:v>0</x:v>
      </x:c>
      <x:c r="HH106">
        <x:f t="shared" si="163"/>
        <x:v>0</x:v>
      </x:c>
      <x:c r="HI106">
        <x:f t="shared" si="164"/>
        <x:v>0</x:v>
      </x:c>
      <x:c r="HJ106">
        <x:f t="shared" si="165"/>
        <x:v>0</x:v>
      </x:c>
      <x:c r="HK106">
        <x:f t="shared" si="166"/>
        <x:v>0</x:v>
      </x:c>
      <x:c r="HL106">
        <x:f t="shared" si="167"/>
        <x:v>0</x:v>
      </x:c>
    </x:row>
    <x:row r="107">
      <x:c r="D107" s="74"/>
      <x:c r="EQ107">
        <x:f t="shared" si="94"/>
        <x:v>0</x:v>
      </x:c>
      <x:c r="ER107">
        <x:f t="shared" si="95"/>
        <x:v>0</x:v>
      </x:c>
      <x:c r="ES107">
        <x:f t="shared" si="96"/>
        <x:v>0</x:v>
      </x:c>
      <x:c r="ET107">
        <x:f t="shared" si="97"/>
        <x:v>0</x:v>
      </x:c>
      <x:c r="EU107">
        <x:f t="shared" si="98"/>
        <x:v>0</x:v>
      </x:c>
      <x:c r="EV107">
        <x:f t="shared" si="99"/>
        <x:v>0</x:v>
      </x:c>
      <x:c r="EW107">
        <x:f t="shared" si="100"/>
        <x:v>0</x:v>
      </x:c>
      <x:c r="EX107">
        <x:f t="shared" si="101"/>
        <x:v>0</x:v>
      </x:c>
      <x:c r="EY107">
        <x:f t="shared" si="102"/>
        <x:v>0</x:v>
      </x:c>
      <x:c r="EZ107">
        <x:f t="shared" si="103"/>
        <x:v>0</x:v>
      </x:c>
      <x:c r="FA107" s="41">
        <x:f t="shared" si="104"/>
        <x:v>0</x:v>
      </x:c>
      <x:c r="FB107">
        <x:f t="shared" si="105"/>
        <x:v>0</x:v>
      </x:c>
      <x:c r="FC107">
        <x:f t="shared" si="106"/>
        <x:v>0</x:v>
      </x:c>
      <x:c r="FD107">
        <x:f t="shared" si="107"/>
        <x:v>0</x:v>
      </x:c>
      <x:c r="FE107">
        <x:f t="shared" si="108"/>
        <x:v>0</x:v>
      </x:c>
      <x:c r="FF107">
        <x:f t="shared" si="109"/>
        <x:v>0</x:v>
      </x:c>
      <x:c r="FG107">
        <x:f t="shared" si="110"/>
        <x:v>0</x:v>
      </x:c>
      <x:c r="FH107">
        <x:f t="shared" si="111"/>
        <x:v>0</x:v>
      </x:c>
      <x:c r="FI107">
        <x:f t="shared" si="112"/>
        <x:v>0</x:v>
      </x:c>
      <x:c r="FJ107">
        <x:f t="shared" si="113"/>
        <x:v>0</x:v>
      </x:c>
      <x:c r="FK107">
        <x:f t="shared" si="114"/>
        <x:v>0</x:v>
      </x:c>
      <x:c r="FL107" s="41">
        <x:f t="shared" si="115"/>
        <x:v>0</x:v>
      </x:c>
      <x:c r="FM107">
        <x:f t="shared" si="116"/>
        <x:v>0</x:v>
      </x:c>
      <x:c r="FN107">
        <x:f t="shared" si="117"/>
        <x:v>0</x:v>
      </x:c>
      <x:c r="FO107">
        <x:f t="shared" si="118"/>
        <x:v>0</x:v>
      </x:c>
      <x:c r="FP107">
        <x:f t="shared" si="119"/>
        <x:v>0</x:v>
      </x:c>
      <x:c r="FQ107">
        <x:f t="shared" si="120"/>
        <x:v>0</x:v>
      </x:c>
      <x:c r="FR107">
        <x:f t="shared" si="121"/>
        <x:v>0</x:v>
      </x:c>
      <x:c r="FS107">
        <x:f t="shared" si="122"/>
        <x:v>0</x:v>
      </x:c>
      <x:c r="FT107">
        <x:f t="shared" si="123"/>
        <x:v>0</x:v>
      </x:c>
      <x:c r="FU107">
        <x:f t="shared" si="124"/>
        <x:v>0</x:v>
      </x:c>
      <x:c r="FV107">
        <x:f t="shared" si="125"/>
        <x:v>0</x:v>
      </x:c>
      <x:c r="FW107" s="41">
        <x:f t="shared" si="126"/>
        <x:v>0</x:v>
      </x:c>
      <x:c r="FX107">
        <x:f t="shared" si="127"/>
        <x:v>0</x:v>
      </x:c>
      <x:c r="FY107">
        <x:f t="shared" si="128"/>
        <x:v>0</x:v>
      </x:c>
      <x:c r="FZ107">
        <x:f t="shared" si="129"/>
        <x:v>0</x:v>
      </x:c>
      <x:c r="GA107">
        <x:f t="shared" si="130"/>
        <x:v>0</x:v>
      </x:c>
      <x:c r="GB107">
        <x:f t="shared" si="131"/>
        <x:v>0</x:v>
      </x:c>
      <x:c r="GC107">
        <x:f t="shared" si="132"/>
        <x:v>0</x:v>
      </x:c>
      <x:c r="GD107">
        <x:f t="shared" si="133"/>
        <x:v>0</x:v>
      </x:c>
      <x:c r="GE107">
        <x:f t="shared" si="134"/>
        <x:v>0</x:v>
      </x:c>
      <x:c r="GF107">
        <x:f t="shared" si="135"/>
        <x:v>0</x:v>
      </x:c>
      <x:c r="GG107">
        <x:f t="shared" si="136"/>
        <x:v>0</x:v>
      </x:c>
      <x:c r="GH107">
        <x:f t="shared" si="137"/>
        <x:v>0</x:v>
      </x:c>
      <x:c r="GI107">
        <x:f t="shared" si="138"/>
        <x:v>0</x:v>
      </x:c>
      <x:c r="GJ107">
        <x:f t="shared" si="139"/>
        <x:v>0</x:v>
      </x:c>
      <x:c r="GK107">
        <x:f t="shared" si="140"/>
        <x:v>0</x:v>
      </x:c>
      <x:c r="GL107">
        <x:f t="shared" si="141"/>
        <x:v>0</x:v>
      </x:c>
      <x:c r="GM107">
        <x:f t="shared" si="142"/>
        <x:v>0</x:v>
      </x:c>
      <x:c r="GN107">
        <x:f t="shared" si="143"/>
        <x:v>0</x:v>
      </x:c>
      <x:c r="GO107">
        <x:f t="shared" si="144"/>
        <x:v>0</x:v>
      </x:c>
      <x:c r="GP107">
        <x:f t="shared" si="145"/>
        <x:v>0</x:v>
      </x:c>
      <x:c r="GQ107">
        <x:f t="shared" si="146"/>
        <x:v>0</x:v>
      </x:c>
      <x:c r="GR107" s="42">
        <x:f t="shared" si="147"/>
        <x:v>0</x:v>
      </x:c>
      <x:c r="GS107">
        <x:f t="shared" si="148"/>
        <x:v>0</x:v>
      </x:c>
      <x:c r="GT107">
        <x:f t="shared" si="149"/>
        <x:v>0</x:v>
      </x:c>
      <x:c r="GU107">
        <x:f t="shared" si="150"/>
        <x:v>0</x:v>
      </x:c>
      <x:c r="GV107">
        <x:f t="shared" si="151"/>
        <x:v>0</x:v>
      </x:c>
      <x:c r="GW107">
        <x:f t="shared" si="152"/>
        <x:v>0</x:v>
      </x:c>
      <x:c r="GX107">
        <x:f t="shared" si="153"/>
        <x:v>0</x:v>
      </x:c>
      <x:c r="GY107">
        <x:f t="shared" si="154"/>
        <x:v>0</x:v>
      </x:c>
      <x:c r="GZ107">
        <x:f t="shared" si="155"/>
        <x:v>0</x:v>
      </x:c>
      <x:c r="HA107">
        <x:f t="shared" si="156"/>
        <x:v>0</x:v>
      </x:c>
      <x:c r="HB107" s="42">
        <x:f t="shared" si="157"/>
        <x:v>0</x:v>
      </x:c>
      <x:c r="HC107">
        <x:f t="shared" si="158"/>
        <x:v>0</x:v>
      </x:c>
      <x:c r="HD107">
        <x:f t="shared" si="159"/>
        <x:v>0</x:v>
      </x:c>
      <x:c r="HE107">
        <x:f t="shared" si="160"/>
        <x:v>0</x:v>
      </x:c>
      <x:c r="HF107">
        <x:f t="shared" si="161"/>
        <x:v>0</x:v>
      </x:c>
      <x:c r="HG107">
        <x:f t="shared" si="162"/>
        <x:v>0</x:v>
      </x:c>
      <x:c r="HH107">
        <x:f t="shared" si="163"/>
        <x:v>0</x:v>
      </x:c>
      <x:c r="HI107">
        <x:f t="shared" si="164"/>
        <x:v>0</x:v>
      </x:c>
      <x:c r="HJ107">
        <x:f t="shared" si="165"/>
        <x:v>0</x:v>
      </x:c>
      <x:c r="HK107">
        <x:f t="shared" si="166"/>
        <x:v>0</x:v>
      </x:c>
      <x:c r="HL107">
        <x:f t="shared" si="167"/>
        <x:v>0</x:v>
      </x:c>
    </x:row>
    <x:row r="108">
      <x:c r="D108" s="74"/>
      <x:c r="EQ108">
        <x:f t="shared" si="94"/>
        <x:v>0</x:v>
      </x:c>
      <x:c r="ER108">
        <x:f t="shared" si="95"/>
        <x:v>0</x:v>
      </x:c>
      <x:c r="ES108">
        <x:f t="shared" si="96"/>
        <x:v>0</x:v>
      </x:c>
      <x:c r="ET108">
        <x:f t="shared" si="97"/>
        <x:v>0</x:v>
      </x:c>
      <x:c r="EU108">
        <x:f t="shared" si="98"/>
        <x:v>0</x:v>
      </x:c>
      <x:c r="EV108">
        <x:f t="shared" si="99"/>
        <x:v>0</x:v>
      </x:c>
      <x:c r="EW108">
        <x:f t="shared" si="100"/>
        <x:v>0</x:v>
      </x:c>
      <x:c r="EX108">
        <x:f t="shared" si="101"/>
        <x:v>0</x:v>
      </x:c>
      <x:c r="EY108">
        <x:f t="shared" si="102"/>
        <x:v>0</x:v>
      </x:c>
      <x:c r="EZ108">
        <x:f t="shared" si="103"/>
        <x:v>0</x:v>
      </x:c>
      <x:c r="FA108" s="41">
        <x:f t="shared" si="104"/>
        <x:v>0</x:v>
      </x:c>
      <x:c r="FB108">
        <x:f t="shared" si="105"/>
        <x:v>0</x:v>
      </x:c>
      <x:c r="FC108">
        <x:f t="shared" si="106"/>
        <x:v>0</x:v>
      </x:c>
      <x:c r="FD108">
        <x:f t="shared" si="107"/>
        <x:v>0</x:v>
      </x:c>
      <x:c r="FE108">
        <x:f t="shared" si="108"/>
        <x:v>0</x:v>
      </x:c>
      <x:c r="FF108">
        <x:f t="shared" si="109"/>
        <x:v>0</x:v>
      </x:c>
      <x:c r="FG108">
        <x:f t="shared" si="110"/>
        <x:v>0</x:v>
      </x:c>
      <x:c r="FH108">
        <x:f t="shared" si="111"/>
        <x:v>0</x:v>
      </x:c>
      <x:c r="FI108">
        <x:f t="shared" si="112"/>
        <x:v>0</x:v>
      </x:c>
      <x:c r="FJ108">
        <x:f t="shared" si="113"/>
        <x:v>0</x:v>
      </x:c>
      <x:c r="FK108">
        <x:f t="shared" si="114"/>
        <x:v>0</x:v>
      </x:c>
      <x:c r="FL108" s="41">
        <x:f t="shared" si="115"/>
        <x:v>0</x:v>
      </x:c>
      <x:c r="FM108">
        <x:f t="shared" si="116"/>
        <x:v>0</x:v>
      </x:c>
      <x:c r="FN108">
        <x:f t="shared" si="117"/>
        <x:v>0</x:v>
      </x:c>
      <x:c r="FO108">
        <x:f t="shared" si="118"/>
        <x:v>0</x:v>
      </x:c>
      <x:c r="FP108">
        <x:f t="shared" si="119"/>
        <x:v>0</x:v>
      </x:c>
      <x:c r="FQ108">
        <x:f t="shared" si="120"/>
        <x:v>0</x:v>
      </x:c>
      <x:c r="FR108">
        <x:f t="shared" si="121"/>
        <x:v>0</x:v>
      </x:c>
      <x:c r="FS108">
        <x:f t="shared" si="122"/>
        <x:v>0</x:v>
      </x:c>
      <x:c r="FT108">
        <x:f t="shared" si="123"/>
        <x:v>0</x:v>
      </x:c>
      <x:c r="FU108">
        <x:f t="shared" si="124"/>
        <x:v>0</x:v>
      </x:c>
      <x:c r="FV108">
        <x:f t="shared" si="125"/>
        <x:v>0</x:v>
      </x:c>
      <x:c r="FW108" s="41">
        <x:f t="shared" si="126"/>
        <x:v>0</x:v>
      </x:c>
      <x:c r="FX108">
        <x:f t="shared" si="127"/>
        <x:v>0</x:v>
      </x:c>
      <x:c r="FY108">
        <x:f t="shared" si="128"/>
        <x:v>0</x:v>
      </x:c>
      <x:c r="FZ108">
        <x:f t="shared" si="129"/>
        <x:v>0</x:v>
      </x:c>
      <x:c r="GA108">
        <x:f t="shared" si="130"/>
        <x:v>0</x:v>
      </x:c>
      <x:c r="GB108">
        <x:f t="shared" si="131"/>
        <x:v>0</x:v>
      </x:c>
      <x:c r="GC108">
        <x:f t="shared" si="132"/>
        <x:v>0</x:v>
      </x:c>
      <x:c r="GD108">
        <x:f t="shared" si="133"/>
        <x:v>0</x:v>
      </x:c>
      <x:c r="GE108">
        <x:f t="shared" si="134"/>
        <x:v>0</x:v>
      </x:c>
      <x:c r="GF108">
        <x:f t="shared" si="135"/>
        <x:v>0</x:v>
      </x:c>
      <x:c r="GG108">
        <x:f t="shared" si="136"/>
        <x:v>0</x:v>
      </x:c>
      <x:c r="GH108">
        <x:f t="shared" si="137"/>
        <x:v>0</x:v>
      </x:c>
      <x:c r="GI108">
        <x:f t="shared" si="138"/>
        <x:v>0</x:v>
      </x:c>
      <x:c r="GJ108">
        <x:f t="shared" si="139"/>
        <x:v>0</x:v>
      </x:c>
      <x:c r="GK108">
        <x:f t="shared" si="140"/>
        <x:v>0</x:v>
      </x:c>
      <x:c r="GL108">
        <x:f t="shared" si="141"/>
        <x:v>0</x:v>
      </x:c>
      <x:c r="GM108">
        <x:f t="shared" si="142"/>
        <x:v>0</x:v>
      </x:c>
      <x:c r="GN108">
        <x:f t="shared" si="143"/>
        <x:v>0</x:v>
      </x:c>
      <x:c r="GO108">
        <x:f t="shared" si="144"/>
        <x:v>0</x:v>
      </x:c>
      <x:c r="GP108">
        <x:f t="shared" si="145"/>
        <x:v>0</x:v>
      </x:c>
      <x:c r="GQ108">
        <x:f t="shared" si="146"/>
        <x:v>0</x:v>
      </x:c>
      <x:c r="GR108" s="42">
        <x:f t="shared" si="147"/>
        <x:v>0</x:v>
      </x:c>
      <x:c r="GS108">
        <x:f t="shared" si="148"/>
        <x:v>0</x:v>
      </x:c>
      <x:c r="GT108">
        <x:f t="shared" si="149"/>
        <x:v>0</x:v>
      </x:c>
      <x:c r="GU108">
        <x:f t="shared" si="150"/>
        <x:v>0</x:v>
      </x:c>
      <x:c r="GV108">
        <x:f t="shared" si="151"/>
        <x:v>0</x:v>
      </x:c>
      <x:c r="GW108">
        <x:f t="shared" si="152"/>
        <x:v>0</x:v>
      </x:c>
      <x:c r="GX108">
        <x:f t="shared" si="153"/>
        <x:v>0</x:v>
      </x:c>
      <x:c r="GY108">
        <x:f t="shared" si="154"/>
        <x:v>0</x:v>
      </x:c>
      <x:c r="GZ108">
        <x:f t="shared" si="155"/>
        <x:v>0</x:v>
      </x:c>
      <x:c r="HA108">
        <x:f t="shared" si="156"/>
        <x:v>0</x:v>
      </x:c>
      <x:c r="HB108" s="42">
        <x:f t="shared" si="157"/>
        <x:v>0</x:v>
      </x:c>
      <x:c r="HC108">
        <x:f t="shared" si="158"/>
        <x:v>0</x:v>
      </x:c>
      <x:c r="HD108">
        <x:f t="shared" si="159"/>
        <x:v>0</x:v>
      </x:c>
      <x:c r="HE108">
        <x:f t="shared" si="160"/>
        <x:v>0</x:v>
      </x:c>
      <x:c r="HF108">
        <x:f t="shared" si="161"/>
        <x:v>0</x:v>
      </x:c>
      <x:c r="HG108">
        <x:f t="shared" si="162"/>
        <x:v>0</x:v>
      </x:c>
      <x:c r="HH108">
        <x:f t="shared" si="163"/>
        <x:v>0</x:v>
      </x:c>
      <x:c r="HI108">
        <x:f t="shared" si="164"/>
        <x:v>0</x:v>
      </x:c>
      <x:c r="HJ108">
        <x:f t="shared" si="165"/>
        <x:v>0</x:v>
      </x:c>
      <x:c r="HK108">
        <x:f t="shared" si="166"/>
        <x:v>0</x:v>
      </x:c>
      <x:c r="HL108">
        <x:f t="shared" si="167"/>
        <x:v>0</x:v>
      </x:c>
    </x:row>
    <x:row r="109">
      <x:c r="D109" s="74"/>
      <x:c r="EQ109">
        <x:f t="shared" si="94"/>
        <x:v>0</x:v>
      </x:c>
      <x:c r="ER109">
        <x:f t="shared" si="95"/>
        <x:v>0</x:v>
      </x:c>
      <x:c r="ES109">
        <x:f t="shared" si="96"/>
        <x:v>0</x:v>
      </x:c>
      <x:c r="ET109">
        <x:f t="shared" si="97"/>
        <x:v>0</x:v>
      </x:c>
      <x:c r="EU109">
        <x:f t="shared" si="98"/>
        <x:v>0</x:v>
      </x:c>
      <x:c r="EV109">
        <x:f t="shared" si="99"/>
        <x:v>0</x:v>
      </x:c>
      <x:c r="EW109">
        <x:f t="shared" si="100"/>
        <x:v>0</x:v>
      </x:c>
      <x:c r="EX109">
        <x:f t="shared" si="101"/>
        <x:v>0</x:v>
      </x:c>
      <x:c r="EY109">
        <x:f t="shared" si="102"/>
        <x:v>0</x:v>
      </x:c>
      <x:c r="EZ109">
        <x:f t="shared" si="103"/>
        <x:v>0</x:v>
      </x:c>
      <x:c r="FA109" s="41">
        <x:f t="shared" si="104"/>
        <x:v>0</x:v>
      </x:c>
      <x:c r="FB109">
        <x:f t="shared" si="105"/>
        <x:v>0</x:v>
      </x:c>
      <x:c r="FC109">
        <x:f t="shared" si="106"/>
        <x:v>0</x:v>
      </x:c>
      <x:c r="FD109">
        <x:f t="shared" si="107"/>
        <x:v>0</x:v>
      </x:c>
      <x:c r="FE109">
        <x:f t="shared" si="108"/>
        <x:v>0</x:v>
      </x:c>
      <x:c r="FF109">
        <x:f t="shared" si="109"/>
        <x:v>0</x:v>
      </x:c>
      <x:c r="FG109">
        <x:f t="shared" si="110"/>
        <x:v>0</x:v>
      </x:c>
      <x:c r="FH109">
        <x:f t="shared" si="111"/>
        <x:v>0</x:v>
      </x:c>
      <x:c r="FI109">
        <x:f t="shared" si="112"/>
        <x:v>0</x:v>
      </x:c>
      <x:c r="FJ109">
        <x:f t="shared" si="113"/>
        <x:v>0</x:v>
      </x:c>
      <x:c r="FK109">
        <x:f t="shared" si="114"/>
        <x:v>0</x:v>
      </x:c>
      <x:c r="FL109" s="41">
        <x:f t="shared" si="115"/>
        <x:v>0</x:v>
      </x:c>
      <x:c r="FM109">
        <x:f t="shared" si="116"/>
        <x:v>0</x:v>
      </x:c>
      <x:c r="FN109">
        <x:f t="shared" si="117"/>
        <x:v>0</x:v>
      </x:c>
      <x:c r="FO109">
        <x:f t="shared" si="118"/>
        <x:v>0</x:v>
      </x:c>
      <x:c r="FP109">
        <x:f t="shared" si="119"/>
        <x:v>0</x:v>
      </x:c>
      <x:c r="FQ109">
        <x:f t="shared" si="120"/>
        <x:v>0</x:v>
      </x:c>
      <x:c r="FR109">
        <x:f t="shared" si="121"/>
        <x:v>0</x:v>
      </x:c>
      <x:c r="FS109">
        <x:f t="shared" si="122"/>
        <x:v>0</x:v>
      </x:c>
      <x:c r="FT109">
        <x:f t="shared" si="123"/>
        <x:v>0</x:v>
      </x:c>
      <x:c r="FU109">
        <x:f t="shared" si="124"/>
        <x:v>0</x:v>
      </x:c>
      <x:c r="FV109">
        <x:f t="shared" si="125"/>
        <x:v>0</x:v>
      </x:c>
      <x:c r="FW109" s="41">
        <x:f t="shared" si="126"/>
        <x:v>0</x:v>
      </x:c>
      <x:c r="FX109">
        <x:f t="shared" si="127"/>
        <x:v>0</x:v>
      </x:c>
      <x:c r="FY109">
        <x:f t="shared" si="128"/>
        <x:v>0</x:v>
      </x:c>
      <x:c r="FZ109">
        <x:f t="shared" si="129"/>
        <x:v>0</x:v>
      </x:c>
      <x:c r="GA109">
        <x:f t="shared" si="130"/>
        <x:v>0</x:v>
      </x:c>
      <x:c r="GB109">
        <x:f t="shared" si="131"/>
        <x:v>0</x:v>
      </x:c>
      <x:c r="GC109">
        <x:f t="shared" si="132"/>
        <x:v>0</x:v>
      </x:c>
      <x:c r="GD109">
        <x:f t="shared" si="133"/>
        <x:v>0</x:v>
      </x:c>
      <x:c r="GE109">
        <x:f t="shared" si="134"/>
        <x:v>0</x:v>
      </x:c>
      <x:c r="GF109">
        <x:f t="shared" si="135"/>
        <x:v>0</x:v>
      </x:c>
      <x:c r="GG109">
        <x:f t="shared" si="136"/>
        <x:v>0</x:v>
      </x:c>
      <x:c r="GH109">
        <x:f t="shared" si="137"/>
        <x:v>0</x:v>
      </x:c>
      <x:c r="GI109">
        <x:f t="shared" si="138"/>
        <x:v>0</x:v>
      </x:c>
      <x:c r="GJ109">
        <x:f t="shared" si="139"/>
        <x:v>0</x:v>
      </x:c>
      <x:c r="GK109">
        <x:f t="shared" si="140"/>
        <x:v>0</x:v>
      </x:c>
      <x:c r="GL109">
        <x:f t="shared" si="141"/>
        <x:v>0</x:v>
      </x:c>
      <x:c r="GM109">
        <x:f t="shared" si="142"/>
        <x:v>0</x:v>
      </x:c>
      <x:c r="GN109">
        <x:f t="shared" si="143"/>
        <x:v>0</x:v>
      </x:c>
      <x:c r="GO109">
        <x:f t="shared" si="144"/>
        <x:v>0</x:v>
      </x:c>
      <x:c r="GP109">
        <x:f t="shared" si="145"/>
        <x:v>0</x:v>
      </x:c>
      <x:c r="GQ109">
        <x:f t="shared" si="146"/>
        <x:v>0</x:v>
      </x:c>
      <x:c r="GR109" s="42">
        <x:f t="shared" si="147"/>
        <x:v>0</x:v>
      </x:c>
      <x:c r="GS109">
        <x:f t="shared" si="148"/>
        <x:v>0</x:v>
      </x:c>
      <x:c r="GT109">
        <x:f t="shared" si="149"/>
        <x:v>0</x:v>
      </x:c>
      <x:c r="GU109">
        <x:f t="shared" si="150"/>
        <x:v>0</x:v>
      </x:c>
      <x:c r="GV109">
        <x:f t="shared" si="151"/>
        <x:v>0</x:v>
      </x:c>
      <x:c r="GW109">
        <x:f t="shared" si="152"/>
        <x:v>0</x:v>
      </x:c>
      <x:c r="GX109">
        <x:f t="shared" si="153"/>
        <x:v>0</x:v>
      </x:c>
      <x:c r="GY109">
        <x:f t="shared" si="154"/>
        <x:v>0</x:v>
      </x:c>
      <x:c r="GZ109">
        <x:f t="shared" si="155"/>
        <x:v>0</x:v>
      </x:c>
      <x:c r="HA109">
        <x:f t="shared" si="156"/>
        <x:v>0</x:v>
      </x:c>
      <x:c r="HB109" s="42">
        <x:f t="shared" si="157"/>
        <x:v>0</x:v>
      </x:c>
      <x:c r="HC109">
        <x:f t="shared" si="158"/>
        <x:v>0</x:v>
      </x:c>
      <x:c r="HD109">
        <x:f t="shared" si="159"/>
        <x:v>0</x:v>
      </x:c>
      <x:c r="HE109">
        <x:f t="shared" si="160"/>
        <x:v>0</x:v>
      </x:c>
      <x:c r="HF109">
        <x:f t="shared" si="161"/>
        <x:v>0</x:v>
      </x:c>
      <x:c r="HG109">
        <x:f t="shared" si="162"/>
        <x:v>0</x:v>
      </x:c>
      <x:c r="HH109">
        <x:f t="shared" si="163"/>
        <x:v>0</x:v>
      </x:c>
      <x:c r="HI109">
        <x:f t="shared" si="164"/>
        <x:v>0</x:v>
      </x:c>
      <x:c r="HJ109">
        <x:f t="shared" si="165"/>
        <x:v>0</x:v>
      </x:c>
      <x:c r="HK109">
        <x:f t="shared" si="166"/>
        <x:v>0</x:v>
      </x:c>
      <x:c r="HL109">
        <x:f t="shared" si="167"/>
        <x:v>0</x:v>
      </x:c>
    </x:row>
    <x:row r="110">
      <x:c r="D110" s="74"/>
      <x:c r="EQ110">
        <x:f t="shared" si="94"/>
        <x:v>0</x:v>
      </x:c>
      <x:c r="ER110">
        <x:f t="shared" si="95"/>
        <x:v>0</x:v>
      </x:c>
      <x:c r="ES110">
        <x:f t="shared" si="96"/>
        <x:v>0</x:v>
      </x:c>
      <x:c r="ET110">
        <x:f t="shared" si="97"/>
        <x:v>0</x:v>
      </x:c>
      <x:c r="EU110">
        <x:f t="shared" si="98"/>
        <x:v>0</x:v>
      </x:c>
      <x:c r="EV110">
        <x:f t="shared" si="99"/>
        <x:v>0</x:v>
      </x:c>
      <x:c r="EW110">
        <x:f t="shared" si="100"/>
        <x:v>0</x:v>
      </x:c>
      <x:c r="EX110">
        <x:f t="shared" si="101"/>
        <x:v>0</x:v>
      </x:c>
      <x:c r="EY110">
        <x:f t="shared" si="102"/>
        <x:v>0</x:v>
      </x:c>
      <x:c r="EZ110">
        <x:f t="shared" si="103"/>
        <x:v>0</x:v>
      </x:c>
      <x:c r="FA110" s="41">
        <x:f t="shared" si="104"/>
        <x:v>0</x:v>
      </x:c>
      <x:c r="FB110">
        <x:f t="shared" si="105"/>
        <x:v>0</x:v>
      </x:c>
      <x:c r="FC110">
        <x:f t="shared" si="106"/>
        <x:v>0</x:v>
      </x:c>
      <x:c r="FD110">
        <x:f t="shared" si="107"/>
        <x:v>0</x:v>
      </x:c>
      <x:c r="FE110">
        <x:f t="shared" si="108"/>
        <x:v>0</x:v>
      </x:c>
      <x:c r="FF110">
        <x:f t="shared" si="109"/>
        <x:v>0</x:v>
      </x:c>
      <x:c r="FG110">
        <x:f t="shared" si="110"/>
        <x:v>0</x:v>
      </x:c>
      <x:c r="FH110">
        <x:f t="shared" si="111"/>
        <x:v>0</x:v>
      </x:c>
      <x:c r="FI110">
        <x:f t="shared" si="112"/>
        <x:v>0</x:v>
      </x:c>
      <x:c r="FJ110">
        <x:f t="shared" si="113"/>
        <x:v>0</x:v>
      </x:c>
      <x:c r="FK110">
        <x:f t="shared" si="114"/>
        <x:v>0</x:v>
      </x:c>
      <x:c r="FL110" s="41">
        <x:f t="shared" si="115"/>
        <x:v>0</x:v>
      </x:c>
      <x:c r="FM110">
        <x:f t="shared" si="116"/>
        <x:v>0</x:v>
      </x:c>
      <x:c r="FN110">
        <x:f t="shared" si="117"/>
        <x:v>0</x:v>
      </x:c>
      <x:c r="FO110">
        <x:f t="shared" si="118"/>
        <x:v>0</x:v>
      </x:c>
      <x:c r="FP110">
        <x:f t="shared" si="119"/>
        <x:v>0</x:v>
      </x:c>
      <x:c r="FQ110">
        <x:f t="shared" si="120"/>
        <x:v>0</x:v>
      </x:c>
      <x:c r="FR110">
        <x:f t="shared" si="121"/>
        <x:v>0</x:v>
      </x:c>
      <x:c r="FS110">
        <x:f t="shared" si="122"/>
        <x:v>0</x:v>
      </x:c>
      <x:c r="FT110">
        <x:f t="shared" si="123"/>
        <x:v>0</x:v>
      </x:c>
      <x:c r="FU110">
        <x:f t="shared" si="124"/>
        <x:v>0</x:v>
      </x:c>
      <x:c r="FV110">
        <x:f t="shared" si="125"/>
        <x:v>0</x:v>
      </x:c>
      <x:c r="FW110" s="41">
        <x:f t="shared" si="126"/>
        <x:v>0</x:v>
      </x:c>
      <x:c r="FX110">
        <x:f t="shared" si="127"/>
        <x:v>0</x:v>
      </x:c>
      <x:c r="FY110">
        <x:f t="shared" si="128"/>
        <x:v>0</x:v>
      </x:c>
      <x:c r="FZ110">
        <x:f t="shared" si="129"/>
        <x:v>0</x:v>
      </x:c>
      <x:c r="GA110">
        <x:f t="shared" si="130"/>
        <x:v>0</x:v>
      </x:c>
      <x:c r="GB110">
        <x:f t="shared" si="131"/>
        <x:v>0</x:v>
      </x:c>
      <x:c r="GC110">
        <x:f t="shared" si="132"/>
        <x:v>0</x:v>
      </x:c>
      <x:c r="GD110">
        <x:f t="shared" si="133"/>
        <x:v>0</x:v>
      </x:c>
      <x:c r="GE110">
        <x:f t="shared" si="134"/>
        <x:v>0</x:v>
      </x:c>
      <x:c r="GF110">
        <x:f t="shared" si="135"/>
        <x:v>0</x:v>
      </x:c>
      <x:c r="GG110">
        <x:f t="shared" si="136"/>
        <x:v>0</x:v>
      </x:c>
      <x:c r="GH110">
        <x:f t="shared" si="137"/>
        <x:v>0</x:v>
      </x:c>
      <x:c r="GI110">
        <x:f t="shared" si="138"/>
        <x:v>0</x:v>
      </x:c>
      <x:c r="GJ110">
        <x:f t="shared" si="139"/>
        <x:v>0</x:v>
      </x:c>
      <x:c r="GK110">
        <x:f t="shared" si="140"/>
        <x:v>0</x:v>
      </x:c>
      <x:c r="GL110">
        <x:f t="shared" si="141"/>
        <x:v>0</x:v>
      </x:c>
      <x:c r="GM110">
        <x:f t="shared" si="142"/>
        <x:v>0</x:v>
      </x:c>
      <x:c r="GN110">
        <x:f t="shared" si="143"/>
        <x:v>0</x:v>
      </x:c>
      <x:c r="GO110">
        <x:f t="shared" si="144"/>
        <x:v>0</x:v>
      </x:c>
      <x:c r="GP110">
        <x:f t="shared" si="145"/>
        <x:v>0</x:v>
      </x:c>
      <x:c r="GQ110">
        <x:f t="shared" si="146"/>
        <x:v>0</x:v>
      </x:c>
      <x:c r="GR110" s="42">
        <x:f t="shared" si="147"/>
        <x:v>0</x:v>
      </x:c>
      <x:c r="GS110">
        <x:f t="shared" si="148"/>
        <x:v>0</x:v>
      </x:c>
      <x:c r="GT110">
        <x:f t="shared" si="149"/>
        <x:v>0</x:v>
      </x:c>
      <x:c r="GU110">
        <x:f t="shared" si="150"/>
        <x:v>0</x:v>
      </x:c>
      <x:c r="GV110">
        <x:f t="shared" si="151"/>
        <x:v>0</x:v>
      </x:c>
      <x:c r="GW110">
        <x:f t="shared" si="152"/>
        <x:v>0</x:v>
      </x:c>
      <x:c r="GX110">
        <x:f t="shared" si="153"/>
        <x:v>0</x:v>
      </x:c>
      <x:c r="GY110">
        <x:f t="shared" si="154"/>
        <x:v>0</x:v>
      </x:c>
      <x:c r="GZ110">
        <x:f t="shared" si="155"/>
        <x:v>0</x:v>
      </x:c>
      <x:c r="HA110">
        <x:f t="shared" si="156"/>
        <x:v>0</x:v>
      </x:c>
      <x:c r="HB110" s="42">
        <x:f t="shared" si="157"/>
        <x:v>0</x:v>
      </x:c>
      <x:c r="HC110">
        <x:f t="shared" si="158"/>
        <x:v>0</x:v>
      </x:c>
      <x:c r="HD110">
        <x:f t="shared" si="159"/>
        <x:v>0</x:v>
      </x:c>
      <x:c r="HE110">
        <x:f t="shared" si="160"/>
        <x:v>0</x:v>
      </x:c>
      <x:c r="HF110">
        <x:f t="shared" si="161"/>
        <x:v>0</x:v>
      </x:c>
      <x:c r="HG110">
        <x:f t="shared" si="162"/>
        <x:v>0</x:v>
      </x:c>
      <x:c r="HH110">
        <x:f t="shared" si="163"/>
        <x:v>0</x:v>
      </x:c>
      <x:c r="HI110">
        <x:f t="shared" si="164"/>
        <x:v>0</x:v>
      </x:c>
      <x:c r="HJ110">
        <x:f t="shared" si="165"/>
        <x:v>0</x:v>
      </x:c>
      <x:c r="HK110">
        <x:f t="shared" si="166"/>
        <x:v>0</x:v>
      </x:c>
      <x:c r="HL110">
        <x:f t="shared" si="167"/>
        <x:v>0</x:v>
      </x:c>
    </x:row>
    <x:row r="111">
      <x:c r="D111" s="74"/>
      <x:c r="EQ111">
        <x:f t="shared" si="94"/>
        <x:v>0</x:v>
      </x:c>
      <x:c r="ER111">
        <x:f t="shared" si="95"/>
        <x:v>0</x:v>
      </x:c>
      <x:c r="ES111">
        <x:f t="shared" si="96"/>
        <x:v>0</x:v>
      </x:c>
      <x:c r="ET111">
        <x:f t="shared" si="97"/>
        <x:v>0</x:v>
      </x:c>
      <x:c r="EU111">
        <x:f t="shared" si="98"/>
        <x:v>0</x:v>
      </x:c>
      <x:c r="EV111">
        <x:f t="shared" si="99"/>
        <x:v>0</x:v>
      </x:c>
      <x:c r="EW111">
        <x:f t="shared" si="100"/>
        <x:v>0</x:v>
      </x:c>
      <x:c r="EX111">
        <x:f t="shared" si="101"/>
        <x:v>0</x:v>
      </x:c>
      <x:c r="EY111">
        <x:f t="shared" si="102"/>
        <x:v>0</x:v>
      </x:c>
      <x:c r="EZ111">
        <x:f t="shared" si="103"/>
        <x:v>0</x:v>
      </x:c>
      <x:c r="FA111" s="41">
        <x:f t="shared" si="104"/>
        <x:v>0</x:v>
      </x:c>
      <x:c r="FB111">
        <x:f t="shared" si="105"/>
        <x:v>0</x:v>
      </x:c>
      <x:c r="FC111">
        <x:f t="shared" si="106"/>
        <x:v>0</x:v>
      </x:c>
      <x:c r="FD111">
        <x:f t="shared" si="107"/>
        <x:v>0</x:v>
      </x:c>
      <x:c r="FE111">
        <x:f t="shared" si="108"/>
        <x:v>0</x:v>
      </x:c>
      <x:c r="FF111">
        <x:f t="shared" si="109"/>
        <x:v>0</x:v>
      </x:c>
      <x:c r="FG111">
        <x:f t="shared" si="110"/>
        <x:v>0</x:v>
      </x:c>
      <x:c r="FH111">
        <x:f t="shared" si="111"/>
        <x:v>0</x:v>
      </x:c>
      <x:c r="FI111">
        <x:f t="shared" si="112"/>
        <x:v>0</x:v>
      </x:c>
      <x:c r="FJ111">
        <x:f t="shared" si="113"/>
        <x:v>0</x:v>
      </x:c>
      <x:c r="FK111">
        <x:f t="shared" si="114"/>
        <x:v>0</x:v>
      </x:c>
      <x:c r="FL111" s="41">
        <x:f t="shared" si="115"/>
        <x:v>0</x:v>
      </x:c>
      <x:c r="FM111">
        <x:f t="shared" si="116"/>
        <x:v>0</x:v>
      </x:c>
      <x:c r="FN111">
        <x:f t="shared" si="117"/>
        <x:v>0</x:v>
      </x:c>
      <x:c r="FO111">
        <x:f t="shared" si="118"/>
        <x:v>0</x:v>
      </x:c>
      <x:c r="FP111">
        <x:f t="shared" si="119"/>
        <x:v>0</x:v>
      </x:c>
      <x:c r="FQ111">
        <x:f t="shared" si="120"/>
        <x:v>0</x:v>
      </x:c>
      <x:c r="FR111">
        <x:f t="shared" si="121"/>
        <x:v>0</x:v>
      </x:c>
      <x:c r="FS111">
        <x:f t="shared" si="122"/>
        <x:v>0</x:v>
      </x:c>
      <x:c r="FT111">
        <x:f t="shared" si="123"/>
        <x:v>0</x:v>
      </x:c>
      <x:c r="FU111">
        <x:f t="shared" si="124"/>
        <x:v>0</x:v>
      </x:c>
      <x:c r="FV111">
        <x:f t="shared" si="125"/>
        <x:v>0</x:v>
      </x:c>
      <x:c r="FW111" s="41">
        <x:f t="shared" si="126"/>
        <x:v>0</x:v>
      </x:c>
      <x:c r="FX111">
        <x:f t="shared" si="127"/>
        <x:v>0</x:v>
      </x:c>
      <x:c r="FY111">
        <x:f t="shared" si="128"/>
        <x:v>0</x:v>
      </x:c>
      <x:c r="FZ111">
        <x:f t="shared" si="129"/>
        <x:v>0</x:v>
      </x:c>
      <x:c r="GA111">
        <x:f t="shared" si="130"/>
        <x:v>0</x:v>
      </x:c>
      <x:c r="GB111">
        <x:f t="shared" si="131"/>
        <x:v>0</x:v>
      </x:c>
      <x:c r="GC111">
        <x:f t="shared" si="132"/>
        <x:v>0</x:v>
      </x:c>
      <x:c r="GD111">
        <x:f t="shared" si="133"/>
        <x:v>0</x:v>
      </x:c>
      <x:c r="GE111">
        <x:f t="shared" si="134"/>
        <x:v>0</x:v>
      </x:c>
      <x:c r="GF111">
        <x:f t="shared" si="135"/>
        <x:v>0</x:v>
      </x:c>
      <x:c r="GG111">
        <x:f t="shared" si="136"/>
        <x:v>0</x:v>
      </x:c>
      <x:c r="GH111">
        <x:f t="shared" si="137"/>
        <x:v>0</x:v>
      </x:c>
      <x:c r="GI111">
        <x:f t="shared" si="138"/>
        <x:v>0</x:v>
      </x:c>
      <x:c r="GJ111">
        <x:f t="shared" si="139"/>
        <x:v>0</x:v>
      </x:c>
      <x:c r="GK111">
        <x:f t="shared" si="140"/>
        <x:v>0</x:v>
      </x:c>
      <x:c r="GL111">
        <x:f t="shared" si="141"/>
        <x:v>0</x:v>
      </x:c>
      <x:c r="GM111">
        <x:f t="shared" si="142"/>
        <x:v>0</x:v>
      </x:c>
      <x:c r="GN111">
        <x:f t="shared" si="143"/>
        <x:v>0</x:v>
      </x:c>
      <x:c r="GO111">
        <x:f t="shared" si="144"/>
        <x:v>0</x:v>
      </x:c>
      <x:c r="GP111">
        <x:f t="shared" si="145"/>
        <x:v>0</x:v>
      </x:c>
      <x:c r="GQ111">
        <x:f t="shared" si="146"/>
        <x:v>0</x:v>
      </x:c>
      <x:c r="GR111" s="42">
        <x:f t="shared" si="147"/>
        <x:v>0</x:v>
      </x:c>
      <x:c r="GS111">
        <x:f t="shared" si="148"/>
        <x:v>0</x:v>
      </x:c>
      <x:c r="GT111">
        <x:f t="shared" si="149"/>
        <x:v>0</x:v>
      </x:c>
      <x:c r="GU111">
        <x:f t="shared" si="150"/>
        <x:v>0</x:v>
      </x:c>
      <x:c r="GV111">
        <x:f t="shared" si="151"/>
        <x:v>0</x:v>
      </x:c>
      <x:c r="GW111">
        <x:f t="shared" si="152"/>
        <x:v>0</x:v>
      </x:c>
      <x:c r="GX111">
        <x:f t="shared" si="153"/>
        <x:v>0</x:v>
      </x:c>
      <x:c r="GY111">
        <x:f t="shared" si="154"/>
        <x:v>0</x:v>
      </x:c>
      <x:c r="GZ111">
        <x:f t="shared" si="155"/>
        <x:v>0</x:v>
      </x:c>
      <x:c r="HA111">
        <x:f t="shared" si="156"/>
        <x:v>0</x:v>
      </x:c>
      <x:c r="HB111" s="42">
        <x:f t="shared" si="157"/>
        <x:v>0</x:v>
      </x:c>
      <x:c r="HC111">
        <x:f t="shared" si="158"/>
        <x:v>0</x:v>
      </x:c>
      <x:c r="HD111">
        <x:f t="shared" si="159"/>
        <x:v>0</x:v>
      </x:c>
      <x:c r="HE111">
        <x:f t="shared" si="160"/>
        <x:v>0</x:v>
      </x:c>
      <x:c r="HF111">
        <x:f t="shared" si="161"/>
        <x:v>0</x:v>
      </x:c>
      <x:c r="HG111">
        <x:f t="shared" si="162"/>
        <x:v>0</x:v>
      </x:c>
      <x:c r="HH111">
        <x:f t="shared" si="163"/>
        <x:v>0</x:v>
      </x:c>
      <x:c r="HI111">
        <x:f t="shared" si="164"/>
        <x:v>0</x:v>
      </x:c>
      <x:c r="HJ111">
        <x:f t="shared" si="165"/>
        <x:v>0</x:v>
      </x:c>
      <x:c r="HK111">
        <x:f t="shared" si="166"/>
        <x:v>0</x:v>
      </x:c>
      <x:c r="HL111">
        <x:f t="shared" si="167"/>
        <x:v>0</x:v>
      </x:c>
    </x:row>
    <x:row r="112">
      <x:c r="D112" s="74"/>
      <x:c r="EQ112">
        <x:f t="shared" si="94"/>
        <x:v>0</x:v>
      </x:c>
      <x:c r="ER112">
        <x:f t="shared" si="95"/>
        <x:v>0</x:v>
      </x:c>
      <x:c r="ES112">
        <x:f t="shared" si="96"/>
        <x:v>0</x:v>
      </x:c>
      <x:c r="ET112">
        <x:f t="shared" si="97"/>
        <x:v>0</x:v>
      </x:c>
      <x:c r="EU112">
        <x:f t="shared" si="98"/>
        <x:v>0</x:v>
      </x:c>
      <x:c r="EV112">
        <x:f t="shared" si="99"/>
        <x:v>0</x:v>
      </x:c>
      <x:c r="EW112">
        <x:f t="shared" si="100"/>
        <x:v>0</x:v>
      </x:c>
      <x:c r="EX112">
        <x:f t="shared" si="101"/>
        <x:v>0</x:v>
      </x:c>
      <x:c r="EY112">
        <x:f t="shared" si="102"/>
        <x:v>0</x:v>
      </x:c>
      <x:c r="EZ112">
        <x:f t="shared" si="103"/>
        <x:v>0</x:v>
      </x:c>
      <x:c r="FA112" s="41">
        <x:f t="shared" si="104"/>
        <x:v>0</x:v>
      </x:c>
      <x:c r="FB112">
        <x:f t="shared" si="105"/>
        <x:v>0</x:v>
      </x:c>
      <x:c r="FC112">
        <x:f t="shared" si="106"/>
        <x:v>0</x:v>
      </x:c>
      <x:c r="FD112">
        <x:f t="shared" si="107"/>
        <x:v>0</x:v>
      </x:c>
      <x:c r="FE112">
        <x:f t="shared" si="108"/>
        <x:v>0</x:v>
      </x:c>
      <x:c r="FF112">
        <x:f t="shared" si="109"/>
        <x:v>0</x:v>
      </x:c>
      <x:c r="FG112">
        <x:f t="shared" si="110"/>
        <x:v>0</x:v>
      </x:c>
      <x:c r="FH112">
        <x:f t="shared" si="111"/>
        <x:v>0</x:v>
      </x:c>
      <x:c r="FI112">
        <x:f t="shared" si="112"/>
        <x:v>0</x:v>
      </x:c>
      <x:c r="FJ112">
        <x:f t="shared" si="113"/>
        <x:v>0</x:v>
      </x:c>
      <x:c r="FK112">
        <x:f t="shared" si="114"/>
        <x:v>0</x:v>
      </x:c>
      <x:c r="FL112" s="41">
        <x:f t="shared" si="115"/>
        <x:v>0</x:v>
      </x:c>
      <x:c r="FM112">
        <x:f t="shared" si="116"/>
        <x:v>0</x:v>
      </x:c>
      <x:c r="FN112">
        <x:f t="shared" si="117"/>
        <x:v>0</x:v>
      </x:c>
      <x:c r="FO112">
        <x:f t="shared" si="118"/>
        <x:v>0</x:v>
      </x:c>
      <x:c r="FP112">
        <x:f t="shared" si="119"/>
        <x:v>0</x:v>
      </x:c>
      <x:c r="FQ112">
        <x:f t="shared" si="120"/>
        <x:v>0</x:v>
      </x:c>
      <x:c r="FR112">
        <x:f t="shared" si="121"/>
        <x:v>0</x:v>
      </x:c>
      <x:c r="FS112">
        <x:f t="shared" si="122"/>
        <x:v>0</x:v>
      </x:c>
      <x:c r="FT112">
        <x:f t="shared" si="123"/>
        <x:v>0</x:v>
      </x:c>
      <x:c r="FU112">
        <x:f t="shared" si="124"/>
        <x:v>0</x:v>
      </x:c>
      <x:c r="FV112">
        <x:f t="shared" si="125"/>
        <x:v>0</x:v>
      </x:c>
      <x:c r="FW112" s="41">
        <x:f t="shared" si="126"/>
        <x:v>0</x:v>
      </x:c>
      <x:c r="FX112">
        <x:f t="shared" si="127"/>
        <x:v>0</x:v>
      </x:c>
      <x:c r="FY112">
        <x:f t="shared" si="128"/>
        <x:v>0</x:v>
      </x:c>
      <x:c r="FZ112">
        <x:f t="shared" si="129"/>
        <x:v>0</x:v>
      </x:c>
      <x:c r="GA112">
        <x:f t="shared" si="130"/>
        <x:v>0</x:v>
      </x:c>
      <x:c r="GB112">
        <x:f t="shared" si="131"/>
        <x:v>0</x:v>
      </x:c>
      <x:c r="GC112">
        <x:f t="shared" si="132"/>
        <x:v>0</x:v>
      </x:c>
      <x:c r="GD112">
        <x:f t="shared" si="133"/>
        <x:v>0</x:v>
      </x:c>
      <x:c r="GE112">
        <x:f t="shared" si="134"/>
        <x:v>0</x:v>
      </x:c>
      <x:c r="GF112">
        <x:f t="shared" si="135"/>
        <x:v>0</x:v>
      </x:c>
      <x:c r="GG112">
        <x:f t="shared" si="136"/>
        <x:v>0</x:v>
      </x:c>
      <x:c r="GH112">
        <x:f t="shared" si="137"/>
        <x:v>0</x:v>
      </x:c>
      <x:c r="GI112">
        <x:f t="shared" si="138"/>
        <x:v>0</x:v>
      </x:c>
      <x:c r="GJ112">
        <x:f t="shared" si="139"/>
        <x:v>0</x:v>
      </x:c>
      <x:c r="GK112">
        <x:f t="shared" si="140"/>
        <x:v>0</x:v>
      </x:c>
      <x:c r="GL112">
        <x:f t="shared" si="141"/>
        <x:v>0</x:v>
      </x:c>
      <x:c r="GM112">
        <x:f t="shared" si="142"/>
        <x:v>0</x:v>
      </x:c>
      <x:c r="GN112">
        <x:f t="shared" si="143"/>
        <x:v>0</x:v>
      </x:c>
      <x:c r="GO112">
        <x:f t="shared" si="144"/>
        <x:v>0</x:v>
      </x:c>
      <x:c r="GP112">
        <x:f t="shared" si="145"/>
        <x:v>0</x:v>
      </x:c>
      <x:c r="GQ112">
        <x:f t="shared" si="146"/>
        <x:v>0</x:v>
      </x:c>
      <x:c r="GR112" s="42">
        <x:f t="shared" si="147"/>
        <x:v>0</x:v>
      </x:c>
      <x:c r="GS112">
        <x:f t="shared" si="148"/>
        <x:v>0</x:v>
      </x:c>
      <x:c r="GT112">
        <x:f t="shared" si="149"/>
        <x:v>0</x:v>
      </x:c>
      <x:c r="GU112">
        <x:f t="shared" si="150"/>
        <x:v>0</x:v>
      </x:c>
      <x:c r="GV112">
        <x:f t="shared" si="151"/>
        <x:v>0</x:v>
      </x:c>
      <x:c r="GW112">
        <x:f t="shared" si="152"/>
        <x:v>0</x:v>
      </x:c>
      <x:c r="GX112">
        <x:f t="shared" si="153"/>
        <x:v>0</x:v>
      </x:c>
      <x:c r="GY112">
        <x:f t="shared" si="154"/>
        <x:v>0</x:v>
      </x:c>
      <x:c r="GZ112">
        <x:f t="shared" si="155"/>
        <x:v>0</x:v>
      </x:c>
      <x:c r="HA112">
        <x:f t="shared" si="156"/>
        <x:v>0</x:v>
      </x:c>
      <x:c r="HB112" s="42">
        <x:f t="shared" si="157"/>
        <x:v>0</x:v>
      </x:c>
      <x:c r="HC112">
        <x:f t="shared" si="158"/>
        <x:v>0</x:v>
      </x:c>
      <x:c r="HD112">
        <x:f t="shared" si="159"/>
        <x:v>0</x:v>
      </x:c>
      <x:c r="HE112">
        <x:f t="shared" si="160"/>
        <x:v>0</x:v>
      </x:c>
      <x:c r="HF112">
        <x:f t="shared" si="161"/>
        <x:v>0</x:v>
      </x:c>
      <x:c r="HG112">
        <x:f t="shared" si="162"/>
        <x:v>0</x:v>
      </x:c>
      <x:c r="HH112">
        <x:f t="shared" si="163"/>
        <x:v>0</x:v>
      </x:c>
      <x:c r="HI112">
        <x:f t="shared" si="164"/>
        <x:v>0</x:v>
      </x:c>
      <x:c r="HJ112">
        <x:f t="shared" si="165"/>
        <x:v>0</x:v>
      </x:c>
      <x:c r="HK112">
        <x:f t="shared" si="166"/>
        <x:v>0</x:v>
      </x:c>
      <x:c r="HL112">
        <x:f t="shared" si="167"/>
        <x:v>0</x:v>
      </x:c>
    </x:row>
    <x:row r="113">
      <x:c r="D113" s="74"/>
      <x:c r="EQ113">
        <x:f t="shared" si="94"/>
        <x:v>0</x:v>
      </x:c>
      <x:c r="ER113">
        <x:f t="shared" si="95"/>
        <x:v>0</x:v>
      </x:c>
      <x:c r="ES113">
        <x:f t="shared" si="96"/>
        <x:v>0</x:v>
      </x:c>
      <x:c r="ET113">
        <x:f t="shared" si="97"/>
        <x:v>0</x:v>
      </x:c>
      <x:c r="EU113">
        <x:f t="shared" si="98"/>
        <x:v>0</x:v>
      </x:c>
      <x:c r="EV113">
        <x:f t="shared" si="99"/>
        <x:v>0</x:v>
      </x:c>
      <x:c r="EW113">
        <x:f t="shared" si="100"/>
        <x:v>0</x:v>
      </x:c>
      <x:c r="EX113">
        <x:f t="shared" si="101"/>
        <x:v>0</x:v>
      </x:c>
      <x:c r="EY113">
        <x:f t="shared" si="102"/>
        <x:v>0</x:v>
      </x:c>
      <x:c r="EZ113">
        <x:f t="shared" si="103"/>
        <x:v>0</x:v>
      </x:c>
      <x:c r="FA113" s="41">
        <x:f t="shared" si="104"/>
        <x:v>0</x:v>
      </x:c>
      <x:c r="FB113">
        <x:f t="shared" si="105"/>
        <x:v>0</x:v>
      </x:c>
      <x:c r="FC113">
        <x:f t="shared" si="106"/>
        <x:v>0</x:v>
      </x:c>
      <x:c r="FD113">
        <x:f t="shared" si="107"/>
        <x:v>0</x:v>
      </x:c>
      <x:c r="FE113">
        <x:f t="shared" si="108"/>
        <x:v>0</x:v>
      </x:c>
      <x:c r="FF113">
        <x:f t="shared" si="109"/>
        <x:v>0</x:v>
      </x:c>
      <x:c r="FG113">
        <x:f t="shared" si="110"/>
        <x:v>0</x:v>
      </x:c>
      <x:c r="FH113">
        <x:f t="shared" si="111"/>
        <x:v>0</x:v>
      </x:c>
      <x:c r="FI113">
        <x:f t="shared" si="112"/>
        <x:v>0</x:v>
      </x:c>
      <x:c r="FJ113">
        <x:f t="shared" si="113"/>
        <x:v>0</x:v>
      </x:c>
      <x:c r="FK113">
        <x:f t="shared" si="114"/>
        <x:v>0</x:v>
      </x:c>
      <x:c r="FL113" s="41">
        <x:f t="shared" si="115"/>
        <x:v>0</x:v>
      </x:c>
      <x:c r="FM113">
        <x:f t="shared" si="116"/>
        <x:v>0</x:v>
      </x:c>
      <x:c r="FN113">
        <x:f t="shared" si="117"/>
        <x:v>0</x:v>
      </x:c>
      <x:c r="FO113">
        <x:f t="shared" si="118"/>
        <x:v>0</x:v>
      </x:c>
      <x:c r="FP113">
        <x:f t="shared" si="119"/>
        <x:v>0</x:v>
      </x:c>
      <x:c r="FQ113">
        <x:f t="shared" si="120"/>
        <x:v>0</x:v>
      </x:c>
      <x:c r="FR113">
        <x:f t="shared" si="121"/>
        <x:v>0</x:v>
      </x:c>
      <x:c r="FS113">
        <x:f t="shared" si="122"/>
        <x:v>0</x:v>
      </x:c>
      <x:c r="FT113">
        <x:f t="shared" si="123"/>
        <x:v>0</x:v>
      </x:c>
      <x:c r="FU113">
        <x:f t="shared" si="124"/>
        <x:v>0</x:v>
      </x:c>
      <x:c r="FV113">
        <x:f t="shared" si="125"/>
        <x:v>0</x:v>
      </x:c>
      <x:c r="FW113" s="41">
        <x:f t="shared" si="126"/>
        <x:v>0</x:v>
      </x:c>
      <x:c r="FX113">
        <x:f t="shared" si="127"/>
        <x:v>0</x:v>
      </x:c>
      <x:c r="FY113">
        <x:f t="shared" si="128"/>
        <x:v>0</x:v>
      </x:c>
      <x:c r="FZ113">
        <x:f t="shared" si="129"/>
        <x:v>0</x:v>
      </x:c>
      <x:c r="GA113">
        <x:f t="shared" si="130"/>
        <x:v>0</x:v>
      </x:c>
      <x:c r="GB113">
        <x:f t="shared" si="131"/>
        <x:v>0</x:v>
      </x:c>
      <x:c r="GC113">
        <x:f t="shared" si="132"/>
        <x:v>0</x:v>
      </x:c>
      <x:c r="GD113">
        <x:f t="shared" si="133"/>
        <x:v>0</x:v>
      </x:c>
      <x:c r="GE113">
        <x:f t="shared" si="134"/>
        <x:v>0</x:v>
      </x:c>
      <x:c r="GF113">
        <x:f t="shared" si="135"/>
        <x:v>0</x:v>
      </x:c>
      <x:c r="GG113">
        <x:f t="shared" si="136"/>
        <x:v>0</x:v>
      </x:c>
      <x:c r="GH113">
        <x:f t="shared" si="137"/>
        <x:v>0</x:v>
      </x:c>
      <x:c r="GI113">
        <x:f t="shared" si="138"/>
        <x:v>0</x:v>
      </x:c>
      <x:c r="GJ113">
        <x:f t="shared" si="139"/>
        <x:v>0</x:v>
      </x:c>
      <x:c r="GK113">
        <x:f t="shared" si="140"/>
        <x:v>0</x:v>
      </x:c>
      <x:c r="GL113">
        <x:f t="shared" si="141"/>
        <x:v>0</x:v>
      </x:c>
      <x:c r="GM113">
        <x:f t="shared" si="142"/>
        <x:v>0</x:v>
      </x:c>
      <x:c r="GN113">
        <x:f t="shared" si="143"/>
        <x:v>0</x:v>
      </x:c>
      <x:c r="GO113">
        <x:f t="shared" si="144"/>
        <x:v>0</x:v>
      </x:c>
      <x:c r="GP113">
        <x:f t="shared" si="145"/>
        <x:v>0</x:v>
      </x:c>
      <x:c r="GQ113">
        <x:f t="shared" si="146"/>
        <x:v>0</x:v>
      </x:c>
      <x:c r="GR113" s="42">
        <x:f t="shared" si="147"/>
        <x:v>0</x:v>
      </x:c>
      <x:c r="GS113">
        <x:f t="shared" si="148"/>
        <x:v>0</x:v>
      </x:c>
      <x:c r="GT113">
        <x:f t="shared" si="149"/>
        <x:v>0</x:v>
      </x:c>
      <x:c r="GU113">
        <x:f t="shared" si="150"/>
        <x:v>0</x:v>
      </x:c>
      <x:c r="GV113">
        <x:f t="shared" si="151"/>
        <x:v>0</x:v>
      </x:c>
      <x:c r="GW113">
        <x:f t="shared" si="152"/>
        <x:v>0</x:v>
      </x:c>
      <x:c r="GX113">
        <x:f t="shared" si="153"/>
        <x:v>0</x:v>
      </x:c>
      <x:c r="GY113">
        <x:f t="shared" si="154"/>
        <x:v>0</x:v>
      </x:c>
      <x:c r="GZ113">
        <x:f t="shared" si="155"/>
        <x:v>0</x:v>
      </x:c>
      <x:c r="HA113">
        <x:f t="shared" si="156"/>
        <x:v>0</x:v>
      </x:c>
      <x:c r="HB113" s="42">
        <x:f t="shared" si="157"/>
        <x:v>0</x:v>
      </x:c>
      <x:c r="HC113">
        <x:f t="shared" si="158"/>
        <x:v>0</x:v>
      </x:c>
      <x:c r="HD113">
        <x:f t="shared" si="159"/>
        <x:v>0</x:v>
      </x:c>
      <x:c r="HE113">
        <x:f t="shared" si="160"/>
        <x:v>0</x:v>
      </x:c>
      <x:c r="HF113">
        <x:f t="shared" si="161"/>
        <x:v>0</x:v>
      </x:c>
      <x:c r="HG113">
        <x:f t="shared" si="162"/>
        <x:v>0</x:v>
      </x:c>
      <x:c r="HH113">
        <x:f t="shared" si="163"/>
        <x:v>0</x:v>
      </x:c>
      <x:c r="HI113">
        <x:f t="shared" si="164"/>
        <x:v>0</x:v>
      </x:c>
      <x:c r="HJ113">
        <x:f t="shared" si="165"/>
        <x:v>0</x:v>
      </x:c>
      <x:c r="HK113">
        <x:f t="shared" si="166"/>
        <x:v>0</x:v>
      </x:c>
      <x:c r="HL113">
        <x:f t="shared" si="167"/>
        <x:v>0</x:v>
      </x:c>
    </x:row>
    <x:row r="114">
      <x:c r="D114" s="74"/>
      <x:c r="EQ114">
        <x:f t="shared" si="94"/>
        <x:v>0</x:v>
      </x:c>
      <x:c r="ER114">
        <x:f t="shared" si="95"/>
        <x:v>0</x:v>
      </x:c>
      <x:c r="ES114">
        <x:f t="shared" si="96"/>
        <x:v>0</x:v>
      </x:c>
      <x:c r="ET114">
        <x:f t="shared" si="97"/>
        <x:v>0</x:v>
      </x:c>
      <x:c r="EU114">
        <x:f t="shared" si="98"/>
        <x:v>0</x:v>
      </x:c>
      <x:c r="EV114">
        <x:f t="shared" si="99"/>
        <x:v>0</x:v>
      </x:c>
      <x:c r="EW114">
        <x:f t="shared" si="100"/>
        <x:v>0</x:v>
      </x:c>
      <x:c r="EX114">
        <x:f t="shared" si="101"/>
        <x:v>0</x:v>
      </x:c>
      <x:c r="EY114">
        <x:f t="shared" si="102"/>
        <x:v>0</x:v>
      </x:c>
      <x:c r="EZ114">
        <x:f t="shared" si="103"/>
        <x:v>0</x:v>
      </x:c>
      <x:c r="FA114" s="41">
        <x:f t="shared" si="104"/>
        <x:v>0</x:v>
      </x:c>
      <x:c r="FB114">
        <x:f t="shared" si="105"/>
        <x:v>0</x:v>
      </x:c>
      <x:c r="FC114">
        <x:f t="shared" si="106"/>
        <x:v>0</x:v>
      </x:c>
      <x:c r="FD114">
        <x:f t="shared" si="107"/>
        <x:v>0</x:v>
      </x:c>
      <x:c r="FE114">
        <x:f t="shared" si="108"/>
        <x:v>0</x:v>
      </x:c>
      <x:c r="FF114">
        <x:f t="shared" si="109"/>
        <x:v>0</x:v>
      </x:c>
      <x:c r="FG114">
        <x:f t="shared" si="110"/>
        <x:v>0</x:v>
      </x:c>
      <x:c r="FH114">
        <x:f t="shared" si="111"/>
        <x:v>0</x:v>
      </x:c>
      <x:c r="FI114">
        <x:f t="shared" si="112"/>
        <x:v>0</x:v>
      </x:c>
      <x:c r="FJ114">
        <x:f t="shared" si="113"/>
        <x:v>0</x:v>
      </x:c>
      <x:c r="FK114">
        <x:f t="shared" si="114"/>
        <x:v>0</x:v>
      </x:c>
      <x:c r="FL114" s="41">
        <x:f t="shared" si="115"/>
        <x:v>0</x:v>
      </x:c>
      <x:c r="FM114">
        <x:f t="shared" si="116"/>
        <x:v>0</x:v>
      </x:c>
      <x:c r="FN114">
        <x:f t="shared" si="117"/>
        <x:v>0</x:v>
      </x:c>
      <x:c r="FO114">
        <x:f t="shared" si="118"/>
        <x:v>0</x:v>
      </x:c>
      <x:c r="FP114">
        <x:f t="shared" si="119"/>
        <x:v>0</x:v>
      </x:c>
      <x:c r="FQ114">
        <x:f t="shared" si="120"/>
        <x:v>0</x:v>
      </x:c>
      <x:c r="FR114">
        <x:f t="shared" si="121"/>
        <x:v>0</x:v>
      </x:c>
      <x:c r="FS114">
        <x:f t="shared" si="122"/>
        <x:v>0</x:v>
      </x:c>
      <x:c r="FT114">
        <x:f t="shared" si="123"/>
        <x:v>0</x:v>
      </x:c>
      <x:c r="FU114">
        <x:f t="shared" si="124"/>
        <x:v>0</x:v>
      </x:c>
      <x:c r="FV114">
        <x:f t="shared" si="125"/>
        <x:v>0</x:v>
      </x:c>
      <x:c r="FW114" s="41">
        <x:f t="shared" si="126"/>
        <x:v>0</x:v>
      </x:c>
      <x:c r="FX114">
        <x:f t="shared" si="127"/>
        <x:v>0</x:v>
      </x:c>
      <x:c r="FY114">
        <x:f t="shared" si="128"/>
        <x:v>0</x:v>
      </x:c>
      <x:c r="FZ114">
        <x:f t="shared" si="129"/>
        <x:v>0</x:v>
      </x:c>
      <x:c r="GA114">
        <x:f t="shared" si="130"/>
        <x:v>0</x:v>
      </x:c>
      <x:c r="GB114">
        <x:f t="shared" si="131"/>
        <x:v>0</x:v>
      </x:c>
      <x:c r="GC114">
        <x:f t="shared" si="132"/>
        <x:v>0</x:v>
      </x:c>
      <x:c r="GD114">
        <x:f t="shared" si="133"/>
        <x:v>0</x:v>
      </x:c>
      <x:c r="GE114">
        <x:f t="shared" si="134"/>
        <x:v>0</x:v>
      </x:c>
      <x:c r="GF114">
        <x:f t="shared" si="135"/>
        <x:v>0</x:v>
      </x:c>
      <x:c r="GG114">
        <x:f t="shared" si="136"/>
        <x:v>0</x:v>
      </x:c>
      <x:c r="GH114">
        <x:f t="shared" si="137"/>
        <x:v>0</x:v>
      </x:c>
      <x:c r="GI114">
        <x:f t="shared" si="138"/>
        <x:v>0</x:v>
      </x:c>
      <x:c r="GJ114">
        <x:f t="shared" si="139"/>
        <x:v>0</x:v>
      </x:c>
      <x:c r="GK114">
        <x:f t="shared" si="140"/>
        <x:v>0</x:v>
      </x:c>
      <x:c r="GL114">
        <x:f t="shared" si="141"/>
        <x:v>0</x:v>
      </x:c>
      <x:c r="GM114">
        <x:f t="shared" si="142"/>
        <x:v>0</x:v>
      </x:c>
      <x:c r="GN114">
        <x:f t="shared" si="143"/>
        <x:v>0</x:v>
      </x:c>
      <x:c r="GO114">
        <x:f t="shared" si="144"/>
        <x:v>0</x:v>
      </x:c>
      <x:c r="GP114">
        <x:f t="shared" si="145"/>
        <x:v>0</x:v>
      </x:c>
      <x:c r="GQ114">
        <x:f t="shared" si="146"/>
        <x:v>0</x:v>
      </x:c>
      <x:c r="GR114" s="42">
        <x:f t="shared" si="147"/>
        <x:v>0</x:v>
      </x:c>
      <x:c r="GS114">
        <x:f t="shared" si="148"/>
        <x:v>0</x:v>
      </x:c>
      <x:c r="GT114">
        <x:f t="shared" si="149"/>
        <x:v>0</x:v>
      </x:c>
      <x:c r="GU114">
        <x:f t="shared" si="150"/>
        <x:v>0</x:v>
      </x:c>
      <x:c r="GV114">
        <x:f t="shared" si="151"/>
        <x:v>0</x:v>
      </x:c>
      <x:c r="GW114">
        <x:f t="shared" si="152"/>
        <x:v>0</x:v>
      </x:c>
      <x:c r="GX114">
        <x:f t="shared" si="153"/>
        <x:v>0</x:v>
      </x:c>
      <x:c r="GY114">
        <x:f t="shared" si="154"/>
        <x:v>0</x:v>
      </x:c>
      <x:c r="GZ114">
        <x:f t="shared" si="155"/>
        <x:v>0</x:v>
      </x:c>
      <x:c r="HA114">
        <x:f t="shared" si="156"/>
        <x:v>0</x:v>
      </x:c>
      <x:c r="HB114" s="42">
        <x:f t="shared" si="157"/>
        <x:v>0</x:v>
      </x:c>
      <x:c r="HC114">
        <x:f t="shared" si="158"/>
        <x:v>0</x:v>
      </x:c>
      <x:c r="HD114">
        <x:f t="shared" si="159"/>
        <x:v>0</x:v>
      </x:c>
      <x:c r="HE114">
        <x:f t="shared" si="160"/>
        <x:v>0</x:v>
      </x:c>
      <x:c r="HF114">
        <x:f t="shared" si="161"/>
        <x:v>0</x:v>
      </x:c>
      <x:c r="HG114">
        <x:f t="shared" si="162"/>
        <x:v>0</x:v>
      </x:c>
      <x:c r="HH114">
        <x:f t="shared" si="163"/>
        <x:v>0</x:v>
      </x:c>
      <x:c r="HI114">
        <x:f t="shared" si="164"/>
        <x:v>0</x:v>
      </x:c>
      <x:c r="HJ114">
        <x:f t="shared" si="165"/>
        <x:v>0</x:v>
      </x:c>
      <x:c r="HK114">
        <x:f t="shared" si="166"/>
        <x:v>0</x:v>
      </x:c>
      <x:c r="HL114">
        <x:f t="shared" si="167"/>
        <x:v>0</x:v>
      </x:c>
    </x:row>
    <x:row r="115">
      <x:c r="D115" s="74"/>
      <x:c r="EQ115">
        <x:f t="shared" si="94"/>
        <x:v>0</x:v>
      </x:c>
      <x:c r="ER115">
        <x:f t="shared" si="95"/>
        <x:v>0</x:v>
      </x:c>
      <x:c r="ES115">
        <x:f t="shared" si="96"/>
        <x:v>0</x:v>
      </x:c>
      <x:c r="ET115">
        <x:f t="shared" si="97"/>
        <x:v>0</x:v>
      </x:c>
      <x:c r="EU115">
        <x:f t="shared" si="98"/>
        <x:v>0</x:v>
      </x:c>
      <x:c r="EV115">
        <x:f t="shared" si="99"/>
        <x:v>0</x:v>
      </x:c>
      <x:c r="EW115">
        <x:f t="shared" si="100"/>
        <x:v>0</x:v>
      </x:c>
      <x:c r="EX115">
        <x:f t="shared" si="101"/>
        <x:v>0</x:v>
      </x:c>
      <x:c r="EY115">
        <x:f t="shared" si="102"/>
        <x:v>0</x:v>
      </x:c>
      <x:c r="EZ115">
        <x:f t="shared" si="103"/>
        <x:v>0</x:v>
      </x:c>
      <x:c r="FA115" s="41">
        <x:f t="shared" si="104"/>
        <x:v>0</x:v>
      </x:c>
      <x:c r="FB115">
        <x:f t="shared" si="105"/>
        <x:v>0</x:v>
      </x:c>
      <x:c r="FC115">
        <x:f t="shared" si="106"/>
        <x:v>0</x:v>
      </x:c>
      <x:c r="FD115">
        <x:f t="shared" si="107"/>
        <x:v>0</x:v>
      </x:c>
      <x:c r="FE115">
        <x:f t="shared" si="108"/>
        <x:v>0</x:v>
      </x:c>
      <x:c r="FF115">
        <x:f t="shared" si="109"/>
        <x:v>0</x:v>
      </x:c>
      <x:c r="FG115">
        <x:f t="shared" si="110"/>
        <x:v>0</x:v>
      </x:c>
      <x:c r="FH115">
        <x:f t="shared" si="111"/>
        <x:v>0</x:v>
      </x:c>
      <x:c r="FI115">
        <x:f t="shared" si="112"/>
        <x:v>0</x:v>
      </x:c>
      <x:c r="FJ115">
        <x:f t="shared" si="113"/>
        <x:v>0</x:v>
      </x:c>
      <x:c r="FK115">
        <x:f t="shared" si="114"/>
        <x:v>0</x:v>
      </x:c>
      <x:c r="FL115" s="41">
        <x:f t="shared" si="115"/>
        <x:v>0</x:v>
      </x:c>
      <x:c r="FM115">
        <x:f t="shared" si="116"/>
        <x:v>0</x:v>
      </x:c>
      <x:c r="FN115">
        <x:f t="shared" si="117"/>
        <x:v>0</x:v>
      </x:c>
      <x:c r="FO115">
        <x:f t="shared" si="118"/>
        <x:v>0</x:v>
      </x:c>
      <x:c r="FP115">
        <x:f t="shared" si="119"/>
        <x:v>0</x:v>
      </x:c>
      <x:c r="FQ115">
        <x:f t="shared" si="120"/>
        <x:v>0</x:v>
      </x:c>
      <x:c r="FR115">
        <x:f t="shared" si="121"/>
        <x:v>0</x:v>
      </x:c>
      <x:c r="FS115">
        <x:f t="shared" si="122"/>
        <x:v>0</x:v>
      </x:c>
      <x:c r="FT115">
        <x:f t="shared" si="123"/>
        <x:v>0</x:v>
      </x:c>
      <x:c r="FU115">
        <x:f t="shared" si="124"/>
        <x:v>0</x:v>
      </x:c>
      <x:c r="FV115">
        <x:f t="shared" si="125"/>
        <x:v>0</x:v>
      </x:c>
      <x:c r="FW115" s="41">
        <x:f t="shared" si="126"/>
        <x:v>0</x:v>
      </x:c>
      <x:c r="FX115">
        <x:f t="shared" si="127"/>
        <x:v>0</x:v>
      </x:c>
      <x:c r="FY115">
        <x:f t="shared" si="128"/>
        <x:v>0</x:v>
      </x:c>
      <x:c r="FZ115">
        <x:f t="shared" si="129"/>
        <x:v>0</x:v>
      </x:c>
      <x:c r="GA115">
        <x:f t="shared" si="130"/>
        <x:v>0</x:v>
      </x:c>
      <x:c r="GB115">
        <x:f t="shared" si="131"/>
        <x:v>0</x:v>
      </x:c>
      <x:c r="GC115">
        <x:f t="shared" si="132"/>
        <x:v>0</x:v>
      </x:c>
      <x:c r="GD115">
        <x:f t="shared" si="133"/>
        <x:v>0</x:v>
      </x:c>
      <x:c r="GE115">
        <x:f t="shared" si="134"/>
        <x:v>0</x:v>
      </x:c>
      <x:c r="GF115">
        <x:f t="shared" si="135"/>
        <x:v>0</x:v>
      </x:c>
      <x:c r="GG115">
        <x:f t="shared" si="136"/>
        <x:v>0</x:v>
      </x:c>
      <x:c r="GH115">
        <x:f t="shared" si="137"/>
        <x:v>0</x:v>
      </x:c>
      <x:c r="GI115">
        <x:f t="shared" si="138"/>
        <x:v>0</x:v>
      </x:c>
      <x:c r="GJ115">
        <x:f t="shared" si="139"/>
        <x:v>0</x:v>
      </x:c>
      <x:c r="GK115">
        <x:f t="shared" si="140"/>
        <x:v>0</x:v>
      </x:c>
      <x:c r="GL115">
        <x:f t="shared" si="141"/>
        <x:v>0</x:v>
      </x:c>
      <x:c r="GM115">
        <x:f t="shared" si="142"/>
        <x:v>0</x:v>
      </x:c>
      <x:c r="GN115">
        <x:f t="shared" si="143"/>
        <x:v>0</x:v>
      </x:c>
      <x:c r="GO115">
        <x:f t="shared" si="144"/>
        <x:v>0</x:v>
      </x:c>
      <x:c r="GP115">
        <x:f t="shared" si="145"/>
        <x:v>0</x:v>
      </x:c>
      <x:c r="GQ115">
        <x:f t="shared" si="146"/>
        <x:v>0</x:v>
      </x:c>
      <x:c r="GR115" s="42">
        <x:f t="shared" si="147"/>
        <x:v>0</x:v>
      </x:c>
      <x:c r="GS115">
        <x:f t="shared" si="148"/>
        <x:v>0</x:v>
      </x:c>
      <x:c r="GT115">
        <x:f t="shared" si="149"/>
        <x:v>0</x:v>
      </x:c>
      <x:c r="GU115">
        <x:f t="shared" si="150"/>
        <x:v>0</x:v>
      </x:c>
      <x:c r="GV115">
        <x:f t="shared" si="151"/>
        <x:v>0</x:v>
      </x:c>
      <x:c r="GW115">
        <x:f t="shared" si="152"/>
        <x:v>0</x:v>
      </x:c>
      <x:c r="GX115">
        <x:f t="shared" si="153"/>
        <x:v>0</x:v>
      </x:c>
      <x:c r="GY115">
        <x:f t="shared" si="154"/>
        <x:v>0</x:v>
      </x:c>
      <x:c r="GZ115">
        <x:f t="shared" si="155"/>
        <x:v>0</x:v>
      </x:c>
      <x:c r="HA115">
        <x:f t="shared" si="156"/>
        <x:v>0</x:v>
      </x:c>
      <x:c r="HB115" s="42">
        <x:f t="shared" si="157"/>
        <x:v>0</x:v>
      </x:c>
      <x:c r="HC115">
        <x:f t="shared" si="158"/>
        <x:v>0</x:v>
      </x:c>
      <x:c r="HD115">
        <x:f t="shared" si="159"/>
        <x:v>0</x:v>
      </x:c>
      <x:c r="HE115">
        <x:f t="shared" si="160"/>
        <x:v>0</x:v>
      </x:c>
      <x:c r="HF115">
        <x:f t="shared" si="161"/>
        <x:v>0</x:v>
      </x:c>
      <x:c r="HG115">
        <x:f t="shared" si="162"/>
        <x:v>0</x:v>
      </x:c>
      <x:c r="HH115">
        <x:f t="shared" si="163"/>
        <x:v>0</x:v>
      </x:c>
      <x:c r="HI115">
        <x:f t="shared" si="164"/>
        <x:v>0</x:v>
      </x:c>
      <x:c r="HJ115">
        <x:f t="shared" si="165"/>
        <x:v>0</x:v>
      </x:c>
      <x:c r="HK115">
        <x:f t="shared" si="166"/>
        <x:v>0</x:v>
      </x:c>
      <x:c r="HL115">
        <x:f t="shared" si="167"/>
        <x:v>0</x:v>
      </x:c>
    </x:row>
    <x:row r="116">
      <x:c r="D116" s="74"/>
      <x:c r="EQ116">
        <x:f t="shared" si="94"/>
        <x:v>0</x:v>
      </x:c>
      <x:c r="ER116">
        <x:f t="shared" si="95"/>
        <x:v>0</x:v>
      </x:c>
      <x:c r="ES116">
        <x:f t="shared" si="96"/>
        <x:v>0</x:v>
      </x:c>
      <x:c r="ET116">
        <x:f t="shared" si="97"/>
        <x:v>0</x:v>
      </x:c>
      <x:c r="EU116">
        <x:f t="shared" si="98"/>
        <x:v>0</x:v>
      </x:c>
      <x:c r="EV116">
        <x:f t="shared" si="99"/>
        <x:v>0</x:v>
      </x:c>
      <x:c r="EW116">
        <x:f t="shared" si="100"/>
        <x:v>0</x:v>
      </x:c>
      <x:c r="EX116">
        <x:f t="shared" si="101"/>
        <x:v>0</x:v>
      </x:c>
      <x:c r="EY116">
        <x:f t="shared" si="102"/>
        <x:v>0</x:v>
      </x:c>
      <x:c r="EZ116">
        <x:f t="shared" si="103"/>
        <x:v>0</x:v>
      </x:c>
      <x:c r="FA116" s="41">
        <x:f t="shared" si="104"/>
        <x:v>0</x:v>
      </x:c>
      <x:c r="FB116">
        <x:f t="shared" si="105"/>
        <x:v>0</x:v>
      </x:c>
      <x:c r="FC116">
        <x:f t="shared" si="106"/>
        <x:v>0</x:v>
      </x:c>
      <x:c r="FD116">
        <x:f t="shared" si="107"/>
        <x:v>0</x:v>
      </x:c>
      <x:c r="FE116">
        <x:f t="shared" si="108"/>
        <x:v>0</x:v>
      </x:c>
      <x:c r="FF116">
        <x:f t="shared" si="109"/>
        <x:v>0</x:v>
      </x:c>
      <x:c r="FG116">
        <x:f t="shared" si="110"/>
        <x:v>0</x:v>
      </x:c>
      <x:c r="FH116">
        <x:f t="shared" si="111"/>
        <x:v>0</x:v>
      </x:c>
      <x:c r="FI116">
        <x:f t="shared" si="112"/>
        <x:v>0</x:v>
      </x:c>
      <x:c r="FJ116">
        <x:f t="shared" si="113"/>
        <x:v>0</x:v>
      </x:c>
      <x:c r="FK116">
        <x:f t="shared" si="114"/>
        <x:v>0</x:v>
      </x:c>
      <x:c r="FL116" s="41">
        <x:f t="shared" si="115"/>
        <x:v>0</x:v>
      </x:c>
      <x:c r="FM116">
        <x:f t="shared" si="116"/>
        <x:v>0</x:v>
      </x:c>
      <x:c r="FN116">
        <x:f t="shared" si="117"/>
        <x:v>0</x:v>
      </x:c>
      <x:c r="FO116">
        <x:f t="shared" si="118"/>
        <x:v>0</x:v>
      </x:c>
      <x:c r="FP116">
        <x:f t="shared" si="119"/>
        <x:v>0</x:v>
      </x:c>
      <x:c r="FQ116">
        <x:f t="shared" si="120"/>
        <x:v>0</x:v>
      </x:c>
      <x:c r="FR116">
        <x:f t="shared" si="121"/>
        <x:v>0</x:v>
      </x:c>
      <x:c r="FS116">
        <x:f t="shared" si="122"/>
        <x:v>0</x:v>
      </x:c>
      <x:c r="FT116">
        <x:f t="shared" si="123"/>
        <x:v>0</x:v>
      </x:c>
      <x:c r="FU116">
        <x:f t="shared" si="124"/>
        <x:v>0</x:v>
      </x:c>
      <x:c r="FV116">
        <x:f t="shared" si="125"/>
        <x:v>0</x:v>
      </x:c>
      <x:c r="FW116" s="41">
        <x:f t="shared" si="126"/>
        <x:v>0</x:v>
      </x:c>
      <x:c r="FX116">
        <x:f t="shared" si="127"/>
        <x:v>0</x:v>
      </x:c>
      <x:c r="FY116">
        <x:f t="shared" si="128"/>
        <x:v>0</x:v>
      </x:c>
      <x:c r="FZ116">
        <x:f t="shared" si="129"/>
        <x:v>0</x:v>
      </x:c>
      <x:c r="GA116">
        <x:f t="shared" si="130"/>
        <x:v>0</x:v>
      </x:c>
      <x:c r="GB116">
        <x:f t="shared" si="131"/>
        <x:v>0</x:v>
      </x:c>
      <x:c r="GC116">
        <x:f t="shared" si="132"/>
        <x:v>0</x:v>
      </x:c>
      <x:c r="GD116">
        <x:f t="shared" si="133"/>
        <x:v>0</x:v>
      </x:c>
      <x:c r="GE116">
        <x:f t="shared" si="134"/>
        <x:v>0</x:v>
      </x:c>
      <x:c r="GF116">
        <x:f t="shared" si="135"/>
        <x:v>0</x:v>
      </x:c>
      <x:c r="GG116">
        <x:f t="shared" si="136"/>
        <x:v>0</x:v>
      </x:c>
      <x:c r="GH116">
        <x:f t="shared" si="137"/>
        <x:v>0</x:v>
      </x:c>
      <x:c r="GI116">
        <x:f t="shared" si="138"/>
        <x:v>0</x:v>
      </x:c>
      <x:c r="GJ116">
        <x:f t="shared" si="139"/>
        <x:v>0</x:v>
      </x:c>
      <x:c r="GK116">
        <x:f t="shared" si="140"/>
        <x:v>0</x:v>
      </x:c>
      <x:c r="GL116">
        <x:f t="shared" si="141"/>
        <x:v>0</x:v>
      </x:c>
      <x:c r="GM116">
        <x:f t="shared" si="142"/>
        <x:v>0</x:v>
      </x:c>
      <x:c r="GN116">
        <x:f t="shared" si="143"/>
        <x:v>0</x:v>
      </x:c>
      <x:c r="GO116">
        <x:f t="shared" si="144"/>
        <x:v>0</x:v>
      </x:c>
      <x:c r="GP116">
        <x:f t="shared" si="145"/>
        <x:v>0</x:v>
      </x:c>
      <x:c r="GQ116">
        <x:f t="shared" si="146"/>
        <x:v>0</x:v>
      </x:c>
      <x:c r="GR116" s="42">
        <x:f t="shared" si="147"/>
        <x:v>0</x:v>
      </x:c>
      <x:c r="GS116">
        <x:f t="shared" si="148"/>
        <x:v>0</x:v>
      </x:c>
      <x:c r="GT116">
        <x:f t="shared" si="149"/>
        <x:v>0</x:v>
      </x:c>
      <x:c r="GU116">
        <x:f t="shared" si="150"/>
        <x:v>0</x:v>
      </x:c>
      <x:c r="GV116">
        <x:f t="shared" si="151"/>
        <x:v>0</x:v>
      </x:c>
      <x:c r="GW116">
        <x:f t="shared" si="152"/>
        <x:v>0</x:v>
      </x:c>
      <x:c r="GX116">
        <x:f t="shared" si="153"/>
        <x:v>0</x:v>
      </x:c>
      <x:c r="GY116">
        <x:f t="shared" si="154"/>
        <x:v>0</x:v>
      </x:c>
      <x:c r="GZ116">
        <x:f t="shared" si="155"/>
        <x:v>0</x:v>
      </x:c>
      <x:c r="HA116">
        <x:f t="shared" si="156"/>
        <x:v>0</x:v>
      </x:c>
      <x:c r="HB116" s="42">
        <x:f t="shared" si="157"/>
        <x:v>0</x:v>
      </x:c>
      <x:c r="HC116">
        <x:f t="shared" si="158"/>
        <x:v>0</x:v>
      </x:c>
      <x:c r="HD116">
        <x:f t="shared" si="159"/>
        <x:v>0</x:v>
      </x:c>
      <x:c r="HE116">
        <x:f t="shared" si="160"/>
        <x:v>0</x:v>
      </x:c>
      <x:c r="HF116">
        <x:f t="shared" si="161"/>
        <x:v>0</x:v>
      </x:c>
      <x:c r="HG116">
        <x:f t="shared" si="162"/>
        <x:v>0</x:v>
      </x:c>
      <x:c r="HH116">
        <x:f t="shared" si="163"/>
        <x:v>0</x:v>
      </x:c>
      <x:c r="HI116">
        <x:f t="shared" si="164"/>
        <x:v>0</x:v>
      </x:c>
      <x:c r="HJ116">
        <x:f t="shared" si="165"/>
        <x:v>0</x:v>
      </x:c>
      <x:c r="HK116">
        <x:f t="shared" si="166"/>
        <x:v>0</x:v>
      </x:c>
      <x:c r="HL116">
        <x:f t="shared" si="167"/>
        <x:v>0</x:v>
      </x:c>
    </x:row>
    <x:row r="117">
      <x:c r="D117" s="74"/>
      <x:c r="EQ117">
        <x:f t="shared" si="94"/>
        <x:v>0</x:v>
      </x:c>
      <x:c r="ER117">
        <x:f t="shared" si="95"/>
        <x:v>0</x:v>
      </x:c>
      <x:c r="ES117">
        <x:f t="shared" si="96"/>
        <x:v>0</x:v>
      </x:c>
      <x:c r="ET117">
        <x:f t="shared" si="97"/>
        <x:v>0</x:v>
      </x:c>
      <x:c r="EU117">
        <x:f t="shared" si="98"/>
        <x:v>0</x:v>
      </x:c>
      <x:c r="EV117">
        <x:f t="shared" si="99"/>
        <x:v>0</x:v>
      </x:c>
      <x:c r="EW117">
        <x:f t="shared" si="100"/>
        <x:v>0</x:v>
      </x:c>
      <x:c r="EX117">
        <x:f t="shared" si="101"/>
        <x:v>0</x:v>
      </x:c>
      <x:c r="EY117">
        <x:f t="shared" si="102"/>
        <x:v>0</x:v>
      </x:c>
      <x:c r="EZ117">
        <x:f t="shared" si="103"/>
        <x:v>0</x:v>
      </x:c>
      <x:c r="FA117" s="41">
        <x:f t="shared" si="104"/>
        <x:v>0</x:v>
      </x:c>
      <x:c r="FB117">
        <x:f t="shared" si="105"/>
        <x:v>0</x:v>
      </x:c>
      <x:c r="FC117">
        <x:f t="shared" si="106"/>
        <x:v>0</x:v>
      </x:c>
      <x:c r="FD117">
        <x:f t="shared" si="107"/>
        <x:v>0</x:v>
      </x:c>
      <x:c r="FE117">
        <x:f t="shared" si="108"/>
        <x:v>0</x:v>
      </x:c>
      <x:c r="FF117">
        <x:f t="shared" si="109"/>
        <x:v>0</x:v>
      </x:c>
      <x:c r="FG117">
        <x:f t="shared" si="110"/>
        <x:v>0</x:v>
      </x:c>
      <x:c r="FH117">
        <x:f t="shared" si="111"/>
        <x:v>0</x:v>
      </x:c>
      <x:c r="FI117">
        <x:f t="shared" si="112"/>
        <x:v>0</x:v>
      </x:c>
      <x:c r="FJ117">
        <x:f t="shared" si="113"/>
        <x:v>0</x:v>
      </x:c>
      <x:c r="FK117">
        <x:f t="shared" si="114"/>
        <x:v>0</x:v>
      </x:c>
      <x:c r="FL117" s="41">
        <x:f t="shared" si="115"/>
        <x:v>0</x:v>
      </x:c>
      <x:c r="FM117">
        <x:f t="shared" si="116"/>
        <x:v>0</x:v>
      </x:c>
      <x:c r="FN117">
        <x:f t="shared" si="117"/>
        <x:v>0</x:v>
      </x:c>
      <x:c r="FO117">
        <x:f t="shared" si="118"/>
        <x:v>0</x:v>
      </x:c>
      <x:c r="FP117">
        <x:f t="shared" si="119"/>
        <x:v>0</x:v>
      </x:c>
      <x:c r="FQ117">
        <x:f t="shared" si="120"/>
        <x:v>0</x:v>
      </x:c>
      <x:c r="FR117">
        <x:f t="shared" si="121"/>
        <x:v>0</x:v>
      </x:c>
      <x:c r="FS117">
        <x:f t="shared" si="122"/>
        <x:v>0</x:v>
      </x:c>
      <x:c r="FT117">
        <x:f t="shared" si="123"/>
        <x:v>0</x:v>
      </x:c>
      <x:c r="FU117">
        <x:f t="shared" si="124"/>
        <x:v>0</x:v>
      </x:c>
      <x:c r="FV117">
        <x:f t="shared" si="125"/>
        <x:v>0</x:v>
      </x:c>
      <x:c r="FW117" s="41">
        <x:f t="shared" si="126"/>
        <x:v>0</x:v>
      </x:c>
      <x:c r="FX117">
        <x:f t="shared" si="127"/>
        <x:v>0</x:v>
      </x:c>
      <x:c r="FY117">
        <x:f t="shared" si="128"/>
        <x:v>0</x:v>
      </x:c>
      <x:c r="FZ117">
        <x:f t="shared" si="129"/>
        <x:v>0</x:v>
      </x:c>
      <x:c r="GA117">
        <x:f t="shared" si="130"/>
        <x:v>0</x:v>
      </x:c>
      <x:c r="GB117">
        <x:f t="shared" si="131"/>
        <x:v>0</x:v>
      </x:c>
      <x:c r="GC117">
        <x:f t="shared" si="132"/>
        <x:v>0</x:v>
      </x:c>
      <x:c r="GD117">
        <x:f t="shared" si="133"/>
        <x:v>0</x:v>
      </x:c>
      <x:c r="GE117">
        <x:f t="shared" si="134"/>
        <x:v>0</x:v>
      </x:c>
      <x:c r="GF117">
        <x:f t="shared" si="135"/>
        <x:v>0</x:v>
      </x:c>
      <x:c r="GG117">
        <x:f t="shared" si="136"/>
        <x:v>0</x:v>
      </x:c>
      <x:c r="GH117">
        <x:f t="shared" si="137"/>
        <x:v>0</x:v>
      </x:c>
      <x:c r="GI117">
        <x:f t="shared" si="138"/>
        <x:v>0</x:v>
      </x:c>
      <x:c r="GJ117">
        <x:f t="shared" si="139"/>
        <x:v>0</x:v>
      </x:c>
      <x:c r="GK117">
        <x:f t="shared" si="140"/>
        <x:v>0</x:v>
      </x:c>
      <x:c r="GL117">
        <x:f t="shared" si="141"/>
        <x:v>0</x:v>
      </x:c>
      <x:c r="GM117">
        <x:f t="shared" si="142"/>
        <x:v>0</x:v>
      </x:c>
      <x:c r="GN117">
        <x:f t="shared" si="143"/>
        <x:v>0</x:v>
      </x:c>
      <x:c r="GO117">
        <x:f t="shared" si="144"/>
        <x:v>0</x:v>
      </x:c>
      <x:c r="GP117">
        <x:f t="shared" si="145"/>
        <x:v>0</x:v>
      </x:c>
      <x:c r="GQ117">
        <x:f t="shared" si="146"/>
        <x:v>0</x:v>
      </x:c>
      <x:c r="GR117" s="42">
        <x:f t="shared" si="147"/>
        <x:v>0</x:v>
      </x:c>
      <x:c r="GS117">
        <x:f t="shared" si="148"/>
        <x:v>0</x:v>
      </x:c>
      <x:c r="GT117">
        <x:f t="shared" si="149"/>
        <x:v>0</x:v>
      </x:c>
      <x:c r="GU117">
        <x:f t="shared" si="150"/>
        <x:v>0</x:v>
      </x:c>
      <x:c r="GV117">
        <x:f t="shared" si="151"/>
        <x:v>0</x:v>
      </x:c>
      <x:c r="GW117">
        <x:f t="shared" si="152"/>
        <x:v>0</x:v>
      </x:c>
      <x:c r="GX117">
        <x:f t="shared" si="153"/>
        <x:v>0</x:v>
      </x:c>
      <x:c r="GY117">
        <x:f t="shared" si="154"/>
        <x:v>0</x:v>
      </x:c>
      <x:c r="GZ117">
        <x:f t="shared" si="155"/>
        <x:v>0</x:v>
      </x:c>
      <x:c r="HA117">
        <x:f t="shared" si="156"/>
        <x:v>0</x:v>
      </x:c>
      <x:c r="HB117" s="42">
        <x:f t="shared" si="157"/>
        <x:v>0</x:v>
      </x:c>
      <x:c r="HC117">
        <x:f t="shared" si="158"/>
        <x:v>0</x:v>
      </x:c>
      <x:c r="HD117">
        <x:f t="shared" si="159"/>
        <x:v>0</x:v>
      </x:c>
      <x:c r="HE117">
        <x:f t="shared" si="160"/>
        <x:v>0</x:v>
      </x:c>
      <x:c r="HF117">
        <x:f t="shared" si="161"/>
        <x:v>0</x:v>
      </x:c>
      <x:c r="HG117">
        <x:f t="shared" si="162"/>
        <x:v>0</x:v>
      </x:c>
      <x:c r="HH117">
        <x:f t="shared" si="163"/>
        <x:v>0</x:v>
      </x:c>
      <x:c r="HI117">
        <x:f t="shared" si="164"/>
        <x:v>0</x:v>
      </x:c>
      <x:c r="HJ117">
        <x:f t="shared" si="165"/>
        <x:v>0</x:v>
      </x:c>
      <x:c r="HK117">
        <x:f t="shared" si="166"/>
        <x:v>0</x:v>
      </x:c>
      <x:c r="HL117">
        <x:f t="shared" si="167"/>
        <x:v>0</x:v>
      </x:c>
    </x:row>
    <x:row r="118">
      <x:c r="D118" s="74"/>
      <x:c r="EQ118">
        <x:f t="shared" si="94"/>
        <x:v>0</x:v>
      </x:c>
      <x:c r="ER118">
        <x:f t="shared" si="95"/>
        <x:v>0</x:v>
      </x:c>
      <x:c r="ES118">
        <x:f t="shared" si="96"/>
        <x:v>0</x:v>
      </x:c>
      <x:c r="ET118">
        <x:f t="shared" si="97"/>
        <x:v>0</x:v>
      </x:c>
      <x:c r="EU118">
        <x:f t="shared" si="98"/>
        <x:v>0</x:v>
      </x:c>
      <x:c r="EV118">
        <x:f t="shared" si="99"/>
        <x:v>0</x:v>
      </x:c>
      <x:c r="EW118">
        <x:f t="shared" si="100"/>
        <x:v>0</x:v>
      </x:c>
      <x:c r="EX118">
        <x:f t="shared" si="101"/>
        <x:v>0</x:v>
      </x:c>
      <x:c r="EY118">
        <x:f t="shared" si="102"/>
        <x:v>0</x:v>
      </x:c>
      <x:c r="EZ118">
        <x:f t="shared" si="103"/>
        <x:v>0</x:v>
      </x:c>
      <x:c r="FA118" s="41">
        <x:f t="shared" si="104"/>
        <x:v>0</x:v>
      </x:c>
      <x:c r="FB118">
        <x:f t="shared" si="105"/>
        <x:v>0</x:v>
      </x:c>
      <x:c r="FC118">
        <x:f t="shared" si="106"/>
        <x:v>0</x:v>
      </x:c>
      <x:c r="FD118">
        <x:f t="shared" si="107"/>
        <x:v>0</x:v>
      </x:c>
      <x:c r="FE118">
        <x:f t="shared" si="108"/>
        <x:v>0</x:v>
      </x:c>
      <x:c r="FF118">
        <x:f t="shared" si="109"/>
        <x:v>0</x:v>
      </x:c>
      <x:c r="FG118">
        <x:f t="shared" si="110"/>
        <x:v>0</x:v>
      </x:c>
      <x:c r="FH118">
        <x:f t="shared" si="111"/>
        <x:v>0</x:v>
      </x:c>
      <x:c r="FI118">
        <x:f t="shared" si="112"/>
        <x:v>0</x:v>
      </x:c>
      <x:c r="FJ118">
        <x:f t="shared" si="113"/>
        <x:v>0</x:v>
      </x:c>
      <x:c r="FK118">
        <x:f t="shared" si="114"/>
        <x:v>0</x:v>
      </x:c>
      <x:c r="FL118" s="41">
        <x:f t="shared" si="115"/>
        <x:v>0</x:v>
      </x:c>
      <x:c r="FM118">
        <x:f t="shared" si="116"/>
        <x:v>0</x:v>
      </x:c>
      <x:c r="FN118">
        <x:f t="shared" si="117"/>
        <x:v>0</x:v>
      </x:c>
      <x:c r="FO118">
        <x:f t="shared" si="118"/>
        <x:v>0</x:v>
      </x:c>
      <x:c r="FP118">
        <x:f t="shared" si="119"/>
        <x:v>0</x:v>
      </x:c>
      <x:c r="FQ118">
        <x:f t="shared" si="120"/>
        <x:v>0</x:v>
      </x:c>
      <x:c r="FR118">
        <x:f t="shared" si="121"/>
        <x:v>0</x:v>
      </x:c>
      <x:c r="FS118">
        <x:f t="shared" si="122"/>
        <x:v>0</x:v>
      </x:c>
      <x:c r="FT118">
        <x:f t="shared" si="123"/>
        <x:v>0</x:v>
      </x:c>
      <x:c r="FU118">
        <x:f t="shared" si="124"/>
        <x:v>0</x:v>
      </x:c>
      <x:c r="FV118">
        <x:f t="shared" si="125"/>
        <x:v>0</x:v>
      </x:c>
      <x:c r="FW118" s="41">
        <x:f t="shared" si="126"/>
        <x:v>0</x:v>
      </x:c>
      <x:c r="FX118">
        <x:f t="shared" si="127"/>
        <x:v>0</x:v>
      </x:c>
      <x:c r="FY118">
        <x:f t="shared" si="128"/>
        <x:v>0</x:v>
      </x:c>
      <x:c r="FZ118">
        <x:f t="shared" si="129"/>
        <x:v>0</x:v>
      </x:c>
      <x:c r="GA118">
        <x:f t="shared" si="130"/>
        <x:v>0</x:v>
      </x:c>
      <x:c r="GB118">
        <x:f t="shared" si="131"/>
        <x:v>0</x:v>
      </x:c>
      <x:c r="GC118">
        <x:f t="shared" si="132"/>
        <x:v>0</x:v>
      </x:c>
      <x:c r="GD118">
        <x:f t="shared" si="133"/>
        <x:v>0</x:v>
      </x:c>
      <x:c r="GE118">
        <x:f t="shared" si="134"/>
        <x:v>0</x:v>
      </x:c>
      <x:c r="GF118">
        <x:f t="shared" si="135"/>
        <x:v>0</x:v>
      </x:c>
      <x:c r="GG118">
        <x:f t="shared" si="136"/>
        <x:v>0</x:v>
      </x:c>
      <x:c r="GH118">
        <x:f t="shared" si="137"/>
        <x:v>0</x:v>
      </x:c>
      <x:c r="GI118">
        <x:f t="shared" si="138"/>
        <x:v>0</x:v>
      </x:c>
      <x:c r="GJ118">
        <x:f t="shared" si="139"/>
        <x:v>0</x:v>
      </x:c>
      <x:c r="GK118">
        <x:f t="shared" si="140"/>
        <x:v>0</x:v>
      </x:c>
      <x:c r="GL118">
        <x:f t="shared" si="141"/>
        <x:v>0</x:v>
      </x:c>
      <x:c r="GM118">
        <x:f t="shared" si="142"/>
        <x:v>0</x:v>
      </x:c>
      <x:c r="GN118">
        <x:f t="shared" si="143"/>
        <x:v>0</x:v>
      </x:c>
      <x:c r="GO118">
        <x:f t="shared" si="144"/>
        <x:v>0</x:v>
      </x:c>
      <x:c r="GP118">
        <x:f t="shared" si="145"/>
        <x:v>0</x:v>
      </x:c>
      <x:c r="GQ118">
        <x:f t="shared" si="146"/>
        <x:v>0</x:v>
      </x:c>
      <x:c r="GR118" s="42">
        <x:f t="shared" si="147"/>
        <x:v>0</x:v>
      </x:c>
      <x:c r="GS118">
        <x:f t="shared" si="148"/>
        <x:v>0</x:v>
      </x:c>
      <x:c r="GT118">
        <x:f t="shared" si="149"/>
        <x:v>0</x:v>
      </x:c>
      <x:c r="GU118">
        <x:f t="shared" si="150"/>
        <x:v>0</x:v>
      </x:c>
      <x:c r="GV118">
        <x:f t="shared" si="151"/>
        <x:v>0</x:v>
      </x:c>
      <x:c r="GW118">
        <x:f t="shared" si="152"/>
        <x:v>0</x:v>
      </x:c>
      <x:c r="GX118">
        <x:f t="shared" si="153"/>
        <x:v>0</x:v>
      </x:c>
      <x:c r="GY118">
        <x:f t="shared" si="154"/>
        <x:v>0</x:v>
      </x:c>
      <x:c r="GZ118">
        <x:f t="shared" si="155"/>
        <x:v>0</x:v>
      </x:c>
      <x:c r="HA118">
        <x:f t="shared" si="156"/>
        <x:v>0</x:v>
      </x:c>
      <x:c r="HB118" s="42">
        <x:f t="shared" si="157"/>
        <x:v>0</x:v>
      </x:c>
      <x:c r="HC118">
        <x:f t="shared" si="158"/>
        <x:v>0</x:v>
      </x:c>
      <x:c r="HD118">
        <x:f t="shared" si="159"/>
        <x:v>0</x:v>
      </x:c>
      <x:c r="HE118">
        <x:f t="shared" si="160"/>
        <x:v>0</x:v>
      </x:c>
      <x:c r="HF118">
        <x:f t="shared" si="161"/>
        <x:v>0</x:v>
      </x:c>
      <x:c r="HG118">
        <x:f t="shared" si="162"/>
        <x:v>0</x:v>
      </x:c>
      <x:c r="HH118">
        <x:f t="shared" si="163"/>
        <x:v>0</x:v>
      </x:c>
      <x:c r="HI118">
        <x:f t="shared" si="164"/>
        <x:v>0</x:v>
      </x:c>
      <x:c r="HJ118">
        <x:f t="shared" si="165"/>
        <x:v>0</x:v>
      </x:c>
      <x:c r="HK118">
        <x:f t="shared" si="166"/>
        <x:v>0</x:v>
      </x:c>
      <x:c r="HL118">
        <x:f t="shared" si="167"/>
        <x:v>0</x:v>
      </x:c>
    </x:row>
    <x:row r="119">
      <x:c r="D119" s="74"/>
      <x:c r="EQ119">
        <x:f t="shared" si="94"/>
        <x:v>0</x:v>
      </x:c>
      <x:c r="ER119">
        <x:f t="shared" si="95"/>
        <x:v>0</x:v>
      </x:c>
      <x:c r="ES119">
        <x:f t="shared" si="96"/>
        <x:v>0</x:v>
      </x:c>
      <x:c r="ET119">
        <x:f t="shared" si="97"/>
        <x:v>0</x:v>
      </x:c>
      <x:c r="EU119">
        <x:f t="shared" si="98"/>
        <x:v>0</x:v>
      </x:c>
      <x:c r="EV119">
        <x:f t="shared" si="99"/>
        <x:v>0</x:v>
      </x:c>
      <x:c r="EW119">
        <x:f t="shared" si="100"/>
        <x:v>0</x:v>
      </x:c>
      <x:c r="EX119">
        <x:f t="shared" si="101"/>
        <x:v>0</x:v>
      </x:c>
      <x:c r="EY119">
        <x:f t="shared" si="102"/>
        <x:v>0</x:v>
      </x:c>
      <x:c r="EZ119">
        <x:f t="shared" si="103"/>
        <x:v>0</x:v>
      </x:c>
      <x:c r="FA119" s="41">
        <x:f t="shared" si="104"/>
        <x:v>0</x:v>
      </x:c>
      <x:c r="FB119">
        <x:f t="shared" si="105"/>
        <x:v>0</x:v>
      </x:c>
      <x:c r="FC119">
        <x:f t="shared" si="106"/>
        <x:v>0</x:v>
      </x:c>
      <x:c r="FD119">
        <x:f t="shared" si="107"/>
        <x:v>0</x:v>
      </x:c>
      <x:c r="FE119">
        <x:f t="shared" si="108"/>
        <x:v>0</x:v>
      </x:c>
      <x:c r="FF119">
        <x:f t="shared" si="109"/>
        <x:v>0</x:v>
      </x:c>
      <x:c r="FG119">
        <x:f t="shared" si="110"/>
        <x:v>0</x:v>
      </x:c>
      <x:c r="FH119">
        <x:f t="shared" si="111"/>
        <x:v>0</x:v>
      </x:c>
      <x:c r="FI119">
        <x:f t="shared" si="112"/>
        <x:v>0</x:v>
      </x:c>
      <x:c r="FJ119">
        <x:f t="shared" si="113"/>
        <x:v>0</x:v>
      </x:c>
      <x:c r="FK119">
        <x:f t="shared" si="114"/>
        <x:v>0</x:v>
      </x:c>
      <x:c r="FL119" s="41">
        <x:f t="shared" si="115"/>
        <x:v>0</x:v>
      </x:c>
      <x:c r="FM119">
        <x:f t="shared" si="116"/>
        <x:v>0</x:v>
      </x:c>
      <x:c r="FN119">
        <x:f t="shared" si="117"/>
        <x:v>0</x:v>
      </x:c>
      <x:c r="FO119">
        <x:f t="shared" si="118"/>
        <x:v>0</x:v>
      </x:c>
      <x:c r="FP119">
        <x:f t="shared" si="119"/>
        <x:v>0</x:v>
      </x:c>
      <x:c r="FQ119">
        <x:f t="shared" si="120"/>
        <x:v>0</x:v>
      </x:c>
      <x:c r="FR119">
        <x:f t="shared" si="121"/>
        <x:v>0</x:v>
      </x:c>
      <x:c r="FS119">
        <x:f t="shared" si="122"/>
        <x:v>0</x:v>
      </x:c>
      <x:c r="FT119">
        <x:f t="shared" si="123"/>
        <x:v>0</x:v>
      </x:c>
      <x:c r="FU119">
        <x:f t="shared" si="124"/>
        <x:v>0</x:v>
      </x:c>
      <x:c r="FV119">
        <x:f t="shared" si="125"/>
        <x:v>0</x:v>
      </x:c>
      <x:c r="FW119" s="41">
        <x:f t="shared" si="126"/>
        <x:v>0</x:v>
      </x:c>
      <x:c r="FX119">
        <x:f t="shared" si="127"/>
        <x:v>0</x:v>
      </x:c>
      <x:c r="FY119">
        <x:f t="shared" si="128"/>
        <x:v>0</x:v>
      </x:c>
      <x:c r="FZ119">
        <x:f t="shared" si="129"/>
        <x:v>0</x:v>
      </x:c>
      <x:c r="GA119">
        <x:f t="shared" si="130"/>
        <x:v>0</x:v>
      </x:c>
      <x:c r="GB119">
        <x:f t="shared" si="131"/>
        <x:v>0</x:v>
      </x:c>
      <x:c r="GC119">
        <x:f t="shared" si="132"/>
        <x:v>0</x:v>
      </x:c>
      <x:c r="GD119">
        <x:f t="shared" si="133"/>
        <x:v>0</x:v>
      </x:c>
      <x:c r="GE119">
        <x:f t="shared" si="134"/>
        <x:v>0</x:v>
      </x:c>
      <x:c r="GF119">
        <x:f t="shared" si="135"/>
        <x:v>0</x:v>
      </x:c>
      <x:c r="GG119">
        <x:f t="shared" si="136"/>
        <x:v>0</x:v>
      </x:c>
      <x:c r="GH119">
        <x:f t="shared" si="137"/>
        <x:v>0</x:v>
      </x:c>
      <x:c r="GI119">
        <x:f t="shared" si="138"/>
        <x:v>0</x:v>
      </x:c>
      <x:c r="GJ119">
        <x:f t="shared" si="139"/>
        <x:v>0</x:v>
      </x:c>
      <x:c r="GK119">
        <x:f t="shared" si="140"/>
        <x:v>0</x:v>
      </x:c>
      <x:c r="GL119">
        <x:f t="shared" si="141"/>
        <x:v>0</x:v>
      </x:c>
      <x:c r="GM119">
        <x:f t="shared" si="142"/>
        <x:v>0</x:v>
      </x:c>
      <x:c r="GN119">
        <x:f t="shared" si="143"/>
        <x:v>0</x:v>
      </x:c>
      <x:c r="GO119">
        <x:f t="shared" si="144"/>
        <x:v>0</x:v>
      </x:c>
      <x:c r="GP119">
        <x:f t="shared" si="145"/>
        <x:v>0</x:v>
      </x:c>
      <x:c r="GQ119">
        <x:f t="shared" si="146"/>
        <x:v>0</x:v>
      </x:c>
      <x:c r="GR119" s="42">
        <x:f t="shared" si="147"/>
        <x:v>0</x:v>
      </x:c>
      <x:c r="GS119">
        <x:f t="shared" si="148"/>
        <x:v>0</x:v>
      </x:c>
      <x:c r="GT119">
        <x:f t="shared" si="149"/>
        <x:v>0</x:v>
      </x:c>
      <x:c r="GU119">
        <x:f t="shared" si="150"/>
        <x:v>0</x:v>
      </x:c>
      <x:c r="GV119">
        <x:f t="shared" si="151"/>
        <x:v>0</x:v>
      </x:c>
      <x:c r="GW119">
        <x:f t="shared" si="152"/>
        <x:v>0</x:v>
      </x:c>
      <x:c r="GX119">
        <x:f t="shared" si="153"/>
        <x:v>0</x:v>
      </x:c>
      <x:c r="GY119">
        <x:f t="shared" si="154"/>
        <x:v>0</x:v>
      </x:c>
      <x:c r="GZ119">
        <x:f t="shared" si="155"/>
        <x:v>0</x:v>
      </x:c>
      <x:c r="HA119">
        <x:f t="shared" si="156"/>
        <x:v>0</x:v>
      </x:c>
      <x:c r="HB119" s="42">
        <x:f t="shared" si="157"/>
        <x:v>0</x:v>
      </x:c>
      <x:c r="HC119">
        <x:f t="shared" si="158"/>
        <x:v>0</x:v>
      </x:c>
      <x:c r="HD119">
        <x:f t="shared" si="159"/>
        <x:v>0</x:v>
      </x:c>
      <x:c r="HE119">
        <x:f t="shared" si="160"/>
        <x:v>0</x:v>
      </x:c>
      <x:c r="HF119">
        <x:f t="shared" si="161"/>
        <x:v>0</x:v>
      </x:c>
      <x:c r="HG119">
        <x:f t="shared" si="162"/>
        <x:v>0</x:v>
      </x:c>
      <x:c r="HH119">
        <x:f t="shared" si="163"/>
        <x:v>0</x:v>
      </x:c>
      <x:c r="HI119">
        <x:f t="shared" si="164"/>
        <x:v>0</x:v>
      </x:c>
      <x:c r="HJ119">
        <x:f t="shared" si="165"/>
        <x:v>0</x:v>
      </x:c>
      <x:c r="HK119">
        <x:f t="shared" si="166"/>
        <x:v>0</x:v>
      </x:c>
      <x:c r="HL119">
        <x:f t="shared" si="167"/>
        <x:v>0</x:v>
      </x:c>
    </x:row>
    <x:row r="120">
      <x:c r="D120" s="74"/>
      <x:c r="EQ120">
        <x:f t="shared" si="94"/>
        <x:v>0</x:v>
      </x:c>
      <x:c r="ER120">
        <x:f t="shared" si="95"/>
        <x:v>0</x:v>
      </x:c>
      <x:c r="ES120">
        <x:f t="shared" si="96"/>
        <x:v>0</x:v>
      </x:c>
      <x:c r="ET120">
        <x:f t="shared" si="97"/>
        <x:v>0</x:v>
      </x:c>
      <x:c r="EU120">
        <x:f t="shared" si="98"/>
        <x:v>0</x:v>
      </x:c>
      <x:c r="EV120">
        <x:f t="shared" si="99"/>
        <x:v>0</x:v>
      </x:c>
      <x:c r="EW120">
        <x:f t="shared" si="100"/>
        <x:v>0</x:v>
      </x:c>
      <x:c r="EX120">
        <x:f t="shared" si="101"/>
        <x:v>0</x:v>
      </x:c>
      <x:c r="EY120">
        <x:f t="shared" si="102"/>
        <x:v>0</x:v>
      </x:c>
      <x:c r="EZ120">
        <x:f t="shared" si="103"/>
        <x:v>0</x:v>
      </x:c>
      <x:c r="FA120" s="41">
        <x:f t="shared" si="104"/>
        <x:v>0</x:v>
      </x:c>
      <x:c r="FB120">
        <x:f t="shared" si="105"/>
        <x:v>0</x:v>
      </x:c>
      <x:c r="FC120">
        <x:f t="shared" si="106"/>
        <x:v>0</x:v>
      </x:c>
      <x:c r="FD120">
        <x:f t="shared" si="107"/>
        <x:v>0</x:v>
      </x:c>
      <x:c r="FE120">
        <x:f t="shared" si="108"/>
        <x:v>0</x:v>
      </x:c>
      <x:c r="FF120">
        <x:f t="shared" si="109"/>
        <x:v>0</x:v>
      </x:c>
      <x:c r="FG120">
        <x:f t="shared" si="110"/>
        <x:v>0</x:v>
      </x:c>
      <x:c r="FH120">
        <x:f t="shared" si="111"/>
        <x:v>0</x:v>
      </x:c>
      <x:c r="FI120">
        <x:f t="shared" si="112"/>
        <x:v>0</x:v>
      </x:c>
      <x:c r="FJ120">
        <x:f t="shared" si="113"/>
        <x:v>0</x:v>
      </x:c>
      <x:c r="FK120">
        <x:f t="shared" si="114"/>
        <x:v>0</x:v>
      </x:c>
      <x:c r="FL120" s="41">
        <x:f t="shared" si="115"/>
        <x:v>0</x:v>
      </x:c>
      <x:c r="FM120">
        <x:f t="shared" si="116"/>
        <x:v>0</x:v>
      </x:c>
      <x:c r="FN120">
        <x:f t="shared" si="117"/>
        <x:v>0</x:v>
      </x:c>
      <x:c r="FO120">
        <x:f t="shared" si="118"/>
        <x:v>0</x:v>
      </x:c>
      <x:c r="FP120">
        <x:f t="shared" si="119"/>
        <x:v>0</x:v>
      </x:c>
      <x:c r="FQ120">
        <x:f t="shared" si="120"/>
        <x:v>0</x:v>
      </x:c>
      <x:c r="FR120">
        <x:f t="shared" si="121"/>
        <x:v>0</x:v>
      </x:c>
      <x:c r="FS120">
        <x:f t="shared" si="122"/>
        <x:v>0</x:v>
      </x:c>
      <x:c r="FT120">
        <x:f t="shared" si="123"/>
        <x:v>0</x:v>
      </x:c>
      <x:c r="FU120">
        <x:f t="shared" si="124"/>
        <x:v>0</x:v>
      </x:c>
      <x:c r="FV120">
        <x:f t="shared" si="125"/>
        <x:v>0</x:v>
      </x:c>
      <x:c r="FW120" s="41">
        <x:f t="shared" si="126"/>
        <x:v>0</x:v>
      </x:c>
      <x:c r="FX120">
        <x:f t="shared" si="127"/>
        <x:v>0</x:v>
      </x:c>
      <x:c r="FY120">
        <x:f t="shared" si="128"/>
        <x:v>0</x:v>
      </x:c>
      <x:c r="FZ120">
        <x:f t="shared" si="129"/>
        <x:v>0</x:v>
      </x:c>
      <x:c r="GA120">
        <x:f t="shared" si="130"/>
        <x:v>0</x:v>
      </x:c>
      <x:c r="GB120">
        <x:f t="shared" si="131"/>
        <x:v>0</x:v>
      </x:c>
      <x:c r="GC120">
        <x:f t="shared" si="132"/>
        <x:v>0</x:v>
      </x:c>
      <x:c r="GD120">
        <x:f t="shared" si="133"/>
        <x:v>0</x:v>
      </x:c>
      <x:c r="GE120">
        <x:f t="shared" si="134"/>
        <x:v>0</x:v>
      </x:c>
      <x:c r="GF120">
        <x:f t="shared" si="135"/>
        <x:v>0</x:v>
      </x:c>
      <x:c r="GG120">
        <x:f t="shared" si="136"/>
        <x:v>0</x:v>
      </x:c>
      <x:c r="GH120">
        <x:f t="shared" si="137"/>
        <x:v>0</x:v>
      </x:c>
      <x:c r="GI120">
        <x:f t="shared" si="138"/>
        <x:v>0</x:v>
      </x:c>
      <x:c r="GJ120">
        <x:f t="shared" si="139"/>
        <x:v>0</x:v>
      </x:c>
      <x:c r="GK120">
        <x:f t="shared" si="140"/>
        <x:v>0</x:v>
      </x:c>
      <x:c r="GL120">
        <x:f t="shared" si="141"/>
        <x:v>0</x:v>
      </x:c>
      <x:c r="GM120">
        <x:f t="shared" si="142"/>
        <x:v>0</x:v>
      </x:c>
      <x:c r="GN120">
        <x:f t="shared" si="143"/>
        <x:v>0</x:v>
      </x:c>
      <x:c r="GO120">
        <x:f t="shared" si="144"/>
        <x:v>0</x:v>
      </x:c>
      <x:c r="GP120">
        <x:f t="shared" si="145"/>
        <x:v>0</x:v>
      </x:c>
      <x:c r="GQ120">
        <x:f t="shared" si="146"/>
        <x:v>0</x:v>
      </x:c>
      <x:c r="GR120" s="42">
        <x:f t="shared" si="147"/>
        <x:v>0</x:v>
      </x:c>
      <x:c r="GS120">
        <x:f t="shared" si="148"/>
        <x:v>0</x:v>
      </x:c>
      <x:c r="GT120">
        <x:f t="shared" si="149"/>
        <x:v>0</x:v>
      </x:c>
      <x:c r="GU120">
        <x:f t="shared" si="150"/>
        <x:v>0</x:v>
      </x:c>
      <x:c r="GV120">
        <x:f t="shared" si="151"/>
        <x:v>0</x:v>
      </x:c>
      <x:c r="GW120">
        <x:f t="shared" si="152"/>
        <x:v>0</x:v>
      </x:c>
      <x:c r="GX120">
        <x:f t="shared" si="153"/>
        <x:v>0</x:v>
      </x:c>
      <x:c r="GY120">
        <x:f t="shared" si="154"/>
        <x:v>0</x:v>
      </x:c>
      <x:c r="GZ120">
        <x:f t="shared" si="155"/>
        <x:v>0</x:v>
      </x:c>
      <x:c r="HA120">
        <x:f t="shared" si="156"/>
        <x:v>0</x:v>
      </x:c>
      <x:c r="HB120" s="42">
        <x:f t="shared" si="157"/>
        <x:v>0</x:v>
      </x:c>
      <x:c r="HC120">
        <x:f t="shared" si="158"/>
        <x:v>0</x:v>
      </x:c>
      <x:c r="HD120">
        <x:f t="shared" si="159"/>
        <x:v>0</x:v>
      </x:c>
      <x:c r="HE120">
        <x:f t="shared" si="160"/>
        <x:v>0</x:v>
      </x:c>
      <x:c r="HF120">
        <x:f t="shared" si="161"/>
        <x:v>0</x:v>
      </x:c>
      <x:c r="HG120">
        <x:f t="shared" si="162"/>
        <x:v>0</x:v>
      </x:c>
      <x:c r="HH120">
        <x:f t="shared" si="163"/>
        <x:v>0</x:v>
      </x:c>
      <x:c r="HI120">
        <x:f t="shared" si="164"/>
        <x:v>0</x:v>
      </x:c>
      <x:c r="HJ120">
        <x:f t="shared" si="165"/>
        <x:v>0</x:v>
      </x:c>
      <x:c r="HK120">
        <x:f t="shared" si="166"/>
        <x:v>0</x:v>
      </x:c>
      <x:c r="HL120">
        <x:f t="shared" si="167"/>
        <x:v>0</x:v>
      </x:c>
    </x:row>
    <x:row r="121">
      <x:c r="D121" s="74"/>
      <x:c r="EQ121">
        <x:f t="shared" si="94"/>
        <x:v>0</x:v>
      </x:c>
      <x:c r="ER121">
        <x:f t="shared" si="95"/>
        <x:v>0</x:v>
      </x:c>
      <x:c r="ES121">
        <x:f t="shared" si="96"/>
        <x:v>0</x:v>
      </x:c>
      <x:c r="ET121">
        <x:f t="shared" si="97"/>
        <x:v>0</x:v>
      </x:c>
      <x:c r="EU121">
        <x:f t="shared" si="98"/>
        <x:v>0</x:v>
      </x:c>
      <x:c r="EV121">
        <x:f t="shared" si="99"/>
        <x:v>0</x:v>
      </x:c>
      <x:c r="EW121">
        <x:f t="shared" si="100"/>
        <x:v>0</x:v>
      </x:c>
      <x:c r="EX121">
        <x:f t="shared" si="101"/>
        <x:v>0</x:v>
      </x:c>
      <x:c r="EY121">
        <x:f t="shared" si="102"/>
        <x:v>0</x:v>
      </x:c>
      <x:c r="EZ121">
        <x:f t="shared" si="103"/>
        <x:v>0</x:v>
      </x:c>
      <x:c r="FA121" s="41">
        <x:f t="shared" si="104"/>
        <x:v>0</x:v>
      </x:c>
      <x:c r="FB121">
        <x:f t="shared" si="105"/>
        <x:v>0</x:v>
      </x:c>
      <x:c r="FC121">
        <x:f t="shared" si="106"/>
        <x:v>0</x:v>
      </x:c>
      <x:c r="FD121">
        <x:f t="shared" si="107"/>
        <x:v>0</x:v>
      </x:c>
      <x:c r="FE121">
        <x:f t="shared" si="108"/>
        <x:v>0</x:v>
      </x:c>
      <x:c r="FF121">
        <x:f t="shared" si="109"/>
        <x:v>0</x:v>
      </x:c>
      <x:c r="FG121">
        <x:f t="shared" si="110"/>
        <x:v>0</x:v>
      </x:c>
      <x:c r="FH121">
        <x:f t="shared" si="111"/>
        <x:v>0</x:v>
      </x:c>
      <x:c r="FI121">
        <x:f t="shared" si="112"/>
        <x:v>0</x:v>
      </x:c>
      <x:c r="FJ121">
        <x:f t="shared" si="113"/>
        <x:v>0</x:v>
      </x:c>
      <x:c r="FK121">
        <x:f t="shared" si="114"/>
        <x:v>0</x:v>
      </x:c>
      <x:c r="FL121" s="41">
        <x:f t="shared" si="115"/>
        <x:v>0</x:v>
      </x:c>
      <x:c r="FM121">
        <x:f t="shared" si="116"/>
        <x:v>0</x:v>
      </x:c>
      <x:c r="FN121">
        <x:f t="shared" si="117"/>
        <x:v>0</x:v>
      </x:c>
      <x:c r="FO121">
        <x:f t="shared" si="118"/>
        <x:v>0</x:v>
      </x:c>
      <x:c r="FP121">
        <x:f t="shared" si="119"/>
        <x:v>0</x:v>
      </x:c>
      <x:c r="FQ121">
        <x:f t="shared" si="120"/>
        <x:v>0</x:v>
      </x:c>
      <x:c r="FR121">
        <x:f t="shared" si="121"/>
        <x:v>0</x:v>
      </x:c>
      <x:c r="FS121">
        <x:f t="shared" si="122"/>
        <x:v>0</x:v>
      </x:c>
      <x:c r="FT121">
        <x:f t="shared" si="123"/>
        <x:v>0</x:v>
      </x:c>
      <x:c r="FU121">
        <x:f t="shared" si="124"/>
        <x:v>0</x:v>
      </x:c>
      <x:c r="FV121">
        <x:f t="shared" si="125"/>
        <x:v>0</x:v>
      </x:c>
      <x:c r="FW121" s="41">
        <x:f t="shared" si="126"/>
        <x:v>0</x:v>
      </x:c>
      <x:c r="FX121">
        <x:f t="shared" si="127"/>
        <x:v>0</x:v>
      </x:c>
      <x:c r="FY121">
        <x:f t="shared" si="128"/>
        <x:v>0</x:v>
      </x:c>
      <x:c r="FZ121">
        <x:f t="shared" si="129"/>
        <x:v>0</x:v>
      </x:c>
      <x:c r="GA121">
        <x:f t="shared" si="130"/>
        <x:v>0</x:v>
      </x:c>
      <x:c r="GB121">
        <x:f t="shared" si="131"/>
        <x:v>0</x:v>
      </x:c>
      <x:c r="GC121">
        <x:f t="shared" si="132"/>
        <x:v>0</x:v>
      </x:c>
      <x:c r="GD121">
        <x:f t="shared" si="133"/>
        <x:v>0</x:v>
      </x:c>
      <x:c r="GE121">
        <x:f t="shared" si="134"/>
        <x:v>0</x:v>
      </x:c>
      <x:c r="GF121">
        <x:f t="shared" si="135"/>
        <x:v>0</x:v>
      </x:c>
      <x:c r="GG121">
        <x:f t="shared" si="136"/>
        <x:v>0</x:v>
      </x:c>
      <x:c r="GH121">
        <x:f t="shared" si="137"/>
        <x:v>0</x:v>
      </x:c>
      <x:c r="GI121">
        <x:f t="shared" si="138"/>
        <x:v>0</x:v>
      </x:c>
      <x:c r="GJ121">
        <x:f t="shared" si="139"/>
        <x:v>0</x:v>
      </x:c>
      <x:c r="GK121">
        <x:f t="shared" si="140"/>
        <x:v>0</x:v>
      </x:c>
      <x:c r="GL121">
        <x:f t="shared" si="141"/>
        <x:v>0</x:v>
      </x:c>
      <x:c r="GM121">
        <x:f t="shared" si="142"/>
        <x:v>0</x:v>
      </x:c>
      <x:c r="GN121">
        <x:f t="shared" si="143"/>
        <x:v>0</x:v>
      </x:c>
      <x:c r="GO121">
        <x:f t="shared" si="144"/>
        <x:v>0</x:v>
      </x:c>
      <x:c r="GP121">
        <x:f t="shared" si="145"/>
        <x:v>0</x:v>
      </x:c>
      <x:c r="GQ121">
        <x:f t="shared" si="146"/>
        <x:v>0</x:v>
      </x:c>
      <x:c r="GR121" s="42">
        <x:f t="shared" si="147"/>
        <x:v>0</x:v>
      </x:c>
      <x:c r="GS121">
        <x:f t="shared" si="148"/>
        <x:v>0</x:v>
      </x:c>
      <x:c r="GT121">
        <x:f t="shared" si="149"/>
        <x:v>0</x:v>
      </x:c>
      <x:c r="GU121">
        <x:f t="shared" si="150"/>
        <x:v>0</x:v>
      </x:c>
      <x:c r="GV121">
        <x:f t="shared" si="151"/>
        <x:v>0</x:v>
      </x:c>
      <x:c r="GW121">
        <x:f t="shared" si="152"/>
        <x:v>0</x:v>
      </x:c>
      <x:c r="GX121">
        <x:f t="shared" si="153"/>
        <x:v>0</x:v>
      </x:c>
      <x:c r="GY121">
        <x:f t="shared" si="154"/>
        <x:v>0</x:v>
      </x:c>
      <x:c r="GZ121">
        <x:f t="shared" si="155"/>
        <x:v>0</x:v>
      </x:c>
      <x:c r="HA121">
        <x:f t="shared" si="156"/>
        <x:v>0</x:v>
      </x:c>
      <x:c r="HB121" s="42">
        <x:f t="shared" si="157"/>
        <x:v>0</x:v>
      </x:c>
      <x:c r="HC121">
        <x:f t="shared" si="158"/>
        <x:v>0</x:v>
      </x:c>
      <x:c r="HD121">
        <x:f t="shared" si="159"/>
        <x:v>0</x:v>
      </x:c>
      <x:c r="HE121">
        <x:f t="shared" si="160"/>
        <x:v>0</x:v>
      </x:c>
      <x:c r="HF121">
        <x:f t="shared" si="161"/>
        <x:v>0</x:v>
      </x:c>
      <x:c r="HG121">
        <x:f t="shared" si="162"/>
        <x:v>0</x:v>
      </x:c>
      <x:c r="HH121">
        <x:f t="shared" si="163"/>
        <x:v>0</x:v>
      </x:c>
      <x:c r="HI121">
        <x:f t="shared" si="164"/>
        <x:v>0</x:v>
      </x:c>
      <x:c r="HJ121">
        <x:f t="shared" si="165"/>
        <x:v>0</x:v>
      </x:c>
      <x:c r="HK121">
        <x:f t="shared" si="166"/>
        <x:v>0</x:v>
      </x:c>
      <x:c r="HL121">
        <x:f t="shared" si="167"/>
        <x:v>0</x:v>
      </x:c>
    </x:row>
    <x:row r="122">
      <x:c r="D122" s="74"/>
      <x:c r="EQ122">
        <x:f t="shared" si="94"/>
        <x:v>0</x:v>
      </x:c>
      <x:c r="ER122">
        <x:f t="shared" si="95"/>
        <x:v>0</x:v>
      </x:c>
      <x:c r="ES122">
        <x:f t="shared" si="96"/>
        <x:v>0</x:v>
      </x:c>
      <x:c r="ET122">
        <x:f t="shared" si="97"/>
        <x:v>0</x:v>
      </x:c>
      <x:c r="EU122">
        <x:f t="shared" si="98"/>
        <x:v>0</x:v>
      </x:c>
      <x:c r="EV122">
        <x:f t="shared" si="99"/>
        <x:v>0</x:v>
      </x:c>
      <x:c r="EW122">
        <x:f t="shared" si="100"/>
        <x:v>0</x:v>
      </x:c>
      <x:c r="EX122">
        <x:f t="shared" si="101"/>
        <x:v>0</x:v>
      </x:c>
      <x:c r="EY122">
        <x:f t="shared" si="102"/>
        <x:v>0</x:v>
      </x:c>
      <x:c r="EZ122">
        <x:f t="shared" si="103"/>
        <x:v>0</x:v>
      </x:c>
      <x:c r="FA122" s="41">
        <x:f t="shared" si="104"/>
        <x:v>0</x:v>
      </x:c>
      <x:c r="FB122">
        <x:f t="shared" si="105"/>
        <x:v>0</x:v>
      </x:c>
      <x:c r="FC122">
        <x:f t="shared" si="106"/>
        <x:v>0</x:v>
      </x:c>
      <x:c r="FD122">
        <x:f t="shared" si="107"/>
        <x:v>0</x:v>
      </x:c>
      <x:c r="FE122">
        <x:f t="shared" si="108"/>
        <x:v>0</x:v>
      </x:c>
      <x:c r="FF122">
        <x:f t="shared" si="109"/>
        <x:v>0</x:v>
      </x:c>
      <x:c r="FG122">
        <x:f t="shared" si="110"/>
        <x:v>0</x:v>
      </x:c>
      <x:c r="FH122">
        <x:f t="shared" si="111"/>
        <x:v>0</x:v>
      </x:c>
      <x:c r="FI122">
        <x:f t="shared" si="112"/>
        <x:v>0</x:v>
      </x:c>
      <x:c r="FJ122">
        <x:f t="shared" si="113"/>
        <x:v>0</x:v>
      </x:c>
      <x:c r="FK122">
        <x:f t="shared" si="114"/>
        <x:v>0</x:v>
      </x:c>
      <x:c r="FL122" s="41">
        <x:f t="shared" si="115"/>
        <x:v>0</x:v>
      </x:c>
      <x:c r="FM122">
        <x:f t="shared" si="116"/>
        <x:v>0</x:v>
      </x:c>
      <x:c r="FN122">
        <x:f t="shared" si="117"/>
        <x:v>0</x:v>
      </x:c>
      <x:c r="FO122">
        <x:f t="shared" si="118"/>
        <x:v>0</x:v>
      </x:c>
      <x:c r="FP122">
        <x:f t="shared" si="119"/>
        <x:v>0</x:v>
      </x:c>
      <x:c r="FQ122">
        <x:f t="shared" si="120"/>
        <x:v>0</x:v>
      </x:c>
      <x:c r="FR122">
        <x:f t="shared" si="121"/>
        <x:v>0</x:v>
      </x:c>
      <x:c r="FS122">
        <x:f t="shared" si="122"/>
        <x:v>0</x:v>
      </x:c>
      <x:c r="FT122">
        <x:f t="shared" si="123"/>
        <x:v>0</x:v>
      </x:c>
      <x:c r="FU122">
        <x:f t="shared" si="124"/>
        <x:v>0</x:v>
      </x:c>
      <x:c r="FV122">
        <x:f t="shared" si="125"/>
        <x:v>0</x:v>
      </x:c>
      <x:c r="FW122" s="41">
        <x:f t="shared" si="126"/>
        <x:v>0</x:v>
      </x:c>
      <x:c r="FX122">
        <x:f t="shared" si="127"/>
        <x:v>0</x:v>
      </x:c>
      <x:c r="FY122">
        <x:f t="shared" si="128"/>
        <x:v>0</x:v>
      </x:c>
      <x:c r="FZ122">
        <x:f t="shared" si="129"/>
        <x:v>0</x:v>
      </x:c>
      <x:c r="GA122">
        <x:f t="shared" si="130"/>
        <x:v>0</x:v>
      </x:c>
      <x:c r="GB122">
        <x:f t="shared" si="131"/>
        <x:v>0</x:v>
      </x:c>
      <x:c r="GC122">
        <x:f t="shared" si="132"/>
        <x:v>0</x:v>
      </x:c>
      <x:c r="GD122">
        <x:f t="shared" si="133"/>
        <x:v>0</x:v>
      </x:c>
      <x:c r="GE122">
        <x:f t="shared" si="134"/>
        <x:v>0</x:v>
      </x:c>
      <x:c r="GF122">
        <x:f t="shared" si="135"/>
        <x:v>0</x:v>
      </x:c>
      <x:c r="GG122">
        <x:f t="shared" si="136"/>
        <x:v>0</x:v>
      </x:c>
      <x:c r="GH122">
        <x:f t="shared" si="137"/>
        <x:v>0</x:v>
      </x:c>
      <x:c r="GI122">
        <x:f t="shared" si="138"/>
        <x:v>0</x:v>
      </x:c>
      <x:c r="GJ122">
        <x:f t="shared" si="139"/>
        <x:v>0</x:v>
      </x:c>
      <x:c r="GK122">
        <x:f t="shared" si="140"/>
        <x:v>0</x:v>
      </x:c>
      <x:c r="GL122">
        <x:f t="shared" si="141"/>
        <x:v>0</x:v>
      </x:c>
      <x:c r="GM122">
        <x:f t="shared" si="142"/>
        <x:v>0</x:v>
      </x:c>
      <x:c r="GN122">
        <x:f t="shared" si="143"/>
        <x:v>0</x:v>
      </x:c>
      <x:c r="GO122">
        <x:f t="shared" si="144"/>
        <x:v>0</x:v>
      </x:c>
      <x:c r="GP122">
        <x:f t="shared" si="145"/>
        <x:v>0</x:v>
      </x:c>
      <x:c r="GQ122">
        <x:f t="shared" si="146"/>
        <x:v>0</x:v>
      </x:c>
      <x:c r="GR122" s="42">
        <x:f t="shared" si="147"/>
        <x:v>0</x:v>
      </x:c>
      <x:c r="GS122">
        <x:f t="shared" si="148"/>
        <x:v>0</x:v>
      </x:c>
      <x:c r="GT122">
        <x:f t="shared" si="149"/>
        <x:v>0</x:v>
      </x:c>
      <x:c r="GU122">
        <x:f t="shared" si="150"/>
        <x:v>0</x:v>
      </x:c>
      <x:c r="GV122">
        <x:f t="shared" si="151"/>
        <x:v>0</x:v>
      </x:c>
      <x:c r="GW122">
        <x:f t="shared" si="152"/>
        <x:v>0</x:v>
      </x:c>
      <x:c r="GX122">
        <x:f t="shared" si="153"/>
        <x:v>0</x:v>
      </x:c>
      <x:c r="GY122">
        <x:f t="shared" si="154"/>
        <x:v>0</x:v>
      </x:c>
      <x:c r="GZ122">
        <x:f t="shared" si="155"/>
        <x:v>0</x:v>
      </x:c>
      <x:c r="HA122">
        <x:f t="shared" si="156"/>
        <x:v>0</x:v>
      </x:c>
      <x:c r="HB122" s="42">
        <x:f t="shared" si="157"/>
        <x:v>0</x:v>
      </x:c>
      <x:c r="HC122">
        <x:f t="shared" si="158"/>
        <x:v>0</x:v>
      </x:c>
      <x:c r="HD122">
        <x:f t="shared" si="159"/>
        <x:v>0</x:v>
      </x:c>
      <x:c r="HE122">
        <x:f t="shared" si="160"/>
        <x:v>0</x:v>
      </x:c>
      <x:c r="HF122">
        <x:f t="shared" si="161"/>
        <x:v>0</x:v>
      </x:c>
      <x:c r="HG122">
        <x:f t="shared" si="162"/>
        <x:v>0</x:v>
      </x:c>
      <x:c r="HH122">
        <x:f t="shared" si="163"/>
        <x:v>0</x:v>
      </x:c>
      <x:c r="HI122">
        <x:f t="shared" si="164"/>
        <x:v>0</x:v>
      </x:c>
      <x:c r="HJ122">
        <x:f t="shared" si="165"/>
        <x:v>0</x:v>
      </x:c>
      <x:c r="HK122">
        <x:f t="shared" si="166"/>
        <x:v>0</x:v>
      </x:c>
      <x:c r="HL122">
        <x:f t="shared" si="167"/>
        <x:v>0</x:v>
      </x:c>
    </x:row>
    <x:row r="123">
      <x:c r="D123" s="74"/>
      <x:c r="EQ123">
        <x:f t="shared" si="94"/>
        <x:v>0</x:v>
      </x:c>
      <x:c r="ER123">
        <x:f t="shared" si="95"/>
        <x:v>0</x:v>
      </x:c>
      <x:c r="ES123">
        <x:f t="shared" si="96"/>
        <x:v>0</x:v>
      </x:c>
      <x:c r="ET123">
        <x:f t="shared" si="97"/>
        <x:v>0</x:v>
      </x:c>
      <x:c r="EU123">
        <x:f t="shared" si="98"/>
        <x:v>0</x:v>
      </x:c>
      <x:c r="EV123">
        <x:f t="shared" si="99"/>
        <x:v>0</x:v>
      </x:c>
      <x:c r="EW123">
        <x:f t="shared" si="100"/>
        <x:v>0</x:v>
      </x:c>
      <x:c r="EX123">
        <x:f t="shared" si="101"/>
        <x:v>0</x:v>
      </x:c>
      <x:c r="EY123">
        <x:f t="shared" si="102"/>
        <x:v>0</x:v>
      </x:c>
      <x:c r="EZ123">
        <x:f t="shared" si="103"/>
        <x:v>0</x:v>
      </x:c>
      <x:c r="FA123" s="41">
        <x:f t="shared" si="104"/>
        <x:v>0</x:v>
      </x:c>
      <x:c r="FB123">
        <x:f t="shared" si="105"/>
        <x:v>0</x:v>
      </x:c>
      <x:c r="FC123">
        <x:f t="shared" si="106"/>
        <x:v>0</x:v>
      </x:c>
      <x:c r="FD123">
        <x:f t="shared" si="107"/>
        <x:v>0</x:v>
      </x:c>
      <x:c r="FE123">
        <x:f t="shared" si="108"/>
        <x:v>0</x:v>
      </x:c>
      <x:c r="FF123">
        <x:f t="shared" si="109"/>
        <x:v>0</x:v>
      </x:c>
      <x:c r="FG123">
        <x:f t="shared" si="110"/>
        <x:v>0</x:v>
      </x:c>
      <x:c r="FH123">
        <x:f t="shared" si="111"/>
        <x:v>0</x:v>
      </x:c>
      <x:c r="FI123">
        <x:f t="shared" si="112"/>
        <x:v>0</x:v>
      </x:c>
      <x:c r="FJ123">
        <x:f t="shared" si="113"/>
        <x:v>0</x:v>
      </x:c>
      <x:c r="FK123">
        <x:f t="shared" si="114"/>
        <x:v>0</x:v>
      </x:c>
      <x:c r="FL123" s="41">
        <x:f t="shared" si="115"/>
        <x:v>0</x:v>
      </x:c>
      <x:c r="FM123">
        <x:f t="shared" si="116"/>
        <x:v>0</x:v>
      </x:c>
      <x:c r="FN123">
        <x:f t="shared" si="117"/>
        <x:v>0</x:v>
      </x:c>
      <x:c r="FO123">
        <x:f t="shared" si="118"/>
        <x:v>0</x:v>
      </x:c>
      <x:c r="FP123">
        <x:f t="shared" si="119"/>
        <x:v>0</x:v>
      </x:c>
      <x:c r="FQ123">
        <x:f t="shared" si="120"/>
        <x:v>0</x:v>
      </x:c>
      <x:c r="FR123">
        <x:f t="shared" si="121"/>
        <x:v>0</x:v>
      </x:c>
      <x:c r="FS123">
        <x:f t="shared" si="122"/>
        <x:v>0</x:v>
      </x:c>
      <x:c r="FT123">
        <x:f t="shared" si="123"/>
        <x:v>0</x:v>
      </x:c>
      <x:c r="FU123">
        <x:f t="shared" si="124"/>
        <x:v>0</x:v>
      </x:c>
      <x:c r="FV123">
        <x:f t="shared" si="125"/>
        <x:v>0</x:v>
      </x:c>
      <x:c r="FW123" s="41">
        <x:f t="shared" si="126"/>
        <x:v>0</x:v>
      </x:c>
      <x:c r="FX123">
        <x:f t="shared" si="127"/>
        <x:v>0</x:v>
      </x:c>
      <x:c r="FY123">
        <x:f t="shared" si="128"/>
        <x:v>0</x:v>
      </x:c>
      <x:c r="FZ123">
        <x:f t="shared" si="129"/>
        <x:v>0</x:v>
      </x:c>
      <x:c r="GA123">
        <x:f t="shared" si="130"/>
        <x:v>0</x:v>
      </x:c>
      <x:c r="GB123">
        <x:f t="shared" si="131"/>
        <x:v>0</x:v>
      </x:c>
      <x:c r="GC123">
        <x:f t="shared" si="132"/>
        <x:v>0</x:v>
      </x:c>
      <x:c r="GD123">
        <x:f t="shared" si="133"/>
        <x:v>0</x:v>
      </x:c>
      <x:c r="GE123">
        <x:f t="shared" si="134"/>
        <x:v>0</x:v>
      </x:c>
      <x:c r="GF123">
        <x:f t="shared" si="135"/>
        <x:v>0</x:v>
      </x:c>
      <x:c r="GG123">
        <x:f t="shared" si="136"/>
        <x:v>0</x:v>
      </x:c>
      <x:c r="GH123">
        <x:f t="shared" si="137"/>
        <x:v>0</x:v>
      </x:c>
      <x:c r="GI123">
        <x:f t="shared" si="138"/>
        <x:v>0</x:v>
      </x:c>
      <x:c r="GJ123">
        <x:f t="shared" si="139"/>
        <x:v>0</x:v>
      </x:c>
      <x:c r="GK123">
        <x:f t="shared" si="140"/>
        <x:v>0</x:v>
      </x:c>
      <x:c r="GL123">
        <x:f t="shared" si="141"/>
        <x:v>0</x:v>
      </x:c>
      <x:c r="GM123">
        <x:f t="shared" si="142"/>
        <x:v>0</x:v>
      </x:c>
      <x:c r="GN123">
        <x:f t="shared" si="143"/>
        <x:v>0</x:v>
      </x:c>
      <x:c r="GO123">
        <x:f t="shared" si="144"/>
        <x:v>0</x:v>
      </x:c>
      <x:c r="GP123">
        <x:f t="shared" si="145"/>
        <x:v>0</x:v>
      </x:c>
      <x:c r="GQ123">
        <x:f t="shared" si="146"/>
        <x:v>0</x:v>
      </x:c>
      <x:c r="GR123" s="42">
        <x:f t="shared" si="147"/>
        <x:v>0</x:v>
      </x:c>
      <x:c r="GS123">
        <x:f t="shared" si="148"/>
        <x:v>0</x:v>
      </x:c>
      <x:c r="GT123">
        <x:f t="shared" si="149"/>
        <x:v>0</x:v>
      </x:c>
      <x:c r="GU123">
        <x:f t="shared" si="150"/>
        <x:v>0</x:v>
      </x:c>
      <x:c r="GV123">
        <x:f t="shared" si="151"/>
        <x:v>0</x:v>
      </x:c>
      <x:c r="GW123">
        <x:f t="shared" si="152"/>
        <x:v>0</x:v>
      </x:c>
      <x:c r="GX123">
        <x:f t="shared" si="153"/>
        <x:v>0</x:v>
      </x:c>
      <x:c r="GY123">
        <x:f t="shared" si="154"/>
        <x:v>0</x:v>
      </x:c>
      <x:c r="GZ123">
        <x:f t="shared" si="155"/>
        <x:v>0</x:v>
      </x:c>
      <x:c r="HA123">
        <x:f t="shared" si="156"/>
        <x:v>0</x:v>
      </x:c>
      <x:c r="HB123" s="42">
        <x:f t="shared" si="157"/>
        <x:v>0</x:v>
      </x:c>
      <x:c r="HC123">
        <x:f t="shared" si="158"/>
        <x:v>0</x:v>
      </x:c>
      <x:c r="HD123">
        <x:f t="shared" si="159"/>
        <x:v>0</x:v>
      </x:c>
      <x:c r="HE123">
        <x:f t="shared" si="160"/>
        <x:v>0</x:v>
      </x:c>
      <x:c r="HF123">
        <x:f t="shared" si="161"/>
        <x:v>0</x:v>
      </x:c>
      <x:c r="HG123">
        <x:f t="shared" si="162"/>
        <x:v>0</x:v>
      </x:c>
      <x:c r="HH123">
        <x:f t="shared" si="163"/>
        <x:v>0</x:v>
      </x:c>
      <x:c r="HI123">
        <x:f t="shared" si="164"/>
        <x:v>0</x:v>
      </x:c>
      <x:c r="HJ123">
        <x:f t="shared" si="165"/>
        <x:v>0</x:v>
      </x:c>
      <x:c r="HK123">
        <x:f t="shared" si="166"/>
        <x:v>0</x:v>
      </x:c>
      <x:c r="HL123">
        <x:f t="shared" si="167"/>
        <x:v>0</x:v>
      </x:c>
    </x:row>
    <x:row r="124">
      <x:c r="D124" s="74"/>
      <x:c r="EQ124">
        <x:f t="shared" si="94"/>
        <x:v>0</x:v>
      </x:c>
      <x:c r="ER124">
        <x:f t="shared" si="95"/>
        <x:v>0</x:v>
      </x:c>
      <x:c r="ES124">
        <x:f t="shared" si="96"/>
        <x:v>0</x:v>
      </x:c>
      <x:c r="ET124">
        <x:f t="shared" si="97"/>
        <x:v>0</x:v>
      </x:c>
      <x:c r="EU124">
        <x:f t="shared" si="98"/>
        <x:v>0</x:v>
      </x:c>
      <x:c r="EV124">
        <x:f t="shared" si="99"/>
        <x:v>0</x:v>
      </x:c>
      <x:c r="EW124">
        <x:f t="shared" si="100"/>
        <x:v>0</x:v>
      </x:c>
      <x:c r="EX124">
        <x:f t="shared" si="101"/>
        <x:v>0</x:v>
      </x:c>
      <x:c r="EY124">
        <x:f t="shared" si="102"/>
        <x:v>0</x:v>
      </x:c>
      <x:c r="EZ124">
        <x:f t="shared" si="103"/>
        <x:v>0</x:v>
      </x:c>
      <x:c r="FA124" s="41">
        <x:f t="shared" si="104"/>
        <x:v>0</x:v>
      </x:c>
      <x:c r="FB124">
        <x:f t="shared" si="105"/>
        <x:v>0</x:v>
      </x:c>
      <x:c r="FC124">
        <x:f t="shared" si="106"/>
        <x:v>0</x:v>
      </x:c>
      <x:c r="FD124">
        <x:f t="shared" si="107"/>
        <x:v>0</x:v>
      </x:c>
      <x:c r="FE124">
        <x:f t="shared" si="108"/>
        <x:v>0</x:v>
      </x:c>
      <x:c r="FF124">
        <x:f t="shared" si="109"/>
        <x:v>0</x:v>
      </x:c>
      <x:c r="FG124">
        <x:f t="shared" si="110"/>
        <x:v>0</x:v>
      </x:c>
      <x:c r="FH124">
        <x:f t="shared" si="111"/>
        <x:v>0</x:v>
      </x:c>
      <x:c r="FI124">
        <x:f t="shared" si="112"/>
        <x:v>0</x:v>
      </x:c>
      <x:c r="FJ124">
        <x:f t="shared" si="113"/>
        <x:v>0</x:v>
      </x:c>
      <x:c r="FK124">
        <x:f t="shared" si="114"/>
        <x:v>0</x:v>
      </x:c>
      <x:c r="FL124" s="41">
        <x:f t="shared" si="115"/>
        <x:v>0</x:v>
      </x:c>
      <x:c r="FM124">
        <x:f t="shared" si="116"/>
        <x:v>0</x:v>
      </x:c>
      <x:c r="FN124">
        <x:f t="shared" si="117"/>
        <x:v>0</x:v>
      </x:c>
      <x:c r="FO124">
        <x:f t="shared" si="118"/>
        <x:v>0</x:v>
      </x:c>
      <x:c r="FP124">
        <x:f t="shared" si="119"/>
        <x:v>0</x:v>
      </x:c>
      <x:c r="FQ124">
        <x:f t="shared" si="120"/>
        <x:v>0</x:v>
      </x:c>
      <x:c r="FR124">
        <x:f t="shared" si="121"/>
        <x:v>0</x:v>
      </x:c>
      <x:c r="FS124">
        <x:f t="shared" si="122"/>
        <x:v>0</x:v>
      </x:c>
      <x:c r="FT124">
        <x:f t="shared" si="123"/>
        <x:v>0</x:v>
      </x:c>
      <x:c r="FU124">
        <x:f t="shared" si="124"/>
        <x:v>0</x:v>
      </x:c>
      <x:c r="FV124">
        <x:f t="shared" si="125"/>
        <x:v>0</x:v>
      </x:c>
      <x:c r="FW124" s="41">
        <x:f t="shared" si="126"/>
        <x:v>0</x:v>
      </x:c>
      <x:c r="FX124">
        <x:f t="shared" si="127"/>
        <x:v>0</x:v>
      </x:c>
      <x:c r="FY124">
        <x:f t="shared" si="128"/>
        <x:v>0</x:v>
      </x:c>
      <x:c r="FZ124">
        <x:f t="shared" si="129"/>
        <x:v>0</x:v>
      </x:c>
      <x:c r="GA124">
        <x:f t="shared" si="130"/>
        <x:v>0</x:v>
      </x:c>
      <x:c r="GB124">
        <x:f t="shared" si="131"/>
        <x:v>0</x:v>
      </x:c>
      <x:c r="GC124">
        <x:f t="shared" si="132"/>
        <x:v>0</x:v>
      </x:c>
      <x:c r="GD124">
        <x:f t="shared" si="133"/>
        <x:v>0</x:v>
      </x:c>
      <x:c r="GE124">
        <x:f t="shared" si="134"/>
        <x:v>0</x:v>
      </x:c>
      <x:c r="GF124">
        <x:f t="shared" si="135"/>
        <x:v>0</x:v>
      </x:c>
      <x:c r="GG124">
        <x:f t="shared" si="136"/>
        <x:v>0</x:v>
      </x:c>
      <x:c r="GH124">
        <x:f t="shared" si="137"/>
        <x:v>0</x:v>
      </x:c>
      <x:c r="GI124">
        <x:f t="shared" si="138"/>
        <x:v>0</x:v>
      </x:c>
      <x:c r="GJ124">
        <x:f t="shared" si="139"/>
        <x:v>0</x:v>
      </x:c>
      <x:c r="GK124">
        <x:f t="shared" si="140"/>
        <x:v>0</x:v>
      </x:c>
      <x:c r="GL124">
        <x:f t="shared" si="141"/>
        <x:v>0</x:v>
      </x:c>
      <x:c r="GM124">
        <x:f t="shared" si="142"/>
        <x:v>0</x:v>
      </x:c>
      <x:c r="GN124">
        <x:f t="shared" si="143"/>
        <x:v>0</x:v>
      </x:c>
      <x:c r="GO124">
        <x:f t="shared" si="144"/>
        <x:v>0</x:v>
      </x:c>
      <x:c r="GP124">
        <x:f t="shared" si="145"/>
        <x:v>0</x:v>
      </x:c>
      <x:c r="GQ124">
        <x:f t="shared" si="146"/>
        <x:v>0</x:v>
      </x:c>
      <x:c r="GR124" s="42">
        <x:f t="shared" si="147"/>
        <x:v>0</x:v>
      </x:c>
      <x:c r="GS124">
        <x:f t="shared" si="148"/>
        <x:v>0</x:v>
      </x:c>
      <x:c r="GT124">
        <x:f t="shared" si="149"/>
        <x:v>0</x:v>
      </x:c>
      <x:c r="GU124">
        <x:f t="shared" si="150"/>
        <x:v>0</x:v>
      </x:c>
      <x:c r="GV124">
        <x:f t="shared" si="151"/>
        <x:v>0</x:v>
      </x:c>
      <x:c r="GW124">
        <x:f t="shared" si="152"/>
        <x:v>0</x:v>
      </x:c>
      <x:c r="GX124">
        <x:f t="shared" si="153"/>
        <x:v>0</x:v>
      </x:c>
      <x:c r="GY124">
        <x:f t="shared" si="154"/>
        <x:v>0</x:v>
      </x:c>
      <x:c r="GZ124">
        <x:f t="shared" si="155"/>
        <x:v>0</x:v>
      </x:c>
      <x:c r="HA124">
        <x:f t="shared" si="156"/>
        <x:v>0</x:v>
      </x:c>
      <x:c r="HB124" s="42">
        <x:f t="shared" si="157"/>
        <x:v>0</x:v>
      </x:c>
      <x:c r="HC124">
        <x:f t="shared" si="158"/>
        <x:v>0</x:v>
      </x:c>
      <x:c r="HD124">
        <x:f t="shared" si="159"/>
        <x:v>0</x:v>
      </x:c>
      <x:c r="HE124">
        <x:f t="shared" si="160"/>
        <x:v>0</x:v>
      </x:c>
      <x:c r="HF124">
        <x:f t="shared" si="161"/>
        <x:v>0</x:v>
      </x:c>
      <x:c r="HG124">
        <x:f t="shared" si="162"/>
        <x:v>0</x:v>
      </x:c>
      <x:c r="HH124">
        <x:f t="shared" si="163"/>
        <x:v>0</x:v>
      </x:c>
      <x:c r="HI124">
        <x:f t="shared" si="164"/>
        <x:v>0</x:v>
      </x:c>
      <x:c r="HJ124">
        <x:f t="shared" si="165"/>
        <x:v>0</x:v>
      </x:c>
      <x:c r="HK124">
        <x:f t="shared" si="166"/>
        <x:v>0</x:v>
      </x:c>
      <x:c r="HL124">
        <x:f t="shared" si="167"/>
        <x:v>0</x:v>
      </x:c>
    </x:row>
    <x:row r="125">
      <x:c r="D125" s="74"/>
      <x:c r="EQ125">
        <x:f t="shared" si="94"/>
        <x:v>0</x:v>
      </x:c>
      <x:c r="ER125">
        <x:f t="shared" si="95"/>
        <x:v>0</x:v>
      </x:c>
      <x:c r="ES125">
        <x:f t="shared" si="96"/>
        <x:v>0</x:v>
      </x:c>
      <x:c r="ET125">
        <x:f t="shared" si="97"/>
        <x:v>0</x:v>
      </x:c>
      <x:c r="EU125">
        <x:f t="shared" si="98"/>
        <x:v>0</x:v>
      </x:c>
      <x:c r="EV125">
        <x:f t="shared" si="99"/>
        <x:v>0</x:v>
      </x:c>
      <x:c r="EW125">
        <x:f t="shared" si="100"/>
        <x:v>0</x:v>
      </x:c>
      <x:c r="EX125">
        <x:f t="shared" si="101"/>
        <x:v>0</x:v>
      </x:c>
      <x:c r="EY125">
        <x:f t="shared" si="102"/>
        <x:v>0</x:v>
      </x:c>
      <x:c r="EZ125">
        <x:f t="shared" si="103"/>
        <x:v>0</x:v>
      </x:c>
      <x:c r="FA125" s="41">
        <x:f t="shared" si="104"/>
        <x:v>0</x:v>
      </x:c>
      <x:c r="FB125">
        <x:f t="shared" si="105"/>
        <x:v>0</x:v>
      </x:c>
      <x:c r="FC125">
        <x:f t="shared" si="106"/>
        <x:v>0</x:v>
      </x:c>
      <x:c r="FD125">
        <x:f t="shared" si="107"/>
        <x:v>0</x:v>
      </x:c>
      <x:c r="FE125">
        <x:f t="shared" si="108"/>
        <x:v>0</x:v>
      </x:c>
      <x:c r="FF125">
        <x:f t="shared" si="109"/>
        <x:v>0</x:v>
      </x:c>
      <x:c r="FG125">
        <x:f t="shared" si="110"/>
        <x:v>0</x:v>
      </x:c>
      <x:c r="FH125">
        <x:f t="shared" si="111"/>
        <x:v>0</x:v>
      </x:c>
      <x:c r="FI125">
        <x:f t="shared" si="112"/>
        <x:v>0</x:v>
      </x:c>
      <x:c r="FJ125">
        <x:f t="shared" si="113"/>
        <x:v>0</x:v>
      </x:c>
      <x:c r="FK125">
        <x:f t="shared" si="114"/>
        <x:v>0</x:v>
      </x:c>
      <x:c r="FL125" s="41">
        <x:f t="shared" si="115"/>
        <x:v>0</x:v>
      </x:c>
      <x:c r="FM125">
        <x:f t="shared" si="116"/>
        <x:v>0</x:v>
      </x:c>
      <x:c r="FN125">
        <x:f t="shared" si="117"/>
        <x:v>0</x:v>
      </x:c>
      <x:c r="FO125">
        <x:f t="shared" si="118"/>
        <x:v>0</x:v>
      </x:c>
      <x:c r="FP125">
        <x:f t="shared" si="119"/>
        <x:v>0</x:v>
      </x:c>
      <x:c r="FQ125">
        <x:f t="shared" si="120"/>
        <x:v>0</x:v>
      </x:c>
      <x:c r="FR125">
        <x:f t="shared" si="121"/>
        <x:v>0</x:v>
      </x:c>
      <x:c r="FS125">
        <x:f t="shared" si="122"/>
        <x:v>0</x:v>
      </x:c>
      <x:c r="FT125">
        <x:f t="shared" si="123"/>
        <x:v>0</x:v>
      </x:c>
      <x:c r="FU125">
        <x:f t="shared" si="124"/>
        <x:v>0</x:v>
      </x:c>
      <x:c r="FV125">
        <x:f t="shared" si="125"/>
        <x:v>0</x:v>
      </x:c>
      <x:c r="FW125" s="41">
        <x:f t="shared" si="126"/>
        <x:v>0</x:v>
      </x:c>
      <x:c r="FX125">
        <x:f t="shared" si="127"/>
        <x:v>0</x:v>
      </x:c>
      <x:c r="FY125">
        <x:f t="shared" si="128"/>
        <x:v>0</x:v>
      </x:c>
      <x:c r="FZ125">
        <x:f t="shared" si="129"/>
        <x:v>0</x:v>
      </x:c>
      <x:c r="GA125">
        <x:f t="shared" si="130"/>
        <x:v>0</x:v>
      </x:c>
      <x:c r="GB125">
        <x:f t="shared" si="131"/>
        <x:v>0</x:v>
      </x:c>
      <x:c r="GC125">
        <x:f t="shared" si="132"/>
        <x:v>0</x:v>
      </x:c>
      <x:c r="GD125">
        <x:f t="shared" si="133"/>
        <x:v>0</x:v>
      </x:c>
      <x:c r="GE125">
        <x:f t="shared" si="134"/>
        <x:v>0</x:v>
      </x:c>
      <x:c r="GF125">
        <x:f t="shared" si="135"/>
        <x:v>0</x:v>
      </x:c>
      <x:c r="GG125">
        <x:f t="shared" si="136"/>
        <x:v>0</x:v>
      </x:c>
      <x:c r="GH125">
        <x:f t="shared" si="137"/>
        <x:v>0</x:v>
      </x:c>
      <x:c r="GI125">
        <x:f t="shared" si="138"/>
        <x:v>0</x:v>
      </x:c>
      <x:c r="GJ125">
        <x:f t="shared" si="139"/>
        <x:v>0</x:v>
      </x:c>
      <x:c r="GK125">
        <x:f t="shared" si="140"/>
        <x:v>0</x:v>
      </x:c>
      <x:c r="GL125">
        <x:f t="shared" si="141"/>
        <x:v>0</x:v>
      </x:c>
      <x:c r="GM125">
        <x:f t="shared" si="142"/>
        <x:v>0</x:v>
      </x:c>
      <x:c r="GN125">
        <x:f t="shared" si="143"/>
        <x:v>0</x:v>
      </x:c>
      <x:c r="GO125">
        <x:f t="shared" si="144"/>
        <x:v>0</x:v>
      </x:c>
      <x:c r="GP125">
        <x:f t="shared" si="145"/>
        <x:v>0</x:v>
      </x:c>
      <x:c r="GQ125">
        <x:f t="shared" si="146"/>
        <x:v>0</x:v>
      </x:c>
      <x:c r="GR125" s="42">
        <x:f t="shared" si="147"/>
        <x:v>0</x:v>
      </x:c>
      <x:c r="GS125">
        <x:f t="shared" si="148"/>
        <x:v>0</x:v>
      </x:c>
      <x:c r="GT125">
        <x:f t="shared" si="149"/>
        <x:v>0</x:v>
      </x:c>
      <x:c r="GU125">
        <x:f t="shared" si="150"/>
        <x:v>0</x:v>
      </x:c>
      <x:c r="GV125">
        <x:f t="shared" si="151"/>
        <x:v>0</x:v>
      </x:c>
      <x:c r="GW125">
        <x:f t="shared" si="152"/>
        <x:v>0</x:v>
      </x:c>
      <x:c r="GX125">
        <x:f t="shared" si="153"/>
        <x:v>0</x:v>
      </x:c>
      <x:c r="GY125">
        <x:f t="shared" si="154"/>
        <x:v>0</x:v>
      </x:c>
      <x:c r="GZ125">
        <x:f t="shared" si="155"/>
        <x:v>0</x:v>
      </x:c>
      <x:c r="HA125">
        <x:f t="shared" si="156"/>
        <x:v>0</x:v>
      </x:c>
      <x:c r="HB125" s="42">
        <x:f t="shared" si="157"/>
        <x:v>0</x:v>
      </x:c>
      <x:c r="HC125">
        <x:f t="shared" si="158"/>
        <x:v>0</x:v>
      </x:c>
      <x:c r="HD125">
        <x:f t="shared" si="159"/>
        <x:v>0</x:v>
      </x:c>
      <x:c r="HE125">
        <x:f t="shared" si="160"/>
        <x:v>0</x:v>
      </x:c>
      <x:c r="HF125">
        <x:f t="shared" si="161"/>
        <x:v>0</x:v>
      </x:c>
      <x:c r="HG125">
        <x:f t="shared" si="162"/>
        <x:v>0</x:v>
      </x:c>
      <x:c r="HH125">
        <x:f t="shared" si="163"/>
        <x:v>0</x:v>
      </x:c>
      <x:c r="HI125">
        <x:f t="shared" si="164"/>
        <x:v>0</x:v>
      </x:c>
      <x:c r="HJ125">
        <x:f t="shared" si="165"/>
        <x:v>0</x:v>
      </x:c>
      <x:c r="HK125">
        <x:f t="shared" si="166"/>
        <x:v>0</x:v>
      </x:c>
      <x:c r="HL125">
        <x:f t="shared" si="167"/>
        <x:v>0</x:v>
      </x:c>
    </x:row>
    <x:row r="126">
      <x:c r="D126" s="74"/>
      <x:c r="EQ126">
        <x:f t="shared" si="94"/>
        <x:v>0</x:v>
      </x:c>
      <x:c r="ER126">
        <x:f t="shared" si="95"/>
        <x:v>0</x:v>
      </x:c>
      <x:c r="ES126">
        <x:f t="shared" si="96"/>
        <x:v>0</x:v>
      </x:c>
      <x:c r="ET126">
        <x:f t="shared" si="97"/>
        <x:v>0</x:v>
      </x:c>
      <x:c r="EU126">
        <x:f t="shared" si="98"/>
        <x:v>0</x:v>
      </x:c>
      <x:c r="EV126">
        <x:f t="shared" si="99"/>
        <x:v>0</x:v>
      </x:c>
      <x:c r="EW126">
        <x:f t="shared" si="100"/>
        <x:v>0</x:v>
      </x:c>
      <x:c r="EX126">
        <x:f t="shared" si="101"/>
        <x:v>0</x:v>
      </x:c>
      <x:c r="EY126">
        <x:f t="shared" si="102"/>
        <x:v>0</x:v>
      </x:c>
      <x:c r="EZ126">
        <x:f t="shared" si="103"/>
        <x:v>0</x:v>
      </x:c>
      <x:c r="FA126" s="41">
        <x:f t="shared" si="104"/>
        <x:v>0</x:v>
      </x:c>
      <x:c r="FB126">
        <x:f t="shared" si="105"/>
        <x:v>0</x:v>
      </x:c>
      <x:c r="FC126">
        <x:f t="shared" si="106"/>
        <x:v>0</x:v>
      </x:c>
      <x:c r="FD126">
        <x:f t="shared" si="107"/>
        <x:v>0</x:v>
      </x:c>
      <x:c r="FE126">
        <x:f t="shared" si="108"/>
        <x:v>0</x:v>
      </x:c>
      <x:c r="FF126">
        <x:f t="shared" si="109"/>
        <x:v>0</x:v>
      </x:c>
      <x:c r="FG126">
        <x:f t="shared" si="110"/>
        <x:v>0</x:v>
      </x:c>
      <x:c r="FH126">
        <x:f t="shared" si="111"/>
        <x:v>0</x:v>
      </x:c>
      <x:c r="FI126">
        <x:f t="shared" si="112"/>
        <x:v>0</x:v>
      </x:c>
      <x:c r="FJ126">
        <x:f t="shared" si="113"/>
        <x:v>0</x:v>
      </x:c>
      <x:c r="FK126">
        <x:f t="shared" si="114"/>
        <x:v>0</x:v>
      </x:c>
      <x:c r="FL126" s="41">
        <x:f t="shared" si="115"/>
        <x:v>0</x:v>
      </x:c>
      <x:c r="FM126">
        <x:f t="shared" si="116"/>
        <x:v>0</x:v>
      </x:c>
      <x:c r="FN126">
        <x:f t="shared" si="117"/>
        <x:v>0</x:v>
      </x:c>
      <x:c r="FO126">
        <x:f t="shared" si="118"/>
        <x:v>0</x:v>
      </x:c>
      <x:c r="FP126">
        <x:f t="shared" si="119"/>
        <x:v>0</x:v>
      </x:c>
      <x:c r="FQ126">
        <x:f t="shared" si="120"/>
        <x:v>0</x:v>
      </x:c>
      <x:c r="FR126">
        <x:f t="shared" si="121"/>
        <x:v>0</x:v>
      </x:c>
      <x:c r="FS126">
        <x:f t="shared" si="122"/>
        <x:v>0</x:v>
      </x:c>
      <x:c r="FT126">
        <x:f t="shared" si="123"/>
        <x:v>0</x:v>
      </x:c>
      <x:c r="FU126">
        <x:f t="shared" si="124"/>
        <x:v>0</x:v>
      </x:c>
      <x:c r="FV126">
        <x:f t="shared" si="125"/>
        <x:v>0</x:v>
      </x:c>
      <x:c r="FW126" s="41">
        <x:f t="shared" si="126"/>
        <x:v>0</x:v>
      </x:c>
      <x:c r="FX126">
        <x:f t="shared" si="127"/>
        <x:v>0</x:v>
      </x:c>
      <x:c r="FY126">
        <x:f t="shared" si="128"/>
        <x:v>0</x:v>
      </x:c>
      <x:c r="FZ126">
        <x:f t="shared" si="129"/>
        <x:v>0</x:v>
      </x:c>
      <x:c r="GA126">
        <x:f t="shared" si="130"/>
        <x:v>0</x:v>
      </x:c>
      <x:c r="GB126">
        <x:f t="shared" si="131"/>
        <x:v>0</x:v>
      </x:c>
      <x:c r="GC126">
        <x:f t="shared" si="132"/>
        <x:v>0</x:v>
      </x:c>
      <x:c r="GD126">
        <x:f t="shared" si="133"/>
        <x:v>0</x:v>
      </x:c>
      <x:c r="GE126">
        <x:f t="shared" si="134"/>
        <x:v>0</x:v>
      </x:c>
      <x:c r="GF126">
        <x:f t="shared" si="135"/>
        <x:v>0</x:v>
      </x:c>
      <x:c r="GG126">
        <x:f t="shared" si="136"/>
        <x:v>0</x:v>
      </x:c>
      <x:c r="GH126">
        <x:f t="shared" si="137"/>
        <x:v>0</x:v>
      </x:c>
      <x:c r="GI126">
        <x:f t="shared" si="138"/>
        <x:v>0</x:v>
      </x:c>
      <x:c r="GJ126">
        <x:f t="shared" si="139"/>
        <x:v>0</x:v>
      </x:c>
      <x:c r="GK126">
        <x:f t="shared" si="140"/>
        <x:v>0</x:v>
      </x:c>
      <x:c r="GL126">
        <x:f t="shared" si="141"/>
        <x:v>0</x:v>
      </x:c>
      <x:c r="GM126">
        <x:f t="shared" si="142"/>
        <x:v>0</x:v>
      </x:c>
      <x:c r="GN126">
        <x:f t="shared" si="143"/>
        <x:v>0</x:v>
      </x:c>
      <x:c r="GO126">
        <x:f t="shared" si="144"/>
        <x:v>0</x:v>
      </x:c>
      <x:c r="GP126">
        <x:f t="shared" si="145"/>
        <x:v>0</x:v>
      </x:c>
      <x:c r="GQ126">
        <x:f t="shared" si="146"/>
        <x:v>0</x:v>
      </x:c>
      <x:c r="GR126" s="42">
        <x:f t="shared" si="147"/>
        <x:v>0</x:v>
      </x:c>
      <x:c r="GS126">
        <x:f t="shared" si="148"/>
        <x:v>0</x:v>
      </x:c>
      <x:c r="GT126">
        <x:f t="shared" si="149"/>
        <x:v>0</x:v>
      </x:c>
      <x:c r="GU126">
        <x:f t="shared" si="150"/>
        <x:v>0</x:v>
      </x:c>
      <x:c r="GV126">
        <x:f t="shared" si="151"/>
        <x:v>0</x:v>
      </x:c>
      <x:c r="GW126">
        <x:f t="shared" si="152"/>
        <x:v>0</x:v>
      </x:c>
      <x:c r="GX126">
        <x:f t="shared" si="153"/>
        <x:v>0</x:v>
      </x:c>
      <x:c r="GY126">
        <x:f t="shared" si="154"/>
        <x:v>0</x:v>
      </x:c>
      <x:c r="GZ126">
        <x:f t="shared" si="155"/>
        <x:v>0</x:v>
      </x:c>
      <x:c r="HA126">
        <x:f t="shared" si="156"/>
        <x:v>0</x:v>
      </x:c>
      <x:c r="HB126" s="42">
        <x:f t="shared" si="157"/>
        <x:v>0</x:v>
      </x:c>
      <x:c r="HC126">
        <x:f t="shared" si="158"/>
        <x:v>0</x:v>
      </x:c>
      <x:c r="HD126">
        <x:f t="shared" si="159"/>
        <x:v>0</x:v>
      </x:c>
      <x:c r="HE126">
        <x:f t="shared" si="160"/>
        <x:v>0</x:v>
      </x:c>
      <x:c r="HF126">
        <x:f t="shared" si="161"/>
        <x:v>0</x:v>
      </x:c>
      <x:c r="HG126">
        <x:f t="shared" si="162"/>
        <x:v>0</x:v>
      </x:c>
      <x:c r="HH126">
        <x:f t="shared" si="163"/>
        <x:v>0</x:v>
      </x:c>
      <x:c r="HI126">
        <x:f t="shared" si="164"/>
        <x:v>0</x:v>
      </x:c>
      <x:c r="HJ126">
        <x:f t="shared" si="165"/>
        <x:v>0</x:v>
      </x:c>
      <x:c r="HK126">
        <x:f t="shared" si="166"/>
        <x:v>0</x:v>
      </x:c>
      <x:c r="HL126">
        <x:f t="shared" si="167"/>
        <x:v>0</x:v>
      </x:c>
    </x:row>
    <x:row r="127">
      <x:c r="D127" s="74"/>
      <x:c r="EQ127">
        <x:f t="shared" si="94"/>
        <x:v>0</x:v>
      </x:c>
      <x:c r="ER127">
        <x:f t="shared" si="95"/>
        <x:v>0</x:v>
      </x:c>
      <x:c r="ES127">
        <x:f t="shared" si="96"/>
        <x:v>0</x:v>
      </x:c>
      <x:c r="ET127">
        <x:f t="shared" si="97"/>
        <x:v>0</x:v>
      </x:c>
      <x:c r="EU127">
        <x:f t="shared" si="98"/>
        <x:v>0</x:v>
      </x:c>
      <x:c r="EV127">
        <x:f t="shared" si="99"/>
        <x:v>0</x:v>
      </x:c>
      <x:c r="EW127">
        <x:f t="shared" si="100"/>
        <x:v>0</x:v>
      </x:c>
      <x:c r="EX127">
        <x:f t="shared" si="101"/>
        <x:v>0</x:v>
      </x:c>
      <x:c r="EY127">
        <x:f t="shared" si="102"/>
        <x:v>0</x:v>
      </x:c>
      <x:c r="EZ127">
        <x:f t="shared" si="103"/>
        <x:v>0</x:v>
      </x:c>
      <x:c r="FA127" s="41">
        <x:f t="shared" si="104"/>
        <x:v>0</x:v>
      </x:c>
      <x:c r="FB127">
        <x:f t="shared" si="105"/>
        <x:v>0</x:v>
      </x:c>
      <x:c r="FC127">
        <x:f t="shared" si="106"/>
        <x:v>0</x:v>
      </x:c>
      <x:c r="FD127">
        <x:f t="shared" si="107"/>
        <x:v>0</x:v>
      </x:c>
      <x:c r="FE127">
        <x:f t="shared" si="108"/>
        <x:v>0</x:v>
      </x:c>
      <x:c r="FF127">
        <x:f t="shared" si="109"/>
        <x:v>0</x:v>
      </x:c>
      <x:c r="FG127">
        <x:f t="shared" si="110"/>
        <x:v>0</x:v>
      </x:c>
      <x:c r="FH127">
        <x:f t="shared" si="111"/>
        <x:v>0</x:v>
      </x:c>
      <x:c r="FI127">
        <x:f t="shared" si="112"/>
        <x:v>0</x:v>
      </x:c>
      <x:c r="FJ127">
        <x:f t="shared" si="113"/>
        <x:v>0</x:v>
      </x:c>
      <x:c r="FK127">
        <x:f t="shared" si="114"/>
        <x:v>0</x:v>
      </x:c>
      <x:c r="FL127" s="41">
        <x:f t="shared" si="115"/>
        <x:v>0</x:v>
      </x:c>
      <x:c r="FM127">
        <x:f t="shared" si="116"/>
        <x:v>0</x:v>
      </x:c>
      <x:c r="FN127">
        <x:f t="shared" si="117"/>
        <x:v>0</x:v>
      </x:c>
      <x:c r="FO127">
        <x:f t="shared" si="118"/>
        <x:v>0</x:v>
      </x:c>
      <x:c r="FP127">
        <x:f t="shared" si="119"/>
        <x:v>0</x:v>
      </x:c>
      <x:c r="FQ127">
        <x:f t="shared" si="120"/>
        <x:v>0</x:v>
      </x:c>
      <x:c r="FR127">
        <x:f t="shared" si="121"/>
        <x:v>0</x:v>
      </x:c>
      <x:c r="FS127">
        <x:f t="shared" si="122"/>
        <x:v>0</x:v>
      </x:c>
      <x:c r="FT127">
        <x:f t="shared" si="123"/>
        <x:v>0</x:v>
      </x:c>
      <x:c r="FU127">
        <x:f t="shared" si="124"/>
        <x:v>0</x:v>
      </x:c>
      <x:c r="FV127">
        <x:f t="shared" si="125"/>
        <x:v>0</x:v>
      </x:c>
      <x:c r="FW127" s="41">
        <x:f t="shared" si="126"/>
        <x:v>0</x:v>
      </x:c>
      <x:c r="FX127">
        <x:f t="shared" si="127"/>
        <x:v>0</x:v>
      </x:c>
      <x:c r="FY127">
        <x:f t="shared" si="128"/>
        <x:v>0</x:v>
      </x:c>
      <x:c r="FZ127">
        <x:f t="shared" si="129"/>
        <x:v>0</x:v>
      </x:c>
      <x:c r="GA127">
        <x:f t="shared" si="130"/>
        <x:v>0</x:v>
      </x:c>
      <x:c r="GB127">
        <x:f t="shared" si="131"/>
        <x:v>0</x:v>
      </x:c>
      <x:c r="GC127">
        <x:f t="shared" si="132"/>
        <x:v>0</x:v>
      </x:c>
      <x:c r="GD127">
        <x:f t="shared" si="133"/>
        <x:v>0</x:v>
      </x:c>
      <x:c r="GE127">
        <x:f t="shared" si="134"/>
        <x:v>0</x:v>
      </x:c>
      <x:c r="GF127">
        <x:f t="shared" si="135"/>
        <x:v>0</x:v>
      </x:c>
      <x:c r="GG127">
        <x:f t="shared" si="136"/>
        <x:v>0</x:v>
      </x:c>
      <x:c r="GH127">
        <x:f t="shared" si="137"/>
        <x:v>0</x:v>
      </x:c>
      <x:c r="GI127">
        <x:f t="shared" si="138"/>
        <x:v>0</x:v>
      </x:c>
      <x:c r="GJ127">
        <x:f t="shared" si="139"/>
        <x:v>0</x:v>
      </x:c>
      <x:c r="GK127">
        <x:f t="shared" si="140"/>
        <x:v>0</x:v>
      </x:c>
      <x:c r="GL127">
        <x:f t="shared" si="141"/>
        <x:v>0</x:v>
      </x:c>
      <x:c r="GM127">
        <x:f t="shared" si="142"/>
        <x:v>0</x:v>
      </x:c>
      <x:c r="GN127">
        <x:f t="shared" si="143"/>
        <x:v>0</x:v>
      </x:c>
      <x:c r="GO127">
        <x:f t="shared" si="144"/>
        <x:v>0</x:v>
      </x:c>
      <x:c r="GP127">
        <x:f t="shared" si="145"/>
        <x:v>0</x:v>
      </x:c>
      <x:c r="GQ127">
        <x:f t="shared" si="146"/>
        <x:v>0</x:v>
      </x:c>
      <x:c r="GR127" s="42">
        <x:f t="shared" si="147"/>
        <x:v>0</x:v>
      </x:c>
      <x:c r="GS127">
        <x:f t="shared" si="148"/>
        <x:v>0</x:v>
      </x:c>
      <x:c r="GT127">
        <x:f t="shared" si="149"/>
        <x:v>0</x:v>
      </x:c>
      <x:c r="GU127">
        <x:f t="shared" si="150"/>
        <x:v>0</x:v>
      </x:c>
      <x:c r="GV127">
        <x:f t="shared" si="151"/>
        <x:v>0</x:v>
      </x:c>
      <x:c r="GW127">
        <x:f t="shared" si="152"/>
        <x:v>0</x:v>
      </x:c>
      <x:c r="GX127">
        <x:f t="shared" si="153"/>
        <x:v>0</x:v>
      </x:c>
      <x:c r="GY127">
        <x:f t="shared" si="154"/>
        <x:v>0</x:v>
      </x:c>
      <x:c r="GZ127">
        <x:f t="shared" si="155"/>
        <x:v>0</x:v>
      </x:c>
      <x:c r="HA127">
        <x:f t="shared" si="156"/>
        <x:v>0</x:v>
      </x:c>
      <x:c r="HB127" s="42">
        <x:f t="shared" si="157"/>
        <x:v>0</x:v>
      </x:c>
      <x:c r="HC127">
        <x:f t="shared" si="158"/>
        <x:v>0</x:v>
      </x:c>
      <x:c r="HD127">
        <x:f t="shared" si="159"/>
        <x:v>0</x:v>
      </x:c>
      <x:c r="HE127">
        <x:f t="shared" si="160"/>
        <x:v>0</x:v>
      </x:c>
      <x:c r="HF127">
        <x:f t="shared" si="161"/>
        <x:v>0</x:v>
      </x:c>
      <x:c r="HG127">
        <x:f t="shared" si="162"/>
        <x:v>0</x:v>
      </x:c>
      <x:c r="HH127">
        <x:f t="shared" si="163"/>
        <x:v>0</x:v>
      </x:c>
      <x:c r="HI127">
        <x:f t="shared" si="164"/>
        <x:v>0</x:v>
      </x:c>
      <x:c r="HJ127">
        <x:f t="shared" si="165"/>
        <x:v>0</x:v>
      </x:c>
      <x:c r="HK127">
        <x:f t="shared" si="166"/>
        <x:v>0</x:v>
      </x:c>
      <x:c r="HL127">
        <x:f t="shared" si="167"/>
        <x:v>0</x:v>
      </x:c>
    </x:row>
    <x:row r="128">
      <x:c r="D128" s="74"/>
      <x:c r="EQ128">
        <x:f t="shared" si="94"/>
        <x:v>0</x:v>
      </x:c>
      <x:c r="ER128">
        <x:f t="shared" si="95"/>
        <x:v>0</x:v>
      </x:c>
      <x:c r="ES128">
        <x:f t="shared" si="96"/>
        <x:v>0</x:v>
      </x:c>
      <x:c r="ET128">
        <x:f t="shared" si="97"/>
        <x:v>0</x:v>
      </x:c>
      <x:c r="EU128">
        <x:f t="shared" si="98"/>
        <x:v>0</x:v>
      </x:c>
      <x:c r="EV128">
        <x:f t="shared" si="99"/>
        <x:v>0</x:v>
      </x:c>
      <x:c r="EW128">
        <x:f t="shared" si="100"/>
        <x:v>0</x:v>
      </x:c>
      <x:c r="EX128">
        <x:f t="shared" si="101"/>
        <x:v>0</x:v>
      </x:c>
      <x:c r="EY128">
        <x:f t="shared" si="102"/>
        <x:v>0</x:v>
      </x:c>
      <x:c r="EZ128">
        <x:f t="shared" si="103"/>
        <x:v>0</x:v>
      </x:c>
      <x:c r="FA128" s="41">
        <x:f t="shared" si="104"/>
        <x:v>0</x:v>
      </x:c>
      <x:c r="FB128">
        <x:f t="shared" si="105"/>
        <x:v>0</x:v>
      </x:c>
      <x:c r="FC128">
        <x:f t="shared" si="106"/>
        <x:v>0</x:v>
      </x:c>
      <x:c r="FD128">
        <x:f t="shared" si="107"/>
        <x:v>0</x:v>
      </x:c>
      <x:c r="FE128">
        <x:f t="shared" si="108"/>
        <x:v>0</x:v>
      </x:c>
      <x:c r="FF128">
        <x:f t="shared" si="109"/>
        <x:v>0</x:v>
      </x:c>
      <x:c r="FG128">
        <x:f t="shared" si="110"/>
        <x:v>0</x:v>
      </x:c>
      <x:c r="FH128">
        <x:f t="shared" si="111"/>
        <x:v>0</x:v>
      </x:c>
      <x:c r="FI128">
        <x:f t="shared" si="112"/>
        <x:v>0</x:v>
      </x:c>
      <x:c r="FJ128">
        <x:f t="shared" si="113"/>
        <x:v>0</x:v>
      </x:c>
      <x:c r="FK128">
        <x:f t="shared" si="114"/>
        <x:v>0</x:v>
      </x:c>
      <x:c r="FL128" s="41">
        <x:f t="shared" si="115"/>
        <x:v>0</x:v>
      </x:c>
      <x:c r="FM128">
        <x:f t="shared" si="116"/>
        <x:v>0</x:v>
      </x:c>
      <x:c r="FN128">
        <x:f t="shared" si="117"/>
        <x:v>0</x:v>
      </x:c>
      <x:c r="FO128">
        <x:f t="shared" si="118"/>
        <x:v>0</x:v>
      </x:c>
      <x:c r="FP128">
        <x:f t="shared" si="119"/>
        <x:v>0</x:v>
      </x:c>
      <x:c r="FQ128">
        <x:f t="shared" si="120"/>
        <x:v>0</x:v>
      </x:c>
      <x:c r="FR128">
        <x:f t="shared" si="121"/>
        <x:v>0</x:v>
      </x:c>
      <x:c r="FS128">
        <x:f t="shared" si="122"/>
        <x:v>0</x:v>
      </x:c>
      <x:c r="FT128">
        <x:f t="shared" si="123"/>
        <x:v>0</x:v>
      </x:c>
      <x:c r="FU128">
        <x:f t="shared" si="124"/>
        <x:v>0</x:v>
      </x:c>
      <x:c r="FV128">
        <x:f t="shared" si="125"/>
        <x:v>0</x:v>
      </x:c>
      <x:c r="FW128" s="41">
        <x:f t="shared" si="126"/>
        <x:v>0</x:v>
      </x:c>
      <x:c r="FX128">
        <x:f t="shared" si="127"/>
        <x:v>0</x:v>
      </x:c>
      <x:c r="FY128">
        <x:f t="shared" si="128"/>
        <x:v>0</x:v>
      </x:c>
      <x:c r="FZ128">
        <x:f t="shared" si="129"/>
        <x:v>0</x:v>
      </x:c>
      <x:c r="GA128">
        <x:f t="shared" si="130"/>
        <x:v>0</x:v>
      </x:c>
      <x:c r="GB128">
        <x:f t="shared" si="131"/>
        <x:v>0</x:v>
      </x:c>
      <x:c r="GC128">
        <x:f t="shared" si="132"/>
        <x:v>0</x:v>
      </x:c>
      <x:c r="GD128">
        <x:f t="shared" si="133"/>
        <x:v>0</x:v>
      </x:c>
      <x:c r="GE128">
        <x:f t="shared" si="134"/>
        <x:v>0</x:v>
      </x:c>
      <x:c r="GF128">
        <x:f t="shared" si="135"/>
        <x:v>0</x:v>
      </x:c>
      <x:c r="GG128">
        <x:f t="shared" si="136"/>
        <x:v>0</x:v>
      </x:c>
      <x:c r="GH128">
        <x:f t="shared" si="137"/>
        <x:v>0</x:v>
      </x:c>
      <x:c r="GI128">
        <x:f t="shared" si="138"/>
        <x:v>0</x:v>
      </x:c>
      <x:c r="GJ128">
        <x:f t="shared" si="139"/>
        <x:v>0</x:v>
      </x:c>
      <x:c r="GK128">
        <x:f t="shared" si="140"/>
        <x:v>0</x:v>
      </x:c>
      <x:c r="GL128">
        <x:f t="shared" si="141"/>
        <x:v>0</x:v>
      </x:c>
      <x:c r="GM128">
        <x:f t="shared" si="142"/>
        <x:v>0</x:v>
      </x:c>
      <x:c r="GN128">
        <x:f t="shared" si="143"/>
        <x:v>0</x:v>
      </x:c>
      <x:c r="GO128">
        <x:f t="shared" si="144"/>
        <x:v>0</x:v>
      </x:c>
      <x:c r="GP128">
        <x:f t="shared" si="145"/>
        <x:v>0</x:v>
      </x:c>
      <x:c r="GQ128">
        <x:f t="shared" si="146"/>
        <x:v>0</x:v>
      </x:c>
      <x:c r="GR128" s="42">
        <x:f t="shared" si="147"/>
        <x:v>0</x:v>
      </x:c>
      <x:c r="GS128">
        <x:f t="shared" si="148"/>
        <x:v>0</x:v>
      </x:c>
      <x:c r="GT128">
        <x:f t="shared" si="149"/>
        <x:v>0</x:v>
      </x:c>
      <x:c r="GU128">
        <x:f t="shared" si="150"/>
        <x:v>0</x:v>
      </x:c>
      <x:c r="GV128">
        <x:f t="shared" si="151"/>
        <x:v>0</x:v>
      </x:c>
      <x:c r="GW128">
        <x:f t="shared" si="152"/>
        <x:v>0</x:v>
      </x:c>
      <x:c r="GX128">
        <x:f t="shared" si="153"/>
        <x:v>0</x:v>
      </x:c>
      <x:c r="GY128">
        <x:f t="shared" si="154"/>
        <x:v>0</x:v>
      </x:c>
      <x:c r="GZ128">
        <x:f t="shared" si="155"/>
        <x:v>0</x:v>
      </x:c>
      <x:c r="HA128">
        <x:f t="shared" si="156"/>
        <x:v>0</x:v>
      </x:c>
      <x:c r="HB128" s="42">
        <x:f t="shared" si="157"/>
        <x:v>0</x:v>
      </x:c>
      <x:c r="HC128">
        <x:f t="shared" si="158"/>
        <x:v>0</x:v>
      </x:c>
      <x:c r="HD128">
        <x:f t="shared" si="159"/>
        <x:v>0</x:v>
      </x:c>
      <x:c r="HE128">
        <x:f t="shared" si="160"/>
        <x:v>0</x:v>
      </x:c>
      <x:c r="HF128">
        <x:f t="shared" si="161"/>
        <x:v>0</x:v>
      </x:c>
      <x:c r="HG128">
        <x:f t="shared" si="162"/>
        <x:v>0</x:v>
      </x:c>
      <x:c r="HH128">
        <x:f t="shared" si="163"/>
        <x:v>0</x:v>
      </x:c>
      <x:c r="HI128">
        <x:f t="shared" si="164"/>
        <x:v>0</x:v>
      </x:c>
      <x:c r="HJ128">
        <x:f t="shared" si="165"/>
        <x:v>0</x:v>
      </x:c>
      <x:c r="HK128">
        <x:f t="shared" si="166"/>
        <x:v>0</x:v>
      </x:c>
      <x:c r="HL128">
        <x:f t="shared" si="167"/>
        <x:v>0</x:v>
      </x:c>
    </x:row>
    <x:row r="129">
      <x:c r="D129" s="74"/>
      <x:c r="EQ129">
        <x:f t="shared" si="94"/>
        <x:v>0</x:v>
      </x:c>
      <x:c r="ER129">
        <x:f t="shared" si="95"/>
        <x:v>0</x:v>
      </x:c>
      <x:c r="ES129">
        <x:f t="shared" si="96"/>
        <x:v>0</x:v>
      </x:c>
      <x:c r="ET129">
        <x:f t="shared" si="97"/>
        <x:v>0</x:v>
      </x:c>
      <x:c r="EU129">
        <x:f t="shared" si="98"/>
        <x:v>0</x:v>
      </x:c>
      <x:c r="EV129">
        <x:f t="shared" si="99"/>
        <x:v>0</x:v>
      </x:c>
      <x:c r="EW129">
        <x:f t="shared" si="100"/>
        <x:v>0</x:v>
      </x:c>
      <x:c r="EX129">
        <x:f t="shared" si="101"/>
        <x:v>0</x:v>
      </x:c>
      <x:c r="EY129">
        <x:f t="shared" si="102"/>
        <x:v>0</x:v>
      </x:c>
      <x:c r="EZ129">
        <x:f t="shared" si="103"/>
        <x:v>0</x:v>
      </x:c>
      <x:c r="FA129" s="41">
        <x:f t="shared" si="104"/>
        <x:v>0</x:v>
      </x:c>
      <x:c r="FB129">
        <x:f t="shared" si="105"/>
        <x:v>0</x:v>
      </x:c>
      <x:c r="FC129">
        <x:f t="shared" si="106"/>
        <x:v>0</x:v>
      </x:c>
      <x:c r="FD129">
        <x:f t="shared" si="107"/>
        <x:v>0</x:v>
      </x:c>
      <x:c r="FE129">
        <x:f t="shared" si="108"/>
        <x:v>0</x:v>
      </x:c>
      <x:c r="FF129">
        <x:f t="shared" si="109"/>
        <x:v>0</x:v>
      </x:c>
      <x:c r="FG129">
        <x:f t="shared" si="110"/>
        <x:v>0</x:v>
      </x:c>
      <x:c r="FH129">
        <x:f t="shared" si="111"/>
        <x:v>0</x:v>
      </x:c>
      <x:c r="FI129">
        <x:f t="shared" si="112"/>
        <x:v>0</x:v>
      </x:c>
      <x:c r="FJ129">
        <x:f t="shared" si="113"/>
        <x:v>0</x:v>
      </x:c>
      <x:c r="FK129">
        <x:f t="shared" si="114"/>
        <x:v>0</x:v>
      </x:c>
      <x:c r="FL129" s="41">
        <x:f t="shared" si="115"/>
        <x:v>0</x:v>
      </x:c>
      <x:c r="FM129">
        <x:f t="shared" si="116"/>
        <x:v>0</x:v>
      </x:c>
      <x:c r="FN129">
        <x:f t="shared" si="117"/>
        <x:v>0</x:v>
      </x:c>
      <x:c r="FO129">
        <x:f t="shared" si="118"/>
        <x:v>0</x:v>
      </x:c>
      <x:c r="FP129">
        <x:f t="shared" si="119"/>
        <x:v>0</x:v>
      </x:c>
      <x:c r="FQ129">
        <x:f t="shared" si="120"/>
        <x:v>0</x:v>
      </x:c>
      <x:c r="FR129">
        <x:f t="shared" si="121"/>
        <x:v>0</x:v>
      </x:c>
      <x:c r="FS129">
        <x:f t="shared" si="122"/>
        <x:v>0</x:v>
      </x:c>
      <x:c r="FT129">
        <x:f t="shared" si="123"/>
        <x:v>0</x:v>
      </x:c>
      <x:c r="FU129">
        <x:f t="shared" si="124"/>
        <x:v>0</x:v>
      </x:c>
      <x:c r="FV129">
        <x:f t="shared" si="125"/>
        <x:v>0</x:v>
      </x:c>
      <x:c r="FW129" s="41">
        <x:f t="shared" si="126"/>
        <x:v>0</x:v>
      </x:c>
      <x:c r="FX129">
        <x:f t="shared" si="127"/>
        <x:v>0</x:v>
      </x:c>
      <x:c r="FY129">
        <x:f t="shared" si="128"/>
        <x:v>0</x:v>
      </x:c>
      <x:c r="FZ129">
        <x:f t="shared" si="129"/>
        <x:v>0</x:v>
      </x:c>
      <x:c r="GA129">
        <x:f t="shared" si="130"/>
        <x:v>0</x:v>
      </x:c>
      <x:c r="GB129">
        <x:f t="shared" si="131"/>
        <x:v>0</x:v>
      </x:c>
      <x:c r="GC129">
        <x:f t="shared" si="132"/>
        <x:v>0</x:v>
      </x:c>
      <x:c r="GD129">
        <x:f t="shared" si="133"/>
        <x:v>0</x:v>
      </x:c>
      <x:c r="GE129">
        <x:f t="shared" si="134"/>
        <x:v>0</x:v>
      </x:c>
      <x:c r="GF129">
        <x:f t="shared" si="135"/>
        <x:v>0</x:v>
      </x:c>
      <x:c r="GG129">
        <x:f t="shared" si="136"/>
        <x:v>0</x:v>
      </x:c>
      <x:c r="GH129">
        <x:f t="shared" si="137"/>
        <x:v>0</x:v>
      </x:c>
      <x:c r="GI129">
        <x:f t="shared" si="138"/>
        <x:v>0</x:v>
      </x:c>
      <x:c r="GJ129">
        <x:f t="shared" si="139"/>
        <x:v>0</x:v>
      </x:c>
      <x:c r="GK129">
        <x:f t="shared" si="140"/>
        <x:v>0</x:v>
      </x:c>
      <x:c r="GL129">
        <x:f t="shared" si="141"/>
        <x:v>0</x:v>
      </x:c>
      <x:c r="GM129">
        <x:f t="shared" si="142"/>
        <x:v>0</x:v>
      </x:c>
      <x:c r="GN129">
        <x:f t="shared" si="143"/>
        <x:v>0</x:v>
      </x:c>
      <x:c r="GO129">
        <x:f t="shared" si="144"/>
        <x:v>0</x:v>
      </x:c>
      <x:c r="GP129">
        <x:f t="shared" si="145"/>
        <x:v>0</x:v>
      </x:c>
      <x:c r="GQ129">
        <x:f t="shared" si="146"/>
        <x:v>0</x:v>
      </x:c>
      <x:c r="GR129" s="42">
        <x:f t="shared" si="147"/>
        <x:v>0</x:v>
      </x:c>
      <x:c r="GS129">
        <x:f t="shared" si="148"/>
        <x:v>0</x:v>
      </x:c>
      <x:c r="GT129">
        <x:f t="shared" si="149"/>
        <x:v>0</x:v>
      </x:c>
      <x:c r="GU129">
        <x:f t="shared" si="150"/>
        <x:v>0</x:v>
      </x:c>
      <x:c r="GV129">
        <x:f t="shared" si="151"/>
        <x:v>0</x:v>
      </x:c>
      <x:c r="GW129">
        <x:f t="shared" si="152"/>
        <x:v>0</x:v>
      </x:c>
      <x:c r="GX129">
        <x:f t="shared" si="153"/>
        <x:v>0</x:v>
      </x:c>
      <x:c r="GY129">
        <x:f t="shared" si="154"/>
        <x:v>0</x:v>
      </x:c>
      <x:c r="GZ129">
        <x:f t="shared" si="155"/>
        <x:v>0</x:v>
      </x:c>
      <x:c r="HA129">
        <x:f t="shared" si="156"/>
        <x:v>0</x:v>
      </x:c>
      <x:c r="HB129" s="42">
        <x:f t="shared" si="157"/>
        <x:v>0</x:v>
      </x:c>
      <x:c r="HC129">
        <x:f t="shared" si="158"/>
        <x:v>0</x:v>
      </x:c>
      <x:c r="HD129">
        <x:f t="shared" si="159"/>
        <x:v>0</x:v>
      </x:c>
      <x:c r="HE129">
        <x:f t="shared" si="160"/>
        <x:v>0</x:v>
      </x:c>
      <x:c r="HF129">
        <x:f t="shared" si="161"/>
        <x:v>0</x:v>
      </x:c>
      <x:c r="HG129">
        <x:f t="shared" si="162"/>
        <x:v>0</x:v>
      </x:c>
      <x:c r="HH129">
        <x:f t="shared" si="163"/>
        <x:v>0</x:v>
      </x:c>
      <x:c r="HI129">
        <x:f t="shared" si="164"/>
        <x:v>0</x:v>
      </x:c>
      <x:c r="HJ129">
        <x:f t="shared" si="165"/>
        <x:v>0</x:v>
      </x:c>
      <x:c r="HK129">
        <x:f t="shared" si="166"/>
        <x:v>0</x:v>
      </x:c>
      <x:c r="HL129">
        <x:f t="shared" si="167"/>
        <x:v>0</x:v>
      </x:c>
    </x:row>
    <x:row r="130">
      <x:c r="D130" s="74"/>
      <x:c r="EQ130">
        <x:f t="shared" si="94"/>
        <x:v>0</x:v>
      </x:c>
      <x:c r="ER130">
        <x:f t="shared" si="95"/>
        <x:v>0</x:v>
      </x:c>
      <x:c r="ES130">
        <x:f t="shared" si="96"/>
        <x:v>0</x:v>
      </x:c>
      <x:c r="ET130">
        <x:f t="shared" si="97"/>
        <x:v>0</x:v>
      </x:c>
      <x:c r="EU130">
        <x:f t="shared" si="98"/>
        <x:v>0</x:v>
      </x:c>
      <x:c r="EV130">
        <x:f t="shared" si="99"/>
        <x:v>0</x:v>
      </x:c>
      <x:c r="EW130">
        <x:f t="shared" si="100"/>
        <x:v>0</x:v>
      </x:c>
      <x:c r="EX130">
        <x:f t="shared" si="101"/>
        <x:v>0</x:v>
      </x:c>
      <x:c r="EY130">
        <x:f t="shared" si="102"/>
        <x:v>0</x:v>
      </x:c>
      <x:c r="EZ130">
        <x:f t="shared" si="103"/>
        <x:v>0</x:v>
      </x:c>
      <x:c r="FA130" s="41">
        <x:f t="shared" si="104"/>
        <x:v>0</x:v>
      </x:c>
      <x:c r="FB130">
        <x:f t="shared" si="105"/>
        <x:v>0</x:v>
      </x:c>
      <x:c r="FC130">
        <x:f t="shared" si="106"/>
        <x:v>0</x:v>
      </x:c>
      <x:c r="FD130">
        <x:f t="shared" si="107"/>
        <x:v>0</x:v>
      </x:c>
      <x:c r="FE130">
        <x:f t="shared" si="108"/>
        <x:v>0</x:v>
      </x:c>
      <x:c r="FF130">
        <x:f t="shared" si="109"/>
        <x:v>0</x:v>
      </x:c>
      <x:c r="FG130">
        <x:f t="shared" si="110"/>
        <x:v>0</x:v>
      </x:c>
      <x:c r="FH130">
        <x:f t="shared" si="111"/>
        <x:v>0</x:v>
      </x:c>
      <x:c r="FI130">
        <x:f t="shared" si="112"/>
        <x:v>0</x:v>
      </x:c>
      <x:c r="FJ130">
        <x:f t="shared" si="113"/>
        <x:v>0</x:v>
      </x:c>
      <x:c r="FK130">
        <x:f t="shared" si="114"/>
        <x:v>0</x:v>
      </x:c>
      <x:c r="FL130" s="41">
        <x:f t="shared" si="115"/>
        <x:v>0</x:v>
      </x:c>
      <x:c r="FM130">
        <x:f t="shared" si="116"/>
        <x:v>0</x:v>
      </x:c>
      <x:c r="FN130">
        <x:f t="shared" si="117"/>
        <x:v>0</x:v>
      </x:c>
      <x:c r="FO130">
        <x:f t="shared" si="118"/>
        <x:v>0</x:v>
      </x:c>
      <x:c r="FP130">
        <x:f t="shared" si="119"/>
        <x:v>0</x:v>
      </x:c>
      <x:c r="FQ130">
        <x:f t="shared" si="120"/>
        <x:v>0</x:v>
      </x:c>
      <x:c r="FR130">
        <x:f t="shared" si="121"/>
        <x:v>0</x:v>
      </x:c>
      <x:c r="FS130">
        <x:f t="shared" si="122"/>
        <x:v>0</x:v>
      </x:c>
      <x:c r="FT130">
        <x:f t="shared" si="123"/>
        <x:v>0</x:v>
      </x:c>
      <x:c r="FU130">
        <x:f t="shared" si="124"/>
        <x:v>0</x:v>
      </x:c>
      <x:c r="FV130">
        <x:f t="shared" si="125"/>
        <x:v>0</x:v>
      </x:c>
      <x:c r="FW130" s="41">
        <x:f t="shared" si="126"/>
        <x:v>0</x:v>
      </x:c>
      <x:c r="FX130">
        <x:f t="shared" si="127"/>
        <x:v>0</x:v>
      </x:c>
      <x:c r="FY130">
        <x:f t="shared" si="128"/>
        <x:v>0</x:v>
      </x:c>
      <x:c r="FZ130">
        <x:f t="shared" si="129"/>
        <x:v>0</x:v>
      </x:c>
      <x:c r="GA130">
        <x:f t="shared" si="130"/>
        <x:v>0</x:v>
      </x:c>
      <x:c r="GB130">
        <x:f t="shared" si="131"/>
        <x:v>0</x:v>
      </x:c>
      <x:c r="GC130">
        <x:f t="shared" si="132"/>
        <x:v>0</x:v>
      </x:c>
      <x:c r="GD130">
        <x:f t="shared" si="133"/>
        <x:v>0</x:v>
      </x:c>
      <x:c r="GE130">
        <x:f t="shared" si="134"/>
        <x:v>0</x:v>
      </x:c>
      <x:c r="GF130">
        <x:f t="shared" si="135"/>
        <x:v>0</x:v>
      </x:c>
      <x:c r="GG130">
        <x:f t="shared" si="136"/>
        <x:v>0</x:v>
      </x:c>
      <x:c r="GH130">
        <x:f t="shared" si="137"/>
        <x:v>0</x:v>
      </x:c>
      <x:c r="GI130">
        <x:f t="shared" si="138"/>
        <x:v>0</x:v>
      </x:c>
      <x:c r="GJ130">
        <x:f t="shared" si="139"/>
        <x:v>0</x:v>
      </x:c>
      <x:c r="GK130">
        <x:f t="shared" si="140"/>
        <x:v>0</x:v>
      </x:c>
      <x:c r="GL130">
        <x:f t="shared" si="141"/>
        <x:v>0</x:v>
      </x:c>
      <x:c r="GM130">
        <x:f t="shared" si="142"/>
        <x:v>0</x:v>
      </x:c>
      <x:c r="GN130">
        <x:f t="shared" si="143"/>
        <x:v>0</x:v>
      </x:c>
      <x:c r="GO130">
        <x:f t="shared" si="144"/>
        <x:v>0</x:v>
      </x:c>
      <x:c r="GP130">
        <x:f t="shared" si="145"/>
        <x:v>0</x:v>
      </x:c>
      <x:c r="GQ130">
        <x:f t="shared" si="146"/>
        <x:v>0</x:v>
      </x:c>
      <x:c r="GR130" s="42">
        <x:f t="shared" si="147"/>
        <x:v>0</x:v>
      </x:c>
      <x:c r="GS130">
        <x:f t="shared" si="148"/>
        <x:v>0</x:v>
      </x:c>
      <x:c r="GT130">
        <x:f t="shared" si="149"/>
        <x:v>0</x:v>
      </x:c>
      <x:c r="GU130">
        <x:f t="shared" si="150"/>
        <x:v>0</x:v>
      </x:c>
      <x:c r="GV130">
        <x:f t="shared" si="151"/>
        <x:v>0</x:v>
      </x:c>
      <x:c r="GW130">
        <x:f t="shared" si="152"/>
        <x:v>0</x:v>
      </x:c>
      <x:c r="GX130">
        <x:f t="shared" si="153"/>
        <x:v>0</x:v>
      </x:c>
      <x:c r="GY130">
        <x:f t="shared" si="154"/>
        <x:v>0</x:v>
      </x:c>
      <x:c r="GZ130">
        <x:f t="shared" si="155"/>
        <x:v>0</x:v>
      </x:c>
      <x:c r="HA130">
        <x:f t="shared" si="156"/>
        <x:v>0</x:v>
      </x:c>
      <x:c r="HB130" s="42">
        <x:f t="shared" si="157"/>
        <x:v>0</x:v>
      </x:c>
      <x:c r="HC130">
        <x:f t="shared" si="158"/>
        <x:v>0</x:v>
      </x:c>
      <x:c r="HD130">
        <x:f t="shared" si="159"/>
        <x:v>0</x:v>
      </x:c>
      <x:c r="HE130">
        <x:f t="shared" si="160"/>
        <x:v>0</x:v>
      </x:c>
      <x:c r="HF130">
        <x:f t="shared" si="161"/>
        <x:v>0</x:v>
      </x:c>
      <x:c r="HG130">
        <x:f t="shared" si="162"/>
        <x:v>0</x:v>
      </x:c>
      <x:c r="HH130">
        <x:f t="shared" si="163"/>
        <x:v>0</x:v>
      </x:c>
      <x:c r="HI130">
        <x:f t="shared" si="164"/>
        <x:v>0</x:v>
      </x:c>
      <x:c r="HJ130">
        <x:f t="shared" si="165"/>
        <x:v>0</x:v>
      </x:c>
      <x:c r="HK130">
        <x:f t="shared" si="166"/>
        <x:v>0</x:v>
      </x:c>
      <x:c r="HL130">
        <x:f t="shared" si="167"/>
        <x:v>0</x:v>
      </x:c>
    </x:row>
    <x:row r="131">
      <x:c r="D131" s="74"/>
      <x:c r="EQ131">
        <x:f t="shared" si="94"/>
        <x:v>0</x:v>
      </x:c>
      <x:c r="ER131">
        <x:f t="shared" si="95"/>
        <x:v>0</x:v>
      </x:c>
      <x:c r="ES131">
        <x:f t="shared" si="96"/>
        <x:v>0</x:v>
      </x:c>
      <x:c r="ET131">
        <x:f t="shared" si="97"/>
        <x:v>0</x:v>
      </x:c>
      <x:c r="EU131">
        <x:f t="shared" si="98"/>
        <x:v>0</x:v>
      </x:c>
      <x:c r="EV131">
        <x:f t="shared" si="99"/>
        <x:v>0</x:v>
      </x:c>
      <x:c r="EW131">
        <x:f t="shared" si="100"/>
        <x:v>0</x:v>
      </x:c>
      <x:c r="EX131">
        <x:f t="shared" si="101"/>
        <x:v>0</x:v>
      </x:c>
      <x:c r="EY131">
        <x:f t="shared" si="102"/>
        <x:v>0</x:v>
      </x:c>
      <x:c r="EZ131">
        <x:f t="shared" si="103"/>
        <x:v>0</x:v>
      </x:c>
      <x:c r="FA131" s="41">
        <x:f t="shared" si="104"/>
        <x:v>0</x:v>
      </x:c>
      <x:c r="FB131">
        <x:f t="shared" si="105"/>
        <x:v>0</x:v>
      </x:c>
      <x:c r="FC131">
        <x:f t="shared" si="106"/>
        <x:v>0</x:v>
      </x:c>
      <x:c r="FD131">
        <x:f t="shared" si="107"/>
        <x:v>0</x:v>
      </x:c>
      <x:c r="FE131">
        <x:f t="shared" si="108"/>
        <x:v>0</x:v>
      </x:c>
      <x:c r="FF131">
        <x:f t="shared" si="109"/>
        <x:v>0</x:v>
      </x:c>
      <x:c r="FG131">
        <x:f t="shared" si="110"/>
        <x:v>0</x:v>
      </x:c>
      <x:c r="FH131">
        <x:f t="shared" si="111"/>
        <x:v>0</x:v>
      </x:c>
      <x:c r="FI131">
        <x:f t="shared" si="112"/>
        <x:v>0</x:v>
      </x:c>
      <x:c r="FJ131">
        <x:f t="shared" si="113"/>
        <x:v>0</x:v>
      </x:c>
      <x:c r="FK131">
        <x:f t="shared" si="114"/>
        <x:v>0</x:v>
      </x:c>
      <x:c r="FL131" s="41">
        <x:f t="shared" si="115"/>
        <x:v>0</x:v>
      </x:c>
      <x:c r="FM131">
        <x:f t="shared" si="116"/>
        <x:v>0</x:v>
      </x:c>
      <x:c r="FN131">
        <x:f t="shared" si="117"/>
        <x:v>0</x:v>
      </x:c>
      <x:c r="FO131">
        <x:f t="shared" si="118"/>
        <x:v>0</x:v>
      </x:c>
      <x:c r="FP131">
        <x:f t="shared" si="119"/>
        <x:v>0</x:v>
      </x:c>
      <x:c r="FQ131">
        <x:f t="shared" si="120"/>
        <x:v>0</x:v>
      </x:c>
      <x:c r="FR131">
        <x:f t="shared" si="121"/>
        <x:v>0</x:v>
      </x:c>
      <x:c r="FS131">
        <x:f t="shared" si="122"/>
        <x:v>0</x:v>
      </x:c>
      <x:c r="FT131">
        <x:f t="shared" si="123"/>
        <x:v>0</x:v>
      </x:c>
      <x:c r="FU131">
        <x:f t="shared" si="124"/>
        <x:v>0</x:v>
      </x:c>
      <x:c r="FV131">
        <x:f t="shared" si="125"/>
        <x:v>0</x:v>
      </x:c>
      <x:c r="FW131" s="41">
        <x:f t="shared" si="126"/>
        <x:v>0</x:v>
      </x:c>
      <x:c r="FX131">
        <x:f t="shared" si="127"/>
        <x:v>0</x:v>
      </x:c>
      <x:c r="FY131">
        <x:f t="shared" si="128"/>
        <x:v>0</x:v>
      </x:c>
      <x:c r="FZ131">
        <x:f t="shared" si="129"/>
        <x:v>0</x:v>
      </x:c>
      <x:c r="GA131">
        <x:f t="shared" si="130"/>
        <x:v>0</x:v>
      </x:c>
      <x:c r="GB131">
        <x:f t="shared" si="131"/>
        <x:v>0</x:v>
      </x:c>
      <x:c r="GC131">
        <x:f t="shared" si="132"/>
        <x:v>0</x:v>
      </x:c>
      <x:c r="GD131">
        <x:f t="shared" si="133"/>
        <x:v>0</x:v>
      </x:c>
      <x:c r="GE131">
        <x:f t="shared" si="134"/>
        <x:v>0</x:v>
      </x:c>
      <x:c r="GF131">
        <x:f t="shared" si="135"/>
        <x:v>0</x:v>
      </x:c>
      <x:c r="GG131">
        <x:f t="shared" si="136"/>
        <x:v>0</x:v>
      </x:c>
      <x:c r="GH131">
        <x:f t="shared" si="137"/>
        <x:v>0</x:v>
      </x:c>
      <x:c r="GI131">
        <x:f t="shared" si="138"/>
        <x:v>0</x:v>
      </x:c>
      <x:c r="GJ131">
        <x:f t="shared" si="139"/>
        <x:v>0</x:v>
      </x:c>
      <x:c r="GK131">
        <x:f t="shared" si="140"/>
        <x:v>0</x:v>
      </x:c>
      <x:c r="GL131">
        <x:f t="shared" si="141"/>
        <x:v>0</x:v>
      </x:c>
      <x:c r="GM131">
        <x:f t="shared" si="142"/>
        <x:v>0</x:v>
      </x:c>
      <x:c r="GN131">
        <x:f t="shared" si="143"/>
        <x:v>0</x:v>
      </x:c>
      <x:c r="GO131">
        <x:f t="shared" si="144"/>
        <x:v>0</x:v>
      </x:c>
      <x:c r="GP131">
        <x:f t="shared" si="145"/>
        <x:v>0</x:v>
      </x:c>
      <x:c r="GQ131">
        <x:f t="shared" si="146"/>
        <x:v>0</x:v>
      </x:c>
      <x:c r="GR131" s="42">
        <x:f t="shared" si="147"/>
        <x:v>0</x:v>
      </x:c>
      <x:c r="GS131">
        <x:f t="shared" si="148"/>
        <x:v>0</x:v>
      </x:c>
      <x:c r="GT131">
        <x:f t="shared" si="149"/>
        <x:v>0</x:v>
      </x:c>
      <x:c r="GU131">
        <x:f t="shared" si="150"/>
        <x:v>0</x:v>
      </x:c>
      <x:c r="GV131">
        <x:f t="shared" si="151"/>
        <x:v>0</x:v>
      </x:c>
      <x:c r="GW131">
        <x:f t="shared" si="152"/>
        <x:v>0</x:v>
      </x:c>
      <x:c r="GX131">
        <x:f t="shared" si="153"/>
        <x:v>0</x:v>
      </x:c>
      <x:c r="GY131">
        <x:f t="shared" si="154"/>
        <x:v>0</x:v>
      </x:c>
      <x:c r="GZ131">
        <x:f t="shared" si="155"/>
        <x:v>0</x:v>
      </x:c>
      <x:c r="HA131">
        <x:f t="shared" si="156"/>
        <x:v>0</x:v>
      </x:c>
      <x:c r="HB131" s="42">
        <x:f t="shared" si="157"/>
        <x:v>0</x:v>
      </x:c>
      <x:c r="HC131">
        <x:f t="shared" si="158"/>
        <x:v>0</x:v>
      </x:c>
      <x:c r="HD131">
        <x:f t="shared" si="159"/>
        <x:v>0</x:v>
      </x:c>
      <x:c r="HE131">
        <x:f t="shared" si="160"/>
        <x:v>0</x:v>
      </x:c>
      <x:c r="HF131">
        <x:f t="shared" si="161"/>
        <x:v>0</x:v>
      </x:c>
      <x:c r="HG131">
        <x:f t="shared" si="162"/>
        <x:v>0</x:v>
      </x:c>
      <x:c r="HH131">
        <x:f t="shared" si="163"/>
        <x:v>0</x:v>
      </x:c>
      <x:c r="HI131">
        <x:f t="shared" si="164"/>
        <x:v>0</x:v>
      </x:c>
      <x:c r="HJ131">
        <x:f t="shared" si="165"/>
        <x:v>0</x:v>
      </x:c>
      <x:c r="HK131">
        <x:f t="shared" si="166"/>
        <x:v>0</x:v>
      </x:c>
      <x:c r="HL131">
        <x:f t="shared" si="167"/>
        <x:v>0</x:v>
      </x:c>
    </x:row>
    <x:row r="132">
      <x:c r="D132" s="74"/>
      <x:c r="EQ132">
        <x:f t="shared" si="94"/>
        <x:v>0</x:v>
      </x:c>
      <x:c r="ER132">
        <x:f t="shared" si="95"/>
        <x:v>0</x:v>
      </x:c>
      <x:c r="ES132">
        <x:f t="shared" si="96"/>
        <x:v>0</x:v>
      </x:c>
      <x:c r="ET132">
        <x:f t="shared" si="97"/>
        <x:v>0</x:v>
      </x:c>
      <x:c r="EU132">
        <x:f t="shared" si="98"/>
        <x:v>0</x:v>
      </x:c>
      <x:c r="EV132">
        <x:f t="shared" si="99"/>
        <x:v>0</x:v>
      </x:c>
      <x:c r="EW132">
        <x:f t="shared" si="100"/>
        <x:v>0</x:v>
      </x:c>
      <x:c r="EX132">
        <x:f t="shared" si="101"/>
        <x:v>0</x:v>
      </x:c>
      <x:c r="EY132">
        <x:f t="shared" si="102"/>
        <x:v>0</x:v>
      </x:c>
      <x:c r="EZ132">
        <x:f t="shared" si="103"/>
        <x:v>0</x:v>
      </x:c>
      <x:c r="FA132" s="41">
        <x:f t="shared" si="104"/>
        <x:v>0</x:v>
      </x:c>
      <x:c r="FB132">
        <x:f t="shared" si="105"/>
        <x:v>0</x:v>
      </x:c>
      <x:c r="FC132">
        <x:f t="shared" si="106"/>
        <x:v>0</x:v>
      </x:c>
      <x:c r="FD132">
        <x:f t="shared" si="107"/>
        <x:v>0</x:v>
      </x:c>
      <x:c r="FE132">
        <x:f t="shared" si="108"/>
        <x:v>0</x:v>
      </x:c>
      <x:c r="FF132">
        <x:f t="shared" si="109"/>
        <x:v>0</x:v>
      </x:c>
      <x:c r="FG132">
        <x:f t="shared" si="110"/>
        <x:v>0</x:v>
      </x:c>
      <x:c r="FH132">
        <x:f t="shared" si="111"/>
        <x:v>0</x:v>
      </x:c>
      <x:c r="FI132">
        <x:f t="shared" si="112"/>
        <x:v>0</x:v>
      </x:c>
      <x:c r="FJ132">
        <x:f t="shared" si="113"/>
        <x:v>0</x:v>
      </x:c>
      <x:c r="FK132">
        <x:f t="shared" si="114"/>
        <x:v>0</x:v>
      </x:c>
      <x:c r="FL132" s="41">
        <x:f t="shared" si="115"/>
        <x:v>0</x:v>
      </x:c>
      <x:c r="FM132">
        <x:f t="shared" si="116"/>
        <x:v>0</x:v>
      </x:c>
      <x:c r="FN132">
        <x:f t="shared" si="117"/>
        <x:v>0</x:v>
      </x:c>
      <x:c r="FO132">
        <x:f t="shared" si="118"/>
        <x:v>0</x:v>
      </x:c>
      <x:c r="FP132">
        <x:f t="shared" si="119"/>
        <x:v>0</x:v>
      </x:c>
      <x:c r="FQ132">
        <x:f t="shared" si="120"/>
        <x:v>0</x:v>
      </x:c>
      <x:c r="FR132">
        <x:f t="shared" si="121"/>
        <x:v>0</x:v>
      </x:c>
      <x:c r="FS132">
        <x:f t="shared" si="122"/>
        <x:v>0</x:v>
      </x:c>
      <x:c r="FT132">
        <x:f t="shared" si="123"/>
        <x:v>0</x:v>
      </x:c>
      <x:c r="FU132">
        <x:f t="shared" si="124"/>
        <x:v>0</x:v>
      </x:c>
      <x:c r="FV132">
        <x:f t="shared" si="125"/>
        <x:v>0</x:v>
      </x:c>
      <x:c r="FW132" s="41">
        <x:f t="shared" si="126"/>
        <x:v>0</x:v>
      </x:c>
      <x:c r="FX132">
        <x:f t="shared" si="127"/>
        <x:v>0</x:v>
      </x:c>
      <x:c r="FY132">
        <x:f t="shared" si="128"/>
        <x:v>0</x:v>
      </x:c>
      <x:c r="FZ132">
        <x:f t="shared" si="129"/>
        <x:v>0</x:v>
      </x:c>
      <x:c r="GA132">
        <x:f t="shared" si="130"/>
        <x:v>0</x:v>
      </x:c>
      <x:c r="GB132">
        <x:f t="shared" si="131"/>
        <x:v>0</x:v>
      </x:c>
      <x:c r="GC132">
        <x:f t="shared" si="132"/>
        <x:v>0</x:v>
      </x:c>
      <x:c r="GD132">
        <x:f t="shared" si="133"/>
        <x:v>0</x:v>
      </x:c>
      <x:c r="GE132">
        <x:f t="shared" si="134"/>
        <x:v>0</x:v>
      </x:c>
      <x:c r="GF132">
        <x:f t="shared" si="135"/>
        <x:v>0</x:v>
      </x:c>
      <x:c r="GG132">
        <x:f t="shared" si="136"/>
        <x:v>0</x:v>
      </x:c>
      <x:c r="GH132">
        <x:f t="shared" si="137"/>
        <x:v>0</x:v>
      </x:c>
      <x:c r="GI132">
        <x:f t="shared" si="138"/>
        <x:v>0</x:v>
      </x:c>
      <x:c r="GJ132">
        <x:f t="shared" si="139"/>
        <x:v>0</x:v>
      </x:c>
      <x:c r="GK132">
        <x:f t="shared" si="140"/>
        <x:v>0</x:v>
      </x:c>
      <x:c r="GL132">
        <x:f t="shared" si="141"/>
        <x:v>0</x:v>
      </x:c>
      <x:c r="GM132">
        <x:f t="shared" si="142"/>
        <x:v>0</x:v>
      </x:c>
      <x:c r="GN132">
        <x:f t="shared" si="143"/>
        <x:v>0</x:v>
      </x:c>
      <x:c r="GO132">
        <x:f t="shared" si="144"/>
        <x:v>0</x:v>
      </x:c>
      <x:c r="GP132">
        <x:f t="shared" si="145"/>
        <x:v>0</x:v>
      </x:c>
      <x:c r="GQ132">
        <x:f t="shared" si="146"/>
        <x:v>0</x:v>
      </x:c>
      <x:c r="GR132" s="42">
        <x:f t="shared" si="147"/>
        <x:v>0</x:v>
      </x:c>
      <x:c r="GS132">
        <x:f t="shared" si="148"/>
        <x:v>0</x:v>
      </x:c>
      <x:c r="GT132">
        <x:f t="shared" si="149"/>
        <x:v>0</x:v>
      </x:c>
      <x:c r="GU132">
        <x:f t="shared" si="150"/>
        <x:v>0</x:v>
      </x:c>
      <x:c r="GV132">
        <x:f t="shared" si="151"/>
        <x:v>0</x:v>
      </x:c>
      <x:c r="GW132">
        <x:f t="shared" si="152"/>
        <x:v>0</x:v>
      </x:c>
      <x:c r="GX132">
        <x:f t="shared" si="153"/>
        <x:v>0</x:v>
      </x:c>
      <x:c r="GY132">
        <x:f t="shared" si="154"/>
        <x:v>0</x:v>
      </x:c>
      <x:c r="GZ132">
        <x:f t="shared" si="155"/>
        <x:v>0</x:v>
      </x:c>
      <x:c r="HA132">
        <x:f t="shared" si="156"/>
        <x:v>0</x:v>
      </x:c>
      <x:c r="HB132" s="42">
        <x:f t="shared" si="157"/>
        <x:v>0</x:v>
      </x:c>
      <x:c r="HC132">
        <x:f t="shared" si="158"/>
        <x:v>0</x:v>
      </x:c>
      <x:c r="HD132">
        <x:f t="shared" si="159"/>
        <x:v>0</x:v>
      </x:c>
      <x:c r="HE132">
        <x:f t="shared" si="160"/>
        <x:v>0</x:v>
      </x:c>
      <x:c r="HF132">
        <x:f t="shared" si="161"/>
        <x:v>0</x:v>
      </x:c>
      <x:c r="HG132">
        <x:f t="shared" si="162"/>
        <x:v>0</x:v>
      </x:c>
      <x:c r="HH132">
        <x:f t="shared" si="163"/>
        <x:v>0</x:v>
      </x:c>
      <x:c r="HI132">
        <x:f t="shared" si="164"/>
        <x:v>0</x:v>
      </x:c>
      <x:c r="HJ132">
        <x:f t="shared" si="165"/>
        <x:v>0</x:v>
      </x:c>
      <x:c r="HK132">
        <x:f t="shared" si="166"/>
        <x:v>0</x:v>
      </x:c>
      <x:c r="HL132">
        <x:f t="shared" si="167"/>
        <x:v>0</x:v>
      </x:c>
    </x:row>
    <x:row r="133">
      <x:c r="D133" s="74"/>
      <x:c r="EQ133">
        <x:f t="shared" si="94"/>
        <x:v>0</x:v>
      </x:c>
      <x:c r="ER133">
        <x:f t="shared" si="95"/>
        <x:v>0</x:v>
      </x:c>
      <x:c r="ES133">
        <x:f t="shared" si="96"/>
        <x:v>0</x:v>
      </x:c>
      <x:c r="ET133">
        <x:f t="shared" si="97"/>
        <x:v>0</x:v>
      </x:c>
      <x:c r="EU133">
        <x:f t="shared" si="98"/>
        <x:v>0</x:v>
      </x:c>
      <x:c r="EV133">
        <x:f t="shared" si="99"/>
        <x:v>0</x:v>
      </x:c>
      <x:c r="EW133">
        <x:f t="shared" si="100"/>
        <x:v>0</x:v>
      </x:c>
      <x:c r="EX133">
        <x:f t="shared" si="101"/>
        <x:v>0</x:v>
      </x:c>
      <x:c r="EY133">
        <x:f t="shared" si="102"/>
        <x:v>0</x:v>
      </x:c>
      <x:c r="EZ133">
        <x:f t="shared" si="103"/>
        <x:v>0</x:v>
      </x:c>
      <x:c r="FA133" s="41">
        <x:f t="shared" si="104"/>
        <x:v>0</x:v>
      </x:c>
      <x:c r="FB133">
        <x:f t="shared" si="105"/>
        <x:v>0</x:v>
      </x:c>
      <x:c r="FC133">
        <x:f t="shared" si="106"/>
        <x:v>0</x:v>
      </x:c>
      <x:c r="FD133">
        <x:f t="shared" si="107"/>
        <x:v>0</x:v>
      </x:c>
      <x:c r="FE133">
        <x:f t="shared" si="108"/>
        <x:v>0</x:v>
      </x:c>
      <x:c r="FF133">
        <x:f t="shared" si="109"/>
        <x:v>0</x:v>
      </x:c>
      <x:c r="FG133">
        <x:f t="shared" si="110"/>
        <x:v>0</x:v>
      </x:c>
      <x:c r="FH133">
        <x:f t="shared" si="111"/>
        <x:v>0</x:v>
      </x:c>
      <x:c r="FI133">
        <x:f t="shared" si="112"/>
        <x:v>0</x:v>
      </x:c>
      <x:c r="FJ133">
        <x:f t="shared" si="113"/>
        <x:v>0</x:v>
      </x:c>
      <x:c r="FK133">
        <x:f t="shared" si="114"/>
        <x:v>0</x:v>
      </x:c>
      <x:c r="FL133" s="41">
        <x:f t="shared" si="115"/>
        <x:v>0</x:v>
      </x:c>
      <x:c r="FM133">
        <x:f t="shared" si="116"/>
        <x:v>0</x:v>
      </x:c>
      <x:c r="FN133">
        <x:f t="shared" si="117"/>
        <x:v>0</x:v>
      </x:c>
      <x:c r="FO133">
        <x:f t="shared" si="118"/>
        <x:v>0</x:v>
      </x:c>
      <x:c r="FP133">
        <x:f t="shared" si="119"/>
        <x:v>0</x:v>
      </x:c>
      <x:c r="FQ133">
        <x:f t="shared" si="120"/>
        <x:v>0</x:v>
      </x:c>
      <x:c r="FR133">
        <x:f t="shared" si="121"/>
        <x:v>0</x:v>
      </x:c>
      <x:c r="FS133">
        <x:f t="shared" si="122"/>
        <x:v>0</x:v>
      </x:c>
      <x:c r="FT133">
        <x:f t="shared" si="123"/>
        <x:v>0</x:v>
      </x:c>
      <x:c r="FU133">
        <x:f t="shared" si="124"/>
        <x:v>0</x:v>
      </x:c>
      <x:c r="FV133">
        <x:f t="shared" si="125"/>
        <x:v>0</x:v>
      </x:c>
      <x:c r="FW133" s="41">
        <x:f t="shared" si="126"/>
        <x:v>0</x:v>
      </x:c>
      <x:c r="FX133">
        <x:f t="shared" si="127"/>
        <x:v>0</x:v>
      </x:c>
      <x:c r="FY133">
        <x:f t="shared" si="128"/>
        <x:v>0</x:v>
      </x:c>
      <x:c r="FZ133">
        <x:f t="shared" si="129"/>
        <x:v>0</x:v>
      </x:c>
      <x:c r="GA133">
        <x:f t="shared" si="130"/>
        <x:v>0</x:v>
      </x:c>
      <x:c r="GB133">
        <x:f t="shared" si="131"/>
        <x:v>0</x:v>
      </x:c>
      <x:c r="GC133">
        <x:f t="shared" si="132"/>
        <x:v>0</x:v>
      </x:c>
      <x:c r="GD133">
        <x:f t="shared" si="133"/>
        <x:v>0</x:v>
      </x:c>
      <x:c r="GE133">
        <x:f t="shared" si="134"/>
        <x:v>0</x:v>
      </x:c>
      <x:c r="GF133">
        <x:f t="shared" si="135"/>
        <x:v>0</x:v>
      </x:c>
      <x:c r="GG133">
        <x:f t="shared" si="136"/>
        <x:v>0</x:v>
      </x:c>
      <x:c r="GH133">
        <x:f t="shared" si="137"/>
        <x:v>0</x:v>
      </x:c>
      <x:c r="GI133">
        <x:f t="shared" si="138"/>
        <x:v>0</x:v>
      </x:c>
      <x:c r="GJ133">
        <x:f t="shared" si="139"/>
        <x:v>0</x:v>
      </x:c>
      <x:c r="GK133">
        <x:f t="shared" si="140"/>
        <x:v>0</x:v>
      </x:c>
      <x:c r="GL133">
        <x:f t="shared" si="141"/>
        <x:v>0</x:v>
      </x:c>
      <x:c r="GM133">
        <x:f t="shared" si="142"/>
        <x:v>0</x:v>
      </x:c>
      <x:c r="GN133">
        <x:f t="shared" si="143"/>
        <x:v>0</x:v>
      </x:c>
      <x:c r="GO133">
        <x:f t="shared" si="144"/>
        <x:v>0</x:v>
      </x:c>
      <x:c r="GP133">
        <x:f t="shared" si="145"/>
        <x:v>0</x:v>
      </x:c>
      <x:c r="GQ133">
        <x:f t="shared" si="146"/>
        <x:v>0</x:v>
      </x:c>
      <x:c r="GR133" s="42">
        <x:f t="shared" si="147"/>
        <x:v>0</x:v>
      </x:c>
      <x:c r="GS133">
        <x:f t="shared" si="148"/>
        <x:v>0</x:v>
      </x:c>
      <x:c r="GT133">
        <x:f t="shared" si="149"/>
        <x:v>0</x:v>
      </x:c>
      <x:c r="GU133">
        <x:f t="shared" si="150"/>
        <x:v>0</x:v>
      </x:c>
      <x:c r="GV133">
        <x:f t="shared" si="151"/>
        <x:v>0</x:v>
      </x:c>
      <x:c r="GW133">
        <x:f t="shared" si="152"/>
        <x:v>0</x:v>
      </x:c>
      <x:c r="GX133">
        <x:f t="shared" si="153"/>
        <x:v>0</x:v>
      </x:c>
      <x:c r="GY133">
        <x:f t="shared" si="154"/>
        <x:v>0</x:v>
      </x:c>
      <x:c r="GZ133">
        <x:f t="shared" si="155"/>
        <x:v>0</x:v>
      </x:c>
      <x:c r="HA133">
        <x:f t="shared" si="156"/>
        <x:v>0</x:v>
      </x:c>
      <x:c r="HB133" s="42">
        <x:f t="shared" si="157"/>
        <x:v>0</x:v>
      </x:c>
      <x:c r="HC133">
        <x:f t="shared" si="158"/>
        <x:v>0</x:v>
      </x:c>
      <x:c r="HD133">
        <x:f t="shared" si="159"/>
        <x:v>0</x:v>
      </x:c>
      <x:c r="HE133">
        <x:f t="shared" si="160"/>
        <x:v>0</x:v>
      </x:c>
      <x:c r="HF133">
        <x:f t="shared" si="161"/>
        <x:v>0</x:v>
      </x:c>
      <x:c r="HG133">
        <x:f t="shared" si="162"/>
        <x:v>0</x:v>
      </x:c>
      <x:c r="HH133">
        <x:f t="shared" si="163"/>
        <x:v>0</x:v>
      </x:c>
      <x:c r="HI133">
        <x:f t="shared" si="164"/>
        <x:v>0</x:v>
      </x:c>
      <x:c r="HJ133">
        <x:f t="shared" si="165"/>
        <x:v>0</x:v>
      </x:c>
      <x:c r="HK133">
        <x:f t="shared" si="166"/>
        <x:v>0</x:v>
      </x:c>
      <x:c r="HL133">
        <x:f t="shared" si="167"/>
        <x:v>0</x:v>
      </x:c>
    </x:row>
    <x:row r="134">
      <x:c r="D134" s="74"/>
      <x:c r="EQ134">
        <x:f t="shared" si="94"/>
        <x:v>0</x:v>
      </x:c>
      <x:c r="ER134">
        <x:f t="shared" si="95"/>
        <x:v>0</x:v>
      </x:c>
      <x:c r="ES134">
        <x:f t="shared" si="96"/>
        <x:v>0</x:v>
      </x:c>
      <x:c r="ET134">
        <x:f t="shared" si="97"/>
        <x:v>0</x:v>
      </x:c>
      <x:c r="EU134">
        <x:f t="shared" si="98"/>
        <x:v>0</x:v>
      </x:c>
      <x:c r="EV134">
        <x:f t="shared" si="99"/>
        <x:v>0</x:v>
      </x:c>
      <x:c r="EW134">
        <x:f t="shared" si="100"/>
        <x:v>0</x:v>
      </x:c>
      <x:c r="EX134">
        <x:f t="shared" si="101"/>
        <x:v>0</x:v>
      </x:c>
      <x:c r="EY134">
        <x:f t="shared" si="102"/>
        <x:v>0</x:v>
      </x:c>
      <x:c r="EZ134">
        <x:f t="shared" si="103"/>
        <x:v>0</x:v>
      </x:c>
      <x:c r="FA134" s="41">
        <x:f t="shared" si="104"/>
        <x:v>0</x:v>
      </x:c>
      <x:c r="FB134">
        <x:f t="shared" si="105"/>
        <x:v>0</x:v>
      </x:c>
      <x:c r="FC134">
        <x:f t="shared" si="106"/>
        <x:v>0</x:v>
      </x:c>
      <x:c r="FD134">
        <x:f t="shared" si="107"/>
        <x:v>0</x:v>
      </x:c>
      <x:c r="FE134">
        <x:f t="shared" si="108"/>
        <x:v>0</x:v>
      </x:c>
      <x:c r="FF134">
        <x:f t="shared" si="109"/>
        <x:v>0</x:v>
      </x:c>
      <x:c r="FG134">
        <x:f t="shared" si="110"/>
        <x:v>0</x:v>
      </x:c>
      <x:c r="FH134">
        <x:f t="shared" si="111"/>
        <x:v>0</x:v>
      </x:c>
      <x:c r="FI134">
        <x:f t="shared" si="112"/>
        <x:v>0</x:v>
      </x:c>
      <x:c r="FJ134">
        <x:f t="shared" si="113"/>
        <x:v>0</x:v>
      </x:c>
      <x:c r="FK134">
        <x:f t="shared" si="114"/>
        <x:v>0</x:v>
      </x:c>
      <x:c r="FL134" s="41">
        <x:f t="shared" si="115"/>
        <x:v>0</x:v>
      </x:c>
      <x:c r="FM134">
        <x:f t="shared" si="116"/>
        <x:v>0</x:v>
      </x:c>
      <x:c r="FN134">
        <x:f t="shared" si="117"/>
        <x:v>0</x:v>
      </x:c>
      <x:c r="FO134">
        <x:f t="shared" si="118"/>
        <x:v>0</x:v>
      </x:c>
      <x:c r="FP134">
        <x:f t="shared" si="119"/>
        <x:v>0</x:v>
      </x:c>
      <x:c r="FQ134">
        <x:f t="shared" si="120"/>
        <x:v>0</x:v>
      </x:c>
      <x:c r="FR134">
        <x:f t="shared" si="121"/>
        <x:v>0</x:v>
      </x:c>
      <x:c r="FS134">
        <x:f t="shared" si="122"/>
        <x:v>0</x:v>
      </x:c>
      <x:c r="FT134">
        <x:f t="shared" si="123"/>
        <x:v>0</x:v>
      </x:c>
      <x:c r="FU134">
        <x:f t="shared" si="124"/>
        <x:v>0</x:v>
      </x:c>
      <x:c r="FV134">
        <x:f t="shared" si="125"/>
        <x:v>0</x:v>
      </x:c>
      <x:c r="FW134" s="41">
        <x:f t="shared" si="126"/>
        <x:v>0</x:v>
      </x:c>
      <x:c r="FX134">
        <x:f t="shared" si="127"/>
        <x:v>0</x:v>
      </x:c>
      <x:c r="FY134">
        <x:f t="shared" si="128"/>
        <x:v>0</x:v>
      </x:c>
      <x:c r="FZ134">
        <x:f t="shared" si="129"/>
        <x:v>0</x:v>
      </x:c>
      <x:c r="GA134">
        <x:f t="shared" si="130"/>
        <x:v>0</x:v>
      </x:c>
      <x:c r="GB134">
        <x:f t="shared" si="131"/>
        <x:v>0</x:v>
      </x:c>
      <x:c r="GC134">
        <x:f t="shared" si="132"/>
        <x:v>0</x:v>
      </x:c>
      <x:c r="GD134">
        <x:f t="shared" si="133"/>
        <x:v>0</x:v>
      </x:c>
      <x:c r="GE134">
        <x:f t="shared" si="134"/>
        <x:v>0</x:v>
      </x:c>
      <x:c r="GF134">
        <x:f t="shared" si="135"/>
        <x:v>0</x:v>
      </x:c>
      <x:c r="GG134">
        <x:f t="shared" si="136"/>
        <x:v>0</x:v>
      </x:c>
      <x:c r="GH134">
        <x:f t="shared" si="137"/>
        <x:v>0</x:v>
      </x:c>
      <x:c r="GI134">
        <x:f t="shared" si="138"/>
        <x:v>0</x:v>
      </x:c>
      <x:c r="GJ134">
        <x:f t="shared" si="139"/>
        <x:v>0</x:v>
      </x:c>
      <x:c r="GK134">
        <x:f t="shared" si="140"/>
        <x:v>0</x:v>
      </x:c>
      <x:c r="GL134">
        <x:f t="shared" si="141"/>
        <x:v>0</x:v>
      </x:c>
      <x:c r="GM134">
        <x:f t="shared" si="142"/>
        <x:v>0</x:v>
      </x:c>
      <x:c r="GN134">
        <x:f t="shared" si="143"/>
        <x:v>0</x:v>
      </x:c>
      <x:c r="GO134">
        <x:f t="shared" si="144"/>
        <x:v>0</x:v>
      </x:c>
      <x:c r="GP134">
        <x:f t="shared" si="145"/>
        <x:v>0</x:v>
      </x:c>
      <x:c r="GQ134">
        <x:f t="shared" si="146"/>
        <x:v>0</x:v>
      </x:c>
      <x:c r="GR134" s="42">
        <x:f t="shared" si="147"/>
        <x:v>0</x:v>
      </x:c>
      <x:c r="GS134">
        <x:f t="shared" si="148"/>
        <x:v>0</x:v>
      </x:c>
      <x:c r="GT134">
        <x:f t="shared" si="149"/>
        <x:v>0</x:v>
      </x:c>
      <x:c r="GU134">
        <x:f t="shared" si="150"/>
        <x:v>0</x:v>
      </x:c>
      <x:c r="GV134">
        <x:f t="shared" si="151"/>
        <x:v>0</x:v>
      </x:c>
      <x:c r="GW134">
        <x:f t="shared" si="152"/>
        <x:v>0</x:v>
      </x:c>
      <x:c r="GX134">
        <x:f t="shared" si="153"/>
        <x:v>0</x:v>
      </x:c>
      <x:c r="GY134">
        <x:f t="shared" si="154"/>
        <x:v>0</x:v>
      </x:c>
      <x:c r="GZ134">
        <x:f t="shared" si="155"/>
        <x:v>0</x:v>
      </x:c>
      <x:c r="HA134">
        <x:f t="shared" si="156"/>
        <x:v>0</x:v>
      </x:c>
      <x:c r="HB134" s="42">
        <x:f t="shared" si="157"/>
        <x:v>0</x:v>
      </x:c>
      <x:c r="HC134">
        <x:f t="shared" si="158"/>
        <x:v>0</x:v>
      </x:c>
      <x:c r="HD134">
        <x:f t="shared" si="159"/>
        <x:v>0</x:v>
      </x:c>
      <x:c r="HE134">
        <x:f t="shared" si="160"/>
        <x:v>0</x:v>
      </x:c>
      <x:c r="HF134">
        <x:f t="shared" si="161"/>
        <x:v>0</x:v>
      </x:c>
      <x:c r="HG134">
        <x:f t="shared" si="162"/>
        <x:v>0</x:v>
      </x:c>
      <x:c r="HH134">
        <x:f t="shared" si="163"/>
        <x:v>0</x:v>
      </x:c>
      <x:c r="HI134">
        <x:f t="shared" si="164"/>
        <x:v>0</x:v>
      </x:c>
      <x:c r="HJ134">
        <x:f t="shared" si="165"/>
        <x:v>0</x:v>
      </x:c>
      <x:c r="HK134">
        <x:f t="shared" si="166"/>
        <x:v>0</x:v>
      </x:c>
      <x:c r="HL134">
        <x:f t="shared" si="167"/>
        <x:v>0</x:v>
      </x:c>
    </x:row>
    <x:row r="135">
      <x:c r="D135" s="74"/>
      <x:c r="EQ135">
        <x:f t="shared" si="94"/>
        <x:v>0</x:v>
      </x:c>
      <x:c r="ER135">
        <x:f t="shared" si="95"/>
        <x:v>0</x:v>
      </x:c>
      <x:c r="ES135">
        <x:f t="shared" si="96"/>
        <x:v>0</x:v>
      </x:c>
      <x:c r="ET135">
        <x:f t="shared" si="97"/>
        <x:v>0</x:v>
      </x:c>
      <x:c r="EU135">
        <x:f t="shared" si="98"/>
        <x:v>0</x:v>
      </x:c>
      <x:c r="EV135">
        <x:f t="shared" si="99"/>
        <x:v>0</x:v>
      </x:c>
      <x:c r="EW135">
        <x:f t="shared" si="100"/>
        <x:v>0</x:v>
      </x:c>
      <x:c r="EX135">
        <x:f t="shared" si="101"/>
        <x:v>0</x:v>
      </x:c>
      <x:c r="EY135">
        <x:f t="shared" si="102"/>
        <x:v>0</x:v>
      </x:c>
      <x:c r="EZ135">
        <x:f t="shared" si="103"/>
        <x:v>0</x:v>
      </x:c>
      <x:c r="FA135" s="41">
        <x:f t="shared" si="104"/>
        <x:v>0</x:v>
      </x:c>
      <x:c r="FB135">
        <x:f t="shared" si="105"/>
        <x:v>0</x:v>
      </x:c>
      <x:c r="FC135">
        <x:f t="shared" si="106"/>
        <x:v>0</x:v>
      </x:c>
      <x:c r="FD135">
        <x:f t="shared" si="107"/>
        <x:v>0</x:v>
      </x:c>
      <x:c r="FE135">
        <x:f t="shared" si="108"/>
        <x:v>0</x:v>
      </x:c>
      <x:c r="FF135">
        <x:f t="shared" si="109"/>
        <x:v>0</x:v>
      </x:c>
      <x:c r="FG135">
        <x:f t="shared" si="110"/>
        <x:v>0</x:v>
      </x:c>
      <x:c r="FH135">
        <x:f t="shared" si="111"/>
        <x:v>0</x:v>
      </x:c>
      <x:c r="FI135">
        <x:f t="shared" si="112"/>
        <x:v>0</x:v>
      </x:c>
      <x:c r="FJ135">
        <x:f t="shared" si="113"/>
        <x:v>0</x:v>
      </x:c>
      <x:c r="FK135">
        <x:f t="shared" si="114"/>
        <x:v>0</x:v>
      </x:c>
      <x:c r="FL135" s="41">
        <x:f t="shared" si="115"/>
        <x:v>0</x:v>
      </x:c>
      <x:c r="FM135">
        <x:f t="shared" si="116"/>
        <x:v>0</x:v>
      </x:c>
      <x:c r="FN135">
        <x:f t="shared" si="117"/>
        <x:v>0</x:v>
      </x:c>
      <x:c r="FO135">
        <x:f t="shared" si="118"/>
        <x:v>0</x:v>
      </x:c>
      <x:c r="FP135">
        <x:f t="shared" si="119"/>
        <x:v>0</x:v>
      </x:c>
      <x:c r="FQ135">
        <x:f t="shared" si="120"/>
        <x:v>0</x:v>
      </x:c>
      <x:c r="FR135">
        <x:f t="shared" si="121"/>
        <x:v>0</x:v>
      </x:c>
      <x:c r="FS135">
        <x:f t="shared" si="122"/>
        <x:v>0</x:v>
      </x:c>
      <x:c r="FT135">
        <x:f t="shared" si="123"/>
        <x:v>0</x:v>
      </x:c>
      <x:c r="FU135">
        <x:f t="shared" si="124"/>
        <x:v>0</x:v>
      </x:c>
      <x:c r="FV135">
        <x:f t="shared" si="125"/>
        <x:v>0</x:v>
      </x:c>
      <x:c r="FW135" s="41">
        <x:f t="shared" si="126"/>
        <x:v>0</x:v>
      </x:c>
      <x:c r="FX135">
        <x:f t="shared" si="127"/>
        <x:v>0</x:v>
      </x:c>
      <x:c r="FY135">
        <x:f t="shared" si="128"/>
        <x:v>0</x:v>
      </x:c>
      <x:c r="FZ135">
        <x:f t="shared" si="129"/>
        <x:v>0</x:v>
      </x:c>
      <x:c r="GA135">
        <x:f t="shared" si="130"/>
        <x:v>0</x:v>
      </x:c>
      <x:c r="GB135">
        <x:f t="shared" si="131"/>
        <x:v>0</x:v>
      </x:c>
      <x:c r="GC135">
        <x:f t="shared" si="132"/>
        <x:v>0</x:v>
      </x:c>
      <x:c r="GD135">
        <x:f t="shared" si="133"/>
        <x:v>0</x:v>
      </x:c>
      <x:c r="GE135">
        <x:f t="shared" si="134"/>
        <x:v>0</x:v>
      </x:c>
      <x:c r="GF135">
        <x:f t="shared" si="135"/>
        <x:v>0</x:v>
      </x:c>
      <x:c r="GG135">
        <x:f t="shared" si="136"/>
        <x:v>0</x:v>
      </x:c>
      <x:c r="GH135">
        <x:f t="shared" si="137"/>
        <x:v>0</x:v>
      </x:c>
      <x:c r="GI135">
        <x:f t="shared" si="138"/>
        <x:v>0</x:v>
      </x:c>
      <x:c r="GJ135">
        <x:f t="shared" si="139"/>
        <x:v>0</x:v>
      </x:c>
      <x:c r="GK135">
        <x:f t="shared" si="140"/>
        <x:v>0</x:v>
      </x:c>
      <x:c r="GL135">
        <x:f t="shared" si="141"/>
        <x:v>0</x:v>
      </x:c>
      <x:c r="GM135">
        <x:f t="shared" si="142"/>
        <x:v>0</x:v>
      </x:c>
      <x:c r="GN135">
        <x:f t="shared" si="143"/>
        <x:v>0</x:v>
      </x:c>
      <x:c r="GO135">
        <x:f t="shared" si="144"/>
        <x:v>0</x:v>
      </x:c>
      <x:c r="GP135">
        <x:f t="shared" si="145"/>
        <x:v>0</x:v>
      </x:c>
      <x:c r="GQ135">
        <x:f t="shared" si="146"/>
        <x:v>0</x:v>
      </x:c>
      <x:c r="GR135" s="42">
        <x:f t="shared" si="147"/>
        <x:v>0</x:v>
      </x:c>
      <x:c r="GS135">
        <x:f t="shared" si="148"/>
        <x:v>0</x:v>
      </x:c>
      <x:c r="GT135">
        <x:f t="shared" si="149"/>
        <x:v>0</x:v>
      </x:c>
      <x:c r="GU135">
        <x:f t="shared" si="150"/>
        <x:v>0</x:v>
      </x:c>
      <x:c r="GV135">
        <x:f t="shared" si="151"/>
        <x:v>0</x:v>
      </x:c>
      <x:c r="GW135">
        <x:f t="shared" si="152"/>
        <x:v>0</x:v>
      </x:c>
      <x:c r="GX135">
        <x:f t="shared" si="153"/>
        <x:v>0</x:v>
      </x:c>
      <x:c r="GY135">
        <x:f t="shared" si="154"/>
        <x:v>0</x:v>
      </x:c>
      <x:c r="GZ135">
        <x:f t="shared" si="155"/>
        <x:v>0</x:v>
      </x:c>
      <x:c r="HA135">
        <x:f t="shared" si="156"/>
        <x:v>0</x:v>
      </x:c>
      <x:c r="HB135" s="42">
        <x:f t="shared" si="157"/>
        <x:v>0</x:v>
      </x:c>
      <x:c r="HC135">
        <x:f t="shared" si="158"/>
        <x:v>0</x:v>
      </x:c>
      <x:c r="HD135">
        <x:f t="shared" si="159"/>
        <x:v>0</x:v>
      </x:c>
      <x:c r="HE135">
        <x:f t="shared" si="160"/>
        <x:v>0</x:v>
      </x:c>
      <x:c r="HF135">
        <x:f t="shared" si="161"/>
        <x:v>0</x:v>
      </x:c>
      <x:c r="HG135">
        <x:f t="shared" si="162"/>
        <x:v>0</x:v>
      </x:c>
      <x:c r="HH135">
        <x:f t="shared" si="163"/>
        <x:v>0</x:v>
      </x:c>
      <x:c r="HI135">
        <x:f t="shared" si="164"/>
        <x:v>0</x:v>
      </x:c>
      <x:c r="HJ135">
        <x:f t="shared" si="165"/>
        <x:v>0</x:v>
      </x:c>
      <x:c r="HK135">
        <x:f t="shared" si="166"/>
        <x:v>0</x:v>
      </x:c>
      <x:c r="HL135">
        <x:f t="shared" si="167"/>
        <x:v>0</x:v>
      </x:c>
    </x:row>
    <x:row r="136">
      <x:c r="D136" s="74"/>
      <x:c r="EQ136">
        <x:f t="shared" si="94"/>
        <x:v>0</x:v>
      </x:c>
      <x:c r="ER136">
        <x:f t="shared" si="95"/>
        <x:v>0</x:v>
      </x:c>
      <x:c r="ES136">
        <x:f t="shared" si="96"/>
        <x:v>0</x:v>
      </x:c>
      <x:c r="ET136">
        <x:f t="shared" si="97"/>
        <x:v>0</x:v>
      </x:c>
      <x:c r="EU136">
        <x:f t="shared" si="98"/>
        <x:v>0</x:v>
      </x:c>
      <x:c r="EV136">
        <x:f t="shared" si="99"/>
        <x:v>0</x:v>
      </x:c>
      <x:c r="EW136">
        <x:f t="shared" si="100"/>
        <x:v>0</x:v>
      </x:c>
      <x:c r="EX136">
        <x:f t="shared" si="101"/>
        <x:v>0</x:v>
      </x:c>
      <x:c r="EY136">
        <x:f t="shared" si="102"/>
        <x:v>0</x:v>
      </x:c>
      <x:c r="EZ136">
        <x:f t="shared" si="103"/>
        <x:v>0</x:v>
      </x:c>
      <x:c r="FA136" s="41">
        <x:f t="shared" si="104"/>
        <x:v>0</x:v>
      </x:c>
      <x:c r="FB136">
        <x:f t="shared" si="105"/>
        <x:v>0</x:v>
      </x:c>
      <x:c r="FC136">
        <x:f t="shared" si="106"/>
        <x:v>0</x:v>
      </x:c>
      <x:c r="FD136">
        <x:f t="shared" si="107"/>
        <x:v>0</x:v>
      </x:c>
      <x:c r="FE136">
        <x:f t="shared" si="108"/>
        <x:v>0</x:v>
      </x:c>
      <x:c r="FF136">
        <x:f t="shared" si="109"/>
        <x:v>0</x:v>
      </x:c>
      <x:c r="FG136">
        <x:f t="shared" si="110"/>
        <x:v>0</x:v>
      </x:c>
      <x:c r="FH136">
        <x:f t="shared" si="111"/>
        <x:v>0</x:v>
      </x:c>
      <x:c r="FI136">
        <x:f t="shared" si="112"/>
        <x:v>0</x:v>
      </x:c>
      <x:c r="FJ136">
        <x:f t="shared" si="113"/>
        <x:v>0</x:v>
      </x:c>
      <x:c r="FK136">
        <x:f t="shared" si="114"/>
        <x:v>0</x:v>
      </x:c>
      <x:c r="FL136" s="41">
        <x:f t="shared" si="115"/>
        <x:v>0</x:v>
      </x:c>
      <x:c r="FM136">
        <x:f t="shared" si="116"/>
        <x:v>0</x:v>
      </x:c>
      <x:c r="FN136">
        <x:f t="shared" si="117"/>
        <x:v>0</x:v>
      </x:c>
      <x:c r="FO136">
        <x:f t="shared" si="118"/>
        <x:v>0</x:v>
      </x:c>
      <x:c r="FP136">
        <x:f t="shared" si="119"/>
        <x:v>0</x:v>
      </x:c>
      <x:c r="FQ136">
        <x:f t="shared" si="120"/>
        <x:v>0</x:v>
      </x:c>
      <x:c r="FR136">
        <x:f t="shared" si="121"/>
        <x:v>0</x:v>
      </x:c>
      <x:c r="FS136">
        <x:f t="shared" si="122"/>
        <x:v>0</x:v>
      </x:c>
      <x:c r="FT136">
        <x:f t="shared" si="123"/>
        <x:v>0</x:v>
      </x:c>
      <x:c r="FU136">
        <x:f t="shared" si="124"/>
        <x:v>0</x:v>
      </x:c>
      <x:c r="FV136">
        <x:f t="shared" si="125"/>
        <x:v>0</x:v>
      </x:c>
      <x:c r="FW136" s="41">
        <x:f t="shared" si="126"/>
        <x:v>0</x:v>
      </x:c>
      <x:c r="FX136">
        <x:f t="shared" si="127"/>
        <x:v>0</x:v>
      </x:c>
      <x:c r="FY136">
        <x:f t="shared" si="128"/>
        <x:v>0</x:v>
      </x:c>
      <x:c r="FZ136">
        <x:f t="shared" si="129"/>
        <x:v>0</x:v>
      </x:c>
      <x:c r="GA136">
        <x:f t="shared" si="130"/>
        <x:v>0</x:v>
      </x:c>
      <x:c r="GB136">
        <x:f t="shared" si="131"/>
        <x:v>0</x:v>
      </x:c>
      <x:c r="GC136">
        <x:f t="shared" si="132"/>
        <x:v>0</x:v>
      </x:c>
      <x:c r="GD136">
        <x:f t="shared" si="133"/>
        <x:v>0</x:v>
      </x:c>
      <x:c r="GE136">
        <x:f t="shared" si="134"/>
        <x:v>0</x:v>
      </x:c>
      <x:c r="GF136">
        <x:f t="shared" si="135"/>
        <x:v>0</x:v>
      </x:c>
      <x:c r="GG136">
        <x:f t="shared" si="136"/>
        <x:v>0</x:v>
      </x:c>
      <x:c r="GH136">
        <x:f t="shared" si="137"/>
        <x:v>0</x:v>
      </x:c>
      <x:c r="GI136">
        <x:f t="shared" si="138"/>
        <x:v>0</x:v>
      </x:c>
      <x:c r="GJ136">
        <x:f t="shared" si="139"/>
        <x:v>0</x:v>
      </x:c>
      <x:c r="GK136">
        <x:f t="shared" si="140"/>
        <x:v>0</x:v>
      </x:c>
      <x:c r="GL136">
        <x:f t="shared" si="141"/>
        <x:v>0</x:v>
      </x:c>
      <x:c r="GM136">
        <x:f t="shared" si="142"/>
        <x:v>0</x:v>
      </x:c>
      <x:c r="GN136">
        <x:f t="shared" si="143"/>
        <x:v>0</x:v>
      </x:c>
      <x:c r="GO136">
        <x:f t="shared" si="144"/>
        <x:v>0</x:v>
      </x:c>
      <x:c r="GP136">
        <x:f t="shared" si="145"/>
        <x:v>0</x:v>
      </x:c>
      <x:c r="GQ136">
        <x:f t="shared" si="146"/>
        <x:v>0</x:v>
      </x:c>
      <x:c r="GR136" s="42">
        <x:f t="shared" si="147"/>
        <x:v>0</x:v>
      </x:c>
      <x:c r="GS136">
        <x:f t="shared" si="148"/>
        <x:v>0</x:v>
      </x:c>
      <x:c r="GT136">
        <x:f t="shared" si="149"/>
        <x:v>0</x:v>
      </x:c>
      <x:c r="GU136">
        <x:f t="shared" si="150"/>
        <x:v>0</x:v>
      </x:c>
      <x:c r="GV136">
        <x:f t="shared" si="151"/>
        <x:v>0</x:v>
      </x:c>
      <x:c r="GW136">
        <x:f t="shared" si="152"/>
        <x:v>0</x:v>
      </x:c>
      <x:c r="GX136">
        <x:f t="shared" si="153"/>
        <x:v>0</x:v>
      </x:c>
      <x:c r="GY136">
        <x:f t="shared" si="154"/>
        <x:v>0</x:v>
      </x:c>
      <x:c r="GZ136">
        <x:f t="shared" si="155"/>
        <x:v>0</x:v>
      </x:c>
      <x:c r="HA136">
        <x:f t="shared" si="156"/>
        <x:v>0</x:v>
      </x:c>
      <x:c r="HB136" s="42">
        <x:f t="shared" si="157"/>
        <x:v>0</x:v>
      </x:c>
      <x:c r="HC136">
        <x:f t="shared" si="158"/>
        <x:v>0</x:v>
      </x:c>
      <x:c r="HD136">
        <x:f t="shared" si="159"/>
        <x:v>0</x:v>
      </x:c>
      <x:c r="HE136">
        <x:f t="shared" si="160"/>
        <x:v>0</x:v>
      </x:c>
      <x:c r="HF136">
        <x:f t="shared" si="161"/>
        <x:v>0</x:v>
      </x:c>
      <x:c r="HG136">
        <x:f t="shared" si="162"/>
        <x:v>0</x:v>
      </x:c>
      <x:c r="HH136">
        <x:f t="shared" si="163"/>
        <x:v>0</x:v>
      </x:c>
      <x:c r="HI136">
        <x:f t="shared" si="164"/>
        <x:v>0</x:v>
      </x:c>
      <x:c r="HJ136">
        <x:f t="shared" si="165"/>
        <x:v>0</x:v>
      </x:c>
      <x:c r="HK136">
        <x:f t="shared" si="166"/>
        <x:v>0</x:v>
      </x:c>
      <x:c r="HL136">
        <x:f t="shared" si="167"/>
        <x:v>0</x:v>
      </x:c>
    </x:row>
    <x:row r="137">
      <x:c r="D137" s="74"/>
      <x:c r="EQ137">
        <x:f t="shared" si="94"/>
        <x:v>0</x:v>
      </x:c>
      <x:c r="ER137">
        <x:f t="shared" si="95"/>
        <x:v>0</x:v>
      </x:c>
      <x:c r="ES137">
        <x:f t="shared" si="96"/>
        <x:v>0</x:v>
      </x:c>
      <x:c r="ET137">
        <x:f t="shared" si="97"/>
        <x:v>0</x:v>
      </x:c>
      <x:c r="EU137">
        <x:f t="shared" si="98"/>
        <x:v>0</x:v>
      </x:c>
      <x:c r="EV137">
        <x:f t="shared" si="99"/>
        <x:v>0</x:v>
      </x:c>
      <x:c r="EW137">
        <x:f t="shared" si="100"/>
        <x:v>0</x:v>
      </x:c>
      <x:c r="EX137">
        <x:f t="shared" si="101"/>
        <x:v>0</x:v>
      </x:c>
      <x:c r="EY137">
        <x:f t="shared" si="102"/>
        <x:v>0</x:v>
      </x:c>
      <x:c r="EZ137">
        <x:f t="shared" si="103"/>
        <x:v>0</x:v>
      </x:c>
      <x:c r="FA137" s="41">
        <x:f t="shared" si="104"/>
        <x:v>0</x:v>
      </x:c>
      <x:c r="FB137">
        <x:f t="shared" si="105"/>
        <x:v>0</x:v>
      </x:c>
      <x:c r="FC137">
        <x:f t="shared" si="106"/>
        <x:v>0</x:v>
      </x:c>
      <x:c r="FD137">
        <x:f t="shared" si="107"/>
        <x:v>0</x:v>
      </x:c>
      <x:c r="FE137">
        <x:f t="shared" si="108"/>
        <x:v>0</x:v>
      </x:c>
      <x:c r="FF137">
        <x:f t="shared" si="109"/>
        <x:v>0</x:v>
      </x:c>
      <x:c r="FG137">
        <x:f t="shared" si="110"/>
        <x:v>0</x:v>
      </x:c>
      <x:c r="FH137">
        <x:f t="shared" si="111"/>
        <x:v>0</x:v>
      </x:c>
      <x:c r="FI137">
        <x:f t="shared" si="112"/>
        <x:v>0</x:v>
      </x:c>
      <x:c r="FJ137">
        <x:f t="shared" si="113"/>
        <x:v>0</x:v>
      </x:c>
      <x:c r="FK137">
        <x:f t="shared" si="114"/>
        <x:v>0</x:v>
      </x:c>
      <x:c r="FL137" s="41">
        <x:f t="shared" si="115"/>
        <x:v>0</x:v>
      </x:c>
      <x:c r="FM137">
        <x:f t="shared" si="116"/>
        <x:v>0</x:v>
      </x:c>
      <x:c r="FN137">
        <x:f t="shared" si="117"/>
        <x:v>0</x:v>
      </x:c>
      <x:c r="FO137">
        <x:f t="shared" si="118"/>
        <x:v>0</x:v>
      </x:c>
      <x:c r="FP137">
        <x:f t="shared" si="119"/>
        <x:v>0</x:v>
      </x:c>
      <x:c r="FQ137">
        <x:f t="shared" si="120"/>
        <x:v>0</x:v>
      </x:c>
      <x:c r="FR137">
        <x:f t="shared" si="121"/>
        <x:v>0</x:v>
      </x:c>
      <x:c r="FS137">
        <x:f t="shared" si="122"/>
        <x:v>0</x:v>
      </x:c>
      <x:c r="FT137">
        <x:f t="shared" si="123"/>
        <x:v>0</x:v>
      </x:c>
      <x:c r="FU137">
        <x:f t="shared" si="124"/>
        <x:v>0</x:v>
      </x:c>
      <x:c r="FV137">
        <x:f t="shared" si="125"/>
        <x:v>0</x:v>
      </x:c>
      <x:c r="FW137" s="41">
        <x:f t="shared" si="126"/>
        <x:v>0</x:v>
      </x:c>
      <x:c r="FX137">
        <x:f t="shared" si="127"/>
        <x:v>0</x:v>
      </x:c>
      <x:c r="FY137">
        <x:f t="shared" si="128"/>
        <x:v>0</x:v>
      </x:c>
      <x:c r="FZ137">
        <x:f t="shared" si="129"/>
        <x:v>0</x:v>
      </x:c>
      <x:c r="GA137">
        <x:f t="shared" si="130"/>
        <x:v>0</x:v>
      </x:c>
      <x:c r="GB137">
        <x:f t="shared" si="131"/>
        <x:v>0</x:v>
      </x:c>
      <x:c r="GC137">
        <x:f t="shared" si="132"/>
        <x:v>0</x:v>
      </x:c>
      <x:c r="GD137">
        <x:f t="shared" si="133"/>
        <x:v>0</x:v>
      </x:c>
      <x:c r="GE137">
        <x:f t="shared" si="134"/>
        <x:v>0</x:v>
      </x:c>
      <x:c r="GF137">
        <x:f t="shared" si="135"/>
        <x:v>0</x:v>
      </x:c>
      <x:c r="GG137">
        <x:f t="shared" si="136"/>
        <x:v>0</x:v>
      </x:c>
      <x:c r="GH137">
        <x:f t="shared" si="137"/>
        <x:v>0</x:v>
      </x:c>
      <x:c r="GI137">
        <x:f t="shared" si="138"/>
        <x:v>0</x:v>
      </x:c>
      <x:c r="GJ137">
        <x:f t="shared" si="139"/>
        <x:v>0</x:v>
      </x:c>
      <x:c r="GK137">
        <x:f t="shared" si="140"/>
        <x:v>0</x:v>
      </x:c>
      <x:c r="GL137">
        <x:f t="shared" si="141"/>
        <x:v>0</x:v>
      </x:c>
      <x:c r="GM137">
        <x:f t="shared" si="142"/>
        <x:v>0</x:v>
      </x:c>
      <x:c r="GN137">
        <x:f t="shared" si="143"/>
        <x:v>0</x:v>
      </x:c>
      <x:c r="GO137">
        <x:f t="shared" si="144"/>
        <x:v>0</x:v>
      </x:c>
      <x:c r="GP137">
        <x:f t="shared" si="145"/>
        <x:v>0</x:v>
      </x:c>
      <x:c r="GQ137">
        <x:f t="shared" si="146"/>
        <x:v>0</x:v>
      </x:c>
      <x:c r="GR137" s="42">
        <x:f t="shared" si="147"/>
        <x:v>0</x:v>
      </x:c>
      <x:c r="GS137">
        <x:f t="shared" si="148"/>
        <x:v>0</x:v>
      </x:c>
      <x:c r="GT137">
        <x:f t="shared" si="149"/>
        <x:v>0</x:v>
      </x:c>
      <x:c r="GU137">
        <x:f t="shared" si="150"/>
        <x:v>0</x:v>
      </x:c>
      <x:c r="GV137">
        <x:f t="shared" si="151"/>
        <x:v>0</x:v>
      </x:c>
      <x:c r="GW137">
        <x:f t="shared" si="152"/>
        <x:v>0</x:v>
      </x:c>
      <x:c r="GX137">
        <x:f t="shared" si="153"/>
        <x:v>0</x:v>
      </x:c>
      <x:c r="GY137">
        <x:f t="shared" si="154"/>
        <x:v>0</x:v>
      </x:c>
      <x:c r="GZ137">
        <x:f t="shared" si="155"/>
        <x:v>0</x:v>
      </x:c>
      <x:c r="HA137">
        <x:f t="shared" si="156"/>
        <x:v>0</x:v>
      </x:c>
      <x:c r="HB137" s="42">
        <x:f t="shared" si="157"/>
        <x:v>0</x:v>
      </x:c>
      <x:c r="HC137">
        <x:f t="shared" si="158"/>
        <x:v>0</x:v>
      </x:c>
      <x:c r="HD137">
        <x:f t="shared" si="159"/>
        <x:v>0</x:v>
      </x:c>
      <x:c r="HE137">
        <x:f t="shared" si="160"/>
        <x:v>0</x:v>
      </x:c>
      <x:c r="HF137">
        <x:f t="shared" si="161"/>
        <x:v>0</x:v>
      </x:c>
      <x:c r="HG137">
        <x:f t="shared" si="162"/>
        <x:v>0</x:v>
      </x:c>
      <x:c r="HH137">
        <x:f t="shared" si="163"/>
        <x:v>0</x:v>
      </x:c>
      <x:c r="HI137">
        <x:f t="shared" si="164"/>
        <x:v>0</x:v>
      </x:c>
      <x:c r="HJ137">
        <x:f t="shared" si="165"/>
        <x:v>0</x:v>
      </x:c>
      <x:c r="HK137">
        <x:f t="shared" si="166"/>
        <x:v>0</x:v>
      </x:c>
      <x:c r="HL137">
        <x:f t="shared" si="167"/>
        <x:v>0</x:v>
      </x:c>
    </x:row>
    <x:row r="138">
      <x:c r="D138" s="74"/>
      <x:c r="EQ138">
        <x:f t="shared" si="94"/>
        <x:v>0</x:v>
      </x:c>
      <x:c r="ER138">
        <x:f t="shared" si="95"/>
        <x:v>0</x:v>
      </x:c>
      <x:c r="ES138">
        <x:f t="shared" si="96"/>
        <x:v>0</x:v>
      </x:c>
      <x:c r="ET138">
        <x:f t="shared" si="97"/>
        <x:v>0</x:v>
      </x:c>
      <x:c r="EU138">
        <x:f t="shared" si="98"/>
        <x:v>0</x:v>
      </x:c>
      <x:c r="EV138">
        <x:f t="shared" si="99"/>
        <x:v>0</x:v>
      </x:c>
      <x:c r="EW138">
        <x:f t="shared" si="100"/>
        <x:v>0</x:v>
      </x:c>
      <x:c r="EX138">
        <x:f t="shared" si="101"/>
        <x:v>0</x:v>
      </x:c>
      <x:c r="EY138">
        <x:f t="shared" si="102"/>
        <x:v>0</x:v>
      </x:c>
      <x:c r="EZ138">
        <x:f t="shared" si="103"/>
        <x:v>0</x:v>
      </x:c>
      <x:c r="FA138" s="41">
        <x:f t="shared" si="104"/>
        <x:v>0</x:v>
      </x:c>
      <x:c r="FB138">
        <x:f t="shared" si="105"/>
        <x:v>0</x:v>
      </x:c>
      <x:c r="FC138">
        <x:f t="shared" si="106"/>
        <x:v>0</x:v>
      </x:c>
      <x:c r="FD138">
        <x:f t="shared" si="107"/>
        <x:v>0</x:v>
      </x:c>
      <x:c r="FE138">
        <x:f t="shared" si="108"/>
        <x:v>0</x:v>
      </x:c>
      <x:c r="FF138">
        <x:f t="shared" si="109"/>
        <x:v>0</x:v>
      </x:c>
      <x:c r="FG138">
        <x:f t="shared" si="110"/>
        <x:v>0</x:v>
      </x:c>
      <x:c r="FH138">
        <x:f t="shared" si="111"/>
        <x:v>0</x:v>
      </x:c>
      <x:c r="FI138">
        <x:f t="shared" si="112"/>
        <x:v>0</x:v>
      </x:c>
      <x:c r="FJ138">
        <x:f t="shared" si="113"/>
        <x:v>0</x:v>
      </x:c>
      <x:c r="FK138">
        <x:f t="shared" si="114"/>
        <x:v>0</x:v>
      </x:c>
      <x:c r="FL138" s="41">
        <x:f t="shared" si="115"/>
        <x:v>0</x:v>
      </x:c>
      <x:c r="FM138">
        <x:f t="shared" si="116"/>
        <x:v>0</x:v>
      </x:c>
      <x:c r="FN138">
        <x:f t="shared" si="117"/>
        <x:v>0</x:v>
      </x:c>
      <x:c r="FO138">
        <x:f t="shared" si="118"/>
        <x:v>0</x:v>
      </x:c>
      <x:c r="FP138">
        <x:f t="shared" si="119"/>
        <x:v>0</x:v>
      </x:c>
      <x:c r="FQ138">
        <x:f t="shared" si="120"/>
        <x:v>0</x:v>
      </x:c>
      <x:c r="FR138">
        <x:f t="shared" si="121"/>
        <x:v>0</x:v>
      </x:c>
      <x:c r="FS138">
        <x:f t="shared" si="122"/>
        <x:v>0</x:v>
      </x:c>
      <x:c r="FT138">
        <x:f t="shared" si="123"/>
        <x:v>0</x:v>
      </x:c>
      <x:c r="FU138">
        <x:f t="shared" si="124"/>
        <x:v>0</x:v>
      </x:c>
      <x:c r="FV138">
        <x:f t="shared" si="125"/>
        <x:v>0</x:v>
      </x:c>
      <x:c r="FW138" s="41">
        <x:f t="shared" si="126"/>
        <x:v>0</x:v>
      </x:c>
      <x:c r="FX138">
        <x:f t="shared" si="127"/>
        <x:v>0</x:v>
      </x:c>
      <x:c r="FY138">
        <x:f t="shared" si="128"/>
        <x:v>0</x:v>
      </x:c>
      <x:c r="FZ138">
        <x:f t="shared" si="129"/>
        <x:v>0</x:v>
      </x:c>
      <x:c r="GA138">
        <x:f t="shared" si="130"/>
        <x:v>0</x:v>
      </x:c>
      <x:c r="GB138">
        <x:f t="shared" si="131"/>
        <x:v>0</x:v>
      </x:c>
      <x:c r="GC138">
        <x:f t="shared" si="132"/>
        <x:v>0</x:v>
      </x:c>
      <x:c r="GD138">
        <x:f t="shared" si="133"/>
        <x:v>0</x:v>
      </x:c>
      <x:c r="GE138">
        <x:f t="shared" si="134"/>
        <x:v>0</x:v>
      </x:c>
      <x:c r="GF138">
        <x:f t="shared" si="135"/>
        <x:v>0</x:v>
      </x:c>
      <x:c r="GG138">
        <x:f t="shared" si="136"/>
        <x:v>0</x:v>
      </x:c>
      <x:c r="GH138">
        <x:f t="shared" si="137"/>
        <x:v>0</x:v>
      </x:c>
      <x:c r="GI138">
        <x:f t="shared" si="138"/>
        <x:v>0</x:v>
      </x:c>
      <x:c r="GJ138">
        <x:f t="shared" si="139"/>
        <x:v>0</x:v>
      </x:c>
      <x:c r="GK138">
        <x:f t="shared" si="140"/>
        <x:v>0</x:v>
      </x:c>
      <x:c r="GL138">
        <x:f t="shared" si="141"/>
        <x:v>0</x:v>
      </x:c>
      <x:c r="GM138">
        <x:f t="shared" si="142"/>
        <x:v>0</x:v>
      </x:c>
      <x:c r="GN138">
        <x:f t="shared" si="143"/>
        <x:v>0</x:v>
      </x:c>
      <x:c r="GO138">
        <x:f t="shared" si="144"/>
        <x:v>0</x:v>
      </x:c>
      <x:c r="GP138">
        <x:f t="shared" si="145"/>
        <x:v>0</x:v>
      </x:c>
      <x:c r="GQ138">
        <x:f t="shared" si="146"/>
        <x:v>0</x:v>
      </x:c>
      <x:c r="GR138" s="42">
        <x:f t="shared" si="147"/>
        <x:v>0</x:v>
      </x:c>
      <x:c r="GS138">
        <x:f t="shared" si="148"/>
        <x:v>0</x:v>
      </x:c>
      <x:c r="GT138">
        <x:f t="shared" si="149"/>
        <x:v>0</x:v>
      </x:c>
      <x:c r="GU138">
        <x:f t="shared" si="150"/>
        <x:v>0</x:v>
      </x:c>
      <x:c r="GV138">
        <x:f t="shared" si="151"/>
        <x:v>0</x:v>
      </x:c>
      <x:c r="GW138">
        <x:f t="shared" si="152"/>
        <x:v>0</x:v>
      </x:c>
      <x:c r="GX138">
        <x:f t="shared" si="153"/>
        <x:v>0</x:v>
      </x:c>
      <x:c r="GY138">
        <x:f t="shared" si="154"/>
        <x:v>0</x:v>
      </x:c>
      <x:c r="GZ138">
        <x:f t="shared" si="155"/>
        <x:v>0</x:v>
      </x:c>
      <x:c r="HA138">
        <x:f t="shared" si="156"/>
        <x:v>0</x:v>
      </x:c>
      <x:c r="HB138" s="42">
        <x:f t="shared" si="157"/>
        <x:v>0</x:v>
      </x:c>
      <x:c r="HC138">
        <x:f t="shared" si="158"/>
        <x:v>0</x:v>
      </x:c>
      <x:c r="HD138">
        <x:f t="shared" si="159"/>
        <x:v>0</x:v>
      </x:c>
      <x:c r="HE138">
        <x:f t="shared" si="160"/>
        <x:v>0</x:v>
      </x:c>
      <x:c r="HF138">
        <x:f t="shared" si="161"/>
        <x:v>0</x:v>
      </x:c>
      <x:c r="HG138">
        <x:f t="shared" si="162"/>
        <x:v>0</x:v>
      </x:c>
      <x:c r="HH138">
        <x:f t="shared" si="163"/>
        <x:v>0</x:v>
      </x:c>
      <x:c r="HI138">
        <x:f t="shared" si="164"/>
        <x:v>0</x:v>
      </x:c>
      <x:c r="HJ138">
        <x:f t="shared" si="165"/>
        <x:v>0</x:v>
      </x:c>
      <x:c r="HK138">
        <x:f t="shared" si="166"/>
        <x:v>0</x:v>
      </x:c>
      <x:c r="HL138">
        <x:f t="shared" si="167"/>
        <x:v>0</x:v>
      </x:c>
    </x:row>
    <x:row r="139">
      <x:c r="D139" s="74"/>
      <x:c r="EQ139">
        <x:f t="shared" si="94"/>
        <x:v>0</x:v>
      </x:c>
      <x:c r="ER139">
        <x:f t="shared" si="95"/>
        <x:v>0</x:v>
      </x:c>
      <x:c r="ES139">
        <x:f t="shared" si="96"/>
        <x:v>0</x:v>
      </x:c>
      <x:c r="ET139">
        <x:f t="shared" si="97"/>
        <x:v>0</x:v>
      </x:c>
      <x:c r="EU139">
        <x:f t="shared" si="98"/>
        <x:v>0</x:v>
      </x:c>
      <x:c r="EV139">
        <x:f t="shared" si="99"/>
        <x:v>0</x:v>
      </x:c>
      <x:c r="EW139">
        <x:f t="shared" si="100"/>
        <x:v>0</x:v>
      </x:c>
      <x:c r="EX139">
        <x:f t="shared" si="101"/>
        <x:v>0</x:v>
      </x:c>
      <x:c r="EY139">
        <x:f t="shared" si="102"/>
        <x:v>0</x:v>
      </x:c>
      <x:c r="EZ139">
        <x:f t="shared" si="103"/>
        <x:v>0</x:v>
      </x:c>
      <x:c r="FA139" s="41">
        <x:f t="shared" si="104"/>
        <x:v>0</x:v>
      </x:c>
      <x:c r="FB139">
        <x:f t="shared" si="105"/>
        <x:v>0</x:v>
      </x:c>
      <x:c r="FC139">
        <x:f t="shared" si="106"/>
        <x:v>0</x:v>
      </x:c>
      <x:c r="FD139">
        <x:f t="shared" si="107"/>
        <x:v>0</x:v>
      </x:c>
      <x:c r="FE139">
        <x:f t="shared" si="108"/>
        <x:v>0</x:v>
      </x:c>
      <x:c r="FF139">
        <x:f t="shared" si="109"/>
        <x:v>0</x:v>
      </x:c>
      <x:c r="FG139">
        <x:f t="shared" si="110"/>
        <x:v>0</x:v>
      </x:c>
      <x:c r="FH139">
        <x:f t="shared" si="111"/>
        <x:v>0</x:v>
      </x:c>
      <x:c r="FI139">
        <x:f t="shared" si="112"/>
        <x:v>0</x:v>
      </x:c>
      <x:c r="FJ139">
        <x:f t="shared" si="113"/>
        <x:v>0</x:v>
      </x:c>
      <x:c r="FK139">
        <x:f t="shared" si="114"/>
        <x:v>0</x:v>
      </x:c>
      <x:c r="FL139" s="41">
        <x:f t="shared" si="115"/>
        <x:v>0</x:v>
      </x:c>
      <x:c r="FM139">
        <x:f t="shared" si="116"/>
        <x:v>0</x:v>
      </x:c>
      <x:c r="FN139">
        <x:f t="shared" si="117"/>
        <x:v>0</x:v>
      </x:c>
      <x:c r="FO139">
        <x:f t="shared" si="118"/>
        <x:v>0</x:v>
      </x:c>
      <x:c r="FP139">
        <x:f t="shared" si="119"/>
        <x:v>0</x:v>
      </x:c>
      <x:c r="FQ139">
        <x:f t="shared" si="120"/>
        <x:v>0</x:v>
      </x:c>
      <x:c r="FR139">
        <x:f t="shared" si="121"/>
        <x:v>0</x:v>
      </x:c>
      <x:c r="FS139">
        <x:f t="shared" si="122"/>
        <x:v>0</x:v>
      </x:c>
      <x:c r="FT139">
        <x:f t="shared" si="123"/>
        <x:v>0</x:v>
      </x:c>
      <x:c r="FU139">
        <x:f t="shared" si="124"/>
        <x:v>0</x:v>
      </x:c>
      <x:c r="FV139">
        <x:f t="shared" si="125"/>
        <x:v>0</x:v>
      </x:c>
      <x:c r="FW139" s="41">
        <x:f t="shared" si="126"/>
        <x:v>0</x:v>
      </x:c>
      <x:c r="FX139">
        <x:f t="shared" si="127"/>
        <x:v>0</x:v>
      </x:c>
      <x:c r="FY139">
        <x:f t="shared" si="128"/>
        <x:v>0</x:v>
      </x:c>
      <x:c r="FZ139">
        <x:f t="shared" si="129"/>
        <x:v>0</x:v>
      </x:c>
      <x:c r="GA139">
        <x:f t="shared" si="130"/>
        <x:v>0</x:v>
      </x:c>
      <x:c r="GB139">
        <x:f t="shared" si="131"/>
        <x:v>0</x:v>
      </x:c>
      <x:c r="GC139">
        <x:f t="shared" si="132"/>
        <x:v>0</x:v>
      </x:c>
      <x:c r="GD139">
        <x:f t="shared" si="133"/>
        <x:v>0</x:v>
      </x:c>
      <x:c r="GE139">
        <x:f t="shared" si="134"/>
        <x:v>0</x:v>
      </x:c>
      <x:c r="GF139">
        <x:f t="shared" si="135"/>
        <x:v>0</x:v>
      </x:c>
      <x:c r="GG139">
        <x:f t="shared" si="136"/>
        <x:v>0</x:v>
      </x:c>
      <x:c r="GH139">
        <x:f t="shared" si="137"/>
        <x:v>0</x:v>
      </x:c>
      <x:c r="GI139">
        <x:f t="shared" si="138"/>
        <x:v>0</x:v>
      </x:c>
      <x:c r="GJ139">
        <x:f t="shared" si="139"/>
        <x:v>0</x:v>
      </x:c>
      <x:c r="GK139">
        <x:f t="shared" si="140"/>
        <x:v>0</x:v>
      </x:c>
      <x:c r="GL139">
        <x:f t="shared" si="141"/>
        <x:v>0</x:v>
      </x:c>
      <x:c r="GM139">
        <x:f t="shared" si="142"/>
        <x:v>0</x:v>
      </x:c>
      <x:c r="GN139">
        <x:f t="shared" si="143"/>
        <x:v>0</x:v>
      </x:c>
      <x:c r="GO139">
        <x:f t="shared" si="144"/>
        <x:v>0</x:v>
      </x:c>
      <x:c r="GP139">
        <x:f t="shared" si="145"/>
        <x:v>0</x:v>
      </x:c>
      <x:c r="GQ139">
        <x:f t="shared" si="146"/>
        <x:v>0</x:v>
      </x:c>
      <x:c r="GR139" s="42">
        <x:f t="shared" si="147"/>
        <x:v>0</x:v>
      </x:c>
      <x:c r="GS139">
        <x:f t="shared" si="148"/>
        <x:v>0</x:v>
      </x:c>
      <x:c r="GT139">
        <x:f t="shared" si="149"/>
        <x:v>0</x:v>
      </x:c>
      <x:c r="GU139">
        <x:f t="shared" si="150"/>
        <x:v>0</x:v>
      </x:c>
      <x:c r="GV139">
        <x:f t="shared" si="151"/>
        <x:v>0</x:v>
      </x:c>
      <x:c r="GW139">
        <x:f t="shared" si="152"/>
        <x:v>0</x:v>
      </x:c>
      <x:c r="GX139">
        <x:f t="shared" si="153"/>
        <x:v>0</x:v>
      </x:c>
      <x:c r="GY139">
        <x:f t="shared" si="154"/>
        <x:v>0</x:v>
      </x:c>
      <x:c r="GZ139">
        <x:f t="shared" si="155"/>
        <x:v>0</x:v>
      </x:c>
      <x:c r="HA139">
        <x:f t="shared" si="156"/>
        <x:v>0</x:v>
      </x:c>
      <x:c r="HB139" s="42">
        <x:f t="shared" si="157"/>
        <x:v>0</x:v>
      </x:c>
      <x:c r="HC139">
        <x:f t="shared" si="158"/>
        <x:v>0</x:v>
      </x:c>
      <x:c r="HD139">
        <x:f t="shared" si="159"/>
        <x:v>0</x:v>
      </x:c>
      <x:c r="HE139">
        <x:f t="shared" si="160"/>
        <x:v>0</x:v>
      </x:c>
      <x:c r="HF139">
        <x:f t="shared" si="161"/>
        <x:v>0</x:v>
      </x:c>
      <x:c r="HG139">
        <x:f t="shared" si="162"/>
        <x:v>0</x:v>
      </x:c>
      <x:c r="HH139">
        <x:f t="shared" si="163"/>
        <x:v>0</x:v>
      </x:c>
      <x:c r="HI139">
        <x:f t="shared" si="164"/>
        <x:v>0</x:v>
      </x:c>
      <x:c r="HJ139">
        <x:f t="shared" si="165"/>
        <x:v>0</x:v>
      </x:c>
      <x:c r="HK139">
        <x:f t="shared" si="166"/>
        <x:v>0</x:v>
      </x:c>
      <x:c r="HL139">
        <x:f t="shared" si="167"/>
        <x:v>0</x:v>
      </x:c>
    </x:row>
    <x:row r="140">
      <x:c r="D140" s="74"/>
      <x:c r="EQ140">
        <x:f t="shared" si="94"/>
        <x:v>0</x:v>
      </x:c>
      <x:c r="ER140">
        <x:f t="shared" si="95"/>
        <x:v>0</x:v>
      </x:c>
      <x:c r="ES140">
        <x:f t="shared" si="96"/>
        <x:v>0</x:v>
      </x:c>
      <x:c r="ET140">
        <x:f t="shared" si="97"/>
        <x:v>0</x:v>
      </x:c>
      <x:c r="EU140">
        <x:f t="shared" si="98"/>
        <x:v>0</x:v>
      </x:c>
      <x:c r="EV140">
        <x:f t="shared" si="99"/>
        <x:v>0</x:v>
      </x:c>
      <x:c r="EW140">
        <x:f t="shared" si="100"/>
        <x:v>0</x:v>
      </x:c>
      <x:c r="EX140">
        <x:f t="shared" si="101"/>
        <x:v>0</x:v>
      </x:c>
      <x:c r="EY140">
        <x:f t="shared" si="102"/>
        <x:v>0</x:v>
      </x:c>
      <x:c r="EZ140">
        <x:f t="shared" si="103"/>
        <x:v>0</x:v>
      </x:c>
      <x:c r="FA140" s="41">
        <x:f t="shared" si="104"/>
        <x:v>0</x:v>
      </x:c>
      <x:c r="FB140">
        <x:f t="shared" si="105"/>
        <x:v>0</x:v>
      </x:c>
      <x:c r="FC140">
        <x:f t="shared" si="106"/>
        <x:v>0</x:v>
      </x:c>
      <x:c r="FD140">
        <x:f t="shared" si="107"/>
        <x:v>0</x:v>
      </x:c>
      <x:c r="FE140">
        <x:f t="shared" si="108"/>
        <x:v>0</x:v>
      </x:c>
      <x:c r="FF140">
        <x:f t="shared" si="109"/>
        <x:v>0</x:v>
      </x:c>
      <x:c r="FG140">
        <x:f t="shared" si="110"/>
        <x:v>0</x:v>
      </x:c>
      <x:c r="FH140">
        <x:f t="shared" si="111"/>
        <x:v>0</x:v>
      </x:c>
      <x:c r="FI140">
        <x:f t="shared" si="112"/>
        <x:v>0</x:v>
      </x:c>
      <x:c r="FJ140">
        <x:f t="shared" si="113"/>
        <x:v>0</x:v>
      </x:c>
      <x:c r="FK140">
        <x:f t="shared" si="114"/>
        <x:v>0</x:v>
      </x:c>
      <x:c r="FL140" s="41">
        <x:f t="shared" si="115"/>
        <x:v>0</x:v>
      </x:c>
      <x:c r="FM140">
        <x:f t="shared" si="116"/>
        <x:v>0</x:v>
      </x:c>
      <x:c r="FN140">
        <x:f t="shared" si="117"/>
        <x:v>0</x:v>
      </x:c>
      <x:c r="FO140">
        <x:f t="shared" si="118"/>
        <x:v>0</x:v>
      </x:c>
      <x:c r="FP140">
        <x:f t="shared" si="119"/>
        <x:v>0</x:v>
      </x:c>
      <x:c r="FQ140">
        <x:f t="shared" si="120"/>
        <x:v>0</x:v>
      </x:c>
      <x:c r="FR140">
        <x:f t="shared" si="121"/>
        <x:v>0</x:v>
      </x:c>
      <x:c r="FS140">
        <x:f t="shared" si="122"/>
        <x:v>0</x:v>
      </x:c>
      <x:c r="FT140">
        <x:f t="shared" si="123"/>
        <x:v>0</x:v>
      </x:c>
      <x:c r="FU140">
        <x:f t="shared" si="124"/>
        <x:v>0</x:v>
      </x:c>
      <x:c r="FV140">
        <x:f t="shared" si="125"/>
        <x:v>0</x:v>
      </x:c>
      <x:c r="FW140" s="41">
        <x:f t="shared" si="126"/>
        <x:v>0</x:v>
      </x:c>
      <x:c r="FX140">
        <x:f t="shared" si="127"/>
        <x:v>0</x:v>
      </x:c>
      <x:c r="FY140">
        <x:f t="shared" si="128"/>
        <x:v>0</x:v>
      </x:c>
      <x:c r="FZ140">
        <x:f t="shared" si="129"/>
        <x:v>0</x:v>
      </x:c>
      <x:c r="GA140">
        <x:f t="shared" si="130"/>
        <x:v>0</x:v>
      </x:c>
      <x:c r="GB140">
        <x:f t="shared" si="131"/>
        <x:v>0</x:v>
      </x:c>
      <x:c r="GC140">
        <x:f t="shared" si="132"/>
        <x:v>0</x:v>
      </x:c>
      <x:c r="GD140">
        <x:f t="shared" si="133"/>
        <x:v>0</x:v>
      </x:c>
      <x:c r="GE140">
        <x:f t="shared" si="134"/>
        <x:v>0</x:v>
      </x:c>
      <x:c r="GF140">
        <x:f t="shared" si="135"/>
        <x:v>0</x:v>
      </x:c>
      <x:c r="GG140">
        <x:f t="shared" si="136"/>
        <x:v>0</x:v>
      </x:c>
      <x:c r="GH140">
        <x:f t="shared" si="137"/>
        <x:v>0</x:v>
      </x:c>
      <x:c r="GI140">
        <x:f t="shared" si="138"/>
        <x:v>0</x:v>
      </x:c>
      <x:c r="GJ140">
        <x:f t="shared" si="139"/>
        <x:v>0</x:v>
      </x:c>
      <x:c r="GK140">
        <x:f t="shared" si="140"/>
        <x:v>0</x:v>
      </x:c>
      <x:c r="GL140">
        <x:f t="shared" si="141"/>
        <x:v>0</x:v>
      </x:c>
      <x:c r="GM140">
        <x:f t="shared" si="142"/>
        <x:v>0</x:v>
      </x:c>
      <x:c r="GN140">
        <x:f t="shared" si="143"/>
        <x:v>0</x:v>
      </x:c>
      <x:c r="GO140">
        <x:f t="shared" si="144"/>
        <x:v>0</x:v>
      </x:c>
      <x:c r="GP140">
        <x:f t="shared" si="145"/>
        <x:v>0</x:v>
      </x:c>
      <x:c r="GQ140">
        <x:f t="shared" si="146"/>
        <x:v>0</x:v>
      </x:c>
      <x:c r="GR140" s="42">
        <x:f t="shared" si="147"/>
        <x:v>0</x:v>
      </x:c>
      <x:c r="GS140">
        <x:f t="shared" si="148"/>
        <x:v>0</x:v>
      </x:c>
      <x:c r="GT140">
        <x:f t="shared" si="149"/>
        <x:v>0</x:v>
      </x:c>
      <x:c r="GU140">
        <x:f t="shared" si="150"/>
        <x:v>0</x:v>
      </x:c>
      <x:c r="GV140">
        <x:f t="shared" si="151"/>
        <x:v>0</x:v>
      </x:c>
      <x:c r="GW140">
        <x:f t="shared" si="152"/>
        <x:v>0</x:v>
      </x:c>
      <x:c r="GX140">
        <x:f t="shared" si="153"/>
        <x:v>0</x:v>
      </x:c>
      <x:c r="GY140">
        <x:f t="shared" si="154"/>
        <x:v>0</x:v>
      </x:c>
      <x:c r="GZ140">
        <x:f t="shared" si="155"/>
        <x:v>0</x:v>
      </x:c>
      <x:c r="HA140">
        <x:f t="shared" si="156"/>
        <x:v>0</x:v>
      </x:c>
      <x:c r="HB140" s="42">
        <x:f t="shared" si="157"/>
        <x:v>0</x:v>
      </x:c>
      <x:c r="HC140">
        <x:f t="shared" si="158"/>
        <x:v>0</x:v>
      </x:c>
      <x:c r="HD140">
        <x:f t="shared" si="159"/>
        <x:v>0</x:v>
      </x:c>
      <x:c r="HE140">
        <x:f t="shared" si="160"/>
        <x:v>0</x:v>
      </x:c>
      <x:c r="HF140">
        <x:f t="shared" si="161"/>
        <x:v>0</x:v>
      </x:c>
      <x:c r="HG140">
        <x:f t="shared" si="162"/>
        <x:v>0</x:v>
      </x:c>
      <x:c r="HH140">
        <x:f t="shared" si="163"/>
        <x:v>0</x:v>
      </x:c>
      <x:c r="HI140">
        <x:f t="shared" si="164"/>
        <x:v>0</x:v>
      </x:c>
      <x:c r="HJ140">
        <x:f t="shared" si="165"/>
        <x:v>0</x:v>
      </x:c>
      <x:c r="HK140">
        <x:f t="shared" si="166"/>
        <x:v>0</x:v>
      </x:c>
      <x:c r="HL140">
        <x:f t="shared" si="167"/>
        <x:v>0</x:v>
      </x:c>
    </x:row>
    <x:row r="141">
      <x:c r="D141" s="74"/>
      <x:c r="EQ141" t="n">
        <x:f t="shared" ref="EQ141:EQ204" si="168">SUMIFS(E141:EP141,E$7:EP$7,"Quiz",E$11:EP$11,EQ$11)</x:f>
        <x:v>0</x:v>
      </x:c>
      <x:c r="ER141" t="n">
        <x:f t="shared" ref="ER141:ER204" si="169">SUMIFS(E141:EP141,E$7:EP$7,"Exam",E$11:EP$11,EQ$11)</x:f>
        <x:v>0</x:v>
      </x:c>
      <x:c r="ES141" t="n">
        <x:f t="shared" ref="ES141:ES204" si="170">SUMIFS(E141:EP141,E$7:EP$7,"Rubric-Scored Output",E$11:EP$11,EQ$11)</x:f>
        <x:v>0</x:v>
      </x:c>
      <x:c r="ET141" t="n">
        <x:f t="shared" ref="ET141:ET204" si="171">SUMIFS(E141:EP141,E$7:EP$7,"Performance Tasks",E$11:EP$11,EQ$11)</x:f>
        <x:v>0</x:v>
      </x:c>
      <x:c r="EU141" t="n">
        <x:f t="shared" ref="EU141:EU204" si="172">SUMIFS(E141:EP141,E$7:EP$7,"Lab Outputs",E$11:EP$11,EQ$11)</x:f>
        <x:v>0</x:v>
      </x:c>
      <x:c r="EV141" t="n">
        <x:f t="shared" ref="EV141:EV204" si="173">SUMIFS(E141:EP141,E$7:EP$7,"Skills Demonstration/ RLE",E$11:EP$11,EQ$11)</x:f>
        <x:v>0</x:v>
      </x:c>
      <x:c r="EW141" t="n">
        <x:f t="shared" ref="EW141:EW204" si="174">SUMIFS(E141:EP141,E$7:EP$7,"Portfolio",E$11:EP$11,EQ$11)</x:f>
        <x:v>0</x:v>
      </x:c>
      <x:c r="EX141" t="n">
        <x:f t="shared" ref="EX141:EX204" si="175">SUMIFS(E141:EP141,E$7:EP$7,"Capstone",E$11:EP$11,EQ$11)</x:f>
        <x:v>0</x:v>
      </x:c>
      <x:c r="EY141" t="n">
        <x:f t="shared" ref="EY141:EY204" si="176">SUMIFS(E141:EP141,E$7:EP$7,"Culminating Project",E$11:EP$11,EQ$11)</x:f>
        <x:v>0</x:v>
      </x:c>
      <x:c r="EZ141" t="n">
        <x:f t="shared" ref="EZ141:EZ204" si="177">SUMIFS(E141:EP141,E$7:EP$7,"Panel Evaluation",E$11:EP$11,EQ$11)</x:f>
        <x:v>0</x:v>
      </x:c>
      <x:c r="FA141" s="41" t="n">
        <x:f t="shared" ref="FA141:FA204" si="178">SUMIFS(E141:EP141,E$7:EP$7,"Internship Evaluation",E$11:EP$11,EQ$11)</x:f>
        <x:v>0</x:v>
      </x:c>
      <x:c r="FB141" t="n">
        <x:f t="shared" ref="FB141:FB204" si="179">SUMIFS(E141:EP141,E$7:EP$7,"Quiz",E$11:EP$11,FB$11)</x:f>
        <x:v>0</x:v>
      </x:c>
      <x:c r="FC141" t="n">
        <x:f t="shared" ref="FC141:FC204" si="180">SUMIFS(E141:EP141,E$7:EP$7,"Exam",E$11:EP$11,FB$11)</x:f>
        <x:v>0</x:v>
      </x:c>
      <x:c r="FD141" t="n">
        <x:f t="shared" ref="FD141:FD204" si="181">SUMIFS(E141:EP141,E$7:EP$7,"Rubric-Scored Output",E$11:EP$11,FB$11)</x:f>
        <x:v>0</x:v>
      </x:c>
      <x:c r="FE141" t="n">
        <x:f t="shared" ref="FE141:FE204" si="182">SUMIFS(E141:EP141,E$7:EP$7,"Performance Tasks",E$11:EP$11,FB$11)</x:f>
        <x:v>0</x:v>
      </x:c>
      <x:c r="FF141" t="n">
        <x:f t="shared" ref="FF141:FF204" si="183">SUMIFS(E141:EP141,E$7:EP$7,"Lab Outputs",E$11:EP$11,FB$11)</x:f>
        <x:v>0</x:v>
      </x:c>
      <x:c r="FG141" t="n">
        <x:f t="shared" ref="FG141:FG204" si="184">SUMIFS(E141:EP141,E$7:EP$7,"Skills Demonstration/ RLE",E$11:EP$11,FB$11)</x:f>
        <x:v>0</x:v>
      </x:c>
      <x:c r="FH141" t="n">
        <x:f t="shared" ref="FH141:FH204" si="185">SUMIFS(E141:EP141,E$7:EP$7,"Portfolio",E$11:EP$11,FB$11)</x:f>
        <x:v>0</x:v>
      </x:c>
      <x:c r="FI141" t="n">
        <x:f t="shared" ref="FI141:FI204" si="186">SUMIFS(E141:EP141,E$7:EP$7,"Capstone",E$11:EP$11,FB$11)</x:f>
        <x:v>0</x:v>
      </x:c>
      <x:c r="FJ141" t="n">
        <x:f t="shared" ref="FJ141:FJ204" si="187">SUMIFS(E141:EP141,E$7:EP$7,"Culminating Project",E$11:EP$11,FB$11)</x:f>
        <x:v>0</x:v>
      </x:c>
      <x:c r="FK141" t="n">
        <x:f t="shared" ref="FK141:FK204" si="188">SUMIFS(E141:EP141,E$7:EP$7,"Panel Evaluation",E$11:EP$11,FB$11)</x:f>
        <x:v>0</x:v>
      </x:c>
      <x:c r="FL141" s="41" t="n">
        <x:f t="shared" ref="FL141:FL204" si="189">SUMIFS(E141:EP141,E$7:EP$7,"Internship Evaluation",E$11:EP$11,FB$11)</x:f>
        <x:v>0</x:v>
      </x:c>
      <x:c r="FM141" t="n">
        <x:f t="shared" ref="FM141:FM204" si="190">SUMIFS(E141:EP141,E$7:EP$7,"Quiz",E$11:EP$11,FM$11)</x:f>
        <x:v>0</x:v>
      </x:c>
      <x:c r="FN141" t="n">
        <x:f t="shared" ref="FN141:FN204" si="191">SUMIFS(E141:EP141,E$7:EP$7,"Exam",E$11:EP$11,FM$11)</x:f>
        <x:v>0</x:v>
      </x:c>
      <x:c r="FO141" t="n">
        <x:f t="shared" ref="FO141:FO204" si="192">SUMIFS(E141:EP141,E$7:EP$7,"Rubric-Scored Output",E$11:EP$11,FM$11)</x:f>
        <x:v>0</x:v>
      </x:c>
      <x:c r="FP141" t="n">
        <x:f t="shared" ref="FP141:FP204" si="193">SUMIFS(E141:EP141,E$7:EP$7,"Performance Tasks",E$11:EP$11,FM$11)</x:f>
        <x:v>0</x:v>
      </x:c>
      <x:c r="FQ141" t="n">
        <x:f t="shared" ref="FQ141:FQ204" si="194">SUMIFS(E141:EP141,E$7:EP$7,"Lab Outputs",E$11:EP$11,FM$11)</x:f>
        <x:v>0</x:v>
      </x:c>
      <x:c r="FR141" t="n">
        <x:f t="shared" ref="FR141:FR204" si="195">SUMIFS(E141:EP141,E$7:EP$7,"Skills Demonstration/ RLE",E$11:EP$11,FM$11)</x:f>
        <x:v>0</x:v>
      </x:c>
      <x:c r="FS141" t="n">
        <x:f t="shared" ref="FS141:FS204" si="196">SUMIFS(E141:EP141,E$7:EP$7,"Portfolio",E$11:EP$11,FM$11)</x:f>
        <x:v>0</x:v>
      </x:c>
      <x:c r="FT141" t="n">
        <x:f t="shared" ref="FT141:FT204" si="197">SUMIFS(E141:EP141,E$7:EP$7,"Capstone",E$11:EP$11,FM$11)</x:f>
        <x:v>0</x:v>
      </x:c>
      <x:c r="FU141" t="n">
        <x:f t="shared" ref="FU141:FU204" si="198">SUMIFS(E141:EP141,E$7:EP$7,"Culminating Project",E$11:EP$11,FM$11)</x:f>
        <x:v>0</x:v>
      </x:c>
      <x:c r="FV141" t="n">
        <x:f t="shared" ref="FV141:FV204" si="199">SUMIFS(E141:EP141,E$7:EP$7,"Panel Evaluation",E$11:EP$11,FM$11)</x:f>
        <x:v>0</x:v>
      </x:c>
      <x:c r="FW141" s="41" t="n">
        <x:f t="shared" ref="FW141:FW204" si="200">SUMIFS(E141:EP141,E$7:EP$7,"Internship Evaluation",E$11:EP$11,FM$11)</x:f>
        <x:v>0</x:v>
      </x:c>
      <x:c r="FX141" t="n">
        <x:f t="shared" ref="FX141:FX204" si="201">SUMIF(EQ$7:FW$7,"Quiz",EQ141:FW141)</x:f>
        <x:v>0</x:v>
      </x:c>
      <x:c r="FY141" t="n">
        <x:f t="shared" ref="FY141:FY204" si="202">SUMIF(EQ$7:FW$7,"Exam",EQ141:FW141)</x:f>
        <x:v>0</x:v>
      </x:c>
      <x:c r="FZ141" t="n">
        <x:f t="shared" ref="FZ141:FZ204" si="203">SUMIF(EQ$7:FW$7,"Rubric-Scored Output",EQ141:FW141)</x:f>
        <x:v>0</x:v>
      </x:c>
      <x:c r="GA141" t="n">
        <x:f t="shared" ref="GA141:GA204" si="204">SUMIF(EQ$7:FW$7,"Performance Tasks",EQ141:FW141)</x:f>
        <x:v>0</x:v>
      </x:c>
      <x:c r="GB141" t="n">
        <x:f t="shared" ref="GB141:GB204" si="205">SUMIF(EQ$7:FW$7,"Lab Outputs",EQ141:FW141)</x:f>
        <x:v>0</x:v>
      </x:c>
      <x:c r="GC141" t="n">
        <x:f t="shared" ref="GC141:GC204" si="206">SUMIF(EQ$7:FW$7,"Skills Demonstration/ RLE",EQ141:FW141)</x:f>
        <x:v>0</x:v>
      </x:c>
      <x:c r="GD141" t="n">
        <x:f t="shared" ref="GD141:GD204" si="207">SUMIF(EQ$7:FW$7,"Portfolio",EQ141:FW141)</x:f>
        <x:v>0</x:v>
      </x:c>
      <x:c r="GE141" t="n">
        <x:f t="shared" ref="GE141:GE204" si="208">SUMIF(EQ$7:FW$7,"Capstone",EQ141:FW141)</x:f>
        <x:v>0</x:v>
      </x:c>
      <x:c r="GF141" t="n">
        <x:f t="shared" ref="GF141:GF204" si="209">SUMIF(EQ$7:FW$7,"Culminating Project",EQ141:FW141)</x:f>
        <x:v>0</x:v>
      </x:c>
      <x:c r="GG141" t="n">
        <x:f t="shared" ref="GG141:GG204" si="210">SUMIF(EQ$7:FW$7,"Panel Evaluation",EQ141:FW141)</x:f>
        <x:v>0</x:v>
      </x:c>
      <x:c r="GH141" t="n">
        <x:f t="shared" ref="GH141:GH204" si="211">SUMIF(EQ$7:FW$7,"Internship Evaluation",EQ141:FW141)</x:f>
        <x:v>0</x:v>
      </x:c>
      <x:c r="GI141" t="n">
        <x:f t="shared" ref="GI141:GI204" si="212">SUMIFS(E141:EP141,E$8:EP$8,GI$8,E$11:EP$11,GI$11)</x:f>
        <x:v>0</x:v>
      </x:c>
      <x:c r="GJ141" t="n">
        <x:f t="shared" ref="GJ141:GJ204" si="213">SUMIFS(E141:EP141,E$8:EP$8,GJ$8,E$11:EP$11,GI$11)</x:f>
        <x:v>0</x:v>
      </x:c>
      <x:c r="GK141" t="n">
        <x:f t="shared" ref="GK141:GK204" si="214">SUMIFS(E141:EP141,E$8:EP$8,GK$8,E$11:EP$11,GI$11)</x:f>
        <x:v>0</x:v>
      </x:c>
      <x:c r="GL141" t="n">
        <x:f t="shared" ref="GL141:GL204" si="215">SUMIFS(E141:EP141,E$8:EP$8,GL$8,E$11:EP$11,GI$11)</x:f>
        <x:v>0</x:v>
      </x:c>
      <x:c r="GM141" t="n">
        <x:f t="shared" ref="GM141:GM204" si="216">SUMIFS(E141:EP141,E$8:EP$8,GM$8,E$11:EP$11,GI$11)</x:f>
        <x:v>0</x:v>
      </x:c>
      <x:c r="GN141" t="n">
        <x:f t="shared" ref="GN141:GN204" si="217">SUMIFS(E141:EP141,E$8:EP$8,GN$8,E$11:EP$11,GI$11)</x:f>
        <x:v>0</x:v>
      </x:c>
      <x:c r="GO141" t="n">
        <x:f t="shared" ref="GO141:GO204" si="218">SUMIFS(E141:EP141,E$8:EP$8,GO$8,E$11:EP$11,GI$11)</x:f>
        <x:v>0</x:v>
      </x:c>
      <x:c r="GP141" t="n">
        <x:f t="shared" ref="GP141:GP204" si="219">SUMIFS(E141:EP141,E$8:EP$8,GP$8,E$11:EP$11,GI$11)</x:f>
        <x:v>0</x:v>
      </x:c>
      <x:c r="GQ141" t="n">
        <x:f t="shared" ref="GQ141:GQ204" si="220">SUMIFS(E141:EP141,E$8:EP$8,GQ$8,E$11:EP$11,GI$11)</x:f>
        <x:v>0</x:v>
      </x:c>
      <x:c r="GR141" s="42" t="n">
        <x:f t="shared" ref="GR141:GR204" si="221">SUMIFS(E141:EP141,E$8:EP$8,GR$8,E$11:EP$11,GI$11)</x:f>
        <x:v>0</x:v>
      </x:c>
      <x:c r="GS141" t="n">
        <x:f t="shared" ref="GS141:GS204" si="222">SUMIFS(E141:EP141,E$8:EP$8,GI$8,E$11:EP$11,GS$11)</x:f>
        <x:v>0</x:v>
      </x:c>
      <x:c r="GT141" t="n">
        <x:f t="shared" ref="GT141:GT204" si="223">SUMIFS(E141:EP141,E$8:EP$8,GJ$8,E$11:EP$11,GS$11)</x:f>
        <x:v>0</x:v>
      </x:c>
      <x:c r="GU141" t="n">
        <x:f t="shared" ref="GU141:GU204" si="224">SUMIFS(E141:EP141,E$8:EP$8,GK$8,E$11:EP$11,GS$11)</x:f>
        <x:v>0</x:v>
      </x:c>
      <x:c r="GV141" t="n">
        <x:f t="shared" ref="GV141:GV204" si="225">SUMIFS(E141:EP141,E$8:EP$8,GL$8,E$11:EP$11,GS$11)</x:f>
        <x:v>0</x:v>
      </x:c>
      <x:c r="GW141" t="n">
        <x:f t="shared" ref="GW141:GW204" si="226">SUMIFS(E141:EP141,E$8:EP$8,GM$8,E$11:EP$11,GS$11)</x:f>
        <x:v>0</x:v>
      </x:c>
      <x:c r="GX141" t="n">
        <x:f t="shared" ref="GX141:GX204" si="227">SUMIFS(E141:EP141,E$8:EP$8,GN$8,E$11:EP$11,GS$11)</x:f>
        <x:v>0</x:v>
      </x:c>
      <x:c r="GY141" t="n">
        <x:f t="shared" ref="GY141:GY204" si="228">SUMIFS(E141:EP141,E$8:EP$8,GY$8,E$11:EP$11,GS$11)</x:f>
        <x:v>0</x:v>
      </x:c>
      <x:c r="GZ141" t="n">
        <x:f t="shared" ref="GZ141:GZ204" si="229">SUMIFS(E141:EP141,E$8:EP$8,GZ$8,E$11:EP$11,GS$11)</x:f>
        <x:v>0</x:v>
      </x:c>
      <x:c r="HA141" t="n">
        <x:f t="shared" ref="HA141:HA204" si="230">SUMIFS(E141:EP141,E$8:EP$8,HA$8,E$11:EP$11,GS$11)</x:f>
        <x:v>0</x:v>
      </x:c>
      <x:c r="HB141" s="42" t="n">
        <x:f t="shared" ref="HB141:HB204" si="231">SUMIFS(E141:EP141,E$8:EP$8,GR$8,E$11:EP$11,GS$11)</x:f>
        <x:v>0</x:v>
      </x:c>
      <x:c r="HC141" t="n">
        <x:f t="shared" ref="HC141:HC204" si="232">SUMIFS(E141:EP141,E$8:EP$8,GI$8,E$11:EP$11,HC$11)</x:f>
        <x:v>0</x:v>
      </x:c>
      <x:c r="HD141" t="n">
        <x:f t="shared" ref="HD141:HD204" si="233">SUMIFS(E141:EP141,E$8:EP$8,GJ$8,E$11:EP$11,HC$11)</x:f>
        <x:v>0</x:v>
      </x:c>
      <x:c r="HE141" t="n">
        <x:f t="shared" ref="HE141:HE204" si="234">SUMIFS(E141:EP141,E$8:EP$8,GK$8,E$11:EP$11,HC$11)</x:f>
        <x:v>0</x:v>
      </x:c>
      <x:c r="HF141" t="n">
        <x:f t="shared" ref="HF141:HF204" si="235">SUMIFS(E141:EP141,E$8:EP$8,GL$8,E$11:EP$11,HC$11)</x:f>
        <x:v>0</x:v>
      </x:c>
      <x:c r="HG141" t="n">
        <x:f t="shared" ref="HG141:HG204" si="236">SUMIFS(E141:EP141,E$8:EP$8,GM$8,E$11:EP$11,HC$11)</x:f>
        <x:v>0</x:v>
      </x:c>
      <x:c r="HH141" t="n">
        <x:f t="shared" ref="HH141:HH204" si="237">SUMIFS(E141:EP141,E$8:EP$8,GN$8,E$11:EP$11,HC$11)</x:f>
        <x:v>0</x:v>
      </x:c>
      <x:c r="HI141" t="n">
        <x:f t="shared" ref="HI141:HI204" si="238">SUMIFS(E141:EP141,E$8:EP$8,GO$8,E$11:EP$11,HC$11)</x:f>
        <x:v>0</x:v>
      </x:c>
      <x:c r="HJ141" t="n">
        <x:f t="shared" ref="HJ141:HJ204" si="239">SUMIFS(E141:EP141,E$8:EP$8,GP$8,E$11:EP$11,HC$11)</x:f>
        <x:v>0</x:v>
      </x:c>
      <x:c r="HK141" t="n">
        <x:f t="shared" ref="HK141:HK204" si="240">SUMIFS(E141:EP141,E$8:EP$8,GQ$8,E$11:EP$11,HC$11)</x:f>
        <x:v>0</x:v>
      </x:c>
      <x:c r="HL141" t="n">
        <x:f t="shared" ref="HL141:HL204" si="241">SUMIFS(E141:EP141,E$8:EP$8,GR$8,E$11:EP$11,HC$11)</x:f>
        <x:v>0</x:v>
      </x:c>
    </x:row>
    <x:row r="142">
      <x:c r="D142" s="74"/>
      <x:c r="EQ142">
        <x:f t="shared" si="168"/>
        <x:v>0</x:v>
      </x:c>
      <x:c r="ER142">
        <x:f t="shared" si="169"/>
        <x:v>0</x:v>
      </x:c>
      <x:c r="ES142">
        <x:f t="shared" si="170"/>
        <x:v>0</x:v>
      </x:c>
      <x:c r="ET142">
        <x:f t="shared" si="171"/>
        <x:v>0</x:v>
      </x:c>
      <x:c r="EU142">
        <x:f t="shared" si="172"/>
        <x:v>0</x:v>
      </x:c>
      <x:c r="EV142">
        <x:f t="shared" si="173"/>
        <x:v>0</x:v>
      </x:c>
      <x:c r="EW142">
        <x:f t="shared" si="174"/>
        <x:v>0</x:v>
      </x:c>
      <x:c r="EX142">
        <x:f t="shared" si="175"/>
        <x:v>0</x:v>
      </x:c>
      <x:c r="EY142">
        <x:f t="shared" si="176"/>
        <x:v>0</x:v>
      </x:c>
      <x:c r="EZ142">
        <x:f t="shared" si="177"/>
        <x:v>0</x:v>
      </x:c>
      <x:c r="FA142" s="41">
        <x:f t="shared" si="178"/>
        <x:v>0</x:v>
      </x:c>
      <x:c r="FB142">
        <x:f t="shared" si="179"/>
        <x:v>0</x:v>
      </x:c>
      <x:c r="FC142">
        <x:f t="shared" si="180"/>
        <x:v>0</x:v>
      </x:c>
      <x:c r="FD142">
        <x:f t="shared" si="181"/>
        <x:v>0</x:v>
      </x:c>
      <x:c r="FE142">
        <x:f t="shared" si="182"/>
        <x:v>0</x:v>
      </x:c>
      <x:c r="FF142">
        <x:f t="shared" si="183"/>
        <x:v>0</x:v>
      </x:c>
      <x:c r="FG142">
        <x:f t="shared" si="184"/>
        <x:v>0</x:v>
      </x:c>
      <x:c r="FH142">
        <x:f t="shared" si="185"/>
        <x:v>0</x:v>
      </x:c>
      <x:c r="FI142">
        <x:f t="shared" si="186"/>
        <x:v>0</x:v>
      </x:c>
      <x:c r="FJ142">
        <x:f t="shared" si="187"/>
        <x:v>0</x:v>
      </x:c>
      <x:c r="FK142">
        <x:f t="shared" si="188"/>
        <x:v>0</x:v>
      </x:c>
      <x:c r="FL142" s="41">
        <x:f t="shared" si="189"/>
        <x:v>0</x:v>
      </x:c>
      <x:c r="FM142">
        <x:f t="shared" si="190"/>
        <x:v>0</x:v>
      </x:c>
      <x:c r="FN142">
        <x:f t="shared" si="191"/>
        <x:v>0</x:v>
      </x:c>
      <x:c r="FO142">
        <x:f t="shared" si="192"/>
        <x:v>0</x:v>
      </x:c>
      <x:c r="FP142">
        <x:f t="shared" si="193"/>
        <x:v>0</x:v>
      </x:c>
      <x:c r="FQ142">
        <x:f t="shared" si="194"/>
        <x:v>0</x:v>
      </x:c>
      <x:c r="FR142">
        <x:f t="shared" si="195"/>
        <x:v>0</x:v>
      </x:c>
      <x:c r="FS142">
        <x:f t="shared" si="196"/>
        <x:v>0</x:v>
      </x:c>
      <x:c r="FT142">
        <x:f t="shared" si="197"/>
        <x:v>0</x:v>
      </x:c>
      <x:c r="FU142">
        <x:f t="shared" si="198"/>
        <x:v>0</x:v>
      </x:c>
      <x:c r="FV142">
        <x:f t="shared" si="199"/>
        <x:v>0</x:v>
      </x:c>
      <x:c r="FW142" s="41">
        <x:f t="shared" si="200"/>
        <x:v>0</x:v>
      </x:c>
      <x:c r="FX142">
        <x:f t="shared" si="201"/>
        <x:v>0</x:v>
      </x:c>
      <x:c r="FY142">
        <x:f t="shared" si="202"/>
        <x:v>0</x:v>
      </x:c>
      <x:c r="FZ142">
        <x:f t="shared" si="203"/>
        <x:v>0</x:v>
      </x:c>
      <x:c r="GA142">
        <x:f t="shared" si="204"/>
        <x:v>0</x:v>
      </x:c>
      <x:c r="GB142">
        <x:f t="shared" si="205"/>
        <x:v>0</x:v>
      </x:c>
      <x:c r="GC142">
        <x:f t="shared" si="206"/>
        <x:v>0</x:v>
      </x:c>
      <x:c r="GD142">
        <x:f t="shared" si="207"/>
        <x:v>0</x:v>
      </x:c>
      <x:c r="GE142">
        <x:f t="shared" si="208"/>
        <x:v>0</x:v>
      </x:c>
      <x:c r="GF142">
        <x:f t="shared" si="209"/>
        <x:v>0</x:v>
      </x:c>
      <x:c r="GG142">
        <x:f t="shared" si="210"/>
        <x:v>0</x:v>
      </x:c>
      <x:c r="GH142">
        <x:f t="shared" si="211"/>
        <x:v>0</x:v>
      </x:c>
      <x:c r="GI142">
        <x:f t="shared" si="212"/>
        <x:v>0</x:v>
      </x:c>
      <x:c r="GJ142">
        <x:f t="shared" si="213"/>
        <x:v>0</x:v>
      </x:c>
      <x:c r="GK142">
        <x:f t="shared" si="214"/>
        <x:v>0</x:v>
      </x:c>
      <x:c r="GL142">
        <x:f t="shared" si="215"/>
        <x:v>0</x:v>
      </x:c>
      <x:c r="GM142">
        <x:f t="shared" si="216"/>
        <x:v>0</x:v>
      </x:c>
      <x:c r="GN142">
        <x:f t="shared" si="217"/>
        <x:v>0</x:v>
      </x:c>
      <x:c r="GO142">
        <x:f t="shared" si="218"/>
        <x:v>0</x:v>
      </x:c>
      <x:c r="GP142">
        <x:f t="shared" si="219"/>
        <x:v>0</x:v>
      </x:c>
      <x:c r="GQ142">
        <x:f t="shared" si="220"/>
        <x:v>0</x:v>
      </x:c>
      <x:c r="GR142" s="42">
        <x:f t="shared" si="221"/>
        <x:v>0</x:v>
      </x:c>
      <x:c r="GS142">
        <x:f t="shared" si="222"/>
        <x:v>0</x:v>
      </x:c>
      <x:c r="GT142">
        <x:f t="shared" si="223"/>
        <x:v>0</x:v>
      </x:c>
      <x:c r="GU142">
        <x:f t="shared" si="224"/>
        <x:v>0</x:v>
      </x:c>
      <x:c r="GV142">
        <x:f t="shared" si="225"/>
        <x:v>0</x:v>
      </x:c>
      <x:c r="GW142">
        <x:f t="shared" si="226"/>
        <x:v>0</x:v>
      </x:c>
      <x:c r="GX142">
        <x:f t="shared" si="227"/>
        <x:v>0</x:v>
      </x:c>
      <x:c r="GY142">
        <x:f t="shared" si="228"/>
        <x:v>0</x:v>
      </x:c>
      <x:c r="GZ142">
        <x:f t="shared" si="229"/>
        <x:v>0</x:v>
      </x:c>
      <x:c r="HA142">
        <x:f t="shared" si="230"/>
        <x:v>0</x:v>
      </x:c>
      <x:c r="HB142" s="42">
        <x:f t="shared" si="231"/>
        <x:v>0</x:v>
      </x:c>
      <x:c r="HC142">
        <x:f t="shared" si="232"/>
        <x:v>0</x:v>
      </x:c>
      <x:c r="HD142">
        <x:f t="shared" si="233"/>
        <x:v>0</x:v>
      </x:c>
      <x:c r="HE142">
        <x:f t="shared" si="234"/>
        <x:v>0</x:v>
      </x:c>
      <x:c r="HF142">
        <x:f t="shared" si="235"/>
        <x:v>0</x:v>
      </x:c>
      <x:c r="HG142">
        <x:f t="shared" si="236"/>
        <x:v>0</x:v>
      </x:c>
      <x:c r="HH142">
        <x:f t="shared" si="237"/>
        <x:v>0</x:v>
      </x:c>
      <x:c r="HI142">
        <x:f t="shared" si="238"/>
        <x:v>0</x:v>
      </x:c>
      <x:c r="HJ142">
        <x:f t="shared" si="239"/>
        <x:v>0</x:v>
      </x:c>
      <x:c r="HK142">
        <x:f t="shared" si="240"/>
        <x:v>0</x:v>
      </x:c>
      <x:c r="HL142">
        <x:f t="shared" si="241"/>
        <x:v>0</x:v>
      </x:c>
    </x:row>
    <x:row r="143">
      <x:c r="D143" s="74"/>
      <x:c r="EQ143">
        <x:f t="shared" si="168"/>
        <x:v>0</x:v>
      </x:c>
      <x:c r="ER143">
        <x:f t="shared" si="169"/>
        <x:v>0</x:v>
      </x:c>
      <x:c r="ES143">
        <x:f t="shared" si="170"/>
        <x:v>0</x:v>
      </x:c>
      <x:c r="ET143">
        <x:f t="shared" si="171"/>
        <x:v>0</x:v>
      </x:c>
      <x:c r="EU143">
        <x:f t="shared" si="172"/>
        <x:v>0</x:v>
      </x:c>
      <x:c r="EV143">
        <x:f t="shared" si="173"/>
        <x:v>0</x:v>
      </x:c>
      <x:c r="EW143">
        <x:f t="shared" si="174"/>
        <x:v>0</x:v>
      </x:c>
      <x:c r="EX143">
        <x:f t="shared" si="175"/>
        <x:v>0</x:v>
      </x:c>
      <x:c r="EY143">
        <x:f t="shared" si="176"/>
        <x:v>0</x:v>
      </x:c>
      <x:c r="EZ143">
        <x:f t="shared" si="177"/>
        <x:v>0</x:v>
      </x:c>
      <x:c r="FA143" s="41">
        <x:f t="shared" si="178"/>
        <x:v>0</x:v>
      </x:c>
      <x:c r="FB143">
        <x:f t="shared" si="179"/>
        <x:v>0</x:v>
      </x:c>
      <x:c r="FC143">
        <x:f t="shared" si="180"/>
        <x:v>0</x:v>
      </x:c>
      <x:c r="FD143">
        <x:f t="shared" si="181"/>
        <x:v>0</x:v>
      </x:c>
      <x:c r="FE143">
        <x:f t="shared" si="182"/>
        <x:v>0</x:v>
      </x:c>
      <x:c r="FF143">
        <x:f t="shared" si="183"/>
        <x:v>0</x:v>
      </x:c>
      <x:c r="FG143">
        <x:f t="shared" si="184"/>
        <x:v>0</x:v>
      </x:c>
      <x:c r="FH143">
        <x:f t="shared" si="185"/>
        <x:v>0</x:v>
      </x:c>
      <x:c r="FI143">
        <x:f t="shared" si="186"/>
        <x:v>0</x:v>
      </x:c>
      <x:c r="FJ143">
        <x:f t="shared" si="187"/>
        <x:v>0</x:v>
      </x:c>
      <x:c r="FK143">
        <x:f t="shared" si="188"/>
        <x:v>0</x:v>
      </x:c>
      <x:c r="FL143" s="41">
        <x:f t="shared" si="189"/>
        <x:v>0</x:v>
      </x:c>
      <x:c r="FM143">
        <x:f t="shared" si="190"/>
        <x:v>0</x:v>
      </x:c>
      <x:c r="FN143">
        <x:f t="shared" si="191"/>
        <x:v>0</x:v>
      </x:c>
      <x:c r="FO143">
        <x:f t="shared" si="192"/>
        <x:v>0</x:v>
      </x:c>
      <x:c r="FP143">
        <x:f t="shared" si="193"/>
        <x:v>0</x:v>
      </x:c>
      <x:c r="FQ143">
        <x:f t="shared" si="194"/>
        <x:v>0</x:v>
      </x:c>
      <x:c r="FR143">
        <x:f t="shared" si="195"/>
        <x:v>0</x:v>
      </x:c>
      <x:c r="FS143">
        <x:f t="shared" si="196"/>
        <x:v>0</x:v>
      </x:c>
      <x:c r="FT143">
        <x:f t="shared" si="197"/>
        <x:v>0</x:v>
      </x:c>
      <x:c r="FU143">
        <x:f t="shared" si="198"/>
        <x:v>0</x:v>
      </x:c>
      <x:c r="FV143">
        <x:f t="shared" si="199"/>
        <x:v>0</x:v>
      </x:c>
      <x:c r="FW143" s="41">
        <x:f t="shared" si="200"/>
        <x:v>0</x:v>
      </x:c>
      <x:c r="FX143">
        <x:f t="shared" si="201"/>
        <x:v>0</x:v>
      </x:c>
      <x:c r="FY143">
        <x:f t="shared" si="202"/>
        <x:v>0</x:v>
      </x:c>
      <x:c r="FZ143">
        <x:f t="shared" si="203"/>
        <x:v>0</x:v>
      </x:c>
      <x:c r="GA143">
        <x:f t="shared" si="204"/>
        <x:v>0</x:v>
      </x:c>
      <x:c r="GB143">
        <x:f t="shared" si="205"/>
        <x:v>0</x:v>
      </x:c>
      <x:c r="GC143">
        <x:f t="shared" si="206"/>
        <x:v>0</x:v>
      </x:c>
      <x:c r="GD143">
        <x:f t="shared" si="207"/>
        <x:v>0</x:v>
      </x:c>
      <x:c r="GE143">
        <x:f t="shared" si="208"/>
        <x:v>0</x:v>
      </x:c>
      <x:c r="GF143">
        <x:f t="shared" si="209"/>
        <x:v>0</x:v>
      </x:c>
      <x:c r="GG143">
        <x:f t="shared" si="210"/>
        <x:v>0</x:v>
      </x:c>
      <x:c r="GH143">
        <x:f t="shared" si="211"/>
        <x:v>0</x:v>
      </x:c>
      <x:c r="GI143">
        <x:f t="shared" si="212"/>
        <x:v>0</x:v>
      </x:c>
      <x:c r="GJ143">
        <x:f t="shared" si="213"/>
        <x:v>0</x:v>
      </x:c>
      <x:c r="GK143">
        <x:f t="shared" si="214"/>
        <x:v>0</x:v>
      </x:c>
      <x:c r="GL143">
        <x:f t="shared" si="215"/>
        <x:v>0</x:v>
      </x:c>
      <x:c r="GM143">
        <x:f t="shared" si="216"/>
        <x:v>0</x:v>
      </x:c>
      <x:c r="GN143">
        <x:f t="shared" si="217"/>
        <x:v>0</x:v>
      </x:c>
      <x:c r="GO143">
        <x:f t="shared" si="218"/>
        <x:v>0</x:v>
      </x:c>
      <x:c r="GP143">
        <x:f t="shared" si="219"/>
        <x:v>0</x:v>
      </x:c>
      <x:c r="GQ143">
        <x:f t="shared" si="220"/>
        <x:v>0</x:v>
      </x:c>
      <x:c r="GR143" s="42">
        <x:f t="shared" si="221"/>
        <x:v>0</x:v>
      </x:c>
      <x:c r="GS143">
        <x:f t="shared" si="222"/>
        <x:v>0</x:v>
      </x:c>
      <x:c r="GT143">
        <x:f t="shared" si="223"/>
        <x:v>0</x:v>
      </x:c>
      <x:c r="GU143">
        <x:f t="shared" si="224"/>
        <x:v>0</x:v>
      </x:c>
      <x:c r="GV143">
        <x:f t="shared" si="225"/>
        <x:v>0</x:v>
      </x:c>
      <x:c r="GW143">
        <x:f t="shared" si="226"/>
        <x:v>0</x:v>
      </x:c>
      <x:c r="GX143">
        <x:f t="shared" si="227"/>
        <x:v>0</x:v>
      </x:c>
      <x:c r="GY143">
        <x:f t="shared" si="228"/>
        <x:v>0</x:v>
      </x:c>
      <x:c r="GZ143">
        <x:f t="shared" si="229"/>
        <x:v>0</x:v>
      </x:c>
      <x:c r="HA143">
        <x:f t="shared" si="230"/>
        <x:v>0</x:v>
      </x:c>
      <x:c r="HB143" s="42">
        <x:f t="shared" si="231"/>
        <x:v>0</x:v>
      </x:c>
      <x:c r="HC143">
        <x:f t="shared" si="232"/>
        <x:v>0</x:v>
      </x:c>
      <x:c r="HD143">
        <x:f t="shared" si="233"/>
        <x:v>0</x:v>
      </x:c>
      <x:c r="HE143">
        <x:f t="shared" si="234"/>
        <x:v>0</x:v>
      </x:c>
      <x:c r="HF143">
        <x:f t="shared" si="235"/>
        <x:v>0</x:v>
      </x:c>
      <x:c r="HG143">
        <x:f t="shared" si="236"/>
        <x:v>0</x:v>
      </x:c>
      <x:c r="HH143">
        <x:f t="shared" si="237"/>
        <x:v>0</x:v>
      </x:c>
      <x:c r="HI143">
        <x:f t="shared" si="238"/>
        <x:v>0</x:v>
      </x:c>
      <x:c r="HJ143">
        <x:f t="shared" si="239"/>
        <x:v>0</x:v>
      </x:c>
      <x:c r="HK143">
        <x:f t="shared" si="240"/>
        <x:v>0</x:v>
      </x:c>
      <x:c r="HL143">
        <x:f t="shared" si="241"/>
        <x:v>0</x:v>
      </x:c>
    </x:row>
    <x:row r="144">
      <x:c r="D144" s="74"/>
      <x:c r="EQ144">
        <x:f t="shared" si="168"/>
        <x:v>0</x:v>
      </x:c>
      <x:c r="ER144">
        <x:f t="shared" si="169"/>
        <x:v>0</x:v>
      </x:c>
      <x:c r="ES144">
        <x:f t="shared" si="170"/>
        <x:v>0</x:v>
      </x:c>
      <x:c r="ET144">
        <x:f t="shared" si="171"/>
        <x:v>0</x:v>
      </x:c>
      <x:c r="EU144">
        <x:f t="shared" si="172"/>
        <x:v>0</x:v>
      </x:c>
      <x:c r="EV144">
        <x:f t="shared" si="173"/>
        <x:v>0</x:v>
      </x:c>
      <x:c r="EW144">
        <x:f t="shared" si="174"/>
        <x:v>0</x:v>
      </x:c>
      <x:c r="EX144">
        <x:f t="shared" si="175"/>
        <x:v>0</x:v>
      </x:c>
      <x:c r="EY144">
        <x:f t="shared" si="176"/>
        <x:v>0</x:v>
      </x:c>
      <x:c r="EZ144">
        <x:f t="shared" si="177"/>
        <x:v>0</x:v>
      </x:c>
      <x:c r="FA144" s="41">
        <x:f t="shared" si="178"/>
        <x:v>0</x:v>
      </x:c>
      <x:c r="FB144">
        <x:f t="shared" si="179"/>
        <x:v>0</x:v>
      </x:c>
      <x:c r="FC144">
        <x:f t="shared" si="180"/>
        <x:v>0</x:v>
      </x:c>
      <x:c r="FD144">
        <x:f t="shared" si="181"/>
        <x:v>0</x:v>
      </x:c>
      <x:c r="FE144">
        <x:f t="shared" si="182"/>
        <x:v>0</x:v>
      </x:c>
      <x:c r="FF144">
        <x:f t="shared" si="183"/>
        <x:v>0</x:v>
      </x:c>
      <x:c r="FG144">
        <x:f t="shared" si="184"/>
        <x:v>0</x:v>
      </x:c>
      <x:c r="FH144">
        <x:f t="shared" si="185"/>
        <x:v>0</x:v>
      </x:c>
      <x:c r="FI144">
        <x:f t="shared" si="186"/>
        <x:v>0</x:v>
      </x:c>
      <x:c r="FJ144">
        <x:f t="shared" si="187"/>
        <x:v>0</x:v>
      </x:c>
      <x:c r="FK144">
        <x:f t="shared" si="188"/>
        <x:v>0</x:v>
      </x:c>
      <x:c r="FL144" s="41">
        <x:f t="shared" si="189"/>
        <x:v>0</x:v>
      </x:c>
      <x:c r="FM144">
        <x:f t="shared" si="190"/>
        <x:v>0</x:v>
      </x:c>
      <x:c r="FN144">
        <x:f t="shared" si="191"/>
        <x:v>0</x:v>
      </x:c>
      <x:c r="FO144">
        <x:f t="shared" si="192"/>
        <x:v>0</x:v>
      </x:c>
      <x:c r="FP144">
        <x:f t="shared" si="193"/>
        <x:v>0</x:v>
      </x:c>
      <x:c r="FQ144">
        <x:f t="shared" si="194"/>
        <x:v>0</x:v>
      </x:c>
      <x:c r="FR144">
        <x:f t="shared" si="195"/>
        <x:v>0</x:v>
      </x:c>
      <x:c r="FS144">
        <x:f t="shared" si="196"/>
        <x:v>0</x:v>
      </x:c>
      <x:c r="FT144">
        <x:f t="shared" si="197"/>
        <x:v>0</x:v>
      </x:c>
      <x:c r="FU144">
        <x:f t="shared" si="198"/>
        <x:v>0</x:v>
      </x:c>
      <x:c r="FV144">
        <x:f t="shared" si="199"/>
        <x:v>0</x:v>
      </x:c>
      <x:c r="FW144" s="41">
        <x:f t="shared" si="200"/>
        <x:v>0</x:v>
      </x:c>
      <x:c r="FX144">
        <x:f t="shared" si="201"/>
        <x:v>0</x:v>
      </x:c>
      <x:c r="FY144">
        <x:f t="shared" si="202"/>
        <x:v>0</x:v>
      </x:c>
      <x:c r="FZ144">
        <x:f t="shared" si="203"/>
        <x:v>0</x:v>
      </x:c>
      <x:c r="GA144">
        <x:f t="shared" si="204"/>
        <x:v>0</x:v>
      </x:c>
      <x:c r="GB144">
        <x:f t="shared" si="205"/>
        <x:v>0</x:v>
      </x:c>
      <x:c r="GC144">
        <x:f t="shared" si="206"/>
        <x:v>0</x:v>
      </x:c>
      <x:c r="GD144">
        <x:f t="shared" si="207"/>
        <x:v>0</x:v>
      </x:c>
      <x:c r="GE144">
        <x:f t="shared" si="208"/>
        <x:v>0</x:v>
      </x:c>
      <x:c r="GF144">
        <x:f t="shared" si="209"/>
        <x:v>0</x:v>
      </x:c>
      <x:c r="GG144">
        <x:f t="shared" si="210"/>
        <x:v>0</x:v>
      </x:c>
      <x:c r="GH144">
        <x:f t="shared" si="211"/>
        <x:v>0</x:v>
      </x:c>
      <x:c r="GI144">
        <x:f t="shared" si="212"/>
        <x:v>0</x:v>
      </x:c>
      <x:c r="GJ144">
        <x:f t="shared" si="213"/>
        <x:v>0</x:v>
      </x:c>
      <x:c r="GK144">
        <x:f t="shared" si="214"/>
        <x:v>0</x:v>
      </x:c>
      <x:c r="GL144">
        <x:f t="shared" si="215"/>
        <x:v>0</x:v>
      </x:c>
      <x:c r="GM144">
        <x:f t="shared" si="216"/>
        <x:v>0</x:v>
      </x:c>
      <x:c r="GN144">
        <x:f t="shared" si="217"/>
        <x:v>0</x:v>
      </x:c>
      <x:c r="GO144">
        <x:f t="shared" si="218"/>
        <x:v>0</x:v>
      </x:c>
      <x:c r="GP144">
        <x:f t="shared" si="219"/>
        <x:v>0</x:v>
      </x:c>
      <x:c r="GQ144">
        <x:f t="shared" si="220"/>
        <x:v>0</x:v>
      </x:c>
      <x:c r="GR144" s="42">
        <x:f t="shared" si="221"/>
        <x:v>0</x:v>
      </x:c>
      <x:c r="GS144">
        <x:f t="shared" si="222"/>
        <x:v>0</x:v>
      </x:c>
      <x:c r="GT144">
        <x:f t="shared" si="223"/>
        <x:v>0</x:v>
      </x:c>
      <x:c r="GU144">
        <x:f t="shared" si="224"/>
        <x:v>0</x:v>
      </x:c>
      <x:c r="GV144">
        <x:f t="shared" si="225"/>
        <x:v>0</x:v>
      </x:c>
      <x:c r="GW144">
        <x:f t="shared" si="226"/>
        <x:v>0</x:v>
      </x:c>
      <x:c r="GX144">
        <x:f t="shared" si="227"/>
        <x:v>0</x:v>
      </x:c>
      <x:c r="GY144">
        <x:f t="shared" si="228"/>
        <x:v>0</x:v>
      </x:c>
      <x:c r="GZ144">
        <x:f t="shared" si="229"/>
        <x:v>0</x:v>
      </x:c>
      <x:c r="HA144">
        <x:f t="shared" si="230"/>
        <x:v>0</x:v>
      </x:c>
      <x:c r="HB144" s="42">
        <x:f t="shared" si="231"/>
        <x:v>0</x:v>
      </x:c>
      <x:c r="HC144">
        <x:f t="shared" si="232"/>
        <x:v>0</x:v>
      </x:c>
      <x:c r="HD144">
        <x:f t="shared" si="233"/>
        <x:v>0</x:v>
      </x:c>
      <x:c r="HE144">
        <x:f t="shared" si="234"/>
        <x:v>0</x:v>
      </x:c>
      <x:c r="HF144">
        <x:f t="shared" si="235"/>
        <x:v>0</x:v>
      </x:c>
      <x:c r="HG144">
        <x:f t="shared" si="236"/>
        <x:v>0</x:v>
      </x:c>
      <x:c r="HH144">
        <x:f t="shared" si="237"/>
        <x:v>0</x:v>
      </x:c>
      <x:c r="HI144">
        <x:f t="shared" si="238"/>
        <x:v>0</x:v>
      </x:c>
      <x:c r="HJ144">
        <x:f t="shared" si="239"/>
        <x:v>0</x:v>
      </x:c>
      <x:c r="HK144">
        <x:f t="shared" si="240"/>
        <x:v>0</x:v>
      </x:c>
      <x:c r="HL144">
        <x:f t="shared" si="241"/>
        <x:v>0</x:v>
      </x:c>
    </x:row>
    <x:row r="145">
      <x:c r="D145" s="74"/>
      <x:c r="EQ145">
        <x:f t="shared" si="168"/>
        <x:v>0</x:v>
      </x:c>
      <x:c r="ER145">
        <x:f t="shared" si="169"/>
        <x:v>0</x:v>
      </x:c>
      <x:c r="ES145">
        <x:f t="shared" si="170"/>
        <x:v>0</x:v>
      </x:c>
      <x:c r="ET145">
        <x:f t="shared" si="171"/>
        <x:v>0</x:v>
      </x:c>
      <x:c r="EU145">
        <x:f t="shared" si="172"/>
        <x:v>0</x:v>
      </x:c>
      <x:c r="EV145">
        <x:f t="shared" si="173"/>
        <x:v>0</x:v>
      </x:c>
      <x:c r="EW145">
        <x:f t="shared" si="174"/>
        <x:v>0</x:v>
      </x:c>
      <x:c r="EX145">
        <x:f t="shared" si="175"/>
        <x:v>0</x:v>
      </x:c>
      <x:c r="EY145">
        <x:f t="shared" si="176"/>
        <x:v>0</x:v>
      </x:c>
      <x:c r="EZ145">
        <x:f t="shared" si="177"/>
        <x:v>0</x:v>
      </x:c>
      <x:c r="FA145" s="41">
        <x:f t="shared" si="178"/>
        <x:v>0</x:v>
      </x:c>
      <x:c r="FB145">
        <x:f t="shared" si="179"/>
        <x:v>0</x:v>
      </x:c>
      <x:c r="FC145">
        <x:f t="shared" si="180"/>
        <x:v>0</x:v>
      </x:c>
      <x:c r="FD145">
        <x:f t="shared" si="181"/>
        <x:v>0</x:v>
      </x:c>
      <x:c r="FE145">
        <x:f t="shared" si="182"/>
        <x:v>0</x:v>
      </x:c>
      <x:c r="FF145">
        <x:f t="shared" si="183"/>
        <x:v>0</x:v>
      </x:c>
      <x:c r="FG145">
        <x:f t="shared" si="184"/>
        <x:v>0</x:v>
      </x:c>
      <x:c r="FH145">
        <x:f t="shared" si="185"/>
        <x:v>0</x:v>
      </x:c>
      <x:c r="FI145">
        <x:f t="shared" si="186"/>
        <x:v>0</x:v>
      </x:c>
      <x:c r="FJ145">
        <x:f t="shared" si="187"/>
        <x:v>0</x:v>
      </x:c>
      <x:c r="FK145">
        <x:f t="shared" si="188"/>
        <x:v>0</x:v>
      </x:c>
      <x:c r="FL145" s="41">
        <x:f t="shared" si="189"/>
        <x:v>0</x:v>
      </x:c>
      <x:c r="FM145">
        <x:f t="shared" si="190"/>
        <x:v>0</x:v>
      </x:c>
      <x:c r="FN145">
        <x:f t="shared" si="191"/>
        <x:v>0</x:v>
      </x:c>
      <x:c r="FO145">
        <x:f t="shared" si="192"/>
        <x:v>0</x:v>
      </x:c>
      <x:c r="FP145">
        <x:f t="shared" si="193"/>
        <x:v>0</x:v>
      </x:c>
      <x:c r="FQ145">
        <x:f t="shared" si="194"/>
        <x:v>0</x:v>
      </x:c>
      <x:c r="FR145">
        <x:f t="shared" si="195"/>
        <x:v>0</x:v>
      </x:c>
      <x:c r="FS145">
        <x:f t="shared" si="196"/>
        <x:v>0</x:v>
      </x:c>
      <x:c r="FT145">
        <x:f t="shared" si="197"/>
        <x:v>0</x:v>
      </x:c>
      <x:c r="FU145">
        <x:f t="shared" si="198"/>
        <x:v>0</x:v>
      </x:c>
      <x:c r="FV145">
        <x:f t="shared" si="199"/>
        <x:v>0</x:v>
      </x:c>
      <x:c r="FW145" s="41">
        <x:f t="shared" si="200"/>
        <x:v>0</x:v>
      </x:c>
      <x:c r="FX145">
        <x:f t="shared" si="201"/>
        <x:v>0</x:v>
      </x:c>
      <x:c r="FY145">
        <x:f t="shared" si="202"/>
        <x:v>0</x:v>
      </x:c>
      <x:c r="FZ145">
        <x:f t="shared" si="203"/>
        <x:v>0</x:v>
      </x:c>
      <x:c r="GA145">
        <x:f t="shared" si="204"/>
        <x:v>0</x:v>
      </x:c>
      <x:c r="GB145">
        <x:f t="shared" si="205"/>
        <x:v>0</x:v>
      </x:c>
      <x:c r="GC145">
        <x:f t="shared" si="206"/>
        <x:v>0</x:v>
      </x:c>
      <x:c r="GD145">
        <x:f t="shared" si="207"/>
        <x:v>0</x:v>
      </x:c>
      <x:c r="GE145">
        <x:f t="shared" si="208"/>
        <x:v>0</x:v>
      </x:c>
      <x:c r="GF145">
        <x:f t="shared" si="209"/>
        <x:v>0</x:v>
      </x:c>
      <x:c r="GG145">
        <x:f t="shared" si="210"/>
        <x:v>0</x:v>
      </x:c>
      <x:c r="GH145">
        <x:f t="shared" si="211"/>
        <x:v>0</x:v>
      </x:c>
      <x:c r="GI145">
        <x:f t="shared" si="212"/>
        <x:v>0</x:v>
      </x:c>
      <x:c r="GJ145">
        <x:f t="shared" si="213"/>
        <x:v>0</x:v>
      </x:c>
      <x:c r="GK145">
        <x:f t="shared" si="214"/>
        <x:v>0</x:v>
      </x:c>
      <x:c r="GL145">
        <x:f t="shared" si="215"/>
        <x:v>0</x:v>
      </x:c>
      <x:c r="GM145">
        <x:f t="shared" si="216"/>
        <x:v>0</x:v>
      </x:c>
      <x:c r="GN145">
        <x:f t="shared" si="217"/>
        <x:v>0</x:v>
      </x:c>
      <x:c r="GO145">
        <x:f t="shared" si="218"/>
        <x:v>0</x:v>
      </x:c>
      <x:c r="GP145">
        <x:f t="shared" si="219"/>
        <x:v>0</x:v>
      </x:c>
      <x:c r="GQ145">
        <x:f t="shared" si="220"/>
        <x:v>0</x:v>
      </x:c>
      <x:c r="GR145" s="42">
        <x:f t="shared" si="221"/>
        <x:v>0</x:v>
      </x:c>
      <x:c r="GS145">
        <x:f t="shared" si="222"/>
        <x:v>0</x:v>
      </x:c>
      <x:c r="GT145">
        <x:f t="shared" si="223"/>
        <x:v>0</x:v>
      </x:c>
      <x:c r="GU145">
        <x:f t="shared" si="224"/>
        <x:v>0</x:v>
      </x:c>
      <x:c r="GV145">
        <x:f t="shared" si="225"/>
        <x:v>0</x:v>
      </x:c>
      <x:c r="GW145">
        <x:f t="shared" si="226"/>
        <x:v>0</x:v>
      </x:c>
      <x:c r="GX145">
        <x:f t="shared" si="227"/>
        <x:v>0</x:v>
      </x:c>
      <x:c r="GY145">
        <x:f t="shared" si="228"/>
        <x:v>0</x:v>
      </x:c>
      <x:c r="GZ145">
        <x:f t="shared" si="229"/>
        <x:v>0</x:v>
      </x:c>
      <x:c r="HA145">
        <x:f t="shared" si="230"/>
        <x:v>0</x:v>
      </x:c>
      <x:c r="HB145" s="42">
        <x:f t="shared" si="231"/>
        <x:v>0</x:v>
      </x:c>
      <x:c r="HC145">
        <x:f t="shared" si="232"/>
        <x:v>0</x:v>
      </x:c>
      <x:c r="HD145">
        <x:f t="shared" si="233"/>
        <x:v>0</x:v>
      </x:c>
      <x:c r="HE145">
        <x:f t="shared" si="234"/>
        <x:v>0</x:v>
      </x:c>
      <x:c r="HF145">
        <x:f t="shared" si="235"/>
        <x:v>0</x:v>
      </x:c>
      <x:c r="HG145">
        <x:f t="shared" si="236"/>
        <x:v>0</x:v>
      </x:c>
      <x:c r="HH145">
        <x:f t="shared" si="237"/>
        <x:v>0</x:v>
      </x:c>
      <x:c r="HI145">
        <x:f t="shared" si="238"/>
        <x:v>0</x:v>
      </x:c>
      <x:c r="HJ145">
        <x:f t="shared" si="239"/>
        <x:v>0</x:v>
      </x:c>
      <x:c r="HK145">
        <x:f t="shared" si="240"/>
        <x:v>0</x:v>
      </x:c>
      <x:c r="HL145">
        <x:f t="shared" si="241"/>
        <x:v>0</x:v>
      </x:c>
    </x:row>
    <x:row r="146">
      <x:c r="D146" s="74"/>
      <x:c r="EQ146">
        <x:f t="shared" si="168"/>
        <x:v>0</x:v>
      </x:c>
      <x:c r="ER146">
        <x:f t="shared" si="169"/>
        <x:v>0</x:v>
      </x:c>
      <x:c r="ES146">
        <x:f t="shared" si="170"/>
        <x:v>0</x:v>
      </x:c>
      <x:c r="ET146">
        <x:f t="shared" si="171"/>
        <x:v>0</x:v>
      </x:c>
      <x:c r="EU146">
        <x:f t="shared" si="172"/>
        <x:v>0</x:v>
      </x:c>
      <x:c r="EV146">
        <x:f t="shared" si="173"/>
        <x:v>0</x:v>
      </x:c>
      <x:c r="EW146">
        <x:f t="shared" si="174"/>
        <x:v>0</x:v>
      </x:c>
      <x:c r="EX146">
        <x:f t="shared" si="175"/>
        <x:v>0</x:v>
      </x:c>
      <x:c r="EY146">
        <x:f t="shared" si="176"/>
        <x:v>0</x:v>
      </x:c>
      <x:c r="EZ146">
        <x:f t="shared" si="177"/>
        <x:v>0</x:v>
      </x:c>
      <x:c r="FA146" s="41">
        <x:f t="shared" si="178"/>
        <x:v>0</x:v>
      </x:c>
      <x:c r="FB146">
        <x:f t="shared" si="179"/>
        <x:v>0</x:v>
      </x:c>
      <x:c r="FC146">
        <x:f t="shared" si="180"/>
        <x:v>0</x:v>
      </x:c>
      <x:c r="FD146">
        <x:f t="shared" si="181"/>
        <x:v>0</x:v>
      </x:c>
      <x:c r="FE146">
        <x:f t="shared" si="182"/>
        <x:v>0</x:v>
      </x:c>
      <x:c r="FF146">
        <x:f t="shared" si="183"/>
        <x:v>0</x:v>
      </x:c>
      <x:c r="FG146">
        <x:f t="shared" si="184"/>
        <x:v>0</x:v>
      </x:c>
      <x:c r="FH146">
        <x:f t="shared" si="185"/>
        <x:v>0</x:v>
      </x:c>
      <x:c r="FI146">
        <x:f t="shared" si="186"/>
        <x:v>0</x:v>
      </x:c>
      <x:c r="FJ146">
        <x:f t="shared" si="187"/>
        <x:v>0</x:v>
      </x:c>
      <x:c r="FK146">
        <x:f t="shared" si="188"/>
        <x:v>0</x:v>
      </x:c>
      <x:c r="FL146" s="41">
        <x:f t="shared" si="189"/>
        <x:v>0</x:v>
      </x:c>
      <x:c r="FM146">
        <x:f t="shared" si="190"/>
        <x:v>0</x:v>
      </x:c>
      <x:c r="FN146">
        <x:f t="shared" si="191"/>
        <x:v>0</x:v>
      </x:c>
      <x:c r="FO146">
        <x:f t="shared" si="192"/>
        <x:v>0</x:v>
      </x:c>
      <x:c r="FP146">
        <x:f t="shared" si="193"/>
        <x:v>0</x:v>
      </x:c>
      <x:c r="FQ146">
        <x:f t="shared" si="194"/>
        <x:v>0</x:v>
      </x:c>
      <x:c r="FR146">
        <x:f t="shared" si="195"/>
        <x:v>0</x:v>
      </x:c>
      <x:c r="FS146">
        <x:f t="shared" si="196"/>
        <x:v>0</x:v>
      </x:c>
      <x:c r="FT146">
        <x:f t="shared" si="197"/>
        <x:v>0</x:v>
      </x:c>
      <x:c r="FU146">
        <x:f t="shared" si="198"/>
        <x:v>0</x:v>
      </x:c>
      <x:c r="FV146">
        <x:f t="shared" si="199"/>
        <x:v>0</x:v>
      </x:c>
      <x:c r="FW146" s="41">
        <x:f t="shared" si="200"/>
        <x:v>0</x:v>
      </x:c>
      <x:c r="FX146">
        <x:f t="shared" si="201"/>
        <x:v>0</x:v>
      </x:c>
      <x:c r="FY146">
        <x:f t="shared" si="202"/>
        <x:v>0</x:v>
      </x:c>
      <x:c r="FZ146">
        <x:f t="shared" si="203"/>
        <x:v>0</x:v>
      </x:c>
      <x:c r="GA146">
        <x:f t="shared" si="204"/>
        <x:v>0</x:v>
      </x:c>
      <x:c r="GB146">
        <x:f t="shared" si="205"/>
        <x:v>0</x:v>
      </x:c>
      <x:c r="GC146">
        <x:f t="shared" si="206"/>
        <x:v>0</x:v>
      </x:c>
      <x:c r="GD146">
        <x:f t="shared" si="207"/>
        <x:v>0</x:v>
      </x:c>
      <x:c r="GE146">
        <x:f t="shared" si="208"/>
        <x:v>0</x:v>
      </x:c>
      <x:c r="GF146">
        <x:f t="shared" si="209"/>
        <x:v>0</x:v>
      </x:c>
      <x:c r="GG146">
        <x:f t="shared" si="210"/>
        <x:v>0</x:v>
      </x:c>
      <x:c r="GH146">
        <x:f t="shared" si="211"/>
        <x:v>0</x:v>
      </x:c>
      <x:c r="GI146">
        <x:f t="shared" si="212"/>
        <x:v>0</x:v>
      </x:c>
      <x:c r="GJ146">
        <x:f t="shared" si="213"/>
        <x:v>0</x:v>
      </x:c>
      <x:c r="GK146">
        <x:f t="shared" si="214"/>
        <x:v>0</x:v>
      </x:c>
      <x:c r="GL146">
        <x:f t="shared" si="215"/>
        <x:v>0</x:v>
      </x:c>
      <x:c r="GM146">
        <x:f t="shared" si="216"/>
        <x:v>0</x:v>
      </x:c>
      <x:c r="GN146">
        <x:f t="shared" si="217"/>
        <x:v>0</x:v>
      </x:c>
      <x:c r="GO146">
        <x:f t="shared" si="218"/>
        <x:v>0</x:v>
      </x:c>
      <x:c r="GP146">
        <x:f t="shared" si="219"/>
        <x:v>0</x:v>
      </x:c>
      <x:c r="GQ146">
        <x:f t="shared" si="220"/>
        <x:v>0</x:v>
      </x:c>
      <x:c r="GR146" s="42">
        <x:f t="shared" si="221"/>
        <x:v>0</x:v>
      </x:c>
      <x:c r="GS146">
        <x:f t="shared" si="222"/>
        <x:v>0</x:v>
      </x:c>
      <x:c r="GT146">
        <x:f t="shared" si="223"/>
        <x:v>0</x:v>
      </x:c>
      <x:c r="GU146">
        <x:f t="shared" si="224"/>
        <x:v>0</x:v>
      </x:c>
      <x:c r="GV146">
        <x:f t="shared" si="225"/>
        <x:v>0</x:v>
      </x:c>
      <x:c r="GW146">
        <x:f t="shared" si="226"/>
        <x:v>0</x:v>
      </x:c>
      <x:c r="GX146">
        <x:f t="shared" si="227"/>
        <x:v>0</x:v>
      </x:c>
      <x:c r="GY146">
        <x:f t="shared" si="228"/>
        <x:v>0</x:v>
      </x:c>
      <x:c r="GZ146">
        <x:f t="shared" si="229"/>
        <x:v>0</x:v>
      </x:c>
      <x:c r="HA146">
        <x:f t="shared" si="230"/>
        <x:v>0</x:v>
      </x:c>
      <x:c r="HB146" s="42">
        <x:f t="shared" si="231"/>
        <x:v>0</x:v>
      </x:c>
      <x:c r="HC146">
        <x:f t="shared" si="232"/>
        <x:v>0</x:v>
      </x:c>
      <x:c r="HD146">
        <x:f t="shared" si="233"/>
        <x:v>0</x:v>
      </x:c>
      <x:c r="HE146">
        <x:f t="shared" si="234"/>
        <x:v>0</x:v>
      </x:c>
      <x:c r="HF146">
        <x:f t="shared" si="235"/>
        <x:v>0</x:v>
      </x:c>
      <x:c r="HG146">
        <x:f t="shared" si="236"/>
        <x:v>0</x:v>
      </x:c>
      <x:c r="HH146">
        <x:f t="shared" si="237"/>
        <x:v>0</x:v>
      </x:c>
      <x:c r="HI146">
        <x:f t="shared" si="238"/>
        <x:v>0</x:v>
      </x:c>
      <x:c r="HJ146">
        <x:f t="shared" si="239"/>
        <x:v>0</x:v>
      </x:c>
      <x:c r="HK146">
        <x:f t="shared" si="240"/>
        <x:v>0</x:v>
      </x:c>
      <x:c r="HL146">
        <x:f t="shared" si="241"/>
        <x:v>0</x:v>
      </x:c>
    </x:row>
    <x:row r="147">
      <x:c r="D147" s="74"/>
      <x:c r="EQ147">
        <x:f t="shared" si="168"/>
        <x:v>0</x:v>
      </x:c>
      <x:c r="ER147">
        <x:f t="shared" si="169"/>
        <x:v>0</x:v>
      </x:c>
      <x:c r="ES147">
        <x:f t="shared" si="170"/>
        <x:v>0</x:v>
      </x:c>
      <x:c r="ET147">
        <x:f t="shared" si="171"/>
        <x:v>0</x:v>
      </x:c>
      <x:c r="EU147">
        <x:f t="shared" si="172"/>
        <x:v>0</x:v>
      </x:c>
      <x:c r="EV147">
        <x:f t="shared" si="173"/>
        <x:v>0</x:v>
      </x:c>
      <x:c r="EW147">
        <x:f t="shared" si="174"/>
        <x:v>0</x:v>
      </x:c>
      <x:c r="EX147">
        <x:f t="shared" si="175"/>
        <x:v>0</x:v>
      </x:c>
      <x:c r="EY147">
        <x:f t="shared" si="176"/>
        <x:v>0</x:v>
      </x:c>
      <x:c r="EZ147">
        <x:f t="shared" si="177"/>
        <x:v>0</x:v>
      </x:c>
      <x:c r="FA147" s="41">
        <x:f t="shared" si="178"/>
        <x:v>0</x:v>
      </x:c>
      <x:c r="FB147">
        <x:f t="shared" si="179"/>
        <x:v>0</x:v>
      </x:c>
      <x:c r="FC147">
        <x:f t="shared" si="180"/>
        <x:v>0</x:v>
      </x:c>
      <x:c r="FD147">
        <x:f t="shared" si="181"/>
        <x:v>0</x:v>
      </x:c>
      <x:c r="FE147">
        <x:f t="shared" si="182"/>
        <x:v>0</x:v>
      </x:c>
      <x:c r="FF147">
        <x:f t="shared" si="183"/>
        <x:v>0</x:v>
      </x:c>
      <x:c r="FG147">
        <x:f t="shared" si="184"/>
        <x:v>0</x:v>
      </x:c>
      <x:c r="FH147">
        <x:f t="shared" si="185"/>
        <x:v>0</x:v>
      </x:c>
      <x:c r="FI147">
        <x:f t="shared" si="186"/>
        <x:v>0</x:v>
      </x:c>
      <x:c r="FJ147">
        <x:f t="shared" si="187"/>
        <x:v>0</x:v>
      </x:c>
      <x:c r="FK147">
        <x:f t="shared" si="188"/>
        <x:v>0</x:v>
      </x:c>
      <x:c r="FL147" s="41">
        <x:f t="shared" si="189"/>
        <x:v>0</x:v>
      </x:c>
      <x:c r="FM147">
        <x:f t="shared" si="190"/>
        <x:v>0</x:v>
      </x:c>
      <x:c r="FN147">
        <x:f t="shared" si="191"/>
        <x:v>0</x:v>
      </x:c>
      <x:c r="FO147">
        <x:f t="shared" si="192"/>
        <x:v>0</x:v>
      </x:c>
      <x:c r="FP147">
        <x:f t="shared" si="193"/>
        <x:v>0</x:v>
      </x:c>
      <x:c r="FQ147">
        <x:f t="shared" si="194"/>
        <x:v>0</x:v>
      </x:c>
      <x:c r="FR147">
        <x:f t="shared" si="195"/>
        <x:v>0</x:v>
      </x:c>
      <x:c r="FS147">
        <x:f t="shared" si="196"/>
        <x:v>0</x:v>
      </x:c>
      <x:c r="FT147">
        <x:f t="shared" si="197"/>
        <x:v>0</x:v>
      </x:c>
      <x:c r="FU147">
        <x:f t="shared" si="198"/>
        <x:v>0</x:v>
      </x:c>
      <x:c r="FV147">
        <x:f t="shared" si="199"/>
        <x:v>0</x:v>
      </x:c>
      <x:c r="FW147" s="41">
        <x:f t="shared" si="200"/>
        <x:v>0</x:v>
      </x:c>
      <x:c r="FX147">
        <x:f t="shared" si="201"/>
        <x:v>0</x:v>
      </x:c>
      <x:c r="FY147">
        <x:f t="shared" si="202"/>
        <x:v>0</x:v>
      </x:c>
      <x:c r="FZ147">
        <x:f t="shared" si="203"/>
        <x:v>0</x:v>
      </x:c>
      <x:c r="GA147">
        <x:f t="shared" si="204"/>
        <x:v>0</x:v>
      </x:c>
      <x:c r="GB147">
        <x:f t="shared" si="205"/>
        <x:v>0</x:v>
      </x:c>
      <x:c r="GC147">
        <x:f t="shared" si="206"/>
        <x:v>0</x:v>
      </x:c>
      <x:c r="GD147">
        <x:f t="shared" si="207"/>
        <x:v>0</x:v>
      </x:c>
      <x:c r="GE147">
        <x:f t="shared" si="208"/>
        <x:v>0</x:v>
      </x:c>
      <x:c r="GF147">
        <x:f t="shared" si="209"/>
        <x:v>0</x:v>
      </x:c>
      <x:c r="GG147">
        <x:f t="shared" si="210"/>
        <x:v>0</x:v>
      </x:c>
      <x:c r="GH147">
        <x:f t="shared" si="211"/>
        <x:v>0</x:v>
      </x:c>
      <x:c r="GI147">
        <x:f t="shared" si="212"/>
        <x:v>0</x:v>
      </x:c>
      <x:c r="GJ147">
        <x:f t="shared" si="213"/>
        <x:v>0</x:v>
      </x:c>
      <x:c r="GK147">
        <x:f t="shared" si="214"/>
        <x:v>0</x:v>
      </x:c>
      <x:c r="GL147">
        <x:f t="shared" si="215"/>
        <x:v>0</x:v>
      </x:c>
      <x:c r="GM147">
        <x:f t="shared" si="216"/>
        <x:v>0</x:v>
      </x:c>
      <x:c r="GN147">
        <x:f t="shared" si="217"/>
        <x:v>0</x:v>
      </x:c>
      <x:c r="GO147">
        <x:f t="shared" si="218"/>
        <x:v>0</x:v>
      </x:c>
      <x:c r="GP147">
        <x:f t="shared" si="219"/>
        <x:v>0</x:v>
      </x:c>
      <x:c r="GQ147">
        <x:f t="shared" si="220"/>
        <x:v>0</x:v>
      </x:c>
      <x:c r="GR147" s="42">
        <x:f t="shared" si="221"/>
        <x:v>0</x:v>
      </x:c>
      <x:c r="GS147">
        <x:f t="shared" si="222"/>
        <x:v>0</x:v>
      </x:c>
      <x:c r="GT147">
        <x:f t="shared" si="223"/>
        <x:v>0</x:v>
      </x:c>
      <x:c r="GU147">
        <x:f t="shared" si="224"/>
        <x:v>0</x:v>
      </x:c>
      <x:c r="GV147">
        <x:f t="shared" si="225"/>
        <x:v>0</x:v>
      </x:c>
      <x:c r="GW147">
        <x:f t="shared" si="226"/>
        <x:v>0</x:v>
      </x:c>
      <x:c r="GX147">
        <x:f t="shared" si="227"/>
        <x:v>0</x:v>
      </x:c>
      <x:c r="GY147">
        <x:f t="shared" si="228"/>
        <x:v>0</x:v>
      </x:c>
      <x:c r="GZ147">
        <x:f t="shared" si="229"/>
        <x:v>0</x:v>
      </x:c>
      <x:c r="HA147">
        <x:f t="shared" si="230"/>
        <x:v>0</x:v>
      </x:c>
      <x:c r="HB147" s="42">
        <x:f t="shared" si="231"/>
        <x:v>0</x:v>
      </x:c>
      <x:c r="HC147">
        <x:f t="shared" si="232"/>
        <x:v>0</x:v>
      </x:c>
      <x:c r="HD147">
        <x:f t="shared" si="233"/>
        <x:v>0</x:v>
      </x:c>
      <x:c r="HE147">
        <x:f t="shared" si="234"/>
        <x:v>0</x:v>
      </x:c>
      <x:c r="HF147">
        <x:f t="shared" si="235"/>
        <x:v>0</x:v>
      </x:c>
      <x:c r="HG147">
        <x:f t="shared" si="236"/>
        <x:v>0</x:v>
      </x:c>
      <x:c r="HH147">
        <x:f t="shared" si="237"/>
        <x:v>0</x:v>
      </x:c>
      <x:c r="HI147">
        <x:f t="shared" si="238"/>
        <x:v>0</x:v>
      </x:c>
      <x:c r="HJ147">
        <x:f t="shared" si="239"/>
        <x:v>0</x:v>
      </x:c>
      <x:c r="HK147">
        <x:f t="shared" si="240"/>
        <x:v>0</x:v>
      </x:c>
      <x:c r="HL147">
        <x:f t="shared" si="241"/>
        <x:v>0</x:v>
      </x:c>
    </x:row>
    <x:row r="148">
      <x:c r="D148" s="74"/>
      <x:c r="EQ148">
        <x:f t="shared" si="168"/>
        <x:v>0</x:v>
      </x:c>
      <x:c r="ER148">
        <x:f t="shared" si="169"/>
        <x:v>0</x:v>
      </x:c>
      <x:c r="ES148">
        <x:f t="shared" si="170"/>
        <x:v>0</x:v>
      </x:c>
      <x:c r="ET148">
        <x:f t="shared" si="171"/>
        <x:v>0</x:v>
      </x:c>
      <x:c r="EU148">
        <x:f t="shared" si="172"/>
        <x:v>0</x:v>
      </x:c>
      <x:c r="EV148">
        <x:f t="shared" si="173"/>
        <x:v>0</x:v>
      </x:c>
      <x:c r="EW148">
        <x:f t="shared" si="174"/>
        <x:v>0</x:v>
      </x:c>
      <x:c r="EX148">
        <x:f t="shared" si="175"/>
        <x:v>0</x:v>
      </x:c>
      <x:c r="EY148">
        <x:f t="shared" si="176"/>
        <x:v>0</x:v>
      </x:c>
      <x:c r="EZ148">
        <x:f t="shared" si="177"/>
        <x:v>0</x:v>
      </x:c>
      <x:c r="FA148" s="41">
        <x:f t="shared" si="178"/>
        <x:v>0</x:v>
      </x:c>
      <x:c r="FB148">
        <x:f t="shared" si="179"/>
        <x:v>0</x:v>
      </x:c>
      <x:c r="FC148">
        <x:f t="shared" si="180"/>
        <x:v>0</x:v>
      </x:c>
      <x:c r="FD148">
        <x:f t="shared" si="181"/>
        <x:v>0</x:v>
      </x:c>
      <x:c r="FE148">
        <x:f t="shared" si="182"/>
        <x:v>0</x:v>
      </x:c>
      <x:c r="FF148">
        <x:f t="shared" si="183"/>
        <x:v>0</x:v>
      </x:c>
      <x:c r="FG148">
        <x:f t="shared" si="184"/>
        <x:v>0</x:v>
      </x:c>
      <x:c r="FH148">
        <x:f t="shared" si="185"/>
        <x:v>0</x:v>
      </x:c>
      <x:c r="FI148">
        <x:f t="shared" si="186"/>
        <x:v>0</x:v>
      </x:c>
      <x:c r="FJ148">
        <x:f t="shared" si="187"/>
        <x:v>0</x:v>
      </x:c>
      <x:c r="FK148">
        <x:f t="shared" si="188"/>
        <x:v>0</x:v>
      </x:c>
      <x:c r="FL148" s="41">
        <x:f t="shared" si="189"/>
        <x:v>0</x:v>
      </x:c>
      <x:c r="FM148">
        <x:f t="shared" si="190"/>
        <x:v>0</x:v>
      </x:c>
      <x:c r="FN148">
        <x:f t="shared" si="191"/>
        <x:v>0</x:v>
      </x:c>
      <x:c r="FO148">
        <x:f t="shared" si="192"/>
        <x:v>0</x:v>
      </x:c>
      <x:c r="FP148">
        <x:f t="shared" si="193"/>
        <x:v>0</x:v>
      </x:c>
      <x:c r="FQ148">
        <x:f t="shared" si="194"/>
        <x:v>0</x:v>
      </x:c>
      <x:c r="FR148">
        <x:f t="shared" si="195"/>
        <x:v>0</x:v>
      </x:c>
      <x:c r="FS148">
        <x:f t="shared" si="196"/>
        <x:v>0</x:v>
      </x:c>
      <x:c r="FT148">
        <x:f t="shared" si="197"/>
        <x:v>0</x:v>
      </x:c>
      <x:c r="FU148">
        <x:f t="shared" si="198"/>
        <x:v>0</x:v>
      </x:c>
      <x:c r="FV148">
        <x:f t="shared" si="199"/>
        <x:v>0</x:v>
      </x:c>
      <x:c r="FW148" s="41">
        <x:f t="shared" si="200"/>
        <x:v>0</x:v>
      </x:c>
      <x:c r="FX148">
        <x:f t="shared" si="201"/>
        <x:v>0</x:v>
      </x:c>
      <x:c r="FY148">
        <x:f t="shared" si="202"/>
        <x:v>0</x:v>
      </x:c>
      <x:c r="FZ148">
        <x:f t="shared" si="203"/>
        <x:v>0</x:v>
      </x:c>
      <x:c r="GA148">
        <x:f t="shared" si="204"/>
        <x:v>0</x:v>
      </x:c>
      <x:c r="GB148">
        <x:f t="shared" si="205"/>
        <x:v>0</x:v>
      </x:c>
      <x:c r="GC148">
        <x:f t="shared" si="206"/>
        <x:v>0</x:v>
      </x:c>
      <x:c r="GD148">
        <x:f t="shared" si="207"/>
        <x:v>0</x:v>
      </x:c>
      <x:c r="GE148">
        <x:f t="shared" si="208"/>
        <x:v>0</x:v>
      </x:c>
      <x:c r="GF148">
        <x:f t="shared" si="209"/>
        <x:v>0</x:v>
      </x:c>
      <x:c r="GG148">
        <x:f t="shared" si="210"/>
        <x:v>0</x:v>
      </x:c>
      <x:c r="GH148">
        <x:f t="shared" si="211"/>
        <x:v>0</x:v>
      </x:c>
      <x:c r="GI148">
        <x:f t="shared" si="212"/>
        <x:v>0</x:v>
      </x:c>
      <x:c r="GJ148">
        <x:f t="shared" si="213"/>
        <x:v>0</x:v>
      </x:c>
      <x:c r="GK148">
        <x:f t="shared" si="214"/>
        <x:v>0</x:v>
      </x:c>
      <x:c r="GL148">
        <x:f t="shared" si="215"/>
        <x:v>0</x:v>
      </x:c>
      <x:c r="GM148">
        <x:f t="shared" si="216"/>
        <x:v>0</x:v>
      </x:c>
      <x:c r="GN148">
        <x:f t="shared" si="217"/>
        <x:v>0</x:v>
      </x:c>
      <x:c r="GO148">
        <x:f t="shared" si="218"/>
        <x:v>0</x:v>
      </x:c>
      <x:c r="GP148">
        <x:f t="shared" si="219"/>
        <x:v>0</x:v>
      </x:c>
      <x:c r="GQ148">
        <x:f t="shared" si="220"/>
        <x:v>0</x:v>
      </x:c>
      <x:c r="GR148" s="42">
        <x:f t="shared" si="221"/>
        <x:v>0</x:v>
      </x:c>
      <x:c r="GS148">
        <x:f t="shared" si="222"/>
        <x:v>0</x:v>
      </x:c>
      <x:c r="GT148">
        <x:f t="shared" si="223"/>
        <x:v>0</x:v>
      </x:c>
      <x:c r="GU148">
        <x:f t="shared" si="224"/>
        <x:v>0</x:v>
      </x:c>
      <x:c r="GV148">
        <x:f t="shared" si="225"/>
        <x:v>0</x:v>
      </x:c>
      <x:c r="GW148">
        <x:f t="shared" si="226"/>
        <x:v>0</x:v>
      </x:c>
      <x:c r="GX148">
        <x:f t="shared" si="227"/>
        <x:v>0</x:v>
      </x:c>
      <x:c r="GY148">
        <x:f t="shared" si="228"/>
        <x:v>0</x:v>
      </x:c>
      <x:c r="GZ148">
        <x:f t="shared" si="229"/>
        <x:v>0</x:v>
      </x:c>
      <x:c r="HA148">
        <x:f t="shared" si="230"/>
        <x:v>0</x:v>
      </x:c>
      <x:c r="HB148" s="42">
        <x:f t="shared" si="231"/>
        <x:v>0</x:v>
      </x:c>
      <x:c r="HC148">
        <x:f t="shared" si="232"/>
        <x:v>0</x:v>
      </x:c>
      <x:c r="HD148">
        <x:f t="shared" si="233"/>
        <x:v>0</x:v>
      </x:c>
      <x:c r="HE148">
        <x:f t="shared" si="234"/>
        <x:v>0</x:v>
      </x:c>
      <x:c r="HF148">
        <x:f t="shared" si="235"/>
        <x:v>0</x:v>
      </x:c>
      <x:c r="HG148">
        <x:f t="shared" si="236"/>
        <x:v>0</x:v>
      </x:c>
      <x:c r="HH148">
        <x:f t="shared" si="237"/>
        <x:v>0</x:v>
      </x:c>
      <x:c r="HI148">
        <x:f t="shared" si="238"/>
        <x:v>0</x:v>
      </x:c>
      <x:c r="HJ148">
        <x:f t="shared" si="239"/>
        <x:v>0</x:v>
      </x:c>
      <x:c r="HK148">
        <x:f t="shared" si="240"/>
        <x:v>0</x:v>
      </x:c>
      <x:c r="HL148">
        <x:f t="shared" si="241"/>
        <x:v>0</x:v>
      </x:c>
    </x:row>
    <x:row r="149">
      <x:c r="D149" s="74"/>
      <x:c r="EQ149">
        <x:f t="shared" si="168"/>
        <x:v>0</x:v>
      </x:c>
      <x:c r="ER149">
        <x:f t="shared" si="169"/>
        <x:v>0</x:v>
      </x:c>
      <x:c r="ES149">
        <x:f t="shared" si="170"/>
        <x:v>0</x:v>
      </x:c>
      <x:c r="ET149">
        <x:f t="shared" si="171"/>
        <x:v>0</x:v>
      </x:c>
      <x:c r="EU149">
        <x:f t="shared" si="172"/>
        <x:v>0</x:v>
      </x:c>
      <x:c r="EV149">
        <x:f t="shared" si="173"/>
        <x:v>0</x:v>
      </x:c>
      <x:c r="EW149">
        <x:f t="shared" si="174"/>
        <x:v>0</x:v>
      </x:c>
      <x:c r="EX149">
        <x:f t="shared" si="175"/>
        <x:v>0</x:v>
      </x:c>
      <x:c r="EY149">
        <x:f t="shared" si="176"/>
        <x:v>0</x:v>
      </x:c>
      <x:c r="EZ149">
        <x:f t="shared" si="177"/>
        <x:v>0</x:v>
      </x:c>
      <x:c r="FA149" s="41">
        <x:f t="shared" si="178"/>
        <x:v>0</x:v>
      </x:c>
      <x:c r="FB149">
        <x:f t="shared" si="179"/>
        <x:v>0</x:v>
      </x:c>
      <x:c r="FC149">
        <x:f t="shared" si="180"/>
        <x:v>0</x:v>
      </x:c>
      <x:c r="FD149">
        <x:f t="shared" si="181"/>
        <x:v>0</x:v>
      </x:c>
      <x:c r="FE149">
        <x:f t="shared" si="182"/>
        <x:v>0</x:v>
      </x:c>
      <x:c r="FF149">
        <x:f t="shared" si="183"/>
        <x:v>0</x:v>
      </x:c>
      <x:c r="FG149">
        <x:f t="shared" si="184"/>
        <x:v>0</x:v>
      </x:c>
      <x:c r="FH149">
        <x:f t="shared" si="185"/>
        <x:v>0</x:v>
      </x:c>
      <x:c r="FI149">
        <x:f t="shared" si="186"/>
        <x:v>0</x:v>
      </x:c>
      <x:c r="FJ149">
        <x:f t="shared" si="187"/>
        <x:v>0</x:v>
      </x:c>
      <x:c r="FK149">
        <x:f t="shared" si="188"/>
        <x:v>0</x:v>
      </x:c>
      <x:c r="FL149" s="41">
        <x:f t="shared" si="189"/>
        <x:v>0</x:v>
      </x:c>
      <x:c r="FM149">
        <x:f t="shared" si="190"/>
        <x:v>0</x:v>
      </x:c>
      <x:c r="FN149">
        <x:f t="shared" si="191"/>
        <x:v>0</x:v>
      </x:c>
      <x:c r="FO149">
        <x:f t="shared" si="192"/>
        <x:v>0</x:v>
      </x:c>
      <x:c r="FP149">
        <x:f t="shared" si="193"/>
        <x:v>0</x:v>
      </x:c>
      <x:c r="FQ149">
        <x:f t="shared" si="194"/>
        <x:v>0</x:v>
      </x:c>
      <x:c r="FR149">
        <x:f t="shared" si="195"/>
        <x:v>0</x:v>
      </x:c>
      <x:c r="FS149">
        <x:f t="shared" si="196"/>
        <x:v>0</x:v>
      </x:c>
      <x:c r="FT149">
        <x:f t="shared" si="197"/>
        <x:v>0</x:v>
      </x:c>
      <x:c r="FU149">
        <x:f t="shared" si="198"/>
        <x:v>0</x:v>
      </x:c>
      <x:c r="FV149">
        <x:f t="shared" si="199"/>
        <x:v>0</x:v>
      </x:c>
      <x:c r="FW149" s="41">
        <x:f t="shared" si="200"/>
        <x:v>0</x:v>
      </x:c>
      <x:c r="FX149">
        <x:f t="shared" si="201"/>
        <x:v>0</x:v>
      </x:c>
      <x:c r="FY149">
        <x:f t="shared" si="202"/>
        <x:v>0</x:v>
      </x:c>
      <x:c r="FZ149">
        <x:f t="shared" si="203"/>
        <x:v>0</x:v>
      </x:c>
      <x:c r="GA149">
        <x:f t="shared" si="204"/>
        <x:v>0</x:v>
      </x:c>
      <x:c r="GB149">
        <x:f t="shared" si="205"/>
        <x:v>0</x:v>
      </x:c>
      <x:c r="GC149">
        <x:f t="shared" si="206"/>
        <x:v>0</x:v>
      </x:c>
      <x:c r="GD149">
        <x:f t="shared" si="207"/>
        <x:v>0</x:v>
      </x:c>
      <x:c r="GE149">
        <x:f t="shared" si="208"/>
        <x:v>0</x:v>
      </x:c>
      <x:c r="GF149">
        <x:f t="shared" si="209"/>
        <x:v>0</x:v>
      </x:c>
      <x:c r="GG149">
        <x:f t="shared" si="210"/>
        <x:v>0</x:v>
      </x:c>
      <x:c r="GH149">
        <x:f t="shared" si="211"/>
        <x:v>0</x:v>
      </x:c>
      <x:c r="GI149">
        <x:f t="shared" si="212"/>
        <x:v>0</x:v>
      </x:c>
      <x:c r="GJ149">
        <x:f t="shared" si="213"/>
        <x:v>0</x:v>
      </x:c>
      <x:c r="GK149">
        <x:f t="shared" si="214"/>
        <x:v>0</x:v>
      </x:c>
      <x:c r="GL149">
        <x:f t="shared" si="215"/>
        <x:v>0</x:v>
      </x:c>
      <x:c r="GM149">
        <x:f t="shared" si="216"/>
        <x:v>0</x:v>
      </x:c>
      <x:c r="GN149">
        <x:f t="shared" si="217"/>
        <x:v>0</x:v>
      </x:c>
      <x:c r="GO149">
        <x:f t="shared" si="218"/>
        <x:v>0</x:v>
      </x:c>
      <x:c r="GP149">
        <x:f t="shared" si="219"/>
        <x:v>0</x:v>
      </x:c>
      <x:c r="GQ149">
        <x:f t="shared" si="220"/>
        <x:v>0</x:v>
      </x:c>
      <x:c r="GR149" s="42">
        <x:f t="shared" si="221"/>
        <x:v>0</x:v>
      </x:c>
      <x:c r="GS149">
        <x:f t="shared" si="222"/>
        <x:v>0</x:v>
      </x:c>
      <x:c r="GT149">
        <x:f t="shared" si="223"/>
        <x:v>0</x:v>
      </x:c>
      <x:c r="GU149">
        <x:f t="shared" si="224"/>
        <x:v>0</x:v>
      </x:c>
      <x:c r="GV149">
        <x:f t="shared" si="225"/>
        <x:v>0</x:v>
      </x:c>
      <x:c r="GW149">
        <x:f t="shared" si="226"/>
        <x:v>0</x:v>
      </x:c>
      <x:c r="GX149">
        <x:f t="shared" si="227"/>
        <x:v>0</x:v>
      </x:c>
      <x:c r="GY149">
        <x:f t="shared" si="228"/>
        <x:v>0</x:v>
      </x:c>
      <x:c r="GZ149">
        <x:f t="shared" si="229"/>
        <x:v>0</x:v>
      </x:c>
      <x:c r="HA149">
        <x:f t="shared" si="230"/>
        <x:v>0</x:v>
      </x:c>
      <x:c r="HB149" s="42">
        <x:f t="shared" si="231"/>
        <x:v>0</x:v>
      </x:c>
      <x:c r="HC149">
        <x:f t="shared" si="232"/>
        <x:v>0</x:v>
      </x:c>
      <x:c r="HD149">
        <x:f t="shared" si="233"/>
        <x:v>0</x:v>
      </x:c>
      <x:c r="HE149">
        <x:f t="shared" si="234"/>
        <x:v>0</x:v>
      </x:c>
      <x:c r="HF149">
        <x:f t="shared" si="235"/>
        <x:v>0</x:v>
      </x:c>
      <x:c r="HG149">
        <x:f t="shared" si="236"/>
        <x:v>0</x:v>
      </x:c>
      <x:c r="HH149">
        <x:f t="shared" si="237"/>
        <x:v>0</x:v>
      </x:c>
      <x:c r="HI149">
        <x:f t="shared" si="238"/>
        <x:v>0</x:v>
      </x:c>
      <x:c r="HJ149">
        <x:f t="shared" si="239"/>
        <x:v>0</x:v>
      </x:c>
      <x:c r="HK149">
        <x:f t="shared" si="240"/>
        <x:v>0</x:v>
      </x:c>
      <x:c r="HL149">
        <x:f t="shared" si="241"/>
        <x:v>0</x:v>
      </x:c>
    </x:row>
    <x:row r="150">
      <x:c r="D150" s="74"/>
      <x:c r="EQ150">
        <x:f t="shared" si="168"/>
        <x:v>0</x:v>
      </x:c>
      <x:c r="ER150">
        <x:f t="shared" si="169"/>
        <x:v>0</x:v>
      </x:c>
      <x:c r="ES150">
        <x:f t="shared" si="170"/>
        <x:v>0</x:v>
      </x:c>
      <x:c r="ET150">
        <x:f t="shared" si="171"/>
        <x:v>0</x:v>
      </x:c>
      <x:c r="EU150">
        <x:f t="shared" si="172"/>
        <x:v>0</x:v>
      </x:c>
      <x:c r="EV150">
        <x:f t="shared" si="173"/>
        <x:v>0</x:v>
      </x:c>
      <x:c r="EW150">
        <x:f t="shared" si="174"/>
        <x:v>0</x:v>
      </x:c>
      <x:c r="EX150">
        <x:f t="shared" si="175"/>
        <x:v>0</x:v>
      </x:c>
      <x:c r="EY150">
        <x:f t="shared" si="176"/>
        <x:v>0</x:v>
      </x:c>
      <x:c r="EZ150">
        <x:f t="shared" si="177"/>
        <x:v>0</x:v>
      </x:c>
      <x:c r="FA150" s="41">
        <x:f t="shared" si="178"/>
        <x:v>0</x:v>
      </x:c>
      <x:c r="FB150">
        <x:f t="shared" si="179"/>
        <x:v>0</x:v>
      </x:c>
      <x:c r="FC150">
        <x:f t="shared" si="180"/>
        <x:v>0</x:v>
      </x:c>
      <x:c r="FD150">
        <x:f t="shared" si="181"/>
        <x:v>0</x:v>
      </x:c>
      <x:c r="FE150">
        <x:f t="shared" si="182"/>
        <x:v>0</x:v>
      </x:c>
      <x:c r="FF150">
        <x:f t="shared" si="183"/>
        <x:v>0</x:v>
      </x:c>
      <x:c r="FG150">
        <x:f t="shared" si="184"/>
        <x:v>0</x:v>
      </x:c>
      <x:c r="FH150">
        <x:f t="shared" si="185"/>
        <x:v>0</x:v>
      </x:c>
      <x:c r="FI150">
        <x:f t="shared" si="186"/>
        <x:v>0</x:v>
      </x:c>
      <x:c r="FJ150">
        <x:f t="shared" si="187"/>
        <x:v>0</x:v>
      </x:c>
      <x:c r="FK150">
        <x:f t="shared" si="188"/>
        <x:v>0</x:v>
      </x:c>
      <x:c r="FL150" s="41">
        <x:f t="shared" si="189"/>
        <x:v>0</x:v>
      </x:c>
      <x:c r="FM150">
        <x:f t="shared" si="190"/>
        <x:v>0</x:v>
      </x:c>
      <x:c r="FN150">
        <x:f t="shared" si="191"/>
        <x:v>0</x:v>
      </x:c>
      <x:c r="FO150">
        <x:f t="shared" si="192"/>
        <x:v>0</x:v>
      </x:c>
      <x:c r="FP150">
        <x:f t="shared" si="193"/>
        <x:v>0</x:v>
      </x:c>
      <x:c r="FQ150">
        <x:f t="shared" si="194"/>
        <x:v>0</x:v>
      </x:c>
      <x:c r="FR150">
        <x:f t="shared" si="195"/>
        <x:v>0</x:v>
      </x:c>
      <x:c r="FS150">
        <x:f t="shared" si="196"/>
        <x:v>0</x:v>
      </x:c>
      <x:c r="FT150">
        <x:f t="shared" si="197"/>
        <x:v>0</x:v>
      </x:c>
      <x:c r="FU150">
        <x:f t="shared" si="198"/>
        <x:v>0</x:v>
      </x:c>
      <x:c r="FV150">
        <x:f t="shared" si="199"/>
        <x:v>0</x:v>
      </x:c>
      <x:c r="FW150" s="41">
        <x:f t="shared" si="200"/>
        <x:v>0</x:v>
      </x:c>
      <x:c r="FX150">
        <x:f t="shared" si="201"/>
        <x:v>0</x:v>
      </x:c>
      <x:c r="FY150">
        <x:f t="shared" si="202"/>
        <x:v>0</x:v>
      </x:c>
      <x:c r="FZ150">
        <x:f t="shared" si="203"/>
        <x:v>0</x:v>
      </x:c>
      <x:c r="GA150">
        <x:f t="shared" si="204"/>
        <x:v>0</x:v>
      </x:c>
      <x:c r="GB150">
        <x:f t="shared" si="205"/>
        <x:v>0</x:v>
      </x:c>
      <x:c r="GC150">
        <x:f t="shared" si="206"/>
        <x:v>0</x:v>
      </x:c>
      <x:c r="GD150">
        <x:f t="shared" si="207"/>
        <x:v>0</x:v>
      </x:c>
      <x:c r="GE150">
        <x:f t="shared" si="208"/>
        <x:v>0</x:v>
      </x:c>
      <x:c r="GF150">
        <x:f t="shared" si="209"/>
        <x:v>0</x:v>
      </x:c>
      <x:c r="GG150">
        <x:f t="shared" si="210"/>
        <x:v>0</x:v>
      </x:c>
      <x:c r="GH150">
        <x:f t="shared" si="211"/>
        <x:v>0</x:v>
      </x:c>
      <x:c r="GI150">
        <x:f t="shared" si="212"/>
        <x:v>0</x:v>
      </x:c>
      <x:c r="GJ150">
        <x:f t="shared" si="213"/>
        <x:v>0</x:v>
      </x:c>
      <x:c r="GK150">
        <x:f t="shared" si="214"/>
        <x:v>0</x:v>
      </x:c>
      <x:c r="GL150">
        <x:f t="shared" si="215"/>
        <x:v>0</x:v>
      </x:c>
      <x:c r="GM150">
        <x:f t="shared" si="216"/>
        <x:v>0</x:v>
      </x:c>
      <x:c r="GN150">
        <x:f t="shared" si="217"/>
        <x:v>0</x:v>
      </x:c>
      <x:c r="GO150">
        <x:f t="shared" si="218"/>
        <x:v>0</x:v>
      </x:c>
      <x:c r="GP150">
        <x:f t="shared" si="219"/>
        <x:v>0</x:v>
      </x:c>
      <x:c r="GQ150">
        <x:f t="shared" si="220"/>
        <x:v>0</x:v>
      </x:c>
      <x:c r="GR150" s="42">
        <x:f t="shared" si="221"/>
        <x:v>0</x:v>
      </x:c>
      <x:c r="GS150">
        <x:f t="shared" si="222"/>
        <x:v>0</x:v>
      </x:c>
      <x:c r="GT150">
        <x:f t="shared" si="223"/>
        <x:v>0</x:v>
      </x:c>
      <x:c r="GU150">
        <x:f t="shared" si="224"/>
        <x:v>0</x:v>
      </x:c>
      <x:c r="GV150">
        <x:f t="shared" si="225"/>
        <x:v>0</x:v>
      </x:c>
      <x:c r="GW150">
        <x:f t="shared" si="226"/>
        <x:v>0</x:v>
      </x:c>
      <x:c r="GX150">
        <x:f t="shared" si="227"/>
        <x:v>0</x:v>
      </x:c>
      <x:c r="GY150">
        <x:f t="shared" si="228"/>
        <x:v>0</x:v>
      </x:c>
      <x:c r="GZ150">
        <x:f t="shared" si="229"/>
        <x:v>0</x:v>
      </x:c>
      <x:c r="HA150">
        <x:f t="shared" si="230"/>
        <x:v>0</x:v>
      </x:c>
      <x:c r="HB150" s="42">
        <x:f t="shared" si="231"/>
        <x:v>0</x:v>
      </x:c>
      <x:c r="HC150">
        <x:f t="shared" si="232"/>
        <x:v>0</x:v>
      </x:c>
      <x:c r="HD150">
        <x:f t="shared" si="233"/>
        <x:v>0</x:v>
      </x:c>
      <x:c r="HE150">
        <x:f t="shared" si="234"/>
        <x:v>0</x:v>
      </x:c>
      <x:c r="HF150">
        <x:f t="shared" si="235"/>
        <x:v>0</x:v>
      </x:c>
      <x:c r="HG150">
        <x:f t="shared" si="236"/>
        <x:v>0</x:v>
      </x:c>
      <x:c r="HH150">
        <x:f t="shared" si="237"/>
        <x:v>0</x:v>
      </x:c>
      <x:c r="HI150">
        <x:f t="shared" si="238"/>
        <x:v>0</x:v>
      </x:c>
      <x:c r="HJ150">
        <x:f t="shared" si="239"/>
        <x:v>0</x:v>
      </x:c>
      <x:c r="HK150">
        <x:f t="shared" si="240"/>
        <x:v>0</x:v>
      </x:c>
      <x:c r="HL150">
        <x:f t="shared" si="241"/>
        <x:v>0</x:v>
      </x:c>
    </x:row>
    <x:row r="151">
      <x:c r="D151" s="74"/>
      <x:c r="EQ151">
        <x:f t="shared" si="168"/>
        <x:v>0</x:v>
      </x:c>
      <x:c r="ER151">
        <x:f t="shared" si="169"/>
        <x:v>0</x:v>
      </x:c>
      <x:c r="ES151">
        <x:f t="shared" si="170"/>
        <x:v>0</x:v>
      </x:c>
      <x:c r="ET151">
        <x:f t="shared" si="171"/>
        <x:v>0</x:v>
      </x:c>
      <x:c r="EU151">
        <x:f t="shared" si="172"/>
        <x:v>0</x:v>
      </x:c>
      <x:c r="EV151">
        <x:f t="shared" si="173"/>
        <x:v>0</x:v>
      </x:c>
      <x:c r="EW151">
        <x:f t="shared" si="174"/>
        <x:v>0</x:v>
      </x:c>
      <x:c r="EX151">
        <x:f t="shared" si="175"/>
        <x:v>0</x:v>
      </x:c>
      <x:c r="EY151">
        <x:f t="shared" si="176"/>
        <x:v>0</x:v>
      </x:c>
      <x:c r="EZ151">
        <x:f t="shared" si="177"/>
        <x:v>0</x:v>
      </x:c>
      <x:c r="FA151" s="41">
        <x:f t="shared" si="178"/>
        <x:v>0</x:v>
      </x:c>
      <x:c r="FB151">
        <x:f t="shared" si="179"/>
        <x:v>0</x:v>
      </x:c>
      <x:c r="FC151">
        <x:f t="shared" si="180"/>
        <x:v>0</x:v>
      </x:c>
      <x:c r="FD151">
        <x:f t="shared" si="181"/>
        <x:v>0</x:v>
      </x:c>
      <x:c r="FE151">
        <x:f t="shared" si="182"/>
        <x:v>0</x:v>
      </x:c>
      <x:c r="FF151">
        <x:f t="shared" si="183"/>
        <x:v>0</x:v>
      </x:c>
      <x:c r="FG151">
        <x:f t="shared" si="184"/>
        <x:v>0</x:v>
      </x:c>
      <x:c r="FH151">
        <x:f t="shared" si="185"/>
        <x:v>0</x:v>
      </x:c>
      <x:c r="FI151">
        <x:f t="shared" si="186"/>
        <x:v>0</x:v>
      </x:c>
      <x:c r="FJ151">
        <x:f t="shared" si="187"/>
        <x:v>0</x:v>
      </x:c>
      <x:c r="FK151">
        <x:f t="shared" si="188"/>
        <x:v>0</x:v>
      </x:c>
      <x:c r="FL151" s="41">
        <x:f t="shared" si="189"/>
        <x:v>0</x:v>
      </x:c>
      <x:c r="FM151">
        <x:f t="shared" si="190"/>
        <x:v>0</x:v>
      </x:c>
      <x:c r="FN151">
        <x:f t="shared" si="191"/>
        <x:v>0</x:v>
      </x:c>
      <x:c r="FO151">
        <x:f t="shared" si="192"/>
        <x:v>0</x:v>
      </x:c>
      <x:c r="FP151">
        <x:f t="shared" si="193"/>
        <x:v>0</x:v>
      </x:c>
      <x:c r="FQ151">
        <x:f t="shared" si="194"/>
        <x:v>0</x:v>
      </x:c>
      <x:c r="FR151">
        <x:f t="shared" si="195"/>
        <x:v>0</x:v>
      </x:c>
      <x:c r="FS151">
        <x:f t="shared" si="196"/>
        <x:v>0</x:v>
      </x:c>
      <x:c r="FT151">
        <x:f t="shared" si="197"/>
        <x:v>0</x:v>
      </x:c>
      <x:c r="FU151">
        <x:f t="shared" si="198"/>
        <x:v>0</x:v>
      </x:c>
      <x:c r="FV151">
        <x:f t="shared" si="199"/>
        <x:v>0</x:v>
      </x:c>
      <x:c r="FW151" s="41">
        <x:f t="shared" si="200"/>
        <x:v>0</x:v>
      </x:c>
      <x:c r="FX151">
        <x:f t="shared" si="201"/>
        <x:v>0</x:v>
      </x:c>
      <x:c r="FY151">
        <x:f t="shared" si="202"/>
        <x:v>0</x:v>
      </x:c>
      <x:c r="FZ151">
        <x:f t="shared" si="203"/>
        <x:v>0</x:v>
      </x:c>
      <x:c r="GA151">
        <x:f t="shared" si="204"/>
        <x:v>0</x:v>
      </x:c>
      <x:c r="GB151">
        <x:f t="shared" si="205"/>
        <x:v>0</x:v>
      </x:c>
      <x:c r="GC151">
        <x:f t="shared" si="206"/>
        <x:v>0</x:v>
      </x:c>
      <x:c r="GD151">
        <x:f t="shared" si="207"/>
        <x:v>0</x:v>
      </x:c>
      <x:c r="GE151">
        <x:f t="shared" si="208"/>
        <x:v>0</x:v>
      </x:c>
      <x:c r="GF151">
        <x:f t="shared" si="209"/>
        <x:v>0</x:v>
      </x:c>
      <x:c r="GG151">
        <x:f t="shared" si="210"/>
        <x:v>0</x:v>
      </x:c>
      <x:c r="GH151">
        <x:f t="shared" si="211"/>
        <x:v>0</x:v>
      </x:c>
      <x:c r="GI151">
        <x:f t="shared" si="212"/>
        <x:v>0</x:v>
      </x:c>
      <x:c r="GJ151">
        <x:f t="shared" si="213"/>
        <x:v>0</x:v>
      </x:c>
      <x:c r="GK151">
        <x:f t="shared" si="214"/>
        <x:v>0</x:v>
      </x:c>
      <x:c r="GL151">
        <x:f t="shared" si="215"/>
        <x:v>0</x:v>
      </x:c>
      <x:c r="GM151">
        <x:f t="shared" si="216"/>
        <x:v>0</x:v>
      </x:c>
      <x:c r="GN151">
        <x:f t="shared" si="217"/>
        <x:v>0</x:v>
      </x:c>
      <x:c r="GO151">
        <x:f t="shared" si="218"/>
        <x:v>0</x:v>
      </x:c>
      <x:c r="GP151">
        <x:f t="shared" si="219"/>
        <x:v>0</x:v>
      </x:c>
      <x:c r="GQ151">
        <x:f t="shared" si="220"/>
        <x:v>0</x:v>
      </x:c>
      <x:c r="GR151" s="42">
        <x:f t="shared" si="221"/>
        <x:v>0</x:v>
      </x:c>
      <x:c r="GS151">
        <x:f t="shared" si="222"/>
        <x:v>0</x:v>
      </x:c>
      <x:c r="GT151">
        <x:f t="shared" si="223"/>
        <x:v>0</x:v>
      </x:c>
      <x:c r="GU151">
        <x:f t="shared" si="224"/>
        <x:v>0</x:v>
      </x:c>
      <x:c r="GV151">
        <x:f t="shared" si="225"/>
        <x:v>0</x:v>
      </x:c>
      <x:c r="GW151">
        <x:f t="shared" si="226"/>
        <x:v>0</x:v>
      </x:c>
      <x:c r="GX151">
        <x:f t="shared" si="227"/>
        <x:v>0</x:v>
      </x:c>
      <x:c r="GY151">
        <x:f t="shared" si="228"/>
        <x:v>0</x:v>
      </x:c>
      <x:c r="GZ151">
        <x:f t="shared" si="229"/>
        <x:v>0</x:v>
      </x:c>
      <x:c r="HA151">
        <x:f t="shared" si="230"/>
        <x:v>0</x:v>
      </x:c>
      <x:c r="HB151" s="42">
        <x:f t="shared" si="231"/>
        <x:v>0</x:v>
      </x:c>
      <x:c r="HC151">
        <x:f t="shared" si="232"/>
        <x:v>0</x:v>
      </x:c>
      <x:c r="HD151">
        <x:f t="shared" si="233"/>
        <x:v>0</x:v>
      </x:c>
      <x:c r="HE151">
        <x:f t="shared" si="234"/>
        <x:v>0</x:v>
      </x:c>
      <x:c r="HF151">
        <x:f t="shared" si="235"/>
        <x:v>0</x:v>
      </x:c>
      <x:c r="HG151">
        <x:f t="shared" si="236"/>
        <x:v>0</x:v>
      </x:c>
      <x:c r="HH151">
        <x:f t="shared" si="237"/>
        <x:v>0</x:v>
      </x:c>
      <x:c r="HI151">
        <x:f t="shared" si="238"/>
        <x:v>0</x:v>
      </x:c>
      <x:c r="HJ151">
        <x:f t="shared" si="239"/>
        <x:v>0</x:v>
      </x:c>
      <x:c r="HK151">
        <x:f t="shared" si="240"/>
        <x:v>0</x:v>
      </x:c>
      <x:c r="HL151">
        <x:f t="shared" si="241"/>
        <x:v>0</x:v>
      </x:c>
    </x:row>
    <x:row r="152">
      <x:c r="D152" s="74"/>
      <x:c r="EQ152">
        <x:f t="shared" si="168"/>
        <x:v>0</x:v>
      </x:c>
      <x:c r="ER152">
        <x:f t="shared" si="169"/>
        <x:v>0</x:v>
      </x:c>
      <x:c r="ES152">
        <x:f t="shared" si="170"/>
        <x:v>0</x:v>
      </x:c>
      <x:c r="ET152">
        <x:f t="shared" si="171"/>
        <x:v>0</x:v>
      </x:c>
      <x:c r="EU152">
        <x:f t="shared" si="172"/>
        <x:v>0</x:v>
      </x:c>
      <x:c r="EV152">
        <x:f t="shared" si="173"/>
        <x:v>0</x:v>
      </x:c>
      <x:c r="EW152">
        <x:f t="shared" si="174"/>
        <x:v>0</x:v>
      </x:c>
      <x:c r="EX152">
        <x:f t="shared" si="175"/>
        <x:v>0</x:v>
      </x:c>
      <x:c r="EY152">
        <x:f t="shared" si="176"/>
        <x:v>0</x:v>
      </x:c>
      <x:c r="EZ152">
        <x:f t="shared" si="177"/>
        <x:v>0</x:v>
      </x:c>
      <x:c r="FA152" s="41">
        <x:f t="shared" si="178"/>
        <x:v>0</x:v>
      </x:c>
      <x:c r="FB152">
        <x:f t="shared" si="179"/>
        <x:v>0</x:v>
      </x:c>
      <x:c r="FC152">
        <x:f t="shared" si="180"/>
        <x:v>0</x:v>
      </x:c>
      <x:c r="FD152">
        <x:f t="shared" si="181"/>
        <x:v>0</x:v>
      </x:c>
      <x:c r="FE152">
        <x:f t="shared" si="182"/>
        <x:v>0</x:v>
      </x:c>
      <x:c r="FF152">
        <x:f t="shared" si="183"/>
        <x:v>0</x:v>
      </x:c>
      <x:c r="FG152">
        <x:f t="shared" si="184"/>
        <x:v>0</x:v>
      </x:c>
      <x:c r="FH152">
        <x:f t="shared" si="185"/>
        <x:v>0</x:v>
      </x:c>
      <x:c r="FI152">
        <x:f t="shared" si="186"/>
        <x:v>0</x:v>
      </x:c>
      <x:c r="FJ152">
        <x:f t="shared" si="187"/>
        <x:v>0</x:v>
      </x:c>
      <x:c r="FK152">
        <x:f t="shared" si="188"/>
        <x:v>0</x:v>
      </x:c>
      <x:c r="FL152" s="41">
        <x:f t="shared" si="189"/>
        <x:v>0</x:v>
      </x:c>
      <x:c r="FM152">
        <x:f t="shared" si="190"/>
        <x:v>0</x:v>
      </x:c>
      <x:c r="FN152">
        <x:f t="shared" si="191"/>
        <x:v>0</x:v>
      </x:c>
      <x:c r="FO152">
        <x:f t="shared" si="192"/>
        <x:v>0</x:v>
      </x:c>
      <x:c r="FP152">
        <x:f t="shared" si="193"/>
        <x:v>0</x:v>
      </x:c>
      <x:c r="FQ152">
        <x:f t="shared" si="194"/>
        <x:v>0</x:v>
      </x:c>
      <x:c r="FR152">
        <x:f t="shared" si="195"/>
        <x:v>0</x:v>
      </x:c>
      <x:c r="FS152">
        <x:f t="shared" si="196"/>
        <x:v>0</x:v>
      </x:c>
      <x:c r="FT152">
        <x:f t="shared" si="197"/>
        <x:v>0</x:v>
      </x:c>
      <x:c r="FU152">
        <x:f t="shared" si="198"/>
        <x:v>0</x:v>
      </x:c>
      <x:c r="FV152">
        <x:f t="shared" si="199"/>
        <x:v>0</x:v>
      </x:c>
      <x:c r="FW152" s="41">
        <x:f t="shared" si="200"/>
        <x:v>0</x:v>
      </x:c>
      <x:c r="FX152">
        <x:f t="shared" si="201"/>
        <x:v>0</x:v>
      </x:c>
      <x:c r="FY152">
        <x:f t="shared" si="202"/>
        <x:v>0</x:v>
      </x:c>
      <x:c r="FZ152">
        <x:f t="shared" si="203"/>
        <x:v>0</x:v>
      </x:c>
      <x:c r="GA152">
        <x:f t="shared" si="204"/>
        <x:v>0</x:v>
      </x:c>
      <x:c r="GB152">
        <x:f t="shared" si="205"/>
        <x:v>0</x:v>
      </x:c>
      <x:c r="GC152">
        <x:f t="shared" si="206"/>
        <x:v>0</x:v>
      </x:c>
      <x:c r="GD152">
        <x:f t="shared" si="207"/>
        <x:v>0</x:v>
      </x:c>
      <x:c r="GE152">
        <x:f t="shared" si="208"/>
        <x:v>0</x:v>
      </x:c>
      <x:c r="GF152">
        <x:f t="shared" si="209"/>
        <x:v>0</x:v>
      </x:c>
      <x:c r="GG152">
        <x:f t="shared" si="210"/>
        <x:v>0</x:v>
      </x:c>
      <x:c r="GH152">
        <x:f t="shared" si="211"/>
        <x:v>0</x:v>
      </x:c>
      <x:c r="GI152">
        <x:f t="shared" si="212"/>
        <x:v>0</x:v>
      </x:c>
      <x:c r="GJ152">
        <x:f t="shared" si="213"/>
        <x:v>0</x:v>
      </x:c>
      <x:c r="GK152">
        <x:f t="shared" si="214"/>
        <x:v>0</x:v>
      </x:c>
      <x:c r="GL152">
        <x:f t="shared" si="215"/>
        <x:v>0</x:v>
      </x:c>
      <x:c r="GM152">
        <x:f t="shared" si="216"/>
        <x:v>0</x:v>
      </x:c>
      <x:c r="GN152">
        <x:f t="shared" si="217"/>
        <x:v>0</x:v>
      </x:c>
      <x:c r="GO152">
        <x:f t="shared" si="218"/>
        <x:v>0</x:v>
      </x:c>
      <x:c r="GP152">
        <x:f t="shared" si="219"/>
        <x:v>0</x:v>
      </x:c>
      <x:c r="GQ152">
        <x:f t="shared" si="220"/>
        <x:v>0</x:v>
      </x:c>
      <x:c r="GR152" s="42">
        <x:f t="shared" si="221"/>
        <x:v>0</x:v>
      </x:c>
      <x:c r="GS152">
        <x:f t="shared" si="222"/>
        <x:v>0</x:v>
      </x:c>
      <x:c r="GT152">
        <x:f t="shared" si="223"/>
        <x:v>0</x:v>
      </x:c>
      <x:c r="GU152">
        <x:f t="shared" si="224"/>
        <x:v>0</x:v>
      </x:c>
      <x:c r="GV152">
        <x:f t="shared" si="225"/>
        <x:v>0</x:v>
      </x:c>
      <x:c r="GW152">
        <x:f t="shared" si="226"/>
        <x:v>0</x:v>
      </x:c>
      <x:c r="GX152">
        <x:f t="shared" si="227"/>
        <x:v>0</x:v>
      </x:c>
      <x:c r="GY152">
        <x:f t="shared" si="228"/>
        <x:v>0</x:v>
      </x:c>
      <x:c r="GZ152">
        <x:f t="shared" si="229"/>
        <x:v>0</x:v>
      </x:c>
      <x:c r="HA152">
        <x:f t="shared" si="230"/>
        <x:v>0</x:v>
      </x:c>
      <x:c r="HB152" s="42">
        <x:f t="shared" si="231"/>
        <x:v>0</x:v>
      </x:c>
      <x:c r="HC152">
        <x:f t="shared" si="232"/>
        <x:v>0</x:v>
      </x:c>
      <x:c r="HD152">
        <x:f t="shared" si="233"/>
        <x:v>0</x:v>
      </x:c>
      <x:c r="HE152">
        <x:f t="shared" si="234"/>
        <x:v>0</x:v>
      </x:c>
      <x:c r="HF152">
        <x:f t="shared" si="235"/>
        <x:v>0</x:v>
      </x:c>
      <x:c r="HG152">
        <x:f t="shared" si="236"/>
        <x:v>0</x:v>
      </x:c>
      <x:c r="HH152">
        <x:f t="shared" si="237"/>
        <x:v>0</x:v>
      </x:c>
      <x:c r="HI152">
        <x:f t="shared" si="238"/>
        <x:v>0</x:v>
      </x:c>
      <x:c r="HJ152">
        <x:f t="shared" si="239"/>
        <x:v>0</x:v>
      </x:c>
      <x:c r="HK152">
        <x:f t="shared" si="240"/>
        <x:v>0</x:v>
      </x:c>
      <x:c r="HL152">
        <x:f t="shared" si="241"/>
        <x:v>0</x:v>
      </x:c>
    </x:row>
    <x:row r="153">
      <x:c r="D153" s="74"/>
      <x:c r="EQ153">
        <x:f t="shared" si="168"/>
        <x:v>0</x:v>
      </x:c>
      <x:c r="ER153">
        <x:f t="shared" si="169"/>
        <x:v>0</x:v>
      </x:c>
      <x:c r="ES153">
        <x:f t="shared" si="170"/>
        <x:v>0</x:v>
      </x:c>
      <x:c r="ET153">
        <x:f t="shared" si="171"/>
        <x:v>0</x:v>
      </x:c>
      <x:c r="EU153">
        <x:f t="shared" si="172"/>
        <x:v>0</x:v>
      </x:c>
      <x:c r="EV153">
        <x:f t="shared" si="173"/>
        <x:v>0</x:v>
      </x:c>
      <x:c r="EW153">
        <x:f t="shared" si="174"/>
        <x:v>0</x:v>
      </x:c>
      <x:c r="EX153">
        <x:f t="shared" si="175"/>
        <x:v>0</x:v>
      </x:c>
      <x:c r="EY153">
        <x:f t="shared" si="176"/>
        <x:v>0</x:v>
      </x:c>
      <x:c r="EZ153">
        <x:f t="shared" si="177"/>
        <x:v>0</x:v>
      </x:c>
      <x:c r="FA153" s="41">
        <x:f t="shared" si="178"/>
        <x:v>0</x:v>
      </x:c>
      <x:c r="FB153">
        <x:f t="shared" si="179"/>
        <x:v>0</x:v>
      </x:c>
      <x:c r="FC153">
        <x:f t="shared" si="180"/>
        <x:v>0</x:v>
      </x:c>
      <x:c r="FD153">
        <x:f t="shared" si="181"/>
        <x:v>0</x:v>
      </x:c>
      <x:c r="FE153">
        <x:f t="shared" si="182"/>
        <x:v>0</x:v>
      </x:c>
      <x:c r="FF153">
        <x:f t="shared" si="183"/>
        <x:v>0</x:v>
      </x:c>
      <x:c r="FG153">
        <x:f t="shared" si="184"/>
        <x:v>0</x:v>
      </x:c>
      <x:c r="FH153">
        <x:f t="shared" si="185"/>
        <x:v>0</x:v>
      </x:c>
      <x:c r="FI153">
        <x:f t="shared" si="186"/>
        <x:v>0</x:v>
      </x:c>
      <x:c r="FJ153">
        <x:f t="shared" si="187"/>
        <x:v>0</x:v>
      </x:c>
      <x:c r="FK153">
        <x:f t="shared" si="188"/>
        <x:v>0</x:v>
      </x:c>
      <x:c r="FL153" s="41">
        <x:f t="shared" si="189"/>
        <x:v>0</x:v>
      </x:c>
      <x:c r="FM153">
        <x:f t="shared" si="190"/>
        <x:v>0</x:v>
      </x:c>
      <x:c r="FN153">
        <x:f t="shared" si="191"/>
        <x:v>0</x:v>
      </x:c>
      <x:c r="FO153">
        <x:f t="shared" si="192"/>
        <x:v>0</x:v>
      </x:c>
      <x:c r="FP153">
        <x:f t="shared" si="193"/>
        <x:v>0</x:v>
      </x:c>
      <x:c r="FQ153">
        <x:f t="shared" si="194"/>
        <x:v>0</x:v>
      </x:c>
      <x:c r="FR153">
        <x:f t="shared" si="195"/>
        <x:v>0</x:v>
      </x:c>
      <x:c r="FS153">
        <x:f t="shared" si="196"/>
        <x:v>0</x:v>
      </x:c>
      <x:c r="FT153">
        <x:f t="shared" si="197"/>
        <x:v>0</x:v>
      </x:c>
      <x:c r="FU153">
        <x:f t="shared" si="198"/>
        <x:v>0</x:v>
      </x:c>
      <x:c r="FV153">
        <x:f t="shared" si="199"/>
        <x:v>0</x:v>
      </x:c>
      <x:c r="FW153" s="41">
        <x:f t="shared" si="200"/>
        <x:v>0</x:v>
      </x:c>
      <x:c r="FX153">
        <x:f t="shared" si="201"/>
        <x:v>0</x:v>
      </x:c>
      <x:c r="FY153">
        <x:f t="shared" si="202"/>
        <x:v>0</x:v>
      </x:c>
      <x:c r="FZ153">
        <x:f t="shared" si="203"/>
        <x:v>0</x:v>
      </x:c>
      <x:c r="GA153">
        <x:f t="shared" si="204"/>
        <x:v>0</x:v>
      </x:c>
      <x:c r="GB153">
        <x:f t="shared" si="205"/>
        <x:v>0</x:v>
      </x:c>
      <x:c r="GC153">
        <x:f t="shared" si="206"/>
        <x:v>0</x:v>
      </x:c>
      <x:c r="GD153">
        <x:f t="shared" si="207"/>
        <x:v>0</x:v>
      </x:c>
      <x:c r="GE153">
        <x:f t="shared" si="208"/>
        <x:v>0</x:v>
      </x:c>
      <x:c r="GF153">
        <x:f t="shared" si="209"/>
        <x:v>0</x:v>
      </x:c>
      <x:c r="GG153">
        <x:f t="shared" si="210"/>
        <x:v>0</x:v>
      </x:c>
      <x:c r="GH153">
        <x:f t="shared" si="211"/>
        <x:v>0</x:v>
      </x:c>
      <x:c r="GI153">
        <x:f t="shared" si="212"/>
        <x:v>0</x:v>
      </x:c>
      <x:c r="GJ153">
        <x:f t="shared" si="213"/>
        <x:v>0</x:v>
      </x:c>
      <x:c r="GK153">
        <x:f t="shared" si="214"/>
        <x:v>0</x:v>
      </x:c>
      <x:c r="GL153">
        <x:f t="shared" si="215"/>
        <x:v>0</x:v>
      </x:c>
      <x:c r="GM153">
        <x:f t="shared" si="216"/>
        <x:v>0</x:v>
      </x:c>
      <x:c r="GN153">
        <x:f t="shared" si="217"/>
        <x:v>0</x:v>
      </x:c>
      <x:c r="GO153">
        <x:f t="shared" si="218"/>
        <x:v>0</x:v>
      </x:c>
      <x:c r="GP153">
        <x:f t="shared" si="219"/>
        <x:v>0</x:v>
      </x:c>
      <x:c r="GQ153">
        <x:f t="shared" si="220"/>
        <x:v>0</x:v>
      </x:c>
      <x:c r="GR153" s="42">
        <x:f t="shared" si="221"/>
        <x:v>0</x:v>
      </x:c>
      <x:c r="GS153">
        <x:f t="shared" si="222"/>
        <x:v>0</x:v>
      </x:c>
      <x:c r="GT153">
        <x:f t="shared" si="223"/>
        <x:v>0</x:v>
      </x:c>
      <x:c r="GU153">
        <x:f t="shared" si="224"/>
        <x:v>0</x:v>
      </x:c>
      <x:c r="GV153">
        <x:f t="shared" si="225"/>
        <x:v>0</x:v>
      </x:c>
      <x:c r="GW153">
        <x:f t="shared" si="226"/>
        <x:v>0</x:v>
      </x:c>
      <x:c r="GX153">
        <x:f t="shared" si="227"/>
        <x:v>0</x:v>
      </x:c>
      <x:c r="GY153">
        <x:f t="shared" si="228"/>
        <x:v>0</x:v>
      </x:c>
      <x:c r="GZ153">
        <x:f t="shared" si="229"/>
        <x:v>0</x:v>
      </x:c>
      <x:c r="HA153">
        <x:f t="shared" si="230"/>
        <x:v>0</x:v>
      </x:c>
      <x:c r="HB153" s="42">
        <x:f t="shared" si="231"/>
        <x:v>0</x:v>
      </x:c>
      <x:c r="HC153">
        <x:f t="shared" si="232"/>
        <x:v>0</x:v>
      </x:c>
      <x:c r="HD153">
        <x:f t="shared" si="233"/>
        <x:v>0</x:v>
      </x:c>
      <x:c r="HE153">
        <x:f t="shared" si="234"/>
        <x:v>0</x:v>
      </x:c>
      <x:c r="HF153">
        <x:f t="shared" si="235"/>
        <x:v>0</x:v>
      </x:c>
      <x:c r="HG153">
        <x:f t="shared" si="236"/>
        <x:v>0</x:v>
      </x:c>
      <x:c r="HH153">
        <x:f t="shared" si="237"/>
        <x:v>0</x:v>
      </x:c>
      <x:c r="HI153">
        <x:f t="shared" si="238"/>
        <x:v>0</x:v>
      </x:c>
      <x:c r="HJ153">
        <x:f t="shared" si="239"/>
        <x:v>0</x:v>
      </x:c>
      <x:c r="HK153">
        <x:f t="shared" si="240"/>
        <x:v>0</x:v>
      </x:c>
      <x:c r="HL153">
        <x:f t="shared" si="241"/>
        <x:v>0</x:v>
      </x:c>
    </x:row>
    <x:row r="154">
      <x:c r="D154" s="74"/>
      <x:c r="EQ154">
        <x:f t="shared" si="168"/>
        <x:v>0</x:v>
      </x:c>
      <x:c r="ER154">
        <x:f t="shared" si="169"/>
        <x:v>0</x:v>
      </x:c>
      <x:c r="ES154">
        <x:f t="shared" si="170"/>
        <x:v>0</x:v>
      </x:c>
      <x:c r="ET154">
        <x:f t="shared" si="171"/>
        <x:v>0</x:v>
      </x:c>
      <x:c r="EU154">
        <x:f t="shared" si="172"/>
        <x:v>0</x:v>
      </x:c>
      <x:c r="EV154">
        <x:f t="shared" si="173"/>
        <x:v>0</x:v>
      </x:c>
      <x:c r="EW154">
        <x:f t="shared" si="174"/>
        <x:v>0</x:v>
      </x:c>
      <x:c r="EX154">
        <x:f t="shared" si="175"/>
        <x:v>0</x:v>
      </x:c>
      <x:c r="EY154">
        <x:f t="shared" si="176"/>
        <x:v>0</x:v>
      </x:c>
      <x:c r="EZ154">
        <x:f t="shared" si="177"/>
        <x:v>0</x:v>
      </x:c>
      <x:c r="FA154" s="41">
        <x:f t="shared" si="178"/>
        <x:v>0</x:v>
      </x:c>
      <x:c r="FB154">
        <x:f t="shared" si="179"/>
        <x:v>0</x:v>
      </x:c>
      <x:c r="FC154">
        <x:f t="shared" si="180"/>
        <x:v>0</x:v>
      </x:c>
      <x:c r="FD154">
        <x:f t="shared" si="181"/>
        <x:v>0</x:v>
      </x:c>
      <x:c r="FE154">
        <x:f t="shared" si="182"/>
        <x:v>0</x:v>
      </x:c>
      <x:c r="FF154">
        <x:f t="shared" si="183"/>
        <x:v>0</x:v>
      </x:c>
      <x:c r="FG154">
        <x:f t="shared" si="184"/>
        <x:v>0</x:v>
      </x:c>
      <x:c r="FH154">
        <x:f t="shared" si="185"/>
        <x:v>0</x:v>
      </x:c>
      <x:c r="FI154">
        <x:f t="shared" si="186"/>
        <x:v>0</x:v>
      </x:c>
      <x:c r="FJ154">
        <x:f t="shared" si="187"/>
        <x:v>0</x:v>
      </x:c>
      <x:c r="FK154">
        <x:f t="shared" si="188"/>
        <x:v>0</x:v>
      </x:c>
      <x:c r="FL154" s="41">
        <x:f t="shared" si="189"/>
        <x:v>0</x:v>
      </x:c>
      <x:c r="FM154">
        <x:f t="shared" si="190"/>
        <x:v>0</x:v>
      </x:c>
      <x:c r="FN154">
        <x:f t="shared" si="191"/>
        <x:v>0</x:v>
      </x:c>
      <x:c r="FO154">
        <x:f t="shared" si="192"/>
        <x:v>0</x:v>
      </x:c>
      <x:c r="FP154">
        <x:f t="shared" si="193"/>
        <x:v>0</x:v>
      </x:c>
      <x:c r="FQ154">
        <x:f t="shared" si="194"/>
        <x:v>0</x:v>
      </x:c>
      <x:c r="FR154">
        <x:f t="shared" si="195"/>
        <x:v>0</x:v>
      </x:c>
      <x:c r="FS154">
        <x:f t="shared" si="196"/>
        <x:v>0</x:v>
      </x:c>
      <x:c r="FT154">
        <x:f t="shared" si="197"/>
        <x:v>0</x:v>
      </x:c>
      <x:c r="FU154">
        <x:f t="shared" si="198"/>
        <x:v>0</x:v>
      </x:c>
      <x:c r="FV154">
        <x:f t="shared" si="199"/>
        <x:v>0</x:v>
      </x:c>
      <x:c r="FW154" s="41">
        <x:f t="shared" si="200"/>
        <x:v>0</x:v>
      </x:c>
      <x:c r="FX154">
        <x:f t="shared" si="201"/>
        <x:v>0</x:v>
      </x:c>
      <x:c r="FY154">
        <x:f t="shared" si="202"/>
        <x:v>0</x:v>
      </x:c>
      <x:c r="FZ154">
        <x:f t="shared" si="203"/>
        <x:v>0</x:v>
      </x:c>
      <x:c r="GA154">
        <x:f t="shared" si="204"/>
        <x:v>0</x:v>
      </x:c>
      <x:c r="GB154">
        <x:f t="shared" si="205"/>
        <x:v>0</x:v>
      </x:c>
      <x:c r="GC154">
        <x:f t="shared" si="206"/>
        <x:v>0</x:v>
      </x:c>
      <x:c r="GD154">
        <x:f t="shared" si="207"/>
        <x:v>0</x:v>
      </x:c>
      <x:c r="GE154">
        <x:f t="shared" si="208"/>
        <x:v>0</x:v>
      </x:c>
      <x:c r="GF154">
        <x:f t="shared" si="209"/>
        <x:v>0</x:v>
      </x:c>
      <x:c r="GG154">
        <x:f t="shared" si="210"/>
        <x:v>0</x:v>
      </x:c>
      <x:c r="GH154">
        <x:f t="shared" si="211"/>
        <x:v>0</x:v>
      </x:c>
      <x:c r="GI154">
        <x:f t="shared" si="212"/>
        <x:v>0</x:v>
      </x:c>
      <x:c r="GJ154">
        <x:f t="shared" si="213"/>
        <x:v>0</x:v>
      </x:c>
      <x:c r="GK154">
        <x:f t="shared" si="214"/>
        <x:v>0</x:v>
      </x:c>
      <x:c r="GL154">
        <x:f t="shared" si="215"/>
        <x:v>0</x:v>
      </x:c>
      <x:c r="GM154">
        <x:f t="shared" si="216"/>
        <x:v>0</x:v>
      </x:c>
      <x:c r="GN154">
        <x:f t="shared" si="217"/>
        <x:v>0</x:v>
      </x:c>
      <x:c r="GO154">
        <x:f t="shared" si="218"/>
        <x:v>0</x:v>
      </x:c>
      <x:c r="GP154">
        <x:f t="shared" si="219"/>
        <x:v>0</x:v>
      </x:c>
      <x:c r="GQ154">
        <x:f t="shared" si="220"/>
        <x:v>0</x:v>
      </x:c>
      <x:c r="GR154" s="42">
        <x:f t="shared" si="221"/>
        <x:v>0</x:v>
      </x:c>
      <x:c r="GS154">
        <x:f t="shared" si="222"/>
        <x:v>0</x:v>
      </x:c>
      <x:c r="GT154">
        <x:f t="shared" si="223"/>
        <x:v>0</x:v>
      </x:c>
      <x:c r="GU154">
        <x:f t="shared" si="224"/>
        <x:v>0</x:v>
      </x:c>
      <x:c r="GV154">
        <x:f t="shared" si="225"/>
        <x:v>0</x:v>
      </x:c>
      <x:c r="GW154">
        <x:f t="shared" si="226"/>
        <x:v>0</x:v>
      </x:c>
      <x:c r="GX154">
        <x:f t="shared" si="227"/>
        <x:v>0</x:v>
      </x:c>
      <x:c r="GY154">
        <x:f t="shared" si="228"/>
        <x:v>0</x:v>
      </x:c>
      <x:c r="GZ154">
        <x:f t="shared" si="229"/>
        <x:v>0</x:v>
      </x:c>
      <x:c r="HA154">
        <x:f t="shared" si="230"/>
        <x:v>0</x:v>
      </x:c>
      <x:c r="HB154" s="42">
        <x:f t="shared" si="231"/>
        <x:v>0</x:v>
      </x:c>
      <x:c r="HC154">
        <x:f t="shared" si="232"/>
        <x:v>0</x:v>
      </x:c>
      <x:c r="HD154">
        <x:f t="shared" si="233"/>
        <x:v>0</x:v>
      </x:c>
      <x:c r="HE154">
        <x:f t="shared" si="234"/>
        <x:v>0</x:v>
      </x:c>
      <x:c r="HF154">
        <x:f t="shared" si="235"/>
        <x:v>0</x:v>
      </x:c>
      <x:c r="HG154">
        <x:f t="shared" si="236"/>
        <x:v>0</x:v>
      </x:c>
      <x:c r="HH154">
        <x:f t="shared" si="237"/>
        <x:v>0</x:v>
      </x:c>
      <x:c r="HI154">
        <x:f t="shared" si="238"/>
        <x:v>0</x:v>
      </x:c>
      <x:c r="HJ154">
        <x:f t="shared" si="239"/>
        <x:v>0</x:v>
      </x:c>
      <x:c r="HK154">
        <x:f t="shared" si="240"/>
        <x:v>0</x:v>
      </x:c>
      <x:c r="HL154">
        <x:f t="shared" si="241"/>
        <x:v>0</x:v>
      </x:c>
    </x:row>
    <x:row r="155">
      <x:c r="D155" s="74"/>
      <x:c r="EQ155">
        <x:f t="shared" si="168"/>
        <x:v>0</x:v>
      </x:c>
      <x:c r="ER155">
        <x:f t="shared" si="169"/>
        <x:v>0</x:v>
      </x:c>
      <x:c r="ES155">
        <x:f t="shared" si="170"/>
        <x:v>0</x:v>
      </x:c>
      <x:c r="ET155">
        <x:f t="shared" si="171"/>
        <x:v>0</x:v>
      </x:c>
      <x:c r="EU155">
        <x:f t="shared" si="172"/>
        <x:v>0</x:v>
      </x:c>
      <x:c r="EV155">
        <x:f t="shared" si="173"/>
        <x:v>0</x:v>
      </x:c>
      <x:c r="EW155">
        <x:f t="shared" si="174"/>
        <x:v>0</x:v>
      </x:c>
      <x:c r="EX155">
        <x:f t="shared" si="175"/>
        <x:v>0</x:v>
      </x:c>
      <x:c r="EY155">
        <x:f t="shared" si="176"/>
        <x:v>0</x:v>
      </x:c>
      <x:c r="EZ155">
        <x:f t="shared" si="177"/>
        <x:v>0</x:v>
      </x:c>
      <x:c r="FA155" s="41">
        <x:f t="shared" si="178"/>
        <x:v>0</x:v>
      </x:c>
      <x:c r="FB155">
        <x:f t="shared" si="179"/>
        <x:v>0</x:v>
      </x:c>
      <x:c r="FC155">
        <x:f t="shared" si="180"/>
        <x:v>0</x:v>
      </x:c>
      <x:c r="FD155">
        <x:f t="shared" si="181"/>
        <x:v>0</x:v>
      </x:c>
      <x:c r="FE155">
        <x:f t="shared" si="182"/>
        <x:v>0</x:v>
      </x:c>
      <x:c r="FF155">
        <x:f t="shared" si="183"/>
        <x:v>0</x:v>
      </x:c>
      <x:c r="FG155">
        <x:f t="shared" si="184"/>
        <x:v>0</x:v>
      </x:c>
      <x:c r="FH155">
        <x:f t="shared" si="185"/>
        <x:v>0</x:v>
      </x:c>
      <x:c r="FI155">
        <x:f t="shared" si="186"/>
        <x:v>0</x:v>
      </x:c>
      <x:c r="FJ155">
        <x:f t="shared" si="187"/>
        <x:v>0</x:v>
      </x:c>
      <x:c r="FK155">
        <x:f t="shared" si="188"/>
        <x:v>0</x:v>
      </x:c>
      <x:c r="FL155" s="41">
        <x:f t="shared" si="189"/>
        <x:v>0</x:v>
      </x:c>
      <x:c r="FM155">
        <x:f t="shared" si="190"/>
        <x:v>0</x:v>
      </x:c>
      <x:c r="FN155">
        <x:f t="shared" si="191"/>
        <x:v>0</x:v>
      </x:c>
      <x:c r="FO155">
        <x:f t="shared" si="192"/>
        <x:v>0</x:v>
      </x:c>
      <x:c r="FP155">
        <x:f t="shared" si="193"/>
        <x:v>0</x:v>
      </x:c>
      <x:c r="FQ155">
        <x:f t="shared" si="194"/>
        <x:v>0</x:v>
      </x:c>
      <x:c r="FR155">
        <x:f t="shared" si="195"/>
        <x:v>0</x:v>
      </x:c>
      <x:c r="FS155">
        <x:f t="shared" si="196"/>
        <x:v>0</x:v>
      </x:c>
      <x:c r="FT155">
        <x:f t="shared" si="197"/>
        <x:v>0</x:v>
      </x:c>
      <x:c r="FU155">
        <x:f t="shared" si="198"/>
        <x:v>0</x:v>
      </x:c>
      <x:c r="FV155">
        <x:f t="shared" si="199"/>
        <x:v>0</x:v>
      </x:c>
      <x:c r="FW155" s="41">
        <x:f t="shared" si="200"/>
        <x:v>0</x:v>
      </x:c>
      <x:c r="FX155">
        <x:f t="shared" si="201"/>
        <x:v>0</x:v>
      </x:c>
      <x:c r="FY155">
        <x:f t="shared" si="202"/>
        <x:v>0</x:v>
      </x:c>
      <x:c r="FZ155">
        <x:f t="shared" si="203"/>
        <x:v>0</x:v>
      </x:c>
      <x:c r="GA155">
        <x:f t="shared" si="204"/>
        <x:v>0</x:v>
      </x:c>
      <x:c r="GB155">
        <x:f t="shared" si="205"/>
        <x:v>0</x:v>
      </x:c>
      <x:c r="GC155">
        <x:f t="shared" si="206"/>
        <x:v>0</x:v>
      </x:c>
      <x:c r="GD155">
        <x:f t="shared" si="207"/>
        <x:v>0</x:v>
      </x:c>
      <x:c r="GE155">
        <x:f t="shared" si="208"/>
        <x:v>0</x:v>
      </x:c>
      <x:c r="GF155">
        <x:f t="shared" si="209"/>
        <x:v>0</x:v>
      </x:c>
      <x:c r="GG155">
        <x:f t="shared" si="210"/>
        <x:v>0</x:v>
      </x:c>
      <x:c r="GH155">
        <x:f t="shared" si="211"/>
        <x:v>0</x:v>
      </x:c>
      <x:c r="GI155">
        <x:f t="shared" si="212"/>
        <x:v>0</x:v>
      </x:c>
      <x:c r="GJ155">
        <x:f t="shared" si="213"/>
        <x:v>0</x:v>
      </x:c>
      <x:c r="GK155">
        <x:f t="shared" si="214"/>
        <x:v>0</x:v>
      </x:c>
      <x:c r="GL155">
        <x:f t="shared" si="215"/>
        <x:v>0</x:v>
      </x:c>
      <x:c r="GM155">
        <x:f t="shared" si="216"/>
        <x:v>0</x:v>
      </x:c>
      <x:c r="GN155">
        <x:f t="shared" si="217"/>
        <x:v>0</x:v>
      </x:c>
      <x:c r="GO155">
        <x:f t="shared" si="218"/>
        <x:v>0</x:v>
      </x:c>
      <x:c r="GP155">
        <x:f t="shared" si="219"/>
        <x:v>0</x:v>
      </x:c>
      <x:c r="GQ155">
        <x:f t="shared" si="220"/>
        <x:v>0</x:v>
      </x:c>
      <x:c r="GR155" s="42">
        <x:f t="shared" si="221"/>
        <x:v>0</x:v>
      </x:c>
      <x:c r="GS155">
        <x:f t="shared" si="222"/>
        <x:v>0</x:v>
      </x:c>
      <x:c r="GT155">
        <x:f t="shared" si="223"/>
        <x:v>0</x:v>
      </x:c>
      <x:c r="GU155">
        <x:f t="shared" si="224"/>
        <x:v>0</x:v>
      </x:c>
      <x:c r="GV155">
        <x:f t="shared" si="225"/>
        <x:v>0</x:v>
      </x:c>
      <x:c r="GW155">
        <x:f t="shared" si="226"/>
        <x:v>0</x:v>
      </x:c>
      <x:c r="GX155">
        <x:f t="shared" si="227"/>
        <x:v>0</x:v>
      </x:c>
      <x:c r="GY155">
        <x:f t="shared" si="228"/>
        <x:v>0</x:v>
      </x:c>
      <x:c r="GZ155">
        <x:f t="shared" si="229"/>
        <x:v>0</x:v>
      </x:c>
      <x:c r="HA155">
        <x:f t="shared" si="230"/>
        <x:v>0</x:v>
      </x:c>
      <x:c r="HB155" s="42">
        <x:f t="shared" si="231"/>
        <x:v>0</x:v>
      </x:c>
      <x:c r="HC155">
        <x:f t="shared" si="232"/>
        <x:v>0</x:v>
      </x:c>
      <x:c r="HD155">
        <x:f t="shared" si="233"/>
        <x:v>0</x:v>
      </x:c>
      <x:c r="HE155">
        <x:f t="shared" si="234"/>
        <x:v>0</x:v>
      </x:c>
      <x:c r="HF155">
        <x:f t="shared" si="235"/>
        <x:v>0</x:v>
      </x:c>
      <x:c r="HG155">
        <x:f t="shared" si="236"/>
        <x:v>0</x:v>
      </x:c>
      <x:c r="HH155">
        <x:f t="shared" si="237"/>
        <x:v>0</x:v>
      </x:c>
      <x:c r="HI155">
        <x:f t="shared" si="238"/>
        <x:v>0</x:v>
      </x:c>
      <x:c r="HJ155">
        <x:f t="shared" si="239"/>
        <x:v>0</x:v>
      </x:c>
      <x:c r="HK155">
        <x:f t="shared" si="240"/>
        <x:v>0</x:v>
      </x:c>
      <x:c r="HL155">
        <x:f t="shared" si="241"/>
        <x:v>0</x:v>
      </x:c>
    </x:row>
    <x:row r="156">
      <x:c r="D156" s="74"/>
      <x:c r="EQ156">
        <x:f t="shared" si="168"/>
        <x:v>0</x:v>
      </x:c>
      <x:c r="ER156">
        <x:f t="shared" si="169"/>
        <x:v>0</x:v>
      </x:c>
      <x:c r="ES156">
        <x:f t="shared" si="170"/>
        <x:v>0</x:v>
      </x:c>
      <x:c r="ET156">
        <x:f t="shared" si="171"/>
        <x:v>0</x:v>
      </x:c>
      <x:c r="EU156">
        <x:f t="shared" si="172"/>
        <x:v>0</x:v>
      </x:c>
      <x:c r="EV156">
        <x:f t="shared" si="173"/>
        <x:v>0</x:v>
      </x:c>
      <x:c r="EW156">
        <x:f t="shared" si="174"/>
        <x:v>0</x:v>
      </x:c>
      <x:c r="EX156">
        <x:f t="shared" si="175"/>
        <x:v>0</x:v>
      </x:c>
      <x:c r="EY156">
        <x:f t="shared" si="176"/>
        <x:v>0</x:v>
      </x:c>
      <x:c r="EZ156">
        <x:f t="shared" si="177"/>
        <x:v>0</x:v>
      </x:c>
      <x:c r="FA156" s="41">
        <x:f t="shared" si="178"/>
        <x:v>0</x:v>
      </x:c>
      <x:c r="FB156">
        <x:f t="shared" si="179"/>
        <x:v>0</x:v>
      </x:c>
      <x:c r="FC156">
        <x:f t="shared" si="180"/>
        <x:v>0</x:v>
      </x:c>
      <x:c r="FD156">
        <x:f t="shared" si="181"/>
        <x:v>0</x:v>
      </x:c>
      <x:c r="FE156">
        <x:f t="shared" si="182"/>
        <x:v>0</x:v>
      </x:c>
      <x:c r="FF156">
        <x:f t="shared" si="183"/>
        <x:v>0</x:v>
      </x:c>
      <x:c r="FG156">
        <x:f t="shared" si="184"/>
        <x:v>0</x:v>
      </x:c>
      <x:c r="FH156">
        <x:f t="shared" si="185"/>
        <x:v>0</x:v>
      </x:c>
      <x:c r="FI156">
        <x:f t="shared" si="186"/>
        <x:v>0</x:v>
      </x:c>
      <x:c r="FJ156">
        <x:f t="shared" si="187"/>
        <x:v>0</x:v>
      </x:c>
      <x:c r="FK156">
        <x:f t="shared" si="188"/>
        <x:v>0</x:v>
      </x:c>
      <x:c r="FL156" s="41">
        <x:f t="shared" si="189"/>
        <x:v>0</x:v>
      </x:c>
      <x:c r="FM156">
        <x:f t="shared" si="190"/>
        <x:v>0</x:v>
      </x:c>
      <x:c r="FN156">
        <x:f t="shared" si="191"/>
        <x:v>0</x:v>
      </x:c>
      <x:c r="FO156">
        <x:f t="shared" si="192"/>
        <x:v>0</x:v>
      </x:c>
      <x:c r="FP156">
        <x:f t="shared" si="193"/>
        <x:v>0</x:v>
      </x:c>
      <x:c r="FQ156">
        <x:f t="shared" si="194"/>
        <x:v>0</x:v>
      </x:c>
      <x:c r="FR156">
        <x:f t="shared" si="195"/>
        <x:v>0</x:v>
      </x:c>
      <x:c r="FS156">
        <x:f t="shared" si="196"/>
        <x:v>0</x:v>
      </x:c>
      <x:c r="FT156">
        <x:f t="shared" si="197"/>
        <x:v>0</x:v>
      </x:c>
      <x:c r="FU156">
        <x:f t="shared" si="198"/>
        <x:v>0</x:v>
      </x:c>
      <x:c r="FV156">
        <x:f t="shared" si="199"/>
        <x:v>0</x:v>
      </x:c>
      <x:c r="FW156" s="41">
        <x:f t="shared" si="200"/>
        <x:v>0</x:v>
      </x:c>
      <x:c r="FX156">
        <x:f t="shared" si="201"/>
        <x:v>0</x:v>
      </x:c>
      <x:c r="FY156">
        <x:f t="shared" si="202"/>
        <x:v>0</x:v>
      </x:c>
      <x:c r="FZ156">
        <x:f t="shared" si="203"/>
        <x:v>0</x:v>
      </x:c>
      <x:c r="GA156">
        <x:f t="shared" si="204"/>
        <x:v>0</x:v>
      </x:c>
      <x:c r="GB156">
        <x:f t="shared" si="205"/>
        <x:v>0</x:v>
      </x:c>
      <x:c r="GC156">
        <x:f t="shared" si="206"/>
        <x:v>0</x:v>
      </x:c>
      <x:c r="GD156">
        <x:f t="shared" si="207"/>
        <x:v>0</x:v>
      </x:c>
      <x:c r="GE156">
        <x:f t="shared" si="208"/>
        <x:v>0</x:v>
      </x:c>
      <x:c r="GF156">
        <x:f t="shared" si="209"/>
        <x:v>0</x:v>
      </x:c>
      <x:c r="GG156">
        <x:f t="shared" si="210"/>
        <x:v>0</x:v>
      </x:c>
      <x:c r="GH156">
        <x:f t="shared" si="211"/>
        <x:v>0</x:v>
      </x:c>
      <x:c r="GI156">
        <x:f t="shared" si="212"/>
        <x:v>0</x:v>
      </x:c>
      <x:c r="GJ156">
        <x:f t="shared" si="213"/>
        <x:v>0</x:v>
      </x:c>
      <x:c r="GK156">
        <x:f t="shared" si="214"/>
        <x:v>0</x:v>
      </x:c>
      <x:c r="GL156">
        <x:f t="shared" si="215"/>
        <x:v>0</x:v>
      </x:c>
      <x:c r="GM156">
        <x:f t="shared" si="216"/>
        <x:v>0</x:v>
      </x:c>
      <x:c r="GN156">
        <x:f t="shared" si="217"/>
        <x:v>0</x:v>
      </x:c>
      <x:c r="GO156">
        <x:f t="shared" si="218"/>
        <x:v>0</x:v>
      </x:c>
      <x:c r="GP156">
        <x:f t="shared" si="219"/>
        <x:v>0</x:v>
      </x:c>
      <x:c r="GQ156">
        <x:f t="shared" si="220"/>
        <x:v>0</x:v>
      </x:c>
      <x:c r="GR156" s="42">
        <x:f t="shared" si="221"/>
        <x:v>0</x:v>
      </x:c>
      <x:c r="GS156">
        <x:f t="shared" si="222"/>
        <x:v>0</x:v>
      </x:c>
      <x:c r="GT156">
        <x:f t="shared" si="223"/>
        <x:v>0</x:v>
      </x:c>
      <x:c r="GU156">
        <x:f t="shared" si="224"/>
        <x:v>0</x:v>
      </x:c>
      <x:c r="GV156">
        <x:f t="shared" si="225"/>
        <x:v>0</x:v>
      </x:c>
      <x:c r="GW156">
        <x:f t="shared" si="226"/>
        <x:v>0</x:v>
      </x:c>
      <x:c r="GX156">
        <x:f t="shared" si="227"/>
        <x:v>0</x:v>
      </x:c>
      <x:c r="GY156">
        <x:f t="shared" si="228"/>
        <x:v>0</x:v>
      </x:c>
      <x:c r="GZ156">
        <x:f t="shared" si="229"/>
        <x:v>0</x:v>
      </x:c>
      <x:c r="HA156">
        <x:f t="shared" si="230"/>
        <x:v>0</x:v>
      </x:c>
      <x:c r="HB156" s="42">
        <x:f t="shared" si="231"/>
        <x:v>0</x:v>
      </x:c>
      <x:c r="HC156">
        <x:f t="shared" si="232"/>
        <x:v>0</x:v>
      </x:c>
      <x:c r="HD156">
        <x:f t="shared" si="233"/>
        <x:v>0</x:v>
      </x:c>
      <x:c r="HE156">
        <x:f t="shared" si="234"/>
        <x:v>0</x:v>
      </x:c>
      <x:c r="HF156">
        <x:f t="shared" si="235"/>
        <x:v>0</x:v>
      </x:c>
      <x:c r="HG156">
        <x:f t="shared" si="236"/>
        <x:v>0</x:v>
      </x:c>
      <x:c r="HH156">
        <x:f t="shared" si="237"/>
        <x:v>0</x:v>
      </x:c>
      <x:c r="HI156">
        <x:f t="shared" si="238"/>
        <x:v>0</x:v>
      </x:c>
      <x:c r="HJ156">
        <x:f t="shared" si="239"/>
        <x:v>0</x:v>
      </x:c>
      <x:c r="HK156">
        <x:f t="shared" si="240"/>
        <x:v>0</x:v>
      </x:c>
      <x:c r="HL156">
        <x:f t="shared" si="241"/>
        <x:v>0</x:v>
      </x:c>
    </x:row>
    <x:row r="157">
      <x:c r="D157" s="74"/>
      <x:c r="EQ157">
        <x:f t="shared" si="168"/>
        <x:v>0</x:v>
      </x:c>
      <x:c r="ER157">
        <x:f t="shared" si="169"/>
        <x:v>0</x:v>
      </x:c>
      <x:c r="ES157">
        <x:f t="shared" si="170"/>
        <x:v>0</x:v>
      </x:c>
      <x:c r="ET157">
        <x:f t="shared" si="171"/>
        <x:v>0</x:v>
      </x:c>
      <x:c r="EU157">
        <x:f t="shared" si="172"/>
        <x:v>0</x:v>
      </x:c>
      <x:c r="EV157">
        <x:f t="shared" si="173"/>
        <x:v>0</x:v>
      </x:c>
      <x:c r="EW157">
        <x:f t="shared" si="174"/>
        <x:v>0</x:v>
      </x:c>
      <x:c r="EX157">
        <x:f t="shared" si="175"/>
        <x:v>0</x:v>
      </x:c>
      <x:c r="EY157">
        <x:f t="shared" si="176"/>
        <x:v>0</x:v>
      </x:c>
      <x:c r="EZ157">
        <x:f t="shared" si="177"/>
        <x:v>0</x:v>
      </x:c>
      <x:c r="FA157" s="41">
        <x:f t="shared" si="178"/>
        <x:v>0</x:v>
      </x:c>
      <x:c r="FB157">
        <x:f t="shared" si="179"/>
        <x:v>0</x:v>
      </x:c>
      <x:c r="FC157">
        <x:f t="shared" si="180"/>
        <x:v>0</x:v>
      </x:c>
      <x:c r="FD157">
        <x:f t="shared" si="181"/>
        <x:v>0</x:v>
      </x:c>
      <x:c r="FE157">
        <x:f t="shared" si="182"/>
        <x:v>0</x:v>
      </x:c>
      <x:c r="FF157">
        <x:f t="shared" si="183"/>
        <x:v>0</x:v>
      </x:c>
      <x:c r="FG157">
        <x:f t="shared" si="184"/>
        <x:v>0</x:v>
      </x:c>
      <x:c r="FH157">
        <x:f t="shared" si="185"/>
        <x:v>0</x:v>
      </x:c>
      <x:c r="FI157">
        <x:f t="shared" si="186"/>
        <x:v>0</x:v>
      </x:c>
      <x:c r="FJ157">
        <x:f t="shared" si="187"/>
        <x:v>0</x:v>
      </x:c>
      <x:c r="FK157">
        <x:f t="shared" si="188"/>
        <x:v>0</x:v>
      </x:c>
      <x:c r="FL157" s="41">
        <x:f t="shared" si="189"/>
        <x:v>0</x:v>
      </x:c>
      <x:c r="FM157">
        <x:f t="shared" si="190"/>
        <x:v>0</x:v>
      </x:c>
      <x:c r="FN157">
        <x:f t="shared" si="191"/>
        <x:v>0</x:v>
      </x:c>
      <x:c r="FO157">
        <x:f t="shared" si="192"/>
        <x:v>0</x:v>
      </x:c>
      <x:c r="FP157">
        <x:f t="shared" si="193"/>
        <x:v>0</x:v>
      </x:c>
      <x:c r="FQ157">
        <x:f t="shared" si="194"/>
        <x:v>0</x:v>
      </x:c>
      <x:c r="FR157">
        <x:f t="shared" si="195"/>
        <x:v>0</x:v>
      </x:c>
      <x:c r="FS157">
        <x:f t="shared" si="196"/>
        <x:v>0</x:v>
      </x:c>
      <x:c r="FT157">
        <x:f t="shared" si="197"/>
        <x:v>0</x:v>
      </x:c>
      <x:c r="FU157">
        <x:f t="shared" si="198"/>
        <x:v>0</x:v>
      </x:c>
      <x:c r="FV157">
        <x:f t="shared" si="199"/>
        <x:v>0</x:v>
      </x:c>
      <x:c r="FW157" s="41">
        <x:f t="shared" si="200"/>
        <x:v>0</x:v>
      </x:c>
      <x:c r="FX157">
        <x:f t="shared" si="201"/>
        <x:v>0</x:v>
      </x:c>
      <x:c r="FY157">
        <x:f t="shared" si="202"/>
        <x:v>0</x:v>
      </x:c>
      <x:c r="FZ157">
        <x:f t="shared" si="203"/>
        <x:v>0</x:v>
      </x:c>
      <x:c r="GA157">
        <x:f t="shared" si="204"/>
        <x:v>0</x:v>
      </x:c>
      <x:c r="GB157">
        <x:f t="shared" si="205"/>
        <x:v>0</x:v>
      </x:c>
      <x:c r="GC157">
        <x:f t="shared" si="206"/>
        <x:v>0</x:v>
      </x:c>
      <x:c r="GD157">
        <x:f t="shared" si="207"/>
        <x:v>0</x:v>
      </x:c>
      <x:c r="GE157">
        <x:f t="shared" si="208"/>
        <x:v>0</x:v>
      </x:c>
      <x:c r="GF157">
        <x:f t="shared" si="209"/>
        <x:v>0</x:v>
      </x:c>
      <x:c r="GG157">
        <x:f t="shared" si="210"/>
        <x:v>0</x:v>
      </x:c>
      <x:c r="GH157">
        <x:f t="shared" si="211"/>
        <x:v>0</x:v>
      </x:c>
      <x:c r="GI157">
        <x:f t="shared" si="212"/>
        <x:v>0</x:v>
      </x:c>
      <x:c r="GJ157">
        <x:f t="shared" si="213"/>
        <x:v>0</x:v>
      </x:c>
      <x:c r="GK157">
        <x:f t="shared" si="214"/>
        <x:v>0</x:v>
      </x:c>
      <x:c r="GL157">
        <x:f t="shared" si="215"/>
        <x:v>0</x:v>
      </x:c>
      <x:c r="GM157">
        <x:f t="shared" si="216"/>
        <x:v>0</x:v>
      </x:c>
      <x:c r="GN157">
        <x:f t="shared" si="217"/>
        <x:v>0</x:v>
      </x:c>
      <x:c r="GO157">
        <x:f t="shared" si="218"/>
        <x:v>0</x:v>
      </x:c>
      <x:c r="GP157">
        <x:f t="shared" si="219"/>
        <x:v>0</x:v>
      </x:c>
      <x:c r="GQ157">
        <x:f t="shared" si="220"/>
        <x:v>0</x:v>
      </x:c>
      <x:c r="GR157" s="42">
        <x:f t="shared" si="221"/>
        <x:v>0</x:v>
      </x:c>
      <x:c r="GS157">
        <x:f t="shared" si="222"/>
        <x:v>0</x:v>
      </x:c>
      <x:c r="GT157">
        <x:f t="shared" si="223"/>
        <x:v>0</x:v>
      </x:c>
      <x:c r="GU157">
        <x:f t="shared" si="224"/>
        <x:v>0</x:v>
      </x:c>
      <x:c r="GV157">
        <x:f t="shared" si="225"/>
        <x:v>0</x:v>
      </x:c>
      <x:c r="GW157">
        <x:f t="shared" si="226"/>
        <x:v>0</x:v>
      </x:c>
      <x:c r="GX157">
        <x:f t="shared" si="227"/>
        <x:v>0</x:v>
      </x:c>
      <x:c r="GY157">
        <x:f t="shared" si="228"/>
        <x:v>0</x:v>
      </x:c>
      <x:c r="GZ157">
        <x:f t="shared" si="229"/>
        <x:v>0</x:v>
      </x:c>
      <x:c r="HA157">
        <x:f t="shared" si="230"/>
        <x:v>0</x:v>
      </x:c>
      <x:c r="HB157" s="42">
        <x:f t="shared" si="231"/>
        <x:v>0</x:v>
      </x:c>
      <x:c r="HC157">
        <x:f t="shared" si="232"/>
        <x:v>0</x:v>
      </x:c>
      <x:c r="HD157">
        <x:f t="shared" si="233"/>
        <x:v>0</x:v>
      </x:c>
      <x:c r="HE157">
        <x:f t="shared" si="234"/>
        <x:v>0</x:v>
      </x:c>
      <x:c r="HF157">
        <x:f t="shared" si="235"/>
        <x:v>0</x:v>
      </x:c>
      <x:c r="HG157">
        <x:f t="shared" si="236"/>
        <x:v>0</x:v>
      </x:c>
      <x:c r="HH157">
        <x:f t="shared" si="237"/>
        <x:v>0</x:v>
      </x:c>
      <x:c r="HI157">
        <x:f t="shared" si="238"/>
        <x:v>0</x:v>
      </x:c>
      <x:c r="HJ157">
        <x:f t="shared" si="239"/>
        <x:v>0</x:v>
      </x:c>
      <x:c r="HK157">
        <x:f t="shared" si="240"/>
        <x:v>0</x:v>
      </x:c>
      <x:c r="HL157">
        <x:f t="shared" si="241"/>
        <x:v>0</x:v>
      </x:c>
    </x:row>
    <x:row r="158">
      <x:c r="D158" s="74"/>
      <x:c r="EQ158">
        <x:f t="shared" si="168"/>
        <x:v>0</x:v>
      </x:c>
      <x:c r="ER158">
        <x:f t="shared" si="169"/>
        <x:v>0</x:v>
      </x:c>
      <x:c r="ES158">
        <x:f t="shared" si="170"/>
        <x:v>0</x:v>
      </x:c>
      <x:c r="ET158">
        <x:f t="shared" si="171"/>
        <x:v>0</x:v>
      </x:c>
      <x:c r="EU158">
        <x:f t="shared" si="172"/>
        <x:v>0</x:v>
      </x:c>
      <x:c r="EV158">
        <x:f t="shared" si="173"/>
        <x:v>0</x:v>
      </x:c>
      <x:c r="EW158">
        <x:f t="shared" si="174"/>
        <x:v>0</x:v>
      </x:c>
      <x:c r="EX158">
        <x:f t="shared" si="175"/>
        <x:v>0</x:v>
      </x:c>
      <x:c r="EY158">
        <x:f t="shared" si="176"/>
        <x:v>0</x:v>
      </x:c>
      <x:c r="EZ158">
        <x:f t="shared" si="177"/>
        <x:v>0</x:v>
      </x:c>
      <x:c r="FA158" s="41">
        <x:f t="shared" si="178"/>
        <x:v>0</x:v>
      </x:c>
      <x:c r="FB158">
        <x:f t="shared" si="179"/>
        <x:v>0</x:v>
      </x:c>
      <x:c r="FC158">
        <x:f t="shared" si="180"/>
        <x:v>0</x:v>
      </x:c>
      <x:c r="FD158">
        <x:f t="shared" si="181"/>
        <x:v>0</x:v>
      </x:c>
      <x:c r="FE158">
        <x:f t="shared" si="182"/>
        <x:v>0</x:v>
      </x:c>
      <x:c r="FF158">
        <x:f t="shared" si="183"/>
        <x:v>0</x:v>
      </x:c>
      <x:c r="FG158">
        <x:f t="shared" si="184"/>
        <x:v>0</x:v>
      </x:c>
      <x:c r="FH158">
        <x:f t="shared" si="185"/>
        <x:v>0</x:v>
      </x:c>
      <x:c r="FI158">
        <x:f t="shared" si="186"/>
        <x:v>0</x:v>
      </x:c>
      <x:c r="FJ158">
        <x:f t="shared" si="187"/>
        <x:v>0</x:v>
      </x:c>
      <x:c r="FK158">
        <x:f t="shared" si="188"/>
        <x:v>0</x:v>
      </x:c>
      <x:c r="FL158" s="41">
        <x:f t="shared" si="189"/>
        <x:v>0</x:v>
      </x:c>
      <x:c r="FM158">
        <x:f t="shared" si="190"/>
        <x:v>0</x:v>
      </x:c>
      <x:c r="FN158">
        <x:f t="shared" si="191"/>
        <x:v>0</x:v>
      </x:c>
      <x:c r="FO158">
        <x:f t="shared" si="192"/>
        <x:v>0</x:v>
      </x:c>
      <x:c r="FP158">
        <x:f t="shared" si="193"/>
        <x:v>0</x:v>
      </x:c>
      <x:c r="FQ158">
        <x:f t="shared" si="194"/>
        <x:v>0</x:v>
      </x:c>
      <x:c r="FR158">
        <x:f t="shared" si="195"/>
        <x:v>0</x:v>
      </x:c>
      <x:c r="FS158">
        <x:f t="shared" si="196"/>
        <x:v>0</x:v>
      </x:c>
      <x:c r="FT158">
        <x:f t="shared" si="197"/>
        <x:v>0</x:v>
      </x:c>
      <x:c r="FU158">
        <x:f t="shared" si="198"/>
        <x:v>0</x:v>
      </x:c>
      <x:c r="FV158">
        <x:f t="shared" si="199"/>
        <x:v>0</x:v>
      </x:c>
      <x:c r="FW158" s="41">
        <x:f t="shared" si="200"/>
        <x:v>0</x:v>
      </x:c>
      <x:c r="FX158">
        <x:f t="shared" si="201"/>
        <x:v>0</x:v>
      </x:c>
      <x:c r="FY158">
        <x:f t="shared" si="202"/>
        <x:v>0</x:v>
      </x:c>
      <x:c r="FZ158">
        <x:f t="shared" si="203"/>
        <x:v>0</x:v>
      </x:c>
      <x:c r="GA158">
        <x:f t="shared" si="204"/>
        <x:v>0</x:v>
      </x:c>
      <x:c r="GB158">
        <x:f t="shared" si="205"/>
        <x:v>0</x:v>
      </x:c>
      <x:c r="GC158">
        <x:f t="shared" si="206"/>
        <x:v>0</x:v>
      </x:c>
      <x:c r="GD158">
        <x:f t="shared" si="207"/>
        <x:v>0</x:v>
      </x:c>
      <x:c r="GE158">
        <x:f t="shared" si="208"/>
        <x:v>0</x:v>
      </x:c>
      <x:c r="GF158">
        <x:f t="shared" si="209"/>
        <x:v>0</x:v>
      </x:c>
      <x:c r="GG158">
        <x:f t="shared" si="210"/>
        <x:v>0</x:v>
      </x:c>
      <x:c r="GH158">
        <x:f t="shared" si="211"/>
        <x:v>0</x:v>
      </x:c>
      <x:c r="GI158">
        <x:f t="shared" si="212"/>
        <x:v>0</x:v>
      </x:c>
      <x:c r="GJ158">
        <x:f t="shared" si="213"/>
        <x:v>0</x:v>
      </x:c>
      <x:c r="GK158">
        <x:f t="shared" si="214"/>
        <x:v>0</x:v>
      </x:c>
      <x:c r="GL158">
        <x:f t="shared" si="215"/>
        <x:v>0</x:v>
      </x:c>
      <x:c r="GM158">
        <x:f t="shared" si="216"/>
        <x:v>0</x:v>
      </x:c>
      <x:c r="GN158">
        <x:f t="shared" si="217"/>
        <x:v>0</x:v>
      </x:c>
      <x:c r="GO158">
        <x:f t="shared" si="218"/>
        <x:v>0</x:v>
      </x:c>
      <x:c r="GP158">
        <x:f t="shared" si="219"/>
        <x:v>0</x:v>
      </x:c>
      <x:c r="GQ158">
        <x:f t="shared" si="220"/>
        <x:v>0</x:v>
      </x:c>
      <x:c r="GR158" s="42">
        <x:f t="shared" si="221"/>
        <x:v>0</x:v>
      </x:c>
      <x:c r="GS158">
        <x:f t="shared" si="222"/>
        <x:v>0</x:v>
      </x:c>
      <x:c r="GT158">
        <x:f t="shared" si="223"/>
        <x:v>0</x:v>
      </x:c>
      <x:c r="GU158">
        <x:f t="shared" si="224"/>
        <x:v>0</x:v>
      </x:c>
      <x:c r="GV158">
        <x:f t="shared" si="225"/>
        <x:v>0</x:v>
      </x:c>
      <x:c r="GW158">
        <x:f t="shared" si="226"/>
        <x:v>0</x:v>
      </x:c>
      <x:c r="GX158">
        <x:f t="shared" si="227"/>
        <x:v>0</x:v>
      </x:c>
      <x:c r="GY158">
        <x:f t="shared" si="228"/>
        <x:v>0</x:v>
      </x:c>
      <x:c r="GZ158">
        <x:f t="shared" si="229"/>
        <x:v>0</x:v>
      </x:c>
      <x:c r="HA158">
        <x:f t="shared" si="230"/>
        <x:v>0</x:v>
      </x:c>
      <x:c r="HB158" s="42">
        <x:f t="shared" si="231"/>
        <x:v>0</x:v>
      </x:c>
      <x:c r="HC158">
        <x:f t="shared" si="232"/>
        <x:v>0</x:v>
      </x:c>
      <x:c r="HD158">
        <x:f t="shared" si="233"/>
        <x:v>0</x:v>
      </x:c>
      <x:c r="HE158">
        <x:f t="shared" si="234"/>
        <x:v>0</x:v>
      </x:c>
      <x:c r="HF158">
        <x:f t="shared" si="235"/>
        <x:v>0</x:v>
      </x:c>
      <x:c r="HG158">
        <x:f t="shared" si="236"/>
        <x:v>0</x:v>
      </x:c>
      <x:c r="HH158">
        <x:f t="shared" si="237"/>
        <x:v>0</x:v>
      </x:c>
      <x:c r="HI158">
        <x:f t="shared" si="238"/>
        <x:v>0</x:v>
      </x:c>
      <x:c r="HJ158">
        <x:f t="shared" si="239"/>
        <x:v>0</x:v>
      </x:c>
      <x:c r="HK158">
        <x:f t="shared" si="240"/>
        <x:v>0</x:v>
      </x:c>
      <x:c r="HL158">
        <x:f t="shared" si="241"/>
        <x:v>0</x:v>
      </x:c>
    </x:row>
    <x:row r="159">
      <x:c r="D159" s="74"/>
      <x:c r="EQ159">
        <x:f t="shared" si="168"/>
        <x:v>0</x:v>
      </x:c>
      <x:c r="ER159">
        <x:f t="shared" si="169"/>
        <x:v>0</x:v>
      </x:c>
      <x:c r="ES159">
        <x:f t="shared" si="170"/>
        <x:v>0</x:v>
      </x:c>
      <x:c r="ET159">
        <x:f t="shared" si="171"/>
        <x:v>0</x:v>
      </x:c>
      <x:c r="EU159">
        <x:f t="shared" si="172"/>
        <x:v>0</x:v>
      </x:c>
      <x:c r="EV159">
        <x:f t="shared" si="173"/>
        <x:v>0</x:v>
      </x:c>
      <x:c r="EW159">
        <x:f t="shared" si="174"/>
        <x:v>0</x:v>
      </x:c>
      <x:c r="EX159">
        <x:f t="shared" si="175"/>
        <x:v>0</x:v>
      </x:c>
      <x:c r="EY159">
        <x:f t="shared" si="176"/>
        <x:v>0</x:v>
      </x:c>
      <x:c r="EZ159">
        <x:f t="shared" si="177"/>
        <x:v>0</x:v>
      </x:c>
      <x:c r="FA159" s="41">
        <x:f t="shared" si="178"/>
        <x:v>0</x:v>
      </x:c>
      <x:c r="FB159">
        <x:f t="shared" si="179"/>
        <x:v>0</x:v>
      </x:c>
      <x:c r="FC159">
        <x:f t="shared" si="180"/>
        <x:v>0</x:v>
      </x:c>
      <x:c r="FD159">
        <x:f t="shared" si="181"/>
        <x:v>0</x:v>
      </x:c>
      <x:c r="FE159">
        <x:f t="shared" si="182"/>
        <x:v>0</x:v>
      </x:c>
      <x:c r="FF159">
        <x:f t="shared" si="183"/>
        <x:v>0</x:v>
      </x:c>
      <x:c r="FG159">
        <x:f t="shared" si="184"/>
        <x:v>0</x:v>
      </x:c>
      <x:c r="FH159">
        <x:f t="shared" si="185"/>
        <x:v>0</x:v>
      </x:c>
      <x:c r="FI159">
        <x:f t="shared" si="186"/>
        <x:v>0</x:v>
      </x:c>
      <x:c r="FJ159">
        <x:f t="shared" si="187"/>
        <x:v>0</x:v>
      </x:c>
      <x:c r="FK159">
        <x:f t="shared" si="188"/>
        <x:v>0</x:v>
      </x:c>
      <x:c r="FL159" s="41">
        <x:f t="shared" si="189"/>
        <x:v>0</x:v>
      </x:c>
      <x:c r="FM159">
        <x:f t="shared" si="190"/>
        <x:v>0</x:v>
      </x:c>
      <x:c r="FN159">
        <x:f t="shared" si="191"/>
        <x:v>0</x:v>
      </x:c>
      <x:c r="FO159">
        <x:f t="shared" si="192"/>
        <x:v>0</x:v>
      </x:c>
      <x:c r="FP159">
        <x:f t="shared" si="193"/>
        <x:v>0</x:v>
      </x:c>
      <x:c r="FQ159">
        <x:f t="shared" si="194"/>
        <x:v>0</x:v>
      </x:c>
      <x:c r="FR159">
        <x:f t="shared" si="195"/>
        <x:v>0</x:v>
      </x:c>
      <x:c r="FS159">
        <x:f t="shared" si="196"/>
        <x:v>0</x:v>
      </x:c>
      <x:c r="FT159">
        <x:f t="shared" si="197"/>
        <x:v>0</x:v>
      </x:c>
      <x:c r="FU159">
        <x:f t="shared" si="198"/>
        <x:v>0</x:v>
      </x:c>
      <x:c r="FV159">
        <x:f t="shared" si="199"/>
        <x:v>0</x:v>
      </x:c>
      <x:c r="FW159" s="41">
        <x:f t="shared" si="200"/>
        <x:v>0</x:v>
      </x:c>
      <x:c r="FX159">
        <x:f t="shared" si="201"/>
        <x:v>0</x:v>
      </x:c>
      <x:c r="FY159">
        <x:f t="shared" si="202"/>
        <x:v>0</x:v>
      </x:c>
      <x:c r="FZ159">
        <x:f t="shared" si="203"/>
        <x:v>0</x:v>
      </x:c>
      <x:c r="GA159">
        <x:f t="shared" si="204"/>
        <x:v>0</x:v>
      </x:c>
      <x:c r="GB159">
        <x:f t="shared" si="205"/>
        <x:v>0</x:v>
      </x:c>
      <x:c r="GC159">
        <x:f t="shared" si="206"/>
        <x:v>0</x:v>
      </x:c>
      <x:c r="GD159">
        <x:f t="shared" si="207"/>
        <x:v>0</x:v>
      </x:c>
      <x:c r="GE159">
        <x:f t="shared" si="208"/>
        <x:v>0</x:v>
      </x:c>
      <x:c r="GF159">
        <x:f t="shared" si="209"/>
        <x:v>0</x:v>
      </x:c>
      <x:c r="GG159">
        <x:f t="shared" si="210"/>
        <x:v>0</x:v>
      </x:c>
      <x:c r="GH159">
        <x:f t="shared" si="211"/>
        <x:v>0</x:v>
      </x:c>
      <x:c r="GI159">
        <x:f t="shared" si="212"/>
        <x:v>0</x:v>
      </x:c>
      <x:c r="GJ159">
        <x:f t="shared" si="213"/>
        <x:v>0</x:v>
      </x:c>
      <x:c r="GK159">
        <x:f t="shared" si="214"/>
        <x:v>0</x:v>
      </x:c>
      <x:c r="GL159">
        <x:f t="shared" si="215"/>
        <x:v>0</x:v>
      </x:c>
      <x:c r="GM159">
        <x:f t="shared" si="216"/>
        <x:v>0</x:v>
      </x:c>
      <x:c r="GN159">
        <x:f t="shared" si="217"/>
        <x:v>0</x:v>
      </x:c>
      <x:c r="GO159">
        <x:f t="shared" si="218"/>
        <x:v>0</x:v>
      </x:c>
      <x:c r="GP159">
        <x:f t="shared" si="219"/>
        <x:v>0</x:v>
      </x:c>
      <x:c r="GQ159">
        <x:f t="shared" si="220"/>
        <x:v>0</x:v>
      </x:c>
      <x:c r="GR159" s="42">
        <x:f t="shared" si="221"/>
        <x:v>0</x:v>
      </x:c>
      <x:c r="GS159">
        <x:f t="shared" si="222"/>
        <x:v>0</x:v>
      </x:c>
      <x:c r="GT159">
        <x:f t="shared" si="223"/>
        <x:v>0</x:v>
      </x:c>
      <x:c r="GU159">
        <x:f t="shared" si="224"/>
        <x:v>0</x:v>
      </x:c>
      <x:c r="GV159">
        <x:f t="shared" si="225"/>
        <x:v>0</x:v>
      </x:c>
      <x:c r="GW159">
        <x:f t="shared" si="226"/>
        <x:v>0</x:v>
      </x:c>
      <x:c r="GX159">
        <x:f t="shared" si="227"/>
        <x:v>0</x:v>
      </x:c>
      <x:c r="GY159">
        <x:f t="shared" si="228"/>
        <x:v>0</x:v>
      </x:c>
      <x:c r="GZ159">
        <x:f t="shared" si="229"/>
        <x:v>0</x:v>
      </x:c>
      <x:c r="HA159">
        <x:f t="shared" si="230"/>
        <x:v>0</x:v>
      </x:c>
      <x:c r="HB159" s="42">
        <x:f t="shared" si="231"/>
        <x:v>0</x:v>
      </x:c>
      <x:c r="HC159">
        <x:f t="shared" si="232"/>
        <x:v>0</x:v>
      </x:c>
      <x:c r="HD159">
        <x:f t="shared" si="233"/>
        <x:v>0</x:v>
      </x:c>
      <x:c r="HE159">
        <x:f t="shared" si="234"/>
        <x:v>0</x:v>
      </x:c>
      <x:c r="HF159">
        <x:f t="shared" si="235"/>
        <x:v>0</x:v>
      </x:c>
      <x:c r="HG159">
        <x:f t="shared" si="236"/>
        <x:v>0</x:v>
      </x:c>
      <x:c r="HH159">
        <x:f t="shared" si="237"/>
        <x:v>0</x:v>
      </x:c>
      <x:c r="HI159">
        <x:f t="shared" si="238"/>
        <x:v>0</x:v>
      </x:c>
      <x:c r="HJ159">
        <x:f t="shared" si="239"/>
        <x:v>0</x:v>
      </x:c>
      <x:c r="HK159">
        <x:f t="shared" si="240"/>
        <x:v>0</x:v>
      </x:c>
      <x:c r="HL159">
        <x:f t="shared" si="241"/>
        <x:v>0</x:v>
      </x:c>
    </x:row>
    <x:row r="160">
      <x:c r="D160" s="74"/>
      <x:c r="EQ160">
        <x:f t="shared" si="168"/>
        <x:v>0</x:v>
      </x:c>
      <x:c r="ER160">
        <x:f t="shared" si="169"/>
        <x:v>0</x:v>
      </x:c>
      <x:c r="ES160">
        <x:f t="shared" si="170"/>
        <x:v>0</x:v>
      </x:c>
      <x:c r="ET160">
        <x:f t="shared" si="171"/>
        <x:v>0</x:v>
      </x:c>
      <x:c r="EU160">
        <x:f t="shared" si="172"/>
        <x:v>0</x:v>
      </x:c>
      <x:c r="EV160">
        <x:f t="shared" si="173"/>
        <x:v>0</x:v>
      </x:c>
      <x:c r="EW160">
        <x:f t="shared" si="174"/>
        <x:v>0</x:v>
      </x:c>
      <x:c r="EX160">
        <x:f t="shared" si="175"/>
        <x:v>0</x:v>
      </x:c>
      <x:c r="EY160">
        <x:f t="shared" si="176"/>
        <x:v>0</x:v>
      </x:c>
      <x:c r="EZ160">
        <x:f t="shared" si="177"/>
        <x:v>0</x:v>
      </x:c>
      <x:c r="FA160" s="41">
        <x:f t="shared" si="178"/>
        <x:v>0</x:v>
      </x:c>
      <x:c r="FB160">
        <x:f t="shared" si="179"/>
        <x:v>0</x:v>
      </x:c>
      <x:c r="FC160">
        <x:f t="shared" si="180"/>
        <x:v>0</x:v>
      </x:c>
      <x:c r="FD160">
        <x:f t="shared" si="181"/>
        <x:v>0</x:v>
      </x:c>
      <x:c r="FE160">
        <x:f t="shared" si="182"/>
        <x:v>0</x:v>
      </x:c>
      <x:c r="FF160">
        <x:f t="shared" si="183"/>
        <x:v>0</x:v>
      </x:c>
      <x:c r="FG160">
        <x:f t="shared" si="184"/>
        <x:v>0</x:v>
      </x:c>
      <x:c r="FH160">
        <x:f t="shared" si="185"/>
        <x:v>0</x:v>
      </x:c>
      <x:c r="FI160">
        <x:f t="shared" si="186"/>
        <x:v>0</x:v>
      </x:c>
      <x:c r="FJ160">
        <x:f t="shared" si="187"/>
        <x:v>0</x:v>
      </x:c>
      <x:c r="FK160">
        <x:f t="shared" si="188"/>
        <x:v>0</x:v>
      </x:c>
      <x:c r="FL160" s="41">
        <x:f t="shared" si="189"/>
        <x:v>0</x:v>
      </x:c>
      <x:c r="FM160">
        <x:f t="shared" si="190"/>
        <x:v>0</x:v>
      </x:c>
      <x:c r="FN160">
        <x:f t="shared" si="191"/>
        <x:v>0</x:v>
      </x:c>
      <x:c r="FO160">
        <x:f t="shared" si="192"/>
        <x:v>0</x:v>
      </x:c>
      <x:c r="FP160">
        <x:f t="shared" si="193"/>
        <x:v>0</x:v>
      </x:c>
      <x:c r="FQ160">
        <x:f t="shared" si="194"/>
        <x:v>0</x:v>
      </x:c>
      <x:c r="FR160">
        <x:f t="shared" si="195"/>
        <x:v>0</x:v>
      </x:c>
      <x:c r="FS160">
        <x:f t="shared" si="196"/>
        <x:v>0</x:v>
      </x:c>
      <x:c r="FT160">
        <x:f t="shared" si="197"/>
        <x:v>0</x:v>
      </x:c>
      <x:c r="FU160">
        <x:f t="shared" si="198"/>
        <x:v>0</x:v>
      </x:c>
      <x:c r="FV160">
        <x:f t="shared" si="199"/>
        <x:v>0</x:v>
      </x:c>
      <x:c r="FW160" s="41">
        <x:f t="shared" si="200"/>
        <x:v>0</x:v>
      </x:c>
      <x:c r="FX160">
        <x:f t="shared" si="201"/>
        <x:v>0</x:v>
      </x:c>
      <x:c r="FY160">
        <x:f t="shared" si="202"/>
        <x:v>0</x:v>
      </x:c>
      <x:c r="FZ160">
        <x:f t="shared" si="203"/>
        <x:v>0</x:v>
      </x:c>
      <x:c r="GA160">
        <x:f t="shared" si="204"/>
        <x:v>0</x:v>
      </x:c>
      <x:c r="GB160">
        <x:f t="shared" si="205"/>
        <x:v>0</x:v>
      </x:c>
      <x:c r="GC160">
        <x:f t="shared" si="206"/>
        <x:v>0</x:v>
      </x:c>
      <x:c r="GD160">
        <x:f t="shared" si="207"/>
        <x:v>0</x:v>
      </x:c>
      <x:c r="GE160">
        <x:f t="shared" si="208"/>
        <x:v>0</x:v>
      </x:c>
      <x:c r="GF160">
        <x:f t="shared" si="209"/>
        <x:v>0</x:v>
      </x:c>
      <x:c r="GG160">
        <x:f t="shared" si="210"/>
        <x:v>0</x:v>
      </x:c>
      <x:c r="GH160">
        <x:f t="shared" si="211"/>
        <x:v>0</x:v>
      </x:c>
      <x:c r="GI160">
        <x:f t="shared" si="212"/>
        <x:v>0</x:v>
      </x:c>
      <x:c r="GJ160">
        <x:f t="shared" si="213"/>
        <x:v>0</x:v>
      </x:c>
      <x:c r="GK160">
        <x:f t="shared" si="214"/>
        <x:v>0</x:v>
      </x:c>
      <x:c r="GL160">
        <x:f t="shared" si="215"/>
        <x:v>0</x:v>
      </x:c>
      <x:c r="GM160">
        <x:f t="shared" si="216"/>
        <x:v>0</x:v>
      </x:c>
      <x:c r="GN160">
        <x:f t="shared" si="217"/>
        <x:v>0</x:v>
      </x:c>
      <x:c r="GO160">
        <x:f t="shared" si="218"/>
        <x:v>0</x:v>
      </x:c>
      <x:c r="GP160">
        <x:f t="shared" si="219"/>
        <x:v>0</x:v>
      </x:c>
      <x:c r="GQ160">
        <x:f t="shared" si="220"/>
        <x:v>0</x:v>
      </x:c>
      <x:c r="GR160" s="42">
        <x:f t="shared" si="221"/>
        <x:v>0</x:v>
      </x:c>
      <x:c r="GS160">
        <x:f t="shared" si="222"/>
        <x:v>0</x:v>
      </x:c>
      <x:c r="GT160">
        <x:f t="shared" si="223"/>
        <x:v>0</x:v>
      </x:c>
      <x:c r="GU160">
        <x:f t="shared" si="224"/>
        <x:v>0</x:v>
      </x:c>
      <x:c r="GV160">
        <x:f t="shared" si="225"/>
        <x:v>0</x:v>
      </x:c>
      <x:c r="GW160">
        <x:f t="shared" si="226"/>
        <x:v>0</x:v>
      </x:c>
      <x:c r="GX160">
        <x:f t="shared" si="227"/>
        <x:v>0</x:v>
      </x:c>
      <x:c r="GY160">
        <x:f t="shared" si="228"/>
        <x:v>0</x:v>
      </x:c>
      <x:c r="GZ160">
        <x:f t="shared" si="229"/>
        <x:v>0</x:v>
      </x:c>
      <x:c r="HA160">
        <x:f t="shared" si="230"/>
        <x:v>0</x:v>
      </x:c>
      <x:c r="HB160" s="42">
        <x:f t="shared" si="231"/>
        <x:v>0</x:v>
      </x:c>
      <x:c r="HC160">
        <x:f t="shared" si="232"/>
        <x:v>0</x:v>
      </x:c>
      <x:c r="HD160">
        <x:f t="shared" si="233"/>
        <x:v>0</x:v>
      </x:c>
      <x:c r="HE160">
        <x:f t="shared" si="234"/>
        <x:v>0</x:v>
      </x:c>
      <x:c r="HF160">
        <x:f t="shared" si="235"/>
        <x:v>0</x:v>
      </x:c>
      <x:c r="HG160">
        <x:f t="shared" si="236"/>
        <x:v>0</x:v>
      </x:c>
      <x:c r="HH160">
        <x:f t="shared" si="237"/>
        <x:v>0</x:v>
      </x:c>
      <x:c r="HI160">
        <x:f t="shared" si="238"/>
        <x:v>0</x:v>
      </x:c>
      <x:c r="HJ160">
        <x:f t="shared" si="239"/>
        <x:v>0</x:v>
      </x:c>
      <x:c r="HK160">
        <x:f t="shared" si="240"/>
        <x:v>0</x:v>
      </x:c>
      <x:c r="HL160">
        <x:f t="shared" si="241"/>
        <x:v>0</x:v>
      </x:c>
    </x:row>
    <x:row r="161">
      <x:c r="D161" s="74"/>
      <x:c r="EQ161">
        <x:f t="shared" si="168"/>
        <x:v>0</x:v>
      </x:c>
      <x:c r="ER161">
        <x:f t="shared" si="169"/>
        <x:v>0</x:v>
      </x:c>
      <x:c r="ES161">
        <x:f t="shared" si="170"/>
        <x:v>0</x:v>
      </x:c>
      <x:c r="ET161">
        <x:f t="shared" si="171"/>
        <x:v>0</x:v>
      </x:c>
      <x:c r="EU161">
        <x:f t="shared" si="172"/>
        <x:v>0</x:v>
      </x:c>
      <x:c r="EV161">
        <x:f t="shared" si="173"/>
        <x:v>0</x:v>
      </x:c>
      <x:c r="EW161">
        <x:f t="shared" si="174"/>
        <x:v>0</x:v>
      </x:c>
      <x:c r="EX161">
        <x:f t="shared" si="175"/>
        <x:v>0</x:v>
      </x:c>
      <x:c r="EY161">
        <x:f t="shared" si="176"/>
        <x:v>0</x:v>
      </x:c>
      <x:c r="EZ161">
        <x:f t="shared" si="177"/>
        <x:v>0</x:v>
      </x:c>
      <x:c r="FA161" s="41">
        <x:f t="shared" si="178"/>
        <x:v>0</x:v>
      </x:c>
      <x:c r="FB161">
        <x:f t="shared" si="179"/>
        <x:v>0</x:v>
      </x:c>
      <x:c r="FC161">
        <x:f t="shared" si="180"/>
        <x:v>0</x:v>
      </x:c>
      <x:c r="FD161">
        <x:f t="shared" si="181"/>
        <x:v>0</x:v>
      </x:c>
      <x:c r="FE161">
        <x:f t="shared" si="182"/>
        <x:v>0</x:v>
      </x:c>
      <x:c r="FF161">
        <x:f t="shared" si="183"/>
        <x:v>0</x:v>
      </x:c>
      <x:c r="FG161">
        <x:f t="shared" si="184"/>
        <x:v>0</x:v>
      </x:c>
      <x:c r="FH161">
        <x:f t="shared" si="185"/>
        <x:v>0</x:v>
      </x:c>
      <x:c r="FI161">
        <x:f t="shared" si="186"/>
        <x:v>0</x:v>
      </x:c>
      <x:c r="FJ161">
        <x:f t="shared" si="187"/>
        <x:v>0</x:v>
      </x:c>
      <x:c r="FK161">
        <x:f t="shared" si="188"/>
        <x:v>0</x:v>
      </x:c>
      <x:c r="FL161" s="41">
        <x:f t="shared" si="189"/>
        <x:v>0</x:v>
      </x:c>
      <x:c r="FM161">
        <x:f t="shared" si="190"/>
        <x:v>0</x:v>
      </x:c>
      <x:c r="FN161">
        <x:f t="shared" si="191"/>
        <x:v>0</x:v>
      </x:c>
      <x:c r="FO161">
        <x:f t="shared" si="192"/>
        <x:v>0</x:v>
      </x:c>
      <x:c r="FP161">
        <x:f t="shared" si="193"/>
        <x:v>0</x:v>
      </x:c>
      <x:c r="FQ161">
        <x:f t="shared" si="194"/>
        <x:v>0</x:v>
      </x:c>
      <x:c r="FR161">
        <x:f t="shared" si="195"/>
        <x:v>0</x:v>
      </x:c>
      <x:c r="FS161">
        <x:f t="shared" si="196"/>
        <x:v>0</x:v>
      </x:c>
      <x:c r="FT161">
        <x:f t="shared" si="197"/>
        <x:v>0</x:v>
      </x:c>
      <x:c r="FU161">
        <x:f t="shared" si="198"/>
        <x:v>0</x:v>
      </x:c>
      <x:c r="FV161">
        <x:f t="shared" si="199"/>
        <x:v>0</x:v>
      </x:c>
      <x:c r="FW161" s="41">
        <x:f t="shared" si="200"/>
        <x:v>0</x:v>
      </x:c>
      <x:c r="FX161">
        <x:f t="shared" si="201"/>
        <x:v>0</x:v>
      </x:c>
      <x:c r="FY161">
        <x:f t="shared" si="202"/>
        <x:v>0</x:v>
      </x:c>
      <x:c r="FZ161">
        <x:f t="shared" si="203"/>
        <x:v>0</x:v>
      </x:c>
      <x:c r="GA161">
        <x:f t="shared" si="204"/>
        <x:v>0</x:v>
      </x:c>
      <x:c r="GB161">
        <x:f t="shared" si="205"/>
        <x:v>0</x:v>
      </x:c>
      <x:c r="GC161">
        <x:f t="shared" si="206"/>
        <x:v>0</x:v>
      </x:c>
      <x:c r="GD161">
        <x:f t="shared" si="207"/>
        <x:v>0</x:v>
      </x:c>
      <x:c r="GE161">
        <x:f t="shared" si="208"/>
        <x:v>0</x:v>
      </x:c>
      <x:c r="GF161">
        <x:f t="shared" si="209"/>
        <x:v>0</x:v>
      </x:c>
      <x:c r="GG161">
        <x:f t="shared" si="210"/>
        <x:v>0</x:v>
      </x:c>
      <x:c r="GH161">
        <x:f t="shared" si="211"/>
        <x:v>0</x:v>
      </x:c>
      <x:c r="GI161">
        <x:f t="shared" si="212"/>
        <x:v>0</x:v>
      </x:c>
      <x:c r="GJ161">
        <x:f t="shared" si="213"/>
        <x:v>0</x:v>
      </x:c>
      <x:c r="GK161">
        <x:f t="shared" si="214"/>
        <x:v>0</x:v>
      </x:c>
      <x:c r="GL161">
        <x:f t="shared" si="215"/>
        <x:v>0</x:v>
      </x:c>
      <x:c r="GM161">
        <x:f t="shared" si="216"/>
        <x:v>0</x:v>
      </x:c>
      <x:c r="GN161">
        <x:f t="shared" si="217"/>
        <x:v>0</x:v>
      </x:c>
      <x:c r="GO161">
        <x:f t="shared" si="218"/>
        <x:v>0</x:v>
      </x:c>
      <x:c r="GP161">
        <x:f t="shared" si="219"/>
        <x:v>0</x:v>
      </x:c>
      <x:c r="GQ161">
        <x:f t="shared" si="220"/>
        <x:v>0</x:v>
      </x:c>
      <x:c r="GR161" s="42">
        <x:f t="shared" si="221"/>
        <x:v>0</x:v>
      </x:c>
      <x:c r="GS161">
        <x:f t="shared" si="222"/>
        <x:v>0</x:v>
      </x:c>
      <x:c r="GT161">
        <x:f t="shared" si="223"/>
        <x:v>0</x:v>
      </x:c>
      <x:c r="GU161">
        <x:f t="shared" si="224"/>
        <x:v>0</x:v>
      </x:c>
      <x:c r="GV161">
        <x:f t="shared" si="225"/>
        <x:v>0</x:v>
      </x:c>
      <x:c r="GW161">
        <x:f t="shared" si="226"/>
        <x:v>0</x:v>
      </x:c>
      <x:c r="GX161">
        <x:f t="shared" si="227"/>
        <x:v>0</x:v>
      </x:c>
      <x:c r="GY161">
        <x:f t="shared" si="228"/>
        <x:v>0</x:v>
      </x:c>
      <x:c r="GZ161">
        <x:f t="shared" si="229"/>
        <x:v>0</x:v>
      </x:c>
      <x:c r="HA161">
        <x:f t="shared" si="230"/>
        <x:v>0</x:v>
      </x:c>
      <x:c r="HB161" s="42">
        <x:f t="shared" si="231"/>
        <x:v>0</x:v>
      </x:c>
      <x:c r="HC161">
        <x:f t="shared" si="232"/>
        <x:v>0</x:v>
      </x:c>
      <x:c r="HD161">
        <x:f t="shared" si="233"/>
        <x:v>0</x:v>
      </x:c>
      <x:c r="HE161">
        <x:f t="shared" si="234"/>
        <x:v>0</x:v>
      </x:c>
      <x:c r="HF161">
        <x:f t="shared" si="235"/>
        <x:v>0</x:v>
      </x:c>
      <x:c r="HG161">
        <x:f t="shared" si="236"/>
        <x:v>0</x:v>
      </x:c>
      <x:c r="HH161">
        <x:f t="shared" si="237"/>
        <x:v>0</x:v>
      </x:c>
      <x:c r="HI161">
        <x:f t="shared" si="238"/>
        <x:v>0</x:v>
      </x:c>
      <x:c r="HJ161">
        <x:f t="shared" si="239"/>
        <x:v>0</x:v>
      </x:c>
      <x:c r="HK161">
        <x:f t="shared" si="240"/>
        <x:v>0</x:v>
      </x:c>
      <x:c r="HL161">
        <x:f t="shared" si="241"/>
        <x:v>0</x:v>
      </x:c>
    </x:row>
    <x:row r="162">
      <x:c r="D162" s="74"/>
      <x:c r="EQ162">
        <x:f t="shared" si="168"/>
        <x:v>0</x:v>
      </x:c>
      <x:c r="ER162">
        <x:f t="shared" si="169"/>
        <x:v>0</x:v>
      </x:c>
      <x:c r="ES162">
        <x:f t="shared" si="170"/>
        <x:v>0</x:v>
      </x:c>
      <x:c r="ET162">
        <x:f t="shared" si="171"/>
        <x:v>0</x:v>
      </x:c>
      <x:c r="EU162">
        <x:f t="shared" si="172"/>
        <x:v>0</x:v>
      </x:c>
      <x:c r="EV162">
        <x:f t="shared" si="173"/>
        <x:v>0</x:v>
      </x:c>
      <x:c r="EW162">
        <x:f t="shared" si="174"/>
        <x:v>0</x:v>
      </x:c>
      <x:c r="EX162">
        <x:f t="shared" si="175"/>
        <x:v>0</x:v>
      </x:c>
      <x:c r="EY162">
        <x:f t="shared" si="176"/>
        <x:v>0</x:v>
      </x:c>
      <x:c r="EZ162">
        <x:f t="shared" si="177"/>
        <x:v>0</x:v>
      </x:c>
      <x:c r="FA162" s="41">
        <x:f t="shared" si="178"/>
        <x:v>0</x:v>
      </x:c>
      <x:c r="FB162">
        <x:f t="shared" si="179"/>
        <x:v>0</x:v>
      </x:c>
      <x:c r="FC162">
        <x:f t="shared" si="180"/>
        <x:v>0</x:v>
      </x:c>
      <x:c r="FD162">
        <x:f t="shared" si="181"/>
        <x:v>0</x:v>
      </x:c>
      <x:c r="FE162">
        <x:f t="shared" si="182"/>
        <x:v>0</x:v>
      </x:c>
      <x:c r="FF162">
        <x:f t="shared" si="183"/>
        <x:v>0</x:v>
      </x:c>
      <x:c r="FG162">
        <x:f t="shared" si="184"/>
        <x:v>0</x:v>
      </x:c>
      <x:c r="FH162">
        <x:f t="shared" si="185"/>
        <x:v>0</x:v>
      </x:c>
      <x:c r="FI162">
        <x:f t="shared" si="186"/>
        <x:v>0</x:v>
      </x:c>
      <x:c r="FJ162">
        <x:f t="shared" si="187"/>
        <x:v>0</x:v>
      </x:c>
      <x:c r="FK162">
        <x:f t="shared" si="188"/>
        <x:v>0</x:v>
      </x:c>
      <x:c r="FL162" s="41">
        <x:f t="shared" si="189"/>
        <x:v>0</x:v>
      </x:c>
      <x:c r="FM162">
        <x:f t="shared" si="190"/>
        <x:v>0</x:v>
      </x:c>
      <x:c r="FN162">
        <x:f t="shared" si="191"/>
        <x:v>0</x:v>
      </x:c>
      <x:c r="FO162">
        <x:f t="shared" si="192"/>
        <x:v>0</x:v>
      </x:c>
      <x:c r="FP162">
        <x:f t="shared" si="193"/>
        <x:v>0</x:v>
      </x:c>
      <x:c r="FQ162">
        <x:f t="shared" si="194"/>
        <x:v>0</x:v>
      </x:c>
      <x:c r="FR162">
        <x:f t="shared" si="195"/>
        <x:v>0</x:v>
      </x:c>
      <x:c r="FS162">
        <x:f t="shared" si="196"/>
        <x:v>0</x:v>
      </x:c>
      <x:c r="FT162">
        <x:f t="shared" si="197"/>
        <x:v>0</x:v>
      </x:c>
      <x:c r="FU162">
        <x:f t="shared" si="198"/>
        <x:v>0</x:v>
      </x:c>
      <x:c r="FV162">
        <x:f t="shared" si="199"/>
        <x:v>0</x:v>
      </x:c>
      <x:c r="FW162" s="41">
        <x:f t="shared" si="200"/>
        <x:v>0</x:v>
      </x:c>
      <x:c r="FX162">
        <x:f t="shared" si="201"/>
        <x:v>0</x:v>
      </x:c>
      <x:c r="FY162">
        <x:f t="shared" si="202"/>
        <x:v>0</x:v>
      </x:c>
      <x:c r="FZ162">
        <x:f t="shared" si="203"/>
        <x:v>0</x:v>
      </x:c>
      <x:c r="GA162">
        <x:f t="shared" si="204"/>
        <x:v>0</x:v>
      </x:c>
      <x:c r="GB162">
        <x:f t="shared" si="205"/>
        <x:v>0</x:v>
      </x:c>
      <x:c r="GC162">
        <x:f t="shared" si="206"/>
        <x:v>0</x:v>
      </x:c>
      <x:c r="GD162">
        <x:f t="shared" si="207"/>
        <x:v>0</x:v>
      </x:c>
      <x:c r="GE162">
        <x:f t="shared" si="208"/>
        <x:v>0</x:v>
      </x:c>
      <x:c r="GF162">
        <x:f t="shared" si="209"/>
        <x:v>0</x:v>
      </x:c>
      <x:c r="GG162">
        <x:f t="shared" si="210"/>
        <x:v>0</x:v>
      </x:c>
      <x:c r="GH162">
        <x:f t="shared" si="211"/>
        <x:v>0</x:v>
      </x:c>
      <x:c r="GI162">
        <x:f t="shared" si="212"/>
        <x:v>0</x:v>
      </x:c>
      <x:c r="GJ162">
        <x:f t="shared" si="213"/>
        <x:v>0</x:v>
      </x:c>
      <x:c r="GK162">
        <x:f t="shared" si="214"/>
        <x:v>0</x:v>
      </x:c>
      <x:c r="GL162">
        <x:f t="shared" si="215"/>
        <x:v>0</x:v>
      </x:c>
      <x:c r="GM162">
        <x:f t="shared" si="216"/>
        <x:v>0</x:v>
      </x:c>
      <x:c r="GN162">
        <x:f t="shared" si="217"/>
        <x:v>0</x:v>
      </x:c>
      <x:c r="GO162">
        <x:f t="shared" si="218"/>
        <x:v>0</x:v>
      </x:c>
      <x:c r="GP162">
        <x:f t="shared" si="219"/>
        <x:v>0</x:v>
      </x:c>
      <x:c r="GQ162">
        <x:f t="shared" si="220"/>
        <x:v>0</x:v>
      </x:c>
      <x:c r="GR162" s="42">
        <x:f t="shared" si="221"/>
        <x:v>0</x:v>
      </x:c>
      <x:c r="GS162">
        <x:f t="shared" si="222"/>
        <x:v>0</x:v>
      </x:c>
      <x:c r="GT162">
        <x:f t="shared" si="223"/>
        <x:v>0</x:v>
      </x:c>
      <x:c r="GU162">
        <x:f t="shared" si="224"/>
        <x:v>0</x:v>
      </x:c>
      <x:c r="GV162">
        <x:f t="shared" si="225"/>
        <x:v>0</x:v>
      </x:c>
      <x:c r="GW162">
        <x:f t="shared" si="226"/>
        <x:v>0</x:v>
      </x:c>
      <x:c r="GX162">
        <x:f t="shared" si="227"/>
        <x:v>0</x:v>
      </x:c>
      <x:c r="GY162">
        <x:f t="shared" si="228"/>
        <x:v>0</x:v>
      </x:c>
      <x:c r="GZ162">
        <x:f t="shared" si="229"/>
        <x:v>0</x:v>
      </x:c>
      <x:c r="HA162">
        <x:f t="shared" si="230"/>
        <x:v>0</x:v>
      </x:c>
      <x:c r="HB162" s="42">
        <x:f t="shared" si="231"/>
        <x:v>0</x:v>
      </x:c>
      <x:c r="HC162">
        <x:f t="shared" si="232"/>
        <x:v>0</x:v>
      </x:c>
      <x:c r="HD162">
        <x:f t="shared" si="233"/>
        <x:v>0</x:v>
      </x:c>
      <x:c r="HE162">
        <x:f t="shared" si="234"/>
        <x:v>0</x:v>
      </x:c>
      <x:c r="HF162">
        <x:f t="shared" si="235"/>
        <x:v>0</x:v>
      </x:c>
      <x:c r="HG162">
        <x:f t="shared" si="236"/>
        <x:v>0</x:v>
      </x:c>
      <x:c r="HH162">
        <x:f t="shared" si="237"/>
        <x:v>0</x:v>
      </x:c>
      <x:c r="HI162">
        <x:f t="shared" si="238"/>
        <x:v>0</x:v>
      </x:c>
      <x:c r="HJ162">
        <x:f t="shared" si="239"/>
        <x:v>0</x:v>
      </x:c>
      <x:c r="HK162">
        <x:f t="shared" si="240"/>
        <x:v>0</x:v>
      </x:c>
      <x:c r="HL162">
        <x:f t="shared" si="241"/>
        <x:v>0</x:v>
      </x:c>
    </x:row>
    <x:row r="163">
      <x:c r="D163" s="74"/>
      <x:c r="EQ163">
        <x:f t="shared" si="168"/>
        <x:v>0</x:v>
      </x:c>
      <x:c r="ER163">
        <x:f t="shared" si="169"/>
        <x:v>0</x:v>
      </x:c>
      <x:c r="ES163">
        <x:f t="shared" si="170"/>
        <x:v>0</x:v>
      </x:c>
      <x:c r="ET163">
        <x:f t="shared" si="171"/>
        <x:v>0</x:v>
      </x:c>
      <x:c r="EU163">
        <x:f t="shared" si="172"/>
        <x:v>0</x:v>
      </x:c>
      <x:c r="EV163">
        <x:f t="shared" si="173"/>
        <x:v>0</x:v>
      </x:c>
      <x:c r="EW163">
        <x:f t="shared" si="174"/>
        <x:v>0</x:v>
      </x:c>
      <x:c r="EX163">
        <x:f t="shared" si="175"/>
        <x:v>0</x:v>
      </x:c>
      <x:c r="EY163">
        <x:f t="shared" si="176"/>
        <x:v>0</x:v>
      </x:c>
      <x:c r="EZ163">
        <x:f t="shared" si="177"/>
        <x:v>0</x:v>
      </x:c>
      <x:c r="FA163" s="41">
        <x:f t="shared" si="178"/>
        <x:v>0</x:v>
      </x:c>
      <x:c r="FB163">
        <x:f t="shared" si="179"/>
        <x:v>0</x:v>
      </x:c>
      <x:c r="FC163">
        <x:f t="shared" si="180"/>
        <x:v>0</x:v>
      </x:c>
      <x:c r="FD163">
        <x:f t="shared" si="181"/>
        <x:v>0</x:v>
      </x:c>
      <x:c r="FE163">
        <x:f t="shared" si="182"/>
        <x:v>0</x:v>
      </x:c>
      <x:c r="FF163">
        <x:f t="shared" si="183"/>
        <x:v>0</x:v>
      </x:c>
      <x:c r="FG163">
        <x:f t="shared" si="184"/>
        <x:v>0</x:v>
      </x:c>
      <x:c r="FH163">
        <x:f t="shared" si="185"/>
        <x:v>0</x:v>
      </x:c>
      <x:c r="FI163">
        <x:f t="shared" si="186"/>
        <x:v>0</x:v>
      </x:c>
      <x:c r="FJ163">
        <x:f t="shared" si="187"/>
        <x:v>0</x:v>
      </x:c>
      <x:c r="FK163">
        <x:f t="shared" si="188"/>
        <x:v>0</x:v>
      </x:c>
      <x:c r="FL163" s="41">
        <x:f t="shared" si="189"/>
        <x:v>0</x:v>
      </x:c>
      <x:c r="FM163">
        <x:f t="shared" si="190"/>
        <x:v>0</x:v>
      </x:c>
      <x:c r="FN163">
        <x:f t="shared" si="191"/>
        <x:v>0</x:v>
      </x:c>
      <x:c r="FO163">
        <x:f t="shared" si="192"/>
        <x:v>0</x:v>
      </x:c>
      <x:c r="FP163">
        <x:f t="shared" si="193"/>
        <x:v>0</x:v>
      </x:c>
      <x:c r="FQ163">
        <x:f t="shared" si="194"/>
        <x:v>0</x:v>
      </x:c>
      <x:c r="FR163">
        <x:f t="shared" si="195"/>
        <x:v>0</x:v>
      </x:c>
      <x:c r="FS163">
        <x:f t="shared" si="196"/>
        <x:v>0</x:v>
      </x:c>
      <x:c r="FT163">
        <x:f t="shared" si="197"/>
        <x:v>0</x:v>
      </x:c>
      <x:c r="FU163">
        <x:f t="shared" si="198"/>
        <x:v>0</x:v>
      </x:c>
      <x:c r="FV163">
        <x:f t="shared" si="199"/>
        <x:v>0</x:v>
      </x:c>
      <x:c r="FW163" s="41">
        <x:f t="shared" si="200"/>
        <x:v>0</x:v>
      </x:c>
      <x:c r="FX163">
        <x:f t="shared" si="201"/>
        <x:v>0</x:v>
      </x:c>
      <x:c r="FY163">
        <x:f t="shared" si="202"/>
        <x:v>0</x:v>
      </x:c>
      <x:c r="FZ163">
        <x:f t="shared" si="203"/>
        <x:v>0</x:v>
      </x:c>
      <x:c r="GA163">
        <x:f t="shared" si="204"/>
        <x:v>0</x:v>
      </x:c>
      <x:c r="GB163">
        <x:f t="shared" si="205"/>
        <x:v>0</x:v>
      </x:c>
      <x:c r="GC163">
        <x:f t="shared" si="206"/>
        <x:v>0</x:v>
      </x:c>
      <x:c r="GD163">
        <x:f t="shared" si="207"/>
        <x:v>0</x:v>
      </x:c>
      <x:c r="GE163">
        <x:f t="shared" si="208"/>
        <x:v>0</x:v>
      </x:c>
      <x:c r="GF163">
        <x:f t="shared" si="209"/>
        <x:v>0</x:v>
      </x:c>
      <x:c r="GG163">
        <x:f t="shared" si="210"/>
        <x:v>0</x:v>
      </x:c>
      <x:c r="GH163">
        <x:f t="shared" si="211"/>
        <x:v>0</x:v>
      </x:c>
      <x:c r="GI163">
        <x:f t="shared" si="212"/>
        <x:v>0</x:v>
      </x:c>
      <x:c r="GJ163">
        <x:f t="shared" si="213"/>
        <x:v>0</x:v>
      </x:c>
      <x:c r="GK163">
        <x:f t="shared" si="214"/>
        <x:v>0</x:v>
      </x:c>
      <x:c r="GL163">
        <x:f t="shared" si="215"/>
        <x:v>0</x:v>
      </x:c>
      <x:c r="GM163">
        <x:f t="shared" si="216"/>
        <x:v>0</x:v>
      </x:c>
      <x:c r="GN163">
        <x:f t="shared" si="217"/>
        <x:v>0</x:v>
      </x:c>
      <x:c r="GO163">
        <x:f t="shared" si="218"/>
        <x:v>0</x:v>
      </x:c>
      <x:c r="GP163">
        <x:f t="shared" si="219"/>
        <x:v>0</x:v>
      </x:c>
      <x:c r="GQ163">
        <x:f t="shared" si="220"/>
        <x:v>0</x:v>
      </x:c>
      <x:c r="GR163" s="42">
        <x:f t="shared" si="221"/>
        <x:v>0</x:v>
      </x:c>
      <x:c r="GS163">
        <x:f t="shared" si="222"/>
        <x:v>0</x:v>
      </x:c>
      <x:c r="GT163">
        <x:f t="shared" si="223"/>
        <x:v>0</x:v>
      </x:c>
      <x:c r="GU163">
        <x:f t="shared" si="224"/>
        <x:v>0</x:v>
      </x:c>
      <x:c r="GV163">
        <x:f t="shared" si="225"/>
        <x:v>0</x:v>
      </x:c>
      <x:c r="GW163">
        <x:f t="shared" si="226"/>
        <x:v>0</x:v>
      </x:c>
      <x:c r="GX163">
        <x:f t="shared" si="227"/>
        <x:v>0</x:v>
      </x:c>
      <x:c r="GY163">
        <x:f t="shared" si="228"/>
        <x:v>0</x:v>
      </x:c>
      <x:c r="GZ163">
        <x:f t="shared" si="229"/>
        <x:v>0</x:v>
      </x:c>
      <x:c r="HA163">
        <x:f t="shared" si="230"/>
        <x:v>0</x:v>
      </x:c>
      <x:c r="HB163" s="42">
        <x:f t="shared" si="231"/>
        <x:v>0</x:v>
      </x:c>
      <x:c r="HC163">
        <x:f t="shared" si="232"/>
        <x:v>0</x:v>
      </x:c>
      <x:c r="HD163">
        <x:f t="shared" si="233"/>
        <x:v>0</x:v>
      </x:c>
      <x:c r="HE163">
        <x:f t="shared" si="234"/>
        <x:v>0</x:v>
      </x:c>
      <x:c r="HF163">
        <x:f t="shared" si="235"/>
        <x:v>0</x:v>
      </x:c>
      <x:c r="HG163">
        <x:f t="shared" si="236"/>
        <x:v>0</x:v>
      </x:c>
      <x:c r="HH163">
        <x:f t="shared" si="237"/>
        <x:v>0</x:v>
      </x:c>
      <x:c r="HI163">
        <x:f t="shared" si="238"/>
        <x:v>0</x:v>
      </x:c>
      <x:c r="HJ163">
        <x:f t="shared" si="239"/>
        <x:v>0</x:v>
      </x:c>
      <x:c r="HK163">
        <x:f t="shared" si="240"/>
        <x:v>0</x:v>
      </x:c>
      <x:c r="HL163">
        <x:f t="shared" si="241"/>
        <x:v>0</x:v>
      </x:c>
    </x:row>
    <x:row r="164">
      <x:c r="D164" s="74"/>
      <x:c r="EQ164">
        <x:f t="shared" si="168"/>
        <x:v>0</x:v>
      </x:c>
      <x:c r="ER164">
        <x:f t="shared" si="169"/>
        <x:v>0</x:v>
      </x:c>
      <x:c r="ES164">
        <x:f t="shared" si="170"/>
        <x:v>0</x:v>
      </x:c>
      <x:c r="ET164">
        <x:f t="shared" si="171"/>
        <x:v>0</x:v>
      </x:c>
      <x:c r="EU164">
        <x:f t="shared" si="172"/>
        <x:v>0</x:v>
      </x:c>
      <x:c r="EV164">
        <x:f t="shared" si="173"/>
        <x:v>0</x:v>
      </x:c>
      <x:c r="EW164">
        <x:f t="shared" si="174"/>
        <x:v>0</x:v>
      </x:c>
      <x:c r="EX164">
        <x:f t="shared" si="175"/>
        <x:v>0</x:v>
      </x:c>
      <x:c r="EY164">
        <x:f t="shared" si="176"/>
        <x:v>0</x:v>
      </x:c>
      <x:c r="EZ164">
        <x:f t="shared" si="177"/>
        <x:v>0</x:v>
      </x:c>
      <x:c r="FA164" s="41">
        <x:f t="shared" si="178"/>
        <x:v>0</x:v>
      </x:c>
      <x:c r="FB164">
        <x:f t="shared" si="179"/>
        <x:v>0</x:v>
      </x:c>
      <x:c r="FC164">
        <x:f t="shared" si="180"/>
        <x:v>0</x:v>
      </x:c>
      <x:c r="FD164">
        <x:f t="shared" si="181"/>
        <x:v>0</x:v>
      </x:c>
      <x:c r="FE164">
        <x:f t="shared" si="182"/>
        <x:v>0</x:v>
      </x:c>
      <x:c r="FF164">
        <x:f t="shared" si="183"/>
        <x:v>0</x:v>
      </x:c>
      <x:c r="FG164">
        <x:f t="shared" si="184"/>
        <x:v>0</x:v>
      </x:c>
      <x:c r="FH164">
        <x:f t="shared" si="185"/>
        <x:v>0</x:v>
      </x:c>
      <x:c r="FI164">
        <x:f t="shared" si="186"/>
        <x:v>0</x:v>
      </x:c>
      <x:c r="FJ164">
        <x:f t="shared" si="187"/>
        <x:v>0</x:v>
      </x:c>
      <x:c r="FK164">
        <x:f t="shared" si="188"/>
        <x:v>0</x:v>
      </x:c>
      <x:c r="FL164" s="41">
        <x:f t="shared" si="189"/>
        <x:v>0</x:v>
      </x:c>
      <x:c r="FM164">
        <x:f t="shared" si="190"/>
        <x:v>0</x:v>
      </x:c>
      <x:c r="FN164">
        <x:f t="shared" si="191"/>
        <x:v>0</x:v>
      </x:c>
      <x:c r="FO164">
        <x:f t="shared" si="192"/>
        <x:v>0</x:v>
      </x:c>
      <x:c r="FP164">
        <x:f t="shared" si="193"/>
        <x:v>0</x:v>
      </x:c>
      <x:c r="FQ164">
        <x:f t="shared" si="194"/>
        <x:v>0</x:v>
      </x:c>
      <x:c r="FR164">
        <x:f t="shared" si="195"/>
        <x:v>0</x:v>
      </x:c>
      <x:c r="FS164">
        <x:f t="shared" si="196"/>
        <x:v>0</x:v>
      </x:c>
      <x:c r="FT164">
        <x:f t="shared" si="197"/>
        <x:v>0</x:v>
      </x:c>
      <x:c r="FU164">
        <x:f t="shared" si="198"/>
        <x:v>0</x:v>
      </x:c>
      <x:c r="FV164">
        <x:f t="shared" si="199"/>
        <x:v>0</x:v>
      </x:c>
      <x:c r="FW164" s="41">
        <x:f t="shared" si="200"/>
        <x:v>0</x:v>
      </x:c>
      <x:c r="FX164">
        <x:f t="shared" si="201"/>
        <x:v>0</x:v>
      </x:c>
      <x:c r="FY164">
        <x:f t="shared" si="202"/>
        <x:v>0</x:v>
      </x:c>
      <x:c r="FZ164">
        <x:f t="shared" si="203"/>
        <x:v>0</x:v>
      </x:c>
      <x:c r="GA164">
        <x:f t="shared" si="204"/>
        <x:v>0</x:v>
      </x:c>
      <x:c r="GB164">
        <x:f t="shared" si="205"/>
        <x:v>0</x:v>
      </x:c>
      <x:c r="GC164">
        <x:f t="shared" si="206"/>
        <x:v>0</x:v>
      </x:c>
      <x:c r="GD164">
        <x:f t="shared" si="207"/>
        <x:v>0</x:v>
      </x:c>
      <x:c r="GE164">
        <x:f t="shared" si="208"/>
        <x:v>0</x:v>
      </x:c>
      <x:c r="GF164">
        <x:f t="shared" si="209"/>
        <x:v>0</x:v>
      </x:c>
      <x:c r="GG164">
        <x:f t="shared" si="210"/>
        <x:v>0</x:v>
      </x:c>
      <x:c r="GH164">
        <x:f t="shared" si="211"/>
        <x:v>0</x:v>
      </x:c>
      <x:c r="GI164">
        <x:f t="shared" si="212"/>
        <x:v>0</x:v>
      </x:c>
      <x:c r="GJ164">
        <x:f t="shared" si="213"/>
        <x:v>0</x:v>
      </x:c>
      <x:c r="GK164">
        <x:f t="shared" si="214"/>
        <x:v>0</x:v>
      </x:c>
      <x:c r="GL164">
        <x:f t="shared" si="215"/>
        <x:v>0</x:v>
      </x:c>
      <x:c r="GM164">
        <x:f t="shared" si="216"/>
        <x:v>0</x:v>
      </x:c>
      <x:c r="GN164">
        <x:f t="shared" si="217"/>
        <x:v>0</x:v>
      </x:c>
      <x:c r="GO164">
        <x:f t="shared" si="218"/>
        <x:v>0</x:v>
      </x:c>
      <x:c r="GP164">
        <x:f t="shared" si="219"/>
        <x:v>0</x:v>
      </x:c>
      <x:c r="GQ164">
        <x:f t="shared" si="220"/>
        <x:v>0</x:v>
      </x:c>
      <x:c r="GR164" s="42">
        <x:f t="shared" si="221"/>
        <x:v>0</x:v>
      </x:c>
      <x:c r="GS164">
        <x:f t="shared" si="222"/>
        <x:v>0</x:v>
      </x:c>
      <x:c r="GT164">
        <x:f t="shared" si="223"/>
        <x:v>0</x:v>
      </x:c>
      <x:c r="GU164">
        <x:f t="shared" si="224"/>
        <x:v>0</x:v>
      </x:c>
      <x:c r="GV164">
        <x:f t="shared" si="225"/>
        <x:v>0</x:v>
      </x:c>
      <x:c r="GW164">
        <x:f t="shared" si="226"/>
        <x:v>0</x:v>
      </x:c>
      <x:c r="GX164">
        <x:f t="shared" si="227"/>
        <x:v>0</x:v>
      </x:c>
      <x:c r="GY164">
        <x:f t="shared" si="228"/>
        <x:v>0</x:v>
      </x:c>
      <x:c r="GZ164">
        <x:f t="shared" si="229"/>
        <x:v>0</x:v>
      </x:c>
      <x:c r="HA164">
        <x:f t="shared" si="230"/>
        <x:v>0</x:v>
      </x:c>
      <x:c r="HB164" s="42">
        <x:f t="shared" si="231"/>
        <x:v>0</x:v>
      </x:c>
      <x:c r="HC164">
        <x:f t="shared" si="232"/>
        <x:v>0</x:v>
      </x:c>
      <x:c r="HD164">
        <x:f t="shared" si="233"/>
        <x:v>0</x:v>
      </x:c>
      <x:c r="HE164">
        <x:f t="shared" si="234"/>
        <x:v>0</x:v>
      </x:c>
      <x:c r="HF164">
        <x:f t="shared" si="235"/>
        <x:v>0</x:v>
      </x:c>
      <x:c r="HG164">
        <x:f t="shared" si="236"/>
        <x:v>0</x:v>
      </x:c>
      <x:c r="HH164">
        <x:f t="shared" si="237"/>
        <x:v>0</x:v>
      </x:c>
      <x:c r="HI164">
        <x:f t="shared" si="238"/>
        <x:v>0</x:v>
      </x:c>
      <x:c r="HJ164">
        <x:f t="shared" si="239"/>
        <x:v>0</x:v>
      </x:c>
      <x:c r="HK164">
        <x:f t="shared" si="240"/>
        <x:v>0</x:v>
      </x:c>
      <x:c r="HL164">
        <x:f t="shared" si="241"/>
        <x:v>0</x:v>
      </x:c>
    </x:row>
    <x:row r="165">
      <x:c r="D165" s="74"/>
      <x:c r="EQ165">
        <x:f t="shared" si="168"/>
        <x:v>0</x:v>
      </x:c>
      <x:c r="ER165">
        <x:f t="shared" si="169"/>
        <x:v>0</x:v>
      </x:c>
      <x:c r="ES165">
        <x:f t="shared" si="170"/>
        <x:v>0</x:v>
      </x:c>
      <x:c r="ET165">
        <x:f t="shared" si="171"/>
        <x:v>0</x:v>
      </x:c>
      <x:c r="EU165">
        <x:f t="shared" si="172"/>
        <x:v>0</x:v>
      </x:c>
      <x:c r="EV165">
        <x:f t="shared" si="173"/>
        <x:v>0</x:v>
      </x:c>
      <x:c r="EW165">
        <x:f t="shared" si="174"/>
        <x:v>0</x:v>
      </x:c>
      <x:c r="EX165">
        <x:f t="shared" si="175"/>
        <x:v>0</x:v>
      </x:c>
      <x:c r="EY165">
        <x:f t="shared" si="176"/>
        <x:v>0</x:v>
      </x:c>
      <x:c r="EZ165">
        <x:f t="shared" si="177"/>
        <x:v>0</x:v>
      </x:c>
      <x:c r="FA165" s="41">
        <x:f t="shared" si="178"/>
        <x:v>0</x:v>
      </x:c>
      <x:c r="FB165">
        <x:f t="shared" si="179"/>
        <x:v>0</x:v>
      </x:c>
      <x:c r="FC165">
        <x:f t="shared" si="180"/>
        <x:v>0</x:v>
      </x:c>
      <x:c r="FD165">
        <x:f t="shared" si="181"/>
        <x:v>0</x:v>
      </x:c>
      <x:c r="FE165">
        <x:f t="shared" si="182"/>
        <x:v>0</x:v>
      </x:c>
      <x:c r="FF165">
        <x:f t="shared" si="183"/>
        <x:v>0</x:v>
      </x:c>
      <x:c r="FG165">
        <x:f t="shared" si="184"/>
        <x:v>0</x:v>
      </x:c>
      <x:c r="FH165">
        <x:f t="shared" si="185"/>
        <x:v>0</x:v>
      </x:c>
      <x:c r="FI165">
        <x:f t="shared" si="186"/>
        <x:v>0</x:v>
      </x:c>
      <x:c r="FJ165">
        <x:f t="shared" si="187"/>
        <x:v>0</x:v>
      </x:c>
      <x:c r="FK165">
        <x:f t="shared" si="188"/>
        <x:v>0</x:v>
      </x:c>
      <x:c r="FL165" s="41">
        <x:f t="shared" si="189"/>
        <x:v>0</x:v>
      </x:c>
      <x:c r="FM165">
        <x:f t="shared" si="190"/>
        <x:v>0</x:v>
      </x:c>
      <x:c r="FN165">
        <x:f t="shared" si="191"/>
        <x:v>0</x:v>
      </x:c>
      <x:c r="FO165">
        <x:f t="shared" si="192"/>
        <x:v>0</x:v>
      </x:c>
      <x:c r="FP165">
        <x:f t="shared" si="193"/>
        <x:v>0</x:v>
      </x:c>
      <x:c r="FQ165">
        <x:f t="shared" si="194"/>
        <x:v>0</x:v>
      </x:c>
      <x:c r="FR165">
        <x:f t="shared" si="195"/>
        <x:v>0</x:v>
      </x:c>
      <x:c r="FS165">
        <x:f t="shared" si="196"/>
        <x:v>0</x:v>
      </x:c>
      <x:c r="FT165">
        <x:f t="shared" si="197"/>
        <x:v>0</x:v>
      </x:c>
      <x:c r="FU165">
        <x:f t="shared" si="198"/>
        <x:v>0</x:v>
      </x:c>
      <x:c r="FV165">
        <x:f t="shared" si="199"/>
        <x:v>0</x:v>
      </x:c>
      <x:c r="FW165" s="41">
        <x:f t="shared" si="200"/>
        <x:v>0</x:v>
      </x:c>
      <x:c r="FX165">
        <x:f t="shared" si="201"/>
        <x:v>0</x:v>
      </x:c>
      <x:c r="FY165">
        <x:f t="shared" si="202"/>
        <x:v>0</x:v>
      </x:c>
      <x:c r="FZ165">
        <x:f t="shared" si="203"/>
        <x:v>0</x:v>
      </x:c>
      <x:c r="GA165">
        <x:f t="shared" si="204"/>
        <x:v>0</x:v>
      </x:c>
      <x:c r="GB165">
        <x:f t="shared" si="205"/>
        <x:v>0</x:v>
      </x:c>
      <x:c r="GC165">
        <x:f t="shared" si="206"/>
        <x:v>0</x:v>
      </x:c>
      <x:c r="GD165">
        <x:f t="shared" si="207"/>
        <x:v>0</x:v>
      </x:c>
      <x:c r="GE165">
        <x:f t="shared" si="208"/>
        <x:v>0</x:v>
      </x:c>
      <x:c r="GF165">
        <x:f t="shared" si="209"/>
        <x:v>0</x:v>
      </x:c>
      <x:c r="GG165">
        <x:f t="shared" si="210"/>
        <x:v>0</x:v>
      </x:c>
      <x:c r="GH165">
        <x:f t="shared" si="211"/>
        <x:v>0</x:v>
      </x:c>
      <x:c r="GI165">
        <x:f t="shared" si="212"/>
        <x:v>0</x:v>
      </x:c>
      <x:c r="GJ165">
        <x:f t="shared" si="213"/>
        <x:v>0</x:v>
      </x:c>
      <x:c r="GK165">
        <x:f t="shared" si="214"/>
        <x:v>0</x:v>
      </x:c>
      <x:c r="GL165">
        <x:f t="shared" si="215"/>
        <x:v>0</x:v>
      </x:c>
      <x:c r="GM165">
        <x:f t="shared" si="216"/>
        <x:v>0</x:v>
      </x:c>
      <x:c r="GN165">
        <x:f t="shared" si="217"/>
        <x:v>0</x:v>
      </x:c>
      <x:c r="GO165">
        <x:f t="shared" si="218"/>
        <x:v>0</x:v>
      </x:c>
      <x:c r="GP165">
        <x:f t="shared" si="219"/>
        <x:v>0</x:v>
      </x:c>
      <x:c r="GQ165">
        <x:f t="shared" si="220"/>
        <x:v>0</x:v>
      </x:c>
      <x:c r="GR165" s="42">
        <x:f t="shared" si="221"/>
        <x:v>0</x:v>
      </x:c>
      <x:c r="GS165">
        <x:f t="shared" si="222"/>
        <x:v>0</x:v>
      </x:c>
      <x:c r="GT165">
        <x:f t="shared" si="223"/>
        <x:v>0</x:v>
      </x:c>
      <x:c r="GU165">
        <x:f t="shared" si="224"/>
        <x:v>0</x:v>
      </x:c>
      <x:c r="GV165">
        <x:f t="shared" si="225"/>
        <x:v>0</x:v>
      </x:c>
      <x:c r="GW165">
        <x:f t="shared" si="226"/>
        <x:v>0</x:v>
      </x:c>
      <x:c r="GX165">
        <x:f t="shared" si="227"/>
        <x:v>0</x:v>
      </x:c>
      <x:c r="GY165">
        <x:f t="shared" si="228"/>
        <x:v>0</x:v>
      </x:c>
      <x:c r="GZ165">
        <x:f t="shared" si="229"/>
        <x:v>0</x:v>
      </x:c>
      <x:c r="HA165">
        <x:f t="shared" si="230"/>
        <x:v>0</x:v>
      </x:c>
      <x:c r="HB165" s="42">
        <x:f t="shared" si="231"/>
        <x:v>0</x:v>
      </x:c>
      <x:c r="HC165">
        <x:f t="shared" si="232"/>
        <x:v>0</x:v>
      </x:c>
      <x:c r="HD165">
        <x:f t="shared" si="233"/>
        <x:v>0</x:v>
      </x:c>
      <x:c r="HE165">
        <x:f t="shared" si="234"/>
        <x:v>0</x:v>
      </x:c>
      <x:c r="HF165">
        <x:f t="shared" si="235"/>
        <x:v>0</x:v>
      </x:c>
      <x:c r="HG165">
        <x:f t="shared" si="236"/>
        <x:v>0</x:v>
      </x:c>
      <x:c r="HH165">
        <x:f t="shared" si="237"/>
        <x:v>0</x:v>
      </x:c>
      <x:c r="HI165">
        <x:f t="shared" si="238"/>
        <x:v>0</x:v>
      </x:c>
      <x:c r="HJ165">
        <x:f t="shared" si="239"/>
        <x:v>0</x:v>
      </x:c>
      <x:c r="HK165">
        <x:f t="shared" si="240"/>
        <x:v>0</x:v>
      </x:c>
      <x:c r="HL165">
        <x:f t="shared" si="241"/>
        <x:v>0</x:v>
      </x:c>
    </x:row>
    <x:row r="166">
      <x:c r="D166" s="74"/>
      <x:c r="EQ166">
        <x:f t="shared" si="168"/>
        <x:v>0</x:v>
      </x:c>
      <x:c r="ER166">
        <x:f t="shared" si="169"/>
        <x:v>0</x:v>
      </x:c>
      <x:c r="ES166">
        <x:f t="shared" si="170"/>
        <x:v>0</x:v>
      </x:c>
      <x:c r="ET166">
        <x:f t="shared" si="171"/>
        <x:v>0</x:v>
      </x:c>
      <x:c r="EU166">
        <x:f t="shared" si="172"/>
        <x:v>0</x:v>
      </x:c>
      <x:c r="EV166">
        <x:f t="shared" si="173"/>
        <x:v>0</x:v>
      </x:c>
      <x:c r="EW166">
        <x:f t="shared" si="174"/>
        <x:v>0</x:v>
      </x:c>
      <x:c r="EX166">
        <x:f t="shared" si="175"/>
        <x:v>0</x:v>
      </x:c>
      <x:c r="EY166">
        <x:f t="shared" si="176"/>
        <x:v>0</x:v>
      </x:c>
      <x:c r="EZ166">
        <x:f t="shared" si="177"/>
        <x:v>0</x:v>
      </x:c>
      <x:c r="FA166" s="41">
        <x:f t="shared" si="178"/>
        <x:v>0</x:v>
      </x:c>
      <x:c r="FB166">
        <x:f t="shared" si="179"/>
        <x:v>0</x:v>
      </x:c>
      <x:c r="FC166">
        <x:f t="shared" si="180"/>
        <x:v>0</x:v>
      </x:c>
      <x:c r="FD166">
        <x:f t="shared" si="181"/>
        <x:v>0</x:v>
      </x:c>
      <x:c r="FE166">
        <x:f t="shared" si="182"/>
        <x:v>0</x:v>
      </x:c>
      <x:c r="FF166">
        <x:f t="shared" si="183"/>
        <x:v>0</x:v>
      </x:c>
      <x:c r="FG166">
        <x:f t="shared" si="184"/>
        <x:v>0</x:v>
      </x:c>
      <x:c r="FH166">
        <x:f t="shared" si="185"/>
        <x:v>0</x:v>
      </x:c>
      <x:c r="FI166">
        <x:f t="shared" si="186"/>
        <x:v>0</x:v>
      </x:c>
      <x:c r="FJ166">
        <x:f t="shared" si="187"/>
        <x:v>0</x:v>
      </x:c>
      <x:c r="FK166">
        <x:f t="shared" si="188"/>
        <x:v>0</x:v>
      </x:c>
      <x:c r="FL166" s="41">
        <x:f t="shared" si="189"/>
        <x:v>0</x:v>
      </x:c>
      <x:c r="FM166">
        <x:f t="shared" si="190"/>
        <x:v>0</x:v>
      </x:c>
      <x:c r="FN166">
        <x:f t="shared" si="191"/>
        <x:v>0</x:v>
      </x:c>
      <x:c r="FO166">
        <x:f t="shared" si="192"/>
        <x:v>0</x:v>
      </x:c>
      <x:c r="FP166">
        <x:f t="shared" si="193"/>
        <x:v>0</x:v>
      </x:c>
      <x:c r="FQ166">
        <x:f t="shared" si="194"/>
        <x:v>0</x:v>
      </x:c>
      <x:c r="FR166">
        <x:f t="shared" si="195"/>
        <x:v>0</x:v>
      </x:c>
      <x:c r="FS166">
        <x:f t="shared" si="196"/>
        <x:v>0</x:v>
      </x:c>
      <x:c r="FT166">
        <x:f t="shared" si="197"/>
        <x:v>0</x:v>
      </x:c>
      <x:c r="FU166">
        <x:f t="shared" si="198"/>
        <x:v>0</x:v>
      </x:c>
      <x:c r="FV166">
        <x:f t="shared" si="199"/>
        <x:v>0</x:v>
      </x:c>
      <x:c r="FW166" s="41">
        <x:f t="shared" si="200"/>
        <x:v>0</x:v>
      </x:c>
      <x:c r="FX166">
        <x:f t="shared" si="201"/>
        <x:v>0</x:v>
      </x:c>
      <x:c r="FY166">
        <x:f t="shared" si="202"/>
        <x:v>0</x:v>
      </x:c>
      <x:c r="FZ166">
        <x:f t="shared" si="203"/>
        <x:v>0</x:v>
      </x:c>
      <x:c r="GA166">
        <x:f t="shared" si="204"/>
        <x:v>0</x:v>
      </x:c>
      <x:c r="GB166">
        <x:f t="shared" si="205"/>
        <x:v>0</x:v>
      </x:c>
      <x:c r="GC166">
        <x:f t="shared" si="206"/>
        <x:v>0</x:v>
      </x:c>
      <x:c r="GD166">
        <x:f t="shared" si="207"/>
        <x:v>0</x:v>
      </x:c>
      <x:c r="GE166">
        <x:f t="shared" si="208"/>
        <x:v>0</x:v>
      </x:c>
      <x:c r="GF166">
        <x:f t="shared" si="209"/>
        <x:v>0</x:v>
      </x:c>
      <x:c r="GG166">
        <x:f t="shared" si="210"/>
        <x:v>0</x:v>
      </x:c>
      <x:c r="GH166">
        <x:f t="shared" si="211"/>
        <x:v>0</x:v>
      </x:c>
      <x:c r="GI166">
        <x:f t="shared" si="212"/>
        <x:v>0</x:v>
      </x:c>
      <x:c r="GJ166">
        <x:f t="shared" si="213"/>
        <x:v>0</x:v>
      </x:c>
      <x:c r="GK166">
        <x:f t="shared" si="214"/>
        <x:v>0</x:v>
      </x:c>
      <x:c r="GL166">
        <x:f t="shared" si="215"/>
        <x:v>0</x:v>
      </x:c>
      <x:c r="GM166">
        <x:f t="shared" si="216"/>
        <x:v>0</x:v>
      </x:c>
      <x:c r="GN166">
        <x:f t="shared" si="217"/>
        <x:v>0</x:v>
      </x:c>
      <x:c r="GO166">
        <x:f t="shared" si="218"/>
        <x:v>0</x:v>
      </x:c>
      <x:c r="GP166">
        <x:f t="shared" si="219"/>
        <x:v>0</x:v>
      </x:c>
      <x:c r="GQ166">
        <x:f t="shared" si="220"/>
        <x:v>0</x:v>
      </x:c>
      <x:c r="GR166" s="42">
        <x:f t="shared" si="221"/>
        <x:v>0</x:v>
      </x:c>
      <x:c r="GS166">
        <x:f t="shared" si="222"/>
        <x:v>0</x:v>
      </x:c>
      <x:c r="GT166">
        <x:f t="shared" si="223"/>
        <x:v>0</x:v>
      </x:c>
      <x:c r="GU166">
        <x:f t="shared" si="224"/>
        <x:v>0</x:v>
      </x:c>
      <x:c r="GV166">
        <x:f t="shared" si="225"/>
        <x:v>0</x:v>
      </x:c>
      <x:c r="GW166">
        <x:f t="shared" si="226"/>
        <x:v>0</x:v>
      </x:c>
      <x:c r="GX166">
        <x:f t="shared" si="227"/>
        <x:v>0</x:v>
      </x:c>
      <x:c r="GY166">
        <x:f t="shared" si="228"/>
        <x:v>0</x:v>
      </x:c>
      <x:c r="GZ166">
        <x:f t="shared" si="229"/>
        <x:v>0</x:v>
      </x:c>
      <x:c r="HA166">
        <x:f t="shared" si="230"/>
        <x:v>0</x:v>
      </x:c>
      <x:c r="HB166" s="42">
        <x:f t="shared" si="231"/>
        <x:v>0</x:v>
      </x:c>
      <x:c r="HC166">
        <x:f t="shared" si="232"/>
        <x:v>0</x:v>
      </x:c>
      <x:c r="HD166">
        <x:f t="shared" si="233"/>
        <x:v>0</x:v>
      </x:c>
      <x:c r="HE166">
        <x:f t="shared" si="234"/>
        <x:v>0</x:v>
      </x:c>
      <x:c r="HF166">
        <x:f t="shared" si="235"/>
        <x:v>0</x:v>
      </x:c>
      <x:c r="HG166">
        <x:f t="shared" si="236"/>
        <x:v>0</x:v>
      </x:c>
      <x:c r="HH166">
        <x:f t="shared" si="237"/>
        <x:v>0</x:v>
      </x:c>
      <x:c r="HI166">
        <x:f t="shared" si="238"/>
        <x:v>0</x:v>
      </x:c>
      <x:c r="HJ166">
        <x:f t="shared" si="239"/>
        <x:v>0</x:v>
      </x:c>
      <x:c r="HK166">
        <x:f t="shared" si="240"/>
        <x:v>0</x:v>
      </x:c>
      <x:c r="HL166">
        <x:f t="shared" si="241"/>
        <x:v>0</x:v>
      </x:c>
    </x:row>
    <x:row r="167">
      <x:c r="D167" s="74"/>
      <x:c r="EQ167">
        <x:f t="shared" si="168"/>
        <x:v>0</x:v>
      </x:c>
      <x:c r="ER167">
        <x:f t="shared" si="169"/>
        <x:v>0</x:v>
      </x:c>
      <x:c r="ES167">
        <x:f t="shared" si="170"/>
        <x:v>0</x:v>
      </x:c>
      <x:c r="ET167">
        <x:f t="shared" si="171"/>
        <x:v>0</x:v>
      </x:c>
      <x:c r="EU167">
        <x:f t="shared" si="172"/>
        <x:v>0</x:v>
      </x:c>
      <x:c r="EV167">
        <x:f t="shared" si="173"/>
        <x:v>0</x:v>
      </x:c>
      <x:c r="EW167">
        <x:f t="shared" si="174"/>
        <x:v>0</x:v>
      </x:c>
      <x:c r="EX167">
        <x:f t="shared" si="175"/>
        <x:v>0</x:v>
      </x:c>
      <x:c r="EY167">
        <x:f t="shared" si="176"/>
        <x:v>0</x:v>
      </x:c>
      <x:c r="EZ167">
        <x:f t="shared" si="177"/>
        <x:v>0</x:v>
      </x:c>
      <x:c r="FA167" s="41">
        <x:f t="shared" si="178"/>
        <x:v>0</x:v>
      </x:c>
      <x:c r="FB167">
        <x:f t="shared" si="179"/>
        <x:v>0</x:v>
      </x:c>
      <x:c r="FC167">
        <x:f t="shared" si="180"/>
        <x:v>0</x:v>
      </x:c>
      <x:c r="FD167">
        <x:f t="shared" si="181"/>
        <x:v>0</x:v>
      </x:c>
      <x:c r="FE167">
        <x:f t="shared" si="182"/>
        <x:v>0</x:v>
      </x:c>
      <x:c r="FF167">
        <x:f t="shared" si="183"/>
        <x:v>0</x:v>
      </x:c>
      <x:c r="FG167">
        <x:f t="shared" si="184"/>
        <x:v>0</x:v>
      </x:c>
      <x:c r="FH167">
        <x:f t="shared" si="185"/>
        <x:v>0</x:v>
      </x:c>
      <x:c r="FI167">
        <x:f t="shared" si="186"/>
        <x:v>0</x:v>
      </x:c>
      <x:c r="FJ167">
        <x:f t="shared" si="187"/>
        <x:v>0</x:v>
      </x:c>
      <x:c r="FK167">
        <x:f t="shared" si="188"/>
        <x:v>0</x:v>
      </x:c>
      <x:c r="FL167" s="41">
        <x:f t="shared" si="189"/>
        <x:v>0</x:v>
      </x:c>
      <x:c r="FM167">
        <x:f t="shared" si="190"/>
        <x:v>0</x:v>
      </x:c>
      <x:c r="FN167">
        <x:f t="shared" si="191"/>
        <x:v>0</x:v>
      </x:c>
      <x:c r="FO167">
        <x:f t="shared" si="192"/>
        <x:v>0</x:v>
      </x:c>
      <x:c r="FP167">
        <x:f t="shared" si="193"/>
        <x:v>0</x:v>
      </x:c>
      <x:c r="FQ167">
        <x:f t="shared" si="194"/>
        <x:v>0</x:v>
      </x:c>
      <x:c r="FR167">
        <x:f t="shared" si="195"/>
        <x:v>0</x:v>
      </x:c>
      <x:c r="FS167">
        <x:f t="shared" si="196"/>
        <x:v>0</x:v>
      </x:c>
      <x:c r="FT167">
        <x:f t="shared" si="197"/>
        <x:v>0</x:v>
      </x:c>
      <x:c r="FU167">
        <x:f t="shared" si="198"/>
        <x:v>0</x:v>
      </x:c>
      <x:c r="FV167">
        <x:f t="shared" si="199"/>
        <x:v>0</x:v>
      </x:c>
      <x:c r="FW167" s="41">
        <x:f t="shared" si="200"/>
        <x:v>0</x:v>
      </x:c>
      <x:c r="FX167">
        <x:f t="shared" si="201"/>
        <x:v>0</x:v>
      </x:c>
      <x:c r="FY167">
        <x:f t="shared" si="202"/>
        <x:v>0</x:v>
      </x:c>
      <x:c r="FZ167">
        <x:f t="shared" si="203"/>
        <x:v>0</x:v>
      </x:c>
      <x:c r="GA167">
        <x:f t="shared" si="204"/>
        <x:v>0</x:v>
      </x:c>
      <x:c r="GB167">
        <x:f t="shared" si="205"/>
        <x:v>0</x:v>
      </x:c>
      <x:c r="GC167">
        <x:f t="shared" si="206"/>
        <x:v>0</x:v>
      </x:c>
      <x:c r="GD167">
        <x:f t="shared" si="207"/>
        <x:v>0</x:v>
      </x:c>
      <x:c r="GE167">
        <x:f t="shared" si="208"/>
        <x:v>0</x:v>
      </x:c>
      <x:c r="GF167">
        <x:f t="shared" si="209"/>
        <x:v>0</x:v>
      </x:c>
      <x:c r="GG167">
        <x:f t="shared" si="210"/>
        <x:v>0</x:v>
      </x:c>
      <x:c r="GH167">
        <x:f t="shared" si="211"/>
        <x:v>0</x:v>
      </x:c>
      <x:c r="GI167">
        <x:f t="shared" si="212"/>
        <x:v>0</x:v>
      </x:c>
      <x:c r="GJ167">
        <x:f t="shared" si="213"/>
        <x:v>0</x:v>
      </x:c>
      <x:c r="GK167">
        <x:f t="shared" si="214"/>
        <x:v>0</x:v>
      </x:c>
      <x:c r="GL167">
        <x:f t="shared" si="215"/>
        <x:v>0</x:v>
      </x:c>
      <x:c r="GM167">
        <x:f t="shared" si="216"/>
        <x:v>0</x:v>
      </x:c>
      <x:c r="GN167">
        <x:f t="shared" si="217"/>
        <x:v>0</x:v>
      </x:c>
      <x:c r="GO167">
        <x:f t="shared" si="218"/>
        <x:v>0</x:v>
      </x:c>
      <x:c r="GP167">
        <x:f t="shared" si="219"/>
        <x:v>0</x:v>
      </x:c>
      <x:c r="GQ167">
        <x:f t="shared" si="220"/>
        <x:v>0</x:v>
      </x:c>
      <x:c r="GR167" s="42">
        <x:f t="shared" si="221"/>
        <x:v>0</x:v>
      </x:c>
      <x:c r="GS167">
        <x:f t="shared" si="222"/>
        <x:v>0</x:v>
      </x:c>
      <x:c r="GT167">
        <x:f t="shared" si="223"/>
        <x:v>0</x:v>
      </x:c>
      <x:c r="GU167">
        <x:f t="shared" si="224"/>
        <x:v>0</x:v>
      </x:c>
      <x:c r="GV167">
        <x:f t="shared" si="225"/>
        <x:v>0</x:v>
      </x:c>
      <x:c r="GW167">
        <x:f t="shared" si="226"/>
        <x:v>0</x:v>
      </x:c>
      <x:c r="GX167">
        <x:f t="shared" si="227"/>
        <x:v>0</x:v>
      </x:c>
      <x:c r="GY167">
        <x:f t="shared" si="228"/>
        <x:v>0</x:v>
      </x:c>
      <x:c r="GZ167">
        <x:f t="shared" si="229"/>
        <x:v>0</x:v>
      </x:c>
      <x:c r="HA167">
        <x:f t="shared" si="230"/>
        <x:v>0</x:v>
      </x:c>
      <x:c r="HB167" s="42">
        <x:f t="shared" si="231"/>
        <x:v>0</x:v>
      </x:c>
      <x:c r="HC167">
        <x:f t="shared" si="232"/>
        <x:v>0</x:v>
      </x:c>
      <x:c r="HD167">
        <x:f t="shared" si="233"/>
        <x:v>0</x:v>
      </x:c>
      <x:c r="HE167">
        <x:f t="shared" si="234"/>
        <x:v>0</x:v>
      </x:c>
      <x:c r="HF167">
        <x:f t="shared" si="235"/>
        <x:v>0</x:v>
      </x:c>
      <x:c r="HG167">
        <x:f t="shared" si="236"/>
        <x:v>0</x:v>
      </x:c>
      <x:c r="HH167">
        <x:f t="shared" si="237"/>
        <x:v>0</x:v>
      </x:c>
      <x:c r="HI167">
        <x:f t="shared" si="238"/>
        <x:v>0</x:v>
      </x:c>
      <x:c r="HJ167">
        <x:f t="shared" si="239"/>
        <x:v>0</x:v>
      </x:c>
      <x:c r="HK167">
        <x:f t="shared" si="240"/>
        <x:v>0</x:v>
      </x:c>
      <x:c r="HL167">
        <x:f t="shared" si="241"/>
        <x:v>0</x:v>
      </x:c>
    </x:row>
    <x:row r="168">
      <x:c r="D168" s="74"/>
      <x:c r="EQ168">
        <x:f t="shared" si="168"/>
        <x:v>0</x:v>
      </x:c>
      <x:c r="ER168">
        <x:f t="shared" si="169"/>
        <x:v>0</x:v>
      </x:c>
      <x:c r="ES168">
        <x:f t="shared" si="170"/>
        <x:v>0</x:v>
      </x:c>
      <x:c r="ET168">
        <x:f t="shared" si="171"/>
        <x:v>0</x:v>
      </x:c>
      <x:c r="EU168">
        <x:f t="shared" si="172"/>
        <x:v>0</x:v>
      </x:c>
      <x:c r="EV168">
        <x:f t="shared" si="173"/>
        <x:v>0</x:v>
      </x:c>
      <x:c r="EW168">
        <x:f t="shared" si="174"/>
        <x:v>0</x:v>
      </x:c>
      <x:c r="EX168">
        <x:f t="shared" si="175"/>
        <x:v>0</x:v>
      </x:c>
      <x:c r="EY168">
        <x:f t="shared" si="176"/>
        <x:v>0</x:v>
      </x:c>
      <x:c r="EZ168">
        <x:f t="shared" si="177"/>
        <x:v>0</x:v>
      </x:c>
      <x:c r="FA168" s="41">
        <x:f t="shared" si="178"/>
        <x:v>0</x:v>
      </x:c>
      <x:c r="FB168">
        <x:f t="shared" si="179"/>
        <x:v>0</x:v>
      </x:c>
      <x:c r="FC168">
        <x:f t="shared" si="180"/>
        <x:v>0</x:v>
      </x:c>
      <x:c r="FD168">
        <x:f t="shared" si="181"/>
        <x:v>0</x:v>
      </x:c>
      <x:c r="FE168">
        <x:f t="shared" si="182"/>
        <x:v>0</x:v>
      </x:c>
      <x:c r="FF168">
        <x:f t="shared" si="183"/>
        <x:v>0</x:v>
      </x:c>
      <x:c r="FG168">
        <x:f t="shared" si="184"/>
        <x:v>0</x:v>
      </x:c>
      <x:c r="FH168">
        <x:f t="shared" si="185"/>
        <x:v>0</x:v>
      </x:c>
      <x:c r="FI168">
        <x:f t="shared" si="186"/>
        <x:v>0</x:v>
      </x:c>
      <x:c r="FJ168">
        <x:f t="shared" si="187"/>
        <x:v>0</x:v>
      </x:c>
      <x:c r="FK168">
        <x:f t="shared" si="188"/>
        <x:v>0</x:v>
      </x:c>
      <x:c r="FL168" s="41">
        <x:f t="shared" si="189"/>
        <x:v>0</x:v>
      </x:c>
      <x:c r="FM168">
        <x:f t="shared" si="190"/>
        <x:v>0</x:v>
      </x:c>
      <x:c r="FN168">
        <x:f t="shared" si="191"/>
        <x:v>0</x:v>
      </x:c>
      <x:c r="FO168">
        <x:f t="shared" si="192"/>
        <x:v>0</x:v>
      </x:c>
      <x:c r="FP168">
        <x:f t="shared" si="193"/>
        <x:v>0</x:v>
      </x:c>
      <x:c r="FQ168">
        <x:f t="shared" si="194"/>
        <x:v>0</x:v>
      </x:c>
      <x:c r="FR168">
        <x:f t="shared" si="195"/>
        <x:v>0</x:v>
      </x:c>
      <x:c r="FS168">
        <x:f t="shared" si="196"/>
        <x:v>0</x:v>
      </x:c>
      <x:c r="FT168">
        <x:f t="shared" si="197"/>
        <x:v>0</x:v>
      </x:c>
      <x:c r="FU168">
        <x:f t="shared" si="198"/>
        <x:v>0</x:v>
      </x:c>
      <x:c r="FV168">
        <x:f t="shared" si="199"/>
        <x:v>0</x:v>
      </x:c>
      <x:c r="FW168" s="41">
        <x:f t="shared" si="200"/>
        <x:v>0</x:v>
      </x:c>
      <x:c r="FX168">
        <x:f t="shared" si="201"/>
        <x:v>0</x:v>
      </x:c>
      <x:c r="FY168">
        <x:f t="shared" si="202"/>
        <x:v>0</x:v>
      </x:c>
      <x:c r="FZ168">
        <x:f t="shared" si="203"/>
        <x:v>0</x:v>
      </x:c>
      <x:c r="GA168">
        <x:f t="shared" si="204"/>
        <x:v>0</x:v>
      </x:c>
      <x:c r="GB168">
        <x:f t="shared" si="205"/>
        <x:v>0</x:v>
      </x:c>
      <x:c r="GC168">
        <x:f t="shared" si="206"/>
        <x:v>0</x:v>
      </x:c>
      <x:c r="GD168">
        <x:f t="shared" si="207"/>
        <x:v>0</x:v>
      </x:c>
      <x:c r="GE168">
        <x:f t="shared" si="208"/>
        <x:v>0</x:v>
      </x:c>
      <x:c r="GF168">
        <x:f t="shared" si="209"/>
        <x:v>0</x:v>
      </x:c>
      <x:c r="GG168">
        <x:f t="shared" si="210"/>
        <x:v>0</x:v>
      </x:c>
      <x:c r="GH168">
        <x:f t="shared" si="211"/>
        <x:v>0</x:v>
      </x:c>
      <x:c r="GI168">
        <x:f t="shared" si="212"/>
        <x:v>0</x:v>
      </x:c>
      <x:c r="GJ168">
        <x:f t="shared" si="213"/>
        <x:v>0</x:v>
      </x:c>
      <x:c r="GK168">
        <x:f t="shared" si="214"/>
        <x:v>0</x:v>
      </x:c>
      <x:c r="GL168">
        <x:f t="shared" si="215"/>
        <x:v>0</x:v>
      </x:c>
      <x:c r="GM168">
        <x:f t="shared" si="216"/>
        <x:v>0</x:v>
      </x:c>
      <x:c r="GN168">
        <x:f t="shared" si="217"/>
        <x:v>0</x:v>
      </x:c>
      <x:c r="GO168">
        <x:f t="shared" si="218"/>
        <x:v>0</x:v>
      </x:c>
      <x:c r="GP168">
        <x:f t="shared" si="219"/>
        <x:v>0</x:v>
      </x:c>
      <x:c r="GQ168">
        <x:f t="shared" si="220"/>
        <x:v>0</x:v>
      </x:c>
      <x:c r="GR168" s="42">
        <x:f t="shared" si="221"/>
        <x:v>0</x:v>
      </x:c>
      <x:c r="GS168">
        <x:f t="shared" si="222"/>
        <x:v>0</x:v>
      </x:c>
      <x:c r="GT168">
        <x:f t="shared" si="223"/>
        <x:v>0</x:v>
      </x:c>
      <x:c r="GU168">
        <x:f t="shared" si="224"/>
        <x:v>0</x:v>
      </x:c>
      <x:c r="GV168">
        <x:f t="shared" si="225"/>
        <x:v>0</x:v>
      </x:c>
      <x:c r="GW168">
        <x:f t="shared" si="226"/>
        <x:v>0</x:v>
      </x:c>
      <x:c r="GX168">
        <x:f t="shared" si="227"/>
        <x:v>0</x:v>
      </x:c>
      <x:c r="GY168">
        <x:f t="shared" si="228"/>
        <x:v>0</x:v>
      </x:c>
      <x:c r="GZ168">
        <x:f t="shared" si="229"/>
        <x:v>0</x:v>
      </x:c>
      <x:c r="HA168">
        <x:f t="shared" si="230"/>
        <x:v>0</x:v>
      </x:c>
      <x:c r="HB168" s="42">
        <x:f t="shared" si="231"/>
        <x:v>0</x:v>
      </x:c>
      <x:c r="HC168">
        <x:f t="shared" si="232"/>
        <x:v>0</x:v>
      </x:c>
      <x:c r="HD168">
        <x:f t="shared" si="233"/>
        <x:v>0</x:v>
      </x:c>
      <x:c r="HE168">
        <x:f t="shared" si="234"/>
        <x:v>0</x:v>
      </x:c>
      <x:c r="HF168">
        <x:f t="shared" si="235"/>
        <x:v>0</x:v>
      </x:c>
      <x:c r="HG168">
        <x:f t="shared" si="236"/>
        <x:v>0</x:v>
      </x:c>
      <x:c r="HH168">
        <x:f t="shared" si="237"/>
        <x:v>0</x:v>
      </x:c>
      <x:c r="HI168">
        <x:f t="shared" si="238"/>
        <x:v>0</x:v>
      </x:c>
      <x:c r="HJ168">
        <x:f t="shared" si="239"/>
        <x:v>0</x:v>
      </x:c>
      <x:c r="HK168">
        <x:f t="shared" si="240"/>
        <x:v>0</x:v>
      </x:c>
      <x:c r="HL168">
        <x:f t="shared" si="241"/>
        <x:v>0</x:v>
      </x:c>
    </x:row>
    <x:row r="169">
      <x:c r="D169" s="74"/>
      <x:c r="EQ169">
        <x:f t="shared" si="168"/>
        <x:v>0</x:v>
      </x:c>
      <x:c r="ER169">
        <x:f t="shared" si="169"/>
        <x:v>0</x:v>
      </x:c>
      <x:c r="ES169">
        <x:f t="shared" si="170"/>
        <x:v>0</x:v>
      </x:c>
      <x:c r="ET169">
        <x:f t="shared" si="171"/>
        <x:v>0</x:v>
      </x:c>
      <x:c r="EU169">
        <x:f t="shared" si="172"/>
        <x:v>0</x:v>
      </x:c>
      <x:c r="EV169">
        <x:f t="shared" si="173"/>
        <x:v>0</x:v>
      </x:c>
      <x:c r="EW169">
        <x:f t="shared" si="174"/>
        <x:v>0</x:v>
      </x:c>
      <x:c r="EX169">
        <x:f t="shared" si="175"/>
        <x:v>0</x:v>
      </x:c>
      <x:c r="EY169">
        <x:f t="shared" si="176"/>
        <x:v>0</x:v>
      </x:c>
      <x:c r="EZ169">
        <x:f t="shared" si="177"/>
        <x:v>0</x:v>
      </x:c>
      <x:c r="FA169" s="41">
        <x:f t="shared" si="178"/>
        <x:v>0</x:v>
      </x:c>
      <x:c r="FB169">
        <x:f t="shared" si="179"/>
        <x:v>0</x:v>
      </x:c>
      <x:c r="FC169">
        <x:f t="shared" si="180"/>
        <x:v>0</x:v>
      </x:c>
      <x:c r="FD169">
        <x:f t="shared" si="181"/>
        <x:v>0</x:v>
      </x:c>
      <x:c r="FE169">
        <x:f t="shared" si="182"/>
        <x:v>0</x:v>
      </x:c>
      <x:c r="FF169">
        <x:f t="shared" si="183"/>
        <x:v>0</x:v>
      </x:c>
      <x:c r="FG169">
        <x:f t="shared" si="184"/>
        <x:v>0</x:v>
      </x:c>
      <x:c r="FH169">
        <x:f t="shared" si="185"/>
        <x:v>0</x:v>
      </x:c>
      <x:c r="FI169">
        <x:f t="shared" si="186"/>
        <x:v>0</x:v>
      </x:c>
      <x:c r="FJ169">
        <x:f t="shared" si="187"/>
        <x:v>0</x:v>
      </x:c>
      <x:c r="FK169">
        <x:f t="shared" si="188"/>
        <x:v>0</x:v>
      </x:c>
      <x:c r="FL169" s="41">
        <x:f t="shared" si="189"/>
        <x:v>0</x:v>
      </x:c>
      <x:c r="FM169">
        <x:f t="shared" si="190"/>
        <x:v>0</x:v>
      </x:c>
      <x:c r="FN169">
        <x:f t="shared" si="191"/>
        <x:v>0</x:v>
      </x:c>
      <x:c r="FO169">
        <x:f t="shared" si="192"/>
        <x:v>0</x:v>
      </x:c>
      <x:c r="FP169">
        <x:f t="shared" si="193"/>
        <x:v>0</x:v>
      </x:c>
      <x:c r="FQ169">
        <x:f t="shared" si="194"/>
        <x:v>0</x:v>
      </x:c>
      <x:c r="FR169">
        <x:f t="shared" si="195"/>
        <x:v>0</x:v>
      </x:c>
      <x:c r="FS169">
        <x:f t="shared" si="196"/>
        <x:v>0</x:v>
      </x:c>
      <x:c r="FT169">
        <x:f t="shared" si="197"/>
        <x:v>0</x:v>
      </x:c>
      <x:c r="FU169">
        <x:f t="shared" si="198"/>
        <x:v>0</x:v>
      </x:c>
      <x:c r="FV169">
        <x:f t="shared" si="199"/>
        <x:v>0</x:v>
      </x:c>
      <x:c r="FW169" s="41">
        <x:f t="shared" si="200"/>
        <x:v>0</x:v>
      </x:c>
      <x:c r="FX169">
        <x:f t="shared" si="201"/>
        <x:v>0</x:v>
      </x:c>
      <x:c r="FY169">
        <x:f t="shared" si="202"/>
        <x:v>0</x:v>
      </x:c>
      <x:c r="FZ169">
        <x:f t="shared" si="203"/>
        <x:v>0</x:v>
      </x:c>
      <x:c r="GA169">
        <x:f t="shared" si="204"/>
        <x:v>0</x:v>
      </x:c>
      <x:c r="GB169">
        <x:f t="shared" si="205"/>
        <x:v>0</x:v>
      </x:c>
      <x:c r="GC169">
        <x:f t="shared" si="206"/>
        <x:v>0</x:v>
      </x:c>
      <x:c r="GD169">
        <x:f t="shared" si="207"/>
        <x:v>0</x:v>
      </x:c>
      <x:c r="GE169">
        <x:f t="shared" si="208"/>
        <x:v>0</x:v>
      </x:c>
      <x:c r="GF169">
        <x:f t="shared" si="209"/>
        <x:v>0</x:v>
      </x:c>
      <x:c r="GG169">
        <x:f t="shared" si="210"/>
        <x:v>0</x:v>
      </x:c>
      <x:c r="GH169">
        <x:f t="shared" si="211"/>
        <x:v>0</x:v>
      </x:c>
      <x:c r="GI169">
        <x:f t="shared" si="212"/>
        <x:v>0</x:v>
      </x:c>
      <x:c r="GJ169">
        <x:f t="shared" si="213"/>
        <x:v>0</x:v>
      </x:c>
      <x:c r="GK169">
        <x:f t="shared" si="214"/>
        <x:v>0</x:v>
      </x:c>
      <x:c r="GL169">
        <x:f t="shared" si="215"/>
        <x:v>0</x:v>
      </x:c>
      <x:c r="GM169">
        <x:f t="shared" si="216"/>
        <x:v>0</x:v>
      </x:c>
      <x:c r="GN169">
        <x:f t="shared" si="217"/>
        <x:v>0</x:v>
      </x:c>
      <x:c r="GO169">
        <x:f t="shared" si="218"/>
        <x:v>0</x:v>
      </x:c>
      <x:c r="GP169">
        <x:f t="shared" si="219"/>
        <x:v>0</x:v>
      </x:c>
      <x:c r="GQ169">
        <x:f t="shared" si="220"/>
        <x:v>0</x:v>
      </x:c>
      <x:c r="GR169" s="42">
        <x:f t="shared" si="221"/>
        <x:v>0</x:v>
      </x:c>
      <x:c r="GS169">
        <x:f t="shared" si="222"/>
        <x:v>0</x:v>
      </x:c>
      <x:c r="GT169">
        <x:f t="shared" si="223"/>
        <x:v>0</x:v>
      </x:c>
      <x:c r="GU169">
        <x:f t="shared" si="224"/>
        <x:v>0</x:v>
      </x:c>
      <x:c r="GV169">
        <x:f t="shared" si="225"/>
        <x:v>0</x:v>
      </x:c>
      <x:c r="GW169">
        <x:f t="shared" si="226"/>
        <x:v>0</x:v>
      </x:c>
      <x:c r="GX169">
        <x:f t="shared" si="227"/>
        <x:v>0</x:v>
      </x:c>
      <x:c r="GY169">
        <x:f t="shared" si="228"/>
        <x:v>0</x:v>
      </x:c>
      <x:c r="GZ169">
        <x:f t="shared" si="229"/>
        <x:v>0</x:v>
      </x:c>
      <x:c r="HA169">
        <x:f t="shared" si="230"/>
        <x:v>0</x:v>
      </x:c>
      <x:c r="HB169" s="42">
        <x:f t="shared" si="231"/>
        <x:v>0</x:v>
      </x:c>
      <x:c r="HC169">
        <x:f t="shared" si="232"/>
        <x:v>0</x:v>
      </x:c>
      <x:c r="HD169">
        <x:f t="shared" si="233"/>
        <x:v>0</x:v>
      </x:c>
      <x:c r="HE169">
        <x:f t="shared" si="234"/>
        <x:v>0</x:v>
      </x:c>
      <x:c r="HF169">
        <x:f t="shared" si="235"/>
        <x:v>0</x:v>
      </x:c>
      <x:c r="HG169">
        <x:f t="shared" si="236"/>
        <x:v>0</x:v>
      </x:c>
      <x:c r="HH169">
        <x:f t="shared" si="237"/>
        <x:v>0</x:v>
      </x:c>
      <x:c r="HI169">
        <x:f t="shared" si="238"/>
        <x:v>0</x:v>
      </x:c>
      <x:c r="HJ169">
        <x:f t="shared" si="239"/>
        <x:v>0</x:v>
      </x:c>
      <x:c r="HK169">
        <x:f t="shared" si="240"/>
        <x:v>0</x:v>
      </x:c>
      <x:c r="HL169">
        <x:f t="shared" si="241"/>
        <x:v>0</x:v>
      </x:c>
    </x:row>
    <x:row r="170">
      <x:c r="D170" s="74"/>
      <x:c r="EQ170">
        <x:f t="shared" si="168"/>
        <x:v>0</x:v>
      </x:c>
      <x:c r="ER170">
        <x:f t="shared" si="169"/>
        <x:v>0</x:v>
      </x:c>
      <x:c r="ES170">
        <x:f t="shared" si="170"/>
        <x:v>0</x:v>
      </x:c>
      <x:c r="ET170">
        <x:f t="shared" si="171"/>
        <x:v>0</x:v>
      </x:c>
      <x:c r="EU170">
        <x:f t="shared" si="172"/>
        <x:v>0</x:v>
      </x:c>
      <x:c r="EV170">
        <x:f t="shared" si="173"/>
        <x:v>0</x:v>
      </x:c>
      <x:c r="EW170">
        <x:f t="shared" si="174"/>
        <x:v>0</x:v>
      </x:c>
      <x:c r="EX170">
        <x:f t="shared" si="175"/>
        <x:v>0</x:v>
      </x:c>
      <x:c r="EY170">
        <x:f t="shared" si="176"/>
        <x:v>0</x:v>
      </x:c>
      <x:c r="EZ170">
        <x:f t="shared" si="177"/>
        <x:v>0</x:v>
      </x:c>
      <x:c r="FA170" s="41">
        <x:f t="shared" si="178"/>
        <x:v>0</x:v>
      </x:c>
      <x:c r="FB170">
        <x:f t="shared" si="179"/>
        <x:v>0</x:v>
      </x:c>
      <x:c r="FC170">
        <x:f t="shared" si="180"/>
        <x:v>0</x:v>
      </x:c>
      <x:c r="FD170">
        <x:f t="shared" si="181"/>
        <x:v>0</x:v>
      </x:c>
      <x:c r="FE170">
        <x:f t="shared" si="182"/>
        <x:v>0</x:v>
      </x:c>
      <x:c r="FF170">
        <x:f t="shared" si="183"/>
        <x:v>0</x:v>
      </x:c>
      <x:c r="FG170">
        <x:f t="shared" si="184"/>
        <x:v>0</x:v>
      </x:c>
      <x:c r="FH170">
        <x:f t="shared" si="185"/>
        <x:v>0</x:v>
      </x:c>
      <x:c r="FI170">
        <x:f t="shared" si="186"/>
        <x:v>0</x:v>
      </x:c>
      <x:c r="FJ170">
        <x:f t="shared" si="187"/>
        <x:v>0</x:v>
      </x:c>
      <x:c r="FK170">
        <x:f t="shared" si="188"/>
        <x:v>0</x:v>
      </x:c>
      <x:c r="FL170" s="41">
        <x:f t="shared" si="189"/>
        <x:v>0</x:v>
      </x:c>
      <x:c r="FM170">
        <x:f t="shared" si="190"/>
        <x:v>0</x:v>
      </x:c>
      <x:c r="FN170">
        <x:f t="shared" si="191"/>
        <x:v>0</x:v>
      </x:c>
      <x:c r="FO170">
        <x:f t="shared" si="192"/>
        <x:v>0</x:v>
      </x:c>
      <x:c r="FP170">
        <x:f t="shared" si="193"/>
        <x:v>0</x:v>
      </x:c>
      <x:c r="FQ170">
        <x:f t="shared" si="194"/>
        <x:v>0</x:v>
      </x:c>
      <x:c r="FR170">
        <x:f t="shared" si="195"/>
        <x:v>0</x:v>
      </x:c>
      <x:c r="FS170">
        <x:f t="shared" si="196"/>
        <x:v>0</x:v>
      </x:c>
      <x:c r="FT170">
        <x:f t="shared" si="197"/>
        <x:v>0</x:v>
      </x:c>
      <x:c r="FU170">
        <x:f t="shared" si="198"/>
        <x:v>0</x:v>
      </x:c>
      <x:c r="FV170">
        <x:f t="shared" si="199"/>
        <x:v>0</x:v>
      </x:c>
      <x:c r="FW170" s="41">
        <x:f t="shared" si="200"/>
        <x:v>0</x:v>
      </x:c>
      <x:c r="FX170">
        <x:f t="shared" si="201"/>
        <x:v>0</x:v>
      </x:c>
      <x:c r="FY170">
        <x:f t="shared" si="202"/>
        <x:v>0</x:v>
      </x:c>
      <x:c r="FZ170">
        <x:f t="shared" si="203"/>
        <x:v>0</x:v>
      </x:c>
      <x:c r="GA170">
        <x:f t="shared" si="204"/>
        <x:v>0</x:v>
      </x:c>
      <x:c r="GB170">
        <x:f t="shared" si="205"/>
        <x:v>0</x:v>
      </x:c>
      <x:c r="GC170">
        <x:f t="shared" si="206"/>
        <x:v>0</x:v>
      </x:c>
      <x:c r="GD170">
        <x:f t="shared" si="207"/>
        <x:v>0</x:v>
      </x:c>
      <x:c r="GE170">
        <x:f t="shared" si="208"/>
        <x:v>0</x:v>
      </x:c>
      <x:c r="GF170">
        <x:f t="shared" si="209"/>
        <x:v>0</x:v>
      </x:c>
      <x:c r="GG170">
        <x:f t="shared" si="210"/>
        <x:v>0</x:v>
      </x:c>
      <x:c r="GH170">
        <x:f t="shared" si="211"/>
        <x:v>0</x:v>
      </x:c>
      <x:c r="GI170">
        <x:f t="shared" si="212"/>
        <x:v>0</x:v>
      </x:c>
      <x:c r="GJ170">
        <x:f t="shared" si="213"/>
        <x:v>0</x:v>
      </x:c>
      <x:c r="GK170">
        <x:f t="shared" si="214"/>
        <x:v>0</x:v>
      </x:c>
      <x:c r="GL170">
        <x:f t="shared" si="215"/>
        <x:v>0</x:v>
      </x:c>
      <x:c r="GM170">
        <x:f t="shared" si="216"/>
        <x:v>0</x:v>
      </x:c>
      <x:c r="GN170">
        <x:f t="shared" si="217"/>
        <x:v>0</x:v>
      </x:c>
      <x:c r="GO170">
        <x:f t="shared" si="218"/>
        <x:v>0</x:v>
      </x:c>
      <x:c r="GP170">
        <x:f t="shared" si="219"/>
        <x:v>0</x:v>
      </x:c>
      <x:c r="GQ170">
        <x:f t="shared" si="220"/>
        <x:v>0</x:v>
      </x:c>
      <x:c r="GR170" s="42">
        <x:f t="shared" si="221"/>
        <x:v>0</x:v>
      </x:c>
      <x:c r="GS170">
        <x:f t="shared" si="222"/>
        <x:v>0</x:v>
      </x:c>
      <x:c r="GT170">
        <x:f t="shared" si="223"/>
        <x:v>0</x:v>
      </x:c>
      <x:c r="GU170">
        <x:f t="shared" si="224"/>
        <x:v>0</x:v>
      </x:c>
      <x:c r="GV170">
        <x:f t="shared" si="225"/>
        <x:v>0</x:v>
      </x:c>
      <x:c r="GW170">
        <x:f t="shared" si="226"/>
        <x:v>0</x:v>
      </x:c>
      <x:c r="GX170">
        <x:f t="shared" si="227"/>
        <x:v>0</x:v>
      </x:c>
      <x:c r="GY170">
        <x:f t="shared" si="228"/>
        <x:v>0</x:v>
      </x:c>
      <x:c r="GZ170">
        <x:f t="shared" si="229"/>
        <x:v>0</x:v>
      </x:c>
      <x:c r="HA170">
        <x:f t="shared" si="230"/>
        <x:v>0</x:v>
      </x:c>
      <x:c r="HB170" s="42">
        <x:f t="shared" si="231"/>
        <x:v>0</x:v>
      </x:c>
      <x:c r="HC170">
        <x:f t="shared" si="232"/>
        <x:v>0</x:v>
      </x:c>
      <x:c r="HD170">
        <x:f t="shared" si="233"/>
        <x:v>0</x:v>
      </x:c>
      <x:c r="HE170">
        <x:f t="shared" si="234"/>
        <x:v>0</x:v>
      </x:c>
      <x:c r="HF170">
        <x:f t="shared" si="235"/>
        <x:v>0</x:v>
      </x:c>
      <x:c r="HG170">
        <x:f t="shared" si="236"/>
        <x:v>0</x:v>
      </x:c>
      <x:c r="HH170">
        <x:f t="shared" si="237"/>
        <x:v>0</x:v>
      </x:c>
      <x:c r="HI170">
        <x:f t="shared" si="238"/>
        <x:v>0</x:v>
      </x:c>
      <x:c r="HJ170">
        <x:f t="shared" si="239"/>
        <x:v>0</x:v>
      </x:c>
      <x:c r="HK170">
        <x:f t="shared" si="240"/>
        <x:v>0</x:v>
      </x:c>
      <x:c r="HL170">
        <x:f t="shared" si="241"/>
        <x:v>0</x:v>
      </x:c>
    </x:row>
    <x:row r="171">
      <x:c r="D171" s="74"/>
      <x:c r="EQ171">
        <x:f t="shared" si="168"/>
        <x:v>0</x:v>
      </x:c>
      <x:c r="ER171">
        <x:f t="shared" si="169"/>
        <x:v>0</x:v>
      </x:c>
      <x:c r="ES171">
        <x:f t="shared" si="170"/>
        <x:v>0</x:v>
      </x:c>
      <x:c r="ET171">
        <x:f t="shared" si="171"/>
        <x:v>0</x:v>
      </x:c>
      <x:c r="EU171">
        <x:f t="shared" si="172"/>
        <x:v>0</x:v>
      </x:c>
      <x:c r="EV171">
        <x:f t="shared" si="173"/>
        <x:v>0</x:v>
      </x:c>
      <x:c r="EW171">
        <x:f t="shared" si="174"/>
        <x:v>0</x:v>
      </x:c>
      <x:c r="EX171">
        <x:f t="shared" si="175"/>
        <x:v>0</x:v>
      </x:c>
      <x:c r="EY171">
        <x:f t="shared" si="176"/>
        <x:v>0</x:v>
      </x:c>
      <x:c r="EZ171">
        <x:f t="shared" si="177"/>
        <x:v>0</x:v>
      </x:c>
      <x:c r="FA171" s="41">
        <x:f t="shared" si="178"/>
        <x:v>0</x:v>
      </x:c>
      <x:c r="FB171">
        <x:f t="shared" si="179"/>
        <x:v>0</x:v>
      </x:c>
      <x:c r="FC171">
        <x:f t="shared" si="180"/>
        <x:v>0</x:v>
      </x:c>
      <x:c r="FD171">
        <x:f t="shared" si="181"/>
        <x:v>0</x:v>
      </x:c>
      <x:c r="FE171">
        <x:f t="shared" si="182"/>
        <x:v>0</x:v>
      </x:c>
      <x:c r="FF171">
        <x:f t="shared" si="183"/>
        <x:v>0</x:v>
      </x:c>
      <x:c r="FG171">
        <x:f t="shared" si="184"/>
        <x:v>0</x:v>
      </x:c>
      <x:c r="FH171">
        <x:f t="shared" si="185"/>
        <x:v>0</x:v>
      </x:c>
      <x:c r="FI171">
        <x:f t="shared" si="186"/>
        <x:v>0</x:v>
      </x:c>
      <x:c r="FJ171">
        <x:f t="shared" si="187"/>
        <x:v>0</x:v>
      </x:c>
      <x:c r="FK171">
        <x:f t="shared" si="188"/>
        <x:v>0</x:v>
      </x:c>
      <x:c r="FL171" s="41">
        <x:f t="shared" si="189"/>
        <x:v>0</x:v>
      </x:c>
      <x:c r="FM171">
        <x:f t="shared" si="190"/>
        <x:v>0</x:v>
      </x:c>
      <x:c r="FN171">
        <x:f t="shared" si="191"/>
        <x:v>0</x:v>
      </x:c>
      <x:c r="FO171">
        <x:f t="shared" si="192"/>
        <x:v>0</x:v>
      </x:c>
      <x:c r="FP171">
        <x:f t="shared" si="193"/>
        <x:v>0</x:v>
      </x:c>
      <x:c r="FQ171">
        <x:f t="shared" si="194"/>
        <x:v>0</x:v>
      </x:c>
      <x:c r="FR171">
        <x:f t="shared" si="195"/>
        <x:v>0</x:v>
      </x:c>
      <x:c r="FS171">
        <x:f t="shared" si="196"/>
        <x:v>0</x:v>
      </x:c>
      <x:c r="FT171">
        <x:f t="shared" si="197"/>
        <x:v>0</x:v>
      </x:c>
      <x:c r="FU171">
        <x:f t="shared" si="198"/>
        <x:v>0</x:v>
      </x:c>
      <x:c r="FV171">
        <x:f t="shared" si="199"/>
        <x:v>0</x:v>
      </x:c>
      <x:c r="FW171" s="41">
        <x:f t="shared" si="200"/>
        <x:v>0</x:v>
      </x:c>
      <x:c r="FX171">
        <x:f t="shared" si="201"/>
        <x:v>0</x:v>
      </x:c>
      <x:c r="FY171">
        <x:f t="shared" si="202"/>
        <x:v>0</x:v>
      </x:c>
      <x:c r="FZ171">
        <x:f t="shared" si="203"/>
        <x:v>0</x:v>
      </x:c>
      <x:c r="GA171">
        <x:f t="shared" si="204"/>
        <x:v>0</x:v>
      </x:c>
      <x:c r="GB171">
        <x:f t="shared" si="205"/>
        <x:v>0</x:v>
      </x:c>
      <x:c r="GC171">
        <x:f t="shared" si="206"/>
        <x:v>0</x:v>
      </x:c>
      <x:c r="GD171">
        <x:f t="shared" si="207"/>
        <x:v>0</x:v>
      </x:c>
      <x:c r="GE171">
        <x:f t="shared" si="208"/>
        <x:v>0</x:v>
      </x:c>
      <x:c r="GF171">
        <x:f t="shared" si="209"/>
        <x:v>0</x:v>
      </x:c>
      <x:c r="GG171">
        <x:f t="shared" si="210"/>
        <x:v>0</x:v>
      </x:c>
      <x:c r="GH171">
        <x:f t="shared" si="211"/>
        <x:v>0</x:v>
      </x:c>
      <x:c r="GI171">
        <x:f t="shared" si="212"/>
        <x:v>0</x:v>
      </x:c>
      <x:c r="GJ171">
        <x:f t="shared" si="213"/>
        <x:v>0</x:v>
      </x:c>
      <x:c r="GK171">
        <x:f t="shared" si="214"/>
        <x:v>0</x:v>
      </x:c>
      <x:c r="GL171">
        <x:f t="shared" si="215"/>
        <x:v>0</x:v>
      </x:c>
      <x:c r="GM171">
        <x:f t="shared" si="216"/>
        <x:v>0</x:v>
      </x:c>
      <x:c r="GN171">
        <x:f t="shared" si="217"/>
        <x:v>0</x:v>
      </x:c>
      <x:c r="GO171">
        <x:f t="shared" si="218"/>
        <x:v>0</x:v>
      </x:c>
      <x:c r="GP171">
        <x:f t="shared" si="219"/>
        <x:v>0</x:v>
      </x:c>
      <x:c r="GQ171">
        <x:f t="shared" si="220"/>
        <x:v>0</x:v>
      </x:c>
      <x:c r="GR171" s="42">
        <x:f t="shared" si="221"/>
        <x:v>0</x:v>
      </x:c>
      <x:c r="GS171">
        <x:f t="shared" si="222"/>
        <x:v>0</x:v>
      </x:c>
      <x:c r="GT171">
        <x:f t="shared" si="223"/>
        <x:v>0</x:v>
      </x:c>
      <x:c r="GU171">
        <x:f t="shared" si="224"/>
        <x:v>0</x:v>
      </x:c>
      <x:c r="GV171">
        <x:f t="shared" si="225"/>
        <x:v>0</x:v>
      </x:c>
      <x:c r="GW171">
        <x:f t="shared" si="226"/>
        <x:v>0</x:v>
      </x:c>
      <x:c r="GX171">
        <x:f t="shared" si="227"/>
        <x:v>0</x:v>
      </x:c>
      <x:c r="GY171">
        <x:f t="shared" si="228"/>
        <x:v>0</x:v>
      </x:c>
      <x:c r="GZ171">
        <x:f t="shared" si="229"/>
        <x:v>0</x:v>
      </x:c>
      <x:c r="HA171">
        <x:f t="shared" si="230"/>
        <x:v>0</x:v>
      </x:c>
      <x:c r="HB171" s="42">
        <x:f t="shared" si="231"/>
        <x:v>0</x:v>
      </x:c>
      <x:c r="HC171">
        <x:f t="shared" si="232"/>
        <x:v>0</x:v>
      </x:c>
      <x:c r="HD171">
        <x:f t="shared" si="233"/>
        <x:v>0</x:v>
      </x:c>
      <x:c r="HE171">
        <x:f t="shared" si="234"/>
        <x:v>0</x:v>
      </x:c>
      <x:c r="HF171">
        <x:f t="shared" si="235"/>
        <x:v>0</x:v>
      </x:c>
      <x:c r="HG171">
        <x:f t="shared" si="236"/>
        <x:v>0</x:v>
      </x:c>
      <x:c r="HH171">
        <x:f t="shared" si="237"/>
        <x:v>0</x:v>
      </x:c>
      <x:c r="HI171">
        <x:f t="shared" si="238"/>
        <x:v>0</x:v>
      </x:c>
      <x:c r="HJ171">
        <x:f t="shared" si="239"/>
        <x:v>0</x:v>
      </x:c>
      <x:c r="HK171">
        <x:f t="shared" si="240"/>
        <x:v>0</x:v>
      </x:c>
      <x:c r="HL171">
        <x:f t="shared" si="241"/>
        <x:v>0</x:v>
      </x:c>
    </x:row>
    <x:row r="172">
      <x:c r="D172" s="74"/>
      <x:c r="EQ172">
        <x:f t="shared" si="168"/>
        <x:v>0</x:v>
      </x:c>
      <x:c r="ER172">
        <x:f t="shared" si="169"/>
        <x:v>0</x:v>
      </x:c>
      <x:c r="ES172">
        <x:f t="shared" si="170"/>
        <x:v>0</x:v>
      </x:c>
      <x:c r="ET172">
        <x:f t="shared" si="171"/>
        <x:v>0</x:v>
      </x:c>
      <x:c r="EU172">
        <x:f t="shared" si="172"/>
        <x:v>0</x:v>
      </x:c>
      <x:c r="EV172">
        <x:f t="shared" si="173"/>
        <x:v>0</x:v>
      </x:c>
      <x:c r="EW172">
        <x:f t="shared" si="174"/>
        <x:v>0</x:v>
      </x:c>
      <x:c r="EX172">
        <x:f t="shared" si="175"/>
        <x:v>0</x:v>
      </x:c>
      <x:c r="EY172">
        <x:f t="shared" si="176"/>
        <x:v>0</x:v>
      </x:c>
      <x:c r="EZ172">
        <x:f t="shared" si="177"/>
        <x:v>0</x:v>
      </x:c>
      <x:c r="FA172" s="41">
        <x:f t="shared" si="178"/>
        <x:v>0</x:v>
      </x:c>
      <x:c r="FB172">
        <x:f t="shared" si="179"/>
        <x:v>0</x:v>
      </x:c>
      <x:c r="FC172">
        <x:f t="shared" si="180"/>
        <x:v>0</x:v>
      </x:c>
      <x:c r="FD172">
        <x:f t="shared" si="181"/>
        <x:v>0</x:v>
      </x:c>
      <x:c r="FE172">
        <x:f t="shared" si="182"/>
        <x:v>0</x:v>
      </x:c>
      <x:c r="FF172">
        <x:f t="shared" si="183"/>
        <x:v>0</x:v>
      </x:c>
      <x:c r="FG172">
        <x:f t="shared" si="184"/>
        <x:v>0</x:v>
      </x:c>
      <x:c r="FH172">
        <x:f t="shared" si="185"/>
        <x:v>0</x:v>
      </x:c>
      <x:c r="FI172">
        <x:f t="shared" si="186"/>
        <x:v>0</x:v>
      </x:c>
      <x:c r="FJ172">
        <x:f t="shared" si="187"/>
        <x:v>0</x:v>
      </x:c>
      <x:c r="FK172">
        <x:f t="shared" si="188"/>
        <x:v>0</x:v>
      </x:c>
      <x:c r="FL172" s="41">
        <x:f t="shared" si="189"/>
        <x:v>0</x:v>
      </x:c>
      <x:c r="FM172">
        <x:f t="shared" si="190"/>
        <x:v>0</x:v>
      </x:c>
      <x:c r="FN172">
        <x:f t="shared" si="191"/>
        <x:v>0</x:v>
      </x:c>
      <x:c r="FO172">
        <x:f t="shared" si="192"/>
        <x:v>0</x:v>
      </x:c>
      <x:c r="FP172">
        <x:f t="shared" si="193"/>
        <x:v>0</x:v>
      </x:c>
      <x:c r="FQ172">
        <x:f t="shared" si="194"/>
        <x:v>0</x:v>
      </x:c>
      <x:c r="FR172">
        <x:f t="shared" si="195"/>
        <x:v>0</x:v>
      </x:c>
      <x:c r="FS172">
        <x:f t="shared" si="196"/>
        <x:v>0</x:v>
      </x:c>
      <x:c r="FT172">
        <x:f t="shared" si="197"/>
        <x:v>0</x:v>
      </x:c>
      <x:c r="FU172">
        <x:f t="shared" si="198"/>
        <x:v>0</x:v>
      </x:c>
      <x:c r="FV172">
        <x:f t="shared" si="199"/>
        <x:v>0</x:v>
      </x:c>
      <x:c r="FW172" s="41">
        <x:f t="shared" si="200"/>
        <x:v>0</x:v>
      </x:c>
      <x:c r="FX172">
        <x:f t="shared" si="201"/>
        <x:v>0</x:v>
      </x:c>
      <x:c r="FY172">
        <x:f t="shared" si="202"/>
        <x:v>0</x:v>
      </x:c>
      <x:c r="FZ172">
        <x:f t="shared" si="203"/>
        <x:v>0</x:v>
      </x:c>
      <x:c r="GA172">
        <x:f t="shared" si="204"/>
        <x:v>0</x:v>
      </x:c>
      <x:c r="GB172">
        <x:f t="shared" si="205"/>
        <x:v>0</x:v>
      </x:c>
      <x:c r="GC172">
        <x:f t="shared" si="206"/>
        <x:v>0</x:v>
      </x:c>
      <x:c r="GD172">
        <x:f t="shared" si="207"/>
        <x:v>0</x:v>
      </x:c>
      <x:c r="GE172">
        <x:f t="shared" si="208"/>
        <x:v>0</x:v>
      </x:c>
      <x:c r="GF172">
        <x:f t="shared" si="209"/>
        <x:v>0</x:v>
      </x:c>
      <x:c r="GG172">
        <x:f t="shared" si="210"/>
        <x:v>0</x:v>
      </x:c>
      <x:c r="GH172">
        <x:f t="shared" si="211"/>
        <x:v>0</x:v>
      </x:c>
      <x:c r="GI172">
        <x:f t="shared" si="212"/>
        <x:v>0</x:v>
      </x:c>
      <x:c r="GJ172">
        <x:f t="shared" si="213"/>
        <x:v>0</x:v>
      </x:c>
      <x:c r="GK172">
        <x:f t="shared" si="214"/>
        <x:v>0</x:v>
      </x:c>
      <x:c r="GL172">
        <x:f t="shared" si="215"/>
        <x:v>0</x:v>
      </x:c>
      <x:c r="GM172">
        <x:f t="shared" si="216"/>
        <x:v>0</x:v>
      </x:c>
      <x:c r="GN172">
        <x:f t="shared" si="217"/>
        <x:v>0</x:v>
      </x:c>
      <x:c r="GO172">
        <x:f t="shared" si="218"/>
        <x:v>0</x:v>
      </x:c>
      <x:c r="GP172">
        <x:f t="shared" si="219"/>
        <x:v>0</x:v>
      </x:c>
      <x:c r="GQ172">
        <x:f t="shared" si="220"/>
        <x:v>0</x:v>
      </x:c>
      <x:c r="GR172" s="42">
        <x:f t="shared" si="221"/>
        <x:v>0</x:v>
      </x:c>
      <x:c r="GS172">
        <x:f t="shared" si="222"/>
        <x:v>0</x:v>
      </x:c>
      <x:c r="GT172">
        <x:f t="shared" si="223"/>
        <x:v>0</x:v>
      </x:c>
      <x:c r="GU172">
        <x:f t="shared" si="224"/>
        <x:v>0</x:v>
      </x:c>
      <x:c r="GV172">
        <x:f t="shared" si="225"/>
        <x:v>0</x:v>
      </x:c>
      <x:c r="GW172">
        <x:f t="shared" si="226"/>
        <x:v>0</x:v>
      </x:c>
      <x:c r="GX172">
        <x:f t="shared" si="227"/>
        <x:v>0</x:v>
      </x:c>
      <x:c r="GY172">
        <x:f t="shared" si="228"/>
        <x:v>0</x:v>
      </x:c>
      <x:c r="GZ172">
        <x:f t="shared" si="229"/>
        <x:v>0</x:v>
      </x:c>
      <x:c r="HA172">
        <x:f t="shared" si="230"/>
        <x:v>0</x:v>
      </x:c>
      <x:c r="HB172" s="42">
        <x:f t="shared" si="231"/>
        <x:v>0</x:v>
      </x:c>
      <x:c r="HC172">
        <x:f t="shared" si="232"/>
        <x:v>0</x:v>
      </x:c>
      <x:c r="HD172">
        <x:f t="shared" si="233"/>
        <x:v>0</x:v>
      </x:c>
      <x:c r="HE172">
        <x:f t="shared" si="234"/>
        <x:v>0</x:v>
      </x:c>
      <x:c r="HF172">
        <x:f t="shared" si="235"/>
        <x:v>0</x:v>
      </x:c>
      <x:c r="HG172">
        <x:f t="shared" si="236"/>
        <x:v>0</x:v>
      </x:c>
      <x:c r="HH172">
        <x:f t="shared" si="237"/>
        <x:v>0</x:v>
      </x:c>
      <x:c r="HI172">
        <x:f t="shared" si="238"/>
        <x:v>0</x:v>
      </x:c>
      <x:c r="HJ172">
        <x:f t="shared" si="239"/>
        <x:v>0</x:v>
      </x:c>
      <x:c r="HK172">
        <x:f t="shared" si="240"/>
        <x:v>0</x:v>
      </x:c>
      <x:c r="HL172">
        <x:f t="shared" si="241"/>
        <x:v>0</x:v>
      </x:c>
    </x:row>
    <x:row r="173">
      <x:c r="D173" s="74"/>
      <x:c r="EQ173">
        <x:f t="shared" si="168"/>
        <x:v>0</x:v>
      </x:c>
      <x:c r="ER173">
        <x:f t="shared" si="169"/>
        <x:v>0</x:v>
      </x:c>
      <x:c r="ES173">
        <x:f t="shared" si="170"/>
        <x:v>0</x:v>
      </x:c>
      <x:c r="ET173">
        <x:f t="shared" si="171"/>
        <x:v>0</x:v>
      </x:c>
      <x:c r="EU173">
        <x:f t="shared" si="172"/>
        <x:v>0</x:v>
      </x:c>
      <x:c r="EV173">
        <x:f t="shared" si="173"/>
        <x:v>0</x:v>
      </x:c>
      <x:c r="EW173">
        <x:f t="shared" si="174"/>
        <x:v>0</x:v>
      </x:c>
      <x:c r="EX173">
        <x:f t="shared" si="175"/>
        <x:v>0</x:v>
      </x:c>
      <x:c r="EY173">
        <x:f t="shared" si="176"/>
        <x:v>0</x:v>
      </x:c>
      <x:c r="EZ173">
        <x:f t="shared" si="177"/>
        <x:v>0</x:v>
      </x:c>
      <x:c r="FA173" s="41">
        <x:f t="shared" si="178"/>
        <x:v>0</x:v>
      </x:c>
      <x:c r="FB173">
        <x:f t="shared" si="179"/>
        <x:v>0</x:v>
      </x:c>
      <x:c r="FC173">
        <x:f t="shared" si="180"/>
        <x:v>0</x:v>
      </x:c>
      <x:c r="FD173">
        <x:f t="shared" si="181"/>
        <x:v>0</x:v>
      </x:c>
      <x:c r="FE173">
        <x:f t="shared" si="182"/>
        <x:v>0</x:v>
      </x:c>
      <x:c r="FF173">
        <x:f t="shared" si="183"/>
        <x:v>0</x:v>
      </x:c>
      <x:c r="FG173">
        <x:f t="shared" si="184"/>
        <x:v>0</x:v>
      </x:c>
      <x:c r="FH173">
        <x:f t="shared" si="185"/>
        <x:v>0</x:v>
      </x:c>
      <x:c r="FI173">
        <x:f t="shared" si="186"/>
        <x:v>0</x:v>
      </x:c>
      <x:c r="FJ173">
        <x:f t="shared" si="187"/>
        <x:v>0</x:v>
      </x:c>
      <x:c r="FK173">
        <x:f t="shared" si="188"/>
        <x:v>0</x:v>
      </x:c>
      <x:c r="FL173" s="41">
        <x:f t="shared" si="189"/>
        <x:v>0</x:v>
      </x:c>
      <x:c r="FM173">
        <x:f t="shared" si="190"/>
        <x:v>0</x:v>
      </x:c>
      <x:c r="FN173">
        <x:f t="shared" si="191"/>
        <x:v>0</x:v>
      </x:c>
      <x:c r="FO173">
        <x:f t="shared" si="192"/>
        <x:v>0</x:v>
      </x:c>
      <x:c r="FP173">
        <x:f t="shared" si="193"/>
        <x:v>0</x:v>
      </x:c>
      <x:c r="FQ173">
        <x:f t="shared" si="194"/>
        <x:v>0</x:v>
      </x:c>
      <x:c r="FR173">
        <x:f t="shared" si="195"/>
        <x:v>0</x:v>
      </x:c>
      <x:c r="FS173">
        <x:f t="shared" si="196"/>
        <x:v>0</x:v>
      </x:c>
      <x:c r="FT173">
        <x:f t="shared" si="197"/>
        <x:v>0</x:v>
      </x:c>
      <x:c r="FU173">
        <x:f t="shared" si="198"/>
        <x:v>0</x:v>
      </x:c>
      <x:c r="FV173">
        <x:f t="shared" si="199"/>
        <x:v>0</x:v>
      </x:c>
      <x:c r="FW173" s="41">
        <x:f t="shared" si="200"/>
        <x:v>0</x:v>
      </x:c>
      <x:c r="FX173">
        <x:f t="shared" si="201"/>
        <x:v>0</x:v>
      </x:c>
      <x:c r="FY173">
        <x:f t="shared" si="202"/>
        <x:v>0</x:v>
      </x:c>
      <x:c r="FZ173">
        <x:f t="shared" si="203"/>
        <x:v>0</x:v>
      </x:c>
      <x:c r="GA173">
        <x:f t="shared" si="204"/>
        <x:v>0</x:v>
      </x:c>
      <x:c r="GB173">
        <x:f t="shared" si="205"/>
        <x:v>0</x:v>
      </x:c>
      <x:c r="GC173">
        <x:f t="shared" si="206"/>
        <x:v>0</x:v>
      </x:c>
      <x:c r="GD173">
        <x:f t="shared" si="207"/>
        <x:v>0</x:v>
      </x:c>
      <x:c r="GE173">
        <x:f t="shared" si="208"/>
        <x:v>0</x:v>
      </x:c>
      <x:c r="GF173">
        <x:f t="shared" si="209"/>
        <x:v>0</x:v>
      </x:c>
      <x:c r="GG173">
        <x:f t="shared" si="210"/>
        <x:v>0</x:v>
      </x:c>
      <x:c r="GH173">
        <x:f t="shared" si="211"/>
        <x:v>0</x:v>
      </x:c>
      <x:c r="GI173">
        <x:f t="shared" si="212"/>
        <x:v>0</x:v>
      </x:c>
      <x:c r="GJ173">
        <x:f t="shared" si="213"/>
        <x:v>0</x:v>
      </x:c>
      <x:c r="GK173">
        <x:f t="shared" si="214"/>
        <x:v>0</x:v>
      </x:c>
      <x:c r="GL173">
        <x:f t="shared" si="215"/>
        <x:v>0</x:v>
      </x:c>
      <x:c r="GM173">
        <x:f t="shared" si="216"/>
        <x:v>0</x:v>
      </x:c>
      <x:c r="GN173">
        <x:f t="shared" si="217"/>
        <x:v>0</x:v>
      </x:c>
      <x:c r="GO173">
        <x:f t="shared" si="218"/>
        <x:v>0</x:v>
      </x:c>
      <x:c r="GP173">
        <x:f t="shared" si="219"/>
        <x:v>0</x:v>
      </x:c>
      <x:c r="GQ173">
        <x:f t="shared" si="220"/>
        <x:v>0</x:v>
      </x:c>
      <x:c r="GR173" s="42">
        <x:f t="shared" si="221"/>
        <x:v>0</x:v>
      </x:c>
      <x:c r="GS173">
        <x:f t="shared" si="222"/>
        <x:v>0</x:v>
      </x:c>
      <x:c r="GT173">
        <x:f t="shared" si="223"/>
        <x:v>0</x:v>
      </x:c>
      <x:c r="GU173">
        <x:f t="shared" si="224"/>
        <x:v>0</x:v>
      </x:c>
      <x:c r="GV173">
        <x:f t="shared" si="225"/>
        <x:v>0</x:v>
      </x:c>
      <x:c r="GW173">
        <x:f t="shared" si="226"/>
        <x:v>0</x:v>
      </x:c>
      <x:c r="GX173">
        <x:f t="shared" si="227"/>
        <x:v>0</x:v>
      </x:c>
      <x:c r="GY173">
        <x:f t="shared" si="228"/>
        <x:v>0</x:v>
      </x:c>
      <x:c r="GZ173">
        <x:f t="shared" si="229"/>
        <x:v>0</x:v>
      </x:c>
      <x:c r="HA173">
        <x:f t="shared" si="230"/>
        <x:v>0</x:v>
      </x:c>
      <x:c r="HB173" s="42">
        <x:f t="shared" si="231"/>
        <x:v>0</x:v>
      </x:c>
      <x:c r="HC173">
        <x:f t="shared" si="232"/>
        <x:v>0</x:v>
      </x:c>
      <x:c r="HD173">
        <x:f t="shared" si="233"/>
        <x:v>0</x:v>
      </x:c>
      <x:c r="HE173">
        <x:f t="shared" si="234"/>
        <x:v>0</x:v>
      </x:c>
      <x:c r="HF173">
        <x:f t="shared" si="235"/>
        <x:v>0</x:v>
      </x:c>
      <x:c r="HG173">
        <x:f t="shared" si="236"/>
        <x:v>0</x:v>
      </x:c>
      <x:c r="HH173">
        <x:f t="shared" si="237"/>
        <x:v>0</x:v>
      </x:c>
      <x:c r="HI173">
        <x:f t="shared" si="238"/>
        <x:v>0</x:v>
      </x:c>
      <x:c r="HJ173">
        <x:f t="shared" si="239"/>
        <x:v>0</x:v>
      </x:c>
      <x:c r="HK173">
        <x:f t="shared" si="240"/>
        <x:v>0</x:v>
      </x:c>
      <x:c r="HL173">
        <x:f t="shared" si="241"/>
        <x:v>0</x:v>
      </x:c>
    </x:row>
    <x:row r="174">
      <x:c r="D174" s="74"/>
      <x:c r="EQ174">
        <x:f t="shared" si="168"/>
        <x:v>0</x:v>
      </x:c>
      <x:c r="ER174">
        <x:f t="shared" si="169"/>
        <x:v>0</x:v>
      </x:c>
      <x:c r="ES174">
        <x:f t="shared" si="170"/>
        <x:v>0</x:v>
      </x:c>
      <x:c r="ET174">
        <x:f t="shared" si="171"/>
        <x:v>0</x:v>
      </x:c>
      <x:c r="EU174">
        <x:f t="shared" si="172"/>
        <x:v>0</x:v>
      </x:c>
      <x:c r="EV174">
        <x:f t="shared" si="173"/>
        <x:v>0</x:v>
      </x:c>
      <x:c r="EW174">
        <x:f t="shared" si="174"/>
        <x:v>0</x:v>
      </x:c>
      <x:c r="EX174">
        <x:f t="shared" si="175"/>
        <x:v>0</x:v>
      </x:c>
      <x:c r="EY174">
        <x:f t="shared" si="176"/>
        <x:v>0</x:v>
      </x:c>
      <x:c r="EZ174">
        <x:f t="shared" si="177"/>
        <x:v>0</x:v>
      </x:c>
      <x:c r="FA174" s="41">
        <x:f t="shared" si="178"/>
        <x:v>0</x:v>
      </x:c>
      <x:c r="FB174">
        <x:f t="shared" si="179"/>
        <x:v>0</x:v>
      </x:c>
      <x:c r="FC174">
        <x:f t="shared" si="180"/>
        <x:v>0</x:v>
      </x:c>
      <x:c r="FD174">
        <x:f t="shared" si="181"/>
        <x:v>0</x:v>
      </x:c>
      <x:c r="FE174">
        <x:f t="shared" si="182"/>
        <x:v>0</x:v>
      </x:c>
      <x:c r="FF174">
        <x:f t="shared" si="183"/>
        <x:v>0</x:v>
      </x:c>
      <x:c r="FG174">
        <x:f t="shared" si="184"/>
        <x:v>0</x:v>
      </x:c>
      <x:c r="FH174">
        <x:f t="shared" si="185"/>
        <x:v>0</x:v>
      </x:c>
      <x:c r="FI174">
        <x:f t="shared" si="186"/>
        <x:v>0</x:v>
      </x:c>
      <x:c r="FJ174">
        <x:f t="shared" si="187"/>
        <x:v>0</x:v>
      </x:c>
      <x:c r="FK174">
        <x:f t="shared" si="188"/>
        <x:v>0</x:v>
      </x:c>
      <x:c r="FL174" s="41">
        <x:f t="shared" si="189"/>
        <x:v>0</x:v>
      </x:c>
      <x:c r="FM174">
        <x:f t="shared" si="190"/>
        <x:v>0</x:v>
      </x:c>
      <x:c r="FN174">
        <x:f t="shared" si="191"/>
        <x:v>0</x:v>
      </x:c>
      <x:c r="FO174">
        <x:f t="shared" si="192"/>
        <x:v>0</x:v>
      </x:c>
      <x:c r="FP174">
        <x:f t="shared" si="193"/>
        <x:v>0</x:v>
      </x:c>
      <x:c r="FQ174">
        <x:f t="shared" si="194"/>
        <x:v>0</x:v>
      </x:c>
      <x:c r="FR174">
        <x:f t="shared" si="195"/>
        <x:v>0</x:v>
      </x:c>
      <x:c r="FS174">
        <x:f t="shared" si="196"/>
        <x:v>0</x:v>
      </x:c>
      <x:c r="FT174">
        <x:f t="shared" si="197"/>
        <x:v>0</x:v>
      </x:c>
      <x:c r="FU174">
        <x:f t="shared" si="198"/>
        <x:v>0</x:v>
      </x:c>
      <x:c r="FV174">
        <x:f t="shared" si="199"/>
        <x:v>0</x:v>
      </x:c>
      <x:c r="FW174" s="41">
        <x:f t="shared" si="200"/>
        <x:v>0</x:v>
      </x:c>
      <x:c r="FX174">
        <x:f t="shared" si="201"/>
        <x:v>0</x:v>
      </x:c>
      <x:c r="FY174">
        <x:f t="shared" si="202"/>
        <x:v>0</x:v>
      </x:c>
      <x:c r="FZ174">
        <x:f t="shared" si="203"/>
        <x:v>0</x:v>
      </x:c>
      <x:c r="GA174">
        <x:f t="shared" si="204"/>
        <x:v>0</x:v>
      </x:c>
      <x:c r="GB174">
        <x:f t="shared" si="205"/>
        <x:v>0</x:v>
      </x:c>
      <x:c r="GC174">
        <x:f t="shared" si="206"/>
        <x:v>0</x:v>
      </x:c>
      <x:c r="GD174">
        <x:f t="shared" si="207"/>
        <x:v>0</x:v>
      </x:c>
      <x:c r="GE174">
        <x:f t="shared" si="208"/>
        <x:v>0</x:v>
      </x:c>
      <x:c r="GF174">
        <x:f t="shared" si="209"/>
        <x:v>0</x:v>
      </x:c>
      <x:c r="GG174">
        <x:f t="shared" si="210"/>
        <x:v>0</x:v>
      </x:c>
      <x:c r="GH174">
        <x:f t="shared" si="211"/>
        <x:v>0</x:v>
      </x:c>
      <x:c r="GI174">
        <x:f t="shared" si="212"/>
        <x:v>0</x:v>
      </x:c>
      <x:c r="GJ174">
        <x:f t="shared" si="213"/>
        <x:v>0</x:v>
      </x:c>
      <x:c r="GK174">
        <x:f t="shared" si="214"/>
        <x:v>0</x:v>
      </x:c>
      <x:c r="GL174">
        <x:f t="shared" si="215"/>
        <x:v>0</x:v>
      </x:c>
      <x:c r="GM174">
        <x:f t="shared" si="216"/>
        <x:v>0</x:v>
      </x:c>
      <x:c r="GN174">
        <x:f t="shared" si="217"/>
        <x:v>0</x:v>
      </x:c>
      <x:c r="GO174">
        <x:f t="shared" si="218"/>
        <x:v>0</x:v>
      </x:c>
      <x:c r="GP174">
        <x:f t="shared" si="219"/>
        <x:v>0</x:v>
      </x:c>
      <x:c r="GQ174">
        <x:f t="shared" si="220"/>
        <x:v>0</x:v>
      </x:c>
      <x:c r="GR174" s="42">
        <x:f t="shared" si="221"/>
        <x:v>0</x:v>
      </x:c>
      <x:c r="GS174">
        <x:f t="shared" si="222"/>
        <x:v>0</x:v>
      </x:c>
      <x:c r="GT174">
        <x:f t="shared" si="223"/>
        <x:v>0</x:v>
      </x:c>
      <x:c r="GU174">
        <x:f t="shared" si="224"/>
        <x:v>0</x:v>
      </x:c>
      <x:c r="GV174">
        <x:f t="shared" si="225"/>
        <x:v>0</x:v>
      </x:c>
      <x:c r="GW174">
        <x:f t="shared" si="226"/>
        <x:v>0</x:v>
      </x:c>
      <x:c r="GX174">
        <x:f t="shared" si="227"/>
        <x:v>0</x:v>
      </x:c>
      <x:c r="GY174">
        <x:f t="shared" si="228"/>
        <x:v>0</x:v>
      </x:c>
      <x:c r="GZ174">
        <x:f t="shared" si="229"/>
        <x:v>0</x:v>
      </x:c>
      <x:c r="HA174">
        <x:f t="shared" si="230"/>
        <x:v>0</x:v>
      </x:c>
      <x:c r="HB174" s="42">
        <x:f t="shared" si="231"/>
        <x:v>0</x:v>
      </x:c>
      <x:c r="HC174">
        <x:f t="shared" si="232"/>
        <x:v>0</x:v>
      </x:c>
      <x:c r="HD174">
        <x:f t="shared" si="233"/>
        <x:v>0</x:v>
      </x:c>
      <x:c r="HE174">
        <x:f t="shared" si="234"/>
        <x:v>0</x:v>
      </x:c>
      <x:c r="HF174">
        <x:f t="shared" si="235"/>
        <x:v>0</x:v>
      </x:c>
      <x:c r="HG174">
        <x:f t="shared" si="236"/>
        <x:v>0</x:v>
      </x:c>
      <x:c r="HH174">
        <x:f t="shared" si="237"/>
        <x:v>0</x:v>
      </x:c>
      <x:c r="HI174">
        <x:f t="shared" si="238"/>
        <x:v>0</x:v>
      </x:c>
      <x:c r="HJ174">
        <x:f t="shared" si="239"/>
        <x:v>0</x:v>
      </x:c>
      <x:c r="HK174">
        <x:f t="shared" si="240"/>
        <x:v>0</x:v>
      </x:c>
      <x:c r="HL174">
        <x:f t="shared" si="241"/>
        <x:v>0</x:v>
      </x:c>
    </x:row>
    <x:row r="175">
      <x:c r="D175" s="74"/>
      <x:c r="EQ175">
        <x:f t="shared" si="168"/>
        <x:v>0</x:v>
      </x:c>
      <x:c r="ER175">
        <x:f t="shared" si="169"/>
        <x:v>0</x:v>
      </x:c>
      <x:c r="ES175">
        <x:f t="shared" si="170"/>
        <x:v>0</x:v>
      </x:c>
      <x:c r="ET175">
        <x:f t="shared" si="171"/>
        <x:v>0</x:v>
      </x:c>
      <x:c r="EU175">
        <x:f t="shared" si="172"/>
        <x:v>0</x:v>
      </x:c>
      <x:c r="EV175">
        <x:f t="shared" si="173"/>
        <x:v>0</x:v>
      </x:c>
      <x:c r="EW175">
        <x:f t="shared" si="174"/>
        <x:v>0</x:v>
      </x:c>
      <x:c r="EX175">
        <x:f t="shared" si="175"/>
        <x:v>0</x:v>
      </x:c>
      <x:c r="EY175">
        <x:f t="shared" si="176"/>
        <x:v>0</x:v>
      </x:c>
      <x:c r="EZ175">
        <x:f t="shared" si="177"/>
        <x:v>0</x:v>
      </x:c>
      <x:c r="FA175" s="41">
        <x:f t="shared" si="178"/>
        <x:v>0</x:v>
      </x:c>
      <x:c r="FB175">
        <x:f t="shared" si="179"/>
        <x:v>0</x:v>
      </x:c>
      <x:c r="FC175">
        <x:f t="shared" si="180"/>
        <x:v>0</x:v>
      </x:c>
      <x:c r="FD175">
        <x:f t="shared" si="181"/>
        <x:v>0</x:v>
      </x:c>
      <x:c r="FE175">
        <x:f t="shared" si="182"/>
        <x:v>0</x:v>
      </x:c>
      <x:c r="FF175">
        <x:f t="shared" si="183"/>
        <x:v>0</x:v>
      </x:c>
      <x:c r="FG175">
        <x:f t="shared" si="184"/>
        <x:v>0</x:v>
      </x:c>
      <x:c r="FH175">
        <x:f t="shared" si="185"/>
        <x:v>0</x:v>
      </x:c>
      <x:c r="FI175">
        <x:f t="shared" si="186"/>
        <x:v>0</x:v>
      </x:c>
      <x:c r="FJ175">
        <x:f t="shared" si="187"/>
        <x:v>0</x:v>
      </x:c>
      <x:c r="FK175">
        <x:f t="shared" si="188"/>
        <x:v>0</x:v>
      </x:c>
      <x:c r="FL175" s="41">
        <x:f t="shared" si="189"/>
        <x:v>0</x:v>
      </x:c>
      <x:c r="FM175">
        <x:f t="shared" si="190"/>
        <x:v>0</x:v>
      </x:c>
      <x:c r="FN175">
        <x:f t="shared" si="191"/>
        <x:v>0</x:v>
      </x:c>
      <x:c r="FO175">
        <x:f t="shared" si="192"/>
        <x:v>0</x:v>
      </x:c>
      <x:c r="FP175">
        <x:f t="shared" si="193"/>
        <x:v>0</x:v>
      </x:c>
      <x:c r="FQ175">
        <x:f t="shared" si="194"/>
        <x:v>0</x:v>
      </x:c>
      <x:c r="FR175">
        <x:f t="shared" si="195"/>
        <x:v>0</x:v>
      </x:c>
      <x:c r="FS175">
        <x:f t="shared" si="196"/>
        <x:v>0</x:v>
      </x:c>
      <x:c r="FT175">
        <x:f t="shared" si="197"/>
        <x:v>0</x:v>
      </x:c>
      <x:c r="FU175">
        <x:f t="shared" si="198"/>
        <x:v>0</x:v>
      </x:c>
      <x:c r="FV175">
        <x:f t="shared" si="199"/>
        <x:v>0</x:v>
      </x:c>
      <x:c r="FW175" s="41">
        <x:f t="shared" si="200"/>
        <x:v>0</x:v>
      </x:c>
      <x:c r="FX175">
        <x:f t="shared" si="201"/>
        <x:v>0</x:v>
      </x:c>
      <x:c r="FY175">
        <x:f t="shared" si="202"/>
        <x:v>0</x:v>
      </x:c>
      <x:c r="FZ175">
        <x:f t="shared" si="203"/>
        <x:v>0</x:v>
      </x:c>
      <x:c r="GA175">
        <x:f t="shared" si="204"/>
        <x:v>0</x:v>
      </x:c>
      <x:c r="GB175">
        <x:f t="shared" si="205"/>
        <x:v>0</x:v>
      </x:c>
      <x:c r="GC175">
        <x:f t="shared" si="206"/>
        <x:v>0</x:v>
      </x:c>
      <x:c r="GD175">
        <x:f t="shared" si="207"/>
        <x:v>0</x:v>
      </x:c>
      <x:c r="GE175">
        <x:f t="shared" si="208"/>
        <x:v>0</x:v>
      </x:c>
      <x:c r="GF175">
        <x:f t="shared" si="209"/>
        <x:v>0</x:v>
      </x:c>
      <x:c r="GG175">
        <x:f t="shared" si="210"/>
        <x:v>0</x:v>
      </x:c>
      <x:c r="GH175">
        <x:f t="shared" si="211"/>
        <x:v>0</x:v>
      </x:c>
      <x:c r="GI175">
        <x:f t="shared" si="212"/>
        <x:v>0</x:v>
      </x:c>
      <x:c r="GJ175">
        <x:f t="shared" si="213"/>
        <x:v>0</x:v>
      </x:c>
      <x:c r="GK175">
        <x:f t="shared" si="214"/>
        <x:v>0</x:v>
      </x:c>
      <x:c r="GL175">
        <x:f t="shared" si="215"/>
        <x:v>0</x:v>
      </x:c>
      <x:c r="GM175">
        <x:f t="shared" si="216"/>
        <x:v>0</x:v>
      </x:c>
      <x:c r="GN175">
        <x:f t="shared" si="217"/>
        <x:v>0</x:v>
      </x:c>
      <x:c r="GO175">
        <x:f t="shared" si="218"/>
        <x:v>0</x:v>
      </x:c>
      <x:c r="GP175">
        <x:f t="shared" si="219"/>
        <x:v>0</x:v>
      </x:c>
      <x:c r="GQ175">
        <x:f t="shared" si="220"/>
        <x:v>0</x:v>
      </x:c>
      <x:c r="GR175" s="42">
        <x:f t="shared" si="221"/>
        <x:v>0</x:v>
      </x:c>
      <x:c r="GS175">
        <x:f t="shared" si="222"/>
        <x:v>0</x:v>
      </x:c>
      <x:c r="GT175">
        <x:f t="shared" si="223"/>
        <x:v>0</x:v>
      </x:c>
      <x:c r="GU175">
        <x:f t="shared" si="224"/>
        <x:v>0</x:v>
      </x:c>
      <x:c r="GV175">
        <x:f t="shared" si="225"/>
        <x:v>0</x:v>
      </x:c>
      <x:c r="GW175">
        <x:f t="shared" si="226"/>
        <x:v>0</x:v>
      </x:c>
      <x:c r="GX175">
        <x:f t="shared" si="227"/>
        <x:v>0</x:v>
      </x:c>
      <x:c r="GY175">
        <x:f t="shared" si="228"/>
        <x:v>0</x:v>
      </x:c>
      <x:c r="GZ175">
        <x:f t="shared" si="229"/>
        <x:v>0</x:v>
      </x:c>
      <x:c r="HA175">
        <x:f t="shared" si="230"/>
        <x:v>0</x:v>
      </x:c>
      <x:c r="HB175" s="42">
        <x:f t="shared" si="231"/>
        <x:v>0</x:v>
      </x:c>
      <x:c r="HC175">
        <x:f t="shared" si="232"/>
        <x:v>0</x:v>
      </x:c>
      <x:c r="HD175">
        <x:f t="shared" si="233"/>
        <x:v>0</x:v>
      </x:c>
      <x:c r="HE175">
        <x:f t="shared" si="234"/>
        <x:v>0</x:v>
      </x:c>
      <x:c r="HF175">
        <x:f t="shared" si="235"/>
        <x:v>0</x:v>
      </x:c>
      <x:c r="HG175">
        <x:f t="shared" si="236"/>
        <x:v>0</x:v>
      </x:c>
      <x:c r="HH175">
        <x:f t="shared" si="237"/>
        <x:v>0</x:v>
      </x:c>
      <x:c r="HI175">
        <x:f t="shared" si="238"/>
        <x:v>0</x:v>
      </x:c>
      <x:c r="HJ175">
        <x:f t="shared" si="239"/>
        <x:v>0</x:v>
      </x:c>
      <x:c r="HK175">
        <x:f t="shared" si="240"/>
        <x:v>0</x:v>
      </x:c>
      <x:c r="HL175">
        <x:f t="shared" si="241"/>
        <x:v>0</x:v>
      </x:c>
    </x:row>
    <x:row r="176">
      <x:c r="D176" s="74"/>
      <x:c r="EQ176">
        <x:f t="shared" si="168"/>
        <x:v>0</x:v>
      </x:c>
      <x:c r="ER176">
        <x:f t="shared" si="169"/>
        <x:v>0</x:v>
      </x:c>
      <x:c r="ES176">
        <x:f t="shared" si="170"/>
        <x:v>0</x:v>
      </x:c>
      <x:c r="ET176">
        <x:f t="shared" si="171"/>
        <x:v>0</x:v>
      </x:c>
      <x:c r="EU176">
        <x:f t="shared" si="172"/>
        <x:v>0</x:v>
      </x:c>
      <x:c r="EV176">
        <x:f t="shared" si="173"/>
        <x:v>0</x:v>
      </x:c>
      <x:c r="EW176">
        <x:f t="shared" si="174"/>
        <x:v>0</x:v>
      </x:c>
      <x:c r="EX176">
        <x:f t="shared" si="175"/>
        <x:v>0</x:v>
      </x:c>
      <x:c r="EY176">
        <x:f t="shared" si="176"/>
        <x:v>0</x:v>
      </x:c>
      <x:c r="EZ176">
        <x:f t="shared" si="177"/>
        <x:v>0</x:v>
      </x:c>
      <x:c r="FA176" s="41">
        <x:f t="shared" si="178"/>
        <x:v>0</x:v>
      </x:c>
      <x:c r="FB176">
        <x:f t="shared" si="179"/>
        <x:v>0</x:v>
      </x:c>
      <x:c r="FC176">
        <x:f t="shared" si="180"/>
        <x:v>0</x:v>
      </x:c>
      <x:c r="FD176">
        <x:f t="shared" si="181"/>
        <x:v>0</x:v>
      </x:c>
      <x:c r="FE176">
        <x:f t="shared" si="182"/>
        <x:v>0</x:v>
      </x:c>
      <x:c r="FF176">
        <x:f t="shared" si="183"/>
        <x:v>0</x:v>
      </x:c>
      <x:c r="FG176">
        <x:f t="shared" si="184"/>
        <x:v>0</x:v>
      </x:c>
      <x:c r="FH176">
        <x:f t="shared" si="185"/>
        <x:v>0</x:v>
      </x:c>
      <x:c r="FI176">
        <x:f t="shared" si="186"/>
        <x:v>0</x:v>
      </x:c>
      <x:c r="FJ176">
        <x:f t="shared" si="187"/>
        <x:v>0</x:v>
      </x:c>
      <x:c r="FK176">
        <x:f t="shared" si="188"/>
        <x:v>0</x:v>
      </x:c>
      <x:c r="FL176" s="41">
        <x:f t="shared" si="189"/>
        <x:v>0</x:v>
      </x:c>
      <x:c r="FM176">
        <x:f t="shared" si="190"/>
        <x:v>0</x:v>
      </x:c>
      <x:c r="FN176">
        <x:f t="shared" si="191"/>
        <x:v>0</x:v>
      </x:c>
      <x:c r="FO176">
        <x:f t="shared" si="192"/>
        <x:v>0</x:v>
      </x:c>
      <x:c r="FP176">
        <x:f t="shared" si="193"/>
        <x:v>0</x:v>
      </x:c>
      <x:c r="FQ176">
        <x:f t="shared" si="194"/>
        <x:v>0</x:v>
      </x:c>
      <x:c r="FR176">
        <x:f t="shared" si="195"/>
        <x:v>0</x:v>
      </x:c>
      <x:c r="FS176">
        <x:f t="shared" si="196"/>
        <x:v>0</x:v>
      </x:c>
      <x:c r="FT176">
        <x:f t="shared" si="197"/>
        <x:v>0</x:v>
      </x:c>
      <x:c r="FU176">
        <x:f t="shared" si="198"/>
        <x:v>0</x:v>
      </x:c>
      <x:c r="FV176">
        <x:f t="shared" si="199"/>
        <x:v>0</x:v>
      </x:c>
      <x:c r="FW176" s="41">
        <x:f t="shared" si="200"/>
        <x:v>0</x:v>
      </x:c>
      <x:c r="FX176">
        <x:f t="shared" si="201"/>
        <x:v>0</x:v>
      </x:c>
      <x:c r="FY176">
        <x:f t="shared" si="202"/>
        <x:v>0</x:v>
      </x:c>
      <x:c r="FZ176">
        <x:f t="shared" si="203"/>
        <x:v>0</x:v>
      </x:c>
      <x:c r="GA176">
        <x:f t="shared" si="204"/>
        <x:v>0</x:v>
      </x:c>
      <x:c r="GB176">
        <x:f t="shared" si="205"/>
        <x:v>0</x:v>
      </x:c>
      <x:c r="GC176">
        <x:f t="shared" si="206"/>
        <x:v>0</x:v>
      </x:c>
      <x:c r="GD176">
        <x:f t="shared" si="207"/>
        <x:v>0</x:v>
      </x:c>
      <x:c r="GE176">
        <x:f t="shared" si="208"/>
        <x:v>0</x:v>
      </x:c>
      <x:c r="GF176">
        <x:f t="shared" si="209"/>
        <x:v>0</x:v>
      </x:c>
      <x:c r="GG176">
        <x:f t="shared" si="210"/>
        <x:v>0</x:v>
      </x:c>
      <x:c r="GH176">
        <x:f t="shared" si="211"/>
        <x:v>0</x:v>
      </x:c>
      <x:c r="GI176">
        <x:f t="shared" si="212"/>
        <x:v>0</x:v>
      </x:c>
      <x:c r="GJ176">
        <x:f t="shared" si="213"/>
        <x:v>0</x:v>
      </x:c>
      <x:c r="GK176">
        <x:f t="shared" si="214"/>
        <x:v>0</x:v>
      </x:c>
      <x:c r="GL176">
        <x:f t="shared" si="215"/>
        <x:v>0</x:v>
      </x:c>
      <x:c r="GM176">
        <x:f t="shared" si="216"/>
        <x:v>0</x:v>
      </x:c>
      <x:c r="GN176">
        <x:f t="shared" si="217"/>
        <x:v>0</x:v>
      </x:c>
      <x:c r="GO176">
        <x:f t="shared" si="218"/>
        <x:v>0</x:v>
      </x:c>
      <x:c r="GP176">
        <x:f t="shared" si="219"/>
        <x:v>0</x:v>
      </x:c>
      <x:c r="GQ176">
        <x:f t="shared" si="220"/>
        <x:v>0</x:v>
      </x:c>
      <x:c r="GR176" s="42">
        <x:f t="shared" si="221"/>
        <x:v>0</x:v>
      </x:c>
      <x:c r="GS176">
        <x:f t="shared" si="222"/>
        <x:v>0</x:v>
      </x:c>
      <x:c r="GT176">
        <x:f t="shared" si="223"/>
        <x:v>0</x:v>
      </x:c>
      <x:c r="GU176">
        <x:f t="shared" si="224"/>
        <x:v>0</x:v>
      </x:c>
      <x:c r="GV176">
        <x:f t="shared" si="225"/>
        <x:v>0</x:v>
      </x:c>
      <x:c r="GW176">
        <x:f t="shared" si="226"/>
        <x:v>0</x:v>
      </x:c>
      <x:c r="GX176">
        <x:f t="shared" si="227"/>
        <x:v>0</x:v>
      </x:c>
      <x:c r="GY176">
        <x:f t="shared" si="228"/>
        <x:v>0</x:v>
      </x:c>
      <x:c r="GZ176">
        <x:f t="shared" si="229"/>
        <x:v>0</x:v>
      </x:c>
      <x:c r="HA176">
        <x:f t="shared" si="230"/>
        <x:v>0</x:v>
      </x:c>
      <x:c r="HB176" s="42">
        <x:f t="shared" si="231"/>
        <x:v>0</x:v>
      </x:c>
      <x:c r="HC176">
        <x:f t="shared" si="232"/>
        <x:v>0</x:v>
      </x:c>
      <x:c r="HD176">
        <x:f t="shared" si="233"/>
        <x:v>0</x:v>
      </x:c>
      <x:c r="HE176">
        <x:f t="shared" si="234"/>
        <x:v>0</x:v>
      </x:c>
      <x:c r="HF176">
        <x:f t="shared" si="235"/>
        <x:v>0</x:v>
      </x:c>
      <x:c r="HG176">
        <x:f t="shared" si="236"/>
        <x:v>0</x:v>
      </x:c>
      <x:c r="HH176">
        <x:f t="shared" si="237"/>
        <x:v>0</x:v>
      </x:c>
      <x:c r="HI176">
        <x:f t="shared" si="238"/>
        <x:v>0</x:v>
      </x:c>
      <x:c r="HJ176">
        <x:f t="shared" si="239"/>
        <x:v>0</x:v>
      </x:c>
      <x:c r="HK176">
        <x:f t="shared" si="240"/>
        <x:v>0</x:v>
      </x:c>
      <x:c r="HL176">
        <x:f t="shared" si="241"/>
        <x:v>0</x:v>
      </x:c>
    </x:row>
    <x:row r="177">
      <x:c r="D177" s="74"/>
      <x:c r="EQ177">
        <x:f t="shared" si="168"/>
        <x:v>0</x:v>
      </x:c>
      <x:c r="ER177">
        <x:f t="shared" si="169"/>
        <x:v>0</x:v>
      </x:c>
      <x:c r="ES177">
        <x:f t="shared" si="170"/>
        <x:v>0</x:v>
      </x:c>
      <x:c r="ET177">
        <x:f t="shared" si="171"/>
        <x:v>0</x:v>
      </x:c>
      <x:c r="EU177">
        <x:f t="shared" si="172"/>
        <x:v>0</x:v>
      </x:c>
      <x:c r="EV177">
        <x:f t="shared" si="173"/>
        <x:v>0</x:v>
      </x:c>
      <x:c r="EW177">
        <x:f t="shared" si="174"/>
        <x:v>0</x:v>
      </x:c>
      <x:c r="EX177">
        <x:f t="shared" si="175"/>
        <x:v>0</x:v>
      </x:c>
      <x:c r="EY177">
        <x:f t="shared" si="176"/>
        <x:v>0</x:v>
      </x:c>
      <x:c r="EZ177">
        <x:f t="shared" si="177"/>
        <x:v>0</x:v>
      </x:c>
      <x:c r="FA177" s="41">
        <x:f t="shared" si="178"/>
        <x:v>0</x:v>
      </x:c>
      <x:c r="FB177">
        <x:f t="shared" si="179"/>
        <x:v>0</x:v>
      </x:c>
      <x:c r="FC177">
        <x:f t="shared" si="180"/>
        <x:v>0</x:v>
      </x:c>
      <x:c r="FD177">
        <x:f t="shared" si="181"/>
        <x:v>0</x:v>
      </x:c>
      <x:c r="FE177">
        <x:f t="shared" si="182"/>
        <x:v>0</x:v>
      </x:c>
      <x:c r="FF177">
        <x:f t="shared" si="183"/>
        <x:v>0</x:v>
      </x:c>
      <x:c r="FG177">
        <x:f t="shared" si="184"/>
        <x:v>0</x:v>
      </x:c>
      <x:c r="FH177">
        <x:f t="shared" si="185"/>
        <x:v>0</x:v>
      </x:c>
      <x:c r="FI177">
        <x:f t="shared" si="186"/>
        <x:v>0</x:v>
      </x:c>
      <x:c r="FJ177">
        <x:f t="shared" si="187"/>
        <x:v>0</x:v>
      </x:c>
      <x:c r="FK177">
        <x:f t="shared" si="188"/>
        <x:v>0</x:v>
      </x:c>
      <x:c r="FL177" s="41">
        <x:f t="shared" si="189"/>
        <x:v>0</x:v>
      </x:c>
      <x:c r="FM177">
        <x:f t="shared" si="190"/>
        <x:v>0</x:v>
      </x:c>
      <x:c r="FN177">
        <x:f t="shared" si="191"/>
        <x:v>0</x:v>
      </x:c>
      <x:c r="FO177">
        <x:f t="shared" si="192"/>
        <x:v>0</x:v>
      </x:c>
      <x:c r="FP177">
        <x:f t="shared" si="193"/>
        <x:v>0</x:v>
      </x:c>
      <x:c r="FQ177">
        <x:f t="shared" si="194"/>
        <x:v>0</x:v>
      </x:c>
      <x:c r="FR177">
        <x:f t="shared" si="195"/>
        <x:v>0</x:v>
      </x:c>
      <x:c r="FS177">
        <x:f t="shared" si="196"/>
        <x:v>0</x:v>
      </x:c>
      <x:c r="FT177">
        <x:f t="shared" si="197"/>
        <x:v>0</x:v>
      </x:c>
      <x:c r="FU177">
        <x:f t="shared" si="198"/>
        <x:v>0</x:v>
      </x:c>
      <x:c r="FV177">
        <x:f t="shared" si="199"/>
        <x:v>0</x:v>
      </x:c>
      <x:c r="FW177" s="41">
        <x:f t="shared" si="200"/>
        <x:v>0</x:v>
      </x:c>
      <x:c r="FX177">
        <x:f t="shared" si="201"/>
        <x:v>0</x:v>
      </x:c>
      <x:c r="FY177">
        <x:f t="shared" si="202"/>
        <x:v>0</x:v>
      </x:c>
      <x:c r="FZ177">
        <x:f t="shared" si="203"/>
        <x:v>0</x:v>
      </x:c>
      <x:c r="GA177">
        <x:f t="shared" si="204"/>
        <x:v>0</x:v>
      </x:c>
      <x:c r="GB177">
        <x:f t="shared" si="205"/>
        <x:v>0</x:v>
      </x:c>
      <x:c r="GC177">
        <x:f t="shared" si="206"/>
        <x:v>0</x:v>
      </x:c>
      <x:c r="GD177">
        <x:f t="shared" si="207"/>
        <x:v>0</x:v>
      </x:c>
      <x:c r="GE177">
        <x:f t="shared" si="208"/>
        <x:v>0</x:v>
      </x:c>
      <x:c r="GF177">
        <x:f t="shared" si="209"/>
        <x:v>0</x:v>
      </x:c>
      <x:c r="GG177">
        <x:f t="shared" si="210"/>
        <x:v>0</x:v>
      </x:c>
      <x:c r="GH177">
        <x:f t="shared" si="211"/>
        <x:v>0</x:v>
      </x:c>
      <x:c r="GI177">
        <x:f t="shared" si="212"/>
        <x:v>0</x:v>
      </x:c>
      <x:c r="GJ177">
        <x:f t="shared" si="213"/>
        <x:v>0</x:v>
      </x:c>
      <x:c r="GK177">
        <x:f t="shared" si="214"/>
        <x:v>0</x:v>
      </x:c>
      <x:c r="GL177">
        <x:f t="shared" si="215"/>
        <x:v>0</x:v>
      </x:c>
      <x:c r="GM177">
        <x:f t="shared" si="216"/>
        <x:v>0</x:v>
      </x:c>
      <x:c r="GN177">
        <x:f t="shared" si="217"/>
        <x:v>0</x:v>
      </x:c>
      <x:c r="GO177">
        <x:f t="shared" si="218"/>
        <x:v>0</x:v>
      </x:c>
      <x:c r="GP177">
        <x:f t="shared" si="219"/>
        <x:v>0</x:v>
      </x:c>
      <x:c r="GQ177">
        <x:f t="shared" si="220"/>
        <x:v>0</x:v>
      </x:c>
      <x:c r="GR177" s="42">
        <x:f t="shared" si="221"/>
        <x:v>0</x:v>
      </x:c>
      <x:c r="GS177">
        <x:f t="shared" si="222"/>
        <x:v>0</x:v>
      </x:c>
      <x:c r="GT177">
        <x:f t="shared" si="223"/>
        <x:v>0</x:v>
      </x:c>
      <x:c r="GU177">
        <x:f t="shared" si="224"/>
        <x:v>0</x:v>
      </x:c>
      <x:c r="GV177">
        <x:f t="shared" si="225"/>
        <x:v>0</x:v>
      </x:c>
      <x:c r="GW177">
        <x:f t="shared" si="226"/>
        <x:v>0</x:v>
      </x:c>
      <x:c r="GX177">
        <x:f t="shared" si="227"/>
        <x:v>0</x:v>
      </x:c>
      <x:c r="GY177">
        <x:f t="shared" si="228"/>
        <x:v>0</x:v>
      </x:c>
      <x:c r="GZ177">
        <x:f t="shared" si="229"/>
        <x:v>0</x:v>
      </x:c>
      <x:c r="HA177">
        <x:f t="shared" si="230"/>
        <x:v>0</x:v>
      </x:c>
      <x:c r="HB177" s="42">
        <x:f t="shared" si="231"/>
        <x:v>0</x:v>
      </x:c>
      <x:c r="HC177">
        <x:f t="shared" si="232"/>
        <x:v>0</x:v>
      </x:c>
      <x:c r="HD177">
        <x:f t="shared" si="233"/>
        <x:v>0</x:v>
      </x:c>
      <x:c r="HE177">
        <x:f t="shared" si="234"/>
        <x:v>0</x:v>
      </x:c>
      <x:c r="HF177">
        <x:f t="shared" si="235"/>
        <x:v>0</x:v>
      </x:c>
      <x:c r="HG177">
        <x:f t="shared" si="236"/>
        <x:v>0</x:v>
      </x:c>
      <x:c r="HH177">
        <x:f t="shared" si="237"/>
        <x:v>0</x:v>
      </x:c>
      <x:c r="HI177">
        <x:f t="shared" si="238"/>
        <x:v>0</x:v>
      </x:c>
      <x:c r="HJ177">
        <x:f t="shared" si="239"/>
        <x:v>0</x:v>
      </x:c>
      <x:c r="HK177">
        <x:f t="shared" si="240"/>
        <x:v>0</x:v>
      </x:c>
      <x:c r="HL177">
        <x:f t="shared" si="241"/>
        <x:v>0</x:v>
      </x:c>
    </x:row>
    <x:row r="178">
      <x:c r="D178" s="74"/>
      <x:c r="EQ178">
        <x:f t="shared" si="168"/>
        <x:v>0</x:v>
      </x:c>
      <x:c r="ER178">
        <x:f t="shared" si="169"/>
        <x:v>0</x:v>
      </x:c>
      <x:c r="ES178">
        <x:f t="shared" si="170"/>
        <x:v>0</x:v>
      </x:c>
      <x:c r="ET178">
        <x:f t="shared" si="171"/>
        <x:v>0</x:v>
      </x:c>
      <x:c r="EU178">
        <x:f t="shared" si="172"/>
        <x:v>0</x:v>
      </x:c>
      <x:c r="EV178">
        <x:f t="shared" si="173"/>
        <x:v>0</x:v>
      </x:c>
      <x:c r="EW178">
        <x:f t="shared" si="174"/>
        <x:v>0</x:v>
      </x:c>
      <x:c r="EX178">
        <x:f t="shared" si="175"/>
        <x:v>0</x:v>
      </x:c>
      <x:c r="EY178">
        <x:f t="shared" si="176"/>
        <x:v>0</x:v>
      </x:c>
      <x:c r="EZ178">
        <x:f t="shared" si="177"/>
        <x:v>0</x:v>
      </x:c>
      <x:c r="FA178" s="41">
        <x:f t="shared" si="178"/>
        <x:v>0</x:v>
      </x:c>
      <x:c r="FB178">
        <x:f t="shared" si="179"/>
        <x:v>0</x:v>
      </x:c>
      <x:c r="FC178">
        <x:f t="shared" si="180"/>
        <x:v>0</x:v>
      </x:c>
      <x:c r="FD178">
        <x:f t="shared" si="181"/>
        <x:v>0</x:v>
      </x:c>
      <x:c r="FE178">
        <x:f t="shared" si="182"/>
        <x:v>0</x:v>
      </x:c>
      <x:c r="FF178">
        <x:f t="shared" si="183"/>
        <x:v>0</x:v>
      </x:c>
      <x:c r="FG178">
        <x:f t="shared" si="184"/>
        <x:v>0</x:v>
      </x:c>
      <x:c r="FH178">
        <x:f t="shared" si="185"/>
        <x:v>0</x:v>
      </x:c>
      <x:c r="FI178">
        <x:f t="shared" si="186"/>
        <x:v>0</x:v>
      </x:c>
      <x:c r="FJ178">
        <x:f t="shared" si="187"/>
        <x:v>0</x:v>
      </x:c>
      <x:c r="FK178">
        <x:f t="shared" si="188"/>
        <x:v>0</x:v>
      </x:c>
      <x:c r="FL178" s="41">
        <x:f t="shared" si="189"/>
        <x:v>0</x:v>
      </x:c>
      <x:c r="FM178">
        <x:f t="shared" si="190"/>
        <x:v>0</x:v>
      </x:c>
      <x:c r="FN178">
        <x:f t="shared" si="191"/>
        <x:v>0</x:v>
      </x:c>
      <x:c r="FO178">
        <x:f t="shared" si="192"/>
        <x:v>0</x:v>
      </x:c>
      <x:c r="FP178">
        <x:f t="shared" si="193"/>
        <x:v>0</x:v>
      </x:c>
      <x:c r="FQ178">
        <x:f t="shared" si="194"/>
        <x:v>0</x:v>
      </x:c>
      <x:c r="FR178">
        <x:f t="shared" si="195"/>
        <x:v>0</x:v>
      </x:c>
      <x:c r="FS178">
        <x:f t="shared" si="196"/>
        <x:v>0</x:v>
      </x:c>
      <x:c r="FT178">
        <x:f t="shared" si="197"/>
        <x:v>0</x:v>
      </x:c>
      <x:c r="FU178">
        <x:f t="shared" si="198"/>
        <x:v>0</x:v>
      </x:c>
      <x:c r="FV178">
        <x:f t="shared" si="199"/>
        <x:v>0</x:v>
      </x:c>
      <x:c r="FW178" s="41">
        <x:f t="shared" si="200"/>
        <x:v>0</x:v>
      </x:c>
      <x:c r="FX178">
        <x:f t="shared" si="201"/>
        <x:v>0</x:v>
      </x:c>
      <x:c r="FY178">
        <x:f t="shared" si="202"/>
        <x:v>0</x:v>
      </x:c>
      <x:c r="FZ178">
        <x:f t="shared" si="203"/>
        <x:v>0</x:v>
      </x:c>
      <x:c r="GA178">
        <x:f t="shared" si="204"/>
        <x:v>0</x:v>
      </x:c>
      <x:c r="GB178">
        <x:f t="shared" si="205"/>
        <x:v>0</x:v>
      </x:c>
      <x:c r="GC178">
        <x:f t="shared" si="206"/>
        <x:v>0</x:v>
      </x:c>
      <x:c r="GD178">
        <x:f t="shared" si="207"/>
        <x:v>0</x:v>
      </x:c>
      <x:c r="GE178">
        <x:f t="shared" si="208"/>
        <x:v>0</x:v>
      </x:c>
      <x:c r="GF178">
        <x:f t="shared" si="209"/>
        <x:v>0</x:v>
      </x:c>
      <x:c r="GG178">
        <x:f t="shared" si="210"/>
        <x:v>0</x:v>
      </x:c>
      <x:c r="GH178">
        <x:f t="shared" si="211"/>
        <x:v>0</x:v>
      </x:c>
      <x:c r="GI178">
        <x:f t="shared" si="212"/>
        <x:v>0</x:v>
      </x:c>
      <x:c r="GJ178">
        <x:f t="shared" si="213"/>
        <x:v>0</x:v>
      </x:c>
      <x:c r="GK178">
        <x:f t="shared" si="214"/>
        <x:v>0</x:v>
      </x:c>
      <x:c r="GL178">
        <x:f t="shared" si="215"/>
        <x:v>0</x:v>
      </x:c>
      <x:c r="GM178">
        <x:f t="shared" si="216"/>
        <x:v>0</x:v>
      </x:c>
      <x:c r="GN178">
        <x:f t="shared" si="217"/>
        <x:v>0</x:v>
      </x:c>
      <x:c r="GO178">
        <x:f t="shared" si="218"/>
        <x:v>0</x:v>
      </x:c>
      <x:c r="GP178">
        <x:f t="shared" si="219"/>
        <x:v>0</x:v>
      </x:c>
      <x:c r="GQ178">
        <x:f t="shared" si="220"/>
        <x:v>0</x:v>
      </x:c>
      <x:c r="GR178" s="42">
        <x:f t="shared" si="221"/>
        <x:v>0</x:v>
      </x:c>
      <x:c r="GS178">
        <x:f t="shared" si="222"/>
        <x:v>0</x:v>
      </x:c>
      <x:c r="GT178">
        <x:f t="shared" si="223"/>
        <x:v>0</x:v>
      </x:c>
      <x:c r="GU178">
        <x:f t="shared" si="224"/>
        <x:v>0</x:v>
      </x:c>
      <x:c r="GV178">
        <x:f t="shared" si="225"/>
        <x:v>0</x:v>
      </x:c>
      <x:c r="GW178">
        <x:f t="shared" si="226"/>
        <x:v>0</x:v>
      </x:c>
      <x:c r="GX178">
        <x:f t="shared" si="227"/>
        <x:v>0</x:v>
      </x:c>
      <x:c r="GY178">
        <x:f t="shared" si="228"/>
        <x:v>0</x:v>
      </x:c>
      <x:c r="GZ178">
        <x:f t="shared" si="229"/>
        <x:v>0</x:v>
      </x:c>
      <x:c r="HA178">
        <x:f t="shared" si="230"/>
        <x:v>0</x:v>
      </x:c>
      <x:c r="HB178" s="42">
        <x:f t="shared" si="231"/>
        <x:v>0</x:v>
      </x:c>
      <x:c r="HC178">
        <x:f t="shared" si="232"/>
        <x:v>0</x:v>
      </x:c>
      <x:c r="HD178">
        <x:f t="shared" si="233"/>
        <x:v>0</x:v>
      </x:c>
      <x:c r="HE178">
        <x:f t="shared" si="234"/>
        <x:v>0</x:v>
      </x:c>
      <x:c r="HF178">
        <x:f t="shared" si="235"/>
        <x:v>0</x:v>
      </x:c>
      <x:c r="HG178">
        <x:f t="shared" si="236"/>
        <x:v>0</x:v>
      </x:c>
      <x:c r="HH178">
        <x:f t="shared" si="237"/>
        <x:v>0</x:v>
      </x:c>
      <x:c r="HI178">
        <x:f t="shared" si="238"/>
        <x:v>0</x:v>
      </x:c>
      <x:c r="HJ178">
        <x:f t="shared" si="239"/>
        <x:v>0</x:v>
      </x:c>
      <x:c r="HK178">
        <x:f t="shared" si="240"/>
        <x:v>0</x:v>
      </x:c>
      <x:c r="HL178">
        <x:f t="shared" si="241"/>
        <x:v>0</x:v>
      </x:c>
    </x:row>
    <x:row r="179">
      <x:c r="D179" s="74"/>
      <x:c r="EQ179">
        <x:f t="shared" si="168"/>
        <x:v>0</x:v>
      </x:c>
      <x:c r="ER179">
        <x:f t="shared" si="169"/>
        <x:v>0</x:v>
      </x:c>
      <x:c r="ES179">
        <x:f t="shared" si="170"/>
        <x:v>0</x:v>
      </x:c>
      <x:c r="ET179">
        <x:f t="shared" si="171"/>
        <x:v>0</x:v>
      </x:c>
      <x:c r="EU179">
        <x:f t="shared" si="172"/>
        <x:v>0</x:v>
      </x:c>
      <x:c r="EV179">
        <x:f t="shared" si="173"/>
        <x:v>0</x:v>
      </x:c>
      <x:c r="EW179">
        <x:f t="shared" si="174"/>
        <x:v>0</x:v>
      </x:c>
      <x:c r="EX179">
        <x:f t="shared" si="175"/>
        <x:v>0</x:v>
      </x:c>
      <x:c r="EY179">
        <x:f t="shared" si="176"/>
        <x:v>0</x:v>
      </x:c>
      <x:c r="EZ179">
        <x:f t="shared" si="177"/>
        <x:v>0</x:v>
      </x:c>
      <x:c r="FA179" s="41">
        <x:f t="shared" si="178"/>
        <x:v>0</x:v>
      </x:c>
      <x:c r="FB179">
        <x:f t="shared" si="179"/>
        <x:v>0</x:v>
      </x:c>
      <x:c r="FC179">
        <x:f t="shared" si="180"/>
        <x:v>0</x:v>
      </x:c>
      <x:c r="FD179">
        <x:f t="shared" si="181"/>
        <x:v>0</x:v>
      </x:c>
      <x:c r="FE179">
        <x:f t="shared" si="182"/>
        <x:v>0</x:v>
      </x:c>
      <x:c r="FF179">
        <x:f t="shared" si="183"/>
        <x:v>0</x:v>
      </x:c>
      <x:c r="FG179">
        <x:f t="shared" si="184"/>
        <x:v>0</x:v>
      </x:c>
      <x:c r="FH179">
        <x:f t="shared" si="185"/>
        <x:v>0</x:v>
      </x:c>
      <x:c r="FI179">
        <x:f t="shared" si="186"/>
        <x:v>0</x:v>
      </x:c>
      <x:c r="FJ179">
        <x:f t="shared" si="187"/>
        <x:v>0</x:v>
      </x:c>
      <x:c r="FK179">
        <x:f t="shared" si="188"/>
        <x:v>0</x:v>
      </x:c>
      <x:c r="FL179" s="41">
        <x:f t="shared" si="189"/>
        <x:v>0</x:v>
      </x:c>
      <x:c r="FM179">
        <x:f t="shared" si="190"/>
        <x:v>0</x:v>
      </x:c>
      <x:c r="FN179">
        <x:f t="shared" si="191"/>
        <x:v>0</x:v>
      </x:c>
      <x:c r="FO179">
        <x:f t="shared" si="192"/>
        <x:v>0</x:v>
      </x:c>
      <x:c r="FP179">
        <x:f t="shared" si="193"/>
        <x:v>0</x:v>
      </x:c>
      <x:c r="FQ179">
        <x:f t="shared" si="194"/>
        <x:v>0</x:v>
      </x:c>
      <x:c r="FR179">
        <x:f t="shared" si="195"/>
        <x:v>0</x:v>
      </x:c>
      <x:c r="FS179">
        <x:f t="shared" si="196"/>
        <x:v>0</x:v>
      </x:c>
      <x:c r="FT179">
        <x:f t="shared" si="197"/>
        <x:v>0</x:v>
      </x:c>
      <x:c r="FU179">
        <x:f t="shared" si="198"/>
        <x:v>0</x:v>
      </x:c>
      <x:c r="FV179">
        <x:f t="shared" si="199"/>
        <x:v>0</x:v>
      </x:c>
      <x:c r="FW179" s="41">
        <x:f t="shared" si="200"/>
        <x:v>0</x:v>
      </x:c>
      <x:c r="FX179">
        <x:f t="shared" si="201"/>
        <x:v>0</x:v>
      </x:c>
      <x:c r="FY179">
        <x:f t="shared" si="202"/>
        <x:v>0</x:v>
      </x:c>
      <x:c r="FZ179">
        <x:f t="shared" si="203"/>
        <x:v>0</x:v>
      </x:c>
      <x:c r="GA179">
        <x:f t="shared" si="204"/>
        <x:v>0</x:v>
      </x:c>
      <x:c r="GB179">
        <x:f t="shared" si="205"/>
        <x:v>0</x:v>
      </x:c>
      <x:c r="GC179">
        <x:f t="shared" si="206"/>
        <x:v>0</x:v>
      </x:c>
      <x:c r="GD179">
        <x:f t="shared" si="207"/>
        <x:v>0</x:v>
      </x:c>
      <x:c r="GE179">
        <x:f t="shared" si="208"/>
        <x:v>0</x:v>
      </x:c>
      <x:c r="GF179">
        <x:f t="shared" si="209"/>
        <x:v>0</x:v>
      </x:c>
      <x:c r="GG179">
        <x:f t="shared" si="210"/>
        <x:v>0</x:v>
      </x:c>
      <x:c r="GH179">
        <x:f t="shared" si="211"/>
        <x:v>0</x:v>
      </x:c>
      <x:c r="GI179">
        <x:f t="shared" si="212"/>
        <x:v>0</x:v>
      </x:c>
      <x:c r="GJ179">
        <x:f t="shared" si="213"/>
        <x:v>0</x:v>
      </x:c>
      <x:c r="GK179">
        <x:f t="shared" si="214"/>
        <x:v>0</x:v>
      </x:c>
      <x:c r="GL179">
        <x:f t="shared" si="215"/>
        <x:v>0</x:v>
      </x:c>
      <x:c r="GM179">
        <x:f t="shared" si="216"/>
        <x:v>0</x:v>
      </x:c>
      <x:c r="GN179">
        <x:f t="shared" si="217"/>
        <x:v>0</x:v>
      </x:c>
      <x:c r="GO179">
        <x:f t="shared" si="218"/>
        <x:v>0</x:v>
      </x:c>
      <x:c r="GP179">
        <x:f t="shared" si="219"/>
        <x:v>0</x:v>
      </x:c>
      <x:c r="GQ179">
        <x:f t="shared" si="220"/>
        <x:v>0</x:v>
      </x:c>
      <x:c r="GR179" s="42">
        <x:f t="shared" si="221"/>
        <x:v>0</x:v>
      </x:c>
      <x:c r="GS179">
        <x:f t="shared" si="222"/>
        <x:v>0</x:v>
      </x:c>
      <x:c r="GT179">
        <x:f t="shared" si="223"/>
        <x:v>0</x:v>
      </x:c>
      <x:c r="GU179">
        <x:f t="shared" si="224"/>
        <x:v>0</x:v>
      </x:c>
      <x:c r="GV179">
        <x:f t="shared" si="225"/>
        <x:v>0</x:v>
      </x:c>
      <x:c r="GW179">
        <x:f t="shared" si="226"/>
        <x:v>0</x:v>
      </x:c>
      <x:c r="GX179">
        <x:f t="shared" si="227"/>
        <x:v>0</x:v>
      </x:c>
      <x:c r="GY179">
        <x:f t="shared" si="228"/>
        <x:v>0</x:v>
      </x:c>
      <x:c r="GZ179">
        <x:f t="shared" si="229"/>
        <x:v>0</x:v>
      </x:c>
      <x:c r="HA179">
        <x:f t="shared" si="230"/>
        <x:v>0</x:v>
      </x:c>
      <x:c r="HB179" s="42">
        <x:f t="shared" si="231"/>
        <x:v>0</x:v>
      </x:c>
      <x:c r="HC179">
        <x:f t="shared" si="232"/>
        <x:v>0</x:v>
      </x:c>
      <x:c r="HD179">
        <x:f t="shared" si="233"/>
        <x:v>0</x:v>
      </x:c>
      <x:c r="HE179">
        <x:f t="shared" si="234"/>
        <x:v>0</x:v>
      </x:c>
      <x:c r="HF179">
        <x:f t="shared" si="235"/>
        <x:v>0</x:v>
      </x:c>
      <x:c r="HG179">
        <x:f t="shared" si="236"/>
        <x:v>0</x:v>
      </x:c>
      <x:c r="HH179">
        <x:f t="shared" si="237"/>
        <x:v>0</x:v>
      </x:c>
      <x:c r="HI179">
        <x:f t="shared" si="238"/>
        <x:v>0</x:v>
      </x:c>
      <x:c r="HJ179">
        <x:f t="shared" si="239"/>
        <x:v>0</x:v>
      </x:c>
      <x:c r="HK179">
        <x:f t="shared" si="240"/>
        <x:v>0</x:v>
      </x:c>
      <x:c r="HL179">
        <x:f t="shared" si="241"/>
        <x:v>0</x:v>
      </x:c>
    </x:row>
    <x:row r="180">
      <x:c r="D180" s="74"/>
      <x:c r="EQ180">
        <x:f t="shared" si="168"/>
        <x:v>0</x:v>
      </x:c>
      <x:c r="ER180">
        <x:f t="shared" si="169"/>
        <x:v>0</x:v>
      </x:c>
      <x:c r="ES180">
        <x:f t="shared" si="170"/>
        <x:v>0</x:v>
      </x:c>
      <x:c r="ET180">
        <x:f t="shared" si="171"/>
        <x:v>0</x:v>
      </x:c>
      <x:c r="EU180">
        <x:f t="shared" si="172"/>
        <x:v>0</x:v>
      </x:c>
      <x:c r="EV180">
        <x:f t="shared" si="173"/>
        <x:v>0</x:v>
      </x:c>
      <x:c r="EW180">
        <x:f t="shared" si="174"/>
        <x:v>0</x:v>
      </x:c>
      <x:c r="EX180">
        <x:f t="shared" si="175"/>
        <x:v>0</x:v>
      </x:c>
      <x:c r="EY180">
        <x:f t="shared" si="176"/>
        <x:v>0</x:v>
      </x:c>
      <x:c r="EZ180">
        <x:f t="shared" si="177"/>
        <x:v>0</x:v>
      </x:c>
      <x:c r="FA180" s="41">
        <x:f t="shared" si="178"/>
        <x:v>0</x:v>
      </x:c>
      <x:c r="FB180">
        <x:f t="shared" si="179"/>
        <x:v>0</x:v>
      </x:c>
      <x:c r="FC180">
        <x:f t="shared" si="180"/>
        <x:v>0</x:v>
      </x:c>
      <x:c r="FD180">
        <x:f t="shared" si="181"/>
        <x:v>0</x:v>
      </x:c>
      <x:c r="FE180">
        <x:f t="shared" si="182"/>
        <x:v>0</x:v>
      </x:c>
      <x:c r="FF180">
        <x:f t="shared" si="183"/>
        <x:v>0</x:v>
      </x:c>
      <x:c r="FG180">
        <x:f t="shared" si="184"/>
        <x:v>0</x:v>
      </x:c>
      <x:c r="FH180">
        <x:f t="shared" si="185"/>
        <x:v>0</x:v>
      </x:c>
      <x:c r="FI180">
        <x:f t="shared" si="186"/>
        <x:v>0</x:v>
      </x:c>
      <x:c r="FJ180">
        <x:f t="shared" si="187"/>
        <x:v>0</x:v>
      </x:c>
      <x:c r="FK180">
        <x:f t="shared" si="188"/>
        <x:v>0</x:v>
      </x:c>
      <x:c r="FL180" s="41">
        <x:f t="shared" si="189"/>
        <x:v>0</x:v>
      </x:c>
      <x:c r="FM180">
        <x:f t="shared" si="190"/>
        <x:v>0</x:v>
      </x:c>
      <x:c r="FN180">
        <x:f t="shared" si="191"/>
        <x:v>0</x:v>
      </x:c>
      <x:c r="FO180">
        <x:f t="shared" si="192"/>
        <x:v>0</x:v>
      </x:c>
      <x:c r="FP180">
        <x:f t="shared" si="193"/>
        <x:v>0</x:v>
      </x:c>
      <x:c r="FQ180">
        <x:f t="shared" si="194"/>
        <x:v>0</x:v>
      </x:c>
      <x:c r="FR180">
        <x:f t="shared" si="195"/>
        <x:v>0</x:v>
      </x:c>
      <x:c r="FS180">
        <x:f t="shared" si="196"/>
        <x:v>0</x:v>
      </x:c>
      <x:c r="FT180">
        <x:f t="shared" si="197"/>
        <x:v>0</x:v>
      </x:c>
      <x:c r="FU180">
        <x:f t="shared" si="198"/>
        <x:v>0</x:v>
      </x:c>
      <x:c r="FV180">
        <x:f t="shared" si="199"/>
        <x:v>0</x:v>
      </x:c>
      <x:c r="FW180" s="41">
        <x:f t="shared" si="200"/>
        <x:v>0</x:v>
      </x:c>
      <x:c r="FX180">
        <x:f t="shared" si="201"/>
        <x:v>0</x:v>
      </x:c>
      <x:c r="FY180">
        <x:f t="shared" si="202"/>
        <x:v>0</x:v>
      </x:c>
      <x:c r="FZ180">
        <x:f t="shared" si="203"/>
        <x:v>0</x:v>
      </x:c>
      <x:c r="GA180">
        <x:f t="shared" si="204"/>
        <x:v>0</x:v>
      </x:c>
      <x:c r="GB180">
        <x:f t="shared" si="205"/>
        <x:v>0</x:v>
      </x:c>
      <x:c r="GC180">
        <x:f t="shared" si="206"/>
        <x:v>0</x:v>
      </x:c>
      <x:c r="GD180">
        <x:f t="shared" si="207"/>
        <x:v>0</x:v>
      </x:c>
      <x:c r="GE180">
        <x:f t="shared" si="208"/>
        <x:v>0</x:v>
      </x:c>
      <x:c r="GF180">
        <x:f t="shared" si="209"/>
        <x:v>0</x:v>
      </x:c>
      <x:c r="GG180">
        <x:f t="shared" si="210"/>
        <x:v>0</x:v>
      </x:c>
      <x:c r="GH180">
        <x:f t="shared" si="211"/>
        <x:v>0</x:v>
      </x:c>
      <x:c r="GI180">
        <x:f t="shared" si="212"/>
        <x:v>0</x:v>
      </x:c>
      <x:c r="GJ180">
        <x:f t="shared" si="213"/>
        <x:v>0</x:v>
      </x:c>
      <x:c r="GK180">
        <x:f t="shared" si="214"/>
        <x:v>0</x:v>
      </x:c>
      <x:c r="GL180">
        <x:f t="shared" si="215"/>
        <x:v>0</x:v>
      </x:c>
      <x:c r="GM180">
        <x:f t="shared" si="216"/>
        <x:v>0</x:v>
      </x:c>
      <x:c r="GN180">
        <x:f t="shared" si="217"/>
        <x:v>0</x:v>
      </x:c>
      <x:c r="GO180">
        <x:f t="shared" si="218"/>
        <x:v>0</x:v>
      </x:c>
      <x:c r="GP180">
        <x:f t="shared" si="219"/>
        <x:v>0</x:v>
      </x:c>
      <x:c r="GQ180">
        <x:f t="shared" si="220"/>
        <x:v>0</x:v>
      </x:c>
      <x:c r="GR180" s="42">
        <x:f t="shared" si="221"/>
        <x:v>0</x:v>
      </x:c>
      <x:c r="GS180">
        <x:f t="shared" si="222"/>
        <x:v>0</x:v>
      </x:c>
      <x:c r="GT180">
        <x:f t="shared" si="223"/>
        <x:v>0</x:v>
      </x:c>
      <x:c r="GU180">
        <x:f t="shared" si="224"/>
        <x:v>0</x:v>
      </x:c>
      <x:c r="GV180">
        <x:f t="shared" si="225"/>
        <x:v>0</x:v>
      </x:c>
      <x:c r="GW180">
        <x:f t="shared" si="226"/>
        <x:v>0</x:v>
      </x:c>
      <x:c r="GX180">
        <x:f t="shared" si="227"/>
        <x:v>0</x:v>
      </x:c>
      <x:c r="GY180">
        <x:f t="shared" si="228"/>
        <x:v>0</x:v>
      </x:c>
      <x:c r="GZ180">
        <x:f t="shared" si="229"/>
        <x:v>0</x:v>
      </x:c>
      <x:c r="HA180">
        <x:f t="shared" si="230"/>
        <x:v>0</x:v>
      </x:c>
      <x:c r="HB180" s="42">
        <x:f t="shared" si="231"/>
        <x:v>0</x:v>
      </x:c>
      <x:c r="HC180">
        <x:f t="shared" si="232"/>
        <x:v>0</x:v>
      </x:c>
      <x:c r="HD180">
        <x:f t="shared" si="233"/>
        <x:v>0</x:v>
      </x:c>
      <x:c r="HE180">
        <x:f t="shared" si="234"/>
        <x:v>0</x:v>
      </x:c>
      <x:c r="HF180">
        <x:f t="shared" si="235"/>
        <x:v>0</x:v>
      </x:c>
      <x:c r="HG180">
        <x:f t="shared" si="236"/>
        <x:v>0</x:v>
      </x:c>
      <x:c r="HH180">
        <x:f t="shared" si="237"/>
        <x:v>0</x:v>
      </x:c>
      <x:c r="HI180">
        <x:f t="shared" si="238"/>
        <x:v>0</x:v>
      </x:c>
      <x:c r="HJ180">
        <x:f t="shared" si="239"/>
        <x:v>0</x:v>
      </x:c>
      <x:c r="HK180">
        <x:f t="shared" si="240"/>
        <x:v>0</x:v>
      </x:c>
      <x:c r="HL180">
        <x:f t="shared" si="241"/>
        <x:v>0</x:v>
      </x:c>
    </x:row>
    <x:row r="181">
      <x:c r="D181" s="74"/>
      <x:c r="EQ181">
        <x:f t="shared" si="168"/>
        <x:v>0</x:v>
      </x:c>
      <x:c r="ER181">
        <x:f t="shared" si="169"/>
        <x:v>0</x:v>
      </x:c>
      <x:c r="ES181">
        <x:f t="shared" si="170"/>
        <x:v>0</x:v>
      </x:c>
      <x:c r="ET181">
        <x:f t="shared" si="171"/>
        <x:v>0</x:v>
      </x:c>
      <x:c r="EU181">
        <x:f t="shared" si="172"/>
        <x:v>0</x:v>
      </x:c>
      <x:c r="EV181">
        <x:f t="shared" si="173"/>
        <x:v>0</x:v>
      </x:c>
      <x:c r="EW181">
        <x:f t="shared" si="174"/>
        <x:v>0</x:v>
      </x:c>
      <x:c r="EX181">
        <x:f t="shared" si="175"/>
        <x:v>0</x:v>
      </x:c>
      <x:c r="EY181">
        <x:f t="shared" si="176"/>
        <x:v>0</x:v>
      </x:c>
      <x:c r="EZ181">
        <x:f t="shared" si="177"/>
        <x:v>0</x:v>
      </x:c>
      <x:c r="FA181" s="41">
        <x:f t="shared" si="178"/>
        <x:v>0</x:v>
      </x:c>
      <x:c r="FB181">
        <x:f t="shared" si="179"/>
        <x:v>0</x:v>
      </x:c>
      <x:c r="FC181">
        <x:f t="shared" si="180"/>
        <x:v>0</x:v>
      </x:c>
      <x:c r="FD181">
        <x:f t="shared" si="181"/>
        <x:v>0</x:v>
      </x:c>
      <x:c r="FE181">
        <x:f t="shared" si="182"/>
        <x:v>0</x:v>
      </x:c>
      <x:c r="FF181">
        <x:f t="shared" si="183"/>
        <x:v>0</x:v>
      </x:c>
      <x:c r="FG181">
        <x:f t="shared" si="184"/>
        <x:v>0</x:v>
      </x:c>
      <x:c r="FH181">
        <x:f t="shared" si="185"/>
        <x:v>0</x:v>
      </x:c>
      <x:c r="FI181">
        <x:f t="shared" si="186"/>
        <x:v>0</x:v>
      </x:c>
      <x:c r="FJ181">
        <x:f t="shared" si="187"/>
        <x:v>0</x:v>
      </x:c>
      <x:c r="FK181">
        <x:f t="shared" si="188"/>
        <x:v>0</x:v>
      </x:c>
      <x:c r="FL181" s="41">
        <x:f t="shared" si="189"/>
        <x:v>0</x:v>
      </x:c>
      <x:c r="FM181">
        <x:f t="shared" si="190"/>
        <x:v>0</x:v>
      </x:c>
      <x:c r="FN181">
        <x:f t="shared" si="191"/>
        <x:v>0</x:v>
      </x:c>
      <x:c r="FO181">
        <x:f t="shared" si="192"/>
        <x:v>0</x:v>
      </x:c>
      <x:c r="FP181">
        <x:f t="shared" si="193"/>
        <x:v>0</x:v>
      </x:c>
      <x:c r="FQ181">
        <x:f t="shared" si="194"/>
        <x:v>0</x:v>
      </x:c>
      <x:c r="FR181">
        <x:f t="shared" si="195"/>
        <x:v>0</x:v>
      </x:c>
      <x:c r="FS181">
        <x:f t="shared" si="196"/>
        <x:v>0</x:v>
      </x:c>
      <x:c r="FT181">
        <x:f t="shared" si="197"/>
        <x:v>0</x:v>
      </x:c>
      <x:c r="FU181">
        <x:f t="shared" si="198"/>
        <x:v>0</x:v>
      </x:c>
      <x:c r="FV181">
        <x:f t="shared" si="199"/>
        <x:v>0</x:v>
      </x:c>
      <x:c r="FW181" s="41">
        <x:f t="shared" si="200"/>
        <x:v>0</x:v>
      </x:c>
      <x:c r="FX181">
        <x:f t="shared" si="201"/>
        <x:v>0</x:v>
      </x:c>
      <x:c r="FY181">
        <x:f t="shared" si="202"/>
        <x:v>0</x:v>
      </x:c>
      <x:c r="FZ181">
        <x:f t="shared" si="203"/>
        <x:v>0</x:v>
      </x:c>
      <x:c r="GA181">
        <x:f t="shared" si="204"/>
        <x:v>0</x:v>
      </x:c>
      <x:c r="GB181">
        <x:f t="shared" si="205"/>
        <x:v>0</x:v>
      </x:c>
      <x:c r="GC181">
        <x:f t="shared" si="206"/>
        <x:v>0</x:v>
      </x:c>
      <x:c r="GD181">
        <x:f t="shared" si="207"/>
        <x:v>0</x:v>
      </x:c>
      <x:c r="GE181">
        <x:f t="shared" si="208"/>
        <x:v>0</x:v>
      </x:c>
      <x:c r="GF181">
        <x:f t="shared" si="209"/>
        <x:v>0</x:v>
      </x:c>
      <x:c r="GG181">
        <x:f t="shared" si="210"/>
        <x:v>0</x:v>
      </x:c>
      <x:c r="GH181">
        <x:f t="shared" si="211"/>
        <x:v>0</x:v>
      </x:c>
      <x:c r="GI181">
        <x:f t="shared" si="212"/>
        <x:v>0</x:v>
      </x:c>
      <x:c r="GJ181">
        <x:f t="shared" si="213"/>
        <x:v>0</x:v>
      </x:c>
      <x:c r="GK181">
        <x:f t="shared" si="214"/>
        <x:v>0</x:v>
      </x:c>
      <x:c r="GL181">
        <x:f t="shared" si="215"/>
        <x:v>0</x:v>
      </x:c>
      <x:c r="GM181">
        <x:f t="shared" si="216"/>
        <x:v>0</x:v>
      </x:c>
      <x:c r="GN181">
        <x:f t="shared" si="217"/>
        <x:v>0</x:v>
      </x:c>
      <x:c r="GO181">
        <x:f t="shared" si="218"/>
        <x:v>0</x:v>
      </x:c>
      <x:c r="GP181">
        <x:f t="shared" si="219"/>
        <x:v>0</x:v>
      </x:c>
      <x:c r="GQ181">
        <x:f t="shared" si="220"/>
        <x:v>0</x:v>
      </x:c>
      <x:c r="GR181" s="42">
        <x:f t="shared" si="221"/>
        <x:v>0</x:v>
      </x:c>
      <x:c r="GS181">
        <x:f t="shared" si="222"/>
        <x:v>0</x:v>
      </x:c>
      <x:c r="GT181">
        <x:f t="shared" si="223"/>
        <x:v>0</x:v>
      </x:c>
      <x:c r="GU181">
        <x:f t="shared" si="224"/>
        <x:v>0</x:v>
      </x:c>
      <x:c r="GV181">
        <x:f t="shared" si="225"/>
        <x:v>0</x:v>
      </x:c>
      <x:c r="GW181">
        <x:f t="shared" si="226"/>
        <x:v>0</x:v>
      </x:c>
      <x:c r="GX181">
        <x:f t="shared" si="227"/>
        <x:v>0</x:v>
      </x:c>
      <x:c r="GY181">
        <x:f t="shared" si="228"/>
        <x:v>0</x:v>
      </x:c>
      <x:c r="GZ181">
        <x:f t="shared" si="229"/>
        <x:v>0</x:v>
      </x:c>
      <x:c r="HA181">
        <x:f t="shared" si="230"/>
        <x:v>0</x:v>
      </x:c>
      <x:c r="HB181" s="42">
        <x:f t="shared" si="231"/>
        <x:v>0</x:v>
      </x:c>
      <x:c r="HC181">
        <x:f t="shared" si="232"/>
        <x:v>0</x:v>
      </x:c>
      <x:c r="HD181">
        <x:f t="shared" si="233"/>
        <x:v>0</x:v>
      </x:c>
      <x:c r="HE181">
        <x:f t="shared" si="234"/>
        <x:v>0</x:v>
      </x:c>
      <x:c r="HF181">
        <x:f t="shared" si="235"/>
        <x:v>0</x:v>
      </x:c>
      <x:c r="HG181">
        <x:f t="shared" si="236"/>
        <x:v>0</x:v>
      </x:c>
      <x:c r="HH181">
        <x:f t="shared" si="237"/>
        <x:v>0</x:v>
      </x:c>
      <x:c r="HI181">
        <x:f t="shared" si="238"/>
        <x:v>0</x:v>
      </x:c>
      <x:c r="HJ181">
        <x:f t="shared" si="239"/>
        <x:v>0</x:v>
      </x:c>
      <x:c r="HK181">
        <x:f t="shared" si="240"/>
        <x:v>0</x:v>
      </x:c>
      <x:c r="HL181">
        <x:f t="shared" si="241"/>
        <x:v>0</x:v>
      </x:c>
    </x:row>
    <x:row r="182">
      <x:c r="D182" s="74"/>
      <x:c r="EQ182">
        <x:f t="shared" si="168"/>
        <x:v>0</x:v>
      </x:c>
      <x:c r="ER182">
        <x:f t="shared" si="169"/>
        <x:v>0</x:v>
      </x:c>
      <x:c r="ES182">
        <x:f t="shared" si="170"/>
        <x:v>0</x:v>
      </x:c>
      <x:c r="ET182">
        <x:f t="shared" si="171"/>
        <x:v>0</x:v>
      </x:c>
      <x:c r="EU182">
        <x:f t="shared" si="172"/>
        <x:v>0</x:v>
      </x:c>
      <x:c r="EV182">
        <x:f t="shared" si="173"/>
        <x:v>0</x:v>
      </x:c>
      <x:c r="EW182">
        <x:f t="shared" si="174"/>
        <x:v>0</x:v>
      </x:c>
      <x:c r="EX182">
        <x:f t="shared" si="175"/>
        <x:v>0</x:v>
      </x:c>
      <x:c r="EY182">
        <x:f t="shared" si="176"/>
        <x:v>0</x:v>
      </x:c>
      <x:c r="EZ182">
        <x:f t="shared" si="177"/>
        <x:v>0</x:v>
      </x:c>
      <x:c r="FA182" s="41">
        <x:f t="shared" si="178"/>
        <x:v>0</x:v>
      </x:c>
      <x:c r="FB182">
        <x:f t="shared" si="179"/>
        <x:v>0</x:v>
      </x:c>
      <x:c r="FC182">
        <x:f t="shared" si="180"/>
        <x:v>0</x:v>
      </x:c>
      <x:c r="FD182">
        <x:f t="shared" si="181"/>
        <x:v>0</x:v>
      </x:c>
      <x:c r="FE182">
        <x:f t="shared" si="182"/>
        <x:v>0</x:v>
      </x:c>
      <x:c r="FF182">
        <x:f t="shared" si="183"/>
        <x:v>0</x:v>
      </x:c>
      <x:c r="FG182">
        <x:f t="shared" si="184"/>
        <x:v>0</x:v>
      </x:c>
      <x:c r="FH182">
        <x:f t="shared" si="185"/>
        <x:v>0</x:v>
      </x:c>
      <x:c r="FI182">
        <x:f t="shared" si="186"/>
        <x:v>0</x:v>
      </x:c>
      <x:c r="FJ182">
        <x:f t="shared" si="187"/>
        <x:v>0</x:v>
      </x:c>
      <x:c r="FK182">
        <x:f t="shared" si="188"/>
        <x:v>0</x:v>
      </x:c>
      <x:c r="FL182" s="41">
        <x:f t="shared" si="189"/>
        <x:v>0</x:v>
      </x:c>
      <x:c r="FM182">
        <x:f t="shared" si="190"/>
        <x:v>0</x:v>
      </x:c>
      <x:c r="FN182">
        <x:f t="shared" si="191"/>
        <x:v>0</x:v>
      </x:c>
      <x:c r="FO182">
        <x:f t="shared" si="192"/>
        <x:v>0</x:v>
      </x:c>
      <x:c r="FP182">
        <x:f t="shared" si="193"/>
        <x:v>0</x:v>
      </x:c>
      <x:c r="FQ182">
        <x:f t="shared" si="194"/>
        <x:v>0</x:v>
      </x:c>
      <x:c r="FR182">
        <x:f t="shared" si="195"/>
        <x:v>0</x:v>
      </x:c>
      <x:c r="FS182">
        <x:f t="shared" si="196"/>
        <x:v>0</x:v>
      </x:c>
      <x:c r="FT182">
        <x:f t="shared" si="197"/>
        <x:v>0</x:v>
      </x:c>
      <x:c r="FU182">
        <x:f t="shared" si="198"/>
        <x:v>0</x:v>
      </x:c>
      <x:c r="FV182">
        <x:f t="shared" si="199"/>
        <x:v>0</x:v>
      </x:c>
      <x:c r="FW182" s="41">
        <x:f t="shared" si="200"/>
        <x:v>0</x:v>
      </x:c>
      <x:c r="FX182">
        <x:f t="shared" si="201"/>
        <x:v>0</x:v>
      </x:c>
      <x:c r="FY182">
        <x:f t="shared" si="202"/>
        <x:v>0</x:v>
      </x:c>
      <x:c r="FZ182">
        <x:f t="shared" si="203"/>
        <x:v>0</x:v>
      </x:c>
      <x:c r="GA182">
        <x:f t="shared" si="204"/>
        <x:v>0</x:v>
      </x:c>
      <x:c r="GB182">
        <x:f t="shared" si="205"/>
        <x:v>0</x:v>
      </x:c>
      <x:c r="GC182">
        <x:f t="shared" si="206"/>
        <x:v>0</x:v>
      </x:c>
      <x:c r="GD182">
        <x:f t="shared" si="207"/>
        <x:v>0</x:v>
      </x:c>
      <x:c r="GE182">
        <x:f t="shared" si="208"/>
        <x:v>0</x:v>
      </x:c>
      <x:c r="GF182">
        <x:f t="shared" si="209"/>
        <x:v>0</x:v>
      </x:c>
      <x:c r="GG182">
        <x:f t="shared" si="210"/>
        <x:v>0</x:v>
      </x:c>
      <x:c r="GH182">
        <x:f t="shared" si="211"/>
        <x:v>0</x:v>
      </x:c>
      <x:c r="GI182">
        <x:f t="shared" si="212"/>
        <x:v>0</x:v>
      </x:c>
      <x:c r="GJ182">
        <x:f t="shared" si="213"/>
        <x:v>0</x:v>
      </x:c>
      <x:c r="GK182">
        <x:f t="shared" si="214"/>
        <x:v>0</x:v>
      </x:c>
      <x:c r="GL182">
        <x:f t="shared" si="215"/>
        <x:v>0</x:v>
      </x:c>
      <x:c r="GM182">
        <x:f t="shared" si="216"/>
        <x:v>0</x:v>
      </x:c>
      <x:c r="GN182">
        <x:f t="shared" si="217"/>
        <x:v>0</x:v>
      </x:c>
      <x:c r="GO182">
        <x:f t="shared" si="218"/>
        <x:v>0</x:v>
      </x:c>
      <x:c r="GP182">
        <x:f t="shared" si="219"/>
        <x:v>0</x:v>
      </x:c>
      <x:c r="GQ182">
        <x:f t="shared" si="220"/>
        <x:v>0</x:v>
      </x:c>
      <x:c r="GR182" s="42">
        <x:f t="shared" si="221"/>
        <x:v>0</x:v>
      </x:c>
      <x:c r="GS182">
        <x:f t="shared" si="222"/>
        <x:v>0</x:v>
      </x:c>
      <x:c r="GT182">
        <x:f t="shared" si="223"/>
        <x:v>0</x:v>
      </x:c>
      <x:c r="GU182">
        <x:f t="shared" si="224"/>
        <x:v>0</x:v>
      </x:c>
      <x:c r="GV182">
        <x:f t="shared" si="225"/>
        <x:v>0</x:v>
      </x:c>
      <x:c r="GW182">
        <x:f t="shared" si="226"/>
        <x:v>0</x:v>
      </x:c>
      <x:c r="GX182">
        <x:f t="shared" si="227"/>
        <x:v>0</x:v>
      </x:c>
      <x:c r="GY182">
        <x:f t="shared" si="228"/>
        <x:v>0</x:v>
      </x:c>
      <x:c r="GZ182">
        <x:f t="shared" si="229"/>
        <x:v>0</x:v>
      </x:c>
      <x:c r="HA182">
        <x:f t="shared" si="230"/>
        <x:v>0</x:v>
      </x:c>
      <x:c r="HB182" s="42">
        <x:f t="shared" si="231"/>
        <x:v>0</x:v>
      </x:c>
      <x:c r="HC182">
        <x:f t="shared" si="232"/>
        <x:v>0</x:v>
      </x:c>
      <x:c r="HD182">
        <x:f t="shared" si="233"/>
        <x:v>0</x:v>
      </x:c>
      <x:c r="HE182">
        <x:f t="shared" si="234"/>
        <x:v>0</x:v>
      </x:c>
      <x:c r="HF182">
        <x:f t="shared" si="235"/>
        <x:v>0</x:v>
      </x:c>
      <x:c r="HG182">
        <x:f t="shared" si="236"/>
        <x:v>0</x:v>
      </x:c>
      <x:c r="HH182">
        <x:f t="shared" si="237"/>
        <x:v>0</x:v>
      </x:c>
      <x:c r="HI182">
        <x:f t="shared" si="238"/>
        <x:v>0</x:v>
      </x:c>
      <x:c r="HJ182">
        <x:f t="shared" si="239"/>
        <x:v>0</x:v>
      </x:c>
      <x:c r="HK182">
        <x:f t="shared" si="240"/>
        <x:v>0</x:v>
      </x:c>
      <x:c r="HL182">
        <x:f t="shared" si="241"/>
        <x:v>0</x:v>
      </x:c>
    </x:row>
    <x:row r="183">
      <x:c r="D183" s="74"/>
      <x:c r="EQ183">
        <x:f t="shared" si="168"/>
        <x:v>0</x:v>
      </x:c>
      <x:c r="ER183">
        <x:f t="shared" si="169"/>
        <x:v>0</x:v>
      </x:c>
      <x:c r="ES183">
        <x:f t="shared" si="170"/>
        <x:v>0</x:v>
      </x:c>
      <x:c r="ET183">
        <x:f t="shared" si="171"/>
        <x:v>0</x:v>
      </x:c>
      <x:c r="EU183">
        <x:f t="shared" si="172"/>
        <x:v>0</x:v>
      </x:c>
      <x:c r="EV183">
        <x:f t="shared" si="173"/>
        <x:v>0</x:v>
      </x:c>
      <x:c r="EW183">
        <x:f t="shared" si="174"/>
        <x:v>0</x:v>
      </x:c>
      <x:c r="EX183">
        <x:f t="shared" si="175"/>
        <x:v>0</x:v>
      </x:c>
      <x:c r="EY183">
        <x:f t="shared" si="176"/>
        <x:v>0</x:v>
      </x:c>
      <x:c r="EZ183">
        <x:f t="shared" si="177"/>
        <x:v>0</x:v>
      </x:c>
      <x:c r="FA183" s="41">
        <x:f t="shared" si="178"/>
        <x:v>0</x:v>
      </x:c>
      <x:c r="FB183">
        <x:f t="shared" si="179"/>
        <x:v>0</x:v>
      </x:c>
      <x:c r="FC183">
        <x:f t="shared" si="180"/>
        <x:v>0</x:v>
      </x:c>
      <x:c r="FD183">
        <x:f t="shared" si="181"/>
        <x:v>0</x:v>
      </x:c>
      <x:c r="FE183">
        <x:f t="shared" si="182"/>
        <x:v>0</x:v>
      </x:c>
      <x:c r="FF183">
        <x:f t="shared" si="183"/>
        <x:v>0</x:v>
      </x:c>
      <x:c r="FG183">
        <x:f t="shared" si="184"/>
        <x:v>0</x:v>
      </x:c>
      <x:c r="FH183">
        <x:f t="shared" si="185"/>
        <x:v>0</x:v>
      </x:c>
      <x:c r="FI183">
        <x:f t="shared" si="186"/>
        <x:v>0</x:v>
      </x:c>
      <x:c r="FJ183">
        <x:f t="shared" si="187"/>
        <x:v>0</x:v>
      </x:c>
      <x:c r="FK183">
        <x:f t="shared" si="188"/>
        <x:v>0</x:v>
      </x:c>
      <x:c r="FL183" s="41">
        <x:f t="shared" si="189"/>
        <x:v>0</x:v>
      </x:c>
      <x:c r="FM183">
        <x:f t="shared" si="190"/>
        <x:v>0</x:v>
      </x:c>
      <x:c r="FN183">
        <x:f t="shared" si="191"/>
        <x:v>0</x:v>
      </x:c>
      <x:c r="FO183">
        <x:f t="shared" si="192"/>
        <x:v>0</x:v>
      </x:c>
      <x:c r="FP183">
        <x:f t="shared" si="193"/>
        <x:v>0</x:v>
      </x:c>
      <x:c r="FQ183">
        <x:f t="shared" si="194"/>
        <x:v>0</x:v>
      </x:c>
      <x:c r="FR183">
        <x:f t="shared" si="195"/>
        <x:v>0</x:v>
      </x:c>
      <x:c r="FS183">
        <x:f t="shared" si="196"/>
        <x:v>0</x:v>
      </x:c>
      <x:c r="FT183">
        <x:f t="shared" si="197"/>
        <x:v>0</x:v>
      </x:c>
      <x:c r="FU183">
        <x:f t="shared" si="198"/>
        <x:v>0</x:v>
      </x:c>
      <x:c r="FV183">
        <x:f t="shared" si="199"/>
        <x:v>0</x:v>
      </x:c>
      <x:c r="FW183" s="41">
        <x:f t="shared" si="200"/>
        <x:v>0</x:v>
      </x:c>
      <x:c r="FX183">
        <x:f t="shared" si="201"/>
        <x:v>0</x:v>
      </x:c>
      <x:c r="FY183">
        <x:f t="shared" si="202"/>
        <x:v>0</x:v>
      </x:c>
      <x:c r="FZ183">
        <x:f t="shared" si="203"/>
        <x:v>0</x:v>
      </x:c>
      <x:c r="GA183">
        <x:f t="shared" si="204"/>
        <x:v>0</x:v>
      </x:c>
      <x:c r="GB183">
        <x:f t="shared" si="205"/>
        <x:v>0</x:v>
      </x:c>
      <x:c r="GC183">
        <x:f t="shared" si="206"/>
        <x:v>0</x:v>
      </x:c>
      <x:c r="GD183">
        <x:f t="shared" si="207"/>
        <x:v>0</x:v>
      </x:c>
      <x:c r="GE183">
        <x:f t="shared" si="208"/>
        <x:v>0</x:v>
      </x:c>
      <x:c r="GF183">
        <x:f t="shared" si="209"/>
        <x:v>0</x:v>
      </x:c>
      <x:c r="GG183">
        <x:f t="shared" si="210"/>
        <x:v>0</x:v>
      </x:c>
      <x:c r="GH183">
        <x:f t="shared" si="211"/>
        <x:v>0</x:v>
      </x:c>
      <x:c r="GI183">
        <x:f t="shared" si="212"/>
        <x:v>0</x:v>
      </x:c>
      <x:c r="GJ183">
        <x:f t="shared" si="213"/>
        <x:v>0</x:v>
      </x:c>
      <x:c r="GK183">
        <x:f t="shared" si="214"/>
        <x:v>0</x:v>
      </x:c>
      <x:c r="GL183">
        <x:f t="shared" si="215"/>
        <x:v>0</x:v>
      </x:c>
      <x:c r="GM183">
        <x:f t="shared" si="216"/>
        <x:v>0</x:v>
      </x:c>
      <x:c r="GN183">
        <x:f t="shared" si="217"/>
        <x:v>0</x:v>
      </x:c>
      <x:c r="GO183">
        <x:f t="shared" si="218"/>
        <x:v>0</x:v>
      </x:c>
      <x:c r="GP183">
        <x:f t="shared" si="219"/>
        <x:v>0</x:v>
      </x:c>
      <x:c r="GQ183">
        <x:f t="shared" si="220"/>
        <x:v>0</x:v>
      </x:c>
      <x:c r="GR183" s="42">
        <x:f t="shared" si="221"/>
        <x:v>0</x:v>
      </x:c>
      <x:c r="GS183">
        <x:f t="shared" si="222"/>
        <x:v>0</x:v>
      </x:c>
      <x:c r="GT183">
        <x:f t="shared" si="223"/>
        <x:v>0</x:v>
      </x:c>
      <x:c r="GU183">
        <x:f t="shared" si="224"/>
        <x:v>0</x:v>
      </x:c>
      <x:c r="GV183">
        <x:f t="shared" si="225"/>
        <x:v>0</x:v>
      </x:c>
      <x:c r="GW183">
        <x:f t="shared" si="226"/>
        <x:v>0</x:v>
      </x:c>
      <x:c r="GX183">
        <x:f t="shared" si="227"/>
        <x:v>0</x:v>
      </x:c>
      <x:c r="GY183">
        <x:f t="shared" si="228"/>
        <x:v>0</x:v>
      </x:c>
      <x:c r="GZ183">
        <x:f t="shared" si="229"/>
        <x:v>0</x:v>
      </x:c>
      <x:c r="HA183">
        <x:f t="shared" si="230"/>
        <x:v>0</x:v>
      </x:c>
      <x:c r="HB183" s="42">
        <x:f t="shared" si="231"/>
        <x:v>0</x:v>
      </x:c>
      <x:c r="HC183">
        <x:f t="shared" si="232"/>
        <x:v>0</x:v>
      </x:c>
      <x:c r="HD183">
        <x:f t="shared" si="233"/>
        <x:v>0</x:v>
      </x:c>
      <x:c r="HE183">
        <x:f t="shared" si="234"/>
        <x:v>0</x:v>
      </x:c>
      <x:c r="HF183">
        <x:f t="shared" si="235"/>
        <x:v>0</x:v>
      </x:c>
      <x:c r="HG183">
        <x:f t="shared" si="236"/>
        <x:v>0</x:v>
      </x:c>
      <x:c r="HH183">
        <x:f t="shared" si="237"/>
        <x:v>0</x:v>
      </x:c>
      <x:c r="HI183">
        <x:f t="shared" si="238"/>
        <x:v>0</x:v>
      </x:c>
      <x:c r="HJ183">
        <x:f t="shared" si="239"/>
        <x:v>0</x:v>
      </x:c>
      <x:c r="HK183">
        <x:f t="shared" si="240"/>
        <x:v>0</x:v>
      </x:c>
      <x:c r="HL183">
        <x:f t="shared" si="241"/>
        <x:v>0</x:v>
      </x:c>
    </x:row>
    <x:row r="184">
      <x:c r="D184" s="74"/>
      <x:c r="EQ184">
        <x:f t="shared" si="168"/>
        <x:v>0</x:v>
      </x:c>
      <x:c r="ER184">
        <x:f t="shared" si="169"/>
        <x:v>0</x:v>
      </x:c>
      <x:c r="ES184">
        <x:f t="shared" si="170"/>
        <x:v>0</x:v>
      </x:c>
      <x:c r="ET184">
        <x:f t="shared" si="171"/>
        <x:v>0</x:v>
      </x:c>
      <x:c r="EU184">
        <x:f t="shared" si="172"/>
        <x:v>0</x:v>
      </x:c>
      <x:c r="EV184">
        <x:f t="shared" si="173"/>
        <x:v>0</x:v>
      </x:c>
      <x:c r="EW184">
        <x:f t="shared" si="174"/>
        <x:v>0</x:v>
      </x:c>
      <x:c r="EX184">
        <x:f t="shared" si="175"/>
        <x:v>0</x:v>
      </x:c>
      <x:c r="EY184">
        <x:f t="shared" si="176"/>
        <x:v>0</x:v>
      </x:c>
      <x:c r="EZ184">
        <x:f t="shared" si="177"/>
        <x:v>0</x:v>
      </x:c>
      <x:c r="FA184" s="41">
        <x:f t="shared" si="178"/>
        <x:v>0</x:v>
      </x:c>
      <x:c r="FB184">
        <x:f t="shared" si="179"/>
        <x:v>0</x:v>
      </x:c>
      <x:c r="FC184">
        <x:f t="shared" si="180"/>
        <x:v>0</x:v>
      </x:c>
      <x:c r="FD184">
        <x:f t="shared" si="181"/>
        <x:v>0</x:v>
      </x:c>
      <x:c r="FE184">
        <x:f t="shared" si="182"/>
        <x:v>0</x:v>
      </x:c>
      <x:c r="FF184">
        <x:f t="shared" si="183"/>
        <x:v>0</x:v>
      </x:c>
      <x:c r="FG184">
        <x:f t="shared" si="184"/>
        <x:v>0</x:v>
      </x:c>
      <x:c r="FH184">
        <x:f t="shared" si="185"/>
        <x:v>0</x:v>
      </x:c>
      <x:c r="FI184">
        <x:f t="shared" si="186"/>
        <x:v>0</x:v>
      </x:c>
      <x:c r="FJ184">
        <x:f t="shared" si="187"/>
        <x:v>0</x:v>
      </x:c>
      <x:c r="FK184">
        <x:f t="shared" si="188"/>
        <x:v>0</x:v>
      </x:c>
      <x:c r="FL184" s="41">
        <x:f t="shared" si="189"/>
        <x:v>0</x:v>
      </x:c>
      <x:c r="FM184">
        <x:f t="shared" si="190"/>
        <x:v>0</x:v>
      </x:c>
      <x:c r="FN184">
        <x:f t="shared" si="191"/>
        <x:v>0</x:v>
      </x:c>
      <x:c r="FO184">
        <x:f t="shared" si="192"/>
        <x:v>0</x:v>
      </x:c>
      <x:c r="FP184">
        <x:f t="shared" si="193"/>
        <x:v>0</x:v>
      </x:c>
      <x:c r="FQ184">
        <x:f t="shared" si="194"/>
        <x:v>0</x:v>
      </x:c>
      <x:c r="FR184">
        <x:f t="shared" si="195"/>
        <x:v>0</x:v>
      </x:c>
      <x:c r="FS184">
        <x:f t="shared" si="196"/>
        <x:v>0</x:v>
      </x:c>
      <x:c r="FT184">
        <x:f t="shared" si="197"/>
        <x:v>0</x:v>
      </x:c>
      <x:c r="FU184">
        <x:f t="shared" si="198"/>
        <x:v>0</x:v>
      </x:c>
      <x:c r="FV184">
        <x:f t="shared" si="199"/>
        <x:v>0</x:v>
      </x:c>
      <x:c r="FW184" s="41">
        <x:f t="shared" si="200"/>
        <x:v>0</x:v>
      </x:c>
      <x:c r="FX184">
        <x:f t="shared" si="201"/>
        <x:v>0</x:v>
      </x:c>
      <x:c r="FY184">
        <x:f t="shared" si="202"/>
        <x:v>0</x:v>
      </x:c>
      <x:c r="FZ184">
        <x:f t="shared" si="203"/>
        <x:v>0</x:v>
      </x:c>
      <x:c r="GA184">
        <x:f t="shared" si="204"/>
        <x:v>0</x:v>
      </x:c>
      <x:c r="GB184">
        <x:f t="shared" si="205"/>
        <x:v>0</x:v>
      </x:c>
      <x:c r="GC184">
        <x:f t="shared" si="206"/>
        <x:v>0</x:v>
      </x:c>
      <x:c r="GD184">
        <x:f t="shared" si="207"/>
        <x:v>0</x:v>
      </x:c>
      <x:c r="GE184">
        <x:f t="shared" si="208"/>
        <x:v>0</x:v>
      </x:c>
      <x:c r="GF184">
        <x:f t="shared" si="209"/>
        <x:v>0</x:v>
      </x:c>
      <x:c r="GG184">
        <x:f t="shared" si="210"/>
        <x:v>0</x:v>
      </x:c>
      <x:c r="GH184">
        <x:f t="shared" si="211"/>
        <x:v>0</x:v>
      </x:c>
      <x:c r="GI184">
        <x:f t="shared" si="212"/>
        <x:v>0</x:v>
      </x:c>
      <x:c r="GJ184">
        <x:f t="shared" si="213"/>
        <x:v>0</x:v>
      </x:c>
      <x:c r="GK184">
        <x:f t="shared" si="214"/>
        <x:v>0</x:v>
      </x:c>
      <x:c r="GL184">
        <x:f t="shared" si="215"/>
        <x:v>0</x:v>
      </x:c>
      <x:c r="GM184">
        <x:f t="shared" si="216"/>
        <x:v>0</x:v>
      </x:c>
      <x:c r="GN184">
        <x:f t="shared" si="217"/>
        <x:v>0</x:v>
      </x:c>
      <x:c r="GO184">
        <x:f t="shared" si="218"/>
        <x:v>0</x:v>
      </x:c>
      <x:c r="GP184">
        <x:f t="shared" si="219"/>
        <x:v>0</x:v>
      </x:c>
      <x:c r="GQ184">
        <x:f t="shared" si="220"/>
        <x:v>0</x:v>
      </x:c>
      <x:c r="GR184" s="42">
        <x:f t="shared" si="221"/>
        <x:v>0</x:v>
      </x:c>
      <x:c r="GS184">
        <x:f t="shared" si="222"/>
        <x:v>0</x:v>
      </x:c>
      <x:c r="GT184">
        <x:f t="shared" si="223"/>
        <x:v>0</x:v>
      </x:c>
      <x:c r="GU184">
        <x:f t="shared" si="224"/>
        <x:v>0</x:v>
      </x:c>
      <x:c r="GV184">
        <x:f t="shared" si="225"/>
        <x:v>0</x:v>
      </x:c>
      <x:c r="GW184">
        <x:f t="shared" si="226"/>
        <x:v>0</x:v>
      </x:c>
      <x:c r="GX184">
        <x:f t="shared" si="227"/>
        <x:v>0</x:v>
      </x:c>
      <x:c r="GY184">
        <x:f t="shared" si="228"/>
        <x:v>0</x:v>
      </x:c>
      <x:c r="GZ184">
        <x:f t="shared" si="229"/>
        <x:v>0</x:v>
      </x:c>
      <x:c r="HA184">
        <x:f t="shared" si="230"/>
        <x:v>0</x:v>
      </x:c>
      <x:c r="HB184" s="42">
        <x:f t="shared" si="231"/>
        <x:v>0</x:v>
      </x:c>
      <x:c r="HC184">
        <x:f t="shared" si="232"/>
        <x:v>0</x:v>
      </x:c>
      <x:c r="HD184">
        <x:f t="shared" si="233"/>
        <x:v>0</x:v>
      </x:c>
      <x:c r="HE184">
        <x:f t="shared" si="234"/>
        <x:v>0</x:v>
      </x:c>
      <x:c r="HF184">
        <x:f t="shared" si="235"/>
        <x:v>0</x:v>
      </x:c>
      <x:c r="HG184">
        <x:f t="shared" si="236"/>
        <x:v>0</x:v>
      </x:c>
      <x:c r="HH184">
        <x:f t="shared" si="237"/>
        <x:v>0</x:v>
      </x:c>
      <x:c r="HI184">
        <x:f t="shared" si="238"/>
        <x:v>0</x:v>
      </x:c>
      <x:c r="HJ184">
        <x:f t="shared" si="239"/>
        <x:v>0</x:v>
      </x:c>
      <x:c r="HK184">
        <x:f t="shared" si="240"/>
        <x:v>0</x:v>
      </x:c>
      <x:c r="HL184">
        <x:f t="shared" si="241"/>
        <x:v>0</x:v>
      </x:c>
    </x:row>
    <x:row r="185">
      <x:c r="D185" s="74"/>
      <x:c r="EQ185">
        <x:f t="shared" si="168"/>
        <x:v>0</x:v>
      </x:c>
      <x:c r="ER185">
        <x:f t="shared" si="169"/>
        <x:v>0</x:v>
      </x:c>
      <x:c r="ES185">
        <x:f t="shared" si="170"/>
        <x:v>0</x:v>
      </x:c>
      <x:c r="ET185">
        <x:f t="shared" si="171"/>
        <x:v>0</x:v>
      </x:c>
      <x:c r="EU185">
        <x:f t="shared" si="172"/>
        <x:v>0</x:v>
      </x:c>
      <x:c r="EV185">
        <x:f t="shared" si="173"/>
        <x:v>0</x:v>
      </x:c>
      <x:c r="EW185">
        <x:f t="shared" si="174"/>
        <x:v>0</x:v>
      </x:c>
      <x:c r="EX185">
        <x:f t="shared" si="175"/>
        <x:v>0</x:v>
      </x:c>
      <x:c r="EY185">
        <x:f t="shared" si="176"/>
        <x:v>0</x:v>
      </x:c>
      <x:c r="EZ185">
        <x:f t="shared" si="177"/>
        <x:v>0</x:v>
      </x:c>
      <x:c r="FA185" s="41">
        <x:f t="shared" si="178"/>
        <x:v>0</x:v>
      </x:c>
      <x:c r="FB185">
        <x:f t="shared" si="179"/>
        <x:v>0</x:v>
      </x:c>
      <x:c r="FC185">
        <x:f t="shared" si="180"/>
        <x:v>0</x:v>
      </x:c>
      <x:c r="FD185">
        <x:f t="shared" si="181"/>
        <x:v>0</x:v>
      </x:c>
      <x:c r="FE185">
        <x:f t="shared" si="182"/>
        <x:v>0</x:v>
      </x:c>
      <x:c r="FF185">
        <x:f t="shared" si="183"/>
        <x:v>0</x:v>
      </x:c>
      <x:c r="FG185">
        <x:f t="shared" si="184"/>
        <x:v>0</x:v>
      </x:c>
      <x:c r="FH185">
        <x:f t="shared" si="185"/>
        <x:v>0</x:v>
      </x:c>
      <x:c r="FI185">
        <x:f t="shared" si="186"/>
        <x:v>0</x:v>
      </x:c>
      <x:c r="FJ185">
        <x:f t="shared" si="187"/>
        <x:v>0</x:v>
      </x:c>
      <x:c r="FK185">
        <x:f t="shared" si="188"/>
        <x:v>0</x:v>
      </x:c>
      <x:c r="FL185" s="41">
        <x:f t="shared" si="189"/>
        <x:v>0</x:v>
      </x:c>
      <x:c r="FM185">
        <x:f t="shared" si="190"/>
        <x:v>0</x:v>
      </x:c>
      <x:c r="FN185">
        <x:f t="shared" si="191"/>
        <x:v>0</x:v>
      </x:c>
      <x:c r="FO185">
        <x:f t="shared" si="192"/>
        <x:v>0</x:v>
      </x:c>
      <x:c r="FP185">
        <x:f t="shared" si="193"/>
        <x:v>0</x:v>
      </x:c>
      <x:c r="FQ185">
        <x:f t="shared" si="194"/>
        <x:v>0</x:v>
      </x:c>
      <x:c r="FR185">
        <x:f t="shared" si="195"/>
        <x:v>0</x:v>
      </x:c>
      <x:c r="FS185">
        <x:f t="shared" si="196"/>
        <x:v>0</x:v>
      </x:c>
      <x:c r="FT185">
        <x:f t="shared" si="197"/>
        <x:v>0</x:v>
      </x:c>
      <x:c r="FU185">
        <x:f t="shared" si="198"/>
        <x:v>0</x:v>
      </x:c>
      <x:c r="FV185">
        <x:f t="shared" si="199"/>
        <x:v>0</x:v>
      </x:c>
      <x:c r="FW185" s="41">
        <x:f t="shared" si="200"/>
        <x:v>0</x:v>
      </x:c>
      <x:c r="FX185">
        <x:f t="shared" si="201"/>
        <x:v>0</x:v>
      </x:c>
      <x:c r="FY185">
        <x:f t="shared" si="202"/>
        <x:v>0</x:v>
      </x:c>
      <x:c r="FZ185">
        <x:f t="shared" si="203"/>
        <x:v>0</x:v>
      </x:c>
      <x:c r="GA185">
        <x:f t="shared" si="204"/>
        <x:v>0</x:v>
      </x:c>
      <x:c r="GB185">
        <x:f t="shared" si="205"/>
        <x:v>0</x:v>
      </x:c>
      <x:c r="GC185">
        <x:f t="shared" si="206"/>
        <x:v>0</x:v>
      </x:c>
      <x:c r="GD185">
        <x:f t="shared" si="207"/>
        <x:v>0</x:v>
      </x:c>
      <x:c r="GE185">
        <x:f t="shared" si="208"/>
        <x:v>0</x:v>
      </x:c>
      <x:c r="GF185">
        <x:f t="shared" si="209"/>
        <x:v>0</x:v>
      </x:c>
      <x:c r="GG185">
        <x:f t="shared" si="210"/>
        <x:v>0</x:v>
      </x:c>
      <x:c r="GH185">
        <x:f t="shared" si="211"/>
        <x:v>0</x:v>
      </x:c>
      <x:c r="GI185">
        <x:f t="shared" si="212"/>
        <x:v>0</x:v>
      </x:c>
      <x:c r="GJ185">
        <x:f t="shared" si="213"/>
        <x:v>0</x:v>
      </x:c>
      <x:c r="GK185">
        <x:f t="shared" si="214"/>
        <x:v>0</x:v>
      </x:c>
      <x:c r="GL185">
        <x:f t="shared" si="215"/>
        <x:v>0</x:v>
      </x:c>
      <x:c r="GM185">
        <x:f t="shared" si="216"/>
        <x:v>0</x:v>
      </x:c>
      <x:c r="GN185">
        <x:f t="shared" si="217"/>
        <x:v>0</x:v>
      </x:c>
      <x:c r="GO185">
        <x:f t="shared" si="218"/>
        <x:v>0</x:v>
      </x:c>
      <x:c r="GP185">
        <x:f t="shared" si="219"/>
        <x:v>0</x:v>
      </x:c>
      <x:c r="GQ185">
        <x:f t="shared" si="220"/>
        <x:v>0</x:v>
      </x:c>
      <x:c r="GR185" s="42">
        <x:f t="shared" si="221"/>
        <x:v>0</x:v>
      </x:c>
      <x:c r="GS185">
        <x:f t="shared" si="222"/>
        <x:v>0</x:v>
      </x:c>
      <x:c r="GT185">
        <x:f t="shared" si="223"/>
        <x:v>0</x:v>
      </x:c>
      <x:c r="GU185">
        <x:f t="shared" si="224"/>
        <x:v>0</x:v>
      </x:c>
      <x:c r="GV185">
        <x:f t="shared" si="225"/>
        <x:v>0</x:v>
      </x:c>
      <x:c r="GW185">
        <x:f t="shared" si="226"/>
        <x:v>0</x:v>
      </x:c>
      <x:c r="GX185">
        <x:f t="shared" si="227"/>
        <x:v>0</x:v>
      </x:c>
      <x:c r="GY185">
        <x:f t="shared" si="228"/>
        <x:v>0</x:v>
      </x:c>
      <x:c r="GZ185">
        <x:f t="shared" si="229"/>
        <x:v>0</x:v>
      </x:c>
      <x:c r="HA185">
        <x:f t="shared" si="230"/>
        <x:v>0</x:v>
      </x:c>
      <x:c r="HB185" s="42">
        <x:f t="shared" si="231"/>
        <x:v>0</x:v>
      </x:c>
      <x:c r="HC185">
        <x:f t="shared" si="232"/>
        <x:v>0</x:v>
      </x:c>
      <x:c r="HD185">
        <x:f t="shared" si="233"/>
        <x:v>0</x:v>
      </x:c>
      <x:c r="HE185">
        <x:f t="shared" si="234"/>
        <x:v>0</x:v>
      </x:c>
      <x:c r="HF185">
        <x:f t="shared" si="235"/>
        <x:v>0</x:v>
      </x:c>
      <x:c r="HG185">
        <x:f t="shared" si="236"/>
        <x:v>0</x:v>
      </x:c>
      <x:c r="HH185">
        <x:f t="shared" si="237"/>
        <x:v>0</x:v>
      </x:c>
      <x:c r="HI185">
        <x:f t="shared" si="238"/>
        <x:v>0</x:v>
      </x:c>
      <x:c r="HJ185">
        <x:f t="shared" si="239"/>
        <x:v>0</x:v>
      </x:c>
      <x:c r="HK185">
        <x:f t="shared" si="240"/>
        <x:v>0</x:v>
      </x:c>
      <x:c r="HL185">
        <x:f t="shared" si="241"/>
        <x:v>0</x:v>
      </x:c>
    </x:row>
    <x:row r="186">
      <x:c r="D186" s="74"/>
      <x:c r="EQ186">
        <x:f t="shared" si="168"/>
        <x:v>0</x:v>
      </x:c>
      <x:c r="ER186">
        <x:f t="shared" si="169"/>
        <x:v>0</x:v>
      </x:c>
      <x:c r="ES186">
        <x:f t="shared" si="170"/>
        <x:v>0</x:v>
      </x:c>
      <x:c r="ET186">
        <x:f t="shared" si="171"/>
        <x:v>0</x:v>
      </x:c>
      <x:c r="EU186">
        <x:f t="shared" si="172"/>
        <x:v>0</x:v>
      </x:c>
      <x:c r="EV186">
        <x:f t="shared" si="173"/>
        <x:v>0</x:v>
      </x:c>
      <x:c r="EW186">
        <x:f t="shared" si="174"/>
        <x:v>0</x:v>
      </x:c>
      <x:c r="EX186">
        <x:f t="shared" si="175"/>
        <x:v>0</x:v>
      </x:c>
      <x:c r="EY186">
        <x:f t="shared" si="176"/>
        <x:v>0</x:v>
      </x:c>
      <x:c r="EZ186">
        <x:f t="shared" si="177"/>
        <x:v>0</x:v>
      </x:c>
      <x:c r="FA186" s="41">
        <x:f t="shared" si="178"/>
        <x:v>0</x:v>
      </x:c>
      <x:c r="FB186">
        <x:f t="shared" si="179"/>
        <x:v>0</x:v>
      </x:c>
      <x:c r="FC186">
        <x:f t="shared" si="180"/>
        <x:v>0</x:v>
      </x:c>
      <x:c r="FD186">
        <x:f t="shared" si="181"/>
        <x:v>0</x:v>
      </x:c>
      <x:c r="FE186">
        <x:f t="shared" si="182"/>
        <x:v>0</x:v>
      </x:c>
      <x:c r="FF186">
        <x:f t="shared" si="183"/>
        <x:v>0</x:v>
      </x:c>
      <x:c r="FG186">
        <x:f t="shared" si="184"/>
        <x:v>0</x:v>
      </x:c>
      <x:c r="FH186">
        <x:f t="shared" si="185"/>
        <x:v>0</x:v>
      </x:c>
      <x:c r="FI186">
        <x:f t="shared" si="186"/>
        <x:v>0</x:v>
      </x:c>
      <x:c r="FJ186">
        <x:f t="shared" si="187"/>
        <x:v>0</x:v>
      </x:c>
      <x:c r="FK186">
        <x:f t="shared" si="188"/>
        <x:v>0</x:v>
      </x:c>
      <x:c r="FL186" s="41">
        <x:f t="shared" si="189"/>
        <x:v>0</x:v>
      </x:c>
      <x:c r="FM186">
        <x:f t="shared" si="190"/>
        <x:v>0</x:v>
      </x:c>
      <x:c r="FN186">
        <x:f t="shared" si="191"/>
        <x:v>0</x:v>
      </x:c>
      <x:c r="FO186">
        <x:f t="shared" si="192"/>
        <x:v>0</x:v>
      </x:c>
      <x:c r="FP186">
        <x:f t="shared" si="193"/>
        <x:v>0</x:v>
      </x:c>
      <x:c r="FQ186">
        <x:f t="shared" si="194"/>
        <x:v>0</x:v>
      </x:c>
      <x:c r="FR186">
        <x:f t="shared" si="195"/>
        <x:v>0</x:v>
      </x:c>
      <x:c r="FS186">
        <x:f t="shared" si="196"/>
        <x:v>0</x:v>
      </x:c>
      <x:c r="FT186">
        <x:f t="shared" si="197"/>
        <x:v>0</x:v>
      </x:c>
      <x:c r="FU186">
        <x:f t="shared" si="198"/>
        <x:v>0</x:v>
      </x:c>
      <x:c r="FV186">
        <x:f t="shared" si="199"/>
        <x:v>0</x:v>
      </x:c>
      <x:c r="FW186" s="41">
        <x:f t="shared" si="200"/>
        <x:v>0</x:v>
      </x:c>
      <x:c r="FX186">
        <x:f t="shared" si="201"/>
        <x:v>0</x:v>
      </x:c>
      <x:c r="FY186">
        <x:f t="shared" si="202"/>
        <x:v>0</x:v>
      </x:c>
      <x:c r="FZ186">
        <x:f t="shared" si="203"/>
        <x:v>0</x:v>
      </x:c>
      <x:c r="GA186">
        <x:f t="shared" si="204"/>
        <x:v>0</x:v>
      </x:c>
      <x:c r="GB186">
        <x:f t="shared" si="205"/>
        <x:v>0</x:v>
      </x:c>
      <x:c r="GC186">
        <x:f t="shared" si="206"/>
        <x:v>0</x:v>
      </x:c>
      <x:c r="GD186">
        <x:f t="shared" si="207"/>
        <x:v>0</x:v>
      </x:c>
      <x:c r="GE186">
        <x:f t="shared" si="208"/>
        <x:v>0</x:v>
      </x:c>
      <x:c r="GF186">
        <x:f t="shared" si="209"/>
        <x:v>0</x:v>
      </x:c>
      <x:c r="GG186">
        <x:f t="shared" si="210"/>
        <x:v>0</x:v>
      </x:c>
      <x:c r="GH186">
        <x:f t="shared" si="211"/>
        <x:v>0</x:v>
      </x:c>
      <x:c r="GI186">
        <x:f t="shared" si="212"/>
        <x:v>0</x:v>
      </x:c>
      <x:c r="GJ186">
        <x:f t="shared" si="213"/>
        <x:v>0</x:v>
      </x:c>
      <x:c r="GK186">
        <x:f t="shared" si="214"/>
        <x:v>0</x:v>
      </x:c>
      <x:c r="GL186">
        <x:f t="shared" si="215"/>
        <x:v>0</x:v>
      </x:c>
      <x:c r="GM186">
        <x:f t="shared" si="216"/>
        <x:v>0</x:v>
      </x:c>
      <x:c r="GN186">
        <x:f t="shared" si="217"/>
        <x:v>0</x:v>
      </x:c>
      <x:c r="GO186">
        <x:f t="shared" si="218"/>
        <x:v>0</x:v>
      </x:c>
      <x:c r="GP186">
        <x:f t="shared" si="219"/>
        <x:v>0</x:v>
      </x:c>
      <x:c r="GQ186">
        <x:f t="shared" si="220"/>
        <x:v>0</x:v>
      </x:c>
      <x:c r="GR186" s="42">
        <x:f t="shared" si="221"/>
        <x:v>0</x:v>
      </x:c>
      <x:c r="GS186">
        <x:f t="shared" si="222"/>
        <x:v>0</x:v>
      </x:c>
      <x:c r="GT186">
        <x:f t="shared" si="223"/>
        <x:v>0</x:v>
      </x:c>
      <x:c r="GU186">
        <x:f t="shared" si="224"/>
        <x:v>0</x:v>
      </x:c>
      <x:c r="GV186">
        <x:f t="shared" si="225"/>
        <x:v>0</x:v>
      </x:c>
      <x:c r="GW186">
        <x:f t="shared" si="226"/>
        <x:v>0</x:v>
      </x:c>
      <x:c r="GX186">
        <x:f t="shared" si="227"/>
        <x:v>0</x:v>
      </x:c>
      <x:c r="GY186">
        <x:f t="shared" si="228"/>
        <x:v>0</x:v>
      </x:c>
      <x:c r="GZ186">
        <x:f t="shared" si="229"/>
        <x:v>0</x:v>
      </x:c>
      <x:c r="HA186">
        <x:f t="shared" si="230"/>
        <x:v>0</x:v>
      </x:c>
      <x:c r="HB186" s="42">
        <x:f t="shared" si="231"/>
        <x:v>0</x:v>
      </x:c>
      <x:c r="HC186">
        <x:f t="shared" si="232"/>
        <x:v>0</x:v>
      </x:c>
      <x:c r="HD186">
        <x:f t="shared" si="233"/>
        <x:v>0</x:v>
      </x:c>
      <x:c r="HE186">
        <x:f t="shared" si="234"/>
        <x:v>0</x:v>
      </x:c>
      <x:c r="HF186">
        <x:f t="shared" si="235"/>
        <x:v>0</x:v>
      </x:c>
      <x:c r="HG186">
        <x:f t="shared" si="236"/>
        <x:v>0</x:v>
      </x:c>
      <x:c r="HH186">
        <x:f t="shared" si="237"/>
        <x:v>0</x:v>
      </x:c>
      <x:c r="HI186">
        <x:f t="shared" si="238"/>
        <x:v>0</x:v>
      </x:c>
      <x:c r="HJ186">
        <x:f t="shared" si="239"/>
        <x:v>0</x:v>
      </x:c>
      <x:c r="HK186">
        <x:f t="shared" si="240"/>
        <x:v>0</x:v>
      </x:c>
      <x:c r="HL186">
        <x:f t="shared" si="241"/>
        <x:v>0</x:v>
      </x:c>
    </x:row>
    <x:row r="187">
      <x:c r="D187" s="74"/>
      <x:c r="EQ187">
        <x:f t="shared" si="168"/>
        <x:v>0</x:v>
      </x:c>
      <x:c r="ER187">
        <x:f t="shared" si="169"/>
        <x:v>0</x:v>
      </x:c>
      <x:c r="ES187">
        <x:f t="shared" si="170"/>
        <x:v>0</x:v>
      </x:c>
      <x:c r="ET187">
        <x:f t="shared" si="171"/>
        <x:v>0</x:v>
      </x:c>
      <x:c r="EU187">
        <x:f t="shared" si="172"/>
        <x:v>0</x:v>
      </x:c>
      <x:c r="EV187">
        <x:f t="shared" si="173"/>
        <x:v>0</x:v>
      </x:c>
      <x:c r="EW187">
        <x:f t="shared" si="174"/>
        <x:v>0</x:v>
      </x:c>
      <x:c r="EX187">
        <x:f t="shared" si="175"/>
        <x:v>0</x:v>
      </x:c>
      <x:c r="EY187">
        <x:f t="shared" si="176"/>
        <x:v>0</x:v>
      </x:c>
      <x:c r="EZ187">
        <x:f t="shared" si="177"/>
        <x:v>0</x:v>
      </x:c>
      <x:c r="FA187" s="41">
        <x:f t="shared" si="178"/>
        <x:v>0</x:v>
      </x:c>
      <x:c r="FB187">
        <x:f t="shared" si="179"/>
        <x:v>0</x:v>
      </x:c>
      <x:c r="FC187">
        <x:f t="shared" si="180"/>
        <x:v>0</x:v>
      </x:c>
      <x:c r="FD187">
        <x:f t="shared" si="181"/>
        <x:v>0</x:v>
      </x:c>
      <x:c r="FE187">
        <x:f t="shared" si="182"/>
        <x:v>0</x:v>
      </x:c>
      <x:c r="FF187">
        <x:f t="shared" si="183"/>
        <x:v>0</x:v>
      </x:c>
      <x:c r="FG187">
        <x:f t="shared" si="184"/>
        <x:v>0</x:v>
      </x:c>
      <x:c r="FH187">
        <x:f t="shared" si="185"/>
        <x:v>0</x:v>
      </x:c>
      <x:c r="FI187">
        <x:f t="shared" si="186"/>
        <x:v>0</x:v>
      </x:c>
      <x:c r="FJ187">
        <x:f t="shared" si="187"/>
        <x:v>0</x:v>
      </x:c>
      <x:c r="FK187">
        <x:f t="shared" si="188"/>
        <x:v>0</x:v>
      </x:c>
      <x:c r="FL187" s="41">
        <x:f t="shared" si="189"/>
        <x:v>0</x:v>
      </x:c>
      <x:c r="FM187">
        <x:f t="shared" si="190"/>
        <x:v>0</x:v>
      </x:c>
      <x:c r="FN187">
        <x:f t="shared" si="191"/>
        <x:v>0</x:v>
      </x:c>
      <x:c r="FO187">
        <x:f t="shared" si="192"/>
        <x:v>0</x:v>
      </x:c>
      <x:c r="FP187">
        <x:f t="shared" si="193"/>
        <x:v>0</x:v>
      </x:c>
      <x:c r="FQ187">
        <x:f t="shared" si="194"/>
        <x:v>0</x:v>
      </x:c>
      <x:c r="FR187">
        <x:f t="shared" si="195"/>
        <x:v>0</x:v>
      </x:c>
      <x:c r="FS187">
        <x:f t="shared" si="196"/>
        <x:v>0</x:v>
      </x:c>
      <x:c r="FT187">
        <x:f t="shared" si="197"/>
        <x:v>0</x:v>
      </x:c>
      <x:c r="FU187">
        <x:f t="shared" si="198"/>
        <x:v>0</x:v>
      </x:c>
      <x:c r="FV187">
        <x:f t="shared" si="199"/>
        <x:v>0</x:v>
      </x:c>
      <x:c r="FW187" s="41">
        <x:f t="shared" si="200"/>
        <x:v>0</x:v>
      </x:c>
      <x:c r="FX187">
        <x:f t="shared" si="201"/>
        <x:v>0</x:v>
      </x:c>
      <x:c r="FY187">
        <x:f t="shared" si="202"/>
        <x:v>0</x:v>
      </x:c>
      <x:c r="FZ187">
        <x:f t="shared" si="203"/>
        <x:v>0</x:v>
      </x:c>
      <x:c r="GA187">
        <x:f t="shared" si="204"/>
        <x:v>0</x:v>
      </x:c>
      <x:c r="GB187">
        <x:f t="shared" si="205"/>
        <x:v>0</x:v>
      </x:c>
      <x:c r="GC187">
        <x:f t="shared" si="206"/>
        <x:v>0</x:v>
      </x:c>
      <x:c r="GD187">
        <x:f t="shared" si="207"/>
        <x:v>0</x:v>
      </x:c>
      <x:c r="GE187">
        <x:f t="shared" si="208"/>
        <x:v>0</x:v>
      </x:c>
      <x:c r="GF187">
        <x:f t="shared" si="209"/>
        <x:v>0</x:v>
      </x:c>
      <x:c r="GG187">
        <x:f t="shared" si="210"/>
        <x:v>0</x:v>
      </x:c>
      <x:c r="GH187">
        <x:f t="shared" si="211"/>
        <x:v>0</x:v>
      </x:c>
      <x:c r="GI187">
        <x:f t="shared" si="212"/>
        <x:v>0</x:v>
      </x:c>
      <x:c r="GJ187">
        <x:f t="shared" si="213"/>
        <x:v>0</x:v>
      </x:c>
      <x:c r="GK187">
        <x:f t="shared" si="214"/>
        <x:v>0</x:v>
      </x:c>
      <x:c r="GL187">
        <x:f t="shared" si="215"/>
        <x:v>0</x:v>
      </x:c>
      <x:c r="GM187">
        <x:f t="shared" si="216"/>
        <x:v>0</x:v>
      </x:c>
      <x:c r="GN187">
        <x:f t="shared" si="217"/>
        <x:v>0</x:v>
      </x:c>
      <x:c r="GO187">
        <x:f t="shared" si="218"/>
        <x:v>0</x:v>
      </x:c>
      <x:c r="GP187">
        <x:f t="shared" si="219"/>
        <x:v>0</x:v>
      </x:c>
      <x:c r="GQ187">
        <x:f t="shared" si="220"/>
        <x:v>0</x:v>
      </x:c>
      <x:c r="GR187" s="42">
        <x:f t="shared" si="221"/>
        <x:v>0</x:v>
      </x:c>
      <x:c r="GS187">
        <x:f t="shared" si="222"/>
        <x:v>0</x:v>
      </x:c>
      <x:c r="GT187">
        <x:f t="shared" si="223"/>
        <x:v>0</x:v>
      </x:c>
      <x:c r="GU187">
        <x:f t="shared" si="224"/>
        <x:v>0</x:v>
      </x:c>
      <x:c r="GV187">
        <x:f t="shared" si="225"/>
        <x:v>0</x:v>
      </x:c>
      <x:c r="GW187">
        <x:f t="shared" si="226"/>
        <x:v>0</x:v>
      </x:c>
      <x:c r="GX187">
        <x:f t="shared" si="227"/>
        <x:v>0</x:v>
      </x:c>
      <x:c r="GY187">
        <x:f t="shared" si="228"/>
        <x:v>0</x:v>
      </x:c>
      <x:c r="GZ187">
        <x:f t="shared" si="229"/>
        <x:v>0</x:v>
      </x:c>
      <x:c r="HA187">
        <x:f t="shared" si="230"/>
        <x:v>0</x:v>
      </x:c>
      <x:c r="HB187" s="42">
        <x:f t="shared" si="231"/>
        <x:v>0</x:v>
      </x:c>
      <x:c r="HC187">
        <x:f t="shared" si="232"/>
        <x:v>0</x:v>
      </x:c>
      <x:c r="HD187">
        <x:f t="shared" si="233"/>
        <x:v>0</x:v>
      </x:c>
      <x:c r="HE187">
        <x:f t="shared" si="234"/>
        <x:v>0</x:v>
      </x:c>
      <x:c r="HF187">
        <x:f t="shared" si="235"/>
        <x:v>0</x:v>
      </x:c>
      <x:c r="HG187">
        <x:f t="shared" si="236"/>
        <x:v>0</x:v>
      </x:c>
      <x:c r="HH187">
        <x:f t="shared" si="237"/>
        <x:v>0</x:v>
      </x:c>
      <x:c r="HI187">
        <x:f t="shared" si="238"/>
        <x:v>0</x:v>
      </x:c>
      <x:c r="HJ187">
        <x:f t="shared" si="239"/>
        <x:v>0</x:v>
      </x:c>
      <x:c r="HK187">
        <x:f t="shared" si="240"/>
        <x:v>0</x:v>
      </x:c>
      <x:c r="HL187">
        <x:f t="shared" si="241"/>
        <x:v>0</x:v>
      </x:c>
    </x:row>
    <x:row r="188">
      <x:c r="D188" s="74"/>
      <x:c r="EQ188">
        <x:f t="shared" si="168"/>
        <x:v>0</x:v>
      </x:c>
      <x:c r="ER188">
        <x:f t="shared" si="169"/>
        <x:v>0</x:v>
      </x:c>
      <x:c r="ES188">
        <x:f t="shared" si="170"/>
        <x:v>0</x:v>
      </x:c>
      <x:c r="ET188">
        <x:f t="shared" si="171"/>
        <x:v>0</x:v>
      </x:c>
      <x:c r="EU188">
        <x:f t="shared" si="172"/>
        <x:v>0</x:v>
      </x:c>
      <x:c r="EV188">
        <x:f t="shared" si="173"/>
        <x:v>0</x:v>
      </x:c>
      <x:c r="EW188">
        <x:f t="shared" si="174"/>
        <x:v>0</x:v>
      </x:c>
      <x:c r="EX188">
        <x:f t="shared" si="175"/>
        <x:v>0</x:v>
      </x:c>
      <x:c r="EY188">
        <x:f t="shared" si="176"/>
        <x:v>0</x:v>
      </x:c>
      <x:c r="EZ188">
        <x:f t="shared" si="177"/>
        <x:v>0</x:v>
      </x:c>
      <x:c r="FA188" s="41">
        <x:f t="shared" si="178"/>
        <x:v>0</x:v>
      </x:c>
      <x:c r="FB188">
        <x:f t="shared" si="179"/>
        <x:v>0</x:v>
      </x:c>
      <x:c r="FC188">
        <x:f t="shared" si="180"/>
        <x:v>0</x:v>
      </x:c>
      <x:c r="FD188">
        <x:f t="shared" si="181"/>
        <x:v>0</x:v>
      </x:c>
      <x:c r="FE188">
        <x:f t="shared" si="182"/>
        <x:v>0</x:v>
      </x:c>
      <x:c r="FF188">
        <x:f t="shared" si="183"/>
        <x:v>0</x:v>
      </x:c>
      <x:c r="FG188">
        <x:f t="shared" si="184"/>
        <x:v>0</x:v>
      </x:c>
      <x:c r="FH188">
        <x:f t="shared" si="185"/>
        <x:v>0</x:v>
      </x:c>
      <x:c r="FI188">
        <x:f t="shared" si="186"/>
        <x:v>0</x:v>
      </x:c>
      <x:c r="FJ188">
        <x:f t="shared" si="187"/>
        <x:v>0</x:v>
      </x:c>
      <x:c r="FK188">
        <x:f t="shared" si="188"/>
        <x:v>0</x:v>
      </x:c>
      <x:c r="FL188" s="41">
        <x:f t="shared" si="189"/>
        <x:v>0</x:v>
      </x:c>
      <x:c r="FM188">
        <x:f t="shared" si="190"/>
        <x:v>0</x:v>
      </x:c>
      <x:c r="FN188">
        <x:f t="shared" si="191"/>
        <x:v>0</x:v>
      </x:c>
      <x:c r="FO188">
        <x:f t="shared" si="192"/>
        <x:v>0</x:v>
      </x:c>
      <x:c r="FP188">
        <x:f t="shared" si="193"/>
        <x:v>0</x:v>
      </x:c>
      <x:c r="FQ188">
        <x:f t="shared" si="194"/>
        <x:v>0</x:v>
      </x:c>
      <x:c r="FR188">
        <x:f t="shared" si="195"/>
        <x:v>0</x:v>
      </x:c>
      <x:c r="FS188">
        <x:f t="shared" si="196"/>
        <x:v>0</x:v>
      </x:c>
      <x:c r="FT188">
        <x:f t="shared" si="197"/>
        <x:v>0</x:v>
      </x:c>
      <x:c r="FU188">
        <x:f t="shared" si="198"/>
        <x:v>0</x:v>
      </x:c>
      <x:c r="FV188">
        <x:f t="shared" si="199"/>
        <x:v>0</x:v>
      </x:c>
      <x:c r="FW188" s="41">
        <x:f t="shared" si="200"/>
        <x:v>0</x:v>
      </x:c>
      <x:c r="FX188">
        <x:f t="shared" si="201"/>
        <x:v>0</x:v>
      </x:c>
      <x:c r="FY188">
        <x:f t="shared" si="202"/>
        <x:v>0</x:v>
      </x:c>
      <x:c r="FZ188">
        <x:f t="shared" si="203"/>
        <x:v>0</x:v>
      </x:c>
      <x:c r="GA188">
        <x:f t="shared" si="204"/>
        <x:v>0</x:v>
      </x:c>
      <x:c r="GB188">
        <x:f t="shared" si="205"/>
        <x:v>0</x:v>
      </x:c>
      <x:c r="GC188">
        <x:f t="shared" si="206"/>
        <x:v>0</x:v>
      </x:c>
      <x:c r="GD188">
        <x:f t="shared" si="207"/>
        <x:v>0</x:v>
      </x:c>
      <x:c r="GE188">
        <x:f t="shared" si="208"/>
        <x:v>0</x:v>
      </x:c>
      <x:c r="GF188">
        <x:f t="shared" si="209"/>
        <x:v>0</x:v>
      </x:c>
      <x:c r="GG188">
        <x:f t="shared" si="210"/>
        <x:v>0</x:v>
      </x:c>
      <x:c r="GH188">
        <x:f t="shared" si="211"/>
        <x:v>0</x:v>
      </x:c>
      <x:c r="GI188">
        <x:f t="shared" si="212"/>
        <x:v>0</x:v>
      </x:c>
      <x:c r="GJ188">
        <x:f t="shared" si="213"/>
        <x:v>0</x:v>
      </x:c>
      <x:c r="GK188">
        <x:f t="shared" si="214"/>
        <x:v>0</x:v>
      </x:c>
      <x:c r="GL188">
        <x:f t="shared" si="215"/>
        <x:v>0</x:v>
      </x:c>
      <x:c r="GM188">
        <x:f t="shared" si="216"/>
        <x:v>0</x:v>
      </x:c>
      <x:c r="GN188">
        <x:f t="shared" si="217"/>
        <x:v>0</x:v>
      </x:c>
      <x:c r="GO188">
        <x:f t="shared" si="218"/>
        <x:v>0</x:v>
      </x:c>
      <x:c r="GP188">
        <x:f t="shared" si="219"/>
        <x:v>0</x:v>
      </x:c>
      <x:c r="GQ188">
        <x:f t="shared" si="220"/>
        <x:v>0</x:v>
      </x:c>
      <x:c r="GR188" s="42">
        <x:f t="shared" si="221"/>
        <x:v>0</x:v>
      </x:c>
      <x:c r="GS188">
        <x:f t="shared" si="222"/>
        <x:v>0</x:v>
      </x:c>
      <x:c r="GT188">
        <x:f t="shared" si="223"/>
        <x:v>0</x:v>
      </x:c>
      <x:c r="GU188">
        <x:f t="shared" si="224"/>
        <x:v>0</x:v>
      </x:c>
      <x:c r="GV188">
        <x:f t="shared" si="225"/>
        <x:v>0</x:v>
      </x:c>
      <x:c r="GW188">
        <x:f t="shared" si="226"/>
        <x:v>0</x:v>
      </x:c>
      <x:c r="GX188">
        <x:f t="shared" si="227"/>
        <x:v>0</x:v>
      </x:c>
      <x:c r="GY188">
        <x:f t="shared" si="228"/>
        <x:v>0</x:v>
      </x:c>
      <x:c r="GZ188">
        <x:f t="shared" si="229"/>
        <x:v>0</x:v>
      </x:c>
      <x:c r="HA188">
        <x:f t="shared" si="230"/>
        <x:v>0</x:v>
      </x:c>
      <x:c r="HB188" s="42">
        <x:f t="shared" si="231"/>
        <x:v>0</x:v>
      </x:c>
      <x:c r="HC188">
        <x:f t="shared" si="232"/>
        <x:v>0</x:v>
      </x:c>
      <x:c r="HD188">
        <x:f t="shared" si="233"/>
        <x:v>0</x:v>
      </x:c>
      <x:c r="HE188">
        <x:f t="shared" si="234"/>
        <x:v>0</x:v>
      </x:c>
      <x:c r="HF188">
        <x:f t="shared" si="235"/>
        <x:v>0</x:v>
      </x:c>
      <x:c r="HG188">
        <x:f t="shared" si="236"/>
        <x:v>0</x:v>
      </x:c>
      <x:c r="HH188">
        <x:f t="shared" si="237"/>
        <x:v>0</x:v>
      </x:c>
      <x:c r="HI188">
        <x:f t="shared" si="238"/>
        <x:v>0</x:v>
      </x:c>
      <x:c r="HJ188">
        <x:f t="shared" si="239"/>
        <x:v>0</x:v>
      </x:c>
      <x:c r="HK188">
        <x:f t="shared" si="240"/>
        <x:v>0</x:v>
      </x:c>
      <x:c r="HL188">
        <x:f t="shared" si="241"/>
        <x:v>0</x:v>
      </x:c>
    </x:row>
    <x:row r="189">
      <x:c r="D189" s="74"/>
      <x:c r="EQ189">
        <x:f t="shared" si="168"/>
        <x:v>0</x:v>
      </x:c>
      <x:c r="ER189">
        <x:f t="shared" si="169"/>
        <x:v>0</x:v>
      </x:c>
      <x:c r="ES189">
        <x:f t="shared" si="170"/>
        <x:v>0</x:v>
      </x:c>
      <x:c r="ET189">
        <x:f t="shared" si="171"/>
        <x:v>0</x:v>
      </x:c>
      <x:c r="EU189">
        <x:f t="shared" si="172"/>
        <x:v>0</x:v>
      </x:c>
      <x:c r="EV189">
        <x:f t="shared" si="173"/>
        <x:v>0</x:v>
      </x:c>
      <x:c r="EW189">
        <x:f t="shared" si="174"/>
        <x:v>0</x:v>
      </x:c>
      <x:c r="EX189">
        <x:f t="shared" si="175"/>
        <x:v>0</x:v>
      </x:c>
      <x:c r="EY189">
        <x:f t="shared" si="176"/>
        <x:v>0</x:v>
      </x:c>
      <x:c r="EZ189">
        <x:f t="shared" si="177"/>
        <x:v>0</x:v>
      </x:c>
      <x:c r="FA189" s="41">
        <x:f t="shared" si="178"/>
        <x:v>0</x:v>
      </x:c>
      <x:c r="FB189">
        <x:f t="shared" si="179"/>
        <x:v>0</x:v>
      </x:c>
      <x:c r="FC189">
        <x:f t="shared" si="180"/>
        <x:v>0</x:v>
      </x:c>
      <x:c r="FD189">
        <x:f t="shared" si="181"/>
        <x:v>0</x:v>
      </x:c>
      <x:c r="FE189">
        <x:f t="shared" si="182"/>
        <x:v>0</x:v>
      </x:c>
      <x:c r="FF189">
        <x:f t="shared" si="183"/>
        <x:v>0</x:v>
      </x:c>
      <x:c r="FG189">
        <x:f t="shared" si="184"/>
        <x:v>0</x:v>
      </x:c>
      <x:c r="FH189">
        <x:f t="shared" si="185"/>
        <x:v>0</x:v>
      </x:c>
      <x:c r="FI189">
        <x:f t="shared" si="186"/>
        <x:v>0</x:v>
      </x:c>
      <x:c r="FJ189">
        <x:f t="shared" si="187"/>
        <x:v>0</x:v>
      </x:c>
      <x:c r="FK189">
        <x:f t="shared" si="188"/>
        <x:v>0</x:v>
      </x:c>
      <x:c r="FL189" s="41">
        <x:f t="shared" si="189"/>
        <x:v>0</x:v>
      </x:c>
      <x:c r="FM189">
        <x:f t="shared" si="190"/>
        <x:v>0</x:v>
      </x:c>
      <x:c r="FN189">
        <x:f t="shared" si="191"/>
        <x:v>0</x:v>
      </x:c>
      <x:c r="FO189">
        <x:f t="shared" si="192"/>
        <x:v>0</x:v>
      </x:c>
      <x:c r="FP189">
        <x:f t="shared" si="193"/>
        <x:v>0</x:v>
      </x:c>
      <x:c r="FQ189">
        <x:f t="shared" si="194"/>
        <x:v>0</x:v>
      </x:c>
      <x:c r="FR189">
        <x:f t="shared" si="195"/>
        <x:v>0</x:v>
      </x:c>
      <x:c r="FS189">
        <x:f t="shared" si="196"/>
        <x:v>0</x:v>
      </x:c>
      <x:c r="FT189">
        <x:f t="shared" si="197"/>
        <x:v>0</x:v>
      </x:c>
      <x:c r="FU189">
        <x:f t="shared" si="198"/>
        <x:v>0</x:v>
      </x:c>
      <x:c r="FV189">
        <x:f t="shared" si="199"/>
        <x:v>0</x:v>
      </x:c>
      <x:c r="FW189" s="41">
        <x:f t="shared" si="200"/>
        <x:v>0</x:v>
      </x:c>
      <x:c r="FX189">
        <x:f t="shared" si="201"/>
        <x:v>0</x:v>
      </x:c>
      <x:c r="FY189">
        <x:f t="shared" si="202"/>
        <x:v>0</x:v>
      </x:c>
      <x:c r="FZ189">
        <x:f t="shared" si="203"/>
        <x:v>0</x:v>
      </x:c>
      <x:c r="GA189">
        <x:f t="shared" si="204"/>
        <x:v>0</x:v>
      </x:c>
      <x:c r="GB189">
        <x:f t="shared" si="205"/>
        <x:v>0</x:v>
      </x:c>
      <x:c r="GC189">
        <x:f t="shared" si="206"/>
        <x:v>0</x:v>
      </x:c>
      <x:c r="GD189">
        <x:f t="shared" si="207"/>
        <x:v>0</x:v>
      </x:c>
      <x:c r="GE189">
        <x:f t="shared" si="208"/>
        <x:v>0</x:v>
      </x:c>
      <x:c r="GF189">
        <x:f t="shared" si="209"/>
        <x:v>0</x:v>
      </x:c>
      <x:c r="GG189">
        <x:f t="shared" si="210"/>
        <x:v>0</x:v>
      </x:c>
      <x:c r="GH189">
        <x:f t="shared" si="211"/>
        <x:v>0</x:v>
      </x:c>
      <x:c r="GI189">
        <x:f t="shared" si="212"/>
        <x:v>0</x:v>
      </x:c>
      <x:c r="GJ189">
        <x:f t="shared" si="213"/>
        <x:v>0</x:v>
      </x:c>
      <x:c r="GK189">
        <x:f t="shared" si="214"/>
        <x:v>0</x:v>
      </x:c>
      <x:c r="GL189">
        <x:f t="shared" si="215"/>
        <x:v>0</x:v>
      </x:c>
      <x:c r="GM189">
        <x:f t="shared" si="216"/>
        <x:v>0</x:v>
      </x:c>
      <x:c r="GN189">
        <x:f t="shared" si="217"/>
        <x:v>0</x:v>
      </x:c>
      <x:c r="GO189">
        <x:f t="shared" si="218"/>
        <x:v>0</x:v>
      </x:c>
      <x:c r="GP189">
        <x:f t="shared" si="219"/>
        <x:v>0</x:v>
      </x:c>
      <x:c r="GQ189">
        <x:f t="shared" si="220"/>
        <x:v>0</x:v>
      </x:c>
      <x:c r="GR189" s="42">
        <x:f t="shared" si="221"/>
        <x:v>0</x:v>
      </x:c>
      <x:c r="GS189">
        <x:f t="shared" si="222"/>
        <x:v>0</x:v>
      </x:c>
      <x:c r="GT189">
        <x:f t="shared" si="223"/>
        <x:v>0</x:v>
      </x:c>
      <x:c r="GU189">
        <x:f t="shared" si="224"/>
        <x:v>0</x:v>
      </x:c>
      <x:c r="GV189">
        <x:f t="shared" si="225"/>
        <x:v>0</x:v>
      </x:c>
      <x:c r="GW189">
        <x:f t="shared" si="226"/>
        <x:v>0</x:v>
      </x:c>
      <x:c r="GX189">
        <x:f t="shared" si="227"/>
        <x:v>0</x:v>
      </x:c>
      <x:c r="GY189">
        <x:f t="shared" si="228"/>
        <x:v>0</x:v>
      </x:c>
      <x:c r="GZ189">
        <x:f t="shared" si="229"/>
        <x:v>0</x:v>
      </x:c>
      <x:c r="HA189">
        <x:f t="shared" si="230"/>
        <x:v>0</x:v>
      </x:c>
      <x:c r="HB189" s="42">
        <x:f t="shared" si="231"/>
        <x:v>0</x:v>
      </x:c>
      <x:c r="HC189">
        <x:f t="shared" si="232"/>
        <x:v>0</x:v>
      </x:c>
      <x:c r="HD189">
        <x:f t="shared" si="233"/>
        <x:v>0</x:v>
      </x:c>
      <x:c r="HE189">
        <x:f t="shared" si="234"/>
        <x:v>0</x:v>
      </x:c>
      <x:c r="HF189">
        <x:f t="shared" si="235"/>
        <x:v>0</x:v>
      </x:c>
      <x:c r="HG189">
        <x:f t="shared" si="236"/>
        <x:v>0</x:v>
      </x:c>
      <x:c r="HH189">
        <x:f t="shared" si="237"/>
        <x:v>0</x:v>
      </x:c>
      <x:c r="HI189">
        <x:f t="shared" si="238"/>
        <x:v>0</x:v>
      </x:c>
      <x:c r="HJ189">
        <x:f t="shared" si="239"/>
        <x:v>0</x:v>
      </x:c>
      <x:c r="HK189">
        <x:f t="shared" si="240"/>
        <x:v>0</x:v>
      </x:c>
      <x:c r="HL189">
        <x:f t="shared" si="241"/>
        <x:v>0</x:v>
      </x:c>
    </x:row>
    <x:row r="190">
      <x:c r="D190" s="74"/>
      <x:c r="EQ190">
        <x:f t="shared" si="168"/>
        <x:v>0</x:v>
      </x:c>
      <x:c r="ER190">
        <x:f t="shared" si="169"/>
        <x:v>0</x:v>
      </x:c>
      <x:c r="ES190">
        <x:f t="shared" si="170"/>
        <x:v>0</x:v>
      </x:c>
      <x:c r="ET190">
        <x:f t="shared" si="171"/>
        <x:v>0</x:v>
      </x:c>
      <x:c r="EU190">
        <x:f t="shared" si="172"/>
        <x:v>0</x:v>
      </x:c>
      <x:c r="EV190">
        <x:f t="shared" si="173"/>
        <x:v>0</x:v>
      </x:c>
      <x:c r="EW190">
        <x:f t="shared" si="174"/>
        <x:v>0</x:v>
      </x:c>
      <x:c r="EX190">
        <x:f t="shared" si="175"/>
        <x:v>0</x:v>
      </x:c>
      <x:c r="EY190">
        <x:f t="shared" si="176"/>
        <x:v>0</x:v>
      </x:c>
      <x:c r="EZ190">
        <x:f t="shared" si="177"/>
        <x:v>0</x:v>
      </x:c>
      <x:c r="FA190" s="41">
        <x:f t="shared" si="178"/>
        <x:v>0</x:v>
      </x:c>
      <x:c r="FB190">
        <x:f t="shared" si="179"/>
        <x:v>0</x:v>
      </x:c>
      <x:c r="FC190">
        <x:f t="shared" si="180"/>
        <x:v>0</x:v>
      </x:c>
      <x:c r="FD190">
        <x:f t="shared" si="181"/>
        <x:v>0</x:v>
      </x:c>
      <x:c r="FE190">
        <x:f t="shared" si="182"/>
        <x:v>0</x:v>
      </x:c>
      <x:c r="FF190">
        <x:f t="shared" si="183"/>
        <x:v>0</x:v>
      </x:c>
      <x:c r="FG190">
        <x:f t="shared" si="184"/>
        <x:v>0</x:v>
      </x:c>
      <x:c r="FH190">
        <x:f t="shared" si="185"/>
        <x:v>0</x:v>
      </x:c>
      <x:c r="FI190">
        <x:f t="shared" si="186"/>
        <x:v>0</x:v>
      </x:c>
      <x:c r="FJ190">
        <x:f t="shared" si="187"/>
        <x:v>0</x:v>
      </x:c>
      <x:c r="FK190">
        <x:f t="shared" si="188"/>
        <x:v>0</x:v>
      </x:c>
      <x:c r="FL190" s="41">
        <x:f t="shared" si="189"/>
        <x:v>0</x:v>
      </x:c>
      <x:c r="FM190">
        <x:f t="shared" si="190"/>
        <x:v>0</x:v>
      </x:c>
      <x:c r="FN190">
        <x:f t="shared" si="191"/>
        <x:v>0</x:v>
      </x:c>
      <x:c r="FO190">
        <x:f t="shared" si="192"/>
        <x:v>0</x:v>
      </x:c>
      <x:c r="FP190">
        <x:f t="shared" si="193"/>
        <x:v>0</x:v>
      </x:c>
      <x:c r="FQ190">
        <x:f t="shared" si="194"/>
        <x:v>0</x:v>
      </x:c>
      <x:c r="FR190">
        <x:f t="shared" si="195"/>
        <x:v>0</x:v>
      </x:c>
      <x:c r="FS190">
        <x:f t="shared" si="196"/>
        <x:v>0</x:v>
      </x:c>
      <x:c r="FT190">
        <x:f t="shared" si="197"/>
        <x:v>0</x:v>
      </x:c>
      <x:c r="FU190">
        <x:f t="shared" si="198"/>
        <x:v>0</x:v>
      </x:c>
      <x:c r="FV190">
        <x:f t="shared" si="199"/>
        <x:v>0</x:v>
      </x:c>
      <x:c r="FW190" s="41">
        <x:f t="shared" si="200"/>
        <x:v>0</x:v>
      </x:c>
      <x:c r="FX190">
        <x:f t="shared" si="201"/>
        <x:v>0</x:v>
      </x:c>
      <x:c r="FY190">
        <x:f t="shared" si="202"/>
        <x:v>0</x:v>
      </x:c>
      <x:c r="FZ190">
        <x:f t="shared" si="203"/>
        <x:v>0</x:v>
      </x:c>
      <x:c r="GA190">
        <x:f t="shared" si="204"/>
        <x:v>0</x:v>
      </x:c>
      <x:c r="GB190">
        <x:f t="shared" si="205"/>
        <x:v>0</x:v>
      </x:c>
      <x:c r="GC190">
        <x:f t="shared" si="206"/>
        <x:v>0</x:v>
      </x:c>
      <x:c r="GD190">
        <x:f t="shared" si="207"/>
        <x:v>0</x:v>
      </x:c>
      <x:c r="GE190">
        <x:f t="shared" si="208"/>
        <x:v>0</x:v>
      </x:c>
      <x:c r="GF190">
        <x:f t="shared" si="209"/>
        <x:v>0</x:v>
      </x:c>
      <x:c r="GG190">
        <x:f t="shared" si="210"/>
        <x:v>0</x:v>
      </x:c>
      <x:c r="GH190">
        <x:f t="shared" si="211"/>
        <x:v>0</x:v>
      </x:c>
      <x:c r="GI190">
        <x:f t="shared" si="212"/>
        <x:v>0</x:v>
      </x:c>
      <x:c r="GJ190">
        <x:f t="shared" si="213"/>
        <x:v>0</x:v>
      </x:c>
      <x:c r="GK190">
        <x:f t="shared" si="214"/>
        <x:v>0</x:v>
      </x:c>
      <x:c r="GL190">
        <x:f t="shared" si="215"/>
        <x:v>0</x:v>
      </x:c>
      <x:c r="GM190">
        <x:f t="shared" si="216"/>
        <x:v>0</x:v>
      </x:c>
      <x:c r="GN190">
        <x:f t="shared" si="217"/>
        <x:v>0</x:v>
      </x:c>
      <x:c r="GO190">
        <x:f t="shared" si="218"/>
        <x:v>0</x:v>
      </x:c>
      <x:c r="GP190">
        <x:f t="shared" si="219"/>
        <x:v>0</x:v>
      </x:c>
      <x:c r="GQ190">
        <x:f t="shared" si="220"/>
        <x:v>0</x:v>
      </x:c>
      <x:c r="GR190" s="42">
        <x:f t="shared" si="221"/>
        <x:v>0</x:v>
      </x:c>
      <x:c r="GS190">
        <x:f t="shared" si="222"/>
        <x:v>0</x:v>
      </x:c>
      <x:c r="GT190">
        <x:f t="shared" si="223"/>
        <x:v>0</x:v>
      </x:c>
      <x:c r="GU190">
        <x:f t="shared" si="224"/>
        <x:v>0</x:v>
      </x:c>
      <x:c r="GV190">
        <x:f t="shared" si="225"/>
        <x:v>0</x:v>
      </x:c>
      <x:c r="GW190">
        <x:f t="shared" si="226"/>
        <x:v>0</x:v>
      </x:c>
      <x:c r="GX190">
        <x:f t="shared" si="227"/>
        <x:v>0</x:v>
      </x:c>
      <x:c r="GY190">
        <x:f t="shared" si="228"/>
        <x:v>0</x:v>
      </x:c>
      <x:c r="GZ190">
        <x:f t="shared" si="229"/>
        <x:v>0</x:v>
      </x:c>
      <x:c r="HA190">
        <x:f t="shared" si="230"/>
        <x:v>0</x:v>
      </x:c>
      <x:c r="HB190" s="42">
        <x:f t="shared" si="231"/>
        <x:v>0</x:v>
      </x:c>
      <x:c r="HC190">
        <x:f t="shared" si="232"/>
        <x:v>0</x:v>
      </x:c>
      <x:c r="HD190">
        <x:f t="shared" si="233"/>
        <x:v>0</x:v>
      </x:c>
      <x:c r="HE190">
        <x:f t="shared" si="234"/>
        <x:v>0</x:v>
      </x:c>
      <x:c r="HF190">
        <x:f t="shared" si="235"/>
        <x:v>0</x:v>
      </x:c>
      <x:c r="HG190">
        <x:f t="shared" si="236"/>
        <x:v>0</x:v>
      </x:c>
      <x:c r="HH190">
        <x:f t="shared" si="237"/>
        <x:v>0</x:v>
      </x:c>
      <x:c r="HI190">
        <x:f t="shared" si="238"/>
        <x:v>0</x:v>
      </x:c>
      <x:c r="HJ190">
        <x:f t="shared" si="239"/>
        <x:v>0</x:v>
      </x:c>
      <x:c r="HK190">
        <x:f t="shared" si="240"/>
        <x:v>0</x:v>
      </x:c>
      <x:c r="HL190">
        <x:f t="shared" si="241"/>
        <x:v>0</x:v>
      </x:c>
    </x:row>
    <x:row r="191">
      <x:c r="D191" s="74"/>
      <x:c r="EQ191">
        <x:f t="shared" si="168"/>
        <x:v>0</x:v>
      </x:c>
      <x:c r="ER191">
        <x:f t="shared" si="169"/>
        <x:v>0</x:v>
      </x:c>
      <x:c r="ES191">
        <x:f t="shared" si="170"/>
        <x:v>0</x:v>
      </x:c>
      <x:c r="ET191">
        <x:f t="shared" si="171"/>
        <x:v>0</x:v>
      </x:c>
      <x:c r="EU191">
        <x:f t="shared" si="172"/>
        <x:v>0</x:v>
      </x:c>
      <x:c r="EV191">
        <x:f t="shared" si="173"/>
        <x:v>0</x:v>
      </x:c>
      <x:c r="EW191">
        <x:f t="shared" si="174"/>
        <x:v>0</x:v>
      </x:c>
      <x:c r="EX191">
        <x:f t="shared" si="175"/>
        <x:v>0</x:v>
      </x:c>
      <x:c r="EY191">
        <x:f t="shared" si="176"/>
        <x:v>0</x:v>
      </x:c>
      <x:c r="EZ191">
        <x:f t="shared" si="177"/>
        <x:v>0</x:v>
      </x:c>
      <x:c r="FA191" s="41">
        <x:f t="shared" si="178"/>
        <x:v>0</x:v>
      </x:c>
      <x:c r="FB191">
        <x:f t="shared" si="179"/>
        <x:v>0</x:v>
      </x:c>
      <x:c r="FC191">
        <x:f t="shared" si="180"/>
        <x:v>0</x:v>
      </x:c>
      <x:c r="FD191">
        <x:f t="shared" si="181"/>
        <x:v>0</x:v>
      </x:c>
      <x:c r="FE191">
        <x:f t="shared" si="182"/>
        <x:v>0</x:v>
      </x:c>
      <x:c r="FF191">
        <x:f t="shared" si="183"/>
        <x:v>0</x:v>
      </x:c>
      <x:c r="FG191">
        <x:f t="shared" si="184"/>
        <x:v>0</x:v>
      </x:c>
      <x:c r="FH191">
        <x:f t="shared" si="185"/>
        <x:v>0</x:v>
      </x:c>
      <x:c r="FI191">
        <x:f t="shared" si="186"/>
        <x:v>0</x:v>
      </x:c>
      <x:c r="FJ191">
        <x:f t="shared" si="187"/>
        <x:v>0</x:v>
      </x:c>
      <x:c r="FK191">
        <x:f t="shared" si="188"/>
        <x:v>0</x:v>
      </x:c>
      <x:c r="FL191" s="41">
        <x:f t="shared" si="189"/>
        <x:v>0</x:v>
      </x:c>
      <x:c r="FM191">
        <x:f t="shared" si="190"/>
        <x:v>0</x:v>
      </x:c>
      <x:c r="FN191">
        <x:f t="shared" si="191"/>
        <x:v>0</x:v>
      </x:c>
      <x:c r="FO191">
        <x:f t="shared" si="192"/>
        <x:v>0</x:v>
      </x:c>
      <x:c r="FP191">
        <x:f t="shared" si="193"/>
        <x:v>0</x:v>
      </x:c>
      <x:c r="FQ191">
        <x:f t="shared" si="194"/>
        <x:v>0</x:v>
      </x:c>
      <x:c r="FR191">
        <x:f t="shared" si="195"/>
        <x:v>0</x:v>
      </x:c>
      <x:c r="FS191">
        <x:f t="shared" si="196"/>
        <x:v>0</x:v>
      </x:c>
      <x:c r="FT191">
        <x:f t="shared" si="197"/>
        <x:v>0</x:v>
      </x:c>
      <x:c r="FU191">
        <x:f t="shared" si="198"/>
        <x:v>0</x:v>
      </x:c>
      <x:c r="FV191">
        <x:f t="shared" si="199"/>
        <x:v>0</x:v>
      </x:c>
      <x:c r="FW191" s="41">
        <x:f t="shared" si="200"/>
        <x:v>0</x:v>
      </x:c>
      <x:c r="FX191">
        <x:f t="shared" si="201"/>
        <x:v>0</x:v>
      </x:c>
      <x:c r="FY191">
        <x:f t="shared" si="202"/>
        <x:v>0</x:v>
      </x:c>
      <x:c r="FZ191">
        <x:f t="shared" si="203"/>
        <x:v>0</x:v>
      </x:c>
      <x:c r="GA191">
        <x:f t="shared" si="204"/>
        <x:v>0</x:v>
      </x:c>
      <x:c r="GB191">
        <x:f t="shared" si="205"/>
        <x:v>0</x:v>
      </x:c>
      <x:c r="GC191">
        <x:f t="shared" si="206"/>
        <x:v>0</x:v>
      </x:c>
      <x:c r="GD191">
        <x:f t="shared" si="207"/>
        <x:v>0</x:v>
      </x:c>
      <x:c r="GE191">
        <x:f t="shared" si="208"/>
        <x:v>0</x:v>
      </x:c>
      <x:c r="GF191">
        <x:f t="shared" si="209"/>
        <x:v>0</x:v>
      </x:c>
      <x:c r="GG191">
        <x:f t="shared" si="210"/>
        <x:v>0</x:v>
      </x:c>
      <x:c r="GH191">
        <x:f t="shared" si="211"/>
        <x:v>0</x:v>
      </x:c>
      <x:c r="GI191">
        <x:f t="shared" si="212"/>
        <x:v>0</x:v>
      </x:c>
      <x:c r="GJ191">
        <x:f t="shared" si="213"/>
        <x:v>0</x:v>
      </x:c>
      <x:c r="GK191">
        <x:f t="shared" si="214"/>
        <x:v>0</x:v>
      </x:c>
      <x:c r="GL191">
        <x:f t="shared" si="215"/>
        <x:v>0</x:v>
      </x:c>
      <x:c r="GM191">
        <x:f t="shared" si="216"/>
        <x:v>0</x:v>
      </x:c>
      <x:c r="GN191">
        <x:f t="shared" si="217"/>
        <x:v>0</x:v>
      </x:c>
      <x:c r="GO191">
        <x:f t="shared" si="218"/>
        <x:v>0</x:v>
      </x:c>
      <x:c r="GP191">
        <x:f t="shared" si="219"/>
        <x:v>0</x:v>
      </x:c>
      <x:c r="GQ191">
        <x:f t="shared" si="220"/>
        <x:v>0</x:v>
      </x:c>
      <x:c r="GR191" s="42">
        <x:f t="shared" si="221"/>
        <x:v>0</x:v>
      </x:c>
      <x:c r="GS191">
        <x:f t="shared" si="222"/>
        <x:v>0</x:v>
      </x:c>
      <x:c r="GT191">
        <x:f t="shared" si="223"/>
        <x:v>0</x:v>
      </x:c>
      <x:c r="GU191">
        <x:f t="shared" si="224"/>
        <x:v>0</x:v>
      </x:c>
      <x:c r="GV191">
        <x:f t="shared" si="225"/>
        <x:v>0</x:v>
      </x:c>
      <x:c r="GW191">
        <x:f t="shared" si="226"/>
        <x:v>0</x:v>
      </x:c>
      <x:c r="GX191">
        <x:f t="shared" si="227"/>
        <x:v>0</x:v>
      </x:c>
      <x:c r="GY191">
        <x:f t="shared" si="228"/>
        <x:v>0</x:v>
      </x:c>
      <x:c r="GZ191">
        <x:f t="shared" si="229"/>
        <x:v>0</x:v>
      </x:c>
      <x:c r="HA191">
        <x:f t="shared" si="230"/>
        <x:v>0</x:v>
      </x:c>
      <x:c r="HB191" s="42">
        <x:f t="shared" si="231"/>
        <x:v>0</x:v>
      </x:c>
      <x:c r="HC191">
        <x:f t="shared" si="232"/>
        <x:v>0</x:v>
      </x:c>
      <x:c r="HD191">
        <x:f t="shared" si="233"/>
        <x:v>0</x:v>
      </x:c>
      <x:c r="HE191">
        <x:f t="shared" si="234"/>
        <x:v>0</x:v>
      </x:c>
      <x:c r="HF191">
        <x:f t="shared" si="235"/>
        <x:v>0</x:v>
      </x:c>
      <x:c r="HG191">
        <x:f t="shared" si="236"/>
        <x:v>0</x:v>
      </x:c>
      <x:c r="HH191">
        <x:f t="shared" si="237"/>
        <x:v>0</x:v>
      </x:c>
      <x:c r="HI191">
        <x:f t="shared" si="238"/>
        <x:v>0</x:v>
      </x:c>
      <x:c r="HJ191">
        <x:f t="shared" si="239"/>
        <x:v>0</x:v>
      </x:c>
      <x:c r="HK191">
        <x:f t="shared" si="240"/>
        <x:v>0</x:v>
      </x:c>
      <x:c r="HL191">
        <x:f t="shared" si="241"/>
        <x:v>0</x:v>
      </x:c>
    </x:row>
    <x:row r="192">
      <x:c r="D192" s="74"/>
      <x:c r="EQ192">
        <x:f t="shared" si="168"/>
        <x:v>0</x:v>
      </x:c>
      <x:c r="ER192">
        <x:f t="shared" si="169"/>
        <x:v>0</x:v>
      </x:c>
      <x:c r="ES192">
        <x:f t="shared" si="170"/>
        <x:v>0</x:v>
      </x:c>
      <x:c r="ET192">
        <x:f t="shared" si="171"/>
        <x:v>0</x:v>
      </x:c>
      <x:c r="EU192">
        <x:f t="shared" si="172"/>
        <x:v>0</x:v>
      </x:c>
      <x:c r="EV192">
        <x:f t="shared" si="173"/>
        <x:v>0</x:v>
      </x:c>
      <x:c r="EW192">
        <x:f t="shared" si="174"/>
        <x:v>0</x:v>
      </x:c>
      <x:c r="EX192">
        <x:f t="shared" si="175"/>
        <x:v>0</x:v>
      </x:c>
      <x:c r="EY192">
        <x:f t="shared" si="176"/>
        <x:v>0</x:v>
      </x:c>
      <x:c r="EZ192">
        <x:f t="shared" si="177"/>
        <x:v>0</x:v>
      </x:c>
      <x:c r="FA192" s="41">
        <x:f t="shared" si="178"/>
        <x:v>0</x:v>
      </x:c>
      <x:c r="FB192">
        <x:f t="shared" si="179"/>
        <x:v>0</x:v>
      </x:c>
      <x:c r="FC192">
        <x:f t="shared" si="180"/>
        <x:v>0</x:v>
      </x:c>
      <x:c r="FD192">
        <x:f t="shared" si="181"/>
        <x:v>0</x:v>
      </x:c>
      <x:c r="FE192">
        <x:f t="shared" si="182"/>
        <x:v>0</x:v>
      </x:c>
      <x:c r="FF192">
        <x:f t="shared" si="183"/>
        <x:v>0</x:v>
      </x:c>
      <x:c r="FG192">
        <x:f t="shared" si="184"/>
        <x:v>0</x:v>
      </x:c>
      <x:c r="FH192">
        <x:f t="shared" si="185"/>
        <x:v>0</x:v>
      </x:c>
      <x:c r="FI192">
        <x:f t="shared" si="186"/>
        <x:v>0</x:v>
      </x:c>
      <x:c r="FJ192">
        <x:f t="shared" si="187"/>
        <x:v>0</x:v>
      </x:c>
      <x:c r="FK192">
        <x:f t="shared" si="188"/>
        <x:v>0</x:v>
      </x:c>
      <x:c r="FL192" s="41">
        <x:f t="shared" si="189"/>
        <x:v>0</x:v>
      </x:c>
      <x:c r="FM192">
        <x:f t="shared" si="190"/>
        <x:v>0</x:v>
      </x:c>
      <x:c r="FN192">
        <x:f t="shared" si="191"/>
        <x:v>0</x:v>
      </x:c>
      <x:c r="FO192">
        <x:f t="shared" si="192"/>
        <x:v>0</x:v>
      </x:c>
      <x:c r="FP192">
        <x:f t="shared" si="193"/>
        <x:v>0</x:v>
      </x:c>
      <x:c r="FQ192">
        <x:f t="shared" si="194"/>
        <x:v>0</x:v>
      </x:c>
      <x:c r="FR192">
        <x:f t="shared" si="195"/>
        <x:v>0</x:v>
      </x:c>
      <x:c r="FS192">
        <x:f t="shared" si="196"/>
        <x:v>0</x:v>
      </x:c>
      <x:c r="FT192">
        <x:f t="shared" si="197"/>
        <x:v>0</x:v>
      </x:c>
      <x:c r="FU192">
        <x:f t="shared" si="198"/>
        <x:v>0</x:v>
      </x:c>
      <x:c r="FV192">
        <x:f t="shared" si="199"/>
        <x:v>0</x:v>
      </x:c>
      <x:c r="FW192" s="41">
        <x:f t="shared" si="200"/>
        <x:v>0</x:v>
      </x:c>
      <x:c r="FX192">
        <x:f t="shared" si="201"/>
        <x:v>0</x:v>
      </x:c>
      <x:c r="FY192">
        <x:f t="shared" si="202"/>
        <x:v>0</x:v>
      </x:c>
      <x:c r="FZ192">
        <x:f t="shared" si="203"/>
        <x:v>0</x:v>
      </x:c>
      <x:c r="GA192">
        <x:f t="shared" si="204"/>
        <x:v>0</x:v>
      </x:c>
      <x:c r="GB192">
        <x:f t="shared" si="205"/>
        <x:v>0</x:v>
      </x:c>
      <x:c r="GC192">
        <x:f t="shared" si="206"/>
        <x:v>0</x:v>
      </x:c>
      <x:c r="GD192">
        <x:f t="shared" si="207"/>
        <x:v>0</x:v>
      </x:c>
      <x:c r="GE192">
        <x:f t="shared" si="208"/>
        <x:v>0</x:v>
      </x:c>
      <x:c r="GF192">
        <x:f t="shared" si="209"/>
        <x:v>0</x:v>
      </x:c>
      <x:c r="GG192">
        <x:f t="shared" si="210"/>
        <x:v>0</x:v>
      </x:c>
      <x:c r="GH192">
        <x:f t="shared" si="211"/>
        <x:v>0</x:v>
      </x:c>
      <x:c r="GI192">
        <x:f t="shared" si="212"/>
        <x:v>0</x:v>
      </x:c>
      <x:c r="GJ192">
        <x:f t="shared" si="213"/>
        <x:v>0</x:v>
      </x:c>
      <x:c r="GK192">
        <x:f t="shared" si="214"/>
        <x:v>0</x:v>
      </x:c>
      <x:c r="GL192">
        <x:f t="shared" si="215"/>
        <x:v>0</x:v>
      </x:c>
      <x:c r="GM192">
        <x:f t="shared" si="216"/>
        <x:v>0</x:v>
      </x:c>
      <x:c r="GN192">
        <x:f t="shared" si="217"/>
        <x:v>0</x:v>
      </x:c>
      <x:c r="GO192">
        <x:f t="shared" si="218"/>
        <x:v>0</x:v>
      </x:c>
      <x:c r="GP192">
        <x:f t="shared" si="219"/>
        <x:v>0</x:v>
      </x:c>
      <x:c r="GQ192">
        <x:f t="shared" si="220"/>
        <x:v>0</x:v>
      </x:c>
      <x:c r="GR192" s="42">
        <x:f t="shared" si="221"/>
        <x:v>0</x:v>
      </x:c>
      <x:c r="GS192">
        <x:f t="shared" si="222"/>
        <x:v>0</x:v>
      </x:c>
      <x:c r="GT192">
        <x:f t="shared" si="223"/>
        <x:v>0</x:v>
      </x:c>
      <x:c r="GU192">
        <x:f t="shared" si="224"/>
        <x:v>0</x:v>
      </x:c>
      <x:c r="GV192">
        <x:f t="shared" si="225"/>
        <x:v>0</x:v>
      </x:c>
      <x:c r="GW192">
        <x:f t="shared" si="226"/>
        <x:v>0</x:v>
      </x:c>
      <x:c r="GX192">
        <x:f t="shared" si="227"/>
        <x:v>0</x:v>
      </x:c>
      <x:c r="GY192">
        <x:f t="shared" si="228"/>
        <x:v>0</x:v>
      </x:c>
      <x:c r="GZ192">
        <x:f t="shared" si="229"/>
        <x:v>0</x:v>
      </x:c>
      <x:c r="HA192">
        <x:f t="shared" si="230"/>
        <x:v>0</x:v>
      </x:c>
      <x:c r="HB192" s="42">
        <x:f t="shared" si="231"/>
        <x:v>0</x:v>
      </x:c>
      <x:c r="HC192">
        <x:f t="shared" si="232"/>
        <x:v>0</x:v>
      </x:c>
      <x:c r="HD192">
        <x:f t="shared" si="233"/>
        <x:v>0</x:v>
      </x:c>
      <x:c r="HE192">
        <x:f t="shared" si="234"/>
        <x:v>0</x:v>
      </x:c>
      <x:c r="HF192">
        <x:f t="shared" si="235"/>
        <x:v>0</x:v>
      </x:c>
      <x:c r="HG192">
        <x:f t="shared" si="236"/>
        <x:v>0</x:v>
      </x:c>
      <x:c r="HH192">
        <x:f t="shared" si="237"/>
        <x:v>0</x:v>
      </x:c>
      <x:c r="HI192">
        <x:f t="shared" si="238"/>
        <x:v>0</x:v>
      </x:c>
      <x:c r="HJ192">
        <x:f t="shared" si="239"/>
        <x:v>0</x:v>
      </x:c>
      <x:c r="HK192">
        <x:f t="shared" si="240"/>
        <x:v>0</x:v>
      </x:c>
      <x:c r="HL192">
        <x:f t="shared" si="241"/>
        <x:v>0</x:v>
      </x:c>
    </x:row>
    <x:row r="193">
      <x:c r="D193" s="74"/>
      <x:c r="EQ193">
        <x:f t="shared" si="168"/>
        <x:v>0</x:v>
      </x:c>
      <x:c r="ER193">
        <x:f t="shared" si="169"/>
        <x:v>0</x:v>
      </x:c>
      <x:c r="ES193">
        <x:f t="shared" si="170"/>
        <x:v>0</x:v>
      </x:c>
      <x:c r="ET193">
        <x:f t="shared" si="171"/>
        <x:v>0</x:v>
      </x:c>
      <x:c r="EU193">
        <x:f t="shared" si="172"/>
        <x:v>0</x:v>
      </x:c>
      <x:c r="EV193">
        <x:f t="shared" si="173"/>
        <x:v>0</x:v>
      </x:c>
      <x:c r="EW193">
        <x:f t="shared" si="174"/>
        <x:v>0</x:v>
      </x:c>
      <x:c r="EX193">
        <x:f t="shared" si="175"/>
        <x:v>0</x:v>
      </x:c>
      <x:c r="EY193">
        <x:f t="shared" si="176"/>
        <x:v>0</x:v>
      </x:c>
      <x:c r="EZ193">
        <x:f t="shared" si="177"/>
        <x:v>0</x:v>
      </x:c>
      <x:c r="FA193" s="41">
        <x:f t="shared" si="178"/>
        <x:v>0</x:v>
      </x:c>
      <x:c r="FB193">
        <x:f t="shared" si="179"/>
        <x:v>0</x:v>
      </x:c>
      <x:c r="FC193">
        <x:f t="shared" si="180"/>
        <x:v>0</x:v>
      </x:c>
      <x:c r="FD193">
        <x:f t="shared" si="181"/>
        <x:v>0</x:v>
      </x:c>
      <x:c r="FE193">
        <x:f t="shared" si="182"/>
        <x:v>0</x:v>
      </x:c>
      <x:c r="FF193">
        <x:f t="shared" si="183"/>
        <x:v>0</x:v>
      </x:c>
      <x:c r="FG193">
        <x:f t="shared" si="184"/>
        <x:v>0</x:v>
      </x:c>
      <x:c r="FH193">
        <x:f t="shared" si="185"/>
        <x:v>0</x:v>
      </x:c>
      <x:c r="FI193">
        <x:f t="shared" si="186"/>
        <x:v>0</x:v>
      </x:c>
      <x:c r="FJ193">
        <x:f t="shared" si="187"/>
        <x:v>0</x:v>
      </x:c>
      <x:c r="FK193">
        <x:f t="shared" si="188"/>
        <x:v>0</x:v>
      </x:c>
      <x:c r="FL193" s="41">
        <x:f t="shared" si="189"/>
        <x:v>0</x:v>
      </x:c>
      <x:c r="FM193">
        <x:f t="shared" si="190"/>
        <x:v>0</x:v>
      </x:c>
      <x:c r="FN193">
        <x:f t="shared" si="191"/>
        <x:v>0</x:v>
      </x:c>
      <x:c r="FO193">
        <x:f t="shared" si="192"/>
        <x:v>0</x:v>
      </x:c>
      <x:c r="FP193">
        <x:f t="shared" si="193"/>
        <x:v>0</x:v>
      </x:c>
      <x:c r="FQ193">
        <x:f t="shared" si="194"/>
        <x:v>0</x:v>
      </x:c>
      <x:c r="FR193">
        <x:f t="shared" si="195"/>
        <x:v>0</x:v>
      </x:c>
      <x:c r="FS193">
        <x:f t="shared" si="196"/>
        <x:v>0</x:v>
      </x:c>
      <x:c r="FT193">
        <x:f t="shared" si="197"/>
        <x:v>0</x:v>
      </x:c>
      <x:c r="FU193">
        <x:f t="shared" si="198"/>
        <x:v>0</x:v>
      </x:c>
      <x:c r="FV193">
        <x:f t="shared" si="199"/>
        <x:v>0</x:v>
      </x:c>
      <x:c r="FW193" s="41">
        <x:f t="shared" si="200"/>
        <x:v>0</x:v>
      </x:c>
      <x:c r="FX193">
        <x:f t="shared" si="201"/>
        <x:v>0</x:v>
      </x:c>
      <x:c r="FY193">
        <x:f t="shared" si="202"/>
        <x:v>0</x:v>
      </x:c>
      <x:c r="FZ193">
        <x:f t="shared" si="203"/>
        <x:v>0</x:v>
      </x:c>
      <x:c r="GA193">
        <x:f t="shared" si="204"/>
        <x:v>0</x:v>
      </x:c>
      <x:c r="GB193">
        <x:f t="shared" si="205"/>
        <x:v>0</x:v>
      </x:c>
      <x:c r="GC193">
        <x:f t="shared" si="206"/>
        <x:v>0</x:v>
      </x:c>
      <x:c r="GD193">
        <x:f t="shared" si="207"/>
        <x:v>0</x:v>
      </x:c>
      <x:c r="GE193">
        <x:f t="shared" si="208"/>
        <x:v>0</x:v>
      </x:c>
      <x:c r="GF193">
        <x:f t="shared" si="209"/>
        <x:v>0</x:v>
      </x:c>
      <x:c r="GG193">
        <x:f t="shared" si="210"/>
        <x:v>0</x:v>
      </x:c>
      <x:c r="GH193">
        <x:f t="shared" si="211"/>
        <x:v>0</x:v>
      </x:c>
      <x:c r="GI193">
        <x:f t="shared" si="212"/>
        <x:v>0</x:v>
      </x:c>
      <x:c r="GJ193">
        <x:f t="shared" si="213"/>
        <x:v>0</x:v>
      </x:c>
      <x:c r="GK193">
        <x:f t="shared" si="214"/>
        <x:v>0</x:v>
      </x:c>
      <x:c r="GL193">
        <x:f t="shared" si="215"/>
        <x:v>0</x:v>
      </x:c>
      <x:c r="GM193">
        <x:f t="shared" si="216"/>
        <x:v>0</x:v>
      </x:c>
      <x:c r="GN193">
        <x:f t="shared" si="217"/>
        <x:v>0</x:v>
      </x:c>
      <x:c r="GO193">
        <x:f t="shared" si="218"/>
        <x:v>0</x:v>
      </x:c>
      <x:c r="GP193">
        <x:f t="shared" si="219"/>
        <x:v>0</x:v>
      </x:c>
      <x:c r="GQ193">
        <x:f t="shared" si="220"/>
        <x:v>0</x:v>
      </x:c>
      <x:c r="GR193" s="42">
        <x:f t="shared" si="221"/>
        <x:v>0</x:v>
      </x:c>
      <x:c r="GS193">
        <x:f t="shared" si="222"/>
        <x:v>0</x:v>
      </x:c>
      <x:c r="GT193">
        <x:f t="shared" si="223"/>
        <x:v>0</x:v>
      </x:c>
      <x:c r="GU193">
        <x:f t="shared" si="224"/>
        <x:v>0</x:v>
      </x:c>
      <x:c r="GV193">
        <x:f t="shared" si="225"/>
        <x:v>0</x:v>
      </x:c>
      <x:c r="GW193">
        <x:f t="shared" si="226"/>
        <x:v>0</x:v>
      </x:c>
      <x:c r="GX193">
        <x:f t="shared" si="227"/>
        <x:v>0</x:v>
      </x:c>
      <x:c r="GY193">
        <x:f t="shared" si="228"/>
        <x:v>0</x:v>
      </x:c>
      <x:c r="GZ193">
        <x:f t="shared" si="229"/>
        <x:v>0</x:v>
      </x:c>
      <x:c r="HA193">
        <x:f t="shared" si="230"/>
        <x:v>0</x:v>
      </x:c>
      <x:c r="HB193" s="42">
        <x:f t="shared" si="231"/>
        <x:v>0</x:v>
      </x:c>
      <x:c r="HC193">
        <x:f t="shared" si="232"/>
        <x:v>0</x:v>
      </x:c>
      <x:c r="HD193">
        <x:f t="shared" si="233"/>
        <x:v>0</x:v>
      </x:c>
      <x:c r="HE193">
        <x:f t="shared" si="234"/>
        <x:v>0</x:v>
      </x:c>
      <x:c r="HF193">
        <x:f t="shared" si="235"/>
        <x:v>0</x:v>
      </x:c>
      <x:c r="HG193">
        <x:f t="shared" si="236"/>
        <x:v>0</x:v>
      </x:c>
      <x:c r="HH193">
        <x:f t="shared" si="237"/>
        <x:v>0</x:v>
      </x:c>
      <x:c r="HI193">
        <x:f t="shared" si="238"/>
        <x:v>0</x:v>
      </x:c>
      <x:c r="HJ193">
        <x:f t="shared" si="239"/>
        <x:v>0</x:v>
      </x:c>
      <x:c r="HK193">
        <x:f t="shared" si="240"/>
        <x:v>0</x:v>
      </x:c>
      <x:c r="HL193">
        <x:f t="shared" si="241"/>
        <x:v>0</x:v>
      </x:c>
    </x:row>
    <x:row r="194">
      <x:c r="D194" s="74"/>
      <x:c r="EQ194">
        <x:f t="shared" si="168"/>
        <x:v>0</x:v>
      </x:c>
      <x:c r="ER194">
        <x:f t="shared" si="169"/>
        <x:v>0</x:v>
      </x:c>
      <x:c r="ES194">
        <x:f t="shared" si="170"/>
        <x:v>0</x:v>
      </x:c>
      <x:c r="ET194">
        <x:f t="shared" si="171"/>
        <x:v>0</x:v>
      </x:c>
      <x:c r="EU194">
        <x:f t="shared" si="172"/>
        <x:v>0</x:v>
      </x:c>
      <x:c r="EV194">
        <x:f t="shared" si="173"/>
        <x:v>0</x:v>
      </x:c>
      <x:c r="EW194">
        <x:f t="shared" si="174"/>
        <x:v>0</x:v>
      </x:c>
      <x:c r="EX194">
        <x:f t="shared" si="175"/>
        <x:v>0</x:v>
      </x:c>
      <x:c r="EY194">
        <x:f t="shared" si="176"/>
        <x:v>0</x:v>
      </x:c>
      <x:c r="EZ194">
        <x:f t="shared" si="177"/>
        <x:v>0</x:v>
      </x:c>
      <x:c r="FA194" s="41">
        <x:f t="shared" si="178"/>
        <x:v>0</x:v>
      </x:c>
      <x:c r="FB194">
        <x:f t="shared" si="179"/>
        <x:v>0</x:v>
      </x:c>
      <x:c r="FC194">
        <x:f t="shared" si="180"/>
        <x:v>0</x:v>
      </x:c>
      <x:c r="FD194">
        <x:f t="shared" si="181"/>
        <x:v>0</x:v>
      </x:c>
      <x:c r="FE194">
        <x:f t="shared" si="182"/>
        <x:v>0</x:v>
      </x:c>
      <x:c r="FF194">
        <x:f t="shared" si="183"/>
        <x:v>0</x:v>
      </x:c>
      <x:c r="FG194">
        <x:f t="shared" si="184"/>
        <x:v>0</x:v>
      </x:c>
      <x:c r="FH194">
        <x:f t="shared" si="185"/>
        <x:v>0</x:v>
      </x:c>
      <x:c r="FI194">
        <x:f t="shared" si="186"/>
        <x:v>0</x:v>
      </x:c>
      <x:c r="FJ194">
        <x:f t="shared" si="187"/>
        <x:v>0</x:v>
      </x:c>
      <x:c r="FK194">
        <x:f t="shared" si="188"/>
        <x:v>0</x:v>
      </x:c>
      <x:c r="FL194" s="41">
        <x:f t="shared" si="189"/>
        <x:v>0</x:v>
      </x:c>
      <x:c r="FM194">
        <x:f t="shared" si="190"/>
        <x:v>0</x:v>
      </x:c>
      <x:c r="FN194">
        <x:f t="shared" si="191"/>
        <x:v>0</x:v>
      </x:c>
      <x:c r="FO194">
        <x:f t="shared" si="192"/>
        <x:v>0</x:v>
      </x:c>
      <x:c r="FP194">
        <x:f t="shared" si="193"/>
        <x:v>0</x:v>
      </x:c>
      <x:c r="FQ194">
        <x:f t="shared" si="194"/>
        <x:v>0</x:v>
      </x:c>
      <x:c r="FR194">
        <x:f t="shared" si="195"/>
        <x:v>0</x:v>
      </x:c>
      <x:c r="FS194">
        <x:f t="shared" si="196"/>
        <x:v>0</x:v>
      </x:c>
      <x:c r="FT194">
        <x:f t="shared" si="197"/>
        <x:v>0</x:v>
      </x:c>
      <x:c r="FU194">
        <x:f t="shared" si="198"/>
        <x:v>0</x:v>
      </x:c>
      <x:c r="FV194">
        <x:f t="shared" si="199"/>
        <x:v>0</x:v>
      </x:c>
      <x:c r="FW194" s="41">
        <x:f t="shared" si="200"/>
        <x:v>0</x:v>
      </x:c>
      <x:c r="FX194">
        <x:f t="shared" si="201"/>
        <x:v>0</x:v>
      </x:c>
      <x:c r="FY194">
        <x:f t="shared" si="202"/>
        <x:v>0</x:v>
      </x:c>
      <x:c r="FZ194">
        <x:f t="shared" si="203"/>
        <x:v>0</x:v>
      </x:c>
      <x:c r="GA194">
        <x:f t="shared" si="204"/>
        <x:v>0</x:v>
      </x:c>
      <x:c r="GB194">
        <x:f t="shared" si="205"/>
        <x:v>0</x:v>
      </x:c>
      <x:c r="GC194">
        <x:f t="shared" si="206"/>
        <x:v>0</x:v>
      </x:c>
      <x:c r="GD194">
        <x:f t="shared" si="207"/>
        <x:v>0</x:v>
      </x:c>
      <x:c r="GE194">
        <x:f t="shared" si="208"/>
        <x:v>0</x:v>
      </x:c>
      <x:c r="GF194">
        <x:f t="shared" si="209"/>
        <x:v>0</x:v>
      </x:c>
      <x:c r="GG194">
        <x:f t="shared" si="210"/>
        <x:v>0</x:v>
      </x:c>
      <x:c r="GH194">
        <x:f t="shared" si="211"/>
        <x:v>0</x:v>
      </x:c>
      <x:c r="GI194">
        <x:f t="shared" si="212"/>
        <x:v>0</x:v>
      </x:c>
      <x:c r="GJ194">
        <x:f t="shared" si="213"/>
        <x:v>0</x:v>
      </x:c>
      <x:c r="GK194">
        <x:f t="shared" si="214"/>
        <x:v>0</x:v>
      </x:c>
      <x:c r="GL194">
        <x:f t="shared" si="215"/>
        <x:v>0</x:v>
      </x:c>
      <x:c r="GM194">
        <x:f t="shared" si="216"/>
        <x:v>0</x:v>
      </x:c>
      <x:c r="GN194">
        <x:f t="shared" si="217"/>
        <x:v>0</x:v>
      </x:c>
      <x:c r="GO194">
        <x:f t="shared" si="218"/>
        <x:v>0</x:v>
      </x:c>
      <x:c r="GP194">
        <x:f t="shared" si="219"/>
        <x:v>0</x:v>
      </x:c>
      <x:c r="GQ194">
        <x:f t="shared" si="220"/>
        <x:v>0</x:v>
      </x:c>
      <x:c r="GR194" s="42">
        <x:f t="shared" si="221"/>
        <x:v>0</x:v>
      </x:c>
      <x:c r="GS194">
        <x:f t="shared" si="222"/>
        <x:v>0</x:v>
      </x:c>
      <x:c r="GT194">
        <x:f t="shared" si="223"/>
        <x:v>0</x:v>
      </x:c>
      <x:c r="GU194">
        <x:f t="shared" si="224"/>
        <x:v>0</x:v>
      </x:c>
      <x:c r="GV194">
        <x:f t="shared" si="225"/>
        <x:v>0</x:v>
      </x:c>
      <x:c r="GW194">
        <x:f t="shared" si="226"/>
        <x:v>0</x:v>
      </x:c>
      <x:c r="GX194">
        <x:f t="shared" si="227"/>
        <x:v>0</x:v>
      </x:c>
      <x:c r="GY194">
        <x:f t="shared" si="228"/>
        <x:v>0</x:v>
      </x:c>
      <x:c r="GZ194">
        <x:f t="shared" si="229"/>
        <x:v>0</x:v>
      </x:c>
      <x:c r="HA194">
        <x:f t="shared" si="230"/>
        <x:v>0</x:v>
      </x:c>
      <x:c r="HB194" s="42">
        <x:f t="shared" si="231"/>
        <x:v>0</x:v>
      </x:c>
      <x:c r="HC194">
        <x:f t="shared" si="232"/>
        <x:v>0</x:v>
      </x:c>
      <x:c r="HD194">
        <x:f t="shared" si="233"/>
        <x:v>0</x:v>
      </x:c>
      <x:c r="HE194">
        <x:f t="shared" si="234"/>
        <x:v>0</x:v>
      </x:c>
      <x:c r="HF194">
        <x:f t="shared" si="235"/>
        <x:v>0</x:v>
      </x:c>
      <x:c r="HG194">
        <x:f t="shared" si="236"/>
        <x:v>0</x:v>
      </x:c>
      <x:c r="HH194">
        <x:f t="shared" si="237"/>
        <x:v>0</x:v>
      </x:c>
      <x:c r="HI194">
        <x:f t="shared" si="238"/>
        <x:v>0</x:v>
      </x:c>
      <x:c r="HJ194">
        <x:f t="shared" si="239"/>
        <x:v>0</x:v>
      </x:c>
      <x:c r="HK194">
        <x:f t="shared" si="240"/>
        <x:v>0</x:v>
      </x:c>
      <x:c r="HL194">
        <x:f t="shared" si="241"/>
        <x:v>0</x:v>
      </x:c>
    </x:row>
    <x:row r="195">
      <x:c r="D195" s="74"/>
      <x:c r="EQ195">
        <x:f t="shared" si="168"/>
        <x:v>0</x:v>
      </x:c>
      <x:c r="ER195">
        <x:f t="shared" si="169"/>
        <x:v>0</x:v>
      </x:c>
      <x:c r="ES195">
        <x:f t="shared" si="170"/>
        <x:v>0</x:v>
      </x:c>
      <x:c r="ET195">
        <x:f t="shared" si="171"/>
        <x:v>0</x:v>
      </x:c>
      <x:c r="EU195">
        <x:f t="shared" si="172"/>
        <x:v>0</x:v>
      </x:c>
      <x:c r="EV195">
        <x:f t="shared" si="173"/>
        <x:v>0</x:v>
      </x:c>
      <x:c r="EW195">
        <x:f t="shared" si="174"/>
        <x:v>0</x:v>
      </x:c>
      <x:c r="EX195">
        <x:f t="shared" si="175"/>
        <x:v>0</x:v>
      </x:c>
      <x:c r="EY195">
        <x:f t="shared" si="176"/>
        <x:v>0</x:v>
      </x:c>
      <x:c r="EZ195">
        <x:f t="shared" si="177"/>
        <x:v>0</x:v>
      </x:c>
      <x:c r="FA195" s="41">
        <x:f t="shared" si="178"/>
        <x:v>0</x:v>
      </x:c>
      <x:c r="FB195">
        <x:f t="shared" si="179"/>
        <x:v>0</x:v>
      </x:c>
      <x:c r="FC195">
        <x:f t="shared" si="180"/>
        <x:v>0</x:v>
      </x:c>
      <x:c r="FD195">
        <x:f t="shared" si="181"/>
        <x:v>0</x:v>
      </x:c>
      <x:c r="FE195">
        <x:f t="shared" si="182"/>
        <x:v>0</x:v>
      </x:c>
      <x:c r="FF195">
        <x:f t="shared" si="183"/>
        <x:v>0</x:v>
      </x:c>
      <x:c r="FG195">
        <x:f t="shared" si="184"/>
        <x:v>0</x:v>
      </x:c>
      <x:c r="FH195">
        <x:f t="shared" si="185"/>
        <x:v>0</x:v>
      </x:c>
      <x:c r="FI195">
        <x:f t="shared" si="186"/>
        <x:v>0</x:v>
      </x:c>
      <x:c r="FJ195">
        <x:f t="shared" si="187"/>
        <x:v>0</x:v>
      </x:c>
      <x:c r="FK195">
        <x:f t="shared" si="188"/>
        <x:v>0</x:v>
      </x:c>
      <x:c r="FL195" s="41">
        <x:f t="shared" si="189"/>
        <x:v>0</x:v>
      </x:c>
      <x:c r="FM195">
        <x:f t="shared" si="190"/>
        <x:v>0</x:v>
      </x:c>
      <x:c r="FN195">
        <x:f t="shared" si="191"/>
        <x:v>0</x:v>
      </x:c>
      <x:c r="FO195">
        <x:f t="shared" si="192"/>
        <x:v>0</x:v>
      </x:c>
      <x:c r="FP195">
        <x:f t="shared" si="193"/>
        <x:v>0</x:v>
      </x:c>
      <x:c r="FQ195">
        <x:f t="shared" si="194"/>
        <x:v>0</x:v>
      </x:c>
      <x:c r="FR195">
        <x:f t="shared" si="195"/>
        <x:v>0</x:v>
      </x:c>
      <x:c r="FS195">
        <x:f t="shared" si="196"/>
        <x:v>0</x:v>
      </x:c>
      <x:c r="FT195">
        <x:f t="shared" si="197"/>
        <x:v>0</x:v>
      </x:c>
      <x:c r="FU195">
        <x:f t="shared" si="198"/>
        <x:v>0</x:v>
      </x:c>
      <x:c r="FV195">
        <x:f t="shared" si="199"/>
        <x:v>0</x:v>
      </x:c>
      <x:c r="FW195" s="41">
        <x:f t="shared" si="200"/>
        <x:v>0</x:v>
      </x:c>
      <x:c r="FX195">
        <x:f t="shared" si="201"/>
        <x:v>0</x:v>
      </x:c>
      <x:c r="FY195">
        <x:f t="shared" si="202"/>
        <x:v>0</x:v>
      </x:c>
      <x:c r="FZ195">
        <x:f t="shared" si="203"/>
        <x:v>0</x:v>
      </x:c>
      <x:c r="GA195">
        <x:f t="shared" si="204"/>
        <x:v>0</x:v>
      </x:c>
      <x:c r="GB195">
        <x:f t="shared" si="205"/>
        <x:v>0</x:v>
      </x:c>
      <x:c r="GC195">
        <x:f t="shared" si="206"/>
        <x:v>0</x:v>
      </x:c>
      <x:c r="GD195">
        <x:f t="shared" si="207"/>
        <x:v>0</x:v>
      </x:c>
      <x:c r="GE195">
        <x:f t="shared" si="208"/>
        <x:v>0</x:v>
      </x:c>
      <x:c r="GF195">
        <x:f t="shared" si="209"/>
        <x:v>0</x:v>
      </x:c>
      <x:c r="GG195">
        <x:f t="shared" si="210"/>
        <x:v>0</x:v>
      </x:c>
      <x:c r="GH195">
        <x:f t="shared" si="211"/>
        <x:v>0</x:v>
      </x:c>
      <x:c r="GI195">
        <x:f t="shared" si="212"/>
        <x:v>0</x:v>
      </x:c>
      <x:c r="GJ195">
        <x:f t="shared" si="213"/>
        <x:v>0</x:v>
      </x:c>
      <x:c r="GK195">
        <x:f t="shared" si="214"/>
        <x:v>0</x:v>
      </x:c>
      <x:c r="GL195">
        <x:f t="shared" si="215"/>
        <x:v>0</x:v>
      </x:c>
      <x:c r="GM195">
        <x:f t="shared" si="216"/>
        <x:v>0</x:v>
      </x:c>
      <x:c r="GN195">
        <x:f t="shared" si="217"/>
        <x:v>0</x:v>
      </x:c>
      <x:c r="GO195">
        <x:f t="shared" si="218"/>
        <x:v>0</x:v>
      </x:c>
      <x:c r="GP195">
        <x:f t="shared" si="219"/>
        <x:v>0</x:v>
      </x:c>
      <x:c r="GQ195">
        <x:f t="shared" si="220"/>
        <x:v>0</x:v>
      </x:c>
      <x:c r="GR195" s="42">
        <x:f t="shared" si="221"/>
        <x:v>0</x:v>
      </x:c>
      <x:c r="GS195">
        <x:f t="shared" si="222"/>
        <x:v>0</x:v>
      </x:c>
      <x:c r="GT195">
        <x:f t="shared" si="223"/>
        <x:v>0</x:v>
      </x:c>
      <x:c r="GU195">
        <x:f t="shared" si="224"/>
        <x:v>0</x:v>
      </x:c>
      <x:c r="GV195">
        <x:f t="shared" si="225"/>
        <x:v>0</x:v>
      </x:c>
      <x:c r="GW195">
        <x:f t="shared" si="226"/>
        <x:v>0</x:v>
      </x:c>
      <x:c r="GX195">
        <x:f t="shared" si="227"/>
        <x:v>0</x:v>
      </x:c>
      <x:c r="GY195">
        <x:f t="shared" si="228"/>
        <x:v>0</x:v>
      </x:c>
      <x:c r="GZ195">
        <x:f t="shared" si="229"/>
        <x:v>0</x:v>
      </x:c>
      <x:c r="HA195">
        <x:f t="shared" si="230"/>
        <x:v>0</x:v>
      </x:c>
      <x:c r="HB195" s="42">
        <x:f t="shared" si="231"/>
        <x:v>0</x:v>
      </x:c>
      <x:c r="HC195">
        <x:f t="shared" si="232"/>
        <x:v>0</x:v>
      </x:c>
      <x:c r="HD195">
        <x:f t="shared" si="233"/>
        <x:v>0</x:v>
      </x:c>
      <x:c r="HE195">
        <x:f t="shared" si="234"/>
        <x:v>0</x:v>
      </x:c>
      <x:c r="HF195">
        <x:f t="shared" si="235"/>
        <x:v>0</x:v>
      </x:c>
      <x:c r="HG195">
        <x:f t="shared" si="236"/>
        <x:v>0</x:v>
      </x:c>
      <x:c r="HH195">
        <x:f t="shared" si="237"/>
        <x:v>0</x:v>
      </x:c>
      <x:c r="HI195">
        <x:f t="shared" si="238"/>
        <x:v>0</x:v>
      </x:c>
      <x:c r="HJ195">
        <x:f t="shared" si="239"/>
        <x:v>0</x:v>
      </x:c>
      <x:c r="HK195">
        <x:f t="shared" si="240"/>
        <x:v>0</x:v>
      </x:c>
      <x:c r="HL195">
        <x:f t="shared" si="241"/>
        <x:v>0</x:v>
      </x:c>
    </x:row>
    <x:row r="196">
      <x:c r="D196" s="74"/>
      <x:c r="EQ196">
        <x:f t="shared" si="168"/>
        <x:v>0</x:v>
      </x:c>
      <x:c r="ER196">
        <x:f t="shared" si="169"/>
        <x:v>0</x:v>
      </x:c>
      <x:c r="ES196">
        <x:f t="shared" si="170"/>
        <x:v>0</x:v>
      </x:c>
      <x:c r="ET196">
        <x:f t="shared" si="171"/>
        <x:v>0</x:v>
      </x:c>
      <x:c r="EU196">
        <x:f t="shared" si="172"/>
        <x:v>0</x:v>
      </x:c>
      <x:c r="EV196">
        <x:f t="shared" si="173"/>
        <x:v>0</x:v>
      </x:c>
      <x:c r="EW196">
        <x:f t="shared" si="174"/>
        <x:v>0</x:v>
      </x:c>
      <x:c r="EX196">
        <x:f t="shared" si="175"/>
        <x:v>0</x:v>
      </x:c>
      <x:c r="EY196">
        <x:f t="shared" si="176"/>
        <x:v>0</x:v>
      </x:c>
      <x:c r="EZ196">
        <x:f t="shared" si="177"/>
        <x:v>0</x:v>
      </x:c>
      <x:c r="FA196" s="41">
        <x:f t="shared" si="178"/>
        <x:v>0</x:v>
      </x:c>
      <x:c r="FB196">
        <x:f t="shared" si="179"/>
        <x:v>0</x:v>
      </x:c>
      <x:c r="FC196">
        <x:f t="shared" si="180"/>
        <x:v>0</x:v>
      </x:c>
      <x:c r="FD196">
        <x:f t="shared" si="181"/>
        <x:v>0</x:v>
      </x:c>
      <x:c r="FE196">
        <x:f t="shared" si="182"/>
        <x:v>0</x:v>
      </x:c>
      <x:c r="FF196">
        <x:f t="shared" si="183"/>
        <x:v>0</x:v>
      </x:c>
      <x:c r="FG196">
        <x:f t="shared" si="184"/>
        <x:v>0</x:v>
      </x:c>
      <x:c r="FH196">
        <x:f t="shared" si="185"/>
        <x:v>0</x:v>
      </x:c>
      <x:c r="FI196">
        <x:f t="shared" si="186"/>
        <x:v>0</x:v>
      </x:c>
      <x:c r="FJ196">
        <x:f t="shared" si="187"/>
        <x:v>0</x:v>
      </x:c>
      <x:c r="FK196">
        <x:f t="shared" si="188"/>
        <x:v>0</x:v>
      </x:c>
      <x:c r="FL196" s="41">
        <x:f t="shared" si="189"/>
        <x:v>0</x:v>
      </x:c>
      <x:c r="FM196">
        <x:f t="shared" si="190"/>
        <x:v>0</x:v>
      </x:c>
      <x:c r="FN196">
        <x:f t="shared" si="191"/>
        <x:v>0</x:v>
      </x:c>
      <x:c r="FO196">
        <x:f t="shared" si="192"/>
        <x:v>0</x:v>
      </x:c>
      <x:c r="FP196">
        <x:f t="shared" si="193"/>
        <x:v>0</x:v>
      </x:c>
      <x:c r="FQ196">
        <x:f t="shared" si="194"/>
        <x:v>0</x:v>
      </x:c>
      <x:c r="FR196">
        <x:f t="shared" si="195"/>
        <x:v>0</x:v>
      </x:c>
      <x:c r="FS196">
        <x:f t="shared" si="196"/>
        <x:v>0</x:v>
      </x:c>
      <x:c r="FT196">
        <x:f t="shared" si="197"/>
        <x:v>0</x:v>
      </x:c>
      <x:c r="FU196">
        <x:f t="shared" si="198"/>
        <x:v>0</x:v>
      </x:c>
      <x:c r="FV196">
        <x:f t="shared" si="199"/>
        <x:v>0</x:v>
      </x:c>
      <x:c r="FW196" s="41">
        <x:f t="shared" si="200"/>
        <x:v>0</x:v>
      </x:c>
      <x:c r="FX196">
        <x:f t="shared" si="201"/>
        <x:v>0</x:v>
      </x:c>
      <x:c r="FY196">
        <x:f t="shared" si="202"/>
        <x:v>0</x:v>
      </x:c>
      <x:c r="FZ196">
        <x:f t="shared" si="203"/>
        <x:v>0</x:v>
      </x:c>
      <x:c r="GA196">
        <x:f t="shared" si="204"/>
        <x:v>0</x:v>
      </x:c>
      <x:c r="GB196">
        <x:f t="shared" si="205"/>
        <x:v>0</x:v>
      </x:c>
      <x:c r="GC196">
        <x:f t="shared" si="206"/>
        <x:v>0</x:v>
      </x:c>
      <x:c r="GD196">
        <x:f t="shared" si="207"/>
        <x:v>0</x:v>
      </x:c>
      <x:c r="GE196">
        <x:f t="shared" si="208"/>
        <x:v>0</x:v>
      </x:c>
      <x:c r="GF196">
        <x:f t="shared" si="209"/>
        <x:v>0</x:v>
      </x:c>
      <x:c r="GG196">
        <x:f t="shared" si="210"/>
        <x:v>0</x:v>
      </x:c>
      <x:c r="GH196">
        <x:f t="shared" si="211"/>
        <x:v>0</x:v>
      </x:c>
      <x:c r="GI196">
        <x:f t="shared" si="212"/>
        <x:v>0</x:v>
      </x:c>
      <x:c r="GJ196">
        <x:f t="shared" si="213"/>
        <x:v>0</x:v>
      </x:c>
      <x:c r="GK196">
        <x:f t="shared" si="214"/>
        <x:v>0</x:v>
      </x:c>
      <x:c r="GL196">
        <x:f t="shared" si="215"/>
        <x:v>0</x:v>
      </x:c>
      <x:c r="GM196">
        <x:f t="shared" si="216"/>
        <x:v>0</x:v>
      </x:c>
      <x:c r="GN196">
        <x:f t="shared" si="217"/>
        <x:v>0</x:v>
      </x:c>
      <x:c r="GO196">
        <x:f t="shared" si="218"/>
        <x:v>0</x:v>
      </x:c>
      <x:c r="GP196">
        <x:f t="shared" si="219"/>
        <x:v>0</x:v>
      </x:c>
      <x:c r="GQ196">
        <x:f t="shared" si="220"/>
        <x:v>0</x:v>
      </x:c>
      <x:c r="GR196" s="42">
        <x:f t="shared" si="221"/>
        <x:v>0</x:v>
      </x:c>
      <x:c r="GS196">
        <x:f t="shared" si="222"/>
        <x:v>0</x:v>
      </x:c>
      <x:c r="GT196">
        <x:f t="shared" si="223"/>
        <x:v>0</x:v>
      </x:c>
      <x:c r="GU196">
        <x:f t="shared" si="224"/>
        <x:v>0</x:v>
      </x:c>
      <x:c r="GV196">
        <x:f t="shared" si="225"/>
        <x:v>0</x:v>
      </x:c>
      <x:c r="GW196">
        <x:f t="shared" si="226"/>
        <x:v>0</x:v>
      </x:c>
      <x:c r="GX196">
        <x:f t="shared" si="227"/>
        <x:v>0</x:v>
      </x:c>
      <x:c r="GY196">
        <x:f t="shared" si="228"/>
        <x:v>0</x:v>
      </x:c>
      <x:c r="GZ196">
        <x:f t="shared" si="229"/>
        <x:v>0</x:v>
      </x:c>
      <x:c r="HA196">
        <x:f t="shared" si="230"/>
        <x:v>0</x:v>
      </x:c>
      <x:c r="HB196" s="42">
        <x:f t="shared" si="231"/>
        <x:v>0</x:v>
      </x:c>
      <x:c r="HC196">
        <x:f t="shared" si="232"/>
        <x:v>0</x:v>
      </x:c>
      <x:c r="HD196">
        <x:f t="shared" si="233"/>
        <x:v>0</x:v>
      </x:c>
      <x:c r="HE196">
        <x:f t="shared" si="234"/>
        <x:v>0</x:v>
      </x:c>
      <x:c r="HF196">
        <x:f t="shared" si="235"/>
        <x:v>0</x:v>
      </x:c>
      <x:c r="HG196">
        <x:f t="shared" si="236"/>
        <x:v>0</x:v>
      </x:c>
      <x:c r="HH196">
        <x:f t="shared" si="237"/>
        <x:v>0</x:v>
      </x:c>
      <x:c r="HI196">
        <x:f t="shared" si="238"/>
        <x:v>0</x:v>
      </x:c>
      <x:c r="HJ196">
        <x:f t="shared" si="239"/>
        <x:v>0</x:v>
      </x:c>
      <x:c r="HK196">
        <x:f t="shared" si="240"/>
        <x:v>0</x:v>
      </x:c>
      <x:c r="HL196">
        <x:f t="shared" si="241"/>
        <x:v>0</x:v>
      </x:c>
    </x:row>
    <x:row r="197">
      <x:c r="D197" s="74"/>
      <x:c r="EQ197">
        <x:f t="shared" si="168"/>
        <x:v>0</x:v>
      </x:c>
      <x:c r="ER197">
        <x:f t="shared" si="169"/>
        <x:v>0</x:v>
      </x:c>
      <x:c r="ES197">
        <x:f t="shared" si="170"/>
        <x:v>0</x:v>
      </x:c>
      <x:c r="ET197">
        <x:f t="shared" si="171"/>
        <x:v>0</x:v>
      </x:c>
      <x:c r="EU197">
        <x:f t="shared" si="172"/>
        <x:v>0</x:v>
      </x:c>
      <x:c r="EV197">
        <x:f t="shared" si="173"/>
        <x:v>0</x:v>
      </x:c>
      <x:c r="EW197">
        <x:f t="shared" si="174"/>
        <x:v>0</x:v>
      </x:c>
      <x:c r="EX197">
        <x:f t="shared" si="175"/>
        <x:v>0</x:v>
      </x:c>
      <x:c r="EY197">
        <x:f t="shared" si="176"/>
        <x:v>0</x:v>
      </x:c>
      <x:c r="EZ197">
        <x:f t="shared" si="177"/>
        <x:v>0</x:v>
      </x:c>
      <x:c r="FA197" s="41">
        <x:f t="shared" si="178"/>
        <x:v>0</x:v>
      </x:c>
      <x:c r="FB197">
        <x:f t="shared" si="179"/>
        <x:v>0</x:v>
      </x:c>
      <x:c r="FC197">
        <x:f t="shared" si="180"/>
        <x:v>0</x:v>
      </x:c>
      <x:c r="FD197">
        <x:f t="shared" si="181"/>
        <x:v>0</x:v>
      </x:c>
      <x:c r="FE197">
        <x:f t="shared" si="182"/>
        <x:v>0</x:v>
      </x:c>
      <x:c r="FF197">
        <x:f t="shared" si="183"/>
        <x:v>0</x:v>
      </x:c>
      <x:c r="FG197">
        <x:f t="shared" si="184"/>
        <x:v>0</x:v>
      </x:c>
      <x:c r="FH197">
        <x:f t="shared" si="185"/>
        <x:v>0</x:v>
      </x:c>
      <x:c r="FI197">
        <x:f t="shared" si="186"/>
        <x:v>0</x:v>
      </x:c>
      <x:c r="FJ197">
        <x:f t="shared" si="187"/>
        <x:v>0</x:v>
      </x:c>
      <x:c r="FK197">
        <x:f t="shared" si="188"/>
        <x:v>0</x:v>
      </x:c>
      <x:c r="FL197" s="41">
        <x:f t="shared" si="189"/>
        <x:v>0</x:v>
      </x:c>
      <x:c r="FM197">
        <x:f t="shared" si="190"/>
        <x:v>0</x:v>
      </x:c>
      <x:c r="FN197">
        <x:f t="shared" si="191"/>
        <x:v>0</x:v>
      </x:c>
      <x:c r="FO197">
        <x:f t="shared" si="192"/>
        <x:v>0</x:v>
      </x:c>
      <x:c r="FP197">
        <x:f t="shared" si="193"/>
        <x:v>0</x:v>
      </x:c>
      <x:c r="FQ197">
        <x:f t="shared" si="194"/>
        <x:v>0</x:v>
      </x:c>
      <x:c r="FR197">
        <x:f t="shared" si="195"/>
        <x:v>0</x:v>
      </x:c>
      <x:c r="FS197">
        <x:f t="shared" si="196"/>
        <x:v>0</x:v>
      </x:c>
      <x:c r="FT197">
        <x:f t="shared" si="197"/>
        <x:v>0</x:v>
      </x:c>
      <x:c r="FU197">
        <x:f t="shared" si="198"/>
        <x:v>0</x:v>
      </x:c>
      <x:c r="FV197">
        <x:f t="shared" si="199"/>
        <x:v>0</x:v>
      </x:c>
      <x:c r="FW197" s="41">
        <x:f t="shared" si="200"/>
        <x:v>0</x:v>
      </x:c>
      <x:c r="FX197">
        <x:f t="shared" si="201"/>
        <x:v>0</x:v>
      </x:c>
      <x:c r="FY197">
        <x:f t="shared" si="202"/>
        <x:v>0</x:v>
      </x:c>
      <x:c r="FZ197">
        <x:f t="shared" si="203"/>
        <x:v>0</x:v>
      </x:c>
      <x:c r="GA197">
        <x:f t="shared" si="204"/>
        <x:v>0</x:v>
      </x:c>
      <x:c r="GB197">
        <x:f t="shared" si="205"/>
        <x:v>0</x:v>
      </x:c>
      <x:c r="GC197">
        <x:f t="shared" si="206"/>
        <x:v>0</x:v>
      </x:c>
      <x:c r="GD197">
        <x:f t="shared" si="207"/>
        <x:v>0</x:v>
      </x:c>
      <x:c r="GE197">
        <x:f t="shared" si="208"/>
        <x:v>0</x:v>
      </x:c>
      <x:c r="GF197">
        <x:f t="shared" si="209"/>
        <x:v>0</x:v>
      </x:c>
      <x:c r="GG197">
        <x:f t="shared" si="210"/>
        <x:v>0</x:v>
      </x:c>
      <x:c r="GH197">
        <x:f t="shared" si="211"/>
        <x:v>0</x:v>
      </x:c>
      <x:c r="GI197">
        <x:f t="shared" si="212"/>
        <x:v>0</x:v>
      </x:c>
      <x:c r="GJ197">
        <x:f t="shared" si="213"/>
        <x:v>0</x:v>
      </x:c>
      <x:c r="GK197">
        <x:f t="shared" si="214"/>
        <x:v>0</x:v>
      </x:c>
      <x:c r="GL197">
        <x:f t="shared" si="215"/>
        <x:v>0</x:v>
      </x:c>
      <x:c r="GM197">
        <x:f t="shared" si="216"/>
        <x:v>0</x:v>
      </x:c>
      <x:c r="GN197">
        <x:f t="shared" si="217"/>
        <x:v>0</x:v>
      </x:c>
      <x:c r="GO197">
        <x:f t="shared" si="218"/>
        <x:v>0</x:v>
      </x:c>
      <x:c r="GP197">
        <x:f t="shared" si="219"/>
        <x:v>0</x:v>
      </x:c>
      <x:c r="GQ197">
        <x:f t="shared" si="220"/>
        <x:v>0</x:v>
      </x:c>
      <x:c r="GR197" s="42">
        <x:f t="shared" si="221"/>
        <x:v>0</x:v>
      </x:c>
      <x:c r="GS197">
        <x:f t="shared" si="222"/>
        <x:v>0</x:v>
      </x:c>
      <x:c r="GT197">
        <x:f t="shared" si="223"/>
        <x:v>0</x:v>
      </x:c>
      <x:c r="GU197">
        <x:f t="shared" si="224"/>
        <x:v>0</x:v>
      </x:c>
      <x:c r="GV197">
        <x:f t="shared" si="225"/>
        <x:v>0</x:v>
      </x:c>
      <x:c r="GW197">
        <x:f t="shared" si="226"/>
        <x:v>0</x:v>
      </x:c>
      <x:c r="GX197">
        <x:f t="shared" si="227"/>
        <x:v>0</x:v>
      </x:c>
      <x:c r="GY197">
        <x:f t="shared" si="228"/>
        <x:v>0</x:v>
      </x:c>
      <x:c r="GZ197">
        <x:f t="shared" si="229"/>
        <x:v>0</x:v>
      </x:c>
      <x:c r="HA197">
        <x:f t="shared" si="230"/>
        <x:v>0</x:v>
      </x:c>
      <x:c r="HB197" s="42">
        <x:f t="shared" si="231"/>
        <x:v>0</x:v>
      </x:c>
      <x:c r="HC197">
        <x:f t="shared" si="232"/>
        <x:v>0</x:v>
      </x:c>
      <x:c r="HD197">
        <x:f t="shared" si="233"/>
        <x:v>0</x:v>
      </x:c>
      <x:c r="HE197">
        <x:f t="shared" si="234"/>
        <x:v>0</x:v>
      </x:c>
      <x:c r="HF197">
        <x:f t="shared" si="235"/>
        <x:v>0</x:v>
      </x:c>
      <x:c r="HG197">
        <x:f t="shared" si="236"/>
        <x:v>0</x:v>
      </x:c>
      <x:c r="HH197">
        <x:f t="shared" si="237"/>
        <x:v>0</x:v>
      </x:c>
      <x:c r="HI197">
        <x:f t="shared" si="238"/>
        <x:v>0</x:v>
      </x:c>
      <x:c r="HJ197">
        <x:f t="shared" si="239"/>
        <x:v>0</x:v>
      </x:c>
      <x:c r="HK197">
        <x:f t="shared" si="240"/>
        <x:v>0</x:v>
      </x:c>
      <x:c r="HL197">
        <x:f t="shared" si="241"/>
        <x:v>0</x:v>
      </x:c>
    </x:row>
    <x:row r="198">
      <x:c r="D198" s="74"/>
      <x:c r="EQ198">
        <x:f t="shared" si="168"/>
        <x:v>0</x:v>
      </x:c>
      <x:c r="ER198">
        <x:f t="shared" si="169"/>
        <x:v>0</x:v>
      </x:c>
      <x:c r="ES198">
        <x:f t="shared" si="170"/>
        <x:v>0</x:v>
      </x:c>
      <x:c r="ET198">
        <x:f t="shared" si="171"/>
        <x:v>0</x:v>
      </x:c>
      <x:c r="EU198">
        <x:f t="shared" si="172"/>
        <x:v>0</x:v>
      </x:c>
      <x:c r="EV198">
        <x:f t="shared" si="173"/>
        <x:v>0</x:v>
      </x:c>
      <x:c r="EW198">
        <x:f t="shared" si="174"/>
        <x:v>0</x:v>
      </x:c>
      <x:c r="EX198">
        <x:f t="shared" si="175"/>
        <x:v>0</x:v>
      </x:c>
      <x:c r="EY198">
        <x:f t="shared" si="176"/>
        <x:v>0</x:v>
      </x:c>
      <x:c r="EZ198">
        <x:f t="shared" si="177"/>
        <x:v>0</x:v>
      </x:c>
      <x:c r="FA198" s="41">
        <x:f t="shared" si="178"/>
        <x:v>0</x:v>
      </x:c>
      <x:c r="FB198">
        <x:f t="shared" si="179"/>
        <x:v>0</x:v>
      </x:c>
      <x:c r="FC198">
        <x:f t="shared" si="180"/>
        <x:v>0</x:v>
      </x:c>
      <x:c r="FD198">
        <x:f t="shared" si="181"/>
        <x:v>0</x:v>
      </x:c>
      <x:c r="FE198">
        <x:f t="shared" si="182"/>
        <x:v>0</x:v>
      </x:c>
      <x:c r="FF198">
        <x:f t="shared" si="183"/>
        <x:v>0</x:v>
      </x:c>
      <x:c r="FG198">
        <x:f t="shared" si="184"/>
        <x:v>0</x:v>
      </x:c>
      <x:c r="FH198">
        <x:f t="shared" si="185"/>
        <x:v>0</x:v>
      </x:c>
      <x:c r="FI198">
        <x:f t="shared" si="186"/>
        <x:v>0</x:v>
      </x:c>
      <x:c r="FJ198">
        <x:f t="shared" si="187"/>
        <x:v>0</x:v>
      </x:c>
      <x:c r="FK198">
        <x:f t="shared" si="188"/>
        <x:v>0</x:v>
      </x:c>
      <x:c r="FL198" s="41">
        <x:f t="shared" si="189"/>
        <x:v>0</x:v>
      </x:c>
      <x:c r="FM198">
        <x:f t="shared" si="190"/>
        <x:v>0</x:v>
      </x:c>
      <x:c r="FN198">
        <x:f t="shared" si="191"/>
        <x:v>0</x:v>
      </x:c>
      <x:c r="FO198">
        <x:f t="shared" si="192"/>
        <x:v>0</x:v>
      </x:c>
      <x:c r="FP198">
        <x:f t="shared" si="193"/>
        <x:v>0</x:v>
      </x:c>
      <x:c r="FQ198">
        <x:f t="shared" si="194"/>
        <x:v>0</x:v>
      </x:c>
      <x:c r="FR198">
        <x:f t="shared" si="195"/>
        <x:v>0</x:v>
      </x:c>
      <x:c r="FS198">
        <x:f t="shared" si="196"/>
        <x:v>0</x:v>
      </x:c>
      <x:c r="FT198">
        <x:f t="shared" si="197"/>
        <x:v>0</x:v>
      </x:c>
      <x:c r="FU198">
        <x:f t="shared" si="198"/>
        <x:v>0</x:v>
      </x:c>
      <x:c r="FV198">
        <x:f t="shared" si="199"/>
        <x:v>0</x:v>
      </x:c>
      <x:c r="FW198" s="41">
        <x:f t="shared" si="200"/>
        <x:v>0</x:v>
      </x:c>
      <x:c r="FX198">
        <x:f t="shared" si="201"/>
        <x:v>0</x:v>
      </x:c>
      <x:c r="FY198">
        <x:f t="shared" si="202"/>
        <x:v>0</x:v>
      </x:c>
      <x:c r="FZ198">
        <x:f t="shared" si="203"/>
        <x:v>0</x:v>
      </x:c>
      <x:c r="GA198">
        <x:f t="shared" si="204"/>
        <x:v>0</x:v>
      </x:c>
      <x:c r="GB198">
        <x:f t="shared" si="205"/>
        <x:v>0</x:v>
      </x:c>
      <x:c r="GC198">
        <x:f t="shared" si="206"/>
        <x:v>0</x:v>
      </x:c>
      <x:c r="GD198">
        <x:f t="shared" si="207"/>
        <x:v>0</x:v>
      </x:c>
      <x:c r="GE198">
        <x:f t="shared" si="208"/>
        <x:v>0</x:v>
      </x:c>
      <x:c r="GF198">
        <x:f t="shared" si="209"/>
        <x:v>0</x:v>
      </x:c>
      <x:c r="GG198">
        <x:f t="shared" si="210"/>
        <x:v>0</x:v>
      </x:c>
      <x:c r="GH198">
        <x:f t="shared" si="211"/>
        <x:v>0</x:v>
      </x:c>
      <x:c r="GI198">
        <x:f t="shared" si="212"/>
        <x:v>0</x:v>
      </x:c>
      <x:c r="GJ198">
        <x:f t="shared" si="213"/>
        <x:v>0</x:v>
      </x:c>
      <x:c r="GK198">
        <x:f t="shared" si="214"/>
        <x:v>0</x:v>
      </x:c>
      <x:c r="GL198">
        <x:f t="shared" si="215"/>
        <x:v>0</x:v>
      </x:c>
      <x:c r="GM198">
        <x:f t="shared" si="216"/>
        <x:v>0</x:v>
      </x:c>
      <x:c r="GN198">
        <x:f t="shared" si="217"/>
        <x:v>0</x:v>
      </x:c>
      <x:c r="GO198">
        <x:f t="shared" si="218"/>
        <x:v>0</x:v>
      </x:c>
      <x:c r="GP198">
        <x:f t="shared" si="219"/>
        <x:v>0</x:v>
      </x:c>
      <x:c r="GQ198">
        <x:f t="shared" si="220"/>
        <x:v>0</x:v>
      </x:c>
      <x:c r="GR198" s="42">
        <x:f t="shared" si="221"/>
        <x:v>0</x:v>
      </x:c>
      <x:c r="GS198">
        <x:f t="shared" si="222"/>
        <x:v>0</x:v>
      </x:c>
      <x:c r="GT198">
        <x:f t="shared" si="223"/>
        <x:v>0</x:v>
      </x:c>
      <x:c r="GU198">
        <x:f t="shared" si="224"/>
        <x:v>0</x:v>
      </x:c>
      <x:c r="GV198">
        <x:f t="shared" si="225"/>
        <x:v>0</x:v>
      </x:c>
      <x:c r="GW198">
        <x:f t="shared" si="226"/>
        <x:v>0</x:v>
      </x:c>
      <x:c r="GX198">
        <x:f t="shared" si="227"/>
        <x:v>0</x:v>
      </x:c>
      <x:c r="GY198">
        <x:f t="shared" si="228"/>
        <x:v>0</x:v>
      </x:c>
      <x:c r="GZ198">
        <x:f t="shared" si="229"/>
        <x:v>0</x:v>
      </x:c>
      <x:c r="HA198">
        <x:f t="shared" si="230"/>
        <x:v>0</x:v>
      </x:c>
      <x:c r="HB198" s="42">
        <x:f t="shared" si="231"/>
        <x:v>0</x:v>
      </x:c>
      <x:c r="HC198">
        <x:f t="shared" si="232"/>
        <x:v>0</x:v>
      </x:c>
      <x:c r="HD198">
        <x:f t="shared" si="233"/>
        <x:v>0</x:v>
      </x:c>
      <x:c r="HE198">
        <x:f t="shared" si="234"/>
        <x:v>0</x:v>
      </x:c>
      <x:c r="HF198">
        <x:f t="shared" si="235"/>
        <x:v>0</x:v>
      </x:c>
      <x:c r="HG198">
        <x:f t="shared" si="236"/>
        <x:v>0</x:v>
      </x:c>
      <x:c r="HH198">
        <x:f t="shared" si="237"/>
        <x:v>0</x:v>
      </x:c>
      <x:c r="HI198">
        <x:f t="shared" si="238"/>
        <x:v>0</x:v>
      </x:c>
      <x:c r="HJ198">
        <x:f t="shared" si="239"/>
        <x:v>0</x:v>
      </x:c>
      <x:c r="HK198">
        <x:f t="shared" si="240"/>
        <x:v>0</x:v>
      </x:c>
      <x:c r="HL198">
        <x:f t="shared" si="241"/>
        <x:v>0</x:v>
      </x:c>
    </x:row>
    <x:row r="199">
      <x:c r="D199" s="74"/>
      <x:c r="EQ199">
        <x:f t="shared" si="168"/>
        <x:v>0</x:v>
      </x:c>
      <x:c r="ER199">
        <x:f t="shared" si="169"/>
        <x:v>0</x:v>
      </x:c>
      <x:c r="ES199">
        <x:f t="shared" si="170"/>
        <x:v>0</x:v>
      </x:c>
      <x:c r="ET199">
        <x:f t="shared" si="171"/>
        <x:v>0</x:v>
      </x:c>
      <x:c r="EU199">
        <x:f t="shared" si="172"/>
        <x:v>0</x:v>
      </x:c>
      <x:c r="EV199">
        <x:f t="shared" si="173"/>
        <x:v>0</x:v>
      </x:c>
      <x:c r="EW199">
        <x:f t="shared" si="174"/>
        <x:v>0</x:v>
      </x:c>
      <x:c r="EX199">
        <x:f t="shared" si="175"/>
        <x:v>0</x:v>
      </x:c>
      <x:c r="EY199">
        <x:f t="shared" si="176"/>
        <x:v>0</x:v>
      </x:c>
      <x:c r="EZ199">
        <x:f t="shared" si="177"/>
        <x:v>0</x:v>
      </x:c>
      <x:c r="FA199" s="41">
        <x:f t="shared" si="178"/>
        <x:v>0</x:v>
      </x:c>
      <x:c r="FB199">
        <x:f t="shared" si="179"/>
        <x:v>0</x:v>
      </x:c>
      <x:c r="FC199">
        <x:f t="shared" si="180"/>
        <x:v>0</x:v>
      </x:c>
      <x:c r="FD199">
        <x:f t="shared" si="181"/>
        <x:v>0</x:v>
      </x:c>
      <x:c r="FE199">
        <x:f t="shared" si="182"/>
        <x:v>0</x:v>
      </x:c>
      <x:c r="FF199">
        <x:f t="shared" si="183"/>
        <x:v>0</x:v>
      </x:c>
      <x:c r="FG199">
        <x:f t="shared" si="184"/>
        <x:v>0</x:v>
      </x:c>
      <x:c r="FH199">
        <x:f t="shared" si="185"/>
        <x:v>0</x:v>
      </x:c>
      <x:c r="FI199">
        <x:f t="shared" si="186"/>
        <x:v>0</x:v>
      </x:c>
      <x:c r="FJ199">
        <x:f t="shared" si="187"/>
        <x:v>0</x:v>
      </x:c>
      <x:c r="FK199">
        <x:f t="shared" si="188"/>
        <x:v>0</x:v>
      </x:c>
      <x:c r="FL199" s="41">
        <x:f t="shared" si="189"/>
        <x:v>0</x:v>
      </x:c>
      <x:c r="FM199">
        <x:f t="shared" si="190"/>
        <x:v>0</x:v>
      </x:c>
      <x:c r="FN199">
        <x:f t="shared" si="191"/>
        <x:v>0</x:v>
      </x:c>
      <x:c r="FO199">
        <x:f t="shared" si="192"/>
        <x:v>0</x:v>
      </x:c>
      <x:c r="FP199">
        <x:f t="shared" si="193"/>
        <x:v>0</x:v>
      </x:c>
      <x:c r="FQ199">
        <x:f t="shared" si="194"/>
        <x:v>0</x:v>
      </x:c>
      <x:c r="FR199">
        <x:f t="shared" si="195"/>
        <x:v>0</x:v>
      </x:c>
      <x:c r="FS199">
        <x:f t="shared" si="196"/>
        <x:v>0</x:v>
      </x:c>
      <x:c r="FT199">
        <x:f t="shared" si="197"/>
        <x:v>0</x:v>
      </x:c>
      <x:c r="FU199">
        <x:f t="shared" si="198"/>
        <x:v>0</x:v>
      </x:c>
      <x:c r="FV199">
        <x:f t="shared" si="199"/>
        <x:v>0</x:v>
      </x:c>
      <x:c r="FW199" s="41">
        <x:f t="shared" si="200"/>
        <x:v>0</x:v>
      </x:c>
      <x:c r="FX199">
        <x:f t="shared" si="201"/>
        <x:v>0</x:v>
      </x:c>
      <x:c r="FY199">
        <x:f t="shared" si="202"/>
        <x:v>0</x:v>
      </x:c>
      <x:c r="FZ199">
        <x:f t="shared" si="203"/>
        <x:v>0</x:v>
      </x:c>
      <x:c r="GA199">
        <x:f t="shared" si="204"/>
        <x:v>0</x:v>
      </x:c>
      <x:c r="GB199">
        <x:f t="shared" si="205"/>
        <x:v>0</x:v>
      </x:c>
      <x:c r="GC199">
        <x:f t="shared" si="206"/>
        <x:v>0</x:v>
      </x:c>
      <x:c r="GD199">
        <x:f t="shared" si="207"/>
        <x:v>0</x:v>
      </x:c>
      <x:c r="GE199">
        <x:f t="shared" si="208"/>
        <x:v>0</x:v>
      </x:c>
      <x:c r="GF199">
        <x:f t="shared" si="209"/>
        <x:v>0</x:v>
      </x:c>
      <x:c r="GG199">
        <x:f t="shared" si="210"/>
        <x:v>0</x:v>
      </x:c>
      <x:c r="GH199">
        <x:f t="shared" si="211"/>
        <x:v>0</x:v>
      </x:c>
      <x:c r="GI199">
        <x:f t="shared" si="212"/>
        <x:v>0</x:v>
      </x:c>
      <x:c r="GJ199">
        <x:f t="shared" si="213"/>
        <x:v>0</x:v>
      </x:c>
      <x:c r="GK199">
        <x:f t="shared" si="214"/>
        <x:v>0</x:v>
      </x:c>
      <x:c r="GL199">
        <x:f t="shared" si="215"/>
        <x:v>0</x:v>
      </x:c>
      <x:c r="GM199">
        <x:f t="shared" si="216"/>
        <x:v>0</x:v>
      </x:c>
      <x:c r="GN199">
        <x:f t="shared" si="217"/>
        <x:v>0</x:v>
      </x:c>
      <x:c r="GO199">
        <x:f t="shared" si="218"/>
        <x:v>0</x:v>
      </x:c>
      <x:c r="GP199">
        <x:f t="shared" si="219"/>
        <x:v>0</x:v>
      </x:c>
      <x:c r="GQ199">
        <x:f t="shared" si="220"/>
        <x:v>0</x:v>
      </x:c>
      <x:c r="GR199" s="42">
        <x:f t="shared" si="221"/>
        <x:v>0</x:v>
      </x:c>
      <x:c r="GS199">
        <x:f t="shared" si="222"/>
        <x:v>0</x:v>
      </x:c>
      <x:c r="GT199">
        <x:f t="shared" si="223"/>
        <x:v>0</x:v>
      </x:c>
      <x:c r="GU199">
        <x:f t="shared" si="224"/>
        <x:v>0</x:v>
      </x:c>
      <x:c r="GV199">
        <x:f t="shared" si="225"/>
        <x:v>0</x:v>
      </x:c>
      <x:c r="GW199">
        <x:f t="shared" si="226"/>
        <x:v>0</x:v>
      </x:c>
      <x:c r="GX199">
        <x:f t="shared" si="227"/>
        <x:v>0</x:v>
      </x:c>
      <x:c r="GY199">
        <x:f t="shared" si="228"/>
        <x:v>0</x:v>
      </x:c>
      <x:c r="GZ199">
        <x:f t="shared" si="229"/>
        <x:v>0</x:v>
      </x:c>
      <x:c r="HA199">
        <x:f t="shared" si="230"/>
        <x:v>0</x:v>
      </x:c>
      <x:c r="HB199" s="42">
        <x:f t="shared" si="231"/>
        <x:v>0</x:v>
      </x:c>
      <x:c r="HC199">
        <x:f t="shared" si="232"/>
        <x:v>0</x:v>
      </x:c>
      <x:c r="HD199">
        <x:f t="shared" si="233"/>
        <x:v>0</x:v>
      </x:c>
      <x:c r="HE199">
        <x:f t="shared" si="234"/>
        <x:v>0</x:v>
      </x:c>
      <x:c r="HF199">
        <x:f t="shared" si="235"/>
        <x:v>0</x:v>
      </x:c>
      <x:c r="HG199">
        <x:f t="shared" si="236"/>
        <x:v>0</x:v>
      </x:c>
      <x:c r="HH199">
        <x:f t="shared" si="237"/>
        <x:v>0</x:v>
      </x:c>
      <x:c r="HI199">
        <x:f t="shared" si="238"/>
        <x:v>0</x:v>
      </x:c>
      <x:c r="HJ199">
        <x:f t="shared" si="239"/>
        <x:v>0</x:v>
      </x:c>
      <x:c r="HK199">
        <x:f t="shared" si="240"/>
        <x:v>0</x:v>
      </x:c>
      <x:c r="HL199">
        <x:f t="shared" si="241"/>
        <x:v>0</x:v>
      </x:c>
    </x:row>
    <x:row r="200">
      <x:c r="D200" s="74"/>
      <x:c r="EQ200">
        <x:f t="shared" si="168"/>
        <x:v>0</x:v>
      </x:c>
      <x:c r="ER200">
        <x:f t="shared" si="169"/>
        <x:v>0</x:v>
      </x:c>
      <x:c r="ES200">
        <x:f t="shared" si="170"/>
        <x:v>0</x:v>
      </x:c>
      <x:c r="ET200">
        <x:f t="shared" si="171"/>
        <x:v>0</x:v>
      </x:c>
      <x:c r="EU200">
        <x:f t="shared" si="172"/>
        <x:v>0</x:v>
      </x:c>
      <x:c r="EV200">
        <x:f t="shared" si="173"/>
        <x:v>0</x:v>
      </x:c>
      <x:c r="EW200">
        <x:f t="shared" si="174"/>
        <x:v>0</x:v>
      </x:c>
      <x:c r="EX200">
        <x:f t="shared" si="175"/>
        <x:v>0</x:v>
      </x:c>
      <x:c r="EY200">
        <x:f t="shared" si="176"/>
        <x:v>0</x:v>
      </x:c>
      <x:c r="EZ200">
        <x:f t="shared" si="177"/>
        <x:v>0</x:v>
      </x:c>
      <x:c r="FA200" s="41">
        <x:f t="shared" si="178"/>
        <x:v>0</x:v>
      </x:c>
      <x:c r="FB200">
        <x:f t="shared" si="179"/>
        <x:v>0</x:v>
      </x:c>
      <x:c r="FC200">
        <x:f t="shared" si="180"/>
        <x:v>0</x:v>
      </x:c>
      <x:c r="FD200">
        <x:f t="shared" si="181"/>
        <x:v>0</x:v>
      </x:c>
      <x:c r="FE200">
        <x:f t="shared" si="182"/>
        <x:v>0</x:v>
      </x:c>
      <x:c r="FF200">
        <x:f t="shared" si="183"/>
        <x:v>0</x:v>
      </x:c>
      <x:c r="FG200">
        <x:f t="shared" si="184"/>
        <x:v>0</x:v>
      </x:c>
      <x:c r="FH200">
        <x:f t="shared" si="185"/>
        <x:v>0</x:v>
      </x:c>
      <x:c r="FI200">
        <x:f t="shared" si="186"/>
        <x:v>0</x:v>
      </x:c>
      <x:c r="FJ200">
        <x:f t="shared" si="187"/>
        <x:v>0</x:v>
      </x:c>
      <x:c r="FK200">
        <x:f t="shared" si="188"/>
        <x:v>0</x:v>
      </x:c>
      <x:c r="FL200" s="41">
        <x:f t="shared" si="189"/>
        <x:v>0</x:v>
      </x:c>
      <x:c r="FM200">
        <x:f t="shared" si="190"/>
        <x:v>0</x:v>
      </x:c>
      <x:c r="FN200">
        <x:f t="shared" si="191"/>
        <x:v>0</x:v>
      </x:c>
      <x:c r="FO200">
        <x:f t="shared" si="192"/>
        <x:v>0</x:v>
      </x:c>
      <x:c r="FP200">
        <x:f t="shared" si="193"/>
        <x:v>0</x:v>
      </x:c>
      <x:c r="FQ200">
        <x:f t="shared" si="194"/>
        <x:v>0</x:v>
      </x:c>
      <x:c r="FR200">
        <x:f t="shared" si="195"/>
        <x:v>0</x:v>
      </x:c>
      <x:c r="FS200">
        <x:f t="shared" si="196"/>
        <x:v>0</x:v>
      </x:c>
      <x:c r="FT200">
        <x:f t="shared" si="197"/>
        <x:v>0</x:v>
      </x:c>
      <x:c r="FU200">
        <x:f t="shared" si="198"/>
        <x:v>0</x:v>
      </x:c>
      <x:c r="FV200">
        <x:f t="shared" si="199"/>
        <x:v>0</x:v>
      </x:c>
      <x:c r="FW200" s="41">
        <x:f t="shared" si="200"/>
        <x:v>0</x:v>
      </x:c>
      <x:c r="FX200">
        <x:f t="shared" si="201"/>
        <x:v>0</x:v>
      </x:c>
      <x:c r="FY200">
        <x:f t="shared" si="202"/>
        <x:v>0</x:v>
      </x:c>
      <x:c r="FZ200">
        <x:f t="shared" si="203"/>
        <x:v>0</x:v>
      </x:c>
      <x:c r="GA200">
        <x:f t="shared" si="204"/>
        <x:v>0</x:v>
      </x:c>
      <x:c r="GB200">
        <x:f t="shared" si="205"/>
        <x:v>0</x:v>
      </x:c>
      <x:c r="GC200">
        <x:f t="shared" si="206"/>
        <x:v>0</x:v>
      </x:c>
      <x:c r="GD200">
        <x:f t="shared" si="207"/>
        <x:v>0</x:v>
      </x:c>
      <x:c r="GE200">
        <x:f t="shared" si="208"/>
        <x:v>0</x:v>
      </x:c>
      <x:c r="GF200">
        <x:f t="shared" si="209"/>
        <x:v>0</x:v>
      </x:c>
      <x:c r="GG200">
        <x:f t="shared" si="210"/>
        <x:v>0</x:v>
      </x:c>
      <x:c r="GH200">
        <x:f t="shared" si="211"/>
        <x:v>0</x:v>
      </x:c>
      <x:c r="GI200">
        <x:f t="shared" si="212"/>
        <x:v>0</x:v>
      </x:c>
      <x:c r="GJ200">
        <x:f t="shared" si="213"/>
        <x:v>0</x:v>
      </x:c>
      <x:c r="GK200">
        <x:f t="shared" si="214"/>
        <x:v>0</x:v>
      </x:c>
      <x:c r="GL200">
        <x:f t="shared" si="215"/>
        <x:v>0</x:v>
      </x:c>
      <x:c r="GM200">
        <x:f t="shared" si="216"/>
        <x:v>0</x:v>
      </x:c>
      <x:c r="GN200">
        <x:f t="shared" si="217"/>
        <x:v>0</x:v>
      </x:c>
      <x:c r="GO200">
        <x:f t="shared" si="218"/>
        <x:v>0</x:v>
      </x:c>
      <x:c r="GP200">
        <x:f t="shared" si="219"/>
        <x:v>0</x:v>
      </x:c>
      <x:c r="GQ200">
        <x:f t="shared" si="220"/>
        <x:v>0</x:v>
      </x:c>
      <x:c r="GR200" s="42">
        <x:f t="shared" si="221"/>
        <x:v>0</x:v>
      </x:c>
      <x:c r="GS200">
        <x:f t="shared" si="222"/>
        <x:v>0</x:v>
      </x:c>
      <x:c r="GT200">
        <x:f t="shared" si="223"/>
        <x:v>0</x:v>
      </x:c>
      <x:c r="GU200">
        <x:f t="shared" si="224"/>
        <x:v>0</x:v>
      </x:c>
      <x:c r="GV200">
        <x:f t="shared" si="225"/>
        <x:v>0</x:v>
      </x:c>
      <x:c r="GW200">
        <x:f t="shared" si="226"/>
        <x:v>0</x:v>
      </x:c>
      <x:c r="GX200">
        <x:f t="shared" si="227"/>
        <x:v>0</x:v>
      </x:c>
      <x:c r="GY200">
        <x:f t="shared" si="228"/>
        <x:v>0</x:v>
      </x:c>
      <x:c r="GZ200">
        <x:f t="shared" si="229"/>
        <x:v>0</x:v>
      </x:c>
      <x:c r="HA200">
        <x:f t="shared" si="230"/>
        <x:v>0</x:v>
      </x:c>
      <x:c r="HB200" s="42">
        <x:f t="shared" si="231"/>
        <x:v>0</x:v>
      </x:c>
      <x:c r="HC200">
        <x:f t="shared" si="232"/>
        <x:v>0</x:v>
      </x:c>
      <x:c r="HD200">
        <x:f t="shared" si="233"/>
        <x:v>0</x:v>
      </x:c>
      <x:c r="HE200">
        <x:f t="shared" si="234"/>
        <x:v>0</x:v>
      </x:c>
      <x:c r="HF200">
        <x:f t="shared" si="235"/>
        <x:v>0</x:v>
      </x:c>
      <x:c r="HG200">
        <x:f t="shared" si="236"/>
        <x:v>0</x:v>
      </x:c>
      <x:c r="HH200">
        <x:f t="shared" si="237"/>
        <x:v>0</x:v>
      </x:c>
      <x:c r="HI200">
        <x:f t="shared" si="238"/>
        <x:v>0</x:v>
      </x:c>
      <x:c r="HJ200">
        <x:f t="shared" si="239"/>
        <x:v>0</x:v>
      </x:c>
      <x:c r="HK200">
        <x:f t="shared" si="240"/>
        <x:v>0</x:v>
      </x:c>
      <x:c r="HL200">
        <x:f t="shared" si="241"/>
        <x:v>0</x:v>
      </x:c>
    </x:row>
    <x:row r="201">
      <x:c r="D201" s="74"/>
      <x:c r="EQ201">
        <x:f t="shared" si="168"/>
        <x:v>0</x:v>
      </x:c>
      <x:c r="ER201">
        <x:f t="shared" si="169"/>
        <x:v>0</x:v>
      </x:c>
      <x:c r="ES201">
        <x:f t="shared" si="170"/>
        <x:v>0</x:v>
      </x:c>
      <x:c r="ET201">
        <x:f t="shared" si="171"/>
        <x:v>0</x:v>
      </x:c>
      <x:c r="EU201">
        <x:f t="shared" si="172"/>
        <x:v>0</x:v>
      </x:c>
      <x:c r="EV201">
        <x:f t="shared" si="173"/>
        <x:v>0</x:v>
      </x:c>
      <x:c r="EW201">
        <x:f t="shared" si="174"/>
        <x:v>0</x:v>
      </x:c>
      <x:c r="EX201">
        <x:f t="shared" si="175"/>
        <x:v>0</x:v>
      </x:c>
      <x:c r="EY201">
        <x:f t="shared" si="176"/>
        <x:v>0</x:v>
      </x:c>
      <x:c r="EZ201">
        <x:f t="shared" si="177"/>
        <x:v>0</x:v>
      </x:c>
      <x:c r="FA201" s="41">
        <x:f t="shared" si="178"/>
        <x:v>0</x:v>
      </x:c>
      <x:c r="FB201">
        <x:f t="shared" si="179"/>
        <x:v>0</x:v>
      </x:c>
      <x:c r="FC201">
        <x:f t="shared" si="180"/>
        <x:v>0</x:v>
      </x:c>
      <x:c r="FD201">
        <x:f t="shared" si="181"/>
        <x:v>0</x:v>
      </x:c>
      <x:c r="FE201">
        <x:f t="shared" si="182"/>
        <x:v>0</x:v>
      </x:c>
      <x:c r="FF201">
        <x:f t="shared" si="183"/>
        <x:v>0</x:v>
      </x:c>
      <x:c r="FG201">
        <x:f t="shared" si="184"/>
        <x:v>0</x:v>
      </x:c>
      <x:c r="FH201">
        <x:f t="shared" si="185"/>
        <x:v>0</x:v>
      </x:c>
      <x:c r="FI201">
        <x:f t="shared" si="186"/>
        <x:v>0</x:v>
      </x:c>
      <x:c r="FJ201">
        <x:f t="shared" si="187"/>
        <x:v>0</x:v>
      </x:c>
      <x:c r="FK201">
        <x:f t="shared" si="188"/>
        <x:v>0</x:v>
      </x:c>
      <x:c r="FL201" s="41">
        <x:f t="shared" si="189"/>
        <x:v>0</x:v>
      </x:c>
      <x:c r="FM201">
        <x:f t="shared" si="190"/>
        <x:v>0</x:v>
      </x:c>
      <x:c r="FN201">
        <x:f t="shared" si="191"/>
        <x:v>0</x:v>
      </x:c>
      <x:c r="FO201">
        <x:f t="shared" si="192"/>
        <x:v>0</x:v>
      </x:c>
      <x:c r="FP201">
        <x:f t="shared" si="193"/>
        <x:v>0</x:v>
      </x:c>
      <x:c r="FQ201">
        <x:f t="shared" si="194"/>
        <x:v>0</x:v>
      </x:c>
      <x:c r="FR201">
        <x:f t="shared" si="195"/>
        <x:v>0</x:v>
      </x:c>
      <x:c r="FS201">
        <x:f t="shared" si="196"/>
        <x:v>0</x:v>
      </x:c>
      <x:c r="FT201">
        <x:f t="shared" si="197"/>
        <x:v>0</x:v>
      </x:c>
      <x:c r="FU201">
        <x:f t="shared" si="198"/>
        <x:v>0</x:v>
      </x:c>
      <x:c r="FV201">
        <x:f t="shared" si="199"/>
        <x:v>0</x:v>
      </x:c>
      <x:c r="FW201" s="41">
        <x:f t="shared" si="200"/>
        <x:v>0</x:v>
      </x:c>
      <x:c r="FX201">
        <x:f t="shared" si="201"/>
        <x:v>0</x:v>
      </x:c>
      <x:c r="FY201">
        <x:f t="shared" si="202"/>
        <x:v>0</x:v>
      </x:c>
      <x:c r="FZ201">
        <x:f t="shared" si="203"/>
        <x:v>0</x:v>
      </x:c>
      <x:c r="GA201">
        <x:f t="shared" si="204"/>
        <x:v>0</x:v>
      </x:c>
      <x:c r="GB201">
        <x:f t="shared" si="205"/>
        <x:v>0</x:v>
      </x:c>
      <x:c r="GC201">
        <x:f t="shared" si="206"/>
        <x:v>0</x:v>
      </x:c>
      <x:c r="GD201">
        <x:f t="shared" si="207"/>
        <x:v>0</x:v>
      </x:c>
      <x:c r="GE201">
        <x:f t="shared" si="208"/>
        <x:v>0</x:v>
      </x:c>
      <x:c r="GF201">
        <x:f t="shared" si="209"/>
        <x:v>0</x:v>
      </x:c>
      <x:c r="GG201">
        <x:f t="shared" si="210"/>
        <x:v>0</x:v>
      </x:c>
      <x:c r="GH201">
        <x:f t="shared" si="211"/>
        <x:v>0</x:v>
      </x:c>
      <x:c r="GI201">
        <x:f t="shared" si="212"/>
        <x:v>0</x:v>
      </x:c>
      <x:c r="GJ201">
        <x:f t="shared" si="213"/>
        <x:v>0</x:v>
      </x:c>
      <x:c r="GK201">
        <x:f t="shared" si="214"/>
        <x:v>0</x:v>
      </x:c>
      <x:c r="GL201">
        <x:f t="shared" si="215"/>
        <x:v>0</x:v>
      </x:c>
      <x:c r="GM201">
        <x:f t="shared" si="216"/>
        <x:v>0</x:v>
      </x:c>
      <x:c r="GN201">
        <x:f t="shared" si="217"/>
        <x:v>0</x:v>
      </x:c>
      <x:c r="GO201">
        <x:f t="shared" si="218"/>
        <x:v>0</x:v>
      </x:c>
      <x:c r="GP201">
        <x:f t="shared" si="219"/>
        <x:v>0</x:v>
      </x:c>
      <x:c r="GQ201">
        <x:f t="shared" si="220"/>
        <x:v>0</x:v>
      </x:c>
      <x:c r="GR201" s="42">
        <x:f t="shared" si="221"/>
        <x:v>0</x:v>
      </x:c>
      <x:c r="GS201">
        <x:f t="shared" si="222"/>
        <x:v>0</x:v>
      </x:c>
      <x:c r="GT201">
        <x:f t="shared" si="223"/>
        <x:v>0</x:v>
      </x:c>
      <x:c r="GU201">
        <x:f t="shared" si="224"/>
        <x:v>0</x:v>
      </x:c>
      <x:c r="GV201">
        <x:f t="shared" si="225"/>
        <x:v>0</x:v>
      </x:c>
      <x:c r="GW201">
        <x:f t="shared" si="226"/>
        <x:v>0</x:v>
      </x:c>
      <x:c r="GX201">
        <x:f t="shared" si="227"/>
        <x:v>0</x:v>
      </x:c>
      <x:c r="GY201">
        <x:f t="shared" si="228"/>
        <x:v>0</x:v>
      </x:c>
      <x:c r="GZ201">
        <x:f t="shared" si="229"/>
        <x:v>0</x:v>
      </x:c>
      <x:c r="HA201">
        <x:f t="shared" si="230"/>
        <x:v>0</x:v>
      </x:c>
      <x:c r="HB201" s="42">
        <x:f t="shared" si="231"/>
        <x:v>0</x:v>
      </x:c>
      <x:c r="HC201">
        <x:f t="shared" si="232"/>
        <x:v>0</x:v>
      </x:c>
      <x:c r="HD201">
        <x:f t="shared" si="233"/>
        <x:v>0</x:v>
      </x:c>
      <x:c r="HE201">
        <x:f t="shared" si="234"/>
        <x:v>0</x:v>
      </x:c>
      <x:c r="HF201">
        <x:f t="shared" si="235"/>
        <x:v>0</x:v>
      </x:c>
      <x:c r="HG201">
        <x:f t="shared" si="236"/>
        <x:v>0</x:v>
      </x:c>
      <x:c r="HH201">
        <x:f t="shared" si="237"/>
        <x:v>0</x:v>
      </x:c>
      <x:c r="HI201">
        <x:f t="shared" si="238"/>
        <x:v>0</x:v>
      </x:c>
      <x:c r="HJ201">
        <x:f t="shared" si="239"/>
        <x:v>0</x:v>
      </x:c>
      <x:c r="HK201">
        <x:f t="shared" si="240"/>
        <x:v>0</x:v>
      </x:c>
      <x:c r="HL201">
        <x:f t="shared" si="241"/>
        <x:v>0</x:v>
      </x:c>
    </x:row>
    <x:row r="202">
      <x:c r="D202" s="74"/>
      <x:c r="EQ202">
        <x:f t="shared" si="168"/>
        <x:v>0</x:v>
      </x:c>
      <x:c r="ER202">
        <x:f t="shared" si="169"/>
        <x:v>0</x:v>
      </x:c>
      <x:c r="ES202">
        <x:f t="shared" si="170"/>
        <x:v>0</x:v>
      </x:c>
      <x:c r="ET202">
        <x:f t="shared" si="171"/>
        <x:v>0</x:v>
      </x:c>
      <x:c r="EU202">
        <x:f t="shared" si="172"/>
        <x:v>0</x:v>
      </x:c>
      <x:c r="EV202">
        <x:f t="shared" si="173"/>
        <x:v>0</x:v>
      </x:c>
      <x:c r="EW202">
        <x:f t="shared" si="174"/>
        <x:v>0</x:v>
      </x:c>
      <x:c r="EX202">
        <x:f t="shared" si="175"/>
        <x:v>0</x:v>
      </x:c>
      <x:c r="EY202">
        <x:f t="shared" si="176"/>
        <x:v>0</x:v>
      </x:c>
      <x:c r="EZ202">
        <x:f t="shared" si="177"/>
        <x:v>0</x:v>
      </x:c>
      <x:c r="FA202" s="41">
        <x:f t="shared" si="178"/>
        <x:v>0</x:v>
      </x:c>
      <x:c r="FB202">
        <x:f t="shared" si="179"/>
        <x:v>0</x:v>
      </x:c>
      <x:c r="FC202">
        <x:f t="shared" si="180"/>
        <x:v>0</x:v>
      </x:c>
      <x:c r="FD202">
        <x:f t="shared" si="181"/>
        <x:v>0</x:v>
      </x:c>
      <x:c r="FE202">
        <x:f t="shared" si="182"/>
        <x:v>0</x:v>
      </x:c>
      <x:c r="FF202">
        <x:f t="shared" si="183"/>
        <x:v>0</x:v>
      </x:c>
      <x:c r="FG202">
        <x:f t="shared" si="184"/>
        <x:v>0</x:v>
      </x:c>
      <x:c r="FH202">
        <x:f t="shared" si="185"/>
        <x:v>0</x:v>
      </x:c>
      <x:c r="FI202">
        <x:f t="shared" si="186"/>
        <x:v>0</x:v>
      </x:c>
      <x:c r="FJ202">
        <x:f t="shared" si="187"/>
        <x:v>0</x:v>
      </x:c>
      <x:c r="FK202">
        <x:f t="shared" si="188"/>
        <x:v>0</x:v>
      </x:c>
      <x:c r="FL202" s="41">
        <x:f t="shared" si="189"/>
        <x:v>0</x:v>
      </x:c>
      <x:c r="FM202">
        <x:f t="shared" si="190"/>
        <x:v>0</x:v>
      </x:c>
      <x:c r="FN202">
        <x:f t="shared" si="191"/>
        <x:v>0</x:v>
      </x:c>
      <x:c r="FO202">
        <x:f t="shared" si="192"/>
        <x:v>0</x:v>
      </x:c>
      <x:c r="FP202">
        <x:f t="shared" si="193"/>
        <x:v>0</x:v>
      </x:c>
      <x:c r="FQ202">
        <x:f t="shared" si="194"/>
        <x:v>0</x:v>
      </x:c>
      <x:c r="FR202">
        <x:f t="shared" si="195"/>
        <x:v>0</x:v>
      </x:c>
      <x:c r="FS202">
        <x:f t="shared" si="196"/>
        <x:v>0</x:v>
      </x:c>
      <x:c r="FT202">
        <x:f t="shared" si="197"/>
        <x:v>0</x:v>
      </x:c>
      <x:c r="FU202">
        <x:f t="shared" si="198"/>
        <x:v>0</x:v>
      </x:c>
      <x:c r="FV202">
        <x:f t="shared" si="199"/>
        <x:v>0</x:v>
      </x:c>
      <x:c r="FW202" s="41">
        <x:f t="shared" si="200"/>
        <x:v>0</x:v>
      </x:c>
      <x:c r="FX202">
        <x:f t="shared" si="201"/>
        <x:v>0</x:v>
      </x:c>
      <x:c r="FY202">
        <x:f t="shared" si="202"/>
        <x:v>0</x:v>
      </x:c>
      <x:c r="FZ202">
        <x:f t="shared" si="203"/>
        <x:v>0</x:v>
      </x:c>
      <x:c r="GA202">
        <x:f t="shared" si="204"/>
        <x:v>0</x:v>
      </x:c>
      <x:c r="GB202">
        <x:f t="shared" si="205"/>
        <x:v>0</x:v>
      </x:c>
      <x:c r="GC202">
        <x:f t="shared" si="206"/>
        <x:v>0</x:v>
      </x:c>
      <x:c r="GD202">
        <x:f t="shared" si="207"/>
        <x:v>0</x:v>
      </x:c>
      <x:c r="GE202">
        <x:f t="shared" si="208"/>
        <x:v>0</x:v>
      </x:c>
      <x:c r="GF202">
        <x:f t="shared" si="209"/>
        <x:v>0</x:v>
      </x:c>
      <x:c r="GG202">
        <x:f t="shared" si="210"/>
        <x:v>0</x:v>
      </x:c>
      <x:c r="GH202">
        <x:f t="shared" si="211"/>
        <x:v>0</x:v>
      </x:c>
      <x:c r="GI202">
        <x:f t="shared" si="212"/>
        <x:v>0</x:v>
      </x:c>
      <x:c r="GJ202">
        <x:f t="shared" si="213"/>
        <x:v>0</x:v>
      </x:c>
      <x:c r="GK202">
        <x:f t="shared" si="214"/>
        <x:v>0</x:v>
      </x:c>
      <x:c r="GL202">
        <x:f t="shared" si="215"/>
        <x:v>0</x:v>
      </x:c>
      <x:c r="GM202">
        <x:f t="shared" si="216"/>
        <x:v>0</x:v>
      </x:c>
      <x:c r="GN202">
        <x:f t="shared" si="217"/>
        <x:v>0</x:v>
      </x:c>
      <x:c r="GO202">
        <x:f t="shared" si="218"/>
        <x:v>0</x:v>
      </x:c>
      <x:c r="GP202">
        <x:f t="shared" si="219"/>
        <x:v>0</x:v>
      </x:c>
      <x:c r="GQ202">
        <x:f t="shared" si="220"/>
        <x:v>0</x:v>
      </x:c>
      <x:c r="GR202" s="42">
        <x:f t="shared" si="221"/>
        <x:v>0</x:v>
      </x:c>
      <x:c r="GS202">
        <x:f t="shared" si="222"/>
        <x:v>0</x:v>
      </x:c>
      <x:c r="GT202">
        <x:f t="shared" si="223"/>
        <x:v>0</x:v>
      </x:c>
      <x:c r="GU202">
        <x:f t="shared" si="224"/>
        <x:v>0</x:v>
      </x:c>
      <x:c r="GV202">
        <x:f t="shared" si="225"/>
        <x:v>0</x:v>
      </x:c>
      <x:c r="GW202">
        <x:f t="shared" si="226"/>
        <x:v>0</x:v>
      </x:c>
      <x:c r="GX202">
        <x:f t="shared" si="227"/>
        <x:v>0</x:v>
      </x:c>
      <x:c r="GY202">
        <x:f t="shared" si="228"/>
        <x:v>0</x:v>
      </x:c>
      <x:c r="GZ202">
        <x:f t="shared" si="229"/>
        <x:v>0</x:v>
      </x:c>
      <x:c r="HA202">
        <x:f t="shared" si="230"/>
        <x:v>0</x:v>
      </x:c>
      <x:c r="HB202" s="42">
        <x:f t="shared" si="231"/>
        <x:v>0</x:v>
      </x:c>
      <x:c r="HC202">
        <x:f t="shared" si="232"/>
        <x:v>0</x:v>
      </x:c>
      <x:c r="HD202">
        <x:f t="shared" si="233"/>
        <x:v>0</x:v>
      </x:c>
      <x:c r="HE202">
        <x:f t="shared" si="234"/>
        <x:v>0</x:v>
      </x:c>
      <x:c r="HF202">
        <x:f t="shared" si="235"/>
        <x:v>0</x:v>
      </x:c>
      <x:c r="HG202">
        <x:f t="shared" si="236"/>
        <x:v>0</x:v>
      </x:c>
      <x:c r="HH202">
        <x:f t="shared" si="237"/>
        <x:v>0</x:v>
      </x:c>
      <x:c r="HI202">
        <x:f t="shared" si="238"/>
        <x:v>0</x:v>
      </x:c>
      <x:c r="HJ202">
        <x:f t="shared" si="239"/>
        <x:v>0</x:v>
      </x:c>
      <x:c r="HK202">
        <x:f t="shared" si="240"/>
        <x:v>0</x:v>
      </x:c>
      <x:c r="HL202">
        <x:f t="shared" si="241"/>
        <x:v>0</x:v>
      </x:c>
    </x:row>
    <x:row r="203">
      <x:c r="D203" s="74"/>
      <x:c r="EQ203">
        <x:f t="shared" si="168"/>
        <x:v>0</x:v>
      </x:c>
      <x:c r="ER203">
        <x:f t="shared" si="169"/>
        <x:v>0</x:v>
      </x:c>
      <x:c r="ES203">
        <x:f t="shared" si="170"/>
        <x:v>0</x:v>
      </x:c>
      <x:c r="ET203">
        <x:f t="shared" si="171"/>
        <x:v>0</x:v>
      </x:c>
      <x:c r="EU203">
        <x:f t="shared" si="172"/>
        <x:v>0</x:v>
      </x:c>
      <x:c r="EV203">
        <x:f t="shared" si="173"/>
        <x:v>0</x:v>
      </x:c>
      <x:c r="EW203">
        <x:f t="shared" si="174"/>
        <x:v>0</x:v>
      </x:c>
      <x:c r="EX203">
        <x:f t="shared" si="175"/>
        <x:v>0</x:v>
      </x:c>
      <x:c r="EY203">
        <x:f t="shared" si="176"/>
        <x:v>0</x:v>
      </x:c>
      <x:c r="EZ203">
        <x:f t="shared" si="177"/>
        <x:v>0</x:v>
      </x:c>
      <x:c r="FA203" s="41">
        <x:f t="shared" si="178"/>
        <x:v>0</x:v>
      </x:c>
      <x:c r="FB203">
        <x:f t="shared" si="179"/>
        <x:v>0</x:v>
      </x:c>
      <x:c r="FC203">
        <x:f t="shared" si="180"/>
        <x:v>0</x:v>
      </x:c>
      <x:c r="FD203">
        <x:f t="shared" si="181"/>
        <x:v>0</x:v>
      </x:c>
      <x:c r="FE203">
        <x:f t="shared" si="182"/>
        <x:v>0</x:v>
      </x:c>
      <x:c r="FF203">
        <x:f t="shared" si="183"/>
        <x:v>0</x:v>
      </x:c>
      <x:c r="FG203">
        <x:f t="shared" si="184"/>
        <x:v>0</x:v>
      </x:c>
      <x:c r="FH203">
        <x:f t="shared" si="185"/>
        <x:v>0</x:v>
      </x:c>
      <x:c r="FI203">
        <x:f t="shared" si="186"/>
        <x:v>0</x:v>
      </x:c>
      <x:c r="FJ203">
        <x:f t="shared" si="187"/>
        <x:v>0</x:v>
      </x:c>
      <x:c r="FK203">
        <x:f t="shared" si="188"/>
        <x:v>0</x:v>
      </x:c>
      <x:c r="FL203" s="41">
        <x:f t="shared" si="189"/>
        <x:v>0</x:v>
      </x:c>
      <x:c r="FM203">
        <x:f t="shared" si="190"/>
        <x:v>0</x:v>
      </x:c>
      <x:c r="FN203">
        <x:f t="shared" si="191"/>
        <x:v>0</x:v>
      </x:c>
      <x:c r="FO203">
        <x:f t="shared" si="192"/>
        <x:v>0</x:v>
      </x:c>
      <x:c r="FP203">
        <x:f t="shared" si="193"/>
        <x:v>0</x:v>
      </x:c>
      <x:c r="FQ203">
        <x:f t="shared" si="194"/>
        <x:v>0</x:v>
      </x:c>
      <x:c r="FR203">
        <x:f t="shared" si="195"/>
        <x:v>0</x:v>
      </x:c>
      <x:c r="FS203">
        <x:f t="shared" si="196"/>
        <x:v>0</x:v>
      </x:c>
      <x:c r="FT203">
        <x:f t="shared" si="197"/>
        <x:v>0</x:v>
      </x:c>
      <x:c r="FU203">
        <x:f t="shared" si="198"/>
        <x:v>0</x:v>
      </x:c>
      <x:c r="FV203">
        <x:f t="shared" si="199"/>
        <x:v>0</x:v>
      </x:c>
      <x:c r="FW203" s="41">
        <x:f t="shared" si="200"/>
        <x:v>0</x:v>
      </x:c>
      <x:c r="FX203">
        <x:f t="shared" si="201"/>
        <x:v>0</x:v>
      </x:c>
      <x:c r="FY203">
        <x:f t="shared" si="202"/>
        <x:v>0</x:v>
      </x:c>
      <x:c r="FZ203">
        <x:f t="shared" si="203"/>
        <x:v>0</x:v>
      </x:c>
      <x:c r="GA203">
        <x:f t="shared" si="204"/>
        <x:v>0</x:v>
      </x:c>
      <x:c r="GB203">
        <x:f t="shared" si="205"/>
        <x:v>0</x:v>
      </x:c>
      <x:c r="GC203">
        <x:f t="shared" si="206"/>
        <x:v>0</x:v>
      </x:c>
      <x:c r="GD203">
        <x:f t="shared" si="207"/>
        <x:v>0</x:v>
      </x:c>
      <x:c r="GE203">
        <x:f t="shared" si="208"/>
        <x:v>0</x:v>
      </x:c>
      <x:c r="GF203">
        <x:f t="shared" si="209"/>
        <x:v>0</x:v>
      </x:c>
      <x:c r="GG203">
        <x:f t="shared" si="210"/>
        <x:v>0</x:v>
      </x:c>
      <x:c r="GH203">
        <x:f t="shared" si="211"/>
        <x:v>0</x:v>
      </x:c>
      <x:c r="GI203">
        <x:f t="shared" si="212"/>
        <x:v>0</x:v>
      </x:c>
      <x:c r="GJ203">
        <x:f t="shared" si="213"/>
        <x:v>0</x:v>
      </x:c>
      <x:c r="GK203">
        <x:f t="shared" si="214"/>
        <x:v>0</x:v>
      </x:c>
      <x:c r="GL203">
        <x:f t="shared" si="215"/>
        <x:v>0</x:v>
      </x:c>
      <x:c r="GM203">
        <x:f t="shared" si="216"/>
        <x:v>0</x:v>
      </x:c>
      <x:c r="GN203">
        <x:f t="shared" si="217"/>
        <x:v>0</x:v>
      </x:c>
      <x:c r="GO203">
        <x:f t="shared" si="218"/>
        <x:v>0</x:v>
      </x:c>
      <x:c r="GP203">
        <x:f t="shared" si="219"/>
        <x:v>0</x:v>
      </x:c>
      <x:c r="GQ203">
        <x:f t="shared" si="220"/>
        <x:v>0</x:v>
      </x:c>
      <x:c r="GR203" s="42">
        <x:f t="shared" si="221"/>
        <x:v>0</x:v>
      </x:c>
      <x:c r="GS203">
        <x:f t="shared" si="222"/>
        <x:v>0</x:v>
      </x:c>
      <x:c r="GT203">
        <x:f t="shared" si="223"/>
        <x:v>0</x:v>
      </x:c>
      <x:c r="GU203">
        <x:f t="shared" si="224"/>
        <x:v>0</x:v>
      </x:c>
      <x:c r="GV203">
        <x:f t="shared" si="225"/>
        <x:v>0</x:v>
      </x:c>
      <x:c r="GW203">
        <x:f t="shared" si="226"/>
        <x:v>0</x:v>
      </x:c>
      <x:c r="GX203">
        <x:f t="shared" si="227"/>
        <x:v>0</x:v>
      </x:c>
      <x:c r="GY203">
        <x:f t="shared" si="228"/>
        <x:v>0</x:v>
      </x:c>
      <x:c r="GZ203">
        <x:f t="shared" si="229"/>
        <x:v>0</x:v>
      </x:c>
      <x:c r="HA203">
        <x:f t="shared" si="230"/>
        <x:v>0</x:v>
      </x:c>
      <x:c r="HB203" s="42">
        <x:f t="shared" si="231"/>
        <x:v>0</x:v>
      </x:c>
      <x:c r="HC203">
        <x:f t="shared" si="232"/>
        <x:v>0</x:v>
      </x:c>
      <x:c r="HD203">
        <x:f t="shared" si="233"/>
        <x:v>0</x:v>
      </x:c>
      <x:c r="HE203">
        <x:f t="shared" si="234"/>
        <x:v>0</x:v>
      </x:c>
      <x:c r="HF203">
        <x:f t="shared" si="235"/>
        <x:v>0</x:v>
      </x:c>
      <x:c r="HG203">
        <x:f t="shared" si="236"/>
        <x:v>0</x:v>
      </x:c>
      <x:c r="HH203">
        <x:f t="shared" si="237"/>
        <x:v>0</x:v>
      </x:c>
      <x:c r="HI203">
        <x:f t="shared" si="238"/>
        <x:v>0</x:v>
      </x:c>
      <x:c r="HJ203">
        <x:f t="shared" si="239"/>
        <x:v>0</x:v>
      </x:c>
      <x:c r="HK203">
        <x:f t="shared" si="240"/>
        <x:v>0</x:v>
      </x:c>
      <x:c r="HL203">
        <x:f t="shared" si="241"/>
        <x:v>0</x:v>
      </x:c>
    </x:row>
    <x:row r="204">
      <x:c r="D204" s="74"/>
      <x:c r="EQ204">
        <x:f t="shared" si="168"/>
        <x:v>0</x:v>
      </x:c>
      <x:c r="ER204">
        <x:f t="shared" si="169"/>
        <x:v>0</x:v>
      </x:c>
      <x:c r="ES204">
        <x:f t="shared" si="170"/>
        <x:v>0</x:v>
      </x:c>
      <x:c r="ET204">
        <x:f t="shared" si="171"/>
        <x:v>0</x:v>
      </x:c>
      <x:c r="EU204">
        <x:f t="shared" si="172"/>
        <x:v>0</x:v>
      </x:c>
      <x:c r="EV204">
        <x:f t="shared" si="173"/>
        <x:v>0</x:v>
      </x:c>
      <x:c r="EW204">
        <x:f t="shared" si="174"/>
        <x:v>0</x:v>
      </x:c>
      <x:c r="EX204">
        <x:f t="shared" si="175"/>
        <x:v>0</x:v>
      </x:c>
      <x:c r="EY204">
        <x:f t="shared" si="176"/>
        <x:v>0</x:v>
      </x:c>
      <x:c r="EZ204">
        <x:f t="shared" si="177"/>
        <x:v>0</x:v>
      </x:c>
      <x:c r="FA204" s="41">
        <x:f t="shared" si="178"/>
        <x:v>0</x:v>
      </x:c>
      <x:c r="FB204">
        <x:f t="shared" si="179"/>
        <x:v>0</x:v>
      </x:c>
      <x:c r="FC204">
        <x:f t="shared" si="180"/>
        <x:v>0</x:v>
      </x:c>
      <x:c r="FD204">
        <x:f t="shared" si="181"/>
        <x:v>0</x:v>
      </x:c>
      <x:c r="FE204">
        <x:f t="shared" si="182"/>
        <x:v>0</x:v>
      </x:c>
      <x:c r="FF204">
        <x:f t="shared" si="183"/>
        <x:v>0</x:v>
      </x:c>
      <x:c r="FG204">
        <x:f t="shared" si="184"/>
        <x:v>0</x:v>
      </x:c>
      <x:c r="FH204">
        <x:f t="shared" si="185"/>
        <x:v>0</x:v>
      </x:c>
      <x:c r="FI204">
        <x:f t="shared" si="186"/>
        <x:v>0</x:v>
      </x:c>
      <x:c r="FJ204">
        <x:f t="shared" si="187"/>
        <x:v>0</x:v>
      </x:c>
      <x:c r="FK204">
        <x:f t="shared" si="188"/>
        <x:v>0</x:v>
      </x:c>
      <x:c r="FL204" s="41">
        <x:f t="shared" si="189"/>
        <x:v>0</x:v>
      </x:c>
      <x:c r="FM204">
        <x:f t="shared" si="190"/>
        <x:v>0</x:v>
      </x:c>
      <x:c r="FN204">
        <x:f t="shared" si="191"/>
        <x:v>0</x:v>
      </x:c>
      <x:c r="FO204">
        <x:f t="shared" si="192"/>
        <x:v>0</x:v>
      </x:c>
      <x:c r="FP204">
        <x:f t="shared" si="193"/>
        <x:v>0</x:v>
      </x:c>
      <x:c r="FQ204">
        <x:f t="shared" si="194"/>
        <x:v>0</x:v>
      </x:c>
      <x:c r="FR204">
        <x:f t="shared" si="195"/>
        <x:v>0</x:v>
      </x:c>
      <x:c r="FS204">
        <x:f t="shared" si="196"/>
        <x:v>0</x:v>
      </x:c>
      <x:c r="FT204">
        <x:f t="shared" si="197"/>
        <x:v>0</x:v>
      </x:c>
      <x:c r="FU204">
        <x:f t="shared" si="198"/>
        <x:v>0</x:v>
      </x:c>
      <x:c r="FV204">
        <x:f t="shared" si="199"/>
        <x:v>0</x:v>
      </x:c>
      <x:c r="FW204" s="41">
        <x:f t="shared" si="200"/>
        <x:v>0</x:v>
      </x:c>
      <x:c r="FX204">
        <x:f t="shared" si="201"/>
        <x:v>0</x:v>
      </x:c>
      <x:c r="FY204">
        <x:f t="shared" si="202"/>
        <x:v>0</x:v>
      </x:c>
      <x:c r="FZ204">
        <x:f t="shared" si="203"/>
        <x:v>0</x:v>
      </x:c>
      <x:c r="GA204">
        <x:f t="shared" si="204"/>
        <x:v>0</x:v>
      </x:c>
      <x:c r="GB204">
        <x:f t="shared" si="205"/>
        <x:v>0</x:v>
      </x:c>
      <x:c r="GC204">
        <x:f t="shared" si="206"/>
        <x:v>0</x:v>
      </x:c>
      <x:c r="GD204">
        <x:f t="shared" si="207"/>
        <x:v>0</x:v>
      </x:c>
      <x:c r="GE204">
        <x:f t="shared" si="208"/>
        <x:v>0</x:v>
      </x:c>
      <x:c r="GF204">
        <x:f t="shared" si="209"/>
        <x:v>0</x:v>
      </x:c>
      <x:c r="GG204">
        <x:f t="shared" si="210"/>
        <x:v>0</x:v>
      </x:c>
      <x:c r="GH204">
        <x:f t="shared" si="211"/>
        <x:v>0</x:v>
      </x:c>
      <x:c r="GI204">
        <x:f t="shared" si="212"/>
        <x:v>0</x:v>
      </x:c>
      <x:c r="GJ204">
        <x:f t="shared" si="213"/>
        <x:v>0</x:v>
      </x:c>
      <x:c r="GK204">
        <x:f t="shared" si="214"/>
        <x:v>0</x:v>
      </x:c>
      <x:c r="GL204">
        <x:f t="shared" si="215"/>
        <x:v>0</x:v>
      </x:c>
      <x:c r="GM204">
        <x:f t="shared" si="216"/>
        <x:v>0</x:v>
      </x:c>
      <x:c r="GN204">
        <x:f t="shared" si="217"/>
        <x:v>0</x:v>
      </x:c>
      <x:c r="GO204">
        <x:f t="shared" si="218"/>
        <x:v>0</x:v>
      </x:c>
      <x:c r="GP204">
        <x:f t="shared" si="219"/>
        <x:v>0</x:v>
      </x:c>
      <x:c r="GQ204">
        <x:f t="shared" si="220"/>
        <x:v>0</x:v>
      </x:c>
      <x:c r="GR204" s="42">
        <x:f t="shared" si="221"/>
        <x:v>0</x:v>
      </x:c>
      <x:c r="GS204">
        <x:f t="shared" si="222"/>
        <x:v>0</x:v>
      </x:c>
      <x:c r="GT204">
        <x:f t="shared" si="223"/>
        <x:v>0</x:v>
      </x:c>
      <x:c r="GU204">
        <x:f t="shared" si="224"/>
        <x:v>0</x:v>
      </x:c>
      <x:c r="GV204">
        <x:f t="shared" si="225"/>
        <x:v>0</x:v>
      </x:c>
      <x:c r="GW204">
        <x:f t="shared" si="226"/>
        <x:v>0</x:v>
      </x:c>
      <x:c r="GX204">
        <x:f t="shared" si="227"/>
        <x:v>0</x:v>
      </x:c>
      <x:c r="GY204">
        <x:f t="shared" si="228"/>
        <x:v>0</x:v>
      </x:c>
      <x:c r="GZ204">
        <x:f t="shared" si="229"/>
        <x:v>0</x:v>
      </x:c>
      <x:c r="HA204">
        <x:f t="shared" si="230"/>
        <x:v>0</x:v>
      </x:c>
      <x:c r="HB204" s="42">
        <x:f t="shared" si="231"/>
        <x:v>0</x:v>
      </x:c>
      <x:c r="HC204">
        <x:f t="shared" si="232"/>
        <x:v>0</x:v>
      </x:c>
      <x:c r="HD204">
        <x:f t="shared" si="233"/>
        <x:v>0</x:v>
      </x:c>
      <x:c r="HE204">
        <x:f t="shared" si="234"/>
        <x:v>0</x:v>
      </x:c>
      <x:c r="HF204">
        <x:f t="shared" si="235"/>
        <x:v>0</x:v>
      </x:c>
      <x:c r="HG204">
        <x:f t="shared" si="236"/>
        <x:v>0</x:v>
      </x:c>
      <x:c r="HH204">
        <x:f t="shared" si="237"/>
        <x:v>0</x:v>
      </x:c>
      <x:c r="HI204">
        <x:f t="shared" si="238"/>
        <x:v>0</x:v>
      </x:c>
      <x:c r="HJ204">
        <x:f t="shared" si="239"/>
        <x:v>0</x:v>
      </x:c>
      <x:c r="HK204">
        <x:f t="shared" si="240"/>
        <x:v>0</x:v>
      </x:c>
      <x:c r="HL204">
        <x:f t="shared" si="241"/>
        <x:v>0</x:v>
      </x:c>
    </x:row>
    <x:row r="205">
      <x:c r="D205" s="74"/>
      <x:c r="EQ205" t="n">
        <x:f t="shared" ref="EQ205:EQ268" si="242">SUMIFS(E205:EP205,E$7:EP$7,"Quiz",E$11:EP$11,EQ$11)</x:f>
        <x:v>0</x:v>
      </x:c>
      <x:c r="ER205" t="n">
        <x:f t="shared" ref="ER205:ER268" si="243">SUMIFS(E205:EP205,E$7:EP$7,"Exam",E$11:EP$11,EQ$11)</x:f>
        <x:v>0</x:v>
      </x:c>
      <x:c r="ES205" t="n">
        <x:f t="shared" ref="ES205:ES268" si="244">SUMIFS(E205:EP205,E$7:EP$7,"Rubric-Scored Output",E$11:EP$11,EQ$11)</x:f>
        <x:v>0</x:v>
      </x:c>
      <x:c r="ET205" t="n">
        <x:f t="shared" ref="ET205:ET268" si="245">SUMIFS(E205:EP205,E$7:EP$7,"Performance Tasks",E$11:EP$11,EQ$11)</x:f>
        <x:v>0</x:v>
      </x:c>
      <x:c r="EU205" t="n">
        <x:f t="shared" ref="EU205:EU268" si="246">SUMIFS(E205:EP205,E$7:EP$7,"Lab Outputs",E$11:EP$11,EQ$11)</x:f>
        <x:v>0</x:v>
      </x:c>
      <x:c r="EV205" t="n">
        <x:f t="shared" ref="EV205:EV268" si="247">SUMIFS(E205:EP205,E$7:EP$7,"Skills Demonstration/ RLE",E$11:EP$11,EQ$11)</x:f>
        <x:v>0</x:v>
      </x:c>
      <x:c r="EW205" t="n">
        <x:f t="shared" ref="EW205:EW268" si="248">SUMIFS(E205:EP205,E$7:EP$7,"Portfolio",E$11:EP$11,EQ$11)</x:f>
        <x:v>0</x:v>
      </x:c>
      <x:c r="EX205" t="n">
        <x:f t="shared" ref="EX205:EX268" si="249">SUMIFS(E205:EP205,E$7:EP$7,"Capstone",E$11:EP$11,EQ$11)</x:f>
        <x:v>0</x:v>
      </x:c>
      <x:c r="EY205" t="n">
        <x:f t="shared" ref="EY205:EY268" si="250">SUMIFS(E205:EP205,E$7:EP$7,"Culminating Project",E$11:EP$11,EQ$11)</x:f>
        <x:v>0</x:v>
      </x:c>
      <x:c r="EZ205" t="n">
        <x:f t="shared" ref="EZ205:EZ268" si="251">SUMIFS(E205:EP205,E$7:EP$7,"Panel Evaluation",E$11:EP$11,EQ$11)</x:f>
        <x:v>0</x:v>
      </x:c>
      <x:c r="FA205" s="41" t="n">
        <x:f t="shared" ref="FA205:FA268" si="252">SUMIFS(E205:EP205,E$7:EP$7,"Internship Evaluation",E$11:EP$11,EQ$11)</x:f>
        <x:v>0</x:v>
      </x:c>
      <x:c r="FB205" t="n">
        <x:f t="shared" ref="FB205:FB268" si="253">SUMIFS(E205:EP205,E$7:EP$7,"Quiz",E$11:EP$11,FB$11)</x:f>
        <x:v>0</x:v>
      </x:c>
      <x:c r="FC205" t="n">
        <x:f t="shared" ref="FC205:FC268" si="254">SUMIFS(E205:EP205,E$7:EP$7,"Exam",E$11:EP$11,FB$11)</x:f>
        <x:v>0</x:v>
      </x:c>
      <x:c r="FD205" t="n">
        <x:f t="shared" ref="FD205:FD268" si="255">SUMIFS(E205:EP205,E$7:EP$7,"Rubric-Scored Output",E$11:EP$11,FB$11)</x:f>
        <x:v>0</x:v>
      </x:c>
      <x:c r="FE205" t="n">
        <x:f t="shared" ref="FE205:FE268" si="256">SUMIFS(E205:EP205,E$7:EP$7,"Performance Tasks",E$11:EP$11,FB$11)</x:f>
        <x:v>0</x:v>
      </x:c>
      <x:c r="FF205" t="n">
        <x:f t="shared" ref="FF205:FF268" si="257">SUMIFS(E205:EP205,E$7:EP$7,"Lab Outputs",E$11:EP$11,FB$11)</x:f>
        <x:v>0</x:v>
      </x:c>
      <x:c r="FG205" t="n">
        <x:f t="shared" ref="FG205:FG268" si="258">SUMIFS(E205:EP205,E$7:EP$7,"Skills Demonstration/ RLE",E$11:EP$11,FB$11)</x:f>
        <x:v>0</x:v>
      </x:c>
      <x:c r="FH205" t="n">
        <x:f t="shared" ref="FH205:FH268" si="259">SUMIFS(E205:EP205,E$7:EP$7,"Portfolio",E$11:EP$11,FB$11)</x:f>
        <x:v>0</x:v>
      </x:c>
      <x:c r="FI205" t="n">
        <x:f t="shared" ref="FI205:FI268" si="260">SUMIFS(E205:EP205,E$7:EP$7,"Capstone",E$11:EP$11,FB$11)</x:f>
        <x:v>0</x:v>
      </x:c>
      <x:c r="FJ205" t="n">
        <x:f t="shared" ref="FJ205:FJ268" si="261">SUMIFS(E205:EP205,E$7:EP$7,"Culminating Project",E$11:EP$11,FB$11)</x:f>
        <x:v>0</x:v>
      </x:c>
      <x:c r="FK205" t="n">
        <x:f t="shared" ref="FK205:FK268" si="262">SUMIFS(E205:EP205,E$7:EP$7,"Panel Evaluation",E$11:EP$11,FB$11)</x:f>
        <x:v>0</x:v>
      </x:c>
      <x:c r="FL205" s="41" t="n">
        <x:f t="shared" ref="FL205:FL268" si="263">SUMIFS(E205:EP205,E$7:EP$7,"Internship Evaluation",E$11:EP$11,FB$11)</x:f>
        <x:v>0</x:v>
      </x:c>
      <x:c r="FM205" t="n">
        <x:f t="shared" ref="FM205:FM268" si="264">SUMIFS(E205:EP205,E$7:EP$7,"Quiz",E$11:EP$11,FM$11)</x:f>
        <x:v>0</x:v>
      </x:c>
      <x:c r="FN205" t="n">
        <x:f t="shared" ref="FN205:FN268" si="265">SUMIFS(E205:EP205,E$7:EP$7,"Exam",E$11:EP$11,FM$11)</x:f>
        <x:v>0</x:v>
      </x:c>
      <x:c r="FO205" t="n">
        <x:f t="shared" ref="FO205:FO268" si="266">SUMIFS(E205:EP205,E$7:EP$7,"Rubric-Scored Output",E$11:EP$11,FM$11)</x:f>
        <x:v>0</x:v>
      </x:c>
      <x:c r="FP205" t="n">
        <x:f t="shared" ref="FP205:FP268" si="267">SUMIFS(E205:EP205,E$7:EP$7,"Performance Tasks",E$11:EP$11,FM$11)</x:f>
        <x:v>0</x:v>
      </x:c>
      <x:c r="FQ205" t="n">
        <x:f t="shared" ref="FQ205:FQ268" si="268">SUMIFS(E205:EP205,E$7:EP$7,"Lab Outputs",E$11:EP$11,FM$11)</x:f>
        <x:v>0</x:v>
      </x:c>
      <x:c r="FR205" t="n">
        <x:f t="shared" ref="FR205:FR268" si="269">SUMIFS(E205:EP205,E$7:EP$7,"Skills Demonstration/ RLE",E$11:EP$11,FM$11)</x:f>
        <x:v>0</x:v>
      </x:c>
      <x:c r="FS205" t="n">
        <x:f t="shared" ref="FS205:FS268" si="270">SUMIFS(E205:EP205,E$7:EP$7,"Portfolio",E$11:EP$11,FM$11)</x:f>
        <x:v>0</x:v>
      </x:c>
      <x:c r="FT205" t="n">
        <x:f t="shared" ref="FT205:FT268" si="271">SUMIFS(E205:EP205,E$7:EP$7,"Capstone",E$11:EP$11,FM$11)</x:f>
        <x:v>0</x:v>
      </x:c>
      <x:c r="FU205" t="n">
        <x:f t="shared" ref="FU205:FU268" si="272">SUMIFS(E205:EP205,E$7:EP$7,"Culminating Project",E$11:EP$11,FM$11)</x:f>
        <x:v>0</x:v>
      </x:c>
      <x:c r="FV205" t="n">
        <x:f t="shared" ref="FV205:FV268" si="273">SUMIFS(E205:EP205,E$7:EP$7,"Panel Evaluation",E$11:EP$11,FM$11)</x:f>
        <x:v>0</x:v>
      </x:c>
      <x:c r="FW205" s="41" t="n">
        <x:f t="shared" ref="FW205:FW268" si="274">SUMIFS(E205:EP205,E$7:EP$7,"Internship Evaluation",E$11:EP$11,FM$11)</x:f>
        <x:v>0</x:v>
      </x:c>
      <x:c r="FX205" t="n">
        <x:f t="shared" ref="FX205:FX268" si="275">SUMIF(EQ$7:FW$7,"Quiz",EQ205:FW205)</x:f>
        <x:v>0</x:v>
      </x:c>
      <x:c r="FY205" t="n">
        <x:f t="shared" ref="FY205:FY268" si="276">SUMIF(EQ$7:FW$7,"Exam",EQ205:FW205)</x:f>
        <x:v>0</x:v>
      </x:c>
      <x:c r="FZ205" t="n">
        <x:f t="shared" ref="FZ205:FZ268" si="277">SUMIF(EQ$7:FW$7,"Rubric-Scored Output",EQ205:FW205)</x:f>
        <x:v>0</x:v>
      </x:c>
      <x:c r="GA205" t="n">
        <x:f t="shared" ref="GA205:GA268" si="278">SUMIF(EQ$7:FW$7,"Performance Tasks",EQ205:FW205)</x:f>
        <x:v>0</x:v>
      </x:c>
      <x:c r="GB205" t="n">
        <x:f t="shared" ref="GB205:GB268" si="279">SUMIF(EQ$7:FW$7,"Lab Outputs",EQ205:FW205)</x:f>
        <x:v>0</x:v>
      </x:c>
      <x:c r="GC205" t="n">
        <x:f t="shared" ref="GC205:GC268" si="280">SUMIF(EQ$7:FW$7,"Skills Demonstration/ RLE",EQ205:FW205)</x:f>
        <x:v>0</x:v>
      </x:c>
      <x:c r="GD205" t="n">
        <x:f t="shared" ref="GD205:GD268" si="281">SUMIF(EQ$7:FW$7,"Portfolio",EQ205:FW205)</x:f>
        <x:v>0</x:v>
      </x:c>
      <x:c r="GE205" t="n">
        <x:f t="shared" ref="GE205:GE268" si="282">SUMIF(EQ$7:FW$7,"Capstone",EQ205:FW205)</x:f>
        <x:v>0</x:v>
      </x:c>
      <x:c r="GF205" t="n">
        <x:f t="shared" ref="GF205:GF268" si="283">SUMIF(EQ$7:FW$7,"Culminating Project",EQ205:FW205)</x:f>
        <x:v>0</x:v>
      </x:c>
      <x:c r="GG205" t="n">
        <x:f t="shared" ref="GG205:GG268" si="284">SUMIF(EQ$7:FW$7,"Panel Evaluation",EQ205:FW205)</x:f>
        <x:v>0</x:v>
      </x:c>
      <x:c r="GH205" t="n">
        <x:f t="shared" ref="GH205:GH268" si="285">SUMIF(EQ$7:FW$7,"Internship Evaluation",EQ205:FW205)</x:f>
        <x:v>0</x:v>
      </x:c>
      <x:c r="GI205" t="n">
        <x:f t="shared" ref="GI205:GI268" si="286">SUMIFS(E205:EP205,E$8:EP$8,GI$8,E$11:EP$11,GI$11)</x:f>
        <x:v>0</x:v>
      </x:c>
      <x:c r="GJ205" t="n">
        <x:f t="shared" ref="GJ205:GJ268" si="287">SUMIFS(E205:EP205,E$8:EP$8,GJ$8,E$11:EP$11,GI$11)</x:f>
        <x:v>0</x:v>
      </x:c>
      <x:c r="GK205" t="n">
        <x:f t="shared" ref="GK205:GK268" si="288">SUMIFS(E205:EP205,E$8:EP$8,GK$8,E$11:EP$11,GI$11)</x:f>
        <x:v>0</x:v>
      </x:c>
      <x:c r="GL205" t="n">
        <x:f t="shared" ref="GL205:GL268" si="289">SUMIFS(E205:EP205,E$8:EP$8,GL$8,E$11:EP$11,GI$11)</x:f>
        <x:v>0</x:v>
      </x:c>
      <x:c r="GM205" t="n">
        <x:f t="shared" ref="GM205:GM268" si="290">SUMIFS(E205:EP205,E$8:EP$8,GM$8,E$11:EP$11,GI$11)</x:f>
        <x:v>0</x:v>
      </x:c>
      <x:c r="GN205" t="n">
        <x:f t="shared" ref="GN205:GN268" si="291">SUMIFS(E205:EP205,E$8:EP$8,GN$8,E$11:EP$11,GI$11)</x:f>
        <x:v>0</x:v>
      </x:c>
      <x:c r="GO205" t="n">
        <x:f t="shared" ref="GO205:GO268" si="292">SUMIFS(E205:EP205,E$8:EP$8,GO$8,E$11:EP$11,GI$11)</x:f>
        <x:v>0</x:v>
      </x:c>
      <x:c r="GP205" t="n">
        <x:f t="shared" ref="GP205:GP268" si="293">SUMIFS(E205:EP205,E$8:EP$8,GP$8,E$11:EP$11,GI$11)</x:f>
        <x:v>0</x:v>
      </x:c>
      <x:c r="GQ205" t="n">
        <x:f t="shared" ref="GQ205:GQ268" si="294">SUMIFS(E205:EP205,E$8:EP$8,GQ$8,E$11:EP$11,GI$11)</x:f>
        <x:v>0</x:v>
      </x:c>
      <x:c r="GR205" s="42" t="n">
        <x:f t="shared" ref="GR205:GR268" si="295">SUMIFS(E205:EP205,E$8:EP$8,GR$8,E$11:EP$11,GI$11)</x:f>
        <x:v>0</x:v>
      </x:c>
      <x:c r="GS205" t="n">
        <x:f t="shared" ref="GS205:GS268" si="296">SUMIFS(E205:EP205,E$8:EP$8,GI$8,E$11:EP$11,GS$11)</x:f>
        <x:v>0</x:v>
      </x:c>
      <x:c r="GT205" t="n">
        <x:f t="shared" ref="GT205:GT268" si="297">SUMIFS(E205:EP205,E$8:EP$8,GJ$8,E$11:EP$11,GS$11)</x:f>
        <x:v>0</x:v>
      </x:c>
      <x:c r="GU205" t="n">
        <x:f t="shared" ref="GU205:GU268" si="298">SUMIFS(E205:EP205,E$8:EP$8,GK$8,E$11:EP$11,GS$11)</x:f>
        <x:v>0</x:v>
      </x:c>
      <x:c r="GV205" t="n">
        <x:f t="shared" ref="GV205:GV268" si="299">SUMIFS(E205:EP205,E$8:EP$8,GL$8,E$11:EP$11,GS$11)</x:f>
        <x:v>0</x:v>
      </x:c>
      <x:c r="GW205" t="n">
        <x:f t="shared" ref="GW205:GW268" si="300">SUMIFS(E205:EP205,E$8:EP$8,GM$8,E$11:EP$11,GS$11)</x:f>
        <x:v>0</x:v>
      </x:c>
      <x:c r="GX205" t="n">
        <x:f t="shared" ref="GX205:GX268" si="301">SUMIFS(E205:EP205,E$8:EP$8,GN$8,E$11:EP$11,GS$11)</x:f>
        <x:v>0</x:v>
      </x:c>
      <x:c r="GY205" t="n">
        <x:f t="shared" ref="GY205:GY268" si="302">SUMIFS(E205:EP205,E$8:EP$8,GY$8,E$11:EP$11,GS$11)</x:f>
        <x:v>0</x:v>
      </x:c>
      <x:c r="GZ205" t="n">
        <x:f t="shared" ref="GZ205:GZ268" si="303">SUMIFS(E205:EP205,E$8:EP$8,GZ$8,E$11:EP$11,GS$11)</x:f>
        <x:v>0</x:v>
      </x:c>
      <x:c r="HA205" t="n">
        <x:f t="shared" ref="HA205:HA268" si="304">SUMIFS(E205:EP205,E$8:EP$8,HA$8,E$11:EP$11,GS$11)</x:f>
        <x:v>0</x:v>
      </x:c>
      <x:c r="HB205" s="42" t="n">
        <x:f t="shared" ref="HB205:HB268" si="305">SUMIFS(E205:EP205,E$8:EP$8,GR$8,E$11:EP$11,GS$11)</x:f>
        <x:v>0</x:v>
      </x:c>
      <x:c r="HC205" t="n">
        <x:f t="shared" ref="HC205:HC268" si="306">SUMIFS(E205:EP205,E$8:EP$8,GI$8,E$11:EP$11,HC$11)</x:f>
        <x:v>0</x:v>
      </x:c>
      <x:c r="HD205" t="n">
        <x:f t="shared" ref="HD205:HD268" si="307">SUMIFS(E205:EP205,E$8:EP$8,GJ$8,E$11:EP$11,HC$11)</x:f>
        <x:v>0</x:v>
      </x:c>
      <x:c r="HE205" t="n">
        <x:f t="shared" ref="HE205:HE268" si="308">SUMIFS(E205:EP205,E$8:EP$8,GK$8,E$11:EP$11,HC$11)</x:f>
        <x:v>0</x:v>
      </x:c>
      <x:c r="HF205" t="n">
        <x:f t="shared" ref="HF205:HF268" si="309">SUMIFS(E205:EP205,E$8:EP$8,GL$8,E$11:EP$11,HC$11)</x:f>
        <x:v>0</x:v>
      </x:c>
      <x:c r="HG205" t="n">
        <x:f t="shared" ref="HG205:HG268" si="310">SUMIFS(E205:EP205,E$8:EP$8,GM$8,E$11:EP$11,HC$11)</x:f>
        <x:v>0</x:v>
      </x:c>
      <x:c r="HH205" t="n">
        <x:f t="shared" ref="HH205:HH268" si="311">SUMIFS(E205:EP205,E$8:EP$8,GN$8,E$11:EP$11,HC$11)</x:f>
        <x:v>0</x:v>
      </x:c>
      <x:c r="HI205" t="n">
        <x:f t="shared" ref="HI205:HI268" si="312">SUMIFS(E205:EP205,E$8:EP$8,GO$8,E$11:EP$11,HC$11)</x:f>
        <x:v>0</x:v>
      </x:c>
      <x:c r="HJ205" t="n">
        <x:f t="shared" ref="HJ205:HJ268" si="313">SUMIFS(E205:EP205,E$8:EP$8,GP$8,E$11:EP$11,HC$11)</x:f>
        <x:v>0</x:v>
      </x:c>
      <x:c r="HK205" t="n">
        <x:f t="shared" ref="HK205:HK268" si="314">SUMIFS(E205:EP205,E$8:EP$8,GQ$8,E$11:EP$11,HC$11)</x:f>
        <x:v>0</x:v>
      </x:c>
      <x:c r="HL205" t="n">
        <x:f t="shared" ref="HL205:HL268" si="315">SUMIFS(E205:EP205,E$8:EP$8,GR$8,E$11:EP$11,HC$11)</x:f>
        <x:v>0</x:v>
      </x:c>
    </x:row>
    <x:row r="206">
      <x:c r="D206" s="74"/>
      <x:c r="EQ206">
        <x:f t="shared" si="242"/>
        <x:v>0</x:v>
      </x:c>
      <x:c r="ER206">
        <x:f t="shared" si="243"/>
        <x:v>0</x:v>
      </x:c>
      <x:c r="ES206">
        <x:f t="shared" si="244"/>
        <x:v>0</x:v>
      </x:c>
      <x:c r="ET206">
        <x:f t="shared" si="245"/>
        <x:v>0</x:v>
      </x:c>
      <x:c r="EU206">
        <x:f t="shared" si="246"/>
        <x:v>0</x:v>
      </x:c>
      <x:c r="EV206">
        <x:f t="shared" si="247"/>
        <x:v>0</x:v>
      </x:c>
      <x:c r="EW206">
        <x:f t="shared" si="248"/>
        <x:v>0</x:v>
      </x:c>
      <x:c r="EX206">
        <x:f t="shared" si="249"/>
        <x:v>0</x:v>
      </x:c>
      <x:c r="EY206">
        <x:f t="shared" si="250"/>
        <x:v>0</x:v>
      </x:c>
      <x:c r="EZ206">
        <x:f t="shared" si="251"/>
        <x:v>0</x:v>
      </x:c>
      <x:c r="FA206" s="41">
        <x:f t="shared" si="252"/>
        <x:v>0</x:v>
      </x:c>
      <x:c r="FB206">
        <x:f t="shared" si="253"/>
        <x:v>0</x:v>
      </x:c>
      <x:c r="FC206">
        <x:f t="shared" si="254"/>
        <x:v>0</x:v>
      </x:c>
      <x:c r="FD206">
        <x:f t="shared" si="255"/>
        <x:v>0</x:v>
      </x:c>
      <x:c r="FE206">
        <x:f t="shared" si="256"/>
        <x:v>0</x:v>
      </x:c>
      <x:c r="FF206">
        <x:f t="shared" si="257"/>
        <x:v>0</x:v>
      </x:c>
      <x:c r="FG206">
        <x:f t="shared" si="258"/>
        <x:v>0</x:v>
      </x:c>
      <x:c r="FH206">
        <x:f t="shared" si="259"/>
        <x:v>0</x:v>
      </x:c>
      <x:c r="FI206">
        <x:f t="shared" si="260"/>
        <x:v>0</x:v>
      </x:c>
      <x:c r="FJ206">
        <x:f t="shared" si="261"/>
        <x:v>0</x:v>
      </x:c>
      <x:c r="FK206">
        <x:f t="shared" si="262"/>
        <x:v>0</x:v>
      </x:c>
      <x:c r="FL206" s="41">
        <x:f t="shared" si="263"/>
        <x:v>0</x:v>
      </x:c>
      <x:c r="FM206">
        <x:f t="shared" si="264"/>
        <x:v>0</x:v>
      </x:c>
      <x:c r="FN206">
        <x:f t="shared" si="265"/>
        <x:v>0</x:v>
      </x:c>
      <x:c r="FO206">
        <x:f t="shared" si="266"/>
        <x:v>0</x:v>
      </x:c>
      <x:c r="FP206">
        <x:f t="shared" si="267"/>
        <x:v>0</x:v>
      </x:c>
      <x:c r="FQ206">
        <x:f t="shared" si="268"/>
        <x:v>0</x:v>
      </x:c>
      <x:c r="FR206">
        <x:f t="shared" si="269"/>
        <x:v>0</x:v>
      </x:c>
      <x:c r="FS206">
        <x:f t="shared" si="270"/>
        <x:v>0</x:v>
      </x:c>
      <x:c r="FT206">
        <x:f t="shared" si="271"/>
        <x:v>0</x:v>
      </x:c>
      <x:c r="FU206">
        <x:f t="shared" si="272"/>
        <x:v>0</x:v>
      </x:c>
      <x:c r="FV206">
        <x:f t="shared" si="273"/>
        <x:v>0</x:v>
      </x:c>
      <x:c r="FW206" s="41">
        <x:f t="shared" si="274"/>
        <x:v>0</x:v>
      </x:c>
      <x:c r="FX206">
        <x:f t="shared" si="275"/>
        <x:v>0</x:v>
      </x:c>
      <x:c r="FY206">
        <x:f t="shared" si="276"/>
        <x:v>0</x:v>
      </x:c>
      <x:c r="FZ206">
        <x:f t="shared" si="277"/>
        <x:v>0</x:v>
      </x:c>
      <x:c r="GA206">
        <x:f t="shared" si="278"/>
        <x:v>0</x:v>
      </x:c>
      <x:c r="GB206">
        <x:f t="shared" si="279"/>
        <x:v>0</x:v>
      </x:c>
      <x:c r="GC206">
        <x:f t="shared" si="280"/>
        <x:v>0</x:v>
      </x:c>
      <x:c r="GD206">
        <x:f t="shared" si="281"/>
        <x:v>0</x:v>
      </x:c>
      <x:c r="GE206">
        <x:f t="shared" si="282"/>
        <x:v>0</x:v>
      </x:c>
      <x:c r="GF206">
        <x:f t="shared" si="283"/>
        <x:v>0</x:v>
      </x:c>
      <x:c r="GG206">
        <x:f t="shared" si="284"/>
        <x:v>0</x:v>
      </x:c>
      <x:c r="GH206">
        <x:f t="shared" si="285"/>
        <x:v>0</x:v>
      </x:c>
      <x:c r="GI206">
        <x:f t="shared" si="286"/>
        <x:v>0</x:v>
      </x:c>
      <x:c r="GJ206">
        <x:f t="shared" si="287"/>
        <x:v>0</x:v>
      </x:c>
      <x:c r="GK206">
        <x:f t="shared" si="288"/>
        <x:v>0</x:v>
      </x:c>
      <x:c r="GL206">
        <x:f t="shared" si="289"/>
        <x:v>0</x:v>
      </x:c>
      <x:c r="GM206">
        <x:f t="shared" si="290"/>
        <x:v>0</x:v>
      </x:c>
      <x:c r="GN206">
        <x:f t="shared" si="291"/>
        <x:v>0</x:v>
      </x:c>
      <x:c r="GO206">
        <x:f t="shared" si="292"/>
        <x:v>0</x:v>
      </x:c>
      <x:c r="GP206">
        <x:f t="shared" si="293"/>
        <x:v>0</x:v>
      </x:c>
      <x:c r="GQ206">
        <x:f t="shared" si="294"/>
        <x:v>0</x:v>
      </x:c>
      <x:c r="GR206" s="42">
        <x:f t="shared" si="295"/>
        <x:v>0</x:v>
      </x:c>
      <x:c r="GS206">
        <x:f t="shared" si="296"/>
        <x:v>0</x:v>
      </x:c>
      <x:c r="GT206">
        <x:f t="shared" si="297"/>
        <x:v>0</x:v>
      </x:c>
      <x:c r="GU206">
        <x:f t="shared" si="298"/>
        <x:v>0</x:v>
      </x:c>
      <x:c r="GV206">
        <x:f t="shared" si="299"/>
        <x:v>0</x:v>
      </x:c>
      <x:c r="GW206">
        <x:f t="shared" si="300"/>
        <x:v>0</x:v>
      </x:c>
      <x:c r="GX206">
        <x:f t="shared" si="301"/>
        <x:v>0</x:v>
      </x:c>
      <x:c r="GY206">
        <x:f t="shared" si="302"/>
        <x:v>0</x:v>
      </x:c>
      <x:c r="GZ206">
        <x:f t="shared" si="303"/>
        <x:v>0</x:v>
      </x:c>
      <x:c r="HA206">
        <x:f t="shared" si="304"/>
        <x:v>0</x:v>
      </x:c>
      <x:c r="HB206" s="42">
        <x:f t="shared" si="305"/>
        <x:v>0</x:v>
      </x:c>
      <x:c r="HC206">
        <x:f t="shared" si="306"/>
        <x:v>0</x:v>
      </x:c>
      <x:c r="HD206">
        <x:f t="shared" si="307"/>
        <x:v>0</x:v>
      </x:c>
      <x:c r="HE206">
        <x:f t="shared" si="308"/>
        <x:v>0</x:v>
      </x:c>
      <x:c r="HF206">
        <x:f t="shared" si="309"/>
        <x:v>0</x:v>
      </x:c>
      <x:c r="HG206">
        <x:f t="shared" si="310"/>
        <x:v>0</x:v>
      </x:c>
      <x:c r="HH206">
        <x:f t="shared" si="311"/>
        <x:v>0</x:v>
      </x:c>
      <x:c r="HI206">
        <x:f t="shared" si="312"/>
        <x:v>0</x:v>
      </x:c>
      <x:c r="HJ206">
        <x:f t="shared" si="313"/>
        <x:v>0</x:v>
      </x:c>
      <x:c r="HK206">
        <x:f t="shared" si="314"/>
        <x:v>0</x:v>
      </x:c>
      <x:c r="HL206">
        <x:f t="shared" si="315"/>
        <x:v>0</x:v>
      </x:c>
    </x:row>
    <x:row r="207">
      <x:c r="D207" s="74"/>
      <x:c r="EQ207">
        <x:f t="shared" si="242"/>
        <x:v>0</x:v>
      </x:c>
      <x:c r="ER207">
        <x:f t="shared" si="243"/>
        <x:v>0</x:v>
      </x:c>
      <x:c r="ES207">
        <x:f t="shared" si="244"/>
        <x:v>0</x:v>
      </x:c>
      <x:c r="ET207">
        <x:f t="shared" si="245"/>
        <x:v>0</x:v>
      </x:c>
      <x:c r="EU207">
        <x:f t="shared" si="246"/>
        <x:v>0</x:v>
      </x:c>
      <x:c r="EV207">
        <x:f t="shared" si="247"/>
        <x:v>0</x:v>
      </x:c>
      <x:c r="EW207">
        <x:f t="shared" si="248"/>
        <x:v>0</x:v>
      </x:c>
      <x:c r="EX207">
        <x:f t="shared" si="249"/>
        <x:v>0</x:v>
      </x:c>
      <x:c r="EY207">
        <x:f t="shared" si="250"/>
        <x:v>0</x:v>
      </x:c>
      <x:c r="EZ207">
        <x:f t="shared" si="251"/>
        <x:v>0</x:v>
      </x:c>
      <x:c r="FA207" s="41">
        <x:f t="shared" si="252"/>
        <x:v>0</x:v>
      </x:c>
      <x:c r="FB207">
        <x:f t="shared" si="253"/>
        <x:v>0</x:v>
      </x:c>
      <x:c r="FC207">
        <x:f t="shared" si="254"/>
        <x:v>0</x:v>
      </x:c>
      <x:c r="FD207">
        <x:f t="shared" si="255"/>
        <x:v>0</x:v>
      </x:c>
      <x:c r="FE207">
        <x:f t="shared" si="256"/>
        <x:v>0</x:v>
      </x:c>
      <x:c r="FF207">
        <x:f t="shared" si="257"/>
        <x:v>0</x:v>
      </x:c>
      <x:c r="FG207">
        <x:f t="shared" si="258"/>
        <x:v>0</x:v>
      </x:c>
      <x:c r="FH207">
        <x:f t="shared" si="259"/>
        <x:v>0</x:v>
      </x:c>
      <x:c r="FI207">
        <x:f t="shared" si="260"/>
        <x:v>0</x:v>
      </x:c>
      <x:c r="FJ207">
        <x:f t="shared" si="261"/>
        <x:v>0</x:v>
      </x:c>
      <x:c r="FK207">
        <x:f t="shared" si="262"/>
        <x:v>0</x:v>
      </x:c>
      <x:c r="FL207" s="41">
        <x:f t="shared" si="263"/>
        <x:v>0</x:v>
      </x:c>
      <x:c r="FM207">
        <x:f t="shared" si="264"/>
        <x:v>0</x:v>
      </x:c>
      <x:c r="FN207">
        <x:f t="shared" si="265"/>
        <x:v>0</x:v>
      </x:c>
      <x:c r="FO207">
        <x:f t="shared" si="266"/>
        <x:v>0</x:v>
      </x:c>
      <x:c r="FP207">
        <x:f t="shared" si="267"/>
        <x:v>0</x:v>
      </x:c>
      <x:c r="FQ207">
        <x:f t="shared" si="268"/>
        <x:v>0</x:v>
      </x:c>
      <x:c r="FR207">
        <x:f t="shared" si="269"/>
        <x:v>0</x:v>
      </x:c>
      <x:c r="FS207">
        <x:f t="shared" si="270"/>
        <x:v>0</x:v>
      </x:c>
      <x:c r="FT207">
        <x:f t="shared" si="271"/>
        <x:v>0</x:v>
      </x:c>
      <x:c r="FU207">
        <x:f t="shared" si="272"/>
        <x:v>0</x:v>
      </x:c>
      <x:c r="FV207">
        <x:f t="shared" si="273"/>
        <x:v>0</x:v>
      </x:c>
      <x:c r="FW207" s="41">
        <x:f t="shared" si="274"/>
        <x:v>0</x:v>
      </x:c>
      <x:c r="FX207">
        <x:f t="shared" si="275"/>
        <x:v>0</x:v>
      </x:c>
      <x:c r="FY207">
        <x:f t="shared" si="276"/>
        <x:v>0</x:v>
      </x:c>
      <x:c r="FZ207">
        <x:f t="shared" si="277"/>
        <x:v>0</x:v>
      </x:c>
      <x:c r="GA207">
        <x:f t="shared" si="278"/>
        <x:v>0</x:v>
      </x:c>
      <x:c r="GB207">
        <x:f t="shared" si="279"/>
        <x:v>0</x:v>
      </x:c>
      <x:c r="GC207">
        <x:f t="shared" si="280"/>
        <x:v>0</x:v>
      </x:c>
      <x:c r="GD207">
        <x:f t="shared" si="281"/>
        <x:v>0</x:v>
      </x:c>
      <x:c r="GE207">
        <x:f t="shared" si="282"/>
        <x:v>0</x:v>
      </x:c>
      <x:c r="GF207">
        <x:f t="shared" si="283"/>
        <x:v>0</x:v>
      </x:c>
      <x:c r="GG207">
        <x:f t="shared" si="284"/>
        <x:v>0</x:v>
      </x:c>
      <x:c r="GH207">
        <x:f t="shared" si="285"/>
        <x:v>0</x:v>
      </x:c>
      <x:c r="GI207">
        <x:f t="shared" si="286"/>
        <x:v>0</x:v>
      </x:c>
      <x:c r="GJ207">
        <x:f t="shared" si="287"/>
        <x:v>0</x:v>
      </x:c>
      <x:c r="GK207">
        <x:f t="shared" si="288"/>
        <x:v>0</x:v>
      </x:c>
      <x:c r="GL207">
        <x:f t="shared" si="289"/>
        <x:v>0</x:v>
      </x:c>
      <x:c r="GM207">
        <x:f t="shared" si="290"/>
        <x:v>0</x:v>
      </x:c>
      <x:c r="GN207">
        <x:f t="shared" si="291"/>
        <x:v>0</x:v>
      </x:c>
      <x:c r="GO207">
        <x:f t="shared" si="292"/>
        <x:v>0</x:v>
      </x:c>
      <x:c r="GP207">
        <x:f t="shared" si="293"/>
        <x:v>0</x:v>
      </x:c>
      <x:c r="GQ207">
        <x:f t="shared" si="294"/>
        <x:v>0</x:v>
      </x:c>
      <x:c r="GR207" s="42">
        <x:f t="shared" si="295"/>
        <x:v>0</x:v>
      </x:c>
      <x:c r="GS207">
        <x:f t="shared" si="296"/>
        <x:v>0</x:v>
      </x:c>
      <x:c r="GT207">
        <x:f t="shared" si="297"/>
        <x:v>0</x:v>
      </x:c>
      <x:c r="GU207">
        <x:f t="shared" si="298"/>
        <x:v>0</x:v>
      </x:c>
      <x:c r="GV207">
        <x:f t="shared" si="299"/>
        <x:v>0</x:v>
      </x:c>
      <x:c r="GW207">
        <x:f t="shared" si="300"/>
        <x:v>0</x:v>
      </x:c>
      <x:c r="GX207">
        <x:f t="shared" si="301"/>
        <x:v>0</x:v>
      </x:c>
      <x:c r="GY207">
        <x:f t="shared" si="302"/>
        <x:v>0</x:v>
      </x:c>
      <x:c r="GZ207">
        <x:f t="shared" si="303"/>
        <x:v>0</x:v>
      </x:c>
      <x:c r="HA207">
        <x:f t="shared" si="304"/>
        <x:v>0</x:v>
      </x:c>
      <x:c r="HB207" s="42">
        <x:f t="shared" si="305"/>
        <x:v>0</x:v>
      </x:c>
      <x:c r="HC207">
        <x:f t="shared" si="306"/>
        <x:v>0</x:v>
      </x:c>
      <x:c r="HD207">
        <x:f t="shared" si="307"/>
        <x:v>0</x:v>
      </x:c>
      <x:c r="HE207">
        <x:f t="shared" si="308"/>
        <x:v>0</x:v>
      </x:c>
      <x:c r="HF207">
        <x:f t="shared" si="309"/>
        <x:v>0</x:v>
      </x:c>
      <x:c r="HG207">
        <x:f t="shared" si="310"/>
        <x:v>0</x:v>
      </x:c>
      <x:c r="HH207">
        <x:f t="shared" si="311"/>
        <x:v>0</x:v>
      </x:c>
      <x:c r="HI207">
        <x:f t="shared" si="312"/>
        <x:v>0</x:v>
      </x:c>
      <x:c r="HJ207">
        <x:f t="shared" si="313"/>
        <x:v>0</x:v>
      </x:c>
      <x:c r="HK207">
        <x:f t="shared" si="314"/>
        <x:v>0</x:v>
      </x:c>
      <x:c r="HL207">
        <x:f t="shared" si="315"/>
        <x:v>0</x:v>
      </x:c>
    </x:row>
    <x:row r="208">
      <x:c r="D208" s="74"/>
      <x:c r="EQ208">
        <x:f t="shared" si="242"/>
        <x:v>0</x:v>
      </x:c>
      <x:c r="ER208">
        <x:f t="shared" si="243"/>
        <x:v>0</x:v>
      </x:c>
      <x:c r="ES208">
        <x:f t="shared" si="244"/>
        <x:v>0</x:v>
      </x:c>
      <x:c r="ET208">
        <x:f t="shared" si="245"/>
        <x:v>0</x:v>
      </x:c>
      <x:c r="EU208">
        <x:f t="shared" si="246"/>
        <x:v>0</x:v>
      </x:c>
      <x:c r="EV208">
        <x:f t="shared" si="247"/>
        <x:v>0</x:v>
      </x:c>
      <x:c r="EW208">
        <x:f t="shared" si="248"/>
        <x:v>0</x:v>
      </x:c>
      <x:c r="EX208">
        <x:f t="shared" si="249"/>
        <x:v>0</x:v>
      </x:c>
      <x:c r="EY208">
        <x:f t="shared" si="250"/>
        <x:v>0</x:v>
      </x:c>
      <x:c r="EZ208">
        <x:f t="shared" si="251"/>
        <x:v>0</x:v>
      </x:c>
      <x:c r="FA208" s="41">
        <x:f t="shared" si="252"/>
        <x:v>0</x:v>
      </x:c>
      <x:c r="FB208">
        <x:f t="shared" si="253"/>
        <x:v>0</x:v>
      </x:c>
      <x:c r="FC208">
        <x:f t="shared" si="254"/>
        <x:v>0</x:v>
      </x:c>
      <x:c r="FD208">
        <x:f t="shared" si="255"/>
        <x:v>0</x:v>
      </x:c>
      <x:c r="FE208">
        <x:f t="shared" si="256"/>
        <x:v>0</x:v>
      </x:c>
      <x:c r="FF208">
        <x:f t="shared" si="257"/>
        <x:v>0</x:v>
      </x:c>
      <x:c r="FG208">
        <x:f t="shared" si="258"/>
        <x:v>0</x:v>
      </x:c>
      <x:c r="FH208">
        <x:f t="shared" si="259"/>
        <x:v>0</x:v>
      </x:c>
      <x:c r="FI208">
        <x:f t="shared" si="260"/>
        <x:v>0</x:v>
      </x:c>
      <x:c r="FJ208">
        <x:f t="shared" si="261"/>
        <x:v>0</x:v>
      </x:c>
      <x:c r="FK208">
        <x:f t="shared" si="262"/>
        <x:v>0</x:v>
      </x:c>
      <x:c r="FL208" s="41">
        <x:f t="shared" si="263"/>
        <x:v>0</x:v>
      </x:c>
      <x:c r="FM208">
        <x:f t="shared" si="264"/>
        <x:v>0</x:v>
      </x:c>
      <x:c r="FN208">
        <x:f t="shared" si="265"/>
        <x:v>0</x:v>
      </x:c>
      <x:c r="FO208">
        <x:f t="shared" si="266"/>
        <x:v>0</x:v>
      </x:c>
      <x:c r="FP208">
        <x:f t="shared" si="267"/>
        <x:v>0</x:v>
      </x:c>
      <x:c r="FQ208">
        <x:f t="shared" si="268"/>
        <x:v>0</x:v>
      </x:c>
      <x:c r="FR208">
        <x:f t="shared" si="269"/>
        <x:v>0</x:v>
      </x:c>
      <x:c r="FS208">
        <x:f t="shared" si="270"/>
        <x:v>0</x:v>
      </x:c>
      <x:c r="FT208">
        <x:f t="shared" si="271"/>
        <x:v>0</x:v>
      </x:c>
      <x:c r="FU208">
        <x:f t="shared" si="272"/>
        <x:v>0</x:v>
      </x:c>
      <x:c r="FV208">
        <x:f t="shared" si="273"/>
        <x:v>0</x:v>
      </x:c>
      <x:c r="FW208" s="41">
        <x:f t="shared" si="274"/>
        <x:v>0</x:v>
      </x:c>
      <x:c r="FX208">
        <x:f t="shared" si="275"/>
        <x:v>0</x:v>
      </x:c>
      <x:c r="FY208">
        <x:f t="shared" si="276"/>
        <x:v>0</x:v>
      </x:c>
      <x:c r="FZ208">
        <x:f t="shared" si="277"/>
        <x:v>0</x:v>
      </x:c>
      <x:c r="GA208">
        <x:f t="shared" si="278"/>
        <x:v>0</x:v>
      </x:c>
      <x:c r="GB208">
        <x:f t="shared" si="279"/>
        <x:v>0</x:v>
      </x:c>
      <x:c r="GC208">
        <x:f t="shared" si="280"/>
        <x:v>0</x:v>
      </x:c>
      <x:c r="GD208">
        <x:f t="shared" si="281"/>
        <x:v>0</x:v>
      </x:c>
      <x:c r="GE208">
        <x:f t="shared" si="282"/>
        <x:v>0</x:v>
      </x:c>
      <x:c r="GF208">
        <x:f t="shared" si="283"/>
        <x:v>0</x:v>
      </x:c>
      <x:c r="GG208">
        <x:f t="shared" si="284"/>
        <x:v>0</x:v>
      </x:c>
      <x:c r="GH208">
        <x:f t="shared" si="285"/>
        <x:v>0</x:v>
      </x:c>
      <x:c r="GI208">
        <x:f t="shared" si="286"/>
        <x:v>0</x:v>
      </x:c>
      <x:c r="GJ208">
        <x:f t="shared" si="287"/>
        <x:v>0</x:v>
      </x:c>
      <x:c r="GK208">
        <x:f t="shared" si="288"/>
        <x:v>0</x:v>
      </x:c>
      <x:c r="GL208">
        <x:f t="shared" si="289"/>
        <x:v>0</x:v>
      </x:c>
      <x:c r="GM208">
        <x:f t="shared" si="290"/>
        <x:v>0</x:v>
      </x:c>
      <x:c r="GN208">
        <x:f t="shared" si="291"/>
        <x:v>0</x:v>
      </x:c>
      <x:c r="GO208">
        <x:f t="shared" si="292"/>
        <x:v>0</x:v>
      </x:c>
      <x:c r="GP208">
        <x:f t="shared" si="293"/>
        <x:v>0</x:v>
      </x:c>
      <x:c r="GQ208">
        <x:f t="shared" si="294"/>
        <x:v>0</x:v>
      </x:c>
      <x:c r="GR208" s="42">
        <x:f t="shared" si="295"/>
        <x:v>0</x:v>
      </x:c>
      <x:c r="GS208">
        <x:f t="shared" si="296"/>
        <x:v>0</x:v>
      </x:c>
      <x:c r="GT208">
        <x:f t="shared" si="297"/>
        <x:v>0</x:v>
      </x:c>
      <x:c r="GU208">
        <x:f t="shared" si="298"/>
        <x:v>0</x:v>
      </x:c>
      <x:c r="GV208">
        <x:f t="shared" si="299"/>
        <x:v>0</x:v>
      </x:c>
      <x:c r="GW208">
        <x:f t="shared" si="300"/>
        <x:v>0</x:v>
      </x:c>
      <x:c r="GX208">
        <x:f t="shared" si="301"/>
        <x:v>0</x:v>
      </x:c>
      <x:c r="GY208">
        <x:f t="shared" si="302"/>
        <x:v>0</x:v>
      </x:c>
      <x:c r="GZ208">
        <x:f t="shared" si="303"/>
        <x:v>0</x:v>
      </x:c>
      <x:c r="HA208">
        <x:f t="shared" si="304"/>
        <x:v>0</x:v>
      </x:c>
      <x:c r="HB208" s="42">
        <x:f t="shared" si="305"/>
        <x:v>0</x:v>
      </x:c>
      <x:c r="HC208">
        <x:f t="shared" si="306"/>
        <x:v>0</x:v>
      </x:c>
      <x:c r="HD208">
        <x:f t="shared" si="307"/>
        <x:v>0</x:v>
      </x:c>
      <x:c r="HE208">
        <x:f t="shared" si="308"/>
        <x:v>0</x:v>
      </x:c>
      <x:c r="HF208">
        <x:f t="shared" si="309"/>
        <x:v>0</x:v>
      </x:c>
      <x:c r="HG208">
        <x:f t="shared" si="310"/>
        <x:v>0</x:v>
      </x:c>
      <x:c r="HH208">
        <x:f t="shared" si="311"/>
        <x:v>0</x:v>
      </x:c>
      <x:c r="HI208">
        <x:f t="shared" si="312"/>
        <x:v>0</x:v>
      </x:c>
      <x:c r="HJ208">
        <x:f t="shared" si="313"/>
        <x:v>0</x:v>
      </x:c>
      <x:c r="HK208">
        <x:f t="shared" si="314"/>
        <x:v>0</x:v>
      </x:c>
      <x:c r="HL208">
        <x:f t="shared" si="315"/>
        <x:v>0</x:v>
      </x:c>
    </x:row>
    <x:row r="209">
      <x:c r="D209" s="74"/>
      <x:c r="EQ209">
        <x:f t="shared" si="242"/>
        <x:v>0</x:v>
      </x:c>
      <x:c r="ER209">
        <x:f t="shared" si="243"/>
        <x:v>0</x:v>
      </x:c>
      <x:c r="ES209">
        <x:f t="shared" si="244"/>
        <x:v>0</x:v>
      </x:c>
      <x:c r="ET209">
        <x:f t="shared" si="245"/>
        <x:v>0</x:v>
      </x:c>
      <x:c r="EU209">
        <x:f t="shared" si="246"/>
        <x:v>0</x:v>
      </x:c>
      <x:c r="EV209">
        <x:f t="shared" si="247"/>
        <x:v>0</x:v>
      </x:c>
      <x:c r="EW209">
        <x:f t="shared" si="248"/>
        <x:v>0</x:v>
      </x:c>
      <x:c r="EX209">
        <x:f t="shared" si="249"/>
        <x:v>0</x:v>
      </x:c>
      <x:c r="EY209">
        <x:f t="shared" si="250"/>
        <x:v>0</x:v>
      </x:c>
      <x:c r="EZ209">
        <x:f t="shared" si="251"/>
        <x:v>0</x:v>
      </x:c>
      <x:c r="FA209" s="41">
        <x:f t="shared" si="252"/>
        <x:v>0</x:v>
      </x:c>
      <x:c r="FB209">
        <x:f t="shared" si="253"/>
        <x:v>0</x:v>
      </x:c>
      <x:c r="FC209">
        <x:f t="shared" si="254"/>
        <x:v>0</x:v>
      </x:c>
      <x:c r="FD209">
        <x:f t="shared" si="255"/>
        <x:v>0</x:v>
      </x:c>
      <x:c r="FE209">
        <x:f t="shared" si="256"/>
        <x:v>0</x:v>
      </x:c>
      <x:c r="FF209">
        <x:f t="shared" si="257"/>
        <x:v>0</x:v>
      </x:c>
      <x:c r="FG209">
        <x:f t="shared" si="258"/>
        <x:v>0</x:v>
      </x:c>
      <x:c r="FH209">
        <x:f t="shared" si="259"/>
        <x:v>0</x:v>
      </x:c>
      <x:c r="FI209">
        <x:f t="shared" si="260"/>
        <x:v>0</x:v>
      </x:c>
      <x:c r="FJ209">
        <x:f t="shared" si="261"/>
        <x:v>0</x:v>
      </x:c>
      <x:c r="FK209">
        <x:f t="shared" si="262"/>
        <x:v>0</x:v>
      </x:c>
      <x:c r="FL209" s="41">
        <x:f t="shared" si="263"/>
        <x:v>0</x:v>
      </x:c>
      <x:c r="FM209">
        <x:f t="shared" si="264"/>
        <x:v>0</x:v>
      </x:c>
      <x:c r="FN209">
        <x:f t="shared" si="265"/>
        <x:v>0</x:v>
      </x:c>
      <x:c r="FO209">
        <x:f t="shared" si="266"/>
        <x:v>0</x:v>
      </x:c>
      <x:c r="FP209">
        <x:f t="shared" si="267"/>
        <x:v>0</x:v>
      </x:c>
      <x:c r="FQ209">
        <x:f t="shared" si="268"/>
        <x:v>0</x:v>
      </x:c>
      <x:c r="FR209">
        <x:f t="shared" si="269"/>
        <x:v>0</x:v>
      </x:c>
      <x:c r="FS209">
        <x:f t="shared" si="270"/>
        <x:v>0</x:v>
      </x:c>
      <x:c r="FT209">
        <x:f t="shared" si="271"/>
        <x:v>0</x:v>
      </x:c>
      <x:c r="FU209">
        <x:f t="shared" si="272"/>
        <x:v>0</x:v>
      </x:c>
      <x:c r="FV209">
        <x:f t="shared" si="273"/>
        <x:v>0</x:v>
      </x:c>
      <x:c r="FW209" s="41">
        <x:f t="shared" si="274"/>
        <x:v>0</x:v>
      </x:c>
      <x:c r="FX209">
        <x:f t="shared" si="275"/>
        <x:v>0</x:v>
      </x:c>
      <x:c r="FY209">
        <x:f t="shared" si="276"/>
        <x:v>0</x:v>
      </x:c>
      <x:c r="FZ209">
        <x:f t="shared" si="277"/>
        <x:v>0</x:v>
      </x:c>
      <x:c r="GA209">
        <x:f t="shared" si="278"/>
        <x:v>0</x:v>
      </x:c>
      <x:c r="GB209">
        <x:f t="shared" si="279"/>
        <x:v>0</x:v>
      </x:c>
      <x:c r="GC209">
        <x:f t="shared" si="280"/>
        <x:v>0</x:v>
      </x:c>
      <x:c r="GD209">
        <x:f t="shared" si="281"/>
        <x:v>0</x:v>
      </x:c>
      <x:c r="GE209">
        <x:f t="shared" si="282"/>
        <x:v>0</x:v>
      </x:c>
      <x:c r="GF209">
        <x:f t="shared" si="283"/>
        <x:v>0</x:v>
      </x:c>
      <x:c r="GG209">
        <x:f t="shared" si="284"/>
        <x:v>0</x:v>
      </x:c>
      <x:c r="GH209">
        <x:f t="shared" si="285"/>
        <x:v>0</x:v>
      </x:c>
      <x:c r="GI209">
        <x:f t="shared" si="286"/>
        <x:v>0</x:v>
      </x:c>
      <x:c r="GJ209">
        <x:f t="shared" si="287"/>
        <x:v>0</x:v>
      </x:c>
      <x:c r="GK209">
        <x:f t="shared" si="288"/>
        <x:v>0</x:v>
      </x:c>
      <x:c r="GL209">
        <x:f t="shared" si="289"/>
        <x:v>0</x:v>
      </x:c>
      <x:c r="GM209">
        <x:f t="shared" si="290"/>
        <x:v>0</x:v>
      </x:c>
      <x:c r="GN209">
        <x:f t="shared" si="291"/>
        <x:v>0</x:v>
      </x:c>
      <x:c r="GO209">
        <x:f t="shared" si="292"/>
        <x:v>0</x:v>
      </x:c>
      <x:c r="GP209">
        <x:f t="shared" si="293"/>
        <x:v>0</x:v>
      </x:c>
      <x:c r="GQ209">
        <x:f t="shared" si="294"/>
        <x:v>0</x:v>
      </x:c>
      <x:c r="GR209" s="42">
        <x:f t="shared" si="295"/>
        <x:v>0</x:v>
      </x:c>
      <x:c r="GS209">
        <x:f t="shared" si="296"/>
        <x:v>0</x:v>
      </x:c>
      <x:c r="GT209">
        <x:f t="shared" si="297"/>
        <x:v>0</x:v>
      </x:c>
      <x:c r="GU209">
        <x:f t="shared" si="298"/>
        <x:v>0</x:v>
      </x:c>
      <x:c r="GV209">
        <x:f t="shared" si="299"/>
        <x:v>0</x:v>
      </x:c>
      <x:c r="GW209">
        <x:f t="shared" si="300"/>
        <x:v>0</x:v>
      </x:c>
      <x:c r="GX209">
        <x:f t="shared" si="301"/>
        <x:v>0</x:v>
      </x:c>
      <x:c r="GY209">
        <x:f t="shared" si="302"/>
        <x:v>0</x:v>
      </x:c>
      <x:c r="GZ209">
        <x:f t="shared" si="303"/>
        <x:v>0</x:v>
      </x:c>
      <x:c r="HA209">
        <x:f t="shared" si="304"/>
        <x:v>0</x:v>
      </x:c>
      <x:c r="HB209" s="42">
        <x:f t="shared" si="305"/>
        <x:v>0</x:v>
      </x:c>
      <x:c r="HC209">
        <x:f t="shared" si="306"/>
        <x:v>0</x:v>
      </x:c>
      <x:c r="HD209">
        <x:f t="shared" si="307"/>
        <x:v>0</x:v>
      </x:c>
      <x:c r="HE209">
        <x:f t="shared" si="308"/>
        <x:v>0</x:v>
      </x:c>
      <x:c r="HF209">
        <x:f t="shared" si="309"/>
        <x:v>0</x:v>
      </x:c>
      <x:c r="HG209">
        <x:f t="shared" si="310"/>
        <x:v>0</x:v>
      </x:c>
      <x:c r="HH209">
        <x:f t="shared" si="311"/>
        <x:v>0</x:v>
      </x:c>
      <x:c r="HI209">
        <x:f t="shared" si="312"/>
        <x:v>0</x:v>
      </x:c>
      <x:c r="HJ209">
        <x:f t="shared" si="313"/>
        <x:v>0</x:v>
      </x:c>
      <x:c r="HK209">
        <x:f t="shared" si="314"/>
        <x:v>0</x:v>
      </x:c>
      <x:c r="HL209">
        <x:f t="shared" si="315"/>
        <x:v>0</x:v>
      </x:c>
    </x:row>
    <x:row r="210">
      <x:c r="D210" s="74"/>
      <x:c r="EQ210">
        <x:f t="shared" si="242"/>
        <x:v>0</x:v>
      </x:c>
      <x:c r="ER210">
        <x:f t="shared" si="243"/>
        <x:v>0</x:v>
      </x:c>
      <x:c r="ES210">
        <x:f t="shared" si="244"/>
        <x:v>0</x:v>
      </x:c>
      <x:c r="ET210">
        <x:f t="shared" si="245"/>
        <x:v>0</x:v>
      </x:c>
      <x:c r="EU210">
        <x:f t="shared" si="246"/>
        <x:v>0</x:v>
      </x:c>
      <x:c r="EV210">
        <x:f t="shared" si="247"/>
        <x:v>0</x:v>
      </x:c>
      <x:c r="EW210">
        <x:f t="shared" si="248"/>
        <x:v>0</x:v>
      </x:c>
      <x:c r="EX210">
        <x:f t="shared" si="249"/>
        <x:v>0</x:v>
      </x:c>
      <x:c r="EY210">
        <x:f t="shared" si="250"/>
        <x:v>0</x:v>
      </x:c>
      <x:c r="EZ210">
        <x:f t="shared" si="251"/>
        <x:v>0</x:v>
      </x:c>
      <x:c r="FA210" s="41">
        <x:f t="shared" si="252"/>
        <x:v>0</x:v>
      </x:c>
      <x:c r="FB210">
        <x:f t="shared" si="253"/>
        <x:v>0</x:v>
      </x:c>
      <x:c r="FC210">
        <x:f t="shared" si="254"/>
        <x:v>0</x:v>
      </x:c>
      <x:c r="FD210">
        <x:f t="shared" si="255"/>
        <x:v>0</x:v>
      </x:c>
      <x:c r="FE210">
        <x:f t="shared" si="256"/>
        <x:v>0</x:v>
      </x:c>
      <x:c r="FF210">
        <x:f t="shared" si="257"/>
        <x:v>0</x:v>
      </x:c>
      <x:c r="FG210">
        <x:f t="shared" si="258"/>
        <x:v>0</x:v>
      </x:c>
      <x:c r="FH210">
        <x:f t="shared" si="259"/>
        <x:v>0</x:v>
      </x:c>
      <x:c r="FI210">
        <x:f t="shared" si="260"/>
        <x:v>0</x:v>
      </x:c>
      <x:c r="FJ210">
        <x:f t="shared" si="261"/>
        <x:v>0</x:v>
      </x:c>
      <x:c r="FK210">
        <x:f t="shared" si="262"/>
        <x:v>0</x:v>
      </x:c>
      <x:c r="FL210" s="41">
        <x:f t="shared" si="263"/>
        <x:v>0</x:v>
      </x:c>
      <x:c r="FM210">
        <x:f t="shared" si="264"/>
        <x:v>0</x:v>
      </x:c>
      <x:c r="FN210">
        <x:f t="shared" si="265"/>
        <x:v>0</x:v>
      </x:c>
      <x:c r="FO210">
        <x:f t="shared" si="266"/>
        <x:v>0</x:v>
      </x:c>
      <x:c r="FP210">
        <x:f t="shared" si="267"/>
        <x:v>0</x:v>
      </x:c>
      <x:c r="FQ210">
        <x:f t="shared" si="268"/>
        <x:v>0</x:v>
      </x:c>
      <x:c r="FR210">
        <x:f t="shared" si="269"/>
        <x:v>0</x:v>
      </x:c>
      <x:c r="FS210">
        <x:f t="shared" si="270"/>
        <x:v>0</x:v>
      </x:c>
      <x:c r="FT210">
        <x:f t="shared" si="271"/>
        <x:v>0</x:v>
      </x:c>
      <x:c r="FU210">
        <x:f t="shared" si="272"/>
        <x:v>0</x:v>
      </x:c>
      <x:c r="FV210">
        <x:f t="shared" si="273"/>
        <x:v>0</x:v>
      </x:c>
      <x:c r="FW210" s="41">
        <x:f t="shared" si="274"/>
        <x:v>0</x:v>
      </x:c>
      <x:c r="FX210">
        <x:f t="shared" si="275"/>
        <x:v>0</x:v>
      </x:c>
      <x:c r="FY210">
        <x:f t="shared" si="276"/>
        <x:v>0</x:v>
      </x:c>
      <x:c r="FZ210">
        <x:f t="shared" si="277"/>
        <x:v>0</x:v>
      </x:c>
      <x:c r="GA210">
        <x:f t="shared" si="278"/>
        <x:v>0</x:v>
      </x:c>
      <x:c r="GB210">
        <x:f t="shared" si="279"/>
        <x:v>0</x:v>
      </x:c>
      <x:c r="GC210">
        <x:f t="shared" si="280"/>
        <x:v>0</x:v>
      </x:c>
      <x:c r="GD210">
        <x:f t="shared" si="281"/>
        <x:v>0</x:v>
      </x:c>
      <x:c r="GE210">
        <x:f t="shared" si="282"/>
        <x:v>0</x:v>
      </x:c>
      <x:c r="GF210">
        <x:f t="shared" si="283"/>
        <x:v>0</x:v>
      </x:c>
      <x:c r="GG210">
        <x:f t="shared" si="284"/>
        <x:v>0</x:v>
      </x:c>
      <x:c r="GH210">
        <x:f t="shared" si="285"/>
        <x:v>0</x:v>
      </x:c>
      <x:c r="GI210">
        <x:f t="shared" si="286"/>
        <x:v>0</x:v>
      </x:c>
      <x:c r="GJ210">
        <x:f t="shared" si="287"/>
        <x:v>0</x:v>
      </x:c>
      <x:c r="GK210">
        <x:f t="shared" si="288"/>
        <x:v>0</x:v>
      </x:c>
      <x:c r="GL210">
        <x:f t="shared" si="289"/>
        <x:v>0</x:v>
      </x:c>
      <x:c r="GM210">
        <x:f t="shared" si="290"/>
        <x:v>0</x:v>
      </x:c>
      <x:c r="GN210">
        <x:f t="shared" si="291"/>
        <x:v>0</x:v>
      </x:c>
      <x:c r="GO210">
        <x:f t="shared" si="292"/>
        <x:v>0</x:v>
      </x:c>
      <x:c r="GP210">
        <x:f t="shared" si="293"/>
        <x:v>0</x:v>
      </x:c>
      <x:c r="GQ210">
        <x:f t="shared" si="294"/>
        <x:v>0</x:v>
      </x:c>
      <x:c r="GR210" s="42">
        <x:f t="shared" si="295"/>
        <x:v>0</x:v>
      </x:c>
      <x:c r="GS210">
        <x:f t="shared" si="296"/>
        <x:v>0</x:v>
      </x:c>
      <x:c r="GT210">
        <x:f t="shared" si="297"/>
        <x:v>0</x:v>
      </x:c>
      <x:c r="GU210">
        <x:f t="shared" si="298"/>
        <x:v>0</x:v>
      </x:c>
      <x:c r="GV210">
        <x:f t="shared" si="299"/>
        <x:v>0</x:v>
      </x:c>
      <x:c r="GW210">
        <x:f t="shared" si="300"/>
        <x:v>0</x:v>
      </x:c>
      <x:c r="GX210">
        <x:f t="shared" si="301"/>
        <x:v>0</x:v>
      </x:c>
      <x:c r="GY210">
        <x:f t="shared" si="302"/>
        <x:v>0</x:v>
      </x:c>
      <x:c r="GZ210">
        <x:f t="shared" si="303"/>
        <x:v>0</x:v>
      </x:c>
      <x:c r="HA210">
        <x:f t="shared" si="304"/>
        <x:v>0</x:v>
      </x:c>
      <x:c r="HB210" s="42">
        <x:f t="shared" si="305"/>
        <x:v>0</x:v>
      </x:c>
      <x:c r="HC210">
        <x:f t="shared" si="306"/>
        <x:v>0</x:v>
      </x:c>
      <x:c r="HD210">
        <x:f t="shared" si="307"/>
        <x:v>0</x:v>
      </x:c>
      <x:c r="HE210">
        <x:f t="shared" si="308"/>
        <x:v>0</x:v>
      </x:c>
      <x:c r="HF210">
        <x:f t="shared" si="309"/>
        <x:v>0</x:v>
      </x:c>
      <x:c r="HG210">
        <x:f t="shared" si="310"/>
        <x:v>0</x:v>
      </x:c>
      <x:c r="HH210">
        <x:f t="shared" si="311"/>
        <x:v>0</x:v>
      </x:c>
      <x:c r="HI210">
        <x:f t="shared" si="312"/>
        <x:v>0</x:v>
      </x:c>
      <x:c r="HJ210">
        <x:f t="shared" si="313"/>
        <x:v>0</x:v>
      </x:c>
      <x:c r="HK210">
        <x:f t="shared" si="314"/>
        <x:v>0</x:v>
      </x:c>
      <x:c r="HL210">
        <x:f t="shared" si="315"/>
        <x:v>0</x:v>
      </x:c>
    </x:row>
    <x:row r="211">
      <x:c r="D211" s="74"/>
      <x:c r="EQ211">
        <x:f t="shared" si="242"/>
        <x:v>0</x:v>
      </x:c>
      <x:c r="ER211">
        <x:f t="shared" si="243"/>
        <x:v>0</x:v>
      </x:c>
      <x:c r="ES211">
        <x:f t="shared" si="244"/>
        <x:v>0</x:v>
      </x:c>
      <x:c r="ET211">
        <x:f t="shared" si="245"/>
        <x:v>0</x:v>
      </x:c>
      <x:c r="EU211">
        <x:f t="shared" si="246"/>
        <x:v>0</x:v>
      </x:c>
      <x:c r="EV211">
        <x:f t="shared" si="247"/>
        <x:v>0</x:v>
      </x:c>
      <x:c r="EW211">
        <x:f t="shared" si="248"/>
        <x:v>0</x:v>
      </x:c>
      <x:c r="EX211">
        <x:f t="shared" si="249"/>
        <x:v>0</x:v>
      </x:c>
      <x:c r="EY211">
        <x:f t="shared" si="250"/>
        <x:v>0</x:v>
      </x:c>
      <x:c r="EZ211">
        <x:f t="shared" si="251"/>
        <x:v>0</x:v>
      </x:c>
      <x:c r="FA211" s="41">
        <x:f t="shared" si="252"/>
        <x:v>0</x:v>
      </x:c>
      <x:c r="FB211">
        <x:f t="shared" si="253"/>
        <x:v>0</x:v>
      </x:c>
      <x:c r="FC211">
        <x:f t="shared" si="254"/>
        <x:v>0</x:v>
      </x:c>
      <x:c r="FD211">
        <x:f t="shared" si="255"/>
        <x:v>0</x:v>
      </x:c>
      <x:c r="FE211">
        <x:f t="shared" si="256"/>
        <x:v>0</x:v>
      </x:c>
      <x:c r="FF211">
        <x:f t="shared" si="257"/>
        <x:v>0</x:v>
      </x:c>
      <x:c r="FG211">
        <x:f t="shared" si="258"/>
        <x:v>0</x:v>
      </x:c>
      <x:c r="FH211">
        <x:f t="shared" si="259"/>
        <x:v>0</x:v>
      </x:c>
      <x:c r="FI211">
        <x:f t="shared" si="260"/>
        <x:v>0</x:v>
      </x:c>
      <x:c r="FJ211">
        <x:f t="shared" si="261"/>
        <x:v>0</x:v>
      </x:c>
      <x:c r="FK211">
        <x:f t="shared" si="262"/>
        <x:v>0</x:v>
      </x:c>
      <x:c r="FL211" s="41">
        <x:f t="shared" si="263"/>
        <x:v>0</x:v>
      </x:c>
      <x:c r="FM211">
        <x:f t="shared" si="264"/>
        <x:v>0</x:v>
      </x:c>
      <x:c r="FN211">
        <x:f t="shared" si="265"/>
        <x:v>0</x:v>
      </x:c>
      <x:c r="FO211">
        <x:f t="shared" si="266"/>
        <x:v>0</x:v>
      </x:c>
      <x:c r="FP211">
        <x:f t="shared" si="267"/>
        <x:v>0</x:v>
      </x:c>
      <x:c r="FQ211">
        <x:f t="shared" si="268"/>
        <x:v>0</x:v>
      </x:c>
      <x:c r="FR211">
        <x:f t="shared" si="269"/>
        <x:v>0</x:v>
      </x:c>
      <x:c r="FS211">
        <x:f t="shared" si="270"/>
        <x:v>0</x:v>
      </x:c>
      <x:c r="FT211">
        <x:f t="shared" si="271"/>
        <x:v>0</x:v>
      </x:c>
      <x:c r="FU211">
        <x:f t="shared" si="272"/>
        <x:v>0</x:v>
      </x:c>
      <x:c r="FV211">
        <x:f t="shared" si="273"/>
        <x:v>0</x:v>
      </x:c>
      <x:c r="FW211" s="41">
        <x:f t="shared" si="274"/>
        <x:v>0</x:v>
      </x:c>
      <x:c r="FX211">
        <x:f t="shared" si="275"/>
        <x:v>0</x:v>
      </x:c>
      <x:c r="FY211">
        <x:f t="shared" si="276"/>
        <x:v>0</x:v>
      </x:c>
      <x:c r="FZ211">
        <x:f t="shared" si="277"/>
        <x:v>0</x:v>
      </x:c>
      <x:c r="GA211">
        <x:f t="shared" si="278"/>
        <x:v>0</x:v>
      </x:c>
      <x:c r="GB211">
        <x:f t="shared" si="279"/>
        <x:v>0</x:v>
      </x:c>
      <x:c r="GC211">
        <x:f t="shared" si="280"/>
        <x:v>0</x:v>
      </x:c>
      <x:c r="GD211">
        <x:f t="shared" si="281"/>
        <x:v>0</x:v>
      </x:c>
      <x:c r="GE211">
        <x:f t="shared" si="282"/>
        <x:v>0</x:v>
      </x:c>
      <x:c r="GF211">
        <x:f t="shared" si="283"/>
        <x:v>0</x:v>
      </x:c>
      <x:c r="GG211">
        <x:f t="shared" si="284"/>
        <x:v>0</x:v>
      </x:c>
      <x:c r="GH211">
        <x:f t="shared" si="285"/>
        <x:v>0</x:v>
      </x:c>
      <x:c r="GI211">
        <x:f t="shared" si="286"/>
        <x:v>0</x:v>
      </x:c>
      <x:c r="GJ211">
        <x:f t="shared" si="287"/>
        <x:v>0</x:v>
      </x:c>
      <x:c r="GK211">
        <x:f t="shared" si="288"/>
        <x:v>0</x:v>
      </x:c>
      <x:c r="GL211">
        <x:f t="shared" si="289"/>
        <x:v>0</x:v>
      </x:c>
      <x:c r="GM211">
        <x:f t="shared" si="290"/>
        <x:v>0</x:v>
      </x:c>
      <x:c r="GN211">
        <x:f t="shared" si="291"/>
        <x:v>0</x:v>
      </x:c>
      <x:c r="GO211">
        <x:f t="shared" si="292"/>
        <x:v>0</x:v>
      </x:c>
      <x:c r="GP211">
        <x:f t="shared" si="293"/>
        <x:v>0</x:v>
      </x:c>
      <x:c r="GQ211">
        <x:f t="shared" si="294"/>
        <x:v>0</x:v>
      </x:c>
      <x:c r="GR211" s="42">
        <x:f t="shared" si="295"/>
        <x:v>0</x:v>
      </x:c>
      <x:c r="GS211">
        <x:f t="shared" si="296"/>
        <x:v>0</x:v>
      </x:c>
      <x:c r="GT211">
        <x:f t="shared" si="297"/>
        <x:v>0</x:v>
      </x:c>
      <x:c r="GU211">
        <x:f t="shared" si="298"/>
        <x:v>0</x:v>
      </x:c>
      <x:c r="GV211">
        <x:f t="shared" si="299"/>
        <x:v>0</x:v>
      </x:c>
      <x:c r="GW211">
        <x:f t="shared" si="300"/>
        <x:v>0</x:v>
      </x:c>
      <x:c r="GX211">
        <x:f t="shared" si="301"/>
        <x:v>0</x:v>
      </x:c>
      <x:c r="GY211">
        <x:f t="shared" si="302"/>
        <x:v>0</x:v>
      </x:c>
      <x:c r="GZ211">
        <x:f t="shared" si="303"/>
        <x:v>0</x:v>
      </x:c>
      <x:c r="HA211">
        <x:f t="shared" si="304"/>
        <x:v>0</x:v>
      </x:c>
      <x:c r="HB211" s="42">
        <x:f t="shared" si="305"/>
        <x:v>0</x:v>
      </x:c>
      <x:c r="HC211">
        <x:f t="shared" si="306"/>
        <x:v>0</x:v>
      </x:c>
      <x:c r="HD211">
        <x:f t="shared" si="307"/>
        <x:v>0</x:v>
      </x:c>
      <x:c r="HE211">
        <x:f t="shared" si="308"/>
        <x:v>0</x:v>
      </x:c>
      <x:c r="HF211">
        <x:f t="shared" si="309"/>
        <x:v>0</x:v>
      </x:c>
      <x:c r="HG211">
        <x:f t="shared" si="310"/>
        <x:v>0</x:v>
      </x:c>
      <x:c r="HH211">
        <x:f t="shared" si="311"/>
        <x:v>0</x:v>
      </x:c>
      <x:c r="HI211">
        <x:f t="shared" si="312"/>
        <x:v>0</x:v>
      </x:c>
      <x:c r="HJ211">
        <x:f t="shared" si="313"/>
        <x:v>0</x:v>
      </x:c>
      <x:c r="HK211">
        <x:f t="shared" si="314"/>
        <x:v>0</x:v>
      </x:c>
      <x:c r="HL211">
        <x:f t="shared" si="315"/>
        <x:v>0</x:v>
      </x:c>
    </x:row>
    <x:row r="212">
      <x:c r="D212" s="74"/>
      <x:c r="EQ212">
        <x:f t="shared" si="242"/>
        <x:v>0</x:v>
      </x:c>
      <x:c r="ER212">
        <x:f t="shared" si="243"/>
        <x:v>0</x:v>
      </x:c>
      <x:c r="ES212">
        <x:f t="shared" si="244"/>
        <x:v>0</x:v>
      </x:c>
      <x:c r="ET212">
        <x:f t="shared" si="245"/>
        <x:v>0</x:v>
      </x:c>
      <x:c r="EU212">
        <x:f t="shared" si="246"/>
        <x:v>0</x:v>
      </x:c>
      <x:c r="EV212">
        <x:f t="shared" si="247"/>
        <x:v>0</x:v>
      </x:c>
      <x:c r="EW212">
        <x:f t="shared" si="248"/>
        <x:v>0</x:v>
      </x:c>
      <x:c r="EX212">
        <x:f t="shared" si="249"/>
        <x:v>0</x:v>
      </x:c>
      <x:c r="EY212">
        <x:f t="shared" si="250"/>
        <x:v>0</x:v>
      </x:c>
      <x:c r="EZ212">
        <x:f t="shared" si="251"/>
        <x:v>0</x:v>
      </x:c>
      <x:c r="FA212" s="41">
        <x:f t="shared" si="252"/>
        <x:v>0</x:v>
      </x:c>
      <x:c r="FB212">
        <x:f t="shared" si="253"/>
        <x:v>0</x:v>
      </x:c>
      <x:c r="FC212">
        <x:f t="shared" si="254"/>
        <x:v>0</x:v>
      </x:c>
      <x:c r="FD212">
        <x:f t="shared" si="255"/>
        <x:v>0</x:v>
      </x:c>
      <x:c r="FE212">
        <x:f t="shared" si="256"/>
        <x:v>0</x:v>
      </x:c>
      <x:c r="FF212">
        <x:f t="shared" si="257"/>
        <x:v>0</x:v>
      </x:c>
      <x:c r="FG212">
        <x:f t="shared" si="258"/>
        <x:v>0</x:v>
      </x:c>
      <x:c r="FH212">
        <x:f t="shared" si="259"/>
        <x:v>0</x:v>
      </x:c>
      <x:c r="FI212">
        <x:f t="shared" si="260"/>
        <x:v>0</x:v>
      </x:c>
      <x:c r="FJ212">
        <x:f t="shared" si="261"/>
        <x:v>0</x:v>
      </x:c>
      <x:c r="FK212">
        <x:f t="shared" si="262"/>
        <x:v>0</x:v>
      </x:c>
      <x:c r="FL212" s="41">
        <x:f t="shared" si="263"/>
        <x:v>0</x:v>
      </x:c>
      <x:c r="FM212">
        <x:f t="shared" si="264"/>
        <x:v>0</x:v>
      </x:c>
      <x:c r="FN212">
        <x:f t="shared" si="265"/>
        <x:v>0</x:v>
      </x:c>
      <x:c r="FO212">
        <x:f t="shared" si="266"/>
        <x:v>0</x:v>
      </x:c>
      <x:c r="FP212">
        <x:f t="shared" si="267"/>
        <x:v>0</x:v>
      </x:c>
      <x:c r="FQ212">
        <x:f t="shared" si="268"/>
        <x:v>0</x:v>
      </x:c>
      <x:c r="FR212">
        <x:f t="shared" si="269"/>
        <x:v>0</x:v>
      </x:c>
      <x:c r="FS212">
        <x:f t="shared" si="270"/>
        <x:v>0</x:v>
      </x:c>
      <x:c r="FT212">
        <x:f t="shared" si="271"/>
        <x:v>0</x:v>
      </x:c>
      <x:c r="FU212">
        <x:f t="shared" si="272"/>
        <x:v>0</x:v>
      </x:c>
      <x:c r="FV212">
        <x:f t="shared" si="273"/>
        <x:v>0</x:v>
      </x:c>
      <x:c r="FW212" s="41">
        <x:f t="shared" si="274"/>
        <x:v>0</x:v>
      </x:c>
      <x:c r="FX212">
        <x:f t="shared" si="275"/>
        <x:v>0</x:v>
      </x:c>
      <x:c r="FY212">
        <x:f t="shared" si="276"/>
        <x:v>0</x:v>
      </x:c>
      <x:c r="FZ212">
        <x:f t="shared" si="277"/>
        <x:v>0</x:v>
      </x:c>
      <x:c r="GA212">
        <x:f t="shared" si="278"/>
        <x:v>0</x:v>
      </x:c>
      <x:c r="GB212">
        <x:f t="shared" si="279"/>
        <x:v>0</x:v>
      </x:c>
      <x:c r="GC212">
        <x:f t="shared" si="280"/>
        <x:v>0</x:v>
      </x:c>
      <x:c r="GD212">
        <x:f t="shared" si="281"/>
        <x:v>0</x:v>
      </x:c>
      <x:c r="GE212">
        <x:f t="shared" si="282"/>
        <x:v>0</x:v>
      </x:c>
      <x:c r="GF212">
        <x:f t="shared" si="283"/>
        <x:v>0</x:v>
      </x:c>
      <x:c r="GG212">
        <x:f t="shared" si="284"/>
        <x:v>0</x:v>
      </x:c>
      <x:c r="GH212">
        <x:f t="shared" si="285"/>
        <x:v>0</x:v>
      </x:c>
      <x:c r="GI212">
        <x:f t="shared" si="286"/>
        <x:v>0</x:v>
      </x:c>
      <x:c r="GJ212">
        <x:f t="shared" si="287"/>
        <x:v>0</x:v>
      </x:c>
      <x:c r="GK212">
        <x:f t="shared" si="288"/>
        <x:v>0</x:v>
      </x:c>
      <x:c r="GL212">
        <x:f t="shared" si="289"/>
        <x:v>0</x:v>
      </x:c>
      <x:c r="GM212">
        <x:f t="shared" si="290"/>
        <x:v>0</x:v>
      </x:c>
      <x:c r="GN212">
        <x:f t="shared" si="291"/>
        <x:v>0</x:v>
      </x:c>
      <x:c r="GO212">
        <x:f t="shared" si="292"/>
        <x:v>0</x:v>
      </x:c>
      <x:c r="GP212">
        <x:f t="shared" si="293"/>
        <x:v>0</x:v>
      </x:c>
      <x:c r="GQ212">
        <x:f t="shared" si="294"/>
        <x:v>0</x:v>
      </x:c>
      <x:c r="GR212" s="42">
        <x:f t="shared" si="295"/>
        <x:v>0</x:v>
      </x:c>
      <x:c r="GS212">
        <x:f t="shared" si="296"/>
        <x:v>0</x:v>
      </x:c>
      <x:c r="GT212">
        <x:f t="shared" si="297"/>
        <x:v>0</x:v>
      </x:c>
      <x:c r="GU212">
        <x:f t="shared" si="298"/>
        <x:v>0</x:v>
      </x:c>
      <x:c r="GV212">
        <x:f t="shared" si="299"/>
        <x:v>0</x:v>
      </x:c>
      <x:c r="GW212">
        <x:f t="shared" si="300"/>
        <x:v>0</x:v>
      </x:c>
      <x:c r="GX212">
        <x:f t="shared" si="301"/>
        <x:v>0</x:v>
      </x:c>
      <x:c r="GY212">
        <x:f t="shared" si="302"/>
        <x:v>0</x:v>
      </x:c>
      <x:c r="GZ212">
        <x:f t="shared" si="303"/>
        <x:v>0</x:v>
      </x:c>
      <x:c r="HA212">
        <x:f t="shared" si="304"/>
        <x:v>0</x:v>
      </x:c>
      <x:c r="HB212" s="42">
        <x:f t="shared" si="305"/>
        <x:v>0</x:v>
      </x:c>
      <x:c r="HC212">
        <x:f t="shared" si="306"/>
        <x:v>0</x:v>
      </x:c>
      <x:c r="HD212">
        <x:f t="shared" si="307"/>
        <x:v>0</x:v>
      </x:c>
      <x:c r="HE212">
        <x:f t="shared" si="308"/>
        <x:v>0</x:v>
      </x:c>
      <x:c r="HF212">
        <x:f t="shared" si="309"/>
        <x:v>0</x:v>
      </x:c>
      <x:c r="HG212">
        <x:f t="shared" si="310"/>
        <x:v>0</x:v>
      </x:c>
      <x:c r="HH212">
        <x:f t="shared" si="311"/>
        <x:v>0</x:v>
      </x:c>
      <x:c r="HI212">
        <x:f t="shared" si="312"/>
        <x:v>0</x:v>
      </x:c>
      <x:c r="HJ212">
        <x:f t="shared" si="313"/>
        <x:v>0</x:v>
      </x:c>
      <x:c r="HK212">
        <x:f t="shared" si="314"/>
        <x:v>0</x:v>
      </x:c>
      <x:c r="HL212">
        <x:f t="shared" si="315"/>
        <x:v>0</x:v>
      </x:c>
    </x:row>
    <x:row r="213">
      <x:c r="D213" s="74"/>
      <x:c r="EQ213">
        <x:f t="shared" si="242"/>
        <x:v>0</x:v>
      </x:c>
      <x:c r="ER213">
        <x:f t="shared" si="243"/>
        <x:v>0</x:v>
      </x:c>
      <x:c r="ES213">
        <x:f t="shared" si="244"/>
        <x:v>0</x:v>
      </x:c>
      <x:c r="ET213">
        <x:f t="shared" si="245"/>
        <x:v>0</x:v>
      </x:c>
      <x:c r="EU213">
        <x:f t="shared" si="246"/>
        <x:v>0</x:v>
      </x:c>
      <x:c r="EV213">
        <x:f t="shared" si="247"/>
        <x:v>0</x:v>
      </x:c>
      <x:c r="EW213">
        <x:f t="shared" si="248"/>
        <x:v>0</x:v>
      </x:c>
      <x:c r="EX213">
        <x:f t="shared" si="249"/>
        <x:v>0</x:v>
      </x:c>
      <x:c r="EY213">
        <x:f t="shared" si="250"/>
        <x:v>0</x:v>
      </x:c>
      <x:c r="EZ213">
        <x:f t="shared" si="251"/>
        <x:v>0</x:v>
      </x:c>
      <x:c r="FA213" s="41">
        <x:f t="shared" si="252"/>
        <x:v>0</x:v>
      </x:c>
      <x:c r="FB213">
        <x:f t="shared" si="253"/>
        <x:v>0</x:v>
      </x:c>
      <x:c r="FC213">
        <x:f t="shared" si="254"/>
        <x:v>0</x:v>
      </x:c>
      <x:c r="FD213">
        <x:f t="shared" si="255"/>
        <x:v>0</x:v>
      </x:c>
      <x:c r="FE213">
        <x:f t="shared" si="256"/>
        <x:v>0</x:v>
      </x:c>
      <x:c r="FF213">
        <x:f t="shared" si="257"/>
        <x:v>0</x:v>
      </x:c>
      <x:c r="FG213">
        <x:f t="shared" si="258"/>
        <x:v>0</x:v>
      </x:c>
      <x:c r="FH213">
        <x:f t="shared" si="259"/>
        <x:v>0</x:v>
      </x:c>
      <x:c r="FI213">
        <x:f t="shared" si="260"/>
        <x:v>0</x:v>
      </x:c>
      <x:c r="FJ213">
        <x:f t="shared" si="261"/>
        <x:v>0</x:v>
      </x:c>
      <x:c r="FK213">
        <x:f t="shared" si="262"/>
        <x:v>0</x:v>
      </x:c>
      <x:c r="FL213" s="41">
        <x:f t="shared" si="263"/>
        <x:v>0</x:v>
      </x:c>
      <x:c r="FM213">
        <x:f t="shared" si="264"/>
        <x:v>0</x:v>
      </x:c>
      <x:c r="FN213">
        <x:f t="shared" si="265"/>
        <x:v>0</x:v>
      </x:c>
      <x:c r="FO213">
        <x:f t="shared" si="266"/>
        <x:v>0</x:v>
      </x:c>
      <x:c r="FP213">
        <x:f t="shared" si="267"/>
        <x:v>0</x:v>
      </x:c>
      <x:c r="FQ213">
        <x:f t="shared" si="268"/>
        <x:v>0</x:v>
      </x:c>
      <x:c r="FR213">
        <x:f t="shared" si="269"/>
        <x:v>0</x:v>
      </x:c>
      <x:c r="FS213">
        <x:f t="shared" si="270"/>
        <x:v>0</x:v>
      </x:c>
      <x:c r="FT213">
        <x:f t="shared" si="271"/>
        <x:v>0</x:v>
      </x:c>
      <x:c r="FU213">
        <x:f t="shared" si="272"/>
        <x:v>0</x:v>
      </x:c>
      <x:c r="FV213">
        <x:f t="shared" si="273"/>
        <x:v>0</x:v>
      </x:c>
      <x:c r="FW213" s="41">
        <x:f t="shared" si="274"/>
        <x:v>0</x:v>
      </x:c>
      <x:c r="FX213">
        <x:f t="shared" si="275"/>
        <x:v>0</x:v>
      </x:c>
      <x:c r="FY213">
        <x:f t="shared" si="276"/>
        <x:v>0</x:v>
      </x:c>
      <x:c r="FZ213">
        <x:f t="shared" si="277"/>
        <x:v>0</x:v>
      </x:c>
      <x:c r="GA213">
        <x:f t="shared" si="278"/>
        <x:v>0</x:v>
      </x:c>
      <x:c r="GB213">
        <x:f t="shared" si="279"/>
        <x:v>0</x:v>
      </x:c>
      <x:c r="GC213">
        <x:f t="shared" si="280"/>
        <x:v>0</x:v>
      </x:c>
      <x:c r="GD213">
        <x:f t="shared" si="281"/>
        <x:v>0</x:v>
      </x:c>
      <x:c r="GE213">
        <x:f t="shared" si="282"/>
        <x:v>0</x:v>
      </x:c>
      <x:c r="GF213">
        <x:f t="shared" si="283"/>
        <x:v>0</x:v>
      </x:c>
      <x:c r="GG213">
        <x:f t="shared" si="284"/>
        <x:v>0</x:v>
      </x:c>
      <x:c r="GH213">
        <x:f t="shared" si="285"/>
        <x:v>0</x:v>
      </x:c>
      <x:c r="GI213">
        <x:f t="shared" si="286"/>
        <x:v>0</x:v>
      </x:c>
      <x:c r="GJ213">
        <x:f t="shared" si="287"/>
        <x:v>0</x:v>
      </x:c>
      <x:c r="GK213">
        <x:f t="shared" si="288"/>
        <x:v>0</x:v>
      </x:c>
      <x:c r="GL213">
        <x:f t="shared" si="289"/>
        <x:v>0</x:v>
      </x:c>
      <x:c r="GM213">
        <x:f t="shared" si="290"/>
        <x:v>0</x:v>
      </x:c>
      <x:c r="GN213">
        <x:f t="shared" si="291"/>
        <x:v>0</x:v>
      </x:c>
      <x:c r="GO213">
        <x:f t="shared" si="292"/>
        <x:v>0</x:v>
      </x:c>
      <x:c r="GP213">
        <x:f t="shared" si="293"/>
        <x:v>0</x:v>
      </x:c>
      <x:c r="GQ213">
        <x:f t="shared" si="294"/>
        <x:v>0</x:v>
      </x:c>
      <x:c r="GR213" s="42">
        <x:f t="shared" si="295"/>
        <x:v>0</x:v>
      </x:c>
      <x:c r="GS213">
        <x:f t="shared" si="296"/>
        <x:v>0</x:v>
      </x:c>
      <x:c r="GT213">
        <x:f t="shared" si="297"/>
        <x:v>0</x:v>
      </x:c>
      <x:c r="GU213">
        <x:f t="shared" si="298"/>
        <x:v>0</x:v>
      </x:c>
      <x:c r="GV213">
        <x:f t="shared" si="299"/>
        <x:v>0</x:v>
      </x:c>
      <x:c r="GW213">
        <x:f t="shared" si="300"/>
        <x:v>0</x:v>
      </x:c>
      <x:c r="GX213">
        <x:f t="shared" si="301"/>
        <x:v>0</x:v>
      </x:c>
      <x:c r="GY213">
        <x:f t="shared" si="302"/>
        <x:v>0</x:v>
      </x:c>
      <x:c r="GZ213">
        <x:f t="shared" si="303"/>
        <x:v>0</x:v>
      </x:c>
      <x:c r="HA213">
        <x:f t="shared" si="304"/>
        <x:v>0</x:v>
      </x:c>
      <x:c r="HB213" s="42">
        <x:f t="shared" si="305"/>
        <x:v>0</x:v>
      </x:c>
      <x:c r="HC213">
        <x:f t="shared" si="306"/>
        <x:v>0</x:v>
      </x:c>
      <x:c r="HD213">
        <x:f t="shared" si="307"/>
        <x:v>0</x:v>
      </x:c>
      <x:c r="HE213">
        <x:f t="shared" si="308"/>
        <x:v>0</x:v>
      </x:c>
      <x:c r="HF213">
        <x:f t="shared" si="309"/>
        <x:v>0</x:v>
      </x:c>
      <x:c r="HG213">
        <x:f t="shared" si="310"/>
        <x:v>0</x:v>
      </x:c>
      <x:c r="HH213">
        <x:f t="shared" si="311"/>
        <x:v>0</x:v>
      </x:c>
      <x:c r="HI213">
        <x:f t="shared" si="312"/>
        <x:v>0</x:v>
      </x:c>
      <x:c r="HJ213">
        <x:f t="shared" si="313"/>
        <x:v>0</x:v>
      </x:c>
      <x:c r="HK213">
        <x:f t="shared" si="314"/>
        <x:v>0</x:v>
      </x:c>
      <x:c r="HL213">
        <x:f t="shared" si="315"/>
        <x:v>0</x:v>
      </x:c>
    </x:row>
    <x:row r="214">
      <x:c r="D214" s="74"/>
      <x:c r="EQ214">
        <x:f t="shared" si="242"/>
        <x:v>0</x:v>
      </x:c>
      <x:c r="ER214">
        <x:f t="shared" si="243"/>
        <x:v>0</x:v>
      </x:c>
      <x:c r="ES214">
        <x:f t="shared" si="244"/>
        <x:v>0</x:v>
      </x:c>
      <x:c r="ET214">
        <x:f t="shared" si="245"/>
        <x:v>0</x:v>
      </x:c>
      <x:c r="EU214">
        <x:f t="shared" si="246"/>
        <x:v>0</x:v>
      </x:c>
      <x:c r="EV214">
        <x:f t="shared" si="247"/>
        <x:v>0</x:v>
      </x:c>
      <x:c r="EW214">
        <x:f t="shared" si="248"/>
        <x:v>0</x:v>
      </x:c>
      <x:c r="EX214">
        <x:f t="shared" si="249"/>
        <x:v>0</x:v>
      </x:c>
      <x:c r="EY214">
        <x:f t="shared" si="250"/>
        <x:v>0</x:v>
      </x:c>
      <x:c r="EZ214">
        <x:f t="shared" si="251"/>
        <x:v>0</x:v>
      </x:c>
      <x:c r="FA214" s="41">
        <x:f t="shared" si="252"/>
        <x:v>0</x:v>
      </x:c>
      <x:c r="FB214">
        <x:f t="shared" si="253"/>
        <x:v>0</x:v>
      </x:c>
      <x:c r="FC214">
        <x:f t="shared" si="254"/>
        <x:v>0</x:v>
      </x:c>
      <x:c r="FD214">
        <x:f t="shared" si="255"/>
        <x:v>0</x:v>
      </x:c>
      <x:c r="FE214">
        <x:f t="shared" si="256"/>
        <x:v>0</x:v>
      </x:c>
      <x:c r="FF214">
        <x:f t="shared" si="257"/>
        <x:v>0</x:v>
      </x:c>
      <x:c r="FG214">
        <x:f t="shared" si="258"/>
        <x:v>0</x:v>
      </x:c>
      <x:c r="FH214">
        <x:f t="shared" si="259"/>
        <x:v>0</x:v>
      </x:c>
      <x:c r="FI214">
        <x:f t="shared" si="260"/>
        <x:v>0</x:v>
      </x:c>
      <x:c r="FJ214">
        <x:f t="shared" si="261"/>
        <x:v>0</x:v>
      </x:c>
      <x:c r="FK214">
        <x:f t="shared" si="262"/>
        <x:v>0</x:v>
      </x:c>
      <x:c r="FL214" s="41">
        <x:f t="shared" si="263"/>
        <x:v>0</x:v>
      </x:c>
      <x:c r="FM214">
        <x:f t="shared" si="264"/>
        <x:v>0</x:v>
      </x:c>
      <x:c r="FN214">
        <x:f t="shared" si="265"/>
        <x:v>0</x:v>
      </x:c>
      <x:c r="FO214">
        <x:f t="shared" si="266"/>
        <x:v>0</x:v>
      </x:c>
      <x:c r="FP214">
        <x:f t="shared" si="267"/>
        <x:v>0</x:v>
      </x:c>
      <x:c r="FQ214">
        <x:f t="shared" si="268"/>
        <x:v>0</x:v>
      </x:c>
      <x:c r="FR214">
        <x:f t="shared" si="269"/>
        <x:v>0</x:v>
      </x:c>
      <x:c r="FS214">
        <x:f t="shared" si="270"/>
        <x:v>0</x:v>
      </x:c>
      <x:c r="FT214">
        <x:f t="shared" si="271"/>
        <x:v>0</x:v>
      </x:c>
      <x:c r="FU214">
        <x:f t="shared" si="272"/>
        <x:v>0</x:v>
      </x:c>
      <x:c r="FV214">
        <x:f t="shared" si="273"/>
        <x:v>0</x:v>
      </x:c>
      <x:c r="FW214" s="41">
        <x:f t="shared" si="274"/>
        <x:v>0</x:v>
      </x:c>
      <x:c r="FX214">
        <x:f t="shared" si="275"/>
        <x:v>0</x:v>
      </x:c>
      <x:c r="FY214">
        <x:f t="shared" si="276"/>
        <x:v>0</x:v>
      </x:c>
      <x:c r="FZ214">
        <x:f t="shared" si="277"/>
        <x:v>0</x:v>
      </x:c>
      <x:c r="GA214">
        <x:f t="shared" si="278"/>
        <x:v>0</x:v>
      </x:c>
      <x:c r="GB214">
        <x:f t="shared" si="279"/>
        <x:v>0</x:v>
      </x:c>
      <x:c r="GC214">
        <x:f t="shared" si="280"/>
        <x:v>0</x:v>
      </x:c>
      <x:c r="GD214">
        <x:f t="shared" si="281"/>
        <x:v>0</x:v>
      </x:c>
      <x:c r="GE214">
        <x:f t="shared" si="282"/>
        <x:v>0</x:v>
      </x:c>
      <x:c r="GF214">
        <x:f t="shared" si="283"/>
        <x:v>0</x:v>
      </x:c>
      <x:c r="GG214">
        <x:f t="shared" si="284"/>
        <x:v>0</x:v>
      </x:c>
      <x:c r="GH214">
        <x:f t="shared" si="285"/>
        <x:v>0</x:v>
      </x:c>
      <x:c r="GI214">
        <x:f t="shared" si="286"/>
        <x:v>0</x:v>
      </x:c>
      <x:c r="GJ214">
        <x:f t="shared" si="287"/>
        <x:v>0</x:v>
      </x:c>
      <x:c r="GK214">
        <x:f t="shared" si="288"/>
        <x:v>0</x:v>
      </x:c>
      <x:c r="GL214">
        <x:f t="shared" si="289"/>
        <x:v>0</x:v>
      </x:c>
      <x:c r="GM214">
        <x:f t="shared" si="290"/>
        <x:v>0</x:v>
      </x:c>
      <x:c r="GN214">
        <x:f t="shared" si="291"/>
        <x:v>0</x:v>
      </x:c>
      <x:c r="GO214">
        <x:f t="shared" si="292"/>
        <x:v>0</x:v>
      </x:c>
      <x:c r="GP214">
        <x:f t="shared" si="293"/>
        <x:v>0</x:v>
      </x:c>
      <x:c r="GQ214">
        <x:f t="shared" si="294"/>
        <x:v>0</x:v>
      </x:c>
      <x:c r="GR214" s="42">
        <x:f t="shared" si="295"/>
        <x:v>0</x:v>
      </x:c>
      <x:c r="GS214">
        <x:f t="shared" si="296"/>
        <x:v>0</x:v>
      </x:c>
      <x:c r="GT214">
        <x:f t="shared" si="297"/>
        <x:v>0</x:v>
      </x:c>
      <x:c r="GU214">
        <x:f t="shared" si="298"/>
        <x:v>0</x:v>
      </x:c>
      <x:c r="GV214">
        <x:f t="shared" si="299"/>
        <x:v>0</x:v>
      </x:c>
      <x:c r="GW214">
        <x:f t="shared" si="300"/>
        <x:v>0</x:v>
      </x:c>
      <x:c r="GX214">
        <x:f t="shared" si="301"/>
        <x:v>0</x:v>
      </x:c>
      <x:c r="GY214">
        <x:f t="shared" si="302"/>
        <x:v>0</x:v>
      </x:c>
      <x:c r="GZ214">
        <x:f t="shared" si="303"/>
        <x:v>0</x:v>
      </x:c>
      <x:c r="HA214">
        <x:f t="shared" si="304"/>
        <x:v>0</x:v>
      </x:c>
      <x:c r="HB214" s="42">
        <x:f t="shared" si="305"/>
        <x:v>0</x:v>
      </x:c>
      <x:c r="HC214">
        <x:f t="shared" si="306"/>
        <x:v>0</x:v>
      </x:c>
      <x:c r="HD214">
        <x:f t="shared" si="307"/>
        <x:v>0</x:v>
      </x:c>
      <x:c r="HE214">
        <x:f t="shared" si="308"/>
        <x:v>0</x:v>
      </x:c>
      <x:c r="HF214">
        <x:f t="shared" si="309"/>
        <x:v>0</x:v>
      </x:c>
      <x:c r="HG214">
        <x:f t="shared" si="310"/>
        <x:v>0</x:v>
      </x:c>
      <x:c r="HH214">
        <x:f t="shared" si="311"/>
        <x:v>0</x:v>
      </x:c>
      <x:c r="HI214">
        <x:f t="shared" si="312"/>
        <x:v>0</x:v>
      </x:c>
      <x:c r="HJ214">
        <x:f t="shared" si="313"/>
        <x:v>0</x:v>
      </x:c>
      <x:c r="HK214">
        <x:f t="shared" si="314"/>
        <x:v>0</x:v>
      </x:c>
      <x:c r="HL214">
        <x:f t="shared" si="315"/>
        <x:v>0</x:v>
      </x:c>
    </x:row>
    <x:row r="215">
      <x:c r="D215" s="74"/>
      <x:c r="EQ215">
        <x:f t="shared" si="242"/>
        <x:v>0</x:v>
      </x:c>
      <x:c r="ER215">
        <x:f t="shared" si="243"/>
        <x:v>0</x:v>
      </x:c>
      <x:c r="ES215">
        <x:f t="shared" si="244"/>
        <x:v>0</x:v>
      </x:c>
      <x:c r="ET215">
        <x:f t="shared" si="245"/>
        <x:v>0</x:v>
      </x:c>
      <x:c r="EU215">
        <x:f t="shared" si="246"/>
        <x:v>0</x:v>
      </x:c>
      <x:c r="EV215">
        <x:f t="shared" si="247"/>
        <x:v>0</x:v>
      </x:c>
      <x:c r="EW215">
        <x:f t="shared" si="248"/>
        <x:v>0</x:v>
      </x:c>
      <x:c r="EX215">
        <x:f t="shared" si="249"/>
        <x:v>0</x:v>
      </x:c>
      <x:c r="EY215">
        <x:f t="shared" si="250"/>
        <x:v>0</x:v>
      </x:c>
      <x:c r="EZ215">
        <x:f t="shared" si="251"/>
        <x:v>0</x:v>
      </x:c>
      <x:c r="FA215" s="41">
        <x:f t="shared" si="252"/>
        <x:v>0</x:v>
      </x:c>
      <x:c r="FB215">
        <x:f t="shared" si="253"/>
        <x:v>0</x:v>
      </x:c>
      <x:c r="FC215">
        <x:f t="shared" si="254"/>
        <x:v>0</x:v>
      </x:c>
      <x:c r="FD215">
        <x:f t="shared" si="255"/>
        <x:v>0</x:v>
      </x:c>
      <x:c r="FE215">
        <x:f t="shared" si="256"/>
        <x:v>0</x:v>
      </x:c>
      <x:c r="FF215">
        <x:f t="shared" si="257"/>
        <x:v>0</x:v>
      </x:c>
      <x:c r="FG215">
        <x:f t="shared" si="258"/>
        <x:v>0</x:v>
      </x:c>
      <x:c r="FH215">
        <x:f t="shared" si="259"/>
        <x:v>0</x:v>
      </x:c>
      <x:c r="FI215">
        <x:f t="shared" si="260"/>
        <x:v>0</x:v>
      </x:c>
      <x:c r="FJ215">
        <x:f t="shared" si="261"/>
        <x:v>0</x:v>
      </x:c>
      <x:c r="FK215">
        <x:f t="shared" si="262"/>
        <x:v>0</x:v>
      </x:c>
      <x:c r="FL215" s="41">
        <x:f t="shared" si="263"/>
        <x:v>0</x:v>
      </x:c>
      <x:c r="FM215">
        <x:f t="shared" si="264"/>
        <x:v>0</x:v>
      </x:c>
      <x:c r="FN215">
        <x:f t="shared" si="265"/>
        <x:v>0</x:v>
      </x:c>
      <x:c r="FO215">
        <x:f t="shared" si="266"/>
        <x:v>0</x:v>
      </x:c>
      <x:c r="FP215">
        <x:f t="shared" si="267"/>
        <x:v>0</x:v>
      </x:c>
      <x:c r="FQ215">
        <x:f t="shared" si="268"/>
        <x:v>0</x:v>
      </x:c>
      <x:c r="FR215">
        <x:f t="shared" si="269"/>
        <x:v>0</x:v>
      </x:c>
      <x:c r="FS215">
        <x:f t="shared" si="270"/>
        <x:v>0</x:v>
      </x:c>
      <x:c r="FT215">
        <x:f t="shared" si="271"/>
        <x:v>0</x:v>
      </x:c>
      <x:c r="FU215">
        <x:f t="shared" si="272"/>
        <x:v>0</x:v>
      </x:c>
      <x:c r="FV215">
        <x:f t="shared" si="273"/>
        <x:v>0</x:v>
      </x:c>
      <x:c r="FW215" s="41">
        <x:f t="shared" si="274"/>
        <x:v>0</x:v>
      </x:c>
      <x:c r="FX215">
        <x:f t="shared" si="275"/>
        <x:v>0</x:v>
      </x:c>
      <x:c r="FY215">
        <x:f t="shared" si="276"/>
        <x:v>0</x:v>
      </x:c>
      <x:c r="FZ215">
        <x:f t="shared" si="277"/>
        <x:v>0</x:v>
      </x:c>
      <x:c r="GA215">
        <x:f t="shared" si="278"/>
        <x:v>0</x:v>
      </x:c>
      <x:c r="GB215">
        <x:f t="shared" si="279"/>
        <x:v>0</x:v>
      </x:c>
      <x:c r="GC215">
        <x:f t="shared" si="280"/>
        <x:v>0</x:v>
      </x:c>
      <x:c r="GD215">
        <x:f t="shared" si="281"/>
        <x:v>0</x:v>
      </x:c>
      <x:c r="GE215">
        <x:f t="shared" si="282"/>
        <x:v>0</x:v>
      </x:c>
      <x:c r="GF215">
        <x:f t="shared" si="283"/>
        <x:v>0</x:v>
      </x:c>
      <x:c r="GG215">
        <x:f t="shared" si="284"/>
        <x:v>0</x:v>
      </x:c>
      <x:c r="GH215">
        <x:f t="shared" si="285"/>
        <x:v>0</x:v>
      </x:c>
      <x:c r="GI215">
        <x:f t="shared" si="286"/>
        <x:v>0</x:v>
      </x:c>
      <x:c r="GJ215">
        <x:f t="shared" si="287"/>
        <x:v>0</x:v>
      </x:c>
      <x:c r="GK215">
        <x:f t="shared" si="288"/>
        <x:v>0</x:v>
      </x:c>
      <x:c r="GL215">
        <x:f t="shared" si="289"/>
        <x:v>0</x:v>
      </x:c>
      <x:c r="GM215">
        <x:f t="shared" si="290"/>
        <x:v>0</x:v>
      </x:c>
      <x:c r="GN215">
        <x:f t="shared" si="291"/>
        <x:v>0</x:v>
      </x:c>
      <x:c r="GO215">
        <x:f t="shared" si="292"/>
        <x:v>0</x:v>
      </x:c>
      <x:c r="GP215">
        <x:f t="shared" si="293"/>
        <x:v>0</x:v>
      </x:c>
      <x:c r="GQ215">
        <x:f t="shared" si="294"/>
        <x:v>0</x:v>
      </x:c>
      <x:c r="GR215" s="42">
        <x:f t="shared" si="295"/>
        <x:v>0</x:v>
      </x:c>
      <x:c r="GS215">
        <x:f t="shared" si="296"/>
        <x:v>0</x:v>
      </x:c>
      <x:c r="GT215">
        <x:f t="shared" si="297"/>
        <x:v>0</x:v>
      </x:c>
      <x:c r="GU215">
        <x:f t="shared" si="298"/>
        <x:v>0</x:v>
      </x:c>
      <x:c r="GV215">
        <x:f t="shared" si="299"/>
        <x:v>0</x:v>
      </x:c>
      <x:c r="GW215">
        <x:f t="shared" si="300"/>
        <x:v>0</x:v>
      </x:c>
      <x:c r="GX215">
        <x:f t="shared" si="301"/>
        <x:v>0</x:v>
      </x:c>
      <x:c r="GY215">
        <x:f t="shared" si="302"/>
        <x:v>0</x:v>
      </x:c>
      <x:c r="GZ215">
        <x:f t="shared" si="303"/>
        <x:v>0</x:v>
      </x:c>
      <x:c r="HA215">
        <x:f t="shared" si="304"/>
        <x:v>0</x:v>
      </x:c>
      <x:c r="HB215" s="42">
        <x:f t="shared" si="305"/>
        <x:v>0</x:v>
      </x:c>
      <x:c r="HC215">
        <x:f t="shared" si="306"/>
        <x:v>0</x:v>
      </x:c>
      <x:c r="HD215">
        <x:f t="shared" si="307"/>
        <x:v>0</x:v>
      </x:c>
      <x:c r="HE215">
        <x:f t="shared" si="308"/>
        <x:v>0</x:v>
      </x:c>
      <x:c r="HF215">
        <x:f t="shared" si="309"/>
        <x:v>0</x:v>
      </x:c>
      <x:c r="HG215">
        <x:f t="shared" si="310"/>
        <x:v>0</x:v>
      </x:c>
      <x:c r="HH215">
        <x:f t="shared" si="311"/>
        <x:v>0</x:v>
      </x:c>
      <x:c r="HI215">
        <x:f t="shared" si="312"/>
        <x:v>0</x:v>
      </x:c>
      <x:c r="HJ215">
        <x:f t="shared" si="313"/>
        <x:v>0</x:v>
      </x:c>
      <x:c r="HK215">
        <x:f t="shared" si="314"/>
        <x:v>0</x:v>
      </x:c>
      <x:c r="HL215">
        <x:f t="shared" si="315"/>
        <x:v>0</x:v>
      </x:c>
    </x:row>
    <x:row r="216">
      <x:c r="D216" s="74"/>
      <x:c r="EQ216">
        <x:f t="shared" si="242"/>
        <x:v>0</x:v>
      </x:c>
      <x:c r="ER216">
        <x:f t="shared" si="243"/>
        <x:v>0</x:v>
      </x:c>
      <x:c r="ES216">
        <x:f t="shared" si="244"/>
        <x:v>0</x:v>
      </x:c>
      <x:c r="ET216">
        <x:f t="shared" si="245"/>
        <x:v>0</x:v>
      </x:c>
      <x:c r="EU216">
        <x:f t="shared" si="246"/>
        <x:v>0</x:v>
      </x:c>
      <x:c r="EV216">
        <x:f t="shared" si="247"/>
        <x:v>0</x:v>
      </x:c>
      <x:c r="EW216">
        <x:f t="shared" si="248"/>
        <x:v>0</x:v>
      </x:c>
      <x:c r="EX216">
        <x:f t="shared" si="249"/>
        <x:v>0</x:v>
      </x:c>
      <x:c r="EY216">
        <x:f t="shared" si="250"/>
        <x:v>0</x:v>
      </x:c>
      <x:c r="EZ216">
        <x:f t="shared" si="251"/>
        <x:v>0</x:v>
      </x:c>
      <x:c r="FA216" s="41">
        <x:f t="shared" si="252"/>
        <x:v>0</x:v>
      </x:c>
      <x:c r="FB216">
        <x:f t="shared" si="253"/>
        <x:v>0</x:v>
      </x:c>
      <x:c r="FC216">
        <x:f t="shared" si="254"/>
        <x:v>0</x:v>
      </x:c>
      <x:c r="FD216">
        <x:f t="shared" si="255"/>
        <x:v>0</x:v>
      </x:c>
      <x:c r="FE216">
        <x:f t="shared" si="256"/>
        <x:v>0</x:v>
      </x:c>
      <x:c r="FF216">
        <x:f t="shared" si="257"/>
        <x:v>0</x:v>
      </x:c>
      <x:c r="FG216">
        <x:f t="shared" si="258"/>
        <x:v>0</x:v>
      </x:c>
      <x:c r="FH216">
        <x:f t="shared" si="259"/>
        <x:v>0</x:v>
      </x:c>
      <x:c r="FI216">
        <x:f t="shared" si="260"/>
        <x:v>0</x:v>
      </x:c>
      <x:c r="FJ216">
        <x:f t="shared" si="261"/>
        <x:v>0</x:v>
      </x:c>
      <x:c r="FK216">
        <x:f t="shared" si="262"/>
        <x:v>0</x:v>
      </x:c>
      <x:c r="FL216" s="41">
        <x:f t="shared" si="263"/>
        <x:v>0</x:v>
      </x:c>
      <x:c r="FM216">
        <x:f t="shared" si="264"/>
        <x:v>0</x:v>
      </x:c>
      <x:c r="FN216">
        <x:f t="shared" si="265"/>
        <x:v>0</x:v>
      </x:c>
      <x:c r="FO216">
        <x:f t="shared" si="266"/>
        <x:v>0</x:v>
      </x:c>
      <x:c r="FP216">
        <x:f t="shared" si="267"/>
        <x:v>0</x:v>
      </x:c>
      <x:c r="FQ216">
        <x:f t="shared" si="268"/>
        <x:v>0</x:v>
      </x:c>
      <x:c r="FR216">
        <x:f t="shared" si="269"/>
        <x:v>0</x:v>
      </x:c>
      <x:c r="FS216">
        <x:f t="shared" si="270"/>
        <x:v>0</x:v>
      </x:c>
      <x:c r="FT216">
        <x:f t="shared" si="271"/>
        <x:v>0</x:v>
      </x:c>
      <x:c r="FU216">
        <x:f t="shared" si="272"/>
        <x:v>0</x:v>
      </x:c>
      <x:c r="FV216">
        <x:f t="shared" si="273"/>
        <x:v>0</x:v>
      </x:c>
      <x:c r="FW216" s="41">
        <x:f t="shared" si="274"/>
        <x:v>0</x:v>
      </x:c>
      <x:c r="FX216">
        <x:f t="shared" si="275"/>
        <x:v>0</x:v>
      </x:c>
      <x:c r="FY216">
        <x:f t="shared" si="276"/>
        <x:v>0</x:v>
      </x:c>
      <x:c r="FZ216">
        <x:f t="shared" si="277"/>
        <x:v>0</x:v>
      </x:c>
      <x:c r="GA216">
        <x:f t="shared" si="278"/>
        <x:v>0</x:v>
      </x:c>
      <x:c r="GB216">
        <x:f t="shared" si="279"/>
        <x:v>0</x:v>
      </x:c>
      <x:c r="GC216">
        <x:f t="shared" si="280"/>
        <x:v>0</x:v>
      </x:c>
      <x:c r="GD216">
        <x:f t="shared" si="281"/>
        <x:v>0</x:v>
      </x:c>
      <x:c r="GE216">
        <x:f t="shared" si="282"/>
        <x:v>0</x:v>
      </x:c>
      <x:c r="GF216">
        <x:f t="shared" si="283"/>
        <x:v>0</x:v>
      </x:c>
      <x:c r="GG216">
        <x:f t="shared" si="284"/>
        <x:v>0</x:v>
      </x:c>
      <x:c r="GH216">
        <x:f t="shared" si="285"/>
        <x:v>0</x:v>
      </x:c>
      <x:c r="GI216">
        <x:f t="shared" si="286"/>
        <x:v>0</x:v>
      </x:c>
      <x:c r="GJ216">
        <x:f t="shared" si="287"/>
        <x:v>0</x:v>
      </x:c>
      <x:c r="GK216">
        <x:f t="shared" si="288"/>
        <x:v>0</x:v>
      </x:c>
      <x:c r="GL216">
        <x:f t="shared" si="289"/>
        <x:v>0</x:v>
      </x:c>
      <x:c r="GM216">
        <x:f t="shared" si="290"/>
        <x:v>0</x:v>
      </x:c>
      <x:c r="GN216">
        <x:f t="shared" si="291"/>
        <x:v>0</x:v>
      </x:c>
      <x:c r="GO216">
        <x:f t="shared" si="292"/>
        <x:v>0</x:v>
      </x:c>
      <x:c r="GP216">
        <x:f t="shared" si="293"/>
        <x:v>0</x:v>
      </x:c>
      <x:c r="GQ216">
        <x:f t="shared" si="294"/>
        <x:v>0</x:v>
      </x:c>
      <x:c r="GR216" s="42">
        <x:f t="shared" si="295"/>
        <x:v>0</x:v>
      </x:c>
      <x:c r="GS216">
        <x:f t="shared" si="296"/>
        <x:v>0</x:v>
      </x:c>
      <x:c r="GT216">
        <x:f t="shared" si="297"/>
        <x:v>0</x:v>
      </x:c>
      <x:c r="GU216">
        <x:f t="shared" si="298"/>
        <x:v>0</x:v>
      </x:c>
      <x:c r="GV216">
        <x:f t="shared" si="299"/>
        <x:v>0</x:v>
      </x:c>
      <x:c r="GW216">
        <x:f t="shared" si="300"/>
        <x:v>0</x:v>
      </x:c>
      <x:c r="GX216">
        <x:f t="shared" si="301"/>
        <x:v>0</x:v>
      </x:c>
      <x:c r="GY216">
        <x:f t="shared" si="302"/>
        <x:v>0</x:v>
      </x:c>
      <x:c r="GZ216">
        <x:f t="shared" si="303"/>
        <x:v>0</x:v>
      </x:c>
      <x:c r="HA216">
        <x:f t="shared" si="304"/>
        <x:v>0</x:v>
      </x:c>
      <x:c r="HB216" s="42">
        <x:f t="shared" si="305"/>
        <x:v>0</x:v>
      </x:c>
      <x:c r="HC216">
        <x:f t="shared" si="306"/>
        <x:v>0</x:v>
      </x:c>
      <x:c r="HD216">
        <x:f t="shared" si="307"/>
        <x:v>0</x:v>
      </x:c>
      <x:c r="HE216">
        <x:f t="shared" si="308"/>
        <x:v>0</x:v>
      </x:c>
      <x:c r="HF216">
        <x:f t="shared" si="309"/>
        <x:v>0</x:v>
      </x:c>
      <x:c r="HG216">
        <x:f t="shared" si="310"/>
        <x:v>0</x:v>
      </x:c>
      <x:c r="HH216">
        <x:f t="shared" si="311"/>
        <x:v>0</x:v>
      </x:c>
      <x:c r="HI216">
        <x:f t="shared" si="312"/>
        <x:v>0</x:v>
      </x:c>
      <x:c r="HJ216">
        <x:f t="shared" si="313"/>
        <x:v>0</x:v>
      </x:c>
      <x:c r="HK216">
        <x:f t="shared" si="314"/>
        <x:v>0</x:v>
      </x:c>
      <x:c r="HL216">
        <x:f t="shared" si="315"/>
        <x:v>0</x:v>
      </x:c>
    </x:row>
    <x:row r="217">
      <x:c r="D217" s="74"/>
      <x:c r="EQ217">
        <x:f t="shared" si="242"/>
        <x:v>0</x:v>
      </x:c>
      <x:c r="ER217">
        <x:f t="shared" si="243"/>
        <x:v>0</x:v>
      </x:c>
      <x:c r="ES217">
        <x:f t="shared" si="244"/>
        <x:v>0</x:v>
      </x:c>
      <x:c r="ET217">
        <x:f t="shared" si="245"/>
        <x:v>0</x:v>
      </x:c>
      <x:c r="EU217">
        <x:f t="shared" si="246"/>
        <x:v>0</x:v>
      </x:c>
      <x:c r="EV217">
        <x:f t="shared" si="247"/>
        <x:v>0</x:v>
      </x:c>
      <x:c r="EW217">
        <x:f t="shared" si="248"/>
        <x:v>0</x:v>
      </x:c>
      <x:c r="EX217">
        <x:f t="shared" si="249"/>
        <x:v>0</x:v>
      </x:c>
      <x:c r="EY217">
        <x:f t="shared" si="250"/>
        <x:v>0</x:v>
      </x:c>
      <x:c r="EZ217">
        <x:f t="shared" si="251"/>
        <x:v>0</x:v>
      </x:c>
      <x:c r="FA217" s="41">
        <x:f t="shared" si="252"/>
        <x:v>0</x:v>
      </x:c>
      <x:c r="FB217">
        <x:f t="shared" si="253"/>
        <x:v>0</x:v>
      </x:c>
      <x:c r="FC217">
        <x:f t="shared" si="254"/>
        <x:v>0</x:v>
      </x:c>
      <x:c r="FD217">
        <x:f t="shared" si="255"/>
        <x:v>0</x:v>
      </x:c>
      <x:c r="FE217">
        <x:f t="shared" si="256"/>
        <x:v>0</x:v>
      </x:c>
      <x:c r="FF217">
        <x:f t="shared" si="257"/>
        <x:v>0</x:v>
      </x:c>
      <x:c r="FG217">
        <x:f t="shared" si="258"/>
        <x:v>0</x:v>
      </x:c>
      <x:c r="FH217">
        <x:f t="shared" si="259"/>
        <x:v>0</x:v>
      </x:c>
      <x:c r="FI217">
        <x:f t="shared" si="260"/>
        <x:v>0</x:v>
      </x:c>
      <x:c r="FJ217">
        <x:f t="shared" si="261"/>
        <x:v>0</x:v>
      </x:c>
      <x:c r="FK217">
        <x:f t="shared" si="262"/>
        <x:v>0</x:v>
      </x:c>
      <x:c r="FL217" s="41">
        <x:f t="shared" si="263"/>
        <x:v>0</x:v>
      </x:c>
      <x:c r="FM217">
        <x:f t="shared" si="264"/>
        <x:v>0</x:v>
      </x:c>
      <x:c r="FN217">
        <x:f t="shared" si="265"/>
        <x:v>0</x:v>
      </x:c>
      <x:c r="FO217">
        <x:f t="shared" si="266"/>
        <x:v>0</x:v>
      </x:c>
      <x:c r="FP217">
        <x:f t="shared" si="267"/>
        <x:v>0</x:v>
      </x:c>
      <x:c r="FQ217">
        <x:f t="shared" si="268"/>
        <x:v>0</x:v>
      </x:c>
      <x:c r="FR217">
        <x:f t="shared" si="269"/>
        <x:v>0</x:v>
      </x:c>
      <x:c r="FS217">
        <x:f t="shared" si="270"/>
        <x:v>0</x:v>
      </x:c>
      <x:c r="FT217">
        <x:f t="shared" si="271"/>
        <x:v>0</x:v>
      </x:c>
      <x:c r="FU217">
        <x:f t="shared" si="272"/>
        <x:v>0</x:v>
      </x:c>
      <x:c r="FV217">
        <x:f t="shared" si="273"/>
        <x:v>0</x:v>
      </x:c>
      <x:c r="FW217" s="41">
        <x:f t="shared" si="274"/>
        <x:v>0</x:v>
      </x:c>
      <x:c r="FX217">
        <x:f t="shared" si="275"/>
        <x:v>0</x:v>
      </x:c>
      <x:c r="FY217">
        <x:f t="shared" si="276"/>
        <x:v>0</x:v>
      </x:c>
      <x:c r="FZ217">
        <x:f t="shared" si="277"/>
        <x:v>0</x:v>
      </x:c>
      <x:c r="GA217">
        <x:f t="shared" si="278"/>
        <x:v>0</x:v>
      </x:c>
      <x:c r="GB217">
        <x:f t="shared" si="279"/>
        <x:v>0</x:v>
      </x:c>
      <x:c r="GC217">
        <x:f t="shared" si="280"/>
        <x:v>0</x:v>
      </x:c>
      <x:c r="GD217">
        <x:f t="shared" si="281"/>
        <x:v>0</x:v>
      </x:c>
      <x:c r="GE217">
        <x:f t="shared" si="282"/>
        <x:v>0</x:v>
      </x:c>
      <x:c r="GF217">
        <x:f t="shared" si="283"/>
        <x:v>0</x:v>
      </x:c>
      <x:c r="GG217">
        <x:f t="shared" si="284"/>
        <x:v>0</x:v>
      </x:c>
      <x:c r="GH217">
        <x:f t="shared" si="285"/>
        <x:v>0</x:v>
      </x:c>
      <x:c r="GI217">
        <x:f t="shared" si="286"/>
        <x:v>0</x:v>
      </x:c>
      <x:c r="GJ217">
        <x:f t="shared" si="287"/>
        <x:v>0</x:v>
      </x:c>
      <x:c r="GK217">
        <x:f t="shared" si="288"/>
        <x:v>0</x:v>
      </x:c>
      <x:c r="GL217">
        <x:f t="shared" si="289"/>
        <x:v>0</x:v>
      </x:c>
      <x:c r="GM217">
        <x:f t="shared" si="290"/>
        <x:v>0</x:v>
      </x:c>
      <x:c r="GN217">
        <x:f t="shared" si="291"/>
        <x:v>0</x:v>
      </x:c>
      <x:c r="GO217">
        <x:f t="shared" si="292"/>
        <x:v>0</x:v>
      </x:c>
      <x:c r="GP217">
        <x:f t="shared" si="293"/>
        <x:v>0</x:v>
      </x:c>
      <x:c r="GQ217">
        <x:f t="shared" si="294"/>
        <x:v>0</x:v>
      </x:c>
      <x:c r="GR217" s="42">
        <x:f t="shared" si="295"/>
        <x:v>0</x:v>
      </x:c>
      <x:c r="GS217">
        <x:f t="shared" si="296"/>
        <x:v>0</x:v>
      </x:c>
      <x:c r="GT217">
        <x:f t="shared" si="297"/>
        <x:v>0</x:v>
      </x:c>
      <x:c r="GU217">
        <x:f t="shared" si="298"/>
        <x:v>0</x:v>
      </x:c>
      <x:c r="GV217">
        <x:f t="shared" si="299"/>
        <x:v>0</x:v>
      </x:c>
      <x:c r="GW217">
        <x:f t="shared" si="300"/>
        <x:v>0</x:v>
      </x:c>
      <x:c r="GX217">
        <x:f t="shared" si="301"/>
        <x:v>0</x:v>
      </x:c>
      <x:c r="GY217">
        <x:f t="shared" si="302"/>
        <x:v>0</x:v>
      </x:c>
      <x:c r="GZ217">
        <x:f t="shared" si="303"/>
        <x:v>0</x:v>
      </x:c>
      <x:c r="HA217">
        <x:f t="shared" si="304"/>
        <x:v>0</x:v>
      </x:c>
      <x:c r="HB217" s="42">
        <x:f t="shared" si="305"/>
        <x:v>0</x:v>
      </x:c>
      <x:c r="HC217">
        <x:f t="shared" si="306"/>
        <x:v>0</x:v>
      </x:c>
      <x:c r="HD217">
        <x:f t="shared" si="307"/>
        <x:v>0</x:v>
      </x:c>
      <x:c r="HE217">
        <x:f t="shared" si="308"/>
        <x:v>0</x:v>
      </x:c>
      <x:c r="HF217">
        <x:f t="shared" si="309"/>
        <x:v>0</x:v>
      </x:c>
      <x:c r="HG217">
        <x:f t="shared" si="310"/>
        <x:v>0</x:v>
      </x:c>
      <x:c r="HH217">
        <x:f t="shared" si="311"/>
        <x:v>0</x:v>
      </x:c>
      <x:c r="HI217">
        <x:f t="shared" si="312"/>
        <x:v>0</x:v>
      </x:c>
      <x:c r="HJ217">
        <x:f t="shared" si="313"/>
        <x:v>0</x:v>
      </x:c>
      <x:c r="HK217">
        <x:f t="shared" si="314"/>
        <x:v>0</x:v>
      </x:c>
      <x:c r="HL217">
        <x:f t="shared" si="315"/>
        <x:v>0</x:v>
      </x:c>
    </x:row>
    <x:row r="218">
      <x:c r="D218" s="74"/>
      <x:c r="EQ218">
        <x:f t="shared" si="242"/>
        <x:v>0</x:v>
      </x:c>
      <x:c r="ER218">
        <x:f t="shared" si="243"/>
        <x:v>0</x:v>
      </x:c>
      <x:c r="ES218">
        <x:f t="shared" si="244"/>
        <x:v>0</x:v>
      </x:c>
      <x:c r="ET218">
        <x:f t="shared" si="245"/>
        <x:v>0</x:v>
      </x:c>
      <x:c r="EU218">
        <x:f t="shared" si="246"/>
        <x:v>0</x:v>
      </x:c>
      <x:c r="EV218">
        <x:f t="shared" si="247"/>
        <x:v>0</x:v>
      </x:c>
      <x:c r="EW218">
        <x:f t="shared" si="248"/>
        <x:v>0</x:v>
      </x:c>
      <x:c r="EX218">
        <x:f t="shared" si="249"/>
        <x:v>0</x:v>
      </x:c>
      <x:c r="EY218">
        <x:f t="shared" si="250"/>
        <x:v>0</x:v>
      </x:c>
      <x:c r="EZ218">
        <x:f t="shared" si="251"/>
        <x:v>0</x:v>
      </x:c>
      <x:c r="FA218" s="41">
        <x:f t="shared" si="252"/>
        <x:v>0</x:v>
      </x:c>
      <x:c r="FB218">
        <x:f t="shared" si="253"/>
        <x:v>0</x:v>
      </x:c>
      <x:c r="FC218">
        <x:f t="shared" si="254"/>
        <x:v>0</x:v>
      </x:c>
      <x:c r="FD218">
        <x:f t="shared" si="255"/>
        <x:v>0</x:v>
      </x:c>
      <x:c r="FE218">
        <x:f t="shared" si="256"/>
        <x:v>0</x:v>
      </x:c>
      <x:c r="FF218">
        <x:f t="shared" si="257"/>
        <x:v>0</x:v>
      </x:c>
      <x:c r="FG218">
        <x:f t="shared" si="258"/>
        <x:v>0</x:v>
      </x:c>
      <x:c r="FH218">
        <x:f t="shared" si="259"/>
        <x:v>0</x:v>
      </x:c>
      <x:c r="FI218">
        <x:f t="shared" si="260"/>
        <x:v>0</x:v>
      </x:c>
      <x:c r="FJ218">
        <x:f t="shared" si="261"/>
        <x:v>0</x:v>
      </x:c>
      <x:c r="FK218">
        <x:f t="shared" si="262"/>
        <x:v>0</x:v>
      </x:c>
      <x:c r="FL218" s="41">
        <x:f t="shared" si="263"/>
        <x:v>0</x:v>
      </x:c>
      <x:c r="FM218">
        <x:f t="shared" si="264"/>
        <x:v>0</x:v>
      </x:c>
      <x:c r="FN218">
        <x:f t="shared" si="265"/>
        <x:v>0</x:v>
      </x:c>
      <x:c r="FO218">
        <x:f t="shared" si="266"/>
        <x:v>0</x:v>
      </x:c>
      <x:c r="FP218">
        <x:f t="shared" si="267"/>
        <x:v>0</x:v>
      </x:c>
      <x:c r="FQ218">
        <x:f t="shared" si="268"/>
        <x:v>0</x:v>
      </x:c>
      <x:c r="FR218">
        <x:f t="shared" si="269"/>
        <x:v>0</x:v>
      </x:c>
      <x:c r="FS218">
        <x:f t="shared" si="270"/>
        <x:v>0</x:v>
      </x:c>
      <x:c r="FT218">
        <x:f t="shared" si="271"/>
        <x:v>0</x:v>
      </x:c>
      <x:c r="FU218">
        <x:f t="shared" si="272"/>
        <x:v>0</x:v>
      </x:c>
      <x:c r="FV218">
        <x:f t="shared" si="273"/>
        <x:v>0</x:v>
      </x:c>
      <x:c r="FW218" s="41">
        <x:f t="shared" si="274"/>
        <x:v>0</x:v>
      </x:c>
      <x:c r="FX218">
        <x:f t="shared" si="275"/>
        <x:v>0</x:v>
      </x:c>
      <x:c r="FY218">
        <x:f t="shared" si="276"/>
        <x:v>0</x:v>
      </x:c>
      <x:c r="FZ218">
        <x:f t="shared" si="277"/>
        <x:v>0</x:v>
      </x:c>
      <x:c r="GA218">
        <x:f t="shared" si="278"/>
        <x:v>0</x:v>
      </x:c>
      <x:c r="GB218">
        <x:f t="shared" si="279"/>
        <x:v>0</x:v>
      </x:c>
      <x:c r="GC218">
        <x:f t="shared" si="280"/>
        <x:v>0</x:v>
      </x:c>
      <x:c r="GD218">
        <x:f t="shared" si="281"/>
        <x:v>0</x:v>
      </x:c>
      <x:c r="GE218">
        <x:f t="shared" si="282"/>
        <x:v>0</x:v>
      </x:c>
      <x:c r="GF218">
        <x:f t="shared" si="283"/>
        <x:v>0</x:v>
      </x:c>
      <x:c r="GG218">
        <x:f t="shared" si="284"/>
        <x:v>0</x:v>
      </x:c>
      <x:c r="GH218">
        <x:f t="shared" si="285"/>
        <x:v>0</x:v>
      </x:c>
      <x:c r="GI218">
        <x:f t="shared" si="286"/>
        <x:v>0</x:v>
      </x:c>
      <x:c r="GJ218">
        <x:f t="shared" si="287"/>
        <x:v>0</x:v>
      </x:c>
      <x:c r="GK218">
        <x:f t="shared" si="288"/>
        <x:v>0</x:v>
      </x:c>
      <x:c r="GL218">
        <x:f t="shared" si="289"/>
        <x:v>0</x:v>
      </x:c>
      <x:c r="GM218">
        <x:f t="shared" si="290"/>
        <x:v>0</x:v>
      </x:c>
      <x:c r="GN218">
        <x:f t="shared" si="291"/>
        <x:v>0</x:v>
      </x:c>
      <x:c r="GO218">
        <x:f t="shared" si="292"/>
        <x:v>0</x:v>
      </x:c>
      <x:c r="GP218">
        <x:f t="shared" si="293"/>
        <x:v>0</x:v>
      </x:c>
      <x:c r="GQ218">
        <x:f t="shared" si="294"/>
        <x:v>0</x:v>
      </x:c>
      <x:c r="GR218" s="42">
        <x:f t="shared" si="295"/>
        <x:v>0</x:v>
      </x:c>
      <x:c r="GS218">
        <x:f t="shared" si="296"/>
        <x:v>0</x:v>
      </x:c>
      <x:c r="GT218">
        <x:f t="shared" si="297"/>
        <x:v>0</x:v>
      </x:c>
      <x:c r="GU218">
        <x:f t="shared" si="298"/>
        <x:v>0</x:v>
      </x:c>
      <x:c r="GV218">
        <x:f t="shared" si="299"/>
        <x:v>0</x:v>
      </x:c>
      <x:c r="GW218">
        <x:f t="shared" si="300"/>
        <x:v>0</x:v>
      </x:c>
      <x:c r="GX218">
        <x:f t="shared" si="301"/>
        <x:v>0</x:v>
      </x:c>
      <x:c r="GY218">
        <x:f t="shared" si="302"/>
        <x:v>0</x:v>
      </x:c>
      <x:c r="GZ218">
        <x:f t="shared" si="303"/>
        <x:v>0</x:v>
      </x:c>
      <x:c r="HA218">
        <x:f t="shared" si="304"/>
        <x:v>0</x:v>
      </x:c>
      <x:c r="HB218" s="42">
        <x:f t="shared" si="305"/>
        <x:v>0</x:v>
      </x:c>
      <x:c r="HC218">
        <x:f t="shared" si="306"/>
        <x:v>0</x:v>
      </x:c>
      <x:c r="HD218">
        <x:f t="shared" si="307"/>
        <x:v>0</x:v>
      </x:c>
      <x:c r="HE218">
        <x:f t="shared" si="308"/>
        <x:v>0</x:v>
      </x:c>
      <x:c r="HF218">
        <x:f t="shared" si="309"/>
        <x:v>0</x:v>
      </x:c>
      <x:c r="HG218">
        <x:f t="shared" si="310"/>
        <x:v>0</x:v>
      </x:c>
      <x:c r="HH218">
        <x:f t="shared" si="311"/>
        <x:v>0</x:v>
      </x:c>
      <x:c r="HI218">
        <x:f t="shared" si="312"/>
        <x:v>0</x:v>
      </x:c>
      <x:c r="HJ218">
        <x:f t="shared" si="313"/>
        <x:v>0</x:v>
      </x:c>
      <x:c r="HK218">
        <x:f t="shared" si="314"/>
        <x:v>0</x:v>
      </x:c>
      <x:c r="HL218">
        <x:f t="shared" si="315"/>
        <x:v>0</x:v>
      </x:c>
    </x:row>
    <x:row r="219">
      <x:c r="D219" s="74"/>
      <x:c r="EQ219">
        <x:f t="shared" si="242"/>
        <x:v>0</x:v>
      </x:c>
      <x:c r="ER219">
        <x:f t="shared" si="243"/>
        <x:v>0</x:v>
      </x:c>
      <x:c r="ES219">
        <x:f t="shared" si="244"/>
        <x:v>0</x:v>
      </x:c>
      <x:c r="ET219">
        <x:f t="shared" si="245"/>
        <x:v>0</x:v>
      </x:c>
      <x:c r="EU219">
        <x:f t="shared" si="246"/>
        <x:v>0</x:v>
      </x:c>
      <x:c r="EV219">
        <x:f t="shared" si="247"/>
        <x:v>0</x:v>
      </x:c>
      <x:c r="EW219">
        <x:f t="shared" si="248"/>
        <x:v>0</x:v>
      </x:c>
      <x:c r="EX219">
        <x:f t="shared" si="249"/>
        <x:v>0</x:v>
      </x:c>
      <x:c r="EY219">
        <x:f t="shared" si="250"/>
        <x:v>0</x:v>
      </x:c>
      <x:c r="EZ219">
        <x:f t="shared" si="251"/>
        <x:v>0</x:v>
      </x:c>
      <x:c r="FA219" s="41">
        <x:f t="shared" si="252"/>
        <x:v>0</x:v>
      </x:c>
      <x:c r="FB219">
        <x:f t="shared" si="253"/>
        <x:v>0</x:v>
      </x:c>
      <x:c r="FC219">
        <x:f t="shared" si="254"/>
        <x:v>0</x:v>
      </x:c>
      <x:c r="FD219">
        <x:f t="shared" si="255"/>
        <x:v>0</x:v>
      </x:c>
      <x:c r="FE219">
        <x:f t="shared" si="256"/>
        <x:v>0</x:v>
      </x:c>
      <x:c r="FF219">
        <x:f t="shared" si="257"/>
        <x:v>0</x:v>
      </x:c>
      <x:c r="FG219">
        <x:f t="shared" si="258"/>
        <x:v>0</x:v>
      </x:c>
      <x:c r="FH219">
        <x:f t="shared" si="259"/>
        <x:v>0</x:v>
      </x:c>
      <x:c r="FI219">
        <x:f t="shared" si="260"/>
        <x:v>0</x:v>
      </x:c>
      <x:c r="FJ219">
        <x:f t="shared" si="261"/>
        <x:v>0</x:v>
      </x:c>
      <x:c r="FK219">
        <x:f t="shared" si="262"/>
        <x:v>0</x:v>
      </x:c>
      <x:c r="FL219" s="41">
        <x:f t="shared" si="263"/>
        <x:v>0</x:v>
      </x:c>
      <x:c r="FM219">
        <x:f t="shared" si="264"/>
        <x:v>0</x:v>
      </x:c>
      <x:c r="FN219">
        <x:f t="shared" si="265"/>
        <x:v>0</x:v>
      </x:c>
      <x:c r="FO219">
        <x:f t="shared" si="266"/>
        <x:v>0</x:v>
      </x:c>
      <x:c r="FP219">
        <x:f t="shared" si="267"/>
        <x:v>0</x:v>
      </x:c>
      <x:c r="FQ219">
        <x:f t="shared" si="268"/>
        <x:v>0</x:v>
      </x:c>
      <x:c r="FR219">
        <x:f t="shared" si="269"/>
        <x:v>0</x:v>
      </x:c>
      <x:c r="FS219">
        <x:f t="shared" si="270"/>
        <x:v>0</x:v>
      </x:c>
      <x:c r="FT219">
        <x:f t="shared" si="271"/>
        <x:v>0</x:v>
      </x:c>
      <x:c r="FU219">
        <x:f t="shared" si="272"/>
        <x:v>0</x:v>
      </x:c>
      <x:c r="FV219">
        <x:f t="shared" si="273"/>
        <x:v>0</x:v>
      </x:c>
      <x:c r="FW219" s="41">
        <x:f t="shared" si="274"/>
        <x:v>0</x:v>
      </x:c>
      <x:c r="FX219">
        <x:f t="shared" si="275"/>
        <x:v>0</x:v>
      </x:c>
      <x:c r="FY219">
        <x:f t="shared" si="276"/>
        <x:v>0</x:v>
      </x:c>
      <x:c r="FZ219">
        <x:f t="shared" si="277"/>
        <x:v>0</x:v>
      </x:c>
      <x:c r="GA219">
        <x:f t="shared" si="278"/>
        <x:v>0</x:v>
      </x:c>
      <x:c r="GB219">
        <x:f t="shared" si="279"/>
        <x:v>0</x:v>
      </x:c>
      <x:c r="GC219">
        <x:f t="shared" si="280"/>
        <x:v>0</x:v>
      </x:c>
      <x:c r="GD219">
        <x:f t="shared" si="281"/>
        <x:v>0</x:v>
      </x:c>
      <x:c r="GE219">
        <x:f t="shared" si="282"/>
        <x:v>0</x:v>
      </x:c>
      <x:c r="GF219">
        <x:f t="shared" si="283"/>
        <x:v>0</x:v>
      </x:c>
      <x:c r="GG219">
        <x:f t="shared" si="284"/>
        <x:v>0</x:v>
      </x:c>
      <x:c r="GH219">
        <x:f t="shared" si="285"/>
        <x:v>0</x:v>
      </x:c>
      <x:c r="GI219">
        <x:f t="shared" si="286"/>
        <x:v>0</x:v>
      </x:c>
      <x:c r="GJ219">
        <x:f t="shared" si="287"/>
        <x:v>0</x:v>
      </x:c>
      <x:c r="GK219">
        <x:f t="shared" si="288"/>
        <x:v>0</x:v>
      </x:c>
      <x:c r="GL219">
        <x:f t="shared" si="289"/>
        <x:v>0</x:v>
      </x:c>
      <x:c r="GM219">
        <x:f t="shared" si="290"/>
        <x:v>0</x:v>
      </x:c>
      <x:c r="GN219">
        <x:f t="shared" si="291"/>
        <x:v>0</x:v>
      </x:c>
      <x:c r="GO219">
        <x:f t="shared" si="292"/>
        <x:v>0</x:v>
      </x:c>
      <x:c r="GP219">
        <x:f t="shared" si="293"/>
        <x:v>0</x:v>
      </x:c>
      <x:c r="GQ219">
        <x:f t="shared" si="294"/>
        <x:v>0</x:v>
      </x:c>
      <x:c r="GR219" s="42">
        <x:f t="shared" si="295"/>
        <x:v>0</x:v>
      </x:c>
      <x:c r="GS219">
        <x:f t="shared" si="296"/>
        <x:v>0</x:v>
      </x:c>
      <x:c r="GT219">
        <x:f t="shared" si="297"/>
        <x:v>0</x:v>
      </x:c>
      <x:c r="GU219">
        <x:f t="shared" si="298"/>
        <x:v>0</x:v>
      </x:c>
      <x:c r="GV219">
        <x:f t="shared" si="299"/>
        <x:v>0</x:v>
      </x:c>
      <x:c r="GW219">
        <x:f t="shared" si="300"/>
        <x:v>0</x:v>
      </x:c>
      <x:c r="GX219">
        <x:f t="shared" si="301"/>
        <x:v>0</x:v>
      </x:c>
      <x:c r="GY219">
        <x:f t="shared" si="302"/>
        <x:v>0</x:v>
      </x:c>
      <x:c r="GZ219">
        <x:f t="shared" si="303"/>
        <x:v>0</x:v>
      </x:c>
      <x:c r="HA219">
        <x:f t="shared" si="304"/>
        <x:v>0</x:v>
      </x:c>
      <x:c r="HB219" s="42">
        <x:f t="shared" si="305"/>
        <x:v>0</x:v>
      </x:c>
      <x:c r="HC219">
        <x:f t="shared" si="306"/>
        <x:v>0</x:v>
      </x:c>
      <x:c r="HD219">
        <x:f t="shared" si="307"/>
        <x:v>0</x:v>
      </x:c>
      <x:c r="HE219">
        <x:f t="shared" si="308"/>
        <x:v>0</x:v>
      </x:c>
      <x:c r="HF219">
        <x:f t="shared" si="309"/>
        <x:v>0</x:v>
      </x:c>
      <x:c r="HG219">
        <x:f t="shared" si="310"/>
        <x:v>0</x:v>
      </x:c>
      <x:c r="HH219">
        <x:f t="shared" si="311"/>
        <x:v>0</x:v>
      </x:c>
      <x:c r="HI219">
        <x:f t="shared" si="312"/>
        <x:v>0</x:v>
      </x:c>
      <x:c r="HJ219">
        <x:f t="shared" si="313"/>
        <x:v>0</x:v>
      </x:c>
      <x:c r="HK219">
        <x:f t="shared" si="314"/>
        <x:v>0</x:v>
      </x:c>
      <x:c r="HL219">
        <x:f t="shared" si="315"/>
        <x:v>0</x:v>
      </x:c>
    </x:row>
    <x:row r="220">
      <x:c r="D220" s="74"/>
      <x:c r="EQ220">
        <x:f t="shared" si="242"/>
        <x:v>0</x:v>
      </x:c>
      <x:c r="ER220">
        <x:f t="shared" si="243"/>
        <x:v>0</x:v>
      </x:c>
      <x:c r="ES220">
        <x:f t="shared" si="244"/>
        <x:v>0</x:v>
      </x:c>
      <x:c r="ET220">
        <x:f t="shared" si="245"/>
        <x:v>0</x:v>
      </x:c>
      <x:c r="EU220">
        <x:f t="shared" si="246"/>
        <x:v>0</x:v>
      </x:c>
      <x:c r="EV220">
        <x:f t="shared" si="247"/>
        <x:v>0</x:v>
      </x:c>
      <x:c r="EW220">
        <x:f t="shared" si="248"/>
        <x:v>0</x:v>
      </x:c>
      <x:c r="EX220">
        <x:f t="shared" si="249"/>
        <x:v>0</x:v>
      </x:c>
      <x:c r="EY220">
        <x:f t="shared" si="250"/>
        <x:v>0</x:v>
      </x:c>
      <x:c r="EZ220">
        <x:f t="shared" si="251"/>
        <x:v>0</x:v>
      </x:c>
      <x:c r="FA220" s="41">
        <x:f t="shared" si="252"/>
        <x:v>0</x:v>
      </x:c>
      <x:c r="FB220">
        <x:f t="shared" si="253"/>
        <x:v>0</x:v>
      </x:c>
      <x:c r="FC220">
        <x:f t="shared" si="254"/>
        <x:v>0</x:v>
      </x:c>
      <x:c r="FD220">
        <x:f t="shared" si="255"/>
        <x:v>0</x:v>
      </x:c>
      <x:c r="FE220">
        <x:f t="shared" si="256"/>
        <x:v>0</x:v>
      </x:c>
      <x:c r="FF220">
        <x:f t="shared" si="257"/>
        <x:v>0</x:v>
      </x:c>
      <x:c r="FG220">
        <x:f t="shared" si="258"/>
        <x:v>0</x:v>
      </x:c>
      <x:c r="FH220">
        <x:f t="shared" si="259"/>
        <x:v>0</x:v>
      </x:c>
      <x:c r="FI220">
        <x:f t="shared" si="260"/>
        <x:v>0</x:v>
      </x:c>
      <x:c r="FJ220">
        <x:f t="shared" si="261"/>
        <x:v>0</x:v>
      </x:c>
      <x:c r="FK220">
        <x:f t="shared" si="262"/>
        <x:v>0</x:v>
      </x:c>
      <x:c r="FL220" s="41">
        <x:f t="shared" si="263"/>
        <x:v>0</x:v>
      </x:c>
      <x:c r="FM220">
        <x:f t="shared" si="264"/>
        <x:v>0</x:v>
      </x:c>
      <x:c r="FN220">
        <x:f t="shared" si="265"/>
        <x:v>0</x:v>
      </x:c>
      <x:c r="FO220">
        <x:f t="shared" si="266"/>
        <x:v>0</x:v>
      </x:c>
      <x:c r="FP220">
        <x:f t="shared" si="267"/>
        <x:v>0</x:v>
      </x:c>
      <x:c r="FQ220">
        <x:f t="shared" si="268"/>
        <x:v>0</x:v>
      </x:c>
      <x:c r="FR220">
        <x:f t="shared" si="269"/>
        <x:v>0</x:v>
      </x:c>
      <x:c r="FS220">
        <x:f t="shared" si="270"/>
        <x:v>0</x:v>
      </x:c>
      <x:c r="FT220">
        <x:f t="shared" si="271"/>
        <x:v>0</x:v>
      </x:c>
      <x:c r="FU220">
        <x:f t="shared" si="272"/>
        <x:v>0</x:v>
      </x:c>
      <x:c r="FV220">
        <x:f t="shared" si="273"/>
        <x:v>0</x:v>
      </x:c>
      <x:c r="FW220" s="41">
        <x:f t="shared" si="274"/>
        <x:v>0</x:v>
      </x:c>
      <x:c r="FX220">
        <x:f t="shared" si="275"/>
        <x:v>0</x:v>
      </x:c>
      <x:c r="FY220">
        <x:f t="shared" si="276"/>
        <x:v>0</x:v>
      </x:c>
      <x:c r="FZ220">
        <x:f t="shared" si="277"/>
        <x:v>0</x:v>
      </x:c>
      <x:c r="GA220">
        <x:f t="shared" si="278"/>
        <x:v>0</x:v>
      </x:c>
      <x:c r="GB220">
        <x:f t="shared" si="279"/>
        <x:v>0</x:v>
      </x:c>
      <x:c r="GC220">
        <x:f t="shared" si="280"/>
        <x:v>0</x:v>
      </x:c>
      <x:c r="GD220">
        <x:f t="shared" si="281"/>
        <x:v>0</x:v>
      </x:c>
      <x:c r="GE220">
        <x:f t="shared" si="282"/>
        <x:v>0</x:v>
      </x:c>
      <x:c r="GF220">
        <x:f t="shared" si="283"/>
        <x:v>0</x:v>
      </x:c>
      <x:c r="GG220">
        <x:f t="shared" si="284"/>
        <x:v>0</x:v>
      </x:c>
      <x:c r="GH220">
        <x:f t="shared" si="285"/>
        <x:v>0</x:v>
      </x:c>
      <x:c r="GI220">
        <x:f t="shared" si="286"/>
        <x:v>0</x:v>
      </x:c>
      <x:c r="GJ220">
        <x:f t="shared" si="287"/>
        <x:v>0</x:v>
      </x:c>
      <x:c r="GK220">
        <x:f t="shared" si="288"/>
        <x:v>0</x:v>
      </x:c>
      <x:c r="GL220">
        <x:f t="shared" si="289"/>
        <x:v>0</x:v>
      </x:c>
      <x:c r="GM220">
        <x:f t="shared" si="290"/>
        <x:v>0</x:v>
      </x:c>
      <x:c r="GN220">
        <x:f t="shared" si="291"/>
        <x:v>0</x:v>
      </x:c>
      <x:c r="GO220">
        <x:f t="shared" si="292"/>
        <x:v>0</x:v>
      </x:c>
      <x:c r="GP220">
        <x:f t="shared" si="293"/>
        <x:v>0</x:v>
      </x:c>
      <x:c r="GQ220">
        <x:f t="shared" si="294"/>
        <x:v>0</x:v>
      </x:c>
      <x:c r="GR220" s="42">
        <x:f t="shared" si="295"/>
        <x:v>0</x:v>
      </x:c>
      <x:c r="GS220">
        <x:f t="shared" si="296"/>
        <x:v>0</x:v>
      </x:c>
      <x:c r="GT220">
        <x:f t="shared" si="297"/>
        <x:v>0</x:v>
      </x:c>
      <x:c r="GU220">
        <x:f t="shared" si="298"/>
        <x:v>0</x:v>
      </x:c>
      <x:c r="GV220">
        <x:f t="shared" si="299"/>
        <x:v>0</x:v>
      </x:c>
      <x:c r="GW220">
        <x:f t="shared" si="300"/>
        <x:v>0</x:v>
      </x:c>
      <x:c r="GX220">
        <x:f t="shared" si="301"/>
        <x:v>0</x:v>
      </x:c>
      <x:c r="GY220">
        <x:f t="shared" si="302"/>
        <x:v>0</x:v>
      </x:c>
      <x:c r="GZ220">
        <x:f t="shared" si="303"/>
        <x:v>0</x:v>
      </x:c>
      <x:c r="HA220">
        <x:f t="shared" si="304"/>
        <x:v>0</x:v>
      </x:c>
      <x:c r="HB220" s="42">
        <x:f t="shared" si="305"/>
        <x:v>0</x:v>
      </x:c>
      <x:c r="HC220">
        <x:f t="shared" si="306"/>
        <x:v>0</x:v>
      </x:c>
      <x:c r="HD220">
        <x:f t="shared" si="307"/>
        <x:v>0</x:v>
      </x:c>
      <x:c r="HE220">
        <x:f t="shared" si="308"/>
        <x:v>0</x:v>
      </x:c>
      <x:c r="HF220">
        <x:f t="shared" si="309"/>
        <x:v>0</x:v>
      </x:c>
      <x:c r="HG220">
        <x:f t="shared" si="310"/>
        <x:v>0</x:v>
      </x:c>
      <x:c r="HH220">
        <x:f t="shared" si="311"/>
        <x:v>0</x:v>
      </x:c>
      <x:c r="HI220">
        <x:f t="shared" si="312"/>
        <x:v>0</x:v>
      </x:c>
      <x:c r="HJ220">
        <x:f t="shared" si="313"/>
        <x:v>0</x:v>
      </x:c>
      <x:c r="HK220">
        <x:f t="shared" si="314"/>
        <x:v>0</x:v>
      </x:c>
      <x:c r="HL220">
        <x:f t="shared" si="315"/>
        <x:v>0</x:v>
      </x:c>
    </x:row>
    <x:row r="221">
      <x:c r="D221" s="74"/>
      <x:c r="EQ221">
        <x:f t="shared" si="242"/>
        <x:v>0</x:v>
      </x:c>
      <x:c r="ER221">
        <x:f t="shared" si="243"/>
        <x:v>0</x:v>
      </x:c>
      <x:c r="ES221">
        <x:f t="shared" si="244"/>
        <x:v>0</x:v>
      </x:c>
      <x:c r="ET221">
        <x:f t="shared" si="245"/>
        <x:v>0</x:v>
      </x:c>
      <x:c r="EU221">
        <x:f t="shared" si="246"/>
        <x:v>0</x:v>
      </x:c>
      <x:c r="EV221">
        <x:f t="shared" si="247"/>
        <x:v>0</x:v>
      </x:c>
      <x:c r="EW221">
        <x:f t="shared" si="248"/>
        <x:v>0</x:v>
      </x:c>
      <x:c r="EX221">
        <x:f t="shared" si="249"/>
        <x:v>0</x:v>
      </x:c>
      <x:c r="EY221">
        <x:f t="shared" si="250"/>
        <x:v>0</x:v>
      </x:c>
      <x:c r="EZ221">
        <x:f t="shared" si="251"/>
        <x:v>0</x:v>
      </x:c>
      <x:c r="FA221" s="41">
        <x:f t="shared" si="252"/>
        <x:v>0</x:v>
      </x:c>
      <x:c r="FB221">
        <x:f t="shared" si="253"/>
        <x:v>0</x:v>
      </x:c>
      <x:c r="FC221">
        <x:f t="shared" si="254"/>
        <x:v>0</x:v>
      </x:c>
      <x:c r="FD221">
        <x:f t="shared" si="255"/>
        <x:v>0</x:v>
      </x:c>
      <x:c r="FE221">
        <x:f t="shared" si="256"/>
        <x:v>0</x:v>
      </x:c>
      <x:c r="FF221">
        <x:f t="shared" si="257"/>
        <x:v>0</x:v>
      </x:c>
      <x:c r="FG221">
        <x:f t="shared" si="258"/>
        <x:v>0</x:v>
      </x:c>
      <x:c r="FH221">
        <x:f t="shared" si="259"/>
        <x:v>0</x:v>
      </x:c>
      <x:c r="FI221">
        <x:f t="shared" si="260"/>
        <x:v>0</x:v>
      </x:c>
      <x:c r="FJ221">
        <x:f t="shared" si="261"/>
        <x:v>0</x:v>
      </x:c>
      <x:c r="FK221">
        <x:f t="shared" si="262"/>
        <x:v>0</x:v>
      </x:c>
      <x:c r="FL221" s="41">
        <x:f t="shared" si="263"/>
        <x:v>0</x:v>
      </x:c>
      <x:c r="FM221">
        <x:f t="shared" si="264"/>
        <x:v>0</x:v>
      </x:c>
      <x:c r="FN221">
        <x:f t="shared" si="265"/>
        <x:v>0</x:v>
      </x:c>
      <x:c r="FO221">
        <x:f t="shared" si="266"/>
        <x:v>0</x:v>
      </x:c>
      <x:c r="FP221">
        <x:f t="shared" si="267"/>
        <x:v>0</x:v>
      </x:c>
      <x:c r="FQ221">
        <x:f t="shared" si="268"/>
        <x:v>0</x:v>
      </x:c>
      <x:c r="FR221">
        <x:f t="shared" si="269"/>
        <x:v>0</x:v>
      </x:c>
      <x:c r="FS221">
        <x:f t="shared" si="270"/>
        <x:v>0</x:v>
      </x:c>
      <x:c r="FT221">
        <x:f t="shared" si="271"/>
        <x:v>0</x:v>
      </x:c>
      <x:c r="FU221">
        <x:f t="shared" si="272"/>
        <x:v>0</x:v>
      </x:c>
      <x:c r="FV221">
        <x:f t="shared" si="273"/>
        <x:v>0</x:v>
      </x:c>
      <x:c r="FW221" s="41">
        <x:f t="shared" si="274"/>
        <x:v>0</x:v>
      </x:c>
      <x:c r="FX221">
        <x:f t="shared" si="275"/>
        <x:v>0</x:v>
      </x:c>
      <x:c r="FY221">
        <x:f t="shared" si="276"/>
        <x:v>0</x:v>
      </x:c>
      <x:c r="FZ221">
        <x:f t="shared" si="277"/>
        <x:v>0</x:v>
      </x:c>
      <x:c r="GA221">
        <x:f t="shared" si="278"/>
        <x:v>0</x:v>
      </x:c>
      <x:c r="GB221">
        <x:f t="shared" si="279"/>
        <x:v>0</x:v>
      </x:c>
      <x:c r="GC221">
        <x:f t="shared" si="280"/>
        <x:v>0</x:v>
      </x:c>
      <x:c r="GD221">
        <x:f t="shared" si="281"/>
        <x:v>0</x:v>
      </x:c>
      <x:c r="GE221">
        <x:f t="shared" si="282"/>
        <x:v>0</x:v>
      </x:c>
      <x:c r="GF221">
        <x:f t="shared" si="283"/>
        <x:v>0</x:v>
      </x:c>
      <x:c r="GG221">
        <x:f t="shared" si="284"/>
        <x:v>0</x:v>
      </x:c>
      <x:c r="GH221">
        <x:f t="shared" si="285"/>
        <x:v>0</x:v>
      </x:c>
      <x:c r="GI221">
        <x:f t="shared" si="286"/>
        <x:v>0</x:v>
      </x:c>
      <x:c r="GJ221">
        <x:f t="shared" si="287"/>
        <x:v>0</x:v>
      </x:c>
      <x:c r="GK221">
        <x:f t="shared" si="288"/>
        <x:v>0</x:v>
      </x:c>
      <x:c r="GL221">
        <x:f t="shared" si="289"/>
        <x:v>0</x:v>
      </x:c>
      <x:c r="GM221">
        <x:f t="shared" si="290"/>
        <x:v>0</x:v>
      </x:c>
      <x:c r="GN221">
        <x:f t="shared" si="291"/>
        <x:v>0</x:v>
      </x:c>
      <x:c r="GO221">
        <x:f t="shared" si="292"/>
        <x:v>0</x:v>
      </x:c>
      <x:c r="GP221">
        <x:f t="shared" si="293"/>
        <x:v>0</x:v>
      </x:c>
      <x:c r="GQ221">
        <x:f t="shared" si="294"/>
        <x:v>0</x:v>
      </x:c>
      <x:c r="GR221" s="42">
        <x:f t="shared" si="295"/>
        <x:v>0</x:v>
      </x:c>
      <x:c r="GS221">
        <x:f t="shared" si="296"/>
        <x:v>0</x:v>
      </x:c>
      <x:c r="GT221">
        <x:f t="shared" si="297"/>
        <x:v>0</x:v>
      </x:c>
      <x:c r="GU221">
        <x:f t="shared" si="298"/>
        <x:v>0</x:v>
      </x:c>
      <x:c r="GV221">
        <x:f t="shared" si="299"/>
        <x:v>0</x:v>
      </x:c>
      <x:c r="GW221">
        <x:f t="shared" si="300"/>
        <x:v>0</x:v>
      </x:c>
      <x:c r="GX221">
        <x:f t="shared" si="301"/>
        <x:v>0</x:v>
      </x:c>
      <x:c r="GY221">
        <x:f t="shared" si="302"/>
        <x:v>0</x:v>
      </x:c>
      <x:c r="GZ221">
        <x:f t="shared" si="303"/>
        <x:v>0</x:v>
      </x:c>
      <x:c r="HA221">
        <x:f t="shared" si="304"/>
        <x:v>0</x:v>
      </x:c>
      <x:c r="HB221" s="42">
        <x:f t="shared" si="305"/>
        <x:v>0</x:v>
      </x:c>
      <x:c r="HC221">
        <x:f t="shared" si="306"/>
        <x:v>0</x:v>
      </x:c>
      <x:c r="HD221">
        <x:f t="shared" si="307"/>
        <x:v>0</x:v>
      </x:c>
      <x:c r="HE221">
        <x:f t="shared" si="308"/>
        <x:v>0</x:v>
      </x:c>
      <x:c r="HF221">
        <x:f t="shared" si="309"/>
        <x:v>0</x:v>
      </x:c>
      <x:c r="HG221">
        <x:f t="shared" si="310"/>
        <x:v>0</x:v>
      </x:c>
      <x:c r="HH221">
        <x:f t="shared" si="311"/>
        <x:v>0</x:v>
      </x:c>
      <x:c r="HI221">
        <x:f t="shared" si="312"/>
        <x:v>0</x:v>
      </x:c>
      <x:c r="HJ221">
        <x:f t="shared" si="313"/>
        <x:v>0</x:v>
      </x:c>
      <x:c r="HK221">
        <x:f t="shared" si="314"/>
        <x:v>0</x:v>
      </x:c>
      <x:c r="HL221">
        <x:f t="shared" si="315"/>
        <x:v>0</x:v>
      </x:c>
    </x:row>
    <x:row r="222">
      <x:c r="D222" s="74"/>
      <x:c r="EQ222">
        <x:f t="shared" si="242"/>
        <x:v>0</x:v>
      </x:c>
      <x:c r="ER222">
        <x:f t="shared" si="243"/>
        <x:v>0</x:v>
      </x:c>
      <x:c r="ES222">
        <x:f t="shared" si="244"/>
        <x:v>0</x:v>
      </x:c>
      <x:c r="ET222">
        <x:f t="shared" si="245"/>
        <x:v>0</x:v>
      </x:c>
      <x:c r="EU222">
        <x:f t="shared" si="246"/>
        <x:v>0</x:v>
      </x:c>
      <x:c r="EV222">
        <x:f t="shared" si="247"/>
        <x:v>0</x:v>
      </x:c>
      <x:c r="EW222">
        <x:f t="shared" si="248"/>
        <x:v>0</x:v>
      </x:c>
      <x:c r="EX222">
        <x:f t="shared" si="249"/>
        <x:v>0</x:v>
      </x:c>
      <x:c r="EY222">
        <x:f t="shared" si="250"/>
        <x:v>0</x:v>
      </x:c>
      <x:c r="EZ222">
        <x:f t="shared" si="251"/>
        <x:v>0</x:v>
      </x:c>
      <x:c r="FA222" s="41">
        <x:f t="shared" si="252"/>
        <x:v>0</x:v>
      </x:c>
      <x:c r="FB222">
        <x:f t="shared" si="253"/>
        <x:v>0</x:v>
      </x:c>
      <x:c r="FC222">
        <x:f t="shared" si="254"/>
        <x:v>0</x:v>
      </x:c>
      <x:c r="FD222">
        <x:f t="shared" si="255"/>
        <x:v>0</x:v>
      </x:c>
      <x:c r="FE222">
        <x:f t="shared" si="256"/>
        <x:v>0</x:v>
      </x:c>
      <x:c r="FF222">
        <x:f t="shared" si="257"/>
        <x:v>0</x:v>
      </x:c>
      <x:c r="FG222">
        <x:f t="shared" si="258"/>
        <x:v>0</x:v>
      </x:c>
      <x:c r="FH222">
        <x:f t="shared" si="259"/>
        <x:v>0</x:v>
      </x:c>
      <x:c r="FI222">
        <x:f t="shared" si="260"/>
        <x:v>0</x:v>
      </x:c>
      <x:c r="FJ222">
        <x:f t="shared" si="261"/>
        <x:v>0</x:v>
      </x:c>
      <x:c r="FK222">
        <x:f t="shared" si="262"/>
        <x:v>0</x:v>
      </x:c>
      <x:c r="FL222" s="41">
        <x:f t="shared" si="263"/>
        <x:v>0</x:v>
      </x:c>
      <x:c r="FM222">
        <x:f t="shared" si="264"/>
        <x:v>0</x:v>
      </x:c>
      <x:c r="FN222">
        <x:f t="shared" si="265"/>
        <x:v>0</x:v>
      </x:c>
      <x:c r="FO222">
        <x:f t="shared" si="266"/>
        <x:v>0</x:v>
      </x:c>
      <x:c r="FP222">
        <x:f t="shared" si="267"/>
        <x:v>0</x:v>
      </x:c>
      <x:c r="FQ222">
        <x:f t="shared" si="268"/>
        <x:v>0</x:v>
      </x:c>
      <x:c r="FR222">
        <x:f t="shared" si="269"/>
        <x:v>0</x:v>
      </x:c>
      <x:c r="FS222">
        <x:f t="shared" si="270"/>
        <x:v>0</x:v>
      </x:c>
      <x:c r="FT222">
        <x:f t="shared" si="271"/>
        <x:v>0</x:v>
      </x:c>
      <x:c r="FU222">
        <x:f t="shared" si="272"/>
        <x:v>0</x:v>
      </x:c>
      <x:c r="FV222">
        <x:f t="shared" si="273"/>
        <x:v>0</x:v>
      </x:c>
      <x:c r="FW222" s="41">
        <x:f t="shared" si="274"/>
        <x:v>0</x:v>
      </x:c>
      <x:c r="FX222">
        <x:f t="shared" si="275"/>
        <x:v>0</x:v>
      </x:c>
      <x:c r="FY222">
        <x:f t="shared" si="276"/>
        <x:v>0</x:v>
      </x:c>
      <x:c r="FZ222">
        <x:f t="shared" si="277"/>
        <x:v>0</x:v>
      </x:c>
      <x:c r="GA222">
        <x:f t="shared" si="278"/>
        <x:v>0</x:v>
      </x:c>
      <x:c r="GB222">
        <x:f t="shared" si="279"/>
        <x:v>0</x:v>
      </x:c>
      <x:c r="GC222">
        <x:f t="shared" si="280"/>
        <x:v>0</x:v>
      </x:c>
      <x:c r="GD222">
        <x:f t="shared" si="281"/>
        <x:v>0</x:v>
      </x:c>
      <x:c r="GE222">
        <x:f t="shared" si="282"/>
        <x:v>0</x:v>
      </x:c>
      <x:c r="GF222">
        <x:f t="shared" si="283"/>
        <x:v>0</x:v>
      </x:c>
      <x:c r="GG222">
        <x:f t="shared" si="284"/>
        <x:v>0</x:v>
      </x:c>
      <x:c r="GH222">
        <x:f t="shared" si="285"/>
        <x:v>0</x:v>
      </x:c>
      <x:c r="GI222">
        <x:f t="shared" si="286"/>
        <x:v>0</x:v>
      </x:c>
      <x:c r="GJ222">
        <x:f t="shared" si="287"/>
        <x:v>0</x:v>
      </x:c>
      <x:c r="GK222">
        <x:f t="shared" si="288"/>
        <x:v>0</x:v>
      </x:c>
      <x:c r="GL222">
        <x:f t="shared" si="289"/>
        <x:v>0</x:v>
      </x:c>
      <x:c r="GM222">
        <x:f t="shared" si="290"/>
        <x:v>0</x:v>
      </x:c>
      <x:c r="GN222">
        <x:f t="shared" si="291"/>
        <x:v>0</x:v>
      </x:c>
      <x:c r="GO222">
        <x:f t="shared" si="292"/>
        <x:v>0</x:v>
      </x:c>
      <x:c r="GP222">
        <x:f t="shared" si="293"/>
        <x:v>0</x:v>
      </x:c>
      <x:c r="GQ222">
        <x:f t="shared" si="294"/>
        <x:v>0</x:v>
      </x:c>
      <x:c r="GR222" s="42">
        <x:f t="shared" si="295"/>
        <x:v>0</x:v>
      </x:c>
      <x:c r="GS222">
        <x:f t="shared" si="296"/>
        <x:v>0</x:v>
      </x:c>
      <x:c r="GT222">
        <x:f t="shared" si="297"/>
        <x:v>0</x:v>
      </x:c>
      <x:c r="GU222">
        <x:f t="shared" si="298"/>
        <x:v>0</x:v>
      </x:c>
      <x:c r="GV222">
        <x:f t="shared" si="299"/>
        <x:v>0</x:v>
      </x:c>
      <x:c r="GW222">
        <x:f t="shared" si="300"/>
        <x:v>0</x:v>
      </x:c>
      <x:c r="GX222">
        <x:f t="shared" si="301"/>
        <x:v>0</x:v>
      </x:c>
      <x:c r="GY222">
        <x:f t="shared" si="302"/>
        <x:v>0</x:v>
      </x:c>
      <x:c r="GZ222">
        <x:f t="shared" si="303"/>
        <x:v>0</x:v>
      </x:c>
      <x:c r="HA222">
        <x:f t="shared" si="304"/>
        <x:v>0</x:v>
      </x:c>
      <x:c r="HB222" s="42">
        <x:f t="shared" si="305"/>
        <x:v>0</x:v>
      </x:c>
      <x:c r="HC222">
        <x:f t="shared" si="306"/>
        <x:v>0</x:v>
      </x:c>
      <x:c r="HD222">
        <x:f t="shared" si="307"/>
        <x:v>0</x:v>
      </x:c>
      <x:c r="HE222">
        <x:f t="shared" si="308"/>
        <x:v>0</x:v>
      </x:c>
      <x:c r="HF222">
        <x:f t="shared" si="309"/>
        <x:v>0</x:v>
      </x:c>
      <x:c r="HG222">
        <x:f t="shared" si="310"/>
        <x:v>0</x:v>
      </x:c>
      <x:c r="HH222">
        <x:f t="shared" si="311"/>
        <x:v>0</x:v>
      </x:c>
      <x:c r="HI222">
        <x:f t="shared" si="312"/>
        <x:v>0</x:v>
      </x:c>
      <x:c r="HJ222">
        <x:f t="shared" si="313"/>
        <x:v>0</x:v>
      </x:c>
      <x:c r="HK222">
        <x:f t="shared" si="314"/>
        <x:v>0</x:v>
      </x:c>
      <x:c r="HL222">
        <x:f t="shared" si="315"/>
        <x:v>0</x:v>
      </x:c>
    </x:row>
    <x:row r="223">
      <x:c r="D223" s="74"/>
      <x:c r="EQ223">
        <x:f t="shared" si="242"/>
        <x:v>0</x:v>
      </x:c>
      <x:c r="ER223">
        <x:f t="shared" si="243"/>
        <x:v>0</x:v>
      </x:c>
      <x:c r="ES223">
        <x:f t="shared" si="244"/>
        <x:v>0</x:v>
      </x:c>
      <x:c r="ET223">
        <x:f t="shared" si="245"/>
        <x:v>0</x:v>
      </x:c>
      <x:c r="EU223">
        <x:f t="shared" si="246"/>
        <x:v>0</x:v>
      </x:c>
      <x:c r="EV223">
        <x:f t="shared" si="247"/>
        <x:v>0</x:v>
      </x:c>
      <x:c r="EW223">
        <x:f t="shared" si="248"/>
        <x:v>0</x:v>
      </x:c>
      <x:c r="EX223">
        <x:f t="shared" si="249"/>
        <x:v>0</x:v>
      </x:c>
      <x:c r="EY223">
        <x:f t="shared" si="250"/>
        <x:v>0</x:v>
      </x:c>
      <x:c r="EZ223">
        <x:f t="shared" si="251"/>
        <x:v>0</x:v>
      </x:c>
      <x:c r="FA223" s="41">
        <x:f t="shared" si="252"/>
        <x:v>0</x:v>
      </x:c>
      <x:c r="FB223">
        <x:f t="shared" si="253"/>
        <x:v>0</x:v>
      </x:c>
      <x:c r="FC223">
        <x:f t="shared" si="254"/>
        <x:v>0</x:v>
      </x:c>
      <x:c r="FD223">
        <x:f t="shared" si="255"/>
        <x:v>0</x:v>
      </x:c>
      <x:c r="FE223">
        <x:f t="shared" si="256"/>
        <x:v>0</x:v>
      </x:c>
      <x:c r="FF223">
        <x:f t="shared" si="257"/>
        <x:v>0</x:v>
      </x:c>
      <x:c r="FG223">
        <x:f t="shared" si="258"/>
        <x:v>0</x:v>
      </x:c>
      <x:c r="FH223">
        <x:f t="shared" si="259"/>
        <x:v>0</x:v>
      </x:c>
      <x:c r="FI223">
        <x:f t="shared" si="260"/>
        <x:v>0</x:v>
      </x:c>
      <x:c r="FJ223">
        <x:f t="shared" si="261"/>
        <x:v>0</x:v>
      </x:c>
      <x:c r="FK223">
        <x:f t="shared" si="262"/>
        <x:v>0</x:v>
      </x:c>
      <x:c r="FL223" s="41">
        <x:f t="shared" si="263"/>
        <x:v>0</x:v>
      </x:c>
      <x:c r="FM223">
        <x:f t="shared" si="264"/>
        <x:v>0</x:v>
      </x:c>
      <x:c r="FN223">
        <x:f t="shared" si="265"/>
        <x:v>0</x:v>
      </x:c>
      <x:c r="FO223">
        <x:f t="shared" si="266"/>
        <x:v>0</x:v>
      </x:c>
      <x:c r="FP223">
        <x:f t="shared" si="267"/>
        <x:v>0</x:v>
      </x:c>
      <x:c r="FQ223">
        <x:f t="shared" si="268"/>
        <x:v>0</x:v>
      </x:c>
      <x:c r="FR223">
        <x:f t="shared" si="269"/>
        <x:v>0</x:v>
      </x:c>
      <x:c r="FS223">
        <x:f t="shared" si="270"/>
        <x:v>0</x:v>
      </x:c>
      <x:c r="FT223">
        <x:f t="shared" si="271"/>
        <x:v>0</x:v>
      </x:c>
      <x:c r="FU223">
        <x:f t="shared" si="272"/>
        <x:v>0</x:v>
      </x:c>
      <x:c r="FV223">
        <x:f t="shared" si="273"/>
        <x:v>0</x:v>
      </x:c>
      <x:c r="FW223" s="41">
        <x:f t="shared" si="274"/>
        <x:v>0</x:v>
      </x:c>
      <x:c r="FX223">
        <x:f t="shared" si="275"/>
        <x:v>0</x:v>
      </x:c>
      <x:c r="FY223">
        <x:f t="shared" si="276"/>
        <x:v>0</x:v>
      </x:c>
      <x:c r="FZ223">
        <x:f t="shared" si="277"/>
        <x:v>0</x:v>
      </x:c>
      <x:c r="GA223">
        <x:f t="shared" si="278"/>
        <x:v>0</x:v>
      </x:c>
      <x:c r="GB223">
        <x:f t="shared" si="279"/>
        <x:v>0</x:v>
      </x:c>
      <x:c r="GC223">
        <x:f t="shared" si="280"/>
        <x:v>0</x:v>
      </x:c>
      <x:c r="GD223">
        <x:f t="shared" si="281"/>
        <x:v>0</x:v>
      </x:c>
      <x:c r="GE223">
        <x:f t="shared" si="282"/>
        <x:v>0</x:v>
      </x:c>
      <x:c r="GF223">
        <x:f t="shared" si="283"/>
        <x:v>0</x:v>
      </x:c>
      <x:c r="GG223">
        <x:f t="shared" si="284"/>
        <x:v>0</x:v>
      </x:c>
      <x:c r="GH223">
        <x:f t="shared" si="285"/>
        <x:v>0</x:v>
      </x:c>
      <x:c r="GI223">
        <x:f t="shared" si="286"/>
        <x:v>0</x:v>
      </x:c>
      <x:c r="GJ223">
        <x:f t="shared" si="287"/>
        <x:v>0</x:v>
      </x:c>
      <x:c r="GK223">
        <x:f t="shared" si="288"/>
        <x:v>0</x:v>
      </x:c>
      <x:c r="GL223">
        <x:f t="shared" si="289"/>
        <x:v>0</x:v>
      </x:c>
      <x:c r="GM223">
        <x:f t="shared" si="290"/>
        <x:v>0</x:v>
      </x:c>
      <x:c r="GN223">
        <x:f t="shared" si="291"/>
        <x:v>0</x:v>
      </x:c>
      <x:c r="GO223">
        <x:f t="shared" si="292"/>
        <x:v>0</x:v>
      </x:c>
      <x:c r="GP223">
        <x:f t="shared" si="293"/>
        <x:v>0</x:v>
      </x:c>
      <x:c r="GQ223">
        <x:f t="shared" si="294"/>
        <x:v>0</x:v>
      </x:c>
      <x:c r="GR223" s="42">
        <x:f t="shared" si="295"/>
        <x:v>0</x:v>
      </x:c>
      <x:c r="GS223">
        <x:f t="shared" si="296"/>
        <x:v>0</x:v>
      </x:c>
      <x:c r="GT223">
        <x:f t="shared" si="297"/>
        <x:v>0</x:v>
      </x:c>
      <x:c r="GU223">
        <x:f t="shared" si="298"/>
        <x:v>0</x:v>
      </x:c>
      <x:c r="GV223">
        <x:f t="shared" si="299"/>
        <x:v>0</x:v>
      </x:c>
      <x:c r="GW223">
        <x:f t="shared" si="300"/>
        <x:v>0</x:v>
      </x:c>
      <x:c r="GX223">
        <x:f t="shared" si="301"/>
        <x:v>0</x:v>
      </x:c>
      <x:c r="GY223">
        <x:f t="shared" si="302"/>
        <x:v>0</x:v>
      </x:c>
      <x:c r="GZ223">
        <x:f t="shared" si="303"/>
        <x:v>0</x:v>
      </x:c>
      <x:c r="HA223">
        <x:f t="shared" si="304"/>
        <x:v>0</x:v>
      </x:c>
      <x:c r="HB223" s="42">
        <x:f t="shared" si="305"/>
        <x:v>0</x:v>
      </x:c>
      <x:c r="HC223">
        <x:f t="shared" si="306"/>
        <x:v>0</x:v>
      </x:c>
      <x:c r="HD223">
        <x:f t="shared" si="307"/>
        <x:v>0</x:v>
      </x:c>
      <x:c r="HE223">
        <x:f t="shared" si="308"/>
        <x:v>0</x:v>
      </x:c>
      <x:c r="HF223">
        <x:f t="shared" si="309"/>
        <x:v>0</x:v>
      </x:c>
      <x:c r="HG223">
        <x:f t="shared" si="310"/>
        <x:v>0</x:v>
      </x:c>
      <x:c r="HH223">
        <x:f t="shared" si="311"/>
        <x:v>0</x:v>
      </x:c>
      <x:c r="HI223">
        <x:f t="shared" si="312"/>
        <x:v>0</x:v>
      </x:c>
      <x:c r="HJ223">
        <x:f t="shared" si="313"/>
        <x:v>0</x:v>
      </x:c>
      <x:c r="HK223">
        <x:f t="shared" si="314"/>
        <x:v>0</x:v>
      </x:c>
      <x:c r="HL223">
        <x:f t="shared" si="315"/>
        <x:v>0</x:v>
      </x:c>
    </x:row>
    <x:row r="224">
      <x:c r="D224" s="74"/>
      <x:c r="EQ224">
        <x:f t="shared" si="242"/>
        <x:v>0</x:v>
      </x:c>
      <x:c r="ER224">
        <x:f t="shared" si="243"/>
        <x:v>0</x:v>
      </x:c>
      <x:c r="ES224">
        <x:f t="shared" si="244"/>
        <x:v>0</x:v>
      </x:c>
      <x:c r="ET224">
        <x:f t="shared" si="245"/>
        <x:v>0</x:v>
      </x:c>
      <x:c r="EU224">
        <x:f t="shared" si="246"/>
        <x:v>0</x:v>
      </x:c>
      <x:c r="EV224">
        <x:f t="shared" si="247"/>
        <x:v>0</x:v>
      </x:c>
      <x:c r="EW224">
        <x:f t="shared" si="248"/>
        <x:v>0</x:v>
      </x:c>
      <x:c r="EX224">
        <x:f t="shared" si="249"/>
        <x:v>0</x:v>
      </x:c>
      <x:c r="EY224">
        <x:f t="shared" si="250"/>
        <x:v>0</x:v>
      </x:c>
      <x:c r="EZ224">
        <x:f t="shared" si="251"/>
        <x:v>0</x:v>
      </x:c>
      <x:c r="FA224" s="41">
        <x:f t="shared" si="252"/>
        <x:v>0</x:v>
      </x:c>
      <x:c r="FB224">
        <x:f t="shared" si="253"/>
        <x:v>0</x:v>
      </x:c>
      <x:c r="FC224">
        <x:f t="shared" si="254"/>
        <x:v>0</x:v>
      </x:c>
      <x:c r="FD224">
        <x:f t="shared" si="255"/>
        <x:v>0</x:v>
      </x:c>
      <x:c r="FE224">
        <x:f t="shared" si="256"/>
        <x:v>0</x:v>
      </x:c>
      <x:c r="FF224">
        <x:f t="shared" si="257"/>
        <x:v>0</x:v>
      </x:c>
      <x:c r="FG224">
        <x:f t="shared" si="258"/>
        <x:v>0</x:v>
      </x:c>
      <x:c r="FH224">
        <x:f t="shared" si="259"/>
        <x:v>0</x:v>
      </x:c>
      <x:c r="FI224">
        <x:f t="shared" si="260"/>
        <x:v>0</x:v>
      </x:c>
      <x:c r="FJ224">
        <x:f t="shared" si="261"/>
        <x:v>0</x:v>
      </x:c>
      <x:c r="FK224">
        <x:f t="shared" si="262"/>
        <x:v>0</x:v>
      </x:c>
      <x:c r="FL224" s="41">
        <x:f t="shared" si="263"/>
        <x:v>0</x:v>
      </x:c>
      <x:c r="FM224">
        <x:f t="shared" si="264"/>
        <x:v>0</x:v>
      </x:c>
      <x:c r="FN224">
        <x:f t="shared" si="265"/>
        <x:v>0</x:v>
      </x:c>
      <x:c r="FO224">
        <x:f t="shared" si="266"/>
        <x:v>0</x:v>
      </x:c>
      <x:c r="FP224">
        <x:f t="shared" si="267"/>
        <x:v>0</x:v>
      </x:c>
      <x:c r="FQ224">
        <x:f t="shared" si="268"/>
        <x:v>0</x:v>
      </x:c>
      <x:c r="FR224">
        <x:f t="shared" si="269"/>
        <x:v>0</x:v>
      </x:c>
      <x:c r="FS224">
        <x:f t="shared" si="270"/>
        <x:v>0</x:v>
      </x:c>
      <x:c r="FT224">
        <x:f t="shared" si="271"/>
        <x:v>0</x:v>
      </x:c>
      <x:c r="FU224">
        <x:f t="shared" si="272"/>
        <x:v>0</x:v>
      </x:c>
      <x:c r="FV224">
        <x:f t="shared" si="273"/>
        <x:v>0</x:v>
      </x:c>
      <x:c r="FW224" s="41">
        <x:f t="shared" si="274"/>
        <x:v>0</x:v>
      </x:c>
      <x:c r="FX224">
        <x:f t="shared" si="275"/>
        <x:v>0</x:v>
      </x:c>
      <x:c r="FY224">
        <x:f t="shared" si="276"/>
        <x:v>0</x:v>
      </x:c>
      <x:c r="FZ224">
        <x:f t="shared" si="277"/>
        <x:v>0</x:v>
      </x:c>
      <x:c r="GA224">
        <x:f t="shared" si="278"/>
        <x:v>0</x:v>
      </x:c>
      <x:c r="GB224">
        <x:f t="shared" si="279"/>
        <x:v>0</x:v>
      </x:c>
      <x:c r="GC224">
        <x:f t="shared" si="280"/>
        <x:v>0</x:v>
      </x:c>
      <x:c r="GD224">
        <x:f t="shared" si="281"/>
        <x:v>0</x:v>
      </x:c>
      <x:c r="GE224">
        <x:f t="shared" si="282"/>
        <x:v>0</x:v>
      </x:c>
      <x:c r="GF224">
        <x:f t="shared" si="283"/>
        <x:v>0</x:v>
      </x:c>
      <x:c r="GG224">
        <x:f t="shared" si="284"/>
        <x:v>0</x:v>
      </x:c>
      <x:c r="GH224">
        <x:f t="shared" si="285"/>
        <x:v>0</x:v>
      </x:c>
      <x:c r="GI224">
        <x:f t="shared" si="286"/>
        <x:v>0</x:v>
      </x:c>
      <x:c r="GJ224">
        <x:f t="shared" si="287"/>
        <x:v>0</x:v>
      </x:c>
      <x:c r="GK224">
        <x:f t="shared" si="288"/>
        <x:v>0</x:v>
      </x:c>
      <x:c r="GL224">
        <x:f t="shared" si="289"/>
        <x:v>0</x:v>
      </x:c>
      <x:c r="GM224">
        <x:f t="shared" si="290"/>
        <x:v>0</x:v>
      </x:c>
      <x:c r="GN224">
        <x:f t="shared" si="291"/>
        <x:v>0</x:v>
      </x:c>
      <x:c r="GO224">
        <x:f t="shared" si="292"/>
        <x:v>0</x:v>
      </x:c>
      <x:c r="GP224">
        <x:f t="shared" si="293"/>
        <x:v>0</x:v>
      </x:c>
      <x:c r="GQ224">
        <x:f t="shared" si="294"/>
        <x:v>0</x:v>
      </x:c>
      <x:c r="GR224" s="42">
        <x:f t="shared" si="295"/>
        <x:v>0</x:v>
      </x:c>
      <x:c r="GS224">
        <x:f t="shared" si="296"/>
        <x:v>0</x:v>
      </x:c>
      <x:c r="GT224">
        <x:f t="shared" si="297"/>
        <x:v>0</x:v>
      </x:c>
      <x:c r="GU224">
        <x:f t="shared" si="298"/>
        <x:v>0</x:v>
      </x:c>
      <x:c r="GV224">
        <x:f t="shared" si="299"/>
        <x:v>0</x:v>
      </x:c>
      <x:c r="GW224">
        <x:f t="shared" si="300"/>
        <x:v>0</x:v>
      </x:c>
      <x:c r="GX224">
        <x:f t="shared" si="301"/>
        <x:v>0</x:v>
      </x:c>
      <x:c r="GY224">
        <x:f t="shared" si="302"/>
        <x:v>0</x:v>
      </x:c>
      <x:c r="GZ224">
        <x:f t="shared" si="303"/>
        <x:v>0</x:v>
      </x:c>
      <x:c r="HA224">
        <x:f t="shared" si="304"/>
        <x:v>0</x:v>
      </x:c>
      <x:c r="HB224" s="42">
        <x:f t="shared" si="305"/>
        <x:v>0</x:v>
      </x:c>
      <x:c r="HC224">
        <x:f t="shared" si="306"/>
        <x:v>0</x:v>
      </x:c>
      <x:c r="HD224">
        <x:f t="shared" si="307"/>
        <x:v>0</x:v>
      </x:c>
      <x:c r="HE224">
        <x:f t="shared" si="308"/>
        <x:v>0</x:v>
      </x:c>
      <x:c r="HF224">
        <x:f t="shared" si="309"/>
        <x:v>0</x:v>
      </x:c>
      <x:c r="HG224">
        <x:f t="shared" si="310"/>
        <x:v>0</x:v>
      </x:c>
      <x:c r="HH224">
        <x:f t="shared" si="311"/>
        <x:v>0</x:v>
      </x:c>
      <x:c r="HI224">
        <x:f t="shared" si="312"/>
        <x:v>0</x:v>
      </x:c>
      <x:c r="HJ224">
        <x:f t="shared" si="313"/>
        <x:v>0</x:v>
      </x:c>
      <x:c r="HK224">
        <x:f t="shared" si="314"/>
        <x:v>0</x:v>
      </x:c>
      <x:c r="HL224">
        <x:f t="shared" si="315"/>
        <x:v>0</x:v>
      </x:c>
    </x:row>
    <x:row r="225">
      <x:c r="D225" s="74"/>
      <x:c r="EQ225">
        <x:f t="shared" si="242"/>
        <x:v>0</x:v>
      </x:c>
      <x:c r="ER225">
        <x:f t="shared" si="243"/>
        <x:v>0</x:v>
      </x:c>
      <x:c r="ES225">
        <x:f t="shared" si="244"/>
        <x:v>0</x:v>
      </x:c>
      <x:c r="ET225">
        <x:f t="shared" si="245"/>
        <x:v>0</x:v>
      </x:c>
      <x:c r="EU225">
        <x:f t="shared" si="246"/>
        <x:v>0</x:v>
      </x:c>
      <x:c r="EV225">
        <x:f t="shared" si="247"/>
        <x:v>0</x:v>
      </x:c>
      <x:c r="EW225">
        <x:f t="shared" si="248"/>
        <x:v>0</x:v>
      </x:c>
      <x:c r="EX225">
        <x:f t="shared" si="249"/>
        <x:v>0</x:v>
      </x:c>
      <x:c r="EY225">
        <x:f t="shared" si="250"/>
        <x:v>0</x:v>
      </x:c>
      <x:c r="EZ225">
        <x:f t="shared" si="251"/>
        <x:v>0</x:v>
      </x:c>
      <x:c r="FA225" s="41">
        <x:f t="shared" si="252"/>
        <x:v>0</x:v>
      </x:c>
      <x:c r="FB225">
        <x:f t="shared" si="253"/>
        <x:v>0</x:v>
      </x:c>
      <x:c r="FC225">
        <x:f t="shared" si="254"/>
        <x:v>0</x:v>
      </x:c>
      <x:c r="FD225">
        <x:f t="shared" si="255"/>
        <x:v>0</x:v>
      </x:c>
      <x:c r="FE225">
        <x:f t="shared" si="256"/>
        <x:v>0</x:v>
      </x:c>
      <x:c r="FF225">
        <x:f t="shared" si="257"/>
        <x:v>0</x:v>
      </x:c>
      <x:c r="FG225">
        <x:f t="shared" si="258"/>
        <x:v>0</x:v>
      </x:c>
      <x:c r="FH225">
        <x:f t="shared" si="259"/>
        <x:v>0</x:v>
      </x:c>
      <x:c r="FI225">
        <x:f t="shared" si="260"/>
        <x:v>0</x:v>
      </x:c>
      <x:c r="FJ225">
        <x:f t="shared" si="261"/>
        <x:v>0</x:v>
      </x:c>
      <x:c r="FK225">
        <x:f t="shared" si="262"/>
        <x:v>0</x:v>
      </x:c>
      <x:c r="FL225" s="41">
        <x:f t="shared" si="263"/>
        <x:v>0</x:v>
      </x:c>
      <x:c r="FM225">
        <x:f t="shared" si="264"/>
        <x:v>0</x:v>
      </x:c>
      <x:c r="FN225">
        <x:f t="shared" si="265"/>
        <x:v>0</x:v>
      </x:c>
      <x:c r="FO225">
        <x:f t="shared" si="266"/>
        <x:v>0</x:v>
      </x:c>
      <x:c r="FP225">
        <x:f t="shared" si="267"/>
        <x:v>0</x:v>
      </x:c>
      <x:c r="FQ225">
        <x:f t="shared" si="268"/>
        <x:v>0</x:v>
      </x:c>
      <x:c r="FR225">
        <x:f t="shared" si="269"/>
        <x:v>0</x:v>
      </x:c>
      <x:c r="FS225">
        <x:f t="shared" si="270"/>
        <x:v>0</x:v>
      </x:c>
      <x:c r="FT225">
        <x:f t="shared" si="271"/>
        <x:v>0</x:v>
      </x:c>
      <x:c r="FU225">
        <x:f t="shared" si="272"/>
        <x:v>0</x:v>
      </x:c>
      <x:c r="FV225">
        <x:f t="shared" si="273"/>
        <x:v>0</x:v>
      </x:c>
      <x:c r="FW225" s="41">
        <x:f t="shared" si="274"/>
        <x:v>0</x:v>
      </x:c>
      <x:c r="FX225">
        <x:f t="shared" si="275"/>
        <x:v>0</x:v>
      </x:c>
      <x:c r="FY225">
        <x:f t="shared" si="276"/>
        <x:v>0</x:v>
      </x:c>
      <x:c r="FZ225">
        <x:f t="shared" si="277"/>
        <x:v>0</x:v>
      </x:c>
      <x:c r="GA225">
        <x:f t="shared" si="278"/>
        <x:v>0</x:v>
      </x:c>
      <x:c r="GB225">
        <x:f t="shared" si="279"/>
        <x:v>0</x:v>
      </x:c>
      <x:c r="GC225">
        <x:f t="shared" si="280"/>
        <x:v>0</x:v>
      </x:c>
      <x:c r="GD225">
        <x:f t="shared" si="281"/>
        <x:v>0</x:v>
      </x:c>
      <x:c r="GE225">
        <x:f t="shared" si="282"/>
        <x:v>0</x:v>
      </x:c>
      <x:c r="GF225">
        <x:f t="shared" si="283"/>
        <x:v>0</x:v>
      </x:c>
      <x:c r="GG225">
        <x:f t="shared" si="284"/>
        <x:v>0</x:v>
      </x:c>
      <x:c r="GH225">
        <x:f t="shared" si="285"/>
        <x:v>0</x:v>
      </x:c>
      <x:c r="GI225">
        <x:f t="shared" si="286"/>
        <x:v>0</x:v>
      </x:c>
      <x:c r="GJ225">
        <x:f t="shared" si="287"/>
        <x:v>0</x:v>
      </x:c>
      <x:c r="GK225">
        <x:f t="shared" si="288"/>
        <x:v>0</x:v>
      </x:c>
      <x:c r="GL225">
        <x:f t="shared" si="289"/>
        <x:v>0</x:v>
      </x:c>
      <x:c r="GM225">
        <x:f t="shared" si="290"/>
        <x:v>0</x:v>
      </x:c>
      <x:c r="GN225">
        <x:f t="shared" si="291"/>
        <x:v>0</x:v>
      </x:c>
      <x:c r="GO225">
        <x:f t="shared" si="292"/>
        <x:v>0</x:v>
      </x:c>
      <x:c r="GP225">
        <x:f t="shared" si="293"/>
        <x:v>0</x:v>
      </x:c>
      <x:c r="GQ225">
        <x:f t="shared" si="294"/>
        <x:v>0</x:v>
      </x:c>
      <x:c r="GR225" s="42">
        <x:f t="shared" si="295"/>
        <x:v>0</x:v>
      </x:c>
      <x:c r="GS225">
        <x:f t="shared" si="296"/>
        <x:v>0</x:v>
      </x:c>
      <x:c r="GT225">
        <x:f t="shared" si="297"/>
        <x:v>0</x:v>
      </x:c>
      <x:c r="GU225">
        <x:f t="shared" si="298"/>
        <x:v>0</x:v>
      </x:c>
      <x:c r="GV225">
        <x:f t="shared" si="299"/>
        <x:v>0</x:v>
      </x:c>
      <x:c r="GW225">
        <x:f t="shared" si="300"/>
        <x:v>0</x:v>
      </x:c>
      <x:c r="GX225">
        <x:f t="shared" si="301"/>
        <x:v>0</x:v>
      </x:c>
      <x:c r="GY225">
        <x:f t="shared" si="302"/>
        <x:v>0</x:v>
      </x:c>
      <x:c r="GZ225">
        <x:f t="shared" si="303"/>
        <x:v>0</x:v>
      </x:c>
      <x:c r="HA225">
        <x:f t="shared" si="304"/>
        <x:v>0</x:v>
      </x:c>
      <x:c r="HB225" s="42">
        <x:f t="shared" si="305"/>
        <x:v>0</x:v>
      </x:c>
      <x:c r="HC225">
        <x:f t="shared" si="306"/>
        <x:v>0</x:v>
      </x:c>
      <x:c r="HD225">
        <x:f t="shared" si="307"/>
        <x:v>0</x:v>
      </x:c>
      <x:c r="HE225">
        <x:f t="shared" si="308"/>
        <x:v>0</x:v>
      </x:c>
      <x:c r="HF225">
        <x:f t="shared" si="309"/>
        <x:v>0</x:v>
      </x:c>
      <x:c r="HG225">
        <x:f t="shared" si="310"/>
        <x:v>0</x:v>
      </x:c>
      <x:c r="HH225">
        <x:f t="shared" si="311"/>
        <x:v>0</x:v>
      </x:c>
      <x:c r="HI225">
        <x:f t="shared" si="312"/>
        <x:v>0</x:v>
      </x:c>
      <x:c r="HJ225">
        <x:f t="shared" si="313"/>
        <x:v>0</x:v>
      </x:c>
      <x:c r="HK225">
        <x:f t="shared" si="314"/>
        <x:v>0</x:v>
      </x:c>
      <x:c r="HL225">
        <x:f t="shared" si="315"/>
        <x:v>0</x:v>
      </x:c>
    </x:row>
    <x:row r="226">
      <x:c r="D226" s="74"/>
      <x:c r="EQ226">
        <x:f t="shared" si="242"/>
        <x:v>0</x:v>
      </x:c>
      <x:c r="ER226">
        <x:f t="shared" si="243"/>
        <x:v>0</x:v>
      </x:c>
      <x:c r="ES226">
        <x:f t="shared" si="244"/>
        <x:v>0</x:v>
      </x:c>
      <x:c r="ET226">
        <x:f t="shared" si="245"/>
        <x:v>0</x:v>
      </x:c>
      <x:c r="EU226">
        <x:f t="shared" si="246"/>
        <x:v>0</x:v>
      </x:c>
      <x:c r="EV226">
        <x:f t="shared" si="247"/>
        <x:v>0</x:v>
      </x:c>
      <x:c r="EW226">
        <x:f t="shared" si="248"/>
        <x:v>0</x:v>
      </x:c>
      <x:c r="EX226">
        <x:f t="shared" si="249"/>
        <x:v>0</x:v>
      </x:c>
      <x:c r="EY226">
        <x:f t="shared" si="250"/>
        <x:v>0</x:v>
      </x:c>
      <x:c r="EZ226">
        <x:f t="shared" si="251"/>
        <x:v>0</x:v>
      </x:c>
      <x:c r="FA226" s="41">
        <x:f t="shared" si="252"/>
        <x:v>0</x:v>
      </x:c>
      <x:c r="FB226">
        <x:f t="shared" si="253"/>
        <x:v>0</x:v>
      </x:c>
      <x:c r="FC226">
        <x:f t="shared" si="254"/>
        <x:v>0</x:v>
      </x:c>
      <x:c r="FD226">
        <x:f t="shared" si="255"/>
        <x:v>0</x:v>
      </x:c>
      <x:c r="FE226">
        <x:f t="shared" si="256"/>
        <x:v>0</x:v>
      </x:c>
      <x:c r="FF226">
        <x:f t="shared" si="257"/>
        <x:v>0</x:v>
      </x:c>
      <x:c r="FG226">
        <x:f t="shared" si="258"/>
        <x:v>0</x:v>
      </x:c>
      <x:c r="FH226">
        <x:f t="shared" si="259"/>
        <x:v>0</x:v>
      </x:c>
      <x:c r="FI226">
        <x:f t="shared" si="260"/>
        <x:v>0</x:v>
      </x:c>
      <x:c r="FJ226">
        <x:f t="shared" si="261"/>
        <x:v>0</x:v>
      </x:c>
      <x:c r="FK226">
        <x:f t="shared" si="262"/>
        <x:v>0</x:v>
      </x:c>
      <x:c r="FL226" s="41">
        <x:f t="shared" si="263"/>
        <x:v>0</x:v>
      </x:c>
      <x:c r="FM226">
        <x:f t="shared" si="264"/>
        <x:v>0</x:v>
      </x:c>
      <x:c r="FN226">
        <x:f t="shared" si="265"/>
        <x:v>0</x:v>
      </x:c>
      <x:c r="FO226">
        <x:f t="shared" si="266"/>
        <x:v>0</x:v>
      </x:c>
      <x:c r="FP226">
        <x:f t="shared" si="267"/>
        <x:v>0</x:v>
      </x:c>
      <x:c r="FQ226">
        <x:f t="shared" si="268"/>
        <x:v>0</x:v>
      </x:c>
      <x:c r="FR226">
        <x:f t="shared" si="269"/>
        <x:v>0</x:v>
      </x:c>
      <x:c r="FS226">
        <x:f t="shared" si="270"/>
        <x:v>0</x:v>
      </x:c>
      <x:c r="FT226">
        <x:f t="shared" si="271"/>
        <x:v>0</x:v>
      </x:c>
      <x:c r="FU226">
        <x:f t="shared" si="272"/>
        <x:v>0</x:v>
      </x:c>
      <x:c r="FV226">
        <x:f t="shared" si="273"/>
        <x:v>0</x:v>
      </x:c>
      <x:c r="FW226" s="41">
        <x:f t="shared" si="274"/>
        <x:v>0</x:v>
      </x:c>
      <x:c r="FX226">
        <x:f t="shared" si="275"/>
        <x:v>0</x:v>
      </x:c>
      <x:c r="FY226">
        <x:f t="shared" si="276"/>
        <x:v>0</x:v>
      </x:c>
      <x:c r="FZ226">
        <x:f t="shared" si="277"/>
        <x:v>0</x:v>
      </x:c>
      <x:c r="GA226">
        <x:f t="shared" si="278"/>
        <x:v>0</x:v>
      </x:c>
      <x:c r="GB226">
        <x:f t="shared" si="279"/>
        <x:v>0</x:v>
      </x:c>
      <x:c r="GC226">
        <x:f t="shared" si="280"/>
        <x:v>0</x:v>
      </x:c>
      <x:c r="GD226">
        <x:f t="shared" si="281"/>
        <x:v>0</x:v>
      </x:c>
      <x:c r="GE226">
        <x:f t="shared" si="282"/>
        <x:v>0</x:v>
      </x:c>
      <x:c r="GF226">
        <x:f t="shared" si="283"/>
        <x:v>0</x:v>
      </x:c>
      <x:c r="GG226">
        <x:f t="shared" si="284"/>
        <x:v>0</x:v>
      </x:c>
      <x:c r="GH226">
        <x:f t="shared" si="285"/>
        <x:v>0</x:v>
      </x:c>
      <x:c r="GI226">
        <x:f t="shared" si="286"/>
        <x:v>0</x:v>
      </x:c>
      <x:c r="GJ226">
        <x:f t="shared" si="287"/>
        <x:v>0</x:v>
      </x:c>
      <x:c r="GK226">
        <x:f t="shared" si="288"/>
        <x:v>0</x:v>
      </x:c>
      <x:c r="GL226">
        <x:f t="shared" si="289"/>
        <x:v>0</x:v>
      </x:c>
      <x:c r="GM226">
        <x:f t="shared" si="290"/>
        <x:v>0</x:v>
      </x:c>
      <x:c r="GN226">
        <x:f t="shared" si="291"/>
        <x:v>0</x:v>
      </x:c>
      <x:c r="GO226">
        <x:f t="shared" si="292"/>
        <x:v>0</x:v>
      </x:c>
      <x:c r="GP226">
        <x:f t="shared" si="293"/>
        <x:v>0</x:v>
      </x:c>
      <x:c r="GQ226">
        <x:f t="shared" si="294"/>
        <x:v>0</x:v>
      </x:c>
      <x:c r="GR226" s="42">
        <x:f t="shared" si="295"/>
        <x:v>0</x:v>
      </x:c>
      <x:c r="GS226">
        <x:f t="shared" si="296"/>
        <x:v>0</x:v>
      </x:c>
      <x:c r="GT226">
        <x:f t="shared" si="297"/>
        <x:v>0</x:v>
      </x:c>
      <x:c r="GU226">
        <x:f t="shared" si="298"/>
        <x:v>0</x:v>
      </x:c>
      <x:c r="GV226">
        <x:f t="shared" si="299"/>
        <x:v>0</x:v>
      </x:c>
      <x:c r="GW226">
        <x:f t="shared" si="300"/>
        <x:v>0</x:v>
      </x:c>
      <x:c r="GX226">
        <x:f t="shared" si="301"/>
        <x:v>0</x:v>
      </x:c>
      <x:c r="GY226">
        <x:f t="shared" si="302"/>
        <x:v>0</x:v>
      </x:c>
      <x:c r="GZ226">
        <x:f t="shared" si="303"/>
        <x:v>0</x:v>
      </x:c>
      <x:c r="HA226">
        <x:f t="shared" si="304"/>
        <x:v>0</x:v>
      </x:c>
      <x:c r="HB226" s="42">
        <x:f t="shared" si="305"/>
        <x:v>0</x:v>
      </x:c>
      <x:c r="HC226">
        <x:f t="shared" si="306"/>
        <x:v>0</x:v>
      </x:c>
      <x:c r="HD226">
        <x:f t="shared" si="307"/>
        <x:v>0</x:v>
      </x:c>
      <x:c r="HE226">
        <x:f t="shared" si="308"/>
        <x:v>0</x:v>
      </x:c>
      <x:c r="HF226">
        <x:f t="shared" si="309"/>
        <x:v>0</x:v>
      </x:c>
      <x:c r="HG226">
        <x:f t="shared" si="310"/>
        <x:v>0</x:v>
      </x:c>
      <x:c r="HH226">
        <x:f t="shared" si="311"/>
        <x:v>0</x:v>
      </x:c>
      <x:c r="HI226">
        <x:f t="shared" si="312"/>
        <x:v>0</x:v>
      </x:c>
      <x:c r="HJ226">
        <x:f t="shared" si="313"/>
        <x:v>0</x:v>
      </x:c>
      <x:c r="HK226">
        <x:f t="shared" si="314"/>
        <x:v>0</x:v>
      </x:c>
      <x:c r="HL226">
        <x:f t="shared" si="315"/>
        <x:v>0</x:v>
      </x:c>
    </x:row>
    <x:row r="227">
      <x:c r="D227" s="74"/>
      <x:c r="EQ227">
        <x:f t="shared" si="242"/>
        <x:v>0</x:v>
      </x:c>
      <x:c r="ER227">
        <x:f t="shared" si="243"/>
        <x:v>0</x:v>
      </x:c>
      <x:c r="ES227">
        <x:f t="shared" si="244"/>
        <x:v>0</x:v>
      </x:c>
      <x:c r="ET227">
        <x:f t="shared" si="245"/>
        <x:v>0</x:v>
      </x:c>
      <x:c r="EU227">
        <x:f t="shared" si="246"/>
        <x:v>0</x:v>
      </x:c>
      <x:c r="EV227">
        <x:f t="shared" si="247"/>
        <x:v>0</x:v>
      </x:c>
      <x:c r="EW227">
        <x:f t="shared" si="248"/>
        <x:v>0</x:v>
      </x:c>
      <x:c r="EX227">
        <x:f t="shared" si="249"/>
        <x:v>0</x:v>
      </x:c>
      <x:c r="EY227">
        <x:f t="shared" si="250"/>
        <x:v>0</x:v>
      </x:c>
      <x:c r="EZ227">
        <x:f t="shared" si="251"/>
        <x:v>0</x:v>
      </x:c>
      <x:c r="FA227" s="41">
        <x:f t="shared" si="252"/>
        <x:v>0</x:v>
      </x:c>
      <x:c r="FB227">
        <x:f t="shared" si="253"/>
        <x:v>0</x:v>
      </x:c>
      <x:c r="FC227">
        <x:f t="shared" si="254"/>
        <x:v>0</x:v>
      </x:c>
      <x:c r="FD227">
        <x:f t="shared" si="255"/>
        <x:v>0</x:v>
      </x:c>
      <x:c r="FE227">
        <x:f t="shared" si="256"/>
        <x:v>0</x:v>
      </x:c>
      <x:c r="FF227">
        <x:f t="shared" si="257"/>
        <x:v>0</x:v>
      </x:c>
      <x:c r="FG227">
        <x:f t="shared" si="258"/>
        <x:v>0</x:v>
      </x:c>
      <x:c r="FH227">
        <x:f t="shared" si="259"/>
        <x:v>0</x:v>
      </x:c>
      <x:c r="FI227">
        <x:f t="shared" si="260"/>
        <x:v>0</x:v>
      </x:c>
      <x:c r="FJ227">
        <x:f t="shared" si="261"/>
        <x:v>0</x:v>
      </x:c>
      <x:c r="FK227">
        <x:f t="shared" si="262"/>
        <x:v>0</x:v>
      </x:c>
      <x:c r="FL227" s="41">
        <x:f t="shared" si="263"/>
        <x:v>0</x:v>
      </x:c>
      <x:c r="FM227">
        <x:f t="shared" si="264"/>
        <x:v>0</x:v>
      </x:c>
      <x:c r="FN227">
        <x:f t="shared" si="265"/>
        <x:v>0</x:v>
      </x:c>
      <x:c r="FO227">
        <x:f t="shared" si="266"/>
        <x:v>0</x:v>
      </x:c>
      <x:c r="FP227">
        <x:f t="shared" si="267"/>
        <x:v>0</x:v>
      </x:c>
      <x:c r="FQ227">
        <x:f t="shared" si="268"/>
        <x:v>0</x:v>
      </x:c>
      <x:c r="FR227">
        <x:f t="shared" si="269"/>
        <x:v>0</x:v>
      </x:c>
      <x:c r="FS227">
        <x:f t="shared" si="270"/>
        <x:v>0</x:v>
      </x:c>
      <x:c r="FT227">
        <x:f t="shared" si="271"/>
        <x:v>0</x:v>
      </x:c>
      <x:c r="FU227">
        <x:f t="shared" si="272"/>
        <x:v>0</x:v>
      </x:c>
      <x:c r="FV227">
        <x:f t="shared" si="273"/>
        <x:v>0</x:v>
      </x:c>
      <x:c r="FW227" s="41">
        <x:f t="shared" si="274"/>
        <x:v>0</x:v>
      </x:c>
      <x:c r="FX227">
        <x:f t="shared" si="275"/>
        <x:v>0</x:v>
      </x:c>
      <x:c r="FY227">
        <x:f t="shared" si="276"/>
        <x:v>0</x:v>
      </x:c>
      <x:c r="FZ227">
        <x:f t="shared" si="277"/>
        <x:v>0</x:v>
      </x:c>
      <x:c r="GA227">
        <x:f t="shared" si="278"/>
        <x:v>0</x:v>
      </x:c>
      <x:c r="GB227">
        <x:f t="shared" si="279"/>
        <x:v>0</x:v>
      </x:c>
      <x:c r="GC227">
        <x:f t="shared" si="280"/>
        <x:v>0</x:v>
      </x:c>
      <x:c r="GD227">
        <x:f t="shared" si="281"/>
        <x:v>0</x:v>
      </x:c>
      <x:c r="GE227">
        <x:f t="shared" si="282"/>
        <x:v>0</x:v>
      </x:c>
      <x:c r="GF227">
        <x:f t="shared" si="283"/>
        <x:v>0</x:v>
      </x:c>
      <x:c r="GG227">
        <x:f t="shared" si="284"/>
        <x:v>0</x:v>
      </x:c>
      <x:c r="GH227">
        <x:f t="shared" si="285"/>
        <x:v>0</x:v>
      </x:c>
      <x:c r="GI227">
        <x:f t="shared" si="286"/>
        <x:v>0</x:v>
      </x:c>
      <x:c r="GJ227">
        <x:f t="shared" si="287"/>
        <x:v>0</x:v>
      </x:c>
      <x:c r="GK227">
        <x:f t="shared" si="288"/>
        <x:v>0</x:v>
      </x:c>
      <x:c r="GL227">
        <x:f t="shared" si="289"/>
        <x:v>0</x:v>
      </x:c>
      <x:c r="GM227">
        <x:f t="shared" si="290"/>
        <x:v>0</x:v>
      </x:c>
      <x:c r="GN227">
        <x:f t="shared" si="291"/>
        <x:v>0</x:v>
      </x:c>
      <x:c r="GO227">
        <x:f t="shared" si="292"/>
        <x:v>0</x:v>
      </x:c>
      <x:c r="GP227">
        <x:f t="shared" si="293"/>
        <x:v>0</x:v>
      </x:c>
      <x:c r="GQ227">
        <x:f t="shared" si="294"/>
        <x:v>0</x:v>
      </x:c>
      <x:c r="GR227" s="42">
        <x:f t="shared" si="295"/>
        <x:v>0</x:v>
      </x:c>
      <x:c r="GS227">
        <x:f t="shared" si="296"/>
        <x:v>0</x:v>
      </x:c>
      <x:c r="GT227">
        <x:f t="shared" si="297"/>
        <x:v>0</x:v>
      </x:c>
      <x:c r="GU227">
        <x:f t="shared" si="298"/>
        <x:v>0</x:v>
      </x:c>
      <x:c r="GV227">
        <x:f t="shared" si="299"/>
        <x:v>0</x:v>
      </x:c>
      <x:c r="GW227">
        <x:f t="shared" si="300"/>
        <x:v>0</x:v>
      </x:c>
      <x:c r="GX227">
        <x:f t="shared" si="301"/>
        <x:v>0</x:v>
      </x:c>
      <x:c r="GY227">
        <x:f t="shared" si="302"/>
        <x:v>0</x:v>
      </x:c>
      <x:c r="GZ227">
        <x:f t="shared" si="303"/>
        <x:v>0</x:v>
      </x:c>
      <x:c r="HA227">
        <x:f t="shared" si="304"/>
        <x:v>0</x:v>
      </x:c>
      <x:c r="HB227" s="42">
        <x:f t="shared" si="305"/>
        <x:v>0</x:v>
      </x:c>
      <x:c r="HC227">
        <x:f t="shared" si="306"/>
        <x:v>0</x:v>
      </x:c>
      <x:c r="HD227">
        <x:f t="shared" si="307"/>
        <x:v>0</x:v>
      </x:c>
      <x:c r="HE227">
        <x:f t="shared" si="308"/>
        <x:v>0</x:v>
      </x:c>
      <x:c r="HF227">
        <x:f t="shared" si="309"/>
        <x:v>0</x:v>
      </x:c>
      <x:c r="HG227">
        <x:f t="shared" si="310"/>
        <x:v>0</x:v>
      </x:c>
      <x:c r="HH227">
        <x:f t="shared" si="311"/>
        <x:v>0</x:v>
      </x:c>
      <x:c r="HI227">
        <x:f t="shared" si="312"/>
        <x:v>0</x:v>
      </x:c>
      <x:c r="HJ227">
        <x:f t="shared" si="313"/>
        <x:v>0</x:v>
      </x:c>
      <x:c r="HK227">
        <x:f t="shared" si="314"/>
        <x:v>0</x:v>
      </x:c>
      <x:c r="HL227">
        <x:f t="shared" si="315"/>
        <x:v>0</x:v>
      </x:c>
    </x:row>
    <x:row r="228">
      <x:c r="D228" s="74"/>
      <x:c r="EQ228">
        <x:f t="shared" si="242"/>
        <x:v>0</x:v>
      </x:c>
      <x:c r="ER228">
        <x:f t="shared" si="243"/>
        <x:v>0</x:v>
      </x:c>
      <x:c r="ES228">
        <x:f t="shared" si="244"/>
        <x:v>0</x:v>
      </x:c>
      <x:c r="ET228">
        <x:f t="shared" si="245"/>
        <x:v>0</x:v>
      </x:c>
      <x:c r="EU228">
        <x:f t="shared" si="246"/>
        <x:v>0</x:v>
      </x:c>
      <x:c r="EV228">
        <x:f t="shared" si="247"/>
        <x:v>0</x:v>
      </x:c>
      <x:c r="EW228">
        <x:f t="shared" si="248"/>
        <x:v>0</x:v>
      </x:c>
      <x:c r="EX228">
        <x:f t="shared" si="249"/>
        <x:v>0</x:v>
      </x:c>
      <x:c r="EY228">
        <x:f t="shared" si="250"/>
        <x:v>0</x:v>
      </x:c>
      <x:c r="EZ228">
        <x:f t="shared" si="251"/>
        <x:v>0</x:v>
      </x:c>
      <x:c r="FA228" s="41">
        <x:f t="shared" si="252"/>
        <x:v>0</x:v>
      </x:c>
      <x:c r="FB228">
        <x:f t="shared" si="253"/>
        <x:v>0</x:v>
      </x:c>
      <x:c r="FC228">
        <x:f t="shared" si="254"/>
        <x:v>0</x:v>
      </x:c>
      <x:c r="FD228">
        <x:f t="shared" si="255"/>
        <x:v>0</x:v>
      </x:c>
      <x:c r="FE228">
        <x:f t="shared" si="256"/>
        <x:v>0</x:v>
      </x:c>
      <x:c r="FF228">
        <x:f t="shared" si="257"/>
        <x:v>0</x:v>
      </x:c>
      <x:c r="FG228">
        <x:f t="shared" si="258"/>
        <x:v>0</x:v>
      </x:c>
      <x:c r="FH228">
        <x:f t="shared" si="259"/>
        <x:v>0</x:v>
      </x:c>
      <x:c r="FI228">
        <x:f t="shared" si="260"/>
        <x:v>0</x:v>
      </x:c>
      <x:c r="FJ228">
        <x:f t="shared" si="261"/>
        <x:v>0</x:v>
      </x:c>
      <x:c r="FK228">
        <x:f t="shared" si="262"/>
        <x:v>0</x:v>
      </x:c>
      <x:c r="FL228" s="41">
        <x:f t="shared" si="263"/>
        <x:v>0</x:v>
      </x:c>
      <x:c r="FM228">
        <x:f t="shared" si="264"/>
        <x:v>0</x:v>
      </x:c>
      <x:c r="FN228">
        <x:f t="shared" si="265"/>
        <x:v>0</x:v>
      </x:c>
      <x:c r="FO228">
        <x:f t="shared" si="266"/>
        <x:v>0</x:v>
      </x:c>
      <x:c r="FP228">
        <x:f t="shared" si="267"/>
        <x:v>0</x:v>
      </x:c>
      <x:c r="FQ228">
        <x:f t="shared" si="268"/>
        <x:v>0</x:v>
      </x:c>
      <x:c r="FR228">
        <x:f t="shared" si="269"/>
        <x:v>0</x:v>
      </x:c>
      <x:c r="FS228">
        <x:f t="shared" si="270"/>
        <x:v>0</x:v>
      </x:c>
      <x:c r="FT228">
        <x:f t="shared" si="271"/>
        <x:v>0</x:v>
      </x:c>
      <x:c r="FU228">
        <x:f t="shared" si="272"/>
        <x:v>0</x:v>
      </x:c>
      <x:c r="FV228">
        <x:f t="shared" si="273"/>
        <x:v>0</x:v>
      </x:c>
      <x:c r="FW228" s="41">
        <x:f t="shared" si="274"/>
        <x:v>0</x:v>
      </x:c>
      <x:c r="FX228">
        <x:f t="shared" si="275"/>
        <x:v>0</x:v>
      </x:c>
      <x:c r="FY228">
        <x:f t="shared" si="276"/>
        <x:v>0</x:v>
      </x:c>
      <x:c r="FZ228">
        <x:f t="shared" si="277"/>
        <x:v>0</x:v>
      </x:c>
      <x:c r="GA228">
        <x:f t="shared" si="278"/>
        <x:v>0</x:v>
      </x:c>
      <x:c r="GB228">
        <x:f t="shared" si="279"/>
        <x:v>0</x:v>
      </x:c>
      <x:c r="GC228">
        <x:f t="shared" si="280"/>
        <x:v>0</x:v>
      </x:c>
      <x:c r="GD228">
        <x:f t="shared" si="281"/>
        <x:v>0</x:v>
      </x:c>
      <x:c r="GE228">
        <x:f t="shared" si="282"/>
        <x:v>0</x:v>
      </x:c>
      <x:c r="GF228">
        <x:f t="shared" si="283"/>
        <x:v>0</x:v>
      </x:c>
      <x:c r="GG228">
        <x:f t="shared" si="284"/>
        <x:v>0</x:v>
      </x:c>
      <x:c r="GH228">
        <x:f t="shared" si="285"/>
        <x:v>0</x:v>
      </x:c>
      <x:c r="GI228">
        <x:f t="shared" si="286"/>
        <x:v>0</x:v>
      </x:c>
      <x:c r="GJ228">
        <x:f t="shared" si="287"/>
        <x:v>0</x:v>
      </x:c>
      <x:c r="GK228">
        <x:f t="shared" si="288"/>
        <x:v>0</x:v>
      </x:c>
      <x:c r="GL228">
        <x:f t="shared" si="289"/>
        <x:v>0</x:v>
      </x:c>
      <x:c r="GM228">
        <x:f t="shared" si="290"/>
        <x:v>0</x:v>
      </x:c>
      <x:c r="GN228">
        <x:f t="shared" si="291"/>
        <x:v>0</x:v>
      </x:c>
      <x:c r="GO228">
        <x:f t="shared" si="292"/>
        <x:v>0</x:v>
      </x:c>
      <x:c r="GP228">
        <x:f t="shared" si="293"/>
        <x:v>0</x:v>
      </x:c>
      <x:c r="GQ228">
        <x:f t="shared" si="294"/>
        <x:v>0</x:v>
      </x:c>
      <x:c r="GR228" s="42">
        <x:f t="shared" si="295"/>
        <x:v>0</x:v>
      </x:c>
      <x:c r="GS228">
        <x:f t="shared" si="296"/>
        <x:v>0</x:v>
      </x:c>
      <x:c r="GT228">
        <x:f t="shared" si="297"/>
        <x:v>0</x:v>
      </x:c>
      <x:c r="GU228">
        <x:f t="shared" si="298"/>
        <x:v>0</x:v>
      </x:c>
      <x:c r="GV228">
        <x:f t="shared" si="299"/>
        <x:v>0</x:v>
      </x:c>
      <x:c r="GW228">
        <x:f t="shared" si="300"/>
        <x:v>0</x:v>
      </x:c>
      <x:c r="GX228">
        <x:f t="shared" si="301"/>
        <x:v>0</x:v>
      </x:c>
      <x:c r="GY228">
        <x:f t="shared" si="302"/>
        <x:v>0</x:v>
      </x:c>
      <x:c r="GZ228">
        <x:f t="shared" si="303"/>
        <x:v>0</x:v>
      </x:c>
      <x:c r="HA228">
        <x:f t="shared" si="304"/>
        <x:v>0</x:v>
      </x:c>
      <x:c r="HB228" s="42">
        <x:f t="shared" si="305"/>
        <x:v>0</x:v>
      </x:c>
      <x:c r="HC228">
        <x:f t="shared" si="306"/>
        <x:v>0</x:v>
      </x:c>
      <x:c r="HD228">
        <x:f t="shared" si="307"/>
        <x:v>0</x:v>
      </x:c>
      <x:c r="HE228">
        <x:f t="shared" si="308"/>
        <x:v>0</x:v>
      </x:c>
      <x:c r="HF228">
        <x:f t="shared" si="309"/>
        <x:v>0</x:v>
      </x:c>
      <x:c r="HG228">
        <x:f t="shared" si="310"/>
        <x:v>0</x:v>
      </x:c>
      <x:c r="HH228">
        <x:f t="shared" si="311"/>
        <x:v>0</x:v>
      </x:c>
      <x:c r="HI228">
        <x:f t="shared" si="312"/>
        <x:v>0</x:v>
      </x:c>
      <x:c r="HJ228">
        <x:f t="shared" si="313"/>
        <x:v>0</x:v>
      </x:c>
      <x:c r="HK228">
        <x:f t="shared" si="314"/>
        <x:v>0</x:v>
      </x:c>
      <x:c r="HL228">
        <x:f t="shared" si="315"/>
        <x:v>0</x:v>
      </x:c>
    </x:row>
    <x:row r="229">
      <x:c r="D229" s="74"/>
      <x:c r="EQ229">
        <x:f t="shared" si="242"/>
        <x:v>0</x:v>
      </x:c>
      <x:c r="ER229">
        <x:f t="shared" si="243"/>
        <x:v>0</x:v>
      </x:c>
      <x:c r="ES229">
        <x:f t="shared" si="244"/>
        <x:v>0</x:v>
      </x:c>
      <x:c r="ET229">
        <x:f t="shared" si="245"/>
        <x:v>0</x:v>
      </x:c>
      <x:c r="EU229">
        <x:f t="shared" si="246"/>
        <x:v>0</x:v>
      </x:c>
      <x:c r="EV229">
        <x:f t="shared" si="247"/>
        <x:v>0</x:v>
      </x:c>
      <x:c r="EW229">
        <x:f t="shared" si="248"/>
        <x:v>0</x:v>
      </x:c>
      <x:c r="EX229">
        <x:f t="shared" si="249"/>
        <x:v>0</x:v>
      </x:c>
      <x:c r="EY229">
        <x:f t="shared" si="250"/>
        <x:v>0</x:v>
      </x:c>
      <x:c r="EZ229">
        <x:f t="shared" si="251"/>
        <x:v>0</x:v>
      </x:c>
      <x:c r="FA229" s="41">
        <x:f t="shared" si="252"/>
        <x:v>0</x:v>
      </x:c>
      <x:c r="FB229">
        <x:f t="shared" si="253"/>
        <x:v>0</x:v>
      </x:c>
      <x:c r="FC229">
        <x:f t="shared" si="254"/>
        <x:v>0</x:v>
      </x:c>
      <x:c r="FD229">
        <x:f t="shared" si="255"/>
        <x:v>0</x:v>
      </x:c>
      <x:c r="FE229">
        <x:f t="shared" si="256"/>
        <x:v>0</x:v>
      </x:c>
      <x:c r="FF229">
        <x:f t="shared" si="257"/>
        <x:v>0</x:v>
      </x:c>
      <x:c r="FG229">
        <x:f t="shared" si="258"/>
        <x:v>0</x:v>
      </x:c>
      <x:c r="FH229">
        <x:f t="shared" si="259"/>
        <x:v>0</x:v>
      </x:c>
      <x:c r="FI229">
        <x:f t="shared" si="260"/>
        <x:v>0</x:v>
      </x:c>
      <x:c r="FJ229">
        <x:f t="shared" si="261"/>
        <x:v>0</x:v>
      </x:c>
      <x:c r="FK229">
        <x:f t="shared" si="262"/>
        <x:v>0</x:v>
      </x:c>
      <x:c r="FL229" s="41">
        <x:f t="shared" si="263"/>
        <x:v>0</x:v>
      </x:c>
      <x:c r="FM229">
        <x:f t="shared" si="264"/>
        <x:v>0</x:v>
      </x:c>
      <x:c r="FN229">
        <x:f t="shared" si="265"/>
        <x:v>0</x:v>
      </x:c>
      <x:c r="FO229">
        <x:f t="shared" si="266"/>
        <x:v>0</x:v>
      </x:c>
      <x:c r="FP229">
        <x:f t="shared" si="267"/>
        <x:v>0</x:v>
      </x:c>
      <x:c r="FQ229">
        <x:f t="shared" si="268"/>
        <x:v>0</x:v>
      </x:c>
      <x:c r="FR229">
        <x:f t="shared" si="269"/>
        <x:v>0</x:v>
      </x:c>
      <x:c r="FS229">
        <x:f t="shared" si="270"/>
        <x:v>0</x:v>
      </x:c>
      <x:c r="FT229">
        <x:f t="shared" si="271"/>
        <x:v>0</x:v>
      </x:c>
      <x:c r="FU229">
        <x:f t="shared" si="272"/>
        <x:v>0</x:v>
      </x:c>
      <x:c r="FV229">
        <x:f t="shared" si="273"/>
        <x:v>0</x:v>
      </x:c>
      <x:c r="FW229" s="41">
        <x:f t="shared" si="274"/>
        <x:v>0</x:v>
      </x:c>
      <x:c r="FX229">
        <x:f t="shared" si="275"/>
        <x:v>0</x:v>
      </x:c>
      <x:c r="FY229">
        <x:f t="shared" si="276"/>
        <x:v>0</x:v>
      </x:c>
      <x:c r="FZ229">
        <x:f t="shared" si="277"/>
        <x:v>0</x:v>
      </x:c>
      <x:c r="GA229">
        <x:f t="shared" si="278"/>
        <x:v>0</x:v>
      </x:c>
      <x:c r="GB229">
        <x:f t="shared" si="279"/>
        <x:v>0</x:v>
      </x:c>
      <x:c r="GC229">
        <x:f t="shared" si="280"/>
        <x:v>0</x:v>
      </x:c>
      <x:c r="GD229">
        <x:f t="shared" si="281"/>
        <x:v>0</x:v>
      </x:c>
      <x:c r="GE229">
        <x:f t="shared" si="282"/>
        <x:v>0</x:v>
      </x:c>
      <x:c r="GF229">
        <x:f t="shared" si="283"/>
        <x:v>0</x:v>
      </x:c>
      <x:c r="GG229">
        <x:f t="shared" si="284"/>
        <x:v>0</x:v>
      </x:c>
      <x:c r="GH229">
        <x:f t="shared" si="285"/>
        <x:v>0</x:v>
      </x:c>
      <x:c r="GI229">
        <x:f t="shared" si="286"/>
        <x:v>0</x:v>
      </x:c>
      <x:c r="GJ229">
        <x:f t="shared" si="287"/>
        <x:v>0</x:v>
      </x:c>
      <x:c r="GK229">
        <x:f t="shared" si="288"/>
        <x:v>0</x:v>
      </x:c>
      <x:c r="GL229">
        <x:f t="shared" si="289"/>
        <x:v>0</x:v>
      </x:c>
      <x:c r="GM229">
        <x:f t="shared" si="290"/>
        <x:v>0</x:v>
      </x:c>
      <x:c r="GN229">
        <x:f t="shared" si="291"/>
        <x:v>0</x:v>
      </x:c>
      <x:c r="GO229">
        <x:f t="shared" si="292"/>
        <x:v>0</x:v>
      </x:c>
      <x:c r="GP229">
        <x:f t="shared" si="293"/>
        <x:v>0</x:v>
      </x:c>
      <x:c r="GQ229">
        <x:f t="shared" si="294"/>
        <x:v>0</x:v>
      </x:c>
      <x:c r="GR229" s="42">
        <x:f t="shared" si="295"/>
        <x:v>0</x:v>
      </x:c>
      <x:c r="GS229">
        <x:f t="shared" si="296"/>
        <x:v>0</x:v>
      </x:c>
      <x:c r="GT229">
        <x:f t="shared" si="297"/>
        <x:v>0</x:v>
      </x:c>
      <x:c r="GU229">
        <x:f t="shared" si="298"/>
        <x:v>0</x:v>
      </x:c>
      <x:c r="GV229">
        <x:f t="shared" si="299"/>
        <x:v>0</x:v>
      </x:c>
      <x:c r="GW229">
        <x:f t="shared" si="300"/>
        <x:v>0</x:v>
      </x:c>
      <x:c r="GX229">
        <x:f t="shared" si="301"/>
        <x:v>0</x:v>
      </x:c>
      <x:c r="GY229">
        <x:f t="shared" si="302"/>
        <x:v>0</x:v>
      </x:c>
      <x:c r="GZ229">
        <x:f t="shared" si="303"/>
        <x:v>0</x:v>
      </x:c>
      <x:c r="HA229">
        <x:f t="shared" si="304"/>
        <x:v>0</x:v>
      </x:c>
      <x:c r="HB229" s="42">
        <x:f t="shared" si="305"/>
        <x:v>0</x:v>
      </x:c>
      <x:c r="HC229">
        <x:f t="shared" si="306"/>
        <x:v>0</x:v>
      </x:c>
      <x:c r="HD229">
        <x:f t="shared" si="307"/>
        <x:v>0</x:v>
      </x:c>
      <x:c r="HE229">
        <x:f t="shared" si="308"/>
        <x:v>0</x:v>
      </x:c>
      <x:c r="HF229">
        <x:f t="shared" si="309"/>
        <x:v>0</x:v>
      </x:c>
      <x:c r="HG229">
        <x:f t="shared" si="310"/>
        <x:v>0</x:v>
      </x:c>
      <x:c r="HH229">
        <x:f t="shared" si="311"/>
        <x:v>0</x:v>
      </x:c>
      <x:c r="HI229">
        <x:f t="shared" si="312"/>
        <x:v>0</x:v>
      </x:c>
      <x:c r="HJ229">
        <x:f t="shared" si="313"/>
        <x:v>0</x:v>
      </x:c>
      <x:c r="HK229">
        <x:f t="shared" si="314"/>
        <x:v>0</x:v>
      </x:c>
      <x:c r="HL229">
        <x:f t="shared" si="315"/>
        <x:v>0</x:v>
      </x:c>
    </x:row>
    <x:row r="230">
      <x:c r="D230" s="74"/>
      <x:c r="EQ230">
        <x:f t="shared" si="242"/>
        <x:v>0</x:v>
      </x:c>
      <x:c r="ER230">
        <x:f t="shared" si="243"/>
        <x:v>0</x:v>
      </x:c>
      <x:c r="ES230">
        <x:f t="shared" si="244"/>
        <x:v>0</x:v>
      </x:c>
      <x:c r="ET230">
        <x:f t="shared" si="245"/>
        <x:v>0</x:v>
      </x:c>
      <x:c r="EU230">
        <x:f t="shared" si="246"/>
        <x:v>0</x:v>
      </x:c>
      <x:c r="EV230">
        <x:f t="shared" si="247"/>
        <x:v>0</x:v>
      </x:c>
      <x:c r="EW230">
        <x:f t="shared" si="248"/>
        <x:v>0</x:v>
      </x:c>
      <x:c r="EX230">
        <x:f t="shared" si="249"/>
        <x:v>0</x:v>
      </x:c>
      <x:c r="EY230">
        <x:f t="shared" si="250"/>
        <x:v>0</x:v>
      </x:c>
      <x:c r="EZ230">
        <x:f t="shared" si="251"/>
        <x:v>0</x:v>
      </x:c>
      <x:c r="FA230" s="41">
        <x:f t="shared" si="252"/>
        <x:v>0</x:v>
      </x:c>
      <x:c r="FB230">
        <x:f t="shared" si="253"/>
        <x:v>0</x:v>
      </x:c>
      <x:c r="FC230">
        <x:f t="shared" si="254"/>
        <x:v>0</x:v>
      </x:c>
      <x:c r="FD230">
        <x:f t="shared" si="255"/>
        <x:v>0</x:v>
      </x:c>
      <x:c r="FE230">
        <x:f t="shared" si="256"/>
        <x:v>0</x:v>
      </x:c>
      <x:c r="FF230">
        <x:f t="shared" si="257"/>
        <x:v>0</x:v>
      </x:c>
      <x:c r="FG230">
        <x:f t="shared" si="258"/>
        <x:v>0</x:v>
      </x:c>
      <x:c r="FH230">
        <x:f t="shared" si="259"/>
        <x:v>0</x:v>
      </x:c>
      <x:c r="FI230">
        <x:f t="shared" si="260"/>
        <x:v>0</x:v>
      </x:c>
      <x:c r="FJ230">
        <x:f t="shared" si="261"/>
        <x:v>0</x:v>
      </x:c>
      <x:c r="FK230">
        <x:f t="shared" si="262"/>
        <x:v>0</x:v>
      </x:c>
      <x:c r="FL230" s="41">
        <x:f t="shared" si="263"/>
        <x:v>0</x:v>
      </x:c>
      <x:c r="FM230">
        <x:f t="shared" si="264"/>
        <x:v>0</x:v>
      </x:c>
      <x:c r="FN230">
        <x:f t="shared" si="265"/>
        <x:v>0</x:v>
      </x:c>
      <x:c r="FO230">
        <x:f t="shared" si="266"/>
        <x:v>0</x:v>
      </x:c>
      <x:c r="FP230">
        <x:f t="shared" si="267"/>
        <x:v>0</x:v>
      </x:c>
      <x:c r="FQ230">
        <x:f t="shared" si="268"/>
        <x:v>0</x:v>
      </x:c>
      <x:c r="FR230">
        <x:f t="shared" si="269"/>
        <x:v>0</x:v>
      </x:c>
      <x:c r="FS230">
        <x:f t="shared" si="270"/>
        <x:v>0</x:v>
      </x:c>
      <x:c r="FT230">
        <x:f t="shared" si="271"/>
        <x:v>0</x:v>
      </x:c>
      <x:c r="FU230">
        <x:f t="shared" si="272"/>
        <x:v>0</x:v>
      </x:c>
      <x:c r="FV230">
        <x:f t="shared" si="273"/>
        <x:v>0</x:v>
      </x:c>
      <x:c r="FW230" s="41">
        <x:f t="shared" si="274"/>
        <x:v>0</x:v>
      </x:c>
      <x:c r="FX230">
        <x:f t="shared" si="275"/>
        <x:v>0</x:v>
      </x:c>
      <x:c r="FY230">
        <x:f t="shared" si="276"/>
        <x:v>0</x:v>
      </x:c>
      <x:c r="FZ230">
        <x:f t="shared" si="277"/>
        <x:v>0</x:v>
      </x:c>
      <x:c r="GA230">
        <x:f t="shared" si="278"/>
        <x:v>0</x:v>
      </x:c>
      <x:c r="GB230">
        <x:f t="shared" si="279"/>
        <x:v>0</x:v>
      </x:c>
      <x:c r="GC230">
        <x:f t="shared" si="280"/>
        <x:v>0</x:v>
      </x:c>
      <x:c r="GD230">
        <x:f t="shared" si="281"/>
        <x:v>0</x:v>
      </x:c>
      <x:c r="GE230">
        <x:f t="shared" si="282"/>
        <x:v>0</x:v>
      </x:c>
      <x:c r="GF230">
        <x:f t="shared" si="283"/>
        <x:v>0</x:v>
      </x:c>
      <x:c r="GG230">
        <x:f t="shared" si="284"/>
        <x:v>0</x:v>
      </x:c>
      <x:c r="GH230">
        <x:f t="shared" si="285"/>
        <x:v>0</x:v>
      </x:c>
      <x:c r="GI230">
        <x:f t="shared" si="286"/>
        <x:v>0</x:v>
      </x:c>
      <x:c r="GJ230">
        <x:f t="shared" si="287"/>
        <x:v>0</x:v>
      </x:c>
      <x:c r="GK230">
        <x:f t="shared" si="288"/>
        <x:v>0</x:v>
      </x:c>
      <x:c r="GL230">
        <x:f t="shared" si="289"/>
        <x:v>0</x:v>
      </x:c>
      <x:c r="GM230">
        <x:f t="shared" si="290"/>
        <x:v>0</x:v>
      </x:c>
      <x:c r="GN230">
        <x:f t="shared" si="291"/>
        <x:v>0</x:v>
      </x:c>
      <x:c r="GO230">
        <x:f t="shared" si="292"/>
        <x:v>0</x:v>
      </x:c>
      <x:c r="GP230">
        <x:f t="shared" si="293"/>
        <x:v>0</x:v>
      </x:c>
      <x:c r="GQ230">
        <x:f t="shared" si="294"/>
        <x:v>0</x:v>
      </x:c>
      <x:c r="GR230" s="42">
        <x:f t="shared" si="295"/>
        <x:v>0</x:v>
      </x:c>
      <x:c r="GS230">
        <x:f t="shared" si="296"/>
        <x:v>0</x:v>
      </x:c>
      <x:c r="GT230">
        <x:f t="shared" si="297"/>
        <x:v>0</x:v>
      </x:c>
      <x:c r="GU230">
        <x:f t="shared" si="298"/>
        <x:v>0</x:v>
      </x:c>
      <x:c r="GV230">
        <x:f t="shared" si="299"/>
        <x:v>0</x:v>
      </x:c>
      <x:c r="GW230">
        <x:f t="shared" si="300"/>
        <x:v>0</x:v>
      </x:c>
      <x:c r="GX230">
        <x:f t="shared" si="301"/>
        <x:v>0</x:v>
      </x:c>
      <x:c r="GY230">
        <x:f t="shared" si="302"/>
        <x:v>0</x:v>
      </x:c>
      <x:c r="GZ230">
        <x:f t="shared" si="303"/>
        <x:v>0</x:v>
      </x:c>
      <x:c r="HA230">
        <x:f t="shared" si="304"/>
        <x:v>0</x:v>
      </x:c>
      <x:c r="HB230" s="42">
        <x:f t="shared" si="305"/>
        <x:v>0</x:v>
      </x:c>
      <x:c r="HC230">
        <x:f t="shared" si="306"/>
        <x:v>0</x:v>
      </x:c>
      <x:c r="HD230">
        <x:f t="shared" si="307"/>
        <x:v>0</x:v>
      </x:c>
      <x:c r="HE230">
        <x:f t="shared" si="308"/>
        <x:v>0</x:v>
      </x:c>
      <x:c r="HF230">
        <x:f t="shared" si="309"/>
        <x:v>0</x:v>
      </x:c>
      <x:c r="HG230">
        <x:f t="shared" si="310"/>
        <x:v>0</x:v>
      </x:c>
      <x:c r="HH230">
        <x:f t="shared" si="311"/>
        <x:v>0</x:v>
      </x:c>
      <x:c r="HI230">
        <x:f t="shared" si="312"/>
        <x:v>0</x:v>
      </x:c>
      <x:c r="HJ230">
        <x:f t="shared" si="313"/>
        <x:v>0</x:v>
      </x:c>
      <x:c r="HK230">
        <x:f t="shared" si="314"/>
        <x:v>0</x:v>
      </x:c>
      <x:c r="HL230">
        <x:f t="shared" si="315"/>
        <x:v>0</x:v>
      </x:c>
    </x:row>
    <x:row r="231">
      <x:c r="D231" s="74"/>
      <x:c r="EQ231">
        <x:f t="shared" si="242"/>
        <x:v>0</x:v>
      </x:c>
      <x:c r="ER231">
        <x:f t="shared" si="243"/>
        <x:v>0</x:v>
      </x:c>
      <x:c r="ES231">
        <x:f t="shared" si="244"/>
        <x:v>0</x:v>
      </x:c>
      <x:c r="ET231">
        <x:f t="shared" si="245"/>
        <x:v>0</x:v>
      </x:c>
      <x:c r="EU231">
        <x:f t="shared" si="246"/>
        <x:v>0</x:v>
      </x:c>
      <x:c r="EV231">
        <x:f t="shared" si="247"/>
        <x:v>0</x:v>
      </x:c>
      <x:c r="EW231">
        <x:f t="shared" si="248"/>
        <x:v>0</x:v>
      </x:c>
      <x:c r="EX231">
        <x:f t="shared" si="249"/>
        <x:v>0</x:v>
      </x:c>
      <x:c r="EY231">
        <x:f t="shared" si="250"/>
        <x:v>0</x:v>
      </x:c>
      <x:c r="EZ231">
        <x:f t="shared" si="251"/>
        <x:v>0</x:v>
      </x:c>
      <x:c r="FA231" s="41">
        <x:f t="shared" si="252"/>
        <x:v>0</x:v>
      </x:c>
      <x:c r="FB231">
        <x:f t="shared" si="253"/>
        <x:v>0</x:v>
      </x:c>
      <x:c r="FC231">
        <x:f t="shared" si="254"/>
        <x:v>0</x:v>
      </x:c>
      <x:c r="FD231">
        <x:f t="shared" si="255"/>
        <x:v>0</x:v>
      </x:c>
      <x:c r="FE231">
        <x:f t="shared" si="256"/>
        <x:v>0</x:v>
      </x:c>
      <x:c r="FF231">
        <x:f t="shared" si="257"/>
        <x:v>0</x:v>
      </x:c>
      <x:c r="FG231">
        <x:f t="shared" si="258"/>
        <x:v>0</x:v>
      </x:c>
      <x:c r="FH231">
        <x:f t="shared" si="259"/>
        <x:v>0</x:v>
      </x:c>
      <x:c r="FI231">
        <x:f t="shared" si="260"/>
        <x:v>0</x:v>
      </x:c>
      <x:c r="FJ231">
        <x:f t="shared" si="261"/>
        <x:v>0</x:v>
      </x:c>
      <x:c r="FK231">
        <x:f t="shared" si="262"/>
        <x:v>0</x:v>
      </x:c>
      <x:c r="FL231" s="41">
        <x:f t="shared" si="263"/>
        <x:v>0</x:v>
      </x:c>
      <x:c r="FM231">
        <x:f t="shared" si="264"/>
        <x:v>0</x:v>
      </x:c>
      <x:c r="FN231">
        <x:f t="shared" si="265"/>
        <x:v>0</x:v>
      </x:c>
      <x:c r="FO231">
        <x:f t="shared" si="266"/>
        <x:v>0</x:v>
      </x:c>
      <x:c r="FP231">
        <x:f t="shared" si="267"/>
        <x:v>0</x:v>
      </x:c>
      <x:c r="FQ231">
        <x:f t="shared" si="268"/>
        <x:v>0</x:v>
      </x:c>
      <x:c r="FR231">
        <x:f t="shared" si="269"/>
        <x:v>0</x:v>
      </x:c>
      <x:c r="FS231">
        <x:f t="shared" si="270"/>
        <x:v>0</x:v>
      </x:c>
      <x:c r="FT231">
        <x:f t="shared" si="271"/>
        <x:v>0</x:v>
      </x:c>
      <x:c r="FU231">
        <x:f t="shared" si="272"/>
        <x:v>0</x:v>
      </x:c>
      <x:c r="FV231">
        <x:f t="shared" si="273"/>
        <x:v>0</x:v>
      </x:c>
      <x:c r="FW231" s="41">
        <x:f t="shared" si="274"/>
        <x:v>0</x:v>
      </x:c>
      <x:c r="FX231">
        <x:f t="shared" si="275"/>
        <x:v>0</x:v>
      </x:c>
      <x:c r="FY231">
        <x:f t="shared" si="276"/>
        <x:v>0</x:v>
      </x:c>
      <x:c r="FZ231">
        <x:f t="shared" si="277"/>
        <x:v>0</x:v>
      </x:c>
      <x:c r="GA231">
        <x:f t="shared" si="278"/>
        <x:v>0</x:v>
      </x:c>
      <x:c r="GB231">
        <x:f t="shared" si="279"/>
        <x:v>0</x:v>
      </x:c>
      <x:c r="GC231">
        <x:f t="shared" si="280"/>
        <x:v>0</x:v>
      </x:c>
      <x:c r="GD231">
        <x:f t="shared" si="281"/>
        <x:v>0</x:v>
      </x:c>
      <x:c r="GE231">
        <x:f t="shared" si="282"/>
        <x:v>0</x:v>
      </x:c>
      <x:c r="GF231">
        <x:f t="shared" si="283"/>
        <x:v>0</x:v>
      </x:c>
      <x:c r="GG231">
        <x:f t="shared" si="284"/>
        <x:v>0</x:v>
      </x:c>
      <x:c r="GH231">
        <x:f t="shared" si="285"/>
        <x:v>0</x:v>
      </x:c>
      <x:c r="GI231">
        <x:f t="shared" si="286"/>
        <x:v>0</x:v>
      </x:c>
      <x:c r="GJ231">
        <x:f t="shared" si="287"/>
        <x:v>0</x:v>
      </x:c>
      <x:c r="GK231">
        <x:f t="shared" si="288"/>
        <x:v>0</x:v>
      </x:c>
      <x:c r="GL231">
        <x:f t="shared" si="289"/>
        <x:v>0</x:v>
      </x:c>
      <x:c r="GM231">
        <x:f t="shared" si="290"/>
        <x:v>0</x:v>
      </x:c>
      <x:c r="GN231">
        <x:f t="shared" si="291"/>
        <x:v>0</x:v>
      </x:c>
      <x:c r="GO231">
        <x:f t="shared" si="292"/>
        <x:v>0</x:v>
      </x:c>
      <x:c r="GP231">
        <x:f t="shared" si="293"/>
        <x:v>0</x:v>
      </x:c>
      <x:c r="GQ231">
        <x:f t="shared" si="294"/>
        <x:v>0</x:v>
      </x:c>
      <x:c r="GR231" s="42">
        <x:f t="shared" si="295"/>
        <x:v>0</x:v>
      </x:c>
      <x:c r="GS231">
        <x:f t="shared" si="296"/>
        <x:v>0</x:v>
      </x:c>
      <x:c r="GT231">
        <x:f t="shared" si="297"/>
        <x:v>0</x:v>
      </x:c>
      <x:c r="GU231">
        <x:f t="shared" si="298"/>
        <x:v>0</x:v>
      </x:c>
      <x:c r="GV231">
        <x:f t="shared" si="299"/>
        <x:v>0</x:v>
      </x:c>
      <x:c r="GW231">
        <x:f t="shared" si="300"/>
        <x:v>0</x:v>
      </x:c>
      <x:c r="GX231">
        <x:f t="shared" si="301"/>
        <x:v>0</x:v>
      </x:c>
      <x:c r="GY231">
        <x:f t="shared" si="302"/>
        <x:v>0</x:v>
      </x:c>
      <x:c r="GZ231">
        <x:f t="shared" si="303"/>
        <x:v>0</x:v>
      </x:c>
      <x:c r="HA231">
        <x:f t="shared" si="304"/>
        <x:v>0</x:v>
      </x:c>
      <x:c r="HB231" s="42">
        <x:f t="shared" si="305"/>
        <x:v>0</x:v>
      </x:c>
      <x:c r="HC231">
        <x:f t="shared" si="306"/>
        <x:v>0</x:v>
      </x:c>
      <x:c r="HD231">
        <x:f t="shared" si="307"/>
        <x:v>0</x:v>
      </x:c>
      <x:c r="HE231">
        <x:f t="shared" si="308"/>
        <x:v>0</x:v>
      </x:c>
      <x:c r="HF231">
        <x:f t="shared" si="309"/>
        <x:v>0</x:v>
      </x:c>
      <x:c r="HG231">
        <x:f t="shared" si="310"/>
        <x:v>0</x:v>
      </x:c>
      <x:c r="HH231">
        <x:f t="shared" si="311"/>
        <x:v>0</x:v>
      </x:c>
      <x:c r="HI231">
        <x:f t="shared" si="312"/>
        <x:v>0</x:v>
      </x:c>
      <x:c r="HJ231">
        <x:f t="shared" si="313"/>
        <x:v>0</x:v>
      </x:c>
      <x:c r="HK231">
        <x:f t="shared" si="314"/>
        <x:v>0</x:v>
      </x:c>
      <x:c r="HL231">
        <x:f t="shared" si="315"/>
        <x:v>0</x:v>
      </x:c>
    </x:row>
    <x:row r="232">
      <x:c r="D232" s="74"/>
      <x:c r="EQ232">
        <x:f t="shared" si="242"/>
        <x:v>0</x:v>
      </x:c>
      <x:c r="ER232">
        <x:f t="shared" si="243"/>
        <x:v>0</x:v>
      </x:c>
      <x:c r="ES232">
        <x:f t="shared" si="244"/>
        <x:v>0</x:v>
      </x:c>
      <x:c r="ET232">
        <x:f t="shared" si="245"/>
        <x:v>0</x:v>
      </x:c>
      <x:c r="EU232">
        <x:f t="shared" si="246"/>
        <x:v>0</x:v>
      </x:c>
      <x:c r="EV232">
        <x:f t="shared" si="247"/>
        <x:v>0</x:v>
      </x:c>
      <x:c r="EW232">
        <x:f t="shared" si="248"/>
        <x:v>0</x:v>
      </x:c>
      <x:c r="EX232">
        <x:f t="shared" si="249"/>
        <x:v>0</x:v>
      </x:c>
      <x:c r="EY232">
        <x:f t="shared" si="250"/>
        <x:v>0</x:v>
      </x:c>
      <x:c r="EZ232">
        <x:f t="shared" si="251"/>
        <x:v>0</x:v>
      </x:c>
      <x:c r="FA232" s="41">
        <x:f t="shared" si="252"/>
        <x:v>0</x:v>
      </x:c>
      <x:c r="FB232">
        <x:f t="shared" si="253"/>
        <x:v>0</x:v>
      </x:c>
      <x:c r="FC232">
        <x:f t="shared" si="254"/>
        <x:v>0</x:v>
      </x:c>
      <x:c r="FD232">
        <x:f t="shared" si="255"/>
        <x:v>0</x:v>
      </x:c>
      <x:c r="FE232">
        <x:f t="shared" si="256"/>
        <x:v>0</x:v>
      </x:c>
      <x:c r="FF232">
        <x:f t="shared" si="257"/>
        <x:v>0</x:v>
      </x:c>
      <x:c r="FG232">
        <x:f t="shared" si="258"/>
        <x:v>0</x:v>
      </x:c>
      <x:c r="FH232">
        <x:f t="shared" si="259"/>
        <x:v>0</x:v>
      </x:c>
      <x:c r="FI232">
        <x:f t="shared" si="260"/>
        <x:v>0</x:v>
      </x:c>
      <x:c r="FJ232">
        <x:f t="shared" si="261"/>
        <x:v>0</x:v>
      </x:c>
      <x:c r="FK232">
        <x:f t="shared" si="262"/>
        <x:v>0</x:v>
      </x:c>
      <x:c r="FL232" s="41">
        <x:f t="shared" si="263"/>
        <x:v>0</x:v>
      </x:c>
      <x:c r="FM232">
        <x:f t="shared" si="264"/>
        <x:v>0</x:v>
      </x:c>
      <x:c r="FN232">
        <x:f t="shared" si="265"/>
        <x:v>0</x:v>
      </x:c>
      <x:c r="FO232">
        <x:f t="shared" si="266"/>
        <x:v>0</x:v>
      </x:c>
      <x:c r="FP232">
        <x:f t="shared" si="267"/>
        <x:v>0</x:v>
      </x:c>
      <x:c r="FQ232">
        <x:f t="shared" si="268"/>
        <x:v>0</x:v>
      </x:c>
      <x:c r="FR232">
        <x:f t="shared" si="269"/>
        <x:v>0</x:v>
      </x:c>
      <x:c r="FS232">
        <x:f t="shared" si="270"/>
        <x:v>0</x:v>
      </x:c>
      <x:c r="FT232">
        <x:f t="shared" si="271"/>
        <x:v>0</x:v>
      </x:c>
      <x:c r="FU232">
        <x:f t="shared" si="272"/>
        <x:v>0</x:v>
      </x:c>
      <x:c r="FV232">
        <x:f t="shared" si="273"/>
        <x:v>0</x:v>
      </x:c>
      <x:c r="FW232" s="41">
        <x:f t="shared" si="274"/>
        <x:v>0</x:v>
      </x:c>
      <x:c r="FX232">
        <x:f t="shared" si="275"/>
        <x:v>0</x:v>
      </x:c>
      <x:c r="FY232">
        <x:f t="shared" si="276"/>
        <x:v>0</x:v>
      </x:c>
      <x:c r="FZ232">
        <x:f t="shared" si="277"/>
        <x:v>0</x:v>
      </x:c>
      <x:c r="GA232">
        <x:f t="shared" si="278"/>
        <x:v>0</x:v>
      </x:c>
      <x:c r="GB232">
        <x:f t="shared" si="279"/>
        <x:v>0</x:v>
      </x:c>
      <x:c r="GC232">
        <x:f t="shared" si="280"/>
        <x:v>0</x:v>
      </x:c>
      <x:c r="GD232">
        <x:f t="shared" si="281"/>
        <x:v>0</x:v>
      </x:c>
      <x:c r="GE232">
        <x:f t="shared" si="282"/>
        <x:v>0</x:v>
      </x:c>
      <x:c r="GF232">
        <x:f t="shared" si="283"/>
        <x:v>0</x:v>
      </x:c>
      <x:c r="GG232">
        <x:f t="shared" si="284"/>
        <x:v>0</x:v>
      </x:c>
      <x:c r="GH232">
        <x:f t="shared" si="285"/>
        <x:v>0</x:v>
      </x:c>
      <x:c r="GI232">
        <x:f t="shared" si="286"/>
        <x:v>0</x:v>
      </x:c>
      <x:c r="GJ232">
        <x:f t="shared" si="287"/>
        <x:v>0</x:v>
      </x:c>
      <x:c r="GK232">
        <x:f t="shared" si="288"/>
        <x:v>0</x:v>
      </x:c>
      <x:c r="GL232">
        <x:f t="shared" si="289"/>
        <x:v>0</x:v>
      </x:c>
      <x:c r="GM232">
        <x:f t="shared" si="290"/>
        <x:v>0</x:v>
      </x:c>
      <x:c r="GN232">
        <x:f t="shared" si="291"/>
        <x:v>0</x:v>
      </x:c>
      <x:c r="GO232">
        <x:f t="shared" si="292"/>
        <x:v>0</x:v>
      </x:c>
      <x:c r="GP232">
        <x:f t="shared" si="293"/>
        <x:v>0</x:v>
      </x:c>
      <x:c r="GQ232">
        <x:f t="shared" si="294"/>
        <x:v>0</x:v>
      </x:c>
      <x:c r="GR232" s="42">
        <x:f t="shared" si="295"/>
        <x:v>0</x:v>
      </x:c>
      <x:c r="GS232">
        <x:f t="shared" si="296"/>
        <x:v>0</x:v>
      </x:c>
      <x:c r="GT232">
        <x:f t="shared" si="297"/>
        <x:v>0</x:v>
      </x:c>
      <x:c r="GU232">
        <x:f t="shared" si="298"/>
        <x:v>0</x:v>
      </x:c>
      <x:c r="GV232">
        <x:f t="shared" si="299"/>
        <x:v>0</x:v>
      </x:c>
      <x:c r="GW232">
        <x:f t="shared" si="300"/>
        <x:v>0</x:v>
      </x:c>
      <x:c r="GX232">
        <x:f t="shared" si="301"/>
        <x:v>0</x:v>
      </x:c>
      <x:c r="GY232">
        <x:f t="shared" si="302"/>
        <x:v>0</x:v>
      </x:c>
      <x:c r="GZ232">
        <x:f t="shared" si="303"/>
        <x:v>0</x:v>
      </x:c>
      <x:c r="HA232">
        <x:f t="shared" si="304"/>
        <x:v>0</x:v>
      </x:c>
      <x:c r="HB232" s="42">
        <x:f t="shared" si="305"/>
        <x:v>0</x:v>
      </x:c>
      <x:c r="HC232">
        <x:f t="shared" si="306"/>
        <x:v>0</x:v>
      </x:c>
      <x:c r="HD232">
        <x:f t="shared" si="307"/>
        <x:v>0</x:v>
      </x:c>
      <x:c r="HE232">
        <x:f t="shared" si="308"/>
        <x:v>0</x:v>
      </x:c>
      <x:c r="HF232">
        <x:f t="shared" si="309"/>
        <x:v>0</x:v>
      </x:c>
      <x:c r="HG232">
        <x:f t="shared" si="310"/>
        <x:v>0</x:v>
      </x:c>
      <x:c r="HH232">
        <x:f t="shared" si="311"/>
        <x:v>0</x:v>
      </x:c>
      <x:c r="HI232">
        <x:f t="shared" si="312"/>
        <x:v>0</x:v>
      </x:c>
      <x:c r="HJ232">
        <x:f t="shared" si="313"/>
        <x:v>0</x:v>
      </x:c>
      <x:c r="HK232">
        <x:f t="shared" si="314"/>
        <x:v>0</x:v>
      </x:c>
      <x:c r="HL232">
        <x:f t="shared" si="315"/>
        <x:v>0</x:v>
      </x:c>
    </x:row>
    <x:row r="233">
      <x:c r="D233" s="74"/>
      <x:c r="EQ233">
        <x:f t="shared" si="242"/>
        <x:v>0</x:v>
      </x:c>
      <x:c r="ER233">
        <x:f t="shared" si="243"/>
        <x:v>0</x:v>
      </x:c>
      <x:c r="ES233">
        <x:f t="shared" si="244"/>
        <x:v>0</x:v>
      </x:c>
      <x:c r="ET233">
        <x:f t="shared" si="245"/>
        <x:v>0</x:v>
      </x:c>
      <x:c r="EU233">
        <x:f t="shared" si="246"/>
        <x:v>0</x:v>
      </x:c>
      <x:c r="EV233">
        <x:f t="shared" si="247"/>
        <x:v>0</x:v>
      </x:c>
      <x:c r="EW233">
        <x:f t="shared" si="248"/>
        <x:v>0</x:v>
      </x:c>
      <x:c r="EX233">
        <x:f t="shared" si="249"/>
        <x:v>0</x:v>
      </x:c>
      <x:c r="EY233">
        <x:f t="shared" si="250"/>
        <x:v>0</x:v>
      </x:c>
      <x:c r="EZ233">
        <x:f t="shared" si="251"/>
        <x:v>0</x:v>
      </x:c>
      <x:c r="FA233" s="41">
        <x:f t="shared" si="252"/>
        <x:v>0</x:v>
      </x:c>
      <x:c r="FB233">
        <x:f t="shared" si="253"/>
        <x:v>0</x:v>
      </x:c>
      <x:c r="FC233">
        <x:f t="shared" si="254"/>
        <x:v>0</x:v>
      </x:c>
      <x:c r="FD233">
        <x:f t="shared" si="255"/>
        <x:v>0</x:v>
      </x:c>
      <x:c r="FE233">
        <x:f t="shared" si="256"/>
        <x:v>0</x:v>
      </x:c>
      <x:c r="FF233">
        <x:f t="shared" si="257"/>
        <x:v>0</x:v>
      </x:c>
      <x:c r="FG233">
        <x:f t="shared" si="258"/>
        <x:v>0</x:v>
      </x:c>
      <x:c r="FH233">
        <x:f t="shared" si="259"/>
        <x:v>0</x:v>
      </x:c>
      <x:c r="FI233">
        <x:f t="shared" si="260"/>
        <x:v>0</x:v>
      </x:c>
      <x:c r="FJ233">
        <x:f t="shared" si="261"/>
        <x:v>0</x:v>
      </x:c>
      <x:c r="FK233">
        <x:f t="shared" si="262"/>
        <x:v>0</x:v>
      </x:c>
      <x:c r="FL233" s="41">
        <x:f t="shared" si="263"/>
        <x:v>0</x:v>
      </x:c>
      <x:c r="FM233">
        <x:f t="shared" si="264"/>
        <x:v>0</x:v>
      </x:c>
      <x:c r="FN233">
        <x:f t="shared" si="265"/>
        <x:v>0</x:v>
      </x:c>
      <x:c r="FO233">
        <x:f t="shared" si="266"/>
        <x:v>0</x:v>
      </x:c>
      <x:c r="FP233">
        <x:f t="shared" si="267"/>
        <x:v>0</x:v>
      </x:c>
      <x:c r="FQ233">
        <x:f t="shared" si="268"/>
        <x:v>0</x:v>
      </x:c>
      <x:c r="FR233">
        <x:f t="shared" si="269"/>
        <x:v>0</x:v>
      </x:c>
      <x:c r="FS233">
        <x:f t="shared" si="270"/>
        <x:v>0</x:v>
      </x:c>
      <x:c r="FT233">
        <x:f t="shared" si="271"/>
        <x:v>0</x:v>
      </x:c>
      <x:c r="FU233">
        <x:f t="shared" si="272"/>
        <x:v>0</x:v>
      </x:c>
      <x:c r="FV233">
        <x:f t="shared" si="273"/>
        <x:v>0</x:v>
      </x:c>
      <x:c r="FW233" s="41">
        <x:f t="shared" si="274"/>
        <x:v>0</x:v>
      </x:c>
      <x:c r="FX233">
        <x:f t="shared" si="275"/>
        <x:v>0</x:v>
      </x:c>
      <x:c r="FY233">
        <x:f t="shared" si="276"/>
        <x:v>0</x:v>
      </x:c>
      <x:c r="FZ233">
        <x:f t="shared" si="277"/>
        <x:v>0</x:v>
      </x:c>
      <x:c r="GA233">
        <x:f t="shared" si="278"/>
        <x:v>0</x:v>
      </x:c>
      <x:c r="GB233">
        <x:f t="shared" si="279"/>
        <x:v>0</x:v>
      </x:c>
      <x:c r="GC233">
        <x:f t="shared" si="280"/>
        <x:v>0</x:v>
      </x:c>
      <x:c r="GD233">
        <x:f t="shared" si="281"/>
        <x:v>0</x:v>
      </x:c>
      <x:c r="GE233">
        <x:f t="shared" si="282"/>
        <x:v>0</x:v>
      </x:c>
      <x:c r="GF233">
        <x:f t="shared" si="283"/>
        <x:v>0</x:v>
      </x:c>
      <x:c r="GG233">
        <x:f t="shared" si="284"/>
        <x:v>0</x:v>
      </x:c>
      <x:c r="GH233">
        <x:f t="shared" si="285"/>
        <x:v>0</x:v>
      </x:c>
      <x:c r="GI233">
        <x:f t="shared" si="286"/>
        <x:v>0</x:v>
      </x:c>
      <x:c r="GJ233">
        <x:f t="shared" si="287"/>
        <x:v>0</x:v>
      </x:c>
      <x:c r="GK233">
        <x:f t="shared" si="288"/>
        <x:v>0</x:v>
      </x:c>
      <x:c r="GL233">
        <x:f t="shared" si="289"/>
        <x:v>0</x:v>
      </x:c>
      <x:c r="GM233">
        <x:f t="shared" si="290"/>
        <x:v>0</x:v>
      </x:c>
      <x:c r="GN233">
        <x:f t="shared" si="291"/>
        <x:v>0</x:v>
      </x:c>
      <x:c r="GO233">
        <x:f t="shared" si="292"/>
        <x:v>0</x:v>
      </x:c>
      <x:c r="GP233">
        <x:f t="shared" si="293"/>
        <x:v>0</x:v>
      </x:c>
      <x:c r="GQ233">
        <x:f t="shared" si="294"/>
        <x:v>0</x:v>
      </x:c>
      <x:c r="GR233" s="42">
        <x:f t="shared" si="295"/>
        <x:v>0</x:v>
      </x:c>
      <x:c r="GS233">
        <x:f t="shared" si="296"/>
        <x:v>0</x:v>
      </x:c>
      <x:c r="GT233">
        <x:f t="shared" si="297"/>
        <x:v>0</x:v>
      </x:c>
      <x:c r="GU233">
        <x:f t="shared" si="298"/>
        <x:v>0</x:v>
      </x:c>
      <x:c r="GV233">
        <x:f t="shared" si="299"/>
        <x:v>0</x:v>
      </x:c>
      <x:c r="GW233">
        <x:f t="shared" si="300"/>
        <x:v>0</x:v>
      </x:c>
      <x:c r="GX233">
        <x:f t="shared" si="301"/>
        <x:v>0</x:v>
      </x:c>
      <x:c r="GY233">
        <x:f t="shared" si="302"/>
        <x:v>0</x:v>
      </x:c>
      <x:c r="GZ233">
        <x:f t="shared" si="303"/>
        <x:v>0</x:v>
      </x:c>
      <x:c r="HA233">
        <x:f t="shared" si="304"/>
        <x:v>0</x:v>
      </x:c>
      <x:c r="HB233" s="42">
        <x:f t="shared" si="305"/>
        <x:v>0</x:v>
      </x:c>
      <x:c r="HC233">
        <x:f t="shared" si="306"/>
        <x:v>0</x:v>
      </x:c>
      <x:c r="HD233">
        <x:f t="shared" si="307"/>
        <x:v>0</x:v>
      </x:c>
      <x:c r="HE233">
        <x:f t="shared" si="308"/>
        <x:v>0</x:v>
      </x:c>
      <x:c r="HF233">
        <x:f t="shared" si="309"/>
        <x:v>0</x:v>
      </x:c>
      <x:c r="HG233">
        <x:f t="shared" si="310"/>
        <x:v>0</x:v>
      </x:c>
      <x:c r="HH233">
        <x:f t="shared" si="311"/>
        <x:v>0</x:v>
      </x:c>
      <x:c r="HI233">
        <x:f t="shared" si="312"/>
        <x:v>0</x:v>
      </x:c>
      <x:c r="HJ233">
        <x:f t="shared" si="313"/>
        <x:v>0</x:v>
      </x:c>
      <x:c r="HK233">
        <x:f t="shared" si="314"/>
        <x:v>0</x:v>
      </x:c>
      <x:c r="HL233">
        <x:f t="shared" si="315"/>
        <x:v>0</x:v>
      </x:c>
    </x:row>
    <x:row r="234">
      <x:c r="D234" s="74"/>
      <x:c r="EQ234">
        <x:f t="shared" si="242"/>
        <x:v>0</x:v>
      </x:c>
      <x:c r="ER234">
        <x:f t="shared" si="243"/>
        <x:v>0</x:v>
      </x:c>
      <x:c r="ES234">
        <x:f t="shared" si="244"/>
        <x:v>0</x:v>
      </x:c>
      <x:c r="ET234">
        <x:f t="shared" si="245"/>
        <x:v>0</x:v>
      </x:c>
      <x:c r="EU234">
        <x:f t="shared" si="246"/>
        <x:v>0</x:v>
      </x:c>
      <x:c r="EV234">
        <x:f t="shared" si="247"/>
        <x:v>0</x:v>
      </x:c>
      <x:c r="EW234">
        <x:f t="shared" si="248"/>
        <x:v>0</x:v>
      </x:c>
      <x:c r="EX234">
        <x:f t="shared" si="249"/>
        <x:v>0</x:v>
      </x:c>
      <x:c r="EY234">
        <x:f t="shared" si="250"/>
        <x:v>0</x:v>
      </x:c>
      <x:c r="EZ234">
        <x:f t="shared" si="251"/>
        <x:v>0</x:v>
      </x:c>
      <x:c r="FA234" s="41">
        <x:f t="shared" si="252"/>
        <x:v>0</x:v>
      </x:c>
      <x:c r="FB234">
        <x:f t="shared" si="253"/>
        <x:v>0</x:v>
      </x:c>
      <x:c r="FC234">
        <x:f t="shared" si="254"/>
        <x:v>0</x:v>
      </x:c>
      <x:c r="FD234">
        <x:f t="shared" si="255"/>
        <x:v>0</x:v>
      </x:c>
      <x:c r="FE234">
        <x:f t="shared" si="256"/>
        <x:v>0</x:v>
      </x:c>
      <x:c r="FF234">
        <x:f t="shared" si="257"/>
        <x:v>0</x:v>
      </x:c>
      <x:c r="FG234">
        <x:f t="shared" si="258"/>
        <x:v>0</x:v>
      </x:c>
      <x:c r="FH234">
        <x:f t="shared" si="259"/>
        <x:v>0</x:v>
      </x:c>
      <x:c r="FI234">
        <x:f t="shared" si="260"/>
        <x:v>0</x:v>
      </x:c>
      <x:c r="FJ234">
        <x:f t="shared" si="261"/>
        <x:v>0</x:v>
      </x:c>
      <x:c r="FK234">
        <x:f t="shared" si="262"/>
        <x:v>0</x:v>
      </x:c>
      <x:c r="FL234" s="41">
        <x:f t="shared" si="263"/>
        <x:v>0</x:v>
      </x:c>
      <x:c r="FM234">
        <x:f t="shared" si="264"/>
        <x:v>0</x:v>
      </x:c>
      <x:c r="FN234">
        <x:f t="shared" si="265"/>
        <x:v>0</x:v>
      </x:c>
      <x:c r="FO234">
        <x:f t="shared" si="266"/>
        <x:v>0</x:v>
      </x:c>
      <x:c r="FP234">
        <x:f t="shared" si="267"/>
        <x:v>0</x:v>
      </x:c>
      <x:c r="FQ234">
        <x:f t="shared" si="268"/>
        <x:v>0</x:v>
      </x:c>
      <x:c r="FR234">
        <x:f t="shared" si="269"/>
        <x:v>0</x:v>
      </x:c>
      <x:c r="FS234">
        <x:f t="shared" si="270"/>
        <x:v>0</x:v>
      </x:c>
      <x:c r="FT234">
        <x:f t="shared" si="271"/>
        <x:v>0</x:v>
      </x:c>
      <x:c r="FU234">
        <x:f t="shared" si="272"/>
        <x:v>0</x:v>
      </x:c>
      <x:c r="FV234">
        <x:f t="shared" si="273"/>
        <x:v>0</x:v>
      </x:c>
      <x:c r="FW234" s="41">
        <x:f t="shared" si="274"/>
        <x:v>0</x:v>
      </x:c>
      <x:c r="FX234">
        <x:f t="shared" si="275"/>
        <x:v>0</x:v>
      </x:c>
      <x:c r="FY234">
        <x:f t="shared" si="276"/>
        <x:v>0</x:v>
      </x:c>
      <x:c r="FZ234">
        <x:f t="shared" si="277"/>
        <x:v>0</x:v>
      </x:c>
      <x:c r="GA234">
        <x:f t="shared" si="278"/>
        <x:v>0</x:v>
      </x:c>
      <x:c r="GB234">
        <x:f t="shared" si="279"/>
        <x:v>0</x:v>
      </x:c>
      <x:c r="GC234">
        <x:f t="shared" si="280"/>
        <x:v>0</x:v>
      </x:c>
      <x:c r="GD234">
        <x:f t="shared" si="281"/>
        <x:v>0</x:v>
      </x:c>
      <x:c r="GE234">
        <x:f t="shared" si="282"/>
        <x:v>0</x:v>
      </x:c>
      <x:c r="GF234">
        <x:f t="shared" si="283"/>
        <x:v>0</x:v>
      </x:c>
      <x:c r="GG234">
        <x:f t="shared" si="284"/>
        <x:v>0</x:v>
      </x:c>
      <x:c r="GH234">
        <x:f t="shared" si="285"/>
        <x:v>0</x:v>
      </x:c>
      <x:c r="GI234">
        <x:f t="shared" si="286"/>
        <x:v>0</x:v>
      </x:c>
      <x:c r="GJ234">
        <x:f t="shared" si="287"/>
        <x:v>0</x:v>
      </x:c>
      <x:c r="GK234">
        <x:f t="shared" si="288"/>
        <x:v>0</x:v>
      </x:c>
      <x:c r="GL234">
        <x:f t="shared" si="289"/>
        <x:v>0</x:v>
      </x:c>
      <x:c r="GM234">
        <x:f t="shared" si="290"/>
        <x:v>0</x:v>
      </x:c>
      <x:c r="GN234">
        <x:f t="shared" si="291"/>
        <x:v>0</x:v>
      </x:c>
      <x:c r="GO234">
        <x:f t="shared" si="292"/>
        <x:v>0</x:v>
      </x:c>
      <x:c r="GP234">
        <x:f t="shared" si="293"/>
        <x:v>0</x:v>
      </x:c>
      <x:c r="GQ234">
        <x:f t="shared" si="294"/>
        <x:v>0</x:v>
      </x:c>
      <x:c r="GR234" s="42">
        <x:f t="shared" si="295"/>
        <x:v>0</x:v>
      </x:c>
      <x:c r="GS234">
        <x:f t="shared" si="296"/>
        <x:v>0</x:v>
      </x:c>
      <x:c r="GT234">
        <x:f t="shared" si="297"/>
        <x:v>0</x:v>
      </x:c>
      <x:c r="GU234">
        <x:f t="shared" si="298"/>
        <x:v>0</x:v>
      </x:c>
      <x:c r="GV234">
        <x:f t="shared" si="299"/>
        <x:v>0</x:v>
      </x:c>
      <x:c r="GW234">
        <x:f t="shared" si="300"/>
        <x:v>0</x:v>
      </x:c>
      <x:c r="GX234">
        <x:f t="shared" si="301"/>
        <x:v>0</x:v>
      </x:c>
      <x:c r="GY234">
        <x:f t="shared" si="302"/>
        <x:v>0</x:v>
      </x:c>
      <x:c r="GZ234">
        <x:f t="shared" si="303"/>
        <x:v>0</x:v>
      </x:c>
      <x:c r="HA234">
        <x:f t="shared" si="304"/>
        <x:v>0</x:v>
      </x:c>
      <x:c r="HB234" s="42">
        <x:f t="shared" si="305"/>
        <x:v>0</x:v>
      </x:c>
      <x:c r="HC234">
        <x:f t="shared" si="306"/>
        <x:v>0</x:v>
      </x:c>
      <x:c r="HD234">
        <x:f t="shared" si="307"/>
        <x:v>0</x:v>
      </x:c>
      <x:c r="HE234">
        <x:f t="shared" si="308"/>
        <x:v>0</x:v>
      </x:c>
      <x:c r="HF234">
        <x:f t="shared" si="309"/>
        <x:v>0</x:v>
      </x:c>
      <x:c r="HG234">
        <x:f t="shared" si="310"/>
        <x:v>0</x:v>
      </x:c>
      <x:c r="HH234">
        <x:f t="shared" si="311"/>
        <x:v>0</x:v>
      </x:c>
      <x:c r="HI234">
        <x:f t="shared" si="312"/>
        <x:v>0</x:v>
      </x:c>
      <x:c r="HJ234">
        <x:f t="shared" si="313"/>
        <x:v>0</x:v>
      </x:c>
      <x:c r="HK234">
        <x:f t="shared" si="314"/>
        <x:v>0</x:v>
      </x:c>
      <x:c r="HL234">
        <x:f t="shared" si="315"/>
        <x:v>0</x:v>
      </x:c>
    </x:row>
    <x:row r="235">
      <x:c r="D235" s="74"/>
      <x:c r="EQ235">
        <x:f t="shared" si="242"/>
        <x:v>0</x:v>
      </x:c>
      <x:c r="ER235">
        <x:f t="shared" si="243"/>
        <x:v>0</x:v>
      </x:c>
      <x:c r="ES235">
        <x:f t="shared" si="244"/>
        <x:v>0</x:v>
      </x:c>
      <x:c r="ET235">
        <x:f t="shared" si="245"/>
        <x:v>0</x:v>
      </x:c>
      <x:c r="EU235">
        <x:f t="shared" si="246"/>
        <x:v>0</x:v>
      </x:c>
      <x:c r="EV235">
        <x:f t="shared" si="247"/>
        <x:v>0</x:v>
      </x:c>
      <x:c r="EW235">
        <x:f t="shared" si="248"/>
        <x:v>0</x:v>
      </x:c>
      <x:c r="EX235">
        <x:f t="shared" si="249"/>
        <x:v>0</x:v>
      </x:c>
      <x:c r="EY235">
        <x:f t="shared" si="250"/>
        <x:v>0</x:v>
      </x:c>
      <x:c r="EZ235">
        <x:f t="shared" si="251"/>
        <x:v>0</x:v>
      </x:c>
      <x:c r="FA235" s="41">
        <x:f t="shared" si="252"/>
        <x:v>0</x:v>
      </x:c>
      <x:c r="FB235">
        <x:f t="shared" si="253"/>
        <x:v>0</x:v>
      </x:c>
      <x:c r="FC235">
        <x:f t="shared" si="254"/>
        <x:v>0</x:v>
      </x:c>
      <x:c r="FD235">
        <x:f t="shared" si="255"/>
        <x:v>0</x:v>
      </x:c>
      <x:c r="FE235">
        <x:f t="shared" si="256"/>
        <x:v>0</x:v>
      </x:c>
      <x:c r="FF235">
        <x:f t="shared" si="257"/>
        <x:v>0</x:v>
      </x:c>
      <x:c r="FG235">
        <x:f t="shared" si="258"/>
        <x:v>0</x:v>
      </x:c>
      <x:c r="FH235">
        <x:f t="shared" si="259"/>
        <x:v>0</x:v>
      </x:c>
      <x:c r="FI235">
        <x:f t="shared" si="260"/>
        <x:v>0</x:v>
      </x:c>
      <x:c r="FJ235">
        <x:f t="shared" si="261"/>
        <x:v>0</x:v>
      </x:c>
      <x:c r="FK235">
        <x:f t="shared" si="262"/>
        <x:v>0</x:v>
      </x:c>
      <x:c r="FL235" s="41">
        <x:f t="shared" si="263"/>
        <x:v>0</x:v>
      </x:c>
      <x:c r="FM235">
        <x:f t="shared" si="264"/>
        <x:v>0</x:v>
      </x:c>
      <x:c r="FN235">
        <x:f t="shared" si="265"/>
        <x:v>0</x:v>
      </x:c>
      <x:c r="FO235">
        <x:f t="shared" si="266"/>
        <x:v>0</x:v>
      </x:c>
      <x:c r="FP235">
        <x:f t="shared" si="267"/>
        <x:v>0</x:v>
      </x:c>
      <x:c r="FQ235">
        <x:f t="shared" si="268"/>
        <x:v>0</x:v>
      </x:c>
      <x:c r="FR235">
        <x:f t="shared" si="269"/>
        <x:v>0</x:v>
      </x:c>
      <x:c r="FS235">
        <x:f t="shared" si="270"/>
        <x:v>0</x:v>
      </x:c>
      <x:c r="FT235">
        <x:f t="shared" si="271"/>
        <x:v>0</x:v>
      </x:c>
      <x:c r="FU235">
        <x:f t="shared" si="272"/>
        <x:v>0</x:v>
      </x:c>
      <x:c r="FV235">
        <x:f t="shared" si="273"/>
        <x:v>0</x:v>
      </x:c>
      <x:c r="FW235" s="41">
        <x:f t="shared" si="274"/>
        <x:v>0</x:v>
      </x:c>
      <x:c r="FX235">
        <x:f t="shared" si="275"/>
        <x:v>0</x:v>
      </x:c>
      <x:c r="FY235">
        <x:f t="shared" si="276"/>
        <x:v>0</x:v>
      </x:c>
      <x:c r="FZ235">
        <x:f t="shared" si="277"/>
        <x:v>0</x:v>
      </x:c>
      <x:c r="GA235">
        <x:f t="shared" si="278"/>
        <x:v>0</x:v>
      </x:c>
      <x:c r="GB235">
        <x:f t="shared" si="279"/>
        <x:v>0</x:v>
      </x:c>
      <x:c r="GC235">
        <x:f t="shared" si="280"/>
        <x:v>0</x:v>
      </x:c>
      <x:c r="GD235">
        <x:f t="shared" si="281"/>
        <x:v>0</x:v>
      </x:c>
      <x:c r="GE235">
        <x:f t="shared" si="282"/>
        <x:v>0</x:v>
      </x:c>
      <x:c r="GF235">
        <x:f t="shared" si="283"/>
        <x:v>0</x:v>
      </x:c>
      <x:c r="GG235">
        <x:f t="shared" si="284"/>
        <x:v>0</x:v>
      </x:c>
      <x:c r="GH235">
        <x:f t="shared" si="285"/>
        <x:v>0</x:v>
      </x:c>
      <x:c r="GI235">
        <x:f t="shared" si="286"/>
        <x:v>0</x:v>
      </x:c>
      <x:c r="GJ235">
        <x:f t="shared" si="287"/>
        <x:v>0</x:v>
      </x:c>
      <x:c r="GK235">
        <x:f t="shared" si="288"/>
        <x:v>0</x:v>
      </x:c>
      <x:c r="GL235">
        <x:f t="shared" si="289"/>
        <x:v>0</x:v>
      </x:c>
      <x:c r="GM235">
        <x:f t="shared" si="290"/>
        <x:v>0</x:v>
      </x:c>
      <x:c r="GN235">
        <x:f t="shared" si="291"/>
        <x:v>0</x:v>
      </x:c>
      <x:c r="GO235">
        <x:f t="shared" si="292"/>
        <x:v>0</x:v>
      </x:c>
      <x:c r="GP235">
        <x:f t="shared" si="293"/>
        <x:v>0</x:v>
      </x:c>
      <x:c r="GQ235">
        <x:f t="shared" si="294"/>
        <x:v>0</x:v>
      </x:c>
      <x:c r="GR235" s="42">
        <x:f t="shared" si="295"/>
        <x:v>0</x:v>
      </x:c>
      <x:c r="GS235">
        <x:f t="shared" si="296"/>
        <x:v>0</x:v>
      </x:c>
      <x:c r="GT235">
        <x:f t="shared" si="297"/>
        <x:v>0</x:v>
      </x:c>
      <x:c r="GU235">
        <x:f t="shared" si="298"/>
        <x:v>0</x:v>
      </x:c>
      <x:c r="GV235">
        <x:f t="shared" si="299"/>
        <x:v>0</x:v>
      </x:c>
      <x:c r="GW235">
        <x:f t="shared" si="300"/>
        <x:v>0</x:v>
      </x:c>
      <x:c r="GX235">
        <x:f t="shared" si="301"/>
        <x:v>0</x:v>
      </x:c>
      <x:c r="GY235">
        <x:f t="shared" si="302"/>
        <x:v>0</x:v>
      </x:c>
      <x:c r="GZ235">
        <x:f t="shared" si="303"/>
        <x:v>0</x:v>
      </x:c>
      <x:c r="HA235">
        <x:f t="shared" si="304"/>
        <x:v>0</x:v>
      </x:c>
      <x:c r="HB235" s="42">
        <x:f t="shared" si="305"/>
        <x:v>0</x:v>
      </x:c>
      <x:c r="HC235">
        <x:f t="shared" si="306"/>
        <x:v>0</x:v>
      </x:c>
      <x:c r="HD235">
        <x:f t="shared" si="307"/>
        <x:v>0</x:v>
      </x:c>
      <x:c r="HE235">
        <x:f t="shared" si="308"/>
        <x:v>0</x:v>
      </x:c>
      <x:c r="HF235">
        <x:f t="shared" si="309"/>
        <x:v>0</x:v>
      </x:c>
      <x:c r="HG235">
        <x:f t="shared" si="310"/>
        <x:v>0</x:v>
      </x:c>
      <x:c r="HH235">
        <x:f t="shared" si="311"/>
        <x:v>0</x:v>
      </x:c>
      <x:c r="HI235">
        <x:f t="shared" si="312"/>
        <x:v>0</x:v>
      </x:c>
      <x:c r="HJ235">
        <x:f t="shared" si="313"/>
        <x:v>0</x:v>
      </x:c>
      <x:c r="HK235">
        <x:f t="shared" si="314"/>
        <x:v>0</x:v>
      </x:c>
      <x:c r="HL235">
        <x:f t="shared" si="315"/>
        <x:v>0</x:v>
      </x:c>
    </x:row>
    <x:row r="236">
      <x:c r="D236" s="74"/>
      <x:c r="EQ236">
        <x:f t="shared" si="242"/>
        <x:v>0</x:v>
      </x:c>
      <x:c r="ER236">
        <x:f t="shared" si="243"/>
        <x:v>0</x:v>
      </x:c>
      <x:c r="ES236">
        <x:f t="shared" si="244"/>
        <x:v>0</x:v>
      </x:c>
      <x:c r="ET236">
        <x:f t="shared" si="245"/>
        <x:v>0</x:v>
      </x:c>
      <x:c r="EU236">
        <x:f t="shared" si="246"/>
        <x:v>0</x:v>
      </x:c>
      <x:c r="EV236">
        <x:f t="shared" si="247"/>
        <x:v>0</x:v>
      </x:c>
      <x:c r="EW236">
        <x:f t="shared" si="248"/>
        <x:v>0</x:v>
      </x:c>
      <x:c r="EX236">
        <x:f t="shared" si="249"/>
        <x:v>0</x:v>
      </x:c>
      <x:c r="EY236">
        <x:f t="shared" si="250"/>
        <x:v>0</x:v>
      </x:c>
      <x:c r="EZ236">
        <x:f t="shared" si="251"/>
        <x:v>0</x:v>
      </x:c>
      <x:c r="FA236" s="41">
        <x:f t="shared" si="252"/>
        <x:v>0</x:v>
      </x:c>
      <x:c r="FB236">
        <x:f t="shared" si="253"/>
        <x:v>0</x:v>
      </x:c>
      <x:c r="FC236">
        <x:f t="shared" si="254"/>
        <x:v>0</x:v>
      </x:c>
      <x:c r="FD236">
        <x:f t="shared" si="255"/>
        <x:v>0</x:v>
      </x:c>
      <x:c r="FE236">
        <x:f t="shared" si="256"/>
        <x:v>0</x:v>
      </x:c>
      <x:c r="FF236">
        <x:f t="shared" si="257"/>
        <x:v>0</x:v>
      </x:c>
      <x:c r="FG236">
        <x:f t="shared" si="258"/>
        <x:v>0</x:v>
      </x:c>
      <x:c r="FH236">
        <x:f t="shared" si="259"/>
        <x:v>0</x:v>
      </x:c>
      <x:c r="FI236">
        <x:f t="shared" si="260"/>
        <x:v>0</x:v>
      </x:c>
      <x:c r="FJ236">
        <x:f t="shared" si="261"/>
        <x:v>0</x:v>
      </x:c>
      <x:c r="FK236">
        <x:f t="shared" si="262"/>
        <x:v>0</x:v>
      </x:c>
      <x:c r="FL236" s="41">
        <x:f t="shared" si="263"/>
        <x:v>0</x:v>
      </x:c>
      <x:c r="FM236">
        <x:f t="shared" si="264"/>
        <x:v>0</x:v>
      </x:c>
      <x:c r="FN236">
        <x:f t="shared" si="265"/>
        <x:v>0</x:v>
      </x:c>
      <x:c r="FO236">
        <x:f t="shared" si="266"/>
        <x:v>0</x:v>
      </x:c>
      <x:c r="FP236">
        <x:f t="shared" si="267"/>
        <x:v>0</x:v>
      </x:c>
      <x:c r="FQ236">
        <x:f t="shared" si="268"/>
        <x:v>0</x:v>
      </x:c>
      <x:c r="FR236">
        <x:f t="shared" si="269"/>
        <x:v>0</x:v>
      </x:c>
      <x:c r="FS236">
        <x:f t="shared" si="270"/>
        <x:v>0</x:v>
      </x:c>
      <x:c r="FT236">
        <x:f t="shared" si="271"/>
        <x:v>0</x:v>
      </x:c>
      <x:c r="FU236">
        <x:f t="shared" si="272"/>
        <x:v>0</x:v>
      </x:c>
      <x:c r="FV236">
        <x:f t="shared" si="273"/>
        <x:v>0</x:v>
      </x:c>
      <x:c r="FW236" s="41">
        <x:f t="shared" si="274"/>
        <x:v>0</x:v>
      </x:c>
      <x:c r="FX236">
        <x:f t="shared" si="275"/>
        <x:v>0</x:v>
      </x:c>
      <x:c r="FY236">
        <x:f t="shared" si="276"/>
        <x:v>0</x:v>
      </x:c>
      <x:c r="FZ236">
        <x:f t="shared" si="277"/>
        <x:v>0</x:v>
      </x:c>
      <x:c r="GA236">
        <x:f t="shared" si="278"/>
        <x:v>0</x:v>
      </x:c>
      <x:c r="GB236">
        <x:f t="shared" si="279"/>
        <x:v>0</x:v>
      </x:c>
      <x:c r="GC236">
        <x:f t="shared" si="280"/>
        <x:v>0</x:v>
      </x:c>
      <x:c r="GD236">
        <x:f t="shared" si="281"/>
        <x:v>0</x:v>
      </x:c>
      <x:c r="GE236">
        <x:f t="shared" si="282"/>
        <x:v>0</x:v>
      </x:c>
      <x:c r="GF236">
        <x:f t="shared" si="283"/>
        <x:v>0</x:v>
      </x:c>
      <x:c r="GG236">
        <x:f t="shared" si="284"/>
        <x:v>0</x:v>
      </x:c>
      <x:c r="GH236">
        <x:f t="shared" si="285"/>
        <x:v>0</x:v>
      </x:c>
      <x:c r="GI236">
        <x:f t="shared" si="286"/>
        <x:v>0</x:v>
      </x:c>
      <x:c r="GJ236">
        <x:f t="shared" si="287"/>
        <x:v>0</x:v>
      </x:c>
      <x:c r="GK236">
        <x:f t="shared" si="288"/>
        <x:v>0</x:v>
      </x:c>
      <x:c r="GL236">
        <x:f t="shared" si="289"/>
        <x:v>0</x:v>
      </x:c>
      <x:c r="GM236">
        <x:f t="shared" si="290"/>
        <x:v>0</x:v>
      </x:c>
      <x:c r="GN236">
        <x:f t="shared" si="291"/>
        <x:v>0</x:v>
      </x:c>
      <x:c r="GO236">
        <x:f t="shared" si="292"/>
        <x:v>0</x:v>
      </x:c>
      <x:c r="GP236">
        <x:f t="shared" si="293"/>
        <x:v>0</x:v>
      </x:c>
      <x:c r="GQ236">
        <x:f t="shared" si="294"/>
        <x:v>0</x:v>
      </x:c>
      <x:c r="GR236" s="42">
        <x:f t="shared" si="295"/>
        <x:v>0</x:v>
      </x:c>
      <x:c r="GS236">
        <x:f t="shared" si="296"/>
        <x:v>0</x:v>
      </x:c>
      <x:c r="GT236">
        <x:f t="shared" si="297"/>
        <x:v>0</x:v>
      </x:c>
      <x:c r="GU236">
        <x:f t="shared" si="298"/>
        <x:v>0</x:v>
      </x:c>
      <x:c r="GV236">
        <x:f t="shared" si="299"/>
        <x:v>0</x:v>
      </x:c>
      <x:c r="GW236">
        <x:f t="shared" si="300"/>
        <x:v>0</x:v>
      </x:c>
      <x:c r="GX236">
        <x:f t="shared" si="301"/>
        <x:v>0</x:v>
      </x:c>
      <x:c r="GY236">
        <x:f t="shared" si="302"/>
        <x:v>0</x:v>
      </x:c>
      <x:c r="GZ236">
        <x:f t="shared" si="303"/>
        <x:v>0</x:v>
      </x:c>
      <x:c r="HA236">
        <x:f t="shared" si="304"/>
        <x:v>0</x:v>
      </x:c>
      <x:c r="HB236" s="42">
        <x:f t="shared" si="305"/>
        <x:v>0</x:v>
      </x:c>
      <x:c r="HC236">
        <x:f t="shared" si="306"/>
        <x:v>0</x:v>
      </x:c>
      <x:c r="HD236">
        <x:f t="shared" si="307"/>
        <x:v>0</x:v>
      </x:c>
      <x:c r="HE236">
        <x:f t="shared" si="308"/>
        <x:v>0</x:v>
      </x:c>
      <x:c r="HF236">
        <x:f t="shared" si="309"/>
        <x:v>0</x:v>
      </x:c>
      <x:c r="HG236">
        <x:f t="shared" si="310"/>
        <x:v>0</x:v>
      </x:c>
      <x:c r="HH236">
        <x:f t="shared" si="311"/>
        <x:v>0</x:v>
      </x:c>
      <x:c r="HI236">
        <x:f t="shared" si="312"/>
        <x:v>0</x:v>
      </x:c>
      <x:c r="HJ236">
        <x:f t="shared" si="313"/>
        <x:v>0</x:v>
      </x:c>
      <x:c r="HK236">
        <x:f t="shared" si="314"/>
        <x:v>0</x:v>
      </x:c>
      <x:c r="HL236">
        <x:f t="shared" si="315"/>
        <x:v>0</x:v>
      </x:c>
    </x:row>
    <x:row r="237">
      <x:c r="D237" s="74"/>
      <x:c r="EQ237">
        <x:f t="shared" si="242"/>
        <x:v>0</x:v>
      </x:c>
      <x:c r="ER237">
        <x:f t="shared" si="243"/>
        <x:v>0</x:v>
      </x:c>
      <x:c r="ES237">
        <x:f t="shared" si="244"/>
        <x:v>0</x:v>
      </x:c>
      <x:c r="ET237">
        <x:f t="shared" si="245"/>
        <x:v>0</x:v>
      </x:c>
      <x:c r="EU237">
        <x:f t="shared" si="246"/>
        <x:v>0</x:v>
      </x:c>
      <x:c r="EV237">
        <x:f t="shared" si="247"/>
        <x:v>0</x:v>
      </x:c>
      <x:c r="EW237">
        <x:f t="shared" si="248"/>
        <x:v>0</x:v>
      </x:c>
      <x:c r="EX237">
        <x:f t="shared" si="249"/>
        <x:v>0</x:v>
      </x:c>
      <x:c r="EY237">
        <x:f t="shared" si="250"/>
        <x:v>0</x:v>
      </x:c>
      <x:c r="EZ237">
        <x:f t="shared" si="251"/>
        <x:v>0</x:v>
      </x:c>
      <x:c r="FA237" s="41">
        <x:f t="shared" si="252"/>
        <x:v>0</x:v>
      </x:c>
      <x:c r="FB237">
        <x:f t="shared" si="253"/>
        <x:v>0</x:v>
      </x:c>
      <x:c r="FC237">
        <x:f t="shared" si="254"/>
        <x:v>0</x:v>
      </x:c>
      <x:c r="FD237">
        <x:f t="shared" si="255"/>
        <x:v>0</x:v>
      </x:c>
      <x:c r="FE237">
        <x:f t="shared" si="256"/>
        <x:v>0</x:v>
      </x:c>
      <x:c r="FF237">
        <x:f t="shared" si="257"/>
        <x:v>0</x:v>
      </x:c>
      <x:c r="FG237">
        <x:f t="shared" si="258"/>
        <x:v>0</x:v>
      </x:c>
      <x:c r="FH237">
        <x:f t="shared" si="259"/>
        <x:v>0</x:v>
      </x:c>
      <x:c r="FI237">
        <x:f t="shared" si="260"/>
        <x:v>0</x:v>
      </x:c>
      <x:c r="FJ237">
        <x:f t="shared" si="261"/>
        <x:v>0</x:v>
      </x:c>
      <x:c r="FK237">
        <x:f t="shared" si="262"/>
        <x:v>0</x:v>
      </x:c>
      <x:c r="FL237" s="41">
        <x:f t="shared" si="263"/>
        <x:v>0</x:v>
      </x:c>
      <x:c r="FM237">
        <x:f t="shared" si="264"/>
        <x:v>0</x:v>
      </x:c>
      <x:c r="FN237">
        <x:f t="shared" si="265"/>
        <x:v>0</x:v>
      </x:c>
      <x:c r="FO237">
        <x:f t="shared" si="266"/>
        <x:v>0</x:v>
      </x:c>
      <x:c r="FP237">
        <x:f t="shared" si="267"/>
        <x:v>0</x:v>
      </x:c>
      <x:c r="FQ237">
        <x:f t="shared" si="268"/>
        <x:v>0</x:v>
      </x:c>
      <x:c r="FR237">
        <x:f t="shared" si="269"/>
        <x:v>0</x:v>
      </x:c>
      <x:c r="FS237">
        <x:f t="shared" si="270"/>
        <x:v>0</x:v>
      </x:c>
      <x:c r="FT237">
        <x:f t="shared" si="271"/>
        <x:v>0</x:v>
      </x:c>
      <x:c r="FU237">
        <x:f t="shared" si="272"/>
        <x:v>0</x:v>
      </x:c>
      <x:c r="FV237">
        <x:f t="shared" si="273"/>
        <x:v>0</x:v>
      </x:c>
      <x:c r="FW237" s="41">
        <x:f t="shared" si="274"/>
        <x:v>0</x:v>
      </x:c>
      <x:c r="FX237">
        <x:f t="shared" si="275"/>
        <x:v>0</x:v>
      </x:c>
      <x:c r="FY237">
        <x:f t="shared" si="276"/>
        <x:v>0</x:v>
      </x:c>
      <x:c r="FZ237">
        <x:f t="shared" si="277"/>
        <x:v>0</x:v>
      </x:c>
      <x:c r="GA237">
        <x:f t="shared" si="278"/>
        <x:v>0</x:v>
      </x:c>
      <x:c r="GB237">
        <x:f t="shared" si="279"/>
        <x:v>0</x:v>
      </x:c>
      <x:c r="GC237">
        <x:f t="shared" si="280"/>
        <x:v>0</x:v>
      </x:c>
      <x:c r="GD237">
        <x:f t="shared" si="281"/>
        <x:v>0</x:v>
      </x:c>
      <x:c r="GE237">
        <x:f t="shared" si="282"/>
        <x:v>0</x:v>
      </x:c>
      <x:c r="GF237">
        <x:f t="shared" si="283"/>
        <x:v>0</x:v>
      </x:c>
      <x:c r="GG237">
        <x:f t="shared" si="284"/>
        <x:v>0</x:v>
      </x:c>
      <x:c r="GH237">
        <x:f t="shared" si="285"/>
        <x:v>0</x:v>
      </x:c>
      <x:c r="GI237">
        <x:f t="shared" si="286"/>
        <x:v>0</x:v>
      </x:c>
      <x:c r="GJ237">
        <x:f t="shared" si="287"/>
        <x:v>0</x:v>
      </x:c>
      <x:c r="GK237">
        <x:f t="shared" si="288"/>
        <x:v>0</x:v>
      </x:c>
      <x:c r="GL237">
        <x:f t="shared" si="289"/>
        <x:v>0</x:v>
      </x:c>
      <x:c r="GM237">
        <x:f t="shared" si="290"/>
        <x:v>0</x:v>
      </x:c>
      <x:c r="GN237">
        <x:f t="shared" si="291"/>
        <x:v>0</x:v>
      </x:c>
      <x:c r="GO237">
        <x:f t="shared" si="292"/>
        <x:v>0</x:v>
      </x:c>
      <x:c r="GP237">
        <x:f t="shared" si="293"/>
        <x:v>0</x:v>
      </x:c>
      <x:c r="GQ237">
        <x:f t="shared" si="294"/>
        <x:v>0</x:v>
      </x:c>
      <x:c r="GR237" s="42">
        <x:f t="shared" si="295"/>
        <x:v>0</x:v>
      </x:c>
      <x:c r="GS237">
        <x:f t="shared" si="296"/>
        <x:v>0</x:v>
      </x:c>
      <x:c r="GT237">
        <x:f t="shared" si="297"/>
        <x:v>0</x:v>
      </x:c>
      <x:c r="GU237">
        <x:f t="shared" si="298"/>
        <x:v>0</x:v>
      </x:c>
      <x:c r="GV237">
        <x:f t="shared" si="299"/>
        <x:v>0</x:v>
      </x:c>
      <x:c r="GW237">
        <x:f t="shared" si="300"/>
        <x:v>0</x:v>
      </x:c>
      <x:c r="GX237">
        <x:f t="shared" si="301"/>
        <x:v>0</x:v>
      </x:c>
      <x:c r="GY237">
        <x:f t="shared" si="302"/>
        <x:v>0</x:v>
      </x:c>
      <x:c r="GZ237">
        <x:f t="shared" si="303"/>
        <x:v>0</x:v>
      </x:c>
      <x:c r="HA237">
        <x:f t="shared" si="304"/>
        <x:v>0</x:v>
      </x:c>
      <x:c r="HB237" s="42">
        <x:f t="shared" si="305"/>
        <x:v>0</x:v>
      </x:c>
      <x:c r="HC237">
        <x:f t="shared" si="306"/>
        <x:v>0</x:v>
      </x:c>
      <x:c r="HD237">
        <x:f t="shared" si="307"/>
        <x:v>0</x:v>
      </x:c>
      <x:c r="HE237">
        <x:f t="shared" si="308"/>
        <x:v>0</x:v>
      </x:c>
      <x:c r="HF237">
        <x:f t="shared" si="309"/>
        <x:v>0</x:v>
      </x:c>
      <x:c r="HG237">
        <x:f t="shared" si="310"/>
        <x:v>0</x:v>
      </x:c>
      <x:c r="HH237">
        <x:f t="shared" si="311"/>
        <x:v>0</x:v>
      </x:c>
      <x:c r="HI237">
        <x:f t="shared" si="312"/>
        <x:v>0</x:v>
      </x:c>
      <x:c r="HJ237">
        <x:f t="shared" si="313"/>
        <x:v>0</x:v>
      </x:c>
      <x:c r="HK237">
        <x:f t="shared" si="314"/>
        <x:v>0</x:v>
      </x:c>
      <x:c r="HL237">
        <x:f t="shared" si="315"/>
        <x:v>0</x:v>
      </x:c>
    </x:row>
    <x:row r="238">
      <x:c r="D238" s="74"/>
      <x:c r="EQ238">
        <x:f t="shared" si="242"/>
        <x:v>0</x:v>
      </x:c>
      <x:c r="ER238">
        <x:f t="shared" si="243"/>
        <x:v>0</x:v>
      </x:c>
      <x:c r="ES238">
        <x:f t="shared" si="244"/>
        <x:v>0</x:v>
      </x:c>
      <x:c r="ET238">
        <x:f t="shared" si="245"/>
        <x:v>0</x:v>
      </x:c>
      <x:c r="EU238">
        <x:f t="shared" si="246"/>
        <x:v>0</x:v>
      </x:c>
      <x:c r="EV238">
        <x:f t="shared" si="247"/>
        <x:v>0</x:v>
      </x:c>
      <x:c r="EW238">
        <x:f t="shared" si="248"/>
        <x:v>0</x:v>
      </x:c>
      <x:c r="EX238">
        <x:f t="shared" si="249"/>
        <x:v>0</x:v>
      </x:c>
      <x:c r="EY238">
        <x:f t="shared" si="250"/>
        <x:v>0</x:v>
      </x:c>
      <x:c r="EZ238">
        <x:f t="shared" si="251"/>
        <x:v>0</x:v>
      </x:c>
      <x:c r="FA238" s="41">
        <x:f t="shared" si="252"/>
        <x:v>0</x:v>
      </x:c>
      <x:c r="FB238">
        <x:f t="shared" si="253"/>
        <x:v>0</x:v>
      </x:c>
      <x:c r="FC238">
        <x:f t="shared" si="254"/>
        <x:v>0</x:v>
      </x:c>
      <x:c r="FD238">
        <x:f t="shared" si="255"/>
        <x:v>0</x:v>
      </x:c>
      <x:c r="FE238">
        <x:f t="shared" si="256"/>
        <x:v>0</x:v>
      </x:c>
      <x:c r="FF238">
        <x:f t="shared" si="257"/>
        <x:v>0</x:v>
      </x:c>
      <x:c r="FG238">
        <x:f t="shared" si="258"/>
        <x:v>0</x:v>
      </x:c>
      <x:c r="FH238">
        <x:f t="shared" si="259"/>
        <x:v>0</x:v>
      </x:c>
      <x:c r="FI238">
        <x:f t="shared" si="260"/>
        <x:v>0</x:v>
      </x:c>
      <x:c r="FJ238">
        <x:f t="shared" si="261"/>
        <x:v>0</x:v>
      </x:c>
      <x:c r="FK238">
        <x:f t="shared" si="262"/>
        <x:v>0</x:v>
      </x:c>
      <x:c r="FL238" s="41">
        <x:f t="shared" si="263"/>
        <x:v>0</x:v>
      </x:c>
      <x:c r="FM238">
        <x:f t="shared" si="264"/>
        <x:v>0</x:v>
      </x:c>
      <x:c r="FN238">
        <x:f t="shared" si="265"/>
        <x:v>0</x:v>
      </x:c>
      <x:c r="FO238">
        <x:f t="shared" si="266"/>
        <x:v>0</x:v>
      </x:c>
      <x:c r="FP238">
        <x:f t="shared" si="267"/>
        <x:v>0</x:v>
      </x:c>
      <x:c r="FQ238">
        <x:f t="shared" si="268"/>
        <x:v>0</x:v>
      </x:c>
      <x:c r="FR238">
        <x:f t="shared" si="269"/>
        <x:v>0</x:v>
      </x:c>
      <x:c r="FS238">
        <x:f t="shared" si="270"/>
        <x:v>0</x:v>
      </x:c>
      <x:c r="FT238">
        <x:f t="shared" si="271"/>
        <x:v>0</x:v>
      </x:c>
      <x:c r="FU238">
        <x:f t="shared" si="272"/>
        <x:v>0</x:v>
      </x:c>
      <x:c r="FV238">
        <x:f t="shared" si="273"/>
        <x:v>0</x:v>
      </x:c>
      <x:c r="FW238" s="41">
        <x:f t="shared" si="274"/>
        <x:v>0</x:v>
      </x:c>
      <x:c r="FX238">
        <x:f t="shared" si="275"/>
        <x:v>0</x:v>
      </x:c>
      <x:c r="FY238">
        <x:f t="shared" si="276"/>
        <x:v>0</x:v>
      </x:c>
      <x:c r="FZ238">
        <x:f t="shared" si="277"/>
        <x:v>0</x:v>
      </x:c>
      <x:c r="GA238">
        <x:f t="shared" si="278"/>
        <x:v>0</x:v>
      </x:c>
      <x:c r="GB238">
        <x:f t="shared" si="279"/>
        <x:v>0</x:v>
      </x:c>
      <x:c r="GC238">
        <x:f t="shared" si="280"/>
        <x:v>0</x:v>
      </x:c>
      <x:c r="GD238">
        <x:f t="shared" si="281"/>
        <x:v>0</x:v>
      </x:c>
      <x:c r="GE238">
        <x:f t="shared" si="282"/>
        <x:v>0</x:v>
      </x:c>
      <x:c r="GF238">
        <x:f t="shared" si="283"/>
        <x:v>0</x:v>
      </x:c>
      <x:c r="GG238">
        <x:f t="shared" si="284"/>
        <x:v>0</x:v>
      </x:c>
      <x:c r="GH238">
        <x:f t="shared" si="285"/>
        <x:v>0</x:v>
      </x:c>
      <x:c r="GI238">
        <x:f t="shared" si="286"/>
        <x:v>0</x:v>
      </x:c>
      <x:c r="GJ238">
        <x:f t="shared" si="287"/>
        <x:v>0</x:v>
      </x:c>
      <x:c r="GK238">
        <x:f t="shared" si="288"/>
        <x:v>0</x:v>
      </x:c>
      <x:c r="GL238">
        <x:f t="shared" si="289"/>
        <x:v>0</x:v>
      </x:c>
      <x:c r="GM238">
        <x:f t="shared" si="290"/>
        <x:v>0</x:v>
      </x:c>
      <x:c r="GN238">
        <x:f t="shared" si="291"/>
        <x:v>0</x:v>
      </x:c>
      <x:c r="GO238">
        <x:f t="shared" si="292"/>
        <x:v>0</x:v>
      </x:c>
      <x:c r="GP238">
        <x:f t="shared" si="293"/>
        <x:v>0</x:v>
      </x:c>
      <x:c r="GQ238">
        <x:f t="shared" si="294"/>
        <x:v>0</x:v>
      </x:c>
      <x:c r="GR238" s="42">
        <x:f t="shared" si="295"/>
        <x:v>0</x:v>
      </x:c>
      <x:c r="GS238">
        <x:f t="shared" si="296"/>
        <x:v>0</x:v>
      </x:c>
      <x:c r="GT238">
        <x:f t="shared" si="297"/>
        <x:v>0</x:v>
      </x:c>
      <x:c r="GU238">
        <x:f t="shared" si="298"/>
        <x:v>0</x:v>
      </x:c>
      <x:c r="GV238">
        <x:f t="shared" si="299"/>
        <x:v>0</x:v>
      </x:c>
      <x:c r="GW238">
        <x:f t="shared" si="300"/>
        <x:v>0</x:v>
      </x:c>
      <x:c r="GX238">
        <x:f t="shared" si="301"/>
        <x:v>0</x:v>
      </x:c>
      <x:c r="GY238">
        <x:f t="shared" si="302"/>
        <x:v>0</x:v>
      </x:c>
      <x:c r="GZ238">
        <x:f t="shared" si="303"/>
        <x:v>0</x:v>
      </x:c>
      <x:c r="HA238">
        <x:f t="shared" si="304"/>
        <x:v>0</x:v>
      </x:c>
      <x:c r="HB238" s="42">
        <x:f t="shared" si="305"/>
        <x:v>0</x:v>
      </x:c>
      <x:c r="HC238">
        <x:f t="shared" si="306"/>
        <x:v>0</x:v>
      </x:c>
      <x:c r="HD238">
        <x:f t="shared" si="307"/>
        <x:v>0</x:v>
      </x:c>
      <x:c r="HE238">
        <x:f t="shared" si="308"/>
        <x:v>0</x:v>
      </x:c>
      <x:c r="HF238">
        <x:f t="shared" si="309"/>
        <x:v>0</x:v>
      </x:c>
      <x:c r="HG238">
        <x:f t="shared" si="310"/>
        <x:v>0</x:v>
      </x:c>
      <x:c r="HH238">
        <x:f t="shared" si="311"/>
        <x:v>0</x:v>
      </x:c>
      <x:c r="HI238">
        <x:f t="shared" si="312"/>
        <x:v>0</x:v>
      </x:c>
      <x:c r="HJ238">
        <x:f t="shared" si="313"/>
        <x:v>0</x:v>
      </x:c>
      <x:c r="HK238">
        <x:f t="shared" si="314"/>
        <x:v>0</x:v>
      </x:c>
      <x:c r="HL238">
        <x:f t="shared" si="315"/>
        <x:v>0</x:v>
      </x:c>
    </x:row>
    <x:row r="239">
      <x:c r="D239" s="74"/>
      <x:c r="EQ239">
        <x:f t="shared" si="242"/>
        <x:v>0</x:v>
      </x:c>
      <x:c r="ER239">
        <x:f t="shared" si="243"/>
        <x:v>0</x:v>
      </x:c>
      <x:c r="ES239">
        <x:f t="shared" si="244"/>
        <x:v>0</x:v>
      </x:c>
      <x:c r="ET239">
        <x:f t="shared" si="245"/>
        <x:v>0</x:v>
      </x:c>
      <x:c r="EU239">
        <x:f t="shared" si="246"/>
        <x:v>0</x:v>
      </x:c>
      <x:c r="EV239">
        <x:f t="shared" si="247"/>
        <x:v>0</x:v>
      </x:c>
      <x:c r="EW239">
        <x:f t="shared" si="248"/>
        <x:v>0</x:v>
      </x:c>
      <x:c r="EX239">
        <x:f t="shared" si="249"/>
        <x:v>0</x:v>
      </x:c>
      <x:c r="EY239">
        <x:f t="shared" si="250"/>
        <x:v>0</x:v>
      </x:c>
      <x:c r="EZ239">
        <x:f t="shared" si="251"/>
        <x:v>0</x:v>
      </x:c>
      <x:c r="FA239" s="41">
        <x:f t="shared" si="252"/>
        <x:v>0</x:v>
      </x:c>
      <x:c r="FB239">
        <x:f t="shared" si="253"/>
        <x:v>0</x:v>
      </x:c>
      <x:c r="FC239">
        <x:f t="shared" si="254"/>
        <x:v>0</x:v>
      </x:c>
      <x:c r="FD239">
        <x:f t="shared" si="255"/>
        <x:v>0</x:v>
      </x:c>
      <x:c r="FE239">
        <x:f t="shared" si="256"/>
        <x:v>0</x:v>
      </x:c>
      <x:c r="FF239">
        <x:f t="shared" si="257"/>
        <x:v>0</x:v>
      </x:c>
      <x:c r="FG239">
        <x:f t="shared" si="258"/>
        <x:v>0</x:v>
      </x:c>
      <x:c r="FH239">
        <x:f t="shared" si="259"/>
        <x:v>0</x:v>
      </x:c>
      <x:c r="FI239">
        <x:f t="shared" si="260"/>
        <x:v>0</x:v>
      </x:c>
      <x:c r="FJ239">
        <x:f t="shared" si="261"/>
        <x:v>0</x:v>
      </x:c>
      <x:c r="FK239">
        <x:f t="shared" si="262"/>
        <x:v>0</x:v>
      </x:c>
      <x:c r="FL239" s="41">
        <x:f t="shared" si="263"/>
        <x:v>0</x:v>
      </x:c>
      <x:c r="FM239">
        <x:f t="shared" si="264"/>
        <x:v>0</x:v>
      </x:c>
      <x:c r="FN239">
        <x:f t="shared" si="265"/>
        <x:v>0</x:v>
      </x:c>
      <x:c r="FO239">
        <x:f t="shared" si="266"/>
        <x:v>0</x:v>
      </x:c>
      <x:c r="FP239">
        <x:f t="shared" si="267"/>
        <x:v>0</x:v>
      </x:c>
      <x:c r="FQ239">
        <x:f t="shared" si="268"/>
        <x:v>0</x:v>
      </x:c>
      <x:c r="FR239">
        <x:f t="shared" si="269"/>
        <x:v>0</x:v>
      </x:c>
      <x:c r="FS239">
        <x:f t="shared" si="270"/>
        <x:v>0</x:v>
      </x:c>
      <x:c r="FT239">
        <x:f t="shared" si="271"/>
        <x:v>0</x:v>
      </x:c>
      <x:c r="FU239">
        <x:f t="shared" si="272"/>
        <x:v>0</x:v>
      </x:c>
      <x:c r="FV239">
        <x:f t="shared" si="273"/>
        <x:v>0</x:v>
      </x:c>
      <x:c r="FW239" s="41">
        <x:f t="shared" si="274"/>
        <x:v>0</x:v>
      </x:c>
      <x:c r="FX239">
        <x:f t="shared" si="275"/>
        <x:v>0</x:v>
      </x:c>
      <x:c r="FY239">
        <x:f t="shared" si="276"/>
        <x:v>0</x:v>
      </x:c>
      <x:c r="FZ239">
        <x:f t="shared" si="277"/>
        <x:v>0</x:v>
      </x:c>
      <x:c r="GA239">
        <x:f t="shared" si="278"/>
        <x:v>0</x:v>
      </x:c>
      <x:c r="GB239">
        <x:f t="shared" si="279"/>
        <x:v>0</x:v>
      </x:c>
      <x:c r="GC239">
        <x:f t="shared" si="280"/>
        <x:v>0</x:v>
      </x:c>
      <x:c r="GD239">
        <x:f t="shared" si="281"/>
        <x:v>0</x:v>
      </x:c>
      <x:c r="GE239">
        <x:f t="shared" si="282"/>
        <x:v>0</x:v>
      </x:c>
      <x:c r="GF239">
        <x:f t="shared" si="283"/>
        <x:v>0</x:v>
      </x:c>
      <x:c r="GG239">
        <x:f t="shared" si="284"/>
        <x:v>0</x:v>
      </x:c>
      <x:c r="GH239">
        <x:f t="shared" si="285"/>
        <x:v>0</x:v>
      </x:c>
      <x:c r="GI239">
        <x:f t="shared" si="286"/>
        <x:v>0</x:v>
      </x:c>
      <x:c r="GJ239">
        <x:f t="shared" si="287"/>
        <x:v>0</x:v>
      </x:c>
      <x:c r="GK239">
        <x:f t="shared" si="288"/>
        <x:v>0</x:v>
      </x:c>
      <x:c r="GL239">
        <x:f t="shared" si="289"/>
        <x:v>0</x:v>
      </x:c>
      <x:c r="GM239">
        <x:f t="shared" si="290"/>
        <x:v>0</x:v>
      </x:c>
      <x:c r="GN239">
        <x:f t="shared" si="291"/>
        <x:v>0</x:v>
      </x:c>
      <x:c r="GO239">
        <x:f t="shared" si="292"/>
        <x:v>0</x:v>
      </x:c>
      <x:c r="GP239">
        <x:f t="shared" si="293"/>
        <x:v>0</x:v>
      </x:c>
      <x:c r="GQ239">
        <x:f t="shared" si="294"/>
        <x:v>0</x:v>
      </x:c>
      <x:c r="GR239" s="42">
        <x:f t="shared" si="295"/>
        <x:v>0</x:v>
      </x:c>
      <x:c r="GS239">
        <x:f t="shared" si="296"/>
        <x:v>0</x:v>
      </x:c>
      <x:c r="GT239">
        <x:f t="shared" si="297"/>
        <x:v>0</x:v>
      </x:c>
      <x:c r="GU239">
        <x:f t="shared" si="298"/>
        <x:v>0</x:v>
      </x:c>
      <x:c r="GV239">
        <x:f t="shared" si="299"/>
        <x:v>0</x:v>
      </x:c>
      <x:c r="GW239">
        <x:f t="shared" si="300"/>
        <x:v>0</x:v>
      </x:c>
      <x:c r="GX239">
        <x:f t="shared" si="301"/>
        <x:v>0</x:v>
      </x:c>
      <x:c r="GY239">
        <x:f t="shared" si="302"/>
        <x:v>0</x:v>
      </x:c>
      <x:c r="GZ239">
        <x:f t="shared" si="303"/>
        <x:v>0</x:v>
      </x:c>
      <x:c r="HA239">
        <x:f t="shared" si="304"/>
        <x:v>0</x:v>
      </x:c>
      <x:c r="HB239" s="42">
        <x:f t="shared" si="305"/>
        <x:v>0</x:v>
      </x:c>
      <x:c r="HC239">
        <x:f t="shared" si="306"/>
        <x:v>0</x:v>
      </x:c>
      <x:c r="HD239">
        <x:f t="shared" si="307"/>
        <x:v>0</x:v>
      </x:c>
      <x:c r="HE239">
        <x:f t="shared" si="308"/>
        <x:v>0</x:v>
      </x:c>
      <x:c r="HF239">
        <x:f t="shared" si="309"/>
        <x:v>0</x:v>
      </x:c>
      <x:c r="HG239">
        <x:f t="shared" si="310"/>
        <x:v>0</x:v>
      </x:c>
      <x:c r="HH239">
        <x:f t="shared" si="311"/>
        <x:v>0</x:v>
      </x:c>
      <x:c r="HI239">
        <x:f t="shared" si="312"/>
        <x:v>0</x:v>
      </x:c>
      <x:c r="HJ239">
        <x:f t="shared" si="313"/>
        <x:v>0</x:v>
      </x:c>
      <x:c r="HK239">
        <x:f t="shared" si="314"/>
        <x:v>0</x:v>
      </x:c>
      <x:c r="HL239">
        <x:f t="shared" si="315"/>
        <x:v>0</x:v>
      </x:c>
    </x:row>
    <x:row r="240">
      <x:c r="D240" s="74"/>
      <x:c r="EQ240">
        <x:f t="shared" si="242"/>
        <x:v>0</x:v>
      </x:c>
      <x:c r="ER240">
        <x:f t="shared" si="243"/>
        <x:v>0</x:v>
      </x:c>
      <x:c r="ES240">
        <x:f t="shared" si="244"/>
        <x:v>0</x:v>
      </x:c>
      <x:c r="ET240">
        <x:f t="shared" si="245"/>
        <x:v>0</x:v>
      </x:c>
      <x:c r="EU240">
        <x:f t="shared" si="246"/>
        <x:v>0</x:v>
      </x:c>
      <x:c r="EV240">
        <x:f t="shared" si="247"/>
        <x:v>0</x:v>
      </x:c>
      <x:c r="EW240">
        <x:f t="shared" si="248"/>
        <x:v>0</x:v>
      </x:c>
      <x:c r="EX240">
        <x:f t="shared" si="249"/>
        <x:v>0</x:v>
      </x:c>
      <x:c r="EY240">
        <x:f t="shared" si="250"/>
        <x:v>0</x:v>
      </x:c>
      <x:c r="EZ240">
        <x:f t="shared" si="251"/>
        <x:v>0</x:v>
      </x:c>
      <x:c r="FA240" s="41">
        <x:f t="shared" si="252"/>
        <x:v>0</x:v>
      </x:c>
      <x:c r="FB240">
        <x:f t="shared" si="253"/>
        <x:v>0</x:v>
      </x:c>
      <x:c r="FC240">
        <x:f t="shared" si="254"/>
        <x:v>0</x:v>
      </x:c>
      <x:c r="FD240">
        <x:f t="shared" si="255"/>
        <x:v>0</x:v>
      </x:c>
      <x:c r="FE240">
        <x:f t="shared" si="256"/>
        <x:v>0</x:v>
      </x:c>
      <x:c r="FF240">
        <x:f t="shared" si="257"/>
        <x:v>0</x:v>
      </x:c>
      <x:c r="FG240">
        <x:f t="shared" si="258"/>
        <x:v>0</x:v>
      </x:c>
      <x:c r="FH240">
        <x:f t="shared" si="259"/>
        <x:v>0</x:v>
      </x:c>
      <x:c r="FI240">
        <x:f t="shared" si="260"/>
        <x:v>0</x:v>
      </x:c>
      <x:c r="FJ240">
        <x:f t="shared" si="261"/>
        <x:v>0</x:v>
      </x:c>
      <x:c r="FK240">
        <x:f t="shared" si="262"/>
        <x:v>0</x:v>
      </x:c>
      <x:c r="FL240" s="41">
        <x:f t="shared" si="263"/>
        <x:v>0</x:v>
      </x:c>
      <x:c r="FM240">
        <x:f t="shared" si="264"/>
        <x:v>0</x:v>
      </x:c>
      <x:c r="FN240">
        <x:f t="shared" si="265"/>
        <x:v>0</x:v>
      </x:c>
      <x:c r="FO240">
        <x:f t="shared" si="266"/>
        <x:v>0</x:v>
      </x:c>
      <x:c r="FP240">
        <x:f t="shared" si="267"/>
        <x:v>0</x:v>
      </x:c>
      <x:c r="FQ240">
        <x:f t="shared" si="268"/>
        <x:v>0</x:v>
      </x:c>
      <x:c r="FR240">
        <x:f t="shared" si="269"/>
        <x:v>0</x:v>
      </x:c>
      <x:c r="FS240">
        <x:f t="shared" si="270"/>
        <x:v>0</x:v>
      </x:c>
      <x:c r="FT240">
        <x:f t="shared" si="271"/>
        <x:v>0</x:v>
      </x:c>
      <x:c r="FU240">
        <x:f t="shared" si="272"/>
        <x:v>0</x:v>
      </x:c>
      <x:c r="FV240">
        <x:f t="shared" si="273"/>
        <x:v>0</x:v>
      </x:c>
      <x:c r="FW240" s="41">
        <x:f t="shared" si="274"/>
        <x:v>0</x:v>
      </x:c>
      <x:c r="FX240">
        <x:f t="shared" si="275"/>
        <x:v>0</x:v>
      </x:c>
      <x:c r="FY240">
        <x:f t="shared" si="276"/>
        <x:v>0</x:v>
      </x:c>
      <x:c r="FZ240">
        <x:f t="shared" si="277"/>
        <x:v>0</x:v>
      </x:c>
      <x:c r="GA240">
        <x:f t="shared" si="278"/>
        <x:v>0</x:v>
      </x:c>
      <x:c r="GB240">
        <x:f t="shared" si="279"/>
        <x:v>0</x:v>
      </x:c>
      <x:c r="GC240">
        <x:f t="shared" si="280"/>
        <x:v>0</x:v>
      </x:c>
      <x:c r="GD240">
        <x:f t="shared" si="281"/>
        <x:v>0</x:v>
      </x:c>
      <x:c r="GE240">
        <x:f t="shared" si="282"/>
        <x:v>0</x:v>
      </x:c>
      <x:c r="GF240">
        <x:f t="shared" si="283"/>
        <x:v>0</x:v>
      </x:c>
      <x:c r="GG240">
        <x:f t="shared" si="284"/>
        <x:v>0</x:v>
      </x:c>
      <x:c r="GH240">
        <x:f t="shared" si="285"/>
        <x:v>0</x:v>
      </x:c>
      <x:c r="GI240">
        <x:f t="shared" si="286"/>
        <x:v>0</x:v>
      </x:c>
      <x:c r="GJ240">
        <x:f t="shared" si="287"/>
        <x:v>0</x:v>
      </x:c>
      <x:c r="GK240">
        <x:f t="shared" si="288"/>
        <x:v>0</x:v>
      </x:c>
      <x:c r="GL240">
        <x:f t="shared" si="289"/>
        <x:v>0</x:v>
      </x:c>
      <x:c r="GM240">
        <x:f t="shared" si="290"/>
        <x:v>0</x:v>
      </x:c>
      <x:c r="GN240">
        <x:f t="shared" si="291"/>
        <x:v>0</x:v>
      </x:c>
      <x:c r="GO240">
        <x:f t="shared" si="292"/>
        <x:v>0</x:v>
      </x:c>
      <x:c r="GP240">
        <x:f t="shared" si="293"/>
        <x:v>0</x:v>
      </x:c>
      <x:c r="GQ240">
        <x:f t="shared" si="294"/>
        <x:v>0</x:v>
      </x:c>
      <x:c r="GR240" s="42">
        <x:f t="shared" si="295"/>
        <x:v>0</x:v>
      </x:c>
      <x:c r="GS240">
        <x:f t="shared" si="296"/>
        <x:v>0</x:v>
      </x:c>
      <x:c r="GT240">
        <x:f t="shared" si="297"/>
        <x:v>0</x:v>
      </x:c>
      <x:c r="GU240">
        <x:f t="shared" si="298"/>
        <x:v>0</x:v>
      </x:c>
      <x:c r="GV240">
        <x:f t="shared" si="299"/>
        <x:v>0</x:v>
      </x:c>
      <x:c r="GW240">
        <x:f t="shared" si="300"/>
        <x:v>0</x:v>
      </x:c>
      <x:c r="GX240">
        <x:f t="shared" si="301"/>
        <x:v>0</x:v>
      </x:c>
      <x:c r="GY240">
        <x:f t="shared" si="302"/>
        <x:v>0</x:v>
      </x:c>
      <x:c r="GZ240">
        <x:f t="shared" si="303"/>
        <x:v>0</x:v>
      </x:c>
      <x:c r="HA240">
        <x:f t="shared" si="304"/>
        <x:v>0</x:v>
      </x:c>
      <x:c r="HB240" s="42">
        <x:f t="shared" si="305"/>
        <x:v>0</x:v>
      </x:c>
      <x:c r="HC240">
        <x:f t="shared" si="306"/>
        <x:v>0</x:v>
      </x:c>
      <x:c r="HD240">
        <x:f t="shared" si="307"/>
        <x:v>0</x:v>
      </x:c>
      <x:c r="HE240">
        <x:f t="shared" si="308"/>
        <x:v>0</x:v>
      </x:c>
      <x:c r="HF240">
        <x:f t="shared" si="309"/>
        <x:v>0</x:v>
      </x:c>
      <x:c r="HG240">
        <x:f t="shared" si="310"/>
        <x:v>0</x:v>
      </x:c>
      <x:c r="HH240">
        <x:f t="shared" si="311"/>
        <x:v>0</x:v>
      </x:c>
      <x:c r="HI240">
        <x:f t="shared" si="312"/>
        <x:v>0</x:v>
      </x:c>
      <x:c r="HJ240">
        <x:f t="shared" si="313"/>
        <x:v>0</x:v>
      </x:c>
      <x:c r="HK240">
        <x:f t="shared" si="314"/>
        <x:v>0</x:v>
      </x:c>
      <x:c r="HL240">
        <x:f t="shared" si="315"/>
        <x:v>0</x:v>
      </x:c>
    </x:row>
    <x:row r="241">
      <x:c r="D241" s="74"/>
      <x:c r="EQ241">
        <x:f t="shared" si="242"/>
        <x:v>0</x:v>
      </x:c>
      <x:c r="ER241">
        <x:f t="shared" si="243"/>
        <x:v>0</x:v>
      </x:c>
      <x:c r="ES241">
        <x:f t="shared" si="244"/>
        <x:v>0</x:v>
      </x:c>
      <x:c r="ET241">
        <x:f t="shared" si="245"/>
        <x:v>0</x:v>
      </x:c>
      <x:c r="EU241">
        <x:f t="shared" si="246"/>
        <x:v>0</x:v>
      </x:c>
      <x:c r="EV241">
        <x:f t="shared" si="247"/>
        <x:v>0</x:v>
      </x:c>
      <x:c r="EW241">
        <x:f t="shared" si="248"/>
        <x:v>0</x:v>
      </x:c>
      <x:c r="EX241">
        <x:f t="shared" si="249"/>
        <x:v>0</x:v>
      </x:c>
      <x:c r="EY241">
        <x:f t="shared" si="250"/>
        <x:v>0</x:v>
      </x:c>
      <x:c r="EZ241">
        <x:f t="shared" si="251"/>
        <x:v>0</x:v>
      </x:c>
      <x:c r="FA241" s="41">
        <x:f t="shared" si="252"/>
        <x:v>0</x:v>
      </x:c>
      <x:c r="FB241">
        <x:f t="shared" si="253"/>
        <x:v>0</x:v>
      </x:c>
      <x:c r="FC241">
        <x:f t="shared" si="254"/>
        <x:v>0</x:v>
      </x:c>
      <x:c r="FD241">
        <x:f t="shared" si="255"/>
        <x:v>0</x:v>
      </x:c>
      <x:c r="FE241">
        <x:f t="shared" si="256"/>
        <x:v>0</x:v>
      </x:c>
      <x:c r="FF241">
        <x:f t="shared" si="257"/>
        <x:v>0</x:v>
      </x:c>
      <x:c r="FG241">
        <x:f t="shared" si="258"/>
        <x:v>0</x:v>
      </x:c>
      <x:c r="FH241">
        <x:f t="shared" si="259"/>
        <x:v>0</x:v>
      </x:c>
      <x:c r="FI241">
        <x:f t="shared" si="260"/>
        <x:v>0</x:v>
      </x:c>
      <x:c r="FJ241">
        <x:f t="shared" si="261"/>
        <x:v>0</x:v>
      </x:c>
      <x:c r="FK241">
        <x:f t="shared" si="262"/>
        <x:v>0</x:v>
      </x:c>
      <x:c r="FL241" s="41">
        <x:f t="shared" si="263"/>
        <x:v>0</x:v>
      </x:c>
      <x:c r="FM241">
        <x:f t="shared" si="264"/>
        <x:v>0</x:v>
      </x:c>
      <x:c r="FN241">
        <x:f t="shared" si="265"/>
        <x:v>0</x:v>
      </x:c>
      <x:c r="FO241">
        <x:f t="shared" si="266"/>
        <x:v>0</x:v>
      </x:c>
      <x:c r="FP241">
        <x:f t="shared" si="267"/>
        <x:v>0</x:v>
      </x:c>
      <x:c r="FQ241">
        <x:f t="shared" si="268"/>
        <x:v>0</x:v>
      </x:c>
      <x:c r="FR241">
        <x:f t="shared" si="269"/>
        <x:v>0</x:v>
      </x:c>
      <x:c r="FS241">
        <x:f t="shared" si="270"/>
        <x:v>0</x:v>
      </x:c>
      <x:c r="FT241">
        <x:f t="shared" si="271"/>
        <x:v>0</x:v>
      </x:c>
      <x:c r="FU241">
        <x:f t="shared" si="272"/>
        <x:v>0</x:v>
      </x:c>
      <x:c r="FV241">
        <x:f t="shared" si="273"/>
        <x:v>0</x:v>
      </x:c>
      <x:c r="FW241" s="41">
        <x:f t="shared" si="274"/>
        <x:v>0</x:v>
      </x:c>
      <x:c r="FX241">
        <x:f t="shared" si="275"/>
        <x:v>0</x:v>
      </x:c>
      <x:c r="FY241">
        <x:f t="shared" si="276"/>
        <x:v>0</x:v>
      </x:c>
      <x:c r="FZ241">
        <x:f t="shared" si="277"/>
        <x:v>0</x:v>
      </x:c>
      <x:c r="GA241">
        <x:f t="shared" si="278"/>
        <x:v>0</x:v>
      </x:c>
      <x:c r="GB241">
        <x:f t="shared" si="279"/>
        <x:v>0</x:v>
      </x:c>
      <x:c r="GC241">
        <x:f t="shared" si="280"/>
        <x:v>0</x:v>
      </x:c>
      <x:c r="GD241">
        <x:f t="shared" si="281"/>
        <x:v>0</x:v>
      </x:c>
      <x:c r="GE241">
        <x:f t="shared" si="282"/>
        <x:v>0</x:v>
      </x:c>
      <x:c r="GF241">
        <x:f t="shared" si="283"/>
        <x:v>0</x:v>
      </x:c>
      <x:c r="GG241">
        <x:f t="shared" si="284"/>
        <x:v>0</x:v>
      </x:c>
      <x:c r="GH241">
        <x:f t="shared" si="285"/>
        <x:v>0</x:v>
      </x:c>
      <x:c r="GI241">
        <x:f t="shared" si="286"/>
        <x:v>0</x:v>
      </x:c>
      <x:c r="GJ241">
        <x:f t="shared" si="287"/>
        <x:v>0</x:v>
      </x:c>
      <x:c r="GK241">
        <x:f t="shared" si="288"/>
        <x:v>0</x:v>
      </x:c>
      <x:c r="GL241">
        <x:f t="shared" si="289"/>
        <x:v>0</x:v>
      </x:c>
      <x:c r="GM241">
        <x:f t="shared" si="290"/>
        <x:v>0</x:v>
      </x:c>
      <x:c r="GN241">
        <x:f t="shared" si="291"/>
        <x:v>0</x:v>
      </x:c>
      <x:c r="GO241">
        <x:f t="shared" si="292"/>
        <x:v>0</x:v>
      </x:c>
      <x:c r="GP241">
        <x:f t="shared" si="293"/>
        <x:v>0</x:v>
      </x:c>
      <x:c r="GQ241">
        <x:f t="shared" si="294"/>
        <x:v>0</x:v>
      </x:c>
      <x:c r="GR241" s="42">
        <x:f t="shared" si="295"/>
        <x:v>0</x:v>
      </x:c>
      <x:c r="GS241">
        <x:f t="shared" si="296"/>
        <x:v>0</x:v>
      </x:c>
      <x:c r="GT241">
        <x:f t="shared" si="297"/>
        <x:v>0</x:v>
      </x:c>
      <x:c r="GU241">
        <x:f t="shared" si="298"/>
        <x:v>0</x:v>
      </x:c>
      <x:c r="GV241">
        <x:f t="shared" si="299"/>
        <x:v>0</x:v>
      </x:c>
      <x:c r="GW241">
        <x:f t="shared" si="300"/>
        <x:v>0</x:v>
      </x:c>
      <x:c r="GX241">
        <x:f t="shared" si="301"/>
        <x:v>0</x:v>
      </x:c>
      <x:c r="GY241">
        <x:f t="shared" si="302"/>
        <x:v>0</x:v>
      </x:c>
      <x:c r="GZ241">
        <x:f t="shared" si="303"/>
        <x:v>0</x:v>
      </x:c>
      <x:c r="HA241">
        <x:f t="shared" si="304"/>
        <x:v>0</x:v>
      </x:c>
      <x:c r="HB241" s="42">
        <x:f t="shared" si="305"/>
        <x:v>0</x:v>
      </x:c>
      <x:c r="HC241">
        <x:f t="shared" si="306"/>
        <x:v>0</x:v>
      </x:c>
      <x:c r="HD241">
        <x:f t="shared" si="307"/>
        <x:v>0</x:v>
      </x:c>
      <x:c r="HE241">
        <x:f t="shared" si="308"/>
        <x:v>0</x:v>
      </x:c>
      <x:c r="HF241">
        <x:f t="shared" si="309"/>
        <x:v>0</x:v>
      </x:c>
      <x:c r="HG241">
        <x:f t="shared" si="310"/>
        <x:v>0</x:v>
      </x:c>
      <x:c r="HH241">
        <x:f t="shared" si="311"/>
        <x:v>0</x:v>
      </x:c>
      <x:c r="HI241">
        <x:f t="shared" si="312"/>
        <x:v>0</x:v>
      </x:c>
      <x:c r="HJ241">
        <x:f t="shared" si="313"/>
        <x:v>0</x:v>
      </x:c>
      <x:c r="HK241">
        <x:f t="shared" si="314"/>
        <x:v>0</x:v>
      </x:c>
      <x:c r="HL241">
        <x:f t="shared" si="315"/>
        <x:v>0</x:v>
      </x:c>
    </x:row>
    <x:row r="242">
      <x:c r="D242" s="74"/>
      <x:c r="EQ242">
        <x:f t="shared" si="242"/>
        <x:v>0</x:v>
      </x:c>
      <x:c r="ER242">
        <x:f t="shared" si="243"/>
        <x:v>0</x:v>
      </x:c>
      <x:c r="ES242">
        <x:f t="shared" si="244"/>
        <x:v>0</x:v>
      </x:c>
      <x:c r="ET242">
        <x:f t="shared" si="245"/>
        <x:v>0</x:v>
      </x:c>
      <x:c r="EU242">
        <x:f t="shared" si="246"/>
        <x:v>0</x:v>
      </x:c>
      <x:c r="EV242">
        <x:f t="shared" si="247"/>
        <x:v>0</x:v>
      </x:c>
      <x:c r="EW242">
        <x:f t="shared" si="248"/>
        <x:v>0</x:v>
      </x:c>
      <x:c r="EX242">
        <x:f t="shared" si="249"/>
        <x:v>0</x:v>
      </x:c>
      <x:c r="EY242">
        <x:f t="shared" si="250"/>
        <x:v>0</x:v>
      </x:c>
      <x:c r="EZ242">
        <x:f t="shared" si="251"/>
        <x:v>0</x:v>
      </x:c>
      <x:c r="FA242" s="41">
        <x:f t="shared" si="252"/>
        <x:v>0</x:v>
      </x:c>
      <x:c r="FB242">
        <x:f t="shared" si="253"/>
        <x:v>0</x:v>
      </x:c>
      <x:c r="FC242">
        <x:f t="shared" si="254"/>
        <x:v>0</x:v>
      </x:c>
      <x:c r="FD242">
        <x:f t="shared" si="255"/>
        <x:v>0</x:v>
      </x:c>
      <x:c r="FE242">
        <x:f t="shared" si="256"/>
        <x:v>0</x:v>
      </x:c>
      <x:c r="FF242">
        <x:f t="shared" si="257"/>
        <x:v>0</x:v>
      </x:c>
      <x:c r="FG242">
        <x:f t="shared" si="258"/>
        <x:v>0</x:v>
      </x:c>
      <x:c r="FH242">
        <x:f t="shared" si="259"/>
        <x:v>0</x:v>
      </x:c>
      <x:c r="FI242">
        <x:f t="shared" si="260"/>
        <x:v>0</x:v>
      </x:c>
      <x:c r="FJ242">
        <x:f t="shared" si="261"/>
        <x:v>0</x:v>
      </x:c>
      <x:c r="FK242">
        <x:f t="shared" si="262"/>
        <x:v>0</x:v>
      </x:c>
      <x:c r="FL242" s="41">
        <x:f t="shared" si="263"/>
        <x:v>0</x:v>
      </x:c>
      <x:c r="FM242">
        <x:f t="shared" si="264"/>
        <x:v>0</x:v>
      </x:c>
      <x:c r="FN242">
        <x:f t="shared" si="265"/>
        <x:v>0</x:v>
      </x:c>
      <x:c r="FO242">
        <x:f t="shared" si="266"/>
        <x:v>0</x:v>
      </x:c>
      <x:c r="FP242">
        <x:f t="shared" si="267"/>
        <x:v>0</x:v>
      </x:c>
      <x:c r="FQ242">
        <x:f t="shared" si="268"/>
        <x:v>0</x:v>
      </x:c>
      <x:c r="FR242">
        <x:f t="shared" si="269"/>
        <x:v>0</x:v>
      </x:c>
      <x:c r="FS242">
        <x:f t="shared" si="270"/>
        <x:v>0</x:v>
      </x:c>
      <x:c r="FT242">
        <x:f t="shared" si="271"/>
        <x:v>0</x:v>
      </x:c>
      <x:c r="FU242">
        <x:f t="shared" si="272"/>
        <x:v>0</x:v>
      </x:c>
      <x:c r="FV242">
        <x:f t="shared" si="273"/>
        <x:v>0</x:v>
      </x:c>
      <x:c r="FW242" s="41">
        <x:f t="shared" si="274"/>
        <x:v>0</x:v>
      </x:c>
      <x:c r="FX242">
        <x:f t="shared" si="275"/>
        <x:v>0</x:v>
      </x:c>
      <x:c r="FY242">
        <x:f t="shared" si="276"/>
        <x:v>0</x:v>
      </x:c>
      <x:c r="FZ242">
        <x:f t="shared" si="277"/>
        <x:v>0</x:v>
      </x:c>
      <x:c r="GA242">
        <x:f t="shared" si="278"/>
        <x:v>0</x:v>
      </x:c>
      <x:c r="GB242">
        <x:f t="shared" si="279"/>
        <x:v>0</x:v>
      </x:c>
      <x:c r="GC242">
        <x:f t="shared" si="280"/>
        <x:v>0</x:v>
      </x:c>
      <x:c r="GD242">
        <x:f t="shared" si="281"/>
        <x:v>0</x:v>
      </x:c>
      <x:c r="GE242">
        <x:f t="shared" si="282"/>
        <x:v>0</x:v>
      </x:c>
      <x:c r="GF242">
        <x:f t="shared" si="283"/>
        <x:v>0</x:v>
      </x:c>
      <x:c r="GG242">
        <x:f t="shared" si="284"/>
        <x:v>0</x:v>
      </x:c>
      <x:c r="GH242">
        <x:f t="shared" si="285"/>
        <x:v>0</x:v>
      </x:c>
      <x:c r="GI242">
        <x:f t="shared" si="286"/>
        <x:v>0</x:v>
      </x:c>
      <x:c r="GJ242">
        <x:f t="shared" si="287"/>
        <x:v>0</x:v>
      </x:c>
      <x:c r="GK242">
        <x:f t="shared" si="288"/>
        <x:v>0</x:v>
      </x:c>
      <x:c r="GL242">
        <x:f t="shared" si="289"/>
        <x:v>0</x:v>
      </x:c>
      <x:c r="GM242">
        <x:f t="shared" si="290"/>
        <x:v>0</x:v>
      </x:c>
      <x:c r="GN242">
        <x:f t="shared" si="291"/>
        <x:v>0</x:v>
      </x:c>
      <x:c r="GO242">
        <x:f t="shared" si="292"/>
        <x:v>0</x:v>
      </x:c>
      <x:c r="GP242">
        <x:f t="shared" si="293"/>
        <x:v>0</x:v>
      </x:c>
      <x:c r="GQ242">
        <x:f t="shared" si="294"/>
        <x:v>0</x:v>
      </x:c>
      <x:c r="GR242" s="42">
        <x:f t="shared" si="295"/>
        <x:v>0</x:v>
      </x:c>
      <x:c r="GS242">
        <x:f t="shared" si="296"/>
        <x:v>0</x:v>
      </x:c>
      <x:c r="GT242">
        <x:f t="shared" si="297"/>
        <x:v>0</x:v>
      </x:c>
      <x:c r="GU242">
        <x:f t="shared" si="298"/>
        <x:v>0</x:v>
      </x:c>
      <x:c r="GV242">
        <x:f t="shared" si="299"/>
        <x:v>0</x:v>
      </x:c>
      <x:c r="GW242">
        <x:f t="shared" si="300"/>
        <x:v>0</x:v>
      </x:c>
      <x:c r="GX242">
        <x:f t="shared" si="301"/>
        <x:v>0</x:v>
      </x:c>
      <x:c r="GY242">
        <x:f t="shared" si="302"/>
        <x:v>0</x:v>
      </x:c>
      <x:c r="GZ242">
        <x:f t="shared" si="303"/>
        <x:v>0</x:v>
      </x:c>
      <x:c r="HA242">
        <x:f t="shared" si="304"/>
        <x:v>0</x:v>
      </x:c>
      <x:c r="HB242" s="42">
        <x:f t="shared" si="305"/>
        <x:v>0</x:v>
      </x:c>
      <x:c r="HC242">
        <x:f t="shared" si="306"/>
        <x:v>0</x:v>
      </x:c>
      <x:c r="HD242">
        <x:f t="shared" si="307"/>
        <x:v>0</x:v>
      </x:c>
      <x:c r="HE242">
        <x:f t="shared" si="308"/>
        <x:v>0</x:v>
      </x:c>
      <x:c r="HF242">
        <x:f t="shared" si="309"/>
        <x:v>0</x:v>
      </x:c>
      <x:c r="HG242">
        <x:f t="shared" si="310"/>
        <x:v>0</x:v>
      </x:c>
      <x:c r="HH242">
        <x:f t="shared" si="311"/>
        <x:v>0</x:v>
      </x:c>
      <x:c r="HI242">
        <x:f t="shared" si="312"/>
        <x:v>0</x:v>
      </x:c>
      <x:c r="HJ242">
        <x:f t="shared" si="313"/>
        <x:v>0</x:v>
      </x:c>
      <x:c r="HK242">
        <x:f t="shared" si="314"/>
        <x:v>0</x:v>
      </x:c>
      <x:c r="HL242">
        <x:f t="shared" si="315"/>
        <x:v>0</x:v>
      </x:c>
    </x:row>
    <x:row r="243">
      <x:c r="D243" s="74"/>
      <x:c r="EQ243">
        <x:f t="shared" si="242"/>
        <x:v>0</x:v>
      </x:c>
      <x:c r="ER243">
        <x:f t="shared" si="243"/>
        <x:v>0</x:v>
      </x:c>
      <x:c r="ES243">
        <x:f t="shared" si="244"/>
        <x:v>0</x:v>
      </x:c>
      <x:c r="ET243">
        <x:f t="shared" si="245"/>
        <x:v>0</x:v>
      </x:c>
      <x:c r="EU243">
        <x:f t="shared" si="246"/>
        <x:v>0</x:v>
      </x:c>
      <x:c r="EV243">
        <x:f t="shared" si="247"/>
        <x:v>0</x:v>
      </x:c>
      <x:c r="EW243">
        <x:f t="shared" si="248"/>
        <x:v>0</x:v>
      </x:c>
      <x:c r="EX243">
        <x:f t="shared" si="249"/>
        <x:v>0</x:v>
      </x:c>
      <x:c r="EY243">
        <x:f t="shared" si="250"/>
        <x:v>0</x:v>
      </x:c>
      <x:c r="EZ243">
        <x:f t="shared" si="251"/>
        <x:v>0</x:v>
      </x:c>
      <x:c r="FA243" s="41">
        <x:f t="shared" si="252"/>
        <x:v>0</x:v>
      </x:c>
      <x:c r="FB243">
        <x:f t="shared" si="253"/>
        <x:v>0</x:v>
      </x:c>
      <x:c r="FC243">
        <x:f t="shared" si="254"/>
        <x:v>0</x:v>
      </x:c>
      <x:c r="FD243">
        <x:f t="shared" si="255"/>
        <x:v>0</x:v>
      </x:c>
      <x:c r="FE243">
        <x:f t="shared" si="256"/>
        <x:v>0</x:v>
      </x:c>
      <x:c r="FF243">
        <x:f t="shared" si="257"/>
        <x:v>0</x:v>
      </x:c>
      <x:c r="FG243">
        <x:f t="shared" si="258"/>
        <x:v>0</x:v>
      </x:c>
      <x:c r="FH243">
        <x:f t="shared" si="259"/>
        <x:v>0</x:v>
      </x:c>
      <x:c r="FI243">
        <x:f t="shared" si="260"/>
        <x:v>0</x:v>
      </x:c>
      <x:c r="FJ243">
        <x:f t="shared" si="261"/>
        <x:v>0</x:v>
      </x:c>
      <x:c r="FK243">
        <x:f t="shared" si="262"/>
        <x:v>0</x:v>
      </x:c>
      <x:c r="FL243" s="41">
        <x:f t="shared" si="263"/>
        <x:v>0</x:v>
      </x:c>
      <x:c r="FM243">
        <x:f t="shared" si="264"/>
        <x:v>0</x:v>
      </x:c>
      <x:c r="FN243">
        <x:f t="shared" si="265"/>
        <x:v>0</x:v>
      </x:c>
      <x:c r="FO243">
        <x:f t="shared" si="266"/>
        <x:v>0</x:v>
      </x:c>
      <x:c r="FP243">
        <x:f t="shared" si="267"/>
        <x:v>0</x:v>
      </x:c>
      <x:c r="FQ243">
        <x:f t="shared" si="268"/>
        <x:v>0</x:v>
      </x:c>
      <x:c r="FR243">
        <x:f t="shared" si="269"/>
        <x:v>0</x:v>
      </x:c>
      <x:c r="FS243">
        <x:f t="shared" si="270"/>
        <x:v>0</x:v>
      </x:c>
      <x:c r="FT243">
        <x:f t="shared" si="271"/>
        <x:v>0</x:v>
      </x:c>
      <x:c r="FU243">
        <x:f t="shared" si="272"/>
        <x:v>0</x:v>
      </x:c>
      <x:c r="FV243">
        <x:f t="shared" si="273"/>
        <x:v>0</x:v>
      </x:c>
      <x:c r="FW243" s="41">
        <x:f t="shared" si="274"/>
        <x:v>0</x:v>
      </x:c>
      <x:c r="FX243">
        <x:f t="shared" si="275"/>
        <x:v>0</x:v>
      </x:c>
      <x:c r="FY243">
        <x:f t="shared" si="276"/>
        <x:v>0</x:v>
      </x:c>
      <x:c r="FZ243">
        <x:f t="shared" si="277"/>
        <x:v>0</x:v>
      </x:c>
      <x:c r="GA243">
        <x:f t="shared" si="278"/>
        <x:v>0</x:v>
      </x:c>
      <x:c r="GB243">
        <x:f t="shared" si="279"/>
        <x:v>0</x:v>
      </x:c>
      <x:c r="GC243">
        <x:f t="shared" si="280"/>
        <x:v>0</x:v>
      </x:c>
      <x:c r="GD243">
        <x:f t="shared" si="281"/>
        <x:v>0</x:v>
      </x:c>
      <x:c r="GE243">
        <x:f t="shared" si="282"/>
        <x:v>0</x:v>
      </x:c>
      <x:c r="GF243">
        <x:f t="shared" si="283"/>
        <x:v>0</x:v>
      </x:c>
      <x:c r="GG243">
        <x:f t="shared" si="284"/>
        <x:v>0</x:v>
      </x:c>
      <x:c r="GH243">
        <x:f t="shared" si="285"/>
        <x:v>0</x:v>
      </x:c>
      <x:c r="GI243">
        <x:f t="shared" si="286"/>
        <x:v>0</x:v>
      </x:c>
      <x:c r="GJ243">
        <x:f t="shared" si="287"/>
        <x:v>0</x:v>
      </x:c>
      <x:c r="GK243">
        <x:f t="shared" si="288"/>
        <x:v>0</x:v>
      </x:c>
      <x:c r="GL243">
        <x:f t="shared" si="289"/>
        <x:v>0</x:v>
      </x:c>
      <x:c r="GM243">
        <x:f t="shared" si="290"/>
        <x:v>0</x:v>
      </x:c>
      <x:c r="GN243">
        <x:f t="shared" si="291"/>
        <x:v>0</x:v>
      </x:c>
      <x:c r="GO243">
        <x:f t="shared" si="292"/>
        <x:v>0</x:v>
      </x:c>
      <x:c r="GP243">
        <x:f t="shared" si="293"/>
        <x:v>0</x:v>
      </x:c>
      <x:c r="GQ243">
        <x:f t="shared" si="294"/>
        <x:v>0</x:v>
      </x:c>
      <x:c r="GR243" s="42">
        <x:f t="shared" si="295"/>
        <x:v>0</x:v>
      </x:c>
      <x:c r="GS243">
        <x:f t="shared" si="296"/>
        <x:v>0</x:v>
      </x:c>
      <x:c r="GT243">
        <x:f t="shared" si="297"/>
        <x:v>0</x:v>
      </x:c>
      <x:c r="GU243">
        <x:f t="shared" si="298"/>
        <x:v>0</x:v>
      </x:c>
      <x:c r="GV243">
        <x:f t="shared" si="299"/>
        <x:v>0</x:v>
      </x:c>
      <x:c r="GW243">
        <x:f t="shared" si="300"/>
        <x:v>0</x:v>
      </x:c>
      <x:c r="GX243">
        <x:f t="shared" si="301"/>
        <x:v>0</x:v>
      </x:c>
      <x:c r="GY243">
        <x:f t="shared" si="302"/>
        <x:v>0</x:v>
      </x:c>
      <x:c r="GZ243">
        <x:f t="shared" si="303"/>
        <x:v>0</x:v>
      </x:c>
      <x:c r="HA243">
        <x:f t="shared" si="304"/>
        <x:v>0</x:v>
      </x:c>
      <x:c r="HB243" s="42">
        <x:f t="shared" si="305"/>
        <x:v>0</x:v>
      </x:c>
      <x:c r="HC243">
        <x:f t="shared" si="306"/>
        <x:v>0</x:v>
      </x:c>
      <x:c r="HD243">
        <x:f t="shared" si="307"/>
        <x:v>0</x:v>
      </x:c>
      <x:c r="HE243">
        <x:f t="shared" si="308"/>
        <x:v>0</x:v>
      </x:c>
      <x:c r="HF243">
        <x:f t="shared" si="309"/>
        <x:v>0</x:v>
      </x:c>
      <x:c r="HG243">
        <x:f t="shared" si="310"/>
        <x:v>0</x:v>
      </x:c>
      <x:c r="HH243">
        <x:f t="shared" si="311"/>
        <x:v>0</x:v>
      </x:c>
      <x:c r="HI243">
        <x:f t="shared" si="312"/>
        <x:v>0</x:v>
      </x:c>
      <x:c r="HJ243">
        <x:f t="shared" si="313"/>
        <x:v>0</x:v>
      </x:c>
      <x:c r="HK243">
        <x:f t="shared" si="314"/>
        <x:v>0</x:v>
      </x:c>
      <x:c r="HL243">
        <x:f t="shared" si="315"/>
        <x:v>0</x:v>
      </x:c>
    </x:row>
    <x:row r="244">
      <x:c r="D244" s="74"/>
      <x:c r="EQ244">
        <x:f t="shared" si="242"/>
        <x:v>0</x:v>
      </x:c>
      <x:c r="ER244">
        <x:f t="shared" si="243"/>
        <x:v>0</x:v>
      </x:c>
      <x:c r="ES244">
        <x:f t="shared" si="244"/>
        <x:v>0</x:v>
      </x:c>
      <x:c r="ET244">
        <x:f t="shared" si="245"/>
        <x:v>0</x:v>
      </x:c>
      <x:c r="EU244">
        <x:f t="shared" si="246"/>
        <x:v>0</x:v>
      </x:c>
      <x:c r="EV244">
        <x:f t="shared" si="247"/>
        <x:v>0</x:v>
      </x:c>
      <x:c r="EW244">
        <x:f t="shared" si="248"/>
        <x:v>0</x:v>
      </x:c>
      <x:c r="EX244">
        <x:f t="shared" si="249"/>
        <x:v>0</x:v>
      </x:c>
      <x:c r="EY244">
        <x:f t="shared" si="250"/>
        <x:v>0</x:v>
      </x:c>
      <x:c r="EZ244">
        <x:f t="shared" si="251"/>
        <x:v>0</x:v>
      </x:c>
      <x:c r="FA244" s="41">
        <x:f t="shared" si="252"/>
        <x:v>0</x:v>
      </x:c>
      <x:c r="FB244">
        <x:f t="shared" si="253"/>
        <x:v>0</x:v>
      </x:c>
      <x:c r="FC244">
        <x:f t="shared" si="254"/>
        <x:v>0</x:v>
      </x:c>
      <x:c r="FD244">
        <x:f t="shared" si="255"/>
        <x:v>0</x:v>
      </x:c>
      <x:c r="FE244">
        <x:f t="shared" si="256"/>
        <x:v>0</x:v>
      </x:c>
      <x:c r="FF244">
        <x:f t="shared" si="257"/>
        <x:v>0</x:v>
      </x:c>
      <x:c r="FG244">
        <x:f t="shared" si="258"/>
        <x:v>0</x:v>
      </x:c>
      <x:c r="FH244">
        <x:f t="shared" si="259"/>
        <x:v>0</x:v>
      </x:c>
      <x:c r="FI244">
        <x:f t="shared" si="260"/>
        <x:v>0</x:v>
      </x:c>
      <x:c r="FJ244">
        <x:f t="shared" si="261"/>
        <x:v>0</x:v>
      </x:c>
      <x:c r="FK244">
        <x:f t="shared" si="262"/>
        <x:v>0</x:v>
      </x:c>
      <x:c r="FL244" s="41">
        <x:f t="shared" si="263"/>
        <x:v>0</x:v>
      </x:c>
      <x:c r="FM244">
        <x:f t="shared" si="264"/>
        <x:v>0</x:v>
      </x:c>
      <x:c r="FN244">
        <x:f t="shared" si="265"/>
        <x:v>0</x:v>
      </x:c>
      <x:c r="FO244">
        <x:f t="shared" si="266"/>
        <x:v>0</x:v>
      </x:c>
      <x:c r="FP244">
        <x:f t="shared" si="267"/>
        <x:v>0</x:v>
      </x:c>
      <x:c r="FQ244">
        <x:f t="shared" si="268"/>
        <x:v>0</x:v>
      </x:c>
      <x:c r="FR244">
        <x:f t="shared" si="269"/>
        <x:v>0</x:v>
      </x:c>
      <x:c r="FS244">
        <x:f t="shared" si="270"/>
        <x:v>0</x:v>
      </x:c>
      <x:c r="FT244">
        <x:f t="shared" si="271"/>
        <x:v>0</x:v>
      </x:c>
      <x:c r="FU244">
        <x:f t="shared" si="272"/>
        <x:v>0</x:v>
      </x:c>
      <x:c r="FV244">
        <x:f t="shared" si="273"/>
        <x:v>0</x:v>
      </x:c>
      <x:c r="FW244" s="41">
        <x:f t="shared" si="274"/>
        <x:v>0</x:v>
      </x:c>
      <x:c r="FX244">
        <x:f t="shared" si="275"/>
        <x:v>0</x:v>
      </x:c>
      <x:c r="FY244">
        <x:f t="shared" si="276"/>
        <x:v>0</x:v>
      </x:c>
      <x:c r="FZ244">
        <x:f t="shared" si="277"/>
        <x:v>0</x:v>
      </x:c>
      <x:c r="GA244">
        <x:f t="shared" si="278"/>
        <x:v>0</x:v>
      </x:c>
      <x:c r="GB244">
        <x:f t="shared" si="279"/>
        <x:v>0</x:v>
      </x:c>
      <x:c r="GC244">
        <x:f t="shared" si="280"/>
        <x:v>0</x:v>
      </x:c>
      <x:c r="GD244">
        <x:f t="shared" si="281"/>
        <x:v>0</x:v>
      </x:c>
      <x:c r="GE244">
        <x:f t="shared" si="282"/>
        <x:v>0</x:v>
      </x:c>
      <x:c r="GF244">
        <x:f t="shared" si="283"/>
        <x:v>0</x:v>
      </x:c>
      <x:c r="GG244">
        <x:f t="shared" si="284"/>
        <x:v>0</x:v>
      </x:c>
      <x:c r="GH244">
        <x:f t="shared" si="285"/>
        <x:v>0</x:v>
      </x:c>
      <x:c r="GI244">
        <x:f t="shared" si="286"/>
        <x:v>0</x:v>
      </x:c>
      <x:c r="GJ244">
        <x:f t="shared" si="287"/>
        <x:v>0</x:v>
      </x:c>
      <x:c r="GK244">
        <x:f t="shared" si="288"/>
        <x:v>0</x:v>
      </x:c>
      <x:c r="GL244">
        <x:f t="shared" si="289"/>
        <x:v>0</x:v>
      </x:c>
      <x:c r="GM244">
        <x:f t="shared" si="290"/>
        <x:v>0</x:v>
      </x:c>
      <x:c r="GN244">
        <x:f t="shared" si="291"/>
        <x:v>0</x:v>
      </x:c>
      <x:c r="GO244">
        <x:f t="shared" si="292"/>
        <x:v>0</x:v>
      </x:c>
      <x:c r="GP244">
        <x:f t="shared" si="293"/>
        <x:v>0</x:v>
      </x:c>
      <x:c r="GQ244">
        <x:f t="shared" si="294"/>
        <x:v>0</x:v>
      </x:c>
      <x:c r="GR244" s="42">
        <x:f t="shared" si="295"/>
        <x:v>0</x:v>
      </x:c>
      <x:c r="GS244">
        <x:f t="shared" si="296"/>
        <x:v>0</x:v>
      </x:c>
      <x:c r="GT244">
        <x:f t="shared" si="297"/>
        <x:v>0</x:v>
      </x:c>
      <x:c r="GU244">
        <x:f t="shared" si="298"/>
        <x:v>0</x:v>
      </x:c>
      <x:c r="GV244">
        <x:f t="shared" si="299"/>
        <x:v>0</x:v>
      </x:c>
      <x:c r="GW244">
        <x:f t="shared" si="300"/>
        <x:v>0</x:v>
      </x:c>
      <x:c r="GX244">
        <x:f t="shared" si="301"/>
        <x:v>0</x:v>
      </x:c>
      <x:c r="GY244">
        <x:f t="shared" si="302"/>
        <x:v>0</x:v>
      </x:c>
      <x:c r="GZ244">
        <x:f t="shared" si="303"/>
        <x:v>0</x:v>
      </x:c>
      <x:c r="HA244">
        <x:f t="shared" si="304"/>
        <x:v>0</x:v>
      </x:c>
      <x:c r="HB244" s="42">
        <x:f t="shared" si="305"/>
        <x:v>0</x:v>
      </x:c>
      <x:c r="HC244">
        <x:f t="shared" si="306"/>
        <x:v>0</x:v>
      </x:c>
      <x:c r="HD244">
        <x:f t="shared" si="307"/>
        <x:v>0</x:v>
      </x:c>
      <x:c r="HE244">
        <x:f t="shared" si="308"/>
        <x:v>0</x:v>
      </x:c>
      <x:c r="HF244">
        <x:f t="shared" si="309"/>
        <x:v>0</x:v>
      </x:c>
      <x:c r="HG244">
        <x:f t="shared" si="310"/>
        <x:v>0</x:v>
      </x:c>
      <x:c r="HH244">
        <x:f t="shared" si="311"/>
        <x:v>0</x:v>
      </x:c>
      <x:c r="HI244">
        <x:f t="shared" si="312"/>
        <x:v>0</x:v>
      </x:c>
      <x:c r="HJ244">
        <x:f t="shared" si="313"/>
        <x:v>0</x:v>
      </x:c>
      <x:c r="HK244">
        <x:f t="shared" si="314"/>
        <x:v>0</x:v>
      </x:c>
      <x:c r="HL244">
        <x:f t="shared" si="315"/>
        <x:v>0</x:v>
      </x:c>
    </x:row>
    <x:row r="245">
      <x:c r="D245" s="74"/>
      <x:c r="EQ245">
        <x:f t="shared" si="242"/>
        <x:v>0</x:v>
      </x:c>
      <x:c r="ER245">
        <x:f t="shared" si="243"/>
        <x:v>0</x:v>
      </x:c>
      <x:c r="ES245">
        <x:f t="shared" si="244"/>
        <x:v>0</x:v>
      </x:c>
      <x:c r="ET245">
        <x:f t="shared" si="245"/>
        <x:v>0</x:v>
      </x:c>
      <x:c r="EU245">
        <x:f t="shared" si="246"/>
        <x:v>0</x:v>
      </x:c>
      <x:c r="EV245">
        <x:f t="shared" si="247"/>
        <x:v>0</x:v>
      </x:c>
      <x:c r="EW245">
        <x:f t="shared" si="248"/>
        <x:v>0</x:v>
      </x:c>
      <x:c r="EX245">
        <x:f t="shared" si="249"/>
        <x:v>0</x:v>
      </x:c>
      <x:c r="EY245">
        <x:f t="shared" si="250"/>
        <x:v>0</x:v>
      </x:c>
      <x:c r="EZ245">
        <x:f t="shared" si="251"/>
        <x:v>0</x:v>
      </x:c>
      <x:c r="FA245" s="41">
        <x:f t="shared" si="252"/>
        <x:v>0</x:v>
      </x:c>
      <x:c r="FB245">
        <x:f t="shared" si="253"/>
        <x:v>0</x:v>
      </x:c>
      <x:c r="FC245">
        <x:f t="shared" si="254"/>
        <x:v>0</x:v>
      </x:c>
      <x:c r="FD245">
        <x:f t="shared" si="255"/>
        <x:v>0</x:v>
      </x:c>
      <x:c r="FE245">
        <x:f t="shared" si="256"/>
        <x:v>0</x:v>
      </x:c>
      <x:c r="FF245">
        <x:f t="shared" si="257"/>
        <x:v>0</x:v>
      </x:c>
      <x:c r="FG245">
        <x:f t="shared" si="258"/>
        <x:v>0</x:v>
      </x:c>
      <x:c r="FH245">
        <x:f t="shared" si="259"/>
        <x:v>0</x:v>
      </x:c>
      <x:c r="FI245">
        <x:f t="shared" si="260"/>
        <x:v>0</x:v>
      </x:c>
      <x:c r="FJ245">
        <x:f t="shared" si="261"/>
        <x:v>0</x:v>
      </x:c>
      <x:c r="FK245">
        <x:f t="shared" si="262"/>
        <x:v>0</x:v>
      </x:c>
      <x:c r="FL245" s="41">
        <x:f t="shared" si="263"/>
        <x:v>0</x:v>
      </x:c>
      <x:c r="FM245">
        <x:f t="shared" si="264"/>
        <x:v>0</x:v>
      </x:c>
      <x:c r="FN245">
        <x:f t="shared" si="265"/>
        <x:v>0</x:v>
      </x:c>
      <x:c r="FO245">
        <x:f t="shared" si="266"/>
        <x:v>0</x:v>
      </x:c>
      <x:c r="FP245">
        <x:f t="shared" si="267"/>
        <x:v>0</x:v>
      </x:c>
      <x:c r="FQ245">
        <x:f t="shared" si="268"/>
        <x:v>0</x:v>
      </x:c>
      <x:c r="FR245">
        <x:f t="shared" si="269"/>
        <x:v>0</x:v>
      </x:c>
      <x:c r="FS245">
        <x:f t="shared" si="270"/>
        <x:v>0</x:v>
      </x:c>
      <x:c r="FT245">
        <x:f t="shared" si="271"/>
        <x:v>0</x:v>
      </x:c>
      <x:c r="FU245">
        <x:f t="shared" si="272"/>
        <x:v>0</x:v>
      </x:c>
      <x:c r="FV245">
        <x:f t="shared" si="273"/>
        <x:v>0</x:v>
      </x:c>
      <x:c r="FW245" s="41">
        <x:f t="shared" si="274"/>
        <x:v>0</x:v>
      </x:c>
      <x:c r="FX245">
        <x:f t="shared" si="275"/>
        <x:v>0</x:v>
      </x:c>
      <x:c r="FY245">
        <x:f t="shared" si="276"/>
        <x:v>0</x:v>
      </x:c>
      <x:c r="FZ245">
        <x:f t="shared" si="277"/>
        <x:v>0</x:v>
      </x:c>
      <x:c r="GA245">
        <x:f t="shared" si="278"/>
        <x:v>0</x:v>
      </x:c>
      <x:c r="GB245">
        <x:f t="shared" si="279"/>
        <x:v>0</x:v>
      </x:c>
      <x:c r="GC245">
        <x:f t="shared" si="280"/>
        <x:v>0</x:v>
      </x:c>
      <x:c r="GD245">
        <x:f t="shared" si="281"/>
        <x:v>0</x:v>
      </x:c>
      <x:c r="GE245">
        <x:f t="shared" si="282"/>
        <x:v>0</x:v>
      </x:c>
      <x:c r="GF245">
        <x:f t="shared" si="283"/>
        <x:v>0</x:v>
      </x:c>
      <x:c r="GG245">
        <x:f t="shared" si="284"/>
        <x:v>0</x:v>
      </x:c>
      <x:c r="GH245">
        <x:f t="shared" si="285"/>
        <x:v>0</x:v>
      </x:c>
      <x:c r="GI245">
        <x:f t="shared" si="286"/>
        <x:v>0</x:v>
      </x:c>
      <x:c r="GJ245">
        <x:f t="shared" si="287"/>
        <x:v>0</x:v>
      </x:c>
      <x:c r="GK245">
        <x:f t="shared" si="288"/>
        <x:v>0</x:v>
      </x:c>
      <x:c r="GL245">
        <x:f t="shared" si="289"/>
        <x:v>0</x:v>
      </x:c>
      <x:c r="GM245">
        <x:f t="shared" si="290"/>
        <x:v>0</x:v>
      </x:c>
      <x:c r="GN245">
        <x:f t="shared" si="291"/>
        <x:v>0</x:v>
      </x:c>
      <x:c r="GO245">
        <x:f t="shared" si="292"/>
        <x:v>0</x:v>
      </x:c>
      <x:c r="GP245">
        <x:f t="shared" si="293"/>
        <x:v>0</x:v>
      </x:c>
      <x:c r="GQ245">
        <x:f t="shared" si="294"/>
        <x:v>0</x:v>
      </x:c>
      <x:c r="GR245" s="42">
        <x:f t="shared" si="295"/>
        <x:v>0</x:v>
      </x:c>
      <x:c r="GS245">
        <x:f t="shared" si="296"/>
        <x:v>0</x:v>
      </x:c>
      <x:c r="GT245">
        <x:f t="shared" si="297"/>
        <x:v>0</x:v>
      </x:c>
      <x:c r="GU245">
        <x:f t="shared" si="298"/>
        <x:v>0</x:v>
      </x:c>
      <x:c r="GV245">
        <x:f t="shared" si="299"/>
        <x:v>0</x:v>
      </x:c>
      <x:c r="GW245">
        <x:f t="shared" si="300"/>
        <x:v>0</x:v>
      </x:c>
      <x:c r="GX245">
        <x:f t="shared" si="301"/>
        <x:v>0</x:v>
      </x:c>
      <x:c r="GY245">
        <x:f t="shared" si="302"/>
        <x:v>0</x:v>
      </x:c>
      <x:c r="GZ245">
        <x:f t="shared" si="303"/>
        <x:v>0</x:v>
      </x:c>
      <x:c r="HA245">
        <x:f t="shared" si="304"/>
        <x:v>0</x:v>
      </x:c>
      <x:c r="HB245" s="42">
        <x:f t="shared" si="305"/>
        <x:v>0</x:v>
      </x:c>
      <x:c r="HC245">
        <x:f t="shared" si="306"/>
        <x:v>0</x:v>
      </x:c>
      <x:c r="HD245">
        <x:f t="shared" si="307"/>
        <x:v>0</x:v>
      </x:c>
      <x:c r="HE245">
        <x:f t="shared" si="308"/>
        <x:v>0</x:v>
      </x:c>
      <x:c r="HF245">
        <x:f t="shared" si="309"/>
        <x:v>0</x:v>
      </x:c>
      <x:c r="HG245">
        <x:f t="shared" si="310"/>
        <x:v>0</x:v>
      </x:c>
      <x:c r="HH245">
        <x:f t="shared" si="311"/>
        <x:v>0</x:v>
      </x:c>
      <x:c r="HI245">
        <x:f t="shared" si="312"/>
        <x:v>0</x:v>
      </x:c>
      <x:c r="HJ245">
        <x:f t="shared" si="313"/>
        <x:v>0</x:v>
      </x:c>
      <x:c r="HK245">
        <x:f t="shared" si="314"/>
        <x:v>0</x:v>
      </x:c>
      <x:c r="HL245">
        <x:f t="shared" si="315"/>
        <x:v>0</x:v>
      </x:c>
    </x:row>
    <x:row r="246">
      <x:c r="D246" s="74"/>
      <x:c r="EQ246">
        <x:f t="shared" si="242"/>
        <x:v>0</x:v>
      </x:c>
      <x:c r="ER246">
        <x:f t="shared" si="243"/>
        <x:v>0</x:v>
      </x:c>
      <x:c r="ES246">
        <x:f t="shared" si="244"/>
        <x:v>0</x:v>
      </x:c>
      <x:c r="ET246">
        <x:f t="shared" si="245"/>
        <x:v>0</x:v>
      </x:c>
      <x:c r="EU246">
        <x:f t="shared" si="246"/>
        <x:v>0</x:v>
      </x:c>
      <x:c r="EV246">
        <x:f t="shared" si="247"/>
        <x:v>0</x:v>
      </x:c>
      <x:c r="EW246">
        <x:f t="shared" si="248"/>
        <x:v>0</x:v>
      </x:c>
      <x:c r="EX246">
        <x:f t="shared" si="249"/>
        <x:v>0</x:v>
      </x:c>
      <x:c r="EY246">
        <x:f t="shared" si="250"/>
        <x:v>0</x:v>
      </x:c>
      <x:c r="EZ246">
        <x:f t="shared" si="251"/>
        <x:v>0</x:v>
      </x:c>
      <x:c r="FA246" s="41">
        <x:f t="shared" si="252"/>
        <x:v>0</x:v>
      </x:c>
      <x:c r="FB246">
        <x:f t="shared" si="253"/>
        <x:v>0</x:v>
      </x:c>
      <x:c r="FC246">
        <x:f t="shared" si="254"/>
        <x:v>0</x:v>
      </x:c>
      <x:c r="FD246">
        <x:f t="shared" si="255"/>
        <x:v>0</x:v>
      </x:c>
      <x:c r="FE246">
        <x:f t="shared" si="256"/>
        <x:v>0</x:v>
      </x:c>
      <x:c r="FF246">
        <x:f t="shared" si="257"/>
        <x:v>0</x:v>
      </x:c>
      <x:c r="FG246">
        <x:f t="shared" si="258"/>
        <x:v>0</x:v>
      </x:c>
      <x:c r="FH246">
        <x:f t="shared" si="259"/>
        <x:v>0</x:v>
      </x:c>
      <x:c r="FI246">
        <x:f t="shared" si="260"/>
        <x:v>0</x:v>
      </x:c>
      <x:c r="FJ246">
        <x:f t="shared" si="261"/>
        <x:v>0</x:v>
      </x:c>
      <x:c r="FK246">
        <x:f t="shared" si="262"/>
        <x:v>0</x:v>
      </x:c>
      <x:c r="FL246" s="41">
        <x:f t="shared" si="263"/>
        <x:v>0</x:v>
      </x:c>
      <x:c r="FM246">
        <x:f t="shared" si="264"/>
        <x:v>0</x:v>
      </x:c>
      <x:c r="FN246">
        <x:f t="shared" si="265"/>
        <x:v>0</x:v>
      </x:c>
      <x:c r="FO246">
        <x:f t="shared" si="266"/>
        <x:v>0</x:v>
      </x:c>
      <x:c r="FP246">
        <x:f t="shared" si="267"/>
        <x:v>0</x:v>
      </x:c>
      <x:c r="FQ246">
        <x:f t="shared" si="268"/>
        <x:v>0</x:v>
      </x:c>
      <x:c r="FR246">
        <x:f t="shared" si="269"/>
        <x:v>0</x:v>
      </x:c>
      <x:c r="FS246">
        <x:f t="shared" si="270"/>
        <x:v>0</x:v>
      </x:c>
      <x:c r="FT246">
        <x:f t="shared" si="271"/>
        <x:v>0</x:v>
      </x:c>
      <x:c r="FU246">
        <x:f t="shared" si="272"/>
        <x:v>0</x:v>
      </x:c>
      <x:c r="FV246">
        <x:f t="shared" si="273"/>
        <x:v>0</x:v>
      </x:c>
      <x:c r="FW246" s="41">
        <x:f t="shared" si="274"/>
        <x:v>0</x:v>
      </x:c>
      <x:c r="FX246">
        <x:f t="shared" si="275"/>
        <x:v>0</x:v>
      </x:c>
      <x:c r="FY246">
        <x:f t="shared" si="276"/>
        <x:v>0</x:v>
      </x:c>
      <x:c r="FZ246">
        <x:f t="shared" si="277"/>
        <x:v>0</x:v>
      </x:c>
      <x:c r="GA246">
        <x:f t="shared" si="278"/>
        <x:v>0</x:v>
      </x:c>
      <x:c r="GB246">
        <x:f t="shared" si="279"/>
        <x:v>0</x:v>
      </x:c>
      <x:c r="GC246">
        <x:f t="shared" si="280"/>
        <x:v>0</x:v>
      </x:c>
      <x:c r="GD246">
        <x:f t="shared" si="281"/>
        <x:v>0</x:v>
      </x:c>
      <x:c r="GE246">
        <x:f t="shared" si="282"/>
        <x:v>0</x:v>
      </x:c>
      <x:c r="GF246">
        <x:f t="shared" si="283"/>
        <x:v>0</x:v>
      </x:c>
      <x:c r="GG246">
        <x:f t="shared" si="284"/>
        <x:v>0</x:v>
      </x:c>
      <x:c r="GH246">
        <x:f t="shared" si="285"/>
        <x:v>0</x:v>
      </x:c>
      <x:c r="GI246">
        <x:f t="shared" si="286"/>
        <x:v>0</x:v>
      </x:c>
      <x:c r="GJ246">
        <x:f t="shared" si="287"/>
        <x:v>0</x:v>
      </x:c>
      <x:c r="GK246">
        <x:f t="shared" si="288"/>
        <x:v>0</x:v>
      </x:c>
      <x:c r="GL246">
        <x:f t="shared" si="289"/>
        <x:v>0</x:v>
      </x:c>
      <x:c r="GM246">
        <x:f t="shared" si="290"/>
        <x:v>0</x:v>
      </x:c>
      <x:c r="GN246">
        <x:f t="shared" si="291"/>
        <x:v>0</x:v>
      </x:c>
      <x:c r="GO246">
        <x:f t="shared" si="292"/>
        <x:v>0</x:v>
      </x:c>
      <x:c r="GP246">
        <x:f t="shared" si="293"/>
        <x:v>0</x:v>
      </x:c>
      <x:c r="GQ246">
        <x:f t="shared" si="294"/>
        <x:v>0</x:v>
      </x:c>
      <x:c r="GR246" s="42">
        <x:f t="shared" si="295"/>
        <x:v>0</x:v>
      </x:c>
      <x:c r="GS246">
        <x:f t="shared" si="296"/>
        <x:v>0</x:v>
      </x:c>
      <x:c r="GT246">
        <x:f t="shared" si="297"/>
        <x:v>0</x:v>
      </x:c>
      <x:c r="GU246">
        <x:f t="shared" si="298"/>
        <x:v>0</x:v>
      </x:c>
      <x:c r="GV246">
        <x:f t="shared" si="299"/>
        <x:v>0</x:v>
      </x:c>
      <x:c r="GW246">
        <x:f t="shared" si="300"/>
        <x:v>0</x:v>
      </x:c>
      <x:c r="GX246">
        <x:f t="shared" si="301"/>
        <x:v>0</x:v>
      </x:c>
      <x:c r="GY246">
        <x:f t="shared" si="302"/>
        <x:v>0</x:v>
      </x:c>
      <x:c r="GZ246">
        <x:f t="shared" si="303"/>
        <x:v>0</x:v>
      </x:c>
      <x:c r="HA246">
        <x:f t="shared" si="304"/>
        <x:v>0</x:v>
      </x:c>
      <x:c r="HB246" s="42">
        <x:f t="shared" si="305"/>
        <x:v>0</x:v>
      </x:c>
      <x:c r="HC246">
        <x:f t="shared" si="306"/>
        <x:v>0</x:v>
      </x:c>
      <x:c r="HD246">
        <x:f t="shared" si="307"/>
        <x:v>0</x:v>
      </x:c>
      <x:c r="HE246">
        <x:f t="shared" si="308"/>
        <x:v>0</x:v>
      </x:c>
      <x:c r="HF246">
        <x:f t="shared" si="309"/>
        <x:v>0</x:v>
      </x:c>
      <x:c r="HG246">
        <x:f t="shared" si="310"/>
        <x:v>0</x:v>
      </x:c>
      <x:c r="HH246">
        <x:f t="shared" si="311"/>
        <x:v>0</x:v>
      </x:c>
      <x:c r="HI246">
        <x:f t="shared" si="312"/>
        <x:v>0</x:v>
      </x:c>
      <x:c r="HJ246">
        <x:f t="shared" si="313"/>
        <x:v>0</x:v>
      </x:c>
      <x:c r="HK246">
        <x:f t="shared" si="314"/>
        <x:v>0</x:v>
      </x:c>
      <x:c r="HL246">
        <x:f t="shared" si="315"/>
        <x:v>0</x:v>
      </x:c>
    </x:row>
    <x:row r="247">
      <x:c r="D247" s="74"/>
      <x:c r="EQ247">
        <x:f t="shared" si="242"/>
        <x:v>0</x:v>
      </x:c>
      <x:c r="ER247">
        <x:f t="shared" si="243"/>
        <x:v>0</x:v>
      </x:c>
      <x:c r="ES247">
        <x:f t="shared" si="244"/>
        <x:v>0</x:v>
      </x:c>
      <x:c r="ET247">
        <x:f t="shared" si="245"/>
        <x:v>0</x:v>
      </x:c>
      <x:c r="EU247">
        <x:f t="shared" si="246"/>
        <x:v>0</x:v>
      </x:c>
      <x:c r="EV247">
        <x:f t="shared" si="247"/>
        <x:v>0</x:v>
      </x:c>
      <x:c r="EW247">
        <x:f t="shared" si="248"/>
        <x:v>0</x:v>
      </x:c>
      <x:c r="EX247">
        <x:f t="shared" si="249"/>
        <x:v>0</x:v>
      </x:c>
      <x:c r="EY247">
        <x:f t="shared" si="250"/>
        <x:v>0</x:v>
      </x:c>
      <x:c r="EZ247">
        <x:f t="shared" si="251"/>
        <x:v>0</x:v>
      </x:c>
      <x:c r="FA247" s="41">
        <x:f t="shared" si="252"/>
        <x:v>0</x:v>
      </x:c>
      <x:c r="FB247">
        <x:f t="shared" si="253"/>
        <x:v>0</x:v>
      </x:c>
      <x:c r="FC247">
        <x:f t="shared" si="254"/>
        <x:v>0</x:v>
      </x:c>
      <x:c r="FD247">
        <x:f t="shared" si="255"/>
        <x:v>0</x:v>
      </x:c>
      <x:c r="FE247">
        <x:f t="shared" si="256"/>
        <x:v>0</x:v>
      </x:c>
      <x:c r="FF247">
        <x:f t="shared" si="257"/>
        <x:v>0</x:v>
      </x:c>
      <x:c r="FG247">
        <x:f t="shared" si="258"/>
        <x:v>0</x:v>
      </x:c>
      <x:c r="FH247">
        <x:f t="shared" si="259"/>
        <x:v>0</x:v>
      </x:c>
      <x:c r="FI247">
        <x:f t="shared" si="260"/>
        <x:v>0</x:v>
      </x:c>
      <x:c r="FJ247">
        <x:f t="shared" si="261"/>
        <x:v>0</x:v>
      </x:c>
      <x:c r="FK247">
        <x:f t="shared" si="262"/>
        <x:v>0</x:v>
      </x:c>
      <x:c r="FL247" s="41">
        <x:f t="shared" si="263"/>
        <x:v>0</x:v>
      </x:c>
      <x:c r="FM247">
        <x:f t="shared" si="264"/>
        <x:v>0</x:v>
      </x:c>
      <x:c r="FN247">
        <x:f t="shared" si="265"/>
        <x:v>0</x:v>
      </x:c>
      <x:c r="FO247">
        <x:f t="shared" si="266"/>
        <x:v>0</x:v>
      </x:c>
      <x:c r="FP247">
        <x:f t="shared" si="267"/>
        <x:v>0</x:v>
      </x:c>
      <x:c r="FQ247">
        <x:f t="shared" si="268"/>
        <x:v>0</x:v>
      </x:c>
      <x:c r="FR247">
        <x:f t="shared" si="269"/>
        <x:v>0</x:v>
      </x:c>
      <x:c r="FS247">
        <x:f t="shared" si="270"/>
        <x:v>0</x:v>
      </x:c>
      <x:c r="FT247">
        <x:f t="shared" si="271"/>
        <x:v>0</x:v>
      </x:c>
      <x:c r="FU247">
        <x:f t="shared" si="272"/>
        <x:v>0</x:v>
      </x:c>
      <x:c r="FV247">
        <x:f t="shared" si="273"/>
        <x:v>0</x:v>
      </x:c>
      <x:c r="FW247" s="41">
        <x:f t="shared" si="274"/>
        <x:v>0</x:v>
      </x:c>
      <x:c r="FX247">
        <x:f t="shared" si="275"/>
        <x:v>0</x:v>
      </x:c>
      <x:c r="FY247">
        <x:f t="shared" si="276"/>
        <x:v>0</x:v>
      </x:c>
      <x:c r="FZ247">
        <x:f t="shared" si="277"/>
        <x:v>0</x:v>
      </x:c>
      <x:c r="GA247">
        <x:f t="shared" si="278"/>
        <x:v>0</x:v>
      </x:c>
      <x:c r="GB247">
        <x:f t="shared" si="279"/>
        <x:v>0</x:v>
      </x:c>
      <x:c r="GC247">
        <x:f t="shared" si="280"/>
        <x:v>0</x:v>
      </x:c>
      <x:c r="GD247">
        <x:f t="shared" si="281"/>
        <x:v>0</x:v>
      </x:c>
      <x:c r="GE247">
        <x:f t="shared" si="282"/>
        <x:v>0</x:v>
      </x:c>
      <x:c r="GF247">
        <x:f t="shared" si="283"/>
        <x:v>0</x:v>
      </x:c>
      <x:c r="GG247">
        <x:f t="shared" si="284"/>
        <x:v>0</x:v>
      </x:c>
      <x:c r="GH247">
        <x:f t="shared" si="285"/>
        <x:v>0</x:v>
      </x:c>
      <x:c r="GI247">
        <x:f t="shared" si="286"/>
        <x:v>0</x:v>
      </x:c>
      <x:c r="GJ247">
        <x:f t="shared" si="287"/>
        <x:v>0</x:v>
      </x:c>
      <x:c r="GK247">
        <x:f t="shared" si="288"/>
        <x:v>0</x:v>
      </x:c>
      <x:c r="GL247">
        <x:f t="shared" si="289"/>
        <x:v>0</x:v>
      </x:c>
      <x:c r="GM247">
        <x:f t="shared" si="290"/>
        <x:v>0</x:v>
      </x:c>
      <x:c r="GN247">
        <x:f t="shared" si="291"/>
        <x:v>0</x:v>
      </x:c>
      <x:c r="GO247">
        <x:f t="shared" si="292"/>
        <x:v>0</x:v>
      </x:c>
      <x:c r="GP247">
        <x:f t="shared" si="293"/>
        <x:v>0</x:v>
      </x:c>
      <x:c r="GQ247">
        <x:f t="shared" si="294"/>
        <x:v>0</x:v>
      </x:c>
      <x:c r="GR247" s="42">
        <x:f t="shared" si="295"/>
        <x:v>0</x:v>
      </x:c>
      <x:c r="GS247">
        <x:f t="shared" si="296"/>
        <x:v>0</x:v>
      </x:c>
      <x:c r="GT247">
        <x:f t="shared" si="297"/>
        <x:v>0</x:v>
      </x:c>
      <x:c r="GU247">
        <x:f t="shared" si="298"/>
        <x:v>0</x:v>
      </x:c>
      <x:c r="GV247">
        <x:f t="shared" si="299"/>
        <x:v>0</x:v>
      </x:c>
      <x:c r="GW247">
        <x:f t="shared" si="300"/>
        <x:v>0</x:v>
      </x:c>
      <x:c r="GX247">
        <x:f t="shared" si="301"/>
        <x:v>0</x:v>
      </x:c>
      <x:c r="GY247">
        <x:f t="shared" si="302"/>
        <x:v>0</x:v>
      </x:c>
      <x:c r="GZ247">
        <x:f t="shared" si="303"/>
        <x:v>0</x:v>
      </x:c>
      <x:c r="HA247">
        <x:f t="shared" si="304"/>
        <x:v>0</x:v>
      </x:c>
      <x:c r="HB247" s="42">
        <x:f t="shared" si="305"/>
        <x:v>0</x:v>
      </x:c>
      <x:c r="HC247">
        <x:f t="shared" si="306"/>
        <x:v>0</x:v>
      </x:c>
      <x:c r="HD247">
        <x:f t="shared" si="307"/>
        <x:v>0</x:v>
      </x:c>
      <x:c r="HE247">
        <x:f t="shared" si="308"/>
        <x:v>0</x:v>
      </x:c>
      <x:c r="HF247">
        <x:f t="shared" si="309"/>
        <x:v>0</x:v>
      </x:c>
      <x:c r="HG247">
        <x:f t="shared" si="310"/>
        <x:v>0</x:v>
      </x:c>
      <x:c r="HH247">
        <x:f t="shared" si="311"/>
        <x:v>0</x:v>
      </x:c>
      <x:c r="HI247">
        <x:f t="shared" si="312"/>
        <x:v>0</x:v>
      </x:c>
      <x:c r="HJ247">
        <x:f t="shared" si="313"/>
        <x:v>0</x:v>
      </x:c>
      <x:c r="HK247">
        <x:f t="shared" si="314"/>
        <x:v>0</x:v>
      </x:c>
      <x:c r="HL247">
        <x:f t="shared" si="315"/>
        <x:v>0</x:v>
      </x:c>
    </x:row>
    <x:row r="248">
      <x:c r="D248" s="74"/>
      <x:c r="EQ248">
        <x:f t="shared" si="242"/>
        <x:v>0</x:v>
      </x:c>
      <x:c r="ER248">
        <x:f t="shared" si="243"/>
        <x:v>0</x:v>
      </x:c>
      <x:c r="ES248">
        <x:f t="shared" si="244"/>
        <x:v>0</x:v>
      </x:c>
      <x:c r="ET248">
        <x:f t="shared" si="245"/>
        <x:v>0</x:v>
      </x:c>
      <x:c r="EU248">
        <x:f t="shared" si="246"/>
        <x:v>0</x:v>
      </x:c>
      <x:c r="EV248">
        <x:f t="shared" si="247"/>
        <x:v>0</x:v>
      </x:c>
      <x:c r="EW248">
        <x:f t="shared" si="248"/>
        <x:v>0</x:v>
      </x:c>
      <x:c r="EX248">
        <x:f t="shared" si="249"/>
        <x:v>0</x:v>
      </x:c>
      <x:c r="EY248">
        <x:f t="shared" si="250"/>
        <x:v>0</x:v>
      </x:c>
      <x:c r="EZ248">
        <x:f t="shared" si="251"/>
        <x:v>0</x:v>
      </x:c>
      <x:c r="FA248" s="41">
        <x:f t="shared" si="252"/>
        <x:v>0</x:v>
      </x:c>
      <x:c r="FB248">
        <x:f t="shared" si="253"/>
        <x:v>0</x:v>
      </x:c>
      <x:c r="FC248">
        <x:f t="shared" si="254"/>
        <x:v>0</x:v>
      </x:c>
      <x:c r="FD248">
        <x:f t="shared" si="255"/>
        <x:v>0</x:v>
      </x:c>
      <x:c r="FE248">
        <x:f t="shared" si="256"/>
        <x:v>0</x:v>
      </x:c>
      <x:c r="FF248">
        <x:f t="shared" si="257"/>
        <x:v>0</x:v>
      </x:c>
      <x:c r="FG248">
        <x:f t="shared" si="258"/>
        <x:v>0</x:v>
      </x:c>
      <x:c r="FH248">
        <x:f t="shared" si="259"/>
        <x:v>0</x:v>
      </x:c>
      <x:c r="FI248">
        <x:f t="shared" si="260"/>
        <x:v>0</x:v>
      </x:c>
      <x:c r="FJ248">
        <x:f t="shared" si="261"/>
        <x:v>0</x:v>
      </x:c>
      <x:c r="FK248">
        <x:f t="shared" si="262"/>
        <x:v>0</x:v>
      </x:c>
      <x:c r="FL248" s="41">
        <x:f t="shared" si="263"/>
        <x:v>0</x:v>
      </x:c>
      <x:c r="FM248">
        <x:f t="shared" si="264"/>
        <x:v>0</x:v>
      </x:c>
      <x:c r="FN248">
        <x:f t="shared" si="265"/>
        <x:v>0</x:v>
      </x:c>
      <x:c r="FO248">
        <x:f t="shared" si="266"/>
        <x:v>0</x:v>
      </x:c>
      <x:c r="FP248">
        <x:f t="shared" si="267"/>
        <x:v>0</x:v>
      </x:c>
      <x:c r="FQ248">
        <x:f t="shared" si="268"/>
        <x:v>0</x:v>
      </x:c>
      <x:c r="FR248">
        <x:f t="shared" si="269"/>
        <x:v>0</x:v>
      </x:c>
      <x:c r="FS248">
        <x:f t="shared" si="270"/>
        <x:v>0</x:v>
      </x:c>
      <x:c r="FT248">
        <x:f t="shared" si="271"/>
        <x:v>0</x:v>
      </x:c>
      <x:c r="FU248">
        <x:f t="shared" si="272"/>
        <x:v>0</x:v>
      </x:c>
      <x:c r="FV248">
        <x:f t="shared" si="273"/>
        <x:v>0</x:v>
      </x:c>
      <x:c r="FW248" s="41">
        <x:f t="shared" si="274"/>
        <x:v>0</x:v>
      </x:c>
      <x:c r="FX248">
        <x:f t="shared" si="275"/>
        <x:v>0</x:v>
      </x:c>
      <x:c r="FY248">
        <x:f t="shared" si="276"/>
        <x:v>0</x:v>
      </x:c>
      <x:c r="FZ248">
        <x:f t="shared" si="277"/>
        <x:v>0</x:v>
      </x:c>
      <x:c r="GA248">
        <x:f t="shared" si="278"/>
        <x:v>0</x:v>
      </x:c>
      <x:c r="GB248">
        <x:f t="shared" si="279"/>
        <x:v>0</x:v>
      </x:c>
      <x:c r="GC248">
        <x:f t="shared" si="280"/>
        <x:v>0</x:v>
      </x:c>
      <x:c r="GD248">
        <x:f t="shared" si="281"/>
        <x:v>0</x:v>
      </x:c>
      <x:c r="GE248">
        <x:f t="shared" si="282"/>
        <x:v>0</x:v>
      </x:c>
      <x:c r="GF248">
        <x:f t="shared" si="283"/>
        <x:v>0</x:v>
      </x:c>
      <x:c r="GG248">
        <x:f t="shared" si="284"/>
        <x:v>0</x:v>
      </x:c>
      <x:c r="GH248">
        <x:f t="shared" si="285"/>
        <x:v>0</x:v>
      </x:c>
      <x:c r="GI248">
        <x:f t="shared" si="286"/>
        <x:v>0</x:v>
      </x:c>
      <x:c r="GJ248">
        <x:f t="shared" si="287"/>
        <x:v>0</x:v>
      </x:c>
      <x:c r="GK248">
        <x:f t="shared" si="288"/>
        <x:v>0</x:v>
      </x:c>
      <x:c r="GL248">
        <x:f t="shared" si="289"/>
        <x:v>0</x:v>
      </x:c>
      <x:c r="GM248">
        <x:f t="shared" si="290"/>
        <x:v>0</x:v>
      </x:c>
      <x:c r="GN248">
        <x:f t="shared" si="291"/>
        <x:v>0</x:v>
      </x:c>
      <x:c r="GO248">
        <x:f t="shared" si="292"/>
        <x:v>0</x:v>
      </x:c>
      <x:c r="GP248">
        <x:f t="shared" si="293"/>
        <x:v>0</x:v>
      </x:c>
      <x:c r="GQ248">
        <x:f t="shared" si="294"/>
        <x:v>0</x:v>
      </x:c>
      <x:c r="GR248" s="42">
        <x:f t="shared" si="295"/>
        <x:v>0</x:v>
      </x:c>
      <x:c r="GS248">
        <x:f t="shared" si="296"/>
        <x:v>0</x:v>
      </x:c>
      <x:c r="GT248">
        <x:f t="shared" si="297"/>
        <x:v>0</x:v>
      </x:c>
      <x:c r="GU248">
        <x:f t="shared" si="298"/>
        <x:v>0</x:v>
      </x:c>
      <x:c r="GV248">
        <x:f t="shared" si="299"/>
        <x:v>0</x:v>
      </x:c>
      <x:c r="GW248">
        <x:f t="shared" si="300"/>
        <x:v>0</x:v>
      </x:c>
      <x:c r="GX248">
        <x:f t="shared" si="301"/>
        <x:v>0</x:v>
      </x:c>
      <x:c r="GY248">
        <x:f t="shared" si="302"/>
        <x:v>0</x:v>
      </x:c>
      <x:c r="GZ248">
        <x:f t="shared" si="303"/>
        <x:v>0</x:v>
      </x:c>
      <x:c r="HA248">
        <x:f t="shared" si="304"/>
        <x:v>0</x:v>
      </x:c>
      <x:c r="HB248" s="42">
        <x:f t="shared" si="305"/>
        <x:v>0</x:v>
      </x:c>
      <x:c r="HC248">
        <x:f t="shared" si="306"/>
        <x:v>0</x:v>
      </x:c>
      <x:c r="HD248">
        <x:f t="shared" si="307"/>
        <x:v>0</x:v>
      </x:c>
      <x:c r="HE248">
        <x:f t="shared" si="308"/>
        <x:v>0</x:v>
      </x:c>
      <x:c r="HF248">
        <x:f t="shared" si="309"/>
        <x:v>0</x:v>
      </x:c>
      <x:c r="HG248">
        <x:f t="shared" si="310"/>
        <x:v>0</x:v>
      </x:c>
      <x:c r="HH248">
        <x:f t="shared" si="311"/>
        <x:v>0</x:v>
      </x:c>
      <x:c r="HI248">
        <x:f t="shared" si="312"/>
        <x:v>0</x:v>
      </x:c>
      <x:c r="HJ248">
        <x:f t="shared" si="313"/>
        <x:v>0</x:v>
      </x:c>
      <x:c r="HK248">
        <x:f t="shared" si="314"/>
        <x:v>0</x:v>
      </x:c>
      <x:c r="HL248">
        <x:f t="shared" si="315"/>
        <x:v>0</x:v>
      </x:c>
    </x:row>
    <x:row r="249">
      <x:c r="D249" s="74"/>
      <x:c r="EQ249">
        <x:f t="shared" si="242"/>
        <x:v>0</x:v>
      </x:c>
      <x:c r="ER249">
        <x:f t="shared" si="243"/>
        <x:v>0</x:v>
      </x:c>
      <x:c r="ES249">
        <x:f t="shared" si="244"/>
        <x:v>0</x:v>
      </x:c>
      <x:c r="ET249">
        <x:f t="shared" si="245"/>
        <x:v>0</x:v>
      </x:c>
      <x:c r="EU249">
        <x:f t="shared" si="246"/>
        <x:v>0</x:v>
      </x:c>
      <x:c r="EV249">
        <x:f t="shared" si="247"/>
        <x:v>0</x:v>
      </x:c>
      <x:c r="EW249">
        <x:f t="shared" si="248"/>
        <x:v>0</x:v>
      </x:c>
      <x:c r="EX249">
        <x:f t="shared" si="249"/>
        <x:v>0</x:v>
      </x:c>
      <x:c r="EY249">
        <x:f t="shared" si="250"/>
        <x:v>0</x:v>
      </x:c>
      <x:c r="EZ249">
        <x:f t="shared" si="251"/>
        <x:v>0</x:v>
      </x:c>
      <x:c r="FA249" s="41">
        <x:f t="shared" si="252"/>
        <x:v>0</x:v>
      </x:c>
      <x:c r="FB249">
        <x:f t="shared" si="253"/>
        <x:v>0</x:v>
      </x:c>
      <x:c r="FC249">
        <x:f t="shared" si="254"/>
        <x:v>0</x:v>
      </x:c>
      <x:c r="FD249">
        <x:f t="shared" si="255"/>
        <x:v>0</x:v>
      </x:c>
      <x:c r="FE249">
        <x:f t="shared" si="256"/>
        <x:v>0</x:v>
      </x:c>
      <x:c r="FF249">
        <x:f t="shared" si="257"/>
        <x:v>0</x:v>
      </x:c>
      <x:c r="FG249">
        <x:f t="shared" si="258"/>
        <x:v>0</x:v>
      </x:c>
      <x:c r="FH249">
        <x:f t="shared" si="259"/>
        <x:v>0</x:v>
      </x:c>
      <x:c r="FI249">
        <x:f t="shared" si="260"/>
        <x:v>0</x:v>
      </x:c>
      <x:c r="FJ249">
        <x:f t="shared" si="261"/>
        <x:v>0</x:v>
      </x:c>
      <x:c r="FK249">
        <x:f t="shared" si="262"/>
        <x:v>0</x:v>
      </x:c>
      <x:c r="FL249" s="41">
        <x:f t="shared" si="263"/>
        <x:v>0</x:v>
      </x:c>
      <x:c r="FM249">
        <x:f t="shared" si="264"/>
        <x:v>0</x:v>
      </x:c>
      <x:c r="FN249">
        <x:f t="shared" si="265"/>
        <x:v>0</x:v>
      </x:c>
      <x:c r="FO249">
        <x:f t="shared" si="266"/>
        <x:v>0</x:v>
      </x:c>
      <x:c r="FP249">
        <x:f t="shared" si="267"/>
        <x:v>0</x:v>
      </x:c>
      <x:c r="FQ249">
        <x:f t="shared" si="268"/>
        <x:v>0</x:v>
      </x:c>
      <x:c r="FR249">
        <x:f t="shared" si="269"/>
        <x:v>0</x:v>
      </x:c>
      <x:c r="FS249">
        <x:f t="shared" si="270"/>
        <x:v>0</x:v>
      </x:c>
      <x:c r="FT249">
        <x:f t="shared" si="271"/>
        <x:v>0</x:v>
      </x:c>
      <x:c r="FU249">
        <x:f t="shared" si="272"/>
        <x:v>0</x:v>
      </x:c>
      <x:c r="FV249">
        <x:f t="shared" si="273"/>
        <x:v>0</x:v>
      </x:c>
      <x:c r="FW249" s="41">
        <x:f t="shared" si="274"/>
        <x:v>0</x:v>
      </x:c>
      <x:c r="FX249">
        <x:f t="shared" si="275"/>
        <x:v>0</x:v>
      </x:c>
      <x:c r="FY249">
        <x:f t="shared" si="276"/>
        <x:v>0</x:v>
      </x:c>
      <x:c r="FZ249">
        <x:f t="shared" si="277"/>
        <x:v>0</x:v>
      </x:c>
      <x:c r="GA249">
        <x:f t="shared" si="278"/>
        <x:v>0</x:v>
      </x:c>
      <x:c r="GB249">
        <x:f t="shared" si="279"/>
        <x:v>0</x:v>
      </x:c>
      <x:c r="GC249">
        <x:f t="shared" si="280"/>
        <x:v>0</x:v>
      </x:c>
      <x:c r="GD249">
        <x:f t="shared" si="281"/>
        <x:v>0</x:v>
      </x:c>
      <x:c r="GE249">
        <x:f t="shared" si="282"/>
        <x:v>0</x:v>
      </x:c>
      <x:c r="GF249">
        <x:f t="shared" si="283"/>
        <x:v>0</x:v>
      </x:c>
      <x:c r="GG249">
        <x:f t="shared" si="284"/>
        <x:v>0</x:v>
      </x:c>
      <x:c r="GH249">
        <x:f t="shared" si="285"/>
        <x:v>0</x:v>
      </x:c>
      <x:c r="GI249">
        <x:f t="shared" si="286"/>
        <x:v>0</x:v>
      </x:c>
      <x:c r="GJ249">
        <x:f t="shared" si="287"/>
        <x:v>0</x:v>
      </x:c>
      <x:c r="GK249">
        <x:f t="shared" si="288"/>
        <x:v>0</x:v>
      </x:c>
      <x:c r="GL249">
        <x:f t="shared" si="289"/>
        <x:v>0</x:v>
      </x:c>
      <x:c r="GM249">
        <x:f t="shared" si="290"/>
        <x:v>0</x:v>
      </x:c>
      <x:c r="GN249">
        <x:f t="shared" si="291"/>
        <x:v>0</x:v>
      </x:c>
      <x:c r="GO249">
        <x:f t="shared" si="292"/>
        <x:v>0</x:v>
      </x:c>
      <x:c r="GP249">
        <x:f t="shared" si="293"/>
        <x:v>0</x:v>
      </x:c>
      <x:c r="GQ249">
        <x:f t="shared" si="294"/>
        <x:v>0</x:v>
      </x:c>
      <x:c r="GR249" s="42">
        <x:f t="shared" si="295"/>
        <x:v>0</x:v>
      </x:c>
      <x:c r="GS249">
        <x:f t="shared" si="296"/>
        <x:v>0</x:v>
      </x:c>
      <x:c r="GT249">
        <x:f t="shared" si="297"/>
        <x:v>0</x:v>
      </x:c>
      <x:c r="GU249">
        <x:f t="shared" si="298"/>
        <x:v>0</x:v>
      </x:c>
      <x:c r="GV249">
        <x:f t="shared" si="299"/>
        <x:v>0</x:v>
      </x:c>
      <x:c r="GW249">
        <x:f t="shared" si="300"/>
        <x:v>0</x:v>
      </x:c>
      <x:c r="GX249">
        <x:f t="shared" si="301"/>
        <x:v>0</x:v>
      </x:c>
      <x:c r="GY249">
        <x:f t="shared" si="302"/>
        <x:v>0</x:v>
      </x:c>
      <x:c r="GZ249">
        <x:f t="shared" si="303"/>
        <x:v>0</x:v>
      </x:c>
      <x:c r="HA249">
        <x:f t="shared" si="304"/>
        <x:v>0</x:v>
      </x:c>
      <x:c r="HB249" s="42">
        <x:f t="shared" si="305"/>
        <x:v>0</x:v>
      </x:c>
      <x:c r="HC249">
        <x:f t="shared" si="306"/>
        <x:v>0</x:v>
      </x:c>
      <x:c r="HD249">
        <x:f t="shared" si="307"/>
        <x:v>0</x:v>
      </x:c>
      <x:c r="HE249">
        <x:f t="shared" si="308"/>
        <x:v>0</x:v>
      </x:c>
      <x:c r="HF249">
        <x:f t="shared" si="309"/>
        <x:v>0</x:v>
      </x:c>
      <x:c r="HG249">
        <x:f t="shared" si="310"/>
        <x:v>0</x:v>
      </x:c>
      <x:c r="HH249">
        <x:f t="shared" si="311"/>
        <x:v>0</x:v>
      </x:c>
      <x:c r="HI249">
        <x:f t="shared" si="312"/>
        <x:v>0</x:v>
      </x:c>
      <x:c r="HJ249">
        <x:f t="shared" si="313"/>
        <x:v>0</x:v>
      </x:c>
      <x:c r="HK249">
        <x:f t="shared" si="314"/>
        <x:v>0</x:v>
      </x:c>
      <x:c r="HL249">
        <x:f t="shared" si="315"/>
        <x:v>0</x:v>
      </x:c>
    </x:row>
    <x:row r="250">
      <x:c r="D250" s="74"/>
      <x:c r="EQ250">
        <x:f t="shared" si="242"/>
        <x:v>0</x:v>
      </x:c>
      <x:c r="ER250">
        <x:f t="shared" si="243"/>
        <x:v>0</x:v>
      </x:c>
      <x:c r="ES250">
        <x:f t="shared" si="244"/>
        <x:v>0</x:v>
      </x:c>
      <x:c r="ET250">
        <x:f t="shared" si="245"/>
        <x:v>0</x:v>
      </x:c>
      <x:c r="EU250">
        <x:f t="shared" si="246"/>
        <x:v>0</x:v>
      </x:c>
      <x:c r="EV250">
        <x:f t="shared" si="247"/>
        <x:v>0</x:v>
      </x:c>
      <x:c r="EW250">
        <x:f t="shared" si="248"/>
        <x:v>0</x:v>
      </x:c>
      <x:c r="EX250">
        <x:f t="shared" si="249"/>
        <x:v>0</x:v>
      </x:c>
      <x:c r="EY250">
        <x:f t="shared" si="250"/>
        <x:v>0</x:v>
      </x:c>
      <x:c r="EZ250">
        <x:f t="shared" si="251"/>
        <x:v>0</x:v>
      </x:c>
      <x:c r="FA250" s="41">
        <x:f t="shared" si="252"/>
        <x:v>0</x:v>
      </x:c>
      <x:c r="FB250">
        <x:f t="shared" si="253"/>
        <x:v>0</x:v>
      </x:c>
      <x:c r="FC250">
        <x:f t="shared" si="254"/>
        <x:v>0</x:v>
      </x:c>
      <x:c r="FD250">
        <x:f t="shared" si="255"/>
        <x:v>0</x:v>
      </x:c>
      <x:c r="FE250">
        <x:f t="shared" si="256"/>
        <x:v>0</x:v>
      </x:c>
      <x:c r="FF250">
        <x:f t="shared" si="257"/>
        <x:v>0</x:v>
      </x:c>
      <x:c r="FG250">
        <x:f t="shared" si="258"/>
        <x:v>0</x:v>
      </x:c>
      <x:c r="FH250">
        <x:f t="shared" si="259"/>
        <x:v>0</x:v>
      </x:c>
      <x:c r="FI250">
        <x:f t="shared" si="260"/>
        <x:v>0</x:v>
      </x:c>
      <x:c r="FJ250">
        <x:f t="shared" si="261"/>
        <x:v>0</x:v>
      </x:c>
      <x:c r="FK250">
        <x:f t="shared" si="262"/>
        <x:v>0</x:v>
      </x:c>
      <x:c r="FL250" s="41">
        <x:f t="shared" si="263"/>
        <x:v>0</x:v>
      </x:c>
      <x:c r="FM250">
        <x:f t="shared" si="264"/>
        <x:v>0</x:v>
      </x:c>
      <x:c r="FN250">
        <x:f t="shared" si="265"/>
        <x:v>0</x:v>
      </x:c>
      <x:c r="FO250">
        <x:f t="shared" si="266"/>
        <x:v>0</x:v>
      </x:c>
      <x:c r="FP250">
        <x:f t="shared" si="267"/>
        <x:v>0</x:v>
      </x:c>
      <x:c r="FQ250">
        <x:f t="shared" si="268"/>
        <x:v>0</x:v>
      </x:c>
      <x:c r="FR250">
        <x:f t="shared" si="269"/>
        <x:v>0</x:v>
      </x:c>
      <x:c r="FS250">
        <x:f t="shared" si="270"/>
        <x:v>0</x:v>
      </x:c>
      <x:c r="FT250">
        <x:f t="shared" si="271"/>
        <x:v>0</x:v>
      </x:c>
      <x:c r="FU250">
        <x:f t="shared" si="272"/>
        <x:v>0</x:v>
      </x:c>
      <x:c r="FV250">
        <x:f t="shared" si="273"/>
        <x:v>0</x:v>
      </x:c>
      <x:c r="FW250" s="41">
        <x:f t="shared" si="274"/>
        <x:v>0</x:v>
      </x:c>
      <x:c r="FX250">
        <x:f t="shared" si="275"/>
        <x:v>0</x:v>
      </x:c>
      <x:c r="FY250">
        <x:f t="shared" si="276"/>
        <x:v>0</x:v>
      </x:c>
      <x:c r="FZ250">
        <x:f t="shared" si="277"/>
        <x:v>0</x:v>
      </x:c>
      <x:c r="GA250">
        <x:f t="shared" si="278"/>
        <x:v>0</x:v>
      </x:c>
      <x:c r="GB250">
        <x:f t="shared" si="279"/>
        <x:v>0</x:v>
      </x:c>
      <x:c r="GC250">
        <x:f t="shared" si="280"/>
        <x:v>0</x:v>
      </x:c>
      <x:c r="GD250">
        <x:f t="shared" si="281"/>
        <x:v>0</x:v>
      </x:c>
      <x:c r="GE250">
        <x:f t="shared" si="282"/>
        <x:v>0</x:v>
      </x:c>
      <x:c r="GF250">
        <x:f t="shared" si="283"/>
        <x:v>0</x:v>
      </x:c>
      <x:c r="GG250">
        <x:f t="shared" si="284"/>
        <x:v>0</x:v>
      </x:c>
      <x:c r="GH250">
        <x:f t="shared" si="285"/>
        <x:v>0</x:v>
      </x:c>
      <x:c r="GI250">
        <x:f t="shared" si="286"/>
        <x:v>0</x:v>
      </x:c>
      <x:c r="GJ250">
        <x:f t="shared" si="287"/>
        <x:v>0</x:v>
      </x:c>
      <x:c r="GK250">
        <x:f t="shared" si="288"/>
        <x:v>0</x:v>
      </x:c>
      <x:c r="GL250">
        <x:f t="shared" si="289"/>
        <x:v>0</x:v>
      </x:c>
      <x:c r="GM250">
        <x:f t="shared" si="290"/>
        <x:v>0</x:v>
      </x:c>
      <x:c r="GN250">
        <x:f t="shared" si="291"/>
        <x:v>0</x:v>
      </x:c>
      <x:c r="GO250">
        <x:f t="shared" si="292"/>
        <x:v>0</x:v>
      </x:c>
      <x:c r="GP250">
        <x:f t="shared" si="293"/>
        <x:v>0</x:v>
      </x:c>
      <x:c r="GQ250">
        <x:f t="shared" si="294"/>
        <x:v>0</x:v>
      </x:c>
      <x:c r="GR250" s="42">
        <x:f t="shared" si="295"/>
        <x:v>0</x:v>
      </x:c>
      <x:c r="GS250">
        <x:f t="shared" si="296"/>
        <x:v>0</x:v>
      </x:c>
      <x:c r="GT250">
        <x:f t="shared" si="297"/>
        <x:v>0</x:v>
      </x:c>
      <x:c r="GU250">
        <x:f t="shared" si="298"/>
        <x:v>0</x:v>
      </x:c>
      <x:c r="GV250">
        <x:f t="shared" si="299"/>
        <x:v>0</x:v>
      </x:c>
      <x:c r="GW250">
        <x:f t="shared" si="300"/>
        <x:v>0</x:v>
      </x:c>
      <x:c r="GX250">
        <x:f t="shared" si="301"/>
        <x:v>0</x:v>
      </x:c>
      <x:c r="GY250">
        <x:f t="shared" si="302"/>
        <x:v>0</x:v>
      </x:c>
      <x:c r="GZ250">
        <x:f t="shared" si="303"/>
        <x:v>0</x:v>
      </x:c>
      <x:c r="HA250">
        <x:f t="shared" si="304"/>
        <x:v>0</x:v>
      </x:c>
      <x:c r="HB250" s="42">
        <x:f t="shared" si="305"/>
        <x:v>0</x:v>
      </x:c>
      <x:c r="HC250">
        <x:f t="shared" si="306"/>
        <x:v>0</x:v>
      </x:c>
      <x:c r="HD250">
        <x:f t="shared" si="307"/>
        <x:v>0</x:v>
      </x:c>
      <x:c r="HE250">
        <x:f t="shared" si="308"/>
        <x:v>0</x:v>
      </x:c>
      <x:c r="HF250">
        <x:f t="shared" si="309"/>
        <x:v>0</x:v>
      </x:c>
      <x:c r="HG250">
        <x:f t="shared" si="310"/>
        <x:v>0</x:v>
      </x:c>
      <x:c r="HH250">
        <x:f t="shared" si="311"/>
        <x:v>0</x:v>
      </x:c>
      <x:c r="HI250">
        <x:f t="shared" si="312"/>
        <x:v>0</x:v>
      </x:c>
      <x:c r="HJ250">
        <x:f t="shared" si="313"/>
        <x:v>0</x:v>
      </x:c>
      <x:c r="HK250">
        <x:f t="shared" si="314"/>
        <x:v>0</x:v>
      </x:c>
      <x:c r="HL250">
        <x:f t="shared" si="315"/>
        <x:v>0</x:v>
      </x:c>
    </x:row>
    <x:row r="251">
      <x:c r="D251" s="74"/>
      <x:c r="EQ251">
        <x:f t="shared" si="242"/>
        <x:v>0</x:v>
      </x:c>
      <x:c r="ER251">
        <x:f t="shared" si="243"/>
        <x:v>0</x:v>
      </x:c>
      <x:c r="ES251">
        <x:f t="shared" si="244"/>
        <x:v>0</x:v>
      </x:c>
      <x:c r="ET251">
        <x:f t="shared" si="245"/>
        <x:v>0</x:v>
      </x:c>
      <x:c r="EU251">
        <x:f t="shared" si="246"/>
        <x:v>0</x:v>
      </x:c>
      <x:c r="EV251">
        <x:f t="shared" si="247"/>
        <x:v>0</x:v>
      </x:c>
      <x:c r="EW251">
        <x:f t="shared" si="248"/>
        <x:v>0</x:v>
      </x:c>
      <x:c r="EX251">
        <x:f t="shared" si="249"/>
        <x:v>0</x:v>
      </x:c>
      <x:c r="EY251">
        <x:f t="shared" si="250"/>
        <x:v>0</x:v>
      </x:c>
      <x:c r="EZ251">
        <x:f t="shared" si="251"/>
        <x:v>0</x:v>
      </x:c>
      <x:c r="FA251" s="41">
        <x:f t="shared" si="252"/>
        <x:v>0</x:v>
      </x:c>
      <x:c r="FB251">
        <x:f t="shared" si="253"/>
        <x:v>0</x:v>
      </x:c>
      <x:c r="FC251">
        <x:f t="shared" si="254"/>
        <x:v>0</x:v>
      </x:c>
      <x:c r="FD251">
        <x:f t="shared" si="255"/>
        <x:v>0</x:v>
      </x:c>
      <x:c r="FE251">
        <x:f t="shared" si="256"/>
        <x:v>0</x:v>
      </x:c>
      <x:c r="FF251">
        <x:f t="shared" si="257"/>
        <x:v>0</x:v>
      </x:c>
      <x:c r="FG251">
        <x:f t="shared" si="258"/>
        <x:v>0</x:v>
      </x:c>
      <x:c r="FH251">
        <x:f t="shared" si="259"/>
        <x:v>0</x:v>
      </x:c>
      <x:c r="FI251">
        <x:f t="shared" si="260"/>
        <x:v>0</x:v>
      </x:c>
      <x:c r="FJ251">
        <x:f t="shared" si="261"/>
        <x:v>0</x:v>
      </x:c>
      <x:c r="FK251">
        <x:f t="shared" si="262"/>
        <x:v>0</x:v>
      </x:c>
      <x:c r="FL251" s="41">
        <x:f t="shared" si="263"/>
        <x:v>0</x:v>
      </x:c>
      <x:c r="FM251">
        <x:f t="shared" si="264"/>
        <x:v>0</x:v>
      </x:c>
      <x:c r="FN251">
        <x:f t="shared" si="265"/>
        <x:v>0</x:v>
      </x:c>
      <x:c r="FO251">
        <x:f t="shared" si="266"/>
        <x:v>0</x:v>
      </x:c>
      <x:c r="FP251">
        <x:f t="shared" si="267"/>
        <x:v>0</x:v>
      </x:c>
      <x:c r="FQ251">
        <x:f t="shared" si="268"/>
        <x:v>0</x:v>
      </x:c>
      <x:c r="FR251">
        <x:f t="shared" si="269"/>
        <x:v>0</x:v>
      </x:c>
      <x:c r="FS251">
        <x:f t="shared" si="270"/>
        <x:v>0</x:v>
      </x:c>
      <x:c r="FT251">
        <x:f t="shared" si="271"/>
        <x:v>0</x:v>
      </x:c>
      <x:c r="FU251">
        <x:f t="shared" si="272"/>
        <x:v>0</x:v>
      </x:c>
      <x:c r="FV251">
        <x:f t="shared" si="273"/>
        <x:v>0</x:v>
      </x:c>
      <x:c r="FW251" s="41">
        <x:f t="shared" si="274"/>
        <x:v>0</x:v>
      </x:c>
      <x:c r="FX251">
        <x:f t="shared" si="275"/>
        <x:v>0</x:v>
      </x:c>
      <x:c r="FY251">
        <x:f t="shared" si="276"/>
        <x:v>0</x:v>
      </x:c>
      <x:c r="FZ251">
        <x:f t="shared" si="277"/>
        <x:v>0</x:v>
      </x:c>
      <x:c r="GA251">
        <x:f t="shared" si="278"/>
        <x:v>0</x:v>
      </x:c>
      <x:c r="GB251">
        <x:f t="shared" si="279"/>
        <x:v>0</x:v>
      </x:c>
      <x:c r="GC251">
        <x:f t="shared" si="280"/>
        <x:v>0</x:v>
      </x:c>
      <x:c r="GD251">
        <x:f t="shared" si="281"/>
        <x:v>0</x:v>
      </x:c>
      <x:c r="GE251">
        <x:f t="shared" si="282"/>
        <x:v>0</x:v>
      </x:c>
      <x:c r="GF251">
        <x:f t="shared" si="283"/>
        <x:v>0</x:v>
      </x:c>
      <x:c r="GG251">
        <x:f t="shared" si="284"/>
        <x:v>0</x:v>
      </x:c>
      <x:c r="GH251">
        <x:f t="shared" si="285"/>
        <x:v>0</x:v>
      </x:c>
      <x:c r="GI251">
        <x:f t="shared" si="286"/>
        <x:v>0</x:v>
      </x:c>
      <x:c r="GJ251">
        <x:f t="shared" si="287"/>
        <x:v>0</x:v>
      </x:c>
      <x:c r="GK251">
        <x:f t="shared" si="288"/>
        <x:v>0</x:v>
      </x:c>
      <x:c r="GL251">
        <x:f t="shared" si="289"/>
        <x:v>0</x:v>
      </x:c>
      <x:c r="GM251">
        <x:f t="shared" si="290"/>
        <x:v>0</x:v>
      </x:c>
      <x:c r="GN251">
        <x:f t="shared" si="291"/>
        <x:v>0</x:v>
      </x:c>
      <x:c r="GO251">
        <x:f t="shared" si="292"/>
        <x:v>0</x:v>
      </x:c>
      <x:c r="GP251">
        <x:f t="shared" si="293"/>
        <x:v>0</x:v>
      </x:c>
      <x:c r="GQ251">
        <x:f t="shared" si="294"/>
        <x:v>0</x:v>
      </x:c>
      <x:c r="GR251" s="42">
        <x:f t="shared" si="295"/>
        <x:v>0</x:v>
      </x:c>
      <x:c r="GS251">
        <x:f t="shared" si="296"/>
        <x:v>0</x:v>
      </x:c>
      <x:c r="GT251">
        <x:f t="shared" si="297"/>
        <x:v>0</x:v>
      </x:c>
      <x:c r="GU251">
        <x:f t="shared" si="298"/>
        <x:v>0</x:v>
      </x:c>
      <x:c r="GV251">
        <x:f t="shared" si="299"/>
        <x:v>0</x:v>
      </x:c>
      <x:c r="GW251">
        <x:f t="shared" si="300"/>
        <x:v>0</x:v>
      </x:c>
      <x:c r="GX251">
        <x:f t="shared" si="301"/>
        <x:v>0</x:v>
      </x:c>
      <x:c r="GY251">
        <x:f t="shared" si="302"/>
        <x:v>0</x:v>
      </x:c>
      <x:c r="GZ251">
        <x:f t="shared" si="303"/>
        <x:v>0</x:v>
      </x:c>
      <x:c r="HA251">
        <x:f t="shared" si="304"/>
        <x:v>0</x:v>
      </x:c>
      <x:c r="HB251" s="42">
        <x:f t="shared" si="305"/>
        <x:v>0</x:v>
      </x:c>
      <x:c r="HC251">
        <x:f t="shared" si="306"/>
        <x:v>0</x:v>
      </x:c>
      <x:c r="HD251">
        <x:f t="shared" si="307"/>
        <x:v>0</x:v>
      </x:c>
      <x:c r="HE251">
        <x:f t="shared" si="308"/>
        <x:v>0</x:v>
      </x:c>
      <x:c r="HF251">
        <x:f t="shared" si="309"/>
        <x:v>0</x:v>
      </x:c>
      <x:c r="HG251">
        <x:f t="shared" si="310"/>
        <x:v>0</x:v>
      </x:c>
      <x:c r="HH251">
        <x:f t="shared" si="311"/>
        <x:v>0</x:v>
      </x:c>
      <x:c r="HI251">
        <x:f t="shared" si="312"/>
        <x:v>0</x:v>
      </x:c>
      <x:c r="HJ251">
        <x:f t="shared" si="313"/>
        <x:v>0</x:v>
      </x:c>
      <x:c r="HK251">
        <x:f t="shared" si="314"/>
        <x:v>0</x:v>
      </x:c>
      <x:c r="HL251">
        <x:f t="shared" si="315"/>
        <x:v>0</x:v>
      </x:c>
    </x:row>
    <x:row r="252">
      <x:c r="D252" s="74"/>
      <x:c r="EQ252">
        <x:f t="shared" si="242"/>
        <x:v>0</x:v>
      </x:c>
      <x:c r="ER252">
        <x:f t="shared" si="243"/>
        <x:v>0</x:v>
      </x:c>
      <x:c r="ES252">
        <x:f t="shared" si="244"/>
        <x:v>0</x:v>
      </x:c>
      <x:c r="ET252">
        <x:f t="shared" si="245"/>
        <x:v>0</x:v>
      </x:c>
      <x:c r="EU252">
        <x:f t="shared" si="246"/>
        <x:v>0</x:v>
      </x:c>
      <x:c r="EV252">
        <x:f t="shared" si="247"/>
        <x:v>0</x:v>
      </x:c>
      <x:c r="EW252">
        <x:f t="shared" si="248"/>
        <x:v>0</x:v>
      </x:c>
      <x:c r="EX252">
        <x:f t="shared" si="249"/>
        <x:v>0</x:v>
      </x:c>
      <x:c r="EY252">
        <x:f t="shared" si="250"/>
        <x:v>0</x:v>
      </x:c>
      <x:c r="EZ252">
        <x:f t="shared" si="251"/>
        <x:v>0</x:v>
      </x:c>
      <x:c r="FA252" s="41">
        <x:f t="shared" si="252"/>
        <x:v>0</x:v>
      </x:c>
      <x:c r="FB252">
        <x:f t="shared" si="253"/>
        <x:v>0</x:v>
      </x:c>
      <x:c r="FC252">
        <x:f t="shared" si="254"/>
        <x:v>0</x:v>
      </x:c>
      <x:c r="FD252">
        <x:f t="shared" si="255"/>
        <x:v>0</x:v>
      </x:c>
      <x:c r="FE252">
        <x:f t="shared" si="256"/>
        <x:v>0</x:v>
      </x:c>
      <x:c r="FF252">
        <x:f t="shared" si="257"/>
        <x:v>0</x:v>
      </x:c>
      <x:c r="FG252">
        <x:f t="shared" si="258"/>
        <x:v>0</x:v>
      </x:c>
      <x:c r="FH252">
        <x:f t="shared" si="259"/>
        <x:v>0</x:v>
      </x:c>
      <x:c r="FI252">
        <x:f t="shared" si="260"/>
        <x:v>0</x:v>
      </x:c>
      <x:c r="FJ252">
        <x:f t="shared" si="261"/>
        <x:v>0</x:v>
      </x:c>
      <x:c r="FK252">
        <x:f t="shared" si="262"/>
        <x:v>0</x:v>
      </x:c>
      <x:c r="FL252" s="41">
        <x:f t="shared" si="263"/>
        <x:v>0</x:v>
      </x:c>
      <x:c r="FM252">
        <x:f t="shared" si="264"/>
        <x:v>0</x:v>
      </x:c>
      <x:c r="FN252">
        <x:f t="shared" si="265"/>
        <x:v>0</x:v>
      </x:c>
      <x:c r="FO252">
        <x:f t="shared" si="266"/>
        <x:v>0</x:v>
      </x:c>
      <x:c r="FP252">
        <x:f t="shared" si="267"/>
        <x:v>0</x:v>
      </x:c>
      <x:c r="FQ252">
        <x:f t="shared" si="268"/>
        <x:v>0</x:v>
      </x:c>
      <x:c r="FR252">
        <x:f t="shared" si="269"/>
        <x:v>0</x:v>
      </x:c>
      <x:c r="FS252">
        <x:f t="shared" si="270"/>
        <x:v>0</x:v>
      </x:c>
      <x:c r="FT252">
        <x:f t="shared" si="271"/>
        <x:v>0</x:v>
      </x:c>
      <x:c r="FU252">
        <x:f t="shared" si="272"/>
        <x:v>0</x:v>
      </x:c>
      <x:c r="FV252">
        <x:f t="shared" si="273"/>
        <x:v>0</x:v>
      </x:c>
      <x:c r="FW252" s="41">
        <x:f t="shared" si="274"/>
        <x:v>0</x:v>
      </x:c>
      <x:c r="FX252">
        <x:f t="shared" si="275"/>
        <x:v>0</x:v>
      </x:c>
      <x:c r="FY252">
        <x:f t="shared" si="276"/>
        <x:v>0</x:v>
      </x:c>
      <x:c r="FZ252">
        <x:f t="shared" si="277"/>
        <x:v>0</x:v>
      </x:c>
      <x:c r="GA252">
        <x:f t="shared" si="278"/>
        <x:v>0</x:v>
      </x:c>
      <x:c r="GB252">
        <x:f t="shared" si="279"/>
        <x:v>0</x:v>
      </x:c>
      <x:c r="GC252">
        <x:f t="shared" si="280"/>
        <x:v>0</x:v>
      </x:c>
      <x:c r="GD252">
        <x:f t="shared" si="281"/>
        <x:v>0</x:v>
      </x:c>
      <x:c r="GE252">
        <x:f t="shared" si="282"/>
        <x:v>0</x:v>
      </x:c>
      <x:c r="GF252">
        <x:f t="shared" si="283"/>
        <x:v>0</x:v>
      </x:c>
      <x:c r="GG252">
        <x:f t="shared" si="284"/>
        <x:v>0</x:v>
      </x:c>
      <x:c r="GH252">
        <x:f t="shared" si="285"/>
        <x:v>0</x:v>
      </x:c>
      <x:c r="GI252">
        <x:f t="shared" si="286"/>
        <x:v>0</x:v>
      </x:c>
      <x:c r="GJ252">
        <x:f t="shared" si="287"/>
        <x:v>0</x:v>
      </x:c>
      <x:c r="GK252">
        <x:f t="shared" si="288"/>
        <x:v>0</x:v>
      </x:c>
      <x:c r="GL252">
        <x:f t="shared" si="289"/>
        <x:v>0</x:v>
      </x:c>
      <x:c r="GM252">
        <x:f t="shared" si="290"/>
        <x:v>0</x:v>
      </x:c>
      <x:c r="GN252">
        <x:f t="shared" si="291"/>
        <x:v>0</x:v>
      </x:c>
      <x:c r="GO252">
        <x:f t="shared" si="292"/>
        <x:v>0</x:v>
      </x:c>
      <x:c r="GP252">
        <x:f t="shared" si="293"/>
        <x:v>0</x:v>
      </x:c>
      <x:c r="GQ252">
        <x:f t="shared" si="294"/>
        <x:v>0</x:v>
      </x:c>
      <x:c r="GR252" s="42">
        <x:f t="shared" si="295"/>
        <x:v>0</x:v>
      </x:c>
      <x:c r="GS252">
        <x:f t="shared" si="296"/>
        <x:v>0</x:v>
      </x:c>
      <x:c r="GT252">
        <x:f t="shared" si="297"/>
        <x:v>0</x:v>
      </x:c>
      <x:c r="GU252">
        <x:f t="shared" si="298"/>
        <x:v>0</x:v>
      </x:c>
      <x:c r="GV252">
        <x:f t="shared" si="299"/>
        <x:v>0</x:v>
      </x:c>
      <x:c r="GW252">
        <x:f t="shared" si="300"/>
        <x:v>0</x:v>
      </x:c>
      <x:c r="GX252">
        <x:f t="shared" si="301"/>
        <x:v>0</x:v>
      </x:c>
      <x:c r="GY252">
        <x:f t="shared" si="302"/>
        <x:v>0</x:v>
      </x:c>
      <x:c r="GZ252">
        <x:f t="shared" si="303"/>
        <x:v>0</x:v>
      </x:c>
      <x:c r="HA252">
        <x:f t="shared" si="304"/>
        <x:v>0</x:v>
      </x:c>
      <x:c r="HB252" s="42">
        <x:f t="shared" si="305"/>
        <x:v>0</x:v>
      </x:c>
      <x:c r="HC252">
        <x:f t="shared" si="306"/>
        <x:v>0</x:v>
      </x:c>
      <x:c r="HD252">
        <x:f t="shared" si="307"/>
        <x:v>0</x:v>
      </x:c>
      <x:c r="HE252">
        <x:f t="shared" si="308"/>
        <x:v>0</x:v>
      </x:c>
      <x:c r="HF252">
        <x:f t="shared" si="309"/>
        <x:v>0</x:v>
      </x:c>
      <x:c r="HG252">
        <x:f t="shared" si="310"/>
        <x:v>0</x:v>
      </x:c>
      <x:c r="HH252">
        <x:f t="shared" si="311"/>
        <x:v>0</x:v>
      </x:c>
      <x:c r="HI252">
        <x:f t="shared" si="312"/>
        <x:v>0</x:v>
      </x:c>
      <x:c r="HJ252">
        <x:f t="shared" si="313"/>
        <x:v>0</x:v>
      </x:c>
      <x:c r="HK252">
        <x:f t="shared" si="314"/>
        <x:v>0</x:v>
      </x:c>
      <x:c r="HL252">
        <x:f t="shared" si="315"/>
        <x:v>0</x:v>
      </x:c>
    </x:row>
    <x:row r="253">
      <x:c r="D253" s="74"/>
      <x:c r="EQ253">
        <x:f t="shared" si="242"/>
        <x:v>0</x:v>
      </x:c>
      <x:c r="ER253">
        <x:f t="shared" si="243"/>
        <x:v>0</x:v>
      </x:c>
      <x:c r="ES253">
        <x:f t="shared" si="244"/>
        <x:v>0</x:v>
      </x:c>
      <x:c r="ET253">
        <x:f t="shared" si="245"/>
        <x:v>0</x:v>
      </x:c>
      <x:c r="EU253">
        <x:f t="shared" si="246"/>
        <x:v>0</x:v>
      </x:c>
      <x:c r="EV253">
        <x:f t="shared" si="247"/>
        <x:v>0</x:v>
      </x:c>
      <x:c r="EW253">
        <x:f t="shared" si="248"/>
        <x:v>0</x:v>
      </x:c>
      <x:c r="EX253">
        <x:f t="shared" si="249"/>
        <x:v>0</x:v>
      </x:c>
      <x:c r="EY253">
        <x:f t="shared" si="250"/>
        <x:v>0</x:v>
      </x:c>
      <x:c r="EZ253">
        <x:f t="shared" si="251"/>
        <x:v>0</x:v>
      </x:c>
      <x:c r="FA253" s="41">
        <x:f t="shared" si="252"/>
        <x:v>0</x:v>
      </x:c>
      <x:c r="FB253">
        <x:f t="shared" si="253"/>
        <x:v>0</x:v>
      </x:c>
      <x:c r="FC253">
        <x:f t="shared" si="254"/>
        <x:v>0</x:v>
      </x:c>
      <x:c r="FD253">
        <x:f t="shared" si="255"/>
        <x:v>0</x:v>
      </x:c>
      <x:c r="FE253">
        <x:f t="shared" si="256"/>
        <x:v>0</x:v>
      </x:c>
      <x:c r="FF253">
        <x:f t="shared" si="257"/>
        <x:v>0</x:v>
      </x:c>
      <x:c r="FG253">
        <x:f t="shared" si="258"/>
        <x:v>0</x:v>
      </x:c>
      <x:c r="FH253">
        <x:f t="shared" si="259"/>
        <x:v>0</x:v>
      </x:c>
      <x:c r="FI253">
        <x:f t="shared" si="260"/>
        <x:v>0</x:v>
      </x:c>
      <x:c r="FJ253">
        <x:f t="shared" si="261"/>
        <x:v>0</x:v>
      </x:c>
      <x:c r="FK253">
        <x:f t="shared" si="262"/>
        <x:v>0</x:v>
      </x:c>
      <x:c r="FL253" s="41">
        <x:f t="shared" si="263"/>
        <x:v>0</x:v>
      </x:c>
      <x:c r="FM253">
        <x:f t="shared" si="264"/>
        <x:v>0</x:v>
      </x:c>
      <x:c r="FN253">
        <x:f t="shared" si="265"/>
        <x:v>0</x:v>
      </x:c>
      <x:c r="FO253">
        <x:f t="shared" si="266"/>
        <x:v>0</x:v>
      </x:c>
      <x:c r="FP253">
        <x:f t="shared" si="267"/>
        <x:v>0</x:v>
      </x:c>
      <x:c r="FQ253">
        <x:f t="shared" si="268"/>
        <x:v>0</x:v>
      </x:c>
      <x:c r="FR253">
        <x:f t="shared" si="269"/>
        <x:v>0</x:v>
      </x:c>
      <x:c r="FS253">
        <x:f t="shared" si="270"/>
        <x:v>0</x:v>
      </x:c>
      <x:c r="FT253">
        <x:f t="shared" si="271"/>
        <x:v>0</x:v>
      </x:c>
      <x:c r="FU253">
        <x:f t="shared" si="272"/>
        <x:v>0</x:v>
      </x:c>
      <x:c r="FV253">
        <x:f t="shared" si="273"/>
        <x:v>0</x:v>
      </x:c>
      <x:c r="FW253" s="41">
        <x:f t="shared" si="274"/>
        <x:v>0</x:v>
      </x:c>
      <x:c r="FX253">
        <x:f t="shared" si="275"/>
        <x:v>0</x:v>
      </x:c>
      <x:c r="FY253">
        <x:f t="shared" si="276"/>
        <x:v>0</x:v>
      </x:c>
      <x:c r="FZ253">
        <x:f t="shared" si="277"/>
        <x:v>0</x:v>
      </x:c>
      <x:c r="GA253">
        <x:f t="shared" si="278"/>
        <x:v>0</x:v>
      </x:c>
      <x:c r="GB253">
        <x:f t="shared" si="279"/>
        <x:v>0</x:v>
      </x:c>
      <x:c r="GC253">
        <x:f t="shared" si="280"/>
        <x:v>0</x:v>
      </x:c>
      <x:c r="GD253">
        <x:f t="shared" si="281"/>
        <x:v>0</x:v>
      </x:c>
      <x:c r="GE253">
        <x:f t="shared" si="282"/>
        <x:v>0</x:v>
      </x:c>
      <x:c r="GF253">
        <x:f t="shared" si="283"/>
        <x:v>0</x:v>
      </x:c>
      <x:c r="GG253">
        <x:f t="shared" si="284"/>
        <x:v>0</x:v>
      </x:c>
      <x:c r="GH253">
        <x:f t="shared" si="285"/>
        <x:v>0</x:v>
      </x:c>
      <x:c r="GI253">
        <x:f t="shared" si="286"/>
        <x:v>0</x:v>
      </x:c>
      <x:c r="GJ253">
        <x:f t="shared" si="287"/>
        <x:v>0</x:v>
      </x:c>
      <x:c r="GK253">
        <x:f t="shared" si="288"/>
        <x:v>0</x:v>
      </x:c>
      <x:c r="GL253">
        <x:f t="shared" si="289"/>
        <x:v>0</x:v>
      </x:c>
      <x:c r="GM253">
        <x:f t="shared" si="290"/>
        <x:v>0</x:v>
      </x:c>
      <x:c r="GN253">
        <x:f t="shared" si="291"/>
        <x:v>0</x:v>
      </x:c>
      <x:c r="GO253">
        <x:f t="shared" si="292"/>
        <x:v>0</x:v>
      </x:c>
      <x:c r="GP253">
        <x:f t="shared" si="293"/>
        <x:v>0</x:v>
      </x:c>
      <x:c r="GQ253">
        <x:f t="shared" si="294"/>
        <x:v>0</x:v>
      </x:c>
      <x:c r="GR253" s="42">
        <x:f t="shared" si="295"/>
        <x:v>0</x:v>
      </x:c>
      <x:c r="GS253">
        <x:f t="shared" si="296"/>
        <x:v>0</x:v>
      </x:c>
      <x:c r="GT253">
        <x:f t="shared" si="297"/>
        <x:v>0</x:v>
      </x:c>
      <x:c r="GU253">
        <x:f t="shared" si="298"/>
        <x:v>0</x:v>
      </x:c>
      <x:c r="GV253">
        <x:f t="shared" si="299"/>
        <x:v>0</x:v>
      </x:c>
      <x:c r="GW253">
        <x:f t="shared" si="300"/>
        <x:v>0</x:v>
      </x:c>
      <x:c r="GX253">
        <x:f t="shared" si="301"/>
        <x:v>0</x:v>
      </x:c>
      <x:c r="GY253">
        <x:f t="shared" si="302"/>
        <x:v>0</x:v>
      </x:c>
      <x:c r="GZ253">
        <x:f t="shared" si="303"/>
        <x:v>0</x:v>
      </x:c>
      <x:c r="HA253">
        <x:f t="shared" si="304"/>
        <x:v>0</x:v>
      </x:c>
      <x:c r="HB253" s="42">
        <x:f t="shared" si="305"/>
        <x:v>0</x:v>
      </x:c>
      <x:c r="HC253">
        <x:f t="shared" si="306"/>
        <x:v>0</x:v>
      </x:c>
      <x:c r="HD253">
        <x:f t="shared" si="307"/>
        <x:v>0</x:v>
      </x:c>
      <x:c r="HE253">
        <x:f t="shared" si="308"/>
        <x:v>0</x:v>
      </x:c>
      <x:c r="HF253">
        <x:f t="shared" si="309"/>
        <x:v>0</x:v>
      </x:c>
      <x:c r="HG253">
        <x:f t="shared" si="310"/>
        <x:v>0</x:v>
      </x:c>
      <x:c r="HH253">
        <x:f t="shared" si="311"/>
        <x:v>0</x:v>
      </x:c>
      <x:c r="HI253">
        <x:f t="shared" si="312"/>
        <x:v>0</x:v>
      </x:c>
      <x:c r="HJ253">
        <x:f t="shared" si="313"/>
        <x:v>0</x:v>
      </x:c>
      <x:c r="HK253">
        <x:f t="shared" si="314"/>
        <x:v>0</x:v>
      </x:c>
      <x:c r="HL253">
        <x:f t="shared" si="315"/>
        <x:v>0</x:v>
      </x:c>
    </x:row>
    <x:row r="254">
      <x:c r="D254" s="74"/>
      <x:c r="EQ254">
        <x:f t="shared" si="242"/>
        <x:v>0</x:v>
      </x:c>
      <x:c r="ER254">
        <x:f t="shared" si="243"/>
        <x:v>0</x:v>
      </x:c>
      <x:c r="ES254">
        <x:f t="shared" si="244"/>
        <x:v>0</x:v>
      </x:c>
      <x:c r="ET254">
        <x:f t="shared" si="245"/>
        <x:v>0</x:v>
      </x:c>
      <x:c r="EU254">
        <x:f t="shared" si="246"/>
        <x:v>0</x:v>
      </x:c>
      <x:c r="EV254">
        <x:f t="shared" si="247"/>
        <x:v>0</x:v>
      </x:c>
      <x:c r="EW254">
        <x:f t="shared" si="248"/>
        <x:v>0</x:v>
      </x:c>
      <x:c r="EX254">
        <x:f t="shared" si="249"/>
        <x:v>0</x:v>
      </x:c>
      <x:c r="EY254">
        <x:f t="shared" si="250"/>
        <x:v>0</x:v>
      </x:c>
      <x:c r="EZ254">
        <x:f t="shared" si="251"/>
        <x:v>0</x:v>
      </x:c>
      <x:c r="FA254" s="41">
        <x:f t="shared" si="252"/>
        <x:v>0</x:v>
      </x:c>
      <x:c r="FB254">
        <x:f t="shared" si="253"/>
        <x:v>0</x:v>
      </x:c>
      <x:c r="FC254">
        <x:f t="shared" si="254"/>
        <x:v>0</x:v>
      </x:c>
      <x:c r="FD254">
        <x:f t="shared" si="255"/>
        <x:v>0</x:v>
      </x:c>
      <x:c r="FE254">
        <x:f t="shared" si="256"/>
        <x:v>0</x:v>
      </x:c>
      <x:c r="FF254">
        <x:f t="shared" si="257"/>
        <x:v>0</x:v>
      </x:c>
      <x:c r="FG254">
        <x:f t="shared" si="258"/>
        <x:v>0</x:v>
      </x:c>
      <x:c r="FH254">
        <x:f t="shared" si="259"/>
        <x:v>0</x:v>
      </x:c>
      <x:c r="FI254">
        <x:f t="shared" si="260"/>
        <x:v>0</x:v>
      </x:c>
      <x:c r="FJ254">
        <x:f t="shared" si="261"/>
        <x:v>0</x:v>
      </x:c>
      <x:c r="FK254">
        <x:f t="shared" si="262"/>
        <x:v>0</x:v>
      </x:c>
      <x:c r="FL254" s="41">
        <x:f t="shared" si="263"/>
        <x:v>0</x:v>
      </x:c>
      <x:c r="FM254">
        <x:f t="shared" si="264"/>
        <x:v>0</x:v>
      </x:c>
      <x:c r="FN254">
        <x:f t="shared" si="265"/>
        <x:v>0</x:v>
      </x:c>
      <x:c r="FO254">
        <x:f t="shared" si="266"/>
        <x:v>0</x:v>
      </x:c>
      <x:c r="FP254">
        <x:f t="shared" si="267"/>
        <x:v>0</x:v>
      </x:c>
      <x:c r="FQ254">
        <x:f t="shared" si="268"/>
        <x:v>0</x:v>
      </x:c>
      <x:c r="FR254">
        <x:f t="shared" si="269"/>
        <x:v>0</x:v>
      </x:c>
      <x:c r="FS254">
        <x:f t="shared" si="270"/>
        <x:v>0</x:v>
      </x:c>
      <x:c r="FT254">
        <x:f t="shared" si="271"/>
        <x:v>0</x:v>
      </x:c>
      <x:c r="FU254">
        <x:f t="shared" si="272"/>
        <x:v>0</x:v>
      </x:c>
      <x:c r="FV254">
        <x:f t="shared" si="273"/>
        <x:v>0</x:v>
      </x:c>
      <x:c r="FW254" s="41">
        <x:f t="shared" si="274"/>
        <x:v>0</x:v>
      </x:c>
      <x:c r="FX254">
        <x:f t="shared" si="275"/>
        <x:v>0</x:v>
      </x:c>
      <x:c r="FY254">
        <x:f t="shared" si="276"/>
        <x:v>0</x:v>
      </x:c>
      <x:c r="FZ254">
        <x:f t="shared" si="277"/>
        <x:v>0</x:v>
      </x:c>
      <x:c r="GA254">
        <x:f t="shared" si="278"/>
        <x:v>0</x:v>
      </x:c>
      <x:c r="GB254">
        <x:f t="shared" si="279"/>
        <x:v>0</x:v>
      </x:c>
      <x:c r="GC254">
        <x:f t="shared" si="280"/>
        <x:v>0</x:v>
      </x:c>
      <x:c r="GD254">
        <x:f t="shared" si="281"/>
        <x:v>0</x:v>
      </x:c>
      <x:c r="GE254">
        <x:f t="shared" si="282"/>
        <x:v>0</x:v>
      </x:c>
      <x:c r="GF254">
        <x:f t="shared" si="283"/>
        <x:v>0</x:v>
      </x:c>
      <x:c r="GG254">
        <x:f t="shared" si="284"/>
        <x:v>0</x:v>
      </x:c>
      <x:c r="GH254">
        <x:f t="shared" si="285"/>
        <x:v>0</x:v>
      </x:c>
      <x:c r="GI254">
        <x:f t="shared" si="286"/>
        <x:v>0</x:v>
      </x:c>
      <x:c r="GJ254">
        <x:f t="shared" si="287"/>
        <x:v>0</x:v>
      </x:c>
      <x:c r="GK254">
        <x:f t="shared" si="288"/>
        <x:v>0</x:v>
      </x:c>
      <x:c r="GL254">
        <x:f t="shared" si="289"/>
        <x:v>0</x:v>
      </x:c>
      <x:c r="GM254">
        <x:f t="shared" si="290"/>
        <x:v>0</x:v>
      </x:c>
      <x:c r="GN254">
        <x:f t="shared" si="291"/>
        <x:v>0</x:v>
      </x:c>
      <x:c r="GO254">
        <x:f t="shared" si="292"/>
        <x:v>0</x:v>
      </x:c>
      <x:c r="GP254">
        <x:f t="shared" si="293"/>
        <x:v>0</x:v>
      </x:c>
      <x:c r="GQ254">
        <x:f t="shared" si="294"/>
        <x:v>0</x:v>
      </x:c>
      <x:c r="GR254" s="42">
        <x:f t="shared" si="295"/>
        <x:v>0</x:v>
      </x:c>
      <x:c r="GS254">
        <x:f t="shared" si="296"/>
        <x:v>0</x:v>
      </x:c>
      <x:c r="GT254">
        <x:f t="shared" si="297"/>
        <x:v>0</x:v>
      </x:c>
      <x:c r="GU254">
        <x:f t="shared" si="298"/>
        <x:v>0</x:v>
      </x:c>
      <x:c r="GV254">
        <x:f t="shared" si="299"/>
        <x:v>0</x:v>
      </x:c>
      <x:c r="GW254">
        <x:f t="shared" si="300"/>
        <x:v>0</x:v>
      </x:c>
      <x:c r="GX254">
        <x:f t="shared" si="301"/>
        <x:v>0</x:v>
      </x:c>
      <x:c r="GY254">
        <x:f t="shared" si="302"/>
        <x:v>0</x:v>
      </x:c>
      <x:c r="GZ254">
        <x:f t="shared" si="303"/>
        <x:v>0</x:v>
      </x:c>
      <x:c r="HA254">
        <x:f t="shared" si="304"/>
        <x:v>0</x:v>
      </x:c>
      <x:c r="HB254" s="42">
        <x:f t="shared" si="305"/>
        <x:v>0</x:v>
      </x:c>
      <x:c r="HC254">
        <x:f t="shared" si="306"/>
        <x:v>0</x:v>
      </x:c>
      <x:c r="HD254">
        <x:f t="shared" si="307"/>
        <x:v>0</x:v>
      </x:c>
      <x:c r="HE254">
        <x:f t="shared" si="308"/>
        <x:v>0</x:v>
      </x:c>
      <x:c r="HF254">
        <x:f t="shared" si="309"/>
        <x:v>0</x:v>
      </x:c>
      <x:c r="HG254">
        <x:f t="shared" si="310"/>
        <x:v>0</x:v>
      </x:c>
      <x:c r="HH254">
        <x:f t="shared" si="311"/>
        <x:v>0</x:v>
      </x:c>
      <x:c r="HI254">
        <x:f t="shared" si="312"/>
        <x:v>0</x:v>
      </x:c>
      <x:c r="HJ254">
        <x:f t="shared" si="313"/>
        <x:v>0</x:v>
      </x:c>
      <x:c r="HK254">
        <x:f t="shared" si="314"/>
        <x:v>0</x:v>
      </x:c>
      <x:c r="HL254">
        <x:f t="shared" si="315"/>
        <x:v>0</x:v>
      </x:c>
    </x:row>
    <x:row r="255">
      <x:c r="D255" s="74"/>
      <x:c r="EQ255">
        <x:f t="shared" si="242"/>
        <x:v>0</x:v>
      </x:c>
      <x:c r="ER255">
        <x:f t="shared" si="243"/>
        <x:v>0</x:v>
      </x:c>
      <x:c r="ES255">
        <x:f t="shared" si="244"/>
        <x:v>0</x:v>
      </x:c>
      <x:c r="ET255">
        <x:f t="shared" si="245"/>
        <x:v>0</x:v>
      </x:c>
      <x:c r="EU255">
        <x:f t="shared" si="246"/>
        <x:v>0</x:v>
      </x:c>
      <x:c r="EV255">
        <x:f t="shared" si="247"/>
        <x:v>0</x:v>
      </x:c>
      <x:c r="EW255">
        <x:f t="shared" si="248"/>
        <x:v>0</x:v>
      </x:c>
      <x:c r="EX255">
        <x:f t="shared" si="249"/>
        <x:v>0</x:v>
      </x:c>
      <x:c r="EY255">
        <x:f t="shared" si="250"/>
        <x:v>0</x:v>
      </x:c>
      <x:c r="EZ255">
        <x:f t="shared" si="251"/>
        <x:v>0</x:v>
      </x:c>
      <x:c r="FA255" s="41">
        <x:f t="shared" si="252"/>
        <x:v>0</x:v>
      </x:c>
      <x:c r="FB255">
        <x:f t="shared" si="253"/>
        <x:v>0</x:v>
      </x:c>
      <x:c r="FC255">
        <x:f t="shared" si="254"/>
        <x:v>0</x:v>
      </x:c>
      <x:c r="FD255">
        <x:f t="shared" si="255"/>
        <x:v>0</x:v>
      </x:c>
      <x:c r="FE255">
        <x:f t="shared" si="256"/>
        <x:v>0</x:v>
      </x:c>
      <x:c r="FF255">
        <x:f t="shared" si="257"/>
        <x:v>0</x:v>
      </x:c>
      <x:c r="FG255">
        <x:f t="shared" si="258"/>
        <x:v>0</x:v>
      </x:c>
      <x:c r="FH255">
        <x:f t="shared" si="259"/>
        <x:v>0</x:v>
      </x:c>
      <x:c r="FI255">
        <x:f t="shared" si="260"/>
        <x:v>0</x:v>
      </x:c>
      <x:c r="FJ255">
        <x:f t="shared" si="261"/>
        <x:v>0</x:v>
      </x:c>
      <x:c r="FK255">
        <x:f t="shared" si="262"/>
        <x:v>0</x:v>
      </x:c>
      <x:c r="FL255" s="41">
        <x:f t="shared" si="263"/>
        <x:v>0</x:v>
      </x:c>
      <x:c r="FM255">
        <x:f t="shared" si="264"/>
        <x:v>0</x:v>
      </x:c>
      <x:c r="FN255">
        <x:f t="shared" si="265"/>
        <x:v>0</x:v>
      </x:c>
      <x:c r="FO255">
        <x:f t="shared" si="266"/>
        <x:v>0</x:v>
      </x:c>
      <x:c r="FP255">
        <x:f t="shared" si="267"/>
        <x:v>0</x:v>
      </x:c>
      <x:c r="FQ255">
        <x:f t="shared" si="268"/>
        <x:v>0</x:v>
      </x:c>
      <x:c r="FR255">
        <x:f t="shared" si="269"/>
        <x:v>0</x:v>
      </x:c>
      <x:c r="FS255">
        <x:f t="shared" si="270"/>
        <x:v>0</x:v>
      </x:c>
      <x:c r="FT255">
        <x:f t="shared" si="271"/>
        <x:v>0</x:v>
      </x:c>
      <x:c r="FU255">
        <x:f t="shared" si="272"/>
        <x:v>0</x:v>
      </x:c>
      <x:c r="FV255">
        <x:f t="shared" si="273"/>
        <x:v>0</x:v>
      </x:c>
      <x:c r="FW255" s="41">
        <x:f t="shared" si="274"/>
        <x:v>0</x:v>
      </x:c>
      <x:c r="FX255">
        <x:f t="shared" si="275"/>
        <x:v>0</x:v>
      </x:c>
      <x:c r="FY255">
        <x:f t="shared" si="276"/>
        <x:v>0</x:v>
      </x:c>
      <x:c r="FZ255">
        <x:f t="shared" si="277"/>
        <x:v>0</x:v>
      </x:c>
      <x:c r="GA255">
        <x:f t="shared" si="278"/>
        <x:v>0</x:v>
      </x:c>
      <x:c r="GB255">
        <x:f t="shared" si="279"/>
        <x:v>0</x:v>
      </x:c>
      <x:c r="GC255">
        <x:f t="shared" si="280"/>
        <x:v>0</x:v>
      </x:c>
      <x:c r="GD255">
        <x:f t="shared" si="281"/>
        <x:v>0</x:v>
      </x:c>
      <x:c r="GE255">
        <x:f t="shared" si="282"/>
        <x:v>0</x:v>
      </x:c>
      <x:c r="GF255">
        <x:f t="shared" si="283"/>
        <x:v>0</x:v>
      </x:c>
      <x:c r="GG255">
        <x:f t="shared" si="284"/>
        <x:v>0</x:v>
      </x:c>
      <x:c r="GH255">
        <x:f t="shared" si="285"/>
        <x:v>0</x:v>
      </x:c>
      <x:c r="GI255">
        <x:f t="shared" si="286"/>
        <x:v>0</x:v>
      </x:c>
      <x:c r="GJ255">
        <x:f t="shared" si="287"/>
        <x:v>0</x:v>
      </x:c>
      <x:c r="GK255">
        <x:f t="shared" si="288"/>
        <x:v>0</x:v>
      </x:c>
      <x:c r="GL255">
        <x:f t="shared" si="289"/>
        <x:v>0</x:v>
      </x:c>
      <x:c r="GM255">
        <x:f t="shared" si="290"/>
        <x:v>0</x:v>
      </x:c>
      <x:c r="GN255">
        <x:f t="shared" si="291"/>
        <x:v>0</x:v>
      </x:c>
      <x:c r="GO255">
        <x:f t="shared" si="292"/>
        <x:v>0</x:v>
      </x:c>
      <x:c r="GP255">
        <x:f t="shared" si="293"/>
        <x:v>0</x:v>
      </x:c>
      <x:c r="GQ255">
        <x:f t="shared" si="294"/>
        <x:v>0</x:v>
      </x:c>
      <x:c r="GR255" s="42">
        <x:f t="shared" si="295"/>
        <x:v>0</x:v>
      </x:c>
      <x:c r="GS255">
        <x:f t="shared" si="296"/>
        <x:v>0</x:v>
      </x:c>
      <x:c r="GT255">
        <x:f t="shared" si="297"/>
        <x:v>0</x:v>
      </x:c>
      <x:c r="GU255">
        <x:f t="shared" si="298"/>
        <x:v>0</x:v>
      </x:c>
      <x:c r="GV255">
        <x:f t="shared" si="299"/>
        <x:v>0</x:v>
      </x:c>
      <x:c r="GW255">
        <x:f t="shared" si="300"/>
        <x:v>0</x:v>
      </x:c>
      <x:c r="GX255">
        <x:f t="shared" si="301"/>
        <x:v>0</x:v>
      </x:c>
      <x:c r="GY255">
        <x:f t="shared" si="302"/>
        <x:v>0</x:v>
      </x:c>
      <x:c r="GZ255">
        <x:f t="shared" si="303"/>
        <x:v>0</x:v>
      </x:c>
      <x:c r="HA255">
        <x:f t="shared" si="304"/>
        <x:v>0</x:v>
      </x:c>
      <x:c r="HB255" s="42">
        <x:f t="shared" si="305"/>
        <x:v>0</x:v>
      </x:c>
      <x:c r="HC255">
        <x:f t="shared" si="306"/>
        <x:v>0</x:v>
      </x:c>
      <x:c r="HD255">
        <x:f t="shared" si="307"/>
        <x:v>0</x:v>
      </x:c>
      <x:c r="HE255">
        <x:f t="shared" si="308"/>
        <x:v>0</x:v>
      </x:c>
      <x:c r="HF255">
        <x:f t="shared" si="309"/>
        <x:v>0</x:v>
      </x:c>
      <x:c r="HG255">
        <x:f t="shared" si="310"/>
        <x:v>0</x:v>
      </x:c>
      <x:c r="HH255">
        <x:f t="shared" si="311"/>
        <x:v>0</x:v>
      </x:c>
      <x:c r="HI255">
        <x:f t="shared" si="312"/>
        <x:v>0</x:v>
      </x:c>
      <x:c r="HJ255">
        <x:f t="shared" si="313"/>
        <x:v>0</x:v>
      </x:c>
      <x:c r="HK255">
        <x:f t="shared" si="314"/>
        <x:v>0</x:v>
      </x:c>
      <x:c r="HL255">
        <x:f t="shared" si="315"/>
        <x:v>0</x:v>
      </x:c>
    </x:row>
    <x:row r="256">
      <x:c r="D256" s="74"/>
      <x:c r="EQ256">
        <x:f t="shared" si="242"/>
        <x:v>0</x:v>
      </x:c>
      <x:c r="ER256">
        <x:f t="shared" si="243"/>
        <x:v>0</x:v>
      </x:c>
      <x:c r="ES256">
        <x:f t="shared" si="244"/>
        <x:v>0</x:v>
      </x:c>
      <x:c r="ET256">
        <x:f t="shared" si="245"/>
        <x:v>0</x:v>
      </x:c>
      <x:c r="EU256">
        <x:f t="shared" si="246"/>
        <x:v>0</x:v>
      </x:c>
      <x:c r="EV256">
        <x:f t="shared" si="247"/>
        <x:v>0</x:v>
      </x:c>
      <x:c r="EW256">
        <x:f t="shared" si="248"/>
        <x:v>0</x:v>
      </x:c>
      <x:c r="EX256">
        <x:f t="shared" si="249"/>
        <x:v>0</x:v>
      </x:c>
      <x:c r="EY256">
        <x:f t="shared" si="250"/>
        <x:v>0</x:v>
      </x:c>
      <x:c r="EZ256">
        <x:f t="shared" si="251"/>
        <x:v>0</x:v>
      </x:c>
      <x:c r="FA256" s="41">
        <x:f t="shared" si="252"/>
        <x:v>0</x:v>
      </x:c>
      <x:c r="FB256">
        <x:f t="shared" si="253"/>
        <x:v>0</x:v>
      </x:c>
      <x:c r="FC256">
        <x:f t="shared" si="254"/>
        <x:v>0</x:v>
      </x:c>
      <x:c r="FD256">
        <x:f t="shared" si="255"/>
        <x:v>0</x:v>
      </x:c>
      <x:c r="FE256">
        <x:f t="shared" si="256"/>
        <x:v>0</x:v>
      </x:c>
      <x:c r="FF256">
        <x:f t="shared" si="257"/>
        <x:v>0</x:v>
      </x:c>
      <x:c r="FG256">
        <x:f t="shared" si="258"/>
        <x:v>0</x:v>
      </x:c>
      <x:c r="FH256">
        <x:f t="shared" si="259"/>
        <x:v>0</x:v>
      </x:c>
      <x:c r="FI256">
        <x:f t="shared" si="260"/>
        <x:v>0</x:v>
      </x:c>
      <x:c r="FJ256">
        <x:f t="shared" si="261"/>
        <x:v>0</x:v>
      </x:c>
      <x:c r="FK256">
        <x:f t="shared" si="262"/>
        <x:v>0</x:v>
      </x:c>
      <x:c r="FL256" s="41">
        <x:f t="shared" si="263"/>
        <x:v>0</x:v>
      </x:c>
      <x:c r="FM256">
        <x:f t="shared" si="264"/>
        <x:v>0</x:v>
      </x:c>
      <x:c r="FN256">
        <x:f t="shared" si="265"/>
        <x:v>0</x:v>
      </x:c>
      <x:c r="FO256">
        <x:f t="shared" si="266"/>
        <x:v>0</x:v>
      </x:c>
      <x:c r="FP256">
        <x:f t="shared" si="267"/>
        <x:v>0</x:v>
      </x:c>
      <x:c r="FQ256">
        <x:f t="shared" si="268"/>
        <x:v>0</x:v>
      </x:c>
      <x:c r="FR256">
        <x:f t="shared" si="269"/>
        <x:v>0</x:v>
      </x:c>
      <x:c r="FS256">
        <x:f t="shared" si="270"/>
        <x:v>0</x:v>
      </x:c>
      <x:c r="FT256">
        <x:f t="shared" si="271"/>
        <x:v>0</x:v>
      </x:c>
      <x:c r="FU256">
        <x:f t="shared" si="272"/>
        <x:v>0</x:v>
      </x:c>
      <x:c r="FV256">
        <x:f t="shared" si="273"/>
        <x:v>0</x:v>
      </x:c>
      <x:c r="FW256" s="41">
        <x:f t="shared" si="274"/>
        <x:v>0</x:v>
      </x:c>
      <x:c r="FX256">
        <x:f t="shared" si="275"/>
        <x:v>0</x:v>
      </x:c>
      <x:c r="FY256">
        <x:f t="shared" si="276"/>
        <x:v>0</x:v>
      </x:c>
      <x:c r="FZ256">
        <x:f t="shared" si="277"/>
        <x:v>0</x:v>
      </x:c>
      <x:c r="GA256">
        <x:f t="shared" si="278"/>
        <x:v>0</x:v>
      </x:c>
      <x:c r="GB256">
        <x:f t="shared" si="279"/>
        <x:v>0</x:v>
      </x:c>
      <x:c r="GC256">
        <x:f t="shared" si="280"/>
        <x:v>0</x:v>
      </x:c>
      <x:c r="GD256">
        <x:f t="shared" si="281"/>
        <x:v>0</x:v>
      </x:c>
      <x:c r="GE256">
        <x:f t="shared" si="282"/>
        <x:v>0</x:v>
      </x:c>
      <x:c r="GF256">
        <x:f t="shared" si="283"/>
        <x:v>0</x:v>
      </x:c>
      <x:c r="GG256">
        <x:f t="shared" si="284"/>
        <x:v>0</x:v>
      </x:c>
      <x:c r="GH256">
        <x:f t="shared" si="285"/>
        <x:v>0</x:v>
      </x:c>
      <x:c r="GI256">
        <x:f t="shared" si="286"/>
        <x:v>0</x:v>
      </x:c>
      <x:c r="GJ256">
        <x:f t="shared" si="287"/>
        <x:v>0</x:v>
      </x:c>
      <x:c r="GK256">
        <x:f t="shared" si="288"/>
        <x:v>0</x:v>
      </x:c>
      <x:c r="GL256">
        <x:f t="shared" si="289"/>
        <x:v>0</x:v>
      </x:c>
      <x:c r="GM256">
        <x:f t="shared" si="290"/>
        <x:v>0</x:v>
      </x:c>
      <x:c r="GN256">
        <x:f t="shared" si="291"/>
        <x:v>0</x:v>
      </x:c>
      <x:c r="GO256">
        <x:f t="shared" si="292"/>
        <x:v>0</x:v>
      </x:c>
      <x:c r="GP256">
        <x:f t="shared" si="293"/>
        <x:v>0</x:v>
      </x:c>
      <x:c r="GQ256">
        <x:f t="shared" si="294"/>
        <x:v>0</x:v>
      </x:c>
      <x:c r="GR256" s="42">
        <x:f t="shared" si="295"/>
        <x:v>0</x:v>
      </x:c>
      <x:c r="GS256">
        <x:f t="shared" si="296"/>
        <x:v>0</x:v>
      </x:c>
      <x:c r="GT256">
        <x:f t="shared" si="297"/>
        <x:v>0</x:v>
      </x:c>
      <x:c r="GU256">
        <x:f t="shared" si="298"/>
        <x:v>0</x:v>
      </x:c>
      <x:c r="GV256">
        <x:f t="shared" si="299"/>
        <x:v>0</x:v>
      </x:c>
      <x:c r="GW256">
        <x:f t="shared" si="300"/>
        <x:v>0</x:v>
      </x:c>
      <x:c r="GX256">
        <x:f t="shared" si="301"/>
        <x:v>0</x:v>
      </x:c>
      <x:c r="GY256">
        <x:f t="shared" si="302"/>
        <x:v>0</x:v>
      </x:c>
      <x:c r="GZ256">
        <x:f t="shared" si="303"/>
        <x:v>0</x:v>
      </x:c>
      <x:c r="HA256">
        <x:f t="shared" si="304"/>
        <x:v>0</x:v>
      </x:c>
      <x:c r="HB256" s="42">
        <x:f t="shared" si="305"/>
        <x:v>0</x:v>
      </x:c>
      <x:c r="HC256">
        <x:f t="shared" si="306"/>
        <x:v>0</x:v>
      </x:c>
      <x:c r="HD256">
        <x:f t="shared" si="307"/>
        <x:v>0</x:v>
      </x:c>
      <x:c r="HE256">
        <x:f t="shared" si="308"/>
        <x:v>0</x:v>
      </x:c>
      <x:c r="HF256">
        <x:f t="shared" si="309"/>
        <x:v>0</x:v>
      </x:c>
      <x:c r="HG256">
        <x:f t="shared" si="310"/>
        <x:v>0</x:v>
      </x:c>
      <x:c r="HH256">
        <x:f t="shared" si="311"/>
        <x:v>0</x:v>
      </x:c>
      <x:c r="HI256">
        <x:f t="shared" si="312"/>
        <x:v>0</x:v>
      </x:c>
      <x:c r="HJ256">
        <x:f t="shared" si="313"/>
        <x:v>0</x:v>
      </x:c>
      <x:c r="HK256">
        <x:f t="shared" si="314"/>
        <x:v>0</x:v>
      </x:c>
      <x:c r="HL256">
        <x:f t="shared" si="315"/>
        <x:v>0</x:v>
      </x:c>
    </x:row>
    <x:row r="257">
      <x:c r="D257" s="74"/>
      <x:c r="EQ257">
        <x:f t="shared" si="242"/>
        <x:v>0</x:v>
      </x:c>
      <x:c r="ER257">
        <x:f t="shared" si="243"/>
        <x:v>0</x:v>
      </x:c>
      <x:c r="ES257">
        <x:f t="shared" si="244"/>
        <x:v>0</x:v>
      </x:c>
      <x:c r="ET257">
        <x:f t="shared" si="245"/>
        <x:v>0</x:v>
      </x:c>
      <x:c r="EU257">
        <x:f t="shared" si="246"/>
        <x:v>0</x:v>
      </x:c>
      <x:c r="EV257">
        <x:f t="shared" si="247"/>
        <x:v>0</x:v>
      </x:c>
      <x:c r="EW257">
        <x:f t="shared" si="248"/>
        <x:v>0</x:v>
      </x:c>
      <x:c r="EX257">
        <x:f t="shared" si="249"/>
        <x:v>0</x:v>
      </x:c>
      <x:c r="EY257">
        <x:f t="shared" si="250"/>
        <x:v>0</x:v>
      </x:c>
      <x:c r="EZ257">
        <x:f t="shared" si="251"/>
        <x:v>0</x:v>
      </x:c>
      <x:c r="FA257" s="41">
        <x:f t="shared" si="252"/>
        <x:v>0</x:v>
      </x:c>
      <x:c r="FB257">
        <x:f t="shared" si="253"/>
        <x:v>0</x:v>
      </x:c>
      <x:c r="FC257">
        <x:f t="shared" si="254"/>
        <x:v>0</x:v>
      </x:c>
      <x:c r="FD257">
        <x:f t="shared" si="255"/>
        <x:v>0</x:v>
      </x:c>
      <x:c r="FE257">
        <x:f t="shared" si="256"/>
        <x:v>0</x:v>
      </x:c>
      <x:c r="FF257">
        <x:f t="shared" si="257"/>
        <x:v>0</x:v>
      </x:c>
      <x:c r="FG257">
        <x:f t="shared" si="258"/>
        <x:v>0</x:v>
      </x:c>
      <x:c r="FH257">
        <x:f t="shared" si="259"/>
        <x:v>0</x:v>
      </x:c>
      <x:c r="FI257">
        <x:f t="shared" si="260"/>
        <x:v>0</x:v>
      </x:c>
      <x:c r="FJ257">
        <x:f t="shared" si="261"/>
        <x:v>0</x:v>
      </x:c>
      <x:c r="FK257">
        <x:f t="shared" si="262"/>
        <x:v>0</x:v>
      </x:c>
      <x:c r="FL257" s="41">
        <x:f t="shared" si="263"/>
        <x:v>0</x:v>
      </x:c>
      <x:c r="FM257">
        <x:f t="shared" si="264"/>
        <x:v>0</x:v>
      </x:c>
      <x:c r="FN257">
        <x:f t="shared" si="265"/>
        <x:v>0</x:v>
      </x:c>
      <x:c r="FO257">
        <x:f t="shared" si="266"/>
        <x:v>0</x:v>
      </x:c>
      <x:c r="FP257">
        <x:f t="shared" si="267"/>
        <x:v>0</x:v>
      </x:c>
      <x:c r="FQ257">
        <x:f t="shared" si="268"/>
        <x:v>0</x:v>
      </x:c>
      <x:c r="FR257">
        <x:f t="shared" si="269"/>
        <x:v>0</x:v>
      </x:c>
      <x:c r="FS257">
        <x:f t="shared" si="270"/>
        <x:v>0</x:v>
      </x:c>
      <x:c r="FT257">
        <x:f t="shared" si="271"/>
        <x:v>0</x:v>
      </x:c>
      <x:c r="FU257">
        <x:f t="shared" si="272"/>
        <x:v>0</x:v>
      </x:c>
      <x:c r="FV257">
        <x:f t="shared" si="273"/>
        <x:v>0</x:v>
      </x:c>
      <x:c r="FW257" s="41">
        <x:f t="shared" si="274"/>
        <x:v>0</x:v>
      </x:c>
      <x:c r="FX257">
        <x:f t="shared" si="275"/>
        <x:v>0</x:v>
      </x:c>
      <x:c r="FY257">
        <x:f t="shared" si="276"/>
        <x:v>0</x:v>
      </x:c>
      <x:c r="FZ257">
        <x:f t="shared" si="277"/>
        <x:v>0</x:v>
      </x:c>
      <x:c r="GA257">
        <x:f t="shared" si="278"/>
        <x:v>0</x:v>
      </x:c>
      <x:c r="GB257">
        <x:f t="shared" si="279"/>
        <x:v>0</x:v>
      </x:c>
      <x:c r="GC257">
        <x:f t="shared" si="280"/>
        <x:v>0</x:v>
      </x:c>
      <x:c r="GD257">
        <x:f t="shared" si="281"/>
        <x:v>0</x:v>
      </x:c>
      <x:c r="GE257">
        <x:f t="shared" si="282"/>
        <x:v>0</x:v>
      </x:c>
      <x:c r="GF257">
        <x:f t="shared" si="283"/>
        <x:v>0</x:v>
      </x:c>
      <x:c r="GG257">
        <x:f t="shared" si="284"/>
        <x:v>0</x:v>
      </x:c>
      <x:c r="GH257">
        <x:f t="shared" si="285"/>
        <x:v>0</x:v>
      </x:c>
      <x:c r="GI257">
        <x:f t="shared" si="286"/>
        <x:v>0</x:v>
      </x:c>
      <x:c r="GJ257">
        <x:f t="shared" si="287"/>
        <x:v>0</x:v>
      </x:c>
      <x:c r="GK257">
        <x:f t="shared" si="288"/>
        <x:v>0</x:v>
      </x:c>
      <x:c r="GL257">
        <x:f t="shared" si="289"/>
        <x:v>0</x:v>
      </x:c>
      <x:c r="GM257">
        <x:f t="shared" si="290"/>
        <x:v>0</x:v>
      </x:c>
      <x:c r="GN257">
        <x:f t="shared" si="291"/>
        <x:v>0</x:v>
      </x:c>
      <x:c r="GO257">
        <x:f t="shared" si="292"/>
        <x:v>0</x:v>
      </x:c>
      <x:c r="GP257">
        <x:f t="shared" si="293"/>
        <x:v>0</x:v>
      </x:c>
      <x:c r="GQ257">
        <x:f t="shared" si="294"/>
        <x:v>0</x:v>
      </x:c>
      <x:c r="GR257" s="42">
        <x:f t="shared" si="295"/>
        <x:v>0</x:v>
      </x:c>
      <x:c r="GS257">
        <x:f t="shared" si="296"/>
        <x:v>0</x:v>
      </x:c>
      <x:c r="GT257">
        <x:f t="shared" si="297"/>
        <x:v>0</x:v>
      </x:c>
      <x:c r="GU257">
        <x:f t="shared" si="298"/>
        <x:v>0</x:v>
      </x:c>
      <x:c r="GV257">
        <x:f t="shared" si="299"/>
        <x:v>0</x:v>
      </x:c>
      <x:c r="GW257">
        <x:f t="shared" si="300"/>
        <x:v>0</x:v>
      </x:c>
      <x:c r="GX257">
        <x:f t="shared" si="301"/>
        <x:v>0</x:v>
      </x:c>
      <x:c r="GY257">
        <x:f t="shared" si="302"/>
        <x:v>0</x:v>
      </x:c>
      <x:c r="GZ257">
        <x:f t="shared" si="303"/>
        <x:v>0</x:v>
      </x:c>
      <x:c r="HA257">
        <x:f t="shared" si="304"/>
        <x:v>0</x:v>
      </x:c>
      <x:c r="HB257" s="42">
        <x:f t="shared" si="305"/>
        <x:v>0</x:v>
      </x:c>
      <x:c r="HC257">
        <x:f t="shared" si="306"/>
        <x:v>0</x:v>
      </x:c>
      <x:c r="HD257">
        <x:f t="shared" si="307"/>
        <x:v>0</x:v>
      </x:c>
      <x:c r="HE257">
        <x:f t="shared" si="308"/>
        <x:v>0</x:v>
      </x:c>
      <x:c r="HF257">
        <x:f t="shared" si="309"/>
        <x:v>0</x:v>
      </x:c>
      <x:c r="HG257">
        <x:f t="shared" si="310"/>
        <x:v>0</x:v>
      </x:c>
      <x:c r="HH257">
        <x:f t="shared" si="311"/>
        <x:v>0</x:v>
      </x:c>
      <x:c r="HI257">
        <x:f t="shared" si="312"/>
        <x:v>0</x:v>
      </x:c>
      <x:c r="HJ257">
        <x:f t="shared" si="313"/>
        <x:v>0</x:v>
      </x:c>
      <x:c r="HK257">
        <x:f t="shared" si="314"/>
        <x:v>0</x:v>
      </x:c>
      <x:c r="HL257">
        <x:f t="shared" si="315"/>
        <x:v>0</x:v>
      </x:c>
    </x:row>
    <x:row r="258">
      <x:c r="D258" s="74"/>
      <x:c r="EQ258">
        <x:f t="shared" si="242"/>
        <x:v>0</x:v>
      </x:c>
      <x:c r="ER258">
        <x:f t="shared" si="243"/>
        <x:v>0</x:v>
      </x:c>
      <x:c r="ES258">
        <x:f t="shared" si="244"/>
        <x:v>0</x:v>
      </x:c>
      <x:c r="ET258">
        <x:f t="shared" si="245"/>
        <x:v>0</x:v>
      </x:c>
      <x:c r="EU258">
        <x:f t="shared" si="246"/>
        <x:v>0</x:v>
      </x:c>
      <x:c r="EV258">
        <x:f t="shared" si="247"/>
        <x:v>0</x:v>
      </x:c>
      <x:c r="EW258">
        <x:f t="shared" si="248"/>
        <x:v>0</x:v>
      </x:c>
      <x:c r="EX258">
        <x:f t="shared" si="249"/>
        <x:v>0</x:v>
      </x:c>
      <x:c r="EY258">
        <x:f t="shared" si="250"/>
        <x:v>0</x:v>
      </x:c>
      <x:c r="EZ258">
        <x:f t="shared" si="251"/>
        <x:v>0</x:v>
      </x:c>
      <x:c r="FA258" s="41">
        <x:f t="shared" si="252"/>
        <x:v>0</x:v>
      </x:c>
      <x:c r="FB258">
        <x:f t="shared" si="253"/>
        <x:v>0</x:v>
      </x:c>
      <x:c r="FC258">
        <x:f t="shared" si="254"/>
        <x:v>0</x:v>
      </x:c>
      <x:c r="FD258">
        <x:f t="shared" si="255"/>
        <x:v>0</x:v>
      </x:c>
      <x:c r="FE258">
        <x:f t="shared" si="256"/>
        <x:v>0</x:v>
      </x:c>
      <x:c r="FF258">
        <x:f t="shared" si="257"/>
        <x:v>0</x:v>
      </x:c>
      <x:c r="FG258">
        <x:f t="shared" si="258"/>
        <x:v>0</x:v>
      </x:c>
      <x:c r="FH258">
        <x:f t="shared" si="259"/>
        <x:v>0</x:v>
      </x:c>
      <x:c r="FI258">
        <x:f t="shared" si="260"/>
        <x:v>0</x:v>
      </x:c>
      <x:c r="FJ258">
        <x:f t="shared" si="261"/>
        <x:v>0</x:v>
      </x:c>
      <x:c r="FK258">
        <x:f t="shared" si="262"/>
        <x:v>0</x:v>
      </x:c>
      <x:c r="FL258" s="41">
        <x:f t="shared" si="263"/>
        <x:v>0</x:v>
      </x:c>
      <x:c r="FM258">
        <x:f t="shared" si="264"/>
        <x:v>0</x:v>
      </x:c>
      <x:c r="FN258">
        <x:f t="shared" si="265"/>
        <x:v>0</x:v>
      </x:c>
      <x:c r="FO258">
        <x:f t="shared" si="266"/>
        <x:v>0</x:v>
      </x:c>
      <x:c r="FP258">
        <x:f t="shared" si="267"/>
        <x:v>0</x:v>
      </x:c>
      <x:c r="FQ258">
        <x:f t="shared" si="268"/>
        <x:v>0</x:v>
      </x:c>
      <x:c r="FR258">
        <x:f t="shared" si="269"/>
        <x:v>0</x:v>
      </x:c>
      <x:c r="FS258">
        <x:f t="shared" si="270"/>
        <x:v>0</x:v>
      </x:c>
      <x:c r="FT258">
        <x:f t="shared" si="271"/>
        <x:v>0</x:v>
      </x:c>
      <x:c r="FU258">
        <x:f t="shared" si="272"/>
        <x:v>0</x:v>
      </x:c>
      <x:c r="FV258">
        <x:f t="shared" si="273"/>
        <x:v>0</x:v>
      </x:c>
      <x:c r="FW258" s="41">
        <x:f t="shared" si="274"/>
        <x:v>0</x:v>
      </x:c>
      <x:c r="FX258">
        <x:f t="shared" si="275"/>
        <x:v>0</x:v>
      </x:c>
      <x:c r="FY258">
        <x:f t="shared" si="276"/>
        <x:v>0</x:v>
      </x:c>
      <x:c r="FZ258">
        <x:f t="shared" si="277"/>
        <x:v>0</x:v>
      </x:c>
      <x:c r="GA258">
        <x:f t="shared" si="278"/>
        <x:v>0</x:v>
      </x:c>
      <x:c r="GB258">
        <x:f t="shared" si="279"/>
        <x:v>0</x:v>
      </x:c>
      <x:c r="GC258">
        <x:f t="shared" si="280"/>
        <x:v>0</x:v>
      </x:c>
      <x:c r="GD258">
        <x:f t="shared" si="281"/>
        <x:v>0</x:v>
      </x:c>
      <x:c r="GE258">
        <x:f t="shared" si="282"/>
        <x:v>0</x:v>
      </x:c>
      <x:c r="GF258">
        <x:f t="shared" si="283"/>
        <x:v>0</x:v>
      </x:c>
      <x:c r="GG258">
        <x:f t="shared" si="284"/>
        <x:v>0</x:v>
      </x:c>
      <x:c r="GH258">
        <x:f t="shared" si="285"/>
        <x:v>0</x:v>
      </x:c>
      <x:c r="GI258">
        <x:f t="shared" si="286"/>
        <x:v>0</x:v>
      </x:c>
      <x:c r="GJ258">
        <x:f t="shared" si="287"/>
        <x:v>0</x:v>
      </x:c>
      <x:c r="GK258">
        <x:f t="shared" si="288"/>
        <x:v>0</x:v>
      </x:c>
      <x:c r="GL258">
        <x:f t="shared" si="289"/>
        <x:v>0</x:v>
      </x:c>
      <x:c r="GM258">
        <x:f t="shared" si="290"/>
        <x:v>0</x:v>
      </x:c>
      <x:c r="GN258">
        <x:f t="shared" si="291"/>
        <x:v>0</x:v>
      </x:c>
      <x:c r="GO258">
        <x:f t="shared" si="292"/>
        <x:v>0</x:v>
      </x:c>
      <x:c r="GP258">
        <x:f t="shared" si="293"/>
        <x:v>0</x:v>
      </x:c>
      <x:c r="GQ258">
        <x:f t="shared" si="294"/>
        <x:v>0</x:v>
      </x:c>
      <x:c r="GR258" s="42">
        <x:f t="shared" si="295"/>
        <x:v>0</x:v>
      </x:c>
      <x:c r="GS258">
        <x:f t="shared" si="296"/>
        <x:v>0</x:v>
      </x:c>
      <x:c r="GT258">
        <x:f t="shared" si="297"/>
        <x:v>0</x:v>
      </x:c>
      <x:c r="GU258">
        <x:f t="shared" si="298"/>
        <x:v>0</x:v>
      </x:c>
      <x:c r="GV258">
        <x:f t="shared" si="299"/>
        <x:v>0</x:v>
      </x:c>
      <x:c r="GW258">
        <x:f t="shared" si="300"/>
        <x:v>0</x:v>
      </x:c>
      <x:c r="GX258">
        <x:f t="shared" si="301"/>
        <x:v>0</x:v>
      </x:c>
      <x:c r="GY258">
        <x:f t="shared" si="302"/>
        <x:v>0</x:v>
      </x:c>
      <x:c r="GZ258">
        <x:f t="shared" si="303"/>
        <x:v>0</x:v>
      </x:c>
      <x:c r="HA258">
        <x:f t="shared" si="304"/>
        <x:v>0</x:v>
      </x:c>
      <x:c r="HB258" s="42">
        <x:f t="shared" si="305"/>
        <x:v>0</x:v>
      </x:c>
      <x:c r="HC258">
        <x:f t="shared" si="306"/>
        <x:v>0</x:v>
      </x:c>
      <x:c r="HD258">
        <x:f t="shared" si="307"/>
        <x:v>0</x:v>
      </x:c>
      <x:c r="HE258">
        <x:f t="shared" si="308"/>
        <x:v>0</x:v>
      </x:c>
      <x:c r="HF258">
        <x:f t="shared" si="309"/>
        <x:v>0</x:v>
      </x:c>
      <x:c r="HG258">
        <x:f t="shared" si="310"/>
        <x:v>0</x:v>
      </x:c>
      <x:c r="HH258">
        <x:f t="shared" si="311"/>
        <x:v>0</x:v>
      </x:c>
      <x:c r="HI258">
        <x:f t="shared" si="312"/>
        <x:v>0</x:v>
      </x:c>
      <x:c r="HJ258">
        <x:f t="shared" si="313"/>
        <x:v>0</x:v>
      </x:c>
      <x:c r="HK258">
        <x:f t="shared" si="314"/>
        <x:v>0</x:v>
      </x:c>
      <x:c r="HL258">
        <x:f t="shared" si="315"/>
        <x:v>0</x:v>
      </x:c>
    </x:row>
    <x:row r="259">
      <x:c r="D259" s="74"/>
      <x:c r="EQ259">
        <x:f t="shared" si="242"/>
        <x:v>0</x:v>
      </x:c>
      <x:c r="ER259">
        <x:f t="shared" si="243"/>
        <x:v>0</x:v>
      </x:c>
      <x:c r="ES259">
        <x:f t="shared" si="244"/>
        <x:v>0</x:v>
      </x:c>
      <x:c r="ET259">
        <x:f t="shared" si="245"/>
        <x:v>0</x:v>
      </x:c>
      <x:c r="EU259">
        <x:f t="shared" si="246"/>
        <x:v>0</x:v>
      </x:c>
      <x:c r="EV259">
        <x:f t="shared" si="247"/>
        <x:v>0</x:v>
      </x:c>
      <x:c r="EW259">
        <x:f t="shared" si="248"/>
        <x:v>0</x:v>
      </x:c>
      <x:c r="EX259">
        <x:f t="shared" si="249"/>
        <x:v>0</x:v>
      </x:c>
      <x:c r="EY259">
        <x:f t="shared" si="250"/>
        <x:v>0</x:v>
      </x:c>
      <x:c r="EZ259">
        <x:f t="shared" si="251"/>
        <x:v>0</x:v>
      </x:c>
      <x:c r="FA259" s="41">
        <x:f t="shared" si="252"/>
        <x:v>0</x:v>
      </x:c>
      <x:c r="FB259">
        <x:f t="shared" si="253"/>
        <x:v>0</x:v>
      </x:c>
      <x:c r="FC259">
        <x:f t="shared" si="254"/>
        <x:v>0</x:v>
      </x:c>
      <x:c r="FD259">
        <x:f t="shared" si="255"/>
        <x:v>0</x:v>
      </x:c>
      <x:c r="FE259">
        <x:f t="shared" si="256"/>
        <x:v>0</x:v>
      </x:c>
      <x:c r="FF259">
        <x:f t="shared" si="257"/>
        <x:v>0</x:v>
      </x:c>
      <x:c r="FG259">
        <x:f t="shared" si="258"/>
        <x:v>0</x:v>
      </x:c>
      <x:c r="FH259">
        <x:f t="shared" si="259"/>
        <x:v>0</x:v>
      </x:c>
      <x:c r="FI259">
        <x:f t="shared" si="260"/>
        <x:v>0</x:v>
      </x:c>
      <x:c r="FJ259">
        <x:f t="shared" si="261"/>
        <x:v>0</x:v>
      </x:c>
      <x:c r="FK259">
        <x:f t="shared" si="262"/>
        <x:v>0</x:v>
      </x:c>
      <x:c r="FL259" s="41">
        <x:f t="shared" si="263"/>
        <x:v>0</x:v>
      </x:c>
      <x:c r="FM259">
        <x:f t="shared" si="264"/>
        <x:v>0</x:v>
      </x:c>
      <x:c r="FN259">
        <x:f t="shared" si="265"/>
        <x:v>0</x:v>
      </x:c>
      <x:c r="FO259">
        <x:f t="shared" si="266"/>
        <x:v>0</x:v>
      </x:c>
      <x:c r="FP259">
        <x:f t="shared" si="267"/>
        <x:v>0</x:v>
      </x:c>
      <x:c r="FQ259">
        <x:f t="shared" si="268"/>
        <x:v>0</x:v>
      </x:c>
      <x:c r="FR259">
        <x:f t="shared" si="269"/>
        <x:v>0</x:v>
      </x:c>
      <x:c r="FS259">
        <x:f t="shared" si="270"/>
        <x:v>0</x:v>
      </x:c>
      <x:c r="FT259">
        <x:f t="shared" si="271"/>
        <x:v>0</x:v>
      </x:c>
      <x:c r="FU259">
        <x:f t="shared" si="272"/>
        <x:v>0</x:v>
      </x:c>
      <x:c r="FV259">
        <x:f t="shared" si="273"/>
        <x:v>0</x:v>
      </x:c>
      <x:c r="FW259" s="41">
        <x:f t="shared" si="274"/>
        <x:v>0</x:v>
      </x:c>
      <x:c r="FX259">
        <x:f t="shared" si="275"/>
        <x:v>0</x:v>
      </x:c>
      <x:c r="FY259">
        <x:f t="shared" si="276"/>
        <x:v>0</x:v>
      </x:c>
      <x:c r="FZ259">
        <x:f t="shared" si="277"/>
        <x:v>0</x:v>
      </x:c>
      <x:c r="GA259">
        <x:f t="shared" si="278"/>
        <x:v>0</x:v>
      </x:c>
      <x:c r="GB259">
        <x:f t="shared" si="279"/>
        <x:v>0</x:v>
      </x:c>
      <x:c r="GC259">
        <x:f t="shared" si="280"/>
        <x:v>0</x:v>
      </x:c>
      <x:c r="GD259">
        <x:f t="shared" si="281"/>
        <x:v>0</x:v>
      </x:c>
      <x:c r="GE259">
        <x:f t="shared" si="282"/>
        <x:v>0</x:v>
      </x:c>
      <x:c r="GF259">
        <x:f t="shared" si="283"/>
        <x:v>0</x:v>
      </x:c>
      <x:c r="GG259">
        <x:f t="shared" si="284"/>
        <x:v>0</x:v>
      </x:c>
      <x:c r="GH259">
        <x:f t="shared" si="285"/>
        <x:v>0</x:v>
      </x:c>
      <x:c r="GI259">
        <x:f t="shared" si="286"/>
        <x:v>0</x:v>
      </x:c>
      <x:c r="GJ259">
        <x:f t="shared" si="287"/>
        <x:v>0</x:v>
      </x:c>
      <x:c r="GK259">
        <x:f t="shared" si="288"/>
        <x:v>0</x:v>
      </x:c>
      <x:c r="GL259">
        <x:f t="shared" si="289"/>
        <x:v>0</x:v>
      </x:c>
      <x:c r="GM259">
        <x:f t="shared" si="290"/>
        <x:v>0</x:v>
      </x:c>
      <x:c r="GN259">
        <x:f t="shared" si="291"/>
        <x:v>0</x:v>
      </x:c>
      <x:c r="GO259">
        <x:f t="shared" si="292"/>
        <x:v>0</x:v>
      </x:c>
      <x:c r="GP259">
        <x:f t="shared" si="293"/>
        <x:v>0</x:v>
      </x:c>
      <x:c r="GQ259">
        <x:f t="shared" si="294"/>
        <x:v>0</x:v>
      </x:c>
      <x:c r="GR259" s="42">
        <x:f t="shared" si="295"/>
        <x:v>0</x:v>
      </x:c>
      <x:c r="GS259">
        <x:f t="shared" si="296"/>
        <x:v>0</x:v>
      </x:c>
      <x:c r="GT259">
        <x:f t="shared" si="297"/>
        <x:v>0</x:v>
      </x:c>
      <x:c r="GU259">
        <x:f t="shared" si="298"/>
        <x:v>0</x:v>
      </x:c>
      <x:c r="GV259">
        <x:f t="shared" si="299"/>
        <x:v>0</x:v>
      </x:c>
      <x:c r="GW259">
        <x:f t="shared" si="300"/>
        <x:v>0</x:v>
      </x:c>
      <x:c r="GX259">
        <x:f t="shared" si="301"/>
        <x:v>0</x:v>
      </x:c>
      <x:c r="GY259">
        <x:f t="shared" si="302"/>
        <x:v>0</x:v>
      </x:c>
      <x:c r="GZ259">
        <x:f t="shared" si="303"/>
        <x:v>0</x:v>
      </x:c>
      <x:c r="HA259">
        <x:f t="shared" si="304"/>
        <x:v>0</x:v>
      </x:c>
      <x:c r="HB259" s="42">
        <x:f t="shared" si="305"/>
        <x:v>0</x:v>
      </x:c>
      <x:c r="HC259">
        <x:f t="shared" si="306"/>
        <x:v>0</x:v>
      </x:c>
      <x:c r="HD259">
        <x:f t="shared" si="307"/>
        <x:v>0</x:v>
      </x:c>
      <x:c r="HE259">
        <x:f t="shared" si="308"/>
        <x:v>0</x:v>
      </x:c>
      <x:c r="HF259">
        <x:f t="shared" si="309"/>
        <x:v>0</x:v>
      </x:c>
      <x:c r="HG259">
        <x:f t="shared" si="310"/>
        <x:v>0</x:v>
      </x:c>
      <x:c r="HH259">
        <x:f t="shared" si="311"/>
        <x:v>0</x:v>
      </x:c>
      <x:c r="HI259">
        <x:f t="shared" si="312"/>
        <x:v>0</x:v>
      </x:c>
      <x:c r="HJ259">
        <x:f t="shared" si="313"/>
        <x:v>0</x:v>
      </x:c>
      <x:c r="HK259">
        <x:f t="shared" si="314"/>
        <x:v>0</x:v>
      </x:c>
      <x:c r="HL259">
        <x:f t="shared" si="315"/>
        <x:v>0</x:v>
      </x:c>
    </x:row>
    <x:row r="260">
      <x:c r="D260" s="74"/>
      <x:c r="EQ260">
        <x:f t="shared" si="242"/>
        <x:v>0</x:v>
      </x:c>
      <x:c r="ER260">
        <x:f t="shared" si="243"/>
        <x:v>0</x:v>
      </x:c>
      <x:c r="ES260">
        <x:f t="shared" si="244"/>
        <x:v>0</x:v>
      </x:c>
      <x:c r="ET260">
        <x:f t="shared" si="245"/>
        <x:v>0</x:v>
      </x:c>
      <x:c r="EU260">
        <x:f t="shared" si="246"/>
        <x:v>0</x:v>
      </x:c>
      <x:c r="EV260">
        <x:f t="shared" si="247"/>
        <x:v>0</x:v>
      </x:c>
      <x:c r="EW260">
        <x:f t="shared" si="248"/>
        <x:v>0</x:v>
      </x:c>
      <x:c r="EX260">
        <x:f t="shared" si="249"/>
        <x:v>0</x:v>
      </x:c>
      <x:c r="EY260">
        <x:f t="shared" si="250"/>
        <x:v>0</x:v>
      </x:c>
      <x:c r="EZ260">
        <x:f t="shared" si="251"/>
        <x:v>0</x:v>
      </x:c>
      <x:c r="FA260" s="41">
        <x:f t="shared" si="252"/>
        <x:v>0</x:v>
      </x:c>
      <x:c r="FB260">
        <x:f t="shared" si="253"/>
        <x:v>0</x:v>
      </x:c>
      <x:c r="FC260">
        <x:f t="shared" si="254"/>
        <x:v>0</x:v>
      </x:c>
      <x:c r="FD260">
        <x:f t="shared" si="255"/>
        <x:v>0</x:v>
      </x:c>
      <x:c r="FE260">
        <x:f t="shared" si="256"/>
        <x:v>0</x:v>
      </x:c>
      <x:c r="FF260">
        <x:f t="shared" si="257"/>
        <x:v>0</x:v>
      </x:c>
      <x:c r="FG260">
        <x:f t="shared" si="258"/>
        <x:v>0</x:v>
      </x:c>
      <x:c r="FH260">
        <x:f t="shared" si="259"/>
        <x:v>0</x:v>
      </x:c>
      <x:c r="FI260">
        <x:f t="shared" si="260"/>
        <x:v>0</x:v>
      </x:c>
      <x:c r="FJ260">
        <x:f t="shared" si="261"/>
        <x:v>0</x:v>
      </x:c>
      <x:c r="FK260">
        <x:f t="shared" si="262"/>
        <x:v>0</x:v>
      </x:c>
      <x:c r="FL260" s="41">
        <x:f t="shared" si="263"/>
        <x:v>0</x:v>
      </x:c>
      <x:c r="FM260">
        <x:f t="shared" si="264"/>
        <x:v>0</x:v>
      </x:c>
      <x:c r="FN260">
        <x:f t="shared" si="265"/>
        <x:v>0</x:v>
      </x:c>
      <x:c r="FO260">
        <x:f t="shared" si="266"/>
        <x:v>0</x:v>
      </x:c>
      <x:c r="FP260">
        <x:f t="shared" si="267"/>
        <x:v>0</x:v>
      </x:c>
      <x:c r="FQ260">
        <x:f t="shared" si="268"/>
        <x:v>0</x:v>
      </x:c>
      <x:c r="FR260">
        <x:f t="shared" si="269"/>
        <x:v>0</x:v>
      </x:c>
      <x:c r="FS260">
        <x:f t="shared" si="270"/>
        <x:v>0</x:v>
      </x:c>
      <x:c r="FT260">
        <x:f t="shared" si="271"/>
        <x:v>0</x:v>
      </x:c>
      <x:c r="FU260">
        <x:f t="shared" si="272"/>
        <x:v>0</x:v>
      </x:c>
      <x:c r="FV260">
        <x:f t="shared" si="273"/>
        <x:v>0</x:v>
      </x:c>
      <x:c r="FW260" s="41">
        <x:f t="shared" si="274"/>
        <x:v>0</x:v>
      </x:c>
      <x:c r="FX260">
        <x:f t="shared" si="275"/>
        <x:v>0</x:v>
      </x:c>
      <x:c r="FY260">
        <x:f t="shared" si="276"/>
        <x:v>0</x:v>
      </x:c>
      <x:c r="FZ260">
        <x:f t="shared" si="277"/>
        <x:v>0</x:v>
      </x:c>
      <x:c r="GA260">
        <x:f t="shared" si="278"/>
        <x:v>0</x:v>
      </x:c>
      <x:c r="GB260">
        <x:f t="shared" si="279"/>
        <x:v>0</x:v>
      </x:c>
      <x:c r="GC260">
        <x:f t="shared" si="280"/>
        <x:v>0</x:v>
      </x:c>
      <x:c r="GD260">
        <x:f t="shared" si="281"/>
        <x:v>0</x:v>
      </x:c>
      <x:c r="GE260">
        <x:f t="shared" si="282"/>
        <x:v>0</x:v>
      </x:c>
      <x:c r="GF260">
        <x:f t="shared" si="283"/>
        <x:v>0</x:v>
      </x:c>
      <x:c r="GG260">
        <x:f t="shared" si="284"/>
        <x:v>0</x:v>
      </x:c>
      <x:c r="GH260">
        <x:f t="shared" si="285"/>
        <x:v>0</x:v>
      </x:c>
      <x:c r="GI260">
        <x:f t="shared" si="286"/>
        <x:v>0</x:v>
      </x:c>
      <x:c r="GJ260">
        <x:f t="shared" si="287"/>
        <x:v>0</x:v>
      </x:c>
      <x:c r="GK260">
        <x:f t="shared" si="288"/>
        <x:v>0</x:v>
      </x:c>
      <x:c r="GL260">
        <x:f t="shared" si="289"/>
        <x:v>0</x:v>
      </x:c>
      <x:c r="GM260">
        <x:f t="shared" si="290"/>
        <x:v>0</x:v>
      </x:c>
      <x:c r="GN260">
        <x:f t="shared" si="291"/>
        <x:v>0</x:v>
      </x:c>
      <x:c r="GO260">
        <x:f t="shared" si="292"/>
        <x:v>0</x:v>
      </x:c>
      <x:c r="GP260">
        <x:f t="shared" si="293"/>
        <x:v>0</x:v>
      </x:c>
      <x:c r="GQ260">
        <x:f t="shared" si="294"/>
        <x:v>0</x:v>
      </x:c>
      <x:c r="GR260" s="42">
        <x:f t="shared" si="295"/>
        <x:v>0</x:v>
      </x:c>
      <x:c r="GS260">
        <x:f t="shared" si="296"/>
        <x:v>0</x:v>
      </x:c>
      <x:c r="GT260">
        <x:f t="shared" si="297"/>
        <x:v>0</x:v>
      </x:c>
      <x:c r="GU260">
        <x:f t="shared" si="298"/>
        <x:v>0</x:v>
      </x:c>
      <x:c r="GV260">
        <x:f t="shared" si="299"/>
        <x:v>0</x:v>
      </x:c>
      <x:c r="GW260">
        <x:f t="shared" si="300"/>
        <x:v>0</x:v>
      </x:c>
      <x:c r="GX260">
        <x:f t="shared" si="301"/>
        <x:v>0</x:v>
      </x:c>
      <x:c r="GY260">
        <x:f t="shared" si="302"/>
        <x:v>0</x:v>
      </x:c>
      <x:c r="GZ260">
        <x:f t="shared" si="303"/>
        <x:v>0</x:v>
      </x:c>
      <x:c r="HA260">
        <x:f t="shared" si="304"/>
        <x:v>0</x:v>
      </x:c>
      <x:c r="HB260" s="42">
        <x:f t="shared" si="305"/>
        <x:v>0</x:v>
      </x:c>
      <x:c r="HC260">
        <x:f t="shared" si="306"/>
        <x:v>0</x:v>
      </x:c>
      <x:c r="HD260">
        <x:f t="shared" si="307"/>
        <x:v>0</x:v>
      </x:c>
      <x:c r="HE260">
        <x:f t="shared" si="308"/>
        <x:v>0</x:v>
      </x:c>
      <x:c r="HF260">
        <x:f t="shared" si="309"/>
        <x:v>0</x:v>
      </x:c>
      <x:c r="HG260">
        <x:f t="shared" si="310"/>
        <x:v>0</x:v>
      </x:c>
      <x:c r="HH260">
        <x:f t="shared" si="311"/>
        <x:v>0</x:v>
      </x:c>
      <x:c r="HI260">
        <x:f t="shared" si="312"/>
        <x:v>0</x:v>
      </x:c>
      <x:c r="HJ260">
        <x:f t="shared" si="313"/>
        <x:v>0</x:v>
      </x:c>
      <x:c r="HK260">
        <x:f t="shared" si="314"/>
        <x:v>0</x:v>
      </x:c>
      <x:c r="HL260">
        <x:f t="shared" si="315"/>
        <x:v>0</x:v>
      </x:c>
    </x:row>
    <x:row r="261">
      <x:c r="D261" s="74"/>
      <x:c r="EQ261">
        <x:f t="shared" si="242"/>
        <x:v>0</x:v>
      </x:c>
      <x:c r="ER261">
        <x:f t="shared" si="243"/>
        <x:v>0</x:v>
      </x:c>
      <x:c r="ES261">
        <x:f t="shared" si="244"/>
        <x:v>0</x:v>
      </x:c>
      <x:c r="ET261">
        <x:f t="shared" si="245"/>
        <x:v>0</x:v>
      </x:c>
      <x:c r="EU261">
        <x:f t="shared" si="246"/>
        <x:v>0</x:v>
      </x:c>
      <x:c r="EV261">
        <x:f t="shared" si="247"/>
        <x:v>0</x:v>
      </x:c>
      <x:c r="EW261">
        <x:f t="shared" si="248"/>
        <x:v>0</x:v>
      </x:c>
      <x:c r="EX261">
        <x:f t="shared" si="249"/>
        <x:v>0</x:v>
      </x:c>
      <x:c r="EY261">
        <x:f t="shared" si="250"/>
        <x:v>0</x:v>
      </x:c>
      <x:c r="EZ261">
        <x:f t="shared" si="251"/>
        <x:v>0</x:v>
      </x:c>
      <x:c r="FA261" s="41">
        <x:f t="shared" si="252"/>
        <x:v>0</x:v>
      </x:c>
      <x:c r="FB261">
        <x:f t="shared" si="253"/>
        <x:v>0</x:v>
      </x:c>
      <x:c r="FC261">
        <x:f t="shared" si="254"/>
        <x:v>0</x:v>
      </x:c>
      <x:c r="FD261">
        <x:f t="shared" si="255"/>
        <x:v>0</x:v>
      </x:c>
      <x:c r="FE261">
        <x:f t="shared" si="256"/>
        <x:v>0</x:v>
      </x:c>
      <x:c r="FF261">
        <x:f t="shared" si="257"/>
        <x:v>0</x:v>
      </x:c>
      <x:c r="FG261">
        <x:f t="shared" si="258"/>
        <x:v>0</x:v>
      </x:c>
      <x:c r="FH261">
        <x:f t="shared" si="259"/>
        <x:v>0</x:v>
      </x:c>
      <x:c r="FI261">
        <x:f t="shared" si="260"/>
        <x:v>0</x:v>
      </x:c>
      <x:c r="FJ261">
        <x:f t="shared" si="261"/>
        <x:v>0</x:v>
      </x:c>
      <x:c r="FK261">
        <x:f t="shared" si="262"/>
        <x:v>0</x:v>
      </x:c>
      <x:c r="FL261" s="41">
        <x:f t="shared" si="263"/>
        <x:v>0</x:v>
      </x:c>
      <x:c r="FM261">
        <x:f t="shared" si="264"/>
        <x:v>0</x:v>
      </x:c>
      <x:c r="FN261">
        <x:f t="shared" si="265"/>
        <x:v>0</x:v>
      </x:c>
      <x:c r="FO261">
        <x:f t="shared" si="266"/>
        <x:v>0</x:v>
      </x:c>
      <x:c r="FP261">
        <x:f t="shared" si="267"/>
        <x:v>0</x:v>
      </x:c>
      <x:c r="FQ261">
        <x:f t="shared" si="268"/>
        <x:v>0</x:v>
      </x:c>
      <x:c r="FR261">
        <x:f t="shared" si="269"/>
        <x:v>0</x:v>
      </x:c>
      <x:c r="FS261">
        <x:f t="shared" si="270"/>
        <x:v>0</x:v>
      </x:c>
      <x:c r="FT261">
        <x:f t="shared" si="271"/>
        <x:v>0</x:v>
      </x:c>
      <x:c r="FU261">
        <x:f t="shared" si="272"/>
        <x:v>0</x:v>
      </x:c>
      <x:c r="FV261">
        <x:f t="shared" si="273"/>
        <x:v>0</x:v>
      </x:c>
      <x:c r="FW261" s="41">
        <x:f t="shared" si="274"/>
        <x:v>0</x:v>
      </x:c>
      <x:c r="FX261">
        <x:f t="shared" si="275"/>
        <x:v>0</x:v>
      </x:c>
      <x:c r="FY261">
        <x:f t="shared" si="276"/>
        <x:v>0</x:v>
      </x:c>
      <x:c r="FZ261">
        <x:f t="shared" si="277"/>
        <x:v>0</x:v>
      </x:c>
      <x:c r="GA261">
        <x:f t="shared" si="278"/>
        <x:v>0</x:v>
      </x:c>
      <x:c r="GB261">
        <x:f t="shared" si="279"/>
        <x:v>0</x:v>
      </x:c>
      <x:c r="GC261">
        <x:f t="shared" si="280"/>
        <x:v>0</x:v>
      </x:c>
      <x:c r="GD261">
        <x:f t="shared" si="281"/>
        <x:v>0</x:v>
      </x:c>
      <x:c r="GE261">
        <x:f t="shared" si="282"/>
        <x:v>0</x:v>
      </x:c>
      <x:c r="GF261">
        <x:f t="shared" si="283"/>
        <x:v>0</x:v>
      </x:c>
      <x:c r="GG261">
        <x:f t="shared" si="284"/>
        <x:v>0</x:v>
      </x:c>
      <x:c r="GH261">
        <x:f t="shared" si="285"/>
        <x:v>0</x:v>
      </x:c>
      <x:c r="GI261">
        <x:f t="shared" si="286"/>
        <x:v>0</x:v>
      </x:c>
      <x:c r="GJ261">
        <x:f t="shared" si="287"/>
        <x:v>0</x:v>
      </x:c>
      <x:c r="GK261">
        <x:f t="shared" si="288"/>
        <x:v>0</x:v>
      </x:c>
      <x:c r="GL261">
        <x:f t="shared" si="289"/>
        <x:v>0</x:v>
      </x:c>
      <x:c r="GM261">
        <x:f t="shared" si="290"/>
        <x:v>0</x:v>
      </x:c>
      <x:c r="GN261">
        <x:f t="shared" si="291"/>
        <x:v>0</x:v>
      </x:c>
      <x:c r="GO261">
        <x:f t="shared" si="292"/>
        <x:v>0</x:v>
      </x:c>
      <x:c r="GP261">
        <x:f t="shared" si="293"/>
        <x:v>0</x:v>
      </x:c>
      <x:c r="GQ261">
        <x:f t="shared" si="294"/>
        <x:v>0</x:v>
      </x:c>
      <x:c r="GR261" s="42">
        <x:f t="shared" si="295"/>
        <x:v>0</x:v>
      </x:c>
      <x:c r="GS261">
        <x:f t="shared" si="296"/>
        <x:v>0</x:v>
      </x:c>
      <x:c r="GT261">
        <x:f t="shared" si="297"/>
        <x:v>0</x:v>
      </x:c>
      <x:c r="GU261">
        <x:f t="shared" si="298"/>
        <x:v>0</x:v>
      </x:c>
      <x:c r="GV261">
        <x:f t="shared" si="299"/>
        <x:v>0</x:v>
      </x:c>
      <x:c r="GW261">
        <x:f t="shared" si="300"/>
        <x:v>0</x:v>
      </x:c>
      <x:c r="GX261">
        <x:f t="shared" si="301"/>
        <x:v>0</x:v>
      </x:c>
      <x:c r="GY261">
        <x:f t="shared" si="302"/>
        <x:v>0</x:v>
      </x:c>
      <x:c r="GZ261">
        <x:f t="shared" si="303"/>
        <x:v>0</x:v>
      </x:c>
      <x:c r="HA261">
        <x:f t="shared" si="304"/>
        <x:v>0</x:v>
      </x:c>
      <x:c r="HB261" s="42">
        <x:f t="shared" si="305"/>
        <x:v>0</x:v>
      </x:c>
      <x:c r="HC261">
        <x:f t="shared" si="306"/>
        <x:v>0</x:v>
      </x:c>
      <x:c r="HD261">
        <x:f t="shared" si="307"/>
        <x:v>0</x:v>
      </x:c>
      <x:c r="HE261">
        <x:f t="shared" si="308"/>
        <x:v>0</x:v>
      </x:c>
      <x:c r="HF261">
        <x:f t="shared" si="309"/>
        <x:v>0</x:v>
      </x:c>
      <x:c r="HG261">
        <x:f t="shared" si="310"/>
        <x:v>0</x:v>
      </x:c>
      <x:c r="HH261">
        <x:f t="shared" si="311"/>
        <x:v>0</x:v>
      </x:c>
      <x:c r="HI261">
        <x:f t="shared" si="312"/>
        <x:v>0</x:v>
      </x:c>
      <x:c r="HJ261">
        <x:f t="shared" si="313"/>
        <x:v>0</x:v>
      </x:c>
      <x:c r="HK261">
        <x:f t="shared" si="314"/>
        <x:v>0</x:v>
      </x:c>
      <x:c r="HL261">
        <x:f t="shared" si="315"/>
        <x:v>0</x:v>
      </x:c>
    </x:row>
    <x:row r="262">
      <x:c r="D262" s="74"/>
      <x:c r="EQ262">
        <x:f t="shared" si="242"/>
        <x:v>0</x:v>
      </x:c>
      <x:c r="ER262">
        <x:f t="shared" si="243"/>
        <x:v>0</x:v>
      </x:c>
      <x:c r="ES262">
        <x:f t="shared" si="244"/>
        <x:v>0</x:v>
      </x:c>
      <x:c r="ET262">
        <x:f t="shared" si="245"/>
        <x:v>0</x:v>
      </x:c>
      <x:c r="EU262">
        <x:f t="shared" si="246"/>
        <x:v>0</x:v>
      </x:c>
      <x:c r="EV262">
        <x:f t="shared" si="247"/>
        <x:v>0</x:v>
      </x:c>
      <x:c r="EW262">
        <x:f t="shared" si="248"/>
        <x:v>0</x:v>
      </x:c>
      <x:c r="EX262">
        <x:f t="shared" si="249"/>
        <x:v>0</x:v>
      </x:c>
      <x:c r="EY262">
        <x:f t="shared" si="250"/>
        <x:v>0</x:v>
      </x:c>
      <x:c r="EZ262">
        <x:f t="shared" si="251"/>
        <x:v>0</x:v>
      </x:c>
      <x:c r="FA262" s="41">
        <x:f t="shared" si="252"/>
        <x:v>0</x:v>
      </x:c>
      <x:c r="FB262">
        <x:f t="shared" si="253"/>
        <x:v>0</x:v>
      </x:c>
      <x:c r="FC262">
        <x:f t="shared" si="254"/>
        <x:v>0</x:v>
      </x:c>
      <x:c r="FD262">
        <x:f t="shared" si="255"/>
        <x:v>0</x:v>
      </x:c>
      <x:c r="FE262">
        <x:f t="shared" si="256"/>
        <x:v>0</x:v>
      </x:c>
      <x:c r="FF262">
        <x:f t="shared" si="257"/>
        <x:v>0</x:v>
      </x:c>
      <x:c r="FG262">
        <x:f t="shared" si="258"/>
        <x:v>0</x:v>
      </x:c>
      <x:c r="FH262">
        <x:f t="shared" si="259"/>
        <x:v>0</x:v>
      </x:c>
      <x:c r="FI262">
        <x:f t="shared" si="260"/>
        <x:v>0</x:v>
      </x:c>
      <x:c r="FJ262">
        <x:f t="shared" si="261"/>
        <x:v>0</x:v>
      </x:c>
      <x:c r="FK262">
        <x:f t="shared" si="262"/>
        <x:v>0</x:v>
      </x:c>
      <x:c r="FL262" s="41">
        <x:f t="shared" si="263"/>
        <x:v>0</x:v>
      </x:c>
      <x:c r="FM262">
        <x:f t="shared" si="264"/>
        <x:v>0</x:v>
      </x:c>
      <x:c r="FN262">
        <x:f t="shared" si="265"/>
        <x:v>0</x:v>
      </x:c>
      <x:c r="FO262">
        <x:f t="shared" si="266"/>
        <x:v>0</x:v>
      </x:c>
      <x:c r="FP262">
        <x:f t="shared" si="267"/>
        <x:v>0</x:v>
      </x:c>
      <x:c r="FQ262">
        <x:f t="shared" si="268"/>
        <x:v>0</x:v>
      </x:c>
      <x:c r="FR262">
        <x:f t="shared" si="269"/>
        <x:v>0</x:v>
      </x:c>
      <x:c r="FS262">
        <x:f t="shared" si="270"/>
        <x:v>0</x:v>
      </x:c>
      <x:c r="FT262">
        <x:f t="shared" si="271"/>
        <x:v>0</x:v>
      </x:c>
      <x:c r="FU262">
        <x:f t="shared" si="272"/>
        <x:v>0</x:v>
      </x:c>
      <x:c r="FV262">
        <x:f t="shared" si="273"/>
        <x:v>0</x:v>
      </x:c>
      <x:c r="FW262" s="41">
        <x:f t="shared" si="274"/>
        <x:v>0</x:v>
      </x:c>
      <x:c r="FX262">
        <x:f t="shared" si="275"/>
        <x:v>0</x:v>
      </x:c>
      <x:c r="FY262">
        <x:f t="shared" si="276"/>
        <x:v>0</x:v>
      </x:c>
      <x:c r="FZ262">
        <x:f t="shared" si="277"/>
        <x:v>0</x:v>
      </x:c>
      <x:c r="GA262">
        <x:f t="shared" si="278"/>
        <x:v>0</x:v>
      </x:c>
      <x:c r="GB262">
        <x:f t="shared" si="279"/>
        <x:v>0</x:v>
      </x:c>
      <x:c r="GC262">
        <x:f t="shared" si="280"/>
        <x:v>0</x:v>
      </x:c>
      <x:c r="GD262">
        <x:f t="shared" si="281"/>
        <x:v>0</x:v>
      </x:c>
      <x:c r="GE262">
        <x:f t="shared" si="282"/>
        <x:v>0</x:v>
      </x:c>
      <x:c r="GF262">
        <x:f t="shared" si="283"/>
        <x:v>0</x:v>
      </x:c>
      <x:c r="GG262">
        <x:f t="shared" si="284"/>
        <x:v>0</x:v>
      </x:c>
      <x:c r="GH262">
        <x:f t="shared" si="285"/>
        <x:v>0</x:v>
      </x:c>
      <x:c r="GI262">
        <x:f t="shared" si="286"/>
        <x:v>0</x:v>
      </x:c>
      <x:c r="GJ262">
        <x:f t="shared" si="287"/>
        <x:v>0</x:v>
      </x:c>
      <x:c r="GK262">
        <x:f t="shared" si="288"/>
        <x:v>0</x:v>
      </x:c>
      <x:c r="GL262">
        <x:f t="shared" si="289"/>
        <x:v>0</x:v>
      </x:c>
      <x:c r="GM262">
        <x:f t="shared" si="290"/>
        <x:v>0</x:v>
      </x:c>
      <x:c r="GN262">
        <x:f t="shared" si="291"/>
        <x:v>0</x:v>
      </x:c>
      <x:c r="GO262">
        <x:f t="shared" si="292"/>
        <x:v>0</x:v>
      </x:c>
      <x:c r="GP262">
        <x:f t="shared" si="293"/>
        <x:v>0</x:v>
      </x:c>
      <x:c r="GQ262">
        <x:f t="shared" si="294"/>
        <x:v>0</x:v>
      </x:c>
      <x:c r="GR262" s="42">
        <x:f t="shared" si="295"/>
        <x:v>0</x:v>
      </x:c>
      <x:c r="GS262">
        <x:f t="shared" si="296"/>
        <x:v>0</x:v>
      </x:c>
      <x:c r="GT262">
        <x:f t="shared" si="297"/>
        <x:v>0</x:v>
      </x:c>
      <x:c r="GU262">
        <x:f t="shared" si="298"/>
        <x:v>0</x:v>
      </x:c>
      <x:c r="GV262">
        <x:f t="shared" si="299"/>
        <x:v>0</x:v>
      </x:c>
      <x:c r="GW262">
        <x:f t="shared" si="300"/>
        <x:v>0</x:v>
      </x:c>
      <x:c r="GX262">
        <x:f t="shared" si="301"/>
        <x:v>0</x:v>
      </x:c>
      <x:c r="GY262">
        <x:f t="shared" si="302"/>
        <x:v>0</x:v>
      </x:c>
      <x:c r="GZ262">
        <x:f t="shared" si="303"/>
        <x:v>0</x:v>
      </x:c>
      <x:c r="HA262">
        <x:f t="shared" si="304"/>
        <x:v>0</x:v>
      </x:c>
      <x:c r="HB262" s="42">
        <x:f t="shared" si="305"/>
        <x:v>0</x:v>
      </x:c>
      <x:c r="HC262">
        <x:f t="shared" si="306"/>
        <x:v>0</x:v>
      </x:c>
      <x:c r="HD262">
        <x:f t="shared" si="307"/>
        <x:v>0</x:v>
      </x:c>
      <x:c r="HE262">
        <x:f t="shared" si="308"/>
        <x:v>0</x:v>
      </x:c>
      <x:c r="HF262">
        <x:f t="shared" si="309"/>
        <x:v>0</x:v>
      </x:c>
      <x:c r="HG262">
        <x:f t="shared" si="310"/>
        <x:v>0</x:v>
      </x:c>
      <x:c r="HH262">
        <x:f t="shared" si="311"/>
        <x:v>0</x:v>
      </x:c>
      <x:c r="HI262">
        <x:f t="shared" si="312"/>
        <x:v>0</x:v>
      </x:c>
      <x:c r="HJ262">
        <x:f t="shared" si="313"/>
        <x:v>0</x:v>
      </x:c>
      <x:c r="HK262">
        <x:f t="shared" si="314"/>
        <x:v>0</x:v>
      </x:c>
      <x:c r="HL262">
        <x:f t="shared" si="315"/>
        <x:v>0</x:v>
      </x:c>
    </x:row>
    <x:row r="263">
      <x:c r="D263" s="74"/>
      <x:c r="EQ263">
        <x:f t="shared" si="242"/>
        <x:v>0</x:v>
      </x:c>
      <x:c r="ER263">
        <x:f t="shared" si="243"/>
        <x:v>0</x:v>
      </x:c>
      <x:c r="ES263">
        <x:f t="shared" si="244"/>
        <x:v>0</x:v>
      </x:c>
      <x:c r="ET263">
        <x:f t="shared" si="245"/>
        <x:v>0</x:v>
      </x:c>
      <x:c r="EU263">
        <x:f t="shared" si="246"/>
        <x:v>0</x:v>
      </x:c>
      <x:c r="EV263">
        <x:f t="shared" si="247"/>
        <x:v>0</x:v>
      </x:c>
      <x:c r="EW263">
        <x:f t="shared" si="248"/>
        <x:v>0</x:v>
      </x:c>
      <x:c r="EX263">
        <x:f t="shared" si="249"/>
        <x:v>0</x:v>
      </x:c>
      <x:c r="EY263">
        <x:f t="shared" si="250"/>
        <x:v>0</x:v>
      </x:c>
      <x:c r="EZ263">
        <x:f t="shared" si="251"/>
        <x:v>0</x:v>
      </x:c>
      <x:c r="FA263" s="41">
        <x:f t="shared" si="252"/>
        <x:v>0</x:v>
      </x:c>
      <x:c r="FB263">
        <x:f t="shared" si="253"/>
        <x:v>0</x:v>
      </x:c>
      <x:c r="FC263">
        <x:f t="shared" si="254"/>
        <x:v>0</x:v>
      </x:c>
      <x:c r="FD263">
        <x:f t="shared" si="255"/>
        <x:v>0</x:v>
      </x:c>
      <x:c r="FE263">
        <x:f t="shared" si="256"/>
        <x:v>0</x:v>
      </x:c>
      <x:c r="FF263">
        <x:f t="shared" si="257"/>
        <x:v>0</x:v>
      </x:c>
      <x:c r="FG263">
        <x:f t="shared" si="258"/>
        <x:v>0</x:v>
      </x:c>
      <x:c r="FH263">
        <x:f t="shared" si="259"/>
        <x:v>0</x:v>
      </x:c>
      <x:c r="FI263">
        <x:f t="shared" si="260"/>
        <x:v>0</x:v>
      </x:c>
      <x:c r="FJ263">
        <x:f t="shared" si="261"/>
        <x:v>0</x:v>
      </x:c>
      <x:c r="FK263">
        <x:f t="shared" si="262"/>
        <x:v>0</x:v>
      </x:c>
      <x:c r="FL263" s="41">
        <x:f t="shared" si="263"/>
        <x:v>0</x:v>
      </x:c>
      <x:c r="FM263">
        <x:f t="shared" si="264"/>
        <x:v>0</x:v>
      </x:c>
      <x:c r="FN263">
        <x:f t="shared" si="265"/>
        <x:v>0</x:v>
      </x:c>
      <x:c r="FO263">
        <x:f t="shared" si="266"/>
        <x:v>0</x:v>
      </x:c>
      <x:c r="FP263">
        <x:f t="shared" si="267"/>
        <x:v>0</x:v>
      </x:c>
      <x:c r="FQ263">
        <x:f t="shared" si="268"/>
        <x:v>0</x:v>
      </x:c>
      <x:c r="FR263">
        <x:f t="shared" si="269"/>
        <x:v>0</x:v>
      </x:c>
      <x:c r="FS263">
        <x:f t="shared" si="270"/>
        <x:v>0</x:v>
      </x:c>
      <x:c r="FT263">
        <x:f t="shared" si="271"/>
        <x:v>0</x:v>
      </x:c>
      <x:c r="FU263">
        <x:f t="shared" si="272"/>
        <x:v>0</x:v>
      </x:c>
      <x:c r="FV263">
        <x:f t="shared" si="273"/>
        <x:v>0</x:v>
      </x:c>
      <x:c r="FW263" s="41">
        <x:f t="shared" si="274"/>
        <x:v>0</x:v>
      </x:c>
      <x:c r="FX263">
        <x:f t="shared" si="275"/>
        <x:v>0</x:v>
      </x:c>
      <x:c r="FY263">
        <x:f t="shared" si="276"/>
        <x:v>0</x:v>
      </x:c>
      <x:c r="FZ263">
        <x:f t="shared" si="277"/>
        <x:v>0</x:v>
      </x:c>
      <x:c r="GA263">
        <x:f t="shared" si="278"/>
        <x:v>0</x:v>
      </x:c>
      <x:c r="GB263">
        <x:f t="shared" si="279"/>
        <x:v>0</x:v>
      </x:c>
      <x:c r="GC263">
        <x:f t="shared" si="280"/>
        <x:v>0</x:v>
      </x:c>
      <x:c r="GD263">
        <x:f t="shared" si="281"/>
        <x:v>0</x:v>
      </x:c>
      <x:c r="GE263">
        <x:f t="shared" si="282"/>
        <x:v>0</x:v>
      </x:c>
      <x:c r="GF263">
        <x:f t="shared" si="283"/>
        <x:v>0</x:v>
      </x:c>
      <x:c r="GG263">
        <x:f t="shared" si="284"/>
        <x:v>0</x:v>
      </x:c>
      <x:c r="GH263">
        <x:f t="shared" si="285"/>
        <x:v>0</x:v>
      </x:c>
      <x:c r="GI263">
        <x:f t="shared" si="286"/>
        <x:v>0</x:v>
      </x:c>
      <x:c r="GJ263">
        <x:f t="shared" si="287"/>
        <x:v>0</x:v>
      </x:c>
      <x:c r="GK263">
        <x:f t="shared" si="288"/>
        <x:v>0</x:v>
      </x:c>
      <x:c r="GL263">
        <x:f t="shared" si="289"/>
        <x:v>0</x:v>
      </x:c>
      <x:c r="GM263">
        <x:f t="shared" si="290"/>
        <x:v>0</x:v>
      </x:c>
      <x:c r="GN263">
        <x:f t="shared" si="291"/>
        <x:v>0</x:v>
      </x:c>
      <x:c r="GO263">
        <x:f t="shared" si="292"/>
        <x:v>0</x:v>
      </x:c>
      <x:c r="GP263">
        <x:f t="shared" si="293"/>
        <x:v>0</x:v>
      </x:c>
      <x:c r="GQ263">
        <x:f t="shared" si="294"/>
        <x:v>0</x:v>
      </x:c>
      <x:c r="GR263" s="42">
        <x:f t="shared" si="295"/>
        <x:v>0</x:v>
      </x:c>
      <x:c r="GS263">
        <x:f t="shared" si="296"/>
        <x:v>0</x:v>
      </x:c>
      <x:c r="GT263">
        <x:f t="shared" si="297"/>
        <x:v>0</x:v>
      </x:c>
      <x:c r="GU263">
        <x:f t="shared" si="298"/>
        <x:v>0</x:v>
      </x:c>
      <x:c r="GV263">
        <x:f t="shared" si="299"/>
        <x:v>0</x:v>
      </x:c>
      <x:c r="GW263">
        <x:f t="shared" si="300"/>
        <x:v>0</x:v>
      </x:c>
      <x:c r="GX263">
        <x:f t="shared" si="301"/>
        <x:v>0</x:v>
      </x:c>
      <x:c r="GY263">
        <x:f t="shared" si="302"/>
        <x:v>0</x:v>
      </x:c>
      <x:c r="GZ263">
        <x:f t="shared" si="303"/>
        <x:v>0</x:v>
      </x:c>
      <x:c r="HA263">
        <x:f t="shared" si="304"/>
        <x:v>0</x:v>
      </x:c>
      <x:c r="HB263" s="42">
        <x:f t="shared" si="305"/>
        <x:v>0</x:v>
      </x:c>
      <x:c r="HC263">
        <x:f t="shared" si="306"/>
        <x:v>0</x:v>
      </x:c>
      <x:c r="HD263">
        <x:f t="shared" si="307"/>
        <x:v>0</x:v>
      </x:c>
      <x:c r="HE263">
        <x:f t="shared" si="308"/>
        <x:v>0</x:v>
      </x:c>
      <x:c r="HF263">
        <x:f t="shared" si="309"/>
        <x:v>0</x:v>
      </x:c>
      <x:c r="HG263">
        <x:f t="shared" si="310"/>
        <x:v>0</x:v>
      </x:c>
      <x:c r="HH263">
        <x:f t="shared" si="311"/>
        <x:v>0</x:v>
      </x:c>
      <x:c r="HI263">
        <x:f t="shared" si="312"/>
        <x:v>0</x:v>
      </x:c>
      <x:c r="HJ263">
        <x:f t="shared" si="313"/>
        <x:v>0</x:v>
      </x:c>
      <x:c r="HK263">
        <x:f t="shared" si="314"/>
        <x:v>0</x:v>
      </x:c>
      <x:c r="HL263">
        <x:f t="shared" si="315"/>
        <x:v>0</x:v>
      </x:c>
    </x:row>
    <x:row r="264">
      <x:c r="D264" s="74"/>
      <x:c r="EQ264">
        <x:f t="shared" si="242"/>
        <x:v>0</x:v>
      </x:c>
      <x:c r="ER264">
        <x:f t="shared" si="243"/>
        <x:v>0</x:v>
      </x:c>
      <x:c r="ES264">
        <x:f t="shared" si="244"/>
        <x:v>0</x:v>
      </x:c>
      <x:c r="ET264">
        <x:f t="shared" si="245"/>
        <x:v>0</x:v>
      </x:c>
      <x:c r="EU264">
        <x:f t="shared" si="246"/>
        <x:v>0</x:v>
      </x:c>
      <x:c r="EV264">
        <x:f t="shared" si="247"/>
        <x:v>0</x:v>
      </x:c>
      <x:c r="EW264">
        <x:f t="shared" si="248"/>
        <x:v>0</x:v>
      </x:c>
      <x:c r="EX264">
        <x:f t="shared" si="249"/>
        <x:v>0</x:v>
      </x:c>
      <x:c r="EY264">
        <x:f t="shared" si="250"/>
        <x:v>0</x:v>
      </x:c>
      <x:c r="EZ264">
        <x:f t="shared" si="251"/>
        <x:v>0</x:v>
      </x:c>
      <x:c r="FA264" s="41">
        <x:f t="shared" si="252"/>
        <x:v>0</x:v>
      </x:c>
      <x:c r="FB264">
        <x:f t="shared" si="253"/>
        <x:v>0</x:v>
      </x:c>
      <x:c r="FC264">
        <x:f t="shared" si="254"/>
        <x:v>0</x:v>
      </x:c>
      <x:c r="FD264">
        <x:f t="shared" si="255"/>
        <x:v>0</x:v>
      </x:c>
      <x:c r="FE264">
        <x:f t="shared" si="256"/>
        <x:v>0</x:v>
      </x:c>
      <x:c r="FF264">
        <x:f t="shared" si="257"/>
        <x:v>0</x:v>
      </x:c>
      <x:c r="FG264">
        <x:f t="shared" si="258"/>
        <x:v>0</x:v>
      </x:c>
      <x:c r="FH264">
        <x:f t="shared" si="259"/>
        <x:v>0</x:v>
      </x:c>
      <x:c r="FI264">
        <x:f t="shared" si="260"/>
        <x:v>0</x:v>
      </x:c>
      <x:c r="FJ264">
        <x:f t="shared" si="261"/>
        <x:v>0</x:v>
      </x:c>
      <x:c r="FK264">
        <x:f t="shared" si="262"/>
        <x:v>0</x:v>
      </x:c>
      <x:c r="FL264" s="41">
        <x:f t="shared" si="263"/>
        <x:v>0</x:v>
      </x:c>
      <x:c r="FM264">
        <x:f t="shared" si="264"/>
        <x:v>0</x:v>
      </x:c>
      <x:c r="FN264">
        <x:f t="shared" si="265"/>
        <x:v>0</x:v>
      </x:c>
      <x:c r="FO264">
        <x:f t="shared" si="266"/>
        <x:v>0</x:v>
      </x:c>
      <x:c r="FP264">
        <x:f t="shared" si="267"/>
        <x:v>0</x:v>
      </x:c>
      <x:c r="FQ264">
        <x:f t="shared" si="268"/>
        <x:v>0</x:v>
      </x:c>
      <x:c r="FR264">
        <x:f t="shared" si="269"/>
        <x:v>0</x:v>
      </x:c>
      <x:c r="FS264">
        <x:f t="shared" si="270"/>
        <x:v>0</x:v>
      </x:c>
      <x:c r="FT264">
        <x:f t="shared" si="271"/>
        <x:v>0</x:v>
      </x:c>
      <x:c r="FU264">
        <x:f t="shared" si="272"/>
        <x:v>0</x:v>
      </x:c>
      <x:c r="FV264">
        <x:f t="shared" si="273"/>
        <x:v>0</x:v>
      </x:c>
      <x:c r="FW264" s="41">
        <x:f t="shared" si="274"/>
        <x:v>0</x:v>
      </x:c>
      <x:c r="FX264">
        <x:f t="shared" si="275"/>
        <x:v>0</x:v>
      </x:c>
      <x:c r="FY264">
        <x:f t="shared" si="276"/>
        <x:v>0</x:v>
      </x:c>
      <x:c r="FZ264">
        <x:f t="shared" si="277"/>
        <x:v>0</x:v>
      </x:c>
      <x:c r="GA264">
        <x:f t="shared" si="278"/>
        <x:v>0</x:v>
      </x:c>
      <x:c r="GB264">
        <x:f t="shared" si="279"/>
        <x:v>0</x:v>
      </x:c>
      <x:c r="GC264">
        <x:f t="shared" si="280"/>
        <x:v>0</x:v>
      </x:c>
      <x:c r="GD264">
        <x:f t="shared" si="281"/>
        <x:v>0</x:v>
      </x:c>
      <x:c r="GE264">
        <x:f t="shared" si="282"/>
        <x:v>0</x:v>
      </x:c>
      <x:c r="GF264">
        <x:f t="shared" si="283"/>
        <x:v>0</x:v>
      </x:c>
      <x:c r="GG264">
        <x:f t="shared" si="284"/>
        <x:v>0</x:v>
      </x:c>
      <x:c r="GH264">
        <x:f t="shared" si="285"/>
        <x:v>0</x:v>
      </x:c>
      <x:c r="GI264">
        <x:f t="shared" si="286"/>
        <x:v>0</x:v>
      </x:c>
      <x:c r="GJ264">
        <x:f t="shared" si="287"/>
        <x:v>0</x:v>
      </x:c>
      <x:c r="GK264">
        <x:f t="shared" si="288"/>
        <x:v>0</x:v>
      </x:c>
      <x:c r="GL264">
        <x:f t="shared" si="289"/>
        <x:v>0</x:v>
      </x:c>
      <x:c r="GM264">
        <x:f t="shared" si="290"/>
        <x:v>0</x:v>
      </x:c>
      <x:c r="GN264">
        <x:f t="shared" si="291"/>
        <x:v>0</x:v>
      </x:c>
      <x:c r="GO264">
        <x:f t="shared" si="292"/>
        <x:v>0</x:v>
      </x:c>
      <x:c r="GP264">
        <x:f t="shared" si="293"/>
        <x:v>0</x:v>
      </x:c>
      <x:c r="GQ264">
        <x:f t="shared" si="294"/>
        <x:v>0</x:v>
      </x:c>
      <x:c r="GR264" s="42">
        <x:f t="shared" si="295"/>
        <x:v>0</x:v>
      </x:c>
      <x:c r="GS264">
        <x:f t="shared" si="296"/>
        <x:v>0</x:v>
      </x:c>
      <x:c r="GT264">
        <x:f t="shared" si="297"/>
        <x:v>0</x:v>
      </x:c>
      <x:c r="GU264">
        <x:f t="shared" si="298"/>
        <x:v>0</x:v>
      </x:c>
      <x:c r="GV264">
        <x:f t="shared" si="299"/>
        <x:v>0</x:v>
      </x:c>
      <x:c r="GW264">
        <x:f t="shared" si="300"/>
        <x:v>0</x:v>
      </x:c>
      <x:c r="GX264">
        <x:f t="shared" si="301"/>
        <x:v>0</x:v>
      </x:c>
      <x:c r="GY264">
        <x:f t="shared" si="302"/>
        <x:v>0</x:v>
      </x:c>
      <x:c r="GZ264">
        <x:f t="shared" si="303"/>
        <x:v>0</x:v>
      </x:c>
      <x:c r="HA264">
        <x:f t="shared" si="304"/>
        <x:v>0</x:v>
      </x:c>
      <x:c r="HB264" s="42">
        <x:f t="shared" si="305"/>
        <x:v>0</x:v>
      </x:c>
      <x:c r="HC264">
        <x:f t="shared" si="306"/>
        <x:v>0</x:v>
      </x:c>
      <x:c r="HD264">
        <x:f t="shared" si="307"/>
        <x:v>0</x:v>
      </x:c>
      <x:c r="HE264">
        <x:f t="shared" si="308"/>
        <x:v>0</x:v>
      </x:c>
      <x:c r="HF264">
        <x:f t="shared" si="309"/>
        <x:v>0</x:v>
      </x:c>
      <x:c r="HG264">
        <x:f t="shared" si="310"/>
        <x:v>0</x:v>
      </x:c>
      <x:c r="HH264">
        <x:f t="shared" si="311"/>
        <x:v>0</x:v>
      </x:c>
      <x:c r="HI264">
        <x:f t="shared" si="312"/>
        <x:v>0</x:v>
      </x:c>
      <x:c r="HJ264">
        <x:f t="shared" si="313"/>
        <x:v>0</x:v>
      </x:c>
      <x:c r="HK264">
        <x:f t="shared" si="314"/>
        <x:v>0</x:v>
      </x:c>
      <x:c r="HL264">
        <x:f t="shared" si="315"/>
        <x:v>0</x:v>
      </x:c>
    </x:row>
    <x:row r="265">
      <x:c r="D265" s="74"/>
      <x:c r="EQ265">
        <x:f t="shared" si="242"/>
        <x:v>0</x:v>
      </x:c>
      <x:c r="ER265">
        <x:f t="shared" si="243"/>
        <x:v>0</x:v>
      </x:c>
      <x:c r="ES265">
        <x:f t="shared" si="244"/>
        <x:v>0</x:v>
      </x:c>
      <x:c r="ET265">
        <x:f t="shared" si="245"/>
        <x:v>0</x:v>
      </x:c>
      <x:c r="EU265">
        <x:f t="shared" si="246"/>
        <x:v>0</x:v>
      </x:c>
      <x:c r="EV265">
        <x:f t="shared" si="247"/>
        <x:v>0</x:v>
      </x:c>
      <x:c r="EW265">
        <x:f t="shared" si="248"/>
        <x:v>0</x:v>
      </x:c>
      <x:c r="EX265">
        <x:f t="shared" si="249"/>
        <x:v>0</x:v>
      </x:c>
      <x:c r="EY265">
        <x:f t="shared" si="250"/>
        <x:v>0</x:v>
      </x:c>
      <x:c r="EZ265">
        <x:f t="shared" si="251"/>
        <x:v>0</x:v>
      </x:c>
      <x:c r="FA265" s="41">
        <x:f t="shared" si="252"/>
        <x:v>0</x:v>
      </x:c>
      <x:c r="FB265">
        <x:f t="shared" si="253"/>
        <x:v>0</x:v>
      </x:c>
      <x:c r="FC265">
        <x:f t="shared" si="254"/>
        <x:v>0</x:v>
      </x:c>
      <x:c r="FD265">
        <x:f t="shared" si="255"/>
        <x:v>0</x:v>
      </x:c>
      <x:c r="FE265">
        <x:f t="shared" si="256"/>
        <x:v>0</x:v>
      </x:c>
      <x:c r="FF265">
        <x:f t="shared" si="257"/>
        <x:v>0</x:v>
      </x:c>
      <x:c r="FG265">
        <x:f t="shared" si="258"/>
        <x:v>0</x:v>
      </x:c>
      <x:c r="FH265">
        <x:f t="shared" si="259"/>
        <x:v>0</x:v>
      </x:c>
      <x:c r="FI265">
        <x:f t="shared" si="260"/>
        <x:v>0</x:v>
      </x:c>
      <x:c r="FJ265">
        <x:f t="shared" si="261"/>
        <x:v>0</x:v>
      </x:c>
      <x:c r="FK265">
        <x:f t="shared" si="262"/>
        <x:v>0</x:v>
      </x:c>
      <x:c r="FL265" s="41">
        <x:f t="shared" si="263"/>
        <x:v>0</x:v>
      </x:c>
      <x:c r="FM265">
        <x:f t="shared" si="264"/>
        <x:v>0</x:v>
      </x:c>
      <x:c r="FN265">
        <x:f t="shared" si="265"/>
        <x:v>0</x:v>
      </x:c>
      <x:c r="FO265">
        <x:f t="shared" si="266"/>
        <x:v>0</x:v>
      </x:c>
      <x:c r="FP265">
        <x:f t="shared" si="267"/>
        <x:v>0</x:v>
      </x:c>
      <x:c r="FQ265">
        <x:f t="shared" si="268"/>
        <x:v>0</x:v>
      </x:c>
      <x:c r="FR265">
        <x:f t="shared" si="269"/>
        <x:v>0</x:v>
      </x:c>
      <x:c r="FS265">
        <x:f t="shared" si="270"/>
        <x:v>0</x:v>
      </x:c>
      <x:c r="FT265">
        <x:f t="shared" si="271"/>
        <x:v>0</x:v>
      </x:c>
      <x:c r="FU265">
        <x:f t="shared" si="272"/>
        <x:v>0</x:v>
      </x:c>
      <x:c r="FV265">
        <x:f t="shared" si="273"/>
        <x:v>0</x:v>
      </x:c>
      <x:c r="FW265" s="41">
        <x:f t="shared" si="274"/>
        <x:v>0</x:v>
      </x:c>
      <x:c r="FX265">
        <x:f t="shared" si="275"/>
        <x:v>0</x:v>
      </x:c>
      <x:c r="FY265">
        <x:f t="shared" si="276"/>
        <x:v>0</x:v>
      </x:c>
      <x:c r="FZ265">
        <x:f t="shared" si="277"/>
        <x:v>0</x:v>
      </x:c>
      <x:c r="GA265">
        <x:f t="shared" si="278"/>
        <x:v>0</x:v>
      </x:c>
      <x:c r="GB265">
        <x:f t="shared" si="279"/>
        <x:v>0</x:v>
      </x:c>
      <x:c r="GC265">
        <x:f t="shared" si="280"/>
        <x:v>0</x:v>
      </x:c>
      <x:c r="GD265">
        <x:f t="shared" si="281"/>
        <x:v>0</x:v>
      </x:c>
      <x:c r="GE265">
        <x:f t="shared" si="282"/>
        <x:v>0</x:v>
      </x:c>
      <x:c r="GF265">
        <x:f t="shared" si="283"/>
        <x:v>0</x:v>
      </x:c>
      <x:c r="GG265">
        <x:f t="shared" si="284"/>
        <x:v>0</x:v>
      </x:c>
      <x:c r="GH265">
        <x:f t="shared" si="285"/>
        <x:v>0</x:v>
      </x:c>
      <x:c r="GI265">
        <x:f t="shared" si="286"/>
        <x:v>0</x:v>
      </x:c>
      <x:c r="GJ265">
        <x:f t="shared" si="287"/>
        <x:v>0</x:v>
      </x:c>
      <x:c r="GK265">
        <x:f t="shared" si="288"/>
        <x:v>0</x:v>
      </x:c>
      <x:c r="GL265">
        <x:f t="shared" si="289"/>
        <x:v>0</x:v>
      </x:c>
      <x:c r="GM265">
        <x:f t="shared" si="290"/>
        <x:v>0</x:v>
      </x:c>
      <x:c r="GN265">
        <x:f t="shared" si="291"/>
        <x:v>0</x:v>
      </x:c>
      <x:c r="GO265">
        <x:f t="shared" si="292"/>
        <x:v>0</x:v>
      </x:c>
      <x:c r="GP265">
        <x:f t="shared" si="293"/>
        <x:v>0</x:v>
      </x:c>
      <x:c r="GQ265">
        <x:f t="shared" si="294"/>
        <x:v>0</x:v>
      </x:c>
      <x:c r="GR265" s="42">
        <x:f t="shared" si="295"/>
        <x:v>0</x:v>
      </x:c>
      <x:c r="GS265">
        <x:f t="shared" si="296"/>
        <x:v>0</x:v>
      </x:c>
      <x:c r="GT265">
        <x:f t="shared" si="297"/>
        <x:v>0</x:v>
      </x:c>
      <x:c r="GU265">
        <x:f t="shared" si="298"/>
        <x:v>0</x:v>
      </x:c>
      <x:c r="GV265">
        <x:f t="shared" si="299"/>
        <x:v>0</x:v>
      </x:c>
      <x:c r="GW265">
        <x:f t="shared" si="300"/>
        <x:v>0</x:v>
      </x:c>
      <x:c r="GX265">
        <x:f t="shared" si="301"/>
        <x:v>0</x:v>
      </x:c>
      <x:c r="GY265">
        <x:f t="shared" si="302"/>
        <x:v>0</x:v>
      </x:c>
      <x:c r="GZ265">
        <x:f t="shared" si="303"/>
        <x:v>0</x:v>
      </x:c>
      <x:c r="HA265">
        <x:f t="shared" si="304"/>
        <x:v>0</x:v>
      </x:c>
      <x:c r="HB265" s="42">
        <x:f t="shared" si="305"/>
        <x:v>0</x:v>
      </x:c>
      <x:c r="HC265">
        <x:f t="shared" si="306"/>
        <x:v>0</x:v>
      </x:c>
      <x:c r="HD265">
        <x:f t="shared" si="307"/>
        <x:v>0</x:v>
      </x:c>
      <x:c r="HE265">
        <x:f t="shared" si="308"/>
        <x:v>0</x:v>
      </x:c>
      <x:c r="HF265">
        <x:f t="shared" si="309"/>
        <x:v>0</x:v>
      </x:c>
      <x:c r="HG265">
        <x:f t="shared" si="310"/>
        <x:v>0</x:v>
      </x:c>
      <x:c r="HH265">
        <x:f t="shared" si="311"/>
        <x:v>0</x:v>
      </x:c>
      <x:c r="HI265">
        <x:f t="shared" si="312"/>
        <x:v>0</x:v>
      </x:c>
      <x:c r="HJ265">
        <x:f t="shared" si="313"/>
        <x:v>0</x:v>
      </x:c>
      <x:c r="HK265">
        <x:f t="shared" si="314"/>
        <x:v>0</x:v>
      </x:c>
      <x:c r="HL265">
        <x:f t="shared" si="315"/>
        <x:v>0</x:v>
      </x:c>
    </x:row>
    <x:row r="266">
      <x:c r="D266" s="74"/>
      <x:c r="EQ266">
        <x:f t="shared" si="242"/>
        <x:v>0</x:v>
      </x:c>
      <x:c r="ER266">
        <x:f t="shared" si="243"/>
        <x:v>0</x:v>
      </x:c>
      <x:c r="ES266">
        <x:f t="shared" si="244"/>
        <x:v>0</x:v>
      </x:c>
      <x:c r="ET266">
        <x:f t="shared" si="245"/>
        <x:v>0</x:v>
      </x:c>
      <x:c r="EU266">
        <x:f t="shared" si="246"/>
        <x:v>0</x:v>
      </x:c>
      <x:c r="EV266">
        <x:f t="shared" si="247"/>
        <x:v>0</x:v>
      </x:c>
      <x:c r="EW266">
        <x:f t="shared" si="248"/>
        <x:v>0</x:v>
      </x:c>
      <x:c r="EX266">
        <x:f t="shared" si="249"/>
        <x:v>0</x:v>
      </x:c>
      <x:c r="EY266">
        <x:f t="shared" si="250"/>
        <x:v>0</x:v>
      </x:c>
      <x:c r="EZ266">
        <x:f t="shared" si="251"/>
        <x:v>0</x:v>
      </x:c>
      <x:c r="FA266" s="41">
        <x:f t="shared" si="252"/>
        <x:v>0</x:v>
      </x:c>
      <x:c r="FB266">
        <x:f t="shared" si="253"/>
        <x:v>0</x:v>
      </x:c>
      <x:c r="FC266">
        <x:f t="shared" si="254"/>
        <x:v>0</x:v>
      </x:c>
      <x:c r="FD266">
        <x:f t="shared" si="255"/>
        <x:v>0</x:v>
      </x:c>
      <x:c r="FE266">
        <x:f t="shared" si="256"/>
        <x:v>0</x:v>
      </x:c>
      <x:c r="FF266">
        <x:f t="shared" si="257"/>
        <x:v>0</x:v>
      </x:c>
      <x:c r="FG266">
        <x:f t="shared" si="258"/>
        <x:v>0</x:v>
      </x:c>
      <x:c r="FH266">
        <x:f t="shared" si="259"/>
        <x:v>0</x:v>
      </x:c>
      <x:c r="FI266">
        <x:f t="shared" si="260"/>
        <x:v>0</x:v>
      </x:c>
      <x:c r="FJ266">
        <x:f t="shared" si="261"/>
        <x:v>0</x:v>
      </x:c>
      <x:c r="FK266">
        <x:f t="shared" si="262"/>
        <x:v>0</x:v>
      </x:c>
      <x:c r="FL266" s="41">
        <x:f t="shared" si="263"/>
        <x:v>0</x:v>
      </x:c>
      <x:c r="FM266">
        <x:f t="shared" si="264"/>
        <x:v>0</x:v>
      </x:c>
      <x:c r="FN266">
        <x:f t="shared" si="265"/>
        <x:v>0</x:v>
      </x:c>
      <x:c r="FO266">
        <x:f t="shared" si="266"/>
        <x:v>0</x:v>
      </x:c>
      <x:c r="FP266">
        <x:f t="shared" si="267"/>
        <x:v>0</x:v>
      </x:c>
      <x:c r="FQ266">
        <x:f t="shared" si="268"/>
        <x:v>0</x:v>
      </x:c>
      <x:c r="FR266">
        <x:f t="shared" si="269"/>
        <x:v>0</x:v>
      </x:c>
      <x:c r="FS266">
        <x:f t="shared" si="270"/>
        <x:v>0</x:v>
      </x:c>
      <x:c r="FT266">
        <x:f t="shared" si="271"/>
        <x:v>0</x:v>
      </x:c>
      <x:c r="FU266">
        <x:f t="shared" si="272"/>
        <x:v>0</x:v>
      </x:c>
      <x:c r="FV266">
        <x:f t="shared" si="273"/>
        <x:v>0</x:v>
      </x:c>
      <x:c r="FW266" s="41">
        <x:f t="shared" si="274"/>
        <x:v>0</x:v>
      </x:c>
      <x:c r="FX266">
        <x:f t="shared" si="275"/>
        <x:v>0</x:v>
      </x:c>
      <x:c r="FY266">
        <x:f t="shared" si="276"/>
        <x:v>0</x:v>
      </x:c>
      <x:c r="FZ266">
        <x:f t="shared" si="277"/>
        <x:v>0</x:v>
      </x:c>
      <x:c r="GA266">
        <x:f t="shared" si="278"/>
        <x:v>0</x:v>
      </x:c>
      <x:c r="GB266">
        <x:f t="shared" si="279"/>
        <x:v>0</x:v>
      </x:c>
      <x:c r="GC266">
        <x:f t="shared" si="280"/>
        <x:v>0</x:v>
      </x:c>
      <x:c r="GD266">
        <x:f t="shared" si="281"/>
        <x:v>0</x:v>
      </x:c>
      <x:c r="GE266">
        <x:f t="shared" si="282"/>
        <x:v>0</x:v>
      </x:c>
      <x:c r="GF266">
        <x:f t="shared" si="283"/>
        <x:v>0</x:v>
      </x:c>
      <x:c r="GG266">
        <x:f t="shared" si="284"/>
        <x:v>0</x:v>
      </x:c>
      <x:c r="GH266">
        <x:f t="shared" si="285"/>
        <x:v>0</x:v>
      </x:c>
      <x:c r="GI266">
        <x:f t="shared" si="286"/>
        <x:v>0</x:v>
      </x:c>
      <x:c r="GJ266">
        <x:f t="shared" si="287"/>
        <x:v>0</x:v>
      </x:c>
      <x:c r="GK266">
        <x:f t="shared" si="288"/>
        <x:v>0</x:v>
      </x:c>
      <x:c r="GL266">
        <x:f t="shared" si="289"/>
        <x:v>0</x:v>
      </x:c>
      <x:c r="GM266">
        <x:f t="shared" si="290"/>
        <x:v>0</x:v>
      </x:c>
      <x:c r="GN266">
        <x:f t="shared" si="291"/>
        <x:v>0</x:v>
      </x:c>
      <x:c r="GO266">
        <x:f t="shared" si="292"/>
        <x:v>0</x:v>
      </x:c>
      <x:c r="GP266">
        <x:f t="shared" si="293"/>
        <x:v>0</x:v>
      </x:c>
      <x:c r="GQ266">
        <x:f t="shared" si="294"/>
        <x:v>0</x:v>
      </x:c>
      <x:c r="GR266" s="42">
        <x:f t="shared" si="295"/>
        <x:v>0</x:v>
      </x:c>
      <x:c r="GS266">
        <x:f t="shared" si="296"/>
        <x:v>0</x:v>
      </x:c>
      <x:c r="GT266">
        <x:f t="shared" si="297"/>
        <x:v>0</x:v>
      </x:c>
      <x:c r="GU266">
        <x:f t="shared" si="298"/>
        <x:v>0</x:v>
      </x:c>
      <x:c r="GV266">
        <x:f t="shared" si="299"/>
        <x:v>0</x:v>
      </x:c>
      <x:c r="GW266">
        <x:f t="shared" si="300"/>
        <x:v>0</x:v>
      </x:c>
      <x:c r="GX266">
        <x:f t="shared" si="301"/>
        <x:v>0</x:v>
      </x:c>
      <x:c r="GY266">
        <x:f t="shared" si="302"/>
        <x:v>0</x:v>
      </x:c>
      <x:c r="GZ266">
        <x:f t="shared" si="303"/>
        <x:v>0</x:v>
      </x:c>
      <x:c r="HA266">
        <x:f t="shared" si="304"/>
        <x:v>0</x:v>
      </x:c>
      <x:c r="HB266" s="42">
        <x:f t="shared" si="305"/>
        <x:v>0</x:v>
      </x:c>
      <x:c r="HC266">
        <x:f t="shared" si="306"/>
        <x:v>0</x:v>
      </x:c>
      <x:c r="HD266">
        <x:f t="shared" si="307"/>
        <x:v>0</x:v>
      </x:c>
      <x:c r="HE266">
        <x:f t="shared" si="308"/>
        <x:v>0</x:v>
      </x:c>
      <x:c r="HF266">
        <x:f t="shared" si="309"/>
        <x:v>0</x:v>
      </x:c>
      <x:c r="HG266">
        <x:f t="shared" si="310"/>
        <x:v>0</x:v>
      </x:c>
      <x:c r="HH266">
        <x:f t="shared" si="311"/>
        <x:v>0</x:v>
      </x:c>
      <x:c r="HI266">
        <x:f t="shared" si="312"/>
        <x:v>0</x:v>
      </x:c>
      <x:c r="HJ266">
        <x:f t="shared" si="313"/>
        <x:v>0</x:v>
      </x:c>
      <x:c r="HK266">
        <x:f t="shared" si="314"/>
        <x:v>0</x:v>
      </x:c>
      <x:c r="HL266">
        <x:f t="shared" si="315"/>
        <x:v>0</x:v>
      </x:c>
    </x:row>
    <x:row r="267">
      <x:c r="D267" s="74"/>
      <x:c r="EQ267">
        <x:f t="shared" si="242"/>
        <x:v>0</x:v>
      </x:c>
      <x:c r="ER267">
        <x:f t="shared" si="243"/>
        <x:v>0</x:v>
      </x:c>
      <x:c r="ES267">
        <x:f t="shared" si="244"/>
        <x:v>0</x:v>
      </x:c>
      <x:c r="ET267">
        <x:f t="shared" si="245"/>
        <x:v>0</x:v>
      </x:c>
      <x:c r="EU267">
        <x:f t="shared" si="246"/>
        <x:v>0</x:v>
      </x:c>
      <x:c r="EV267">
        <x:f t="shared" si="247"/>
        <x:v>0</x:v>
      </x:c>
      <x:c r="EW267">
        <x:f t="shared" si="248"/>
        <x:v>0</x:v>
      </x:c>
      <x:c r="EX267">
        <x:f t="shared" si="249"/>
        <x:v>0</x:v>
      </x:c>
      <x:c r="EY267">
        <x:f t="shared" si="250"/>
        <x:v>0</x:v>
      </x:c>
      <x:c r="EZ267">
        <x:f t="shared" si="251"/>
        <x:v>0</x:v>
      </x:c>
      <x:c r="FA267" s="41">
        <x:f t="shared" si="252"/>
        <x:v>0</x:v>
      </x:c>
      <x:c r="FB267">
        <x:f t="shared" si="253"/>
        <x:v>0</x:v>
      </x:c>
      <x:c r="FC267">
        <x:f t="shared" si="254"/>
        <x:v>0</x:v>
      </x:c>
      <x:c r="FD267">
        <x:f t="shared" si="255"/>
        <x:v>0</x:v>
      </x:c>
      <x:c r="FE267">
        <x:f t="shared" si="256"/>
        <x:v>0</x:v>
      </x:c>
      <x:c r="FF267">
        <x:f t="shared" si="257"/>
        <x:v>0</x:v>
      </x:c>
      <x:c r="FG267">
        <x:f t="shared" si="258"/>
        <x:v>0</x:v>
      </x:c>
      <x:c r="FH267">
        <x:f t="shared" si="259"/>
        <x:v>0</x:v>
      </x:c>
      <x:c r="FI267">
        <x:f t="shared" si="260"/>
        <x:v>0</x:v>
      </x:c>
      <x:c r="FJ267">
        <x:f t="shared" si="261"/>
        <x:v>0</x:v>
      </x:c>
      <x:c r="FK267">
        <x:f t="shared" si="262"/>
        <x:v>0</x:v>
      </x:c>
      <x:c r="FL267" s="41">
        <x:f t="shared" si="263"/>
        <x:v>0</x:v>
      </x:c>
      <x:c r="FM267">
        <x:f t="shared" si="264"/>
        <x:v>0</x:v>
      </x:c>
      <x:c r="FN267">
        <x:f t="shared" si="265"/>
        <x:v>0</x:v>
      </x:c>
      <x:c r="FO267">
        <x:f t="shared" si="266"/>
        <x:v>0</x:v>
      </x:c>
      <x:c r="FP267">
        <x:f t="shared" si="267"/>
        <x:v>0</x:v>
      </x:c>
      <x:c r="FQ267">
        <x:f t="shared" si="268"/>
        <x:v>0</x:v>
      </x:c>
      <x:c r="FR267">
        <x:f t="shared" si="269"/>
        <x:v>0</x:v>
      </x:c>
      <x:c r="FS267">
        <x:f t="shared" si="270"/>
        <x:v>0</x:v>
      </x:c>
      <x:c r="FT267">
        <x:f t="shared" si="271"/>
        <x:v>0</x:v>
      </x:c>
      <x:c r="FU267">
        <x:f t="shared" si="272"/>
        <x:v>0</x:v>
      </x:c>
      <x:c r="FV267">
        <x:f t="shared" si="273"/>
        <x:v>0</x:v>
      </x:c>
      <x:c r="FW267" s="41">
        <x:f t="shared" si="274"/>
        <x:v>0</x:v>
      </x:c>
      <x:c r="FX267">
        <x:f t="shared" si="275"/>
        <x:v>0</x:v>
      </x:c>
      <x:c r="FY267">
        <x:f t="shared" si="276"/>
        <x:v>0</x:v>
      </x:c>
      <x:c r="FZ267">
        <x:f t="shared" si="277"/>
        <x:v>0</x:v>
      </x:c>
      <x:c r="GA267">
        <x:f t="shared" si="278"/>
        <x:v>0</x:v>
      </x:c>
      <x:c r="GB267">
        <x:f t="shared" si="279"/>
        <x:v>0</x:v>
      </x:c>
      <x:c r="GC267">
        <x:f t="shared" si="280"/>
        <x:v>0</x:v>
      </x:c>
      <x:c r="GD267">
        <x:f t="shared" si="281"/>
        <x:v>0</x:v>
      </x:c>
      <x:c r="GE267">
        <x:f t="shared" si="282"/>
        <x:v>0</x:v>
      </x:c>
      <x:c r="GF267">
        <x:f t="shared" si="283"/>
        <x:v>0</x:v>
      </x:c>
      <x:c r="GG267">
        <x:f t="shared" si="284"/>
        <x:v>0</x:v>
      </x:c>
      <x:c r="GH267">
        <x:f t="shared" si="285"/>
        <x:v>0</x:v>
      </x:c>
      <x:c r="GI267">
        <x:f t="shared" si="286"/>
        <x:v>0</x:v>
      </x:c>
      <x:c r="GJ267">
        <x:f t="shared" si="287"/>
        <x:v>0</x:v>
      </x:c>
      <x:c r="GK267">
        <x:f t="shared" si="288"/>
        <x:v>0</x:v>
      </x:c>
      <x:c r="GL267">
        <x:f t="shared" si="289"/>
        <x:v>0</x:v>
      </x:c>
      <x:c r="GM267">
        <x:f t="shared" si="290"/>
        <x:v>0</x:v>
      </x:c>
      <x:c r="GN267">
        <x:f t="shared" si="291"/>
        <x:v>0</x:v>
      </x:c>
      <x:c r="GO267">
        <x:f t="shared" si="292"/>
        <x:v>0</x:v>
      </x:c>
      <x:c r="GP267">
        <x:f t="shared" si="293"/>
        <x:v>0</x:v>
      </x:c>
      <x:c r="GQ267">
        <x:f t="shared" si="294"/>
        <x:v>0</x:v>
      </x:c>
      <x:c r="GR267" s="42">
        <x:f t="shared" si="295"/>
        <x:v>0</x:v>
      </x:c>
      <x:c r="GS267">
        <x:f t="shared" si="296"/>
        <x:v>0</x:v>
      </x:c>
      <x:c r="GT267">
        <x:f t="shared" si="297"/>
        <x:v>0</x:v>
      </x:c>
      <x:c r="GU267">
        <x:f t="shared" si="298"/>
        <x:v>0</x:v>
      </x:c>
      <x:c r="GV267">
        <x:f t="shared" si="299"/>
        <x:v>0</x:v>
      </x:c>
      <x:c r="GW267">
        <x:f t="shared" si="300"/>
        <x:v>0</x:v>
      </x:c>
      <x:c r="GX267">
        <x:f t="shared" si="301"/>
        <x:v>0</x:v>
      </x:c>
      <x:c r="GY267">
        <x:f t="shared" si="302"/>
        <x:v>0</x:v>
      </x:c>
      <x:c r="GZ267">
        <x:f t="shared" si="303"/>
        <x:v>0</x:v>
      </x:c>
      <x:c r="HA267">
        <x:f t="shared" si="304"/>
        <x:v>0</x:v>
      </x:c>
      <x:c r="HB267" s="42">
        <x:f t="shared" si="305"/>
        <x:v>0</x:v>
      </x:c>
      <x:c r="HC267">
        <x:f t="shared" si="306"/>
        <x:v>0</x:v>
      </x:c>
      <x:c r="HD267">
        <x:f t="shared" si="307"/>
        <x:v>0</x:v>
      </x:c>
      <x:c r="HE267">
        <x:f t="shared" si="308"/>
        <x:v>0</x:v>
      </x:c>
      <x:c r="HF267">
        <x:f t="shared" si="309"/>
        <x:v>0</x:v>
      </x:c>
      <x:c r="HG267">
        <x:f t="shared" si="310"/>
        <x:v>0</x:v>
      </x:c>
      <x:c r="HH267">
        <x:f t="shared" si="311"/>
        <x:v>0</x:v>
      </x:c>
      <x:c r="HI267">
        <x:f t="shared" si="312"/>
        <x:v>0</x:v>
      </x:c>
      <x:c r="HJ267">
        <x:f t="shared" si="313"/>
        <x:v>0</x:v>
      </x:c>
      <x:c r="HK267">
        <x:f t="shared" si="314"/>
        <x:v>0</x:v>
      </x:c>
      <x:c r="HL267">
        <x:f t="shared" si="315"/>
        <x:v>0</x:v>
      </x:c>
    </x:row>
    <x:row r="268">
      <x:c r="D268" s="74"/>
      <x:c r="EQ268">
        <x:f t="shared" si="242"/>
        <x:v>0</x:v>
      </x:c>
      <x:c r="ER268">
        <x:f t="shared" si="243"/>
        <x:v>0</x:v>
      </x:c>
      <x:c r="ES268">
        <x:f t="shared" si="244"/>
        <x:v>0</x:v>
      </x:c>
      <x:c r="ET268">
        <x:f t="shared" si="245"/>
        <x:v>0</x:v>
      </x:c>
      <x:c r="EU268">
        <x:f t="shared" si="246"/>
        <x:v>0</x:v>
      </x:c>
      <x:c r="EV268">
        <x:f t="shared" si="247"/>
        <x:v>0</x:v>
      </x:c>
      <x:c r="EW268">
        <x:f t="shared" si="248"/>
        <x:v>0</x:v>
      </x:c>
      <x:c r="EX268">
        <x:f t="shared" si="249"/>
        <x:v>0</x:v>
      </x:c>
      <x:c r="EY268">
        <x:f t="shared" si="250"/>
        <x:v>0</x:v>
      </x:c>
      <x:c r="EZ268">
        <x:f t="shared" si="251"/>
        <x:v>0</x:v>
      </x:c>
      <x:c r="FA268" s="41">
        <x:f t="shared" si="252"/>
        <x:v>0</x:v>
      </x:c>
      <x:c r="FB268">
        <x:f t="shared" si="253"/>
        <x:v>0</x:v>
      </x:c>
      <x:c r="FC268">
        <x:f t="shared" si="254"/>
        <x:v>0</x:v>
      </x:c>
      <x:c r="FD268">
        <x:f t="shared" si="255"/>
        <x:v>0</x:v>
      </x:c>
      <x:c r="FE268">
        <x:f t="shared" si="256"/>
        <x:v>0</x:v>
      </x:c>
      <x:c r="FF268">
        <x:f t="shared" si="257"/>
        <x:v>0</x:v>
      </x:c>
      <x:c r="FG268">
        <x:f t="shared" si="258"/>
        <x:v>0</x:v>
      </x:c>
      <x:c r="FH268">
        <x:f t="shared" si="259"/>
        <x:v>0</x:v>
      </x:c>
      <x:c r="FI268">
        <x:f t="shared" si="260"/>
        <x:v>0</x:v>
      </x:c>
      <x:c r="FJ268">
        <x:f t="shared" si="261"/>
        <x:v>0</x:v>
      </x:c>
      <x:c r="FK268">
        <x:f t="shared" si="262"/>
        <x:v>0</x:v>
      </x:c>
      <x:c r="FL268" s="41">
        <x:f t="shared" si="263"/>
        <x:v>0</x:v>
      </x:c>
      <x:c r="FM268">
        <x:f t="shared" si="264"/>
        <x:v>0</x:v>
      </x:c>
      <x:c r="FN268">
        <x:f t="shared" si="265"/>
        <x:v>0</x:v>
      </x:c>
      <x:c r="FO268">
        <x:f t="shared" si="266"/>
        <x:v>0</x:v>
      </x:c>
      <x:c r="FP268">
        <x:f t="shared" si="267"/>
        <x:v>0</x:v>
      </x:c>
      <x:c r="FQ268">
        <x:f t="shared" si="268"/>
        <x:v>0</x:v>
      </x:c>
      <x:c r="FR268">
        <x:f t="shared" si="269"/>
        <x:v>0</x:v>
      </x:c>
      <x:c r="FS268">
        <x:f t="shared" si="270"/>
        <x:v>0</x:v>
      </x:c>
      <x:c r="FT268">
        <x:f t="shared" si="271"/>
        <x:v>0</x:v>
      </x:c>
      <x:c r="FU268">
        <x:f t="shared" si="272"/>
        <x:v>0</x:v>
      </x:c>
      <x:c r="FV268">
        <x:f t="shared" si="273"/>
        <x:v>0</x:v>
      </x:c>
      <x:c r="FW268" s="41">
        <x:f t="shared" si="274"/>
        <x:v>0</x:v>
      </x:c>
      <x:c r="FX268">
        <x:f t="shared" si="275"/>
        <x:v>0</x:v>
      </x:c>
      <x:c r="FY268">
        <x:f t="shared" si="276"/>
        <x:v>0</x:v>
      </x:c>
      <x:c r="FZ268">
        <x:f t="shared" si="277"/>
        <x:v>0</x:v>
      </x:c>
      <x:c r="GA268">
        <x:f t="shared" si="278"/>
        <x:v>0</x:v>
      </x:c>
      <x:c r="GB268">
        <x:f t="shared" si="279"/>
        <x:v>0</x:v>
      </x:c>
      <x:c r="GC268">
        <x:f t="shared" si="280"/>
        <x:v>0</x:v>
      </x:c>
      <x:c r="GD268">
        <x:f t="shared" si="281"/>
        <x:v>0</x:v>
      </x:c>
      <x:c r="GE268">
        <x:f t="shared" si="282"/>
        <x:v>0</x:v>
      </x:c>
      <x:c r="GF268">
        <x:f t="shared" si="283"/>
        <x:v>0</x:v>
      </x:c>
      <x:c r="GG268">
        <x:f t="shared" si="284"/>
        <x:v>0</x:v>
      </x:c>
      <x:c r="GH268">
        <x:f t="shared" si="285"/>
        <x:v>0</x:v>
      </x:c>
      <x:c r="GI268">
        <x:f t="shared" si="286"/>
        <x:v>0</x:v>
      </x:c>
      <x:c r="GJ268">
        <x:f t="shared" si="287"/>
        <x:v>0</x:v>
      </x:c>
      <x:c r="GK268">
        <x:f t="shared" si="288"/>
        <x:v>0</x:v>
      </x:c>
      <x:c r="GL268">
        <x:f t="shared" si="289"/>
        <x:v>0</x:v>
      </x:c>
      <x:c r="GM268">
        <x:f t="shared" si="290"/>
        <x:v>0</x:v>
      </x:c>
      <x:c r="GN268">
        <x:f t="shared" si="291"/>
        <x:v>0</x:v>
      </x:c>
      <x:c r="GO268">
        <x:f t="shared" si="292"/>
        <x:v>0</x:v>
      </x:c>
      <x:c r="GP268">
        <x:f t="shared" si="293"/>
        <x:v>0</x:v>
      </x:c>
      <x:c r="GQ268">
        <x:f t="shared" si="294"/>
        <x:v>0</x:v>
      </x:c>
      <x:c r="GR268" s="42">
        <x:f t="shared" si="295"/>
        <x:v>0</x:v>
      </x:c>
      <x:c r="GS268">
        <x:f t="shared" si="296"/>
        <x:v>0</x:v>
      </x:c>
      <x:c r="GT268">
        <x:f t="shared" si="297"/>
        <x:v>0</x:v>
      </x:c>
      <x:c r="GU268">
        <x:f t="shared" si="298"/>
        <x:v>0</x:v>
      </x:c>
      <x:c r="GV268">
        <x:f t="shared" si="299"/>
        <x:v>0</x:v>
      </x:c>
      <x:c r="GW268">
        <x:f t="shared" si="300"/>
        <x:v>0</x:v>
      </x:c>
      <x:c r="GX268">
        <x:f t="shared" si="301"/>
        <x:v>0</x:v>
      </x:c>
      <x:c r="GY268">
        <x:f t="shared" si="302"/>
        <x:v>0</x:v>
      </x:c>
      <x:c r="GZ268">
        <x:f t="shared" si="303"/>
        <x:v>0</x:v>
      </x:c>
      <x:c r="HA268">
        <x:f t="shared" si="304"/>
        <x:v>0</x:v>
      </x:c>
      <x:c r="HB268" s="42">
        <x:f t="shared" si="305"/>
        <x:v>0</x:v>
      </x:c>
      <x:c r="HC268">
        <x:f t="shared" si="306"/>
        <x:v>0</x:v>
      </x:c>
      <x:c r="HD268">
        <x:f t="shared" si="307"/>
        <x:v>0</x:v>
      </x:c>
      <x:c r="HE268">
        <x:f t="shared" si="308"/>
        <x:v>0</x:v>
      </x:c>
      <x:c r="HF268">
        <x:f t="shared" si="309"/>
        <x:v>0</x:v>
      </x:c>
      <x:c r="HG268">
        <x:f t="shared" si="310"/>
        <x:v>0</x:v>
      </x:c>
      <x:c r="HH268">
        <x:f t="shared" si="311"/>
        <x:v>0</x:v>
      </x:c>
      <x:c r="HI268">
        <x:f t="shared" si="312"/>
        <x:v>0</x:v>
      </x:c>
      <x:c r="HJ268">
        <x:f t="shared" si="313"/>
        <x:v>0</x:v>
      </x:c>
      <x:c r="HK268">
        <x:f t="shared" si="314"/>
        <x:v>0</x:v>
      </x:c>
      <x:c r="HL268">
        <x:f t="shared" si="315"/>
        <x:v>0</x:v>
      </x:c>
    </x:row>
    <x:row r="269">
      <x:c r="D269" s="74"/>
      <x:c r="EQ269" t="n">
        <x:f t="shared" ref="EQ269:EQ332" si="316">SUMIFS(E269:EP269,E$7:EP$7,"Quiz",E$11:EP$11,EQ$11)</x:f>
        <x:v>0</x:v>
      </x:c>
      <x:c r="ER269" t="n">
        <x:f t="shared" ref="ER269:ER332" si="317">SUMIFS(E269:EP269,E$7:EP$7,"Exam",E$11:EP$11,EQ$11)</x:f>
        <x:v>0</x:v>
      </x:c>
      <x:c r="ES269" t="n">
        <x:f t="shared" ref="ES269:ES332" si="318">SUMIFS(E269:EP269,E$7:EP$7,"Rubric-Scored Output",E$11:EP$11,EQ$11)</x:f>
        <x:v>0</x:v>
      </x:c>
      <x:c r="ET269" t="n">
        <x:f t="shared" ref="ET269:ET332" si="319">SUMIFS(E269:EP269,E$7:EP$7,"Performance Tasks",E$11:EP$11,EQ$11)</x:f>
        <x:v>0</x:v>
      </x:c>
      <x:c r="EU269" t="n">
        <x:f t="shared" ref="EU269:EU332" si="320">SUMIFS(E269:EP269,E$7:EP$7,"Lab Outputs",E$11:EP$11,EQ$11)</x:f>
        <x:v>0</x:v>
      </x:c>
      <x:c r="EV269" t="n">
        <x:f t="shared" ref="EV269:EV332" si="321">SUMIFS(E269:EP269,E$7:EP$7,"Skills Demonstration/ RLE",E$11:EP$11,EQ$11)</x:f>
        <x:v>0</x:v>
      </x:c>
      <x:c r="EW269" t="n">
        <x:f t="shared" ref="EW269:EW332" si="322">SUMIFS(E269:EP269,E$7:EP$7,"Portfolio",E$11:EP$11,EQ$11)</x:f>
        <x:v>0</x:v>
      </x:c>
      <x:c r="EX269" t="n">
        <x:f t="shared" ref="EX269:EX332" si="323">SUMIFS(E269:EP269,E$7:EP$7,"Capstone",E$11:EP$11,EQ$11)</x:f>
        <x:v>0</x:v>
      </x:c>
      <x:c r="EY269" t="n">
        <x:f t="shared" ref="EY269:EY332" si="324">SUMIFS(E269:EP269,E$7:EP$7,"Culminating Project",E$11:EP$11,EQ$11)</x:f>
        <x:v>0</x:v>
      </x:c>
      <x:c r="EZ269" t="n">
        <x:f t="shared" ref="EZ269:EZ332" si="325">SUMIFS(E269:EP269,E$7:EP$7,"Panel Evaluation",E$11:EP$11,EQ$11)</x:f>
        <x:v>0</x:v>
      </x:c>
      <x:c r="FA269" s="41" t="n">
        <x:f t="shared" ref="FA269:FA332" si="326">SUMIFS(E269:EP269,E$7:EP$7,"Internship Evaluation",E$11:EP$11,EQ$11)</x:f>
        <x:v>0</x:v>
      </x:c>
      <x:c r="FB269" t="n">
        <x:f t="shared" ref="FB269:FB332" si="327">SUMIFS(E269:EP269,E$7:EP$7,"Quiz",E$11:EP$11,FB$11)</x:f>
        <x:v>0</x:v>
      </x:c>
      <x:c r="FC269" t="n">
        <x:f t="shared" ref="FC269:FC332" si="328">SUMIFS(E269:EP269,E$7:EP$7,"Exam",E$11:EP$11,FB$11)</x:f>
        <x:v>0</x:v>
      </x:c>
      <x:c r="FD269" t="n">
        <x:f t="shared" ref="FD269:FD332" si="329">SUMIFS(E269:EP269,E$7:EP$7,"Rubric-Scored Output",E$11:EP$11,FB$11)</x:f>
        <x:v>0</x:v>
      </x:c>
      <x:c r="FE269" t="n">
        <x:f t="shared" ref="FE269:FE332" si="330">SUMIFS(E269:EP269,E$7:EP$7,"Performance Tasks",E$11:EP$11,FB$11)</x:f>
        <x:v>0</x:v>
      </x:c>
      <x:c r="FF269" t="n">
        <x:f t="shared" ref="FF269:FF332" si="331">SUMIFS(E269:EP269,E$7:EP$7,"Lab Outputs",E$11:EP$11,FB$11)</x:f>
        <x:v>0</x:v>
      </x:c>
      <x:c r="FG269" t="n">
        <x:f t="shared" ref="FG269:FG332" si="332">SUMIFS(E269:EP269,E$7:EP$7,"Skills Demonstration/ RLE",E$11:EP$11,FB$11)</x:f>
        <x:v>0</x:v>
      </x:c>
      <x:c r="FH269" t="n">
        <x:f t="shared" ref="FH269:FH332" si="333">SUMIFS(E269:EP269,E$7:EP$7,"Portfolio",E$11:EP$11,FB$11)</x:f>
        <x:v>0</x:v>
      </x:c>
      <x:c r="FI269" t="n">
        <x:f t="shared" ref="FI269:FI332" si="334">SUMIFS(E269:EP269,E$7:EP$7,"Capstone",E$11:EP$11,FB$11)</x:f>
        <x:v>0</x:v>
      </x:c>
      <x:c r="FJ269" t="n">
        <x:f t="shared" ref="FJ269:FJ332" si="335">SUMIFS(E269:EP269,E$7:EP$7,"Culminating Project",E$11:EP$11,FB$11)</x:f>
        <x:v>0</x:v>
      </x:c>
      <x:c r="FK269" t="n">
        <x:f t="shared" ref="FK269:FK332" si="336">SUMIFS(E269:EP269,E$7:EP$7,"Panel Evaluation",E$11:EP$11,FB$11)</x:f>
        <x:v>0</x:v>
      </x:c>
      <x:c r="FL269" s="41" t="n">
        <x:f t="shared" ref="FL269:FL332" si="337">SUMIFS(E269:EP269,E$7:EP$7,"Internship Evaluation",E$11:EP$11,FB$11)</x:f>
        <x:v>0</x:v>
      </x:c>
      <x:c r="FM269" t="n">
        <x:f t="shared" ref="FM269:FM332" si="338">SUMIFS(E269:EP269,E$7:EP$7,"Quiz",E$11:EP$11,FM$11)</x:f>
        <x:v>0</x:v>
      </x:c>
      <x:c r="FN269" t="n">
        <x:f t="shared" ref="FN269:FN332" si="339">SUMIFS(E269:EP269,E$7:EP$7,"Exam",E$11:EP$11,FM$11)</x:f>
        <x:v>0</x:v>
      </x:c>
      <x:c r="FO269" t="n">
        <x:f t="shared" ref="FO269:FO332" si="340">SUMIFS(E269:EP269,E$7:EP$7,"Rubric-Scored Output",E$11:EP$11,FM$11)</x:f>
        <x:v>0</x:v>
      </x:c>
      <x:c r="FP269" t="n">
        <x:f t="shared" ref="FP269:FP332" si="341">SUMIFS(E269:EP269,E$7:EP$7,"Performance Tasks",E$11:EP$11,FM$11)</x:f>
        <x:v>0</x:v>
      </x:c>
      <x:c r="FQ269" t="n">
        <x:f t="shared" ref="FQ269:FQ332" si="342">SUMIFS(E269:EP269,E$7:EP$7,"Lab Outputs",E$11:EP$11,FM$11)</x:f>
        <x:v>0</x:v>
      </x:c>
      <x:c r="FR269" t="n">
        <x:f t="shared" ref="FR269:FR332" si="343">SUMIFS(E269:EP269,E$7:EP$7,"Skills Demonstration/ RLE",E$11:EP$11,FM$11)</x:f>
        <x:v>0</x:v>
      </x:c>
      <x:c r="FS269" t="n">
        <x:f t="shared" ref="FS269:FS332" si="344">SUMIFS(E269:EP269,E$7:EP$7,"Portfolio",E$11:EP$11,FM$11)</x:f>
        <x:v>0</x:v>
      </x:c>
      <x:c r="FT269" t="n">
        <x:f t="shared" ref="FT269:FT332" si="345">SUMIFS(E269:EP269,E$7:EP$7,"Capstone",E$11:EP$11,FM$11)</x:f>
        <x:v>0</x:v>
      </x:c>
      <x:c r="FU269" t="n">
        <x:f t="shared" ref="FU269:FU332" si="346">SUMIFS(E269:EP269,E$7:EP$7,"Culminating Project",E$11:EP$11,FM$11)</x:f>
        <x:v>0</x:v>
      </x:c>
      <x:c r="FV269" t="n">
        <x:f t="shared" ref="FV269:FV332" si="347">SUMIFS(E269:EP269,E$7:EP$7,"Panel Evaluation",E$11:EP$11,FM$11)</x:f>
        <x:v>0</x:v>
      </x:c>
      <x:c r="FW269" s="41" t="n">
        <x:f t="shared" ref="FW269:FW332" si="348">SUMIFS(E269:EP269,E$7:EP$7,"Internship Evaluation",E$11:EP$11,FM$11)</x:f>
        <x:v>0</x:v>
      </x:c>
      <x:c r="FX269" t="n">
        <x:f t="shared" ref="FX269:FX332" si="349">SUMIF(EQ$7:FW$7,"Quiz",EQ269:FW269)</x:f>
        <x:v>0</x:v>
      </x:c>
      <x:c r="FY269" t="n">
        <x:f t="shared" ref="FY269:FY332" si="350">SUMIF(EQ$7:FW$7,"Exam",EQ269:FW269)</x:f>
        <x:v>0</x:v>
      </x:c>
      <x:c r="FZ269" t="n">
        <x:f t="shared" ref="FZ269:FZ332" si="351">SUMIF(EQ$7:FW$7,"Rubric-Scored Output",EQ269:FW269)</x:f>
        <x:v>0</x:v>
      </x:c>
      <x:c r="GA269" t="n">
        <x:f t="shared" ref="GA269:GA332" si="352">SUMIF(EQ$7:FW$7,"Performance Tasks",EQ269:FW269)</x:f>
        <x:v>0</x:v>
      </x:c>
      <x:c r="GB269" t="n">
        <x:f t="shared" ref="GB269:GB332" si="353">SUMIF(EQ$7:FW$7,"Lab Outputs",EQ269:FW269)</x:f>
        <x:v>0</x:v>
      </x:c>
      <x:c r="GC269" t="n">
        <x:f t="shared" ref="GC269:GC332" si="354">SUMIF(EQ$7:FW$7,"Skills Demonstration/ RLE",EQ269:FW269)</x:f>
        <x:v>0</x:v>
      </x:c>
      <x:c r="GD269" t="n">
        <x:f t="shared" ref="GD269:GD332" si="355">SUMIF(EQ$7:FW$7,"Portfolio",EQ269:FW269)</x:f>
        <x:v>0</x:v>
      </x:c>
      <x:c r="GE269" t="n">
        <x:f t="shared" ref="GE269:GE332" si="356">SUMIF(EQ$7:FW$7,"Capstone",EQ269:FW269)</x:f>
        <x:v>0</x:v>
      </x:c>
      <x:c r="GF269" t="n">
        <x:f t="shared" ref="GF269:GF332" si="357">SUMIF(EQ$7:FW$7,"Culminating Project",EQ269:FW269)</x:f>
        <x:v>0</x:v>
      </x:c>
      <x:c r="GG269" t="n">
        <x:f t="shared" ref="GG269:GG332" si="358">SUMIF(EQ$7:FW$7,"Panel Evaluation",EQ269:FW269)</x:f>
        <x:v>0</x:v>
      </x:c>
      <x:c r="GH269" t="n">
        <x:f t="shared" ref="GH269:GH332" si="359">SUMIF(EQ$7:FW$7,"Internship Evaluation",EQ269:FW269)</x:f>
        <x:v>0</x:v>
      </x:c>
      <x:c r="GI269" t="n">
        <x:f t="shared" ref="GI269:GI332" si="360">SUMIFS(E269:EP269,E$8:EP$8,GI$8,E$11:EP$11,GI$11)</x:f>
        <x:v>0</x:v>
      </x:c>
      <x:c r="GJ269" t="n">
        <x:f t="shared" ref="GJ269:GJ332" si="361">SUMIFS(E269:EP269,E$8:EP$8,GJ$8,E$11:EP$11,GI$11)</x:f>
        <x:v>0</x:v>
      </x:c>
      <x:c r="GK269" t="n">
        <x:f t="shared" ref="GK269:GK332" si="362">SUMIFS(E269:EP269,E$8:EP$8,GK$8,E$11:EP$11,GI$11)</x:f>
        <x:v>0</x:v>
      </x:c>
      <x:c r="GL269" t="n">
        <x:f t="shared" ref="GL269:GL332" si="363">SUMIFS(E269:EP269,E$8:EP$8,GL$8,E$11:EP$11,GI$11)</x:f>
        <x:v>0</x:v>
      </x:c>
      <x:c r="GM269" t="n">
        <x:f t="shared" ref="GM269:GM332" si="364">SUMIFS(E269:EP269,E$8:EP$8,GM$8,E$11:EP$11,GI$11)</x:f>
        <x:v>0</x:v>
      </x:c>
      <x:c r="GN269" t="n">
        <x:f t="shared" ref="GN269:GN332" si="365">SUMIFS(E269:EP269,E$8:EP$8,GN$8,E$11:EP$11,GI$11)</x:f>
        <x:v>0</x:v>
      </x:c>
      <x:c r="GO269" t="n">
        <x:f t="shared" ref="GO269:GO332" si="366">SUMIFS(E269:EP269,E$8:EP$8,GO$8,E$11:EP$11,GI$11)</x:f>
        <x:v>0</x:v>
      </x:c>
      <x:c r="GP269" t="n">
        <x:f t="shared" ref="GP269:GP332" si="367">SUMIFS(E269:EP269,E$8:EP$8,GP$8,E$11:EP$11,GI$11)</x:f>
        <x:v>0</x:v>
      </x:c>
      <x:c r="GQ269" t="n">
        <x:f t="shared" ref="GQ269:GQ332" si="368">SUMIFS(E269:EP269,E$8:EP$8,GQ$8,E$11:EP$11,GI$11)</x:f>
        <x:v>0</x:v>
      </x:c>
      <x:c r="GR269" s="42" t="n">
        <x:f t="shared" ref="GR269:GR332" si="369">SUMIFS(E269:EP269,E$8:EP$8,GR$8,E$11:EP$11,GI$11)</x:f>
        <x:v>0</x:v>
      </x:c>
      <x:c r="GS269" t="n">
        <x:f t="shared" ref="GS269:GS332" si="370">SUMIFS(E269:EP269,E$8:EP$8,GI$8,E$11:EP$11,GS$11)</x:f>
        <x:v>0</x:v>
      </x:c>
      <x:c r="GT269" t="n">
        <x:f t="shared" ref="GT269:GT332" si="371">SUMIFS(E269:EP269,E$8:EP$8,GJ$8,E$11:EP$11,GS$11)</x:f>
        <x:v>0</x:v>
      </x:c>
      <x:c r="GU269" t="n">
        <x:f t="shared" ref="GU269:GU332" si="372">SUMIFS(E269:EP269,E$8:EP$8,GK$8,E$11:EP$11,GS$11)</x:f>
        <x:v>0</x:v>
      </x:c>
      <x:c r="GV269" t="n">
        <x:f t="shared" ref="GV269:GV332" si="373">SUMIFS(E269:EP269,E$8:EP$8,GL$8,E$11:EP$11,GS$11)</x:f>
        <x:v>0</x:v>
      </x:c>
      <x:c r="GW269" t="n">
        <x:f t="shared" ref="GW269:GW332" si="374">SUMIFS(E269:EP269,E$8:EP$8,GM$8,E$11:EP$11,GS$11)</x:f>
        <x:v>0</x:v>
      </x:c>
      <x:c r="GX269" t="n">
        <x:f t="shared" ref="GX269:GX332" si="375">SUMIFS(E269:EP269,E$8:EP$8,GN$8,E$11:EP$11,GS$11)</x:f>
        <x:v>0</x:v>
      </x:c>
      <x:c r="GY269" t="n">
        <x:f t="shared" ref="GY269:GY332" si="376">SUMIFS(E269:EP269,E$8:EP$8,GY$8,E$11:EP$11,GS$11)</x:f>
        <x:v>0</x:v>
      </x:c>
      <x:c r="GZ269" t="n">
        <x:f t="shared" ref="GZ269:GZ332" si="377">SUMIFS(E269:EP269,E$8:EP$8,GZ$8,E$11:EP$11,GS$11)</x:f>
        <x:v>0</x:v>
      </x:c>
      <x:c r="HA269" t="n">
        <x:f t="shared" ref="HA269:HA332" si="378">SUMIFS(E269:EP269,E$8:EP$8,HA$8,E$11:EP$11,GS$11)</x:f>
        <x:v>0</x:v>
      </x:c>
      <x:c r="HB269" s="42" t="n">
        <x:f t="shared" ref="HB269:HB332" si="379">SUMIFS(E269:EP269,E$8:EP$8,GR$8,E$11:EP$11,GS$11)</x:f>
        <x:v>0</x:v>
      </x:c>
      <x:c r="HC269" t="n">
        <x:f t="shared" ref="HC269:HC332" si="380">SUMIFS(E269:EP269,E$8:EP$8,GI$8,E$11:EP$11,HC$11)</x:f>
        <x:v>0</x:v>
      </x:c>
      <x:c r="HD269" t="n">
        <x:f t="shared" ref="HD269:HD332" si="381">SUMIFS(E269:EP269,E$8:EP$8,GJ$8,E$11:EP$11,HC$11)</x:f>
        <x:v>0</x:v>
      </x:c>
      <x:c r="HE269" t="n">
        <x:f t="shared" ref="HE269:HE332" si="382">SUMIFS(E269:EP269,E$8:EP$8,GK$8,E$11:EP$11,HC$11)</x:f>
        <x:v>0</x:v>
      </x:c>
      <x:c r="HF269" t="n">
        <x:f t="shared" ref="HF269:HF332" si="383">SUMIFS(E269:EP269,E$8:EP$8,GL$8,E$11:EP$11,HC$11)</x:f>
        <x:v>0</x:v>
      </x:c>
      <x:c r="HG269" t="n">
        <x:f t="shared" ref="HG269:HG332" si="384">SUMIFS(E269:EP269,E$8:EP$8,GM$8,E$11:EP$11,HC$11)</x:f>
        <x:v>0</x:v>
      </x:c>
      <x:c r="HH269" t="n">
        <x:f t="shared" ref="HH269:HH332" si="385">SUMIFS(E269:EP269,E$8:EP$8,GN$8,E$11:EP$11,HC$11)</x:f>
        <x:v>0</x:v>
      </x:c>
      <x:c r="HI269" t="n">
        <x:f t="shared" ref="HI269:HI332" si="386">SUMIFS(E269:EP269,E$8:EP$8,GO$8,E$11:EP$11,HC$11)</x:f>
        <x:v>0</x:v>
      </x:c>
      <x:c r="HJ269" t="n">
        <x:f t="shared" ref="HJ269:HJ332" si="387">SUMIFS(E269:EP269,E$8:EP$8,GP$8,E$11:EP$11,HC$11)</x:f>
        <x:v>0</x:v>
      </x:c>
      <x:c r="HK269" t="n">
        <x:f t="shared" ref="HK269:HK332" si="388">SUMIFS(E269:EP269,E$8:EP$8,GQ$8,E$11:EP$11,HC$11)</x:f>
        <x:v>0</x:v>
      </x:c>
      <x:c r="HL269" t="n">
        <x:f t="shared" ref="HL269:HL332" si="389">SUMIFS(E269:EP269,E$8:EP$8,GR$8,E$11:EP$11,HC$11)</x:f>
        <x:v>0</x:v>
      </x:c>
    </x:row>
    <x:row r="270">
      <x:c r="D270" s="74"/>
      <x:c r="EQ270">
        <x:f t="shared" si="316"/>
        <x:v>0</x:v>
      </x:c>
      <x:c r="ER270">
        <x:f t="shared" si="317"/>
        <x:v>0</x:v>
      </x:c>
      <x:c r="ES270">
        <x:f t="shared" si="318"/>
        <x:v>0</x:v>
      </x:c>
      <x:c r="ET270">
        <x:f t="shared" si="319"/>
        <x:v>0</x:v>
      </x:c>
      <x:c r="EU270">
        <x:f t="shared" si="320"/>
        <x:v>0</x:v>
      </x:c>
      <x:c r="EV270">
        <x:f t="shared" si="321"/>
        <x:v>0</x:v>
      </x:c>
      <x:c r="EW270">
        <x:f t="shared" si="322"/>
        <x:v>0</x:v>
      </x:c>
      <x:c r="EX270">
        <x:f t="shared" si="323"/>
        <x:v>0</x:v>
      </x:c>
      <x:c r="EY270">
        <x:f t="shared" si="324"/>
        <x:v>0</x:v>
      </x:c>
      <x:c r="EZ270">
        <x:f t="shared" si="325"/>
        <x:v>0</x:v>
      </x:c>
      <x:c r="FA270" s="41">
        <x:f t="shared" si="326"/>
        <x:v>0</x:v>
      </x:c>
      <x:c r="FB270">
        <x:f t="shared" si="327"/>
        <x:v>0</x:v>
      </x:c>
      <x:c r="FC270">
        <x:f t="shared" si="328"/>
        <x:v>0</x:v>
      </x:c>
      <x:c r="FD270">
        <x:f t="shared" si="329"/>
        <x:v>0</x:v>
      </x:c>
      <x:c r="FE270">
        <x:f t="shared" si="330"/>
        <x:v>0</x:v>
      </x:c>
      <x:c r="FF270">
        <x:f t="shared" si="331"/>
        <x:v>0</x:v>
      </x:c>
      <x:c r="FG270">
        <x:f t="shared" si="332"/>
        <x:v>0</x:v>
      </x:c>
      <x:c r="FH270">
        <x:f t="shared" si="333"/>
        <x:v>0</x:v>
      </x:c>
      <x:c r="FI270">
        <x:f t="shared" si="334"/>
        <x:v>0</x:v>
      </x:c>
      <x:c r="FJ270">
        <x:f t="shared" si="335"/>
        <x:v>0</x:v>
      </x:c>
      <x:c r="FK270">
        <x:f t="shared" si="336"/>
        <x:v>0</x:v>
      </x:c>
      <x:c r="FL270" s="41">
        <x:f t="shared" si="337"/>
        <x:v>0</x:v>
      </x:c>
      <x:c r="FM270">
        <x:f t="shared" si="338"/>
        <x:v>0</x:v>
      </x:c>
      <x:c r="FN270">
        <x:f t="shared" si="339"/>
        <x:v>0</x:v>
      </x:c>
      <x:c r="FO270">
        <x:f t="shared" si="340"/>
        <x:v>0</x:v>
      </x:c>
      <x:c r="FP270">
        <x:f t="shared" si="341"/>
        <x:v>0</x:v>
      </x:c>
      <x:c r="FQ270">
        <x:f t="shared" si="342"/>
        <x:v>0</x:v>
      </x:c>
      <x:c r="FR270">
        <x:f t="shared" si="343"/>
        <x:v>0</x:v>
      </x:c>
      <x:c r="FS270">
        <x:f t="shared" si="344"/>
        <x:v>0</x:v>
      </x:c>
      <x:c r="FT270">
        <x:f t="shared" si="345"/>
        <x:v>0</x:v>
      </x:c>
      <x:c r="FU270">
        <x:f t="shared" si="346"/>
        <x:v>0</x:v>
      </x:c>
      <x:c r="FV270">
        <x:f t="shared" si="347"/>
        <x:v>0</x:v>
      </x:c>
      <x:c r="FW270" s="41">
        <x:f t="shared" si="348"/>
        <x:v>0</x:v>
      </x:c>
      <x:c r="FX270">
        <x:f t="shared" si="349"/>
        <x:v>0</x:v>
      </x:c>
      <x:c r="FY270">
        <x:f t="shared" si="350"/>
        <x:v>0</x:v>
      </x:c>
      <x:c r="FZ270">
        <x:f t="shared" si="351"/>
        <x:v>0</x:v>
      </x:c>
      <x:c r="GA270">
        <x:f t="shared" si="352"/>
        <x:v>0</x:v>
      </x:c>
      <x:c r="GB270">
        <x:f t="shared" si="353"/>
        <x:v>0</x:v>
      </x:c>
      <x:c r="GC270">
        <x:f t="shared" si="354"/>
        <x:v>0</x:v>
      </x:c>
      <x:c r="GD270">
        <x:f t="shared" si="355"/>
        <x:v>0</x:v>
      </x:c>
      <x:c r="GE270">
        <x:f t="shared" si="356"/>
        <x:v>0</x:v>
      </x:c>
      <x:c r="GF270">
        <x:f t="shared" si="357"/>
        <x:v>0</x:v>
      </x:c>
      <x:c r="GG270">
        <x:f t="shared" si="358"/>
        <x:v>0</x:v>
      </x:c>
      <x:c r="GH270">
        <x:f t="shared" si="359"/>
        <x:v>0</x:v>
      </x:c>
      <x:c r="GI270">
        <x:f t="shared" si="360"/>
        <x:v>0</x:v>
      </x:c>
      <x:c r="GJ270">
        <x:f t="shared" si="361"/>
        <x:v>0</x:v>
      </x:c>
      <x:c r="GK270">
        <x:f t="shared" si="362"/>
        <x:v>0</x:v>
      </x:c>
      <x:c r="GL270">
        <x:f t="shared" si="363"/>
        <x:v>0</x:v>
      </x:c>
      <x:c r="GM270">
        <x:f t="shared" si="364"/>
        <x:v>0</x:v>
      </x:c>
      <x:c r="GN270">
        <x:f t="shared" si="365"/>
        <x:v>0</x:v>
      </x:c>
      <x:c r="GO270">
        <x:f t="shared" si="366"/>
        <x:v>0</x:v>
      </x:c>
      <x:c r="GP270">
        <x:f t="shared" si="367"/>
        <x:v>0</x:v>
      </x:c>
      <x:c r="GQ270">
        <x:f t="shared" si="368"/>
        <x:v>0</x:v>
      </x:c>
      <x:c r="GR270" s="42">
        <x:f t="shared" si="369"/>
        <x:v>0</x:v>
      </x:c>
      <x:c r="GS270">
        <x:f t="shared" si="370"/>
        <x:v>0</x:v>
      </x:c>
      <x:c r="GT270">
        <x:f t="shared" si="371"/>
        <x:v>0</x:v>
      </x:c>
      <x:c r="GU270">
        <x:f t="shared" si="372"/>
        <x:v>0</x:v>
      </x:c>
      <x:c r="GV270">
        <x:f t="shared" si="373"/>
        <x:v>0</x:v>
      </x:c>
      <x:c r="GW270">
        <x:f t="shared" si="374"/>
        <x:v>0</x:v>
      </x:c>
      <x:c r="GX270">
        <x:f t="shared" si="375"/>
        <x:v>0</x:v>
      </x:c>
      <x:c r="GY270">
        <x:f t="shared" si="376"/>
        <x:v>0</x:v>
      </x:c>
      <x:c r="GZ270">
        <x:f t="shared" si="377"/>
        <x:v>0</x:v>
      </x:c>
      <x:c r="HA270">
        <x:f t="shared" si="378"/>
        <x:v>0</x:v>
      </x:c>
      <x:c r="HB270" s="42">
        <x:f t="shared" si="379"/>
        <x:v>0</x:v>
      </x:c>
      <x:c r="HC270">
        <x:f t="shared" si="380"/>
        <x:v>0</x:v>
      </x:c>
      <x:c r="HD270">
        <x:f t="shared" si="381"/>
        <x:v>0</x:v>
      </x:c>
      <x:c r="HE270">
        <x:f t="shared" si="382"/>
        <x:v>0</x:v>
      </x:c>
      <x:c r="HF270">
        <x:f t="shared" si="383"/>
        <x:v>0</x:v>
      </x:c>
      <x:c r="HG270">
        <x:f t="shared" si="384"/>
        <x:v>0</x:v>
      </x:c>
      <x:c r="HH270">
        <x:f t="shared" si="385"/>
        <x:v>0</x:v>
      </x:c>
      <x:c r="HI270">
        <x:f t="shared" si="386"/>
        <x:v>0</x:v>
      </x:c>
      <x:c r="HJ270">
        <x:f t="shared" si="387"/>
        <x:v>0</x:v>
      </x:c>
      <x:c r="HK270">
        <x:f t="shared" si="388"/>
        <x:v>0</x:v>
      </x:c>
      <x:c r="HL270">
        <x:f t="shared" si="389"/>
        <x:v>0</x:v>
      </x:c>
    </x:row>
    <x:row r="271">
      <x:c r="D271" s="74"/>
      <x:c r="EQ271">
        <x:f t="shared" si="316"/>
        <x:v>0</x:v>
      </x:c>
      <x:c r="ER271">
        <x:f t="shared" si="317"/>
        <x:v>0</x:v>
      </x:c>
      <x:c r="ES271">
        <x:f t="shared" si="318"/>
        <x:v>0</x:v>
      </x:c>
      <x:c r="ET271">
        <x:f t="shared" si="319"/>
        <x:v>0</x:v>
      </x:c>
      <x:c r="EU271">
        <x:f t="shared" si="320"/>
        <x:v>0</x:v>
      </x:c>
      <x:c r="EV271">
        <x:f t="shared" si="321"/>
        <x:v>0</x:v>
      </x:c>
      <x:c r="EW271">
        <x:f t="shared" si="322"/>
        <x:v>0</x:v>
      </x:c>
      <x:c r="EX271">
        <x:f t="shared" si="323"/>
        <x:v>0</x:v>
      </x:c>
      <x:c r="EY271">
        <x:f t="shared" si="324"/>
        <x:v>0</x:v>
      </x:c>
      <x:c r="EZ271">
        <x:f t="shared" si="325"/>
        <x:v>0</x:v>
      </x:c>
      <x:c r="FA271" s="41">
        <x:f t="shared" si="326"/>
        <x:v>0</x:v>
      </x:c>
      <x:c r="FB271">
        <x:f t="shared" si="327"/>
        <x:v>0</x:v>
      </x:c>
      <x:c r="FC271">
        <x:f t="shared" si="328"/>
        <x:v>0</x:v>
      </x:c>
      <x:c r="FD271">
        <x:f t="shared" si="329"/>
        <x:v>0</x:v>
      </x:c>
      <x:c r="FE271">
        <x:f t="shared" si="330"/>
        <x:v>0</x:v>
      </x:c>
      <x:c r="FF271">
        <x:f t="shared" si="331"/>
        <x:v>0</x:v>
      </x:c>
      <x:c r="FG271">
        <x:f t="shared" si="332"/>
        <x:v>0</x:v>
      </x:c>
      <x:c r="FH271">
        <x:f t="shared" si="333"/>
        <x:v>0</x:v>
      </x:c>
      <x:c r="FI271">
        <x:f t="shared" si="334"/>
        <x:v>0</x:v>
      </x:c>
      <x:c r="FJ271">
        <x:f t="shared" si="335"/>
        <x:v>0</x:v>
      </x:c>
      <x:c r="FK271">
        <x:f t="shared" si="336"/>
        <x:v>0</x:v>
      </x:c>
      <x:c r="FL271" s="41">
        <x:f t="shared" si="337"/>
        <x:v>0</x:v>
      </x:c>
      <x:c r="FM271">
        <x:f t="shared" si="338"/>
        <x:v>0</x:v>
      </x:c>
      <x:c r="FN271">
        <x:f t="shared" si="339"/>
        <x:v>0</x:v>
      </x:c>
      <x:c r="FO271">
        <x:f t="shared" si="340"/>
        <x:v>0</x:v>
      </x:c>
      <x:c r="FP271">
        <x:f t="shared" si="341"/>
        <x:v>0</x:v>
      </x:c>
      <x:c r="FQ271">
        <x:f t="shared" si="342"/>
        <x:v>0</x:v>
      </x:c>
      <x:c r="FR271">
        <x:f t="shared" si="343"/>
        <x:v>0</x:v>
      </x:c>
      <x:c r="FS271">
        <x:f t="shared" si="344"/>
        <x:v>0</x:v>
      </x:c>
      <x:c r="FT271">
        <x:f t="shared" si="345"/>
        <x:v>0</x:v>
      </x:c>
      <x:c r="FU271">
        <x:f t="shared" si="346"/>
        <x:v>0</x:v>
      </x:c>
      <x:c r="FV271">
        <x:f t="shared" si="347"/>
        <x:v>0</x:v>
      </x:c>
      <x:c r="FW271" s="41">
        <x:f t="shared" si="348"/>
        <x:v>0</x:v>
      </x:c>
      <x:c r="FX271">
        <x:f t="shared" si="349"/>
        <x:v>0</x:v>
      </x:c>
      <x:c r="FY271">
        <x:f t="shared" si="350"/>
        <x:v>0</x:v>
      </x:c>
      <x:c r="FZ271">
        <x:f t="shared" si="351"/>
        <x:v>0</x:v>
      </x:c>
      <x:c r="GA271">
        <x:f t="shared" si="352"/>
        <x:v>0</x:v>
      </x:c>
      <x:c r="GB271">
        <x:f t="shared" si="353"/>
        <x:v>0</x:v>
      </x:c>
      <x:c r="GC271">
        <x:f t="shared" si="354"/>
        <x:v>0</x:v>
      </x:c>
      <x:c r="GD271">
        <x:f t="shared" si="355"/>
        <x:v>0</x:v>
      </x:c>
      <x:c r="GE271">
        <x:f t="shared" si="356"/>
        <x:v>0</x:v>
      </x:c>
      <x:c r="GF271">
        <x:f t="shared" si="357"/>
        <x:v>0</x:v>
      </x:c>
      <x:c r="GG271">
        <x:f t="shared" si="358"/>
        <x:v>0</x:v>
      </x:c>
      <x:c r="GH271">
        <x:f t="shared" si="359"/>
        <x:v>0</x:v>
      </x:c>
      <x:c r="GI271">
        <x:f t="shared" si="360"/>
        <x:v>0</x:v>
      </x:c>
      <x:c r="GJ271">
        <x:f t="shared" si="361"/>
        <x:v>0</x:v>
      </x:c>
      <x:c r="GK271">
        <x:f t="shared" si="362"/>
        <x:v>0</x:v>
      </x:c>
      <x:c r="GL271">
        <x:f t="shared" si="363"/>
        <x:v>0</x:v>
      </x:c>
      <x:c r="GM271">
        <x:f t="shared" si="364"/>
        <x:v>0</x:v>
      </x:c>
      <x:c r="GN271">
        <x:f t="shared" si="365"/>
        <x:v>0</x:v>
      </x:c>
      <x:c r="GO271">
        <x:f t="shared" si="366"/>
        <x:v>0</x:v>
      </x:c>
      <x:c r="GP271">
        <x:f t="shared" si="367"/>
        <x:v>0</x:v>
      </x:c>
      <x:c r="GQ271">
        <x:f t="shared" si="368"/>
        <x:v>0</x:v>
      </x:c>
      <x:c r="GR271" s="42">
        <x:f t="shared" si="369"/>
        <x:v>0</x:v>
      </x:c>
      <x:c r="GS271">
        <x:f t="shared" si="370"/>
        <x:v>0</x:v>
      </x:c>
      <x:c r="GT271">
        <x:f t="shared" si="371"/>
        <x:v>0</x:v>
      </x:c>
      <x:c r="GU271">
        <x:f t="shared" si="372"/>
        <x:v>0</x:v>
      </x:c>
      <x:c r="GV271">
        <x:f t="shared" si="373"/>
        <x:v>0</x:v>
      </x:c>
      <x:c r="GW271">
        <x:f t="shared" si="374"/>
        <x:v>0</x:v>
      </x:c>
      <x:c r="GX271">
        <x:f t="shared" si="375"/>
        <x:v>0</x:v>
      </x:c>
      <x:c r="GY271">
        <x:f t="shared" si="376"/>
        <x:v>0</x:v>
      </x:c>
      <x:c r="GZ271">
        <x:f t="shared" si="377"/>
        <x:v>0</x:v>
      </x:c>
      <x:c r="HA271">
        <x:f t="shared" si="378"/>
        <x:v>0</x:v>
      </x:c>
      <x:c r="HB271" s="42">
        <x:f t="shared" si="379"/>
        <x:v>0</x:v>
      </x:c>
      <x:c r="HC271">
        <x:f t="shared" si="380"/>
        <x:v>0</x:v>
      </x:c>
      <x:c r="HD271">
        <x:f t="shared" si="381"/>
        <x:v>0</x:v>
      </x:c>
      <x:c r="HE271">
        <x:f t="shared" si="382"/>
        <x:v>0</x:v>
      </x:c>
      <x:c r="HF271">
        <x:f t="shared" si="383"/>
        <x:v>0</x:v>
      </x:c>
      <x:c r="HG271">
        <x:f t="shared" si="384"/>
        <x:v>0</x:v>
      </x:c>
      <x:c r="HH271">
        <x:f t="shared" si="385"/>
        <x:v>0</x:v>
      </x:c>
      <x:c r="HI271">
        <x:f t="shared" si="386"/>
        <x:v>0</x:v>
      </x:c>
      <x:c r="HJ271">
        <x:f t="shared" si="387"/>
        <x:v>0</x:v>
      </x:c>
      <x:c r="HK271">
        <x:f t="shared" si="388"/>
        <x:v>0</x:v>
      </x:c>
      <x:c r="HL271">
        <x:f t="shared" si="389"/>
        <x:v>0</x:v>
      </x:c>
    </x:row>
    <x:row r="272">
      <x:c r="D272" s="74"/>
      <x:c r="EQ272">
        <x:f t="shared" si="316"/>
        <x:v>0</x:v>
      </x:c>
      <x:c r="ER272">
        <x:f t="shared" si="317"/>
        <x:v>0</x:v>
      </x:c>
      <x:c r="ES272">
        <x:f t="shared" si="318"/>
        <x:v>0</x:v>
      </x:c>
      <x:c r="ET272">
        <x:f t="shared" si="319"/>
        <x:v>0</x:v>
      </x:c>
      <x:c r="EU272">
        <x:f t="shared" si="320"/>
        <x:v>0</x:v>
      </x:c>
      <x:c r="EV272">
        <x:f t="shared" si="321"/>
        <x:v>0</x:v>
      </x:c>
      <x:c r="EW272">
        <x:f t="shared" si="322"/>
        <x:v>0</x:v>
      </x:c>
      <x:c r="EX272">
        <x:f t="shared" si="323"/>
        <x:v>0</x:v>
      </x:c>
      <x:c r="EY272">
        <x:f t="shared" si="324"/>
        <x:v>0</x:v>
      </x:c>
      <x:c r="EZ272">
        <x:f t="shared" si="325"/>
        <x:v>0</x:v>
      </x:c>
      <x:c r="FA272" s="41">
        <x:f t="shared" si="326"/>
        <x:v>0</x:v>
      </x:c>
      <x:c r="FB272">
        <x:f t="shared" si="327"/>
        <x:v>0</x:v>
      </x:c>
      <x:c r="FC272">
        <x:f t="shared" si="328"/>
        <x:v>0</x:v>
      </x:c>
      <x:c r="FD272">
        <x:f t="shared" si="329"/>
        <x:v>0</x:v>
      </x:c>
      <x:c r="FE272">
        <x:f t="shared" si="330"/>
        <x:v>0</x:v>
      </x:c>
      <x:c r="FF272">
        <x:f t="shared" si="331"/>
        <x:v>0</x:v>
      </x:c>
      <x:c r="FG272">
        <x:f t="shared" si="332"/>
        <x:v>0</x:v>
      </x:c>
      <x:c r="FH272">
        <x:f t="shared" si="333"/>
        <x:v>0</x:v>
      </x:c>
      <x:c r="FI272">
        <x:f t="shared" si="334"/>
        <x:v>0</x:v>
      </x:c>
      <x:c r="FJ272">
        <x:f t="shared" si="335"/>
        <x:v>0</x:v>
      </x:c>
      <x:c r="FK272">
        <x:f t="shared" si="336"/>
        <x:v>0</x:v>
      </x:c>
      <x:c r="FL272" s="41">
        <x:f t="shared" si="337"/>
        <x:v>0</x:v>
      </x:c>
      <x:c r="FM272">
        <x:f t="shared" si="338"/>
        <x:v>0</x:v>
      </x:c>
      <x:c r="FN272">
        <x:f t="shared" si="339"/>
        <x:v>0</x:v>
      </x:c>
      <x:c r="FO272">
        <x:f t="shared" si="340"/>
        <x:v>0</x:v>
      </x:c>
      <x:c r="FP272">
        <x:f t="shared" si="341"/>
        <x:v>0</x:v>
      </x:c>
      <x:c r="FQ272">
        <x:f t="shared" si="342"/>
        <x:v>0</x:v>
      </x:c>
      <x:c r="FR272">
        <x:f t="shared" si="343"/>
        <x:v>0</x:v>
      </x:c>
      <x:c r="FS272">
        <x:f t="shared" si="344"/>
        <x:v>0</x:v>
      </x:c>
      <x:c r="FT272">
        <x:f t="shared" si="345"/>
        <x:v>0</x:v>
      </x:c>
      <x:c r="FU272">
        <x:f t="shared" si="346"/>
        <x:v>0</x:v>
      </x:c>
      <x:c r="FV272">
        <x:f t="shared" si="347"/>
        <x:v>0</x:v>
      </x:c>
      <x:c r="FW272" s="41">
        <x:f t="shared" si="348"/>
        <x:v>0</x:v>
      </x:c>
      <x:c r="FX272">
        <x:f t="shared" si="349"/>
        <x:v>0</x:v>
      </x:c>
      <x:c r="FY272">
        <x:f t="shared" si="350"/>
        <x:v>0</x:v>
      </x:c>
      <x:c r="FZ272">
        <x:f t="shared" si="351"/>
        <x:v>0</x:v>
      </x:c>
      <x:c r="GA272">
        <x:f t="shared" si="352"/>
        <x:v>0</x:v>
      </x:c>
      <x:c r="GB272">
        <x:f t="shared" si="353"/>
        <x:v>0</x:v>
      </x:c>
      <x:c r="GC272">
        <x:f t="shared" si="354"/>
        <x:v>0</x:v>
      </x:c>
      <x:c r="GD272">
        <x:f t="shared" si="355"/>
        <x:v>0</x:v>
      </x:c>
      <x:c r="GE272">
        <x:f t="shared" si="356"/>
        <x:v>0</x:v>
      </x:c>
      <x:c r="GF272">
        <x:f t="shared" si="357"/>
        <x:v>0</x:v>
      </x:c>
      <x:c r="GG272">
        <x:f t="shared" si="358"/>
        <x:v>0</x:v>
      </x:c>
      <x:c r="GH272">
        <x:f t="shared" si="359"/>
        <x:v>0</x:v>
      </x:c>
      <x:c r="GI272">
        <x:f t="shared" si="360"/>
        <x:v>0</x:v>
      </x:c>
      <x:c r="GJ272">
        <x:f t="shared" si="361"/>
        <x:v>0</x:v>
      </x:c>
      <x:c r="GK272">
        <x:f t="shared" si="362"/>
        <x:v>0</x:v>
      </x:c>
      <x:c r="GL272">
        <x:f t="shared" si="363"/>
        <x:v>0</x:v>
      </x:c>
      <x:c r="GM272">
        <x:f t="shared" si="364"/>
        <x:v>0</x:v>
      </x:c>
      <x:c r="GN272">
        <x:f t="shared" si="365"/>
        <x:v>0</x:v>
      </x:c>
      <x:c r="GO272">
        <x:f t="shared" si="366"/>
        <x:v>0</x:v>
      </x:c>
      <x:c r="GP272">
        <x:f t="shared" si="367"/>
        <x:v>0</x:v>
      </x:c>
      <x:c r="GQ272">
        <x:f t="shared" si="368"/>
        <x:v>0</x:v>
      </x:c>
      <x:c r="GR272" s="42">
        <x:f t="shared" si="369"/>
        <x:v>0</x:v>
      </x:c>
      <x:c r="GS272">
        <x:f t="shared" si="370"/>
        <x:v>0</x:v>
      </x:c>
      <x:c r="GT272">
        <x:f t="shared" si="371"/>
        <x:v>0</x:v>
      </x:c>
      <x:c r="GU272">
        <x:f t="shared" si="372"/>
        <x:v>0</x:v>
      </x:c>
      <x:c r="GV272">
        <x:f t="shared" si="373"/>
        <x:v>0</x:v>
      </x:c>
      <x:c r="GW272">
        <x:f t="shared" si="374"/>
        <x:v>0</x:v>
      </x:c>
      <x:c r="GX272">
        <x:f t="shared" si="375"/>
        <x:v>0</x:v>
      </x:c>
      <x:c r="GY272">
        <x:f t="shared" si="376"/>
        <x:v>0</x:v>
      </x:c>
      <x:c r="GZ272">
        <x:f t="shared" si="377"/>
        <x:v>0</x:v>
      </x:c>
      <x:c r="HA272">
        <x:f t="shared" si="378"/>
        <x:v>0</x:v>
      </x:c>
      <x:c r="HB272" s="42">
        <x:f t="shared" si="379"/>
        <x:v>0</x:v>
      </x:c>
      <x:c r="HC272">
        <x:f t="shared" si="380"/>
        <x:v>0</x:v>
      </x:c>
      <x:c r="HD272">
        <x:f t="shared" si="381"/>
        <x:v>0</x:v>
      </x:c>
      <x:c r="HE272">
        <x:f t="shared" si="382"/>
        <x:v>0</x:v>
      </x:c>
      <x:c r="HF272">
        <x:f t="shared" si="383"/>
        <x:v>0</x:v>
      </x:c>
      <x:c r="HG272">
        <x:f t="shared" si="384"/>
        <x:v>0</x:v>
      </x:c>
      <x:c r="HH272">
        <x:f t="shared" si="385"/>
        <x:v>0</x:v>
      </x:c>
      <x:c r="HI272">
        <x:f t="shared" si="386"/>
        <x:v>0</x:v>
      </x:c>
      <x:c r="HJ272">
        <x:f t="shared" si="387"/>
        <x:v>0</x:v>
      </x:c>
      <x:c r="HK272">
        <x:f t="shared" si="388"/>
        <x:v>0</x:v>
      </x:c>
      <x:c r="HL272">
        <x:f t="shared" si="389"/>
        <x:v>0</x:v>
      </x:c>
    </x:row>
    <x:row r="273">
      <x:c r="D273" s="74"/>
      <x:c r="EQ273">
        <x:f t="shared" si="316"/>
        <x:v>0</x:v>
      </x:c>
      <x:c r="ER273">
        <x:f t="shared" si="317"/>
        <x:v>0</x:v>
      </x:c>
      <x:c r="ES273">
        <x:f t="shared" si="318"/>
        <x:v>0</x:v>
      </x:c>
      <x:c r="ET273">
        <x:f t="shared" si="319"/>
        <x:v>0</x:v>
      </x:c>
      <x:c r="EU273">
        <x:f t="shared" si="320"/>
        <x:v>0</x:v>
      </x:c>
      <x:c r="EV273">
        <x:f t="shared" si="321"/>
        <x:v>0</x:v>
      </x:c>
      <x:c r="EW273">
        <x:f t="shared" si="322"/>
        <x:v>0</x:v>
      </x:c>
      <x:c r="EX273">
        <x:f t="shared" si="323"/>
        <x:v>0</x:v>
      </x:c>
      <x:c r="EY273">
        <x:f t="shared" si="324"/>
        <x:v>0</x:v>
      </x:c>
      <x:c r="EZ273">
        <x:f t="shared" si="325"/>
        <x:v>0</x:v>
      </x:c>
      <x:c r="FA273" s="41">
        <x:f t="shared" si="326"/>
        <x:v>0</x:v>
      </x:c>
      <x:c r="FB273">
        <x:f t="shared" si="327"/>
        <x:v>0</x:v>
      </x:c>
      <x:c r="FC273">
        <x:f t="shared" si="328"/>
        <x:v>0</x:v>
      </x:c>
      <x:c r="FD273">
        <x:f t="shared" si="329"/>
        <x:v>0</x:v>
      </x:c>
      <x:c r="FE273">
        <x:f t="shared" si="330"/>
        <x:v>0</x:v>
      </x:c>
      <x:c r="FF273">
        <x:f t="shared" si="331"/>
        <x:v>0</x:v>
      </x:c>
      <x:c r="FG273">
        <x:f t="shared" si="332"/>
        <x:v>0</x:v>
      </x:c>
      <x:c r="FH273">
        <x:f t="shared" si="333"/>
        <x:v>0</x:v>
      </x:c>
      <x:c r="FI273">
        <x:f t="shared" si="334"/>
        <x:v>0</x:v>
      </x:c>
      <x:c r="FJ273">
        <x:f t="shared" si="335"/>
        <x:v>0</x:v>
      </x:c>
      <x:c r="FK273">
        <x:f t="shared" si="336"/>
        <x:v>0</x:v>
      </x:c>
      <x:c r="FL273" s="41">
        <x:f t="shared" si="337"/>
        <x:v>0</x:v>
      </x:c>
      <x:c r="FM273">
        <x:f t="shared" si="338"/>
        <x:v>0</x:v>
      </x:c>
      <x:c r="FN273">
        <x:f t="shared" si="339"/>
        <x:v>0</x:v>
      </x:c>
      <x:c r="FO273">
        <x:f t="shared" si="340"/>
        <x:v>0</x:v>
      </x:c>
      <x:c r="FP273">
        <x:f t="shared" si="341"/>
        <x:v>0</x:v>
      </x:c>
      <x:c r="FQ273">
        <x:f t="shared" si="342"/>
        <x:v>0</x:v>
      </x:c>
      <x:c r="FR273">
        <x:f t="shared" si="343"/>
        <x:v>0</x:v>
      </x:c>
      <x:c r="FS273">
        <x:f t="shared" si="344"/>
        <x:v>0</x:v>
      </x:c>
      <x:c r="FT273">
        <x:f t="shared" si="345"/>
        <x:v>0</x:v>
      </x:c>
      <x:c r="FU273">
        <x:f t="shared" si="346"/>
        <x:v>0</x:v>
      </x:c>
      <x:c r="FV273">
        <x:f t="shared" si="347"/>
        <x:v>0</x:v>
      </x:c>
      <x:c r="FW273" s="41">
        <x:f t="shared" si="348"/>
        <x:v>0</x:v>
      </x:c>
      <x:c r="FX273">
        <x:f t="shared" si="349"/>
        <x:v>0</x:v>
      </x:c>
      <x:c r="FY273">
        <x:f t="shared" si="350"/>
        <x:v>0</x:v>
      </x:c>
      <x:c r="FZ273">
        <x:f t="shared" si="351"/>
        <x:v>0</x:v>
      </x:c>
      <x:c r="GA273">
        <x:f t="shared" si="352"/>
        <x:v>0</x:v>
      </x:c>
      <x:c r="GB273">
        <x:f t="shared" si="353"/>
        <x:v>0</x:v>
      </x:c>
      <x:c r="GC273">
        <x:f t="shared" si="354"/>
        <x:v>0</x:v>
      </x:c>
      <x:c r="GD273">
        <x:f t="shared" si="355"/>
        <x:v>0</x:v>
      </x:c>
      <x:c r="GE273">
        <x:f t="shared" si="356"/>
        <x:v>0</x:v>
      </x:c>
      <x:c r="GF273">
        <x:f t="shared" si="357"/>
        <x:v>0</x:v>
      </x:c>
      <x:c r="GG273">
        <x:f t="shared" si="358"/>
        <x:v>0</x:v>
      </x:c>
      <x:c r="GH273">
        <x:f t="shared" si="359"/>
        <x:v>0</x:v>
      </x:c>
      <x:c r="GI273">
        <x:f t="shared" si="360"/>
        <x:v>0</x:v>
      </x:c>
      <x:c r="GJ273">
        <x:f t="shared" si="361"/>
        <x:v>0</x:v>
      </x:c>
      <x:c r="GK273">
        <x:f t="shared" si="362"/>
        <x:v>0</x:v>
      </x:c>
      <x:c r="GL273">
        <x:f t="shared" si="363"/>
        <x:v>0</x:v>
      </x:c>
      <x:c r="GM273">
        <x:f t="shared" si="364"/>
        <x:v>0</x:v>
      </x:c>
      <x:c r="GN273">
        <x:f t="shared" si="365"/>
        <x:v>0</x:v>
      </x:c>
      <x:c r="GO273">
        <x:f t="shared" si="366"/>
        <x:v>0</x:v>
      </x:c>
      <x:c r="GP273">
        <x:f t="shared" si="367"/>
        <x:v>0</x:v>
      </x:c>
      <x:c r="GQ273">
        <x:f t="shared" si="368"/>
        <x:v>0</x:v>
      </x:c>
      <x:c r="GR273" s="42">
        <x:f t="shared" si="369"/>
        <x:v>0</x:v>
      </x:c>
      <x:c r="GS273">
        <x:f t="shared" si="370"/>
        <x:v>0</x:v>
      </x:c>
      <x:c r="GT273">
        <x:f t="shared" si="371"/>
        <x:v>0</x:v>
      </x:c>
      <x:c r="GU273">
        <x:f t="shared" si="372"/>
        <x:v>0</x:v>
      </x:c>
      <x:c r="GV273">
        <x:f t="shared" si="373"/>
        <x:v>0</x:v>
      </x:c>
      <x:c r="GW273">
        <x:f t="shared" si="374"/>
        <x:v>0</x:v>
      </x:c>
      <x:c r="GX273">
        <x:f t="shared" si="375"/>
        <x:v>0</x:v>
      </x:c>
      <x:c r="GY273">
        <x:f t="shared" si="376"/>
        <x:v>0</x:v>
      </x:c>
      <x:c r="GZ273">
        <x:f t="shared" si="377"/>
        <x:v>0</x:v>
      </x:c>
      <x:c r="HA273">
        <x:f t="shared" si="378"/>
        <x:v>0</x:v>
      </x:c>
      <x:c r="HB273" s="42">
        <x:f t="shared" si="379"/>
        <x:v>0</x:v>
      </x:c>
      <x:c r="HC273">
        <x:f t="shared" si="380"/>
        <x:v>0</x:v>
      </x:c>
      <x:c r="HD273">
        <x:f t="shared" si="381"/>
        <x:v>0</x:v>
      </x:c>
      <x:c r="HE273">
        <x:f t="shared" si="382"/>
        <x:v>0</x:v>
      </x:c>
      <x:c r="HF273">
        <x:f t="shared" si="383"/>
        <x:v>0</x:v>
      </x:c>
      <x:c r="HG273">
        <x:f t="shared" si="384"/>
        <x:v>0</x:v>
      </x:c>
      <x:c r="HH273">
        <x:f t="shared" si="385"/>
        <x:v>0</x:v>
      </x:c>
      <x:c r="HI273">
        <x:f t="shared" si="386"/>
        <x:v>0</x:v>
      </x:c>
      <x:c r="HJ273">
        <x:f t="shared" si="387"/>
        <x:v>0</x:v>
      </x:c>
      <x:c r="HK273">
        <x:f t="shared" si="388"/>
        <x:v>0</x:v>
      </x:c>
      <x:c r="HL273">
        <x:f t="shared" si="389"/>
        <x:v>0</x:v>
      </x:c>
    </x:row>
    <x:row r="274">
      <x:c r="D274" s="74"/>
      <x:c r="EQ274">
        <x:f t="shared" si="316"/>
        <x:v>0</x:v>
      </x:c>
      <x:c r="ER274">
        <x:f t="shared" si="317"/>
        <x:v>0</x:v>
      </x:c>
      <x:c r="ES274">
        <x:f t="shared" si="318"/>
        <x:v>0</x:v>
      </x:c>
      <x:c r="ET274">
        <x:f t="shared" si="319"/>
        <x:v>0</x:v>
      </x:c>
      <x:c r="EU274">
        <x:f t="shared" si="320"/>
        <x:v>0</x:v>
      </x:c>
      <x:c r="EV274">
        <x:f t="shared" si="321"/>
        <x:v>0</x:v>
      </x:c>
      <x:c r="EW274">
        <x:f t="shared" si="322"/>
        <x:v>0</x:v>
      </x:c>
      <x:c r="EX274">
        <x:f t="shared" si="323"/>
        <x:v>0</x:v>
      </x:c>
      <x:c r="EY274">
        <x:f t="shared" si="324"/>
        <x:v>0</x:v>
      </x:c>
      <x:c r="EZ274">
        <x:f t="shared" si="325"/>
        <x:v>0</x:v>
      </x:c>
      <x:c r="FA274" s="41">
        <x:f t="shared" si="326"/>
        <x:v>0</x:v>
      </x:c>
      <x:c r="FB274">
        <x:f t="shared" si="327"/>
        <x:v>0</x:v>
      </x:c>
      <x:c r="FC274">
        <x:f t="shared" si="328"/>
        <x:v>0</x:v>
      </x:c>
      <x:c r="FD274">
        <x:f t="shared" si="329"/>
        <x:v>0</x:v>
      </x:c>
      <x:c r="FE274">
        <x:f t="shared" si="330"/>
        <x:v>0</x:v>
      </x:c>
      <x:c r="FF274">
        <x:f t="shared" si="331"/>
        <x:v>0</x:v>
      </x:c>
      <x:c r="FG274">
        <x:f t="shared" si="332"/>
        <x:v>0</x:v>
      </x:c>
      <x:c r="FH274">
        <x:f t="shared" si="333"/>
        <x:v>0</x:v>
      </x:c>
      <x:c r="FI274">
        <x:f t="shared" si="334"/>
        <x:v>0</x:v>
      </x:c>
      <x:c r="FJ274">
        <x:f t="shared" si="335"/>
        <x:v>0</x:v>
      </x:c>
      <x:c r="FK274">
        <x:f t="shared" si="336"/>
        <x:v>0</x:v>
      </x:c>
      <x:c r="FL274" s="41">
        <x:f t="shared" si="337"/>
        <x:v>0</x:v>
      </x:c>
      <x:c r="FM274">
        <x:f t="shared" si="338"/>
        <x:v>0</x:v>
      </x:c>
      <x:c r="FN274">
        <x:f t="shared" si="339"/>
        <x:v>0</x:v>
      </x:c>
      <x:c r="FO274">
        <x:f t="shared" si="340"/>
        <x:v>0</x:v>
      </x:c>
      <x:c r="FP274">
        <x:f t="shared" si="341"/>
        <x:v>0</x:v>
      </x:c>
      <x:c r="FQ274">
        <x:f t="shared" si="342"/>
        <x:v>0</x:v>
      </x:c>
      <x:c r="FR274">
        <x:f t="shared" si="343"/>
        <x:v>0</x:v>
      </x:c>
      <x:c r="FS274">
        <x:f t="shared" si="344"/>
        <x:v>0</x:v>
      </x:c>
      <x:c r="FT274">
        <x:f t="shared" si="345"/>
        <x:v>0</x:v>
      </x:c>
      <x:c r="FU274">
        <x:f t="shared" si="346"/>
        <x:v>0</x:v>
      </x:c>
      <x:c r="FV274">
        <x:f t="shared" si="347"/>
        <x:v>0</x:v>
      </x:c>
      <x:c r="FW274" s="41">
        <x:f t="shared" si="348"/>
        <x:v>0</x:v>
      </x:c>
      <x:c r="FX274">
        <x:f t="shared" si="349"/>
        <x:v>0</x:v>
      </x:c>
      <x:c r="FY274">
        <x:f t="shared" si="350"/>
        <x:v>0</x:v>
      </x:c>
      <x:c r="FZ274">
        <x:f t="shared" si="351"/>
        <x:v>0</x:v>
      </x:c>
      <x:c r="GA274">
        <x:f t="shared" si="352"/>
        <x:v>0</x:v>
      </x:c>
      <x:c r="GB274">
        <x:f t="shared" si="353"/>
        <x:v>0</x:v>
      </x:c>
      <x:c r="GC274">
        <x:f t="shared" si="354"/>
        <x:v>0</x:v>
      </x:c>
      <x:c r="GD274">
        <x:f t="shared" si="355"/>
        <x:v>0</x:v>
      </x:c>
      <x:c r="GE274">
        <x:f t="shared" si="356"/>
        <x:v>0</x:v>
      </x:c>
      <x:c r="GF274">
        <x:f t="shared" si="357"/>
        <x:v>0</x:v>
      </x:c>
      <x:c r="GG274">
        <x:f t="shared" si="358"/>
        <x:v>0</x:v>
      </x:c>
      <x:c r="GH274">
        <x:f t="shared" si="359"/>
        <x:v>0</x:v>
      </x:c>
      <x:c r="GI274">
        <x:f t="shared" si="360"/>
        <x:v>0</x:v>
      </x:c>
      <x:c r="GJ274">
        <x:f t="shared" si="361"/>
        <x:v>0</x:v>
      </x:c>
      <x:c r="GK274">
        <x:f t="shared" si="362"/>
        <x:v>0</x:v>
      </x:c>
      <x:c r="GL274">
        <x:f t="shared" si="363"/>
        <x:v>0</x:v>
      </x:c>
      <x:c r="GM274">
        <x:f t="shared" si="364"/>
        <x:v>0</x:v>
      </x:c>
      <x:c r="GN274">
        <x:f t="shared" si="365"/>
        <x:v>0</x:v>
      </x:c>
      <x:c r="GO274">
        <x:f t="shared" si="366"/>
        <x:v>0</x:v>
      </x:c>
      <x:c r="GP274">
        <x:f t="shared" si="367"/>
        <x:v>0</x:v>
      </x:c>
      <x:c r="GQ274">
        <x:f t="shared" si="368"/>
        <x:v>0</x:v>
      </x:c>
      <x:c r="GR274" s="42">
        <x:f t="shared" si="369"/>
        <x:v>0</x:v>
      </x:c>
      <x:c r="GS274">
        <x:f t="shared" si="370"/>
        <x:v>0</x:v>
      </x:c>
      <x:c r="GT274">
        <x:f t="shared" si="371"/>
        <x:v>0</x:v>
      </x:c>
      <x:c r="GU274">
        <x:f t="shared" si="372"/>
        <x:v>0</x:v>
      </x:c>
      <x:c r="GV274">
        <x:f t="shared" si="373"/>
        <x:v>0</x:v>
      </x:c>
      <x:c r="GW274">
        <x:f t="shared" si="374"/>
        <x:v>0</x:v>
      </x:c>
      <x:c r="GX274">
        <x:f t="shared" si="375"/>
        <x:v>0</x:v>
      </x:c>
      <x:c r="GY274">
        <x:f t="shared" si="376"/>
        <x:v>0</x:v>
      </x:c>
      <x:c r="GZ274">
        <x:f t="shared" si="377"/>
        <x:v>0</x:v>
      </x:c>
      <x:c r="HA274">
        <x:f t="shared" si="378"/>
        <x:v>0</x:v>
      </x:c>
      <x:c r="HB274" s="42">
        <x:f t="shared" si="379"/>
        <x:v>0</x:v>
      </x:c>
      <x:c r="HC274">
        <x:f t="shared" si="380"/>
        <x:v>0</x:v>
      </x:c>
      <x:c r="HD274">
        <x:f t="shared" si="381"/>
        <x:v>0</x:v>
      </x:c>
      <x:c r="HE274">
        <x:f t="shared" si="382"/>
        <x:v>0</x:v>
      </x:c>
      <x:c r="HF274">
        <x:f t="shared" si="383"/>
        <x:v>0</x:v>
      </x:c>
      <x:c r="HG274">
        <x:f t="shared" si="384"/>
        <x:v>0</x:v>
      </x:c>
      <x:c r="HH274">
        <x:f t="shared" si="385"/>
        <x:v>0</x:v>
      </x:c>
      <x:c r="HI274">
        <x:f t="shared" si="386"/>
        <x:v>0</x:v>
      </x:c>
      <x:c r="HJ274">
        <x:f t="shared" si="387"/>
        <x:v>0</x:v>
      </x:c>
      <x:c r="HK274">
        <x:f t="shared" si="388"/>
        <x:v>0</x:v>
      </x:c>
      <x:c r="HL274">
        <x:f t="shared" si="389"/>
        <x:v>0</x:v>
      </x:c>
    </x:row>
    <x:row r="275">
      <x:c r="D275" s="74"/>
      <x:c r="EQ275">
        <x:f t="shared" si="316"/>
        <x:v>0</x:v>
      </x:c>
      <x:c r="ER275">
        <x:f t="shared" si="317"/>
        <x:v>0</x:v>
      </x:c>
      <x:c r="ES275">
        <x:f t="shared" si="318"/>
        <x:v>0</x:v>
      </x:c>
      <x:c r="ET275">
        <x:f t="shared" si="319"/>
        <x:v>0</x:v>
      </x:c>
      <x:c r="EU275">
        <x:f t="shared" si="320"/>
        <x:v>0</x:v>
      </x:c>
      <x:c r="EV275">
        <x:f t="shared" si="321"/>
        <x:v>0</x:v>
      </x:c>
      <x:c r="EW275">
        <x:f t="shared" si="322"/>
        <x:v>0</x:v>
      </x:c>
      <x:c r="EX275">
        <x:f t="shared" si="323"/>
        <x:v>0</x:v>
      </x:c>
      <x:c r="EY275">
        <x:f t="shared" si="324"/>
        <x:v>0</x:v>
      </x:c>
      <x:c r="EZ275">
        <x:f t="shared" si="325"/>
        <x:v>0</x:v>
      </x:c>
      <x:c r="FA275" s="41">
        <x:f t="shared" si="326"/>
        <x:v>0</x:v>
      </x:c>
      <x:c r="FB275">
        <x:f t="shared" si="327"/>
        <x:v>0</x:v>
      </x:c>
      <x:c r="FC275">
        <x:f t="shared" si="328"/>
        <x:v>0</x:v>
      </x:c>
      <x:c r="FD275">
        <x:f t="shared" si="329"/>
        <x:v>0</x:v>
      </x:c>
      <x:c r="FE275">
        <x:f t="shared" si="330"/>
        <x:v>0</x:v>
      </x:c>
      <x:c r="FF275">
        <x:f t="shared" si="331"/>
        <x:v>0</x:v>
      </x:c>
      <x:c r="FG275">
        <x:f t="shared" si="332"/>
        <x:v>0</x:v>
      </x:c>
      <x:c r="FH275">
        <x:f t="shared" si="333"/>
        <x:v>0</x:v>
      </x:c>
      <x:c r="FI275">
        <x:f t="shared" si="334"/>
        <x:v>0</x:v>
      </x:c>
      <x:c r="FJ275">
        <x:f t="shared" si="335"/>
        <x:v>0</x:v>
      </x:c>
      <x:c r="FK275">
        <x:f t="shared" si="336"/>
        <x:v>0</x:v>
      </x:c>
      <x:c r="FL275" s="41">
        <x:f t="shared" si="337"/>
        <x:v>0</x:v>
      </x:c>
      <x:c r="FM275">
        <x:f t="shared" si="338"/>
        <x:v>0</x:v>
      </x:c>
      <x:c r="FN275">
        <x:f t="shared" si="339"/>
        <x:v>0</x:v>
      </x:c>
      <x:c r="FO275">
        <x:f t="shared" si="340"/>
        <x:v>0</x:v>
      </x:c>
      <x:c r="FP275">
        <x:f t="shared" si="341"/>
        <x:v>0</x:v>
      </x:c>
      <x:c r="FQ275">
        <x:f t="shared" si="342"/>
        <x:v>0</x:v>
      </x:c>
      <x:c r="FR275">
        <x:f t="shared" si="343"/>
        <x:v>0</x:v>
      </x:c>
      <x:c r="FS275">
        <x:f t="shared" si="344"/>
        <x:v>0</x:v>
      </x:c>
      <x:c r="FT275">
        <x:f t="shared" si="345"/>
        <x:v>0</x:v>
      </x:c>
      <x:c r="FU275">
        <x:f t="shared" si="346"/>
        <x:v>0</x:v>
      </x:c>
      <x:c r="FV275">
        <x:f t="shared" si="347"/>
        <x:v>0</x:v>
      </x:c>
      <x:c r="FW275" s="41">
        <x:f t="shared" si="348"/>
        <x:v>0</x:v>
      </x:c>
      <x:c r="FX275">
        <x:f t="shared" si="349"/>
        <x:v>0</x:v>
      </x:c>
      <x:c r="FY275">
        <x:f t="shared" si="350"/>
        <x:v>0</x:v>
      </x:c>
      <x:c r="FZ275">
        <x:f t="shared" si="351"/>
        <x:v>0</x:v>
      </x:c>
      <x:c r="GA275">
        <x:f t="shared" si="352"/>
        <x:v>0</x:v>
      </x:c>
      <x:c r="GB275">
        <x:f t="shared" si="353"/>
        <x:v>0</x:v>
      </x:c>
      <x:c r="GC275">
        <x:f t="shared" si="354"/>
        <x:v>0</x:v>
      </x:c>
      <x:c r="GD275">
        <x:f t="shared" si="355"/>
        <x:v>0</x:v>
      </x:c>
      <x:c r="GE275">
        <x:f t="shared" si="356"/>
        <x:v>0</x:v>
      </x:c>
      <x:c r="GF275">
        <x:f t="shared" si="357"/>
        <x:v>0</x:v>
      </x:c>
      <x:c r="GG275">
        <x:f t="shared" si="358"/>
        <x:v>0</x:v>
      </x:c>
      <x:c r="GH275">
        <x:f t="shared" si="359"/>
        <x:v>0</x:v>
      </x:c>
      <x:c r="GI275">
        <x:f t="shared" si="360"/>
        <x:v>0</x:v>
      </x:c>
      <x:c r="GJ275">
        <x:f t="shared" si="361"/>
        <x:v>0</x:v>
      </x:c>
      <x:c r="GK275">
        <x:f t="shared" si="362"/>
        <x:v>0</x:v>
      </x:c>
      <x:c r="GL275">
        <x:f t="shared" si="363"/>
        <x:v>0</x:v>
      </x:c>
      <x:c r="GM275">
        <x:f t="shared" si="364"/>
        <x:v>0</x:v>
      </x:c>
      <x:c r="GN275">
        <x:f t="shared" si="365"/>
        <x:v>0</x:v>
      </x:c>
      <x:c r="GO275">
        <x:f t="shared" si="366"/>
        <x:v>0</x:v>
      </x:c>
      <x:c r="GP275">
        <x:f t="shared" si="367"/>
        <x:v>0</x:v>
      </x:c>
      <x:c r="GQ275">
        <x:f t="shared" si="368"/>
        <x:v>0</x:v>
      </x:c>
      <x:c r="GR275" s="42">
        <x:f t="shared" si="369"/>
        <x:v>0</x:v>
      </x:c>
      <x:c r="GS275">
        <x:f t="shared" si="370"/>
        <x:v>0</x:v>
      </x:c>
      <x:c r="GT275">
        <x:f t="shared" si="371"/>
        <x:v>0</x:v>
      </x:c>
      <x:c r="GU275">
        <x:f t="shared" si="372"/>
        <x:v>0</x:v>
      </x:c>
      <x:c r="GV275">
        <x:f t="shared" si="373"/>
        <x:v>0</x:v>
      </x:c>
      <x:c r="GW275">
        <x:f t="shared" si="374"/>
        <x:v>0</x:v>
      </x:c>
      <x:c r="GX275">
        <x:f t="shared" si="375"/>
        <x:v>0</x:v>
      </x:c>
      <x:c r="GY275">
        <x:f t="shared" si="376"/>
        <x:v>0</x:v>
      </x:c>
      <x:c r="GZ275">
        <x:f t="shared" si="377"/>
        <x:v>0</x:v>
      </x:c>
      <x:c r="HA275">
        <x:f t="shared" si="378"/>
        <x:v>0</x:v>
      </x:c>
      <x:c r="HB275" s="42">
        <x:f t="shared" si="379"/>
        <x:v>0</x:v>
      </x:c>
      <x:c r="HC275">
        <x:f t="shared" si="380"/>
        <x:v>0</x:v>
      </x:c>
      <x:c r="HD275">
        <x:f t="shared" si="381"/>
        <x:v>0</x:v>
      </x:c>
      <x:c r="HE275">
        <x:f t="shared" si="382"/>
        <x:v>0</x:v>
      </x:c>
      <x:c r="HF275">
        <x:f t="shared" si="383"/>
        <x:v>0</x:v>
      </x:c>
      <x:c r="HG275">
        <x:f t="shared" si="384"/>
        <x:v>0</x:v>
      </x:c>
      <x:c r="HH275">
        <x:f t="shared" si="385"/>
        <x:v>0</x:v>
      </x:c>
      <x:c r="HI275">
        <x:f t="shared" si="386"/>
        <x:v>0</x:v>
      </x:c>
      <x:c r="HJ275">
        <x:f t="shared" si="387"/>
        <x:v>0</x:v>
      </x:c>
      <x:c r="HK275">
        <x:f t="shared" si="388"/>
        <x:v>0</x:v>
      </x:c>
      <x:c r="HL275">
        <x:f t="shared" si="389"/>
        <x:v>0</x:v>
      </x:c>
    </x:row>
    <x:row r="276">
      <x:c r="D276" s="74"/>
      <x:c r="EQ276">
        <x:f t="shared" si="316"/>
        <x:v>0</x:v>
      </x:c>
      <x:c r="ER276">
        <x:f t="shared" si="317"/>
        <x:v>0</x:v>
      </x:c>
      <x:c r="ES276">
        <x:f t="shared" si="318"/>
        <x:v>0</x:v>
      </x:c>
      <x:c r="ET276">
        <x:f t="shared" si="319"/>
        <x:v>0</x:v>
      </x:c>
      <x:c r="EU276">
        <x:f t="shared" si="320"/>
        <x:v>0</x:v>
      </x:c>
      <x:c r="EV276">
        <x:f t="shared" si="321"/>
        <x:v>0</x:v>
      </x:c>
      <x:c r="EW276">
        <x:f t="shared" si="322"/>
        <x:v>0</x:v>
      </x:c>
      <x:c r="EX276">
        <x:f t="shared" si="323"/>
        <x:v>0</x:v>
      </x:c>
      <x:c r="EY276">
        <x:f t="shared" si="324"/>
        <x:v>0</x:v>
      </x:c>
      <x:c r="EZ276">
        <x:f t="shared" si="325"/>
        <x:v>0</x:v>
      </x:c>
      <x:c r="FA276" s="41">
        <x:f t="shared" si="326"/>
        <x:v>0</x:v>
      </x:c>
      <x:c r="FB276">
        <x:f t="shared" si="327"/>
        <x:v>0</x:v>
      </x:c>
      <x:c r="FC276">
        <x:f t="shared" si="328"/>
        <x:v>0</x:v>
      </x:c>
      <x:c r="FD276">
        <x:f t="shared" si="329"/>
        <x:v>0</x:v>
      </x:c>
      <x:c r="FE276">
        <x:f t="shared" si="330"/>
        <x:v>0</x:v>
      </x:c>
      <x:c r="FF276">
        <x:f t="shared" si="331"/>
        <x:v>0</x:v>
      </x:c>
      <x:c r="FG276">
        <x:f t="shared" si="332"/>
        <x:v>0</x:v>
      </x:c>
      <x:c r="FH276">
        <x:f t="shared" si="333"/>
        <x:v>0</x:v>
      </x:c>
      <x:c r="FI276">
        <x:f t="shared" si="334"/>
        <x:v>0</x:v>
      </x:c>
      <x:c r="FJ276">
        <x:f t="shared" si="335"/>
        <x:v>0</x:v>
      </x:c>
      <x:c r="FK276">
        <x:f t="shared" si="336"/>
        <x:v>0</x:v>
      </x:c>
      <x:c r="FL276" s="41">
        <x:f t="shared" si="337"/>
        <x:v>0</x:v>
      </x:c>
      <x:c r="FM276">
        <x:f t="shared" si="338"/>
        <x:v>0</x:v>
      </x:c>
      <x:c r="FN276">
        <x:f t="shared" si="339"/>
        <x:v>0</x:v>
      </x:c>
      <x:c r="FO276">
        <x:f t="shared" si="340"/>
        <x:v>0</x:v>
      </x:c>
      <x:c r="FP276">
        <x:f t="shared" si="341"/>
        <x:v>0</x:v>
      </x:c>
      <x:c r="FQ276">
        <x:f t="shared" si="342"/>
        <x:v>0</x:v>
      </x:c>
      <x:c r="FR276">
        <x:f t="shared" si="343"/>
        <x:v>0</x:v>
      </x:c>
      <x:c r="FS276">
        <x:f t="shared" si="344"/>
        <x:v>0</x:v>
      </x:c>
      <x:c r="FT276">
        <x:f t="shared" si="345"/>
        <x:v>0</x:v>
      </x:c>
      <x:c r="FU276">
        <x:f t="shared" si="346"/>
        <x:v>0</x:v>
      </x:c>
      <x:c r="FV276">
        <x:f t="shared" si="347"/>
        <x:v>0</x:v>
      </x:c>
      <x:c r="FW276" s="41">
        <x:f t="shared" si="348"/>
        <x:v>0</x:v>
      </x:c>
      <x:c r="FX276">
        <x:f t="shared" si="349"/>
        <x:v>0</x:v>
      </x:c>
      <x:c r="FY276">
        <x:f t="shared" si="350"/>
        <x:v>0</x:v>
      </x:c>
      <x:c r="FZ276">
        <x:f t="shared" si="351"/>
        <x:v>0</x:v>
      </x:c>
      <x:c r="GA276">
        <x:f t="shared" si="352"/>
        <x:v>0</x:v>
      </x:c>
      <x:c r="GB276">
        <x:f t="shared" si="353"/>
        <x:v>0</x:v>
      </x:c>
      <x:c r="GC276">
        <x:f t="shared" si="354"/>
        <x:v>0</x:v>
      </x:c>
      <x:c r="GD276">
        <x:f t="shared" si="355"/>
        <x:v>0</x:v>
      </x:c>
      <x:c r="GE276">
        <x:f t="shared" si="356"/>
        <x:v>0</x:v>
      </x:c>
      <x:c r="GF276">
        <x:f t="shared" si="357"/>
        <x:v>0</x:v>
      </x:c>
      <x:c r="GG276">
        <x:f t="shared" si="358"/>
        <x:v>0</x:v>
      </x:c>
      <x:c r="GH276">
        <x:f t="shared" si="359"/>
        <x:v>0</x:v>
      </x:c>
      <x:c r="GI276">
        <x:f t="shared" si="360"/>
        <x:v>0</x:v>
      </x:c>
      <x:c r="GJ276">
        <x:f t="shared" si="361"/>
        <x:v>0</x:v>
      </x:c>
      <x:c r="GK276">
        <x:f t="shared" si="362"/>
        <x:v>0</x:v>
      </x:c>
      <x:c r="GL276">
        <x:f t="shared" si="363"/>
        <x:v>0</x:v>
      </x:c>
      <x:c r="GM276">
        <x:f t="shared" si="364"/>
        <x:v>0</x:v>
      </x:c>
      <x:c r="GN276">
        <x:f t="shared" si="365"/>
        <x:v>0</x:v>
      </x:c>
      <x:c r="GO276">
        <x:f t="shared" si="366"/>
        <x:v>0</x:v>
      </x:c>
      <x:c r="GP276">
        <x:f t="shared" si="367"/>
        <x:v>0</x:v>
      </x:c>
      <x:c r="GQ276">
        <x:f t="shared" si="368"/>
        <x:v>0</x:v>
      </x:c>
      <x:c r="GR276" s="42">
        <x:f t="shared" si="369"/>
        <x:v>0</x:v>
      </x:c>
      <x:c r="GS276">
        <x:f t="shared" si="370"/>
        <x:v>0</x:v>
      </x:c>
      <x:c r="GT276">
        <x:f t="shared" si="371"/>
        <x:v>0</x:v>
      </x:c>
      <x:c r="GU276">
        <x:f t="shared" si="372"/>
        <x:v>0</x:v>
      </x:c>
      <x:c r="GV276">
        <x:f t="shared" si="373"/>
        <x:v>0</x:v>
      </x:c>
      <x:c r="GW276">
        <x:f t="shared" si="374"/>
        <x:v>0</x:v>
      </x:c>
      <x:c r="GX276">
        <x:f t="shared" si="375"/>
        <x:v>0</x:v>
      </x:c>
      <x:c r="GY276">
        <x:f t="shared" si="376"/>
        <x:v>0</x:v>
      </x:c>
      <x:c r="GZ276">
        <x:f t="shared" si="377"/>
        <x:v>0</x:v>
      </x:c>
      <x:c r="HA276">
        <x:f t="shared" si="378"/>
        <x:v>0</x:v>
      </x:c>
      <x:c r="HB276" s="42">
        <x:f t="shared" si="379"/>
        <x:v>0</x:v>
      </x:c>
      <x:c r="HC276">
        <x:f t="shared" si="380"/>
        <x:v>0</x:v>
      </x:c>
      <x:c r="HD276">
        <x:f t="shared" si="381"/>
        <x:v>0</x:v>
      </x:c>
      <x:c r="HE276">
        <x:f t="shared" si="382"/>
        <x:v>0</x:v>
      </x:c>
      <x:c r="HF276">
        <x:f t="shared" si="383"/>
        <x:v>0</x:v>
      </x:c>
      <x:c r="HG276">
        <x:f t="shared" si="384"/>
        <x:v>0</x:v>
      </x:c>
      <x:c r="HH276">
        <x:f t="shared" si="385"/>
        <x:v>0</x:v>
      </x:c>
      <x:c r="HI276">
        <x:f t="shared" si="386"/>
        <x:v>0</x:v>
      </x:c>
      <x:c r="HJ276">
        <x:f t="shared" si="387"/>
        <x:v>0</x:v>
      </x:c>
      <x:c r="HK276">
        <x:f t="shared" si="388"/>
        <x:v>0</x:v>
      </x:c>
      <x:c r="HL276">
        <x:f t="shared" si="389"/>
        <x:v>0</x:v>
      </x:c>
    </x:row>
    <x:row r="277">
      <x:c r="D277" s="74"/>
      <x:c r="EQ277">
        <x:f t="shared" si="316"/>
        <x:v>0</x:v>
      </x:c>
      <x:c r="ER277">
        <x:f t="shared" si="317"/>
        <x:v>0</x:v>
      </x:c>
      <x:c r="ES277">
        <x:f t="shared" si="318"/>
        <x:v>0</x:v>
      </x:c>
      <x:c r="ET277">
        <x:f t="shared" si="319"/>
        <x:v>0</x:v>
      </x:c>
      <x:c r="EU277">
        <x:f t="shared" si="320"/>
        <x:v>0</x:v>
      </x:c>
      <x:c r="EV277">
        <x:f t="shared" si="321"/>
        <x:v>0</x:v>
      </x:c>
      <x:c r="EW277">
        <x:f t="shared" si="322"/>
        <x:v>0</x:v>
      </x:c>
      <x:c r="EX277">
        <x:f t="shared" si="323"/>
        <x:v>0</x:v>
      </x:c>
      <x:c r="EY277">
        <x:f t="shared" si="324"/>
        <x:v>0</x:v>
      </x:c>
      <x:c r="EZ277">
        <x:f t="shared" si="325"/>
        <x:v>0</x:v>
      </x:c>
      <x:c r="FA277" s="41">
        <x:f t="shared" si="326"/>
        <x:v>0</x:v>
      </x:c>
      <x:c r="FB277">
        <x:f t="shared" si="327"/>
        <x:v>0</x:v>
      </x:c>
      <x:c r="FC277">
        <x:f t="shared" si="328"/>
        <x:v>0</x:v>
      </x:c>
      <x:c r="FD277">
        <x:f t="shared" si="329"/>
        <x:v>0</x:v>
      </x:c>
      <x:c r="FE277">
        <x:f t="shared" si="330"/>
        <x:v>0</x:v>
      </x:c>
      <x:c r="FF277">
        <x:f t="shared" si="331"/>
        <x:v>0</x:v>
      </x:c>
      <x:c r="FG277">
        <x:f t="shared" si="332"/>
        <x:v>0</x:v>
      </x:c>
      <x:c r="FH277">
        <x:f t="shared" si="333"/>
        <x:v>0</x:v>
      </x:c>
      <x:c r="FI277">
        <x:f t="shared" si="334"/>
        <x:v>0</x:v>
      </x:c>
      <x:c r="FJ277">
        <x:f t="shared" si="335"/>
        <x:v>0</x:v>
      </x:c>
      <x:c r="FK277">
        <x:f t="shared" si="336"/>
        <x:v>0</x:v>
      </x:c>
      <x:c r="FL277" s="41">
        <x:f t="shared" si="337"/>
        <x:v>0</x:v>
      </x:c>
      <x:c r="FM277">
        <x:f t="shared" si="338"/>
        <x:v>0</x:v>
      </x:c>
      <x:c r="FN277">
        <x:f t="shared" si="339"/>
        <x:v>0</x:v>
      </x:c>
      <x:c r="FO277">
        <x:f t="shared" si="340"/>
        <x:v>0</x:v>
      </x:c>
      <x:c r="FP277">
        <x:f t="shared" si="341"/>
        <x:v>0</x:v>
      </x:c>
      <x:c r="FQ277">
        <x:f t="shared" si="342"/>
        <x:v>0</x:v>
      </x:c>
      <x:c r="FR277">
        <x:f t="shared" si="343"/>
        <x:v>0</x:v>
      </x:c>
      <x:c r="FS277">
        <x:f t="shared" si="344"/>
        <x:v>0</x:v>
      </x:c>
      <x:c r="FT277">
        <x:f t="shared" si="345"/>
        <x:v>0</x:v>
      </x:c>
      <x:c r="FU277">
        <x:f t="shared" si="346"/>
        <x:v>0</x:v>
      </x:c>
      <x:c r="FV277">
        <x:f t="shared" si="347"/>
        <x:v>0</x:v>
      </x:c>
      <x:c r="FW277" s="41">
        <x:f t="shared" si="348"/>
        <x:v>0</x:v>
      </x:c>
      <x:c r="FX277">
        <x:f t="shared" si="349"/>
        <x:v>0</x:v>
      </x:c>
      <x:c r="FY277">
        <x:f t="shared" si="350"/>
        <x:v>0</x:v>
      </x:c>
      <x:c r="FZ277">
        <x:f t="shared" si="351"/>
        <x:v>0</x:v>
      </x:c>
      <x:c r="GA277">
        <x:f t="shared" si="352"/>
        <x:v>0</x:v>
      </x:c>
      <x:c r="GB277">
        <x:f t="shared" si="353"/>
        <x:v>0</x:v>
      </x:c>
      <x:c r="GC277">
        <x:f t="shared" si="354"/>
        <x:v>0</x:v>
      </x:c>
      <x:c r="GD277">
        <x:f t="shared" si="355"/>
        <x:v>0</x:v>
      </x:c>
      <x:c r="GE277">
        <x:f t="shared" si="356"/>
        <x:v>0</x:v>
      </x:c>
      <x:c r="GF277">
        <x:f t="shared" si="357"/>
        <x:v>0</x:v>
      </x:c>
      <x:c r="GG277">
        <x:f t="shared" si="358"/>
        <x:v>0</x:v>
      </x:c>
      <x:c r="GH277">
        <x:f t="shared" si="359"/>
        <x:v>0</x:v>
      </x:c>
      <x:c r="GI277">
        <x:f t="shared" si="360"/>
        <x:v>0</x:v>
      </x:c>
      <x:c r="GJ277">
        <x:f t="shared" si="361"/>
        <x:v>0</x:v>
      </x:c>
      <x:c r="GK277">
        <x:f t="shared" si="362"/>
        <x:v>0</x:v>
      </x:c>
      <x:c r="GL277">
        <x:f t="shared" si="363"/>
        <x:v>0</x:v>
      </x:c>
      <x:c r="GM277">
        <x:f t="shared" si="364"/>
        <x:v>0</x:v>
      </x:c>
      <x:c r="GN277">
        <x:f t="shared" si="365"/>
        <x:v>0</x:v>
      </x:c>
      <x:c r="GO277">
        <x:f t="shared" si="366"/>
        <x:v>0</x:v>
      </x:c>
      <x:c r="GP277">
        <x:f t="shared" si="367"/>
        <x:v>0</x:v>
      </x:c>
      <x:c r="GQ277">
        <x:f t="shared" si="368"/>
        <x:v>0</x:v>
      </x:c>
      <x:c r="GR277" s="42">
        <x:f t="shared" si="369"/>
        <x:v>0</x:v>
      </x:c>
      <x:c r="GS277">
        <x:f t="shared" si="370"/>
        <x:v>0</x:v>
      </x:c>
      <x:c r="GT277">
        <x:f t="shared" si="371"/>
        <x:v>0</x:v>
      </x:c>
      <x:c r="GU277">
        <x:f t="shared" si="372"/>
        <x:v>0</x:v>
      </x:c>
      <x:c r="GV277">
        <x:f t="shared" si="373"/>
        <x:v>0</x:v>
      </x:c>
      <x:c r="GW277">
        <x:f t="shared" si="374"/>
        <x:v>0</x:v>
      </x:c>
      <x:c r="GX277">
        <x:f t="shared" si="375"/>
        <x:v>0</x:v>
      </x:c>
      <x:c r="GY277">
        <x:f t="shared" si="376"/>
        <x:v>0</x:v>
      </x:c>
      <x:c r="GZ277">
        <x:f t="shared" si="377"/>
        <x:v>0</x:v>
      </x:c>
      <x:c r="HA277">
        <x:f t="shared" si="378"/>
        <x:v>0</x:v>
      </x:c>
      <x:c r="HB277" s="42">
        <x:f t="shared" si="379"/>
        <x:v>0</x:v>
      </x:c>
      <x:c r="HC277">
        <x:f t="shared" si="380"/>
        <x:v>0</x:v>
      </x:c>
      <x:c r="HD277">
        <x:f t="shared" si="381"/>
        <x:v>0</x:v>
      </x:c>
      <x:c r="HE277">
        <x:f t="shared" si="382"/>
        <x:v>0</x:v>
      </x:c>
      <x:c r="HF277">
        <x:f t="shared" si="383"/>
        <x:v>0</x:v>
      </x:c>
      <x:c r="HG277">
        <x:f t="shared" si="384"/>
        <x:v>0</x:v>
      </x:c>
      <x:c r="HH277">
        <x:f t="shared" si="385"/>
        <x:v>0</x:v>
      </x:c>
      <x:c r="HI277">
        <x:f t="shared" si="386"/>
        <x:v>0</x:v>
      </x:c>
      <x:c r="HJ277">
        <x:f t="shared" si="387"/>
        <x:v>0</x:v>
      </x:c>
      <x:c r="HK277">
        <x:f t="shared" si="388"/>
        <x:v>0</x:v>
      </x:c>
      <x:c r="HL277">
        <x:f t="shared" si="389"/>
        <x:v>0</x:v>
      </x:c>
    </x:row>
    <x:row r="278">
      <x:c r="D278" s="74"/>
      <x:c r="EQ278">
        <x:f t="shared" si="316"/>
        <x:v>0</x:v>
      </x:c>
      <x:c r="ER278">
        <x:f t="shared" si="317"/>
        <x:v>0</x:v>
      </x:c>
      <x:c r="ES278">
        <x:f t="shared" si="318"/>
        <x:v>0</x:v>
      </x:c>
      <x:c r="ET278">
        <x:f t="shared" si="319"/>
        <x:v>0</x:v>
      </x:c>
      <x:c r="EU278">
        <x:f t="shared" si="320"/>
        <x:v>0</x:v>
      </x:c>
      <x:c r="EV278">
        <x:f t="shared" si="321"/>
        <x:v>0</x:v>
      </x:c>
      <x:c r="EW278">
        <x:f t="shared" si="322"/>
        <x:v>0</x:v>
      </x:c>
      <x:c r="EX278">
        <x:f t="shared" si="323"/>
        <x:v>0</x:v>
      </x:c>
      <x:c r="EY278">
        <x:f t="shared" si="324"/>
        <x:v>0</x:v>
      </x:c>
      <x:c r="EZ278">
        <x:f t="shared" si="325"/>
        <x:v>0</x:v>
      </x:c>
      <x:c r="FA278" s="41">
        <x:f t="shared" si="326"/>
        <x:v>0</x:v>
      </x:c>
      <x:c r="FB278">
        <x:f t="shared" si="327"/>
        <x:v>0</x:v>
      </x:c>
      <x:c r="FC278">
        <x:f t="shared" si="328"/>
        <x:v>0</x:v>
      </x:c>
      <x:c r="FD278">
        <x:f t="shared" si="329"/>
        <x:v>0</x:v>
      </x:c>
      <x:c r="FE278">
        <x:f t="shared" si="330"/>
        <x:v>0</x:v>
      </x:c>
      <x:c r="FF278">
        <x:f t="shared" si="331"/>
        <x:v>0</x:v>
      </x:c>
      <x:c r="FG278">
        <x:f t="shared" si="332"/>
        <x:v>0</x:v>
      </x:c>
      <x:c r="FH278">
        <x:f t="shared" si="333"/>
        <x:v>0</x:v>
      </x:c>
      <x:c r="FI278">
        <x:f t="shared" si="334"/>
        <x:v>0</x:v>
      </x:c>
      <x:c r="FJ278">
        <x:f t="shared" si="335"/>
        <x:v>0</x:v>
      </x:c>
      <x:c r="FK278">
        <x:f t="shared" si="336"/>
        <x:v>0</x:v>
      </x:c>
      <x:c r="FL278" s="41">
        <x:f t="shared" si="337"/>
        <x:v>0</x:v>
      </x:c>
      <x:c r="FM278">
        <x:f t="shared" si="338"/>
        <x:v>0</x:v>
      </x:c>
      <x:c r="FN278">
        <x:f t="shared" si="339"/>
        <x:v>0</x:v>
      </x:c>
      <x:c r="FO278">
        <x:f t="shared" si="340"/>
        <x:v>0</x:v>
      </x:c>
      <x:c r="FP278">
        <x:f t="shared" si="341"/>
        <x:v>0</x:v>
      </x:c>
      <x:c r="FQ278">
        <x:f t="shared" si="342"/>
        <x:v>0</x:v>
      </x:c>
      <x:c r="FR278">
        <x:f t="shared" si="343"/>
        <x:v>0</x:v>
      </x:c>
      <x:c r="FS278">
        <x:f t="shared" si="344"/>
        <x:v>0</x:v>
      </x:c>
      <x:c r="FT278">
        <x:f t="shared" si="345"/>
        <x:v>0</x:v>
      </x:c>
      <x:c r="FU278">
        <x:f t="shared" si="346"/>
        <x:v>0</x:v>
      </x:c>
      <x:c r="FV278">
        <x:f t="shared" si="347"/>
        <x:v>0</x:v>
      </x:c>
      <x:c r="FW278" s="41">
        <x:f t="shared" si="348"/>
        <x:v>0</x:v>
      </x:c>
      <x:c r="FX278">
        <x:f t="shared" si="349"/>
        <x:v>0</x:v>
      </x:c>
      <x:c r="FY278">
        <x:f t="shared" si="350"/>
        <x:v>0</x:v>
      </x:c>
      <x:c r="FZ278">
        <x:f t="shared" si="351"/>
        <x:v>0</x:v>
      </x:c>
      <x:c r="GA278">
        <x:f t="shared" si="352"/>
        <x:v>0</x:v>
      </x:c>
      <x:c r="GB278">
        <x:f t="shared" si="353"/>
        <x:v>0</x:v>
      </x:c>
      <x:c r="GC278">
        <x:f t="shared" si="354"/>
        <x:v>0</x:v>
      </x:c>
      <x:c r="GD278">
        <x:f t="shared" si="355"/>
        <x:v>0</x:v>
      </x:c>
      <x:c r="GE278">
        <x:f t="shared" si="356"/>
        <x:v>0</x:v>
      </x:c>
      <x:c r="GF278">
        <x:f t="shared" si="357"/>
        <x:v>0</x:v>
      </x:c>
      <x:c r="GG278">
        <x:f t="shared" si="358"/>
        <x:v>0</x:v>
      </x:c>
      <x:c r="GH278">
        <x:f t="shared" si="359"/>
        <x:v>0</x:v>
      </x:c>
      <x:c r="GI278">
        <x:f t="shared" si="360"/>
        <x:v>0</x:v>
      </x:c>
      <x:c r="GJ278">
        <x:f t="shared" si="361"/>
        <x:v>0</x:v>
      </x:c>
      <x:c r="GK278">
        <x:f t="shared" si="362"/>
        <x:v>0</x:v>
      </x:c>
      <x:c r="GL278">
        <x:f t="shared" si="363"/>
        <x:v>0</x:v>
      </x:c>
      <x:c r="GM278">
        <x:f t="shared" si="364"/>
        <x:v>0</x:v>
      </x:c>
      <x:c r="GN278">
        <x:f t="shared" si="365"/>
        <x:v>0</x:v>
      </x:c>
      <x:c r="GO278">
        <x:f t="shared" si="366"/>
        <x:v>0</x:v>
      </x:c>
      <x:c r="GP278">
        <x:f t="shared" si="367"/>
        <x:v>0</x:v>
      </x:c>
      <x:c r="GQ278">
        <x:f t="shared" si="368"/>
        <x:v>0</x:v>
      </x:c>
      <x:c r="GR278" s="42">
        <x:f t="shared" si="369"/>
        <x:v>0</x:v>
      </x:c>
      <x:c r="GS278">
        <x:f t="shared" si="370"/>
        <x:v>0</x:v>
      </x:c>
      <x:c r="GT278">
        <x:f t="shared" si="371"/>
        <x:v>0</x:v>
      </x:c>
      <x:c r="GU278">
        <x:f t="shared" si="372"/>
        <x:v>0</x:v>
      </x:c>
      <x:c r="GV278">
        <x:f t="shared" si="373"/>
        <x:v>0</x:v>
      </x:c>
      <x:c r="GW278">
        <x:f t="shared" si="374"/>
        <x:v>0</x:v>
      </x:c>
      <x:c r="GX278">
        <x:f t="shared" si="375"/>
        <x:v>0</x:v>
      </x:c>
      <x:c r="GY278">
        <x:f t="shared" si="376"/>
        <x:v>0</x:v>
      </x:c>
      <x:c r="GZ278">
        <x:f t="shared" si="377"/>
        <x:v>0</x:v>
      </x:c>
      <x:c r="HA278">
        <x:f t="shared" si="378"/>
        <x:v>0</x:v>
      </x:c>
      <x:c r="HB278" s="42">
        <x:f t="shared" si="379"/>
        <x:v>0</x:v>
      </x:c>
      <x:c r="HC278">
        <x:f t="shared" si="380"/>
        <x:v>0</x:v>
      </x:c>
      <x:c r="HD278">
        <x:f t="shared" si="381"/>
        <x:v>0</x:v>
      </x:c>
      <x:c r="HE278">
        <x:f t="shared" si="382"/>
        <x:v>0</x:v>
      </x:c>
      <x:c r="HF278">
        <x:f t="shared" si="383"/>
        <x:v>0</x:v>
      </x:c>
      <x:c r="HG278">
        <x:f t="shared" si="384"/>
        <x:v>0</x:v>
      </x:c>
      <x:c r="HH278">
        <x:f t="shared" si="385"/>
        <x:v>0</x:v>
      </x:c>
      <x:c r="HI278">
        <x:f t="shared" si="386"/>
        <x:v>0</x:v>
      </x:c>
      <x:c r="HJ278">
        <x:f t="shared" si="387"/>
        <x:v>0</x:v>
      </x:c>
      <x:c r="HK278">
        <x:f t="shared" si="388"/>
        <x:v>0</x:v>
      </x:c>
      <x:c r="HL278">
        <x:f t="shared" si="389"/>
        <x:v>0</x:v>
      </x:c>
    </x:row>
    <x:row r="279">
      <x:c r="D279" s="74"/>
      <x:c r="EQ279">
        <x:f t="shared" si="316"/>
        <x:v>0</x:v>
      </x:c>
      <x:c r="ER279">
        <x:f t="shared" si="317"/>
        <x:v>0</x:v>
      </x:c>
      <x:c r="ES279">
        <x:f t="shared" si="318"/>
        <x:v>0</x:v>
      </x:c>
      <x:c r="ET279">
        <x:f t="shared" si="319"/>
        <x:v>0</x:v>
      </x:c>
      <x:c r="EU279">
        <x:f t="shared" si="320"/>
        <x:v>0</x:v>
      </x:c>
      <x:c r="EV279">
        <x:f t="shared" si="321"/>
        <x:v>0</x:v>
      </x:c>
      <x:c r="EW279">
        <x:f t="shared" si="322"/>
        <x:v>0</x:v>
      </x:c>
      <x:c r="EX279">
        <x:f t="shared" si="323"/>
        <x:v>0</x:v>
      </x:c>
      <x:c r="EY279">
        <x:f t="shared" si="324"/>
        <x:v>0</x:v>
      </x:c>
      <x:c r="EZ279">
        <x:f t="shared" si="325"/>
        <x:v>0</x:v>
      </x:c>
      <x:c r="FA279" s="41">
        <x:f t="shared" si="326"/>
        <x:v>0</x:v>
      </x:c>
      <x:c r="FB279">
        <x:f t="shared" si="327"/>
        <x:v>0</x:v>
      </x:c>
      <x:c r="FC279">
        <x:f t="shared" si="328"/>
        <x:v>0</x:v>
      </x:c>
      <x:c r="FD279">
        <x:f t="shared" si="329"/>
        <x:v>0</x:v>
      </x:c>
      <x:c r="FE279">
        <x:f t="shared" si="330"/>
        <x:v>0</x:v>
      </x:c>
      <x:c r="FF279">
        <x:f t="shared" si="331"/>
        <x:v>0</x:v>
      </x:c>
      <x:c r="FG279">
        <x:f t="shared" si="332"/>
        <x:v>0</x:v>
      </x:c>
      <x:c r="FH279">
        <x:f t="shared" si="333"/>
        <x:v>0</x:v>
      </x:c>
      <x:c r="FI279">
        <x:f t="shared" si="334"/>
        <x:v>0</x:v>
      </x:c>
      <x:c r="FJ279">
        <x:f t="shared" si="335"/>
        <x:v>0</x:v>
      </x:c>
      <x:c r="FK279">
        <x:f t="shared" si="336"/>
        <x:v>0</x:v>
      </x:c>
      <x:c r="FL279" s="41">
        <x:f t="shared" si="337"/>
        <x:v>0</x:v>
      </x:c>
      <x:c r="FM279">
        <x:f t="shared" si="338"/>
        <x:v>0</x:v>
      </x:c>
      <x:c r="FN279">
        <x:f t="shared" si="339"/>
        <x:v>0</x:v>
      </x:c>
      <x:c r="FO279">
        <x:f t="shared" si="340"/>
        <x:v>0</x:v>
      </x:c>
      <x:c r="FP279">
        <x:f t="shared" si="341"/>
        <x:v>0</x:v>
      </x:c>
      <x:c r="FQ279">
        <x:f t="shared" si="342"/>
        <x:v>0</x:v>
      </x:c>
      <x:c r="FR279">
        <x:f t="shared" si="343"/>
        <x:v>0</x:v>
      </x:c>
      <x:c r="FS279">
        <x:f t="shared" si="344"/>
        <x:v>0</x:v>
      </x:c>
      <x:c r="FT279">
        <x:f t="shared" si="345"/>
        <x:v>0</x:v>
      </x:c>
      <x:c r="FU279">
        <x:f t="shared" si="346"/>
        <x:v>0</x:v>
      </x:c>
      <x:c r="FV279">
        <x:f t="shared" si="347"/>
        <x:v>0</x:v>
      </x:c>
      <x:c r="FW279" s="41">
        <x:f t="shared" si="348"/>
        <x:v>0</x:v>
      </x:c>
      <x:c r="FX279">
        <x:f t="shared" si="349"/>
        <x:v>0</x:v>
      </x:c>
      <x:c r="FY279">
        <x:f t="shared" si="350"/>
        <x:v>0</x:v>
      </x:c>
      <x:c r="FZ279">
        <x:f t="shared" si="351"/>
        <x:v>0</x:v>
      </x:c>
      <x:c r="GA279">
        <x:f t="shared" si="352"/>
        <x:v>0</x:v>
      </x:c>
      <x:c r="GB279">
        <x:f t="shared" si="353"/>
        <x:v>0</x:v>
      </x:c>
      <x:c r="GC279">
        <x:f t="shared" si="354"/>
        <x:v>0</x:v>
      </x:c>
      <x:c r="GD279">
        <x:f t="shared" si="355"/>
        <x:v>0</x:v>
      </x:c>
      <x:c r="GE279">
        <x:f t="shared" si="356"/>
        <x:v>0</x:v>
      </x:c>
      <x:c r="GF279">
        <x:f t="shared" si="357"/>
        <x:v>0</x:v>
      </x:c>
      <x:c r="GG279">
        <x:f t="shared" si="358"/>
        <x:v>0</x:v>
      </x:c>
      <x:c r="GH279">
        <x:f t="shared" si="359"/>
        <x:v>0</x:v>
      </x:c>
      <x:c r="GI279">
        <x:f t="shared" si="360"/>
        <x:v>0</x:v>
      </x:c>
      <x:c r="GJ279">
        <x:f t="shared" si="361"/>
        <x:v>0</x:v>
      </x:c>
      <x:c r="GK279">
        <x:f t="shared" si="362"/>
        <x:v>0</x:v>
      </x:c>
      <x:c r="GL279">
        <x:f t="shared" si="363"/>
        <x:v>0</x:v>
      </x:c>
      <x:c r="GM279">
        <x:f t="shared" si="364"/>
        <x:v>0</x:v>
      </x:c>
      <x:c r="GN279">
        <x:f t="shared" si="365"/>
        <x:v>0</x:v>
      </x:c>
      <x:c r="GO279">
        <x:f t="shared" si="366"/>
        <x:v>0</x:v>
      </x:c>
      <x:c r="GP279">
        <x:f t="shared" si="367"/>
        <x:v>0</x:v>
      </x:c>
      <x:c r="GQ279">
        <x:f t="shared" si="368"/>
        <x:v>0</x:v>
      </x:c>
      <x:c r="GR279" s="42">
        <x:f t="shared" si="369"/>
        <x:v>0</x:v>
      </x:c>
      <x:c r="GS279">
        <x:f t="shared" si="370"/>
        <x:v>0</x:v>
      </x:c>
      <x:c r="GT279">
        <x:f t="shared" si="371"/>
        <x:v>0</x:v>
      </x:c>
      <x:c r="GU279">
        <x:f t="shared" si="372"/>
        <x:v>0</x:v>
      </x:c>
      <x:c r="GV279">
        <x:f t="shared" si="373"/>
        <x:v>0</x:v>
      </x:c>
      <x:c r="GW279">
        <x:f t="shared" si="374"/>
        <x:v>0</x:v>
      </x:c>
      <x:c r="GX279">
        <x:f t="shared" si="375"/>
        <x:v>0</x:v>
      </x:c>
      <x:c r="GY279">
        <x:f t="shared" si="376"/>
        <x:v>0</x:v>
      </x:c>
      <x:c r="GZ279">
        <x:f t="shared" si="377"/>
        <x:v>0</x:v>
      </x:c>
      <x:c r="HA279">
        <x:f t="shared" si="378"/>
        <x:v>0</x:v>
      </x:c>
      <x:c r="HB279" s="42">
        <x:f t="shared" si="379"/>
        <x:v>0</x:v>
      </x:c>
      <x:c r="HC279">
        <x:f t="shared" si="380"/>
        <x:v>0</x:v>
      </x:c>
      <x:c r="HD279">
        <x:f t="shared" si="381"/>
        <x:v>0</x:v>
      </x:c>
      <x:c r="HE279">
        <x:f t="shared" si="382"/>
        <x:v>0</x:v>
      </x:c>
      <x:c r="HF279">
        <x:f t="shared" si="383"/>
        <x:v>0</x:v>
      </x:c>
      <x:c r="HG279">
        <x:f t="shared" si="384"/>
        <x:v>0</x:v>
      </x:c>
      <x:c r="HH279">
        <x:f t="shared" si="385"/>
        <x:v>0</x:v>
      </x:c>
      <x:c r="HI279">
        <x:f t="shared" si="386"/>
        <x:v>0</x:v>
      </x:c>
      <x:c r="HJ279">
        <x:f t="shared" si="387"/>
        <x:v>0</x:v>
      </x:c>
      <x:c r="HK279">
        <x:f t="shared" si="388"/>
        <x:v>0</x:v>
      </x:c>
      <x:c r="HL279">
        <x:f t="shared" si="389"/>
        <x:v>0</x:v>
      </x:c>
    </x:row>
    <x:row r="280">
      <x:c r="D280" s="74"/>
      <x:c r="EQ280">
        <x:f t="shared" si="316"/>
        <x:v>0</x:v>
      </x:c>
      <x:c r="ER280">
        <x:f t="shared" si="317"/>
        <x:v>0</x:v>
      </x:c>
      <x:c r="ES280">
        <x:f t="shared" si="318"/>
        <x:v>0</x:v>
      </x:c>
      <x:c r="ET280">
        <x:f t="shared" si="319"/>
        <x:v>0</x:v>
      </x:c>
      <x:c r="EU280">
        <x:f t="shared" si="320"/>
        <x:v>0</x:v>
      </x:c>
      <x:c r="EV280">
        <x:f t="shared" si="321"/>
        <x:v>0</x:v>
      </x:c>
      <x:c r="EW280">
        <x:f t="shared" si="322"/>
        <x:v>0</x:v>
      </x:c>
      <x:c r="EX280">
        <x:f t="shared" si="323"/>
        <x:v>0</x:v>
      </x:c>
      <x:c r="EY280">
        <x:f t="shared" si="324"/>
        <x:v>0</x:v>
      </x:c>
      <x:c r="EZ280">
        <x:f t="shared" si="325"/>
        <x:v>0</x:v>
      </x:c>
      <x:c r="FA280" s="41">
        <x:f t="shared" si="326"/>
        <x:v>0</x:v>
      </x:c>
      <x:c r="FB280">
        <x:f t="shared" si="327"/>
        <x:v>0</x:v>
      </x:c>
      <x:c r="FC280">
        <x:f t="shared" si="328"/>
        <x:v>0</x:v>
      </x:c>
      <x:c r="FD280">
        <x:f t="shared" si="329"/>
        <x:v>0</x:v>
      </x:c>
      <x:c r="FE280">
        <x:f t="shared" si="330"/>
        <x:v>0</x:v>
      </x:c>
      <x:c r="FF280">
        <x:f t="shared" si="331"/>
        <x:v>0</x:v>
      </x:c>
      <x:c r="FG280">
        <x:f t="shared" si="332"/>
        <x:v>0</x:v>
      </x:c>
      <x:c r="FH280">
        <x:f t="shared" si="333"/>
        <x:v>0</x:v>
      </x:c>
      <x:c r="FI280">
        <x:f t="shared" si="334"/>
        <x:v>0</x:v>
      </x:c>
      <x:c r="FJ280">
        <x:f t="shared" si="335"/>
        <x:v>0</x:v>
      </x:c>
      <x:c r="FK280">
        <x:f t="shared" si="336"/>
        <x:v>0</x:v>
      </x:c>
      <x:c r="FL280" s="41">
        <x:f t="shared" si="337"/>
        <x:v>0</x:v>
      </x:c>
      <x:c r="FM280">
        <x:f t="shared" si="338"/>
        <x:v>0</x:v>
      </x:c>
      <x:c r="FN280">
        <x:f t="shared" si="339"/>
        <x:v>0</x:v>
      </x:c>
      <x:c r="FO280">
        <x:f t="shared" si="340"/>
        <x:v>0</x:v>
      </x:c>
      <x:c r="FP280">
        <x:f t="shared" si="341"/>
        <x:v>0</x:v>
      </x:c>
      <x:c r="FQ280">
        <x:f t="shared" si="342"/>
        <x:v>0</x:v>
      </x:c>
      <x:c r="FR280">
        <x:f t="shared" si="343"/>
        <x:v>0</x:v>
      </x:c>
      <x:c r="FS280">
        <x:f t="shared" si="344"/>
        <x:v>0</x:v>
      </x:c>
      <x:c r="FT280">
        <x:f t="shared" si="345"/>
        <x:v>0</x:v>
      </x:c>
      <x:c r="FU280">
        <x:f t="shared" si="346"/>
        <x:v>0</x:v>
      </x:c>
      <x:c r="FV280">
        <x:f t="shared" si="347"/>
        <x:v>0</x:v>
      </x:c>
      <x:c r="FW280" s="41">
        <x:f t="shared" si="348"/>
        <x:v>0</x:v>
      </x:c>
      <x:c r="FX280">
        <x:f t="shared" si="349"/>
        <x:v>0</x:v>
      </x:c>
      <x:c r="FY280">
        <x:f t="shared" si="350"/>
        <x:v>0</x:v>
      </x:c>
      <x:c r="FZ280">
        <x:f t="shared" si="351"/>
        <x:v>0</x:v>
      </x:c>
      <x:c r="GA280">
        <x:f t="shared" si="352"/>
        <x:v>0</x:v>
      </x:c>
      <x:c r="GB280">
        <x:f t="shared" si="353"/>
        <x:v>0</x:v>
      </x:c>
      <x:c r="GC280">
        <x:f t="shared" si="354"/>
        <x:v>0</x:v>
      </x:c>
      <x:c r="GD280">
        <x:f t="shared" si="355"/>
        <x:v>0</x:v>
      </x:c>
      <x:c r="GE280">
        <x:f t="shared" si="356"/>
        <x:v>0</x:v>
      </x:c>
      <x:c r="GF280">
        <x:f t="shared" si="357"/>
        <x:v>0</x:v>
      </x:c>
      <x:c r="GG280">
        <x:f t="shared" si="358"/>
        <x:v>0</x:v>
      </x:c>
      <x:c r="GH280">
        <x:f t="shared" si="359"/>
        <x:v>0</x:v>
      </x:c>
      <x:c r="GI280">
        <x:f t="shared" si="360"/>
        <x:v>0</x:v>
      </x:c>
      <x:c r="GJ280">
        <x:f t="shared" si="361"/>
        <x:v>0</x:v>
      </x:c>
      <x:c r="GK280">
        <x:f t="shared" si="362"/>
        <x:v>0</x:v>
      </x:c>
      <x:c r="GL280">
        <x:f t="shared" si="363"/>
        <x:v>0</x:v>
      </x:c>
      <x:c r="GM280">
        <x:f t="shared" si="364"/>
        <x:v>0</x:v>
      </x:c>
      <x:c r="GN280">
        <x:f t="shared" si="365"/>
        <x:v>0</x:v>
      </x:c>
      <x:c r="GO280">
        <x:f t="shared" si="366"/>
        <x:v>0</x:v>
      </x:c>
      <x:c r="GP280">
        <x:f t="shared" si="367"/>
        <x:v>0</x:v>
      </x:c>
      <x:c r="GQ280">
        <x:f t="shared" si="368"/>
        <x:v>0</x:v>
      </x:c>
      <x:c r="GR280" s="42">
        <x:f t="shared" si="369"/>
        <x:v>0</x:v>
      </x:c>
      <x:c r="GS280">
        <x:f t="shared" si="370"/>
        <x:v>0</x:v>
      </x:c>
      <x:c r="GT280">
        <x:f t="shared" si="371"/>
        <x:v>0</x:v>
      </x:c>
      <x:c r="GU280">
        <x:f t="shared" si="372"/>
        <x:v>0</x:v>
      </x:c>
      <x:c r="GV280">
        <x:f t="shared" si="373"/>
        <x:v>0</x:v>
      </x:c>
      <x:c r="GW280">
        <x:f t="shared" si="374"/>
        <x:v>0</x:v>
      </x:c>
      <x:c r="GX280">
        <x:f t="shared" si="375"/>
        <x:v>0</x:v>
      </x:c>
      <x:c r="GY280">
        <x:f t="shared" si="376"/>
        <x:v>0</x:v>
      </x:c>
      <x:c r="GZ280">
        <x:f t="shared" si="377"/>
        <x:v>0</x:v>
      </x:c>
      <x:c r="HA280">
        <x:f t="shared" si="378"/>
        <x:v>0</x:v>
      </x:c>
      <x:c r="HB280" s="42">
        <x:f t="shared" si="379"/>
        <x:v>0</x:v>
      </x:c>
      <x:c r="HC280">
        <x:f t="shared" si="380"/>
        <x:v>0</x:v>
      </x:c>
      <x:c r="HD280">
        <x:f t="shared" si="381"/>
        <x:v>0</x:v>
      </x:c>
      <x:c r="HE280">
        <x:f t="shared" si="382"/>
        <x:v>0</x:v>
      </x:c>
      <x:c r="HF280">
        <x:f t="shared" si="383"/>
        <x:v>0</x:v>
      </x:c>
      <x:c r="HG280">
        <x:f t="shared" si="384"/>
        <x:v>0</x:v>
      </x:c>
      <x:c r="HH280">
        <x:f t="shared" si="385"/>
        <x:v>0</x:v>
      </x:c>
      <x:c r="HI280">
        <x:f t="shared" si="386"/>
        <x:v>0</x:v>
      </x:c>
      <x:c r="HJ280">
        <x:f t="shared" si="387"/>
        <x:v>0</x:v>
      </x:c>
      <x:c r="HK280">
        <x:f t="shared" si="388"/>
        <x:v>0</x:v>
      </x:c>
      <x:c r="HL280">
        <x:f t="shared" si="389"/>
        <x:v>0</x:v>
      </x:c>
    </x:row>
    <x:row r="281">
      <x:c r="D281" s="74"/>
      <x:c r="EQ281">
        <x:f t="shared" si="316"/>
        <x:v>0</x:v>
      </x:c>
      <x:c r="ER281">
        <x:f t="shared" si="317"/>
        <x:v>0</x:v>
      </x:c>
      <x:c r="ES281">
        <x:f t="shared" si="318"/>
        <x:v>0</x:v>
      </x:c>
      <x:c r="ET281">
        <x:f t="shared" si="319"/>
        <x:v>0</x:v>
      </x:c>
      <x:c r="EU281">
        <x:f t="shared" si="320"/>
        <x:v>0</x:v>
      </x:c>
      <x:c r="EV281">
        <x:f t="shared" si="321"/>
        <x:v>0</x:v>
      </x:c>
      <x:c r="EW281">
        <x:f t="shared" si="322"/>
        <x:v>0</x:v>
      </x:c>
      <x:c r="EX281">
        <x:f t="shared" si="323"/>
        <x:v>0</x:v>
      </x:c>
      <x:c r="EY281">
        <x:f t="shared" si="324"/>
        <x:v>0</x:v>
      </x:c>
      <x:c r="EZ281">
        <x:f t="shared" si="325"/>
        <x:v>0</x:v>
      </x:c>
      <x:c r="FA281" s="41">
        <x:f t="shared" si="326"/>
        <x:v>0</x:v>
      </x:c>
      <x:c r="FB281">
        <x:f t="shared" si="327"/>
        <x:v>0</x:v>
      </x:c>
      <x:c r="FC281">
        <x:f t="shared" si="328"/>
        <x:v>0</x:v>
      </x:c>
      <x:c r="FD281">
        <x:f t="shared" si="329"/>
        <x:v>0</x:v>
      </x:c>
      <x:c r="FE281">
        <x:f t="shared" si="330"/>
        <x:v>0</x:v>
      </x:c>
      <x:c r="FF281">
        <x:f t="shared" si="331"/>
        <x:v>0</x:v>
      </x:c>
      <x:c r="FG281">
        <x:f t="shared" si="332"/>
        <x:v>0</x:v>
      </x:c>
      <x:c r="FH281">
        <x:f t="shared" si="333"/>
        <x:v>0</x:v>
      </x:c>
      <x:c r="FI281">
        <x:f t="shared" si="334"/>
        <x:v>0</x:v>
      </x:c>
      <x:c r="FJ281">
        <x:f t="shared" si="335"/>
        <x:v>0</x:v>
      </x:c>
      <x:c r="FK281">
        <x:f t="shared" si="336"/>
        <x:v>0</x:v>
      </x:c>
      <x:c r="FL281" s="41">
        <x:f t="shared" si="337"/>
        <x:v>0</x:v>
      </x:c>
      <x:c r="FM281">
        <x:f t="shared" si="338"/>
        <x:v>0</x:v>
      </x:c>
      <x:c r="FN281">
        <x:f t="shared" si="339"/>
        <x:v>0</x:v>
      </x:c>
      <x:c r="FO281">
        <x:f t="shared" si="340"/>
        <x:v>0</x:v>
      </x:c>
      <x:c r="FP281">
        <x:f t="shared" si="341"/>
        <x:v>0</x:v>
      </x:c>
      <x:c r="FQ281">
        <x:f t="shared" si="342"/>
        <x:v>0</x:v>
      </x:c>
      <x:c r="FR281">
        <x:f t="shared" si="343"/>
        <x:v>0</x:v>
      </x:c>
      <x:c r="FS281">
        <x:f t="shared" si="344"/>
        <x:v>0</x:v>
      </x:c>
      <x:c r="FT281">
        <x:f t="shared" si="345"/>
        <x:v>0</x:v>
      </x:c>
      <x:c r="FU281">
        <x:f t="shared" si="346"/>
        <x:v>0</x:v>
      </x:c>
      <x:c r="FV281">
        <x:f t="shared" si="347"/>
        <x:v>0</x:v>
      </x:c>
      <x:c r="FW281" s="41">
        <x:f t="shared" si="348"/>
        <x:v>0</x:v>
      </x:c>
      <x:c r="FX281">
        <x:f t="shared" si="349"/>
        <x:v>0</x:v>
      </x:c>
      <x:c r="FY281">
        <x:f t="shared" si="350"/>
        <x:v>0</x:v>
      </x:c>
      <x:c r="FZ281">
        <x:f t="shared" si="351"/>
        <x:v>0</x:v>
      </x:c>
      <x:c r="GA281">
        <x:f t="shared" si="352"/>
        <x:v>0</x:v>
      </x:c>
      <x:c r="GB281">
        <x:f t="shared" si="353"/>
        <x:v>0</x:v>
      </x:c>
      <x:c r="GC281">
        <x:f t="shared" si="354"/>
        <x:v>0</x:v>
      </x:c>
      <x:c r="GD281">
        <x:f t="shared" si="355"/>
        <x:v>0</x:v>
      </x:c>
      <x:c r="GE281">
        <x:f t="shared" si="356"/>
        <x:v>0</x:v>
      </x:c>
      <x:c r="GF281">
        <x:f t="shared" si="357"/>
        <x:v>0</x:v>
      </x:c>
      <x:c r="GG281">
        <x:f t="shared" si="358"/>
        <x:v>0</x:v>
      </x:c>
      <x:c r="GH281">
        <x:f t="shared" si="359"/>
        <x:v>0</x:v>
      </x:c>
      <x:c r="GI281">
        <x:f t="shared" si="360"/>
        <x:v>0</x:v>
      </x:c>
      <x:c r="GJ281">
        <x:f t="shared" si="361"/>
        <x:v>0</x:v>
      </x:c>
      <x:c r="GK281">
        <x:f t="shared" si="362"/>
        <x:v>0</x:v>
      </x:c>
      <x:c r="GL281">
        <x:f t="shared" si="363"/>
        <x:v>0</x:v>
      </x:c>
      <x:c r="GM281">
        <x:f t="shared" si="364"/>
        <x:v>0</x:v>
      </x:c>
      <x:c r="GN281">
        <x:f t="shared" si="365"/>
        <x:v>0</x:v>
      </x:c>
      <x:c r="GO281">
        <x:f t="shared" si="366"/>
        <x:v>0</x:v>
      </x:c>
      <x:c r="GP281">
        <x:f t="shared" si="367"/>
        <x:v>0</x:v>
      </x:c>
      <x:c r="GQ281">
        <x:f t="shared" si="368"/>
        <x:v>0</x:v>
      </x:c>
      <x:c r="GR281" s="42">
        <x:f t="shared" si="369"/>
        <x:v>0</x:v>
      </x:c>
      <x:c r="GS281">
        <x:f t="shared" si="370"/>
        <x:v>0</x:v>
      </x:c>
      <x:c r="GT281">
        <x:f t="shared" si="371"/>
        <x:v>0</x:v>
      </x:c>
      <x:c r="GU281">
        <x:f t="shared" si="372"/>
        <x:v>0</x:v>
      </x:c>
      <x:c r="GV281">
        <x:f t="shared" si="373"/>
        <x:v>0</x:v>
      </x:c>
      <x:c r="GW281">
        <x:f t="shared" si="374"/>
        <x:v>0</x:v>
      </x:c>
      <x:c r="GX281">
        <x:f t="shared" si="375"/>
        <x:v>0</x:v>
      </x:c>
      <x:c r="GY281">
        <x:f t="shared" si="376"/>
        <x:v>0</x:v>
      </x:c>
      <x:c r="GZ281">
        <x:f t="shared" si="377"/>
        <x:v>0</x:v>
      </x:c>
      <x:c r="HA281">
        <x:f t="shared" si="378"/>
        <x:v>0</x:v>
      </x:c>
      <x:c r="HB281" s="42">
        <x:f t="shared" si="379"/>
        <x:v>0</x:v>
      </x:c>
      <x:c r="HC281">
        <x:f t="shared" si="380"/>
        <x:v>0</x:v>
      </x:c>
      <x:c r="HD281">
        <x:f t="shared" si="381"/>
        <x:v>0</x:v>
      </x:c>
      <x:c r="HE281">
        <x:f t="shared" si="382"/>
        <x:v>0</x:v>
      </x:c>
      <x:c r="HF281">
        <x:f t="shared" si="383"/>
        <x:v>0</x:v>
      </x:c>
      <x:c r="HG281">
        <x:f t="shared" si="384"/>
        <x:v>0</x:v>
      </x:c>
      <x:c r="HH281">
        <x:f t="shared" si="385"/>
        <x:v>0</x:v>
      </x:c>
      <x:c r="HI281">
        <x:f t="shared" si="386"/>
        <x:v>0</x:v>
      </x:c>
      <x:c r="HJ281">
        <x:f t="shared" si="387"/>
        <x:v>0</x:v>
      </x:c>
      <x:c r="HK281">
        <x:f t="shared" si="388"/>
        <x:v>0</x:v>
      </x:c>
      <x:c r="HL281">
        <x:f t="shared" si="389"/>
        <x:v>0</x:v>
      </x:c>
    </x:row>
    <x:row r="282">
      <x:c r="D282" s="74"/>
      <x:c r="EQ282">
        <x:f t="shared" si="316"/>
        <x:v>0</x:v>
      </x:c>
      <x:c r="ER282">
        <x:f t="shared" si="317"/>
        <x:v>0</x:v>
      </x:c>
      <x:c r="ES282">
        <x:f t="shared" si="318"/>
        <x:v>0</x:v>
      </x:c>
      <x:c r="ET282">
        <x:f t="shared" si="319"/>
        <x:v>0</x:v>
      </x:c>
      <x:c r="EU282">
        <x:f t="shared" si="320"/>
        <x:v>0</x:v>
      </x:c>
      <x:c r="EV282">
        <x:f t="shared" si="321"/>
        <x:v>0</x:v>
      </x:c>
      <x:c r="EW282">
        <x:f t="shared" si="322"/>
        <x:v>0</x:v>
      </x:c>
      <x:c r="EX282">
        <x:f t="shared" si="323"/>
        <x:v>0</x:v>
      </x:c>
      <x:c r="EY282">
        <x:f t="shared" si="324"/>
        <x:v>0</x:v>
      </x:c>
      <x:c r="EZ282">
        <x:f t="shared" si="325"/>
        <x:v>0</x:v>
      </x:c>
      <x:c r="FA282" s="41">
        <x:f t="shared" si="326"/>
        <x:v>0</x:v>
      </x:c>
      <x:c r="FB282">
        <x:f t="shared" si="327"/>
        <x:v>0</x:v>
      </x:c>
      <x:c r="FC282">
        <x:f t="shared" si="328"/>
        <x:v>0</x:v>
      </x:c>
      <x:c r="FD282">
        <x:f t="shared" si="329"/>
        <x:v>0</x:v>
      </x:c>
      <x:c r="FE282">
        <x:f t="shared" si="330"/>
        <x:v>0</x:v>
      </x:c>
      <x:c r="FF282">
        <x:f t="shared" si="331"/>
        <x:v>0</x:v>
      </x:c>
      <x:c r="FG282">
        <x:f t="shared" si="332"/>
        <x:v>0</x:v>
      </x:c>
      <x:c r="FH282">
        <x:f t="shared" si="333"/>
        <x:v>0</x:v>
      </x:c>
      <x:c r="FI282">
        <x:f t="shared" si="334"/>
        <x:v>0</x:v>
      </x:c>
      <x:c r="FJ282">
        <x:f t="shared" si="335"/>
        <x:v>0</x:v>
      </x:c>
      <x:c r="FK282">
        <x:f t="shared" si="336"/>
        <x:v>0</x:v>
      </x:c>
      <x:c r="FL282" s="41">
        <x:f t="shared" si="337"/>
        <x:v>0</x:v>
      </x:c>
      <x:c r="FM282">
        <x:f t="shared" si="338"/>
        <x:v>0</x:v>
      </x:c>
      <x:c r="FN282">
        <x:f t="shared" si="339"/>
        <x:v>0</x:v>
      </x:c>
      <x:c r="FO282">
        <x:f t="shared" si="340"/>
        <x:v>0</x:v>
      </x:c>
      <x:c r="FP282">
        <x:f t="shared" si="341"/>
        <x:v>0</x:v>
      </x:c>
      <x:c r="FQ282">
        <x:f t="shared" si="342"/>
        <x:v>0</x:v>
      </x:c>
      <x:c r="FR282">
        <x:f t="shared" si="343"/>
        <x:v>0</x:v>
      </x:c>
      <x:c r="FS282">
        <x:f t="shared" si="344"/>
        <x:v>0</x:v>
      </x:c>
      <x:c r="FT282">
        <x:f t="shared" si="345"/>
        <x:v>0</x:v>
      </x:c>
      <x:c r="FU282">
        <x:f t="shared" si="346"/>
        <x:v>0</x:v>
      </x:c>
      <x:c r="FV282">
        <x:f t="shared" si="347"/>
        <x:v>0</x:v>
      </x:c>
      <x:c r="FW282" s="41">
        <x:f t="shared" si="348"/>
        <x:v>0</x:v>
      </x:c>
      <x:c r="FX282">
        <x:f t="shared" si="349"/>
        <x:v>0</x:v>
      </x:c>
      <x:c r="FY282">
        <x:f t="shared" si="350"/>
        <x:v>0</x:v>
      </x:c>
      <x:c r="FZ282">
        <x:f t="shared" si="351"/>
        <x:v>0</x:v>
      </x:c>
      <x:c r="GA282">
        <x:f t="shared" si="352"/>
        <x:v>0</x:v>
      </x:c>
      <x:c r="GB282">
        <x:f t="shared" si="353"/>
        <x:v>0</x:v>
      </x:c>
      <x:c r="GC282">
        <x:f t="shared" si="354"/>
        <x:v>0</x:v>
      </x:c>
      <x:c r="GD282">
        <x:f t="shared" si="355"/>
        <x:v>0</x:v>
      </x:c>
      <x:c r="GE282">
        <x:f t="shared" si="356"/>
        <x:v>0</x:v>
      </x:c>
      <x:c r="GF282">
        <x:f t="shared" si="357"/>
        <x:v>0</x:v>
      </x:c>
      <x:c r="GG282">
        <x:f t="shared" si="358"/>
        <x:v>0</x:v>
      </x:c>
      <x:c r="GH282">
        <x:f t="shared" si="359"/>
        <x:v>0</x:v>
      </x:c>
      <x:c r="GI282">
        <x:f t="shared" si="360"/>
        <x:v>0</x:v>
      </x:c>
      <x:c r="GJ282">
        <x:f t="shared" si="361"/>
        <x:v>0</x:v>
      </x:c>
      <x:c r="GK282">
        <x:f t="shared" si="362"/>
        <x:v>0</x:v>
      </x:c>
      <x:c r="GL282">
        <x:f t="shared" si="363"/>
        <x:v>0</x:v>
      </x:c>
      <x:c r="GM282">
        <x:f t="shared" si="364"/>
        <x:v>0</x:v>
      </x:c>
      <x:c r="GN282">
        <x:f t="shared" si="365"/>
        <x:v>0</x:v>
      </x:c>
      <x:c r="GO282">
        <x:f t="shared" si="366"/>
        <x:v>0</x:v>
      </x:c>
      <x:c r="GP282">
        <x:f t="shared" si="367"/>
        <x:v>0</x:v>
      </x:c>
      <x:c r="GQ282">
        <x:f t="shared" si="368"/>
        <x:v>0</x:v>
      </x:c>
      <x:c r="GR282" s="42">
        <x:f t="shared" si="369"/>
        <x:v>0</x:v>
      </x:c>
      <x:c r="GS282">
        <x:f t="shared" si="370"/>
        <x:v>0</x:v>
      </x:c>
      <x:c r="GT282">
        <x:f t="shared" si="371"/>
        <x:v>0</x:v>
      </x:c>
      <x:c r="GU282">
        <x:f t="shared" si="372"/>
        <x:v>0</x:v>
      </x:c>
      <x:c r="GV282">
        <x:f t="shared" si="373"/>
        <x:v>0</x:v>
      </x:c>
      <x:c r="GW282">
        <x:f t="shared" si="374"/>
        <x:v>0</x:v>
      </x:c>
      <x:c r="GX282">
        <x:f t="shared" si="375"/>
        <x:v>0</x:v>
      </x:c>
      <x:c r="GY282">
        <x:f t="shared" si="376"/>
        <x:v>0</x:v>
      </x:c>
      <x:c r="GZ282">
        <x:f t="shared" si="377"/>
        <x:v>0</x:v>
      </x:c>
      <x:c r="HA282">
        <x:f t="shared" si="378"/>
        <x:v>0</x:v>
      </x:c>
      <x:c r="HB282" s="42">
        <x:f t="shared" si="379"/>
        <x:v>0</x:v>
      </x:c>
      <x:c r="HC282">
        <x:f t="shared" si="380"/>
        <x:v>0</x:v>
      </x:c>
      <x:c r="HD282">
        <x:f t="shared" si="381"/>
        <x:v>0</x:v>
      </x:c>
      <x:c r="HE282">
        <x:f t="shared" si="382"/>
        <x:v>0</x:v>
      </x:c>
      <x:c r="HF282">
        <x:f t="shared" si="383"/>
        <x:v>0</x:v>
      </x:c>
      <x:c r="HG282">
        <x:f t="shared" si="384"/>
        <x:v>0</x:v>
      </x:c>
      <x:c r="HH282">
        <x:f t="shared" si="385"/>
        <x:v>0</x:v>
      </x:c>
      <x:c r="HI282">
        <x:f t="shared" si="386"/>
        <x:v>0</x:v>
      </x:c>
      <x:c r="HJ282">
        <x:f t="shared" si="387"/>
        <x:v>0</x:v>
      </x:c>
      <x:c r="HK282">
        <x:f t="shared" si="388"/>
        <x:v>0</x:v>
      </x:c>
      <x:c r="HL282">
        <x:f t="shared" si="389"/>
        <x:v>0</x:v>
      </x:c>
    </x:row>
    <x:row r="283">
      <x:c r="D283" s="74"/>
      <x:c r="EQ283">
        <x:f t="shared" si="316"/>
        <x:v>0</x:v>
      </x:c>
      <x:c r="ER283">
        <x:f t="shared" si="317"/>
        <x:v>0</x:v>
      </x:c>
      <x:c r="ES283">
        <x:f t="shared" si="318"/>
        <x:v>0</x:v>
      </x:c>
      <x:c r="ET283">
        <x:f t="shared" si="319"/>
        <x:v>0</x:v>
      </x:c>
      <x:c r="EU283">
        <x:f t="shared" si="320"/>
        <x:v>0</x:v>
      </x:c>
      <x:c r="EV283">
        <x:f t="shared" si="321"/>
        <x:v>0</x:v>
      </x:c>
      <x:c r="EW283">
        <x:f t="shared" si="322"/>
        <x:v>0</x:v>
      </x:c>
      <x:c r="EX283">
        <x:f t="shared" si="323"/>
        <x:v>0</x:v>
      </x:c>
      <x:c r="EY283">
        <x:f t="shared" si="324"/>
        <x:v>0</x:v>
      </x:c>
      <x:c r="EZ283">
        <x:f t="shared" si="325"/>
        <x:v>0</x:v>
      </x:c>
      <x:c r="FA283" s="41">
        <x:f t="shared" si="326"/>
        <x:v>0</x:v>
      </x:c>
      <x:c r="FB283">
        <x:f t="shared" si="327"/>
        <x:v>0</x:v>
      </x:c>
      <x:c r="FC283">
        <x:f t="shared" si="328"/>
        <x:v>0</x:v>
      </x:c>
      <x:c r="FD283">
        <x:f t="shared" si="329"/>
        <x:v>0</x:v>
      </x:c>
      <x:c r="FE283">
        <x:f t="shared" si="330"/>
        <x:v>0</x:v>
      </x:c>
      <x:c r="FF283">
        <x:f t="shared" si="331"/>
        <x:v>0</x:v>
      </x:c>
      <x:c r="FG283">
        <x:f t="shared" si="332"/>
        <x:v>0</x:v>
      </x:c>
      <x:c r="FH283">
        <x:f t="shared" si="333"/>
        <x:v>0</x:v>
      </x:c>
      <x:c r="FI283">
        <x:f t="shared" si="334"/>
        <x:v>0</x:v>
      </x:c>
      <x:c r="FJ283">
        <x:f t="shared" si="335"/>
        <x:v>0</x:v>
      </x:c>
      <x:c r="FK283">
        <x:f t="shared" si="336"/>
        <x:v>0</x:v>
      </x:c>
      <x:c r="FL283" s="41">
        <x:f t="shared" si="337"/>
        <x:v>0</x:v>
      </x:c>
      <x:c r="FM283">
        <x:f t="shared" si="338"/>
        <x:v>0</x:v>
      </x:c>
      <x:c r="FN283">
        <x:f t="shared" si="339"/>
        <x:v>0</x:v>
      </x:c>
      <x:c r="FO283">
        <x:f t="shared" si="340"/>
        <x:v>0</x:v>
      </x:c>
      <x:c r="FP283">
        <x:f t="shared" si="341"/>
        <x:v>0</x:v>
      </x:c>
      <x:c r="FQ283">
        <x:f t="shared" si="342"/>
        <x:v>0</x:v>
      </x:c>
      <x:c r="FR283">
        <x:f t="shared" si="343"/>
        <x:v>0</x:v>
      </x:c>
      <x:c r="FS283">
        <x:f t="shared" si="344"/>
        <x:v>0</x:v>
      </x:c>
      <x:c r="FT283">
        <x:f t="shared" si="345"/>
        <x:v>0</x:v>
      </x:c>
      <x:c r="FU283">
        <x:f t="shared" si="346"/>
        <x:v>0</x:v>
      </x:c>
      <x:c r="FV283">
        <x:f t="shared" si="347"/>
        <x:v>0</x:v>
      </x:c>
      <x:c r="FW283" s="41">
        <x:f t="shared" si="348"/>
        <x:v>0</x:v>
      </x:c>
      <x:c r="FX283">
        <x:f t="shared" si="349"/>
        <x:v>0</x:v>
      </x:c>
      <x:c r="FY283">
        <x:f t="shared" si="350"/>
        <x:v>0</x:v>
      </x:c>
      <x:c r="FZ283">
        <x:f t="shared" si="351"/>
        <x:v>0</x:v>
      </x:c>
      <x:c r="GA283">
        <x:f t="shared" si="352"/>
        <x:v>0</x:v>
      </x:c>
      <x:c r="GB283">
        <x:f t="shared" si="353"/>
        <x:v>0</x:v>
      </x:c>
      <x:c r="GC283">
        <x:f t="shared" si="354"/>
        <x:v>0</x:v>
      </x:c>
      <x:c r="GD283">
        <x:f t="shared" si="355"/>
        <x:v>0</x:v>
      </x:c>
      <x:c r="GE283">
        <x:f t="shared" si="356"/>
        <x:v>0</x:v>
      </x:c>
      <x:c r="GF283">
        <x:f t="shared" si="357"/>
        <x:v>0</x:v>
      </x:c>
      <x:c r="GG283">
        <x:f t="shared" si="358"/>
        <x:v>0</x:v>
      </x:c>
      <x:c r="GH283">
        <x:f t="shared" si="359"/>
        <x:v>0</x:v>
      </x:c>
      <x:c r="GI283">
        <x:f t="shared" si="360"/>
        <x:v>0</x:v>
      </x:c>
      <x:c r="GJ283">
        <x:f t="shared" si="361"/>
        <x:v>0</x:v>
      </x:c>
      <x:c r="GK283">
        <x:f t="shared" si="362"/>
        <x:v>0</x:v>
      </x:c>
      <x:c r="GL283">
        <x:f t="shared" si="363"/>
        <x:v>0</x:v>
      </x:c>
      <x:c r="GM283">
        <x:f t="shared" si="364"/>
        <x:v>0</x:v>
      </x:c>
      <x:c r="GN283">
        <x:f t="shared" si="365"/>
        <x:v>0</x:v>
      </x:c>
      <x:c r="GO283">
        <x:f t="shared" si="366"/>
        <x:v>0</x:v>
      </x:c>
      <x:c r="GP283">
        <x:f t="shared" si="367"/>
        <x:v>0</x:v>
      </x:c>
      <x:c r="GQ283">
        <x:f t="shared" si="368"/>
        <x:v>0</x:v>
      </x:c>
      <x:c r="GR283" s="42">
        <x:f t="shared" si="369"/>
        <x:v>0</x:v>
      </x:c>
      <x:c r="GS283">
        <x:f t="shared" si="370"/>
        <x:v>0</x:v>
      </x:c>
      <x:c r="GT283">
        <x:f t="shared" si="371"/>
        <x:v>0</x:v>
      </x:c>
      <x:c r="GU283">
        <x:f t="shared" si="372"/>
        <x:v>0</x:v>
      </x:c>
      <x:c r="GV283">
        <x:f t="shared" si="373"/>
        <x:v>0</x:v>
      </x:c>
      <x:c r="GW283">
        <x:f t="shared" si="374"/>
        <x:v>0</x:v>
      </x:c>
      <x:c r="GX283">
        <x:f t="shared" si="375"/>
        <x:v>0</x:v>
      </x:c>
      <x:c r="GY283">
        <x:f t="shared" si="376"/>
        <x:v>0</x:v>
      </x:c>
      <x:c r="GZ283">
        <x:f t="shared" si="377"/>
        <x:v>0</x:v>
      </x:c>
      <x:c r="HA283">
        <x:f t="shared" si="378"/>
        <x:v>0</x:v>
      </x:c>
      <x:c r="HB283" s="42">
        <x:f t="shared" si="379"/>
        <x:v>0</x:v>
      </x:c>
      <x:c r="HC283">
        <x:f t="shared" si="380"/>
        <x:v>0</x:v>
      </x:c>
      <x:c r="HD283">
        <x:f t="shared" si="381"/>
        <x:v>0</x:v>
      </x:c>
      <x:c r="HE283">
        <x:f t="shared" si="382"/>
        <x:v>0</x:v>
      </x:c>
      <x:c r="HF283">
        <x:f t="shared" si="383"/>
        <x:v>0</x:v>
      </x:c>
      <x:c r="HG283">
        <x:f t="shared" si="384"/>
        <x:v>0</x:v>
      </x:c>
      <x:c r="HH283">
        <x:f t="shared" si="385"/>
        <x:v>0</x:v>
      </x:c>
      <x:c r="HI283">
        <x:f t="shared" si="386"/>
        <x:v>0</x:v>
      </x:c>
      <x:c r="HJ283">
        <x:f t="shared" si="387"/>
        <x:v>0</x:v>
      </x:c>
      <x:c r="HK283">
        <x:f t="shared" si="388"/>
        <x:v>0</x:v>
      </x:c>
      <x:c r="HL283">
        <x:f t="shared" si="389"/>
        <x:v>0</x:v>
      </x:c>
    </x:row>
    <x:row r="284">
      <x:c r="D284" s="74"/>
      <x:c r="EQ284">
        <x:f t="shared" si="316"/>
        <x:v>0</x:v>
      </x:c>
      <x:c r="ER284">
        <x:f t="shared" si="317"/>
        <x:v>0</x:v>
      </x:c>
      <x:c r="ES284">
        <x:f t="shared" si="318"/>
        <x:v>0</x:v>
      </x:c>
      <x:c r="ET284">
        <x:f t="shared" si="319"/>
        <x:v>0</x:v>
      </x:c>
      <x:c r="EU284">
        <x:f t="shared" si="320"/>
        <x:v>0</x:v>
      </x:c>
      <x:c r="EV284">
        <x:f t="shared" si="321"/>
        <x:v>0</x:v>
      </x:c>
      <x:c r="EW284">
        <x:f t="shared" si="322"/>
        <x:v>0</x:v>
      </x:c>
      <x:c r="EX284">
        <x:f t="shared" si="323"/>
        <x:v>0</x:v>
      </x:c>
      <x:c r="EY284">
        <x:f t="shared" si="324"/>
        <x:v>0</x:v>
      </x:c>
      <x:c r="EZ284">
        <x:f t="shared" si="325"/>
        <x:v>0</x:v>
      </x:c>
      <x:c r="FA284" s="41">
        <x:f t="shared" si="326"/>
        <x:v>0</x:v>
      </x:c>
      <x:c r="FB284">
        <x:f t="shared" si="327"/>
        <x:v>0</x:v>
      </x:c>
      <x:c r="FC284">
        <x:f t="shared" si="328"/>
        <x:v>0</x:v>
      </x:c>
      <x:c r="FD284">
        <x:f t="shared" si="329"/>
        <x:v>0</x:v>
      </x:c>
      <x:c r="FE284">
        <x:f t="shared" si="330"/>
        <x:v>0</x:v>
      </x:c>
      <x:c r="FF284">
        <x:f t="shared" si="331"/>
        <x:v>0</x:v>
      </x:c>
      <x:c r="FG284">
        <x:f t="shared" si="332"/>
        <x:v>0</x:v>
      </x:c>
      <x:c r="FH284">
        <x:f t="shared" si="333"/>
        <x:v>0</x:v>
      </x:c>
      <x:c r="FI284">
        <x:f t="shared" si="334"/>
        <x:v>0</x:v>
      </x:c>
      <x:c r="FJ284">
        <x:f t="shared" si="335"/>
        <x:v>0</x:v>
      </x:c>
      <x:c r="FK284">
        <x:f t="shared" si="336"/>
        <x:v>0</x:v>
      </x:c>
      <x:c r="FL284" s="41">
        <x:f t="shared" si="337"/>
        <x:v>0</x:v>
      </x:c>
      <x:c r="FM284">
        <x:f t="shared" si="338"/>
        <x:v>0</x:v>
      </x:c>
      <x:c r="FN284">
        <x:f t="shared" si="339"/>
        <x:v>0</x:v>
      </x:c>
      <x:c r="FO284">
        <x:f t="shared" si="340"/>
        <x:v>0</x:v>
      </x:c>
      <x:c r="FP284">
        <x:f t="shared" si="341"/>
        <x:v>0</x:v>
      </x:c>
      <x:c r="FQ284">
        <x:f t="shared" si="342"/>
        <x:v>0</x:v>
      </x:c>
      <x:c r="FR284">
        <x:f t="shared" si="343"/>
        <x:v>0</x:v>
      </x:c>
      <x:c r="FS284">
        <x:f t="shared" si="344"/>
        <x:v>0</x:v>
      </x:c>
      <x:c r="FT284">
        <x:f t="shared" si="345"/>
        <x:v>0</x:v>
      </x:c>
      <x:c r="FU284">
        <x:f t="shared" si="346"/>
        <x:v>0</x:v>
      </x:c>
      <x:c r="FV284">
        <x:f t="shared" si="347"/>
        <x:v>0</x:v>
      </x:c>
      <x:c r="FW284" s="41">
        <x:f t="shared" si="348"/>
        <x:v>0</x:v>
      </x:c>
      <x:c r="FX284">
        <x:f t="shared" si="349"/>
        <x:v>0</x:v>
      </x:c>
      <x:c r="FY284">
        <x:f t="shared" si="350"/>
        <x:v>0</x:v>
      </x:c>
      <x:c r="FZ284">
        <x:f t="shared" si="351"/>
        <x:v>0</x:v>
      </x:c>
      <x:c r="GA284">
        <x:f t="shared" si="352"/>
        <x:v>0</x:v>
      </x:c>
      <x:c r="GB284">
        <x:f t="shared" si="353"/>
        <x:v>0</x:v>
      </x:c>
      <x:c r="GC284">
        <x:f t="shared" si="354"/>
        <x:v>0</x:v>
      </x:c>
      <x:c r="GD284">
        <x:f t="shared" si="355"/>
        <x:v>0</x:v>
      </x:c>
      <x:c r="GE284">
        <x:f t="shared" si="356"/>
        <x:v>0</x:v>
      </x:c>
      <x:c r="GF284">
        <x:f t="shared" si="357"/>
        <x:v>0</x:v>
      </x:c>
      <x:c r="GG284">
        <x:f t="shared" si="358"/>
        <x:v>0</x:v>
      </x:c>
      <x:c r="GH284">
        <x:f t="shared" si="359"/>
        <x:v>0</x:v>
      </x:c>
      <x:c r="GI284">
        <x:f t="shared" si="360"/>
        <x:v>0</x:v>
      </x:c>
      <x:c r="GJ284">
        <x:f t="shared" si="361"/>
        <x:v>0</x:v>
      </x:c>
      <x:c r="GK284">
        <x:f t="shared" si="362"/>
        <x:v>0</x:v>
      </x:c>
      <x:c r="GL284">
        <x:f t="shared" si="363"/>
        <x:v>0</x:v>
      </x:c>
      <x:c r="GM284">
        <x:f t="shared" si="364"/>
        <x:v>0</x:v>
      </x:c>
      <x:c r="GN284">
        <x:f t="shared" si="365"/>
        <x:v>0</x:v>
      </x:c>
      <x:c r="GO284">
        <x:f t="shared" si="366"/>
        <x:v>0</x:v>
      </x:c>
      <x:c r="GP284">
        <x:f t="shared" si="367"/>
        <x:v>0</x:v>
      </x:c>
      <x:c r="GQ284">
        <x:f t="shared" si="368"/>
        <x:v>0</x:v>
      </x:c>
      <x:c r="GR284" s="42">
        <x:f t="shared" si="369"/>
        <x:v>0</x:v>
      </x:c>
      <x:c r="GS284">
        <x:f t="shared" si="370"/>
        <x:v>0</x:v>
      </x:c>
      <x:c r="GT284">
        <x:f t="shared" si="371"/>
        <x:v>0</x:v>
      </x:c>
      <x:c r="GU284">
        <x:f t="shared" si="372"/>
        <x:v>0</x:v>
      </x:c>
      <x:c r="GV284">
        <x:f t="shared" si="373"/>
        <x:v>0</x:v>
      </x:c>
      <x:c r="GW284">
        <x:f t="shared" si="374"/>
        <x:v>0</x:v>
      </x:c>
      <x:c r="GX284">
        <x:f t="shared" si="375"/>
        <x:v>0</x:v>
      </x:c>
      <x:c r="GY284">
        <x:f t="shared" si="376"/>
        <x:v>0</x:v>
      </x:c>
      <x:c r="GZ284">
        <x:f t="shared" si="377"/>
        <x:v>0</x:v>
      </x:c>
      <x:c r="HA284">
        <x:f t="shared" si="378"/>
        <x:v>0</x:v>
      </x:c>
      <x:c r="HB284" s="42">
        <x:f t="shared" si="379"/>
        <x:v>0</x:v>
      </x:c>
      <x:c r="HC284">
        <x:f t="shared" si="380"/>
        <x:v>0</x:v>
      </x:c>
      <x:c r="HD284">
        <x:f t="shared" si="381"/>
        <x:v>0</x:v>
      </x:c>
      <x:c r="HE284">
        <x:f t="shared" si="382"/>
        <x:v>0</x:v>
      </x:c>
      <x:c r="HF284">
        <x:f t="shared" si="383"/>
        <x:v>0</x:v>
      </x:c>
      <x:c r="HG284">
        <x:f t="shared" si="384"/>
        <x:v>0</x:v>
      </x:c>
      <x:c r="HH284">
        <x:f t="shared" si="385"/>
        <x:v>0</x:v>
      </x:c>
      <x:c r="HI284">
        <x:f t="shared" si="386"/>
        <x:v>0</x:v>
      </x:c>
      <x:c r="HJ284">
        <x:f t="shared" si="387"/>
        <x:v>0</x:v>
      </x:c>
      <x:c r="HK284">
        <x:f t="shared" si="388"/>
        <x:v>0</x:v>
      </x:c>
      <x:c r="HL284">
        <x:f t="shared" si="389"/>
        <x:v>0</x:v>
      </x:c>
    </x:row>
    <x:row r="285">
      <x:c r="D285" s="74"/>
      <x:c r="EQ285">
        <x:f t="shared" si="316"/>
        <x:v>0</x:v>
      </x:c>
      <x:c r="ER285">
        <x:f t="shared" si="317"/>
        <x:v>0</x:v>
      </x:c>
      <x:c r="ES285">
        <x:f t="shared" si="318"/>
        <x:v>0</x:v>
      </x:c>
      <x:c r="ET285">
        <x:f t="shared" si="319"/>
        <x:v>0</x:v>
      </x:c>
      <x:c r="EU285">
        <x:f t="shared" si="320"/>
        <x:v>0</x:v>
      </x:c>
      <x:c r="EV285">
        <x:f t="shared" si="321"/>
        <x:v>0</x:v>
      </x:c>
      <x:c r="EW285">
        <x:f t="shared" si="322"/>
        <x:v>0</x:v>
      </x:c>
      <x:c r="EX285">
        <x:f t="shared" si="323"/>
        <x:v>0</x:v>
      </x:c>
      <x:c r="EY285">
        <x:f t="shared" si="324"/>
        <x:v>0</x:v>
      </x:c>
      <x:c r="EZ285">
        <x:f t="shared" si="325"/>
        <x:v>0</x:v>
      </x:c>
      <x:c r="FA285" s="41">
        <x:f t="shared" si="326"/>
        <x:v>0</x:v>
      </x:c>
      <x:c r="FB285">
        <x:f t="shared" si="327"/>
        <x:v>0</x:v>
      </x:c>
      <x:c r="FC285">
        <x:f t="shared" si="328"/>
        <x:v>0</x:v>
      </x:c>
      <x:c r="FD285">
        <x:f t="shared" si="329"/>
        <x:v>0</x:v>
      </x:c>
      <x:c r="FE285">
        <x:f t="shared" si="330"/>
        <x:v>0</x:v>
      </x:c>
      <x:c r="FF285">
        <x:f t="shared" si="331"/>
        <x:v>0</x:v>
      </x:c>
      <x:c r="FG285">
        <x:f t="shared" si="332"/>
        <x:v>0</x:v>
      </x:c>
      <x:c r="FH285">
        <x:f t="shared" si="333"/>
        <x:v>0</x:v>
      </x:c>
      <x:c r="FI285">
        <x:f t="shared" si="334"/>
        <x:v>0</x:v>
      </x:c>
      <x:c r="FJ285">
        <x:f t="shared" si="335"/>
        <x:v>0</x:v>
      </x:c>
      <x:c r="FK285">
        <x:f t="shared" si="336"/>
        <x:v>0</x:v>
      </x:c>
      <x:c r="FL285" s="41">
        <x:f t="shared" si="337"/>
        <x:v>0</x:v>
      </x:c>
      <x:c r="FM285">
        <x:f t="shared" si="338"/>
        <x:v>0</x:v>
      </x:c>
      <x:c r="FN285">
        <x:f t="shared" si="339"/>
        <x:v>0</x:v>
      </x:c>
      <x:c r="FO285">
        <x:f t="shared" si="340"/>
        <x:v>0</x:v>
      </x:c>
      <x:c r="FP285">
        <x:f t="shared" si="341"/>
        <x:v>0</x:v>
      </x:c>
      <x:c r="FQ285">
        <x:f t="shared" si="342"/>
        <x:v>0</x:v>
      </x:c>
      <x:c r="FR285">
        <x:f t="shared" si="343"/>
        <x:v>0</x:v>
      </x:c>
      <x:c r="FS285">
        <x:f t="shared" si="344"/>
        <x:v>0</x:v>
      </x:c>
      <x:c r="FT285">
        <x:f t="shared" si="345"/>
        <x:v>0</x:v>
      </x:c>
      <x:c r="FU285">
        <x:f t="shared" si="346"/>
        <x:v>0</x:v>
      </x:c>
      <x:c r="FV285">
        <x:f t="shared" si="347"/>
        <x:v>0</x:v>
      </x:c>
      <x:c r="FW285" s="41">
        <x:f t="shared" si="348"/>
        <x:v>0</x:v>
      </x:c>
      <x:c r="FX285">
        <x:f t="shared" si="349"/>
        <x:v>0</x:v>
      </x:c>
      <x:c r="FY285">
        <x:f t="shared" si="350"/>
        <x:v>0</x:v>
      </x:c>
      <x:c r="FZ285">
        <x:f t="shared" si="351"/>
        <x:v>0</x:v>
      </x:c>
      <x:c r="GA285">
        <x:f t="shared" si="352"/>
        <x:v>0</x:v>
      </x:c>
      <x:c r="GB285">
        <x:f t="shared" si="353"/>
        <x:v>0</x:v>
      </x:c>
      <x:c r="GC285">
        <x:f t="shared" si="354"/>
        <x:v>0</x:v>
      </x:c>
      <x:c r="GD285">
        <x:f t="shared" si="355"/>
        <x:v>0</x:v>
      </x:c>
      <x:c r="GE285">
        <x:f t="shared" si="356"/>
        <x:v>0</x:v>
      </x:c>
      <x:c r="GF285">
        <x:f t="shared" si="357"/>
        <x:v>0</x:v>
      </x:c>
      <x:c r="GG285">
        <x:f t="shared" si="358"/>
        <x:v>0</x:v>
      </x:c>
      <x:c r="GH285">
        <x:f t="shared" si="359"/>
        <x:v>0</x:v>
      </x:c>
      <x:c r="GI285">
        <x:f t="shared" si="360"/>
        <x:v>0</x:v>
      </x:c>
      <x:c r="GJ285">
        <x:f t="shared" si="361"/>
        <x:v>0</x:v>
      </x:c>
      <x:c r="GK285">
        <x:f t="shared" si="362"/>
        <x:v>0</x:v>
      </x:c>
      <x:c r="GL285">
        <x:f t="shared" si="363"/>
        <x:v>0</x:v>
      </x:c>
      <x:c r="GM285">
        <x:f t="shared" si="364"/>
        <x:v>0</x:v>
      </x:c>
      <x:c r="GN285">
        <x:f t="shared" si="365"/>
        <x:v>0</x:v>
      </x:c>
      <x:c r="GO285">
        <x:f t="shared" si="366"/>
        <x:v>0</x:v>
      </x:c>
      <x:c r="GP285">
        <x:f t="shared" si="367"/>
        <x:v>0</x:v>
      </x:c>
      <x:c r="GQ285">
        <x:f t="shared" si="368"/>
        <x:v>0</x:v>
      </x:c>
      <x:c r="GR285" s="42">
        <x:f t="shared" si="369"/>
        <x:v>0</x:v>
      </x:c>
      <x:c r="GS285">
        <x:f t="shared" si="370"/>
        <x:v>0</x:v>
      </x:c>
      <x:c r="GT285">
        <x:f t="shared" si="371"/>
        <x:v>0</x:v>
      </x:c>
      <x:c r="GU285">
        <x:f t="shared" si="372"/>
        <x:v>0</x:v>
      </x:c>
      <x:c r="GV285">
        <x:f t="shared" si="373"/>
        <x:v>0</x:v>
      </x:c>
      <x:c r="GW285">
        <x:f t="shared" si="374"/>
        <x:v>0</x:v>
      </x:c>
      <x:c r="GX285">
        <x:f t="shared" si="375"/>
        <x:v>0</x:v>
      </x:c>
      <x:c r="GY285">
        <x:f t="shared" si="376"/>
        <x:v>0</x:v>
      </x:c>
      <x:c r="GZ285">
        <x:f t="shared" si="377"/>
        <x:v>0</x:v>
      </x:c>
      <x:c r="HA285">
        <x:f t="shared" si="378"/>
        <x:v>0</x:v>
      </x:c>
      <x:c r="HB285" s="42">
        <x:f t="shared" si="379"/>
        <x:v>0</x:v>
      </x:c>
      <x:c r="HC285">
        <x:f t="shared" si="380"/>
        <x:v>0</x:v>
      </x:c>
      <x:c r="HD285">
        <x:f t="shared" si="381"/>
        <x:v>0</x:v>
      </x:c>
      <x:c r="HE285">
        <x:f t="shared" si="382"/>
        <x:v>0</x:v>
      </x:c>
      <x:c r="HF285">
        <x:f t="shared" si="383"/>
        <x:v>0</x:v>
      </x:c>
      <x:c r="HG285">
        <x:f t="shared" si="384"/>
        <x:v>0</x:v>
      </x:c>
      <x:c r="HH285">
        <x:f t="shared" si="385"/>
        <x:v>0</x:v>
      </x:c>
      <x:c r="HI285">
        <x:f t="shared" si="386"/>
        <x:v>0</x:v>
      </x:c>
      <x:c r="HJ285">
        <x:f t="shared" si="387"/>
        <x:v>0</x:v>
      </x:c>
      <x:c r="HK285">
        <x:f t="shared" si="388"/>
        <x:v>0</x:v>
      </x:c>
      <x:c r="HL285">
        <x:f t="shared" si="389"/>
        <x:v>0</x:v>
      </x:c>
    </x:row>
    <x:row r="286">
      <x:c r="D286" s="74"/>
      <x:c r="EQ286">
        <x:f t="shared" si="316"/>
        <x:v>0</x:v>
      </x:c>
      <x:c r="ER286">
        <x:f t="shared" si="317"/>
        <x:v>0</x:v>
      </x:c>
      <x:c r="ES286">
        <x:f t="shared" si="318"/>
        <x:v>0</x:v>
      </x:c>
      <x:c r="ET286">
        <x:f t="shared" si="319"/>
        <x:v>0</x:v>
      </x:c>
      <x:c r="EU286">
        <x:f t="shared" si="320"/>
        <x:v>0</x:v>
      </x:c>
      <x:c r="EV286">
        <x:f t="shared" si="321"/>
        <x:v>0</x:v>
      </x:c>
      <x:c r="EW286">
        <x:f t="shared" si="322"/>
        <x:v>0</x:v>
      </x:c>
      <x:c r="EX286">
        <x:f t="shared" si="323"/>
        <x:v>0</x:v>
      </x:c>
      <x:c r="EY286">
        <x:f t="shared" si="324"/>
        <x:v>0</x:v>
      </x:c>
      <x:c r="EZ286">
        <x:f t="shared" si="325"/>
        <x:v>0</x:v>
      </x:c>
      <x:c r="FA286" s="41">
        <x:f t="shared" si="326"/>
        <x:v>0</x:v>
      </x:c>
      <x:c r="FB286">
        <x:f t="shared" si="327"/>
        <x:v>0</x:v>
      </x:c>
      <x:c r="FC286">
        <x:f t="shared" si="328"/>
        <x:v>0</x:v>
      </x:c>
      <x:c r="FD286">
        <x:f t="shared" si="329"/>
        <x:v>0</x:v>
      </x:c>
      <x:c r="FE286">
        <x:f t="shared" si="330"/>
        <x:v>0</x:v>
      </x:c>
      <x:c r="FF286">
        <x:f t="shared" si="331"/>
        <x:v>0</x:v>
      </x:c>
      <x:c r="FG286">
        <x:f t="shared" si="332"/>
        <x:v>0</x:v>
      </x:c>
      <x:c r="FH286">
        <x:f t="shared" si="333"/>
        <x:v>0</x:v>
      </x:c>
      <x:c r="FI286">
        <x:f t="shared" si="334"/>
        <x:v>0</x:v>
      </x:c>
      <x:c r="FJ286">
        <x:f t="shared" si="335"/>
        <x:v>0</x:v>
      </x:c>
      <x:c r="FK286">
        <x:f t="shared" si="336"/>
        <x:v>0</x:v>
      </x:c>
      <x:c r="FL286" s="41">
        <x:f t="shared" si="337"/>
        <x:v>0</x:v>
      </x:c>
      <x:c r="FM286">
        <x:f t="shared" si="338"/>
        <x:v>0</x:v>
      </x:c>
      <x:c r="FN286">
        <x:f t="shared" si="339"/>
        <x:v>0</x:v>
      </x:c>
      <x:c r="FO286">
        <x:f t="shared" si="340"/>
        <x:v>0</x:v>
      </x:c>
      <x:c r="FP286">
        <x:f t="shared" si="341"/>
        <x:v>0</x:v>
      </x:c>
      <x:c r="FQ286">
        <x:f t="shared" si="342"/>
        <x:v>0</x:v>
      </x:c>
      <x:c r="FR286">
        <x:f t="shared" si="343"/>
        <x:v>0</x:v>
      </x:c>
      <x:c r="FS286">
        <x:f t="shared" si="344"/>
        <x:v>0</x:v>
      </x:c>
      <x:c r="FT286">
        <x:f t="shared" si="345"/>
        <x:v>0</x:v>
      </x:c>
      <x:c r="FU286">
        <x:f t="shared" si="346"/>
        <x:v>0</x:v>
      </x:c>
      <x:c r="FV286">
        <x:f t="shared" si="347"/>
        <x:v>0</x:v>
      </x:c>
      <x:c r="FW286" s="41">
        <x:f t="shared" si="348"/>
        <x:v>0</x:v>
      </x:c>
      <x:c r="FX286">
        <x:f t="shared" si="349"/>
        <x:v>0</x:v>
      </x:c>
      <x:c r="FY286">
        <x:f t="shared" si="350"/>
        <x:v>0</x:v>
      </x:c>
      <x:c r="FZ286">
        <x:f t="shared" si="351"/>
        <x:v>0</x:v>
      </x:c>
      <x:c r="GA286">
        <x:f t="shared" si="352"/>
        <x:v>0</x:v>
      </x:c>
      <x:c r="GB286">
        <x:f t="shared" si="353"/>
        <x:v>0</x:v>
      </x:c>
      <x:c r="GC286">
        <x:f t="shared" si="354"/>
        <x:v>0</x:v>
      </x:c>
      <x:c r="GD286">
        <x:f t="shared" si="355"/>
        <x:v>0</x:v>
      </x:c>
      <x:c r="GE286">
        <x:f t="shared" si="356"/>
        <x:v>0</x:v>
      </x:c>
      <x:c r="GF286">
        <x:f t="shared" si="357"/>
        <x:v>0</x:v>
      </x:c>
      <x:c r="GG286">
        <x:f t="shared" si="358"/>
        <x:v>0</x:v>
      </x:c>
      <x:c r="GH286">
        <x:f t="shared" si="359"/>
        <x:v>0</x:v>
      </x:c>
      <x:c r="GI286">
        <x:f t="shared" si="360"/>
        <x:v>0</x:v>
      </x:c>
      <x:c r="GJ286">
        <x:f t="shared" si="361"/>
        <x:v>0</x:v>
      </x:c>
      <x:c r="GK286">
        <x:f t="shared" si="362"/>
        <x:v>0</x:v>
      </x:c>
      <x:c r="GL286">
        <x:f t="shared" si="363"/>
        <x:v>0</x:v>
      </x:c>
      <x:c r="GM286">
        <x:f t="shared" si="364"/>
        <x:v>0</x:v>
      </x:c>
      <x:c r="GN286">
        <x:f t="shared" si="365"/>
        <x:v>0</x:v>
      </x:c>
      <x:c r="GO286">
        <x:f t="shared" si="366"/>
        <x:v>0</x:v>
      </x:c>
      <x:c r="GP286">
        <x:f t="shared" si="367"/>
        <x:v>0</x:v>
      </x:c>
      <x:c r="GQ286">
        <x:f t="shared" si="368"/>
        <x:v>0</x:v>
      </x:c>
      <x:c r="GR286" s="42">
        <x:f t="shared" si="369"/>
        <x:v>0</x:v>
      </x:c>
      <x:c r="GS286">
        <x:f t="shared" si="370"/>
        <x:v>0</x:v>
      </x:c>
      <x:c r="GT286">
        <x:f t="shared" si="371"/>
        <x:v>0</x:v>
      </x:c>
      <x:c r="GU286">
        <x:f t="shared" si="372"/>
        <x:v>0</x:v>
      </x:c>
      <x:c r="GV286">
        <x:f t="shared" si="373"/>
        <x:v>0</x:v>
      </x:c>
      <x:c r="GW286">
        <x:f t="shared" si="374"/>
        <x:v>0</x:v>
      </x:c>
      <x:c r="GX286">
        <x:f t="shared" si="375"/>
        <x:v>0</x:v>
      </x:c>
      <x:c r="GY286">
        <x:f t="shared" si="376"/>
        <x:v>0</x:v>
      </x:c>
      <x:c r="GZ286">
        <x:f t="shared" si="377"/>
        <x:v>0</x:v>
      </x:c>
      <x:c r="HA286">
        <x:f t="shared" si="378"/>
        <x:v>0</x:v>
      </x:c>
      <x:c r="HB286" s="42">
        <x:f t="shared" si="379"/>
        <x:v>0</x:v>
      </x:c>
      <x:c r="HC286">
        <x:f t="shared" si="380"/>
        <x:v>0</x:v>
      </x:c>
      <x:c r="HD286">
        <x:f t="shared" si="381"/>
        <x:v>0</x:v>
      </x:c>
      <x:c r="HE286">
        <x:f t="shared" si="382"/>
        <x:v>0</x:v>
      </x:c>
      <x:c r="HF286">
        <x:f t="shared" si="383"/>
        <x:v>0</x:v>
      </x:c>
      <x:c r="HG286">
        <x:f t="shared" si="384"/>
        <x:v>0</x:v>
      </x:c>
      <x:c r="HH286">
        <x:f t="shared" si="385"/>
        <x:v>0</x:v>
      </x:c>
      <x:c r="HI286">
        <x:f t="shared" si="386"/>
        <x:v>0</x:v>
      </x:c>
      <x:c r="HJ286">
        <x:f t="shared" si="387"/>
        <x:v>0</x:v>
      </x:c>
      <x:c r="HK286">
        <x:f t="shared" si="388"/>
        <x:v>0</x:v>
      </x:c>
      <x:c r="HL286">
        <x:f t="shared" si="389"/>
        <x:v>0</x:v>
      </x:c>
    </x:row>
    <x:row r="287">
      <x:c r="D287" s="74"/>
      <x:c r="EQ287">
        <x:f t="shared" si="316"/>
        <x:v>0</x:v>
      </x:c>
      <x:c r="ER287">
        <x:f t="shared" si="317"/>
        <x:v>0</x:v>
      </x:c>
      <x:c r="ES287">
        <x:f t="shared" si="318"/>
        <x:v>0</x:v>
      </x:c>
      <x:c r="ET287">
        <x:f t="shared" si="319"/>
        <x:v>0</x:v>
      </x:c>
      <x:c r="EU287">
        <x:f t="shared" si="320"/>
        <x:v>0</x:v>
      </x:c>
      <x:c r="EV287">
        <x:f t="shared" si="321"/>
        <x:v>0</x:v>
      </x:c>
      <x:c r="EW287">
        <x:f t="shared" si="322"/>
        <x:v>0</x:v>
      </x:c>
      <x:c r="EX287">
        <x:f t="shared" si="323"/>
        <x:v>0</x:v>
      </x:c>
      <x:c r="EY287">
        <x:f t="shared" si="324"/>
        <x:v>0</x:v>
      </x:c>
      <x:c r="EZ287">
        <x:f t="shared" si="325"/>
        <x:v>0</x:v>
      </x:c>
      <x:c r="FA287" s="41">
        <x:f t="shared" si="326"/>
        <x:v>0</x:v>
      </x:c>
      <x:c r="FB287">
        <x:f t="shared" si="327"/>
        <x:v>0</x:v>
      </x:c>
      <x:c r="FC287">
        <x:f t="shared" si="328"/>
        <x:v>0</x:v>
      </x:c>
      <x:c r="FD287">
        <x:f t="shared" si="329"/>
        <x:v>0</x:v>
      </x:c>
      <x:c r="FE287">
        <x:f t="shared" si="330"/>
        <x:v>0</x:v>
      </x:c>
      <x:c r="FF287">
        <x:f t="shared" si="331"/>
        <x:v>0</x:v>
      </x:c>
      <x:c r="FG287">
        <x:f t="shared" si="332"/>
        <x:v>0</x:v>
      </x:c>
      <x:c r="FH287">
        <x:f t="shared" si="333"/>
        <x:v>0</x:v>
      </x:c>
      <x:c r="FI287">
        <x:f t="shared" si="334"/>
        <x:v>0</x:v>
      </x:c>
      <x:c r="FJ287">
        <x:f t="shared" si="335"/>
        <x:v>0</x:v>
      </x:c>
      <x:c r="FK287">
        <x:f t="shared" si="336"/>
        <x:v>0</x:v>
      </x:c>
      <x:c r="FL287" s="41">
        <x:f t="shared" si="337"/>
        <x:v>0</x:v>
      </x:c>
      <x:c r="FM287">
        <x:f t="shared" si="338"/>
        <x:v>0</x:v>
      </x:c>
      <x:c r="FN287">
        <x:f t="shared" si="339"/>
        <x:v>0</x:v>
      </x:c>
      <x:c r="FO287">
        <x:f t="shared" si="340"/>
        <x:v>0</x:v>
      </x:c>
      <x:c r="FP287">
        <x:f t="shared" si="341"/>
        <x:v>0</x:v>
      </x:c>
      <x:c r="FQ287">
        <x:f t="shared" si="342"/>
        <x:v>0</x:v>
      </x:c>
      <x:c r="FR287">
        <x:f t="shared" si="343"/>
        <x:v>0</x:v>
      </x:c>
      <x:c r="FS287">
        <x:f t="shared" si="344"/>
        <x:v>0</x:v>
      </x:c>
      <x:c r="FT287">
        <x:f t="shared" si="345"/>
        <x:v>0</x:v>
      </x:c>
      <x:c r="FU287">
        <x:f t="shared" si="346"/>
        <x:v>0</x:v>
      </x:c>
      <x:c r="FV287">
        <x:f t="shared" si="347"/>
        <x:v>0</x:v>
      </x:c>
      <x:c r="FW287" s="41">
        <x:f t="shared" si="348"/>
        <x:v>0</x:v>
      </x:c>
      <x:c r="FX287">
        <x:f t="shared" si="349"/>
        <x:v>0</x:v>
      </x:c>
      <x:c r="FY287">
        <x:f t="shared" si="350"/>
        <x:v>0</x:v>
      </x:c>
      <x:c r="FZ287">
        <x:f t="shared" si="351"/>
        <x:v>0</x:v>
      </x:c>
      <x:c r="GA287">
        <x:f t="shared" si="352"/>
        <x:v>0</x:v>
      </x:c>
      <x:c r="GB287">
        <x:f t="shared" si="353"/>
        <x:v>0</x:v>
      </x:c>
      <x:c r="GC287">
        <x:f t="shared" si="354"/>
        <x:v>0</x:v>
      </x:c>
      <x:c r="GD287">
        <x:f t="shared" si="355"/>
        <x:v>0</x:v>
      </x:c>
      <x:c r="GE287">
        <x:f t="shared" si="356"/>
        <x:v>0</x:v>
      </x:c>
      <x:c r="GF287">
        <x:f t="shared" si="357"/>
        <x:v>0</x:v>
      </x:c>
      <x:c r="GG287">
        <x:f t="shared" si="358"/>
        <x:v>0</x:v>
      </x:c>
      <x:c r="GH287">
        <x:f t="shared" si="359"/>
        <x:v>0</x:v>
      </x:c>
      <x:c r="GI287">
        <x:f t="shared" si="360"/>
        <x:v>0</x:v>
      </x:c>
      <x:c r="GJ287">
        <x:f t="shared" si="361"/>
        <x:v>0</x:v>
      </x:c>
      <x:c r="GK287">
        <x:f t="shared" si="362"/>
        <x:v>0</x:v>
      </x:c>
      <x:c r="GL287">
        <x:f t="shared" si="363"/>
        <x:v>0</x:v>
      </x:c>
      <x:c r="GM287">
        <x:f t="shared" si="364"/>
        <x:v>0</x:v>
      </x:c>
      <x:c r="GN287">
        <x:f t="shared" si="365"/>
        <x:v>0</x:v>
      </x:c>
      <x:c r="GO287">
        <x:f t="shared" si="366"/>
        <x:v>0</x:v>
      </x:c>
      <x:c r="GP287">
        <x:f t="shared" si="367"/>
        <x:v>0</x:v>
      </x:c>
      <x:c r="GQ287">
        <x:f t="shared" si="368"/>
        <x:v>0</x:v>
      </x:c>
      <x:c r="GR287" s="42">
        <x:f t="shared" si="369"/>
        <x:v>0</x:v>
      </x:c>
      <x:c r="GS287">
        <x:f t="shared" si="370"/>
        <x:v>0</x:v>
      </x:c>
      <x:c r="GT287">
        <x:f t="shared" si="371"/>
        <x:v>0</x:v>
      </x:c>
      <x:c r="GU287">
        <x:f t="shared" si="372"/>
        <x:v>0</x:v>
      </x:c>
      <x:c r="GV287">
        <x:f t="shared" si="373"/>
        <x:v>0</x:v>
      </x:c>
      <x:c r="GW287">
        <x:f t="shared" si="374"/>
        <x:v>0</x:v>
      </x:c>
      <x:c r="GX287">
        <x:f t="shared" si="375"/>
        <x:v>0</x:v>
      </x:c>
      <x:c r="GY287">
        <x:f t="shared" si="376"/>
        <x:v>0</x:v>
      </x:c>
      <x:c r="GZ287">
        <x:f t="shared" si="377"/>
        <x:v>0</x:v>
      </x:c>
      <x:c r="HA287">
        <x:f t="shared" si="378"/>
        <x:v>0</x:v>
      </x:c>
      <x:c r="HB287" s="42">
        <x:f t="shared" si="379"/>
        <x:v>0</x:v>
      </x:c>
      <x:c r="HC287">
        <x:f t="shared" si="380"/>
        <x:v>0</x:v>
      </x:c>
      <x:c r="HD287">
        <x:f t="shared" si="381"/>
        <x:v>0</x:v>
      </x:c>
      <x:c r="HE287">
        <x:f t="shared" si="382"/>
        <x:v>0</x:v>
      </x:c>
      <x:c r="HF287">
        <x:f t="shared" si="383"/>
        <x:v>0</x:v>
      </x:c>
      <x:c r="HG287">
        <x:f t="shared" si="384"/>
        <x:v>0</x:v>
      </x:c>
      <x:c r="HH287">
        <x:f t="shared" si="385"/>
        <x:v>0</x:v>
      </x:c>
      <x:c r="HI287">
        <x:f t="shared" si="386"/>
        <x:v>0</x:v>
      </x:c>
      <x:c r="HJ287">
        <x:f t="shared" si="387"/>
        <x:v>0</x:v>
      </x:c>
      <x:c r="HK287">
        <x:f t="shared" si="388"/>
        <x:v>0</x:v>
      </x:c>
      <x:c r="HL287">
        <x:f t="shared" si="389"/>
        <x:v>0</x:v>
      </x:c>
    </x:row>
    <x:row r="288">
      <x:c r="D288" s="74"/>
      <x:c r="EQ288">
        <x:f t="shared" si="316"/>
        <x:v>0</x:v>
      </x:c>
      <x:c r="ER288">
        <x:f t="shared" si="317"/>
        <x:v>0</x:v>
      </x:c>
      <x:c r="ES288">
        <x:f t="shared" si="318"/>
        <x:v>0</x:v>
      </x:c>
      <x:c r="ET288">
        <x:f t="shared" si="319"/>
        <x:v>0</x:v>
      </x:c>
      <x:c r="EU288">
        <x:f t="shared" si="320"/>
        <x:v>0</x:v>
      </x:c>
      <x:c r="EV288">
        <x:f t="shared" si="321"/>
        <x:v>0</x:v>
      </x:c>
      <x:c r="EW288">
        <x:f t="shared" si="322"/>
        <x:v>0</x:v>
      </x:c>
      <x:c r="EX288">
        <x:f t="shared" si="323"/>
        <x:v>0</x:v>
      </x:c>
      <x:c r="EY288">
        <x:f t="shared" si="324"/>
        <x:v>0</x:v>
      </x:c>
      <x:c r="EZ288">
        <x:f t="shared" si="325"/>
        <x:v>0</x:v>
      </x:c>
      <x:c r="FA288" s="41">
        <x:f t="shared" si="326"/>
        <x:v>0</x:v>
      </x:c>
      <x:c r="FB288">
        <x:f t="shared" si="327"/>
        <x:v>0</x:v>
      </x:c>
      <x:c r="FC288">
        <x:f t="shared" si="328"/>
        <x:v>0</x:v>
      </x:c>
      <x:c r="FD288">
        <x:f t="shared" si="329"/>
        <x:v>0</x:v>
      </x:c>
      <x:c r="FE288">
        <x:f t="shared" si="330"/>
        <x:v>0</x:v>
      </x:c>
      <x:c r="FF288">
        <x:f t="shared" si="331"/>
        <x:v>0</x:v>
      </x:c>
      <x:c r="FG288">
        <x:f t="shared" si="332"/>
        <x:v>0</x:v>
      </x:c>
      <x:c r="FH288">
        <x:f t="shared" si="333"/>
        <x:v>0</x:v>
      </x:c>
      <x:c r="FI288">
        <x:f t="shared" si="334"/>
        <x:v>0</x:v>
      </x:c>
      <x:c r="FJ288">
        <x:f t="shared" si="335"/>
        <x:v>0</x:v>
      </x:c>
      <x:c r="FK288">
        <x:f t="shared" si="336"/>
        <x:v>0</x:v>
      </x:c>
      <x:c r="FL288" s="41">
        <x:f t="shared" si="337"/>
        <x:v>0</x:v>
      </x:c>
      <x:c r="FM288">
        <x:f t="shared" si="338"/>
        <x:v>0</x:v>
      </x:c>
      <x:c r="FN288">
        <x:f t="shared" si="339"/>
        <x:v>0</x:v>
      </x:c>
      <x:c r="FO288">
        <x:f t="shared" si="340"/>
        <x:v>0</x:v>
      </x:c>
      <x:c r="FP288">
        <x:f t="shared" si="341"/>
        <x:v>0</x:v>
      </x:c>
      <x:c r="FQ288">
        <x:f t="shared" si="342"/>
        <x:v>0</x:v>
      </x:c>
      <x:c r="FR288">
        <x:f t="shared" si="343"/>
        <x:v>0</x:v>
      </x:c>
      <x:c r="FS288">
        <x:f t="shared" si="344"/>
        <x:v>0</x:v>
      </x:c>
      <x:c r="FT288">
        <x:f t="shared" si="345"/>
        <x:v>0</x:v>
      </x:c>
      <x:c r="FU288">
        <x:f t="shared" si="346"/>
        <x:v>0</x:v>
      </x:c>
      <x:c r="FV288">
        <x:f t="shared" si="347"/>
        <x:v>0</x:v>
      </x:c>
      <x:c r="FW288" s="41">
        <x:f t="shared" si="348"/>
        <x:v>0</x:v>
      </x:c>
      <x:c r="FX288">
        <x:f t="shared" si="349"/>
        <x:v>0</x:v>
      </x:c>
      <x:c r="FY288">
        <x:f t="shared" si="350"/>
        <x:v>0</x:v>
      </x:c>
      <x:c r="FZ288">
        <x:f t="shared" si="351"/>
        <x:v>0</x:v>
      </x:c>
      <x:c r="GA288">
        <x:f t="shared" si="352"/>
        <x:v>0</x:v>
      </x:c>
      <x:c r="GB288">
        <x:f t="shared" si="353"/>
        <x:v>0</x:v>
      </x:c>
      <x:c r="GC288">
        <x:f t="shared" si="354"/>
        <x:v>0</x:v>
      </x:c>
      <x:c r="GD288">
        <x:f t="shared" si="355"/>
        <x:v>0</x:v>
      </x:c>
      <x:c r="GE288">
        <x:f t="shared" si="356"/>
        <x:v>0</x:v>
      </x:c>
      <x:c r="GF288">
        <x:f t="shared" si="357"/>
        <x:v>0</x:v>
      </x:c>
      <x:c r="GG288">
        <x:f t="shared" si="358"/>
        <x:v>0</x:v>
      </x:c>
      <x:c r="GH288">
        <x:f t="shared" si="359"/>
        <x:v>0</x:v>
      </x:c>
      <x:c r="GI288">
        <x:f t="shared" si="360"/>
        <x:v>0</x:v>
      </x:c>
      <x:c r="GJ288">
        <x:f t="shared" si="361"/>
        <x:v>0</x:v>
      </x:c>
      <x:c r="GK288">
        <x:f t="shared" si="362"/>
        <x:v>0</x:v>
      </x:c>
      <x:c r="GL288">
        <x:f t="shared" si="363"/>
        <x:v>0</x:v>
      </x:c>
      <x:c r="GM288">
        <x:f t="shared" si="364"/>
        <x:v>0</x:v>
      </x:c>
      <x:c r="GN288">
        <x:f t="shared" si="365"/>
        <x:v>0</x:v>
      </x:c>
      <x:c r="GO288">
        <x:f t="shared" si="366"/>
        <x:v>0</x:v>
      </x:c>
      <x:c r="GP288">
        <x:f t="shared" si="367"/>
        <x:v>0</x:v>
      </x:c>
      <x:c r="GQ288">
        <x:f t="shared" si="368"/>
        <x:v>0</x:v>
      </x:c>
      <x:c r="GR288" s="42">
        <x:f t="shared" si="369"/>
        <x:v>0</x:v>
      </x:c>
      <x:c r="GS288">
        <x:f t="shared" si="370"/>
        <x:v>0</x:v>
      </x:c>
      <x:c r="GT288">
        <x:f t="shared" si="371"/>
        <x:v>0</x:v>
      </x:c>
      <x:c r="GU288">
        <x:f t="shared" si="372"/>
        <x:v>0</x:v>
      </x:c>
      <x:c r="GV288">
        <x:f t="shared" si="373"/>
        <x:v>0</x:v>
      </x:c>
      <x:c r="GW288">
        <x:f t="shared" si="374"/>
        <x:v>0</x:v>
      </x:c>
      <x:c r="GX288">
        <x:f t="shared" si="375"/>
        <x:v>0</x:v>
      </x:c>
      <x:c r="GY288">
        <x:f t="shared" si="376"/>
        <x:v>0</x:v>
      </x:c>
      <x:c r="GZ288">
        <x:f t="shared" si="377"/>
        <x:v>0</x:v>
      </x:c>
      <x:c r="HA288">
        <x:f t="shared" si="378"/>
        <x:v>0</x:v>
      </x:c>
      <x:c r="HB288" s="42">
        <x:f t="shared" si="379"/>
        <x:v>0</x:v>
      </x:c>
      <x:c r="HC288">
        <x:f t="shared" si="380"/>
        <x:v>0</x:v>
      </x:c>
      <x:c r="HD288">
        <x:f t="shared" si="381"/>
        <x:v>0</x:v>
      </x:c>
      <x:c r="HE288">
        <x:f t="shared" si="382"/>
        <x:v>0</x:v>
      </x:c>
      <x:c r="HF288">
        <x:f t="shared" si="383"/>
        <x:v>0</x:v>
      </x:c>
      <x:c r="HG288">
        <x:f t="shared" si="384"/>
        <x:v>0</x:v>
      </x:c>
      <x:c r="HH288">
        <x:f t="shared" si="385"/>
        <x:v>0</x:v>
      </x:c>
      <x:c r="HI288">
        <x:f t="shared" si="386"/>
        <x:v>0</x:v>
      </x:c>
      <x:c r="HJ288">
        <x:f t="shared" si="387"/>
        <x:v>0</x:v>
      </x:c>
      <x:c r="HK288">
        <x:f t="shared" si="388"/>
        <x:v>0</x:v>
      </x:c>
      <x:c r="HL288">
        <x:f t="shared" si="389"/>
        <x:v>0</x:v>
      </x:c>
    </x:row>
    <x:row r="289">
      <x:c r="D289" s="74"/>
      <x:c r="EQ289">
        <x:f t="shared" si="316"/>
        <x:v>0</x:v>
      </x:c>
      <x:c r="ER289">
        <x:f t="shared" si="317"/>
        <x:v>0</x:v>
      </x:c>
      <x:c r="ES289">
        <x:f t="shared" si="318"/>
        <x:v>0</x:v>
      </x:c>
      <x:c r="ET289">
        <x:f t="shared" si="319"/>
        <x:v>0</x:v>
      </x:c>
      <x:c r="EU289">
        <x:f t="shared" si="320"/>
        <x:v>0</x:v>
      </x:c>
      <x:c r="EV289">
        <x:f t="shared" si="321"/>
        <x:v>0</x:v>
      </x:c>
      <x:c r="EW289">
        <x:f t="shared" si="322"/>
        <x:v>0</x:v>
      </x:c>
      <x:c r="EX289">
        <x:f t="shared" si="323"/>
        <x:v>0</x:v>
      </x:c>
      <x:c r="EY289">
        <x:f t="shared" si="324"/>
        <x:v>0</x:v>
      </x:c>
      <x:c r="EZ289">
        <x:f t="shared" si="325"/>
        <x:v>0</x:v>
      </x:c>
      <x:c r="FA289" s="41">
        <x:f t="shared" si="326"/>
        <x:v>0</x:v>
      </x:c>
      <x:c r="FB289">
        <x:f t="shared" si="327"/>
        <x:v>0</x:v>
      </x:c>
      <x:c r="FC289">
        <x:f t="shared" si="328"/>
        <x:v>0</x:v>
      </x:c>
      <x:c r="FD289">
        <x:f t="shared" si="329"/>
        <x:v>0</x:v>
      </x:c>
      <x:c r="FE289">
        <x:f t="shared" si="330"/>
        <x:v>0</x:v>
      </x:c>
      <x:c r="FF289">
        <x:f t="shared" si="331"/>
        <x:v>0</x:v>
      </x:c>
      <x:c r="FG289">
        <x:f t="shared" si="332"/>
        <x:v>0</x:v>
      </x:c>
      <x:c r="FH289">
        <x:f t="shared" si="333"/>
        <x:v>0</x:v>
      </x:c>
      <x:c r="FI289">
        <x:f t="shared" si="334"/>
        <x:v>0</x:v>
      </x:c>
      <x:c r="FJ289">
        <x:f t="shared" si="335"/>
        <x:v>0</x:v>
      </x:c>
      <x:c r="FK289">
        <x:f t="shared" si="336"/>
        <x:v>0</x:v>
      </x:c>
      <x:c r="FL289" s="41">
        <x:f t="shared" si="337"/>
        <x:v>0</x:v>
      </x:c>
      <x:c r="FM289">
        <x:f t="shared" si="338"/>
        <x:v>0</x:v>
      </x:c>
      <x:c r="FN289">
        <x:f t="shared" si="339"/>
        <x:v>0</x:v>
      </x:c>
      <x:c r="FO289">
        <x:f t="shared" si="340"/>
        <x:v>0</x:v>
      </x:c>
      <x:c r="FP289">
        <x:f t="shared" si="341"/>
        <x:v>0</x:v>
      </x:c>
      <x:c r="FQ289">
        <x:f t="shared" si="342"/>
        <x:v>0</x:v>
      </x:c>
      <x:c r="FR289">
        <x:f t="shared" si="343"/>
        <x:v>0</x:v>
      </x:c>
      <x:c r="FS289">
        <x:f t="shared" si="344"/>
        <x:v>0</x:v>
      </x:c>
      <x:c r="FT289">
        <x:f t="shared" si="345"/>
        <x:v>0</x:v>
      </x:c>
      <x:c r="FU289">
        <x:f t="shared" si="346"/>
        <x:v>0</x:v>
      </x:c>
      <x:c r="FV289">
        <x:f t="shared" si="347"/>
        <x:v>0</x:v>
      </x:c>
      <x:c r="FW289" s="41">
        <x:f t="shared" si="348"/>
        <x:v>0</x:v>
      </x:c>
      <x:c r="FX289">
        <x:f t="shared" si="349"/>
        <x:v>0</x:v>
      </x:c>
      <x:c r="FY289">
        <x:f t="shared" si="350"/>
        <x:v>0</x:v>
      </x:c>
      <x:c r="FZ289">
        <x:f t="shared" si="351"/>
        <x:v>0</x:v>
      </x:c>
      <x:c r="GA289">
        <x:f t="shared" si="352"/>
        <x:v>0</x:v>
      </x:c>
      <x:c r="GB289">
        <x:f t="shared" si="353"/>
        <x:v>0</x:v>
      </x:c>
      <x:c r="GC289">
        <x:f t="shared" si="354"/>
        <x:v>0</x:v>
      </x:c>
      <x:c r="GD289">
        <x:f t="shared" si="355"/>
        <x:v>0</x:v>
      </x:c>
      <x:c r="GE289">
        <x:f t="shared" si="356"/>
        <x:v>0</x:v>
      </x:c>
      <x:c r="GF289">
        <x:f t="shared" si="357"/>
        <x:v>0</x:v>
      </x:c>
      <x:c r="GG289">
        <x:f t="shared" si="358"/>
        <x:v>0</x:v>
      </x:c>
      <x:c r="GH289">
        <x:f t="shared" si="359"/>
        <x:v>0</x:v>
      </x:c>
      <x:c r="GI289">
        <x:f t="shared" si="360"/>
        <x:v>0</x:v>
      </x:c>
      <x:c r="GJ289">
        <x:f t="shared" si="361"/>
        <x:v>0</x:v>
      </x:c>
      <x:c r="GK289">
        <x:f t="shared" si="362"/>
        <x:v>0</x:v>
      </x:c>
      <x:c r="GL289">
        <x:f t="shared" si="363"/>
        <x:v>0</x:v>
      </x:c>
      <x:c r="GM289">
        <x:f t="shared" si="364"/>
        <x:v>0</x:v>
      </x:c>
      <x:c r="GN289">
        <x:f t="shared" si="365"/>
        <x:v>0</x:v>
      </x:c>
      <x:c r="GO289">
        <x:f t="shared" si="366"/>
        <x:v>0</x:v>
      </x:c>
      <x:c r="GP289">
        <x:f t="shared" si="367"/>
        <x:v>0</x:v>
      </x:c>
      <x:c r="GQ289">
        <x:f t="shared" si="368"/>
        <x:v>0</x:v>
      </x:c>
      <x:c r="GR289" s="42">
        <x:f t="shared" si="369"/>
        <x:v>0</x:v>
      </x:c>
      <x:c r="GS289">
        <x:f t="shared" si="370"/>
        <x:v>0</x:v>
      </x:c>
      <x:c r="GT289">
        <x:f t="shared" si="371"/>
        <x:v>0</x:v>
      </x:c>
      <x:c r="GU289">
        <x:f t="shared" si="372"/>
        <x:v>0</x:v>
      </x:c>
      <x:c r="GV289">
        <x:f t="shared" si="373"/>
        <x:v>0</x:v>
      </x:c>
      <x:c r="GW289">
        <x:f t="shared" si="374"/>
        <x:v>0</x:v>
      </x:c>
      <x:c r="GX289">
        <x:f t="shared" si="375"/>
        <x:v>0</x:v>
      </x:c>
      <x:c r="GY289">
        <x:f t="shared" si="376"/>
        <x:v>0</x:v>
      </x:c>
      <x:c r="GZ289">
        <x:f t="shared" si="377"/>
        <x:v>0</x:v>
      </x:c>
      <x:c r="HA289">
        <x:f t="shared" si="378"/>
        <x:v>0</x:v>
      </x:c>
      <x:c r="HB289" s="42">
        <x:f t="shared" si="379"/>
        <x:v>0</x:v>
      </x:c>
      <x:c r="HC289">
        <x:f t="shared" si="380"/>
        <x:v>0</x:v>
      </x:c>
      <x:c r="HD289">
        <x:f t="shared" si="381"/>
        <x:v>0</x:v>
      </x:c>
      <x:c r="HE289">
        <x:f t="shared" si="382"/>
        <x:v>0</x:v>
      </x:c>
      <x:c r="HF289">
        <x:f t="shared" si="383"/>
        <x:v>0</x:v>
      </x:c>
      <x:c r="HG289">
        <x:f t="shared" si="384"/>
        <x:v>0</x:v>
      </x:c>
      <x:c r="HH289">
        <x:f t="shared" si="385"/>
        <x:v>0</x:v>
      </x:c>
      <x:c r="HI289">
        <x:f t="shared" si="386"/>
        <x:v>0</x:v>
      </x:c>
      <x:c r="HJ289">
        <x:f t="shared" si="387"/>
        <x:v>0</x:v>
      </x:c>
      <x:c r="HK289">
        <x:f t="shared" si="388"/>
        <x:v>0</x:v>
      </x:c>
      <x:c r="HL289">
        <x:f t="shared" si="389"/>
        <x:v>0</x:v>
      </x:c>
    </x:row>
    <x:row r="290">
      <x:c r="D290" s="74"/>
      <x:c r="EQ290">
        <x:f t="shared" si="316"/>
        <x:v>0</x:v>
      </x:c>
      <x:c r="ER290">
        <x:f t="shared" si="317"/>
        <x:v>0</x:v>
      </x:c>
      <x:c r="ES290">
        <x:f t="shared" si="318"/>
        <x:v>0</x:v>
      </x:c>
      <x:c r="ET290">
        <x:f t="shared" si="319"/>
        <x:v>0</x:v>
      </x:c>
      <x:c r="EU290">
        <x:f t="shared" si="320"/>
        <x:v>0</x:v>
      </x:c>
      <x:c r="EV290">
        <x:f t="shared" si="321"/>
        <x:v>0</x:v>
      </x:c>
      <x:c r="EW290">
        <x:f t="shared" si="322"/>
        <x:v>0</x:v>
      </x:c>
      <x:c r="EX290">
        <x:f t="shared" si="323"/>
        <x:v>0</x:v>
      </x:c>
      <x:c r="EY290">
        <x:f t="shared" si="324"/>
        <x:v>0</x:v>
      </x:c>
      <x:c r="EZ290">
        <x:f t="shared" si="325"/>
        <x:v>0</x:v>
      </x:c>
      <x:c r="FA290" s="41">
        <x:f t="shared" si="326"/>
        <x:v>0</x:v>
      </x:c>
      <x:c r="FB290">
        <x:f t="shared" si="327"/>
        <x:v>0</x:v>
      </x:c>
      <x:c r="FC290">
        <x:f t="shared" si="328"/>
        <x:v>0</x:v>
      </x:c>
      <x:c r="FD290">
        <x:f t="shared" si="329"/>
        <x:v>0</x:v>
      </x:c>
      <x:c r="FE290">
        <x:f t="shared" si="330"/>
        <x:v>0</x:v>
      </x:c>
      <x:c r="FF290">
        <x:f t="shared" si="331"/>
        <x:v>0</x:v>
      </x:c>
      <x:c r="FG290">
        <x:f t="shared" si="332"/>
        <x:v>0</x:v>
      </x:c>
      <x:c r="FH290">
        <x:f t="shared" si="333"/>
        <x:v>0</x:v>
      </x:c>
      <x:c r="FI290">
        <x:f t="shared" si="334"/>
        <x:v>0</x:v>
      </x:c>
      <x:c r="FJ290">
        <x:f t="shared" si="335"/>
        <x:v>0</x:v>
      </x:c>
      <x:c r="FK290">
        <x:f t="shared" si="336"/>
        <x:v>0</x:v>
      </x:c>
      <x:c r="FL290" s="41">
        <x:f t="shared" si="337"/>
        <x:v>0</x:v>
      </x:c>
      <x:c r="FM290">
        <x:f t="shared" si="338"/>
        <x:v>0</x:v>
      </x:c>
      <x:c r="FN290">
        <x:f t="shared" si="339"/>
        <x:v>0</x:v>
      </x:c>
      <x:c r="FO290">
        <x:f t="shared" si="340"/>
        <x:v>0</x:v>
      </x:c>
      <x:c r="FP290">
        <x:f t="shared" si="341"/>
        <x:v>0</x:v>
      </x:c>
      <x:c r="FQ290">
        <x:f t="shared" si="342"/>
        <x:v>0</x:v>
      </x:c>
      <x:c r="FR290">
        <x:f t="shared" si="343"/>
        <x:v>0</x:v>
      </x:c>
      <x:c r="FS290">
        <x:f t="shared" si="344"/>
        <x:v>0</x:v>
      </x:c>
      <x:c r="FT290">
        <x:f t="shared" si="345"/>
        <x:v>0</x:v>
      </x:c>
      <x:c r="FU290">
        <x:f t="shared" si="346"/>
        <x:v>0</x:v>
      </x:c>
      <x:c r="FV290">
        <x:f t="shared" si="347"/>
        <x:v>0</x:v>
      </x:c>
      <x:c r="FW290" s="41">
        <x:f t="shared" si="348"/>
        <x:v>0</x:v>
      </x:c>
      <x:c r="FX290">
        <x:f t="shared" si="349"/>
        <x:v>0</x:v>
      </x:c>
      <x:c r="FY290">
        <x:f t="shared" si="350"/>
        <x:v>0</x:v>
      </x:c>
      <x:c r="FZ290">
        <x:f t="shared" si="351"/>
        <x:v>0</x:v>
      </x:c>
      <x:c r="GA290">
        <x:f t="shared" si="352"/>
        <x:v>0</x:v>
      </x:c>
      <x:c r="GB290">
        <x:f t="shared" si="353"/>
        <x:v>0</x:v>
      </x:c>
      <x:c r="GC290">
        <x:f t="shared" si="354"/>
        <x:v>0</x:v>
      </x:c>
      <x:c r="GD290">
        <x:f t="shared" si="355"/>
        <x:v>0</x:v>
      </x:c>
      <x:c r="GE290">
        <x:f t="shared" si="356"/>
        <x:v>0</x:v>
      </x:c>
      <x:c r="GF290">
        <x:f t="shared" si="357"/>
        <x:v>0</x:v>
      </x:c>
      <x:c r="GG290">
        <x:f t="shared" si="358"/>
        <x:v>0</x:v>
      </x:c>
      <x:c r="GH290">
        <x:f t="shared" si="359"/>
        <x:v>0</x:v>
      </x:c>
      <x:c r="GI290">
        <x:f t="shared" si="360"/>
        <x:v>0</x:v>
      </x:c>
      <x:c r="GJ290">
        <x:f t="shared" si="361"/>
        <x:v>0</x:v>
      </x:c>
      <x:c r="GK290">
        <x:f t="shared" si="362"/>
        <x:v>0</x:v>
      </x:c>
      <x:c r="GL290">
        <x:f t="shared" si="363"/>
        <x:v>0</x:v>
      </x:c>
      <x:c r="GM290">
        <x:f t="shared" si="364"/>
        <x:v>0</x:v>
      </x:c>
      <x:c r="GN290">
        <x:f t="shared" si="365"/>
        <x:v>0</x:v>
      </x:c>
      <x:c r="GO290">
        <x:f t="shared" si="366"/>
        <x:v>0</x:v>
      </x:c>
      <x:c r="GP290">
        <x:f t="shared" si="367"/>
        <x:v>0</x:v>
      </x:c>
      <x:c r="GQ290">
        <x:f t="shared" si="368"/>
        <x:v>0</x:v>
      </x:c>
      <x:c r="GR290" s="42">
        <x:f t="shared" si="369"/>
        <x:v>0</x:v>
      </x:c>
      <x:c r="GS290">
        <x:f t="shared" si="370"/>
        <x:v>0</x:v>
      </x:c>
      <x:c r="GT290">
        <x:f t="shared" si="371"/>
        <x:v>0</x:v>
      </x:c>
      <x:c r="GU290">
        <x:f t="shared" si="372"/>
        <x:v>0</x:v>
      </x:c>
      <x:c r="GV290">
        <x:f t="shared" si="373"/>
        <x:v>0</x:v>
      </x:c>
      <x:c r="GW290">
        <x:f t="shared" si="374"/>
        <x:v>0</x:v>
      </x:c>
      <x:c r="GX290">
        <x:f t="shared" si="375"/>
        <x:v>0</x:v>
      </x:c>
      <x:c r="GY290">
        <x:f t="shared" si="376"/>
        <x:v>0</x:v>
      </x:c>
      <x:c r="GZ290">
        <x:f t="shared" si="377"/>
        <x:v>0</x:v>
      </x:c>
      <x:c r="HA290">
        <x:f t="shared" si="378"/>
        <x:v>0</x:v>
      </x:c>
      <x:c r="HB290" s="42">
        <x:f t="shared" si="379"/>
        <x:v>0</x:v>
      </x:c>
      <x:c r="HC290">
        <x:f t="shared" si="380"/>
        <x:v>0</x:v>
      </x:c>
      <x:c r="HD290">
        <x:f t="shared" si="381"/>
        <x:v>0</x:v>
      </x:c>
      <x:c r="HE290">
        <x:f t="shared" si="382"/>
        <x:v>0</x:v>
      </x:c>
      <x:c r="HF290">
        <x:f t="shared" si="383"/>
        <x:v>0</x:v>
      </x:c>
      <x:c r="HG290">
        <x:f t="shared" si="384"/>
        <x:v>0</x:v>
      </x:c>
      <x:c r="HH290">
        <x:f t="shared" si="385"/>
        <x:v>0</x:v>
      </x:c>
      <x:c r="HI290">
        <x:f t="shared" si="386"/>
        <x:v>0</x:v>
      </x:c>
      <x:c r="HJ290">
        <x:f t="shared" si="387"/>
        <x:v>0</x:v>
      </x:c>
      <x:c r="HK290">
        <x:f t="shared" si="388"/>
        <x:v>0</x:v>
      </x:c>
      <x:c r="HL290">
        <x:f t="shared" si="389"/>
        <x:v>0</x:v>
      </x:c>
    </x:row>
    <x:row r="291">
      <x:c r="D291" s="74"/>
      <x:c r="EQ291">
        <x:f t="shared" si="316"/>
        <x:v>0</x:v>
      </x:c>
      <x:c r="ER291">
        <x:f t="shared" si="317"/>
        <x:v>0</x:v>
      </x:c>
      <x:c r="ES291">
        <x:f t="shared" si="318"/>
        <x:v>0</x:v>
      </x:c>
      <x:c r="ET291">
        <x:f t="shared" si="319"/>
        <x:v>0</x:v>
      </x:c>
      <x:c r="EU291">
        <x:f t="shared" si="320"/>
        <x:v>0</x:v>
      </x:c>
      <x:c r="EV291">
        <x:f t="shared" si="321"/>
        <x:v>0</x:v>
      </x:c>
      <x:c r="EW291">
        <x:f t="shared" si="322"/>
        <x:v>0</x:v>
      </x:c>
      <x:c r="EX291">
        <x:f t="shared" si="323"/>
        <x:v>0</x:v>
      </x:c>
      <x:c r="EY291">
        <x:f t="shared" si="324"/>
        <x:v>0</x:v>
      </x:c>
      <x:c r="EZ291">
        <x:f t="shared" si="325"/>
        <x:v>0</x:v>
      </x:c>
      <x:c r="FA291" s="41">
        <x:f t="shared" si="326"/>
        <x:v>0</x:v>
      </x:c>
      <x:c r="FB291">
        <x:f t="shared" si="327"/>
        <x:v>0</x:v>
      </x:c>
      <x:c r="FC291">
        <x:f t="shared" si="328"/>
        <x:v>0</x:v>
      </x:c>
      <x:c r="FD291">
        <x:f t="shared" si="329"/>
        <x:v>0</x:v>
      </x:c>
      <x:c r="FE291">
        <x:f t="shared" si="330"/>
        <x:v>0</x:v>
      </x:c>
      <x:c r="FF291">
        <x:f t="shared" si="331"/>
        <x:v>0</x:v>
      </x:c>
      <x:c r="FG291">
        <x:f t="shared" si="332"/>
        <x:v>0</x:v>
      </x:c>
      <x:c r="FH291">
        <x:f t="shared" si="333"/>
        <x:v>0</x:v>
      </x:c>
      <x:c r="FI291">
        <x:f t="shared" si="334"/>
        <x:v>0</x:v>
      </x:c>
      <x:c r="FJ291">
        <x:f t="shared" si="335"/>
        <x:v>0</x:v>
      </x:c>
      <x:c r="FK291">
        <x:f t="shared" si="336"/>
        <x:v>0</x:v>
      </x:c>
      <x:c r="FL291" s="41">
        <x:f t="shared" si="337"/>
        <x:v>0</x:v>
      </x:c>
      <x:c r="FM291">
        <x:f t="shared" si="338"/>
        <x:v>0</x:v>
      </x:c>
      <x:c r="FN291">
        <x:f t="shared" si="339"/>
        <x:v>0</x:v>
      </x:c>
      <x:c r="FO291">
        <x:f t="shared" si="340"/>
        <x:v>0</x:v>
      </x:c>
      <x:c r="FP291">
        <x:f t="shared" si="341"/>
        <x:v>0</x:v>
      </x:c>
      <x:c r="FQ291">
        <x:f t="shared" si="342"/>
        <x:v>0</x:v>
      </x:c>
      <x:c r="FR291">
        <x:f t="shared" si="343"/>
        <x:v>0</x:v>
      </x:c>
      <x:c r="FS291">
        <x:f t="shared" si="344"/>
        <x:v>0</x:v>
      </x:c>
      <x:c r="FT291">
        <x:f t="shared" si="345"/>
        <x:v>0</x:v>
      </x:c>
      <x:c r="FU291">
        <x:f t="shared" si="346"/>
        <x:v>0</x:v>
      </x:c>
      <x:c r="FV291">
        <x:f t="shared" si="347"/>
        <x:v>0</x:v>
      </x:c>
      <x:c r="FW291" s="41">
        <x:f t="shared" si="348"/>
        <x:v>0</x:v>
      </x:c>
      <x:c r="FX291">
        <x:f t="shared" si="349"/>
        <x:v>0</x:v>
      </x:c>
      <x:c r="FY291">
        <x:f t="shared" si="350"/>
        <x:v>0</x:v>
      </x:c>
      <x:c r="FZ291">
        <x:f t="shared" si="351"/>
        <x:v>0</x:v>
      </x:c>
      <x:c r="GA291">
        <x:f t="shared" si="352"/>
        <x:v>0</x:v>
      </x:c>
      <x:c r="GB291">
        <x:f t="shared" si="353"/>
        <x:v>0</x:v>
      </x:c>
      <x:c r="GC291">
        <x:f t="shared" si="354"/>
        <x:v>0</x:v>
      </x:c>
      <x:c r="GD291">
        <x:f t="shared" si="355"/>
        <x:v>0</x:v>
      </x:c>
      <x:c r="GE291">
        <x:f t="shared" si="356"/>
        <x:v>0</x:v>
      </x:c>
      <x:c r="GF291">
        <x:f t="shared" si="357"/>
        <x:v>0</x:v>
      </x:c>
      <x:c r="GG291">
        <x:f t="shared" si="358"/>
        <x:v>0</x:v>
      </x:c>
      <x:c r="GH291">
        <x:f t="shared" si="359"/>
        <x:v>0</x:v>
      </x:c>
      <x:c r="GI291">
        <x:f t="shared" si="360"/>
        <x:v>0</x:v>
      </x:c>
      <x:c r="GJ291">
        <x:f t="shared" si="361"/>
        <x:v>0</x:v>
      </x:c>
      <x:c r="GK291">
        <x:f t="shared" si="362"/>
        <x:v>0</x:v>
      </x:c>
      <x:c r="GL291">
        <x:f t="shared" si="363"/>
        <x:v>0</x:v>
      </x:c>
      <x:c r="GM291">
        <x:f t="shared" si="364"/>
        <x:v>0</x:v>
      </x:c>
      <x:c r="GN291">
        <x:f t="shared" si="365"/>
        <x:v>0</x:v>
      </x:c>
      <x:c r="GO291">
        <x:f t="shared" si="366"/>
        <x:v>0</x:v>
      </x:c>
      <x:c r="GP291">
        <x:f t="shared" si="367"/>
        <x:v>0</x:v>
      </x:c>
      <x:c r="GQ291">
        <x:f t="shared" si="368"/>
        <x:v>0</x:v>
      </x:c>
      <x:c r="GR291" s="42">
        <x:f t="shared" si="369"/>
        <x:v>0</x:v>
      </x:c>
      <x:c r="GS291">
        <x:f t="shared" si="370"/>
        <x:v>0</x:v>
      </x:c>
      <x:c r="GT291">
        <x:f t="shared" si="371"/>
        <x:v>0</x:v>
      </x:c>
      <x:c r="GU291">
        <x:f t="shared" si="372"/>
        <x:v>0</x:v>
      </x:c>
      <x:c r="GV291">
        <x:f t="shared" si="373"/>
        <x:v>0</x:v>
      </x:c>
      <x:c r="GW291">
        <x:f t="shared" si="374"/>
        <x:v>0</x:v>
      </x:c>
      <x:c r="GX291">
        <x:f t="shared" si="375"/>
        <x:v>0</x:v>
      </x:c>
      <x:c r="GY291">
        <x:f t="shared" si="376"/>
        <x:v>0</x:v>
      </x:c>
      <x:c r="GZ291">
        <x:f t="shared" si="377"/>
        <x:v>0</x:v>
      </x:c>
      <x:c r="HA291">
        <x:f t="shared" si="378"/>
        <x:v>0</x:v>
      </x:c>
      <x:c r="HB291" s="42">
        <x:f t="shared" si="379"/>
        <x:v>0</x:v>
      </x:c>
      <x:c r="HC291">
        <x:f t="shared" si="380"/>
        <x:v>0</x:v>
      </x:c>
      <x:c r="HD291">
        <x:f t="shared" si="381"/>
        <x:v>0</x:v>
      </x:c>
      <x:c r="HE291">
        <x:f t="shared" si="382"/>
        <x:v>0</x:v>
      </x:c>
      <x:c r="HF291">
        <x:f t="shared" si="383"/>
        <x:v>0</x:v>
      </x:c>
      <x:c r="HG291">
        <x:f t="shared" si="384"/>
        <x:v>0</x:v>
      </x:c>
      <x:c r="HH291">
        <x:f t="shared" si="385"/>
        <x:v>0</x:v>
      </x:c>
      <x:c r="HI291">
        <x:f t="shared" si="386"/>
        <x:v>0</x:v>
      </x:c>
      <x:c r="HJ291">
        <x:f t="shared" si="387"/>
        <x:v>0</x:v>
      </x:c>
      <x:c r="HK291">
        <x:f t="shared" si="388"/>
        <x:v>0</x:v>
      </x:c>
      <x:c r="HL291">
        <x:f t="shared" si="389"/>
        <x:v>0</x:v>
      </x:c>
    </x:row>
    <x:row r="292">
      <x:c r="D292" s="74"/>
      <x:c r="EQ292">
        <x:f t="shared" si="316"/>
        <x:v>0</x:v>
      </x:c>
      <x:c r="ER292">
        <x:f t="shared" si="317"/>
        <x:v>0</x:v>
      </x:c>
      <x:c r="ES292">
        <x:f t="shared" si="318"/>
        <x:v>0</x:v>
      </x:c>
      <x:c r="ET292">
        <x:f t="shared" si="319"/>
        <x:v>0</x:v>
      </x:c>
      <x:c r="EU292">
        <x:f t="shared" si="320"/>
        <x:v>0</x:v>
      </x:c>
      <x:c r="EV292">
        <x:f t="shared" si="321"/>
        <x:v>0</x:v>
      </x:c>
      <x:c r="EW292">
        <x:f t="shared" si="322"/>
        <x:v>0</x:v>
      </x:c>
      <x:c r="EX292">
        <x:f t="shared" si="323"/>
        <x:v>0</x:v>
      </x:c>
      <x:c r="EY292">
        <x:f t="shared" si="324"/>
        <x:v>0</x:v>
      </x:c>
      <x:c r="EZ292">
        <x:f t="shared" si="325"/>
        <x:v>0</x:v>
      </x:c>
      <x:c r="FA292" s="41">
        <x:f t="shared" si="326"/>
        <x:v>0</x:v>
      </x:c>
      <x:c r="FB292">
        <x:f t="shared" si="327"/>
        <x:v>0</x:v>
      </x:c>
      <x:c r="FC292">
        <x:f t="shared" si="328"/>
        <x:v>0</x:v>
      </x:c>
      <x:c r="FD292">
        <x:f t="shared" si="329"/>
        <x:v>0</x:v>
      </x:c>
      <x:c r="FE292">
        <x:f t="shared" si="330"/>
        <x:v>0</x:v>
      </x:c>
      <x:c r="FF292">
        <x:f t="shared" si="331"/>
        <x:v>0</x:v>
      </x:c>
      <x:c r="FG292">
        <x:f t="shared" si="332"/>
        <x:v>0</x:v>
      </x:c>
      <x:c r="FH292">
        <x:f t="shared" si="333"/>
        <x:v>0</x:v>
      </x:c>
      <x:c r="FI292">
        <x:f t="shared" si="334"/>
        <x:v>0</x:v>
      </x:c>
      <x:c r="FJ292">
        <x:f t="shared" si="335"/>
        <x:v>0</x:v>
      </x:c>
      <x:c r="FK292">
        <x:f t="shared" si="336"/>
        <x:v>0</x:v>
      </x:c>
      <x:c r="FL292" s="41">
        <x:f t="shared" si="337"/>
        <x:v>0</x:v>
      </x:c>
      <x:c r="FM292">
        <x:f t="shared" si="338"/>
        <x:v>0</x:v>
      </x:c>
      <x:c r="FN292">
        <x:f t="shared" si="339"/>
        <x:v>0</x:v>
      </x:c>
      <x:c r="FO292">
        <x:f t="shared" si="340"/>
        <x:v>0</x:v>
      </x:c>
      <x:c r="FP292">
        <x:f t="shared" si="341"/>
        <x:v>0</x:v>
      </x:c>
      <x:c r="FQ292">
        <x:f t="shared" si="342"/>
        <x:v>0</x:v>
      </x:c>
      <x:c r="FR292">
        <x:f t="shared" si="343"/>
        <x:v>0</x:v>
      </x:c>
      <x:c r="FS292">
        <x:f t="shared" si="344"/>
        <x:v>0</x:v>
      </x:c>
      <x:c r="FT292">
        <x:f t="shared" si="345"/>
        <x:v>0</x:v>
      </x:c>
      <x:c r="FU292">
        <x:f t="shared" si="346"/>
        <x:v>0</x:v>
      </x:c>
      <x:c r="FV292">
        <x:f t="shared" si="347"/>
        <x:v>0</x:v>
      </x:c>
      <x:c r="FW292" s="41">
        <x:f t="shared" si="348"/>
        <x:v>0</x:v>
      </x:c>
      <x:c r="FX292">
        <x:f t="shared" si="349"/>
        <x:v>0</x:v>
      </x:c>
      <x:c r="FY292">
        <x:f t="shared" si="350"/>
        <x:v>0</x:v>
      </x:c>
      <x:c r="FZ292">
        <x:f t="shared" si="351"/>
        <x:v>0</x:v>
      </x:c>
      <x:c r="GA292">
        <x:f t="shared" si="352"/>
        <x:v>0</x:v>
      </x:c>
      <x:c r="GB292">
        <x:f t="shared" si="353"/>
        <x:v>0</x:v>
      </x:c>
      <x:c r="GC292">
        <x:f t="shared" si="354"/>
        <x:v>0</x:v>
      </x:c>
      <x:c r="GD292">
        <x:f t="shared" si="355"/>
        <x:v>0</x:v>
      </x:c>
      <x:c r="GE292">
        <x:f t="shared" si="356"/>
        <x:v>0</x:v>
      </x:c>
      <x:c r="GF292">
        <x:f t="shared" si="357"/>
        <x:v>0</x:v>
      </x:c>
      <x:c r="GG292">
        <x:f t="shared" si="358"/>
        <x:v>0</x:v>
      </x:c>
      <x:c r="GH292">
        <x:f t="shared" si="359"/>
        <x:v>0</x:v>
      </x:c>
      <x:c r="GI292">
        <x:f t="shared" si="360"/>
        <x:v>0</x:v>
      </x:c>
      <x:c r="GJ292">
        <x:f t="shared" si="361"/>
        <x:v>0</x:v>
      </x:c>
      <x:c r="GK292">
        <x:f t="shared" si="362"/>
        <x:v>0</x:v>
      </x:c>
      <x:c r="GL292">
        <x:f t="shared" si="363"/>
        <x:v>0</x:v>
      </x:c>
      <x:c r="GM292">
        <x:f t="shared" si="364"/>
        <x:v>0</x:v>
      </x:c>
      <x:c r="GN292">
        <x:f t="shared" si="365"/>
        <x:v>0</x:v>
      </x:c>
      <x:c r="GO292">
        <x:f t="shared" si="366"/>
        <x:v>0</x:v>
      </x:c>
      <x:c r="GP292">
        <x:f t="shared" si="367"/>
        <x:v>0</x:v>
      </x:c>
      <x:c r="GQ292">
        <x:f t="shared" si="368"/>
        <x:v>0</x:v>
      </x:c>
      <x:c r="GR292" s="42">
        <x:f t="shared" si="369"/>
        <x:v>0</x:v>
      </x:c>
      <x:c r="GS292">
        <x:f t="shared" si="370"/>
        <x:v>0</x:v>
      </x:c>
      <x:c r="GT292">
        <x:f t="shared" si="371"/>
        <x:v>0</x:v>
      </x:c>
      <x:c r="GU292">
        <x:f t="shared" si="372"/>
        <x:v>0</x:v>
      </x:c>
      <x:c r="GV292">
        <x:f t="shared" si="373"/>
        <x:v>0</x:v>
      </x:c>
      <x:c r="GW292">
        <x:f t="shared" si="374"/>
        <x:v>0</x:v>
      </x:c>
      <x:c r="GX292">
        <x:f t="shared" si="375"/>
        <x:v>0</x:v>
      </x:c>
      <x:c r="GY292">
        <x:f t="shared" si="376"/>
        <x:v>0</x:v>
      </x:c>
      <x:c r="GZ292">
        <x:f t="shared" si="377"/>
        <x:v>0</x:v>
      </x:c>
      <x:c r="HA292">
        <x:f t="shared" si="378"/>
        <x:v>0</x:v>
      </x:c>
      <x:c r="HB292" s="42">
        <x:f t="shared" si="379"/>
        <x:v>0</x:v>
      </x:c>
      <x:c r="HC292">
        <x:f t="shared" si="380"/>
        <x:v>0</x:v>
      </x:c>
      <x:c r="HD292">
        <x:f t="shared" si="381"/>
        <x:v>0</x:v>
      </x:c>
      <x:c r="HE292">
        <x:f t="shared" si="382"/>
        <x:v>0</x:v>
      </x:c>
      <x:c r="HF292">
        <x:f t="shared" si="383"/>
        <x:v>0</x:v>
      </x:c>
      <x:c r="HG292">
        <x:f t="shared" si="384"/>
        <x:v>0</x:v>
      </x:c>
      <x:c r="HH292">
        <x:f t="shared" si="385"/>
        <x:v>0</x:v>
      </x:c>
      <x:c r="HI292">
        <x:f t="shared" si="386"/>
        <x:v>0</x:v>
      </x:c>
      <x:c r="HJ292">
        <x:f t="shared" si="387"/>
        <x:v>0</x:v>
      </x:c>
      <x:c r="HK292">
        <x:f t="shared" si="388"/>
        <x:v>0</x:v>
      </x:c>
      <x:c r="HL292">
        <x:f t="shared" si="389"/>
        <x:v>0</x:v>
      </x:c>
    </x:row>
    <x:row r="293">
      <x:c r="D293" s="74"/>
      <x:c r="EQ293">
        <x:f t="shared" si="316"/>
        <x:v>0</x:v>
      </x:c>
      <x:c r="ER293">
        <x:f t="shared" si="317"/>
        <x:v>0</x:v>
      </x:c>
      <x:c r="ES293">
        <x:f t="shared" si="318"/>
        <x:v>0</x:v>
      </x:c>
      <x:c r="ET293">
        <x:f t="shared" si="319"/>
        <x:v>0</x:v>
      </x:c>
      <x:c r="EU293">
        <x:f t="shared" si="320"/>
        <x:v>0</x:v>
      </x:c>
      <x:c r="EV293">
        <x:f t="shared" si="321"/>
        <x:v>0</x:v>
      </x:c>
      <x:c r="EW293">
        <x:f t="shared" si="322"/>
        <x:v>0</x:v>
      </x:c>
      <x:c r="EX293">
        <x:f t="shared" si="323"/>
        <x:v>0</x:v>
      </x:c>
      <x:c r="EY293">
        <x:f t="shared" si="324"/>
        <x:v>0</x:v>
      </x:c>
      <x:c r="EZ293">
        <x:f t="shared" si="325"/>
        <x:v>0</x:v>
      </x:c>
      <x:c r="FA293" s="41">
        <x:f t="shared" si="326"/>
        <x:v>0</x:v>
      </x:c>
      <x:c r="FB293">
        <x:f t="shared" si="327"/>
        <x:v>0</x:v>
      </x:c>
      <x:c r="FC293">
        <x:f t="shared" si="328"/>
        <x:v>0</x:v>
      </x:c>
      <x:c r="FD293">
        <x:f t="shared" si="329"/>
        <x:v>0</x:v>
      </x:c>
      <x:c r="FE293">
        <x:f t="shared" si="330"/>
        <x:v>0</x:v>
      </x:c>
      <x:c r="FF293">
        <x:f t="shared" si="331"/>
        <x:v>0</x:v>
      </x:c>
      <x:c r="FG293">
        <x:f t="shared" si="332"/>
        <x:v>0</x:v>
      </x:c>
      <x:c r="FH293">
        <x:f t="shared" si="333"/>
        <x:v>0</x:v>
      </x:c>
      <x:c r="FI293">
        <x:f t="shared" si="334"/>
        <x:v>0</x:v>
      </x:c>
      <x:c r="FJ293">
        <x:f t="shared" si="335"/>
        <x:v>0</x:v>
      </x:c>
      <x:c r="FK293">
        <x:f t="shared" si="336"/>
        <x:v>0</x:v>
      </x:c>
      <x:c r="FL293" s="41">
        <x:f t="shared" si="337"/>
        <x:v>0</x:v>
      </x:c>
      <x:c r="FM293">
        <x:f t="shared" si="338"/>
        <x:v>0</x:v>
      </x:c>
      <x:c r="FN293">
        <x:f t="shared" si="339"/>
        <x:v>0</x:v>
      </x:c>
      <x:c r="FO293">
        <x:f t="shared" si="340"/>
        <x:v>0</x:v>
      </x:c>
      <x:c r="FP293">
        <x:f t="shared" si="341"/>
        <x:v>0</x:v>
      </x:c>
      <x:c r="FQ293">
        <x:f t="shared" si="342"/>
        <x:v>0</x:v>
      </x:c>
      <x:c r="FR293">
        <x:f t="shared" si="343"/>
        <x:v>0</x:v>
      </x:c>
      <x:c r="FS293">
        <x:f t="shared" si="344"/>
        <x:v>0</x:v>
      </x:c>
      <x:c r="FT293">
        <x:f t="shared" si="345"/>
        <x:v>0</x:v>
      </x:c>
      <x:c r="FU293">
        <x:f t="shared" si="346"/>
        <x:v>0</x:v>
      </x:c>
      <x:c r="FV293">
        <x:f t="shared" si="347"/>
        <x:v>0</x:v>
      </x:c>
      <x:c r="FW293" s="41">
        <x:f t="shared" si="348"/>
        <x:v>0</x:v>
      </x:c>
      <x:c r="FX293">
        <x:f t="shared" si="349"/>
        <x:v>0</x:v>
      </x:c>
      <x:c r="FY293">
        <x:f t="shared" si="350"/>
        <x:v>0</x:v>
      </x:c>
      <x:c r="FZ293">
        <x:f t="shared" si="351"/>
        <x:v>0</x:v>
      </x:c>
      <x:c r="GA293">
        <x:f t="shared" si="352"/>
        <x:v>0</x:v>
      </x:c>
      <x:c r="GB293">
        <x:f t="shared" si="353"/>
        <x:v>0</x:v>
      </x:c>
      <x:c r="GC293">
        <x:f t="shared" si="354"/>
        <x:v>0</x:v>
      </x:c>
      <x:c r="GD293">
        <x:f t="shared" si="355"/>
        <x:v>0</x:v>
      </x:c>
      <x:c r="GE293">
        <x:f t="shared" si="356"/>
        <x:v>0</x:v>
      </x:c>
      <x:c r="GF293">
        <x:f t="shared" si="357"/>
        <x:v>0</x:v>
      </x:c>
      <x:c r="GG293">
        <x:f t="shared" si="358"/>
        <x:v>0</x:v>
      </x:c>
      <x:c r="GH293">
        <x:f t="shared" si="359"/>
        <x:v>0</x:v>
      </x:c>
      <x:c r="GI293">
        <x:f t="shared" si="360"/>
        <x:v>0</x:v>
      </x:c>
      <x:c r="GJ293">
        <x:f t="shared" si="361"/>
        <x:v>0</x:v>
      </x:c>
      <x:c r="GK293">
        <x:f t="shared" si="362"/>
        <x:v>0</x:v>
      </x:c>
      <x:c r="GL293">
        <x:f t="shared" si="363"/>
        <x:v>0</x:v>
      </x:c>
      <x:c r="GM293">
        <x:f t="shared" si="364"/>
        <x:v>0</x:v>
      </x:c>
      <x:c r="GN293">
        <x:f t="shared" si="365"/>
        <x:v>0</x:v>
      </x:c>
      <x:c r="GO293">
        <x:f t="shared" si="366"/>
        <x:v>0</x:v>
      </x:c>
      <x:c r="GP293">
        <x:f t="shared" si="367"/>
        <x:v>0</x:v>
      </x:c>
      <x:c r="GQ293">
        <x:f t="shared" si="368"/>
        <x:v>0</x:v>
      </x:c>
      <x:c r="GR293" s="42">
        <x:f t="shared" si="369"/>
        <x:v>0</x:v>
      </x:c>
      <x:c r="GS293">
        <x:f t="shared" si="370"/>
        <x:v>0</x:v>
      </x:c>
      <x:c r="GT293">
        <x:f t="shared" si="371"/>
        <x:v>0</x:v>
      </x:c>
      <x:c r="GU293">
        <x:f t="shared" si="372"/>
        <x:v>0</x:v>
      </x:c>
      <x:c r="GV293">
        <x:f t="shared" si="373"/>
        <x:v>0</x:v>
      </x:c>
      <x:c r="GW293">
        <x:f t="shared" si="374"/>
        <x:v>0</x:v>
      </x:c>
      <x:c r="GX293">
        <x:f t="shared" si="375"/>
        <x:v>0</x:v>
      </x:c>
      <x:c r="GY293">
        <x:f t="shared" si="376"/>
        <x:v>0</x:v>
      </x:c>
      <x:c r="GZ293">
        <x:f t="shared" si="377"/>
        <x:v>0</x:v>
      </x:c>
      <x:c r="HA293">
        <x:f t="shared" si="378"/>
        <x:v>0</x:v>
      </x:c>
      <x:c r="HB293" s="42">
        <x:f t="shared" si="379"/>
        <x:v>0</x:v>
      </x:c>
      <x:c r="HC293">
        <x:f t="shared" si="380"/>
        <x:v>0</x:v>
      </x:c>
      <x:c r="HD293">
        <x:f t="shared" si="381"/>
        <x:v>0</x:v>
      </x:c>
      <x:c r="HE293">
        <x:f t="shared" si="382"/>
        <x:v>0</x:v>
      </x:c>
      <x:c r="HF293">
        <x:f t="shared" si="383"/>
        <x:v>0</x:v>
      </x:c>
      <x:c r="HG293">
        <x:f t="shared" si="384"/>
        <x:v>0</x:v>
      </x:c>
      <x:c r="HH293">
        <x:f t="shared" si="385"/>
        <x:v>0</x:v>
      </x:c>
      <x:c r="HI293">
        <x:f t="shared" si="386"/>
        <x:v>0</x:v>
      </x:c>
      <x:c r="HJ293">
        <x:f t="shared" si="387"/>
        <x:v>0</x:v>
      </x:c>
      <x:c r="HK293">
        <x:f t="shared" si="388"/>
        <x:v>0</x:v>
      </x:c>
      <x:c r="HL293">
        <x:f t="shared" si="389"/>
        <x:v>0</x:v>
      </x:c>
    </x:row>
    <x:row r="294">
      <x:c r="D294" s="74"/>
      <x:c r="EQ294">
        <x:f t="shared" si="316"/>
        <x:v>0</x:v>
      </x:c>
      <x:c r="ER294">
        <x:f t="shared" si="317"/>
        <x:v>0</x:v>
      </x:c>
      <x:c r="ES294">
        <x:f t="shared" si="318"/>
        <x:v>0</x:v>
      </x:c>
      <x:c r="ET294">
        <x:f t="shared" si="319"/>
        <x:v>0</x:v>
      </x:c>
      <x:c r="EU294">
        <x:f t="shared" si="320"/>
        <x:v>0</x:v>
      </x:c>
      <x:c r="EV294">
        <x:f t="shared" si="321"/>
        <x:v>0</x:v>
      </x:c>
      <x:c r="EW294">
        <x:f t="shared" si="322"/>
        <x:v>0</x:v>
      </x:c>
      <x:c r="EX294">
        <x:f t="shared" si="323"/>
        <x:v>0</x:v>
      </x:c>
      <x:c r="EY294">
        <x:f t="shared" si="324"/>
        <x:v>0</x:v>
      </x:c>
      <x:c r="EZ294">
        <x:f t="shared" si="325"/>
        <x:v>0</x:v>
      </x:c>
      <x:c r="FA294" s="41">
        <x:f t="shared" si="326"/>
        <x:v>0</x:v>
      </x:c>
      <x:c r="FB294">
        <x:f t="shared" si="327"/>
        <x:v>0</x:v>
      </x:c>
      <x:c r="FC294">
        <x:f t="shared" si="328"/>
        <x:v>0</x:v>
      </x:c>
      <x:c r="FD294">
        <x:f t="shared" si="329"/>
        <x:v>0</x:v>
      </x:c>
      <x:c r="FE294">
        <x:f t="shared" si="330"/>
        <x:v>0</x:v>
      </x:c>
      <x:c r="FF294">
        <x:f t="shared" si="331"/>
        <x:v>0</x:v>
      </x:c>
      <x:c r="FG294">
        <x:f t="shared" si="332"/>
        <x:v>0</x:v>
      </x:c>
      <x:c r="FH294">
        <x:f t="shared" si="333"/>
        <x:v>0</x:v>
      </x:c>
      <x:c r="FI294">
        <x:f t="shared" si="334"/>
        <x:v>0</x:v>
      </x:c>
      <x:c r="FJ294">
        <x:f t="shared" si="335"/>
        <x:v>0</x:v>
      </x:c>
      <x:c r="FK294">
        <x:f t="shared" si="336"/>
        <x:v>0</x:v>
      </x:c>
      <x:c r="FL294" s="41">
        <x:f t="shared" si="337"/>
        <x:v>0</x:v>
      </x:c>
      <x:c r="FM294">
        <x:f t="shared" si="338"/>
        <x:v>0</x:v>
      </x:c>
      <x:c r="FN294">
        <x:f t="shared" si="339"/>
        <x:v>0</x:v>
      </x:c>
      <x:c r="FO294">
        <x:f t="shared" si="340"/>
        <x:v>0</x:v>
      </x:c>
      <x:c r="FP294">
        <x:f t="shared" si="341"/>
        <x:v>0</x:v>
      </x:c>
      <x:c r="FQ294">
        <x:f t="shared" si="342"/>
        <x:v>0</x:v>
      </x:c>
      <x:c r="FR294">
        <x:f t="shared" si="343"/>
        <x:v>0</x:v>
      </x:c>
      <x:c r="FS294">
        <x:f t="shared" si="344"/>
        <x:v>0</x:v>
      </x:c>
      <x:c r="FT294">
        <x:f t="shared" si="345"/>
        <x:v>0</x:v>
      </x:c>
      <x:c r="FU294">
        <x:f t="shared" si="346"/>
        <x:v>0</x:v>
      </x:c>
      <x:c r="FV294">
        <x:f t="shared" si="347"/>
        <x:v>0</x:v>
      </x:c>
      <x:c r="FW294" s="41">
        <x:f t="shared" si="348"/>
        <x:v>0</x:v>
      </x:c>
      <x:c r="FX294">
        <x:f t="shared" si="349"/>
        <x:v>0</x:v>
      </x:c>
      <x:c r="FY294">
        <x:f t="shared" si="350"/>
        <x:v>0</x:v>
      </x:c>
      <x:c r="FZ294">
        <x:f t="shared" si="351"/>
        <x:v>0</x:v>
      </x:c>
      <x:c r="GA294">
        <x:f t="shared" si="352"/>
        <x:v>0</x:v>
      </x:c>
      <x:c r="GB294">
        <x:f t="shared" si="353"/>
        <x:v>0</x:v>
      </x:c>
      <x:c r="GC294">
        <x:f t="shared" si="354"/>
        <x:v>0</x:v>
      </x:c>
      <x:c r="GD294">
        <x:f t="shared" si="355"/>
        <x:v>0</x:v>
      </x:c>
      <x:c r="GE294">
        <x:f t="shared" si="356"/>
        <x:v>0</x:v>
      </x:c>
      <x:c r="GF294">
        <x:f t="shared" si="357"/>
        <x:v>0</x:v>
      </x:c>
      <x:c r="GG294">
        <x:f t="shared" si="358"/>
        <x:v>0</x:v>
      </x:c>
      <x:c r="GH294">
        <x:f t="shared" si="359"/>
        <x:v>0</x:v>
      </x:c>
      <x:c r="GI294">
        <x:f t="shared" si="360"/>
        <x:v>0</x:v>
      </x:c>
      <x:c r="GJ294">
        <x:f t="shared" si="361"/>
        <x:v>0</x:v>
      </x:c>
      <x:c r="GK294">
        <x:f t="shared" si="362"/>
        <x:v>0</x:v>
      </x:c>
      <x:c r="GL294">
        <x:f t="shared" si="363"/>
        <x:v>0</x:v>
      </x:c>
      <x:c r="GM294">
        <x:f t="shared" si="364"/>
        <x:v>0</x:v>
      </x:c>
      <x:c r="GN294">
        <x:f t="shared" si="365"/>
        <x:v>0</x:v>
      </x:c>
      <x:c r="GO294">
        <x:f t="shared" si="366"/>
        <x:v>0</x:v>
      </x:c>
      <x:c r="GP294">
        <x:f t="shared" si="367"/>
        <x:v>0</x:v>
      </x:c>
      <x:c r="GQ294">
        <x:f t="shared" si="368"/>
        <x:v>0</x:v>
      </x:c>
      <x:c r="GR294" s="42">
        <x:f t="shared" si="369"/>
        <x:v>0</x:v>
      </x:c>
      <x:c r="GS294">
        <x:f t="shared" si="370"/>
        <x:v>0</x:v>
      </x:c>
      <x:c r="GT294">
        <x:f t="shared" si="371"/>
        <x:v>0</x:v>
      </x:c>
      <x:c r="GU294">
        <x:f t="shared" si="372"/>
        <x:v>0</x:v>
      </x:c>
      <x:c r="GV294">
        <x:f t="shared" si="373"/>
        <x:v>0</x:v>
      </x:c>
      <x:c r="GW294">
        <x:f t="shared" si="374"/>
        <x:v>0</x:v>
      </x:c>
      <x:c r="GX294">
        <x:f t="shared" si="375"/>
        <x:v>0</x:v>
      </x:c>
      <x:c r="GY294">
        <x:f t="shared" si="376"/>
        <x:v>0</x:v>
      </x:c>
      <x:c r="GZ294">
        <x:f t="shared" si="377"/>
        <x:v>0</x:v>
      </x:c>
      <x:c r="HA294">
        <x:f t="shared" si="378"/>
        <x:v>0</x:v>
      </x:c>
      <x:c r="HB294" s="42">
        <x:f t="shared" si="379"/>
        <x:v>0</x:v>
      </x:c>
      <x:c r="HC294">
        <x:f t="shared" si="380"/>
        <x:v>0</x:v>
      </x:c>
      <x:c r="HD294">
        <x:f t="shared" si="381"/>
        <x:v>0</x:v>
      </x:c>
      <x:c r="HE294">
        <x:f t="shared" si="382"/>
        <x:v>0</x:v>
      </x:c>
      <x:c r="HF294">
        <x:f t="shared" si="383"/>
        <x:v>0</x:v>
      </x:c>
      <x:c r="HG294">
        <x:f t="shared" si="384"/>
        <x:v>0</x:v>
      </x:c>
      <x:c r="HH294">
        <x:f t="shared" si="385"/>
        <x:v>0</x:v>
      </x:c>
      <x:c r="HI294">
        <x:f t="shared" si="386"/>
        <x:v>0</x:v>
      </x:c>
      <x:c r="HJ294">
        <x:f t="shared" si="387"/>
        <x:v>0</x:v>
      </x:c>
      <x:c r="HK294">
        <x:f t="shared" si="388"/>
        <x:v>0</x:v>
      </x:c>
      <x:c r="HL294">
        <x:f t="shared" si="389"/>
        <x:v>0</x:v>
      </x:c>
    </x:row>
    <x:row r="295">
      <x:c r="D295" s="74"/>
      <x:c r="EQ295">
        <x:f t="shared" si="316"/>
        <x:v>0</x:v>
      </x:c>
      <x:c r="ER295">
        <x:f t="shared" si="317"/>
        <x:v>0</x:v>
      </x:c>
      <x:c r="ES295">
        <x:f t="shared" si="318"/>
        <x:v>0</x:v>
      </x:c>
      <x:c r="ET295">
        <x:f t="shared" si="319"/>
        <x:v>0</x:v>
      </x:c>
      <x:c r="EU295">
        <x:f t="shared" si="320"/>
        <x:v>0</x:v>
      </x:c>
      <x:c r="EV295">
        <x:f t="shared" si="321"/>
        <x:v>0</x:v>
      </x:c>
      <x:c r="EW295">
        <x:f t="shared" si="322"/>
        <x:v>0</x:v>
      </x:c>
      <x:c r="EX295">
        <x:f t="shared" si="323"/>
        <x:v>0</x:v>
      </x:c>
      <x:c r="EY295">
        <x:f t="shared" si="324"/>
        <x:v>0</x:v>
      </x:c>
      <x:c r="EZ295">
        <x:f t="shared" si="325"/>
        <x:v>0</x:v>
      </x:c>
      <x:c r="FA295" s="41">
        <x:f t="shared" si="326"/>
        <x:v>0</x:v>
      </x:c>
      <x:c r="FB295">
        <x:f t="shared" si="327"/>
        <x:v>0</x:v>
      </x:c>
      <x:c r="FC295">
        <x:f t="shared" si="328"/>
        <x:v>0</x:v>
      </x:c>
      <x:c r="FD295">
        <x:f t="shared" si="329"/>
        <x:v>0</x:v>
      </x:c>
      <x:c r="FE295">
        <x:f t="shared" si="330"/>
        <x:v>0</x:v>
      </x:c>
      <x:c r="FF295">
        <x:f t="shared" si="331"/>
        <x:v>0</x:v>
      </x:c>
      <x:c r="FG295">
        <x:f t="shared" si="332"/>
        <x:v>0</x:v>
      </x:c>
      <x:c r="FH295">
        <x:f t="shared" si="333"/>
        <x:v>0</x:v>
      </x:c>
      <x:c r="FI295">
        <x:f t="shared" si="334"/>
        <x:v>0</x:v>
      </x:c>
      <x:c r="FJ295">
        <x:f t="shared" si="335"/>
        <x:v>0</x:v>
      </x:c>
      <x:c r="FK295">
        <x:f t="shared" si="336"/>
        <x:v>0</x:v>
      </x:c>
      <x:c r="FL295" s="41">
        <x:f t="shared" si="337"/>
        <x:v>0</x:v>
      </x:c>
      <x:c r="FM295">
        <x:f t="shared" si="338"/>
        <x:v>0</x:v>
      </x:c>
      <x:c r="FN295">
        <x:f t="shared" si="339"/>
        <x:v>0</x:v>
      </x:c>
      <x:c r="FO295">
        <x:f t="shared" si="340"/>
        <x:v>0</x:v>
      </x:c>
      <x:c r="FP295">
        <x:f t="shared" si="341"/>
        <x:v>0</x:v>
      </x:c>
      <x:c r="FQ295">
        <x:f t="shared" si="342"/>
        <x:v>0</x:v>
      </x:c>
      <x:c r="FR295">
        <x:f t="shared" si="343"/>
        <x:v>0</x:v>
      </x:c>
      <x:c r="FS295">
        <x:f t="shared" si="344"/>
        <x:v>0</x:v>
      </x:c>
      <x:c r="FT295">
        <x:f t="shared" si="345"/>
        <x:v>0</x:v>
      </x:c>
      <x:c r="FU295">
        <x:f t="shared" si="346"/>
        <x:v>0</x:v>
      </x:c>
      <x:c r="FV295">
        <x:f t="shared" si="347"/>
        <x:v>0</x:v>
      </x:c>
      <x:c r="FW295" s="41">
        <x:f t="shared" si="348"/>
        <x:v>0</x:v>
      </x:c>
      <x:c r="FX295">
        <x:f t="shared" si="349"/>
        <x:v>0</x:v>
      </x:c>
      <x:c r="FY295">
        <x:f t="shared" si="350"/>
        <x:v>0</x:v>
      </x:c>
      <x:c r="FZ295">
        <x:f t="shared" si="351"/>
        <x:v>0</x:v>
      </x:c>
      <x:c r="GA295">
        <x:f t="shared" si="352"/>
        <x:v>0</x:v>
      </x:c>
      <x:c r="GB295">
        <x:f t="shared" si="353"/>
        <x:v>0</x:v>
      </x:c>
      <x:c r="GC295">
        <x:f t="shared" si="354"/>
        <x:v>0</x:v>
      </x:c>
      <x:c r="GD295">
        <x:f t="shared" si="355"/>
        <x:v>0</x:v>
      </x:c>
      <x:c r="GE295">
        <x:f t="shared" si="356"/>
        <x:v>0</x:v>
      </x:c>
      <x:c r="GF295">
        <x:f t="shared" si="357"/>
        <x:v>0</x:v>
      </x:c>
      <x:c r="GG295">
        <x:f t="shared" si="358"/>
        <x:v>0</x:v>
      </x:c>
      <x:c r="GH295">
        <x:f t="shared" si="359"/>
        <x:v>0</x:v>
      </x:c>
      <x:c r="GI295">
        <x:f t="shared" si="360"/>
        <x:v>0</x:v>
      </x:c>
      <x:c r="GJ295">
        <x:f t="shared" si="361"/>
        <x:v>0</x:v>
      </x:c>
      <x:c r="GK295">
        <x:f t="shared" si="362"/>
        <x:v>0</x:v>
      </x:c>
      <x:c r="GL295">
        <x:f t="shared" si="363"/>
        <x:v>0</x:v>
      </x:c>
      <x:c r="GM295">
        <x:f t="shared" si="364"/>
        <x:v>0</x:v>
      </x:c>
      <x:c r="GN295">
        <x:f t="shared" si="365"/>
        <x:v>0</x:v>
      </x:c>
      <x:c r="GO295">
        <x:f t="shared" si="366"/>
        <x:v>0</x:v>
      </x:c>
      <x:c r="GP295">
        <x:f t="shared" si="367"/>
        <x:v>0</x:v>
      </x:c>
      <x:c r="GQ295">
        <x:f t="shared" si="368"/>
        <x:v>0</x:v>
      </x:c>
      <x:c r="GR295" s="42">
        <x:f t="shared" si="369"/>
        <x:v>0</x:v>
      </x:c>
      <x:c r="GS295">
        <x:f t="shared" si="370"/>
        <x:v>0</x:v>
      </x:c>
      <x:c r="GT295">
        <x:f t="shared" si="371"/>
        <x:v>0</x:v>
      </x:c>
      <x:c r="GU295">
        <x:f t="shared" si="372"/>
        <x:v>0</x:v>
      </x:c>
      <x:c r="GV295">
        <x:f t="shared" si="373"/>
        <x:v>0</x:v>
      </x:c>
      <x:c r="GW295">
        <x:f t="shared" si="374"/>
        <x:v>0</x:v>
      </x:c>
      <x:c r="GX295">
        <x:f t="shared" si="375"/>
        <x:v>0</x:v>
      </x:c>
      <x:c r="GY295">
        <x:f t="shared" si="376"/>
        <x:v>0</x:v>
      </x:c>
      <x:c r="GZ295">
        <x:f t="shared" si="377"/>
        <x:v>0</x:v>
      </x:c>
      <x:c r="HA295">
        <x:f t="shared" si="378"/>
        <x:v>0</x:v>
      </x:c>
      <x:c r="HB295" s="42">
        <x:f t="shared" si="379"/>
        <x:v>0</x:v>
      </x:c>
      <x:c r="HC295">
        <x:f t="shared" si="380"/>
        <x:v>0</x:v>
      </x:c>
      <x:c r="HD295">
        <x:f t="shared" si="381"/>
        <x:v>0</x:v>
      </x:c>
      <x:c r="HE295">
        <x:f t="shared" si="382"/>
        <x:v>0</x:v>
      </x:c>
      <x:c r="HF295">
        <x:f t="shared" si="383"/>
        <x:v>0</x:v>
      </x:c>
      <x:c r="HG295">
        <x:f t="shared" si="384"/>
        <x:v>0</x:v>
      </x:c>
      <x:c r="HH295">
        <x:f t="shared" si="385"/>
        <x:v>0</x:v>
      </x:c>
      <x:c r="HI295">
        <x:f t="shared" si="386"/>
        <x:v>0</x:v>
      </x:c>
      <x:c r="HJ295">
        <x:f t="shared" si="387"/>
        <x:v>0</x:v>
      </x:c>
      <x:c r="HK295">
        <x:f t="shared" si="388"/>
        <x:v>0</x:v>
      </x:c>
      <x:c r="HL295">
        <x:f t="shared" si="389"/>
        <x:v>0</x:v>
      </x:c>
    </x:row>
    <x:row r="296">
      <x:c r="D296" s="74"/>
      <x:c r="EQ296">
        <x:f t="shared" si="316"/>
        <x:v>0</x:v>
      </x:c>
      <x:c r="ER296">
        <x:f t="shared" si="317"/>
        <x:v>0</x:v>
      </x:c>
      <x:c r="ES296">
        <x:f t="shared" si="318"/>
        <x:v>0</x:v>
      </x:c>
      <x:c r="ET296">
        <x:f t="shared" si="319"/>
        <x:v>0</x:v>
      </x:c>
      <x:c r="EU296">
        <x:f t="shared" si="320"/>
        <x:v>0</x:v>
      </x:c>
      <x:c r="EV296">
        <x:f t="shared" si="321"/>
        <x:v>0</x:v>
      </x:c>
      <x:c r="EW296">
        <x:f t="shared" si="322"/>
        <x:v>0</x:v>
      </x:c>
      <x:c r="EX296">
        <x:f t="shared" si="323"/>
        <x:v>0</x:v>
      </x:c>
      <x:c r="EY296">
        <x:f t="shared" si="324"/>
        <x:v>0</x:v>
      </x:c>
      <x:c r="EZ296">
        <x:f t="shared" si="325"/>
        <x:v>0</x:v>
      </x:c>
      <x:c r="FA296" s="41">
        <x:f t="shared" si="326"/>
        <x:v>0</x:v>
      </x:c>
      <x:c r="FB296">
        <x:f t="shared" si="327"/>
        <x:v>0</x:v>
      </x:c>
      <x:c r="FC296">
        <x:f t="shared" si="328"/>
        <x:v>0</x:v>
      </x:c>
      <x:c r="FD296">
        <x:f t="shared" si="329"/>
        <x:v>0</x:v>
      </x:c>
      <x:c r="FE296">
        <x:f t="shared" si="330"/>
        <x:v>0</x:v>
      </x:c>
      <x:c r="FF296">
        <x:f t="shared" si="331"/>
        <x:v>0</x:v>
      </x:c>
      <x:c r="FG296">
        <x:f t="shared" si="332"/>
        <x:v>0</x:v>
      </x:c>
      <x:c r="FH296">
        <x:f t="shared" si="333"/>
        <x:v>0</x:v>
      </x:c>
      <x:c r="FI296">
        <x:f t="shared" si="334"/>
        <x:v>0</x:v>
      </x:c>
      <x:c r="FJ296">
        <x:f t="shared" si="335"/>
        <x:v>0</x:v>
      </x:c>
      <x:c r="FK296">
        <x:f t="shared" si="336"/>
        <x:v>0</x:v>
      </x:c>
      <x:c r="FL296" s="41">
        <x:f t="shared" si="337"/>
        <x:v>0</x:v>
      </x:c>
      <x:c r="FM296">
        <x:f t="shared" si="338"/>
        <x:v>0</x:v>
      </x:c>
      <x:c r="FN296">
        <x:f t="shared" si="339"/>
        <x:v>0</x:v>
      </x:c>
      <x:c r="FO296">
        <x:f t="shared" si="340"/>
        <x:v>0</x:v>
      </x:c>
      <x:c r="FP296">
        <x:f t="shared" si="341"/>
        <x:v>0</x:v>
      </x:c>
      <x:c r="FQ296">
        <x:f t="shared" si="342"/>
        <x:v>0</x:v>
      </x:c>
      <x:c r="FR296">
        <x:f t="shared" si="343"/>
        <x:v>0</x:v>
      </x:c>
      <x:c r="FS296">
        <x:f t="shared" si="344"/>
        <x:v>0</x:v>
      </x:c>
      <x:c r="FT296">
        <x:f t="shared" si="345"/>
        <x:v>0</x:v>
      </x:c>
      <x:c r="FU296">
        <x:f t="shared" si="346"/>
        <x:v>0</x:v>
      </x:c>
      <x:c r="FV296">
        <x:f t="shared" si="347"/>
        <x:v>0</x:v>
      </x:c>
      <x:c r="FW296" s="41">
        <x:f t="shared" si="348"/>
        <x:v>0</x:v>
      </x:c>
      <x:c r="FX296">
        <x:f t="shared" si="349"/>
        <x:v>0</x:v>
      </x:c>
      <x:c r="FY296">
        <x:f t="shared" si="350"/>
        <x:v>0</x:v>
      </x:c>
      <x:c r="FZ296">
        <x:f t="shared" si="351"/>
        <x:v>0</x:v>
      </x:c>
      <x:c r="GA296">
        <x:f t="shared" si="352"/>
        <x:v>0</x:v>
      </x:c>
      <x:c r="GB296">
        <x:f t="shared" si="353"/>
        <x:v>0</x:v>
      </x:c>
      <x:c r="GC296">
        <x:f t="shared" si="354"/>
        <x:v>0</x:v>
      </x:c>
      <x:c r="GD296">
        <x:f t="shared" si="355"/>
        <x:v>0</x:v>
      </x:c>
      <x:c r="GE296">
        <x:f t="shared" si="356"/>
        <x:v>0</x:v>
      </x:c>
      <x:c r="GF296">
        <x:f t="shared" si="357"/>
        <x:v>0</x:v>
      </x:c>
      <x:c r="GG296">
        <x:f t="shared" si="358"/>
        <x:v>0</x:v>
      </x:c>
      <x:c r="GH296">
        <x:f t="shared" si="359"/>
        <x:v>0</x:v>
      </x:c>
      <x:c r="GI296">
        <x:f t="shared" si="360"/>
        <x:v>0</x:v>
      </x:c>
      <x:c r="GJ296">
        <x:f t="shared" si="361"/>
        <x:v>0</x:v>
      </x:c>
      <x:c r="GK296">
        <x:f t="shared" si="362"/>
        <x:v>0</x:v>
      </x:c>
      <x:c r="GL296">
        <x:f t="shared" si="363"/>
        <x:v>0</x:v>
      </x:c>
      <x:c r="GM296">
        <x:f t="shared" si="364"/>
        <x:v>0</x:v>
      </x:c>
      <x:c r="GN296">
        <x:f t="shared" si="365"/>
        <x:v>0</x:v>
      </x:c>
      <x:c r="GO296">
        <x:f t="shared" si="366"/>
        <x:v>0</x:v>
      </x:c>
      <x:c r="GP296">
        <x:f t="shared" si="367"/>
        <x:v>0</x:v>
      </x:c>
      <x:c r="GQ296">
        <x:f t="shared" si="368"/>
        <x:v>0</x:v>
      </x:c>
      <x:c r="GR296" s="42">
        <x:f t="shared" si="369"/>
        <x:v>0</x:v>
      </x:c>
      <x:c r="GS296">
        <x:f t="shared" si="370"/>
        <x:v>0</x:v>
      </x:c>
      <x:c r="GT296">
        <x:f t="shared" si="371"/>
        <x:v>0</x:v>
      </x:c>
      <x:c r="GU296">
        <x:f t="shared" si="372"/>
        <x:v>0</x:v>
      </x:c>
      <x:c r="GV296">
        <x:f t="shared" si="373"/>
        <x:v>0</x:v>
      </x:c>
      <x:c r="GW296">
        <x:f t="shared" si="374"/>
        <x:v>0</x:v>
      </x:c>
      <x:c r="GX296">
        <x:f t="shared" si="375"/>
        <x:v>0</x:v>
      </x:c>
      <x:c r="GY296">
        <x:f t="shared" si="376"/>
        <x:v>0</x:v>
      </x:c>
      <x:c r="GZ296">
        <x:f t="shared" si="377"/>
        <x:v>0</x:v>
      </x:c>
      <x:c r="HA296">
        <x:f t="shared" si="378"/>
        <x:v>0</x:v>
      </x:c>
      <x:c r="HB296" s="42">
        <x:f t="shared" si="379"/>
        <x:v>0</x:v>
      </x:c>
      <x:c r="HC296">
        <x:f t="shared" si="380"/>
        <x:v>0</x:v>
      </x:c>
      <x:c r="HD296">
        <x:f t="shared" si="381"/>
        <x:v>0</x:v>
      </x:c>
      <x:c r="HE296">
        <x:f t="shared" si="382"/>
        <x:v>0</x:v>
      </x:c>
      <x:c r="HF296">
        <x:f t="shared" si="383"/>
        <x:v>0</x:v>
      </x:c>
      <x:c r="HG296">
        <x:f t="shared" si="384"/>
        <x:v>0</x:v>
      </x:c>
      <x:c r="HH296">
        <x:f t="shared" si="385"/>
        <x:v>0</x:v>
      </x:c>
      <x:c r="HI296">
        <x:f t="shared" si="386"/>
        <x:v>0</x:v>
      </x:c>
      <x:c r="HJ296">
        <x:f t="shared" si="387"/>
        <x:v>0</x:v>
      </x:c>
      <x:c r="HK296">
        <x:f t="shared" si="388"/>
        <x:v>0</x:v>
      </x:c>
      <x:c r="HL296">
        <x:f t="shared" si="389"/>
        <x:v>0</x:v>
      </x:c>
    </x:row>
    <x:row r="297">
      <x:c r="D297" s="74"/>
      <x:c r="EQ297">
        <x:f t="shared" si="316"/>
        <x:v>0</x:v>
      </x:c>
      <x:c r="ER297">
        <x:f t="shared" si="317"/>
        <x:v>0</x:v>
      </x:c>
      <x:c r="ES297">
        <x:f t="shared" si="318"/>
        <x:v>0</x:v>
      </x:c>
      <x:c r="ET297">
        <x:f t="shared" si="319"/>
        <x:v>0</x:v>
      </x:c>
      <x:c r="EU297">
        <x:f t="shared" si="320"/>
        <x:v>0</x:v>
      </x:c>
      <x:c r="EV297">
        <x:f t="shared" si="321"/>
        <x:v>0</x:v>
      </x:c>
      <x:c r="EW297">
        <x:f t="shared" si="322"/>
        <x:v>0</x:v>
      </x:c>
      <x:c r="EX297">
        <x:f t="shared" si="323"/>
        <x:v>0</x:v>
      </x:c>
      <x:c r="EY297">
        <x:f t="shared" si="324"/>
        <x:v>0</x:v>
      </x:c>
      <x:c r="EZ297">
        <x:f t="shared" si="325"/>
        <x:v>0</x:v>
      </x:c>
      <x:c r="FA297" s="41">
        <x:f t="shared" si="326"/>
        <x:v>0</x:v>
      </x:c>
      <x:c r="FB297">
        <x:f t="shared" si="327"/>
        <x:v>0</x:v>
      </x:c>
      <x:c r="FC297">
        <x:f t="shared" si="328"/>
        <x:v>0</x:v>
      </x:c>
      <x:c r="FD297">
        <x:f t="shared" si="329"/>
        <x:v>0</x:v>
      </x:c>
      <x:c r="FE297">
        <x:f t="shared" si="330"/>
        <x:v>0</x:v>
      </x:c>
      <x:c r="FF297">
        <x:f t="shared" si="331"/>
        <x:v>0</x:v>
      </x:c>
      <x:c r="FG297">
        <x:f t="shared" si="332"/>
        <x:v>0</x:v>
      </x:c>
      <x:c r="FH297">
        <x:f t="shared" si="333"/>
        <x:v>0</x:v>
      </x:c>
      <x:c r="FI297">
        <x:f t="shared" si="334"/>
        <x:v>0</x:v>
      </x:c>
      <x:c r="FJ297">
        <x:f t="shared" si="335"/>
        <x:v>0</x:v>
      </x:c>
      <x:c r="FK297">
        <x:f t="shared" si="336"/>
        <x:v>0</x:v>
      </x:c>
      <x:c r="FL297" s="41">
        <x:f t="shared" si="337"/>
        <x:v>0</x:v>
      </x:c>
      <x:c r="FM297">
        <x:f t="shared" si="338"/>
        <x:v>0</x:v>
      </x:c>
      <x:c r="FN297">
        <x:f t="shared" si="339"/>
        <x:v>0</x:v>
      </x:c>
      <x:c r="FO297">
        <x:f t="shared" si="340"/>
        <x:v>0</x:v>
      </x:c>
      <x:c r="FP297">
        <x:f t="shared" si="341"/>
        <x:v>0</x:v>
      </x:c>
      <x:c r="FQ297">
        <x:f t="shared" si="342"/>
        <x:v>0</x:v>
      </x:c>
      <x:c r="FR297">
        <x:f t="shared" si="343"/>
        <x:v>0</x:v>
      </x:c>
      <x:c r="FS297">
        <x:f t="shared" si="344"/>
        <x:v>0</x:v>
      </x:c>
      <x:c r="FT297">
        <x:f t="shared" si="345"/>
        <x:v>0</x:v>
      </x:c>
      <x:c r="FU297">
        <x:f t="shared" si="346"/>
        <x:v>0</x:v>
      </x:c>
      <x:c r="FV297">
        <x:f t="shared" si="347"/>
        <x:v>0</x:v>
      </x:c>
      <x:c r="FW297" s="41">
        <x:f t="shared" si="348"/>
        <x:v>0</x:v>
      </x:c>
      <x:c r="FX297">
        <x:f t="shared" si="349"/>
        <x:v>0</x:v>
      </x:c>
      <x:c r="FY297">
        <x:f t="shared" si="350"/>
        <x:v>0</x:v>
      </x:c>
      <x:c r="FZ297">
        <x:f t="shared" si="351"/>
        <x:v>0</x:v>
      </x:c>
      <x:c r="GA297">
        <x:f t="shared" si="352"/>
        <x:v>0</x:v>
      </x:c>
      <x:c r="GB297">
        <x:f t="shared" si="353"/>
        <x:v>0</x:v>
      </x:c>
      <x:c r="GC297">
        <x:f t="shared" si="354"/>
        <x:v>0</x:v>
      </x:c>
      <x:c r="GD297">
        <x:f t="shared" si="355"/>
        <x:v>0</x:v>
      </x:c>
      <x:c r="GE297">
        <x:f t="shared" si="356"/>
        <x:v>0</x:v>
      </x:c>
      <x:c r="GF297">
        <x:f t="shared" si="357"/>
        <x:v>0</x:v>
      </x:c>
      <x:c r="GG297">
        <x:f t="shared" si="358"/>
        <x:v>0</x:v>
      </x:c>
      <x:c r="GH297">
        <x:f t="shared" si="359"/>
        <x:v>0</x:v>
      </x:c>
      <x:c r="GI297">
        <x:f t="shared" si="360"/>
        <x:v>0</x:v>
      </x:c>
      <x:c r="GJ297">
        <x:f t="shared" si="361"/>
        <x:v>0</x:v>
      </x:c>
      <x:c r="GK297">
        <x:f t="shared" si="362"/>
        <x:v>0</x:v>
      </x:c>
      <x:c r="GL297">
        <x:f t="shared" si="363"/>
        <x:v>0</x:v>
      </x:c>
      <x:c r="GM297">
        <x:f t="shared" si="364"/>
        <x:v>0</x:v>
      </x:c>
      <x:c r="GN297">
        <x:f t="shared" si="365"/>
        <x:v>0</x:v>
      </x:c>
      <x:c r="GO297">
        <x:f t="shared" si="366"/>
        <x:v>0</x:v>
      </x:c>
      <x:c r="GP297">
        <x:f t="shared" si="367"/>
        <x:v>0</x:v>
      </x:c>
      <x:c r="GQ297">
        <x:f t="shared" si="368"/>
        <x:v>0</x:v>
      </x:c>
      <x:c r="GR297" s="42">
        <x:f t="shared" si="369"/>
        <x:v>0</x:v>
      </x:c>
      <x:c r="GS297">
        <x:f t="shared" si="370"/>
        <x:v>0</x:v>
      </x:c>
      <x:c r="GT297">
        <x:f t="shared" si="371"/>
        <x:v>0</x:v>
      </x:c>
      <x:c r="GU297">
        <x:f t="shared" si="372"/>
        <x:v>0</x:v>
      </x:c>
      <x:c r="GV297">
        <x:f t="shared" si="373"/>
        <x:v>0</x:v>
      </x:c>
      <x:c r="GW297">
        <x:f t="shared" si="374"/>
        <x:v>0</x:v>
      </x:c>
      <x:c r="GX297">
        <x:f t="shared" si="375"/>
        <x:v>0</x:v>
      </x:c>
      <x:c r="GY297">
        <x:f t="shared" si="376"/>
        <x:v>0</x:v>
      </x:c>
      <x:c r="GZ297">
        <x:f t="shared" si="377"/>
        <x:v>0</x:v>
      </x:c>
      <x:c r="HA297">
        <x:f t="shared" si="378"/>
        <x:v>0</x:v>
      </x:c>
      <x:c r="HB297" s="42">
        <x:f t="shared" si="379"/>
        <x:v>0</x:v>
      </x:c>
      <x:c r="HC297">
        <x:f t="shared" si="380"/>
        <x:v>0</x:v>
      </x:c>
      <x:c r="HD297">
        <x:f t="shared" si="381"/>
        <x:v>0</x:v>
      </x:c>
      <x:c r="HE297">
        <x:f t="shared" si="382"/>
        <x:v>0</x:v>
      </x:c>
      <x:c r="HF297">
        <x:f t="shared" si="383"/>
        <x:v>0</x:v>
      </x:c>
      <x:c r="HG297">
        <x:f t="shared" si="384"/>
        <x:v>0</x:v>
      </x:c>
      <x:c r="HH297">
        <x:f t="shared" si="385"/>
        <x:v>0</x:v>
      </x:c>
      <x:c r="HI297">
        <x:f t="shared" si="386"/>
        <x:v>0</x:v>
      </x:c>
      <x:c r="HJ297">
        <x:f t="shared" si="387"/>
        <x:v>0</x:v>
      </x:c>
      <x:c r="HK297">
        <x:f t="shared" si="388"/>
        <x:v>0</x:v>
      </x:c>
      <x:c r="HL297">
        <x:f t="shared" si="389"/>
        <x:v>0</x:v>
      </x:c>
    </x:row>
    <x:row r="298">
      <x:c r="D298" s="74"/>
      <x:c r="EQ298">
        <x:f t="shared" si="316"/>
        <x:v>0</x:v>
      </x:c>
      <x:c r="ER298">
        <x:f t="shared" si="317"/>
        <x:v>0</x:v>
      </x:c>
      <x:c r="ES298">
        <x:f t="shared" si="318"/>
        <x:v>0</x:v>
      </x:c>
      <x:c r="ET298">
        <x:f t="shared" si="319"/>
        <x:v>0</x:v>
      </x:c>
      <x:c r="EU298">
        <x:f t="shared" si="320"/>
        <x:v>0</x:v>
      </x:c>
      <x:c r="EV298">
        <x:f t="shared" si="321"/>
        <x:v>0</x:v>
      </x:c>
      <x:c r="EW298">
        <x:f t="shared" si="322"/>
        <x:v>0</x:v>
      </x:c>
      <x:c r="EX298">
        <x:f t="shared" si="323"/>
        <x:v>0</x:v>
      </x:c>
      <x:c r="EY298">
        <x:f t="shared" si="324"/>
        <x:v>0</x:v>
      </x:c>
      <x:c r="EZ298">
        <x:f t="shared" si="325"/>
        <x:v>0</x:v>
      </x:c>
      <x:c r="FA298" s="41">
        <x:f t="shared" si="326"/>
        <x:v>0</x:v>
      </x:c>
      <x:c r="FB298">
        <x:f t="shared" si="327"/>
        <x:v>0</x:v>
      </x:c>
      <x:c r="FC298">
        <x:f t="shared" si="328"/>
        <x:v>0</x:v>
      </x:c>
      <x:c r="FD298">
        <x:f t="shared" si="329"/>
        <x:v>0</x:v>
      </x:c>
      <x:c r="FE298">
        <x:f t="shared" si="330"/>
        <x:v>0</x:v>
      </x:c>
      <x:c r="FF298">
        <x:f t="shared" si="331"/>
        <x:v>0</x:v>
      </x:c>
      <x:c r="FG298">
        <x:f t="shared" si="332"/>
        <x:v>0</x:v>
      </x:c>
      <x:c r="FH298">
        <x:f t="shared" si="333"/>
        <x:v>0</x:v>
      </x:c>
      <x:c r="FI298">
        <x:f t="shared" si="334"/>
        <x:v>0</x:v>
      </x:c>
      <x:c r="FJ298">
        <x:f t="shared" si="335"/>
        <x:v>0</x:v>
      </x:c>
      <x:c r="FK298">
        <x:f t="shared" si="336"/>
        <x:v>0</x:v>
      </x:c>
      <x:c r="FL298" s="41">
        <x:f t="shared" si="337"/>
        <x:v>0</x:v>
      </x:c>
      <x:c r="FM298">
        <x:f t="shared" si="338"/>
        <x:v>0</x:v>
      </x:c>
      <x:c r="FN298">
        <x:f t="shared" si="339"/>
        <x:v>0</x:v>
      </x:c>
      <x:c r="FO298">
        <x:f t="shared" si="340"/>
        <x:v>0</x:v>
      </x:c>
      <x:c r="FP298">
        <x:f t="shared" si="341"/>
        <x:v>0</x:v>
      </x:c>
      <x:c r="FQ298">
        <x:f t="shared" si="342"/>
        <x:v>0</x:v>
      </x:c>
      <x:c r="FR298">
        <x:f t="shared" si="343"/>
        <x:v>0</x:v>
      </x:c>
      <x:c r="FS298">
        <x:f t="shared" si="344"/>
        <x:v>0</x:v>
      </x:c>
      <x:c r="FT298">
        <x:f t="shared" si="345"/>
        <x:v>0</x:v>
      </x:c>
      <x:c r="FU298">
        <x:f t="shared" si="346"/>
        <x:v>0</x:v>
      </x:c>
      <x:c r="FV298">
        <x:f t="shared" si="347"/>
        <x:v>0</x:v>
      </x:c>
      <x:c r="FW298" s="41">
        <x:f t="shared" si="348"/>
        <x:v>0</x:v>
      </x:c>
      <x:c r="FX298">
        <x:f t="shared" si="349"/>
        <x:v>0</x:v>
      </x:c>
      <x:c r="FY298">
        <x:f t="shared" si="350"/>
        <x:v>0</x:v>
      </x:c>
      <x:c r="FZ298">
        <x:f t="shared" si="351"/>
        <x:v>0</x:v>
      </x:c>
      <x:c r="GA298">
        <x:f t="shared" si="352"/>
        <x:v>0</x:v>
      </x:c>
      <x:c r="GB298">
        <x:f t="shared" si="353"/>
        <x:v>0</x:v>
      </x:c>
      <x:c r="GC298">
        <x:f t="shared" si="354"/>
        <x:v>0</x:v>
      </x:c>
      <x:c r="GD298">
        <x:f t="shared" si="355"/>
        <x:v>0</x:v>
      </x:c>
      <x:c r="GE298">
        <x:f t="shared" si="356"/>
        <x:v>0</x:v>
      </x:c>
      <x:c r="GF298">
        <x:f t="shared" si="357"/>
        <x:v>0</x:v>
      </x:c>
      <x:c r="GG298">
        <x:f t="shared" si="358"/>
        <x:v>0</x:v>
      </x:c>
      <x:c r="GH298">
        <x:f t="shared" si="359"/>
        <x:v>0</x:v>
      </x:c>
      <x:c r="GI298">
        <x:f t="shared" si="360"/>
        <x:v>0</x:v>
      </x:c>
      <x:c r="GJ298">
        <x:f t="shared" si="361"/>
        <x:v>0</x:v>
      </x:c>
      <x:c r="GK298">
        <x:f t="shared" si="362"/>
        <x:v>0</x:v>
      </x:c>
      <x:c r="GL298">
        <x:f t="shared" si="363"/>
        <x:v>0</x:v>
      </x:c>
      <x:c r="GM298">
        <x:f t="shared" si="364"/>
        <x:v>0</x:v>
      </x:c>
      <x:c r="GN298">
        <x:f t="shared" si="365"/>
        <x:v>0</x:v>
      </x:c>
      <x:c r="GO298">
        <x:f t="shared" si="366"/>
        <x:v>0</x:v>
      </x:c>
      <x:c r="GP298">
        <x:f t="shared" si="367"/>
        <x:v>0</x:v>
      </x:c>
      <x:c r="GQ298">
        <x:f t="shared" si="368"/>
        <x:v>0</x:v>
      </x:c>
      <x:c r="GR298" s="42">
        <x:f t="shared" si="369"/>
        <x:v>0</x:v>
      </x:c>
      <x:c r="GS298">
        <x:f t="shared" si="370"/>
        <x:v>0</x:v>
      </x:c>
      <x:c r="GT298">
        <x:f t="shared" si="371"/>
        <x:v>0</x:v>
      </x:c>
      <x:c r="GU298">
        <x:f t="shared" si="372"/>
        <x:v>0</x:v>
      </x:c>
      <x:c r="GV298">
        <x:f t="shared" si="373"/>
        <x:v>0</x:v>
      </x:c>
      <x:c r="GW298">
        <x:f t="shared" si="374"/>
        <x:v>0</x:v>
      </x:c>
      <x:c r="GX298">
        <x:f t="shared" si="375"/>
        <x:v>0</x:v>
      </x:c>
      <x:c r="GY298">
        <x:f t="shared" si="376"/>
        <x:v>0</x:v>
      </x:c>
      <x:c r="GZ298">
        <x:f t="shared" si="377"/>
        <x:v>0</x:v>
      </x:c>
      <x:c r="HA298">
        <x:f t="shared" si="378"/>
        <x:v>0</x:v>
      </x:c>
      <x:c r="HB298" s="42">
        <x:f t="shared" si="379"/>
        <x:v>0</x:v>
      </x:c>
      <x:c r="HC298">
        <x:f t="shared" si="380"/>
        <x:v>0</x:v>
      </x:c>
      <x:c r="HD298">
        <x:f t="shared" si="381"/>
        <x:v>0</x:v>
      </x:c>
      <x:c r="HE298">
        <x:f t="shared" si="382"/>
        <x:v>0</x:v>
      </x:c>
      <x:c r="HF298">
        <x:f t="shared" si="383"/>
        <x:v>0</x:v>
      </x:c>
      <x:c r="HG298">
        <x:f t="shared" si="384"/>
        <x:v>0</x:v>
      </x:c>
      <x:c r="HH298">
        <x:f t="shared" si="385"/>
        <x:v>0</x:v>
      </x:c>
      <x:c r="HI298">
        <x:f t="shared" si="386"/>
        <x:v>0</x:v>
      </x:c>
      <x:c r="HJ298">
        <x:f t="shared" si="387"/>
        <x:v>0</x:v>
      </x:c>
      <x:c r="HK298">
        <x:f t="shared" si="388"/>
        <x:v>0</x:v>
      </x:c>
      <x:c r="HL298">
        <x:f t="shared" si="389"/>
        <x:v>0</x:v>
      </x:c>
    </x:row>
    <x:row r="299">
      <x:c r="D299" s="74"/>
      <x:c r="EQ299">
        <x:f t="shared" si="316"/>
        <x:v>0</x:v>
      </x:c>
      <x:c r="ER299">
        <x:f t="shared" si="317"/>
        <x:v>0</x:v>
      </x:c>
      <x:c r="ES299">
        <x:f t="shared" si="318"/>
        <x:v>0</x:v>
      </x:c>
      <x:c r="ET299">
        <x:f t="shared" si="319"/>
        <x:v>0</x:v>
      </x:c>
      <x:c r="EU299">
        <x:f t="shared" si="320"/>
        <x:v>0</x:v>
      </x:c>
      <x:c r="EV299">
        <x:f t="shared" si="321"/>
        <x:v>0</x:v>
      </x:c>
      <x:c r="EW299">
        <x:f t="shared" si="322"/>
        <x:v>0</x:v>
      </x:c>
      <x:c r="EX299">
        <x:f t="shared" si="323"/>
        <x:v>0</x:v>
      </x:c>
      <x:c r="EY299">
        <x:f t="shared" si="324"/>
        <x:v>0</x:v>
      </x:c>
      <x:c r="EZ299">
        <x:f t="shared" si="325"/>
        <x:v>0</x:v>
      </x:c>
      <x:c r="FA299" s="41">
        <x:f t="shared" si="326"/>
        <x:v>0</x:v>
      </x:c>
      <x:c r="FB299">
        <x:f t="shared" si="327"/>
        <x:v>0</x:v>
      </x:c>
      <x:c r="FC299">
        <x:f t="shared" si="328"/>
        <x:v>0</x:v>
      </x:c>
      <x:c r="FD299">
        <x:f t="shared" si="329"/>
        <x:v>0</x:v>
      </x:c>
      <x:c r="FE299">
        <x:f t="shared" si="330"/>
        <x:v>0</x:v>
      </x:c>
      <x:c r="FF299">
        <x:f t="shared" si="331"/>
        <x:v>0</x:v>
      </x:c>
      <x:c r="FG299">
        <x:f t="shared" si="332"/>
        <x:v>0</x:v>
      </x:c>
      <x:c r="FH299">
        <x:f t="shared" si="333"/>
        <x:v>0</x:v>
      </x:c>
      <x:c r="FI299">
        <x:f t="shared" si="334"/>
        <x:v>0</x:v>
      </x:c>
      <x:c r="FJ299">
        <x:f t="shared" si="335"/>
        <x:v>0</x:v>
      </x:c>
      <x:c r="FK299">
        <x:f t="shared" si="336"/>
        <x:v>0</x:v>
      </x:c>
      <x:c r="FL299" s="41">
        <x:f t="shared" si="337"/>
        <x:v>0</x:v>
      </x:c>
      <x:c r="FM299">
        <x:f t="shared" si="338"/>
        <x:v>0</x:v>
      </x:c>
      <x:c r="FN299">
        <x:f t="shared" si="339"/>
        <x:v>0</x:v>
      </x:c>
      <x:c r="FO299">
        <x:f t="shared" si="340"/>
        <x:v>0</x:v>
      </x:c>
      <x:c r="FP299">
        <x:f t="shared" si="341"/>
        <x:v>0</x:v>
      </x:c>
      <x:c r="FQ299">
        <x:f t="shared" si="342"/>
        <x:v>0</x:v>
      </x:c>
      <x:c r="FR299">
        <x:f t="shared" si="343"/>
        <x:v>0</x:v>
      </x:c>
      <x:c r="FS299">
        <x:f t="shared" si="344"/>
        <x:v>0</x:v>
      </x:c>
      <x:c r="FT299">
        <x:f t="shared" si="345"/>
        <x:v>0</x:v>
      </x:c>
      <x:c r="FU299">
        <x:f t="shared" si="346"/>
        <x:v>0</x:v>
      </x:c>
      <x:c r="FV299">
        <x:f t="shared" si="347"/>
        <x:v>0</x:v>
      </x:c>
      <x:c r="FW299" s="41">
        <x:f t="shared" si="348"/>
        <x:v>0</x:v>
      </x:c>
      <x:c r="FX299">
        <x:f t="shared" si="349"/>
        <x:v>0</x:v>
      </x:c>
      <x:c r="FY299">
        <x:f t="shared" si="350"/>
        <x:v>0</x:v>
      </x:c>
      <x:c r="FZ299">
        <x:f t="shared" si="351"/>
        <x:v>0</x:v>
      </x:c>
      <x:c r="GA299">
        <x:f t="shared" si="352"/>
        <x:v>0</x:v>
      </x:c>
      <x:c r="GB299">
        <x:f t="shared" si="353"/>
        <x:v>0</x:v>
      </x:c>
      <x:c r="GC299">
        <x:f t="shared" si="354"/>
        <x:v>0</x:v>
      </x:c>
      <x:c r="GD299">
        <x:f t="shared" si="355"/>
        <x:v>0</x:v>
      </x:c>
      <x:c r="GE299">
        <x:f t="shared" si="356"/>
        <x:v>0</x:v>
      </x:c>
      <x:c r="GF299">
        <x:f t="shared" si="357"/>
        <x:v>0</x:v>
      </x:c>
      <x:c r="GG299">
        <x:f t="shared" si="358"/>
        <x:v>0</x:v>
      </x:c>
      <x:c r="GH299">
        <x:f t="shared" si="359"/>
        <x:v>0</x:v>
      </x:c>
      <x:c r="GI299">
        <x:f t="shared" si="360"/>
        <x:v>0</x:v>
      </x:c>
      <x:c r="GJ299">
        <x:f t="shared" si="361"/>
        <x:v>0</x:v>
      </x:c>
      <x:c r="GK299">
        <x:f t="shared" si="362"/>
        <x:v>0</x:v>
      </x:c>
      <x:c r="GL299">
        <x:f t="shared" si="363"/>
        <x:v>0</x:v>
      </x:c>
      <x:c r="GM299">
        <x:f t="shared" si="364"/>
        <x:v>0</x:v>
      </x:c>
      <x:c r="GN299">
        <x:f t="shared" si="365"/>
        <x:v>0</x:v>
      </x:c>
      <x:c r="GO299">
        <x:f t="shared" si="366"/>
        <x:v>0</x:v>
      </x:c>
      <x:c r="GP299">
        <x:f t="shared" si="367"/>
        <x:v>0</x:v>
      </x:c>
      <x:c r="GQ299">
        <x:f t="shared" si="368"/>
        <x:v>0</x:v>
      </x:c>
      <x:c r="GR299" s="42">
        <x:f t="shared" si="369"/>
        <x:v>0</x:v>
      </x:c>
      <x:c r="GS299">
        <x:f t="shared" si="370"/>
        <x:v>0</x:v>
      </x:c>
      <x:c r="GT299">
        <x:f t="shared" si="371"/>
        <x:v>0</x:v>
      </x:c>
      <x:c r="GU299">
        <x:f t="shared" si="372"/>
        <x:v>0</x:v>
      </x:c>
      <x:c r="GV299">
        <x:f t="shared" si="373"/>
        <x:v>0</x:v>
      </x:c>
      <x:c r="GW299">
        <x:f t="shared" si="374"/>
        <x:v>0</x:v>
      </x:c>
      <x:c r="GX299">
        <x:f t="shared" si="375"/>
        <x:v>0</x:v>
      </x:c>
      <x:c r="GY299">
        <x:f t="shared" si="376"/>
        <x:v>0</x:v>
      </x:c>
      <x:c r="GZ299">
        <x:f t="shared" si="377"/>
        <x:v>0</x:v>
      </x:c>
      <x:c r="HA299">
        <x:f t="shared" si="378"/>
        <x:v>0</x:v>
      </x:c>
      <x:c r="HB299" s="42">
        <x:f t="shared" si="379"/>
        <x:v>0</x:v>
      </x:c>
      <x:c r="HC299">
        <x:f t="shared" si="380"/>
        <x:v>0</x:v>
      </x:c>
      <x:c r="HD299">
        <x:f t="shared" si="381"/>
        <x:v>0</x:v>
      </x:c>
      <x:c r="HE299">
        <x:f t="shared" si="382"/>
        <x:v>0</x:v>
      </x:c>
      <x:c r="HF299">
        <x:f t="shared" si="383"/>
        <x:v>0</x:v>
      </x:c>
      <x:c r="HG299">
        <x:f t="shared" si="384"/>
        <x:v>0</x:v>
      </x:c>
      <x:c r="HH299">
        <x:f t="shared" si="385"/>
        <x:v>0</x:v>
      </x:c>
      <x:c r="HI299">
        <x:f t="shared" si="386"/>
        <x:v>0</x:v>
      </x:c>
      <x:c r="HJ299">
        <x:f t="shared" si="387"/>
        <x:v>0</x:v>
      </x:c>
      <x:c r="HK299">
        <x:f t="shared" si="388"/>
        <x:v>0</x:v>
      </x:c>
      <x:c r="HL299">
        <x:f t="shared" si="389"/>
        <x:v>0</x:v>
      </x:c>
    </x:row>
    <x:row r="300">
      <x:c r="D300" s="74"/>
      <x:c r="EQ300">
        <x:f t="shared" si="316"/>
        <x:v>0</x:v>
      </x:c>
      <x:c r="ER300">
        <x:f t="shared" si="317"/>
        <x:v>0</x:v>
      </x:c>
      <x:c r="ES300">
        <x:f t="shared" si="318"/>
        <x:v>0</x:v>
      </x:c>
      <x:c r="ET300">
        <x:f t="shared" si="319"/>
        <x:v>0</x:v>
      </x:c>
      <x:c r="EU300">
        <x:f t="shared" si="320"/>
        <x:v>0</x:v>
      </x:c>
      <x:c r="EV300">
        <x:f t="shared" si="321"/>
        <x:v>0</x:v>
      </x:c>
      <x:c r="EW300">
        <x:f t="shared" si="322"/>
        <x:v>0</x:v>
      </x:c>
      <x:c r="EX300">
        <x:f t="shared" si="323"/>
        <x:v>0</x:v>
      </x:c>
      <x:c r="EY300">
        <x:f t="shared" si="324"/>
        <x:v>0</x:v>
      </x:c>
      <x:c r="EZ300">
        <x:f t="shared" si="325"/>
        <x:v>0</x:v>
      </x:c>
      <x:c r="FA300" s="41">
        <x:f t="shared" si="326"/>
        <x:v>0</x:v>
      </x:c>
      <x:c r="FB300">
        <x:f t="shared" si="327"/>
        <x:v>0</x:v>
      </x:c>
      <x:c r="FC300">
        <x:f t="shared" si="328"/>
        <x:v>0</x:v>
      </x:c>
      <x:c r="FD300">
        <x:f t="shared" si="329"/>
        <x:v>0</x:v>
      </x:c>
      <x:c r="FE300">
        <x:f t="shared" si="330"/>
        <x:v>0</x:v>
      </x:c>
      <x:c r="FF300">
        <x:f t="shared" si="331"/>
        <x:v>0</x:v>
      </x:c>
      <x:c r="FG300">
        <x:f t="shared" si="332"/>
        <x:v>0</x:v>
      </x:c>
      <x:c r="FH300">
        <x:f t="shared" si="333"/>
        <x:v>0</x:v>
      </x:c>
      <x:c r="FI300">
        <x:f t="shared" si="334"/>
        <x:v>0</x:v>
      </x:c>
      <x:c r="FJ300">
        <x:f t="shared" si="335"/>
        <x:v>0</x:v>
      </x:c>
      <x:c r="FK300">
        <x:f t="shared" si="336"/>
        <x:v>0</x:v>
      </x:c>
      <x:c r="FL300" s="41">
        <x:f t="shared" si="337"/>
        <x:v>0</x:v>
      </x:c>
      <x:c r="FM300">
        <x:f t="shared" si="338"/>
        <x:v>0</x:v>
      </x:c>
      <x:c r="FN300">
        <x:f t="shared" si="339"/>
        <x:v>0</x:v>
      </x:c>
      <x:c r="FO300">
        <x:f t="shared" si="340"/>
        <x:v>0</x:v>
      </x:c>
      <x:c r="FP300">
        <x:f t="shared" si="341"/>
        <x:v>0</x:v>
      </x:c>
      <x:c r="FQ300">
        <x:f t="shared" si="342"/>
        <x:v>0</x:v>
      </x:c>
      <x:c r="FR300">
        <x:f t="shared" si="343"/>
        <x:v>0</x:v>
      </x:c>
      <x:c r="FS300">
        <x:f t="shared" si="344"/>
        <x:v>0</x:v>
      </x:c>
      <x:c r="FT300">
        <x:f t="shared" si="345"/>
        <x:v>0</x:v>
      </x:c>
      <x:c r="FU300">
        <x:f t="shared" si="346"/>
        <x:v>0</x:v>
      </x:c>
      <x:c r="FV300">
        <x:f t="shared" si="347"/>
        <x:v>0</x:v>
      </x:c>
      <x:c r="FW300" s="41">
        <x:f t="shared" si="348"/>
        <x:v>0</x:v>
      </x:c>
      <x:c r="FX300">
        <x:f t="shared" si="349"/>
        <x:v>0</x:v>
      </x:c>
      <x:c r="FY300">
        <x:f t="shared" si="350"/>
        <x:v>0</x:v>
      </x:c>
      <x:c r="FZ300">
        <x:f t="shared" si="351"/>
        <x:v>0</x:v>
      </x:c>
      <x:c r="GA300">
        <x:f t="shared" si="352"/>
        <x:v>0</x:v>
      </x:c>
      <x:c r="GB300">
        <x:f t="shared" si="353"/>
        <x:v>0</x:v>
      </x:c>
      <x:c r="GC300">
        <x:f t="shared" si="354"/>
        <x:v>0</x:v>
      </x:c>
      <x:c r="GD300">
        <x:f t="shared" si="355"/>
        <x:v>0</x:v>
      </x:c>
      <x:c r="GE300">
        <x:f t="shared" si="356"/>
        <x:v>0</x:v>
      </x:c>
      <x:c r="GF300">
        <x:f t="shared" si="357"/>
        <x:v>0</x:v>
      </x:c>
      <x:c r="GG300">
        <x:f t="shared" si="358"/>
        <x:v>0</x:v>
      </x:c>
      <x:c r="GH300">
        <x:f t="shared" si="359"/>
        <x:v>0</x:v>
      </x:c>
      <x:c r="GI300">
        <x:f t="shared" si="360"/>
        <x:v>0</x:v>
      </x:c>
      <x:c r="GJ300">
        <x:f t="shared" si="361"/>
        <x:v>0</x:v>
      </x:c>
      <x:c r="GK300">
        <x:f t="shared" si="362"/>
        <x:v>0</x:v>
      </x:c>
      <x:c r="GL300">
        <x:f t="shared" si="363"/>
        <x:v>0</x:v>
      </x:c>
      <x:c r="GM300">
        <x:f t="shared" si="364"/>
        <x:v>0</x:v>
      </x:c>
      <x:c r="GN300">
        <x:f t="shared" si="365"/>
        <x:v>0</x:v>
      </x:c>
      <x:c r="GO300">
        <x:f t="shared" si="366"/>
        <x:v>0</x:v>
      </x:c>
      <x:c r="GP300">
        <x:f t="shared" si="367"/>
        <x:v>0</x:v>
      </x:c>
      <x:c r="GQ300">
        <x:f t="shared" si="368"/>
        <x:v>0</x:v>
      </x:c>
      <x:c r="GR300" s="42">
        <x:f t="shared" si="369"/>
        <x:v>0</x:v>
      </x:c>
      <x:c r="GS300">
        <x:f t="shared" si="370"/>
        <x:v>0</x:v>
      </x:c>
      <x:c r="GT300">
        <x:f t="shared" si="371"/>
        <x:v>0</x:v>
      </x:c>
      <x:c r="GU300">
        <x:f t="shared" si="372"/>
        <x:v>0</x:v>
      </x:c>
      <x:c r="GV300">
        <x:f t="shared" si="373"/>
        <x:v>0</x:v>
      </x:c>
      <x:c r="GW300">
        <x:f t="shared" si="374"/>
        <x:v>0</x:v>
      </x:c>
      <x:c r="GX300">
        <x:f t="shared" si="375"/>
        <x:v>0</x:v>
      </x:c>
      <x:c r="GY300">
        <x:f t="shared" si="376"/>
        <x:v>0</x:v>
      </x:c>
      <x:c r="GZ300">
        <x:f t="shared" si="377"/>
        <x:v>0</x:v>
      </x:c>
      <x:c r="HA300">
        <x:f t="shared" si="378"/>
        <x:v>0</x:v>
      </x:c>
      <x:c r="HB300" s="42">
        <x:f t="shared" si="379"/>
        <x:v>0</x:v>
      </x:c>
      <x:c r="HC300">
        <x:f t="shared" si="380"/>
        <x:v>0</x:v>
      </x:c>
      <x:c r="HD300">
        <x:f t="shared" si="381"/>
        <x:v>0</x:v>
      </x:c>
      <x:c r="HE300">
        <x:f t="shared" si="382"/>
        <x:v>0</x:v>
      </x:c>
      <x:c r="HF300">
        <x:f t="shared" si="383"/>
        <x:v>0</x:v>
      </x:c>
      <x:c r="HG300">
        <x:f t="shared" si="384"/>
        <x:v>0</x:v>
      </x:c>
      <x:c r="HH300">
        <x:f t="shared" si="385"/>
        <x:v>0</x:v>
      </x:c>
      <x:c r="HI300">
        <x:f t="shared" si="386"/>
        <x:v>0</x:v>
      </x:c>
      <x:c r="HJ300">
        <x:f t="shared" si="387"/>
        <x:v>0</x:v>
      </x:c>
      <x:c r="HK300">
        <x:f t="shared" si="388"/>
        <x:v>0</x:v>
      </x:c>
      <x:c r="HL300">
        <x:f t="shared" si="389"/>
        <x:v>0</x:v>
      </x:c>
    </x:row>
    <x:row r="301">
      <x:c r="D301" s="74"/>
      <x:c r="EQ301">
        <x:f t="shared" si="316"/>
        <x:v>0</x:v>
      </x:c>
      <x:c r="ER301">
        <x:f t="shared" si="317"/>
        <x:v>0</x:v>
      </x:c>
      <x:c r="ES301">
        <x:f t="shared" si="318"/>
        <x:v>0</x:v>
      </x:c>
      <x:c r="ET301">
        <x:f t="shared" si="319"/>
        <x:v>0</x:v>
      </x:c>
      <x:c r="EU301">
        <x:f t="shared" si="320"/>
        <x:v>0</x:v>
      </x:c>
      <x:c r="EV301">
        <x:f t="shared" si="321"/>
        <x:v>0</x:v>
      </x:c>
      <x:c r="EW301">
        <x:f t="shared" si="322"/>
        <x:v>0</x:v>
      </x:c>
      <x:c r="EX301">
        <x:f t="shared" si="323"/>
        <x:v>0</x:v>
      </x:c>
      <x:c r="EY301">
        <x:f t="shared" si="324"/>
        <x:v>0</x:v>
      </x:c>
      <x:c r="EZ301">
        <x:f t="shared" si="325"/>
        <x:v>0</x:v>
      </x:c>
      <x:c r="FA301" s="41">
        <x:f t="shared" si="326"/>
        <x:v>0</x:v>
      </x:c>
      <x:c r="FB301">
        <x:f t="shared" si="327"/>
        <x:v>0</x:v>
      </x:c>
      <x:c r="FC301">
        <x:f t="shared" si="328"/>
        <x:v>0</x:v>
      </x:c>
      <x:c r="FD301">
        <x:f t="shared" si="329"/>
        <x:v>0</x:v>
      </x:c>
      <x:c r="FE301">
        <x:f t="shared" si="330"/>
        <x:v>0</x:v>
      </x:c>
      <x:c r="FF301">
        <x:f t="shared" si="331"/>
        <x:v>0</x:v>
      </x:c>
      <x:c r="FG301">
        <x:f t="shared" si="332"/>
        <x:v>0</x:v>
      </x:c>
      <x:c r="FH301">
        <x:f t="shared" si="333"/>
        <x:v>0</x:v>
      </x:c>
      <x:c r="FI301">
        <x:f t="shared" si="334"/>
        <x:v>0</x:v>
      </x:c>
      <x:c r="FJ301">
        <x:f t="shared" si="335"/>
        <x:v>0</x:v>
      </x:c>
      <x:c r="FK301">
        <x:f t="shared" si="336"/>
        <x:v>0</x:v>
      </x:c>
      <x:c r="FL301" s="41">
        <x:f t="shared" si="337"/>
        <x:v>0</x:v>
      </x:c>
      <x:c r="FM301">
        <x:f t="shared" si="338"/>
        <x:v>0</x:v>
      </x:c>
      <x:c r="FN301">
        <x:f t="shared" si="339"/>
        <x:v>0</x:v>
      </x:c>
      <x:c r="FO301">
        <x:f t="shared" si="340"/>
        <x:v>0</x:v>
      </x:c>
      <x:c r="FP301">
        <x:f t="shared" si="341"/>
        <x:v>0</x:v>
      </x:c>
      <x:c r="FQ301">
        <x:f t="shared" si="342"/>
        <x:v>0</x:v>
      </x:c>
      <x:c r="FR301">
        <x:f t="shared" si="343"/>
        <x:v>0</x:v>
      </x:c>
      <x:c r="FS301">
        <x:f t="shared" si="344"/>
        <x:v>0</x:v>
      </x:c>
      <x:c r="FT301">
        <x:f t="shared" si="345"/>
        <x:v>0</x:v>
      </x:c>
      <x:c r="FU301">
        <x:f t="shared" si="346"/>
        <x:v>0</x:v>
      </x:c>
      <x:c r="FV301">
        <x:f t="shared" si="347"/>
        <x:v>0</x:v>
      </x:c>
      <x:c r="FW301" s="41">
        <x:f t="shared" si="348"/>
        <x:v>0</x:v>
      </x:c>
      <x:c r="FX301">
        <x:f t="shared" si="349"/>
        <x:v>0</x:v>
      </x:c>
      <x:c r="FY301">
        <x:f t="shared" si="350"/>
        <x:v>0</x:v>
      </x:c>
      <x:c r="FZ301">
        <x:f t="shared" si="351"/>
        <x:v>0</x:v>
      </x:c>
      <x:c r="GA301">
        <x:f t="shared" si="352"/>
        <x:v>0</x:v>
      </x:c>
      <x:c r="GB301">
        <x:f t="shared" si="353"/>
        <x:v>0</x:v>
      </x:c>
      <x:c r="GC301">
        <x:f t="shared" si="354"/>
        <x:v>0</x:v>
      </x:c>
      <x:c r="GD301">
        <x:f t="shared" si="355"/>
        <x:v>0</x:v>
      </x:c>
      <x:c r="GE301">
        <x:f t="shared" si="356"/>
        <x:v>0</x:v>
      </x:c>
      <x:c r="GF301">
        <x:f t="shared" si="357"/>
        <x:v>0</x:v>
      </x:c>
      <x:c r="GG301">
        <x:f t="shared" si="358"/>
        <x:v>0</x:v>
      </x:c>
      <x:c r="GH301">
        <x:f t="shared" si="359"/>
        <x:v>0</x:v>
      </x:c>
      <x:c r="GI301">
        <x:f t="shared" si="360"/>
        <x:v>0</x:v>
      </x:c>
      <x:c r="GJ301">
        <x:f t="shared" si="361"/>
        <x:v>0</x:v>
      </x:c>
      <x:c r="GK301">
        <x:f t="shared" si="362"/>
        <x:v>0</x:v>
      </x:c>
      <x:c r="GL301">
        <x:f t="shared" si="363"/>
        <x:v>0</x:v>
      </x:c>
      <x:c r="GM301">
        <x:f t="shared" si="364"/>
        <x:v>0</x:v>
      </x:c>
      <x:c r="GN301">
        <x:f t="shared" si="365"/>
        <x:v>0</x:v>
      </x:c>
      <x:c r="GO301">
        <x:f t="shared" si="366"/>
        <x:v>0</x:v>
      </x:c>
      <x:c r="GP301">
        <x:f t="shared" si="367"/>
        <x:v>0</x:v>
      </x:c>
      <x:c r="GQ301">
        <x:f t="shared" si="368"/>
        <x:v>0</x:v>
      </x:c>
      <x:c r="GR301" s="42">
        <x:f t="shared" si="369"/>
        <x:v>0</x:v>
      </x:c>
      <x:c r="GS301">
        <x:f t="shared" si="370"/>
        <x:v>0</x:v>
      </x:c>
      <x:c r="GT301">
        <x:f t="shared" si="371"/>
        <x:v>0</x:v>
      </x:c>
      <x:c r="GU301">
        <x:f t="shared" si="372"/>
        <x:v>0</x:v>
      </x:c>
      <x:c r="GV301">
        <x:f t="shared" si="373"/>
        <x:v>0</x:v>
      </x:c>
      <x:c r="GW301">
        <x:f t="shared" si="374"/>
        <x:v>0</x:v>
      </x:c>
      <x:c r="GX301">
        <x:f t="shared" si="375"/>
        <x:v>0</x:v>
      </x:c>
      <x:c r="GY301">
        <x:f t="shared" si="376"/>
        <x:v>0</x:v>
      </x:c>
      <x:c r="GZ301">
        <x:f t="shared" si="377"/>
        <x:v>0</x:v>
      </x:c>
      <x:c r="HA301">
        <x:f t="shared" si="378"/>
        <x:v>0</x:v>
      </x:c>
      <x:c r="HB301" s="42">
        <x:f t="shared" si="379"/>
        <x:v>0</x:v>
      </x:c>
      <x:c r="HC301">
        <x:f t="shared" si="380"/>
        <x:v>0</x:v>
      </x:c>
      <x:c r="HD301">
        <x:f t="shared" si="381"/>
        <x:v>0</x:v>
      </x:c>
      <x:c r="HE301">
        <x:f t="shared" si="382"/>
        <x:v>0</x:v>
      </x:c>
      <x:c r="HF301">
        <x:f t="shared" si="383"/>
        <x:v>0</x:v>
      </x:c>
      <x:c r="HG301">
        <x:f t="shared" si="384"/>
        <x:v>0</x:v>
      </x:c>
      <x:c r="HH301">
        <x:f t="shared" si="385"/>
        <x:v>0</x:v>
      </x:c>
      <x:c r="HI301">
        <x:f t="shared" si="386"/>
        <x:v>0</x:v>
      </x:c>
      <x:c r="HJ301">
        <x:f t="shared" si="387"/>
        <x:v>0</x:v>
      </x:c>
      <x:c r="HK301">
        <x:f t="shared" si="388"/>
        <x:v>0</x:v>
      </x:c>
      <x:c r="HL301">
        <x:f t="shared" si="389"/>
        <x:v>0</x:v>
      </x:c>
    </x:row>
    <x:row r="302">
      <x:c r="D302" s="74"/>
      <x:c r="EQ302">
        <x:f t="shared" si="316"/>
        <x:v>0</x:v>
      </x:c>
      <x:c r="ER302">
        <x:f t="shared" si="317"/>
        <x:v>0</x:v>
      </x:c>
      <x:c r="ES302">
        <x:f t="shared" si="318"/>
        <x:v>0</x:v>
      </x:c>
      <x:c r="ET302">
        <x:f t="shared" si="319"/>
        <x:v>0</x:v>
      </x:c>
      <x:c r="EU302">
        <x:f t="shared" si="320"/>
        <x:v>0</x:v>
      </x:c>
      <x:c r="EV302">
        <x:f t="shared" si="321"/>
        <x:v>0</x:v>
      </x:c>
      <x:c r="EW302">
        <x:f t="shared" si="322"/>
        <x:v>0</x:v>
      </x:c>
      <x:c r="EX302">
        <x:f t="shared" si="323"/>
        <x:v>0</x:v>
      </x:c>
      <x:c r="EY302">
        <x:f t="shared" si="324"/>
        <x:v>0</x:v>
      </x:c>
      <x:c r="EZ302">
        <x:f t="shared" si="325"/>
        <x:v>0</x:v>
      </x:c>
      <x:c r="FA302" s="41">
        <x:f t="shared" si="326"/>
        <x:v>0</x:v>
      </x:c>
      <x:c r="FB302">
        <x:f t="shared" si="327"/>
        <x:v>0</x:v>
      </x:c>
      <x:c r="FC302">
        <x:f t="shared" si="328"/>
        <x:v>0</x:v>
      </x:c>
      <x:c r="FD302">
        <x:f t="shared" si="329"/>
        <x:v>0</x:v>
      </x:c>
      <x:c r="FE302">
        <x:f t="shared" si="330"/>
        <x:v>0</x:v>
      </x:c>
      <x:c r="FF302">
        <x:f t="shared" si="331"/>
        <x:v>0</x:v>
      </x:c>
      <x:c r="FG302">
        <x:f t="shared" si="332"/>
        <x:v>0</x:v>
      </x:c>
      <x:c r="FH302">
        <x:f t="shared" si="333"/>
        <x:v>0</x:v>
      </x:c>
      <x:c r="FI302">
        <x:f t="shared" si="334"/>
        <x:v>0</x:v>
      </x:c>
      <x:c r="FJ302">
        <x:f t="shared" si="335"/>
        <x:v>0</x:v>
      </x:c>
      <x:c r="FK302">
        <x:f t="shared" si="336"/>
        <x:v>0</x:v>
      </x:c>
      <x:c r="FL302" s="41">
        <x:f t="shared" si="337"/>
        <x:v>0</x:v>
      </x:c>
      <x:c r="FM302">
        <x:f t="shared" si="338"/>
        <x:v>0</x:v>
      </x:c>
      <x:c r="FN302">
        <x:f t="shared" si="339"/>
        <x:v>0</x:v>
      </x:c>
      <x:c r="FO302">
        <x:f t="shared" si="340"/>
        <x:v>0</x:v>
      </x:c>
      <x:c r="FP302">
        <x:f t="shared" si="341"/>
        <x:v>0</x:v>
      </x:c>
      <x:c r="FQ302">
        <x:f t="shared" si="342"/>
        <x:v>0</x:v>
      </x:c>
      <x:c r="FR302">
        <x:f t="shared" si="343"/>
        <x:v>0</x:v>
      </x:c>
      <x:c r="FS302">
        <x:f t="shared" si="344"/>
        <x:v>0</x:v>
      </x:c>
      <x:c r="FT302">
        <x:f t="shared" si="345"/>
        <x:v>0</x:v>
      </x:c>
      <x:c r="FU302">
        <x:f t="shared" si="346"/>
        <x:v>0</x:v>
      </x:c>
      <x:c r="FV302">
        <x:f t="shared" si="347"/>
        <x:v>0</x:v>
      </x:c>
      <x:c r="FW302" s="41">
        <x:f t="shared" si="348"/>
        <x:v>0</x:v>
      </x:c>
      <x:c r="FX302">
        <x:f t="shared" si="349"/>
        <x:v>0</x:v>
      </x:c>
      <x:c r="FY302">
        <x:f t="shared" si="350"/>
        <x:v>0</x:v>
      </x:c>
      <x:c r="FZ302">
        <x:f t="shared" si="351"/>
        <x:v>0</x:v>
      </x:c>
      <x:c r="GA302">
        <x:f t="shared" si="352"/>
        <x:v>0</x:v>
      </x:c>
      <x:c r="GB302">
        <x:f t="shared" si="353"/>
        <x:v>0</x:v>
      </x:c>
      <x:c r="GC302">
        <x:f t="shared" si="354"/>
        <x:v>0</x:v>
      </x:c>
      <x:c r="GD302">
        <x:f t="shared" si="355"/>
        <x:v>0</x:v>
      </x:c>
      <x:c r="GE302">
        <x:f t="shared" si="356"/>
        <x:v>0</x:v>
      </x:c>
      <x:c r="GF302">
        <x:f t="shared" si="357"/>
        <x:v>0</x:v>
      </x:c>
      <x:c r="GG302">
        <x:f t="shared" si="358"/>
        <x:v>0</x:v>
      </x:c>
      <x:c r="GH302">
        <x:f t="shared" si="359"/>
        <x:v>0</x:v>
      </x:c>
      <x:c r="GI302">
        <x:f t="shared" si="360"/>
        <x:v>0</x:v>
      </x:c>
      <x:c r="GJ302">
        <x:f t="shared" si="361"/>
        <x:v>0</x:v>
      </x:c>
      <x:c r="GK302">
        <x:f t="shared" si="362"/>
        <x:v>0</x:v>
      </x:c>
      <x:c r="GL302">
        <x:f t="shared" si="363"/>
        <x:v>0</x:v>
      </x:c>
      <x:c r="GM302">
        <x:f t="shared" si="364"/>
        <x:v>0</x:v>
      </x:c>
      <x:c r="GN302">
        <x:f t="shared" si="365"/>
        <x:v>0</x:v>
      </x:c>
      <x:c r="GO302">
        <x:f t="shared" si="366"/>
        <x:v>0</x:v>
      </x:c>
      <x:c r="GP302">
        <x:f t="shared" si="367"/>
        <x:v>0</x:v>
      </x:c>
      <x:c r="GQ302">
        <x:f t="shared" si="368"/>
        <x:v>0</x:v>
      </x:c>
      <x:c r="GR302" s="42">
        <x:f t="shared" si="369"/>
        <x:v>0</x:v>
      </x:c>
      <x:c r="GS302">
        <x:f t="shared" si="370"/>
        <x:v>0</x:v>
      </x:c>
      <x:c r="GT302">
        <x:f t="shared" si="371"/>
        <x:v>0</x:v>
      </x:c>
      <x:c r="GU302">
        <x:f t="shared" si="372"/>
        <x:v>0</x:v>
      </x:c>
      <x:c r="GV302">
        <x:f t="shared" si="373"/>
        <x:v>0</x:v>
      </x:c>
      <x:c r="GW302">
        <x:f t="shared" si="374"/>
        <x:v>0</x:v>
      </x:c>
      <x:c r="GX302">
        <x:f t="shared" si="375"/>
        <x:v>0</x:v>
      </x:c>
      <x:c r="GY302">
        <x:f t="shared" si="376"/>
        <x:v>0</x:v>
      </x:c>
      <x:c r="GZ302">
        <x:f t="shared" si="377"/>
        <x:v>0</x:v>
      </x:c>
      <x:c r="HA302">
        <x:f t="shared" si="378"/>
        <x:v>0</x:v>
      </x:c>
      <x:c r="HB302" s="42">
        <x:f t="shared" si="379"/>
        <x:v>0</x:v>
      </x:c>
      <x:c r="HC302">
        <x:f t="shared" si="380"/>
        <x:v>0</x:v>
      </x:c>
      <x:c r="HD302">
        <x:f t="shared" si="381"/>
        <x:v>0</x:v>
      </x:c>
      <x:c r="HE302">
        <x:f t="shared" si="382"/>
        <x:v>0</x:v>
      </x:c>
      <x:c r="HF302">
        <x:f t="shared" si="383"/>
        <x:v>0</x:v>
      </x:c>
      <x:c r="HG302">
        <x:f t="shared" si="384"/>
        <x:v>0</x:v>
      </x:c>
      <x:c r="HH302">
        <x:f t="shared" si="385"/>
        <x:v>0</x:v>
      </x:c>
      <x:c r="HI302">
        <x:f t="shared" si="386"/>
        <x:v>0</x:v>
      </x:c>
      <x:c r="HJ302">
        <x:f t="shared" si="387"/>
        <x:v>0</x:v>
      </x:c>
      <x:c r="HK302">
        <x:f t="shared" si="388"/>
        <x:v>0</x:v>
      </x:c>
      <x:c r="HL302">
        <x:f t="shared" si="389"/>
        <x:v>0</x:v>
      </x:c>
    </x:row>
    <x:row r="303">
      <x:c r="D303" s="74"/>
      <x:c r="EQ303">
        <x:f t="shared" si="316"/>
        <x:v>0</x:v>
      </x:c>
      <x:c r="ER303">
        <x:f t="shared" si="317"/>
        <x:v>0</x:v>
      </x:c>
      <x:c r="ES303">
        <x:f t="shared" si="318"/>
        <x:v>0</x:v>
      </x:c>
      <x:c r="ET303">
        <x:f t="shared" si="319"/>
        <x:v>0</x:v>
      </x:c>
      <x:c r="EU303">
        <x:f t="shared" si="320"/>
        <x:v>0</x:v>
      </x:c>
      <x:c r="EV303">
        <x:f t="shared" si="321"/>
        <x:v>0</x:v>
      </x:c>
      <x:c r="EW303">
        <x:f t="shared" si="322"/>
        <x:v>0</x:v>
      </x:c>
      <x:c r="EX303">
        <x:f t="shared" si="323"/>
        <x:v>0</x:v>
      </x:c>
      <x:c r="EY303">
        <x:f t="shared" si="324"/>
        <x:v>0</x:v>
      </x:c>
      <x:c r="EZ303">
        <x:f t="shared" si="325"/>
        <x:v>0</x:v>
      </x:c>
      <x:c r="FA303" s="41">
        <x:f t="shared" si="326"/>
        <x:v>0</x:v>
      </x:c>
      <x:c r="FB303">
        <x:f t="shared" si="327"/>
        <x:v>0</x:v>
      </x:c>
      <x:c r="FC303">
        <x:f t="shared" si="328"/>
        <x:v>0</x:v>
      </x:c>
      <x:c r="FD303">
        <x:f t="shared" si="329"/>
        <x:v>0</x:v>
      </x:c>
      <x:c r="FE303">
        <x:f t="shared" si="330"/>
        <x:v>0</x:v>
      </x:c>
      <x:c r="FF303">
        <x:f t="shared" si="331"/>
        <x:v>0</x:v>
      </x:c>
      <x:c r="FG303">
        <x:f t="shared" si="332"/>
        <x:v>0</x:v>
      </x:c>
      <x:c r="FH303">
        <x:f t="shared" si="333"/>
        <x:v>0</x:v>
      </x:c>
      <x:c r="FI303">
        <x:f t="shared" si="334"/>
        <x:v>0</x:v>
      </x:c>
      <x:c r="FJ303">
        <x:f t="shared" si="335"/>
        <x:v>0</x:v>
      </x:c>
      <x:c r="FK303">
        <x:f t="shared" si="336"/>
        <x:v>0</x:v>
      </x:c>
      <x:c r="FL303" s="41">
        <x:f t="shared" si="337"/>
        <x:v>0</x:v>
      </x:c>
      <x:c r="FM303">
        <x:f t="shared" si="338"/>
        <x:v>0</x:v>
      </x:c>
      <x:c r="FN303">
        <x:f t="shared" si="339"/>
        <x:v>0</x:v>
      </x:c>
      <x:c r="FO303">
        <x:f t="shared" si="340"/>
        <x:v>0</x:v>
      </x:c>
      <x:c r="FP303">
        <x:f t="shared" si="341"/>
        <x:v>0</x:v>
      </x:c>
      <x:c r="FQ303">
        <x:f t="shared" si="342"/>
        <x:v>0</x:v>
      </x:c>
      <x:c r="FR303">
        <x:f t="shared" si="343"/>
        <x:v>0</x:v>
      </x:c>
      <x:c r="FS303">
        <x:f t="shared" si="344"/>
        <x:v>0</x:v>
      </x:c>
      <x:c r="FT303">
        <x:f t="shared" si="345"/>
        <x:v>0</x:v>
      </x:c>
      <x:c r="FU303">
        <x:f t="shared" si="346"/>
        <x:v>0</x:v>
      </x:c>
      <x:c r="FV303">
        <x:f t="shared" si="347"/>
        <x:v>0</x:v>
      </x:c>
      <x:c r="FW303" s="41">
        <x:f t="shared" si="348"/>
        <x:v>0</x:v>
      </x:c>
      <x:c r="FX303">
        <x:f t="shared" si="349"/>
        <x:v>0</x:v>
      </x:c>
      <x:c r="FY303">
        <x:f t="shared" si="350"/>
        <x:v>0</x:v>
      </x:c>
      <x:c r="FZ303">
        <x:f t="shared" si="351"/>
        <x:v>0</x:v>
      </x:c>
      <x:c r="GA303">
        <x:f t="shared" si="352"/>
        <x:v>0</x:v>
      </x:c>
      <x:c r="GB303">
        <x:f t="shared" si="353"/>
        <x:v>0</x:v>
      </x:c>
      <x:c r="GC303">
        <x:f t="shared" si="354"/>
        <x:v>0</x:v>
      </x:c>
      <x:c r="GD303">
        <x:f t="shared" si="355"/>
        <x:v>0</x:v>
      </x:c>
      <x:c r="GE303">
        <x:f t="shared" si="356"/>
        <x:v>0</x:v>
      </x:c>
      <x:c r="GF303">
        <x:f t="shared" si="357"/>
        <x:v>0</x:v>
      </x:c>
      <x:c r="GG303">
        <x:f t="shared" si="358"/>
        <x:v>0</x:v>
      </x:c>
      <x:c r="GH303">
        <x:f t="shared" si="359"/>
        <x:v>0</x:v>
      </x:c>
      <x:c r="GI303">
        <x:f t="shared" si="360"/>
        <x:v>0</x:v>
      </x:c>
      <x:c r="GJ303">
        <x:f t="shared" si="361"/>
        <x:v>0</x:v>
      </x:c>
      <x:c r="GK303">
        <x:f t="shared" si="362"/>
        <x:v>0</x:v>
      </x:c>
      <x:c r="GL303">
        <x:f t="shared" si="363"/>
        <x:v>0</x:v>
      </x:c>
      <x:c r="GM303">
        <x:f t="shared" si="364"/>
        <x:v>0</x:v>
      </x:c>
      <x:c r="GN303">
        <x:f t="shared" si="365"/>
        <x:v>0</x:v>
      </x:c>
      <x:c r="GO303">
        <x:f t="shared" si="366"/>
        <x:v>0</x:v>
      </x:c>
      <x:c r="GP303">
        <x:f t="shared" si="367"/>
        <x:v>0</x:v>
      </x:c>
      <x:c r="GQ303">
        <x:f t="shared" si="368"/>
        <x:v>0</x:v>
      </x:c>
      <x:c r="GR303" s="42">
        <x:f t="shared" si="369"/>
        <x:v>0</x:v>
      </x:c>
      <x:c r="GS303">
        <x:f t="shared" si="370"/>
        <x:v>0</x:v>
      </x:c>
      <x:c r="GT303">
        <x:f t="shared" si="371"/>
        <x:v>0</x:v>
      </x:c>
      <x:c r="GU303">
        <x:f t="shared" si="372"/>
        <x:v>0</x:v>
      </x:c>
      <x:c r="GV303">
        <x:f t="shared" si="373"/>
        <x:v>0</x:v>
      </x:c>
      <x:c r="GW303">
        <x:f t="shared" si="374"/>
        <x:v>0</x:v>
      </x:c>
      <x:c r="GX303">
        <x:f t="shared" si="375"/>
        <x:v>0</x:v>
      </x:c>
      <x:c r="GY303">
        <x:f t="shared" si="376"/>
        <x:v>0</x:v>
      </x:c>
      <x:c r="GZ303">
        <x:f t="shared" si="377"/>
        <x:v>0</x:v>
      </x:c>
      <x:c r="HA303">
        <x:f t="shared" si="378"/>
        <x:v>0</x:v>
      </x:c>
      <x:c r="HB303" s="42">
        <x:f t="shared" si="379"/>
        <x:v>0</x:v>
      </x:c>
      <x:c r="HC303">
        <x:f t="shared" si="380"/>
        <x:v>0</x:v>
      </x:c>
      <x:c r="HD303">
        <x:f t="shared" si="381"/>
        <x:v>0</x:v>
      </x:c>
      <x:c r="HE303">
        <x:f t="shared" si="382"/>
        <x:v>0</x:v>
      </x:c>
      <x:c r="HF303">
        <x:f t="shared" si="383"/>
        <x:v>0</x:v>
      </x:c>
      <x:c r="HG303">
        <x:f t="shared" si="384"/>
        <x:v>0</x:v>
      </x:c>
      <x:c r="HH303">
        <x:f t="shared" si="385"/>
        <x:v>0</x:v>
      </x:c>
      <x:c r="HI303">
        <x:f t="shared" si="386"/>
        <x:v>0</x:v>
      </x:c>
      <x:c r="HJ303">
        <x:f t="shared" si="387"/>
        <x:v>0</x:v>
      </x:c>
      <x:c r="HK303">
        <x:f t="shared" si="388"/>
        <x:v>0</x:v>
      </x:c>
      <x:c r="HL303">
        <x:f t="shared" si="389"/>
        <x:v>0</x:v>
      </x:c>
    </x:row>
    <x:row r="304">
      <x:c r="D304" s="74"/>
      <x:c r="EQ304">
        <x:f t="shared" si="316"/>
        <x:v>0</x:v>
      </x:c>
      <x:c r="ER304">
        <x:f t="shared" si="317"/>
        <x:v>0</x:v>
      </x:c>
      <x:c r="ES304">
        <x:f t="shared" si="318"/>
        <x:v>0</x:v>
      </x:c>
      <x:c r="ET304">
        <x:f t="shared" si="319"/>
        <x:v>0</x:v>
      </x:c>
      <x:c r="EU304">
        <x:f t="shared" si="320"/>
        <x:v>0</x:v>
      </x:c>
      <x:c r="EV304">
        <x:f t="shared" si="321"/>
        <x:v>0</x:v>
      </x:c>
      <x:c r="EW304">
        <x:f t="shared" si="322"/>
        <x:v>0</x:v>
      </x:c>
      <x:c r="EX304">
        <x:f t="shared" si="323"/>
        <x:v>0</x:v>
      </x:c>
      <x:c r="EY304">
        <x:f t="shared" si="324"/>
        <x:v>0</x:v>
      </x:c>
      <x:c r="EZ304">
        <x:f t="shared" si="325"/>
        <x:v>0</x:v>
      </x:c>
      <x:c r="FA304" s="41">
        <x:f t="shared" si="326"/>
        <x:v>0</x:v>
      </x:c>
      <x:c r="FB304">
        <x:f t="shared" si="327"/>
        <x:v>0</x:v>
      </x:c>
      <x:c r="FC304">
        <x:f t="shared" si="328"/>
        <x:v>0</x:v>
      </x:c>
      <x:c r="FD304">
        <x:f t="shared" si="329"/>
        <x:v>0</x:v>
      </x:c>
      <x:c r="FE304">
        <x:f t="shared" si="330"/>
        <x:v>0</x:v>
      </x:c>
      <x:c r="FF304">
        <x:f t="shared" si="331"/>
        <x:v>0</x:v>
      </x:c>
      <x:c r="FG304">
        <x:f t="shared" si="332"/>
        <x:v>0</x:v>
      </x:c>
      <x:c r="FH304">
        <x:f t="shared" si="333"/>
        <x:v>0</x:v>
      </x:c>
      <x:c r="FI304">
        <x:f t="shared" si="334"/>
        <x:v>0</x:v>
      </x:c>
      <x:c r="FJ304">
        <x:f t="shared" si="335"/>
        <x:v>0</x:v>
      </x:c>
      <x:c r="FK304">
        <x:f t="shared" si="336"/>
        <x:v>0</x:v>
      </x:c>
      <x:c r="FL304" s="41">
        <x:f t="shared" si="337"/>
        <x:v>0</x:v>
      </x:c>
      <x:c r="FM304">
        <x:f t="shared" si="338"/>
        <x:v>0</x:v>
      </x:c>
      <x:c r="FN304">
        <x:f t="shared" si="339"/>
        <x:v>0</x:v>
      </x:c>
      <x:c r="FO304">
        <x:f t="shared" si="340"/>
        <x:v>0</x:v>
      </x:c>
      <x:c r="FP304">
        <x:f t="shared" si="341"/>
        <x:v>0</x:v>
      </x:c>
      <x:c r="FQ304">
        <x:f t="shared" si="342"/>
        <x:v>0</x:v>
      </x:c>
      <x:c r="FR304">
        <x:f t="shared" si="343"/>
        <x:v>0</x:v>
      </x:c>
      <x:c r="FS304">
        <x:f t="shared" si="344"/>
        <x:v>0</x:v>
      </x:c>
      <x:c r="FT304">
        <x:f t="shared" si="345"/>
        <x:v>0</x:v>
      </x:c>
      <x:c r="FU304">
        <x:f t="shared" si="346"/>
        <x:v>0</x:v>
      </x:c>
      <x:c r="FV304">
        <x:f t="shared" si="347"/>
        <x:v>0</x:v>
      </x:c>
      <x:c r="FW304" s="41">
        <x:f t="shared" si="348"/>
        <x:v>0</x:v>
      </x:c>
      <x:c r="FX304">
        <x:f t="shared" si="349"/>
        <x:v>0</x:v>
      </x:c>
      <x:c r="FY304">
        <x:f t="shared" si="350"/>
        <x:v>0</x:v>
      </x:c>
      <x:c r="FZ304">
        <x:f t="shared" si="351"/>
        <x:v>0</x:v>
      </x:c>
      <x:c r="GA304">
        <x:f t="shared" si="352"/>
        <x:v>0</x:v>
      </x:c>
      <x:c r="GB304">
        <x:f t="shared" si="353"/>
        <x:v>0</x:v>
      </x:c>
      <x:c r="GC304">
        <x:f t="shared" si="354"/>
        <x:v>0</x:v>
      </x:c>
      <x:c r="GD304">
        <x:f t="shared" si="355"/>
        <x:v>0</x:v>
      </x:c>
      <x:c r="GE304">
        <x:f t="shared" si="356"/>
        <x:v>0</x:v>
      </x:c>
      <x:c r="GF304">
        <x:f t="shared" si="357"/>
        <x:v>0</x:v>
      </x:c>
      <x:c r="GG304">
        <x:f t="shared" si="358"/>
        <x:v>0</x:v>
      </x:c>
      <x:c r="GH304">
        <x:f t="shared" si="359"/>
        <x:v>0</x:v>
      </x:c>
      <x:c r="GI304">
        <x:f t="shared" si="360"/>
        <x:v>0</x:v>
      </x:c>
      <x:c r="GJ304">
        <x:f t="shared" si="361"/>
        <x:v>0</x:v>
      </x:c>
      <x:c r="GK304">
        <x:f t="shared" si="362"/>
        <x:v>0</x:v>
      </x:c>
      <x:c r="GL304">
        <x:f t="shared" si="363"/>
        <x:v>0</x:v>
      </x:c>
      <x:c r="GM304">
        <x:f t="shared" si="364"/>
        <x:v>0</x:v>
      </x:c>
      <x:c r="GN304">
        <x:f t="shared" si="365"/>
        <x:v>0</x:v>
      </x:c>
      <x:c r="GO304">
        <x:f t="shared" si="366"/>
        <x:v>0</x:v>
      </x:c>
      <x:c r="GP304">
        <x:f t="shared" si="367"/>
        <x:v>0</x:v>
      </x:c>
      <x:c r="GQ304">
        <x:f t="shared" si="368"/>
        <x:v>0</x:v>
      </x:c>
      <x:c r="GR304" s="42">
        <x:f t="shared" si="369"/>
        <x:v>0</x:v>
      </x:c>
      <x:c r="GS304">
        <x:f t="shared" si="370"/>
        <x:v>0</x:v>
      </x:c>
      <x:c r="GT304">
        <x:f t="shared" si="371"/>
        <x:v>0</x:v>
      </x:c>
      <x:c r="GU304">
        <x:f t="shared" si="372"/>
        <x:v>0</x:v>
      </x:c>
      <x:c r="GV304">
        <x:f t="shared" si="373"/>
        <x:v>0</x:v>
      </x:c>
      <x:c r="GW304">
        <x:f t="shared" si="374"/>
        <x:v>0</x:v>
      </x:c>
      <x:c r="GX304">
        <x:f t="shared" si="375"/>
        <x:v>0</x:v>
      </x:c>
      <x:c r="GY304">
        <x:f t="shared" si="376"/>
        <x:v>0</x:v>
      </x:c>
      <x:c r="GZ304">
        <x:f t="shared" si="377"/>
        <x:v>0</x:v>
      </x:c>
      <x:c r="HA304">
        <x:f t="shared" si="378"/>
        <x:v>0</x:v>
      </x:c>
      <x:c r="HB304" s="42">
        <x:f t="shared" si="379"/>
        <x:v>0</x:v>
      </x:c>
      <x:c r="HC304">
        <x:f t="shared" si="380"/>
        <x:v>0</x:v>
      </x:c>
      <x:c r="HD304">
        <x:f t="shared" si="381"/>
        <x:v>0</x:v>
      </x:c>
      <x:c r="HE304">
        <x:f t="shared" si="382"/>
        <x:v>0</x:v>
      </x:c>
      <x:c r="HF304">
        <x:f t="shared" si="383"/>
        <x:v>0</x:v>
      </x:c>
      <x:c r="HG304">
        <x:f t="shared" si="384"/>
        <x:v>0</x:v>
      </x:c>
      <x:c r="HH304">
        <x:f t="shared" si="385"/>
        <x:v>0</x:v>
      </x:c>
      <x:c r="HI304">
        <x:f t="shared" si="386"/>
        <x:v>0</x:v>
      </x:c>
      <x:c r="HJ304">
        <x:f t="shared" si="387"/>
        <x:v>0</x:v>
      </x:c>
      <x:c r="HK304">
        <x:f t="shared" si="388"/>
        <x:v>0</x:v>
      </x:c>
      <x:c r="HL304">
        <x:f t="shared" si="389"/>
        <x:v>0</x:v>
      </x:c>
    </x:row>
    <x:row r="305">
      <x:c r="D305" s="74"/>
      <x:c r="EQ305">
        <x:f t="shared" si="316"/>
        <x:v>0</x:v>
      </x:c>
      <x:c r="ER305">
        <x:f t="shared" si="317"/>
        <x:v>0</x:v>
      </x:c>
      <x:c r="ES305">
        <x:f t="shared" si="318"/>
        <x:v>0</x:v>
      </x:c>
      <x:c r="ET305">
        <x:f t="shared" si="319"/>
        <x:v>0</x:v>
      </x:c>
      <x:c r="EU305">
        <x:f t="shared" si="320"/>
        <x:v>0</x:v>
      </x:c>
      <x:c r="EV305">
        <x:f t="shared" si="321"/>
        <x:v>0</x:v>
      </x:c>
      <x:c r="EW305">
        <x:f t="shared" si="322"/>
        <x:v>0</x:v>
      </x:c>
      <x:c r="EX305">
        <x:f t="shared" si="323"/>
        <x:v>0</x:v>
      </x:c>
      <x:c r="EY305">
        <x:f t="shared" si="324"/>
        <x:v>0</x:v>
      </x:c>
      <x:c r="EZ305">
        <x:f t="shared" si="325"/>
        <x:v>0</x:v>
      </x:c>
      <x:c r="FA305" s="41">
        <x:f t="shared" si="326"/>
        <x:v>0</x:v>
      </x:c>
      <x:c r="FB305">
        <x:f t="shared" si="327"/>
        <x:v>0</x:v>
      </x:c>
      <x:c r="FC305">
        <x:f t="shared" si="328"/>
        <x:v>0</x:v>
      </x:c>
      <x:c r="FD305">
        <x:f t="shared" si="329"/>
        <x:v>0</x:v>
      </x:c>
      <x:c r="FE305">
        <x:f t="shared" si="330"/>
        <x:v>0</x:v>
      </x:c>
      <x:c r="FF305">
        <x:f t="shared" si="331"/>
        <x:v>0</x:v>
      </x:c>
      <x:c r="FG305">
        <x:f t="shared" si="332"/>
        <x:v>0</x:v>
      </x:c>
      <x:c r="FH305">
        <x:f t="shared" si="333"/>
        <x:v>0</x:v>
      </x:c>
      <x:c r="FI305">
        <x:f t="shared" si="334"/>
        <x:v>0</x:v>
      </x:c>
      <x:c r="FJ305">
        <x:f t="shared" si="335"/>
        <x:v>0</x:v>
      </x:c>
      <x:c r="FK305">
        <x:f t="shared" si="336"/>
        <x:v>0</x:v>
      </x:c>
      <x:c r="FL305" s="41">
        <x:f t="shared" si="337"/>
        <x:v>0</x:v>
      </x:c>
      <x:c r="FM305">
        <x:f t="shared" si="338"/>
        <x:v>0</x:v>
      </x:c>
      <x:c r="FN305">
        <x:f t="shared" si="339"/>
        <x:v>0</x:v>
      </x:c>
      <x:c r="FO305">
        <x:f t="shared" si="340"/>
        <x:v>0</x:v>
      </x:c>
      <x:c r="FP305">
        <x:f t="shared" si="341"/>
        <x:v>0</x:v>
      </x:c>
      <x:c r="FQ305">
        <x:f t="shared" si="342"/>
        <x:v>0</x:v>
      </x:c>
      <x:c r="FR305">
        <x:f t="shared" si="343"/>
        <x:v>0</x:v>
      </x:c>
      <x:c r="FS305">
        <x:f t="shared" si="344"/>
        <x:v>0</x:v>
      </x:c>
      <x:c r="FT305">
        <x:f t="shared" si="345"/>
        <x:v>0</x:v>
      </x:c>
      <x:c r="FU305">
        <x:f t="shared" si="346"/>
        <x:v>0</x:v>
      </x:c>
      <x:c r="FV305">
        <x:f t="shared" si="347"/>
        <x:v>0</x:v>
      </x:c>
      <x:c r="FW305" s="41">
        <x:f t="shared" si="348"/>
        <x:v>0</x:v>
      </x:c>
      <x:c r="FX305">
        <x:f t="shared" si="349"/>
        <x:v>0</x:v>
      </x:c>
      <x:c r="FY305">
        <x:f t="shared" si="350"/>
        <x:v>0</x:v>
      </x:c>
      <x:c r="FZ305">
        <x:f t="shared" si="351"/>
        <x:v>0</x:v>
      </x:c>
      <x:c r="GA305">
        <x:f t="shared" si="352"/>
        <x:v>0</x:v>
      </x:c>
      <x:c r="GB305">
        <x:f t="shared" si="353"/>
        <x:v>0</x:v>
      </x:c>
      <x:c r="GC305">
        <x:f t="shared" si="354"/>
        <x:v>0</x:v>
      </x:c>
      <x:c r="GD305">
        <x:f t="shared" si="355"/>
        <x:v>0</x:v>
      </x:c>
      <x:c r="GE305">
        <x:f t="shared" si="356"/>
        <x:v>0</x:v>
      </x:c>
      <x:c r="GF305">
        <x:f t="shared" si="357"/>
        <x:v>0</x:v>
      </x:c>
      <x:c r="GG305">
        <x:f t="shared" si="358"/>
        <x:v>0</x:v>
      </x:c>
      <x:c r="GH305">
        <x:f t="shared" si="359"/>
        <x:v>0</x:v>
      </x:c>
      <x:c r="GI305">
        <x:f t="shared" si="360"/>
        <x:v>0</x:v>
      </x:c>
      <x:c r="GJ305">
        <x:f t="shared" si="361"/>
        <x:v>0</x:v>
      </x:c>
      <x:c r="GK305">
        <x:f t="shared" si="362"/>
        <x:v>0</x:v>
      </x:c>
      <x:c r="GL305">
        <x:f t="shared" si="363"/>
        <x:v>0</x:v>
      </x:c>
      <x:c r="GM305">
        <x:f t="shared" si="364"/>
        <x:v>0</x:v>
      </x:c>
      <x:c r="GN305">
        <x:f t="shared" si="365"/>
        <x:v>0</x:v>
      </x:c>
      <x:c r="GO305">
        <x:f t="shared" si="366"/>
        <x:v>0</x:v>
      </x:c>
      <x:c r="GP305">
        <x:f t="shared" si="367"/>
        <x:v>0</x:v>
      </x:c>
      <x:c r="GQ305">
        <x:f t="shared" si="368"/>
        <x:v>0</x:v>
      </x:c>
      <x:c r="GR305" s="42">
        <x:f t="shared" si="369"/>
        <x:v>0</x:v>
      </x:c>
      <x:c r="GS305">
        <x:f t="shared" si="370"/>
        <x:v>0</x:v>
      </x:c>
      <x:c r="GT305">
        <x:f t="shared" si="371"/>
        <x:v>0</x:v>
      </x:c>
      <x:c r="GU305">
        <x:f t="shared" si="372"/>
        <x:v>0</x:v>
      </x:c>
      <x:c r="GV305">
        <x:f t="shared" si="373"/>
        <x:v>0</x:v>
      </x:c>
      <x:c r="GW305">
        <x:f t="shared" si="374"/>
        <x:v>0</x:v>
      </x:c>
      <x:c r="GX305">
        <x:f t="shared" si="375"/>
        <x:v>0</x:v>
      </x:c>
      <x:c r="GY305">
        <x:f t="shared" si="376"/>
        <x:v>0</x:v>
      </x:c>
      <x:c r="GZ305">
        <x:f t="shared" si="377"/>
        <x:v>0</x:v>
      </x:c>
      <x:c r="HA305">
        <x:f t="shared" si="378"/>
        <x:v>0</x:v>
      </x:c>
      <x:c r="HB305" s="42">
        <x:f t="shared" si="379"/>
        <x:v>0</x:v>
      </x:c>
      <x:c r="HC305">
        <x:f t="shared" si="380"/>
        <x:v>0</x:v>
      </x:c>
      <x:c r="HD305">
        <x:f t="shared" si="381"/>
        <x:v>0</x:v>
      </x:c>
      <x:c r="HE305">
        <x:f t="shared" si="382"/>
        <x:v>0</x:v>
      </x:c>
      <x:c r="HF305">
        <x:f t="shared" si="383"/>
        <x:v>0</x:v>
      </x:c>
      <x:c r="HG305">
        <x:f t="shared" si="384"/>
        <x:v>0</x:v>
      </x:c>
      <x:c r="HH305">
        <x:f t="shared" si="385"/>
        <x:v>0</x:v>
      </x:c>
      <x:c r="HI305">
        <x:f t="shared" si="386"/>
        <x:v>0</x:v>
      </x:c>
      <x:c r="HJ305">
        <x:f t="shared" si="387"/>
        <x:v>0</x:v>
      </x:c>
      <x:c r="HK305">
        <x:f t="shared" si="388"/>
        <x:v>0</x:v>
      </x:c>
      <x:c r="HL305">
        <x:f t="shared" si="389"/>
        <x:v>0</x:v>
      </x:c>
    </x:row>
    <x:row r="306">
      <x:c r="D306" s="74"/>
      <x:c r="EQ306">
        <x:f t="shared" si="316"/>
        <x:v>0</x:v>
      </x:c>
      <x:c r="ER306">
        <x:f t="shared" si="317"/>
        <x:v>0</x:v>
      </x:c>
      <x:c r="ES306">
        <x:f t="shared" si="318"/>
        <x:v>0</x:v>
      </x:c>
      <x:c r="ET306">
        <x:f t="shared" si="319"/>
        <x:v>0</x:v>
      </x:c>
      <x:c r="EU306">
        <x:f t="shared" si="320"/>
        <x:v>0</x:v>
      </x:c>
      <x:c r="EV306">
        <x:f t="shared" si="321"/>
        <x:v>0</x:v>
      </x:c>
      <x:c r="EW306">
        <x:f t="shared" si="322"/>
        <x:v>0</x:v>
      </x:c>
      <x:c r="EX306">
        <x:f t="shared" si="323"/>
        <x:v>0</x:v>
      </x:c>
      <x:c r="EY306">
        <x:f t="shared" si="324"/>
        <x:v>0</x:v>
      </x:c>
      <x:c r="EZ306">
        <x:f t="shared" si="325"/>
        <x:v>0</x:v>
      </x:c>
      <x:c r="FA306" s="41">
        <x:f t="shared" si="326"/>
        <x:v>0</x:v>
      </x:c>
      <x:c r="FB306">
        <x:f t="shared" si="327"/>
        <x:v>0</x:v>
      </x:c>
      <x:c r="FC306">
        <x:f t="shared" si="328"/>
        <x:v>0</x:v>
      </x:c>
      <x:c r="FD306">
        <x:f t="shared" si="329"/>
        <x:v>0</x:v>
      </x:c>
      <x:c r="FE306">
        <x:f t="shared" si="330"/>
        <x:v>0</x:v>
      </x:c>
      <x:c r="FF306">
        <x:f t="shared" si="331"/>
        <x:v>0</x:v>
      </x:c>
      <x:c r="FG306">
        <x:f t="shared" si="332"/>
        <x:v>0</x:v>
      </x:c>
      <x:c r="FH306">
        <x:f t="shared" si="333"/>
        <x:v>0</x:v>
      </x:c>
      <x:c r="FI306">
        <x:f t="shared" si="334"/>
        <x:v>0</x:v>
      </x:c>
      <x:c r="FJ306">
        <x:f t="shared" si="335"/>
        <x:v>0</x:v>
      </x:c>
      <x:c r="FK306">
        <x:f t="shared" si="336"/>
        <x:v>0</x:v>
      </x:c>
      <x:c r="FL306" s="41">
        <x:f t="shared" si="337"/>
        <x:v>0</x:v>
      </x:c>
      <x:c r="FM306">
        <x:f t="shared" si="338"/>
        <x:v>0</x:v>
      </x:c>
      <x:c r="FN306">
        <x:f t="shared" si="339"/>
        <x:v>0</x:v>
      </x:c>
      <x:c r="FO306">
        <x:f t="shared" si="340"/>
        <x:v>0</x:v>
      </x:c>
      <x:c r="FP306">
        <x:f t="shared" si="341"/>
        <x:v>0</x:v>
      </x:c>
      <x:c r="FQ306">
        <x:f t="shared" si="342"/>
        <x:v>0</x:v>
      </x:c>
      <x:c r="FR306">
        <x:f t="shared" si="343"/>
        <x:v>0</x:v>
      </x:c>
      <x:c r="FS306">
        <x:f t="shared" si="344"/>
        <x:v>0</x:v>
      </x:c>
      <x:c r="FT306">
        <x:f t="shared" si="345"/>
        <x:v>0</x:v>
      </x:c>
      <x:c r="FU306">
        <x:f t="shared" si="346"/>
        <x:v>0</x:v>
      </x:c>
      <x:c r="FV306">
        <x:f t="shared" si="347"/>
        <x:v>0</x:v>
      </x:c>
      <x:c r="FW306" s="41">
        <x:f t="shared" si="348"/>
        <x:v>0</x:v>
      </x:c>
      <x:c r="FX306">
        <x:f t="shared" si="349"/>
        <x:v>0</x:v>
      </x:c>
      <x:c r="FY306">
        <x:f t="shared" si="350"/>
        <x:v>0</x:v>
      </x:c>
      <x:c r="FZ306">
        <x:f t="shared" si="351"/>
        <x:v>0</x:v>
      </x:c>
      <x:c r="GA306">
        <x:f t="shared" si="352"/>
        <x:v>0</x:v>
      </x:c>
      <x:c r="GB306">
        <x:f t="shared" si="353"/>
        <x:v>0</x:v>
      </x:c>
      <x:c r="GC306">
        <x:f t="shared" si="354"/>
        <x:v>0</x:v>
      </x:c>
      <x:c r="GD306">
        <x:f t="shared" si="355"/>
        <x:v>0</x:v>
      </x:c>
      <x:c r="GE306">
        <x:f t="shared" si="356"/>
        <x:v>0</x:v>
      </x:c>
      <x:c r="GF306">
        <x:f t="shared" si="357"/>
        <x:v>0</x:v>
      </x:c>
      <x:c r="GG306">
        <x:f t="shared" si="358"/>
        <x:v>0</x:v>
      </x:c>
      <x:c r="GH306">
        <x:f t="shared" si="359"/>
        <x:v>0</x:v>
      </x:c>
      <x:c r="GI306">
        <x:f t="shared" si="360"/>
        <x:v>0</x:v>
      </x:c>
      <x:c r="GJ306">
        <x:f t="shared" si="361"/>
        <x:v>0</x:v>
      </x:c>
      <x:c r="GK306">
        <x:f t="shared" si="362"/>
        <x:v>0</x:v>
      </x:c>
      <x:c r="GL306">
        <x:f t="shared" si="363"/>
        <x:v>0</x:v>
      </x:c>
      <x:c r="GM306">
        <x:f t="shared" si="364"/>
        <x:v>0</x:v>
      </x:c>
      <x:c r="GN306">
        <x:f t="shared" si="365"/>
        <x:v>0</x:v>
      </x:c>
      <x:c r="GO306">
        <x:f t="shared" si="366"/>
        <x:v>0</x:v>
      </x:c>
      <x:c r="GP306">
        <x:f t="shared" si="367"/>
        <x:v>0</x:v>
      </x:c>
      <x:c r="GQ306">
        <x:f t="shared" si="368"/>
        <x:v>0</x:v>
      </x:c>
      <x:c r="GR306" s="42">
        <x:f t="shared" si="369"/>
        <x:v>0</x:v>
      </x:c>
      <x:c r="GS306">
        <x:f t="shared" si="370"/>
        <x:v>0</x:v>
      </x:c>
      <x:c r="GT306">
        <x:f t="shared" si="371"/>
        <x:v>0</x:v>
      </x:c>
      <x:c r="GU306">
        <x:f t="shared" si="372"/>
        <x:v>0</x:v>
      </x:c>
      <x:c r="GV306">
        <x:f t="shared" si="373"/>
        <x:v>0</x:v>
      </x:c>
      <x:c r="GW306">
        <x:f t="shared" si="374"/>
        <x:v>0</x:v>
      </x:c>
      <x:c r="GX306">
        <x:f t="shared" si="375"/>
        <x:v>0</x:v>
      </x:c>
      <x:c r="GY306">
        <x:f t="shared" si="376"/>
        <x:v>0</x:v>
      </x:c>
      <x:c r="GZ306">
        <x:f t="shared" si="377"/>
        <x:v>0</x:v>
      </x:c>
      <x:c r="HA306">
        <x:f t="shared" si="378"/>
        <x:v>0</x:v>
      </x:c>
      <x:c r="HB306" s="42">
        <x:f t="shared" si="379"/>
        <x:v>0</x:v>
      </x:c>
      <x:c r="HC306">
        <x:f t="shared" si="380"/>
        <x:v>0</x:v>
      </x:c>
      <x:c r="HD306">
        <x:f t="shared" si="381"/>
        <x:v>0</x:v>
      </x:c>
      <x:c r="HE306">
        <x:f t="shared" si="382"/>
        <x:v>0</x:v>
      </x:c>
      <x:c r="HF306">
        <x:f t="shared" si="383"/>
        <x:v>0</x:v>
      </x:c>
      <x:c r="HG306">
        <x:f t="shared" si="384"/>
        <x:v>0</x:v>
      </x:c>
      <x:c r="HH306">
        <x:f t="shared" si="385"/>
        <x:v>0</x:v>
      </x:c>
      <x:c r="HI306">
        <x:f t="shared" si="386"/>
        <x:v>0</x:v>
      </x:c>
      <x:c r="HJ306">
        <x:f t="shared" si="387"/>
        <x:v>0</x:v>
      </x:c>
      <x:c r="HK306">
        <x:f t="shared" si="388"/>
        <x:v>0</x:v>
      </x:c>
      <x:c r="HL306">
        <x:f t="shared" si="389"/>
        <x:v>0</x:v>
      </x:c>
    </x:row>
    <x:row r="307">
      <x:c r="D307" s="74"/>
      <x:c r="EQ307">
        <x:f t="shared" si="316"/>
        <x:v>0</x:v>
      </x:c>
      <x:c r="ER307">
        <x:f t="shared" si="317"/>
        <x:v>0</x:v>
      </x:c>
      <x:c r="ES307">
        <x:f t="shared" si="318"/>
        <x:v>0</x:v>
      </x:c>
      <x:c r="ET307">
        <x:f t="shared" si="319"/>
        <x:v>0</x:v>
      </x:c>
      <x:c r="EU307">
        <x:f t="shared" si="320"/>
        <x:v>0</x:v>
      </x:c>
      <x:c r="EV307">
        <x:f t="shared" si="321"/>
        <x:v>0</x:v>
      </x:c>
      <x:c r="EW307">
        <x:f t="shared" si="322"/>
        <x:v>0</x:v>
      </x:c>
      <x:c r="EX307">
        <x:f t="shared" si="323"/>
        <x:v>0</x:v>
      </x:c>
      <x:c r="EY307">
        <x:f t="shared" si="324"/>
        <x:v>0</x:v>
      </x:c>
      <x:c r="EZ307">
        <x:f t="shared" si="325"/>
        <x:v>0</x:v>
      </x:c>
      <x:c r="FA307" s="41">
        <x:f t="shared" si="326"/>
        <x:v>0</x:v>
      </x:c>
      <x:c r="FB307">
        <x:f t="shared" si="327"/>
        <x:v>0</x:v>
      </x:c>
      <x:c r="FC307">
        <x:f t="shared" si="328"/>
        <x:v>0</x:v>
      </x:c>
      <x:c r="FD307">
        <x:f t="shared" si="329"/>
        <x:v>0</x:v>
      </x:c>
      <x:c r="FE307">
        <x:f t="shared" si="330"/>
        <x:v>0</x:v>
      </x:c>
      <x:c r="FF307">
        <x:f t="shared" si="331"/>
        <x:v>0</x:v>
      </x:c>
      <x:c r="FG307">
        <x:f t="shared" si="332"/>
        <x:v>0</x:v>
      </x:c>
      <x:c r="FH307">
        <x:f t="shared" si="333"/>
        <x:v>0</x:v>
      </x:c>
      <x:c r="FI307">
        <x:f t="shared" si="334"/>
        <x:v>0</x:v>
      </x:c>
      <x:c r="FJ307">
        <x:f t="shared" si="335"/>
        <x:v>0</x:v>
      </x:c>
      <x:c r="FK307">
        <x:f t="shared" si="336"/>
        <x:v>0</x:v>
      </x:c>
      <x:c r="FL307" s="41">
        <x:f t="shared" si="337"/>
        <x:v>0</x:v>
      </x:c>
      <x:c r="FM307">
        <x:f t="shared" si="338"/>
        <x:v>0</x:v>
      </x:c>
      <x:c r="FN307">
        <x:f t="shared" si="339"/>
        <x:v>0</x:v>
      </x:c>
      <x:c r="FO307">
        <x:f t="shared" si="340"/>
        <x:v>0</x:v>
      </x:c>
      <x:c r="FP307">
        <x:f t="shared" si="341"/>
        <x:v>0</x:v>
      </x:c>
      <x:c r="FQ307">
        <x:f t="shared" si="342"/>
        <x:v>0</x:v>
      </x:c>
      <x:c r="FR307">
        <x:f t="shared" si="343"/>
        <x:v>0</x:v>
      </x:c>
      <x:c r="FS307">
        <x:f t="shared" si="344"/>
        <x:v>0</x:v>
      </x:c>
      <x:c r="FT307">
        <x:f t="shared" si="345"/>
        <x:v>0</x:v>
      </x:c>
      <x:c r="FU307">
        <x:f t="shared" si="346"/>
        <x:v>0</x:v>
      </x:c>
      <x:c r="FV307">
        <x:f t="shared" si="347"/>
        <x:v>0</x:v>
      </x:c>
      <x:c r="FW307" s="41">
        <x:f t="shared" si="348"/>
        <x:v>0</x:v>
      </x:c>
      <x:c r="FX307">
        <x:f t="shared" si="349"/>
        <x:v>0</x:v>
      </x:c>
      <x:c r="FY307">
        <x:f t="shared" si="350"/>
        <x:v>0</x:v>
      </x:c>
      <x:c r="FZ307">
        <x:f t="shared" si="351"/>
        <x:v>0</x:v>
      </x:c>
      <x:c r="GA307">
        <x:f t="shared" si="352"/>
        <x:v>0</x:v>
      </x:c>
      <x:c r="GB307">
        <x:f t="shared" si="353"/>
        <x:v>0</x:v>
      </x:c>
      <x:c r="GC307">
        <x:f t="shared" si="354"/>
        <x:v>0</x:v>
      </x:c>
      <x:c r="GD307">
        <x:f t="shared" si="355"/>
        <x:v>0</x:v>
      </x:c>
      <x:c r="GE307">
        <x:f t="shared" si="356"/>
        <x:v>0</x:v>
      </x:c>
      <x:c r="GF307">
        <x:f t="shared" si="357"/>
        <x:v>0</x:v>
      </x:c>
      <x:c r="GG307">
        <x:f t="shared" si="358"/>
        <x:v>0</x:v>
      </x:c>
      <x:c r="GH307">
        <x:f t="shared" si="359"/>
        <x:v>0</x:v>
      </x:c>
      <x:c r="GI307">
        <x:f t="shared" si="360"/>
        <x:v>0</x:v>
      </x:c>
      <x:c r="GJ307">
        <x:f t="shared" si="361"/>
        <x:v>0</x:v>
      </x:c>
      <x:c r="GK307">
        <x:f t="shared" si="362"/>
        <x:v>0</x:v>
      </x:c>
      <x:c r="GL307">
        <x:f t="shared" si="363"/>
        <x:v>0</x:v>
      </x:c>
      <x:c r="GM307">
        <x:f t="shared" si="364"/>
        <x:v>0</x:v>
      </x:c>
      <x:c r="GN307">
        <x:f t="shared" si="365"/>
        <x:v>0</x:v>
      </x:c>
      <x:c r="GO307">
        <x:f t="shared" si="366"/>
        <x:v>0</x:v>
      </x:c>
      <x:c r="GP307">
        <x:f t="shared" si="367"/>
        <x:v>0</x:v>
      </x:c>
      <x:c r="GQ307">
        <x:f t="shared" si="368"/>
        <x:v>0</x:v>
      </x:c>
      <x:c r="GR307" s="42">
        <x:f t="shared" si="369"/>
        <x:v>0</x:v>
      </x:c>
      <x:c r="GS307">
        <x:f t="shared" si="370"/>
        <x:v>0</x:v>
      </x:c>
      <x:c r="GT307">
        <x:f t="shared" si="371"/>
        <x:v>0</x:v>
      </x:c>
      <x:c r="GU307">
        <x:f t="shared" si="372"/>
        <x:v>0</x:v>
      </x:c>
      <x:c r="GV307">
        <x:f t="shared" si="373"/>
        <x:v>0</x:v>
      </x:c>
      <x:c r="GW307">
        <x:f t="shared" si="374"/>
        <x:v>0</x:v>
      </x:c>
      <x:c r="GX307">
        <x:f t="shared" si="375"/>
        <x:v>0</x:v>
      </x:c>
      <x:c r="GY307">
        <x:f t="shared" si="376"/>
        <x:v>0</x:v>
      </x:c>
      <x:c r="GZ307">
        <x:f t="shared" si="377"/>
        <x:v>0</x:v>
      </x:c>
      <x:c r="HA307">
        <x:f t="shared" si="378"/>
        <x:v>0</x:v>
      </x:c>
      <x:c r="HB307" s="42">
        <x:f t="shared" si="379"/>
        <x:v>0</x:v>
      </x:c>
      <x:c r="HC307">
        <x:f t="shared" si="380"/>
        <x:v>0</x:v>
      </x:c>
      <x:c r="HD307">
        <x:f t="shared" si="381"/>
        <x:v>0</x:v>
      </x:c>
      <x:c r="HE307">
        <x:f t="shared" si="382"/>
        <x:v>0</x:v>
      </x:c>
      <x:c r="HF307">
        <x:f t="shared" si="383"/>
        <x:v>0</x:v>
      </x:c>
      <x:c r="HG307">
        <x:f t="shared" si="384"/>
        <x:v>0</x:v>
      </x:c>
      <x:c r="HH307">
        <x:f t="shared" si="385"/>
        <x:v>0</x:v>
      </x:c>
      <x:c r="HI307">
        <x:f t="shared" si="386"/>
        <x:v>0</x:v>
      </x:c>
      <x:c r="HJ307">
        <x:f t="shared" si="387"/>
        <x:v>0</x:v>
      </x:c>
      <x:c r="HK307">
        <x:f t="shared" si="388"/>
        <x:v>0</x:v>
      </x:c>
      <x:c r="HL307">
        <x:f t="shared" si="389"/>
        <x:v>0</x:v>
      </x:c>
    </x:row>
    <x:row r="308">
      <x:c r="D308" s="74"/>
      <x:c r="EQ308">
        <x:f t="shared" si="316"/>
        <x:v>0</x:v>
      </x:c>
      <x:c r="ER308">
        <x:f t="shared" si="317"/>
        <x:v>0</x:v>
      </x:c>
      <x:c r="ES308">
        <x:f t="shared" si="318"/>
        <x:v>0</x:v>
      </x:c>
      <x:c r="ET308">
        <x:f t="shared" si="319"/>
        <x:v>0</x:v>
      </x:c>
      <x:c r="EU308">
        <x:f t="shared" si="320"/>
        <x:v>0</x:v>
      </x:c>
      <x:c r="EV308">
        <x:f t="shared" si="321"/>
        <x:v>0</x:v>
      </x:c>
      <x:c r="EW308">
        <x:f t="shared" si="322"/>
        <x:v>0</x:v>
      </x:c>
      <x:c r="EX308">
        <x:f t="shared" si="323"/>
        <x:v>0</x:v>
      </x:c>
      <x:c r="EY308">
        <x:f t="shared" si="324"/>
        <x:v>0</x:v>
      </x:c>
      <x:c r="EZ308">
        <x:f t="shared" si="325"/>
        <x:v>0</x:v>
      </x:c>
      <x:c r="FA308" s="41">
        <x:f t="shared" si="326"/>
        <x:v>0</x:v>
      </x:c>
      <x:c r="FB308">
        <x:f t="shared" si="327"/>
        <x:v>0</x:v>
      </x:c>
      <x:c r="FC308">
        <x:f t="shared" si="328"/>
        <x:v>0</x:v>
      </x:c>
      <x:c r="FD308">
        <x:f t="shared" si="329"/>
        <x:v>0</x:v>
      </x:c>
      <x:c r="FE308">
        <x:f t="shared" si="330"/>
        <x:v>0</x:v>
      </x:c>
      <x:c r="FF308">
        <x:f t="shared" si="331"/>
        <x:v>0</x:v>
      </x:c>
      <x:c r="FG308">
        <x:f t="shared" si="332"/>
        <x:v>0</x:v>
      </x:c>
      <x:c r="FH308">
        <x:f t="shared" si="333"/>
        <x:v>0</x:v>
      </x:c>
      <x:c r="FI308">
        <x:f t="shared" si="334"/>
        <x:v>0</x:v>
      </x:c>
      <x:c r="FJ308">
        <x:f t="shared" si="335"/>
        <x:v>0</x:v>
      </x:c>
      <x:c r="FK308">
        <x:f t="shared" si="336"/>
        <x:v>0</x:v>
      </x:c>
      <x:c r="FL308" s="41">
        <x:f t="shared" si="337"/>
        <x:v>0</x:v>
      </x:c>
      <x:c r="FM308">
        <x:f t="shared" si="338"/>
        <x:v>0</x:v>
      </x:c>
      <x:c r="FN308">
        <x:f t="shared" si="339"/>
        <x:v>0</x:v>
      </x:c>
      <x:c r="FO308">
        <x:f t="shared" si="340"/>
        <x:v>0</x:v>
      </x:c>
      <x:c r="FP308">
        <x:f t="shared" si="341"/>
        <x:v>0</x:v>
      </x:c>
      <x:c r="FQ308">
        <x:f t="shared" si="342"/>
        <x:v>0</x:v>
      </x:c>
      <x:c r="FR308">
        <x:f t="shared" si="343"/>
        <x:v>0</x:v>
      </x:c>
      <x:c r="FS308">
        <x:f t="shared" si="344"/>
        <x:v>0</x:v>
      </x:c>
      <x:c r="FT308">
        <x:f t="shared" si="345"/>
        <x:v>0</x:v>
      </x:c>
      <x:c r="FU308">
        <x:f t="shared" si="346"/>
        <x:v>0</x:v>
      </x:c>
      <x:c r="FV308">
        <x:f t="shared" si="347"/>
        <x:v>0</x:v>
      </x:c>
      <x:c r="FW308" s="41">
        <x:f t="shared" si="348"/>
        <x:v>0</x:v>
      </x:c>
      <x:c r="FX308">
        <x:f t="shared" si="349"/>
        <x:v>0</x:v>
      </x:c>
      <x:c r="FY308">
        <x:f t="shared" si="350"/>
        <x:v>0</x:v>
      </x:c>
      <x:c r="FZ308">
        <x:f t="shared" si="351"/>
        <x:v>0</x:v>
      </x:c>
      <x:c r="GA308">
        <x:f t="shared" si="352"/>
        <x:v>0</x:v>
      </x:c>
      <x:c r="GB308">
        <x:f t="shared" si="353"/>
        <x:v>0</x:v>
      </x:c>
      <x:c r="GC308">
        <x:f t="shared" si="354"/>
        <x:v>0</x:v>
      </x:c>
      <x:c r="GD308">
        <x:f t="shared" si="355"/>
        <x:v>0</x:v>
      </x:c>
      <x:c r="GE308">
        <x:f t="shared" si="356"/>
        <x:v>0</x:v>
      </x:c>
      <x:c r="GF308">
        <x:f t="shared" si="357"/>
        <x:v>0</x:v>
      </x:c>
      <x:c r="GG308">
        <x:f t="shared" si="358"/>
        <x:v>0</x:v>
      </x:c>
      <x:c r="GH308">
        <x:f t="shared" si="359"/>
        <x:v>0</x:v>
      </x:c>
      <x:c r="GI308">
        <x:f t="shared" si="360"/>
        <x:v>0</x:v>
      </x:c>
      <x:c r="GJ308">
        <x:f t="shared" si="361"/>
        <x:v>0</x:v>
      </x:c>
      <x:c r="GK308">
        <x:f t="shared" si="362"/>
        <x:v>0</x:v>
      </x:c>
      <x:c r="GL308">
        <x:f t="shared" si="363"/>
        <x:v>0</x:v>
      </x:c>
      <x:c r="GM308">
        <x:f t="shared" si="364"/>
        <x:v>0</x:v>
      </x:c>
      <x:c r="GN308">
        <x:f t="shared" si="365"/>
        <x:v>0</x:v>
      </x:c>
      <x:c r="GO308">
        <x:f t="shared" si="366"/>
        <x:v>0</x:v>
      </x:c>
      <x:c r="GP308">
        <x:f t="shared" si="367"/>
        <x:v>0</x:v>
      </x:c>
      <x:c r="GQ308">
        <x:f t="shared" si="368"/>
        <x:v>0</x:v>
      </x:c>
      <x:c r="GR308" s="42">
        <x:f t="shared" si="369"/>
        <x:v>0</x:v>
      </x:c>
      <x:c r="GS308">
        <x:f t="shared" si="370"/>
        <x:v>0</x:v>
      </x:c>
      <x:c r="GT308">
        <x:f t="shared" si="371"/>
        <x:v>0</x:v>
      </x:c>
      <x:c r="GU308">
        <x:f t="shared" si="372"/>
        <x:v>0</x:v>
      </x:c>
      <x:c r="GV308">
        <x:f t="shared" si="373"/>
        <x:v>0</x:v>
      </x:c>
      <x:c r="GW308">
        <x:f t="shared" si="374"/>
        <x:v>0</x:v>
      </x:c>
      <x:c r="GX308">
        <x:f t="shared" si="375"/>
        <x:v>0</x:v>
      </x:c>
      <x:c r="GY308">
        <x:f t="shared" si="376"/>
        <x:v>0</x:v>
      </x:c>
      <x:c r="GZ308">
        <x:f t="shared" si="377"/>
        <x:v>0</x:v>
      </x:c>
      <x:c r="HA308">
        <x:f t="shared" si="378"/>
        <x:v>0</x:v>
      </x:c>
      <x:c r="HB308" s="42">
        <x:f t="shared" si="379"/>
        <x:v>0</x:v>
      </x:c>
      <x:c r="HC308">
        <x:f t="shared" si="380"/>
        <x:v>0</x:v>
      </x:c>
      <x:c r="HD308">
        <x:f t="shared" si="381"/>
        <x:v>0</x:v>
      </x:c>
      <x:c r="HE308">
        <x:f t="shared" si="382"/>
        <x:v>0</x:v>
      </x:c>
      <x:c r="HF308">
        <x:f t="shared" si="383"/>
        <x:v>0</x:v>
      </x:c>
      <x:c r="HG308">
        <x:f t="shared" si="384"/>
        <x:v>0</x:v>
      </x:c>
      <x:c r="HH308">
        <x:f t="shared" si="385"/>
        <x:v>0</x:v>
      </x:c>
      <x:c r="HI308">
        <x:f t="shared" si="386"/>
        <x:v>0</x:v>
      </x:c>
      <x:c r="HJ308">
        <x:f t="shared" si="387"/>
        <x:v>0</x:v>
      </x:c>
      <x:c r="HK308">
        <x:f t="shared" si="388"/>
        <x:v>0</x:v>
      </x:c>
      <x:c r="HL308">
        <x:f t="shared" si="389"/>
        <x:v>0</x:v>
      </x:c>
    </x:row>
    <x:row r="309">
      <x:c r="D309" s="74"/>
      <x:c r="EQ309">
        <x:f t="shared" si="316"/>
        <x:v>0</x:v>
      </x:c>
      <x:c r="ER309">
        <x:f t="shared" si="317"/>
        <x:v>0</x:v>
      </x:c>
      <x:c r="ES309">
        <x:f t="shared" si="318"/>
        <x:v>0</x:v>
      </x:c>
      <x:c r="ET309">
        <x:f t="shared" si="319"/>
        <x:v>0</x:v>
      </x:c>
      <x:c r="EU309">
        <x:f t="shared" si="320"/>
        <x:v>0</x:v>
      </x:c>
      <x:c r="EV309">
        <x:f t="shared" si="321"/>
        <x:v>0</x:v>
      </x:c>
      <x:c r="EW309">
        <x:f t="shared" si="322"/>
        <x:v>0</x:v>
      </x:c>
      <x:c r="EX309">
        <x:f t="shared" si="323"/>
        <x:v>0</x:v>
      </x:c>
      <x:c r="EY309">
        <x:f t="shared" si="324"/>
        <x:v>0</x:v>
      </x:c>
      <x:c r="EZ309">
        <x:f t="shared" si="325"/>
        <x:v>0</x:v>
      </x:c>
      <x:c r="FA309" s="41">
        <x:f t="shared" si="326"/>
        <x:v>0</x:v>
      </x:c>
      <x:c r="FB309">
        <x:f t="shared" si="327"/>
        <x:v>0</x:v>
      </x:c>
      <x:c r="FC309">
        <x:f t="shared" si="328"/>
        <x:v>0</x:v>
      </x:c>
      <x:c r="FD309">
        <x:f t="shared" si="329"/>
        <x:v>0</x:v>
      </x:c>
      <x:c r="FE309">
        <x:f t="shared" si="330"/>
        <x:v>0</x:v>
      </x:c>
      <x:c r="FF309">
        <x:f t="shared" si="331"/>
        <x:v>0</x:v>
      </x:c>
      <x:c r="FG309">
        <x:f t="shared" si="332"/>
        <x:v>0</x:v>
      </x:c>
      <x:c r="FH309">
        <x:f t="shared" si="333"/>
        <x:v>0</x:v>
      </x:c>
      <x:c r="FI309">
        <x:f t="shared" si="334"/>
        <x:v>0</x:v>
      </x:c>
      <x:c r="FJ309">
        <x:f t="shared" si="335"/>
        <x:v>0</x:v>
      </x:c>
      <x:c r="FK309">
        <x:f t="shared" si="336"/>
        <x:v>0</x:v>
      </x:c>
      <x:c r="FL309" s="41">
        <x:f t="shared" si="337"/>
        <x:v>0</x:v>
      </x:c>
      <x:c r="FM309">
        <x:f t="shared" si="338"/>
        <x:v>0</x:v>
      </x:c>
      <x:c r="FN309">
        <x:f t="shared" si="339"/>
        <x:v>0</x:v>
      </x:c>
      <x:c r="FO309">
        <x:f t="shared" si="340"/>
        <x:v>0</x:v>
      </x:c>
      <x:c r="FP309">
        <x:f t="shared" si="341"/>
        <x:v>0</x:v>
      </x:c>
      <x:c r="FQ309">
        <x:f t="shared" si="342"/>
        <x:v>0</x:v>
      </x:c>
      <x:c r="FR309">
        <x:f t="shared" si="343"/>
        <x:v>0</x:v>
      </x:c>
      <x:c r="FS309">
        <x:f t="shared" si="344"/>
        <x:v>0</x:v>
      </x:c>
      <x:c r="FT309">
        <x:f t="shared" si="345"/>
        <x:v>0</x:v>
      </x:c>
      <x:c r="FU309">
        <x:f t="shared" si="346"/>
        <x:v>0</x:v>
      </x:c>
      <x:c r="FV309">
        <x:f t="shared" si="347"/>
        <x:v>0</x:v>
      </x:c>
      <x:c r="FW309" s="41">
        <x:f t="shared" si="348"/>
        <x:v>0</x:v>
      </x:c>
      <x:c r="FX309">
        <x:f t="shared" si="349"/>
        <x:v>0</x:v>
      </x:c>
      <x:c r="FY309">
        <x:f t="shared" si="350"/>
        <x:v>0</x:v>
      </x:c>
      <x:c r="FZ309">
        <x:f t="shared" si="351"/>
        <x:v>0</x:v>
      </x:c>
      <x:c r="GA309">
        <x:f t="shared" si="352"/>
        <x:v>0</x:v>
      </x:c>
      <x:c r="GB309">
        <x:f t="shared" si="353"/>
        <x:v>0</x:v>
      </x:c>
      <x:c r="GC309">
        <x:f t="shared" si="354"/>
        <x:v>0</x:v>
      </x:c>
      <x:c r="GD309">
        <x:f t="shared" si="355"/>
        <x:v>0</x:v>
      </x:c>
      <x:c r="GE309">
        <x:f t="shared" si="356"/>
        <x:v>0</x:v>
      </x:c>
      <x:c r="GF309">
        <x:f t="shared" si="357"/>
        <x:v>0</x:v>
      </x:c>
      <x:c r="GG309">
        <x:f t="shared" si="358"/>
        <x:v>0</x:v>
      </x:c>
      <x:c r="GH309">
        <x:f t="shared" si="359"/>
        <x:v>0</x:v>
      </x:c>
      <x:c r="GI309">
        <x:f t="shared" si="360"/>
        <x:v>0</x:v>
      </x:c>
      <x:c r="GJ309">
        <x:f t="shared" si="361"/>
        <x:v>0</x:v>
      </x:c>
      <x:c r="GK309">
        <x:f t="shared" si="362"/>
        <x:v>0</x:v>
      </x:c>
      <x:c r="GL309">
        <x:f t="shared" si="363"/>
        <x:v>0</x:v>
      </x:c>
      <x:c r="GM309">
        <x:f t="shared" si="364"/>
        <x:v>0</x:v>
      </x:c>
      <x:c r="GN309">
        <x:f t="shared" si="365"/>
        <x:v>0</x:v>
      </x:c>
      <x:c r="GO309">
        <x:f t="shared" si="366"/>
        <x:v>0</x:v>
      </x:c>
      <x:c r="GP309">
        <x:f t="shared" si="367"/>
        <x:v>0</x:v>
      </x:c>
      <x:c r="GQ309">
        <x:f t="shared" si="368"/>
        <x:v>0</x:v>
      </x:c>
      <x:c r="GR309" s="42">
        <x:f t="shared" si="369"/>
        <x:v>0</x:v>
      </x:c>
      <x:c r="GS309">
        <x:f t="shared" si="370"/>
        <x:v>0</x:v>
      </x:c>
      <x:c r="GT309">
        <x:f t="shared" si="371"/>
        <x:v>0</x:v>
      </x:c>
      <x:c r="GU309">
        <x:f t="shared" si="372"/>
        <x:v>0</x:v>
      </x:c>
      <x:c r="GV309">
        <x:f t="shared" si="373"/>
        <x:v>0</x:v>
      </x:c>
      <x:c r="GW309">
        <x:f t="shared" si="374"/>
        <x:v>0</x:v>
      </x:c>
      <x:c r="GX309">
        <x:f t="shared" si="375"/>
        <x:v>0</x:v>
      </x:c>
      <x:c r="GY309">
        <x:f t="shared" si="376"/>
        <x:v>0</x:v>
      </x:c>
      <x:c r="GZ309">
        <x:f t="shared" si="377"/>
        <x:v>0</x:v>
      </x:c>
      <x:c r="HA309">
        <x:f t="shared" si="378"/>
        <x:v>0</x:v>
      </x:c>
      <x:c r="HB309" s="42">
        <x:f t="shared" si="379"/>
        <x:v>0</x:v>
      </x:c>
      <x:c r="HC309">
        <x:f t="shared" si="380"/>
        <x:v>0</x:v>
      </x:c>
      <x:c r="HD309">
        <x:f t="shared" si="381"/>
        <x:v>0</x:v>
      </x:c>
      <x:c r="HE309">
        <x:f t="shared" si="382"/>
        <x:v>0</x:v>
      </x:c>
      <x:c r="HF309">
        <x:f t="shared" si="383"/>
        <x:v>0</x:v>
      </x:c>
      <x:c r="HG309">
        <x:f t="shared" si="384"/>
        <x:v>0</x:v>
      </x:c>
      <x:c r="HH309">
        <x:f t="shared" si="385"/>
        <x:v>0</x:v>
      </x:c>
      <x:c r="HI309">
        <x:f t="shared" si="386"/>
        <x:v>0</x:v>
      </x:c>
      <x:c r="HJ309">
        <x:f t="shared" si="387"/>
        <x:v>0</x:v>
      </x:c>
      <x:c r="HK309">
        <x:f t="shared" si="388"/>
        <x:v>0</x:v>
      </x:c>
      <x:c r="HL309">
        <x:f t="shared" si="389"/>
        <x:v>0</x:v>
      </x:c>
    </x:row>
    <x:row r="310">
      <x:c r="D310" s="74"/>
      <x:c r="EQ310">
        <x:f t="shared" si="316"/>
        <x:v>0</x:v>
      </x:c>
      <x:c r="ER310">
        <x:f t="shared" si="317"/>
        <x:v>0</x:v>
      </x:c>
      <x:c r="ES310">
        <x:f t="shared" si="318"/>
        <x:v>0</x:v>
      </x:c>
      <x:c r="ET310">
        <x:f t="shared" si="319"/>
        <x:v>0</x:v>
      </x:c>
      <x:c r="EU310">
        <x:f t="shared" si="320"/>
        <x:v>0</x:v>
      </x:c>
      <x:c r="EV310">
        <x:f t="shared" si="321"/>
        <x:v>0</x:v>
      </x:c>
      <x:c r="EW310">
        <x:f t="shared" si="322"/>
        <x:v>0</x:v>
      </x:c>
      <x:c r="EX310">
        <x:f t="shared" si="323"/>
        <x:v>0</x:v>
      </x:c>
      <x:c r="EY310">
        <x:f t="shared" si="324"/>
        <x:v>0</x:v>
      </x:c>
      <x:c r="EZ310">
        <x:f t="shared" si="325"/>
        <x:v>0</x:v>
      </x:c>
      <x:c r="FA310" s="41">
        <x:f t="shared" si="326"/>
        <x:v>0</x:v>
      </x:c>
      <x:c r="FB310">
        <x:f t="shared" si="327"/>
        <x:v>0</x:v>
      </x:c>
      <x:c r="FC310">
        <x:f t="shared" si="328"/>
        <x:v>0</x:v>
      </x:c>
      <x:c r="FD310">
        <x:f t="shared" si="329"/>
        <x:v>0</x:v>
      </x:c>
      <x:c r="FE310">
        <x:f t="shared" si="330"/>
        <x:v>0</x:v>
      </x:c>
      <x:c r="FF310">
        <x:f t="shared" si="331"/>
        <x:v>0</x:v>
      </x:c>
      <x:c r="FG310">
        <x:f t="shared" si="332"/>
        <x:v>0</x:v>
      </x:c>
      <x:c r="FH310">
        <x:f t="shared" si="333"/>
        <x:v>0</x:v>
      </x:c>
      <x:c r="FI310">
        <x:f t="shared" si="334"/>
        <x:v>0</x:v>
      </x:c>
      <x:c r="FJ310">
        <x:f t="shared" si="335"/>
        <x:v>0</x:v>
      </x:c>
      <x:c r="FK310">
        <x:f t="shared" si="336"/>
        <x:v>0</x:v>
      </x:c>
      <x:c r="FL310" s="41">
        <x:f t="shared" si="337"/>
        <x:v>0</x:v>
      </x:c>
      <x:c r="FM310">
        <x:f t="shared" si="338"/>
        <x:v>0</x:v>
      </x:c>
      <x:c r="FN310">
        <x:f t="shared" si="339"/>
        <x:v>0</x:v>
      </x:c>
      <x:c r="FO310">
        <x:f t="shared" si="340"/>
        <x:v>0</x:v>
      </x:c>
      <x:c r="FP310">
        <x:f t="shared" si="341"/>
        <x:v>0</x:v>
      </x:c>
      <x:c r="FQ310">
        <x:f t="shared" si="342"/>
        <x:v>0</x:v>
      </x:c>
      <x:c r="FR310">
        <x:f t="shared" si="343"/>
        <x:v>0</x:v>
      </x:c>
      <x:c r="FS310">
        <x:f t="shared" si="344"/>
        <x:v>0</x:v>
      </x:c>
      <x:c r="FT310">
        <x:f t="shared" si="345"/>
        <x:v>0</x:v>
      </x:c>
      <x:c r="FU310">
        <x:f t="shared" si="346"/>
        <x:v>0</x:v>
      </x:c>
      <x:c r="FV310">
        <x:f t="shared" si="347"/>
        <x:v>0</x:v>
      </x:c>
      <x:c r="FW310" s="41">
        <x:f t="shared" si="348"/>
        <x:v>0</x:v>
      </x:c>
      <x:c r="FX310">
        <x:f t="shared" si="349"/>
        <x:v>0</x:v>
      </x:c>
      <x:c r="FY310">
        <x:f t="shared" si="350"/>
        <x:v>0</x:v>
      </x:c>
      <x:c r="FZ310">
        <x:f t="shared" si="351"/>
        <x:v>0</x:v>
      </x:c>
      <x:c r="GA310">
        <x:f t="shared" si="352"/>
        <x:v>0</x:v>
      </x:c>
      <x:c r="GB310">
        <x:f t="shared" si="353"/>
        <x:v>0</x:v>
      </x:c>
      <x:c r="GC310">
        <x:f t="shared" si="354"/>
        <x:v>0</x:v>
      </x:c>
      <x:c r="GD310">
        <x:f t="shared" si="355"/>
        <x:v>0</x:v>
      </x:c>
      <x:c r="GE310">
        <x:f t="shared" si="356"/>
        <x:v>0</x:v>
      </x:c>
      <x:c r="GF310">
        <x:f t="shared" si="357"/>
        <x:v>0</x:v>
      </x:c>
      <x:c r="GG310">
        <x:f t="shared" si="358"/>
        <x:v>0</x:v>
      </x:c>
      <x:c r="GH310">
        <x:f t="shared" si="359"/>
        <x:v>0</x:v>
      </x:c>
      <x:c r="GI310">
        <x:f t="shared" si="360"/>
        <x:v>0</x:v>
      </x:c>
      <x:c r="GJ310">
        <x:f t="shared" si="361"/>
        <x:v>0</x:v>
      </x:c>
      <x:c r="GK310">
        <x:f t="shared" si="362"/>
        <x:v>0</x:v>
      </x:c>
      <x:c r="GL310">
        <x:f t="shared" si="363"/>
        <x:v>0</x:v>
      </x:c>
      <x:c r="GM310">
        <x:f t="shared" si="364"/>
        <x:v>0</x:v>
      </x:c>
      <x:c r="GN310">
        <x:f t="shared" si="365"/>
        <x:v>0</x:v>
      </x:c>
      <x:c r="GO310">
        <x:f t="shared" si="366"/>
        <x:v>0</x:v>
      </x:c>
      <x:c r="GP310">
        <x:f t="shared" si="367"/>
        <x:v>0</x:v>
      </x:c>
      <x:c r="GQ310">
        <x:f t="shared" si="368"/>
        <x:v>0</x:v>
      </x:c>
      <x:c r="GR310" s="42">
        <x:f t="shared" si="369"/>
        <x:v>0</x:v>
      </x:c>
      <x:c r="GS310">
        <x:f t="shared" si="370"/>
        <x:v>0</x:v>
      </x:c>
      <x:c r="GT310">
        <x:f t="shared" si="371"/>
        <x:v>0</x:v>
      </x:c>
      <x:c r="GU310">
        <x:f t="shared" si="372"/>
        <x:v>0</x:v>
      </x:c>
      <x:c r="GV310">
        <x:f t="shared" si="373"/>
        <x:v>0</x:v>
      </x:c>
      <x:c r="GW310">
        <x:f t="shared" si="374"/>
        <x:v>0</x:v>
      </x:c>
      <x:c r="GX310">
        <x:f t="shared" si="375"/>
        <x:v>0</x:v>
      </x:c>
      <x:c r="GY310">
        <x:f t="shared" si="376"/>
        <x:v>0</x:v>
      </x:c>
      <x:c r="GZ310">
        <x:f t="shared" si="377"/>
        <x:v>0</x:v>
      </x:c>
      <x:c r="HA310">
        <x:f t="shared" si="378"/>
        <x:v>0</x:v>
      </x:c>
      <x:c r="HB310" s="42">
        <x:f t="shared" si="379"/>
        <x:v>0</x:v>
      </x:c>
      <x:c r="HC310">
        <x:f t="shared" si="380"/>
        <x:v>0</x:v>
      </x:c>
      <x:c r="HD310">
        <x:f t="shared" si="381"/>
        <x:v>0</x:v>
      </x:c>
      <x:c r="HE310">
        <x:f t="shared" si="382"/>
        <x:v>0</x:v>
      </x:c>
      <x:c r="HF310">
        <x:f t="shared" si="383"/>
        <x:v>0</x:v>
      </x:c>
      <x:c r="HG310">
        <x:f t="shared" si="384"/>
        <x:v>0</x:v>
      </x:c>
      <x:c r="HH310">
        <x:f t="shared" si="385"/>
        <x:v>0</x:v>
      </x:c>
      <x:c r="HI310">
        <x:f t="shared" si="386"/>
        <x:v>0</x:v>
      </x:c>
      <x:c r="HJ310">
        <x:f t="shared" si="387"/>
        <x:v>0</x:v>
      </x:c>
      <x:c r="HK310">
        <x:f t="shared" si="388"/>
        <x:v>0</x:v>
      </x:c>
      <x:c r="HL310">
        <x:f t="shared" si="389"/>
        <x:v>0</x:v>
      </x:c>
    </x:row>
    <x:row r="311">
      <x:c r="D311" s="74"/>
      <x:c r="EQ311">
        <x:f t="shared" si="316"/>
        <x:v>0</x:v>
      </x:c>
      <x:c r="ER311">
        <x:f t="shared" si="317"/>
        <x:v>0</x:v>
      </x:c>
      <x:c r="ES311">
        <x:f t="shared" si="318"/>
        <x:v>0</x:v>
      </x:c>
      <x:c r="ET311">
        <x:f t="shared" si="319"/>
        <x:v>0</x:v>
      </x:c>
      <x:c r="EU311">
        <x:f t="shared" si="320"/>
        <x:v>0</x:v>
      </x:c>
      <x:c r="EV311">
        <x:f t="shared" si="321"/>
        <x:v>0</x:v>
      </x:c>
      <x:c r="EW311">
        <x:f t="shared" si="322"/>
        <x:v>0</x:v>
      </x:c>
      <x:c r="EX311">
        <x:f t="shared" si="323"/>
        <x:v>0</x:v>
      </x:c>
      <x:c r="EY311">
        <x:f t="shared" si="324"/>
        <x:v>0</x:v>
      </x:c>
      <x:c r="EZ311">
        <x:f t="shared" si="325"/>
        <x:v>0</x:v>
      </x:c>
      <x:c r="FA311" s="41">
        <x:f t="shared" si="326"/>
        <x:v>0</x:v>
      </x:c>
      <x:c r="FB311">
        <x:f t="shared" si="327"/>
        <x:v>0</x:v>
      </x:c>
      <x:c r="FC311">
        <x:f t="shared" si="328"/>
        <x:v>0</x:v>
      </x:c>
      <x:c r="FD311">
        <x:f t="shared" si="329"/>
        <x:v>0</x:v>
      </x:c>
      <x:c r="FE311">
        <x:f t="shared" si="330"/>
        <x:v>0</x:v>
      </x:c>
      <x:c r="FF311">
        <x:f t="shared" si="331"/>
        <x:v>0</x:v>
      </x:c>
      <x:c r="FG311">
        <x:f t="shared" si="332"/>
        <x:v>0</x:v>
      </x:c>
      <x:c r="FH311">
        <x:f t="shared" si="333"/>
        <x:v>0</x:v>
      </x:c>
      <x:c r="FI311">
        <x:f t="shared" si="334"/>
        <x:v>0</x:v>
      </x:c>
      <x:c r="FJ311">
        <x:f t="shared" si="335"/>
        <x:v>0</x:v>
      </x:c>
      <x:c r="FK311">
        <x:f t="shared" si="336"/>
        <x:v>0</x:v>
      </x:c>
      <x:c r="FL311" s="41">
        <x:f t="shared" si="337"/>
        <x:v>0</x:v>
      </x:c>
      <x:c r="FM311">
        <x:f t="shared" si="338"/>
        <x:v>0</x:v>
      </x:c>
      <x:c r="FN311">
        <x:f t="shared" si="339"/>
        <x:v>0</x:v>
      </x:c>
      <x:c r="FO311">
        <x:f t="shared" si="340"/>
        <x:v>0</x:v>
      </x:c>
      <x:c r="FP311">
        <x:f t="shared" si="341"/>
        <x:v>0</x:v>
      </x:c>
      <x:c r="FQ311">
        <x:f t="shared" si="342"/>
        <x:v>0</x:v>
      </x:c>
      <x:c r="FR311">
        <x:f t="shared" si="343"/>
        <x:v>0</x:v>
      </x:c>
      <x:c r="FS311">
        <x:f t="shared" si="344"/>
        <x:v>0</x:v>
      </x:c>
      <x:c r="FT311">
        <x:f t="shared" si="345"/>
        <x:v>0</x:v>
      </x:c>
      <x:c r="FU311">
        <x:f t="shared" si="346"/>
        <x:v>0</x:v>
      </x:c>
      <x:c r="FV311">
        <x:f t="shared" si="347"/>
        <x:v>0</x:v>
      </x:c>
      <x:c r="FW311" s="41">
        <x:f t="shared" si="348"/>
        <x:v>0</x:v>
      </x:c>
      <x:c r="FX311">
        <x:f t="shared" si="349"/>
        <x:v>0</x:v>
      </x:c>
      <x:c r="FY311">
        <x:f t="shared" si="350"/>
        <x:v>0</x:v>
      </x:c>
      <x:c r="FZ311">
        <x:f t="shared" si="351"/>
        <x:v>0</x:v>
      </x:c>
      <x:c r="GA311">
        <x:f t="shared" si="352"/>
        <x:v>0</x:v>
      </x:c>
      <x:c r="GB311">
        <x:f t="shared" si="353"/>
        <x:v>0</x:v>
      </x:c>
      <x:c r="GC311">
        <x:f t="shared" si="354"/>
        <x:v>0</x:v>
      </x:c>
      <x:c r="GD311">
        <x:f t="shared" si="355"/>
        <x:v>0</x:v>
      </x:c>
      <x:c r="GE311">
        <x:f t="shared" si="356"/>
        <x:v>0</x:v>
      </x:c>
      <x:c r="GF311">
        <x:f t="shared" si="357"/>
        <x:v>0</x:v>
      </x:c>
      <x:c r="GG311">
        <x:f t="shared" si="358"/>
        <x:v>0</x:v>
      </x:c>
      <x:c r="GH311">
        <x:f t="shared" si="359"/>
        <x:v>0</x:v>
      </x:c>
      <x:c r="GI311">
        <x:f t="shared" si="360"/>
        <x:v>0</x:v>
      </x:c>
      <x:c r="GJ311">
        <x:f t="shared" si="361"/>
        <x:v>0</x:v>
      </x:c>
      <x:c r="GK311">
        <x:f t="shared" si="362"/>
        <x:v>0</x:v>
      </x:c>
      <x:c r="GL311">
        <x:f t="shared" si="363"/>
        <x:v>0</x:v>
      </x:c>
      <x:c r="GM311">
        <x:f t="shared" si="364"/>
        <x:v>0</x:v>
      </x:c>
      <x:c r="GN311">
        <x:f t="shared" si="365"/>
        <x:v>0</x:v>
      </x:c>
      <x:c r="GO311">
        <x:f t="shared" si="366"/>
        <x:v>0</x:v>
      </x:c>
      <x:c r="GP311">
        <x:f t="shared" si="367"/>
        <x:v>0</x:v>
      </x:c>
      <x:c r="GQ311">
        <x:f t="shared" si="368"/>
        <x:v>0</x:v>
      </x:c>
      <x:c r="GR311" s="42">
        <x:f t="shared" si="369"/>
        <x:v>0</x:v>
      </x:c>
      <x:c r="GS311">
        <x:f t="shared" si="370"/>
        <x:v>0</x:v>
      </x:c>
      <x:c r="GT311">
        <x:f t="shared" si="371"/>
        <x:v>0</x:v>
      </x:c>
      <x:c r="GU311">
        <x:f t="shared" si="372"/>
        <x:v>0</x:v>
      </x:c>
      <x:c r="GV311">
        <x:f t="shared" si="373"/>
        <x:v>0</x:v>
      </x:c>
      <x:c r="GW311">
        <x:f t="shared" si="374"/>
        <x:v>0</x:v>
      </x:c>
      <x:c r="GX311">
        <x:f t="shared" si="375"/>
        <x:v>0</x:v>
      </x:c>
      <x:c r="GY311">
        <x:f t="shared" si="376"/>
        <x:v>0</x:v>
      </x:c>
      <x:c r="GZ311">
        <x:f t="shared" si="377"/>
        <x:v>0</x:v>
      </x:c>
      <x:c r="HA311">
        <x:f t="shared" si="378"/>
        <x:v>0</x:v>
      </x:c>
      <x:c r="HB311" s="42">
        <x:f t="shared" si="379"/>
        <x:v>0</x:v>
      </x:c>
      <x:c r="HC311">
        <x:f t="shared" si="380"/>
        <x:v>0</x:v>
      </x:c>
      <x:c r="HD311">
        <x:f t="shared" si="381"/>
        <x:v>0</x:v>
      </x:c>
      <x:c r="HE311">
        <x:f t="shared" si="382"/>
        <x:v>0</x:v>
      </x:c>
      <x:c r="HF311">
        <x:f t="shared" si="383"/>
        <x:v>0</x:v>
      </x:c>
      <x:c r="HG311">
        <x:f t="shared" si="384"/>
        <x:v>0</x:v>
      </x:c>
      <x:c r="HH311">
        <x:f t="shared" si="385"/>
        <x:v>0</x:v>
      </x:c>
      <x:c r="HI311">
        <x:f t="shared" si="386"/>
        <x:v>0</x:v>
      </x:c>
      <x:c r="HJ311">
        <x:f t="shared" si="387"/>
        <x:v>0</x:v>
      </x:c>
      <x:c r="HK311">
        <x:f t="shared" si="388"/>
        <x:v>0</x:v>
      </x:c>
      <x:c r="HL311">
        <x:f t="shared" si="389"/>
        <x:v>0</x:v>
      </x:c>
    </x:row>
    <x:row r="312">
      <x:c r="D312" s="74"/>
      <x:c r="EQ312">
        <x:f t="shared" si="316"/>
        <x:v>0</x:v>
      </x:c>
      <x:c r="ER312">
        <x:f t="shared" si="317"/>
        <x:v>0</x:v>
      </x:c>
      <x:c r="ES312">
        <x:f t="shared" si="318"/>
        <x:v>0</x:v>
      </x:c>
      <x:c r="ET312">
        <x:f t="shared" si="319"/>
        <x:v>0</x:v>
      </x:c>
      <x:c r="EU312">
        <x:f t="shared" si="320"/>
        <x:v>0</x:v>
      </x:c>
      <x:c r="EV312">
        <x:f t="shared" si="321"/>
        <x:v>0</x:v>
      </x:c>
      <x:c r="EW312">
        <x:f t="shared" si="322"/>
        <x:v>0</x:v>
      </x:c>
      <x:c r="EX312">
        <x:f t="shared" si="323"/>
        <x:v>0</x:v>
      </x:c>
      <x:c r="EY312">
        <x:f t="shared" si="324"/>
        <x:v>0</x:v>
      </x:c>
      <x:c r="EZ312">
        <x:f t="shared" si="325"/>
        <x:v>0</x:v>
      </x:c>
      <x:c r="FA312" s="41">
        <x:f t="shared" si="326"/>
        <x:v>0</x:v>
      </x:c>
      <x:c r="FB312">
        <x:f t="shared" si="327"/>
        <x:v>0</x:v>
      </x:c>
      <x:c r="FC312">
        <x:f t="shared" si="328"/>
        <x:v>0</x:v>
      </x:c>
      <x:c r="FD312">
        <x:f t="shared" si="329"/>
        <x:v>0</x:v>
      </x:c>
      <x:c r="FE312">
        <x:f t="shared" si="330"/>
        <x:v>0</x:v>
      </x:c>
      <x:c r="FF312">
        <x:f t="shared" si="331"/>
        <x:v>0</x:v>
      </x:c>
      <x:c r="FG312">
        <x:f t="shared" si="332"/>
        <x:v>0</x:v>
      </x:c>
      <x:c r="FH312">
        <x:f t="shared" si="333"/>
        <x:v>0</x:v>
      </x:c>
      <x:c r="FI312">
        <x:f t="shared" si="334"/>
        <x:v>0</x:v>
      </x:c>
      <x:c r="FJ312">
        <x:f t="shared" si="335"/>
        <x:v>0</x:v>
      </x:c>
      <x:c r="FK312">
        <x:f t="shared" si="336"/>
        <x:v>0</x:v>
      </x:c>
      <x:c r="FL312" s="41">
        <x:f t="shared" si="337"/>
        <x:v>0</x:v>
      </x:c>
      <x:c r="FM312">
        <x:f t="shared" si="338"/>
        <x:v>0</x:v>
      </x:c>
      <x:c r="FN312">
        <x:f t="shared" si="339"/>
        <x:v>0</x:v>
      </x:c>
      <x:c r="FO312">
        <x:f t="shared" si="340"/>
        <x:v>0</x:v>
      </x:c>
      <x:c r="FP312">
        <x:f t="shared" si="341"/>
        <x:v>0</x:v>
      </x:c>
      <x:c r="FQ312">
        <x:f t="shared" si="342"/>
        <x:v>0</x:v>
      </x:c>
      <x:c r="FR312">
        <x:f t="shared" si="343"/>
        <x:v>0</x:v>
      </x:c>
      <x:c r="FS312">
        <x:f t="shared" si="344"/>
        <x:v>0</x:v>
      </x:c>
      <x:c r="FT312">
        <x:f t="shared" si="345"/>
        <x:v>0</x:v>
      </x:c>
      <x:c r="FU312">
        <x:f t="shared" si="346"/>
        <x:v>0</x:v>
      </x:c>
      <x:c r="FV312">
        <x:f t="shared" si="347"/>
        <x:v>0</x:v>
      </x:c>
      <x:c r="FW312" s="41">
        <x:f t="shared" si="348"/>
        <x:v>0</x:v>
      </x:c>
      <x:c r="FX312">
        <x:f t="shared" si="349"/>
        <x:v>0</x:v>
      </x:c>
      <x:c r="FY312">
        <x:f t="shared" si="350"/>
        <x:v>0</x:v>
      </x:c>
      <x:c r="FZ312">
        <x:f t="shared" si="351"/>
        <x:v>0</x:v>
      </x:c>
      <x:c r="GA312">
        <x:f t="shared" si="352"/>
        <x:v>0</x:v>
      </x:c>
      <x:c r="GB312">
        <x:f t="shared" si="353"/>
        <x:v>0</x:v>
      </x:c>
      <x:c r="GC312">
        <x:f t="shared" si="354"/>
        <x:v>0</x:v>
      </x:c>
      <x:c r="GD312">
        <x:f t="shared" si="355"/>
        <x:v>0</x:v>
      </x:c>
      <x:c r="GE312">
        <x:f t="shared" si="356"/>
        <x:v>0</x:v>
      </x:c>
      <x:c r="GF312">
        <x:f t="shared" si="357"/>
        <x:v>0</x:v>
      </x:c>
      <x:c r="GG312">
        <x:f t="shared" si="358"/>
        <x:v>0</x:v>
      </x:c>
      <x:c r="GH312">
        <x:f t="shared" si="359"/>
        <x:v>0</x:v>
      </x:c>
      <x:c r="GI312">
        <x:f t="shared" si="360"/>
        <x:v>0</x:v>
      </x:c>
      <x:c r="GJ312">
        <x:f t="shared" si="361"/>
        <x:v>0</x:v>
      </x:c>
      <x:c r="GK312">
        <x:f t="shared" si="362"/>
        <x:v>0</x:v>
      </x:c>
      <x:c r="GL312">
        <x:f t="shared" si="363"/>
        <x:v>0</x:v>
      </x:c>
      <x:c r="GM312">
        <x:f t="shared" si="364"/>
        <x:v>0</x:v>
      </x:c>
      <x:c r="GN312">
        <x:f t="shared" si="365"/>
        <x:v>0</x:v>
      </x:c>
      <x:c r="GO312">
        <x:f t="shared" si="366"/>
        <x:v>0</x:v>
      </x:c>
      <x:c r="GP312">
        <x:f t="shared" si="367"/>
        <x:v>0</x:v>
      </x:c>
      <x:c r="GQ312">
        <x:f t="shared" si="368"/>
        <x:v>0</x:v>
      </x:c>
      <x:c r="GR312" s="42">
        <x:f t="shared" si="369"/>
        <x:v>0</x:v>
      </x:c>
      <x:c r="GS312">
        <x:f t="shared" si="370"/>
        <x:v>0</x:v>
      </x:c>
      <x:c r="GT312">
        <x:f t="shared" si="371"/>
        <x:v>0</x:v>
      </x:c>
      <x:c r="GU312">
        <x:f t="shared" si="372"/>
        <x:v>0</x:v>
      </x:c>
      <x:c r="GV312">
        <x:f t="shared" si="373"/>
        <x:v>0</x:v>
      </x:c>
      <x:c r="GW312">
        <x:f t="shared" si="374"/>
        <x:v>0</x:v>
      </x:c>
      <x:c r="GX312">
        <x:f t="shared" si="375"/>
        <x:v>0</x:v>
      </x:c>
      <x:c r="GY312">
        <x:f t="shared" si="376"/>
        <x:v>0</x:v>
      </x:c>
      <x:c r="GZ312">
        <x:f t="shared" si="377"/>
        <x:v>0</x:v>
      </x:c>
      <x:c r="HA312">
        <x:f t="shared" si="378"/>
        <x:v>0</x:v>
      </x:c>
      <x:c r="HB312" s="42">
        <x:f t="shared" si="379"/>
        <x:v>0</x:v>
      </x:c>
      <x:c r="HC312">
        <x:f t="shared" si="380"/>
        <x:v>0</x:v>
      </x:c>
      <x:c r="HD312">
        <x:f t="shared" si="381"/>
        <x:v>0</x:v>
      </x:c>
      <x:c r="HE312">
        <x:f t="shared" si="382"/>
        <x:v>0</x:v>
      </x:c>
      <x:c r="HF312">
        <x:f t="shared" si="383"/>
        <x:v>0</x:v>
      </x:c>
      <x:c r="HG312">
        <x:f t="shared" si="384"/>
        <x:v>0</x:v>
      </x:c>
      <x:c r="HH312">
        <x:f t="shared" si="385"/>
        <x:v>0</x:v>
      </x:c>
      <x:c r="HI312">
        <x:f t="shared" si="386"/>
        <x:v>0</x:v>
      </x:c>
      <x:c r="HJ312">
        <x:f t="shared" si="387"/>
        <x:v>0</x:v>
      </x:c>
      <x:c r="HK312">
        <x:f t="shared" si="388"/>
        <x:v>0</x:v>
      </x:c>
      <x:c r="HL312">
        <x:f t="shared" si="389"/>
        <x:v>0</x:v>
      </x:c>
    </x:row>
    <x:row r="313">
      <x:c r="D313" s="74"/>
      <x:c r="EQ313">
        <x:f t="shared" si="316"/>
        <x:v>0</x:v>
      </x:c>
      <x:c r="ER313">
        <x:f t="shared" si="317"/>
        <x:v>0</x:v>
      </x:c>
      <x:c r="ES313">
        <x:f t="shared" si="318"/>
        <x:v>0</x:v>
      </x:c>
      <x:c r="ET313">
        <x:f t="shared" si="319"/>
        <x:v>0</x:v>
      </x:c>
      <x:c r="EU313">
        <x:f t="shared" si="320"/>
        <x:v>0</x:v>
      </x:c>
      <x:c r="EV313">
        <x:f t="shared" si="321"/>
        <x:v>0</x:v>
      </x:c>
      <x:c r="EW313">
        <x:f t="shared" si="322"/>
        <x:v>0</x:v>
      </x:c>
      <x:c r="EX313">
        <x:f t="shared" si="323"/>
        <x:v>0</x:v>
      </x:c>
      <x:c r="EY313">
        <x:f t="shared" si="324"/>
        <x:v>0</x:v>
      </x:c>
      <x:c r="EZ313">
        <x:f t="shared" si="325"/>
        <x:v>0</x:v>
      </x:c>
      <x:c r="FA313" s="41">
        <x:f t="shared" si="326"/>
        <x:v>0</x:v>
      </x:c>
      <x:c r="FB313">
        <x:f t="shared" si="327"/>
        <x:v>0</x:v>
      </x:c>
      <x:c r="FC313">
        <x:f t="shared" si="328"/>
        <x:v>0</x:v>
      </x:c>
      <x:c r="FD313">
        <x:f t="shared" si="329"/>
        <x:v>0</x:v>
      </x:c>
      <x:c r="FE313">
        <x:f t="shared" si="330"/>
        <x:v>0</x:v>
      </x:c>
      <x:c r="FF313">
        <x:f t="shared" si="331"/>
        <x:v>0</x:v>
      </x:c>
      <x:c r="FG313">
        <x:f t="shared" si="332"/>
        <x:v>0</x:v>
      </x:c>
      <x:c r="FH313">
        <x:f t="shared" si="333"/>
        <x:v>0</x:v>
      </x:c>
      <x:c r="FI313">
        <x:f t="shared" si="334"/>
        <x:v>0</x:v>
      </x:c>
      <x:c r="FJ313">
        <x:f t="shared" si="335"/>
        <x:v>0</x:v>
      </x:c>
      <x:c r="FK313">
        <x:f t="shared" si="336"/>
        <x:v>0</x:v>
      </x:c>
      <x:c r="FL313" s="41">
        <x:f t="shared" si="337"/>
        <x:v>0</x:v>
      </x:c>
      <x:c r="FM313">
        <x:f t="shared" si="338"/>
        <x:v>0</x:v>
      </x:c>
      <x:c r="FN313">
        <x:f t="shared" si="339"/>
        <x:v>0</x:v>
      </x:c>
      <x:c r="FO313">
        <x:f t="shared" si="340"/>
        <x:v>0</x:v>
      </x:c>
      <x:c r="FP313">
        <x:f t="shared" si="341"/>
        <x:v>0</x:v>
      </x:c>
      <x:c r="FQ313">
        <x:f t="shared" si="342"/>
        <x:v>0</x:v>
      </x:c>
      <x:c r="FR313">
        <x:f t="shared" si="343"/>
        <x:v>0</x:v>
      </x:c>
      <x:c r="FS313">
        <x:f t="shared" si="344"/>
        <x:v>0</x:v>
      </x:c>
      <x:c r="FT313">
        <x:f t="shared" si="345"/>
        <x:v>0</x:v>
      </x:c>
      <x:c r="FU313">
        <x:f t="shared" si="346"/>
        <x:v>0</x:v>
      </x:c>
      <x:c r="FV313">
        <x:f t="shared" si="347"/>
        <x:v>0</x:v>
      </x:c>
      <x:c r="FW313" s="41">
        <x:f t="shared" si="348"/>
        <x:v>0</x:v>
      </x:c>
      <x:c r="FX313">
        <x:f t="shared" si="349"/>
        <x:v>0</x:v>
      </x:c>
      <x:c r="FY313">
        <x:f t="shared" si="350"/>
        <x:v>0</x:v>
      </x:c>
      <x:c r="FZ313">
        <x:f t="shared" si="351"/>
        <x:v>0</x:v>
      </x:c>
      <x:c r="GA313">
        <x:f t="shared" si="352"/>
        <x:v>0</x:v>
      </x:c>
      <x:c r="GB313">
        <x:f t="shared" si="353"/>
        <x:v>0</x:v>
      </x:c>
      <x:c r="GC313">
        <x:f t="shared" si="354"/>
        <x:v>0</x:v>
      </x:c>
      <x:c r="GD313">
        <x:f t="shared" si="355"/>
        <x:v>0</x:v>
      </x:c>
      <x:c r="GE313">
        <x:f t="shared" si="356"/>
        <x:v>0</x:v>
      </x:c>
      <x:c r="GF313">
        <x:f t="shared" si="357"/>
        <x:v>0</x:v>
      </x:c>
      <x:c r="GG313">
        <x:f t="shared" si="358"/>
        <x:v>0</x:v>
      </x:c>
      <x:c r="GH313">
        <x:f t="shared" si="359"/>
        <x:v>0</x:v>
      </x:c>
      <x:c r="GI313">
        <x:f t="shared" si="360"/>
        <x:v>0</x:v>
      </x:c>
      <x:c r="GJ313">
        <x:f t="shared" si="361"/>
        <x:v>0</x:v>
      </x:c>
      <x:c r="GK313">
        <x:f t="shared" si="362"/>
        <x:v>0</x:v>
      </x:c>
      <x:c r="GL313">
        <x:f t="shared" si="363"/>
        <x:v>0</x:v>
      </x:c>
      <x:c r="GM313">
        <x:f t="shared" si="364"/>
        <x:v>0</x:v>
      </x:c>
      <x:c r="GN313">
        <x:f t="shared" si="365"/>
        <x:v>0</x:v>
      </x:c>
      <x:c r="GO313">
        <x:f t="shared" si="366"/>
        <x:v>0</x:v>
      </x:c>
      <x:c r="GP313">
        <x:f t="shared" si="367"/>
        <x:v>0</x:v>
      </x:c>
      <x:c r="GQ313">
        <x:f t="shared" si="368"/>
        <x:v>0</x:v>
      </x:c>
      <x:c r="GR313" s="42">
        <x:f t="shared" si="369"/>
        <x:v>0</x:v>
      </x:c>
      <x:c r="GS313">
        <x:f t="shared" si="370"/>
        <x:v>0</x:v>
      </x:c>
      <x:c r="GT313">
        <x:f t="shared" si="371"/>
        <x:v>0</x:v>
      </x:c>
      <x:c r="GU313">
        <x:f t="shared" si="372"/>
        <x:v>0</x:v>
      </x:c>
      <x:c r="GV313">
        <x:f t="shared" si="373"/>
        <x:v>0</x:v>
      </x:c>
      <x:c r="GW313">
        <x:f t="shared" si="374"/>
        <x:v>0</x:v>
      </x:c>
      <x:c r="GX313">
        <x:f t="shared" si="375"/>
        <x:v>0</x:v>
      </x:c>
      <x:c r="GY313">
        <x:f t="shared" si="376"/>
        <x:v>0</x:v>
      </x:c>
      <x:c r="GZ313">
        <x:f t="shared" si="377"/>
        <x:v>0</x:v>
      </x:c>
      <x:c r="HA313">
        <x:f t="shared" si="378"/>
        <x:v>0</x:v>
      </x:c>
      <x:c r="HB313" s="42">
        <x:f t="shared" si="379"/>
        <x:v>0</x:v>
      </x:c>
      <x:c r="HC313">
        <x:f t="shared" si="380"/>
        <x:v>0</x:v>
      </x:c>
      <x:c r="HD313">
        <x:f t="shared" si="381"/>
        <x:v>0</x:v>
      </x:c>
      <x:c r="HE313">
        <x:f t="shared" si="382"/>
        <x:v>0</x:v>
      </x:c>
      <x:c r="HF313">
        <x:f t="shared" si="383"/>
        <x:v>0</x:v>
      </x:c>
      <x:c r="HG313">
        <x:f t="shared" si="384"/>
        <x:v>0</x:v>
      </x:c>
      <x:c r="HH313">
        <x:f t="shared" si="385"/>
        <x:v>0</x:v>
      </x:c>
      <x:c r="HI313">
        <x:f t="shared" si="386"/>
        <x:v>0</x:v>
      </x:c>
      <x:c r="HJ313">
        <x:f t="shared" si="387"/>
        <x:v>0</x:v>
      </x:c>
      <x:c r="HK313">
        <x:f t="shared" si="388"/>
        <x:v>0</x:v>
      </x:c>
      <x:c r="HL313">
        <x:f t="shared" si="389"/>
        <x:v>0</x:v>
      </x:c>
    </x:row>
    <x:row r="314">
      <x:c r="D314" s="74"/>
      <x:c r="EQ314">
        <x:f t="shared" si="316"/>
        <x:v>0</x:v>
      </x:c>
      <x:c r="ER314">
        <x:f t="shared" si="317"/>
        <x:v>0</x:v>
      </x:c>
      <x:c r="ES314">
        <x:f t="shared" si="318"/>
        <x:v>0</x:v>
      </x:c>
      <x:c r="ET314">
        <x:f t="shared" si="319"/>
        <x:v>0</x:v>
      </x:c>
      <x:c r="EU314">
        <x:f t="shared" si="320"/>
        <x:v>0</x:v>
      </x:c>
      <x:c r="EV314">
        <x:f t="shared" si="321"/>
        <x:v>0</x:v>
      </x:c>
      <x:c r="EW314">
        <x:f t="shared" si="322"/>
        <x:v>0</x:v>
      </x:c>
      <x:c r="EX314">
        <x:f t="shared" si="323"/>
        <x:v>0</x:v>
      </x:c>
      <x:c r="EY314">
        <x:f t="shared" si="324"/>
        <x:v>0</x:v>
      </x:c>
      <x:c r="EZ314">
        <x:f t="shared" si="325"/>
        <x:v>0</x:v>
      </x:c>
      <x:c r="FA314" s="41">
        <x:f t="shared" si="326"/>
        <x:v>0</x:v>
      </x:c>
      <x:c r="FB314">
        <x:f t="shared" si="327"/>
        <x:v>0</x:v>
      </x:c>
      <x:c r="FC314">
        <x:f t="shared" si="328"/>
        <x:v>0</x:v>
      </x:c>
      <x:c r="FD314">
        <x:f t="shared" si="329"/>
        <x:v>0</x:v>
      </x:c>
      <x:c r="FE314">
        <x:f t="shared" si="330"/>
        <x:v>0</x:v>
      </x:c>
      <x:c r="FF314">
        <x:f t="shared" si="331"/>
        <x:v>0</x:v>
      </x:c>
      <x:c r="FG314">
        <x:f t="shared" si="332"/>
        <x:v>0</x:v>
      </x:c>
      <x:c r="FH314">
        <x:f t="shared" si="333"/>
        <x:v>0</x:v>
      </x:c>
      <x:c r="FI314">
        <x:f t="shared" si="334"/>
        <x:v>0</x:v>
      </x:c>
      <x:c r="FJ314">
        <x:f t="shared" si="335"/>
        <x:v>0</x:v>
      </x:c>
      <x:c r="FK314">
        <x:f t="shared" si="336"/>
        <x:v>0</x:v>
      </x:c>
      <x:c r="FL314" s="41">
        <x:f t="shared" si="337"/>
        <x:v>0</x:v>
      </x:c>
      <x:c r="FM314">
        <x:f t="shared" si="338"/>
        <x:v>0</x:v>
      </x:c>
      <x:c r="FN314">
        <x:f t="shared" si="339"/>
        <x:v>0</x:v>
      </x:c>
      <x:c r="FO314">
        <x:f t="shared" si="340"/>
        <x:v>0</x:v>
      </x:c>
      <x:c r="FP314">
        <x:f t="shared" si="341"/>
        <x:v>0</x:v>
      </x:c>
      <x:c r="FQ314">
        <x:f t="shared" si="342"/>
        <x:v>0</x:v>
      </x:c>
      <x:c r="FR314">
        <x:f t="shared" si="343"/>
        <x:v>0</x:v>
      </x:c>
      <x:c r="FS314">
        <x:f t="shared" si="344"/>
        <x:v>0</x:v>
      </x:c>
      <x:c r="FT314">
        <x:f t="shared" si="345"/>
        <x:v>0</x:v>
      </x:c>
      <x:c r="FU314">
        <x:f t="shared" si="346"/>
        <x:v>0</x:v>
      </x:c>
      <x:c r="FV314">
        <x:f t="shared" si="347"/>
        <x:v>0</x:v>
      </x:c>
      <x:c r="FW314" s="41">
        <x:f t="shared" si="348"/>
        <x:v>0</x:v>
      </x:c>
      <x:c r="FX314">
        <x:f t="shared" si="349"/>
        <x:v>0</x:v>
      </x:c>
      <x:c r="FY314">
        <x:f t="shared" si="350"/>
        <x:v>0</x:v>
      </x:c>
      <x:c r="FZ314">
        <x:f t="shared" si="351"/>
        <x:v>0</x:v>
      </x:c>
      <x:c r="GA314">
        <x:f t="shared" si="352"/>
        <x:v>0</x:v>
      </x:c>
      <x:c r="GB314">
        <x:f t="shared" si="353"/>
        <x:v>0</x:v>
      </x:c>
      <x:c r="GC314">
        <x:f t="shared" si="354"/>
        <x:v>0</x:v>
      </x:c>
      <x:c r="GD314">
        <x:f t="shared" si="355"/>
        <x:v>0</x:v>
      </x:c>
      <x:c r="GE314">
        <x:f t="shared" si="356"/>
        <x:v>0</x:v>
      </x:c>
      <x:c r="GF314">
        <x:f t="shared" si="357"/>
        <x:v>0</x:v>
      </x:c>
      <x:c r="GG314">
        <x:f t="shared" si="358"/>
        <x:v>0</x:v>
      </x:c>
      <x:c r="GH314">
        <x:f t="shared" si="359"/>
        <x:v>0</x:v>
      </x:c>
      <x:c r="GI314">
        <x:f t="shared" si="360"/>
        <x:v>0</x:v>
      </x:c>
      <x:c r="GJ314">
        <x:f t="shared" si="361"/>
        <x:v>0</x:v>
      </x:c>
      <x:c r="GK314">
        <x:f t="shared" si="362"/>
        <x:v>0</x:v>
      </x:c>
      <x:c r="GL314">
        <x:f t="shared" si="363"/>
        <x:v>0</x:v>
      </x:c>
      <x:c r="GM314">
        <x:f t="shared" si="364"/>
        <x:v>0</x:v>
      </x:c>
      <x:c r="GN314">
        <x:f t="shared" si="365"/>
        <x:v>0</x:v>
      </x:c>
      <x:c r="GO314">
        <x:f t="shared" si="366"/>
        <x:v>0</x:v>
      </x:c>
      <x:c r="GP314">
        <x:f t="shared" si="367"/>
        <x:v>0</x:v>
      </x:c>
      <x:c r="GQ314">
        <x:f t="shared" si="368"/>
        <x:v>0</x:v>
      </x:c>
      <x:c r="GR314" s="42">
        <x:f t="shared" si="369"/>
        <x:v>0</x:v>
      </x:c>
      <x:c r="GS314">
        <x:f t="shared" si="370"/>
        <x:v>0</x:v>
      </x:c>
      <x:c r="GT314">
        <x:f t="shared" si="371"/>
        <x:v>0</x:v>
      </x:c>
      <x:c r="GU314">
        <x:f t="shared" si="372"/>
        <x:v>0</x:v>
      </x:c>
      <x:c r="GV314">
        <x:f t="shared" si="373"/>
        <x:v>0</x:v>
      </x:c>
      <x:c r="GW314">
        <x:f t="shared" si="374"/>
        <x:v>0</x:v>
      </x:c>
      <x:c r="GX314">
        <x:f t="shared" si="375"/>
        <x:v>0</x:v>
      </x:c>
      <x:c r="GY314">
        <x:f t="shared" si="376"/>
        <x:v>0</x:v>
      </x:c>
      <x:c r="GZ314">
        <x:f t="shared" si="377"/>
        <x:v>0</x:v>
      </x:c>
      <x:c r="HA314">
        <x:f t="shared" si="378"/>
        <x:v>0</x:v>
      </x:c>
      <x:c r="HB314" s="42">
        <x:f t="shared" si="379"/>
        <x:v>0</x:v>
      </x:c>
      <x:c r="HC314">
        <x:f t="shared" si="380"/>
        <x:v>0</x:v>
      </x:c>
      <x:c r="HD314">
        <x:f t="shared" si="381"/>
        <x:v>0</x:v>
      </x:c>
      <x:c r="HE314">
        <x:f t="shared" si="382"/>
        <x:v>0</x:v>
      </x:c>
      <x:c r="HF314">
        <x:f t="shared" si="383"/>
        <x:v>0</x:v>
      </x:c>
      <x:c r="HG314">
        <x:f t="shared" si="384"/>
        <x:v>0</x:v>
      </x:c>
      <x:c r="HH314">
        <x:f t="shared" si="385"/>
        <x:v>0</x:v>
      </x:c>
      <x:c r="HI314">
        <x:f t="shared" si="386"/>
        <x:v>0</x:v>
      </x:c>
      <x:c r="HJ314">
        <x:f t="shared" si="387"/>
        <x:v>0</x:v>
      </x:c>
      <x:c r="HK314">
        <x:f t="shared" si="388"/>
        <x:v>0</x:v>
      </x:c>
      <x:c r="HL314">
        <x:f t="shared" si="389"/>
        <x:v>0</x:v>
      </x:c>
    </x:row>
    <x:row r="315">
      <x:c r="D315" s="74"/>
      <x:c r="EQ315">
        <x:f t="shared" si="316"/>
        <x:v>0</x:v>
      </x:c>
      <x:c r="ER315">
        <x:f t="shared" si="317"/>
        <x:v>0</x:v>
      </x:c>
      <x:c r="ES315">
        <x:f t="shared" si="318"/>
        <x:v>0</x:v>
      </x:c>
      <x:c r="ET315">
        <x:f t="shared" si="319"/>
        <x:v>0</x:v>
      </x:c>
      <x:c r="EU315">
        <x:f t="shared" si="320"/>
        <x:v>0</x:v>
      </x:c>
      <x:c r="EV315">
        <x:f t="shared" si="321"/>
        <x:v>0</x:v>
      </x:c>
      <x:c r="EW315">
        <x:f t="shared" si="322"/>
        <x:v>0</x:v>
      </x:c>
      <x:c r="EX315">
        <x:f t="shared" si="323"/>
        <x:v>0</x:v>
      </x:c>
      <x:c r="EY315">
        <x:f t="shared" si="324"/>
        <x:v>0</x:v>
      </x:c>
      <x:c r="EZ315">
        <x:f t="shared" si="325"/>
        <x:v>0</x:v>
      </x:c>
      <x:c r="FA315" s="41">
        <x:f t="shared" si="326"/>
        <x:v>0</x:v>
      </x:c>
      <x:c r="FB315">
        <x:f t="shared" si="327"/>
        <x:v>0</x:v>
      </x:c>
      <x:c r="FC315">
        <x:f t="shared" si="328"/>
        <x:v>0</x:v>
      </x:c>
      <x:c r="FD315">
        <x:f t="shared" si="329"/>
        <x:v>0</x:v>
      </x:c>
      <x:c r="FE315">
        <x:f t="shared" si="330"/>
        <x:v>0</x:v>
      </x:c>
      <x:c r="FF315">
        <x:f t="shared" si="331"/>
        <x:v>0</x:v>
      </x:c>
      <x:c r="FG315">
        <x:f t="shared" si="332"/>
        <x:v>0</x:v>
      </x:c>
      <x:c r="FH315">
        <x:f t="shared" si="333"/>
        <x:v>0</x:v>
      </x:c>
      <x:c r="FI315">
        <x:f t="shared" si="334"/>
        <x:v>0</x:v>
      </x:c>
      <x:c r="FJ315">
        <x:f t="shared" si="335"/>
        <x:v>0</x:v>
      </x:c>
      <x:c r="FK315">
        <x:f t="shared" si="336"/>
        <x:v>0</x:v>
      </x:c>
      <x:c r="FL315" s="41">
        <x:f t="shared" si="337"/>
        <x:v>0</x:v>
      </x:c>
      <x:c r="FM315">
        <x:f t="shared" si="338"/>
        <x:v>0</x:v>
      </x:c>
      <x:c r="FN315">
        <x:f t="shared" si="339"/>
        <x:v>0</x:v>
      </x:c>
      <x:c r="FO315">
        <x:f t="shared" si="340"/>
        <x:v>0</x:v>
      </x:c>
      <x:c r="FP315">
        <x:f t="shared" si="341"/>
        <x:v>0</x:v>
      </x:c>
      <x:c r="FQ315">
        <x:f t="shared" si="342"/>
        <x:v>0</x:v>
      </x:c>
      <x:c r="FR315">
        <x:f t="shared" si="343"/>
        <x:v>0</x:v>
      </x:c>
      <x:c r="FS315">
        <x:f t="shared" si="344"/>
        <x:v>0</x:v>
      </x:c>
      <x:c r="FT315">
        <x:f t="shared" si="345"/>
        <x:v>0</x:v>
      </x:c>
      <x:c r="FU315">
        <x:f t="shared" si="346"/>
        <x:v>0</x:v>
      </x:c>
      <x:c r="FV315">
        <x:f t="shared" si="347"/>
        <x:v>0</x:v>
      </x:c>
      <x:c r="FW315" s="41">
        <x:f t="shared" si="348"/>
        <x:v>0</x:v>
      </x:c>
      <x:c r="FX315">
        <x:f t="shared" si="349"/>
        <x:v>0</x:v>
      </x:c>
      <x:c r="FY315">
        <x:f t="shared" si="350"/>
        <x:v>0</x:v>
      </x:c>
      <x:c r="FZ315">
        <x:f t="shared" si="351"/>
        <x:v>0</x:v>
      </x:c>
      <x:c r="GA315">
        <x:f t="shared" si="352"/>
        <x:v>0</x:v>
      </x:c>
      <x:c r="GB315">
        <x:f t="shared" si="353"/>
        <x:v>0</x:v>
      </x:c>
      <x:c r="GC315">
        <x:f t="shared" si="354"/>
        <x:v>0</x:v>
      </x:c>
      <x:c r="GD315">
        <x:f t="shared" si="355"/>
        <x:v>0</x:v>
      </x:c>
      <x:c r="GE315">
        <x:f t="shared" si="356"/>
        <x:v>0</x:v>
      </x:c>
      <x:c r="GF315">
        <x:f t="shared" si="357"/>
        <x:v>0</x:v>
      </x:c>
      <x:c r="GG315">
        <x:f t="shared" si="358"/>
        <x:v>0</x:v>
      </x:c>
      <x:c r="GH315">
        <x:f t="shared" si="359"/>
        <x:v>0</x:v>
      </x:c>
      <x:c r="GI315">
        <x:f t="shared" si="360"/>
        <x:v>0</x:v>
      </x:c>
      <x:c r="GJ315">
        <x:f t="shared" si="361"/>
        <x:v>0</x:v>
      </x:c>
      <x:c r="GK315">
        <x:f t="shared" si="362"/>
        <x:v>0</x:v>
      </x:c>
      <x:c r="GL315">
        <x:f t="shared" si="363"/>
        <x:v>0</x:v>
      </x:c>
      <x:c r="GM315">
        <x:f t="shared" si="364"/>
        <x:v>0</x:v>
      </x:c>
      <x:c r="GN315">
        <x:f t="shared" si="365"/>
        <x:v>0</x:v>
      </x:c>
      <x:c r="GO315">
        <x:f t="shared" si="366"/>
        <x:v>0</x:v>
      </x:c>
      <x:c r="GP315">
        <x:f t="shared" si="367"/>
        <x:v>0</x:v>
      </x:c>
      <x:c r="GQ315">
        <x:f t="shared" si="368"/>
        <x:v>0</x:v>
      </x:c>
      <x:c r="GR315" s="42">
        <x:f t="shared" si="369"/>
        <x:v>0</x:v>
      </x:c>
      <x:c r="GS315">
        <x:f t="shared" si="370"/>
        <x:v>0</x:v>
      </x:c>
      <x:c r="GT315">
        <x:f t="shared" si="371"/>
        <x:v>0</x:v>
      </x:c>
      <x:c r="GU315">
        <x:f t="shared" si="372"/>
        <x:v>0</x:v>
      </x:c>
      <x:c r="GV315">
        <x:f t="shared" si="373"/>
        <x:v>0</x:v>
      </x:c>
      <x:c r="GW315">
        <x:f t="shared" si="374"/>
        <x:v>0</x:v>
      </x:c>
      <x:c r="GX315">
        <x:f t="shared" si="375"/>
        <x:v>0</x:v>
      </x:c>
      <x:c r="GY315">
        <x:f t="shared" si="376"/>
        <x:v>0</x:v>
      </x:c>
      <x:c r="GZ315">
        <x:f t="shared" si="377"/>
        <x:v>0</x:v>
      </x:c>
      <x:c r="HA315">
        <x:f t="shared" si="378"/>
        <x:v>0</x:v>
      </x:c>
      <x:c r="HB315" s="42">
        <x:f t="shared" si="379"/>
        <x:v>0</x:v>
      </x:c>
      <x:c r="HC315">
        <x:f t="shared" si="380"/>
        <x:v>0</x:v>
      </x:c>
      <x:c r="HD315">
        <x:f t="shared" si="381"/>
        <x:v>0</x:v>
      </x:c>
      <x:c r="HE315">
        <x:f t="shared" si="382"/>
        <x:v>0</x:v>
      </x:c>
      <x:c r="HF315">
        <x:f t="shared" si="383"/>
        <x:v>0</x:v>
      </x:c>
      <x:c r="HG315">
        <x:f t="shared" si="384"/>
        <x:v>0</x:v>
      </x:c>
      <x:c r="HH315">
        <x:f t="shared" si="385"/>
        <x:v>0</x:v>
      </x:c>
      <x:c r="HI315">
        <x:f t="shared" si="386"/>
        <x:v>0</x:v>
      </x:c>
      <x:c r="HJ315">
        <x:f t="shared" si="387"/>
        <x:v>0</x:v>
      </x:c>
      <x:c r="HK315">
        <x:f t="shared" si="388"/>
        <x:v>0</x:v>
      </x:c>
      <x:c r="HL315">
        <x:f t="shared" si="389"/>
        <x:v>0</x:v>
      </x:c>
    </x:row>
    <x:row r="316">
      <x:c r="D316" s="74"/>
      <x:c r="EQ316">
        <x:f t="shared" si="316"/>
        <x:v>0</x:v>
      </x:c>
      <x:c r="ER316">
        <x:f t="shared" si="317"/>
        <x:v>0</x:v>
      </x:c>
      <x:c r="ES316">
        <x:f t="shared" si="318"/>
        <x:v>0</x:v>
      </x:c>
      <x:c r="ET316">
        <x:f t="shared" si="319"/>
        <x:v>0</x:v>
      </x:c>
      <x:c r="EU316">
        <x:f t="shared" si="320"/>
        <x:v>0</x:v>
      </x:c>
      <x:c r="EV316">
        <x:f t="shared" si="321"/>
        <x:v>0</x:v>
      </x:c>
      <x:c r="EW316">
        <x:f t="shared" si="322"/>
        <x:v>0</x:v>
      </x:c>
      <x:c r="EX316">
        <x:f t="shared" si="323"/>
        <x:v>0</x:v>
      </x:c>
      <x:c r="EY316">
        <x:f t="shared" si="324"/>
        <x:v>0</x:v>
      </x:c>
      <x:c r="EZ316">
        <x:f t="shared" si="325"/>
        <x:v>0</x:v>
      </x:c>
      <x:c r="FA316" s="41">
        <x:f t="shared" si="326"/>
        <x:v>0</x:v>
      </x:c>
      <x:c r="FB316">
        <x:f t="shared" si="327"/>
        <x:v>0</x:v>
      </x:c>
      <x:c r="FC316">
        <x:f t="shared" si="328"/>
        <x:v>0</x:v>
      </x:c>
      <x:c r="FD316">
        <x:f t="shared" si="329"/>
        <x:v>0</x:v>
      </x:c>
      <x:c r="FE316">
        <x:f t="shared" si="330"/>
        <x:v>0</x:v>
      </x:c>
      <x:c r="FF316">
        <x:f t="shared" si="331"/>
        <x:v>0</x:v>
      </x:c>
      <x:c r="FG316">
        <x:f t="shared" si="332"/>
        <x:v>0</x:v>
      </x:c>
      <x:c r="FH316">
        <x:f t="shared" si="333"/>
        <x:v>0</x:v>
      </x:c>
      <x:c r="FI316">
        <x:f t="shared" si="334"/>
        <x:v>0</x:v>
      </x:c>
      <x:c r="FJ316">
        <x:f t="shared" si="335"/>
        <x:v>0</x:v>
      </x:c>
      <x:c r="FK316">
        <x:f t="shared" si="336"/>
        <x:v>0</x:v>
      </x:c>
      <x:c r="FL316" s="41">
        <x:f t="shared" si="337"/>
        <x:v>0</x:v>
      </x:c>
      <x:c r="FM316">
        <x:f t="shared" si="338"/>
        <x:v>0</x:v>
      </x:c>
      <x:c r="FN316">
        <x:f t="shared" si="339"/>
        <x:v>0</x:v>
      </x:c>
      <x:c r="FO316">
        <x:f t="shared" si="340"/>
        <x:v>0</x:v>
      </x:c>
      <x:c r="FP316">
        <x:f t="shared" si="341"/>
        <x:v>0</x:v>
      </x:c>
      <x:c r="FQ316">
        <x:f t="shared" si="342"/>
        <x:v>0</x:v>
      </x:c>
      <x:c r="FR316">
        <x:f t="shared" si="343"/>
        <x:v>0</x:v>
      </x:c>
      <x:c r="FS316">
        <x:f t="shared" si="344"/>
        <x:v>0</x:v>
      </x:c>
      <x:c r="FT316">
        <x:f t="shared" si="345"/>
        <x:v>0</x:v>
      </x:c>
      <x:c r="FU316">
        <x:f t="shared" si="346"/>
        <x:v>0</x:v>
      </x:c>
      <x:c r="FV316">
        <x:f t="shared" si="347"/>
        <x:v>0</x:v>
      </x:c>
      <x:c r="FW316" s="41">
        <x:f t="shared" si="348"/>
        <x:v>0</x:v>
      </x:c>
      <x:c r="FX316">
        <x:f t="shared" si="349"/>
        <x:v>0</x:v>
      </x:c>
      <x:c r="FY316">
        <x:f t="shared" si="350"/>
        <x:v>0</x:v>
      </x:c>
      <x:c r="FZ316">
        <x:f t="shared" si="351"/>
        <x:v>0</x:v>
      </x:c>
      <x:c r="GA316">
        <x:f t="shared" si="352"/>
        <x:v>0</x:v>
      </x:c>
      <x:c r="GB316">
        <x:f t="shared" si="353"/>
        <x:v>0</x:v>
      </x:c>
      <x:c r="GC316">
        <x:f t="shared" si="354"/>
        <x:v>0</x:v>
      </x:c>
      <x:c r="GD316">
        <x:f t="shared" si="355"/>
        <x:v>0</x:v>
      </x:c>
      <x:c r="GE316">
        <x:f t="shared" si="356"/>
        <x:v>0</x:v>
      </x:c>
      <x:c r="GF316">
        <x:f t="shared" si="357"/>
        <x:v>0</x:v>
      </x:c>
      <x:c r="GG316">
        <x:f t="shared" si="358"/>
        <x:v>0</x:v>
      </x:c>
      <x:c r="GH316">
        <x:f t="shared" si="359"/>
        <x:v>0</x:v>
      </x:c>
      <x:c r="GI316">
        <x:f t="shared" si="360"/>
        <x:v>0</x:v>
      </x:c>
      <x:c r="GJ316">
        <x:f t="shared" si="361"/>
        <x:v>0</x:v>
      </x:c>
      <x:c r="GK316">
        <x:f t="shared" si="362"/>
        <x:v>0</x:v>
      </x:c>
      <x:c r="GL316">
        <x:f t="shared" si="363"/>
        <x:v>0</x:v>
      </x:c>
      <x:c r="GM316">
        <x:f t="shared" si="364"/>
        <x:v>0</x:v>
      </x:c>
      <x:c r="GN316">
        <x:f t="shared" si="365"/>
        <x:v>0</x:v>
      </x:c>
      <x:c r="GO316">
        <x:f t="shared" si="366"/>
        <x:v>0</x:v>
      </x:c>
      <x:c r="GP316">
        <x:f t="shared" si="367"/>
        <x:v>0</x:v>
      </x:c>
      <x:c r="GQ316">
        <x:f t="shared" si="368"/>
        <x:v>0</x:v>
      </x:c>
      <x:c r="GR316" s="42">
        <x:f t="shared" si="369"/>
        <x:v>0</x:v>
      </x:c>
      <x:c r="GS316">
        <x:f t="shared" si="370"/>
        <x:v>0</x:v>
      </x:c>
      <x:c r="GT316">
        <x:f t="shared" si="371"/>
        <x:v>0</x:v>
      </x:c>
      <x:c r="GU316">
        <x:f t="shared" si="372"/>
        <x:v>0</x:v>
      </x:c>
      <x:c r="GV316">
        <x:f t="shared" si="373"/>
        <x:v>0</x:v>
      </x:c>
      <x:c r="GW316">
        <x:f t="shared" si="374"/>
        <x:v>0</x:v>
      </x:c>
      <x:c r="GX316">
        <x:f t="shared" si="375"/>
        <x:v>0</x:v>
      </x:c>
      <x:c r="GY316">
        <x:f t="shared" si="376"/>
        <x:v>0</x:v>
      </x:c>
      <x:c r="GZ316">
        <x:f t="shared" si="377"/>
        <x:v>0</x:v>
      </x:c>
      <x:c r="HA316">
        <x:f t="shared" si="378"/>
        <x:v>0</x:v>
      </x:c>
      <x:c r="HB316" s="42">
        <x:f t="shared" si="379"/>
        <x:v>0</x:v>
      </x:c>
      <x:c r="HC316">
        <x:f t="shared" si="380"/>
        <x:v>0</x:v>
      </x:c>
      <x:c r="HD316">
        <x:f t="shared" si="381"/>
        <x:v>0</x:v>
      </x:c>
      <x:c r="HE316">
        <x:f t="shared" si="382"/>
        <x:v>0</x:v>
      </x:c>
      <x:c r="HF316">
        <x:f t="shared" si="383"/>
        <x:v>0</x:v>
      </x:c>
      <x:c r="HG316">
        <x:f t="shared" si="384"/>
        <x:v>0</x:v>
      </x:c>
      <x:c r="HH316">
        <x:f t="shared" si="385"/>
        <x:v>0</x:v>
      </x:c>
      <x:c r="HI316">
        <x:f t="shared" si="386"/>
        <x:v>0</x:v>
      </x:c>
      <x:c r="HJ316">
        <x:f t="shared" si="387"/>
        <x:v>0</x:v>
      </x:c>
      <x:c r="HK316">
        <x:f t="shared" si="388"/>
        <x:v>0</x:v>
      </x:c>
      <x:c r="HL316">
        <x:f t="shared" si="389"/>
        <x:v>0</x:v>
      </x:c>
    </x:row>
    <x:row r="317">
      <x:c r="D317" s="74"/>
      <x:c r="EQ317">
        <x:f t="shared" si="316"/>
        <x:v>0</x:v>
      </x:c>
      <x:c r="ER317">
        <x:f t="shared" si="317"/>
        <x:v>0</x:v>
      </x:c>
      <x:c r="ES317">
        <x:f t="shared" si="318"/>
        <x:v>0</x:v>
      </x:c>
      <x:c r="ET317">
        <x:f t="shared" si="319"/>
        <x:v>0</x:v>
      </x:c>
      <x:c r="EU317">
        <x:f t="shared" si="320"/>
        <x:v>0</x:v>
      </x:c>
      <x:c r="EV317">
        <x:f t="shared" si="321"/>
        <x:v>0</x:v>
      </x:c>
      <x:c r="EW317">
        <x:f t="shared" si="322"/>
        <x:v>0</x:v>
      </x:c>
      <x:c r="EX317">
        <x:f t="shared" si="323"/>
        <x:v>0</x:v>
      </x:c>
      <x:c r="EY317">
        <x:f t="shared" si="324"/>
        <x:v>0</x:v>
      </x:c>
      <x:c r="EZ317">
        <x:f t="shared" si="325"/>
        <x:v>0</x:v>
      </x:c>
      <x:c r="FA317" s="41">
        <x:f t="shared" si="326"/>
        <x:v>0</x:v>
      </x:c>
      <x:c r="FB317">
        <x:f t="shared" si="327"/>
        <x:v>0</x:v>
      </x:c>
      <x:c r="FC317">
        <x:f t="shared" si="328"/>
        <x:v>0</x:v>
      </x:c>
      <x:c r="FD317">
        <x:f t="shared" si="329"/>
        <x:v>0</x:v>
      </x:c>
      <x:c r="FE317">
        <x:f t="shared" si="330"/>
        <x:v>0</x:v>
      </x:c>
      <x:c r="FF317">
        <x:f t="shared" si="331"/>
        <x:v>0</x:v>
      </x:c>
      <x:c r="FG317">
        <x:f t="shared" si="332"/>
        <x:v>0</x:v>
      </x:c>
      <x:c r="FH317">
        <x:f t="shared" si="333"/>
        <x:v>0</x:v>
      </x:c>
      <x:c r="FI317">
        <x:f t="shared" si="334"/>
        <x:v>0</x:v>
      </x:c>
      <x:c r="FJ317">
        <x:f t="shared" si="335"/>
        <x:v>0</x:v>
      </x:c>
      <x:c r="FK317">
        <x:f t="shared" si="336"/>
        <x:v>0</x:v>
      </x:c>
      <x:c r="FL317" s="41">
        <x:f t="shared" si="337"/>
        <x:v>0</x:v>
      </x:c>
      <x:c r="FM317">
        <x:f t="shared" si="338"/>
        <x:v>0</x:v>
      </x:c>
      <x:c r="FN317">
        <x:f t="shared" si="339"/>
        <x:v>0</x:v>
      </x:c>
      <x:c r="FO317">
        <x:f t="shared" si="340"/>
        <x:v>0</x:v>
      </x:c>
      <x:c r="FP317">
        <x:f t="shared" si="341"/>
        <x:v>0</x:v>
      </x:c>
      <x:c r="FQ317">
        <x:f t="shared" si="342"/>
        <x:v>0</x:v>
      </x:c>
      <x:c r="FR317">
        <x:f t="shared" si="343"/>
        <x:v>0</x:v>
      </x:c>
      <x:c r="FS317">
        <x:f t="shared" si="344"/>
        <x:v>0</x:v>
      </x:c>
      <x:c r="FT317">
        <x:f t="shared" si="345"/>
        <x:v>0</x:v>
      </x:c>
      <x:c r="FU317">
        <x:f t="shared" si="346"/>
        <x:v>0</x:v>
      </x:c>
      <x:c r="FV317">
        <x:f t="shared" si="347"/>
        <x:v>0</x:v>
      </x:c>
      <x:c r="FW317" s="41">
        <x:f t="shared" si="348"/>
        <x:v>0</x:v>
      </x:c>
      <x:c r="FX317">
        <x:f t="shared" si="349"/>
        <x:v>0</x:v>
      </x:c>
      <x:c r="FY317">
        <x:f t="shared" si="350"/>
        <x:v>0</x:v>
      </x:c>
      <x:c r="FZ317">
        <x:f t="shared" si="351"/>
        <x:v>0</x:v>
      </x:c>
      <x:c r="GA317">
        <x:f t="shared" si="352"/>
        <x:v>0</x:v>
      </x:c>
      <x:c r="GB317">
        <x:f t="shared" si="353"/>
        <x:v>0</x:v>
      </x:c>
      <x:c r="GC317">
        <x:f t="shared" si="354"/>
        <x:v>0</x:v>
      </x:c>
      <x:c r="GD317">
        <x:f t="shared" si="355"/>
        <x:v>0</x:v>
      </x:c>
      <x:c r="GE317">
        <x:f t="shared" si="356"/>
        <x:v>0</x:v>
      </x:c>
      <x:c r="GF317">
        <x:f t="shared" si="357"/>
        <x:v>0</x:v>
      </x:c>
      <x:c r="GG317">
        <x:f t="shared" si="358"/>
        <x:v>0</x:v>
      </x:c>
      <x:c r="GH317">
        <x:f t="shared" si="359"/>
        <x:v>0</x:v>
      </x:c>
      <x:c r="GI317">
        <x:f t="shared" si="360"/>
        <x:v>0</x:v>
      </x:c>
      <x:c r="GJ317">
        <x:f t="shared" si="361"/>
        <x:v>0</x:v>
      </x:c>
      <x:c r="GK317">
        <x:f t="shared" si="362"/>
        <x:v>0</x:v>
      </x:c>
      <x:c r="GL317">
        <x:f t="shared" si="363"/>
        <x:v>0</x:v>
      </x:c>
      <x:c r="GM317">
        <x:f t="shared" si="364"/>
        <x:v>0</x:v>
      </x:c>
      <x:c r="GN317">
        <x:f t="shared" si="365"/>
        <x:v>0</x:v>
      </x:c>
      <x:c r="GO317">
        <x:f t="shared" si="366"/>
        <x:v>0</x:v>
      </x:c>
      <x:c r="GP317">
        <x:f t="shared" si="367"/>
        <x:v>0</x:v>
      </x:c>
      <x:c r="GQ317">
        <x:f t="shared" si="368"/>
        <x:v>0</x:v>
      </x:c>
      <x:c r="GR317" s="42">
        <x:f t="shared" si="369"/>
        <x:v>0</x:v>
      </x:c>
      <x:c r="GS317">
        <x:f t="shared" si="370"/>
        <x:v>0</x:v>
      </x:c>
      <x:c r="GT317">
        <x:f t="shared" si="371"/>
        <x:v>0</x:v>
      </x:c>
      <x:c r="GU317">
        <x:f t="shared" si="372"/>
        <x:v>0</x:v>
      </x:c>
      <x:c r="GV317">
        <x:f t="shared" si="373"/>
        <x:v>0</x:v>
      </x:c>
      <x:c r="GW317">
        <x:f t="shared" si="374"/>
        <x:v>0</x:v>
      </x:c>
      <x:c r="GX317">
        <x:f t="shared" si="375"/>
        <x:v>0</x:v>
      </x:c>
      <x:c r="GY317">
        <x:f t="shared" si="376"/>
        <x:v>0</x:v>
      </x:c>
      <x:c r="GZ317">
        <x:f t="shared" si="377"/>
        <x:v>0</x:v>
      </x:c>
      <x:c r="HA317">
        <x:f t="shared" si="378"/>
        <x:v>0</x:v>
      </x:c>
      <x:c r="HB317" s="42">
        <x:f t="shared" si="379"/>
        <x:v>0</x:v>
      </x:c>
      <x:c r="HC317">
        <x:f t="shared" si="380"/>
        <x:v>0</x:v>
      </x:c>
      <x:c r="HD317">
        <x:f t="shared" si="381"/>
        <x:v>0</x:v>
      </x:c>
      <x:c r="HE317">
        <x:f t="shared" si="382"/>
        <x:v>0</x:v>
      </x:c>
      <x:c r="HF317">
        <x:f t="shared" si="383"/>
        <x:v>0</x:v>
      </x:c>
      <x:c r="HG317">
        <x:f t="shared" si="384"/>
        <x:v>0</x:v>
      </x:c>
      <x:c r="HH317">
        <x:f t="shared" si="385"/>
        <x:v>0</x:v>
      </x:c>
      <x:c r="HI317">
        <x:f t="shared" si="386"/>
        <x:v>0</x:v>
      </x:c>
      <x:c r="HJ317">
        <x:f t="shared" si="387"/>
        <x:v>0</x:v>
      </x:c>
      <x:c r="HK317">
        <x:f t="shared" si="388"/>
        <x:v>0</x:v>
      </x:c>
      <x:c r="HL317">
        <x:f t="shared" si="389"/>
        <x:v>0</x:v>
      </x:c>
    </x:row>
    <x:row r="318">
      <x:c r="D318" s="74"/>
      <x:c r="EQ318">
        <x:f t="shared" si="316"/>
        <x:v>0</x:v>
      </x:c>
      <x:c r="ER318">
        <x:f t="shared" si="317"/>
        <x:v>0</x:v>
      </x:c>
      <x:c r="ES318">
        <x:f t="shared" si="318"/>
        <x:v>0</x:v>
      </x:c>
      <x:c r="ET318">
        <x:f t="shared" si="319"/>
        <x:v>0</x:v>
      </x:c>
      <x:c r="EU318">
        <x:f t="shared" si="320"/>
        <x:v>0</x:v>
      </x:c>
      <x:c r="EV318">
        <x:f t="shared" si="321"/>
        <x:v>0</x:v>
      </x:c>
      <x:c r="EW318">
        <x:f t="shared" si="322"/>
        <x:v>0</x:v>
      </x:c>
      <x:c r="EX318">
        <x:f t="shared" si="323"/>
        <x:v>0</x:v>
      </x:c>
      <x:c r="EY318">
        <x:f t="shared" si="324"/>
        <x:v>0</x:v>
      </x:c>
      <x:c r="EZ318">
        <x:f t="shared" si="325"/>
        <x:v>0</x:v>
      </x:c>
      <x:c r="FA318" s="41">
        <x:f t="shared" si="326"/>
        <x:v>0</x:v>
      </x:c>
      <x:c r="FB318">
        <x:f t="shared" si="327"/>
        <x:v>0</x:v>
      </x:c>
      <x:c r="FC318">
        <x:f t="shared" si="328"/>
        <x:v>0</x:v>
      </x:c>
      <x:c r="FD318">
        <x:f t="shared" si="329"/>
        <x:v>0</x:v>
      </x:c>
      <x:c r="FE318">
        <x:f t="shared" si="330"/>
        <x:v>0</x:v>
      </x:c>
      <x:c r="FF318">
        <x:f t="shared" si="331"/>
        <x:v>0</x:v>
      </x:c>
      <x:c r="FG318">
        <x:f t="shared" si="332"/>
        <x:v>0</x:v>
      </x:c>
      <x:c r="FH318">
        <x:f t="shared" si="333"/>
        <x:v>0</x:v>
      </x:c>
      <x:c r="FI318">
        <x:f t="shared" si="334"/>
        <x:v>0</x:v>
      </x:c>
      <x:c r="FJ318">
        <x:f t="shared" si="335"/>
        <x:v>0</x:v>
      </x:c>
      <x:c r="FK318">
        <x:f t="shared" si="336"/>
        <x:v>0</x:v>
      </x:c>
      <x:c r="FL318" s="41">
        <x:f t="shared" si="337"/>
        <x:v>0</x:v>
      </x:c>
      <x:c r="FM318">
        <x:f t="shared" si="338"/>
        <x:v>0</x:v>
      </x:c>
      <x:c r="FN318">
        <x:f t="shared" si="339"/>
        <x:v>0</x:v>
      </x:c>
      <x:c r="FO318">
        <x:f t="shared" si="340"/>
        <x:v>0</x:v>
      </x:c>
      <x:c r="FP318">
        <x:f t="shared" si="341"/>
        <x:v>0</x:v>
      </x:c>
      <x:c r="FQ318">
        <x:f t="shared" si="342"/>
        <x:v>0</x:v>
      </x:c>
      <x:c r="FR318">
        <x:f t="shared" si="343"/>
        <x:v>0</x:v>
      </x:c>
      <x:c r="FS318">
        <x:f t="shared" si="344"/>
        <x:v>0</x:v>
      </x:c>
      <x:c r="FT318">
        <x:f t="shared" si="345"/>
        <x:v>0</x:v>
      </x:c>
      <x:c r="FU318">
        <x:f t="shared" si="346"/>
        <x:v>0</x:v>
      </x:c>
      <x:c r="FV318">
        <x:f t="shared" si="347"/>
        <x:v>0</x:v>
      </x:c>
      <x:c r="FW318" s="41">
        <x:f t="shared" si="348"/>
        <x:v>0</x:v>
      </x:c>
      <x:c r="FX318">
        <x:f t="shared" si="349"/>
        <x:v>0</x:v>
      </x:c>
      <x:c r="FY318">
        <x:f t="shared" si="350"/>
        <x:v>0</x:v>
      </x:c>
      <x:c r="FZ318">
        <x:f t="shared" si="351"/>
        <x:v>0</x:v>
      </x:c>
      <x:c r="GA318">
        <x:f t="shared" si="352"/>
        <x:v>0</x:v>
      </x:c>
      <x:c r="GB318">
        <x:f t="shared" si="353"/>
        <x:v>0</x:v>
      </x:c>
      <x:c r="GC318">
        <x:f t="shared" si="354"/>
        <x:v>0</x:v>
      </x:c>
      <x:c r="GD318">
        <x:f t="shared" si="355"/>
        <x:v>0</x:v>
      </x:c>
      <x:c r="GE318">
        <x:f t="shared" si="356"/>
        <x:v>0</x:v>
      </x:c>
      <x:c r="GF318">
        <x:f t="shared" si="357"/>
        <x:v>0</x:v>
      </x:c>
      <x:c r="GG318">
        <x:f t="shared" si="358"/>
        <x:v>0</x:v>
      </x:c>
      <x:c r="GH318">
        <x:f t="shared" si="359"/>
        <x:v>0</x:v>
      </x:c>
      <x:c r="GI318">
        <x:f t="shared" si="360"/>
        <x:v>0</x:v>
      </x:c>
      <x:c r="GJ318">
        <x:f t="shared" si="361"/>
        <x:v>0</x:v>
      </x:c>
      <x:c r="GK318">
        <x:f t="shared" si="362"/>
        <x:v>0</x:v>
      </x:c>
      <x:c r="GL318">
        <x:f t="shared" si="363"/>
        <x:v>0</x:v>
      </x:c>
      <x:c r="GM318">
        <x:f t="shared" si="364"/>
        <x:v>0</x:v>
      </x:c>
      <x:c r="GN318">
        <x:f t="shared" si="365"/>
        <x:v>0</x:v>
      </x:c>
      <x:c r="GO318">
        <x:f t="shared" si="366"/>
        <x:v>0</x:v>
      </x:c>
      <x:c r="GP318">
        <x:f t="shared" si="367"/>
        <x:v>0</x:v>
      </x:c>
      <x:c r="GQ318">
        <x:f t="shared" si="368"/>
        <x:v>0</x:v>
      </x:c>
      <x:c r="GR318" s="42">
        <x:f t="shared" si="369"/>
        <x:v>0</x:v>
      </x:c>
      <x:c r="GS318">
        <x:f t="shared" si="370"/>
        <x:v>0</x:v>
      </x:c>
      <x:c r="GT318">
        <x:f t="shared" si="371"/>
        <x:v>0</x:v>
      </x:c>
      <x:c r="GU318">
        <x:f t="shared" si="372"/>
        <x:v>0</x:v>
      </x:c>
      <x:c r="GV318">
        <x:f t="shared" si="373"/>
        <x:v>0</x:v>
      </x:c>
      <x:c r="GW318">
        <x:f t="shared" si="374"/>
        <x:v>0</x:v>
      </x:c>
      <x:c r="GX318">
        <x:f t="shared" si="375"/>
        <x:v>0</x:v>
      </x:c>
      <x:c r="GY318">
        <x:f t="shared" si="376"/>
        <x:v>0</x:v>
      </x:c>
      <x:c r="GZ318">
        <x:f t="shared" si="377"/>
        <x:v>0</x:v>
      </x:c>
      <x:c r="HA318">
        <x:f t="shared" si="378"/>
        <x:v>0</x:v>
      </x:c>
      <x:c r="HB318" s="42">
        <x:f t="shared" si="379"/>
        <x:v>0</x:v>
      </x:c>
      <x:c r="HC318">
        <x:f t="shared" si="380"/>
        <x:v>0</x:v>
      </x:c>
      <x:c r="HD318">
        <x:f t="shared" si="381"/>
        <x:v>0</x:v>
      </x:c>
      <x:c r="HE318">
        <x:f t="shared" si="382"/>
        <x:v>0</x:v>
      </x:c>
      <x:c r="HF318">
        <x:f t="shared" si="383"/>
        <x:v>0</x:v>
      </x:c>
      <x:c r="HG318">
        <x:f t="shared" si="384"/>
        <x:v>0</x:v>
      </x:c>
      <x:c r="HH318">
        <x:f t="shared" si="385"/>
        <x:v>0</x:v>
      </x:c>
      <x:c r="HI318">
        <x:f t="shared" si="386"/>
        <x:v>0</x:v>
      </x:c>
      <x:c r="HJ318">
        <x:f t="shared" si="387"/>
        <x:v>0</x:v>
      </x:c>
      <x:c r="HK318">
        <x:f t="shared" si="388"/>
        <x:v>0</x:v>
      </x:c>
      <x:c r="HL318">
        <x:f t="shared" si="389"/>
        <x:v>0</x:v>
      </x:c>
    </x:row>
    <x:row r="319">
      <x:c r="D319" s="74"/>
      <x:c r="EQ319">
        <x:f t="shared" si="316"/>
        <x:v>0</x:v>
      </x:c>
      <x:c r="ER319">
        <x:f t="shared" si="317"/>
        <x:v>0</x:v>
      </x:c>
      <x:c r="ES319">
        <x:f t="shared" si="318"/>
        <x:v>0</x:v>
      </x:c>
      <x:c r="ET319">
        <x:f t="shared" si="319"/>
        <x:v>0</x:v>
      </x:c>
      <x:c r="EU319">
        <x:f t="shared" si="320"/>
        <x:v>0</x:v>
      </x:c>
      <x:c r="EV319">
        <x:f t="shared" si="321"/>
        <x:v>0</x:v>
      </x:c>
      <x:c r="EW319">
        <x:f t="shared" si="322"/>
        <x:v>0</x:v>
      </x:c>
      <x:c r="EX319">
        <x:f t="shared" si="323"/>
        <x:v>0</x:v>
      </x:c>
      <x:c r="EY319">
        <x:f t="shared" si="324"/>
        <x:v>0</x:v>
      </x:c>
      <x:c r="EZ319">
        <x:f t="shared" si="325"/>
        <x:v>0</x:v>
      </x:c>
      <x:c r="FA319" s="41">
        <x:f t="shared" si="326"/>
        <x:v>0</x:v>
      </x:c>
      <x:c r="FB319">
        <x:f t="shared" si="327"/>
        <x:v>0</x:v>
      </x:c>
      <x:c r="FC319">
        <x:f t="shared" si="328"/>
        <x:v>0</x:v>
      </x:c>
      <x:c r="FD319">
        <x:f t="shared" si="329"/>
        <x:v>0</x:v>
      </x:c>
      <x:c r="FE319">
        <x:f t="shared" si="330"/>
        <x:v>0</x:v>
      </x:c>
      <x:c r="FF319">
        <x:f t="shared" si="331"/>
        <x:v>0</x:v>
      </x:c>
      <x:c r="FG319">
        <x:f t="shared" si="332"/>
        <x:v>0</x:v>
      </x:c>
      <x:c r="FH319">
        <x:f t="shared" si="333"/>
        <x:v>0</x:v>
      </x:c>
      <x:c r="FI319">
        <x:f t="shared" si="334"/>
        <x:v>0</x:v>
      </x:c>
      <x:c r="FJ319">
        <x:f t="shared" si="335"/>
        <x:v>0</x:v>
      </x:c>
      <x:c r="FK319">
        <x:f t="shared" si="336"/>
        <x:v>0</x:v>
      </x:c>
      <x:c r="FL319" s="41">
        <x:f t="shared" si="337"/>
        <x:v>0</x:v>
      </x:c>
      <x:c r="FM319">
        <x:f t="shared" si="338"/>
        <x:v>0</x:v>
      </x:c>
      <x:c r="FN319">
        <x:f t="shared" si="339"/>
        <x:v>0</x:v>
      </x:c>
      <x:c r="FO319">
        <x:f t="shared" si="340"/>
        <x:v>0</x:v>
      </x:c>
      <x:c r="FP319">
        <x:f t="shared" si="341"/>
        <x:v>0</x:v>
      </x:c>
      <x:c r="FQ319">
        <x:f t="shared" si="342"/>
        <x:v>0</x:v>
      </x:c>
      <x:c r="FR319">
        <x:f t="shared" si="343"/>
        <x:v>0</x:v>
      </x:c>
      <x:c r="FS319">
        <x:f t="shared" si="344"/>
        <x:v>0</x:v>
      </x:c>
      <x:c r="FT319">
        <x:f t="shared" si="345"/>
        <x:v>0</x:v>
      </x:c>
      <x:c r="FU319">
        <x:f t="shared" si="346"/>
        <x:v>0</x:v>
      </x:c>
      <x:c r="FV319">
        <x:f t="shared" si="347"/>
        <x:v>0</x:v>
      </x:c>
      <x:c r="FW319" s="41">
        <x:f t="shared" si="348"/>
        <x:v>0</x:v>
      </x:c>
      <x:c r="FX319">
        <x:f t="shared" si="349"/>
        <x:v>0</x:v>
      </x:c>
      <x:c r="FY319">
        <x:f t="shared" si="350"/>
        <x:v>0</x:v>
      </x:c>
      <x:c r="FZ319">
        <x:f t="shared" si="351"/>
        <x:v>0</x:v>
      </x:c>
      <x:c r="GA319">
        <x:f t="shared" si="352"/>
        <x:v>0</x:v>
      </x:c>
      <x:c r="GB319">
        <x:f t="shared" si="353"/>
        <x:v>0</x:v>
      </x:c>
      <x:c r="GC319">
        <x:f t="shared" si="354"/>
        <x:v>0</x:v>
      </x:c>
      <x:c r="GD319">
        <x:f t="shared" si="355"/>
        <x:v>0</x:v>
      </x:c>
      <x:c r="GE319">
        <x:f t="shared" si="356"/>
        <x:v>0</x:v>
      </x:c>
      <x:c r="GF319">
        <x:f t="shared" si="357"/>
        <x:v>0</x:v>
      </x:c>
      <x:c r="GG319">
        <x:f t="shared" si="358"/>
        <x:v>0</x:v>
      </x:c>
      <x:c r="GH319">
        <x:f t="shared" si="359"/>
        <x:v>0</x:v>
      </x:c>
      <x:c r="GI319">
        <x:f t="shared" si="360"/>
        <x:v>0</x:v>
      </x:c>
      <x:c r="GJ319">
        <x:f t="shared" si="361"/>
        <x:v>0</x:v>
      </x:c>
      <x:c r="GK319">
        <x:f t="shared" si="362"/>
        <x:v>0</x:v>
      </x:c>
      <x:c r="GL319">
        <x:f t="shared" si="363"/>
        <x:v>0</x:v>
      </x:c>
      <x:c r="GM319">
        <x:f t="shared" si="364"/>
        <x:v>0</x:v>
      </x:c>
      <x:c r="GN319">
        <x:f t="shared" si="365"/>
        <x:v>0</x:v>
      </x:c>
      <x:c r="GO319">
        <x:f t="shared" si="366"/>
        <x:v>0</x:v>
      </x:c>
      <x:c r="GP319">
        <x:f t="shared" si="367"/>
        <x:v>0</x:v>
      </x:c>
      <x:c r="GQ319">
        <x:f t="shared" si="368"/>
        <x:v>0</x:v>
      </x:c>
      <x:c r="GR319" s="42">
        <x:f t="shared" si="369"/>
        <x:v>0</x:v>
      </x:c>
      <x:c r="GS319">
        <x:f t="shared" si="370"/>
        <x:v>0</x:v>
      </x:c>
      <x:c r="GT319">
        <x:f t="shared" si="371"/>
        <x:v>0</x:v>
      </x:c>
      <x:c r="GU319">
        <x:f t="shared" si="372"/>
        <x:v>0</x:v>
      </x:c>
      <x:c r="GV319">
        <x:f t="shared" si="373"/>
        <x:v>0</x:v>
      </x:c>
      <x:c r="GW319">
        <x:f t="shared" si="374"/>
        <x:v>0</x:v>
      </x:c>
      <x:c r="GX319">
        <x:f t="shared" si="375"/>
        <x:v>0</x:v>
      </x:c>
      <x:c r="GY319">
        <x:f t="shared" si="376"/>
        <x:v>0</x:v>
      </x:c>
      <x:c r="GZ319">
        <x:f t="shared" si="377"/>
        <x:v>0</x:v>
      </x:c>
      <x:c r="HA319">
        <x:f t="shared" si="378"/>
        <x:v>0</x:v>
      </x:c>
      <x:c r="HB319" s="42">
        <x:f t="shared" si="379"/>
        <x:v>0</x:v>
      </x:c>
      <x:c r="HC319">
        <x:f t="shared" si="380"/>
        <x:v>0</x:v>
      </x:c>
      <x:c r="HD319">
        <x:f t="shared" si="381"/>
        <x:v>0</x:v>
      </x:c>
      <x:c r="HE319">
        <x:f t="shared" si="382"/>
        <x:v>0</x:v>
      </x:c>
      <x:c r="HF319">
        <x:f t="shared" si="383"/>
        <x:v>0</x:v>
      </x:c>
      <x:c r="HG319">
        <x:f t="shared" si="384"/>
        <x:v>0</x:v>
      </x:c>
      <x:c r="HH319">
        <x:f t="shared" si="385"/>
        <x:v>0</x:v>
      </x:c>
      <x:c r="HI319">
        <x:f t="shared" si="386"/>
        <x:v>0</x:v>
      </x:c>
      <x:c r="HJ319">
        <x:f t="shared" si="387"/>
        <x:v>0</x:v>
      </x:c>
      <x:c r="HK319">
        <x:f t="shared" si="388"/>
        <x:v>0</x:v>
      </x:c>
      <x:c r="HL319">
        <x:f t="shared" si="389"/>
        <x:v>0</x:v>
      </x:c>
    </x:row>
    <x:row r="320">
      <x:c r="D320" s="74"/>
      <x:c r="EQ320">
        <x:f t="shared" si="316"/>
        <x:v>0</x:v>
      </x:c>
      <x:c r="ER320">
        <x:f t="shared" si="317"/>
        <x:v>0</x:v>
      </x:c>
      <x:c r="ES320">
        <x:f t="shared" si="318"/>
        <x:v>0</x:v>
      </x:c>
      <x:c r="ET320">
        <x:f t="shared" si="319"/>
        <x:v>0</x:v>
      </x:c>
      <x:c r="EU320">
        <x:f t="shared" si="320"/>
        <x:v>0</x:v>
      </x:c>
      <x:c r="EV320">
        <x:f t="shared" si="321"/>
        <x:v>0</x:v>
      </x:c>
      <x:c r="EW320">
        <x:f t="shared" si="322"/>
        <x:v>0</x:v>
      </x:c>
      <x:c r="EX320">
        <x:f t="shared" si="323"/>
        <x:v>0</x:v>
      </x:c>
      <x:c r="EY320">
        <x:f t="shared" si="324"/>
        <x:v>0</x:v>
      </x:c>
      <x:c r="EZ320">
        <x:f t="shared" si="325"/>
        <x:v>0</x:v>
      </x:c>
      <x:c r="FA320" s="41">
        <x:f t="shared" si="326"/>
        <x:v>0</x:v>
      </x:c>
      <x:c r="FB320">
        <x:f t="shared" si="327"/>
        <x:v>0</x:v>
      </x:c>
      <x:c r="FC320">
        <x:f t="shared" si="328"/>
        <x:v>0</x:v>
      </x:c>
      <x:c r="FD320">
        <x:f t="shared" si="329"/>
        <x:v>0</x:v>
      </x:c>
      <x:c r="FE320">
        <x:f t="shared" si="330"/>
        <x:v>0</x:v>
      </x:c>
      <x:c r="FF320">
        <x:f t="shared" si="331"/>
        <x:v>0</x:v>
      </x:c>
      <x:c r="FG320">
        <x:f t="shared" si="332"/>
        <x:v>0</x:v>
      </x:c>
      <x:c r="FH320">
        <x:f t="shared" si="333"/>
        <x:v>0</x:v>
      </x:c>
      <x:c r="FI320">
        <x:f t="shared" si="334"/>
        <x:v>0</x:v>
      </x:c>
      <x:c r="FJ320">
        <x:f t="shared" si="335"/>
        <x:v>0</x:v>
      </x:c>
      <x:c r="FK320">
        <x:f t="shared" si="336"/>
        <x:v>0</x:v>
      </x:c>
      <x:c r="FL320" s="41">
        <x:f t="shared" si="337"/>
        <x:v>0</x:v>
      </x:c>
      <x:c r="FM320">
        <x:f t="shared" si="338"/>
        <x:v>0</x:v>
      </x:c>
      <x:c r="FN320">
        <x:f t="shared" si="339"/>
        <x:v>0</x:v>
      </x:c>
      <x:c r="FO320">
        <x:f t="shared" si="340"/>
        <x:v>0</x:v>
      </x:c>
      <x:c r="FP320">
        <x:f t="shared" si="341"/>
        <x:v>0</x:v>
      </x:c>
      <x:c r="FQ320">
        <x:f t="shared" si="342"/>
        <x:v>0</x:v>
      </x:c>
      <x:c r="FR320">
        <x:f t="shared" si="343"/>
        <x:v>0</x:v>
      </x:c>
      <x:c r="FS320">
        <x:f t="shared" si="344"/>
        <x:v>0</x:v>
      </x:c>
      <x:c r="FT320">
        <x:f t="shared" si="345"/>
        <x:v>0</x:v>
      </x:c>
      <x:c r="FU320">
        <x:f t="shared" si="346"/>
        <x:v>0</x:v>
      </x:c>
      <x:c r="FV320">
        <x:f t="shared" si="347"/>
        <x:v>0</x:v>
      </x:c>
      <x:c r="FW320" s="41">
        <x:f t="shared" si="348"/>
        <x:v>0</x:v>
      </x:c>
      <x:c r="FX320">
        <x:f t="shared" si="349"/>
        <x:v>0</x:v>
      </x:c>
      <x:c r="FY320">
        <x:f t="shared" si="350"/>
        <x:v>0</x:v>
      </x:c>
      <x:c r="FZ320">
        <x:f t="shared" si="351"/>
        <x:v>0</x:v>
      </x:c>
      <x:c r="GA320">
        <x:f t="shared" si="352"/>
        <x:v>0</x:v>
      </x:c>
      <x:c r="GB320">
        <x:f t="shared" si="353"/>
        <x:v>0</x:v>
      </x:c>
      <x:c r="GC320">
        <x:f t="shared" si="354"/>
        <x:v>0</x:v>
      </x:c>
      <x:c r="GD320">
        <x:f t="shared" si="355"/>
        <x:v>0</x:v>
      </x:c>
      <x:c r="GE320">
        <x:f t="shared" si="356"/>
        <x:v>0</x:v>
      </x:c>
      <x:c r="GF320">
        <x:f t="shared" si="357"/>
        <x:v>0</x:v>
      </x:c>
      <x:c r="GG320">
        <x:f t="shared" si="358"/>
        <x:v>0</x:v>
      </x:c>
      <x:c r="GH320">
        <x:f t="shared" si="359"/>
        <x:v>0</x:v>
      </x:c>
      <x:c r="GI320">
        <x:f t="shared" si="360"/>
        <x:v>0</x:v>
      </x:c>
      <x:c r="GJ320">
        <x:f t="shared" si="361"/>
        <x:v>0</x:v>
      </x:c>
      <x:c r="GK320">
        <x:f t="shared" si="362"/>
        <x:v>0</x:v>
      </x:c>
      <x:c r="GL320">
        <x:f t="shared" si="363"/>
        <x:v>0</x:v>
      </x:c>
      <x:c r="GM320">
        <x:f t="shared" si="364"/>
        <x:v>0</x:v>
      </x:c>
      <x:c r="GN320">
        <x:f t="shared" si="365"/>
        <x:v>0</x:v>
      </x:c>
      <x:c r="GO320">
        <x:f t="shared" si="366"/>
        <x:v>0</x:v>
      </x:c>
      <x:c r="GP320">
        <x:f t="shared" si="367"/>
        <x:v>0</x:v>
      </x:c>
      <x:c r="GQ320">
        <x:f t="shared" si="368"/>
        <x:v>0</x:v>
      </x:c>
      <x:c r="GR320" s="42">
        <x:f t="shared" si="369"/>
        <x:v>0</x:v>
      </x:c>
      <x:c r="GS320">
        <x:f t="shared" si="370"/>
        <x:v>0</x:v>
      </x:c>
      <x:c r="GT320">
        <x:f t="shared" si="371"/>
        <x:v>0</x:v>
      </x:c>
      <x:c r="GU320">
        <x:f t="shared" si="372"/>
        <x:v>0</x:v>
      </x:c>
      <x:c r="GV320">
        <x:f t="shared" si="373"/>
        <x:v>0</x:v>
      </x:c>
      <x:c r="GW320">
        <x:f t="shared" si="374"/>
        <x:v>0</x:v>
      </x:c>
      <x:c r="GX320">
        <x:f t="shared" si="375"/>
        <x:v>0</x:v>
      </x:c>
      <x:c r="GY320">
        <x:f t="shared" si="376"/>
        <x:v>0</x:v>
      </x:c>
      <x:c r="GZ320">
        <x:f t="shared" si="377"/>
        <x:v>0</x:v>
      </x:c>
      <x:c r="HA320">
        <x:f t="shared" si="378"/>
        <x:v>0</x:v>
      </x:c>
      <x:c r="HB320" s="42">
        <x:f t="shared" si="379"/>
        <x:v>0</x:v>
      </x:c>
      <x:c r="HC320">
        <x:f t="shared" si="380"/>
        <x:v>0</x:v>
      </x:c>
      <x:c r="HD320">
        <x:f t="shared" si="381"/>
        <x:v>0</x:v>
      </x:c>
      <x:c r="HE320">
        <x:f t="shared" si="382"/>
        <x:v>0</x:v>
      </x:c>
      <x:c r="HF320">
        <x:f t="shared" si="383"/>
        <x:v>0</x:v>
      </x:c>
      <x:c r="HG320">
        <x:f t="shared" si="384"/>
        <x:v>0</x:v>
      </x:c>
      <x:c r="HH320">
        <x:f t="shared" si="385"/>
        <x:v>0</x:v>
      </x:c>
      <x:c r="HI320">
        <x:f t="shared" si="386"/>
        <x:v>0</x:v>
      </x:c>
      <x:c r="HJ320">
        <x:f t="shared" si="387"/>
        <x:v>0</x:v>
      </x:c>
      <x:c r="HK320">
        <x:f t="shared" si="388"/>
        <x:v>0</x:v>
      </x:c>
      <x:c r="HL320">
        <x:f t="shared" si="389"/>
        <x:v>0</x:v>
      </x:c>
    </x:row>
    <x:row r="321">
      <x:c r="D321" s="74"/>
      <x:c r="EQ321">
        <x:f t="shared" si="316"/>
        <x:v>0</x:v>
      </x:c>
      <x:c r="ER321">
        <x:f t="shared" si="317"/>
        <x:v>0</x:v>
      </x:c>
      <x:c r="ES321">
        <x:f t="shared" si="318"/>
        <x:v>0</x:v>
      </x:c>
      <x:c r="ET321">
        <x:f t="shared" si="319"/>
        <x:v>0</x:v>
      </x:c>
      <x:c r="EU321">
        <x:f t="shared" si="320"/>
        <x:v>0</x:v>
      </x:c>
      <x:c r="EV321">
        <x:f t="shared" si="321"/>
        <x:v>0</x:v>
      </x:c>
      <x:c r="EW321">
        <x:f t="shared" si="322"/>
        <x:v>0</x:v>
      </x:c>
      <x:c r="EX321">
        <x:f t="shared" si="323"/>
        <x:v>0</x:v>
      </x:c>
      <x:c r="EY321">
        <x:f t="shared" si="324"/>
        <x:v>0</x:v>
      </x:c>
      <x:c r="EZ321">
        <x:f t="shared" si="325"/>
        <x:v>0</x:v>
      </x:c>
      <x:c r="FA321" s="41">
        <x:f t="shared" si="326"/>
        <x:v>0</x:v>
      </x:c>
      <x:c r="FB321">
        <x:f t="shared" si="327"/>
        <x:v>0</x:v>
      </x:c>
      <x:c r="FC321">
        <x:f t="shared" si="328"/>
        <x:v>0</x:v>
      </x:c>
      <x:c r="FD321">
        <x:f t="shared" si="329"/>
        <x:v>0</x:v>
      </x:c>
      <x:c r="FE321">
        <x:f t="shared" si="330"/>
        <x:v>0</x:v>
      </x:c>
      <x:c r="FF321">
        <x:f t="shared" si="331"/>
        <x:v>0</x:v>
      </x:c>
      <x:c r="FG321">
        <x:f t="shared" si="332"/>
        <x:v>0</x:v>
      </x:c>
      <x:c r="FH321">
        <x:f t="shared" si="333"/>
        <x:v>0</x:v>
      </x:c>
      <x:c r="FI321">
        <x:f t="shared" si="334"/>
        <x:v>0</x:v>
      </x:c>
      <x:c r="FJ321">
        <x:f t="shared" si="335"/>
        <x:v>0</x:v>
      </x:c>
      <x:c r="FK321">
        <x:f t="shared" si="336"/>
        <x:v>0</x:v>
      </x:c>
      <x:c r="FL321" s="41">
        <x:f t="shared" si="337"/>
        <x:v>0</x:v>
      </x:c>
      <x:c r="FM321">
        <x:f t="shared" si="338"/>
        <x:v>0</x:v>
      </x:c>
      <x:c r="FN321">
        <x:f t="shared" si="339"/>
        <x:v>0</x:v>
      </x:c>
      <x:c r="FO321">
        <x:f t="shared" si="340"/>
        <x:v>0</x:v>
      </x:c>
      <x:c r="FP321">
        <x:f t="shared" si="341"/>
        <x:v>0</x:v>
      </x:c>
      <x:c r="FQ321">
        <x:f t="shared" si="342"/>
        <x:v>0</x:v>
      </x:c>
      <x:c r="FR321">
        <x:f t="shared" si="343"/>
        <x:v>0</x:v>
      </x:c>
      <x:c r="FS321">
        <x:f t="shared" si="344"/>
        <x:v>0</x:v>
      </x:c>
      <x:c r="FT321">
        <x:f t="shared" si="345"/>
        <x:v>0</x:v>
      </x:c>
      <x:c r="FU321">
        <x:f t="shared" si="346"/>
        <x:v>0</x:v>
      </x:c>
      <x:c r="FV321">
        <x:f t="shared" si="347"/>
        <x:v>0</x:v>
      </x:c>
      <x:c r="FW321" s="41">
        <x:f t="shared" si="348"/>
        <x:v>0</x:v>
      </x:c>
      <x:c r="FX321">
        <x:f t="shared" si="349"/>
        <x:v>0</x:v>
      </x:c>
      <x:c r="FY321">
        <x:f t="shared" si="350"/>
        <x:v>0</x:v>
      </x:c>
      <x:c r="FZ321">
        <x:f t="shared" si="351"/>
        <x:v>0</x:v>
      </x:c>
      <x:c r="GA321">
        <x:f t="shared" si="352"/>
        <x:v>0</x:v>
      </x:c>
      <x:c r="GB321">
        <x:f t="shared" si="353"/>
        <x:v>0</x:v>
      </x:c>
      <x:c r="GC321">
        <x:f t="shared" si="354"/>
        <x:v>0</x:v>
      </x:c>
      <x:c r="GD321">
        <x:f t="shared" si="355"/>
        <x:v>0</x:v>
      </x:c>
      <x:c r="GE321">
        <x:f t="shared" si="356"/>
        <x:v>0</x:v>
      </x:c>
      <x:c r="GF321">
        <x:f t="shared" si="357"/>
        <x:v>0</x:v>
      </x:c>
      <x:c r="GG321">
        <x:f t="shared" si="358"/>
        <x:v>0</x:v>
      </x:c>
      <x:c r="GH321">
        <x:f t="shared" si="359"/>
        <x:v>0</x:v>
      </x:c>
      <x:c r="GI321">
        <x:f t="shared" si="360"/>
        <x:v>0</x:v>
      </x:c>
      <x:c r="GJ321">
        <x:f t="shared" si="361"/>
        <x:v>0</x:v>
      </x:c>
      <x:c r="GK321">
        <x:f t="shared" si="362"/>
        <x:v>0</x:v>
      </x:c>
      <x:c r="GL321">
        <x:f t="shared" si="363"/>
        <x:v>0</x:v>
      </x:c>
      <x:c r="GM321">
        <x:f t="shared" si="364"/>
        <x:v>0</x:v>
      </x:c>
      <x:c r="GN321">
        <x:f t="shared" si="365"/>
        <x:v>0</x:v>
      </x:c>
      <x:c r="GO321">
        <x:f t="shared" si="366"/>
        <x:v>0</x:v>
      </x:c>
      <x:c r="GP321">
        <x:f t="shared" si="367"/>
        <x:v>0</x:v>
      </x:c>
      <x:c r="GQ321">
        <x:f t="shared" si="368"/>
        <x:v>0</x:v>
      </x:c>
      <x:c r="GR321" s="42">
        <x:f t="shared" si="369"/>
        <x:v>0</x:v>
      </x:c>
      <x:c r="GS321">
        <x:f t="shared" si="370"/>
        <x:v>0</x:v>
      </x:c>
      <x:c r="GT321">
        <x:f t="shared" si="371"/>
        <x:v>0</x:v>
      </x:c>
      <x:c r="GU321">
        <x:f t="shared" si="372"/>
        <x:v>0</x:v>
      </x:c>
      <x:c r="GV321">
        <x:f t="shared" si="373"/>
        <x:v>0</x:v>
      </x:c>
      <x:c r="GW321">
        <x:f t="shared" si="374"/>
        <x:v>0</x:v>
      </x:c>
      <x:c r="GX321">
        <x:f t="shared" si="375"/>
        <x:v>0</x:v>
      </x:c>
      <x:c r="GY321">
        <x:f t="shared" si="376"/>
        <x:v>0</x:v>
      </x:c>
      <x:c r="GZ321">
        <x:f t="shared" si="377"/>
        <x:v>0</x:v>
      </x:c>
      <x:c r="HA321">
        <x:f t="shared" si="378"/>
        <x:v>0</x:v>
      </x:c>
      <x:c r="HB321" s="42">
        <x:f t="shared" si="379"/>
        <x:v>0</x:v>
      </x:c>
      <x:c r="HC321">
        <x:f t="shared" si="380"/>
        <x:v>0</x:v>
      </x:c>
      <x:c r="HD321">
        <x:f t="shared" si="381"/>
        <x:v>0</x:v>
      </x:c>
      <x:c r="HE321">
        <x:f t="shared" si="382"/>
        <x:v>0</x:v>
      </x:c>
      <x:c r="HF321">
        <x:f t="shared" si="383"/>
        <x:v>0</x:v>
      </x:c>
      <x:c r="HG321">
        <x:f t="shared" si="384"/>
        <x:v>0</x:v>
      </x:c>
      <x:c r="HH321">
        <x:f t="shared" si="385"/>
        <x:v>0</x:v>
      </x:c>
      <x:c r="HI321">
        <x:f t="shared" si="386"/>
        <x:v>0</x:v>
      </x:c>
      <x:c r="HJ321">
        <x:f t="shared" si="387"/>
        <x:v>0</x:v>
      </x:c>
      <x:c r="HK321">
        <x:f t="shared" si="388"/>
        <x:v>0</x:v>
      </x:c>
      <x:c r="HL321">
        <x:f t="shared" si="389"/>
        <x:v>0</x:v>
      </x:c>
    </x:row>
    <x:row r="322">
      <x:c r="D322" s="74"/>
      <x:c r="EQ322">
        <x:f t="shared" si="316"/>
        <x:v>0</x:v>
      </x:c>
      <x:c r="ER322">
        <x:f t="shared" si="317"/>
        <x:v>0</x:v>
      </x:c>
      <x:c r="ES322">
        <x:f t="shared" si="318"/>
        <x:v>0</x:v>
      </x:c>
      <x:c r="ET322">
        <x:f t="shared" si="319"/>
        <x:v>0</x:v>
      </x:c>
      <x:c r="EU322">
        <x:f t="shared" si="320"/>
        <x:v>0</x:v>
      </x:c>
      <x:c r="EV322">
        <x:f t="shared" si="321"/>
        <x:v>0</x:v>
      </x:c>
      <x:c r="EW322">
        <x:f t="shared" si="322"/>
        <x:v>0</x:v>
      </x:c>
      <x:c r="EX322">
        <x:f t="shared" si="323"/>
        <x:v>0</x:v>
      </x:c>
      <x:c r="EY322">
        <x:f t="shared" si="324"/>
        <x:v>0</x:v>
      </x:c>
      <x:c r="EZ322">
        <x:f t="shared" si="325"/>
        <x:v>0</x:v>
      </x:c>
      <x:c r="FA322" s="41">
        <x:f t="shared" si="326"/>
        <x:v>0</x:v>
      </x:c>
      <x:c r="FB322">
        <x:f t="shared" si="327"/>
        <x:v>0</x:v>
      </x:c>
      <x:c r="FC322">
        <x:f t="shared" si="328"/>
        <x:v>0</x:v>
      </x:c>
      <x:c r="FD322">
        <x:f t="shared" si="329"/>
        <x:v>0</x:v>
      </x:c>
      <x:c r="FE322">
        <x:f t="shared" si="330"/>
        <x:v>0</x:v>
      </x:c>
      <x:c r="FF322">
        <x:f t="shared" si="331"/>
        <x:v>0</x:v>
      </x:c>
      <x:c r="FG322">
        <x:f t="shared" si="332"/>
        <x:v>0</x:v>
      </x:c>
      <x:c r="FH322">
        <x:f t="shared" si="333"/>
        <x:v>0</x:v>
      </x:c>
      <x:c r="FI322">
        <x:f t="shared" si="334"/>
        <x:v>0</x:v>
      </x:c>
      <x:c r="FJ322">
        <x:f t="shared" si="335"/>
        <x:v>0</x:v>
      </x:c>
      <x:c r="FK322">
        <x:f t="shared" si="336"/>
        <x:v>0</x:v>
      </x:c>
      <x:c r="FL322" s="41">
        <x:f t="shared" si="337"/>
        <x:v>0</x:v>
      </x:c>
      <x:c r="FM322">
        <x:f t="shared" si="338"/>
        <x:v>0</x:v>
      </x:c>
      <x:c r="FN322">
        <x:f t="shared" si="339"/>
        <x:v>0</x:v>
      </x:c>
      <x:c r="FO322">
        <x:f t="shared" si="340"/>
        <x:v>0</x:v>
      </x:c>
      <x:c r="FP322">
        <x:f t="shared" si="341"/>
        <x:v>0</x:v>
      </x:c>
      <x:c r="FQ322">
        <x:f t="shared" si="342"/>
        <x:v>0</x:v>
      </x:c>
      <x:c r="FR322">
        <x:f t="shared" si="343"/>
        <x:v>0</x:v>
      </x:c>
      <x:c r="FS322">
        <x:f t="shared" si="344"/>
        <x:v>0</x:v>
      </x:c>
      <x:c r="FT322">
        <x:f t="shared" si="345"/>
        <x:v>0</x:v>
      </x:c>
      <x:c r="FU322">
        <x:f t="shared" si="346"/>
        <x:v>0</x:v>
      </x:c>
      <x:c r="FV322">
        <x:f t="shared" si="347"/>
        <x:v>0</x:v>
      </x:c>
      <x:c r="FW322" s="41">
        <x:f t="shared" si="348"/>
        <x:v>0</x:v>
      </x:c>
      <x:c r="FX322">
        <x:f t="shared" si="349"/>
        <x:v>0</x:v>
      </x:c>
      <x:c r="FY322">
        <x:f t="shared" si="350"/>
        <x:v>0</x:v>
      </x:c>
      <x:c r="FZ322">
        <x:f t="shared" si="351"/>
        <x:v>0</x:v>
      </x:c>
      <x:c r="GA322">
        <x:f t="shared" si="352"/>
        <x:v>0</x:v>
      </x:c>
      <x:c r="GB322">
        <x:f t="shared" si="353"/>
        <x:v>0</x:v>
      </x:c>
      <x:c r="GC322">
        <x:f t="shared" si="354"/>
        <x:v>0</x:v>
      </x:c>
      <x:c r="GD322">
        <x:f t="shared" si="355"/>
        <x:v>0</x:v>
      </x:c>
      <x:c r="GE322">
        <x:f t="shared" si="356"/>
        <x:v>0</x:v>
      </x:c>
      <x:c r="GF322">
        <x:f t="shared" si="357"/>
        <x:v>0</x:v>
      </x:c>
      <x:c r="GG322">
        <x:f t="shared" si="358"/>
        <x:v>0</x:v>
      </x:c>
      <x:c r="GH322">
        <x:f t="shared" si="359"/>
        <x:v>0</x:v>
      </x:c>
      <x:c r="GI322">
        <x:f t="shared" si="360"/>
        <x:v>0</x:v>
      </x:c>
      <x:c r="GJ322">
        <x:f t="shared" si="361"/>
        <x:v>0</x:v>
      </x:c>
      <x:c r="GK322">
        <x:f t="shared" si="362"/>
        <x:v>0</x:v>
      </x:c>
      <x:c r="GL322">
        <x:f t="shared" si="363"/>
        <x:v>0</x:v>
      </x:c>
      <x:c r="GM322">
        <x:f t="shared" si="364"/>
        <x:v>0</x:v>
      </x:c>
      <x:c r="GN322">
        <x:f t="shared" si="365"/>
        <x:v>0</x:v>
      </x:c>
      <x:c r="GO322">
        <x:f t="shared" si="366"/>
        <x:v>0</x:v>
      </x:c>
      <x:c r="GP322">
        <x:f t="shared" si="367"/>
        <x:v>0</x:v>
      </x:c>
      <x:c r="GQ322">
        <x:f t="shared" si="368"/>
        <x:v>0</x:v>
      </x:c>
      <x:c r="GR322" s="42">
        <x:f t="shared" si="369"/>
        <x:v>0</x:v>
      </x:c>
      <x:c r="GS322">
        <x:f t="shared" si="370"/>
        <x:v>0</x:v>
      </x:c>
      <x:c r="GT322">
        <x:f t="shared" si="371"/>
        <x:v>0</x:v>
      </x:c>
      <x:c r="GU322">
        <x:f t="shared" si="372"/>
        <x:v>0</x:v>
      </x:c>
      <x:c r="GV322">
        <x:f t="shared" si="373"/>
        <x:v>0</x:v>
      </x:c>
      <x:c r="GW322">
        <x:f t="shared" si="374"/>
        <x:v>0</x:v>
      </x:c>
      <x:c r="GX322">
        <x:f t="shared" si="375"/>
        <x:v>0</x:v>
      </x:c>
      <x:c r="GY322">
        <x:f t="shared" si="376"/>
        <x:v>0</x:v>
      </x:c>
      <x:c r="GZ322">
        <x:f t="shared" si="377"/>
        <x:v>0</x:v>
      </x:c>
      <x:c r="HA322">
        <x:f t="shared" si="378"/>
        <x:v>0</x:v>
      </x:c>
      <x:c r="HB322" s="42">
        <x:f t="shared" si="379"/>
        <x:v>0</x:v>
      </x:c>
      <x:c r="HC322">
        <x:f t="shared" si="380"/>
        <x:v>0</x:v>
      </x:c>
      <x:c r="HD322">
        <x:f t="shared" si="381"/>
        <x:v>0</x:v>
      </x:c>
      <x:c r="HE322">
        <x:f t="shared" si="382"/>
        <x:v>0</x:v>
      </x:c>
      <x:c r="HF322">
        <x:f t="shared" si="383"/>
        <x:v>0</x:v>
      </x:c>
      <x:c r="HG322">
        <x:f t="shared" si="384"/>
        <x:v>0</x:v>
      </x:c>
      <x:c r="HH322">
        <x:f t="shared" si="385"/>
        <x:v>0</x:v>
      </x:c>
      <x:c r="HI322">
        <x:f t="shared" si="386"/>
        <x:v>0</x:v>
      </x:c>
      <x:c r="HJ322">
        <x:f t="shared" si="387"/>
        <x:v>0</x:v>
      </x:c>
      <x:c r="HK322">
        <x:f t="shared" si="388"/>
        <x:v>0</x:v>
      </x:c>
      <x:c r="HL322">
        <x:f t="shared" si="389"/>
        <x:v>0</x:v>
      </x:c>
    </x:row>
    <x:row r="323">
      <x:c r="D323" s="74"/>
      <x:c r="EQ323">
        <x:f t="shared" si="316"/>
        <x:v>0</x:v>
      </x:c>
      <x:c r="ER323">
        <x:f t="shared" si="317"/>
        <x:v>0</x:v>
      </x:c>
      <x:c r="ES323">
        <x:f t="shared" si="318"/>
        <x:v>0</x:v>
      </x:c>
      <x:c r="ET323">
        <x:f t="shared" si="319"/>
        <x:v>0</x:v>
      </x:c>
      <x:c r="EU323">
        <x:f t="shared" si="320"/>
        <x:v>0</x:v>
      </x:c>
      <x:c r="EV323">
        <x:f t="shared" si="321"/>
        <x:v>0</x:v>
      </x:c>
      <x:c r="EW323">
        <x:f t="shared" si="322"/>
        <x:v>0</x:v>
      </x:c>
      <x:c r="EX323">
        <x:f t="shared" si="323"/>
        <x:v>0</x:v>
      </x:c>
      <x:c r="EY323">
        <x:f t="shared" si="324"/>
        <x:v>0</x:v>
      </x:c>
      <x:c r="EZ323">
        <x:f t="shared" si="325"/>
        <x:v>0</x:v>
      </x:c>
      <x:c r="FA323" s="41">
        <x:f t="shared" si="326"/>
        <x:v>0</x:v>
      </x:c>
      <x:c r="FB323">
        <x:f t="shared" si="327"/>
        <x:v>0</x:v>
      </x:c>
      <x:c r="FC323">
        <x:f t="shared" si="328"/>
        <x:v>0</x:v>
      </x:c>
      <x:c r="FD323">
        <x:f t="shared" si="329"/>
        <x:v>0</x:v>
      </x:c>
      <x:c r="FE323">
        <x:f t="shared" si="330"/>
        <x:v>0</x:v>
      </x:c>
      <x:c r="FF323">
        <x:f t="shared" si="331"/>
        <x:v>0</x:v>
      </x:c>
      <x:c r="FG323">
        <x:f t="shared" si="332"/>
        <x:v>0</x:v>
      </x:c>
      <x:c r="FH323">
        <x:f t="shared" si="333"/>
        <x:v>0</x:v>
      </x:c>
      <x:c r="FI323">
        <x:f t="shared" si="334"/>
        <x:v>0</x:v>
      </x:c>
      <x:c r="FJ323">
        <x:f t="shared" si="335"/>
        <x:v>0</x:v>
      </x:c>
      <x:c r="FK323">
        <x:f t="shared" si="336"/>
        <x:v>0</x:v>
      </x:c>
      <x:c r="FL323" s="41">
        <x:f t="shared" si="337"/>
        <x:v>0</x:v>
      </x:c>
      <x:c r="FM323">
        <x:f t="shared" si="338"/>
        <x:v>0</x:v>
      </x:c>
      <x:c r="FN323">
        <x:f t="shared" si="339"/>
        <x:v>0</x:v>
      </x:c>
      <x:c r="FO323">
        <x:f t="shared" si="340"/>
        <x:v>0</x:v>
      </x:c>
      <x:c r="FP323">
        <x:f t="shared" si="341"/>
        <x:v>0</x:v>
      </x:c>
      <x:c r="FQ323">
        <x:f t="shared" si="342"/>
        <x:v>0</x:v>
      </x:c>
      <x:c r="FR323">
        <x:f t="shared" si="343"/>
        <x:v>0</x:v>
      </x:c>
      <x:c r="FS323">
        <x:f t="shared" si="344"/>
        <x:v>0</x:v>
      </x:c>
      <x:c r="FT323">
        <x:f t="shared" si="345"/>
        <x:v>0</x:v>
      </x:c>
      <x:c r="FU323">
        <x:f t="shared" si="346"/>
        <x:v>0</x:v>
      </x:c>
      <x:c r="FV323">
        <x:f t="shared" si="347"/>
        <x:v>0</x:v>
      </x:c>
      <x:c r="FW323" s="41">
        <x:f t="shared" si="348"/>
        <x:v>0</x:v>
      </x:c>
      <x:c r="FX323">
        <x:f t="shared" si="349"/>
        <x:v>0</x:v>
      </x:c>
      <x:c r="FY323">
        <x:f t="shared" si="350"/>
        <x:v>0</x:v>
      </x:c>
      <x:c r="FZ323">
        <x:f t="shared" si="351"/>
        <x:v>0</x:v>
      </x:c>
      <x:c r="GA323">
        <x:f t="shared" si="352"/>
        <x:v>0</x:v>
      </x:c>
      <x:c r="GB323">
        <x:f t="shared" si="353"/>
        <x:v>0</x:v>
      </x:c>
      <x:c r="GC323">
        <x:f t="shared" si="354"/>
        <x:v>0</x:v>
      </x:c>
      <x:c r="GD323">
        <x:f t="shared" si="355"/>
        <x:v>0</x:v>
      </x:c>
      <x:c r="GE323">
        <x:f t="shared" si="356"/>
        <x:v>0</x:v>
      </x:c>
      <x:c r="GF323">
        <x:f t="shared" si="357"/>
        <x:v>0</x:v>
      </x:c>
      <x:c r="GG323">
        <x:f t="shared" si="358"/>
        <x:v>0</x:v>
      </x:c>
      <x:c r="GH323">
        <x:f t="shared" si="359"/>
        <x:v>0</x:v>
      </x:c>
      <x:c r="GI323">
        <x:f t="shared" si="360"/>
        <x:v>0</x:v>
      </x:c>
      <x:c r="GJ323">
        <x:f t="shared" si="361"/>
        <x:v>0</x:v>
      </x:c>
      <x:c r="GK323">
        <x:f t="shared" si="362"/>
        <x:v>0</x:v>
      </x:c>
      <x:c r="GL323">
        <x:f t="shared" si="363"/>
        <x:v>0</x:v>
      </x:c>
      <x:c r="GM323">
        <x:f t="shared" si="364"/>
        <x:v>0</x:v>
      </x:c>
      <x:c r="GN323">
        <x:f t="shared" si="365"/>
        <x:v>0</x:v>
      </x:c>
      <x:c r="GO323">
        <x:f t="shared" si="366"/>
        <x:v>0</x:v>
      </x:c>
      <x:c r="GP323">
        <x:f t="shared" si="367"/>
        <x:v>0</x:v>
      </x:c>
      <x:c r="GQ323">
        <x:f t="shared" si="368"/>
        <x:v>0</x:v>
      </x:c>
      <x:c r="GR323" s="42">
        <x:f t="shared" si="369"/>
        <x:v>0</x:v>
      </x:c>
      <x:c r="GS323">
        <x:f t="shared" si="370"/>
        <x:v>0</x:v>
      </x:c>
      <x:c r="GT323">
        <x:f t="shared" si="371"/>
        <x:v>0</x:v>
      </x:c>
      <x:c r="GU323">
        <x:f t="shared" si="372"/>
        <x:v>0</x:v>
      </x:c>
      <x:c r="GV323">
        <x:f t="shared" si="373"/>
        <x:v>0</x:v>
      </x:c>
      <x:c r="GW323">
        <x:f t="shared" si="374"/>
        <x:v>0</x:v>
      </x:c>
      <x:c r="GX323">
        <x:f t="shared" si="375"/>
        <x:v>0</x:v>
      </x:c>
      <x:c r="GY323">
        <x:f t="shared" si="376"/>
        <x:v>0</x:v>
      </x:c>
      <x:c r="GZ323">
        <x:f t="shared" si="377"/>
        <x:v>0</x:v>
      </x:c>
      <x:c r="HA323">
        <x:f t="shared" si="378"/>
        <x:v>0</x:v>
      </x:c>
      <x:c r="HB323" s="42">
        <x:f t="shared" si="379"/>
        <x:v>0</x:v>
      </x:c>
      <x:c r="HC323">
        <x:f t="shared" si="380"/>
        <x:v>0</x:v>
      </x:c>
      <x:c r="HD323">
        <x:f t="shared" si="381"/>
        <x:v>0</x:v>
      </x:c>
      <x:c r="HE323">
        <x:f t="shared" si="382"/>
        <x:v>0</x:v>
      </x:c>
      <x:c r="HF323">
        <x:f t="shared" si="383"/>
        <x:v>0</x:v>
      </x:c>
      <x:c r="HG323">
        <x:f t="shared" si="384"/>
        <x:v>0</x:v>
      </x:c>
      <x:c r="HH323">
        <x:f t="shared" si="385"/>
        <x:v>0</x:v>
      </x:c>
      <x:c r="HI323">
        <x:f t="shared" si="386"/>
        <x:v>0</x:v>
      </x:c>
      <x:c r="HJ323">
        <x:f t="shared" si="387"/>
        <x:v>0</x:v>
      </x:c>
      <x:c r="HK323">
        <x:f t="shared" si="388"/>
        <x:v>0</x:v>
      </x:c>
      <x:c r="HL323">
        <x:f t="shared" si="389"/>
        <x:v>0</x:v>
      </x:c>
    </x:row>
    <x:row r="324">
      <x:c r="D324" s="74"/>
      <x:c r="EQ324">
        <x:f t="shared" si="316"/>
        <x:v>0</x:v>
      </x:c>
      <x:c r="ER324">
        <x:f t="shared" si="317"/>
        <x:v>0</x:v>
      </x:c>
      <x:c r="ES324">
        <x:f t="shared" si="318"/>
        <x:v>0</x:v>
      </x:c>
      <x:c r="ET324">
        <x:f t="shared" si="319"/>
        <x:v>0</x:v>
      </x:c>
      <x:c r="EU324">
        <x:f t="shared" si="320"/>
        <x:v>0</x:v>
      </x:c>
      <x:c r="EV324">
        <x:f t="shared" si="321"/>
        <x:v>0</x:v>
      </x:c>
      <x:c r="EW324">
        <x:f t="shared" si="322"/>
        <x:v>0</x:v>
      </x:c>
      <x:c r="EX324">
        <x:f t="shared" si="323"/>
        <x:v>0</x:v>
      </x:c>
      <x:c r="EY324">
        <x:f t="shared" si="324"/>
        <x:v>0</x:v>
      </x:c>
      <x:c r="EZ324">
        <x:f t="shared" si="325"/>
        <x:v>0</x:v>
      </x:c>
      <x:c r="FA324" s="41">
        <x:f t="shared" si="326"/>
        <x:v>0</x:v>
      </x:c>
      <x:c r="FB324">
        <x:f t="shared" si="327"/>
        <x:v>0</x:v>
      </x:c>
      <x:c r="FC324">
        <x:f t="shared" si="328"/>
        <x:v>0</x:v>
      </x:c>
      <x:c r="FD324">
        <x:f t="shared" si="329"/>
        <x:v>0</x:v>
      </x:c>
      <x:c r="FE324">
        <x:f t="shared" si="330"/>
        <x:v>0</x:v>
      </x:c>
      <x:c r="FF324">
        <x:f t="shared" si="331"/>
        <x:v>0</x:v>
      </x:c>
      <x:c r="FG324">
        <x:f t="shared" si="332"/>
        <x:v>0</x:v>
      </x:c>
      <x:c r="FH324">
        <x:f t="shared" si="333"/>
        <x:v>0</x:v>
      </x:c>
      <x:c r="FI324">
        <x:f t="shared" si="334"/>
        <x:v>0</x:v>
      </x:c>
      <x:c r="FJ324">
        <x:f t="shared" si="335"/>
        <x:v>0</x:v>
      </x:c>
      <x:c r="FK324">
        <x:f t="shared" si="336"/>
        <x:v>0</x:v>
      </x:c>
      <x:c r="FL324" s="41">
        <x:f t="shared" si="337"/>
        <x:v>0</x:v>
      </x:c>
      <x:c r="FM324">
        <x:f t="shared" si="338"/>
        <x:v>0</x:v>
      </x:c>
      <x:c r="FN324">
        <x:f t="shared" si="339"/>
        <x:v>0</x:v>
      </x:c>
      <x:c r="FO324">
        <x:f t="shared" si="340"/>
        <x:v>0</x:v>
      </x:c>
      <x:c r="FP324">
        <x:f t="shared" si="341"/>
        <x:v>0</x:v>
      </x:c>
      <x:c r="FQ324">
        <x:f t="shared" si="342"/>
        <x:v>0</x:v>
      </x:c>
      <x:c r="FR324">
        <x:f t="shared" si="343"/>
        <x:v>0</x:v>
      </x:c>
      <x:c r="FS324">
        <x:f t="shared" si="344"/>
        <x:v>0</x:v>
      </x:c>
      <x:c r="FT324">
        <x:f t="shared" si="345"/>
        <x:v>0</x:v>
      </x:c>
      <x:c r="FU324">
        <x:f t="shared" si="346"/>
        <x:v>0</x:v>
      </x:c>
      <x:c r="FV324">
        <x:f t="shared" si="347"/>
        <x:v>0</x:v>
      </x:c>
      <x:c r="FW324" s="41">
        <x:f t="shared" si="348"/>
        <x:v>0</x:v>
      </x:c>
      <x:c r="FX324">
        <x:f t="shared" si="349"/>
        <x:v>0</x:v>
      </x:c>
      <x:c r="FY324">
        <x:f t="shared" si="350"/>
        <x:v>0</x:v>
      </x:c>
      <x:c r="FZ324">
        <x:f t="shared" si="351"/>
        <x:v>0</x:v>
      </x:c>
      <x:c r="GA324">
        <x:f t="shared" si="352"/>
        <x:v>0</x:v>
      </x:c>
      <x:c r="GB324">
        <x:f t="shared" si="353"/>
        <x:v>0</x:v>
      </x:c>
      <x:c r="GC324">
        <x:f t="shared" si="354"/>
        <x:v>0</x:v>
      </x:c>
      <x:c r="GD324">
        <x:f t="shared" si="355"/>
        <x:v>0</x:v>
      </x:c>
      <x:c r="GE324">
        <x:f t="shared" si="356"/>
        <x:v>0</x:v>
      </x:c>
      <x:c r="GF324">
        <x:f t="shared" si="357"/>
        <x:v>0</x:v>
      </x:c>
      <x:c r="GG324">
        <x:f t="shared" si="358"/>
        <x:v>0</x:v>
      </x:c>
      <x:c r="GH324">
        <x:f t="shared" si="359"/>
        <x:v>0</x:v>
      </x:c>
      <x:c r="GI324">
        <x:f t="shared" si="360"/>
        <x:v>0</x:v>
      </x:c>
      <x:c r="GJ324">
        <x:f t="shared" si="361"/>
        <x:v>0</x:v>
      </x:c>
      <x:c r="GK324">
        <x:f t="shared" si="362"/>
        <x:v>0</x:v>
      </x:c>
      <x:c r="GL324">
        <x:f t="shared" si="363"/>
        <x:v>0</x:v>
      </x:c>
      <x:c r="GM324">
        <x:f t="shared" si="364"/>
        <x:v>0</x:v>
      </x:c>
      <x:c r="GN324">
        <x:f t="shared" si="365"/>
        <x:v>0</x:v>
      </x:c>
      <x:c r="GO324">
        <x:f t="shared" si="366"/>
        <x:v>0</x:v>
      </x:c>
      <x:c r="GP324">
        <x:f t="shared" si="367"/>
        <x:v>0</x:v>
      </x:c>
      <x:c r="GQ324">
        <x:f t="shared" si="368"/>
        <x:v>0</x:v>
      </x:c>
      <x:c r="GR324" s="42">
        <x:f t="shared" si="369"/>
        <x:v>0</x:v>
      </x:c>
      <x:c r="GS324">
        <x:f t="shared" si="370"/>
        <x:v>0</x:v>
      </x:c>
      <x:c r="GT324">
        <x:f t="shared" si="371"/>
        <x:v>0</x:v>
      </x:c>
      <x:c r="GU324">
        <x:f t="shared" si="372"/>
        <x:v>0</x:v>
      </x:c>
      <x:c r="GV324">
        <x:f t="shared" si="373"/>
        <x:v>0</x:v>
      </x:c>
      <x:c r="GW324">
        <x:f t="shared" si="374"/>
        <x:v>0</x:v>
      </x:c>
      <x:c r="GX324">
        <x:f t="shared" si="375"/>
        <x:v>0</x:v>
      </x:c>
      <x:c r="GY324">
        <x:f t="shared" si="376"/>
        <x:v>0</x:v>
      </x:c>
      <x:c r="GZ324">
        <x:f t="shared" si="377"/>
        <x:v>0</x:v>
      </x:c>
      <x:c r="HA324">
        <x:f t="shared" si="378"/>
        <x:v>0</x:v>
      </x:c>
      <x:c r="HB324" s="42">
        <x:f t="shared" si="379"/>
        <x:v>0</x:v>
      </x:c>
      <x:c r="HC324">
        <x:f t="shared" si="380"/>
        <x:v>0</x:v>
      </x:c>
      <x:c r="HD324">
        <x:f t="shared" si="381"/>
        <x:v>0</x:v>
      </x:c>
      <x:c r="HE324">
        <x:f t="shared" si="382"/>
        <x:v>0</x:v>
      </x:c>
      <x:c r="HF324">
        <x:f t="shared" si="383"/>
        <x:v>0</x:v>
      </x:c>
      <x:c r="HG324">
        <x:f t="shared" si="384"/>
        <x:v>0</x:v>
      </x:c>
      <x:c r="HH324">
        <x:f t="shared" si="385"/>
        <x:v>0</x:v>
      </x:c>
      <x:c r="HI324">
        <x:f t="shared" si="386"/>
        <x:v>0</x:v>
      </x:c>
      <x:c r="HJ324">
        <x:f t="shared" si="387"/>
        <x:v>0</x:v>
      </x:c>
      <x:c r="HK324">
        <x:f t="shared" si="388"/>
        <x:v>0</x:v>
      </x:c>
      <x:c r="HL324">
        <x:f t="shared" si="389"/>
        <x:v>0</x:v>
      </x:c>
    </x:row>
    <x:row r="325">
      <x:c r="D325" s="74"/>
      <x:c r="EQ325">
        <x:f t="shared" si="316"/>
        <x:v>0</x:v>
      </x:c>
      <x:c r="ER325">
        <x:f t="shared" si="317"/>
        <x:v>0</x:v>
      </x:c>
      <x:c r="ES325">
        <x:f t="shared" si="318"/>
        <x:v>0</x:v>
      </x:c>
      <x:c r="ET325">
        <x:f t="shared" si="319"/>
        <x:v>0</x:v>
      </x:c>
      <x:c r="EU325">
        <x:f t="shared" si="320"/>
        <x:v>0</x:v>
      </x:c>
      <x:c r="EV325">
        <x:f t="shared" si="321"/>
        <x:v>0</x:v>
      </x:c>
      <x:c r="EW325">
        <x:f t="shared" si="322"/>
        <x:v>0</x:v>
      </x:c>
      <x:c r="EX325">
        <x:f t="shared" si="323"/>
        <x:v>0</x:v>
      </x:c>
      <x:c r="EY325">
        <x:f t="shared" si="324"/>
        <x:v>0</x:v>
      </x:c>
      <x:c r="EZ325">
        <x:f t="shared" si="325"/>
        <x:v>0</x:v>
      </x:c>
      <x:c r="FA325" s="41">
        <x:f t="shared" si="326"/>
        <x:v>0</x:v>
      </x:c>
      <x:c r="FB325">
        <x:f t="shared" si="327"/>
        <x:v>0</x:v>
      </x:c>
      <x:c r="FC325">
        <x:f t="shared" si="328"/>
        <x:v>0</x:v>
      </x:c>
      <x:c r="FD325">
        <x:f t="shared" si="329"/>
        <x:v>0</x:v>
      </x:c>
      <x:c r="FE325">
        <x:f t="shared" si="330"/>
        <x:v>0</x:v>
      </x:c>
      <x:c r="FF325">
        <x:f t="shared" si="331"/>
        <x:v>0</x:v>
      </x:c>
      <x:c r="FG325">
        <x:f t="shared" si="332"/>
        <x:v>0</x:v>
      </x:c>
      <x:c r="FH325">
        <x:f t="shared" si="333"/>
        <x:v>0</x:v>
      </x:c>
      <x:c r="FI325">
        <x:f t="shared" si="334"/>
        <x:v>0</x:v>
      </x:c>
      <x:c r="FJ325">
        <x:f t="shared" si="335"/>
        <x:v>0</x:v>
      </x:c>
      <x:c r="FK325">
        <x:f t="shared" si="336"/>
        <x:v>0</x:v>
      </x:c>
      <x:c r="FL325" s="41">
        <x:f t="shared" si="337"/>
        <x:v>0</x:v>
      </x:c>
      <x:c r="FM325">
        <x:f t="shared" si="338"/>
        <x:v>0</x:v>
      </x:c>
      <x:c r="FN325">
        <x:f t="shared" si="339"/>
        <x:v>0</x:v>
      </x:c>
      <x:c r="FO325">
        <x:f t="shared" si="340"/>
        <x:v>0</x:v>
      </x:c>
      <x:c r="FP325">
        <x:f t="shared" si="341"/>
        <x:v>0</x:v>
      </x:c>
      <x:c r="FQ325">
        <x:f t="shared" si="342"/>
        <x:v>0</x:v>
      </x:c>
      <x:c r="FR325">
        <x:f t="shared" si="343"/>
        <x:v>0</x:v>
      </x:c>
      <x:c r="FS325">
        <x:f t="shared" si="344"/>
        <x:v>0</x:v>
      </x:c>
      <x:c r="FT325">
        <x:f t="shared" si="345"/>
        <x:v>0</x:v>
      </x:c>
      <x:c r="FU325">
        <x:f t="shared" si="346"/>
        <x:v>0</x:v>
      </x:c>
      <x:c r="FV325">
        <x:f t="shared" si="347"/>
        <x:v>0</x:v>
      </x:c>
      <x:c r="FW325" s="41">
        <x:f t="shared" si="348"/>
        <x:v>0</x:v>
      </x:c>
      <x:c r="FX325">
        <x:f t="shared" si="349"/>
        <x:v>0</x:v>
      </x:c>
      <x:c r="FY325">
        <x:f t="shared" si="350"/>
        <x:v>0</x:v>
      </x:c>
      <x:c r="FZ325">
        <x:f t="shared" si="351"/>
        <x:v>0</x:v>
      </x:c>
      <x:c r="GA325">
        <x:f t="shared" si="352"/>
        <x:v>0</x:v>
      </x:c>
      <x:c r="GB325">
        <x:f t="shared" si="353"/>
        <x:v>0</x:v>
      </x:c>
      <x:c r="GC325">
        <x:f t="shared" si="354"/>
        <x:v>0</x:v>
      </x:c>
      <x:c r="GD325">
        <x:f t="shared" si="355"/>
        <x:v>0</x:v>
      </x:c>
      <x:c r="GE325">
        <x:f t="shared" si="356"/>
        <x:v>0</x:v>
      </x:c>
      <x:c r="GF325">
        <x:f t="shared" si="357"/>
        <x:v>0</x:v>
      </x:c>
      <x:c r="GG325">
        <x:f t="shared" si="358"/>
        <x:v>0</x:v>
      </x:c>
      <x:c r="GH325">
        <x:f t="shared" si="359"/>
        <x:v>0</x:v>
      </x:c>
      <x:c r="GI325">
        <x:f t="shared" si="360"/>
        <x:v>0</x:v>
      </x:c>
      <x:c r="GJ325">
        <x:f t="shared" si="361"/>
        <x:v>0</x:v>
      </x:c>
      <x:c r="GK325">
        <x:f t="shared" si="362"/>
        <x:v>0</x:v>
      </x:c>
      <x:c r="GL325">
        <x:f t="shared" si="363"/>
        <x:v>0</x:v>
      </x:c>
      <x:c r="GM325">
        <x:f t="shared" si="364"/>
        <x:v>0</x:v>
      </x:c>
      <x:c r="GN325">
        <x:f t="shared" si="365"/>
        <x:v>0</x:v>
      </x:c>
      <x:c r="GO325">
        <x:f t="shared" si="366"/>
        <x:v>0</x:v>
      </x:c>
      <x:c r="GP325">
        <x:f t="shared" si="367"/>
        <x:v>0</x:v>
      </x:c>
      <x:c r="GQ325">
        <x:f t="shared" si="368"/>
        <x:v>0</x:v>
      </x:c>
      <x:c r="GR325" s="42">
        <x:f t="shared" si="369"/>
        <x:v>0</x:v>
      </x:c>
      <x:c r="GS325">
        <x:f t="shared" si="370"/>
        <x:v>0</x:v>
      </x:c>
      <x:c r="GT325">
        <x:f t="shared" si="371"/>
        <x:v>0</x:v>
      </x:c>
      <x:c r="GU325">
        <x:f t="shared" si="372"/>
        <x:v>0</x:v>
      </x:c>
      <x:c r="GV325">
        <x:f t="shared" si="373"/>
        <x:v>0</x:v>
      </x:c>
      <x:c r="GW325">
        <x:f t="shared" si="374"/>
        <x:v>0</x:v>
      </x:c>
      <x:c r="GX325">
        <x:f t="shared" si="375"/>
        <x:v>0</x:v>
      </x:c>
      <x:c r="GY325">
        <x:f t="shared" si="376"/>
        <x:v>0</x:v>
      </x:c>
      <x:c r="GZ325">
        <x:f t="shared" si="377"/>
        <x:v>0</x:v>
      </x:c>
      <x:c r="HA325">
        <x:f t="shared" si="378"/>
        <x:v>0</x:v>
      </x:c>
      <x:c r="HB325" s="42">
        <x:f t="shared" si="379"/>
        <x:v>0</x:v>
      </x:c>
      <x:c r="HC325">
        <x:f t="shared" si="380"/>
        <x:v>0</x:v>
      </x:c>
      <x:c r="HD325">
        <x:f t="shared" si="381"/>
        <x:v>0</x:v>
      </x:c>
      <x:c r="HE325">
        <x:f t="shared" si="382"/>
        <x:v>0</x:v>
      </x:c>
      <x:c r="HF325">
        <x:f t="shared" si="383"/>
        <x:v>0</x:v>
      </x:c>
      <x:c r="HG325">
        <x:f t="shared" si="384"/>
        <x:v>0</x:v>
      </x:c>
      <x:c r="HH325">
        <x:f t="shared" si="385"/>
        <x:v>0</x:v>
      </x:c>
      <x:c r="HI325">
        <x:f t="shared" si="386"/>
        <x:v>0</x:v>
      </x:c>
      <x:c r="HJ325">
        <x:f t="shared" si="387"/>
        <x:v>0</x:v>
      </x:c>
      <x:c r="HK325">
        <x:f t="shared" si="388"/>
        <x:v>0</x:v>
      </x:c>
      <x:c r="HL325">
        <x:f t="shared" si="389"/>
        <x:v>0</x:v>
      </x:c>
    </x:row>
    <x:row r="326">
      <x:c r="D326" s="74"/>
      <x:c r="EQ326">
        <x:f t="shared" si="316"/>
        <x:v>0</x:v>
      </x:c>
      <x:c r="ER326">
        <x:f t="shared" si="317"/>
        <x:v>0</x:v>
      </x:c>
      <x:c r="ES326">
        <x:f t="shared" si="318"/>
        <x:v>0</x:v>
      </x:c>
      <x:c r="ET326">
        <x:f t="shared" si="319"/>
        <x:v>0</x:v>
      </x:c>
      <x:c r="EU326">
        <x:f t="shared" si="320"/>
        <x:v>0</x:v>
      </x:c>
      <x:c r="EV326">
        <x:f t="shared" si="321"/>
        <x:v>0</x:v>
      </x:c>
      <x:c r="EW326">
        <x:f t="shared" si="322"/>
        <x:v>0</x:v>
      </x:c>
      <x:c r="EX326">
        <x:f t="shared" si="323"/>
        <x:v>0</x:v>
      </x:c>
      <x:c r="EY326">
        <x:f t="shared" si="324"/>
        <x:v>0</x:v>
      </x:c>
      <x:c r="EZ326">
        <x:f t="shared" si="325"/>
        <x:v>0</x:v>
      </x:c>
      <x:c r="FA326" s="41">
        <x:f t="shared" si="326"/>
        <x:v>0</x:v>
      </x:c>
      <x:c r="FB326">
        <x:f t="shared" si="327"/>
        <x:v>0</x:v>
      </x:c>
      <x:c r="FC326">
        <x:f t="shared" si="328"/>
        <x:v>0</x:v>
      </x:c>
      <x:c r="FD326">
        <x:f t="shared" si="329"/>
        <x:v>0</x:v>
      </x:c>
      <x:c r="FE326">
        <x:f t="shared" si="330"/>
        <x:v>0</x:v>
      </x:c>
      <x:c r="FF326">
        <x:f t="shared" si="331"/>
        <x:v>0</x:v>
      </x:c>
      <x:c r="FG326">
        <x:f t="shared" si="332"/>
        <x:v>0</x:v>
      </x:c>
      <x:c r="FH326">
        <x:f t="shared" si="333"/>
        <x:v>0</x:v>
      </x:c>
      <x:c r="FI326">
        <x:f t="shared" si="334"/>
        <x:v>0</x:v>
      </x:c>
      <x:c r="FJ326">
        <x:f t="shared" si="335"/>
        <x:v>0</x:v>
      </x:c>
      <x:c r="FK326">
        <x:f t="shared" si="336"/>
        <x:v>0</x:v>
      </x:c>
      <x:c r="FL326" s="41">
        <x:f t="shared" si="337"/>
        <x:v>0</x:v>
      </x:c>
      <x:c r="FM326">
        <x:f t="shared" si="338"/>
        <x:v>0</x:v>
      </x:c>
      <x:c r="FN326">
        <x:f t="shared" si="339"/>
        <x:v>0</x:v>
      </x:c>
      <x:c r="FO326">
        <x:f t="shared" si="340"/>
        <x:v>0</x:v>
      </x:c>
      <x:c r="FP326">
        <x:f t="shared" si="341"/>
        <x:v>0</x:v>
      </x:c>
      <x:c r="FQ326">
        <x:f t="shared" si="342"/>
        <x:v>0</x:v>
      </x:c>
      <x:c r="FR326">
        <x:f t="shared" si="343"/>
        <x:v>0</x:v>
      </x:c>
      <x:c r="FS326">
        <x:f t="shared" si="344"/>
        <x:v>0</x:v>
      </x:c>
      <x:c r="FT326">
        <x:f t="shared" si="345"/>
        <x:v>0</x:v>
      </x:c>
      <x:c r="FU326">
        <x:f t="shared" si="346"/>
        <x:v>0</x:v>
      </x:c>
      <x:c r="FV326">
        <x:f t="shared" si="347"/>
        <x:v>0</x:v>
      </x:c>
      <x:c r="FW326" s="41">
        <x:f t="shared" si="348"/>
        <x:v>0</x:v>
      </x:c>
      <x:c r="FX326">
        <x:f t="shared" si="349"/>
        <x:v>0</x:v>
      </x:c>
      <x:c r="FY326">
        <x:f t="shared" si="350"/>
        <x:v>0</x:v>
      </x:c>
      <x:c r="FZ326">
        <x:f t="shared" si="351"/>
        <x:v>0</x:v>
      </x:c>
      <x:c r="GA326">
        <x:f t="shared" si="352"/>
        <x:v>0</x:v>
      </x:c>
      <x:c r="GB326">
        <x:f t="shared" si="353"/>
        <x:v>0</x:v>
      </x:c>
      <x:c r="GC326">
        <x:f t="shared" si="354"/>
        <x:v>0</x:v>
      </x:c>
      <x:c r="GD326">
        <x:f t="shared" si="355"/>
        <x:v>0</x:v>
      </x:c>
      <x:c r="GE326">
        <x:f t="shared" si="356"/>
        <x:v>0</x:v>
      </x:c>
      <x:c r="GF326">
        <x:f t="shared" si="357"/>
        <x:v>0</x:v>
      </x:c>
      <x:c r="GG326">
        <x:f t="shared" si="358"/>
        <x:v>0</x:v>
      </x:c>
      <x:c r="GH326">
        <x:f t="shared" si="359"/>
        <x:v>0</x:v>
      </x:c>
      <x:c r="GI326">
        <x:f t="shared" si="360"/>
        <x:v>0</x:v>
      </x:c>
      <x:c r="GJ326">
        <x:f t="shared" si="361"/>
        <x:v>0</x:v>
      </x:c>
      <x:c r="GK326">
        <x:f t="shared" si="362"/>
        <x:v>0</x:v>
      </x:c>
      <x:c r="GL326">
        <x:f t="shared" si="363"/>
        <x:v>0</x:v>
      </x:c>
      <x:c r="GM326">
        <x:f t="shared" si="364"/>
        <x:v>0</x:v>
      </x:c>
      <x:c r="GN326">
        <x:f t="shared" si="365"/>
        <x:v>0</x:v>
      </x:c>
      <x:c r="GO326">
        <x:f t="shared" si="366"/>
        <x:v>0</x:v>
      </x:c>
      <x:c r="GP326">
        <x:f t="shared" si="367"/>
        <x:v>0</x:v>
      </x:c>
      <x:c r="GQ326">
        <x:f t="shared" si="368"/>
        <x:v>0</x:v>
      </x:c>
      <x:c r="GR326" s="42">
        <x:f t="shared" si="369"/>
        <x:v>0</x:v>
      </x:c>
      <x:c r="GS326">
        <x:f t="shared" si="370"/>
        <x:v>0</x:v>
      </x:c>
      <x:c r="GT326">
        <x:f t="shared" si="371"/>
        <x:v>0</x:v>
      </x:c>
      <x:c r="GU326">
        <x:f t="shared" si="372"/>
        <x:v>0</x:v>
      </x:c>
      <x:c r="GV326">
        <x:f t="shared" si="373"/>
        <x:v>0</x:v>
      </x:c>
      <x:c r="GW326">
        <x:f t="shared" si="374"/>
        <x:v>0</x:v>
      </x:c>
      <x:c r="GX326">
        <x:f t="shared" si="375"/>
        <x:v>0</x:v>
      </x:c>
      <x:c r="GY326">
        <x:f t="shared" si="376"/>
        <x:v>0</x:v>
      </x:c>
      <x:c r="GZ326">
        <x:f t="shared" si="377"/>
        <x:v>0</x:v>
      </x:c>
      <x:c r="HA326">
        <x:f t="shared" si="378"/>
        <x:v>0</x:v>
      </x:c>
      <x:c r="HB326" s="42">
        <x:f t="shared" si="379"/>
        <x:v>0</x:v>
      </x:c>
      <x:c r="HC326">
        <x:f t="shared" si="380"/>
        <x:v>0</x:v>
      </x:c>
      <x:c r="HD326">
        <x:f t="shared" si="381"/>
        <x:v>0</x:v>
      </x:c>
      <x:c r="HE326">
        <x:f t="shared" si="382"/>
        <x:v>0</x:v>
      </x:c>
      <x:c r="HF326">
        <x:f t="shared" si="383"/>
        <x:v>0</x:v>
      </x:c>
      <x:c r="HG326">
        <x:f t="shared" si="384"/>
        <x:v>0</x:v>
      </x:c>
      <x:c r="HH326">
        <x:f t="shared" si="385"/>
        <x:v>0</x:v>
      </x:c>
      <x:c r="HI326">
        <x:f t="shared" si="386"/>
        <x:v>0</x:v>
      </x:c>
      <x:c r="HJ326">
        <x:f t="shared" si="387"/>
        <x:v>0</x:v>
      </x:c>
      <x:c r="HK326">
        <x:f t="shared" si="388"/>
        <x:v>0</x:v>
      </x:c>
      <x:c r="HL326">
        <x:f t="shared" si="389"/>
        <x:v>0</x:v>
      </x:c>
    </x:row>
    <x:row r="327">
      <x:c r="D327" s="74"/>
      <x:c r="EQ327">
        <x:f t="shared" si="316"/>
        <x:v>0</x:v>
      </x:c>
      <x:c r="ER327">
        <x:f t="shared" si="317"/>
        <x:v>0</x:v>
      </x:c>
      <x:c r="ES327">
        <x:f t="shared" si="318"/>
        <x:v>0</x:v>
      </x:c>
      <x:c r="ET327">
        <x:f t="shared" si="319"/>
        <x:v>0</x:v>
      </x:c>
      <x:c r="EU327">
        <x:f t="shared" si="320"/>
        <x:v>0</x:v>
      </x:c>
      <x:c r="EV327">
        <x:f t="shared" si="321"/>
        <x:v>0</x:v>
      </x:c>
      <x:c r="EW327">
        <x:f t="shared" si="322"/>
        <x:v>0</x:v>
      </x:c>
      <x:c r="EX327">
        <x:f t="shared" si="323"/>
        <x:v>0</x:v>
      </x:c>
      <x:c r="EY327">
        <x:f t="shared" si="324"/>
        <x:v>0</x:v>
      </x:c>
      <x:c r="EZ327">
        <x:f t="shared" si="325"/>
        <x:v>0</x:v>
      </x:c>
      <x:c r="FA327" s="41">
        <x:f t="shared" si="326"/>
        <x:v>0</x:v>
      </x:c>
      <x:c r="FB327">
        <x:f t="shared" si="327"/>
        <x:v>0</x:v>
      </x:c>
      <x:c r="FC327">
        <x:f t="shared" si="328"/>
        <x:v>0</x:v>
      </x:c>
      <x:c r="FD327">
        <x:f t="shared" si="329"/>
        <x:v>0</x:v>
      </x:c>
      <x:c r="FE327">
        <x:f t="shared" si="330"/>
        <x:v>0</x:v>
      </x:c>
      <x:c r="FF327">
        <x:f t="shared" si="331"/>
        <x:v>0</x:v>
      </x:c>
      <x:c r="FG327">
        <x:f t="shared" si="332"/>
        <x:v>0</x:v>
      </x:c>
      <x:c r="FH327">
        <x:f t="shared" si="333"/>
        <x:v>0</x:v>
      </x:c>
      <x:c r="FI327">
        <x:f t="shared" si="334"/>
        <x:v>0</x:v>
      </x:c>
      <x:c r="FJ327">
        <x:f t="shared" si="335"/>
        <x:v>0</x:v>
      </x:c>
      <x:c r="FK327">
        <x:f t="shared" si="336"/>
        <x:v>0</x:v>
      </x:c>
      <x:c r="FL327" s="41">
        <x:f t="shared" si="337"/>
        <x:v>0</x:v>
      </x:c>
      <x:c r="FM327">
        <x:f t="shared" si="338"/>
        <x:v>0</x:v>
      </x:c>
      <x:c r="FN327">
        <x:f t="shared" si="339"/>
        <x:v>0</x:v>
      </x:c>
      <x:c r="FO327">
        <x:f t="shared" si="340"/>
        <x:v>0</x:v>
      </x:c>
      <x:c r="FP327">
        <x:f t="shared" si="341"/>
        <x:v>0</x:v>
      </x:c>
      <x:c r="FQ327">
        <x:f t="shared" si="342"/>
        <x:v>0</x:v>
      </x:c>
      <x:c r="FR327">
        <x:f t="shared" si="343"/>
        <x:v>0</x:v>
      </x:c>
      <x:c r="FS327">
        <x:f t="shared" si="344"/>
        <x:v>0</x:v>
      </x:c>
      <x:c r="FT327">
        <x:f t="shared" si="345"/>
        <x:v>0</x:v>
      </x:c>
      <x:c r="FU327">
        <x:f t="shared" si="346"/>
        <x:v>0</x:v>
      </x:c>
      <x:c r="FV327">
        <x:f t="shared" si="347"/>
        <x:v>0</x:v>
      </x:c>
      <x:c r="FW327" s="41">
        <x:f t="shared" si="348"/>
        <x:v>0</x:v>
      </x:c>
      <x:c r="FX327">
        <x:f t="shared" si="349"/>
        <x:v>0</x:v>
      </x:c>
      <x:c r="FY327">
        <x:f t="shared" si="350"/>
        <x:v>0</x:v>
      </x:c>
      <x:c r="FZ327">
        <x:f t="shared" si="351"/>
        <x:v>0</x:v>
      </x:c>
      <x:c r="GA327">
        <x:f t="shared" si="352"/>
        <x:v>0</x:v>
      </x:c>
      <x:c r="GB327">
        <x:f t="shared" si="353"/>
        <x:v>0</x:v>
      </x:c>
      <x:c r="GC327">
        <x:f t="shared" si="354"/>
        <x:v>0</x:v>
      </x:c>
      <x:c r="GD327">
        <x:f t="shared" si="355"/>
        <x:v>0</x:v>
      </x:c>
      <x:c r="GE327">
        <x:f t="shared" si="356"/>
        <x:v>0</x:v>
      </x:c>
      <x:c r="GF327">
        <x:f t="shared" si="357"/>
        <x:v>0</x:v>
      </x:c>
      <x:c r="GG327">
        <x:f t="shared" si="358"/>
        <x:v>0</x:v>
      </x:c>
      <x:c r="GH327">
        <x:f t="shared" si="359"/>
        <x:v>0</x:v>
      </x:c>
      <x:c r="GI327">
        <x:f t="shared" si="360"/>
        <x:v>0</x:v>
      </x:c>
      <x:c r="GJ327">
        <x:f t="shared" si="361"/>
        <x:v>0</x:v>
      </x:c>
      <x:c r="GK327">
        <x:f t="shared" si="362"/>
        <x:v>0</x:v>
      </x:c>
      <x:c r="GL327">
        <x:f t="shared" si="363"/>
        <x:v>0</x:v>
      </x:c>
      <x:c r="GM327">
        <x:f t="shared" si="364"/>
        <x:v>0</x:v>
      </x:c>
      <x:c r="GN327">
        <x:f t="shared" si="365"/>
        <x:v>0</x:v>
      </x:c>
      <x:c r="GO327">
        <x:f t="shared" si="366"/>
        <x:v>0</x:v>
      </x:c>
      <x:c r="GP327">
        <x:f t="shared" si="367"/>
        <x:v>0</x:v>
      </x:c>
      <x:c r="GQ327">
        <x:f t="shared" si="368"/>
        <x:v>0</x:v>
      </x:c>
      <x:c r="GR327" s="42">
        <x:f t="shared" si="369"/>
        <x:v>0</x:v>
      </x:c>
      <x:c r="GS327">
        <x:f t="shared" si="370"/>
        <x:v>0</x:v>
      </x:c>
      <x:c r="GT327">
        <x:f t="shared" si="371"/>
        <x:v>0</x:v>
      </x:c>
      <x:c r="GU327">
        <x:f t="shared" si="372"/>
        <x:v>0</x:v>
      </x:c>
      <x:c r="GV327">
        <x:f t="shared" si="373"/>
        <x:v>0</x:v>
      </x:c>
      <x:c r="GW327">
        <x:f t="shared" si="374"/>
        <x:v>0</x:v>
      </x:c>
      <x:c r="GX327">
        <x:f t="shared" si="375"/>
        <x:v>0</x:v>
      </x:c>
      <x:c r="GY327">
        <x:f t="shared" si="376"/>
        <x:v>0</x:v>
      </x:c>
      <x:c r="GZ327">
        <x:f t="shared" si="377"/>
        <x:v>0</x:v>
      </x:c>
      <x:c r="HA327">
        <x:f t="shared" si="378"/>
        <x:v>0</x:v>
      </x:c>
      <x:c r="HB327" s="42">
        <x:f t="shared" si="379"/>
        <x:v>0</x:v>
      </x:c>
      <x:c r="HC327">
        <x:f t="shared" si="380"/>
        <x:v>0</x:v>
      </x:c>
      <x:c r="HD327">
        <x:f t="shared" si="381"/>
        <x:v>0</x:v>
      </x:c>
      <x:c r="HE327">
        <x:f t="shared" si="382"/>
        <x:v>0</x:v>
      </x:c>
      <x:c r="HF327">
        <x:f t="shared" si="383"/>
        <x:v>0</x:v>
      </x:c>
      <x:c r="HG327">
        <x:f t="shared" si="384"/>
        <x:v>0</x:v>
      </x:c>
      <x:c r="HH327">
        <x:f t="shared" si="385"/>
        <x:v>0</x:v>
      </x:c>
      <x:c r="HI327">
        <x:f t="shared" si="386"/>
        <x:v>0</x:v>
      </x:c>
      <x:c r="HJ327">
        <x:f t="shared" si="387"/>
        <x:v>0</x:v>
      </x:c>
      <x:c r="HK327">
        <x:f t="shared" si="388"/>
        <x:v>0</x:v>
      </x:c>
      <x:c r="HL327">
        <x:f t="shared" si="389"/>
        <x:v>0</x:v>
      </x:c>
    </x:row>
    <x:row r="328">
      <x:c r="D328" s="74"/>
      <x:c r="EQ328">
        <x:f t="shared" si="316"/>
        <x:v>0</x:v>
      </x:c>
      <x:c r="ER328">
        <x:f t="shared" si="317"/>
        <x:v>0</x:v>
      </x:c>
      <x:c r="ES328">
        <x:f t="shared" si="318"/>
        <x:v>0</x:v>
      </x:c>
      <x:c r="ET328">
        <x:f t="shared" si="319"/>
        <x:v>0</x:v>
      </x:c>
      <x:c r="EU328">
        <x:f t="shared" si="320"/>
        <x:v>0</x:v>
      </x:c>
      <x:c r="EV328">
        <x:f t="shared" si="321"/>
        <x:v>0</x:v>
      </x:c>
      <x:c r="EW328">
        <x:f t="shared" si="322"/>
        <x:v>0</x:v>
      </x:c>
      <x:c r="EX328">
        <x:f t="shared" si="323"/>
        <x:v>0</x:v>
      </x:c>
      <x:c r="EY328">
        <x:f t="shared" si="324"/>
        <x:v>0</x:v>
      </x:c>
      <x:c r="EZ328">
        <x:f t="shared" si="325"/>
        <x:v>0</x:v>
      </x:c>
      <x:c r="FA328" s="41">
        <x:f t="shared" si="326"/>
        <x:v>0</x:v>
      </x:c>
      <x:c r="FB328">
        <x:f t="shared" si="327"/>
        <x:v>0</x:v>
      </x:c>
      <x:c r="FC328">
        <x:f t="shared" si="328"/>
        <x:v>0</x:v>
      </x:c>
      <x:c r="FD328">
        <x:f t="shared" si="329"/>
        <x:v>0</x:v>
      </x:c>
      <x:c r="FE328">
        <x:f t="shared" si="330"/>
        <x:v>0</x:v>
      </x:c>
      <x:c r="FF328">
        <x:f t="shared" si="331"/>
        <x:v>0</x:v>
      </x:c>
      <x:c r="FG328">
        <x:f t="shared" si="332"/>
        <x:v>0</x:v>
      </x:c>
      <x:c r="FH328">
        <x:f t="shared" si="333"/>
        <x:v>0</x:v>
      </x:c>
      <x:c r="FI328">
        <x:f t="shared" si="334"/>
        <x:v>0</x:v>
      </x:c>
      <x:c r="FJ328">
        <x:f t="shared" si="335"/>
        <x:v>0</x:v>
      </x:c>
      <x:c r="FK328">
        <x:f t="shared" si="336"/>
        <x:v>0</x:v>
      </x:c>
      <x:c r="FL328" s="41">
        <x:f t="shared" si="337"/>
        <x:v>0</x:v>
      </x:c>
      <x:c r="FM328">
        <x:f t="shared" si="338"/>
        <x:v>0</x:v>
      </x:c>
      <x:c r="FN328">
        <x:f t="shared" si="339"/>
        <x:v>0</x:v>
      </x:c>
      <x:c r="FO328">
        <x:f t="shared" si="340"/>
        <x:v>0</x:v>
      </x:c>
      <x:c r="FP328">
        <x:f t="shared" si="341"/>
        <x:v>0</x:v>
      </x:c>
      <x:c r="FQ328">
        <x:f t="shared" si="342"/>
        <x:v>0</x:v>
      </x:c>
      <x:c r="FR328">
        <x:f t="shared" si="343"/>
        <x:v>0</x:v>
      </x:c>
      <x:c r="FS328">
        <x:f t="shared" si="344"/>
        <x:v>0</x:v>
      </x:c>
      <x:c r="FT328">
        <x:f t="shared" si="345"/>
        <x:v>0</x:v>
      </x:c>
      <x:c r="FU328">
        <x:f t="shared" si="346"/>
        <x:v>0</x:v>
      </x:c>
      <x:c r="FV328">
        <x:f t="shared" si="347"/>
        <x:v>0</x:v>
      </x:c>
      <x:c r="FW328" s="41">
        <x:f t="shared" si="348"/>
        <x:v>0</x:v>
      </x:c>
      <x:c r="FX328">
        <x:f t="shared" si="349"/>
        <x:v>0</x:v>
      </x:c>
      <x:c r="FY328">
        <x:f t="shared" si="350"/>
        <x:v>0</x:v>
      </x:c>
      <x:c r="FZ328">
        <x:f t="shared" si="351"/>
        <x:v>0</x:v>
      </x:c>
      <x:c r="GA328">
        <x:f t="shared" si="352"/>
        <x:v>0</x:v>
      </x:c>
      <x:c r="GB328">
        <x:f t="shared" si="353"/>
        <x:v>0</x:v>
      </x:c>
      <x:c r="GC328">
        <x:f t="shared" si="354"/>
        <x:v>0</x:v>
      </x:c>
      <x:c r="GD328">
        <x:f t="shared" si="355"/>
        <x:v>0</x:v>
      </x:c>
      <x:c r="GE328">
        <x:f t="shared" si="356"/>
        <x:v>0</x:v>
      </x:c>
      <x:c r="GF328">
        <x:f t="shared" si="357"/>
        <x:v>0</x:v>
      </x:c>
      <x:c r="GG328">
        <x:f t="shared" si="358"/>
        <x:v>0</x:v>
      </x:c>
      <x:c r="GH328">
        <x:f t="shared" si="359"/>
        <x:v>0</x:v>
      </x:c>
      <x:c r="GI328">
        <x:f t="shared" si="360"/>
        <x:v>0</x:v>
      </x:c>
      <x:c r="GJ328">
        <x:f t="shared" si="361"/>
        <x:v>0</x:v>
      </x:c>
      <x:c r="GK328">
        <x:f t="shared" si="362"/>
        <x:v>0</x:v>
      </x:c>
      <x:c r="GL328">
        <x:f t="shared" si="363"/>
        <x:v>0</x:v>
      </x:c>
      <x:c r="GM328">
        <x:f t="shared" si="364"/>
        <x:v>0</x:v>
      </x:c>
      <x:c r="GN328">
        <x:f t="shared" si="365"/>
        <x:v>0</x:v>
      </x:c>
      <x:c r="GO328">
        <x:f t="shared" si="366"/>
        <x:v>0</x:v>
      </x:c>
      <x:c r="GP328">
        <x:f t="shared" si="367"/>
        <x:v>0</x:v>
      </x:c>
      <x:c r="GQ328">
        <x:f t="shared" si="368"/>
        <x:v>0</x:v>
      </x:c>
      <x:c r="GR328" s="42">
        <x:f t="shared" si="369"/>
        <x:v>0</x:v>
      </x:c>
      <x:c r="GS328">
        <x:f t="shared" si="370"/>
        <x:v>0</x:v>
      </x:c>
      <x:c r="GT328">
        <x:f t="shared" si="371"/>
        <x:v>0</x:v>
      </x:c>
      <x:c r="GU328">
        <x:f t="shared" si="372"/>
        <x:v>0</x:v>
      </x:c>
      <x:c r="GV328">
        <x:f t="shared" si="373"/>
        <x:v>0</x:v>
      </x:c>
      <x:c r="GW328">
        <x:f t="shared" si="374"/>
        <x:v>0</x:v>
      </x:c>
      <x:c r="GX328">
        <x:f t="shared" si="375"/>
        <x:v>0</x:v>
      </x:c>
      <x:c r="GY328">
        <x:f t="shared" si="376"/>
        <x:v>0</x:v>
      </x:c>
      <x:c r="GZ328">
        <x:f t="shared" si="377"/>
        <x:v>0</x:v>
      </x:c>
      <x:c r="HA328">
        <x:f t="shared" si="378"/>
        <x:v>0</x:v>
      </x:c>
      <x:c r="HB328" s="42">
        <x:f t="shared" si="379"/>
        <x:v>0</x:v>
      </x:c>
      <x:c r="HC328">
        <x:f t="shared" si="380"/>
        <x:v>0</x:v>
      </x:c>
      <x:c r="HD328">
        <x:f t="shared" si="381"/>
        <x:v>0</x:v>
      </x:c>
      <x:c r="HE328">
        <x:f t="shared" si="382"/>
        <x:v>0</x:v>
      </x:c>
      <x:c r="HF328">
        <x:f t="shared" si="383"/>
        <x:v>0</x:v>
      </x:c>
      <x:c r="HG328">
        <x:f t="shared" si="384"/>
        <x:v>0</x:v>
      </x:c>
      <x:c r="HH328">
        <x:f t="shared" si="385"/>
        <x:v>0</x:v>
      </x:c>
      <x:c r="HI328">
        <x:f t="shared" si="386"/>
        <x:v>0</x:v>
      </x:c>
      <x:c r="HJ328">
        <x:f t="shared" si="387"/>
        <x:v>0</x:v>
      </x:c>
      <x:c r="HK328">
        <x:f t="shared" si="388"/>
        <x:v>0</x:v>
      </x:c>
      <x:c r="HL328">
        <x:f t="shared" si="389"/>
        <x:v>0</x:v>
      </x:c>
    </x:row>
    <x:row r="329">
      <x:c r="D329" s="74"/>
      <x:c r="EQ329">
        <x:f t="shared" si="316"/>
        <x:v>0</x:v>
      </x:c>
      <x:c r="ER329">
        <x:f t="shared" si="317"/>
        <x:v>0</x:v>
      </x:c>
      <x:c r="ES329">
        <x:f t="shared" si="318"/>
        <x:v>0</x:v>
      </x:c>
      <x:c r="ET329">
        <x:f t="shared" si="319"/>
        <x:v>0</x:v>
      </x:c>
      <x:c r="EU329">
        <x:f t="shared" si="320"/>
        <x:v>0</x:v>
      </x:c>
      <x:c r="EV329">
        <x:f t="shared" si="321"/>
        <x:v>0</x:v>
      </x:c>
      <x:c r="EW329">
        <x:f t="shared" si="322"/>
        <x:v>0</x:v>
      </x:c>
      <x:c r="EX329">
        <x:f t="shared" si="323"/>
        <x:v>0</x:v>
      </x:c>
      <x:c r="EY329">
        <x:f t="shared" si="324"/>
        <x:v>0</x:v>
      </x:c>
      <x:c r="EZ329">
        <x:f t="shared" si="325"/>
        <x:v>0</x:v>
      </x:c>
      <x:c r="FA329" s="41">
        <x:f t="shared" si="326"/>
        <x:v>0</x:v>
      </x:c>
      <x:c r="FB329">
        <x:f t="shared" si="327"/>
        <x:v>0</x:v>
      </x:c>
      <x:c r="FC329">
        <x:f t="shared" si="328"/>
        <x:v>0</x:v>
      </x:c>
      <x:c r="FD329">
        <x:f t="shared" si="329"/>
        <x:v>0</x:v>
      </x:c>
      <x:c r="FE329">
        <x:f t="shared" si="330"/>
        <x:v>0</x:v>
      </x:c>
      <x:c r="FF329">
        <x:f t="shared" si="331"/>
        <x:v>0</x:v>
      </x:c>
      <x:c r="FG329">
        <x:f t="shared" si="332"/>
        <x:v>0</x:v>
      </x:c>
      <x:c r="FH329">
        <x:f t="shared" si="333"/>
        <x:v>0</x:v>
      </x:c>
      <x:c r="FI329">
        <x:f t="shared" si="334"/>
        <x:v>0</x:v>
      </x:c>
      <x:c r="FJ329">
        <x:f t="shared" si="335"/>
        <x:v>0</x:v>
      </x:c>
      <x:c r="FK329">
        <x:f t="shared" si="336"/>
        <x:v>0</x:v>
      </x:c>
      <x:c r="FL329" s="41">
        <x:f t="shared" si="337"/>
        <x:v>0</x:v>
      </x:c>
      <x:c r="FM329">
        <x:f t="shared" si="338"/>
        <x:v>0</x:v>
      </x:c>
      <x:c r="FN329">
        <x:f t="shared" si="339"/>
        <x:v>0</x:v>
      </x:c>
      <x:c r="FO329">
        <x:f t="shared" si="340"/>
        <x:v>0</x:v>
      </x:c>
      <x:c r="FP329">
        <x:f t="shared" si="341"/>
        <x:v>0</x:v>
      </x:c>
      <x:c r="FQ329">
        <x:f t="shared" si="342"/>
        <x:v>0</x:v>
      </x:c>
      <x:c r="FR329">
        <x:f t="shared" si="343"/>
        <x:v>0</x:v>
      </x:c>
      <x:c r="FS329">
        <x:f t="shared" si="344"/>
        <x:v>0</x:v>
      </x:c>
      <x:c r="FT329">
        <x:f t="shared" si="345"/>
        <x:v>0</x:v>
      </x:c>
      <x:c r="FU329">
        <x:f t="shared" si="346"/>
        <x:v>0</x:v>
      </x:c>
      <x:c r="FV329">
        <x:f t="shared" si="347"/>
        <x:v>0</x:v>
      </x:c>
      <x:c r="FW329" s="41">
        <x:f t="shared" si="348"/>
        <x:v>0</x:v>
      </x:c>
      <x:c r="FX329">
        <x:f t="shared" si="349"/>
        <x:v>0</x:v>
      </x:c>
      <x:c r="FY329">
        <x:f t="shared" si="350"/>
        <x:v>0</x:v>
      </x:c>
      <x:c r="FZ329">
        <x:f t="shared" si="351"/>
        <x:v>0</x:v>
      </x:c>
      <x:c r="GA329">
        <x:f t="shared" si="352"/>
        <x:v>0</x:v>
      </x:c>
      <x:c r="GB329">
        <x:f t="shared" si="353"/>
        <x:v>0</x:v>
      </x:c>
      <x:c r="GC329">
        <x:f t="shared" si="354"/>
        <x:v>0</x:v>
      </x:c>
      <x:c r="GD329">
        <x:f t="shared" si="355"/>
        <x:v>0</x:v>
      </x:c>
      <x:c r="GE329">
        <x:f t="shared" si="356"/>
        <x:v>0</x:v>
      </x:c>
      <x:c r="GF329">
        <x:f t="shared" si="357"/>
        <x:v>0</x:v>
      </x:c>
      <x:c r="GG329">
        <x:f t="shared" si="358"/>
        <x:v>0</x:v>
      </x:c>
      <x:c r="GH329">
        <x:f t="shared" si="359"/>
        <x:v>0</x:v>
      </x:c>
      <x:c r="GI329">
        <x:f t="shared" si="360"/>
        <x:v>0</x:v>
      </x:c>
      <x:c r="GJ329">
        <x:f t="shared" si="361"/>
        <x:v>0</x:v>
      </x:c>
      <x:c r="GK329">
        <x:f t="shared" si="362"/>
        <x:v>0</x:v>
      </x:c>
      <x:c r="GL329">
        <x:f t="shared" si="363"/>
        <x:v>0</x:v>
      </x:c>
      <x:c r="GM329">
        <x:f t="shared" si="364"/>
        <x:v>0</x:v>
      </x:c>
      <x:c r="GN329">
        <x:f t="shared" si="365"/>
        <x:v>0</x:v>
      </x:c>
      <x:c r="GO329">
        <x:f t="shared" si="366"/>
        <x:v>0</x:v>
      </x:c>
      <x:c r="GP329">
        <x:f t="shared" si="367"/>
        <x:v>0</x:v>
      </x:c>
      <x:c r="GQ329">
        <x:f t="shared" si="368"/>
        <x:v>0</x:v>
      </x:c>
      <x:c r="GR329" s="42">
        <x:f t="shared" si="369"/>
        <x:v>0</x:v>
      </x:c>
      <x:c r="GS329">
        <x:f t="shared" si="370"/>
        <x:v>0</x:v>
      </x:c>
      <x:c r="GT329">
        <x:f t="shared" si="371"/>
        <x:v>0</x:v>
      </x:c>
      <x:c r="GU329">
        <x:f t="shared" si="372"/>
        <x:v>0</x:v>
      </x:c>
      <x:c r="GV329">
        <x:f t="shared" si="373"/>
        <x:v>0</x:v>
      </x:c>
      <x:c r="GW329">
        <x:f t="shared" si="374"/>
        <x:v>0</x:v>
      </x:c>
      <x:c r="GX329">
        <x:f t="shared" si="375"/>
        <x:v>0</x:v>
      </x:c>
      <x:c r="GY329">
        <x:f t="shared" si="376"/>
        <x:v>0</x:v>
      </x:c>
      <x:c r="GZ329">
        <x:f t="shared" si="377"/>
        <x:v>0</x:v>
      </x:c>
      <x:c r="HA329">
        <x:f t="shared" si="378"/>
        <x:v>0</x:v>
      </x:c>
      <x:c r="HB329" s="42">
        <x:f t="shared" si="379"/>
        <x:v>0</x:v>
      </x:c>
      <x:c r="HC329">
        <x:f t="shared" si="380"/>
        <x:v>0</x:v>
      </x:c>
      <x:c r="HD329">
        <x:f t="shared" si="381"/>
        <x:v>0</x:v>
      </x:c>
      <x:c r="HE329">
        <x:f t="shared" si="382"/>
        <x:v>0</x:v>
      </x:c>
      <x:c r="HF329">
        <x:f t="shared" si="383"/>
        <x:v>0</x:v>
      </x:c>
      <x:c r="HG329">
        <x:f t="shared" si="384"/>
        <x:v>0</x:v>
      </x:c>
      <x:c r="HH329">
        <x:f t="shared" si="385"/>
        <x:v>0</x:v>
      </x:c>
      <x:c r="HI329">
        <x:f t="shared" si="386"/>
        <x:v>0</x:v>
      </x:c>
      <x:c r="HJ329">
        <x:f t="shared" si="387"/>
        <x:v>0</x:v>
      </x:c>
      <x:c r="HK329">
        <x:f t="shared" si="388"/>
        <x:v>0</x:v>
      </x:c>
      <x:c r="HL329">
        <x:f t="shared" si="389"/>
        <x:v>0</x:v>
      </x:c>
    </x:row>
    <x:row r="330">
      <x:c r="D330" s="74"/>
      <x:c r="EQ330">
        <x:f t="shared" si="316"/>
        <x:v>0</x:v>
      </x:c>
      <x:c r="ER330">
        <x:f t="shared" si="317"/>
        <x:v>0</x:v>
      </x:c>
      <x:c r="ES330">
        <x:f t="shared" si="318"/>
        <x:v>0</x:v>
      </x:c>
      <x:c r="ET330">
        <x:f t="shared" si="319"/>
        <x:v>0</x:v>
      </x:c>
      <x:c r="EU330">
        <x:f t="shared" si="320"/>
        <x:v>0</x:v>
      </x:c>
      <x:c r="EV330">
        <x:f t="shared" si="321"/>
        <x:v>0</x:v>
      </x:c>
      <x:c r="EW330">
        <x:f t="shared" si="322"/>
        <x:v>0</x:v>
      </x:c>
      <x:c r="EX330">
        <x:f t="shared" si="323"/>
        <x:v>0</x:v>
      </x:c>
      <x:c r="EY330">
        <x:f t="shared" si="324"/>
        <x:v>0</x:v>
      </x:c>
      <x:c r="EZ330">
        <x:f t="shared" si="325"/>
        <x:v>0</x:v>
      </x:c>
      <x:c r="FA330" s="41">
        <x:f t="shared" si="326"/>
        <x:v>0</x:v>
      </x:c>
      <x:c r="FB330">
        <x:f t="shared" si="327"/>
        <x:v>0</x:v>
      </x:c>
      <x:c r="FC330">
        <x:f t="shared" si="328"/>
        <x:v>0</x:v>
      </x:c>
      <x:c r="FD330">
        <x:f t="shared" si="329"/>
        <x:v>0</x:v>
      </x:c>
      <x:c r="FE330">
        <x:f t="shared" si="330"/>
        <x:v>0</x:v>
      </x:c>
      <x:c r="FF330">
        <x:f t="shared" si="331"/>
        <x:v>0</x:v>
      </x:c>
      <x:c r="FG330">
        <x:f t="shared" si="332"/>
        <x:v>0</x:v>
      </x:c>
      <x:c r="FH330">
        <x:f t="shared" si="333"/>
        <x:v>0</x:v>
      </x:c>
      <x:c r="FI330">
        <x:f t="shared" si="334"/>
        <x:v>0</x:v>
      </x:c>
      <x:c r="FJ330">
        <x:f t="shared" si="335"/>
        <x:v>0</x:v>
      </x:c>
      <x:c r="FK330">
        <x:f t="shared" si="336"/>
        <x:v>0</x:v>
      </x:c>
      <x:c r="FL330" s="41">
        <x:f t="shared" si="337"/>
        <x:v>0</x:v>
      </x:c>
      <x:c r="FM330">
        <x:f t="shared" si="338"/>
        <x:v>0</x:v>
      </x:c>
      <x:c r="FN330">
        <x:f t="shared" si="339"/>
        <x:v>0</x:v>
      </x:c>
      <x:c r="FO330">
        <x:f t="shared" si="340"/>
        <x:v>0</x:v>
      </x:c>
      <x:c r="FP330">
        <x:f t="shared" si="341"/>
        <x:v>0</x:v>
      </x:c>
      <x:c r="FQ330">
        <x:f t="shared" si="342"/>
        <x:v>0</x:v>
      </x:c>
      <x:c r="FR330">
        <x:f t="shared" si="343"/>
        <x:v>0</x:v>
      </x:c>
      <x:c r="FS330">
        <x:f t="shared" si="344"/>
        <x:v>0</x:v>
      </x:c>
      <x:c r="FT330">
        <x:f t="shared" si="345"/>
        <x:v>0</x:v>
      </x:c>
      <x:c r="FU330">
        <x:f t="shared" si="346"/>
        <x:v>0</x:v>
      </x:c>
      <x:c r="FV330">
        <x:f t="shared" si="347"/>
        <x:v>0</x:v>
      </x:c>
      <x:c r="FW330" s="41">
        <x:f t="shared" si="348"/>
        <x:v>0</x:v>
      </x:c>
      <x:c r="FX330">
        <x:f t="shared" si="349"/>
        <x:v>0</x:v>
      </x:c>
      <x:c r="FY330">
        <x:f t="shared" si="350"/>
        <x:v>0</x:v>
      </x:c>
      <x:c r="FZ330">
        <x:f t="shared" si="351"/>
        <x:v>0</x:v>
      </x:c>
      <x:c r="GA330">
        <x:f t="shared" si="352"/>
        <x:v>0</x:v>
      </x:c>
      <x:c r="GB330">
        <x:f t="shared" si="353"/>
        <x:v>0</x:v>
      </x:c>
      <x:c r="GC330">
        <x:f t="shared" si="354"/>
        <x:v>0</x:v>
      </x:c>
      <x:c r="GD330">
        <x:f t="shared" si="355"/>
        <x:v>0</x:v>
      </x:c>
      <x:c r="GE330">
        <x:f t="shared" si="356"/>
        <x:v>0</x:v>
      </x:c>
      <x:c r="GF330">
        <x:f t="shared" si="357"/>
        <x:v>0</x:v>
      </x:c>
      <x:c r="GG330">
        <x:f t="shared" si="358"/>
        <x:v>0</x:v>
      </x:c>
      <x:c r="GH330">
        <x:f t="shared" si="359"/>
        <x:v>0</x:v>
      </x:c>
      <x:c r="GI330">
        <x:f t="shared" si="360"/>
        <x:v>0</x:v>
      </x:c>
      <x:c r="GJ330">
        <x:f t="shared" si="361"/>
        <x:v>0</x:v>
      </x:c>
      <x:c r="GK330">
        <x:f t="shared" si="362"/>
        <x:v>0</x:v>
      </x:c>
      <x:c r="GL330">
        <x:f t="shared" si="363"/>
        <x:v>0</x:v>
      </x:c>
      <x:c r="GM330">
        <x:f t="shared" si="364"/>
        <x:v>0</x:v>
      </x:c>
      <x:c r="GN330">
        <x:f t="shared" si="365"/>
        <x:v>0</x:v>
      </x:c>
      <x:c r="GO330">
        <x:f t="shared" si="366"/>
        <x:v>0</x:v>
      </x:c>
      <x:c r="GP330">
        <x:f t="shared" si="367"/>
        <x:v>0</x:v>
      </x:c>
      <x:c r="GQ330">
        <x:f t="shared" si="368"/>
        <x:v>0</x:v>
      </x:c>
      <x:c r="GR330" s="42">
        <x:f t="shared" si="369"/>
        <x:v>0</x:v>
      </x:c>
      <x:c r="GS330">
        <x:f t="shared" si="370"/>
        <x:v>0</x:v>
      </x:c>
      <x:c r="GT330">
        <x:f t="shared" si="371"/>
        <x:v>0</x:v>
      </x:c>
      <x:c r="GU330">
        <x:f t="shared" si="372"/>
        <x:v>0</x:v>
      </x:c>
      <x:c r="GV330">
        <x:f t="shared" si="373"/>
        <x:v>0</x:v>
      </x:c>
      <x:c r="GW330">
        <x:f t="shared" si="374"/>
        <x:v>0</x:v>
      </x:c>
      <x:c r="GX330">
        <x:f t="shared" si="375"/>
        <x:v>0</x:v>
      </x:c>
      <x:c r="GY330">
        <x:f t="shared" si="376"/>
        <x:v>0</x:v>
      </x:c>
      <x:c r="GZ330">
        <x:f t="shared" si="377"/>
        <x:v>0</x:v>
      </x:c>
      <x:c r="HA330">
        <x:f t="shared" si="378"/>
        <x:v>0</x:v>
      </x:c>
      <x:c r="HB330" s="42">
        <x:f t="shared" si="379"/>
        <x:v>0</x:v>
      </x:c>
      <x:c r="HC330">
        <x:f t="shared" si="380"/>
        <x:v>0</x:v>
      </x:c>
      <x:c r="HD330">
        <x:f t="shared" si="381"/>
        <x:v>0</x:v>
      </x:c>
      <x:c r="HE330">
        <x:f t="shared" si="382"/>
        <x:v>0</x:v>
      </x:c>
      <x:c r="HF330">
        <x:f t="shared" si="383"/>
        <x:v>0</x:v>
      </x:c>
      <x:c r="HG330">
        <x:f t="shared" si="384"/>
        <x:v>0</x:v>
      </x:c>
      <x:c r="HH330">
        <x:f t="shared" si="385"/>
        <x:v>0</x:v>
      </x:c>
      <x:c r="HI330">
        <x:f t="shared" si="386"/>
        <x:v>0</x:v>
      </x:c>
      <x:c r="HJ330">
        <x:f t="shared" si="387"/>
        <x:v>0</x:v>
      </x:c>
      <x:c r="HK330">
        <x:f t="shared" si="388"/>
        <x:v>0</x:v>
      </x:c>
      <x:c r="HL330">
        <x:f t="shared" si="389"/>
        <x:v>0</x:v>
      </x:c>
    </x:row>
    <x:row r="331">
      <x:c r="D331" s="74"/>
      <x:c r="EQ331">
        <x:f t="shared" si="316"/>
        <x:v>0</x:v>
      </x:c>
      <x:c r="ER331">
        <x:f t="shared" si="317"/>
        <x:v>0</x:v>
      </x:c>
      <x:c r="ES331">
        <x:f t="shared" si="318"/>
        <x:v>0</x:v>
      </x:c>
      <x:c r="ET331">
        <x:f t="shared" si="319"/>
        <x:v>0</x:v>
      </x:c>
      <x:c r="EU331">
        <x:f t="shared" si="320"/>
        <x:v>0</x:v>
      </x:c>
      <x:c r="EV331">
        <x:f t="shared" si="321"/>
        <x:v>0</x:v>
      </x:c>
      <x:c r="EW331">
        <x:f t="shared" si="322"/>
        <x:v>0</x:v>
      </x:c>
      <x:c r="EX331">
        <x:f t="shared" si="323"/>
        <x:v>0</x:v>
      </x:c>
      <x:c r="EY331">
        <x:f t="shared" si="324"/>
        <x:v>0</x:v>
      </x:c>
      <x:c r="EZ331">
        <x:f t="shared" si="325"/>
        <x:v>0</x:v>
      </x:c>
      <x:c r="FA331" s="41">
        <x:f t="shared" si="326"/>
        <x:v>0</x:v>
      </x:c>
      <x:c r="FB331">
        <x:f t="shared" si="327"/>
        <x:v>0</x:v>
      </x:c>
      <x:c r="FC331">
        <x:f t="shared" si="328"/>
        <x:v>0</x:v>
      </x:c>
      <x:c r="FD331">
        <x:f t="shared" si="329"/>
        <x:v>0</x:v>
      </x:c>
      <x:c r="FE331">
        <x:f t="shared" si="330"/>
        <x:v>0</x:v>
      </x:c>
      <x:c r="FF331">
        <x:f t="shared" si="331"/>
        <x:v>0</x:v>
      </x:c>
      <x:c r="FG331">
        <x:f t="shared" si="332"/>
        <x:v>0</x:v>
      </x:c>
      <x:c r="FH331">
        <x:f t="shared" si="333"/>
        <x:v>0</x:v>
      </x:c>
      <x:c r="FI331">
        <x:f t="shared" si="334"/>
        <x:v>0</x:v>
      </x:c>
      <x:c r="FJ331">
        <x:f t="shared" si="335"/>
        <x:v>0</x:v>
      </x:c>
      <x:c r="FK331">
        <x:f t="shared" si="336"/>
        <x:v>0</x:v>
      </x:c>
      <x:c r="FL331" s="41">
        <x:f t="shared" si="337"/>
        <x:v>0</x:v>
      </x:c>
      <x:c r="FM331">
        <x:f t="shared" si="338"/>
        <x:v>0</x:v>
      </x:c>
      <x:c r="FN331">
        <x:f t="shared" si="339"/>
        <x:v>0</x:v>
      </x:c>
      <x:c r="FO331">
        <x:f t="shared" si="340"/>
        <x:v>0</x:v>
      </x:c>
      <x:c r="FP331">
        <x:f t="shared" si="341"/>
        <x:v>0</x:v>
      </x:c>
      <x:c r="FQ331">
        <x:f t="shared" si="342"/>
        <x:v>0</x:v>
      </x:c>
      <x:c r="FR331">
        <x:f t="shared" si="343"/>
        <x:v>0</x:v>
      </x:c>
      <x:c r="FS331">
        <x:f t="shared" si="344"/>
        <x:v>0</x:v>
      </x:c>
      <x:c r="FT331">
        <x:f t="shared" si="345"/>
        <x:v>0</x:v>
      </x:c>
      <x:c r="FU331">
        <x:f t="shared" si="346"/>
        <x:v>0</x:v>
      </x:c>
      <x:c r="FV331">
        <x:f t="shared" si="347"/>
        <x:v>0</x:v>
      </x:c>
      <x:c r="FW331" s="41">
        <x:f t="shared" si="348"/>
        <x:v>0</x:v>
      </x:c>
      <x:c r="FX331">
        <x:f t="shared" si="349"/>
        <x:v>0</x:v>
      </x:c>
      <x:c r="FY331">
        <x:f t="shared" si="350"/>
        <x:v>0</x:v>
      </x:c>
      <x:c r="FZ331">
        <x:f t="shared" si="351"/>
        <x:v>0</x:v>
      </x:c>
      <x:c r="GA331">
        <x:f t="shared" si="352"/>
        <x:v>0</x:v>
      </x:c>
      <x:c r="GB331">
        <x:f t="shared" si="353"/>
        <x:v>0</x:v>
      </x:c>
      <x:c r="GC331">
        <x:f t="shared" si="354"/>
        <x:v>0</x:v>
      </x:c>
      <x:c r="GD331">
        <x:f t="shared" si="355"/>
        <x:v>0</x:v>
      </x:c>
      <x:c r="GE331">
        <x:f t="shared" si="356"/>
        <x:v>0</x:v>
      </x:c>
      <x:c r="GF331">
        <x:f t="shared" si="357"/>
        <x:v>0</x:v>
      </x:c>
      <x:c r="GG331">
        <x:f t="shared" si="358"/>
        <x:v>0</x:v>
      </x:c>
      <x:c r="GH331">
        <x:f t="shared" si="359"/>
        <x:v>0</x:v>
      </x:c>
      <x:c r="GI331">
        <x:f t="shared" si="360"/>
        <x:v>0</x:v>
      </x:c>
      <x:c r="GJ331">
        <x:f t="shared" si="361"/>
        <x:v>0</x:v>
      </x:c>
      <x:c r="GK331">
        <x:f t="shared" si="362"/>
        <x:v>0</x:v>
      </x:c>
      <x:c r="GL331">
        <x:f t="shared" si="363"/>
        <x:v>0</x:v>
      </x:c>
      <x:c r="GM331">
        <x:f t="shared" si="364"/>
        <x:v>0</x:v>
      </x:c>
      <x:c r="GN331">
        <x:f t="shared" si="365"/>
        <x:v>0</x:v>
      </x:c>
      <x:c r="GO331">
        <x:f t="shared" si="366"/>
        <x:v>0</x:v>
      </x:c>
      <x:c r="GP331">
        <x:f t="shared" si="367"/>
        <x:v>0</x:v>
      </x:c>
      <x:c r="GQ331">
        <x:f t="shared" si="368"/>
        <x:v>0</x:v>
      </x:c>
      <x:c r="GR331" s="42">
        <x:f t="shared" si="369"/>
        <x:v>0</x:v>
      </x:c>
      <x:c r="GS331">
        <x:f t="shared" si="370"/>
        <x:v>0</x:v>
      </x:c>
      <x:c r="GT331">
        <x:f t="shared" si="371"/>
        <x:v>0</x:v>
      </x:c>
      <x:c r="GU331">
        <x:f t="shared" si="372"/>
        <x:v>0</x:v>
      </x:c>
      <x:c r="GV331">
        <x:f t="shared" si="373"/>
        <x:v>0</x:v>
      </x:c>
      <x:c r="GW331">
        <x:f t="shared" si="374"/>
        <x:v>0</x:v>
      </x:c>
      <x:c r="GX331">
        <x:f t="shared" si="375"/>
        <x:v>0</x:v>
      </x:c>
      <x:c r="GY331">
        <x:f t="shared" si="376"/>
        <x:v>0</x:v>
      </x:c>
      <x:c r="GZ331">
        <x:f t="shared" si="377"/>
        <x:v>0</x:v>
      </x:c>
      <x:c r="HA331">
        <x:f t="shared" si="378"/>
        <x:v>0</x:v>
      </x:c>
      <x:c r="HB331" s="42">
        <x:f t="shared" si="379"/>
        <x:v>0</x:v>
      </x:c>
      <x:c r="HC331">
        <x:f t="shared" si="380"/>
        <x:v>0</x:v>
      </x:c>
      <x:c r="HD331">
        <x:f t="shared" si="381"/>
        <x:v>0</x:v>
      </x:c>
      <x:c r="HE331">
        <x:f t="shared" si="382"/>
        <x:v>0</x:v>
      </x:c>
      <x:c r="HF331">
        <x:f t="shared" si="383"/>
        <x:v>0</x:v>
      </x:c>
      <x:c r="HG331">
        <x:f t="shared" si="384"/>
        <x:v>0</x:v>
      </x:c>
      <x:c r="HH331">
        <x:f t="shared" si="385"/>
        <x:v>0</x:v>
      </x:c>
      <x:c r="HI331">
        <x:f t="shared" si="386"/>
        <x:v>0</x:v>
      </x:c>
      <x:c r="HJ331">
        <x:f t="shared" si="387"/>
        <x:v>0</x:v>
      </x:c>
      <x:c r="HK331">
        <x:f t="shared" si="388"/>
        <x:v>0</x:v>
      </x:c>
      <x:c r="HL331">
        <x:f t="shared" si="389"/>
        <x:v>0</x:v>
      </x:c>
    </x:row>
    <x:row r="332">
      <x:c r="D332" s="74"/>
      <x:c r="EQ332">
        <x:f t="shared" si="316"/>
        <x:v>0</x:v>
      </x:c>
      <x:c r="ER332">
        <x:f t="shared" si="317"/>
        <x:v>0</x:v>
      </x:c>
      <x:c r="ES332">
        <x:f t="shared" si="318"/>
        <x:v>0</x:v>
      </x:c>
      <x:c r="ET332">
        <x:f t="shared" si="319"/>
        <x:v>0</x:v>
      </x:c>
      <x:c r="EU332">
        <x:f t="shared" si="320"/>
        <x:v>0</x:v>
      </x:c>
      <x:c r="EV332">
        <x:f t="shared" si="321"/>
        <x:v>0</x:v>
      </x:c>
      <x:c r="EW332">
        <x:f t="shared" si="322"/>
        <x:v>0</x:v>
      </x:c>
      <x:c r="EX332">
        <x:f t="shared" si="323"/>
        <x:v>0</x:v>
      </x:c>
      <x:c r="EY332">
        <x:f t="shared" si="324"/>
        <x:v>0</x:v>
      </x:c>
      <x:c r="EZ332">
        <x:f t="shared" si="325"/>
        <x:v>0</x:v>
      </x:c>
      <x:c r="FA332" s="41">
        <x:f t="shared" si="326"/>
        <x:v>0</x:v>
      </x:c>
      <x:c r="FB332">
        <x:f t="shared" si="327"/>
        <x:v>0</x:v>
      </x:c>
      <x:c r="FC332">
        <x:f t="shared" si="328"/>
        <x:v>0</x:v>
      </x:c>
      <x:c r="FD332">
        <x:f t="shared" si="329"/>
        <x:v>0</x:v>
      </x:c>
      <x:c r="FE332">
        <x:f t="shared" si="330"/>
        <x:v>0</x:v>
      </x:c>
      <x:c r="FF332">
        <x:f t="shared" si="331"/>
        <x:v>0</x:v>
      </x:c>
      <x:c r="FG332">
        <x:f t="shared" si="332"/>
        <x:v>0</x:v>
      </x:c>
      <x:c r="FH332">
        <x:f t="shared" si="333"/>
        <x:v>0</x:v>
      </x:c>
      <x:c r="FI332">
        <x:f t="shared" si="334"/>
        <x:v>0</x:v>
      </x:c>
      <x:c r="FJ332">
        <x:f t="shared" si="335"/>
        <x:v>0</x:v>
      </x:c>
      <x:c r="FK332">
        <x:f t="shared" si="336"/>
        <x:v>0</x:v>
      </x:c>
      <x:c r="FL332" s="41">
        <x:f t="shared" si="337"/>
        <x:v>0</x:v>
      </x:c>
      <x:c r="FM332">
        <x:f t="shared" si="338"/>
        <x:v>0</x:v>
      </x:c>
      <x:c r="FN332">
        <x:f t="shared" si="339"/>
        <x:v>0</x:v>
      </x:c>
      <x:c r="FO332">
        <x:f t="shared" si="340"/>
        <x:v>0</x:v>
      </x:c>
      <x:c r="FP332">
        <x:f t="shared" si="341"/>
        <x:v>0</x:v>
      </x:c>
      <x:c r="FQ332">
        <x:f t="shared" si="342"/>
        <x:v>0</x:v>
      </x:c>
      <x:c r="FR332">
        <x:f t="shared" si="343"/>
        <x:v>0</x:v>
      </x:c>
      <x:c r="FS332">
        <x:f t="shared" si="344"/>
        <x:v>0</x:v>
      </x:c>
      <x:c r="FT332">
        <x:f t="shared" si="345"/>
        <x:v>0</x:v>
      </x:c>
      <x:c r="FU332">
        <x:f t="shared" si="346"/>
        <x:v>0</x:v>
      </x:c>
      <x:c r="FV332">
        <x:f t="shared" si="347"/>
        <x:v>0</x:v>
      </x:c>
      <x:c r="FW332" s="41">
        <x:f t="shared" si="348"/>
        <x:v>0</x:v>
      </x:c>
      <x:c r="FX332">
        <x:f t="shared" si="349"/>
        <x:v>0</x:v>
      </x:c>
      <x:c r="FY332">
        <x:f t="shared" si="350"/>
        <x:v>0</x:v>
      </x:c>
      <x:c r="FZ332">
        <x:f t="shared" si="351"/>
        <x:v>0</x:v>
      </x:c>
      <x:c r="GA332">
        <x:f t="shared" si="352"/>
        <x:v>0</x:v>
      </x:c>
      <x:c r="GB332">
        <x:f t="shared" si="353"/>
        <x:v>0</x:v>
      </x:c>
      <x:c r="GC332">
        <x:f t="shared" si="354"/>
        <x:v>0</x:v>
      </x:c>
      <x:c r="GD332">
        <x:f t="shared" si="355"/>
        <x:v>0</x:v>
      </x:c>
      <x:c r="GE332">
        <x:f t="shared" si="356"/>
        <x:v>0</x:v>
      </x:c>
      <x:c r="GF332">
        <x:f t="shared" si="357"/>
        <x:v>0</x:v>
      </x:c>
      <x:c r="GG332">
        <x:f t="shared" si="358"/>
        <x:v>0</x:v>
      </x:c>
      <x:c r="GH332">
        <x:f t="shared" si="359"/>
        <x:v>0</x:v>
      </x:c>
      <x:c r="GI332">
        <x:f t="shared" si="360"/>
        <x:v>0</x:v>
      </x:c>
      <x:c r="GJ332">
        <x:f t="shared" si="361"/>
        <x:v>0</x:v>
      </x:c>
      <x:c r="GK332">
        <x:f t="shared" si="362"/>
        <x:v>0</x:v>
      </x:c>
      <x:c r="GL332">
        <x:f t="shared" si="363"/>
        <x:v>0</x:v>
      </x:c>
      <x:c r="GM332">
        <x:f t="shared" si="364"/>
        <x:v>0</x:v>
      </x:c>
      <x:c r="GN332">
        <x:f t="shared" si="365"/>
        <x:v>0</x:v>
      </x:c>
      <x:c r="GO332">
        <x:f t="shared" si="366"/>
        <x:v>0</x:v>
      </x:c>
      <x:c r="GP332">
        <x:f t="shared" si="367"/>
        <x:v>0</x:v>
      </x:c>
      <x:c r="GQ332">
        <x:f t="shared" si="368"/>
        <x:v>0</x:v>
      </x:c>
      <x:c r="GR332" s="42">
        <x:f t="shared" si="369"/>
        <x:v>0</x:v>
      </x:c>
      <x:c r="GS332">
        <x:f t="shared" si="370"/>
        <x:v>0</x:v>
      </x:c>
      <x:c r="GT332">
        <x:f t="shared" si="371"/>
        <x:v>0</x:v>
      </x:c>
      <x:c r="GU332">
        <x:f t="shared" si="372"/>
        <x:v>0</x:v>
      </x:c>
      <x:c r="GV332">
        <x:f t="shared" si="373"/>
        <x:v>0</x:v>
      </x:c>
      <x:c r="GW332">
        <x:f t="shared" si="374"/>
        <x:v>0</x:v>
      </x:c>
      <x:c r="GX332">
        <x:f t="shared" si="375"/>
        <x:v>0</x:v>
      </x:c>
      <x:c r="GY332">
        <x:f t="shared" si="376"/>
        <x:v>0</x:v>
      </x:c>
      <x:c r="GZ332">
        <x:f t="shared" si="377"/>
        <x:v>0</x:v>
      </x:c>
      <x:c r="HA332">
        <x:f t="shared" si="378"/>
        <x:v>0</x:v>
      </x:c>
      <x:c r="HB332" s="42">
        <x:f t="shared" si="379"/>
        <x:v>0</x:v>
      </x:c>
      <x:c r="HC332">
        <x:f t="shared" si="380"/>
        <x:v>0</x:v>
      </x:c>
      <x:c r="HD332">
        <x:f t="shared" si="381"/>
        <x:v>0</x:v>
      </x:c>
      <x:c r="HE332">
        <x:f t="shared" si="382"/>
        <x:v>0</x:v>
      </x:c>
      <x:c r="HF332">
        <x:f t="shared" si="383"/>
        <x:v>0</x:v>
      </x:c>
      <x:c r="HG332">
        <x:f t="shared" si="384"/>
        <x:v>0</x:v>
      </x:c>
      <x:c r="HH332">
        <x:f t="shared" si="385"/>
        <x:v>0</x:v>
      </x:c>
      <x:c r="HI332">
        <x:f t="shared" si="386"/>
        <x:v>0</x:v>
      </x:c>
      <x:c r="HJ332">
        <x:f t="shared" si="387"/>
        <x:v>0</x:v>
      </x:c>
      <x:c r="HK332">
        <x:f t="shared" si="388"/>
        <x:v>0</x:v>
      </x:c>
      <x:c r="HL332">
        <x:f t="shared" si="389"/>
        <x:v>0</x:v>
      </x:c>
    </x:row>
    <x:row r="333">
      <x:c r="D333" s="74"/>
      <x:c r="EQ333" t="n">
        <x:f t="shared" ref="EQ333:EQ396" si="390">SUMIFS(E333:EP333,E$7:EP$7,"Quiz",E$11:EP$11,EQ$11)</x:f>
        <x:v>0</x:v>
      </x:c>
      <x:c r="ER333" t="n">
        <x:f t="shared" ref="ER333:ER396" si="391">SUMIFS(E333:EP333,E$7:EP$7,"Exam",E$11:EP$11,EQ$11)</x:f>
        <x:v>0</x:v>
      </x:c>
      <x:c r="ES333" t="n">
        <x:f t="shared" ref="ES333:ES396" si="392">SUMIFS(E333:EP333,E$7:EP$7,"Rubric-Scored Output",E$11:EP$11,EQ$11)</x:f>
        <x:v>0</x:v>
      </x:c>
      <x:c r="ET333" t="n">
        <x:f t="shared" ref="ET333:ET396" si="393">SUMIFS(E333:EP333,E$7:EP$7,"Performance Tasks",E$11:EP$11,EQ$11)</x:f>
        <x:v>0</x:v>
      </x:c>
      <x:c r="EU333" t="n">
        <x:f t="shared" ref="EU333:EU396" si="394">SUMIFS(E333:EP333,E$7:EP$7,"Lab Outputs",E$11:EP$11,EQ$11)</x:f>
        <x:v>0</x:v>
      </x:c>
      <x:c r="EV333" t="n">
        <x:f t="shared" ref="EV333:EV396" si="395">SUMIFS(E333:EP333,E$7:EP$7,"Skills Demonstration/ RLE",E$11:EP$11,EQ$11)</x:f>
        <x:v>0</x:v>
      </x:c>
      <x:c r="EW333" t="n">
        <x:f t="shared" ref="EW333:EW396" si="396">SUMIFS(E333:EP333,E$7:EP$7,"Portfolio",E$11:EP$11,EQ$11)</x:f>
        <x:v>0</x:v>
      </x:c>
      <x:c r="EX333" t="n">
        <x:f t="shared" ref="EX333:EX396" si="397">SUMIFS(E333:EP333,E$7:EP$7,"Capstone",E$11:EP$11,EQ$11)</x:f>
        <x:v>0</x:v>
      </x:c>
      <x:c r="EY333" t="n">
        <x:f t="shared" ref="EY333:EY396" si="398">SUMIFS(E333:EP333,E$7:EP$7,"Culminating Project",E$11:EP$11,EQ$11)</x:f>
        <x:v>0</x:v>
      </x:c>
      <x:c r="EZ333" t="n">
        <x:f t="shared" ref="EZ333:EZ396" si="399">SUMIFS(E333:EP333,E$7:EP$7,"Panel Evaluation",E$11:EP$11,EQ$11)</x:f>
        <x:v>0</x:v>
      </x:c>
      <x:c r="FA333" s="41" t="n">
        <x:f t="shared" ref="FA333:FA396" si="400">SUMIFS(E333:EP333,E$7:EP$7,"Internship Evaluation",E$11:EP$11,EQ$11)</x:f>
        <x:v>0</x:v>
      </x:c>
      <x:c r="FB333" t="n">
        <x:f t="shared" ref="FB333:FB396" si="401">SUMIFS(E333:EP333,E$7:EP$7,"Quiz",E$11:EP$11,FB$11)</x:f>
        <x:v>0</x:v>
      </x:c>
      <x:c r="FC333" t="n">
        <x:f t="shared" ref="FC333:FC396" si="402">SUMIFS(E333:EP333,E$7:EP$7,"Exam",E$11:EP$11,FB$11)</x:f>
        <x:v>0</x:v>
      </x:c>
      <x:c r="FD333" t="n">
        <x:f t="shared" ref="FD333:FD396" si="403">SUMIFS(E333:EP333,E$7:EP$7,"Rubric-Scored Output",E$11:EP$11,FB$11)</x:f>
        <x:v>0</x:v>
      </x:c>
      <x:c r="FE333" t="n">
        <x:f t="shared" ref="FE333:FE396" si="404">SUMIFS(E333:EP333,E$7:EP$7,"Performance Tasks",E$11:EP$11,FB$11)</x:f>
        <x:v>0</x:v>
      </x:c>
      <x:c r="FF333" t="n">
        <x:f t="shared" ref="FF333:FF396" si="405">SUMIFS(E333:EP333,E$7:EP$7,"Lab Outputs",E$11:EP$11,FB$11)</x:f>
        <x:v>0</x:v>
      </x:c>
      <x:c r="FG333" t="n">
        <x:f t="shared" ref="FG333:FG396" si="406">SUMIFS(E333:EP333,E$7:EP$7,"Skills Demonstration/ RLE",E$11:EP$11,FB$11)</x:f>
        <x:v>0</x:v>
      </x:c>
      <x:c r="FH333" t="n">
        <x:f t="shared" ref="FH333:FH396" si="407">SUMIFS(E333:EP333,E$7:EP$7,"Portfolio",E$11:EP$11,FB$11)</x:f>
        <x:v>0</x:v>
      </x:c>
      <x:c r="FI333" t="n">
        <x:f t="shared" ref="FI333:FI396" si="408">SUMIFS(E333:EP333,E$7:EP$7,"Capstone",E$11:EP$11,FB$11)</x:f>
        <x:v>0</x:v>
      </x:c>
      <x:c r="FJ333" t="n">
        <x:f t="shared" ref="FJ333:FJ396" si="409">SUMIFS(E333:EP333,E$7:EP$7,"Culminating Project",E$11:EP$11,FB$11)</x:f>
        <x:v>0</x:v>
      </x:c>
      <x:c r="FK333" t="n">
        <x:f t="shared" ref="FK333:FK396" si="410">SUMIFS(E333:EP333,E$7:EP$7,"Panel Evaluation",E$11:EP$11,FB$11)</x:f>
        <x:v>0</x:v>
      </x:c>
      <x:c r="FL333" s="41" t="n">
        <x:f t="shared" ref="FL333:FL396" si="411">SUMIFS(E333:EP333,E$7:EP$7,"Internship Evaluation",E$11:EP$11,FB$11)</x:f>
        <x:v>0</x:v>
      </x:c>
      <x:c r="FM333" t="n">
        <x:f t="shared" ref="FM333:FM396" si="412">SUMIFS(E333:EP333,E$7:EP$7,"Quiz",E$11:EP$11,FM$11)</x:f>
        <x:v>0</x:v>
      </x:c>
      <x:c r="FN333" t="n">
        <x:f t="shared" ref="FN333:FN396" si="413">SUMIFS(E333:EP333,E$7:EP$7,"Exam",E$11:EP$11,FM$11)</x:f>
        <x:v>0</x:v>
      </x:c>
      <x:c r="FO333" t="n">
        <x:f t="shared" ref="FO333:FO396" si="414">SUMIFS(E333:EP333,E$7:EP$7,"Rubric-Scored Output",E$11:EP$11,FM$11)</x:f>
        <x:v>0</x:v>
      </x:c>
      <x:c r="FP333" t="n">
        <x:f t="shared" ref="FP333:FP396" si="415">SUMIFS(E333:EP333,E$7:EP$7,"Performance Tasks",E$11:EP$11,FM$11)</x:f>
        <x:v>0</x:v>
      </x:c>
      <x:c r="FQ333" t="n">
        <x:f t="shared" ref="FQ333:FQ396" si="416">SUMIFS(E333:EP333,E$7:EP$7,"Lab Outputs",E$11:EP$11,FM$11)</x:f>
        <x:v>0</x:v>
      </x:c>
      <x:c r="FR333" t="n">
        <x:f t="shared" ref="FR333:FR396" si="417">SUMIFS(E333:EP333,E$7:EP$7,"Skills Demonstration/ RLE",E$11:EP$11,FM$11)</x:f>
        <x:v>0</x:v>
      </x:c>
      <x:c r="FS333" t="n">
        <x:f t="shared" ref="FS333:FS396" si="418">SUMIFS(E333:EP333,E$7:EP$7,"Portfolio",E$11:EP$11,FM$11)</x:f>
        <x:v>0</x:v>
      </x:c>
      <x:c r="FT333" t="n">
        <x:f t="shared" ref="FT333:FT396" si="419">SUMIFS(E333:EP333,E$7:EP$7,"Capstone",E$11:EP$11,FM$11)</x:f>
        <x:v>0</x:v>
      </x:c>
      <x:c r="FU333" t="n">
        <x:f t="shared" ref="FU333:FU396" si="420">SUMIFS(E333:EP333,E$7:EP$7,"Culminating Project",E$11:EP$11,FM$11)</x:f>
        <x:v>0</x:v>
      </x:c>
      <x:c r="FV333" t="n">
        <x:f t="shared" ref="FV333:FV396" si="421">SUMIFS(E333:EP333,E$7:EP$7,"Panel Evaluation",E$11:EP$11,FM$11)</x:f>
        <x:v>0</x:v>
      </x:c>
      <x:c r="FW333" s="41" t="n">
        <x:f t="shared" ref="FW333:FW396" si="422">SUMIFS(E333:EP333,E$7:EP$7,"Internship Evaluation",E$11:EP$11,FM$11)</x:f>
        <x:v>0</x:v>
      </x:c>
      <x:c r="FX333" t="n">
        <x:f t="shared" ref="FX333:FX396" si="423">SUMIF(EQ$7:FW$7,"Quiz",EQ333:FW333)</x:f>
        <x:v>0</x:v>
      </x:c>
      <x:c r="FY333" t="n">
        <x:f t="shared" ref="FY333:FY396" si="424">SUMIF(EQ$7:FW$7,"Exam",EQ333:FW333)</x:f>
        <x:v>0</x:v>
      </x:c>
      <x:c r="FZ333" t="n">
        <x:f t="shared" ref="FZ333:FZ396" si="425">SUMIF(EQ$7:FW$7,"Rubric-Scored Output",EQ333:FW333)</x:f>
        <x:v>0</x:v>
      </x:c>
      <x:c r="GA333" t="n">
        <x:f t="shared" ref="GA333:GA396" si="426">SUMIF(EQ$7:FW$7,"Performance Tasks",EQ333:FW333)</x:f>
        <x:v>0</x:v>
      </x:c>
      <x:c r="GB333" t="n">
        <x:f t="shared" ref="GB333:GB396" si="427">SUMIF(EQ$7:FW$7,"Lab Outputs",EQ333:FW333)</x:f>
        <x:v>0</x:v>
      </x:c>
      <x:c r="GC333" t="n">
        <x:f t="shared" ref="GC333:GC396" si="428">SUMIF(EQ$7:FW$7,"Skills Demonstration/ RLE",EQ333:FW333)</x:f>
        <x:v>0</x:v>
      </x:c>
      <x:c r="GD333" t="n">
        <x:f t="shared" ref="GD333:GD396" si="429">SUMIF(EQ$7:FW$7,"Portfolio",EQ333:FW333)</x:f>
        <x:v>0</x:v>
      </x:c>
      <x:c r="GE333" t="n">
        <x:f t="shared" ref="GE333:GE396" si="430">SUMIF(EQ$7:FW$7,"Capstone",EQ333:FW333)</x:f>
        <x:v>0</x:v>
      </x:c>
      <x:c r="GF333" t="n">
        <x:f t="shared" ref="GF333:GF396" si="431">SUMIF(EQ$7:FW$7,"Culminating Project",EQ333:FW333)</x:f>
        <x:v>0</x:v>
      </x:c>
      <x:c r="GG333" t="n">
        <x:f t="shared" ref="GG333:GG396" si="432">SUMIF(EQ$7:FW$7,"Panel Evaluation",EQ333:FW333)</x:f>
        <x:v>0</x:v>
      </x:c>
      <x:c r="GH333" t="n">
        <x:f t="shared" ref="GH333:GH396" si="433">SUMIF(EQ$7:FW$7,"Internship Evaluation",EQ333:FW333)</x:f>
        <x:v>0</x:v>
      </x:c>
      <x:c r="GI333" t="n">
        <x:f t="shared" ref="GI333:GI396" si="434">SUMIFS(E333:EP333,E$8:EP$8,GI$8,E$11:EP$11,GI$11)</x:f>
        <x:v>0</x:v>
      </x:c>
      <x:c r="GJ333" t="n">
        <x:f t="shared" ref="GJ333:GJ396" si="435">SUMIFS(E333:EP333,E$8:EP$8,GJ$8,E$11:EP$11,GI$11)</x:f>
        <x:v>0</x:v>
      </x:c>
      <x:c r="GK333" t="n">
        <x:f t="shared" ref="GK333:GK396" si="436">SUMIFS(E333:EP333,E$8:EP$8,GK$8,E$11:EP$11,GI$11)</x:f>
        <x:v>0</x:v>
      </x:c>
      <x:c r="GL333" t="n">
        <x:f t="shared" ref="GL333:GL396" si="437">SUMIFS(E333:EP333,E$8:EP$8,GL$8,E$11:EP$11,GI$11)</x:f>
        <x:v>0</x:v>
      </x:c>
      <x:c r="GM333" t="n">
        <x:f t="shared" ref="GM333:GM396" si="438">SUMIFS(E333:EP333,E$8:EP$8,GM$8,E$11:EP$11,GI$11)</x:f>
        <x:v>0</x:v>
      </x:c>
      <x:c r="GN333" t="n">
        <x:f t="shared" ref="GN333:GN396" si="439">SUMIFS(E333:EP333,E$8:EP$8,GN$8,E$11:EP$11,GI$11)</x:f>
        <x:v>0</x:v>
      </x:c>
      <x:c r="GO333" t="n">
        <x:f t="shared" ref="GO333:GO396" si="440">SUMIFS(E333:EP333,E$8:EP$8,GO$8,E$11:EP$11,GI$11)</x:f>
        <x:v>0</x:v>
      </x:c>
      <x:c r="GP333" t="n">
        <x:f t="shared" ref="GP333:GP396" si="441">SUMIFS(E333:EP333,E$8:EP$8,GP$8,E$11:EP$11,GI$11)</x:f>
        <x:v>0</x:v>
      </x:c>
      <x:c r="GQ333" t="n">
        <x:f t="shared" ref="GQ333:GQ396" si="442">SUMIFS(E333:EP333,E$8:EP$8,GQ$8,E$11:EP$11,GI$11)</x:f>
        <x:v>0</x:v>
      </x:c>
      <x:c r="GR333" s="42" t="n">
        <x:f t="shared" ref="GR333:GR396" si="443">SUMIFS(E333:EP333,E$8:EP$8,GR$8,E$11:EP$11,GI$11)</x:f>
        <x:v>0</x:v>
      </x:c>
      <x:c r="GS333" t="n">
        <x:f t="shared" ref="GS333:GS396" si="444">SUMIFS(E333:EP333,E$8:EP$8,GI$8,E$11:EP$11,GS$11)</x:f>
        <x:v>0</x:v>
      </x:c>
      <x:c r="GT333" t="n">
        <x:f t="shared" ref="GT333:GT396" si="445">SUMIFS(E333:EP333,E$8:EP$8,GJ$8,E$11:EP$11,GS$11)</x:f>
        <x:v>0</x:v>
      </x:c>
      <x:c r="GU333" t="n">
        <x:f t="shared" ref="GU333:GU396" si="446">SUMIFS(E333:EP333,E$8:EP$8,GK$8,E$11:EP$11,GS$11)</x:f>
        <x:v>0</x:v>
      </x:c>
      <x:c r="GV333" t="n">
        <x:f t="shared" ref="GV333:GV396" si="447">SUMIFS(E333:EP333,E$8:EP$8,GL$8,E$11:EP$11,GS$11)</x:f>
        <x:v>0</x:v>
      </x:c>
      <x:c r="GW333" t="n">
        <x:f t="shared" ref="GW333:GW396" si="448">SUMIFS(E333:EP333,E$8:EP$8,GM$8,E$11:EP$11,GS$11)</x:f>
        <x:v>0</x:v>
      </x:c>
      <x:c r="GX333" t="n">
        <x:f t="shared" ref="GX333:GX396" si="449">SUMIFS(E333:EP333,E$8:EP$8,GN$8,E$11:EP$11,GS$11)</x:f>
        <x:v>0</x:v>
      </x:c>
      <x:c r="GY333" t="n">
        <x:f t="shared" ref="GY333:GY396" si="450">SUMIFS(E333:EP333,E$8:EP$8,GY$8,E$11:EP$11,GS$11)</x:f>
        <x:v>0</x:v>
      </x:c>
      <x:c r="GZ333" t="n">
        <x:f t="shared" ref="GZ333:GZ396" si="451">SUMIFS(E333:EP333,E$8:EP$8,GZ$8,E$11:EP$11,GS$11)</x:f>
        <x:v>0</x:v>
      </x:c>
      <x:c r="HA333" t="n">
        <x:f t="shared" ref="HA333:HA396" si="452">SUMIFS(E333:EP333,E$8:EP$8,HA$8,E$11:EP$11,GS$11)</x:f>
        <x:v>0</x:v>
      </x:c>
      <x:c r="HB333" s="42" t="n">
        <x:f t="shared" ref="HB333:HB396" si="453">SUMIFS(E333:EP333,E$8:EP$8,GR$8,E$11:EP$11,GS$11)</x:f>
        <x:v>0</x:v>
      </x:c>
      <x:c r="HC333" t="n">
        <x:f t="shared" ref="HC333:HC396" si="454">SUMIFS(E333:EP333,E$8:EP$8,GI$8,E$11:EP$11,HC$11)</x:f>
        <x:v>0</x:v>
      </x:c>
      <x:c r="HD333" t="n">
        <x:f t="shared" ref="HD333:HD396" si="455">SUMIFS(E333:EP333,E$8:EP$8,GJ$8,E$11:EP$11,HC$11)</x:f>
        <x:v>0</x:v>
      </x:c>
      <x:c r="HE333" t="n">
        <x:f t="shared" ref="HE333:HE396" si="456">SUMIFS(E333:EP333,E$8:EP$8,GK$8,E$11:EP$11,HC$11)</x:f>
        <x:v>0</x:v>
      </x:c>
      <x:c r="HF333" t="n">
        <x:f t="shared" ref="HF333:HF396" si="457">SUMIFS(E333:EP333,E$8:EP$8,GL$8,E$11:EP$11,HC$11)</x:f>
        <x:v>0</x:v>
      </x:c>
      <x:c r="HG333" t="n">
        <x:f t="shared" ref="HG333:HG396" si="458">SUMIFS(E333:EP333,E$8:EP$8,GM$8,E$11:EP$11,HC$11)</x:f>
        <x:v>0</x:v>
      </x:c>
      <x:c r="HH333" t="n">
        <x:f t="shared" ref="HH333:HH396" si="459">SUMIFS(E333:EP333,E$8:EP$8,GN$8,E$11:EP$11,HC$11)</x:f>
        <x:v>0</x:v>
      </x:c>
      <x:c r="HI333" t="n">
        <x:f t="shared" ref="HI333:HI396" si="460">SUMIFS(E333:EP333,E$8:EP$8,GO$8,E$11:EP$11,HC$11)</x:f>
        <x:v>0</x:v>
      </x:c>
      <x:c r="HJ333" t="n">
        <x:f t="shared" ref="HJ333:HJ396" si="461">SUMIFS(E333:EP333,E$8:EP$8,GP$8,E$11:EP$11,HC$11)</x:f>
        <x:v>0</x:v>
      </x:c>
      <x:c r="HK333" t="n">
        <x:f t="shared" ref="HK333:HK396" si="462">SUMIFS(E333:EP333,E$8:EP$8,GQ$8,E$11:EP$11,HC$11)</x:f>
        <x:v>0</x:v>
      </x:c>
      <x:c r="HL333" t="n">
        <x:f t="shared" ref="HL333:HL396" si="463">SUMIFS(E333:EP333,E$8:EP$8,GR$8,E$11:EP$11,HC$11)</x:f>
        <x:v>0</x:v>
      </x:c>
    </x:row>
    <x:row r="334">
      <x:c r="D334" s="74"/>
      <x:c r="EQ334">
        <x:f t="shared" si="390"/>
        <x:v>0</x:v>
      </x:c>
      <x:c r="ER334">
        <x:f t="shared" si="391"/>
        <x:v>0</x:v>
      </x:c>
      <x:c r="ES334">
        <x:f t="shared" si="392"/>
        <x:v>0</x:v>
      </x:c>
      <x:c r="ET334">
        <x:f t="shared" si="393"/>
        <x:v>0</x:v>
      </x:c>
      <x:c r="EU334">
        <x:f t="shared" si="394"/>
        <x:v>0</x:v>
      </x:c>
      <x:c r="EV334">
        <x:f t="shared" si="395"/>
        <x:v>0</x:v>
      </x:c>
      <x:c r="EW334">
        <x:f t="shared" si="396"/>
        <x:v>0</x:v>
      </x:c>
      <x:c r="EX334">
        <x:f t="shared" si="397"/>
        <x:v>0</x:v>
      </x:c>
      <x:c r="EY334">
        <x:f t="shared" si="398"/>
        <x:v>0</x:v>
      </x:c>
      <x:c r="EZ334">
        <x:f t="shared" si="399"/>
        <x:v>0</x:v>
      </x:c>
      <x:c r="FA334" s="41">
        <x:f t="shared" si="400"/>
        <x:v>0</x:v>
      </x:c>
      <x:c r="FB334">
        <x:f t="shared" si="401"/>
        <x:v>0</x:v>
      </x:c>
      <x:c r="FC334">
        <x:f t="shared" si="402"/>
        <x:v>0</x:v>
      </x:c>
      <x:c r="FD334">
        <x:f t="shared" si="403"/>
        <x:v>0</x:v>
      </x:c>
      <x:c r="FE334">
        <x:f t="shared" si="404"/>
        <x:v>0</x:v>
      </x:c>
      <x:c r="FF334">
        <x:f t="shared" si="405"/>
        <x:v>0</x:v>
      </x:c>
      <x:c r="FG334">
        <x:f t="shared" si="406"/>
        <x:v>0</x:v>
      </x:c>
      <x:c r="FH334">
        <x:f t="shared" si="407"/>
        <x:v>0</x:v>
      </x:c>
      <x:c r="FI334">
        <x:f t="shared" si="408"/>
        <x:v>0</x:v>
      </x:c>
      <x:c r="FJ334">
        <x:f t="shared" si="409"/>
        <x:v>0</x:v>
      </x:c>
      <x:c r="FK334">
        <x:f t="shared" si="410"/>
        <x:v>0</x:v>
      </x:c>
      <x:c r="FL334" s="41">
        <x:f t="shared" si="411"/>
        <x:v>0</x:v>
      </x:c>
      <x:c r="FM334">
        <x:f t="shared" si="412"/>
        <x:v>0</x:v>
      </x:c>
      <x:c r="FN334">
        <x:f t="shared" si="413"/>
        <x:v>0</x:v>
      </x:c>
      <x:c r="FO334">
        <x:f t="shared" si="414"/>
        <x:v>0</x:v>
      </x:c>
      <x:c r="FP334">
        <x:f t="shared" si="415"/>
        <x:v>0</x:v>
      </x:c>
      <x:c r="FQ334">
        <x:f t="shared" si="416"/>
        <x:v>0</x:v>
      </x:c>
      <x:c r="FR334">
        <x:f t="shared" si="417"/>
        <x:v>0</x:v>
      </x:c>
      <x:c r="FS334">
        <x:f t="shared" si="418"/>
        <x:v>0</x:v>
      </x:c>
      <x:c r="FT334">
        <x:f t="shared" si="419"/>
        <x:v>0</x:v>
      </x:c>
      <x:c r="FU334">
        <x:f t="shared" si="420"/>
        <x:v>0</x:v>
      </x:c>
      <x:c r="FV334">
        <x:f t="shared" si="421"/>
        <x:v>0</x:v>
      </x:c>
      <x:c r="FW334" s="41">
        <x:f t="shared" si="422"/>
        <x:v>0</x:v>
      </x:c>
      <x:c r="FX334">
        <x:f t="shared" si="423"/>
        <x:v>0</x:v>
      </x:c>
      <x:c r="FY334">
        <x:f t="shared" si="424"/>
        <x:v>0</x:v>
      </x:c>
      <x:c r="FZ334">
        <x:f t="shared" si="425"/>
        <x:v>0</x:v>
      </x:c>
      <x:c r="GA334">
        <x:f t="shared" si="426"/>
        <x:v>0</x:v>
      </x:c>
      <x:c r="GB334">
        <x:f t="shared" si="427"/>
        <x:v>0</x:v>
      </x:c>
      <x:c r="GC334">
        <x:f t="shared" si="428"/>
        <x:v>0</x:v>
      </x:c>
      <x:c r="GD334">
        <x:f t="shared" si="429"/>
        <x:v>0</x:v>
      </x:c>
      <x:c r="GE334">
        <x:f t="shared" si="430"/>
        <x:v>0</x:v>
      </x:c>
      <x:c r="GF334">
        <x:f t="shared" si="431"/>
        <x:v>0</x:v>
      </x:c>
      <x:c r="GG334">
        <x:f t="shared" si="432"/>
        <x:v>0</x:v>
      </x:c>
      <x:c r="GH334">
        <x:f t="shared" si="433"/>
        <x:v>0</x:v>
      </x:c>
      <x:c r="GI334">
        <x:f t="shared" si="434"/>
        <x:v>0</x:v>
      </x:c>
      <x:c r="GJ334">
        <x:f t="shared" si="435"/>
        <x:v>0</x:v>
      </x:c>
      <x:c r="GK334">
        <x:f t="shared" si="436"/>
        <x:v>0</x:v>
      </x:c>
      <x:c r="GL334">
        <x:f t="shared" si="437"/>
        <x:v>0</x:v>
      </x:c>
      <x:c r="GM334">
        <x:f t="shared" si="438"/>
        <x:v>0</x:v>
      </x:c>
      <x:c r="GN334">
        <x:f t="shared" si="439"/>
        <x:v>0</x:v>
      </x:c>
      <x:c r="GO334">
        <x:f t="shared" si="440"/>
        <x:v>0</x:v>
      </x:c>
      <x:c r="GP334">
        <x:f t="shared" si="441"/>
        <x:v>0</x:v>
      </x:c>
      <x:c r="GQ334">
        <x:f t="shared" si="442"/>
        <x:v>0</x:v>
      </x:c>
      <x:c r="GR334" s="42">
        <x:f t="shared" si="443"/>
        <x:v>0</x:v>
      </x:c>
      <x:c r="GS334">
        <x:f t="shared" si="444"/>
        <x:v>0</x:v>
      </x:c>
      <x:c r="GT334">
        <x:f t="shared" si="445"/>
        <x:v>0</x:v>
      </x:c>
      <x:c r="GU334">
        <x:f t="shared" si="446"/>
        <x:v>0</x:v>
      </x:c>
      <x:c r="GV334">
        <x:f t="shared" si="447"/>
        <x:v>0</x:v>
      </x:c>
      <x:c r="GW334">
        <x:f t="shared" si="448"/>
        <x:v>0</x:v>
      </x:c>
      <x:c r="GX334">
        <x:f t="shared" si="449"/>
        <x:v>0</x:v>
      </x:c>
      <x:c r="GY334">
        <x:f t="shared" si="450"/>
        <x:v>0</x:v>
      </x:c>
      <x:c r="GZ334">
        <x:f t="shared" si="451"/>
        <x:v>0</x:v>
      </x:c>
      <x:c r="HA334">
        <x:f t="shared" si="452"/>
        <x:v>0</x:v>
      </x:c>
      <x:c r="HB334" s="42">
        <x:f t="shared" si="453"/>
        <x:v>0</x:v>
      </x:c>
      <x:c r="HC334">
        <x:f t="shared" si="454"/>
        <x:v>0</x:v>
      </x:c>
      <x:c r="HD334">
        <x:f t="shared" si="455"/>
        <x:v>0</x:v>
      </x:c>
      <x:c r="HE334">
        <x:f t="shared" si="456"/>
        <x:v>0</x:v>
      </x:c>
      <x:c r="HF334">
        <x:f t="shared" si="457"/>
        <x:v>0</x:v>
      </x:c>
      <x:c r="HG334">
        <x:f t="shared" si="458"/>
        <x:v>0</x:v>
      </x:c>
      <x:c r="HH334">
        <x:f t="shared" si="459"/>
        <x:v>0</x:v>
      </x:c>
      <x:c r="HI334">
        <x:f t="shared" si="460"/>
        <x:v>0</x:v>
      </x:c>
      <x:c r="HJ334">
        <x:f t="shared" si="461"/>
        <x:v>0</x:v>
      </x:c>
      <x:c r="HK334">
        <x:f t="shared" si="462"/>
        <x:v>0</x:v>
      </x:c>
      <x:c r="HL334">
        <x:f t="shared" si="463"/>
        <x:v>0</x:v>
      </x:c>
    </x:row>
    <x:row r="335">
      <x:c r="D335" s="74"/>
      <x:c r="EQ335">
        <x:f t="shared" si="390"/>
        <x:v>0</x:v>
      </x:c>
      <x:c r="ER335">
        <x:f t="shared" si="391"/>
        <x:v>0</x:v>
      </x:c>
      <x:c r="ES335">
        <x:f t="shared" si="392"/>
        <x:v>0</x:v>
      </x:c>
      <x:c r="ET335">
        <x:f t="shared" si="393"/>
        <x:v>0</x:v>
      </x:c>
      <x:c r="EU335">
        <x:f t="shared" si="394"/>
        <x:v>0</x:v>
      </x:c>
      <x:c r="EV335">
        <x:f t="shared" si="395"/>
        <x:v>0</x:v>
      </x:c>
      <x:c r="EW335">
        <x:f t="shared" si="396"/>
        <x:v>0</x:v>
      </x:c>
      <x:c r="EX335">
        <x:f t="shared" si="397"/>
        <x:v>0</x:v>
      </x:c>
      <x:c r="EY335">
        <x:f t="shared" si="398"/>
        <x:v>0</x:v>
      </x:c>
      <x:c r="EZ335">
        <x:f t="shared" si="399"/>
        <x:v>0</x:v>
      </x:c>
      <x:c r="FA335" s="41">
        <x:f t="shared" si="400"/>
        <x:v>0</x:v>
      </x:c>
      <x:c r="FB335">
        <x:f t="shared" si="401"/>
        <x:v>0</x:v>
      </x:c>
      <x:c r="FC335">
        <x:f t="shared" si="402"/>
        <x:v>0</x:v>
      </x:c>
      <x:c r="FD335">
        <x:f t="shared" si="403"/>
        <x:v>0</x:v>
      </x:c>
      <x:c r="FE335">
        <x:f t="shared" si="404"/>
        <x:v>0</x:v>
      </x:c>
      <x:c r="FF335">
        <x:f t="shared" si="405"/>
        <x:v>0</x:v>
      </x:c>
      <x:c r="FG335">
        <x:f t="shared" si="406"/>
        <x:v>0</x:v>
      </x:c>
      <x:c r="FH335">
        <x:f t="shared" si="407"/>
        <x:v>0</x:v>
      </x:c>
      <x:c r="FI335">
        <x:f t="shared" si="408"/>
        <x:v>0</x:v>
      </x:c>
      <x:c r="FJ335">
        <x:f t="shared" si="409"/>
        <x:v>0</x:v>
      </x:c>
      <x:c r="FK335">
        <x:f t="shared" si="410"/>
        <x:v>0</x:v>
      </x:c>
      <x:c r="FL335" s="41">
        <x:f t="shared" si="411"/>
        <x:v>0</x:v>
      </x:c>
      <x:c r="FM335">
        <x:f t="shared" si="412"/>
        <x:v>0</x:v>
      </x:c>
      <x:c r="FN335">
        <x:f t="shared" si="413"/>
        <x:v>0</x:v>
      </x:c>
      <x:c r="FO335">
        <x:f t="shared" si="414"/>
        <x:v>0</x:v>
      </x:c>
      <x:c r="FP335">
        <x:f t="shared" si="415"/>
        <x:v>0</x:v>
      </x:c>
      <x:c r="FQ335">
        <x:f t="shared" si="416"/>
        <x:v>0</x:v>
      </x:c>
      <x:c r="FR335">
        <x:f t="shared" si="417"/>
        <x:v>0</x:v>
      </x:c>
      <x:c r="FS335">
        <x:f t="shared" si="418"/>
        <x:v>0</x:v>
      </x:c>
      <x:c r="FT335">
        <x:f t="shared" si="419"/>
        <x:v>0</x:v>
      </x:c>
      <x:c r="FU335">
        <x:f t="shared" si="420"/>
        <x:v>0</x:v>
      </x:c>
      <x:c r="FV335">
        <x:f t="shared" si="421"/>
        <x:v>0</x:v>
      </x:c>
      <x:c r="FW335" s="41">
        <x:f t="shared" si="422"/>
        <x:v>0</x:v>
      </x:c>
      <x:c r="FX335">
        <x:f t="shared" si="423"/>
        <x:v>0</x:v>
      </x:c>
      <x:c r="FY335">
        <x:f t="shared" si="424"/>
        <x:v>0</x:v>
      </x:c>
      <x:c r="FZ335">
        <x:f t="shared" si="425"/>
        <x:v>0</x:v>
      </x:c>
      <x:c r="GA335">
        <x:f t="shared" si="426"/>
        <x:v>0</x:v>
      </x:c>
      <x:c r="GB335">
        <x:f t="shared" si="427"/>
        <x:v>0</x:v>
      </x:c>
      <x:c r="GC335">
        <x:f t="shared" si="428"/>
        <x:v>0</x:v>
      </x:c>
      <x:c r="GD335">
        <x:f t="shared" si="429"/>
        <x:v>0</x:v>
      </x:c>
      <x:c r="GE335">
        <x:f t="shared" si="430"/>
        <x:v>0</x:v>
      </x:c>
      <x:c r="GF335">
        <x:f t="shared" si="431"/>
        <x:v>0</x:v>
      </x:c>
      <x:c r="GG335">
        <x:f t="shared" si="432"/>
        <x:v>0</x:v>
      </x:c>
      <x:c r="GH335">
        <x:f t="shared" si="433"/>
        <x:v>0</x:v>
      </x:c>
      <x:c r="GI335">
        <x:f t="shared" si="434"/>
        <x:v>0</x:v>
      </x:c>
      <x:c r="GJ335">
        <x:f t="shared" si="435"/>
        <x:v>0</x:v>
      </x:c>
      <x:c r="GK335">
        <x:f t="shared" si="436"/>
        <x:v>0</x:v>
      </x:c>
      <x:c r="GL335">
        <x:f t="shared" si="437"/>
        <x:v>0</x:v>
      </x:c>
      <x:c r="GM335">
        <x:f t="shared" si="438"/>
        <x:v>0</x:v>
      </x:c>
      <x:c r="GN335">
        <x:f t="shared" si="439"/>
        <x:v>0</x:v>
      </x:c>
      <x:c r="GO335">
        <x:f t="shared" si="440"/>
        <x:v>0</x:v>
      </x:c>
      <x:c r="GP335">
        <x:f t="shared" si="441"/>
        <x:v>0</x:v>
      </x:c>
      <x:c r="GQ335">
        <x:f t="shared" si="442"/>
        <x:v>0</x:v>
      </x:c>
      <x:c r="GR335" s="42">
        <x:f t="shared" si="443"/>
        <x:v>0</x:v>
      </x:c>
      <x:c r="GS335">
        <x:f t="shared" si="444"/>
        <x:v>0</x:v>
      </x:c>
      <x:c r="GT335">
        <x:f t="shared" si="445"/>
        <x:v>0</x:v>
      </x:c>
      <x:c r="GU335">
        <x:f t="shared" si="446"/>
        <x:v>0</x:v>
      </x:c>
      <x:c r="GV335">
        <x:f t="shared" si="447"/>
        <x:v>0</x:v>
      </x:c>
      <x:c r="GW335">
        <x:f t="shared" si="448"/>
        <x:v>0</x:v>
      </x:c>
      <x:c r="GX335">
        <x:f t="shared" si="449"/>
        <x:v>0</x:v>
      </x:c>
      <x:c r="GY335">
        <x:f t="shared" si="450"/>
        <x:v>0</x:v>
      </x:c>
      <x:c r="GZ335">
        <x:f t="shared" si="451"/>
        <x:v>0</x:v>
      </x:c>
      <x:c r="HA335">
        <x:f t="shared" si="452"/>
        <x:v>0</x:v>
      </x:c>
      <x:c r="HB335" s="42">
        <x:f t="shared" si="453"/>
        <x:v>0</x:v>
      </x:c>
      <x:c r="HC335">
        <x:f t="shared" si="454"/>
        <x:v>0</x:v>
      </x:c>
      <x:c r="HD335">
        <x:f t="shared" si="455"/>
        <x:v>0</x:v>
      </x:c>
      <x:c r="HE335">
        <x:f t="shared" si="456"/>
        <x:v>0</x:v>
      </x:c>
      <x:c r="HF335">
        <x:f t="shared" si="457"/>
        <x:v>0</x:v>
      </x:c>
      <x:c r="HG335">
        <x:f t="shared" si="458"/>
        <x:v>0</x:v>
      </x:c>
      <x:c r="HH335">
        <x:f t="shared" si="459"/>
        <x:v>0</x:v>
      </x:c>
      <x:c r="HI335">
        <x:f t="shared" si="460"/>
        <x:v>0</x:v>
      </x:c>
      <x:c r="HJ335">
        <x:f t="shared" si="461"/>
        <x:v>0</x:v>
      </x:c>
      <x:c r="HK335">
        <x:f t="shared" si="462"/>
        <x:v>0</x:v>
      </x:c>
      <x:c r="HL335">
        <x:f t="shared" si="463"/>
        <x:v>0</x:v>
      </x:c>
    </x:row>
    <x:row r="336">
      <x:c r="D336" s="74"/>
      <x:c r="EQ336">
        <x:f t="shared" si="390"/>
        <x:v>0</x:v>
      </x:c>
      <x:c r="ER336">
        <x:f t="shared" si="391"/>
        <x:v>0</x:v>
      </x:c>
      <x:c r="ES336">
        <x:f t="shared" si="392"/>
        <x:v>0</x:v>
      </x:c>
      <x:c r="ET336">
        <x:f t="shared" si="393"/>
        <x:v>0</x:v>
      </x:c>
      <x:c r="EU336">
        <x:f t="shared" si="394"/>
        <x:v>0</x:v>
      </x:c>
      <x:c r="EV336">
        <x:f t="shared" si="395"/>
        <x:v>0</x:v>
      </x:c>
      <x:c r="EW336">
        <x:f t="shared" si="396"/>
        <x:v>0</x:v>
      </x:c>
      <x:c r="EX336">
        <x:f t="shared" si="397"/>
        <x:v>0</x:v>
      </x:c>
      <x:c r="EY336">
        <x:f t="shared" si="398"/>
        <x:v>0</x:v>
      </x:c>
      <x:c r="EZ336">
        <x:f t="shared" si="399"/>
        <x:v>0</x:v>
      </x:c>
      <x:c r="FA336" s="41">
        <x:f t="shared" si="400"/>
        <x:v>0</x:v>
      </x:c>
      <x:c r="FB336">
        <x:f t="shared" si="401"/>
        <x:v>0</x:v>
      </x:c>
      <x:c r="FC336">
        <x:f t="shared" si="402"/>
        <x:v>0</x:v>
      </x:c>
      <x:c r="FD336">
        <x:f t="shared" si="403"/>
        <x:v>0</x:v>
      </x:c>
      <x:c r="FE336">
        <x:f t="shared" si="404"/>
        <x:v>0</x:v>
      </x:c>
      <x:c r="FF336">
        <x:f t="shared" si="405"/>
        <x:v>0</x:v>
      </x:c>
      <x:c r="FG336">
        <x:f t="shared" si="406"/>
        <x:v>0</x:v>
      </x:c>
      <x:c r="FH336">
        <x:f t="shared" si="407"/>
        <x:v>0</x:v>
      </x:c>
      <x:c r="FI336">
        <x:f t="shared" si="408"/>
        <x:v>0</x:v>
      </x:c>
      <x:c r="FJ336">
        <x:f t="shared" si="409"/>
        <x:v>0</x:v>
      </x:c>
      <x:c r="FK336">
        <x:f t="shared" si="410"/>
        <x:v>0</x:v>
      </x:c>
      <x:c r="FL336" s="41">
        <x:f t="shared" si="411"/>
        <x:v>0</x:v>
      </x:c>
      <x:c r="FM336">
        <x:f t="shared" si="412"/>
        <x:v>0</x:v>
      </x:c>
      <x:c r="FN336">
        <x:f t="shared" si="413"/>
        <x:v>0</x:v>
      </x:c>
      <x:c r="FO336">
        <x:f t="shared" si="414"/>
        <x:v>0</x:v>
      </x:c>
      <x:c r="FP336">
        <x:f t="shared" si="415"/>
        <x:v>0</x:v>
      </x:c>
      <x:c r="FQ336">
        <x:f t="shared" si="416"/>
        <x:v>0</x:v>
      </x:c>
      <x:c r="FR336">
        <x:f t="shared" si="417"/>
        <x:v>0</x:v>
      </x:c>
      <x:c r="FS336">
        <x:f t="shared" si="418"/>
        <x:v>0</x:v>
      </x:c>
      <x:c r="FT336">
        <x:f t="shared" si="419"/>
        <x:v>0</x:v>
      </x:c>
      <x:c r="FU336">
        <x:f t="shared" si="420"/>
        <x:v>0</x:v>
      </x:c>
      <x:c r="FV336">
        <x:f t="shared" si="421"/>
        <x:v>0</x:v>
      </x:c>
      <x:c r="FW336" s="41">
        <x:f t="shared" si="422"/>
        <x:v>0</x:v>
      </x:c>
      <x:c r="FX336">
        <x:f t="shared" si="423"/>
        <x:v>0</x:v>
      </x:c>
      <x:c r="FY336">
        <x:f t="shared" si="424"/>
        <x:v>0</x:v>
      </x:c>
      <x:c r="FZ336">
        <x:f t="shared" si="425"/>
        <x:v>0</x:v>
      </x:c>
      <x:c r="GA336">
        <x:f t="shared" si="426"/>
        <x:v>0</x:v>
      </x:c>
      <x:c r="GB336">
        <x:f t="shared" si="427"/>
        <x:v>0</x:v>
      </x:c>
      <x:c r="GC336">
        <x:f t="shared" si="428"/>
        <x:v>0</x:v>
      </x:c>
      <x:c r="GD336">
        <x:f t="shared" si="429"/>
        <x:v>0</x:v>
      </x:c>
      <x:c r="GE336">
        <x:f t="shared" si="430"/>
        <x:v>0</x:v>
      </x:c>
      <x:c r="GF336">
        <x:f t="shared" si="431"/>
        <x:v>0</x:v>
      </x:c>
      <x:c r="GG336">
        <x:f t="shared" si="432"/>
        <x:v>0</x:v>
      </x:c>
      <x:c r="GH336">
        <x:f t="shared" si="433"/>
        <x:v>0</x:v>
      </x:c>
      <x:c r="GI336">
        <x:f t="shared" si="434"/>
        <x:v>0</x:v>
      </x:c>
      <x:c r="GJ336">
        <x:f t="shared" si="435"/>
        <x:v>0</x:v>
      </x:c>
      <x:c r="GK336">
        <x:f t="shared" si="436"/>
        <x:v>0</x:v>
      </x:c>
      <x:c r="GL336">
        <x:f t="shared" si="437"/>
        <x:v>0</x:v>
      </x:c>
      <x:c r="GM336">
        <x:f t="shared" si="438"/>
        <x:v>0</x:v>
      </x:c>
      <x:c r="GN336">
        <x:f t="shared" si="439"/>
        <x:v>0</x:v>
      </x:c>
      <x:c r="GO336">
        <x:f t="shared" si="440"/>
        <x:v>0</x:v>
      </x:c>
      <x:c r="GP336">
        <x:f t="shared" si="441"/>
        <x:v>0</x:v>
      </x:c>
      <x:c r="GQ336">
        <x:f t="shared" si="442"/>
        <x:v>0</x:v>
      </x:c>
      <x:c r="GR336" s="42">
        <x:f t="shared" si="443"/>
        <x:v>0</x:v>
      </x:c>
      <x:c r="GS336">
        <x:f t="shared" si="444"/>
        <x:v>0</x:v>
      </x:c>
      <x:c r="GT336">
        <x:f t="shared" si="445"/>
        <x:v>0</x:v>
      </x:c>
      <x:c r="GU336">
        <x:f t="shared" si="446"/>
        <x:v>0</x:v>
      </x:c>
      <x:c r="GV336">
        <x:f t="shared" si="447"/>
        <x:v>0</x:v>
      </x:c>
      <x:c r="GW336">
        <x:f t="shared" si="448"/>
        <x:v>0</x:v>
      </x:c>
      <x:c r="GX336">
        <x:f t="shared" si="449"/>
        <x:v>0</x:v>
      </x:c>
      <x:c r="GY336">
        <x:f t="shared" si="450"/>
        <x:v>0</x:v>
      </x:c>
      <x:c r="GZ336">
        <x:f t="shared" si="451"/>
        <x:v>0</x:v>
      </x:c>
      <x:c r="HA336">
        <x:f t="shared" si="452"/>
        <x:v>0</x:v>
      </x:c>
      <x:c r="HB336" s="42">
        <x:f t="shared" si="453"/>
        <x:v>0</x:v>
      </x:c>
      <x:c r="HC336">
        <x:f t="shared" si="454"/>
        <x:v>0</x:v>
      </x:c>
      <x:c r="HD336">
        <x:f t="shared" si="455"/>
        <x:v>0</x:v>
      </x:c>
      <x:c r="HE336">
        <x:f t="shared" si="456"/>
        <x:v>0</x:v>
      </x:c>
      <x:c r="HF336">
        <x:f t="shared" si="457"/>
        <x:v>0</x:v>
      </x:c>
      <x:c r="HG336">
        <x:f t="shared" si="458"/>
        <x:v>0</x:v>
      </x:c>
      <x:c r="HH336">
        <x:f t="shared" si="459"/>
        <x:v>0</x:v>
      </x:c>
      <x:c r="HI336">
        <x:f t="shared" si="460"/>
        <x:v>0</x:v>
      </x:c>
      <x:c r="HJ336">
        <x:f t="shared" si="461"/>
        <x:v>0</x:v>
      </x:c>
      <x:c r="HK336">
        <x:f t="shared" si="462"/>
        <x:v>0</x:v>
      </x:c>
      <x:c r="HL336">
        <x:f t="shared" si="463"/>
        <x:v>0</x:v>
      </x:c>
    </x:row>
    <x:row r="337">
      <x:c r="D337" s="74"/>
      <x:c r="EQ337">
        <x:f t="shared" si="390"/>
        <x:v>0</x:v>
      </x:c>
      <x:c r="ER337">
        <x:f t="shared" si="391"/>
        <x:v>0</x:v>
      </x:c>
      <x:c r="ES337">
        <x:f t="shared" si="392"/>
        <x:v>0</x:v>
      </x:c>
      <x:c r="ET337">
        <x:f t="shared" si="393"/>
        <x:v>0</x:v>
      </x:c>
      <x:c r="EU337">
        <x:f t="shared" si="394"/>
        <x:v>0</x:v>
      </x:c>
      <x:c r="EV337">
        <x:f t="shared" si="395"/>
        <x:v>0</x:v>
      </x:c>
      <x:c r="EW337">
        <x:f t="shared" si="396"/>
        <x:v>0</x:v>
      </x:c>
      <x:c r="EX337">
        <x:f t="shared" si="397"/>
        <x:v>0</x:v>
      </x:c>
      <x:c r="EY337">
        <x:f t="shared" si="398"/>
        <x:v>0</x:v>
      </x:c>
      <x:c r="EZ337">
        <x:f t="shared" si="399"/>
        <x:v>0</x:v>
      </x:c>
      <x:c r="FA337" s="41">
        <x:f t="shared" si="400"/>
        <x:v>0</x:v>
      </x:c>
      <x:c r="FB337">
        <x:f t="shared" si="401"/>
        <x:v>0</x:v>
      </x:c>
      <x:c r="FC337">
        <x:f t="shared" si="402"/>
        <x:v>0</x:v>
      </x:c>
      <x:c r="FD337">
        <x:f t="shared" si="403"/>
        <x:v>0</x:v>
      </x:c>
      <x:c r="FE337">
        <x:f t="shared" si="404"/>
        <x:v>0</x:v>
      </x:c>
      <x:c r="FF337">
        <x:f t="shared" si="405"/>
        <x:v>0</x:v>
      </x:c>
      <x:c r="FG337">
        <x:f t="shared" si="406"/>
        <x:v>0</x:v>
      </x:c>
      <x:c r="FH337">
        <x:f t="shared" si="407"/>
        <x:v>0</x:v>
      </x:c>
      <x:c r="FI337">
        <x:f t="shared" si="408"/>
        <x:v>0</x:v>
      </x:c>
      <x:c r="FJ337">
        <x:f t="shared" si="409"/>
        <x:v>0</x:v>
      </x:c>
      <x:c r="FK337">
        <x:f t="shared" si="410"/>
        <x:v>0</x:v>
      </x:c>
      <x:c r="FL337" s="41">
        <x:f t="shared" si="411"/>
        <x:v>0</x:v>
      </x:c>
      <x:c r="FM337">
        <x:f t="shared" si="412"/>
        <x:v>0</x:v>
      </x:c>
      <x:c r="FN337">
        <x:f t="shared" si="413"/>
        <x:v>0</x:v>
      </x:c>
      <x:c r="FO337">
        <x:f t="shared" si="414"/>
        <x:v>0</x:v>
      </x:c>
      <x:c r="FP337">
        <x:f t="shared" si="415"/>
        <x:v>0</x:v>
      </x:c>
      <x:c r="FQ337">
        <x:f t="shared" si="416"/>
        <x:v>0</x:v>
      </x:c>
      <x:c r="FR337">
        <x:f t="shared" si="417"/>
        <x:v>0</x:v>
      </x:c>
      <x:c r="FS337">
        <x:f t="shared" si="418"/>
        <x:v>0</x:v>
      </x:c>
      <x:c r="FT337">
        <x:f t="shared" si="419"/>
        <x:v>0</x:v>
      </x:c>
      <x:c r="FU337">
        <x:f t="shared" si="420"/>
        <x:v>0</x:v>
      </x:c>
      <x:c r="FV337">
        <x:f t="shared" si="421"/>
        <x:v>0</x:v>
      </x:c>
      <x:c r="FW337" s="41">
        <x:f t="shared" si="422"/>
        <x:v>0</x:v>
      </x:c>
      <x:c r="FX337">
        <x:f t="shared" si="423"/>
        <x:v>0</x:v>
      </x:c>
      <x:c r="FY337">
        <x:f t="shared" si="424"/>
        <x:v>0</x:v>
      </x:c>
      <x:c r="FZ337">
        <x:f t="shared" si="425"/>
        <x:v>0</x:v>
      </x:c>
      <x:c r="GA337">
        <x:f t="shared" si="426"/>
        <x:v>0</x:v>
      </x:c>
      <x:c r="GB337">
        <x:f t="shared" si="427"/>
        <x:v>0</x:v>
      </x:c>
      <x:c r="GC337">
        <x:f t="shared" si="428"/>
        <x:v>0</x:v>
      </x:c>
      <x:c r="GD337">
        <x:f t="shared" si="429"/>
        <x:v>0</x:v>
      </x:c>
      <x:c r="GE337">
        <x:f t="shared" si="430"/>
        <x:v>0</x:v>
      </x:c>
      <x:c r="GF337">
        <x:f t="shared" si="431"/>
        <x:v>0</x:v>
      </x:c>
      <x:c r="GG337">
        <x:f t="shared" si="432"/>
        <x:v>0</x:v>
      </x:c>
      <x:c r="GH337">
        <x:f t="shared" si="433"/>
        <x:v>0</x:v>
      </x:c>
      <x:c r="GI337">
        <x:f t="shared" si="434"/>
        <x:v>0</x:v>
      </x:c>
      <x:c r="GJ337">
        <x:f t="shared" si="435"/>
        <x:v>0</x:v>
      </x:c>
      <x:c r="GK337">
        <x:f t="shared" si="436"/>
        <x:v>0</x:v>
      </x:c>
      <x:c r="GL337">
        <x:f t="shared" si="437"/>
        <x:v>0</x:v>
      </x:c>
      <x:c r="GM337">
        <x:f t="shared" si="438"/>
        <x:v>0</x:v>
      </x:c>
      <x:c r="GN337">
        <x:f t="shared" si="439"/>
        <x:v>0</x:v>
      </x:c>
      <x:c r="GO337">
        <x:f t="shared" si="440"/>
        <x:v>0</x:v>
      </x:c>
      <x:c r="GP337">
        <x:f t="shared" si="441"/>
        <x:v>0</x:v>
      </x:c>
      <x:c r="GQ337">
        <x:f t="shared" si="442"/>
        <x:v>0</x:v>
      </x:c>
      <x:c r="GR337" s="42">
        <x:f t="shared" si="443"/>
        <x:v>0</x:v>
      </x:c>
      <x:c r="GS337">
        <x:f t="shared" si="444"/>
        <x:v>0</x:v>
      </x:c>
      <x:c r="GT337">
        <x:f t="shared" si="445"/>
        <x:v>0</x:v>
      </x:c>
      <x:c r="GU337">
        <x:f t="shared" si="446"/>
        <x:v>0</x:v>
      </x:c>
      <x:c r="GV337">
        <x:f t="shared" si="447"/>
        <x:v>0</x:v>
      </x:c>
      <x:c r="GW337">
        <x:f t="shared" si="448"/>
        <x:v>0</x:v>
      </x:c>
      <x:c r="GX337">
        <x:f t="shared" si="449"/>
        <x:v>0</x:v>
      </x:c>
      <x:c r="GY337">
        <x:f t="shared" si="450"/>
        <x:v>0</x:v>
      </x:c>
      <x:c r="GZ337">
        <x:f t="shared" si="451"/>
        <x:v>0</x:v>
      </x:c>
      <x:c r="HA337">
        <x:f t="shared" si="452"/>
        <x:v>0</x:v>
      </x:c>
      <x:c r="HB337" s="42">
        <x:f t="shared" si="453"/>
        <x:v>0</x:v>
      </x:c>
      <x:c r="HC337">
        <x:f t="shared" si="454"/>
        <x:v>0</x:v>
      </x:c>
      <x:c r="HD337">
        <x:f t="shared" si="455"/>
        <x:v>0</x:v>
      </x:c>
      <x:c r="HE337">
        <x:f t="shared" si="456"/>
        <x:v>0</x:v>
      </x:c>
      <x:c r="HF337">
        <x:f t="shared" si="457"/>
        <x:v>0</x:v>
      </x:c>
      <x:c r="HG337">
        <x:f t="shared" si="458"/>
        <x:v>0</x:v>
      </x:c>
      <x:c r="HH337">
        <x:f t="shared" si="459"/>
        <x:v>0</x:v>
      </x:c>
      <x:c r="HI337">
        <x:f t="shared" si="460"/>
        <x:v>0</x:v>
      </x:c>
      <x:c r="HJ337">
        <x:f t="shared" si="461"/>
        <x:v>0</x:v>
      </x:c>
      <x:c r="HK337">
        <x:f t="shared" si="462"/>
        <x:v>0</x:v>
      </x:c>
      <x:c r="HL337">
        <x:f t="shared" si="463"/>
        <x:v>0</x:v>
      </x:c>
    </x:row>
    <x:row r="338">
      <x:c r="D338" s="74"/>
      <x:c r="EQ338">
        <x:f t="shared" si="390"/>
        <x:v>0</x:v>
      </x:c>
      <x:c r="ER338">
        <x:f t="shared" si="391"/>
        <x:v>0</x:v>
      </x:c>
      <x:c r="ES338">
        <x:f t="shared" si="392"/>
        <x:v>0</x:v>
      </x:c>
      <x:c r="ET338">
        <x:f t="shared" si="393"/>
        <x:v>0</x:v>
      </x:c>
      <x:c r="EU338">
        <x:f t="shared" si="394"/>
        <x:v>0</x:v>
      </x:c>
      <x:c r="EV338">
        <x:f t="shared" si="395"/>
        <x:v>0</x:v>
      </x:c>
      <x:c r="EW338">
        <x:f t="shared" si="396"/>
        <x:v>0</x:v>
      </x:c>
      <x:c r="EX338">
        <x:f t="shared" si="397"/>
        <x:v>0</x:v>
      </x:c>
      <x:c r="EY338">
        <x:f t="shared" si="398"/>
        <x:v>0</x:v>
      </x:c>
      <x:c r="EZ338">
        <x:f t="shared" si="399"/>
        <x:v>0</x:v>
      </x:c>
      <x:c r="FA338" s="41">
        <x:f t="shared" si="400"/>
        <x:v>0</x:v>
      </x:c>
      <x:c r="FB338">
        <x:f t="shared" si="401"/>
        <x:v>0</x:v>
      </x:c>
      <x:c r="FC338">
        <x:f t="shared" si="402"/>
        <x:v>0</x:v>
      </x:c>
      <x:c r="FD338">
        <x:f t="shared" si="403"/>
        <x:v>0</x:v>
      </x:c>
      <x:c r="FE338">
        <x:f t="shared" si="404"/>
        <x:v>0</x:v>
      </x:c>
      <x:c r="FF338">
        <x:f t="shared" si="405"/>
        <x:v>0</x:v>
      </x:c>
      <x:c r="FG338">
        <x:f t="shared" si="406"/>
        <x:v>0</x:v>
      </x:c>
      <x:c r="FH338">
        <x:f t="shared" si="407"/>
        <x:v>0</x:v>
      </x:c>
      <x:c r="FI338">
        <x:f t="shared" si="408"/>
        <x:v>0</x:v>
      </x:c>
      <x:c r="FJ338">
        <x:f t="shared" si="409"/>
        <x:v>0</x:v>
      </x:c>
      <x:c r="FK338">
        <x:f t="shared" si="410"/>
        <x:v>0</x:v>
      </x:c>
      <x:c r="FL338" s="41">
        <x:f t="shared" si="411"/>
        <x:v>0</x:v>
      </x:c>
      <x:c r="FM338">
        <x:f t="shared" si="412"/>
        <x:v>0</x:v>
      </x:c>
      <x:c r="FN338">
        <x:f t="shared" si="413"/>
        <x:v>0</x:v>
      </x:c>
      <x:c r="FO338">
        <x:f t="shared" si="414"/>
        <x:v>0</x:v>
      </x:c>
      <x:c r="FP338">
        <x:f t="shared" si="415"/>
        <x:v>0</x:v>
      </x:c>
      <x:c r="FQ338">
        <x:f t="shared" si="416"/>
        <x:v>0</x:v>
      </x:c>
      <x:c r="FR338">
        <x:f t="shared" si="417"/>
        <x:v>0</x:v>
      </x:c>
      <x:c r="FS338">
        <x:f t="shared" si="418"/>
        <x:v>0</x:v>
      </x:c>
      <x:c r="FT338">
        <x:f t="shared" si="419"/>
        <x:v>0</x:v>
      </x:c>
      <x:c r="FU338">
        <x:f t="shared" si="420"/>
        <x:v>0</x:v>
      </x:c>
      <x:c r="FV338">
        <x:f t="shared" si="421"/>
        <x:v>0</x:v>
      </x:c>
      <x:c r="FW338" s="41">
        <x:f t="shared" si="422"/>
        <x:v>0</x:v>
      </x:c>
      <x:c r="FX338">
        <x:f t="shared" si="423"/>
        <x:v>0</x:v>
      </x:c>
      <x:c r="FY338">
        <x:f t="shared" si="424"/>
        <x:v>0</x:v>
      </x:c>
      <x:c r="FZ338">
        <x:f t="shared" si="425"/>
        <x:v>0</x:v>
      </x:c>
      <x:c r="GA338">
        <x:f t="shared" si="426"/>
        <x:v>0</x:v>
      </x:c>
      <x:c r="GB338">
        <x:f t="shared" si="427"/>
        <x:v>0</x:v>
      </x:c>
      <x:c r="GC338">
        <x:f t="shared" si="428"/>
        <x:v>0</x:v>
      </x:c>
      <x:c r="GD338">
        <x:f t="shared" si="429"/>
        <x:v>0</x:v>
      </x:c>
      <x:c r="GE338">
        <x:f t="shared" si="430"/>
        <x:v>0</x:v>
      </x:c>
      <x:c r="GF338">
        <x:f t="shared" si="431"/>
        <x:v>0</x:v>
      </x:c>
      <x:c r="GG338">
        <x:f t="shared" si="432"/>
        <x:v>0</x:v>
      </x:c>
      <x:c r="GH338">
        <x:f t="shared" si="433"/>
        <x:v>0</x:v>
      </x:c>
      <x:c r="GI338">
        <x:f t="shared" si="434"/>
        <x:v>0</x:v>
      </x:c>
      <x:c r="GJ338">
        <x:f t="shared" si="435"/>
        <x:v>0</x:v>
      </x:c>
      <x:c r="GK338">
        <x:f t="shared" si="436"/>
        <x:v>0</x:v>
      </x:c>
      <x:c r="GL338">
        <x:f t="shared" si="437"/>
        <x:v>0</x:v>
      </x:c>
      <x:c r="GM338">
        <x:f t="shared" si="438"/>
        <x:v>0</x:v>
      </x:c>
      <x:c r="GN338">
        <x:f t="shared" si="439"/>
        <x:v>0</x:v>
      </x:c>
      <x:c r="GO338">
        <x:f t="shared" si="440"/>
        <x:v>0</x:v>
      </x:c>
      <x:c r="GP338">
        <x:f t="shared" si="441"/>
        <x:v>0</x:v>
      </x:c>
      <x:c r="GQ338">
        <x:f t="shared" si="442"/>
        <x:v>0</x:v>
      </x:c>
      <x:c r="GR338" s="42">
        <x:f t="shared" si="443"/>
        <x:v>0</x:v>
      </x:c>
      <x:c r="GS338">
        <x:f t="shared" si="444"/>
        <x:v>0</x:v>
      </x:c>
      <x:c r="GT338">
        <x:f t="shared" si="445"/>
        <x:v>0</x:v>
      </x:c>
      <x:c r="GU338">
        <x:f t="shared" si="446"/>
        <x:v>0</x:v>
      </x:c>
      <x:c r="GV338">
        <x:f t="shared" si="447"/>
        <x:v>0</x:v>
      </x:c>
      <x:c r="GW338">
        <x:f t="shared" si="448"/>
        <x:v>0</x:v>
      </x:c>
      <x:c r="GX338">
        <x:f t="shared" si="449"/>
        <x:v>0</x:v>
      </x:c>
      <x:c r="GY338">
        <x:f t="shared" si="450"/>
        <x:v>0</x:v>
      </x:c>
      <x:c r="GZ338">
        <x:f t="shared" si="451"/>
        <x:v>0</x:v>
      </x:c>
      <x:c r="HA338">
        <x:f t="shared" si="452"/>
        <x:v>0</x:v>
      </x:c>
      <x:c r="HB338" s="42">
        <x:f t="shared" si="453"/>
        <x:v>0</x:v>
      </x:c>
      <x:c r="HC338">
        <x:f t="shared" si="454"/>
        <x:v>0</x:v>
      </x:c>
      <x:c r="HD338">
        <x:f t="shared" si="455"/>
        <x:v>0</x:v>
      </x:c>
      <x:c r="HE338">
        <x:f t="shared" si="456"/>
        <x:v>0</x:v>
      </x:c>
      <x:c r="HF338">
        <x:f t="shared" si="457"/>
        <x:v>0</x:v>
      </x:c>
      <x:c r="HG338">
        <x:f t="shared" si="458"/>
        <x:v>0</x:v>
      </x:c>
      <x:c r="HH338">
        <x:f t="shared" si="459"/>
        <x:v>0</x:v>
      </x:c>
      <x:c r="HI338">
        <x:f t="shared" si="460"/>
        <x:v>0</x:v>
      </x:c>
      <x:c r="HJ338">
        <x:f t="shared" si="461"/>
        <x:v>0</x:v>
      </x:c>
      <x:c r="HK338">
        <x:f t="shared" si="462"/>
        <x:v>0</x:v>
      </x:c>
      <x:c r="HL338">
        <x:f t="shared" si="463"/>
        <x:v>0</x:v>
      </x:c>
    </x:row>
    <x:row r="339">
      <x:c r="D339" s="74"/>
      <x:c r="EQ339">
        <x:f t="shared" si="390"/>
        <x:v>0</x:v>
      </x:c>
      <x:c r="ER339">
        <x:f t="shared" si="391"/>
        <x:v>0</x:v>
      </x:c>
      <x:c r="ES339">
        <x:f t="shared" si="392"/>
        <x:v>0</x:v>
      </x:c>
      <x:c r="ET339">
        <x:f t="shared" si="393"/>
        <x:v>0</x:v>
      </x:c>
      <x:c r="EU339">
        <x:f t="shared" si="394"/>
        <x:v>0</x:v>
      </x:c>
      <x:c r="EV339">
        <x:f t="shared" si="395"/>
        <x:v>0</x:v>
      </x:c>
      <x:c r="EW339">
        <x:f t="shared" si="396"/>
        <x:v>0</x:v>
      </x:c>
      <x:c r="EX339">
        <x:f t="shared" si="397"/>
        <x:v>0</x:v>
      </x:c>
      <x:c r="EY339">
        <x:f t="shared" si="398"/>
        <x:v>0</x:v>
      </x:c>
      <x:c r="EZ339">
        <x:f t="shared" si="399"/>
        <x:v>0</x:v>
      </x:c>
      <x:c r="FA339" s="41">
        <x:f t="shared" si="400"/>
        <x:v>0</x:v>
      </x:c>
      <x:c r="FB339">
        <x:f t="shared" si="401"/>
        <x:v>0</x:v>
      </x:c>
      <x:c r="FC339">
        <x:f t="shared" si="402"/>
        <x:v>0</x:v>
      </x:c>
      <x:c r="FD339">
        <x:f t="shared" si="403"/>
        <x:v>0</x:v>
      </x:c>
      <x:c r="FE339">
        <x:f t="shared" si="404"/>
        <x:v>0</x:v>
      </x:c>
      <x:c r="FF339">
        <x:f t="shared" si="405"/>
        <x:v>0</x:v>
      </x:c>
      <x:c r="FG339">
        <x:f t="shared" si="406"/>
        <x:v>0</x:v>
      </x:c>
      <x:c r="FH339">
        <x:f t="shared" si="407"/>
        <x:v>0</x:v>
      </x:c>
      <x:c r="FI339">
        <x:f t="shared" si="408"/>
        <x:v>0</x:v>
      </x:c>
      <x:c r="FJ339">
        <x:f t="shared" si="409"/>
        <x:v>0</x:v>
      </x:c>
      <x:c r="FK339">
        <x:f t="shared" si="410"/>
        <x:v>0</x:v>
      </x:c>
      <x:c r="FL339" s="41">
        <x:f t="shared" si="411"/>
        <x:v>0</x:v>
      </x:c>
      <x:c r="FM339">
        <x:f t="shared" si="412"/>
        <x:v>0</x:v>
      </x:c>
      <x:c r="FN339">
        <x:f t="shared" si="413"/>
        <x:v>0</x:v>
      </x:c>
      <x:c r="FO339">
        <x:f t="shared" si="414"/>
        <x:v>0</x:v>
      </x:c>
      <x:c r="FP339">
        <x:f t="shared" si="415"/>
        <x:v>0</x:v>
      </x:c>
      <x:c r="FQ339">
        <x:f t="shared" si="416"/>
        <x:v>0</x:v>
      </x:c>
      <x:c r="FR339">
        <x:f t="shared" si="417"/>
        <x:v>0</x:v>
      </x:c>
      <x:c r="FS339">
        <x:f t="shared" si="418"/>
        <x:v>0</x:v>
      </x:c>
      <x:c r="FT339">
        <x:f t="shared" si="419"/>
        <x:v>0</x:v>
      </x:c>
      <x:c r="FU339">
        <x:f t="shared" si="420"/>
        <x:v>0</x:v>
      </x:c>
      <x:c r="FV339">
        <x:f t="shared" si="421"/>
        <x:v>0</x:v>
      </x:c>
      <x:c r="FW339" s="41">
        <x:f t="shared" si="422"/>
        <x:v>0</x:v>
      </x:c>
      <x:c r="FX339">
        <x:f t="shared" si="423"/>
        <x:v>0</x:v>
      </x:c>
      <x:c r="FY339">
        <x:f t="shared" si="424"/>
        <x:v>0</x:v>
      </x:c>
      <x:c r="FZ339">
        <x:f t="shared" si="425"/>
        <x:v>0</x:v>
      </x:c>
      <x:c r="GA339">
        <x:f t="shared" si="426"/>
        <x:v>0</x:v>
      </x:c>
      <x:c r="GB339">
        <x:f t="shared" si="427"/>
        <x:v>0</x:v>
      </x:c>
      <x:c r="GC339">
        <x:f t="shared" si="428"/>
        <x:v>0</x:v>
      </x:c>
      <x:c r="GD339">
        <x:f t="shared" si="429"/>
        <x:v>0</x:v>
      </x:c>
      <x:c r="GE339">
        <x:f t="shared" si="430"/>
        <x:v>0</x:v>
      </x:c>
      <x:c r="GF339">
        <x:f t="shared" si="431"/>
        <x:v>0</x:v>
      </x:c>
      <x:c r="GG339">
        <x:f t="shared" si="432"/>
        <x:v>0</x:v>
      </x:c>
      <x:c r="GH339">
        <x:f t="shared" si="433"/>
        <x:v>0</x:v>
      </x:c>
      <x:c r="GI339">
        <x:f t="shared" si="434"/>
        <x:v>0</x:v>
      </x:c>
      <x:c r="GJ339">
        <x:f t="shared" si="435"/>
        <x:v>0</x:v>
      </x:c>
      <x:c r="GK339">
        <x:f t="shared" si="436"/>
        <x:v>0</x:v>
      </x:c>
      <x:c r="GL339">
        <x:f t="shared" si="437"/>
        <x:v>0</x:v>
      </x:c>
      <x:c r="GM339">
        <x:f t="shared" si="438"/>
        <x:v>0</x:v>
      </x:c>
      <x:c r="GN339">
        <x:f t="shared" si="439"/>
        <x:v>0</x:v>
      </x:c>
      <x:c r="GO339">
        <x:f t="shared" si="440"/>
        <x:v>0</x:v>
      </x:c>
      <x:c r="GP339">
        <x:f t="shared" si="441"/>
        <x:v>0</x:v>
      </x:c>
      <x:c r="GQ339">
        <x:f t="shared" si="442"/>
        <x:v>0</x:v>
      </x:c>
      <x:c r="GR339" s="42">
        <x:f t="shared" si="443"/>
        <x:v>0</x:v>
      </x:c>
      <x:c r="GS339">
        <x:f t="shared" si="444"/>
        <x:v>0</x:v>
      </x:c>
      <x:c r="GT339">
        <x:f t="shared" si="445"/>
        <x:v>0</x:v>
      </x:c>
      <x:c r="GU339">
        <x:f t="shared" si="446"/>
        <x:v>0</x:v>
      </x:c>
      <x:c r="GV339">
        <x:f t="shared" si="447"/>
        <x:v>0</x:v>
      </x:c>
      <x:c r="GW339">
        <x:f t="shared" si="448"/>
        <x:v>0</x:v>
      </x:c>
      <x:c r="GX339">
        <x:f t="shared" si="449"/>
        <x:v>0</x:v>
      </x:c>
      <x:c r="GY339">
        <x:f t="shared" si="450"/>
        <x:v>0</x:v>
      </x:c>
      <x:c r="GZ339">
        <x:f t="shared" si="451"/>
        <x:v>0</x:v>
      </x:c>
      <x:c r="HA339">
        <x:f t="shared" si="452"/>
        <x:v>0</x:v>
      </x:c>
      <x:c r="HB339" s="42">
        <x:f t="shared" si="453"/>
        <x:v>0</x:v>
      </x:c>
      <x:c r="HC339">
        <x:f t="shared" si="454"/>
        <x:v>0</x:v>
      </x:c>
      <x:c r="HD339">
        <x:f t="shared" si="455"/>
        <x:v>0</x:v>
      </x:c>
      <x:c r="HE339">
        <x:f t="shared" si="456"/>
        <x:v>0</x:v>
      </x:c>
      <x:c r="HF339">
        <x:f t="shared" si="457"/>
        <x:v>0</x:v>
      </x:c>
      <x:c r="HG339">
        <x:f t="shared" si="458"/>
        <x:v>0</x:v>
      </x:c>
      <x:c r="HH339">
        <x:f t="shared" si="459"/>
        <x:v>0</x:v>
      </x:c>
      <x:c r="HI339">
        <x:f t="shared" si="460"/>
        <x:v>0</x:v>
      </x:c>
      <x:c r="HJ339">
        <x:f t="shared" si="461"/>
        <x:v>0</x:v>
      </x:c>
      <x:c r="HK339">
        <x:f t="shared" si="462"/>
        <x:v>0</x:v>
      </x:c>
      <x:c r="HL339">
        <x:f t="shared" si="463"/>
        <x:v>0</x:v>
      </x:c>
    </x:row>
    <x:row r="340">
      <x:c r="D340" s="74"/>
      <x:c r="EQ340">
        <x:f t="shared" si="390"/>
        <x:v>0</x:v>
      </x:c>
      <x:c r="ER340">
        <x:f t="shared" si="391"/>
        <x:v>0</x:v>
      </x:c>
      <x:c r="ES340">
        <x:f t="shared" si="392"/>
        <x:v>0</x:v>
      </x:c>
      <x:c r="ET340">
        <x:f t="shared" si="393"/>
        <x:v>0</x:v>
      </x:c>
      <x:c r="EU340">
        <x:f t="shared" si="394"/>
        <x:v>0</x:v>
      </x:c>
      <x:c r="EV340">
        <x:f t="shared" si="395"/>
        <x:v>0</x:v>
      </x:c>
      <x:c r="EW340">
        <x:f t="shared" si="396"/>
        <x:v>0</x:v>
      </x:c>
      <x:c r="EX340">
        <x:f t="shared" si="397"/>
        <x:v>0</x:v>
      </x:c>
      <x:c r="EY340">
        <x:f t="shared" si="398"/>
        <x:v>0</x:v>
      </x:c>
      <x:c r="EZ340">
        <x:f t="shared" si="399"/>
        <x:v>0</x:v>
      </x:c>
      <x:c r="FA340" s="41">
        <x:f t="shared" si="400"/>
        <x:v>0</x:v>
      </x:c>
      <x:c r="FB340">
        <x:f t="shared" si="401"/>
        <x:v>0</x:v>
      </x:c>
      <x:c r="FC340">
        <x:f t="shared" si="402"/>
        <x:v>0</x:v>
      </x:c>
      <x:c r="FD340">
        <x:f t="shared" si="403"/>
        <x:v>0</x:v>
      </x:c>
      <x:c r="FE340">
        <x:f t="shared" si="404"/>
        <x:v>0</x:v>
      </x:c>
      <x:c r="FF340">
        <x:f t="shared" si="405"/>
        <x:v>0</x:v>
      </x:c>
      <x:c r="FG340">
        <x:f t="shared" si="406"/>
        <x:v>0</x:v>
      </x:c>
      <x:c r="FH340">
        <x:f t="shared" si="407"/>
        <x:v>0</x:v>
      </x:c>
      <x:c r="FI340">
        <x:f t="shared" si="408"/>
        <x:v>0</x:v>
      </x:c>
      <x:c r="FJ340">
        <x:f t="shared" si="409"/>
        <x:v>0</x:v>
      </x:c>
      <x:c r="FK340">
        <x:f t="shared" si="410"/>
        <x:v>0</x:v>
      </x:c>
      <x:c r="FL340" s="41">
        <x:f t="shared" si="411"/>
        <x:v>0</x:v>
      </x:c>
      <x:c r="FM340">
        <x:f t="shared" si="412"/>
        <x:v>0</x:v>
      </x:c>
      <x:c r="FN340">
        <x:f t="shared" si="413"/>
        <x:v>0</x:v>
      </x:c>
      <x:c r="FO340">
        <x:f t="shared" si="414"/>
        <x:v>0</x:v>
      </x:c>
      <x:c r="FP340">
        <x:f t="shared" si="415"/>
        <x:v>0</x:v>
      </x:c>
      <x:c r="FQ340">
        <x:f t="shared" si="416"/>
        <x:v>0</x:v>
      </x:c>
      <x:c r="FR340">
        <x:f t="shared" si="417"/>
        <x:v>0</x:v>
      </x:c>
      <x:c r="FS340">
        <x:f t="shared" si="418"/>
        <x:v>0</x:v>
      </x:c>
      <x:c r="FT340">
        <x:f t="shared" si="419"/>
        <x:v>0</x:v>
      </x:c>
      <x:c r="FU340">
        <x:f t="shared" si="420"/>
        <x:v>0</x:v>
      </x:c>
      <x:c r="FV340">
        <x:f t="shared" si="421"/>
        <x:v>0</x:v>
      </x:c>
      <x:c r="FW340" s="41">
        <x:f t="shared" si="422"/>
        <x:v>0</x:v>
      </x:c>
      <x:c r="FX340">
        <x:f t="shared" si="423"/>
        <x:v>0</x:v>
      </x:c>
      <x:c r="FY340">
        <x:f t="shared" si="424"/>
        <x:v>0</x:v>
      </x:c>
      <x:c r="FZ340">
        <x:f t="shared" si="425"/>
        <x:v>0</x:v>
      </x:c>
      <x:c r="GA340">
        <x:f t="shared" si="426"/>
        <x:v>0</x:v>
      </x:c>
      <x:c r="GB340">
        <x:f t="shared" si="427"/>
        <x:v>0</x:v>
      </x:c>
      <x:c r="GC340">
        <x:f t="shared" si="428"/>
        <x:v>0</x:v>
      </x:c>
      <x:c r="GD340">
        <x:f t="shared" si="429"/>
        <x:v>0</x:v>
      </x:c>
      <x:c r="GE340">
        <x:f t="shared" si="430"/>
        <x:v>0</x:v>
      </x:c>
      <x:c r="GF340">
        <x:f t="shared" si="431"/>
        <x:v>0</x:v>
      </x:c>
      <x:c r="GG340">
        <x:f t="shared" si="432"/>
        <x:v>0</x:v>
      </x:c>
      <x:c r="GH340">
        <x:f t="shared" si="433"/>
        <x:v>0</x:v>
      </x:c>
      <x:c r="GI340">
        <x:f t="shared" si="434"/>
        <x:v>0</x:v>
      </x:c>
      <x:c r="GJ340">
        <x:f t="shared" si="435"/>
        <x:v>0</x:v>
      </x:c>
      <x:c r="GK340">
        <x:f t="shared" si="436"/>
        <x:v>0</x:v>
      </x:c>
      <x:c r="GL340">
        <x:f t="shared" si="437"/>
        <x:v>0</x:v>
      </x:c>
      <x:c r="GM340">
        <x:f t="shared" si="438"/>
        <x:v>0</x:v>
      </x:c>
      <x:c r="GN340">
        <x:f t="shared" si="439"/>
        <x:v>0</x:v>
      </x:c>
      <x:c r="GO340">
        <x:f t="shared" si="440"/>
        <x:v>0</x:v>
      </x:c>
      <x:c r="GP340">
        <x:f t="shared" si="441"/>
        <x:v>0</x:v>
      </x:c>
      <x:c r="GQ340">
        <x:f t="shared" si="442"/>
        <x:v>0</x:v>
      </x:c>
      <x:c r="GR340" s="42">
        <x:f t="shared" si="443"/>
        <x:v>0</x:v>
      </x:c>
      <x:c r="GS340">
        <x:f t="shared" si="444"/>
        <x:v>0</x:v>
      </x:c>
      <x:c r="GT340">
        <x:f t="shared" si="445"/>
        <x:v>0</x:v>
      </x:c>
      <x:c r="GU340">
        <x:f t="shared" si="446"/>
        <x:v>0</x:v>
      </x:c>
      <x:c r="GV340">
        <x:f t="shared" si="447"/>
        <x:v>0</x:v>
      </x:c>
      <x:c r="GW340">
        <x:f t="shared" si="448"/>
        <x:v>0</x:v>
      </x:c>
      <x:c r="GX340">
        <x:f t="shared" si="449"/>
        <x:v>0</x:v>
      </x:c>
      <x:c r="GY340">
        <x:f t="shared" si="450"/>
        <x:v>0</x:v>
      </x:c>
      <x:c r="GZ340">
        <x:f t="shared" si="451"/>
        <x:v>0</x:v>
      </x:c>
      <x:c r="HA340">
        <x:f t="shared" si="452"/>
        <x:v>0</x:v>
      </x:c>
      <x:c r="HB340" s="42">
        <x:f t="shared" si="453"/>
        <x:v>0</x:v>
      </x:c>
      <x:c r="HC340">
        <x:f t="shared" si="454"/>
        <x:v>0</x:v>
      </x:c>
      <x:c r="HD340">
        <x:f t="shared" si="455"/>
        <x:v>0</x:v>
      </x:c>
      <x:c r="HE340">
        <x:f t="shared" si="456"/>
        <x:v>0</x:v>
      </x:c>
      <x:c r="HF340">
        <x:f t="shared" si="457"/>
        <x:v>0</x:v>
      </x:c>
      <x:c r="HG340">
        <x:f t="shared" si="458"/>
        <x:v>0</x:v>
      </x:c>
      <x:c r="HH340">
        <x:f t="shared" si="459"/>
        <x:v>0</x:v>
      </x:c>
      <x:c r="HI340">
        <x:f t="shared" si="460"/>
        <x:v>0</x:v>
      </x:c>
      <x:c r="HJ340">
        <x:f t="shared" si="461"/>
        <x:v>0</x:v>
      </x:c>
      <x:c r="HK340">
        <x:f t="shared" si="462"/>
        <x:v>0</x:v>
      </x:c>
      <x:c r="HL340">
        <x:f t="shared" si="463"/>
        <x:v>0</x:v>
      </x:c>
    </x:row>
    <x:row r="341">
      <x:c r="D341" s="74"/>
      <x:c r="EQ341">
        <x:f t="shared" si="390"/>
        <x:v>0</x:v>
      </x:c>
      <x:c r="ER341">
        <x:f t="shared" si="391"/>
        <x:v>0</x:v>
      </x:c>
      <x:c r="ES341">
        <x:f t="shared" si="392"/>
        <x:v>0</x:v>
      </x:c>
      <x:c r="ET341">
        <x:f t="shared" si="393"/>
        <x:v>0</x:v>
      </x:c>
      <x:c r="EU341">
        <x:f t="shared" si="394"/>
        <x:v>0</x:v>
      </x:c>
      <x:c r="EV341">
        <x:f t="shared" si="395"/>
        <x:v>0</x:v>
      </x:c>
      <x:c r="EW341">
        <x:f t="shared" si="396"/>
        <x:v>0</x:v>
      </x:c>
      <x:c r="EX341">
        <x:f t="shared" si="397"/>
        <x:v>0</x:v>
      </x:c>
      <x:c r="EY341">
        <x:f t="shared" si="398"/>
        <x:v>0</x:v>
      </x:c>
      <x:c r="EZ341">
        <x:f t="shared" si="399"/>
        <x:v>0</x:v>
      </x:c>
      <x:c r="FA341" s="41">
        <x:f t="shared" si="400"/>
        <x:v>0</x:v>
      </x:c>
      <x:c r="FB341">
        <x:f t="shared" si="401"/>
        <x:v>0</x:v>
      </x:c>
      <x:c r="FC341">
        <x:f t="shared" si="402"/>
        <x:v>0</x:v>
      </x:c>
      <x:c r="FD341">
        <x:f t="shared" si="403"/>
        <x:v>0</x:v>
      </x:c>
      <x:c r="FE341">
        <x:f t="shared" si="404"/>
        <x:v>0</x:v>
      </x:c>
      <x:c r="FF341">
        <x:f t="shared" si="405"/>
        <x:v>0</x:v>
      </x:c>
      <x:c r="FG341">
        <x:f t="shared" si="406"/>
        <x:v>0</x:v>
      </x:c>
      <x:c r="FH341">
        <x:f t="shared" si="407"/>
        <x:v>0</x:v>
      </x:c>
      <x:c r="FI341">
        <x:f t="shared" si="408"/>
        <x:v>0</x:v>
      </x:c>
      <x:c r="FJ341">
        <x:f t="shared" si="409"/>
        <x:v>0</x:v>
      </x:c>
      <x:c r="FK341">
        <x:f t="shared" si="410"/>
        <x:v>0</x:v>
      </x:c>
      <x:c r="FL341" s="41">
        <x:f t="shared" si="411"/>
        <x:v>0</x:v>
      </x:c>
      <x:c r="FM341">
        <x:f t="shared" si="412"/>
        <x:v>0</x:v>
      </x:c>
      <x:c r="FN341">
        <x:f t="shared" si="413"/>
        <x:v>0</x:v>
      </x:c>
      <x:c r="FO341">
        <x:f t="shared" si="414"/>
        <x:v>0</x:v>
      </x:c>
      <x:c r="FP341">
        <x:f t="shared" si="415"/>
        <x:v>0</x:v>
      </x:c>
      <x:c r="FQ341">
        <x:f t="shared" si="416"/>
        <x:v>0</x:v>
      </x:c>
      <x:c r="FR341">
        <x:f t="shared" si="417"/>
        <x:v>0</x:v>
      </x:c>
      <x:c r="FS341">
        <x:f t="shared" si="418"/>
        <x:v>0</x:v>
      </x:c>
      <x:c r="FT341">
        <x:f t="shared" si="419"/>
        <x:v>0</x:v>
      </x:c>
      <x:c r="FU341">
        <x:f t="shared" si="420"/>
        <x:v>0</x:v>
      </x:c>
      <x:c r="FV341">
        <x:f t="shared" si="421"/>
        <x:v>0</x:v>
      </x:c>
      <x:c r="FW341" s="41">
        <x:f t="shared" si="422"/>
        <x:v>0</x:v>
      </x:c>
      <x:c r="FX341">
        <x:f t="shared" si="423"/>
        <x:v>0</x:v>
      </x:c>
      <x:c r="FY341">
        <x:f t="shared" si="424"/>
        <x:v>0</x:v>
      </x:c>
      <x:c r="FZ341">
        <x:f t="shared" si="425"/>
        <x:v>0</x:v>
      </x:c>
      <x:c r="GA341">
        <x:f t="shared" si="426"/>
        <x:v>0</x:v>
      </x:c>
      <x:c r="GB341">
        <x:f t="shared" si="427"/>
        <x:v>0</x:v>
      </x:c>
      <x:c r="GC341">
        <x:f t="shared" si="428"/>
        <x:v>0</x:v>
      </x:c>
      <x:c r="GD341">
        <x:f t="shared" si="429"/>
        <x:v>0</x:v>
      </x:c>
      <x:c r="GE341">
        <x:f t="shared" si="430"/>
        <x:v>0</x:v>
      </x:c>
      <x:c r="GF341">
        <x:f t="shared" si="431"/>
        <x:v>0</x:v>
      </x:c>
      <x:c r="GG341">
        <x:f t="shared" si="432"/>
        <x:v>0</x:v>
      </x:c>
      <x:c r="GH341">
        <x:f t="shared" si="433"/>
        <x:v>0</x:v>
      </x:c>
      <x:c r="GI341">
        <x:f t="shared" si="434"/>
        <x:v>0</x:v>
      </x:c>
      <x:c r="GJ341">
        <x:f t="shared" si="435"/>
        <x:v>0</x:v>
      </x:c>
      <x:c r="GK341">
        <x:f t="shared" si="436"/>
        <x:v>0</x:v>
      </x:c>
      <x:c r="GL341">
        <x:f t="shared" si="437"/>
        <x:v>0</x:v>
      </x:c>
      <x:c r="GM341">
        <x:f t="shared" si="438"/>
        <x:v>0</x:v>
      </x:c>
      <x:c r="GN341">
        <x:f t="shared" si="439"/>
        <x:v>0</x:v>
      </x:c>
      <x:c r="GO341">
        <x:f t="shared" si="440"/>
        <x:v>0</x:v>
      </x:c>
      <x:c r="GP341">
        <x:f t="shared" si="441"/>
        <x:v>0</x:v>
      </x:c>
      <x:c r="GQ341">
        <x:f t="shared" si="442"/>
        <x:v>0</x:v>
      </x:c>
      <x:c r="GR341" s="42">
        <x:f t="shared" si="443"/>
        <x:v>0</x:v>
      </x:c>
      <x:c r="GS341">
        <x:f t="shared" si="444"/>
        <x:v>0</x:v>
      </x:c>
      <x:c r="GT341">
        <x:f t="shared" si="445"/>
        <x:v>0</x:v>
      </x:c>
      <x:c r="GU341">
        <x:f t="shared" si="446"/>
        <x:v>0</x:v>
      </x:c>
      <x:c r="GV341">
        <x:f t="shared" si="447"/>
        <x:v>0</x:v>
      </x:c>
      <x:c r="GW341">
        <x:f t="shared" si="448"/>
        <x:v>0</x:v>
      </x:c>
      <x:c r="GX341">
        <x:f t="shared" si="449"/>
        <x:v>0</x:v>
      </x:c>
      <x:c r="GY341">
        <x:f t="shared" si="450"/>
        <x:v>0</x:v>
      </x:c>
      <x:c r="GZ341">
        <x:f t="shared" si="451"/>
        <x:v>0</x:v>
      </x:c>
      <x:c r="HA341">
        <x:f t="shared" si="452"/>
        <x:v>0</x:v>
      </x:c>
      <x:c r="HB341" s="42">
        <x:f t="shared" si="453"/>
        <x:v>0</x:v>
      </x:c>
      <x:c r="HC341">
        <x:f t="shared" si="454"/>
        <x:v>0</x:v>
      </x:c>
      <x:c r="HD341">
        <x:f t="shared" si="455"/>
        <x:v>0</x:v>
      </x:c>
      <x:c r="HE341">
        <x:f t="shared" si="456"/>
        <x:v>0</x:v>
      </x:c>
      <x:c r="HF341">
        <x:f t="shared" si="457"/>
        <x:v>0</x:v>
      </x:c>
      <x:c r="HG341">
        <x:f t="shared" si="458"/>
        <x:v>0</x:v>
      </x:c>
      <x:c r="HH341">
        <x:f t="shared" si="459"/>
        <x:v>0</x:v>
      </x:c>
      <x:c r="HI341">
        <x:f t="shared" si="460"/>
        <x:v>0</x:v>
      </x:c>
      <x:c r="HJ341">
        <x:f t="shared" si="461"/>
        <x:v>0</x:v>
      </x:c>
      <x:c r="HK341">
        <x:f t="shared" si="462"/>
        <x:v>0</x:v>
      </x:c>
      <x:c r="HL341">
        <x:f t="shared" si="463"/>
        <x:v>0</x:v>
      </x:c>
    </x:row>
    <x:row r="342">
      <x:c r="D342" s="74"/>
      <x:c r="EQ342">
        <x:f t="shared" si="390"/>
        <x:v>0</x:v>
      </x:c>
      <x:c r="ER342">
        <x:f t="shared" si="391"/>
        <x:v>0</x:v>
      </x:c>
      <x:c r="ES342">
        <x:f t="shared" si="392"/>
        <x:v>0</x:v>
      </x:c>
      <x:c r="ET342">
        <x:f t="shared" si="393"/>
        <x:v>0</x:v>
      </x:c>
      <x:c r="EU342">
        <x:f t="shared" si="394"/>
        <x:v>0</x:v>
      </x:c>
      <x:c r="EV342">
        <x:f t="shared" si="395"/>
        <x:v>0</x:v>
      </x:c>
      <x:c r="EW342">
        <x:f t="shared" si="396"/>
        <x:v>0</x:v>
      </x:c>
      <x:c r="EX342">
        <x:f t="shared" si="397"/>
        <x:v>0</x:v>
      </x:c>
      <x:c r="EY342">
        <x:f t="shared" si="398"/>
        <x:v>0</x:v>
      </x:c>
      <x:c r="EZ342">
        <x:f t="shared" si="399"/>
        <x:v>0</x:v>
      </x:c>
      <x:c r="FA342" s="41">
        <x:f t="shared" si="400"/>
        <x:v>0</x:v>
      </x:c>
      <x:c r="FB342">
        <x:f t="shared" si="401"/>
        <x:v>0</x:v>
      </x:c>
      <x:c r="FC342">
        <x:f t="shared" si="402"/>
        <x:v>0</x:v>
      </x:c>
      <x:c r="FD342">
        <x:f t="shared" si="403"/>
        <x:v>0</x:v>
      </x:c>
      <x:c r="FE342">
        <x:f t="shared" si="404"/>
        <x:v>0</x:v>
      </x:c>
      <x:c r="FF342">
        <x:f t="shared" si="405"/>
        <x:v>0</x:v>
      </x:c>
      <x:c r="FG342">
        <x:f t="shared" si="406"/>
        <x:v>0</x:v>
      </x:c>
      <x:c r="FH342">
        <x:f t="shared" si="407"/>
        <x:v>0</x:v>
      </x:c>
      <x:c r="FI342">
        <x:f t="shared" si="408"/>
        <x:v>0</x:v>
      </x:c>
      <x:c r="FJ342">
        <x:f t="shared" si="409"/>
        <x:v>0</x:v>
      </x:c>
      <x:c r="FK342">
        <x:f t="shared" si="410"/>
        <x:v>0</x:v>
      </x:c>
      <x:c r="FL342" s="41">
        <x:f t="shared" si="411"/>
        <x:v>0</x:v>
      </x:c>
      <x:c r="FM342">
        <x:f t="shared" si="412"/>
        <x:v>0</x:v>
      </x:c>
      <x:c r="FN342">
        <x:f t="shared" si="413"/>
        <x:v>0</x:v>
      </x:c>
      <x:c r="FO342">
        <x:f t="shared" si="414"/>
        <x:v>0</x:v>
      </x:c>
      <x:c r="FP342">
        <x:f t="shared" si="415"/>
        <x:v>0</x:v>
      </x:c>
      <x:c r="FQ342">
        <x:f t="shared" si="416"/>
        <x:v>0</x:v>
      </x:c>
      <x:c r="FR342">
        <x:f t="shared" si="417"/>
        <x:v>0</x:v>
      </x:c>
      <x:c r="FS342">
        <x:f t="shared" si="418"/>
        <x:v>0</x:v>
      </x:c>
      <x:c r="FT342">
        <x:f t="shared" si="419"/>
        <x:v>0</x:v>
      </x:c>
      <x:c r="FU342">
        <x:f t="shared" si="420"/>
        <x:v>0</x:v>
      </x:c>
      <x:c r="FV342">
        <x:f t="shared" si="421"/>
        <x:v>0</x:v>
      </x:c>
      <x:c r="FW342" s="41">
        <x:f t="shared" si="422"/>
        <x:v>0</x:v>
      </x:c>
      <x:c r="FX342">
        <x:f t="shared" si="423"/>
        <x:v>0</x:v>
      </x:c>
      <x:c r="FY342">
        <x:f t="shared" si="424"/>
        <x:v>0</x:v>
      </x:c>
      <x:c r="FZ342">
        <x:f t="shared" si="425"/>
        <x:v>0</x:v>
      </x:c>
      <x:c r="GA342">
        <x:f t="shared" si="426"/>
        <x:v>0</x:v>
      </x:c>
      <x:c r="GB342">
        <x:f t="shared" si="427"/>
        <x:v>0</x:v>
      </x:c>
      <x:c r="GC342">
        <x:f t="shared" si="428"/>
        <x:v>0</x:v>
      </x:c>
      <x:c r="GD342">
        <x:f t="shared" si="429"/>
        <x:v>0</x:v>
      </x:c>
      <x:c r="GE342">
        <x:f t="shared" si="430"/>
        <x:v>0</x:v>
      </x:c>
      <x:c r="GF342">
        <x:f t="shared" si="431"/>
        <x:v>0</x:v>
      </x:c>
      <x:c r="GG342">
        <x:f t="shared" si="432"/>
        <x:v>0</x:v>
      </x:c>
      <x:c r="GH342">
        <x:f t="shared" si="433"/>
        <x:v>0</x:v>
      </x:c>
      <x:c r="GI342">
        <x:f t="shared" si="434"/>
        <x:v>0</x:v>
      </x:c>
      <x:c r="GJ342">
        <x:f t="shared" si="435"/>
        <x:v>0</x:v>
      </x:c>
      <x:c r="GK342">
        <x:f t="shared" si="436"/>
        <x:v>0</x:v>
      </x:c>
      <x:c r="GL342">
        <x:f t="shared" si="437"/>
        <x:v>0</x:v>
      </x:c>
      <x:c r="GM342">
        <x:f t="shared" si="438"/>
        <x:v>0</x:v>
      </x:c>
      <x:c r="GN342">
        <x:f t="shared" si="439"/>
        <x:v>0</x:v>
      </x:c>
      <x:c r="GO342">
        <x:f t="shared" si="440"/>
        <x:v>0</x:v>
      </x:c>
      <x:c r="GP342">
        <x:f t="shared" si="441"/>
        <x:v>0</x:v>
      </x:c>
      <x:c r="GQ342">
        <x:f t="shared" si="442"/>
        <x:v>0</x:v>
      </x:c>
      <x:c r="GR342" s="42">
        <x:f t="shared" si="443"/>
        <x:v>0</x:v>
      </x:c>
      <x:c r="GS342">
        <x:f t="shared" si="444"/>
        <x:v>0</x:v>
      </x:c>
      <x:c r="GT342">
        <x:f t="shared" si="445"/>
        <x:v>0</x:v>
      </x:c>
      <x:c r="GU342">
        <x:f t="shared" si="446"/>
        <x:v>0</x:v>
      </x:c>
      <x:c r="GV342">
        <x:f t="shared" si="447"/>
        <x:v>0</x:v>
      </x:c>
      <x:c r="GW342">
        <x:f t="shared" si="448"/>
        <x:v>0</x:v>
      </x:c>
      <x:c r="GX342">
        <x:f t="shared" si="449"/>
        <x:v>0</x:v>
      </x:c>
      <x:c r="GY342">
        <x:f t="shared" si="450"/>
        <x:v>0</x:v>
      </x:c>
      <x:c r="GZ342">
        <x:f t="shared" si="451"/>
        <x:v>0</x:v>
      </x:c>
      <x:c r="HA342">
        <x:f t="shared" si="452"/>
        <x:v>0</x:v>
      </x:c>
      <x:c r="HB342" s="42">
        <x:f t="shared" si="453"/>
        <x:v>0</x:v>
      </x:c>
      <x:c r="HC342">
        <x:f t="shared" si="454"/>
        <x:v>0</x:v>
      </x:c>
      <x:c r="HD342">
        <x:f t="shared" si="455"/>
        <x:v>0</x:v>
      </x:c>
      <x:c r="HE342">
        <x:f t="shared" si="456"/>
        <x:v>0</x:v>
      </x:c>
      <x:c r="HF342">
        <x:f t="shared" si="457"/>
        <x:v>0</x:v>
      </x:c>
      <x:c r="HG342">
        <x:f t="shared" si="458"/>
        <x:v>0</x:v>
      </x:c>
      <x:c r="HH342">
        <x:f t="shared" si="459"/>
        <x:v>0</x:v>
      </x:c>
      <x:c r="HI342">
        <x:f t="shared" si="460"/>
        <x:v>0</x:v>
      </x:c>
      <x:c r="HJ342">
        <x:f t="shared" si="461"/>
        <x:v>0</x:v>
      </x:c>
      <x:c r="HK342">
        <x:f t="shared" si="462"/>
        <x:v>0</x:v>
      </x:c>
      <x:c r="HL342">
        <x:f t="shared" si="463"/>
        <x:v>0</x:v>
      </x:c>
    </x:row>
    <x:row r="343">
      <x:c r="D343" s="74"/>
      <x:c r="EQ343">
        <x:f t="shared" si="390"/>
        <x:v>0</x:v>
      </x:c>
      <x:c r="ER343">
        <x:f t="shared" si="391"/>
        <x:v>0</x:v>
      </x:c>
      <x:c r="ES343">
        <x:f t="shared" si="392"/>
        <x:v>0</x:v>
      </x:c>
      <x:c r="ET343">
        <x:f t="shared" si="393"/>
        <x:v>0</x:v>
      </x:c>
      <x:c r="EU343">
        <x:f t="shared" si="394"/>
        <x:v>0</x:v>
      </x:c>
      <x:c r="EV343">
        <x:f t="shared" si="395"/>
        <x:v>0</x:v>
      </x:c>
      <x:c r="EW343">
        <x:f t="shared" si="396"/>
        <x:v>0</x:v>
      </x:c>
      <x:c r="EX343">
        <x:f t="shared" si="397"/>
        <x:v>0</x:v>
      </x:c>
      <x:c r="EY343">
        <x:f t="shared" si="398"/>
        <x:v>0</x:v>
      </x:c>
      <x:c r="EZ343">
        <x:f t="shared" si="399"/>
        <x:v>0</x:v>
      </x:c>
      <x:c r="FA343" s="41">
        <x:f t="shared" si="400"/>
        <x:v>0</x:v>
      </x:c>
      <x:c r="FB343">
        <x:f t="shared" si="401"/>
        <x:v>0</x:v>
      </x:c>
      <x:c r="FC343">
        <x:f t="shared" si="402"/>
        <x:v>0</x:v>
      </x:c>
      <x:c r="FD343">
        <x:f t="shared" si="403"/>
        <x:v>0</x:v>
      </x:c>
      <x:c r="FE343">
        <x:f t="shared" si="404"/>
        <x:v>0</x:v>
      </x:c>
      <x:c r="FF343">
        <x:f t="shared" si="405"/>
        <x:v>0</x:v>
      </x:c>
      <x:c r="FG343">
        <x:f t="shared" si="406"/>
        <x:v>0</x:v>
      </x:c>
      <x:c r="FH343">
        <x:f t="shared" si="407"/>
        <x:v>0</x:v>
      </x:c>
      <x:c r="FI343">
        <x:f t="shared" si="408"/>
        <x:v>0</x:v>
      </x:c>
      <x:c r="FJ343">
        <x:f t="shared" si="409"/>
        <x:v>0</x:v>
      </x:c>
      <x:c r="FK343">
        <x:f t="shared" si="410"/>
        <x:v>0</x:v>
      </x:c>
      <x:c r="FL343" s="41">
        <x:f t="shared" si="411"/>
        <x:v>0</x:v>
      </x:c>
      <x:c r="FM343">
        <x:f t="shared" si="412"/>
        <x:v>0</x:v>
      </x:c>
      <x:c r="FN343">
        <x:f t="shared" si="413"/>
        <x:v>0</x:v>
      </x:c>
      <x:c r="FO343">
        <x:f t="shared" si="414"/>
        <x:v>0</x:v>
      </x:c>
      <x:c r="FP343">
        <x:f t="shared" si="415"/>
        <x:v>0</x:v>
      </x:c>
      <x:c r="FQ343">
        <x:f t="shared" si="416"/>
        <x:v>0</x:v>
      </x:c>
      <x:c r="FR343">
        <x:f t="shared" si="417"/>
        <x:v>0</x:v>
      </x:c>
      <x:c r="FS343">
        <x:f t="shared" si="418"/>
        <x:v>0</x:v>
      </x:c>
      <x:c r="FT343">
        <x:f t="shared" si="419"/>
        <x:v>0</x:v>
      </x:c>
      <x:c r="FU343">
        <x:f t="shared" si="420"/>
        <x:v>0</x:v>
      </x:c>
      <x:c r="FV343">
        <x:f t="shared" si="421"/>
        <x:v>0</x:v>
      </x:c>
      <x:c r="FW343" s="41">
        <x:f t="shared" si="422"/>
        <x:v>0</x:v>
      </x:c>
      <x:c r="FX343">
        <x:f t="shared" si="423"/>
        <x:v>0</x:v>
      </x:c>
      <x:c r="FY343">
        <x:f t="shared" si="424"/>
        <x:v>0</x:v>
      </x:c>
      <x:c r="FZ343">
        <x:f t="shared" si="425"/>
        <x:v>0</x:v>
      </x:c>
      <x:c r="GA343">
        <x:f t="shared" si="426"/>
        <x:v>0</x:v>
      </x:c>
      <x:c r="GB343">
        <x:f t="shared" si="427"/>
        <x:v>0</x:v>
      </x:c>
      <x:c r="GC343">
        <x:f t="shared" si="428"/>
        <x:v>0</x:v>
      </x:c>
      <x:c r="GD343">
        <x:f t="shared" si="429"/>
        <x:v>0</x:v>
      </x:c>
      <x:c r="GE343">
        <x:f t="shared" si="430"/>
        <x:v>0</x:v>
      </x:c>
      <x:c r="GF343">
        <x:f t="shared" si="431"/>
        <x:v>0</x:v>
      </x:c>
      <x:c r="GG343">
        <x:f t="shared" si="432"/>
        <x:v>0</x:v>
      </x:c>
      <x:c r="GH343">
        <x:f t="shared" si="433"/>
        <x:v>0</x:v>
      </x:c>
      <x:c r="GI343">
        <x:f t="shared" si="434"/>
        <x:v>0</x:v>
      </x:c>
      <x:c r="GJ343">
        <x:f t="shared" si="435"/>
        <x:v>0</x:v>
      </x:c>
      <x:c r="GK343">
        <x:f t="shared" si="436"/>
        <x:v>0</x:v>
      </x:c>
      <x:c r="GL343">
        <x:f t="shared" si="437"/>
        <x:v>0</x:v>
      </x:c>
      <x:c r="GM343">
        <x:f t="shared" si="438"/>
        <x:v>0</x:v>
      </x:c>
      <x:c r="GN343">
        <x:f t="shared" si="439"/>
        <x:v>0</x:v>
      </x:c>
      <x:c r="GO343">
        <x:f t="shared" si="440"/>
        <x:v>0</x:v>
      </x:c>
      <x:c r="GP343">
        <x:f t="shared" si="441"/>
        <x:v>0</x:v>
      </x:c>
      <x:c r="GQ343">
        <x:f t="shared" si="442"/>
        <x:v>0</x:v>
      </x:c>
      <x:c r="GR343" s="42">
        <x:f t="shared" si="443"/>
        <x:v>0</x:v>
      </x:c>
      <x:c r="GS343">
        <x:f t="shared" si="444"/>
        <x:v>0</x:v>
      </x:c>
      <x:c r="GT343">
        <x:f t="shared" si="445"/>
        <x:v>0</x:v>
      </x:c>
      <x:c r="GU343">
        <x:f t="shared" si="446"/>
        <x:v>0</x:v>
      </x:c>
      <x:c r="GV343">
        <x:f t="shared" si="447"/>
        <x:v>0</x:v>
      </x:c>
      <x:c r="GW343">
        <x:f t="shared" si="448"/>
        <x:v>0</x:v>
      </x:c>
      <x:c r="GX343">
        <x:f t="shared" si="449"/>
        <x:v>0</x:v>
      </x:c>
      <x:c r="GY343">
        <x:f t="shared" si="450"/>
        <x:v>0</x:v>
      </x:c>
      <x:c r="GZ343">
        <x:f t="shared" si="451"/>
        <x:v>0</x:v>
      </x:c>
      <x:c r="HA343">
        <x:f t="shared" si="452"/>
        <x:v>0</x:v>
      </x:c>
      <x:c r="HB343" s="42">
        <x:f t="shared" si="453"/>
        <x:v>0</x:v>
      </x:c>
      <x:c r="HC343">
        <x:f t="shared" si="454"/>
        <x:v>0</x:v>
      </x:c>
      <x:c r="HD343">
        <x:f t="shared" si="455"/>
        <x:v>0</x:v>
      </x:c>
      <x:c r="HE343">
        <x:f t="shared" si="456"/>
        <x:v>0</x:v>
      </x:c>
      <x:c r="HF343">
        <x:f t="shared" si="457"/>
        <x:v>0</x:v>
      </x:c>
      <x:c r="HG343">
        <x:f t="shared" si="458"/>
        <x:v>0</x:v>
      </x:c>
      <x:c r="HH343">
        <x:f t="shared" si="459"/>
        <x:v>0</x:v>
      </x:c>
      <x:c r="HI343">
        <x:f t="shared" si="460"/>
        <x:v>0</x:v>
      </x:c>
      <x:c r="HJ343">
        <x:f t="shared" si="461"/>
        <x:v>0</x:v>
      </x:c>
      <x:c r="HK343">
        <x:f t="shared" si="462"/>
        <x:v>0</x:v>
      </x:c>
      <x:c r="HL343">
        <x:f t="shared" si="463"/>
        <x:v>0</x:v>
      </x:c>
    </x:row>
    <x:row r="344">
      <x:c r="D344" s="74"/>
      <x:c r="EQ344">
        <x:f t="shared" si="390"/>
        <x:v>0</x:v>
      </x:c>
      <x:c r="ER344">
        <x:f t="shared" si="391"/>
        <x:v>0</x:v>
      </x:c>
      <x:c r="ES344">
        <x:f t="shared" si="392"/>
        <x:v>0</x:v>
      </x:c>
      <x:c r="ET344">
        <x:f t="shared" si="393"/>
        <x:v>0</x:v>
      </x:c>
      <x:c r="EU344">
        <x:f t="shared" si="394"/>
        <x:v>0</x:v>
      </x:c>
      <x:c r="EV344">
        <x:f t="shared" si="395"/>
        <x:v>0</x:v>
      </x:c>
      <x:c r="EW344">
        <x:f t="shared" si="396"/>
        <x:v>0</x:v>
      </x:c>
      <x:c r="EX344">
        <x:f t="shared" si="397"/>
        <x:v>0</x:v>
      </x:c>
      <x:c r="EY344">
        <x:f t="shared" si="398"/>
        <x:v>0</x:v>
      </x:c>
      <x:c r="EZ344">
        <x:f t="shared" si="399"/>
        <x:v>0</x:v>
      </x:c>
      <x:c r="FA344" s="41">
        <x:f t="shared" si="400"/>
        <x:v>0</x:v>
      </x:c>
      <x:c r="FB344">
        <x:f t="shared" si="401"/>
        <x:v>0</x:v>
      </x:c>
      <x:c r="FC344">
        <x:f t="shared" si="402"/>
        <x:v>0</x:v>
      </x:c>
      <x:c r="FD344">
        <x:f t="shared" si="403"/>
        <x:v>0</x:v>
      </x:c>
      <x:c r="FE344">
        <x:f t="shared" si="404"/>
        <x:v>0</x:v>
      </x:c>
      <x:c r="FF344">
        <x:f t="shared" si="405"/>
        <x:v>0</x:v>
      </x:c>
      <x:c r="FG344">
        <x:f t="shared" si="406"/>
        <x:v>0</x:v>
      </x:c>
      <x:c r="FH344">
        <x:f t="shared" si="407"/>
        <x:v>0</x:v>
      </x:c>
      <x:c r="FI344">
        <x:f t="shared" si="408"/>
        <x:v>0</x:v>
      </x:c>
      <x:c r="FJ344">
        <x:f t="shared" si="409"/>
        <x:v>0</x:v>
      </x:c>
      <x:c r="FK344">
        <x:f t="shared" si="410"/>
        <x:v>0</x:v>
      </x:c>
      <x:c r="FL344" s="41">
        <x:f t="shared" si="411"/>
        <x:v>0</x:v>
      </x:c>
      <x:c r="FM344">
        <x:f t="shared" si="412"/>
        <x:v>0</x:v>
      </x:c>
      <x:c r="FN344">
        <x:f t="shared" si="413"/>
        <x:v>0</x:v>
      </x:c>
      <x:c r="FO344">
        <x:f t="shared" si="414"/>
        <x:v>0</x:v>
      </x:c>
      <x:c r="FP344">
        <x:f t="shared" si="415"/>
        <x:v>0</x:v>
      </x:c>
      <x:c r="FQ344">
        <x:f t="shared" si="416"/>
        <x:v>0</x:v>
      </x:c>
      <x:c r="FR344">
        <x:f t="shared" si="417"/>
        <x:v>0</x:v>
      </x:c>
      <x:c r="FS344">
        <x:f t="shared" si="418"/>
        <x:v>0</x:v>
      </x:c>
      <x:c r="FT344">
        <x:f t="shared" si="419"/>
        <x:v>0</x:v>
      </x:c>
      <x:c r="FU344">
        <x:f t="shared" si="420"/>
        <x:v>0</x:v>
      </x:c>
      <x:c r="FV344">
        <x:f t="shared" si="421"/>
        <x:v>0</x:v>
      </x:c>
      <x:c r="FW344" s="41">
        <x:f t="shared" si="422"/>
        <x:v>0</x:v>
      </x:c>
      <x:c r="FX344">
        <x:f t="shared" si="423"/>
        <x:v>0</x:v>
      </x:c>
      <x:c r="FY344">
        <x:f t="shared" si="424"/>
        <x:v>0</x:v>
      </x:c>
      <x:c r="FZ344">
        <x:f t="shared" si="425"/>
        <x:v>0</x:v>
      </x:c>
      <x:c r="GA344">
        <x:f t="shared" si="426"/>
        <x:v>0</x:v>
      </x:c>
      <x:c r="GB344">
        <x:f t="shared" si="427"/>
        <x:v>0</x:v>
      </x:c>
      <x:c r="GC344">
        <x:f t="shared" si="428"/>
        <x:v>0</x:v>
      </x:c>
      <x:c r="GD344">
        <x:f t="shared" si="429"/>
        <x:v>0</x:v>
      </x:c>
      <x:c r="GE344">
        <x:f t="shared" si="430"/>
        <x:v>0</x:v>
      </x:c>
      <x:c r="GF344">
        <x:f t="shared" si="431"/>
        <x:v>0</x:v>
      </x:c>
      <x:c r="GG344">
        <x:f t="shared" si="432"/>
        <x:v>0</x:v>
      </x:c>
      <x:c r="GH344">
        <x:f t="shared" si="433"/>
        <x:v>0</x:v>
      </x:c>
      <x:c r="GI344">
        <x:f t="shared" si="434"/>
        <x:v>0</x:v>
      </x:c>
      <x:c r="GJ344">
        <x:f t="shared" si="435"/>
        <x:v>0</x:v>
      </x:c>
      <x:c r="GK344">
        <x:f t="shared" si="436"/>
        <x:v>0</x:v>
      </x:c>
      <x:c r="GL344">
        <x:f t="shared" si="437"/>
        <x:v>0</x:v>
      </x:c>
      <x:c r="GM344">
        <x:f t="shared" si="438"/>
        <x:v>0</x:v>
      </x:c>
      <x:c r="GN344">
        <x:f t="shared" si="439"/>
        <x:v>0</x:v>
      </x:c>
      <x:c r="GO344">
        <x:f t="shared" si="440"/>
        <x:v>0</x:v>
      </x:c>
      <x:c r="GP344">
        <x:f t="shared" si="441"/>
        <x:v>0</x:v>
      </x:c>
      <x:c r="GQ344">
        <x:f t="shared" si="442"/>
        <x:v>0</x:v>
      </x:c>
      <x:c r="GR344" s="42">
        <x:f t="shared" si="443"/>
        <x:v>0</x:v>
      </x:c>
      <x:c r="GS344">
        <x:f t="shared" si="444"/>
        <x:v>0</x:v>
      </x:c>
      <x:c r="GT344">
        <x:f t="shared" si="445"/>
        <x:v>0</x:v>
      </x:c>
      <x:c r="GU344">
        <x:f t="shared" si="446"/>
        <x:v>0</x:v>
      </x:c>
      <x:c r="GV344">
        <x:f t="shared" si="447"/>
        <x:v>0</x:v>
      </x:c>
      <x:c r="GW344">
        <x:f t="shared" si="448"/>
        <x:v>0</x:v>
      </x:c>
      <x:c r="GX344">
        <x:f t="shared" si="449"/>
        <x:v>0</x:v>
      </x:c>
      <x:c r="GY344">
        <x:f t="shared" si="450"/>
        <x:v>0</x:v>
      </x:c>
      <x:c r="GZ344">
        <x:f t="shared" si="451"/>
        <x:v>0</x:v>
      </x:c>
      <x:c r="HA344">
        <x:f t="shared" si="452"/>
        <x:v>0</x:v>
      </x:c>
      <x:c r="HB344" s="42">
        <x:f t="shared" si="453"/>
        <x:v>0</x:v>
      </x:c>
      <x:c r="HC344">
        <x:f t="shared" si="454"/>
        <x:v>0</x:v>
      </x:c>
      <x:c r="HD344">
        <x:f t="shared" si="455"/>
        <x:v>0</x:v>
      </x:c>
      <x:c r="HE344">
        <x:f t="shared" si="456"/>
        <x:v>0</x:v>
      </x:c>
      <x:c r="HF344">
        <x:f t="shared" si="457"/>
        <x:v>0</x:v>
      </x:c>
      <x:c r="HG344">
        <x:f t="shared" si="458"/>
        <x:v>0</x:v>
      </x:c>
      <x:c r="HH344">
        <x:f t="shared" si="459"/>
        <x:v>0</x:v>
      </x:c>
      <x:c r="HI344">
        <x:f t="shared" si="460"/>
        <x:v>0</x:v>
      </x:c>
      <x:c r="HJ344">
        <x:f t="shared" si="461"/>
        <x:v>0</x:v>
      </x:c>
      <x:c r="HK344">
        <x:f t="shared" si="462"/>
        <x:v>0</x:v>
      </x:c>
      <x:c r="HL344">
        <x:f t="shared" si="463"/>
        <x:v>0</x:v>
      </x:c>
    </x:row>
    <x:row r="345">
      <x:c r="D345" s="74"/>
      <x:c r="EQ345">
        <x:f t="shared" si="390"/>
        <x:v>0</x:v>
      </x:c>
      <x:c r="ER345">
        <x:f t="shared" si="391"/>
        <x:v>0</x:v>
      </x:c>
      <x:c r="ES345">
        <x:f t="shared" si="392"/>
        <x:v>0</x:v>
      </x:c>
      <x:c r="ET345">
        <x:f t="shared" si="393"/>
        <x:v>0</x:v>
      </x:c>
      <x:c r="EU345">
        <x:f t="shared" si="394"/>
        <x:v>0</x:v>
      </x:c>
      <x:c r="EV345">
        <x:f t="shared" si="395"/>
        <x:v>0</x:v>
      </x:c>
      <x:c r="EW345">
        <x:f t="shared" si="396"/>
        <x:v>0</x:v>
      </x:c>
      <x:c r="EX345">
        <x:f t="shared" si="397"/>
        <x:v>0</x:v>
      </x:c>
      <x:c r="EY345">
        <x:f t="shared" si="398"/>
        <x:v>0</x:v>
      </x:c>
      <x:c r="EZ345">
        <x:f t="shared" si="399"/>
        <x:v>0</x:v>
      </x:c>
      <x:c r="FA345" s="41">
        <x:f t="shared" si="400"/>
        <x:v>0</x:v>
      </x:c>
      <x:c r="FB345">
        <x:f t="shared" si="401"/>
        <x:v>0</x:v>
      </x:c>
      <x:c r="FC345">
        <x:f t="shared" si="402"/>
        <x:v>0</x:v>
      </x:c>
      <x:c r="FD345">
        <x:f t="shared" si="403"/>
        <x:v>0</x:v>
      </x:c>
      <x:c r="FE345">
        <x:f t="shared" si="404"/>
        <x:v>0</x:v>
      </x:c>
      <x:c r="FF345">
        <x:f t="shared" si="405"/>
        <x:v>0</x:v>
      </x:c>
      <x:c r="FG345">
        <x:f t="shared" si="406"/>
        <x:v>0</x:v>
      </x:c>
      <x:c r="FH345">
        <x:f t="shared" si="407"/>
        <x:v>0</x:v>
      </x:c>
      <x:c r="FI345">
        <x:f t="shared" si="408"/>
        <x:v>0</x:v>
      </x:c>
      <x:c r="FJ345">
        <x:f t="shared" si="409"/>
        <x:v>0</x:v>
      </x:c>
      <x:c r="FK345">
        <x:f t="shared" si="410"/>
        <x:v>0</x:v>
      </x:c>
      <x:c r="FL345" s="41">
        <x:f t="shared" si="411"/>
        <x:v>0</x:v>
      </x:c>
      <x:c r="FM345">
        <x:f t="shared" si="412"/>
        <x:v>0</x:v>
      </x:c>
      <x:c r="FN345">
        <x:f t="shared" si="413"/>
        <x:v>0</x:v>
      </x:c>
      <x:c r="FO345">
        <x:f t="shared" si="414"/>
        <x:v>0</x:v>
      </x:c>
      <x:c r="FP345">
        <x:f t="shared" si="415"/>
        <x:v>0</x:v>
      </x:c>
      <x:c r="FQ345">
        <x:f t="shared" si="416"/>
        <x:v>0</x:v>
      </x:c>
      <x:c r="FR345">
        <x:f t="shared" si="417"/>
        <x:v>0</x:v>
      </x:c>
      <x:c r="FS345">
        <x:f t="shared" si="418"/>
        <x:v>0</x:v>
      </x:c>
      <x:c r="FT345">
        <x:f t="shared" si="419"/>
        <x:v>0</x:v>
      </x:c>
      <x:c r="FU345">
        <x:f t="shared" si="420"/>
        <x:v>0</x:v>
      </x:c>
      <x:c r="FV345">
        <x:f t="shared" si="421"/>
        <x:v>0</x:v>
      </x:c>
      <x:c r="FW345" s="41">
        <x:f t="shared" si="422"/>
        <x:v>0</x:v>
      </x:c>
      <x:c r="FX345">
        <x:f t="shared" si="423"/>
        <x:v>0</x:v>
      </x:c>
      <x:c r="FY345">
        <x:f t="shared" si="424"/>
        <x:v>0</x:v>
      </x:c>
      <x:c r="FZ345">
        <x:f t="shared" si="425"/>
        <x:v>0</x:v>
      </x:c>
      <x:c r="GA345">
        <x:f t="shared" si="426"/>
        <x:v>0</x:v>
      </x:c>
      <x:c r="GB345">
        <x:f t="shared" si="427"/>
        <x:v>0</x:v>
      </x:c>
      <x:c r="GC345">
        <x:f t="shared" si="428"/>
        <x:v>0</x:v>
      </x:c>
      <x:c r="GD345">
        <x:f t="shared" si="429"/>
        <x:v>0</x:v>
      </x:c>
      <x:c r="GE345">
        <x:f t="shared" si="430"/>
        <x:v>0</x:v>
      </x:c>
      <x:c r="GF345">
        <x:f t="shared" si="431"/>
        <x:v>0</x:v>
      </x:c>
      <x:c r="GG345">
        <x:f t="shared" si="432"/>
        <x:v>0</x:v>
      </x:c>
      <x:c r="GH345">
        <x:f t="shared" si="433"/>
        <x:v>0</x:v>
      </x:c>
      <x:c r="GI345">
        <x:f t="shared" si="434"/>
        <x:v>0</x:v>
      </x:c>
      <x:c r="GJ345">
        <x:f t="shared" si="435"/>
        <x:v>0</x:v>
      </x:c>
      <x:c r="GK345">
        <x:f t="shared" si="436"/>
        <x:v>0</x:v>
      </x:c>
      <x:c r="GL345">
        <x:f t="shared" si="437"/>
        <x:v>0</x:v>
      </x:c>
      <x:c r="GM345">
        <x:f t="shared" si="438"/>
        <x:v>0</x:v>
      </x:c>
      <x:c r="GN345">
        <x:f t="shared" si="439"/>
        <x:v>0</x:v>
      </x:c>
      <x:c r="GO345">
        <x:f t="shared" si="440"/>
        <x:v>0</x:v>
      </x:c>
      <x:c r="GP345">
        <x:f t="shared" si="441"/>
        <x:v>0</x:v>
      </x:c>
      <x:c r="GQ345">
        <x:f t="shared" si="442"/>
        <x:v>0</x:v>
      </x:c>
      <x:c r="GR345" s="42">
        <x:f t="shared" si="443"/>
        <x:v>0</x:v>
      </x:c>
      <x:c r="GS345">
        <x:f t="shared" si="444"/>
        <x:v>0</x:v>
      </x:c>
      <x:c r="GT345">
        <x:f t="shared" si="445"/>
        <x:v>0</x:v>
      </x:c>
      <x:c r="GU345">
        <x:f t="shared" si="446"/>
        <x:v>0</x:v>
      </x:c>
      <x:c r="GV345">
        <x:f t="shared" si="447"/>
        <x:v>0</x:v>
      </x:c>
      <x:c r="GW345">
        <x:f t="shared" si="448"/>
        <x:v>0</x:v>
      </x:c>
      <x:c r="GX345">
        <x:f t="shared" si="449"/>
        <x:v>0</x:v>
      </x:c>
      <x:c r="GY345">
        <x:f t="shared" si="450"/>
        <x:v>0</x:v>
      </x:c>
      <x:c r="GZ345">
        <x:f t="shared" si="451"/>
        <x:v>0</x:v>
      </x:c>
      <x:c r="HA345">
        <x:f t="shared" si="452"/>
        <x:v>0</x:v>
      </x:c>
      <x:c r="HB345" s="42">
        <x:f t="shared" si="453"/>
        <x:v>0</x:v>
      </x:c>
      <x:c r="HC345">
        <x:f t="shared" si="454"/>
        <x:v>0</x:v>
      </x:c>
      <x:c r="HD345">
        <x:f t="shared" si="455"/>
        <x:v>0</x:v>
      </x:c>
      <x:c r="HE345">
        <x:f t="shared" si="456"/>
        <x:v>0</x:v>
      </x:c>
      <x:c r="HF345">
        <x:f t="shared" si="457"/>
        <x:v>0</x:v>
      </x:c>
      <x:c r="HG345">
        <x:f t="shared" si="458"/>
        <x:v>0</x:v>
      </x:c>
      <x:c r="HH345">
        <x:f t="shared" si="459"/>
        <x:v>0</x:v>
      </x:c>
      <x:c r="HI345">
        <x:f t="shared" si="460"/>
        <x:v>0</x:v>
      </x:c>
      <x:c r="HJ345">
        <x:f t="shared" si="461"/>
        <x:v>0</x:v>
      </x:c>
      <x:c r="HK345">
        <x:f t="shared" si="462"/>
        <x:v>0</x:v>
      </x:c>
      <x:c r="HL345">
        <x:f t="shared" si="463"/>
        <x:v>0</x:v>
      </x:c>
    </x:row>
    <x:row r="346">
      <x:c r="D346" s="74"/>
      <x:c r="EQ346">
        <x:f t="shared" si="390"/>
        <x:v>0</x:v>
      </x:c>
      <x:c r="ER346">
        <x:f t="shared" si="391"/>
        <x:v>0</x:v>
      </x:c>
      <x:c r="ES346">
        <x:f t="shared" si="392"/>
        <x:v>0</x:v>
      </x:c>
      <x:c r="ET346">
        <x:f t="shared" si="393"/>
        <x:v>0</x:v>
      </x:c>
      <x:c r="EU346">
        <x:f t="shared" si="394"/>
        <x:v>0</x:v>
      </x:c>
      <x:c r="EV346">
        <x:f t="shared" si="395"/>
        <x:v>0</x:v>
      </x:c>
      <x:c r="EW346">
        <x:f t="shared" si="396"/>
        <x:v>0</x:v>
      </x:c>
      <x:c r="EX346">
        <x:f t="shared" si="397"/>
        <x:v>0</x:v>
      </x:c>
      <x:c r="EY346">
        <x:f t="shared" si="398"/>
        <x:v>0</x:v>
      </x:c>
      <x:c r="EZ346">
        <x:f t="shared" si="399"/>
        <x:v>0</x:v>
      </x:c>
      <x:c r="FA346" s="41">
        <x:f t="shared" si="400"/>
        <x:v>0</x:v>
      </x:c>
      <x:c r="FB346">
        <x:f t="shared" si="401"/>
        <x:v>0</x:v>
      </x:c>
      <x:c r="FC346">
        <x:f t="shared" si="402"/>
        <x:v>0</x:v>
      </x:c>
      <x:c r="FD346">
        <x:f t="shared" si="403"/>
        <x:v>0</x:v>
      </x:c>
      <x:c r="FE346">
        <x:f t="shared" si="404"/>
        <x:v>0</x:v>
      </x:c>
      <x:c r="FF346">
        <x:f t="shared" si="405"/>
        <x:v>0</x:v>
      </x:c>
      <x:c r="FG346">
        <x:f t="shared" si="406"/>
        <x:v>0</x:v>
      </x:c>
      <x:c r="FH346">
        <x:f t="shared" si="407"/>
        <x:v>0</x:v>
      </x:c>
      <x:c r="FI346">
        <x:f t="shared" si="408"/>
        <x:v>0</x:v>
      </x:c>
      <x:c r="FJ346">
        <x:f t="shared" si="409"/>
        <x:v>0</x:v>
      </x:c>
      <x:c r="FK346">
        <x:f t="shared" si="410"/>
        <x:v>0</x:v>
      </x:c>
      <x:c r="FL346" s="41">
        <x:f t="shared" si="411"/>
        <x:v>0</x:v>
      </x:c>
      <x:c r="FM346">
        <x:f t="shared" si="412"/>
        <x:v>0</x:v>
      </x:c>
      <x:c r="FN346">
        <x:f t="shared" si="413"/>
        <x:v>0</x:v>
      </x:c>
      <x:c r="FO346">
        <x:f t="shared" si="414"/>
        <x:v>0</x:v>
      </x:c>
      <x:c r="FP346">
        <x:f t="shared" si="415"/>
        <x:v>0</x:v>
      </x:c>
      <x:c r="FQ346">
        <x:f t="shared" si="416"/>
        <x:v>0</x:v>
      </x:c>
      <x:c r="FR346">
        <x:f t="shared" si="417"/>
        <x:v>0</x:v>
      </x:c>
      <x:c r="FS346">
        <x:f t="shared" si="418"/>
        <x:v>0</x:v>
      </x:c>
      <x:c r="FT346">
        <x:f t="shared" si="419"/>
        <x:v>0</x:v>
      </x:c>
      <x:c r="FU346">
        <x:f t="shared" si="420"/>
        <x:v>0</x:v>
      </x:c>
      <x:c r="FV346">
        <x:f t="shared" si="421"/>
        <x:v>0</x:v>
      </x:c>
      <x:c r="FW346" s="41">
        <x:f t="shared" si="422"/>
        <x:v>0</x:v>
      </x:c>
      <x:c r="FX346">
        <x:f t="shared" si="423"/>
        <x:v>0</x:v>
      </x:c>
      <x:c r="FY346">
        <x:f t="shared" si="424"/>
        <x:v>0</x:v>
      </x:c>
      <x:c r="FZ346">
        <x:f t="shared" si="425"/>
        <x:v>0</x:v>
      </x:c>
      <x:c r="GA346">
        <x:f t="shared" si="426"/>
        <x:v>0</x:v>
      </x:c>
      <x:c r="GB346">
        <x:f t="shared" si="427"/>
        <x:v>0</x:v>
      </x:c>
      <x:c r="GC346">
        <x:f t="shared" si="428"/>
        <x:v>0</x:v>
      </x:c>
      <x:c r="GD346">
        <x:f t="shared" si="429"/>
        <x:v>0</x:v>
      </x:c>
      <x:c r="GE346">
        <x:f t="shared" si="430"/>
        <x:v>0</x:v>
      </x:c>
      <x:c r="GF346">
        <x:f t="shared" si="431"/>
        <x:v>0</x:v>
      </x:c>
      <x:c r="GG346">
        <x:f t="shared" si="432"/>
        <x:v>0</x:v>
      </x:c>
      <x:c r="GH346">
        <x:f t="shared" si="433"/>
        <x:v>0</x:v>
      </x:c>
      <x:c r="GI346">
        <x:f t="shared" si="434"/>
        <x:v>0</x:v>
      </x:c>
      <x:c r="GJ346">
        <x:f t="shared" si="435"/>
        <x:v>0</x:v>
      </x:c>
      <x:c r="GK346">
        <x:f t="shared" si="436"/>
        <x:v>0</x:v>
      </x:c>
      <x:c r="GL346">
        <x:f t="shared" si="437"/>
        <x:v>0</x:v>
      </x:c>
      <x:c r="GM346">
        <x:f t="shared" si="438"/>
        <x:v>0</x:v>
      </x:c>
      <x:c r="GN346">
        <x:f t="shared" si="439"/>
        <x:v>0</x:v>
      </x:c>
      <x:c r="GO346">
        <x:f t="shared" si="440"/>
        <x:v>0</x:v>
      </x:c>
      <x:c r="GP346">
        <x:f t="shared" si="441"/>
        <x:v>0</x:v>
      </x:c>
      <x:c r="GQ346">
        <x:f t="shared" si="442"/>
        <x:v>0</x:v>
      </x:c>
      <x:c r="GR346" s="42">
        <x:f t="shared" si="443"/>
        <x:v>0</x:v>
      </x:c>
      <x:c r="GS346">
        <x:f t="shared" si="444"/>
        <x:v>0</x:v>
      </x:c>
      <x:c r="GT346">
        <x:f t="shared" si="445"/>
        <x:v>0</x:v>
      </x:c>
      <x:c r="GU346">
        <x:f t="shared" si="446"/>
        <x:v>0</x:v>
      </x:c>
      <x:c r="GV346">
        <x:f t="shared" si="447"/>
        <x:v>0</x:v>
      </x:c>
      <x:c r="GW346">
        <x:f t="shared" si="448"/>
        <x:v>0</x:v>
      </x:c>
      <x:c r="GX346">
        <x:f t="shared" si="449"/>
        <x:v>0</x:v>
      </x:c>
      <x:c r="GY346">
        <x:f t="shared" si="450"/>
        <x:v>0</x:v>
      </x:c>
      <x:c r="GZ346">
        <x:f t="shared" si="451"/>
        <x:v>0</x:v>
      </x:c>
      <x:c r="HA346">
        <x:f t="shared" si="452"/>
        <x:v>0</x:v>
      </x:c>
      <x:c r="HB346" s="42">
        <x:f t="shared" si="453"/>
        <x:v>0</x:v>
      </x:c>
      <x:c r="HC346">
        <x:f t="shared" si="454"/>
        <x:v>0</x:v>
      </x:c>
      <x:c r="HD346">
        <x:f t="shared" si="455"/>
        <x:v>0</x:v>
      </x:c>
      <x:c r="HE346">
        <x:f t="shared" si="456"/>
        <x:v>0</x:v>
      </x:c>
      <x:c r="HF346">
        <x:f t="shared" si="457"/>
        <x:v>0</x:v>
      </x:c>
      <x:c r="HG346">
        <x:f t="shared" si="458"/>
        <x:v>0</x:v>
      </x:c>
      <x:c r="HH346">
        <x:f t="shared" si="459"/>
        <x:v>0</x:v>
      </x:c>
      <x:c r="HI346">
        <x:f t="shared" si="460"/>
        <x:v>0</x:v>
      </x:c>
      <x:c r="HJ346">
        <x:f t="shared" si="461"/>
        <x:v>0</x:v>
      </x:c>
      <x:c r="HK346">
        <x:f t="shared" si="462"/>
        <x:v>0</x:v>
      </x:c>
      <x:c r="HL346">
        <x:f t="shared" si="463"/>
        <x:v>0</x:v>
      </x:c>
    </x:row>
    <x:row r="347">
      <x:c r="D347" s="74"/>
      <x:c r="EQ347">
        <x:f t="shared" si="390"/>
        <x:v>0</x:v>
      </x:c>
      <x:c r="ER347">
        <x:f t="shared" si="391"/>
        <x:v>0</x:v>
      </x:c>
      <x:c r="ES347">
        <x:f t="shared" si="392"/>
        <x:v>0</x:v>
      </x:c>
      <x:c r="ET347">
        <x:f t="shared" si="393"/>
        <x:v>0</x:v>
      </x:c>
      <x:c r="EU347">
        <x:f t="shared" si="394"/>
        <x:v>0</x:v>
      </x:c>
      <x:c r="EV347">
        <x:f t="shared" si="395"/>
        <x:v>0</x:v>
      </x:c>
      <x:c r="EW347">
        <x:f t="shared" si="396"/>
        <x:v>0</x:v>
      </x:c>
      <x:c r="EX347">
        <x:f t="shared" si="397"/>
        <x:v>0</x:v>
      </x:c>
      <x:c r="EY347">
        <x:f t="shared" si="398"/>
        <x:v>0</x:v>
      </x:c>
      <x:c r="EZ347">
        <x:f t="shared" si="399"/>
        <x:v>0</x:v>
      </x:c>
      <x:c r="FA347" s="41">
        <x:f t="shared" si="400"/>
        <x:v>0</x:v>
      </x:c>
      <x:c r="FB347">
        <x:f t="shared" si="401"/>
        <x:v>0</x:v>
      </x:c>
      <x:c r="FC347">
        <x:f t="shared" si="402"/>
        <x:v>0</x:v>
      </x:c>
      <x:c r="FD347">
        <x:f t="shared" si="403"/>
        <x:v>0</x:v>
      </x:c>
      <x:c r="FE347">
        <x:f t="shared" si="404"/>
        <x:v>0</x:v>
      </x:c>
      <x:c r="FF347">
        <x:f t="shared" si="405"/>
        <x:v>0</x:v>
      </x:c>
      <x:c r="FG347">
        <x:f t="shared" si="406"/>
        <x:v>0</x:v>
      </x:c>
      <x:c r="FH347">
        <x:f t="shared" si="407"/>
        <x:v>0</x:v>
      </x:c>
      <x:c r="FI347">
        <x:f t="shared" si="408"/>
        <x:v>0</x:v>
      </x:c>
      <x:c r="FJ347">
        <x:f t="shared" si="409"/>
        <x:v>0</x:v>
      </x:c>
      <x:c r="FK347">
        <x:f t="shared" si="410"/>
        <x:v>0</x:v>
      </x:c>
      <x:c r="FL347" s="41">
        <x:f t="shared" si="411"/>
        <x:v>0</x:v>
      </x:c>
      <x:c r="FM347">
        <x:f t="shared" si="412"/>
        <x:v>0</x:v>
      </x:c>
      <x:c r="FN347">
        <x:f t="shared" si="413"/>
        <x:v>0</x:v>
      </x:c>
      <x:c r="FO347">
        <x:f t="shared" si="414"/>
        <x:v>0</x:v>
      </x:c>
      <x:c r="FP347">
        <x:f t="shared" si="415"/>
        <x:v>0</x:v>
      </x:c>
      <x:c r="FQ347">
        <x:f t="shared" si="416"/>
        <x:v>0</x:v>
      </x:c>
      <x:c r="FR347">
        <x:f t="shared" si="417"/>
        <x:v>0</x:v>
      </x:c>
      <x:c r="FS347">
        <x:f t="shared" si="418"/>
        <x:v>0</x:v>
      </x:c>
      <x:c r="FT347">
        <x:f t="shared" si="419"/>
        <x:v>0</x:v>
      </x:c>
      <x:c r="FU347">
        <x:f t="shared" si="420"/>
        <x:v>0</x:v>
      </x:c>
      <x:c r="FV347">
        <x:f t="shared" si="421"/>
        <x:v>0</x:v>
      </x:c>
      <x:c r="FW347" s="41">
        <x:f t="shared" si="422"/>
        <x:v>0</x:v>
      </x:c>
      <x:c r="FX347">
        <x:f t="shared" si="423"/>
        <x:v>0</x:v>
      </x:c>
      <x:c r="FY347">
        <x:f t="shared" si="424"/>
        <x:v>0</x:v>
      </x:c>
      <x:c r="FZ347">
        <x:f t="shared" si="425"/>
        <x:v>0</x:v>
      </x:c>
      <x:c r="GA347">
        <x:f t="shared" si="426"/>
        <x:v>0</x:v>
      </x:c>
      <x:c r="GB347">
        <x:f t="shared" si="427"/>
        <x:v>0</x:v>
      </x:c>
      <x:c r="GC347">
        <x:f t="shared" si="428"/>
        <x:v>0</x:v>
      </x:c>
      <x:c r="GD347">
        <x:f t="shared" si="429"/>
        <x:v>0</x:v>
      </x:c>
      <x:c r="GE347">
        <x:f t="shared" si="430"/>
        <x:v>0</x:v>
      </x:c>
      <x:c r="GF347">
        <x:f t="shared" si="431"/>
        <x:v>0</x:v>
      </x:c>
      <x:c r="GG347">
        <x:f t="shared" si="432"/>
        <x:v>0</x:v>
      </x:c>
      <x:c r="GH347">
        <x:f t="shared" si="433"/>
        <x:v>0</x:v>
      </x:c>
      <x:c r="GI347">
        <x:f t="shared" si="434"/>
        <x:v>0</x:v>
      </x:c>
      <x:c r="GJ347">
        <x:f t="shared" si="435"/>
        <x:v>0</x:v>
      </x:c>
      <x:c r="GK347">
        <x:f t="shared" si="436"/>
        <x:v>0</x:v>
      </x:c>
      <x:c r="GL347">
        <x:f t="shared" si="437"/>
        <x:v>0</x:v>
      </x:c>
      <x:c r="GM347">
        <x:f t="shared" si="438"/>
        <x:v>0</x:v>
      </x:c>
      <x:c r="GN347">
        <x:f t="shared" si="439"/>
        <x:v>0</x:v>
      </x:c>
      <x:c r="GO347">
        <x:f t="shared" si="440"/>
        <x:v>0</x:v>
      </x:c>
      <x:c r="GP347">
        <x:f t="shared" si="441"/>
        <x:v>0</x:v>
      </x:c>
      <x:c r="GQ347">
        <x:f t="shared" si="442"/>
        <x:v>0</x:v>
      </x:c>
      <x:c r="GR347" s="42">
        <x:f t="shared" si="443"/>
        <x:v>0</x:v>
      </x:c>
      <x:c r="GS347">
        <x:f t="shared" si="444"/>
        <x:v>0</x:v>
      </x:c>
      <x:c r="GT347">
        <x:f t="shared" si="445"/>
        <x:v>0</x:v>
      </x:c>
      <x:c r="GU347">
        <x:f t="shared" si="446"/>
        <x:v>0</x:v>
      </x:c>
      <x:c r="GV347">
        <x:f t="shared" si="447"/>
        <x:v>0</x:v>
      </x:c>
      <x:c r="GW347">
        <x:f t="shared" si="448"/>
        <x:v>0</x:v>
      </x:c>
      <x:c r="GX347">
        <x:f t="shared" si="449"/>
        <x:v>0</x:v>
      </x:c>
      <x:c r="GY347">
        <x:f t="shared" si="450"/>
        <x:v>0</x:v>
      </x:c>
      <x:c r="GZ347">
        <x:f t="shared" si="451"/>
        <x:v>0</x:v>
      </x:c>
      <x:c r="HA347">
        <x:f t="shared" si="452"/>
        <x:v>0</x:v>
      </x:c>
      <x:c r="HB347" s="42">
        <x:f t="shared" si="453"/>
        <x:v>0</x:v>
      </x:c>
      <x:c r="HC347">
        <x:f t="shared" si="454"/>
        <x:v>0</x:v>
      </x:c>
      <x:c r="HD347">
        <x:f t="shared" si="455"/>
        <x:v>0</x:v>
      </x:c>
      <x:c r="HE347">
        <x:f t="shared" si="456"/>
        <x:v>0</x:v>
      </x:c>
      <x:c r="HF347">
        <x:f t="shared" si="457"/>
        <x:v>0</x:v>
      </x:c>
      <x:c r="HG347">
        <x:f t="shared" si="458"/>
        <x:v>0</x:v>
      </x:c>
      <x:c r="HH347">
        <x:f t="shared" si="459"/>
        <x:v>0</x:v>
      </x:c>
      <x:c r="HI347">
        <x:f t="shared" si="460"/>
        <x:v>0</x:v>
      </x:c>
      <x:c r="HJ347">
        <x:f t="shared" si="461"/>
        <x:v>0</x:v>
      </x:c>
      <x:c r="HK347">
        <x:f t="shared" si="462"/>
        <x:v>0</x:v>
      </x:c>
      <x:c r="HL347">
        <x:f t="shared" si="463"/>
        <x:v>0</x:v>
      </x:c>
    </x:row>
    <x:row r="348">
      <x:c r="D348" s="74"/>
      <x:c r="EQ348">
        <x:f t="shared" si="390"/>
        <x:v>0</x:v>
      </x:c>
      <x:c r="ER348">
        <x:f t="shared" si="391"/>
        <x:v>0</x:v>
      </x:c>
      <x:c r="ES348">
        <x:f t="shared" si="392"/>
        <x:v>0</x:v>
      </x:c>
      <x:c r="ET348">
        <x:f t="shared" si="393"/>
        <x:v>0</x:v>
      </x:c>
      <x:c r="EU348">
        <x:f t="shared" si="394"/>
        <x:v>0</x:v>
      </x:c>
      <x:c r="EV348">
        <x:f t="shared" si="395"/>
        <x:v>0</x:v>
      </x:c>
      <x:c r="EW348">
        <x:f t="shared" si="396"/>
        <x:v>0</x:v>
      </x:c>
      <x:c r="EX348">
        <x:f t="shared" si="397"/>
        <x:v>0</x:v>
      </x:c>
      <x:c r="EY348">
        <x:f t="shared" si="398"/>
        <x:v>0</x:v>
      </x:c>
      <x:c r="EZ348">
        <x:f t="shared" si="399"/>
        <x:v>0</x:v>
      </x:c>
      <x:c r="FA348" s="41">
        <x:f t="shared" si="400"/>
        <x:v>0</x:v>
      </x:c>
      <x:c r="FB348">
        <x:f t="shared" si="401"/>
        <x:v>0</x:v>
      </x:c>
      <x:c r="FC348">
        <x:f t="shared" si="402"/>
        <x:v>0</x:v>
      </x:c>
      <x:c r="FD348">
        <x:f t="shared" si="403"/>
        <x:v>0</x:v>
      </x:c>
      <x:c r="FE348">
        <x:f t="shared" si="404"/>
        <x:v>0</x:v>
      </x:c>
      <x:c r="FF348">
        <x:f t="shared" si="405"/>
        <x:v>0</x:v>
      </x:c>
      <x:c r="FG348">
        <x:f t="shared" si="406"/>
        <x:v>0</x:v>
      </x:c>
      <x:c r="FH348">
        <x:f t="shared" si="407"/>
        <x:v>0</x:v>
      </x:c>
      <x:c r="FI348">
        <x:f t="shared" si="408"/>
        <x:v>0</x:v>
      </x:c>
      <x:c r="FJ348">
        <x:f t="shared" si="409"/>
        <x:v>0</x:v>
      </x:c>
      <x:c r="FK348">
        <x:f t="shared" si="410"/>
        <x:v>0</x:v>
      </x:c>
      <x:c r="FL348" s="41">
        <x:f t="shared" si="411"/>
        <x:v>0</x:v>
      </x:c>
      <x:c r="FM348">
        <x:f t="shared" si="412"/>
        <x:v>0</x:v>
      </x:c>
      <x:c r="FN348">
        <x:f t="shared" si="413"/>
        <x:v>0</x:v>
      </x:c>
      <x:c r="FO348">
        <x:f t="shared" si="414"/>
        <x:v>0</x:v>
      </x:c>
      <x:c r="FP348">
        <x:f t="shared" si="415"/>
        <x:v>0</x:v>
      </x:c>
      <x:c r="FQ348">
        <x:f t="shared" si="416"/>
        <x:v>0</x:v>
      </x:c>
      <x:c r="FR348">
        <x:f t="shared" si="417"/>
        <x:v>0</x:v>
      </x:c>
      <x:c r="FS348">
        <x:f t="shared" si="418"/>
        <x:v>0</x:v>
      </x:c>
      <x:c r="FT348">
        <x:f t="shared" si="419"/>
        <x:v>0</x:v>
      </x:c>
      <x:c r="FU348">
        <x:f t="shared" si="420"/>
        <x:v>0</x:v>
      </x:c>
      <x:c r="FV348">
        <x:f t="shared" si="421"/>
        <x:v>0</x:v>
      </x:c>
      <x:c r="FW348" s="41">
        <x:f t="shared" si="422"/>
        <x:v>0</x:v>
      </x:c>
      <x:c r="FX348">
        <x:f t="shared" si="423"/>
        <x:v>0</x:v>
      </x:c>
      <x:c r="FY348">
        <x:f t="shared" si="424"/>
        <x:v>0</x:v>
      </x:c>
      <x:c r="FZ348">
        <x:f t="shared" si="425"/>
        <x:v>0</x:v>
      </x:c>
      <x:c r="GA348">
        <x:f t="shared" si="426"/>
        <x:v>0</x:v>
      </x:c>
      <x:c r="GB348">
        <x:f t="shared" si="427"/>
        <x:v>0</x:v>
      </x:c>
      <x:c r="GC348">
        <x:f t="shared" si="428"/>
        <x:v>0</x:v>
      </x:c>
      <x:c r="GD348">
        <x:f t="shared" si="429"/>
        <x:v>0</x:v>
      </x:c>
      <x:c r="GE348">
        <x:f t="shared" si="430"/>
        <x:v>0</x:v>
      </x:c>
      <x:c r="GF348">
        <x:f t="shared" si="431"/>
        <x:v>0</x:v>
      </x:c>
      <x:c r="GG348">
        <x:f t="shared" si="432"/>
        <x:v>0</x:v>
      </x:c>
      <x:c r="GH348">
        <x:f t="shared" si="433"/>
        <x:v>0</x:v>
      </x:c>
      <x:c r="GI348">
        <x:f t="shared" si="434"/>
        <x:v>0</x:v>
      </x:c>
      <x:c r="GJ348">
        <x:f t="shared" si="435"/>
        <x:v>0</x:v>
      </x:c>
      <x:c r="GK348">
        <x:f t="shared" si="436"/>
        <x:v>0</x:v>
      </x:c>
      <x:c r="GL348">
        <x:f t="shared" si="437"/>
        <x:v>0</x:v>
      </x:c>
      <x:c r="GM348">
        <x:f t="shared" si="438"/>
        <x:v>0</x:v>
      </x:c>
      <x:c r="GN348">
        <x:f t="shared" si="439"/>
        <x:v>0</x:v>
      </x:c>
      <x:c r="GO348">
        <x:f t="shared" si="440"/>
        <x:v>0</x:v>
      </x:c>
      <x:c r="GP348">
        <x:f t="shared" si="441"/>
        <x:v>0</x:v>
      </x:c>
      <x:c r="GQ348">
        <x:f t="shared" si="442"/>
        <x:v>0</x:v>
      </x:c>
      <x:c r="GR348" s="42">
        <x:f t="shared" si="443"/>
        <x:v>0</x:v>
      </x:c>
      <x:c r="GS348">
        <x:f t="shared" si="444"/>
        <x:v>0</x:v>
      </x:c>
      <x:c r="GT348">
        <x:f t="shared" si="445"/>
        <x:v>0</x:v>
      </x:c>
      <x:c r="GU348">
        <x:f t="shared" si="446"/>
        <x:v>0</x:v>
      </x:c>
      <x:c r="GV348">
        <x:f t="shared" si="447"/>
        <x:v>0</x:v>
      </x:c>
      <x:c r="GW348">
        <x:f t="shared" si="448"/>
        <x:v>0</x:v>
      </x:c>
      <x:c r="GX348">
        <x:f t="shared" si="449"/>
        <x:v>0</x:v>
      </x:c>
      <x:c r="GY348">
        <x:f t="shared" si="450"/>
        <x:v>0</x:v>
      </x:c>
      <x:c r="GZ348">
        <x:f t="shared" si="451"/>
        <x:v>0</x:v>
      </x:c>
      <x:c r="HA348">
        <x:f t="shared" si="452"/>
        <x:v>0</x:v>
      </x:c>
      <x:c r="HB348" s="42">
        <x:f t="shared" si="453"/>
        <x:v>0</x:v>
      </x:c>
      <x:c r="HC348">
        <x:f t="shared" si="454"/>
        <x:v>0</x:v>
      </x:c>
      <x:c r="HD348">
        <x:f t="shared" si="455"/>
        <x:v>0</x:v>
      </x:c>
      <x:c r="HE348">
        <x:f t="shared" si="456"/>
        <x:v>0</x:v>
      </x:c>
      <x:c r="HF348">
        <x:f t="shared" si="457"/>
        <x:v>0</x:v>
      </x:c>
      <x:c r="HG348">
        <x:f t="shared" si="458"/>
        <x:v>0</x:v>
      </x:c>
      <x:c r="HH348">
        <x:f t="shared" si="459"/>
        <x:v>0</x:v>
      </x:c>
      <x:c r="HI348">
        <x:f t="shared" si="460"/>
        <x:v>0</x:v>
      </x:c>
      <x:c r="HJ348">
        <x:f t="shared" si="461"/>
        <x:v>0</x:v>
      </x:c>
      <x:c r="HK348">
        <x:f t="shared" si="462"/>
        <x:v>0</x:v>
      </x:c>
      <x:c r="HL348">
        <x:f t="shared" si="463"/>
        <x:v>0</x:v>
      </x:c>
    </x:row>
    <x:row r="349">
      <x:c r="D349" s="74"/>
      <x:c r="EQ349">
        <x:f t="shared" si="390"/>
        <x:v>0</x:v>
      </x:c>
      <x:c r="ER349">
        <x:f t="shared" si="391"/>
        <x:v>0</x:v>
      </x:c>
      <x:c r="ES349">
        <x:f t="shared" si="392"/>
        <x:v>0</x:v>
      </x:c>
      <x:c r="ET349">
        <x:f t="shared" si="393"/>
        <x:v>0</x:v>
      </x:c>
      <x:c r="EU349">
        <x:f t="shared" si="394"/>
        <x:v>0</x:v>
      </x:c>
      <x:c r="EV349">
        <x:f t="shared" si="395"/>
        <x:v>0</x:v>
      </x:c>
      <x:c r="EW349">
        <x:f t="shared" si="396"/>
        <x:v>0</x:v>
      </x:c>
      <x:c r="EX349">
        <x:f t="shared" si="397"/>
        <x:v>0</x:v>
      </x:c>
      <x:c r="EY349">
        <x:f t="shared" si="398"/>
        <x:v>0</x:v>
      </x:c>
      <x:c r="EZ349">
        <x:f t="shared" si="399"/>
        <x:v>0</x:v>
      </x:c>
      <x:c r="FA349" s="41">
        <x:f t="shared" si="400"/>
        <x:v>0</x:v>
      </x:c>
      <x:c r="FB349">
        <x:f t="shared" si="401"/>
        <x:v>0</x:v>
      </x:c>
      <x:c r="FC349">
        <x:f t="shared" si="402"/>
        <x:v>0</x:v>
      </x:c>
      <x:c r="FD349">
        <x:f t="shared" si="403"/>
        <x:v>0</x:v>
      </x:c>
      <x:c r="FE349">
        <x:f t="shared" si="404"/>
        <x:v>0</x:v>
      </x:c>
      <x:c r="FF349">
        <x:f t="shared" si="405"/>
        <x:v>0</x:v>
      </x:c>
      <x:c r="FG349">
        <x:f t="shared" si="406"/>
        <x:v>0</x:v>
      </x:c>
      <x:c r="FH349">
        <x:f t="shared" si="407"/>
        <x:v>0</x:v>
      </x:c>
      <x:c r="FI349">
        <x:f t="shared" si="408"/>
        <x:v>0</x:v>
      </x:c>
      <x:c r="FJ349">
        <x:f t="shared" si="409"/>
        <x:v>0</x:v>
      </x:c>
      <x:c r="FK349">
        <x:f t="shared" si="410"/>
        <x:v>0</x:v>
      </x:c>
      <x:c r="FL349" s="41">
        <x:f t="shared" si="411"/>
        <x:v>0</x:v>
      </x:c>
      <x:c r="FM349">
        <x:f t="shared" si="412"/>
        <x:v>0</x:v>
      </x:c>
      <x:c r="FN349">
        <x:f t="shared" si="413"/>
        <x:v>0</x:v>
      </x:c>
      <x:c r="FO349">
        <x:f t="shared" si="414"/>
        <x:v>0</x:v>
      </x:c>
      <x:c r="FP349">
        <x:f t="shared" si="415"/>
        <x:v>0</x:v>
      </x:c>
      <x:c r="FQ349">
        <x:f t="shared" si="416"/>
        <x:v>0</x:v>
      </x:c>
      <x:c r="FR349">
        <x:f t="shared" si="417"/>
        <x:v>0</x:v>
      </x:c>
      <x:c r="FS349">
        <x:f t="shared" si="418"/>
        <x:v>0</x:v>
      </x:c>
      <x:c r="FT349">
        <x:f t="shared" si="419"/>
        <x:v>0</x:v>
      </x:c>
      <x:c r="FU349">
        <x:f t="shared" si="420"/>
        <x:v>0</x:v>
      </x:c>
      <x:c r="FV349">
        <x:f t="shared" si="421"/>
        <x:v>0</x:v>
      </x:c>
      <x:c r="FW349" s="41">
        <x:f t="shared" si="422"/>
        <x:v>0</x:v>
      </x:c>
      <x:c r="FX349">
        <x:f t="shared" si="423"/>
        <x:v>0</x:v>
      </x:c>
      <x:c r="FY349">
        <x:f t="shared" si="424"/>
        <x:v>0</x:v>
      </x:c>
      <x:c r="FZ349">
        <x:f t="shared" si="425"/>
        <x:v>0</x:v>
      </x:c>
      <x:c r="GA349">
        <x:f t="shared" si="426"/>
        <x:v>0</x:v>
      </x:c>
      <x:c r="GB349">
        <x:f t="shared" si="427"/>
        <x:v>0</x:v>
      </x:c>
      <x:c r="GC349">
        <x:f t="shared" si="428"/>
        <x:v>0</x:v>
      </x:c>
      <x:c r="GD349">
        <x:f t="shared" si="429"/>
        <x:v>0</x:v>
      </x:c>
      <x:c r="GE349">
        <x:f t="shared" si="430"/>
        <x:v>0</x:v>
      </x:c>
      <x:c r="GF349">
        <x:f t="shared" si="431"/>
        <x:v>0</x:v>
      </x:c>
      <x:c r="GG349">
        <x:f t="shared" si="432"/>
        <x:v>0</x:v>
      </x:c>
      <x:c r="GH349">
        <x:f t="shared" si="433"/>
        <x:v>0</x:v>
      </x:c>
      <x:c r="GI349">
        <x:f t="shared" si="434"/>
        <x:v>0</x:v>
      </x:c>
      <x:c r="GJ349">
        <x:f t="shared" si="435"/>
        <x:v>0</x:v>
      </x:c>
      <x:c r="GK349">
        <x:f t="shared" si="436"/>
        <x:v>0</x:v>
      </x:c>
      <x:c r="GL349">
        <x:f t="shared" si="437"/>
        <x:v>0</x:v>
      </x:c>
      <x:c r="GM349">
        <x:f t="shared" si="438"/>
        <x:v>0</x:v>
      </x:c>
      <x:c r="GN349">
        <x:f t="shared" si="439"/>
        <x:v>0</x:v>
      </x:c>
      <x:c r="GO349">
        <x:f t="shared" si="440"/>
        <x:v>0</x:v>
      </x:c>
      <x:c r="GP349">
        <x:f t="shared" si="441"/>
        <x:v>0</x:v>
      </x:c>
      <x:c r="GQ349">
        <x:f t="shared" si="442"/>
        <x:v>0</x:v>
      </x:c>
      <x:c r="GR349" s="42">
        <x:f t="shared" si="443"/>
        <x:v>0</x:v>
      </x:c>
      <x:c r="GS349">
        <x:f t="shared" si="444"/>
        <x:v>0</x:v>
      </x:c>
      <x:c r="GT349">
        <x:f t="shared" si="445"/>
        <x:v>0</x:v>
      </x:c>
      <x:c r="GU349">
        <x:f t="shared" si="446"/>
        <x:v>0</x:v>
      </x:c>
      <x:c r="GV349">
        <x:f t="shared" si="447"/>
        <x:v>0</x:v>
      </x:c>
      <x:c r="GW349">
        <x:f t="shared" si="448"/>
        <x:v>0</x:v>
      </x:c>
      <x:c r="GX349">
        <x:f t="shared" si="449"/>
        <x:v>0</x:v>
      </x:c>
      <x:c r="GY349">
        <x:f t="shared" si="450"/>
        <x:v>0</x:v>
      </x:c>
      <x:c r="GZ349">
        <x:f t="shared" si="451"/>
        <x:v>0</x:v>
      </x:c>
      <x:c r="HA349">
        <x:f t="shared" si="452"/>
        <x:v>0</x:v>
      </x:c>
      <x:c r="HB349" s="42">
        <x:f t="shared" si="453"/>
        <x:v>0</x:v>
      </x:c>
      <x:c r="HC349">
        <x:f t="shared" si="454"/>
        <x:v>0</x:v>
      </x:c>
      <x:c r="HD349">
        <x:f t="shared" si="455"/>
        <x:v>0</x:v>
      </x:c>
      <x:c r="HE349">
        <x:f t="shared" si="456"/>
        <x:v>0</x:v>
      </x:c>
      <x:c r="HF349">
        <x:f t="shared" si="457"/>
        <x:v>0</x:v>
      </x:c>
      <x:c r="HG349">
        <x:f t="shared" si="458"/>
        <x:v>0</x:v>
      </x:c>
      <x:c r="HH349">
        <x:f t="shared" si="459"/>
        <x:v>0</x:v>
      </x:c>
      <x:c r="HI349">
        <x:f t="shared" si="460"/>
        <x:v>0</x:v>
      </x:c>
      <x:c r="HJ349">
        <x:f t="shared" si="461"/>
        <x:v>0</x:v>
      </x:c>
      <x:c r="HK349">
        <x:f t="shared" si="462"/>
        <x:v>0</x:v>
      </x:c>
      <x:c r="HL349">
        <x:f t="shared" si="463"/>
        <x:v>0</x:v>
      </x:c>
    </x:row>
    <x:row r="350">
      <x:c r="D350" s="74"/>
      <x:c r="EQ350">
        <x:f t="shared" si="390"/>
        <x:v>0</x:v>
      </x:c>
      <x:c r="ER350">
        <x:f t="shared" si="391"/>
        <x:v>0</x:v>
      </x:c>
      <x:c r="ES350">
        <x:f t="shared" si="392"/>
        <x:v>0</x:v>
      </x:c>
      <x:c r="ET350">
        <x:f t="shared" si="393"/>
        <x:v>0</x:v>
      </x:c>
      <x:c r="EU350">
        <x:f t="shared" si="394"/>
        <x:v>0</x:v>
      </x:c>
      <x:c r="EV350">
        <x:f t="shared" si="395"/>
        <x:v>0</x:v>
      </x:c>
      <x:c r="EW350">
        <x:f t="shared" si="396"/>
        <x:v>0</x:v>
      </x:c>
      <x:c r="EX350">
        <x:f t="shared" si="397"/>
        <x:v>0</x:v>
      </x:c>
      <x:c r="EY350">
        <x:f t="shared" si="398"/>
        <x:v>0</x:v>
      </x:c>
      <x:c r="EZ350">
        <x:f t="shared" si="399"/>
        <x:v>0</x:v>
      </x:c>
      <x:c r="FA350" s="41">
        <x:f t="shared" si="400"/>
        <x:v>0</x:v>
      </x:c>
      <x:c r="FB350">
        <x:f t="shared" si="401"/>
        <x:v>0</x:v>
      </x:c>
      <x:c r="FC350">
        <x:f t="shared" si="402"/>
        <x:v>0</x:v>
      </x:c>
      <x:c r="FD350">
        <x:f t="shared" si="403"/>
        <x:v>0</x:v>
      </x:c>
      <x:c r="FE350">
        <x:f t="shared" si="404"/>
        <x:v>0</x:v>
      </x:c>
      <x:c r="FF350">
        <x:f t="shared" si="405"/>
        <x:v>0</x:v>
      </x:c>
      <x:c r="FG350">
        <x:f t="shared" si="406"/>
        <x:v>0</x:v>
      </x:c>
      <x:c r="FH350">
        <x:f t="shared" si="407"/>
        <x:v>0</x:v>
      </x:c>
      <x:c r="FI350">
        <x:f t="shared" si="408"/>
        <x:v>0</x:v>
      </x:c>
      <x:c r="FJ350">
        <x:f t="shared" si="409"/>
        <x:v>0</x:v>
      </x:c>
      <x:c r="FK350">
        <x:f t="shared" si="410"/>
        <x:v>0</x:v>
      </x:c>
      <x:c r="FL350" s="41">
        <x:f t="shared" si="411"/>
        <x:v>0</x:v>
      </x:c>
      <x:c r="FM350">
        <x:f t="shared" si="412"/>
        <x:v>0</x:v>
      </x:c>
      <x:c r="FN350">
        <x:f t="shared" si="413"/>
        <x:v>0</x:v>
      </x:c>
      <x:c r="FO350">
        <x:f t="shared" si="414"/>
        <x:v>0</x:v>
      </x:c>
      <x:c r="FP350">
        <x:f t="shared" si="415"/>
        <x:v>0</x:v>
      </x:c>
      <x:c r="FQ350">
        <x:f t="shared" si="416"/>
        <x:v>0</x:v>
      </x:c>
      <x:c r="FR350">
        <x:f t="shared" si="417"/>
        <x:v>0</x:v>
      </x:c>
      <x:c r="FS350">
        <x:f t="shared" si="418"/>
        <x:v>0</x:v>
      </x:c>
      <x:c r="FT350">
        <x:f t="shared" si="419"/>
        <x:v>0</x:v>
      </x:c>
      <x:c r="FU350">
        <x:f t="shared" si="420"/>
        <x:v>0</x:v>
      </x:c>
      <x:c r="FV350">
        <x:f t="shared" si="421"/>
        <x:v>0</x:v>
      </x:c>
      <x:c r="FW350" s="41">
        <x:f t="shared" si="422"/>
        <x:v>0</x:v>
      </x:c>
      <x:c r="FX350">
        <x:f t="shared" si="423"/>
        <x:v>0</x:v>
      </x:c>
      <x:c r="FY350">
        <x:f t="shared" si="424"/>
        <x:v>0</x:v>
      </x:c>
      <x:c r="FZ350">
        <x:f t="shared" si="425"/>
        <x:v>0</x:v>
      </x:c>
      <x:c r="GA350">
        <x:f t="shared" si="426"/>
        <x:v>0</x:v>
      </x:c>
      <x:c r="GB350">
        <x:f t="shared" si="427"/>
        <x:v>0</x:v>
      </x:c>
      <x:c r="GC350">
        <x:f t="shared" si="428"/>
        <x:v>0</x:v>
      </x:c>
      <x:c r="GD350">
        <x:f t="shared" si="429"/>
        <x:v>0</x:v>
      </x:c>
      <x:c r="GE350">
        <x:f t="shared" si="430"/>
        <x:v>0</x:v>
      </x:c>
      <x:c r="GF350">
        <x:f t="shared" si="431"/>
        <x:v>0</x:v>
      </x:c>
      <x:c r="GG350">
        <x:f t="shared" si="432"/>
        <x:v>0</x:v>
      </x:c>
      <x:c r="GH350">
        <x:f t="shared" si="433"/>
        <x:v>0</x:v>
      </x:c>
      <x:c r="GI350">
        <x:f t="shared" si="434"/>
        <x:v>0</x:v>
      </x:c>
      <x:c r="GJ350">
        <x:f t="shared" si="435"/>
        <x:v>0</x:v>
      </x:c>
      <x:c r="GK350">
        <x:f t="shared" si="436"/>
        <x:v>0</x:v>
      </x:c>
      <x:c r="GL350">
        <x:f t="shared" si="437"/>
        <x:v>0</x:v>
      </x:c>
      <x:c r="GM350">
        <x:f t="shared" si="438"/>
        <x:v>0</x:v>
      </x:c>
      <x:c r="GN350">
        <x:f t="shared" si="439"/>
        <x:v>0</x:v>
      </x:c>
      <x:c r="GO350">
        <x:f t="shared" si="440"/>
        <x:v>0</x:v>
      </x:c>
      <x:c r="GP350">
        <x:f t="shared" si="441"/>
        <x:v>0</x:v>
      </x:c>
      <x:c r="GQ350">
        <x:f t="shared" si="442"/>
        <x:v>0</x:v>
      </x:c>
      <x:c r="GR350" s="42">
        <x:f t="shared" si="443"/>
        <x:v>0</x:v>
      </x:c>
      <x:c r="GS350">
        <x:f t="shared" si="444"/>
        <x:v>0</x:v>
      </x:c>
      <x:c r="GT350">
        <x:f t="shared" si="445"/>
        <x:v>0</x:v>
      </x:c>
      <x:c r="GU350">
        <x:f t="shared" si="446"/>
        <x:v>0</x:v>
      </x:c>
      <x:c r="GV350">
        <x:f t="shared" si="447"/>
        <x:v>0</x:v>
      </x:c>
      <x:c r="GW350">
        <x:f t="shared" si="448"/>
        <x:v>0</x:v>
      </x:c>
      <x:c r="GX350">
        <x:f t="shared" si="449"/>
        <x:v>0</x:v>
      </x:c>
      <x:c r="GY350">
        <x:f t="shared" si="450"/>
        <x:v>0</x:v>
      </x:c>
      <x:c r="GZ350">
        <x:f t="shared" si="451"/>
        <x:v>0</x:v>
      </x:c>
      <x:c r="HA350">
        <x:f t="shared" si="452"/>
        <x:v>0</x:v>
      </x:c>
      <x:c r="HB350" s="42">
        <x:f t="shared" si="453"/>
        <x:v>0</x:v>
      </x:c>
      <x:c r="HC350">
        <x:f t="shared" si="454"/>
        <x:v>0</x:v>
      </x:c>
      <x:c r="HD350">
        <x:f t="shared" si="455"/>
        <x:v>0</x:v>
      </x:c>
      <x:c r="HE350">
        <x:f t="shared" si="456"/>
        <x:v>0</x:v>
      </x:c>
      <x:c r="HF350">
        <x:f t="shared" si="457"/>
        <x:v>0</x:v>
      </x:c>
      <x:c r="HG350">
        <x:f t="shared" si="458"/>
        <x:v>0</x:v>
      </x:c>
      <x:c r="HH350">
        <x:f t="shared" si="459"/>
        <x:v>0</x:v>
      </x:c>
      <x:c r="HI350">
        <x:f t="shared" si="460"/>
        <x:v>0</x:v>
      </x:c>
      <x:c r="HJ350">
        <x:f t="shared" si="461"/>
        <x:v>0</x:v>
      </x:c>
      <x:c r="HK350">
        <x:f t="shared" si="462"/>
        <x:v>0</x:v>
      </x:c>
      <x:c r="HL350">
        <x:f t="shared" si="463"/>
        <x:v>0</x:v>
      </x:c>
    </x:row>
    <x:row r="351">
      <x:c r="D351" s="74"/>
      <x:c r="EQ351">
        <x:f t="shared" si="390"/>
        <x:v>0</x:v>
      </x:c>
      <x:c r="ER351">
        <x:f t="shared" si="391"/>
        <x:v>0</x:v>
      </x:c>
      <x:c r="ES351">
        <x:f t="shared" si="392"/>
        <x:v>0</x:v>
      </x:c>
      <x:c r="ET351">
        <x:f t="shared" si="393"/>
        <x:v>0</x:v>
      </x:c>
      <x:c r="EU351">
        <x:f t="shared" si="394"/>
        <x:v>0</x:v>
      </x:c>
      <x:c r="EV351">
        <x:f t="shared" si="395"/>
        <x:v>0</x:v>
      </x:c>
      <x:c r="EW351">
        <x:f t="shared" si="396"/>
        <x:v>0</x:v>
      </x:c>
      <x:c r="EX351">
        <x:f t="shared" si="397"/>
        <x:v>0</x:v>
      </x:c>
      <x:c r="EY351">
        <x:f t="shared" si="398"/>
        <x:v>0</x:v>
      </x:c>
      <x:c r="EZ351">
        <x:f t="shared" si="399"/>
        <x:v>0</x:v>
      </x:c>
      <x:c r="FA351" s="41">
        <x:f t="shared" si="400"/>
        <x:v>0</x:v>
      </x:c>
      <x:c r="FB351">
        <x:f t="shared" si="401"/>
        <x:v>0</x:v>
      </x:c>
      <x:c r="FC351">
        <x:f t="shared" si="402"/>
        <x:v>0</x:v>
      </x:c>
      <x:c r="FD351">
        <x:f t="shared" si="403"/>
        <x:v>0</x:v>
      </x:c>
      <x:c r="FE351">
        <x:f t="shared" si="404"/>
        <x:v>0</x:v>
      </x:c>
      <x:c r="FF351">
        <x:f t="shared" si="405"/>
        <x:v>0</x:v>
      </x:c>
      <x:c r="FG351">
        <x:f t="shared" si="406"/>
        <x:v>0</x:v>
      </x:c>
      <x:c r="FH351">
        <x:f t="shared" si="407"/>
        <x:v>0</x:v>
      </x:c>
      <x:c r="FI351">
        <x:f t="shared" si="408"/>
        <x:v>0</x:v>
      </x:c>
      <x:c r="FJ351">
        <x:f t="shared" si="409"/>
        <x:v>0</x:v>
      </x:c>
      <x:c r="FK351">
        <x:f t="shared" si="410"/>
        <x:v>0</x:v>
      </x:c>
      <x:c r="FL351" s="41">
        <x:f t="shared" si="411"/>
        <x:v>0</x:v>
      </x:c>
      <x:c r="FM351">
        <x:f t="shared" si="412"/>
        <x:v>0</x:v>
      </x:c>
      <x:c r="FN351">
        <x:f t="shared" si="413"/>
        <x:v>0</x:v>
      </x:c>
      <x:c r="FO351">
        <x:f t="shared" si="414"/>
        <x:v>0</x:v>
      </x:c>
      <x:c r="FP351">
        <x:f t="shared" si="415"/>
        <x:v>0</x:v>
      </x:c>
      <x:c r="FQ351">
        <x:f t="shared" si="416"/>
        <x:v>0</x:v>
      </x:c>
      <x:c r="FR351">
        <x:f t="shared" si="417"/>
        <x:v>0</x:v>
      </x:c>
      <x:c r="FS351">
        <x:f t="shared" si="418"/>
        <x:v>0</x:v>
      </x:c>
      <x:c r="FT351">
        <x:f t="shared" si="419"/>
        <x:v>0</x:v>
      </x:c>
      <x:c r="FU351">
        <x:f t="shared" si="420"/>
        <x:v>0</x:v>
      </x:c>
      <x:c r="FV351">
        <x:f t="shared" si="421"/>
        <x:v>0</x:v>
      </x:c>
      <x:c r="FW351" s="41">
        <x:f t="shared" si="422"/>
        <x:v>0</x:v>
      </x:c>
      <x:c r="FX351">
        <x:f t="shared" si="423"/>
        <x:v>0</x:v>
      </x:c>
      <x:c r="FY351">
        <x:f t="shared" si="424"/>
        <x:v>0</x:v>
      </x:c>
      <x:c r="FZ351">
        <x:f t="shared" si="425"/>
        <x:v>0</x:v>
      </x:c>
      <x:c r="GA351">
        <x:f t="shared" si="426"/>
        <x:v>0</x:v>
      </x:c>
      <x:c r="GB351">
        <x:f t="shared" si="427"/>
        <x:v>0</x:v>
      </x:c>
      <x:c r="GC351">
        <x:f t="shared" si="428"/>
        <x:v>0</x:v>
      </x:c>
      <x:c r="GD351">
        <x:f t="shared" si="429"/>
        <x:v>0</x:v>
      </x:c>
      <x:c r="GE351">
        <x:f t="shared" si="430"/>
        <x:v>0</x:v>
      </x:c>
      <x:c r="GF351">
        <x:f t="shared" si="431"/>
        <x:v>0</x:v>
      </x:c>
      <x:c r="GG351">
        <x:f t="shared" si="432"/>
        <x:v>0</x:v>
      </x:c>
      <x:c r="GH351">
        <x:f t="shared" si="433"/>
        <x:v>0</x:v>
      </x:c>
      <x:c r="GI351">
        <x:f t="shared" si="434"/>
        <x:v>0</x:v>
      </x:c>
      <x:c r="GJ351">
        <x:f t="shared" si="435"/>
        <x:v>0</x:v>
      </x:c>
      <x:c r="GK351">
        <x:f t="shared" si="436"/>
        <x:v>0</x:v>
      </x:c>
      <x:c r="GL351">
        <x:f t="shared" si="437"/>
        <x:v>0</x:v>
      </x:c>
      <x:c r="GM351">
        <x:f t="shared" si="438"/>
        <x:v>0</x:v>
      </x:c>
      <x:c r="GN351">
        <x:f t="shared" si="439"/>
        <x:v>0</x:v>
      </x:c>
      <x:c r="GO351">
        <x:f t="shared" si="440"/>
        <x:v>0</x:v>
      </x:c>
      <x:c r="GP351">
        <x:f t="shared" si="441"/>
        <x:v>0</x:v>
      </x:c>
      <x:c r="GQ351">
        <x:f t="shared" si="442"/>
        <x:v>0</x:v>
      </x:c>
      <x:c r="GR351" s="42">
        <x:f t="shared" si="443"/>
        <x:v>0</x:v>
      </x:c>
      <x:c r="GS351">
        <x:f t="shared" si="444"/>
        <x:v>0</x:v>
      </x:c>
      <x:c r="GT351">
        <x:f t="shared" si="445"/>
        <x:v>0</x:v>
      </x:c>
      <x:c r="GU351">
        <x:f t="shared" si="446"/>
        <x:v>0</x:v>
      </x:c>
      <x:c r="GV351">
        <x:f t="shared" si="447"/>
        <x:v>0</x:v>
      </x:c>
      <x:c r="GW351">
        <x:f t="shared" si="448"/>
        <x:v>0</x:v>
      </x:c>
      <x:c r="GX351">
        <x:f t="shared" si="449"/>
        <x:v>0</x:v>
      </x:c>
      <x:c r="GY351">
        <x:f t="shared" si="450"/>
        <x:v>0</x:v>
      </x:c>
      <x:c r="GZ351">
        <x:f t="shared" si="451"/>
        <x:v>0</x:v>
      </x:c>
      <x:c r="HA351">
        <x:f t="shared" si="452"/>
        <x:v>0</x:v>
      </x:c>
      <x:c r="HB351" s="42">
        <x:f t="shared" si="453"/>
        <x:v>0</x:v>
      </x:c>
      <x:c r="HC351">
        <x:f t="shared" si="454"/>
        <x:v>0</x:v>
      </x:c>
      <x:c r="HD351">
        <x:f t="shared" si="455"/>
        <x:v>0</x:v>
      </x:c>
      <x:c r="HE351">
        <x:f t="shared" si="456"/>
        <x:v>0</x:v>
      </x:c>
      <x:c r="HF351">
        <x:f t="shared" si="457"/>
        <x:v>0</x:v>
      </x:c>
      <x:c r="HG351">
        <x:f t="shared" si="458"/>
        <x:v>0</x:v>
      </x:c>
      <x:c r="HH351">
        <x:f t="shared" si="459"/>
        <x:v>0</x:v>
      </x:c>
      <x:c r="HI351">
        <x:f t="shared" si="460"/>
        <x:v>0</x:v>
      </x:c>
      <x:c r="HJ351">
        <x:f t="shared" si="461"/>
        <x:v>0</x:v>
      </x:c>
      <x:c r="HK351">
        <x:f t="shared" si="462"/>
        <x:v>0</x:v>
      </x:c>
      <x:c r="HL351">
        <x:f t="shared" si="463"/>
        <x:v>0</x:v>
      </x:c>
    </x:row>
    <x:row r="352">
      <x:c r="D352" s="74"/>
      <x:c r="EQ352">
        <x:f t="shared" si="390"/>
        <x:v>0</x:v>
      </x:c>
      <x:c r="ER352">
        <x:f t="shared" si="391"/>
        <x:v>0</x:v>
      </x:c>
      <x:c r="ES352">
        <x:f t="shared" si="392"/>
        <x:v>0</x:v>
      </x:c>
      <x:c r="ET352">
        <x:f t="shared" si="393"/>
        <x:v>0</x:v>
      </x:c>
      <x:c r="EU352">
        <x:f t="shared" si="394"/>
        <x:v>0</x:v>
      </x:c>
      <x:c r="EV352">
        <x:f t="shared" si="395"/>
        <x:v>0</x:v>
      </x:c>
      <x:c r="EW352">
        <x:f t="shared" si="396"/>
        <x:v>0</x:v>
      </x:c>
      <x:c r="EX352">
        <x:f t="shared" si="397"/>
        <x:v>0</x:v>
      </x:c>
      <x:c r="EY352">
        <x:f t="shared" si="398"/>
        <x:v>0</x:v>
      </x:c>
      <x:c r="EZ352">
        <x:f t="shared" si="399"/>
        <x:v>0</x:v>
      </x:c>
      <x:c r="FA352" s="41">
        <x:f t="shared" si="400"/>
        <x:v>0</x:v>
      </x:c>
      <x:c r="FB352">
        <x:f t="shared" si="401"/>
        <x:v>0</x:v>
      </x:c>
      <x:c r="FC352">
        <x:f t="shared" si="402"/>
        <x:v>0</x:v>
      </x:c>
      <x:c r="FD352">
        <x:f t="shared" si="403"/>
        <x:v>0</x:v>
      </x:c>
      <x:c r="FE352">
        <x:f t="shared" si="404"/>
        <x:v>0</x:v>
      </x:c>
      <x:c r="FF352">
        <x:f t="shared" si="405"/>
        <x:v>0</x:v>
      </x:c>
      <x:c r="FG352">
        <x:f t="shared" si="406"/>
        <x:v>0</x:v>
      </x:c>
      <x:c r="FH352">
        <x:f t="shared" si="407"/>
        <x:v>0</x:v>
      </x:c>
      <x:c r="FI352">
        <x:f t="shared" si="408"/>
        <x:v>0</x:v>
      </x:c>
      <x:c r="FJ352">
        <x:f t="shared" si="409"/>
        <x:v>0</x:v>
      </x:c>
      <x:c r="FK352">
        <x:f t="shared" si="410"/>
        <x:v>0</x:v>
      </x:c>
      <x:c r="FL352" s="41">
        <x:f t="shared" si="411"/>
        <x:v>0</x:v>
      </x:c>
      <x:c r="FM352">
        <x:f t="shared" si="412"/>
        <x:v>0</x:v>
      </x:c>
      <x:c r="FN352">
        <x:f t="shared" si="413"/>
        <x:v>0</x:v>
      </x:c>
      <x:c r="FO352">
        <x:f t="shared" si="414"/>
        <x:v>0</x:v>
      </x:c>
      <x:c r="FP352">
        <x:f t="shared" si="415"/>
        <x:v>0</x:v>
      </x:c>
      <x:c r="FQ352">
        <x:f t="shared" si="416"/>
        <x:v>0</x:v>
      </x:c>
      <x:c r="FR352">
        <x:f t="shared" si="417"/>
        <x:v>0</x:v>
      </x:c>
      <x:c r="FS352">
        <x:f t="shared" si="418"/>
        <x:v>0</x:v>
      </x:c>
      <x:c r="FT352">
        <x:f t="shared" si="419"/>
        <x:v>0</x:v>
      </x:c>
      <x:c r="FU352">
        <x:f t="shared" si="420"/>
        <x:v>0</x:v>
      </x:c>
      <x:c r="FV352">
        <x:f t="shared" si="421"/>
        <x:v>0</x:v>
      </x:c>
      <x:c r="FW352" s="41">
        <x:f t="shared" si="422"/>
        <x:v>0</x:v>
      </x:c>
      <x:c r="FX352">
        <x:f t="shared" si="423"/>
        <x:v>0</x:v>
      </x:c>
      <x:c r="FY352">
        <x:f t="shared" si="424"/>
        <x:v>0</x:v>
      </x:c>
      <x:c r="FZ352">
        <x:f t="shared" si="425"/>
        <x:v>0</x:v>
      </x:c>
      <x:c r="GA352">
        <x:f t="shared" si="426"/>
        <x:v>0</x:v>
      </x:c>
      <x:c r="GB352">
        <x:f t="shared" si="427"/>
        <x:v>0</x:v>
      </x:c>
      <x:c r="GC352">
        <x:f t="shared" si="428"/>
        <x:v>0</x:v>
      </x:c>
      <x:c r="GD352">
        <x:f t="shared" si="429"/>
        <x:v>0</x:v>
      </x:c>
      <x:c r="GE352">
        <x:f t="shared" si="430"/>
        <x:v>0</x:v>
      </x:c>
      <x:c r="GF352">
        <x:f t="shared" si="431"/>
        <x:v>0</x:v>
      </x:c>
      <x:c r="GG352">
        <x:f t="shared" si="432"/>
        <x:v>0</x:v>
      </x:c>
      <x:c r="GH352">
        <x:f t="shared" si="433"/>
        <x:v>0</x:v>
      </x:c>
      <x:c r="GI352">
        <x:f t="shared" si="434"/>
        <x:v>0</x:v>
      </x:c>
      <x:c r="GJ352">
        <x:f t="shared" si="435"/>
        <x:v>0</x:v>
      </x:c>
      <x:c r="GK352">
        <x:f t="shared" si="436"/>
        <x:v>0</x:v>
      </x:c>
      <x:c r="GL352">
        <x:f t="shared" si="437"/>
        <x:v>0</x:v>
      </x:c>
      <x:c r="GM352">
        <x:f t="shared" si="438"/>
        <x:v>0</x:v>
      </x:c>
      <x:c r="GN352">
        <x:f t="shared" si="439"/>
        <x:v>0</x:v>
      </x:c>
      <x:c r="GO352">
        <x:f t="shared" si="440"/>
        <x:v>0</x:v>
      </x:c>
      <x:c r="GP352">
        <x:f t="shared" si="441"/>
        <x:v>0</x:v>
      </x:c>
      <x:c r="GQ352">
        <x:f t="shared" si="442"/>
        <x:v>0</x:v>
      </x:c>
      <x:c r="GR352" s="42">
        <x:f t="shared" si="443"/>
        <x:v>0</x:v>
      </x:c>
      <x:c r="GS352">
        <x:f t="shared" si="444"/>
        <x:v>0</x:v>
      </x:c>
      <x:c r="GT352">
        <x:f t="shared" si="445"/>
        <x:v>0</x:v>
      </x:c>
      <x:c r="GU352">
        <x:f t="shared" si="446"/>
        <x:v>0</x:v>
      </x:c>
      <x:c r="GV352">
        <x:f t="shared" si="447"/>
        <x:v>0</x:v>
      </x:c>
      <x:c r="GW352">
        <x:f t="shared" si="448"/>
        <x:v>0</x:v>
      </x:c>
      <x:c r="GX352">
        <x:f t="shared" si="449"/>
        <x:v>0</x:v>
      </x:c>
      <x:c r="GY352">
        <x:f t="shared" si="450"/>
        <x:v>0</x:v>
      </x:c>
      <x:c r="GZ352">
        <x:f t="shared" si="451"/>
        <x:v>0</x:v>
      </x:c>
      <x:c r="HA352">
        <x:f t="shared" si="452"/>
        <x:v>0</x:v>
      </x:c>
      <x:c r="HB352" s="42">
        <x:f t="shared" si="453"/>
        <x:v>0</x:v>
      </x:c>
      <x:c r="HC352">
        <x:f t="shared" si="454"/>
        <x:v>0</x:v>
      </x:c>
      <x:c r="HD352">
        <x:f t="shared" si="455"/>
        <x:v>0</x:v>
      </x:c>
      <x:c r="HE352">
        <x:f t="shared" si="456"/>
        <x:v>0</x:v>
      </x:c>
      <x:c r="HF352">
        <x:f t="shared" si="457"/>
        <x:v>0</x:v>
      </x:c>
      <x:c r="HG352">
        <x:f t="shared" si="458"/>
        <x:v>0</x:v>
      </x:c>
      <x:c r="HH352">
        <x:f t="shared" si="459"/>
        <x:v>0</x:v>
      </x:c>
      <x:c r="HI352">
        <x:f t="shared" si="460"/>
        <x:v>0</x:v>
      </x:c>
      <x:c r="HJ352">
        <x:f t="shared" si="461"/>
        <x:v>0</x:v>
      </x:c>
      <x:c r="HK352">
        <x:f t="shared" si="462"/>
        <x:v>0</x:v>
      </x:c>
      <x:c r="HL352">
        <x:f t="shared" si="463"/>
        <x:v>0</x:v>
      </x:c>
    </x:row>
    <x:row r="353">
      <x:c r="D353" s="74"/>
      <x:c r="EQ353">
        <x:f t="shared" si="390"/>
        <x:v>0</x:v>
      </x:c>
      <x:c r="ER353">
        <x:f t="shared" si="391"/>
        <x:v>0</x:v>
      </x:c>
      <x:c r="ES353">
        <x:f t="shared" si="392"/>
        <x:v>0</x:v>
      </x:c>
      <x:c r="ET353">
        <x:f t="shared" si="393"/>
        <x:v>0</x:v>
      </x:c>
      <x:c r="EU353">
        <x:f t="shared" si="394"/>
        <x:v>0</x:v>
      </x:c>
      <x:c r="EV353">
        <x:f t="shared" si="395"/>
        <x:v>0</x:v>
      </x:c>
      <x:c r="EW353">
        <x:f t="shared" si="396"/>
        <x:v>0</x:v>
      </x:c>
      <x:c r="EX353">
        <x:f t="shared" si="397"/>
        <x:v>0</x:v>
      </x:c>
      <x:c r="EY353">
        <x:f t="shared" si="398"/>
        <x:v>0</x:v>
      </x:c>
      <x:c r="EZ353">
        <x:f t="shared" si="399"/>
        <x:v>0</x:v>
      </x:c>
      <x:c r="FA353" s="41">
        <x:f t="shared" si="400"/>
        <x:v>0</x:v>
      </x:c>
      <x:c r="FB353">
        <x:f t="shared" si="401"/>
        <x:v>0</x:v>
      </x:c>
      <x:c r="FC353">
        <x:f t="shared" si="402"/>
        <x:v>0</x:v>
      </x:c>
      <x:c r="FD353">
        <x:f t="shared" si="403"/>
        <x:v>0</x:v>
      </x:c>
      <x:c r="FE353">
        <x:f t="shared" si="404"/>
        <x:v>0</x:v>
      </x:c>
      <x:c r="FF353">
        <x:f t="shared" si="405"/>
        <x:v>0</x:v>
      </x:c>
      <x:c r="FG353">
        <x:f t="shared" si="406"/>
        <x:v>0</x:v>
      </x:c>
      <x:c r="FH353">
        <x:f t="shared" si="407"/>
        <x:v>0</x:v>
      </x:c>
      <x:c r="FI353">
        <x:f t="shared" si="408"/>
        <x:v>0</x:v>
      </x:c>
      <x:c r="FJ353">
        <x:f t="shared" si="409"/>
        <x:v>0</x:v>
      </x:c>
      <x:c r="FK353">
        <x:f t="shared" si="410"/>
        <x:v>0</x:v>
      </x:c>
      <x:c r="FL353" s="41">
        <x:f t="shared" si="411"/>
        <x:v>0</x:v>
      </x:c>
      <x:c r="FM353">
        <x:f t="shared" si="412"/>
        <x:v>0</x:v>
      </x:c>
      <x:c r="FN353">
        <x:f t="shared" si="413"/>
        <x:v>0</x:v>
      </x:c>
      <x:c r="FO353">
        <x:f t="shared" si="414"/>
        <x:v>0</x:v>
      </x:c>
      <x:c r="FP353">
        <x:f t="shared" si="415"/>
        <x:v>0</x:v>
      </x:c>
      <x:c r="FQ353">
        <x:f t="shared" si="416"/>
        <x:v>0</x:v>
      </x:c>
      <x:c r="FR353">
        <x:f t="shared" si="417"/>
        <x:v>0</x:v>
      </x:c>
      <x:c r="FS353">
        <x:f t="shared" si="418"/>
        <x:v>0</x:v>
      </x:c>
      <x:c r="FT353">
        <x:f t="shared" si="419"/>
        <x:v>0</x:v>
      </x:c>
      <x:c r="FU353">
        <x:f t="shared" si="420"/>
        <x:v>0</x:v>
      </x:c>
      <x:c r="FV353">
        <x:f t="shared" si="421"/>
        <x:v>0</x:v>
      </x:c>
      <x:c r="FW353" s="41">
        <x:f t="shared" si="422"/>
        <x:v>0</x:v>
      </x:c>
      <x:c r="FX353">
        <x:f t="shared" si="423"/>
        <x:v>0</x:v>
      </x:c>
      <x:c r="FY353">
        <x:f t="shared" si="424"/>
        <x:v>0</x:v>
      </x:c>
      <x:c r="FZ353">
        <x:f t="shared" si="425"/>
        <x:v>0</x:v>
      </x:c>
      <x:c r="GA353">
        <x:f t="shared" si="426"/>
        <x:v>0</x:v>
      </x:c>
      <x:c r="GB353">
        <x:f t="shared" si="427"/>
        <x:v>0</x:v>
      </x:c>
      <x:c r="GC353">
        <x:f t="shared" si="428"/>
        <x:v>0</x:v>
      </x:c>
      <x:c r="GD353">
        <x:f t="shared" si="429"/>
        <x:v>0</x:v>
      </x:c>
      <x:c r="GE353">
        <x:f t="shared" si="430"/>
        <x:v>0</x:v>
      </x:c>
      <x:c r="GF353">
        <x:f t="shared" si="431"/>
        <x:v>0</x:v>
      </x:c>
      <x:c r="GG353">
        <x:f t="shared" si="432"/>
        <x:v>0</x:v>
      </x:c>
      <x:c r="GH353">
        <x:f t="shared" si="433"/>
        <x:v>0</x:v>
      </x:c>
      <x:c r="GI353">
        <x:f t="shared" si="434"/>
        <x:v>0</x:v>
      </x:c>
      <x:c r="GJ353">
        <x:f t="shared" si="435"/>
        <x:v>0</x:v>
      </x:c>
      <x:c r="GK353">
        <x:f t="shared" si="436"/>
        <x:v>0</x:v>
      </x:c>
      <x:c r="GL353">
        <x:f t="shared" si="437"/>
        <x:v>0</x:v>
      </x:c>
      <x:c r="GM353">
        <x:f t="shared" si="438"/>
        <x:v>0</x:v>
      </x:c>
      <x:c r="GN353">
        <x:f t="shared" si="439"/>
        <x:v>0</x:v>
      </x:c>
      <x:c r="GO353">
        <x:f t="shared" si="440"/>
        <x:v>0</x:v>
      </x:c>
      <x:c r="GP353">
        <x:f t="shared" si="441"/>
        <x:v>0</x:v>
      </x:c>
      <x:c r="GQ353">
        <x:f t="shared" si="442"/>
        <x:v>0</x:v>
      </x:c>
      <x:c r="GR353" s="42">
        <x:f t="shared" si="443"/>
        <x:v>0</x:v>
      </x:c>
      <x:c r="GS353">
        <x:f t="shared" si="444"/>
        <x:v>0</x:v>
      </x:c>
      <x:c r="GT353">
        <x:f t="shared" si="445"/>
        <x:v>0</x:v>
      </x:c>
      <x:c r="GU353">
        <x:f t="shared" si="446"/>
        <x:v>0</x:v>
      </x:c>
      <x:c r="GV353">
        <x:f t="shared" si="447"/>
        <x:v>0</x:v>
      </x:c>
      <x:c r="GW353">
        <x:f t="shared" si="448"/>
        <x:v>0</x:v>
      </x:c>
      <x:c r="GX353">
        <x:f t="shared" si="449"/>
        <x:v>0</x:v>
      </x:c>
      <x:c r="GY353">
        <x:f t="shared" si="450"/>
        <x:v>0</x:v>
      </x:c>
      <x:c r="GZ353">
        <x:f t="shared" si="451"/>
        <x:v>0</x:v>
      </x:c>
      <x:c r="HA353">
        <x:f t="shared" si="452"/>
        <x:v>0</x:v>
      </x:c>
      <x:c r="HB353" s="42">
        <x:f t="shared" si="453"/>
        <x:v>0</x:v>
      </x:c>
      <x:c r="HC353">
        <x:f t="shared" si="454"/>
        <x:v>0</x:v>
      </x:c>
      <x:c r="HD353">
        <x:f t="shared" si="455"/>
        <x:v>0</x:v>
      </x:c>
      <x:c r="HE353">
        <x:f t="shared" si="456"/>
        <x:v>0</x:v>
      </x:c>
      <x:c r="HF353">
        <x:f t="shared" si="457"/>
        <x:v>0</x:v>
      </x:c>
      <x:c r="HG353">
        <x:f t="shared" si="458"/>
        <x:v>0</x:v>
      </x:c>
      <x:c r="HH353">
        <x:f t="shared" si="459"/>
        <x:v>0</x:v>
      </x:c>
      <x:c r="HI353">
        <x:f t="shared" si="460"/>
        <x:v>0</x:v>
      </x:c>
      <x:c r="HJ353">
        <x:f t="shared" si="461"/>
        <x:v>0</x:v>
      </x:c>
      <x:c r="HK353">
        <x:f t="shared" si="462"/>
        <x:v>0</x:v>
      </x:c>
      <x:c r="HL353">
        <x:f t="shared" si="463"/>
        <x:v>0</x:v>
      </x:c>
    </x:row>
    <x:row r="354">
      <x:c r="D354" s="74"/>
      <x:c r="EQ354">
        <x:f t="shared" si="390"/>
        <x:v>0</x:v>
      </x:c>
      <x:c r="ER354">
        <x:f t="shared" si="391"/>
        <x:v>0</x:v>
      </x:c>
      <x:c r="ES354">
        <x:f t="shared" si="392"/>
        <x:v>0</x:v>
      </x:c>
      <x:c r="ET354">
        <x:f t="shared" si="393"/>
        <x:v>0</x:v>
      </x:c>
      <x:c r="EU354">
        <x:f t="shared" si="394"/>
        <x:v>0</x:v>
      </x:c>
      <x:c r="EV354">
        <x:f t="shared" si="395"/>
        <x:v>0</x:v>
      </x:c>
      <x:c r="EW354">
        <x:f t="shared" si="396"/>
        <x:v>0</x:v>
      </x:c>
      <x:c r="EX354">
        <x:f t="shared" si="397"/>
        <x:v>0</x:v>
      </x:c>
      <x:c r="EY354">
        <x:f t="shared" si="398"/>
        <x:v>0</x:v>
      </x:c>
      <x:c r="EZ354">
        <x:f t="shared" si="399"/>
        <x:v>0</x:v>
      </x:c>
      <x:c r="FA354" s="41">
        <x:f t="shared" si="400"/>
        <x:v>0</x:v>
      </x:c>
      <x:c r="FB354">
        <x:f t="shared" si="401"/>
        <x:v>0</x:v>
      </x:c>
      <x:c r="FC354">
        <x:f t="shared" si="402"/>
        <x:v>0</x:v>
      </x:c>
      <x:c r="FD354">
        <x:f t="shared" si="403"/>
        <x:v>0</x:v>
      </x:c>
      <x:c r="FE354">
        <x:f t="shared" si="404"/>
        <x:v>0</x:v>
      </x:c>
      <x:c r="FF354">
        <x:f t="shared" si="405"/>
        <x:v>0</x:v>
      </x:c>
      <x:c r="FG354">
        <x:f t="shared" si="406"/>
        <x:v>0</x:v>
      </x:c>
      <x:c r="FH354">
        <x:f t="shared" si="407"/>
        <x:v>0</x:v>
      </x:c>
      <x:c r="FI354">
        <x:f t="shared" si="408"/>
        <x:v>0</x:v>
      </x:c>
      <x:c r="FJ354">
        <x:f t="shared" si="409"/>
        <x:v>0</x:v>
      </x:c>
      <x:c r="FK354">
        <x:f t="shared" si="410"/>
        <x:v>0</x:v>
      </x:c>
      <x:c r="FL354" s="41">
        <x:f t="shared" si="411"/>
        <x:v>0</x:v>
      </x:c>
      <x:c r="FM354">
        <x:f t="shared" si="412"/>
        <x:v>0</x:v>
      </x:c>
      <x:c r="FN354">
        <x:f t="shared" si="413"/>
        <x:v>0</x:v>
      </x:c>
      <x:c r="FO354">
        <x:f t="shared" si="414"/>
        <x:v>0</x:v>
      </x:c>
      <x:c r="FP354">
        <x:f t="shared" si="415"/>
        <x:v>0</x:v>
      </x:c>
      <x:c r="FQ354">
        <x:f t="shared" si="416"/>
        <x:v>0</x:v>
      </x:c>
      <x:c r="FR354">
        <x:f t="shared" si="417"/>
        <x:v>0</x:v>
      </x:c>
      <x:c r="FS354">
        <x:f t="shared" si="418"/>
        <x:v>0</x:v>
      </x:c>
      <x:c r="FT354">
        <x:f t="shared" si="419"/>
        <x:v>0</x:v>
      </x:c>
      <x:c r="FU354">
        <x:f t="shared" si="420"/>
        <x:v>0</x:v>
      </x:c>
      <x:c r="FV354">
        <x:f t="shared" si="421"/>
        <x:v>0</x:v>
      </x:c>
      <x:c r="FW354" s="41">
        <x:f t="shared" si="422"/>
        <x:v>0</x:v>
      </x:c>
      <x:c r="FX354">
        <x:f t="shared" si="423"/>
        <x:v>0</x:v>
      </x:c>
      <x:c r="FY354">
        <x:f t="shared" si="424"/>
        <x:v>0</x:v>
      </x:c>
      <x:c r="FZ354">
        <x:f t="shared" si="425"/>
        <x:v>0</x:v>
      </x:c>
      <x:c r="GA354">
        <x:f t="shared" si="426"/>
        <x:v>0</x:v>
      </x:c>
      <x:c r="GB354">
        <x:f t="shared" si="427"/>
        <x:v>0</x:v>
      </x:c>
      <x:c r="GC354">
        <x:f t="shared" si="428"/>
        <x:v>0</x:v>
      </x:c>
      <x:c r="GD354">
        <x:f t="shared" si="429"/>
        <x:v>0</x:v>
      </x:c>
      <x:c r="GE354">
        <x:f t="shared" si="430"/>
        <x:v>0</x:v>
      </x:c>
      <x:c r="GF354">
        <x:f t="shared" si="431"/>
        <x:v>0</x:v>
      </x:c>
      <x:c r="GG354">
        <x:f t="shared" si="432"/>
        <x:v>0</x:v>
      </x:c>
      <x:c r="GH354">
        <x:f t="shared" si="433"/>
        <x:v>0</x:v>
      </x:c>
      <x:c r="GI354">
        <x:f t="shared" si="434"/>
        <x:v>0</x:v>
      </x:c>
      <x:c r="GJ354">
        <x:f t="shared" si="435"/>
        <x:v>0</x:v>
      </x:c>
      <x:c r="GK354">
        <x:f t="shared" si="436"/>
        <x:v>0</x:v>
      </x:c>
      <x:c r="GL354">
        <x:f t="shared" si="437"/>
        <x:v>0</x:v>
      </x:c>
      <x:c r="GM354">
        <x:f t="shared" si="438"/>
        <x:v>0</x:v>
      </x:c>
      <x:c r="GN354">
        <x:f t="shared" si="439"/>
        <x:v>0</x:v>
      </x:c>
      <x:c r="GO354">
        <x:f t="shared" si="440"/>
        <x:v>0</x:v>
      </x:c>
      <x:c r="GP354">
        <x:f t="shared" si="441"/>
        <x:v>0</x:v>
      </x:c>
      <x:c r="GQ354">
        <x:f t="shared" si="442"/>
        <x:v>0</x:v>
      </x:c>
      <x:c r="GR354" s="42">
        <x:f t="shared" si="443"/>
        <x:v>0</x:v>
      </x:c>
      <x:c r="GS354">
        <x:f t="shared" si="444"/>
        <x:v>0</x:v>
      </x:c>
      <x:c r="GT354">
        <x:f t="shared" si="445"/>
        <x:v>0</x:v>
      </x:c>
      <x:c r="GU354">
        <x:f t="shared" si="446"/>
        <x:v>0</x:v>
      </x:c>
      <x:c r="GV354">
        <x:f t="shared" si="447"/>
        <x:v>0</x:v>
      </x:c>
      <x:c r="GW354">
        <x:f t="shared" si="448"/>
        <x:v>0</x:v>
      </x:c>
      <x:c r="GX354">
        <x:f t="shared" si="449"/>
        <x:v>0</x:v>
      </x:c>
      <x:c r="GY354">
        <x:f t="shared" si="450"/>
        <x:v>0</x:v>
      </x:c>
      <x:c r="GZ354">
        <x:f t="shared" si="451"/>
        <x:v>0</x:v>
      </x:c>
      <x:c r="HA354">
        <x:f t="shared" si="452"/>
        <x:v>0</x:v>
      </x:c>
      <x:c r="HB354" s="42">
        <x:f t="shared" si="453"/>
        <x:v>0</x:v>
      </x:c>
      <x:c r="HC354">
        <x:f t="shared" si="454"/>
        <x:v>0</x:v>
      </x:c>
      <x:c r="HD354">
        <x:f t="shared" si="455"/>
        <x:v>0</x:v>
      </x:c>
      <x:c r="HE354">
        <x:f t="shared" si="456"/>
        <x:v>0</x:v>
      </x:c>
      <x:c r="HF354">
        <x:f t="shared" si="457"/>
        <x:v>0</x:v>
      </x:c>
      <x:c r="HG354">
        <x:f t="shared" si="458"/>
        <x:v>0</x:v>
      </x:c>
      <x:c r="HH354">
        <x:f t="shared" si="459"/>
        <x:v>0</x:v>
      </x:c>
      <x:c r="HI354">
        <x:f t="shared" si="460"/>
        <x:v>0</x:v>
      </x:c>
      <x:c r="HJ354">
        <x:f t="shared" si="461"/>
        <x:v>0</x:v>
      </x:c>
      <x:c r="HK354">
        <x:f t="shared" si="462"/>
        <x:v>0</x:v>
      </x:c>
      <x:c r="HL354">
        <x:f t="shared" si="463"/>
        <x:v>0</x:v>
      </x:c>
    </x:row>
    <x:row r="355">
      <x:c r="D355" s="74"/>
      <x:c r="EQ355">
        <x:f t="shared" si="390"/>
        <x:v>0</x:v>
      </x:c>
      <x:c r="ER355">
        <x:f t="shared" si="391"/>
        <x:v>0</x:v>
      </x:c>
      <x:c r="ES355">
        <x:f t="shared" si="392"/>
        <x:v>0</x:v>
      </x:c>
      <x:c r="ET355">
        <x:f t="shared" si="393"/>
        <x:v>0</x:v>
      </x:c>
      <x:c r="EU355">
        <x:f t="shared" si="394"/>
        <x:v>0</x:v>
      </x:c>
      <x:c r="EV355">
        <x:f t="shared" si="395"/>
        <x:v>0</x:v>
      </x:c>
      <x:c r="EW355">
        <x:f t="shared" si="396"/>
        <x:v>0</x:v>
      </x:c>
      <x:c r="EX355">
        <x:f t="shared" si="397"/>
        <x:v>0</x:v>
      </x:c>
      <x:c r="EY355">
        <x:f t="shared" si="398"/>
        <x:v>0</x:v>
      </x:c>
      <x:c r="EZ355">
        <x:f t="shared" si="399"/>
        <x:v>0</x:v>
      </x:c>
      <x:c r="FA355" s="41">
        <x:f t="shared" si="400"/>
        <x:v>0</x:v>
      </x:c>
      <x:c r="FB355">
        <x:f t="shared" si="401"/>
        <x:v>0</x:v>
      </x:c>
      <x:c r="FC355">
        <x:f t="shared" si="402"/>
        <x:v>0</x:v>
      </x:c>
      <x:c r="FD355">
        <x:f t="shared" si="403"/>
        <x:v>0</x:v>
      </x:c>
      <x:c r="FE355">
        <x:f t="shared" si="404"/>
        <x:v>0</x:v>
      </x:c>
      <x:c r="FF355">
        <x:f t="shared" si="405"/>
        <x:v>0</x:v>
      </x:c>
      <x:c r="FG355">
        <x:f t="shared" si="406"/>
        <x:v>0</x:v>
      </x:c>
      <x:c r="FH355">
        <x:f t="shared" si="407"/>
        <x:v>0</x:v>
      </x:c>
      <x:c r="FI355">
        <x:f t="shared" si="408"/>
        <x:v>0</x:v>
      </x:c>
      <x:c r="FJ355">
        <x:f t="shared" si="409"/>
        <x:v>0</x:v>
      </x:c>
      <x:c r="FK355">
        <x:f t="shared" si="410"/>
        <x:v>0</x:v>
      </x:c>
      <x:c r="FL355" s="41">
        <x:f t="shared" si="411"/>
        <x:v>0</x:v>
      </x:c>
      <x:c r="FM355">
        <x:f t="shared" si="412"/>
        <x:v>0</x:v>
      </x:c>
      <x:c r="FN355">
        <x:f t="shared" si="413"/>
        <x:v>0</x:v>
      </x:c>
      <x:c r="FO355">
        <x:f t="shared" si="414"/>
        <x:v>0</x:v>
      </x:c>
      <x:c r="FP355">
        <x:f t="shared" si="415"/>
        <x:v>0</x:v>
      </x:c>
      <x:c r="FQ355">
        <x:f t="shared" si="416"/>
        <x:v>0</x:v>
      </x:c>
      <x:c r="FR355">
        <x:f t="shared" si="417"/>
        <x:v>0</x:v>
      </x:c>
      <x:c r="FS355">
        <x:f t="shared" si="418"/>
        <x:v>0</x:v>
      </x:c>
      <x:c r="FT355">
        <x:f t="shared" si="419"/>
        <x:v>0</x:v>
      </x:c>
      <x:c r="FU355">
        <x:f t="shared" si="420"/>
        <x:v>0</x:v>
      </x:c>
      <x:c r="FV355">
        <x:f t="shared" si="421"/>
        <x:v>0</x:v>
      </x:c>
      <x:c r="FW355" s="41">
        <x:f t="shared" si="422"/>
        <x:v>0</x:v>
      </x:c>
      <x:c r="FX355">
        <x:f t="shared" si="423"/>
        <x:v>0</x:v>
      </x:c>
      <x:c r="FY355">
        <x:f t="shared" si="424"/>
        <x:v>0</x:v>
      </x:c>
      <x:c r="FZ355">
        <x:f t="shared" si="425"/>
        <x:v>0</x:v>
      </x:c>
      <x:c r="GA355">
        <x:f t="shared" si="426"/>
        <x:v>0</x:v>
      </x:c>
      <x:c r="GB355">
        <x:f t="shared" si="427"/>
        <x:v>0</x:v>
      </x:c>
      <x:c r="GC355">
        <x:f t="shared" si="428"/>
        <x:v>0</x:v>
      </x:c>
      <x:c r="GD355">
        <x:f t="shared" si="429"/>
        <x:v>0</x:v>
      </x:c>
      <x:c r="GE355">
        <x:f t="shared" si="430"/>
        <x:v>0</x:v>
      </x:c>
      <x:c r="GF355">
        <x:f t="shared" si="431"/>
        <x:v>0</x:v>
      </x:c>
      <x:c r="GG355">
        <x:f t="shared" si="432"/>
        <x:v>0</x:v>
      </x:c>
      <x:c r="GH355">
        <x:f t="shared" si="433"/>
        <x:v>0</x:v>
      </x:c>
      <x:c r="GI355">
        <x:f t="shared" si="434"/>
        <x:v>0</x:v>
      </x:c>
      <x:c r="GJ355">
        <x:f t="shared" si="435"/>
        <x:v>0</x:v>
      </x:c>
      <x:c r="GK355">
        <x:f t="shared" si="436"/>
        <x:v>0</x:v>
      </x:c>
      <x:c r="GL355">
        <x:f t="shared" si="437"/>
        <x:v>0</x:v>
      </x:c>
      <x:c r="GM355">
        <x:f t="shared" si="438"/>
        <x:v>0</x:v>
      </x:c>
      <x:c r="GN355">
        <x:f t="shared" si="439"/>
        <x:v>0</x:v>
      </x:c>
      <x:c r="GO355">
        <x:f t="shared" si="440"/>
        <x:v>0</x:v>
      </x:c>
      <x:c r="GP355">
        <x:f t="shared" si="441"/>
        <x:v>0</x:v>
      </x:c>
      <x:c r="GQ355">
        <x:f t="shared" si="442"/>
        <x:v>0</x:v>
      </x:c>
      <x:c r="GR355" s="42">
        <x:f t="shared" si="443"/>
        <x:v>0</x:v>
      </x:c>
      <x:c r="GS355">
        <x:f t="shared" si="444"/>
        <x:v>0</x:v>
      </x:c>
      <x:c r="GT355">
        <x:f t="shared" si="445"/>
        <x:v>0</x:v>
      </x:c>
      <x:c r="GU355">
        <x:f t="shared" si="446"/>
        <x:v>0</x:v>
      </x:c>
      <x:c r="GV355">
        <x:f t="shared" si="447"/>
        <x:v>0</x:v>
      </x:c>
      <x:c r="GW355">
        <x:f t="shared" si="448"/>
        <x:v>0</x:v>
      </x:c>
      <x:c r="GX355">
        <x:f t="shared" si="449"/>
        <x:v>0</x:v>
      </x:c>
      <x:c r="GY355">
        <x:f t="shared" si="450"/>
        <x:v>0</x:v>
      </x:c>
      <x:c r="GZ355">
        <x:f t="shared" si="451"/>
        <x:v>0</x:v>
      </x:c>
      <x:c r="HA355">
        <x:f t="shared" si="452"/>
        <x:v>0</x:v>
      </x:c>
      <x:c r="HB355" s="42">
        <x:f t="shared" si="453"/>
        <x:v>0</x:v>
      </x:c>
      <x:c r="HC355">
        <x:f t="shared" si="454"/>
        <x:v>0</x:v>
      </x:c>
      <x:c r="HD355">
        <x:f t="shared" si="455"/>
        <x:v>0</x:v>
      </x:c>
      <x:c r="HE355">
        <x:f t="shared" si="456"/>
        <x:v>0</x:v>
      </x:c>
      <x:c r="HF355">
        <x:f t="shared" si="457"/>
        <x:v>0</x:v>
      </x:c>
      <x:c r="HG355">
        <x:f t="shared" si="458"/>
        <x:v>0</x:v>
      </x:c>
      <x:c r="HH355">
        <x:f t="shared" si="459"/>
        <x:v>0</x:v>
      </x:c>
      <x:c r="HI355">
        <x:f t="shared" si="460"/>
        <x:v>0</x:v>
      </x:c>
      <x:c r="HJ355">
        <x:f t="shared" si="461"/>
        <x:v>0</x:v>
      </x:c>
      <x:c r="HK355">
        <x:f t="shared" si="462"/>
        <x:v>0</x:v>
      </x:c>
      <x:c r="HL355">
        <x:f t="shared" si="463"/>
        <x:v>0</x:v>
      </x:c>
    </x:row>
    <x:row r="356">
      <x:c r="D356" s="74"/>
      <x:c r="EQ356">
        <x:f t="shared" si="390"/>
        <x:v>0</x:v>
      </x:c>
      <x:c r="ER356">
        <x:f t="shared" si="391"/>
        <x:v>0</x:v>
      </x:c>
      <x:c r="ES356">
        <x:f t="shared" si="392"/>
        <x:v>0</x:v>
      </x:c>
      <x:c r="ET356">
        <x:f t="shared" si="393"/>
        <x:v>0</x:v>
      </x:c>
      <x:c r="EU356">
        <x:f t="shared" si="394"/>
        <x:v>0</x:v>
      </x:c>
      <x:c r="EV356">
        <x:f t="shared" si="395"/>
        <x:v>0</x:v>
      </x:c>
      <x:c r="EW356">
        <x:f t="shared" si="396"/>
        <x:v>0</x:v>
      </x:c>
      <x:c r="EX356">
        <x:f t="shared" si="397"/>
        <x:v>0</x:v>
      </x:c>
      <x:c r="EY356">
        <x:f t="shared" si="398"/>
        <x:v>0</x:v>
      </x:c>
      <x:c r="EZ356">
        <x:f t="shared" si="399"/>
        <x:v>0</x:v>
      </x:c>
      <x:c r="FA356" s="41">
        <x:f t="shared" si="400"/>
        <x:v>0</x:v>
      </x:c>
      <x:c r="FB356">
        <x:f t="shared" si="401"/>
        <x:v>0</x:v>
      </x:c>
      <x:c r="FC356">
        <x:f t="shared" si="402"/>
        <x:v>0</x:v>
      </x:c>
      <x:c r="FD356">
        <x:f t="shared" si="403"/>
        <x:v>0</x:v>
      </x:c>
      <x:c r="FE356">
        <x:f t="shared" si="404"/>
        <x:v>0</x:v>
      </x:c>
      <x:c r="FF356">
        <x:f t="shared" si="405"/>
        <x:v>0</x:v>
      </x:c>
      <x:c r="FG356">
        <x:f t="shared" si="406"/>
        <x:v>0</x:v>
      </x:c>
      <x:c r="FH356">
        <x:f t="shared" si="407"/>
        <x:v>0</x:v>
      </x:c>
      <x:c r="FI356">
        <x:f t="shared" si="408"/>
        <x:v>0</x:v>
      </x:c>
      <x:c r="FJ356">
        <x:f t="shared" si="409"/>
        <x:v>0</x:v>
      </x:c>
      <x:c r="FK356">
        <x:f t="shared" si="410"/>
        <x:v>0</x:v>
      </x:c>
      <x:c r="FL356" s="41">
        <x:f t="shared" si="411"/>
        <x:v>0</x:v>
      </x:c>
      <x:c r="FM356">
        <x:f t="shared" si="412"/>
        <x:v>0</x:v>
      </x:c>
      <x:c r="FN356">
        <x:f t="shared" si="413"/>
        <x:v>0</x:v>
      </x:c>
      <x:c r="FO356">
        <x:f t="shared" si="414"/>
        <x:v>0</x:v>
      </x:c>
      <x:c r="FP356">
        <x:f t="shared" si="415"/>
        <x:v>0</x:v>
      </x:c>
      <x:c r="FQ356">
        <x:f t="shared" si="416"/>
        <x:v>0</x:v>
      </x:c>
      <x:c r="FR356">
        <x:f t="shared" si="417"/>
        <x:v>0</x:v>
      </x:c>
      <x:c r="FS356">
        <x:f t="shared" si="418"/>
        <x:v>0</x:v>
      </x:c>
      <x:c r="FT356">
        <x:f t="shared" si="419"/>
        <x:v>0</x:v>
      </x:c>
      <x:c r="FU356">
        <x:f t="shared" si="420"/>
        <x:v>0</x:v>
      </x:c>
      <x:c r="FV356">
        <x:f t="shared" si="421"/>
        <x:v>0</x:v>
      </x:c>
      <x:c r="FW356" s="41">
        <x:f t="shared" si="422"/>
        <x:v>0</x:v>
      </x:c>
      <x:c r="FX356">
        <x:f t="shared" si="423"/>
        <x:v>0</x:v>
      </x:c>
      <x:c r="FY356">
        <x:f t="shared" si="424"/>
        <x:v>0</x:v>
      </x:c>
      <x:c r="FZ356">
        <x:f t="shared" si="425"/>
        <x:v>0</x:v>
      </x:c>
      <x:c r="GA356">
        <x:f t="shared" si="426"/>
        <x:v>0</x:v>
      </x:c>
      <x:c r="GB356">
        <x:f t="shared" si="427"/>
        <x:v>0</x:v>
      </x:c>
      <x:c r="GC356">
        <x:f t="shared" si="428"/>
        <x:v>0</x:v>
      </x:c>
      <x:c r="GD356">
        <x:f t="shared" si="429"/>
        <x:v>0</x:v>
      </x:c>
      <x:c r="GE356">
        <x:f t="shared" si="430"/>
        <x:v>0</x:v>
      </x:c>
      <x:c r="GF356">
        <x:f t="shared" si="431"/>
        <x:v>0</x:v>
      </x:c>
      <x:c r="GG356">
        <x:f t="shared" si="432"/>
        <x:v>0</x:v>
      </x:c>
      <x:c r="GH356">
        <x:f t="shared" si="433"/>
        <x:v>0</x:v>
      </x:c>
      <x:c r="GI356">
        <x:f t="shared" si="434"/>
        <x:v>0</x:v>
      </x:c>
      <x:c r="GJ356">
        <x:f t="shared" si="435"/>
        <x:v>0</x:v>
      </x:c>
      <x:c r="GK356">
        <x:f t="shared" si="436"/>
        <x:v>0</x:v>
      </x:c>
      <x:c r="GL356">
        <x:f t="shared" si="437"/>
        <x:v>0</x:v>
      </x:c>
      <x:c r="GM356">
        <x:f t="shared" si="438"/>
        <x:v>0</x:v>
      </x:c>
      <x:c r="GN356">
        <x:f t="shared" si="439"/>
        <x:v>0</x:v>
      </x:c>
      <x:c r="GO356">
        <x:f t="shared" si="440"/>
        <x:v>0</x:v>
      </x:c>
      <x:c r="GP356">
        <x:f t="shared" si="441"/>
        <x:v>0</x:v>
      </x:c>
      <x:c r="GQ356">
        <x:f t="shared" si="442"/>
        <x:v>0</x:v>
      </x:c>
      <x:c r="GR356" s="42">
        <x:f t="shared" si="443"/>
        <x:v>0</x:v>
      </x:c>
      <x:c r="GS356">
        <x:f t="shared" si="444"/>
        <x:v>0</x:v>
      </x:c>
      <x:c r="GT356">
        <x:f t="shared" si="445"/>
        <x:v>0</x:v>
      </x:c>
      <x:c r="GU356">
        <x:f t="shared" si="446"/>
        <x:v>0</x:v>
      </x:c>
      <x:c r="GV356">
        <x:f t="shared" si="447"/>
        <x:v>0</x:v>
      </x:c>
      <x:c r="GW356">
        <x:f t="shared" si="448"/>
        <x:v>0</x:v>
      </x:c>
      <x:c r="GX356">
        <x:f t="shared" si="449"/>
        <x:v>0</x:v>
      </x:c>
      <x:c r="GY356">
        <x:f t="shared" si="450"/>
        <x:v>0</x:v>
      </x:c>
      <x:c r="GZ356">
        <x:f t="shared" si="451"/>
        <x:v>0</x:v>
      </x:c>
      <x:c r="HA356">
        <x:f t="shared" si="452"/>
        <x:v>0</x:v>
      </x:c>
      <x:c r="HB356" s="42">
        <x:f t="shared" si="453"/>
        <x:v>0</x:v>
      </x:c>
      <x:c r="HC356">
        <x:f t="shared" si="454"/>
        <x:v>0</x:v>
      </x:c>
      <x:c r="HD356">
        <x:f t="shared" si="455"/>
        <x:v>0</x:v>
      </x:c>
      <x:c r="HE356">
        <x:f t="shared" si="456"/>
        <x:v>0</x:v>
      </x:c>
      <x:c r="HF356">
        <x:f t="shared" si="457"/>
        <x:v>0</x:v>
      </x:c>
      <x:c r="HG356">
        <x:f t="shared" si="458"/>
        <x:v>0</x:v>
      </x:c>
      <x:c r="HH356">
        <x:f t="shared" si="459"/>
        <x:v>0</x:v>
      </x:c>
      <x:c r="HI356">
        <x:f t="shared" si="460"/>
        <x:v>0</x:v>
      </x:c>
      <x:c r="HJ356">
        <x:f t="shared" si="461"/>
        <x:v>0</x:v>
      </x:c>
      <x:c r="HK356">
        <x:f t="shared" si="462"/>
        <x:v>0</x:v>
      </x:c>
      <x:c r="HL356">
        <x:f t="shared" si="463"/>
        <x:v>0</x:v>
      </x:c>
    </x:row>
    <x:row r="357">
      <x:c r="D357" s="74"/>
      <x:c r="EQ357">
        <x:f t="shared" si="390"/>
        <x:v>0</x:v>
      </x:c>
      <x:c r="ER357">
        <x:f t="shared" si="391"/>
        <x:v>0</x:v>
      </x:c>
      <x:c r="ES357">
        <x:f t="shared" si="392"/>
        <x:v>0</x:v>
      </x:c>
      <x:c r="ET357">
        <x:f t="shared" si="393"/>
        <x:v>0</x:v>
      </x:c>
      <x:c r="EU357">
        <x:f t="shared" si="394"/>
        <x:v>0</x:v>
      </x:c>
      <x:c r="EV357">
        <x:f t="shared" si="395"/>
        <x:v>0</x:v>
      </x:c>
      <x:c r="EW357">
        <x:f t="shared" si="396"/>
        <x:v>0</x:v>
      </x:c>
      <x:c r="EX357">
        <x:f t="shared" si="397"/>
        <x:v>0</x:v>
      </x:c>
      <x:c r="EY357">
        <x:f t="shared" si="398"/>
        <x:v>0</x:v>
      </x:c>
      <x:c r="EZ357">
        <x:f t="shared" si="399"/>
        <x:v>0</x:v>
      </x:c>
      <x:c r="FA357" s="41">
        <x:f t="shared" si="400"/>
        <x:v>0</x:v>
      </x:c>
      <x:c r="FB357">
        <x:f t="shared" si="401"/>
        <x:v>0</x:v>
      </x:c>
      <x:c r="FC357">
        <x:f t="shared" si="402"/>
        <x:v>0</x:v>
      </x:c>
      <x:c r="FD357">
        <x:f t="shared" si="403"/>
        <x:v>0</x:v>
      </x:c>
      <x:c r="FE357">
        <x:f t="shared" si="404"/>
        <x:v>0</x:v>
      </x:c>
      <x:c r="FF357">
        <x:f t="shared" si="405"/>
        <x:v>0</x:v>
      </x:c>
      <x:c r="FG357">
        <x:f t="shared" si="406"/>
        <x:v>0</x:v>
      </x:c>
      <x:c r="FH357">
        <x:f t="shared" si="407"/>
        <x:v>0</x:v>
      </x:c>
      <x:c r="FI357">
        <x:f t="shared" si="408"/>
        <x:v>0</x:v>
      </x:c>
      <x:c r="FJ357">
        <x:f t="shared" si="409"/>
        <x:v>0</x:v>
      </x:c>
      <x:c r="FK357">
        <x:f t="shared" si="410"/>
        <x:v>0</x:v>
      </x:c>
      <x:c r="FL357" s="41">
        <x:f t="shared" si="411"/>
        <x:v>0</x:v>
      </x:c>
      <x:c r="FM357">
        <x:f t="shared" si="412"/>
        <x:v>0</x:v>
      </x:c>
      <x:c r="FN357">
        <x:f t="shared" si="413"/>
        <x:v>0</x:v>
      </x:c>
      <x:c r="FO357">
        <x:f t="shared" si="414"/>
        <x:v>0</x:v>
      </x:c>
      <x:c r="FP357">
        <x:f t="shared" si="415"/>
        <x:v>0</x:v>
      </x:c>
      <x:c r="FQ357">
        <x:f t="shared" si="416"/>
        <x:v>0</x:v>
      </x:c>
      <x:c r="FR357">
        <x:f t="shared" si="417"/>
        <x:v>0</x:v>
      </x:c>
      <x:c r="FS357">
        <x:f t="shared" si="418"/>
        <x:v>0</x:v>
      </x:c>
      <x:c r="FT357">
        <x:f t="shared" si="419"/>
        <x:v>0</x:v>
      </x:c>
      <x:c r="FU357">
        <x:f t="shared" si="420"/>
        <x:v>0</x:v>
      </x:c>
      <x:c r="FV357">
        <x:f t="shared" si="421"/>
        <x:v>0</x:v>
      </x:c>
      <x:c r="FW357" s="41">
        <x:f t="shared" si="422"/>
        <x:v>0</x:v>
      </x:c>
      <x:c r="FX357">
        <x:f t="shared" si="423"/>
        <x:v>0</x:v>
      </x:c>
      <x:c r="FY357">
        <x:f t="shared" si="424"/>
        <x:v>0</x:v>
      </x:c>
      <x:c r="FZ357">
        <x:f t="shared" si="425"/>
        <x:v>0</x:v>
      </x:c>
      <x:c r="GA357">
        <x:f t="shared" si="426"/>
        <x:v>0</x:v>
      </x:c>
      <x:c r="GB357">
        <x:f t="shared" si="427"/>
        <x:v>0</x:v>
      </x:c>
      <x:c r="GC357">
        <x:f t="shared" si="428"/>
        <x:v>0</x:v>
      </x:c>
      <x:c r="GD357">
        <x:f t="shared" si="429"/>
        <x:v>0</x:v>
      </x:c>
      <x:c r="GE357">
        <x:f t="shared" si="430"/>
        <x:v>0</x:v>
      </x:c>
      <x:c r="GF357">
        <x:f t="shared" si="431"/>
        <x:v>0</x:v>
      </x:c>
      <x:c r="GG357">
        <x:f t="shared" si="432"/>
        <x:v>0</x:v>
      </x:c>
      <x:c r="GH357">
        <x:f t="shared" si="433"/>
        <x:v>0</x:v>
      </x:c>
      <x:c r="GI357">
        <x:f t="shared" si="434"/>
        <x:v>0</x:v>
      </x:c>
      <x:c r="GJ357">
        <x:f t="shared" si="435"/>
        <x:v>0</x:v>
      </x:c>
      <x:c r="GK357">
        <x:f t="shared" si="436"/>
        <x:v>0</x:v>
      </x:c>
      <x:c r="GL357">
        <x:f t="shared" si="437"/>
        <x:v>0</x:v>
      </x:c>
      <x:c r="GM357">
        <x:f t="shared" si="438"/>
        <x:v>0</x:v>
      </x:c>
      <x:c r="GN357">
        <x:f t="shared" si="439"/>
        <x:v>0</x:v>
      </x:c>
      <x:c r="GO357">
        <x:f t="shared" si="440"/>
        <x:v>0</x:v>
      </x:c>
      <x:c r="GP357">
        <x:f t="shared" si="441"/>
        <x:v>0</x:v>
      </x:c>
      <x:c r="GQ357">
        <x:f t="shared" si="442"/>
        <x:v>0</x:v>
      </x:c>
      <x:c r="GR357" s="42">
        <x:f t="shared" si="443"/>
        <x:v>0</x:v>
      </x:c>
      <x:c r="GS357">
        <x:f t="shared" si="444"/>
        <x:v>0</x:v>
      </x:c>
      <x:c r="GT357">
        <x:f t="shared" si="445"/>
        <x:v>0</x:v>
      </x:c>
      <x:c r="GU357">
        <x:f t="shared" si="446"/>
        <x:v>0</x:v>
      </x:c>
      <x:c r="GV357">
        <x:f t="shared" si="447"/>
        <x:v>0</x:v>
      </x:c>
      <x:c r="GW357">
        <x:f t="shared" si="448"/>
        <x:v>0</x:v>
      </x:c>
      <x:c r="GX357">
        <x:f t="shared" si="449"/>
        <x:v>0</x:v>
      </x:c>
      <x:c r="GY357">
        <x:f t="shared" si="450"/>
        <x:v>0</x:v>
      </x:c>
      <x:c r="GZ357">
        <x:f t="shared" si="451"/>
        <x:v>0</x:v>
      </x:c>
      <x:c r="HA357">
        <x:f t="shared" si="452"/>
        <x:v>0</x:v>
      </x:c>
      <x:c r="HB357" s="42">
        <x:f t="shared" si="453"/>
        <x:v>0</x:v>
      </x:c>
      <x:c r="HC357">
        <x:f t="shared" si="454"/>
        <x:v>0</x:v>
      </x:c>
      <x:c r="HD357">
        <x:f t="shared" si="455"/>
        <x:v>0</x:v>
      </x:c>
      <x:c r="HE357">
        <x:f t="shared" si="456"/>
        <x:v>0</x:v>
      </x:c>
      <x:c r="HF357">
        <x:f t="shared" si="457"/>
        <x:v>0</x:v>
      </x:c>
      <x:c r="HG357">
        <x:f t="shared" si="458"/>
        <x:v>0</x:v>
      </x:c>
      <x:c r="HH357">
        <x:f t="shared" si="459"/>
        <x:v>0</x:v>
      </x:c>
      <x:c r="HI357">
        <x:f t="shared" si="460"/>
        <x:v>0</x:v>
      </x:c>
      <x:c r="HJ357">
        <x:f t="shared" si="461"/>
        <x:v>0</x:v>
      </x:c>
      <x:c r="HK357">
        <x:f t="shared" si="462"/>
        <x:v>0</x:v>
      </x:c>
      <x:c r="HL357">
        <x:f t="shared" si="463"/>
        <x:v>0</x:v>
      </x:c>
    </x:row>
    <x:row r="358">
      <x:c r="D358" s="74"/>
      <x:c r="EQ358">
        <x:f t="shared" si="390"/>
        <x:v>0</x:v>
      </x:c>
      <x:c r="ER358">
        <x:f t="shared" si="391"/>
        <x:v>0</x:v>
      </x:c>
      <x:c r="ES358">
        <x:f t="shared" si="392"/>
        <x:v>0</x:v>
      </x:c>
      <x:c r="ET358">
        <x:f t="shared" si="393"/>
        <x:v>0</x:v>
      </x:c>
      <x:c r="EU358">
        <x:f t="shared" si="394"/>
        <x:v>0</x:v>
      </x:c>
      <x:c r="EV358">
        <x:f t="shared" si="395"/>
        <x:v>0</x:v>
      </x:c>
      <x:c r="EW358">
        <x:f t="shared" si="396"/>
        <x:v>0</x:v>
      </x:c>
      <x:c r="EX358">
        <x:f t="shared" si="397"/>
        <x:v>0</x:v>
      </x:c>
      <x:c r="EY358">
        <x:f t="shared" si="398"/>
        <x:v>0</x:v>
      </x:c>
      <x:c r="EZ358">
        <x:f t="shared" si="399"/>
        <x:v>0</x:v>
      </x:c>
      <x:c r="FA358" s="41">
        <x:f t="shared" si="400"/>
        <x:v>0</x:v>
      </x:c>
      <x:c r="FB358">
        <x:f t="shared" si="401"/>
        <x:v>0</x:v>
      </x:c>
      <x:c r="FC358">
        <x:f t="shared" si="402"/>
        <x:v>0</x:v>
      </x:c>
      <x:c r="FD358">
        <x:f t="shared" si="403"/>
        <x:v>0</x:v>
      </x:c>
      <x:c r="FE358">
        <x:f t="shared" si="404"/>
        <x:v>0</x:v>
      </x:c>
      <x:c r="FF358">
        <x:f t="shared" si="405"/>
        <x:v>0</x:v>
      </x:c>
      <x:c r="FG358">
        <x:f t="shared" si="406"/>
        <x:v>0</x:v>
      </x:c>
      <x:c r="FH358">
        <x:f t="shared" si="407"/>
        <x:v>0</x:v>
      </x:c>
      <x:c r="FI358">
        <x:f t="shared" si="408"/>
        <x:v>0</x:v>
      </x:c>
      <x:c r="FJ358">
        <x:f t="shared" si="409"/>
        <x:v>0</x:v>
      </x:c>
      <x:c r="FK358">
        <x:f t="shared" si="410"/>
        <x:v>0</x:v>
      </x:c>
      <x:c r="FL358" s="41">
        <x:f t="shared" si="411"/>
        <x:v>0</x:v>
      </x:c>
      <x:c r="FM358">
        <x:f t="shared" si="412"/>
        <x:v>0</x:v>
      </x:c>
      <x:c r="FN358">
        <x:f t="shared" si="413"/>
        <x:v>0</x:v>
      </x:c>
      <x:c r="FO358">
        <x:f t="shared" si="414"/>
        <x:v>0</x:v>
      </x:c>
      <x:c r="FP358">
        <x:f t="shared" si="415"/>
        <x:v>0</x:v>
      </x:c>
      <x:c r="FQ358">
        <x:f t="shared" si="416"/>
        <x:v>0</x:v>
      </x:c>
      <x:c r="FR358">
        <x:f t="shared" si="417"/>
        <x:v>0</x:v>
      </x:c>
      <x:c r="FS358">
        <x:f t="shared" si="418"/>
        <x:v>0</x:v>
      </x:c>
      <x:c r="FT358">
        <x:f t="shared" si="419"/>
        <x:v>0</x:v>
      </x:c>
      <x:c r="FU358">
        <x:f t="shared" si="420"/>
        <x:v>0</x:v>
      </x:c>
      <x:c r="FV358">
        <x:f t="shared" si="421"/>
        <x:v>0</x:v>
      </x:c>
      <x:c r="FW358" s="41">
        <x:f t="shared" si="422"/>
        <x:v>0</x:v>
      </x:c>
      <x:c r="FX358">
        <x:f t="shared" si="423"/>
        <x:v>0</x:v>
      </x:c>
      <x:c r="FY358">
        <x:f t="shared" si="424"/>
        <x:v>0</x:v>
      </x:c>
      <x:c r="FZ358">
        <x:f t="shared" si="425"/>
        <x:v>0</x:v>
      </x:c>
      <x:c r="GA358">
        <x:f t="shared" si="426"/>
        <x:v>0</x:v>
      </x:c>
      <x:c r="GB358">
        <x:f t="shared" si="427"/>
        <x:v>0</x:v>
      </x:c>
      <x:c r="GC358">
        <x:f t="shared" si="428"/>
        <x:v>0</x:v>
      </x:c>
      <x:c r="GD358">
        <x:f t="shared" si="429"/>
        <x:v>0</x:v>
      </x:c>
      <x:c r="GE358">
        <x:f t="shared" si="430"/>
        <x:v>0</x:v>
      </x:c>
      <x:c r="GF358">
        <x:f t="shared" si="431"/>
        <x:v>0</x:v>
      </x:c>
      <x:c r="GG358">
        <x:f t="shared" si="432"/>
        <x:v>0</x:v>
      </x:c>
      <x:c r="GH358">
        <x:f t="shared" si="433"/>
        <x:v>0</x:v>
      </x:c>
      <x:c r="GI358">
        <x:f t="shared" si="434"/>
        <x:v>0</x:v>
      </x:c>
      <x:c r="GJ358">
        <x:f t="shared" si="435"/>
        <x:v>0</x:v>
      </x:c>
      <x:c r="GK358">
        <x:f t="shared" si="436"/>
        <x:v>0</x:v>
      </x:c>
      <x:c r="GL358">
        <x:f t="shared" si="437"/>
        <x:v>0</x:v>
      </x:c>
      <x:c r="GM358">
        <x:f t="shared" si="438"/>
        <x:v>0</x:v>
      </x:c>
      <x:c r="GN358">
        <x:f t="shared" si="439"/>
        <x:v>0</x:v>
      </x:c>
      <x:c r="GO358">
        <x:f t="shared" si="440"/>
        <x:v>0</x:v>
      </x:c>
      <x:c r="GP358">
        <x:f t="shared" si="441"/>
        <x:v>0</x:v>
      </x:c>
      <x:c r="GQ358">
        <x:f t="shared" si="442"/>
        <x:v>0</x:v>
      </x:c>
      <x:c r="GR358" s="42">
        <x:f t="shared" si="443"/>
        <x:v>0</x:v>
      </x:c>
      <x:c r="GS358">
        <x:f t="shared" si="444"/>
        <x:v>0</x:v>
      </x:c>
      <x:c r="GT358">
        <x:f t="shared" si="445"/>
        <x:v>0</x:v>
      </x:c>
      <x:c r="GU358">
        <x:f t="shared" si="446"/>
        <x:v>0</x:v>
      </x:c>
      <x:c r="GV358">
        <x:f t="shared" si="447"/>
        <x:v>0</x:v>
      </x:c>
      <x:c r="GW358">
        <x:f t="shared" si="448"/>
        <x:v>0</x:v>
      </x:c>
      <x:c r="GX358">
        <x:f t="shared" si="449"/>
        <x:v>0</x:v>
      </x:c>
      <x:c r="GY358">
        <x:f t="shared" si="450"/>
        <x:v>0</x:v>
      </x:c>
      <x:c r="GZ358">
        <x:f t="shared" si="451"/>
        <x:v>0</x:v>
      </x:c>
      <x:c r="HA358">
        <x:f t="shared" si="452"/>
        <x:v>0</x:v>
      </x:c>
      <x:c r="HB358" s="42">
        <x:f t="shared" si="453"/>
        <x:v>0</x:v>
      </x:c>
      <x:c r="HC358">
        <x:f t="shared" si="454"/>
        <x:v>0</x:v>
      </x:c>
      <x:c r="HD358">
        <x:f t="shared" si="455"/>
        <x:v>0</x:v>
      </x:c>
      <x:c r="HE358">
        <x:f t="shared" si="456"/>
        <x:v>0</x:v>
      </x:c>
      <x:c r="HF358">
        <x:f t="shared" si="457"/>
        <x:v>0</x:v>
      </x:c>
      <x:c r="HG358">
        <x:f t="shared" si="458"/>
        <x:v>0</x:v>
      </x:c>
      <x:c r="HH358">
        <x:f t="shared" si="459"/>
        <x:v>0</x:v>
      </x:c>
      <x:c r="HI358">
        <x:f t="shared" si="460"/>
        <x:v>0</x:v>
      </x:c>
      <x:c r="HJ358">
        <x:f t="shared" si="461"/>
        <x:v>0</x:v>
      </x:c>
      <x:c r="HK358">
        <x:f t="shared" si="462"/>
        <x:v>0</x:v>
      </x:c>
      <x:c r="HL358">
        <x:f t="shared" si="463"/>
        <x:v>0</x:v>
      </x:c>
    </x:row>
    <x:row r="359">
      <x:c r="D359" s="74"/>
      <x:c r="EQ359">
        <x:f t="shared" si="390"/>
        <x:v>0</x:v>
      </x:c>
      <x:c r="ER359">
        <x:f t="shared" si="391"/>
        <x:v>0</x:v>
      </x:c>
      <x:c r="ES359">
        <x:f t="shared" si="392"/>
        <x:v>0</x:v>
      </x:c>
      <x:c r="ET359">
        <x:f t="shared" si="393"/>
        <x:v>0</x:v>
      </x:c>
      <x:c r="EU359">
        <x:f t="shared" si="394"/>
        <x:v>0</x:v>
      </x:c>
      <x:c r="EV359">
        <x:f t="shared" si="395"/>
        <x:v>0</x:v>
      </x:c>
      <x:c r="EW359">
        <x:f t="shared" si="396"/>
        <x:v>0</x:v>
      </x:c>
      <x:c r="EX359">
        <x:f t="shared" si="397"/>
        <x:v>0</x:v>
      </x:c>
      <x:c r="EY359">
        <x:f t="shared" si="398"/>
        <x:v>0</x:v>
      </x:c>
      <x:c r="EZ359">
        <x:f t="shared" si="399"/>
        <x:v>0</x:v>
      </x:c>
      <x:c r="FA359" s="41">
        <x:f t="shared" si="400"/>
        <x:v>0</x:v>
      </x:c>
      <x:c r="FB359">
        <x:f t="shared" si="401"/>
        <x:v>0</x:v>
      </x:c>
      <x:c r="FC359">
        <x:f t="shared" si="402"/>
        <x:v>0</x:v>
      </x:c>
      <x:c r="FD359">
        <x:f t="shared" si="403"/>
        <x:v>0</x:v>
      </x:c>
      <x:c r="FE359">
        <x:f t="shared" si="404"/>
        <x:v>0</x:v>
      </x:c>
      <x:c r="FF359">
        <x:f t="shared" si="405"/>
        <x:v>0</x:v>
      </x:c>
      <x:c r="FG359">
        <x:f t="shared" si="406"/>
        <x:v>0</x:v>
      </x:c>
      <x:c r="FH359">
        <x:f t="shared" si="407"/>
        <x:v>0</x:v>
      </x:c>
      <x:c r="FI359">
        <x:f t="shared" si="408"/>
        <x:v>0</x:v>
      </x:c>
      <x:c r="FJ359">
        <x:f t="shared" si="409"/>
        <x:v>0</x:v>
      </x:c>
      <x:c r="FK359">
        <x:f t="shared" si="410"/>
        <x:v>0</x:v>
      </x:c>
      <x:c r="FL359" s="41">
        <x:f t="shared" si="411"/>
        <x:v>0</x:v>
      </x:c>
      <x:c r="FM359">
        <x:f t="shared" si="412"/>
        <x:v>0</x:v>
      </x:c>
      <x:c r="FN359">
        <x:f t="shared" si="413"/>
        <x:v>0</x:v>
      </x:c>
      <x:c r="FO359">
        <x:f t="shared" si="414"/>
        <x:v>0</x:v>
      </x:c>
      <x:c r="FP359">
        <x:f t="shared" si="415"/>
        <x:v>0</x:v>
      </x:c>
      <x:c r="FQ359">
        <x:f t="shared" si="416"/>
        <x:v>0</x:v>
      </x:c>
      <x:c r="FR359">
        <x:f t="shared" si="417"/>
        <x:v>0</x:v>
      </x:c>
      <x:c r="FS359">
        <x:f t="shared" si="418"/>
        <x:v>0</x:v>
      </x:c>
      <x:c r="FT359">
        <x:f t="shared" si="419"/>
        <x:v>0</x:v>
      </x:c>
      <x:c r="FU359">
        <x:f t="shared" si="420"/>
        <x:v>0</x:v>
      </x:c>
      <x:c r="FV359">
        <x:f t="shared" si="421"/>
        <x:v>0</x:v>
      </x:c>
      <x:c r="FW359" s="41">
        <x:f t="shared" si="422"/>
        <x:v>0</x:v>
      </x:c>
      <x:c r="FX359">
        <x:f t="shared" si="423"/>
        <x:v>0</x:v>
      </x:c>
      <x:c r="FY359">
        <x:f t="shared" si="424"/>
        <x:v>0</x:v>
      </x:c>
      <x:c r="FZ359">
        <x:f t="shared" si="425"/>
        <x:v>0</x:v>
      </x:c>
      <x:c r="GA359">
        <x:f t="shared" si="426"/>
        <x:v>0</x:v>
      </x:c>
      <x:c r="GB359">
        <x:f t="shared" si="427"/>
        <x:v>0</x:v>
      </x:c>
      <x:c r="GC359">
        <x:f t="shared" si="428"/>
        <x:v>0</x:v>
      </x:c>
      <x:c r="GD359">
        <x:f t="shared" si="429"/>
        <x:v>0</x:v>
      </x:c>
      <x:c r="GE359">
        <x:f t="shared" si="430"/>
        <x:v>0</x:v>
      </x:c>
      <x:c r="GF359">
        <x:f t="shared" si="431"/>
        <x:v>0</x:v>
      </x:c>
      <x:c r="GG359">
        <x:f t="shared" si="432"/>
        <x:v>0</x:v>
      </x:c>
      <x:c r="GH359">
        <x:f t="shared" si="433"/>
        <x:v>0</x:v>
      </x:c>
      <x:c r="GI359">
        <x:f t="shared" si="434"/>
        <x:v>0</x:v>
      </x:c>
      <x:c r="GJ359">
        <x:f t="shared" si="435"/>
        <x:v>0</x:v>
      </x:c>
      <x:c r="GK359">
        <x:f t="shared" si="436"/>
        <x:v>0</x:v>
      </x:c>
      <x:c r="GL359">
        <x:f t="shared" si="437"/>
        <x:v>0</x:v>
      </x:c>
      <x:c r="GM359">
        <x:f t="shared" si="438"/>
        <x:v>0</x:v>
      </x:c>
      <x:c r="GN359">
        <x:f t="shared" si="439"/>
        <x:v>0</x:v>
      </x:c>
      <x:c r="GO359">
        <x:f t="shared" si="440"/>
        <x:v>0</x:v>
      </x:c>
      <x:c r="GP359">
        <x:f t="shared" si="441"/>
        <x:v>0</x:v>
      </x:c>
      <x:c r="GQ359">
        <x:f t="shared" si="442"/>
        <x:v>0</x:v>
      </x:c>
      <x:c r="GR359" s="42">
        <x:f t="shared" si="443"/>
        <x:v>0</x:v>
      </x:c>
      <x:c r="GS359">
        <x:f t="shared" si="444"/>
        <x:v>0</x:v>
      </x:c>
      <x:c r="GT359">
        <x:f t="shared" si="445"/>
        <x:v>0</x:v>
      </x:c>
      <x:c r="GU359">
        <x:f t="shared" si="446"/>
        <x:v>0</x:v>
      </x:c>
      <x:c r="GV359">
        <x:f t="shared" si="447"/>
        <x:v>0</x:v>
      </x:c>
      <x:c r="GW359">
        <x:f t="shared" si="448"/>
        <x:v>0</x:v>
      </x:c>
      <x:c r="GX359">
        <x:f t="shared" si="449"/>
        <x:v>0</x:v>
      </x:c>
      <x:c r="GY359">
        <x:f t="shared" si="450"/>
        <x:v>0</x:v>
      </x:c>
      <x:c r="GZ359">
        <x:f t="shared" si="451"/>
        <x:v>0</x:v>
      </x:c>
      <x:c r="HA359">
        <x:f t="shared" si="452"/>
        <x:v>0</x:v>
      </x:c>
      <x:c r="HB359" s="42">
        <x:f t="shared" si="453"/>
        <x:v>0</x:v>
      </x:c>
      <x:c r="HC359">
        <x:f t="shared" si="454"/>
        <x:v>0</x:v>
      </x:c>
      <x:c r="HD359">
        <x:f t="shared" si="455"/>
        <x:v>0</x:v>
      </x:c>
      <x:c r="HE359">
        <x:f t="shared" si="456"/>
        <x:v>0</x:v>
      </x:c>
      <x:c r="HF359">
        <x:f t="shared" si="457"/>
        <x:v>0</x:v>
      </x:c>
      <x:c r="HG359">
        <x:f t="shared" si="458"/>
        <x:v>0</x:v>
      </x:c>
      <x:c r="HH359">
        <x:f t="shared" si="459"/>
        <x:v>0</x:v>
      </x:c>
      <x:c r="HI359">
        <x:f t="shared" si="460"/>
        <x:v>0</x:v>
      </x:c>
      <x:c r="HJ359">
        <x:f t="shared" si="461"/>
        <x:v>0</x:v>
      </x:c>
      <x:c r="HK359">
        <x:f t="shared" si="462"/>
        <x:v>0</x:v>
      </x:c>
      <x:c r="HL359">
        <x:f t="shared" si="463"/>
        <x:v>0</x:v>
      </x:c>
    </x:row>
    <x:row r="360">
      <x:c r="D360" s="74"/>
      <x:c r="EQ360">
        <x:f t="shared" si="390"/>
        <x:v>0</x:v>
      </x:c>
      <x:c r="ER360">
        <x:f t="shared" si="391"/>
        <x:v>0</x:v>
      </x:c>
      <x:c r="ES360">
        <x:f t="shared" si="392"/>
        <x:v>0</x:v>
      </x:c>
      <x:c r="ET360">
        <x:f t="shared" si="393"/>
        <x:v>0</x:v>
      </x:c>
      <x:c r="EU360">
        <x:f t="shared" si="394"/>
        <x:v>0</x:v>
      </x:c>
      <x:c r="EV360">
        <x:f t="shared" si="395"/>
        <x:v>0</x:v>
      </x:c>
      <x:c r="EW360">
        <x:f t="shared" si="396"/>
        <x:v>0</x:v>
      </x:c>
      <x:c r="EX360">
        <x:f t="shared" si="397"/>
        <x:v>0</x:v>
      </x:c>
      <x:c r="EY360">
        <x:f t="shared" si="398"/>
        <x:v>0</x:v>
      </x:c>
      <x:c r="EZ360">
        <x:f t="shared" si="399"/>
        <x:v>0</x:v>
      </x:c>
      <x:c r="FA360" s="41">
        <x:f t="shared" si="400"/>
        <x:v>0</x:v>
      </x:c>
      <x:c r="FB360">
        <x:f t="shared" si="401"/>
        <x:v>0</x:v>
      </x:c>
      <x:c r="FC360">
        <x:f t="shared" si="402"/>
        <x:v>0</x:v>
      </x:c>
      <x:c r="FD360">
        <x:f t="shared" si="403"/>
        <x:v>0</x:v>
      </x:c>
      <x:c r="FE360">
        <x:f t="shared" si="404"/>
        <x:v>0</x:v>
      </x:c>
      <x:c r="FF360">
        <x:f t="shared" si="405"/>
        <x:v>0</x:v>
      </x:c>
      <x:c r="FG360">
        <x:f t="shared" si="406"/>
        <x:v>0</x:v>
      </x:c>
      <x:c r="FH360">
        <x:f t="shared" si="407"/>
        <x:v>0</x:v>
      </x:c>
      <x:c r="FI360">
        <x:f t="shared" si="408"/>
        <x:v>0</x:v>
      </x:c>
      <x:c r="FJ360">
        <x:f t="shared" si="409"/>
        <x:v>0</x:v>
      </x:c>
      <x:c r="FK360">
        <x:f t="shared" si="410"/>
        <x:v>0</x:v>
      </x:c>
      <x:c r="FL360" s="41">
        <x:f t="shared" si="411"/>
        <x:v>0</x:v>
      </x:c>
      <x:c r="FM360">
        <x:f t="shared" si="412"/>
        <x:v>0</x:v>
      </x:c>
      <x:c r="FN360">
        <x:f t="shared" si="413"/>
        <x:v>0</x:v>
      </x:c>
      <x:c r="FO360">
        <x:f t="shared" si="414"/>
        <x:v>0</x:v>
      </x:c>
      <x:c r="FP360">
        <x:f t="shared" si="415"/>
        <x:v>0</x:v>
      </x:c>
      <x:c r="FQ360">
        <x:f t="shared" si="416"/>
        <x:v>0</x:v>
      </x:c>
      <x:c r="FR360">
        <x:f t="shared" si="417"/>
        <x:v>0</x:v>
      </x:c>
      <x:c r="FS360">
        <x:f t="shared" si="418"/>
        <x:v>0</x:v>
      </x:c>
      <x:c r="FT360">
        <x:f t="shared" si="419"/>
        <x:v>0</x:v>
      </x:c>
      <x:c r="FU360">
        <x:f t="shared" si="420"/>
        <x:v>0</x:v>
      </x:c>
      <x:c r="FV360">
        <x:f t="shared" si="421"/>
        <x:v>0</x:v>
      </x:c>
      <x:c r="FW360" s="41">
        <x:f t="shared" si="422"/>
        <x:v>0</x:v>
      </x:c>
      <x:c r="FX360">
        <x:f t="shared" si="423"/>
        <x:v>0</x:v>
      </x:c>
      <x:c r="FY360">
        <x:f t="shared" si="424"/>
        <x:v>0</x:v>
      </x:c>
      <x:c r="FZ360">
        <x:f t="shared" si="425"/>
        <x:v>0</x:v>
      </x:c>
      <x:c r="GA360">
        <x:f t="shared" si="426"/>
        <x:v>0</x:v>
      </x:c>
      <x:c r="GB360">
        <x:f t="shared" si="427"/>
        <x:v>0</x:v>
      </x:c>
      <x:c r="GC360">
        <x:f t="shared" si="428"/>
        <x:v>0</x:v>
      </x:c>
      <x:c r="GD360">
        <x:f t="shared" si="429"/>
        <x:v>0</x:v>
      </x:c>
      <x:c r="GE360">
        <x:f t="shared" si="430"/>
        <x:v>0</x:v>
      </x:c>
      <x:c r="GF360">
        <x:f t="shared" si="431"/>
        <x:v>0</x:v>
      </x:c>
      <x:c r="GG360">
        <x:f t="shared" si="432"/>
        <x:v>0</x:v>
      </x:c>
      <x:c r="GH360">
        <x:f t="shared" si="433"/>
        <x:v>0</x:v>
      </x:c>
      <x:c r="GI360">
        <x:f t="shared" si="434"/>
        <x:v>0</x:v>
      </x:c>
      <x:c r="GJ360">
        <x:f t="shared" si="435"/>
        <x:v>0</x:v>
      </x:c>
      <x:c r="GK360">
        <x:f t="shared" si="436"/>
        <x:v>0</x:v>
      </x:c>
      <x:c r="GL360">
        <x:f t="shared" si="437"/>
        <x:v>0</x:v>
      </x:c>
      <x:c r="GM360">
        <x:f t="shared" si="438"/>
        <x:v>0</x:v>
      </x:c>
      <x:c r="GN360">
        <x:f t="shared" si="439"/>
        <x:v>0</x:v>
      </x:c>
      <x:c r="GO360">
        <x:f t="shared" si="440"/>
        <x:v>0</x:v>
      </x:c>
      <x:c r="GP360">
        <x:f t="shared" si="441"/>
        <x:v>0</x:v>
      </x:c>
      <x:c r="GQ360">
        <x:f t="shared" si="442"/>
        <x:v>0</x:v>
      </x:c>
      <x:c r="GR360" s="42">
        <x:f t="shared" si="443"/>
        <x:v>0</x:v>
      </x:c>
      <x:c r="GS360">
        <x:f t="shared" si="444"/>
        <x:v>0</x:v>
      </x:c>
      <x:c r="GT360">
        <x:f t="shared" si="445"/>
        <x:v>0</x:v>
      </x:c>
      <x:c r="GU360">
        <x:f t="shared" si="446"/>
        <x:v>0</x:v>
      </x:c>
      <x:c r="GV360">
        <x:f t="shared" si="447"/>
        <x:v>0</x:v>
      </x:c>
      <x:c r="GW360">
        <x:f t="shared" si="448"/>
        <x:v>0</x:v>
      </x:c>
      <x:c r="GX360">
        <x:f t="shared" si="449"/>
        <x:v>0</x:v>
      </x:c>
      <x:c r="GY360">
        <x:f t="shared" si="450"/>
        <x:v>0</x:v>
      </x:c>
      <x:c r="GZ360">
        <x:f t="shared" si="451"/>
        <x:v>0</x:v>
      </x:c>
      <x:c r="HA360">
        <x:f t="shared" si="452"/>
        <x:v>0</x:v>
      </x:c>
      <x:c r="HB360" s="42">
        <x:f t="shared" si="453"/>
        <x:v>0</x:v>
      </x:c>
      <x:c r="HC360">
        <x:f t="shared" si="454"/>
        <x:v>0</x:v>
      </x:c>
      <x:c r="HD360">
        <x:f t="shared" si="455"/>
        <x:v>0</x:v>
      </x:c>
      <x:c r="HE360">
        <x:f t="shared" si="456"/>
        <x:v>0</x:v>
      </x:c>
      <x:c r="HF360">
        <x:f t="shared" si="457"/>
        <x:v>0</x:v>
      </x:c>
      <x:c r="HG360">
        <x:f t="shared" si="458"/>
        <x:v>0</x:v>
      </x:c>
      <x:c r="HH360">
        <x:f t="shared" si="459"/>
        <x:v>0</x:v>
      </x:c>
      <x:c r="HI360">
        <x:f t="shared" si="460"/>
        <x:v>0</x:v>
      </x:c>
      <x:c r="HJ360">
        <x:f t="shared" si="461"/>
        <x:v>0</x:v>
      </x:c>
      <x:c r="HK360">
        <x:f t="shared" si="462"/>
        <x:v>0</x:v>
      </x:c>
      <x:c r="HL360">
        <x:f t="shared" si="463"/>
        <x:v>0</x:v>
      </x:c>
    </x:row>
    <x:row r="361">
      <x:c r="D361" s="74"/>
      <x:c r="EQ361">
        <x:f t="shared" si="390"/>
        <x:v>0</x:v>
      </x:c>
      <x:c r="ER361">
        <x:f t="shared" si="391"/>
        <x:v>0</x:v>
      </x:c>
      <x:c r="ES361">
        <x:f t="shared" si="392"/>
        <x:v>0</x:v>
      </x:c>
      <x:c r="ET361">
        <x:f t="shared" si="393"/>
        <x:v>0</x:v>
      </x:c>
      <x:c r="EU361">
        <x:f t="shared" si="394"/>
        <x:v>0</x:v>
      </x:c>
      <x:c r="EV361">
        <x:f t="shared" si="395"/>
        <x:v>0</x:v>
      </x:c>
      <x:c r="EW361">
        <x:f t="shared" si="396"/>
        <x:v>0</x:v>
      </x:c>
      <x:c r="EX361">
        <x:f t="shared" si="397"/>
        <x:v>0</x:v>
      </x:c>
      <x:c r="EY361">
        <x:f t="shared" si="398"/>
        <x:v>0</x:v>
      </x:c>
      <x:c r="EZ361">
        <x:f t="shared" si="399"/>
        <x:v>0</x:v>
      </x:c>
      <x:c r="FA361" s="41">
        <x:f t="shared" si="400"/>
        <x:v>0</x:v>
      </x:c>
      <x:c r="FB361">
        <x:f t="shared" si="401"/>
        <x:v>0</x:v>
      </x:c>
      <x:c r="FC361">
        <x:f t="shared" si="402"/>
        <x:v>0</x:v>
      </x:c>
      <x:c r="FD361">
        <x:f t="shared" si="403"/>
        <x:v>0</x:v>
      </x:c>
      <x:c r="FE361">
        <x:f t="shared" si="404"/>
        <x:v>0</x:v>
      </x:c>
      <x:c r="FF361">
        <x:f t="shared" si="405"/>
        <x:v>0</x:v>
      </x:c>
      <x:c r="FG361">
        <x:f t="shared" si="406"/>
        <x:v>0</x:v>
      </x:c>
      <x:c r="FH361">
        <x:f t="shared" si="407"/>
        <x:v>0</x:v>
      </x:c>
      <x:c r="FI361">
        <x:f t="shared" si="408"/>
        <x:v>0</x:v>
      </x:c>
      <x:c r="FJ361">
        <x:f t="shared" si="409"/>
        <x:v>0</x:v>
      </x:c>
      <x:c r="FK361">
        <x:f t="shared" si="410"/>
        <x:v>0</x:v>
      </x:c>
      <x:c r="FL361" s="41">
        <x:f t="shared" si="411"/>
        <x:v>0</x:v>
      </x:c>
      <x:c r="FM361">
        <x:f t="shared" si="412"/>
        <x:v>0</x:v>
      </x:c>
      <x:c r="FN361">
        <x:f t="shared" si="413"/>
        <x:v>0</x:v>
      </x:c>
      <x:c r="FO361">
        <x:f t="shared" si="414"/>
        <x:v>0</x:v>
      </x:c>
      <x:c r="FP361">
        <x:f t="shared" si="415"/>
        <x:v>0</x:v>
      </x:c>
      <x:c r="FQ361">
        <x:f t="shared" si="416"/>
        <x:v>0</x:v>
      </x:c>
      <x:c r="FR361">
        <x:f t="shared" si="417"/>
        <x:v>0</x:v>
      </x:c>
      <x:c r="FS361">
        <x:f t="shared" si="418"/>
        <x:v>0</x:v>
      </x:c>
      <x:c r="FT361">
        <x:f t="shared" si="419"/>
        <x:v>0</x:v>
      </x:c>
      <x:c r="FU361">
        <x:f t="shared" si="420"/>
        <x:v>0</x:v>
      </x:c>
      <x:c r="FV361">
        <x:f t="shared" si="421"/>
        <x:v>0</x:v>
      </x:c>
      <x:c r="FW361" s="41">
        <x:f t="shared" si="422"/>
        <x:v>0</x:v>
      </x:c>
      <x:c r="FX361">
        <x:f t="shared" si="423"/>
        <x:v>0</x:v>
      </x:c>
      <x:c r="FY361">
        <x:f t="shared" si="424"/>
        <x:v>0</x:v>
      </x:c>
      <x:c r="FZ361">
        <x:f t="shared" si="425"/>
        <x:v>0</x:v>
      </x:c>
      <x:c r="GA361">
        <x:f t="shared" si="426"/>
        <x:v>0</x:v>
      </x:c>
      <x:c r="GB361">
        <x:f t="shared" si="427"/>
        <x:v>0</x:v>
      </x:c>
      <x:c r="GC361">
        <x:f t="shared" si="428"/>
        <x:v>0</x:v>
      </x:c>
      <x:c r="GD361">
        <x:f t="shared" si="429"/>
        <x:v>0</x:v>
      </x:c>
      <x:c r="GE361">
        <x:f t="shared" si="430"/>
        <x:v>0</x:v>
      </x:c>
      <x:c r="GF361">
        <x:f t="shared" si="431"/>
        <x:v>0</x:v>
      </x:c>
      <x:c r="GG361">
        <x:f t="shared" si="432"/>
        <x:v>0</x:v>
      </x:c>
      <x:c r="GH361">
        <x:f t="shared" si="433"/>
        <x:v>0</x:v>
      </x:c>
      <x:c r="GI361">
        <x:f t="shared" si="434"/>
        <x:v>0</x:v>
      </x:c>
      <x:c r="GJ361">
        <x:f t="shared" si="435"/>
        <x:v>0</x:v>
      </x:c>
      <x:c r="GK361">
        <x:f t="shared" si="436"/>
        <x:v>0</x:v>
      </x:c>
      <x:c r="GL361">
        <x:f t="shared" si="437"/>
        <x:v>0</x:v>
      </x:c>
      <x:c r="GM361">
        <x:f t="shared" si="438"/>
        <x:v>0</x:v>
      </x:c>
      <x:c r="GN361">
        <x:f t="shared" si="439"/>
        <x:v>0</x:v>
      </x:c>
      <x:c r="GO361">
        <x:f t="shared" si="440"/>
        <x:v>0</x:v>
      </x:c>
      <x:c r="GP361">
        <x:f t="shared" si="441"/>
        <x:v>0</x:v>
      </x:c>
      <x:c r="GQ361">
        <x:f t="shared" si="442"/>
        <x:v>0</x:v>
      </x:c>
      <x:c r="GR361" s="42">
        <x:f t="shared" si="443"/>
        <x:v>0</x:v>
      </x:c>
      <x:c r="GS361">
        <x:f t="shared" si="444"/>
        <x:v>0</x:v>
      </x:c>
      <x:c r="GT361">
        <x:f t="shared" si="445"/>
        <x:v>0</x:v>
      </x:c>
      <x:c r="GU361">
        <x:f t="shared" si="446"/>
        <x:v>0</x:v>
      </x:c>
      <x:c r="GV361">
        <x:f t="shared" si="447"/>
        <x:v>0</x:v>
      </x:c>
      <x:c r="GW361">
        <x:f t="shared" si="448"/>
        <x:v>0</x:v>
      </x:c>
      <x:c r="GX361">
        <x:f t="shared" si="449"/>
        <x:v>0</x:v>
      </x:c>
      <x:c r="GY361">
        <x:f t="shared" si="450"/>
        <x:v>0</x:v>
      </x:c>
      <x:c r="GZ361">
        <x:f t="shared" si="451"/>
        <x:v>0</x:v>
      </x:c>
      <x:c r="HA361">
        <x:f t="shared" si="452"/>
        <x:v>0</x:v>
      </x:c>
      <x:c r="HB361" s="42">
        <x:f t="shared" si="453"/>
        <x:v>0</x:v>
      </x:c>
      <x:c r="HC361">
        <x:f t="shared" si="454"/>
        <x:v>0</x:v>
      </x:c>
      <x:c r="HD361">
        <x:f t="shared" si="455"/>
        <x:v>0</x:v>
      </x:c>
      <x:c r="HE361">
        <x:f t="shared" si="456"/>
        <x:v>0</x:v>
      </x:c>
      <x:c r="HF361">
        <x:f t="shared" si="457"/>
        <x:v>0</x:v>
      </x:c>
      <x:c r="HG361">
        <x:f t="shared" si="458"/>
        <x:v>0</x:v>
      </x:c>
      <x:c r="HH361">
        <x:f t="shared" si="459"/>
        <x:v>0</x:v>
      </x:c>
      <x:c r="HI361">
        <x:f t="shared" si="460"/>
        <x:v>0</x:v>
      </x:c>
      <x:c r="HJ361">
        <x:f t="shared" si="461"/>
        <x:v>0</x:v>
      </x:c>
      <x:c r="HK361">
        <x:f t="shared" si="462"/>
        <x:v>0</x:v>
      </x:c>
      <x:c r="HL361">
        <x:f t="shared" si="463"/>
        <x:v>0</x:v>
      </x:c>
    </x:row>
    <x:row r="362">
      <x:c r="D362" s="74"/>
      <x:c r="EQ362">
        <x:f t="shared" si="390"/>
        <x:v>0</x:v>
      </x:c>
      <x:c r="ER362">
        <x:f t="shared" si="391"/>
        <x:v>0</x:v>
      </x:c>
      <x:c r="ES362">
        <x:f t="shared" si="392"/>
        <x:v>0</x:v>
      </x:c>
      <x:c r="ET362">
        <x:f t="shared" si="393"/>
        <x:v>0</x:v>
      </x:c>
      <x:c r="EU362">
        <x:f t="shared" si="394"/>
        <x:v>0</x:v>
      </x:c>
      <x:c r="EV362">
        <x:f t="shared" si="395"/>
        <x:v>0</x:v>
      </x:c>
      <x:c r="EW362">
        <x:f t="shared" si="396"/>
        <x:v>0</x:v>
      </x:c>
      <x:c r="EX362">
        <x:f t="shared" si="397"/>
        <x:v>0</x:v>
      </x:c>
      <x:c r="EY362">
        <x:f t="shared" si="398"/>
        <x:v>0</x:v>
      </x:c>
      <x:c r="EZ362">
        <x:f t="shared" si="399"/>
        <x:v>0</x:v>
      </x:c>
      <x:c r="FA362" s="41">
        <x:f t="shared" si="400"/>
        <x:v>0</x:v>
      </x:c>
      <x:c r="FB362">
        <x:f t="shared" si="401"/>
        <x:v>0</x:v>
      </x:c>
      <x:c r="FC362">
        <x:f t="shared" si="402"/>
        <x:v>0</x:v>
      </x:c>
      <x:c r="FD362">
        <x:f t="shared" si="403"/>
        <x:v>0</x:v>
      </x:c>
      <x:c r="FE362">
        <x:f t="shared" si="404"/>
        <x:v>0</x:v>
      </x:c>
      <x:c r="FF362">
        <x:f t="shared" si="405"/>
        <x:v>0</x:v>
      </x:c>
      <x:c r="FG362">
        <x:f t="shared" si="406"/>
        <x:v>0</x:v>
      </x:c>
      <x:c r="FH362">
        <x:f t="shared" si="407"/>
        <x:v>0</x:v>
      </x:c>
      <x:c r="FI362">
        <x:f t="shared" si="408"/>
        <x:v>0</x:v>
      </x:c>
      <x:c r="FJ362">
        <x:f t="shared" si="409"/>
        <x:v>0</x:v>
      </x:c>
      <x:c r="FK362">
        <x:f t="shared" si="410"/>
        <x:v>0</x:v>
      </x:c>
      <x:c r="FL362" s="41">
        <x:f t="shared" si="411"/>
        <x:v>0</x:v>
      </x:c>
      <x:c r="FM362">
        <x:f t="shared" si="412"/>
        <x:v>0</x:v>
      </x:c>
      <x:c r="FN362">
        <x:f t="shared" si="413"/>
        <x:v>0</x:v>
      </x:c>
      <x:c r="FO362">
        <x:f t="shared" si="414"/>
        <x:v>0</x:v>
      </x:c>
      <x:c r="FP362">
        <x:f t="shared" si="415"/>
        <x:v>0</x:v>
      </x:c>
      <x:c r="FQ362">
        <x:f t="shared" si="416"/>
        <x:v>0</x:v>
      </x:c>
      <x:c r="FR362">
        <x:f t="shared" si="417"/>
        <x:v>0</x:v>
      </x:c>
      <x:c r="FS362">
        <x:f t="shared" si="418"/>
        <x:v>0</x:v>
      </x:c>
      <x:c r="FT362">
        <x:f t="shared" si="419"/>
        <x:v>0</x:v>
      </x:c>
      <x:c r="FU362">
        <x:f t="shared" si="420"/>
        <x:v>0</x:v>
      </x:c>
      <x:c r="FV362">
        <x:f t="shared" si="421"/>
        <x:v>0</x:v>
      </x:c>
      <x:c r="FW362" s="41">
        <x:f t="shared" si="422"/>
        <x:v>0</x:v>
      </x:c>
      <x:c r="FX362">
        <x:f t="shared" si="423"/>
        <x:v>0</x:v>
      </x:c>
      <x:c r="FY362">
        <x:f t="shared" si="424"/>
        <x:v>0</x:v>
      </x:c>
      <x:c r="FZ362">
        <x:f t="shared" si="425"/>
        <x:v>0</x:v>
      </x:c>
      <x:c r="GA362">
        <x:f t="shared" si="426"/>
        <x:v>0</x:v>
      </x:c>
      <x:c r="GB362">
        <x:f t="shared" si="427"/>
        <x:v>0</x:v>
      </x:c>
      <x:c r="GC362">
        <x:f t="shared" si="428"/>
        <x:v>0</x:v>
      </x:c>
      <x:c r="GD362">
        <x:f t="shared" si="429"/>
        <x:v>0</x:v>
      </x:c>
      <x:c r="GE362">
        <x:f t="shared" si="430"/>
        <x:v>0</x:v>
      </x:c>
      <x:c r="GF362">
        <x:f t="shared" si="431"/>
        <x:v>0</x:v>
      </x:c>
      <x:c r="GG362">
        <x:f t="shared" si="432"/>
        <x:v>0</x:v>
      </x:c>
      <x:c r="GH362">
        <x:f t="shared" si="433"/>
        <x:v>0</x:v>
      </x:c>
      <x:c r="GI362">
        <x:f t="shared" si="434"/>
        <x:v>0</x:v>
      </x:c>
      <x:c r="GJ362">
        <x:f t="shared" si="435"/>
        <x:v>0</x:v>
      </x:c>
      <x:c r="GK362">
        <x:f t="shared" si="436"/>
        <x:v>0</x:v>
      </x:c>
      <x:c r="GL362">
        <x:f t="shared" si="437"/>
        <x:v>0</x:v>
      </x:c>
      <x:c r="GM362">
        <x:f t="shared" si="438"/>
        <x:v>0</x:v>
      </x:c>
      <x:c r="GN362">
        <x:f t="shared" si="439"/>
        <x:v>0</x:v>
      </x:c>
      <x:c r="GO362">
        <x:f t="shared" si="440"/>
        <x:v>0</x:v>
      </x:c>
      <x:c r="GP362">
        <x:f t="shared" si="441"/>
        <x:v>0</x:v>
      </x:c>
      <x:c r="GQ362">
        <x:f t="shared" si="442"/>
        <x:v>0</x:v>
      </x:c>
      <x:c r="GR362" s="42">
        <x:f t="shared" si="443"/>
        <x:v>0</x:v>
      </x:c>
      <x:c r="GS362">
        <x:f t="shared" si="444"/>
        <x:v>0</x:v>
      </x:c>
      <x:c r="GT362">
        <x:f t="shared" si="445"/>
        <x:v>0</x:v>
      </x:c>
      <x:c r="GU362">
        <x:f t="shared" si="446"/>
        <x:v>0</x:v>
      </x:c>
      <x:c r="GV362">
        <x:f t="shared" si="447"/>
        <x:v>0</x:v>
      </x:c>
      <x:c r="GW362">
        <x:f t="shared" si="448"/>
        <x:v>0</x:v>
      </x:c>
      <x:c r="GX362">
        <x:f t="shared" si="449"/>
        <x:v>0</x:v>
      </x:c>
      <x:c r="GY362">
        <x:f t="shared" si="450"/>
        <x:v>0</x:v>
      </x:c>
      <x:c r="GZ362">
        <x:f t="shared" si="451"/>
        <x:v>0</x:v>
      </x:c>
      <x:c r="HA362">
        <x:f t="shared" si="452"/>
        <x:v>0</x:v>
      </x:c>
      <x:c r="HB362" s="42">
        <x:f t="shared" si="453"/>
        <x:v>0</x:v>
      </x:c>
      <x:c r="HC362">
        <x:f t="shared" si="454"/>
        <x:v>0</x:v>
      </x:c>
      <x:c r="HD362">
        <x:f t="shared" si="455"/>
        <x:v>0</x:v>
      </x:c>
      <x:c r="HE362">
        <x:f t="shared" si="456"/>
        <x:v>0</x:v>
      </x:c>
      <x:c r="HF362">
        <x:f t="shared" si="457"/>
        <x:v>0</x:v>
      </x:c>
      <x:c r="HG362">
        <x:f t="shared" si="458"/>
        <x:v>0</x:v>
      </x:c>
      <x:c r="HH362">
        <x:f t="shared" si="459"/>
        <x:v>0</x:v>
      </x:c>
      <x:c r="HI362">
        <x:f t="shared" si="460"/>
        <x:v>0</x:v>
      </x:c>
      <x:c r="HJ362">
        <x:f t="shared" si="461"/>
        <x:v>0</x:v>
      </x:c>
      <x:c r="HK362">
        <x:f t="shared" si="462"/>
        <x:v>0</x:v>
      </x:c>
      <x:c r="HL362">
        <x:f t="shared" si="463"/>
        <x:v>0</x:v>
      </x:c>
    </x:row>
    <x:row r="363">
      <x:c r="D363" s="74"/>
      <x:c r="EQ363">
        <x:f t="shared" si="390"/>
        <x:v>0</x:v>
      </x:c>
      <x:c r="ER363">
        <x:f t="shared" si="391"/>
        <x:v>0</x:v>
      </x:c>
      <x:c r="ES363">
        <x:f t="shared" si="392"/>
        <x:v>0</x:v>
      </x:c>
      <x:c r="ET363">
        <x:f t="shared" si="393"/>
        <x:v>0</x:v>
      </x:c>
      <x:c r="EU363">
        <x:f t="shared" si="394"/>
        <x:v>0</x:v>
      </x:c>
      <x:c r="EV363">
        <x:f t="shared" si="395"/>
        <x:v>0</x:v>
      </x:c>
      <x:c r="EW363">
        <x:f t="shared" si="396"/>
        <x:v>0</x:v>
      </x:c>
      <x:c r="EX363">
        <x:f t="shared" si="397"/>
        <x:v>0</x:v>
      </x:c>
      <x:c r="EY363">
        <x:f t="shared" si="398"/>
        <x:v>0</x:v>
      </x:c>
      <x:c r="EZ363">
        <x:f t="shared" si="399"/>
        <x:v>0</x:v>
      </x:c>
      <x:c r="FA363" s="41">
        <x:f t="shared" si="400"/>
        <x:v>0</x:v>
      </x:c>
      <x:c r="FB363">
        <x:f t="shared" si="401"/>
        <x:v>0</x:v>
      </x:c>
      <x:c r="FC363">
        <x:f t="shared" si="402"/>
        <x:v>0</x:v>
      </x:c>
      <x:c r="FD363">
        <x:f t="shared" si="403"/>
        <x:v>0</x:v>
      </x:c>
      <x:c r="FE363">
        <x:f t="shared" si="404"/>
        <x:v>0</x:v>
      </x:c>
      <x:c r="FF363">
        <x:f t="shared" si="405"/>
        <x:v>0</x:v>
      </x:c>
      <x:c r="FG363">
        <x:f t="shared" si="406"/>
        <x:v>0</x:v>
      </x:c>
      <x:c r="FH363">
        <x:f t="shared" si="407"/>
        <x:v>0</x:v>
      </x:c>
      <x:c r="FI363">
        <x:f t="shared" si="408"/>
        <x:v>0</x:v>
      </x:c>
      <x:c r="FJ363">
        <x:f t="shared" si="409"/>
        <x:v>0</x:v>
      </x:c>
      <x:c r="FK363">
        <x:f t="shared" si="410"/>
        <x:v>0</x:v>
      </x:c>
      <x:c r="FL363" s="41">
        <x:f t="shared" si="411"/>
        <x:v>0</x:v>
      </x:c>
      <x:c r="FM363">
        <x:f t="shared" si="412"/>
        <x:v>0</x:v>
      </x:c>
      <x:c r="FN363">
        <x:f t="shared" si="413"/>
        <x:v>0</x:v>
      </x:c>
      <x:c r="FO363">
        <x:f t="shared" si="414"/>
        <x:v>0</x:v>
      </x:c>
      <x:c r="FP363">
        <x:f t="shared" si="415"/>
        <x:v>0</x:v>
      </x:c>
      <x:c r="FQ363">
        <x:f t="shared" si="416"/>
        <x:v>0</x:v>
      </x:c>
      <x:c r="FR363">
        <x:f t="shared" si="417"/>
        <x:v>0</x:v>
      </x:c>
      <x:c r="FS363">
        <x:f t="shared" si="418"/>
        <x:v>0</x:v>
      </x:c>
      <x:c r="FT363">
        <x:f t="shared" si="419"/>
        <x:v>0</x:v>
      </x:c>
      <x:c r="FU363">
        <x:f t="shared" si="420"/>
        <x:v>0</x:v>
      </x:c>
      <x:c r="FV363">
        <x:f t="shared" si="421"/>
        <x:v>0</x:v>
      </x:c>
      <x:c r="FW363" s="41">
        <x:f t="shared" si="422"/>
        <x:v>0</x:v>
      </x:c>
      <x:c r="FX363">
        <x:f t="shared" si="423"/>
        <x:v>0</x:v>
      </x:c>
      <x:c r="FY363">
        <x:f t="shared" si="424"/>
        <x:v>0</x:v>
      </x:c>
      <x:c r="FZ363">
        <x:f t="shared" si="425"/>
        <x:v>0</x:v>
      </x:c>
      <x:c r="GA363">
        <x:f t="shared" si="426"/>
        <x:v>0</x:v>
      </x:c>
      <x:c r="GB363">
        <x:f t="shared" si="427"/>
        <x:v>0</x:v>
      </x:c>
      <x:c r="GC363">
        <x:f t="shared" si="428"/>
        <x:v>0</x:v>
      </x:c>
      <x:c r="GD363">
        <x:f t="shared" si="429"/>
        <x:v>0</x:v>
      </x:c>
      <x:c r="GE363">
        <x:f t="shared" si="430"/>
        <x:v>0</x:v>
      </x:c>
      <x:c r="GF363">
        <x:f t="shared" si="431"/>
        <x:v>0</x:v>
      </x:c>
      <x:c r="GG363">
        <x:f t="shared" si="432"/>
        <x:v>0</x:v>
      </x:c>
      <x:c r="GH363">
        <x:f t="shared" si="433"/>
        <x:v>0</x:v>
      </x:c>
      <x:c r="GI363">
        <x:f t="shared" si="434"/>
        <x:v>0</x:v>
      </x:c>
      <x:c r="GJ363">
        <x:f t="shared" si="435"/>
        <x:v>0</x:v>
      </x:c>
      <x:c r="GK363">
        <x:f t="shared" si="436"/>
        <x:v>0</x:v>
      </x:c>
      <x:c r="GL363">
        <x:f t="shared" si="437"/>
        <x:v>0</x:v>
      </x:c>
      <x:c r="GM363">
        <x:f t="shared" si="438"/>
        <x:v>0</x:v>
      </x:c>
      <x:c r="GN363">
        <x:f t="shared" si="439"/>
        <x:v>0</x:v>
      </x:c>
      <x:c r="GO363">
        <x:f t="shared" si="440"/>
        <x:v>0</x:v>
      </x:c>
      <x:c r="GP363">
        <x:f t="shared" si="441"/>
        <x:v>0</x:v>
      </x:c>
      <x:c r="GQ363">
        <x:f t="shared" si="442"/>
        <x:v>0</x:v>
      </x:c>
      <x:c r="GR363" s="42">
        <x:f t="shared" si="443"/>
        <x:v>0</x:v>
      </x:c>
      <x:c r="GS363">
        <x:f t="shared" si="444"/>
        <x:v>0</x:v>
      </x:c>
      <x:c r="GT363">
        <x:f t="shared" si="445"/>
        <x:v>0</x:v>
      </x:c>
      <x:c r="GU363">
        <x:f t="shared" si="446"/>
        <x:v>0</x:v>
      </x:c>
      <x:c r="GV363">
        <x:f t="shared" si="447"/>
        <x:v>0</x:v>
      </x:c>
      <x:c r="GW363">
        <x:f t="shared" si="448"/>
        <x:v>0</x:v>
      </x:c>
      <x:c r="GX363">
        <x:f t="shared" si="449"/>
        <x:v>0</x:v>
      </x:c>
      <x:c r="GY363">
        <x:f t="shared" si="450"/>
        <x:v>0</x:v>
      </x:c>
      <x:c r="GZ363">
        <x:f t="shared" si="451"/>
        <x:v>0</x:v>
      </x:c>
      <x:c r="HA363">
        <x:f t="shared" si="452"/>
        <x:v>0</x:v>
      </x:c>
      <x:c r="HB363" s="42">
        <x:f t="shared" si="453"/>
        <x:v>0</x:v>
      </x:c>
      <x:c r="HC363">
        <x:f t="shared" si="454"/>
        <x:v>0</x:v>
      </x:c>
      <x:c r="HD363">
        <x:f t="shared" si="455"/>
        <x:v>0</x:v>
      </x:c>
      <x:c r="HE363">
        <x:f t="shared" si="456"/>
        <x:v>0</x:v>
      </x:c>
      <x:c r="HF363">
        <x:f t="shared" si="457"/>
        <x:v>0</x:v>
      </x:c>
      <x:c r="HG363">
        <x:f t="shared" si="458"/>
        <x:v>0</x:v>
      </x:c>
      <x:c r="HH363">
        <x:f t="shared" si="459"/>
        <x:v>0</x:v>
      </x:c>
      <x:c r="HI363">
        <x:f t="shared" si="460"/>
        <x:v>0</x:v>
      </x:c>
      <x:c r="HJ363">
        <x:f t="shared" si="461"/>
        <x:v>0</x:v>
      </x:c>
      <x:c r="HK363">
        <x:f t="shared" si="462"/>
        <x:v>0</x:v>
      </x:c>
      <x:c r="HL363">
        <x:f t="shared" si="463"/>
        <x:v>0</x:v>
      </x:c>
    </x:row>
    <x:row r="364">
      <x:c r="D364" s="74"/>
      <x:c r="EQ364">
        <x:f t="shared" si="390"/>
        <x:v>0</x:v>
      </x:c>
      <x:c r="ER364">
        <x:f t="shared" si="391"/>
        <x:v>0</x:v>
      </x:c>
      <x:c r="ES364">
        <x:f t="shared" si="392"/>
        <x:v>0</x:v>
      </x:c>
      <x:c r="ET364">
        <x:f t="shared" si="393"/>
        <x:v>0</x:v>
      </x:c>
      <x:c r="EU364">
        <x:f t="shared" si="394"/>
        <x:v>0</x:v>
      </x:c>
      <x:c r="EV364">
        <x:f t="shared" si="395"/>
        <x:v>0</x:v>
      </x:c>
      <x:c r="EW364">
        <x:f t="shared" si="396"/>
        <x:v>0</x:v>
      </x:c>
      <x:c r="EX364">
        <x:f t="shared" si="397"/>
        <x:v>0</x:v>
      </x:c>
      <x:c r="EY364">
        <x:f t="shared" si="398"/>
        <x:v>0</x:v>
      </x:c>
      <x:c r="EZ364">
        <x:f t="shared" si="399"/>
        <x:v>0</x:v>
      </x:c>
      <x:c r="FA364" s="41">
        <x:f t="shared" si="400"/>
        <x:v>0</x:v>
      </x:c>
      <x:c r="FB364">
        <x:f t="shared" si="401"/>
        <x:v>0</x:v>
      </x:c>
      <x:c r="FC364">
        <x:f t="shared" si="402"/>
        <x:v>0</x:v>
      </x:c>
      <x:c r="FD364">
        <x:f t="shared" si="403"/>
        <x:v>0</x:v>
      </x:c>
      <x:c r="FE364">
        <x:f t="shared" si="404"/>
        <x:v>0</x:v>
      </x:c>
      <x:c r="FF364">
        <x:f t="shared" si="405"/>
        <x:v>0</x:v>
      </x:c>
      <x:c r="FG364">
        <x:f t="shared" si="406"/>
        <x:v>0</x:v>
      </x:c>
      <x:c r="FH364">
        <x:f t="shared" si="407"/>
        <x:v>0</x:v>
      </x:c>
      <x:c r="FI364">
        <x:f t="shared" si="408"/>
        <x:v>0</x:v>
      </x:c>
      <x:c r="FJ364">
        <x:f t="shared" si="409"/>
        <x:v>0</x:v>
      </x:c>
      <x:c r="FK364">
        <x:f t="shared" si="410"/>
        <x:v>0</x:v>
      </x:c>
      <x:c r="FL364" s="41">
        <x:f t="shared" si="411"/>
        <x:v>0</x:v>
      </x:c>
      <x:c r="FM364">
        <x:f t="shared" si="412"/>
        <x:v>0</x:v>
      </x:c>
      <x:c r="FN364">
        <x:f t="shared" si="413"/>
        <x:v>0</x:v>
      </x:c>
      <x:c r="FO364">
        <x:f t="shared" si="414"/>
        <x:v>0</x:v>
      </x:c>
      <x:c r="FP364">
        <x:f t="shared" si="415"/>
        <x:v>0</x:v>
      </x:c>
      <x:c r="FQ364">
        <x:f t="shared" si="416"/>
        <x:v>0</x:v>
      </x:c>
      <x:c r="FR364">
        <x:f t="shared" si="417"/>
        <x:v>0</x:v>
      </x:c>
      <x:c r="FS364">
        <x:f t="shared" si="418"/>
        <x:v>0</x:v>
      </x:c>
      <x:c r="FT364">
        <x:f t="shared" si="419"/>
        <x:v>0</x:v>
      </x:c>
      <x:c r="FU364">
        <x:f t="shared" si="420"/>
        <x:v>0</x:v>
      </x:c>
      <x:c r="FV364">
        <x:f t="shared" si="421"/>
        <x:v>0</x:v>
      </x:c>
      <x:c r="FW364" s="41">
        <x:f t="shared" si="422"/>
        <x:v>0</x:v>
      </x:c>
      <x:c r="FX364">
        <x:f t="shared" si="423"/>
        <x:v>0</x:v>
      </x:c>
      <x:c r="FY364">
        <x:f t="shared" si="424"/>
        <x:v>0</x:v>
      </x:c>
      <x:c r="FZ364">
        <x:f t="shared" si="425"/>
        <x:v>0</x:v>
      </x:c>
      <x:c r="GA364">
        <x:f t="shared" si="426"/>
        <x:v>0</x:v>
      </x:c>
      <x:c r="GB364">
        <x:f t="shared" si="427"/>
        <x:v>0</x:v>
      </x:c>
      <x:c r="GC364">
        <x:f t="shared" si="428"/>
        <x:v>0</x:v>
      </x:c>
      <x:c r="GD364">
        <x:f t="shared" si="429"/>
        <x:v>0</x:v>
      </x:c>
      <x:c r="GE364">
        <x:f t="shared" si="430"/>
        <x:v>0</x:v>
      </x:c>
      <x:c r="GF364">
        <x:f t="shared" si="431"/>
        <x:v>0</x:v>
      </x:c>
      <x:c r="GG364">
        <x:f t="shared" si="432"/>
        <x:v>0</x:v>
      </x:c>
      <x:c r="GH364">
        <x:f t="shared" si="433"/>
        <x:v>0</x:v>
      </x:c>
      <x:c r="GI364">
        <x:f t="shared" si="434"/>
        <x:v>0</x:v>
      </x:c>
      <x:c r="GJ364">
        <x:f t="shared" si="435"/>
        <x:v>0</x:v>
      </x:c>
      <x:c r="GK364">
        <x:f t="shared" si="436"/>
        <x:v>0</x:v>
      </x:c>
      <x:c r="GL364">
        <x:f t="shared" si="437"/>
        <x:v>0</x:v>
      </x:c>
      <x:c r="GM364">
        <x:f t="shared" si="438"/>
        <x:v>0</x:v>
      </x:c>
      <x:c r="GN364">
        <x:f t="shared" si="439"/>
        <x:v>0</x:v>
      </x:c>
      <x:c r="GO364">
        <x:f t="shared" si="440"/>
        <x:v>0</x:v>
      </x:c>
      <x:c r="GP364">
        <x:f t="shared" si="441"/>
        <x:v>0</x:v>
      </x:c>
      <x:c r="GQ364">
        <x:f t="shared" si="442"/>
        <x:v>0</x:v>
      </x:c>
      <x:c r="GR364" s="42">
        <x:f t="shared" si="443"/>
        <x:v>0</x:v>
      </x:c>
      <x:c r="GS364">
        <x:f t="shared" si="444"/>
        <x:v>0</x:v>
      </x:c>
      <x:c r="GT364">
        <x:f t="shared" si="445"/>
        <x:v>0</x:v>
      </x:c>
      <x:c r="GU364">
        <x:f t="shared" si="446"/>
        <x:v>0</x:v>
      </x:c>
      <x:c r="GV364">
        <x:f t="shared" si="447"/>
        <x:v>0</x:v>
      </x:c>
      <x:c r="GW364">
        <x:f t="shared" si="448"/>
        <x:v>0</x:v>
      </x:c>
      <x:c r="GX364">
        <x:f t="shared" si="449"/>
        <x:v>0</x:v>
      </x:c>
      <x:c r="GY364">
        <x:f t="shared" si="450"/>
        <x:v>0</x:v>
      </x:c>
      <x:c r="GZ364">
        <x:f t="shared" si="451"/>
        <x:v>0</x:v>
      </x:c>
      <x:c r="HA364">
        <x:f t="shared" si="452"/>
        <x:v>0</x:v>
      </x:c>
      <x:c r="HB364" s="42">
        <x:f t="shared" si="453"/>
        <x:v>0</x:v>
      </x:c>
      <x:c r="HC364">
        <x:f t="shared" si="454"/>
        <x:v>0</x:v>
      </x:c>
      <x:c r="HD364">
        <x:f t="shared" si="455"/>
        <x:v>0</x:v>
      </x:c>
      <x:c r="HE364">
        <x:f t="shared" si="456"/>
        <x:v>0</x:v>
      </x:c>
      <x:c r="HF364">
        <x:f t="shared" si="457"/>
        <x:v>0</x:v>
      </x:c>
      <x:c r="HG364">
        <x:f t="shared" si="458"/>
        <x:v>0</x:v>
      </x:c>
      <x:c r="HH364">
        <x:f t="shared" si="459"/>
        <x:v>0</x:v>
      </x:c>
      <x:c r="HI364">
        <x:f t="shared" si="460"/>
        <x:v>0</x:v>
      </x:c>
      <x:c r="HJ364">
        <x:f t="shared" si="461"/>
        <x:v>0</x:v>
      </x:c>
      <x:c r="HK364">
        <x:f t="shared" si="462"/>
        <x:v>0</x:v>
      </x:c>
      <x:c r="HL364">
        <x:f t="shared" si="463"/>
        <x:v>0</x:v>
      </x:c>
    </x:row>
    <x:row r="365">
      <x:c r="D365" s="74"/>
      <x:c r="EQ365">
        <x:f t="shared" si="390"/>
        <x:v>0</x:v>
      </x:c>
      <x:c r="ER365">
        <x:f t="shared" si="391"/>
        <x:v>0</x:v>
      </x:c>
      <x:c r="ES365">
        <x:f t="shared" si="392"/>
        <x:v>0</x:v>
      </x:c>
      <x:c r="ET365">
        <x:f t="shared" si="393"/>
        <x:v>0</x:v>
      </x:c>
      <x:c r="EU365">
        <x:f t="shared" si="394"/>
        <x:v>0</x:v>
      </x:c>
      <x:c r="EV365">
        <x:f t="shared" si="395"/>
        <x:v>0</x:v>
      </x:c>
      <x:c r="EW365">
        <x:f t="shared" si="396"/>
        <x:v>0</x:v>
      </x:c>
      <x:c r="EX365">
        <x:f t="shared" si="397"/>
        <x:v>0</x:v>
      </x:c>
      <x:c r="EY365">
        <x:f t="shared" si="398"/>
        <x:v>0</x:v>
      </x:c>
      <x:c r="EZ365">
        <x:f t="shared" si="399"/>
        <x:v>0</x:v>
      </x:c>
      <x:c r="FA365" s="41">
        <x:f t="shared" si="400"/>
        <x:v>0</x:v>
      </x:c>
      <x:c r="FB365">
        <x:f t="shared" si="401"/>
        <x:v>0</x:v>
      </x:c>
      <x:c r="FC365">
        <x:f t="shared" si="402"/>
        <x:v>0</x:v>
      </x:c>
      <x:c r="FD365">
        <x:f t="shared" si="403"/>
        <x:v>0</x:v>
      </x:c>
      <x:c r="FE365">
        <x:f t="shared" si="404"/>
        <x:v>0</x:v>
      </x:c>
      <x:c r="FF365">
        <x:f t="shared" si="405"/>
        <x:v>0</x:v>
      </x:c>
      <x:c r="FG365">
        <x:f t="shared" si="406"/>
        <x:v>0</x:v>
      </x:c>
      <x:c r="FH365">
        <x:f t="shared" si="407"/>
        <x:v>0</x:v>
      </x:c>
      <x:c r="FI365">
        <x:f t="shared" si="408"/>
        <x:v>0</x:v>
      </x:c>
      <x:c r="FJ365">
        <x:f t="shared" si="409"/>
        <x:v>0</x:v>
      </x:c>
      <x:c r="FK365">
        <x:f t="shared" si="410"/>
        <x:v>0</x:v>
      </x:c>
      <x:c r="FL365" s="41">
        <x:f t="shared" si="411"/>
        <x:v>0</x:v>
      </x:c>
      <x:c r="FM365">
        <x:f t="shared" si="412"/>
        <x:v>0</x:v>
      </x:c>
      <x:c r="FN365">
        <x:f t="shared" si="413"/>
        <x:v>0</x:v>
      </x:c>
      <x:c r="FO365">
        <x:f t="shared" si="414"/>
        <x:v>0</x:v>
      </x:c>
      <x:c r="FP365">
        <x:f t="shared" si="415"/>
        <x:v>0</x:v>
      </x:c>
      <x:c r="FQ365">
        <x:f t="shared" si="416"/>
        <x:v>0</x:v>
      </x:c>
      <x:c r="FR365">
        <x:f t="shared" si="417"/>
        <x:v>0</x:v>
      </x:c>
      <x:c r="FS365">
        <x:f t="shared" si="418"/>
        <x:v>0</x:v>
      </x:c>
      <x:c r="FT365">
        <x:f t="shared" si="419"/>
        <x:v>0</x:v>
      </x:c>
      <x:c r="FU365">
        <x:f t="shared" si="420"/>
        <x:v>0</x:v>
      </x:c>
      <x:c r="FV365">
        <x:f t="shared" si="421"/>
        <x:v>0</x:v>
      </x:c>
      <x:c r="FW365" s="41">
        <x:f t="shared" si="422"/>
        <x:v>0</x:v>
      </x:c>
      <x:c r="FX365">
        <x:f t="shared" si="423"/>
        <x:v>0</x:v>
      </x:c>
      <x:c r="FY365">
        <x:f t="shared" si="424"/>
        <x:v>0</x:v>
      </x:c>
      <x:c r="FZ365">
        <x:f t="shared" si="425"/>
        <x:v>0</x:v>
      </x:c>
      <x:c r="GA365">
        <x:f t="shared" si="426"/>
        <x:v>0</x:v>
      </x:c>
      <x:c r="GB365">
        <x:f t="shared" si="427"/>
        <x:v>0</x:v>
      </x:c>
      <x:c r="GC365">
        <x:f t="shared" si="428"/>
        <x:v>0</x:v>
      </x:c>
      <x:c r="GD365">
        <x:f t="shared" si="429"/>
        <x:v>0</x:v>
      </x:c>
      <x:c r="GE365">
        <x:f t="shared" si="430"/>
        <x:v>0</x:v>
      </x:c>
      <x:c r="GF365">
        <x:f t="shared" si="431"/>
        <x:v>0</x:v>
      </x:c>
      <x:c r="GG365">
        <x:f t="shared" si="432"/>
        <x:v>0</x:v>
      </x:c>
      <x:c r="GH365">
        <x:f t="shared" si="433"/>
        <x:v>0</x:v>
      </x:c>
      <x:c r="GI365">
        <x:f t="shared" si="434"/>
        <x:v>0</x:v>
      </x:c>
      <x:c r="GJ365">
        <x:f t="shared" si="435"/>
        <x:v>0</x:v>
      </x:c>
      <x:c r="GK365">
        <x:f t="shared" si="436"/>
        <x:v>0</x:v>
      </x:c>
      <x:c r="GL365">
        <x:f t="shared" si="437"/>
        <x:v>0</x:v>
      </x:c>
      <x:c r="GM365">
        <x:f t="shared" si="438"/>
        <x:v>0</x:v>
      </x:c>
      <x:c r="GN365">
        <x:f t="shared" si="439"/>
        <x:v>0</x:v>
      </x:c>
      <x:c r="GO365">
        <x:f t="shared" si="440"/>
        <x:v>0</x:v>
      </x:c>
      <x:c r="GP365">
        <x:f t="shared" si="441"/>
        <x:v>0</x:v>
      </x:c>
      <x:c r="GQ365">
        <x:f t="shared" si="442"/>
        <x:v>0</x:v>
      </x:c>
      <x:c r="GR365" s="42">
        <x:f t="shared" si="443"/>
        <x:v>0</x:v>
      </x:c>
      <x:c r="GS365">
        <x:f t="shared" si="444"/>
        <x:v>0</x:v>
      </x:c>
      <x:c r="GT365">
        <x:f t="shared" si="445"/>
        <x:v>0</x:v>
      </x:c>
      <x:c r="GU365">
        <x:f t="shared" si="446"/>
        <x:v>0</x:v>
      </x:c>
      <x:c r="GV365">
        <x:f t="shared" si="447"/>
        <x:v>0</x:v>
      </x:c>
      <x:c r="GW365">
        <x:f t="shared" si="448"/>
        <x:v>0</x:v>
      </x:c>
      <x:c r="GX365">
        <x:f t="shared" si="449"/>
        <x:v>0</x:v>
      </x:c>
      <x:c r="GY365">
        <x:f t="shared" si="450"/>
        <x:v>0</x:v>
      </x:c>
      <x:c r="GZ365">
        <x:f t="shared" si="451"/>
        <x:v>0</x:v>
      </x:c>
      <x:c r="HA365">
        <x:f t="shared" si="452"/>
        <x:v>0</x:v>
      </x:c>
      <x:c r="HB365" s="42">
        <x:f t="shared" si="453"/>
        <x:v>0</x:v>
      </x:c>
      <x:c r="HC365">
        <x:f t="shared" si="454"/>
        <x:v>0</x:v>
      </x:c>
      <x:c r="HD365">
        <x:f t="shared" si="455"/>
        <x:v>0</x:v>
      </x:c>
      <x:c r="HE365">
        <x:f t="shared" si="456"/>
        <x:v>0</x:v>
      </x:c>
      <x:c r="HF365">
        <x:f t="shared" si="457"/>
        <x:v>0</x:v>
      </x:c>
      <x:c r="HG365">
        <x:f t="shared" si="458"/>
        <x:v>0</x:v>
      </x:c>
      <x:c r="HH365">
        <x:f t="shared" si="459"/>
        <x:v>0</x:v>
      </x:c>
      <x:c r="HI365">
        <x:f t="shared" si="460"/>
        <x:v>0</x:v>
      </x:c>
      <x:c r="HJ365">
        <x:f t="shared" si="461"/>
        <x:v>0</x:v>
      </x:c>
      <x:c r="HK365">
        <x:f t="shared" si="462"/>
        <x:v>0</x:v>
      </x:c>
      <x:c r="HL365">
        <x:f t="shared" si="463"/>
        <x:v>0</x:v>
      </x:c>
    </x:row>
    <x:row r="366">
      <x:c r="D366" s="74"/>
      <x:c r="EQ366">
        <x:f t="shared" si="390"/>
        <x:v>0</x:v>
      </x:c>
      <x:c r="ER366">
        <x:f t="shared" si="391"/>
        <x:v>0</x:v>
      </x:c>
      <x:c r="ES366">
        <x:f t="shared" si="392"/>
        <x:v>0</x:v>
      </x:c>
      <x:c r="ET366">
        <x:f t="shared" si="393"/>
        <x:v>0</x:v>
      </x:c>
      <x:c r="EU366">
        <x:f t="shared" si="394"/>
        <x:v>0</x:v>
      </x:c>
      <x:c r="EV366">
        <x:f t="shared" si="395"/>
        <x:v>0</x:v>
      </x:c>
      <x:c r="EW366">
        <x:f t="shared" si="396"/>
        <x:v>0</x:v>
      </x:c>
      <x:c r="EX366">
        <x:f t="shared" si="397"/>
        <x:v>0</x:v>
      </x:c>
      <x:c r="EY366">
        <x:f t="shared" si="398"/>
        <x:v>0</x:v>
      </x:c>
      <x:c r="EZ366">
        <x:f t="shared" si="399"/>
        <x:v>0</x:v>
      </x:c>
      <x:c r="FA366" s="41">
        <x:f t="shared" si="400"/>
        <x:v>0</x:v>
      </x:c>
      <x:c r="FB366">
        <x:f t="shared" si="401"/>
        <x:v>0</x:v>
      </x:c>
      <x:c r="FC366">
        <x:f t="shared" si="402"/>
        <x:v>0</x:v>
      </x:c>
      <x:c r="FD366">
        <x:f t="shared" si="403"/>
        <x:v>0</x:v>
      </x:c>
      <x:c r="FE366">
        <x:f t="shared" si="404"/>
        <x:v>0</x:v>
      </x:c>
      <x:c r="FF366">
        <x:f t="shared" si="405"/>
        <x:v>0</x:v>
      </x:c>
      <x:c r="FG366">
        <x:f t="shared" si="406"/>
        <x:v>0</x:v>
      </x:c>
      <x:c r="FH366">
        <x:f t="shared" si="407"/>
        <x:v>0</x:v>
      </x:c>
      <x:c r="FI366">
        <x:f t="shared" si="408"/>
        <x:v>0</x:v>
      </x:c>
      <x:c r="FJ366">
        <x:f t="shared" si="409"/>
        <x:v>0</x:v>
      </x:c>
      <x:c r="FK366">
        <x:f t="shared" si="410"/>
        <x:v>0</x:v>
      </x:c>
      <x:c r="FL366" s="41">
        <x:f t="shared" si="411"/>
        <x:v>0</x:v>
      </x:c>
      <x:c r="FM366">
        <x:f t="shared" si="412"/>
        <x:v>0</x:v>
      </x:c>
      <x:c r="FN366">
        <x:f t="shared" si="413"/>
        <x:v>0</x:v>
      </x:c>
      <x:c r="FO366">
        <x:f t="shared" si="414"/>
        <x:v>0</x:v>
      </x:c>
      <x:c r="FP366">
        <x:f t="shared" si="415"/>
        <x:v>0</x:v>
      </x:c>
      <x:c r="FQ366">
        <x:f t="shared" si="416"/>
        <x:v>0</x:v>
      </x:c>
      <x:c r="FR366">
        <x:f t="shared" si="417"/>
        <x:v>0</x:v>
      </x:c>
      <x:c r="FS366">
        <x:f t="shared" si="418"/>
        <x:v>0</x:v>
      </x:c>
      <x:c r="FT366">
        <x:f t="shared" si="419"/>
        <x:v>0</x:v>
      </x:c>
      <x:c r="FU366">
        <x:f t="shared" si="420"/>
        <x:v>0</x:v>
      </x:c>
      <x:c r="FV366">
        <x:f t="shared" si="421"/>
        <x:v>0</x:v>
      </x:c>
      <x:c r="FW366" s="41">
        <x:f t="shared" si="422"/>
        <x:v>0</x:v>
      </x:c>
      <x:c r="FX366">
        <x:f t="shared" si="423"/>
        <x:v>0</x:v>
      </x:c>
      <x:c r="FY366">
        <x:f t="shared" si="424"/>
        <x:v>0</x:v>
      </x:c>
      <x:c r="FZ366">
        <x:f t="shared" si="425"/>
        <x:v>0</x:v>
      </x:c>
      <x:c r="GA366">
        <x:f t="shared" si="426"/>
        <x:v>0</x:v>
      </x:c>
      <x:c r="GB366">
        <x:f t="shared" si="427"/>
        <x:v>0</x:v>
      </x:c>
      <x:c r="GC366">
        <x:f t="shared" si="428"/>
        <x:v>0</x:v>
      </x:c>
      <x:c r="GD366">
        <x:f t="shared" si="429"/>
        <x:v>0</x:v>
      </x:c>
      <x:c r="GE366">
        <x:f t="shared" si="430"/>
        <x:v>0</x:v>
      </x:c>
      <x:c r="GF366">
        <x:f t="shared" si="431"/>
        <x:v>0</x:v>
      </x:c>
      <x:c r="GG366">
        <x:f t="shared" si="432"/>
        <x:v>0</x:v>
      </x:c>
      <x:c r="GH366">
        <x:f t="shared" si="433"/>
        <x:v>0</x:v>
      </x:c>
      <x:c r="GI366">
        <x:f t="shared" si="434"/>
        <x:v>0</x:v>
      </x:c>
      <x:c r="GJ366">
        <x:f t="shared" si="435"/>
        <x:v>0</x:v>
      </x:c>
      <x:c r="GK366">
        <x:f t="shared" si="436"/>
        <x:v>0</x:v>
      </x:c>
      <x:c r="GL366">
        <x:f t="shared" si="437"/>
        <x:v>0</x:v>
      </x:c>
      <x:c r="GM366">
        <x:f t="shared" si="438"/>
        <x:v>0</x:v>
      </x:c>
      <x:c r="GN366">
        <x:f t="shared" si="439"/>
        <x:v>0</x:v>
      </x:c>
      <x:c r="GO366">
        <x:f t="shared" si="440"/>
        <x:v>0</x:v>
      </x:c>
      <x:c r="GP366">
        <x:f t="shared" si="441"/>
        <x:v>0</x:v>
      </x:c>
      <x:c r="GQ366">
        <x:f t="shared" si="442"/>
        <x:v>0</x:v>
      </x:c>
      <x:c r="GR366" s="42">
        <x:f t="shared" si="443"/>
        <x:v>0</x:v>
      </x:c>
      <x:c r="GS366">
        <x:f t="shared" si="444"/>
        <x:v>0</x:v>
      </x:c>
      <x:c r="GT366">
        <x:f t="shared" si="445"/>
        <x:v>0</x:v>
      </x:c>
      <x:c r="GU366">
        <x:f t="shared" si="446"/>
        <x:v>0</x:v>
      </x:c>
      <x:c r="GV366">
        <x:f t="shared" si="447"/>
        <x:v>0</x:v>
      </x:c>
      <x:c r="GW366">
        <x:f t="shared" si="448"/>
        <x:v>0</x:v>
      </x:c>
      <x:c r="GX366">
        <x:f t="shared" si="449"/>
        <x:v>0</x:v>
      </x:c>
      <x:c r="GY366">
        <x:f t="shared" si="450"/>
        <x:v>0</x:v>
      </x:c>
      <x:c r="GZ366">
        <x:f t="shared" si="451"/>
        <x:v>0</x:v>
      </x:c>
      <x:c r="HA366">
        <x:f t="shared" si="452"/>
        <x:v>0</x:v>
      </x:c>
      <x:c r="HB366" s="42">
        <x:f t="shared" si="453"/>
        <x:v>0</x:v>
      </x:c>
      <x:c r="HC366">
        <x:f t="shared" si="454"/>
        <x:v>0</x:v>
      </x:c>
      <x:c r="HD366">
        <x:f t="shared" si="455"/>
        <x:v>0</x:v>
      </x:c>
      <x:c r="HE366">
        <x:f t="shared" si="456"/>
        <x:v>0</x:v>
      </x:c>
      <x:c r="HF366">
        <x:f t="shared" si="457"/>
        <x:v>0</x:v>
      </x:c>
      <x:c r="HG366">
        <x:f t="shared" si="458"/>
        <x:v>0</x:v>
      </x:c>
      <x:c r="HH366">
        <x:f t="shared" si="459"/>
        <x:v>0</x:v>
      </x:c>
      <x:c r="HI366">
        <x:f t="shared" si="460"/>
        <x:v>0</x:v>
      </x:c>
      <x:c r="HJ366">
        <x:f t="shared" si="461"/>
        <x:v>0</x:v>
      </x:c>
      <x:c r="HK366">
        <x:f t="shared" si="462"/>
        <x:v>0</x:v>
      </x:c>
      <x:c r="HL366">
        <x:f t="shared" si="463"/>
        <x:v>0</x:v>
      </x:c>
    </x:row>
    <x:row r="367">
      <x:c r="D367" s="74"/>
      <x:c r="EQ367">
        <x:f t="shared" si="390"/>
        <x:v>0</x:v>
      </x:c>
      <x:c r="ER367">
        <x:f t="shared" si="391"/>
        <x:v>0</x:v>
      </x:c>
      <x:c r="ES367">
        <x:f t="shared" si="392"/>
        <x:v>0</x:v>
      </x:c>
      <x:c r="ET367">
        <x:f t="shared" si="393"/>
        <x:v>0</x:v>
      </x:c>
      <x:c r="EU367">
        <x:f t="shared" si="394"/>
        <x:v>0</x:v>
      </x:c>
      <x:c r="EV367">
        <x:f t="shared" si="395"/>
        <x:v>0</x:v>
      </x:c>
      <x:c r="EW367">
        <x:f t="shared" si="396"/>
        <x:v>0</x:v>
      </x:c>
      <x:c r="EX367">
        <x:f t="shared" si="397"/>
        <x:v>0</x:v>
      </x:c>
      <x:c r="EY367">
        <x:f t="shared" si="398"/>
        <x:v>0</x:v>
      </x:c>
      <x:c r="EZ367">
        <x:f t="shared" si="399"/>
        <x:v>0</x:v>
      </x:c>
      <x:c r="FA367" s="41">
        <x:f t="shared" si="400"/>
        <x:v>0</x:v>
      </x:c>
      <x:c r="FB367">
        <x:f t="shared" si="401"/>
        <x:v>0</x:v>
      </x:c>
      <x:c r="FC367">
        <x:f t="shared" si="402"/>
        <x:v>0</x:v>
      </x:c>
      <x:c r="FD367">
        <x:f t="shared" si="403"/>
        <x:v>0</x:v>
      </x:c>
      <x:c r="FE367">
        <x:f t="shared" si="404"/>
        <x:v>0</x:v>
      </x:c>
      <x:c r="FF367">
        <x:f t="shared" si="405"/>
        <x:v>0</x:v>
      </x:c>
      <x:c r="FG367">
        <x:f t="shared" si="406"/>
        <x:v>0</x:v>
      </x:c>
      <x:c r="FH367">
        <x:f t="shared" si="407"/>
        <x:v>0</x:v>
      </x:c>
      <x:c r="FI367">
        <x:f t="shared" si="408"/>
        <x:v>0</x:v>
      </x:c>
      <x:c r="FJ367">
        <x:f t="shared" si="409"/>
        <x:v>0</x:v>
      </x:c>
      <x:c r="FK367">
        <x:f t="shared" si="410"/>
        <x:v>0</x:v>
      </x:c>
      <x:c r="FL367" s="41">
        <x:f t="shared" si="411"/>
        <x:v>0</x:v>
      </x:c>
      <x:c r="FM367">
        <x:f t="shared" si="412"/>
        <x:v>0</x:v>
      </x:c>
      <x:c r="FN367">
        <x:f t="shared" si="413"/>
        <x:v>0</x:v>
      </x:c>
      <x:c r="FO367">
        <x:f t="shared" si="414"/>
        <x:v>0</x:v>
      </x:c>
      <x:c r="FP367">
        <x:f t="shared" si="415"/>
        <x:v>0</x:v>
      </x:c>
      <x:c r="FQ367">
        <x:f t="shared" si="416"/>
        <x:v>0</x:v>
      </x:c>
      <x:c r="FR367">
        <x:f t="shared" si="417"/>
        <x:v>0</x:v>
      </x:c>
      <x:c r="FS367">
        <x:f t="shared" si="418"/>
        <x:v>0</x:v>
      </x:c>
      <x:c r="FT367">
        <x:f t="shared" si="419"/>
        <x:v>0</x:v>
      </x:c>
      <x:c r="FU367">
        <x:f t="shared" si="420"/>
        <x:v>0</x:v>
      </x:c>
      <x:c r="FV367">
        <x:f t="shared" si="421"/>
        <x:v>0</x:v>
      </x:c>
      <x:c r="FW367" s="41">
        <x:f t="shared" si="422"/>
        <x:v>0</x:v>
      </x:c>
      <x:c r="FX367">
        <x:f t="shared" si="423"/>
        <x:v>0</x:v>
      </x:c>
      <x:c r="FY367">
        <x:f t="shared" si="424"/>
        <x:v>0</x:v>
      </x:c>
      <x:c r="FZ367">
        <x:f t="shared" si="425"/>
        <x:v>0</x:v>
      </x:c>
      <x:c r="GA367">
        <x:f t="shared" si="426"/>
        <x:v>0</x:v>
      </x:c>
      <x:c r="GB367">
        <x:f t="shared" si="427"/>
        <x:v>0</x:v>
      </x:c>
      <x:c r="GC367">
        <x:f t="shared" si="428"/>
        <x:v>0</x:v>
      </x:c>
      <x:c r="GD367">
        <x:f t="shared" si="429"/>
        <x:v>0</x:v>
      </x:c>
      <x:c r="GE367">
        <x:f t="shared" si="430"/>
        <x:v>0</x:v>
      </x:c>
      <x:c r="GF367">
        <x:f t="shared" si="431"/>
        <x:v>0</x:v>
      </x:c>
      <x:c r="GG367">
        <x:f t="shared" si="432"/>
        <x:v>0</x:v>
      </x:c>
      <x:c r="GH367">
        <x:f t="shared" si="433"/>
        <x:v>0</x:v>
      </x:c>
      <x:c r="GI367">
        <x:f t="shared" si="434"/>
        <x:v>0</x:v>
      </x:c>
      <x:c r="GJ367">
        <x:f t="shared" si="435"/>
        <x:v>0</x:v>
      </x:c>
      <x:c r="GK367">
        <x:f t="shared" si="436"/>
        <x:v>0</x:v>
      </x:c>
      <x:c r="GL367">
        <x:f t="shared" si="437"/>
        <x:v>0</x:v>
      </x:c>
      <x:c r="GM367">
        <x:f t="shared" si="438"/>
        <x:v>0</x:v>
      </x:c>
      <x:c r="GN367">
        <x:f t="shared" si="439"/>
        <x:v>0</x:v>
      </x:c>
      <x:c r="GO367">
        <x:f t="shared" si="440"/>
        <x:v>0</x:v>
      </x:c>
      <x:c r="GP367">
        <x:f t="shared" si="441"/>
        <x:v>0</x:v>
      </x:c>
      <x:c r="GQ367">
        <x:f t="shared" si="442"/>
        <x:v>0</x:v>
      </x:c>
      <x:c r="GR367" s="42">
        <x:f t="shared" si="443"/>
        <x:v>0</x:v>
      </x:c>
      <x:c r="GS367">
        <x:f t="shared" si="444"/>
        <x:v>0</x:v>
      </x:c>
      <x:c r="GT367">
        <x:f t="shared" si="445"/>
        <x:v>0</x:v>
      </x:c>
      <x:c r="GU367">
        <x:f t="shared" si="446"/>
        <x:v>0</x:v>
      </x:c>
      <x:c r="GV367">
        <x:f t="shared" si="447"/>
        <x:v>0</x:v>
      </x:c>
      <x:c r="GW367">
        <x:f t="shared" si="448"/>
        <x:v>0</x:v>
      </x:c>
      <x:c r="GX367">
        <x:f t="shared" si="449"/>
        <x:v>0</x:v>
      </x:c>
      <x:c r="GY367">
        <x:f t="shared" si="450"/>
        <x:v>0</x:v>
      </x:c>
      <x:c r="GZ367">
        <x:f t="shared" si="451"/>
        <x:v>0</x:v>
      </x:c>
      <x:c r="HA367">
        <x:f t="shared" si="452"/>
        <x:v>0</x:v>
      </x:c>
      <x:c r="HB367" s="42">
        <x:f t="shared" si="453"/>
        <x:v>0</x:v>
      </x:c>
      <x:c r="HC367">
        <x:f t="shared" si="454"/>
        <x:v>0</x:v>
      </x:c>
      <x:c r="HD367">
        <x:f t="shared" si="455"/>
        <x:v>0</x:v>
      </x:c>
      <x:c r="HE367">
        <x:f t="shared" si="456"/>
        <x:v>0</x:v>
      </x:c>
      <x:c r="HF367">
        <x:f t="shared" si="457"/>
        <x:v>0</x:v>
      </x:c>
      <x:c r="HG367">
        <x:f t="shared" si="458"/>
        <x:v>0</x:v>
      </x:c>
      <x:c r="HH367">
        <x:f t="shared" si="459"/>
        <x:v>0</x:v>
      </x:c>
      <x:c r="HI367">
        <x:f t="shared" si="460"/>
        <x:v>0</x:v>
      </x:c>
      <x:c r="HJ367">
        <x:f t="shared" si="461"/>
        <x:v>0</x:v>
      </x:c>
      <x:c r="HK367">
        <x:f t="shared" si="462"/>
        <x:v>0</x:v>
      </x:c>
      <x:c r="HL367">
        <x:f t="shared" si="463"/>
        <x:v>0</x:v>
      </x:c>
    </x:row>
    <x:row r="368">
      <x:c r="D368" s="74"/>
      <x:c r="EQ368">
        <x:f t="shared" si="390"/>
        <x:v>0</x:v>
      </x:c>
      <x:c r="ER368">
        <x:f t="shared" si="391"/>
        <x:v>0</x:v>
      </x:c>
      <x:c r="ES368">
        <x:f t="shared" si="392"/>
        <x:v>0</x:v>
      </x:c>
      <x:c r="ET368">
        <x:f t="shared" si="393"/>
        <x:v>0</x:v>
      </x:c>
      <x:c r="EU368">
        <x:f t="shared" si="394"/>
        <x:v>0</x:v>
      </x:c>
      <x:c r="EV368">
        <x:f t="shared" si="395"/>
        <x:v>0</x:v>
      </x:c>
      <x:c r="EW368">
        <x:f t="shared" si="396"/>
        <x:v>0</x:v>
      </x:c>
      <x:c r="EX368">
        <x:f t="shared" si="397"/>
        <x:v>0</x:v>
      </x:c>
      <x:c r="EY368">
        <x:f t="shared" si="398"/>
        <x:v>0</x:v>
      </x:c>
      <x:c r="EZ368">
        <x:f t="shared" si="399"/>
        <x:v>0</x:v>
      </x:c>
      <x:c r="FA368" s="41">
        <x:f t="shared" si="400"/>
        <x:v>0</x:v>
      </x:c>
      <x:c r="FB368">
        <x:f t="shared" si="401"/>
        <x:v>0</x:v>
      </x:c>
      <x:c r="FC368">
        <x:f t="shared" si="402"/>
        <x:v>0</x:v>
      </x:c>
      <x:c r="FD368">
        <x:f t="shared" si="403"/>
        <x:v>0</x:v>
      </x:c>
      <x:c r="FE368">
        <x:f t="shared" si="404"/>
        <x:v>0</x:v>
      </x:c>
      <x:c r="FF368">
        <x:f t="shared" si="405"/>
        <x:v>0</x:v>
      </x:c>
      <x:c r="FG368">
        <x:f t="shared" si="406"/>
        <x:v>0</x:v>
      </x:c>
      <x:c r="FH368">
        <x:f t="shared" si="407"/>
        <x:v>0</x:v>
      </x:c>
      <x:c r="FI368">
        <x:f t="shared" si="408"/>
        <x:v>0</x:v>
      </x:c>
      <x:c r="FJ368">
        <x:f t="shared" si="409"/>
        <x:v>0</x:v>
      </x:c>
      <x:c r="FK368">
        <x:f t="shared" si="410"/>
        <x:v>0</x:v>
      </x:c>
      <x:c r="FL368" s="41">
        <x:f t="shared" si="411"/>
        <x:v>0</x:v>
      </x:c>
      <x:c r="FM368">
        <x:f t="shared" si="412"/>
        <x:v>0</x:v>
      </x:c>
      <x:c r="FN368">
        <x:f t="shared" si="413"/>
        <x:v>0</x:v>
      </x:c>
      <x:c r="FO368">
        <x:f t="shared" si="414"/>
        <x:v>0</x:v>
      </x:c>
      <x:c r="FP368">
        <x:f t="shared" si="415"/>
        <x:v>0</x:v>
      </x:c>
      <x:c r="FQ368">
        <x:f t="shared" si="416"/>
        <x:v>0</x:v>
      </x:c>
      <x:c r="FR368">
        <x:f t="shared" si="417"/>
        <x:v>0</x:v>
      </x:c>
      <x:c r="FS368">
        <x:f t="shared" si="418"/>
        <x:v>0</x:v>
      </x:c>
      <x:c r="FT368">
        <x:f t="shared" si="419"/>
        <x:v>0</x:v>
      </x:c>
      <x:c r="FU368">
        <x:f t="shared" si="420"/>
        <x:v>0</x:v>
      </x:c>
      <x:c r="FV368">
        <x:f t="shared" si="421"/>
        <x:v>0</x:v>
      </x:c>
      <x:c r="FW368" s="41">
        <x:f t="shared" si="422"/>
        <x:v>0</x:v>
      </x:c>
      <x:c r="FX368">
        <x:f t="shared" si="423"/>
        <x:v>0</x:v>
      </x:c>
      <x:c r="FY368">
        <x:f t="shared" si="424"/>
        <x:v>0</x:v>
      </x:c>
      <x:c r="FZ368">
        <x:f t="shared" si="425"/>
        <x:v>0</x:v>
      </x:c>
      <x:c r="GA368">
        <x:f t="shared" si="426"/>
        <x:v>0</x:v>
      </x:c>
      <x:c r="GB368">
        <x:f t="shared" si="427"/>
        <x:v>0</x:v>
      </x:c>
      <x:c r="GC368">
        <x:f t="shared" si="428"/>
        <x:v>0</x:v>
      </x:c>
      <x:c r="GD368">
        <x:f t="shared" si="429"/>
        <x:v>0</x:v>
      </x:c>
      <x:c r="GE368">
        <x:f t="shared" si="430"/>
        <x:v>0</x:v>
      </x:c>
      <x:c r="GF368">
        <x:f t="shared" si="431"/>
        <x:v>0</x:v>
      </x:c>
      <x:c r="GG368">
        <x:f t="shared" si="432"/>
        <x:v>0</x:v>
      </x:c>
      <x:c r="GH368">
        <x:f t="shared" si="433"/>
        <x:v>0</x:v>
      </x:c>
      <x:c r="GI368">
        <x:f t="shared" si="434"/>
        <x:v>0</x:v>
      </x:c>
      <x:c r="GJ368">
        <x:f t="shared" si="435"/>
        <x:v>0</x:v>
      </x:c>
      <x:c r="GK368">
        <x:f t="shared" si="436"/>
        <x:v>0</x:v>
      </x:c>
      <x:c r="GL368">
        <x:f t="shared" si="437"/>
        <x:v>0</x:v>
      </x:c>
      <x:c r="GM368">
        <x:f t="shared" si="438"/>
        <x:v>0</x:v>
      </x:c>
      <x:c r="GN368">
        <x:f t="shared" si="439"/>
        <x:v>0</x:v>
      </x:c>
      <x:c r="GO368">
        <x:f t="shared" si="440"/>
        <x:v>0</x:v>
      </x:c>
      <x:c r="GP368">
        <x:f t="shared" si="441"/>
        <x:v>0</x:v>
      </x:c>
      <x:c r="GQ368">
        <x:f t="shared" si="442"/>
        <x:v>0</x:v>
      </x:c>
      <x:c r="GR368" s="42">
        <x:f t="shared" si="443"/>
        <x:v>0</x:v>
      </x:c>
      <x:c r="GS368">
        <x:f t="shared" si="444"/>
        <x:v>0</x:v>
      </x:c>
      <x:c r="GT368">
        <x:f t="shared" si="445"/>
        <x:v>0</x:v>
      </x:c>
      <x:c r="GU368">
        <x:f t="shared" si="446"/>
        <x:v>0</x:v>
      </x:c>
      <x:c r="GV368">
        <x:f t="shared" si="447"/>
        <x:v>0</x:v>
      </x:c>
      <x:c r="GW368">
        <x:f t="shared" si="448"/>
        <x:v>0</x:v>
      </x:c>
      <x:c r="GX368">
        <x:f t="shared" si="449"/>
        <x:v>0</x:v>
      </x:c>
      <x:c r="GY368">
        <x:f t="shared" si="450"/>
        <x:v>0</x:v>
      </x:c>
      <x:c r="GZ368">
        <x:f t="shared" si="451"/>
        <x:v>0</x:v>
      </x:c>
      <x:c r="HA368">
        <x:f t="shared" si="452"/>
        <x:v>0</x:v>
      </x:c>
      <x:c r="HB368" s="42">
        <x:f t="shared" si="453"/>
        <x:v>0</x:v>
      </x:c>
      <x:c r="HC368">
        <x:f t="shared" si="454"/>
        <x:v>0</x:v>
      </x:c>
      <x:c r="HD368">
        <x:f t="shared" si="455"/>
        <x:v>0</x:v>
      </x:c>
      <x:c r="HE368">
        <x:f t="shared" si="456"/>
        <x:v>0</x:v>
      </x:c>
      <x:c r="HF368">
        <x:f t="shared" si="457"/>
        <x:v>0</x:v>
      </x:c>
      <x:c r="HG368">
        <x:f t="shared" si="458"/>
        <x:v>0</x:v>
      </x:c>
      <x:c r="HH368">
        <x:f t="shared" si="459"/>
        <x:v>0</x:v>
      </x:c>
      <x:c r="HI368">
        <x:f t="shared" si="460"/>
        <x:v>0</x:v>
      </x:c>
      <x:c r="HJ368">
        <x:f t="shared" si="461"/>
        <x:v>0</x:v>
      </x:c>
      <x:c r="HK368">
        <x:f t="shared" si="462"/>
        <x:v>0</x:v>
      </x:c>
      <x:c r="HL368">
        <x:f t="shared" si="463"/>
        <x:v>0</x:v>
      </x:c>
    </x:row>
    <x:row r="369">
      <x:c r="D369" s="74"/>
      <x:c r="EQ369">
        <x:f t="shared" si="390"/>
        <x:v>0</x:v>
      </x:c>
      <x:c r="ER369">
        <x:f t="shared" si="391"/>
        <x:v>0</x:v>
      </x:c>
      <x:c r="ES369">
        <x:f t="shared" si="392"/>
        <x:v>0</x:v>
      </x:c>
      <x:c r="ET369">
        <x:f t="shared" si="393"/>
        <x:v>0</x:v>
      </x:c>
      <x:c r="EU369">
        <x:f t="shared" si="394"/>
        <x:v>0</x:v>
      </x:c>
      <x:c r="EV369">
        <x:f t="shared" si="395"/>
        <x:v>0</x:v>
      </x:c>
      <x:c r="EW369">
        <x:f t="shared" si="396"/>
        <x:v>0</x:v>
      </x:c>
      <x:c r="EX369">
        <x:f t="shared" si="397"/>
        <x:v>0</x:v>
      </x:c>
      <x:c r="EY369">
        <x:f t="shared" si="398"/>
        <x:v>0</x:v>
      </x:c>
      <x:c r="EZ369">
        <x:f t="shared" si="399"/>
        <x:v>0</x:v>
      </x:c>
      <x:c r="FA369" s="41">
        <x:f t="shared" si="400"/>
        <x:v>0</x:v>
      </x:c>
      <x:c r="FB369">
        <x:f t="shared" si="401"/>
        <x:v>0</x:v>
      </x:c>
      <x:c r="FC369">
        <x:f t="shared" si="402"/>
        <x:v>0</x:v>
      </x:c>
      <x:c r="FD369">
        <x:f t="shared" si="403"/>
        <x:v>0</x:v>
      </x:c>
      <x:c r="FE369">
        <x:f t="shared" si="404"/>
        <x:v>0</x:v>
      </x:c>
      <x:c r="FF369">
        <x:f t="shared" si="405"/>
        <x:v>0</x:v>
      </x:c>
      <x:c r="FG369">
        <x:f t="shared" si="406"/>
        <x:v>0</x:v>
      </x:c>
      <x:c r="FH369">
        <x:f t="shared" si="407"/>
        <x:v>0</x:v>
      </x:c>
      <x:c r="FI369">
        <x:f t="shared" si="408"/>
        <x:v>0</x:v>
      </x:c>
      <x:c r="FJ369">
        <x:f t="shared" si="409"/>
        <x:v>0</x:v>
      </x:c>
      <x:c r="FK369">
        <x:f t="shared" si="410"/>
        <x:v>0</x:v>
      </x:c>
      <x:c r="FL369" s="41">
        <x:f t="shared" si="411"/>
        <x:v>0</x:v>
      </x:c>
      <x:c r="FM369">
        <x:f t="shared" si="412"/>
        <x:v>0</x:v>
      </x:c>
      <x:c r="FN369">
        <x:f t="shared" si="413"/>
        <x:v>0</x:v>
      </x:c>
      <x:c r="FO369">
        <x:f t="shared" si="414"/>
        <x:v>0</x:v>
      </x:c>
      <x:c r="FP369">
        <x:f t="shared" si="415"/>
        <x:v>0</x:v>
      </x:c>
      <x:c r="FQ369">
        <x:f t="shared" si="416"/>
        <x:v>0</x:v>
      </x:c>
      <x:c r="FR369">
        <x:f t="shared" si="417"/>
        <x:v>0</x:v>
      </x:c>
      <x:c r="FS369">
        <x:f t="shared" si="418"/>
        <x:v>0</x:v>
      </x:c>
      <x:c r="FT369">
        <x:f t="shared" si="419"/>
        <x:v>0</x:v>
      </x:c>
      <x:c r="FU369">
        <x:f t="shared" si="420"/>
        <x:v>0</x:v>
      </x:c>
      <x:c r="FV369">
        <x:f t="shared" si="421"/>
        <x:v>0</x:v>
      </x:c>
      <x:c r="FW369" s="41">
        <x:f t="shared" si="422"/>
        <x:v>0</x:v>
      </x:c>
      <x:c r="FX369">
        <x:f t="shared" si="423"/>
        <x:v>0</x:v>
      </x:c>
      <x:c r="FY369">
        <x:f t="shared" si="424"/>
        <x:v>0</x:v>
      </x:c>
      <x:c r="FZ369">
        <x:f t="shared" si="425"/>
        <x:v>0</x:v>
      </x:c>
      <x:c r="GA369">
        <x:f t="shared" si="426"/>
        <x:v>0</x:v>
      </x:c>
      <x:c r="GB369">
        <x:f t="shared" si="427"/>
        <x:v>0</x:v>
      </x:c>
      <x:c r="GC369">
        <x:f t="shared" si="428"/>
        <x:v>0</x:v>
      </x:c>
      <x:c r="GD369">
        <x:f t="shared" si="429"/>
        <x:v>0</x:v>
      </x:c>
      <x:c r="GE369">
        <x:f t="shared" si="430"/>
        <x:v>0</x:v>
      </x:c>
      <x:c r="GF369">
        <x:f t="shared" si="431"/>
        <x:v>0</x:v>
      </x:c>
      <x:c r="GG369">
        <x:f t="shared" si="432"/>
        <x:v>0</x:v>
      </x:c>
      <x:c r="GH369">
        <x:f t="shared" si="433"/>
        <x:v>0</x:v>
      </x:c>
      <x:c r="GI369">
        <x:f t="shared" si="434"/>
        <x:v>0</x:v>
      </x:c>
      <x:c r="GJ369">
        <x:f t="shared" si="435"/>
        <x:v>0</x:v>
      </x:c>
      <x:c r="GK369">
        <x:f t="shared" si="436"/>
        <x:v>0</x:v>
      </x:c>
      <x:c r="GL369">
        <x:f t="shared" si="437"/>
        <x:v>0</x:v>
      </x:c>
      <x:c r="GM369">
        <x:f t="shared" si="438"/>
        <x:v>0</x:v>
      </x:c>
      <x:c r="GN369">
        <x:f t="shared" si="439"/>
        <x:v>0</x:v>
      </x:c>
      <x:c r="GO369">
        <x:f t="shared" si="440"/>
        <x:v>0</x:v>
      </x:c>
      <x:c r="GP369">
        <x:f t="shared" si="441"/>
        <x:v>0</x:v>
      </x:c>
      <x:c r="GQ369">
        <x:f t="shared" si="442"/>
        <x:v>0</x:v>
      </x:c>
      <x:c r="GR369" s="42">
        <x:f t="shared" si="443"/>
        <x:v>0</x:v>
      </x:c>
      <x:c r="GS369">
        <x:f t="shared" si="444"/>
        <x:v>0</x:v>
      </x:c>
      <x:c r="GT369">
        <x:f t="shared" si="445"/>
        <x:v>0</x:v>
      </x:c>
      <x:c r="GU369">
        <x:f t="shared" si="446"/>
        <x:v>0</x:v>
      </x:c>
      <x:c r="GV369">
        <x:f t="shared" si="447"/>
        <x:v>0</x:v>
      </x:c>
      <x:c r="GW369">
        <x:f t="shared" si="448"/>
        <x:v>0</x:v>
      </x:c>
      <x:c r="GX369">
        <x:f t="shared" si="449"/>
        <x:v>0</x:v>
      </x:c>
      <x:c r="GY369">
        <x:f t="shared" si="450"/>
        <x:v>0</x:v>
      </x:c>
      <x:c r="GZ369">
        <x:f t="shared" si="451"/>
        <x:v>0</x:v>
      </x:c>
      <x:c r="HA369">
        <x:f t="shared" si="452"/>
        <x:v>0</x:v>
      </x:c>
      <x:c r="HB369" s="42">
        <x:f t="shared" si="453"/>
        <x:v>0</x:v>
      </x:c>
      <x:c r="HC369">
        <x:f t="shared" si="454"/>
        <x:v>0</x:v>
      </x:c>
      <x:c r="HD369">
        <x:f t="shared" si="455"/>
        <x:v>0</x:v>
      </x:c>
      <x:c r="HE369">
        <x:f t="shared" si="456"/>
        <x:v>0</x:v>
      </x:c>
      <x:c r="HF369">
        <x:f t="shared" si="457"/>
        <x:v>0</x:v>
      </x:c>
      <x:c r="HG369">
        <x:f t="shared" si="458"/>
        <x:v>0</x:v>
      </x:c>
      <x:c r="HH369">
        <x:f t="shared" si="459"/>
        <x:v>0</x:v>
      </x:c>
      <x:c r="HI369">
        <x:f t="shared" si="460"/>
        <x:v>0</x:v>
      </x:c>
      <x:c r="HJ369">
        <x:f t="shared" si="461"/>
        <x:v>0</x:v>
      </x:c>
      <x:c r="HK369">
        <x:f t="shared" si="462"/>
        <x:v>0</x:v>
      </x:c>
      <x:c r="HL369">
        <x:f t="shared" si="463"/>
        <x:v>0</x:v>
      </x:c>
    </x:row>
    <x:row r="370">
      <x:c r="D370" s="74"/>
      <x:c r="EQ370">
        <x:f t="shared" si="390"/>
        <x:v>0</x:v>
      </x:c>
      <x:c r="ER370">
        <x:f t="shared" si="391"/>
        <x:v>0</x:v>
      </x:c>
      <x:c r="ES370">
        <x:f t="shared" si="392"/>
        <x:v>0</x:v>
      </x:c>
      <x:c r="ET370">
        <x:f t="shared" si="393"/>
        <x:v>0</x:v>
      </x:c>
      <x:c r="EU370">
        <x:f t="shared" si="394"/>
        <x:v>0</x:v>
      </x:c>
      <x:c r="EV370">
        <x:f t="shared" si="395"/>
        <x:v>0</x:v>
      </x:c>
      <x:c r="EW370">
        <x:f t="shared" si="396"/>
        <x:v>0</x:v>
      </x:c>
      <x:c r="EX370">
        <x:f t="shared" si="397"/>
        <x:v>0</x:v>
      </x:c>
      <x:c r="EY370">
        <x:f t="shared" si="398"/>
        <x:v>0</x:v>
      </x:c>
      <x:c r="EZ370">
        <x:f t="shared" si="399"/>
        <x:v>0</x:v>
      </x:c>
      <x:c r="FA370" s="41">
        <x:f t="shared" si="400"/>
        <x:v>0</x:v>
      </x:c>
      <x:c r="FB370">
        <x:f t="shared" si="401"/>
        <x:v>0</x:v>
      </x:c>
      <x:c r="FC370">
        <x:f t="shared" si="402"/>
        <x:v>0</x:v>
      </x:c>
      <x:c r="FD370">
        <x:f t="shared" si="403"/>
        <x:v>0</x:v>
      </x:c>
      <x:c r="FE370">
        <x:f t="shared" si="404"/>
        <x:v>0</x:v>
      </x:c>
      <x:c r="FF370">
        <x:f t="shared" si="405"/>
        <x:v>0</x:v>
      </x:c>
      <x:c r="FG370">
        <x:f t="shared" si="406"/>
        <x:v>0</x:v>
      </x:c>
      <x:c r="FH370">
        <x:f t="shared" si="407"/>
        <x:v>0</x:v>
      </x:c>
      <x:c r="FI370">
        <x:f t="shared" si="408"/>
        <x:v>0</x:v>
      </x:c>
      <x:c r="FJ370">
        <x:f t="shared" si="409"/>
        <x:v>0</x:v>
      </x:c>
      <x:c r="FK370">
        <x:f t="shared" si="410"/>
        <x:v>0</x:v>
      </x:c>
      <x:c r="FL370" s="41">
        <x:f t="shared" si="411"/>
        <x:v>0</x:v>
      </x:c>
      <x:c r="FM370">
        <x:f t="shared" si="412"/>
        <x:v>0</x:v>
      </x:c>
      <x:c r="FN370">
        <x:f t="shared" si="413"/>
        <x:v>0</x:v>
      </x:c>
      <x:c r="FO370">
        <x:f t="shared" si="414"/>
        <x:v>0</x:v>
      </x:c>
      <x:c r="FP370">
        <x:f t="shared" si="415"/>
        <x:v>0</x:v>
      </x:c>
      <x:c r="FQ370">
        <x:f t="shared" si="416"/>
        <x:v>0</x:v>
      </x:c>
      <x:c r="FR370">
        <x:f t="shared" si="417"/>
        <x:v>0</x:v>
      </x:c>
      <x:c r="FS370">
        <x:f t="shared" si="418"/>
        <x:v>0</x:v>
      </x:c>
      <x:c r="FT370">
        <x:f t="shared" si="419"/>
        <x:v>0</x:v>
      </x:c>
      <x:c r="FU370">
        <x:f t="shared" si="420"/>
        <x:v>0</x:v>
      </x:c>
      <x:c r="FV370">
        <x:f t="shared" si="421"/>
        <x:v>0</x:v>
      </x:c>
      <x:c r="FW370" s="41">
        <x:f t="shared" si="422"/>
        <x:v>0</x:v>
      </x:c>
      <x:c r="FX370">
        <x:f t="shared" si="423"/>
        <x:v>0</x:v>
      </x:c>
      <x:c r="FY370">
        <x:f t="shared" si="424"/>
        <x:v>0</x:v>
      </x:c>
      <x:c r="FZ370">
        <x:f t="shared" si="425"/>
        <x:v>0</x:v>
      </x:c>
      <x:c r="GA370">
        <x:f t="shared" si="426"/>
        <x:v>0</x:v>
      </x:c>
      <x:c r="GB370">
        <x:f t="shared" si="427"/>
        <x:v>0</x:v>
      </x:c>
      <x:c r="GC370">
        <x:f t="shared" si="428"/>
        <x:v>0</x:v>
      </x:c>
      <x:c r="GD370">
        <x:f t="shared" si="429"/>
        <x:v>0</x:v>
      </x:c>
      <x:c r="GE370">
        <x:f t="shared" si="430"/>
        <x:v>0</x:v>
      </x:c>
      <x:c r="GF370">
        <x:f t="shared" si="431"/>
        <x:v>0</x:v>
      </x:c>
      <x:c r="GG370">
        <x:f t="shared" si="432"/>
        <x:v>0</x:v>
      </x:c>
      <x:c r="GH370">
        <x:f t="shared" si="433"/>
        <x:v>0</x:v>
      </x:c>
      <x:c r="GI370">
        <x:f t="shared" si="434"/>
        <x:v>0</x:v>
      </x:c>
      <x:c r="GJ370">
        <x:f t="shared" si="435"/>
        <x:v>0</x:v>
      </x:c>
      <x:c r="GK370">
        <x:f t="shared" si="436"/>
        <x:v>0</x:v>
      </x:c>
      <x:c r="GL370">
        <x:f t="shared" si="437"/>
        <x:v>0</x:v>
      </x:c>
      <x:c r="GM370">
        <x:f t="shared" si="438"/>
        <x:v>0</x:v>
      </x:c>
      <x:c r="GN370">
        <x:f t="shared" si="439"/>
        <x:v>0</x:v>
      </x:c>
      <x:c r="GO370">
        <x:f t="shared" si="440"/>
        <x:v>0</x:v>
      </x:c>
      <x:c r="GP370">
        <x:f t="shared" si="441"/>
        <x:v>0</x:v>
      </x:c>
      <x:c r="GQ370">
        <x:f t="shared" si="442"/>
        <x:v>0</x:v>
      </x:c>
      <x:c r="GR370" s="42">
        <x:f t="shared" si="443"/>
        <x:v>0</x:v>
      </x:c>
      <x:c r="GS370">
        <x:f t="shared" si="444"/>
        <x:v>0</x:v>
      </x:c>
      <x:c r="GT370">
        <x:f t="shared" si="445"/>
        <x:v>0</x:v>
      </x:c>
      <x:c r="GU370">
        <x:f t="shared" si="446"/>
        <x:v>0</x:v>
      </x:c>
      <x:c r="GV370">
        <x:f t="shared" si="447"/>
        <x:v>0</x:v>
      </x:c>
      <x:c r="GW370">
        <x:f t="shared" si="448"/>
        <x:v>0</x:v>
      </x:c>
      <x:c r="GX370">
        <x:f t="shared" si="449"/>
        <x:v>0</x:v>
      </x:c>
      <x:c r="GY370">
        <x:f t="shared" si="450"/>
        <x:v>0</x:v>
      </x:c>
      <x:c r="GZ370">
        <x:f t="shared" si="451"/>
        <x:v>0</x:v>
      </x:c>
      <x:c r="HA370">
        <x:f t="shared" si="452"/>
        <x:v>0</x:v>
      </x:c>
      <x:c r="HB370" s="42">
        <x:f t="shared" si="453"/>
        <x:v>0</x:v>
      </x:c>
      <x:c r="HC370">
        <x:f t="shared" si="454"/>
        <x:v>0</x:v>
      </x:c>
      <x:c r="HD370">
        <x:f t="shared" si="455"/>
        <x:v>0</x:v>
      </x:c>
      <x:c r="HE370">
        <x:f t="shared" si="456"/>
        <x:v>0</x:v>
      </x:c>
      <x:c r="HF370">
        <x:f t="shared" si="457"/>
        <x:v>0</x:v>
      </x:c>
      <x:c r="HG370">
        <x:f t="shared" si="458"/>
        <x:v>0</x:v>
      </x:c>
      <x:c r="HH370">
        <x:f t="shared" si="459"/>
        <x:v>0</x:v>
      </x:c>
      <x:c r="HI370">
        <x:f t="shared" si="460"/>
        <x:v>0</x:v>
      </x:c>
      <x:c r="HJ370">
        <x:f t="shared" si="461"/>
        <x:v>0</x:v>
      </x:c>
      <x:c r="HK370">
        <x:f t="shared" si="462"/>
        <x:v>0</x:v>
      </x:c>
      <x:c r="HL370">
        <x:f t="shared" si="463"/>
        <x:v>0</x:v>
      </x:c>
    </x:row>
    <x:row r="371">
      <x:c r="D371" s="74"/>
      <x:c r="EQ371">
        <x:f t="shared" si="390"/>
        <x:v>0</x:v>
      </x:c>
      <x:c r="ER371">
        <x:f t="shared" si="391"/>
        <x:v>0</x:v>
      </x:c>
      <x:c r="ES371">
        <x:f t="shared" si="392"/>
        <x:v>0</x:v>
      </x:c>
      <x:c r="ET371">
        <x:f t="shared" si="393"/>
        <x:v>0</x:v>
      </x:c>
      <x:c r="EU371">
        <x:f t="shared" si="394"/>
        <x:v>0</x:v>
      </x:c>
      <x:c r="EV371">
        <x:f t="shared" si="395"/>
        <x:v>0</x:v>
      </x:c>
      <x:c r="EW371">
        <x:f t="shared" si="396"/>
        <x:v>0</x:v>
      </x:c>
      <x:c r="EX371">
        <x:f t="shared" si="397"/>
        <x:v>0</x:v>
      </x:c>
      <x:c r="EY371">
        <x:f t="shared" si="398"/>
        <x:v>0</x:v>
      </x:c>
      <x:c r="EZ371">
        <x:f t="shared" si="399"/>
        <x:v>0</x:v>
      </x:c>
      <x:c r="FA371" s="41">
        <x:f t="shared" si="400"/>
        <x:v>0</x:v>
      </x:c>
      <x:c r="FB371">
        <x:f t="shared" si="401"/>
        <x:v>0</x:v>
      </x:c>
      <x:c r="FC371">
        <x:f t="shared" si="402"/>
        <x:v>0</x:v>
      </x:c>
      <x:c r="FD371">
        <x:f t="shared" si="403"/>
        <x:v>0</x:v>
      </x:c>
      <x:c r="FE371">
        <x:f t="shared" si="404"/>
        <x:v>0</x:v>
      </x:c>
      <x:c r="FF371">
        <x:f t="shared" si="405"/>
        <x:v>0</x:v>
      </x:c>
      <x:c r="FG371">
        <x:f t="shared" si="406"/>
        <x:v>0</x:v>
      </x:c>
      <x:c r="FH371">
        <x:f t="shared" si="407"/>
        <x:v>0</x:v>
      </x:c>
      <x:c r="FI371">
        <x:f t="shared" si="408"/>
        <x:v>0</x:v>
      </x:c>
      <x:c r="FJ371">
        <x:f t="shared" si="409"/>
        <x:v>0</x:v>
      </x:c>
      <x:c r="FK371">
        <x:f t="shared" si="410"/>
        <x:v>0</x:v>
      </x:c>
      <x:c r="FL371" s="41">
        <x:f t="shared" si="411"/>
        <x:v>0</x:v>
      </x:c>
      <x:c r="FM371">
        <x:f t="shared" si="412"/>
        <x:v>0</x:v>
      </x:c>
      <x:c r="FN371">
        <x:f t="shared" si="413"/>
        <x:v>0</x:v>
      </x:c>
      <x:c r="FO371">
        <x:f t="shared" si="414"/>
        <x:v>0</x:v>
      </x:c>
      <x:c r="FP371">
        <x:f t="shared" si="415"/>
        <x:v>0</x:v>
      </x:c>
      <x:c r="FQ371">
        <x:f t="shared" si="416"/>
        <x:v>0</x:v>
      </x:c>
      <x:c r="FR371">
        <x:f t="shared" si="417"/>
        <x:v>0</x:v>
      </x:c>
      <x:c r="FS371">
        <x:f t="shared" si="418"/>
        <x:v>0</x:v>
      </x:c>
      <x:c r="FT371">
        <x:f t="shared" si="419"/>
        <x:v>0</x:v>
      </x:c>
      <x:c r="FU371">
        <x:f t="shared" si="420"/>
        <x:v>0</x:v>
      </x:c>
      <x:c r="FV371">
        <x:f t="shared" si="421"/>
        <x:v>0</x:v>
      </x:c>
      <x:c r="FW371" s="41">
        <x:f t="shared" si="422"/>
        <x:v>0</x:v>
      </x:c>
      <x:c r="FX371">
        <x:f t="shared" si="423"/>
        <x:v>0</x:v>
      </x:c>
      <x:c r="FY371">
        <x:f t="shared" si="424"/>
        <x:v>0</x:v>
      </x:c>
      <x:c r="FZ371">
        <x:f t="shared" si="425"/>
        <x:v>0</x:v>
      </x:c>
      <x:c r="GA371">
        <x:f t="shared" si="426"/>
        <x:v>0</x:v>
      </x:c>
      <x:c r="GB371">
        <x:f t="shared" si="427"/>
        <x:v>0</x:v>
      </x:c>
      <x:c r="GC371">
        <x:f t="shared" si="428"/>
        <x:v>0</x:v>
      </x:c>
      <x:c r="GD371">
        <x:f t="shared" si="429"/>
        <x:v>0</x:v>
      </x:c>
      <x:c r="GE371">
        <x:f t="shared" si="430"/>
        <x:v>0</x:v>
      </x:c>
      <x:c r="GF371">
        <x:f t="shared" si="431"/>
        <x:v>0</x:v>
      </x:c>
      <x:c r="GG371">
        <x:f t="shared" si="432"/>
        <x:v>0</x:v>
      </x:c>
      <x:c r="GH371">
        <x:f t="shared" si="433"/>
        <x:v>0</x:v>
      </x:c>
      <x:c r="GI371">
        <x:f t="shared" si="434"/>
        <x:v>0</x:v>
      </x:c>
      <x:c r="GJ371">
        <x:f t="shared" si="435"/>
        <x:v>0</x:v>
      </x:c>
      <x:c r="GK371">
        <x:f t="shared" si="436"/>
        <x:v>0</x:v>
      </x:c>
      <x:c r="GL371">
        <x:f t="shared" si="437"/>
        <x:v>0</x:v>
      </x:c>
      <x:c r="GM371">
        <x:f t="shared" si="438"/>
        <x:v>0</x:v>
      </x:c>
      <x:c r="GN371">
        <x:f t="shared" si="439"/>
        <x:v>0</x:v>
      </x:c>
      <x:c r="GO371">
        <x:f t="shared" si="440"/>
        <x:v>0</x:v>
      </x:c>
      <x:c r="GP371">
        <x:f t="shared" si="441"/>
        <x:v>0</x:v>
      </x:c>
      <x:c r="GQ371">
        <x:f t="shared" si="442"/>
        <x:v>0</x:v>
      </x:c>
      <x:c r="GR371" s="42">
        <x:f t="shared" si="443"/>
        <x:v>0</x:v>
      </x:c>
      <x:c r="GS371">
        <x:f t="shared" si="444"/>
        <x:v>0</x:v>
      </x:c>
      <x:c r="GT371">
        <x:f t="shared" si="445"/>
        <x:v>0</x:v>
      </x:c>
      <x:c r="GU371">
        <x:f t="shared" si="446"/>
        <x:v>0</x:v>
      </x:c>
      <x:c r="GV371">
        <x:f t="shared" si="447"/>
        <x:v>0</x:v>
      </x:c>
      <x:c r="GW371">
        <x:f t="shared" si="448"/>
        <x:v>0</x:v>
      </x:c>
      <x:c r="GX371">
        <x:f t="shared" si="449"/>
        <x:v>0</x:v>
      </x:c>
      <x:c r="GY371">
        <x:f t="shared" si="450"/>
        <x:v>0</x:v>
      </x:c>
      <x:c r="GZ371">
        <x:f t="shared" si="451"/>
        <x:v>0</x:v>
      </x:c>
      <x:c r="HA371">
        <x:f t="shared" si="452"/>
        <x:v>0</x:v>
      </x:c>
      <x:c r="HB371" s="42">
        <x:f t="shared" si="453"/>
        <x:v>0</x:v>
      </x:c>
      <x:c r="HC371">
        <x:f t="shared" si="454"/>
        <x:v>0</x:v>
      </x:c>
      <x:c r="HD371">
        <x:f t="shared" si="455"/>
        <x:v>0</x:v>
      </x:c>
      <x:c r="HE371">
        <x:f t="shared" si="456"/>
        <x:v>0</x:v>
      </x:c>
      <x:c r="HF371">
        <x:f t="shared" si="457"/>
        <x:v>0</x:v>
      </x:c>
      <x:c r="HG371">
        <x:f t="shared" si="458"/>
        <x:v>0</x:v>
      </x:c>
      <x:c r="HH371">
        <x:f t="shared" si="459"/>
        <x:v>0</x:v>
      </x:c>
      <x:c r="HI371">
        <x:f t="shared" si="460"/>
        <x:v>0</x:v>
      </x:c>
      <x:c r="HJ371">
        <x:f t="shared" si="461"/>
        <x:v>0</x:v>
      </x:c>
      <x:c r="HK371">
        <x:f t="shared" si="462"/>
        <x:v>0</x:v>
      </x:c>
      <x:c r="HL371">
        <x:f t="shared" si="463"/>
        <x:v>0</x:v>
      </x:c>
    </x:row>
    <x:row r="372">
      <x:c r="D372" s="74"/>
      <x:c r="EQ372">
        <x:f t="shared" si="390"/>
        <x:v>0</x:v>
      </x:c>
      <x:c r="ER372">
        <x:f t="shared" si="391"/>
        <x:v>0</x:v>
      </x:c>
      <x:c r="ES372">
        <x:f t="shared" si="392"/>
        <x:v>0</x:v>
      </x:c>
      <x:c r="ET372">
        <x:f t="shared" si="393"/>
        <x:v>0</x:v>
      </x:c>
      <x:c r="EU372">
        <x:f t="shared" si="394"/>
        <x:v>0</x:v>
      </x:c>
      <x:c r="EV372">
        <x:f t="shared" si="395"/>
        <x:v>0</x:v>
      </x:c>
      <x:c r="EW372">
        <x:f t="shared" si="396"/>
        <x:v>0</x:v>
      </x:c>
      <x:c r="EX372">
        <x:f t="shared" si="397"/>
        <x:v>0</x:v>
      </x:c>
      <x:c r="EY372">
        <x:f t="shared" si="398"/>
        <x:v>0</x:v>
      </x:c>
      <x:c r="EZ372">
        <x:f t="shared" si="399"/>
        <x:v>0</x:v>
      </x:c>
      <x:c r="FA372" s="41">
        <x:f t="shared" si="400"/>
        <x:v>0</x:v>
      </x:c>
      <x:c r="FB372">
        <x:f t="shared" si="401"/>
        <x:v>0</x:v>
      </x:c>
      <x:c r="FC372">
        <x:f t="shared" si="402"/>
        <x:v>0</x:v>
      </x:c>
      <x:c r="FD372">
        <x:f t="shared" si="403"/>
        <x:v>0</x:v>
      </x:c>
      <x:c r="FE372">
        <x:f t="shared" si="404"/>
        <x:v>0</x:v>
      </x:c>
      <x:c r="FF372">
        <x:f t="shared" si="405"/>
        <x:v>0</x:v>
      </x:c>
      <x:c r="FG372">
        <x:f t="shared" si="406"/>
        <x:v>0</x:v>
      </x:c>
      <x:c r="FH372">
        <x:f t="shared" si="407"/>
        <x:v>0</x:v>
      </x:c>
      <x:c r="FI372">
        <x:f t="shared" si="408"/>
        <x:v>0</x:v>
      </x:c>
      <x:c r="FJ372">
        <x:f t="shared" si="409"/>
        <x:v>0</x:v>
      </x:c>
      <x:c r="FK372">
        <x:f t="shared" si="410"/>
        <x:v>0</x:v>
      </x:c>
      <x:c r="FL372" s="41">
        <x:f t="shared" si="411"/>
        <x:v>0</x:v>
      </x:c>
      <x:c r="FM372">
        <x:f t="shared" si="412"/>
        <x:v>0</x:v>
      </x:c>
      <x:c r="FN372">
        <x:f t="shared" si="413"/>
        <x:v>0</x:v>
      </x:c>
      <x:c r="FO372">
        <x:f t="shared" si="414"/>
        <x:v>0</x:v>
      </x:c>
      <x:c r="FP372">
        <x:f t="shared" si="415"/>
        <x:v>0</x:v>
      </x:c>
      <x:c r="FQ372">
        <x:f t="shared" si="416"/>
        <x:v>0</x:v>
      </x:c>
      <x:c r="FR372">
        <x:f t="shared" si="417"/>
        <x:v>0</x:v>
      </x:c>
      <x:c r="FS372">
        <x:f t="shared" si="418"/>
        <x:v>0</x:v>
      </x:c>
      <x:c r="FT372">
        <x:f t="shared" si="419"/>
        <x:v>0</x:v>
      </x:c>
      <x:c r="FU372">
        <x:f t="shared" si="420"/>
        <x:v>0</x:v>
      </x:c>
      <x:c r="FV372">
        <x:f t="shared" si="421"/>
        <x:v>0</x:v>
      </x:c>
      <x:c r="FW372" s="41">
        <x:f t="shared" si="422"/>
        <x:v>0</x:v>
      </x:c>
      <x:c r="FX372">
        <x:f t="shared" si="423"/>
        <x:v>0</x:v>
      </x:c>
      <x:c r="FY372">
        <x:f t="shared" si="424"/>
        <x:v>0</x:v>
      </x:c>
      <x:c r="FZ372">
        <x:f t="shared" si="425"/>
        <x:v>0</x:v>
      </x:c>
      <x:c r="GA372">
        <x:f t="shared" si="426"/>
        <x:v>0</x:v>
      </x:c>
      <x:c r="GB372">
        <x:f t="shared" si="427"/>
        <x:v>0</x:v>
      </x:c>
      <x:c r="GC372">
        <x:f t="shared" si="428"/>
        <x:v>0</x:v>
      </x:c>
      <x:c r="GD372">
        <x:f t="shared" si="429"/>
        <x:v>0</x:v>
      </x:c>
      <x:c r="GE372">
        <x:f t="shared" si="430"/>
        <x:v>0</x:v>
      </x:c>
      <x:c r="GF372">
        <x:f t="shared" si="431"/>
        <x:v>0</x:v>
      </x:c>
      <x:c r="GG372">
        <x:f t="shared" si="432"/>
        <x:v>0</x:v>
      </x:c>
      <x:c r="GH372">
        <x:f t="shared" si="433"/>
        <x:v>0</x:v>
      </x:c>
      <x:c r="GI372">
        <x:f t="shared" si="434"/>
        <x:v>0</x:v>
      </x:c>
      <x:c r="GJ372">
        <x:f t="shared" si="435"/>
        <x:v>0</x:v>
      </x:c>
      <x:c r="GK372">
        <x:f t="shared" si="436"/>
        <x:v>0</x:v>
      </x:c>
      <x:c r="GL372">
        <x:f t="shared" si="437"/>
        <x:v>0</x:v>
      </x:c>
      <x:c r="GM372">
        <x:f t="shared" si="438"/>
        <x:v>0</x:v>
      </x:c>
      <x:c r="GN372">
        <x:f t="shared" si="439"/>
        <x:v>0</x:v>
      </x:c>
      <x:c r="GO372">
        <x:f t="shared" si="440"/>
        <x:v>0</x:v>
      </x:c>
      <x:c r="GP372">
        <x:f t="shared" si="441"/>
        <x:v>0</x:v>
      </x:c>
      <x:c r="GQ372">
        <x:f t="shared" si="442"/>
        <x:v>0</x:v>
      </x:c>
      <x:c r="GR372" s="42">
        <x:f t="shared" si="443"/>
        <x:v>0</x:v>
      </x:c>
      <x:c r="GS372">
        <x:f t="shared" si="444"/>
        <x:v>0</x:v>
      </x:c>
      <x:c r="GT372">
        <x:f t="shared" si="445"/>
        <x:v>0</x:v>
      </x:c>
      <x:c r="GU372">
        <x:f t="shared" si="446"/>
        <x:v>0</x:v>
      </x:c>
      <x:c r="GV372">
        <x:f t="shared" si="447"/>
        <x:v>0</x:v>
      </x:c>
      <x:c r="GW372">
        <x:f t="shared" si="448"/>
        <x:v>0</x:v>
      </x:c>
      <x:c r="GX372">
        <x:f t="shared" si="449"/>
        <x:v>0</x:v>
      </x:c>
      <x:c r="GY372">
        <x:f t="shared" si="450"/>
        <x:v>0</x:v>
      </x:c>
      <x:c r="GZ372">
        <x:f t="shared" si="451"/>
        <x:v>0</x:v>
      </x:c>
      <x:c r="HA372">
        <x:f t="shared" si="452"/>
        <x:v>0</x:v>
      </x:c>
      <x:c r="HB372" s="42">
        <x:f t="shared" si="453"/>
        <x:v>0</x:v>
      </x:c>
      <x:c r="HC372">
        <x:f t="shared" si="454"/>
        <x:v>0</x:v>
      </x:c>
      <x:c r="HD372">
        <x:f t="shared" si="455"/>
        <x:v>0</x:v>
      </x:c>
      <x:c r="HE372">
        <x:f t="shared" si="456"/>
        <x:v>0</x:v>
      </x:c>
      <x:c r="HF372">
        <x:f t="shared" si="457"/>
        <x:v>0</x:v>
      </x:c>
      <x:c r="HG372">
        <x:f t="shared" si="458"/>
        <x:v>0</x:v>
      </x:c>
      <x:c r="HH372">
        <x:f t="shared" si="459"/>
        <x:v>0</x:v>
      </x:c>
      <x:c r="HI372">
        <x:f t="shared" si="460"/>
        <x:v>0</x:v>
      </x:c>
      <x:c r="HJ372">
        <x:f t="shared" si="461"/>
        <x:v>0</x:v>
      </x:c>
      <x:c r="HK372">
        <x:f t="shared" si="462"/>
        <x:v>0</x:v>
      </x:c>
      <x:c r="HL372">
        <x:f t="shared" si="463"/>
        <x:v>0</x:v>
      </x:c>
    </x:row>
    <x:row r="373">
      <x:c r="D373" s="74"/>
      <x:c r="EQ373">
        <x:f t="shared" si="390"/>
        <x:v>0</x:v>
      </x:c>
      <x:c r="ER373">
        <x:f t="shared" si="391"/>
        <x:v>0</x:v>
      </x:c>
      <x:c r="ES373">
        <x:f t="shared" si="392"/>
        <x:v>0</x:v>
      </x:c>
      <x:c r="ET373">
        <x:f t="shared" si="393"/>
        <x:v>0</x:v>
      </x:c>
      <x:c r="EU373">
        <x:f t="shared" si="394"/>
        <x:v>0</x:v>
      </x:c>
      <x:c r="EV373">
        <x:f t="shared" si="395"/>
        <x:v>0</x:v>
      </x:c>
      <x:c r="EW373">
        <x:f t="shared" si="396"/>
        <x:v>0</x:v>
      </x:c>
      <x:c r="EX373">
        <x:f t="shared" si="397"/>
        <x:v>0</x:v>
      </x:c>
      <x:c r="EY373">
        <x:f t="shared" si="398"/>
        <x:v>0</x:v>
      </x:c>
      <x:c r="EZ373">
        <x:f t="shared" si="399"/>
        <x:v>0</x:v>
      </x:c>
      <x:c r="FA373" s="41">
        <x:f t="shared" si="400"/>
        <x:v>0</x:v>
      </x:c>
      <x:c r="FB373">
        <x:f t="shared" si="401"/>
        <x:v>0</x:v>
      </x:c>
      <x:c r="FC373">
        <x:f t="shared" si="402"/>
        <x:v>0</x:v>
      </x:c>
      <x:c r="FD373">
        <x:f t="shared" si="403"/>
        <x:v>0</x:v>
      </x:c>
      <x:c r="FE373">
        <x:f t="shared" si="404"/>
        <x:v>0</x:v>
      </x:c>
      <x:c r="FF373">
        <x:f t="shared" si="405"/>
        <x:v>0</x:v>
      </x:c>
      <x:c r="FG373">
        <x:f t="shared" si="406"/>
        <x:v>0</x:v>
      </x:c>
      <x:c r="FH373">
        <x:f t="shared" si="407"/>
        <x:v>0</x:v>
      </x:c>
      <x:c r="FI373">
        <x:f t="shared" si="408"/>
        <x:v>0</x:v>
      </x:c>
      <x:c r="FJ373">
        <x:f t="shared" si="409"/>
        <x:v>0</x:v>
      </x:c>
      <x:c r="FK373">
        <x:f t="shared" si="410"/>
        <x:v>0</x:v>
      </x:c>
      <x:c r="FL373" s="41">
        <x:f t="shared" si="411"/>
        <x:v>0</x:v>
      </x:c>
      <x:c r="FM373">
        <x:f t="shared" si="412"/>
        <x:v>0</x:v>
      </x:c>
      <x:c r="FN373">
        <x:f t="shared" si="413"/>
        <x:v>0</x:v>
      </x:c>
      <x:c r="FO373">
        <x:f t="shared" si="414"/>
        <x:v>0</x:v>
      </x:c>
      <x:c r="FP373">
        <x:f t="shared" si="415"/>
        <x:v>0</x:v>
      </x:c>
      <x:c r="FQ373">
        <x:f t="shared" si="416"/>
        <x:v>0</x:v>
      </x:c>
      <x:c r="FR373">
        <x:f t="shared" si="417"/>
        <x:v>0</x:v>
      </x:c>
      <x:c r="FS373">
        <x:f t="shared" si="418"/>
        <x:v>0</x:v>
      </x:c>
      <x:c r="FT373">
        <x:f t="shared" si="419"/>
        <x:v>0</x:v>
      </x:c>
      <x:c r="FU373">
        <x:f t="shared" si="420"/>
        <x:v>0</x:v>
      </x:c>
      <x:c r="FV373">
        <x:f t="shared" si="421"/>
        <x:v>0</x:v>
      </x:c>
      <x:c r="FW373" s="41">
        <x:f t="shared" si="422"/>
        <x:v>0</x:v>
      </x:c>
      <x:c r="FX373">
        <x:f t="shared" si="423"/>
        <x:v>0</x:v>
      </x:c>
      <x:c r="FY373">
        <x:f t="shared" si="424"/>
        <x:v>0</x:v>
      </x:c>
      <x:c r="FZ373">
        <x:f t="shared" si="425"/>
        <x:v>0</x:v>
      </x:c>
      <x:c r="GA373">
        <x:f t="shared" si="426"/>
        <x:v>0</x:v>
      </x:c>
      <x:c r="GB373">
        <x:f t="shared" si="427"/>
        <x:v>0</x:v>
      </x:c>
      <x:c r="GC373">
        <x:f t="shared" si="428"/>
        <x:v>0</x:v>
      </x:c>
      <x:c r="GD373">
        <x:f t="shared" si="429"/>
        <x:v>0</x:v>
      </x:c>
      <x:c r="GE373">
        <x:f t="shared" si="430"/>
        <x:v>0</x:v>
      </x:c>
      <x:c r="GF373">
        <x:f t="shared" si="431"/>
        <x:v>0</x:v>
      </x:c>
      <x:c r="GG373">
        <x:f t="shared" si="432"/>
        <x:v>0</x:v>
      </x:c>
      <x:c r="GH373">
        <x:f t="shared" si="433"/>
        <x:v>0</x:v>
      </x:c>
      <x:c r="GI373">
        <x:f t="shared" si="434"/>
        <x:v>0</x:v>
      </x:c>
      <x:c r="GJ373">
        <x:f t="shared" si="435"/>
        <x:v>0</x:v>
      </x:c>
      <x:c r="GK373">
        <x:f t="shared" si="436"/>
        <x:v>0</x:v>
      </x:c>
      <x:c r="GL373">
        <x:f t="shared" si="437"/>
        <x:v>0</x:v>
      </x:c>
      <x:c r="GM373">
        <x:f t="shared" si="438"/>
        <x:v>0</x:v>
      </x:c>
      <x:c r="GN373">
        <x:f t="shared" si="439"/>
        <x:v>0</x:v>
      </x:c>
      <x:c r="GO373">
        <x:f t="shared" si="440"/>
        <x:v>0</x:v>
      </x:c>
      <x:c r="GP373">
        <x:f t="shared" si="441"/>
        <x:v>0</x:v>
      </x:c>
      <x:c r="GQ373">
        <x:f t="shared" si="442"/>
        <x:v>0</x:v>
      </x:c>
      <x:c r="GR373" s="42">
        <x:f t="shared" si="443"/>
        <x:v>0</x:v>
      </x:c>
      <x:c r="GS373">
        <x:f t="shared" si="444"/>
        <x:v>0</x:v>
      </x:c>
      <x:c r="GT373">
        <x:f t="shared" si="445"/>
        <x:v>0</x:v>
      </x:c>
      <x:c r="GU373">
        <x:f t="shared" si="446"/>
        <x:v>0</x:v>
      </x:c>
      <x:c r="GV373">
        <x:f t="shared" si="447"/>
        <x:v>0</x:v>
      </x:c>
      <x:c r="GW373">
        <x:f t="shared" si="448"/>
        <x:v>0</x:v>
      </x:c>
      <x:c r="GX373">
        <x:f t="shared" si="449"/>
        <x:v>0</x:v>
      </x:c>
      <x:c r="GY373">
        <x:f t="shared" si="450"/>
        <x:v>0</x:v>
      </x:c>
      <x:c r="GZ373">
        <x:f t="shared" si="451"/>
        <x:v>0</x:v>
      </x:c>
      <x:c r="HA373">
        <x:f t="shared" si="452"/>
        <x:v>0</x:v>
      </x:c>
      <x:c r="HB373" s="42">
        <x:f t="shared" si="453"/>
        <x:v>0</x:v>
      </x:c>
      <x:c r="HC373">
        <x:f t="shared" si="454"/>
        <x:v>0</x:v>
      </x:c>
      <x:c r="HD373">
        <x:f t="shared" si="455"/>
        <x:v>0</x:v>
      </x:c>
      <x:c r="HE373">
        <x:f t="shared" si="456"/>
        <x:v>0</x:v>
      </x:c>
      <x:c r="HF373">
        <x:f t="shared" si="457"/>
        <x:v>0</x:v>
      </x:c>
      <x:c r="HG373">
        <x:f t="shared" si="458"/>
        <x:v>0</x:v>
      </x:c>
      <x:c r="HH373">
        <x:f t="shared" si="459"/>
        <x:v>0</x:v>
      </x:c>
      <x:c r="HI373">
        <x:f t="shared" si="460"/>
        <x:v>0</x:v>
      </x:c>
      <x:c r="HJ373">
        <x:f t="shared" si="461"/>
        <x:v>0</x:v>
      </x:c>
      <x:c r="HK373">
        <x:f t="shared" si="462"/>
        <x:v>0</x:v>
      </x:c>
      <x:c r="HL373">
        <x:f t="shared" si="463"/>
        <x:v>0</x:v>
      </x:c>
    </x:row>
    <x:row r="374">
      <x:c r="D374" s="74"/>
      <x:c r="EQ374">
        <x:f t="shared" si="390"/>
        <x:v>0</x:v>
      </x:c>
      <x:c r="ER374">
        <x:f t="shared" si="391"/>
        <x:v>0</x:v>
      </x:c>
      <x:c r="ES374">
        <x:f t="shared" si="392"/>
        <x:v>0</x:v>
      </x:c>
      <x:c r="ET374">
        <x:f t="shared" si="393"/>
        <x:v>0</x:v>
      </x:c>
      <x:c r="EU374">
        <x:f t="shared" si="394"/>
        <x:v>0</x:v>
      </x:c>
      <x:c r="EV374">
        <x:f t="shared" si="395"/>
        <x:v>0</x:v>
      </x:c>
      <x:c r="EW374">
        <x:f t="shared" si="396"/>
        <x:v>0</x:v>
      </x:c>
      <x:c r="EX374">
        <x:f t="shared" si="397"/>
        <x:v>0</x:v>
      </x:c>
      <x:c r="EY374">
        <x:f t="shared" si="398"/>
        <x:v>0</x:v>
      </x:c>
      <x:c r="EZ374">
        <x:f t="shared" si="399"/>
        <x:v>0</x:v>
      </x:c>
      <x:c r="FA374" s="41">
        <x:f t="shared" si="400"/>
        <x:v>0</x:v>
      </x:c>
      <x:c r="FB374">
        <x:f t="shared" si="401"/>
        <x:v>0</x:v>
      </x:c>
      <x:c r="FC374">
        <x:f t="shared" si="402"/>
        <x:v>0</x:v>
      </x:c>
      <x:c r="FD374">
        <x:f t="shared" si="403"/>
        <x:v>0</x:v>
      </x:c>
      <x:c r="FE374">
        <x:f t="shared" si="404"/>
        <x:v>0</x:v>
      </x:c>
      <x:c r="FF374">
        <x:f t="shared" si="405"/>
        <x:v>0</x:v>
      </x:c>
      <x:c r="FG374">
        <x:f t="shared" si="406"/>
        <x:v>0</x:v>
      </x:c>
      <x:c r="FH374">
        <x:f t="shared" si="407"/>
        <x:v>0</x:v>
      </x:c>
      <x:c r="FI374">
        <x:f t="shared" si="408"/>
        <x:v>0</x:v>
      </x:c>
      <x:c r="FJ374">
        <x:f t="shared" si="409"/>
        <x:v>0</x:v>
      </x:c>
      <x:c r="FK374">
        <x:f t="shared" si="410"/>
        <x:v>0</x:v>
      </x:c>
      <x:c r="FL374" s="41">
        <x:f t="shared" si="411"/>
        <x:v>0</x:v>
      </x:c>
      <x:c r="FM374">
        <x:f t="shared" si="412"/>
        <x:v>0</x:v>
      </x:c>
      <x:c r="FN374">
        <x:f t="shared" si="413"/>
        <x:v>0</x:v>
      </x:c>
      <x:c r="FO374">
        <x:f t="shared" si="414"/>
        <x:v>0</x:v>
      </x:c>
      <x:c r="FP374">
        <x:f t="shared" si="415"/>
        <x:v>0</x:v>
      </x:c>
      <x:c r="FQ374">
        <x:f t="shared" si="416"/>
        <x:v>0</x:v>
      </x:c>
      <x:c r="FR374">
        <x:f t="shared" si="417"/>
        <x:v>0</x:v>
      </x:c>
      <x:c r="FS374">
        <x:f t="shared" si="418"/>
        <x:v>0</x:v>
      </x:c>
      <x:c r="FT374">
        <x:f t="shared" si="419"/>
        <x:v>0</x:v>
      </x:c>
      <x:c r="FU374">
        <x:f t="shared" si="420"/>
        <x:v>0</x:v>
      </x:c>
      <x:c r="FV374">
        <x:f t="shared" si="421"/>
        <x:v>0</x:v>
      </x:c>
      <x:c r="FW374" s="41">
        <x:f t="shared" si="422"/>
        <x:v>0</x:v>
      </x:c>
      <x:c r="FX374">
        <x:f t="shared" si="423"/>
        <x:v>0</x:v>
      </x:c>
      <x:c r="FY374">
        <x:f t="shared" si="424"/>
        <x:v>0</x:v>
      </x:c>
      <x:c r="FZ374">
        <x:f t="shared" si="425"/>
        <x:v>0</x:v>
      </x:c>
      <x:c r="GA374">
        <x:f t="shared" si="426"/>
        <x:v>0</x:v>
      </x:c>
      <x:c r="GB374">
        <x:f t="shared" si="427"/>
        <x:v>0</x:v>
      </x:c>
      <x:c r="GC374">
        <x:f t="shared" si="428"/>
        <x:v>0</x:v>
      </x:c>
      <x:c r="GD374">
        <x:f t="shared" si="429"/>
        <x:v>0</x:v>
      </x:c>
      <x:c r="GE374">
        <x:f t="shared" si="430"/>
        <x:v>0</x:v>
      </x:c>
      <x:c r="GF374">
        <x:f t="shared" si="431"/>
        <x:v>0</x:v>
      </x:c>
      <x:c r="GG374">
        <x:f t="shared" si="432"/>
        <x:v>0</x:v>
      </x:c>
      <x:c r="GH374">
        <x:f t="shared" si="433"/>
        <x:v>0</x:v>
      </x:c>
      <x:c r="GI374">
        <x:f t="shared" si="434"/>
        <x:v>0</x:v>
      </x:c>
      <x:c r="GJ374">
        <x:f t="shared" si="435"/>
        <x:v>0</x:v>
      </x:c>
      <x:c r="GK374">
        <x:f t="shared" si="436"/>
        <x:v>0</x:v>
      </x:c>
      <x:c r="GL374">
        <x:f t="shared" si="437"/>
        <x:v>0</x:v>
      </x:c>
      <x:c r="GM374">
        <x:f t="shared" si="438"/>
        <x:v>0</x:v>
      </x:c>
      <x:c r="GN374">
        <x:f t="shared" si="439"/>
        <x:v>0</x:v>
      </x:c>
      <x:c r="GO374">
        <x:f t="shared" si="440"/>
        <x:v>0</x:v>
      </x:c>
      <x:c r="GP374">
        <x:f t="shared" si="441"/>
        <x:v>0</x:v>
      </x:c>
      <x:c r="GQ374">
        <x:f t="shared" si="442"/>
        <x:v>0</x:v>
      </x:c>
      <x:c r="GR374" s="42">
        <x:f t="shared" si="443"/>
        <x:v>0</x:v>
      </x:c>
      <x:c r="GS374">
        <x:f t="shared" si="444"/>
        <x:v>0</x:v>
      </x:c>
      <x:c r="GT374">
        <x:f t="shared" si="445"/>
        <x:v>0</x:v>
      </x:c>
      <x:c r="GU374">
        <x:f t="shared" si="446"/>
        <x:v>0</x:v>
      </x:c>
      <x:c r="GV374">
        <x:f t="shared" si="447"/>
        <x:v>0</x:v>
      </x:c>
      <x:c r="GW374">
        <x:f t="shared" si="448"/>
        <x:v>0</x:v>
      </x:c>
      <x:c r="GX374">
        <x:f t="shared" si="449"/>
        <x:v>0</x:v>
      </x:c>
      <x:c r="GY374">
        <x:f t="shared" si="450"/>
        <x:v>0</x:v>
      </x:c>
      <x:c r="GZ374">
        <x:f t="shared" si="451"/>
        <x:v>0</x:v>
      </x:c>
      <x:c r="HA374">
        <x:f t="shared" si="452"/>
        <x:v>0</x:v>
      </x:c>
      <x:c r="HB374" s="42">
        <x:f t="shared" si="453"/>
        <x:v>0</x:v>
      </x:c>
      <x:c r="HC374">
        <x:f t="shared" si="454"/>
        <x:v>0</x:v>
      </x:c>
      <x:c r="HD374">
        <x:f t="shared" si="455"/>
        <x:v>0</x:v>
      </x:c>
      <x:c r="HE374">
        <x:f t="shared" si="456"/>
        <x:v>0</x:v>
      </x:c>
      <x:c r="HF374">
        <x:f t="shared" si="457"/>
        <x:v>0</x:v>
      </x:c>
      <x:c r="HG374">
        <x:f t="shared" si="458"/>
        <x:v>0</x:v>
      </x:c>
      <x:c r="HH374">
        <x:f t="shared" si="459"/>
        <x:v>0</x:v>
      </x:c>
      <x:c r="HI374">
        <x:f t="shared" si="460"/>
        <x:v>0</x:v>
      </x:c>
      <x:c r="HJ374">
        <x:f t="shared" si="461"/>
        <x:v>0</x:v>
      </x:c>
      <x:c r="HK374">
        <x:f t="shared" si="462"/>
        <x:v>0</x:v>
      </x:c>
      <x:c r="HL374">
        <x:f t="shared" si="463"/>
        <x:v>0</x:v>
      </x:c>
    </x:row>
    <x:row r="375">
      <x:c r="D375" s="74"/>
      <x:c r="EQ375">
        <x:f t="shared" si="390"/>
        <x:v>0</x:v>
      </x:c>
      <x:c r="ER375">
        <x:f t="shared" si="391"/>
        <x:v>0</x:v>
      </x:c>
      <x:c r="ES375">
        <x:f t="shared" si="392"/>
        <x:v>0</x:v>
      </x:c>
      <x:c r="ET375">
        <x:f t="shared" si="393"/>
        <x:v>0</x:v>
      </x:c>
      <x:c r="EU375">
        <x:f t="shared" si="394"/>
        <x:v>0</x:v>
      </x:c>
      <x:c r="EV375">
        <x:f t="shared" si="395"/>
        <x:v>0</x:v>
      </x:c>
      <x:c r="EW375">
        <x:f t="shared" si="396"/>
        <x:v>0</x:v>
      </x:c>
      <x:c r="EX375">
        <x:f t="shared" si="397"/>
        <x:v>0</x:v>
      </x:c>
      <x:c r="EY375">
        <x:f t="shared" si="398"/>
        <x:v>0</x:v>
      </x:c>
      <x:c r="EZ375">
        <x:f t="shared" si="399"/>
        <x:v>0</x:v>
      </x:c>
      <x:c r="FA375" s="41">
        <x:f t="shared" si="400"/>
        <x:v>0</x:v>
      </x:c>
      <x:c r="FB375">
        <x:f t="shared" si="401"/>
        <x:v>0</x:v>
      </x:c>
      <x:c r="FC375">
        <x:f t="shared" si="402"/>
        <x:v>0</x:v>
      </x:c>
      <x:c r="FD375">
        <x:f t="shared" si="403"/>
        <x:v>0</x:v>
      </x:c>
      <x:c r="FE375">
        <x:f t="shared" si="404"/>
        <x:v>0</x:v>
      </x:c>
      <x:c r="FF375">
        <x:f t="shared" si="405"/>
        <x:v>0</x:v>
      </x:c>
      <x:c r="FG375">
        <x:f t="shared" si="406"/>
        <x:v>0</x:v>
      </x:c>
      <x:c r="FH375">
        <x:f t="shared" si="407"/>
        <x:v>0</x:v>
      </x:c>
      <x:c r="FI375">
        <x:f t="shared" si="408"/>
        <x:v>0</x:v>
      </x:c>
      <x:c r="FJ375">
        <x:f t="shared" si="409"/>
        <x:v>0</x:v>
      </x:c>
      <x:c r="FK375">
        <x:f t="shared" si="410"/>
        <x:v>0</x:v>
      </x:c>
      <x:c r="FL375" s="41">
        <x:f t="shared" si="411"/>
        <x:v>0</x:v>
      </x:c>
      <x:c r="FM375">
        <x:f t="shared" si="412"/>
        <x:v>0</x:v>
      </x:c>
      <x:c r="FN375">
        <x:f t="shared" si="413"/>
        <x:v>0</x:v>
      </x:c>
      <x:c r="FO375">
        <x:f t="shared" si="414"/>
        <x:v>0</x:v>
      </x:c>
      <x:c r="FP375">
        <x:f t="shared" si="415"/>
        <x:v>0</x:v>
      </x:c>
      <x:c r="FQ375">
        <x:f t="shared" si="416"/>
        <x:v>0</x:v>
      </x:c>
      <x:c r="FR375">
        <x:f t="shared" si="417"/>
        <x:v>0</x:v>
      </x:c>
      <x:c r="FS375">
        <x:f t="shared" si="418"/>
        <x:v>0</x:v>
      </x:c>
      <x:c r="FT375">
        <x:f t="shared" si="419"/>
        <x:v>0</x:v>
      </x:c>
      <x:c r="FU375">
        <x:f t="shared" si="420"/>
        <x:v>0</x:v>
      </x:c>
      <x:c r="FV375">
        <x:f t="shared" si="421"/>
        <x:v>0</x:v>
      </x:c>
      <x:c r="FW375" s="41">
        <x:f t="shared" si="422"/>
        <x:v>0</x:v>
      </x:c>
      <x:c r="FX375">
        <x:f t="shared" si="423"/>
        <x:v>0</x:v>
      </x:c>
      <x:c r="FY375">
        <x:f t="shared" si="424"/>
        <x:v>0</x:v>
      </x:c>
      <x:c r="FZ375">
        <x:f t="shared" si="425"/>
        <x:v>0</x:v>
      </x:c>
      <x:c r="GA375">
        <x:f t="shared" si="426"/>
        <x:v>0</x:v>
      </x:c>
      <x:c r="GB375">
        <x:f t="shared" si="427"/>
        <x:v>0</x:v>
      </x:c>
      <x:c r="GC375">
        <x:f t="shared" si="428"/>
        <x:v>0</x:v>
      </x:c>
      <x:c r="GD375">
        <x:f t="shared" si="429"/>
        <x:v>0</x:v>
      </x:c>
      <x:c r="GE375">
        <x:f t="shared" si="430"/>
        <x:v>0</x:v>
      </x:c>
      <x:c r="GF375">
        <x:f t="shared" si="431"/>
        <x:v>0</x:v>
      </x:c>
      <x:c r="GG375">
        <x:f t="shared" si="432"/>
        <x:v>0</x:v>
      </x:c>
      <x:c r="GH375">
        <x:f t="shared" si="433"/>
        <x:v>0</x:v>
      </x:c>
      <x:c r="GI375">
        <x:f t="shared" si="434"/>
        <x:v>0</x:v>
      </x:c>
      <x:c r="GJ375">
        <x:f t="shared" si="435"/>
        <x:v>0</x:v>
      </x:c>
      <x:c r="GK375">
        <x:f t="shared" si="436"/>
        <x:v>0</x:v>
      </x:c>
      <x:c r="GL375">
        <x:f t="shared" si="437"/>
        <x:v>0</x:v>
      </x:c>
      <x:c r="GM375">
        <x:f t="shared" si="438"/>
        <x:v>0</x:v>
      </x:c>
      <x:c r="GN375">
        <x:f t="shared" si="439"/>
        <x:v>0</x:v>
      </x:c>
      <x:c r="GO375">
        <x:f t="shared" si="440"/>
        <x:v>0</x:v>
      </x:c>
      <x:c r="GP375">
        <x:f t="shared" si="441"/>
        <x:v>0</x:v>
      </x:c>
      <x:c r="GQ375">
        <x:f t="shared" si="442"/>
        <x:v>0</x:v>
      </x:c>
      <x:c r="GR375" s="42">
        <x:f t="shared" si="443"/>
        <x:v>0</x:v>
      </x:c>
      <x:c r="GS375">
        <x:f t="shared" si="444"/>
        <x:v>0</x:v>
      </x:c>
      <x:c r="GT375">
        <x:f t="shared" si="445"/>
        <x:v>0</x:v>
      </x:c>
      <x:c r="GU375">
        <x:f t="shared" si="446"/>
        <x:v>0</x:v>
      </x:c>
      <x:c r="GV375">
        <x:f t="shared" si="447"/>
        <x:v>0</x:v>
      </x:c>
      <x:c r="GW375">
        <x:f t="shared" si="448"/>
        <x:v>0</x:v>
      </x:c>
      <x:c r="GX375">
        <x:f t="shared" si="449"/>
        <x:v>0</x:v>
      </x:c>
      <x:c r="GY375">
        <x:f t="shared" si="450"/>
        <x:v>0</x:v>
      </x:c>
      <x:c r="GZ375">
        <x:f t="shared" si="451"/>
        <x:v>0</x:v>
      </x:c>
      <x:c r="HA375">
        <x:f t="shared" si="452"/>
        <x:v>0</x:v>
      </x:c>
      <x:c r="HB375" s="42">
        <x:f t="shared" si="453"/>
        <x:v>0</x:v>
      </x:c>
      <x:c r="HC375">
        <x:f t="shared" si="454"/>
        <x:v>0</x:v>
      </x:c>
      <x:c r="HD375">
        <x:f t="shared" si="455"/>
        <x:v>0</x:v>
      </x:c>
      <x:c r="HE375">
        <x:f t="shared" si="456"/>
        <x:v>0</x:v>
      </x:c>
      <x:c r="HF375">
        <x:f t="shared" si="457"/>
        <x:v>0</x:v>
      </x:c>
      <x:c r="HG375">
        <x:f t="shared" si="458"/>
        <x:v>0</x:v>
      </x:c>
      <x:c r="HH375">
        <x:f t="shared" si="459"/>
        <x:v>0</x:v>
      </x:c>
      <x:c r="HI375">
        <x:f t="shared" si="460"/>
        <x:v>0</x:v>
      </x:c>
      <x:c r="HJ375">
        <x:f t="shared" si="461"/>
        <x:v>0</x:v>
      </x:c>
      <x:c r="HK375">
        <x:f t="shared" si="462"/>
        <x:v>0</x:v>
      </x:c>
      <x:c r="HL375">
        <x:f t="shared" si="463"/>
        <x:v>0</x:v>
      </x:c>
    </x:row>
    <x:row r="376">
      <x:c r="D376" s="74"/>
      <x:c r="EQ376">
        <x:f t="shared" si="390"/>
        <x:v>0</x:v>
      </x:c>
      <x:c r="ER376">
        <x:f t="shared" si="391"/>
        <x:v>0</x:v>
      </x:c>
      <x:c r="ES376">
        <x:f t="shared" si="392"/>
        <x:v>0</x:v>
      </x:c>
      <x:c r="ET376">
        <x:f t="shared" si="393"/>
        <x:v>0</x:v>
      </x:c>
      <x:c r="EU376">
        <x:f t="shared" si="394"/>
        <x:v>0</x:v>
      </x:c>
      <x:c r="EV376">
        <x:f t="shared" si="395"/>
        <x:v>0</x:v>
      </x:c>
      <x:c r="EW376">
        <x:f t="shared" si="396"/>
        <x:v>0</x:v>
      </x:c>
      <x:c r="EX376">
        <x:f t="shared" si="397"/>
        <x:v>0</x:v>
      </x:c>
      <x:c r="EY376">
        <x:f t="shared" si="398"/>
        <x:v>0</x:v>
      </x:c>
      <x:c r="EZ376">
        <x:f t="shared" si="399"/>
        <x:v>0</x:v>
      </x:c>
      <x:c r="FA376" s="41">
        <x:f t="shared" si="400"/>
        <x:v>0</x:v>
      </x:c>
      <x:c r="FB376">
        <x:f t="shared" si="401"/>
        <x:v>0</x:v>
      </x:c>
      <x:c r="FC376">
        <x:f t="shared" si="402"/>
        <x:v>0</x:v>
      </x:c>
      <x:c r="FD376">
        <x:f t="shared" si="403"/>
        <x:v>0</x:v>
      </x:c>
      <x:c r="FE376">
        <x:f t="shared" si="404"/>
        <x:v>0</x:v>
      </x:c>
      <x:c r="FF376">
        <x:f t="shared" si="405"/>
        <x:v>0</x:v>
      </x:c>
      <x:c r="FG376">
        <x:f t="shared" si="406"/>
        <x:v>0</x:v>
      </x:c>
      <x:c r="FH376">
        <x:f t="shared" si="407"/>
        <x:v>0</x:v>
      </x:c>
      <x:c r="FI376">
        <x:f t="shared" si="408"/>
        <x:v>0</x:v>
      </x:c>
      <x:c r="FJ376">
        <x:f t="shared" si="409"/>
        <x:v>0</x:v>
      </x:c>
      <x:c r="FK376">
        <x:f t="shared" si="410"/>
        <x:v>0</x:v>
      </x:c>
      <x:c r="FL376" s="41">
        <x:f t="shared" si="411"/>
        <x:v>0</x:v>
      </x:c>
      <x:c r="FM376">
        <x:f t="shared" si="412"/>
        <x:v>0</x:v>
      </x:c>
      <x:c r="FN376">
        <x:f t="shared" si="413"/>
        <x:v>0</x:v>
      </x:c>
      <x:c r="FO376">
        <x:f t="shared" si="414"/>
        <x:v>0</x:v>
      </x:c>
      <x:c r="FP376">
        <x:f t="shared" si="415"/>
        <x:v>0</x:v>
      </x:c>
      <x:c r="FQ376">
        <x:f t="shared" si="416"/>
        <x:v>0</x:v>
      </x:c>
      <x:c r="FR376">
        <x:f t="shared" si="417"/>
        <x:v>0</x:v>
      </x:c>
      <x:c r="FS376">
        <x:f t="shared" si="418"/>
        <x:v>0</x:v>
      </x:c>
      <x:c r="FT376">
        <x:f t="shared" si="419"/>
        <x:v>0</x:v>
      </x:c>
      <x:c r="FU376">
        <x:f t="shared" si="420"/>
        <x:v>0</x:v>
      </x:c>
      <x:c r="FV376">
        <x:f t="shared" si="421"/>
        <x:v>0</x:v>
      </x:c>
      <x:c r="FW376" s="41">
        <x:f t="shared" si="422"/>
        <x:v>0</x:v>
      </x:c>
      <x:c r="FX376">
        <x:f t="shared" si="423"/>
        <x:v>0</x:v>
      </x:c>
      <x:c r="FY376">
        <x:f t="shared" si="424"/>
        <x:v>0</x:v>
      </x:c>
      <x:c r="FZ376">
        <x:f t="shared" si="425"/>
        <x:v>0</x:v>
      </x:c>
      <x:c r="GA376">
        <x:f t="shared" si="426"/>
        <x:v>0</x:v>
      </x:c>
      <x:c r="GB376">
        <x:f t="shared" si="427"/>
        <x:v>0</x:v>
      </x:c>
      <x:c r="GC376">
        <x:f t="shared" si="428"/>
        <x:v>0</x:v>
      </x:c>
      <x:c r="GD376">
        <x:f t="shared" si="429"/>
        <x:v>0</x:v>
      </x:c>
      <x:c r="GE376">
        <x:f t="shared" si="430"/>
        <x:v>0</x:v>
      </x:c>
      <x:c r="GF376">
        <x:f t="shared" si="431"/>
        <x:v>0</x:v>
      </x:c>
      <x:c r="GG376">
        <x:f t="shared" si="432"/>
        <x:v>0</x:v>
      </x:c>
      <x:c r="GH376">
        <x:f t="shared" si="433"/>
        <x:v>0</x:v>
      </x:c>
      <x:c r="GI376">
        <x:f t="shared" si="434"/>
        <x:v>0</x:v>
      </x:c>
      <x:c r="GJ376">
        <x:f t="shared" si="435"/>
        <x:v>0</x:v>
      </x:c>
      <x:c r="GK376">
        <x:f t="shared" si="436"/>
        <x:v>0</x:v>
      </x:c>
      <x:c r="GL376">
        <x:f t="shared" si="437"/>
        <x:v>0</x:v>
      </x:c>
      <x:c r="GM376">
        <x:f t="shared" si="438"/>
        <x:v>0</x:v>
      </x:c>
      <x:c r="GN376">
        <x:f t="shared" si="439"/>
        <x:v>0</x:v>
      </x:c>
      <x:c r="GO376">
        <x:f t="shared" si="440"/>
        <x:v>0</x:v>
      </x:c>
      <x:c r="GP376">
        <x:f t="shared" si="441"/>
        <x:v>0</x:v>
      </x:c>
      <x:c r="GQ376">
        <x:f t="shared" si="442"/>
        <x:v>0</x:v>
      </x:c>
      <x:c r="GR376" s="42">
        <x:f t="shared" si="443"/>
        <x:v>0</x:v>
      </x:c>
      <x:c r="GS376">
        <x:f t="shared" si="444"/>
        <x:v>0</x:v>
      </x:c>
      <x:c r="GT376">
        <x:f t="shared" si="445"/>
        <x:v>0</x:v>
      </x:c>
      <x:c r="GU376">
        <x:f t="shared" si="446"/>
        <x:v>0</x:v>
      </x:c>
      <x:c r="GV376">
        <x:f t="shared" si="447"/>
        <x:v>0</x:v>
      </x:c>
      <x:c r="GW376">
        <x:f t="shared" si="448"/>
        <x:v>0</x:v>
      </x:c>
      <x:c r="GX376">
        <x:f t="shared" si="449"/>
        <x:v>0</x:v>
      </x:c>
      <x:c r="GY376">
        <x:f t="shared" si="450"/>
        <x:v>0</x:v>
      </x:c>
      <x:c r="GZ376">
        <x:f t="shared" si="451"/>
        <x:v>0</x:v>
      </x:c>
      <x:c r="HA376">
        <x:f t="shared" si="452"/>
        <x:v>0</x:v>
      </x:c>
      <x:c r="HB376" s="42">
        <x:f t="shared" si="453"/>
        <x:v>0</x:v>
      </x:c>
      <x:c r="HC376">
        <x:f t="shared" si="454"/>
        <x:v>0</x:v>
      </x:c>
      <x:c r="HD376">
        <x:f t="shared" si="455"/>
        <x:v>0</x:v>
      </x:c>
      <x:c r="HE376">
        <x:f t="shared" si="456"/>
        <x:v>0</x:v>
      </x:c>
      <x:c r="HF376">
        <x:f t="shared" si="457"/>
        <x:v>0</x:v>
      </x:c>
      <x:c r="HG376">
        <x:f t="shared" si="458"/>
        <x:v>0</x:v>
      </x:c>
      <x:c r="HH376">
        <x:f t="shared" si="459"/>
        <x:v>0</x:v>
      </x:c>
      <x:c r="HI376">
        <x:f t="shared" si="460"/>
        <x:v>0</x:v>
      </x:c>
      <x:c r="HJ376">
        <x:f t="shared" si="461"/>
        <x:v>0</x:v>
      </x:c>
      <x:c r="HK376">
        <x:f t="shared" si="462"/>
        <x:v>0</x:v>
      </x:c>
      <x:c r="HL376">
        <x:f t="shared" si="463"/>
        <x:v>0</x:v>
      </x:c>
    </x:row>
    <x:row r="377">
      <x:c r="D377" s="74"/>
      <x:c r="EQ377">
        <x:f t="shared" si="390"/>
        <x:v>0</x:v>
      </x:c>
      <x:c r="ER377">
        <x:f t="shared" si="391"/>
        <x:v>0</x:v>
      </x:c>
      <x:c r="ES377">
        <x:f t="shared" si="392"/>
        <x:v>0</x:v>
      </x:c>
      <x:c r="ET377">
        <x:f t="shared" si="393"/>
        <x:v>0</x:v>
      </x:c>
      <x:c r="EU377">
        <x:f t="shared" si="394"/>
        <x:v>0</x:v>
      </x:c>
      <x:c r="EV377">
        <x:f t="shared" si="395"/>
        <x:v>0</x:v>
      </x:c>
      <x:c r="EW377">
        <x:f t="shared" si="396"/>
        <x:v>0</x:v>
      </x:c>
      <x:c r="EX377">
        <x:f t="shared" si="397"/>
        <x:v>0</x:v>
      </x:c>
      <x:c r="EY377">
        <x:f t="shared" si="398"/>
        <x:v>0</x:v>
      </x:c>
      <x:c r="EZ377">
        <x:f t="shared" si="399"/>
        <x:v>0</x:v>
      </x:c>
      <x:c r="FA377" s="41">
        <x:f t="shared" si="400"/>
        <x:v>0</x:v>
      </x:c>
      <x:c r="FB377">
        <x:f t="shared" si="401"/>
        <x:v>0</x:v>
      </x:c>
      <x:c r="FC377">
        <x:f t="shared" si="402"/>
        <x:v>0</x:v>
      </x:c>
      <x:c r="FD377">
        <x:f t="shared" si="403"/>
        <x:v>0</x:v>
      </x:c>
      <x:c r="FE377">
        <x:f t="shared" si="404"/>
        <x:v>0</x:v>
      </x:c>
      <x:c r="FF377">
        <x:f t="shared" si="405"/>
        <x:v>0</x:v>
      </x:c>
      <x:c r="FG377">
        <x:f t="shared" si="406"/>
        <x:v>0</x:v>
      </x:c>
      <x:c r="FH377">
        <x:f t="shared" si="407"/>
        <x:v>0</x:v>
      </x:c>
      <x:c r="FI377">
        <x:f t="shared" si="408"/>
        <x:v>0</x:v>
      </x:c>
      <x:c r="FJ377">
        <x:f t="shared" si="409"/>
        <x:v>0</x:v>
      </x:c>
      <x:c r="FK377">
        <x:f t="shared" si="410"/>
        <x:v>0</x:v>
      </x:c>
      <x:c r="FL377" s="41">
        <x:f t="shared" si="411"/>
        <x:v>0</x:v>
      </x:c>
      <x:c r="FM377">
        <x:f t="shared" si="412"/>
        <x:v>0</x:v>
      </x:c>
      <x:c r="FN377">
        <x:f t="shared" si="413"/>
        <x:v>0</x:v>
      </x:c>
      <x:c r="FO377">
        <x:f t="shared" si="414"/>
        <x:v>0</x:v>
      </x:c>
      <x:c r="FP377">
        <x:f t="shared" si="415"/>
        <x:v>0</x:v>
      </x:c>
      <x:c r="FQ377">
        <x:f t="shared" si="416"/>
        <x:v>0</x:v>
      </x:c>
      <x:c r="FR377">
        <x:f t="shared" si="417"/>
        <x:v>0</x:v>
      </x:c>
      <x:c r="FS377">
        <x:f t="shared" si="418"/>
        <x:v>0</x:v>
      </x:c>
      <x:c r="FT377">
        <x:f t="shared" si="419"/>
        <x:v>0</x:v>
      </x:c>
      <x:c r="FU377">
        <x:f t="shared" si="420"/>
        <x:v>0</x:v>
      </x:c>
      <x:c r="FV377">
        <x:f t="shared" si="421"/>
        <x:v>0</x:v>
      </x:c>
      <x:c r="FW377" s="41">
        <x:f t="shared" si="422"/>
        <x:v>0</x:v>
      </x:c>
      <x:c r="FX377">
        <x:f t="shared" si="423"/>
        <x:v>0</x:v>
      </x:c>
      <x:c r="FY377">
        <x:f t="shared" si="424"/>
        <x:v>0</x:v>
      </x:c>
      <x:c r="FZ377">
        <x:f t="shared" si="425"/>
        <x:v>0</x:v>
      </x:c>
      <x:c r="GA377">
        <x:f t="shared" si="426"/>
        <x:v>0</x:v>
      </x:c>
      <x:c r="GB377">
        <x:f t="shared" si="427"/>
        <x:v>0</x:v>
      </x:c>
      <x:c r="GC377">
        <x:f t="shared" si="428"/>
        <x:v>0</x:v>
      </x:c>
      <x:c r="GD377">
        <x:f t="shared" si="429"/>
        <x:v>0</x:v>
      </x:c>
      <x:c r="GE377">
        <x:f t="shared" si="430"/>
        <x:v>0</x:v>
      </x:c>
      <x:c r="GF377">
        <x:f t="shared" si="431"/>
        <x:v>0</x:v>
      </x:c>
      <x:c r="GG377">
        <x:f t="shared" si="432"/>
        <x:v>0</x:v>
      </x:c>
      <x:c r="GH377">
        <x:f t="shared" si="433"/>
        <x:v>0</x:v>
      </x:c>
      <x:c r="GI377">
        <x:f t="shared" si="434"/>
        <x:v>0</x:v>
      </x:c>
      <x:c r="GJ377">
        <x:f t="shared" si="435"/>
        <x:v>0</x:v>
      </x:c>
      <x:c r="GK377">
        <x:f t="shared" si="436"/>
        <x:v>0</x:v>
      </x:c>
      <x:c r="GL377">
        <x:f t="shared" si="437"/>
        <x:v>0</x:v>
      </x:c>
      <x:c r="GM377">
        <x:f t="shared" si="438"/>
        <x:v>0</x:v>
      </x:c>
      <x:c r="GN377">
        <x:f t="shared" si="439"/>
        <x:v>0</x:v>
      </x:c>
      <x:c r="GO377">
        <x:f t="shared" si="440"/>
        <x:v>0</x:v>
      </x:c>
      <x:c r="GP377">
        <x:f t="shared" si="441"/>
        <x:v>0</x:v>
      </x:c>
      <x:c r="GQ377">
        <x:f t="shared" si="442"/>
        <x:v>0</x:v>
      </x:c>
      <x:c r="GR377" s="42">
        <x:f t="shared" si="443"/>
        <x:v>0</x:v>
      </x:c>
      <x:c r="GS377">
        <x:f t="shared" si="444"/>
        <x:v>0</x:v>
      </x:c>
      <x:c r="GT377">
        <x:f t="shared" si="445"/>
        <x:v>0</x:v>
      </x:c>
      <x:c r="GU377">
        <x:f t="shared" si="446"/>
        <x:v>0</x:v>
      </x:c>
      <x:c r="GV377">
        <x:f t="shared" si="447"/>
        <x:v>0</x:v>
      </x:c>
      <x:c r="GW377">
        <x:f t="shared" si="448"/>
        <x:v>0</x:v>
      </x:c>
      <x:c r="GX377">
        <x:f t="shared" si="449"/>
        <x:v>0</x:v>
      </x:c>
      <x:c r="GY377">
        <x:f t="shared" si="450"/>
        <x:v>0</x:v>
      </x:c>
      <x:c r="GZ377">
        <x:f t="shared" si="451"/>
        <x:v>0</x:v>
      </x:c>
      <x:c r="HA377">
        <x:f t="shared" si="452"/>
        <x:v>0</x:v>
      </x:c>
      <x:c r="HB377" s="42">
        <x:f t="shared" si="453"/>
        <x:v>0</x:v>
      </x:c>
      <x:c r="HC377">
        <x:f t="shared" si="454"/>
        <x:v>0</x:v>
      </x:c>
      <x:c r="HD377">
        <x:f t="shared" si="455"/>
        <x:v>0</x:v>
      </x:c>
      <x:c r="HE377">
        <x:f t="shared" si="456"/>
        <x:v>0</x:v>
      </x:c>
      <x:c r="HF377">
        <x:f t="shared" si="457"/>
        <x:v>0</x:v>
      </x:c>
      <x:c r="HG377">
        <x:f t="shared" si="458"/>
        <x:v>0</x:v>
      </x:c>
      <x:c r="HH377">
        <x:f t="shared" si="459"/>
        <x:v>0</x:v>
      </x:c>
      <x:c r="HI377">
        <x:f t="shared" si="460"/>
        <x:v>0</x:v>
      </x:c>
      <x:c r="HJ377">
        <x:f t="shared" si="461"/>
        <x:v>0</x:v>
      </x:c>
      <x:c r="HK377">
        <x:f t="shared" si="462"/>
        <x:v>0</x:v>
      </x:c>
      <x:c r="HL377">
        <x:f t="shared" si="463"/>
        <x:v>0</x:v>
      </x:c>
    </x:row>
    <x:row r="378">
      <x:c r="D378" s="74"/>
      <x:c r="EQ378">
        <x:f t="shared" si="390"/>
        <x:v>0</x:v>
      </x:c>
      <x:c r="ER378">
        <x:f t="shared" si="391"/>
        <x:v>0</x:v>
      </x:c>
      <x:c r="ES378">
        <x:f t="shared" si="392"/>
        <x:v>0</x:v>
      </x:c>
      <x:c r="ET378">
        <x:f t="shared" si="393"/>
        <x:v>0</x:v>
      </x:c>
      <x:c r="EU378">
        <x:f t="shared" si="394"/>
        <x:v>0</x:v>
      </x:c>
      <x:c r="EV378">
        <x:f t="shared" si="395"/>
        <x:v>0</x:v>
      </x:c>
      <x:c r="EW378">
        <x:f t="shared" si="396"/>
        <x:v>0</x:v>
      </x:c>
      <x:c r="EX378">
        <x:f t="shared" si="397"/>
        <x:v>0</x:v>
      </x:c>
      <x:c r="EY378">
        <x:f t="shared" si="398"/>
        <x:v>0</x:v>
      </x:c>
      <x:c r="EZ378">
        <x:f t="shared" si="399"/>
        <x:v>0</x:v>
      </x:c>
      <x:c r="FA378" s="41">
        <x:f t="shared" si="400"/>
        <x:v>0</x:v>
      </x:c>
      <x:c r="FB378">
        <x:f t="shared" si="401"/>
        <x:v>0</x:v>
      </x:c>
      <x:c r="FC378">
        <x:f t="shared" si="402"/>
        <x:v>0</x:v>
      </x:c>
      <x:c r="FD378">
        <x:f t="shared" si="403"/>
        <x:v>0</x:v>
      </x:c>
      <x:c r="FE378">
        <x:f t="shared" si="404"/>
        <x:v>0</x:v>
      </x:c>
      <x:c r="FF378">
        <x:f t="shared" si="405"/>
        <x:v>0</x:v>
      </x:c>
      <x:c r="FG378">
        <x:f t="shared" si="406"/>
        <x:v>0</x:v>
      </x:c>
      <x:c r="FH378">
        <x:f t="shared" si="407"/>
        <x:v>0</x:v>
      </x:c>
      <x:c r="FI378">
        <x:f t="shared" si="408"/>
        <x:v>0</x:v>
      </x:c>
      <x:c r="FJ378">
        <x:f t="shared" si="409"/>
        <x:v>0</x:v>
      </x:c>
      <x:c r="FK378">
        <x:f t="shared" si="410"/>
        <x:v>0</x:v>
      </x:c>
      <x:c r="FL378" s="41">
        <x:f t="shared" si="411"/>
        <x:v>0</x:v>
      </x:c>
      <x:c r="FM378">
        <x:f t="shared" si="412"/>
        <x:v>0</x:v>
      </x:c>
      <x:c r="FN378">
        <x:f t="shared" si="413"/>
        <x:v>0</x:v>
      </x:c>
      <x:c r="FO378">
        <x:f t="shared" si="414"/>
        <x:v>0</x:v>
      </x:c>
      <x:c r="FP378">
        <x:f t="shared" si="415"/>
        <x:v>0</x:v>
      </x:c>
      <x:c r="FQ378">
        <x:f t="shared" si="416"/>
        <x:v>0</x:v>
      </x:c>
      <x:c r="FR378">
        <x:f t="shared" si="417"/>
        <x:v>0</x:v>
      </x:c>
      <x:c r="FS378">
        <x:f t="shared" si="418"/>
        <x:v>0</x:v>
      </x:c>
      <x:c r="FT378">
        <x:f t="shared" si="419"/>
        <x:v>0</x:v>
      </x:c>
      <x:c r="FU378">
        <x:f t="shared" si="420"/>
        <x:v>0</x:v>
      </x:c>
      <x:c r="FV378">
        <x:f t="shared" si="421"/>
        <x:v>0</x:v>
      </x:c>
      <x:c r="FW378" s="41">
        <x:f t="shared" si="422"/>
        <x:v>0</x:v>
      </x:c>
      <x:c r="FX378">
        <x:f t="shared" si="423"/>
        <x:v>0</x:v>
      </x:c>
      <x:c r="FY378">
        <x:f t="shared" si="424"/>
        <x:v>0</x:v>
      </x:c>
      <x:c r="FZ378">
        <x:f t="shared" si="425"/>
        <x:v>0</x:v>
      </x:c>
      <x:c r="GA378">
        <x:f t="shared" si="426"/>
        <x:v>0</x:v>
      </x:c>
      <x:c r="GB378">
        <x:f t="shared" si="427"/>
        <x:v>0</x:v>
      </x:c>
      <x:c r="GC378">
        <x:f t="shared" si="428"/>
        <x:v>0</x:v>
      </x:c>
      <x:c r="GD378">
        <x:f t="shared" si="429"/>
        <x:v>0</x:v>
      </x:c>
      <x:c r="GE378">
        <x:f t="shared" si="430"/>
        <x:v>0</x:v>
      </x:c>
      <x:c r="GF378">
        <x:f t="shared" si="431"/>
        <x:v>0</x:v>
      </x:c>
      <x:c r="GG378">
        <x:f t="shared" si="432"/>
        <x:v>0</x:v>
      </x:c>
      <x:c r="GH378">
        <x:f t="shared" si="433"/>
        <x:v>0</x:v>
      </x:c>
      <x:c r="GI378">
        <x:f t="shared" si="434"/>
        <x:v>0</x:v>
      </x:c>
      <x:c r="GJ378">
        <x:f t="shared" si="435"/>
        <x:v>0</x:v>
      </x:c>
      <x:c r="GK378">
        <x:f t="shared" si="436"/>
        <x:v>0</x:v>
      </x:c>
      <x:c r="GL378">
        <x:f t="shared" si="437"/>
        <x:v>0</x:v>
      </x:c>
      <x:c r="GM378">
        <x:f t="shared" si="438"/>
        <x:v>0</x:v>
      </x:c>
      <x:c r="GN378">
        <x:f t="shared" si="439"/>
        <x:v>0</x:v>
      </x:c>
      <x:c r="GO378">
        <x:f t="shared" si="440"/>
        <x:v>0</x:v>
      </x:c>
      <x:c r="GP378">
        <x:f t="shared" si="441"/>
        <x:v>0</x:v>
      </x:c>
      <x:c r="GQ378">
        <x:f t="shared" si="442"/>
        <x:v>0</x:v>
      </x:c>
      <x:c r="GR378" s="42">
        <x:f t="shared" si="443"/>
        <x:v>0</x:v>
      </x:c>
      <x:c r="GS378">
        <x:f t="shared" si="444"/>
        <x:v>0</x:v>
      </x:c>
      <x:c r="GT378">
        <x:f t="shared" si="445"/>
        <x:v>0</x:v>
      </x:c>
      <x:c r="GU378">
        <x:f t="shared" si="446"/>
        <x:v>0</x:v>
      </x:c>
      <x:c r="GV378">
        <x:f t="shared" si="447"/>
        <x:v>0</x:v>
      </x:c>
      <x:c r="GW378">
        <x:f t="shared" si="448"/>
        <x:v>0</x:v>
      </x:c>
      <x:c r="GX378">
        <x:f t="shared" si="449"/>
        <x:v>0</x:v>
      </x:c>
      <x:c r="GY378">
        <x:f t="shared" si="450"/>
        <x:v>0</x:v>
      </x:c>
      <x:c r="GZ378">
        <x:f t="shared" si="451"/>
        <x:v>0</x:v>
      </x:c>
      <x:c r="HA378">
        <x:f t="shared" si="452"/>
        <x:v>0</x:v>
      </x:c>
      <x:c r="HB378" s="42">
        <x:f t="shared" si="453"/>
        <x:v>0</x:v>
      </x:c>
      <x:c r="HC378">
        <x:f t="shared" si="454"/>
        <x:v>0</x:v>
      </x:c>
      <x:c r="HD378">
        <x:f t="shared" si="455"/>
        <x:v>0</x:v>
      </x:c>
      <x:c r="HE378">
        <x:f t="shared" si="456"/>
        <x:v>0</x:v>
      </x:c>
      <x:c r="HF378">
        <x:f t="shared" si="457"/>
        <x:v>0</x:v>
      </x:c>
      <x:c r="HG378">
        <x:f t="shared" si="458"/>
        <x:v>0</x:v>
      </x:c>
      <x:c r="HH378">
        <x:f t="shared" si="459"/>
        <x:v>0</x:v>
      </x:c>
      <x:c r="HI378">
        <x:f t="shared" si="460"/>
        <x:v>0</x:v>
      </x:c>
      <x:c r="HJ378">
        <x:f t="shared" si="461"/>
        <x:v>0</x:v>
      </x:c>
      <x:c r="HK378">
        <x:f t="shared" si="462"/>
        <x:v>0</x:v>
      </x:c>
      <x:c r="HL378">
        <x:f t="shared" si="463"/>
        <x:v>0</x:v>
      </x:c>
    </x:row>
    <x:row r="379">
      <x:c r="D379" s="74"/>
      <x:c r="EQ379">
        <x:f t="shared" si="390"/>
        <x:v>0</x:v>
      </x:c>
      <x:c r="ER379">
        <x:f t="shared" si="391"/>
        <x:v>0</x:v>
      </x:c>
      <x:c r="ES379">
        <x:f t="shared" si="392"/>
        <x:v>0</x:v>
      </x:c>
      <x:c r="ET379">
        <x:f t="shared" si="393"/>
        <x:v>0</x:v>
      </x:c>
      <x:c r="EU379">
        <x:f t="shared" si="394"/>
        <x:v>0</x:v>
      </x:c>
      <x:c r="EV379">
        <x:f t="shared" si="395"/>
        <x:v>0</x:v>
      </x:c>
      <x:c r="EW379">
        <x:f t="shared" si="396"/>
        <x:v>0</x:v>
      </x:c>
      <x:c r="EX379">
        <x:f t="shared" si="397"/>
        <x:v>0</x:v>
      </x:c>
      <x:c r="EY379">
        <x:f t="shared" si="398"/>
        <x:v>0</x:v>
      </x:c>
      <x:c r="EZ379">
        <x:f t="shared" si="399"/>
        <x:v>0</x:v>
      </x:c>
      <x:c r="FA379" s="41">
        <x:f t="shared" si="400"/>
        <x:v>0</x:v>
      </x:c>
      <x:c r="FB379">
        <x:f t="shared" si="401"/>
        <x:v>0</x:v>
      </x:c>
      <x:c r="FC379">
        <x:f t="shared" si="402"/>
        <x:v>0</x:v>
      </x:c>
      <x:c r="FD379">
        <x:f t="shared" si="403"/>
        <x:v>0</x:v>
      </x:c>
      <x:c r="FE379">
        <x:f t="shared" si="404"/>
        <x:v>0</x:v>
      </x:c>
      <x:c r="FF379">
        <x:f t="shared" si="405"/>
        <x:v>0</x:v>
      </x:c>
      <x:c r="FG379">
        <x:f t="shared" si="406"/>
        <x:v>0</x:v>
      </x:c>
      <x:c r="FH379">
        <x:f t="shared" si="407"/>
        <x:v>0</x:v>
      </x:c>
      <x:c r="FI379">
        <x:f t="shared" si="408"/>
        <x:v>0</x:v>
      </x:c>
      <x:c r="FJ379">
        <x:f t="shared" si="409"/>
        <x:v>0</x:v>
      </x:c>
      <x:c r="FK379">
        <x:f t="shared" si="410"/>
        <x:v>0</x:v>
      </x:c>
      <x:c r="FL379" s="41">
        <x:f t="shared" si="411"/>
        <x:v>0</x:v>
      </x:c>
      <x:c r="FM379">
        <x:f t="shared" si="412"/>
        <x:v>0</x:v>
      </x:c>
      <x:c r="FN379">
        <x:f t="shared" si="413"/>
        <x:v>0</x:v>
      </x:c>
      <x:c r="FO379">
        <x:f t="shared" si="414"/>
        <x:v>0</x:v>
      </x:c>
      <x:c r="FP379">
        <x:f t="shared" si="415"/>
        <x:v>0</x:v>
      </x:c>
      <x:c r="FQ379">
        <x:f t="shared" si="416"/>
        <x:v>0</x:v>
      </x:c>
      <x:c r="FR379">
        <x:f t="shared" si="417"/>
        <x:v>0</x:v>
      </x:c>
      <x:c r="FS379">
        <x:f t="shared" si="418"/>
        <x:v>0</x:v>
      </x:c>
      <x:c r="FT379">
        <x:f t="shared" si="419"/>
        <x:v>0</x:v>
      </x:c>
      <x:c r="FU379">
        <x:f t="shared" si="420"/>
        <x:v>0</x:v>
      </x:c>
      <x:c r="FV379">
        <x:f t="shared" si="421"/>
        <x:v>0</x:v>
      </x:c>
      <x:c r="FW379" s="41">
        <x:f t="shared" si="422"/>
        <x:v>0</x:v>
      </x:c>
      <x:c r="FX379">
        <x:f t="shared" si="423"/>
        <x:v>0</x:v>
      </x:c>
      <x:c r="FY379">
        <x:f t="shared" si="424"/>
        <x:v>0</x:v>
      </x:c>
      <x:c r="FZ379">
        <x:f t="shared" si="425"/>
        <x:v>0</x:v>
      </x:c>
      <x:c r="GA379">
        <x:f t="shared" si="426"/>
        <x:v>0</x:v>
      </x:c>
      <x:c r="GB379">
        <x:f t="shared" si="427"/>
        <x:v>0</x:v>
      </x:c>
      <x:c r="GC379">
        <x:f t="shared" si="428"/>
        <x:v>0</x:v>
      </x:c>
      <x:c r="GD379">
        <x:f t="shared" si="429"/>
        <x:v>0</x:v>
      </x:c>
      <x:c r="GE379">
        <x:f t="shared" si="430"/>
        <x:v>0</x:v>
      </x:c>
      <x:c r="GF379">
        <x:f t="shared" si="431"/>
        <x:v>0</x:v>
      </x:c>
      <x:c r="GG379">
        <x:f t="shared" si="432"/>
        <x:v>0</x:v>
      </x:c>
      <x:c r="GH379">
        <x:f t="shared" si="433"/>
        <x:v>0</x:v>
      </x:c>
      <x:c r="GI379">
        <x:f t="shared" si="434"/>
        <x:v>0</x:v>
      </x:c>
      <x:c r="GJ379">
        <x:f t="shared" si="435"/>
        <x:v>0</x:v>
      </x:c>
      <x:c r="GK379">
        <x:f t="shared" si="436"/>
        <x:v>0</x:v>
      </x:c>
      <x:c r="GL379">
        <x:f t="shared" si="437"/>
        <x:v>0</x:v>
      </x:c>
      <x:c r="GM379">
        <x:f t="shared" si="438"/>
        <x:v>0</x:v>
      </x:c>
      <x:c r="GN379">
        <x:f t="shared" si="439"/>
        <x:v>0</x:v>
      </x:c>
      <x:c r="GO379">
        <x:f t="shared" si="440"/>
        <x:v>0</x:v>
      </x:c>
      <x:c r="GP379">
        <x:f t="shared" si="441"/>
        <x:v>0</x:v>
      </x:c>
      <x:c r="GQ379">
        <x:f t="shared" si="442"/>
        <x:v>0</x:v>
      </x:c>
      <x:c r="GR379" s="42">
        <x:f t="shared" si="443"/>
        <x:v>0</x:v>
      </x:c>
      <x:c r="GS379">
        <x:f t="shared" si="444"/>
        <x:v>0</x:v>
      </x:c>
      <x:c r="GT379">
        <x:f t="shared" si="445"/>
        <x:v>0</x:v>
      </x:c>
      <x:c r="GU379">
        <x:f t="shared" si="446"/>
        <x:v>0</x:v>
      </x:c>
      <x:c r="GV379">
        <x:f t="shared" si="447"/>
        <x:v>0</x:v>
      </x:c>
      <x:c r="GW379">
        <x:f t="shared" si="448"/>
        <x:v>0</x:v>
      </x:c>
      <x:c r="GX379">
        <x:f t="shared" si="449"/>
        <x:v>0</x:v>
      </x:c>
      <x:c r="GY379">
        <x:f t="shared" si="450"/>
        <x:v>0</x:v>
      </x:c>
      <x:c r="GZ379">
        <x:f t="shared" si="451"/>
        <x:v>0</x:v>
      </x:c>
      <x:c r="HA379">
        <x:f t="shared" si="452"/>
        <x:v>0</x:v>
      </x:c>
      <x:c r="HB379" s="42">
        <x:f t="shared" si="453"/>
        <x:v>0</x:v>
      </x:c>
      <x:c r="HC379">
        <x:f t="shared" si="454"/>
        <x:v>0</x:v>
      </x:c>
      <x:c r="HD379">
        <x:f t="shared" si="455"/>
        <x:v>0</x:v>
      </x:c>
      <x:c r="HE379">
        <x:f t="shared" si="456"/>
        <x:v>0</x:v>
      </x:c>
      <x:c r="HF379">
        <x:f t="shared" si="457"/>
        <x:v>0</x:v>
      </x:c>
      <x:c r="HG379">
        <x:f t="shared" si="458"/>
        <x:v>0</x:v>
      </x:c>
      <x:c r="HH379">
        <x:f t="shared" si="459"/>
        <x:v>0</x:v>
      </x:c>
      <x:c r="HI379">
        <x:f t="shared" si="460"/>
        <x:v>0</x:v>
      </x:c>
      <x:c r="HJ379">
        <x:f t="shared" si="461"/>
        <x:v>0</x:v>
      </x:c>
      <x:c r="HK379">
        <x:f t="shared" si="462"/>
        <x:v>0</x:v>
      </x:c>
      <x:c r="HL379">
        <x:f t="shared" si="463"/>
        <x:v>0</x:v>
      </x:c>
    </x:row>
    <x:row r="380">
      <x:c r="D380" s="74"/>
      <x:c r="EQ380">
        <x:f t="shared" si="390"/>
        <x:v>0</x:v>
      </x:c>
      <x:c r="ER380">
        <x:f t="shared" si="391"/>
        <x:v>0</x:v>
      </x:c>
      <x:c r="ES380">
        <x:f t="shared" si="392"/>
        <x:v>0</x:v>
      </x:c>
      <x:c r="ET380">
        <x:f t="shared" si="393"/>
        <x:v>0</x:v>
      </x:c>
      <x:c r="EU380">
        <x:f t="shared" si="394"/>
        <x:v>0</x:v>
      </x:c>
      <x:c r="EV380">
        <x:f t="shared" si="395"/>
        <x:v>0</x:v>
      </x:c>
      <x:c r="EW380">
        <x:f t="shared" si="396"/>
        <x:v>0</x:v>
      </x:c>
      <x:c r="EX380">
        <x:f t="shared" si="397"/>
        <x:v>0</x:v>
      </x:c>
      <x:c r="EY380">
        <x:f t="shared" si="398"/>
        <x:v>0</x:v>
      </x:c>
      <x:c r="EZ380">
        <x:f t="shared" si="399"/>
        <x:v>0</x:v>
      </x:c>
      <x:c r="FA380" s="41">
        <x:f t="shared" si="400"/>
        <x:v>0</x:v>
      </x:c>
      <x:c r="FB380">
        <x:f t="shared" si="401"/>
        <x:v>0</x:v>
      </x:c>
      <x:c r="FC380">
        <x:f t="shared" si="402"/>
        <x:v>0</x:v>
      </x:c>
      <x:c r="FD380">
        <x:f t="shared" si="403"/>
        <x:v>0</x:v>
      </x:c>
      <x:c r="FE380">
        <x:f t="shared" si="404"/>
        <x:v>0</x:v>
      </x:c>
      <x:c r="FF380">
        <x:f t="shared" si="405"/>
        <x:v>0</x:v>
      </x:c>
      <x:c r="FG380">
        <x:f t="shared" si="406"/>
        <x:v>0</x:v>
      </x:c>
      <x:c r="FH380">
        <x:f t="shared" si="407"/>
        <x:v>0</x:v>
      </x:c>
      <x:c r="FI380">
        <x:f t="shared" si="408"/>
        <x:v>0</x:v>
      </x:c>
      <x:c r="FJ380">
        <x:f t="shared" si="409"/>
        <x:v>0</x:v>
      </x:c>
      <x:c r="FK380">
        <x:f t="shared" si="410"/>
        <x:v>0</x:v>
      </x:c>
      <x:c r="FL380" s="41">
        <x:f t="shared" si="411"/>
        <x:v>0</x:v>
      </x:c>
      <x:c r="FM380">
        <x:f t="shared" si="412"/>
        <x:v>0</x:v>
      </x:c>
      <x:c r="FN380">
        <x:f t="shared" si="413"/>
        <x:v>0</x:v>
      </x:c>
      <x:c r="FO380">
        <x:f t="shared" si="414"/>
        <x:v>0</x:v>
      </x:c>
      <x:c r="FP380">
        <x:f t="shared" si="415"/>
        <x:v>0</x:v>
      </x:c>
      <x:c r="FQ380">
        <x:f t="shared" si="416"/>
        <x:v>0</x:v>
      </x:c>
      <x:c r="FR380">
        <x:f t="shared" si="417"/>
        <x:v>0</x:v>
      </x:c>
      <x:c r="FS380">
        <x:f t="shared" si="418"/>
        <x:v>0</x:v>
      </x:c>
      <x:c r="FT380">
        <x:f t="shared" si="419"/>
        <x:v>0</x:v>
      </x:c>
      <x:c r="FU380">
        <x:f t="shared" si="420"/>
        <x:v>0</x:v>
      </x:c>
      <x:c r="FV380">
        <x:f t="shared" si="421"/>
        <x:v>0</x:v>
      </x:c>
      <x:c r="FW380" s="41">
        <x:f t="shared" si="422"/>
        <x:v>0</x:v>
      </x:c>
      <x:c r="FX380">
        <x:f t="shared" si="423"/>
        <x:v>0</x:v>
      </x:c>
      <x:c r="FY380">
        <x:f t="shared" si="424"/>
        <x:v>0</x:v>
      </x:c>
      <x:c r="FZ380">
        <x:f t="shared" si="425"/>
        <x:v>0</x:v>
      </x:c>
      <x:c r="GA380">
        <x:f t="shared" si="426"/>
        <x:v>0</x:v>
      </x:c>
      <x:c r="GB380">
        <x:f t="shared" si="427"/>
        <x:v>0</x:v>
      </x:c>
      <x:c r="GC380">
        <x:f t="shared" si="428"/>
        <x:v>0</x:v>
      </x:c>
      <x:c r="GD380">
        <x:f t="shared" si="429"/>
        <x:v>0</x:v>
      </x:c>
      <x:c r="GE380">
        <x:f t="shared" si="430"/>
        <x:v>0</x:v>
      </x:c>
      <x:c r="GF380">
        <x:f t="shared" si="431"/>
        <x:v>0</x:v>
      </x:c>
      <x:c r="GG380">
        <x:f t="shared" si="432"/>
        <x:v>0</x:v>
      </x:c>
      <x:c r="GH380">
        <x:f t="shared" si="433"/>
        <x:v>0</x:v>
      </x:c>
      <x:c r="GI380">
        <x:f t="shared" si="434"/>
        <x:v>0</x:v>
      </x:c>
      <x:c r="GJ380">
        <x:f t="shared" si="435"/>
        <x:v>0</x:v>
      </x:c>
      <x:c r="GK380">
        <x:f t="shared" si="436"/>
        <x:v>0</x:v>
      </x:c>
      <x:c r="GL380">
        <x:f t="shared" si="437"/>
        <x:v>0</x:v>
      </x:c>
      <x:c r="GM380">
        <x:f t="shared" si="438"/>
        <x:v>0</x:v>
      </x:c>
      <x:c r="GN380">
        <x:f t="shared" si="439"/>
        <x:v>0</x:v>
      </x:c>
      <x:c r="GO380">
        <x:f t="shared" si="440"/>
        <x:v>0</x:v>
      </x:c>
      <x:c r="GP380">
        <x:f t="shared" si="441"/>
        <x:v>0</x:v>
      </x:c>
      <x:c r="GQ380">
        <x:f t="shared" si="442"/>
        <x:v>0</x:v>
      </x:c>
      <x:c r="GR380" s="42">
        <x:f t="shared" si="443"/>
        <x:v>0</x:v>
      </x:c>
      <x:c r="GS380">
        <x:f t="shared" si="444"/>
        <x:v>0</x:v>
      </x:c>
      <x:c r="GT380">
        <x:f t="shared" si="445"/>
        <x:v>0</x:v>
      </x:c>
      <x:c r="GU380">
        <x:f t="shared" si="446"/>
        <x:v>0</x:v>
      </x:c>
      <x:c r="GV380">
        <x:f t="shared" si="447"/>
        <x:v>0</x:v>
      </x:c>
      <x:c r="GW380">
        <x:f t="shared" si="448"/>
        <x:v>0</x:v>
      </x:c>
      <x:c r="GX380">
        <x:f t="shared" si="449"/>
        <x:v>0</x:v>
      </x:c>
      <x:c r="GY380">
        <x:f t="shared" si="450"/>
        <x:v>0</x:v>
      </x:c>
      <x:c r="GZ380">
        <x:f t="shared" si="451"/>
        <x:v>0</x:v>
      </x:c>
      <x:c r="HA380">
        <x:f t="shared" si="452"/>
        <x:v>0</x:v>
      </x:c>
      <x:c r="HB380" s="42">
        <x:f t="shared" si="453"/>
        <x:v>0</x:v>
      </x:c>
      <x:c r="HC380">
        <x:f t="shared" si="454"/>
        <x:v>0</x:v>
      </x:c>
      <x:c r="HD380">
        <x:f t="shared" si="455"/>
        <x:v>0</x:v>
      </x:c>
      <x:c r="HE380">
        <x:f t="shared" si="456"/>
        <x:v>0</x:v>
      </x:c>
      <x:c r="HF380">
        <x:f t="shared" si="457"/>
        <x:v>0</x:v>
      </x:c>
      <x:c r="HG380">
        <x:f t="shared" si="458"/>
        <x:v>0</x:v>
      </x:c>
      <x:c r="HH380">
        <x:f t="shared" si="459"/>
        <x:v>0</x:v>
      </x:c>
      <x:c r="HI380">
        <x:f t="shared" si="460"/>
        <x:v>0</x:v>
      </x:c>
      <x:c r="HJ380">
        <x:f t="shared" si="461"/>
        <x:v>0</x:v>
      </x:c>
      <x:c r="HK380">
        <x:f t="shared" si="462"/>
        <x:v>0</x:v>
      </x:c>
      <x:c r="HL380">
        <x:f t="shared" si="463"/>
        <x:v>0</x:v>
      </x:c>
    </x:row>
    <x:row r="381">
      <x:c r="D381" s="74"/>
      <x:c r="EQ381">
        <x:f t="shared" si="390"/>
        <x:v>0</x:v>
      </x:c>
      <x:c r="ER381">
        <x:f t="shared" si="391"/>
        <x:v>0</x:v>
      </x:c>
      <x:c r="ES381">
        <x:f t="shared" si="392"/>
        <x:v>0</x:v>
      </x:c>
      <x:c r="ET381">
        <x:f t="shared" si="393"/>
        <x:v>0</x:v>
      </x:c>
      <x:c r="EU381">
        <x:f t="shared" si="394"/>
        <x:v>0</x:v>
      </x:c>
      <x:c r="EV381">
        <x:f t="shared" si="395"/>
        <x:v>0</x:v>
      </x:c>
      <x:c r="EW381">
        <x:f t="shared" si="396"/>
        <x:v>0</x:v>
      </x:c>
      <x:c r="EX381">
        <x:f t="shared" si="397"/>
        <x:v>0</x:v>
      </x:c>
      <x:c r="EY381">
        <x:f t="shared" si="398"/>
        <x:v>0</x:v>
      </x:c>
      <x:c r="EZ381">
        <x:f t="shared" si="399"/>
        <x:v>0</x:v>
      </x:c>
      <x:c r="FA381" s="41">
        <x:f t="shared" si="400"/>
        <x:v>0</x:v>
      </x:c>
      <x:c r="FB381">
        <x:f t="shared" si="401"/>
        <x:v>0</x:v>
      </x:c>
      <x:c r="FC381">
        <x:f t="shared" si="402"/>
        <x:v>0</x:v>
      </x:c>
      <x:c r="FD381">
        <x:f t="shared" si="403"/>
        <x:v>0</x:v>
      </x:c>
      <x:c r="FE381">
        <x:f t="shared" si="404"/>
        <x:v>0</x:v>
      </x:c>
      <x:c r="FF381">
        <x:f t="shared" si="405"/>
        <x:v>0</x:v>
      </x:c>
      <x:c r="FG381">
        <x:f t="shared" si="406"/>
        <x:v>0</x:v>
      </x:c>
      <x:c r="FH381">
        <x:f t="shared" si="407"/>
        <x:v>0</x:v>
      </x:c>
      <x:c r="FI381">
        <x:f t="shared" si="408"/>
        <x:v>0</x:v>
      </x:c>
      <x:c r="FJ381">
        <x:f t="shared" si="409"/>
        <x:v>0</x:v>
      </x:c>
      <x:c r="FK381">
        <x:f t="shared" si="410"/>
        <x:v>0</x:v>
      </x:c>
      <x:c r="FL381" s="41">
        <x:f t="shared" si="411"/>
        <x:v>0</x:v>
      </x:c>
      <x:c r="FM381">
        <x:f t="shared" si="412"/>
        <x:v>0</x:v>
      </x:c>
      <x:c r="FN381">
        <x:f t="shared" si="413"/>
        <x:v>0</x:v>
      </x:c>
      <x:c r="FO381">
        <x:f t="shared" si="414"/>
        <x:v>0</x:v>
      </x:c>
      <x:c r="FP381">
        <x:f t="shared" si="415"/>
        <x:v>0</x:v>
      </x:c>
      <x:c r="FQ381">
        <x:f t="shared" si="416"/>
        <x:v>0</x:v>
      </x:c>
      <x:c r="FR381">
        <x:f t="shared" si="417"/>
        <x:v>0</x:v>
      </x:c>
      <x:c r="FS381">
        <x:f t="shared" si="418"/>
        <x:v>0</x:v>
      </x:c>
      <x:c r="FT381">
        <x:f t="shared" si="419"/>
        <x:v>0</x:v>
      </x:c>
      <x:c r="FU381">
        <x:f t="shared" si="420"/>
        <x:v>0</x:v>
      </x:c>
      <x:c r="FV381">
        <x:f t="shared" si="421"/>
        <x:v>0</x:v>
      </x:c>
      <x:c r="FW381" s="41">
        <x:f t="shared" si="422"/>
        <x:v>0</x:v>
      </x:c>
      <x:c r="FX381">
        <x:f t="shared" si="423"/>
        <x:v>0</x:v>
      </x:c>
      <x:c r="FY381">
        <x:f t="shared" si="424"/>
        <x:v>0</x:v>
      </x:c>
      <x:c r="FZ381">
        <x:f t="shared" si="425"/>
        <x:v>0</x:v>
      </x:c>
      <x:c r="GA381">
        <x:f t="shared" si="426"/>
        <x:v>0</x:v>
      </x:c>
      <x:c r="GB381">
        <x:f t="shared" si="427"/>
        <x:v>0</x:v>
      </x:c>
      <x:c r="GC381">
        <x:f t="shared" si="428"/>
        <x:v>0</x:v>
      </x:c>
      <x:c r="GD381">
        <x:f t="shared" si="429"/>
        <x:v>0</x:v>
      </x:c>
      <x:c r="GE381">
        <x:f t="shared" si="430"/>
        <x:v>0</x:v>
      </x:c>
      <x:c r="GF381">
        <x:f t="shared" si="431"/>
        <x:v>0</x:v>
      </x:c>
      <x:c r="GG381">
        <x:f t="shared" si="432"/>
        <x:v>0</x:v>
      </x:c>
      <x:c r="GH381">
        <x:f t="shared" si="433"/>
        <x:v>0</x:v>
      </x:c>
      <x:c r="GI381">
        <x:f t="shared" si="434"/>
        <x:v>0</x:v>
      </x:c>
      <x:c r="GJ381">
        <x:f t="shared" si="435"/>
        <x:v>0</x:v>
      </x:c>
      <x:c r="GK381">
        <x:f t="shared" si="436"/>
        <x:v>0</x:v>
      </x:c>
      <x:c r="GL381">
        <x:f t="shared" si="437"/>
        <x:v>0</x:v>
      </x:c>
      <x:c r="GM381">
        <x:f t="shared" si="438"/>
        <x:v>0</x:v>
      </x:c>
      <x:c r="GN381">
        <x:f t="shared" si="439"/>
        <x:v>0</x:v>
      </x:c>
      <x:c r="GO381">
        <x:f t="shared" si="440"/>
        <x:v>0</x:v>
      </x:c>
      <x:c r="GP381">
        <x:f t="shared" si="441"/>
        <x:v>0</x:v>
      </x:c>
      <x:c r="GQ381">
        <x:f t="shared" si="442"/>
        <x:v>0</x:v>
      </x:c>
      <x:c r="GR381" s="42">
        <x:f t="shared" si="443"/>
        <x:v>0</x:v>
      </x:c>
      <x:c r="GS381">
        <x:f t="shared" si="444"/>
        <x:v>0</x:v>
      </x:c>
      <x:c r="GT381">
        <x:f t="shared" si="445"/>
        <x:v>0</x:v>
      </x:c>
      <x:c r="GU381">
        <x:f t="shared" si="446"/>
        <x:v>0</x:v>
      </x:c>
      <x:c r="GV381">
        <x:f t="shared" si="447"/>
        <x:v>0</x:v>
      </x:c>
      <x:c r="GW381">
        <x:f t="shared" si="448"/>
        <x:v>0</x:v>
      </x:c>
      <x:c r="GX381">
        <x:f t="shared" si="449"/>
        <x:v>0</x:v>
      </x:c>
      <x:c r="GY381">
        <x:f t="shared" si="450"/>
        <x:v>0</x:v>
      </x:c>
      <x:c r="GZ381">
        <x:f t="shared" si="451"/>
        <x:v>0</x:v>
      </x:c>
      <x:c r="HA381">
        <x:f t="shared" si="452"/>
        <x:v>0</x:v>
      </x:c>
      <x:c r="HB381" s="42">
        <x:f t="shared" si="453"/>
        <x:v>0</x:v>
      </x:c>
      <x:c r="HC381">
        <x:f t="shared" si="454"/>
        <x:v>0</x:v>
      </x:c>
      <x:c r="HD381">
        <x:f t="shared" si="455"/>
        <x:v>0</x:v>
      </x:c>
      <x:c r="HE381">
        <x:f t="shared" si="456"/>
        <x:v>0</x:v>
      </x:c>
      <x:c r="HF381">
        <x:f t="shared" si="457"/>
        <x:v>0</x:v>
      </x:c>
      <x:c r="HG381">
        <x:f t="shared" si="458"/>
        <x:v>0</x:v>
      </x:c>
      <x:c r="HH381">
        <x:f t="shared" si="459"/>
        <x:v>0</x:v>
      </x:c>
      <x:c r="HI381">
        <x:f t="shared" si="460"/>
        <x:v>0</x:v>
      </x:c>
      <x:c r="HJ381">
        <x:f t="shared" si="461"/>
        <x:v>0</x:v>
      </x:c>
      <x:c r="HK381">
        <x:f t="shared" si="462"/>
        <x:v>0</x:v>
      </x:c>
      <x:c r="HL381">
        <x:f t="shared" si="463"/>
        <x:v>0</x:v>
      </x:c>
    </x:row>
    <x:row r="382">
      <x:c r="D382" s="74"/>
      <x:c r="EQ382">
        <x:f t="shared" si="390"/>
        <x:v>0</x:v>
      </x:c>
      <x:c r="ER382">
        <x:f t="shared" si="391"/>
        <x:v>0</x:v>
      </x:c>
      <x:c r="ES382">
        <x:f t="shared" si="392"/>
        <x:v>0</x:v>
      </x:c>
      <x:c r="ET382">
        <x:f t="shared" si="393"/>
        <x:v>0</x:v>
      </x:c>
      <x:c r="EU382">
        <x:f t="shared" si="394"/>
        <x:v>0</x:v>
      </x:c>
      <x:c r="EV382">
        <x:f t="shared" si="395"/>
        <x:v>0</x:v>
      </x:c>
      <x:c r="EW382">
        <x:f t="shared" si="396"/>
        <x:v>0</x:v>
      </x:c>
      <x:c r="EX382">
        <x:f t="shared" si="397"/>
        <x:v>0</x:v>
      </x:c>
      <x:c r="EY382">
        <x:f t="shared" si="398"/>
        <x:v>0</x:v>
      </x:c>
      <x:c r="EZ382">
        <x:f t="shared" si="399"/>
        <x:v>0</x:v>
      </x:c>
      <x:c r="FA382" s="41">
        <x:f t="shared" si="400"/>
        <x:v>0</x:v>
      </x:c>
      <x:c r="FB382">
        <x:f t="shared" si="401"/>
        <x:v>0</x:v>
      </x:c>
      <x:c r="FC382">
        <x:f t="shared" si="402"/>
        <x:v>0</x:v>
      </x:c>
      <x:c r="FD382">
        <x:f t="shared" si="403"/>
        <x:v>0</x:v>
      </x:c>
      <x:c r="FE382">
        <x:f t="shared" si="404"/>
        <x:v>0</x:v>
      </x:c>
      <x:c r="FF382">
        <x:f t="shared" si="405"/>
        <x:v>0</x:v>
      </x:c>
      <x:c r="FG382">
        <x:f t="shared" si="406"/>
        <x:v>0</x:v>
      </x:c>
      <x:c r="FH382">
        <x:f t="shared" si="407"/>
        <x:v>0</x:v>
      </x:c>
      <x:c r="FI382">
        <x:f t="shared" si="408"/>
        <x:v>0</x:v>
      </x:c>
      <x:c r="FJ382">
        <x:f t="shared" si="409"/>
        <x:v>0</x:v>
      </x:c>
      <x:c r="FK382">
        <x:f t="shared" si="410"/>
        <x:v>0</x:v>
      </x:c>
      <x:c r="FL382" s="41">
        <x:f t="shared" si="411"/>
        <x:v>0</x:v>
      </x:c>
      <x:c r="FM382">
        <x:f t="shared" si="412"/>
        <x:v>0</x:v>
      </x:c>
      <x:c r="FN382">
        <x:f t="shared" si="413"/>
        <x:v>0</x:v>
      </x:c>
      <x:c r="FO382">
        <x:f t="shared" si="414"/>
        <x:v>0</x:v>
      </x:c>
      <x:c r="FP382">
        <x:f t="shared" si="415"/>
        <x:v>0</x:v>
      </x:c>
      <x:c r="FQ382">
        <x:f t="shared" si="416"/>
        <x:v>0</x:v>
      </x:c>
      <x:c r="FR382">
        <x:f t="shared" si="417"/>
        <x:v>0</x:v>
      </x:c>
      <x:c r="FS382">
        <x:f t="shared" si="418"/>
        <x:v>0</x:v>
      </x:c>
      <x:c r="FT382">
        <x:f t="shared" si="419"/>
        <x:v>0</x:v>
      </x:c>
      <x:c r="FU382">
        <x:f t="shared" si="420"/>
        <x:v>0</x:v>
      </x:c>
      <x:c r="FV382">
        <x:f t="shared" si="421"/>
        <x:v>0</x:v>
      </x:c>
      <x:c r="FW382" s="41">
        <x:f t="shared" si="422"/>
        <x:v>0</x:v>
      </x:c>
      <x:c r="FX382">
        <x:f t="shared" si="423"/>
        <x:v>0</x:v>
      </x:c>
      <x:c r="FY382">
        <x:f t="shared" si="424"/>
        <x:v>0</x:v>
      </x:c>
      <x:c r="FZ382">
        <x:f t="shared" si="425"/>
        <x:v>0</x:v>
      </x:c>
      <x:c r="GA382">
        <x:f t="shared" si="426"/>
        <x:v>0</x:v>
      </x:c>
      <x:c r="GB382">
        <x:f t="shared" si="427"/>
        <x:v>0</x:v>
      </x:c>
      <x:c r="GC382">
        <x:f t="shared" si="428"/>
        <x:v>0</x:v>
      </x:c>
      <x:c r="GD382">
        <x:f t="shared" si="429"/>
        <x:v>0</x:v>
      </x:c>
      <x:c r="GE382">
        <x:f t="shared" si="430"/>
        <x:v>0</x:v>
      </x:c>
      <x:c r="GF382">
        <x:f t="shared" si="431"/>
        <x:v>0</x:v>
      </x:c>
      <x:c r="GG382">
        <x:f t="shared" si="432"/>
        <x:v>0</x:v>
      </x:c>
      <x:c r="GH382">
        <x:f t="shared" si="433"/>
        <x:v>0</x:v>
      </x:c>
      <x:c r="GI382">
        <x:f t="shared" si="434"/>
        <x:v>0</x:v>
      </x:c>
      <x:c r="GJ382">
        <x:f t="shared" si="435"/>
        <x:v>0</x:v>
      </x:c>
      <x:c r="GK382">
        <x:f t="shared" si="436"/>
        <x:v>0</x:v>
      </x:c>
      <x:c r="GL382">
        <x:f t="shared" si="437"/>
        <x:v>0</x:v>
      </x:c>
      <x:c r="GM382">
        <x:f t="shared" si="438"/>
        <x:v>0</x:v>
      </x:c>
      <x:c r="GN382">
        <x:f t="shared" si="439"/>
        <x:v>0</x:v>
      </x:c>
      <x:c r="GO382">
        <x:f t="shared" si="440"/>
        <x:v>0</x:v>
      </x:c>
      <x:c r="GP382">
        <x:f t="shared" si="441"/>
        <x:v>0</x:v>
      </x:c>
      <x:c r="GQ382">
        <x:f t="shared" si="442"/>
        <x:v>0</x:v>
      </x:c>
      <x:c r="GR382" s="42">
        <x:f t="shared" si="443"/>
        <x:v>0</x:v>
      </x:c>
      <x:c r="GS382">
        <x:f t="shared" si="444"/>
        <x:v>0</x:v>
      </x:c>
      <x:c r="GT382">
        <x:f t="shared" si="445"/>
        <x:v>0</x:v>
      </x:c>
      <x:c r="GU382">
        <x:f t="shared" si="446"/>
        <x:v>0</x:v>
      </x:c>
      <x:c r="GV382">
        <x:f t="shared" si="447"/>
        <x:v>0</x:v>
      </x:c>
      <x:c r="GW382">
        <x:f t="shared" si="448"/>
        <x:v>0</x:v>
      </x:c>
      <x:c r="GX382">
        <x:f t="shared" si="449"/>
        <x:v>0</x:v>
      </x:c>
      <x:c r="GY382">
        <x:f t="shared" si="450"/>
        <x:v>0</x:v>
      </x:c>
      <x:c r="GZ382">
        <x:f t="shared" si="451"/>
        <x:v>0</x:v>
      </x:c>
      <x:c r="HA382">
        <x:f t="shared" si="452"/>
        <x:v>0</x:v>
      </x:c>
      <x:c r="HB382" s="42">
        <x:f t="shared" si="453"/>
        <x:v>0</x:v>
      </x:c>
      <x:c r="HC382">
        <x:f t="shared" si="454"/>
        <x:v>0</x:v>
      </x:c>
      <x:c r="HD382">
        <x:f t="shared" si="455"/>
        <x:v>0</x:v>
      </x:c>
      <x:c r="HE382">
        <x:f t="shared" si="456"/>
        <x:v>0</x:v>
      </x:c>
      <x:c r="HF382">
        <x:f t="shared" si="457"/>
        <x:v>0</x:v>
      </x:c>
      <x:c r="HG382">
        <x:f t="shared" si="458"/>
        <x:v>0</x:v>
      </x:c>
      <x:c r="HH382">
        <x:f t="shared" si="459"/>
        <x:v>0</x:v>
      </x:c>
      <x:c r="HI382">
        <x:f t="shared" si="460"/>
        <x:v>0</x:v>
      </x:c>
      <x:c r="HJ382">
        <x:f t="shared" si="461"/>
        <x:v>0</x:v>
      </x:c>
      <x:c r="HK382">
        <x:f t="shared" si="462"/>
        <x:v>0</x:v>
      </x:c>
      <x:c r="HL382">
        <x:f t="shared" si="463"/>
        <x:v>0</x:v>
      </x:c>
    </x:row>
    <x:row r="383">
      <x:c r="D383" s="74"/>
      <x:c r="EQ383">
        <x:f t="shared" si="390"/>
        <x:v>0</x:v>
      </x:c>
      <x:c r="ER383">
        <x:f t="shared" si="391"/>
        <x:v>0</x:v>
      </x:c>
      <x:c r="ES383">
        <x:f t="shared" si="392"/>
        <x:v>0</x:v>
      </x:c>
      <x:c r="ET383">
        <x:f t="shared" si="393"/>
        <x:v>0</x:v>
      </x:c>
      <x:c r="EU383">
        <x:f t="shared" si="394"/>
        <x:v>0</x:v>
      </x:c>
      <x:c r="EV383">
        <x:f t="shared" si="395"/>
        <x:v>0</x:v>
      </x:c>
      <x:c r="EW383">
        <x:f t="shared" si="396"/>
        <x:v>0</x:v>
      </x:c>
      <x:c r="EX383">
        <x:f t="shared" si="397"/>
        <x:v>0</x:v>
      </x:c>
      <x:c r="EY383">
        <x:f t="shared" si="398"/>
        <x:v>0</x:v>
      </x:c>
      <x:c r="EZ383">
        <x:f t="shared" si="399"/>
        <x:v>0</x:v>
      </x:c>
      <x:c r="FA383" s="41">
        <x:f t="shared" si="400"/>
        <x:v>0</x:v>
      </x:c>
      <x:c r="FB383">
        <x:f t="shared" si="401"/>
        <x:v>0</x:v>
      </x:c>
      <x:c r="FC383">
        <x:f t="shared" si="402"/>
        <x:v>0</x:v>
      </x:c>
      <x:c r="FD383">
        <x:f t="shared" si="403"/>
        <x:v>0</x:v>
      </x:c>
      <x:c r="FE383">
        <x:f t="shared" si="404"/>
        <x:v>0</x:v>
      </x:c>
      <x:c r="FF383">
        <x:f t="shared" si="405"/>
        <x:v>0</x:v>
      </x:c>
      <x:c r="FG383">
        <x:f t="shared" si="406"/>
        <x:v>0</x:v>
      </x:c>
      <x:c r="FH383">
        <x:f t="shared" si="407"/>
        <x:v>0</x:v>
      </x:c>
      <x:c r="FI383">
        <x:f t="shared" si="408"/>
        <x:v>0</x:v>
      </x:c>
      <x:c r="FJ383">
        <x:f t="shared" si="409"/>
        <x:v>0</x:v>
      </x:c>
      <x:c r="FK383">
        <x:f t="shared" si="410"/>
        <x:v>0</x:v>
      </x:c>
      <x:c r="FL383" s="41">
        <x:f t="shared" si="411"/>
        <x:v>0</x:v>
      </x:c>
      <x:c r="FM383">
        <x:f t="shared" si="412"/>
        <x:v>0</x:v>
      </x:c>
      <x:c r="FN383">
        <x:f t="shared" si="413"/>
        <x:v>0</x:v>
      </x:c>
      <x:c r="FO383">
        <x:f t="shared" si="414"/>
        <x:v>0</x:v>
      </x:c>
      <x:c r="FP383">
        <x:f t="shared" si="415"/>
        <x:v>0</x:v>
      </x:c>
      <x:c r="FQ383">
        <x:f t="shared" si="416"/>
        <x:v>0</x:v>
      </x:c>
      <x:c r="FR383">
        <x:f t="shared" si="417"/>
        <x:v>0</x:v>
      </x:c>
      <x:c r="FS383">
        <x:f t="shared" si="418"/>
        <x:v>0</x:v>
      </x:c>
      <x:c r="FT383">
        <x:f t="shared" si="419"/>
        <x:v>0</x:v>
      </x:c>
      <x:c r="FU383">
        <x:f t="shared" si="420"/>
        <x:v>0</x:v>
      </x:c>
      <x:c r="FV383">
        <x:f t="shared" si="421"/>
        <x:v>0</x:v>
      </x:c>
      <x:c r="FW383" s="41">
        <x:f t="shared" si="422"/>
        <x:v>0</x:v>
      </x:c>
      <x:c r="FX383">
        <x:f t="shared" si="423"/>
        <x:v>0</x:v>
      </x:c>
      <x:c r="FY383">
        <x:f t="shared" si="424"/>
        <x:v>0</x:v>
      </x:c>
      <x:c r="FZ383">
        <x:f t="shared" si="425"/>
        <x:v>0</x:v>
      </x:c>
      <x:c r="GA383">
        <x:f t="shared" si="426"/>
        <x:v>0</x:v>
      </x:c>
      <x:c r="GB383">
        <x:f t="shared" si="427"/>
        <x:v>0</x:v>
      </x:c>
      <x:c r="GC383">
        <x:f t="shared" si="428"/>
        <x:v>0</x:v>
      </x:c>
      <x:c r="GD383">
        <x:f t="shared" si="429"/>
        <x:v>0</x:v>
      </x:c>
      <x:c r="GE383">
        <x:f t="shared" si="430"/>
        <x:v>0</x:v>
      </x:c>
      <x:c r="GF383">
        <x:f t="shared" si="431"/>
        <x:v>0</x:v>
      </x:c>
      <x:c r="GG383">
        <x:f t="shared" si="432"/>
        <x:v>0</x:v>
      </x:c>
      <x:c r="GH383">
        <x:f t="shared" si="433"/>
        <x:v>0</x:v>
      </x:c>
      <x:c r="GI383">
        <x:f t="shared" si="434"/>
        <x:v>0</x:v>
      </x:c>
      <x:c r="GJ383">
        <x:f t="shared" si="435"/>
        <x:v>0</x:v>
      </x:c>
      <x:c r="GK383">
        <x:f t="shared" si="436"/>
        <x:v>0</x:v>
      </x:c>
      <x:c r="GL383">
        <x:f t="shared" si="437"/>
        <x:v>0</x:v>
      </x:c>
      <x:c r="GM383">
        <x:f t="shared" si="438"/>
        <x:v>0</x:v>
      </x:c>
      <x:c r="GN383">
        <x:f t="shared" si="439"/>
        <x:v>0</x:v>
      </x:c>
      <x:c r="GO383">
        <x:f t="shared" si="440"/>
        <x:v>0</x:v>
      </x:c>
      <x:c r="GP383">
        <x:f t="shared" si="441"/>
        <x:v>0</x:v>
      </x:c>
      <x:c r="GQ383">
        <x:f t="shared" si="442"/>
        <x:v>0</x:v>
      </x:c>
      <x:c r="GR383" s="42">
        <x:f t="shared" si="443"/>
        <x:v>0</x:v>
      </x:c>
      <x:c r="GS383">
        <x:f t="shared" si="444"/>
        <x:v>0</x:v>
      </x:c>
      <x:c r="GT383">
        <x:f t="shared" si="445"/>
        <x:v>0</x:v>
      </x:c>
      <x:c r="GU383">
        <x:f t="shared" si="446"/>
        <x:v>0</x:v>
      </x:c>
      <x:c r="GV383">
        <x:f t="shared" si="447"/>
        <x:v>0</x:v>
      </x:c>
      <x:c r="GW383">
        <x:f t="shared" si="448"/>
        <x:v>0</x:v>
      </x:c>
      <x:c r="GX383">
        <x:f t="shared" si="449"/>
        <x:v>0</x:v>
      </x:c>
      <x:c r="GY383">
        <x:f t="shared" si="450"/>
        <x:v>0</x:v>
      </x:c>
      <x:c r="GZ383">
        <x:f t="shared" si="451"/>
        <x:v>0</x:v>
      </x:c>
      <x:c r="HA383">
        <x:f t="shared" si="452"/>
        <x:v>0</x:v>
      </x:c>
      <x:c r="HB383" s="42">
        <x:f t="shared" si="453"/>
        <x:v>0</x:v>
      </x:c>
      <x:c r="HC383">
        <x:f t="shared" si="454"/>
        <x:v>0</x:v>
      </x:c>
      <x:c r="HD383">
        <x:f t="shared" si="455"/>
        <x:v>0</x:v>
      </x:c>
      <x:c r="HE383">
        <x:f t="shared" si="456"/>
        <x:v>0</x:v>
      </x:c>
      <x:c r="HF383">
        <x:f t="shared" si="457"/>
        <x:v>0</x:v>
      </x:c>
      <x:c r="HG383">
        <x:f t="shared" si="458"/>
        <x:v>0</x:v>
      </x:c>
      <x:c r="HH383">
        <x:f t="shared" si="459"/>
        <x:v>0</x:v>
      </x:c>
      <x:c r="HI383">
        <x:f t="shared" si="460"/>
        <x:v>0</x:v>
      </x:c>
      <x:c r="HJ383">
        <x:f t="shared" si="461"/>
        <x:v>0</x:v>
      </x:c>
      <x:c r="HK383">
        <x:f t="shared" si="462"/>
        <x:v>0</x:v>
      </x:c>
      <x:c r="HL383">
        <x:f t="shared" si="463"/>
        <x:v>0</x:v>
      </x:c>
    </x:row>
    <x:row r="384">
      <x:c r="D384" s="74"/>
      <x:c r="EQ384">
        <x:f t="shared" si="390"/>
        <x:v>0</x:v>
      </x:c>
      <x:c r="ER384">
        <x:f t="shared" si="391"/>
        <x:v>0</x:v>
      </x:c>
      <x:c r="ES384">
        <x:f t="shared" si="392"/>
        <x:v>0</x:v>
      </x:c>
      <x:c r="ET384">
        <x:f t="shared" si="393"/>
        <x:v>0</x:v>
      </x:c>
      <x:c r="EU384">
        <x:f t="shared" si="394"/>
        <x:v>0</x:v>
      </x:c>
      <x:c r="EV384">
        <x:f t="shared" si="395"/>
        <x:v>0</x:v>
      </x:c>
      <x:c r="EW384">
        <x:f t="shared" si="396"/>
        <x:v>0</x:v>
      </x:c>
      <x:c r="EX384">
        <x:f t="shared" si="397"/>
        <x:v>0</x:v>
      </x:c>
      <x:c r="EY384">
        <x:f t="shared" si="398"/>
        <x:v>0</x:v>
      </x:c>
      <x:c r="EZ384">
        <x:f t="shared" si="399"/>
        <x:v>0</x:v>
      </x:c>
      <x:c r="FA384" s="41">
        <x:f t="shared" si="400"/>
        <x:v>0</x:v>
      </x:c>
      <x:c r="FB384">
        <x:f t="shared" si="401"/>
        <x:v>0</x:v>
      </x:c>
      <x:c r="FC384">
        <x:f t="shared" si="402"/>
        <x:v>0</x:v>
      </x:c>
      <x:c r="FD384">
        <x:f t="shared" si="403"/>
        <x:v>0</x:v>
      </x:c>
      <x:c r="FE384">
        <x:f t="shared" si="404"/>
        <x:v>0</x:v>
      </x:c>
      <x:c r="FF384">
        <x:f t="shared" si="405"/>
        <x:v>0</x:v>
      </x:c>
      <x:c r="FG384">
        <x:f t="shared" si="406"/>
        <x:v>0</x:v>
      </x:c>
      <x:c r="FH384">
        <x:f t="shared" si="407"/>
        <x:v>0</x:v>
      </x:c>
      <x:c r="FI384">
        <x:f t="shared" si="408"/>
        <x:v>0</x:v>
      </x:c>
      <x:c r="FJ384">
        <x:f t="shared" si="409"/>
        <x:v>0</x:v>
      </x:c>
      <x:c r="FK384">
        <x:f t="shared" si="410"/>
        <x:v>0</x:v>
      </x:c>
      <x:c r="FL384" s="41">
        <x:f t="shared" si="411"/>
        <x:v>0</x:v>
      </x:c>
      <x:c r="FM384">
        <x:f t="shared" si="412"/>
        <x:v>0</x:v>
      </x:c>
      <x:c r="FN384">
        <x:f t="shared" si="413"/>
        <x:v>0</x:v>
      </x:c>
      <x:c r="FO384">
        <x:f t="shared" si="414"/>
        <x:v>0</x:v>
      </x:c>
      <x:c r="FP384">
        <x:f t="shared" si="415"/>
        <x:v>0</x:v>
      </x:c>
      <x:c r="FQ384">
        <x:f t="shared" si="416"/>
        <x:v>0</x:v>
      </x:c>
      <x:c r="FR384">
        <x:f t="shared" si="417"/>
        <x:v>0</x:v>
      </x:c>
      <x:c r="FS384">
        <x:f t="shared" si="418"/>
        <x:v>0</x:v>
      </x:c>
      <x:c r="FT384">
        <x:f t="shared" si="419"/>
        <x:v>0</x:v>
      </x:c>
      <x:c r="FU384">
        <x:f t="shared" si="420"/>
        <x:v>0</x:v>
      </x:c>
      <x:c r="FV384">
        <x:f t="shared" si="421"/>
        <x:v>0</x:v>
      </x:c>
      <x:c r="FW384" s="41">
        <x:f t="shared" si="422"/>
        <x:v>0</x:v>
      </x:c>
      <x:c r="FX384">
        <x:f t="shared" si="423"/>
        <x:v>0</x:v>
      </x:c>
      <x:c r="FY384">
        <x:f t="shared" si="424"/>
        <x:v>0</x:v>
      </x:c>
      <x:c r="FZ384">
        <x:f t="shared" si="425"/>
        <x:v>0</x:v>
      </x:c>
      <x:c r="GA384">
        <x:f t="shared" si="426"/>
        <x:v>0</x:v>
      </x:c>
      <x:c r="GB384">
        <x:f t="shared" si="427"/>
        <x:v>0</x:v>
      </x:c>
      <x:c r="GC384">
        <x:f t="shared" si="428"/>
        <x:v>0</x:v>
      </x:c>
      <x:c r="GD384">
        <x:f t="shared" si="429"/>
        <x:v>0</x:v>
      </x:c>
      <x:c r="GE384">
        <x:f t="shared" si="430"/>
        <x:v>0</x:v>
      </x:c>
      <x:c r="GF384">
        <x:f t="shared" si="431"/>
        <x:v>0</x:v>
      </x:c>
      <x:c r="GG384">
        <x:f t="shared" si="432"/>
        <x:v>0</x:v>
      </x:c>
      <x:c r="GH384">
        <x:f t="shared" si="433"/>
        <x:v>0</x:v>
      </x:c>
      <x:c r="GI384">
        <x:f t="shared" si="434"/>
        <x:v>0</x:v>
      </x:c>
      <x:c r="GJ384">
        <x:f t="shared" si="435"/>
        <x:v>0</x:v>
      </x:c>
      <x:c r="GK384">
        <x:f t="shared" si="436"/>
        <x:v>0</x:v>
      </x:c>
      <x:c r="GL384">
        <x:f t="shared" si="437"/>
        <x:v>0</x:v>
      </x:c>
      <x:c r="GM384">
        <x:f t="shared" si="438"/>
        <x:v>0</x:v>
      </x:c>
      <x:c r="GN384">
        <x:f t="shared" si="439"/>
        <x:v>0</x:v>
      </x:c>
      <x:c r="GO384">
        <x:f t="shared" si="440"/>
        <x:v>0</x:v>
      </x:c>
      <x:c r="GP384">
        <x:f t="shared" si="441"/>
        <x:v>0</x:v>
      </x:c>
      <x:c r="GQ384">
        <x:f t="shared" si="442"/>
        <x:v>0</x:v>
      </x:c>
      <x:c r="GR384" s="42">
        <x:f t="shared" si="443"/>
        <x:v>0</x:v>
      </x:c>
      <x:c r="GS384">
        <x:f t="shared" si="444"/>
        <x:v>0</x:v>
      </x:c>
      <x:c r="GT384">
        <x:f t="shared" si="445"/>
        <x:v>0</x:v>
      </x:c>
      <x:c r="GU384">
        <x:f t="shared" si="446"/>
        <x:v>0</x:v>
      </x:c>
      <x:c r="GV384">
        <x:f t="shared" si="447"/>
        <x:v>0</x:v>
      </x:c>
      <x:c r="GW384">
        <x:f t="shared" si="448"/>
        <x:v>0</x:v>
      </x:c>
      <x:c r="GX384">
        <x:f t="shared" si="449"/>
        <x:v>0</x:v>
      </x:c>
      <x:c r="GY384">
        <x:f t="shared" si="450"/>
        <x:v>0</x:v>
      </x:c>
      <x:c r="GZ384">
        <x:f t="shared" si="451"/>
        <x:v>0</x:v>
      </x:c>
      <x:c r="HA384">
        <x:f t="shared" si="452"/>
        <x:v>0</x:v>
      </x:c>
      <x:c r="HB384" s="42">
        <x:f t="shared" si="453"/>
        <x:v>0</x:v>
      </x:c>
      <x:c r="HC384">
        <x:f t="shared" si="454"/>
        <x:v>0</x:v>
      </x:c>
      <x:c r="HD384">
        <x:f t="shared" si="455"/>
        <x:v>0</x:v>
      </x:c>
      <x:c r="HE384">
        <x:f t="shared" si="456"/>
        <x:v>0</x:v>
      </x:c>
      <x:c r="HF384">
        <x:f t="shared" si="457"/>
        <x:v>0</x:v>
      </x:c>
      <x:c r="HG384">
        <x:f t="shared" si="458"/>
        <x:v>0</x:v>
      </x:c>
      <x:c r="HH384">
        <x:f t="shared" si="459"/>
        <x:v>0</x:v>
      </x:c>
      <x:c r="HI384">
        <x:f t="shared" si="460"/>
        <x:v>0</x:v>
      </x:c>
      <x:c r="HJ384">
        <x:f t="shared" si="461"/>
        <x:v>0</x:v>
      </x:c>
      <x:c r="HK384">
        <x:f t="shared" si="462"/>
        <x:v>0</x:v>
      </x:c>
      <x:c r="HL384">
        <x:f t="shared" si="463"/>
        <x:v>0</x:v>
      </x:c>
    </x:row>
    <x:row r="385">
      <x:c r="D385" s="74"/>
      <x:c r="EQ385">
        <x:f t="shared" si="390"/>
        <x:v>0</x:v>
      </x:c>
      <x:c r="ER385">
        <x:f t="shared" si="391"/>
        <x:v>0</x:v>
      </x:c>
      <x:c r="ES385">
        <x:f t="shared" si="392"/>
        <x:v>0</x:v>
      </x:c>
      <x:c r="ET385">
        <x:f t="shared" si="393"/>
        <x:v>0</x:v>
      </x:c>
      <x:c r="EU385">
        <x:f t="shared" si="394"/>
        <x:v>0</x:v>
      </x:c>
      <x:c r="EV385">
        <x:f t="shared" si="395"/>
        <x:v>0</x:v>
      </x:c>
      <x:c r="EW385">
        <x:f t="shared" si="396"/>
        <x:v>0</x:v>
      </x:c>
      <x:c r="EX385">
        <x:f t="shared" si="397"/>
        <x:v>0</x:v>
      </x:c>
      <x:c r="EY385">
        <x:f t="shared" si="398"/>
        <x:v>0</x:v>
      </x:c>
      <x:c r="EZ385">
        <x:f t="shared" si="399"/>
        <x:v>0</x:v>
      </x:c>
      <x:c r="FA385" s="41">
        <x:f t="shared" si="400"/>
        <x:v>0</x:v>
      </x:c>
      <x:c r="FB385">
        <x:f t="shared" si="401"/>
        <x:v>0</x:v>
      </x:c>
      <x:c r="FC385">
        <x:f t="shared" si="402"/>
        <x:v>0</x:v>
      </x:c>
      <x:c r="FD385">
        <x:f t="shared" si="403"/>
        <x:v>0</x:v>
      </x:c>
      <x:c r="FE385">
        <x:f t="shared" si="404"/>
        <x:v>0</x:v>
      </x:c>
      <x:c r="FF385">
        <x:f t="shared" si="405"/>
        <x:v>0</x:v>
      </x:c>
      <x:c r="FG385">
        <x:f t="shared" si="406"/>
        <x:v>0</x:v>
      </x:c>
      <x:c r="FH385">
        <x:f t="shared" si="407"/>
        <x:v>0</x:v>
      </x:c>
      <x:c r="FI385">
        <x:f t="shared" si="408"/>
        <x:v>0</x:v>
      </x:c>
      <x:c r="FJ385">
        <x:f t="shared" si="409"/>
        <x:v>0</x:v>
      </x:c>
      <x:c r="FK385">
        <x:f t="shared" si="410"/>
        <x:v>0</x:v>
      </x:c>
      <x:c r="FL385" s="41">
        <x:f t="shared" si="411"/>
        <x:v>0</x:v>
      </x:c>
      <x:c r="FM385">
        <x:f t="shared" si="412"/>
        <x:v>0</x:v>
      </x:c>
      <x:c r="FN385">
        <x:f t="shared" si="413"/>
        <x:v>0</x:v>
      </x:c>
      <x:c r="FO385">
        <x:f t="shared" si="414"/>
        <x:v>0</x:v>
      </x:c>
      <x:c r="FP385">
        <x:f t="shared" si="415"/>
        <x:v>0</x:v>
      </x:c>
      <x:c r="FQ385">
        <x:f t="shared" si="416"/>
        <x:v>0</x:v>
      </x:c>
      <x:c r="FR385">
        <x:f t="shared" si="417"/>
        <x:v>0</x:v>
      </x:c>
      <x:c r="FS385">
        <x:f t="shared" si="418"/>
        <x:v>0</x:v>
      </x:c>
      <x:c r="FT385">
        <x:f t="shared" si="419"/>
        <x:v>0</x:v>
      </x:c>
      <x:c r="FU385">
        <x:f t="shared" si="420"/>
        <x:v>0</x:v>
      </x:c>
      <x:c r="FV385">
        <x:f t="shared" si="421"/>
        <x:v>0</x:v>
      </x:c>
      <x:c r="FW385" s="41">
        <x:f t="shared" si="422"/>
        <x:v>0</x:v>
      </x:c>
      <x:c r="FX385">
        <x:f t="shared" si="423"/>
        <x:v>0</x:v>
      </x:c>
      <x:c r="FY385">
        <x:f t="shared" si="424"/>
        <x:v>0</x:v>
      </x:c>
      <x:c r="FZ385">
        <x:f t="shared" si="425"/>
        <x:v>0</x:v>
      </x:c>
      <x:c r="GA385">
        <x:f t="shared" si="426"/>
        <x:v>0</x:v>
      </x:c>
      <x:c r="GB385">
        <x:f t="shared" si="427"/>
        <x:v>0</x:v>
      </x:c>
      <x:c r="GC385">
        <x:f t="shared" si="428"/>
        <x:v>0</x:v>
      </x:c>
      <x:c r="GD385">
        <x:f t="shared" si="429"/>
        <x:v>0</x:v>
      </x:c>
      <x:c r="GE385">
        <x:f t="shared" si="430"/>
        <x:v>0</x:v>
      </x:c>
      <x:c r="GF385">
        <x:f t="shared" si="431"/>
        <x:v>0</x:v>
      </x:c>
      <x:c r="GG385">
        <x:f t="shared" si="432"/>
        <x:v>0</x:v>
      </x:c>
      <x:c r="GH385">
        <x:f t="shared" si="433"/>
        <x:v>0</x:v>
      </x:c>
      <x:c r="GI385">
        <x:f t="shared" si="434"/>
        <x:v>0</x:v>
      </x:c>
      <x:c r="GJ385">
        <x:f t="shared" si="435"/>
        <x:v>0</x:v>
      </x:c>
      <x:c r="GK385">
        <x:f t="shared" si="436"/>
        <x:v>0</x:v>
      </x:c>
      <x:c r="GL385">
        <x:f t="shared" si="437"/>
        <x:v>0</x:v>
      </x:c>
      <x:c r="GM385">
        <x:f t="shared" si="438"/>
        <x:v>0</x:v>
      </x:c>
      <x:c r="GN385">
        <x:f t="shared" si="439"/>
        <x:v>0</x:v>
      </x:c>
      <x:c r="GO385">
        <x:f t="shared" si="440"/>
        <x:v>0</x:v>
      </x:c>
      <x:c r="GP385">
        <x:f t="shared" si="441"/>
        <x:v>0</x:v>
      </x:c>
      <x:c r="GQ385">
        <x:f t="shared" si="442"/>
        <x:v>0</x:v>
      </x:c>
      <x:c r="GR385" s="42">
        <x:f t="shared" si="443"/>
        <x:v>0</x:v>
      </x:c>
      <x:c r="GS385">
        <x:f t="shared" si="444"/>
        <x:v>0</x:v>
      </x:c>
      <x:c r="GT385">
        <x:f t="shared" si="445"/>
        <x:v>0</x:v>
      </x:c>
      <x:c r="GU385">
        <x:f t="shared" si="446"/>
        <x:v>0</x:v>
      </x:c>
      <x:c r="GV385">
        <x:f t="shared" si="447"/>
        <x:v>0</x:v>
      </x:c>
      <x:c r="GW385">
        <x:f t="shared" si="448"/>
        <x:v>0</x:v>
      </x:c>
      <x:c r="GX385">
        <x:f t="shared" si="449"/>
        <x:v>0</x:v>
      </x:c>
      <x:c r="GY385">
        <x:f t="shared" si="450"/>
        <x:v>0</x:v>
      </x:c>
      <x:c r="GZ385">
        <x:f t="shared" si="451"/>
        <x:v>0</x:v>
      </x:c>
      <x:c r="HA385">
        <x:f t="shared" si="452"/>
        <x:v>0</x:v>
      </x:c>
      <x:c r="HB385" s="42">
        <x:f t="shared" si="453"/>
        <x:v>0</x:v>
      </x:c>
      <x:c r="HC385">
        <x:f t="shared" si="454"/>
        <x:v>0</x:v>
      </x:c>
      <x:c r="HD385">
        <x:f t="shared" si="455"/>
        <x:v>0</x:v>
      </x:c>
      <x:c r="HE385">
        <x:f t="shared" si="456"/>
        <x:v>0</x:v>
      </x:c>
      <x:c r="HF385">
        <x:f t="shared" si="457"/>
        <x:v>0</x:v>
      </x:c>
      <x:c r="HG385">
        <x:f t="shared" si="458"/>
        <x:v>0</x:v>
      </x:c>
      <x:c r="HH385">
        <x:f t="shared" si="459"/>
        <x:v>0</x:v>
      </x:c>
      <x:c r="HI385">
        <x:f t="shared" si="460"/>
        <x:v>0</x:v>
      </x:c>
      <x:c r="HJ385">
        <x:f t="shared" si="461"/>
        <x:v>0</x:v>
      </x:c>
      <x:c r="HK385">
        <x:f t="shared" si="462"/>
        <x:v>0</x:v>
      </x:c>
      <x:c r="HL385">
        <x:f t="shared" si="463"/>
        <x:v>0</x:v>
      </x:c>
    </x:row>
    <x:row r="386">
      <x:c r="D386" s="74"/>
      <x:c r="EQ386">
        <x:f t="shared" si="390"/>
        <x:v>0</x:v>
      </x:c>
      <x:c r="ER386">
        <x:f t="shared" si="391"/>
        <x:v>0</x:v>
      </x:c>
      <x:c r="ES386">
        <x:f t="shared" si="392"/>
        <x:v>0</x:v>
      </x:c>
      <x:c r="ET386">
        <x:f t="shared" si="393"/>
        <x:v>0</x:v>
      </x:c>
      <x:c r="EU386">
        <x:f t="shared" si="394"/>
        <x:v>0</x:v>
      </x:c>
      <x:c r="EV386">
        <x:f t="shared" si="395"/>
        <x:v>0</x:v>
      </x:c>
      <x:c r="EW386">
        <x:f t="shared" si="396"/>
        <x:v>0</x:v>
      </x:c>
      <x:c r="EX386">
        <x:f t="shared" si="397"/>
        <x:v>0</x:v>
      </x:c>
      <x:c r="EY386">
        <x:f t="shared" si="398"/>
        <x:v>0</x:v>
      </x:c>
      <x:c r="EZ386">
        <x:f t="shared" si="399"/>
        <x:v>0</x:v>
      </x:c>
      <x:c r="FA386" s="41">
        <x:f t="shared" si="400"/>
        <x:v>0</x:v>
      </x:c>
      <x:c r="FB386">
        <x:f t="shared" si="401"/>
        <x:v>0</x:v>
      </x:c>
      <x:c r="FC386">
        <x:f t="shared" si="402"/>
        <x:v>0</x:v>
      </x:c>
      <x:c r="FD386">
        <x:f t="shared" si="403"/>
        <x:v>0</x:v>
      </x:c>
      <x:c r="FE386">
        <x:f t="shared" si="404"/>
        <x:v>0</x:v>
      </x:c>
      <x:c r="FF386">
        <x:f t="shared" si="405"/>
        <x:v>0</x:v>
      </x:c>
      <x:c r="FG386">
        <x:f t="shared" si="406"/>
        <x:v>0</x:v>
      </x:c>
      <x:c r="FH386">
        <x:f t="shared" si="407"/>
        <x:v>0</x:v>
      </x:c>
      <x:c r="FI386">
        <x:f t="shared" si="408"/>
        <x:v>0</x:v>
      </x:c>
      <x:c r="FJ386">
        <x:f t="shared" si="409"/>
        <x:v>0</x:v>
      </x:c>
      <x:c r="FK386">
        <x:f t="shared" si="410"/>
        <x:v>0</x:v>
      </x:c>
      <x:c r="FL386" s="41">
        <x:f t="shared" si="411"/>
        <x:v>0</x:v>
      </x:c>
      <x:c r="FM386">
        <x:f t="shared" si="412"/>
        <x:v>0</x:v>
      </x:c>
      <x:c r="FN386">
        <x:f t="shared" si="413"/>
        <x:v>0</x:v>
      </x:c>
      <x:c r="FO386">
        <x:f t="shared" si="414"/>
        <x:v>0</x:v>
      </x:c>
      <x:c r="FP386">
        <x:f t="shared" si="415"/>
        <x:v>0</x:v>
      </x:c>
      <x:c r="FQ386">
        <x:f t="shared" si="416"/>
        <x:v>0</x:v>
      </x:c>
      <x:c r="FR386">
        <x:f t="shared" si="417"/>
        <x:v>0</x:v>
      </x:c>
      <x:c r="FS386">
        <x:f t="shared" si="418"/>
        <x:v>0</x:v>
      </x:c>
      <x:c r="FT386">
        <x:f t="shared" si="419"/>
        <x:v>0</x:v>
      </x:c>
      <x:c r="FU386">
        <x:f t="shared" si="420"/>
        <x:v>0</x:v>
      </x:c>
      <x:c r="FV386">
        <x:f t="shared" si="421"/>
        <x:v>0</x:v>
      </x:c>
      <x:c r="FW386" s="41">
        <x:f t="shared" si="422"/>
        <x:v>0</x:v>
      </x:c>
      <x:c r="FX386">
        <x:f t="shared" si="423"/>
        <x:v>0</x:v>
      </x:c>
      <x:c r="FY386">
        <x:f t="shared" si="424"/>
        <x:v>0</x:v>
      </x:c>
      <x:c r="FZ386">
        <x:f t="shared" si="425"/>
        <x:v>0</x:v>
      </x:c>
      <x:c r="GA386">
        <x:f t="shared" si="426"/>
        <x:v>0</x:v>
      </x:c>
      <x:c r="GB386">
        <x:f t="shared" si="427"/>
        <x:v>0</x:v>
      </x:c>
      <x:c r="GC386">
        <x:f t="shared" si="428"/>
        <x:v>0</x:v>
      </x:c>
      <x:c r="GD386">
        <x:f t="shared" si="429"/>
        <x:v>0</x:v>
      </x:c>
      <x:c r="GE386">
        <x:f t="shared" si="430"/>
        <x:v>0</x:v>
      </x:c>
      <x:c r="GF386">
        <x:f t="shared" si="431"/>
        <x:v>0</x:v>
      </x:c>
      <x:c r="GG386">
        <x:f t="shared" si="432"/>
        <x:v>0</x:v>
      </x:c>
      <x:c r="GH386">
        <x:f t="shared" si="433"/>
        <x:v>0</x:v>
      </x:c>
      <x:c r="GI386">
        <x:f t="shared" si="434"/>
        <x:v>0</x:v>
      </x:c>
      <x:c r="GJ386">
        <x:f t="shared" si="435"/>
        <x:v>0</x:v>
      </x:c>
      <x:c r="GK386">
        <x:f t="shared" si="436"/>
        <x:v>0</x:v>
      </x:c>
      <x:c r="GL386">
        <x:f t="shared" si="437"/>
        <x:v>0</x:v>
      </x:c>
      <x:c r="GM386">
        <x:f t="shared" si="438"/>
        <x:v>0</x:v>
      </x:c>
      <x:c r="GN386">
        <x:f t="shared" si="439"/>
        <x:v>0</x:v>
      </x:c>
      <x:c r="GO386">
        <x:f t="shared" si="440"/>
        <x:v>0</x:v>
      </x:c>
      <x:c r="GP386">
        <x:f t="shared" si="441"/>
        <x:v>0</x:v>
      </x:c>
      <x:c r="GQ386">
        <x:f t="shared" si="442"/>
        <x:v>0</x:v>
      </x:c>
      <x:c r="GR386" s="42">
        <x:f t="shared" si="443"/>
        <x:v>0</x:v>
      </x:c>
      <x:c r="GS386">
        <x:f t="shared" si="444"/>
        <x:v>0</x:v>
      </x:c>
      <x:c r="GT386">
        <x:f t="shared" si="445"/>
        <x:v>0</x:v>
      </x:c>
      <x:c r="GU386">
        <x:f t="shared" si="446"/>
        <x:v>0</x:v>
      </x:c>
      <x:c r="GV386">
        <x:f t="shared" si="447"/>
        <x:v>0</x:v>
      </x:c>
      <x:c r="GW386">
        <x:f t="shared" si="448"/>
        <x:v>0</x:v>
      </x:c>
      <x:c r="GX386">
        <x:f t="shared" si="449"/>
        <x:v>0</x:v>
      </x:c>
      <x:c r="GY386">
        <x:f t="shared" si="450"/>
        <x:v>0</x:v>
      </x:c>
      <x:c r="GZ386">
        <x:f t="shared" si="451"/>
        <x:v>0</x:v>
      </x:c>
      <x:c r="HA386">
        <x:f t="shared" si="452"/>
        <x:v>0</x:v>
      </x:c>
      <x:c r="HB386" s="42">
        <x:f t="shared" si="453"/>
        <x:v>0</x:v>
      </x:c>
      <x:c r="HC386">
        <x:f t="shared" si="454"/>
        <x:v>0</x:v>
      </x:c>
      <x:c r="HD386">
        <x:f t="shared" si="455"/>
        <x:v>0</x:v>
      </x:c>
      <x:c r="HE386">
        <x:f t="shared" si="456"/>
        <x:v>0</x:v>
      </x:c>
      <x:c r="HF386">
        <x:f t="shared" si="457"/>
        <x:v>0</x:v>
      </x:c>
      <x:c r="HG386">
        <x:f t="shared" si="458"/>
        <x:v>0</x:v>
      </x:c>
      <x:c r="HH386">
        <x:f t="shared" si="459"/>
        <x:v>0</x:v>
      </x:c>
      <x:c r="HI386">
        <x:f t="shared" si="460"/>
        <x:v>0</x:v>
      </x:c>
      <x:c r="HJ386">
        <x:f t="shared" si="461"/>
        <x:v>0</x:v>
      </x:c>
      <x:c r="HK386">
        <x:f t="shared" si="462"/>
        <x:v>0</x:v>
      </x:c>
      <x:c r="HL386">
        <x:f t="shared" si="463"/>
        <x:v>0</x:v>
      </x:c>
    </x:row>
    <x:row r="387">
      <x:c r="D387" s="74"/>
      <x:c r="EQ387">
        <x:f t="shared" si="390"/>
        <x:v>0</x:v>
      </x:c>
      <x:c r="ER387">
        <x:f t="shared" si="391"/>
        <x:v>0</x:v>
      </x:c>
      <x:c r="ES387">
        <x:f t="shared" si="392"/>
        <x:v>0</x:v>
      </x:c>
      <x:c r="ET387">
        <x:f t="shared" si="393"/>
        <x:v>0</x:v>
      </x:c>
      <x:c r="EU387">
        <x:f t="shared" si="394"/>
        <x:v>0</x:v>
      </x:c>
      <x:c r="EV387">
        <x:f t="shared" si="395"/>
        <x:v>0</x:v>
      </x:c>
      <x:c r="EW387">
        <x:f t="shared" si="396"/>
        <x:v>0</x:v>
      </x:c>
      <x:c r="EX387">
        <x:f t="shared" si="397"/>
        <x:v>0</x:v>
      </x:c>
      <x:c r="EY387">
        <x:f t="shared" si="398"/>
        <x:v>0</x:v>
      </x:c>
      <x:c r="EZ387">
        <x:f t="shared" si="399"/>
        <x:v>0</x:v>
      </x:c>
      <x:c r="FA387" s="41">
        <x:f t="shared" si="400"/>
        <x:v>0</x:v>
      </x:c>
      <x:c r="FB387">
        <x:f t="shared" si="401"/>
        <x:v>0</x:v>
      </x:c>
      <x:c r="FC387">
        <x:f t="shared" si="402"/>
        <x:v>0</x:v>
      </x:c>
      <x:c r="FD387">
        <x:f t="shared" si="403"/>
        <x:v>0</x:v>
      </x:c>
      <x:c r="FE387">
        <x:f t="shared" si="404"/>
        <x:v>0</x:v>
      </x:c>
      <x:c r="FF387">
        <x:f t="shared" si="405"/>
        <x:v>0</x:v>
      </x:c>
      <x:c r="FG387">
        <x:f t="shared" si="406"/>
        <x:v>0</x:v>
      </x:c>
      <x:c r="FH387">
        <x:f t="shared" si="407"/>
        <x:v>0</x:v>
      </x:c>
      <x:c r="FI387">
        <x:f t="shared" si="408"/>
        <x:v>0</x:v>
      </x:c>
      <x:c r="FJ387">
        <x:f t="shared" si="409"/>
        <x:v>0</x:v>
      </x:c>
      <x:c r="FK387">
        <x:f t="shared" si="410"/>
        <x:v>0</x:v>
      </x:c>
      <x:c r="FL387" s="41">
        <x:f t="shared" si="411"/>
        <x:v>0</x:v>
      </x:c>
      <x:c r="FM387">
        <x:f t="shared" si="412"/>
        <x:v>0</x:v>
      </x:c>
      <x:c r="FN387">
        <x:f t="shared" si="413"/>
        <x:v>0</x:v>
      </x:c>
      <x:c r="FO387">
        <x:f t="shared" si="414"/>
        <x:v>0</x:v>
      </x:c>
      <x:c r="FP387">
        <x:f t="shared" si="415"/>
        <x:v>0</x:v>
      </x:c>
      <x:c r="FQ387">
        <x:f t="shared" si="416"/>
        <x:v>0</x:v>
      </x:c>
      <x:c r="FR387">
        <x:f t="shared" si="417"/>
        <x:v>0</x:v>
      </x:c>
      <x:c r="FS387">
        <x:f t="shared" si="418"/>
        <x:v>0</x:v>
      </x:c>
      <x:c r="FT387">
        <x:f t="shared" si="419"/>
        <x:v>0</x:v>
      </x:c>
      <x:c r="FU387">
        <x:f t="shared" si="420"/>
        <x:v>0</x:v>
      </x:c>
      <x:c r="FV387">
        <x:f t="shared" si="421"/>
        <x:v>0</x:v>
      </x:c>
      <x:c r="FW387" s="41">
        <x:f t="shared" si="422"/>
        <x:v>0</x:v>
      </x:c>
      <x:c r="FX387">
        <x:f t="shared" si="423"/>
        <x:v>0</x:v>
      </x:c>
      <x:c r="FY387">
        <x:f t="shared" si="424"/>
        <x:v>0</x:v>
      </x:c>
      <x:c r="FZ387">
        <x:f t="shared" si="425"/>
        <x:v>0</x:v>
      </x:c>
      <x:c r="GA387">
        <x:f t="shared" si="426"/>
        <x:v>0</x:v>
      </x:c>
      <x:c r="GB387">
        <x:f t="shared" si="427"/>
        <x:v>0</x:v>
      </x:c>
      <x:c r="GC387">
        <x:f t="shared" si="428"/>
        <x:v>0</x:v>
      </x:c>
      <x:c r="GD387">
        <x:f t="shared" si="429"/>
        <x:v>0</x:v>
      </x:c>
      <x:c r="GE387">
        <x:f t="shared" si="430"/>
        <x:v>0</x:v>
      </x:c>
      <x:c r="GF387">
        <x:f t="shared" si="431"/>
        <x:v>0</x:v>
      </x:c>
      <x:c r="GG387">
        <x:f t="shared" si="432"/>
        <x:v>0</x:v>
      </x:c>
      <x:c r="GH387">
        <x:f t="shared" si="433"/>
        <x:v>0</x:v>
      </x:c>
      <x:c r="GI387">
        <x:f t="shared" si="434"/>
        <x:v>0</x:v>
      </x:c>
      <x:c r="GJ387">
        <x:f t="shared" si="435"/>
        <x:v>0</x:v>
      </x:c>
      <x:c r="GK387">
        <x:f t="shared" si="436"/>
        <x:v>0</x:v>
      </x:c>
      <x:c r="GL387">
        <x:f t="shared" si="437"/>
        <x:v>0</x:v>
      </x:c>
      <x:c r="GM387">
        <x:f t="shared" si="438"/>
        <x:v>0</x:v>
      </x:c>
      <x:c r="GN387">
        <x:f t="shared" si="439"/>
        <x:v>0</x:v>
      </x:c>
      <x:c r="GO387">
        <x:f t="shared" si="440"/>
        <x:v>0</x:v>
      </x:c>
      <x:c r="GP387">
        <x:f t="shared" si="441"/>
        <x:v>0</x:v>
      </x:c>
      <x:c r="GQ387">
        <x:f t="shared" si="442"/>
        <x:v>0</x:v>
      </x:c>
      <x:c r="GR387" s="42">
        <x:f t="shared" si="443"/>
        <x:v>0</x:v>
      </x:c>
      <x:c r="GS387">
        <x:f t="shared" si="444"/>
        <x:v>0</x:v>
      </x:c>
      <x:c r="GT387">
        <x:f t="shared" si="445"/>
        <x:v>0</x:v>
      </x:c>
      <x:c r="GU387">
        <x:f t="shared" si="446"/>
        <x:v>0</x:v>
      </x:c>
      <x:c r="GV387">
        <x:f t="shared" si="447"/>
        <x:v>0</x:v>
      </x:c>
      <x:c r="GW387">
        <x:f t="shared" si="448"/>
        <x:v>0</x:v>
      </x:c>
      <x:c r="GX387">
        <x:f t="shared" si="449"/>
        <x:v>0</x:v>
      </x:c>
      <x:c r="GY387">
        <x:f t="shared" si="450"/>
        <x:v>0</x:v>
      </x:c>
      <x:c r="GZ387">
        <x:f t="shared" si="451"/>
        <x:v>0</x:v>
      </x:c>
      <x:c r="HA387">
        <x:f t="shared" si="452"/>
        <x:v>0</x:v>
      </x:c>
      <x:c r="HB387" s="42">
        <x:f t="shared" si="453"/>
        <x:v>0</x:v>
      </x:c>
      <x:c r="HC387">
        <x:f t="shared" si="454"/>
        <x:v>0</x:v>
      </x:c>
      <x:c r="HD387">
        <x:f t="shared" si="455"/>
        <x:v>0</x:v>
      </x:c>
      <x:c r="HE387">
        <x:f t="shared" si="456"/>
        <x:v>0</x:v>
      </x:c>
      <x:c r="HF387">
        <x:f t="shared" si="457"/>
        <x:v>0</x:v>
      </x:c>
      <x:c r="HG387">
        <x:f t="shared" si="458"/>
        <x:v>0</x:v>
      </x:c>
      <x:c r="HH387">
        <x:f t="shared" si="459"/>
        <x:v>0</x:v>
      </x:c>
      <x:c r="HI387">
        <x:f t="shared" si="460"/>
        <x:v>0</x:v>
      </x:c>
      <x:c r="HJ387">
        <x:f t="shared" si="461"/>
        <x:v>0</x:v>
      </x:c>
      <x:c r="HK387">
        <x:f t="shared" si="462"/>
        <x:v>0</x:v>
      </x:c>
      <x:c r="HL387">
        <x:f t="shared" si="463"/>
        <x:v>0</x:v>
      </x:c>
    </x:row>
    <x:row r="388">
      <x:c r="D388" s="74"/>
      <x:c r="EQ388">
        <x:f t="shared" si="390"/>
        <x:v>0</x:v>
      </x:c>
      <x:c r="ER388">
        <x:f t="shared" si="391"/>
        <x:v>0</x:v>
      </x:c>
      <x:c r="ES388">
        <x:f t="shared" si="392"/>
        <x:v>0</x:v>
      </x:c>
      <x:c r="ET388">
        <x:f t="shared" si="393"/>
        <x:v>0</x:v>
      </x:c>
      <x:c r="EU388">
        <x:f t="shared" si="394"/>
        <x:v>0</x:v>
      </x:c>
      <x:c r="EV388">
        <x:f t="shared" si="395"/>
        <x:v>0</x:v>
      </x:c>
      <x:c r="EW388">
        <x:f t="shared" si="396"/>
        <x:v>0</x:v>
      </x:c>
      <x:c r="EX388">
        <x:f t="shared" si="397"/>
        <x:v>0</x:v>
      </x:c>
      <x:c r="EY388">
        <x:f t="shared" si="398"/>
        <x:v>0</x:v>
      </x:c>
      <x:c r="EZ388">
        <x:f t="shared" si="399"/>
        <x:v>0</x:v>
      </x:c>
      <x:c r="FA388" s="41">
        <x:f t="shared" si="400"/>
        <x:v>0</x:v>
      </x:c>
      <x:c r="FB388">
        <x:f t="shared" si="401"/>
        <x:v>0</x:v>
      </x:c>
      <x:c r="FC388">
        <x:f t="shared" si="402"/>
        <x:v>0</x:v>
      </x:c>
      <x:c r="FD388">
        <x:f t="shared" si="403"/>
        <x:v>0</x:v>
      </x:c>
      <x:c r="FE388">
        <x:f t="shared" si="404"/>
        <x:v>0</x:v>
      </x:c>
      <x:c r="FF388">
        <x:f t="shared" si="405"/>
        <x:v>0</x:v>
      </x:c>
      <x:c r="FG388">
        <x:f t="shared" si="406"/>
        <x:v>0</x:v>
      </x:c>
      <x:c r="FH388">
        <x:f t="shared" si="407"/>
        <x:v>0</x:v>
      </x:c>
      <x:c r="FI388">
        <x:f t="shared" si="408"/>
        <x:v>0</x:v>
      </x:c>
      <x:c r="FJ388">
        <x:f t="shared" si="409"/>
        <x:v>0</x:v>
      </x:c>
      <x:c r="FK388">
        <x:f t="shared" si="410"/>
        <x:v>0</x:v>
      </x:c>
      <x:c r="FL388" s="41">
        <x:f t="shared" si="411"/>
        <x:v>0</x:v>
      </x:c>
      <x:c r="FM388">
        <x:f t="shared" si="412"/>
        <x:v>0</x:v>
      </x:c>
      <x:c r="FN388">
        <x:f t="shared" si="413"/>
        <x:v>0</x:v>
      </x:c>
      <x:c r="FO388">
        <x:f t="shared" si="414"/>
        <x:v>0</x:v>
      </x:c>
      <x:c r="FP388">
        <x:f t="shared" si="415"/>
        <x:v>0</x:v>
      </x:c>
      <x:c r="FQ388">
        <x:f t="shared" si="416"/>
        <x:v>0</x:v>
      </x:c>
      <x:c r="FR388">
        <x:f t="shared" si="417"/>
        <x:v>0</x:v>
      </x:c>
      <x:c r="FS388">
        <x:f t="shared" si="418"/>
        <x:v>0</x:v>
      </x:c>
      <x:c r="FT388">
        <x:f t="shared" si="419"/>
        <x:v>0</x:v>
      </x:c>
      <x:c r="FU388">
        <x:f t="shared" si="420"/>
        <x:v>0</x:v>
      </x:c>
      <x:c r="FV388">
        <x:f t="shared" si="421"/>
        <x:v>0</x:v>
      </x:c>
      <x:c r="FW388" s="41">
        <x:f t="shared" si="422"/>
        <x:v>0</x:v>
      </x:c>
      <x:c r="FX388">
        <x:f t="shared" si="423"/>
        <x:v>0</x:v>
      </x:c>
      <x:c r="FY388">
        <x:f t="shared" si="424"/>
        <x:v>0</x:v>
      </x:c>
      <x:c r="FZ388">
        <x:f t="shared" si="425"/>
        <x:v>0</x:v>
      </x:c>
      <x:c r="GA388">
        <x:f t="shared" si="426"/>
        <x:v>0</x:v>
      </x:c>
      <x:c r="GB388">
        <x:f t="shared" si="427"/>
        <x:v>0</x:v>
      </x:c>
      <x:c r="GC388">
        <x:f t="shared" si="428"/>
        <x:v>0</x:v>
      </x:c>
      <x:c r="GD388">
        <x:f t="shared" si="429"/>
        <x:v>0</x:v>
      </x:c>
      <x:c r="GE388">
        <x:f t="shared" si="430"/>
        <x:v>0</x:v>
      </x:c>
      <x:c r="GF388">
        <x:f t="shared" si="431"/>
        <x:v>0</x:v>
      </x:c>
      <x:c r="GG388">
        <x:f t="shared" si="432"/>
        <x:v>0</x:v>
      </x:c>
      <x:c r="GH388">
        <x:f t="shared" si="433"/>
        <x:v>0</x:v>
      </x:c>
      <x:c r="GI388">
        <x:f t="shared" si="434"/>
        <x:v>0</x:v>
      </x:c>
      <x:c r="GJ388">
        <x:f t="shared" si="435"/>
        <x:v>0</x:v>
      </x:c>
      <x:c r="GK388">
        <x:f t="shared" si="436"/>
        <x:v>0</x:v>
      </x:c>
      <x:c r="GL388">
        <x:f t="shared" si="437"/>
        <x:v>0</x:v>
      </x:c>
      <x:c r="GM388">
        <x:f t="shared" si="438"/>
        <x:v>0</x:v>
      </x:c>
      <x:c r="GN388">
        <x:f t="shared" si="439"/>
        <x:v>0</x:v>
      </x:c>
      <x:c r="GO388">
        <x:f t="shared" si="440"/>
        <x:v>0</x:v>
      </x:c>
      <x:c r="GP388">
        <x:f t="shared" si="441"/>
        <x:v>0</x:v>
      </x:c>
      <x:c r="GQ388">
        <x:f t="shared" si="442"/>
        <x:v>0</x:v>
      </x:c>
      <x:c r="GR388" s="42">
        <x:f t="shared" si="443"/>
        <x:v>0</x:v>
      </x:c>
      <x:c r="GS388">
        <x:f t="shared" si="444"/>
        <x:v>0</x:v>
      </x:c>
      <x:c r="GT388">
        <x:f t="shared" si="445"/>
        <x:v>0</x:v>
      </x:c>
      <x:c r="GU388">
        <x:f t="shared" si="446"/>
        <x:v>0</x:v>
      </x:c>
      <x:c r="GV388">
        <x:f t="shared" si="447"/>
        <x:v>0</x:v>
      </x:c>
      <x:c r="GW388">
        <x:f t="shared" si="448"/>
        <x:v>0</x:v>
      </x:c>
      <x:c r="GX388">
        <x:f t="shared" si="449"/>
        <x:v>0</x:v>
      </x:c>
      <x:c r="GY388">
        <x:f t="shared" si="450"/>
        <x:v>0</x:v>
      </x:c>
      <x:c r="GZ388">
        <x:f t="shared" si="451"/>
        <x:v>0</x:v>
      </x:c>
      <x:c r="HA388">
        <x:f t="shared" si="452"/>
        <x:v>0</x:v>
      </x:c>
      <x:c r="HB388" s="42">
        <x:f t="shared" si="453"/>
        <x:v>0</x:v>
      </x:c>
      <x:c r="HC388">
        <x:f t="shared" si="454"/>
        <x:v>0</x:v>
      </x:c>
      <x:c r="HD388">
        <x:f t="shared" si="455"/>
        <x:v>0</x:v>
      </x:c>
      <x:c r="HE388">
        <x:f t="shared" si="456"/>
        <x:v>0</x:v>
      </x:c>
      <x:c r="HF388">
        <x:f t="shared" si="457"/>
        <x:v>0</x:v>
      </x:c>
      <x:c r="HG388">
        <x:f t="shared" si="458"/>
        <x:v>0</x:v>
      </x:c>
      <x:c r="HH388">
        <x:f t="shared" si="459"/>
        <x:v>0</x:v>
      </x:c>
      <x:c r="HI388">
        <x:f t="shared" si="460"/>
        <x:v>0</x:v>
      </x:c>
      <x:c r="HJ388">
        <x:f t="shared" si="461"/>
        <x:v>0</x:v>
      </x:c>
      <x:c r="HK388">
        <x:f t="shared" si="462"/>
        <x:v>0</x:v>
      </x:c>
      <x:c r="HL388">
        <x:f t="shared" si="463"/>
        <x:v>0</x:v>
      </x:c>
    </x:row>
    <x:row r="389">
      <x:c r="D389" s="74"/>
      <x:c r="EQ389">
        <x:f t="shared" si="390"/>
        <x:v>0</x:v>
      </x:c>
      <x:c r="ER389">
        <x:f t="shared" si="391"/>
        <x:v>0</x:v>
      </x:c>
      <x:c r="ES389">
        <x:f t="shared" si="392"/>
        <x:v>0</x:v>
      </x:c>
      <x:c r="ET389">
        <x:f t="shared" si="393"/>
        <x:v>0</x:v>
      </x:c>
      <x:c r="EU389">
        <x:f t="shared" si="394"/>
        <x:v>0</x:v>
      </x:c>
      <x:c r="EV389">
        <x:f t="shared" si="395"/>
        <x:v>0</x:v>
      </x:c>
      <x:c r="EW389">
        <x:f t="shared" si="396"/>
        <x:v>0</x:v>
      </x:c>
      <x:c r="EX389">
        <x:f t="shared" si="397"/>
        <x:v>0</x:v>
      </x:c>
      <x:c r="EY389">
        <x:f t="shared" si="398"/>
        <x:v>0</x:v>
      </x:c>
      <x:c r="EZ389">
        <x:f t="shared" si="399"/>
        <x:v>0</x:v>
      </x:c>
      <x:c r="FA389" s="41">
        <x:f t="shared" si="400"/>
        <x:v>0</x:v>
      </x:c>
      <x:c r="FB389">
        <x:f t="shared" si="401"/>
        <x:v>0</x:v>
      </x:c>
      <x:c r="FC389">
        <x:f t="shared" si="402"/>
        <x:v>0</x:v>
      </x:c>
      <x:c r="FD389">
        <x:f t="shared" si="403"/>
        <x:v>0</x:v>
      </x:c>
      <x:c r="FE389">
        <x:f t="shared" si="404"/>
        <x:v>0</x:v>
      </x:c>
      <x:c r="FF389">
        <x:f t="shared" si="405"/>
        <x:v>0</x:v>
      </x:c>
      <x:c r="FG389">
        <x:f t="shared" si="406"/>
        <x:v>0</x:v>
      </x:c>
      <x:c r="FH389">
        <x:f t="shared" si="407"/>
        <x:v>0</x:v>
      </x:c>
      <x:c r="FI389">
        <x:f t="shared" si="408"/>
        <x:v>0</x:v>
      </x:c>
      <x:c r="FJ389">
        <x:f t="shared" si="409"/>
        <x:v>0</x:v>
      </x:c>
      <x:c r="FK389">
        <x:f t="shared" si="410"/>
        <x:v>0</x:v>
      </x:c>
      <x:c r="FL389" s="41">
        <x:f t="shared" si="411"/>
        <x:v>0</x:v>
      </x:c>
      <x:c r="FM389">
        <x:f t="shared" si="412"/>
        <x:v>0</x:v>
      </x:c>
      <x:c r="FN389">
        <x:f t="shared" si="413"/>
        <x:v>0</x:v>
      </x:c>
      <x:c r="FO389">
        <x:f t="shared" si="414"/>
        <x:v>0</x:v>
      </x:c>
      <x:c r="FP389">
        <x:f t="shared" si="415"/>
        <x:v>0</x:v>
      </x:c>
      <x:c r="FQ389">
        <x:f t="shared" si="416"/>
        <x:v>0</x:v>
      </x:c>
      <x:c r="FR389">
        <x:f t="shared" si="417"/>
        <x:v>0</x:v>
      </x:c>
      <x:c r="FS389">
        <x:f t="shared" si="418"/>
        <x:v>0</x:v>
      </x:c>
      <x:c r="FT389">
        <x:f t="shared" si="419"/>
        <x:v>0</x:v>
      </x:c>
      <x:c r="FU389">
        <x:f t="shared" si="420"/>
        <x:v>0</x:v>
      </x:c>
      <x:c r="FV389">
        <x:f t="shared" si="421"/>
        <x:v>0</x:v>
      </x:c>
      <x:c r="FW389" s="41">
        <x:f t="shared" si="422"/>
        <x:v>0</x:v>
      </x:c>
      <x:c r="FX389">
        <x:f t="shared" si="423"/>
        <x:v>0</x:v>
      </x:c>
      <x:c r="FY389">
        <x:f t="shared" si="424"/>
        <x:v>0</x:v>
      </x:c>
      <x:c r="FZ389">
        <x:f t="shared" si="425"/>
        <x:v>0</x:v>
      </x:c>
      <x:c r="GA389">
        <x:f t="shared" si="426"/>
        <x:v>0</x:v>
      </x:c>
      <x:c r="GB389">
        <x:f t="shared" si="427"/>
        <x:v>0</x:v>
      </x:c>
      <x:c r="GC389">
        <x:f t="shared" si="428"/>
        <x:v>0</x:v>
      </x:c>
      <x:c r="GD389">
        <x:f t="shared" si="429"/>
        <x:v>0</x:v>
      </x:c>
      <x:c r="GE389">
        <x:f t="shared" si="430"/>
        <x:v>0</x:v>
      </x:c>
      <x:c r="GF389">
        <x:f t="shared" si="431"/>
        <x:v>0</x:v>
      </x:c>
      <x:c r="GG389">
        <x:f t="shared" si="432"/>
        <x:v>0</x:v>
      </x:c>
      <x:c r="GH389">
        <x:f t="shared" si="433"/>
        <x:v>0</x:v>
      </x:c>
      <x:c r="GI389">
        <x:f t="shared" si="434"/>
        <x:v>0</x:v>
      </x:c>
      <x:c r="GJ389">
        <x:f t="shared" si="435"/>
        <x:v>0</x:v>
      </x:c>
      <x:c r="GK389">
        <x:f t="shared" si="436"/>
        <x:v>0</x:v>
      </x:c>
      <x:c r="GL389">
        <x:f t="shared" si="437"/>
        <x:v>0</x:v>
      </x:c>
      <x:c r="GM389">
        <x:f t="shared" si="438"/>
        <x:v>0</x:v>
      </x:c>
      <x:c r="GN389">
        <x:f t="shared" si="439"/>
        <x:v>0</x:v>
      </x:c>
      <x:c r="GO389">
        <x:f t="shared" si="440"/>
        <x:v>0</x:v>
      </x:c>
      <x:c r="GP389">
        <x:f t="shared" si="441"/>
        <x:v>0</x:v>
      </x:c>
      <x:c r="GQ389">
        <x:f t="shared" si="442"/>
        <x:v>0</x:v>
      </x:c>
      <x:c r="GR389" s="42">
        <x:f t="shared" si="443"/>
        <x:v>0</x:v>
      </x:c>
      <x:c r="GS389">
        <x:f t="shared" si="444"/>
        <x:v>0</x:v>
      </x:c>
      <x:c r="GT389">
        <x:f t="shared" si="445"/>
        <x:v>0</x:v>
      </x:c>
      <x:c r="GU389">
        <x:f t="shared" si="446"/>
        <x:v>0</x:v>
      </x:c>
      <x:c r="GV389">
        <x:f t="shared" si="447"/>
        <x:v>0</x:v>
      </x:c>
      <x:c r="GW389">
        <x:f t="shared" si="448"/>
        <x:v>0</x:v>
      </x:c>
      <x:c r="GX389">
        <x:f t="shared" si="449"/>
        <x:v>0</x:v>
      </x:c>
      <x:c r="GY389">
        <x:f t="shared" si="450"/>
        <x:v>0</x:v>
      </x:c>
      <x:c r="GZ389">
        <x:f t="shared" si="451"/>
        <x:v>0</x:v>
      </x:c>
      <x:c r="HA389">
        <x:f t="shared" si="452"/>
        <x:v>0</x:v>
      </x:c>
      <x:c r="HB389" s="42">
        <x:f t="shared" si="453"/>
        <x:v>0</x:v>
      </x:c>
      <x:c r="HC389">
        <x:f t="shared" si="454"/>
        <x:v>0</x:v>
      </x:c>
      <x:c r="HD389">
        <x:f t="shared" si="455"/>
        <x:v>0</x:v>
      </x:c>
      <x:c r="HE389">
        <x:f t="shared" si="456"/>
        <x:v>0</x:v>
      </x:c>
      <x:c r="HF389">
        <x:f t="shared" si="457"/>
        <x:v>0</x:v>
      </x:c>
      <x:c r="HG389">
        <x:f t="shared" si="458"/>
        <x:v>0</x:v>
      </x:c>
      <x:c r="HH389">
        <x:f t="shared" si="459"/>
        <x:v>0</x:v>
      </x:c>
      <x:c r="HI389">
        <x:f t="shared" si="460"/>
        <x:v>0</x:v>
      </x:c>
      <x:c r="HJ389">
        <x:f t="shared" si="461"/>
        <x:v>0</x:v>
      </x:c>
      <x:c r="HK389">
        <x:f t="shared" si="462"/>
        <x:v>0</x:v>
      </x:c>
      <x:c r="HL389">
        <x:f t="shared" si="463"/>
        <x:v>0</x:v>
      </x:c>
    </x:row>
    <x:row r="390">
      <x:c r="D390" s="74"/>
      <x:c r="EQ390">
        <x:f t="shared" si="390"/>
        <x:v>0</x:v>
      </x:c>
      <x:c r="ER390">
        <x:f t="shared" si="391"/>
        <x:v>0</x:v>
      </x:c>
      <x:c r="ES390">
        <x:f t="shared" si="392"/>
        <x:v>0</x:v>
      </x:c>
      <x:c r="ET390">
        <x:f t="shared" si="393"/>
        <x:v>0</x:v>
      </x:c>
      <x:c r="EU390">
        <x:f t="shared" si="394"/>
        <x:v>0</x:v>
      </x:c>
      <x:c r="EV390">
        <x:f t="shared" si="395"/>
        <x:v>0</x:v>
      </x:c>
      <x:c r="EW390">
        <x:f t="shared" si="396"/>
        <x:v>0</x:v>
      </x:c>
      <x:c r="EX390">
        <x:f t="shared" si="397"/>
        <x:v>0</x:v>
      </x:c>
      <x:c r="EY390">
        <x:f t="shared" si="398"/>
        <x:v>0</x:v>
      </x:c>
      <x:c r="EZ390">
        <x:f t="shared" si="399"/>
        <x:v>0</x:v>
      </x:c>
      <x:c r="FA390" s="41">
        <x:f t="shared" si="400"/>
        <x:v>0</x:v>
      </x:c>
      <x:c r="FB390">
        <x:f t="shared" si="401"/>
        <x:v>0</x:v>
      </x:c>
      <x:c r="FC390">
        <x:f t="shared" si="402"/>
        <x:v>0</x:v>
      </x:c>
      <x:c r="FD390">
        <x:f t="shared" si="403"/>
        <x:v>0</x:v>
      </x:c>
      <x:c r="FE390">
        <x:f t="shared" si="404"/>
        <x:v>0</x:v>
      </x:c>
      <x:c r="FF390">
        <x:f t="shared" si="405"/>
        <x:v>0</x:v>
      </x:c>
      <x:c r="FG390">
        <x:f t="shared" si="406"/>
        <x:v>0</x:v>
      </x:c>
      <x:c r="FH390">
        <x:f t="shared" si="407"/>
        <x:v>0</x:v>
      </x:c>
      <x:c r="FI390">
        <x:f t="shared" si="408"/>
        <x:v>0</x:v>
      </x:c>
      <x:c r="FJ390">
        <x:f t="shared" si="409"/>
        <x:v>0</x:v>
      </x:c>
      <x:c r="FK390">
        <x:f t="shared" si="410"/>
        <x:v>0</x:v>
      </x:c>
      <x:c r="FL390" s="41">
        <x:f t="shared" si="411"/>
        <x:v>0</x:v>
      </x:c>
      <x:c r="FM390">
        <x:f t="shared" si="412"/>
        <x:v>0</x:v>
      </x:c>
      <x:c r="FN390">
        <x:f t="shared" si="413"/>
        <x:v>0</x:v>
      </x:c>
      <x:c r="FO390">
        <x:f t="shared" si="414"/>
        <x:v>0</x:v>
      </x:c>
      <x:c r="FP390">
        <x:f t="shared" si="415"/>
        <x:v>0</x:v>
      </x:c>
      <x:c r="FQ390">
        <x:f t="shared" si="416"/>
        <x:v>0</x:v>
      </x:c>
      <x:c r="FR390">
        <x:f t="shared" si="417"/>
        <x:v>0</x:v>
      </x:c>
      <x:c r="FS390">
        <x:f t="shared" si="418"/>
        <x:v>0</x:v>
      </x:c>
      <x:c r="FT390">
        <x:f t="shared" si="419"/>
        <x:v>0</x:v>
      </x:c>
      <x:c r="FU390">
        <x:f t="shared" si="420"/>
        <x:v>0</x:v>
      </x:c>
      <x:c r="FV390">
        <x:f t="shared" si="421"/>
        <x:v>0</x:v>
      </x:c>
      <x:c r="FW390" s="41">
        <x:f t="shared" si="422"/>
        <x:v>0</x:v>
      </x:c>
      <x:c r="FX390">
        <x:f t="shared" si="423"/>
        <x:v>0</x:v>
      </x:c>
      <x:c r="FY390">
        <x:f t="shared" si="424"/>
        <x:v>0</x:v>
      </x:c>
      <x:c r="FZ390">
        <x:f t="shared" si="425"/>
        <x:v>0</x:v>
      </x:c>
      <x:c r="GA390">
        <x:f t="shared" si="426"/>
        <x:v>0</x:v>
      </x:c>
      <x:c r="GB390">
        <x:f t="shared" si="427"/>
        <x:v>0</x:v>
      </x:c>
      <x:c r="GC390">
        <x:f t="shared" si="428"/>
        <x:v>0</x:v>
      </x:c>
      <x:c r="GD390">
        <x:f t="shared" si="429"/>
        <x:v>0</x:v>
      </x:c>
      <x:c r="GE390">
        <x:f t="shared" si="430"/>
        <x:v>0</x:v>
      </x:c>
      <x:c r="GF390">
        <x:f t="shared" si="431"/>
        <x:v>0</x:v>
      </x:c>
      <x:c r="GG390">
        <x:f t="shared" si="432"/>
        <x:v>0</x:v>
      </x:c>
      <x:c r="GH390">
        <x:f t="shared" si="433"/>
        <x:v>0</x:v>
      </x:c>
      <x:c r="GI390">
        <x:f t="shared" si="434"/>
        <x:v>0</x:v>
      </x:c>
      <x:c r="GJ390">
        <x:f t="shared" si="435"/>
        <x:v>0</x:v>
      </x:c>
      <x:c r="GK390">
        <x:f t="shared" si="436"/>
        <x:v>0</x:v>
      </x:c>
      <x:c r="GL390">
        <x:f t="shared" si="437"/>
        <x:v>0</x:v>
      </x:c>
      <x:c r="GM390">
        <x:f t="shared" si="438"/>
        <x:v>0</x:v>
      </x:c>
      <x:c r="GN390">
        <x:f t="shared" si="439"/>
        <x:v>0</x:v>
      </x:c>
      <x:c r="GO390">
        <x:f t="shared" si="440"/>
        <x:v>0</x:v>
      </x:c>
      <x:c r="GP390">
        <x:f t="shared" si="441"/>
        <x:v>0</x:v>
      </x:c>
      <x:c r="GQ390">
        <x:f t="shared" si="442"/>
        <x:v>0</x:v>
      </x:c>
      <x:c r="GR390" s="42">
        <x:f t="shared" si="443"/>
        <x:v>0</x:v>
      </x:c>
      <x:c r="GS390">
        <x:f t="shared" si="444"/>
        <x:v>0</x:v>
      </x:c>
      <x:c r="GT390">
        <x:f t="shared" si="445"/>
        <x:v>0</x:v>
      </x:c>
      <x:c r="GU390">
        <x:f t="shared" si="446"/>
        <x:v>0</x:v>
      </x:c>
      <x:c r="GV390">
        <x:f t="shared" si="447"/>
        <x:v>0</x:v>
      </x:c>
      <x:c r="GW390">
        <x:f t="shared" si="448"/>
        <x:v>0</x:v>
      </x:c>
      <x:c r="GX390">
        <x:f t="shared" si="449"/>
        <x:v>0</x:v>
      </x:c>
      <x:c r="GY390">
        <x:f t="shared" si="450"/>
        <x:v>0</x:v>
      </x:c>
      <x:c r="GZ390">
        <x:f t="shared" si="451"/>
        <x:v>0</x:v>
      </x:c>
      <x:c r="HA390">
        <x:f t="shared" si="452"/>
        <x:v>0</x:v>
      </x:c>
      <x:c r="HB390" s="42">
        <x:f t="shared" si="453"/>
        <x:v>0</x:v>
      </x:c>
      <x:c r="HC390">
        <x:f t="shared" si="454"/>
        <x:v>0</x:v>
      </x:c>
      <x:c r="HD390">
        <x:f t="shared" si="455"/>
        <x:v>0</x:v>
      </x:c>
      <x:c r="HE390">
        <x:f t="shared" si="456"/>
        <x:v>0</x:v>
      </x:c>
      <x:c r="HF390">
        <x:f t="shared" si="457"/>
        <x:v>0</x:v>
      </x:c>
      <x:c r="HG390">
        <x:f t="shared" si="458"/>
        <x:v>0</x:v>
      </x:c>
      <x:c r="HH390">
        <x:f t="shared" si="459"/>
        <x:v>0</x:v>
      </x:c>
      <x:c r="HI390">
        <x:f t="shared" si="460"/>
        <x:v>0</x:v>
      </x:c>
      <x:c r="HJ390">
        <x:f t="shared" si="461"/>
        <x:v>0</x:v>
      </x:c>
      <x:c r="HK390">
        <x:f t="shared" si="462"/>
        <x:v>0</x:v>
      </x:c>
      <x:c r="HL390">
        <x:f t="shared" si="463"/>
        <x:v>0</x:v>
      </x:c>
    </x:row>
    <x:row r="391">
      <x:c r="D391" s="74"/>
      <x:c r="EQ391">
        <x:f t="shared" si="390"/>
        <x:v>0</x:v>
      </x:c>
      <x:c r="ER391">
        <x:f t="shared" si="391"/>
        <x:v>0</x:v>
      </x:c>
      <x:c r="ES391">
        <x:f t="shared" si="392"/>
        <x:v>0</x:v>
      </x:c>
      <x:c r="ET391">
        <x:f t="shared" si="393"/>
        <x:v>0</x:v>
      </x:c>
      <x:c r="EU391">
        <x:f t="shared" si="394"/>
        <x:v>0</x:v>
      </x:c>
      <x:c r="EV391">
        <x:f t="shared" si="395"/>
        <x:v>0</x:v>
      </x:c>
      <x:c r="EW391">
        <x:f t="shared" si="396"/>
        <x:v>0</x:v>
      </x:c>
      <x:c r="EX391">
        <x:f t="shared" si="397"/>
        <x:v>0</x:v>
      </x:c>
      <x:c r="EY391">
        <x:f t="shared" si="398"/>
        <x:v>0</x:v>
      </x:c>
      <x:c r="EZ391">
        <x:f t="shared" si="399"/>
        <x:v>0</x:v>
      </x:c>
      <x:c r="FA391" s="41">
        <x:f t="shared" si="400"/>
        <x:v>0</x:v>
      </x:c>
      <x:c r="FB391">
        <x:f t="shared" si="401"/>
        <x:v>0</x:v>
      </x:c>
      <x:c r="FC391">
        <x:f t="shared" si="402"/>
        <x:v>0</x:v>
      </x:c>
      <x:c r="FD391">
        <x:f t="shared" si="403"/>
        <x:v>0</x:v>
      </x:c>
      <x:c r="FE391">
        <x:f t="shared" si="404"/>
        <x:v>0</x:v>
      </x:c>
      <x:c r="FF391">
        <x:f t="shared" si="405"/>
        <x:v>0</x:v>
      </x:c>
      <x:c r="FG391">
        <x:f t="shared" si="406"/>
        <x:v>0</x:v>
      </x:c>
      <x:c r="FH391">
        <x:f t="shared" si="407"/>
        <x:v>0</x:v>
      </x:c>
      <x:c r="FI391">
        <x:f t="shared" si="408"/>
        <x:v>0</x:v>
      </x:c>
      <x:c r="FJ391">
        <x:f t="shared" si="409"/>
        <x:v>0</x:v>
      </x:c>
      <x:c r="FK391">
        <x:f t="shared" si="410"/>
        <x:v>0</x:v>
      </x:c>
      <x:c r="FL391" s="41">
        <x:f t="shared" si="411"/>
        <x:v>0</x:v>
      </x:c>
      <x:c r="FM391">
        <x:f t="shared" si="412"/>
        <x:v>0</x:v>
      </x:c>
      <x:c r="FN391">
        <x:f t="shared" si="413"/>
        <x:v>0</x:v>
      </x:c>
      <x:c r="FO391">
        <x:f t="shared" si="414"/>
        <x:v>0</x:v>
      </x:c>
      <x:c r="FP391">
        <x:f t="shared" si="415"/>
        <x:v>0</x:v>
      </x:c>
      <x:c r="FQ391">
        <x:f t="shared" si="416"/>
        <x:v>0</x:v>
      </x:c>
      <x:c r="FR391">
        <x:f t="shared" si="417"/>
        <x:v>0</x:v>
      </x:c>
      <x:c r="FS391">
        <x:f t="shared" si="418"/>
        <x:v>0</x:v>
      </x:c>
      <x:c r="FT391">
        <x:f t="shared" si="419"/>
        <x:v>0</x:v>
      </x:c>
      <x:c r="FU391">
        <x:f t="shared" si="420"/>
        <x:v>0</x:v>
      </x:c>
      <x:c r="FV391">
        <x:f t="shared" si="421"/>
        <x:v>0</x:v>
      </x:c>
      <x:c r="FW391" s="41">
        <x:f t="shared" si="422"/>
        <x:v>0</x:v>
      </x:c>
      <x:c r="FX391">
        <x:f t="shared" si="423"/>
        <x:v>0</x:v>
      </x:c>
      <x:c r="FY391">
        <x:f t="shared" si="424"/>
        <x:v>0</x:v>
      </x:c>
      <x:c r="FZ391">
        <x:f t="shared" si="425"/>
        <x:v>0</x:v>
      </x:c>
      <x:c r="GA391">
        <x:f t="shared" si="426"/>
        <x:v>0</x:v>
      </x:c>
      <x:c r="GB391">
        <x:f t="shared" si="427"/>
        <x:v>0</x:v>
      </x:c>
      <x:c r="GC391">
        <x:f t="shared" si="428"/>
        <x:v>0</x:v>
      </x:c>
      <x:c r="GD391">
        <x:f t="shared" si="429"/>
        <x:v>0</x:v>
      </x:c>
      <x:c r="GE391">
        <x:f t="shared" si="430"/>
        <x:v>0</x:v>
      </x:c>
      <x:c r="GF391">
        <x:f t="shared" si="431"/>
        <x:v>0</x:v>
      </x:c>
      <x:c r="GG391">
        <x:f t="shared" si="432"/>
        <x:v>0</x:v>
      </x:c>
      <x:c r="GH391">
        <x:f t="shared" si="433"/>
        <x:v>0</x:v>
      </x:c>
      <x:c r="GI391">
        <x:f t="shared" si="434"/>
        <x:v>0</x:v>
      </x:c>
      <x:c r="GJ391">
        <x:f t="shared" si="435"/>
        <x:v>0</x:v>
      </x:c>
      <x:c r="GK391">
        <x:f t="shared" si="436"/>
        <x:v>0</x:v>
      </x:c>
      <x:c r="GL391">
        <x:f t="shared" si="437"/>
        <x:v>0</x:v>
      </x:c>
      <x:c r="GM391">
        <x:f t="shared" si="438"/>
        <x:v>0</x:v>
      </x:c>
      <x:c r="GN391">
        <x:f t="shared" si="439"/>
        <x:v>0</x:v>
      </x:c>
      <x:c r="GO391">
        <x:f t="shared" si="440"/>
        <x:v>0</x:v>
      </x:c>
      <x:c r="GP391">
        <x:f t="shared" si="441"/>
        <x:v>0</x:v>
      </x:c>
      <x:c r="GQ391">
        <x:f t="shared" si="442"/>
        <x:v>0</x:v>
      </x:c>
      <x:c r="GR391" s="42">
        <x:f t="shared" si="443"/>
        <x:v>0</x:v>
      </x:c>
      <x:c r="GS391">
        <x:f t="shared" si="444"/>
        <x:v>0</x:v>
      </x:c>
      <x:c r="GT391">
        <x:f t="shared" si="445"/>
        <x:v>0</x:v>
      </x:c>
      <x:c r="GU391">
        <x:f t="shared" si="446"/>
        <x:v>0</x:v>
      </x:c>
      <x:c r="GV391">
        <x:f t="shared" si="447"/>
        <x:v>0</x:v>
      </x:c>
      <x:c r="GW391">
        <x:f t="shared" si="448"/>
        <x:v>0</x:v>
      </x:c>
      <x:c r="GX391">
        <x:f t="shared" si="449"/>
        <x:v>0</x:v>
      </x:c>
      <x:c r="GY391">
        <x:f t="shared" si="450"/>
        <x:v>0</x:v>
      </x:c>
      <x:c r="GZ391">
        <x:f t="shared" si="451"/>
        <x:v>0</x:v>
      </x:c>
      <x:c r="HA391">
        <x:f t="shared" si="452"/>
        <x:v>0</x:v>
      </x:c>
      <x:c r="HB391" s="42">
        <x:f t="shared" si="453"/>
        <x:v>0</x:v>
      </x:c>
      <x:c r="HC391">
        <x:f t="shared" si="454"/>
        <x:v>0</x:v>
      </x:c>
      <x:c r="HD391">
        <x:f t="shared" si="455"/>
        <x:v>0</x:v>
      </x:c>
      <x:c r="HE391">
        <x:f t="shared" si="456"/>
        <x:v>0</x:v>
      </x:c>
      <x:c r="HF391">
        <x:f t="shared" si="457"/>
        <x:v>0</x:v>
      </x:c>
      <x:c r="HG391">
        <x:f t="shared" si="458"/>
        <x:v>0</x:v>
      </x:c>
      <x:c r="HH391">
        <x:f t="shared" si="459"/>
        <x:v>0</x:v>
      </x:c>
      <x:c r="HI391">
        <x:f t="shared" si="460"/>
        <x:v>0</x:v>
      </x:c>
      <x:c r="HJ391">
        <x:f t="shared" si="461"/>
        <x:v>0</x:v>
      </x:c>
      <x:c r="HK391">
        <x:f t="shared" si="462"/>
        <x:v>0</x:v>
      </x:c>
      <x:c r="HL391">
        <x:f t="shared" si="463"/>
        <x:v>0</x:v>
      </x:c>
    </x:row>
    <x:row r="392">
      <x:c r="D392" s="74"/>
      <x:c r="EQ392">
        <x:f t="shared" si="390"/>
        <x:v>0</x:v>
      </x:c>
      <x:c r="ER392">
        <x:f t="shared" si="391"/>
        <x:v>0</x:v>
      </x:c>
      <x:c r="ES392">
        <x:f t="shared" si="392"/>
        <x:v>0</x:v>
      </x:c>
      <x:c r="ET392">
        <x:f t="shared" si="393"/>
        <x:v>0</x:v>
      </x:c>
      <x:c r="EU392">
        <x:f t="shared" si="394"/>
        <x:v>0</x:v>
      </x:c>
      <x:c r="EV392">
        <x:f t="shared" si="395"/>
        <x:v>0</x:v>
      </x:c>
      <x:c r="EW392">
        <x:f t="shared" si="396"/>
        <x:v>0</x:v>
      </x:c>
      <x:c r="EX392">
        <x:f t="shared" si="397"/>
        <x:v>0</x:v>
      </x:c>
      <x:c r="EY392">
        <x:f t="shared" si="398"/>
        <x:v>0</x:v>
      </x:c>
      <x:c r="EZ392">
        <x:f t="shared" si="399"/>
        <x:v>0</x:v>
      </x:c>
      <x:c r="FA392" s="41">
        <x:f t="shared" si="400"/>
        <x:v>0</x:v>
      </x:c>
      <x:c r="FB392">
        <x:f t="shared" si="401"/>
        <x:v>0</x:v>
      </x:c>
      <x:c r="FC392">
        <x:f t="shared" si="402"/>
        <x:v>0</x:v>
      </x:c>
      <x:c r="FD392">
        <x:f t="shared" si="403"/>
        <x:v>0</x:v>
      </x:c>
      <x:c r="FE392">
        <x:f t="shared" si="404"/>
        <x:v>0</x:v>
      </x:c>
      <x:c r="FF392">
        <x:f t="shared" si="405"/>
        <x:v>0</x:v>
      </x:c>
      <x:c r="FG392">
        <x:f t="shared" si="406"/>
        <x:v>0</x:v>
      </x:c>
      <x:c r="FH392">
        <x:f t="shared" si="407"/>
        <x:v>0</x:v>
      </x:c>
      <x:c r="FI392">
        <x:f t="shared" si="408"/>
        <x:v>0</x:v>
      </x:c>
      <x:c r="FJ392">
        <x:f t="shared" si="409"/>
        <x:v>0</x:v>
      </x:c>
      <x:c r="FK392">
        <x:f t="shared" si="410"/>
        <x:v>0</x:v>
      </x:c>
      <x:c r="FL392" s="41">
        <x:f t="shared" si="411"/>
        <x:v>0</x:v>
      </x:c>
      <x:c r="FM392">
        <x:f t="shared" si="412"/>
        <x:v>0</x:v>
      </x:c>
      <x:c r="FN392">
        <x:f t="shared" si="413"/>
        <x:v>0</x:v>
      </x:c>
      <x:c r="FO392">
        <x:f t="shared" si="414"/>
        <x:v>0</x:v>
      </x:c>
      <x:c r="FP392">
        <x:f t="shared" si="415"/>
        <x:v>0</x:v>
      </x:c>
      <x:c r="FQ392">
        <x:f t="shared" si="416"/>
        <x:v>0</x:v>
      </x:c>
      <x:c r="FR392">
        <x:f t="shared" si="417"/>
        <x:v>0</x:v>
      </x:c>
      <x:c r="FS392">
        <x:f t="shared" si="418"/>
        <x:v>0</x:v>
      </x:c>
      <x:c r="FT392">
        <x:f t="shared" si="419"/>
        <x:v>0</x:v>
      </x:c>
      <x:c r="FU392">
        <x:f t="shared" si="420"/>
        <x:v>0</x:v>
      </x:c>
      <x:c r="FV392">
        <x:f t="shared" si="421"/>
        <x:v>0</x:v>
      </x:c>
      <x:c r="FW392" s="41">
        <x:f t="shared" si="422"/>
        <x:v>0</x:v>
      </x:c>
      <x:c r="FX392">
        <x:f t="shared" si="423"/>
        <x:v>0</x:v>
      </x:c>
      <x:c r="FY392">
        <x:f t="shared" si="424"/>
        <x:v>0</x:v>
      </x:c>
      <x:c r="FZ392">
        <x:f t="shared" si="425"/>
        <x:v>0</x:v>
      </x:c>
      <x:c r="GA392">
        <x:f t="shared" si="426"/>
        <x:v>0</x:v>
      </x:c>
      <x:c r="GB392">
        <x:f t="shared" si="427"/>
        <x:v>0</x:v>
      </x:c>
      <x:c r="GC392">
        <x:f t="shared" si="428"/>
        <x:v>0</x:v>
      </x:c>
      <x:c r="GD392">
        <x:f t="shared" si="429"/>
        <x:v>0</x:v>
      </x:c>
      <x:c r="GE392">
        <x:f t="shared" si="430"/>
        <x:v>0</x:v>
      </x:c>
      <x:c r="GF392">
        <x:f t="shared" si="431"/>
        <x:v>0</x:v>
      </x:c>
      <x:c r="GG392">
        <x:f t="shared" si="432"/>
        <x:v>0</x:v>
      </x:c>
      <x:c r="GH392">
        <x:f t="shared" si="433"/>
        <x:v>0</x:v>
      </x:c>
      <x:c r="GI392">
        <x:f t="shared" si="434"/>
        <x:v>0</x:v>
      </x:c>
      <x:c r="GJ392">
        <x:f t="shared" si="435"/>
        <x:v>0</x:v>
      </x:c>
      <x:c r="GK392">
        <x:f t="shared" si="436"/>
        <x:v>0</x:v>
      </x:c>
      <x:c r="GL392">
        <x:f t="shared" si="437"/>
        <x:v>0</x:v>
      </x:c>
      <x:c r="GM392">
        <x:f t="shared" si="438"/>
        <x:v>0</x:v>
      </x:c>
      <x:c r="GN392">
        <x:f t="shared" si="439"/>
        <x:v>0</x:v>
      </x:c>
      <x:c r="GO392">
        <x:f t="shared" si="440"/>
        <x:v>0</x:v>
      </x:c>
      <x:c r="GP392">
        <x:f t="shared" si="441"/>
        <x:v>0</x:v>
      </x:c>
      <x:c r="GQ392">
        <x:f t="shared" si="442"/>
        <x:v>0</x:v>
      </x:c>
      <x:c r="GR392" s="42">
        <x:f t="shared" si="443"/>
        <x:v>0</x:v>
      </x:c>
      <x:c r="GS392">
        <x:f t="shared" si="444"/>
        <x:v>0</x:v>
      </x:c>
      <x:c r="GT392">
        <x:f t="shared" si="445"/>
        <x:v>0</x:v>
      </x:c>
      <x:c r="GU392">
        <x:f t="shared" si="446"/>
        <x:v>0</x:v>
      </x:c>
      <x:c r="GV392">
        <x:f t="shared" si="447"/>
        <x:v>0</x:v>
      </x:c>
      <x:c r="GW392">
        <x:f t="shared" si="448"/>
        <x:v>0</x:v>
      </x:c>
      <x:c r="GX392">
        <x:f t="shared" si="449"/>
        <x:v>0</x:v>
      </x:c>
      <x:c r="GY392">
        <x:f t="shared" si="450"/>
        <x:v>0</x:v>
      </x:c>
      <x:c r="GZ392">
        <x:f t="shared" si="451"/>
        <x:v>0</x:v>
      </x:c>
      <x:c r="HA392">
        <x:f t="shared" si="452"/>
        <x:v>0</x:v>
      </x:c>
      <x:c r="HB392" s="42">
        <x:f t="shared" si="453"/>
        <x:v>0</x:v>
      </x:c>
      <x:c r="HC392">
        <x:f t="shared" si="454"/>
        <x:v>0</x:v>
      </x:c>
      <x:c r="HD392">
        <x:f t="shared" si="455"/>
        <x:v>0</x:v>
      </x:c>
      <x:c r="HE392">
        <x:f t="shared" si="456"/>
        <x:v>0</x:v>
      </x:c>
      <x:c r="HF392">
        <x:f t="shared" si="457"/>
        <x:v>0</x:v>
      </x:c>
      <x:c r="HG392">
        <x:f t="shared" si="458"/>
        <x:v>0</x:v>
      </x:c>
      <x:c r="HH392">
        <x:f t="shared" si="459"/>
        <x:v>0</x:v>
      </x:c>
      <x:c r="HI392">
        <x:f t="shared" si="460"/>
        <x:v>0</x:v>
      </x:c>
      <x:c r="HJ392">
        <x:f t="shared" si="461"/>
        <x:v>0</x:v>
      </x:c>
      <x:c r="HK392">
        <x:f t="shared" si="462"/>
        <x:v>0</x:v>
      </x:c>
      <x:c r="HL392">
        <x:f t="shared" si="463"/>
        <x:v>0</x:v>
      </x:c>
    </x:row>
    <x:row r="393">
      <x:c r="D393" s="74"/>
      <x:c r="EQ393">
        <x:f t="shared" si="390"/>
        <x:v>0</x:v>
      </x:c>
      <x:c r="ER393">
        <x:f t="shared" si="391"/>
        <x:v>0</x:v>
      </x:c>
      <x:c r="ES393">
        <x:f t="shared" si="392"/>
        <x:v>0</x:v>
      </x:c>
      <x:c r="ET393">
        <x:f t="shared" si="393"/>
        <x:v>0</x:v>
      </x:c>
      <x:c r="EU393">
        <x:f t="shared" si="394"/>
        <x:v>0</x:v>
      </x:c>
      <x:c r="EV393">
        <x:f t="shared" si="395"/>
        <x:v>0</x:v>
      </x:c>
      <x:c r="EW393">
        <x:f t="shared" si="396"/>
        <x:v>0</x:v>
      </x:c>
      <x:c r="EX393">
        <x:f t="shared" si="397"/>
        <x:v>0</x:v>
      </x:c>
      <x:c r="EY393">
        <x:f t="shared" si="398"/>
        <x:v>0</x:v>
      </x:c>
      <x:c r="EZ393">
        <x:f t="shared" si="399"/>
        <x:v>0</x:v>
      </x:c>
      <x:c r="FA393" s="41">
        <x:f t="shared" si="400"/>
        <x:v>0</x:v>
      </x:c>
      <x:c r="FB393">
        <x:f t="shared" si="401"/>
        <x:v>0</x:v>
      </x:c>
      <x:c r="FC393">
        <x:f t="shared" si="402"/>
        <x:v>0</x:v>
      </x:c>
      <x:c r="FD393">
        <x:f t="shared" si="403"/>
        <x:v>0</x:v>
      </x:c>
      <x:c r="FE393">
        <x:f t="shared" si="404"/>
        <x:v>0</x:v>
      </x:c>
      <x:c r="FF393">
        <x:f t="shared" si="405"/>
        <x:v>0</x:v>
      </x:c>
      <x:c r="FG393">
        <x:f t="shared" si="406"/>
        <x:v>0</x:v>
      </x:c>
      <x:c r="FH393">
        <x:f t="shared" si="407"/>
        <x:v>0</x:v>
      </x:c>
      <x:c r="FI393">
        <x:f t="shared" si="408"/>
        <x:v>0</x:v>
      </x:c>
      <x:c r="FJ393">
        <x:f t="shared" si="409"/>
        <x:v>0</x:v>
      </x:c>
      <x:c r="FK393">
        <x:f t="shared" si="410"/>
        <x:v>0</x:v>
      </x:c>
      <x:c r="FL393" s="41">
        <x:f t="shared" si="411"/>
        <x:v>0</x:v>
      </x:c>
      <x:c r="FM393">
        <x:f t="shared" si="412"/>
        <x:v>0</x:v>
      </x:c>
      <x:c r="FN393">
        <x:f t="shared" si="413"/>
        <x:v>0</x:v>
      </x:c>
      <x:c r="FO393">
        <x:f t="shared" si="414"/>
        <x:v>0</x:v>
      </x:c>
      <x:c r="FP393">
        <x:f t="shared" si="415"/>
        <x:v>0</x:v>
      </x:c>
      <x:c r="FQ393">
        <x:f t="shared" si="416"/>
        <x:v>0</x:v>
      </x:c>
      <x:c r="FR393">
        <x:f t="shared" si="417"/>
        <x:v>0</x:v>
      </x:c>
      <x:c r="FS393">
        <x:f t="shared" si="418"/>
        <x:v>0</x:v>
      </x:c>
      <x:c r="FT393">
        <x:f t="shared" si="419"/>
        <x:v>0</x:v>
      </x:c>
      <x:c r="FU393">
        <x:f t="shared" si="420"/>
        <x:v>0</x:v>
      </x:c>
      <x:c r="FV393">
        <x:f t="shared" si="421"/>
        <x:v>0</x:v>
      </x:c>
      <x:c r="FW393" s="41">
        <x:f t="shared" si="422"/>
        <x:v>0</x:v>
      </x:c>
      <x:c r="FX393">
        <x:f t="shared" si="423"/>
        <x:v>0</x:v>
      </x:c>
      <x:c r="FY393">
        <x:f t="shared" si="424"/>
        <x:v>0</x:v>
      </x:c>
      <x:c r="FZ393">
        <x:f t="shared" si="425"/>
        <x:v>0</x:v>
      </x:c>
      <x:c r="GA393">
        <x:f t="shared" si="426"/>
        <x:v>0</x:v>
      </x:c>
      <x:c r="GB393">
        <x:f t="shared" si="427"/>
        <x:v>0</x:v>
      </x:c>
      <x:c r="GC393">
        <x:f t="shared" si="428"/>
        <x:v>0</x:v>
      </x:c>
      <x:c r="GD393">
        <x:f t="shared" si="429"/>
        <x:v>0</x:v>
      </x:c>
      <x:c r="GE393">
        <x:f t="shared" si="430"/>
        <x:v>0</x:v>
      </x:c>
      <x:c r="GF393">
        <x:f t="shared" si="431"/>
        <x:v>0</x:v>
      </x:c>
      <x:c r="GG393">
        <x:f t="shared" si="432"/>
        <x:v>0</x:v>
      </x:c>
      <x:c r="GH393">
        <x:f t="shared" si="433"/>
        <x:v>0</x:v>
      </x:c>
      <x:c r="GI393">
        <x:f t="shared" si="434"/>
        <x:v>0</x:v>
      </x:c>
      <x:c r="GJ393">
        <x:f t="shared" si="435"/>
        <x:v>0</x:v>
      </x:c>
      <x:c r="GK393">
        <x:f t="shared" si="436"/>
        <x:v>0</x:v>
      </x:c>
      <x:c r="GL393">
        <x:f t="shared" si="437"/>
        <x:v>0</x:v>
      </x:c>
      <x:c r="GM393">
        <x:f t="shared" si="438"/>
        <x:v>0</x:v>
      </x:c>
      <x:c r="GN393">
        <x:f t="shared" si="439"/>
        <x:v>0</x:v>
      </x:c>
      <x:c r="GO393">
        <x:f t="shared" si="440"/>
        <x:v>0</x:v>
      </x:c>
      <x:c r="GP393">
        <x:f t="shared" si="441"/>
        <x:v>0</x:v>
      </x:c>
      <x:c r="GQ393">
        <x:f t="shared" si="442"/>
        <x:v>0</x:v>
      </x:c>
      <x:c r="GR393" s="42">
        <x:f t="shared" si="443"/>
        <x:v>0</x:v>
      </x:c>
      <x:c r="GS393">
        <x:f t="shared" si="444"/>
        <x:v>0</x:v>
      </x:c>
      <x:c r="GT393">
        <x:f t="shared" si="445"/>
        <x:v>0</x:v>
      </x:c>
      <x:c r="GU393">
        <x:f t="shared" si="446"/>
        <x:v>0</x:v>
      </x:c>
      <x:c r="GV393">
        <x:f t="shared" si="447"/>
        <x:v>0</x:v>
      </x:c>
      <x:c r="GW393">
        <x:f t="shared" si="448"/>
        <x:v>0</x:v>
      </x:c>
      <x:c r="GX393">
        <x:f t="shared" si="449"/>
        <x:v>0</x:v>
      </x:c>
      <x:c r="GY393">
        <x:f t="shared" si="450"/>
        <x:v>0</x:v>
      </x:c>
      <x:c r="GZ393">
        <x:f t="shared" si="451"/>
        <x:v>0</x:v>
      </x:c>
      <x:c r="HA393">
        <x:f t="shared" si="452"/>
        <x:v>0</x:v>
      </x:c>
      <x:c r="HB393" s="42">
        <x:f t="shared" si="453"/>
        <x:v>0</x:v>
      </x:c>
      <x:c r="HC393">
        <x:f t="shared" si="454"/>
        <x:v>0</x:v>
      </x:c>
      <x:c r="HD393">
        <x:f t="shared" si="455"/>
        <x:v>0</x:v>
      </x:c>
      <x:c r="HE393">
        <x:f t="shared" si="456"/>
        <x:v>0</x:v>
      </x:c>
      <x:c r="HF393">
        <x:f t="shared" si="457"/>
        <x:v>0</x:v>
      </x:c>
      <x:c r="HG393">
        <x:f t="shared" si="458"/>
        <x:v>0</x:v>
      </x:c>
      <x:c r="HH393">
        <x:f t="shared" si="459"/>
        <x:v>0</x:v>
      </x:c>
      <x:c r="HI393">
        <x:f t="shared" si="460"/>
        <x:v>0</x:v>
      </x:c>
      <x:c r="HJ393">
        <x:f t="shared" si="461"/>
        <x:v>0</x:v>
      </x:c>
      <x:c r="HK393">
        <x:f t="shared" si="462"/>
        <x:v>0</x:v>
      </x:c>
      <x:c r="HL393">
        <x:f t="shared" si="463"/>
        <x:v>0</x:v>
      </x:c>
    </x:row>
    <x:row r="394">
      <x:c r="D394" s="74"/>
      <x:c r="EQ394">
        <x:f t="shared" si="390"/>
        <x:v>0</x:v>
      </x:c>
      <x:c r="ER394">
        <x:f t="shared" si="391"/>
        <x:v>0</x:v>
      </x:c>
      <x:c r="ES394">
        <x:f t="shared" si="392"/>
        <x:v>0</x:v>
      </x:c>
      <x:c r="ET394">
        <x:f t="shared" si="393"/>
        <x:v>0</x:v>
      </x:c>
      <x:c r="EU394">
        <x:f t="shared" si="394"/>
        <x:v>0</x:v>
      </x:c>
      <x:c r="EV394">
        <x:f t="shared" si="395"/>
        <x:v>0</x:v>
      </x:c>
      <x:c r="EW394">
        <x:f t="shared" si="396"/>
        <x:v>0</x:v>
      </x:c>
      <x:c r="EX394">
        <x:f t="shared" si="397"/>
        <x:v>0</x:v>
      </x:c>
      <x:c r="EY394">
        <x:f t="shared" si="398"/>
        <x:v>0</x:v>
      </x:c>
      <x:c r="EZ394">
        <x:f t="shared" si="399"/>
        <x:v>0</x:v>
      </x:c>
      <x:c r="FA394" s="41">
        <x:f t="shared" si="400"/>
        <x:v>0</x:v>
      </x:c>
      <x:c r="FB394">
        <x:f t="shared" si="401"/>
        <x:v>0</x:v>
      </x:c>
      <x:c r="FC394">
        <x:f t="shared" si="402"/>
        <x:v>0</x:v>
      </x:c>
      <x:c r="FD394">
        <x:f t="shared" si="403"/>
        <x:v>0</x:v>
      </x:c>
      <x:c r="FE394">
        <x:f t="shared" si="404"/>
        <x:v>0</x:v>
      </x:c>
      <x:c r="FF394">
        <x:f t="shared" si="405"/>
        <x:v>0</x:v>
      </x:c>
      <x:c r="FG394">
        <x:f t="shared" si="406"/>
        <x:v>0</x:v>
      </x:c>
      <x:c r="FH394">
        <x:f t="shared" si="407"/>
        <x:v>0</x:v>
      </x:c>
      <x:c r="FI394">
        <x:f t="shared" si="408"/>
        <x:v>0</x:v>
      </x:c>
      <x:c r="FJ394">
        <x:f t="shared" si="409"/>
        <x:v>0</x:v>
      </x:c>
      <x:c r="FK394">
        <x:f t="shared" si="410"/>
        <x:v>0</x:v>
      </x:c>
      <x:c r="FL394" s="41">
        <x:f t="shared" si="411"/>
        <x:v>0</x:v>
      </x:c>
      <x:c r="FM394">
        <x:f t="shared" si="412"/>
        <x:v>0</x:v>
      </x:c>
      <x:c r="FN394">
        <x:f t="shared" si="413"/>
        <x:v>0</x:v>
      </x:c>
      <x:c r="FO394">
        <x:f t="shared" si="414"/>
        <x:v>0</x:v>
      </x:c>
      <x:c r="FP394">
        <x:f t="shared" si="415"/>
        <x:v>0</x:v>
      </x:c>
      <x:c r="FQ394">
        <x:f t="shared" si="416"/>
        <x:v>0</x:v>
      </x:c>
      <x:c r="FR394">
        <x:f t="shared" si="417"/>
        <x:v>0</x:v>
      </x:c>
      <x:c r="FS394">
        <x:f t="shared" si="418"/>
        <x:v>0</x:v>
      </x:c>
      <x:c r="FT394">
        <x:f t="shared" si="419"/>
        <x:v>0</x:v>
      </x:c>
      <x:c r="FU394">
        <x:f t="shared" si="420"/>
        <x:v>0</x:v>
      </x:c>
      <x:c r="FV394">
        <x:f t="shared" si="421"/>
        <x:v>0</x:v>
      </x:c>
      <x:c r="FW394" s="41">
        <x:f t="shared" si="422"/>
        <x:v>0</x:v>
      </x:c>
      <x:c r="FX394">
        <x:f t="shared" si="423"/>
        <x:v>0</x:v>
      </x:c>
      <x:c r="FY394">
        <x:f t="shared" si="424"/>
        <x:v>0</x:v>
      </x:c>
      <x:c r="FZ394">
        <x:f t="shared" si="425"/>
        <x:v>0</x:v>
      </x:c>
      <x:c r="GA394">
        <x:f t="shared" si="426"/>
        <x:v>0</x:v>
      </x:c>
      <x:c r="GB394">
        <x:f t="shared" si="427"/>
        <x:v>0</x:v>
      </x:c>
      <x:c r="GC394">
        <x:f t="shared" si="428"/>
        <x:v>0</x:v>
      </x:c>
      <x:c r="GD394">
        <x:f t="shared" si="429"/>
        <x:v>0</x:v>
      </x:c>
      <x:c r="GE394">
        <x:f t="shared" si="430"/>
        <x:v>0</x:v>
      </x:c>
      <x:c r="GF394">
        <x:f t="shared" si="431"/>
        <x:v>0</x:v>
      </x:c>
      <x:c r="GG394">
        <x:f t="shared" si="432"/>
        <x:v>0</x:v>
      </x:c>
      <x:c r="GH394">
        <x:f t="shared" si="433"/>
        <x:v>0</x:v>
      </x:c>
      <x:c r="GI394">
        <x:f t="shared" si="434"/>
        <x:v>0</x:v>
      </x:c>
      <x:c r="GJ394">
        <x:f t="shared" si="435"/>
        <x:v>0</x:v>
      </x:c>
      <x:c r="GK394">
        <x:f t="shared" si="436"/>
        <x:v>0</x:v>
      </x:c>
      <x:c r="GL394">
        <x:f t="shared" si="437"/>
        <x:v>0</x:v>
      </x:c>
      <x:c r="GM394">
        <x:f t="shared" si="438"/>
        <x:v>0</x:v>
      </x:c>
      <x:c r="GN394">
        <x:f t="shared" si="439"/>
        <x:v>0</x:v>
      </x:c>
      <x:c r="GO394">
        <x:f t="shared" si="440"/>
        <x:v>0</x:v>
      </x:c>
      <x:c r="GP394">
        <x:f t="shared" si="441"/>
        <x:v>0</x:v>
      </x:c>
      <x:c r="GQ394">
        <x:f t="shared" si="442"/>
        <x:v>0</x:v>
      </x:c>
      <x:c r="GR394" s="42">
        <x:f t="shared" si="443"/>
        <x:v>0</x:v>
      </x:c>
      <x:c r="GS394">
        <x:f t="shared" si="444"/>
        <x:v>0</x:v>
      </x:c>
      <x:c r="GT394">
        <x:f t="shared" si="445"/>
        <x:v>0</x:v>
      </x:c>
      <x:c r="GU394">
        <x:f t="shared" si="446"/>
        <x:v>0</x:v>
      </x:c>
      <x:c r="GV394">
        <x:f t="shared" si="447"/>
        <x:v>0</x:v>
      </x:c>
      <x:c r="GW394">
        <x:f t="shared" si="448"/>
        <x:v>0</x:v>
      </x:c>
      <x:c r="GX394">
        <x:f t="shared" si="449"/>
        <x:v>0</x:v>
      </x:c>
      <x:c r="GY394">
        <x:f t="shared" si="450"/>
        <x:v>0</x:v>
      </x:c>
      <x:c r="GZ394">
        <x:f t="shared" si="451"/>
        <x:v>0</x:v>
      </x:c>
      <x:c r="HA394">
        <x:f t="shared" si="452"/>
        <x:v>0</x:v>
      </x:c>
      <x:c r="HB394" s="42">
        <x:f t="shared" si="453"/>
        <x:v>0</x:v>
      </x:c>
      <x:c r="HC394">
        <x:f t="shared" si="454"/>
        <x:v>0</x:v>
      </x:c>
      <x:c r="HD394">
        <x:f t="shared" si="455"/>
        <x:v>0</x:v>
      </x:c>
      <x:c r="HE394">
        <x:f t="shared" si="456"/>
        <x:v>0</x:v>
      </x:c>
      <x:c r="HF394">
        <x:f t="shared" si="457"/>
        <x:v>0</x:v>
      </x:c>
      <x:c r="HG394">
        <x:f t="shared" si="458"/>
        <x:v>0</x:v>
      </x:c>
      <x:c r="HH394">
        <x:f t="shared" si="459"/>
        <x:v>0</x:v>
      </x:c>
      <x:c r="HI394">
        <x:f t="shared" si="460"/>
        <x:v>0</x:v>
      </x:c>
      <x:c r="HJ394">
        <x:f t="shared" si="461"/>
        <x:v>0</x:v>
      </x:c>
      <x:c r="HK394">
        <x:f t="shared" si="462"/>
        <x:v>0</x:v>
      </x:c>
      <x:c r="HL394">
        <x:f t="shared" si="463"/>
        <x:v>0</x:v>
      </x:c>
    </x:row>
    <x:row r="395">
      <x:c r="D395" s="74"/>
      <x:c r="EQ395">
        <x:f t="shared" si="390"/>
        <x:v>0</x:v>
      </x:c>
      <x:c r="ER395">
        <x:f t="shared" si="391"/>
        <x:v>0</x:v>
      </x:c>
      <x:c r="ES395">
        <x:f t="shared" si="392"/>
        <x:v>0</x:v>
      </x:c>
      <x:c r="ET395">
        <x:f t="shared" si="393"/>
        <x:v>0</x:v>
      </x:c>
      <x:c r="EU395">
        <x:f t="shared" si="394"/>
        <x:v>0</x:v>
      </x:c>
      <x:c r="EV395">
        <x:f t="shared" si="395"/>
        <x:v>0</x:v>
      </x:c>
      <x:c r="EW395">
        <x:f t="shared" si="396"/>
        <x:v>0</x:v>
      </x:c>
      <x:c r="EX395">
        <x:f t="shared" si="397"/>
        <x:v>0</x:v>
      </x:c>
      <x:c r="EY395">
        <x:f t="shared" si="398"/>
        <x:v>0</x:v>
      </x:c>
      <x:c r="EZ395">
        <x:f t="shared" si="399"/>
        <x:v>0</x:v>
      </x:c>
      <x:c r="FA395" s="41">
        <x:f t="shared" si="400"/>
        <x:v>0</x:v>
      </x:c>
      <x:c r="FB395">
        <x:f t="shared" si="401"/>
        <x:v>0</x:v>
      </x:c>
      <x:c r="FC395">
        <x:f t="shared" si="402"/>
        <x:v>0</x:v>
      </x:c>
      <x:c r="FD395">
        <x:f t="shared" si="403"/>
        <x:v>0</x:v>
      </x:c>
      <x:c r="FE395">
        <x:f t="shared" si="404"/>
        <x:v>0</x:v>
      </x:c>
      <x:c r="FF395">
        <x:f t="shared" si="405"/>
        <x:v>0</x:v>
      </x:c>
      <x:c r="FG395">
        <x:f t="shared" si="406"/>
        <x:v>0</x:v>
      </x:c>
      <x:c r="FH395">
        <x:f t="shared" si="407"/>
        <x:v>0</x:v>
      </x:c>
      <x:c r="FI395">
        <x:f t="shared" si="408"/>
        <x:v>0</x:v>
      </x:c>
      <x:c r="FJ395">
        <x:f t="shared" si="409"/>
        <x:v>0</x:v>
      </x:c>
      <x:c r="FK395">
        <x:f t="shared" si="410"/>
        <x:v>0</x:v>
      </x:c>
      <x:c r="FL395" s="41">
        <x:f t="shared" si="411"/>
        <x:v>0</x:v>
      </x:c>
      <x:c r="FM395">
        <x:f t="shared" si="412"/>
        <x:v>0</x:v>
      </x:c>
      <x:c r="FN395">
        <x:f t="shared" si="413"/>
        <x:v>0</x:v>
      </x:c>
      <x:c r="FO395">
        <x:f t="shared" si="414"/>
        <x:v>0</x:v>
      </x:c>
      <x:c r="FP395">
        <x:f t="shared" si="415"/>
        <x:v>0</x:v>
      </x:c>
      <x:c r="FQ395">
        <x:f t="shared" si="416"/>
        <x:v>0</x:v>
      </x:c>
      <x:c r="FR395">
        <x:f t="shared" si="417"/>
        <x:v>0</x:v>
      </x:c>
      <x:c r="FS395">
        <x:f t="shared" si="418"/>
        <x:v>0</x:v>
      </x:c>
      <x:c r="FT395">
        <x:f t="shared" si="419"/>
        <x:v>0</x:v>
      </x:c>
      <x:c r="FU395">
        <x:f t="shared" si="420"/>
        <x:v>0</x:v>
      </x:c>
      <x:c r="FV395">
        <x:f t="shared" si="421"/>
        <x:v>0</x:v>
      </x:c>
      <x:c r="FW395" s="41">
        <x:f t="shared" si="422"/>
        <x:v>0</x:v>
      </x:c>
      <x:c r="FX395">
        <x:f t="shared" si="423"/>
        <x:v>0</x:v>
      </x:c>
      <x:c r="FY395">
        <x:f t="shared" si="424"/>
        <x:v>0</x:v>
      </x:c>
      <x:c r="FZ395">
        <x:f t="shared" si="425"/>
        <x:v>0</x:v>
      </x:c>
      <x:c r="GA395">
        <x:f t="shared" si="426"/>
        <x:v>0</x:v>
      </x:c>
      <x:c r="GB395">
        <x:f t="shared" si="427"/>
        <x:v>0</x:v>
      </x:c>
      <x:c r="GC395">
        <x:f t="shared" si="428"/>
        <x:v>0</x:v>
      </x:c>
      <x:c r="GD395">
        <x:f t="shared" si="429"/>
        <x:v>0</x:v>
      </x:c>
      <x:c r="GE395">
        <x:f t="shared" si="430"/>
        <x:v>0</x:v>
      </x:c>
      <x:c r="GF395">
        <x:f t="shared" si="431"/>
        <x:v>0</x:v>
      </x:c>
      <x:c r="GG395">
        <x:f t="shared" si="432"/>
        <x:v>0</x:v>
      </x:c>
      <x:c r="GH395">
        <x:f t="shared" si="433"/>
        <x:v>0</x:v>
      </x:c>
      <x:c r="GI395">
        <x:f t="shared" si="434"/>
        <x:v>0</x:v>
      </x:c>
      <x:c r="GJ395">
        <x:f t="shared" si="435"/>
        <x:v>0</x:v>
      </x:c>
      <x:c r="GK395">
        <x:f t="shared" si="436"/>
        <x:v>0</x:v>
      </x:c>
      <x:c r="GL395">
        <x:f t="shared" si="437"/>
        <x:v>0</x:v>
      </x:c>
      <x:c r="GM395">
        <x:f t="shared" si="438"/>
        <x:v>0</x:v>
      </x:c>
      <x:c r="GN395">
        <x:f t="shared" si="439"/>
        <x:v>0</x:v>
      </x:c>
      <x:c r="GO395">
        <x:f t="shared" si="440"/>
        <x:v>0</x:v>
      </x:c>
      <x:c r="GP395">
        <x:f t="shared" si="441"/>
        <x:v>0</x:v>
      </x:c>
      <x:c r="GQ395">
        <x:f t="shared" si="442"/>
        <x:v>0</x:v>
      </x:c>
      <x:c r="GR395" s="42">
        <x:f t="shared" si="443"/>
        <x:v>0</x:v>
      </x:c>
      <x:c r="GS395">
        <x:f t="shared" si="444"/>
        <x:v>0</x:v>
      </x:c>
      <x:c r="GT395">
        <x:f t="shared" si="445"/>
        <x:v>0</x:v>
      </x:c>
      <x:c r="GU395">
        <x:f t="shared" si="446"/>
        <x:v>0</x:v>
      </x:c>
      <x:c r="GV395">
        <x:f t="shared" si="447"/>
        <x:v>0</x:v>
      </x:c>
      <x:c r="GW395">
        <x:f t="shared" si="448"/>
        <x:v>0</x:v>
      </x:c>
      <x:c r="GX395">
        <x:f t="shared" si="449"/>
        <x:v>0</x:v>
      </x:c>
      <x:c r="GY395">
        <x:f t="shared" si="450"/>
        <x:v>0</x:v>
      </x:c>
      <x:c r="GZ395">
        <x:f t="shared" si="451"/>
        <x:v>0</x:v>
      </x:c>
      <x:c r="HA395">
        <x:f t="shared" si="452"/>
        <x:v>0</x:v>
      </x:c>
      <x:c r="HB395" s="42">
        <x:f t="shared" si="453"/>
        <x:v>0</x:v>
      </x:c>
      <x:c r="HC395">
        <x:f t="shared" si="454"/>
        <x:v>0</x:v>
      </x:c>
      <x:c r="HD395">
        <x:f t="shared" si="455"/>
        <x:v>0</x:v>
      </x:c>
      <x:c r="HE395">
        <x:f t="shared" si="456"/>
        <x:v>0</x:v>
      </x:c>
      <x:c r="HF395">
        <x:f t="shared" si="457"/>
        <x:v>0</x:v>
      </x:c>
      <x:c r="HG395">
        <x:f t="shared" si="458"/>
        <x:v>0</x:v>
      </x:c>
      <x:c r="HH395">
        <x:f t="shared" si="459"/>
        <x:v>0</x:v>
      </x:c>
      <x:c r="HI395">
        <x:f t="shared" si="460"/>
        <x:v>0</x:v>
      </x:c>
      <x:c r="HJ395">
        <x:f t="shared" si="461"/>
        <x:v>0</x:v>
      </x:c>
      <x:c r="HK395">
        <x:f t="shared" si="462"/>
        <x:v>0</x:v>
      </x:c>
      <x:c r="HL395">
        <x:f t="shared" si="463"/>
        <x:v>0</x:v>
      </x:c>
    </x:row>
    <x:row r="396">
      <x:c r="D396" s="74"/>
      <x:c r="EQ396">
        <x:f t="shared" si="390"/>
        <x:v>0</x:v>
      </x:c>
      <x:c r="ER396">
        <x:f t="shared" si="391"/>
        <x:v>0</x:v>
      </x:c>
      <x:c r="ES396">
        <x:f t="shared" si="392"/>
        <x:v>0</x:v>
      </x:c>
      <x:c r="ET396">
        <x:f t="shared" si="393"/>
        <x:v>0</x:v>
      </x:c>
      <x:c r="EU396">
        <x:f t="shared" si="394"/>
        <x:v>0</x:v>
      </x:c>
      <x:c r="EV396">
        <x:f t="shared" si="395"/>
        <x:v>0</x:v>
      </x:c>
      <x:c r="EW396">
        <x:f t="shared" si="396"/>
        <x:v>0</x:v>
      </x:c>
      <x:c r="EX396">
        <x:f t="shared" si="397"/>
        <x:v>0</x:v>
      </x:c>
      <x:c r="EY396">
        <x:f t="shared" si="398"/>
        <x:v>0</x:v>
      </x:c>
      <x:c r="EZ396">
        <x:f t="shared" si="399"/>
        <x:v>0</x:v>
      </x:c>
      <x:c r="FA396" s="41">
        <x:f t="shared" si="400"/>
        <x:v>0</x:v>
      </x:c>
      <x:c r="FB396">
        <x:f t="shared" si="401"/>
        <x:v>0</x:v>
      </x:c>
      <x:c r="FC396">
        <x:f t="shared" si="402"/>
        <x:v>0</x:v>
      </x:c>
      <x:c r="FD396">
        <x:f t="shared" si="403"/>
        <x:v>0</x:v>
      </x:c>
      <x:c r="FE396">
        <x:f t="shared" si="404"/>
        <x:v>0</x:v>
      </x:c>
      <x:c r="FF396">
        <x:f t="shared" si="405"/>
        <x:v>0</x:v>
      </x:c>
      <x:c r="FG396">
        <x:f t="shared" si="406"/>
        <x:v>0</x:v>
      </x:c>
      <x:c r="FH396">
        <x:f t="shared" si="407"/>
        <x:v>0</x:v>
      </x:c>
      <x:c r="FI396">
        <x:f t="shared" si="408"/>
        <x:v>0</x:v>
      </x:c>
      <x:c r="FJ396">
        <x:f t="shared" si="409"/>
        <x:v>0</x:v>
      </x:c>
      <x:c r="FK396">
        <x:f t="shared" si="410"/>
        <x:v>0</x:v>
      </x:c>
      <x:c r="FL396" s="41">
        <x:f t="shared" si="411"/>
        <x:v>0</x:v>
      </x:c>
      <x:c r="FM396">
        <x:f t="shared" si="412"/>
        <x:v>0</x:v>
      </x:c>
      <x:c r="FN396">
        <x:f t="shared" si="413"/>
        <x:v>0</x:v>
      </x:c>
      <x:c r="FO396">
        <x:f t="shared" si="414"/>
        <x:v>0</x:v>
      </x:c>
      <x:c r="FP396">
        <x:f t="shared" si="415"/>
        <x:v>0</x:v>
      </x:c>
      <x:c r="FQ396">
        <x:f t="shared" si="416"/>
        <x:v>0</x:v>
      </x:c>
      <x:c r="FR396">
        <x:f t="shared" si="417"/>
        <x:v>0</x:v>
      </x:c>
      <x:c r="FS396">
        <x:f t="shared" si="418"/>
        <x:v>0</x:v>
      </x:c>
      <x:c r="FT396">
        <x:f t="shared" si="419"/>
        <x:v>0</x:v>
      </x:c>
      <x:c r="FU396">
        <x:f t="shared" si="420"/>
        <x:v>0</x:v>
      </x:c>
      <x:c r="FV396">
        <x:f t="shared" si="421"/>
        <x:v>0</x:v>
      </x:c>
      <x:c r="FW396" s="41">
        <x:f t="shared" si="422"/>
        <x:v>0</x:v>
      </x:c>
      <x:c r="FX396">
        <x:f t="shared" si="423"/>
        <x:v>0</x:v>
      </x:c>
      <x:c r="FY396">
        <x:f t="shared" si="424"/>
        <x:v>0</x:v>
      </x:c>
      <x:c r="FZ396">
        <x:f t="shared" si="425"/>
        <x:v>0</x:v>
      </x:c>
      <x:c r="GA396">
        <x:f t="shared" si="426"/>
        <x:v>0</x:v>
      </x:c>
      <x:c r="GB396">
        <x:f t="shared" si="427"/>
        <x:v>0</x:v>
      </x:c>
      <x:c r="GC396">
        <x:f t="shared" si="428"/>
        <x:v>0</x:v>
      </x:c>
      <x:c r="GD396">
        <x:f t="shared" si="429"/>
        <x:v>0</x:v>
      </x:c>
      <x:c r="GE396">
        <x:f t="shared" si="430"/>
        <x:v>0</x:v>
      </x:c>
      <x:c r="GF396">
        <x:f t="shared" si="431"/>
        <x:v>0</x:v>
      </x:c>
      <x:c r="GG396">
        <x:f t="shared" si="432"/>
        <x:v>0</x:v>
      </x:c>
      <x:c r="GH396">
        <x:f t="shared" si="433"/>
        <x:v>0</x:v>
      </x:c>
      <x:c r="GI396">
        <x:f t="shared" si="434"/>
        <x:v>0</x:v>
      </x:c>
      <x:c r="GJ396">
        <x:f t="shared" si="435"/>
        <x:v>0</x:v>
      </x:c>
      <x:c r="GK396">
        <x:f t="shared" si="436"/>
        <x:v>0</x:v>
      </x:c>
      <x:c r="GL396">
        <x:f t="shared" si="437"/>
        <x:v>0</x:v>
      </x:c>
      <x:c r="GM396">
        <x:f t="shared" si="438"/>
        <x:v>0</x:v>
      </x:c>
      <x:c r="GN396">
        <x:f t="shared" si="439"/>
        <x:v>0</x:v>
      </x:c>
      <x:c r="GO396">
        <x:f t="shared" si="440"/>
        <x:v>0</x:v>
      </x:c>
      <x:c r="GP396">
        <x:f t="shared" si="441"/>
        <x:v>0</x:v>
      </x:c>
      <x:c r="GQ396">
        <x:f t="shared" si="442"/>
        <x:v>0</x:v>
      </x:c>
      <x:c r="GR396" s="42">
        <x:f t="shared" si="443"/>
        <x:v>0</x:v>
      </x:c>
      <x:c r="GS396">
        <x:f t="shared" si="444"/>
        <x:v>0</x:v>
      </x:c>
      <x:c r="GT396">
        <x:f t="shared" si="445"/>
        <x:v>0</x:v>
      </x:c>
      <x:c r="GU396">
        <x:f t="shared" si="446"/>
        <x:v>0</x:v>
      </x:c>
      <x:c r="GV396">
        <x:f t="shared" si="447"/>
        <x:v>0</x:v>
      </x:c>
      <x:c r="GW396">
        <x:f t="shared" si="448"/>
        <x:v>0</x:v>
      </x:c>
      <x:c r="GX396">
        <x:f t="shared" si="449"/>
        <x:v>0</x:v>
      </x:c>
      <x:c r="GY396">
        <x:f t="shared" si="450"/>
        <x:v>0</x:v>
      </x:c>
      <x:c r="GZ396">
        <x:f t="shared" si="451"/>
        <x:v>0</x:v>
      </x:c>
      <x:c r="HA396">
        <x:f t="shared" si="452"/>
        <x:v>0</x:v>
      </x:c>
      <x:c r="HB396" s="42">
        <x:f t="shared" si="453"/>
        <x:v>0</x:v>
      </x:c>
      <x:c r="HC396">
        <x:f t="shared" si="454"/>
        <x:v>0</x:v>
      </x:c>
      <x:c r="HD396">
        <x:f t="shared" si="455"/>
        <x:v>0</x:v>
      </x:c>
      <x:c r="HE396">
        <x:f t="shared" si="456"/>
        <x:v>0</x:v>
      </x:c>
      <x:c r="HF396">
        <x:f t="shared" si="457"/>
        <x:v>0</x:v>
      </x:c>
      <x:c r="HG396">
        <x:f t="shared" si="458"/>
        <x:v>0</x:v>
      </x:c>
      <x:c r="HH396">
        <x:f t="shared" si="459"/>
        <x:v>0</x:v>
      </x:c>
      <x:c r="HI396">
        <x:f t="shared" si="460"/>
        <x:v>0</x:v>
      </x:c>
      <x:c r="HJ396">
        <x:f t="shared" si="461"/>
        <x:v>0</x:v>
      </x:c>
      <x:c r="HK396">
        <x:f t="shared" si="462"/>
        <x:v>0</x:v>
      </x:c>
      <x:c r="HL396">
        <x:f t="shared" si="463"/>
        <x:v>0</x:v>
      </x:c>
    </x:row>
    <x:row r="397">
      <x:c r="D397" s="74"/>
      <x:c r="EQ397" t="n">
        <x:f t="shared" ref="EQ397:EQ460" si="464">SUMIFS(E397:EP397,E$7:EP$7,"Quiz",E$11:EP$11,EQ$11)</x:f>
        <x:v>0</x:v>
      </x:c>
      <x:c r="ER397" t="n">
        <x:f t="shared" ref="ER397:ER460" si="465">SUMIFS(E397:EP397,E$7:EP$7,"Exam",E$11:EP$11,EQ$11)</x:f>
        <x:v>0</x:v>
      </x:c>
      <x:c r="ES397" t="n">
        <x:f t="shared" ref="ES397:ES460" si="466">SUMIFS(E397:EP397,E$7:EP$7,"Rubric-Scored Output",E$11:EP$11,EQ$11)</x:f>
        <x:v>0</x:v>
      </x:c>
      <x:c r="ET397" t="n">
        <x:f t="shared" ref="ET397:ET460" si="467">SUMIFS(E397:EP397,E$7:EP$7,"Performance Tasks",E$11:EP$11,EQ$11)</x:f>
        <x:v>0</x:v>
      </x:c>
      <x:c r="EU397" t="n">
        <x:f t="shared" ref="EU397:EU460" si="468">SUMIFS(E397:EP397,E$7:EP$7,"Lab Outputs",E$11:EP$11,EQ$11)</x:f>
        <x:v>0</x:v>
      </x:c>
      <x:c r="EV397" t="n">
        <x:f t="shared" ref="EV397:EV460" si="469">SUMIFS(E397:EP397,E$7:EP$7,"Skills Demonstration/ RLE",E$11:EP$11,EQ$11)</x:f>
        <x:v>0</x:v>
      </x:c>
      <x:c r="EW397" t="n">
        <x:f t="shared" ref="EW397:EW460" si="470">SUMIFS(E397:EP397,E$7:EP$7,"Portfolio",E$11:EP$11,EQ$11)</x:f>
        <x:v>0</x:v>
      </x:c>
      <x:c r="EX397" t="n">
        <x:f t="shared" ref="EX397:EX460" si="471">SUMIFS(E397:EP397,E$7:EP$7,"Capstone",E$11:EP$11,EQ$11)</x:f>
        <x:v>0</x:v>
      </x:c>
      <x:c r="EY397" t="n">
        <x:f t="shared" ref="EY397:EY460" si="472">SUMIFS(E397:EP397,E$7:EP$7,"Culminating Project",E$11:EP$11,EQ$11)</x:f>
        <x:v>0</x:v>
      </x:c>
      <x:c r="EZ397" t="n">
        <x:f t="shared" ref="EZ397:EZ460" si="473">SUMIFS(E397:EP397,E$7:EP$7,"Panel Evaluation",E$11:EP$11,EQ$11)</x:f>
        <x:v>0</x:v>
      </x:c>
      <x:c r="FA397" s="41" t="n">
        <x:f t="shared" ref="FA397:FA460" si="474">SUMIFS(E397:EP397,E$7:EP$7,"Internship Evaluation",E$11:EP$11,EQ$11)</x:f>
        <x:v>0</x:v>
      </x:c>
      <x:c r="FB397" t="n">
        <x:f t="shared" ref="FB397:FB460" si="475">SUMIFS(E397:EP397,E$7:EP$7,"Quiz",E$11:EP$11,FB$11)</x:f>
        <x:v>0</x:v>
      </x:c>
      <x:c r="FC397" t="n">
        <x:f t="shared" ref="FC397:FC460" si="476">SUMIFS(E397:EP397,E$7:EP$7,"Exam",E$11:EP$11,FB$11)</x:f>
        <x:v>0</x:v>
      </x:c>
      <x:c r="FD397" t="n">
        <x:f t="shared" ref="FD397:FD460" si="477">SUMIFS(E397:EP397,E$7:EP$7,"Rubric-Scored Output",E$11:EP$11,FB$11)</x:f>
        <x:v>0</x:v>
      </x:c>
      <x:c r="FE397" t="n">
        <x:f t="shared" ref="FE397:FE460" si="478">SUMIFS(E397:EP397,E$7:EP$7,"Performance Tasks",E$11:EP$11,FB$11)</x:f>
        <x:v>0</x:v>
      </x:c>
      <x:c r="FF397" t="n">
        <x:f t="shared" ref="FF397:FF460" si="479">SUMIFS(E397:EP397,E$7:EP$7,"Lab Outputs",E$11:EP$11,FB$11)</x:f>
        <x:v>0</x:v>
      </x:c>
      <x:c r="FG397" t="n">
        <x:f t="shared" ref="FG397:FG460" si="480">SUMIFS(E397:EP397,E$7:EP$7,"Skills Demonstration/ RLE",E$11:EP$11,FB$11)</x:f>
        <x:v>0</x:v>
      </x:c>
      <x:c r="FH397" t="n">
        <x:f t="shared" ref="FH397:FH460" si="481">SUMIFS(E397:EP397,E$7:EP$7,"Portfolio",E$11:EP$11,FB$11)</x:f>
        <x:v>0</x:v>
      </x:c>
      <x:c r="FI397" t="n">
        <x:f t="shared" ref="FI397:FI460" si="482">SUMIFS(E397:EP397,E$7:EP$7,"Capstone",E$11:EP$11,FB$11)</x:f>
        <x:v>0</x:v>
      </x:c>
      <x:c r="FJ397" t="n">
        <x:f t="shared" ref="FJ397:FJ460" si="483">SUMIFS(E397:EP397,E$7:EP$7,"Culminating Project",E$11:EP$11,FB$11)</x:f>
        <x:v>0</x:v>
      </x:c>
      <x:c r="FK397" t="n">
        <x:f t="shared" ref="FK397:FK460" si="484">SUMIFS(E397:EP397,E$7:EP$7,"Panel Evaluation",E$11:EP$11,FB$11)</x:f>
        <x:v>0</x:v>
      </x:c>
      <x:c r="FL397" s="41" t="n">
        <x:f t="shared" ref="FL397:FL460" si="485">SUMIFS(E397:EP397,E$7:EP$7,"Internship Evaluation",E$11:EP$11,FB$11)</x:f>
        <x:v>0</x:v>
      </x:c>
      <x:c r="FM397" t="n">
        <x:f t="shared" ref="FM397:FM460" si="486">SUMIFS(E397:EP397,E$7:EP$7,"Quiz",E$11:EP$11,FM$11)</x:f>
        <x:v>0</x:v>
      </x:c>
      <x:c r="FN397" t="n">
        <x:f t="shared" ref="FN397:FN460" si="487">SUMIFS(E397:EP397,E$7:EP$7,"Exam",E$11:EP$11,FM$11)</x:f>
        <x:v>0</x:v>
      </x:c>
      <x:c r="FO397" t="n">
        <x:f t="shared" ref="FO397:FO460" si="488">SUMIFS(E397:EP397,E$7:EP$7,"Rubric-Scored Output",E$11:EP$11,FM$11)</x:f>
        <x:v>0</x:v>
      </x:c>
      <x:c r="FP397" t="n">
        <x:f t="shared" ref="FP397:FP460" si="489">SUMIFS(E397:EP397,E$7:EP$7,"Performance Tasks",E$11:EP$11,FM$11)</x:f>
        <x:v>0</x:v>
      </x:c>
      <x:c r="FQ397" t="n">
        <x:f t="shared" ref="FQ397:FQ460" si="490">SUMIFS(E397:EP397,E$7:EP$7,"Lab Outputs",E$11:EP$11,FM$11)</x:f>
        <x:v>0</x:v>
      </x:c>
      <x:c r="FR397" t="n">
        <x:f t="shared" ref="FR397:FR460" si="491">SUMIFS(E397:EP397,E$7:EP$7,"Skills Demonstration/ RLE",E$11:EP$11,FM$11)</x:f>
        <x:v>0</x:v>
      </x:c>
      <x:c r="FS397" t="n">
        <x:f t="shared" ref="FS397:FS460" si="492">SUMIFS(E397:EP397,E$7:EP$7,"Portfolio",E$11:EP$11,FM$11)</x:f>
        <x:v>0</x:v>
      </x:c>
      <x:c r="FT397" t="n">
        <x:f t="shared" ref="FT397:FT460" si="493">SUMIFS(E397:EP397,E$7:EP$7,"Capstone",E$11:EP$11,FM$11)</x:f>
        <x:v>0</x:v>
      </x:c>
      <x:c r="FU397" t="n">
        <x:f t="shared" ref="FU397:FU460" si="494">SUMIFS(E397:EP397,E$7:EP$7,"Culminating Project",E$11:EP$11,FM$11)</x:f>
        <x:v>0</x:v>
      </x:c>
      <x:c r="FV397" t="n">
        <x:f t="shared" ref="FV397:FV460" si="495">SUMIFS(E397:EP397,E$7:EP$7,"Panel Evaluation",E$11:EP$11,FM$11)</x:f>
        <x:v>0</x:v>
      </x:c>
      <x:c r="FW397" s="41" t="n">
        <x:f t="shared" ref="FW397:FW460" si="496">SUMIFS(E397:EP397,E$7:EP$7,"Internship Evaluation",E$11:EP$11,FM$11)</x:f>
        <x:v>0</x:v>
      </x:c>
      <x:c r="FX397" t="n">
        <x:f t="shared" ref="FX397:FX460" si="497">SUMIF(EQ$7:FW$7,"Quiz",EQ397:FW397)</x:f>
        <x:v>0</x:v>
      </x:c>
      <x:c r="FY397" t="n">
        <x:f t="shared" ref="FY397:FY460" si="498">SUMIF(EQ$7:FW$7,"Exam",EQ397:FW397)</x:f>
        <x:v>0</x:v>
      </x:c>
      <x:c r="FZ397" t="n">
        <x:f t="shared" ref="FZ397:FZ460" si="499">SUMIF(EQ$7:FW$7,"Rubric-Scored Output",EQ397:FW397)</x:f>
        <x:v>0</x:v>
      </x:c>
      <x:c r="GA397" t="n">
        <x:f t="shared" ref="GA397:GA460" si="500">SUMIF(EQ$7:FW$7,"Performance Tasks",EQ397:FW397)</x:f>
        <x:v>0</x:v>
      </x:c>
      <x:c r="GB397" t="n">
        <x:f t="shared" ref="GB397:GB460" si="501">SUMIF(EQ$7:FW$7,"Lab Outputs",EQ397:FW397)</x:f>
        <x:v>0</x:v>
      </x:c>
      <x:c r="GC397" t="n">
        <x:f t="shared" ref="GC397:GC460" si="502">SUMIF(EQ$7:FW$7,"Skills Demonstration/ RLE",EQ397:FW397)</x:f>
        <x:v>0</x:v>
      </x:c>
      <x:c r="GD397" t="n">
        <x:f t="shared" ref="GD397:GD460" si="503">SUMIF(EQ$7:FW$7,"Portfolio",EQ397:FW397)</x:f>
        <x:v>0</x:v>
      </x:c>
      <x:c r="GE397" t="n">
        <x:f t="shared" ref="GE397:GE460" si="504">SUMIF(EQ$7:FW$7,"Capstone",EQ397:FW397)</x:f>
        <x:v>0</x:v>
      </x:c>
      <x:c r="GF397" t="n">
        <x:f t="shared" ref="GF397:GF460" si="505">SUMIF(EQ$7:FW$7,"Culminating Project",EQ397:FW397)</x:f>
        <x:v>0</x:v>
      </x:c>
      <x:c r="GG397" t="n">
        <x:f t="shared" ref="GG397:GG460" si="506">SUMIF(EQ$7:FW$7,"Panel Evaluation",EQ397:FW397)</x:f>
        <x:v>0</x:v>
      </x:c>
      <x:c r="GH397" t="n">
        <x:f t="shared" ref="GH397:GH460" si="507">SUMIF(EQ$7:FW$7,"Internship Evaluation",EQ397:FW397)</x:f>
        <x:v>0</x:v>
      </x:c>
      <x:c r="GI397" t="n">
        <x:f t="shared" ref="GI397:GI460" si="508">SUMIFS(E397:EP397,E$8:EP$8,GI$8,E$11:EP$11,GI$11)</x:f>
        <x:v>0</x:v>
      </x:c>
      <x:c r="GJ397" t="n">
        <x:f t="shared" ref="GJ397:GJ460" si="509">SUMIFS(E397:EP397,E$8:EP$8,GJ$8,E$11:EP$11,GI$11)</x:f>
        <x:v>0</x:v>
      </x:c>
      <x:c r="GK397" t="n">
        <x:f t="shared" ref="GK397:GK460" si="510">SUMIFS(E397:EP397,E$8:EP$8,GK$8,E$11:EP$11,GI$11)</x:f>
        <x:v>0</x:v>
      </x:c>
      <x:c r="GL397" t="n">
        <x:f t="shared" ref="GL397:GL460" si="511">SUMIFS(E397:EP397,E$8:EP$8,GL$8,E$11:EP$11,GI$11)</x:f>
        <x:v>0</x:v>
      </x:c>
      <x:c r="GM397" t="n">
        <x:f t="shared" ref="GM397:GM460" si="512">SUMIFS(E397:EP397,E$8:EP$8,GM$8,E$11:EP$11,GI$11)</x:f>
        <x:v>0</x:v>
      </x:c>
      <x:c r="GN397" t="n">
        <x:f t="shared" ref="GN397:GN460" si="513">SUMIFS(E397:EP397,E$8:EP$8,GN$8,E$11:EP$11,GI$11)</x:f>
        <x:v>0</x:v>
      </x:c>
      <x:c r="GO397" t="n">
        <x:f t="shared" ref="GO397:GO460" si="514">SUMIFS(E397:EP397,E$8:EP$8,GO$8,E$11:EP$11,GI$11)</x:f>
        <x:v>0</x:v>
      </x:c>
      <x:c r="GP397" t="n">
        <x:f t="shared" ref="GP397:GP460" si="515">SUMIFS(E397:EP397,E$8:EP$8,GP$8,E$11:EP$11,GI$11)</x:f>
        <x:v>0</x:v>
      </x:c>
      <x:c r="GQ397" t="n">
        <x:f t="shared" ref="GQ397:GQ460" si="516">SUMIFS(E397:EP397,E$8:EP$8,GQ$8,E$11:EP$11,GI$11)</x:f>
        <x:v>0</x:v>
      </x:c>
      <x:c r="GR397" s="42" t="n">
        <x:f t="shared" ref="GR397:GR460" si="517">SUMIFS(E397:EP397,E$8:EP$8,GR$8,E$11:EP$11,GI$11)</x:f>
        <x:v>0</x:v>
      </x:c>
      <x:c r="GS397" t="n">
        <x:f t="shared" ref="GS397:GS460" si="518">SUMIFS(E397:EP397,E$8:EP$8,GI$8,E$11:EP$11,GS$11)</x:f>
        <x:v>0</x:v>
      </x:c>
      <x:c r="GT397" t="n">
        <x:f t="shared" ref="GT397:GT460" si="519">SUMIFS(E397:EP397,E$8:EP$8,GJ$8,E$11:EP$11,GS$11)</x:f>
        <x:v>0</x:v>
      </x:c>
      <x:c r="GU397" t="n">
        <x:f t="shared" ref="GU397:GU460" si="520">SUMIFS(E397:EP397,E$8:EP$8,GK$8,E$11:EP$11,GS$11)</x:f>
        <x:v>0</x:v>
      </x:c>
      <x:c r="GV397" t="n">
        <x:f t="shared" ref="GV397:GV460" si="521">SUMIFS(E397:EP397,E$8:EP$8,GL$8,E$11:EP$11,GS$11)</x:f>
        <x:v>0</x:v>
      </x:c>
      <x:c r="GW397" t="n">
        <x:f t="shared" ref="GW397:GW460" si="522">SUMIFS(E397:EP397,E$8:EP$8,GM$8,E$11:EP$11,GS$11)</x:f>
        <x:v>0</x:v>
      </x:c>
      <x:c r="GX397" t="n">
        <x:f t="shared" ref="GX397:GX460" si="523">SUMIFS(E397:EP397,E$8:EP$8,GN$8,E$11:EP$11,GS$11)</x:f>
        <x:v>0</x:v>
      </x:c>
      <x:c r="GY397" t="n">
        <x:f t="shared" ref="GY397:GY460" si="524">SUMIFS(E397:EP397,E$8:EP$8,GY$8,E$11:EP$11,GS$11)</x:f>
        <x:v>0</x:v>
      </x:c>
      <x:c r="GZ397" t="n">
        <x:f t="shared" ref="GZ397:GZ460" si="525">SUMIFS(E397:EP397,E$8:EP$8,GZ$8,E$11:EP$11,GS$11)</x:f>
        <x:v>0</x:v>
      </x:c>
      <x:c r="HA397" t="n">
        <x:f t="shared" ref="HA397:HA460" si="526">SUMIFS(E397:EP397,E$8:EP$8,HA$8,E$11:EP$11,GS$11)</x:f>
        <x:v>0</x:v>
      </x:c>
      <x:c r="HB397" s="42" t="n">
        <x:f t="shared" ref="HB397:HB460" si="527">SUMIFS(E397:EP397,E$8:EP$8,GR$8,E$11:EP$11,GS$11)</x:f>
        <x:v>0</x:v>
      </x:c>
      <x:c r="HC397" t="n">
        <x:f t="shared" ref="HC397:HC460" si="528">SUMIFS(E397:EP397,E$8:EP$8,GI$8,E$11:EP$11,HC$11)</x:f>
        <x:v>0</x:v>
      </x:c>
      <x:c r="HD397" t="n">
        <x:f t="shared" ref="HD397:HD460" si="529">SUMIFS(E397:EP397,E$8:EP$8,GJ$8,E$11:EP$11,HC$11)</x:f>
        <x:v>0</x:v>
      </x:c>
      <x:c r="HE397" t="n">
        <x:f t="shared" ref="HE397:HE460" si="530">SUMIFS(E397:EP397,E$8:EP$8,GK$8,E$11:EP$11,HC$11)</x:f>
        <x:v>0</x:v>
      </x:c>
      <x:c r="HF397" t="n">
        <x:f t="shared" ref="HF397:HF460" si="531">SUMIFS(E397:EP397,E$8:EP$8,GL$8,E$11:EP$11,HC$11)</x:f>
        <x:v>0</x:v>
      </x:c>
      <x:c r="HG397" t="n">
        <x:f t="shared" ref="HG397:HG460" si="532">SUMIFS(E397:EP397,E$8:EP$8,GM$8,E$11:EP$11,HC$11)</x:f>
        <x:v>0</x:v>
      </x:c>
      <x:c r="HH397" t="n">
        <x:f t="shared" ref="HH397:HH460" si="533">SUMIFS(E397:EP397,E$8:EP$8,GN$8,E$11:EP$11,HC$11)</x:f>
        <x:v>0</x:v>
      </x:c>
      <x:c r="HI397" t="n">
        <x:f t="shared" ref="HI397:HI460" si="534">SUMIFS(E397:EP397,E$8:EP$8,GO$8,E$11:EP$11,HC$11)</x:f>
        <x:v>0</x:v>
      </x:c>
      <x:c r="HJ397" t="n">
        <x:f t="shared" ref="HJ397:HJ460" si="535">SUMIFS(E397:EP397,E$8:EP$8,GP$8,E$11:EP$11,HC$11)</x:f>
        <x:v>0</x:v>
      </x:c>
      <x:c r="HK397" t="n">
        <x:f t="shared" ref="HK397:HK460" si="536">SUMIFS(E397:EP397,E$8:EP$8,GQ$8,E$11:EP$11,HC$11)</x:f>
        <x:v>0</x:v>
      </x:c>
      <x:c r="HL397" t="n">
        <x:f t="shared" ref="HL397:HL460" si="537">SUMIFS(E397:EP397,E$8:EP$8,GR$8,E$11:EP$11,HC$11)</x:f>
        <x:v>0</x:v>
      </x:c>
    </x:row>
    <x:row r="398">
      <x:c r="D398" s="74"/>
      <x:c r="EQ398">
        <x:f t="shared" si="464"/>
        <x:v>0</x:v>
      </x:c>
      <x:c r="ER398">
        <x:f t="shared" si="465"/>
        <x:v>0</x:v>
      </x:c>
      <x:c r="ES398">
        <x:f t="shared" si="466"/>
        <x:v>0</x:v>
      </x:c>
      <x:c r="ET398">
        <x:f t="shared" si="467"/>
        <x:v>0</x:v>
      </x:c>
      <x:c r="EU398">
        <x:f t="shared" si="468"/>
        <x:v>0</x:v>
      </x:c>
      <x:c r="EV398">
        <x:f t="shared" si="469"/>
        <x:v>0</x:v>
      </x:c>
      <x:c r="EW398">
        <x:f t="shared" si="470"/>
        <x:v>0</x:v>
      </x:c>
      <x:c r="EX398">
        <x:f t="shared" si="471"/>
        <x:v>0</x:v>
      </x:c>
      <x:c r="EY398">
        <x:f t="shared" si="472"/>
        <x:v>0</x:v>
      </x:c>
      <x:c r="EZ398">
        <x:f t="shared" si="473"/>
        <x:v>0</x:v>
      </x:c>
      <x:c r="FA398" s="41">
        <x:f t="shared" si="474"/>
        <x:v>0</x:v>
      </x:c>
      <x:c r="FB398">
        <x:f t="shared" si="475"/>
        <x:v>0</x:v>
      </x:c>
      <x:c r="FC398">
        <x:f t="shared" si="476"/>
        <x:v>0</x:v>
      </x:c>
      <x:c r="FD398">
        <x:f t="shared" si="477"/>
        <x:v>0</x:v>
      </x:c>
      <x:c r="FE398">
        <x:f t="shared" si="478"/>
        <x:v>0</x:v>
      </x:c>
      <x:c r="FF398">
        <x:f t="shared" si="479"/>
        <x:v>0</x:v>
      </x:c>
      <x:c r="FG398">
        <x:f t="shared" si="480"/>
        <x:v>0</x:v>
      </x:c>
      <x:c r="FH398">
        <x:f t="shared" si="481"/>
        <x:v>0</x:v>
      </x:c>
      <x:c r="FI398">
        <x:f t="shared" si="482"/>
        <x:v>0</x:v>
      </x:c>
      <x:c r="FJ398">
        <x:f t="shared" si="483"/>
        <x:v>0</x:v>
      </x:c>
      <x:c r="FK398">
        <x:f t="shared" si="484"/>
        <x:v>0</x:v>
      </x:c>
      <x:c r="FL398" s="41">
        <x:f t="shared" si="485"/>
        <x:v>0</x:v>
      </x:c>
      <x:c r="FM398">
        <x:f t="shared" si="486"/>
        <x:v>0</x:v>
      </x:c>
      <x:c r="FN398">
        <x:f t="shared" si="487"/>
        <x:v>0</x:v>
      </x:c>
      <x:c r="FO398">
        <x:f t="shared" si="488"/>
        <x:v>0</x:v>
      </x:c>
      <x:c r="FP398">
        <x:f t="shared" si="489"/>
        <x:v>0</x:v>
      </x:c>
      <x:c r="FQ398">
        <x:f t="shared" si="490"/>
        <x:v>0</x:v>
      </x:c>
      <x:c r="FR398">
        <x:f t="shared" si="491"/>
        <x:v>0</x:v>
      </x:c>
      <x:c r="FS398">
        <x:f t="shared" si="492"/>
        <x:v>0</x:v>
      </x:c>
      <x:c r="FT398">
        <x:f t="shared" si="493"/>
        <x:v>0</x:v>
      </x:c>
      <x:c r="FU398">
        <x:f t="shared" si="494"/>
        <x:v>0</x:v>
      </x:c>
      <x:c r="FV398">
        <x:f t="shared" si="495"/>
        <x:v>0</x:v>
      </x:c>
      <x:c r="FW398" s="41">
        <x:f t="shared" si="496"/>
        <x:v>0</x:v>
      </x:c>
      <x:c r="FX398">
        <x:f t="shared" si="497"/>
        <x:v>0</x:v>
      </x:c>
      <x:c r="FY398">
        <x:f t="shared" si="498"/>
        <x:v>0</x:v>
      </x:c>
      <x:c r="FZ398">
        <x:f t="shared" si="499"/>
        <x:v>0</x:v>
      </x:c>
      <x:c r="GA398">
        <x:f t="shared" si="500"/>
        <x:v>0</x:v>
      </x:c>
      <x:c r="GB398">
        <x:f t="shared" si="501"/>
        <x:v>0</x:v>
      </x:c>
      <x:c r="GC398">
        <x:f t="shared" si="502"/>
        <x:v>0</x:v>
      </x:c>
      <x:c r="GD398">
        <x:f t="shared" si="503"/>
        <x:v>0</x:v>
      </x:c>
      <x:c r="GE398">
        <x:f t="shared" si="504"/>
        <x:v>0</x:v>
      </x:c>
      <x:c r="GF398">
        <x:f t="shared" si="505"/>
        <x:v>0</x:v>
      </x:c>
      <x:c r="GG398">
        <x:f t="shared" si="506"/>
        <x:v>0</x:v>
      </x:c>
      <x:c r="GH398">
        <x:f t="shared" si="507"/>
        <x:v>0</x:v>
      </x:c>
      <x:c r="GI398">
        <x:f t="shared" si="508"/>
        <x:v>0</x:v>
      </x:c>
      <x:c r="GJ398">
        <x:f t="shared" si="509"/>
        <x:v>0</x:v>
      </x:c>
      <x:c r="GK398">
        <x:f t="shared" si="510"/>
        <x:v>0</x:v>
      </x:c>
      <x:c r="GL398">
        <x:f t="shared" si="511"/>
        <x:v>0</x:v>
      </x:c>
      <x:c r="GM398">
        <x:f t="shared" si="512"/>
        <x:v>0</x:v>
      </x:c>
      <x:c r="GN398">
        <x:f t="shared" si="513"/>
        <x:v>0</x:v>
      </x:c>
      <x:c r="GO398">
        <x:f t="shared" si="514"/>
        <x:v>0</x:v>
      </x:c>
      <x:c r="GP398">
        <x:f t="shared" si="515"/>
        <x:v>0</x:v>
      </x:c>
      <x:c r="GQ398">
        <x:f t="shared" si="516"/>
        <x:v>0</x:v>
      </x:c>
      <x:c r="GR398" s="42">
        <x:f t="shared" si="517"/>
        <x:v>0</x:v>
      </x:c>
      <x:c r="GS398">
        <x:f t="shared" si="518"/>
        <x:v>0</x:v>
      </x:c>
      <x:c r="GT398">
        <x:f t="shared" si="519"/>
        <x:v>0</x:v>
      </x:c>
      <x:c r="GU398">
        <x:f t="shared" si="520"/>
        <x:v>0</x:v>
      </x:c>
      <x:c r="GV398">
        <x:f t="shared" si="521"/>
        <x:v>0</x:v>
      </x:c>
      <x:c r="GW398">
        <x:f t="shared" si="522"/>
        <x:v>0</x:v>
      </x:c>
      <x:c r="GX398">
        <x:f t="shared" si="523"/>
        <x:v>0</x:v>
      </x:c>
      <x:c r="GY398">
        <x:f t="shared" si="524"/>
        <x:v>0</x:v>
      </x:c>
      <x:c r="GZ398">
        <x:f t="shared" si="525"/>
        <x:v>0</x:v>
      </x:c>
      <x:c r="HA398">
        <x:f t="shared" si="526"/>
        <x:v>0</x:v>
      </x:c>
      <x:c r="HB398" s="42">
        <x:f t="shared" si="527"/>
        <x:v>0</x:v>
      </x:c>
      <x:c r="HC398">
        <x:f t="shared" si="528"/>
        <x:v>0</x:v>
      </x:c>
      <x:c r="HD398">
        <x:f t="shared" si="529"/>
        <x:v>0</x:v>
      </x:c>
      <x:c r="HE398">
        <x:f t="shared" si="530"/>
        <x:v>0</x:v>
      </x:c>
      <x:c r="HF398">
        <x:f t="shared" si="531"/>
        <x:v>0</x:v>
      </x:c>
      <x:c r="HG398">
        <x:f t="shared" si="532"/>
        <x:v>0</x:v>
      </x:c>
      <x:c r="HH398">
        <x:f t="shared" si="533"/>
        <x:v>0</x:v>
      </x:c>
      <x:c r="HI398">
        <x:f t="shared" si="534"/>
        <x:v>0</x:v>
      </x:c>
      <x:c r="HJ398">
        <x:f t="shared" si="535"/>
        <x:v>0</x:v>
      </x:c>
      <x:c r="HK398">
        <x:f t="shared" si="536"/>
        <x:v>0</x:v>
      </x:c>
      <x:c r="HL398">
        <x:f t="shared" si="537"/>
        <x:v>0</x:v>
      </x:c>
    </x:row>
    <x:row r="399">
      <x:c r="D399" s="74"/>
      <x:c r="EQ399">
        <x:f t="shared" si="464"/>
        <x:v>0</x:v>
      </x:c>
      <x:c r="ER399">
        <x:f t="shared" si="465"/>
        <x:v>0</x:v>
      </x:c>
      <x:c r="ES399">
        <x:f t="shared" si="466"/>
        <x:v>0</x:v>
      </x:c>
      <x:c r="ET399">
        <x:f t="shared" si="467"/>
        <x:v>0</x:v>
      </x:c>
      <x:c r="EU399">
        <x:f t="shared" si="468"/>
        <x:v>0</x:v>
      </x:c>
      <x:c r="EV399">
        <x:f t="shared" si="469"/>
        <x:v>0</x:v>
      </x:c>
      <x:c r="EW399">
        <x:f t="shared" si="470"/>
        <x:v>0</x:v>
      </x:c>
      <x:c r="EX399">
        <x:f t="shared" si="471"/>
        <x:v>0</x:v>
      </x:c>
      <x:c r="EY399">
        <x:f t="shared" si="472"/>
        <x:v>0</x:v>
      </x:c>
      <x:c r="EZ399">
        <x:f t="shared" si="473"/>
        <x:v>0</x:v>
      </x:c>
      <x:c r="FA399" s="41">
        <x:f t="shared" si="474"/>
        <x:v>0</x:v>
      </x:c>
      <x:c r="FB399">
        <x:f t="shared" si="475"/>
        <x:v>0</x:v>
      </x:c>
      <x:c r="FC399">
        <x:f t="shared" si="476"/>
        <x:v>0</x:v>
      </x:c>
      <x:c r="FD399">
        <x:f t="shared" si="477"/>
        <x:v>0</x:v>
      </x:c>
      <x:c r="FE399">
        <x:f t="shared" si="478"/>
        <x:v>0</x:v>
      </x:c>
      <x:c r="FF399">
        <x:f t="shared" si="479"/>
        <x:v>0</x:v>
      </x:c>
      <x:c r="FG399">
        <x:f t="shared" si="480"/>
        <x:v>0</x:v>
      </x:c>
      <x:c r="FH399">
        <x:f t="shared" si="481"/>
        <x:v>0</x:v>
      </x:c>
      <x:c r="FI399">
        <x:f t="shared" si="482"/>
        <x:v>0</x:v>
      </x:c>
      <x:c r="FJ399">
        <x:f t="shared" si="483"/>
        <x:v>0</x:v>
      </x:c>
      <x:c r="FK399">
        <x:f t="shared" si="484"/>
        <x:v>0</x:v>
      </x:c>
      <x:c r="FL399" s="41">
        <x:f t="shared" si="485"/>
        <x:v>0</x:v>
      </x:c>
      <x:c r="FM399">
        <x:f t="shared" si="486"/>
        <x:v>0</x:v>
      </x:c>
      <x:c r="FN399">
        <x:f t="shared" si="487"/>
        <x:v>0</x:v>
      </x:c>
      <x:c r="FO399">
        <x:f t="shared" si="488"/>
        <x:v>0</x:v>
      </x:c>
      <x:c r="FP399">
        <x:f t="shared" si="489"/>
        <x:v>0</x:v>
      </x:c>
      <x:c r="FQ399">
        <x:f t="shared" si="490"/>
        <x:v>0</x:v>
      </x:c>
      <x:c r="FR399">
        <x:f t="shared" si="491"/>
        <x:v>0</x:v>
      </x:c>
      <x:c r="FS399">
        <x:f t="shared" si="492"/>
        <x:v>0</x:v>
      </x:c>
      <x:c r="FT399">
        <x:f t="shared" si="493"/>
        <x:v>0</x:v>
      </x:c>
      <x:c r="FU399">
        <x:f t="shared" si="494"/>
        <x:v>0</x:v>
      </x:c>
      <x:c r="FV399">
        <x:f t="shared" si="495"/>
        <x:v>0</x:v>
      </x:c>
      <x:c r="FW399" s="41">
        <x:f t="shared" si="496"/>
        <x:v>0</x:v>
      </x:c>
      <x:c r="FX399">
        <x:f t="shared" si="497"/>
        <x:v>0</x:v>
      </x:c>
      <x:c r="FY399">
        <x:f t="shared" si="498"/>
        <x:v>0</x:v>
      </x:c>
      <x:c r="FZ399">
        <x:f t="shared" si="499"/>
        <x:v>0</x:v>
      </x:c>
      <x:c r="GA399">
        <x:f t="shared" si="500"/>
        <x:v>0</x:v>
      </x:c>
      <x:c r="GB399">
        <x:f t="shared" si="501"/>
        <x:v>0</x:v>
      </x:c>
      <x:c r="GC399">
        <x:f t="shared" si="502"/>
        <x:v>0</x:v>
      </x:c>
      <x:c r="GD399">
        <x:f t="shared" si="503"/>
        <x:v>0</x:v>
      </x:c>
      <x:c r="GE399">
        <x:f t="shared" si="504"/>
        <x:v>0</x:v>
      </x:c>
      <x:c r="GF399">
        <x:f t="shared" si="505"/>
        <x:v>0</x:v>
      </x:c>
      <x:c r="GG399">
        <x:f t="shared" si="506"/>
        <x:v>0</x:v>
      </x:c>
      <x:c r="GH399">
        <x:f t="shared" si="507"/>
        <x:v>0</x:v>
      </x:c>
      <x:c r="GI399">
        <x:f t="shared" si="508"/>
        <x:v>0</x:v>
      </x:c>
      <x:c r="GJ399">
        <x:f t="shared" si="509"/>
        <x:v>0</x:v>
      </x:c>
      <x:c r="GK399">
        <x:f t="shared" si="510"/>
        <x:v>0</x:v>
      </x:c>
      <x:c r="GL399">
        <x:f t="shared" si="511"/>
        <x:v>0</x:v>
      </x:c>
      <x:c r="GM399">
        <x:f t="shared" si="512"/>
        <x:v>0</x:v>
      </x:c>
      <x:c r="GN399">
        <x:f t="shared" si="513"/>
        <x:v>0</x:v>
      </x:c>
      <x:c r="GO399">
        <x:f t="shared" si="514"/>
        <x:v>0</x:v>
      </x:c>
      <x:c r="GP399">
        <x:f t="shared" si="515"/>
        <x:v>0</x:v>
      </x:c>
      <x:c r="GQ399">
        <x:f t="shared" si="516"/>
        <x:v>0</x:v>
      </x:c>
      <x:c r="GR399" s="42">
        <x:f t="shared" si="517"/>
        <x:v>0</x:v>
      </x:c>
      <x:c r="GS399">
        <x:f t="shared" si="518"/>
        <x:v>0</x:v>
      </x:c>
      <x:c r="GT399">
        <x:f t="shared" si="519"/>
        <x:v>0</x:v>
      </x:c>
      <x:c r="GU399">
        <x:f t="shared" si="520"/>
        <x:v>0</x:v>
      </x:c>
      <x:c r="GV399">
        <x:f t="shared" si="521"/>
        <x:v>0</x:v>
      </x:c>
      <x:c r="GW399">
        <x:f t="shared" si="522"/>
        <x:v>0</x:v>
      </x:c>
      <x:c r="GX399">
        <x:f t="shared" si="523"/>
        <x:v>0</x:v>
      </x:c>
      <x:c r="GY399">
        <x:f t="shared" si="524"/>
        <x:v>0</x:v>
      </x:c>
      <x:c r="GZ399">
        <x:f t="shared" si="525"/>
        <x:v>0</x:v>
      </x:c>
      <x:c r="HA399">
        <x:f t="shared" si="526"/>
        <x:v>0</x:v>
      </x:c>
      <x:c r="HB399" s="42">
        <x:f t="shared" si="527"/>
        <x:v>0</x:v>
      </x:c>
      <x:c r="HC399">
        <x:f t="shared" si="528"/>
        <x:v>0</x:v>
      </x:c>
      <x:c r="HD399">
        <x:f t="shared" si="529"/>
        <x:v>0</x:v>
      </x:c>
      <x:c r="HE399">
        <x:f t="shared" si="530"/>
        <x:v>0</x:v>
      </x:c>
      <x:c r="HF399">
        <x:f t="shared" si="531"/>
        <x:v>0</x:v>
      </x:c>
      <x:c r="HG399">
        <x:f t="shared" si="532"/>
        <x:v>0</x:v>
      </x:c>
      <x:c r="HH399">
        <x:f t="shared" si="533"/>
        <x:v>0</x:v>
      </x:c>
      <x:c r="HI399">
        <x:f t="shared" si="534"/>
        <x:v>0</x:v>
      </x:c>
      <x:c r="HJ399">
        <x:f t="shared" si="535"/>
        <x:v>0</x:v>
      </x:c>
      <x:c r="HK399">
        <x:f t="shared" si="536"/>
        <x:v>0</x:v>
      </x:c>
      <x:c r="HL399">
        <x:f t="shared" si="537"/>
        <x:v>0</x:v>
      </x:c>
    </x:row>
    <x:row r="400">
      <x:c r="D400" s="74"/>
      <x:c r="EQ400">
        <x:f t="shared" si="464"/>
        <x:v>0</x:v>
      </x:c>
      <x:c r="ER400">
        <x:f t="shared" si="465"/>
        <x:v>0</x:v>
      </x:c>
      <x:c r="ES400">
        <x:f t="shared" si="466"/>
        <x:v>0</x:v>
      </x:c>
      <x:c r="ET400">
        <x:f t="shared" si="467"/>
        <x:v>0</x:v>
      </x:c>
      <x:c r="EU400">
        <x:f t="shared" si="468"/>
        <x:v>0</x:v>
      </x:c>
      <x:c r="EV400">
        <x:f t="shared" si="469"/>
        <x:v>0</x:v>
      </x:c>
      <x:c r="EW400">
        <x:f t="shared" si="470"/>
        <x:v>0</x:v>
      </x:c>
      <x:c r="EX400">
        <x:f t="shared" si="471"/>
        <x:v>0</x:v>
      </x:c>
      <x:c r="EY400">
        <x:f t="shared" si="472"/>
        <x:v>0</x:v>
      </x:c>
      <x:c r="EZ400">
        <x:f t="shared" si="473"/>
        <x:v>0</x:v>
      </x:c>
      <x:c r="FA400" s="41">
        <x:f t="shared" si="474"/>
        <x:v>0</x:v>
      </x:c>
      <x:c r="FB400">
        <x:f t="shared" si="475"/>
        <x:v>0</x:v>
      </x:c>
      <x:c r="FC400">
        <x:f t="shared" si="476"/>
        <x:v>0</x:v>
      </x:c>
      <x:c r="FD400">
        <x:f t="shared" si="477"/>
        <x:v>0</x:v>
      </x:c>
      <x:c r="FE400">
        <x:f t="shared" si="478"/>
        <x:v>0</x:v>
      </x:c>
      <x:c r="FF400">
        <x:f t="shared" si="479"/>
        <x:v>0</x:v>
      </x:c>
      <x:c r="FG400">
        <x:f t="shared" si="480"/>
        <x:v>0</x:v>
      </x:c>
      <x:c r="FH400">
        <x:f t="shared" si="481"/>
        <x:v>0</x:v>
      </x:c>
      <x:c r="FI400">
        <x:f t="shared" si="482"/>
        <x:v>0</x:v>
      </x:c>
      <x:c r="FJ400">
        <x:f t="shared" si="483"/>
        <x:v>0</x:v>
      </x:c>
      <x:c r="FK400">
        <x:f t="shared" si="484"/>
        <x:v>0</x:v>
      </x:c>
      <x:c r="FL400" s="41">
        <x:f t="shared" si="485"/>
        <x:v>0</x:v>
      </x:c>
      <x:c r="FM400">
        <x:f t="shared" si="486"/>
        <x:v>0</x:v>
      </x:c>
      <x:c r="FN400">
        <x:f t="shared" si="487"/>
        <x:v>0</x:v>
      </x:c>
      <x:c r="FO400">
        <x:f t="shared" si="488"/>
        <x:v>0</x:v>
      </x:c>
      <x:c r="FP400">
        <x:f t="shared" si="489"/>
        <x:v>0</x:v>
      </x:c>
      <x:c r="FQ400">
        <x:f t="shared" si="490"/>
        <x:v>0</x:v>
      </x:c>
      <x:c r="FR400">
        <x:f t="shared" si="491"/>
        <x:v>0</x:v>
      </x:c>
      <x:c r="FS400">
        <x:f t="shared" si="492"/>
        <x:v>0</x:v>
      </x:c>
      <x:c r="FT400">
        <x:f t="shared" si="493"/>
        <x:v>0</x:v>
      </x:c>
      <x:c r="FU400">
        <x:f t="shared" si="494"/>
        <x:v>0</x:v>
      </x:c>
      <x:c r="FV400">
        <x:f t="shared" si="495"/>
        <x:v>0</x:v>
      </x:c>
      <x:c r="FW400" s="41">
        <x:f t="shared" si="496"/>
        <x:v>0</x:v>
      </x:c>
      <x:c r="FX400">
        <x:f t="shared" si="497"/>
        <x:v>0</x:v>
      </x:c>
      <x:c r="FY400">
        <x:f t="shared" si="498"/>
        <x:v>0</x:v>
      </x:c>
      <x:c r="FZ400">
        <x:f t="shared" si="499"/>
        <x:v>0</x:v>
      </x:c>
      <x:c r="GA400">
        <x:f t="shared" si="500"/>
        <x:v>0</x:v>
      </x:c>
      <x:c r="GB400">
        <x:f t="shared" si="501"/>
        <x:v>0</x:v>
      </x:c>
      <x:c r="GC400">
        <x:f t="shared" si="502"/>
        <x:v>0</x:v>
      </x:c>
      <x:c r="GD400">
        <x:f t="shared" si="503"/>
        <x:v>0</x:v>
      </x:c>
      <x:c r="GE400">
        <x:f t="shared" si="504"/>
        <x:v>0</x:v>
      </x:c>
      <x:c r="GF400">
        <x:f t="shared" si="505"/>
        <x:v>0</x:v>
      </x:c>
      <x:c r="GG400">
        <x:f t="shared" si="506"/>
        <x:v>0</x:v>
      </x:c>
      <x:c r="GH400">
        <x:f t="shared" si="507"/>
        <x:v>0</x:v>
      </x:c>
      <x:c r="GI400">
        <x:f t="shared" si="508"/>
        <x:v>0</x:v>
      </x:c>
      <x:c r="GJ400">
        <x:f t="shared" si="509"/>
        <x:v>0</x:v>
      </x:c>
      <x:c r="GK400">
        <x:f t="shared" si="510"/>
        <x:v>0</x:v>
      </x:c>
      <x:c r="GL400">
        <x:f t="shared" si="511"/>
        <x:v>0</x:v>
      </x:c>
      <x:c r="GM400">
        <x:f t="shared" si="512"/>
        <x:v>0</x:v>
      </x:c>
      <x:c r="GN400">
        <x:f t="shared" si="513"/>
        <x:v>0</x:v>
      </x:c>
      <x:c r="GO400">
        <x:f t="shared" si="514"/>
        <x:v>0</x:v>
      </x:c>
      <x:c r="GP400">
        <x:f t="shared" si="515"/>
        <x:v>0</x:v>
      </x:c>
      <x:c r="GQ400">
        <x:f t="shared" si="516"/>
        <x:v>0</x:v>
      </x:c>
      <x:c r="GR400" s="42">
        <x:f t="shared" si="517"/>
        <x:v>0</x:v>
      </x:c>
      <x:c r="GS400">
        <x:f t="shared" si="518"/>
        <x:v>0</x:v>
      </x:c>
      <x:c r="GT400">
        <x:f t="shared" si="519"/>
        <x:v>0</x:v>
      </x:c>
      <x:c r="GU400">
        <x:f t="shared" si="520"/>
        <x:v>0</x:v>
      </x:c>
      <x:c r="GV400">
        <x:f t="shared" si="521"/>
        <x:v>0</x:v>
      </x:c>
      <x:c r="GW400">
        <x:f t="shared" si="522"/>
        <x:v>0</x:v>
      </x:c>
      <x:c r="GX400">
        <x:f t="shared" si="523"/>
        <x:v>0</x:v>
      </x:c>
      <x:c r="GY400">
        <x:f t="shared" si="524"/>
        <x:v>0</x:v>
      </x:c>
      <x:c r="GZ400">
        <x:f t="shared" si="525"/>
        <x:v>0</x:v>
      </x:c>
      <x:c r="HA400">
        <x:f t="shared" si="526"/>
        <x:v>0</x:v>
      </x:c>
      <x:c r="HB400" s="42">
        <x:f t="shared" si="527"/>
        <x:v>0</x:v>
      </x:c>
      <x:c r="HC400">
        <x:f t="shared" si="528"/>
        <x:v>0</x:v>
      </x:c>
      <x:c r="HD400">
        <x:f t="shared" si="529"/>
        <x:v>0</x:v>
      </x:c>
      <x:c r="HE400">
        <x:f t="shared" si="530"/>
        <x:v>0</x:v>
      </x:c>
      <x:c r="HF400">
        <x:f t="shared" si="531"/>
        <x:v>0</x:v>
      </x:c>
      <x:c r="HG400">
        <x:f t="shared" si="532"/>
        <x:v>0</x:v>
      </x:c>
      <x:c r="HH400">
        <x:f t="shared" si="533"/>
        <x:v>0</x:v>
      </x:c>
      <x:c r="HI400">
        <x:f t="shared" si="534"/>
        <x:v>0</x:v>
      </x:c>
      <x:c r="HJ400">
        <x:f t="shared" si="535"/>
        <x:v>0</x:v>
      </x:c>
      <x:c r="HK400">
        <x:f t="shared" si="536"/>
        <x:v>0</x:v>
      </x:c>
      <x:c r="HL400">
        <x:f t="shared" si="537"/>
        <x:v>0</x:v>
      </x:c>
    </x:row>
    <x:row r="401">
      <x:c r="D401" s="74"/>
      <x:c r="EQ401">
        <x:f t="shared" si="464"/>
        <x:v>0</x:v>
      </x:c>
      <x:c r="ER401">
        <x:f t="shared" si="465"/>
        <x:v>0</x:v>
      </x:c>
      <x:c r="ES401">
        <x:f t="shared" si="466"/>
        <x:v>0</x:v>
      </x:c>
      <x:c r="ET401">
        <x:f t="shared" si="467"/>
        <x:v>0</x:v>
      </x:c>
      <x:c r="EU401">
        <x:f t="shared" si="468"/>
        <x:v>0</x:v>
      </x:c>
      <x:c r="EV401">
        <x:f t="shared" si="469"/>
        <x:v>0</x:v>
      </x:c>
      <x:c r="EW401">
        <x:f t="shared" si="470"/>
        <x:v>0</x:v>
      </x:c>
      <x:c r="EX401">
        <x:f t="shared" si="471"/>
        <x:v>0</x:v>
      </x:c>
      <x:c r="EY401">
        <x:f t="shared" si="472"/>
        <x:v>0</x:v>
      </x:c>
      <x:c r="EZ401">
        <x:f t="shared" si="473"/>
        <x:v>0</x:v>
      </x:c>
      <x:c r="FA401" s="41">
        <x:f t="shared" si="474"/>
        <x:v>0</x:v>
      </x:c>
      <x:c r="FB401">
        <x:f t="shared" si="475"/>
        <x:v>0</x:v>
      </x:c>
      <x:c r="FC401">
        <x:f t="shared" si="476"/>
        <x:v>0</x:v>
      </x:c>
      <x:c r="FD401">
        <x:f t="shared" si="477"/>
        <x:v>0</x:v>
      </x:c>
      <x:c r="FE401">
        <x:f t="shared" si="478"/>
        <x:v>0</x:v>
      </x:c>
      <x:c r="FF401">
        <x:f t="shared" si="479"/>
        <x:v>0</x:v>
      </x:c>
      <x:c r="FG401">
        <x:f t="shared" si="480"/>
        <x:v>0</x:v>
      </x:c>
      <x:c r="FH401">
        <x:f t="shared" si="481"/>
        <x:v>0</x:v>
      </x:c>
      <x:c r="FI401">
        <x:f t="shared" si="482"/>
        <x:v>0</x:v>
      </x:c>
      <x:c r="FJ401">
        <x:f t="shared" si="483"/>
        <x:v>0</x:v>
      </x:c>
      <x:c r="FK401">
        <x:f t="shared" si="484"/>
        <x:v>0</x:v>
      </x:c>
      <x:c r="FL401" s="41">
        <x:f t="shared" si="485"/>
        <x:v>0</x:v>
      </x:c>
      <x:c r="FM401">
        <x:f t="shared" si="486"/>
        <x:v>0</x:v>
      </x:c>
      <x:c r="FN401">
        <x:f t="shared" si="487"/>
        <x:v>0</x:v>
      </x:c>
      <x:c r="FO401">
        <x:f t="shared" si="488"/>
        <x:v>0</x:v>
      </x:c>
      <x:c r="FP401">
        <x:f t="shared" si="489"/>
        <x:v>0</x:v>
      </x:c>
      <x:c r="FQ401">
        <x:f t="shared" si="490"/>
        <x:v>0</x:v>
      </x:c>
      <x:c r="FR401">
        <x:f t="shared" si="491"/>
        <x:v>0</x:v>
      </x:c>
      <x:c r="FS401">
        <x:f t="shared" si="492"/>
        <x:v>0</x:v>
      </x:c>
      <x:c r="FT401">
        <x:f t="shared" si="493"/>
        <x:v>0</x:v>
      </x:c>
      <x:c r="FU401">
        <x:f t="shared" si="494"/>
        <x:v>0</x:v>
      </x:c>
      <x:c r="FV401">
        <x:f t="shared" si="495"/>
        <x:v>0</x:v>
      </x:c>
      <x:c r="FW401" s="41">
        <x:f t="shared" si="496"/>
        <x:v>0</x:v>
      </x:c>
      <x:c r="FX401">
        <x:f t="shared" si="497"/>
        <x:v>0</x:v>
      </x:c>
      <x:c r="FY401">
        <x:f t="shared" si="498"/>
        <x:v>0</x:v>
      </x:c>
      <x:c r="FZ401">
        <x:f t="shared" si="499"/>
        <x:v>0</x:v>
      </x:c>
      <x:c r="GA401">
        <x:f t="shared" si="500"/>
        <x:v>0</x:v>
      </x:c>
      <x:c r="GB401">
        <x:f t="shared" si="501"/>
        <x:v>0</x:v>
      </x:c>
      <x:c r="GC401">
        <x:f t="shared" si="502"/>
        <x:v>0</x:v>
      </x:c>
      <x:c r="GD401">
        <x:f t="shared" si="503"/>
        <x:v>0</x:v>
      </x:c>
      <x:c r="GE401">
        <x:f t="shared" si="504"/>
        <x:v>0</x:v>
      </x:c>
      <x:c r="GF401">
        <x:f t="shared" si="505"/>
        <x:v>0</x:v>
      </x:c>
      <x:c r="GG401">
        <x:f t="shared" si="506"/>
        <x:v>0</x:v>
      </x:c>
      <x:c r="GH401">
        <x:f t="shared" si="507"/>
        <x:v>0</x:v>
      </x:c>
      <x:c r="GI401">
        <x:f t="shared" si="508"/>
        <x:v>0</x:v>
      </x:c>
      <x:c r="GJ401">
        <x:f t="shared" si="509"/>
        <x:v>0</x:v>
      </x:c>
      <x:c r="GK401">
        <x:f t="shared" si="510"/>
        <x:v>0</x:v>
      </x:c>
      <x:c r="GL401">
        <x:f t="shared" si="511"/>
        <x:v>0</x:v>
      </x:c>
      <x:c r="GM401">
        <x:f t="shared" si="512"/>
        <x:v>0</x:v>
      </x:c>
      <x:c r="GN401">
        <x:f t="shared" si="513"/>
        <x:v>0</x:v>
      </x:c>
      <x:c r="GO401">
        <x:f t="shared" si="514"/>
        <x:v>0</x:v>
      </x:c>
      <x:c r="GP401">
        <x:f t="shared" si="515"/>
        <x:v>0</x:v>
      </x:c>
      <x:c r="GQ401">
        <x:f t="shared" si="516"/>
        <x:v>0</x:v>
      </x:c>
      <x:c r="GR401" s="42">
        <x:f t="shared" si="517"/>
        <x:v>0</x:v>
      </x:c>
      <x:c r="GS401">
        <x:f t="shared" si="518"/>
        <x:v>0</x:v>
      </x:c>
      <x:c r="GT401">
        <x:f t="shared" si="519"/>
        <x:v>0</x:v>
      </x:c>
      <x:c r="GU401">
        <x:f t="shared" si="520"/>
        <x:v>0</x:v>
      </x:c>
      <x:c r="GV401">
        <x:f t="shared" si="521"/>
        <x:v>0</x:v>
      </x:c>
      <x:c r="GW401">
        <x:f t="shared" si="522"/>
        <x:v>0</x:v>
      </x:c>
      <x:c r="GX401">
        <x:f t="shared" si="523"/>
        <x:v>0</x:v>
      </x:c>
      <x:c r="GY401">
        <x:f t="shared" si="524"/>
        <x:v>0</x:v>
      </x:c>
      <x:c r="GZ401">
        <x:f t="shared" si="525"/>
        <x:v>0</x:v>
      </x:c>
      <x:c r="HA401">
        <x:f t="shared" si="526"/>
        <x:v>0</x:v>
      </x:c>
      <x:c r="HB401" s="42">
        <x:f t="shared" si="527"/>
        <x:v>0</x:v>
      </x:c>
      <x:c r="HC401">
        <x:f t="shared" si="528"/>
        <x:v>0</x:v>
      </x:c>
      <x:c r="HD401">
        <x:f t="shared" si="529"/>
        <x:v>0</x:v>
      </x:c>
      <x:c r="HE401">
        <x:f t="shared" si="530"/>
        <x:v>0</x:v>
      </x:c>
      <x:c r="HF401">
        <x:f t="shared" si="531"/>
        <x:v>0</x:v>
      </x:c>
      <x:c r="HG401">
        <x:f t="shared" si="532"/>
        <x:v>0</x:v>
      </x:c>
      <x:c r="HH401">
        <x:f t="shared" si="533"/>
        <x:v>0</x:v>
      </x:c>
      <x:c r="HI401">
        <x:f t="shared" si="534"/>
        <x:v>0</x:v>
      </x:c>
      <x:c r="HJ401">
        <x:f t="shared" si="535"/>
        <x:v>0</x:v>
      </x:c>
      <x:c r="HK401">
        <x:f t="shared" si="536"/>
        <x:v>0</x:v>
      </x:c>
      <x:c r="HL401">
        <x:f t="shared" si="537"/>
        <x:v>0</x:v>
      </x:c>
    </x:row>
    <x:row r="402">
      <x:c r="D402" s="74"/>
      <x:c r="EQ402">
        <x:f t="shared" si="464"/>
        <x:v>0</x:v>
      </x:c>
      <x:c r="ER402">
        <x:f t="shared" si="465"/>
        <x:v>0</x:v>
      </x:c>
      <x:c r="ES402">
        <x:f t="shared" si="466"/>
        <x:v>0</x:v>
      </x:c>
      <x:c r="ET402">
        <x:f t="shared" si="467"/>
        <x:v>0</x:v>
      </x:c>
      <x:c r="EU402">
        <x:f t="shared" si="468"/>
        <x:v>0</x:v>
      </x:c>
      <x:c r="EV402">
        <x:f t="shared" si="469"/>
        <x:v>0</x:v>
      </x:c>
      <x:c r="EW402">
        <x:f t="shared" si="470"/>
        <x:v>0</x:v>
      </x:c>
      <x:c r="EX402">
        <x:f t="shared" si="471"/>
        <x:v>0</x:v>
      </x:c>
      <x:c r="EY402">
        <x:f t="shared" si="472"/>
        <x:v>0</x:v>
      </x:c>
      <x:c r="EZ402">
        <x:f t="shared" si="473"/>
        <x:v>0</x:v>
      </x:c>
      <x:c r="FA402" s="41">
        <x:f t="shared" si="474"/>
        <x:v>0</x:v>
      </x:c>
      <x:c r="FB402">
        <x:f t="shared" si="475"/>
        <x:v>0</x:v>
      </x:c>
      <x:c r="FC402">
        <x:f t="shared" si="476"/>
        <x:v>0</x:v>
      </x:c>
      <x:c r="FD402">
        <x:f t="shared" si="477"/>
        <x:v>0</x:v>
      </x:c>
      <x:c r="FE402">
        <x:f t="shared" si="478"/>
        <x:v>0</x:v>
      </x:c>
      <x:c r="FF402">
        <x:f t="shared" si="479"/>
        <x:v>0</x:v>
      </x:c>
      <x:c r="FG402">
        <x:f t="shared" si="480"/>
        <x:v>0</x:v>
      </x:c>
      <x:c r="FH402">
        <x:f t="shared" si="481"/>
        <x:v>0</x:v>
      </x:c>
      <x:c r="FI402">
        <x:f t="shared" si="482"/>
        <x:v>0</x:v>
      </x:c>
      <x:c r="FJ402">
        <x:f t="shared" si="483"/>
        <x:v>0</x:v>
      </x:c>
      <x:c r="FK402">
        <x:f t="shared" si="484"/>
        <x:v>0</x:v>
      </x:c>
      <x:c r="FL402" s="41">
        <x:f t="shared" si="485"/>
        <x:v>0</x:v>
      </x:c>
      <x:c r="FM402">
        <x:f t="shared" si="486"/>
        <x:v>0</x:v>
      </x:c>
      <x:c r="FN402">
        <x:f t="shared" si="487"/>
        <x:v>0</x:v>
      </x:c>
      <x:c r="FO402">
        <x:f t="shared" si="488"/>
        <x:v>0</x:v>
      </x:c>
      <x:c r="FP402">
        <x:f t="shared" si="489"/>
        <x:v>0</x:v>
      </x:c>
      <x:c r="FQ402">
        <x:f t="shared" si="490"/>
        <x:v>0</x:v>
      </x:c>
      <x:c r="FR402">
        <x:f t="shared" si="491"/>
        <x:v>0</x:v>
      </x:c>
      <x:c r="FS402">
        <x:f t="shared" si="492"/>
        <x:v>0</x:v>
      </x:c>
      <x:c r="FT402">
        <x:f t="shared" si="493"/>
        <x:v>0</x:v>
      </x:c>
      <x:c r="FU402">
        <x:f t="shared" si="494"/>
        <x:v>0</x:v>
      </x:c>
      <x:c r="FV402">
        <x:f t="shared" si="495"/>
        <x:v>0</x:v>
      </x:c>
      <x:c r="FW402" s="41">
        <x:f t="shared" si="496"/>
        <x:v>0</x:v>
      </x:c>
      <x:c r="FX402">
        <x:f t="shared" si="497"/>
        <x:v>0</x:v>
      </x:c>
      <x:c r="FY402">
        <x:f t="shared" si="498"/>
        <x:v>0</x:v>
      </x:c>
      <x:c r="FZ402">
        <x:f t="shared" si="499"/>
        <x:v>0</x:v>
      </x:c>
      <x:c r="GA402">
        <x:f t="shared" si="500"/>
        <x:v>0</x:v>
      </x:c>
      <x:c r="GB402">
        <x:f t="shared" si="501"/>
        <x:v>0</x:v>
      </x:c>
      <x:c r="GC402">
        <x:f t="shared" si="502"/>
        <x:v>0</x:v>
      </x:c>
      <x:c r="GD402">
        <x:f t="shared" si="503"/>
        <x:v>0</x:v>
      </x:c>
      <x:c r="GE402">
        <x:f t="shared" si="504"/>
        <x:v>0</x:v>
      </x:c>
      <x:c r="GF402">
        <x:f t="shared" si="505"/>
        <x:v>0</x:v>
      </x:c>
      <x:c r="GG402">
        <x:f t="shared" si="506"/>
        <x:v>0</x:v>
      </x:c>
      <x:c r="GH402">
        <x:f t="shared" si="507"/>
        <x:v>0</x:v>
      </x:c>
      <x:c r="GI402">
        <x:f t="shared" si="508"/>
        <x:v>0</x:v>
      </x:c>
      <x:c r="GJ402">
        <x:f t="shared" si="509"/>
        <x:v>0</x:v>
      </x:c>
      <x:c r="GK402">
        <x:f t="shared" si="510"/>
        <x:v>0</x:v>
      </x:c>
      <x:c r="GL402">
        <x:f t="shared" si="511"/>
        <x:v>0</x:v>
      </x:c>
      <x:c r="GM402">
        <x:f t="shared" si="512"/>
        <x:v>0</x:v>
      </x:c>
      <x:c r="GN402">
        <x:f t="shared" si="513"/>
        <x:v>0</x:v>
      </x:c>
      <x:c r="GO402">
        <x:f t="shared" si="514"/>
        <x:v>0</x:v>
      </x:c>
      <x:c r="GP402">
        <x:f t="shared" si="515"/>
        <x:v>0</x:v>
      </x:c>
      <x:c r="GQ402">
        <x:f t="shared" si="516"/>
        <x:v>0</x:v>
      </x:c>
      <x:c r="GR402" s="42">
        <x:f t="shared" si="517"/>
        <x:v>0</x:v>
      </x:c>
      <x:c r="GS402">
        <x:f t="shared" si="518"/>
        <x:v>0</x:v>
      </x:c>
      <x:c r="GT402">
        <x:f t="shared" si="519"/>
        <x:v>0</x:v>
      </x:c>
      <x:c r="GU402">
        <x:f t="shared" si="520"/>
        <x:v>0</x:v>
      </x:c>
      <x:c r="GV402">
        <x:f t="shared" si="521"/>
        <x:v>0</x:v>
      </x:c>
      <x:c r="GW402">
        <x:f t="shared" si="522"/>
        <x:v>0</x:v>
      </x:c>
      <x:c r="GX402">
        <x:f t="shared" si="523"/>
        <x:v>0</x:v>
      </x:c>
      <x:c r="GY402">
        <x:f t="shared" si="524"/>
        <x:v>0</x:v>
      </x:c>
      <x:c r="GZ402">
        <x:f t="shared" si="525"/>
        <x:v>0</x:v>
      </x:c>
      <x:c r="HA402">
        <x:f t="shared" si="526"/>
        <x:v>0</x:v>
      </x:c>
      <x:c r="HB402" s="42">
        <x:f t="shared" si="527"/>
        <x:v>0</x:v>
      </x:c>
      <x:c r="HC402">
        <x:f t="shared" si="528"/>
        <x:v>0</x:v>
      </x:c>
      <x:c r="HD402">
        <x:f t="shared" si="529"/>
        <x:v>0</x:v>
      </x:c>
      <x:c r="HE402">
        <x:f t="shared" si="530"/>
        <x:v>0</x:v>
      </x:c>
      <x:c r="HF402">
        <x:f t="shared" si="531"/>
        <x:v>0</x:v>
      </x:c>
      <x:c r="HG402">
        <x:f t="shared" si="532"/>
        <x:v>0</x:v>
      </x:c>
      <x:c r="HH402">
        <x:f t="shared" si="533"/>
        <x:v>0</x:v>
      </x:c>
      <x:c r="HI402">
        <x:f t="shared" si="534"/>
        <x:v>0</x:v>
      </x:c>
      <x:c r="HJ402">
        <x:f t="shared" si="535"/>
        <x:v>0</x:v>
      </x:c>
      <x:c r="HK402">
        <x:f t="shared" si="536"/>
        <x:v>0</x:v>
      </x:c>
      <x:c r="HL402">
        <x:f t="shared" si="537"/>
        <x:v>0</x:v>
      </x:c>
    </x:row>
    <x:row r="403">
      <x:c r="D403" s="74"/>
      <x:c r="EQ403">
        <x:f t="shared" si="464"/>
        <x:v>0</x:v>
      </x:c>
      <x:c r="ER403">
        <x:f t="shared" si="465"/>
        <x:v>0</x:v>
      </x:c>
      <x:c r="ES403">
        <x:f t="shared" si="466"/>
        <x:v>0</x:v>
      </x:c>
      <x:c r="ET403">
        <x:f t="shared" si="467"/>
        <x:v>0</x:v>
      </x:c>
      <x:c r="EU403">
        <x:f t="shared" si="468"/>
        <x:v>0</x:v>
      </x:c>
      <x:c r="EV403">
        <x:f t="shared" si="469"/>
        <x:v>0</x:v>
      </x:c>
      <x:c r="EW403">
        <x:f t="shared" si="470"/>
        <x:v>0</x:v>
      </x:c>
      <x:c r="EX403">
        <x:f t="shared" si="471"/>
        <x:v>0</x:v>
      </x:c>
      <x:c r="EY403">
        <x:f t="shared" si="472"/>
        <x:v>0</x:v>
      </x:c>
      <x:c r="EZ403">
        <x:f t="shared" si="473"/>
        <x:v>0</x:v>
      </x:c>
      <x:c r="FA403" s="41">
        <x:f t="shared" si="474"/>
        <x:v>0</x:v>
      </x:c>
      <x:c r="FB403">
        <x:f t="shared" si="475"/>
        <x:v>0</x:v>
      </x:c>
      <x:c r="FC403">
        <x:f t="shared" si="476"/>
        <x:v>0</x:v>
      </x:c>
      <x:c r="FD403">
        <x:f t="shared" si="477"/>
        <x:v>0</x:v>
      </x:c>
      <x:c r="FE403">
        <x:f t="shared" si="478"/>
        <x:v>0</x:v>
      </x:c>
      <x:c r="FF403">
        <x:f t="shared" si="479"/>
        <x:v>0</x:v>
      </x:c>
      <x:c r="FG403">
        <x:f t="shared" si="480"/>
        <x:v>0</x:v>
      </x:c>
      <x:c r="FH403">
        <x:f t="shared" si="481"/>
        <x:v>0</x:v>
      </x:c>
      <x:c r="FI403">
        <x:f t="shared" si="482"/>
        <x:v>0</x:v>
      </x:c>
      <x:c r="FJ403">
        <x:f t="shared" si="483"/>
        <x:v>0</x:v>
      </x:c>
      <x:c r="FK403">
        <x:f t="shared" si="484"/>
        <x:v>0</x:v>
      </x:c>
      <x:c r="FL403" s="41">
        <x:f t="shared" si="485"/>
        <x:v>0</x:v>
      </x:c>
      <x:c r="FM403">
        <x:f t="shared" si="486"/>
        <x:v>0</x:v>
      </x:c>
      <x:c r="FN403">
        <x:f t="shared" si="487"/>
        <x:v>0</x:v>
      </x:c>
      <x:c r="FO403">
        <x:f t="shared" si="488"/>
        <x:v>0</x:v>
      </x:c>
      <x:c r="FP403">
        <x:f t="shared" si="489"/>
        <x:v>0</x:v>
      </x:c>
      <x:c r="FQ403">
        <x:f t="shared" si="490"/>
        <x:v>0</x:v>
      </x:c>
      <x:c r="FR403">
        <x:f t="shared" si="491"/>
        <x:v>0</x:v>
      </x:c>
      <x:c r="FS403">
        <x:f t="shared" si="492"/>
        <x:v>0</x:v>
      </x:c>
      <x:c r="FT403">
        <x:f t="shared" si="493"/>
        <x:v>0</x:v>
      </x:c>
      <x:c r="FU403">
        <x:f t="shared" si="494"/>
        <x:v>0</x:v>
      </x:c>
      <x:c r="FV403">
        <x:f t="shared" si="495"/>
        <x:v>0</x:v>
      </x:c>
      <x:c r="FW403" s="41">
        <x:f t="shared" si="496"/>
        <x:v>0</x:v>
      </x:c>
      <x:c r="FX403">
        <x:f t="shared" si="497"/>
        <x:v>0</x:v>
      </x:c>
      <x:c r="FY403">
        <x:f t="shared" si="498"/>
        <x:v>0</x:v>
      </x:c>
      <x:c r="FZ403">
        <x:f t="shared" si="499"/>
        <x:v>0</x:v>
      </x:c>
      <x:c r="GA403">
        <x:f t="shared" si="500"/>
        <x:v>0</x:v>
      </x:c>
      <x:c r="GB403">
        <x:f t="shared" si="501"/>
        <x:v>0</x:v>
      </x:c>
      <x:c r="GC403">
        <x:f t="shared" si="502"/>
        <x:v>0</x:v>
      </x:c>
      <x:c r="GD403">
        <x:f t="shared" si="503"/>
        <x:v>0</x:v>
      </x:c>
      <x:c r="GE403">
        <x:f t="shared" si="504"/>
        <x:v>0</x:v>
      </x:c>
      <x:c r="GF403">
        <x:f t="shared" si="505"/>
        <x:v>0</x:v>
      </x:c>
      <x:c r="GG403">
        <x:f t="shared" si="506"/>
        <x:v>0</x:v>
      </x:c>
      <x:c r="GH403">
        <x:f t="shared" si="507"/>
        <x:v>0</x:v>
      </x:c>
      <x:c r="GI403">
        <x:f t="shared" si="508"/>
        <x:v>0</x:v>
      </x:c>
      <x:c r="GJ403">
        <x:f t="shared" si="509"/>
        <x:v>0</x:v>
      </x:c>
      <x:c r="GK403">
        <x:f t="shared" si="510"/>
        <x:v>0</x:v>
      </x:c>
      <x:c r="GL403">
        <x:f t="shared" si="511"/>
        <x:v>0</x:v>
      </x:c>
      <x:c r="GM403">
        <x:f t="shared" si="512"/>
        <x:v>0</x:v>
      </x:c>
      <x:c r="GN403">
        <x:f t="shared" si="513"/>
        <x:v>0</x:v>
      </x:c>
      <x:c r="GO403">
        <x:f t="shared" si="514"/>
        <x:v>0</x:v>
      </x:c>
      <x:c r="GP403">
        <x:f t="shared" si="515"/>
        <x:v>0</x:v>
      </x:c>
      <x:c r="GQ403">
        <x:f t="shared" si="516"/>
        <x:v>0</x:v>
      </x:c>
      <x:c r="GR403" s="42">
        <x:f t="shared" si="517"/>
        <x:v>0</x:v>
      </x:c>
      <x:c r="GS403">
        <x:f t="shared" si="518"/>
        <x:v>0</x:v>
      </x:c>
      <x:c r="GT403">
        <x:f t="shared" si="519"/>
        <x:v>0</x:v>
      </x:c>
      <x:c r="GU403">
        <x:f t="shared" si="520"/>
        <x:v>0</x:v>
      </x:c>
      <x:c r="GV403">
        <x:f t="shared" si="521"/>
        <x:v>0</x:v>
      </x:c>
      <x:c r="GW403">
        <x:f t="shared" si="522"/>
        <x:v>0</x:v>
      </x:c>
      <x:c r="GX403">
        <x:f t="shared" si="523"/>
        <x:v>0</x:v>
      </x:c>
      <x:c r="GY403">
        <x:f t="shared" si="524"/>
        <x:v>0</x:v>
      </x:c>
      <x:c r="GZ403">
        <x:f t="shared" si="525"/>
        <x:v>0</x:v>
      </x:c>
      <x:c r="HA403">
        <x:f t="shared" si="526"/>
        <x:v>0</x:v>
      </x:c>
      <x:c r="HB403" s="42">
        <x:f t="shared" si="527"/>
        <x:v>0</x:v>
      </x:c>
      <x:c r="HC403">
        <x:f t="shared" si="528"/>
        <x:v>0</x:v>
      </x:c>
      <x:c r="HD403">
        <x:f t="shared" si="529"/>
        <x:v>0</x:v>
      </x:c>
      <x:c r="HE403">
        <x:f t="shared" si="530"/>
        <x:v>0</x:v>
      </x:c>
      <x:c r="HF403">
        <x:f t="shared" si="531"/>
        <x:v>0</x:v>
      </x:c>
      <x:c r="HG403">
        <x:f t="shared" si="532"/>
        <x:v>0</x:v>
      </x:c>
      <x:c r="HH403">
        <x:f t="shared" si="533"/>
        <x:v>0</x:v>
      </x:c>
      <x:c r="HI403">
        <x:f t="shared" si="534"/>
        <x:v>0</x:v>
      </x:c>
      <x:c r="HJ403">
        <x:f t="shared" si="535"/>
        <x:v>0</x:v>
      </x:c>
      <x:c r="HK403">
        <x:f t="shared" si="536"/>
        <x:v>0</x:v>
      </x:c>
      <x:c r="HL403">
        <x:f t="shared" si="537"/>
        <x:v>0</x:v>
      </x:c>
    </x:row>
    <x:row r="404">
      <x:c r="D404" s="74"/>
      <x:c r="EQ404">
        <x:f t="shared" si="464"/>
        <x:v>0</x:v>
      </x:c>
      <x:c r="ER404">
        <x:f t="shared" si="465"/>
        <x:v>0</x:v>
      </x:c>
      <x:c r="ES404">
        <x:f t="shared" si="466"/>
        <x:v>0</x:v>
      </x:c>
      <x:c r="ET404">
        <x:f t="shared" si="467"/>
        <x:v>0</x:v>
      </x:c>
      <x:c r="EU404">
        <x:f t="shared" si="468"/>
        <x:v>0</x:v>
      </x:c>
      <x:c r="EV404">
        <x:f t="shared" si="469"/>
        <x:v>0</x:v>
      </x:c>
      <x:c r="EW404">
        <x:f t="shared" si="470"/>
        <x:v>0</x:v>
      </x:c>
      <x:c r="EX404">
        <x:f t="shared" si="471"/>
        <x:v>0</x:v>
      </x:c>
      <x:c r="EY404">
        <x:f t="shared" si="472"/>
        <x:v>0</x:v>
      </x:c>
      <x:c r="EZ404">
        <x:f t="shared" si="473"/>
        <x:v>0</x:v>
      </x:c>
      <x:c r="FA404" s="41">
        <x:f t="shared" si="474"/>
        <x:v>0</x:v>
      </x:c>
      <x:c r="FB404">
        <x:f t="shared" si="475"/>
        <x:v>0</x:v>
      </x:c>
      <x:c r="FC404">
        <x:f t="shared" si="476"/>
        <x:v>0</x:v>
      </x:c>
      <x:c r="FD404">
        <x:f t="shared" si="477"/>
        <x:v>0</x:v>
      </x:c>
      <x:c r="FE404">
        <x:f t="shared" si="478"/>
        <x:v>0</x:v>
      </x:c>
      <x:c r="FF404">
        <x:f t="shared" si="479"/>
        <x:v>0</x:v>
      </x:c>
      <x:c r="FG404">
        <x:f t="shared" si="480"/>
        <x:v>0</x:v>
      </x:c>
      <x:c r="FH404">
        <x:f t="shared" si="481"/>
        <x:v>0</x:v>
      </x:c>
      <x:c r="FI404">
        <x:f t="shared" si="482"/>
        <x:v>0</x:v>
      </x:c>
      <x:c r="FJ404">
        <x:f t="shared" si="483"/>
        <x:v>0</x:v>
      </x:c>
      <x:c r="FK404">
        <x:f t="shared" si="484"/>
        <x:v>0</x:v>
      </x:c>
      <x:c r="FL404" s="41">
        <x:f t="shared" si="485"/>
        <x:v>0</x:v>
      </x:c>
      <x:c r="FM404">
        <x:f t="shared" si="486"/>
        <x:v>0</x:v>
      </x:c>
      <x:c r="FN404">
        <x:f t="shared" si="487"/>
        <x:v>0</x:v>
      </x:c>
      <x:c r="FO404">
        <x:f t="shared" si="488"/>
        <x:v>0</x:v>
      </x:c>
      <x:c r="FP404">
        <x:f t="shared" si="489"/>
        <x:v>0</x:v>
      </x:c>
      <x:c r="FQ404">
        <x:f t="shared" si="490"/>
        <x:v>0</x:v>
      </x:c>
      <x:c r="FR404">
        <x:f t="shared" si="491"/>
        <x:v>0</x:v>
      </x:c>
      <x:c r="FS404">
        <x:f t="shared" si="492"/>
        <x:v>0</x:v>
      </x:c>
      <x:c r="FT404">
        <x:f t="shared" si="493"/>
        <x:v>0</x:v>
      </x:c>
      <x:c r="FU404">
        <x:f t="shared" si="494"/>
        <x:v>0</x:v>
      </x:c>
      <x:c r="FV404">
        <x:f t="shared" si="495"/>
        <x:v>0</x:v>
      </x:c>
      <x:c r="FW404" s="41">
        <x:f t="shared" si="496"/>
        <x:v>0</x:v>
      </x:c>
      <x:c r="FX404">
        <x:f t="shared" si="497"/>
        <x:v>0</x:v>
      </x:c>
      <x:c r="FY404">
        <x:f t="shared" si="498"/>
        <x:v>0</x:v>
      </x:c>
      <x:c r="FZ404">
        <x:f t="shared" si="499"/>
        <x:v>0</x:v>
      </x:c>
      <x:c r="GA404">
        <x:f t="shared" si="500"/>
        <x:v>0</x:v>
      </x:c>
      <x:c r="GB404">
        <x:f t="shared" si="501"/>
        <x:v>0</x:v>
      </x:c>
      <x:c r="GC404">
        <x:f t="shared" si="502"/>
        <x:v>0</x:v>
      </x:c>
      <x:c r="GD404">
        <x:f t="shared" si="503"/>
        <x:v>0</x:v>
      </x:c>
      <x:c r="GE404">
        <x:f t="shared" si="504"/>
        <x:v>0</x:v>
      </x:c>
      <x:c r="GF404">
        <x:f t="shared" si="505"/>
        <x:v>0</x:v>
      </x:c>
      <x:c r="GG404">
        <x:f t="shared" si="506"/>
        <x:v>0</x:v>
      </x:c>
      <x:c r="GH404">
        <x:f t="shared" si="507"/>
        <x:v>0</x:v>
      </x:c>
      <x:c r="GI404">
        <x:f t="shared" si="508"/>
        <x:v>0</x:v>
      </x:c>
      <x:c r="GJ404">
        <x:f t="shared" si="509"/>
        <x:v>0</x:v>
      </x:c>
      <x:c r="GK404">
        <x:f t="shared" si="510"/>
        <x:v>0</x:v>
      </x:c>
      <x:c r="GL404">
        <x:f t="shared" si="511"/>
        <x:v>0</x:v>
      </x:c>
      <x:c r="GM404">
        <x:f t="shared" si="512"/>
        <x:v>0</x:v>
      </x:c>
      <x:c r="GN404">
        <x:f t="shared" si="513"/>
        <x:v>0</x:v>
      </x:c>
      <x:c r="GO404">
        <x:f t="shared" si="514"/>
        <x:v>0</x:v>
      </x:c>
      <x:c r="GP404">
        <x:f t="shared" si="515"/>
        <x:v>0</x:v>
      </x:c>
      <x:c r="GQ404">
        <x:f t="shared" si="516"/>
        <x:v>0</x:v>
      </x:c>
      <x:c r="GR404" s="42">
        <x:f t="shared" si="517"/>
        <x:v>0</x:v>
      </x:c>
      <x:c r="GS404">
        <x:f t="shared" si="518"/>
        <x:v>0</x:v>
      </x:c>
      <x:c r="GT404">
        <x:f t="shared" si="519"/>
        <x:v>0</x:v>
      </x:c>
      <x:c r="GU404">
        <x:f t="shared" si="520"/>
        <x:v>0</x:v>
      </x:c>
      <x:c r="GV404">
        <x:f t="shared" si="521"/>
        <x:v>0</x:v>
      </x:c>
      <x:c r="GW404">
        <x:f t="shared" si="522"/>
        <x:v>0</x:v>
      </x:c>
      <x:c r="GX404">
        <x:f t="shared" si="523"/>
        <x:v>0</x:v>
      </x:c>
      <x:c r="GY404">
        <x:f t="shared" si="524"/>
        <x:v>0</x:v>
      </x:c>
      <x:c r="GZ404">
        <x:f t="shared" si="525"/>
        <x:v>0</x:v>
      </x:c>
      <x:c r="HA404">
        <x:f t="shared" si="526"/>
        <x:v>0</x:v>
      </x:c>
      <x:c r="HB404" s="42">
        <x:f t="shared" si="527"/>
        <x:v>0</x:v>
      </x:c>
      <x:c r="HC404">
        <x:f t="shared" si="528"/>
        <x:v>0</x:v>
      </x:c>
      <x:c r="HD404">
        <x:f t="shared" si="529"/>
        <x:v>0</x:v>
      </x:c>
      <x:c r="HE404">
        <x:f t="shared" si="530"/>
        <x:v>0</x:v>
      </x:c>
      <x:c r="HF404">
        <x:f t="shared" si="531"/>
        <x:v>0</x:v>
      </x:c>
      <x:c r="HG404">
        <x:f t="shared" si="532"/>
        <x:v>0</x:v>
      </x:c>
      <x:c r="HH404">
        <x:f t="shared" si="533"/>
        <x:v>0</x:v>
      </x:c>
      <x:c r="HI404">
        <x:f t="shared" si="534"/>
        <x:v>0</x:v>
      </x:c>
      <x:c r="HJ404">
        <x:f t="shared" si="535"/>
        <x:v>0</x:v>
      </x:c>
      <x:c r="HK404">
        <x:f t="shared" si="536"/>
        <x:v>0</x:v>
      </x:c>
      <x:c r="HL404">
        <x:f t="shared" si="537"/>
        <x:v>0</x:v>
      </x:c>
    </x:row>
    <x:row r="405">
      <x:c r="D405" s="74"/>
      <x:c r="EQ405">
        <x:f t="shared" si="464"/>
        <x:v>0</x:v>
      </x:c>
      <x:c r="ER405">
        <x:f t="shared" si="465"/>
        <x:v>0</x:v>
      </x:c>
      <x:c r="ES405">
        <x:f t="shared" si="466"/>
        <x:v>0</x:v>
      </x:c>
      <x:c r="ET405">
        <x:f t="shared" si="467"/>
        <x:v>0</x:v>
      </x:c>
      <x:c r="EU405">
        <x:f t="shared" si="468"/>
        <x:v>0</x:v>
      </x:c>
      <x:c r="EV405">
        <x:f t="shared" si="469"/>
        <x:v>0</x:v>
      </x:c>
      <x:c r="EW405">
        <x:f t="shared" si="470"/>
        <x:v>0</x:v>
      </x:c>
      <x:c r="EX405">
        <x:f t="shared" si="471"/>
        <x:v>0</x:v>
      </x:c>
      <x:c r="EY405">
        <x:f t="shared" si="472"/>
        <x:v>0</x:v>
      </x:c>
      <x:c r="EZ405">
        <x:f t="shared" si="473"/>
        <x:v>0</x:v>
      </x:c>
      <x:c r="FA405" s="41">
        <x:f t="shared" si="474"/>
        <x:v>0</x:v>
      </x:c>
      <x:c r="FB405">
        <x:f t="shared" si="475"/>
        <x:v>0</x:v>
      </x:c>
      <x:c r="FC405">
        <x:f t="shared" si="476"/>
        <x:v>0</x:v>
      </x:c>
      <x:c r="FD405">
        <x:f t="shared" si="477"/>
        <x:v>0</x:v>
      </x:c>
      <x:c r="FE405">
        <x:f t="shared" si="478"/>
        <x:v>0</x:v>
      </x:c>
      <x:c r="FF405">
        <x:f t="shared" si="479"/>
        <x:v>0</x:v>
      </x:c>
      <x:c r="FG405">
        <x:f t="shared" si="480"/>
        <x:v>0</x:v>
      </x:c>
      <x:c r="FH405">
        <x:f t="shared" si="481"/>
        <x:v>0</x:v>
      </x:c>
      <x:c r="FI405">
        <x:f t="shared" si="482"/>
        <x:v>0</x:v>
      </x:c>
      <x:c r="FJ405">
        <x:f t="shared" si="483"/>
        <x:v>0</x:v>
      </x:c>
      <x:c r="FK405">
        <x:f t="shared" si="484"/>
        <x:v>0</x:v>
      </x:c>
      <x:c r="FL405" s="41">
        <x:f t="shared" si="485"/>
        <x:v>0</x:v>
      </x:c>
      <x:c r="FM405">
        <x:f t="shared" si="486"/>
        <x:v>0</x:v>
      </x:c>
      <x:c r="FN405">
        <x:f t="shared" si="487"/>
        <x:v>0</x:v>
      </x:c>
      <x:c r="FO405">
        <x:f t="shared" si="488"/>
        <x:v>0</x:v>
      </x:c>
      <x:c r="FP405">
        <x:f t="shared" si="489"/>
        <x:v>0</x:v>
      </x:c>
      <x:c r="FQ405">
        <x:f t="shared" si="490"/>
        <x:v>0</x:v>
      </x:c>
      <x:c r="FR405">
        <x:f t="shared" si="491"/>
        <x:v>0</x:v>
      </x:c>
      <x:c r="FS405">
        <x:f t="shared" si="492"/>
        <x:v>0</x:v>
      </x:c>
      <x:c r="FT405">
        <x:f t="shared" si="493"/>
        <x:v>0</x:v>
      </x:c>
      <x:c r="FU405">
        <x:f t="shared" si="494"/>
        <x:v>0</x:v>
      </x:c>
      <x:c r="FV405">
        <x:f t="shared" si="495"/>
        <x:v>0</x:v>
      </x:c>
      <x:c r="FW405" s="41">
        <x:f t="shared" si="496"/>
        <x:v>0</x:v>
      </x:c>
      <x:c r="FX405">
        <x:f t="shared" si="497"/>
        <x:v>0</x:v>
      </x:c>
      <x:c r="FY405">
        <x:f t="shared" si="498"/>
        <x:v>0</x:v>
      </x:c>
      <x:c r="FZ405">
        <x:f t="shared" si="499"/>
        <x:v>0</x:v>
      </x:c>
      <x:c r="GA405">
        <x:f t="shared" si="500"/>
        <x:v>0</x:v>
      </x:c>
      <x:c r="GB405">
        <x:f t="shared" si="501"/>
        <x:v>0</x:v>
      </x:c>
      <x:c r="GC405">
        <x:f t="shared" si="502"/>
        <x:v>0</x:v>
      </x:c>
      <x:c r="GD405">
        <x:f t="shared" si="503"/>
        <x:v>0</x:v>
      </x:c>
      <x:c r="GE405">
        <x:f t="shared" si="504"/>
        <x:v>0</x:v>
      </x:c>
      <x:c r="GF405">
        <x:f t="shared" si="505"/>
        <x:v>0</x:v>
      </x:c>
      <x:c r="GG405">
        <x:f t="shared" si="506"/>
        <x:v>0</x:v>
      </x:c>
      <x:c r="GH405">
        <x:f t="shared" si="507"/>
        <x:v>0</x:v>
      </x:c>
      <x:c r="GI405">
        <x:f t="shared" si="508"/>
        <x:v>0</x:v>
      </x:c>
      <x:c r="GJ405">
        <x:f t="shared" si="509"/>
        <x:v>0</x:v>
      </x:c>
      <x:c r="GK405">
        <x:f t="shared" si="510"/>
        <x:v>0</x:v>
      </x:c>
      <x:c r="GL405">
        <x:f t="shared" si="511"/>
        <x:v>0</x:v>
      </x:c>
      <x:c r="GM405">
        <x:f t="shared" si="512"/>
        <x:v>0</x:v>
      </x:c>
      <x:c r="GN405">
        <x:f t="shared" si="513"/>
        <x:v>0</x:v>
      </x:c>
      <x:c r="GO405">
        <x:f t="shared" si="514"/>
        <x:v>0</x:v>
      </x:c>
      <x:c r="GP405">
        <x:f t="shared" si="515"/>
        <x:v>0</x:v>
      </x:c>
      <x:c r="GQ405">
        <x:f t="shared" si="516"/>
        <x:v>0</x:v>
      </x:c>
      <x:c r="GR405" s="42">
        <x:f t="shared" si="517"/>
        <x:v>0</x:v>
      </x:c>
      <x:c r="GS405">
        <x:f t="shared" si="518"/>
        <x:v>0</x:v>
      </x:c>
      <x:c r="GT405">
        <x:f t="shared" si="519"/>
        <x:v>0</x:v>
      </x:c>
      <x:c r="GU405">
        <x:f t="shared" si="520"/>
        <x:v>0</x:v>
      </x:c>
      <x:c r="GV405">
        <x:f t="shared" si="521"/>
        <x:v>0</x:v>
      </x:c>
      <x:c r="GW405">
        <x:f t="shared" si="522"/>
        <x:v>0</x:v>
      </x:c>
      <x:c r="GX405">
        <x:f t="shared" si="523"/>
        <x:v>0</x:v>
      </x:c>
      <x:c r="GY405">
        <x:f t="shared" si="524"/>
        <x:v>0</x:v>
      </x:c>
      <x:c r="GZ405">
        <x:f t="shared" si="525"/>
        <x:v>0</x:v>
      </x:c>
      <x:c r="HA405">
        <x:f t="shared" si="526"/>
        <x:v>0</x:v>
      </x:c>
      <x:c r="HB405" s="42">
        <x:f t="shared" si="527"/>
        <x:v>0</x:v>
      </x:c>
      <x:c r="HC405">
        <x:f t="shared" si="528"/>
        <x:v>0</x:v>
      </x:c>
      <x:c r="HD405">
        <x:f t="shared" si="529"/>
        <x:v>0</x:v>
      </x:c>
      <x:c r="HE405">
        <x:f t="shared" si="530"/>
        <x:v>0</x:v>
      </x:c>
      <x:c r="HF405">
        <x:f t="shared" si="531"/>
        <x:v>0</x:v>
      </x:c>
      <x:c r="HG405">
        <x:f t="shared" si="532"/>
        <x:v>0</x:v>
      </x:c>
      <x:c r="HH405">
        <x:f t="shared" si="533"/>
        <x:v>0</x:v>
      </x:c>
      <x:c r="HI405">
        <x:f t="shared" si="534"/>
        <x:v>0</x:v>
      </x:c>
      <x:c r="HJ405">
        <x:f t="shared" si="535"/>
        <x:v>0</x:v>
      </x:c>
      <x:c r="HK405">
        <x:f t="shared" si="536"/>
        <x:v>0</x:v>
      </x:c>
      <x:c r="HL405">
        <x:f t="shared" si="537"/>
        <x:v>0</x:v>
      </x:c>
    </x:row>
    <x:row r="406">
      <x:c r="D406" s="74"/>
      <x:c r="EQ406">
        <x:f t="shared" si="464"/>
        <x:v>0</x:v>
      </x:c>
      <x:c r="ER406">
        <x:f t="shared" si="465"/>
        <x:v>0</x:v>
      </x:c>
      <x:c r="ES406">
        <x:f t="shared" si="466"/>
        <x:v>0</x:v>
      </x:c>
      <x:c r="ET406">
        <x:f t="shared" si="467"/>
        <x:v>0</x:v>
      </x:c>
      <x:c r="EU406">
        <x:f t="shared" si="468"/>
        <x:v>0</x:v>
      </x:c>
      <x:c r="EV406">
        <x:f t="shared" si="469"/>
        <x:v>0</x:v>
      </x:c>
      <x:c r="EW406">
        <x:f t="shared" si="470"/>
        <x:v>0</x:v>
      </x:c>
      <x:c r="EX406">
        <x:f t="shared" si="471"/>
        <x:v>0</x:v>
      </x:c>
      <x:c r="EY406">
        <x:f t="shared" si="472"/>
        <x:v>0</x:v>
      </x:c>
      <x:c r="EZ406">
        <x:f t="shared" si="473"/>
        <x:v>0</x:v>
      </x:c>
      <x:c r="FA406" s="41">
        <x:f t="shared" si="474"/>
        <x:v>0</x:v>
      </x:c>
      <x:c r="FB406">
        <x:f t="shared" si="475"/>
        <x:v>0</x:v>
      </x:c>
      <x:c r="FC406">
        <x:f t="shared" si="476"/>
        <x:v>0</x:v>
      </x:c>
      <x:c r="FD406">
        <x:f t="shared" si="477"/>
        <x:v>0</x:v>
      </x:c>
      <x:c r="FE406">
        <x:f t="shared" si="478"/>
        <x:v>0</x:v>
      </x:c>
      <x:c r="FF406">
        <x:f t="shared" si="479"/>
        <x:v>0</x:v>
      </x:c>
      <x:c r="FG406">
        <x:f t="shared" si="480"/>
        <x:v>0</x:v>
      </x:c>
      <x:c r="FH406">
        <x:f t="shared" si="481"/>
        <x:v>0</x:v>
      </x:c>
      <x:c r="FI406">
        <x:f t="shared" si="482"/>
        <x:v>0</x:v>
      </x:c>
      <x:c r="FJ406">
        <x:f t="shared" si="483"/>
        <x:v>0</x:v>
      </x:c>
      <x:c r="FK406">
        <x:f t="shared" si="484"/>
        <x:v>0</x:v>
      </x:c>
      <x:c r="FL406" s="41">
        <x:f t="shared" si="485"/>
        <x:v>0</x:v>
      </x:c>
      <x:c r="FM406">
        <x:f t="shared" si="486"/>
        <x:v>0</x:v>
      </x:c>
      <x:c r="FN406">
        <x:f t="shared" si="487"/>
        <x:v>0</x:v>
      </x:c>
      <x:c r="FO406">
        <x:f t="shared" si="488"/>
        <x:v>0</x:v>
      </x:c>
      <x:c r="FP406">
        <x:f t="shared" si="489"/>
        <x:v>0</x:v>
      </x:c>
      <x:c r="FQ406">
        <x:f t="shared" si="490"/>
        <x:v>0</x:v>
      </x:c>
      <x:c r="FR406">
        <x:f t="shared" si="491"/>
        <x:v>0</x:v>
      </x:c>
      <x:c r="FS406">
        <x:f t="shared" si="492"/>
        <x:v>0</x:v>
      </x:c>
      <x:c r="FT406">
        <x:f t="shared" si="493"/>
        <x:v>0</x:v>
      </x:c>
      <x:c r="FU406">
        <x:f t="shared" si="494"/>
        <x:v>0</x:v>
      </x:c>
      <x:c r="FV406">
        <x:f t="shared" si="495"/>
        <x:v>0</x:v>
      </x:c>
      <x:c r="FW406" s="41">
        <x:f t="shared" si="496"/>
        <x:v>0</x:v>
      </x:c>
      <x:c r="FX406">
        <x:f t="shared" si="497"/>
        <x:v>0</x:v>
      </x:c>
      <x:c r="FY406">
        <x:f t="shared" si="498"/>
        <x:v>0</x:v>
      </x:c>
      <x:c r="FZ406">
        <x:f t="shared" si="499"/>
        <x:v>0</x:v>
      </x:c>
      <x:c r="GA406">
        <x:f t="shared" si="500"/>
        <x:v>0</x:v>
      </x:c>
      <x:c r="GB406">
        <x:f t="shared" si="501"/>
        <x:v>0</x:v>
      </x:c>
      <x:c r="GC406">
        <x:f t="shared" si="502"/>
        <x:v>0</x:v>
      </x:c>
      <x:c r="GD406">
        <x:f t="shared" si="503"/>
        <x:v>0</x:v>
      </x:c>
      <x:c r="GE406">
        <x:f t="shared" si="504"/>
        <x:v>0</x:v>
      </x:c>
      <x:c r="GF406">
        <x:f t="shared" si="505"/>
        <x:v>0</x:v>
      </x:c>
      <x:c r="GG406">
        <x:f t="shared" si="506"/>
        <x:v>0</x:v>
      </x:c>
      <x:c r="GH406">
        <x:f t="shared" si="507"/>
        <x:v>0</x:v>
      </x:c>
      <x:c r="GI406">
        <x:f t="shared" si="508"/>
        <x:v>0</x:v>
      </x:c>
      <x:c r="GJ406">
        <x:f t="shared" si="509"/>
        <x:v>0</x:v>
      </x:c>
      <x:c r="GK406">
        <x:f t="shared" si="510"/>
        <x:v>0</x:v>
      </x:c>
      <x:c r="GL406">
        <x:f t="shared" si="511"/>
        <x:v>0</x:v>
      </x:c>
      <x:c r="GM406">
        <x:f t="shared" si="512"/>
        <x:v>0</x:v>
      </x:c>
      <x:c r="GN406">
        <x:f t="shared" si="513"/>
        <x:v>0</x:v>
      </x:c>
      <x:c r="GO406">
        <x:f t="shared" si="514"/>
        <x:v>0</x:v>
      </x:c>
      <x:c r="GP406">
        <x:f t="shared" si="515"/>
        <x:v>0</x:v>
      </x:c>
      <x:c r="GQ406">
        <x:f t="shared" si="516"/>
        <x:v>0</x:v>
      </x:c>
      <x:c r="GR406" s="42">
        <x:f t="shared" si="517"/>
        <x:v>0</x:v>
      </x:c>
      <x:c r="GS406">
        <x:f t="shared" si="518"/>
        <x:v>0</x:v>
      </x:c>
      <x:c r="GT406">
        <x:f t="shared" si="519"/>
        <x:v>0</x:v>
      </x:c>
      <x:c r="GU406">
        <x:f t="shared" si="520"/>
        <x:v>0</x:v>
      </x:c>
      <x:c r="GV406">
        <x:f t="shared" si="521"/>
        <x:v>0</x:v>
      </x:c>
      <x:c r="GW406">
        <x:f t="shared" si="522"/>
        <x:v>0</x:v>
      </x:c>
      <x:c r="GX406">
        <x:f t="shared" si="523"/>
        <x:v>0</x:v>
      </x:c>
      <x:c r="GY406">
        <x:f t="shared" si="524"/>
        <x:v>0</x:v>
      </x:c>
      <x:c r="GZ406">
        <x:f t="shared" si="525"/>
        <x:v>0</x:v>
      </x:c>
      <x:c r="HA406">
        <x:f t="shared" si="526"/>
        <x:v>0</x:v>
      </x:c>
      <x:c r="HB406" s="42">
        <x:f t="shared" si="527"/>
        <x:v>0</x:v>
      </x:c>
      <x:c r="HC406">
        <x:f t="shared" si="528"/>
        <x:v>0</x:v>
      </x:c>
      <x:c r="HD406">
        <x:f t="shared" si="529"/>
        <x:v>0</x:v>
      </x:c>
      <x:c r="HE406">
        <x:f t="shared" si="530"/>
        <x:v>0</x:v>
      </x:c>
      <x:c r="HF406">
        <x:f t="shared" si="531"/>
        <x:v>0</x:v>
      </x:c>
      <x:c r="HG406">
        <x:f t="shared" si="532"/>
        <x:v>0</x:v>
      </x:c>
      <x:c r="HH406">
        <x:f t="shared" si="533"/>
        <x:v>0</x:v>
      </x:c>
      <x:c r="HI406">
        <x:f t="shared" si="534"/>
        <x:v>0</x:v>
      </x:c>
      <x:c r="HJ406">
        <x:f t="shared" si="535"/>
        <x:v>0</x:v>
      </x:c>
      <x:c r="HK406">
        <x:f t="shared" si="536"/>
        <x:v>0</x:v>
      </x:c>
      <x:c r="HL406">
        <x:f t="shared" si="537"/>
        <x:v>0</x:v>
      </x:c>
    </x:row>
    <x:row r="407">
      <x:c r="D407" s="74"/>
      <x:c r="EQ407">
        <x:f t="shared" si="464"/>
        <x:v>0</x:v>
      </x:c>
      <x:c r="ER407">
        <x:f t="shared" si="465"/>
        <x:v>0</x:v>
      </x:c>
      <x:c r="ES407">
        <x:f t="shared" si="466"/>
        <x:v>0</x:v>
      </x:c>
      <x:c r="ET407">
        <x:f t="shared" si="467"/>
        <x:v>0</x:v>
      </x:c>
      <x:c r="EU407">
        <x:f t="shared" si="468"/>
        <x:v>0</x:v>
      </x:c>
      <x:c r="EV407">
        <x:f t="shared" si="469"/>
        <x:v>0</x:v>
      </x:c>
      <x:c r="EW407">
        <x:f t="shared" si="470"/>
        <x:v>0</x:v>
      </x:c>
      <x:c r="EX407">
        <x:f t="shared" si="471"/>
        <x:v>0</x:v>
      </x:c>
      <x:c r="EY407">
        <x:f t="shared" si="472"/>
        <x:v>0</x:v>
      </x:c>
      <x:c r="EZ407">
        <x:f t="shared" si="473"/>
        <x:v>0</x:v>
      </x:c>
      <x:c r="FA407" s="41">
        <x:f t="shared" si="474"/>
        <x:v>0</x:v>
      </x:c>
      <x:c r="FB407">
        <x:f t="shared" si="475"/>
        <x:v>0</x:v>
      </x:c>
      <x:c r="FC407">
        <x:f t="shared" si="476"/>
        <x:v>0</x:v>
      </x:c>
      <x:c r="FD407">
        <x:f t="shared" si="477"/>
        <x:v>0</x:v>
      </x:c>
      <x:c r="FE407">
        <x:f t="shared" si="478"/>
        <x:v>0</x:v>
      </x:c>
      <x:c r="FF407">
        <x:f t="shared" si="479"/>
        <x:v>0</x:v>
      </x:c>
      <x:c r="FG407">
        <x:f t="shared" si="480"/>
        <x:v>0</x:v>
      </x:c>
      <x:c r="FH407">
        <x:f t="shared" si="481"/>
        <x:v>0</x:v>
      </x:c>
      <x:c r="FI407">
        <x:f t="shared" si="482"/>
        <x:v>0</x:v>
      </x:c>
      <x:c r="FJ407">
        <x:f t="shared" si="483"/>
        <x:v>0</x:v>
      </x:c>
      <x:c r="FK407">
        <x:f t="shared" si="484"/>
        <x:v>0</x:v>
      </x:c>
      <x:c r="FL407" s="41">
        <x:f t="shared" si="485"/>
        <x:v>0</x:v>
      </x:c>
      <x:c r="FM407">
        <x:f t="shared" si="486"/>
        <x:v>0</x:v>
      </x:c>
      <x:c r="FN407">
        <x:f t="shared" si="487"/>
        <x:v>0</x:v>
      </x:c>
      <x:c r="FO407">
        <x:f t="shared" si="488"/>
        <x:v>0</x:v>
      </x:c>
      <x:c r="FP407">
        <x:f t="shared" si="489"/>
        <x:v>0</x:v>
      </x:c>
      <x:c r="FQ407">
        <x:f t="shared" si="490"/>
        <x:v>0</x:v>
      </x:c>
      <x:c r="FR407">
        <x:f t="shared" si="491"/>
        <x:v>0</x:v>
      </x:c>
      <x:c r="FS407">
        <x:f t="shared" si="492"/>
        <x:v>0</x:v>
      </x:c>
      <x:c r="FT407">
        <x:f t="shared" si="493"/>
        <x:v>0</x:v>
      </x:c>
      <x:c r="FU407">
        <x:f t="shared" si="494"/>
        <x:v>0</x:v>
      </x:c>
      <x:c r="FV407">
        <x:f t="shared" si="495"/>
        <x:v>0</x:v>
      </x:c>
      <x:c r="FW407" s="41">
        <x:f t="shared" si="496"/>
        <x:v>0</x:v>
      </x:c>
      <x:c r="FX407">
        <x:f t="shared" si="497"/>
        <x:v>0</x:v>
      </x:c>
      <x:c r="FY407">
        <x:f t="shared" si="498"/>
        <x:v>0</x:v>
      </x:c>
      <x:c r="FZ407">
        <x:f t="shared" si="499"/>
        <x:v>0</x:v>
      </x:c>
      <x:c r="GA407">
        <x:f t="shared" si="500"/>
        <x:v>0</x:v>
      </x:c>
      <x:c r="GB407">
        <x:f t="shared" si="501"/>
        <x:v>0</x:v>
      </x:c>
      <x:c r="GC407">
        <x:f t="shared" si="502"/>
        <x:v>0</x:v>
      </x:c>
      <x:c r="GD407">
        <x:f t="shared" si="503"/>
        <x:v>0</x:v>
      </x:c>
      <x:c r="GE407">
        <x:f t="shared" si="504"/>
        <x:v>0</x:v>
      </x:c>
      <x:c r="GF407">
        <x:f t="shared" si="505"/>
        <x:v>0</x:v>
      </x:c>
      <x:c r="GG407">
        <x:f t="shared" si="506"/>
        <x:v>0</x:v>
      </x:c>
      <x:c r="GH407">
        <x:f t="shared" si="507"/>
        <x:v>0</x:v>
      </x:c>
      <x:c r="GI407">
        <x:f t="shared" si="508"/>
        <x:v>0</x:v>
      </x:c>
      <x:c r="GJ407">
        <x:f t="shared" si="509"/>
        <x:v>0</x:v>
      </x:c>
      <x:c r="GK407">
        <x:f t="shared" si="510"/>
        <x:v>0</x:v>
      </x:c>
      <x:c r="GL407">
        <x:f t="shared" si="511"/>
        <x:v>0</x:v>
      </x:c>
      <x:c r="GM407">
        <x:f t="shared" si="512"/>
        <x:v>0</x:v>
      </x:c>
      <x:c r="GN407">
        <x:f t="shared" si="513"/>
        <x:v>0</x:v>
      </x:c>
      <x:c r="GO407">
        <x:f t="shared" si="514"/>
        <x:v>0</x:v>
      </x:c>
      <x:c r="GP407">
        <x:f t="shared" si="515"/>
        <x:v>0</x:v>
      </x:c>
      <x:c r="GQ407">
        <x:f t="shared" si="516"/>
        <x:v>0</x:v>
      </x:c>
      <x:c r="GR407" s="42">
        <x:f t="shared" si="517"/>
        <x:v>0</x:v>
      </x:c>
      <x:c r="GS407">
        <x:f t="shared" si="518"/>
        <x:v>0</x:v>
      </x:c>
      <x:c r="GT407">
        <x:f t="shared" si="519"/>
        <x:v>0</x:v>
      </x:c>
      <x:c r="GU407">
        <x:f t="shared" si="520"/>
        <x:v>0</x:v>
      </x:c>
      <x:c r="GV407">
        <x:f t="shared" si="521"/>
        <x:v>0</x:v>
      </x:c>
      <x:c r="GW407">
        <x:f t="shared" si="522"/>
        <x:v>0</x:v>
      </x:c>
      <x:c r="GX407">
        <x:f t="shared" si="523"/>
        <x:v>0</x:v>
      </x:c>
      <x:c r="GY407">
        <x:f t="shared" si="524"/>
        <x:v>0</x:v>
      </x:c>
      <x:c r="GZ407">
        <x:f t="shared" si="525"/>
        <x:v>0</x:v>
      </x:c>
      <x:c r="HA407">
        <x:f t="shared" si="526"/>
        <x:v>0</x:v>
      </x:c>
      <x:c r="HB407" s="42">
        <x:f t="shared" si="527"/>
        <x:v>0</x:v>
      </x:c>
      <x:c r="HC407">
        <x:f t="shared" si="528"/>
        <x:v>0</x:v>
      </x:c>
      <x:c r="HD407">
        <x:f t="shared" si="529"/>
        <x:v>0</x:v>
      </x:c>
      <x:c r="HE407">
        <x:f t="shared" si="530"/>
        <x:v>0</x:v>
      </x:c>
      <x:c r="HF407">
        <x:f t="shared" si="531"/>
        <x:v>0</x:v>
      </x:c>
      <x:c r="HG407">
        <x:f t="shared" si="532"/>
        <x:v>0</x:v>
      </x:c>
      <x:c r="HH407">
        <x:f t="shared" si="533"/>
        <x:v>0</x:v>
      </x:c>
      <x:c r="HI407">
        <x:f t="shared" si="534"/>
        <x:v>0</x:v>
      </x:c>
      <x:c r="HJ407">
        <x:f t="shared" si="535"/>
        <x:v>0</x:v>
      </x:c>
      <x:c r="HK407">
        <x:f t="shared" si="536"/>
        <x:v>0</x:v>
      </x:c>
      <x:c r="HL407">
        <x:f t="shared" si="537"/>
        <x:v>0</x:v>
      </x:c>
    </x:row>
    <x:row r="408">
      <x:c r="D408" s="74"/>
      <x:c r="EQ408">
        <x:f t="shared" si="464"/>
        <x:v>0</x:v>
      </x:c>
      <x:c r="ER408">
        <x:f t="shared" si="465"/>
        <x:v>0</x:v>
      </x:c>
      <x:c r="ES408">
        <x:f t="shared" si="466"/>
        <x:v>0</x:v>
      </x:c>
      <x:c r="ET408">
        <x:f t="shared" si="467"/>
        <x:v>0</x:v>
      </x:c>
      <x:c r="EU408">
        <x:f t="shared" si="468"/>
        <x:v>0</x:v>
      </x:c>
      <x:c r="EV408">
        <x:f t="shared" si="469"/>
        <x:v>0</x:v>
      </x:c>
      <x:c r="EW408">
        <x:f t="shared" si="470"/>
        <x:v>0</x:v>
      </x:c>
      <x:c r="EX408">
        <x:f t="shared" si="471"/>
        <x:v>0</x:v>
      </x:c>
      <x:c r="EY408">
        <x:f t="shared" si="472"/>
        <x:v>0</x:v>
      </x:c>
      <x:c r="EZ408">
        <x:f t="shared" si="473"/>
        <x:v>0</x:v>
      </x:c>
      <x:c r="FA408" s="41">
        <x:f t="shared" si="474"/>
        <x:v>0</x:v>
      </x:c>
      <x:c r="FB408">
        <x:f t="shared" si="475"/>
        <x:v>0</x:v>
      </x:c>
      <x:c r="FC408">
        <x:f t="shared" si="476"/>
        <x:v>0</x:v>
      </x:c>
      <x:c r="FD408">
        <x:f t="shared" si="477"/>
        <x:v>0</x:v>
      </x:c>
      <x:c r="FE408">
        <x:f t="shared" si="478"/>
        <x:v>0</x:v>
      </x:c>
      <x:c r="FF408">
        <x:f t="shared" si="479"/>
        <x:v>0</x:v>
      </x:c>
      <x:c r="FG408">
        <x:f t="shared" si="480"/>
        <x:v>0</x:v>
      </x:c>
      <x:c r="FH408">
        <x:f t="shared" si="481"/>
        <x:v>0</x:v>
      </x:c>
      <x:c r="FI408">
        <x:f t="shared" si="482"/>
        <x:v>0</x:v>
      </x:c>
      <x:c r="FJ408">
        <x:f t="shared" si="483"/>
        <x:v>0</x:v>
      </x:c>
      <x:c r="FK408">
        <x:f t="shared" si="484"/>
        <x:v>0</x:v>
      </x:c>
      <x:c r="FL408" s="41">
        <x:f t="shared" si="485"/>
        <x:v>0</x:v>
      </x:c>
      <x:c r="FM408">
        <x:f t="shared" si="486"/>
        <x:v>0</x:v>
      </x:c>
      <x:c r="FN408">
        <x:f t="shared" si="487"/>
        <x:v>0</x:v>
      </x:c>
      <x:c r="FO408">
        <x:f t="shared" si="488"/>
        <x:v>0</x:v>
      </x:c>
      <x:c r="FP408">
        <x:f t="shared" si="489"/>
        <x:v>0</x:v>
      </x:c>
      <x:c r="FQ408">
        <x:f t="shared" si="490"/>
        <x:v>0</x:v>
      </x:c>
      <x:c r="FR408">
        <x:f t="shared" si="491"/>
        <x:v>0</x:v>
      </x:c>
      <x:c r="FS408">
        <x:f t="shared" si="492"/>
        <x:v>0</x:v>
      </x:c>
      <x:c r="FT408">
        <x:f t="shared" si="493"/>
        <x:v>0</x:v>
      </x:c>
      <x:c r="FU408">
        <x:f t="shared" si="494"/>
        <x:v>0</x:v>
      </x:c>
      <x:c r="FV408">
        <x:f t="shared" si="495"/>
        <x:v>0</x:v>
      </x:c>
      <x:c r="FW408" s="41">
        <x:f t="shared" si="496"/>
        <x:v>0</x:v>
      </x:c>
      <x:c r="FX408">
        <x:f t="shared" si="497"/>
        <x:v>0</x:v>
      </x:c>
      <x:c r="FY408">
        <x:f t="shared" si="498"/>
        <x:v>0</x:v>
      </x:c>
      <x:c r="FZ408">
        <x:f t="shared" si="499"/>
        <x:v>0</x:v>
      </x:c>
      <x:c r="GA408">
        <x:f t="shared" si="500"/>
        <x:v>0</x:v>
      </x:c>
      <x:c r="GB408">
        <x:f t="shared" si="501"/>
        <x:v>0</x:v>
      </x:c>
      <x:c r="GC408">
        <x:f t="shared" si="502"/>
        <x:v>0</x:v>
      </x:c>
      <x:c r="GD408">
        <x:f t="shared" si="503"/>
        <x:v>0</x:v>
      </x:c>
      <x:c r="GE408">
        <x:f t="shared" si="504"/>
        <x:v>0</x:v>
      </x:c>
      <x:c r="GF408">
        <x:f t="shared" si="505"/>
        <x:v>0</x:v>
      </x:c>
      <x:c r="GG408">
        <x:f t="shared" si="506"/>
        <x:v>0</x:v>
      </x:c>
      <x:c r="GH408">
        <x:f t="shared" si="507"/>
        <x:v>0</x:v>
      </x:c>
      <x:c r="GI408">
        <x:f t="shared" si="508"/>
        <x:v>0</x:v>
      </x:c>
      <x:c r="GJ408">
        <x:f t="shared" si="509"/>
        <x:v>0</x:v>
      </x:c>
      <x:c r="GK408">
        <x:f t="shared" si="510"/>
        <x:v>0</x:v>
      </x:c>
      <x:c r="GL408">
        <x:f t="shared" si="511"/>
        <x:v>0</x:v>
      </x:c>
      <x:c r="GM408">
        <x:f t="shared" si="512"/>
        <x:v>0</x:v>
      </x:c>
      <x:c r="GN408">
        <x:f t="shared" si="513"/>
        <x:v>0</x:v>
      </x:c>
      <x:c r="GO408">
        <x:f t="shared" si="514"/>
        <x:v>0</x:v>
      </x:c>
      <x:c r="GP408">
        <x:f t="shared" si="515"/>
        <x:v>0</x:v>
      </x:c>
      <x:c r="GQ408">
        <x:f t="shared" si="516"/>
        <x:v>0</x:v>
      </x:c>
      <x:c r="GR408" s="42">
        <x:f t="shared" si="517"/>
        <x:v>0</x:v>
      </x:c>
      <x:c r="GS408">
        <x:f t="shared" si="518"/>
        <x:v>0</x:v>
      </x:c>
      <x:c r="GT408">
        <x:f t="shared" si="519"/>
        <x:v>0</x:v>
      </x:c>
      <x:c r="GU408">
        <x:f t="shared" si="520"/>
        <x:v>0</x:v>
      </x:c>
      <x:c r="GV408">
        <x:f t="shared" si="521"/>
        <x:v>0</x:v>
      </x:c>
      <x:c r="GW408">
        <x:f t="shared" si="522"/>
        <x:v>0</x:v>
      </x:c>
      <x:c r="GX408">
        <x:f t="shared" si="523"/>
        <x:v>0</x:v>
      </x:c>
      <x:c r="GY408">
        <x:f t="shared" si="524"/>
        <x:v>0</x:v>
      </x:c>
      <x:c r="GZ408">
        <x:f t="shared" si="525"/>
        <x:v>0</x:v>
      </x:c>
      <x:c r="HA408">
        <x:f t="shared" si="526"/>
        <x:v>0</x:v>
      </x:c>
      <x:c r="HB408" s="42">
        <x:f t="shared" si="527"/>
        <x:v>0</x:v>
      </x:c>
      <x:c r="HC408">
        <x:f t="shared" si="528"/>
        <x:v>0</x:v>
      </x:c>
      <x:c r="HD408">
        <x:f t="shared" si="529"/>
        <x:v>0</x:v>
      </x:c>
      <x:c r="HE408">
        <x:f t="shared" si="530"/>
        <x:v>0</x:v>
      </x:c>
      <x:c r="HF408">
        <x:f t="shared" si="531"/>
        <x:v>0</x:v>
      </x:c>
      <x:c r="HG408">
        <x:f t="shared" si="532"/>
        <x:v>0</x:v>
      </x:c>
      <x:c r="HH408">
        <x:f t="shared" si="533"/>
        <x:v>0</x:v>
      </x:c>
      <x:c r="HI408">
        <x:f t="shared" si="534"/>
        <x:v>0</x:v>
      </x:c>
      <x:c r="HJ408">
        <x:f t="shared" si="535"/>
        <x:v>0</x:v>
      </x:c>
      <x:c r="HK408">
        <x:f t="shared" si="536"/>
        <x:v>0</x:v>
      </x:c>
      <x:c r="HL408">
        <x:f t="shared" si="537"/>
        <x:v>0</x:v>
      </x:c>
    </x:row>
    <x:row r="409">
      <x:c r="D409" s="74"/>
      <x:c r="EQ409">
        <x:f t="shared" si="464"/>
        <x:v>0</x:v>
      </x:c>
      <x:c r="ER409">
        <x:f t="shared" si="465"/>
        <x:v>0</x:v>
      </x:c>
      <x:c r="ES409">
        <x:f t="shared" si="466"/>
        <x:v>0</x:v>
      </x:c>
      <x:c r="ET409">
        <x:f t="shared" si="467"/>
        <x:v>0</x:v>
      </x:c>
      <x:c r="EU409">
        <x:f t="shared" si="468"/>
        <x:v>0</x:v>
      </x:c>
      <x:c r="EV409">
        <x:f t="shared" si="469"/>
        <x:v>0</x:v>
      </x:c>
      <x:c r="EW409">
        <x:f t="shared" si="470"/>
        <x:v>0</x:v>
      </x:c>
      <x:c r="EX409">
        <x:f t="shared" si="471"/>
        <x:v>0</x:v>
      </x:c>
      <x:c r="EY409">
        <x:f t="shared" si="472"/>
        <x:v>0</x:v>
      </x:c>
      <x:c r="EZ409">
        <x:f t="shared" si="473"/>
        <x:v>0</x:v>
      </x:c>
      <x:c r="FA409" s="41">
        <x:f t="shared" si="474"/>
        <x:v>0</x:v>
      </x:c>
      <x:c r="FB409">
        <x:f t="shared" si="475"/>
        <x:v>0</x:v>
      </x:c>
      <x:c r="FC409">
        <x:f t="shared" si="476"/>
        <x:v>0</x:v>
      </x:c>
      <x:c r="FD409">
        <x:f t="shared" si="477"/>
        <x:v>0</x:v>
      </x:c>
      <x:c r="FE409">
        <x:f t="shared" si="478"/>
        <x:v>0</x:v>
      </x:c>
      <x:c r="FF409">
        <x:f t="shared" si="479"/>
        <x:v>0</x:v>
      </x:c>
      <x:c r="FG409">
        <x:f t="shared" si="480"/>
        <x:v>0</x:v>
      </x:c>
      <x:c r="FH409">
        <x:f t="shared" si="481"/>
        <x:v>0</x:v>
      </x:c>
      <x:c r="FI409">
        <x:f t="shared" si="482"/>
        <x:v>0</x:v>
      </x:c>
      <x:c r="FJ409">
        <x:f t="shared" si="483"/>
        <x:v>0</x:v>
      </x:c>
      <x:c r="FK409">
        <x:f t="shared" si="484"/>
        <x:v>0</x:v>
      </x:c>
      <x:c r="FL409" s="41">
        <x:f t="shared" si="485"/>
        <x:v>0</x:v>
      </x:c>
      <x:c r="FM409">
        <x:f t="shared" si="486"/>
        <x:v>0</x:v>
      </x:c>
      <x:c r="FN409">
        <x:f t="shared" si="487"/>
        <x:v>0</x:v>
      </x:c>
      <x:c r="FO409">
        <x:f t="shared" si="488"/>
        <x:v>0</x:v>
      </x:c>
      <x:c r="FP409">
        <x:f t="shared" si="489"/>
        <x:v>0</x:v>
      </x:c>
      <x:c r="FQ409">
        <x:f t="shared" si="490"/>
        <x:v>0</x:v>
      </x:c>
      <x:c r="FR409">
        <x:f t="shared" si="491"/>
        <x:v>0</x:v>
      </x:c>
      <x:c r="FS409">
        <x:f t="shared" si="492"/>
        <x:v>0</x:v>
      </x:c>
      <x:c r="FT409">
        <x:f t="shared" si="493"/>
        <x:v>0</x:v>
      </x:c>
      <x:c r="FU409">
        <x:f t="shared" si="494"/>
        <x:v>0</x:v>
      </x:c>
      <x:c r="FV409">
        <x:f t="shared" si="495"/>
        <x:v>0</x:v>
      </x:c>
      <x:c r="FW409" s="41">
        <x:f t="shared" si="496"/>
        <x:v>0</x:v>
      </x:c>
      <x:c r="FX409">
        <x:f t="shared" si="497"/>
        <x:v>0</x:v>
      </x:c>
      <x:c r="FY409">
        <x:f t="shared" si="498"/>
        <x:v>0</x:v>
      </x:c>
      <x:c r="FZ409">
        <x:f t="shared" si="499"/>
        <x:v>0</x:v>
      </x:c>
      <x:c r="GA409">
        <x:f t="shared" si="500"/>
        <x:v>0</x:v>
      </x:c>
      <x:c r="GB409">
        <x:f t="shared" si="501"/>
        <x:v>0</x:v>
      </x:c>
      <x:c r="GC409">
        <x:f t="shared" si="502"/>
        <x:v>0</x:v>
      </x:c>
      <x:c r="GD409">
        <x:f t="shared" si="503"/>
        <x:v>0</x:v>
      </x:c>
      <x:c r="GE409">
        <x:f t="shared" si="504"/>
        <x:v>0</x:v>
      </x:c>
      <x:c r="GF409">
        <x:f t="shared" si="505"/>
        <x:v>0</x:v>
      </x:c>
      <x:c r="GG409">
        <x:f t="shared" si="506"/>
        <x:v>0</x:v>
      </x:c>
      <x:c r="GH409">
        <x:f t="shared" si="507"/>
        <x:v>0</x:v>
      </x:c>
      <x:c r="GI409">
        <x:f t="shared" si="508"/>
        <x:v>0</x:v>
      </x:c>
      <x:c r="GJ409">
        <x:f t="shared" si="509"/>
        <x:v>0</x:v>
      </x:c>
      <x:c r="GK409">
        <x:f t="shared" si="510"/>
        <x:v>0</x:v>
      </x:c>
      <x:c r="GL409">
        <x:f t="shared" si="511"/>
        <x:v>0</x:v>
      </x:c>
      <x:c r="GM409">
        <x:f t="shared" si="512"/>
        <x:v>0</x:v>
      </x:c>
      <x:c r="GN409">
        <x:f t="shared" si="513"/>
        <x:v>0</x:v>
      </x:c>
      <x:c r="GO409">
        <x:f t="shared" si="514"/>
        <x:v>0</x:v>
      </x:c>
      <x:c r="GP409">
        <x:f t="shared" si="515"/>
        <x:v>0</x:v>
      </x:c>
      <x:c r="GQ409">
        <x:f t="shared" si="516"/>
        <x:v>0</x:v>
      </x:c>
      <x:c r="GR409" s="42">
        <x:f t="shared" si="517"/>
        <x:v>0</x:v>
      </x:c>
      <x:c r="GS409">
        <x:f t="shared" si="518"/>
        <x:v>0</x:v>
      </x:c>
      <x:c r="GT409">
        <x:f t="shared" si="519"/>
        <x:v>0</x:v>
      </x:c>
      <x:c r="GU409">
        <x:f t="shared" si="520"/>
        <x:v>0</x:v>
      </x:c>
      <x:c r="GV409">
        <x:f t="shared" si="521"/>
        <x:v>0</x:v>
      </x:c>
      <x:c r="GW409">
        <x:f t="shared" si="522"/>
        <x:v>0</x:v>
      </x:c>
      <x:c r="GX409">
        <x:f t="shared" si="523"/>
        <x:v>0</x:v>
      </x:c>
      <x:c r="GY409">
        <x:f t="shared" si="524"/>
        <x:v>0</x:v>
      </x:c>
      <x:c r="GZ409">
        <x:f t="shared" si="525"/>
        <x:v>0</x:v>
      </x:c>
      <x:c r="HA409">
        <x:f t="shared" si="526"/>
        <x:v>0</x:v>
      </x:c>
      <x:c r="HB409" s="42">
        <x:f t="shared" si="527"/>
        <x:v>0</x:v>
      </x:c>
      <x:c r="HC409">
        <x:f t="shared" si="528"/>
        <x:v>0</x:v>
      </x:c>
      <x:c r="HD409">
        <x:f t="shared" si="529"/>
        <x:v>0</x:v>
      </x:c>
      <x:c r="HE409">
        <x:f t="shared" si="530"/>
        <x:v>0</x:v>
      </x:c>
      <x:c r="HF409">
        <x:f t="shared" si="531"/>
        <x:v>0</x:v>
      </x:c>
      <x:c r="HG409">
        <x:f t="shared" si="532"/>
        <x:v>0</x:v>
      </x:c>
      <x:c r="HH409">
        <x:f t="shared" si="533"/>
        <x:v>0</x:v>
      </x:c>
      <x:c r="HI409">
        <x:f t="shared" si="534"/>
        <x:v>0</x:v>
      </x:c>
      <x:c r="HJ409">
        <x:f t="shared" si="535"/>
        <x:v>0</x:v>
      </x:c>
      <x:c r="HK409">
        <x:f t="shared" si="536"/>
        <x:v>0</x:v>
      </x:c>
      <x:c r="HL409">
        <x:f t="shared" si="537"/>
        <x:v>0</x:v>
      </x:c>
    </x:row>
    <x:row r="410">
      <x:c r="D410" s="74"/>
      <x:c r="EQ410">
        <x:f t="shared" si="464"/>
        <x:v>0</x:v>
      </x:c>
      <x:c r="ER410">
        <x:f t="shared" si="465"/>
        <x:v>0</x:v>
      </x:c>
      <x:c r="ES410">
        <x:f t="shared" si="466"/>
        <x:v>0</x:v>
      </x:c>
      <x:c r="ET410">
        <x:f t="shared" si="467"/>
        <x:v>0</x:v>
      </x:c>
      <x:c r="EU410">
        <x:f t="shared" si="468"/>
        <x:v>0</x:v>
      </x:c>
      <x:c r="EV410">
        <x:f t="shared" si="469"/>
        <x:v>0</x:v>
      </x:c>
      <x:c r="EW410">
        <x:f t="shared" si="470"/>
        <x:v>0</x:v>
      </x:c>
      <x:c r="EX410">
        <x:f t="shared" si="471"/>
        <x:v>0</x:v>
      </x:c>
      <x:c r="EY410">
        <x:f t="shared" si="472"/>
        <x:v>0</x:v>
      </x:c>
      <x:c r="EZ410">
        <x:f t="shared" si="473"/>
        <x:v>0</x:v>
      </x:c>
      <x:c r="FA410" s="41">
        <x:f t="shared" si="474"/>
        <x:v>0</x:v>
      </x:c>
      <x:c r="FB410">
        <x:f t="shared" si="475"/>
        <x:v>0</x:v>
      </x:c>
      <x:c r="FC410">
        <x:f t="shared" si="476"/>
        <x:v>0</x:v>
      </x:c>
      <x:c r="FD410">
        <x:f t="shared" si="477"/>
        <x:v>0</x:v>
      </x:c>
      <x:c r="FE410">
        <x:f t="shared" si="478"/>
        <x:v>0</x:v>
      </x:c>
      <x:c r="FF410">
        <x:f t="shared" si="479"/>
        <x:v>0</x:v>
      </x:c>
      <x:c r="FG410">
        <x:f t="shared" si="480"/>
        <x:v>0</x:v>
      </x:c>
      <x:c r="FH410">
        <x:f t="shared" si="481"/>
        <x:v>0</x:v>
      </x:c>
      <x:c r="FI410">
        <x:f t="shared" si="482"/>
        <x:v>0</x:v>
      </x:c>
      <x:c r="FJ410">
        <x:f t="shared" si="483"/>
        <x:v>0</x:v>
      </x:c>
      <x:c r="FK410">
        <x:f t="shared" si="484"/>
        <x:v>0</x:v>
      </x:c>
      <x:c r="FL410" s="41">
        <x:f t="shared" si="485"/>
        <x:v>0</x:v>
      </x:c>
      <x:c r="FM410">
        <x:f t="shared" si="486"/>
        <x:v>0</x:v>
      </x:c>
      <x:c r="FN410">
        <x:f t="shared" si="487"/>
        <x:v>0</x:v>
      </x:c>
      <x:c r="FO410">
        <x:f t="shared" si="488"/>
        <x:v>0</x:v>
      </x:c>
      <x:c r="FP410">
        <x:f t="shared" si="489"/>
        <x:v>0</x:v>
      </x:c>
      <x:c r="FQ410">
        <x:f t="shared" si="490"/>
        <x:v>0</x:v>
      </x:c>
      <x:c r="FR410">
        <x:f t="shared" si="491"/>
        <x:v>0</x:v>
      </x:c>
      <x:c r="FS410">
        <x:f t="shared" si="492"/>
        <x:v>0</x:v>
      </x:c>
      <x:c r="FT410">
        <x:f t="shared" si="493"/>
        <x:v>0</x:v>
      </x:c>
      <x:c r="FU410">
        <x:f t="shared" si="494"/>
        <x:v>0</x:v>
      </x:c>
      <x:c r="FV410">
        <x:f t="shared" si="495"/>
        <x:v>0</x:v>
      </x:c>
      <x:c r="FW410" s="41">
        <x:f t="shared" si="496"/>
        <x:v>0</x:v>
      </x:c>
      <x:c r="FX410">
        <x:f t="shared" si="497"/>
        <x:v>0</x:v>
      </x:c>
      <x:c r="FY410">
        <x:f t="shared" si="498"/>
        <x:v>0</x:v>
      </x:c>
      <x:c r="FZ410">
        <x:f t="shared" si="499"/>
        <x:v>0</x:v>
      </x:c>
      <x:c r="GA410">
        <x:f t="shared" si="500"/>
        <x:v>0</x:v>
      </x:c>
      <x:c r="GB410">
        <x:f t="shared" si="501"/>
        <x:v>0</x:v>
      </x:c>
      <x:c r="GC410">
        <x:f t="shared" si="502"/>
        <x:v>0</x:v>
      </x:c>
      <x:c r="GD410">
        <x:f t="shared" si="503"/>
        <x:v>0</x:v>
      </x:c>
      <x:c r="GE410">
        <x:f t="shared" si="504"/>
        <x:v>0</x:v>
      </x:c>
      <x:c r="GF410">
        <x:f t="shared" si="505"/>
        <x:v>0</x:v>
      </x:c>
      <x:c r="GG410">
        <x:f t="shared" si="506"/>
        <x:v>0</x:v>
      </x:c>
      <x:c r="GH410">
        <x:f t="shared" si="507"/>
        <x:v>0</x:v>
      </x:c>
      <x:c r="GI410">
        <x:f t="shared" si="508"/>
        <x:v>0</x:v>
      </x:c>
      <x:c r="GJ410">
        <x:f t="shared" si="509"/>
        <x:v>0</x:v>
      </x:c>
      <x:c r="GK410">
        <x:f t="shared" si="510"/>
        <x:v>0</x:v>
      </x:c>
      <x:c r="GL410">
        <x:f t="shared" si="511"/>
        <x:v>0</x:v>
      </x:c>
      <x:c r="GM410">
        <x:f t="shared" si="512"/>
        <x:v>0</x:v>
      </x:c>
      <x:c r="GN410">
        <x:f t="shared" si="513"/>
        <x:v>0</x:v>
      </x:c>
      <x:c r="GO410">
        <x:f t="shared" si="514"/>
        <x:v>0</x:v>
      </x:c>
      <x:c r="GP410">
        <x:f t="shared" si="515"/>
        <x:v>0</x:v>
      </x:c>
      <x:c r="GQ410">
        <x:f t="shared" si="516"/>
        <x:v>0</x:v>
      </x:c>
      <x:c r="GR410" s="42">
        <x:f t="shared" si="517"/>
        <x:v>0</x:v>
      </x:c>
      <x:c r="GS410">
        <x:f t="shared" si="518"/>
        <x:v>0</x:v>
      </x:c>
      <x:c r="GT410">
        <x:f t="shared" si="519"/>
        <x:v>0</x:v>
      </x:c>
      <x:c r="GU410">
        <x:f t="shared" si="520"/>
        <x:v>0</x:v>
      </x:c>
      <x:c r="GV410">
        <x:f t="shared" si="521"/>
        <x:v>0</x:v>
      </x:c>
      <x:c r="GW410">
        <x:f t="shared" si="522"/>
        <x:v>0</x:v>
      </x:c>
      <x:c r="GX410">
        <x:f t="shared" si="523"/>
        <x:v>0</x:v>
      </x:c>
      <x:c r="GY410">
        <x:f t="shared" si="524"/>
        <x:v>0</x:v>
      </x:c>
      <x:c r="GZ410">
        <x:f t="shared" si="525"/>
        <x:v>0</x:v>
      </x:c>
      <x:c r="HA410">
        <x:f t="shared" si="526"/>
        <x:v>0</x:v>
      </x:c>
      <x:c r="HB410" s="42">
        <x:f t="shared" si="527"/>
        <x:v>0</x:v>
      </x:c>
      <x:c r="HC410">
        <x:f t="shared" si="528"/>
        <x:v>0</x:v>
      </x:c>
      <x:c r="HD410">
        <x:f t="shared" si="529"/>
        <x:v>0</x:v>
      </x:c>
      <x:c r="HE410">
        <x:f t="shared" si="530"/>
        <x:v>0</x:v>
      </x:c>
      <x:c r="HF410">
        <x:f t="shared" si="531"/>
        <x:v>0</x:v>
      </x:c>
      <x:c r="HG410">
        <x:f t="shared" si="532"/>
        <x:v>0</x:v>
      </x:c>
      <x:c r="HH410">
        <x:f t="shared" si="533"/>
        <x:v>0</x:v>
      </x:c>
      <x:c r="HI410">
        <x:f t="shared" si="534"/>
        <x:v>0</x:v>
      </x:c>
      <x:c r="HJ410">
        <x:f t="shared" si="535"/>
        <x:v>0</x:v>
      </x:c>
      <x:c r="HK410">
        <x:f t="shared" si="536"/>
        <x:v>0</x:v>
      </x:c>
      <x:c r="HL410">
        <x:f t="shared" si="537"/>
        <x:v>0</x:v>
      </x:c>
    </x:row>
    <x:row r="411">
      <x:c r="D411" s="74"/>
      <x:c r="EQ411">
        <x:f t="shared" si="464"/>
        <x:v>0</x:v>
      </x:c>
      <x:c r="ER411">
        <x:f t="shared" si="465"/>
        <x:v>0</x:v>
      </x:c>
      <x:c r="ES411">
        <x:f t="shared" si="466"/>
        <x:v>0</x:v>
      </x:c>
      <x:c r="ET411">
        <x:f t="shared" si="467"/>
        <x:v>0</x:v>
      </x:c>
      <x:c r="EU411">
        <x:f t="shared" si="468"/>
        <x:v>0</x:v>
      </x:c>
      <x:c r="EV411">
        <x:f t="shared" si="469"/>
        <x:v>0</x:v>
      </x:c>
      <x:c r="EW411">
        <x:f t="shared" si="470"/>
        <x:v>0</x:v>
      </x:c>
      <x:c r="EX411">
        <x:f t="shared" si="471"/>
        <x:v>0</x:v>
      </x:c>
      <x:c r="EY411">
        <x:f t="shared" si="472"/>
        <x:v>0</x:v>
      </x:c>
      <x:c r="EZ411">
        <x:f t="shared" si="473"/>
        <x:v>0</x:v>
      </x:c>
      <x:c r="FA411" s="41">
        <x:f t="shared" si="474"/>
        <x:v>0</x:v>
      </x:c>
      <x:c r="FB411">
        <x:f t="shared" si="475"/>
        <x:v>0</x:v>
      </x:c>
      <x:c r="FC411">
        <x:f t="shared" si="476"/>
        <x:v>0</x:v>
      </x:c>
      <x:c r="FD411">
        <x:f t="shared" si="477"/>
        <x:v>0</x:v>
      </x:c>
      <x:c r="FE411">
        <x:f t="shared" si="478"/>
        <x:v>0</x:v>
      </x:c>
      <x:c r="FF411">
        <x:f t="shared" si="479"/>
        <x:v>0</x:v>
      </x:c>
      <x:c r="FG411">
        <x:f t="shared" si="480"/>
        <x:v>0</x:v>
      </x:c>
      <x:c r="FH411">
        <x:f t="shared" si="481"/>
        <x:v>0</x:v>
      </x:c>
      <x:c r="FI411">
        <x:f t="shared" si="482"/>
        <x:v>0</x:v>
      </x:c>
      <x:c r="FJ411">
        <x:f t="shared" si="483"/>
        <x:v>0</x:v>
      </x:c>
      <x:c r="FK411">
        <x:f t="shared" si="484"/>
        <x:v>0</x:v>
      </x:c>
      <x:c r="FL411" s="41">
        <x:f t="shared" si="485"/>
        <x:v>0</x:v>
      </x:c>
      <x:c r="FM411">
        <x:f t="shared" si="486"/>
        <x:v>0</x:v>
      </x:c>
      <x:c r="FN411">
        <x:f t="shared" si="487"/>
        <x:v>0</x:v>
      </x:c>
      <x:c r="FO411">
        <x:f t="shared" si="488"/>
        <x:v>0</x:v>
      </x:c>
      <x:c r="FP411">
        <x:f t="shared" si="489"/>
        <x:v>0</x:v>
      </x:c>
      <x:c r="FQ411">
        <x:f t="shared" si="490"/>
        <x:v>0</x:v>
      </x:c>
      <x:c r="FR411">
        <x:f t="shared" si="491"/>
        <x:v>0</x:v>
      </x:c>
      <x:c r="FS411">
        <x:f t="shared" si="492"/>
        <x:v>0</x:v>
      </x:c>
      <x:c r="FT411">
        <x:f t="shared" si="493"/>
        <x:v>0</x:v>
      </x:c>
      <x:c r="FU411">
        <x:f t="shared" si="494"/>
        <x:v>0</x:v>
      </x:c>
      <x:c r="FV411">
        <x:f t="shared" si="495"/>
        <x:v>0</x:v>
      </x:c>
      <x:c r="FW411" s="41">
        <x:f t="shared" si="496"/>
        <x:v>0</x:v>
      </x:c>
      <x:c r="FX411">
        <x:f t="shared" si="497"/>
        <x:v>0</x:v>
      </x:c>
      <x:c r="FY411">
        <x:f t="shared" si="498"/>
        <x:v>0</x:v>
      </x:c>
      <x:c r="FZ411">
        <x:f t="shared" si="499"/>
        <x:v>0</x:v>
      </x:c>
      <x:c r="GA411">
        <x:f t="shared" si="500"/>
        <x:v>0</x:v>
      </x:c>
      <x:c r="GB411">
        <x:f t="shared" si="501"/>
        <x:v>0</x:v>
      </x:c>
      <x:c r="GC411">
        <x:f t="shared" si="502"/>
        <x:v>0</x:v>
      </x:c>
      <x:c r="GD411">
        <x:f t="shared" si="503"/>
        <x:v>0</x:v>
      </x:c>
      <x:c r="GE411">
        <x:f t="shared" si="504"/>
        <x:v>0</x:v>
      </x:c>
      <x:c r="GF411">
        <x:f t="shared" si="505"/>
        <x:v>0</x:v>
      </x:c>
      <x:c r="GG411">
        <x:f t="shared" si="506"/>
        <x:v>0</x:v>
      </x:c>
      <x:c r="GH411">
        <x:f t="shared" si="507"/>
        <x:v>0</x:v>
      </x:c>
      <x:c r="GI411">
        <x:f t="shared" si="508"/>
        <x:v>0</x:v>
      </x:c>
      <x:c r="GJ411">
        <x:f t="shared" si="509"/>
        <x:v>0</x:v>
      </x:c>
      <x:c r="GK411">
        <x:f t="shared" si="510"/>
        <x:v>0</x:v>
      </x:c>
      <x:c r="GL411">
        <x:f t="shared" si="511"/>
        <x:v>0</x:v>
      </x:c>
      <x:c r="GM411">
        <x:f t="shared" si="512"/>
        <x:v>0</x:v>
      </x:c>
      <x:c r="GN411">
        <x:f t="shared" si="513"/>
        <x:v>0</x:v>
      </x:c>
      <x:c r="GO411">
        <x:f t="shared" si="514"/>
        <x:v>0</x:v>
      </x:c>
      <x:c r="GP411">
        <x:f t="shared" si="515"/>
        <x:v>0</x:v>
      </x:c>
      <x:c r="GQ411">
        <x:f t="shared" si="516"/>
        <x:v>0</x:v>
      </x:c>
      <x:c r="GR411" s="42">
        <x:f t="shared" si="517"/>
        <x:v>0</x:v>
      </x:c>
      <x:c r="GS411">
        <x:f t="shared" si="518"/>
        <x:v>0</x:v>
      </x:c>
      <x:c r="GT411">
        <x:f t="shared" si="519"/>
        <x:v>0</x:v>
      </x:c>
      <x:c r="GU411">
        <x:f t="shared" si="520"/>
        <x:v>0</x:v>
      </x:c>
      <x:c r="GV411">
        <x:f t="shared" si="521"/>
        <x:v>0</x:v>
      </x:c>
      <x:c r="GW411">
        <x:f t="shared" si="522"/>
        <x:v>0</x:v>
      </x:c>
      <x:c r="GX411">
        <x:f t="shared" si="523"/>
        <x:v>0</x:v>
      </x:c>
      <x:c r="GY411">
        <x:f t="shared" si="524"/>
        <x:v>0</x:v>
      </x:c>
      <x:c r="GZ411">
        <x:f t="shared" si="525"/>
        <x:v>0</x:v>
      </x:c>
      <x:c r="HA411">
        <x:f t="shared" si="526"/>
        <x:v>0</x:v>
      </x:c>
      <x:c r="HB411" s="42">
        <x:f t="shared" si="527"/>
        <x:v>0</x:v>
      </x:c>
      <x:c r="HC411">
        <x:f t="shared" si="528"/>
        <x:v>0</x:v>
      </x:c>
      <x:c r="HD411">
        <x:f t="shared" si="529"/>
        <x:v>0</x:v>
      </x:c>
      <x:c r="HE411">
        <x:f t="shared" si="530"/>
        <x:v>0</x:v>
      </x:c>
      <x:c r="HF411">
        <x:f t="shared" si="531"/>
        <x:v>0</x:v>
      </x:c>
      <x:c r="HG411">
        <x:f t="shared" si="532"/>
        <x:v>0</x:v>
      </x:c>
      <x:c r="HH411">
        <x:f t="shared" si="533"/>
        <x:v>0</x:v>
      </x:c>
      <x:c r="HI411">
        <x:f t="shared" si="534"/>
        <x:v>0</x:v>
      </x:c>
      <x:c r="HJ411">
        <x:f t="shared" si="535"/>
        <x:v>0</x:v>
      </x:c>
      <x:c r="HK411">
        <x:f t="shared" si="536"/>
        <x:v>0</x:v>
      </x:c>
      <x:c r="HL411">
        <x:f t="shared" si="537"/>
        <x:v>0</x:v>
      </x:c>
    </x:row>
    <x:row r="412">
      <x:c r="D412" s="74"/>
      <x:c r="EQ412">
        <x:f t="shared" si="464"/>
        <x:v>0</x:v>
      </x:c>
      <x:c r="ER412">
        <x:f t="shared" si="465"/>
        <x:v>0</x:v>
      </x:c>
      <x:c r="ES412">
        <x:f t="shared" si="466"/>
        <x:v>0</x:v>
      </x:c>
      <x:c r="ET412">
        <x:f t="shared" si="467"/>
        <x:v>0</x:v>
      </x:c>
      <x:c r="EU412">
        <x:f t="shared" si="468"/>
        <x:v>0</x:v>
      </x:c>
      <x:c r="EV412">
        <x:f t="shared" si="469"/>
        <x:v>0</x:v>
      </x:c>
      <x:c r="EW412">
        <x:f t="shared" si="470"/>
        <x:v>0</x:v>
      </x:c>
      <x:c r="EX412">
        <x:f t="shared" si="471"/>
        <x:v>0</x:v>
      </x:c>
      <x:c r="EY412">
        <x:f t="shared" si="472"/>
        <x:v>0</x:v>
      </x:c>
      <x:c r="EZ412">
        <x:f t="shared" si="473"/>
        <x:v>0</x:v>
      </x:c>
      <x:c r="FA412" s="41">
        <x:f t="shared" si="474"/>
        <x:v>0</x:v>
      </x:c>
      <x:c r="FB412">
        <x:f t="shared" si="475"/>
        <x:v>0</x:v>
      </x:c>
      <x:c r="FC412">
        <x:f t="shared" si="476"/>
        <x:v>0</x:v>
      </x:c>
      <x:c r="FD412">
        <x:f t="shared" si="477"/>
        <x:v>0</x:v>
      </x:c>
      <x:c r="FE412">
        <x:f t="shared" si="478"/>
        <x:v>0</x:v>
      </x:c>
      <x:c r="FF412">
        <x:f t="shared" si="479"/>
        <x:v>0</x:v>
      </x:c>
      <x:c r="FG412">
        <x:f t="shared" si="480"/>
        <x:v>0</x:v>
      </x:c>
      <x:c r="FH412">
        <x:f t="shared" si="481"/>
        <x:v>0</x:v>
      </x:c>
      <x:c r="FI412">
        <x:f t="shared" si="482"/>
        <x:v>0</x:v>
      </x:c>
      <x:c r="FJ412">
        <x:f t="shared" si="483"/>
        <x:v>0</x:v>
      </x:c>
      <x:c r="FK412">
        <x:f t="shared" si="484"/>
        <x:v>0</x:v>
      </x:c>
      <x:c r="FL412" s="41">
        <x:f t="shared" si="485"/>
        <x:v>0</x:v>
      </x:c>
      <x:c r="FM412">
        <x:f t="shared" si="486"/>
        <x:v>0</x:v>
      </x:c>
      <x:c r="FN412">
        <x:f t="shared" si="487"/>
        <x:v>0</x:v>
      </x:c>
      <x:c r="FO412">
        <x:f t="shared" si="488"/>
        <x:v>0</x:v>
      </x:c>
      <x:c r="FP412">
        <x:f t="shared" si="489"/>
        <x:v>0</x:v>
      </x:c>
      <x:c r="FQ412">
        <x:f t="shared" si="490"/>
        <x:v>0</x:v>
      </x:c>
      <x:c r="FR412">
        <x:f t="shared" si="491"/>
        <x:v>0</x:v>
      </x:c>
      <x:c r="FS412">
        <x:f t="shared" si="492"/>
        <x:v>0</x:v>
      </x:c>
      <x:c r="FT412">
        <x:f t="shared" si="493"/>
        <x:v>0</x:v>
      </x:c>
      <x:c r="FU412">
        <x:f t="shared" si="494"/>
        <x:v>0</x:v>
      </x:c>
      <x:c r="FV412">
        <x:f t="shared" si="495"/>
        <x:v>0</x:v>
      </x:c>
      <x:c r="FW412" s="41">
        <x:f t="shared" si="496"/>
        <x:v>0</x:v>
      </x:c>
      <x:c r="FX412">
        <x:f t="shared" si="497"/>
        <x:v>0</x:v>
      </x:c>
      <x:c r="FY412">
        <x:f t="shared" si="498"/>
        <x:v>0</x:v>
      </x:c>
      <x:c r="FZ412">
        <x:f t="shared" si="499"/>
        <x:v>0</x:v>
      </x:c>
      <x:c r="GA412">
        <x:f t="shared" si="500"/>
        <x:v>0</x:v>
      </x:c>
      <x:c r="GB412">
        <x:f t="shared" si="501"/>
        <x:v>0</x:v>
      </x:c>
      <x:c r="GC412">
        <x:f t="shared" si="502"/>
        <x:v>0</x:v>
      </x:c>
      <x:c r="GD412">
        <x:f t="shared" si="503"/>
        <x:v>0</x:v>
      </x:c>
      <x:c r="GE412">
        <x:f t="shared" si="504"/>
        <x:v>0</x:v>
      </x:c>
      <x:c r="GF412">
        <x:f t="shared" si="505"/>
        <x:v>0</x:v>
      </x:c>
      <x:c r="GG412">
        <x:f t="shared" si="506"/>
        <x:v>0</x:v>
      </x:c>
      <x:c r="GH412">
        <x:f t="shared" si="507"/>
        <x:v>0</x:v>
      </x:c>
      <x:c r="GI412">
        <x:f t="shared" si="508"/>
        <x:v>0</x:v>
      </x:c>
      <x:c r="GJ412">
        <x:f t="shared" si="509"/>
        <x:v>0</x:v>
      </x:c>
      <x:c r="GK412">
        <x:f t="shared" si="510"/>
        <x:v>0</x:v>
      </x:c>
      <x:c r="GL412">
        <x:f t="shared" si="511"/>
        <x:v>0</x:v>
      </x:c>
      <x:c r="GM412">
        <x:f t="shared" si="512"/>
        <x:v>0</x:v>
      </x:c>
      <x:c r="GN412">
        <x:f t="shared" si="513"/>
        <x:v>0</x:v>
      </x:c>
      <x:c r="GO412">
        <x:f t="shared" si="514"/>
        <x:v>0</x:v>
      </x:c>
      <x:c r="GP412">
        <x:f t="shared" si="515"/>
        <x:v>0</x:v>
      </x:c>
      <x:c r="GQ412">
        <x:f t="shared" si="516"/>
        <x:v>0</x:v>
      </x:c>
      <x:c r="GR412" s="42">
        <x:f t="shared" si="517"/>
        <x:v>0</x:v>
      </x:c>
      <x:c r="GS412">
        <x:f t="shared" si="518"/>
        <x:v>0</x:v>
      </x:c>
      <x:c r="GT412">
        <x:f t="shared" si="519"/>
        <x:v>0</x:v>
      </x:c>
      <x:c r="GU412">
        <x:f t="shared" si="520"/>
        <x:v>0</x:v>
      </x:c>
      <x:c r="GV412">
        <x:f t="shared" si="521"/>
        <x:v>0</x:v>
      </x:c>
      <x:c r="GW412">
        <x:f t="shared" si="522"/>
        <x:v>0</x:v>
      </x:c>
      <x:c r="GX412">
        <x:f t="shared" si="523"/>
        <x:v>0</x:v>
      </x:c>
      <x:c r="GY412">
        <x:f t="shared" si="524"/>
        <x:v>0</x:v>
      </x:c>
      <x:c r="GZ412">
        <x:f t="shared" si="525"/>
        <x:v>0</x:v>
      </x:c>
      <x:c r="HA412">
        <x:f t="shared" si="526"/>
        <x:v>0</x:v>
      </x:c>
      <x:c r="HB412" s="42">
        <x:f t="shared" si="527"/>
        <x:v>0</x:v>
      </x:c>
      <x:c r="HC412">
        <x:f t="shared" si="528"/>
        <x:v>0</x:v>
      </x:c>
      <x:c r="HD412">
        <x:f t="shared" si="529"/>
        <x:v>0</x:v>
      </x:c>
      <x:c r="HE412">
        <x:f t="shared" si="530"/>
        <x:v>0</x:v>
      </x:c>
      <x:c r="HF412">
        <x:f t="shared" si="531"/>
        <x:v>0</x:v>
      </x:c>
      <x:c r="HG412">
        <x:f t="shared" si="532"/>
        <x:v>0</x:v>
      </x:c>
      <x:c r="HH412">
        <x:f t="shared" si="533"/>
        <x:v>0</x:v>
      </x:c>
      <x:c r="HI412">
        <x:f t="shared" si="534"/>
        <x:v>0</x:v>
      </x:c>
      <x:c r="HJ412">
        <x:f t="shared" si="535"/>
        <x:v>0</x:v>
      </x:c>
      <x:c r="HK412">
        <x:f t="shared" si="536"/>
        <x:v>0</x:v>
      </x:c>
      <x:c r="HL412">
        <x:f t="shared" si="537"/>
        <x:v>0</x:v>
      </x:c>
    </x:row>
    <x:row r="413">
      <x:c r="D413" s="74"/>
      <x:c r="EQ413">
        <x:f t="shared" si="464"/>
        <x:v>0</x:v>
      </x:c>
      <x:c r="ER413">
        <x:f t="shared" si="465"/>
        <x:v>0</x:v>
      </x:c>
      <x:c r="ES413">
        <x:f t="shared" si="466"/>
        <x:v>0</x:v>
      </x:c>
      <x:c r="ET413">
        <x:f t="shared" si="467"/>
        <x:v>0</x:v>
      </x:c>
      <x:c r="EU413">
        <x:f t="shared" si="468"/>
        <x:v>0</x:v>
      </x:c>
      <x:c r="EV413">
        <x:f t="shared" si="469"/>
        <x:v>0</x:v>
      </x:c>
      <x:c r="EW413">
        <x:f t="shared" si="470"/>
        <x:v>0</x:v>
      </x:c>
      <x:c r="EX413">
        <x:f t="shared" si="471"/>
        <x:v>0</x:v>
      </x:c>
      <x:c r="EY413">
        <x:f t="shared" si="472"/>
        <x:v>0</x:v>
      </x:c>
      <x:c r="EZ413">
        <x:f t="shared" si="473"/>
        <x:v>0</x:v>
      </x:c>
      <x:c r="FA413" s="41">
        <x:f t="shared" si="474"/>
        <x:v>0</x:v>
      </x:c>
      <x:c r="FB413">
        <x:f t="shared" si="475"/>
        <x:v>0</x:v>
      </x:c>
      <x:c r="FC413">
        <x:f t="shared" si="476"/>
        <x:v>0</x:v>
      </x:c>
      <x:c r="FD413">
        <x:f t="shared" si="477"/>
        <x:v>0</x:v>
      </x:c>
      <x:c r="FE413">
        <x:f t="shared" si="478"/>
        <x:v>0</x:v>
      </x:c>
      <x:c r="FF413">
        <x:f t="shared" si="479"/>
        <x:v>0</x:v>
      </x:c>
      <x:c r="FG413">
        <x:f t="shared" si="480"/>
        <x:v>0</x:v>
      </x:c>
      <x:c r="FH413">
        <x:f t="shared" si="481"/>
        <x:v>0</x:v>
      </x:c>
      <x:c r="FI413">
        <x:f t="shared" si="482"/>
        <x:v>0</x:v>
      </x:c>
      <x:c r="FJ413">
        <x:f t="shared" si="483"/>
        <x:v>0</x:v>
      </x:c>
      <x:c r="FK413">
        <x:f t="shared" si="484"/>
        <x:v>0</x:v>
      </x:c>
      <x:c r="FL413" s="41">
        <x:f t="shared" si="485"/>
        <x:v>0</x:v>
      </x:c>
      <x:c r="FM413">
        <x:f t="shared" si="486"/>
        <x:v>0</x:v>
      </x:c>
      <x:c r="FN413">
        <x:f t="shared" si="487"/>
        <x:v>0</x:v>
      </x:c>
      <x:c r="FO413">
        <x:f t="shared" si="488"/>
        <x:v>0</x:v>
      </x:c>
      <x:c r="FP413">
        <x:f t="shared" si="489"/>
        <x:v>0</x:v>
      </x:c>
      <x:c r="FQ413">
        <x:f t="shared" si="490"/>
        <x:v>0</x:v>
      </x:c>
      <x:c r="FR413">
        <x:f t="shared" si="491"/>
        <x:v>0</x:v>
      </x:c>
      <x:c r="FS413">
        <x:f t="shared" si="492"/>
        <x:v>0</x:v>
      </x:c>
      <x:c r="FT413">
        <x:f t="shared" si="493"/>
        <x:v>0</x:v>
      </x:c>
      <x:c r="FU413">
        <x:f t="shared" si="494"/>
        <x:v>0</x:v>
      </x:c>
      <x:c r="FV413">
        <x:f t="shared" si="495"/>
        <x:v>0</x:v>
      </x:c>
      <x:c r="FW413" s="41">
        <x:f t="shared" si="496"/>
        <x:v>0</x:v>
      </x:c>
      <x:c r="FX413">
        <x:f t="shared" si="497"/>
        <x:v>0</x:v>
      </x:c>
      <x:c r="FY413">
        <x:f t="shared" si="498"/>
        <x:v>0</x:v>
      </x:c>
      <x:c r="FZ413">
        <x:f t="shared" si="499"/>
        <x:v>0</x:v>
      </x:c>
      <x:c r="GA413">
        <x:f t="shared" si="500"/>
        <x:v>0</x:v>
      </x:c>
      <x:c r="GB413">
        <x:f t="shared" si="501"/>
        <x:v>0</x:v>
      </x:c>
      <x:c r="GC413">
        <x:f t="shared" si="502"/>
        <x:v>0</x:v>
      </x:c>
      <x:c r="GD413">
        <x:f t="shared" si="503"/>
        <x:v>0</x:v>
      </x:c>
      <x:c r="GE413">
        <x:f t="shared" si="504"/>
        <x:v>0</x:v>
      </x:c>
      <x:c r="GF413">
        <x:f t="shared" si="505"/>
        <x:v>0</x:v>
      </x:c>
      <x:c r="GG413">
        <x:f t="shared" si="506"/>
        <x:v>0</x:v>
      </x:c>
      <x:c r="GH413">
        <x:f t="shared" si="507"/>
        <x:v>0</x:v>
      </x:c>
      <x:c r="GI413">
        <x:f t="shared" si="508"/>
        <x:v>0</x:v>
      </x:c>
      <x:c r="GJ413">
        <x:f t="shared" si="509"/>
        <x:v>0</x:v>
      </x:c>
      <x:c r="GK413">
        <x:f t="shared" si="510"/>
        <x:v>0</x:v>
      </x:c>
      <x:c r="GL413">
        <x:f t="shared" si="511"/>
        <x:v>0</x:v>
      </x:c>
      <x:c r="GM413">
        <x:f t="shared" si="512"/>
        <x:v>0</x:v>
      </x:c>
      <x:c r="GN413">
        <x:f t="shared" si="513"/>
        <x:v>0</x:v>
      </x:c>
      <x:c r="GO413">
        <x:f t="shared" si="514"/>
        <x:v>0</x:v>
      </x:c>
      <x:c r="GP413">
        <x:f t="shared" si="515"/>
        <x:v>0</x:v>
      </x:c>
      <x:c r="GQ413">
        <x:f t="shared" si="516"/>
        <x:v>0</x:v>
      </x:c>
      <x:c r="GR413" s="42">
        <x:f t="shared" si="517"/>
        <x:v>0</x:v>
      </x:c>
      <x:c r="GS413">
        <x:f t="shared" si="518"/>
        <x:v>0</x:v>
      </x:c>
      <x:c r="GT413">
        <x:f t="shared" si="519"/>
        <x:v>0</x:v>
      </x:c>
      <x:c r="GU413">
        <x:f t="shared" si="520"/>
        <x:v>0</x:v>
      </x:c>
      <x:c r="GV413">
        <x:f t="shared" si="521"/>
        <x:v>0</x:v>
      </x:c>
      <x:c r="GW413">
        <x:f t="shared" si="522"/>
        <x:v>0</x:v>
      </x:c>
      <x:c r="GX413">
        <x:f t="shared" si="523"/>
        <x:v>0</x:v>
      </x:c>
      <x:c r="GY413">
        <x:f t="shared" si="524"/>
        <x:v>0</x:v>
      </x:c>
      <x:c r="GZ413">
        <x:f t="shared" si="525"/>
        <x:v>0</x:v>
      </x:c>
      <x:c r="HA413">
        <x:f t="shared" si="526"/>
        <x:v>0</x:v>
      </x:c>
      <x:c r="HB413" s="42">
        <x:f t="shared" si="527"/>
        <x:v>0</x:v>
      </x:c>
      <x:c r="HC413">
        <x:f t="shared" si="528"/>
        <x:v>0</x:v>
      </x:c>
      <x:c r="HD413">
        <x:f t="shared" si="529"/>
        <x:v>0</x:v>
      </x:c>
      <x:c r="HE413">
        <x:f t="shared" si="530"/>
        <x:v>0</x:v>
      </x:c>
      <x:c r="HF413">
        <x:f t="shared" si="531"/>
        <x:v>0</x:v>
      </x:c>
      <x:c r="HG413">
        <x:f t="shared" si="532"/>
        <x:v>0</x:v>
      </x:c>
      <x:c r="HH413">
        <x:f t="shared" si="533"/>
        <x:v>0</x:v>
      </x:c>
      <x:c r="HI413">
        <x:f t="shared" si="534"/>
        <x:v>0</x:v>
      </x:c>
      <x:c r="HJ413">
        <x:f t="shared" si="535"/>
        <x:v>0</x:v>
      </x:c>
      <x:c r="HK413">
        <x:f t="shared" si="536"/>
        <x:v>0</x:v>
      </x:c>
      <x:c r="HL413">
        <x:f t="shared" si="537"/>
        <x:v>0</x:v>
      </x:c>
    </x:row>
    <x:row r="414">
      <x:c r="D414" s="74"/>
      <x:c r="EQ414">
        <x:f t="shared" si="464"/>
        <x:v>0</x:v>
      </x:c>
      <x:c r="ER414">
        <x:f t="shared" si="465"/>
        <x:v>0</x:v>
      </x:c>
      <x:c r="ES414">
        <x:f t="shared" si="466"/>
        <x:v>0</x:v>
      </x:c>
      <x:c r="ET414">
        <x:f t="shared" si="467"/>
        <x:v>0</x:v>
      </x:c>
      <x:c r="EU414">
        <x:f t="shared" si="468"/>
        <x:v>0</x:v>
      </x:c>
      <x:c r="EV414">
        <x:f t="shared" si="469"/>
        <x:v>0</x:v>
      </x:c>
      <x:c r="EW414">
        <x:f t="shared" si="470"/>
        <x:v>0</x:v>
      </x:c>
      <x:c r="EX414">
        <x:f t="shared" si="471"/>
        <x:v>0</x:v>
      </x:c>
      <x:c r="EY414">
        <x:f t="shared" si="472"/>
        <x:v>0</x:v>
      </x:c>
      <x:c r="EZ414">
        <x:f t="shared" si="473"/>
        <x:v>0</x:v>
      </x:c>
      <x:c r="FA414" s="41">
        <x:f t="shared" si="474"/>
        <x:v>0</x:v>
      </x:c>
      <x:c r="FB414">
        <x:f t="shared" si="475"/>
        <x:v>0</x:v>
      </x:c>
      <x:c r="FC414">
        <x:f t="shared" si="476"/>
        <x:v>0</x:v>
      </x:c>
      <x:c r="FD414">
        <x:f t="shared" si="477"/>
        <x:v>0</x:v>
      </x:c>
      <x:c r="FE414">
        <x:f t="shared" si="478"/>
        <x:v>0</x:v>
      </x:c>
      <x:c r="FF414">
        <x:f t="shared" si="479"/>
        <x:v>0</x:v>
      </x:c>
      <x:c r="FG414">
        <x:f t="shared" si="480"/>
        <x:v>0</x:v>
      </x:c>
      <x:c r="FH414">
        <x:f t="shared" si="481"/>
        <x:v>0</x:v>
      </x:c>
      <x:c r="FI414">
        <x:f t="shared" si="482"/>
        <x:v>0</x:v>
      </x:c>
      <x:c r="FJ414">
        <x:f t="shared" si="483"/>
        <x:v>0</x:v>
      </x:c>
      <x:c r="FK414">
        <x:f t="shared" si="484"/>
        <x:v>0</x:v>
      </x:c>
      <x:c r="FL414" s="41">
        <x:f t="shared" si="485"/>
        <x:v>0</x:v>
      </x:c>
      <x:c r="FM414">
        <x:f t="shared" si="486"/>
        <x:v>0</x:v>
      </x:c>
      <x:c r="FN414">
        <x:f t="shared" si="487"/>
        <x:v>0</x:v>
      </x:c>
      <x:c r="FO414">
        <x:f t="shared" si="488"/>
        <x:v>0</x:v>
      </x:c>
      <x:c r="FP414">
        <x:f t="shared" si="489"/>
        <x:v>0</x:v>
      </x:c>
      <x:c r="FQ414">
        <x:f t="shared" si="490"/>
        <x:v>0</x:v>
      </x:c>
      <x:c r="FR414">
        <x:f t="shared" si="491"/>
        <x:v>0</x:v>
      </x:c>
      <x:c r="FS414">
        <x:f t="shared" si="492"/>
        <x:v>0</x:v>
      </x:c>
      <x:c r="FT414">
        <x:f t="shared" si="493"/>
        <x:v>0</x:v>
      </x:c>
      <x:c r="FU414">
        <x:f t="shared" si="494"/>
        <x:v>0</x:v>
      </x:c>
      <x:c r="FV414">
        <x:f t="shared" si="495"/>
        <x:v>0</x:v>
      </x:c>
      <x:c r="FW414" s="41">
        <x:f t="shared" si="496"/>
        <x:v>0</x:v>
      </x:c>
      <x:c r="FX414">
        <x:f t="shared" si="497"/>
        <x:v>0</x:v>
      </x:c>
      <x:c r="FY414">
        <x:f t="shared" si="498"/>
        <x:v>0</x:v>
      </x:c>
      <x:c r="FZ414">
        <x:f t="shared" si="499"/>
        <x:v>0</x:v>
      </x:c>
      <x:c r="GA414">
        <x:f t="shared" si="500"/>
        <x:v>0</x:v>
      </x:c>
      <x:c r="GB414">
        <x:f t="shared" si="501"/>
        <x:v>0</x:v>
      </x:c>
      <x:c r="GC414">
        <x:f t="shared" si="502"/>
        <x:v>0</x:v>
      </x:c>
      <x:c r="GD414">
        <x:f t="shared" si="503"/>
        <x:v>0</x:v>
      </x:c>
      <x:c r="GE414">
        <x:f t="shared" si="504"/>
        <x:v>0</x:v>
      </x:c>
      <x:c r="GF414">
        <x:f t="shared" si="505"/>
        <x:v>0</x:v>
      </x:c>
      <x:c r="GG414">
        <x:f t="shared" si="506"/>
        <x:v>0</x:v>
      </x:c>
      <x:c r="GH414">
        <x:f t="shared" si="507"/>
        <x:v>0</x:v>
      </x:c>
      <x:c r="GI414">
        <x:f t="shared" si="508"/>
        <x:v>0</x:v>
      </x:c>
      <x:c r="GJ414">
        <x:f t="shared" si="509"/>
        <x:v>0</x:v>
      </x:c>
      <x:c r="GK414">
        <x:f t="shared" si="510"/>
        <x:v>0</x:v>
      </x:c>
      <x:c r="GL414">
        <x:f t="shared" si="511"/>
        <x:v>0</x:v>
      </x:c>
      <x:c r="GM414">
        <x:f t="shared" si="512"/>
        <x:v>0</x:v>
      </x:c>
      <x:c r="GN414">
        <x:f t="shared" si="513"/>
        <x:v>0</x:v>
      </x:c>
      <x:c r="GO414">
        <x:f t="shared" si="514"/>
        <x:v>0</x:v>
      </x:c>
      <x:c r="GP414">
        <x:f t="shared" si="515"/>
        <x:v>0</x:v>
      </x:c>
      <x:c r="GQ414">
        <x:f t="shared" si="516"/>
        <x:v>0</x:v>
      </x:c>
      <x:c r="GR414" s="42">
        <x:f t="shared" si="517"/>
        <x:v>0</x:v>
      </x:c>
      <x:c r="GS414">
        <x:f t="shared" si="518"/>
        <x:v>0</x:v>
      </x:c>
      <x:c r="GT414">
        <x:f t="shared" si="519"/>
        <x:v>0</x:v>
      </x:c>
      <x:c r="GU414">
        <x:f t="shared" si="520"/>
        <x:v>0</x:v>
      </x:c>
      <x:c r="GV414">
        <x:f t="shared" si="521"/>
        <x:v>0</x:v>
      </x:c>
      <x:c r="GW414">
        <x:f t="shared" si="522"/>
        <x:v>0</x:v>
      </x:c>
      <x:c r="GX414">
        <x:f t="shared" si="523"/>
        <x:v>0</x:v>
      </x:c>
      <x:c r="GY414">
        <x:f t="shared" si="524"/>
        <x:v>0</x:v>
      </x:c>
      <x:c r="GZ414">
        <x:f t="shared" si="525"/>
        <x:v>0</x:v>
      </x:c>
      <x:c r="HA414">
        <x:f t="shared" si="526"/>
        <x:v>0</x:v>
      </x:c>
      <x:c r="HB414" s="42">
        <x:f t="shared" si="527"/>
        <x:v>0</x:v>
      </x:c>
      <x:c r="HC414">
        <x:f t="shared" si="528"/>
        <x:v>0</x:v>
      </x:c>
      <x:c r="HD414">
        <x:f t="shared" si="529"/>
        <x:v>0</x:v>
      </x:c>
      <x:c r="HE414">
        <x:f t="shared" si="530"/>
        <x:v>0</x:v>
      </x:c>
      <x:c r="HF414">
        <x:f t="shared" si="531"/>
        <x:v>0</x:v>
      </x:c>
      <x:c r="HG414">
        <x:f t="shared" si="532"/>
        <x:v>0</x:v>
      </x:c>
      <x:c r="HH414">
        <x:f t="shared" si="533"/>
        <x:v>0</x:v>
      </x:c>
      <x:c r="HI414">
        <x:f t="shared" si="534"/>
        <x:v>0</x:v>
      </x:c>
      <x:c r="HJ414">
        <x:f t="shared" si="535"/>
        <x:v>0</x:v>
      </x:c>
      <x:c r="HK414">
        <x:f t="shared" si="536"/>
        <x:v>0</x:v>
      </x:c>
      <x:c r="HL414">
        <x:f t="shared" si="537"/>
        <x:v>0</x:v>
      </x:c>
    </x:row>
    <x:row r="415">
      <x:c r="D415" s="74"/>
      <x:c r="EQ415">
        <x:f t="shared" si="464"/>
        <x:v>0</x:v>
      </x:c>
      <x:c r="ER415">
        <x:f t="shared" si="465"/>
        <x:v>0</x:v>
      </x:c>
      <x:c r="ES415">
        <x:f t="shared" si="466"/>
        <x:v>0</x:v>
      </x:c>
      <x:c r="ET415">
        <x:f t="shared" si="467"/>
        <x:v>0</x:v>
      </x:c>
      <x:c r="EU415">
        <x:f t="shared" si="468"/>
        <x:v>0</x:v>
      </x:c>
      <x:c r="EV415">
        <x:f t="shared" si="469"/>
        <x:v>0</x:v>
      </x:c>
      <x:c r="EW415">
        <x:f t="shared" si="470"/>
        <x:v>0</x:v>
      </x:c>
      <x:c r="EX415">
        <x:f t="shared" si="471"/>
        <x:v>0</x:v>
      </x:c>
      <x:c r="EY415">
        <x:f t="shared" si="472"/>
        <x:v>0</x:v>
      </x:c>
      <x:c r="EZ415">
        <x:f t="shared" si="473"/>
        <x:v>0</x:v>
      </x:c>
      <x:c r="FA415" s="41">
        <x:f t="shared" si="474"/>
        <x:v>0</x:v>
      </x:c>
      <x:c r="FB415">
        <x:f t="shared" si="475"/>
        <x:v>0</x:v>
      </x:c>
      <x:c r="FC415">
        <x:f t="shared" si="476"/>
        <x:v>0</x:v>
      </x:c>
      <x:c r="FD415">
        <x:f t="shared" si="477"/>
        <x:v>0</x:v>
      </x:c>
      <x:c r="FE415">
        <x:f t="shared" si="478"/>
        <x:v>0</x:v>
      </x:c>
      <x:c r="FF415">
        <x:f t="shared" si="479"/>
        <x:v>0</x:v>
      </x:c>
      <x:c r="FG415">
        <x:f t="shared" si="480"/>
        <x:v>0</x:v>
      </x:c>
      <x:c r="FH415">
        <x:f t="shared" si="481"/>
        <x:v>0</x:v>
      </x:c>
      <x:c r="FI415">
        <x:f t="shared" si="482"/>
        <x:v>0</x:v>
      </x:c>
      <x:c r="FJ415">
        <x:f t="shared" si="483"/>
        <x:v>0</x:v>
      </x:c>
      <x:c r="FK415">
        <x:f t="shared" si="484"/>
        <x:v>0</x:v>
      </x:c>
      <x:c r="FL415" s="41">
        <x:f t="shared" si="485"/>
        <x:v>0</x:v>
      </x:c>
      <x:c r="FM415">
        <x:f t="shared" si="486"/>
        <x:v>0</x:v>
      </x:c>
      <x:c r="FN415">
        <x:f t="shared" si="487"/>
        <x:v>0</x:v>
      </x:c>
      <x:c r="FO415">
        <x:f t="shared" si="488"/>
        <x:v>0</x:v>
      </x:c>
      <x:c r="FP415">
        <x:f t="shared" si="489"/>
        <x:v>0</x:v>
      </x:c>
      <x:c r="FQ415">
        <x:f t="shared" si="490"/>
        <x:v>0</x:v>
      </x:c>
      <x:c r="FR415">
        <x:f t="shared" si="491"/>
        <x:v>0</x:v>
      </x:c>
      <x:c r="FS415">
        <x:f t="shared" si="492"/>
        <x:v>0</x:v>
      </x:c>
      <x:c r="FT415">
        <x:f t="shared" si="493"/>
        <x:v>0</x:v>
      </x:c>
      <x:c r="FU415">
        <x:f t="shared" si="494"/>
        <x:v>0</x:v>
      </x:c>
      <x:c r="FV415">
        <x:f t="shared" si="495"/>
        <x:v>0</x:v>
      </x:c>
      <x:c r="FW415" s="41">
        <x:f t="shared" si="496"/>
        <x:v>0</x:v>
      </x:c>
      <x:c r="FX415">
        <x:f t="shared" si="497"/>
        <x:v>0</x:v>
      </x:c>
      <x:c r="FY415">
        <x:f t="shared" si="498"/>
        <x:v>0</x:v>
      </x:c>
      <x:c r="FZ415">
        <x:f t="shared" si="499"/>
        <x:v>0</x:v>
      </x:c>
      <x:c r="GA415">
        <x:f t="shared" si="500"/>
        <x:v>0</x:v>
      </x:c>
      <x:c r="GB415">
        <x:f t="shared" si="501"/>
        <x:v>0</x:v>
      </x:c>
      <x:c r="GC415">
        <x:f t="shared" si="502"/>
        <x:v>0</x:v>
      </x:c>
      <x:c r="GD415">
        <x:f t="shared" si="503"/>
        <x:v>0</x:v>
      </x:c>
      <x:c r="GE415">
        <x:f t="shared" si="504"/>
        <x:v>0</x:v>
      </x:c>
      <x:c r="GF415">
        <x:f t="shared" si="505"/>
        <x:v>0</x:v>
      </x:c>
      <x:c r="GG415">
        <x:f t="shared" si="506"/>
        <x:v>0</x:v>
      </x:c>
      <x:c r="GH415">
        <x:f t="shared" si="507"/>
        <x:v>0</x:v>
      </x:c>
      <x:c r="GI415">
        <x:f t="shared" si="508"/>
        <x:v>0</x:v>
      </x:c>
      <x:c r="GJ415">
        <x:f t="shared" si="509"/>
        <x:v>0</x:v>
      </x:c>
      <x:c r="GK415">
        <x:f t="shared" si="510"/>
        <x:v>0</x:v>
      </x:c>
      <x:c r="GL415">
        <x:f t="shared" si="511"/>
        <x:v>0</x:v>
      </x:c>
      <x:c r="GM415">
        <x:f t="shared" si="512"/>
        <x:v>0</x:v>
      </x:c>
      <x:c r="GN415">
        <x:f t="shared" si="513"/>
        <x:v>0</x:v>
      </x:c>
      <x:c r="GO415">
        <x:f t="shared" si="514"/>
        <x:v>0</x:v>
      </x:c>
      <x:c r="GP415">
        <x:f t="shared" si="515"/>
        <x:v>0</x:v>
      </x:c>
      <x:c r="GQ415">
        <x:f t="shared" si="516"/>
        <x:v>0</x:v>
      </x:c>
      <x:c r="GR415" s="42">
        <x:f t="shared" si="517"/>
        <x:v>0</x:v>
      </x:c>
      <x:c r="GS415">
        <x:f t="shared" si="518"/>
        <x:v>0</x:v>
      </x:c>
      <x:c r="GT415">
        <x:f t="shared" si="519"/>
        <x:v>0</x:v>
      </x:c>
      <x:c r="GU415">
        <x:f t="shared" si="520"/>
        <x:v>0</x:v>
      </x:c>
      <x:c r="GV415">
        <x:f t="shared" si="521"/>
        <x:v>0</x:v>
      </x:c>
      <x:c r="GW415">
        <x:f t="shared" si="522"/>
        <x:v>0</x:v>
      </x:c>
      <x:c r="GX415">
        <x:f t="shared" si="523"/>
        <x:v>0</x:v>
      </x:c>
      <x:c r="GY415">
        <x:f t="shared" si="524"/>
        <x:v>0</x:v>
      </x:c>
      <x:c r="GZ415">
        <x:f t="shared" si="525"/>
        <x:v>0</x:v>
      </x:c>
      <x:c r="HA415">
        <x:f t="shared" si="526"/>
        <x:v>0</x:v>
      </x:c>
      <x:c r="HB415" s="42">
        <x:f t="shared" si="527"/>
        <x:v>0</x:v>
      </x:c>
      <x:c r="HC415">
        <x:f t="shared" si="528"/>
        <x:v>0</x:v>
      </x:c>
      <x:c r="HD415">
        <x:f t="shared" si="529"/>
        <x:v>0</x:v>
      </x:c>
      <x:c r="HE415">
        <x:f t="shared" si="530"/>
        <x:v>0</x:v>
      </x:c>
      <x:c r="HF415">
        <x:f t="shared" si="531"/>
        <x:v>0</x:v>
      </x:c>
      <x:c r="HG415">
        <x:f t="shared" si="532"/>
        <x:v>0</x:v>
      </x:c>
      <x:c r="HH415">
        <x:f t="shared" si="533"/>
        <x:v>0</x:v>
      </x:c>
      <x:c r="HI415">
        <x:f t="shared" si="534"/>
        <x:v>0</x:v>
      </x:c>
      <x:c r="HJ415">
        <x:f t="shared" si="535"/>
        <x:v>0</x:v>
      </x:c>
      <x:c r="HK415">
        <x:f t="shared" si="536"/>
        <x:v>0</x:v>
      </x:c>
      <x:c r="HL415">
        <x:f t="shared" si="537"/>
        <x:v>0</x:v>
      </x:c>
    </x:row>
    <x:row r="416">
      <x:c r="D416" s="74"/>
      <x:c r="EQ416">
        <x:f t="shared" si="464"/>
        <x:v>0</x:v>
      </x:c>
      <x:c r="ER416">
        <x:f t="shared" si="465"/>
        <x:v>0</x:v>
      </x:c>
      <x:c r="ES416">
        <x:f t="shared" si="466"/>
        <x:v>0</x:v>
      </x:c>
      <x:c r="ET416">
        <x:f t="shared" si="467"/>
        <x:v>0</x:v>
      </x:c>
      <x:c r="EU416">
        <x:f t="shared" si="468"/>
        <x:v>0</x:v>
      </x:c>
      <x:c r="EV416">
        <x:f t="shared" si="469"/>
        <x:v>0</x:v>
      </x:c>
      <x:c r="EW416">
        <x:f t="shared" si="470"/>
        <x:v>0</x:v>
      </x:c>
      <x:c r="EX416">
        <x:f t="shared" si="471"/>
        <x:v>0</x:v>
      </x:c>
      <x:c r="EY416">
        <x:f t="shared" si="472"/>
        <x:v>0</x:v>
      </x:c>
      <x:c r="EZ416">
        <x:f t="shared" si="473"/>
        <x:v>0</x:v>
      </x:c>
      <x:c r="FA416" s="41">
        <x:f t="shared" si="474"/>
        <x:v>0</x:v>
      </x:c>
      <x:c r="FB416">
        <x:f t="shared" si="475"/>
        <x:v>0</x:v>
      </x:c>
      <x:c r="FC416">
        <x:f t="shared" si="476"/>
        <x:v>0</x:v>
      </x:c>
      <x:c r="FD416">
        <x:f t="shared" si="477"/>
        <x:v>0</x:v>
      </x:c>
      <x:c r="FE416">
        <x:f t="shared" si="478"/>
        <x:v>0</x:v>
      </x:c>
      <x:c r="FF416">
        <x:f t="shared" si="479"/>
        <x:v>0</x:v>
      </x:c>
      <x:c r="FG416">
        <x:f t="shared" si="480"/>
        <x:v>0</x:v>
      </x:c>
      <x:c r="FH416">
        <x:f t="shared" si="481"/>
        <x:v>0</x:v>
      </x:c>
      <x:c r="FI416">
        <x:f t="shared" si="482"/>
        <x:v>0</x:v>
      </x:c>
      <x:c r="FJ416">
        <x:f t="shared" si="483"/>
        <x:v>0</x:v>
      </x:c>
      <x:c r="FK416">
        <x:f t="shared" si="484"/>
        <x:v>0</x:v>
      </x:c>
      <x:c r="FL416" s="41">
        <x:f t="shared" si="485"/>
        <x:v>0</x:v>
      </x:c>
      <x:c r="FM416">
        <x:f t="shared" si="486"/>
        <x:v>0</x:v>
      </x:c>
      <x:c r="FN416">
        <x:f t="shared" si="487"/>
        <x:v>0</x:v>
      </x:c>
      <x:c r="FO416">
        <x:f t="shared" si="488"/>
        <x:v>0</x:v>
      </x:c>
      <x:c r="FP416">
        <x:f t="shared" si="489"/>
        <x:v>0</x:v>
      </x:c>
      <x:c r="FQ416">
        <x:f t="shared" si="490"/>
        <x:v>0</x:v>
      </x:c>
      <x:c r="FR416">
        <x:f t="shared" si="491"/>
        <x:v>0</x:v>
      </x:c>
      <x:c r="FS416">
        <x:f t="shared" si="492"/>
        <x:v>0</x:v>
      </x:c>
      <x:c r="FT416">
        <x:f t="shared" si="493"/>
        <x:v>0</x:v>
      </x:c>
      <x:c r="FU416">
        <x:f t="shared" si="494"/>
        <x:v>0</x:v>
      </x:c>
      <x:c r="FV416">
        <x:f t="shared" si="495"/>
        <x:v>0</x:v>
      </x:c>
      <x:c r="FW416" s="41">
        <x:f t="shared" si="496"/>
        <x:v>0</x:v>
      </x:c>
      <x:c r="FX416">
        <x:f t="shared" si="497"/>
        <x:v>0</x:v>
      </x:c>
      <x:c r="FY416">
        <x:f t="shared" si="498"/>
        <x:v>0</x:v>
      </x:c>
      <x:c r="FZ416">
        <x:f t="shared" si="499"/>
        <x:v>0</x:v>
      </x:c>
      <x:c r="GA416">
        <x:f t="shared" si="500"/>
        <x:v>0</x:v>
      </x:c>
      <x:c r="GB416">
        <x:f t="shared" si="501"/>
        <x:v>0</x:v>
      </x:c>
      <x:c r="GC416">
        <x:f t="shared" si="502"/>
        <x:v>0</x:v>
      </x:c>
      <x:c r="GD416">
        <x:f t="shared" si="503"/>
        <x:v>0</x:v>
      </x:c>
      <x:c r="GE416">
        <x:f t="shared" si="504"/>
        <x:v>0</x:v>
      </x:c>
      <x:c r="GF416">
        <x:f t="shared" si="505"/>
        <x:v>0</x:v>
      </x:c>
      <x:c r="GG416">
        <x:f t="shared" si="506"/>
        <x:v>0</x:v>
      </x:c>
      <x:c r="GH416">
        <x:f t="shared" si="507"/>
        <x:v>0</x:v>
      </x:c>
      <x:c r="GI416">
        <x:f t="shared" si="508"/>
        <x:v>0</x:v>
      </x:c>
      <x:c r="GJ416">
        <x:f t="shared" si="509"/>
        <x:v>0</x:v>
      </x:c>
      <x:c r="GK416">
        <x:f t="shared" si="510"/>
        <x:v>0</x:v>
      </x:c>
      <x:c r="GL416">
        <x:f t="shared" si="511"/>
        <x:v>0</x:v>
      </x:c>
      <x:c r="GM416">
        <x:f t="shared" si="512"/>
        <x:v>0</x:v>
      </x:c>
      <x:c r="GN416">
        <x:f t="shared" si="513"/>
        <x:v>0</x:v>
      </x:c>
      <x:c r="GO416">
        <x:f t="shared" si="514"/>
        <x:v>0</x:v>
      </x:c>
      <x:c r="GP416">
        <x:f t="shared" si="515"/>
        <x:v>0</x:v>
      </x:c>
      <x:c r="GQ416">
        <x:f t="shared" si="516"/>
        <x:v>0</x:v>
      </x:c>
      <x:c r="GR416" s="42">
        <x:f t="shared" si="517"/>
        <x:v>0</x:v>
      </x:c>
      <x:c r="GS416">
        <x:f t="shared" si="518"/>
        <x:v>0</x:v>
      </x:c>
      <x:c r="GT416">
        <x:f t="shared" si="519"/>
        <x:v>0</x:v>
      </x:c>
      <x:c r="GU416">
        <x:f t="shared" si="520"/>
        <x:v>0</x:v>
      </x:c>
      <x:c r="GV416">
        <x:f t="shared" si="521"/>
        <x:v>0</x:v>
      </x:c>
      <x:c r="GW416">
        <x:f t="shared" si="522"/>
        <x:v>0</x:v>
      </x:c>
      <x:c r="GX416">
        <x:f t="shared" si="523"/>
        <x:v>0</x:v>
      </x:c>
      <x:c r="GY416">
        <x:f t="shared" si="524"/>
        <x:v>0</x:v>
      </x:c>
      <x:c r="GZ416">
        <x:f t="shared" si="525"/>
        <x:v>0</x:v>
      </x:c>
      <x:c r="HA416">
        <x:f t="shared" si="526"/>
        <x:v>0</x:v>
      </x:c>
      <x:c r="HB416" s="42">
        <x:f t="shared" si="527"/>
        <x:v>0</x:v>
      </x:c>
      <x:c r="HC416">
        <x:f t="shared" si="528"/>
        <x:v>0</x:v>
      </x:c>
      <x:c r="HD416">
        <x:f t="shared" si="529"/>
        <x:v>0</x:v>
      </x:c>
      <x:c r="HE416">
        <x:f t="shared" si="530"/>
        <x:v>0</x:v>
      </x:c>
      <x:c r="HF416">
        <x:f t="shared" si="531"/>
        <x:v>0</x:v>
      </x:c>
      <x:c r="HG416">
        <x:f t="shared" si="532"/>
        <x:v>0</x:v>
      </x:c>
      <x:c r="HH416">
        <x:f t="shared" si="533"/>
        <x:v>0</x:v>
      </x:c>
      <x:c r="HI416">
        <x:f t="shared" si="534"/>
        <x:v>0</x:v>
      </x:c>
      <x:c r="HJ416">
        <x:f t="shared" si="535"/>
        <x:v>0</x:v>
      </x:c>
      <x:c r="HK416">
        <x:f t="shared" si="536"/>
        <x:v>0</x:v>
      </x:c>
      <x:c r="HL416">
        <x:f t="shared" si="537"/>
        <x:v>0</x:v>
      </x:c>
    </x:row>
    <x:row r="417">
      <x:c r="D417" s="74"/>
      <x:c r="EQ417">
        <x:f t="shared" si="464"/>
        <x:v>0</x:v>
      </x:c>
      <x:c r="ER417">
        <x:f t="shared" si="465"/>
        <x:v>0</x:v>
      </x:c>
      <x:c r="ES417">
        <x:f t="shared" si="466"/>
        <x:v>0</x:v>
      </x:c>
      <x:c r="ET417">
        <x:f t="shared" si="467"/>
        <x:v>0</x:v>
      </x:c>
      <x:c r="EU417">
        <x:f t="shared" si="468"/>
        <x:v>0</x:v>
      </x:c>
      <x:c r="EV417">
        <x:f t="shared" si="469"/>
        <x:v>0</x:v>
      </x:c>
      <x:c r="EW417">
        <x:f t="shared" si="470"/>
        <x:v>0</x:v>
      </x:c>
      <x:c r="EX417">
        <x:f t="shared" si="471"/>
        <x:v>0</x:v>
      </x:c>
      <x:c r="EY417">
        <x:f t="shared" si="472"/>
        <x:v>0</x:v>
      </x:c>
      <x:c r="EZ417">
        <x:f t="shared" si="473"/>
        <x:v>0</x:v>
      </x:c>
      <x:c r="FA417" s="41">
        <x:f t="shared" si="474"/>
        <x:v>0</x:v>
      </x:c>
      <x:c r="FB417">
        <x:f t="shared" si="475"/>
        <x:v>0</x:v>
      </x:c>
      <x:c r="FC417">
        <x:f t="shared" si="476"/>
        <x:v>0</x:v>
      </x:c>
      <x:c r="FD417">
        <x:f t="shared" si="477"/>
        <x:v>0</x:v>
      </x:c>
      <x:c r="FE417">
        <x:f t="shared" si="478"/>
        <x:v>0</x:v>
      </x:c>
      <x:c r="FF417">
        <x:f t="shared" si="479"/>
        <x:v>0</x:v>
      </x:c>
      <x:c r="FG417">
        <x:f t="shared" si="480"/>
        <x:v>0</x:v>
      </x:c>
      <x:c r="FH417">
        <x:f t="shared" si="481"/>
        <x:v>0</x:v>
      </x:c>
      <x:c r="FI417">
        <x:f t="shared" si="482"/>
        <x:v>0</x:v>
      </x:c>
      <x:c r="FJ417">
        <x:f t="shared" si="483"/>
        <x:v>0</x:v>
      </x:c>
      <x:c r="FK417">
        <x:f t="shared" si="484"/>
        <x:v>0</x:v>
      </x:c>
      <x:c r="FL417" s="41">
        <x:f t="shared" si="485"/>
        <x:v>0</x:v>
      </x:c>
      <x:c r="FM417">
        <x:f t="shared" si="486"/>
        <x:v>0</x:v>
      </x:c>
      <x:c r="FN417">
        <x:f t="shared" si="487"/>
        <x:v>0</x:v>
      </x:c>
      <x:c r="FO417">
        <x:f t="shared" si="488"/>
        <x:v>0</x:v>
      </x:c>
      <x:c r="FP417">
        <x:f t="shared" si="489"/>
        <x:v>0</x:v>
      </x:c>
      <x:c r="FQ417">
        <x:f t="shared" si="490"/>
        <x:v>0</x:v>
      </x:c>
      <x:c r="FR417">
        <x:f t="shared" si="491"/>
        <x:v>0</x:v>
      </x:c>
      <x:c r="FS417">
        <x:f t="shared" si="492"/>
        <x:v>0</x:v>
      </x:c>
      <x:c r="FT417">
        <x:f t="shared" si="493"/>
        <x:v>0</x:v>
      </x:c>
      <x:c r="FU417">
        <x:f t="shared" si="494"/>
        <x:v>0</x:v>
      </x:c>
      <x:c r="FV417">
        <x:f t="shared" si="495"/>
        <x:v>0</x:v>
      </x:c>
      <x:c r="FW417" s="41">
        <x:f t="shared" si="496"/>
        <x:v>0</x:v>
      </x:c>
      <x:c r="FX417">
        <x:f t="shared" si="497"/>
        <x:v>0</x:v>
      </x:c>
      <x:c r="FY417">
        <x:f t="shared" si="498"/>
        <x:v>0</x:v>
      </x:c>
      <x:c r="FZ417">
        <x:f t="shared" si="499"/>
        <x:v>0</x:v>
      </x:c>
      <x:c r="GA417">
        <x:f t="shared" si="500"/>
        <x:v>0</x:v>
      </x:c>
      <x:c r="GB417">
        <x:f t="shared" si="501"/>
        <x:v>0</x:v>
      </x:c>
      <x:c r="GC417">
        <x:f t="shared" si="502"/>
        <x:v>0</x:v>
      </x:c>
      <x:c r="GD417">
        <x:f t="shared" si="503"/>
        <x:v>0</x:v>
      </x:c>
      <x:c r="GE417">
        <x:f t="shared" si="504"/>
        <x:v>0</x:v>
      </x:c>
      <x:c r="GF417">
        <x:f t="shared" si="505"/>
        <x:v>0</x:v>
      </x:c>
      <x:c r="GG417">
        <x:f t="shared" si="506"/>
        <x:v>0</x:v>
      </x:c>
      <x:c r="GH417">
        <x:f t="shared" si="507"/>
        <x:v>0</x:v>
      </x:c>
      <x:c r="GI417">
        <x:f t="shared" si="508"/>
        <x:v>0</x:v>
      </x:c>
      <x:c r="GJ417">
        <x:f t="shared" si="509"/>
        <x:v>0</x:v>
      </x:c>
      <x:c r="GK417">
        <x:f t="shared" si="510"/>
        <x:v>0</x:v>
      </x:c>
      <x:c r="GL417">
        <x:f t="shared" si="511"/>
        <x:v>0</x:v>
      </x:c>
      <x:c r="GM417">
        <x:f t="shared" si="512"/>
        <x:v>0</x:v>
      </x:c>
      <x:c r="GN417">
        <x:f t="shared" si="513"/>
        <x:v>0</x:v>
      </x:c>
      <x:c r="GO417">
        <x:f t="shared" si="514"/>
        <x:v>0</x:v>
      </x:c>
      <x:c r="GP417">
        <x:f t="shared" si="515"/>
        <x:v>0</x:v>
      </x:c>
      <x:c r="GQ417">
        <x:f t="shared" si="516"/>
        <x:v>0</x:v>
      </x:c>
      <x:c r="GR417" s="42">
        <x:f t="shared" si="517"/>
        <x:v>0</x:v>
      </x:c>
      <x:c r="GS417">
        <x:f t="shared" si="518"/>
        <x:v>0</x:v>
      </x:c>
      <x:c r="GT417">
        <x:f t="shared" si="519"/>
        <x:v>0</x:v>
      </x:c>
      <x:c r="GU417">
        <x:f t="shared" si="520"/>
        <x:v>0</x:v>
      </x:c>
      <x:c r="GV417">
        <x:f t="shared" si="521"/>
        <x:v>0</x:v>
      </x:c>
      <x:c r="GW417">
        <x:f t="shared" si="522"/>
        <x:v>0</x:v>
      </x:c>
      <x:c r="GX417">
        <x:f t="shared" si="523"/>
        <x:v>0</x:v>
      </x:c>
      <x:c r="GY417">
        <x:f t="shared" si="524"/>
        <x:v>0</x:v>
      </x:c>
      <x:c r="GZ417">
        <x:f t="shared" si="525"/>
        <x:v>0</x:v>
      </x:c>
      <x:c r="HA417">
        <x:f t="shared" si="526"/>
        <x:v>0</x:v>
      </x:c>
      <x:c r="HB417" s="42">
        <x:f t="shared" si="527"/>
        <x:v>0</x:v>
      </x:c>
      <x:c r="HC417">
        <x:f t="shared" si="528"/>
        <x:v>0</x:v>
      </x:c>
      <x:c r="HD417">
        <x:f t="shared" si="529"/>
        <x:v>0</x:v>
      </x:c>
      <x:c r="HE417">
        <x:f t="shared" si="530"/>
        <x:v>0</x:v>
      </x:c>
      <x:c r="HF417">
        <x:f t="shared" si="531"/>
        <x:v>0</x:v>
      </x:c>
      <x:c r="HG417">
        <x:f t="shared" si="532"/>
        <x:v>0</x:v>
      </x:c>
      <x:c r="HH417">
        <x:f t="shared" si="533"/>
        <x:v>0</x:v>
      </x:c>
      <x:c r="HI417">
        <x:f t="shared" si="534"/>
        <x:v>0</x:v>
      </x:c>
      <x:c r="HJ417">
        <x:f t="shared" si="535"/>
        <x:v>0</x:v>
      </x:c>
      <x:c r="HK417">
        <x:f t="shared" si="536"/>
        <x:v>0</x:v>
      </x:c>
      <x:c r="HL417">
        <x:f t="shared" si="537"/>
        <x:v>0</x:v>
      </x:c>
    </x:row>
    <x:row r="418">
      <x:c r="D418" s="74"/>
      <x:c r="EQ418">
        <x:f t="shared" si="464"/>
        <x:v>0</x:v>
      </x:c>
      <x:c r="ER418">
        <x:f t="shared" si="465"/>
        <x:v>0</x:v>
      </x:c>
      <x:c r="ES418">
        <x:f t="shared" si="466"/>
        <x:v>0</x:v>
      </x:c>
      <x:c r="ET418">
        <x:f t="shared" si="467"/>
        <x:v>0</x:v>
      </x:c>
      <x:c r="EU418">
        <x:f t="shared" si="468"/>
        <x:v>0</x:v>
      </x:c>
      <x:c r="EV418">
        <x:f t="shared" si="469"/>
        <x:v>0</x:v>
      </x:c>
      <x:c r="EW418">
        <x:f t="shared" si="470"/>
        <x:v>0</x:v>
      </x:c>
      <x:c r="EX418">
        <x:f t="shared" si="471"/>
        <x:v>0</x:v>
      </x:c>
      <x:c r="EY418">
        <x:f t="shared" si="472"/>
        <x:v>0</x:v>
      </x:c>
      <x:c r="EZ418">
        <x:f t="shared" si="473"/>
        <x:v>0</x:v>
      </x:c>
      <x:c r="FA418" s="41">
        <x:f t="shared" si="474"/>
        <x:v>0</x:v>
      </x:c>
      <x:c r="FB418">
        <x:f t="shared" si="475"/>
        <x:v>0</x:v>
      </x:c>
      <x:c r="FC418">
        <x:f t="shared" si="476"/>
        <x:v>0</x:v>
      </x:c>
      <x:c r="FD418">
        <x:f t="shared" si="477"/>
        <x:v>0</x:v>
      </x:c>
      <x:c r="FE418">
        <x:f t="shared" si="478"/>
        <x:v>0</x:v>
      </x:c>
      <x:c r="FF418">
        <x:f t="shared" si="479"/>
        <x:v>0</x:v>
      </x:c>
      <x:c r="FG418">
        <x:f t="shared" si="480"/>
        <x:v>0</x:v>
      </x:c>
      <x:c r="FH418">
        <x:f t="shared" si="481"/>
        <x:v>0</x:v>
      </x:c>
      <x:c r="FI418">
        <x:f t="shared" si="482"/>
        <x:v>0</x:v>
      </x:c>
      <x:c r="FJ418">
        <x:f t="shared" si="483"/>
        <x:v>0</x:v>
      </x:c>
      <x:c r="FK418">
        <x:f t="shared" si="484"/>
        <x:v>0</x:v>
      </x:c>
      <x:c r="FL418" s="41">
        <x:f t="shared" si="485"/>
        <x:v>0</x:v>
      </x:c>
      <x:c r="FM418">
        <x:f t="shared" si="486"/>
        <x:v>0</x:v>
      </x:c>
      <x:c r="FN418">
        <x:f t="shared" si="487"/>
        <x:v>0</x:v>
      </x:c>
      <x:c r="FO418">
        <x:f t="shared" si="488"/>
        <x:v>0</x:v>
      </x:c>
      <x:c r="FP418">
        <x:f t="shared" si="489"/>
        <x:v>0</x:v>
      </x:c>
      <x:c r="FQ418">
        <x:f t="shared" si="490"/>
        <x:v>0</x:v>
      </x:c>
      <x:c r="FR418">
        <x:f t="shared" si="491"/>
        <x:v>0</x:v>
      </x:c>
      <x:c r="FS418">
        <x:f t="shared" si="492"/>
        <x:v>0</x:v>
      </x:c>
      <x:c r="FT418">
        <x:f t="shared" si="493"/>
        <x:v>0</x:v>
      </x:c>
      <x:c r="FU418">
        <x:f t="shared" si="494"/>
        <x:v>0</x:v>
      </x:c>
      <x:c r="FV418">
        <x:f t="shared" si="495"/>
        <x:v>0</x:v>
      </x:c>
      <x:c r="FW418" s="41">
        <x:f t="shared" si="496"/>
        <x:v>0</x:v>
      </x:c>
      <x:c r="FX418">
        <x:f t="shared" si="497"/>
        <x:v>0</x:v>
      </x:c>
      <x:c r="FY418">
        <x:f t="shared" si="498"/>
        <x:v>0</x:v>
      </x:c>
      <x:c r="FZ418">
        <x:f t="shared" si="499"/>
        <x:v>0</x:v>
      </x:c>
      <x:c r="GA418">
        <x:f t="shared" si="500"/>
        <x:v>0</x:v>
      </x:c>
      <x:c r="GB418">
        <x:f t="shared" si="501"/>
        <x:v>0</x:v>
      </x:c>
      <x:c r="GC418">
        <x:f t="shared" si="502"/>
        <x:v>0</x:v>
      </x:c>
      <x:c r="GD418">
        <x:f t="shared" si="503"/>
        <x:v>0</x:v>
      </x:c>
      <x:c r="GE418">
        <x:f t="shared" si="504"/>
        <x:v>0</x:v>
      </x:c>
      <x:c r="GF418">
        <x:f t="shared" si="505"/>
        <x:v>0</x:v>
      </x:c>
      <x:c r="GG418">
        <x:f t="shared" si="506"/>
        <x:v>0</x:v>
      </x:c>
      <x:c r="GH418">
        <x:f t="shared" si="507"/>
        <x:v>0</x:v>
      </x:c>
      <x:c r="GI418">
        <x:f t="shared" si="508"/>
        <x:v>0</x:v>
      </x:c>
      <x:c r="GJ418">
        <x:f t="shared" si="509"/>
        <x:v>0</x:v>
      </x:c>
      <x:c r="GK418">
        <x:f t="shared" si="510"/>
        <x:v>0</x:v>
      </x:c>
      <x:c r="GL418">
        <x:f t="shared" si="511"/>
        <x:v>0</x:v>
      </x:c>
      <x:c r="GM418">
        <x:f t="shared" si="512"/>
        <x:v>0</x:v>
      </x:c>
      <x:c r="GN418">
        <x:f t="shared" si="513"/>
        <x:v>0</x:v>
      </x:c>
      <x:c r="GO418">
        <x:f t="shared" si="514"/>
        <x:v>0</x:v>
      </x:c>
      <x:c r="GP418">
        <x:f t="shared" si="515"/>
        <x:v>0</x:v>
      </x:c>
      <x:c r="GQ418">
        <x:f t="shared" si="516"/>
        <x:v>0</x:v>
      </x:c>
      <x:c r="GR418" s="42">
        <x:f t="shared" si="517"/>
        <x:v>0</x:v>
      </x:c>
      <x:c r="GS418">
        <x:f t="shared" si="518"/>
        <x:v>0</x:v>
      </x:c>
      <x:c r="GT418">
        <x:f t="shared" si="519"/>
        <x:v>0</x:v>
      </x:c>
      <x:c r="GU418">
        <x:f t="shared" si="520"/>
        <x:v>0</x:v>
      </x:c>
      <x:c r="GV418">
        <x:f t="shared" si="521"/>
        <x:v>0</x:v>
      </x:c>
      <x:c r="GW418">
        <x:f t="shared" si="522"/>
        <x:v>0</x:v>
      </x:c>
      <x:c r="GX418">
        <x:f t="shared" si="523"/>
        <x:v>0</x:v>
      </x:c>
      <x:c r="GY418">
        <x:f t="shared" si="524"/>
        <x:v>0</x:v>
      </x:c>
      <x:c r="GZ418">
        <x:f t="shared" si="525"/>
        <x:v>0</x:v>
      </x:c>
      <x:c r="HA418">
        <x:f t="shared" si="526"/>
        <x:v>0</x:v>
      </x:c>
      <x:c r="HB418" s="42">
        <x:f t="shared" si="527"/>
        <x:v>0</x:v>
      </x:c>
      <x:c r="HC418">
        <x:f t="shared" si="528"/>
        <x:v>0</x:v>
      </x:c>
      <x:c r="HD418">
        <x:f t="shared" si="529"/>
        <x:v>0</x:v>
      </x:c>
      <x:c r="HE418">
        <x:f t="shared" si="530"/>
        <x:v>0</x:v>
      </x:c>
      <x:c r="HF418">
        <x:f t="shared" si="531"/>
        <x:v>0</x:v>
      </x:c>
      <x:c r="HG418">
        <x:f t="shared" si="532"/>
        <x:v>0</x:v>
      </x:c>
      <x:c r="HH418">
        <x:f t="shared" si="533"/>
        <x:v>0</x:v>
      </x:c>
      <x:c r="HI418">
        <x:f t="shared" si="534"/>
        <x:v>0</x:v>
      </x:c>
      <x:c r="HJ418">
        <x:f t="shared" si="535"/>
        <x:v>0</x:v>
      </x:c>
      <x:c r="HK418">
        <x:f t="shared" si="536"/>
        <x:v>0</x:v>
      </x:c>
      <x:c r="HL418">
        <x:f t="shared" si="537"/>
        <x:v>0</x:v>
      </x:c>
    </x:row>
    <x:row r="419">
      <x:c r="D419" s="74"/>
      <x:c r="EQ419">
        <x:f t="shared" si="464"/>
        <x:v>0</x:v>
      </x:c>
      <x:c r="ER419">
        <x:f t="shared" si="465"/>
        <x:v>0</x:v>
      </x:c>
      <x:c r="ES419">
        <x:f t="shared" si="466"/>
        <x:v>0</x:v>
      </x:c>
      <x:c r="ET419">
        <x:f t="shared" si="467"/>
        <x:v>0</x:v>
      </x:c>
      <x:c r="EU419">
        <x:f t="shared" si="468"/>
        <x:v>0</x:v>
      </x:c>
      <x:c r="EV419">
        <x:f t="shared" si="469"/>
        <x:v>0</x:v>
      </x:c>
      <x:c r="EW419">
        <x:f t="shared" si="470"/>
        <x:v>0</x:v>
      </x:c>
      <x:c r="EX419">
        <x:f t="shared" si="471"/>
        <x:v>0</x:v>
      </x:c>
      <x:c r="EY419">
        <x:f t="shared" si="472"/>
        <x:v>0</x:v>
      </x:c>
      <x:c r="EZ419">
        <x:f t="shared" si="473"/>
        <x:v>0</x:v>
      </x:c>
      <x:c r="FA419" s="41">
        <x:f t="shared" si="474"/>
        <x:v>0</x:v>
      </x:c>
      <x:c r="FB419">
        <x:f t="shared" si="475"/>
        <x:v>0</x:v>
      </x:c>
      <x:c r="FC419">
        <x:f t="shared" si="476"/>
        <x:v>0</x:v>
      </x:c>
      <x:c r="FD419">
        <x:f t="shared" si="477"/>
        <x:v>0</x:v>
      </x:c>
      <x:c r="FE419">
        <x:f t="shared" si="478"/>
        <x:v>0</x:v>
      </x:c>
      <x:c r="FF419">
        <x:f t="shared" si="479"/>
        <x:v>0</x:v>
      </x:c>
      <x:c r="FG419">
        <x:f t="shared" si="480"/>
        <x:v>0</x:v>
      </x:c>
      <x:c r="FH419">
        <x:f t="shared" si="481"/>
        <x:v>0</x:v>
      </x:c>
      <x:c r="FI419">
        <x:f t="shared" si="482"/>
        <x:v>0</x:v>
      </x:c>
      <x:c r="FJ419">
        <x:f t="shared" si="483"/>
        <x:v>0</x:v>
      </x:c>
      <x:c r="FK419">
        <x:f t="shared" si="484"/>
        <x:v>0</x:v>
      </x:c>
      <x:c r="FL419" s="41">
        <x:f t="shared" si="485"/>
        <x:v>0</x:v>
      </x:c>
      <x:c r="FM419">
        <x:f t="shared" si="486"/>
        <x:v>0</x:v>
      </x:c>
      <x:c r="FN419">
        <x:f t="shared" si="487"/>
        <x:v>0</x:v>
      </x:c>
      <x:c r="FO419">
        <x:f t="shared" si="488"/>
        <x:v>0</x:v>
      </x:c>
      <x:c r="FP419">
        <x:f t="shared" si="489"/>
        <x:v>0</x:v>
      </x:c>
      <x:c r="FQ419">
        <x:f t="shared" si="490"/>
        <x:v>0</x:v>
      </x:c>
      <x:c r="FR419">
        <x:f t="shared" si="491"/>
        <x:v>0</x:v>
      </x:c>
      <x:c r="FS419">
        <x:f t="shared" si="492"/>
        <x:v>0</x:v>
      </x:c>
      <x:c r="FT419">
        <x:f t="shared" si="493"/>
        <x:v>0</x:v>
      </x:c>
      <x:c r="FU419">
        <x:f t="shared" si="494"/>
        <x:v>0</x:v>
      </x:c>
      <x:c r="FV419">
        <x:f t="shared" si="495"/>
        <x:v>0</x:v>
      </x:c>
      <x:c r="FW419" s="41">
        <x:f t="shared" si="496"/>
        <x:v>0</x:v>
      </x:c>
      <x:c r="FX419">
        <x:f t="shared" si="497"/>
        <x:v>0</x:v>
      </x:c>
      <x:c r="FY419">
        <x:f t="shared" si="498"/>
        <x:v>0</x:v>
      </x:c>
      <x:c r="FZ419">
        <x:f t="shared" si="499"/>
        <x:v>0</x:v>
      </x:c>
      <x:c r="GA419">
        <x:f t="shared" si="500"/>
        <x:v>0</x:v>
      </x:c>
      <x:c r="GB419">
        <x:f t="shared" si="501"/>
        <x:v>0</x:v>
      </x:c>
      <x:c r="GC419">
        <x:f t="shared" si="502"/>
        <x:v>0</x:v>
      </x:c>
      <x:c r="GD419">
        <x:f t="shared" si="503"/>
        <x:v>0</x:v>
      </x:c>
      <x:c r="GE419">
        <x:f t="shared" si="504"/>
        <x:v>0</x:v>
      </x:c>
      <x:c r="GF419">
        <x:f t="shared" si="505"/>
        <x:v>0</x:v>
      </x:c>
      <x:c r="GG419">
        <x:f t="shared" si="506"/>
        <x:v>0</x:v>
      </x:c>
      <x:c r="GH419">
        <x:f t="shared" si="507"/>
        <x:v>0</x:v>
      </x:c>
      <x:c r="GI419">
        <x:f t="shared" si="508"/>
        <x:v>0</x:v>
      </x:c>
      <x:c r="GJ419">
        <x:f t="shared" si="509"/>
        <x:v>0</x:v>
      </x:c>
      <x:c r="GK419">
        <x:f t="shared" si="510"/>
        <x:v>0</x:v>
      </x:c>
      <x:c r="GL419">
        <x:f t="shared" si="511"/>
        <x:v>0</x:v>
      </x:c>
      <x:c r="GM419">
        <x:f t="shared" si="512"/>
        <x:v>0</x:v>
      </x:c>
      <x:c r="GN419">
        <x:f t="shared" si="513"/>
        <x:v>0</x:v>
      </x:c>
      <x:c r="GO419">
        <x:f t="shared" si="514"/>
        <x:v>0</x:v>
      </x:c>
      <x:c r="GP419">
        <x:f t="shared" si="515"/>
        <x:v>0</x:v>
      </x:c>
      <x:c r="GQ419">
        <x:f t="shared" si="516"/>
        <x:v>0</x:v>
      </x:c>
      <x:c r="GR419" s="42">
        <x:f t="shared" si="517"/>
        <x:v>0</x:v>
      </x:c>
      <x:c r="GS419">
        <x:f t="shared" si="518"/>
        <x:v>0</x:v>
      </x:c>
      <x:c r="GT419">
        <x:f t="shared" si="519"/>
        <x:v>0</x:v>
      </x:c>
      <x:c r="GU419">
        <x:f t="shared" si="520"/>
        <x:v>0</x:v>
      </x:c>
      <x:c r="GV419">
        <x:f t="shared" si="521"/>
        <x:v>0</x:v>
      </x:c>
      <x:c r="GW419">
        <x:f t="shared" si="522"/>
        <x:v>0</x:v>
      </x:c>
      <x:c r="GX419">
        <x:f t="shared" si="523"/>
        <x:v>0</x:v>
      </x:c>
      <x:c r="GY419">
        <x:f t="shared" si="524"/>
        <x:v>0</x:v>
      </x:c>
      <x:c r="GZ419">
        <x:f t="shared" si="525"/>
        <x:v>0</x:v>
      </x:c>
      <x:c r="HA419">
        <x:f t="shared" si="526"/>
        <x:v>0</x:v>
      </x:c>
      <x:c r="HB419" s="42">
        <x:f t="shared" si="527"/>
        <x:v>0</x:v>
      </x:c>
      <x:c r="HC419">
        <x:f t="shared" si="528"/>
        <x:v>0</x:v>
      </x:c>
      <x:c r="HD419">
        <x:f t="shared" si="529"/>
        <x:v>0</x:v>
      </x:c>
      <x:c r="HE419">
        <x:f t="shared" si="530"/>
        <x:v>0</x:v>
      </x:c>
      <x:c r="HF419">
        <x:f t="shared" si="531"/>
        <x:v>0</x:v>
      </x:c>
      <x:c r="HG419">
        <x:f t="shared" si="532"/>
        <x:v>0</x:v>
      </x:c>
      <x:c r="HH419">
        <x:f t="shared" si="533"/>
        <x:v>0</x:v>
      </x:c>
      <x:c r="HI419">
        <x:f t="shared" si="534"/>
        <x:v>0</x:v>
      </x:c>
      <x:c r="HJ419">
        <x:f t="shared" si="535"/>
        <x:v>0</x:v>
      </x:c>
      <x:c r="HK419">
        <x:f t="shared" si="536"/>
        <x:v>0</x:v>
      </x:c>
      <x:c r="HL419">
        <x:f t="shared" si="537"/>
        <x:v>0</x:v>
      </x:c>
    </x:row>
    <x:row r="420">
      <x:c r="D420" s="74"/>
      <x:c r="EQ420">
        <x:f t="shared" si="464"/>
        <x:v>0</x:v>
      </x:c>
      <x:c r="ER420">
        <x:f t="shared" si="465"/>
        <x:v>0</x:v>
      </x:c>
      <x:c r="ES420">
        <x:f t="shared" si="466"/>
        <x:v>0</x:v>
      </x:c>
      <x:c r="ET420">
        <x:f t="shared" si="467"/>
        <x:v>0</x:v>
      </x:c>
      <x:c r="EU420">
        <x:f t="shared" si="468"/>
        <x:v>0</x:v>
      </x:c>
      <x:c r="EV420">
        <x:f t="shared" si="469"/>
        <x:v>0</x:v>
      </x:c>
      <x:c r="EW420">
        <x:f t="shared" si="470"/>
        <x:v>0</x:v>
      </x:c>
      <x:c r="EX420">
        <x:f t="shared" si="471"/>
        <x:v>0</x:v>
      </x:c>
      <x:c r="EY420">
        <x:f t="shared" si="472"/>
        <x:v>0</x:v>
      </x:c>
      <x:c r="EZ420">
        <x:f t="shared" si="473"/>
        <x:v>0</x:v>
      </x:c>
      <x:c r="FA420" s="41">
        <x:f t="shared" si="474"/>
        <x:v>0</x:v>
      </x:c>
      <x:c r="FB420">
        <x:f t="shared" si="475"/>
        <x:v>0</x:v>
      </x:c>
      <x:c r="FC420">
        <x:f t="shared" si="476"/>
        <x:v>0</x:v>
      </x:c>
      <x:c r="FD420">
        <x:f t="shared" si="477"/>
        <x:v>0</x:v>
      </x:c>
      <x:c r="FE420">
        <x:f t="shared" si="478"/>
        <x:v>0</x:v>
      </x:c>
      <x:c r="FF420">
        <x:f t="shared" si="479"/>
        <x:v>0</x:v>
      </x:c>
      <x:c r="FG420">
        <x:f t="shared" si="480"/>
        <x:v>0</x:v>
      </x:c>
      <x:c r="FH420">
        <x:f t="shared" si="481"/>
        <x:v>0</x:v>
      </x:c>
      <x:c r="FI420">
        <x:f t="shared" si="482"/>
        <x:v>0</x:v>
      </x:c>
      <x:c r="FJ420">
        <x:f t="shared" si="483"/>
        <x:v>0</x:v>
      </x:c>
      <x:c r="FK420">
        <x:f t="shared" si="484"/>
        <x:v>0</x:v>
      </x:c>
      <x:c r="FL420" s="41">
        <x:f t="shared" si="485"/>
        <x:v>0</x:v>
      </x:c>
      <x:c r="FM420">
        <x:f t="shared" si="486"/>
        <x:v>0</x:v>
      </x:c>
      <x:c r="FN420">
        <x:f t="shared" si="487"/>
        <x:v>0</x:v>
      </x:c>
      <x:c r="FO420">
        <x:f t="shared" si="488"/>
        <x:v>0</x:v>
      </x:c>
      <x:c r="FP420">
        <x:f t="shared" si="489"/>
        <x:v>0</x:v>
      </x:c>
      <x:c r="FQ420">
        <x:f t="shared" si="490"/>
        <x:v>0</x:v>
      </x:c>
      <x:c r="FR420">
        <x:f t="shared" si="491"/>
        <x:v>0</x:v>
      </x:c>
      <x:c r="FS420">
        <x:f t="shared" si="492"/>
        <x:v>0</x:v>
      </x:c>
      <x:c r="FT420">
        <x:f t="shared" si="493"/>
        <x:v>0</x:v>
      </x:c>
      <x:c r="FU420">
        <x:f t="shared" si="494"/>
        <x:v>0</x:v>
      </x:c>
      <x:c r="FV420">
        <x:f t="shared" si="495"/>
        <x:v>0</x:v>
      </x:c>
      <x:c r="FW420" s="41">
        <x:f t="shared" si="496"/>
        <x:v>0</x:v>
      </x:c>
      <x:c r="FX420">
        <x:f t="shared" si="497"/>
        <x:v>0</x:v>
      </x:c>
      <x:c r="FY420">
        <x:f t="shared" si="498"/>
        <x:v>0</x:v>
      </x:c>
      <x:c r="FZ420">
        <x:f t="shared" si="499"/>
        <x:v>0</x:v>
      </x:c>
      <x:c r="GA420">
        <x:f t="shared" si="500"/>
        <x:v>0</x:v>
      </x:c>
      <x:c r="GB420">
        <x:f t="shared" si="501"/>
        <x:v>0</x:v>
      </x:c>
      <x:c r="GC420">
        <x:f t="shared" si="502"/>
        <x:v>0</x:v>
      </x:c>
      <x:c r="GD420">
        <x:f t="shared" si="503"/>
        <x:v>0</x:v>
      </x:c>
      <x:c r="GE420">
        <x:f t="shared" si="504"/>
        <x:v>0</x:v>
      </x:c>
      <x:c r="GF420">
        <x:f t="shared" si="505"/>
        <x:v>0</x:v>
      </x:c>
      <x:c r="GG420">
        <x:f t="shared" si="506"/>
        <x:v>0</x:v>
      </x:c>
      <x:c r="GH420">
        <x:f t="shared" si="507"/>
        <x:v>0</x:v>
      </x:c>
      <x:c r="GI420">
        <x:f t="shared" si="508"/>
        <x:v>0</x:v>
      </x:c>
      <x:c r="GJ420">
        <x:f t="shared" si="509"/>
        <x:v>0</x:v>
      </x:c>
      <x:c r="GK420">
        <x:f t="shared" si="510"/>
        <x:v>0</x:v>
      </x:c>
      <x:c r="GL420">
        <x:f t="shared" si="511"/>
        <x:v>0</x:v>
      </x:c>
      <x:c r="GM420">
        <x:f t="shared" si="512"/>
        <x:v>0</x:v>
      </x:c>
      <x:c r="GN420">
        <x:f t="shared" si="513"/>
        <x:v>0</x:v>
      </x:c>
      <x:c r="GO420">
        <x:f t="shared" si="514"/>
        <x:v>0</x:v>
      </x:c>
      <x:c r="GP420">
        <x:f t="shared" si="515"/>
        <x:v>0</x:v>
      </x:c>
      <x:c r="GQ420">
        <x:f t="shared" si="516"/>
        <x:v>0</x:v>
      </x:c>
      <x:c r="GR420" s="42">
        <x:f t="shared" si="517"/>
        <x:v>0</x:v>
      </x:c>
      <x:c r="GS420">
        <x:f t="shared" si="518"/>
        <x:v>0</x:v>
      </x:c>
      <x:c r="GT420">
        <x:f t="shared" si="519"/>
        <x:v>0</x:v>
      </x:c>
      <x:c r="GU420">
        <x:f t="shared" si="520"/>
        <x:v>0</x:v>
      </x:c>
      <x:c r="GV420">
        <x:f t="shared" si="521"/>
        <x:v>0</x:v>
      </x:c>
      <x:c r="GW420">
        <x:f t="shared" si="522"/>
        <x:v>0</x:v>
      </x:c>
      <x:c r="GX420">
        <x:f t="shared" si="523"/>
        <x:v>0</x:v>
      </x:c>
      <x:c r="GY420">
        <x:f t="shared" si="524"/>
        <x:v>0</x:v>
      </x:c>
      <x:c r="GZ420">
        <x:f t="shared" si="525"/>
        <x:v>0</x:v>
      </x:c>
      <x:c r="HA420">
        <x:f t="shared" si="526"/>
        <x:v>0</x:v>
      </x:c>
      <x:c r="HB420" s="42">
        <x:f t="shared" si="527"/>
        <x:v>0</x:v>
      </x:c>
      <x:c r="HC420">
        <x:f t="shared" si="528"/>
        <x:v>0</x:v>
      </x:c>
      <x:c r="HD420">
        <x:f t="shared" si="529"/>
        <x:v>0</x:v>
      </x:c>
      <x:c r="HE420">
        <x:f t="shared" si="530"/>
        <x:v>0</x:v>
      </x:c>
      <x:c r="HF420">
        <x:f t="shared" si="531"/>
        <x:v>0</x:v>
      </x:c>
      <x:c r="HG420">
        <x:f t="shared" si="532"/>
        <x:v>0</x:v>
      </x:c>
      <x:c r="HH420">
        <x:f t="shared" si="533"/>
        <x:v>0</x:v>
      </x:c>
      <x:c r="HI420">
        <x:f t="shared" si="534"/>
        <x:v>0</x:v>
      </x:c>
      <x:c r="HJ420">
        <x:f t="shared" si="535"/>
        <x:v>0</x:v>
      </x:c>
      <x:c r="HK420">
        <x:f t="shared" si="536"/>
        <x:v>0</x:v>
      </x:c>
      <x:c r="HL420">
        <x:f t="shared" si="537"/>
        <x:v>0</x:v>
      </x:c>
    </x:row>
    <x:row r="421">
      <x:c r="D421" s="74"/>
      <x:c r="EQ421">
        <x:f t="shared" si="464"/>
        <x:v>0</x:v>
      </x:c>
      <x:c r="ER421">
        <x:f t="shared" si="465"/>
        <x:v>0</x:v>
      </x:c>
      <x:c r="ES421">
        <x:f t="shared" si="466"/>
        <x:v>0</x:v>
      </x:c>
      <x:c r="ET421">
        <x:f t="shared" si="467"/>
        <x:v>0</x:v>
      </x:c>
      <x:c r="EU421">
        <x:f t="shared" si="468"/>
        <x:v>0</x:v>
      </x:c>
      <x:c r="EV421">
        <x:f t="shared" si="469"/>
        <x:v>0</x:v>
      </x:c>
      <x:c r="EW421">
        <x:f t="shared" si="470"/>
        <x:v>0</x:v>
      </x:c>
      <x:c r="EX421">
        <x:f t="shared" si="471"/>
        <x:v>0</x:v>
      </x:c>
      <x:c r="EY421">
        <x:f t="shared" si="472"/>
        <x:v>0</x:v>
      </x:c>
      <x:c r="EZ421">
        <x:f t="shared" si="473"/>
        <x:v>0</x:v>
      </x:c>
      <x:c r="FA421" s="41">
        <x:f t="shared" si="474"/>
        <x:v>0</x:v>
      </x:c>
      <x:c r="FB421">
        <x:f t="shared" si="475"/>
        <x:v>0</x:v>
      </x:c>
      <x:c r="FC421">
        <x:f t="shared" si="476"/>
        <x:v>0</x:v>
      </x:c>
      <x:c r="FD421">
        <x:f t="shared" si="477"/>
        <x:v>0</x:v>
      </x:c>
      <x:c r="FE421">
        <x:f t="shared" si="478"/>
        <x:v>0</x:v>
      </x:c>
      <x:c r="FF421">
        <x:f t="shared" si="479"/>
        <x:v>0</x:v>
      </x:c>
      <x:c r="FG421">
        <x:f t="shared" si="480"/>
        <x:v>0</x:v>
      </x:c>
      <x:c r="FH421">
        <x:f t="shared" si="481"/>
        <x:v>0</x:v>
      </x:c>
      <x:c r="FI421">
        <x:f t="shared" si="482"/>
        <x:v>0</x:v>
      </x:c>
      <x:c r="FJ421">
        <x:f t="shared" si="483"/>
        <x:v>0</x:v>
      </x:c>
      <x:c r="FK421">
        <x:f t="shared" si="484"/>
        <x:v>0</x:v>
      </x:c>
      <x:c r="FL421" s="41">
        <x:f t="shared" si="485"/>
        <x:v>0</x:v>
      </x:c>
      <x:c r="FM421">
        <x:f t="shared" si="486"/>
        <x:v>0</x:v>
      </x:c>
      <x:c r="FN421">
        <x:f t="shared" si="487"/>
        <x:v>0</x:v>
      </x:c>
      <x:c r="FO421">
        <x:f t="shared" si="488"/>
        <x:v>0</x:v>
      </x:c>
      <x:c r="FP421">
        <x:f t="shared" si="489"/>
        <x:v>0</x:v>
      </x:c>
      <x:c r="FQ421">
        <x:f t="shared" si="490"/>
        <x:v>0</x:v>
      </x:c>
      <x:c r="FR421">
        <x:f t="shared" si="491"/>
        <x:v>0</x:v>
      </x:c>
      <x:c r="FS421">
        <x:f t="shared" si="492"/>
        <x:v>0</x:v>
      </x:c>
      <x:c r="FT421">
        <x:f t="shared" si="493"/>
        <x:v>0</x:v>
      </x:c>
      <x:c r="FU421">
        <x:f t="shared" si="494"/>
        <x:v>0</x:v>
      </x:c>
      <x:c r="FV421">
        <x:f t="shared" si="495"/>
        <x:v>0</x:v>
      </x:c>
      <x:c r="FW421" s="41">
        <x:f t="shared" si="496"/>
        <x:v>0</x:v>
      </x:c>
      <x:c r="FX421">
        <x:f t="shared" si="497"/>
        <x:v>0</x:v>
      </x:c>
      <x:c r="FY421">
        <x:f t="shared" si="498"/>
        <x:v>0</x:v>
      </x:c>
      <x:c r="FZ421">
        <x:f t="shared" si="499"/>
        <x:v>0</x:v>
      </x:c>
      <x:c r="GA421">
        <x:f t="shared" si="500"/>
        <x:v>0</x:v>
      </x:c>
      <x:c r="GB421">
        <x:f t="shared" si="501"/>
        <x:v>0</x:v>
      </x:c>
      <x:c r="GC421">
        <x:f t="shared" si="502"/>
        <x:v>0</x:v>
      </x:c>
      <x:c r="GD421">
        <x:f t="shared" si="503"/>
        <x:v>0</x:v>
      </x:c>
      <x:c r="GE421">
        <x:f t="shared" si="504"/>
        <x:v>0</x:v>
      </x:c>
      <x:c r="GF421">
        <x:f t="shared" si="505"/>
        <x:v>0</x:v>
      </x:c>
      <x:c r="GG421">
        <x:f t="shared" si="506"/>
        <x:v>0</x:v>
      </x:c>
      <x:c r="GH421">
        <x:f t="shared" si="507"/>
        <x:v>0</x:v>
      </x:c>
      <x:c r="GI421">
        <x:f t="shared" si="508"/>
        <x:v>0</x:v>
      </x:c>
      <x:c r="GJ421">
        <x:f t="shared" si="509"/>
        <x:v>0</x:v>
      </x:c>
      <x:c r="GK421">
        <x:f t="shared" si="510"/>
        <x:v>0</x:v>
      </x:c>
      <x:c r="GL421">
        <x:f t="shared" si="511"/>
        <x:v>0</x:v>
      </x:c>
      <x:c r="GM421">
        <x:f t="shared" si="512"/>
        <x:v>0</x:v>
      </x:c>
      <x:c r="GN421">
        <x:f t="shared" si="513"/>
        <x:v>0</x:v>
      </x:c>
      <x:c r="GO421">
        <x:f t="shared" si="514"/>
        <x:v>0</x:v>
      </x:c>
      <x:c r="GP421">
        <x:f t="shared" si="515"/>
        <x:v>0</x:v>
      </x:c>
      <x:c r="GQ421">
        <x:f t="shared" si="516"/>
        <x:v>0</x:v>
      </x:c>
      <x:c r="GR421" s="42">
        <x:f t="shared" si="517"/>
        <x:v>0</x:v>
      </x:c>
      <x:c r="GS421">
        <x:f t="shared" si="518"/>
        <x:v>0</x:v>
      </x:c>
      <x:c r="GT421">
        <x:f t="shared" si="519"/>
        <x:v>0</x:v>
      </x:c>
      <x:c r="GU421">
        <x:f t="shared" si="520"/>
        <x:v>0</x:v>
      </x:c>
      <x:c r="GV421">
        <x:f t="shared" si="521"/>
        <x:v>0</x:v>
      </x:c>
      <x:c r="GW421">
        <x:f t="shared" si="522"/>
        <x:v>0</x:v>
      </x:c>
      <x:c r="GX421">
        <x:f t="shared" si="523"/>
        <x:v>0</x:v>
      </x:c>
      <x:c r="GY421">
        <x:f t="shared" si="524"/>
        <x:v>0</x:v>
      </x:c>
      <x:c r="GZ421">
        <x:f t="shared" si="525"/>
        <x:v>0</x:v>
      </x:c>
      <x:c r="HA421">
        <x:f t="shared" si="526"/>
        <x:v>0</x:v>
      </x:c>
      <x:c r="HB421" s="42">
        <x:f t="shared" si="527"/>
        <x:v>0</x:v>
      </x:c>
      <x:c r="HC421">
        <x:f t="shared" si="528"/>
        <x:v>0</x:v>
      </x:c>
      <x:c r="HD421">
        <x:f t="shared" si="529"/>
        <x:v>0</x:v>
      </x:c>
      <x:c r="HE421">
        <x:f t="shared" si="530"/>
        <x:v>0</x:v>
      </x:c>
      <x:c r="HF421">
        <x:f t="shared" si="531"/>
        <x:v>0</x:v>
      </x:c>
      <x:c r="HG421">
        <x:f t="shared" si="532"/>
        <x:v>0</x:v>
      </x:c>
      <x:c r="HH421">
        <x:f t="shared" si="533"/>
        <x:v>0</x:v>
      </x:c>
      <x:c r="HI421">
        <x:f t="shared" si="534"/>
        <x:v>0</x:v>
      </x:c>
      <x:c r="HJ421">
        <x:f t="shared" si="535"/>
        <x:v>0</x:v>
      </x:c>
      <x:c r="HK421">
        <x:f t="shared" si="536"/>
        <x:v>0</x:v>
      </x:c>
      <x:c r="HL421">
        <x:f t="shared" si="537"/>
        <x:v>0</x:v>
      </x:c>
    </x:row>
    <x:row r="422">
      <x:c r="D422" s="74"/>
      <x:c r="EQ422">
        <x:f t="shared" si="464"/>
        <x:v>0</x:v>
      </x:c>
      <x:c r="ER422">
        <x:f t="shared" si="465"/>
        <x:v>0</x:v>
      </x:c>
      <x:c r="ES422">
        <x:f t="shared" si="466"/>
        <x:v>0</x:v>
      </x:c>
      <x:c r="ET422">
        <x:f t="shared" si="467"/>
        <x:v>0</x:v>
      </x:c>
      <x:c r="EU422">
        <x:f t="shared" si="468"/>
        <x:v>0</x:v>
      </x:c>
      <x:c r="EV422">
        <x:f t="shared" si="469"/>
        <x:v>0</x:v>
      </x:c>
      <x:c r="EW422">
        <x:f t="shared" si="470"/>
        <x:v>0</x:v>
      </x:c>
      <x:c r="EX422">
        <x:f t="shared" si="471"/>
        <x:v>0</x:v>
      </x:c>
      <x:c r="EY422">
        <x:f t="shared" si="472"/>
        <x:v>0</x:v>
      </x:c>
      <x:c r="EZ422">
        <x:f t="shared" si="473"/>
        <x:v>0</x:v>
      </x:c>
      <x:c r="FA422" s="41">
        <x:f t="shared" si="474"/>
        <x:v>0</x:v>
      </x:c>
      <x:c r="FB422">
        <x:f t="shared" si="475"/>
        <x:v>0</x:v>
      </x:c>
      <x:c r="FC422">
        <x:f t="shared" si="476"/>
        <x:v>0</x:v>
      </x:c>
      <x:c r="FD422">
        <x:f t="shared" si="477"/>
        <x:v>0</x:v>
      </x:c>
      <x:c r="FE422">
        <x:f t="shared" si="478"/>
        <x:v>0</x:v>
      </x:c>
      <x:c r="FF422">
        <x:f t="shared" si="479"/>
        <x:v>0</x:v>
      </x:c>
      <x:c r="FG422">
        <x:f t="shared" si="480"/>
        <x:v>0</x:v>
      </x:c>
      <x:c r="FH422">
        <x:f t="shared" si="481"/>
        <x:v>0</x:v>
      </x:c>
      <x:c r="FI422">
        <x:f t="shared" si="482"/>
        <x:v>0</x:v>
      </x:c>
      <x:c r="FJ422">
        <x:f t="shared" si="483"/>
        <x:v>0</x:v>
      </x:c>
      <x:c r="FK422">
        <x:f t="shared" si="484"/>
        <x:v>0</x:v>
      </x:c>
      <x:c r="FL422" s="41">
        <x:f t="shared" si="485"/>
        <x:v>0</x:v>
      </x:c>
      <x:c r="FM422">
        <x:f t="shared" si="486"/>
        <x:v>0</x:v>
      </x:c>
      <x:c r="FN422">
        <x:f t="shared" si="487"/>
        <x:v>0</x:v>
      </x:c>
      <x:c r="FO422">
        <x:f t="shared" si="488"/>
        <x:v>0</x:v>
      </x:c>
      <x:c r="FP422">
        <x:f t="shared" si="489"/>
        <x:v>0</x:v>
      </x:c>
      <x:c r="FQ422">
        <x:f t="shared" si="490"/>
        <x:v>0</x:v>
      </x:c>
      <x:c r="FR422">
        <x:f t="shared" si="491"/>
        <x:v>0</x:v>
      </x:c>
      <x:c r="FS422">
        <x:f t="shared" si="492"/>
        <x:v>0</x:v>
      </x:c>
      <x:c r="FT422">
        <x:f t="shared" si="493"/>
        <x:v>0</x:v>
      </x:c>
      <x:c r="FU422">
        <x:f t="shared" si="494"/>
        <x:v>0</x:v>
      </x:c>
      <x:c r="FV422">
        <x:f t="shared" si="495"/>
        <x:v>0</x:v>
      </x:c>
      <x:c r="FW422" s="41">
        <x:f t="shared" si="496"/>
        <x:v>0</x:v>
      </x:c>
      <x:c r="FX422">
        <x:f t="shared" si="497"/>
        <x:v>0</x:v>
      </x:c>
      <x:c r="FY422">
        <x:f t="shared" si="498"/>
        <x:v>0</x:v>
      </x:c>
      <x:c r="FZ422">
        <x:f t="shared" si="499"/>
        <x:v>0</x:v>
      </x:c>
      <x:c r="GA422">
        <x:f t="shared" si="500"/>
        <x:v>0</x:v>
      </x:c>
      <x:c r="GB422">
        <x:f t="shared" si="501"/>
        <x:v>0</x:v>
      </x:c>
      <x:c r="GC422">
        <x:f t="shared" si="502"/>
        <x:v>0</x:v>
      </x:c>
      <x:c r="GD422">
        <x:f t="shared" si="503"/>
        <x:v>0</x:v>
      </x:c>
      <x:c r="GE422">
        <x:f t="shared" si="504"/>
        <x:v>0</x:v>
      </x:c>
      <x:c r="GF422">
        <x:f t="shared" si="505"/>
        <x:v>0</x:v>
      </x:c>
      <x:c r="GG422">
        <x:f t="shared" si="506"/>
        <x:v>0</x:v>
      </x:c>
      <x:c r="GH422">
        <x:f t="shared" si="507"/>
        <x:v>0</x:v>
      </x:c>
      <x:c r="GI422">
        <x:f t="shared" si="508"/>
        <x:v>0</x:v>
      </x:c>
      <x:c r="GJ422">
        <x:f t="shared" si="509"/>
        <x:v>0</x:v>
      </x:c>
      <x:c r="GK422">
        <x:f t="shared" si="510"/>
        <x:v>0</x:v>
      </x:c>
      <x:c r="GL422">
        <x:f t="shared" si="511"/>
        <x:v>0</x:v>
      </x:c>
      <x:c r="GM422">
        <x:f t="shared" si="512"/>
        <x:v>0</x:v>
      </x:c>
      <x:c r="GN422">
        <x:f t="shared" si="513"/>
        <x:v>0</x:v>
      </x:c>
      <x:c r="GO422">
        <x:f t="shared" si="514"/>
        <x:v>0</x:v>
      </x:c>
      <x:c r="GP422">
        <x:f t="shared" si="515"/>
        <x:v>0</x:v>
      </x:c>
      <x:c r="GQ422">
        <x:f t="shared" si="516"/>
        <x:v>0</x:v>
      </x:c>
      <x:c r="GR422" s="42">
        <x:f t="shared" si="517"/>
        <x:v>0</x:v>
      </x:c>
      <x:c r="GS422">
        <x:f t="shared" si="518"/>
        <x:v>0</x:v>
      </x:c>
      <x:c r="GT422">
        <x:f t="shared" si="519"/>
        <x:v>0</x:v>
      </x:c>
      <x:c r="GU422">
        <x:f t="shared" si="520"/>
        <x:v>0</x:v>
      </x:c>
      <x:c r="GV422">
        <x:f t="shared" si="521"/>
        <x:v>0</x:v>
      </x:c>
      <x:c r="GW422">
        <x:f t="shared" si="522"/>
        <x:v>0</x:v>
      </x:c>
      <x:c r="GX422">
        <x:f t="shared" si="523"/>
        <x:v>0</x:v>
      </x:c>
      <x:c r="GY422">
        <x:f t="shared" si="524"/>
        <x:v>0</x:v>
      </x:c>
      <x:c r="GZ422">
        <x:f t="shared" si="525"/>
        <x:v>0</x:v>
      </x:c>
      <x:c r="HA422">
        <x:f t="shared" si="526"/>
        <x:v>0</x:v>
      </x:c>
      <x:c r="HB422" s="42">
        <x:f t="shared" si="527"/>
        <x:v>0</x:v>
      </x:c>
      <x:c r="HC422">
        <x:f t="shared" si="528"/>
        <x:v>0</x:v>
      </x:c>
      <x:c r="HD422">
        <x:f t="shared" si="529"/>
        <x:v>0</x:v>
      </x:c>
      <x:c r="HE422">
        <x:f t="shared" si="530"/>
        <x:v>0</x:v>
      </x:c>
      <x:c r="HF422">
        <x:f t="shared" si="531"/>
        <x:v>0</x:v>
      </x:c>
      <x:c r="HG422">
        <x:f t="shared" si="532"/>
        <x:v>0</x:v>
      </x:c>
      <x:c r="HH422">
        <x:f t="shared" si="533"/>
        <x:v>0</x:v>
      </x:c>
      <x:c r="HI422">
        <x:f t="shared" si="534"/>
        <x:v>0</x:v>
      </x:c>
      <x:c r="HJ422">
        <x:f t="shared" si="535"/>
        <x:v>0</x:v>
      </x:c>
      <x:c r="HK422">
        <x:f t="shared" si="536"/>
        <x:v>0</x:v>
      </x:c>
      <x:c r="HL422">
        <x:f t="shared" si="537"/>
        <x:v>0</x:v>
      </x:c>
    </x:row>
    <x:row r="423">
      <x:c r="D423" s="74"/>
      <x:c r="EQ423">
        <x:f t="shared" si="464"/>
        <x:v>0</x:v>
      </x:c>
      <x:c r="ER423">
        <x:f t="shared" si="465"/>
        <x:v>0</x:v>
      </x:c>
      <x:c r="ES423">
        <x:f t="shared" si="466"/>
        <x:v>0</x:v>
      </x:c>
      <x:c r="ET423">
        <x:f t="shared" si="467"/>
        <x:v>0</x:v>
      </x:c>
      <x:c r="EU423">
        <x:f t="shared" si="468"/>
        <x:v>0</x:v>
      </x:c>
      <x:c r="EV423">
        <x:f t="shared" si="469"/>
        <x:v>0</x:v>
      </x:c>
      <x:c r="EW423">
        <x:f t="shared" si="470"/>
        <x:v>0</x:v>
      </x:c>
      <x:c r="EX423">
        <x:f t="shared" si="471"/>
        <x:v>0</x:v>
      </x:c>
      <x:c r="EY423">
        <x:f t="shared" si="472"/>
        <x:v>0</x:v>
      </x:c>
      <x:c r="EZ423">
        <x:f t="shared" si="473"/>
        <x:v>0</x:v>
      </x:c>
      <x:c r="FA423" s="41">
        <x:f t="shared" si="474"/>
        <x:v>0</x:v>
      </x:c>
      <x:c r="FB423">
        <x:f t="shared" si="475"/>
        <x:v>0</x:v>
      </x:c>
      <x:c r="FC423">
        <x:f t="shared" si="476"/>
        <x:v>0</x:v>
      </x:c>
      <x:c r="FD423">
        <x:f t="shared" si="477"/>
        <x:v>0</x:v>
      </x:c>
      <x:c r="FE423">
        <x:f t="shared" si="478"/>
        <x:v>0</x:v>
      </x:c>
      <x:c r="FF423">
        <x:f t="shared" si="479"/>
        <x:v>0</x:v>
      </x:c>
      <x:c r="FG423">
        <x:f t="shared" si="480"/>
        <x:v>0</x:v>
      </x:c>
      <x:c r="FH423">
        <x:f t="shared" si="481"/>
        <x:v>0</x:v>
      </x:c>
      <x:c r="FI423">
        <x:f t="shared" si="482"/>
        <x:v>0</x:v>
      </x:c>
      <x:c r="FJ423">
        <x:f t="shared" si="483"/>
        <x:v>0</x:v>
      </x:c>
      <x:c r="FK423">
        <x:f t="shared" si="484"/>
        <x:v>0</x:v>
      </x:c>
      <x:c r="FL423" s="41">
        <x:f t="shared" si="485"/>
        <x:v>0</x:v>
      </x:c>
      <x:c r="FM423">
        <x:f t="shared" si="486"/>
        <x:v>0</x:v>
      </x:c>
      <x:c r="FN423">
        <x:f t="shared" si="487"/>
        <x:v>0</x:v>
      </x:c>
      <x:c r="FO423">
        <x:f t="shared" si="488"/>
        <x:v>0</x:v>
      </x:c>
      <x:c r="FP423">
        <x:f t="shared" si="489"/>
        <x:v>0</x:v>
      </x:c>
      <x:c r="FQ423">
        <x:f t="shared" si="490"/>
        <x:v>0</x:v>
      </x:c>
      <x:c r="FR423">
        <x:f t="shared" si="491"/>
        <x:v>0</x:v>
      </x:c>
      <x:c r="FS423">
        <x:f t="shared" si="492"/>
        <x:v>0</x:v>
      </x:c>
      <x:c r="FT423">
        <x:f t="shared" si="493"/>
        <x:v>0</x:v>
      </x:c>
      <x:c r="FU423">
        <x:f t="shared" si="494"/>
        <x:v>0</x:v>
      </x:c>
      <x:c r="FV423">
        <x:f t="shared" si="495"/>
        <x:v>0</x:v>
      </x:c>
      <x:c r="FW423" s="41">
        <x:f t="shared" si="496"/>
        <x:v>0</x:v>
      </x:c>
      <x:c r="FX423">
        <x:f t="shared" si="497"/>
        <x:v>0</x:v>
      </x:c>
      <x:c r="FY423">
        <x:f t="shared" si="498"/>
        <x:v>0</x:v>
      </x:c>
      <x:c r="FZ423">
        <x:f t="shared" si="499"/>
        <x:v>0</x:v>
      </x:c>
      <x:c r="GA423">
        <x:f t="shared" si="500"/>
        <x:v>0</x:v>
      </x:c>
      <x:c r="GB423">
        <x:f t="shared" si="501"/>
        <x:v>0</x:v>
      </x:c>
      <x:c r="GC423">
        <x:f t="shared" si="502"/>
        <x:v>0</x:v>
      </x:c>
      <x:c r="GD423">
        <x:f t="shared" si="503"/>
        <x:v>0</x:v>
      </x:c>
      <x:c r="GE423">
        <x:f t="shared" si="504"/>
        <x:v>0</x:v>
      </x:c>
      <x:c r="GF423">
        <x:f t="shared" si="505"/>
        <x:v>0</x:v>
      </x:c>
      <x:c r="GG423">
        <x:f t="shared" si="506"/>
        <x:v>0</x:v>
      </x:c>
      <x:c r="GH423">
        <x:f t="shared" si="507"/>
        <x:v>0</x:v>
      </x:c>
      <x:c r="GI423">
        <x:f t="shared" si="508"/>
        <x:v>0</x:v>
      </x:c>
      <x:c r="GJ423">
        <x:f t="shared" si="509"/>
        <x:v>0</x:v>
      </x:c>
      <x:c r="GK423">
        <x:f t="shared" si="510"/>
        <x:v>0</x:v>
      </x:c>
      <x:c r="GL423">
        <x:f t="shared" si="511"/>
        <x:v>0</x:v>
      </x:c>
      <x:c r="GM423">
        <x:f t="shared" si="512"/>
        <x:v>0</x:v>
      </x:c>
      <x:c r="GN423">
        <x:f t="shared" si="513"/>
        <x:v>0</x:v>
      </x:c>
      <x:c r="GO423">
        <x:f t="shared" si="514"/>
        <x:v>0</x:v>
      </x:c>
      <x:c r="GP423">
        <x:f t="shared" si="515"/>
        <x:v>0</x:v>
      </x:c>
      <x:c r="GQ423">
        <x:f t="shared" si="516"/>
        <x:v>0</x:v>
      </x:c>
      <x:c r="GR423" s="42">
        <x:f t="shared" si="517"/>
        <x:v>0</x:v>
      </x:c>
      <x:c r="GS423">
        <x:f t="shared" si="518"/>
        <x:v>0</x:v>
      </x:c>
      <x:c r="GT423">
        <x:f t="shared" si="519"/>
        <x:v>0</x:v>
      </x:c>
      <x:c r="GU423">
        <x:f t="shared" si="520"/>
        <x:v>0</x:v>
      </x:c>
      <x:c r="GV423">
        <x:f t="shared" si="521"/>
        <x:v>0</x:v>
      </x:c>
      <x:c r="GW423">
        <x:f t="shared" si="522"/>
        <x:v>0</x:v>
      </x:c>
      <x:c r="GX423">
        <x:f t="shared" si="523"/>
        <x:v>0</x:v>
      </x:c>
      <x:c r="GY423">
        <x:f t="shared" si="524"/>
        <x:v>0</x:v>
      </x:c>
      <x:c r="GZ423">
        <x:f t="shared" si="525"/>
        <x:v>0</x:v>
      </x:c>
      <x:c r="HA423">
        <x:f t="shared" si="526"/>
        <x:v>0</x:v>
      </x:c>
      <x:c r="HB423" s="42">
        <x:f t="shared" si="527"/>
        <x:v>0</x:v>
      </x:c>
      <x:c r="HC423">
        <x:f t="shared" si="528"/>
        <x:v>0</x:v>
      </x:c>
      <x:c r="HD423">
        <x:f t="shared" si="529"/>
        <x:v>0</x:v>
      </x:c>
      <x:c r="HE423">
        <x:f t="shared" si="530"/>
        <x:v>0</x:v>
      </x:c>
      <x:c r="HF423">
        <x:f t="shared" si="531"/>
        <x:v>0</x:v>
      </x:c>
      <x:c r="HG423">
        <x:f t="shared" si="532"/>
        <x:v>0</x:v>
      </x:c>
      <x:c r="HH423">
        <x:f t="shared" si="533"/>
        <x:v>0</x:v>
      </x:c>
      <x:c r="HI423">
        <x:f t="shared" si="534"/>
        <x:v>0</x:v>
      </x:c>
      <x:c r="HJ423">
        <x:f t="shared" si="535"/>
        <x:v>0</x:v>
      </x:c>
      <x:c r="HK423">
        <x:f t="shared" si="536"/>
        <x:v>0</x:v>
      </x:c>
      <x:c r="HL423">
        <x:f t="shared" si="537"/>
        <x:v>0</x:v>
      </x:c>
    </x:row>
    <x:row r="424">
      <x:c r="D424" s="74"/>
      <x:c r="EQ424">
        <x:f t="shared" si="464"/>
        <x:v>0</x:v>
      </x:c>
      <x:c r="ER424">
        <x:f t="shared" si="465"/>
        <x:v>0</x:v>
      </x:c>
      <x:c r="ES424">
        <x:f t="shared" si="466"/>
        <x:v>0</x:v>
      </x:c>
      <x:c r="ET424">
        <x:f t="shared" si="467"/>
        <x:v>0</x:v>
      </x:c>
      <x:c r="EU424">
        <x:f t="shared" si="468"/>
        <x:v>0</x:v>
      </x:c>
      <x:c r="EV424">
        <x:f t="shared" si="469"/>
        <x:v>0</x:v>
      </x:c>
      <x:c r="EW424">
        <x:f t="shared" si="470"/>
        <x:v>0</x:v>
      </x:c>
      <x:c r="EX424">
        <x:f t="shared" si="471"/>
        <x:v>0</x:v>
      </x:c>
      <x:c r="EY424">
        <x:f t="shared" si="472"/>
        <x:v>0</x:v>
      </x:c>
      <x:c r="EZ424">
        <x:f t="shared" si="473"/>
        <x:v>0</x:v>
      </x:c>
      <x:c r="FA424" s="41">
        <x:f t="shared" si="474"/>
        <x:v>0</x:v>
      </x:c>
      <x:c r="FB424">
        <x:f t="shared" si="475"/>
        <x:v>0</x:v>
      </x:c>
      <x:c r="FC424">
        <x:f t="shared" si="476"/>
        <x:v>0</x:v>
      </x:c>
      <x:c r="FD424">
        <x:f t="shared" si="477"/>
        <x:v>0</x:v>
      </x:c>
      <x:c r="FE424">
        <x:f t="shared" si="478"/>
        <x:v>0</x:v>
      </x:c>
      <x:c r="FF424">
        <x:f t="shared" si="479"/>
        <x:v>0</x:v>
      </x:c>
      <x:c r="FG424">
        <x:f t="shared" si="480"/>
        <x:v>0</x:v>
      </x:c>
      <x:c r="FH424">
        <x:f t="shared" si="481"/>
        <x:v>0</x:v>
      </x:c>
      <x:c r="FI424">
        <x:f t="shared" si="482"/>
        <x:v>0</x:v>
      </x:c>
      <x:c r="FJ424">
        <x:f t="shared" si="483"/>
        <x:v>0</x:v>
      </x:c>
      <x:c r="FK424">
        <x:f t="shared" si="484"/>
        <x:v>0</x:v>
      </x:c>
      <x:c r="FL424" s="41">
        <x:f t="shared" si="485"/>
        <x:v>0</x:v>
      </x:c>
      <x:c r="FM424">
        <x:f t="shared" si="486"/>
        <x:v>0</x:v>
      </x:c>
      <x:c r="FN424">
        <x:f t="shared" si="487"/>
        <x:v>0</x:v>
      </x:c>
      <x:c r="FO424">
        <x:f t="shared" si="488"/>
        <x:v>0</x:v>
      </x:c>
      <x:c r="FP424">
        <x:f t="shared" si="489"/>
        <x:v>0</x:v>
      </x:c>
      <x:c r="FQ424">
        <x:f t="shared" si="490"/>
        <x:v>0</x:v>
      </x:c>
      <x:c r="FR424">
        <x:f t="shared" si="491"/>
        <x:v>0</x:v>
      </x:c>
      <x:c r="FS424">
        <x:f t="shared" si="492"/>
        <x:v>0</x:v>
      </x:c>
      <x:c r="FT424">
        <x:f t="shared" si="493"/>
        <x:v>0</x:v>
      </x:c>
      <x:c r="FU424">
        <x:f t="shared" si="494"/>
        <x:v>0</x:v>
      </x:c>
      <x:c r="FV424">
        <x:f t="shared" si="495"/>
        <x:v>0</x:v>
      </x:c>
      <x:c r="FW424" s="41">
        <x:f t="shared" si="496"/>
        <x:v>0</x:v>
      </x:c>
      <x:c r="FX424">
        <x:f t="shared" si="497"/>
        <x:v>0</x:v>
      </x:c>
      <x:c r="FY424">
        <x:f t="shared" si="498"/>
        <x:v>0</x:v>
      </x:c>
      <x:c r="FZ424">
        <x:f t="shared" si="499"/>
        <x:v>0</x:v>
      </x:c>
      <x:c r="GA424">
        <x:f t="shared" si="500"/>
        <x:v>0</x:v>
      </x:c>
      <x:c r="GB424">
        <x:f t="shared" si="501"/>
        <x:v>0</x:v>
      </x:c>
      <x:c r="GC424">
        <x:f t="shared" si="502"/>
        <x:v>0</x:v>
      </x:c>
      <x:c r="GD424">
        <x:f t="shared" si="503"/>
        <x:v>0</x:v>
      </x:c>
      <x:c r="GE424">
        <x:f t="shared" si="504"/>
        <x:v>0</x:v>
      </x:c>
      <x:c r="GF424">
        <x:f t="shared" si="505"/>
        <x:v>0</x:v>
      </x:c>
      <x:c r="GG424">
        <x:f t="shared" si="506"/>
        <x:v>0</x:v>
      </x:c>
      <x:c r="GH424">
        <x:f t="shared" si="507"/>
        <x:v>0</x:v>
      </x:c>
      <x:c r="GI424">
        <x:f t="shared" si="508"/>
        <x:v>0</x:v>
      </x:c>
      <x:c r="GJ424">
        <x:f t="shared" si="509"/>
        <x:v>0</x:v>
      </x:c>
      <x:c r="GK424">
        <x:f t="shared" si="510"/>
        <x:v>0</x:v>
      </x:c>
      <x:c r="GL424">
        <x:f t="shared" si="511"/>
        <x:v>0</x:v>
      </x:c>
      <x:c r="GM424">
        <x:f t="shared" si="512"/>
        <x:v>0</x:v>
      </x:c>
      <x:c r="GN424">
        <x:f t="shared" si="513"/>
        <x:v>0</x:v>
      </x:c>
      <x:c r="GO424">
        <x:f t="shared" si="514"/>
        <x:v>0</x:v>
      </x:c>
      <x:c r="GP424">
        <x:f t="shared" si="515"/>
        <x:v>0</x:v>
      </x:c>
      <x:c r="GQ424">
        <x:f t="shared" si="516"/>
        <x:v>0</x:v>
      </x:c>
      <x:c r="GR424" s="42">
        <x:f t="shared" si="517"/>
        <x:v>0</x:v>
      </x:c>
      <x:c r="GS424">
        <x:f t="shared" si="518"/>
        <x:v>0</x:v>
      </x:c>
      <x:c r="GT424">
        <x:f t="shared" si="519"/>
        <x:v>0</x:v>
      </x:c>
      <x:c r="GU424">
        <x:f t="shared" si="520"/>
        <x:v>0</x:v>
      </x:c>
      <x:c r="GV424">
        <x:f t="shared" si="521"/>
        <x:v>0</x:v>
      </x:c>
      <x:c r="GW424">
        <x:f t="shared" si="522"/>
        <x:v>0</x:v>
      </x:c>
      <x:c r="GX424">
        <x:f t="shared" si="523"/>
        <x:v>0</x:v>
      </x:c>
      <x:c r="GY424">
        <x:f t="shared" si="524"/>
        <x:v>0</x:v>
      </x:c>
      <x:c r="GZ424">
        <x:f t="shared" si="525"/>
        <x:v>0</x:v>
      </x:c>
      <x:c r="HA424">
        <x:f t="shared" si="526"/>
        <x:v>0</x:v>
      </x:c>
      <x:c r="HB424" s="42">
        <x:f t="shared" si="527"/>
        <x:v>0</x:v>
      </x:c>
      <x:c r="HC424">
        <x:f t="shared" si="528"/>
        <x:v>0</x:v>
      </x:c>
      <x:c r="HD424">
        <x:f t="shared" si="529"/>
        <x:v>0</x:v>
      </x:c>
      <x:c r="HE424">
        <x:f t="shared" si="530"/>
        <x:v>0</x:v>
      </x:c>
      <x:c r="HF424">
        <x:f t="shared" si="531"/>
        <x:v>0</x:v>
      </x:c>
      <x:c r="HG424">
        <x:f t="shared" si="532"/>
        <x:v>0</x:v>
      </x:c>
      <x:c r="HH424">
        <x:f t="shared" si="533"/>
        <x:v>0</x:v>
      </x:c>
      <x:c r="HI424">
        <x:f t="shared" si="534"/>
        <x:v>0</x:v>
      </x:c>
      <x:c r="HJ424">
        <x:f t="shared" si="535"/>
        <x:v>0</x:v>
      </x:c>
      <x:c r="HK424">
        <x:f t="shared" si="536"/>
        <x:v>0</x:v>
      </x:c>
      <x:c r="HL424">
        <x:f t="shared" si="537"/>
        <x:v>0</x:v>
      </x:c>
    </x:row>
    <x:row r="425">
      <x:c r="D425" s="74"/>
      <x:c r="EQ425">
        <x:f t="shared" si="464"/>
        <x:v>0</x:v>
      </x:c>
      <x:c r="ER425">
        <x:f t="shared" si="465"/>
        <x:v>0</x:v>
      </x:c>
      <x:c r="ES425">
        <x:f t="shared" si="466"/>
        <x:v>0</x:v>
      </x:c>
      <x:c r="ET425">
        <x:f t="shared" si="467"/>
        <x:v>0</x:v>
      </x:c>
      <x:c r="EU425">
        <x:f t="shared" si="468"/>
        <x:v>0</x:v>
      </x:c>
      <x:c r="EV425">
        <x:f t="shared" si="469"/>
        <x:v>0</x:v>
      </x:c>
      <x:c r="EW425">
        <x:f t="shared" si="470"/>
        <x:v>0</x:v>
      </x:c>
      <x:c r="EX425">
        <x:f t="shared" si="471"/>
        <x:v>0</x:v>
      </x:c>
      <x:c r="EY425">
        <x:f t="shared" si="472"/>
        <x:v>0</x:v>
      </x:c>
      <x:c r="EZ425">
        <x:f t="shared" si="473"/>
        <x:v>0</x:v>
      </x:c>
      <x:c r="FA425" s="41">
        <x:f t="shared" si="474"/>
        <x:v>0</x:v>
      </x:c>
      <x:c r="FB425">
        <x:f t="shared" si="475"/>
        <x:v>0</x:v>
      </x:c>
      <x:c r="FC425">
        <x:f t="shared" si="476"/>
        <x:v>0</x:v>
      </x:c>
      <x:c r="FD425">
        <x:f t="shared" si="477"/>
        <x:v>0</x:v>
      </x:c>
      <x:c r="FE425">
        <x:f t="shared" si="478"/>
        <x:v>0</x:v>
      </x:c>
      <x:c r="FF425">
        <x:f t="shared" si="479"/>
        <x:v>0</x:v>
      </x:c>
      <x:c r="FG425">
        <x:f t="shared" si="480"/>
        <x:v>0</x:v>
      </x:c>
      <x:c r="FH425">
        <x:f t="shared" si="481"/>
        <x:v>0</x:v>
      </x:c>
      <x:c r="FI425">
        <x:f t="shared" si="482"/>
        <x:v>0</x:v>
      </x:c>
      <x:c r="FJ425">
        <x:f t="shared" si="483"/>
        <x:v>0</x:v>
      </x:c>
      <x:c r="FK425">
        <x:f t="shared" si="484"/>
        <x:v>0</x:v>
      </x:c>
      <x:c r="FL425" s="41">
        <x:f t="shared" si="485"/>
        <x:v>0</x:v>
      </x:c>
      <x:c r="FM425">
        <x:f t="shared" si="486"/>
        <x:v>0</x:v>
      </x:c>
      <x:c r="FN425">
        <x:f t="shared" si="487"/>
        <x:v>0</x:v>
      </x:c>
      <x:c r="FO425">
        <x:f t="shared" si="488"/>
        <x:v>0</x:v>
      </x:c>
      <x:c r="FP425">
        <x:f t="shared" si="489"/>
        <x:v>0</x:v>
      </x:c>
      <x:c r="FQ425">
        <x:f t="shared" si="490"/>
        <x:v>0</x:v>
      </x:c>
      <x:c r="FR425">
        <x:f t="shared" si="491"/>
        <x:v>0</x:v>
      </x:c>
      <x:c r="FS425">
        <x:f t="shared" si="492"/>
        <x:v>0</x:v>
      </x:c>
      <x:c r="FT425">
        <x:f t="shared" si="493"/>
        <x:v>0</x:v>
      </x:c>
      <x:c r="FU425">
        <x:f t="shared" si="494"/>
        <x:v>0</x:v>
      </x:c>
      <x:c r="FV425">
        <x:f t="shared" si="495"/>
        <x:v>0</x:v>
      </x:c>
      <x:c r="FW425" s="41">
        <x:f t="shared" si="496"/>
        <x:v>0</x:v>
      </x:c>
      <x:c r="FX425">
        <x:f t="shared" si="497"/>
        <x:v>0</x:v>
      </x:c>
      <x:c r="FY425">
        <x:f t="shared" si="498"/>
        <x:v>0</x:v>
      </x:c>
      <x:c r="FZ425">
        <x:f t="shared" si="499"/>
        <x:v>0</x:v>
      </x:c>
      <x:c r="GA425">
        <x:f t="shared" si="500"/>
        <x:v>0</x:v>
      </x:c>
      <x:c r="GB425">
        <x:f t="shared" si="501"/>
        <x:v>0</x:v>
      </x:c>
      <x:c r="GC425">
        <x:f t="shared" si="502"/>
        <x:v>0</x:v>
      </x:c>
      <x:c r="GD425">
        <x:f t="shared" si="503"/>
        <x:v>0</x:v>
      </x:c>
      <x:c r="GE425">
        <x:f t="shared" si="504"/>
        <x:v>0</x:v>
      </x:c>
      <x:c r="GF425">
        <x:f t="shared" si="505"/>
        <x:v>0</x:v>
      </x:c>
      <x:c r="GG425">
        <x:f t="shared" si="506"/>
        <x:v>0</x:v>
      </x:c>
      <x:c r="GH425">
        <x:f t="shared" si="507"/>
        <x:v>0</x:v>
      </x:c>
      <x:c r="GI425">
        <x:f t="shared" si="508"/>
        <x:v>0</x:v>
      </x:c>
      <x:c r="GJ425">
        <x:f t="shared" si="509"/>
        <x:v>0</x:v>
      </x:c>
      <x:c r="GK425">
        <x:f t="shared" si="510"/>
        <x:v>0</x:v>
      </x:c>
      <x:c r="GL425">
        <x:f t="shared" si="511"/>
        <x:v>0</x:v>
      </x:c>
      <x:c r="GM425">
        <x:f t="shared" si="512"/>
        <x:v>0</x:v>
      </x:c>
      <x:c r="GN425">
        <x:f t="shared" si="513"/>
        <x:v>0</x:v>
      </x:c>
      <x:c r="GO425">
        <x:f t="shared" si="514"/>
        <x:v>0</x:v>
      </x:c>
      <x:c r="GP425">
        <x:f t="shared" si="515"/>
        <x:v>0</x:v>
      </x:c>
      <x:c r="GQ425">
        <x:f t="shared" si="516"/>
        <x:v>0</x:v>
      </x:c>
      <x:c r="GR425" s="42">
        <x:f t="shared" si="517"/>
        <x:v>0</x:v>
      </x:c>
      <x:c r="GS425">
        <x:f t="shared" si="518"/>
        <x:v>0</x:v>
      </x:c>
      <x:c r="GT425">
        <x:f t="shared" si="519"/>
        <x:v>0</x:v>
      </x:c>
      <x:c r="GU425">
        <x:f t="shared" si="520"/>
        <x:v>0</x:v>
      </x:c>
      <x:c r="GV425">
        <x:f t="shared" si="521"/>
        <x:v>0</x:v>
      </x:c>
      <x:c r="GW425">
        <x:f t="shared" si="522"/>
        <x:v>0</x:v>
      </x:c>
      <x:c r="GX425">
        <x:f t="shared" si="523"/>
        <x:v>0</x:v>
      </x:c>
      <x:c r="GY425">
        <x:f t="shared" si="524"/>
        <x:v>0</x:v>
      </x:c>
      <x:c r="GZ425">
        <x:f t="shared" si="525"/>
        <x:v>0</x:v>
      </x:c>
      <x:c r="HA425">
        <x:f t="shared" si="526"/>
        <x:v>0</x:v>
      </x:c>
      <x:c r="HB425" s="42">
        <x:f t="shared" si="527"/>
        <x:v>0</x:v>
      </x:c>
      <x:c r="HC425">
        <x:f t="shared" si="528"/>
        <x:v>0</x:v>
      </x:c>
      <x:c r="HD425">
        <x:f t="shared" si="529"/>
        <x:v>0</x:v>
      </x:c>
      <x:c r="HE425">
        <x:f t="shared" si="530"/>
        <x:v>0</x:v>
      </x:c>
      <x:c r="HF425">
        <x:f t="shared" si="531"/>
        <x:v>0</x:v>
      </x:c>
      <x:c r="HG425">
        <x:f t="shared" si="532"/>
        <x:v>0</x:v>
      </x:c>
      <x:c r="HH425">
        <x:f t="shared" si="533"/>
        <x:v>0</x:v>
      </x:c>
      <x:c r="HI425">
        <x:f t="shared" si="534"/>
        <x:v>0</x:v>
      </x:c>
      <x:c r="HJ425">
        <x:f t="shared" si="535"/>
        <x:v>0</x:v>
      </x:c>
      <x:c r="HK425">
        <x:f t="shared" si="536"/>
        <x:v>0</x:v>
      </x:c>
      <x:c r="HL425">
        <x:f t="shared" si="537"/>
        <x:v>0</x:v>
      </x:c>
    </x:row>
    <x:row r="426">
      <x:c r="D426" s="74"/>
      <x:c r="EQ426">
        <x:f t="shared" si="464"/>
        <x:v>0</x:v>
      </x:c>
      <x:c r="ER426">
        <x:f t="shared" si="465"/>
        <x:v>0</x:v>
      </x:c>
      <x:c r="ES426">
        <x:f t="shared" si="466"/>
        <x:v>0</x:v>
      </x:c>
      <x:c r="ET426">
        <x:f t="shared" si="467"/>
        <x:v>0</x:v>
      </x:c>
      <x:c r="EU426">
        <x:f t="shared" si="468"/>
        <x:v>0</x:v>
      </x:c>
      <x:c r="EV426">
        <x:f t="shared" si="469"/>
        <x:v>0</x:v>
      </x:c>
      <x:c r="EW426">
        <x:f t="shared" si="470"/>
        <x:v>0</x:v>
      </x:c>
      <x:c r="EX426">
        <x:f t="shared" si="471"/>
        <x:v>0</x:v>
      </x:c>
      <x:c r="EY426">
        <x:f t="shared" si="472"/>
        <x:v>0</x:v>
      </x:c>
      <x:c r="EZ426">
        <x:f t="shared" si="473"/>
        <x:v>0</x:v>
      </x:c>
      <x:c r="FA426" s="41">
        <x:f t="shared" si="474"/>
        <x:v>0</x:v>
      </x:c>
      <x:c r="FB426">
        <x:f t="shared" si="475"/>
        <x:v>0</x:v>
      </x:c>
      <x:c r="FC426">
        <x:f t="shared" si="476"/>
        <x:v>0</x:v>
      </x:c>
      <x:c r="FD426">
        <x:f t="shared" si="477"/>
        <x:v>0</x:v>
      </x:c>
      <x:c r="FE426">
        <x:f t="shared" si="478"/>
        <x:v>0</x:v>
      </x:c>
      <x:c r="FF426">
        <x:f t="shared" si="479"/>
        <x:v>0</x:v>
      </x:c>
      <x:c r="FG426">
        <x:f t="shared" si="480"/>
        <x:v>0</x:v>
      </x:c>
      <x:c r="FH426">
        <x:f t="shared" si="481"/>
        <x:v>0</x:v>
      </x:c>
      <x:c r="FI426">
        <x:f t="shared" si="482"/>
        <x:v>0</x:v>
      </x:c>
      <x:c r="FJ426">
        <x:f t="shared" si="483"/>
        <x:v>0</x:v>
      </x:c>
      <x:c r="FK426">
        <x:f t="shared" si="484"/>
        <x:v>0</x:v>
      </x:c>
      <x:c r="FL426" s="41">
        <x:f t="shared" si="485"/>
        <x:v>0</x:v>
      </x:c>
      <x:c r="FM426">
        <x:f t="shared" si="486"/>
        <x:v>0</x:v>
      </x:c>
      <x:c r="FN426">
        <x:f t="shared" si="487"/>
        <x:v>0</x:v>
      </x:c>
      <x:c r="FO426">
        <x:f t="shared" si="488"/>
        <x:v>0</x:v>
      </x:c>
      <x:c r="FP426">
        <x:f t="shared" si="489"/>
        <x:v>0</x:v>
      </x:c>
      <x:c r="FQ426">
        <x:f t="shared" si="490"/>
        <x:v>0</x:v>
      </x:c>
      <x:c r="FR426">
        <x:f t="shared" si="491"/>
        <x:v>0</x:v>
      </x:c>
      <x:c r="FS426">
        <x:f t="shared" si="492"/>
        <x:v>0</x:v>
      </x:c>
      <x:c r="FT426">
        <x:f t="shared" si="493"/>
        <x:v>0</x:v>
      </x:c>
      <x:c r="FU426">
        <x:f t="shared" si="494"/>
        <x:v>0</x:v>
      </x:c>
      <x:c r="FV426">
        <x:f t="shared" si="495"/>
        <x:v>0</x:v>
      </x:c>
      <x:c r="FW426" s="41">
        <x:f t="shared" si="496"/>
        <x:v>0</x:v>
      </x:c>
      <x:c r="FX426">
        <x:f t="shared" si="497"/>
        <x:v>0</x:v>
      </x:c>
      <x:c r="FY426">
        <x:f t="shared" si="498"/>
        <x:v>0</x:v>
      </x:c>
      <x:c r="FZ426">
        <x:f t="shared" si="499"/>
        <x:v>0</x:v>
      </x:c>
      <x:c r="GA426">
        <x:f t="shared" si="500"/>
        <x:v>0</x:v>
      </x:c>
      <x:c r="GB426">
        <x:f t="shared" si="501"/>
        <x:v>0</x:v>
      </x:c>
      <x:c r="GC426">
        <x:f t="shared" si="502"/>
        <x:v>0</x:v>
      </x:c>
      <x:c r="GD426">
        <x:f t="shared" si="503"/>
        <x:v>0</x:v>
      </x:c>
      <x:c r="GE426">
        <x:f t="shared" si="504"/>
        <x:v>0</x:v>
      </x:c>
      <x:c r="GF426">
        <x:f t="shared" si="505"/>
        <x:v>0</x:v>
      </x:c>
      <x:c r="GG426">
        <x:f t="shared" si="506"/>
        <x:v>0</x:v>
      </x:c>
      <x:c r="GH426">
        <x:f t="shared" si="507"/>
        <x:v>0</x:v>
      </x:c>
      <x:c r="GI426">
        <x:f t="shared" si="508"/>
        <x:v>0</x:v>
      </x:c>
      <x:c r="GJ426">
        <x:f t="shared" si="509"/>
        <x:v>0</x:v>
      </x:c>
      <x:c r="GK426">
        <x:f t="shared" si="510"/>
        <x:v>0</x:v>
      </x:c>
      <x:c r="GL426">
        <x:f t="shared" si="511"/>
        <x:v>0</x:v>
      </x:c>
      <x:c r="GM426">
        <x:f t="shared" si="512"/>
        <x:v>0</x:v>
      </x:c>
      <x:c r="GN426">
        <x:f t="shared" si="513"/>
        <x:v>0</x:v>
      </x:c>
      <x:c r="GO426">
        <x:f t="shared" si="514"/>
        <x:v>0</x:v>
      </x:c>
      <x:c r="GP426">
        <x:f t="shared" si="515"/>
        <x:v>0</x:v>
      </x:c>
      <x:c r="GQ426">
        <x:f t="shared" si="516"/>
        <x:v>0</x:v>
      </x:c>
      <x:c r="GR426" s="42">
        <x:f t="shared" si="517"/>
        <x:v>0</x:v>
      </x:c>
      <x:c r="GS426">
        <x:f t="shared" si="518"/>
        <x:v>0</x:v>
      </x:c>
      <x:c r="GT426">
        <x:f t="shared" si="519"/>
        <x:v>0</x:v>
      </x:c>
      <x:c r="GU426">
        <x:f t="shared" si="520"/>
        <x:v>0</x:v>
      </x:c>
      <x:c r="GV426">
        <x:f t="shared" si="521"/>
        <x:v>0</x:v>
      </x:c>
      <x:c r="GW426">
        <x:f t="shared" si="522"/>
        <x:v>0</x:v>
      </x:c>
      <x:c r="GX426">
        <x:f t="shared" si="523"/>
        <x:v>0</x:v>
      </x:c>
      <x:c r="GY426">
        <x:f t="shared" si="524"/>
        <x:v>0</x:v>
      </x:c>
      <x:c r="GZ426">
        <x:f t="shared" si="525"/>
        <x:v>0</x:v>
      </x:c>
      <x:c r="HA426">
        <x:f t="shared" si="526"/>
        <x:v>0</x:v>
      </x:c>
      <x:c r="HB426" s="42">
        <x:f t="shared" si="527"/>
        <x:v>0</x:v>
      </x:c>
      <x:c r="HC426">
        <x:f t="shared" si="528"/>
        <x:v>0</x:v>
      </x:c>
      <x:c r="HD426">
        <x:f t="shared" si="529"/>
        <x:v>0</x:v>
      </x:c>
      <x:c r="HE426">
        <x:f t="shared" si="530"/>
        <x:v>0</x:v>
      </x:c>
      <x:c r="HF426">
        <x:f t="shared" si="531"/>
        <x:v>0</x:v>
      </x:c>
      <x:c r="HG426">
        <x:f t="shared" si="532"/>
        <x:v>0</x:v>
      </x:c>
      <x:c r="HH426">
        <x:f t="shared" si="533"/>
        <x:v>0</x:v>
      </x:c>
      <x:c r="HI426">
        <x:f t="shared" si="534"/>
        <x:v>0</x:v>
      </x:c>
      <x:c r="HJ426">
        <x:f t="shared" si="535"/>
        <x:v>0</x:v>
      </x:c>
      <x:c r="HK426">
        <x:f t="shared" si="536"/>
        <x:v>0</x:v>
      </x:c>
      <x:c r="HL426">
        <x:f t="shared" si="537"/>
        <x:v>0</x:v>
      </x:c>
    </x:row>
    <x:row r="427">
      <x:c r="D427" s="74"/>
      <x:c r="EQ427">
        <x:f t="shared" si="464"/>
        <x:v>0</x:v>
      </x:c>
      <x:c r="ER427">
        <x:f t="shared" si="465"/>
        <x:v>0</x:v>
      </x:c>
      <x:c r="ES427">
        <x:f t="shared" si="466"/>
        <x:v>0</x:v>
      </x:c>
      <x:c r="ET427">
        <x:f t="shared" si="467"/>
        <x:v>0</x:v>
      </x:c>
      <x:c r="EU427">
        <x:f t="shared" si="468"/>
        <x:v>0</x:v>
      </x:c>
      <x:c r="EV427">
        <x:f t="shared" si="469"/>
        <x:v>0</x:v>
      </x:c>
      <x:c r="EW427">
        <x:f t="shared" si="470"/>
        <x:v>0</x:v>
      </x:c>
      <x:c r="EX427">
        <x:f t="shared" si="471"/>
        <x:v>0</x:v>
      </x:c>
      <x:c r="EY427">
        <x:f t="shared" si="472"/>
        <x:v>0</x:v>
      </x:c>
      <x:c r="EZ427">
        <x:f t="shared" si="473"/>
        <x:v>0</x:v>
      </x:c>
      <x:c r="FA427" s="41">
        <x:f t="shared" si="474"/>
        <x:v>0</x:v>
      </x:c>
      <x:c r="FB427">
        <x:f t="shared" si="475"/>
        <x:v>0</x:v>
      </x:c>
      <x:c r="FC427">
        <x:f t="shared" si="476"/>
        <x:v>0</x:v>
      </x:c>
      <x:c r="FD427">
        <x:f t="shared" si="477"/>
        <x:v>0</x:v>
      </x:c>
      <x:c r="FE427">
        <x:f t="shared" si="478"/>
        <x:v>0</x:v>
      </x:c>
      <x:c r="FF427">
        <x:f t="shared" si="479"/>
        <x:v>0</x:v>
      </x:c>
      <x:c r="FG427">
        <x:f t="shared" si="480"/>
        <x:v>0</x:v>
      </x:c>
      <x:c r="FH427">
        <x:f t="shared" si="481"/>
        <x:v>0</x:v>
      </x:c>
      <x:c r="FI427">
        <x:f t="shared" si="482"/>
        <x:v>0</x:v>
      </x:c>
      <x:c r="FJ427">
        <x:f t="shared" si="483"/>
        <x:v>0</x:v>
      </x:c>
      <x:c r="FK427">
        <x:f t="shared" si="484"/>
        <x:v>0</x:v>
      </x:c>
      <x:c r="FL427" s="41">
        <x:f t="shared" si="485"/>
        <x:v>0</x:v>
      </x:c>
      <x:c r="FM427">
        <x:f t="shared" si="486"/>
        <x:v>0</x:v>
      </x:c>
      <x:c r="FN427">
        <x:f t="shared" si="487"/>
        <x:v>0</x:v>
      </x:c>
      <x:c r="FO427">
        <x:f t="shared" si="488"/>
        <x:v>0</x:v>
      </x:c>
      <x:c r="FP427">
        <x:f t="shared" si="489"/>
        <x:v>0</x:v>
      </x:c>
      <x:c r="FQ427">
        <x:f t="shared" si="490"/>
        <x:v>0</x:v>
      </x:c>
      <x:c r="FR427">
        <x:f t="shared" si="491"/>
        <x:v>0</x:v>
      </x:c>
      <x:c r="FS427">
        <x:f t="shared" si="492"/>
        <x:v>0</x:v>
      </x:c>
      <x:c r="FT427">
        <x:f t="shared" si="493"/>
        <x:v>0</x:v>
      </x:c>
      <x:c r="FU427">
        <x:f t="shared" si="494"/>
        <x:v>0</x:v>
      </x:c>
      <x:c r="FV427">
        <x:f t="shared" si="495"/>
        <x:v>0</x:v>
      </x:c>
      <x:c r="FW427" s="41">
        <x:f t="shared" si="496"/>
        <x:v>0</x:v>
      </x:c>
      <x:c r="FX427">
        <x:f t="shared" si="497"/>
        <x:v>0</x:v>
      </x:c>
      <x:c r="FY427">
        <x:f t="shared" si="498"/>
        <x:v>0</x:v>
      </x:c>
      <x:c r="FZ427">
        <x:f t="shared" si="499"/>
        <x:v>0</x:v>
      </x:c>
      <x:c r="GA427">
        <x:f t="shared" si="500"/>
        <x:v>0</x:v>
      </x:c>
      <x:c r="GB427">
        <x:f t="shared" si="501"/>
        <x:v>0</x:v>
      </x:c>
      <x:c r="GC427">
        <x:f t="shared" si="502"/>
        <x:v>0</x:v>
      </x:c>
      <x:c r="GD427">
        <x:f t="shared" si="503"/>
        <x:v>0</x:v>
      </x:c>
      <x:c r="GE427">
        <x:f t="shared" si="504"/>
        <x:v>0</x:v>
      </x:c>
      <x:c r="GF427">
        <x:f t="shared" si="505"/>
        <x:v>0</x:v>
      </x:c>
      <x:c r="GG427">
        <x:f t="shared" si="506"/>
        <x:v>0</x:v>
      </x:c>
      <x:c r="GH427">
        <x:f t="shared" si="507"/>
        <x:v>0</x:v>
      </x:c>
      <x:c r="GI427">
        <x:f t="shared" si="508"/>
        <x:v>0</x:v>
      </x:c>
      <x:c r="GJ427">
        <x:f t="shared" si="509"/>
        <x:v>0</x:v>
      </x:c>
      <x:c r="GK427">
        <x:f t="shared" si="510"/>
        <x:v>0</x:v>
      </x:c>
      <x:c r="GL427">
        <x:f t="shared" si="511"/>
        <x:v>0</x:v>
      </x:c>
      <x:c r="GM427">
        <x:f t="shared" si="512"/>
        <x:v>0</x:v>
      </x:c>
      <x:c r="GN427">
        <x:f t="shared" si="513"/>
        <x:v>0</x:v>
      </x:c>
      <x:c r="GO427">
        <x:f t="shared" si="514"/>
        <x:v>0</x:v>
      </x:c>
      <x:c r="GP427">
        <x:f t="shared" si="515"/>
        <x:v>0</x:v>
      </x:c>
      <x:c r="GQ427">
        <x:f t="shared" si="516"/>
        <x:v>0</x:v>
      </x:c>
      <x:c r="GR427" s="42">
        <x:f t="shared" si="517"/>
        <x:v>0</x:v>
      </x:c>
      <x:c r="GS427">
        <x:f t="shared" si="518"/>
        <x:v>0</x:v>
      </x:c>
      <x:c r="GT427">
        <x:f t="shared" si="519"/>
        <x:v>0</x:v>
      </x:c>
      <x:c r="GU427">
        <x:f t="shared" si="520"/>
        <x:v>0</x:v>
      </x:c>
      <x:c r="GV427">
        <x:f t="shared" si="521"/>
        <x:v>0</x:v>
      </x:c>
      <x:c r="GW427">
        <x:f t="shared" si="522"/>
        <x:v>0</x:v>
      </x:c>
      <x:c r="GX427">
        <x:f t="shared" si="523"/>
        <x:v>0</x:v>
      </x:c>
      <x:c r="GY427">
        <x:f t="shared" si="524"/>
        <x:v>0</x:v>
      </x:c>
      <x:c r="GZ427">
        <x:f t="shared" si="525"/>
        <x:v>0</x:v>
      </x:c>
      <x:c r="HA427">
        <x:f t="shared" si="526"/>
        <x:v>0</x:v>
      </x:c>
      <x:c r="HB427" s="42">
        <x:f t="shared" si="527"/>
        <x:v>0</x:v>
      </x:c>
      <x:c r="HC427">
        <x:f t="shared" si="528"/>
        <x:v>0</x:v>
      </x:c>
      <x:c r="HD427">
        <x:f t="shared" si="529"/>
        <x:v>0</x:v>
      </x:c>
      <x:c r="HE427">
        <x:f t="shared" si="530"/>
        <x:v>0</x:v>
      </x:c>
      <x:c r="HF427">
        <x:f t="shared" si="531"/>
        <x:v>0</x:v>
      </x:c>
      <x:c r="HG427">
        <x:f t="shared" si="532"/>
        <x:v>0</x:v>
      </x:c>
      <x:c r="HH427">
        <x:f t="shared" si="533"/>
        <x:v>0</x:v>
      </x:c>
      <x:c r="HI427">
        <x:f t="shared" si="534"/>
        <x:v>0</x:v>
      </x:c>
      <x:c r="HJ427">
        <x:f t="shared" si="535"/>
        <x:v>0</x:v>
      </x:c>
      <x:c r="HK427">
        <x:f t="shared" si="536"/>
        <x:v>0</x:v>
      </x:c>
      <x:c r="HL427">
        <x:f t="shared" si="537"/>
        <x:v>0</x:v>
      </x:c>
    </x:row>
    <x:row r="428">
      <x:c r="D428" s="74"/>
      <x:c r="EQ428">
        <x:f t="shared" si="464"/>
        <x:v>0</x:v>
      </x:c>
      <x:c r="ER428">
        <x:f t="shared" si="465"/>
        <x:v>0</x:v>
      </x:c>
      <x:c r="ES428">
        <x:f t="shared" si="466"/>
        <x:v>0</x:v>
      </x:c>
      <x:c r="ET428">
        <x:f t="shared" si="467"/>
        <x:v>0</x:v>
      </x:c>
      <x:c r="EU428">
        <x:f t="shared" si="468"/>
        <x:v>0</x:v>
      </x:c>
      <x:c r="EV428">
        <x:f t="shared" si="469"/>
        <x:v>0</x:v>
      </x:c>
      <x:c r="EW428">
        <x:f t="shared" si="470"/>
        <x:v>0</x:v>
      </x:c>
      <x:c r="EX428">
        <x:f t="shared" si="471"/>
        <x:v>0</x:v>
      </x:c>
      <x:c r="EY428">
        <x:f t="shared" si="472"/>
        <x:v>0</x:v>
      </x:c>
      <x:c r="EZ428">
        <x:f t="shared" si="473"/>
        <x:v>0</x:v>
      </x:c>
      <x:c r="FA428" s="41">
        <x:f t="shared" si="474"/>
        <x:v>0</x:v>
      </x:c>
      <x:c r="FB428">
        <x:f t="shared" si="475"/>
        <x:v>0</x:v>
      </x:c>
      <x:c r="FC428">
        <x:f t="shared" si="476"/>
        <x:v>0</x:v>
      </x:c>
      <x:c r="FD428">
        <x:f t="shared" si="477"/>
        <x:v>0</x:v>
      </x:c>
      <x:c r="FE428">
        <x:f t="shared" si="478"/>
        <x:v>0</x:v>
      </x:c>
      <x:c r="FF428">
        <x:f t="shared" si="479"/>
        <x:v>0</x:v>
      </x:c>
      <x:c r="FG428">
        <x:f t="shared" si="480"/>
        <x:v>0</x:v>
      </x:c>
      <x:c r="FH428">
        <x:f t="shared" si="481"/>
        <x:v>0</x:v>
      </x:c>
      <x:c r="FI428">
        <x:f t="shared" si="482"/>
        <x:v>0</x:v>
      </x:c>
      <x:c r="FJ428">
        <x:f t="shared" si="483"/>
        <x:v>0</x:v>
      </x:c>
      <x:c r="FK428">
        <x:f t="shared" si="484"/>
        <x:v>0</x:v>
      </x:c>
      <x:c r="FL428" s="41">
        <x:f t="shared" si="485"/>
        <x:v>0</x:v>
      </x:c>
      <x:c r="FM428">
        <x:f t="shared" si="486"/>
        <x:v>0</x:v>
      </x:c>
      <x:c r="FN428">
        <x:f t="shared" si="487"/>
        <x:v>0</x:v>
      </x:c>
      <x:c r="FO428">
        <x:f t="shared" si="488"/>
        <x:v>0</x:v>
      </x:c>
      <x:c r="FP428">
        <x:f t="shared" si="489"/>
        <x:v>0</x:v>
      </x:c>
      <x:c r="FQ428">
        <x:f t="shared" si="490"/>
        <x:v>0</x:v>
      </x:c>
      <x:c r="FR428">
        <x:f t="shared" si="491"/>
        <x:v>0</x:v>
      </x:c>
      <x:c r="FS428">
        <x:f t="shared" si="492"/>
        <x:v>0</x:v>
      </x:c>
      <x:c r="FT428">
        <x:f t="shared" si="493"/>
        <x:v>0</x:v>
      </x:c>
      <x:c r="FU428">
        <x:f t="shared" si="494"/>
        <x:v>0</x:v>
      </x:c>
      <x:c r="FV428">
        <x:f t="shared" si="495"/>
        <x:v>0</x:v>
      </x:c>
      <x:c r="FW428" s="41">
        <x:f t="shared" si="496"/>
        <x:v>0</x:v>
      </x:c>
      <x:c r="FX428">
        <x:f t="shared" si="497"/>
        <x:v>0</x:v>
      </x:c>
      <x:c r="FY428">
        <x:f t="shared" si="498"/>
        <x:v>0</x:v>
      </x:c>
      <x:c r="FZ428">
        <x:f t="shared" si="499"/>
        <x:v>0</x:v>
      </x:c>
      <x:c r="GA428">
        <x:f t="shared" si="500"/>
        <x:v>0</x:v>
      </x:c>
      <x:c r="GB428">
        <x:f t="shared" si="501"/>
        <x:v>0</x:v>
      </x:c>
      <x:c r="GC428">
        <x:f t="shared" si="502"/>
        <x:v>0</x:v>
      </x:c>
      <x:c r="GD428">
        <x:f t="shared" si="503"/>
        <x:v>0</x:v>
      </x:c>
      <x:c r="GE428">
        <x:f t="shared" si="504"/>
        <x:v>0</x:v>
      </x:c>
      <x:c r="GF428">
        <x:f t="shared" si="505"/>
        <x:v>0</x:v>
      </x:c>
      <x:c r="GG428">
        <x:f t="shared" si="506"/>
        <x:v>0</x:v>
      </x:c>
      <x:c r="GH428">
        <x:f t="shared" si="507"/>
        <x:v>0</x:v>
      </x:c>
      <x:c r="GI428">
        <x:f t="shared" si="508"/>
        <x:v>0</x:v>
      </x:c>
      <x:c r="GJ428">
        <x:f t="shared" si="509"/>
        <x:v>0</x:v>
      </x:c>
      <x:c r="GK428">
        <x:f t="shared" si="510"/>
        <x:v>0</x:v>
      </x:c>
      <x:c r="GL428">
        <x:f t="shared" si="511"/>
        <x:v>0</x:v>
      </x:c>
      <x:c r="GM428">
        <x:f t="shared" si="512"/>
        <x:v>0</x:v>
      </x:c>
      <x:c r="GN428">
        <x:f t="shared" si="513"/>
        <x:v>0</x:v>
      </x:c>
      <x:c r="GO428">
        <x:f t="shared" si="514"/>
        <x:v>0</x:v>
      </x:c>
      <x:c r="GP428">
        <x:f t="shared" si="515"/>
        <x:v>0</x:v>
      </x:c>
      <x:c r="GQ428">
        <x:f t="shared" si="516"/>
        <x:v>0</x:v>
      </x:c>
      <x:c r="GR428" s="42">
        <x:f t="shared" si="517"/>
        <x:v>0</x:v>
      </x:c>
      <x:c r="GS428">
        <x:f t="shared" si="518"/>
        <x:v>0</x:v>
      </x:c>
      <x:c r="GT428">
        <x:f t="shared" si="519"/>
        <x:v>0</x:v>
      </x:c>
      <x:c r="GU428">
        <x:f t="shared" si="520"/>
        <x:v>0</x:v>
      </x:c>
      <x:c r="GV428">
        <x:f t="shared" si="521"/>
        <x:v>0</x:v>
      </x:c>
      <x:c r="GW428">
        <x:f t="shared" si="522"/>
        <x:v>0</x:v>
      </x:c>
      <x:c r="GX428">
        <x:f t="shared" si="523"/>
        <x:v>0</x:v>
      </x:c>
      <x:c r="GY428">
        <x:f t="shared" si="524"/>
        <x:v>0</x:v>
      </x:c>
      <x:c r="GZ428">
        <x:f t="shared" si="525"/>
        <x:v>0</x:v>
      </x:c>
      <x:c r="HA428">
        <x:f t="shared" si="526"/>
        <x:v>0</x:v>
      </x:c>
      <x:c r="HB428" s="42">
        <x:f t="shared" si="527"/>
        <x:v>0</x:v>
      </x:c>
      <x:c r="HC428">
        <x:f t="shared" si="528"/>
        <x:v>0</x:v>
      </x:c>
      <x:c r="HD428">
        <x:f t="shared" si="529"/>
        <x:v>0</x:v>
      </x:c>
      <x:c r="HE428">
        <x:f t="shared" si="530"/>
        <x:v>0</x:v>
      </x:c>
      <x:c r="HF428">
        <x:f t="shared" si="531"/>
        <x:v>0</x:v>
      </x:c>
      <x:c r="HG428">
        <x:f t="shared" si="532"/>
        <x:v>0</x:v>
      </x:c>
      <x:c r="HH428">
        <x:f t="shared" si="533"/>
        <x:v>0</x:v>
      </x:c>
      <x:c r="HI428">
        <x:f t="shared" si="534"/>
        <x:v>0</x:v>
      </x:c>
      <x:c r="HJ428">
        <x:f t="shared" si="535"/>
        <x:v>0</x:v>
      </x:c>
      <x:c r="HK428">
        <x:f t="shared" si="536"/>
        <x:v>0</x:v>
      </x:c>
      <x:c r="HL428">
        <x:f t="shared" si="537"/>
        <x:v>0</x:v>
      </x:c>
    </x:row>
    <x:row r="429">
      <x:c r="D429" s="74"/>
      <x:c r="EQ429">
        <x:f t="shared" si="464"/>
        <x:v>0</x:v>
      </x:c>
      <x:c r="ER429">
        <x:f t="shared" si="465"/>
        <x:v>0</x:v>
      </x:c>
      <x:c r="ES429">
        <x:f t="shared" si="466"/>
        <x:v>0</x:v>
      </x:c>
      <x:c r="ET429">
        <x:f t="shared" si="467"/>
        <x:v>0</x:v>
      </x:c>
      <x:c r="EU429">
        <x:f t="shared" si="468"/>
        <x:v>0</x:v>
      </x:c>
      <x:c r="EV429">
        <x:f t="shared" si="469"/>
        <x:v>0</x:v>
      </x:c>
      <x:c r="EW429">
        <x:f t="shared" si="470"/>
        <x:v>0</x:v>
      </x:c>
      <x:c r="EX429">
        <x:f t="shared" si="471"/>
        <x:v>0</x:v>
      </x:c>
      <x:c r="EY429">
        <x:f t="shared" si="472"/>
        <x:v>0</x:v>
      </x:c>
      <x:c r="EZ429">
        <x:f t="shared" si="473"/>
        <x:v>0</x:v>
      </x:c>
      <x:c r="FA429" s="41">
        <x:f t="shared" si="474"/>
        <x:v>0</x:v>
      </x:c>
      <x:c r="FB429">
        <x:f t="shared" si="475"/>
        <x:v>0</x:v>
      </x:c>
      <x:c r="FC429">
        <x:f t="shared" si="476"/>
        <x:v>0</x:v>
      </x:c>
      <x:c r="FD429">
        <x:f t="shared" si="477"/>
        <x:v>0</x:v>
      </x:c>
      <x:c r="FE429">
        <x:f t="shared" si="478"/>
        <x:v>0</x:v>
      </x:c>
      <x:c r="FF429">
        <x:f t="shared" si="479"/>
        <x:v>0</x:v>
      </x:c>
      <x:c r="FG429">
        <x:f t="shared" si="480"/>
        <x:v>0</x:v>
      </x:c>
      <x:c r="FH429">
        <x:f t="shared" si="481"/>
        <x:v>0</x:v>
      </x:c>
      <x:c r="FI429">
        <x:f t="shared" si="482"/>
        <x:v>0</x:v>
      </x:c>
      <x:c r="FJ429">
        <x:f t="shared" si="483"/>
        <x:v>0</x:v>
      </x:c>
      <x:c r="FK429">
        <x:f t="shared" si="484"/>
        <x:v>0</x:v>
      </x:c>
      <x:c r="FL429" s="41">
        <x:f t="shared" si="485"/>
        <x:v>0</x:v>
      </x:c>
      <x:c r="FM429">
        <x:f t="shared" si="486"/>
        <x:v>0</x:v>
      </x:c>
      <x:c r="FN429">
        <x:f t="shared" si="487"/>
        <x:v>0</x:v>
      </x:c>
      <x:c r="FO429">
        <x:f t="shared" si="488"/>
        <x:v>0</x:v>
      </x:c>
      <x:c r="FP429">
        <x:f t="shared" si="489"/>
        <x:v>0</x:v>
      </x:c>
      <x:c r="FQ429">
        <x:f t="shared" si="490"/>
        <x:v>0</x:v>
      </x:c>
      <x:c r="FR429">
        <x:f t="shared" si="491"/>
        <x:v>0</x:v>
      </x:c>
      <x:c r="FS429">
        <x:f t="shared" si="492"/>
        <x:v>0</x:v>
      </x:c>
      <x:c r="FT429">
        <x:f t="shared" si="493"/>
        <x:v>0</x:v>
      </x:c>
      <x:c r="FU429">
        <x:f t="shared" si="494"/>
        <x:v>0</x:v>
      </x:c>
      <x:c r="FV429">
        <x:f t="shared" si="495"/>
        <x:v>0</x:v>
      </x:c>
      <x:c r="FW429" s="41">
        <x:f t="shared" si="496"/>
        <x:v>0</x:v>
      </x:c>
      <x:c r="FX429">
        <x:f t="shared" si="497"/>
        <x:v>0</x:v>
      </x:c>
      <x:c r="FY429">
        <x:f t="shared" si="498"/>
        <x:v>0</x:v>
      </x:c>
      <x:c r="FZ429">
        <x:f t="shared" si="499"/>
        <x:v>0</x:v>
      </x:c>
      <x:c r="GA429">
        <x:f t="shared" si="500"/>
        <x:v>0</x:v>
      </x:c>
      <x:c r="GB429">
        <x:f t="shared" si="501"/>
        <x:v>0</x:v>
      </x:c>
      <x:c r="GC429">
        <x:f t="shared" si="502"/>
        <x:v>0</x:v>
      </x:c>
      <x:c r="GD429">
        <x:f t="shared" si="503"/>
        <x:v>0</x:v>
      </x:c>
      <x:c r="GE429">
        <x:f t="shared" si="504"/>
        <x:v>0</x:v>
      </x:c>
      <x:c r="GF429">
        <x:f t="shared" si="505"/>
        <x:v>0</x:v>
      </x:c>
      <x:c r="GG429">
        <x:f t="shared" si="506"/>
        <x:v>0</x:v>
      </x:c>
      <x:c r="GH429">
        <x:f t="shared" si="507"/>
        <x:v>0</x:v>
      </x:c>
      <x:c r="GI429">
        <x:f t="shared" si="508"/>
        <x:v>0</x:v>
      </x:c>
      <x:c r="GJ429">
        <x:f t="shared" si="509"/>
        <x:v>0</x:v>
      </x:c>
      <x:c r="GK429">
        <x:f t="shared" si="510"/>
        <x:v>0</x:v>
      </x:c>
      <x:c r="GL429">
        <x:f t="shared" si="511"/>
        <x:v>0</x:v>
      </x:c>
      <x:c r="GM429">
        <x:f t="shared" si="512"/>
        <x:v>0</x:v>
      </x:c>
      <x:c r="GN429">
        <x:f t="shared" si="513"/>
        <x:v>0</x:v>
      </x:c>
      <x:c r="GO429">
        <x:f t="shared" si="514"/>
        <x:v>0</x:v>
      </x:c>
      <x:c r="GP429">
        <x:f t="shared" si="515"/>
        <x:v>0</x:v>
      </x:c>
      <x:c r="GQ429">
        <x:f t="shared" si="516"/>
        <x:v>0</x:v>
      </x:c>
      <x:c r="GR429" s="42">
        <x:f t="shared" si="517"/>
        <x:v>0</x:v>
      </x:c>
      <x:c r="GS429">
        <x:f t="shared" si="518"/>
        <x:v>0</x:v>
      </x:c>
      <x:c r="GT429">
        <x:f t="shared" si="519"/>
        <x:v>0</x:v>
      </x:c>
      <x:c r="GU429">
        <x:f t="shared" si="520"/>
        <x:v>0</x:v>
      </x:c>
      <x:c r="GV429">
        <x:f t="shared" si="521"/>
        <x:v>0</x:v>
      </x:c>
      <x:c r="GW429">
        <x:f t="shared" si="522"/>
        <x:v>0</x:v>
      </x:c>
      <x:c r="GX429">
        <x:f t="shared" si="523"/>
        <x:v>0</x:v>
      </x:c>
      <x:c r="GY429">
        <x:f t="shared" si="524"/>
        <x:v>0</x:v>
      </x:c>
      <x:c r="GZ429">
        <x:f t="shared" si="525"/>
        <x:v>0</x:v>
      </x:c>
      <x:c r="HA429">
        <x:f t="shared" si="526"/>
        <x:v>0</x:v>
      </x:c>
      <x:c r="HB429" s="42">
        <x:f t="shared" si="527"/>
        <x:v>0</x:v>
      </x:c>
      <x:c r="HC429">
        <x:f t="shared" si="528"/>
        <x:v>0</x:v>
      </x:c>
      <x:c r="HD429">
        <x:f t="shared" si="529"/>
        <x:v>0</x:v>
      </x:c>
      <x:c r="HE429">
        <x:f t="shared" si="530"/>
        <x:v>0</x:v>
      </x:c>
      <x:c r="HF429">
        <x:f t="shared" si="531"/>
        <x:v>0</x:v>
      </x:c>
      <x:c r="HG429">
        <x:f t="shared" si="532"/>
        <x:v>0</x:v>
      </x:c>
      <x:c r="HH429">
        <x:f t="shared" si="533"/>
        <x:v>0</x:v>
      </x:c>
      <x:c r="HI429">
        <x:f t="shared" si="534"/>
        <x:v>0</x:v>
      </x:c>
      <x:c r="HJ429">
        <x:f t="shared" si="535"/>
        <x:v>0</x:v>
      </x:c>
      <x:c r="HK429">
        <x:f t="shared" si="536"/>
        <x:v>0</x:v>
      </x:c>
      <x:c r="HL429">
        <x:f t="shared" si="537"/>
        <x:v>0</x:v>
      </x:c>
    </x:row>
    <x:row r="430">
      <x:c r="D430" s="74"/>
      <x:c r="EQ430">
        <x:f t="shared" si="464"/>
        <x:v>0</x:v>
      </x:c>
      <x:c r="ER430">
        <x:f t="shared" si="465"/>
        <x:v>0</x:v>
      </x:c>
      <x:c r="ES430">
        <x:f t="shared" si="466"/>
        <x:v>0</x:v>
      </x:c>
      <x:c r="ET430">
        <x:f t="shared" si="467"/>
        <x:v>0</x:v>
      </x:c>
      <x:c r="EU430">
        <x:f t="shared" si="468"/>
        <x:v>0</x:v>
      </x:c>
      <x:c r="EV430">
        <x:f t="shared" si="469"/>
        <x:v>0</x:v>
      </x:c>
      <x:c r="EW430">
        <x:f t="shared" si="470"/>
        <x:v>0</x:v>
      </x:c>
      <x:c r="EX430">
        <x:f t="shared" si="471"/>
        <x:v>0</x:v>
      </x:c>
      <x:c r="EY430">
        <x:f t="shared" si="472"/>
        <x:v>0</x:v>
      </x:c>
      <x:c r="EZ430">
        <x:f t="shared" si="473"/>
        <x:v>0</x:v>
      </x:c>
      <x:c r="FA430" s="41">
        <x:f t="shared" si="474"/>
        <x:v>0</x:v>
      </x:c>
      <x:c r="FB430">
        <x:f t="shared" si="475"/>
        <x:v>0</x:v>
      </x:c>
      <x:c r="FC430">
        <x:f t="shared" si="476"/>
        <x:v>0</x:v>
      </x:c>
      <x:c r="FD430">
        <x:f t="shared" si="477"/>
        <x:v>0</x:v>
      </x:c>
      <x:c r="FE430">
        <x:f t="shared" si="478"/>
        <x:v>0</x:v>
      </x:c>
      <x:c r="FF430">
        <x:f t="shared" si="479"/>
        <x:v>0</x:v>
      </x:c>
      <x:c r="FG430">
        <x:f t="shared" si="480"/>
        <x:v>0</x:v>
      </x:c>
      <x:c r="FH430">
        <x:f t="shared" si="481"/>
        <x:v>0</x:v>
      </x:c>
      <x:c r="FI430">
        <x:f t="shared" si="482"/>
        <x:v>0</x:v>
      </x:c>
      <x:c r="FJ430">
        <x:f t="shared" si="483"/>
        <x:v>0</x:v>
      </x:c>
      <x:c r="FK430">
        <x:f t="shared" si="484"/>
        <x:v>0</x:v>
      </x:c>
      <x:c r="FL430" s="41">
        <x:f t="shared" si="485"/>
        <x:v>0</x:v>
      </x:c>
      <x:c r="FM430">
        <x:f t="shared" si="486"/>
        <x:v>0</x:v>
      </x:c>
      <x:c r="FN430">
        <x:f t="shared" si="487"/>
        <x:v>0</x:v>
      </x:c>
      <x:c r="FO430">
        <x:f t="shared" si="488"/>
        <x:v>0</x:v>
      </x:c>
      <x:c r="FP430">
        <x:f t="shared" si="489"/>
        <x:v>0</x:v>
      </x:c>
      <x:c r="FQ430">
        <x:f t="shared" si="490"/>
        <x:v>0</x:v>
      </x:c>
      <x:c r="FR430">
        <x:f t="shared" si="491"/>
        <x:v>0</x:v>
      </x:c>
      <x:c r="FS430">
        <x:f t="shared" si="492"/>
        <x:v>0</x:v>
      </x:c>
      <x:c r="FT430">
        <x:f t="shared" si="493"/>
        <x:v>0</x:v>
      </x:c>
      <x:c r="FU430">
        <x:f t="shared" si="494"/>
        <x:v>0</x:v>
      </x:c>
      <x:c r="FV430">
        <x:f t="shared" si="495"/>
        <x:v>0</x:v>
      </x:c>
      <x:c r="FW430" s="41">
        <x:f t="shared" si="496"/>
        <x:v>0</x:v>
      </x:c>
      <x:c r="FX430">
        <x:f t="shared" si="497"/>
        <x:v>0</x:v>
      </x:c>
      <x:c r="FY430">
        <x:f t="shared" si="498"/>
        <x:v>0</x:v>
      </x:c>
      <x:c r="FZ430">
        <x:f t="shared" si="499"/>
        <x:v>0</x:v>
      </x:c>
      <x:c r="GA430">
        <x:f t="shared" si="500"/>
        <x:v>0</x:v>
      </x:c>
      <x:c r="GB430">
        <x:f t="shared" si="501"/>
        <x:v>0</x:v>
      </x:c>
      <x:c r="GC430">
        <x:f t="shared" si="502"/>
        <x:v>0</x:v>
      </x:c>
      <x:c r="GD430">
        <x:f t="shared" si="503"/>
        <x:v>0</x:v>
      </x:c>
      <x:c r="GE430">
        <x:f t="shared" si="504"/>
        <x:v>0</x:v>
      </x:c>
      <x:c r="GF430">
        <x:f t="shared" si="505"/>
        <x:v>0</x:v>
      </x:c>
      <x:c r="GG430">
        <x:f t="shared" si="506"/>
        <x:v>0</x:v>
      </x:c>
      <x:c r="GH430">
        <x:f t="shared" si="507"/>
        <x:v>0</x:v>
      </x:c>
      <x:c r="GI430">
        <x:f t="shared" si="508"/>
        <x:v>0</x:v>
      </x:c>
      <x:c r="GJ430">
        <x:f t="shared" si="509"/>
        <x:v>0</x:v>
      </x:c>
      <x:c r="GK430">
        <x:f t="shared" si="510"/>
        <x:v>0</x:v>
      </x:c>
      <x:c r="GL430">
        <x:f t="shared" si="511"/>
        <x:v>0</x:v>
      </x:c>
      <x:c r="GM430">
        <x:f t="shared" si="512"/>
        <x:v>0</x:v>
      </x:c>
      <x:c r="GN430">
        <x:f t="shared" si="513"/>
        <x:v>0</x:v>
      </x:c>
      <x:c r="GO430">
        <x:f t="shared" si="514"/>
        <x:v>0</x:v>
      </x:c>
      <x:c r="GP430">
        <x:f t="shared" si="515"/>
        <x:v>0</x:v>
      </x:c>
      <x:c r="GQ430">
        <x:f t="shared" si="516"/>
        <x:v>0</x:v>
      </x:c>
      <x:c r="GR430" s="42">
        <x:f t="shared" si="517"/>
        <x:v>0</x:v>
      </x:c>
      <x:c r="GS430">
        <x:f t="shared" si="518"/>
        <x:v>0</x:v>
      </x:c>
      <x:c r="GT430">
        <x:f t="shared" si="519"/>
        <x:v>0</x:v>
      </x:c>
      <x:c r="GU430">
        <x:f t="shared" si="520"/>
        <x:v>0</x:v>
      </x:c>
      <x:c r="GV430">
        <x:f t="shared" si="521"/>
        <x:v>0</x:v>
      </x:c>
      <x:c r="GW430">
        <x:f t="shared" si="522"/>
        <x:v>0</x:v>
      </x:c>
      <x:c r="GX430">
        <x:f t="shared" si="523"/>
        <x:v>0</x:v>
      </x:c>
      <x:c r="GY430">
        <x:f t="shared" si="524"/>
        <x:v>0</x:v>
      </x:c>
      <x:c r="GZ430">
        <x:f t="shared" si="525"/>
        <x:v>0</x:v>
      </x:c>
      <x:c r="HA430">
        <x:f t="shared" si="526"/>
        <x:v>0</x:v>
      </x:c>
      <x:c r="HB430" s="42">
        <x:f t="shared" si="527"/>
        <x:v>0</x:v>
      </x:c>
      <x:c r="HC430">
        <x:f t="shared" si="528"/>
        <x:v>0</x:v>
      </x:c>
      <x:c r="HD430">
        <x:f t="shared" si="529"/>
        <x:v>0</x:v>
      </x:c>
      <x:c r="HE430">
        <x:f t="shared" si="530"/>
        <x:v>0</x:v>
      </x:c>
      <x:c r="HF430">
        <x:f t="shared" si="531"/>
        <x:v>0</x:v>
      </x:c>
      <x:c r="HG430">
        <x:f t="shared" si="532"/>
        <x:v>0</x:v>
      </x:c>
      <x:c r="HH430">
        <x:f t="shared" si="533"/>
        <x:v>0</x:v>
      </x:c>
      <x:c r="HI430">
        <x:f t="shared" si="534"/>
        <x:v>0</x:v>
      </x:c>
      <x:c r="HJ430">
        <x:f t="shared" si="535"/>
        <x:v>0</x:v>
      </x:c>
      <x:c r="HK430">
        <x:f t="shared" si="536"/>
        <x:v>0</x:v>
      </x:c>
      <x:c r="HL430">
        <x:f t="shared" si="537"/>
        <x:v>0</x:v>
      </x:c>
    </x:row>
    <x:row r="431">
      <x:c r="D431" s="74"/>
      <x:c r="EQ431">
        <x:f t="shared" si="464"/>
        <x:v>0</x:v>
      </x:c>
      <x:c r="ER431">
        <x:f t="shared" si="465"/>
        <x:v>0</x:v>
      </x:c>
      <x:c r="ES431">
        <x:f t="shared" si="466"/>
        <x:v>0</x:v>
      </x:c>
      <x:c r="ET431">
        <x:f t="shared" si="467"/>
        <x:v>0</x:v>
      </x:c>
      <x:c r="EU431">
        <x:f t="shared" si="468"/>
        <x:v>0</x:v>
      </x:c>
      <x:c r="EV431">
        <x:f t="shared" si="469"/>
        <x:v>0</x:v>
      </x:c>
      <x:c r="EW431">
        <x:f t="shared" si="470"/>
        <x:v>0</x:v>
      </x:c>
      <x:c r="EX431">
        <x:f t="shared" si="471"/>
        <x:v>0</x:v>
      </x:c>
      <x:c r="EY431">
        <x:f t="shared" si="472"/>
        <x:v>0</x:v>
      </x:c>
      <x:c r="EZ431">
        <x:f t="shared" si="473"/>
        <x:v>0</x:v>
      </x:c>
      <x:c r="FA431" s="41">
        <x:f t="shared" si="474"/>
        <x:v>0</x:v>
      </x:c>
      <x:c r="FB431">
        <x:f t="shared" si="475"/>
        <x:v>0</x:v>
      </x:c>
      <x:c r="FC431">
        <x:f t="shared" si="476"/>
        <x:v>0</x:v>
      </x:c>
      <x:c r="FD431">
        <x:f t="shared" si="477"/>
        <x:v>0</x:v>
      </x:c>
      <x:c r="FE431">
        <x:f t="shared" si="478"/>
        <x:v>0</x:v>
      </x:c>
      <x:c r="FF431">
        <x:f t="shared" si="479"/>
        <x:v>0</x:v>
      </x:c>
      <x:c r="FG431">
        <x:f t="shared" si="480"/>
        <x:v>0</x:v>
      </x:c>
      <x:c r="FH431">
        <x:f t="shared" si="481"/>
        <x:v>0</x:v>
      </x:c>
      <x:c r="FI431">
        <x:f t="shared" si="482"/>
        <x:v>0</x:v>
      </x:c>
      <x:c r="FJ431">
        <x:f t="shared" si="483"/>
        <x:v>0</x:v>
      </x:c>
      <x:c r="FK431">
        <x:f t="shared" si="484"/>
        <x:v>0</x:v>
      </x:c>
      <x:c r="FL431" s="41">
        <x:f t="shared" si="485"/>
        <x:v>0</x:v>
      </x:c>
      <x:c r="FM431">
        <x:f t="shared" si="486"/>
        <x:v>0</x:v>
      </x:c>
      <x:c r="FN431">
        <x:f t="shared" si="487"/>
        <x:v>0</x:v>
      </x:c>
      <x:c r="FO431">
        <x:f t="shared" si="488"/>
        <x:v>0</x:v>
      </x:c>
      <x:c r="FP431">
        <x:f t="shared" si="489"/>
        <x:v>0</x:v>
      </x:c>
      <x:c r="FQ431">
        <x:f t="shared" si="490"/>
        <x:v>0</x:v>
      </x:c>
      <x:c r="FR431">
        <x:f t="shared" si="491"/>
        <x:v>0</x:v>
      </x:c>
      <x:c r="FS431">
        <x:f t="shared" si="492"/>
        <x:v>0</x:v>
      </x:c>
      <x:c r="FT431">
        <x:f t="shared" si="493"/>
        <x:v>0</x:v>
      </x:c>
      <x:c r="FU431">
        <x:f t="shared" si="494"/>
        <x:v>0</x:v>
      </x:c>
      <x:c r="FV431">
        <x:f t="shared" si="495"/>
        <x:v>0</x:v>
      </x:c>
      <x:c r="FW431" s="41">
        <x:f t="shared" si="496"/>
        <x:v>0</x:v>
      </x:c>
      <x:c r="FX431">
        <x:f t="shared" si="497"/>
        <x:v>0</x:v>
      </x:c>
      <x:c r="FY431">
        <x:f t="shared" si="498"/>
        <x:v>0</x:v>
      </x:c>
      <x:c r="FZ431">
        <x:f t="shared" si="499"/>
        <x:v>0</x:v>
      </x:c>
      <x:c r="GA431">
        <x:f t="shared" si="500"/>
        <x:v>0</x:v>
      </x:c>
      <x:c r="GB431">
        <x:f t="shared" si="501"/>
        <x:v>0</x:v>
      </x:c>
      <x:c r="GC431">
        <x:f t="shared" si="502"/>
        <x:v>0</x:v>
      </x:c>
      <x:c r="GD431">
        <x:f t="shared" si="503"/>
        <x:v>0</x:v>
      </x:c>
      <x:c r="GE431">
        <x:f t="shared" si="504"/>
        <x:v>0</x:v>
      </x:c>
      <x:c r="GF431">
        <x:f t="shared" si="505"/>
        <x:v>0</x:v>
      </x:c>
      <x:c r="GG431">
        <x:f t="shared" si="506"/>
        <x:v>0</x:v>
      </x:c>
      <x:c r="GH431">
        <x:f t="shared" si="507"/>
        <x:v>0</x:v>
      </x:c>
      <x:c r="GI431">
        <x:f t="shared" si="508"/>
        <x:v>0</x:v>
      </x:c>
      <x:c r="GJ431">
        <x:f t="shared" si="509"/>
        <x:v>0</x:v>
      </x:c>
      <x:c r="GK431">
        <x:f t="shared" si="510"/>
        <x:v>0</x:v>
      </x:c>
      <x:c r="GL431">
        <x:f t="shared" si="511"/>
        <x:v>0</x:v>
      </x:c>
      <x:c r="GM431">
        <x:f t="shared" si="512"/>
        <x:v>0</x:v>
      </x:c>
      <x:c r="GN431">
        <x:f t="shared" si="513"/>
        <x:v>0</x:v>
      </x:c>
      <x:c r="GO431">
        <x:f t="shared" si="514"/>
        <x:v>0</x:v>
      </x:c>
      <x:c r="GP431">
        <x:f t="shared" si="515"/>
        <x:v>0</x:v>
      </x:c>
      <x:c r="GQ431">
        <x:f t="shared" si="516"/>
        <x:v>0</x:v>
      </x:c>
      <x:c r="GR431" s="42">
        <x:f t="shared" si="517"/>
        <x:v>0</x:v>
      </x:c>
      <x:c r="GS431">
        <x:f t="shared" si="518"/>
        <x:v>0</x:v>
      </x:c>
      <x:c r="GT431">
        <x:f t="shared" si="519"/>
        <x:v>0</x:v>
      </x:c>
      <x:c r="GU431">
        <x:f t="shared" si="520"/>
        <x:v>0</x:v>
      </x:c>
      <x:c r="GV431">
        <x:f t="shared" si="521"/>
        <x:v>0</x:v>
      </x:c>
      <x:c r="GW431">
        <x:f t="shared" si="522"/>
        <x:v>0</x:v>
      </x:c>
      <x:c r="GX431">
        <x:f t="shared" si="523"/>
        <x:v>0</x:v>
      </x:c>
      <x:c r="GY431">
        <x:f t="shared" si="524"/>
        <x:v>0</x:v>
      </x:c>
      <x:c r="GZ431">
        <x:f t="shared" si="525"/>
        <x:v>0</x:v>
      </x:c>
      <x:c r="HA431">
        <x:f t="shared" si="526"/>
        <x:v>0</x:v>
      </x:c>
      <x:c r="HB431" s="42">
        <x:f t="shared" si="527"/>
        <x:v>0</x:v>
      </x:c>
      <x:c r="HC431">
        <x:f t="shared" si="528"/>
        <x:v>0</x:v>
      </x:c>
      <x:c r="HD431">
        <x:f t="shared" si="529"/>
        <x:v>0</x:v>
      </x:c>
      <x:c r="HE431">
        <x:f t="shared" si="530"/>
        <x:v>0</x:v>
      </x:c>
      <x:c r="HF431">
        <x:f t="shared" si="531"/>
        <x:v>0</x:v>
      </x:c>
      <x:c r="HG431">
        <x:f t="shared" si="532"/>
        <x:v>0</x:v>
      </x:c>
      <x:c r="HH431">
        <x:f t="shared" si="533"/>
        <x:v>0</x:v>
      </x:c>
      <x:c r="HI431">
        <x:f t="shared" si="534"/>
        <x:v>0</x:v>
      </x:c>
      <x:c r="HJ431">
        <x:f t="shared" si="535"/>
        <x:v>0</x:v>
      </x:c>
      <x:c r="HK431">
        <x:f t="shared" si="536"/>
        <x:v>0</x:v>
      </x:c>
      <x:c r="HL431">
        <x:f t="shared" si="537"/>
        <x:v>0</x:v>
      </x:c>
    </x:row>
    <x:row r="432">
      <x:c r="D432" s="74"/>
      <x:c r="EQ432">
        <x:f t="shared" si="464"/>
        <x:v>0</x:v>
      </x:c>
      <x:c r="ER432">
        <x:f t="shared" si="465"/>
        <x:v>0</x:v>
      </x:c>
      <x:c r="ES432">
        <x:f t="shared" si="466"/>
        <x:v>0</x:v>
      </x:c>
      <x:c r="ET432">
        <x:f t="shared" si="467"/>
        <x:v>0</x:v>
      </x:c>
      <x:c r="EU432">
        <x:f t="shared" si="468"/>
        <x:v>0</x:v>
      </x:c>
      <x:c r="EV432">
        <x:f t="shared" si="469"/>
        <x:v>0</x:v>
      </x:c>
      <x:c r="EW432">
        <x:f t="shared" si="470"/>
        <x:v>0</x:v>
      </x:c>
      <x:c r="EX432">
        <x:f t="shared" si="471"/>
        <x:v>0</x:v>
      </x:c>
      <x:c r="EY432">
        <x:f t="shared" si="472"/>
        <x:v>0</x:v>
      </x:c>
      <x:c r="EZ432">
        <x:f t="shared" si="473"/>
        <x:v>0</x:v>
      </x:c>
      <x:c r="FA432" s="41">
        <x:f t="shared" si="474"/>
        <x:v>0</x:v>
      </x:c>
      <x:c r="FB432">
        <x:f t="shared" si="475"/>
        <x:v>0</x:v>
      </x:c>
      <x:c r="FC432">
        <x:f t="shared" si="476"/>
        <x:v>0</x:v>
      </x:c>
      <x:c r="FD432">
        <x:f t="shared" si="477"/>
        <x:v>0</x:v>
      </x:c>
      <x:c r="FE432">
        <x:f t="shared" si="478"/>
        <x:v>0</x:v>
      </x:c>
      <x:c r="FF432">
        <x:f t="shared" si="479"/>
        <x:v>0</x:v>
      </x:c>
      <x:c r="FG432">
        <x:f t="shared" si="480"/>
        <x:v>0</x:v>
      </x:c>
      <x:c r="FH432">
        <x:f t="shared" si="481"/>
        <x:v>0</x:v>
      </x:c>
      <x:c r="FI432">
        <x:f t="shared" si="482"/>
        <x:v>0</x:v>
      </x:c>
      <x:c r="FJ432">
        <x:f t="shared" si="483"/>
        <x:v>0</x:v>
      </x:c>
      <x:c r="FK432">
        <x:f t="shared" si="484"/>
        <x:v>0</x:v>
      </x:c>
      <x:c r="FL432" s="41">
        <x:f t="shared" si="485"/>
        <x:v>0</x:v>
      </x:c>
      <x:c r="FM432">
        <x:f t="shared" si="486"/>
        <x:v>0</x:v>
      </x:c>
      <x:c r="FN432">
        <x:f t="shared" si="487"/>
        <x:v>0</x:v>
      </x:c>
      <x:c r="FO432">
        <x:f t="shared" si="488"/>
        <x:v>0</x:v>
      </x:c>
      <x:c r="FP432">
        <x:f t="shared" si="489"/>
        <x:v>0</x:v>
      </x:c>
      <x:c r="FQ432">
        <x:f t="shared" si="490"/>
        <x:v>0</x:v>
      </x:c>
      <x:c r="FR432">
        <x:f t="shared" si="491"/>
        <x:v>0</x:v>
      </x:c>
      <x:c r="FS432">
        <x:f t="shared" si="492"/>
        <x:v>0</x:v>
      </x:c>
      <x:c r="FT432">
        <x:f t="shared" si="493"/>
        <x:v>0</x:v>
      </x:c>
      <x:c r="FU432">
        <x:f t="shared" si="494"/>
        <x:v>0</x:v>
      </x:c>
      <x:c r="FV432">
        <x:f t="shared" si="495"/>
        <x:v>0</x:v>
      </x:c>
      <x:c r="FW432" s="41">
        <x:f t="shared" si="496"/>
        <x:v>0</x:v>
      </x:c>
      <x:c r="FX432">
        <x:f t="shared" si="497"/>
        <x:v>0</x:v>
      </x:c>
      <x:c r="FY432">
        <x:f t="shared" si="498"/>
        <x:v>0</x:v>
      </x:c>
      <x:c r="FZ432">
        <x:f t="shared" si="499"/>
        <x:v>0</x:v>
      </x:c>
      <x:c r="GA432">
        <x:f t="shared" si="500"/>
        <x:v>0</x:v>
      </x:c>
      <x:c r="GB432">
        <x:f t="shared" si="501"/>
        <x:v>0</x:v>
      </x:c>
      <x:c r="GC432">
        <x:f t="shared" si="502"/>
        <x:v>0</x:v>
      </x:c>
      <x:c r="GD432">
        <x:f t="shared" si="503"/>
        <x:v>0</x:v>
      </x:c>
      <x:c r="GE432">
        <x:f t="shared" si="504"/>
        <x:v>0</x:v>
      </x:c>
      <x:c r="GF432">
        <x:f t="shared" si="505"/>
        <x:v>0</x:v>
      </x:c>
      <x:c r="GG432">
        <x:f t="shared" si="506"/>
        <x:v>0</x:v>
      </x:c>
      <x:c r="GH432">
        <x:f t="shared" si="507"/>
        <x:v>0</x:v>
      </x:c>
      <x:c r="GI432">
        <x:f t="shared" si="508"/>
        <x:v>0</x:v>
      </x:c>
      <x:c r="GJ432">
        <x:f t="shared" si="509"/>
        <x:v>0</x:v>
      </x:c>
      <x:c r="GK432">
        <x:f t="shared" si="510"/>
        <x:v>0</x:v>
      </x:c>
      <x:c r="GL432">
        <x:f t="shared" si="511"/>
        <x:v>0</x:v>
      </x:c>
      <x:c r="GM432">
        <x:f t="shared" si="512"/>
        <x:v>0</x:v>
      </x:c>
      <x:c r="GN432">
        <x:f t="shared" si="513"/>
        <x:v>0</x:v>
      </x:c>
      <x:c r="GO432">
        <x:f t="shared" si="514"/>
        <x:v>0</x:v>
      </x:c>
      <x:c r="GP432">
        <x:f t="shared" si="515"/>
        <x:v>0</x:v>
      </x:c>
      <x:c r="GQ432">
        <x:f t="shared" si="516"/>
        <x:v>0</x:v>
      </x:c>
      <x:c r="GR432" s="42">
        <x:f t="shared" si="517"/>
        <x:v>0</x:v>
      </x:c>
      <x:c r="GS432">
        <x:f t="shared" si="518"/>
        <x:v>0</x:v>
      </x:c>
      <x:c r="GT432">
        <x:f t="shared" si="519"/>
        <x:v>0</x:v>
      </x:c>
      <x:c r="GU432">
        <x:f t="shared" si="520"/>
        <x:v>0</x:v>
      </x:c>
      <x:c r="GV432">
        <x:f t="shared" si="521"/>
        <x:v>0</x:v>
      </x:c>
      <x:c r="GW432">
        <x:f t="shared" si="522"/>
        <x:v>0</x:v>
      </x:c>
      <x:c r="GX432">
        <x:f t="shared" si="523"/>
        <x:v>0</x:v>
      </x:c>
      <x:c r="GY432">
        <x:f t="shared" si="524"/>
        <x:v>0</x:v>
      </x:c>
      <x:c r="GZ432">
        <x:f t="shared" si="525"/>
        <x:v>0</x:v>
      </x:c>
      <x:c r="HA432">
        <x:f t="shared" si="526"/>
        <x:v>0</x:v>
      </x:c>
      <x:c r="HB432" s="42">
        <x:f t="shared" si="527"/>
        <x:v>0</x:v>
      </x:c>
      <x:c r="HC432">
        <x:f t="shared" si="528"/>
        <x:v>0</x:v>
      </x:c>
      <x:c r="HD432">
        <x:f t="shared" si="529"/>
        <x:v>0</x:v>
      </x:c>
      <x:c r="HE432">
        <x:f t="shared" si="530"/>
        <x:v>0</x:v>
      </x:c>
      <x:c r="HF432">
        <x:f t="shared" si="531"/>
        <x:v>0</x:v>
      </x:c>
      <x:c r="HG432">
        <x:f t="shared" si="532"/>
        <x:v>0</x:v>
      </x:c>
      <x:c r="HH432">
        <x:f t="shared" si="533"/>
        <x:v>0</x:v>
      </x:c>
      <x:c r="HI432">
        <x:f t="shared" si="534"/>
        <x:v>0</x:v>
      </x:c>
      <x:c r="HJ432">
        <x:f t="shared" si="535"/>
        <x:v>0</x:v>
      </x:c>
      <x:c r="HK432">
        <x:f t="shared" si="536"/>
        <x:v>0</x:v>
      </x:c>
      <x:c r="HL432">
        <x:f t="shared" si="537"/>
        <x:v>0</x:v>
      </x:c>
    </x:row>
    <x:row r="433">
      <x:c r="D433" s="74"/>
      <x:c r="EQ433">
        <x:f t="shared" si="464"/>
        <x:v>0</x:v>
      </x:c>
      <x:c r="ER433">
        <x:f t="shared" si="465"/>
        <x:v>0</x:v>
      </x:c>
      <x:c r="ES433">
        <x:f t="shared" si="466"/>
        <x:v>0</x:v>
      </x:c>
      <x:c r="ET433">
        <x:f t="shared" si="467"/>
        <x:v>0</x:v>
      </x:c>
      <x:c r="EU433">
        <x:f t="shared" si="468"/>
        <x:v>0</x:v>
      </x:c>
      <x:c r="EV433">
        <x:f t="shared" si="469"/>
        <x:v>0</x:v>
      </x:c>
      <x:c r="EW433">
        <x:f t="shared" si="470"/>
        <x:v>0</x:v>
      </x:c>
      <x:c r="EX433">
        <x:f t="shared" si="471"/>
        <x:v>0</x:v>
      </x:c>
      <x:c r="EY433">
        <x:f t="shared" si="472"/>
        <x:v>0</x:v>
      </x:c>
      <x:c r="EZ433">
        <x:f t="shared" si="473"/>
        <x:v>0</x:v>
      </x:c>
      <x:c r="FA433" s="41">
        <x:f t="shared" si="474"/>
        <x:v>0</x:v>
      </x:c>
      <x:c r="FB433">
        <x:f t="shared" si="475"/>
        <x:v>0</x:v>
      </x:c>
      <x:c r="FC433">
        <x:f t="shared" si="476"/>
        <x:v>0</x:v>
      </x:c>
      <x:c r="FD433">
        <x:f t="shared" si="477"/>
        <x:v>0</x:v>
      </x:c>
      <x:c r="FE433">
        <x:f t="shared" si="478"/>
        <x:v>0</x:v>
      </x:c>
      <x:c r="FF433">
        <x:f t="shared" si="479"/>
        <x:v>0</x:v>
      </x:c>
      <x:c r="FG433">
        <x:f t="shared" si="480"/>
        <x:v>0</x:v>
      </x:c>
      <x:c r="FH433">
        <x:f t="shared" si="481"/>
        <x:v>0</x:v>
      </x:c>
      <x:c r="FI433">
        <x:f t="shared" si="482"/>
        <x:v>0</x:v>
      </x:c>
      <x:c r="FJ433">
        <x:f t="shared" si="483"/>
        <x:v>0</x:v>
      </x:c>
      <x:c r="FK433">
        <x:f t="shared" si="484"/>
        <x:v>0</x:v>
      </x:c>
      <x:c r="FL433" s="41">
        <x:f t="shared" si="485"/>
        <x:v>0</x:v>
      </x:c>
      <x:c r="FM433">
        <x:f t="shared" si="486"/>
        <x:v>0</x:v>
      </x:c>
      <x:c r="FN433">
        <x:f t="shared" si="487"/>
        <x:v>0</x:v>
      </x:c>
      <x:c r="FO433">
        <x:f t="shared" si="488"/>
        <x:v>0</x:v>
      </x:c>
      <x:c r="FP433">
        <x:f t="shared" si="489"/>
        <x:v>0</x:v>
      </x:c>
      <x:c r="FQ433">
        <x:f t="shared" si="490"/>
        <x:v>0</x:v>
      </x:c>
      <x:c r="FR433">
        <x:f t="shared" si="491"/>
        <x:v>0</x:v>
      </x:c>
      <x:c r="FS433">
        <x:f t="shared" si="492"/>
        <x:v>0</x:v>
      </x:c>
      <x:c r="FT433">
        <x:f t="shared" si="493"/>
        <x:v>0</x:v>
      </x:c>
      <x:c r="FU433">
        <x:f t="shared" si="494"/>
        <x:v>0</x:v>
      </x:c>
      <x:c r="FV433">
        <x:f t="shared" si="495"/>
        <x:v>0</x:v>
      </x:c>
      <x:c r="FW433" s="41">
        <x:f t="shared" si="496"/>
        <x:v>0</x:v>
      </x:c>
      <x:c r="FX433">
        <x:f t="shared" si="497"/>
        <x:v>0</x:v>
      </x:c>
      <x:c r="FY433">
        <x:f t="shared" si="498"/>
        <x:v>0</x:v>
      </x:c>
      <x:c r="FZ433">
        <x:f t="shared" si="499"/>
        <x:v>0</x:v>
      </x:c>
      <x:c r="GA433">
        <x:f t="shared" si="500"/>
        <x:v>0</x:v>
      </x:c>
      <x:c r="GB433">
        <x:f t="shared" si="501"/>
        <x:v>0</x:v>
      </x:c>
      <x:c r="GC433">
        <x:f t="shared" si="502"/>
        <x:v>0</x:v>
      </x:c>
      <x:c r="GD433">
        <x:f t="shared" si="503"/>
        <x:v>0</x:v>
      </x:c>
      <x:c r="GE433">
        <x:f t="shared" si="504"/>
        <x:v>0</x:v>
      </x:c>
      <x:c r="GF433">
        <x:f t="shared" si="505"/>
        <x:v>0</x:v>
      </x:c>
      <x:c r="GG433">
        <x:f t="shared" si="506"/>
        <x:v>0</x:v>
      </x:c>
      <x:c r="GH433">
        <x:f t="shared" si="507"/>
        <x:v>0</x:v>
      </x:c>
      <x:c r="GI433">
        <x:f t="shared" si="508"/>
        <x:v>0</x:v>
      </x:c>
      <x:c r="GJ433">
        <x:f t="shared" si="509"/>
        <x:v>0</x:v>
      </x:c>
      <x:c r="GK433">
        <x:f t="shared" si="510"/>
        <x:v>0</x:v>
      </x:c>
      <x:c r="GL433">
        <x:f t="shared" si="511"/>
        <x:v>0</x:v>
      </x:c>
      <x:c r="GM433">
        <x:f t="shared" si="512"/>
        <x:v>0</x:v>
      </x:c>
      <x:c r="GN433">
        <x:f t="shared" si="513"/>
        <x:v>0</x:v>
      </x:c>
      <x:c r="GO433">
        <x:f t="shared" si="514"/>
        <x:v>0</x:v>
      </x:c>
      <x:c r="GP433">
        <x:f t="shared" si="515"/>
        <x:v>0</x:v>
      </x:c>
      <x:c r="GQ433">
        <x:f t="shared" si="516"/>
        <x:v>0</x:v>
      </x:c>
      <x:c r="GR433" s="42">
        <x:f t="shared" si="517"/>
        <x:v>0</x:v>
      </x:c>
      <x:c r="GS433">
        <x:f t="shared" si="518"/>
        <x:v>0</x:v>
      </x:c>
      <x:c r="GT433">
        <x:f t="shared" si="519"/>
        <x:v>0</x:v>
      </x:c>
      <x:c r="GU433">
        <x:f t="shared" si="520"/>
        <x:v>0</x:v>
      </x:c>
      <x:c r="GV433">
        <x:f t="shared" si="521"/>
        <x:v>0</x:v>
      </x:c>
      <x:c r="GW433">
        <x:f t="shared" si="522"/>
        <x:v>0</x:v>
      </x:c>
      <x:c r="GX433">
        <x:f t="shared" si="523"/>
        <x:v>0</x:v>
      </x:c>
      <x:c r="GY433">
        <x:f t="shared" si="524"/>
        <x:v>0</x:v>
      </x:c>
      <x:c r="GZ433">
        <x:f t="shared" si="525"/>
        <x:v>0</x:v>
      </x:c>
      <x:c r="HA433">
        <x:f t="shared" si="526"/>
        <x:v>0</x:v>
      </x:c>
      <x:c r="HB433" s="42">
        <x:f t="shared" si="527"/>
        <x:v>0</x:v>
      </x:c>
      <x:c r="HC433">
        <x:f t="shared" si="528"/>
        <x:v>0</x:v>
      </x:c>
      <x:c r="HD433">
        <x:f t="shared" si="529"/>
        <x:v>0</x:v>
      </x:c>
      <x:c r="HE433">
        <x:f t="shared" si="530"/>
        <x:v>0</x:v>
      </x:c>
      <x:c r="HF433">
        <x:f t="shared" si="531"/>
        <x:v>0</x:v>
      </x:c>
      <x:c r="HG433">
        <x:f t="shared" si="532"/>
        <x:v>0</x:v>
      </x:c>
      <x:c r="HH433">
        <x:f t="shared" si="533"/>
        <x:v>0</x:v>
      </x:c>
      <x:c r="HI433">
        <x:f t="shared" si="534"/>
        <x:v>0</x:v>
      </x:c>
      <x:c r="HJ433">
        <x:f t="shared" si="535"/>
        <x:v>0</x:v>
      </x:c>
      <x:c r="HK433">
        <x:f t="shared" si="536"/>
        <x:v>0</x:v>
      </x:c>
      <x:c r="HL433">
        <x:f t="shared" si="537"/>
        <x:v>0</x:v>
      </x:c>
    </x:row>
    <x:row r="434">
      <x:c r="D434" s="74"/>
      <x:c r="EQ434">
        <x:f t="shared" si="464"/>
        <x:v>0</x:v>
      </x:c>
      <x:c r="ER434">
        <x:f t="shared" si="465"/>
        <x:v>0</x:v>
      </x:c>
      <x:c r="ES434">
        <x:f t="shared" si="466"/>
        <x:v>0</x:v>
      </x:c>
      <x:c r="ET434">
        <x:f t="shared" si="467"/>
        <x:v>0</x:v>
      </x:c>
      <x:c r="EU434">
        <x:f t="shared" si="468"/>
        <x:v>0</x:v>
      </x:c>
      <x:c r="EV434">
        <x:f t="shared" si="469"/>
        <x:v>0</x:v>
      </x:c>
      <x:c r="EW434">
        <x:f t="shared" si="470"/>
        <x:v>0</x:v>
      </x:c>
      <x:c r="EX434">
        <x:f t="shared" si="471"/>
        <x:v>0</x:v>
      </x:c>
      <x:c r="EY434">
        <x:f t="shared" si="472"/>
        <x:v>0</x:v>
      </x:c>
      <x:c r="EZ434">
        <x:f t="shared" si="473"/>
        <x:v>0</x:v>
      </x:c>
      <x:c r="FA434" s="41">
        <x:f t="shared" si="474"/>
        <x:v>0</x:v>
      </x:c>
      <x:c r="FB434">
        <x:f t="shared" si="475"/>
        <x:v>0</x:v>
      </x:c>
      <x:c r="FC434">
        <x:f t="shared" si="476"/>
        <x:v>0</x:v>
      </x:c>
      <x:c r="FD434">
        <x:f t="shared" si="477"/>
        <x:v>0</x:v>
      </x:c>
      <x:c r="FE434">
        <x:f t="shared" si="478"/>
        <x:v>0</x:v>
      </x:c>
      <x:c r="FF434">
        <x:f t="shared" si="479"/>
        <x:v>0</x:v>
      </x:c>
      <x:c r="FG434">
        <x:f t="shared" si="480"/>
        <x:v>0</x:v>
      </x:c>
      <x:c r="FH434">
        <x:f t="shared" si="481"/>
        <x:v>0</x:v>
      </x:c>
      <x:c r="FI434">
        <x:f t="shared" si="482"/>
        <x:v>0</x:v>
      </x:c>
      <x:c r="FJ434">
        <x:f t="shared" si="483"/>
        <x:v>0</x:v>
      </x:c>
      <x:c r="FK434">
        <x:f t="shared" si="484"/>
        <x:v>0</x:v>
      </x:c>
      <x:c r="FL434" s="41">
        <x:f t="shared" si="485"/>
        <x:v>0</x:v>
      </x:c>
      <x:c r="FM434">
        <x:f t="shared" si="486"/>
        <x:v>0</x:v>
      </x:c>
      <x:c r="FN434">
        <x:f t="shared" si="487"/>
        <x:v>0</x:v>
      </x:c>
      <x:c r="FO434">
        <x:f t="shared" si="488"/>
        <x:v>0</x:v>
      </x:c>
      <x:c r="FP434">
        <x:f t="shared" si="489"/>
        <x:v>0</x:v>
      </x:c>
      <x:c r="FQ434">
        <x:f t="shared" si="490"/>
        <x:v>0</x:v>
      </x:c>
      <x:c r="FR434">
        <x:f t="shared" si="491"/>
        <x:v>0</x:v>
      </x:c>
      <x:c r="FS434">
        <x:f t="shared" si="492"/>
        <x:v>0</x:v>
      </x:c>
      <x:c r="FT434">
        <x:f t="shared" si="493"/>
        <x:v>0</x:v>
      </x:c>
      <x:c r="FU434">
        <x:f t="shared" si="494"/>
        <x:v>0</x:v>
      </x:c>
      <x:c r="FV434">
        <x:f t="shared" si="495"/>
        <x:v>0</x:v>
      </x:c>
      <x:c r="FW434" s="41">
        <x:f t="shared" si="496"/>
        <x:v>0</x:v>
      </x:c>
      <x:c r="FX434">
        <x:f t="shared" si="497"/>
        <x:v>0</x:v>
      </x:c>
      <x:c r="FY434">
        <x:f t="shared" si="498"/>
        <x:v>0</x:v>
      </x:c>
      <x:c r="FZ434">
        <x:f t="shared" si="499"/>
        <x:v>0</x:v>
      </x:c>
      <x:c r="GA434">
        <x:f t="shared" si="500"/>
        <x:v>0</x:v>
      </x:c>
      <x:c r="GB434">
        <x:f t="shared" si="501"/>
        <x:v>0</x:v>
      </x:c>
      <x:c r="GC434">
        <x:f t="shared" si="502"/>
        <x:v>0</x:v>
      </x:c>
      <x:c r="GD434">
        <x:f t="shared" si="503"/>
        <x:v>0</x:v>
      </x:c>
      <x:c r="GE434">
        <x:f t="shared" si="504"/>
        <x:v>0</x:v>
      </x:c>
      <x:c r="GF434">
        <x:f t="shared" si="505"/>
        <x:v>0</x:v>
      </x:c>
      <x:c r="GG434">
        <x:f t="shared" si="506"/>
        <x:v>0</x:v>
      </x:c>
      <x:c r="GH434">
        <x:f t="shared" si="507"/>
        <x:v>0</x:v>
      </x:c>
      <x:c r="GI434">
        <x:f t="shared" si="508"/>
        <x:v>0</x:v>
      </x:c>
      <x:c r="GJ434">
        <x:f t="shared" si="509"/>
        <x:v>0</x:v>
      </x:c>
      <x:c r="GK434">
        <x:f t="shared" si="510"/>
        <x:v>0</x:v>
      </x:c>
      <x:c r="GL434">
        <x:f t="shared" si="511"/>
        <x:v>0</x:v>
      </x:c>
      <x:c r="GM434">
        <x:f t="shared" si="512"/>
        <x:v>0</x:v>
      </x:c>
      <x:c r="GN434">
        <x:f t="shared" si="513"/>
        <x:v>0</x:v>
      </x:c>
      <x:c r="GO434">
        <x:f t="shared" si="514"/>
        <x:v>0</x:v>
      </x:c>
      <x:c r="GP434">
        <x:f t="shared" si="515"/>
        <x:v>0</x:v>
      </x:c>
      <x:c r="GQ434">
        <x:f t="shared" si="516"/>
        <x:v>0</x:v>
      </x:c>
      <x:c r="GR434" s="42">
        <x:f t="shared" si="517"/>
        <x:v>0</x:v>
      </x:c>
      <x:c r="GS434">
        <x:f t="shared" si="518"/>
        <x:v>0</x:v>
      </x:c>
      <x:c r="GT434">
        <x:f t="shared" si="519"/>
        <x:v>0</x:v>
      </x:c>
      <x:c r="GU434">
        <x:f t="shared" si="520"/>
        <x:v>0</x:v>
      </x:c>
      <x:c r="GV434">
        <x:f t="shared" si="521"/>
        <x:v>0</x:v>
      </x:c>
      <x:c r="GW434">
        <x:f t="shared" si="522"/>
        <x:v>0</x:v>
      </x:c>
      <x:c r="GX434">
        <x:f t="shared" si="523"/>
        <x:v>0</x:v>
      </x:c>
      <x:c r="GY434">
        <x:f t="shared" si="524"/>
        <x:v>0</x:v>
      </x:c>
      <x:c r="GZ434">
        <x:f t="shared" si="525"/>
        <x:v>0</x:v>
      </x:c>
      <x:c r="HA434">
        <x:f t="shared" si="526"/>
        <x:v>0</x:v>
      </x:c>
      <x:c r="HB434" s="42">
        <x:f t="shared" si="527"/>
        <x:v>0</x:v>
      </x:c>
      <x:c r="HC434">
        <x:f t="shared" si="528"/>
        <x:v>0</x:v>
      </x:c>
      <x:c r="HD434">
        <x:f t="shared" si="529"/>
        <x:v>0</x:v>
      </x:c>
      <x:c r="HE434">
        <x:f t="shared" si="530"/>
        <x:v>0</x:v>
      </x:c>
      <x:c r="HF434">
        <x:f t="shared" si="531"/>
        <x:v>0</x:v>
      </x:c>
      <x:c r="HG434">
        <x:f t="shared" si="532"/>
        <x:v>0</x:v>
      </x:c>
      <x:c r="HH434">
        <x:f t="shared" si="533"/>
        <x:v>0</x:v>
      </x:c>
      <x:c r="HI434">
        <x:f t="shared" si="534"/>
        <x:v>0</x:v>
      </x:c>
      <x:c r="HJ434">
        <x:f t="shared" si="535"/>
        <x:v>0</x:v>
      </x:c>
      <x:c r="HK434">
        <x:f t="shared" si="536"/>
        <x:v>0</x:v>
      </x:c>
      <x:c r="HL434">
        <x:f t="shared" si="537"/>
        <x:v>0</x:v>
      </x:c>
    </x:row>
    <x:row r="435">
      <x:c r="D435" s="74"/>
      <x:c r="EQ435">
        <x:f t="shared" si="464"/>
        <x:v>0</x:v>
      </x:c>
      <x:c r="ER435">
        <x:f t="shared" si="465"/>
        <x:v>0</x:v>
      </x:c>
      <x:c r="ES435">
        <x:f t="shared" si="466"/>
        <x:v>0</x:v>
      </x:c>
      <x:c r="ET435">
        <x:f t="shared" si="467"/>
        <x:v>0</x:v>
      </x:c>
      <x:c r="EU435">
        <x:f t="shared" si="468"/>
        <x:v>0</x:v>
      </x:c>
      <x:c r="EV435">
        <x:f t="shared" si="469"/>
        <x:v>0</x:v>
      </x:c>
      <x:c r="EW435">
        <x:f t="shared" si="470"/>
        <x:v>0</x:v>
      </x:c>
      <x:c r="EX435">
        <x:f t="shared" si="471"/>
        <x:v>0</x:v>
      </x:c>
      <x:c r="EY435">
        <x:f t="shared" si="472"/>
        <x:v>0</x:v>
      </x:c>
      <x:c r="EZ435">
        <x:f t="shared" si="473"/>
        <x:v>0</x:v>
      </x:c>
      <x:c r="FA435" s="41">
        <x:f t="shared" si="474"/>
        <x:v>0</x:v>
      </x:c>
      <x:c r="FB435">
        <x:f t="shared" si="475"/>
        <x:v>0</x:v>
      </x:c>
      <x:c r="FC435">
        <x:f t="shared" si="476"/>
        <x:v>0</x:v>
      </x:c>
      <x:c r="FD435">
        <x:f t="shared" si="477"/>
        <x:v>0</x:v>
      </x:c>
      <x:c r="FE435">
        <x:f t="shared" si="478"/>
        <x:v>0</x:v>
      </x:c>
      <x:c r="FF435">
        <x:f t="shared" si="479"/>
        <x:v>0</x:v>
      </x:c>
      <x:c r="FG435">
        <x:f t="shared" si="480"/>
        <x:v>0</x:v>
      </x:c>
      <x:c r="FH435">
        <x:f t="shared" si="481"/>
        <x:v>0</x:v>
      </x:c>
      <x:c r="FI435">
        <x:f t="shared" si="482"/>
        <x:v>0</x:v>
      </x:c>
      <x:c r="FJ435">
        <x:f t="shared" si="483"/>
        <x:v>0</x:v>
      </x:c>
      <x:c r="FK435">
        <x:f t="shared" si="484"/>
        <x:v>0</x:v>
      </x:c>
      <x:c r="FL435" s="41">
        <x:f t="shared" si="485"/>
        <x:v>0</x:v>
      </x:c>
      <x:c r="FM435">
        <x:f t="shared" si="486"/>
        <x:v>0</x:v>
      </x:c>
      <x:c r="FN435">
        <x:f t="shared" si="487"/>
        <x:v>0</x:v>
      </x:c>
      <x:c r="FO435">
        <x:f t="shared" si="488"/>
        <x:v>0</x:v>
      </x:c>
      <x:c r="FP435">
        <x:f t="shared" si="489"/>
        <x:v>0</x:v>
      </x:c>
      <x:c r="FQ435">
        <x:f t="shared" si="490"/>
        <x:v>0</x:v>
      </x:c>
      <x:c r="FR435">
        <x:f t="shared" si="491"/>
        <x:v>0</x:v>
      </x:c>
      <x:c r="FS435">
        <x:f t="shared" si="492"/>
        <x:v>0</x:v>
      </x:c>
      <x:c r="FT435">
        <x:f t="shared" si="493"/>
        <x:v>0</x:v>
      </x:c>
      <x:c r="FU435">
        <x:f t="shared" si="494"/>
        <x:v>0</x:v>
      </x:c>
      <x:c r="FV435">
        <x:f t="shared" si="495"/>
        <x:v>0</x:v>
      </x:c>
      <x:c r="FW435" s="41">
        <x:f t="shared" si="496"/>
        <x:v>0</x:v>
      </x:c>
      <x:c r="FX435">
        <x:f t="shared" si="497"/>
        <x:v>0</x:v>
      </x:c>
      <x:c r="FY435">
        <x:f t="shared" si="498"/>
        <x:v>0</x:v>
      </x:c>
      <x:c r="FZ435">
        <x:f t="shared" si="499"/>
        <x:v>0</x:v>
      </x:c>
      <x:c r="GA435">
        <x:f t="shared" si="500"/>
        <x:v>0</x:v>
      </x:c>
      <x:c r="GB435">
        <x:f t="shared" si="501"/>
        <x:v>0</x:v>
      </x:c>
      <x:c r="GC435">
        <x:f t="shared" si="502"/>
        <x:v>0</x:v>
      </x:c>
      <x:c r="GD435">
        <x:f t="shared" si="503"/>
        <x:v>0</x:v>
      </x:c>
      <x:c r="GE435">
        <x:f t="shared" si="504"/>
        <x:v>0</x:v>
      </x:c>
      <x:c r="GF435">
        <x:f t="shared" si="505"/>
        <x:v>0</x:v>
      </x:c>
      <x:c r="GG435">
        <x:f t="shared" si="506"/>
        <x:v>0</x:v>
      </x:c>
      <x:c r="GH435">
        <x:f t="shared" si="507"/>
        <x:v>0</x:v>
      </x:c>
      <x:c r="GI435">
        <x:f t="shared" si="508"/>
        <x:v>0</x:v>
      </x:c>
      <x:c r="GJ435">
        <x:f t="shared" si="509"/>
        <x:v>0</x:v>
      </x:c>
      <x:c r="GK435">
        <x:f t="shared" si="510"/>
        <x:v>0</x:v>
      </x:c>
      <x:c r="GL435">
        <x:f t="shared" si="511"/>
        <x:v>0</x:v>
      </x:c>
      <x:c r="GM435">
        <x:f t="shared" si="512"/>
        <x:v>0</x:v>
      </x:c>
      <x:c r="GN435">
        <x:f t="shared" si="513"/>
        <x:v>0</x:v>
      </x:c>
      <x:c r="GO435">
        <x:f t="shared" si="514"/>
        <x:v>0</x:v>
      </x:c>
      <x:c r="GP435">
        <x:f t="shared" si="515"/>
        <x:v>0</x:v>
      </x:c>
      <x:c r="GQ435">
        <x:f t="shared" si="516"/>
        <x:v>0</x:v>
      </x:c>
      <x:c r="GR435" s="42">
        <x:f t="shared" si="517"/>
        <x:v>0</x:v>
      </x:c>
      <x:c r="GS435">
        <x:f t="shared" si="518"/>
        <x:v>0</x:v>
      </x:c>
      <x:c r="GT435">
        <x:f t="shared" si="519"/>
        <x:v>0</x:v>
      </x:c>
      <x:c r="GU435">
        <x:f t="shared" si="520"/>
        <x:v>0</x:v>
      </x:c>
      <x:c r="GV435">
        <x:f t="shared" si="521"/>
        <x:v>0</x:v>
      </x:c>
      <x:c r="GW435">
        <x:f t="shared" si="522"/>
        <x:v>0</x:v>
      </x:c>
      <x:c r="GX435">
        <x:f t="shared" si="523"/>
        <x:v>0</x:v>
      </x:c>
      <x:c r="GY435">
        <x:f t="shared" si="524"/>
        <x:v>0</x:v>
      </x:c>
      <x:c r="GZ435">
        <x:f t="shared" si="525"/>
        <x:v>0</x:v>
      </x:c>
      <x:c r="HA435">
        <x:f t="shared" si="526"/>
        <x:v>0</x:v>
      </x:c>
      <x:c r="HB435" s="42">
        <x:f t="shared" si="527"/>
        <x:v>0</x:v>
      </x:c>
      <x:c r="HC435">
        <x:f t="shared" si="528"/>
        <x:v>0</x:v>
      </x:c>
      <x:c r="HD435">
        <x:f t="shared" si="529"/>
        <x:v>0</x:v>
      </x:c>
      <x:c r="HE435">
        <x:f t="shared" si="530"/>
        <x:v>0</x:v>
      </x:c>
      <x:c r="HF435">
        <x:f t="shared" si="531"/>
        <x:v>0</x:v>
      </x:c>
      <x:c r="HG435">
        <x:f t="shared" si="532"/>
        <x:v>0</x:v>
      </x:c>
      <x:c r="HH435">
        <x:f t="shared" si="533"/>
        <x:v>0</x:v>
      </x:c>
      <x:c r="HI435">
        <x:f t="shared" si="534"/>
        <x:v>0</x:v>
      </x:c>
      <x:c r="HJ435">
        <x:f t="shared" si="535"/>
        <x:v>0</x:v>
      </x:c>
      <x:c r="HK435">
        <x:f t="shared" si="536"/>
        <x:v>0</x:v>
      </x:c>
      <x:c r="HL435">
        <x:f t="shared" si="537"/>
        <x:v>0</x:v>
      </x:c>
    </x:row>
    <x:row r="436">
      <x:c r="D436" s="74"/>
      <x:c r="EQ436">
        <x:f t="shared" si="464"/>
        <x:v>0</x:v>
      </x:c>
      <x:c r="ER436">
        <x:f t="shared" si="465"/>
        <x:v>0</x:v>
      </x:c>
      <x:c r="ES436">
        <x:f t="shared" si="466"/>
        <x:v>0</x:v>
      </x:c>
      <x:c r="ET436">
        <x:f t="shared" si="467"/>
        <x:v>0</x:v>
      </x:c>
      <x:c r="EU436">
        <x:f t="shared" si="468"/>
        <x:v>0</x:v>
      </x:c>
      <x:c r="EV436">
        <x:f t="shared" si="469"/>
        <x:v>0</x:v>
      </x:c>
      <x:c r="EW436">
        <x:f t="shared" si="470"/>
        <x:v>0</x:v>
      </x:c>
      <x:c r="EX436">
        <x:f t="shared" si="471"/>
        <x:v>0</x:v>
      </x:c>
      <x:c r="EY436">
        <x:f t="shared" si="472"/>
        <x:v>0</x:v>
      </x:c>
      <x:c r="EZ436">
        <x:f t="shared" si="473"/>
        <x:v>0</x:v>
      </x:c>
      <x:c r="FA436" s="41">
        <x:f t="shared" si="474"/>
        <x:v>0</x:v>
      </x:c>
      <x:c r="FB436">
        <x:f t="shared" si="475"/>
        <x:v>0</x:v>
      </x:c>
      <x:c r="FC436">
        <x:f t="shared" si="476"/>
        <x:v>0</x:v>
      </x:c>
      <x:c r="FD436">
        <x:f t="shared" si="477"/>
        <x:v>0</x:v>
      </x:c>
      <x:c r="FE436">
        <x:f t="shared" si="478"/>
        <x:v>0</x:v>
      </x:c>
      <x:c r="FF436">
        <x:f t="shared" si="479"/>
        <x:v>0</x:v>
      </x:c>
      <x:c r="FG436">
        <x:f t="shared" si="480"/>
        <x:v>0</x:v>
      </x:c>
      <x:c r="FH436">
        <x:f t="shared" si="481"/>
        <x:v>0</x:v>
      </x:c>
      <x:c r="FI436">
        <x:f t="shared" si="482"/>
        <x:v>0</x:v>
      </x:c>
      <x:c r="FJ436">
        <x:f t="shared" si="483"/>
        <x:v>0</x:v>
      </x:c>
      <x:c r="FK436">
        <x:f t="shared" si="484"/>
        <x:v>0</x:v>
      </x:c>
      <x:c r="FL436" s="41">
        <x:f t="shared" si="485"/>
        <x:v>0</x:v>
      </x:c>
      <x:c r="FM436">
        <x:f t="shared" si="486"/>
        <x:v>0</x:v>
      </x:c>
      <x:c r="FN436">
        <x:f t="shared" si="487"/>
        <x:v>0</x:v>
      </x:c>
      <x:c r="FO436">
        <x:f t="shared" si="488"/>
        <x:v>0</x:v>
      </x:c>
      <x:c r="FP436">
        <x:f t="shared" si="489"/>
        <x:v>0</x:v>
      </x:c>
      <x:c r="FQ436">
        <x:f t="shared" si="490"/>
        <x:v>0</x:v>
      </x:c>
      <x:c r="FR436">
        <x:f t="shared" si="491"/>
        <x:v>0</x:v>
      </x:c>
      <x:c r="FS436">
        <x:f t="shared" si="492"/>
        <x:v>0</x:v>
      </x:c>
      <x:c r="FT436">
        <x:f t="shared" si="493"/>
        <x:v>0</x:v>
      </x:c>
      <x:c r="FU436">
        <x:f t="shared" si="494"/>
        <x:v>0</x:v>
      </x:c>
      <x:c r="FV436">
        <x:f t="shared" si="495"/>
        <x:v>0</x:v>
      </x:c>
      <x:c r="FW436" s="41">
        <x:f t="shared" si="496"/>
        <x:v>0</x:v>
      </x:c>
      <x:c r="FX436">
        <x:f t="shared" si="497"/>
        <x:v>0</x:v>
      </x:c>
      <x:c r="FY436">
        <x:f t="shared" si="498"/>
        <x:v>0</x:v>
      </x:c>
      <x:c r="FZ436">
        <x:f t="shared" si="499"/>
        <x:v>0</x:v>
      </x:c>
      <x:c r="GA436">
        <x:f t="shared" si="500"/>
        <x:v>0</x:v>
      </x:c>
      <x:c r="GB436">
        <x:f t="shared" si="501"/>
        <x:v>0</x:v>
      </x:c>
      <x:c r="GC436">
        <x:f t="shared" si="502"/>
        <x:v>0</x:v>
      </x:c>
      <x:c r="GD436">
        <x:f t="shared" si="503"/>
        <x:v>0</x:v>
      </x:c>
      <x:c r="GE436">
        <x:f t="shared" si="504"/>
        <x:v>0</x:v>
      </x:c>
      <x:c r="GF436">
        <x:f t="shared" si="505"/>
        <x:v>0</x:v>
      </x:c>
      <x:c r="GG436">
        <x:f t="shared" si="506"/>
        <x:v>0</x:v>
      </x:c>
      <x:c r="GH436">
        <x:f t="shared" si="507"/>
        <x:v>0</x:v>
      </x:c>
      <x:c r="GI436">
        <x:f t="shared" si="508"/>
        <x:v>0</x:v>
      </x:c>
      <x:c r="GJ436">
        <x:f t="shared" si="509"/>
        <x:v>0</x:v>
      </x:c>
      <x:c r="GK436">
        <x:f t="shared" si="510"/>
        <x:v>0</x:v>
      </x:c>
      <x:c r="GL436">
        <x:f t="shared" si="511"/>
        <x:v>0</x:v>
      </x:c>
      <x:c r="GM436">
        <x:f t="shared" si="512"/>
        <x:v>0</x:v>
      </x:c>
      <x:c r="GN436">
        <x:f t="shared" si="513"/>
        <x:v>0</x:v>
      </x:c>
      <x:c r="GO436">
        <x:f t="shared" si="514"/>
        <x:v>0</x:v>
      </x:c>
      <x:c r="GP436">
        <x:f t="shared" si="515"/>
        <x:v>0</x:v>
      </x:c>
      <x:c r="GQ436">
        <x:f t="shared" si="516"/>
        <x:v>0</x:v>
      </x:c>
      <x:c r="GR436" s="42">
        <x:f t="shared" si="517"/>
        <x:v>0</x:v>
      </x:c>
      <x:c r="GS436">
        <x:f t="shared" si="518"/>
        <x:v>0</x:v>
      </x:c>
      <x:c r="GT436">
        <x:f t="shared" si="519"/>
        <x:v>0</x:v>
      </x:c>
      <x:c r="GU436">
        <x:f t="shared" si="520"/>
        <x:v>0</x:v>
      </x:c>
      <x:c r="GV436">
        <x:f t="shared" si="521"/>
        <x:v>0</x:v>
      </x:c>
      <x:c r="GW436">
        <x:f t="shared" si="522"/>
        <x:v>0</x:v>
      </x:c>
      <x:c r="GX436">
        <x:f t="shared" si="523"/>
        <x:v>0</x:v>
      </x:c>
      <x:c r="GY436">
        <x:f t="shared" si="524"/>
        <x:v>0</x:v>
      </x:c>
      <x:c r="GZ436">
        <x:f t="shared" si="525"/>
        <x:v>0</x:v>
      </x:c>
      <x:c r="HA436">
        <x:f t="shared" si="526"/>
        <x:v>0</x:v>
      </x:c>
      <x:c r="HB436" s="42">
        <x:f t="shared" si="527"/>
        <x:v>0</x:v>
      </x:c>
      <x:c r="HC436">
        <x:f t="shared" si="528"/>
        <x:v>0</x:v>
      </x:c>
      <x:c r="HD436">
        <x:f t="shared" si="529"/>
        <x:v>0</x:v>
      </x:c>
      <x:c r="HE436">
        <x:f t="shared" si="530"/>
        <x:v>0</x:v>
      </x:c>
      <x:c r="HF436">
        <x:f t="shared" si="531"/>
        <x:v>0</x:v>
      </x:c>
      <x:c r="HG436">
        <x:f t="shared" si="532"/>
        <x:v>0</x:v>
      </x:c>
      <x:c r="HH436">
        <x:f t="shared" si="533"/>
        <x:v>0</x:v>
      </x:c>
      <x:c r="HI436">
        <x:f t="shared" si="534"/>
        <x:v>0</x:v>
      </x:c>
      <x:c r="HJ436">
        <x:f t="shared" si="535"/>
        <x:v>0</x:v>
      </x:c>
      <x:c r="HK436">
        <x:f t="shared" si="536"/>
        <x:v>0</x:v>
      </x:c>
      <x:c r="HL436">
        <x:f t="shared" si="537"/>
        <x:v>0</x:v>
      </x:c>
    </x:row>
    <x:row r="437">
      <x:c r="D437" s="74"/>
      <x:c r="EQ437">
        <x:f t="shared" si="464"/>
        <x:v>0</x:v>
      </x:c>
      <x:c r="ER437">
        <x:f t="shared" si="465"/>
        <x:v>0</x:v>
      </x:c>
      <x:c r="ES437">
        <x:f t="shared" si="466"/>
        <x:v>0</x:v>
      </x:c>
      <x:c r="ET437">
        <x:f t="shared" si="467"/>
        <x:v>0</x:v>
      </x:c>
      <x:c r="EU437">
        <x:f t="shared" si="468"/>
        <x:v>0</x:v>
      </x:c>
      <x:c r="EV437">
        <x:f t="shared" si="469"/>
        <x:v>0</x:v>
      </x:c>
      <x:c r="EW437">
        <x:f t="shared" si="470"/>
        <x:v>0</x:v>
      </x:c>
      <x:c r="EX437">
        <x:f t="shared" si="471"/>
        <x:v>0</x:v>
      </x:c>
      <x:c r="EY437">
        <x:f t="shared" si="472"/>
        <x:v>0</x:v>
      </x:c>
      <x:c r="EZ437">
        <x:f t="shared" si="473"/>
        <x:v>0</x:v>
      </x:c>
      <x:c r="FA437" s="41">
        <x:f t="shared" si="474"/>
        <x:v>0</x:v>
      </x:c>
      <x:c r="FB437">
        <x:f t="shared" si="475"/>
        <x:v>0</x:v>
      </x:c>
      <x:c r="FC437">
        <x:f t="shared" si="476"/>
        <x:v>0</x:v>
      </x:c>
      <x:c r="FD437">
        <x:f t="shared" si="477"/>
        <x:v>0</x:v>
      </x:c>
      <x:c r="FE437">
        <x:f t="shared" si="478"/>
        <x:v>0</x:v>
      </x:c>
      <x:c r="FF437">
        <x:f t="shared" si="479"/>
        <x:v>0</x:v>
      </x:c>
      <x:c r="FG437">
        <x:f t="shared" si="480"/>
        <x:v>0</x:v>
      </x:c>
      <x:c r="FH437">
        <x:f t="shared" si="481"/>
        <x:v>0</x:v>
      </x:c>
      <x:c r="FI437">
        <x:f t="shared" si="482"/>
        <x:v>0</x:v>
      </x:c>
      <x:c r="FJ437">
        <x:f t="shared" si="483"/>
        <x:v>0</x:v>
      </x:c>
      <x:c r="FK437">
        <x:f t="shared" si="484"/>
        <x:v>0</x:v>
      </x:c>
      <x:c r="FL437" s="41">
        <x:f t="shared" si="485"/>
        <x:v>0</x:v>
      </x:c>
      <x:c r="FM437">
        <x:f t="shared" si="486"/>
        <x:v>0</x:v>
      </x:c>
      <x:c r="FN437">
        <x:f t="shared" si="487"/>
        <x:v>0</x:v>
      </x:c>
      <x:c r="FO437">
        <x:f t="shared" si="488"/>
        <x:v>0</x:v>
      </x:c>
      <x:c r="FP437">
        <x:f t="shared" si="489"/>
        <x:v>0</x:v>
      </x:c>
      <x:c r="FQ437">
        <x:f t="shared" si="490"/>
        <x:v>0</x:v>
      </x:c>
      <x:c r="FR437">
        <x:f t="shared" si="491"/>
        <x:v>0</x:v>
      </x:c>
      <x:c r="FS437">
        <x:f t="shared" si="492"/>
        <x:v>0</x:v>
      </x:c>
      <x:c r="FT437">
        <x:f t="shared" si="493"/>
        <x:v>0</x:v>
      </x:c>
      <x:c r="FU437">
        <x:f t="shared" si="494"/>
        <x:v>0</x:v>
      </x:c>
      <x:c r="FV437">
        <x:f t="shared" si="495"/>
        <x:v>0</x:v>
      </x:c>
      <x:c r="FW437" s="41">
        <x:f t="shared" si="496"/>
        <x:v>0</x:v>
      </x:c>
      <x:c r="FX437">
        <x:f t="shared" si="497"/>
        <x:v>0</x:v>
      </x:c>
      <x:c r="FY437">
        <x:f t="shared" si="498"/>
        <x:v>0</x:v>
      </x:c>
      <x:c r="FZ437">
        <x:f t="shared" si="499"/>
        <x:v>0</x:v>
      </x:c>
      <x:c r="GA437">
        <x:f t="shared" si="500"/>
        <x:v>0</x:v>
      </x:c>
      <x:c r="GB437">
        <x:f t="shared" si="501"/>
        <x:v>0</x:v>
      </x:c>
      <x:c r="GC437">
        <x:f t="shared" si="502"/>
        <x:v>0</x:v>
      </x:c>
      <x:c r="GD437">
        <x:f t="shared" si="503"/>
        <x:v>0</x:v>
      </x:c>
      <x:c r="GE437">
        <x:f t="shared" si="504"/>
        <x:v>0</x:v>
      </x:c>
      <x:c r="GF437">
        <x:f t="shared" si="505"/>
        <x:v>0</x:v>
      </x:c>
      <x:c r="GG437">
        <x:f t="shared" si="506"/>
        <x:v>0</x:v>
      </x:c>
      <x:c r="GH437">
        <x:f t="shared" si="507"/>
        <x:v>0</x:v>
      </x:c>
      <x:c r="GI437">
        <x:f t="shared" si="508"/>
        <x:v>0</x:v>
      </x:c>
      <x:c r="GJ437">
        <x:f t="shared" si="509"/>
        <x:v>0</x:v>
      </x:c>
      <x:c r="GK437">
        <x:f t="shared" si="510"/>
        <x:v>0</x:v>
      </x:c>
      <x:c r="GL437">
        <x:f t="shared" si="511"/>
        <x:v>0</x:v>
      </x:c>
      <x:c r="GM437">
        <x:f t="shared" si="512"/>
        <x:v>0</x:v>
      </x:c>
      <x:c r="GN437">
        <x:f t="shared" si="513"/>
        <x:v>0</x:v>
      </x:c>
      <x:c r="GO437">
        <x:f t="shared" si="514"/>
        <x:v>0</x:v>
      </x:c>
      <x:c r="GP437">
        <x:f t="shared" si="515"/>
        <x:v>0</x:v>
      </x:c>
      <x:c r="GQ437">
        <x:f t="shared" si="516"/>
        <x:v>0</x:v>
      </x:c>
      <x:c r="GR437" s="42">
        <x:f t="shared" si="517"/>
        <x:v>0</x:v>
      </x:c>
      <x:c r="GS437">
        <x:f t="shared" si="518"/>
        <x:v>0</x:v>
      </x:c>
      <x:c r="GT437">
        <x:f t="shared" si="519"/>
        <x:v>0</x:v>
      </x:c>
      <x:c r="GU437">
        <x:f t="shared" si="520"/>
        <x:v>0</x:v>
      </x:c>
      <x:c r="GV437">
        <x:f t="shared" si="521"/>
        <x:v>0</x:v>
      </x:c>
      <x:c r="GW437">
        <x:f t="shared" si="522"/>
        <x:v>0</x:v>
      </x:c>
      <x:c r="GX437">
        <x:f t="shared" si="523"/>
        <x:v>0</x:v>
      </x:c>
      <x:c r="GY437">
        <x:f t="shared" si="524"/>
        <x:v>0</x:v>
      </x:c>
      <x:c r="GZ437">
        <x:f t="shared" si="525"/>
        <x:v>0</x:v>
      </x:c>
      <x:c r="HA437">
        <x:f t="shared" si="526"/>
        <x:v>0</x:v>
      </x:c>
      <x:c r="HB437" s="42">
        <x:f t="shared" si="527"/>
        <x:v>0</x:v>
      </x:c>
      <x:c r="HC437">
        <x:f t="shared" si="528"/>
        <x:v>0</x:v>
      </x:c>
      <x:c r="HD437">
        <x:f t="shared" si="529"/>
        <x:v>0</x:v>
      </x:c>
      <x:c r="HE437">
        <x:f t="shared" si="530"/>
        <x:v>0</x:v>
      </x:c>
      <x:c r="HF437">
        <x:f t="shared" si="531"/>
        <x:v>0</x:v>
      </x:c>
      <x:c r="HG437">
        <x:f t="shared" si="532"/>
        <x:v>0</x:v>
      </x:c>
      <x:c r="HH437">
        <x:f t="shared" si="533"/>
        <x:v>0</x:v>
      </x:c>
      <x:c r="HI437">
        <x:f t="shared" si="534"/>
        <x:v>0</x:v>
      </x:c>
      <x:c r="HJ437">
        <x:f t="shared" si="535"/>
        <x:v>0</x:v>
      </x:c>
      <x:c r="HK437">
        <x:f t="shared" si="536"/>
        <x:v>0</x:v>
      </x:c>
      <x:c r="HL437">
        <x:f t="shared" si="537"/>
        <x:v>0</x:v>
      </x:c>
    </x:row>
    <x:row r="438">
      <x:c r="D438" s="74"/>
      <x:c r="EQ438">
        <x:f t="shared" si="464"/>
        <x:v>0</x:v>
      </x:c>
      <x:c r="ER438">
        <x:f t="shared" si="465"/>
        <x:v>0</x:v>
      </x:c>
      <x:c r="ES438">
        <x:f t="shared" si="466"/>
        <x:v>0</x:v>
      </x:c>
      <x:c r="ET438">
        <x:f t="shared" si="467"/>
        <x:v>0</x:v>
      </x:c>
      <x:c r="EU438">
        <x:f t="shared" si="468"/>
        <x:v>0</x:v>
      </x:c>
      <x:c r="EV438">
        <x:f t="shared" si="469"/>
        <x:v>0</x:v>
      </x:c>
      <x:c r="EW438">
        <x:f t="shared" si="470"/>
        <x:v>0</x:v>
      </x:c>
      <x:c r="EX438">
        <x:f t="shared" si="471"/>
        <x:v>0</x:v>
      </x:c>
      <x:c r="EY438">
        <x:f t="shared" si="472"/>
        <x:v>0</x:v>
      </x:c>
      <x:c r="EZ438">
        <x:f t="shared" si="473"/>
        <x:v>0</x:v>
      </x:c>
      <x:c r="FA438" s="41">
        <x:f t="shared" si="474"/>
        <x:v>0</x:v>
      </x:c>
      <x:c r="FB438">
        <x:f t="shared" si="475"/>
        <x:v>0</x:v>
      </x:c>
      <x:c r="FC438">
        <x:f t="shared" si="476"/>
        <x:v>0</x:v>
      </x:c>
      <x:c r="FD438">
        <x:f t="shared" si="477"/>
        <x:v>0</x:v>
      </x:c>
      <x:c r="FE438">
        <x:f t="shared" si="478"/>
        <x:v>0</x:v>
      </x:c>
      <x:c r="FF438">
        <x:f t="shared" si="479"/>
        <x:v>0</x:v>
      </x:c>
      <x:c r="FG438">
        <x:f t="shared" si="480"/>
        <x:v>0</x:v>
      </x:c>
      <x:c r="FH438">
        <x:f t="shared" si="481"/>
        <x:v>0</x:v>
      </x:c>
      <x:c r="FI438">
        <x:f t="shared" si="482"/>
        <x:v>0</x:v>
      </x:c>
      <x:c r="FJ438">
        <x:f t="shared" si="483"/>
        <x:v>0</x:v>
      </x:c>
      <x:c r="FK438">
        <x:f t="shared" si="484"/>
        <x:v>0</x:v>
      </x:c>
      <x:c r="FL438" s="41">
        <x:f t="shared" si="485"/>
        <x:v>0</x:v>
      </x:c>
      <x:c r="FM438">
        <x:f t="shared" si="486"/>
        <x:v>0</x:v>
      </x:c>
      <x:c r="FN438">
        <x:f t="shared" si="487"/>
        <x:v>0</x:v>
      </x:c>
      <x:c r="FO438">
        <x:f t="shared" si="488"/>
        <x:v>0</x:v>
      </x:c>
      <x:c r="FP438">
        <x:f t="shared" si="489"/>
        <x:v>0</x:v>
      </x:c>
      <x:c r="FQ438">
        <x:f t="shared" si="490"/>
        <x:v>0</x:v>
      </x:c>
      <x:c r="FR438">
        <x:f t="shared" si="491"/>
        <x:v>0</x:v>
      </x:c>
      <x:c r="FS438">
        <x:f t="shared" si="492"/>
        <x:v>0</x:v>
      </x:c>
      <x:c r="FT438">
        <x:f t="shared" si="493"/>
        <x:v>0</x:v>
      </x:c>
      <x:c r="FU438">
        <x:f t="shared" si="494"/>
        <x:v>0</x:v>
      </x:c>
      <x:c r="FV438">
        <x:f t="shared" si="495"/>
        <x:v>0</x:v>
      </x:c>
      <x:c r="FW438" s="41">
        <x:f t="shared" si="496"/>
        <x:v>0</x:v>
      </x:c>
      <x:c r="FX438">
        <x:f t="shared" si="497"/>
        <x:v>0</x:v>
      </x:c>
      <x:c r="FY438">
        <x:f t="shared" si="498"/>
        <x:v>0</x:v>
      </x:c>
      <x:c r="FZ438">
        <x:f t="shared" si="499"/>
        <x:v>0</x:v>
      </x:c>
      <x:c r="GA438">
        <x:f t="shared" si="500"/>
        <x:v>0</x:v>
      </x:c>
      <x:c r="GB438">
        <x:f t="shared" si="501"/>
        <x:v>0</x:v>
      </x:c>
      <x:c r="GC438">
        <x:f t="shared" si="502"/>
        <x:v>0</x:v>
      </x:c>
      <x:c r="GD438">
        <x:f t="shared" si="503"/>
        <x:v>0</x:v>
      </x:c>
      <x:c r="GE438">
        <x:f t="shared" si="504"/>
        <x:v>0</x:v>
      </x:c>
      <x:c r="GF438">
        <x:f t="shared" si="505"/>
        <x:v>0</x:v>
      </x:c>
      <x:c r="GG438">
        <x:f t="shared" si="506"/>
        <x:v>0</x:v>
      </x:c>
      <x:c r="GH438">
        <x:f t="shared" si="507"/>
        <x:v>0</x:v>
      </x:c>
      <x:c r="GI438">
        <x:f t="shared" si="508"/>
        <x:v>0</x:v>
      </x:c>
      <x:c r="GJ438">
        <x:f t="shared" si="509"/>
        <x:v>0</x:v>
      </x:c>
      <x:c r="GK438">
        <x:f t="shared" si="510"/>
        <x:v>0</x:v>
      </x:c>
      <x:c r="GL438">
        <x:f t="shared" si="511"/>
        <x:v>0</x:v>
      </x:c>
      <x:c r="GM438">
        <x:f t="shared" si="512"/>
        <x:v>0</x:v>
      </x:c>
      <x:c r="GN438">
        <x:f t="shared" si="513"/>
        <x:v>0</x:v>
      </x:c>
      <x:c r="GO438">
        <x:f t="shared" si="514"/>
        <x:v>0</x:v>
      </x:c>
      <x:c r="GP438">
        <x:f t="shared" si="515"/>
        <x:v>0</x:v>
      </x:c>
      <x:c r="GQ438">
        <x:f t="shared" si="516"/>
        <x:v>0</x:v>
      </x:c>
      <x:c r="GR438" s="42">
        <x:f t="shared" si="517"/>
        <x:v>0</x:v>
      </x:c>
      <x:c r="GS438">
        <x:f t="shared" si="518"/>
        <x:v>0</x:v>
      </x:c>
      <x:c r="GT438">
        <x:f t="shared" si="519"/>
        <x:v>0</x:v>
      </x:c>
      <x:c r="GU438">
        <x:f t="shared" si="520"/>
        <x:v>0</x:v>
      </x:c>
      <x:c r="GV438">
        <x:f t="shared" si="521"/>
        <x:v>0</x:v>
      </x:c>
      <x:c r="GW438">
        <x:f t="shared" si="522"/>
        <x:v>0</x:v>
      </x:c>
      <x:c r="GX438">
        <x:f t="shared" si="523"/>
        <x:v>0</x:v>
      </x:c>
      <x:c r="GY438">
        <x:f t="shared" si="524"/>
        <x:v>0</x:v>
      </x:c>
      <x:c r="GZ438">
        <x:f t="shared" si="525"/>
        <x:v>0</x:v>
      </x:c>
      <x:c r="HA438">
        <x:f t="shared" si="526"/>
        <x:v>0</x:v>
      </x:c>
      <x:c r="HB438" s="42">
        <x:f t="shared" si="527"/>
        <x:v>0</x:v>
      </x:c>
      <x:c r="HC438">
        <x:f t="shared" si="528"/>
        <x:v>0</x:v>
      </x:c>
      <x:c r="HD438">
        <x:f t="shared" si="529"/>
        <x:v>0</x:v>
      </x:c>
      <x:c r="HE438">
        <x:f t="shared" si="530"/>
        <x:v>0</x:v>
      </x:c>
      <x:c r="HF438">
        <x:f t="shared" si="531"/>
        <x:v>0</x:v>
      </x:c>
      <x:c r="HG438">
        <x:f t="shared" si="532"/>
        <x:v>0</x:v>
      </x:c>
      <x:c r="HH438">
        <x:f t="shared" si="533"/>
        <x:v>0</x:v>
      </x:c>
      <x:c r="HI438">
        <x:f t="shared" si="534"/>
        <x:v>0</x:v>
      </x:c>
      <x:c r="HJ438">
        <x:f t="shared" si="535"/>
        <x:v>0</x:v>
      </x:c>
      <x:c r="HK438">
        <x:f t="shared" si="536"/>
        <x:v>0</x:v>
      </x:c>
      <x:c r="HL438">
        <x:f t="shared" si="537"/>
        <x:v>0</x:v>
      </x:c>
    </x:row>
    <x:row r="439">
      <x:c r="D439" s="74"/>
      <x:c r="EQ439">
        <x:f t="shared" si="464"/>
        <x:v>0</x:v>
      </x:c>
      <x:c r="ER439">
        <x:f t="shared" si="465"/>
        <x:v>0</x:v>
      </x:c>
      <x:c r="ES439">
        <x:f t="shared" si="466"/>
        <x:v>0</x:v>
      </x:c>
      <x:c r="ET439">
        <x:f t="shared" si="467"/>
        <x:v>0</x:v>
      </x:c>
      <x:c r="EU439">
        <x:f t="shared" si="468"/>
        <x:v>0</x:v>
      </x:c>
      <x:c r="EV439">
        <x:f t="shared" si="469"/>
        <x:v>0</x:v>
      </x:c>
      <x:c r="EW439">
        <x:f t="shared" si="470"/>
        <x:v>0</x:v>
      </x:c>
      <x:c r="EX439">
        <x:f t="shared" si="471"/>
        <x:v>0</x:v>
      </x:c>
      <x:c r="EY439">
        <x:f t="shared" si="472"/>
        <x:v>0</x:v>
      </x:c>
      <x:c r="EZ439">
        <x:f t="shared" si="473"/>
        <x:v>0</x:v>
      </x:c>
      <x:c r="FA439" s="41">
        <x:f t="shared" si="474"/>
        <x:v>0</x:v>
      </x:c>
      <x:c r="FB439">
        <x:f t="shared" si="475"/>
        <x:v>0</x:v>
      </x:c>
      <x:c r="FC439">
        <x:f t="shared" si="476"/>
        <x:v>0</x:v>
      </x:c>
      <x:c r="FD439">
        <x:f t="shared" si="477"/>
        <x:v>0</x:v>
      </x:c>
      <x:c r="FE439">
        <x:f t="shared" si="478"/>
        <x:v>0</x:v>
      </x:c>
      <x:c r="FF439">
        <x:f t="shared" si="479"/>
        <x:v>0</x:v>
      </x:c>
      <x:c r="FG439">
        <x:f t="shared" si="480"/>
        <x:v>0</x:v>
      </x:c>
      <x:c r="FH439">
        <x:f t="shared" si="481"/>
        <x:v>0</x:v>
      </x:c>
      <x:c r="FI439">
        <x:f t="shared" si="482"/>
        <x:v>0</x:v>
      </x:c>
      <x:c r="FJ439">
        <x:f t="shared" si="483"/>
        <x:v>0</x:v>
      </x:c>
      <x:c r="FK439">
        <x:f t="shared" si="484"/>
        <x:v>0</x:v>
      </x:c>
      <x:c r="FL439" s="41">
        <x:f t="shared" si="485"/>
        <x:v>0</x:v>
      </x:c>
      <x:c r="FM439">
        <x:f t="shared" si="486"/>
        <x:v>0</x:v>
      </x:c>
      <x:c r="FN439">
        <x:f t="shared" si="487"/>
        <x:v>0</x:v>
      </x:c>
      <x:c r="FO439">
        <x:f t="shared" si="488"/>
        <x:v>0</x:v>
      </x:c>
      <x:c r="FP439">
        <x:f t="shared" si="489"/>
        <x:v>0</x:v>
      </x:c>
      <x:c r="FQ439">
        <x:f t="shared" si="490"/>
        <x:v>0</x:v>
      </x:c>
      <x:c r="FR439">
        <x:f t="shared" si="491"/>
        <x:v>0</x:v>
      </x:c>
      <x:c r="FS439">
        <x:f t="shared" si="492"/>
        <x:v>0</x:v>
      </x:c>
      <x:c r="FT439">
        <x:f t="shared" si="493"/>
        <x:v>0</x:v>
      </x:c>
      <x:c r="FU439">
        <x:f t="shared" si="494"/>
        <x:v>0</x:v>
      </x:c>
      <x:c r="FV439">
        <x:f t="shared" si="495"/>
        <x:v>0</x:v>
      </x:c>
      <x:c r="FW439" s="41">
        <x:f t="shared" si="496"/>
        <x:v>0</x:v>
      </x:c>
      <x:c r="FX439">
        <x:f t="shared" si="497"/>
        <x:v>0</x:v>
      </x:c>
      <x:c r="FY439">
        <x:f t="shared" si="498"/>
        <x:v>0</x:v>
      </x:c>
      <x:c r="FZ439">
        <x:f t="shared" si="499"/>
        <x:v>0</x:v>
      </x:c>
      <x:c r="GA439">
        <x:f t="shared" si="500"/>
        <x:v>0</x:v>
      </x:c>
      <x:c r="GB439">
        <x:f t="shared" si="501"/>
        <x:v>0</x:v>
      </x:c>
      <x:c r="GC439">
        <x:f t="shared" si="502"/>
        <x:v>0</x:v>
      </x:c>
      <x:c r="GD439">
        <x:f t="shared" si="503"/>
        <x:v>0</x:v>
      </x:c>
      <x:c r="GE439">
        <x:f t="shared" si="504"/>
        <x:v>0</x:v>
      </x:c>
      <x:c r="GF439">
        <x:f t="shared" si="505"/>
        <x:v>0</x:v>
      </x:c>
      <x:c r="GG439">
        <x:f t="shared" si="506"/>
        <x:v>0</x:v>
      </x:c>
      <x:c r="GH439">
        <x:f t="shared" si="507"/>
        <x:v>0</x:v>
      </x:c>
      <x:c r="GI439">
        <x:f t="shared" si="508"/>
        <x:v>0</x:v>
      </x:c>
      <x:c r="GJ439">
        <x:f t="shared" si="509"/>
        <x:v>0</x:v>
      </x:c>
      <x:c r="GK439">
        <x:f t="shared" si="510"/>
        <x:v>0</x:v>
      </x:c>
      <x:c r="GL439">
        <x:f t="shared" si="511"/>
        <x:v>0</x:v>
      </x:c>
      <x:c r="GM439">
        <x:f t="shared" si="512"/>
        <x:v>0</x:v>
      </x:c>
      <x:c r="GN439">
        <x:f t="shared" si="513"/>
        <x:v>0</x:v>
      </x:c>
      <x:c r="GO439">
        <x:f t="shared" si="514"/>
        <x:v>0</x:v>
      </x:c>
      <x:c r="GP439">
        <x:f t="shared" si="515"/>
        <x:v>0</x:v>
      </x:c>
      <x:c r="GQ439">
        <x:f t="shared" si="516"/>
        <x:v>0</x:v>
      </x:c>
      <x:c r="GR439" s="42">
        <x:f t="shared" si="517"/>
        <x:v>0</x:v>
      </x:c>
      <x:c r="GS439">
        <x:f t="shared" si="518"/>
        <x:v>0</x:v>
      </x:c>
      <x:c r="GT439">
        <x:f t="shared" si="519"/>
        <x:v>0</x:v>
      </x:c>
      <x:c r="GU439">
        <x:f t="shared" si="520"/>
        <x:v>0</x:v>
      </x:c>
      <x:c r="GV439">
        <x:f t="shared" si="521"/>
        <x:v>0</x:v>
      </x:c>
      <x:c r="GW439">
        <x:f t="shared" si="522"/>
        <x:v>0</x:v>
      </x:c>
      <x:c r="GX439">
        <x:f t="shared" si="523"/>
        <x:v>0</x:v>
      </x:c>
      <x:c r="GY439">
        <x:f t="shared" si="524"/>
        <x:v>0</x:v>
      </x:c>
      <x:c r="GZ439">
        <x:f t="shared" si="525"/>
        <x:v>0</x:v>
      </x:c>
      <x:c r="HA439">
        <x:f t="shared" si="526"/>
        <x:v>0</x:v>
      </x:c>
      <x:c r="HB439" s="42">
        <x:f t="shared" si="527"/>
        <x:v>0</x:v>
      </x:c>
      <x:c r="HC439">
        <x:f t="shared" si="528"/>
        <x:v>0</x:v>
      </x:c>
      <x:c r="HD439">
        <x:f t="shared" si="529"/>
        <x:v>0</x:v>
      </x:c>
      <x:c r="HE439">
        <x:f t="shared" si="530"/>
        <x:v>0</x:v>
      </x:c>
      <x:c r="HF439">
        <x:f t="shared" si="531"/>
        <x:v>0</x:v>
      </x:c>
      <x:c r="HG439">
        <x:f t="shared" si="532"/>
        <x:v>0</x:v>
      </x:c>
      <x:c r="HH439">
        <x:f t="shared" si="533"/>
        <x:v>0</x:v>
      </x:c>
      <x:c r="HI439">
        <x:f t="shared" si="534"/>
        <x:v>0</x:v>
      </x:c>
      <x:c r="HJ439">
        <x:f t="shared" si="535"/>
        <x:v>0</x:v>
      </x:c>
      <x:c r="HK439">
        <x:f t="shared" si="536"/>
        <x:v>0</x:v>
      </x:c>
      <x:c r="HL439">
        <x:f t="shared" si="537"/>
        <x:v>0</x:v>
      </x:c>
    </x:row>
    <x:row r="440">
      <x:c r="D440" s="74"/>
      <x:c r="EQ440">
        <x:f t="shared" si="464"/>
        <x:v>0</x:v>
      </x:c>
      <x:c r="ER440">
        <x:f t="shared" si="465"/>
        <x:v>0</x:v>
      </x:c>
      <x:c r="ES440">
        <x:f t="shared" si="466"/>
        <x:v>0</x:v>
      </x:c>
      <x:c r="ET440">
        <x:f t="shared" si="467"/>
        <x:v>0</x:v>
      </x:c>
      <x:c r="EU440">
        <x:f t="shared" si="468"/>
        <x:v>0</x:v>
      </x:c>
      <x:c r="EV440">
        <x:f t="shared" si="469"/>
        <x:v>0</x:v>
      </x:c>
      <x:c r="EW440">
        <x:f t="shared" si="470"/>
        <x:v>0</x:v>
      </x:c>
      <x:c r="EX440">
        <x:f t="shared" si="471"/>
        <x:v>0</x:v>
      </x:c>
      <x:c r="EY440">
        <x:f t="shared" si="472"/>
        <x:v>0</x:v>
      </x:c>
      <x:c r="EZ440">
        <x:f t="shared" si="473"/>
        <x:v>0</x:v>
      </x:c>
      <x:c r="FA440" s="41">
        <x:f t="shared" si="474"/>
        <x:v>0</x:v>
      </x:c>
      <x:c r="FB440">
        <x:f t="shared" si="475"/>
        <x:v>0</x:v>
      </x:c>
      <x:c r="FC440">
        <x:f t="shared" si="476"/>
        <x:v>0</x:v>
      </x:c>
      <x:c r="FD440">
        <x:f t="shared" si="477"/>
        <x:v>0</x:v>
      </x:c>
      <x:c r="FE440">
        <x:f t="shared" si="478"/>
        <x:v>0</x:v>
      </x:c>
      <x:c r="FF440">
        <x:f t="shared" si="479"/>
        <x:v>0</x:v>
      </x:c>
      <x:c r="FG440">
        <x:f t="shared" si="480"/>
        <x:v>0</x:v>
      </x:c>
      <x:c r="FH440">
        <x:f t="shared" si="481"/>
        <x:v>0</x:v>
      </x:c>
      <x:c r="FI440">
        <x:f t="shared" si="482"/>
        <x:v>0</x:v>
      </x:c>
      <x:c r="FJ440">
        <x:f t="shared" si="483"/>
        <x:v>0</x:v>
      </x:c>
      <x:c r="FK440">
        <x:f t="shared" si="484"/>
        <x:v>0</x:v>
      </x:c>
      <x:c r="FL440" s="41">
        <x:f t="shared" si="485"/>
        <x:v>0</x:v>
      </x:c>
      <x:c r="FM440">
        <x:f t="shared" si="486"/>
        <x:v>0</x:v>
      </x:c>
      <x:c r="FN440">
        <x:f t="shared" si="487"/>
        <x:v>0</x:v>
      </x:c>
      <x:c r="FO440">
        <x:f t="shared" si="488"/>
        <x:v>0</x:v>
      </x:c>
      <x:c r="FP440">
        <x:f t="shared" si="489"/>
        <x:v>0</x:v>
      </x:c>
      <x:c r="FQ440">
        <x:f t="shared" si="490"/>
        <x:v>0</x:v>
      </x:c>
      <x:c r="FR440">
        <x:f t="shared" si="491"/>
        <x:v>0</x:v>
      </x:c>
      <x:c r="FS440">
        <x:f t="shared" si="492"/>
        <x:v>0</x:v>
      </x:c>
      <x:c r="FT440">
        <x:f t="shared" si="493"/>
        <x:v>0</x:v>
      </x:c>
      <x:c r="FU440">
        <x:f t="shared" si="494"/>
        <x:v>0</x:v>
      </x:c>
      <x:c r="FV440">
        <x:f t="shared" si="495"/>
        <x:v>0</x:v>
      </x:c>
      <x:c r="FW440" s="41">
        <x:f t="shared" si="496"/>
        <x:v>0</x:v>
      </x:c>
      <x:c r="FX440">
        <x:f t="shared" si="497"/>
        <x:v>0</x:v>
      </x:c>
      <x:c r="FY440">
        <x:f t="shared" si="498"/>
        <x:v>0</x:v>
      </x:c>
      <x:c r="FZ440">
        <x:f t="shared" si="499"/>
        <x:v>0</x:v>
      </x:c>
      <x:c r="GA440">
        <x:f t="shared" si="500"/>
        <x:v>0</x:v>
      </x:c>
      <x:c r="GB440">
        <x:f t="shared" si="501"/>
        <x:v>0</x:v>
      </x:c>
      <x:c r="GC440">
        <x:f t="shared" si="502"/>
        <x:v>0</x:v>
      </x:c>
      <x:c r="GD440">
        <x:f t="shared" si="503"/>
        <x:v>0</x:v>
      </x:c>
      <x:c r="GE440">
        <x:f t="shared" si="504"/>
        <x:v>0</x:v>
      </x:c>
      <x:c r="GF440">
        <x:f t="shared" si="505"/>
        <x:v>0</x:v>
      </x:c>
      <x:c r="GG440">
        <x:f t="shared" si="506"/>
        <x:v>0</x:v>
      </x:c>
      <x:c r="GH440">
        <x:f t="shared" si="507"/>
        <x:v>0</x:v>
      </x:c>
      <x:c r="GI440">
        <x:f t="shared" si="508"/>
        <x:v>0</x:v>
      </x:c>
      <x:c r="GJ440">
        <x:f t="shared" si="509"/>
        <x:v>0</x:v>
      </x:c>
      <x:c r="GK440">
        <x:f t="shared" si="510"/>
        <x:v>0</x:v>
      </x:c>
      <x:c r="GL440">
        <x:f t="shared" si="511"/>
        <x:v>0</x:v>
      </x:c>
      <x:c r="GM440">
        <x:f t="shared" si="512"/>
        <x:v>0</x:v>
      </x:c>
      <x:c r="GN440">
        <x:f t="shared" si="513"/>
        <x:v>0</x:v>
      </x:c>
      <x:c r="GO440">
        <x:f t="shared" si="514"/>
        <x:v>0</x:v>
      </x:c>
      <x:c r="GP440">
        <x:f t="shared" si="515"/>
        <x:v>0</x:v>
      </x:c>
      <x:c r="GQ440">
        <x:f t="shared" si="516"/>
        <x:v>0</x:v>
      </x:c>
      <x:c r="GR440" s="42">
        <x:f t="shared" si="517"/>
        <x:v>0</x:v>
      </x:c>
      <x:c r="GS440">
        <x:f t="shared" si="518"/>
        <x:v>0</x:v>
      </x:c>
      <x:c r="GT440">
        <x:f t="shared" si="519"/>
        <x:v>0</x:v>
      </x:c>
      <x:c r="GU440">
        <x:f t="shared" si="520"/>
        <x:v>0</x:v>
      </x:c>
      <x:c r="GV440">
        <x:f t="shared" si="521"/>
        <x:v>0</x:v>
      </x:c>
      <x:c r="GW440">
        <x:f t="shared" si="522"/>
        <x:v>0</x:v>
      </x:c>
      <x:c r="GX440">
        <x:f t="shared" si="523"/>
        <x:v>0</x:v>
      </x:c>
      <x:c r="GY440">
        <x:f t="shared" si="524"/>
        <x:v>0</x:v>
      </x:c>
      <x:c r="GZ440">
        <x:f t="shared" si="525"/>
        <x:v>0</x:v>
      </x:c>
      <x:c r="HA440">
        <x:f t="shared" si="526"/>
        <x:v>0</x:v>
      </x:c>
      <x:c r="HB440" s="42">
        <x:f t="shared" si="527"/>
        <x:v>0</x:v>
      </x:c>
      <x:c r="HC440">
        <x:f t="shared" si="528"/>
        <x:v>0</x:v>
      </x:c>
      <x:c r="HD440">
        <x:f t="shared" si="529"/>
        <x:v>0</x:v>
      </x:c>
      <x:c r="HE440">
        <x:f t="shared" si="530"/>
        <x:v>0</x:v>
      </x:c>
      <x:c r="HF440">
        <x:f t="shared" si="531"/>
        <x:v>0</x:v>
      </x:c>
      <x:c r="HG440">
        <x:f t="shared" si="532"/>
        <x:v>0</x:v>
      </x:c>
      <x:c r="HH440">
        <x:f t="shared" si="533"/>
        <x:v>0</x:v>
      </x:c>
      <x:c r="HI440">
        <x:f t="shared" si="534"/>
        <x:v>0</x:v>
      </x:c>
      <x:c r="HJ440">
        <x:f t="shared" si="535"/>
        <x:v>0</x:v>
      </x:c>
      <x:c r="HK440">
        <x:f t="shared" si="536"/>
        <x:v>0</x:v>
      </x:c>
      <x:c r="HL440">
        <x:f t="shared" si="537"/>
        <x:v>0</x:v>
      </x:c>
    </x:row>
    <x:row r="441">
      <x:c r="D441" s="74"/>
      <x:c r="EQ441">
        <x:f t="shared" si="464"/>
        <x:v>0</x:v>
      </x:c>
      <x:c r="ER441">
        <x:f t="shared" si="465"/>
        <x:v>0</x:v>
      </x:c>
      <x:c r="ES441">
        <x:f t="shared" si="466"/>
        <x:v>0</x:v>
      </x:c>
      <x:c r="ET441">
        <x:f t="shared" si="467"/>
        <x:v>0</x:v>
      </x:c>
      <x:c r="EU441">
        <x:f t="shared" si="468"/>
        <x:v>0</x:v>
      </x:c>
      <x:c r="EV441">
        <x:f t="shared" si="469"/>
        <x:v>0</x:v>
      </x:c>
      <x:c r="EW441">
        <x:f t="shared" si="470"/>
        <x:v>0</x:v>
      </x:c>
      <x:c r="EX441">
        <x:f t="shared" si="471"/>
        <x:v>0</x:v>
      </x:c>
      <x:c r="EY441">
        <x:f t="shared" si="472"/>
        <x:v>0</x:v>
      </x:c>
      <x:c r="EZ441">
        <x:f t="shared" si="473"/>
        <x:v>0</x:v>
      </x:c>
      <x:c r="FA441" s="41">
        <x:f t="shared" si="474"/>
        <x:v>0</x:v>
      </x:c>
      <x:c r="FB441">
        <x:f t="shared" si="475"/>
        <x:v>0</x:v>
      </x:c>
      <x:c r="FC441">
        <x:f t="shared" si="476"/>
        <x:v>0</x:v>
      </x:c>
      <x:c r="FD441">
        <x:f t="shared" si="477"/>
        <x:v>0</x:v>
      </x:c>
      <x:c r="FE441">
        <x:f t="shared" si="478"/>
        <x:v>0</x:v>
      </x:c>
      <x:c r="FF441">
        <x:f t="shared" si="479"/>
        <x:v>0</x:v>
      </x:c>
      <x:c r="FG441">
        <x:f t="shared" si="480"/>
        <x:v>0</x:v>
      </x:c>
      <x:c r="FH441">
        <x:f t="shared" si="481"/>
        <x:v>0</x:v>
      </x:c>
      <x:c r="FI441">
        <x:f t="shared" si="482"/>
        <x:v>0</x:v>
      </x:c>
      <x:c r="FJ441">
        <x:f t="shared" si="483"/>
        <x:v>0</x:v>
      </x:c>
      <x:c r="FK441">
        <x:f t="shared" si="484"/>
        <x:v>0</x:v>
      </x:c>
      <x:c r="FL441" s="41">
        <x:f t="shared" si="485"/>
        <x:v>0</x:v>
      </x:c>
      <x:c r="FM441">
        <x:f t="shared" si="486"/>
        <x:v>0</x:v>
      </x:c>
      <x:c r="FN441">
        <x:f t="shared" si="487"/>
        <x:v>0</x:v>
      </x:c>
      <x:c r="FO441">
        <x:f t="shared" si="488"/>
        <x:v>0</x:v>
      </x:c>
      <x:c r="FP441">
        <x:f t="shared" si="489"/>
        <x:v>0</x:v>
      </x:c>
      <x:c r="FQ441">
        <x:f t="shared" si="490"/>
        <x:v>0</x:v>
      </x:c>
      <x:c r="FR441">
        <x:f t="shared" si="491"/>
        <x:v>0</x:v>
      </x:c>
      <x:c r="FS441">
        <x:f t="shared" si="492"/>
        <x:v>0</x:v>
      </x:c>
      <x:c r="FT441">
        <x:f t="shared" si="493"/>
        <x:v>0</x:v>
      </x:c>
      <x:c r="FU441">
        <x:f t="shared" si="494"/>
        <x:v>0</x:v>
      </x:c>
      <x:c r="FV441">
        <x:f t="shared" si="495"/>
        <x:v>0</x:v>
      </x:c>
      <x:c r="FW441" s="41">
        <x:f t="shared" si="496"/>
        <x:v>0</x:v>
      </x:c>
      <x:c r="FX441">
        <x:f t="shared" si="497"/>
        <x:v>0</x:v>
      </x:c>
      <x:c r="FY441">
        <x:f t="shared" si="498"/>
        <x:v>0</x:v>
      </x:c>
      <x:c r="FZ441">
        <x:f t="shared" si="499"/>
        <x:v>0</x:v>
      </x:c>
      <x:c r="GA441">
        <x:f t="shared" si="500"/>
        <x:v>0</x:v>
      </x:c>
      <x:c r="GB441">
        <x:f t="shared" si="501"/>
        <x:v>0</x:v>
      </x:c>
      <x:c r="GC441">
        <x:f t="shared" si="502"/>
        <x:v>0</x:v>
      </x:c>
      <x:c r="GD441">
        <x:f t="shared" si="503"/>
        <x:v>0</x:v>
      </x:c>
      <x:c r="GE441">
        <x:f t="shared" si="504"/>
        <x:v>0</x:v>
      </x:c>
      <x:c r="GF441">
        <x:f t="shared" si="505"/>
        <x:v>0</x:v>
      </x:c>
      <x:c r="GG441">
        <x:f t="shared" si="506"/>
        <x:v>0</x:v>
      </x:c>
      <x:c r="GH441">
        <x:f t="shared" si="507"/>
        <x:v>0</x:v>
      </x:c>
      <x:c r="GI441">
        <x:f t="shared" si="508"/>
        <x:v>0</x:v>
      </x:c>
      <x:c r="GJ441">
        <x:f t="shared" si="509"/>
        <x:v>0</x:v>
      </x:c>
      <x:c r="GK441">
        <x:f t="shared" si="510"/>
        <x:v>0</x:v>
      </x:c>
      <x:c r="GL441">
        <x:f t="shared" si="511"/>
        <x:v>0</x:v>
      </x:c>
      <x:c r="GM441">
        <x:f t="shared" si="512"/>
        <x:v>0</x:v>
      </x:c>
      <x:c r="GN441">
        <x:f t="shared" si="513"/>
        <x:v>0</x:v>
      </x:c>
      <x:c r="GO441">
        <x:f t="shared" si="514"/>
        <x:v>0</x:v>
      </x:c>
      <x:c r="GP441">
        <x:f t="shared" si="515"/>
        <x:v>0</x:v>
      </x:c>
      <x:c r="GQ441">
        <x:f t="shared" si="516"/>
        <x:v>0</x:v>
      </x:c>
      <x:c r="GR441" s="42">
        <x:f t="shared" si="517"/>
        <x:v>0</x:v>
      </x:c>
      <x:c r="GS441">
        <x:f t="shared" si="518"/>
        <x:v>0</x:v>
      </x:c>
      <x:c r="GT441">
        <x:f t="shared" si="519"/>
        <x:v>0</x:v>
      </x:c>
      <x:c r="GU441">
        <x:f t="shared" si="520"/>
        <x:v>0</x:v>
      </x:c>
      <x:c r="GV441">
        <x:f t="shared" si="521"/>
        <x:v>0</x:v>
      </x:c>
      <x:c r="GW441">
        <x:f t="shared" si="522"/>
        <x:v>0</x:v>
      </x:c>
      <x:c r="GX441">
        <x:f t="shared" si="523"/>
        <x:v>0</x:v>
      </x:c>
      <x:c r="GY441">
        <x:f t="shared" si="524"/>
        <x:v>0</x:v>
      </x:c>
      <x:c r="GZ441">
        <x:f t="shared" si="525"/>
        <x:v>0</x:v>
      </x:c>
      <x:c r="HA441">
        <x:f t="shared" si="526"/>
        <x:v>0</x:v>
      </x:c>
      <x:c r="HB441" s="42">
        <x:f t="shared" si="527"/>
        <x:v>0</x:v>
      </x:c>
      <x:c r="HC441">
        <x:f t="shared" si="528"/>
        <x:v>0</x:v>
      </x:c>
      <x:c r="HD441">
        <x:f t="shared" si="529"/>
        <x:v>0</x:v>
      </x:c>
      <x:c r="HE441">
        <x:f t="shared" si="530"/>
        <x:v>0</x:v>
      </x:c>
      <x:c r="HF441">
        <x:f t="shared" si="531"/>
        <x:v>0</x:v>
      </x:c>
      <x:c r="HG441">
        <x:f t="shared" si="532"/>
        <x:v>0</x:v>
      </x:c>
      <x:c r="HH441">
        <x:f t="shared" si="533"/>
        <x:v>0</x:v>
      </x:c>
      <x:c r="HI441">
        <x:f t="shared" si="534"/>
        <x:v>0</x:v>
      </x:c>
      <x:c r="HJ441">
        <x:f t="shared" si="535"/>
        <x:v>0</x:v>
      </x:c>
      <x:c r="HK441">
        <x:f t="shared" si="536"/>
        <x:v>0</x:v>
      </x:c>
      <x:c r="HL441">
        <x:f t="shared" si="537"/>
        <x:v>0</x:v>
      </x:c>
    </x:row>
    <x:row r="442">
      <x:c r="D442" s="74"/>
      <x:c r="EQ442">
        <x:f t="shared" si="464"/>
        <x:v>0</x:v>
      </x:c>
      <x:c r="ER442">
        <x:f t="shared" si="465"/>
        <x:v>0</x:v>
      </x:c>
      <x:c r="ES442">
        <x:f t="shared" si="466"/>
        <x:v>0</x:v>
      </x:c>
      <x:c r="ET442">
        <x:f t="shared" si="467"/>
        <x:v>0</x:v>
      </x:c>
      <x:c r="EU442">
        <x:f t="shared" si="468"/>
        <x:v>0</x:v>
      </x:c>
      <x:c r="EV442">
        <x:f t="shared" si="469"/>
        <x:v>0</x:v>
      </x:c>
      <x:c r="EW442">
        <x:f t="shared" si="470"/>
        <x:v>0</x:v>
      </x:c>
      <x:c r="EX442">
        <x:f t="shared" si="471"/>
        <x:v>0</x:v>
      </x:c>
      <x:c r="EY442">
        <x:f t="shared" si="472"/>
        <x:v>0</x:v>
      </x:c>
      <x:c r="EZ442">
        <x:f t="shared" si="473"/>
        <x:v>0</x:v>
      </x:c>
      <x:c r="FA442" s="41">
        <x:f t="shared" si="474"/>
        <x:v>0</x:v>
      </x:c>
      <x:c r="FB442">
        <x:f t="shared" si="475"/>
        <x:v>0</x:v>
      </x:c>
      <x:c r="FC442">
        <x:f t="shared" si="476"/>
        <x:v>0</x:v>
      </x:c>
      <x:c r="FD442">
        <x:f t="shared" si="477"/>
        <x:v>0</x:v>
      </x:c>
      <x:c r="FE442">
        <x:f t="shared" si="478"/>
        <x:v>0</x:v>
      </x:c>
      <x:c r="FF442">
        <x:f t="shared" si="479"/>
        <x:v>0</x:v>
      </x:c>
      <x:c r="FG442">
        <x:f t="shared" si="480"/>
        <x:v>0</x:v>
      </x:c>
      <x:c r="FH442">
        <x:f t="shared" si="481"/>
        <x:v>0</x:v>
      </x:c>
      <x:c r="FI442">
        <x:f t="shared" si="482"/>
        <x:v>0</x:v>
      </x:c>
      <x:c r="FJ442">
        <x:f t="shared" si="483"/>
        <x:v>0</x:v>
      </x:c>
      <x:c r="FK442">
        <x:f t="shared" si="484"/>
        <x:v>0</x:v>
      </x:c>
      <x:c r="FL442" s="41">
        <x:f t="shared" si="485"/>
        <x:v>0</x:v>
      </x:c>
      <x:c r="FM442">
        <x:f t="shared" si="486"/>
        <x:v>0</x:v>
      </x:c>
      <x:c r="FN442">
        <x:f t="shared" si="487"/>
        <x:v>0</x:v>
      </x:c>
      <x:c r="FO442">
        <x:f t="shared" si="488"/>
        <x:v>0</x:v>
      </x:c>
      <x:c r="FP442">
        <x:f t="shared" si="489"/>
        <x:v>0</x:v>
      </x:c>
      <x:c r="FQ442">
        <x:f t="shared" si="490"/>
        <x:v>0</x:v>
      </x:c>
      <x:c r="FR442">
        <x:f t="shared" si="491"/>
        <x:v>0</x:v>
      </x:c>
      <x:c r="FS442">
        <x:f t="shared" si="492"/>
        <x:v>0</x:v>
      </x:c>
      <x:c r="FT442">
        <x:f t="shared" si="493"/>
        <x:v>0</x:v>
      </x:c>
      <x:c r="FU442">
        <x:f t="shared" si="494"/>
        <x:v>0</x:v>
      </x:c>
      <x:c r="FV442">
        <x:f t="shared" si="495"/>
        <x:v>0</x:v>
      </x:c>
      <x:c r="FW442" s="41">
        <x:f t="shared" si="496"/>
        <x:v>0</x:v>
      </x:c>
      <x:c r="FX442">
        <x:f t="shared" si="497"/>
        <x:v>0</x:v>
      </x:c>
      <x:c r="FY442">
        <x:f t="shared" si="498"/>
        <x:v>0</x:v>
      </x:c>
      <x:c r="FZ442">
        <x:f t="shared" si="499"/>
        <x:v>0</x:v>
      </x:c>
      <x:c r="GA442">
        <x:f t="shared" si="500"/>
        <x:v>0</x:v>
      </x:c>
      <x:c r="GB442">
        <x:f t="shared" si="501"/>
        <x:v>0</x:v>
      </x:c>
      <x:c r="GC442">
        <x:f t="shared" si="502"/>
        <x:v>0</x:v>
      </x:c>
      <x:c r="GD442">
        <x:f t="shared" si="503"/>
        <x:v>0</x:v>
      </x:c>
      <x:c r="GE442">
        <x:f t="shared" si="504"/>
        <x:v>0</x:v>
      </x:c>
      <x:c r="GF442">
        <x:f t="shared" si="505"/>
        <x:v>0</x:v>
      </x:c>
      <x:c r="GG442">
        <x:f t="shared" si="506"/>
        <x:v>0</x:v>
      </x:c>
      <x:c r="GH442">
        <x:f t="shared" si="507"/>
        <x:v>0</x:v>
      </x:c>
      <x:c r="GI442">
        <x:f t="shared" si="508"/>
        <x:v>0</x:v>
      </x:c>
      <x:c r="GJ442">
        <x:f t="shared" si="509"/>
        <x:v>0</x:v>
      </x:c>
      <x:c r="GK442">
        <x:f t="shared" si="510"/>
        <x:v>0</x:v>
      </x:c>
      <x:c r="GL442">
        <x:f t="shared" si="511"/>
        <x:v>0</x:v>
      </x:c>
      <x:c r="GM442">
        <x:f t="shared" si="512"/>
        <x:v>0</x:v>
      </x:c>
      <x:c r="GN442">
        <x:f t="shared" si="513"/>
        <x:v>0</x:v>
      </x:c>
      <x:c r="GO442">
        <x:f t="shared" si="514"/>
        <x:v>0</x:v>
      </x:c>
      <x:c r="GP442">
        <x:f t="shared" si="515"/>
        <x:v>0</x:v>
      </x:c>
      <x:c r="GQ442">
        <x:f t="shared" si="516"/>
        <x:v>0</x:v>
      </x:c>
      <x:c r="GR442" s="42">
        <x:f t="shared" si="517"/>
        <x:v>0</x:v>
      </x:c>
      <x:c r="GS442">
        <x:f t="shared" si="518"/>
        <x:v>0</x:v>
      </x:c>
      <x:c r="GT442">
        <x:f t="shared" si="519"/>
        <x:v>0</x:v>
      </x:c>
      <x:c r="GU442">
        <x:f t="shared" si="520"/>
        <x:v>0</x:v>
      </x:c>
      <x:c r="GV442">
        <x:f t="shared" si="521"/>
        <x:v>0</x:v>
      </x:c>
      <x:c r="GW442">
        <x:f t="shared" si="522"/>
        <x:v>0</x:v>
      </x:c>
      <x:c r="GX442">
        <x:f t="shared" si="523"/>
        <x:v>0</x:v>
      </x:c>
      <x:c r="GY442">
        <x:f t="shared" si="524"/>
        <x:v>0</x:v>
      </x:c>
      <x:c r="GZ442">
        <x:f t="shared" si="525"/>
        <x:v>0</x:v>
      </x:c>
      <x:c r="HA442">
        <x:f t="shared" si="526"/>
        <x:v>0</x:v>
      </x:c>
      <x:c r="HB442" s="42">
        <x:f t="shared" si="527"/>
        <x:v>0</x:v>
      </x:c>
      <x:c r="HC442">
        <x:f t="shared" si="528"/>
        <x:v>0</x:v>
      </x:c>
      <x:c r="HD442">
        <x:f t="shared" si="529"/>
        <x:v>0</x:v>
      </x:c>
      <x:c r="HE442">
        <x:f t="shared" si="530"/>
        <x:v>0</x:v>
      </x:c>
      <x:c r="HF442">
        <x:f t="shared" si="531"/>
        <x:v>0</x:v>
      </x:c>
      <x:c r="HG442">
        <x:f t="shared" si="532"/>
        <x:v>0</x:v>
      </x:c>
      <x:c r="HH442">
        <x:f t="shared" si="533"/>
        <x:v>0</x:v>
      </x:c>
      <x:c r="HI442">
        <x:f t="shared" si="534"/>
        <x:v>0</x:v>
      </x:c>
      <x:c r="HJ442">
        <x:f t="shared" si="535"/>
        <x:v>0</x:v>
      </x:c>
      <x:c r="HK442">
        <x:f t="shared" si="536"/>
        <x:v>0</x:v>
      </x:c>
      <x:c r="HL442">
        <x:f t="shared" si="537"/>
        <x:v>0</x:v>
      </x:c>
    </x:row>
    <x:row r="443">
      <x:c r="D443" s="74"/>
      <x:c r="EQ443">
        <x:f t="shared" si="464"/>
        <x:v>0</x:v>
      </x:c>
      <x:c r="ER443">
        <x:f t="shared" si="465"/>
        <x:v>0</x:v>
      </x:c>
      <x:c r="ES443">
        <x:f t="shared" si="466"/>
        <x:v>0</x:v>
      </x:c>
      <x:c r="ET443">
        <x:f t="shared" si="467"/>
        <x:v>0</x:v>
      </x:c>
      <x:c r="EU443">
        <x:f t="shared" si="468"/>
        <x:v>0</x:v>
      </x:c>
      <x:c r="EV443">
        <x:f t="shared" si="469"/>
        <x:v>0</x:v>
      </x:c>
      <x:c r="EW443">
        <x:f t="shared" si="470"/>
        <x:v>0</x:v>
      </x:c>
      <x:c r="EX443">
        <x:f t="shared" si="471"/>
        <x:v>0</x:v>
      </x:c>
      <x:c r="EY443">
        <x:f t="shared" si="472"/>
        <x:v>0</x:v>
      </x:c>
      <x:c r="EZ443">
        <x:f t="shared" si="473"/>
        <x:v>0</x:v>
      </x:c>
      <x:c r="FA443" s="41">
        <x:f t="shared" si="474"/>
        <x:v>0</x:v>
      </x:c>
      <x:c r="FB443">
        <x:f t="shared" si="475"/>
        <x:v>0</x:v>
      </x:c>
      <x:c r="FC443">
        <x:f t="shared" si="476"/>
        <x:v>0</x:v>
      </x:c>
      <x:c r="FD443">
        <x:f t="shared" si="477"/>
        <x:v>0</x:v>
      </x:c>
      <x:c r="FE443">
        <x:f t="shared" si="478"/>
        <x:v>0</x:v>
      </x:c>
      <x:c r="FF443">
        <x:f t="shared" si="479"/>
        <x:v>0</x:v>
      </x:c>
      <x:c r="FG443">
        <x:f t="shared" si="480"/>
        <x:v>0</x:v>
      </x:c>
      <x:c r="FH443">
        <x:f t="shared" si="481"/>
        <x:v>0</x:v>
      </x:c>
      <x:c r="FI443">
        <x:f t="shared" si="482"/>
        <x:v>0</x:v>
      </x:c>
      <x:c r="FJ443">
        <x:f t="shared" si="483"/>
        <x:v>0</x:v>
      </x:c>
      <x:c r="FK443">
        <x:f t="shared" si="484"/>
        <x:v>0</x:v>
      </x:c>
      <x:c r="FL443" s="41">
        <x:f t="shared" si="485"/>
        <x:v>0</x:v>
      </x:c>
      <x:c r="FM443">
        <x:f t="shared" si="486"/>
        <x:v>0</x:v>
      </x:c>
      <x:c r="FN443">
        <x:f t="shared" si="487"/>
        <x:v>0</x:v>
      </x:c>
      <x:c r="FO443">
        <x:f t="shared" si="488"/>
        <x:v>0</x:v>
      </x:c>
      <x:c r="FP443">
        <x:f t="shared" si="489"/>
        <x:v>0</x:v>
      </x:c>
      <x:c r="FQ443">
        <x:f t="shared" si="490"/>
        <x:v>0</x:v>
      </x:c>
      <x:c r="FR443">
        <x:f t="shared" si="491"/>
        <x:v>0</x:v>
      </x:c>
      <x:c r="FS443">
        <x:f t="shared" si="492"/>
        <x:v>0</x:v>
      </x:c>
      <x:c r="FT443">
        <x:f t="shared" si="493"/>
        <x:v>0</x:v>
      </x:c>
      <x:c r="FU443">
        <x:f t="shared" si="494"/>
        <x:v>0</x:v>
      </x:c>
      <x:c r="FV443">
        <x:f t="shared" si="495"/>
        <x:v>0</x:v>
      </x:c>
      <x:c r="FW443" s="41">
        <x:f t="shared" si="496"/>
        <x:v>0</x:v>
      </x:c>
      <x:c r="FX443">
        <x:f t="shared" si="497"/>
        <x:v>0</x:v>
      </x:c>
      <x:c r="FY443">
        <x:f t="shared" si="498"/>
        <x:v>0</x:v>
      </x:c>
      <x:c r="FZ443">
        <x:f t="shared" si="499"/>
        <x:v>0</x:v>
      </x:c>
      <x:c r="GA443">
        <x:f t="shared" si="500"/>
        <x:v>0</x:v>
      </x:c>
      <x:c r="GB443">
        <x:f t="shared" si="501"/>
        <x:v>0</x:v>
      </x:c>
      <x:c r="GC443">
        <x:f t="shared" si="502"/>
        <x:v>0</x:v>
      </x:c>
      <x:c r="GD443">
        <x:f t="shared" si="503"/>
        <x:v>0</x:v>
      </x:c>
      <x:c r="GE443">
        <x:f t="shared" si="504"/>
        <x:v>0</x:v>
      </x:c>
      <x:c r="GF443">
        <x:f t="shared" si="505"/>
        <x:v>0</x:v>
      </x:c>
      <x:c r="GG443">
        <x:f t="shared" si="506"/>
        <x:v>0</x:v>
      </x:c>
      <x:c r="GH443">
        <x:f t="shared" si="507"/>
        <x:v>0</x:v>
      </x:c>
      <x:c r="GI443">
        <x:f t="shared" si="508"/>
        <x:v>0</x:v>
      </x:c>
      <x:c r="GJ443">
        <x:f t="shared" si="509"/>
        <x:v>0</x:v>
      </x:c>
      <x:c r="GK443">
        <x:f t="shared" si="510"/>
        <x:v>0</x:v>
      </x:c>
      <x:c r="GL443">
        <x:f t="shared" si="511"/>
        <x:v>0</x:v>
      </x:c>
      <x:c r="GM443">
        <x:f t="shared" si="512"/>
        <x:v>0</x:v>
      </x:c>
      <x:c r="GN443">
        <x:f t="shared" si="513"/>
        <x:v>0</x:v>
      </x:c>
      <x:c r="GO443">
        <x:f t="shared" si="514"/>
        <x:v>0</x:v>
      </x:c>
      <x:c r="GP443">
        <x:f t="shared" si="515"/>
        <x:v>0</x:v>
      </x:c>
      <x:c r="GQ443">
        <x:f t="shared" si="516"/>
        <x:v>0</x:v>
      </x:c>
      <x:c r="GR443" s="42">
        <x:f t="shared" si="517"/>
        <x:v>0</x:v>
      </x:c>
      <x:c r="GS443">
        <x:f t="shared" si="518"/>
        <x:v>0</x:v>
      </x:c>
      <x:c r="GT443">
        <x:f t="shared" si="519"/>
        <x:v>0</x:v>
      </x:c>
      <x:c r="GU443">
        <x:f t="shared" si="520"/>
        <x:v>0</x:v>
      </x:c>
      <x:c r="GV443">
        <x:f t="shared" si="521"/>
        <x:v>0</x:v>
      </x:c>
      <x:c r="GW443">
        <x:f t="shared" si="522"/>
        <x:v>0</x:v>
      </x:c>
      <x:c r="GX443">
        <x:f t="shared" si="523"/>
        <x:v>0</x:v>
      </x:c>
      <x:c r="GY443">
        <x:f t="shared" si="524"/>
        <x:v>0</x:v>
      </x:c>
      <x:c r="GZ443">
        <x:f t="shared" si="525"/>
        <x:v>0</x:v>
      </x:c>
      <x:c r="HA443">
        <x:f t="shared" si="526"/>
        <x:v>0</x:v>
      </x:c>
      <x:c r="HB443" s="42">
        <x:f t="shared" si="527"/>
        <x:v>0</x:v>
      </x:c>
      <x:c r="HC443">
        <x:f t="shared" si="528"/>
        <x:v>0</x:v>
      </x:c>
      <x:c r="HD443">
        <x:f t="shared" si="529"/>
        <x:v>0</x:v>
      </x:c>
      <x:c r="HE443">
        <x:f t="shared" si="530"/>
        <x:v>0</x:v>
      </x:c>
      <x:c r="HF443">
        <x:f t="shared" si="531"/>
        <x:v>0</x:v>
      </x:c>
      <x:c r="HG443">
        <x:f t="shared" si="532"/>
        <x:v>0</x:v>
      </x:c>
      <x:c r="HH443">
        <x:f t="shared" si="533"/>
        <x:v>0</x:v>
      </x:c>
      <x:c r="HI443">
        <x:f t="shared" si="534"/>
        <x:v>0</x:v>
      </x:c>
      <x:c r="HJ443">
        <x:f t="shared" si="535"/>
        <x:v>0</x:v>
      </x:c>
      <x:c r="HK443">
        <x:f t="shared" si="536"/>
        <x:v>0</x:v>
      </x:c>
      <x:c r="HL443">
        <x:f t="shared" si="537"/>
        <x:v>0</x:v>
      </x:c>
    </x:row>
    <x:row r="444">
      <x:c r="D444" s="74"/>
      <x:c r="EQ444">
        <x:f t="shared" si="464"/>
        <x:v>0</x:v>
      </x:c>
      <x:c r="ER444">
        <x:f t="shared" si="465"/>
        <x:v>0</x:v>
      </x:c>
      <x:c r="ES444">
        <x:f t="shared" si="466"/>
        <x:v>0</x:v>
      </x:c>
      <x:c r="ET444">
        <x:f t="shared" si="467"/>
        <x:v>0</x:v>
      </x:c>
      <x:c r="EU444">
        <x:f t="shared" si="468"/>
        <x:v>0</x:v>
      </x:c>
      <x:c r="EV444">
        <x:f t="shared" si="469"/>
        <x:v>0</x:v>
      </x:c>
      <x:c r="EW444">
        <x:f t="shared" si="470"/>
        <x:v>0</x:v>
      </x:c>
      <x:c r="EX444">
        <x:f t="shared" si="471"/>
        <x:v>0</x:v>
      </x:c>
      <x:c r="EY444">
        <x:f t="shared" si="472"/>
        <x:v>0</x:v>
      </x:c>
      <x:c r="EZ444">
        <x:f t="shared" si="473"/>
        <x:v>0</x:v>
      </x:c>
      <x:c r="FA444" s="41">
        <x:f t="shared" si="474"/>
        <x:v>0</x:v>
      </x:c>
      <x:c r="FB444">
        <x:f t="shared" si="475"/>
        <x:v>0</x:v>
      </x:c>
      <x:c r="FC444">
        <x:f t="shared" si="476"/>
        <x:v>0</x:v>
      </x:c>
      <x:c r="FD444">
        <x:f t="shared" si="477"/>
        <x:v>0</x:v>
      </x:c>
      <x:c r="FE444">
        <x:f t="shared" si="478"/>
        <x:v>0</x:v>
      </x:c>
      <x:c r="FF444">
        <x:f t="shared" si="479"/>
        <x:v>0</x:v>
      </x:c>
      <x:c r="FG444">
        <x:f t="shared" si="480"/>
        <x:v>0</x:v>
      </x:c>
      <x:c r="FH444">
        <x:f t="shared" si="481"/>
        <x:v>0</x:v>
      </x:c>
      <x:c r="FI444">
        <x:f t="shared" si="482"/>
        <x:v>0</x:v>
      </x:c>
      <x:c r="FJ444">
        <x:f t="shared" si="483"/>
        <x:v>0</x:v>
      </x:c>
      <x:c r="FK444">
        <x:f t="shared" si="484"/>
        <x:v>0</x:v>
      </x:c>
      <x:c r="FL444" s="41">
        <x:f t="shared" si="485"/>
        <x:v>0</x:v>
      </x:c>
      <x:c r="FM444">
        <x:f t="shared" si="486"/>
        <x:v>0</x:v>
      </x:c>
      <x:c r="FN444">
        <x:f t="shared" si="487"/>
        <x:v>0</x:v>
      </x:c>
      <x:c r="FO444">
        <x:f t="shared" si="488"/>
        <x:v>0</x:v>
      </x:c>
      <x:c r="FP444">
        <x:f t="shared" si="489"/>
        <x:v>0</x:v>
      </x:c>
      <x:c r="FQ444">
        <x:f t="shared" si="490"/>
        <x:v>0</x:v>
      </x:c>
      <x:c r="FR444">
        <x:f t="shared" si="491"/>
        <x:v>0</x:v>
      </x:c>
      <x:c r="FS444">
        <x:f t="shared" si="492"/>
        <x:v>0</x:v>
      </x:c>
      <x:c r="FT444">
        <x:f t="shared" si="493"/>
        <x:v>0</x:v>
      </x:c>
      <x:c r="FU444">
        <x:f t="shared" si="494"/>
        <x:v>0</x:v>
      </x:c>
      <x:c r="FV444">
        <x:f t="shared" si="495"/>
        <x:v>0</x:v>
      </x:c>
      <x:c r="FW444" s="41">
        <x:f t="shared" si="496"/>
        <x:v>0</x:v>
      </x:c>
      <x:c r="FX444">
        <x:f t="shared" si="497"/>
        <x:v>0</x:v>
      </x:c>
      <x:c r="FY444">
        <x:f t="shared" si="498"/>
        <x:v>0</x:v>
      </x:c>
      <x:c r="FZ444">
        <x:f t="shared" si="499"/>
        <x:v>0</x:v>
      </x:c>
      <x:c r="GA444">
        <x:f t="shared" si="500"/>
        <x:v>0</x:v>
      </x:c>
      <x:c r="GB444">
        <x:f t="shared" si="501"/>
        <x:v>0</x:v>
      </x:c>
      <x:c r="GC444">
        <x:f t="shared" si="502"/>
        <x:v>0</x:v>
      </x:c>
      <x:c r="GD444">
        <x:f t="shared" si="503"/>
        <x:v>0</x:v>
      </x:c>
      <x:c r="GE444">
        <x:f t="shared" si="504"/>
        <x:v>0</x:v>
      </x:c>
      <x:c r="GF444">
        <x:f t="shared" si="505"/>
        <x:v>0</x:v>
      </x:c>
      <x:c r="GG444">
        <x:f t="shared" si="506"/>
        <x:v>0</x:v>
      </x:c>
      <x:c r="GH444">
        <x:f t="shared" si="507"/>
        <x:v>0</x:v>
      </x:c>
      <x:c r="GI444">
        <x:f t="shared" si="508"/>
        <x:v>0</x:v>
      </x:c>
      <x:c r="GJ444">
        <x:f t="shared" si="509"/>
        <x:v>0</x:v>
      </x:c>
      <x:c r="GK444">
        <x:f t="shared" si="510"/>
        <x:v>0</x:v>
      </x:c>
      <x:c r="GL444">
        <x:f t="shared" si="511"/>
        <x:v>0</x:v>
      </x:c>
      <x:c r="GM444">
        <x:f t="shared" si="512"/>
        <x:v>0</x:v>
      </x:c>
      <x:c r="GN444">
        <x:f t="shared" si="513"/>
        <x:v>0</x:v>
      </x:c>
      <x:c r="GO444">
        <x:f t="shared" si="514"/>
        <x:v>0</x:v>
      </x:c>
      <x:c r="GP444">
        <x:f t="shared" si="515"/>
        <x:v>0</x:v>
      </x:c>
      <x:c r="GQ444">
        <x:f t="shared" si="516"/>
        <x:v>0</x:v>
      </x:c>
      <x:c r="GR444" s="42">
        <x:f t="shared" si="517"/>
        <x:v>0</x:v>
      </x:c>
      <x:c r="GS444">
        <x:f t="shared" si="518"/>
        <x:v>0</x:v>
      </x:c>
      <x:c r="GT444">
        <x:f t="shared" si="519"/>
        <x:v>0</x:v>
      </x:c>
      <x:c r="GU444">
        <x:f t="shared" si="520"/>
        <x:v>0</x:v>
      </x:c>
      <x:c r="GV444">
        <x:f t="shared" si="521"/>
        <x:v>0</x:v>
      </x:c>
      <x:c r="GW444">
        <x:f t="shared" si="522"/>
        <x:v>0</x:v>
      </x:c>
      <x:c r="GX444">
        <x:f t="shared" si="523"/>
        <x:v>0</x:v>
      </x:c>
      <x:c r="GY444">
        <x:f t="shared" si="524"/>
        <x:v>0</x:v>
      </x:c>
      <x:c r="GZ444">
        <x:f t="shared" si="525"/>
        <x:v>0</x:v>
      </x:c>
      <x:c r="HA444">
        <x:f t="shared" si="526"/>
        <x:v>0</x:v>
      </x:c>
      <x:c r="HB444" s="42">
        <x:f t="shared" si="527"/>
        <x:v>0</x:v>
      </x:c>
      <x:c r="HC444">
        <x:f t="shared" si="528"/>
        <x:v>0</x:v>
      </x:c>
      <x:c r="HD444">
        <x:f t="shared" si="529"/>
        <x:v>0</x:v>
      </x:c>
      <x:c r="HE444">
        <x:f t="shared" si="530"/>
        <x:v>0</x:v>
      </x:c>
      <x:c r="HF444">
        <x:f t="shared" si="531"/>
        <x:v>0</x:v>
      </x:c>
      <x:c r="HG444">
        <x:f t="shared" si="532"/>
        <x:v>0</x:v>
      </x:c>
      <x:c r="HH444">
        <x:f t="shared" si="533"/>
        <x:v>0</x:v>
      </x:c>
      <x:c r="HI444">
        <x:f t="shared" si="534"/>
        <x:v>0</x:v>
      </x:c>
      <x:c r="HJ444">
        <x:f t="shared" si="535"/>
        <x:v>0</x:v>
      </x:c>
      <x:c r="HK444">
        <x:f t="shared" si="536"/>
        <x:v>0</x:v>
      </x:c>
      <x:c r="HL444">
        <x:f t="shared" si="537"/>
        <x:v>0</x:v>
      </x:c>
    </x:row>
    <x:row r="445">
      <x:c r="D445" s="74"/>
      <x:c r="EQ445">
        <x:f t="shared" si="464"/>
        <x:v>0</x:v>
      </x:c>
      <x:c r="ER445">
        <x:f t="shared" si="465"/>
        <x:v>0</x:v>
      </x:c>
      <x:c r="ES445">
        <x:f t="shared" si="466"/>
        <x:v>0</x:v>
      </x:c>
      <x:c r="ET445">
        <x:f t="shared" si="467"/>
        <x:v>0</x:v>
      </x:c>
      <x:c r="EU445">
        <x:f t="shared" si="468"/>
        <x:v>0</x:v>
      </x:c>
      <x:c r="EV445">
        <x:f t="shared" si="469"/>
        <x:v>0</x:v>
      </x:c>
      <x:c r="EW445">
        <x:f t="shared" si="470"/>
        <x:v>0</x:v>
      </x:c>
      <x:c r="EX445">
        <x:f t="shared" si="471"/>
        <x:v>0</x:v>
      </x:c>
      <x:c r="EY445">
        <x:f t="shared" si="472"/>
        <x:v>0</x:v>
      </x:c>
      <x:c r="EZ445">
        <x:f t="shared" si="473"/>
        <x:v>0</x:v>
      </x:c>
      <x:c r="FA445" s="41">
        <x:f t="shared" si="474"/>
        <x:v>0</x:v>
      </x:c>
      <x:c r="FB445">
        <x:f t="shared" si="475"/>
        <x:v>0</x:v>
      </x:c>
      <x:c r="FC445">
        <x:f t="shared" si="476"/>
        <x:v>0</x:v>
      </x:c>
      <x:c r="FD445">
        <x:f t="shared" si="477"/>
        <x:v>0</x:v>
      </x:c>
      <x:c r="FE445">
        <x:f t="shared" si="478"/>
        <x:v>0</x:v>
      </x:c>
      <x:c r="FF445">
        <x:f t="shared" si="479"/>
        <x:v>0</x:v>
      </x:c>
      <x:c r="FG445">
        <x:f t="shared" si="480"/>
        <x:v>0</x:v>
      </x:c>
      <x:c r="FH445">
        <x:f t="shared" si="481"/>
        <x:v>0</x:v>
      </x:c>
      <x:c r="FI445">
        <x:f t="shared" si="482"/>
        <x:v>0</x:v>
      </x:c>
      <x:c r="FJ445">
        <x:f t="shared" si="483"/>
        <x:v>0</x:v>
      </x:c>
      <x:c r="FK445">
        <x:f t="shared" si="484"/>
        <x:v>0</x:v>
      </x:c>
      <x:c r="FL445" s="41">
        <x:f t="shared" si="485"/>
        <x:v>0</x:v>
      </x:c>
      <x:c r="FM445">
        <x:f t="shared" si="486"/>
        <x:v>0</x:v>
      </x:c>
      <x:c r="FN445">
        <x:f t="shared" si="487"/>
        <x:v>0</x:v>
      </x:c>
      <x:c r="FO445">
        <x:f t="shared" si="488"/>
        <x:v>0</x:v>
      </x:c>
      <x:c r="FP445">
        <x:f t="shared" si="489"/>
        <x:v>0</x:v>
      </x:c>
      <x:c r="FQ445">
        <x:f t="shared" si="490"/>
        <x:v>0</x:v>
      </x:c>
      <x:c r="FR445">
        <x:f t="shared" si="491"/>
        <x:v>0</x:v>
      </x:c>
      <x:c r="FS445">
        <x:f t="shared" si="492"/>
        <x:v>0</x:v>
      </x:c>
      <x:c r="FT445">
        <x:f t="shared" si="493"/>
        <x:v>0</x:v>
      </x:c>
      <x:c r="FU445">
        <x:f t="shared" si="494"/>
        <x:v>0</x:v>
      </x:c>
      <x:c r="FV445">
        <x:f t="shared" si="495"/>
        <x:v>0</x:v>
      </x:c>
      <x:c r="FW445" s="41">
        <x:f t="shared" si="496"/>
        <x:v>0</x:v>
      </x:c>
      <x:c r="FX445">
        <x:f t="shared" si="497"/>
        <x:v>0</x:v>
      </x:c>
      <x:c r="FY445">
        <x:f t="shared" si="498"/>
        <x:v>0</x:v>
      </x:c>
      <x:c r="FZ445">
        <x:f t="shared" si="499"/>
        <x:v>0</x:v>
      </x:c>
      <x:c r="GA445">
        <x:f t="shared" si="500"/>
        <x:v>0</x:v>
      </x:c>
      <x:c r="GB445">
        <x:f t="shared" si="501"/>
        <x:v>0</x:v>
      </x:c>
      <x:c r="GC445">
        <x:f t="shared" si="502"/>
        <x:v>0</x:v>
      </x:c>
      <x:c r="GD445">
        <x:f t="shared" si="503"/>
        <x:v>0</x:v>
      </x:c>
      <x:c r="GE445">
        <x:f t="shared" si="504"/>
        <x:v>0</x:v>
      </x:c>
      <x:c r="GF445">
        <x:f t="shared" si="505"/>
        <x:v>0</x:v>
      </x:c>
      <x:c r="GG445">
        <x:f t="shared" si="506"/>
        <x:v>0</x:v>
      </x:c>
      <x:c r="GH445">
        <x:f t="shared" si="507"/>
        <x:v>0</x:v>
      </x:c>
      <x:c r="GI445">
        <x:f t="shared" si="508"/>
        <x:v>0</x:v>
      </x:c>
      <x:c r="GJ445">
        <x:f t="shared" si="509"/>
        <x:v>0</x:v>
      </x:c>
      <x:c r="GK445">
        <x:f t="shared" si="510"/>
        <x:v>0</x:v>
      </x:c>
      <x:c r="GL445">
        <x:f t="shared" si="511"/>
        <x:v>0</x:v>
      </x:c>
      <x:c r="GM445">
        <x:f t="shared" si="512"/>
        <x:v>0</x:v>
      </x:c>
      <x:c r="GN445">
        <x:f t="shared" si="513"/>
        <x:v>0</x:v>
      </x:c>
      <x:c r="GO445">
        <x:f t="shared" si="514"/>
        <x:v>0</x:v>
      </x:c>
      <x:c r="GP445">
        <x:f t="shared" si="515"/>
        <x:v>0</x:v>
      </x:c>
      <x:c r="GQ445">
        <x:f t="shared" si="516"/>
        <x:v>0</x:v>
      </x:c>
      <x:c r="GR445" s="42">
        <x:f t="shared" si="517"/>
        <x:v>0</x:v>
      </x:c>
      <x:c r="GS445">
        <x:f t="shared" si="518"/>
        <x:v>0</x:v>
      </x:c>
      <x:c r="GT445">
        <x:f t="shared" si="519"/>
        <x:v>0</x:v>
      </x:c>
      <x:c r="GU445">
        <x:f t="shared" si="520"/>
        <x:v>0</x:v>
      </x:c>
      <x:c r="GV445">
        <x:f t="shared" si="521"/>
        <x:v>0</x:v>
      </x:c>
      <x:c r="GW445">
        <x:f t="shared" si="522"/>
        <x:v>0</x:v>
      </x:c>
      <x:c r="GX445">
        <x:f t="shared" si="523"/>
        <x:v>0</x:v>
      </x:c>
      <x:c r="GY445">
        <x:f t="shared" si="524"/>
        <x:v>0</x:v>
      </x:c>
      <x:c r="GZ445">
        <x:f t="shared" si="525"/>
        <x:v>0</x:v>
      </x:c>
      <x:c r="HA445">
        <x:f t="shared" si="526"/>
        <x:v>0</x:v>
      </x:c>
      <x:c r="HB445" s="42">
        <x:f t="shared" si="527"/>
        <x:v>0</x:v>
      </x:c>
      <x:c r="HC445">
        <x:f t="shared" si="528"/>
        <x:v>0</x:v>
      </x:c>
      <x:c r="HD445">
        <x:f t="shared" si="529"/>
        <x:v>0</x:v>
      </x:c>
      <x:c r="HE445">
        <x:f t="shared" si="530"/>
        <x:v>0</x:v>
      </x:c>
      <x:c r="HF445">
        <x:f t="shared" si="531"/>
        <x:v>0</x:v>
      </x:c>
      <x:c r="HG445">
        <x:f t="shared" si="532"/>
        <x:v>0</x:v>
      </x:c>
      <x:c r="HH445">
        <x:f t="shared" si="533"/>
        <x:v>0</x:v>
      </x:c>
      <x:c r="HI445">
        <x:f t="shared" si="534"/>
        <x:v>0</x:v>
      </x:c>
      <x:c r="HJ445">
        <x:f t="shared" si="535"/>
        <x:v>0</x:v>
      </x:c>
      <x:c r="HK445">
        <x:f t="shared" si="536"/>
        <x:v>0</x:v>
      </x:c>
      <x:c r="HL445">
        <x:f t="shared" si="537"/>
        <x:v>0</x:v>
      </x:c>
    </x:row>
    <x:row r="446">
      <x:c r="D446" s="74"/>
      <x:c r="EQ446">
        <x:f t="shared" si="464"/>
        <x:v>0</x:v>
      </x:c>
      <x:c r="ER446">
        <x:f t="shared" si="465"/>
        <x:v>0</x:v>
      </x:c>
      <x:c r="ES446">
        <x:f t="shared" si="466"/>
        <x:v>0</x:v>
      </x:c>
      <x:c r="ET446">
        <x:f t="shared" si="467"/>
        <x:v>0</x:v>
      </x:c>
      <x:c r="EU446">
        <x:f t="shared" si="468"/>
        <x:v>0</x:v>
      </x:c>
      <x:c r="EV446">
        <x:f t="shared" si="469"/>
        <x:v>0</x:v>
      </x:c>
      <x:c r="EW446">
        <x:f t="shared" si="470"/>
        <x:v>0</x:v>
      </x:c>
      <x:c r="EX446">
        <x:f t="shared" si="471"/>
        <x:v>0</x:v>
      </x:c>
      <x:c r="EY446">
        <x:f t="shared" si="472"/>
        <x:v>0</x:v>
      </x:c>
      <x:c r="EZ446">
        <x:f t="shared" si="473"/>
        <x:v>0</x:v>
      </x:c>
      <x:c r="FA446" s="41">
        <x:f t="shared" si="474"/>
        <x:v>0</x:v>
      </x:c>
      <x:c r="FB446">
        <x:f t="shared" si="475"/>
        <x:v>0</x:v>
      </x:c>
      <x:c r="FC446">
        <x:f t="shared" si="476"/>
        <x:v>0</x:v>
      </x:c>
      <x:c r="FD446">
        <x:f t="shared" si="477"/>
        <x:v>0</x:v>
      </x:c>
      <x:c r="FE446">
        <x:f t="shared" si="478"/>
        <x:v>0</x:v>
      </x:c>
      <x:c r="FF446">
        <x:f t="shared" si="479"/>
        <x:v>0</x:v>
      </x:c>
      <x:c r="FG446">
        <x:f t="shared" si="480"/>
        <x:v>0</x:v>
      </x:c>
      <x:c r="FH446">
        <x:f t="shared" si="481"/>
        <x:v>0</x:v>
      </x:c>
      <x:c r="FI446">
        <x:f t="shared" si="482"/>
        <x:v>0</x:v>
      </x:c>
      <x:c r="FJ446">
        <x:f t="shared" si="483"/>
        <x:v>0</x:v>
      </x:c>
      <x:c r="FK446">
        <x:f t="shared" si="484"/>
        <x:v>0</x:v>
      </x:c>
      <x:c r="FL446" s="41">
        <x:f t="shared" si="485"/>
        <x:v>0</x:v>
      </x:c>
      <x:c r="FM446">
        <x:f t="shared" si="486"/>
        <x:v>0</x:v>
      </x:c>
      <x:c r="FN446">
        <x:f t="shared" si="487"/>
        <x:v>0</x:v>
      </x:c>
      <x:c r="FO446">
        <x:f t="shared" si="488"/>
        <x:v>0</x:v>
      </x:c>
      <x:c r="FP446">
        <x:f t="shared" si="489"/>
        <x:v>0</x:v>
      </x:c>
      <x:c r="FQ446">
        <x:f t="shared" si="490"/>
        <x:v>0</x:v>
      </x:c>
      <x:c r="FR446">
        <x:f t="shared" si="491"/>
        <x:v>0</x:v>
      </x:c>
      <x:c r="FS446">
        <x:f t="shared" si="492"/>
        <x:v>0</x:v>
      </x:c>
      <x:c r="FT446">
        <x:f t="shared" si="493"/>
        <x:v>0</x:v>
      </x:c>
      <x:c r="FU446">
        <x:f t="shared" si="494"/>
        <x:v>0</x:v>
      </x:c>
      <x:c r="FV446">
        <x:f t="shared" si="495"/>
        <x:v>0</x:v>
      </x:c>
      <x:c r="FW446" s="41">
        <x:f t="shared" si="496"/>
        <x:v>0</x:v>
      </x:c>
      <x:c r="FX446">
        <x:f t="shared" si="497"/>
        <x:v>0</x:v>
      </x:c>
      <x:c r="FY446">
        <x:f t="shared" si="498"/>
        <x:v>0</x:v>
      </x:c>
      <x:c r="FZ446">
        <x:f t="shared" si="499"/>
        <x:v>0</x:v>
      </x:c>
      <x:c r="GA446">
        <x:f t="shared" si="500"/>
        <x:v>0</x:v>
      </x:c>
      <x:c r="GB446">
        <x:f t="shared" si="501"/>
        <x:v>0</x:v>
      </x:c>
      <x:c r="GC446">
        <x:f t="shared" si="502"/>
        <x:v>0</x:v>
      </x:c>
      <x:c r="GD446">
        <x:f t="shared" si="503"/>
        <x:v>0</x:v>
      </x:c>
      <x:c r="GE446">
        <x:f t="shared" si="504"/>
        <x:v>0</x:v>
      </x:c>
      <x:c r="GF446">
        <x:f t="shared" si="505"/>
        <x:v>0</x:v>
      </x:c>
      <x:c r="GG446">
        <x:f t="shared" si="506"/>
        <x:v>0</x:v>
      </x:c>
      <x:c r="GH446">
        <x:f t="shared" si="507"/>
        <x:v>0</x:v>
      </x:c>
      <x:c r="GI446">
        <x:f t="shared" si="508"/>
        <x:v>0</x:v>
      </x:c>
      <x:c r="GJ446">
        <x:f t="shared" si="509"/>
        <x:v>0</x:v>
      </x:c>
      <x:c r="GK446">
        <x:f t="shared" si="510"/>
        <x:v>0</x:v>
      </x:c>
      <x:c r="GL446">
        <x:f t="shared" si="511"/>
        <x:v>0</x:v>
      </x:c>
      <x:c r="GM446">
        <x:f t="shared" si="512"/>
        <x:v>0</x:v>
      </x:c>
      <x:c r="GN446">
        <x:f t="shared" si="513"/>
        <x:v>0</x:v>
      </x:c>
      <x:c r="GO446">
        <x:f t="shared" si="514"/>
        <x:v>0</x:v>
      </x:c>
      <x:c r="GP446">
        <x:f t="shared" si="515"/>
        <x:v>0</x:v>
      </x:c>
      <x:c r="GQ446">
        <x:f t="shared" si="516"/>
        <x:v>0</x:v>
      </x:c>
      <x:c r="GR446" s="42">
        <x:f t="shared" si="517"/>
        <x:v>0</x:v>
      </x:c>
      <x:c r="GS446">
        <x:f t="shared" si="518"/>
        <x:v>0</x:v>
      </x:c>
      <x:c r="GT446">
        <x:f t="shared" si="519"/>
        <x:v>0</x:v>
      </x:c>
      <x:c r="GU446">
        <x:f t="shared" si="520"/>
        <x:v>0</x:v>
      </x:c>
      <x:c r="GV446">
        <x:f t="shared" si="521"/>
        <x:v>0</x:v>
      </x:c>
      <x:c r="GW446">
        <x:f t="shared" si="522"/>
        <x:v>0</x:v>
      </x:c>
      <x:c r="GX446">
        <x:f t="shared" si="523"/>
        <x:v>0</x:v>
      </x:c>
      <x:c r="GY446">
        <x:f t="shared" si="524"/>
        <x:v>0</x:v>
      </x:c>
      <x:c r="GZ446">
        <x:f t="shared" si="525"/>
        <x:v>0</x:v>
      </x:c>
      <x:c r="HA446">
        <x:f t="shared" si="526"/>
        <x:v>0</x:v>
      </x:c>
      <x:c r="HB446" s="42">
        <x:f t="shared" si="527"/>
        <x:v>0</x:v>
      </x:c>
      <x:c r="HC446">
        <x:f t="shared" si="528"/>
        <x:v>0</x:v>
      </x:c>
      <x:c r="HD446">
        <x:f t="shared" si="529"/>
        <x:v>0</x:v>
      </x:c>
      <x:c r="HE446">
        <x:f t="shared" si="530"/>
        <x:v>0</x:v>
      </x:c>
      <x:c r="HF446">
        <x:f t="shared" si="531"/>
        <x:v>0</x:v>
      </x:c>
      <x:c r="HG446">
        <x:f t="shared" si="532"/>
        <x:v>0</x:v>
      </x:c>
      <x:c r="HH446">
        <x:f t="shared" si="533"/>
        <x:v>0</x:v>
      </x:c>
      <x:c r="HI446">
        <x:f t="shared" si="534"/>
        <x:v>0</x:v>
      </x:c>
      <x:c r="HJ446">
        <x:f t="shared" si="535"/>
        <x:v>0</x:v>
      </x:c>
      <x:c r="HK446">
        <x:f t="shared" si="536"/>
        <x:v>0</x:v>
      </x:c>
      <x:c r="HL446">
        <x:f t="shared" si="537"/>
        <x:v>0</x:v>
      </x:c>
    </x:row>
    <x:row r="447">
      <x:c r="D447" s="74"/>
      <x:c r="EQ447">
        <x:f t="shared" si="464"/>
        <x:v>0</x:v>
      </x:c>
      <x:c r="ER447">
        <x:f t="shared" si="465"/>
        <x:v>0</x:v>
      </x:c>
      <x:c r="ES447">
        <x:f t="shared" si="466"/>
        <x:v>0</x:v>
      </x:c>
      <x:c r="ET447">
        <x:f t="shared" si="467"/>
        <x:v>0</x:v>
      </x:c>
      <x:c r="EU447">
        <x:f t="shared" si="468"/>
        <x:v>0</x:v>
      </x:c>
      <x:c r="EV447">
        <x:f t="shared" si="469"/>
        <x:v>0</x:v>
      </x:c>
      <x:c r="EW447">
        <x:f t="shared" si="470"/>
        <x:v>0</x:v>
      </x:c>
      <x:c r="EX447">
        <x:f t="shared" si="471"/>
        <x:v>0</x:v>
      </x:c>
      <x:c r="EY447">
        <x:f t="shared" si="472"/>
        <x:v>0</x:v>
      </x:c>
      <x:c r="EZ447">
        <x:f t="shared" si="473"/>
        <x:v>0</x:v>
      </x:c>
      <x:c r="FA447" s="41">
        <x:f t="shared" si="474"/>
        <x:v>0</x:v>
      </x:c>
      <x:c r="FB447">
        <x:f t="shared" si="475"/>
        <x:v>0</x:v>
      </x:c>
      <x:c r="FC447">
        <x:f t="shared" si="476"/>
        <x:v>0</x:v>
      </x:c>
      <x:c r="FD447">
        <x:f t="shared" si="477"/>
        <x:v>0</x:v>
      </x:c>
      <x:c r="FE447">
        <x:f t="shared" si="478"/>
        <x:v>0</x:v>
      </x:c>
      <x:c r="FF447">
        <x:f t="shared" si="479"/>
        <x:v>0</x:v>
      </x:c>
      <x:c r="FG447">
        <x:f t="shared" si="480"/>
        <x:v>0</x:v>
      </x:c>
      <x:c r="FH447">
        <x:f t="shared" si="481"/>
        <x:v>0</x:v>
      </x:c>
      <x:c r="FI447">
        <x:f t="shared" si="482"/>
        <x:v>0</x:v>
      </x:c>
      <x:c r="FJ447">
        <x:f t="shared" si="483"/>
        <x:v>0</x:v>
      </x:c>
      <x:c r="FK447">
        <x:f t="shared" si="484"/>
        <x:v>0</x:v>
      </x:c>
      <x:c r="FL447" s="41">
        <x:f t="shared" si="485"/>
        <x:v>0</x:v>
      </x:c>
      <x:c r="FM447">
        <x:f t="shared" si="486"/>
        <x:v>0</x:v>
      </x:c>
      <x:c r="FN447">
        <x:f t="shared" si="487"/>
        <x:v>0</x:v>
      </x:c>
      <x:c r="FO447">
        <x:f t="shared" si="488"/>
        <x:v>0</x:v>
      </x:c>
      <x:c r="FP447">
        <x:f t="shared" si="489"/>
        <x:v>0</x:v>
      </x:c>
      <x:c r="FQ447">
        <x:f t="shared" si="490"/>
        <x:v>0</x:v>
      </x:c>
      <x:c r="FR447">
        <x:f t="shared" si="491"/>
        <x:v>0</x:v>
      </x:c>
      <x:c r="FS447">
        <x:f t="shared" si="492"/>
        <x:v>0</x:v>
      </x:c>
      <x:c r="FT447">
        <x:f t="shared" si="493"/>
        <x:v>0</x:v>
      </x:c>
      <x:c r="FU447">
        <x:f t="shared" si="494"/>
        <x:v>0</x:v>
      </x:c>
      <x:c r="FV447">
        <x:f t="shared" si="495"/>
        <x:v>0</x:v>
      </x:c>
      <x:c r="FW447" s="41">
        <x:f t="shared" si="496"/>
        <x:v>0</x:v>
      </x:c>
      <x:c r="FX447">
        <x:f t="shared" si="497"/>
        <x:v>0</x:v>
      </x:c>
      <x:c r="FY447">
        <x:f t="shared" si="498"/>
        <x:v>0</x:v>
      </x:c>
      <x:c r="FZ447">
        <x:f t="shared" si="499"/>
        <x:v>0</x:v>
      </x:c>
      <x:c r="GA447">
        <x:f t="shared" si="500"/>
        <x:v>0</x:v>
      </x:c>
      <x:c r="GB447">
        <x:f t="shared" si="501"/>
        <x:v>0</x:v>
      </x:c>
      <x:c r="GC447">
        <x:f t="shared" si="502"/>
        <x:v>0</x:v>
      </x:c>
      <x:c r="GD447">
        <x:f t="shared" si="503"/>
        <x:v>0</x:v>
      </x:c>
      <x:c r="GE447">
        <x:f t="shared" si="504"/>
        <x:v>0</x:v>
      </x:c>
      <x:c r="GF447">
        <x:f t="shared" si="505"/>
        <x:v>0</x:v>
      </x:c>
      <x:c r="GG447">
        <x:f t="shared" si="506"/>
        <x:v>0</x:v>
      </x:c>
      <x:c r="GH447">
        <x:f t="shared" si="507"/>
        <x:v>0</x:v>
      </x:c>
      <x:c r="GI447">
        <x:f t="shared" si="508"/>
        <x:v>0</x:v>
      </x:c>
      <x:c r="GJ447">
        <x:f t="shared" si="509"/>
        <x:v>0</x:v>
      </x:c>
      <x:c r="GK447">
        <x:f t="shared" si="510"/>
        <x:v>0</x:v>
      </x:c>
      <x:c r="GL447">
        <x:f t="shared" si="511"/>
        <x:v>0</x:v>
      </x:c>
      <x:c r="GM447">
        <x:f t="shared" si="512"/>
        <x:v>0</x:v>
      </x:c>
      <x:c r="GN447">
        <x:f t="shared" si="513"/>
        <x:v>0</x:v>
      </x:c>
      <x:c r="GO447">
        <x:f t="shared" si="514"/>
        <x:v>0</x:v>
      </x:c>
      <x:c r="GP447">
        <x:f t="shared" si="515"/>
        <x:v>0</x:v>
      </x:c>
      <x:c r="GQ447">
        <x:f t="shared" si="516"/>
        <x:v>0</x:v>
      </x:c>
      <x:c r="GR447" s="42">
        <x:f t="shared" si="517"/>
        <x:v>0</x:v>
      </x:c>
      <x:c r="GS447">
        <x:f t="shared" si="518"/>
        <x:v>0</x:v>
      </x:c>
      <x:c r="GT447">
        <x:f t="shared" si="519"/>
        <x:v>0</x:v>
      </x:c>
      <x:c r="GU447">
        <x:f t="shared" si="520"/>
        <x:v>0</x:v>
      </x:c>
      <x:c r="GV447">
        <x:f t="shared" si="521"/>
        <x:v>0</x:v>
      </x:c>
      <x:c r="GW447">
        <x:f t="shared" si="522"/>
        <x:v>0</x:v>
      </x:c>
      <x:c r="GX447">
        <x:f t="shared" si="523"/>
        <x:v>0</x:v>
      </x:c>
      <x:c r="GY447">
        <x:f t="shared" si="524"/>
        <x:v>0</x:v>
      </x:c>
      <x:c r="GZ447">
        <x:f t="shared" si="525"/>
        <x:v>0</x:v>
      </x:c>
      <x:c r="HA447">
        <x:f t="shared" si="526"/>
        <x:v>0</x:v>
      </x:c>
      <x:c r="HB447" s="42">
        <x:f t="shared" si="527"/>
        <x:v>0</x:v>
      </x:c>
      <x:c r="HC447">
        <x:f t="shared" si="528"/>
        <x:v>0</x:v>
      </x:c>
      <x:c r="HD447">
        <x:f t="shared" si="529"/>
        <x:v>0</x:v>
      </x:c>
      <x:c r="HE447">
        <x:f t="shared" si="530"/>
        <x:v>0</x:v>
      </x:c>
      <x:c r="HF447">
        <x:f t="shared" si="531"/>
        <x:v>0</x:v>
      </x:c>
      <x:c r="HG447">
        <x:f t="shared" si="532"/>
        <x:v>0</x:v>
      </x:c>
      <x:c r="HH447">
        <x:f t="shared" si="533"/>
        <x:v>0</x:v>
      </x:c>
      <x:c r="HI447">
        <x:f t="shared" si="534"/>
        <x:v>0</x:v>
      </x:c>
      <x:c r="HJ447">
        <x:f t="shared" si="535"/>
        <x:v>0</x:v>
      </x:c>
      <x:c r="HK447">
        <x:f t="shared" si="536"/>
        <x:v>0</x:v>
      </x:c>
      <x:c r="HL447">
        <x:f t="shared" si="537"/>
        <x:v>0</x:v>
      </x:c>
    </x:row>
    <x:row r="448">
      <x:c r="D448" s="74"/>
      <x:c r="EQ448">
        <x:f t="shared" si="464"/>
        <x:v>0</x:v>
      </x:c>
      <x:c r="ER448">
        <x:f t="shared" si="465"/>
        <x:v>0</x:v>
      </x:c>
      <x:c r="ES448">
        <x:f t="shared" si="466"/>
        <x:v>0</x:v>
      </x:c>
      <x:c r="ET448">
        <x:f t="shared" si="467"/>
        <x:v>0</x:v>
      </x:c>
      <x:c r="EU448">
        <x:f t="shared" si="468"/>
        <x:v>0</x:v>
      </x:c>
      <x:c r="EV448">
        <x:f t="shared" si="469"/>
        <x:v>0</x:v>
      </x:c>
      <x:c r="EW448">
        <x:f t="shared" si="470"/>
        <x:v>0</x:v>
      </x:c>
      <x:c r="EX448">
        <x:f t="shared" si="471"/>
        <x:v>0</x:v>
      </x:c>
      <x:c r="EY448">
        <x:f t="shared" si="472"/>
        <x:v>0</x:v>
      </x:c>
      <x:c r="EZ448">
        <x:f t="shared" si="473"/>
        <x:v>0</x:v>
      </x:c>
      <x:c r="FA448" s="41">
        <x:f t="shared" si="474"/>
        <x:v>0</x:v>
      </x:c>
      <x:c r="FB448">
        <x:f t="shared" si="475"/>
        <x:v>0</x:v>
      </x:c>
      <x:c r="FC448">
        <x:f t="shared" si="476"/>
        <x:v>0</x:v>
      </x:c>
      <x:c r="FD448">
        <x:f t="shared" si="477"/>
        <x:v>0</x:v>
      </x:c>
      <x:c r="FE448">
        <x:f t="shared" si="478"/>
        <x:v>0</x:v>
      </x:c>
      <x:c r="FF448">
        <x:f t="shared" si="479"/>
        <x:v>0</x:v>
      </x:c>
      <x:c r="FG448">
        <x:f t="shared" si="480"/>
        <x:v>0</x:v>
      </x:c>
      <x:c r="FH448">
        <x:f t="shared" si="481"/>
        <x:v>0</x:v>
      </x:c>
      <x:c r="FI448">
        <x:f t="shared" si="482"/>
        <x:v>0</x:v>
      </x:c>
      <x:c r="FJ448">
        <x:f t="shared" si="483"/>
        <x:v>0</x:v>
      </x:c>
      <x:c r="FK448">
        <x:f t="shared" si="484"/>
        <x:v>0</x:v>
      </x:c>
      <x:c r="FL448" s="41">
        <x:f t="shared" si="485"/>
        <x:v>0</x:v>
      </x:c>
      <x:c r="FM448">
        <x:f t="shared" si="486"/>
        <x:v>0</x:v>
      </x:c>
      <x:c r="FN448">
        <x:f t="shared" si="487"/>
        <x:v>0</x:v>
      </x:c>
      <x:c r="FO448">
        <x:f t="shared" si="488"/>
        <x:v>0</x:v>
      </x:c>
      <x:c r="FP448">
        <x:f t="shared" si="489"/>
        <x:v>0</x:v>
      </x:c>
      <x:c r="FQ448">
        <x:f t="shared" si="490"/>
        <x:v>0</x:v>
      </x:c>
      <x:c r="FR448">
        <x:f t="shared" si="491"/>
        <x:v>0</x:v>
      </x:c>
      <x:c r="FS448">
        <x:f t="shared" si="492"/>
        <x:v>0</x:v>
      </x:c>
      <x:c r="FT448">
        <x:f t="shared" si="493"/>
        <x:v>0</x:v>
      </x:c>
      <x:c r="FU448">
        <x:f t="shared" si="494"/>
        <x:v>0</x:v>
      </x:c>
      <x:c r="FV448">
        <x:f t="shared" si="495"/>
        <x:v>0</x:v>
      </x:c>
      <x:c r="FW448" s="41">
        <x:f t="shared" si="496"/>
        <x:v>0</x:v>
      </x:c>
      <x:c r="FX448">
        <x:f t="shared" si="497"/>
        <x:v>0</x:v>
      </x:c>
      <x:c r="FY448">
        <x:f t="shared" si="498"/>
        <x:v>0</x:v>
      </x:c>
      <x:c r="FZ448">
        <x:f t="shared" si="499"/>
        <x:v>0</x:v>
      </x:c>
      <x:c r="GA448">
        <x:f t="shared" si="500"/>
        <x:v>0</x:v>
      </x:c>
      <x:c r="GB448">
        <x:f t="shared" si="501"/>
        <x:v>0</x:v>
      </x:c>
      <x:c r="GC448">
        <x:f t="shared" si="502"/>
        <x:v>0</x:v>
      </x:c>
      <x:c r="GD448">
        <x:f t="shared" si="503"/>
        <x:v>0</x:v>
      </x:c>
      <x:c r="GE448">
        <x:f t="shared" si="504"/>
        <x:v>0</x:v>
      </x:c>
      <x:c r="GF448">
        <x:f t="shared" si="505"/>
        <x:v>0</x:v>
      </x:c>
      <x:c r="GG448">
        <x:f t="shared" si="506"/>
        <x:v>0</x:v>
      </x:c>
      <x:c r="GH448">
        <x:f t="shared" si="507"/>
        <x:v>0</x:v>
      </x:c>
      <x:c r="GI448">
        <x:f t="shared" si="508"/>
        <x:v>0</x:v>
      </x:c>
      <x:c r="GJ448">
        <x:f t="shared" si="509"/>
        <x:v>0</x:v>
      </x:c>
      <x:c r="GK448">
        <x:f t="shared" si="510"/>
        <x:v>0</x:v>
      </x:c>
      <x:c r="GL448">
        <x:f t="shared" si="511"/>
        <x:v>0</x:v>
      </x:c>
      <x:c r="GM448">
        <x:f t="shared" si="512"/>
        <x:v>0</x:v>
      </x:c>
      <x:c r="GN448">
        <x:f t="shared" si="513"/>
        <x:v>0</x:v>
      </x:c>
      <x:c r="GO448">
        <x:f t="shared" si="514"/>
        <x:v>0</x:v>
      </x:c>
      <x:c r="GP448">
        <x:f t="shared" si="515"/>
        <x:v>0</x:v>
      </x:c>
      <x:c r="GQ448">
        <x:f t="shared" si="516"/>
        <x:v>0</x:v>
      </x:c>
      <x:c r="GR448" s="42">
        <x:f t="shared" si="517"/>
        <x:v>0</x:v>
      </x:c>
      <x:c r="GS448">
        <x:f t="shared" si="518"/>
        <x:v>0</x:v>
      </x:c>
      <x:c r="GT448">
        <x:f t="shared" si="519"/>
        <x:v>0</x:v>
      </x:c>
      <x:c r="GU448">
        <x:f t="shared" si="520"/>
        <x:v>0</x:v>
      </x:c>
      <x:c r="GV448">
        <x:f t="shared" si="521"/>
        <x:v>0</x:v>
      </x:c>
      <x:c r="GW448">
        <x:f t="shared" si="522"/>
        <x:v>0</x:v>
      </x:c>
      <x:c r="GX448">
        <x:f t="shared" si="523"/>
        <x:v>0</x:v>
      </x:c>
      <x:c r="GY448">
        <x:f t="shared" si="524"/>
        <x:v>0</x:v>
      </x:c>
      <x:c r="GZ448">
        <x:f t="shared" si="525"/>
        <x:v>0</x:v>
      </x:c>
      <x:c r="HA448">
        <x:f t="shared" si="526"/>
        <x:v>0</x:v>
      </x:c>
      <x:c r="HB448" s="42">
        <x:f t="shared" si="527"/>
        <x:v>0</x:v>
      </x:c>
      <x:c r="HC448">
        <x:f t="shared" si="528"/>
        <x:v>0</x:v>
      </x:c>
      <x:c r="HD448">
        <x:f t="shared" si="529"/>
        <x:v>0</x:v>
      </x:c>
      <x:c r="HE448">
        <x:f t="shared" si="530"/>
        <x:v>0</x:v>
      </x:c>
      <x:c r="HF448">
        <x:f t="shared" si="531"/>
        <x:v>0</x:v>
      </x:c>
      <x:c r="HG448">
        <x:f t="shared" si="532"/>
        <x:v>0</x:v>
      </x:c>
      <x:c r="HH448">
        <x:f t="shared" si="533"/>
        <x:v>0</x:v>
      </x:c>
      <x:c r="HI448">
        <x:f t="shared" si="534"/>
        <x:v>0</x:v>
      </x:c>
      <x:c r="HJ448">
        <x:f t="shared" si="535"/>
        <x:v>0</x:v>
      </x:c>
      <x:c r="HK448">
        <x:f t="shared" si="536"/>
        <x:v>0</x:v>
      </x:c>
      <x:c r="HL448">
        <x:f t="shared" si="537"/>
        <x:v>0</x:v>
      </x:c>
    </x:row>
    <x:row r="449">
      <x:c r="D449" s="74"/>
      <x:c r="EQ449">
        <x:f t="shared" si="464"/>
        <x:v>0</x:v>
      </x:c>
      <x:c r="ER449">
        <x:f t="shared" si="465"/>
        <x:v>0</x:v>
      </x:c>
      <x:c r="ES449">
        <x:f t="shared" si="466"/>
        <x:v>0</x:v>
      </x:c>
      <x:c r="ET449">
        <x:f t="shared" si="467"/>
        <x:v>0</x:v>
      </x:c>
      <x:c r="EU449">
        <x:f t="shared" si="468"/>
        <x:v>0</x:v>
      </x:c>
      <x:c r="EV449">
        <x:f t="shared" si="469"/>
        <x:v>0</x:v>
      </x:c>
      <x:c r="EW449">
        <x:f t="shared" si="470"/>
        <x:v>0</x:v>
      </x:c>
      <x:c r="EX449">
        <x:f t="shared" si="471"/>
        <x:v>0</x:v>
      </x:c>
      <x:c r="EY449">
        <x:f t="shared" si="472"/>
        <x:v>0</x:v>
      </x:c>
      <x:c r="EZ449">
        <x:f t="shared" si="473"/>
        <x:v>0</x:v>
      </x:c>
      <x:c r="FA449" s="41">
        <x:f t="shared" si="474"/>
        <x:v>0</x:v>
      </x:c>
      <x:c r="FB449">
        <x:f t="shared" si="475"/>
        <x:v>0</x:v>
      </x:c>
      <x:c r="FC449">
        <x:f t="shared" si="476"/>
        <x:v>0</x:v>
      </x:c>
      <x:c r="FD449">
        <x:f t="shared" si="477"/>
        <x:v>0</x:v>
      </x:c>
      <x:c r="FE449">
        <x:f t="shared" si="478"/>
        <x:v>0</x:v>
      </x:c>
      <x:c r="FF449">
        <x:f t="shared" si="479"/>
        <x:v>0</x:v>
      </x:c>
      <x:c r="FG449">
        <x:f t="shared" si="480"/>
        <x:v>0</x:v>
      </x:c>
      <x:c r="FH449">
        <x:f t="shared" si="481"/>
        <x:v>0</x:v>
      </x:c>
      <x:c r="FI449">
        <x:f t="shared" si="482"/>
        <x:v>0</x:v>
      </x:c>
      <x:c r="FJ449">
        <x:f t="shared" si="483"/>
        <x:v>0</x:v>
      </x:c>
      <x:c r="FK449">
        <x:f t="shared" si="484"/>
        <x:v>0</x:v>
      </x:c>
      <x:c r="FL449" s="41">
        <x:f t="shared" si="485"/>
        <x:v>0</x:v>
      </x:c>
      <x:c r="FM449">
        <x:f t="shared" si="486"/>
        <x:v>0</x:v>
      </x:c>
      <x:c r="FN449">
        <x:f t="shared" si="487"/>
        <x:v>0</x:v>
      </x:c>
      <x:c r="FO449">
        <x:f t="shared" si="488"/>
        <x:v>0</x:v>
      </x:c>
      <x:c r="FP449">
        <x:f t="shared" si="489"/>
        <x:v>0</x:v>
      </x:c>
      <x:c r="FQ449">
        <x:f t="shared" si="490"/>
        <x:v>0</x:v>
      </x:c>
      <x:c r="FR449">
        <x:f t="shared" si="491"/>
        <x:v>0</x:v>
      </x:c>
      <x:c r="FS449">
        <x:f t="shared" si="492"/>
        <x:v>0</x:v>
      </x:c>
      <x:c r="FT449">
        <x:f t="shared" si="493"/>
        <x:v>0</x:v>
      </x:c>
      <x:c r="FU449">
        <x:f t="shared" si="494"/>
        <x:v>0</x:v>
      </x:c>
      <x:c r="FV449">
        <x:f t="shared" si="495"/>
        <x:v>0</x:v>
      </x:c>
      <x:c r="FW449" s="41">
        <x:f t="shared" si="496"/>
        <x:v>0</x:v>
      </x:c>
      <x:c r="FX449">
        <x:f t="shared" si="497"/>
        <x:v>0</x:v>
      </x:c>
      <x:c r="FY449">
        <x:f t="shared" si="498"/>
        <x:v>0</x:v>
      </x:c>
      <x:c r="FZ449">
        <x:f t="shared" si="499"/>
        <x:v>0</x:v>
      </x:c>
      <x:c r="GA449">
        <x:f t="shared" si="500"/>
        <x:v>0</x:v>
      </x:c>
      <x:c r="GB449">
        <x:f t="shared" si="501"/>
        <x:v>0</x:v>
      </x:c>
      <x:c r="GC449">
        <x:f t="shared" si="502"/>
        <x:v>0</x:v>
      </x:c>
      <x:c r="GD449">
        <x:f t="shared" si="503"/>
        <x:v>0</x:v>
      </x:c>
      <x:c r="GE449">
        <x:f t="shared" si="504"/>
        <x:v>0</x:v>
      </x:c>
      <x:c r="GF449">
        <x:f t="shared" si="505"/>
        <x:v>0</x:v>
      </x:c>
      <x:c r="GG449">
        <x:f t="shared" si="506"/>
        <x:v>0</x:v>
      </x:c>
      <x:c r="GH449">
        <x:f t="shared" si="507"/>
        <x:v>0</x:v>
      </x:c>
      <x:c r="GI449">
        <x:f t="shared" si="508"/>
        <x:v>0</x:v>
      </x:c>
      <x:c r="GJ449">
        <x:f t="shared" si="509"/>
        <x:v>0</x:v>
      </x:c>
      <x:c r="GK449">
        <x:f t="shared" si="510"/>
        <x:v>0</x:v>
      </x:c>
      <x:c r="GL449">
        <x:f t="shared" si="511"/>
        <x:v>0</x:v>
      </x:c>
      <x:c r="GM449">
        <x:f t="shared" si="512"/>
        <x:v>0</x:v>
      </x:c>
      <x:c r="GN449">
        <x:f t="shared" si="513"/>
        <x:v>0</x:v>
      </x:c>
      <x:c r="GO449">
        <x:f t="shared" si="514"/>
        <x:v>0</x:v>
      </x:c>
      <x:c r="GP449">
        <x:f t="shared" si="515"/>
        <x:v>0</x:v>
      </x:c>
      <x:c r="GQ449">
        <x:f t="shared" si="516"/>
        <x:v>0</x:v>
      </x:c>
      <x:c r="GR449" s="42">
        <x:f t="shared" si="517"/>
        <x:v>0</x:v>
      </x:c>
      <x:c r="GS449">
        <x:f t="shared" si="518"/>
        <x:v>0</x:v>
      </x:c>
      <x:c r="GT449">
        <x:f t="shared" si="519"/>
        <x:v>0</x:v>
      </x:c>
      <x:c r="GU449">
        <x:f t="shared" si="520"/>
        <x:v>0</x:v>
      </x:c>
      <x:c r="GV449">
        <x:f t="shared" si="521"/>
        <x:v>0</x:v>
      </x:c>
      <x:c r="GW449">
        <x:f t="shared" si="522"/>
        <x:v>0</x:v>
      </x:c>
      <x:c r="GX449">
        <x:f t="shared" si="523"/>
        <x:v>0</x:v>
      </x:c>
      <x:c r="GY449">
        <x:f t="shared" si="524"/>
        <x:v>0</x:v>
      </x:c>
      <x:c r="GZ449">
        <x:f t="shared" si="525"/>
        <x:v>0</x:v>
      </x:c>
      <x:c r="HA449">
        <x:f t="shared" si="526"/>
        <x:v>0</x:v>
      </x:c>
      <x:c r="HB449" s="42">
        <x:f t="shared" si="527"/>
        <x:v>0</x:v>
      </x:c>
      <x:c r="HC449">
        <x:f t="shared" si="528"/>
        <x:v>0</x:v>
      </x:c>
      <x:c r="HD449">
        <x:f t="shared" si="529"/>
        <x:v>0</x:v>
      </x:c>
      <x:c r="HE449">
        <x:f t="shared" si="530"/>
        <x:v>0</x:v>
      </x:c>
      <x:c r="HF449">
        <x:f t="shared" si="531"/>
        <x:v>0</x:v>
      </x:c>
      <x:c r="HG449">
        <x:f t="shared" si="532"/>
        <x:v>0</x:v>
      </x:c>
      <x:c r="HH449">
        <x:f t="shared" si="533"/>
        <x:v>0</x:v>
      </x:c>
      <x:c r="HI449">
        <x:f t="shared" si="534"/>
        <x:v>0</x:v>
      </x:c>
      <x:c r="HJ449">
        <x:f t="shared" si="535"/>
        <x:v>0</x:v>
      </x:c>
      <x:c r="HK449">
        <x:f t="shared" si="536"/>
        <x:v>0</x:v>
      </x:c>
      <x:c r="HL449">
        <x:f t="shared" si="537"/>
        <x:v>0</x:v>
      </x:c>
    </x:row>
    <x:row r="450">
      <x:c r="D450" s="74"/>
      <x:c r="EQ450">
        <x:f t="shared" si="464"/>
        <x:v>0</x:v>
      </x:c>
      <x:c r="ER450">
        <x:f t="shared" si="465"/>
        <x:v>0</x:v>
      </x:c>
      <x:c r="ES450">
        <x:f t="shared" si="466"/>
        <x:v>0</x:v>
      </x:c>
      <x:c r="ET450">
        <x:f t="shared" si="467"/>
        <x:v>0</x:v>
      </x:c>
      <x:c r="EU450">
        <x:f t="shared" si="468"/>
        <x:v>0</x:v>
      </x:c>
      <x:c r="EV450">
        <x:f t="shared" si="469"/>
        <x:v>0</x:v>
      </x:c>
      <x:c r="EW450">
        <x:f t="shared" si="470"/>
        <x:v>0</x:v>
      </x:c>
      <x:c r="EX450">
        <x:f t="shared" si="471"/>
        <x:v>0</x:v>
      </x:c>
      <x:c r="EY450">
        <x:f t="shared" si="472"/>
        <x:v>0</x:v>
      </x:c>
      <x:c r="EZ450">
        <x:f t="shared" si="473"/>
        <x:v>0</x:v>
      </x:c>
      <x:c r="FA450" s="41">
        <x:f t="shared" si="474"/>
        <x:v>0</x:v>
      </x:c>
      <x:c r="FB450">
        <x:f t="shared" si="475"/>
        <x:v>0</x:v>
      </x:c>
      <x:c r="FC450">
        <x:f t="shared" si="476"/>
        <x:v>0</x:v>
      </x:c>
      <x:c r="FD450">
        <x:f t="shared" si="477"/>
        <x:v>0</x:v>
      </x:c>
      <x:c r="FE450">
        <x:f t="shared" si="478"/>
        <x:v>0</x:v>
      </x:c>
      <x:c r="FF450">
        <x:f t="shared" si="479"/>
        <x:v>0</x:v>
      </x:c>
      <x:c r="FG450">
        <x:f t="shared" si="480"/>
        <x:v>0</x:v>
      </x:c>
      <x:c r="FH450">
        <x:f t="shared" si="481"/>
        <x:v>0</x:v>
      </x:c>
      <x:c r="FI450">
        <x:f t="shared" si="482"/>
        <x:v>0</x:v>
      </x:c>
      <x:c r="FJ450">
        <x:f t="shared" si="483"/>
        <x:v>0</x:v>
      </x:c>
      <x:c r="FK450">
        <x:f t="shared" si="484"/>
        <x:v>0</x:v>
      </x:c>
      <x:c r="FL450" s="41">
        <x:f t="shared" si="485"/>
        <x:v>0</x:v>
      </x:c>
      <x:c r="FM450">
        <x:f t="shared" si="486"/>
        <x:v>0</x:v>
      </x:c>
      <x:c r="FN450">
        <x:f t="shared" si="487"/>
        <x:v>0</x:v>
      </x:c>
      <x:c r="FO450">
        <x:f t="shared" si="488"/>
        <x:v>0</x:v>
      </x:c>
      <x:c r="FP450">
        <x:f t="shared" si="489"/>
        <x:v>0</x:v>
      </x:c>
      <x:c r="FQ450">
        <x:f t="shared" si="490"/>
        <x:v>0</x:v>
      </x:c>
      <x:c r="FR450">
        <x:f t="shared" si="491"/>
        <x:v>0</x:v>
      </x:c>
      <x:c r="FS450">
        <x:f t="shared" si="492"/>
        <x:v>0</x:v>
      </x:c>
      <x:c r="FT450">
        <x:f t="shared" si="493"/>
        <x:v>0</x:v>
      </x:c>
      <x:c r="FU450">
        <x:f t="shared" si="494"/>
        <x:v>0</x:v>
      </x:c>
      <x:c r="FV450">
        <x:f t="shared" si="495"/>
        <x:v>0</x:v>
      </x:c>
      <x:c r="FW450" s="41">
        <x:f t="shared" si="496"/>
        <x:v>0</x:v>
      </x:c>
      <x:c r="FX450">
        <x:f t="shared" si="497"/>
        <x:v>0</x:v>
      </x:c>
      <x:c r="FY450">
        <x:f t="shared" si="498"/>
        <x:v>0</x:v>
      </x:c>
      <x:c r="FZ450">
        <x:f t="shared" si="499"/>
        <x:v>0</x:v>
      </x:c>
      <x:c r="GA450">
        <x:f t="shared" si="500"/>
        <x:v>0</x:v>
      </x:c>
      <x:c r="GB450">
        <x:f t="shared" si="501"/>
        <x:v>0</x:v>
      </x:c>
      <x:c r="GC450">
        <x:f t="shared" si="502"/>
        <x:v>0</x:v>
      </x:c>
      <x:c r="GD450">
        <x:f t="shared" si="503"/>
        <x:v>0</x:v>
      </x:c>
      <x:c r="GE450">
        <x:f t="shared" si="504"/>
        <x:v>0</x:v>
      </x:c>
      <x:c r="GF450">
        <x:f t="shared" si="505"/>
        <x:v>0</x:v>
      </x:c>
      <x:c r="GG450">
        <x:f t="shared" si="506"/>
        <x:v>0</x:v>
      </x:c>
      <x:c r="GH450">
        <x:f t="shared" si="507"/>
        <x:v>0</x:v>
      </x:c>
      <x:c r="GI450">
        <x:f t="shared" si="508"/>
        <x:v>0</x:v>
      </x:c>
      <x:c r="GJ450">
        <x:f t="shared" si="509"/>
        <x:v>0</x:v>
      </x:c>
      <x:c r="GK450">
        <x:f t="shared" si="510"/>
        <x:v>0</x:v>
      </x:c>
      <x:c r="GL450">
        <x:f t="shared" si="511"/>
        <x:v>0</x:v>
      </x:c>
      <x:c r="GM450">
        <x:f t="shared" si="512"/>
        <x:v>0</x:v>
      </x:c>
      <x:c r="GN450">
        <x:f t="shared" si="513"/>
        <x:v>0</x:v>
      </x:c>
      <x:c r="GO450">
        <x:f t="shared" si="514"/>
        <x:v>0</x:v>
      </x:c>
      <x:c r="GP450">
        <x:f t="shared" si="515"/>
        <x:v>0</x:v>
      </x:c>
      <x:c r="GQ450">
        <x:f t="shared" si="516"/>
        <x:v>0</x:v>
      </x:c>
      <x:c r="GR450" s="42">
        <x:f t="shared" si="517"/>
        <x:v>0</x:v>
      </x:c>
      <x:c r="GS450">
        <x:f t="shared" si="518"/>
        <x:v>0</x:v>
      </x:c>
      <x:c r="GT450">
        <x:f t="shared" si="519"/>
        <x:v>0</x:v>
      </x:c>
      <x:c r="GU450">
        <x:f t="shared" si="520"/>
        <x:v>0</x:v>
      </x:c>
      <x:c r="GV450">
        <x:f t="shared" si="521"/>
        <x:v>0</x:v>
      </x:c>
      <x:c r="GW450">
        <x:f t="shared" si="522"/>
        <x:v>0</x:v>
      </x:c>
      <x:c r="GX450">
        <x:f t="shared" si="523"/>
        <x:v>0</x:v>
      </x:c>
      <x:c r="GY450">
        <x:f t="shared" si="524"/>
        <x:v>0</x:v>
      </x:c>
      <x:c r="GZ450">
        <x:f t="shared" si="525"/>
        <x:v>0</x:v>
      </x:c>
      <x:c r="HA450">
        <x:f t="shared" si="526"/>
        <x:v>0</x:v>
      </x:c>
      <x:c r="HB450" s="42">
        <x:f t="shared" si="527"/>
        <x:v>0</x:v>
      </x:c>
      <x:c r="HC450">
        <x:f t="shared" si="528"/>
        <x:v>0</x:v>
      </x:c>
      <x:c r="HD450">
        <x:f t="shared" si="529"/>
        <x:v>0</x:v>
      </x:c>
      <x:c r="HE450">
        <x:f t="shared" si="530"/>
        <x:v>0</x:v>
      </x:c>
      <x:c r="HF450">
        <x:f t="shared" si="531"/>
        <x:v>0</x:v>
      </x:c>
      <x:c r="HG450">
        <x:f t="shared" si="532"/>
        <x:v>0</x:v>
      </x:c>
      <x:c r="HH450">
        <x:f t="shared" si="533"/>
        <x:v>0</x:v>
      </x:c>
      <x:c r="HI450">
        <x:f t="shared" si="534"/>
        <x:v>0</x:v>
      </x:c>
      <x:c r="HJ450">
        <x:f t="shared" si="535"/>
        <x:v>0</x:v>
      </x:c>
      <x:c r="HK450">
        <x:f t="shared" si="536"/>
        <x:v>0</x:v>
      </x:c>
      <x:c r="HL450">
        <x:f t="shared" si="537"/>
        <x:v>0</x:v>
      </x:c>
    </x:row>
    <x:row r="451">
      <x:c r="D451" s="74"/>
      <x:c r="EQ451">
        <x:f t="shared" si="464"/>
        <x:v>0</x:v>
      </x:c>
      <x:c r="ER451">
        <x:f t="shared" si="465"/>
        <x:v>0</x:v>
      </x:c>
      <x:c r="ES451">
        <x:f t="shared" si="466"/>
        <x:v>0</x:v>
      </x:c>
      <x:c r="ET451">
        <x:f t="shared" si="467"/>
        <x:v>0</x:v>
      </x:c>
      <x:c r="EU451">
        <x:f t="shared" si="468"/>
        <x:v>0</x:v>
      </x:c>
      <x:c r="EV451">
        <x:f t="shared" si="469"/>
        <x:v>0</x:v>
      </x:c>
      <x:c r="EW451">
        <x:f t="shared" si="470"/>
        <x:v>0</x:v>
      </x:c>
      <x:c r="EX451">
        <x:f t="shared" si="471"/>
        <x:v>0</x:v>
      </x:c>
      <x:c r="EY451">
        <x:f t="shared" si="472"/>
        <x:v>0</x:v>
      </x:c>
      <x:c r="EZ451">
        <x:f t="shared" si="473"/>
        <x:v>0</x:v>
      </x:c>
      <x:c r="FA451" s="41">
        <x:f t="shared" si="474"/>
        <x:v>0</x:v>
      </x:c>
      <x:c r="FB451">
        <x:f t="shared" si="475"/>
        <x:v>0</x:v>
      </x:c>
      <x:c r="FC451">
        <x:f t="shared" si="476"/>
        <x:v>0</x:v>
      </x:c>
      <x:c r="FD451">
        <x:f t="shared" si="477"/>
        <x:v>0</x:v>
      </x:c>
      <x:c r="FE451">
        <x:f t="shared" si="478"/>
        <x:v>0</x:v>
      </x:c>
      <x:c r="FF451">
        <x:f t="shared" si="479"/>
        <x:v>0</x:v>
      </x:c>
      <x:c r="FG451">
        <x:f t="shared" si="480"/>
        <x:v>0</x:v>
      </x:c>
      <x:c r="FH451">
        <x:f t="shared" si="481"/>
        <x:v>0</x:v>
      </x:c>
      <x:c r="FI451">
        <x:f t="shared" si="482"/>
        <x:v>0</x:v>
      </x:c>
      <x:c r="FJ451">
        <x:f t="shared" si="483"/>
        <x:v>0</x:v>
      </x:c>
      <x:c r="FK451">
        <x:f t="shared" si="484"/>
        <x:v>0</x:v>
      </x:c>
      <x:c r="FL451" s="41">
        <x:f t="shared" si="485"/>
        <x:v>0</x:v>
      </x:c>
      <x:c r="FM451">
        <x:f t="shared" si="486"/>
        <x:v>0</x:v>
      </x:c>
      <x:c r="FN451">
        <x:f t="shared" si="487"/>
        <x:v>0</x:v>
      </x:c>
      <x:c r="FO451">
        <x:f t="shared" si="488"/>
        <x:v>0</x:v>
      </x:c>
      <x:c r="FP451">
        <x:f t="shared" si="489"/>
        <x:v>0</x:v>
      </x:c>
      <x:c r="FQ451">
        <x:f t="shared" si="490"/>
        <x:v>0</x:v>
      </x:c>
      <x:c r="FR451">
        <x:f t="shared" si="491"/>
        <x:v>0</x:v>
      </x:c>
      <x:c r="FS451">
        <x:f t="shared" si="492"/>
        <x:v>0</x:v>
      </x:c>
      <x:c r="FT451">
        <x:f t="shared" si="493"/>
        <x:v>0</x:v>
      </x:c>
      <x:c r="FU451">
        <x:f t="shared" si="494"/>
        <x:v>0</x:v>
      </x:c>
      <x:c r="FV451">
        <x:f t="shared" si="495"/>
        <x:v>0</x:v>
      </x:c>
      <x:c r="FW451" s="41">
        <x:f t="shared" si="496"/>
        <x:v>0</x:v>
      </x:c>
      <x:c r="FX451">
        <x:f t="shared" si="497"/>
        <x:v>0</x:v>
      </x:c>
      <x:c r="FY451">
        <x:f t="shared" si="498"/>
        <x:v>0</x:v>
      </x:c>
      <x:c r="FZ451">
        <x:f t="shared" si="499"/>
        <x:v>0</x:v>
      </x:c>
      <x:c r="GA451">
        <x:f t="shared" si="500"/>
        <x:v>0</x:v>
      </x:c>
      <x:c r="GB451">
        <x:f t="shared" si="501"/>
        <x:v>0</x:v>
      </x:c>
      <x:c r="GC451">
        <x:f t="shared" si="502"/>
        <x:v>0</x:v>
      </x:c>
      <x:c r="GD451">
        <x:f t="shared" si="503"/>
        <x:v>0</x:v>
      </x:c>
      <x:c r="GE451">
        <x:f t="shared" si="504"/>
        <x:v>0</x:v>
      </x:c>
      <x:c r="GF451">
        <x:f t="shared" si="505"/>
        <x:v>0</x:v>
      </x:c>
      <x:c r="GG451">
        <x:f t="shared" si="506"/>
        <x:v>0</x:v>
      </x:c>
      <x:c r="GH451">
        <x:f t="shared" si="507"/>
        <x:v>0</x:v>
      </x:c>
      <x:c r="GI451">
        <x:f t="shared" si="508"/>
        <x:v>0</x:v>
      </x:c>
      <x:c r="GJ451">
        <x:f t="shared" si="509"/>
        <x:v>0</x:v>
      </x:c>
      <x:c r="GK451">
        <x:f t="shared" si="510"/>
        <x:v>0</x:v>
      </x:c>
      <x:c r="GL451">
        <x:f t="shared" si="511"/>
        <x:v>0</x:v>
      </x:c>
      <x:c r="GM451">
        <x:f t="shared" si="512"/>
        <x:v>0</x:v>
      </x:c>
      <x:c r="GN451">
        <x:f t="shared" si="513"/>
        <x:v>0</x:v>
      </x:c>
      <x:c r="GO451">
        <x:f t="shared" si="514"/>
        <x:v>0</x:v>
      </x:c>
      <x:c r="GP451">
        <x:f t="shared" si="515"/>
        <x:v>0</x:v>
      </x:c>
      <x:c r="GQ451">
        <x:f t="shared" si="516"/>
        <x:v>0</x:v>
      </x:c>
      <x:c r="GR451" s="42">
        <x:f t="shared" si="517"/>
        <x:v>0</x:v>
      </x:c>
      <x:c r="GS451">
        <x:f t="shared" si="518"/>
        <x:v>0</x:v>
      </x:c>
      <x:c r="GT451">
        <x:f t="shared" si="519"/>
        <x:v>0</x:v>
      </x:c>
      <x:c r="GU451">
        <x:f t="shared" si="520"/>
        <x:v>0</x:v>
      </x:c>
      <x:c r="GV451">
        <x:f t="shared" si="521"/>
        <x:v>0</x:v>
      </x:c>
      <x:c r="GW451">
        <x:f t="shared" si="522"/>
        <x:v>0</x:v>
      </x:c>
      <x:c r="GX451">
        <x:f t="shared" si="523"/>
        <x:v>0</x:v>
      </x:c>
      <x:c r="GY451">
        <x:f t="shared" si="524"/>
        <x:v>0</x:v>
      </x:c>
      <x:c r="GZ451">
        <x:f t="shared" si="525"/>
        <x:v>0</x:v>
      </x:c>
      <x:c r="HA451">
        <x:f t="shared" si="526"/>
        <x:v>0</x:v>
      </x:c>
      <x:c r="HB451" s="42">
        <x:f t="shared" si="527"/>
        <x:v>0</x:v>
      </x:c>
      <x:c r="HC451">
        <x:f t="shared" si="528"/>
        <x:v>0</x:v>
      </x:c>
      <x:c r="HD451">
        <x:f t="shared" si="529"/>
        <x:v>0</x:v>
      </x:c>
      <x:c r="HE451">
        <x:f t="shared" si="530"/>
        <x:v>0</x:v>
      </x:c>
      <x:c r="HF451">
        <x:f t="shared" si="531"/>
        <x:v>0</x:v>
      </x:c>
      <x:c r="HG451">
        <x:f t="shared" si="532"/>
        <x:v>0</x:v>
      </x:c>
      <x:c r="HH451">
        <x:f t="shared" si="533"/>
        <x:v>0</x:v>
      </x:c>
      <x:c r="HI451">
        <x:f t="shared" si="534"/>
        <x:v>0</x:v>
      </x:c>
      <x:c r="HJ451">
        <x:f t="shared" si="535"/>
        <x:v>0</x:v>
      </x:c>
      <x:c r="HK451">
        <x:f t="shared" si="536"/>
        <x:v>0</x:v>
      </x:c>
      <x:c r="HL451">
        <x:f t="shared" si="537"/>
        <x:v>0</x:v>
      </x:c>
    </x:row>
    <x:row r="452">
      <x:c r="D452" s="74"/>
      <x:c r="EQ452">
        <x:f t="shared" si="464"/>
        <x:v>0</x:v>
      </x:c>
      <x:c r="ER452">
        <x:f t="shared" si="465"/>
        <x:v>0</x:v>
      </x:c>
      <x:c r="ES452">
        <x:f t="shared" si="466"/>
        <x:v>0</x:v>
      </x:c>
      <x:c r="ET452">
        <x:f t="shared" si="467"/>
        <x:v>0</x:v>
      </x:c>
      <x:c r="EU452">
        <x:f t="shared" si="468"/>
        <x:v>0</x:v>
      </x:c>
      <x:c r="EV452">
        <x:f t="shared" si="469"/>
        <x:v>0</x:v>
      </x:c>
      <x:c r="EW452">
        <x:f t="shared" si="470"/>
        <x:v>0</x:v>
      </x:c>
      <x:c r="EX452">
        <x:f t="shared" si="471"/>
        <x:v>0</x:v>
      </x:c>
      <x:c r="EY452">
        <x:f t="shared" si="472"/>
        <x:v>0</x:v>
      </x:c>
      <x:c r="EZ452">
        <x:f t="shared" si="473"/>
        <x:v>0</x:v>
      </x:c>
      <x:c r="FA452" s="41">
        <x:f t="shared" si="474"/>
        <x:v>0</x:v>
      </x:c>
      <x:c r="FB452">
        <x:f t="shared" si="475"/>
        <x:v>0</x:v>
      </x:c>
      <x:c r="FC452">
        <x:f t="shared" si="476"/>
        <x:v>0</x:v>
      </x:c>
      <x:c r="FD452">
        <x:f t="shared" si="477"/>
        <x:v>0</x:v>
      </x:c>
      <x:c r="FE452">
        <x:f t="shared" si="478"/>
        <x:v>0</x:v>
      </x:c>
      <x:c r="FF452">
        <x:f t="shared" si="479"/>
        <x:v>0</x:v>
      </x:c>
      <x:c r="FG452">
        <x:f t="shared" si="480"/>
        <x:v>0</x:v>
      </x:c>
      <x:c r="FH452">
        <x:f t="shared" si="481"/>
        <x:v>0</x:v>
      </x:c>
      <x:c r="FI452">
        <x:f t="shared" si="482"/>
        <x:v>0</x:v>
      </x:c>
      <x:c r="FJ452">
        <x:f t="shared" si="483"/>
        <x:v>0</x:v>
      </x:c>
      <x:c r="FK452">
        <x:f t="shared" si="484"/>
        <x:v>0</x:v>
      </x:c>
      <x:c r="FL452" s="41">
        <x:f t="shared" si="485"/>
        <x:v>0</x:v>
      </x:c>
      <x:c r="FM452">
        <x:f t="shared" si="486"/>
        <x:v>0</x:v>
      </x:c>
      <x:c r="FN452">
        <x:f t="shared" si="487"/>
        <x:v>0</x:v>
      </x:c>
      <x:c r="FO452">
        <x:f t="shared" si="488"/>
        <x:v>0</x:v>
      </x:c>
      <x:c r="FP452">
        <x:f t="shared" si="489"/>
        <x:v>0</x:v>
      </x:c>
      <x:c r="FQ452">
        <x:f t="shared" si="490"/>
        <x:v>0</x:v>
      </x:c>
      <x:c r="FR452">
        <x:f t="shared" si="491"/>
        <x:v>0</x:v>
      </x:c>
      <x:c r="FS452">
        <x:f t="shared" si="492"/>
        <x:v>0</x:v>
      </x:c>
      <x:c r="FT452">
        <x:f t="shared" si="493"/>
        <x:v>0</x:v>
      </x:c>
      <x:c r="FU452">
        <x:f t="shared" si="494"/>
        <x:v>0</x:v>
      </x:c>
      <x:c r="FV452">
        <x:f t="shared" si="495"/>
        <x:v>0</x:v>
      </x:c>
      <x:c r="FW452" s="41">
        <x:f t="shared" si="496"/>
        <x:v>0</x:v>
      </x:c>
      <x:c r="FX452">
        <x:f t="shared" si="497"/>
        <x:v>0</x:v>
      </x:c>
      <x:c r="FY452">
        <x:f t="shared" si="498"/>
        <x:v>0</x:v>
      </x:c>
      <x:c r="FZ452">
        <x:f t="shared" si="499"/>
        <x:v>0</x:v>
      </x:c>
      <x:c r="GA452">
        <x:f t="shared" si="500"/>
        <x:v>0</x:v>
      </x:c>
      <x:c r="GB452">
        <x:f t="shared" si="501"/>
        <x:v>0</x:v>
      </x:c>
      <x:c r="GC452">
        <x:f t="shared" si="502"/>
        <x:v>0</x:v>
      </x:c>
      <x:c r="GD452">
        <x:f t="shared" si="503"/>
        <x:v>0</x:v>
      </x:c>
      <x:c r="GE452">
        <x:f t="shared" si="504"/>
        <x:v>0</x:v>
      </x:c>
      <x:c r="GF452">
        <x:f t="shared" si="505"/>
        <x:v>0</x:v>
      </x:c>
      <x:c r="GG452">
        <x:f t="shared" si="506"/>
        <x:v>0</x:v>
      </x:c>
      <x:c r="GH452">
        <x:f t="shared" si="507"/>
        <x:v>0</x:v>
      </x:c>
      <x:c r="GI452">
        <x:f t="shared" si="508"/>
        <x:v>0</x:v>
      </x:c>
      <x:c r="GJ452">
        <x:f t="shared" si="509"/>
        <x:v>0</x:v>
      </x:c>
      <x:c r="GK452">
        <x:f t="shared" si="510"/>
        <x:v>0</x:v>
      </x:c>
      <x:c r="GL452">
        <x:f t="shared" si="511"/>
        <x:v>0</x:v>
      </x:c>
      <x:c r="GM452">
        <x:f t="shared" si="512"/>
        <x:v>0</x:v>
      </x:c>
      <x:c r="GN452">
        <x:f t="shared" si="513"/>
        <x:v>0</x:v>
      </x:c>
      <x:c r="GO452">
        <x:f t="shared" si="514"/>
        <x:v>0</x:v>
      </x:c>
      <x:c r="GP452">
        <x:f t="shared" si="515"/>
        <x:v>0</x:v>
      </x:c>
      <x:c r="GQ452">
        <x:f t="shared" si="516"/>
        <x:v>0</x:v>
      </x:c>
      <x:c r="GR452" s="42">
        <x:f t="shared" si="517"/>
        <x:v>0</x:v>
      </x:c>
      <x:c r="GS452">
        <x:f t="shared" si="518"/>
        <x:v>0</x:v>
      </x:c>
      <x:c r="GT452">
        <x:f t="shared" si="519"/>
        <x:v>0</x:v>
      </x:c>
      <x:c r="GU452">
        <x:f t="shared" si="520"/>
        <x:v>0</x:v>
      </x:c>
      <x:c r="GV452">
        <x:f t="shared" si="521"/>
        <x:v>0</x:v>
      </x:c>
      <x:c r="GW452">
        <x:f t="shared" si="522"/>
        <x:v>0</x:v>
      </x:c>
      <x:c r="GX452">
        <x:f t="shared" si="523"/>
        <x:v>0</x:v>
      </x:c>
      <x:c r="GY452">
        <x:f t="shared" si="524"/>
        <x:v>0</x:v>
      </x:c>
      <x:c r="GZ452">
        <x:f t="shared" si="525"/>
        <x:v>0</x:v>
      </x:c>
      <x:c r="HA452">
        <x:f t="shared" si="526"/>
        <x:v>0</x:v>
      </x:c>
      <x:c r="HB452" s="42">
        <x:f t="shared" si="527"/>
        <x:v>0</x:v>
      </x:c>
      <x:c r="HC452">
        <x:f t="shared" si="528"/>
        <x:v>0</x:v>
      </x:c>
      <x:c r="HD452">
        <x:f t="shared" si="529"/>
        <x:v>0</x:v>
      </x:c>
      <x:c r="HE452">
        <x:f t="shared" si="530"/>
        <x:v>0</x:v>
      </x:c>
      <x:c r="HF452">
        <x:f t="shared" si="531"/>
        <x:v>0</x:v>
      </x:c>
      <x:c r="HG452">
        <x:f t="shared" si="532"/>
        <x:v>0</x:v>
      </x:c>
      <x:c r="HH452">
        <x:f t="shared" si="533"/>
        <x:v>0</x:v>
      </x:c>
      <x:c r="HI452">
        <x:f t="shared" si="534"/>
        <x:v>0</x:v>
      </x:c>
      <x:c r="HJ452">
        <x:f t="shared" si="535"/>
        <x:v>0</x:v>
      </x:c>
      <x:c r="HK452">
        <x:f t="shared" si="536"/>
        <x:v>0</x:v>
      </x:c>
      <x:c r="HL452">
        <x:f t="shared" si="537"/>
        <x:v>0</x:v>
      </x:c>
    </x:row>
    <x:row r="453">
      <x:c r="D453" s="74"/>
      <x:c r="EQ453">
        <x:f t="shared" si="464"/>
        <x:v>0</x:v>
      </x:c>
      <x:c r="ER453">
        <x:f t="shared" si="465"/>
        <x:v>0</x:v>
      </x:c>
      <x:c r="ES453">
        <x:f t="shared" si="466"/>
        <x:v>0</x:v>
      </x:c>
      <x:c r="ET453">
        <x:f t="shared" si="467"/>
        <x:v>0</x:v>
      </x:c>
      <x:c r="EU453">
        <x:f t="shared" si="468"/>
        <x:v>0</x:v>
      </x:c>
      <x:c r="EV453">
        <x:f t="shared" si="469"/>
        <x:v>0</x:v>
      </x:c>
      <x:c r="EW453">
        <x:f t="shared" si="470"/>
        <x:v>0</x:v>
      </x:c>
      <x:c r="EX453">
        <x:f t="shared" si="471"/>
        <x:v>0</x:v>
      </x:c>
      <x:c r="EY453">
        <x:f t="shared" si="472"/>
        <x:v>0</x:v>
      </x:c>
      <x:c r="EZ453">
        <x:f t="shared" si="473"/>
        <x:v>0</x:v>
      </x:c>
      <x:c r="FA453" s="41">
        <x:f t="shared" si="474"/>
        <x:v>0</x:v>
      </x:c>
      <x:c r="FB453">
        <x:f t="shared" si="475"/>
        <x:v>0</x:v>
      </x:c>
      <x:c r="FC453">
        <x:f t="shared" si="476"/>
        <x:v>0</x:v>
      </x:c>
      <x:c r="FD453">
        <x:f t="shared" si="477"/>
        <x:v>0</x:v>
      </x:c>
      <x:c r="FE453">
        <x:f t="shared" si="478"/>
        <x:v>0</x:v>
      </x:c>
      <x:c r="FF453">
        <x:f t="shared" si="479"/>
        <x:v>0</x:v>
      </x:c>
      <x:c r="FG453">
        <x:f t="shared" si="480"/>
        <x:v>0</x:v>
      </x:c>
      <x:c r="FH453">
        <x:f t="shared" si="481"/>
        <x:v>0</x:v>
      </x:c>
      <x:c r="FI453">
        <x:f t="shared" si="482"/>
        <x:v>0</x:v>
      </x:c>
      <x:c r="FJ453">
        <x:f t="shared" si="483"/>
        <x:v>0</x:v>
      </x:c>
      <x:c r="FK453">
        <x:f t="shared" si="484"/>
        <x:v>0</x:v>
      </x:c>
      <x:c r="FL453" s="41">
        <x:f t="shared" si="485"/>
        <x:v>0</x:v>
      </x:c>
      <x:c r="FM453">
        <x:f t="shared" si="486"/>
        <x:v>0</x:v>
      </x:c>
      <x:c r="FN453">
        <x:f t="shared" si="487"/>
        <x:v>0</x:v>
      </x:c>
      <x:c r="FO453">
        <x:f t="shared" si="488"/>
        <x:v>0</x:v>
      </x:c>
      <x:c r="FP453">
        <x:f t="shared" si="489"/>
        <x:v>0</x:v>
      </x:c>
      <x:c r="FQ453">
        <x:f t="shared" si="490"/>
        <x:v>0</x:v>
      </x:c>
      <x:c r="FR453">
        <x:f t="shared" si="491"/>
        <x:v>0</x:v>
      </x:c>
      <x:c r="FS453">
        <x:f t="shared" si="492"/>
        <x:v>0</x:v>
      </x:c>
      <x:c r="FT453">
        <x:f t="shared" si="493"/>
        <x:v>0</x:v>
      </x:c>
      <x:c r="FU453">
        <x:f t="shared" si="494"/>
        <x:v>0</x:v>
      </x:c>
      <x:c r="FV453">
        <x:f t="shared" si="495"/>
        <x:v>0</x:v>
      </x:c>
      <x:c r="FW453" s="41">
        <x:f t="shared" si="496"/>
        <x:v>0</x:v>
      </x:c>
      <x:c r="FX453">
        <x:f t="shared" si="497"/>
        <x:v>0</x:v>
      </x:c>
      <x:c r="FY453">
        <x:f t="shared" si="498"/>
        <x:v>0</x:v>
      </x:c>
      <x:c r="FZ453">
        <x:f t="shared" si="499"/>
        <x:v>0</x:v>
      </x:c>
      <x:c r="GA453">
        <x:f t="shared" si="500"/>
        <x:v>0</x:v>
      </x:c>
      <x:c r="GB453">
        <x:f t="shared" si="501"/>
        <x:v>0</x:v>
      </x:c>
      <x:c r="GC453">
        <x:f t="shared" si="502"/>
        <x:v>0</x:v>
      </x:c>
      <x:c r="GD453">
        <x:f t="shared" si="503"/>
        <x:v>0</x:v>
      </x:c>
      <x:c r="GE453">
        <x:f t="shared" si="504"/>
        <x:v>0</x:v>
      </x:c>
      <x:c r="GF453">
        <x:f t="shared" si="505"/>
        <x:v>0</x:v>
      </x:c>
      <x:c r="GG453">
        <x:f t="shared" si="506"/>
        <x:v>0</x:v>
      </x:c>
      <x:c r="GH453">
        <x:f t="shared" si="507"/>
        <x:v>0</x:v>
      </x:c>
      <x:c r="GI453">
        <x:f t="shared" si="508"/>
        <x:v>0</x:v>
      </x:c>
      <x:c r="GJ453">
        <x:f t="shared" si="509"/>
        <x:v>0</x:v>
      </x:c>
      <x:c r="GK453">
        <x:f t="shared" si="510"/>
        <x:v>0</x:v>
      </x:c>
      <x:c r="GL453">
        <x:f t="shared" si="511"/>
        <x:v>0</x:v>
      </x:c>
      <x:c r="GM453">
        <x:f t="shared" si="512"/>
        <x:v>0</x:v>
      </x:c>
      <x:c r="GN453">
        <x:f t="shared" si="513"/>
        <x:v>0</x:v>
      </x:c>
      <x:c r="GO453">
        <x:f t="shared" si="514"/>
        <x:v>0</x:v>
      </x:c>
      <x:c r="GP453">
        <x:f t="shared" si="515"/>
        <x:v>0</x:v>
      </x:c>
      <x:c r="GQ453">
        <x:f t="shared" si="516"/>
        <x:v>0</x:v>
      </x:c>
      <x:c r="GR453" s="42">
        <x:f t="shared" si="517"/>
        <x:v>0</x:v>
      </x:c>
      <x:c r="GS453">
        <x:f t="shared" si="518"/>
        <x:v>0</x:v>
      </x:c>
      <x:c r="GT453">
        <x:f t="shared" si="519"/>
        <x:v>0</x:v>
      </x:c>
      <x:c r="GU453">
        <x:f t="shared" si="520"/>
        <x:v>0</x:v>
      </x:c>
      <x:c r="GV453">
        <x:f t="shared" si="521"/>
        <x:v>0</x:v>
      </x:c>
      <x:c r="GW453">
        <x:f t="shared" si="522"/>
        <x:v>0</x:v>
      </x:c>
      <x:c r="GX453">
        <x:f t="shared" si="523"/>
        <x:v>0</x:v>
      </x:c>
      <x:c r="GY453">
        <x:f t="shared" si="524"/>
        <x:v>0</x:v>
      </x:c>
      <x:c r="GZ453">
        <x:f t="shared" si="525"/>
        <x:v>0</x:v>
      </x:c>
      <x:c r="HA453">
        <x:f t="shared" si="526"/>
        <x:v>0</x:v>
      </x:c>
      <x:c r="HB453" s="42">
        <x:f t="shared" si="527"/>
        <x:v>0</x:v>
      </x:c>
      <x:c r="HC453">
        <x:f t="shared" si="528"/>
        <x:v>0</x:v>
      </x:c>
      <x:c r="HD453">
        <x:f t="shared" si="529"/>
        <x:v>0</x:v>
      </x:c>
      <x:c r="HE453">
        <x:f t="shared" si="530"/>
        <x:v>0</x:v>
      </x:c>
      <x:c r="HF453">
        <x:f t="shared" si="531"/>
        <x:v>0</x:v>
      </x:c>
      <x:c r="HG453">
        <x:f t="shared" si="532"/>
        <x:v>0</x:v>
      </x:c>
      <x:c r="HH453">
        <x:f t="shared" si="533"/>
        <x:v>0</x:v>
      </x:c>
      <x:c r="HI453">
        <x:f t="shared" si="534"/>
        <x:v>0</x:v>
      </x:c>
      <x:c r="HJ453">
        <x:f t="shared" si="535"/>
        <x:v>0</x:v>
      </x:c>
      <x:c r="HK453">
        <x:f t="shared" si="536"/>
        <x:v>0</x:v>
      </x:c>
      <x:c r="HL453">
        <x:f t="shared" si="537"/>
        <x:v>0</x:v>
      </x:c>
    </x:row>
    <x:row r="454">
      <x:c r="D454" s="74"/>
      <x:c r="EQ454">
        <x:f t="shared" si="464"/>
        <x:v>0</x:v>
      </x:c>
      <x:c r="ER454">
        <x:f t="shared" si="465"/>
        <x:v>0</x:v>
      </x:c>
      <x:c r="ES454">
        <x:f t="shared" si="466"/>
        <x:v>0</x:v>
      </x:c>
      <x:c r="ET454">
        <x:f t="shared" si="467"/>
        <x:v>0</x:v>
      </x:c>
      <x:c r="EU454">
        <x:f t="shared" si="468"/>
        <x:v>0</x:v>
      </x:c>
      <x:c r="EV454">
        <x:f t="shared" si="469"/>
        <x:v>0</x:v>
      </x:c>
      <x:c r="EW454">
        <x:f t="shared" si="470"/>
        <x:v>0</x:v>
      </x:c>
      <x:c r="EX454">
        <x:f t="shared" si="471"/>
        <x:v>0</x:v>
      </x:c>
      <x:c r="EY454">
        <x:f t="shared" si="472"/>
        <x:v>0</x:v>
      </x:c>
      <x:c r="EZ454">
        <x:f t="shared" si="473"/>
        <x:v>0</x:v>
      </x:c>
      <x:c r="FA454" s="41">
        <x:f t="shared" si="474"/>
        <x:v>0</x:v>
      </x:c>
      <x:c r="FB454">
        <x:f t="shared" si="475"/>
        <x:v>0</x:v>
      </x:c>
      <x:c r="FC454">
        <x:f t="shared" si="476"/>
        <x:v>0</x:v>
      </x:c>
      <x:c r="FD454">
        <x:f t="shared" si="477"/>
        <x:v>0</x:v>
      </x:c>
      <x:c r="FE454">
        <x:f t="shared" si="478"/>
        <x:v>0</x:v>
      </x:c>
      <x:c r="FF454">
        <x:f t="shared" si="479"/>
        <x:v>0</x:v>
      </x:c>
      <x:c r="FG454">
        <x:f t="shared" si="480"/>
        <x:v>0</x:v>
      </x:c>
      <x:c r="FH454">
        <x:f t="shared" si="481"/>
        <x:v>0</x:v>
      </x:c>
      <x:c r="FI454">
        <x:f t="shared" si="482"/>
        <x:v>0</x:v>
      </x:c>
      <x:c r="FJ454">
        <x:f t="shared" si="483"/>
        <x:v>0</x:v>
      </x:c>
      <x:c r="FK454">
        <x:f t="shared" si="484"/>
        <x:v>0</x:v>
      </x:c>
      <x:c r="FL454" s="41">
        <x:f t="shared" si="485"/>
        <x:v>0</x:v>
      </x:c>
      <x:c r="FM454">
        <x:f t="shared" si="486"/>
        <x:v>0</x:v>
      </x:c>
      <x:c r="FN454">
        <x:f t="shared" si="487"/>
        <x:v>0</x:v>
      </x:c>
      <x:c r="FO454">
        <x:f t="shared" si="488"/>
        <x:v>0</x:v>
      </x:c>
      <x:c r="FP454">
        <x:f t="shared" si="489"/>
        <x:v>0</x:v>
      </x:c>
      <x:c r="FQ454">
        <x:f t="shared" si="490"/>
        <x:v>0</x:v>
      </x:c>
      <x:c r="FR454">
        <x:f t="shared" si="491"/>
        <x:v>0</x:v>
      </x:c>
      <x:c r="FS454">
        <x:f t="shared" si="492"/>
        <x:v>0</x:v>
      </x:c>
      <x:c r="FT454">
        <x:f t="shared" si="493"/>
        <x:v>0</x:v>
      </x:c>
      <x:c r="FU454">
        <x:f t="shared" si="494"/>
        <x:v>0</x:v>
      </x:c>
      <x:c r="FV454">
        <x:f t="shared" si="495"/>
        <x:v>0</x:v>
      </x:c>
      <x:c r="FW454" s="41">
        <x:f t="shared" si="496"/>
        <x:v>0</x:v>
      </x:c>
      <x:c r="FX454">
        <x:f t="shared" si="497"/>
        <x:v>0</x:v>
      </x:c>
      <x:c r="FY454">
        <x:f t="shared" si="498"/>
        <x:v>0</x:v>
      </x:c>
      <x:c r="FZ454">
        <x:f t="shared" si="499"/>
        <x:v>0</x:v>
      </x:c>
      <x:c r="GA454">
        <x:f t="shared" si="500"/>
        <x:v>0</x:v>
      </x:c>
      <x:c r="GB454">
        <x:f t="shared" si="501"/>
        <x:v>0</x:v>
      </x:c>
      <x:c r="GC454">
        <x:f t="shared" si="502"/>
        <x:v>0</x:v>
      </x:c>
      <x:c r="GD454">
        <x:f t="shared" si="503"/>
        <x:v>0</x:v>
      </x:c>
      <x:c r="GE454">
        <x:f t="shared" si="504"/>
        <x:v>0</x:v>
      </x:c>
      <x:c r="GF454">
        <x:f t="shared" si="505"/>
        <x:v>0</x:v>
      </x:c>
      <x:c r="GG454">
        <x:f t="shared" si="506"/>
        <x:v>0</x:v>
      </x:c>
      <x:c r="GH454">
        <x:f t="shared" si="507"/>
        <x:v>0</x:v>
      </x:c>
      <x:c r="GI454">
        <x:f t="shared" si="508"/>
        <x:v>0</x:v>
      </x:c>
      <x:c r="GJ454">
        <x:f t="shared" si="509"/>
        <x:v>0</x:v>
      </x:c>
      <x:c r="GK454">
        <x:f t="shared" si="510"/>
        <x:v>0</x:v>
      </x:c>
      <x:c r="GL454">
        <x:f t="shared" si="511"/>
        <x:v>0</x:v>
      </x:c>
      <x:c r="GM454">
        <x:f t="shared" si="512"/>
        <x:v>0</x:v>
      </x:c>
      <x:c r="GN454">
        <x:f t="shared" si="513"/>
        <x:v>0</x:v>
      </x:c>
      <x:c r="GO454">
        <x:f t="shared" si="514"/>
        <x:v>0</x:v>
      </x:c>
      <x:c r="GP454">
        <x:f t="shared" si="515"/>
        <x:v>0</x:v>
      </x:c>
      <x:c r="GQ454">
        <x:f t="shared" si="516"/>
        <x:v>0</x:v>
      </x:c>
      <x:c r="GR454" s="42">
        <x:f t="shared" si="517"/>
        <x:v>0</x:v>
      </x:c>
      <x:c r="GS454">
        <x:f t="shared" si="518"/>
        <x:v>0</x:v>
      </x:c>
      <x:c r="GT454">
        <x:f t="shared" si="519"/>
        <x:v>0</x:v>
      </x:c>
      <x:c r="GU454">
        <x:f t="shared" si="520"/>
        <x:v>0</x:v>
      </x:c>
      <x:c r="GV454">
        <x:f t="shared" si="521"/>
        <x:v>0</x:v>
      </x:c>
      <x:c r="GW454">
        <x:f t="shared" si="522"/>
        <x:v>0</x:v>
      </x:c>
      <x:c r="GX454">
        <x:f t="shared" si="523"/>
        <x:v>0</x:v>
      </x:c>
      <x:c r="GY454">
        <x:f t="shared" si="524"/>
        <x:v>0</x:v>
      </x:c>
      <x:c r="GZ454">
        <x:f t="shared" si="525"/>
        <x:v>0</x:v>
      </x:c>
      <x:c r="HA454">
        <x:f t="shared" si="526"/>
        <x:v>0</x:v>
      </x:c>
      <x:c r="HB454" s="42">
        <x:f t="shared" si="527"/>
        <x:v>0</x:v>
      </x:c>
      <x:c r="HC454">
        <x:f t="shared" si="528"/>
        <x:v>0</x:v>
      </x:c>
      <x:c r="HD454">
        <x:f t="shared" si="529"/>
        <x:v>0</x:v>
      </x:c>
      <x:c r="HE454">
        <x:f t="shared" si="530"/>
        <x:v>0</x:v>
      </x:c>
      <x:c r="HF454">
        <x:f t="shared" si="531"/>
        <x:v>0</x:v>
      </x:c>
      <x:c r="HG454">
        <x:f t="shared" si="532"/>
        <x:v>0</x:v>
      </x:c>
      <x:c r="HH454">
        <x:f t="shared" si="533"/>
        <x:v>0</x:v>
      </x:c>
      <x:c r="HI454">
        <x:f t="shared" si="534"/>
        <x:v>0</x:v>
      </x:c>
      <x:c r="HJ454">
        <x:f t="shared" si="535"/>
        <x:v>0</x:v>
      </x:c>
      <x:c r="HK454">
        <x:f t="shared" si="536"/>
        <x:v>0</x:v>
      </x:c>
      <x:c r="HL454">
        <x:f t="shared" si="537"/>
        <x:v>0</x:v>
      </x:c>
    </x:row>
    <x:row r="455">
      <x:c r="D455" s="74"/>
      <x:c r="EQ455">
        <x:f t="shared" si="464"/>
        <x:v>0</x:v>
      </x:c>
      <x:c r="ER455">
        <x:f t="shared" si="465"/>
        <x:v>0</x:v>
      </x:c>
      <x:c r="ES455">
        <x:f t="shared" si="466"/>
        <x:v>0</x:v>
      </x:c>
      <x:c r="ET455">
        <x:f t="shared" si="467"/>
        <x:v>0</x:v>
      </x:c>
      <x:c r="EU455">
        <x:f t="shared" si="468"/>
        <x:v>0</x:v>
      </x:c>
      <x:c r="EV455">
        <x:f t="shared" si="469"/>
        <x:v>0</x:v>
      </x:c>
      <x:c r="EW455">
        <x:f t="shared" si="470"/>
        <x:v>0</x:v>
      </x:c>
      <x:c r="EX455">
        <x:f t="shared" si="471"/>
        <x:v>0</x:v>
      </x:c>
      <x:c r="EY455">
        <x:f t="shared" si="472"/>
        <x:v>0</x:v>
      </x:c>
      <x:c r="EZ455">
        <x:f t="shared" si="473"/>
        <x:v>0</x:v>
      </x:c>
      <x:c r="FA455" s="41">
        <x:f t="shared" si="474"/>
        <x:v>0</x:v>
      </x:c>
      <x:c r="FB455">
        <x:f t="shared" si="475"/>
        <x:v>0</x:v>
      </x:c>
      <x:c r="FC455">
        <x:f t="shared" si="476"/>
        <x:v>0</x:v>
      </x:c>
      <x:c r="FD455">
        <x:f t="shared" si="477"/>
        <x:v>0</x:v>
      </x:c>
      <x:c r="FE455">
        <x:f t="shared" si="478"/>
        <x:v>0</x:v>
      </x:c>
      <x:c r="FF455">
        <x:f t="shared" si="479"/>
        <x:v>0</x:v>
      </x:c>
      <x:c r="FG455">
        <x:f t="shared" si="480"/>
        <x:v>0</x:v>
      </x:c>
      <x:c r="FH455">
        <x:f t="shared" si="481"/>
        <x:v>0</x:v>
      </x:c>
      <x:c r="FI455">
        <x:f t="shared" si="482"/>
        <x:v>0</x:v>
      </x:c>
      <x:c r="FJ455">
        <x:f t="shared" si="483"/>
        <x:v>0</x:v>
      </x:c>
      <x:c r="FK455">
        <x:f t="shared" si="484"/>
        <x:v>0</x:v>
      </x:c>
      <x:c r="FL455" s="41">
        <x:f t="shared" si="485"/>
        <x:v>0</x:v>
      </x:c>
      <x:c r="FM455">
        <x:f t="shared" si="486"/>
        <x:v>0</x:v>
      </x:c>
      <x:c r="FN455">
        <x:f t="shared" si="487"/>
        <x:v>0</x:v>
      </x:c>
      <x:c r="FO455">
        <x:f t="shared" si="488"/>
        <x:v>0</x:v>
      </x:c>
      <x:c r="FP455">
        <x:f t="shared" si="489"/>
        <x:v>0</x:v>
      </x:c>
      <x:c r="FQ455">
        <x:f t="shared" si="490"/>
        <x:v>0</x:v>
      </x:c>
      <x:c r="FR455">
        <x:f t="shared" si="491"/>
        <x:v>0</x:v>
      </x:c>
      <x:c r="FS455">
        <x:f t="shared" si="492"/>
        <x:v>0</x:v>
      </x:c>
      <x:c r="FT455">
        <x:f t="shared" si="493"/>
        <x:v>0</x:v>
      </x:c>
      <x:c r="FU455">
        <x:f t="shared" si="494"/>
        <x:v>0</x:v>
      </x:c>
      <x:c r="FV455">
        <x:f t="shared" si="495"/>
        <x:v>0</x:v>
      </x:c>
      <x:c r="FW455" s="41">
        <x:f t="shared" si="496"/>
        <x:v>0</x:v>
      </x:c>
      <x:c r="FX455">
        <x:f t="shared" si="497"/>
        <x:v>0</x:v>
      </x:c>
      <x:c r="FY455">
        <x:f t="shared" si="498"/>
        <x:v>0</x:v>
      </x:c>
      <x:c r="FZ455">
        <x:f t="shared" si="499"/>
        <x:v>0</x:v>
      </x:c>
      <x:c r="GA455">
        <x:f t="shared" si="500"/>
        <x:v>0</x:v>
      </x:c>
      <x:c r="GB455">
        <x:f t="shared" si="501"/>
        <x:v>0</x:v>
      </x:c>
      <x:c r="GC455">
        <x:f t="shared" si="502"/>
        <x:v>0</x:v>
      </x:c>
      <x:c r="GD455">
        <x:f t="shared" si="503"/>
        <x:v>0</x:v>
      </x:c>
      <x:c r="GE455">
        <x:f t="shared" si="504"/>
        <x:v>0</x:v>
      </x:c>
      <x:c r="GF455">
        <x:f t="shared" si="505"/>
        <x:v>0</x:v>
      </x:c>
      <x:c r="GG455">
        <x:f t="shared" si="506"/>
        <x:v>0</x:v>
      </x:c>
      <x:c r="GH455">
        <x:f t="shared" si="507"/>
        <x:v>0</x:v>
      </x:c>
      <x:c r="GI455">
        <x:f t="shared" si="508"/>
        <x:v>0</x:v>
      </x:c>
      <x:c r="GJ455">
        <x:f t="shared" si="509"/>
        <x:v>0</x:v>
      </x:c>
      <x:c r="GK455">
        <x:f t="shared" si="510"/>
        <x:v>0</x:v>
      </x:c>
      <x:c r="GL455">
        <x:f t="shared" si="511"/>
        <x:v>0</x:v>
      </x:c>
      <x:c r="GM455">
        <x:f t="shared" si="512"/>
        <x:v>0</x:v>
      </x:c>
      <x:c r="GN455">
        <x:f t="shared" si="513"/>
        <x:v>0</x:v>
      </x:c>
      <x:c r="GO455">
        <x:f t="shared" si="514"/>
        <x:v>0</x:v>
      </x:c>
      <x:c r="GP455">
        <x:f t="shared" si="515"/>
        <x:v>0</x:v>
      </x:c>
      <x:c r="GQ455">
        <x:f t="shared" si="516"/>
        <x:v>0</x:v>
      </x:c>
      <x:c r="GR455" s="42">
        <x:f t="shared" si="517"/>
        <x:v>0</x:v>
      </x:c>
      <x:c r="GS455">
        <x:f t="shared" si="518"/>
        <x:v>0</x:v>
      </x:c>
      <x:c r="GT455">
        <x:f t="shared" si="519"/>
        <x:v>0</x:v>
      </x:c>
      <x:c r="GU455">
        <x:f t="shared" si="520"/>
        <x:v>0</x:v>
      </x:c>
      <x:c r="GV455">
        <x:f t="shared" si="521"/>
        <x:v>0</x:v>
      </x:c>
      <x:c r="GW455">
        <x:f t="shared" si="522"/>
        <x:v>0</x:v>
      </x:c>
      <x:c r="GX455">
        <x:f t="shared" si="523"/>
        <x:v>0</x:v>
      </x:c>
      <x:c r="GY455">
        <x:f t="shared" si="524"/>
        <x:v>0</x:v>
      </x:c>
      <x:c r="GZ455">
        <x:f t="shared" si="525"/>
        <x:v>0</x:v>
      </x:c>
      <x:c r="HA455">
        <x:f t="shared" si="526"/>
        <x:v>0</x:v>
      </x:c>
      <x:c r="HB455" s="42">
        <x:f t="shared" si="527"/>
        <x:v>0</x:v>
      </x:c>
      <x:c r="HC455">
        <x:f t="shared" si="528"/>
        <x:v>0</x:v>
      </x:c>
      <x:c r="HD455">
        <x:f t="shared" si="529"/>
        <x:v>0</x:v>
      </x:c>
      <x:c r="HE455">
        <x:f t="shared" si="530"/>
        <x:v>0</x:v>
      </x:c>
      <x:c r="HF455">
        <x:f t="shared" si="531"/>
        <x:v>0</x:v>
      </x:c>
      <x:c r="HG455">
        <x:f t="shared" si="532"/>
        <x:v>0</x:v>
      </x:c>
      <x:c r="HH455">
        <x:f t="shared" si="533"/>
        <x:v>0</x:v>
      </x:c>
      <x:c r="HI455">
        <x:f t="shared" si="534"/>
        <x:v>0</x:v>
      </x:c>
      <x:c r="HJ455">
        <x:f t="shared" si="535"/>
        <x:v>0</x:v>
      </x:c>
      <x:c r="HK455">
        <x:f t="shared" si="536"/>
        <x:v>0</x:v>
      </x:c>
      <x:c r="HL455">
        <x:f t="shared" si="537"/>
        <x:v>0</x:v>
      </x:c>
    </x:row>
    <x:row r="456">
      <x:c r="D456" s="74"/>
      <x:c r="EQ456">
        <x:f t="shared" si="464"/>
        <x:v>0</x:v>
      </x:c>
      <x:c r="ER456">
        <x:f t="shared" si="465"/>
        <x:v>0</x:v>
      </x:c>
      <x:c r="ES456">
        <x:f t="shared" si="466"/>
        <x:v>0</x:v>
      </x:c>
      <x:c r="ET456">
        <x:f t="shared" si="467"/>
        <x:v>0</x:v>
      </x:c>
      <x:c r="EU456">
        <x:f t="shared" si="468"/>
        <x:v>0</x:v>
      </x:c>
      <x:c r="EV456">
        <x:f t="shared" si="469"/>
        <x:v>0</x:v>
      </x:c>
      <x:c r="EW456">
        <x:f t="shared" si="470"/>
        <x:v>0</x:v>
      </x:c>
      <x:c r="EX456">
        <x:f t="shared" si="471"/>
        <x:v>0</x:v>
      </x:c>
      <x:c r="EY456">
        <x:f t="shared" si="472"/>
        <x:v>0</x:v>
      </x:c>
      <x:c r="EZ456">
        <x:f t="shared" si="473"/>
        <x:v>0</x:v>
      </x:c>
      <x:c r="FA456" s="41">
        <x:f t="shared" si="474"/>
        <x:v>0</x:v>
      </x:c>
      <x:c r="FB456">
        <x:f t="shared" si="475"/>
        <x:v>0</x:v>
      </x:c>
      <x:c r="FC456">
        <x:f t="shared" si="476"/>
        <x:v>0</x:v>
      </x:c>
      <x:c r="FD456">
        <x:f t="shared" si="477"/>
        <x:v>0</x:v>
      </x:c>
      <x:c r="FE456">
        <x:f t="shared" si="478"/>
        <x:v>0</x:v>
      </x:c>
      <x:c r="FF456">
        <x:f t="shared" si="479"/>
        <x:v>0</x:v>
      </x:c>
      <x:c r="FG456">
        <x:f t="shared" si="480"/>
        <x:v>0</x:v>
      </x:c>
      <x:c r="FH456">
        <x:f t="shared" si="481"/>
        <x:v>0</x:v>
      </x:c>
      <x:c r="FI456">
        <x:f t="shared" si="482"/>
        <x:v>0</x:v>
      </x:c>
      <x:c r="FJ456">
        <x:f t="shared" si="483"/>
        <x:v>0</x:v>
      </x:c>
      <x:c r="FK456">
        <x:f t="shared" si="484"/>
        <x:v>0</x:v>
      </x:c>
      <x:c r="FL456" s="41">
        <x:f t="shared" si="485"/>
        <x:v>0</x:v>
      </x:c>
      <x:c r="FM456">
        <x:f t="shared" si="486"/>
        <x:v>0</x:v>
      </x:c>
      <x:c r="FN456">
        <x:f t="shared" si="487"/>
        <x:v>0</x:v>
      </x:c>
      <x:c r="FO456">
        <x:f t="shared" si="488"/>
        <x:v>0</x:v>
      </x:c>
      <x:c r="FP456">
        <x:f t="shared" si="489"/>
        <x:v>0</x:v>
      </x:c>
      <x:c r="FQ456">
        <x:f t="shared" si="490"/>
        <x:v>0</x:v>
      </x:c>
      <x:c r="FR456">
        <x:f t="shared" si="491"/>
        <x:v>0</x:v>
      </x:c>
      <x:c r="FS456">
        <x:f t="shared" si="492"/>
        <x:v>0</x:v>
      </x:c>
      <x:c r="FT456">
        <x:f t="shared" si="493"/>
        <x:v>0</x:v>
      </x:c>
      <x:c r="FU456">
        <x:f t="shared" si="494"/>
        <x:v>0</x:v>
      </x:c>
      <x:c r="FV456">
        <x:f t="shared" si="495"/>
        <x:v>0</x:v>
      </x:c>
      <x:c r="FW456" s="41">
        <x:f t="shared" si="496"/>
        <x:v>0</x:v>
      </x:c>
      <x:c r="FX456">
        <x:f t="shared" si="497"/>
        <x:v>0</x:v>
      </x:c>
      <x:c r="FY456">
        <x:f t="shared" si="498"/>
        <x:v>0</x:v>
      </x:c>
      <x:c r="FZ456">
        <x:f t="shared" si="499"/>
        <x:v>0</x:v>
      </x:c>
      <x:c r="GA456">
        <x:f t="shared" si="500"/>
        <x:v>0</x:v>
      </x:c>
      <x:c r="GB456">
        <x:f t="shared" si="501"/>
        <x:v>0</x:v>
      </x:c>
      <x:c r="GC456">
        <x:f t="shared" si="502"/>
        <x:v>0</x:v>
      </x:c>
      <x:c r="GD456">
        <x:f t="shared" si="503"/>
        <x:v>0</x:v>
      </x:c>
      <x:c r="GE456">
        <x:f t="shared" si="504"/>
        <x:v>0</x:v>
      </x:c>
      <x:c r="GF456">
        <x:f t="shared" si="505"/>
        <x:v>0</x:v>
      </x:c>
      <x:c r="GG456">
        <x:f t="shared" si="506"/>
        <x:v>0</x:v>
      </x:c>
      <x:c r="GH456">
        <x:f t="shared" si="507"/>
        <x:v>0</x:v>
      </x:c>
      <x:c r="GI456">
        <x:f t="shared" si="508"/>
        <x:v>0</x:v>
      </x:c>
      <x:c r="GJ456">
        <x:f t="shared" si="509"/>
        <x:v>0</x:v>
      </x:c>
      <x:c r="GK456">
        <x:f t="shared" si="510"/>
        <x:v>0</x:v>
      </x:c>
      <x:c r="GL456">
        <x:f t="shared" si="511"/>
        <x:v>0</x:v>
      </x:c>
      <x:c r="GM456">
        <x:f t="shared" si="512"/>
        <x:v>0</x:v>
      </x:c>
      <x:c r="GN456">
        <x:f t="shared" si="513"/>
        <x:v>0</x:v>
      </x:c>
      <x:c r="GO456">
        <x:f t="shared" si="514"/>
        <x:v>0</x:v>
      </x:c>
      <x:c r="GP456">
        <x:f t="shared" si="515"/>
        <x:v>0</x:v>
      </x:c>
      <x:c r="GQ456">
        <x:f t="shared" si="516"/>
        <x:v>0</x:v>
      </x:c>
      <x:c r="GR456" s="42">
        <x:f t="shared" si="517"/>
        <x:v>0</x:v>
      </x:c>
      <x:c r="GS456">
        <x:f t="shared" si="518"/>
        <x:v>0</x:v>
      </x:c>
      <x:c r="GT456">
        <x:f t="shared" si="519"/>
        <x:v>0</x:v>
      </x:c>
      <x:c r="GU456">
        <x:f t="shared" si="520"/>
        <x:v>0</x:v>
      </x:c>
      <x:c r="GV456">
        <x:f t="shared" si="521"/>
        <x:v>0</x:v>
      </x:c>
      <x:c r="GW456">
        <x:f t="shared" si="522"/>
        <x:v>0</x:v>
      </x:c>
      <x:c r="GX456">
        <x:f t="shared" si="523"/>
        <x:v>0</x:v>
      </x:c>
      <x:c r="GY456">
        <x:f t="shared" si="524"/>
        <x:v>0</x:v>
      </x:c>
      <x:c r="GZ456">
        <x:f t="shared" si="525"/>
        <x:v>0</x:v>
      </x:c>
      <x:c r="HA456">
        <x:f t="shared" si="526"/>
        <x:v>0</x:v>
      </x:c>
      <x:c r="HB456" s="42">
        <x:f t="shared" si="527"/>
        <x:v>0</x:v>
      </x:c>
      <x:c r="HC456">
        <x:f t="shared" si="528"/>
        <x:v>0</x:v>
      </x:c>
      <x:c r="HD456">
        <x:f t="shared" si="529"/>
        <x:v>0</x:v>
      </x:c>
      <x:c r="HE456">
        <x:f t="shared" si="530"/>
        <x:v>0</x:v>
      </x:c>
      <x:c r="HF456">
        <x:f t="shared" si="531"/>
        <x:v>0</x:v>
      </x:c>
      <x:c r="HG456">
        <x:f t="shared" si="532"/>
        <x:v>0</x:v>
      </x:c>
      <x:c r="HH456">
        <x:f t="shared" si="533"/>
        <x:v>0</x:v>
      </x:c>
      <x:c r="HI456">
        <x:f t="shared" si="534"/>
        <x:v>0</x:v>
      </x:c>
      <x:c r="HJ456">
        <x:f t="shared" si="535"/>
        <x:v>0</x:v>
      </x:c>
      <x:c r="HK456">
        <x:f t="shared" si="536"/>
        <x:v>0</x:v>
      </x:c>
      <x:c r="HL456">
        <x:f t="shared" si="537"/>
        <x:v>0</x:v>
      </x:c>
    </x:row>
    <x:row r="457">
      <x:c r="D457" s="74"/>
      <x:c r="EQ457">
        <x:f t="shared" si="464"/>
        <x:v>0</x:v>
      </x:c>
      <x:c r="ER457">
        <x:f t="shared" si="465"/>
        <x:v>0</x:v>
      </x:c>
      <x:c r="ES457">
        <x:f t="shared" si="466"/>
        <x:v>0</x:v>
      </x:c>
      <x:c r="ET457">
        <x:f t="shared" si="467"/>
        <x:v>0</x:v>
      </x:c>
      <x:c r="EU457">
        <x:f t="shared" si="468"/>
        <x:v>0</x:v>
      </x:c>
      <x:c r="EV457">
        <x:f t="shared" si="469"/>
        <x:v>0</x:v>
      </x:c>
      <x:c r="EW457">
        <x:f t="shared" si="470"/>
        <x:v>0</x:v>
      </x:c>
      <x:c r="EX457">
        <x:f t="shared" si="471"/>
        <x:v>0</x:v>
      </x:c>
      <x:c r="EY457">
        <x:f t="shared" si="472"/>
        <x:v>0</x:v>
      </x:c>
      <x:c r="EZ457">
        <x:f t="shared" si="473"/>
        <x:v>0</x:v>
      </x:c>
      <x:c r="FA457" s="41">
        <x:f t="shared" si="474"/>
        <x:v>0</x:v>
      </x:c>
      <x:c r="FB457">
        <x:f t="shared" si="475"/>
        <x:v>0</x:v>
      </x:c>
      <x:c r="FC457">
        <x:f t="shared" si="476"/>
        <x:v>0</x:v>
      </x:c>
      <x:c r="FD457">
        <x:f t="shared" si="477"/>
        <x:v>0</x:v>
      </x:c>
      <x:c r="FE457">
        <x:f t="shared" si="478"/>
        <x:v>0</x:v>
      </x:c>
      <x:c r="FF457">
        <x:f t="shared" si="479"/>
        <x:v>0</x:v>
      </x:c>
      <x:c r="FG457">
        <x:f t="shared" si="480"/>
        <x:v>0</x:v>
      </x:c>
      <x:c r="FH457">
        <x:f t="shared" si="481"/>
        <x:v>0</x:v>
      </x:c>
      <x:c r="FI457">
        <x:f t="shared" si="482"/>
        <x:v>0</x:v>
      </x:c>
      <x:c r="FJ457">
        <x:f t="shared" si="483"/>
        <x:v>0</x:v>
      </x:c>
      <x:c r="FK457">
        <x:f t="shared" si="484"/>
        <x:v>0</x:v>
      </x:c>
      <x:c r="FL457" s="41">
        <x:f t="shared" si="485"/>
        <x:v>0</x:v>
      </x:c>
      <x:c r="FM457">
        <x:f t="shared" si="486"/>
        <x:v>0</x:v>
      </x:c>
      <x:c r="FN457">
        <x:f t="shared" si="487"/>
        <x:v>0</x:v>
      </x:c>
      <x:c r="FO457">
        <x:f t="shared" si="488"/>
        <x:v>0</x:v>
      </x:c>
      <x:c r="FP457">
        <x:f t="shared" si="489"/>
        <x:v>0</x:v>
      </x:c>
      <x:c r="FQ457">
        <x:f t="shared" si="490"/>
        <x:v>0</x:v>
      </x:c>
      <x:c r="FR457">
        <x:f t="shared" si="491"/>
        <x:v>0</x:v>
      </x:c>
      <x:c r="FS457">
        <x:f t="shared" si="492"/>
        <x:v>0</x:v>
      </x:c>
      <x:c r="FT457">
        <x:f t="shared" si="493"/>
        <x:v>0</x:v>
      </x:c>
      <x:c r="FU457">
        <x:f t="shared" si="494"/>
        <x:v>0</x:v>
      </x:c>
      <x:c r="FV457">
        <x:f t="shared" si="495"/>
        <x:v>0</x:v>
      </x:c>
      <x:c r="FW457" s="41">
        <x:f t="shared" si="496"/>
        <x:v>0</x:v>
      </x:c>
      <x:c r="FX457">
        <x:f t="shared" si="497"/>
        <x:v>0</x:v>
      </x:c>
      <x:c r="FY457">
        <x:f t="shared" si="498"/>
        <x:v>0</x:v>
      </x:c>
      <x:c r="FZ457">
        <x:f t="shared" si="499"/>
        <x:v>0</x:v>
      </x:c>
      <x:c r="GA457">
        <x:f t="shared" si="500"/>
        <x:v>0</x:v>
      </x:c>
      <x:c r="GB457">
        <x:f t="shared" si="501"/>
        <x:v>0</x:v>
      </x:c>
      <x:c r="GC457">
        <x:f t="shared" si="502"/>
        <x:v>0</x:v>
      </x:c>
      <x:c r="GD457">
        <x:f t="shared" si="503"/>
        <x:v>0</x:v>
      </x:c>
      <x:c r="GE457">
        <x:f t="shared" si="504"/>
        <x:v>0</x:v>
      </x:c>
      <x:c r="GF457">
        <x:f t="shared" si="505"/>
        <x:v>0</x:v>
      </x:c>
      <x:c r="GG457">
        <x:f t="shared" si="506"/>
        <x:v>0</x:v>
      </x:c>
      <x:c r="GH457">
        <x:f t="shared" si="507"/>
        <x:v>0</x:v>
      </x:c>
      <x:c r="GI457">
        <x:f t="shared" si="508"/>
        <x:v>0</x:v>
      </x:c>
      <x:c r="GJ457">
        <x:f t="shared" si="509"/>
        <x:v>0</x:v>
      </x:c>
      <x:c r="GK457">
        <x:f t="shared" si="510"/>
        <x:v>0</x:v>
      </x:c>
      <x:c r="GL457">
        <x:f t="shared" si="511"/>
        <x:v>0</x:v>
      </x:c>
      <x:c r="GM457">
        <x:f t="shared" si="512"/>
        <x:v>0</x:v>
      </x:c>
      <x:c r="GN457">
        <x:f t="shared" si="513"/>
        <x:v>0</x:v>
      </x:c>
      <x:c r="GO457">
        <x:f t="shared" si="514"/>
        <x:v>0</x:v>
      </x:c>
      <x:c r="GP457">
        <x:f t="shared" si="515"/>
        <x:v>0</x:v>
      </x:c>
      <x:c r="GQ457">
        <x:f t="shared" si="516"/>
        <x:v>0</x:v>
      </x:c>
      <x:c r="GR457" s="42">
        <x:f t="shared" si="517"/>
        <x:v>0</x:v>
      </x:c>
      <x:c r="GS457">
        <x:f t="shared" si="518"/>
        <x:v>0</x:v>
      </x:c>
      <x:c r="GT457">
        <x:f t="shared" si="519"/>
        <x:v>0</x:v>
      </x:c>
      <x:c r="GU457">
        <x:f t="shared" si="520"/>
        <x:v>0</x:v>
      </x:c>
      <x:c r="GV457">
        <x:f t="shared" si="521"/>
        <x:v>0</x:v>
      </x:c>
      <x:c r="GW457">
        <x:f t="shared" si="522"/>
        <x:v>0</x:v>
      </x:c>
      <x:c r="GX457">
        <x:f t="shared" si="523"/>
        <x:v>0</x:v>
      </x:c>
      <x:c r="GY457">
        <x:f t="shared" si="524"/>
        <x:v>0</x:v>
      </x:c>
      <x:c r="GZ457">
        <x:f t="shared" si="525"/>
        <x:v>0</x:v>
      </x:c>
      <x:c r="HA457">
        <x:f t="shared" si="526"/>
        <x:v>0</x:v>
      </x:c>
      <x:c r="HB457" s="42">
        <x:f t="shared" si="527"/>
        <x:v>0</x:v>
      </x:c>
      <x:c r="HC457">
        <x:f t="shared" si="528"/>
        <x:v>0</x:v>
      </x:c>
      <x:c r="HD457">
        <x:f t="shared" si="529"/>
        <x:v>0</x:v>
      </x:c>
      <x:c r="HE457">
        <x:f t="shared" si="530"/>
        <x:v>0</x:v>
      </x:c>
      <x:c r="HF457">
        <x:f t="shared" si="531"/>
        <x:v>0</x:v>
      </x:c>
      <x:c r="HG457">
        <x:f t="shared" si="532"/>
        <x:v>0</x:v>
      </x:c>
      <x:c r="HH457">
        <x:f t="shared" si="533"/>
        <x:v>0</x:v>
      </x:c>
      <x:c r="HI457">
        <x:f t="shared" si="534"/>
        <x:v>0</x:v>
      </x:c>
      <x:c r="HJ457">
        <x:f t="shared" si="535"/>
        <x:v>0</x:v>
      </x:c>
      <x:c r="HK457">
        <x:f t="shared" si="536"/>
        <x:v>0</x:v>
      </x:c>
      <x:c r="HL457">
        <x:f t="shared" si="537"/>
        <x:v>0</x:v>
      </x:c>
    </x:row>
    <x:row r="458">
      <x:c r="D458" s="74"/>
      <x:c r="EQ458">
        <x:f t="shared" si="464"/>
        <x:v>0</x:v>
      </x:c>
      <x:c r="ER458">
        <x:f t="shared" si="465"/>
        <x:v>0</x:v>
      </x:c>
      <x:c r="ES458">
        <x:f t="shared" si="466"/>
        <x:v>0</x:v>
      </x:c>
      <x:c r="ET458">
        <x:f t="shared" si="467"/>
        <x:v>0</x:v>
      </x:c>
      <x:c r="EU458">
        <x:f t="shared" si="468"/>
        <x:v>0</x:v>
      </x:c>
      <x:c r="EV458">
        <x:f t="shared" si="469"/>
        <x:v>0</x:v>
      </x:c>
      <x:c r="EW458">
        <x:f t="shared" si="470"/>
        <x:v>0</x:v>
      </x:c>
      <x:c r="EX458">
        <x:f t="shared" si="471"/>
        <x:v>0</x:v>
      </x:c>
      <x:c r="EY458">
        <x:f t="shared" si="472"/>
        <x:v>0</x:v>
      </x:c>
      <x:c r="EZ458">
        <x:f t="shared" si="473"/>
        <x:v>0</x:v>
      </x:c>
      <x:c r="FA458" s="41">
        <x:f t="shared" si="474"/>
        <x:v>0</x:v>
      </x:c>
      <x:c r="FB458">
        <x:f t="shared" si="475"/>
        <x:v>0</x:v>
      </x:c>
      <x:c r="FC458">
        <x:f t="shared" si="476"/>
        <x:v>0</x:v>
      </x:c>
      <x:c r="FD458">
        <x:f t="shared" si="477"/>
        <x:v>0</x:v>
      </x:c>
      <x:c r="FE458">
        <x:f t="shared" si="478"/>
        <x:v>0</x:v>
      </x:c>
      <x:c r="FF458">
        <x:f t="shared" si="479"/>
        <x:v>0</x:v>
      </x:c>
      <x:c r="FG458">
        <x:f t="shared" si="480"/>
        <x:v>0</x:v>
      </x:c>
      <x:c r="FH458">
        <x:f t="shared" si="481"/>
        <x:v>0</x:v>
      </x:c>
      <x:c r="FI458">
        <x:f t="shared" si="482"/>
        <x:v>0</x:v>
      </x:c>
      <x:c r="FJ458">
        <x:f t="shared" si="483"/>
        <x:v>0</x:v>
      </x:c>
      <x:c r="FK458">
        <x:f t="shared" si="484"/>
        <x:v>0</x:v>
      </x:c>
      <x:c r="FL458" s="41">
        <x:f t="shared" si="485"/>
        <x:v>0</x:v>
      </x:c>
      <x:c r="FM458">
        <x:f t="shared" si="486"/>
        <x:v>0</x:v>
      </x:c>
      <x:c r="FN458">
        <x:f t="shared" si="487"/>
        <x:v>0</x:v>
      </x:c>
      <x:c r="FO458">
        <x:f t="shared" si="488"/>
        <x:v>0</x:v>
      </x:c>
      <x:c r="FP458">
        <x:f t="shared" si="489"/>
        <x:v>0</x:v>
      </x:c>
      <x:c r="FQ458">
        <x:f t="shared" si="490"/>
        <x:v>0</x:v>
      </x:c>
      <x:c r="FR458">
        <x:f t="shared" si="491"/>
        <x:v>0</x:v>
      </x:c>
      <x:c r="FS458">
        <x:f t="shared" si="492"/>
        <x:v>0</x:v>
      </x:c>
      <x:c r="FT458">
        <x:f t="shared" si="493"/>
        <x:v>0</x:v>
      </x:c>
      <x:c r="FU458">
        <x:f t="shared" si="494"/>
        <x:v>0</x:v>
      </x:c>
      <x:c r="FV458">
        <x:f t="shared" si="495"/>
        <x:v>0</x:v>
      </x:c>
      <x:c r="FW458" s="41">
        <x:f t="shared" si="496"/>
        <x:v>0</x:v>
      </x:c>
      <x:c r="FX458">
        <x:f t="shared" si="497"/>
        <x:v>0</x:v>
      </x:c>
      <x:c r="FY458">
        <x:f t="shared" si="498"/>
        <x:v>0</x:v>
      </x:c>
      <x:c r="FZ458">
        <x:f t="shared" si="499"/>
        <x:v>0</x:v>
      </x:c>
      <x:c r="GA458">
        <x:f t="shared" si="500"/>
        <x:v>0</x:v>
      </x:c>
      <x:c r="GB458">
        <x:f t="shared" si="501"/>
        <x:v>0</x:v>
      </x:c>
      <x:c r="GC458">
        <x:f t="shared" si="502"/>
        <x:v>0</x:v>
      </x:c>
      <x:c r="GD458">
        <x:f t="shared" si="503"/>
        <x:v>0</x:v>
      </x:c>
      <x:c r="GE458">
        <x:f t="shared" si="504"/>
        <x:v>0</x:v>
      </x:c>
      <x:c r="GF458">
        <x:f t="shared" si="505"/>
        <x:v>0</x:v>
      </x:c>
      <x:c r="GG458">
        <x:f t="shared" si="506"/>
        <x:v>0</x:v>
      </x:c>
      <x:c r="GH458">
        <x:f t="shared" si="507"/>
        <x:v>0</x:v>
      </x:c>
      <x:c r="GI458">
        <x:f t="shared" si="508"/>
        <x:v>0</x:v>
      </x:c>
      <x:c r="GJ458">
        <x:f t="shared" si="509"/>
        <x:v>0</x:v>
      </x:c>
      <x:c r="GK458">
        <x:f t="shared" si="510"/>
        <x:v>0</x:v>
      </x:c>
      <x:c r="GL458">
        <x:f t="shared" si="511"/>
        <x:v>0</x:v>
      </x:c>
      <x:c r="GM458">
        <x:f t="shared" si="512"/>
        <x:v>0</x:v>
      </x:c>
      <x:c r="GN458">
        <x:f t="shared" si="513"/>
        <x:v>0</x:v>
      </x:c>
      <x:c r="GO458">
        <x:f t="shared" si="514"/>
        <x:v>0</x:v>
      </x:c>
      <x:c r="GP458">
        <x:f t="shared" si="515"/>
        <x:v>0</x:v>
      </x:c>
      <x:c r="GQ458">
        <x:f t="shared" si="516"/>
        <x:v>0</x:v>
      </x:c>
      <x:c r="GR458" s="42">
        <x:f t="shared" si="517"/>
        <x:v>0</x:v>
      </x:c>
      <x:c r="GS458">
        <x:f t="shared" si="518"/>
        <x:v>0</x:v>
      </x:c>
      <x:c r="GT458">
        <x:f t="shared" si="519"/>
        <x:v>0</x:v>
      </x:c>
      <x:c r="GU458">
        <x:f t="shared" si="520"/>
        <x:v>0</x:v>
      </x:c>
      <x:c r="GV458">
        <x:f t="shared" si="521"/>
        <x:v>0</x:v>
      </x:c>
      <x:c r="GW458">
        <x:f t="shared" si="522"/>
        <x:v>0</x:v>
      </x:c>
      <x:c r="GX458">
        <x:f t="shared" si="523"/>
        <x:v>0</x:v>
      </x:c>
      <x:c r="GY458">
        <x:f t="shared" si="524"/>
        <x:v>0</x:v>
      </x:c>
      <x:c r="GZ458">
        <x:f t="shared" si="525"/>
        <x:v>0</x:v>
      </x:c>
      <x:c r="HA458">
        <x:f t="shared" si="526"/>
        <x:v>0</x:v>
      </x:c>
      <x:c r="HB458" s="42">
        <x:f t="shared" si="527"/>
        <x:v>0</x:v>
      </x:c>
      <x:c r="HC458">
        <x:f t="shared" si="528"/>
        <x:v>0</x:v>
      </x:c>
      <x:c r="HD458">
        <x:f t="shared" si="529"/>
        <x:v>0</x:v>
      </x:c>
      <x:c r="HE458">
        <x:f t="shared" si="530"/>
        <x:v>0</x:v>
      </x:c>
      <x:c r="HF458">
        <x:f t="shared" si="531"/>
        <x:v>0</x:v>
      </x:c>
      <x:c r="HG458">
        <x:f t="shared" si="532"/>
        <x:v>0</x:v>
      </x:c>
      <x:c r="HH458">
        <x:f t="shared" si="533"/>
        <x:v>0</x:v>
      </x:c>
      <x:c r="HI458">
        <x:f t="shared" si="534"/>
        <x:v>0</x:v>
      </x:c>
      <x:c r="HJ458">
        <x:f t="shared" si="535"/>
        <x:v>0</x:v>
      </x:c>
      <x:c r="HK458">
        <x:f t="shared" si="536"/>
        <x:v>0</x:v>
      </x:c>
      <x:c r="HL458">
        <x:f t="shared" si="537"/>
        <x:v>0</x:v>
      </x:c>
    </x:row>
    <x:row r="459">
      <x:c r="D459" s="74"/>
      <x:c r="EQ459">
        <x:f t="shared" si="464"/>
        <x:v>0</x:v>
      </x:c>
      <x:c r="ER459">
        <x:f t="shared" si="465"/>
        <x:v>0</x:v>
      </x:c>
      <x:c r="ES459">
        <x:f t="shared" si="466"/>
        <x:v>0</x:v>
      </x:c>
      <x:c r="ET459">
        <x:f t="shared" si="467"/>
        <x:v>0</x:v>
      </x:c>
      <x:c r="EU459">
        <x:f t="shared" si="468"/>
        <x:v>0</x:v>
      </x:c>
      <x:c r="EV459">
        <x:f t="shared" si="469"/>
        <x:v>0</x:v>
      </x:c>
      <x:c r="EW459">
        <x:f t="shared" si="470"/>
        <x:v>0</x:v>
      </x:c>
      <x:c r="EX459">
        <x:f t="shared" si="471"/>
        <x:v>0</x:v>
      </x:c>
      <x:c r="EY459">
        <x:f t="shared" si="472"/>
        <x:v>0</x:v>
      </x:c>
      <x:c r="EZ459">
        <x:f t="shared" si="473"/>
        <x:v>0</x:v>
      </x:c>
      <x:c r="FA459" s="41">
        <x:f t="shared" si="474"/>
        <x:v>0</x:v>
      </x:c>
      <x:c r="FB459">
        <x:f t="shared" si="475"/>
        <x:v>0</x:v>
      </x:c>
      <x:c r="FC459">
        <x:f t="shared" si="476"/>
        <x:v>0</x:v>
      </x:c>
      <x:c r="FD459">
        <x:f t="shared" si="477"/>
        <x:v>0</x:v>
      </x:c>
      <x:c r="FE459">
        <x:f t="shared" si="478"/>
        <x:v>0</x:v>
      </x:c>
      <x:c r="FF459">
        <x:f t="shared" si="479"/>
        <x:v>0</x:v>
      </x:c>
      <x:c r="FG459">
        <x:f t="shared" si="480"/>
        <x:v>0</x:v>
      </x:c>
      <x:c r="FH459">
        <x:f t="shared" si="481"/>
        <x:v>0</x:v>
      </x:c>
      <x:c r="FI459">
        <x:f t="shared" si="482"/>
        <x:v>0</x:v>
      </x:c>
      <x:c r="FJ459">
        <x:f t="shared" si="483"/>
        <x:v>0</x:v>
      </x:c>
      <x:c r="FK459">
        <x:f t="shared" si="484"/>
        <x:v>0</x:v>
      </x:c>
      <x:c r="FL459" s="41">
        <x:f t="shared" si="485"/>
        <x:v>0</x:v>
      </x:c>
      <x:c r="FM459">
        <x:f t="shared" si="486"/>
        <x:v>0</x:v>
      </x:c>
      <x:c r="FN459">
        <x:f t="shared" si="487"/>
        <x:v>0</x:v>
      </x:c>
      <x:c r="FO459">
        <x:f t="shared" si="488"/>
        <x:v>0</x:v>
      </x:c>
      <x:c r="FP459">
        <x:f t="shared" si="489"/>
        <x:v>0</x:v>
      </x:c>
      <x:c r="FQ459">
        <x:f t="shared" si="490"/>
        <x:v>0</x:v>
      </x:c>
      <x:c r="FR459">
        <x:f t="shared" si="491"/>
        <x:v>0</x:v>
      </x:c>
      <x:c r="FS459">
        <x:f t="shared" si="492"/>
        <x:v>0</x:v>
      </x:c>
      <x:c r="FT459">
        <x:f t="shared" si="493"/>
        <x:v>0</x:v>
      </x:c>
      <x:c r="FU459">
        <x:f t="shared" si="494"/>
        <x:v>0</x:v>
      </x:c>
      <x:c r="FV459">
        <x:f t="shared" si="495"/>
        <x:v>0</x:v>
      </x:c>
      <x:c r="FW459" s="41">
        <x:f t="shared" si="496"/>
        <x:v>0</x:v>
      </x:c>
      <x:c r="FX459">
        <x:f t="shared" si="497"/>
        <x:v>0</x:v>
      </x:c>
      <x:c r="FY459">
        <x:f t="shared" si="498"/>
        <x:v>0</x:v>
      </x:c>
      <x:c r="FZ459">
        <x:f t="shared" si="499"/>
        <x:v>0</x:v>
      </x:c>
      <x:c r="GA459">
        <x:f t="shared" si="500"/>
        <x:v>0</x:v>
      </x:c>
      <x:c r="GB459">
        <x:f t="shared" si="501"/>
        <x:v>0</x:v>
      </x:c>
      <x:c r="GC459">
        <x:f t="shared" si="502"/>
        <x:v>0</x:v>
      </x:c>
      <x:c r="GD459">
        <x:f t="shared" si="503"/>
        <x:v>0</x:v>
      </x:c>
      <x:c r="GE459">
        <x:f t="shared" si="504"/>
        <x:v>0</x:v>
      </x:c>
      <x:c r="GF459">
        <x:f t="shared" si="505"/>
        <x:v>0</x:v>
      </x:c>
      <x:c r="GG459">
        <x:f t="shared" si="506"/>
        <x:v>0</x:v>
      </x:c>
      <x:c r="GH459">
        <x:f t="shared" si="507"/>
        <x:v>0</x:v>
      </x:c>
      <x:c r="GI459">
        <x:f t="shared" si="508"/>
        <x:v>0</x:v>
      </x:c>
      <x:c r="GJ459">
        <x:f t="shared" si="509"/>
        <x:v>0</x:v>
      </x:c>
      <x:c r="GK459">
        <x:f t="shared" si="510"/>
        <x:v>0</x:v>
      </x:c>
      <x:c r="GL459">
        <x:f t="shared" si="511"/>
        <x:v>0</x:v>
      </x:c>
      <x:c r="GM459">
        <x:f t="shared" si="512"/>
        <x:v>0</x:v>
      </x:c>
      <x:c r="GN459">
        <x:f t="shared" si="513"/>
        <x:v>0</x:v>
      </x:c>
      <x:c r="GO459">
        <x:f t="shared" si="514"/>
        <x:v>0</x:v>
      </x:c>
      <x:c r="GP459">
        <x:f t="shared" si="515"/>
        <x:v>0</x:v>
      </x:c>
      <x:c r="GQ459">
        <x:f t="shared" si="516"/>
        <x:v>0</x:v>
      </x:c>
      <x:c r="GR459" s="42">
        <x:f t="shared" si="517"/>
        <x:v>0</x:v>
      </x:c>
      <x:c r="GS459">
        <x:f t="shared" si="518"/>
        <x:v>0</x:v>
      </x:c>
      <x:c r="GT459">
        <x:f t="shared" si="519"/>
        <x:v>0</x:v>
      </x:c>
      <x:c r="GU459">
        <x:f t="shared" si="520"/>
        <x:v>0</x:v>
      </x:c>
      <x:c r="GV459">
        <x:f t="shared" si="521"/>
        <x:v>0</x:v>
      </x:c>
      <x:c r="GW459">
        <x:f t="shared" si="522"/>
        <x:v>0</x:v>
      </x:c>
      <x:c r="GX459">
        <x:f t="shared" si="523"/>
        <x:v>0</x:v>
      </x:c>
      <x:c r="GY459">
        <x:f t="shared" si="524"/>
        <x:v>0</x:v>
      </x:c>
      <x:c r="GZ459">
        <x:f t="shared" si="525"/>
        <x:v>0</x:v>
      </x:c>
      <x:c r="HA459">
        <x:f t="shared" si="526"/>
        <x:v>0</x:v>
      </x:c>
      <x:c r="HB459" s="42">
        <x:f t="shared" si="527"/>
        <x:v>0</x:v>
      </x:c>
      <x:c r="HC459">
        <x:f t="shared" si="528"/>
        <x:v>0</x:v>
      </x:c>
      <x:c r="HD459">
        <x:f t="shared" si="529"/>
        <x:v>0</x:v>
      </x:c>
      <x:c r="HE459">
        <x:f t="shared" si="530"/>
        <x:v>0</x:v>
      </x:c>
      <x:c r="HF459">
        <x:f t="shared" si="531"/>
        <x:v>0</x:v>
      </x:c>
      <x:c r="HG459">
        <x:f t="shared" si="532"/>
        <x:v>0</x:v>
      </x:c>
      <x:c r="HH459">
        <x:f t="shared" si="533"/>
        <x:v>0</x:v>
      </x:c>
      <x:c r="HI459">
        <x:f t="shared" si="534"/>
        <x:v>0</x:v>
      </x:c>
      <x:c r="HJ459">
        <x:f t="shared" si="535"/>
        <x:v>0</x:v>
      </x:c>
      <x:c r="HK459">
        <x:f t="shared" si="536"/>
        <x:v>0</x:v>
      </x:c>
      <x:c r="HL459">
        <x:f t="shared" si="537"/>
        <x:v>0</x:v>
      </x:c>
    </x:row>
    <x:row r="460">
      <x:c r="D460" s="74"/>
      <x:c r="EQ460">
        <x:f t="shared" si="464"/>
        <x:v>0</x:v>
      </x:c>
      <x:c r="ER460">
        <x:f t="shared" si="465"/>
        <x:v>0</x:v>
      </x:c>
      <x:c r="ES460">
        <x:f t="shared" si="466"/>
        <x:v>0</x:v>
      </x:c>
      <x:c r="ET460">
        <x:f t="shared" si="467"/>
        <x:v>0</x:v>
      </x:c>
      <x:c r="EU460">
        <x:f t="shared" si="468"/>
        <x:v>0</x:v>
      </x:c>
      <x:c r="EV460">
        <x:f t="shared" si="469"/>
        <x:v>0</x:v>
      </x:c>
      <x:c r="EW460">
        <x:f t="shared" si="470"/>
        <x:v>0</x:v>
      </x:c>
      <x:c r="EX460">
        <x:f t="shared" si="471"/>
        <x:v>0</x:v>
      </x:c>
      <x:c r="EY460">
        <x:f t="shared" si="472"/>
        <x:v>0</x:v>
      </x:c>
      <x:c r="EZ460">
        <x:f t="shared" si="473"/>
        <x:v>0</x:v>
      </x:c>
      <x:c r="FA460" s="41">
        <x:f t="shared" si="474"/>
        <x:v>0</x:v>
      </x:c>
      <x:c r="FB460">
        <x:f t="shared" si="475"/>
        <x:v>0</x:v>
      </x:c>
      <x:c r="FC460">
        <x:f t="shared" si="476"/>
        <x:v>0</x:v>
      </x:c>
      <x:c r="FD460">
        <x:f t="shared" si="477"/>
        <x:v>0</x:v>
      </x:c>
      <x:c r="FE460">
        <x:f t="shared" si="478"/>
        <x:v>0</x:v>
      </x:c>
      <x:c r="FF460">
        <x:f t="shared" si="479"/>
        <x:v>0</x:v>
      </x:c>
      <x:c r="FG460">
        <x:f t="shared" si="480"/>
        <x:v>0</x:v>
      </x:c>
      <x:c r="FH460">
        <x:f t="shared" si="481"/>
        <x:v>0</x:v>
      </x:c>
      <x:c r="FI460">
        <x:f t="shared" si="482"/>
        <x:v>0</x:v>
      </x:c>
      <x:c r="FJ460">
        <x:f t="shared" si="483"/>
        <x:v>0</x:v>
      </x:c>
      <x:c r="FK460">
        <x:f t="shared" si="484"/>
        <x:v>0</x:v>
      </x:c>
      <x:c r="FL460" s="41">
        <x:f t="shared" si="485"/>
        <x:v>0</x:v>
      </x:c>
      <x:c r="FM460">
        <x:f t="shared" si="486"/>
        <x:v>0</x:v>
      </x:c>
      <x:c r="FN460">
        <x:f t="shared" si="487"/>
        <x:v>0</x:v>
      </x:c>
      <x:c r="FO460">
        <x:f t="shared" si="488"/>
        <x:v>0</x:v>
      </x:c>
      <x:c r="FP460">
        <x:f t="shared" si="489"/>
        <x:v>0</x:v>
      </x:c>
      <x:c r="FQ460">
        <x:f t="shared" si="490"/>
        <x:v>0</x:v>
      </x:c>
      <x:c r="FR460">
        <x:f t="shared" si="491"/>
        <x:v>0</x:v>
      </x:c>
      <x:c r="FS460">
        <x:f t="shared" si="492"/>
        <x:v>0</x:v>
      </x:c>
      <x:c r="FT460">
        <x:f t="shared" si="493"/>
        <x:v>0</x:v>
      </x:c>
      <x:c r="FU460">
        <x:f t="shared" si="494"/>
        <x:v>0</x:v>
      </x:c>
      <x:c r="FV460">
        <x:f t="shared" si="495"/>
        <x:v>0</x:v>
      </x:c>
      <x:c r="FW460" s="41">
        <x:f t="shared" si="496"/>
        <x:v>0</x:v>
      </x:c>
      <x:c r="FX460">
        <x:f t="shared" si="497"/>
        <x:v>0</x:v>
      </x:c>
      <x:c r="FY460">
        <x:f t="shared" si="498"/>
        <x:v>0</x:v>
      </x:c>
      <x:c r="FZ460">
        <x:f t="shared" si="499"/>
        <x:v>0</x:v>
      </x:c>
      <x:c r="GA460">
        <x:f t="shared" si="500"/>
        <x:v>0</x:v>
      </x:c>
      <x:c r="GB460">
        <x:f t="shared" si="501"/>
        <x:v>0</x:v>
      </x:c>
      <x:c r="GC460">
        <x:f t="shared" si="502"/>
        <x:v>0</x:v>
      </x:c>
      <x:c r="GD460">
        <x:f t="shared" si="503"/>
        <x:v>0</x:v>
      </x:c>
      <x:c r="GE460">
        <x:f t="shared" si="504"/>
        <x:v>0</x:v>
      </x:c>
      <x:c r="GF460">
        <x:f t="shared" si="505"/>
        <x:v>0</x:v>
      </x:c>
      <x:c r="GG460">
        <x:f t="shared" si="506"/>
        <x:v>0</x:v>
      </x:c>
      <x:c r="GH460">
        <x:f t="shared" si="507"/>
        <x:v>0</x:v>
      </x:c>
      <x:c r="GI460">
        <x:f t="shared" si="508"/>
        <x:v>0</x:v>
      </x:c>
      <x:c r="GJ460">
        <x:f t="shared" si="509"/>
        <x:v>0</x:v>
      </x:c>
      <x:c r="GK460">
        <x:f t="shared" si="510"/>
        <x:v>0</x:v>
      </x:c>
      <x:c r="GL460">
        <x:f t="shared" si="511"/>
        <x:v>0</x:v>
      </x:c>
      <x:c r="GM460">
        <x:f t="shared" si="512"/>
        <x:v>0</x:v>
      </x:c>
      <x:c r="GN460">
        <x:f t="shared" si="513"/>
        <x:v>0</x:v>
      </x:c>
      <x:c r="GO460">
        <x:f t="shared" si="514"/>
        <x:v>0</x:v>
      </x:c>
      <x:c r="GP460">
        <x:f t="shared" si="515"/>
        <x:v>0</x:v>
      </x:c>
      <x:c r="GQ460">
        <x:f t="shared" si="516"/>
        <x:v>0</x:v>
      </x:c>
      <x:c r="GR460" s="42">
        <x:f t="shared" si="517"/>
        <x:v>0</x:v>
      </x:c>
      <x:c r="GS460">
        <x:f t="shared" si="518"/>
        <x:v>0</x:v>
      </x:c>
      <x:c r="GT460">
        <x:f t="shared" si="519"/>
        <x:v>0</x:v>
      </x:c>
      <x:c r="GU460">
        <x:f t="shared" si="520"/>
        <x:v>0</x:v>
      </x:c>
      <x:c r="GV460">
        <x:f t="shared" si="521"/>
        <x:v>0</x:v>
      </x:c>
      <x:c r="GW460">
        <x:f t="shared" si="522"/>
        <x:v>0</x:v>
      </x:c>
      <x:c r="GX460">
        <x:f t="shared" si="523"/>
        <x:v>0</x:v>
      </x:c>
      <x:c r="GY460">
        <x:f t="shared" si="524"/>
        <x:v>0</x:v>
      </x:c>
      <x:c r="GZ460">
        <x:f t="shared" si="525"/>
        <x:v>0</x:v>
      </x:c>
      <x:c r="HA460">
        <x:f t="shared" si="526"/>
        <x:v>0</x:v>
      </x:c>
      <x:c r="HB460" s="42">
        <x:f t="shared" si="527"/>
        <x:v>0</x:v>
      </x:c>
      <x:c r="HC460">
        <x:f t="shared" si="528"/>
        <x:v>0</x:v>
      </x:c>
      <x:c r="HD460">
        <x:f t="shared" si="529"/>
        <x:v>0</x:v>
      </x:c>
      <x:c r="HE460">
        <x:f t="shared" si="530"/>
        <x:v>0</x:v>
      </x:c>
      <x:c r="HF460">
        <x:f t="shared" si="531"/>
        <x:v>0</x:v>
      </x:c>
      <x:c r="HG460">
        <x:f t="shared" si="532"/>
        <x:v>0</x:v>
      </x:c>
      <x:c r="HH460">
        <x:f t="shared" si="533"/>
        <x:v>0</x:v>
      </x:c>
      <x:c r="HI460">
        <x:f t="shared" si="534"/>
        <x:v>0</x:v>
      </x:c>
      <x:c r="HJ460">
        <x:f t="shared" si="535"/>
        <x:v>0</x:v>
      </x:c>
      <x:c r="HK460">
        <x:f t="shared" si="536"/>
        <x:v>0</x:v>
      </x:c>
      <x:c r="HL460">
        <x:f t="shared" si="537"/>
        <x:v>0</x:v>
      </x:c>
    </x:row>
    <x:row r="461">
      <x:c r="D461" s="74"/>
      <x:c r="EQ461" t="n">
        <x:f t="shared" ref="EQ461:EQ511" si="538">SUMIFS(E461:EP461,E$7:EP$7,"Quiz",E$11:EP$11,EQ$11)</x:f>
        <x:v>0</x:v>
      </x:c>
      <x:c r="ER461" t="n">
        <x:f t="shared" ref="ER461:ER511" si="539">SUMIFS(E461:EP461,E$7:EP$7,"Exam",E$11:EP$11,EQ$11)</x:f>
        <x:v>0</x:v>
      </x:c>
      <x:c r="ES461" t="n">
        <x:f t="shared" ref="ES461:ES511" si="540">SUMIFS(E461:EP461,E$7:EP$7,"Rubric-Scored Output",E$11:EP$11,EQ$11)</x:f>
        <x:v>0</x:v>
      </x:c>
      <x:c r="ET461" t="n">
        <x:f t="shared" ref="ET461:ET511" si="541">SUMIFS(E461:EP461,E$7:EP$7,"Performance Tasks",E$11:EP$11,EQ$11)</x:f>
        <x:v>0</x:v>
      </x:c>
      <x:c r="EU461" t="n">
        <x:f t="shared" ref="EU461:EU511" si="542">SUMIFS(E461:EP461,E$7:EP$7,"Lab Outputs",E$11:EP$11,EQ$11)</x:f>
        <x:v>0</x:v>
      </x:c>
      <x:c r="EV461" t="n">
        <x:f t="shared" ref="EV461:EV511" si="543">SUMIFS(E461:EP461,E$7:EP$7,"Skills Demonstration/ RLE",E$11:EP$11,EQ$11)</x:f>
        <x:v>0</x:v>
      </x:c>
      <x:c r="EW461" t="n">
        <x:f t="shared" ref="EW461:EW511" si="544">SUMIFS(E461:EP461,E$7:EP$7,"Portfolio",E$11:EP$11,EQ$11)</x:f>
        <x:v>0</x:v>
      </x:c>
      <x:c r="EX461" t="n">
        <x:f t="shared" ref="EX461:EX511" si="545">SUMIFS(E461:EP461,E$7:EP$7,"Capstone",E$11:EP$11,EQ$11)</x:f>
        <x:v>0</x:v>
      </x:c>
      <x:c r="EY461" t="n">
        <x:f t="shared" ref="EY461:EY511" si="546">SUMIFS(E461:EP461,E$7:EP$7,"Culminating Project",E$11:EP$11,EQ$11)</x:f>
        <x:v>0</x:v>
      </x:c>
      <x:c r="EZ461" t="n">
        <x:f t="shared" ref="EZ461:EZ511" si="547">SUMIFS(E461:EP461,E$7:EP$7,"Panel Evaluation",E$11:EP$11,EQ$11)</x:f>
        <x:v>0</x:v>
      </x:c>
      <x:c r="FA461" s="41" t="n">
        <x:f t="shared" ref="FA461:FA511" si="548">SUMIFS(E461:EP461,E$7:EP$7,"Internship Evaluation",E$11:EP$11,EQ$11)</x:f>
        <x:v>0</x:v>
      </x:c>
      <x:c r="FB461" t="n">
        <x:f t="shared" ref="FB461:FB511" si="549">SUMIFS(E461:EP461,E$7:EP$7,"Quiz",E$11:EP$11,FB$11)</x:f>
        <x:v>0</x:v>
      </x:c>
      <x:c r="FC461" t="n">
        <x:f t="shared" ref="FC461:FC511" si="550">SUMIFS(E461:EP461,E$7:EP$7,"Exam",E$11:EP$11,FB$11)</x:f>
        <x:v>0</x:v>
      </x:c>
      <x:c r="FD461" t="n">
        <x:f t="shared" ref="FD461:FD511" si="551">SUMIFS(E461:EP461,E$7:EP$7,"Rubric-Scored Output",E$11:EP$11,FB$11)</x:f>
        <x:v>0</x:v>
      </x:c>
      <x:c r="FE461" t="n">
        <x:f t="shared" ref="FE461:FE511" si="552">SUMIFS(E461:EP461,E$7:EP$7,"Performance Tasks",E$11:EP$11,FB$11)</x:f>
        <x:v>0</x:v>
      </x:c>
      <x:c r="FF461" t="n">
        <x:f t="shared" ref="FF461:FF511" si="553">SUMIFS(E461:EP461,E$7:EP$7,"Lab Outputs",E$11:EP$11,FB$11)</x:f>
        <x:v>0</x:v>
      </x:c>
      <x:c r="FG461" t="n">
        <x:f t="shared" ref="FG461:FG511" si="554">SUMIFS(E461:EP461,E$7:EP$7,"Skills Demonstration/ RLE",E$11:EP$11,FB$11)</x:f>
        <x:v>0</x:v>
      </x:c>
      <x:c r="FH461" t="n">
        <x:f t="shared" ref="FH461:FH511" si="555">SUMIFS(E461:EP461,E$7:EP$7,"Portfolio",E$11:EP$11,FB$11)</x:f>
        <x:v>0</x:v>
      </x:c>
      <x:c r="FI461" t="n">
        <x:f t="shared" ref="FI461:FI511" si="556">SUMIFS(E461:EP461,E$7:EP$7,"Capstone",E$11:EP$11,FB$11)</x:f>
        <x:v>0</x:v>
      </x:c>
      <x:c r="FJ461" t="n">
        <x:f t="shared" ref="FJ461:FJ511" si="557">SUMIFS(E461:EP461,E$7:EP$7,"Culminating Project",E$11:EP$11,FB$11)</x:f>
        <x:v>0</x:v>
      </x:c>
      <x:c r="FK461" t="n">
        <x:f t="shared" ref="FK461:FK511" si="558">SUMIFS(E461:EP461,E$7:EP$7,"Panel Evaluation",E$11:EP$11,FB$11)</x:f>
        <x:v>0</x:v>
      </x:c>
      <x:c r="FL461" s="41" t="n">
        <x:f t="shared" ref="FL461:FL511" si="559">SUMIFS(E461:EP461,E$7:EP$7,"Internship Evaluation",E$11:EP$11,FB$11)</x:f>
        <x:v>0</x:v>
      </x:c>
      <x:c r="FM461" t="n">
        <x:f t="shared" ref="FM461:FM511" si="560">SUMIFS(E461:EP461,E$7:EP$7,"Quiz",E$11:EP$11,FM$11)</x:f>
        <x:v>0</x:v>
      </x:c>
      <x:c r="FN461" t="n">
        <x:f t="shared" ref="FN461:FN511" si="561">SUMIFS(E461:EP461,E$7:EP$7,"Exam",E$11:EP$11,FM$11)</x:f>
        <x:v>0</x:v>
      </x:c>
      <x:c r="FO461" t="n">
        <x:f t="shared" ref="FO461:FO511" si="562">SUMIFS(E461:EP461,E$7:EP$7,"Rubric-Scored Output",E$11:EP$11,FM$11)</x:f>
        <x:v>0</x:v>
      </x:c>
      <x:c r="FP461" t="n">
        <x:f t="shared" ref="FP461:FP511" si="563">SUMIFS(E461:EP461,E$7:EP$7,"Performance Tasks",E$11:EP$11,FM$11)</x:f>
        <x:v>0</x:v>
      </x:c>
      <x:c r="FQ461" t="n">
        <x:f t="shared" ref="FQ461:FQ511" si="564">SUMIFS(E461:EP461,E$7:EP$7,"Lab Outputs",E$11:EP$11,FM$11)</x:f>
        <x:v>0</x:v>
      </x:c>
      <x:c r="FR461" t="n">
        <x:f t="shared" ref="FR461:FR511" si="565">SUMIFS(E461:EP461,E$7:EP$7,"Skills Demonstration/ RLE",E$11:EP$11,FM$11)</x:f>
        <x:v>0</x:v>
      </x:c>
      <x:c r="FS461" t="n">
        <x:f t="shared" ref="FS461:FS511" si="566">SUMIFS(E461:EP461,E$7:EP$7,"Portfolio",E$11:EP$11,FM$11)</x:f>
        <x:v>0</x:v>
      </x:c>
      <x:c r="FT461" t="n">
        <x:f t="shared" ref="FT461:FT511" si="567">SUMIFS(E461:EP461,E$7:EP$7,"Capstone",E$11:EP$11,FM$11)</x:f>
        <x:v>0</x:v>
      </x:c>
      <x:c r="FU461" t="n">
        <x:f t="shared" ref="FU461:FU511" si="568">SUMIFS(E461:EP461,E$7:EP$7,"Culminating Project",E$11:EP$11,FM$11)</x:f>
        <x:v>0</x:v>
      </x:c>
      <x:c r="FV461" t="n">
        <x:f t="shared" ref="FV461:FV511" si="569">SUMIFS(E461:EP461,E$7:EP$7,"Panel Evaluation",E$11:EP$11,FM$11)</x:f>
        <x:v>0</x:v>
      </x:c>
      <x:c r="FW461" s="41" t="n">
        <x:f t="shared" ref="FW461:FW511" si="570">SUMIFS(E461:EP461,E$7:EP$7,"Internship Evaluation",E$11:EP$11,FM$11)</x:f>
        <x:v>0</x:v>
      </x:c>
      <x:c r="FX461" t="n">
        <x:f t="shared" ref="FX461:FX511" si="571">SUMIF(EQ$7:FW$7,"Quiz",EQ461:FW461)</x:f>
        <x:v>0</x:v>
      </x:c>
      <x:c r="FY461" t="n">
        <x:f t="shared" ref="FY461:FY511" si="572">SUMIF(EQ$7:FW$7,"Exam",EQ461:FW461)</x:f>
        <x:v>0</x:v>
      </x:c>
      <x:c r="FZ461" t="n">
        <x:f t="shared" ref="FZ461:FZ511" si="573">SUMIF(EQ$7:FW$7,"Rubric-Scored Output",EQ461:FW461)</x:f>
        <x:v>0</x:v>
      </x:c>
      <x:c r="GA461" t="n">
        <x:f t="shared" ref="GA461:GA511" si="574">SUMIF(EQ$7:FW$7,"Performance Tasks",EQ461:FW461)</x:f>
        <x:v>0</x:v>
      </x:c>
      <x:c r="GB461" t="n">
        <x:f t="shared" ref="GB461:GB511" si="575">SUMIF(EQ$7:FW$7,"Lab Outputs",EQ461:FW461)</x:f>
        <x:v>0</x:v>
      </x:c>
      <x:c r="GC461" t="n">
        <x:f t="shared" ref="GC461:GC511" si="576">SUMIF(EQ$7:FW$7,"Skills Demonstration/ RLE",EQ461:FW461)</x:f>
        <x:v>0</x:v>
      </x:c>
      <x:c r="GD461" t="n">
        <x:f t="shared" ref="GD461:GD511" si="577">SUMIF(EQ$7:FW$7,"Portfolio",EQ461:FW461)</x:f>
        <x:v>0</x:v>
      </x:c>
      <x:c r="GE461" t="n">
        <x:f t="shared" ref="GE461:GE511" si="578">SUMIF(EQ$7:FW$7,"Capstone",EQ461:FW461)</x:f>
        <x:v>0</x:v>
      </x:c>
      <x:c r="GF461" t="n">
        <x:f t="shared" ref="GF461:GF511" si="579">SUMIF(EQ$7:FW$7,"Culminating Project",EQ461:FW461)</x:f>
        <x:v>0</x:v>
      </x:c>
      <x:c r="GG461" t="n">
        <x:f t="shared" ref="GG461:GG511" si="580">SUMIF(EQ$7:FW$7,"Panel Evaluation",EQ461:FW461)</x:f>
        <x:v>0</x:v>
      </x:c>
      <x:c r="GH461" t="n">
        <x:f t="shared" ref="GH461:GH511" si="581">SUMIF(EQ$7:FW$7,"Internship Evaluation",EQ461:FW461)</x:f>
        <x:v>0</x:v>
      </x:c>
      <x:c r="GI461" t="n">
        <x:f t="shared" ref="GI461:GI511" si="582">SUMIFS(E461:EP461,E$8:EP$8,GI$8,E$11:EP$11,GI$11)</x:f>
        <x:v>0</x:v>
      </x:c>
      <x:c r="GJ461" t="n">
        <x:f t="shared" ref="GJ461:GJ511" si="583">SUMIFS(E461:EP461,E$8:EP$8,GJ$8,E$11:EP$11,GI$11)</x:f>
        <x:v>0</x:v>
      </x:c>
      <x:c r="GK461" t="n">
        <x:f t="shared" ref="GK461:GK511" si="584">SUMIFS(E461:EP461,E$8:EP$8,GK$8,E$11:EP$11,GI$11)</x:f>
        <x:v>0</x:v>
      </x:c>
      <x:c r="GL461" t="n">
        <x:f t="shared" ref="GL461:GL511" si="585">SUMIFS(E461:EP461,E$8:EP$8,GL$8,E$11:EP$11,GI$11)</x:f>
        <x:v>0</x:v>
      </x:c>
      <x:c r="GM461" t="n">
        <x:f t="shared" ref="GM461:GM511" si="586">SUMIFS(E461:EP461,E$8:EP$8,GM$8,E$11:EP$11,GI$11)</x:f>
        <x:v>0</x:v>
      </x:c>
      <x:c r="GN461" t="n">
        <x:f t="shared" ref="GN461:GN511" si="587">SUMIFS(E461:EP461,E$8:EP$8,GN$8,E$11:EP$11,GI$11)</x:f>
        <x:v>0</x:v>
      </x:c>
      <x:c r="GO461" t="n">
        <x:f t="shared" ref="GO461:GO511" si="588">SUMIFS(E461:EP461,E$8:EP$8,GO$8,E$11:EP$11,GI$11)</x:f>
        <x:v>0</x:v>
      </x:c>
      <x:c r="GP461" t="n">
        <x:f t="shared" ref="GP461:GP511" si="589">SUMIFS(E461:EP461,E$8:EP$8,GP$8,E$11:EP$11,GI$11)</x:f>
        <x:v>0</x:v>
      </x:c>
      <x:c r="GQ461" t="n">
        <x:f t="shared" ref="GQ461:GQ511" si="590">SUMIFS(E461:EP461,E$8:EP$8,GQ$8,E$11:EP$11,GI$11)</x:f>
        <x:v>0</x:v>
      </x:c>
      <x:c r="GR461" s="42" t="n">
        <x:f t="shared" ref="GR461:GR511" si="591">SUMIFS(E461:EP461,E$8:EP$8,GR$8,E$11:EP$11,GI$11)</x:f>
        <x:v>0</x:v>
      </x:c>
      <x:c r="GS461" t="n">
        <x:f t="shared" ref="GS461:GS511" si="592">SUMIFS(E461:EP461,E$8:EP$8,GI$8,E$11:EP$11,GS$11)</x:f>
        <x:v>0</x:v>
      </x:c>
      <x:c r="GT461" t="n">
        <x:f t="shared" ref="GT461:GT511" si="593">SUMIFS(E461:EP461,E$8:EP$8,GJ$8,E$11:EP$11,GS$11)</x:f>
        <x:v>0</x:v>
      </x:c>
      <x:c r="GU461" t="n">
        <x:f t="shared" ref="GU461:GU511" si="594">SUMIFS(E461:EP461,E$8:EP$8,GK$8,E$11:EP$11,GS$11)</x:f>
        <x:v>0</x:v>
      </x:c>
      <x:c r="GV461" t="n">
        <x:f t="shared" ref="GV461:GV511" si="595">SUMIFS(E461:EP461,E$8:EP$8,GL$8,E$11:EP$11,GS$11)</x:f>
        <x:v>0</x:v>
      </x:c>
      <x:c r="GW461" t="n">
        <x:f t="shared" ref="GW461:GW511" si="596">SUMIFS(E461:EP461,E$8:EP$8,GM$8,E$11:EP$11,GS$11)</x:f>
        <x:v>0</x:v>
      </x:c>
      <x:c r="GX461" t="n">
        <x:f t="shared" ref="GX461:GX511" si="597">SUMIFS(E461:EP461,E$8:EP$8,GN$8,E$11:EP$11,GS$11)</x:f>
        <x:v>0</x:v>
      </x:c>
      <x:c r="GY461" t="n">
        <x:f t="shared" ref="GY461:GY511" si="598">SUMIFS(E461:EP461,E$8:EP$8,GY$8,E$11:EP$11,GS$11)</x:f>
        <x:v>0</x:v>
      </x:c>
      <x:c r="GZ461" t="n">
        <x:f t="shared" ref="GZ461:GZ511" si="599">SUMIFS(E461:EP461,E$8:EP$8,GZ$8,E$11:EP$11,GS$11)</x:f>
        <x:v>0</x:v>
      </x:c>
      <x:c r="HA461" t="n">
        <x:f t="shared" ref="HA461:HA511" si="600">SUMIFS(E461:EP461,E$8:EP$8,HA$8,E$11:EP$11,GS$11)</x:f>
        <x:v>0</x:v>
      </x:c>
      <x:c r="HB461" s="42" t="n">
        <x:f t="shared" ref="HB461:HB511" si="601">SUMIFS(E461:EP461,E$8:EP$8,GR$8,E$11:EP$11,GS$11)</x:f>
        <x:v>0</x:v>
      </x:c>
      <x:c r="HC461" t="n">
        <x:f t="shared" ref="HC461:HC511" si="602">SUMIFS(E461:EP461,E$8:EP$8,GI$8,E$11:EP$11,HC$11)</x:f>
        <x:v>0</x:v>
      </x:c>
      <x:c r="HD461" t="n">
        <x:f t="shared" ref="HD461:HD511" si="603">SUMIFS(E461:EP461,E$8:EP$8,GJ$8,E$11:EP$11,HC$11)</x:f>
        <x:v>0</x:v>
      </x:c>
      <x:c r="HE461" t="n">
        <x:f t="shared" ref="HE461:HE511" si="604">SUMIFS(E461:EP461,E$8:EP$8,GK$8,E$11:EP$11,HC$11)</x:f>
        <x:v>0</x:v>
      </x:c>
      <x:c r="HF461" t="n">
        <x:f t="shared" ref="HF461:HF511" si="605">SUMIFS(E461:EP461,E$8:EP$8,GL$8,E$11:EP$11,HC$11)</x:f>
        <x:v>0</x:v>
      </x:c>
      <x:c r="HG461" t="n">
        <x:f t="shared" ref="HG461:HG511" si="606">SUMIFS(E461:EP461,E$8:EP$8,GM$8,E$11:EP$11,HC$11)</x:f>
        <x:v>0</x:v>
      </x:c>
      <x:c r="HH461" t="n">
        <x:f t="shared" ref="HH461:HH511" si="607">SUMIFS(E461:EP461,E$8:EP$8,GN$8,E$11:EP$11,HC$11)</x:f>
        <x:v>0</x:v>
      </x:c>
      <x:c r="HI461" t="n">
        <x:f t="shared" ref="HI461:HI511" si="608">SUMIFS(E461:EP461,E$8:EP$8,GO$8,E$11:EP$11,HC$11)</x:f>
        <x:v>0</x:v>
      </x:c>
      <x:c r="HJ461" t="n">
        <x:f t="shared" ref="HJ461:HJ511" si="609">SUMIFS(E461:EP461,E$8:EP$8,GP$8,E$11:EP$11,HC$11)</x:f>
        <x:v>0</x:v>
      </x:c>
      <x:c r="HK461" t="n">
        <x:f t="shared" ref="HK461:HK511" si="610">SUMIFS(E461:EP461,E$8:EP$8,GQ$8,E$11:EP$11,HC$11)</x:f>
        <x:v>0</x:v>
      </x:c>
      <x:c r="HL461" t="n">
        <x:f t="shared" ref="HL461:HL511" si="611">SUMIFS(E461:EP461,E$8:EP$8,GR$8,E$11:EP$11,HC$11)</x:f>
        <x:v>0</x:v>
      </x:c>
    </x:row>
    <x:row r="462">
      <x:c r="D462" s="74"/>
      <x:c r="EQ462">
        <x:f t="shared" si="538"/>
        <x:v>0</x:v>
      </x:c>
      <x:c r="ER462">
        <x:f t="shared" si="539"/>
        <x:v>0</x:v>
      </x:c>
      <x:c r="ES462">
        <x:f t="shared" si="540"/>
        <x:v>0</x:v>
      </x:c>
      <x:c r="ET462">
        <x:f t="shared" si="541"/>
        <x:v>0</x:v>
      </x:c>
      <x:c r="EU462">
        <x:f t="shared" si="542"/>
        <x:v>0</x:v>
      </x:c>
      <x:c r="EV462">
        <x:f t="shared" si="543"/>
        <x:v>0</x:v>
      </x:c>
      <x:c r="EW462">
        <x:f t="shared" si="544"/>
        <x:v>0</x:v>
      </x:c>
      <x:c r="EX462">
        <x:f t="shared" si="545"/>
        <x:v>0</x:v>
      </x:c>
      <x:c r="EY462">
        <x:f t="shared" si="546"/>
        <x:v>0</x:v>
      </x:c>
      <x:c r="EZ462">
        <x:f t="shared" si="547"/>
        <x:v>0</x:v>
      </x:c>
      <x:c r="FA462" s="41">
        <x:f t="shared" si="548"/>
        <x:v>0</x:v>
      </x:c>
      <x:c r="FB462">
        <x:f t="shared" si="549"/>
        <x:v>0</x:v>
      </x:c>
      <x:c r="FC462">
        <x:f t="shared" si="550"/>
        <x:v>0</x:v>
      </x:c>
      <x:c r="FD462">
        <x:f t="shared" si="551"/>
        <x:v>0</x:v>
      </x:c>
      <x:c r="FE462">
        <x:f t="shared" si="552"/>
        <x:v>0</x:v>
      </x:c>
      <x:c r="FF462">
        <x:f t="shared" si="553"/>
        <x:v>0</x:v>
      </x:c>
      <x:c r="FG462">
        <x:f t="shared" si="554"/>
        <x:v>0</x:v>
      </x:c>
      <x:c r="FH462">
        <x:f t="shared" si="555"/>
        <x:v>0</x:v>
      </x:c>
      <x:c r="FI462">
        <x:f t="shared" si="556"/>
        <x:v>0</x:v>
      </x:c>
      <x:c r="FJ462">
        <x:f t="shared" si="557"/>
        <x:v>0</x:v>
      </x:c>
      <x:c r="FK462">
        <x:f t="shared" si="558"/>
        <x:v>0</x:v>
      </x:c>
      <x:c r="FL462" s="41">
        <x:f t="shared" si="559"/>
        <x:v>0</x:v>
      </x:c>
      <x:c r="FM462">
        <x:f t="shared" si="560"/>
        <x:v>0</x:v>
      </x:c>
      <x:c r="FN462">
        <x:f t="shared" si="561"/>
        <x:v>0</x:v>
      </x:c>
      <x:c r="FO462">
        <x:f t="shared" si="562"/>
        <x:v>0</x:v>
      </x:c>
      <x:c r="FP462">
        <x:f t="shared" si="563"/>
        <x:v>0</x:v>
      </x:c>
      <x:c r="FQ462">
        <x:f t="shared" si="564"/>
        <x:v>0</x:v>
      </x:c>
      <x:c r="FR462">
        <x:f t="shared" si="565"/>
        <x:v>0</x:v>
      </x:c>
      <x:c r="FS462">
        <x:f t="shared" si="566"/>
        <x:v>0</x:v>
      </x:c>
      <x:c r="FT462">
        <x:f t="shared" si="567"/>
        <x:v>0</x:v>
      </x:c>
      <x:c r="FU462">
        <x:f t="shared" si="568"/>
        <x:v>0</x:v>
      </x:c>
      <x:c r="FV462">
        <x:f t="shared" si="569"/>
        <x:v>0</x:v>
      </x:c>
      <x:c r="FW462" s="41">
        <x:f t="shared" si="570"/>
        <x:v>0</x:v>
      </x:c>
      <x:c r="FX462">
        <x:f t="shared" si="571"/>
        <x:v>0</x:v>
      </x:c>
      <x:c r="FY462">
        <x:f t="shared" si="572"/>
        <x:v>0</x:v>
      </x:c>
      <x:c r="FZ462">
        <x:f t="shared" si="573"/>
        <x:v>0</x:v>
      </x:c>
      <x:c r="GA462">
        <x:f t="shared" si="574"/>
        <x:v>0</x:v>
      </x:c>
      <x:c r="GB462">
        <x:f t="shared" si="575"/>
        <x:v>0</x:v>
      </x:c>
      <x:c r="GC462">
        <x:f t="shared" si="576"/>
        <x:v>0</x:v>
      </x:c>
      <x:c r="GD462">
        <x:f t="shared" si="577"/>
        <x:v>0</x:v>
      </x:c>
      <x:c r="GE462">
        <x:f t="shared" si="578"/>
        <x:v>0</x:v>
      </x:c>
      <x:c r="GF462">
        <x:f t="shared" si="579"/>
        <x:v>0</x:v>
      </x:c>
      <x:c r="GG462">
        <x:f t="shared" si="580"/>
        <x:v>0</x:v>
      </x:c>
      <x:c r="GH462">
        <x:f t="shared" si="581"/>
        <x:v>0</x:v>
      </x:c>
      <x:c r="GI462">
        <x:f t="shared" si="582"/>
        <x:v>0</x:v>
      </x:c>
      <x:c r="GJ462">
        <x:f t="shared" si="583"/>
        <x:v>0</x:v>
      </x:c>
      <x:c r="GK462">
        <x:f t="shared" si="584"/>
        <x:v>0</x:v>
      </x:c>
      <x:c r="GL462">
        <x:f t="shared" si="585"/>
        <x:v>0</x:v>
      </x:c>
      <x:c r="GM462">
        <x:f t="shared" si="586"/>
        <x:v>0</x:v>
      </x:c>
      <x:c r="GN462">
        <x:f t="shared" si="587"/>
        <x:v>0</x:v>
      </x:c>
      <x:c r="GO462">
        <x:f t="shared" si="588"/>
        <x:v>0</x:v>
      </x:c>
      <x:c r="GP462">
        <x:f t="shared" si="589"/>
        <x:v>0</x:v>
      </x:c>
      <x:c r="GQ462">
        <x:f t="shared" si="590"/>
        <x:v>0</x:v>
      </x:c>
      <x:c r="GR462" s="42">
        <x:f t="shared" si="591"/>
        <x:v>0</x:v>
      </x:c>
      <x:c r="GS462">
        <x:f t="shared" si="592"/>
        <x:v>0</x:v>
      </x:c>
      <x:c r="GT462">
        <x:f t="shared" si="593"/>
        <x:v>0</x:v>
      </x:c>
      <x:c r="GU462">
        <x:f t="shared" si="594"/>
        <x:v>0</x:v>
      </x:c>
      <x:c r="GV462">
        <x:f t="shared" si="595"/>
        <x:v>0</x:v>
      </x:c>
      <x:c r="GW462">
        <x:f t="shared" si="596"/>
        <x:v>0</x:v>
      </x:c>
      <x:c r="GX462">
        <x:f t="shared" si="597"/>
        <x:v>0</x:v>
      </x:c>
      <x:c r="GY462">
        <x:f t="shared" si="598"/>
        <x:v>0</x:v>
      </x:c>
      <x:c r="GZ462">
        <x:f t="shared" si="599"/>
        <x:v>0</x:v>
      </x:c>
      <x:c r="HA462">
        <x:f t="shared" si="600"/>
        <x:v>0</x:v>
      </x:c>
      <x:c r="HB462" s="42">
        <x:f t="shared" si="601"/>
        <x:v>0</x:v>
      </x:c>
      <x:c r="HC462">
        <x:f t="shared" si="602"/>
        <x:v>0</x:v>
      </x:c>
      <x:c r="HD462">
        <x:f t="shared" si="603"/>
        <x:v>0</x:v>
      </x:c>
      <x:c r="HE462">
        <x:f t="shared" si="604"/>
        <x:v>0</x:v>
      </x:c>
      <x:c r="HF462">
        <x:f t="shared" si="605"/>
        <x:v>0</x:v>
      </x:c>
      <x:c r="HG462">
        <x:f t="shared" si="606"/>
        <x:v>0</x:v>
      </x:c>
      <x:c r="HH462">
        <x:f t="shared" si="607"/>
        <x:v>0</x:v>
      </x:c>
      <x:c r="HI462">
        <x:f t="shared" si="608"/>
        <x:v>0</x:v>
      </x:c>
      <x:c r="HJ462">
        <x:f t="shared" si="609"/>
        <x:v>0</x:v>
      </x:c>
      <x:c r="HK462">
        <x:f t="shared" si="610"/>
        <x:v>0</x:v>
      </x:c>
      <x:c r="HL462">
        <x:f t="shared" si="611"/>
        <x:v>0</x:v>
      </x:c>
    </x:row>
    <x:row r="463">
      <x:c r="D463" s="74"/>
      <x:c r="EQ463">
        <x:f t="shared" si="538"/>
        <x:v>0</x:v>
      </x:c>
      <x:c r="ER463">
        <x:f t="shared" si="539"/>
        <x:v>0</x:v>
      </x:c>
      <x:c r="ES463">
        <x:f t="shared" si="540"/>
        <x:v>0</x:v>
      </x:c>
      <x:c r="ET463">
        <x:f t="shared" si="541"/>
        <x:v>0</x:v>
      </x:c>
      <x:c r="EU463">
        <x:f t="shared" si="542"/>
        <x:v>0</x:v>
      </x:c>
      <x:c r="EV463">
        <x:f t="shared" si="543"/>
        <x:v>0</x:v>
      </x:c>
      <x:c r="EW463">
        <x:f t="shared" si="544"/>
        <x:v>0</x:v>
      </x:c>
      <x:c r="EX463">
        <x:f t="shared" si="545"/>
        <x:v>0</x:v>
      </x:c>
      <x:c r="EY463">
        <x:f t="shared" si="546"/>
        <x:v>0</x:v>
      </x:c>
      <x:c r="EZ463">
        <x:f t="shared" si="547"/>
        <x:v>0</x:v>
      </x:c>
      <x:c r="FA463" s="41">
        <x:f t="shared" si="548"/>
        <x:v>0</x:v>
      </x:c>
      <x:c r="FB463">
        <x:f t="shared" si="549"/>
        <x:v>0</x:v>
      </x:c>
      <x:c r="FC463">
        <x:f t="shared" si="550"/>
        <x:v>0</x:v>
      </x:c>
      <x:c r="FD463">
        <x:f t="shared" si="551"/>
        <x:v>0</x:v>
      </x:c>
      <x:c r="FE463">
        <x:f t="shared" si="552"/>
        <x:v>0</x:v>
      </x:c>
      <x:c r="FF463">
        <x:f t="shared" si="553"/>
        <x:v>0</x:v>
      </x:c>
      <x:c r="FG463">
        <x:f t="shared" si="554"/>
        <x:v>0</x:v>
      </x:c>
      <x:c r="FH463">
        <x:f t="shared" si="555"/>
        <x:v>0</x:v>
      </x:c>
      <x:c r="FI463">
        <x:f t="shared" si="556"/>
        <x:v>0</x:v>
      </x:c>
      <x:c r="FJ463">
        <x:f t="shared" si="557"/>
        <x:v>0</x:v>
      </x:c>
      <x:c r="FK463">
        <x:f t="shared" si="558"/>
        <x:v>0</x:v>
      </x:c>
      <x:c r="FL463" s="41">
        <x:f t="shared" si="559"/>
        <x:v>0</x:v>
      </x:c>
      <x:c r="FM463">
        <x:f t="shared" si="560"/>
        <x:v>0</x:v>
      </x:c>
      <x:c r="FN463">
        <x:f t="shared" si="561"/>
        <x:v>0</x:v>
      </x:c>
      <x:c r="FO463">
        <x:f t="shared" si="562"/>
        <x:v>0</x:v>
      </x:c>
      <x:c r="FP463">
        <x:f t="shared" si="563"/>
        <x:v>0</x:v>
      </x:c>
      <x:c r="FQ463">
        <x:f t="shared" si="564"/>
        <x:v>0</x:v>
      </x:c>
      <x:c r="FR463">
        <x:f t="shared" si="565"/>
        <x:v>0</x:v>
      </x:c>
      <x:c r="FS463">
        <x:f t="shared" si="566"/>
        <x:v>0</x:v>
      </x:c>
      <x:c r="FT463">
        <x:f t="shared" si="567"/>
        <x:v>0</x:v>
      </x:c>
      <x:c r="FU463">
        <x:f t="shared" si="568"/>
        <x:v>0</x:v>
      </x:c>
      <x:c r="FV463">
        <x:f t="shared" si="569"/>
        <x:v>0</x:v>
      </x:c>
      <x:c r="FW463" s="41">
        <x:f t="shared" si="570"/>
        <x:v>0</x:v>
      </x:c>
      <x:c r="FX463">
        <x:f t="shared" si="571"/>
        <x:v>0</x:v>
      </x:c>
      <x:c r="FY463">
        <x:f t="shared" si="572"/>
        <x:v>0</x:v>
      </x:c>
      <x:c r="FZ463">
        <x:f t="shared" si="573"/>
        <x:v>0</x:v>
      </x:c>
      <x:c r="GA463">
        <x:f t="shared" si="574"/>
        <x:v>0</x:v>
      </x:c>
      <x:c r="GB463">
        <x:f t="shared" si="575"/>
        <x:v>0</x:v>
      </x:c>
      <x:c r="GC463">
        <x:f t="shared" si="576"/>
        <x:v>0</x:v>
      </x:c>
      <x:c r="GD463">
        <x:f t="shared" si="577"/>
        <x:v>0</x:v>
      </x:c>
      <x:c r="GE463">
        <x:f t="shared" si="578"/>
        <x:v>0</x:v>
      </x:c>
      <x:c r="GF463">
        <x:f t="shared" si="579"/>
        <x:v>0</x:v>
      </x:c>
      <x:c r="GG463">
        <x:f t="shared" si="580"/>
        <x:v>0</x:v>
      </x:c>
      <x:c r="GH463">
        <x:f t="shared" si="581"/>
        <x:v>0</x:v>
      </x:c>
      <x:c r="GI463">
        <x:f t="shared" si="582"/>
        <x:v>0</x:v>
      </x:c>
      <x:c r="GJ463">
        <x:f t="shared" si="583"/>
        <x:v>0</x:v>
      </x:c>
      <x:c r="GK463">
        <x:f t="shared" si="584"/>
        <x:v>0</x:v>
      </x:c>
      <x:c r="GL463">
        <x:f t="shared" si="585"/>
        <x:v>0</x:v>
      </x:c>
      <x:c r="GM463">
        <x:f t="shared" si="586"/>
        <x:v>0</x:v>
      </x:c>
      <x:c r="GN463">
        <x:f t="shared" si="587"/>
        <x:v>0</x:v>
      </x:c>
      <x:c r="GO463">
        <x:f t="shared" si="588"/>
        <x:v>0</x:v>
      </x:c>
      <x:c r="GP463">
        <x:f t="shared" si="589"/>
        <x:v>0</x:v>
      </x:c>
      <x:c r="GQ463">
        <x:f t="shared" si="590"/>
        <x:v>0</x:v>
      </x:c>
      <x:c r="GR463" s="42">
        <x:f t="shared" si="591"/>
        <x:v>0</x:v>
      </x:c>
      <x:c r="GS463">
        <x:f t="shared" si="592"/>
        <x:v>0</x:v>
      </x:c>
      <x:c r="GT463">
        <x:f t="shared" si="593"/>
        <x:v>0</x:v>
      </x:c>
      <x:c r="GU463">
        <x:f t="shared" si="594"/>
        <x:v>0</x:v>
      </x:c>
      <x:c r="GV463">
        <x:f t="shared" si="595"/>
        <x:v>0</x:v>
      </x:c>
      <x:c r="GW463">
        <x:f t="shared" si="596"/>
        <x:v>0</x:v>
      </x:c>
      <x:c r="GX463">
        <x:f t="shared" si="597"/>
        <x:v>0</x:v>
      </x:c>
      <x:c r="GY463">
        <x:f t="shared" si="598"/>
        <x:v>0</x:v>
      </x:c>
      <x:c r="GZ463">
        <x:f t="shared" si="599"/>
        <x:v>0</x:v>
      </x:c>
      <x:c r="HA463">
        <x:f t="shared" si="600"/>
        <x:v>0</x:v>
      </x:c>
      <x:c r="HB463" s="42">
        <x:f t="shared" si="601"/>
        <x:v>0</x:v>
      </x:c>
      <x:c r="HC463">
        <x:f t="shared" si="602"/>
        <x:v>0</x:v>
      </x:c>
      <x:c r="HD463">
        <x:f t="shared" si="603"/>
        <x:v>0</x:v>
      </x:c>
      <x:c r="HE463">
        <x:f t="shared" si="604"/>
        <x:v>0</x:v>
      </x:c>
      <x:c r="HF463">
        <x:f t="shared" si="605"/>
        <x:v>0</x:v>
      </x:c>
      <x:c r="HG463">
        <x:f t="shared" si="606"/>
        <x:v>0</x:v>
      </x:c>
      <x:c r="HH463">
        <x:f t="shared" si="607"/>
        <x:v>0</x:v>
      </x:c>
      <x:c r="HI463">
        <x:f t="shared" si="608"/>
        <x:v>0</x:v>
      </x:c>
      <x:c r="HJ463">
        <x:f t="shared" si="609"/>
        <x:v>0</x:v>
      </x:c>
      <x:c r="HK463">
        <x:f t="shared" si="610"/>
        <x:v>0</x:v>
      </x:c>
      <x:c r="HL463">
        <x:f t="shared" si="611"/>
        <x:v>0</x:v>
      </x:c>
    </x:row>
    <x:row r="464">
      <x:c r="D464" s="74"/>
      <x:c r="EQ464">
        <x:f t="shared" si="538"/>
        <x:v>0</x:v>
      </x:c>
      <x:c r="ER464">
        <x:f t="shared" si="539"/>
        <x:v>0</x:v>
      </x:c>
      <x:c r="ES464">
        <x:f t="shared" si="540"/>
        <x:v>0</x:v>
      </x:c>
      <x:c r="ET464">
        <x:f t="shared" si="541"/>
        <x:v>0</x:v>
      </x:c>
      <x:c r="EU464">
        <x:f t="shared" si="542"/>
        <x:v>0</x:v>
      </x:c>
      <x:c r="EV464">
        <x:f t="shared" si="543"/>
        <x:v>0</x:v>
      </x:c>
      <x:c r="EW464">
        <x:f t="shared" si="544"/>
        <x:v>0</x:v>
      </x:c>
      <x:c r="EX464">
        <x:f t="shared" si="545"/>
        <x:v>0</x:v>
      </x:c>
      <x:c r="EY464">
        <x:f t="shared" si="546"/>
        <x:v>0</x:v>
      </x:c>
      <x:c r="EZ464">
        <x:f t="shared" si="547"/>
        <x:v>0</x:v>
      </x:c>
      <x:c r="FA464" s="41">
        <x:f t="shared" si="548"/>
        <x:v>0</x:v>
      </x:c>
      <x:c r="FB464">
        <x:f t="shared" si="549"/>
        <x:v>0</x:v>
      </x:c>
      <x:c r="FC464">
        <x:f t="shared" si="550"/>
        <x:v>0</x:v>
      </x:c>
      <x:c r="FD464">
        <x:f t="shared" si="551"/>
        <x:v>0</x:v>
      </x:c>
      <x:c r="FE464">
        <x:f t="shared" si="552"/>
        <x:v>0</x:v>
      </x:c>
      <x:c r="FF464">
        <x:f t="shared" si="553"/>
        <x:v>0</x:v>
      </x:c>
      <x:c r="FG464">
        <x:f t="shared" si="554"/>
        <x:v>0</x:v>
      </x:c>
      <x:c r="FH464">
        <x:f t="shared" si="555"/>
        <x:v>0</x:v>
      </x:c>
      <x:c r="FI464">
        <x:f t="shared" si="556"/>
        <x:v>0</x:v>
      </x:c>
      <x:c r="FJ464">
        <x:f t="shared" si="557"/>
        <x:v>0</x:v>
      </x:c>
      <x:c r="FK464">
        <x:f t="shared" si="558"/>
        <x:v>0</x:v>
      </x:c>
      <x:c r="FL464" s="41">
        <x:f t="shared" si="559"/>
        <x:v>0</x:v>
      </x:c>
      <x:c r="FM464">
        <x:f t="shared" si="560"/>
        <x:v>0</x:v>
      </x:c>
      <x:c r="FN464">
        <x:f t="shared" si="561"/>
        <x:v>0</x:v>
      </x:c>
      <x:c r="FO464">
        <x:f t="shared" si="562"/>
        <x:v>0</x:v>
      </x:c>
      <x:c r="FP464">
        <x:f t="shared" si="563"/>
        <x:v>0</x:v>
      </x:c>
      <x:c r="FQ464">
        <x:f t="shared" si="564"/>
        <x:v>0</x:v>
      </x:c>
      <x:c r="FR464">
        <x:f t="shared" si="565"/>
        <x:v>0</x:v>
      </x:c>
      <x:c r="FS464">
        <x:f t="shared" si="566"/>
        <x:v>0</x:v>
      </x:c>
      <x:c r="FT464">
        <x:f t="shared" si="567"/>
        <x:v>0</x:v>
      </x:c>
      <x:c r="FU464">
        <x:f t="shared" si="568"/>
        <x:v>0</x:v>
      </x:c>
      <x:c r="FV464">
        <x:f t="shared" si="569"/>
        <x:v>0</x:v>
      </x:c>
      <x:c r="FW464" s="41">
        <x:f t="shared" si="570"/>
        <x:v>0</x:v>
      </x:c>
      <x:c r="FX464">
        <x:f t="shared" si="571"/>
        <x:v>0</x:v>
      </x:c>
      <x:c r="FY464">
        <x:f t="shared" si="572"/>
        <x:v>0</x:v>
      </x:c>
      <x:c r="FZ464">
        <x:f t="shared" si="573"/>
        <x:v>0</x:v>
      </x:c>
      <x:c r="GA464">
        <x:f t="shared" si="574"/>
        <x:v>0</x:v>
      </x:c>
      <x:c r="GB464">
        <x:f t="shared" si="575"/>
        <x:v>0</x:v>
      </x:c>
      <x:c r="GC464">
        <x:f t="shared" si="576"/>
        <x:v>0</x:v>
      </x:c>
      <x:c r="GD464">
        <x:f t="shared" si="577"/>
        <x:v>0</x:v>
      </x:c>
      <x:c r="GE464">
        <x:f t="shared" si="578"/>
        <x:v>0</x:v>
      </x:c>
      <x:c r="GF464">
        <x:f t="shared" si="579"/>
        <x:v>0</x:v>
      </x:c>
      <x:c r="GG464">
        <x:f t="shared" si="580"/>
        <x:v>0</x:v>
      </x:c>
      <x:c r="GH464">
        <x:f t="shared" si="581"/>
        <x:v>0</x:v>
      </x:c>
      <x:c r="GI464">
        <x:f t="shared" si="582"/>
        <x:v>0</x:v>
      </x:c>
      <x:c r="GJ464">
        <x:f t="shared" si="583"/>
        <x:v>0</x:v>
      </x:c>
      <x:c r="GK464">
        <x:f t="shared" si="584"/>
        <x:v>0</x:v>
      </x:c>
      <x:c r="GL464">
        <x:f t="shared" si="585"/>
        <x:v>0</x:v>
      </x:c>
      <x:c r="GM464">
        <x:f t="shared" si="586"/>
        <x:v>0</x:v>
      </x:c>
      <x:c r="GN464">
        <x:f t="shared" si="587"/>
        <x:v>0</x:v>
      </x:c>
      <x:c r="GO464">
        <x:f t="shared" si="588"/>
        <x:v>0</x:v>
      </x:c>
      <x:c r="GP464">
        <x:f t="shared" si="589"/>
        <x:v>0</x:v>
      </x:c>
      <x:c r="GQ464">
        <x:f t="shared" si="590"/>
        <x:v>0</x:v>
      </x:c>
      <x:c r="GR464" s="42">
        <x:f t="shared" si="591"/>
        <x:v>0</x:v>
      </x:c>
      <x:c r="GS464">
        <x:f t="shared" si="592"/>
        <x:v>0</x:v>
      </x:c>
      <x:c r="GT464">
        <x:f t="shared" si="593"/>
        <x:v>0</x:v>
      </x:c>
      <x:c r="GU464">
        <x:f t="shared" si="594"/>
        <x:v>0</x:v>
      </x:c>
      <x:c r="GV464">
        <x:f t="shared" si="595"/>
        <x:v>0</x:v>
      </x:c>
      <x:c r="GW464">
        <x:f t="shared" si="596"/>
        <x:v>0</x:v>
      </x:c>
      <x:c r="GX464">
        <x:f t="shared" si="597"/>
        <x:v>0</x:v>
      </x:c>
      <x:c r="GY464">
        <x:f t="shared" si="598"/>
        <x:v>0</x:v>
      </x:c>
      <x:c r="GZ464">
        <x:f t="shared" si="599"/>
        <x:v>0</x:v>
      </x:c>
      <x:c r="HA464">
        <x:f t="shared" si="600"/>
        <x:v>0</x:v>
      </x:c>
      <x:c r="HB464" s="42">
        <x:f t="shared" si="601"/>
        <x:v>0</x:v>
      </x:c>
      <x:c r="HC464">
        <x:f t="shared" si="602"/>
        <x:v>0</x:v>
      </x:c>
      <x:c r="HD464">
        <x:f t="shared" si="603"/>
        <x:v>0</x:v>
      </x:c>
      <x:c r="HE464">
        <x:f t="shared" si="604"/>
        <x:v>0</x:v>
      </x:c>
      <x:c r="HF464">
        <x:f t="shared" si="605"/>
        <x:v>0</x:v>
      </x:c>
      <x:c r="HG464">
        <x:f t="shared" si="606"/>
        <x:v>0</x:v>
      </x:c>
      <x:c r="HH464">
        <x:f t="shared" si="607"/>
        <x:v>0</x:v>
      </x:c>
      <x:c r="HI464">
        <x:f t="shared" si="608"/>
        <x:v>0</x:v>
      </x:c>
      <x:c r="HJ464">
        <x:f t="shared" si="609"/>
        <x:v>0</x:v>
      </x:c>
      <x:c r="HK464">
        <x:f t="shared" si="610"/>
        <x:v>0</x:v>
      </x:c>
      <x:c r="HL464">
        <x:f t="shared" si="611"/>
        <x:v>0</x:v>
      </x:c>
    </x:row>
    <x:row r="465">
      <x:c r="D465" s="74"/>
      <x:c r="EQ465">
        <x:f t="shared" si="538"/>
        <x:v>0</x:v>
      </x:c>
      <x:c r="ER465">
        <x:f t="shared" si="539"/>
        <x:v>0</x:v>
      </x:c>
      <x:c r="ES465">
        <x:f t="shared" si="540"/>
        <x:v>0</x:v>
      </x:c>
      <x:c r="ET465">
        <x:f t="shared" si="541"/>
        <x:v>0</x:v>
      </x:c>
      <x:c r="EU465">
        <x:f t="shared" si="542"/>
        <x:v>0</x:v>
      </x:c>
      <x:c r="EV465">
        <x:f t="shared" si="543"/>
        <x:v>0</x:v>
      </x:c>
      <x:c r="EW465">
        <x:f t="shared" si="544"/>
        <x:v>0</x:v>
      </x:c>
      <x:c r="EX465">
        <x:f t="shared" si="545"/>
        <x:v>0</x:v>
      </x:c>
      <x:c r="EY465">
        <x:f t="shared" si="546"/>
        <x:v>0</x:v>
      </x:c>
      <x:c r="EZ465">
        <x:f t="shared" si="547"/>
        <x:v>0</x:v>
      </x:c>
      <x:c r="FA465" s="41">
        <x:f t="shared" si="548"/>
        <x:v>0</x:v>
      </x:c>
      <x:c r="FB465">
        <x:f t="shared" si="549"/>
        <x:v>0</x:v>
      </x:c>
      <x:c r="FC465">
        <x:f t="shared" si="550"/>
        <x:v>0</x:v>
      </x:c>
      <x:c r="FD465">
        <x:f t="shared" si="551"/>
        <x:v>0</x:v>
      </x:c>
      <x:c r="FE465">
        <x:f t="shared" si="552"/>
        <x:v>0</x:v>
      </x:c>
      <x:c r="FF465">
        <x:f t="shared" si="553"/>
        <x:v>0</x:v>
      </x:c>
      <x:c r="FG465">
        <x:f t="shared" si="554"/>
        <x:v>0</x:v>
      </x:c>
      <x:c r="FH465">
        <x:f t="shared" si="555"/>
        <x:v>0</x:v>
      </x:c>
      <x:c r="FI465">
        <x:f t="shared" si="556"/>
        <x:v>0</x:v>
      </x:c>
      <x:c r="FJ465">
        <x:f t="shared" si="557"/>
        <x:v>0</x:v>
      </x:c>
      <x:c r="FK465">
        <x:f t="shared" si="558"/>
        <x:v>0</x:v>
      </x:c>
      <x:c r="FL465" s="41">
        <x:f t="shared" si="559"/>
        <x:v>0</x:v>
      </x:c>
      <x:c r="FM465">
        <x:f t="shared" si="560"/>
        <x:v>0</x:v>
      </x:c>
      <x:c r="FN465">
        <x:f t="shared" si="561"/>
        <x:v>0</x:v>
      </x:c>
      <x:c r="FO465">
        <x:f t="shared" si="562"/>
        <x:v>0</x:v>
      </x:c>
      <x:c r="FP465">
        <x:f t="shared" si="563"/>
        <x:v>0</x:v>
      </x:c>
      <x:c r="FQ465">
        <x:f t="shared" si="564"/>
        <x:v>0</x:v>
      </x:c>
      <x:c r="FR465">
        <x:f t="shared" si="565"/>
        <x:v>0</x:v>
      </x:c>
      <x:c r="FS465">
        <x:f t="shared" si="566"/>
        <x:v>0</x:v>
      </x:c>
      <x:c r="FT465">
        <x:f t="shared" si="567"/>
        <x:v>0</x:v>
      </x:c>
      <x:c r="FU465">
        <x:f t="shared" si="568"/>
        <x:v>0</x:v>
      </x:c>
      <x:c r="FV465">
        <x:f t="shared" si="569"/>
        <x:v>0</x:v>
      </x:c>
      <x:c r="FW465" s="41">
        <x:f t="shared" si="570"/>
        <x:v>0</x:v>
      </x:c>
      <x:c r="FX465">
        <x:f t="shared" si="571"/>
        <x:v>0</x:v>
      </x:c>
      <x:c r="FY465">
        <x:f t="shared" si="572"/>
        <x:v>0</x:v>
      </x:c>
      <x:c r="FZ465">
        <x:f t="shared" si="573"/>
        <x:v>0</x:v>
      </x:c>
      <x:c r="GA465">
        <x:f t="shared" si="574"/>
        <x:v>0</x:v>
      </x:c>
      <x:c r="GB465">
        <x:f t="shared" si="575"/>
        <x:v>0</x:v>
      </x:c>
      <x:c r="GC465">
        <x:f t="shared" si="576"/>
        <x:v>0</x:v>
      </x:c>
      <x:c r="GD465">
        <x:f t="shared" si="577"/>
        <x:v>0</x:v>
      </x:c>
      <x:c r="GE465">
        <x:f t="shared" si="578"/>
        <x:v>0</x:v>
      </x:c>
      <x:c r="GF465">
        <x:f t="shared" si="579"/>
        <x:v>0</x:v>
      </x:c>
      <x:c r="GG465">
        <x:f t="shared" si="580"/>
        <x:v>0</x:v>
      </x:c>
      <x:c r="GH465">
        <x:f t="shared" si="581"/>
        <x:v>0</x:v>
      </x:c>
      <x:c r="GI465">
        <x:f t="shared" si="582"/>
        <x:v>0</x:v>
      </x:c>
      <x:c r="GJ465">
        <x:f t="shared" si="583"/>
        <x:v>0</x:v>
      </x:c>
      <x:c r="GK465">
        <x:f t="shared" si="584"/>
        <x:v>0</x:v>
      </x:c>
      <x:c r="GL465">
        <x:f t="shared" si="585"/>
        <x:v>0</x:v>
      </x:c>
      <x:c r="GM465">
        <x:f t="shared" si="586"/>
        <x:v>0</x:v>
      </x:c>
      <x:c r="GN465">
        <x:f t="shared" si="587"/>
        <x:v>0</x:v>
      </x:c>
      <x:c r="GO465">
        <x:f t="shared" si="588"/>
        <x:v>0</x:v>
      </x:c>
      <x:c r="GP465">
        <x:f t="shared" si="589"/>
        <x:v>0</x:v>
      </x:c>
      <x:c r="GQ465">
        <x:f t="shared" si="590"/>
        <x:v>0</x:v>
      </x:c>
      <x:c r="GR465" s="42">
        <x:f t="shared" si="591"/>
        <x:v>0</x:v>
      </x:c>
      <x:c r="GS465">
        <x:f t="shared" si="592"/>
        <x:v>0</x:v>
      </x:c>
      <x:c r="GT465">
        <x:f t="shared" si="593"/>
        <x:v>0</x:v>
      </x:c>
      <x:c r="GU465">
        <x:f t="shared" si="594"/>
        <x:v>0</x:v>
      </x:c>
      <x:c r="GV465">
        <x:f t="shared" si="595"/>
        <x:v>0</x:v>
      </x:c>
      <x:c r="GW465">
        <x:f t="shared" si="596"/>
        <x:v>0</x:v>
      </x:c>
      <x:c r="GX465">
        <x:f t="shared" si="597"/>
        <x:v>0</x:v>
      </x:c>
      <x:c r="GY465">
        <x:f t="shared" si="598"/>
        <x:v>0</x:v>
      </x:c>
      <x:c r="GZ465">
        <x:f t="shared" si="599"/>
        <x:v>0</x:v>
      </x:c>
      <x:c r="HA465">
        <x:f t="shared" si="600"/>
        <x:v>0</x:v>
      </x:c>
      <x:c r="HB465" s="42">
        <x:f t="shared" si="601"/>
        <x:v>0</x:v>
      </x:c>
      <x:c r="HC465">
        <x:f t="shared" si="602"/>
        <x:v>0</x:v>
      </x:c>
      <x:c r="HD465">
        <x:f t="shared" si="603"/>
        <x:v>0</x:v>
      </x:c>
      <x:c r="HE465">
        <x:f t="shared" si="604"/>
        <x:v>0</x:v>
      </x:c>
      <x:c r="HF465">
        <x:f t="shared" si="605"/>
        <x:v>0</x:v>
      </x:c>
      <x:c r="HG465">
        <x:f t="shared" si="606"/>
        <x:v>0</x:v>
      </x:c>
      <x:c r="HH465">
        <x:f t="shared" si="607"/>
        <x:v>0</x:v>
      </x:c>
      <x:c r="HI465">
        <x:f t="shared" si="608"/>
        <x:v>0</x:v>
      </x:c>
      <x:c r="HJ465">
        <x:f t="shared" si="609"/>
        <x:v>0</x:v>
      </x:c>
      <x:c r="HK465">
        <x:f t="shared" si="610"/>
        <x:v>0</x:v>
      </x:c>
      <x:c r="HL465">
        <x:f t="shared" si="611"/>
        <x:v>0</x:v>
      </x:c>
    </x:row>
    <x:row r="466">
      <x:c r="D466" s="74"/>
      <x:c r="EQ466">
        <x:f t="shared" si="538"/>
        <x:v>0</x:v>
      </x:c>
      <x:c r="ER466">
        <x:f t="shared" si="539"/>
        <x:v>0</x:v>
      </x:c>
      <x:c r="ES466">
        <x:f t="shared" si="540"/>
        <x:v>0</x:v>
      </x:c>
      <x:c r="ET466">
        <x:f t="shared" si="541"/>
        <x:v>0</x:v>
      </x:c>
      <x:c r="EU466">
        <x:f t="shared" si="542"/>
        <x:v>0</x:v>
      </x:c>
      <x:c r="EV466">
        <x:f t="shared" si="543"/>
        <x:v>0</x:v>
      </x:c>
      <x:c r="EW466">
        <x:f t="shared" si="544"/>
        <x:v>0</x:v>
      </x:c>
      <x:c r="EX466">
        <x:f t="shared" si="545"/>
        <x:v>0</x:v>
      </x:c>
      <x:c r="EY466">
        <x:f t="shared" si="546"/>
        <x:v>0</x:v>
      </x:c>
      <x:c r="EZ466">
        <x:f t="shared" si="547"/>
        <x:v>0</x:v>
      </x:c>
      <x:c r="FA466" s="41">
        <x:f t="shared" si="548"/>
        <x:v>0</x:v>
      </x:c>
      <x:c r="FB466">
        <x:f t="shared" si="549"/>
        <x:v>0</x:v>
      </x:c>
      <x:c r="FC466">
        <x:f t="shared" si="550"/>
        <x:v>0</x:v>
      </x:c>
      <x:c r="FD466">
        <x:f t="shared" si="551"/>
        <x:v>0</x:v>
      </x:c>
      <x:c r="FE466">
        <x:f t="shared" si="552"/>
        <x:v>0</x:v>
      </x:c>
      <x:c r="FF466">
        <x:f t="shared" si="553"/>
        <x:v>0</x:v>
      </x:c>
      <x:c r="FG466">
        <x:f t="shared" si="554"/>
        <x:v>0</x:v>
      </x:c>
      <x:c r="FH466">
        <x:f t="shared" si="555"/>
        <x:v>0</x:v>
      </x:c>
      <x:c r="FI466">
        <x:f t="shared" si="556"/>
        <x:v>0</x:v>
      </x:c>
      <x:c r="FJ466">
        <x:f t="shared" si="557"/>
        <x:v>0</x:v>
      </x:c>
      <x:c r="FK466">
        <x:f t="shared" si="558"/>
        <x:v>0</x:v>
      </x:c>
      <x:c r="FL466" s="41">
        <x:f t="shared" si="559"/>
        <x:v>0</x:v>
      </x:c>
      <x:c r="FM466">
        <x:f t="shared" si="560"/>
        <x:v>0</x:v>
      </x:c>
      <x:c r="FN466">
        <x:f t="shared" si="561"/>
        <x:v>0</x:v>
      </x:c>
      <x:c r="FO466">
        <x:f t="shared" si="562"/>
        <x:v>0</x:v>
      </x:c>
      <x:c r="FP466">
        <x:f t="shared" si="563"/>
        <x:v>0</x:v>
      </x:c>
      <x:c r="FQ466">
        <x:f t="shared" si="564"/>
        <x:v>0</x:v>
      </x:c>
      <x:c r="FR466">
        <x:f t="shared" si="565"/>
        <x:v>0</x:v>
      </x:c>
      <x:c r="FS466">
        <x:f t="shared" si="566"/>
        <x:v>0</x:v>
      </x:c>
      <x:c r="FT466">
        <x:f t="shared" si="567"/>
        <x:v>0</x:v>
      </x:c>
      <x:c r="FU466">
        <x:f t="shared" si="568"/>
        <x:v>0</x:v>
      </x:c>
      <x:c r="FV466">
        <x:f t="shared" si="569"/>
        <x:v>0</x:v>
      </x:c>
      <x:c r="FW466" s="41">
        <x:f t="shared" si="570"/>
        <x:v>0</x:v>
      </x:c>
      <x:c r="FX466">
        <x:f t="shared" si="571"/>
        <x:v>0</x:v>
      </x:c>
      <x:c r="FY466">
        <x:f t="shared" si="572"/>
        <x:v>0</x:v>
      </x:c>
      <x:c r="FZ466">
        <x:f t="shared" si="573"/>
        <x:v>0</x:v>
      </x:c>
      <x:c r="GA466">
        <x:f t="shared" si="574"/>
        <x:v>0</x:v>
      </x:c>
      <x:c r="GB466">
        <x:f t="shared" si="575"/>
        <x:v>0</x:v>
      </x:c>
      <x:c r="GC466">
        <x:f t="shared" si="576"/>
        <x:v>0</x:v>
      </x:c>
      <x:c r="GD466">
        <x:f t="shared" si="577"/>
        <x:v>0</x:v>
      </x:c>
      <x:c r="GE466">
        <x:f t="shared" si="578"/>
        <x:v>0</x:v>
      </x:c>
      <x:c r="GF466">
        <x:f t="shared" si="579"/>
        <x:v>0</x:v>
      </x:c>
      <x:c r="GG466">
        <x:f t="shared" si="580"/>
        <x:v>0</x:v>
      </x:c>
      <x:c r="GH466">
        <x:f t="shared" si="581"/>
        <x:v>0</x:v>
      </x:c>
      <x:c r="GI466">
        <x:f t="shared" si="582"/>
        <x:v>0</x:v>
      </x:c>
      <x:c r="GJ466">
        <x:f t="shared" si="583"/>
        <x:v>0</x:v>
      </x:c>
      <x:c r="GK466">
        <x:f t="shared" si="584"/>
        <x:v>0</x:v>
      </x:c>
      <x:c r="GL466">
        <x:f t="shared" si="585"/>
        <x:v>0</x:v>
      </x:c>
      <x:c r="GM466">
        <x:f t="shared" si="586"/>
        <x:v>0</x:v>
      </x:c>
      <x:c r="GN466">
        <x:f t="shared" si="587"/>
        <x:v>0</x:v>
      </x:c>
      <x:c r="GO466">
        <x:f t="shared" si="588"/>
        <x:v>0</x:v>
      </x:c>
      <x:c r="GP466">
        <x:f t="shared" si="589"/>
        <x:v>0</x:v>
      </x:c>
      <x:c r="GQ466">
        <x:f t="shared" si="590"/>
        <x:v>0</x:v>
      </x:c>
      <x:c r="GR466" s="42">
        <x:f t="shared" si="591"/>
        <x:v>0</x:v>
      </x:c>
      <x:c r="GS466">
        <x:f t="shared" si="592"/>
        <x:v>0</x:v>
      </x:c>
      <x:c r="GT466">
        <x:f t="shared" si="593"/>
        <x:v>0</x:v>
      </x:c>
      <x:c r="GU466">
        <x:f t="shared" si="594"/>
        <x:v>0</x:v>
      </x:c>
      <x:c r="GV466">
        <x:f t="shared" si="595"/>
        <x:v>0</x:v>
      </x:c>
      <x:c r="GW466">
        <x:f t="shared" si="596"/>
        <x:v>0</x:v>
      </x:c>
      <x:c r="GX466">
        <x:f t="shared" si="597"/>
        <x:v>0</x:v>
      </x:c>
      <x:c r="GY466">
        <x:f t="shared" si="598"/>
        <x:v>0</x:v>
      </x:c>
      <x:c r="GZ466">
        <x:f t="shared" si="599"/>
        <x:v>0</x:v>
      </x:c>
      <x:c r="HA466">
        <x:f t="shared" si="600"/>
        <x:v>0</x:v>
      </x:c>
      <x:c r="HB466" s="42">
        <x:f t="shared" si="601"/>
        <x:v>0</x:v>
      </x:c>
      <x:c r="HC466">
        <x:f t="shared" si="602"/>
        <x:v>0</x:v>
      </x:c>
      <x:c r="HD466">
        <x:f t="shared" si="603"/>
        <x:v>0</x:v>
      </x:c>
      <x:c r="HE466">
        <x:f t="shared" si="604"/>
        <x:v>0</x:v>
      </x:c>
      <x:c r="HF466">
        <x:f t="shared" si="605"/>
        <x:v>0</x:v>
      </x:c>
      <x:c r="HG466">
        <x:f t="shared" si="606"/>
        <x:v>0</x:v>
      </x:c>
      <x:c r="HH466">
        <x:f t="shared" si="607"/>
        <x:v>0</x:v>
      </x:c>
      <x:c r="HI466">
        <x:f t="shared" si="608"/>
        <x:v>0</x:v>
      </x:c>
      <x:c r="HJ466">
        <x:f t="shared" si="609"/>
        <x:v>0</x:v>
      </x:c>
      <x:c r="HK466">
        <x:f t="shared" si="610"/>
        <x:v>0</x:v>
      </x:c>
      <x:c r="HL466">
        <x:f t="shared" si="611"/>
        <x:v>0</x:v>
      </x:c>
    </x:row>
    <x:row r="467">
      <x:c r="D467" s="74"/>
      <x:c r="EQ467">
        <x:f t="shared" si="538"/>
        <x:v>0</x:v>
      </x:c>
      <x:c r="ER467">
        <x:f t="shared" si="539"/>
        <x:v>0</x:v>
      </x:c>
      <x:c r="ES467">
        <x:f t="shared" si="540"/>
        <x:v>0</x:v>
      </x:c>
      <x:c r="ET467">
        <x:f t="shared" si="541"/>
        <x:v>0</x:v>
      </x:c>
      <x:c r="EU467">
        <x:f t="shared" si="542"/>
        <x:v>0</x:v>
      </x:c>
      <x:c r="EV467">
        <x:f t="shared" si="543"/>
        <x:v>0</x:v>
      </x:c>
      <x:c r="EW467">
        <x:f t="shared" si="544"/>
        <x:v>0</x:v>
      </x:c>
      <x:c r="EX467">
        <x:f t="shared" si="545"/>
        <x:v>0</x:v>
      </x:c>
      <x:c r="EY467">
        <x:f t="shared" si="546"/>
        <x:v>0</x:v>
      </x:c>
      <x:c r="EZ467">
        <x:f t="shared" si="547"/>
        <x:v>0</x:v>
      </x:c>
      <x:c r="FA467" s="41">
        <x:f t="shared" si="548"/>
        <x:v>0</x:v>
      </x:c>
      <x:c r="FB467">
        <x:f t="shared" si="549"/>
        <x:v>0</x:v>
      </x:c>
      <x:c r="FC467">
        <x:f t="shared" si="550"/>
        <x:v>0</x:v>
      </x:c>
      <x:c r="FD467">
        <x:f t="shared" si="551"/>
        <x:v>0</x:v>
      </x:c>
      <x:c r="FE467">
        <x:f t="shared" si="552"/>
        <x:v>0</x:v>
      </x:c>
      <x:c r="FF467">
        <x:f t="shared" si="553"/>
        <x:v>0</x:v>
      </x:c>
      <x:c r="FG467">
        <x:f t="shared" si="554"/>
        <x:v>0</x:v>
      </x:c>
      <x:c r="FH467">
        <x:f t="shared" si="555"/>
        <x:v>0</x:v>
      </x:c>
      <x:c r="FI467">
        <x:f t="shared" si="556"/>
        <x:v>0</x:v>
      </x:c>
      <x:c r="FJ467">
        <x:f t="shared" si="557"/>
        <x:v>0</x:v>
      </x:c>
      <x:c r="FK467">
        <x:f t="shared" si="558"/>
        <x:v>0</x:v>
      </x:c>
      <x:c r="FL467" s="41">
        <x:f t="shared" si="559"/>
        <x:v>0</x:v>
      </x:c>
      <x:c r="FM467">
        <x:f t="shared" si="560"/>
        <x:v>0</x:v>
      </x:c>
      <x:c r="FN467">
        <x:f t="shared" si="561"/>
        <x:v>0</x:v>
      </x:c>
      <x:c r="FO467">
        <x:f t="shared" si="562"/>
        <x:v>0</x:v>
      </x:c>
      <x:c r="FP467">
        <x:f t="shared" si="563"/>
        <x:v>0</x:v>
      </x:c>
      <x:c r="FQ467">
        <x:f t="shared" si="564"/>
        <x:v>0</x:v>
      </x:c>
      <x:c r="FR467">
        <x:f t="shared" si="565"/>
        <x:v>0</x:v>
      </x:c>
      <x:c r="FS467">
        <x:f t="shared" si="566"/>
        <x:v>0</x:v>
      </x:c>
      <x:c r="FT467">
        <x:f t="shared" si="567"/>
        <x:v>0</x:v>
      </x:c>
      <x:c r="FU467">
        <x:f t="shared" si="568"/>
        <x:v>0</x:v>
      </x:c>
      <x:c r="FV467">
        <x:f t="shared" si="569"/>
        <x:v>0</x:v>
      </x:c>
      <x:c r="FW467" s="41">
        <x:f t="shared" si="570"/>
        <x:v>0</x:v>
      </x:c>
      <x:c r="FX467">
        <x:f t="shared" si="571"/>
        <x:v>0</x:v>
      </x:c>
      <x:c r="FY467">
        <x:f t="shared" si="572"/>
        <x:v>0</x:v>
      </x:c>
      <x:c r="FZ467">
        <x:f t="shared" si="573"/>
        <x:v>0</x:v>
      </x:c>
      <x:c r="GA467">
        <x:f t="shared" si="574"/>
        <x:v>0</x:v>
      </x:c>
      <x:c r="GB467">
        <x:f t="shared" si="575"/>
        <x:v>0</x:v>
      </x:c>
      <x:c r="GC467">
        <x:f t="shared" si="576"/>
        <x:v>0</x:v>
      </x:c>
      <x:c r="GD467">
        <x:f t="shared" si="577"/>
        <x:v>0</x:v>
      </x:c>
      <x:c r="GE467">
        <x:f t="shared" si="578"/>
        <x:v>0</x:v>
      </x:c>
      <x:c r="GF467">
        <x:f t="shared" si="579"/>
        <x:v>0</x:v>
      </x:c>
      <x:c r="GG467">
        <x:f t="shared" si="580"/>
        <x:v>0</x:v>
      </x:c>
      <x:c r="GH467">
        <x:f t="shared" si="581"/>
        <x:v>0</x:v>
      </x:c>
      <x:c r="GI467">
        <x:f t="shared" si="582"/>
        <x:v>0</x:v>
      </x:c>
      <x:c r="GJ467">
        <x:f t="shared" si="583"/>
        <x:v>0</x:v>
      </x:c>
      <x:c r="GK467">
        <x:f t="shared" si="584"/>
        <x:v>0</x:v>
      </x:c>
      <x:c r="GL467">
        <x:f t="shared" si="585"/>
        <x:v>0</x:v>
      </x:c>
      <x:c r="GM467">
        <x:f t="shared" si="586"/>
        <x:v>0</x:v>
      </x:c>
      <x:c r="GN467">
        <x:f t="shared" si="587"/>
        <x:v>0</x:v>
      </x:c>
      <x:c r="GO467">
        <x:f t="shared" si="588"/>
        <x:v>0</x:v>
      </x:c>
      <x:c r="GP467">
        <x:f t="shared" si="589"/>
        <x:v>0</x:v>
      </x:c>
      <x:c r="GQ467">
        <x:f t="shared" si="590"/>
        <x:v>0</x:v>
      </x:c>
      <x:c r="GR467" s="42">
        <x:f t="shared" si="591"/>
        <x:v>0</x:v>
      </x:c>
      <x:c r="GS467">
        <x:f t="shared" si="592"/>
        <x:v>0</x:v>
      </x:c>
      <x:c r="GT467">
        <x:f t="shared" si="593"/>
        <x:v>0</x:v>
      </x:c>
      <x:c r="GU467">
        <x:f t="shared" si="594"/>
        <x:v>0</x:v>
      </x:c>
      <x:c r="GV467">
        <x:f t="shared" si="595"/>
        <x:v>0</x:v>
      </x:c>
      <x:c r="GW467">
        <x:f t="shared" si="596"/>
        <x:v>0</x:v>
      </x:c>
      <x:c r="GX467">
        <x:f t="shared" si="597"/>
        <x:v>0</x:v>
      </x:c>
      <x:c r="GY467">
        <x:f t="shared" si="598"/>
        <x:v>0</x:v>
      </x:c>
      <x:c r="GZ467">
        <x:f t="shared" si="599"/>
        <x:v>0</x:v>
      </x:c>
      <x:c r="HA467">
        <x:f t="shared" si="600"/>
        <x:v>0</x:v>
      </x:c>
      <x:c r="HB467" s="42">
        <x:f t="shared" si="601"/>
        <x:v>0</x:v>
      </x:c>
      <x:c r="HC467">
        <x:f t="shared" si="602"/>
        <x:v>0</x:v>
      </x:c>
      <x:c r="HD467">
        <x:f t="shared" si="603"/>
        <x:v>0</x:v>
      </x:c>
      <x:c r="HE467">
        <x:f t="shared" si="604"/>
        <x:v>0</x:v>
      </x:c>
      <x:c r="HF467">
        <x:f t="shared" si="605"/>
        <x:v>0</x:v>
      </x:c>
      <x:c r="HG467">
        <x:f t="shared" si="606"/>
        <x:v>0</x:v>
      </x:c>
      <x:c r="HH467">
        <x:f t="shared" si="607"/>
        <x:v>0</x:v>
      </x:c>
      <x:c r="HI467">
        <x:f t="shared" si="608"/>
        <x:v>0</x:v>
      </x:c>
      <x:c r="HJ467">
        <x:f t="shared" si="609"/>
        <x:v>0</x:v>
      </x:c>
      <x:c r="HK467">
        <x:f t="shared" si="610"/>
        <x:v>0</x:v>
      </x:c>
      <x:c r="HL467">
        <x:f t="shared" si="611"/>
        <x:v>0</x:v>
      </x:c>
    </x:row>
    <x:row r="468">
      <x:c r="D468" s="74"/>
      <x:c r="EQ468">
        <x:f t="shared" si="538"/>
        <x:v>0</x:v>
      </x:c>
      <x:c r="ER468">
        <x:f t="shared" si="539"/>
        <x:v>0</x:v>
      </x:c>
      <x:c r="ES468">
        <x:f t="shared" si="540"/>
        <x:v>0</x:v>
      </x:c>
      <x:c r="ET468">
        <x:f t="shared" si="541"/>
        <x:v>0</x:v>
      </x:c>
      <x:c r="EU468">
        <x:f t="shared" si="542"/>
        <x:v>0</x:v>
      </x:c>
      <x:c r="EV468">
        <x:f t="shared" si="543"/>
        <x:v>0</x:v>
      </x:c>
      <x:c r="EW468">
        <x:f t="shared" si="544"/>
        <x:v>0</x:v>
      </x:c>
      <x:c r="EX468">
        <x:f t="shared" si="545"/>
        <x:v>0</x:v>
      </x:c>
      <x:c r="EY468">
        <x:f t="shared" si="546"/>
        <x:v>0</x:v>
      </x:c>
      <x:c r="EZ468">
        <x:f t="shared" si="547"/>
        <x:v>0</x:v>
      </x:c>
      <x:c r="FA468" s="41">
        <x:f t="shared" si="548"/>
        <x:v>0</x:v>
      </x:c>
      <x:c r="FB468">
        <x:f t="shared" si="549"/>
        <x:v>0</x:v>
      </x:c>
      <x:c r="FC468">
        <x:f t="shared" si="550"/>
        <x:v>0</x:v>
      </x:c>
      <x:c r="FD468">
        <x:f t="shared" si="551"/>
        <x:v>0</x:v>
      </x:c>
      <x:c r="FE468">
        <x:f t="shared" si="552"/>
        <x:v>0</x:v>
      </x:c>
      <x:c r="FF468">
        <x:f t="shared" si="553"/>
        <x:v>0</x:v>
      </x:c>
      <x:c r="FG468">
        <x:f t="shared" si="554"/>
        <x:v>0</x:v>
      </x:c>
      <x:c r="FH468">
        <x:f t="shared" si="555"/>
        <x:v>0</x:v>
      </x:c>
      <x:c r="FI468">
        <x:f t="shared" si="556"/>
        <x:v>0</x:v>
      </x:c>
      <x:c r="FJ468">
        <x:f t="shared" si="557"/>
        <x:v>0</x:v>
      </x:c>
      <x:c r="FK468">
        <x:f t="shared" si="558"/>
        <x:v>0</x:v>
      </x:c>
      <x:c r="FL468" s="41">
        <x:f t="shared" si="559"/>
        <x:v>0</x:v>
      </x:c>
      <x:c r="FM468">
        <x:f t="shared" si="560"/>
        <x:v>0</x:v>
      </x:c>
      <x:c r="FN468">
        <x:f t="shared" si="561"/>
        <x:v>0</x:v>
      </x:c>
      <x:c r="FO468">
        <x:f t="shared" si="562"/>
        <x:v>0</x:v>
      </x:c>
      <x:c r="FP468">
        <x:f t="shared" si="563"/>
        <x:v>0</x:v>
      </x:c>
      <x:c r="FQ468">
        <x:f t="shared" si="564"/>
        <x:v>0</x:v>
      </x:c>
      <x:c r="FR468">
        <x:f t="shared" si="565"/>
        <x:v>0</x:v>
      </x:c>
      <x:c r="FS468">
        <x:f t="shared" si="566"/>
        <x:v>0</x:v>
      </x:c>
      <x:c r="FT468">
        <x:f t="shared" si="567"/>
        <x:v>0</x:v>
      </x:c>
      <x:c r="FU468">
        <x:f t="shared" si="568"/>
        <x:v>0</x:v>
      </x:c>
      <x:c r="FV468">
        <x:f t="shared" si="569"/>
        <x:v>0</x:v>
      </x:c>
      <x:c r="FW468" s="41">
        <x:f t="shared" si="570"/>
        <x:v>0</x:v>
      </x:c>
      <x:c r="FX468">
        <x:f t="shared" si="571"/>
        <x:v>0</x:v>
      </x:c>
      <x:c r="FY468">
        <x:f t="shared" si="572"/>
        <x:v>0</x:v>
      </x:c>
      <x:c r="FZ468">
        <x:f t="shared" si="573"/>
        <x:v>0</x:v>
      </x:c>
      <x:c r="GA468">
        <x:f t="shared" si="574"/>
        <x:v>0</x:v>
      </x:c>
      <x:c r="GB468">
        <x:f t="shared" si="575"/>
        <x:v>0</x:v>
      </x:c>
      <x:c r="GC468">
        <x:f t="shared" si="576"/>
        <x:v>0</x:v>
      </x:c>
      <x:c r="GD468">
        <x:f t="shared" si="577"/>
        <x:v>0</x:v>
      </x:c>
      <x:c r="GE468">
        <x:f t="shared" si="578"/>
        <x:v>0</x:v>
      </x:c>
      <x:c r="GF468">
        <x:f t="shared" si="579"/>
        <x:v>0</x:v>
      </x:c>
      <x:c r="GG468">
        <x:f t="shared" si="580"/>
        <x:v>0</x:v>
      </x:c>
      <x:c r="GH468">
        <x:f t="shared" si="581"/>
        <x:v>0</x:v>
      </x:c>
      <x:c r="GI468">
        <x:f t="shared" si="582"/>
        <x:v>0</x:v>
      </x:c>
      <x:c r="GJ468">
        <x:f t="shared" si="583"/>
        <x:v>0</x:v>
      </x:c>
      <x:c r="GK468">
        <x:f t="shared" si="584"/>
        <x:v>0</x:v>
      </x:c>
      <x:c r="GL468">
        <x:f t="shared" si="585"/>
        <x:v>0</x:v>
      </x:c>
      <x:c r="GM468">
        <x:f t="shared" si="586"/>
        <x:v>0</x:v>
      </x:c>
      <x:c r="GN468">
        <x:f t="shared" si="587"/>
        <x:v>0</x:v>
      </x:c>
      <x:c r="GO468">
        <x:f t="shared" si="588"/>
        <x:v>0</x:v>
      </x:c>
      <x:c r="GP468">
        <x:f t="shared" si="589"/>
        <x:v>0</x:v>
      </x:c>
      <x:c r="GQ468">
        <x:f t="shared" si="590"/>
        <x:v>0</x:v>
      </x:c>
      <x:c r="GR468" s="42">
        <x:f t="shared" si="591"/>
        <x:v>0</x:v>
      </x:c>
      <x:c r="GS468">
        <x:f t="shared" si="592"/>
        <x:v>0</x:v>
      </x:c>
      <x:c r="GT468">
        <x:f t="shared" si="593"/>
        <x:v>0</x:v>
      </x:c>
      <x:c r="GU468">
        <x:f t="shared" si="594"/>
        <x:v>0</x:v>
      </x:c>
      <x:c r="GV468">
        <x:f t="shared" si="595"/>
        <x:v>0</x:v>
      </x:c>
      <x:c r="GW468">
        <x:f t="shared" si="596"/>
        <x:v>0</x:v>
      </x:c>
      <x:c r="GX468">
        <x:f t="shared" si="597"/>
        <x:v>0</x:v>
      </x:c>
      <x:c r="GY468">
        <x:f t="shared" si="598"/>
        <x:v>0</x:v>
      </x:c>
      <x:c r="GZ468">
        <x:f t="shared" si="599"/>
        <x:v>0</x:v>
      </x:c>
      <x:c r="HA468">
        <x:f t="shared" si="600"/>
        <x:v>0</x:v>
      </x:c>
      <x:c r="HB468" s="42">
        <x:f t="shared" si="601"/>
        <x:v>0</x:v>
      </x:c>
      <x:c r="HC468">
        <x:f t="shared" si="602"/>
        <x:v>0</x:v>
      </x:c>
      <x:c r="HD468">
        <x:f t="shared" si="603"/>
        <x:v>0</x:v>
      </x:c>
      <x:c r="HE468">
        <x:f t="shared" si="604"/>
        <x:v>0</x:v>
      </x:c>
      <x:c r="HF468">
        <x:f t="shared" si="605"/>
        <x:v>0</x:v>
      </x:c>
      <x:c r="HG468">
        <x:f t="shared" si="606"/>
        <x:v>0</x:v>
      </x:c>
      <x:c r="HH468">
        <x:f t="shared" si="607"/>
        <x:v>0</x:v>
      </x:c>
      <x:c r="HI468">
        <x:f t="shared" si="608"/>
        <x:v>0</x:v>
      </x:c>
      <x:c r="HJ468">
        <x:f t="shared" si="609"/>
        <x:v>0</x:v>
      </x:c>
      <x:c r="HK468">
        <x:f t="shared" si="610"/>
        <x:v>0</x:v>
      </x:c>
      <x:c r="HL468">
        <x:f t="shared" si="611"/>
        <x:v>0</x:v>
      </x:c>
    </x:row>
    <x:row r="469">
      <x:c r="D469" s="74"/>
      <x:c r="EQ469">
        <x:f t="shared" si="538"/>
        <x:v>0</x:v>
      </x:c>
      <x:c r="ER469">
        <x:f t="shared" si="539"/>
        <x:v>0</x:v>
      </x:c>
      <x:c r="ES469">
        <x:f t="shared" si="540"/>
        <x:v>0</x:v>
      </x:c>
      <x:c r="ET469">
        <x:f t="shared" si="541"/>
        <x:v>0</x:v>
      </x:c>
      <x:c r="EU469">
        <x:f t="shared" si="542"/>
        <x:v>0</x:v>
      </x:c>
      <x:c r="EV469">
        <x:f t="shared" si="543"/>
        <x:v>0</x:v>
      </x:c>
      <x:c r="EW469">
        <x:f t="shared" si="544"/>
        <x:v>0</x:v>
      </x:c>
      <x:c r="EX469">
        <x:f t="shared" si="545"/>
        <x:v>0</x:v>
      </x:c>
      <x:c r="EY469">
        <x:f t="shared" si="546"/>
        <x:v>0</x:v>
      </x:c>
      <x:c r="EZ469">
        <x:f t="shared" si="547"/>
        <x:v>0</x:v>
      </x:c>
      <x:c r="FA469" s="41">
        <x:f t="shared" si="548"/>
        <x:v>0</x:v>
      </x:c>
      <x:c r="FB469">
        <x:f t="shared" si="549"/>
        <x:v>0</x:v>
      </x:c>
      <x:c r="FC469">
        <x:f t="shared" si="550"/>
        <x:v>0</x:v>
      </x:c>
      <x:c r="FD469">
        <x:f t="shared" si="551"/>
        <x:v>0</x:v>
      </x:c>
      <x:c r="FE469">
        <x:f t="shared" si="552"/>
        <x:v>0</x:v>
      </x:c>
      <x:c r="FF469">
        <x:f t="shared" si="553"/>
        <x:v>0</x:v>
      </x:c>
      <x:c r="FG469">
        <x:f t="shared" si="554"/>
        <x:v>0</x:v>
      </x:c>
      <x:c r="FH469">
        <x:f t="shared" si="555"/>
        <x:v>0</x:v>
      </x:c>
      <x:c r="FI469">
        <x:f t="shared" si="556"/>
        <x:v>0</x:v>
      </x:c>
      <x:c r="FJ469">
        <x:f t="shared" si="557"/>
        <x:v>0</x:v>
      </x:c>
      <x:c r="FK469">
        <x:f t="shared" si="558"/>
        <x:v>0</x:v>
      </x:c>
      <x:c r="FL469" s="41">
        <x:f t="shared" si="559"/>
        <x:v>0</x:v>
      </x:c>
      <x:c r="FM469">
        <x:f t="shared" si="560"/>
        <x:v>0</x:v>
      </x:c>
      <x:c r="FN469">
        <x:f t="shared" si="561"/>
        <x:v>0</x:v>
      </x:c>
      <x:c r="FO469">
        <x:f t="shared" si="562"/>
        <x:v>0</x:v>
      </x:c>
      <x:c r="FP469">
        <x:f t="shared" si="563"/>
        <x:v>0</x:v>
      </x:c>
      <x:c r="FQ469">
        <x:f t="shared" si="564"/>
        <x:v>0</x:v>
      </x:c>
      <x:c r="FR469">
        <x:f t="shared" si="565"/>
        <x:v>0</x:v>
      </x:c>
      <x:c r="FS469">
        <x:f t="shared" si="566"/>
        <x:v>0</x:v>
      </x:c>
      <x:c r="FT469">
        <x:f t="shared" si="567"/>
        <x:v>0</x:v>
      </x:c>
      <x:c r="FU469">
        <x:f t="shared" si="568"/>
        <x:v>0</x:v>
      </x:c>
      <x:c r="FV469">
        <x:f t="shared" si="569"/>
        <x:v>0</x:v>
      </x:c>
      <x:c r="FW469" s="41">
        <x:f t="shared" si="570"/>
        <x:v>0</x:v>
      </x:c>
      <x:c r="FX469">
        <x:f t="shared" si="571"/>
        <x:v>0</x:v>
      </x:c>
      <x:c r="FY469">
        <x:f t="shared" si="572"/>
        <x:v>0</x:v>
      </x:c>
      <x:c r="FZ469">
        <x:f t="shared" si="573"/>
        <x:v>0</x:v>
      </x:c>
      <x:c r="GA469">
        <x:f t="shared" si="574"/>
        <x:v>0</x:v>
      </x:c>
      <x:c r="GB469">
        <x:f t="shared" si="575"/>
        <x:v>0</x:v>
      </x:c>
      <x:c r="GC469">
        <x:f t="shared" si="576"/>
        <x:v>0</x:v>
      </x:c>
      <x:c r="GD469">
        <x:f t="shared" si="577"/>
        <x:v>0</x:v>
      </x:c>
      <x:c r="GE469">
        <x:f t="shared" si="578"/>
        <x:v>0</x:v>
      </x:c>
      <x:c r="GF469">
        <x:f t="shared" si="579"/>
        <x:v>0</x:v>
      </x:c>
      <x:c r="GG469">
        <x:f t="shared" si="580"/>
        <x:v>0</x:v>
      </x:c>
      <x:c r="GH469">
        <x:f t="shared" si="581"/>
        <x:v>0</x:v>
      </x:c>
      <x:c r="GI469">
        <x:f t="shared" si="582"/>
        <x:v>0</x:v>
      </x:c>
      <x:c r="GJ469">
        <x:f t="shared" si="583"/>
        <x:v>0</x:v>
      </x:c>
      <x:c r="GK469">
        <x:f t="shared" si="584"/>
        <x:v>0</x:v>
      </x:c>
      <x:c r="GL469">
        <x:f t="shared" si="585"/>
        <x:v>0</x:v>
      </x:c>
      <x:c r="GM469">
        <x:f t="shared" si="586"/>
        <x:v>0</x:v>
      </x:c>
      <x:c r="GN469">
        <x:f t="shared" si="587"/>
        <x:v>0</x:v>
      </x:c>
      <x:c r="GO469">
        <x:f t="shared" si="588"/>
        <x:v>0</x:v>
      </x:c>
      <x:c r="GP469">
        <x:f t="shared" si="589"/>
        <x:v>0</x:v>
      </x:c>
      <x:c r="GQ469">
        <x:f t="shared" si="590"/>
        <x:v>0</x:v>
      </x:c>
      <x:c r="GR469" s="42">
        <x:f t="shared" si="591"/>
        <x:v>0</x:v>
      </x:c>
      <x:c r="GS469">
        <x:f t="shared" si="592"/>
        <x:v>0</x:v>
      </x:c>
      <x:c r="GT469">
        <x:f t="shared" si="593"/>
        <x:v>0</x:v>
      </x:c>
      <x:c r="GU469">
        <x:f t="shared" si="594"/>
        <x:v>0</x:v>
      </x:c>
      <x:c r="GV469">
        <x:f t="shared" si="595"/>
        <x:v>0</x:v>
      </x:c>
      <x:c r="GW469">
        <x:f t="shared" si="596"/>
        <x:v>0</x:v>
      </x:c>
      <x:c r="GX469">
        <x:f t="shared" si="597"/>
        <x:v>0</x:v>
      </x:c>
      <x:c r="GY469">
        <x:f t="shared" si="598"/>
        <x:v>0</x:v>
      </x:c>
      <x:c r="GZ469">
        <x:f t="shared" si="599"/>
        <x:v>0</x:v>
      </x:c>
      <x:c r="HA469">
        <x:f t="shared" si="600"/>
        <x:v>0</x:v>
      </x:c>
      <x:c r="HB469" s="42">
        <x:f t="shared" si="601"/>
        <x:v>0</x:v>
      </x:c>
      <x:c r="HC469">
        <x:f t="shared" si="602"/>
        <x:v>0</x:v>
      </x:c>
      <x:c r="HD469">
        <x:f t="shared" si="603"/>
        <x:v>0</x:v>
      </x:c>
      <x:c r="HE469">
        <x:f t="shared" si="604"/>
        <x:v>0</x:v>
      </x:c>
      <x:c r="HF469">
        <x:f t="shared" si="605"/>
        <x:v>0</x:v>
      </x:c>
      <x:c r="HG469">
        <x:f t="shared" si="606"/>
        <x:v>0</x:v>
      </x:c>
      <x:c r="HH469">
        <x:f t="shared" si="607"/>
        <x:v>0</x:v>
      </x:c>
      <x:c r="HI469">
        <x:f t="shared" si="608"/>
        <x:v>0</x:v>
      </x:c>
      <x:c r="HJ469">
        <x:f t="shared" si="609"/>
        <x:v>0</x:v>
      </x:c>
      <x:c r="HK469">
        <x:f t="shared" si="610"/>
        <x:v>0</x:v>
      </x:c>
      <x:c r="HL469">
        <x:f t="shared" si="611"/>
        <x:v>0</x:v>
      </x:c>
    </x:row>
    <x:row r="470">
      <x:c r="D470" s="74"/>
      <x:c r="EQ470">
        <x:f t="shared" si="538"/>
        <x:v>0</x:v>
      </x:c>
      <x:c r="ER470">
        <x:f t="shared" si="539"/>
        <x:v>0</x:v>
      </x:c>
      <x:c r="ES470">
        <x:f t="shared" si="540"/>
        <x:v>0</x:v>
      </x:c>
      <x:c r="ET470">
        <x:f t="shared" si="541"/>
        <x:v>0</x:v>
      </x:c>
      <x:c r="EU470">
        <x:f t="shared" si="542"/>
        <x:v>0</x:v>
      </x:c>
      <x:c r="EV470">
        <x:f t="shared" si="543"/>
        <x:v>0</x:v>
      </x:c>
      <x:c r="EW470">
        <x:f t="shared" si="544"/>
        <x:v>0</x:v>
      </x:c>
      <x:c r="EX470">
        <x:f t="shared" si="545"/>
        <x:v>0</x:v>
      </x:c>
      <x:c r="EY470">
        <x:f t="shared" si="546"/>
        <x:v>0</x:v>
      </x:c>
      <x:c r="EZ470">
        <x:f t="shared" si="547"/>
        <x:v>0</x:v>
      </x:c>
      <x:c r="FA470" s="41">
        <x:f t="shared" si="548"/>
        <x:v>0</x:v>
      </x:c>
      <x:c r="FB470">
        <x:f t="shared" si="549"/>
        <x:v>0</x:v>
      </x:c>
      <x:c r="FC470">
        <x:f t="shared" si="550"/>
        <x:v>0</x:v>
      </x:c>
      <x:c r="FD470">
        <x:f t="shared" si="551"/>
        <x:v>0</x:v>
      </x:c>
      <x:c r="FE470">
        <x:f t="shared" si="552"/>
        <x:v>0</x:v>
      </x:c>
      <x:c r="FF470">
        <x:f t="shared" si="553"/>
        <x:v>0</x:v>
      </x:c>
      <x:c r="FG470">
        <x:f t="shared" si="554"/>
        <x:v>0</x:v>
      </x:c>
      <x:c r="FH470">
        <x:f t="shared" si="555"/>
        <x:v>0</x:v>
      </x:c>
      <x:c r="FI470">
        <x:f t="shared" si="556"/>
        <x:v>0</x:v>
      </x:c>
      <x:c r="FJ470">
        <x:f t="shared" si="557"/>
        <x:v>0</x:v>
      </x:c>
      <x:c r="FK470">
        <x:f t="shared" si="558"/>
        <x:v>0</x:v>
      </x:c>
      <x:c r="FL470" s="41">
        <x:f t="shared" si="559"/>
        <x:v>0</x:v>
      </x:c>
      <x:c r="FM470">
        <x:f t="shared" si="560"/>
        <x:v>0</x:v>
      </x:c>
      <x:c r="FN470">
        <x:f t="shared" si="561"/>
        <x:v>0</x:v>
      </x:c>
      <x:c r="FO470">
        <x:f t="shared" si="562"/>
        <x:v>0</x:v>
      </x:c>
      <x:c r="FP470">
        <x:f t="shared" si="563"/>
        <x:v>0</x:v>
      </x:c>
      <x:c r="FQ470">
        <x:f t="shared" si="564"/>
        <x:v>0</x:v>
      </x:c>
      <x:c r="FR470">
        <x:f t="shared" si="565"/>
        <x:v>0</x:v>
      </x:c>
      <x:c r="FS470">
        <x:f t="shared" si="566"/>
        <x:v>0</x:v>
      </x:c>
      <x:c r="FT470">
        <x:f t="shared" si="567"/>
        <x:v>0</x:v>
      </x:c>
      <x:c r="FU470">
        <x:f t="shared" si="568"/>
        <x:v>0</x:v>
      </x:c>
      <x:c r="FV470">
        <x:f t="shared" si="569"/>
        <x:v>0</x:v>
      </x:c>
      <x:c r="FW470" s="41">
        <x:f t="shared" si="570"/>
        <x:v>0</x:v>
      </x:c>
      <x:c r="FX470">
        <x:f t="shared" si="571"/>
        <x:v>0</x:v>
      </x:c>
      <x:c r="FY470">
        <x:f t="shared" si="572"/>
        <x:v>0</x:v>
      </x:c>
      <x:c r="FZ470">
        <x:f t="shared" si="573"/>
        <x:v>0</x:v>
      </x:c>
      <x:c r="GA470">
        <x:f t="shared" si="574"/>
        <x:v>0</x:v>
      </x:c>
      <x:c r="GB470">
        <x:f t="shared" si="575"/>
        <x:v>0</x:v>
      </x:c>
      <x:c r="GC470">
        <x:f t="shared" si="576"/>
        <x:v>0</x:v>
      </x:c>
      <x:c r="GD470">
        <x:f t="shared" si="577"/>
        <x:v>0</x:v>
      </x:c>
      <x:c r="GE470">
        <x:f t="shared" si="578"/>
        <x:v>0</x:v>
      </x:c>
      <x:c r="GF470">
        <x:f t="shared" si="579"/>
        <x:v>0</x:v>
      </x:c>
      <x:c r="GG470">
        <x:f t="shared" si="580"/>
        <x:v>0</x:v>
      </x:c>
      <x:c r="GH470">
        <x:f t="shared" si="581"/>
        <x:v>0</x:v>
      </x:c>
      <x:c r="GI470">
        <x:f t="shared" si="582"/>
        <x:v>0</x:v>
      </x:c>
      <x:c r="GJ470">
        <x:f t="shared" si="583"/>
        <x:v>0</x:v>
      </x:c>
      <x:c r="GK470">
        <x:f t="shared" si="584"/>
        <x:v>0</x:v>
      </x:c>
      <x:c r="GL470">
        <x:f t="shared" si="585"/>
        <x:v>0</x:v>
      </x:c>
      <x:c r="GM470">
        <x:f t="shared" si="586"/>
        <x:v>0</x:v>
      </x:c>
      <x:c r="GN470">
        <x:f t="shared" si="587"/>
        <x:v>0</x:v>
      </x:c>
      <x:c r="GO470">
        <x:f t="shared" si="588"/>
        <x:v>0</x:v>
      </x:c>
      <x:c r="GP470">
        <x:f t="shared" si="589"/>
        <x:v>0</x:v>
      </x:c>
      <x:c r="GQ470">
        <x:f t="shared" si="590"/>
        <x:v>0</x:v>
      </x:c>
      <x:c r="GR470" s="42">
        <x:f t="shared" si="591"/>
        <x:v>0</x:v>
      </x:c>
      <x:c r="GS470">
        <x:f t="shared" si="592"/>
        <x:v>0</x:v>
      </x:c>
      <x:c r="GT470">
        <x:f t="shared" si="593"/>
        <x:v>0</x:v>
      </x:c>
      <x:c r="GU470">
        <x:f t="shared" si="594"/>
        <x:v>0</x:v>
      </x:c>
      <x:c r="GV470">
        <x:f t="shared" si="595"/>
        <x:v>0</x:v>
      </x:c>
      <x:c r="GW470">
        <x:f t="shared" si="596"/>
        <x:v>0</x:v>
      </x:c>
      <x:c r="GX470">
        <x:f t="shared" si="597"/>
        <x:v>0</x:v>
      </x:c>
      <x:c r="GY470">
        <x:f t="shared" si="598"/>
        <x:v>0</x:v>
      </x:c>
      <x:c r="GZ470">
        <x:f t="shared" si="599"/>
        <x:v>0</x:v>
      </x:c>
      <x:c r="HA470">
        <x:f t="shared" si="600"/>
        <x:v>0</x:v>
      </x:c>
      <x:c r="HB470" s="42">
        <x:f t="shared" si="601"/>
        <x:v>0</x:v>
      </x:c>
      <x:c r="HC470">
        <x:f t="shared" si="602"/>
        <x:v>0</x:v>
      </x:c>
      <x:c r="HD470">
        <x:f t="shared" si="603"/>
        <x:v>0</x:v>
      </x:c>
      <x:c r="HE470">
        <x:f t="shared" si="604"/>
        <x:v>0</x:v>
      </x:c>
      <x:c r="HF470">
        <x:f t="shared" si="605"/>
        <x:v>0</x:v>
      </x:c>
      <x:c r="HG470">
        <x:f t="shared" si="606"/>
        <x:v>0</x:v>
      </x:c>
      <x:c r="HH470">
        <x:f t="shared" si="607"/>
        <x:v>0</x:v>
      </x:c>
      <x:c r="HI470">
        <x:f t="shared" si="608"/>
        <x:v>0</x:v>
      </x:c>
      <x:c r="HJ470">
        <x:f t="shared" si="609"/>
        <x:v>0</x:v>
      </x:c>
      <x:c r="HK470">
        <x:f t="shared" si="610"/>
        <x:v>0</x:v>
      </x:c>
      <x:c r="HL470">
        <x:f t="shared" si="611"/>
        <x:v>0</x:v>
      </x:c>
    </x:row>
    <x:row r="471">
      <x:c r="D471" s="74"/>
      <x:c r="EQ471">
        <x:f t="shared" si="538"/>
        <x:v>0</x:v>
      </x:c>
      <x:c r="ER471">
        <x:f t="shared" si="539"/>
        <x:v>0</x:v>
      </x:c>
      <x:c r="ES471">
        <x:f t="shared" si="540"/>
        <x:v>0</x:v>
      </x:c>
      <x:c r="ET471">
        <x:f t="shared" si="541"/>
        <x:v>0</x:v>
      </x:c>
      <x:c r="EU471">
        <x:f t="shared" si="542"/>
        <x:v>0</x:v>
      </x:c>
      <x:c r="EV471">
        <x:f t="shared" si="543"/>
        <x:v>0</x:v>
      </x:c>
      <x:c r="EW471">
        <x:f t="shared" si="544"/>
        <x:v>0</x:v>
      </x:c>
      <x:c r="EX471">
        <x:f t="shared" si="545"/>
        <x:v>0</x:v>
      </x:c>
      <x:c r="EY471">
        <x:f t="shared" si="546"/>
        <x:v>0</x:v>
      </x:c>
      <x:c r="EZ471">
        <x:f t="shared" si="547"/>
        <x:v>0</x:v>
      </x:c>
      <x:c r="FA471" s="41">
        <x:f t="shared" si="548"/>
        <x:v>0</x:v>
      </x:c>
      <x:c r="FB471">
        <x:f t="shared" si="549"/>
        <x:v>0</x:v>
      </x:c>
      <x:c r="FC471">
        <x:f t="shared" si="550"/>
        <x:v>0</x:v>
      </x:c>
      <x:c r="FD471">
        <x:f t="shared" si="551"/>
        <x:v>0</x:v>
      </x:c>
      <x:c r="FE471">
        <x:f t="shared" si="552"/>
        <x:v>0</x:v>
      </x:c>
      <x:c r="FF471">
        <x:f t="shared" si="553"/>
        <x:v>0</x:v>
      </x:c>
      <x:c r="FG471">
        <x:f t="shared" si="554"/>
        <x:v>0</x:v>
      </x:c>
      <x:c r="FH471">
        <x:f t="shared" si="555"/>
        <x:v>0</x:v>
      </x:c>
      <x:c r="FI471">
        <x:f t="shared" si="556"/>
        <x:v>0</x:v>
      </x:c>
      <x:c r="FJ471">
        <x:f t="shared" si="557"/>
        <x:v>0</x:v>
      </x:c>
      <x:c r="FK471">
        <x:f t="shared" si="558"/>
        <x:v>0</x:v>
      </x:c>
      <x:c r="FL471" s="41">
        <x:f t="shared" si="559"/>
        <x:v>0</x:v>
      </x:c>
      <x:c r="FM471">
        <x:f t="shared" si="560"/>
        <x:v>0</x:v>
      </x:c>
      <x:c r="FN471">
        <x:f t="shared" si="561"/>
        <x:v>0</x:v>
      </x:c>
      <x:c r="FO471">
        <x:f t="shared" si="562"/>
        <x:v>0</x:v>
      </x:c>
      <x:c r="FP471">
        <x:f t="shared" si="563"/>
        <x:v>0</x:v>
      </x:c>
      <x:c r="FQ471">
        <x:f t="shared" si="564"/>
        <x:v>0</x:v>
      </x:c>
      <x:c r="FR471">
        <x:f t="shared" si="565"/>
        <x:v>0</x:v>
      </x:c>
      <x:c r="FS471">
        <x:f t="shared" si="566"/>
        <x:v>0</x:v>
      </x:c>
      <x:c r="FT471">
        <x:f t="shared" si="567"/>
        <x:v>0</x:v>
      </x:c>
      <x:c r="FU471">
        <x:f t="shared" si="568"/>
        <x:v>0</x:v>
      </x:c>
      <x:c r="FV471">
        <x:f t="shared" si="569"/>
        <x:v>0</x:v>
      </x:c>
      <x:c r="FW471" s="41">
        <x:f t="shared" si="570"/>
        <x:v>0</x:v>
      </x:c>
      <x:c r="FX471">
        <x:f t="shared" si="571"/>
        <x:v>0</x:v>
      </x:c>
      <x:c r="FY471">
        <x:f t="shared" si="572"/>
        <x:v>0</x:v>
      </x:c>
      <x:c r="FZ471">
        <x:f t="shared" si="573"/>
        <x:v>0</x:v>
      </x:c>
      <x:c r="GA471">
        <x:f t="shared" si="574"/>
        <x:v>0</x:v>
      </x:c>
      <x:c r="GB471">
        <x:f t="shared" si="575"/>
        <x:v>0</x:v>
      </x:c>
      <x:c r="GC471">
        <x:f t="shared" si="576"/>
        <x:v>0</x:v>
      </x:c>
      <x:c r="GD471">
        <x:f t="shared" si="577"/>
        <x:v>0</x:v>
      </x:c>
      <x:c r="GE471">
        <x:f t="shared" si="578"/>
        <x:v>0</x:v>
      </x:c>
      <x:c r="GF471">
        <x:f t="shared" si="579"/>
        <x:v>0</x:v>
      </x:c>
      <x:c r="GG471">
        <x:f t="shared" si="580"/>
        <x:v>0</x:v>
      </x:c>
      <x:c r="GH471">
        <x:f t="shared" si="581"/>
        <x:v>0</x:v>
      </x:c>
      <x:c r="GI471">
        <x:f t="shared" si="582"/>
        <x:v>0</x:v>
      </x:c>
      <x:c r="GJ471">
        <x:f t="shared" si="583"/>
        <x:v>0</x:v>
      </x:c>
      <x:c r="GK471">
        <x:f t="shared" si="584"/>
        <x:v>0</x:v>
      </x:c>
      <x:c r="GL471">
        <x:f t="shared" si="585"/>
        <x:v>0</x:v>
      </x:c>
      <x:c r="GM471">
        <x:f t="shared" si="586"/>
        <x:v>0</x:v>
      </x:c>
      <x:c r="GN471">
        <x:f t="shared" si="587"/>
        <x:v>0</x:v>
      </x:c>
      <x:c r="GO471">
        <x:f t="shared" si="588"/>
        <x:v>0</x:v>
      </x:c>
      <x:c r="GP471">
        <x:f t="shared" si="589"/>
        <x:v>0</x:v>
      </x:c>
      <x:c r="GQ471">
        <x:f t="shared" si="590"/>
        <x:v>0</x:v>
      </x:c>
      <x:c r="GR471" s="42">
        <x:f t="shared" si="591"/>
        <x:v>0</x:v>
      </x:c>
      <x:c r="GS471">
        <x:f t="shared" si="592"/>
        <x:v>0</x:v>
      </x:c>
      <x:c r="GT471">
        <x:f t="shared" si="593"/>
        <x:v>0</x:v>
      </x:c>
      <x:c r="GU471">
        <x:f t="shared" si="594"/>
        <x:v>0</x:v>
      </x:c>
      <x:c r="GV471">
        <x:f t="shared" si="595"/>
        <x:v>0</x:v>
      </x:c>
      <x:c r="GW471">
        <x:f t="shared" si="596"/>
        <x:v>0</x:v>
      </x:c>
      <x:c r="GX471">
        <x:f t="shared" si="597"/>
        <x:v>0</x:v>
      </x:c>
      <x:c r="GY471">
        <x:f t="shared" si="598"/>
        <x:v>0</x:v>
      </x:c>
      <x:c r="GZ471">
        <x:f t="shared" si="599"/>
        <x:v>0</x:v>
      </x:c>
      <x:c r="HA471">
        <x:f t="shared" si="600"/>
        <x:v>0</x:v>
      </x:c>
      <x:c r="HB471" s="42">
        <x:f t="shared" si="601"/>
        <x:v>0</x:v>
      </x:c>
      <x:c r="HC471">
        <x:f t="shared" si="602"/>
        <x:v>0</x:v>
      </x:c>
      <x:c r="HD471">
        <x:f t="shared" si="603"/>
        <x:v>0</x:v>
      </x:c>
      <x:c r="HE471">
        <x:f t="shared" si="604"/>
        <x:v>0</x:v>
      </x:c>
      <x:c r="HF471">
        <x:f t="shared" si="605"/>
        <x:v>0</x:v>
      </x:c>
      <x:c r="HG471">
        <x:f t="shared" si="606"/>
        <x:v>0</x:v>
      </x:c>
      <x:c r="HH471">
        <x:f t="shared" si="607"/>
        <x:v>0</x:v>
      </x:c>
      <x:c r="HI471">
        <x:f t="shared" si="608"/>
        <x:v>0</x:v>
      </x:c>
      <x:c r="HJ471">
        <x:f t="shared" si="609"/>
        <x:v>0</x:v>
      </x:c>
      <x:c r="HK471">
        <x:f t="shared" si="610"/>
        <x:v>0</x:v>
      </x:c>
      <x:c r="HL471">
        <x:f t="shared" si="611"/>
        <x:v>0</x:v>
      </x:c>
    </x:row>
    <x:row r="472">
      <x:c r="D472" s="74"/>
      <x:c r="EQ472">
        <x:f t="shared" si="538"/>
        <x:v>0</x:v>
      </x:c>
      <x:c r="ER472">
        <x:f t="shared" si="539"/>
        <x:v>0</x:v>
      </x:c>
      <x:c r="ES472">
        <x:f t="shared" si="540"/>
        <x:v>0</x:v>
      </x:c>
      <x:c r="ET472">
        <x:f t="shared" si="541"/>
        <x:v>0</x:v>
      </x:c>
      <x:c r="EU472">
        <x:f t="shared" si="542"/>
        <x:v>0</x:v>
      </x:c>
      <x:c r="EV472">
        <x:f t="shared" si="543"/>
        <x:v>0</x:v>
      </x:c>
      <x:c r="EW472">
        <x:f t="shared" si="544"/>
        <x:v>0</x:v>
      </x:c>
      <x:c r="EX472">
        <x:f t="shared" si="545"/>
        <x:v>0</x:v>
      </x:c>
      <x:c r="EY472">
        <x:f t="shared" si="546"/>
        <x:v>0</x:v>
      </x:c>
      <x:c r="EZ472">
        <x:f t="shared" si="547"/>
        <x:v>0</x:v>
      </x:c>
      <x:c r="FA472" s="41">
        <x:f t="shared" si="548"/>
        <x:v>0</x:v>
      </x:c>
      <x:c r="FB472">
        <x:f t="shared" si="549"/>
        <x:v>0</x:v>
      </x:c>
      <x:c r="FC472">
        <x:f t="shared" si="550"/>
        <x:v>0</x:v>
      </x:c>
      <x:c r="FD472">
        <x:f t="shared" si="551"/>
        <x:v>0</x:v>
      </x:c>
      <x:c r="FE472">
        <x:f t="shared" si="552"/>
        <x:v>0</x:v>
      </x:c>
      <x:c r="FF472">
        <x:f t="shared" si="553"/>
        <x:v>0</x:v>
      </x:c>
      <x:c r="FG472">
        <x:f t="shared" si="554"/>
        <x:v>0</x:v>
      </x:c>
      <x:c r="FH472">
        <x:f t="shared" si="555"/>
        <x:v>0</x:v>
      </x:c>
      <x:c r="FI472">
        <x:f t="shared" si="556"/>
        <x:v>0</x:v>
      </x:c>
      <x:c r="FJ472">
        <x:f t="shared" si="557"/>
        <x:v>0</x:v>
      </x:c>
      <x:c r="FK472">
        <x:f t="shared" si="558"/>
        <x:v>0</x:v>
      </x:c>
      <x:c r="FL472" s="41">
        <x:f t="shared" si="559"/>
        <x:v>0</x:v>
      </x:c>
      <x:c r="FM472">
        <x:f t="shared" si="560"/>
        <x:v>0</x:v>
      </x:c>
      <x:c r="FN472">
        <x:f t="shared" si="561"/>
        <x:v>0</x:v>
      </x:c>
      <x:c r="FO472">
        <x:f t="shared" si="562"/>
        <x:v>0</x:v>
      </x:c>
      <x:c r="FP472">
        <x:f t="shared" si="563"/>
        <x:v>0</x:v>
      </x:c>
      <x:c r="FQ472">
        <x:f t="shared" si="564"/>
        <x:v>0</x:v>
      </x:c>
      <x:c r="FR472">
        <x:f t="shared" si="565"/>
        <x:v>0</x:v>
      </x:c>
      <x:c r="FS472">
        <x:f t="shared" si="566"/>
        <x:v>0</x:v>
      </x:c>
      <x:c r="FT472">
        <x:f t="shared" si="567"/>
        <x:v>0</x:v>
      </x:c>
      <x:c r="FU472">
        <x:f t="shared" si="568"/>
        <x:v>0</x:v>
      </x:c>
      <x:c r="FV472">
        <x:f t="shared" si="569"/>
        <x:v>0</x:v>
      </x:c>
      <x:c r="FW472" s="41">
        <x:f t="shared" si="570"/>
        <x:v>0</x:v>
      </x:c>
      <x:c r="FX472">
        <x:f t="shared" si="571"/>
        <x:v>0</x:v>
      </x:c>
      <x:c r="FY472">
        <x:f t="shared" si="572"/>
        <x:v>0</x:v>
      </x:c>
      <x:c r="FZ472">
        <x:f t="shared" si="573"/>
        <x:v>0</x:v>
      </x:c>
      <x:c r="GA472">
        <x:f t="shared" si="574"/>
        <x:v>0</x:v>
      </x:c>
      <x:c r="GB472">
        <x:f t="shared" si="575"/>
        <x:v>0</x:v>
      </x:c>
      <x:c r="GC472">
        <x:f t="shared" si="576"/>
        <x:v>0</x:v>
      </x:c>
      <x:c r="GD472">
        <x:f t="shared" si="577"/>
        <x:v>0</x:v>
      </x:c>
      <x:c r="GE472">
        <x:f t="shared" si="578"/>
        <x:v>0</x:v>
      </x:c>
      <x:c r="GF472">
        <x:f t="shared" si="579"/>
        <x:v>0</x:v>
      </x:c>
      <x:c r="GG472">
        <x:f t="shared" si="580"/>
        <x:v>0</x:v>
      </x:c>
      <x:c r="GH472">
        <x:f t="shared" si="581"/>
        <x:v>0</x:v>
      </x:c>
      <x:c r="GI472">
        <x:f t="shared" si="582"/>
        <x:v>0</x:v>
      </x:c>
      <x:c r="GJ472">
        <x:f t="shared" si="583"/>
        <x:v>0</x:v>
      </x:c>
      <x:c r="GK472">
        <x:f t="shared" si="584"/>
        <x:v>0</x:v>
      </x:c>
      <x:c r="GL472">
        <x:f t="shared" si="585"/>
        <x:v>0</x:v>
      </x:c>
      <x:c r="GM472">
        <x:f t="shared" si="586"/>
        <x:v>0</x:v>
      </x:c>
      <x:c r="GN472">
        <x:f t="shared" si="587"/>
        <x:v>0</x:v>
      </x:c>
      <x:c r="GO472">
        <x:f t="shared" si="588"/>
        <x:v>0</x:v>
      </x:c>
      <x:c r="GP472">
        <x:f t="shared" si="589"/>
        <x:v>0</x:v>
      </x:c>
      <x:c r="GQ472">
        <x:f t="shared" si="590"/>
        <x:v>0</x:v>
      </x:c>
      <x:c r="GR472" s="42">
        <x:f t="shared" si="591"/>
        <x:v>0</x:v>
      </x:c>
      <x:c r="GS472">
        <x:f t="shared" si="592"/>
        <x:v>0</x:v>
      </x:c>
      <x:c r="GT472">
        <x:f t="shared" si="593"/>
        <x:v>0</x:v>
      </x:c>
      <x:c r="GU472">
        <x:f t="shared" si="594"/>
        <x:v>0</x:v>
      </x:c>
      <x:c r="GV472">
        <x:f t="shared" si="595"/>
        <x:v>0</x:v>
      </x:c>
      <x:c r="GW472">
        <x:f t="shared" si="596"/>
        <x:v>0</x:v>
      </x:c>
      <x:c r="GX472">
        <x:f t="shared" si="597"/>
        <x:v>0</x:v>
      </x:c>
      <x:c r="GY472">
        <x:f t="shared" si="598"/>
        <x:v>0</x:v>
      </x:c>
      <x:c r="GZ472">
        <x:f t="shared" si="599"/>
        <x:v>0</x:v>
      </x:c>
      <x:c r="HA472">
        <x:f t="shared" si="600"/>
        <x:v>0</x:v>
      </x:c>
      <x:c r="HB472" s="42">
        <x:f t="shared" si="601"/>
        <x:v>0</x:v>
      </x:c>
      <x:c r="HC472">
        <x:f t="shared" si="602"/>
        <x:v>0</x:v>
      </x:c>
      <x:c r="HD472">
        <x:f t="shared" si="603"/>
        <x:v>0</x:v>
      </x:c>
      <x:c r="HE472">
        <x:f t="shared" si="604"/>
        <x:v>0</x:v>
      </x:c>
      <x:c r="HF472">
        <x:f t="shared" si="605"/>
        <x:v>0</x:v>
      </x:c>
      <x:c r="HG472">
        <x:f t="shared" si="606"/>
        <x:v>0</x:v>
      </x:c>
      <x:c r="HH472">
        <x:f t="shared" si="607"/>
        <x:v>0</x:v>
      </x:c>
      <x:c r="HI472">
        <x:f t="shared" si="608"/>
        <x:v>0</x:v>
      </x:c>
      <x:c r="HJ472">
        <x:f t="shared" si="609"/>
        <x:v>0</x:v>
      </x:c>
      <x:c r="HK472">
        <x:f t="shared" si="610"/>
        <x:v>0</x:v>
      </x:c>
      <x:c r="HL472">
        <x:f t="shared" si="611"/>
        <x:v>0</x:v>
      </x:c>
    </x:row>
    <x:row r="473">
      <x:c r="D473" s="74"/>
      <x:c r="EQ473">
        <x:f t="shared" si="538"/>
        <x:v>0</x:v>
      </x:c>
      <x:c r="ER473">
        <x:f t="shared" si="539"/>
        <x:v>0</x:v>
      </x:c>
      <x:c r="ES473">
        <x:f t="shared" si="540"/>
        <x:v>0</x:v>
      </x:c>
      <x:c r="ET473">
        <x:f t="shared" si="541"/>
        <x:v>0</x:v>
      </x:c>
      <x:c r="EU473">
        <x:f t="shared" si="542"/>
        <x:v>0</x:v>
      </x:c>
      <x:c r="EV473">
        <x:f t="shared" si="543"/>
        <x:v>0</x:v>
      </x:c>
      <x:c r="EW473">
        <x:f t="shared" si="544"/>
        <x:v>0</x:v>
      </x:c>
      <x:c r="EX473">
        <x:f t="shared" si="545"/>
        <x:v>0</x:v>
      </x:c>
      <x:c r="EY473">
        <x:f t="shared" si="546"/>
        <x:v>0</x:v>
      </x:c>
      <x:c r="EZ473">
        <x:f t="shared" si="547"/>
        <x:v>0</x:v>
      </x:c>
      <x:c r="FA473" s="41">
        <x:f t="shared" si="548"/>
        <x:v>0</x:v>
      </x:c>
      <x:c r="FB473">
        <x:f t="shared" si="549"/>
        <x:v>0</x:v>
      </x:c>
      <x:c r="FC473">
        <x:f t="shared" si="550"/>
        <x:v>0</x:v>
      </x:c>
      <x:c r="FD473">
        <x:f t="shared" si="551"/>
        <x:v>0</x:v>
      </x:c>
      <x:c r="FE473">
        <x:f t="shared" si="552"/>
        <x:v>0</x:v>
      </x:c>
      <x:c r="FF473">
        <x:f t="shared" si="553"/>
        <x:v>0</x:v>
      </x:c>
      <x:c r="FG473">
        <x:f t="shared" si="554"/>
        <x:v>0</x:v>
      </x:c>
      <x:c r="FH473">
        <x:f t="shared" si="555"/>
        <x:v>0</x:v>
      </x:c>
      <x:c r="FI473">
        <x:f t="shared" si="556"/>
        <x:v>0</x:v>
      </x:c>
      <x:c r="FJ473">
        <x:f t="shared" si="557"/>
        <x:v>0</x:v>
      </x:c>
      <x:c r="FK473">
        <x:f t="shared" si="558"/>
        <x:v>0</x:v>
      </x:c>
      <x:c r="FL473" s="41">
        <x:f t="shared" si="559"/>
        <x:v>0</x:v>
      </x:c>
      <x:c r="FM473">
        <x:f t="shared" si="560"/>
        <x:v>0</x:v>
      </x:c>
      <x:c r="FN473">
        <x:f t="shared" si="561"/>
        <x:v>0</x:v>
      </x:c>
      <x:c r="FO473">
        <x:f t="shared" si="562"/>
        <x:v>0</x:v>
      </x:c>
      <x:c r="FP473">
        <x:f t="shared" si="563"/>
        <x:v>0</x:v>
      </x:c>
      <x:c r="FQ473">
        <x:f t="shared" si="564"/>
        <x:v>0</x:v>
      </x:c>
      <x:c r="FR473">
        <x:f t="shared" si="565"/>
        <x:v>0</x:v>
      </x:c>
      <x:c r="FS473">
        <x:f t="shared" si="566"/>
        <x:v>0</x:v>
      </x:c>
      <x:c r="FT473">
        <x:f t="shared" si="567"/>
        <x:v>0</x:v>
      </x:c>
      <x:c r="FU473">
        <x:f t="shared" si="568"/>
        <x:v>0</x:v>
      </x:c>
      <x:c r="FV473">
        <x:f t="shared" si="569"/>
        <x:v>0</x:v>
      </x:c>
      <x:c r="FW473" s="41">
        <x:f t="shared" si="570"/>
        <x:v>0</x:v>
      </x:c>
      <x:c r="FX473">
        <x:f t="shared" si="571"/>
        <x:v>0</x:v>
      </x:c>
      <x:c r="FY473">
        <x:f t="shared" si="572"/>
        <x:v>0</x:v>
      </x:c>
      <x:c r="FZ473">
        <x:f t="shared" si="573"/>
        <x:v>0</x:v>
      </x:c>
      <x:c r="GA473">
        <x:f t="shared" si="574"/>
        <x:v>0</x:v>
      </x:c>
      <x:c r="GB473">
        <x:f t="shared" si="575"/>
        <x:v>0</x:v>
      </x:c>
      <x:c r="GC473">
        <x:f t="shared" si="576"/>
        <x:v>0</x:v>
      </x:c>
      <x:c r="GD473">
        <x:f t="shared" si="577"/>
        <x:v>0</x:v>
      </x:c>
      <x:c r="GE473">
        <x:f t="shared" si="578"/>
        <x:v>0</x:v>
      </x:c>
      <x:c r="GF473">
        <x:f t="shared" si="579"/>
        <x:v>0</x:v>
      </x:c>
      <x:c r="GG473">
        <x:f t="shared" si="580"/>
        <x:v>0</x:v>
      </x:c>
      <x:c r="GH473">
        <x:f t="shared" si="581"/>
        <x:v>0</x:v>
      </x:c>
      <x:c r="GI473">
        <x:f t="shared" si="582"/>
        <x:v>0</x:v>
      </x:c>
      <x:c r="GJ473">
        <x:f t="shared" si="583"/>
        <x:v>0</x:v>
      </x:c>
      <x:c r="GK473">
        <x:f t="shared" si="584"/>
        <x:v>0</x:v>
      </x:c>
      <x:c r="GL473">
        <x:f t="shared" si="585"/>
        <x:v>0</x:v>
      </x:c>
      <x:c r="GM473">
        <x:f t="shared" si="586"/>
        <x:v>0</x:v>
      </x:c>
      <x:c r="GN473">
        <x:f t="shared" si="587"/>
        <x:v>0</x:v>
      </x:c>
      <x:c r="GO473">
        <x:f t="shared" si="588"/>
        <x:v>0</x:v>
      </x:c>
      <x:c r="GP473">
        <x:f t="shared" si="589"/>
        <x:v>0</x:v>
      </x:c>
      <x:c r="GQ473">
        <x:f t="shared" si="590"/>
        <x:v>0</x:v>
      </x:c>
      <x:c r="GR473" s="42">
        <x:f t="shared" si="591"/>
        <x:v>0</x:v>
      </x:c>
      <x:c r="GS473">
        <x:f t="shared" si="592"/>
        <x:v>0</x:v>
      </x:c>
      <x:c r="GT473">
        <x:f t="shared" si="593"/>
        <x:v>0</x:v>
      </x:c>
      <x:c r="GU473">
        <x:f t="shared" si="594"/>
        <x:v>0</x:v>
      </x:c>
      <x:c r="GV473">
        <x:f t="shared" si="595"/>
        <x:v>0</x:v>
      </x:c>
      <x:c r="GW473">
        <x:f t="shared" si="596"/>
        <x:v>0</x:v>
      </x:c>
      <x:c r="GX473">
        <x:f t="shared" si="597"/>
        <x:v>0</x:v>
      </x:c>
      <x:c r="GY473">
        <x:f t="shared" si="598"/>
        <x:v>0</x:v>
      </x:c>
      <x:c r="GZ473">
        <x:f t="shared" si="599"/>
        <x:v>0</x:v>
      </x:c>
      <x:c r="HA473">
        <x:f t="shared" si="600"/>
        <x:v>0</x:v>
      </x:c>
      <x:c r="HB473" s="42">
        <x:f t="shared" si="601"/>
        <x:v>0</x:v>
      </x:c>
      <x:c r="HC473">
        <x:f t="shared" si="602"/>
        <x:v>0</x:v>
      </x:c>
      <x:c r="HD473">
        <x:f t="shared" si="603"/>
        <x:v>0</x:v>
      </x:c>
      <x:c r="HE473">
        <x:f t="shared" si="604"/>
        <x:v>0</x:v>
      </x:c>
      <x:c r="HF473">
        <x:f t="shared" si="605"/>
        <x:v>0</x:v>
      </x:c>
      <x:c r="HG473">
        <x:f t="shared" si="606"/>
        <x:v>0</x:v>
      </x:c>
      <x:c r="HH473">
        <x:f t="shared" si="607"/>
        <x:v>0</x:v>
      </x:c>
      <x:c r="HI473">
        <x:f t="shared" si="608"/>
        <x:v>0</x:v>
      </x:c>
      <x:c r="HJ473">
        <x:f t="shared" si="609"/>
        <x:v>0</x:v>
      </x:c>
      <x:c r="HK473">
        <x:f t="shared" si="610"/>
        <x:v>0</x:v>
      </x:c>
      <x:c r="HL473">
        <x:f t="shared" si="611"/>
        <x:v>0</x:v>
      </x:c>
    </x:row>
    <x:row r="474">
      <x:c r="D474" s="74"/>
      <x:c r="EQ474">
        <x:f t="shared" si="538"/>
        <x:v>0</x:v>
      </x:c>
      <x:c r="ER474">
        <x:f t="shared" si="539"/>
        <x:v>0</x:v>
      </x:c>
      <x:c r="ES474">
        <x:f t="shared" si="540"/>
        <x:v>0</x:v>
      </x:c>
      <x:c r="ET474">
        <x:f t="shared" si="541"/>
        <x:v>0</x:v>
      </x:c>
      <x:c r="EU474">
        <x:f t="shared" si="542"/>
        <x:v>0</x:v>
      </x:c>
      <x:c r="EV474">
        <x:f t="shared" si="543"/>
        <x:v>0</x:v>
      </x:c>
      <x:c r="EW474">
        <x:f t="shared" si="544"/>
        <x:v>0</x:v>
      </x:c>
      <x:c r="EX474">
        <x:f t="shared" si="545"/>
        <x:v>0</x:v>
      </x:c>
      <x:c r="EY474">
        <x:f t="shared" si="546"/>
        <x:v>0</x:v>
      </x:c>
      <x:c r="EZ474">
        <x:f t="shared" si="547"/>
        <x:v>0</x:v>
      </x:c>
      <x:c r="FA474" s="41">
        <x:f t="shared" si="548"/>
        <x:v>0</x:v>
      </x:c>
      <x:c r="FB474">
        <x:f t="shared" si="549"/>
        <x:v>0</x:v>
      </x:c>
      <x:c r="FC474">
        <x:f t="shared" si="550"/>
        <x:v>0</x:v>
      </x:c>
      <x:c r="FD474">
        <x:f t="shared" si="551"/>
        <x:v>0</x:v>
      </x:c>
      <x:c r="FE474">
        <x:f t="shared" si="552"/>
        <x:v>0</x:v>
      </x:c>
      <x:c r="FF474">
        <x:f t="shared" si="553"/>
        <x:v>0</x:v>
      </x:c>
      <x:c r="FG474">
        <x:f t="shared" si="554"/>
        <x:v>0</x:v>
      </x:c>
      <x:c r="FH474">
        <x:f t="shared" si="555"/>
        <x:v>0</x:v>
      </x:c>
      <x:c r="FI474">
        <x:f t="shared" si="556"/>
        <x:v>0</x:v>
      </x:c>
      <x:c r="FJ474">
        <x:f t="shared" si="557"/>
        <x:v>0</x:v>
      </x:c>
      <x:c r="FK474">
        <x:f t="shared" si="558"/>
        <x:v>0</x:v>
      </x:c>
      <x:c r="FL474" s="41">
        <x:f t="shared" si="559"/>
        <x:v>0</x:v>
      </x:c>
      <x:c r="FM474">
        <x:f t="shared" si="560"/>
        <x:v>0</x:v>
      </x:c>
      <x:c r="FN474">
        <x:f t="shared" si="561"/>
        <x:v>0</x:v>
      </x:c>
      <x:c r="FO474">
        <x:f t="shared" si="562"/>
        <x:v>0</x:v>
      </x:c>
      <x:c r="FP474">
        <x:f t="shared" si="563"/>
        <x:v>0</x:v>
      </x:c>
      <x:c r="FQ474">
        <x:f t="shared" si="564"/>
        <x:v>0</x:v>
      </x:c>
      <x:c r="FR474">
        <x:f t="shared" si="565"/>
        <x:v>0</x:v>
      </x:c>
      <x:c r="FS474">
        <x:f t="shared" si="566"/>
        <x:v>0</x:v>
      </x:c>
      <x:c r="FT474">
        <x:f t="shared" si="567"/>
        <x:v>0</x:v>
      </x:c>
      <x:c r="FU474">
        <x:f t="shared" si="568"/>
        <x:v>0</x:v>
      </x:c>
      <x:c r="FV474">
        <x:f t="shared" si="569"/>
        <x:v>0</x:v>
      </x:c>
      <x:c r="FW474" s="41">
        <x:f t="shared" si="570"/>
        <x:v>0</x:v>
      </x:c>
      <x:c r="FX474">
        <x:f t="shared" si="571"/>
        <x:v>0</x:v>
      </x:c>
      <x:c r="FY474">
        <x:f t="shared" si="572"/>
        <x:v>0</x:v>
      </x:c>
      <x:c r="FZ474">
        <x:f t="shared" si="573"/>
        <x:v>0</x:v>
      </x:c>
      <x:c r="GA474">
        <x:f t="shared" si="574"/>
        <x:v>0</x:v>
      </x:c>
      <x:c r="GB474">
        <x:f t="shared" si="575"/>
        <x:v>0</x:v>
      </x:c>
      <x:c r="GC474">
        <x:f t="shared" si="576"/>
        <x:v>0</x:v>
      </x:c>
      <x:c r="GD474">
        <x:f t="shared" si="577"/>
        <x:v>0</x:v>
      </x:c>
      <x:c r="GE474">
        <x:f t="shared" si="578"/>
        <x:v>0</x:v>
      </x:c>
      <x:c r="GF474">
        <x:f t="shared" si="579"/>
        <x:v>0</x:v>
      </x:c>
      <x:c r="GG474">
        <x:f t="shared" si="580"/>
        <x:v>0</x:v>
      </x:c>
      <x:c r="GH474">
        <x:f t="shared" si="581"/>
        <x:v>0</x:v>
      </x:c>
      <x:c r="GI474">
        <x:f t="shared" si="582"/>
        <x:v>0</x:v>
      </x:c>
      <x:c r="GJ474">
        <x:f t="shared" si="583"/>
        <x:v>0</x:v>
      </x:c>
      <x:c r="GK474">
        <x:f t="shared" si="584"/>
        <x:v>0</x:v>
      </x:c>
      <x:c r="GL474">
        <x:f t="shared" si="585"/>
        <x:v>0</x:v>
      </x:c>
      <x:c r="GM474">
        <x:f t="shared" si="586"/>
        <x:v>0</x:v>
      </x:c>
      <x:c r="GN474">
        <x:f t="shared" si="587"/>
        <x:v>0</x:v>
      </x:c>
      <x:c r="GO474">
        <x:f t="shared" si="588"/>
        <x:v>0</x:v>
      </x:c>
      <x:c r="GP474">
        <x:f t="shared" si="589"/>
        <x:v>0</x:v>
      </x:c>
      <x:c r="GQ474">
        <x:f t="shared" si="590"/>
        <x:v>0</x:v>
      </x:c>
      <x:c r="GR474" s="42">
        <x:f t="shared" si="591"/>
        <x:v>0</x:v>
      </x:c>
      <x:c r="GS474">
        <x:f t="shared" si="592"/>
        <x:v>0</x:v>
      </x:c>
      <x:c r="GT474">
        <x:f t="shared" si="593"/>
        <x:v>0</x:v>
      </x:c>
      <x:c r="GU474">
        <x:f t="shared" si="594"/>
        <x:v>0</x:v>
      </x:c>
      <x:c r="GV474">
        <x:f t="shared" si="595"/>
        <x:v>0</x:v>
      </x:c>
      <x:c r="GW474">
        <x:f t="shared" si="596"/>
        <x:v>0</x:v>
      </x:c>
      <x:c r="GX474">
        <x:f t="shared" si="597"/>
        <x:v>0</x:v>
      </x:c>
      <x:c r="GY474">
        <x:f t="shared" si="598"/>
        <x:v>0</x:v>
      </x:c>
      <x:c r="GZ474">
        <x:f t="shared" si="599"/>
        <x:v>0</x:v>
      </x:c>
      <x:c r="HA474">
        <x:f t="shared" si="600"/>
        <x:v>0</x:v>
      </x:c>
      <x:c r="HB474" s="42">
        <x:f t="shared" si="601"/>
        <x:v>0</x:v>
      </x:c>
      <x:c r="HC474">
        <x:f t="shared" si="602"/>
        <x:v>0</x:v>
      </x:c>
      <x:c r="HD474">
        <x:f t="shared" si="603"/>
        <x:v>0</x:v>
      </x:c>
      <x:c r="HE474">
        <x:f t="shared" si="604"/>
        <x:v>0</x:v>
      </x:c>
      <x:c r="HF474">
        <x:f t="shared" si="605"/>
        <x:v>0</x:v>
      </x:c>
      <x:c r="HG474">
        <x:f t="shared" si="606"/>
        <x:v>0</x:v>
      </x:c>
      <x:c r="HH474">
        <x:f t="shared" si="607"/>
        <x:v>0</x:v>
      </x:c>
      <x:c r="HI474">
        <x:f t="shared" si="608"/>
        <x:v>0</x:v>
      </x:c>
      <x:c r="HJ474">
        <x:f t="shared" si="609"/>
        <x:v>0</x:v>
      </x:c>
      <x:c r="HK474">
        <x:f t="shared" si="610"/>
        <x:v>0</x:v>
      </x:c>
      <x:c r="HL474">
        <x:f t="shared" si="611"/>
        <x:v>0</x:v>
      </x:c>
    </x:row>
    <x:row r="475">
      <x:c r="D475" s="74"/>
      <x:c r="EQ475">
        <x:f t="shared" si="538"/>
        <x:v>0</x:v>
      </x:c>
      <x:c r="ER475">
        <x:f t="shared" si="539"/>
        <x:v>0</x:v>
      </x:c>
      <x:c r="ES475">
        <x:f t="shared" si="540"/>
        <x:v>0</x:v>
      </x:c>
      <x:c r="ET475">
        <x:f t="shared" si="541"/>
        <x:v>0</x:v>
      </x:c>
      <x:c r="EU475">
        <x:f t="shared" si="542"/>
        <x:v>0</x:v>
      </x:c>
      <x:c r="EV475">
        <x:f t="shared" si="543"/>
        <x:v>0</x:v>
      </x:c>
      <x:c r="EW475">
        <x:f t="shared" si="544"/>
        <x:v>0</x:v>
      </x:c>
      <x:c r="EX475">
        <x:f t="shared" si="545"/>
        <x:v>0</x:v>
      </x:c>
      <x:c r="EY475">
        <x:f t="shared" si="546"/>
        <x:v>0</x:v>
      </x:c>
      <x:c r="EZ475">
        <x:f t="shared" si="547"/>
        <x:v>0</x:v>
      </x:c>
      <x:c r="FA475" s="41">
        <x:f t="shared" si="548"/>
        <x:v>0</x:v>
      </x:c>
      <x:c r="FB475">
        <x:f t="shared" si="549"/>
        <x:v>0</x:v>
      </x:c>
      <x:c r="FC475">
        <x:f t="shared" si="550"/>
        <x:v>0</x:v>
      </x:c>
      <x:c r="FD475">
        <x:f t="shared" si="551"/>
        <x:v>0</x:v>
      </x:c>
      <x:c r="FE475">
        <x:f t="shared" si="552"/>
        <x:v>0</x:v>
      </x:c>
      <x:c r="FF475">
        <x:f t="shared" si="553"/>
        <x:v>0</x:v>
      </x:c>
      <x:c r="FG475">
        <x:f t="shared" si="554"/>
        <x:v>0</x:v>
      </x:c>
      <x:c r="FH475">
        <x:f t="shared" si="555"/>
        <x:v>0</x:v>
      </x:c>
      <x:c r="FI475">
        <x:f t="shared" si="556"/>
        <x:v>0</x:v>
      </x:c>
      <x:c r="FJ475">
        <x:f t="shared" si="557"/>
        <x:v>0</x:v>
      </x:c>
      <x:c r="FK475">
        <x:f t="shared" si="558"/>
        <x:v>0</x:v>
      </x:c>
      <x:c r="FL475" s="41">
        <x:f t="shared" si="559"/>
        <x:v>0</x:v>
      </x:c>
      <x:c r="FM475">
        <x:f t="shared" si="560"/>
        <x:v>0</x:v>
      </x:c>
      <x:c r="FN475">
        <x:f t="shared" si="561"/>
        <x:v>0</x:v>
      </x:c>
      <x:c r="FO475">
        <x:f t="shared" si="562"/>
        <x:v>0</x:v>
      </x:c>
      <x:c r="FP475">
        <x:f t="shared" si="563"/>
        <x:v>0</x:v>
      </x:c>
      <x:c r="FQ475">
        <x:f t="shared" si="564"/>
        <x:v>0</x:v>
      </x:c>
      <x:c r="FR475">
        <x:f t="shared" si="565"/>
        <x:v>0</x:v>
      </x:c>
      <x:c r="FS475">
        <x:f t="shared" si="566"/>
        <x:v>0</x:v>
      </x:c>
      <x:c r="FT475">
        <x:f t="shared" si="567"/>
        <x:v>0</x:v>
      </x:c>
      <x:c r="FU475">
        <x:f t="shared" si="568"/>
        <x:v>0</x:v>
      </x:c>
      <x:c r="FV475">
        <x:f t="shared" si="569"/>
        <x:v>0</x:v>
      </x:c>
      <x:c r="FW475" s="41">
        <x:f t="shared" si="570"/>
        <x:v>0</x:v>
      </x:c>
      <x:c r="FX475">
        <x:f t="shared" si="571"/>
        <x:v>0</x:v>
      </x:c>
      <x:c r="FY475">
        <x:f t="shared" si="572"/>
        <x:v>0</x:v>
      </x:c>
      <x:c r="FZ475">
        <x:f t="shared" si="573"/>
        <x:v>0</x:v>
      </x:c>
      <x:c r="GA475">
        <x:f t="shared" si="574"/>
        <x:v>0</x:v>
      </x:c>
      <x:c r="GB475">
        <x:f t="shared" si="575"/>
        <x:v>0</x:v>
      </x:c>
      <x:c r="GC475">
        <x:f t="shared" si="576"/>
        <x:v>0</x:v>
      </x:c>
      <x:c r="GD475">
        <x:f t="shared" si="577"/>
        <x:v>0</x:v>
      </x:c>
      <x:c r="GE475">
        <x:f t="shared" si="578"/>
        <x:v>0</x:v>
      </x:c>
      <x:c r="GF475">
        <x:f t="shared" si="579"/>
        <x:v>0</x:v>
      </x:c>
      <x:c r="GG475">
        <x:f t="shared" si="580"/>
        <x:v>0</x:v>
      </x:c>
      <x:c r="GH475">
        <x:f t="shared" si="581"/>
        <x:v>0</x:v>
      </x:c>
      <x:c r="GI475">
        <x:f t="shared" si="582"/>
        <x:v>0</x:v>
      </x:c>
      <x:c r="GJ475">
        <x:f t="shared" si="583"/>
        <x:v>0</x:v>
      </x:c>
      <x:c r="GK475">
        <x:f t="shared" si="584"/>
        <x:v>0</x:v>
      </x:c>
      <x:c r="GL475">
        <x:f t="shared" si="585"/>
        <x:v>0</x:v>
      </x:c>
      <x:c r="GM475">
        <x:f t="shared" si="586"/>
        <x:v>0</x:v>
      </x:c>
      <x:c r="GN475">
        <x:f t="shared" si="587"/>
        <x:v>0</x:v>
      </x:c>
      <x:c r="GO475">
        <x:f t="shared" si="588"/>
        <x:v>0</x:v>
      </x:c>
      <x:c r="GP475">
        <x:f t="shared" si="589"/>
        <x:v>0</x:v>
      </x:c>
      <x:c r="GQ475">
        <x:f t="shared" si="590"/>
        <x:v>0</x:v>
      </x:c>
      <x:c r="GR475" s="42">
        <x:f t="shared" si="591"/>
        <x:v>0</x:v>
      </x:c>
      <x:c r="GS475">
        <x:f t="shared" si="592"/>
        <x:v>0</x:v>
      </x:c>
      <x:c r="GT475">
        <x:f t="shared" si="593"/>
        <x:v>0</x:v>
      </x:c>
      <x:c r="GU475">
        <x:f t="shared" si="594"/>
        <x:v>0</x:v>
      </x:c>
      <x:c r="GV475">
        <x:f t="shared" si="595"/>
        <x:v>0</x:v>
      </x:c>
      <x:c r="GW475">
        <x:f t="shared" si="596"/>
        <x:v>0</x:v>
      </x:c>
      <x:c r="GX475">
        <x:f t="shared" si="597"/>
        <x:v>0</x:v>
      </x:c>
      <x:c r="GY475">
        <x:f t="shared" si="598"/>
        <x:v>0</x:v>
      </x:c>
      <x:c r="GZ475">
        <x:f t="shared" si="599"/>
        <x:v>0</x:v>
      </x:c>
      <x:c r="HA475">
        <x:f t="shared" si="600"/>
        <x:v>0</x:v>
      </x:c>
      <x:c r="HB475" s="42">
        <x:f t="shared" si="601"/>
        <x:v>0</x:v>
      </x:c>
      <x:c r="HC475">
        <x:f t="shared" si="602"/>
        <x:v>0</x:v>
      </x:c>
      <x:c r="HD475">
        <x:f t="shared" si="603"/>
        <x:v>0</x:v>
      </x:c>
      <x:c r="HE475">
        <x:f t="shared" si="604"/>
        <x:v>0</x:v>
      </x:c>
      <x:c r="HF475">
        <x:f t="shared" si="605"/>
        <x:v>0</x:v>
      </x:c>
      <x:c r="HG475">
        <x:f t="shared" si="606"/>
        <x:v>0</x:v>
      </x:c>
      <x:c r="HH475">
        <x:f t="shared" si="607"/>
        <x:v>0</x:v>
      </x:c>
      <x:c r="HI475">
        <x:f t="shared" si="608"/>
        <x:v>0</x:v>
      </x:c>
      <x:c r="HJ475">
        <x:f t="shared" si="609"/>
        <x:v>0</x:v>
      </x:c>
      <x:c r="HK475">
        <x:f t="shared" si="610"/>
        <x:v>0</x:v>
      </x:c>
      <x:c r="HL475">
        <x:f t="shared" si="611"/>
        <x:v>0</x:v>
      </x:c>
    </x:row>
    <x:row r="476">
      <x:c r="D476" s="74"/>
      <x:c r="EQ476">
        <x:f t="shared" si="538"/>
        <x:v>0</x:v>
      </x:c>
      <x:c r="ER476">
        <x:f t="shared" si="539"/>
        <x:v>0</x:v>
      </x:c>
      <x:c r="ES476">
        <x:f t="shared" si="540"/>
        <x:v>0</x:v>
      </x:c>
      <x:c r="ET476">
        <x:f t="shared" si="541"/>
        <x:v>0</x:v>
      </x:c>
      <x:c r="EU476">
        <x:f t="shared" si="542"/>
        <x:v>0</x:v>
      </x:c>
      <x:c r="EV476">
        <x:f t="shared" si="543"/>
        <x:v>0</x:v>
      </x:c>
      <x:c r="EW476">
        <x:f t="shared" si="544"/>
        <x:v>0</x:v>
      </x:c>
      <x:c r="EX476">
        <x:f t="shared" si="545"/>
        <x:v>0</x:v>
      </x:c>
      <x:c r="EY476">
        <x:f t="shared" si="546"/>
        <x:v>0</x:v>
      </x:c>
      <x:c r="EZ476">
        <x:f t="shared" si="547"/>
        <x:v>0</x:v>
      </x:c>
      <x:c r="FA476" s="41">
        <x:f t="shared" si="548"/>
        <x:v>0</x:v>
      </x:c>
      <x:c r="FB476">
        <x:f t="shared" si="549"/>
        <x:v>0</x:v>
      </x:c>
      <x:c r="FC476">
        <x:f t="shared" si="550"/>
        <x:v>0</x:v>
      </x:c>
      <x:c r="FD476">
        <x:f t="shared" si="551"/>
        <x:v>0</x:v>
      </x:c>
      <x:c r="FE476">
        <x:f t="shared" si="552"/>
        <x:v>0</x:v>
      </x:c>
      <x:c r="FF476">
        <x:f t="shared" si="553"/>
        <x:v>0</x:v>
      </x:c>
      <x:c r="FG476">
        <x:f t="shared" si="554"/>
        <x:v>0</x:v>
      </x:c>
      <x:c r="FH476">
        <x:f t="shared" si="555"/>
        <x:v>0</x:v>
      </x:c>
      <x:c r="FI476">
        <x:f t="shared" si="556"/>
        <x:v>0</x:v>
      </x:c>
      <x:c r="FJ476">
        <x:f t="shared" si="557"/>
        <x:v>0</x:v>
      </x:c>
      <x:c r="FK476">
        <x:f t="shared" si="558"/>
        <x:v>0</x:v>
      </x:c>
      <x:c r="FL476" s="41">
        <x:f t="shared" si="559"/>
        <x:v>0</x:v>
      </x:c>
      <x:c r="FM476">
        <x:f t="shared" si="560"/>
        <x:v>0</x:v>
      </x:c>
      <x:c r="FN476">
        <x:f t="shared" si="561"/>
        <x:v>0</x:v>
      </x:c>
      <x:c r="FO476">
        <x:f t="shared" si="562"/>
        <x:v>0</x:v>
      </x:c>
      <x:c r="FP476">
        <x:f t="shared" si="563"/>
        <x:v>0</x:v>
      </x:c>
      <x:c r="FQ476">
        <x:f t="shared" si="564"/>
        <x:v>0</x:v>
      </x:c>
      <x:c r="FR476">
        <x:f t="shared" si="565"/>
        <x:v>0</x:v>
      </x:c>
      <x:c r="FS476">
        <x:f t="shared" si="566"/>
        <x:v>0</x:v>
      </x:c>
      <x:c r="FT476">
        <x:f t="shared" si="567"/>
        <x:v>0</x:v>
      </x:c>
      <x:c r="FU476">
        <x:f t="shared" si="568"/>
        <x:v>0</x:v>
      </x:c>
      <x:c r="FV476">
        <x:f t="shared" si="569"/>
        <x:v>0</x:v>
      </x:c>
      <x:c r="FW476" s="41">
        <x:f t="shared" si="570"/>
        <x:v>0</x:v>
      </x:c>
      <x:c r="FX476">
        <x:f t="shared" si="571"/>
        <x:v>0</x:v>
      </x:c>
      <x:c r="FY476">
        <x:f t="shared" si="572"/>
        <x:v>0</x:v>
      </x:c>
      <x:c r="FZ476">
        <x:f t="shared" si="573"/>
        <x:v>0</x:v>
      </x:c>
      <x:c r="GA476">
        <x:f t="shared" si="574"/>
        <x:v>0</x:v>
      </x:c>
      <x:c r="GB476">
        <x:f t="shared" si="575"/>
        <x:v>0</x:v>
      </x:c>
      <x:c r="GC476">
        <x:f t="shared" si="576"/>
        <x:v>0</x:v>
      </x:c>
      <x:c r="GD476">
        <x:f t="shared" si="577"/>
        <x:v>0</x:v>
      </x:c>
      <x:c r="GE476">
        <x:f t="shared" si="578"/>
        <x:v>0</x:v>
      </x:c>
      <x:c r="GF476">
        <x:f t="shared" si="579"/>
        <x:v>0</x:v>
      </x:c>
      <x:c r="GG476">
        <x:f t="shared" si="580"/>
        <x:v>0</x:v>
      </x:c>
      <x:c r="GH476">
        <x:f t="shared" si="581"/>
        <x:v>0</x:v>
      </x:c>
      <x:c r="GI476">
        <x:f t="shared" si="582"/>
        <x:v>0</x:v>
      </x:c>
      <x:c r="GJ476">
        <x:f t="shared" si="583"/>
        <x:v>0</x:v>
      </x:c>
      <x:c r="GK476">
        <x:f t="shared" si="584"/>
        <x:v>0</x:v>
      </x:c>
      <x:c r="GL476">
        <x:f t="shared" si="585"/>
        <x:v>0</x:v>
      </x:c>
      <x:c r="GM476">
        <x:f t="shared" si="586"/>
        <x:v>0</x:v>
      </x:c>
      <x:c r="GN476">
        <x:f t="shared" si="587"/>
        <x:v>0</x:v>
      </x:c>
      <x:c r="GO476">
        <x:f t="shared" si="588"/>
        <x:v>0</x:v>
      </x:c>
      <x:c r="GP476">
        <x:f t="shared" si="589"/>
        <x:v>0</x:v>
      </x:c>
      <x:c r="GQ476">
        <x:f t="shared" si="590"/>
        <x:v>0</x:v>
      </x:c>
      <x:c r="GR476" s="42">
        <x:f t="shared" si="591"/>
        <x:v>0</x:v>
      </x:c>
      <x:c r="GS476">
        <x:f t="shared" si="592"/>
        <x:v>0</x:v>
      </x:c>
      <x:c r="GT476">
        <x:f t="shared" si="593"/>
        <x:v>0</x:v>
      </x:c>
      <x:c r="GU476">
        <x:f t="shared" si="594"/>
        <x:v>0</x:v>
      </x:c>
      <x:c r="GV476">
        <x:f t="shared" si="595"/>
        <x:v>0</x:v>
      </x:c>
      <x:c r="GW476">
        <x:f t="shared" si="596"/>
        <x:v>0</x:v>
      </x:c>
      <x:c r="GX476">
        <x:f t="shared" si="597"/>
        <x:v>0</x:v>
      </x:c>
      <x:c r="GY476">
        <x:f t="shared" si="598"/>
        <x:v>0</x:v>
      </x:c>
      <x:c r="GZ476">
        <x:f t="shared" si="599"/>
        <x:v>0</x:v>
      </x:c>
      <x:c r="HA476">
        <x:f t="shared" si="600"/>
        <x:v>0</x:v>
      </x:c>
      <x:c r="HB476" s="42">
        <x:f t="shared" si="601"/>
        <x:v>0</x:v>
      </x:c>
      <x:c r="HC476">
        <x:f t="shared" si="602"/>
        <x:v>0</x:v>
      </x:c>
      <x:c r="HD476">
        <x:f t="shared" si="603"/>
        <x:v>0</x:v>
      </x:c>
      <x:c r="HE476">
        <x:f t="shared" si="604"/>
        <x:v>0</x:v>
      </x:c>
      <x:c r="HF476">
        <x:f t="shared" si="605"/>
        <x:v>0</x:v>
      </x:c>
      <x:c r="HG476">
        <x:f t="shared" si="606"/>
        <x:v>0</x:v>
      </x:c>
      <x:c r="HH476">
        <x:f t="shared" si="607"/>
        <x:v>0</x:v>
      </x:c>
      <x:c r="HI476">
        <x:f t="shared" si="608"/>
        <x:v>0</x:v>
      </x:c>
      <x:c r="HJ476">
        <x:f t="shared" si="609"/>
        <x:v>0</x:v>
      </x:c>
      <x:c r="HK476">
        <x:f t="shared" si="610"/>
        <x:v>0</x:v>
      </x:c>
      <x:c r="HL476">
        <x:f t="shared" si="611"/>
        <x:v>0</x:v>
      </x:c>
    </x:row>
    <x:row r="477">
      <x:c r="D477" s="74"/>
      <x:c r="EQ477">
        <x:f t="shared" si="538"/>
        <x:v>0</x:v>
      </x:c>
      <x:c r="ER477">
        <x:f t="shared" si="539"/>
        <x:v>0</x:v>
      </x:c>
      <x:c r="ES477">
        <x:f t="shared" si="540"/>
        <x:v>0</x:v>
      </x:c>
      <x:c r="ET477">
        <x:f t="shared" si="541"/>
        <x:v>0</x:v>
      </x:c>
      <x:c r="EU477">
        <x:f t="shared" si="542"/>
        <x:v>0</x:v>
      </x:c>
      <x:c r="EV477">
        <x:f t="shared" si="543"/>
        <x:v>0</x:v>
      </x:c>
      <x:c r="EW477">
        <x:f t="shared" si="544"/>
        <x:v>0</x:v>
      </x:c>
      <x:c r="EX477">
        <x:f t="shared" si="545"/>
        <x:v>0</x:v>
      </x:c>
      <x:c r="EY477">
        <x:f t="shared" si="546"/>
        <x:v>0</x:v>
      </x:c>
      <x:c r="EZ477">
        <x:f t="shared" si="547"/>
        <x:v>0</x:v>
      </x:c>
      <x:c r="FA477" s="41">
        <x:f t="shared" si="548"/>
        <x:v>0</x:v>
      </x:c>
      <x:c r="FB477">
        <x:f t="shared" si="549"/>
        <x:v>0</x:v>
      </x:c>
      <x:c r="FC477">
        <x:f t="shared" si="550"/>
        <x:v>0</x:v>
      </x:c>
      <x:c r="FD477">
        <x:f t="shared" si="551"/>
        <x:v>0</x:v>
      </x:c>
      <x:c r="FE477">
        <x:f t="shared" si="552"/>
        <x:v>0</x:v>
      </x:c>
      <x:c r="FF477">
        <x:f t="shared" si="553"/>
        <x:v>0</x:v>
      </x:c>
      <x:c r="FG477">
        <x:f t="shared" si="554"/>
        <x:v>0</x:v>
      </x:c>
      <x:c r="FH477">
        <x:f t="shared" si="555"/>
        <x:v>0</x:v>
      </x:c>
      <x:c r="FI477">
        <x:f t="shared" si="556"/>
        <x:v>0</x:v>
      </x:c>
      <x:c r="FJ477">
        <x:f t="shared" si="557"/>
        <x:v>0</x:v>
      </x:c>
      <x:c r="FK477">
        <x:f t="shared" si="558"/>
        <x:v>0</x:v>
      </x:c>
      <x:c r="FL477" s="41">
        <x:f t="shared" si="559"/>
        <x:v>0</x:v>
      </x:c>
      <x:c r="FM477">
        <x:f t="shared" si="560"/>
        <x:v>0</x:v>
      </x:c>
      <x:c r="FN477">
        <x:f t="shared" si="561"/>
        <x:v>0</x:v>
      </x:c>
      <x:c r="FO477">
        <x:f t="shared" si="562"/>
        <x:v>0</x:v>
      </x:c>
      <x:c r="FP477">
        <x:f t="shared" si="563"/>
        <x:v>0</x:v>
      </x:c>
      <x:c r="FQ477">
        <x:f t="shared" si="564"/>
        <x:v>0</x:v>
      </x:c>
      <x:c r="FR477">
        <x:f t="shared" si="565"/>
        <x:v>0</x:v>
      </x:c>
      <x:c r="FS477">
        <x:f t="shared" si="566"/>
        <x:v>0</x:v>
      </x:c>
      <x:c r="FT477">
        <x:f t="shared" si="567"/>
        <x:v>0</x:v>
      </x:c>
      <x:c r="FU477">
        <x:f t="shared" si="568"/>
        <x:v>0</x:v>
      </x:c>
      <x:c r="FV477">
        <x:f t="shared" si="569"/>
        <x:v>0</x:v>
      </x:c>
      <x:c r="FW477" s="41">
        <x:f t="shared" si="570"/>
        <x:v>0</x:v>
      </x:c>
      <x:c r="FX477">
        <x:f t="shared" si="571"/>
        <x:v>0</x:v>
      </x:c>
      <x:c r="FY477">
        <x:f t="shared" si="572"/>
        <x:v>0</x:v>
      </x:c>
      <x:c r="FZ477">
        <x:f t="shared" si="573"/>
        <x:v>0</x:v>
      </x:c>
      <x:c r="GA477">
        <x:f t="shared" si="574"/>
        <x:v>0</x:v>
      </x:c>
      <x:c r="GB477">
        <x:f t="shared" si="575"/>
        <x:v>0</x:v>
      </x:c>
      <x:c r="GC477">
        <x:f t="shared" si="576"/>
        <x:v>0</x:v>
      </x:c>
      <x:c r="GD477">
        <x:f t="shared" si="577"/>
        <x:v>0</x:v>
      </x:c>
      <x:c r="GE477">
        <x:f t="shared" si="578"/>
        <x:v>0</x:v>
      </x:c>
      <x:c r="GF477">
        <x:f t="shared" si="579"/>
        <x:v>0</x:v>
      </x:c>
      <x:c r="GG477">
        <x:f t="shared" si="580"/>
        <x:v>0</x:v>
      </x:c>
      <x:c r="GH477">
        <x:f t="shared" si="581"/>
        <x:v>0</x:v>
      </x:c>
      <x:c r="GI477">
        <x:f t="shared" si="582"/>
        <x:v>0</x:v>
      </x:c>
      <x:c r="GJ477">
        <x:f t="shared" si="583"/>
        <x:v>0</x:v>
      </x:c>
      <x:c r="GK477">
        <x:f t="shared" si="584"/>
        <x:v>0</x:v>
      </x:c>
      <x:c r="GL477">
        <x:f t="shared" si="585"/>
        <x:v>0</x:v>
      </x:c>
      <x:c r="GM477">
        <x:f t="shared" si="586"/>
        <x:v>0</x:v>
      </x:c>
      <x:c r="GN477">
        <x:f t="shared" si="587"/>
        <x:v>0</x:v>
      </x:c>
      <x:c r="GO477">
        <x:f t="shared" si="588"/>
        <x:v>0</x:v>
      </x:c>
      <x:c r="GP477">
        <x:f t="shared" si="589"/>
        <x:v>0</x:v>
      </x:c>
      <x:c r="GQ477">
        <x:f t="shared" si="590"/>
        <x:v>0</x:v>
      </x:c>
      <x:c r="GR477" s="42">
        <x:f t="shared" si="591"/>
        <x:v>0</x:v>
      </x:c>
      <x:c r="GS477">
        <x:f t="shared" si="592"/>
        <x:v>0</x:v>
      </x:c>
      <x:c r="GT477">
        <x:f t="shared" si="593"/>
        <x:v>0</x:v>
      </x:c>
      <x:c r="GU477">
        <x:f t="shared" si="594"/>
        <x:v>0</x:v>
      </x:c>
      <x:c r="GV477">
        <x:f t="shared" si="595"/>
        <x:v>0</x:v>
      </x:c>
      <x:c r="GW477">
        <x:f t="shared" si="596"/>
        <x:v>0</x:v>
      </x:c>
      <x:c r="GX477">
        <x:f t="shared" si="597"/>
        <x:v>0</x:v>
      </x:c>
      <x:c r="GY477">
        <x:f t="shared" si="598"/>
        <x:v>0</x:v>
      </x:c>
      <x:c r="GZ477">
        <x:f t="shared" si="599"/>
        <x:v>0</x:v>
      </x:c>
      <x:c r="HA477">
        <x:f t="shared" si="600"/>
        <x:v>0</x:v>
      </x:c>
      <x:c r="HB477" s="42">
        <x:f t="shared" si="601"/>
        <x:v>0</x:v>
      </x:c>
      <x:c r="HC477">
        <x:f t="shared" si="602"/>
        <x:v>0</x:v>
      </x:c>
      <x:c r="HD477">
        <x:f t="shared" si="603"/>
        <x:v>0</x:v>
      </x:c>
      <x:c r="HE477">
        <x:f t="shared" si="604"/>
        <x:v>0</x:v>
      </x:c>
      <x:c r="HF477">
        <x:f t="shared" si="605"/>
        <x:v>0</x:v>
      </x:c>
      <x:c r="HG477">
        <x:f t="shared" si="606"/>
        <x:v>0</x:v>
      </x:c>
      <x:c r="HH477">
        <x:f t="shared" si="607"/>
        <x:v>0</x:v>
      </x:c>
      <x:c r="HI477">
        <x:f t="shared" si="608"/>
        <x:v>0</x:v>
      </x:c>
      <x:c r="HJ477">
        <x:f t="shared" si="609"/>
        <x:v>0</x:v>
      </x:c>
      <x:c r="HK477">
        <x:f t="shared" si="610"/>
        <x:v>0</x:v>
      </x:c>
      <x:c r="HL477">
        <x:f t="shared" si="611"/>
        <x:v>0</x:v>
      </x:c>
    </x:row>
    <x:row r="478">
      <x:c r="D478" s="74"/>
      <x:c r="EQ478">
        <x:f t="shared" si="538"/>
        <x:v>0</x:v>
      </x:c>
      <x:c r="ER478">
        <x:f t="shared" si="539"/>
        <x:v>0</x:v>
      </x:c>
      <x:c r="ES478">
        <x:f t="shared" si="540"/>
        <x:v>0</x:v>
      </x:c>
      <x:c r="ET478">
        <x:f t="shared" si="541"/>
        <x:v>0</x:v>
      </x:c>
      <x:c r="EU478">
        <x:f t="shared" si="542"/>
        <x:v>0</x:v>
      </x:c>
      <x:c r="EV478">
        <x:f t="shared" si="543"/>
        <x:v>0</x:v>
      </x:c>
      <x:c r="EW478">
        <x:f t="shared" si="544"/>
        <x:v>0</x:v>
      </x:c>
      <x:c r="EX478">
        <x:f t="shared" si="545"/>
        <x:v>0</x:v>
      </x:c>
      <x:c r="EY478">
        <x:f t="shared" si="546"/>
        <x:v>0</x:v>
      </x:c>
      <x:c r="EZ478">
        <x:f t="shared" si="547"/>
        <x:v>0</x:v>
      </x:c>
      <x:c r="FA478" s="41">
        <x:f t="shared" si="548"/>
        <x:v>0</x:v>
      </x:c>
      <x:c r="FB478">
        <x:f t="shared" si="549"/>
        <x:v>0</x:v>
      </x:c>
      <x:c r="FC478">
        <x:f t="shared" si="550"/>
        <x:v>0</x:v>
      </x:c>
      <x:c r="FD478">
        <x:f t="shared" si="551"/>
        <x:v>0</x:v>
      </x:c>
      <x:c r="FE478">
        <x:f t="shared" si="552"/>
        <x:v>0</x:v>
      </x:c>
      <x:c r="FF478">
        <x:f t="shared" si="553"/>
        <x:v>0</x:v>
      </x:c>
      <x:c r="FG478">
        <x:f t="shared" si="554"/>
        <x:v>0</x:v>
      </x:c>
      <x:c r="FH478">
        <x:f t="shared" si="555"/>
        <x:v>0</x:v>
      </x:c>
      <x:c r="FI478">
        <x:f t="shared" si="556"/>
        <x:v>0</x:v>
      </x:c>
      <x:c r="FJ478">
        <x:f t="shared" si="557"/>
        <x:v>0</x:v>
      </x:c>
      <x:c r="FK478">
        <x:f t="shared" si="558"/>
        <x:v>0</x:v>
      </x:c>
      <x:c r="FL478" s="41">
        <x:f t="shared" si="559"/>
        <x:v>0</x:v>
      </x:c>
      <x:c r="FM478">
        <x:f t="shared" si="560"/>
        <x:v>0</x:v>
      </x:c>
      <x:c r="FN478">
        <x:f t="shared" si="561"/>
        <x:v>0</x:v>
      </x:c>
      <x:c r="FO478">
        <x:f t="shared" si="562"/>
        <x:v>0</x:v>
      </x:c>
      <x:c r="FP478">
        <x:f t="shared" si="563"/>
        <x:v>0</x:v>
      </x:c>
      <x:c r="FQ478">
        <x:f t="shared" si="564"/>
        <x:v>0</x:v>
      </x:c>
      <x:c r="FR478">
        <x:f t="shared" si="565"/>
        <x:v>0</x:v>
      </x:c>
      <x:c r="FS478">
        <x:f t="shared" si="566"/>
        <x:v>0</x:v>
      </x:c>
      <x:c r="FT478">
        <x:f t="shared" si="567"/>
        <x:v>0</x:v>
      </x:c>
      <x:c r="FU478">
        <x:f t="shared" si="568"/>
        <x:v>0</x:v>
      </x:c>
      <x:c r="FV478">
        <x:f t="shared" si="569"/>
        <x:v>0</x:v>
      </x:c>
      <x:c r="FW478" s="41">
        <x:f t="shared" si="570"/>
        <x:v>0</x:v>
      </x:c>
      <x:c r="FX478">
        <x:f t="shared" si="571"/>
        <x:v>0</x:v>
      </x:c>
      <x:c r="FY478">
        <x:f t="shared" si="572"/>
        <x:v>0</x:v>
      </x:c>
      <x:c r="FZ478">
        <x:f t="shared" si="573"/>
        <x:v>0</x:v>
      </x:c>
      <x:c r="GA478">
        <x:f t="shared" si="574"/>
        <x:v>0</x:v>
      </x:c>
      <x:c r="GB478">
        <x:f t="shared" si="575"/>
        <x:v>0</x:v>
      </x:c>
      <x:c r="GC478">
        <x:f t="shared" si="576"/>
        <x:v>0</x:v>
      </x:c>
      <x:c r="GD478">
        <x:f t="shared" si="577"/>
        <x:v>0</x:v>
      </x:c>
      <x:c r="GE478">
        <x:f t="shared" si="578"/>
        <x:v>0</x:v>
      </x:c>
      <x:c r="GF478">
        <x:f t="shared" si="579"/>
        <x:v>0</x:v>
      </x:c>
      <x:c r="GG478">
        <x:f t="shared" si="580"/>
        <x:v>0</x:v>
      </x:c>
      <x:c r="GH478">
        <x:f t="shared" si="581"/>
        <x:v>0</x:v>
      </x:c>
      <x:c r="GI478">
        <x:f t="shared" si="582"/>
        <x:v>0</x:v>
      </x:c>
      <x:c r="GJ478">
        <x:f t="shared" si="583"/>
        <x:v>0</x:v>
      </x:c>
      <x:c r="GK478">
        <x:f t="shared" si="584"/>
        <x:v>0</x:v>
      </x:c>
      <x:c r="GL478">
        <x:f t="shared" si="585"/>
        <x:v>0</x:v>
      </x:c>
      <x:c r="GM478">
        <x:f t="shared" si="586"/>
        <x:v>0</x:v>
      </x:c>
      <x:c r="GN478">
        <x:f t="shared" si="587"/>
        <x:v>0</x:v>
      </x:c>
      <x:c r="GO478">
        <x:f t="shared" si="588"/>
        <x:v>0</x:v>
      </x:c>
      <x:c r="GP478">
        <x:f t="shared" si="589"/>
        <x:v>0</x:v>
      </x:c>
      <x:c r="GQ478">
        <x:f t="shared" si="590"/>
        <x:v>0</x:v>
      </x:c>
      <x:c r="GR478" s="42">
        <x:f t="shared" si="591"/>
        <x:v>0</x:v>
      </x:c>
      <x:c r="GS478">
        <x:f t="shared" si="592"/>
        <x:v>0</x:v>
      </x:c>
      <x:c r="GT478">
        <x:f t="shared" si="593"/>
        <x:v>0</x:v>
      </x:c>
      <x:c r="GU478">
        <x:f t="shared" si="594"/>
        <x:v>0</x:v>
      </x:c>
      <x:c r="GV478">
        <x:f t="shared" si="595"/>
        <x:v>0</x:v>
      </x:c>
      <x:c r="GW478">
        <x:f t="shared" si="596"/>
        <x:v>0</x:v>
      </x:c>
      <x:c r="GX478">
        <x:f t="shared" si="597"/>
        <x:v>0</x:v>
      </x:c>
      <x:c r="GY478">
        <x:f t="shared" si="598"/>
        <x:v>0</x:v>
      </x:c>
      <x:c r="GZ478">
        <x:f t="shared" si="599"/>
        <x:v>0</x:v>
      </x:c>
      <x:c r="HA478">
        <x:f t="shared" si="600"/>
        <x:v>0</x:v>
      </x:c>
      <x:c r="HB478" s="42">
        <x:f t="shared" si="601"/>
        <x:v>0</x:v>
      </x:c>
      <x:c r="HC478">
        <x:f t="shared" si="602"/>
        <x:v>0</x:v>
      </x:c>
      <x:c r="HD478">
        <x:f t="shared" si="603"/>
        <x:v>0</x:v>
      </x:c>
      <x:c r="HE478">
        <x:f t="shared" si="604"/>
        <x:v>0</x:v>
      </x:c>
      <x:c r="HF478">
        <x:f t="shared" si="605"/>
        <x:v>0</x:v>
      </x:c>
      <x:c r="HG478">
        <x:f t="shared" si="606"/>
        <x:v>0</x:v>
      </x:c>
      <x:c r="HH478">
        <x:f t="shared" si="607"/>
        <x:v>0</x:v>
      </x:c>
      <x:c r="HI478">
        <x:f t="shared" si="608"/>
        <x:v>0</x:v>
      </x:c>
      <x:c r="HJ478">
        <x:f t="shared" si="609"/>
        <x:v>0</x:v>
      </x:c>
      <x:c r="HK478">
        <x:f t="shared" si="610"/>
        <x:v>0</x:v>
      </x:c>
      <x:c r="HL478">
        <x:f t="shared" si="611"/>
        <x:v>0</x:v>
      </x:c>
    </x:row>
    <x:row r="479">
      <x:c r="D479" s="74"/>
      <x:c r="EQ479">
        <x:f t="shared" si="538"/>
        <x:v>0</x:v>
      </x:c>
      <x:c r="ER479">
        <x:f t="shared" si="539"/>
        <x:v>0</x:v>
      </x:c>
      <x:c r="ES479">
        <x:f t="shared" si="540"/>
        <x:v>0</x:v>
      </x:c>
      <x:c r="ET479">
        <x:f t="shared" si="541"/>
        <x:v>0</x:v>
      </x:c>
      <x:c r="EU479">
        <x:f t="shared" si="542"/>
        <x:v>0</x:v>
      </x:c>
      <x:c r="EV479">
        <x:f t="shared" si="543"/>
        <x:v>0</x:v>
      </x:c>
      <x:c r="EW479">
        <x:f t="shared" si="544"/>
        <x:v>0</x:v>
      </x:c>
      <x:c r="EX479">
        <x:f t="shared" si="545"/>
        <x:v>0</x:v>
      </x:c>
      <x:c r="EY479">
        <x:f t="shared" si="546"/>
        <x:v>0</x:v>
      </x:c>
      <x:c r="EZ479">
        <x:f t="shared" si="547"/>
        <x:v>0</x:v>
      </x:c>
      <x:c r="FA479" s="41">
        <x:f t="shared" si="548"/>
        <x:v>0</x:v>
      </x:c>
      <x:c r="FB479">
        <x:f t="shared" si="549"/>
        <x:v>0</x:v>
      </x:c>
      <x:c r="FC479">
        <x:f t="shared" si="550"/>
        <x:v>0</x:v>
      </x:c>
      <x:c r="FD479">
        <x:f t="shared" si="551"/>
        <x:v>0</x:v>
      </x:c>
      <x:c r="FE479">
        <x:f t="shared" si="552"/>
        <x:v>0</x:v>
      </x:c>
      <x:c r="FF479">
        <x:f t="shared" si="553"/>
        <x:v>0</x:v>
      </x:c>
      <x:c r="FG479">
        <x:f t="shared" si="554"/>
        <x:v>0</x:v>
      </x:c>
      <x:c r="FH479">
        <x:f t="shared" si="555"/>
        <x:v>0</x:v>
      </x:c>
      <x:c r="FI479">
        <x:f t="shared" si="556"/>
        <x:v>0</x:v>
      </x:c>
      <x:c r="FJ479">
        <x:f t="shared" si="557"/>
        <x:v>0</x:v>
      </x:c>
      <x:c r="FK479">
        <x:f t="shared" si="558"/>
        <x:v>0</x:v>
      </x:c>
      <x:c r="FL479" s="41">
        <x:f t="shared" si="559"/>
        <x:v>0</x:v>
      </x:c>
      <x:c r="FM479">
        <x:f t="shared" si="560"/>
        <x:v>0</x:v>
      </x:c>
      <x:c r="FN479">
        <x:f t="shared" si="561"/>
        <x:v>0</x:v>
      </x:c>
      <x:c r="FO479">
        <x:f t="shared" si="562"/>
        <x:v>0</x:v>
      </x:c>
      <x:c r="FP479">
        <x:f t="shared" si="563"/>
        <x:v>0</x:v>
      </x:c>
      <x:c r="FQ479">
        <x:f t="shared" si="564"/>
        <x:v>0</x:v>
      </x:c>
      <x:c r="FR479">
        <x:f t="shared" si="565"/>
        <x:v>0</x:v>
      </x:c>
      <x:c r="FS479">
        <x:f t="shared" si="566"/>
        <x:v>0</x:v>
      </x:c>
      <x:c r="FT479">
        <x:f t="shared" si="567"/>
        <x:v>0</x:v>
      </x:c>
      <x:c r="FU479">
        <x:f t="shared" si="568"/>
        <x:v>0</x:v>
      </x:c>
      <x:c r="FV479">
        <x:f t="shared" si="569"/>
        <x:v>0</x:v>
      </x:c>
      <x:c r="FW479" s="41">
        <x:f t="shared" si="570"/>
        <x:v>0</x:v>
      </x:c>
      <x:c r="FX479">
        <x:f t="shared" si="571"/>
        <x:v>0</x:v>
      </x:c>
      <x:c r="FY479">
        <x:f t="shared" si="572"/>
        <x:v>0</x:v>
      </x:c>
      <x:c r="FZ479">
        <x:f t="shared" si="573"/>
        <x:v>0</x:v>
      </x:c>
      <x:c r="GA479">
        <x:f t="shared" si="574"/>
        <x:v>0</x:v>
      </x:c>
      <x:c r="GB479">
        <x:f t="shared" si="575"/>
        <x:v>0</x:v>
      </x:c>
      <x:c r="GC479">
        <x:f t="shared" si="576"/>
        <x:v>0</x:v>
      </x:c>
      <x:c r="GD479">
        <x:f t="shared" si="577"/>
        <x:v>0</x:v>
      </x:c>
      <x:c r="GE479">
        <x:f t="shared" si="578"/>
        <x:v>0</x:v>
      </x:c>
      <x:c r="GF479">
        <x:f t="shared" si="579"/>
        <x:v>0</x:v>
      </x:c>
      <x:c r="GG479">
        <x:f t="shared" si="580"/>
        <x:v>0</x:v>
      </x:c>
      <x:c r="GH479">
        <x:f t="shared" si="581"/>
        <x:v>0</x:v>
      </x:c>
      <x:c r="GI479">
        <x:f t="shared" si="582"/>
        <x:v>0</x:v>
      </x:c>
      <x:c r="GJ479">
        <x:f t="shared" si="583"/>
        <x:v>0</x:v>
      </x:c>
      <x:c r="GK479">
        <x:f t="shared" si="584"/>
        <x:v>0</x:v>
      </x:c>
      <x:c r="GL479">
        <x:f t="shared" si="585"/>
        <x:v>0</x:v>
      </x:c>
      <x:c r="GM479">
        <x:f t="shared" si="586"/>
        <x:v>0</x:v>
      </x:c>
      <x:c r="GN479">
        <x:f t="shared" si="587"/>
        <x:v>0</x:v>
      </x:c>
      <x:c r="GO479">
        <x:f t="shared" si="588"/>
        <x:v>0</x:v>
      </x:c>
      <x:c r="GP479">
        <x:f t="shared" si="589"/>
        <x:v>0</x:v>
      </x:c>
      <x:c r="GQ479">
        <x:f t="shared" si="590"/>
        <x:v>0</x:v>
      </x:c>
      <x:c r="GR479" s="42">
        <x:f t="shared" si="591"/>
        <x:v>0</x:v>
      </x:c>
      <x:c r="GS479">
        <x:f t="shared" si="592"/>
        <x:v>0</x:v>
      </x:c>
      <x:c r="GT479">
        <x:f t="shared" si="593"/>
        <x:v>0</x:v>
      </x:c>
      <x:c r="GU479">
        <x:f t="shared" si="594"/>
        <x:v>0</x:v>
      </x:c>
      <x:c r="GV479">
        <x:f t="shared" si="595"/>
        <x:v>0</x:v>
      </x:c>
      <x:c r="GW479">
        <x:f t="shared" si="596"/>
        <x:v>0</x:v>
      </x:c>
      <x:c r="GX479">
        <x:f t="shared" si="597"/>
        <x:v>0</x:v>
      </x:c>
      <x:c r="GY479">
        <x:f t="shared" si="598"/>
        <x:v>0</x:v>
      </x:c>
      <x:c r="GZ479">
        <x:f t="shared" si="599"/>
        <x:v>0</x:v>
      </x:c>
      <x:c r="HA479">
        <x:f t="shared" si="600"/>
        <x:v>0</x:v>
      </x:c>
      <x:c r="HB479" s="42">
        <x:f t="shared" si="601"/>
        <x:v>0</x:v>
      </x:c>
      <x:c r="HC479">
        <x:f t="shared" si="602"/>
        <x:v>0</x:v>
      </x:c>
      <x:c r="HD479">
        <x:f t="shared" si="603"/>
        <x:v>0</x:v>
      </x:c>
      <x:c r="HE479">
        <x:f t="shared" si="604"/>
        <x:v>0</x:v>
      </x:c>
      <x:c r="HF479">
        <x:f t="shared" si="605"/>
        <x:v>0</x:v>
      </x:c>
      <x:c r="HG479">
        <x:f t="shared" si="606"/>
        <x:v>0</x:v>
      </x:c>
      <x:c r="HH479">
        <x:f t="shared" si="607"/>
        <x:v>0</x:v>
      </x:c>
      <x:c r="HI479">
        <x:f t="shared" si="608"/>
        <x:v>0</x:v>
      </x:c>
      <x:c r="HJ479">
        <x:f t="shared" si="609"/>
        <x:v>0</x:v>
      </x:c>
      <x:c r="HK479">
        <x:f t="shared" si="610"/>
        <x:v>0</x:v>
      </x:c>
      <x:c r="HL479">
        <x:f t="shared" si="611"/>
        <x:v>0</x:v>
      </x:c>
    </x:row>
    <x:row r="480">
      <x:c r="D480" s="74"/>
      <x:c r="EQ480">
        <x:f t="shared" si="538"/>
        <x:v>0</x:v>
      </x:c>
      <x:c r="ER480">
        <x:f t="shared" si="539"/>
        <x:v>0</x:v>
      </x:c>
      <x:c r="ES480">
        <x:f t="shared" si="540"/>
        <x:v>0</x:v>
      </x:c>
      <x:c r="ET480">
        <x:f t="shared" si="541"/>
        <x:v>0</x:v>
      </x:c>
      <x:c r="EU480">
        <x:f t="shared" si="542"/>
        <x:v>0</x:v>
      </x:c>
      <x:c r="EV480">
        <x:f t="shared" si="543"/>
        <x:v>0</x:v>
      </x:c>
      <x:c r="EW480">
        <x:f t="shared" si="544"/>
        <x:v>0</x:v>
      </x:c>
      <x:c r="EX480">
        <x:f t="shared" si="545"/>
        <x:v>0</x:v>
      </x:c>
      <x:c r="EY480">
        <x:f t="shared" si="546"/>
        <x:v>0</x:v>
      </x:c>
      <x:c r="EZ480">
        <x:f t="shared" si="547"/>
        <x:v>0</x:v>
      </x:c>
      <x:c r="FA480" s="41">
        <x:f t="shared" si="548"/>
        <x:v>0</x:v>
      </x:c>
      <x:c r="FB480">
        <x:f t="shared" si="549"/>
        <x:v>0</x:v>
      </x:c>
      <x:c r="FC480">
        <x:f t="shared" si="550"/>
        <x:v>0</x:v>
      </x:c>
      <x:c r="FD480">
        <x:f t="shared" si="551"/>
        <x:v>0</x:v>
      </x:c>
      <x:c r="FE480">
        <x:f t="shared" si="552"/>
        <x:v>0</x:v>
      </x:c>
      <x:c r="FF480">
        <x:f t="shared" si="553"/>
        <x:v>0</x:v>
      </x:c>
      <x:c r="FG480">
        <x:f t="shared" si="554"/>
        <x:v>0</x:v>
      </x:c>
      <x:c r="FH480">
        <x:f t="shared" si="555"/>
        <x:v>0</x:v>
      </x:c>
      <x:c r="FI480">
        <x:f t="shared" si="556"/>
        <x:v>0</x:v>
      </x:c>
      <x:c r="FJ480">
        <x:f t="shared" si="557"/>
        <x:v>0</x:v>
      </x:c>
      <x:c r="FK480">
        <x:f t="shared" si="558"/>
        <x:v>0</x:v>
      </x:c>
      <x:c r="FL480" s="41">
        <x:f t="shared" si="559"/>
        <x:v>0</x:v>
      </x:c>
      <x:c r="FM480">
        <x:f t="shared" si="560"/>
        <x:v>0</x:v>
      </x:c>
      <x:c r="FN480">
        <x:f t="shared" si="561"/>
        <x:v>0</x:v>
      </x:c>
      <x:c r="FO480">
        <x:f t="shared" si="562"/>
        <x:v>0</x:v>
      </x:c>
      <x:c r="FP480">
        <x:f t="shared" si="563"/>
        <x:v>0</x:v>
      </x:c>
      <x:c r="FQ480">
        <x:f t="shared" si="564"/>
        <x:v>0</x:v>
      </x:c>
      <x:c r="FR480">
        <x:f t="shared" si="565"/>
        <x:v>0</x:v>
      </x:c>
      <x:c r="FS480">
        <x:f t="shared" si="566"/>
        <x:v>0</x:v>
      </x:c>
      <x:c r="FT480">
        <x:f t="shared" si="567"/>
        <x:v>0</x:v>
      </x:c>
      <x:c r="FU480">
        <x:f t="shared" si="568"/>
        <x:v>0</x:v>
      </x:c>
      <x:c r="FV480">
        <x:f t="shared" si="569"/>
        <x:v>0</x:v>
      </x:c>
      <x:c r="FW480" s="41">
        <x:f t="shared" si="570"/>
        <x:v>0</x:v>
      </x:c>
      <x:c r="FX480">
        <x:f t="shared" si="571"/>
        <x:v>0</x:v>
      </x:c>
      <x:c r="FY480">
        <x:f t="shared" si="572"/>
        <x:v>0</x:v>
      </x:c>
      <x:c r="FZ480">
        <x:f t="shared" si="573"/>
        <x:v>0</x:v>
      </x:c>
      <x:c r="GA480">
        <x:f t="shared" si="574"/>
        <x:v>0</x:v>
      </x:c>
      <x:c r="GB480">
        <x:f t="shared" si="575"/>
        <x:v>0</x:v>
      </x:c>
      <x:c r="GC480">
        <x:f t="shared" si="576"/>
        <x:v>0</x:v>
      </x:c>
      <x:c r="GD480">
        <x:f t="shared" si="577"/>
        <x:v>0</x:v>
      </x:c>
      <x:c r="GE480">
        <x:f t="shared" si="578"/>
        <x:v>0</x:v>
      </x:c>
      <x:c r="GF480">
        <x:f t="shared" si="579"/>
        <x:v>0</x:v>
      </x:c>
      <x:c r="GG480">
        <x:f t="shared" si="580"/>
        <x:v>0</x:v>
      </x:c>
      <x:c r="GH480">
        <x:f t="shared" si="581"/>
        <x:v>0</x:v>
      </x:c>
      <x:c r="GI480">
        <x:f t="shared" si="582"/>
        <x:v>0</x:v>
      </x:c>
      <x:c r="GJ480">
        <x:f t="shared" si="583"/>
        <x:v>0</x:v>
      </x:c>
      <x:c r="GK480">
        <x:f t="shared" si="584"/>
        <x:v>0</x:v>
      </x:c>
      <x:c r="GL480">
        <x:f t="shared" si="585"/>
        <x:v>0</x:v>
      </x:c>
      <x:c r="GM480">
        <x:f t="shared" si="586"/>
        <x:v>0</x:v>
      </x:c>
      <x:c r="GN480">
        <x:f t="shared" si="587"/>
        <x:v>0</x:v>
      </x:c>
      <x:c r="GO480">
        <x:f t="shared" si="588"/>
        <x:v>0</x:v>
      </x:c>
      <x:c r="GP480">
        <x:f t="shared" si="589"/>
        <x:v>0</x:v>
      </x:c>
      <x:c r="GQ480">
        <x:f t="shared" si="590"/>
        <x:v>0</x:v>
      </x:c>
      <x:c r="GR480" s="42">
        <x:f t="shared" si="591"/>
        <x:v>0</x:v>
      </x:c>
      <x:c r="GS480">
        <x:f t="shared" si="592"/>
        <x:v>0</x:v>
      </x:c>
      <x:c r="GT480">
        <x:f t="shared" si="593"/>
        <x:v>0</x:v>
      </x:c>
      <x:c r="GU480">
        <x:f t="shared" si="594"/>
        <x:v>0</x:v>
      </x:c>
      <x:c r="GV480">
        <x:f t="shared" si="595"/>
        <x:v>0</x:v>
      </x:c>
      <x:c r="GW480">
        <x:f t="shared" si="596"/>
        <x:v>0</x:v>
      </x:c>
      <x:c r="GX480">
        <x:f t="shared" si="597"/>
        <x:v>0</x:v>
      </x:c>
      <x:c r="GY480">
        <x:f t="shared" si="598"/>
        <x:v>0</x:v>
      </x:c>
      <x:c r="GZ480">
        <x:f t="shared" si="599"/>
        <x:v>0</x:v>
      </x:c>
      <x:c r="HA480">
        <x:f t="shared" si="600"/>
        <x:v>0</x:v>
      </x:c>
      <x:c r="HB480" s="42">
        <x:f t="shared" si="601"/>
        <x:v>0</x:v>
      </x:c>
      <x:c r="HC480">
        <x:f t="shared" si="602"/>
        <x:v>0</x:v>
      </x:c>
      <x:c r="HD480">
        <x:f t="shared" si="603"/>
        <x:v>0</x:v>
      </x:c>
      <x:c r="HE480">
        <x:f t="shared" si="604"/>
        <x:v>0</x:v>
      </x:c>
      <x:c r="HF480">
        <x:f t="shared" si="605"/>
        <x:v>0</x:v>
      </x:c>
      <x:c r="HG480">
        <x:f t="shared" si="606"/>
        <x:v>0</x:v>
      </x:c>
      <x:c r="HH480">
        <x:f t="shared" si="607"/>
        <x:v>0</x:v>
      </x:c>
      <x:c r="HI480">
        <x:f t="shared" si="608"/>
        <x:v>0</x:v>
      </x:c>
      <x:c r="HJ480">
        <x:f t="shared" si="609"/>
        <x:v>0</x:v>
      </x:c>
      <x:c r="HK480">
        <x:f t="shared" si="610"/>
        <x:v>0</x:v>
      </x:c>
      <x:c r="HL480">
        <x:f t="shared" si="611"/>
        <x:v>0</x:v>
      </x:c>
    </x:row>
    <x:row r="481">
      <x:c r="D481" s="74"/>
      <x:c r="EQ481">
        <x:f t="shared" si="538"/>
        <x:v>0</x:v>
      </x:c>
      <x:c r="ER481">
        <x:f t="shared" si="539"/>
        <x:v>0</x:v>
      </x:c>
      <x:c r="ES481">
        <x:f t="shared" si="540"/>
        <x:v>0</x:v>
      </x:c>
      <x:c r="ET481">
        <x:f t="shared" si="541"/>
        <x:v>0</x:v>
      </x:c>
      <x:c r="EU481">
        <x:f t="shared" si="542"/>
        <x:v>0</x:v>
      </x:c>
      <x:c r="EV481">
        <x:f t="shared" si="543"/>
        <x:v>0</x:v>
      </x:c>
      <x:c r="EW481">
        <x:f t="shared" si="544"/>
        <x:v>0</x:v>
      </x:c>
      <x:c r="EX481">
        <x:f t="shared" si="545"/>
        <x:v>0</x:v>
      </x:c>
      <x:c r="EY481">
        <x:f t="shared" si="546"/>
        <x:v>0</x:v>
      </x:c>
      <x:c r="EZ481">
        <x:f t="shared" si="547"/>
        <x:v>0</x:v>
      </x:c>
      <x:c r="FA481" s="41">
        <x:f t="shared" si="548"/>
        <x:v>0</x:v>
      </x:c>
      <x:c r="FB481">
        <x:f t="shared" si="549"/>
        <x:v>0</x:v>
      </x:c>
      <x:c r="FC481">
        <x:f t="shared" si="550"/>
        <x:v>0</x:v>
      </x:c>
      <x:c r="FD481">
        <x:f t="shared" si="551"/>
        <x:v>0</x:v>
      </x:c>
      <x:c r="FE481">
        <x:f t="shared" si="552"/>
        <x:v>0</x:v>
      </x:c>
      <x:c r="FF481">
        <x:f t="shared" si="553"/>
        <x:v>0</x:v>
      </x:c>
      <x:c r="FG481">
        <x:f t="shared" si="554"/>
        <x:v>0</x:v>
      </x:c>
      <x:c r="FH481">
        <x:f t="shared" si="555"/>
        <x:v>0</x:v>
      </x:c>
      <x:c r="FI481">
        <x:f t="shared" si="556"/>
        <x:v>0</x:v>
      </x:c>
      <x:c r="FJ481">
        <x:f t="shared" si="557"/>
        <x:v>0</x:v>
      </x:c>
      <x:c r="FK481">
        <x:f t="shared" si="558"/>
        <x:v>0</x:v>
      </x:c>
      <x:c r="FL481" s="41">
        <x:f t="shared" si="559"/>
        <x:v>0</x:v>
      </x:c>
      <x:c r="FM481">
        <x:f t="shared" si="560"/>
        <x:v>0</x:v>
      </x:c>
      <x:c r="FN481">
        <x:f t="shared" si="561"/>
        <x:v>0</x:v>
      </x:c>
      <x:c r="FO481">
        <x:f t="shared" si="562"/>
        <x:v>0</x:v>
      </x:c>
      <x:c r="FP481">
        <x:f t="shared" si="563"/>
        <x:v>0</x:v>
      </x:c>
      <x:c r="FQ481">
        <x:f t="shared" si="564"/>
        <x:v>0</x:v>
      </x:c>
      <x:c r="FR481">
        <x:f t="shared" si="565"/>
        <x:v>0</x:v>
      </x:c>
      <x:c r="FS481">
        <x:f t="shared" si="566"/>
        <x:v>0</x:v>
      </x:c>
      <x:c r="FT481">
        <x:f t="shared" si="567"/>
        <x:v>0</x:v>
      </x:c>
      <x:c r="FU481">
        <x:f t="shared" si="568"/>
        <x:v>0</x:v>
      </x:c>
      <x:c r="FV481">
        <x:f t="shared" si="569"/>
        <x:v>0</x:v>
      </x:c>
      <x:c r="FW481" s="41">
        <x:f t="shared" si="570"/>
        <x:v>0</x:v>
      </x:c>
      <x:c r="FX481">
        <x:f t="shared" si="571"/>
        <x:v>0</x:v>
      </x:c>
      <x:c r="FY481">
        <x:f t="shared" si="572"/>
        <x:v>0</x:v>
      </x:c>
      <x:c r="FZ481">
        <x:f t="shared" si="573"/>
        <x:v>0</x:v>
      </x:c>
      <x:c r="GA481">
        <x:f t="shared" si="574"/>
        <x:v>0</x:v>
      </x:c>
      <x:c r="GB481">
        <x:f t="shared" si="575"/>
        <x:v>0</x:v>
      </x:c>
      <x:c r="GC481">
        <x:f t="shared" si="576"/>
        <x:v>0</x:v>
      </x:c>
      <x:c r="GD481">
        <x:f t="shared" si="577"/>
        <x:v>0</x:v>
      </x:c>
      <x:c r="GE481">
        <x:f t="shared" si="578"/>
        <x:v>0</x:v>
      </x:c>
      <x:c r="GF481">
        <x:f t="shared" si="579"/>
        <x:v>0</x:v>
      </x:c>
      <x:c r="GG481">
        <x:f t="shared" si="580"/>
        <x:v>0</x:v>
      </x:c>
      <x:c r="GH481">
        <x:f t="shared" si="581"/>
        <x:v>0</x:v>
      </x:c>
      <x:c r="GI481">
        <x:f t="shared" si="582"/>
        <x:v>0</x:v>
      </x:c>
      <x:c r="GJ481">
        <x:f t="shared" si="583"/>
        <x:v>0</x:v>
      </x:c>
      <x:c r="GK481">
        <x:f t="shared" si="584"/>
        <x:v>0</x:v>
      </x:c>
      <x:c r="GL481">
        <x:f t="shared" si="585"/>
        <x:v>0</x:v>
      </x:c>
      <x:c r="GM481">
        <x:f t="shared" si="586"/>
        <x:v>0</x:v>
      </x:c>
      <x:c r="GN481">
        <x:f t="shared" si="587"/>
        <x:v>0</x:v>
      </x:c>
      <x:c r="GO481">
        <x:f t="shared" si="588"/>
        <x:v>0</x:v>
      </x:c>
      <x:c r="GP481">
        <x:f t="shared" si="589"/>
        <x:v>0</x:v>
      </x:c>
      <x:c r="GQ481">
        <x:f t="shared" si="590"/>
        <x:v>0</x:v>
      </x:c>
      <x:c r="GR481" s="42">
        <x:f t="shared" si="591"/>
        <x:v>0</x:v>
      </x:c>
      <x:c r="GS481">
        <x:f t="shared" si="592"/>
        <x:v>0</x:v>
      </x:c>
      <x:c r="GT481">
        <x:f t="shared" si="593"/>
        <x:v>0</x:v>
      </x:c>
      <x:c r="GU481">
        <x:f t="shared" si="594"/>
        <x:v>0</x:v>
      </x:c>
      <x:c r="GV481">
        <x:f t="shared" si="595"/>
        <x:v>0</x:v>
      </x:c>
      <x:c r="GW481">
        <x:f t="shared" si="596"/>
        <x:v>0</x:v>
      </x:c>
      <x:c r="GX481">
        <x:f t="shared" si="597"/>
        <x:v>0</x:v>
      </x:c>
      <x:c r="GY481">
        <x:f t="shared" si="598"/>
        <x:v>0</x:v>
      </x:c>
      <x:c r="GZ481">
        <x:f t="shared" si="599"/>
        <x:v>0</x:v>
      </x:c>
      <x:c r="HA481">
        <x:f t="shared" si="600"/>
        <x:v>0</x:v>
      </x:c>
      <x:c r="HB481" s="42">
        <x:f t="shared" si="601"/>
        <x:v>0</x:v>
      </x:c>
      <x:c r="HC481">
        <x:f t="shared" si="602"/>
        <x:v>0</x:v>
      </x:c>
      <x:c r="HD481">
        <x:f t="shared" si="603"/>
        <x:v>0</x:v>
      </x:c>
      <x:c r="HE481">
        <x:f t="shared" si="604"/>
        <x:v>0</x:v>
      </x:c>
      <x:c r="HF481">
        <x:f t="shared" si="605"/>
        <x:v>0</x:v>
      </x:c>
      <x:c r="HG481">
        <x:f t="shared" si="606"/>
        <x:v>0</x:v>
      </x:c>
      <x:c r="HH481">
        <x:f t="shared" si="607"/>
        <x:v>0</x:v>
      </x:c>
      <x:c r="HI481">
        <x:f t="shared" si="608"/>
        <x:v>0</x:v>
      </x:c>
      <x:c r="HJ481">
        <x:f t="shared" si="609"/>
        <x:v>0</x:v>
      </x:c>
      <x:c r="HK481">
        <x:f t="shared" si="610"/>
        <x:v>0</x:v>
      </x:c>
      <x:c r="HL481">
        <x:f t="shared" si="611"/>
        <x:v>0</x:v>
      </x:c>
    </x:row>
    <x:row r="482">
      <x:c r="D482" s="74"/>
      <x:c r="EQ482">
        <x:f t="shared" si="538"/>
        <x:v>0</x:v>
      </x:c>
      <x:c r="ER482">
        <x:f t="shared" si="539"/>
        <x:v>0</x:v>
      </x:c>
      <x:c r="ES482">
        <x:f t="shared" si="540"/>
        <x:v>0</x:v>
      </x:c>
      <x:c r="ET482">
        <x:f t="shared" si="541"/>
        <x:v>0</x:v>
      </x:c>
      <x:c r="EU482">
        <x:f t="shared" si="542"/>
        <x:v>0</x:v>
      </x:c>
      <x:c r="EV482">
        <x:f t="shared" si="543"/>
        <x:v>0</x:v>
      </x:c>
      <x:c r="EW482">
        <x:f t="shared" si="544"/>
        <x:v>0</x:v>
      </x:c>
      <x:c r="EX482">
        <x:f t="shared" si="545"/>
        <x:v>0</x:v>
      </x:c>
      <x:c r="EY482">
        <x:f t="shared" si="546"/>
        <x:v>0</x:v>
      </x:c>
      <x:c r="EZ482">
        <x:f t="shared" si="547"/>
        <x:v>0</x:v>
      </x:c>
      <x:c r="FA482" s="41">
        <x:f t="shared" si="548"/>
        <x:v>0</x:v>
      </x:c>
      <x:c r="FB482">
        <x:f t="shared" si="549"/>
        <x:v>0</x:v>
      </x:c>
      <x:c r="FC482">
        <x:f t="shared" si="550"/>
        <x:v>0</x:v>
      </x:c>
      <x:c r="FD482">
        <x:f t="shared" si="551"/>
        <x:v>0</x:v>
      </x:c>
      <x:c r="FE482">
        <x:f t="shared" si="552"/>
        <x:v>0</x:v>
      </x:c>
      <x:c r="FF482">
        <x:f t="shared" si="553"/>
        <x:v>0</x:v>
      </x:c>
      <x:c r="FG482">
        <x:f t="shared" si="554"/>
        <x:v>0</x:v>
      </x:c>
      <x:c r="FH482">
        <x:f t="shared" si="555"/>
        <x:v>0</x:v>
      </x:c>
      <x:c r="FI482">
        <x:f t="shared" si="556"/>
        <x:v>0</x:v>
      </x:c>
      <x:c r="FJ482">
        <x:f t="shared" si="557"/>
        <x:v>0</x:v>
      </x:c>
      <x:c r="FK482">
        <x:f t="shared" si="558"/>
        <x:v>0</x:v>
      </x:c>
      <x:c r="FL482" s="41">
        <x:f t="shared" si="559"/>
        <x:v>0</x:v>
      </x:c>
      <x:c r="FM482">
        <x:f t="shared" si="560"/>
        <x:v>0</x:v>
      </x:c>
      <x:c r="FN482">
        <x:f t="shared" si="561"/>
        <x:v>0</x:v>
      </x:c>
      <x:c r="FO482">
        <x:f t="shared" si="562"/>
        <x:v>0</x:v>
      </x:c>
      <x:c r="FP482">
        <x:f t="shared" si="563"/>
        <x:v>0</x:v>
      </x:c>
      <x:c r="FQ482">
        <x:f t="shared" si="564"/>
        <x:v>0</x:v>
      </x:c>
      <x:c r="FR482">
        <x:f t="shared" si="565"/>
        <x:v>0</x:v>
      </x:c>
      <x:c r="FS482">
        <x:f t="shared" si="566"/>
        <x:v>0</x:v>
      </x:c>
      <x:c r="FT482">
        <x:f t="shared" si="567"/>
        <x:v>0</x:v>
      </x:c>
      <x:c r="FU482">
        <x:f t="shared" si="568"/>
        <x:v>0</x:v>
      </x:c>
      <x:c r="FV482">
        <x:f t="shared" si="569"/>
        <x:v>0</x:v>
      </x:c>
      <x:c r="FW482" s="41">
        <x:f t="shared" si="570"/>
        <x:v>0</x:v>
      </x:c>
      <x:c r="FX482">
        <x:f t="shared" si="571"/>
        <x:v>0</x:v>
      </x:c>
      <x:c r="FY482">
        <x:f t="shared" si="572"/>
        <x:v>0</x:v>
      </x:c>
      <x:c r="FZ482">
        <x:f t="shared" si="573"/>
        <x:v>0</x:v>
      </x:c>
      <x:c r="GA482">
        <x:f t="shared" si="574"/>
        <x:v>0</x:v>
      </x:c>
      <x:c r="GB482">
        <x:f t="shared" si="575"/>
        <x:v>0</x:v>
      </x:c>
      <x:c r="GC482">
        <x:f t="shared" si="576"/>
        <x:v>0</x:v>
      </x:c>
      <x:c r="GD482">
        <x:f t="shared" si="577"/>
        <x:v>0</x:v>
      </x:c>
      <x:c r="GE482">
        <x:f t="shared" si="578"/>
        <x:v>0</x:v>
      </x:c>
      <x:c r="GF482">
        <x:f t="shared" si="579"/>
        <x:v>0</x:v>
      </x:c>
      <x:c r="GG482">
        <x:f t="shared" si="580"/>
        <x:v>0</x:v>
      </x:c>
      <x:c r="GH482">
        <x:f t="shared" si="581"/>
        <x:v>0</x:v>
      </x:c>
      <x:c r="GI482">
        <x:f t="shared" si="582"/>
        <x:v>0</x:v>
      </x:c>
      <x:c r="GJ482">
        <x:f t="shared" si="583"/>
        <x:v>0</x:v>
      </x:c>
      <x:c r="GK482">
        <x:f t="shared" si="584"/>
        <x:v>0</x:v>
      </x:c>
      <x:c r="GL482">
        <x:f t="shared" si="585"/>
        <x:v>0</x:v>
      </x:c>
      <x:c r="GM482">
        <x:f t="shared" si="586"/>
        <x:v>0</x:v>
      </x:c>
      <x:c r="GN482">
        <x:f t="shared" si="587"/>
        <x:v>0</x:v>
      </x:c>
      <x:c r="GO482">
        <x:f t="shared" si="588"/>
        <x:v>0</x:v>
      </x:c>
      <x:c r="GP482">
        <x:f t="shared" si="589"/>
        <x:v>0</x:v>
      </x:c>
      <x:c r="GQ482">
        <x:f t="shared" si="590"/>
        <x:v>0</x:v>
      </x:c>
      <x:c r="GR482" s="42">
        <x:f t="shared" si="591"/>
        <x:v>0</x:v>
      </x:c>
      <x:c r="GS482">
        <x:f t="shared" si="592"/>
        <x:v>0</x:v>
      </x:c>
      <x:c r="GT482">
        <x:f t="shared" si="593"/>
        <x:v>0</x:v>
      </x:c>
      <x:c r="GU482">
        <x:f t="shared" si="594"/>
        <x:v>0</x:v>
      </x:c>
      <x:c r="GV482">
        <x:f t="shared" si="595"/>
        <x:v>0</x:v>
      </x:c>
      <x:c r="GW482">
        <x:f t="shared" si="596"/>
        <x:v>0</x:v>
      </x:c>
      <x:c r="GX482">
        <x:f t="shared" si="597"/>
        <x:v>0</x:v>
      </x:c>
      <x:c r="GY482">
        <x:f t="shared" si="598"/>
        <x:v>0</x:v>
      </x:c>
      <x:c r="GZ482">
        <x:f t="shared" si="599"/>
        <x:v>0</x:v>
      </x:c>
      <x:c r="HA482">
        <x:f t="shared" si="600"/>
        <x:v>0</x:v>
      </x:c>
      <x:c r="HB482" s="42">
        <x:f t="shared" si="601"/>
        <x:v>0</x:v>
      </x:c>
      <x:c r="HC482">
        <x:f t="shared" si="602"/>
        <x:v>0</x:v>
      </x:c>
      <x:c r="HD482">
        <x:f t="shared" si="603"/>
        <x:v>0</x:v>
      </x:c>
      <x:c r="HE482">
        <x:f t="shared" si="604"/>
        <x:v>0</x:v>
      </x:c>
      <x:c r="HF482">
        <x:f t="shared" si="605"/>
        <x:v>0</x:v>
      </x:c>
      <x:c r="HG482">
        <x:f t="shared" si="606"/>
        <x:v>0</x:v>
      </x:c>
      <x:c r="HH482">
        <x:f t="shared" si="607"/>
        <x:v>0</x:v>
      </x:c>
      <x:c r="HI482">
        <x:f t="shared" si="608"/>
        <x:v>0</x:v>
      </x:c>
      <x:c r="HJ482">
        <x:f t="shared" si="609"/>
        <x:v>0</x:v>
      </x:c>
      <x:c r="HK482">
        <x:f t="shared" si="610"/>
        <x:v>0</x:v>
      </x:c>
      <x:c r="HL482">
        <x:f t="shared" si="611"/>
        <x:v>0</x:v>
      </x:c>
    </x:row>
    <x:row r="483">
      <x:c r="D483" s="74"/>
      <x:c r="EQ483">
        <x:f t="shared" si="538"/>
        <x:v>0</x:v>
      </x:c>
      <x:c r="ER483">
        <x:f t="shared" si="539"/>
        <x:v>0</x:v>
      </x:c>
      <x:c r="ES483">
        <x:f t="shared" si="540"/>
        <x:v>0</x:v>
      </x:c>
      <x:c r="ET483">
        <x:f t="shared" si="541"/>
        <x:v>0</x:v>
      </x:c>
      <x:c r="EU483">
        <x:f t="shared" si="542"/>
        <x:v>0</x:v>
      </x:c>
      <x:c r="EV483">
        <x:f t="shared" si="543"/>
        <x:v>0</x:v>
      </x:c>
      <x:c r="EW483">
        <x:f t="shared" si="544"/>
        <x:v>0</x:v>
      </x:c>
      <x:c r="EX483">
        <x:f t="shared" si="545"/>
        <x:v>0</x:v>
      </x:c>
      <x:c r="EY483">
        <x:f t="shared" si="546"/>
        <x:v>0</x:v>
      </x:c>
      <x:c r="EZ483">
        <x:f t="shared" si="547"/>
        <x:v>0</x:v>
      </x:c>
      <x:c r="FA483" s="41">
        <x:f t="shared" si="548"/>
        <x:v>0</x:v>
      </x:c>
      <x:c r="FB483">
        <x:f t="shared" si="549"/>
        <x:v>0</x:v>
      </x:c>
      <x:c r="FC483">
        <x:f t="shared" si="550"/>
        <x:v>0</x:v>
      </x:c>
      <x:c r="FD483">
        <x:f t="shared" si="551"/>
        <x:v>0</x:v>
      </x:c>
      <x:c r="FE483">
        <x:f t="shared" si="552"/>
        <x:v>0</x:v>
      </x:c>
      <x:c r="FF483">
        <x:f t="shared" si="553"/>
        <x:v>0</x:v>
      </x:c>
      <x:c r="FG483">
        <x:f t="shared" si="554"/>
        <x:v>0</x:v>
      </x:c>
      <x:c r="FH483">
        <x:f t="shared" si="555"/>
        <x:v>0</x:v>
      </x:c>
      <x:c r="FI483">
        <x:f t="shared" si="556"/>
        <x:v>0</x:v>
      </x:c>
      <x:c r="FJ483">
        <x:f t="shared" si="557"/>
        <x:v>0</x:v>
      </x:c>
      <x:c r="FK483">
        <x:f t="shared" si="558"/>
        <x:v>0</x:v>
      </x:c>
      <x:c r="FL483" s="41">
        <x:f t="shared" si="559"/>
        <x:v>0</x:v>
      </x:c>
      <x:c r="FM483">
        <x:f t="shared" si="560"/>
        <x:v>0</x:v>
      </x:c>
      <x:c r="FN483">
        <x:f t="shared" si="561"/>
        <x:v>0</x:v>
      </x:c>
      <x:c r="FO483">
        <x:f t="shared" si="562"/>
        <x:v>0</x:v>
      </x:c>
      <x:c r="FP483">
        <x:f t="shared" si="563"/>
        <x:v>0</x:v>
      </x:c>
      <x:c r="FQ483">
        <x:f t="shared" si="564"/>
        <x:v>0</x:v>
      </x:c>
      <x:c r="FR483">
        <x:f t="shared" si="565"/>
        <x:v>0</x:v>
      </x:c>
      <x:c r="FS483">
        <x:f t="shared" si="566"/>
        <x:v>0</x:v>
      </x:c>
      <x:c r="FT483">
        <x:f t="shared" si="567"/>
        <x:v>0</x:v>
      </x:c>
      <x:c r="FU483">
        <x:f t="shared" si="568"/>
        <x:v>0</x:v>
      </x:c>
      <x:c r="FV483">
        <x:f t="shared" si="569"/>
        <x:v>0</x:v>
      </x:c>
      <x:c r="FW483" s="41">
        <x:f t="shared" si="570"/>
        <x:v>0</x:v>
      </x:c>
      <x:c r="FX483">
        <x:f t="shared" si="571"/>
        <x:v>0</x:v>
      </x:c>
      <x:c r="FY483">
        <x:f t="shared" si="572"/>
        <x:v>0</x:v>
      </x:c>
      <x:c r="FZ483">
        <x:f t="shared" si="573"/>
        <x:v>0</x:v>
      </x:c>
      <x:c r="GA483">
        <x:f t="shared" si="574"/>
        <x:v>0</x:v>
      </x:c>
      <x:c r="GB483">
        <x:f t="shared" si="575"/>
        <x:v>0</x:v>
      </x:c>
      <x:c r="GC483">
        <x:f t="shared" si="576"/>
        <x:v>0</x:v>
      </x:c>
      <x:c r="GD483">
        <x:f t="shared" si="577"/>
        <x:v>0</x:v>
      </x:c>
      <x:c r="GE483">
        <x:f t="shared" si="578"/>
        <x:v>0</x:v>
      </x:c>
      <x:c r="GF483">
        <x:f t="shared" si="579"/>
        <x:v>0</x:v>
      </x:c>
      <x:c r="GG483">
        <x:f t="shared" si="580"/>
        <x:v>0</x:v>
      </x:c>
      <x:c r="GH483">
        <x:f t="shared" si="581"/>
        <x:v>0</x:v>
      </x:c>
      <x:c r="GI483">
        <x:f t="shared" si="582"/>
        <x:v>0</x:v>
      </x:c>
      <x:c r="GJ483">
        <x:f t="shared" si="583"/>
        <x:v>0</x:v>
      </x:c>
      <x:c r="GK483">
        <x:f t="shared" si="584"/>
        <x:v>0</x:v>
      </x:c>
      <x:c r="GL483">
        <x:f t="shared" si="585"/>
        <x:v>0</x:v>
      </x:c>
      <x:c r="GM483">
        <x:f t="shared" si="586"/>
        <x:v>0</x:v>
      </x:c>
      <x:c r="GN483">
        <x:f t="shared" si="587"/>
        <x:v>0</x:v>
      </x:c>
      <x:c r="GO483">
        <x:f t="shared" si="588"/>
        <x:v>0</x:v>
      </x:c>
      <x:c r="GP483">
        <x:f t="shared" si="589"/>
        <x:v>0</x:v>
      </x:c>
      <x:c r="GQ483">
        <x:f t="shared" si="590"/>
        <x:v>0</x:v>
      </x:c>
      <x:c r="GR483" s="42">
        <x:f t="shared" si="591"/>
        <x:v>0</x:v>
      </x:c>
      <x:c r="GS483">
        <x:f t="shared" si="592"/>
        <x:v>0</x:v>
      </x:c>
      <x:c r="GT483">
        <x:f t="shared" si="593"/>
        <x:v>0</x:v>
      </x:c>
      <x:c r="GU483">
        <x:f t="shared" si="594"/>
        <x:v>0</x:v>
      </x:c>
      <x:c r="GV483">
        <x:f t="shared" si="595"/>
        <x:v>0</x:v>
      </x:c>
      <x:c r="GW483">
        <x:f t="shared" si="596"/>
        <x:v>0</x:v>
      </x:c>
      <x:c r="GX483">
        <x:f t="shared" si="597"/>
        <x:v>0</x:v>
      </x:c>
      <x:c r="GY483">
        <x:f t="shared" si="598"/>
        <x:v>0</x:v>
      </x:c>
      <x:c r="GZ483">
        <x:f t="shared" si="599"/>
        <x:v>0</x:v>
      </x:c>
      <x:c r="HA483">
        <x:f t="shared" si="600"/>
        <x:v>0</x:v>
      </x:c>
      <x:c r="HB483" s="42">
        <x:f t="shared" si="601"/>
        <x:v>0</x:v>
      </x:c>
      <x:c r="HC483">
        <x:f t="shared" si="602"/>
        <x:v>0</x:v>
      </x:c>
      <x:c r="HD483">
        <x:f t="shared" si="603"/>
        <x:v>0</x:v>
      </x:c>
      <x:c r="HE483">
        <x:f t="shared" si="604"/>
        <x:v>0</x:v>
      </x:c>
      <x:c r="HF483">
        <x:f t="shared" si="605"/>
        <x:v>0</x:v>
      </x:c>
      <x:c r="HG483">
        <x:f t="shared" si="606"/>
        <x:v>0</x:v>
      </x:c>
      <x:c r="HH483">
        <x:f t="shared" si="607"/>
        <x:v>0</x:v>
      </x:c>
      <x:c r="HI483">
        <x:f t="shared" si="608"/>
        <x:v>0</x:v>
      </x:c>
      <x:c r="HJ483">
        <x:f t="shared" si="609"/>
        <x:v>0</x:v>
      </x:c>
      <x:c r="HK483">
        <x:f t="shared" si="610"/>
        <x:v>0</x:v>
      </x:c>
      <x:c r="HL483">
        <x:f t="shared" si="611"/>
        <x:v>0</x:v>
      </x:c>
    </x:row>
    <x:row r="484">
      <x:c r="D484" s="74"/>
      <x:c r="EQ484">
        <x:f t="shared" si="538"/>
        <x:v>0</x:v>
      </x:c>
      <x:c r="ER484">
        <x:f t="shared" si="539"/>
        <x:v>0</x:v>
      </x:c>
      <x:c r="ES484">
        <x:f t="shared" si="540"/>
        <x:v>0</x:v>
      </x:c>
      <x:c r="ET484">
        <x:f t="shared" si="541"/>
        <x:v>0</x:v>
      </x:c>
      <x:c r="EU484">
        <x:f t="shared" si="542"/>
        <x:v>0</x:v>
      </x:c>
      <x:c r="EV484">
        <x:f t="shared" si="543"/>
        <x:v>0</x:v>
      </x:c>
      <x:c r="EW484">
        <x:f t="shared" si="544"/>
        <x:v>0</x:v>
      </x:c>
      <x:c r="EX484">
        <x:f t="shared" si="545"/>
        <x:v>0</x:v>
      </x:c>
      <x:c r="EY484">
        <x:f t="shared" si="546"/>
        <x:v>0</x:v>
      </x:c>
      <x:c r="EZ484">
        <x:f t="shared" si="547"/>
        <x:v>0</x:v>
      </x:c>
      <x:c r="FA484" s="41">
        <x:f t="shared" si="548"/>
        <x:v>0</x:v>
      </x:c>
      <x:c r="FB484">
        <x:f t="shared" si="549"/>
        <x:v>0</x:v>
      </x:c>
      <x:c r="FC484">
        <x:f t="shared" si="550"/>
        <x:v>0</x:v>
      </x:c>
      <x:c r="FD484">
        <x:f t="shared" si="551"/>
        <x:v>0</x:v>
      </x:c>
      <x:c r="FE484">
        <x:f t="shared" si="552"/>
        <x:v>0</x:v>
      </x:c>
      <x:c r="FF484">
        <x:f t="shared" si="553"/>
        <x:v>0</x:v>
      </x:c>
      <x:c r="FG484">
        <x:f t="shared" si="554"/>
        <x:v>0</x:v>
      </x:c>
      <x:c r="FH484">
        <x:f t="shared" si="555"/>
        <x:v>0</x:v>
      </x:c>
      <x:c r="FI484">
        <x:f t="shared" si="556"/>
        <x:v>0</x:v>
      </x:c>
      <x:c r="FJ484">
        <x:f t="shared" si="557"/>
        <x:v>0</x:v>
      </x:c>
      <x:c r="FK484">
        <x:f t="shared" si="558"/>
        <x:v>0</x:v>
      </x:c>
      <x:c r="FL484" s="41">
        <x:f t="shared" si="559"/>
        <x:v>0</x:v>
      </x:c>
      <x:c r="FM484">
        <x:f t="shared" si="560"/>
        <x:v>0</x:v>
      </x:c>
      <x:c r="FN484">
        <x:f t="shared" si="561"/>
        <x:v>0</x:v>
      </x:c>
      <x:c r="FO484">
        <x:f t="shared" si="562"/>
        <x:v>0</x:v>
      </x:c>
      <x:c r="FP484">
        <x:f t="shared" si="563"/>
        <x:v>0</x:v>
      </x:c>
      <x:c r="FQ484">
        <x:f t="shared" si="564"/>
        <x:v>0</x:v>
      </x:c>
      <x:c r="FR484">
        <x:f t="shared" si="565"/>
        <x:v>0</x:v>
      </x:c>
      <x:c r="FS484">
        <x:f t="shared" si="566"/>
        <x:v>0</x:v>
      </x:c>
      <x:c r="FT484">
        <x:f t="shared" si="567"/>
        <x:v>0</x:v>
      </x:c>
      <x:c r="FU484">
        <x:f t="shared" si="568"/>
        <x:v>0</x:v>
      </x:c>
      <x:c r="FV484">
        <x:f t="shared" si="569"/>
        <x:v>0</x:v>
      </x:c>
      <x:c r="FW484" s="41">
        <x:f t="shared" si="570"/>
        <x:v>0</x:v>
      </x:c>
      <x:c r="FX484">
        <x:f t="shared" si="571"/>
        <x:v>0</x:v>
      </x:c>
      <x:c r="FY484">
        <x:f t="shared" si="572"/>
        <x:v>0</x:v>
      </x:c>
      <x:c r="FZ484">
        <x:f t="shared" si="573"/>
        <x:v>0</x:v>
      </x:c>
      <x:c r="GA484">
        <x:f t="shared" si="574"/>
        <x:v>0</x:v>
      </x:c>
      <x:c r="GB484">
        <x:f t="shared" si="575"/>
        <x:v>0</x:v>
      </x:c>
      <x:c r="GC484">
        <x:f t="shared" si="576"/>
        <x:v>0</x:v>
      </x:c>
      <x:c r="GD484">
        <x:f t="shared" si="577"/>
        <x:v>0</x:v>
      </x:c>
      <x:c r="GE484">
        <x:f t="shared" si="578"/>
        <x:v>0</x:v>
      </x:c>
      <x:c r="GF484">
        <x:f t="shared" si="579"/>
        <x:v>0</x:v>
      </x:c>
      <x:c r="GG484">
        <x:f t="shared" si="580"/>
        <x:v>0</x:v>
      </x:c>
      <x:c r="GH484">
        <x:f t="shared" si="581"/>
        <x:v>0</x:v>
      </x:c>
      <x:c r="GI484">
        <x:f t="shared" si="582"/>
        <x:v>0</x:v>
      </x:c>
      <x:c r="GJ484">
        <x:f t="shared" si="583"/>
        <x:v>0</x:v>
      </x:c>
      <x:c r="GK484">
        <x:f t="shared" si="584"/>
        <x:v>0</x:v>
      </x:c>
      <x:c r="GL484">
        <x:f t="shared" si="585"/>
        <x:v>0</x:v>
      </x:c>
      <x:c r="GM484">
        <x:f t="shared" si="586"/>
        <x:v>0</x:v>
      </x:c>
      <x:c r="GN484">
        <x:f t="shared" si="587"/>
        <x:v>0</x:v>
      </x:c>
      <x:c r="GO484">
        <x:f t="shared" si="588"/>
        <x:v>0</x:v>
      </x:c>
      <x:c r="GP484">
        <x:f t="shared" si="589"/>
        <x:v>0</x:v>
      </x:c>
      <x:c r="GQ484">
        <x:f t="shared" si="590"/>
        <x:v>0</x:v>
      </x:c>
      <x:c r="GR484" s="42">
        <x:f t="shared" si="591"/>
        <x:v>0</x:v>
      </x:c>
      <x:c r="GS484">
        <x:f t="shared" si="592"/>
        <x:v>0</x:v>
      </x:c>
      <x:c r="GT484">
        <x:f t="shared" si="593"/>
        <x:v>0</x:v>
      </x:c>
      <x:c r="GU484">
        <x:f t="shared" si="594"/>
        <x:v>0</x:v>
      </x:c>
      <x:c r="GV484">
        <x:f t="shared" si="595"/>
        <x:v>0</x:v>
      </x:c>
      <x:c r="GW484">
        <x:f t="shared" si="596"/>
        <x:v>0</x:v>
      </x:c>
      <x:c r="GX484">
        <x:f t="shared" si="597"/>
        <x:v>0</x:v>
      </x:c>
      <x:c r="GY484">
        <x:f t="shared" si="598"/>
        <x:v>0</x:v>
      </x:c>
      <x:c r="GZ484">
        <x:f t="shared" si="599"/>
        <x:v>0</x:v>
      </x:c>
      <x:c r="HA484">
        <x:f t="shared" si="600"/>
        <x:v>0</x:v>
      </x:c>
      <x:c r="HB484" s="42">
        <x:f t="shared" si="601"/>
        <x:v>0</x:v>
      </x:c>
      <x:c r="HC484">
        <x:f t="shared" si="602"/>
        <x:v>0</x:v>
      </x:c>
      <x:c r="HD484">
        <x:f t="shared" si="603"/>
        <x:v>0</x:v>
      </x:c>
      <x:c r="HE484">
        <x:f t="shared" si="604"/>
        <x:v>0</x:v>
      </x:c>
      <x:c r="HF484">
        <x:f t="shared" si="605"/>
        <x:v>0</x:v>
      </x:c>
      <x:c r="HG484">
        <x:f t="shared" si="606"/>
        <x:v>0</x:v>
      </x:c>
      <x:c r="HH484">
        <x:f t="shared" si="607"/>
        <x:v>0</x:v>
      </x:c>
      <x:c r="HI484">
        <x:f t="shared" si="608"/>
        <x:v>0</x:v>
      </x:c>
      <x:c r="HJ484">
        <x:f t="shared" si="609"/>
        <x:v>0</x:v>
      </x:c>
      <x:c r="HK484">
        <x:f t="shared" si="610"/>
        <x:v>0</x:v>
      </x:c>
      <x:c r="HL484">
        <x:f t="shared" si="611"/>
        <x:v>0</x:v>
      </x:c>
    </x:row>
    <x:row r="485">
      <x:c r="D485" s="74"/>
      <x:c r="EQ485">
        <x:f t="shared" si="538"/>
        <x:v>0</x:v>
      </x:c>
      <x:c r="ER485">
        <x:f t="shared" si="539"/>
        <x:v>0</x:v>
      </x:c>
      <x:c r="ES485">
        <x:f t="shared" si="540"/>
        <x:v>0</x:v>
      </x:c>
      <x:c r="ET485">
        <x:f t="shared" si="541"/>
        <x:v>0</x:v>
      </x:c>
      <x:c r="EU485">
        <x:f t="shared" si="542"/>
        <x:v>0</x:v>
      </x:c>
      <x:c r="EV485">
        <x:f t="shared" si="543"/>
        <x:v>0</x:v>
      </x:c>
      <x:c r="EW485">
        <x:f t="shared" si="544"/>
        <x:v>0</x:v>
      </x:c>
      <x:c r="EX485">
        <x:f t="shared" si="545"/>
        <x:v>0</x:v>
      </x:c>
      <x:c r="EY485">
        <x:f t="shared" si="546"/>
        <x:v>0</x:v>
      </x:c>
      <x:c r="EZ485">
        <x:f t="shared" si="547"/>
        <x:v>0</x:v>
      </x:c>
      <x:c r="FA485" s="41">
        <x:f t="shared" si="548"/>
        <x:v>0</x:v>
      </x:c>
      <x:c r="FB485">
        <x:f t="shared" si="549"/>
        <x:v>0</x:v>
      </x:c>
      <x:c r="FC485">
        <x:f t="shared" si="550"/>
        <x:v>0</x:v>
      </x:c>
      <x:c r="FD485">
        <x:f t="shared" si="551"/>
        <x:v>0</x:v>
      </x:c>
      <x:c r="FE485">
        <x:f t="shared" si="552"/>
        <x:v>0</x:v>
      </x:c>
      <x:c r="FF485">
        <x:f t="shared" si="553"/>
        <x:v>0</x:v>
      </x:c>
      <x:c r="FG485">
        <x:f t="shared" si="554"/>
        <x:v>0</x:v>
      </x:c>
      <x:c r="FH485">
        <x:f t="shared" si="555"/>
        <x:v>0</x:v>
      </x:c>
      <x:c r="FI485">
        <x:f t="shared" si="556"/>
        <x:v>0</x:v>
      </x:c>
      <x:c r="FJ485">
        <x:f t="shared" si="557"/>
        <x:v>0</x:v>
      </x:c>
      <x:c r="FK485">
        <x:f t="shared" si="558"/>
        <x:v>0</x:v>
      </x:c>
      <x:c r="FL485" s="41">
        <x:f t="shared" si="559"/>
        <x:v>0</x:v>
      </x:c>
      <x:c r="FM485">
        <x:f t="shared" si="560"/>
        <x:v>0</x:v>
      </x:c>
      <x:c r="FN485">
        <x:f t="shared" si="561"/>
        <x:v>0</x:v>
      </x:c>
      <x:c r="FO485">
        <x:f t="shared" si="562"/>
        <x:v>0</x:v>
      </x:c>
      <x:c r="FP485">
        <x:f t="shared" si="563"/>
        <x:v>0</x:v>
      </x:c>
      <x:c r="FQ485">
        <x:f t="shared" si="564"/>
        <x:v>0</x:v>
      </x:c>
      <x:c r="FR485">
        <x:f t="shared" si="565"/>
        <x:v>0</x:v>
      </x:c>
      <x:c r="FS485">
        <x:f t="shared" si="566"/>
        <x:v>0</x:v>
      </x:c>
      <x:c r="FT485">
        <x:f t="shared" si="567"/>
        <x:v>0</x:v>
      </x:c>
      <x:c r="FU485">
        <x:f t="shared" si="568"/>
        <x:v>0</x:v>
      </x:c>
      <x:c r="FV485">
        <x:f t="shared" si="569"/>
        <x:v>0</x:v>
      </x:c>
      <x:c r="FW485" s="41">
        <x:f t="shared" si="570"/>
        <x:v>0</x:v>
      </x:c>
      <x:c r="FX485">
        <x:f t="shared" si="571"/>
        <x:v>0</x:v>
      </x:c>
      <x:c r="FY485">
        <x:f t="shared" si="572"/>
        <x:v>0</x:v>
      </x:c>
      <x:c r="FZ485">
        <x:f t="shared" si="573"/>
        <x:v>0</x:v>
      </x:c>
      <x:c r="GA485">
        <x:f t="shared" si="574"/>
        <x:v>0</x:v>
      </x:c>
      <x:c r="GB485">
        <x:f t="shared" si="575"/>
        <x:v>0</x:v>
      </x:c>
      <x:c r="GC485">
        <x:f t="shared" si="576"/>
        <x:v>0</x:v>
      </x:c>
      <x:c r="GD485">
        <x:f t="shared" si="577"/>
        <x:v>0</x:v>
      </x:c>
      <x:c r="GE485">
        <x:f t="shared" si="578"/>
        <x:v>0</x:v>
      </x:c>
      <x:c r="GF485">
        <x:f t="shared" si="579"/>
        <x:v>0</x:v>
      </x:c>
      <x:c r="GG485">
        <x:f t="shared" si="580"/>
        <x:v>0</x:v>
      </x:c>
      <x:c r="GH485">
        <x:f t="shared" si="581"/>
        <x:v>0</x:v>
      </x:c>
      <x:c r="GI485">
        <x:f t="shared" si="582"/>
        <x:v>0</x:v>
      </x:c>
      <x:c r="GJ485">
        <x:f t="shared" si="583"/>
        <x:v>0</x:v>
      </x:c>
      <x:c r="GK485">
        <x:f t="shared" si="584"/>
        <x:v>0</x:v>
      </x:c>
      <x:c r="GL485">
        <x:f t="shared" si="585"/>
        <x:v>0</x:v>
      </x:c>
      <x:c r="GM485">
        <x:f t="shared" si="586"/>
        <x:v>0</x:v>
      </x:c>
      <x:c r="GN485">
        <x:f t="shared" si="587"/>
        <x:v>0</x:v>
      </x:c>
      <x:c r="GO485">
        <x:f t="shared" si="588"/>
        <x:v>0</x:v>
      </x:c>
      <x:c r="GP485">
        <x:f t="shared" si="589"/>
        <x:v>0</x:v>
      </x:c>
      <x:c r="GQ485">
        <x:f t="shared" si="590"/>
        <x:v>0</x:v>
      </x:c>
      <x:c r="GR485" s="42">
        <x:f t="shared" si="591"/>
        <x:v>0</x:v>
      </x:c>
      <x:c r="GS485">
        <x:f t="shared" si="592"/>
        <x:v>0</x:v>
      </x:c>
      <x:c r="GT485">
        <x:f t="shared" si="593"/>
        <x:v>0</x:v>
      </x:c>
      <x:c r="GU485">
        <x:f t="shared" si="594"/>
        <x:v>0</x:v>
      </x:c>
      <x:c r="GV485">
        <x:f t="shared" si="595"/>
        <x:v>0</x:v>
      </x:c>
      <x:c r="GW485">
        <x:f t="shared" si="596"/>
        <x:v>0</x:v>
      </x:c>
      <x:c r="GX485">
        <x:f t="shared" si="597"/>
        <x:v>0</x:v>
      </x:c>
      <x:c r="GY485">
        <x:f t="shared" si="598"/>
        <x:v>0</x:v>
      </x:c>
      <x:c r="GZ485">
        <x:f t="shared" si="599"/>
        <x:v>0</x:v>
      </x:c>
      <x:c r="HA485">
        <x:f t="shared" si="600"/>
        <x:v>0</x:v>
      </x:c>
      <x:c r="HB485" s="42">
        <x:f t="shared" si="601"/>
        <x:v>0</x:v>
      </x:c>
      <x:c r="HC485">
        <x:f t="shared" si="602"/>
        <x:v>0</x:v>
      </x:c>
      <x:c r="HD485">
        <x:f t="shared" si="603"/>
        <x:v>0</x:v>
      </x:c>
      <x:c r="HE485">
        <x:f t="shared" si="604"/>
        <x:v>0</x:v>
      </x:c>
      <x:c r="HF485">
        <x:f t="shared" si="605"/>
        <x:v>0</x:v>
      </x:c>
      <x:c r="HG485">
        <x:f t="shared" si="606"/>
        <x:v>0</x:v>
      </x:c>
      <x:c r="HH485">
        <x:f t="shared" si="607"/>
        <x:v>0</x:v>
      </x:c>
      <x:c r="HI485">
        <x:f t="shared" si="608"/>
        <x:v>0</x:v>
      </x:c>
      <x:c r="HJ485">
        <x:f t="shared" si="609"/>
        <x:v>0</x:v>
      </x:c>
      <x:c r="HK485">
        <x:f t="shared" si="610"/>
        <x:v>0</x:v>
      </x:c>
      <x:c r="HL485">
        <x:f t="shared" si="611"/>
        <x:v>0</x:v>
      </x:c>
    </x:row>
    <x:row r="486">
      <x:c r="D486" s="74"/>
      <x:c r="EQ486">
        <x:f t="shared" si="538"/>
        <x:v>0</x:v>
      </x:c>
      <x:c r="ER486">
        <x:f t="shared" si="539"/>
        <x:v>0</x:v>
      </x:c>
      <x:c r="ES486">
        <x:f t="shared" si="540"/>
        <x:v>0</x:v>
      </x:c>
      <x:c r="ET486">
        <x:f t="shared" si="541"/>
        <x:v>0</x:v>
      </x:c>
      <x:c r="EU486">
        <x:f t="shared" si="542"/>
        <x:v>0</x:v>
      </x:c>
      <x:c r="EV486">
        <x:f t="shared" si="543"/>
        <x:v>0</x:v>
      </x:c>
      <x:c r="EW486">
        <x:f t="shared" si="544"/>
        <x:v>0</x:v>
      </x:c>
      <x:c r="EX486">
        <x:f t="shared" si="545"/>
        <x:v>0</x:v>
      </x:c>
      <x:c r="EY486">
        <x:f t="shared" si="546"/>
        <x:v>0</x:v>
      </x:c>
      <x:c r="EZ486">
        <x:f t="shared" si="547"/>
        <x:v>0</x:v>
      </x:c>
      <x:c r="FA486" s="41">
        <x:f t="shared" si="548"/>
        <x:v>0</x:v>
      </x:c>
      <x:c r="FB486">
        <x:f t="shared" si="549"/>
        <x:v>0</x:v>
      </x:c>
      <x:c r="FC486">
        <x:f t="shared" si="550"/>
        <x:v>0</x:v>
      </x:c>
      <x:c r="FD486">
        <x:f t="shared" si="551"/>
        <x:v>0</x:v>
      </x:c>
      <x:c r="FE486">
        <x:f t="shared" si="552"/>
        <x:v>0</x:v>
      </x:c>
      <x:c r="FF486">
        <x:f t="shared" si="553"/>
        <x:v>0</x:v>
      </x:c>
      <x:c r="FG486">
        <x:f t="shared" si="554"/>
        <x:v>0</x:v>
      </x:c>
      <x:c r="FH486">
        <x:f t="shared" si="555"/>
        <x:v>0</x:v>
      </x:c>
      <x:c r="FI486">
        <x:f t="shared" si="556"/>
        <x:v>0</x:v>
      </x:c>
      <x:c r="FJ486">
        <x:f t="shared" si="557"/>
        <x:v>0</x:v>
      </x:c>
      <x:c r="FK486">
        <x:f t="shared" si="558"/>
        <x:v>0</x:v>
      </x:c>
      <x:c r="FL486" s="41">
        <x:f t="shared" si="559"/>
        <x:v>0</x:v>
      </x:c>
      <x:c r="FM486">
        <x:f t="shared" si="560"/>
        <x:v>0</x:v>
      </x:c>
      <x:c r="FN486">
        <x:f t="shared" si="561"/>
        <x:v>0</x:v>
      </x:c>
      <x:c r="FO486">
        <x:f t="shared" si="562"/>
        <x:v>0</x:v>
      </x:c>
      <x:c r="FP486">
        <x:f t="shared" si="563"/>
        <x:v>0</x:v>
      </x:c>
      <x:c r="FQ486">
        <x:f t="shared" si="564"/>
        <x:v>0</x:v>
      </x:c>
      <x:c r="FR486">
        <x:f t="shared" si="565"/>
        <x:v>0</x:v>
      </x:c>
      <x:c r="FS486">
        <x:f t="shared" si="566"/>
        <x:v>0</x:v>
      </x:c>
      <x:c r="FT486">
        <x:f t="shared" si="567"/>
        <x:v>0</x:v>
      </x:c>
      <x:c r="FU486">
        <x:f t="shared" si="568"/>
        <x:v>0</x:v>
      </x:c>
      <x:c r="FV486">
        <x:f t="shared" si="569"/>
        <x:v>0</x:v>
      </x:c>
      <x:c r="FW486" s="41">
        <x:f t="shared" si="570"/>
        <x:v>0</x:v>
      </x:c>
      <x:c r="FX486">
        <x:f t="shared" si="571"/>
        <x:v>0</x:v>
      </x:c>
      <x:c r="FY486">
        <x:f t="shared" si="572"/>
        <x:v>0</x:v>
      </x:c>
      <x:c r="FZ486">
        <x:f t="shared" si="573"/>
        <x:v>0</x:v>
      </x:c>
      <x:c r="GA486">
        <x:f t="shared" si="574"/>
        <x:v>0</x:v>
      </x:c>
      <x:c r="GB486">
        <x:f t="shared" si="575"/>
        <x:v>0</x:v>
      </x:c>
      <x:c r="GC486">
        <x:f t="shared" si="576"/>
        <x:v>0</x:v>
      </x:c>
      <x:c r="GD486">
        <x:f t="shared" si="577"/>
        <x:v>0</x:v>
      </x:c>
      <x:c r="GE486">
        <x:f t="shared" si="578"/>
        <x:v>0</x:v>
      </x:c>
      <x:c r="GF486">
        <x:f t="shared" si="579"/>
        <x:v>0</x:v>
      </x:c>
      <x:c r="GG486">
        <x:f t="shared" si="580"/>
        <x:v>0</x:v>
      </x:c>
      <x:c r="GH486">
        <x:f t="shared" si="581"/>
        <x:v>0</x:v>
      </x:c>
      <x:c r="GI486">
        <x:f t="shared" si="582"/>
        <x:v>0</x:v>
      </x:c>
      <x:c r="GJ486">
        <x:f t="shared" si="583"/>
        <x:v>0</x:v>
      </x:c>
      <x:c r="GK486">
        <x:f t="shared" si="584"/>
        <x:v>0</x:v>
      </x:c>
      <x:c r="GL486">
        <x:f t="shared" si="585"/>
        <x:v>0</x:v>
      </x:c>
      <x:c r="GM486">
        <x:f t="shared" si="586"/>
        <x:v>0</x:v>
      </x:c>
      <x:c r="GN486">
        <x:f t="shared" si="587"/>
        <x:v>0</x:v>
      </x:c>
      <x:c r="GO486">
        <x:f t="shared" si="588"/>
        <x:v>0</x:v>
      </x:c>
      <x:c r="GP486">
        <x:f t="shared" si="589"/>
        <x:v>0</x:v>
      </x:c>
      <x:c r="GQ486">
        <x:f t="shared" si="590"/>
        <x:v>0</x:v>
      </x:c>
      <x:c r="GR486" s="42">
        <x:f t="shared" si="591"/>
        <x:v>0</x:v>
      </x:c>
      <x:c r="GS486">
        <x:f t="shared" si="592"/>
        <x:v>0</x:v>
      </x:c>
      <x:c r="GT486">
        <x:f t="shared" si="593"/>
        <x:v>0</x:v>
      </x:c>
      <x:c r="GU486">
        <x:f t="shared" si="594"/>
        <x:v>0</x:v>
      </x:c>
      <x:c r="GV486">
        <x:f t="shared" si="595"/>
        <x:v>0</x:v>
      </x:c>
      <x:c r="GW486">
        <x:f t="shared" si="596"/>
        <x:v>0</x:v>
      </x:c>
      <x:c r="GX486">
        <x:f t="shared" si="597"/>
        <x:v>0</x:v>
      </x:c>
      <x:c r="GY486">
        <x:f t="shared" si="598"/>
        <x:v>0</x:v>
      </x:c>
      <x:c r="GZ486">
        <x:f t="shared" si="599"/>
        <x:v>0</x:v>
      </x:c>
      <x:c r="HA486">
        <x:f t="shared" si="600"/>
        <x:v>0</x:v>
      </x:c>
      <x:c r="HB486" s="42">
        <x:f t="shared" si="601"/>
        <x:v>0</x:v>
      </x:c>
      <x:c r="HC486">
        <x:f t="shared" si="602"/>
        <x:v>0</x:v>
      </x:c>
      <x:c r="HD486">
        <x:f t="shared" si="603"/>
        <x:v>0</x:v>
      </x:c>
      <x:c r="HE486">
        <x:f t="shared" si="604"/>
        <x:v>0</x:v>
      </x:c>
      <x:c r="HF486">
        <x:f t="shared" si="605"/>
        <x:v>0</x:v>
      </x:c>
      <x:c r="HG486">
        <x:f t="shared" si="606"/>
        <x:v>0</x:v>
      </x:c>
      <x:c r="HH486">
        <x:f t="shared" si="607"/>
        <x:v>0</x:v>
      </x:c>
      <x:c r="HI486">
        <x:f t="shared" si="608"/>
        <x:v>0</x:v>
      </x:c>
      <x:c r="HJ486">
        <x:f t="shared" si="609"/>
        <x:v>0</x:v>
      </x:c>
      <x:c r="HK486">
        <x:f t="shared" si="610"/>
        <x:v>0</x:v>
      </x:c>
      <x:c r="HL486">
        <x:f t="shared" si="611"/>
        <x:v>0</x:v>
      </x:c>
    </x:row>
    <x:row r="487">
      <x:c r="D487" s="74"/>
      <x:c r="EQ487">
        <x:f t="shared" si="538"/>
        <x:v>0</x:v>
      </x:c>
      <x:c r="ER487">
        <x:f t="shared" si="539"/>
        <x:v>0</x:v>
      </x:c>
      <x:c r="ES487">
        <x:f t="shared" si="540"/>
        <x:v>0</x:v>
      </x:c>
      <x:c r="ET487">
        <x:f t="shared" si="541"/>
        <x:v>0</x:v>
      </x:c>
      <x:c r="EU487">
        <x:f t="shared" si="542"/>
        <x:v>0</x:v>
      </x:c>
      <x:c r="EV487">
        <x:f t="shared" si="543"/>
        <x:v>0</x:v>
      </x:c>
      <x:c r="EW487">
        <x:f t="shared" si="544"/>
        <x:v>0</x:v>
      </x:c>
      <x:c r="EX487">
        <x:f t="shared" si="545"/>
        <x:v>0</x:v>
      </x:c>
      <x:c r="EY487">
        <x:f t="shared" si="546"/>
        <x:v>0</x:v>
      </x:c>
      <x:c r="EZ487">
        <x:f t="shared" si="547"/>
        <x:v>0</x:v>
      </x:c>
      <x:c r="FA487" s="41">
        <x:f t="shared" si="548"/>
        <x:v>0</x:v>
      </x:c>
      <x:c r="FB487">
        <x:f t="shared" si="549"/>
        <x:v>0</x:v>
      </x:c>
      <x:c r="FC487">
        <x:f t="shared" si="550"/>
        <x:v>0</x:v>
      </x:c>
      <x:c r="FD487">
        <x:f t="shared" si="551"/>
        <x:v>0</x:v>
      </x:c>
      <x:c r="FE487">
        <x:f t="shared" si="552"/>
        <x:v>0</x:v>
      </x:c>
      <x:c r="FF487">
        <x:f t="shared" si="553"/>
        <x:v>0</x:v>
      </x:c>
      <x:c r="FG487">
        <x:f t="shared" si="554"/>
        <x:v>0</x:v>
      </x:c>
      <x:c r="FH487">
        <x:f t="shared" si="555"/>
        <x:v>0</x:v>
      </x:c>
      <x:c r="FI487">
        <x:f t="shared" si="556"/>
        <x:v>0</x:v>
      </x:c>
      <x:c r="FJ487">
        <x:f t="shared" si="557"/>
        <x:v>0</x:v>
      </x:c>
      <x:c r="FK487">
        <x:f t="shared" si="558"/>
        <x:v>0</x:v>
      </x:c>
      <x:c r="FL487" s="41">
        <x:f t="shared" si="559"/>
        <x:v>0</x:v>
      </x:c>
      <x:c r="FM487">
        <x:f t="shared" si="560"/>
        <x:v>0</x:v>
      </x:c>
      <x:c r="FN487">
        <x:f t="shared" si="561"/>
        <x:v>0</x:v>
      </x:c>
      <x:c r="FO487">
        <x:f t="shared" si="562"/>
        <x:v>0</x:v>
      </x:c>
      <x:c r="FP487">
        <x:f t="shared" si="563"/>
        <x:v>0</x:v>
      </x:c>
      <x:c r="FQ487">
        <x:f t="shared" si="564"/>
        <x:v>0</x:v>
      </x:c>
      <x:c r="FR487">
        <x:f t="shared" si="565"/>
        <x:v>0</x:v>
      </x:c>
      <x:c r="FS487">
        <x:f t="shared" si="566"/>
        <x:v>0</x:v>
      </x:c>
      <x:c r="FT487">
        <x:f t="shared" si="567"/>
        <x:v>0</x:v>
      </x:c>
      <x:c r="FU487">
        <x:f t="shared" si="568"/>
        <x:v>0</x:v>
      </x:c>
      <x:c r="FV487">
        <x:f t="shared" si="569"/>
        <x:v>0</x:v>
      </x:c>
      <x:c r="FW487" s="41">
        <x:f t="shared" si="570"/>
        <x:v>0</x:v>
      </x:c>
      <x:c r="FX487">
        <x:f t="shared" si="571"/>
        <x:v>0</x:v>
      </x:c>
      <x:c r="FY487">
        <x:f t="shared" si="572"/>
        <x:v>0</x:v>
      </x:c>
      <x:c r="FZ487">
        <x:f t="shared" si="573"/>
        <x:v>0</x:v>
      </x:c>
      <x:c r="GA487">
        <x:f t="shared" si="574"/>
        <x:v>0</x:v>
      </x:c>
      <x:c r="GB487">
        <x:f t="shared" si="575"/>
        <x:v>0</x:v>
      </x:c>
      <x:c r="GC487">
        <x:f t="shared" si="576"/>
        <x:v>0</x:v>
      </x:c>
      <x:c r="GD487">
        <x:f t="shared" si="577"/>
        <x:v>0</x:v>
      </x:c>
      <x:c r="GE487">
        <x:f t="shared" si="578"/>
        <x:v>0</x:v>
      </x:c>
      <x:c r="GF487">
        <x:f t="shared" si="579"/>
        <x:v>0</x:v>
      </x:c>
      <x:c r="GG487">
        <x:f t="shared" si="580"/>
        <x:v>0</x:v>
      </x:c>
      <x:c r="GH487">
        <x:f t="shared" si="581"/>
        <x:v>0</x:v>
      </x:c>
      <x:c r="GI487">
        <x:f t="shared" si="582"/>
        <x:v>0</x:v>
      </x:c>
      <x:c r="GJ487">
        <x:f t="shared" si="583"/>
        <x:v>0</x:v>
      </x:c>
      <x:c r="GK487">
        <x:f t="shared" si="584"/>
        <x:v>0</x:v>
      </x:c>
      <x:c r="GL487">
        <x:f t="shared" si="585"/>
        <x:v>0</x:v>
      </x:c>
      <x:c r="GM487">
        <x:f t="shared" si="586"/>
        <x:v>0</x:v>
      </x:c>
      <x:c r="GN487">
        <x:f t="shared" si="587"/>
        <x:v>0</x:v>
      </x:c>
      <x:c r="GO487">
        <x:f t="shared" si="588"/>
        <x:v>0</x:v>
      </x:c>
      <x:c r="GP487">
        <x:f t="shared" si="589"/>
        <x:v>0</x:v>
      </x:c>
      <x:c r="GQ487">
        <x:f t="shared" si="590"/>
        <x:v>0</x:v>
      </x:c>
      <x:c r="GR487" s="42">
        <x:f t="shared" si="591"/>
        <x:v>0</x:v>
      </x:c>
      <x:c r="GS487">
        <x:f t="shared" si="592"/>
        <x:v>0</x:v>
      </x:c>
      <x:c r="GT487">
        <x:f t="shared" si="593"/>
        <x:v>0</x:v>
      </x:c>
      <x:c r="GU487">
        <x:f t="shared" si="594"/>
        <x:v>0</x:v>
      </x:c>
      <x:c r="GV487">
        <x:f t="shared" si="595"/>
        <x:v>0</x:v>
      </x:c>
      <x:c r="GW487">
        <x:f t="shared" si="596"/>
        <x:v>0</x:v>
      </x:c>
      <x:c r="GX487">
        <x:f t="shared" si="597"/>
        <x:v>0</x:v>
      </x:c>
      <x:c r="GY487">
        <x:f t="shared" si="598"/>
        <x:v>0</x:v>
      </x:c>
      <x:c r="GZ487">
        <x:f t="shared" si="599"/>
        <x:v>0</x:v>
      </x:c>
      <x:c r="HA487">
        <x:f t="shared" si="600"/>
        <x:v>0</x:v>
      </x:c>
      <x:c r="HB487" s="42">
        <x:f t="shared" si="601"/>
        <x:v>0</x:v>
      </x:c>
      <x:c r="HC487">
        <x:f t="shared" si="602"/>
        <x:v>0</x:v>
      </x:c>
      <x:c r="HD487">
        <x:f t="shared" si="603"/>
        <x:v>0</x:v>
      </x:c>
      <x:c r="HE487">
        <x:f t="shared" si="604"/>
        <x:v>0</x:v>
      </x:c>
      <x:c r="HF487">
        <x:f t="shared" si="605"/>
        <x:v>0</x:v>
      </x:c>
      <x:c r="HG487">
        <x:f t="shared" si="606"/>
        <x:v>0</x:v>
      </x:c>
      <x:c r="HH487">
        <x:f t="shared" si="607"/>
        <x:v>0</x:v>
      </x:c>
      <x:c r="HI487">
        <x:f t="shared" si="608"/>
        <x:v>0</x:v>
      </x:c>
      <x:c r="HJ487">
        <x:f t="shared" si="609"/>
        <x:v>0</x:v>
      </x:c>
      <x:c r="HK487">
        <x:f t="shared" si="610"/>
        <x:v>0</x:v>
      </x:c>
      <x:c r="HL487">
        <x:f t="shared" si="611"/>
        <x:v>0</x:v>
      </x:c>
    </x:row>
    <x:row r="488">
      <x:c r="D488" s="74"/>
      <x:c r="EQ488">
        <x:f t="shared" si="538"/>
        <x:v>0</x:v>
      </x:c>
      <x:c r="ER488">
        <x:f t="shared" si="539"/>
        <x:v>0</x:v>
      </x:c>
      <x:c r="ES488">
        <x:f t="shared" si="540"/>
        <x:v>0</x:v>
      </x:c>
      <x:c r="ET488">
        <x:f t="shared" si="541"/>
        <x:v>0</x:v>
      </x:c>
      <x:c r="EU488">
        <x:f t="shared" si="542"/>
        <x:v>0</x:v>
      </x:c>
      <x:c r="EV488">
        <x:f t="shared" si="543"/>
        <x:v>0</x:v>
      </x:c>
      <x:c r="EW488">
        <x:f t="shared" si="544"/>
        <x:v>0</x:v>
      </x:c>
      <x:c r="EX488">
        <x:f t="shared" si="545"/>
        <x:v>0</x:v>
      </x:c>
      <x:c r="EY488">
        <x:f t="shared" si="546"/>
        <x:v>0</x:v>
      </x:c>
      <x:c r="EZ488">
        <x:f t="shared" si="547"/>
        <x:v>0</x:v>
      </x:c>
      <x:c r="FA488" s="41">
        <x:f t="shared" si="548"/>
        <x:v>0</x:v>
      </x:c>
      <x:c r="FB488">
        <x:f t="shared" si="549"/>
        <x:v>0</x:v>
      </x:c>
      <x:c r="FC488">
        <x:f t="shared" si="550"/>
        <x:v>0</x:v>
      </x:c>
      <x:c r="FD488">
        <x:f t="shared" si="551"/>
        <x:v>0</x:v>
      </x:c>
      <x:c r="FE488">
        <x:f t="shared" si="552"/>
        <x:v>0</x:v>
      </x:c>
      <x:c r="FF488">
        <x:f t="shared" si="553"/>
        <x:v>0</x:v>
      </x:c>
      <x:c r="FG488">
        <x:f t="shared" si="554"/>
        <x:v>0</x:v>
      </x:c>
      <x:c r="FH488">
        <x:f t="shared" si="555"/>
        <x:v>0</x:v>
      </x:c>
      <x:c r="FI488">
        <x:f t="shared" si="556"/>
        <x:v>0</x:v>
      </x:c>
      <x:c r="FJ488">
        <x:f t="shared" si="557"/>
        <x:v>0</x:v>
      </x:c>
      <x:c r="FK488">
        <x:f t="shared" si="558"/>
        <x:v>0</x:v>
      </x:c>
      <x:c r="FL488" s="41">
        <x:f t="shared" si="559"/>
        <x:v>0</x:v>
      </x:c>
      <x:c r="FM488">
        <x:f t="shared" si="560"/>
        <x:v>0</x:v>
      </x:c>
      <x:c r="FN488">
        <x:f t="shared" si="561"/>
        <x:v>0</x:v>
      </x:c>
      <x:c r="FO488">
        <x:f t="shared" si="562"/>
        <x:v>0</x:v>
      </x:c>
      <x:c r="FP488">
        <x:f t="shared" si="563"/>
        <x:v>0</x:v>
      </x:c>
      <x:c r="FQ488">
        <x:f t="shared" si="564"/>
        <x:v>0</x:v>
      </x:c>
      <x:c r="FR488">
        <x:f t="shared" si="565"/>
        <x:v>0</x:v>
      </x:c>
      <x:c r="FS488">
        <x:f t="shared" si="566"/>
        <x:v>0</x:v>
      </x:c>
      <x:c r="FT488">
        <x:f t="shared" si="567"/>
        <x:v>0</x:v>
      </x:c>
      <x:c r="FU488">
        <x:f t="shared" si="568"/>
        <x:v>0</x:v>
      </x:c>
      <x:c r="FV488">
        <x:f t="shared" si="569"/>
        <x:v>0</x:v>
      </x:c>
      <x:c r="FW488" s="41">
        <x:f t="shared" si="570"/>
        <x:v>0</x:v>
      </x:c>
      <x:c r="FX488">
        <x:f t="shared" si="571"/>
        <x:v>0</x:v>
      </x:c>
      <x:c r="FY488">
        <x:f t="shared" si="572"/>
        <x:v>0</x:v>
      </x:c>
      <x:c r="FZ488">
        <x:f t="shared" si="573"/>
        <x:v>0</x:v>
      </x:c>
      <x:c r="GA488">
        <x:f t="shared" si="574"/>
        <x:v>0</x:v>
      </x:c>
      <x:c r="GB488">
        <x:f t="shared" si="575"/>
        <x:v>0</x:v>
      </x:c>
      <x:c r="GC488">
        <x:f t="shared" si="576"/>
        <x:v>0</x:v>
      </x:c>
      <x:c r="GD488">
        <x:f t="shared" si="577"/>
        <x:v>0</x:v>
      </x:c>
      <x:c r="GE488">
        <x:f t="shared" si="578"/>
        <x:v>0</x:v>
      </x:c>
      <x:c r="GF488">
        <x:f t="shared" si="579"/>
        <x:v>0</x:v>
      </x:c>
      <x:c r="GG488">
        <x:f t="shared" si="580"/>
        <x:v>0</x:v>
      </x:c>
      <x:c r="GH488">
        <x:f t="shared" si="581"/>
        <x:v>0</x:v>
      </x:c>
      <x:c r="GI488">
        <x:f t="shared" si="582"/>
        <x:v>0</x:v>
      </x:c>
      <x:c r="GJ488">
        <x:f t="shared" si="583"/>
        <x:v>0</x:v>
      </x:c>
      <x:c r="GK488">
        <x:f t="shared" si="584"/>
        <x:v>0</x:v>
      </x:c>
      <x:c r="GL488">
        <x:f t="shared" si="585"/>
        <x:v>0</x:v>
      </x:c>
      <x:c r="GM488">
        <x:f t="shared" si="586"/>
        <x:v>0</x:v>
      </x:c>
      <x:c r="GN488">
        <x:f t="shared" si="587"/>
        <x:v>0</x:v>
      </x:c>
      <x:c r="GO488">
        <x:f t="shared" si="588"/>
        <x:v>0</x:v>
      </x:c>
      <x:c r="GP488">
        <x:f t="shared" si="589"/>
        <x:v>0</x:v>
      </x:c>
      <x:c r="GQ488">
        <x:f t="shared" si="590"/>
        <x:v>0</x:v>
      </x:c>
      <x:c r="GR488" s="42">
        <x:f t="shared" si="591"/>
        <x:v>0</x:v>
      </x:c>
      <x:c r="GS488">
        <x:f t="shared" si="592"/>
        <x:v>0</x:v>
      </x:c>
      <x:c r="GT488">
        <x:f t="shared" si="593"/>
        <x:v>0</x:v>
      </x:c>
      <x:c r="GU488">
        <x:f t="shared" si="594"/>
        <x:v>0</x:v>
      </x:c>
      <x:c r="GV488">
        <x:f t="shared" si="595"/>
        <x:v>0</x:v>
      </x:c>
      <x:c r="GW488">
        <x:f t="shared" si="596"/>
        <x:v>0</x:v>
      </x:c>
      <x:c r="GX488">
        <x:f t="shared" si="597"/>
        <x:v>0</x:v>
      </x:c>
      <x:c r="GY488">
        <x:f t="shared" si="598"/>
        <x:v>0</x:v>
      </x:c>
      <x:c r="GZ488">
        <x:f t="shared" si="599"/>
        <x:v>0</x:v>
      </x:c>
      <x:c r="HA488">
        <x:f t="shared" si="600"/>
        <x:v>0</x:v>
      </x:c>
      <x:c r="HB488" s="42">
        <x:f t="shared" si="601"/>
        <x:v>0</x:v>
      </x:c>
      <x:c r="HC488">
        <x:f t="shared" si="602"/>
        <x:v>0</x:v>
      </x:c>
      <x:c r="HD488">
        <x:f t="shared" si="603"/>
        <x:v>0</x:v>
      </x:c>
      <x:c r="HE488">
        <x:f t="shared" si="604"/>
        <x:v>0</x:v>
      </x:c>
      <x:c r="HF488">
        <x:f t="shared" si="605"/>
        <x:v>0</x:v>
      </x:c>
      <x:c r="HG488">
        <x:f t="shared" si="606"/>
        <x:v>0</x:v>
      </x:c>
      <x:c r="HH488">
        <x:f t="shared" si="607"/>
        <x:v>0</x:v>
      </x:c>
      <x:c r="HI488">
        <x:f t="shared" si="608"/>
        <x:v>0</x:v>
      </x:c>
      <x:c r="HJ488">
        <x:f t="shared" si="609"/>
        <x:v>0</x:v>
      </x:c>
      <x:c r="HK488">
        <x:f t="shared" si="610"/>
        <x:v>0</x:v>
      </x:c>
      <x:c r="HL488">
        <x:f t="shared" si="611"/>
        <x:v>0</x:v>
      </x:c>
    </x:row>
    <x:row r="489">
      <x:c r="D489" s="74"/>
      <x:c r="EQ489">
        <x:f t="shared" si="538"/>
        <x:v>0</x:v>
      </x:c>
      <x:c r="ER489">
        <x:f t="shared" si="539"/>
        <x:v>0</x:v>
      </x:c>
      <x:c r="ES489">
        <x:f t="shared" si="540"/>
        <x:v>0</x:v>
      </x:c>
      <x:c r="ET489">
        <x:f t="shared" si="541"/>
        <x:v>0</x:v>
      </x:c>
      <x:c r="EU489">
        <x:f t="shared" si="542"/>
        <x:v>0</x:v>
      </x:c>
      <x:c r="EV489">
        <x:f t="shared" si="543"/>
        <x:v>0</x:v>
      </x:c>
      <x:c r="EW489">
        <x:f t="shared" si="544"/>
        <x:v>0</x:v>
      </x:c>
      <x:c r="EX489">
        <x:f t="shared" si="545"/>
        <x:v>0</x:v>
      </x:c>
      <x:c r="EY489">
        <x:f t="shared" si="546"/>
        <x:v>0</x:v>
      </x:c>
      <x:c r="EZ489">
        <x:f t="shared" si="547"/>
        <x:v>0</x:v>
      </x:c>
      <x:c r="FA489" s="41">
        <x:f t="shared" si="548"/>
        <x:v>0</x:v>
      </x:c>
      <x:c r="FB489">
        <x:f t="shared" si="549"/>
        <x:v>0</x:v>
      </x:c>
      <x:c r="FC489">
        <x:f t="shared" si="550"/>
        <x:v>0</x:v>
      </x:c>
      <x:c r="FD489">
        <x:f t="shared" si="551"/>
        <x:v>0</x:v>
      </x:c>
      <x:c r="FE489">
        <x:f t="shared" si="552"/>
        <x:v>0</x:v>
      </x:c>
      <x:c r="FF489">
        <x:f t="shared" si="553"/>
        <x:v>0</x:v>
      </x:c>
      <x:c r="FG489">
        <x:f t="shared" si="554"/>
        <x:v>0</x:v>
      </x:c>
      <x:c r="FH489">
        <x:f t="shared" si="555"/>
        <x:v>0</x:v>
      </x:c>
      <x:c r="FI489">
        <x:f t="shared" si="556"/>
        <x:v>0</x:v>
      </x:c>
      <x:c r="FJ489">
        <x:f t="shared" si="557"/>
        <x:v>0</x:v>
      </x:c>
      <x:c r="FK489">
        <x:f t="shared" si="558"/>
        <x:v>0</x:v>
      </x:c>
      <x:c r="FL489" s="41">
        <x:f t="shared" si="559"/>
        <x:v>0</x:v>
      </x:c>
      <x:c r="FM489">
        <x:f t="shared" si="560"/>
        <x:v>0</x:v>
      </x:c>
      <x:c r="FN489">
        <x:f t="shared" si="561"/>
        <x:v>0</x:v>
      </x:c>
      <x:c r="FO489">
        <x:f t="shared" si="562"/>
        <x:v>0</x:v>
      </x:c>
      <x:c r="FP489">
        <x:f t="shared" si="563"/>
        <x:v>0</x:v>
      </x:c>
      <x:c r="FQ489">
        <x:f t="shared" si="564"/>
        <x:v>0</x:v>
      </x:c>
      <x:c r="FR489">
        <x:f t="shared" si="565"/>
        <x:v>0</x:v>
      </x:c>
      <x:c r="FS489">
        <x:f t="shared" si="566"/>
        <x:v>0</x:v>
      </x:c>
      <x:c r="FT489">
        <x:f t="shared" si="567"/>
        <x:v>0</x:v>
      </x:c>
      <x:c r="FU489">
        <x:f t="shared" si="568"/>
        <x:v>0</x:v>
      </x:c>
      <x:c r="FV489">
        <x:f t="shared" si="569"/>
        <x:v>0</x:v>
      </x:c>
      <x:c r="FW489" s="41">
        <x:f t="shared" si="570"/>
        <x:v>0</x:v>
      </x:c>
      <x:c r="FX489">
        <x:f t="shared" si="571"/>
        <x:v>0</x:v>
      </x:c>
      <x:c r="FY489">
        <x:f t="shared" si="572"/>
        <x:v>0</x:v>
      </x:c>
      <x:c r="FZ489">
        <x:f t="shared" si="573"/>
        <x:v>0</x:v>
      </x:c>
      <x:c r="GA489">
        <x:f t="shared" si="574"/>
        <x:v>0</x:v>
      </x:c>
      <x:c r="GB489">
        <x:f t="shared" si="575"/>
        <x:v>0</x:v>
      </x:c>
      <x:c r="GC489">
        <x:f t="shared" si="576"/>
        <x:v>0</x:v>
      </x:c>
      <x:c r="GD489">
        <x:f t="shared" si="577"/>
        <x:v>0</x:v>
      </x:c>
      <x:c r="GE489">
        <x:f t="shared" si="578"/>
        <x:v>0</x:v>
      </x:c>
      <x:c r="GF489">
        <x:f t="shared" si="579"/>
        <x:v>0</x:v>
      </x:c>
      <x:c r="GG489">
        <x:f t="shared" si="580"/>
        <x:v>0</x:v>
      </x:c>
      <x:c r="GH489">
        <x:f t="shared" si="581"/>
        <x:v>0</x:v>
      </x:c>
      <x:c r="GI489">
        <x:f t="shared" si="582"/>
        <x:v>0</x:v>
      </x:c>
      <x:c r="GJ489">
        <x:f t="shared" si="583"/>
        <x:v>0</x:v>
      </x:c>
      <x:c r="GK489">
        <x:f t="shared" si="584"/>
        <x:v>0</x:v>
      </x:c>
      <x:c r="GL489">
        <x:f t="shared" si="585"/>
        <x:v>0</x:v>
      </x:c>
      <x:c r="GM489">
        <x:f t="shared" si="586"/>
        <x:v>0</x:v>
      </x:c>
      <x:c r="GN489">
        <x:f t="shared" si="587"/>
        <x:v>0</x:v>
      </x:c>
      <x:c r="GO489">
        <x:f t="shared" si="588"/>
        <x:v>0</x:v>
      </x:c>
      <x:c r="GP489">
        <x:f t="shared" si="589"/>
        <x:v>0</x:v>
      </x:c>
      <x:c r="GQ489">
        <x:f t="shared" si="590"/>
        <x:v>0</x:v>
      </x:c>
      <x:c r="GR489" s="42">
        <x:f t="shared" si="591"/>
        <x:v>0</x:v>
      </x:c>
      <x:c r="GS489">
        <x:f t="shared" si="592"/>
        <x:v>0</x:v>
      </x:c>
      <x:c r="GT489">
        <x:f t="shared" si="593"/>
        <x:v>0</x:v>
      </x:c>
      <x:c r="GU489">
        <x:f t="shared" si="594"/>
        <x:v>0</x:v>
      </x:c>
      <x:c r="GV489">
        <x:f t="shared" si="595"/>
        <x:v>0</x:v>
      </x:c>
      <x:c r="GW489">
        <x:f t="shared" si="596"/>
        <x:v>0</x:v>
      </x:c>
      <x:c r="GX489">
        <x:f t="shared" si="597"/>
        <x:v>0</x:v>
      </x:c>
      <x:c r="GY489">
        <x:f t="shared" si="598"/>
        <x:v>0</x:v>
      </x:c>
      <x:c r="GZ489">
        <x:f t="shared" si="599"/>
        <x:v>0</x:v>
      </x:c>
      <x:c r="HA489">
        <x:f t="shared" si="600"/>
        <x:v>0</x:v>
      </x:c>
      <x:c r="HB489" s="42">
        <x:f t="shared" si="601"/>
        <x:v>0</x:v>
      </x:c>
      <x:c r="HC489">
        <x:f t="shared" si="602"/>
        <x:v>0</x:v>
      </x:c>
      <x:c r="HD489">
        <x:f t="shared" si="603"/>
        <x:v>0</x:v>
      </x:c>
      <x:c r="HE489">
        <x:f t="shared" si="604"/>
        <x:v>0</x:v>
      </x:c>
      <x:c r="HF489">
        <x:f t="shared" si="605"/>
        <x:v>0</x:v>
      </x:c>
      <x:c r="HG489">
        <x:f t="shared" si="606"/>
        <x:v>0</x:v>
      </x:c>
      <x:c r="HH489">
        <x:f t="shared" si="607"/>
        <x:v>0</x:v>
      </x:c>
      <x:c r="HI489">
        <x:f t="shared" si="608"/>
        <x:v>0</x:v>
      </x:c>
      <x:c r="HJ489">
        <x:f t="shared" si="609"/>
        <x:v>0</x:v>
      </x:c>
      <x:c r="HK489">
        <x:f t="shared" si="610"/>
        <x:v>0</x:v>
      </x:c>
      <x:c r="HL489">
        <x:f t="shared" si="611"/>
        <x:v>0</x:v>
      </x:c>
    </x:row>
    <x:row r="490">
      <x:c r="D490" s="74"/>
      <x:c r="EQ490">
        <x:f t="shared" si="538"/>
        <x:v>0</x:v>
      </x:c>
      <x:c r="ER490">
        <x:f t="shared" si="539"/>
        <x:v>0</x:v>
      </x:c>
      <x:c r="ES490">
        <x:f t="shared" si="540"/>
        <x:v>0</x:v>
      </x:c>
      <x:c r="ET490">
        <x:f t="shared" si="541"/>
        <x:v>0</x:v>
      </x:c>
      <x:c r="EU490">
        <x:f t="shared" si="542"/>
        <x:v>0</x:v>
      </x:c>
      <x:c r="EV490">
        <x:f t="shared" si="543"/>
        <x:v>0</x:v>
      </x:c>
      <x:c r="EW490">
        <x:f t="shared" si="544"/>
        <x:v>0</x:v>
      </x:c>
      <x:c r="EX490">
        <x:f t="shared" si="545"/>
        <x:v>0</x:v>
      </x:c>
      <x:c r="EY490">
        <x:f t="shared" si="546"/>
        <x:v>0</x:v>
      </x:c>
      <x:c r="EZ490">
        <x:f t="shared" si="547"/>
        <x:v>0</x:v>
      </x:c>
      <x:c r="FA490" s="41">
        <x:f t="shared" si="548"/>
        <x:v>0</x:v>
      </x:c>
      <x:c r="FB490">
        <x:f t="shared" si="549"/>
        <x:v>0</x:v>
      </x:c>
      <x:c r="FC490">
        <x:f t="shared" si="550"/>
        <x:v>0</x:v>
      </x:c>
      <x:c r="FD490">
        <x:f t="shared" si="551"/>
        <x:v>0</x:v>
      </x:c>
      <x:c r="FE490">
        <x:f t="shared" si="552"/>
        <x:v>0</x:v>
      </x:c>
      <x:c r="FF490">
        <x:f t="shared" si="553"/>
        <x:v>0</x:v>
      </x:c>
      <x:c r="FG490">
        <x:f t="shared" si="554"/>
        <x:v>0</x:v>
      </x:c>
      <x:c r="FH490">
        <x:f t="shared" si="555"/>
        <x:v>0</x:v>
      </x:c>
      <x:c r="FI490">
        <x:f t="shared" si="556"/>
        <x:v>0</x:v>
      </x:c>
      <x:c r="FJ490">
        <x:f t="shared" si="557"/>
        <x:v>0</x:v>
      </x:c>
      <x:c r="FK490">
        <x:f t="shared" si="558"/>
        <x:v>0</x:v>
      </x:c>
      <x:c r="FL490" s="41">
        <x:f t="shared" si="559"/>
        <x:v>0</x:v>
      </x:c>
      <x:c r="FM490">
        <x:f t="shared" si="560"/>
        <x:v>0</x:v>
      </x:c>
      <x:c r="FN490">
        <x:f t="shared" si="561"/>
        <x:v>0</x:v>
      </x:c>
      <x:c r="FO490">
        <x:f t="shared" si="562"/>
        <x:v>0</x:v>
      </x:c>
      <x:c r="FP490">
        <x:f t="shared" si="563"/>
        <x:v>0</x:v>
      </x:c>
      <x:c r="FQ490">
        <x:f t="shared" si="564"/>
        <x:v>0</x:v>
      </x:c>
      <x:c r="FR490">
        <x:f t="shared" si="565"/>
        <x:v>0</x:v>
      </x:c>
      <x:c r="FS490">
        <x:f t="shared" si="566"/>
        <x:v>0</x:v>
      </x:c>
      <x:c r="FT490">
        <x:f t="shared" si="567"/>
        <x:v>0</x:v>
      </x:c>
      <x:c r="FU490">
        <x:f t="shared" si="568"/>
        <x:v>0</x:v>
      </x:c>
      <x:c r="FV490">
        <x:f t="shared" si="569"/>
        <x:v>0</x:v>
      </x:c>
      <x:c r="FW490" s="41">
        <x:f t="shared" si="570"/>
        <x:v>0</x:v>
      </x:c>
      <x:c r="FX490">
        <x:f t="shared" si="571"/>
        <x:v>0</x:v>
      </x:c>
      <x:c r="FY490">
        <x:f t="shared" si="572"/>
        <x:v>0</x:v>
      </x:c>
      <x:c r="FZ490">
        <x:f t="shared" si="573"/>
        <x:v>0</x:v>
      </x:c>
      <x:c r="GA490">
        <x:f t="shared" si="574"/>
        <x:v>0</x:v>
      </x:c>
      <x:c r="GB490">
        <x:f t="shared" si="575"/>
        <x:v>0</x:v>
      </x:c>
      <x:c r="GC490">
        <x:f t="shared" si="576"/>
        <x:v>0</x:v>
      </x:c>
      <x:c r="GD490">
        <x:f t="shared" si="577"/>
        <x:v>0</x:v>
      </x:c>
      <x:c r="GE490">
        <x:f t="shared" si="578"/>
        <x:v>0</x:v>
      </x:c>
      <x:c r="GF490">
        <x:f t="shared" si="579"/>
        <x:v>0</x:v>
      </x:c>
      <x:c r="GG490">
        <x:f t="shared" si="580"/>
        <x:v>0</x:v>
      </x:c>
      <x:c r="GH490">
        <x:f t="shared" si="581"/>
        <x:v>0</x:v>
      </x:c>
      <x:c r="GI490">
        <x:f t="shared" si="582"/>
        <x:v>0</x:v>
      </x:c>
      <x:c r="GJ490">
        <x:f t="shared" si="583"/>
        <x:v>0</x:v>
      </x:c>
      <x:c r="GK490">
        <x:f t="shared" si="584"/>
        <x:v>0</x:v>
      </x:c>
      <x:c r="GL490">
        <x:f t="shared" si="585"/>
        <x:v>0</x:v>
      </x:c>
      <x:c r="GM490">
        <x:f t="shared" si="586"/>
        <x:v>0</x:v>
      </x:c>
      <x:c r="GN490">
        <x:f t="shared" si="587"/>
        <x:v>0</x:v>
      </x:c>
      <x:c r="GO490">
        <x:f t="shared" si="588"/>
        <x:v>0</x:v>
      </x:c>
      <x:c r="GP490">
        <x:f t="shared" si="589"/>
        <x:v>0</x:v>
      </x:c>
      <x:c r="GQ490">
        <x:f t="shared" si="590"/>
        <x:v>0</x:v>
      </x:c>
      <x:c r="GR490" s="42">
        <x:f t="shared" si="591"/>
        <x:v>0</x:v>
      </x:c>
      <x:c r="GS490">
        <x:f t="shared" si="592"/>
        <x:v>0</x:v>
      </x:c>
      <x:c r="GT490">
        <x:f t="shared" si="593"/>
        <x:v>0</x:v>
      </x:c>
      <x:c r="GU490">
        <x:f t="shared" si="594"/>
        <x:v>0</x:v>
      </x:c>
      <x:c r="GV490">
        <x:f t="shared" si="595"/>
        <x:v>0</x:v>
      </x:c>
      <x:c r="GW490">
        <x:f t="shared" si="596"/>
        <x:v>0</x:v>
      </x:c>
      <x:c r="GX490">
        <x:f t="shared" si="597"/>
        <x:v>0</x:v>
      </x:c>
      <x:c r="GY490">
        <x:f t="shared" si="598"/>
        <x:v>0</x:v>
      </x:c>
      <x:c r="GZ490">
        <x:f t="shared" si="599"/>
        <x:v>0</x:v>
      </x:c>
      <x:c r="HA490">
        <x:f t="shared" si="600"/>
        <x:v>0</x:v>
      </x:c>
      <x:c r="HB490" s="42">
        <x:f t="shared" si="601"/>
        <x:v>0</x:v>
      </x:c>
      <x:c r="HC490">
        <x:f t="shared" si="602"/>
        <x:v>0</x:v>
      </x:c>
      <x:c r="HD490">
        <x:f t="shared" si="603"/>
        <x:v>0</x:v>
      </x:c>
      <x:c r="HE490">
        <x:f t="shared" si="604"/>
        <x:v>0</x:v>
      </x:c>
      <x:c r="HF490">
        <x:f t="shared" si="605"/>
        <x:v>0</x:v>
      </x:c>
      <x:c r="HG490">
        <x:f t="shared" si="606"/>
        <x:v>0</x:v>
      </x:c>
      <x:c r="HH490">
        <x:f t="shared" si="607"/>
        <x:v>0</x:v>
      </x:c>
      <x:c r="HI490">
        <x:f t="shared" si="608"/>
        <x:v>0</x:v>
      </x:c>
      <x:c r="HJ490">
        <x:f t="shared" si="609"/>
        <x:v>0</x:v>
      </x:c>
      <x:c r="HK490">
        <x:f t="shared" si="610"/>
        <x:v>0</x:v>
      </x:c>
      <x:c r="HL490">
        <x:f t="shared" si="611"/>
        <x:v>0</x:v>
      </x:c>
    </x:row>
    <x:row r="491">
      <x:c r="D491" s="74"/>
      <x:c r="EQ491">
        <x:f t="shared" si="538"/>
        <x:v>0</x:v>
      </x:c>
      <x:c r="ER491">
        <x:f t="shared" si="539"/>
        <x:v>0</x:v>
      </x:c>
      <x:c r="ES491">
        <x:f t="shared" si="540"/>
        <x:v>0</x:v>
      </x:c>
      <x:c r="ET491">
        <x:f t="shared" si="541"/>
        <x:v>0</x:v>
      </x:c>
      <x:c r="EU491">
        <x:f t="shared" si="542"/>
        <x:v>0</x:v>
      </x:c>
      <x:c r="EV491">
        <x:f t="shared" si="543"/>
        <x:v>0</x:v>
      </x:c>
      <x:c r="EW491">
        <x:f t="shared" si="544"/>
        <x:v>0</x:v>
      </x:c>
      <x:c r="EX491">
        <x:f t="shared" si="545"/>
        <x:v>0</x:v>
      </x:c>
      <x:c r="EY491">
        <x:f t="shared" si="546"/>
        <x:v>0</x:v>
      </x:c>
      <x:c r="EZ491">
        <x:f t="shared" si="547"/>
        <x:v>0</x:v>
      </x:c>
      <x:c r="FA491" s="41">
        <x:f t="shared" si="548"/>
        <x:v>0</x:v>
      </x:c>
      <x:c r="FB491">
        <x:f t="shared" si="549"/>
        <x:v>0</x:v>
      </x:c>
      <x:c r="FC491">
        <x:f t="shared" si="550"/>
        <x:v>0</x:v>
      </x:c>
      <x:c r="FD491">
        <x:f t="shared" si="551"/>
        <x:v>0</x:v>
      </x:c>
      <x:c r="FE491">
        <x:f t="shared" si="552"/>
        <x:v>0</x:v>
      </x:c>
      <x:c r="FF491">
        <x:f t="shared" si="553"/>
        <x:v>0</x:v>
      </x:c>
      <x:c r="FG491">
        <x:f t="shared" si="554"/>
        <x:v>0</x:v>
      </x:c>
      <x:c r="FH491">
        <x:f t="shared" si="555"/>
        <x:v>0</x:v>
      </x:c>
      <x:c r="FI491">
        <x:f t="shared" si="556"/>
        <x:v>0</x:v>
      </x:c>
      <x:c r="FJ491">
        <x:f t="shared" si="557"/>
        <x:v>0</x:v>
      </x:c>
      <x:c r="FK491">
        <x:f t="shared" si="558"/>
        <x:v>0</x:v>
      </x:c>
      <x:c r="FL491" s="41">
        <x:f t="shared" si="559"/>
        <x:v>0</x:v>
      </x:c>
      <x:c r="FM491">
        <x:f t="shared" si="560"/>
        <x:v>0</x:v>
      </x:c>
      <x:c r="FN491">
        <x:f t="shared" si="561"/>
        <x:v>0</x:v>
      </x:c>
      <x:c r="FO491">
        <x:f t="shared" si="562"/>
        <x:v>0</x:v>
      </x:c>
      <x:c r="FP491">
        <x:f t="shared" si="563"/>
        <x:v>0</x:v>
      </x:c>
      <x:c r="FQ491">
        <x:f t="shared" si="564"/>
        <x:v>0</x:v>
      </x:c>
      <x:c r="FR491">
        <x:f t="shared" si="565"/>
        <x:v>0</x:v>
      </x:c>
      <x:c r="FS491">
        <x:f t="shared" si="566"/>
        <x:v>0</x:v>
      </x:c>
      <x:c r="FT491">
        <x:f t="shared" si="567"/>
        <x:v>0</x:v>
      </x:c>
      <x:c r="FU491">
        <x:f t="shared" si="568"/>
        <x:v>0</x:v>
      </x:c>
      <x:c r="FV491">
        <x:f t="shared" si="569"/>
        <x:v>0</x:v>
      </x:c>
      <x:c r="FW491" s="41">
        <x:f t="shared" si="570"/>
        <x:v>0</x:v>
      </x:c>
      <x:c r="FX491">
        <x:f t="shared" si="571"/>
        <x:v>0</x:v>
      </x:c>
      <x:c r="FY491">
        <x:f t="shared" si="572"/>
        <x:v>0</x:v>
      </x:c>
      <x:c r="FZ491">
        <x:f t="shared" si="573"/>
        <x:v>0</x:v>
      </x:c>
      <x:c r="GA491">
        <x:f t="shared" si="574"/>
        <x:v>0</x:v>
      </x:c>
      <x:c r="GB491">
        <x:f t="shared" si="575"/>
        <x:v>0</x:v>
      </x:c>
      <x:c r="GC491">
        <x:f t="shared" si="576"/>
        <x:v>0</x:v>
      </x:c>
      <x:c r="GD491">
        <x:f t="shared" si="577"/>
        <x:v>0</x:v>
      </x:c>
      <x:c r="GE491">
        <x:f t="shared" si="578"/>
        <x:v>0</x:v>
      </x:c>
      <x:c r="GF491">
        <x:f t="shared" si="579"/>
        <x:v>0</x:v>
      </x:c>
      <x:c r="GG491">
        <x:f t="shared" si="580"/>
        <x:v>0</x:v>
      </x:c>
      <x:c r="GH491">
        <x:f t="shared" si="581"/>
        <x:v>0</x:v>
      </x:c>
      <x:c r="GI491">
        <x:f t="shared" si="582"/>
        <x:v>0</x:v>
      </x:c>
      <x:c r="GJ491">
        <x:f t="shared" si="583"/>
        <x:v>0</x:v>
      </x:c>
      <x:c r="GK491">
        <x:f t="shared" si="584"/>
        <x:v>0</x:v>
      </x:c>
      <x:c r="GL491">
        <x:f t="shared" si="585"/>
        <x:v>0</x:v>
      </x:c>
      <x:c r="GM491">
        <x:f t="shared" si="586"/>
        <x:v>0</x:v>
      </x:c>
      <x:c r="GN491">
        <x:f t="shared" si="587"/>
        <x:v>0</x:v>
      </x:c>
      <x:c r="GO491">
        <x:f t="shared" si="588"/>
        <x:v>0</x:v>
      </x:c>
      <x:c r="GP491">
        <x:f t="shared" si="589"/>
        <x:v>0</x:v>
      </x:c>
      <x:c r="GQ491">
        <x:f t="shared" si="590"/>
        <x:v>0</x:v>
      </x:c>
      <x:c r="GR491" s="42">
        <x:f t="shared" si="591"/>
        <x:v>0</x:v>
      </x:c>
      <x:c r="GS491">
        <x:f t="shared" si="592"/>
        <x:v>0</x:v>
      </x:c>
      <x:c r="GT491">
        <x:f t="shared" si="593"/>
        <x:v>0</x:v>
      </x:c>
      <x:c r="GU491">
        <x:f t="shared" si="594"/>
        <x:v>0</x:v>
      </x:c>
      <x:c r="GV491">
        <x:f t="shared" si="595"/>
        <x:v>0</x:v>
      </x:c>
      <x:c r="GW491">
        <x:f t="shared" si="596"/>
        <x:v>0</x:v>
      </x:c>
      <x:c r="GX491">
        <x:f t="shared" si="597"/>
        <x:v>0</x:v>
      </x:c>
      <x:c r="GY491">
        <x:f t="shared" si="598"/>
        <x:v>0</x:v>
      </x:c>
      <x:c r="GZ491">
        <x:f t="shared" si="599"/>
        <x:v>0</x:v>
      </x:c>
      <x:c r="HA491">
        <x:f t="shared" si="600"/>
        <x:v>0</x:v>
      </x:c>
      <x:c r="HB491" s="42">
        <x:f t="shared" si="601"/>
        <x:v>0</x:v>
      </x:c>
      <x:c r="HC491">
        <x:f t="shared" si="602"/>
        <x:v>0</x:v>
      </x:c>
      <x:c r="HD491">
        <x:f t="shared" si="603"/>
        <x:v>0</x:v>
      </x:c>
      <x:c r="HE491">
        <x:f t="shared" si="604"/>
        <x:v>0</x:v>
      </x:c>
      <x:c r="HF491">
        <x:f t="shared" si="605"/>
        <x:v>0</x:v>
      </x:c>
      <x:c r="HG491">
        <x:f t="shared" si="606"/>
        <x:v>0</x:v>
      </x:c>
      <x:c r="HH491">
        <x:f t="shared" si="607"/>
        <x:v>0</x:v>
      </x:c>
      <x:c r="HI491">
        <x:f t="shared" si="608"/>
        <x:v>0</x:v>
      </x:c>
      <x:c r="HJ491">
        <x:f t="shared" si="609"/>
        <x:v>0</x:v>
      </x:c>
      <x:c r="HK491">
        <x:f t="shared" si="610"/>
        <x:v>0</x:v>
      </x:c>
      <x:c r="HL491">
        <x:f t="shared" si="611"/>
        <x:v>0</x:v>
      </x:c>
    </x:row>
    <x:row r="492">
      <x:c r="D492" s="74"/>
      <x:c r="EQ492">
        <x:f t="shared" si="538"/>
        <x:v>0</x:v>
      </x:c>
      <x:c r="ER492">
        <x:f t="shared" si="539"/>
        <x:v>0</x:v>
      </x:c>
      <x:c r="ES492">
        <x:f t="shared" si="540"/>
        <x:v>0</x:v>
      </x:c>
      <x:c r="ET492">
        <x:f t="shared" si="541"/>
        <x:v>0</x:v>
      </x:c>
      <x:c r="EU492">
        <x:f t="shared" si="542"/>
        <x:v>0</x:v>
      </x:c>
      <x:c r="EV492">
        <x:f t="shared" si="543"/>
        <x:v>0</x:v>
      </x:c>
      <x:c r="EW492">
        <x:f t="shared" si="544"/>
        <x:v>0</x:v>
      </x:c>
      <x:c r="EX492">
        <x:f t="shared" si="545"/>
        <x:v>0</x:v>
      </x:c>
      <x:c r="EY492">
        <x:f t="shared" si="546"/>
        <x:v>0</x:v>
      </x:c>
      <x:c r="EZ492">
        <x:f t="shared" si="547"/>
        <x:v>0</x:v>
      </x:c>
      <x:c r="FA492" s="41">
        <x:f t="shared" si="548"/>
        <x:v>0</x:v>
      </x:c>
      <x:c r="FB492">
        <x:f t="shared" si="549"/>
        <x:v>0</x:v>
      </x:c>
      <x:c r="FC492">
        <x:f t="shared" si="550"/>
        <x:v>0</x:v>
      </x:c>
      <x:c r="FD492">
        <x:f t="shared" si="551"/>
        <x:v>0</x:v>
      </x:c>
      <x:c r="FE492">
        <x:f t="shared" si="552"/>
        <x:v>0</x:v>
      </x:c>
      <x:c r="FF492">
        <x:f t="shared" si="553"/>
        <x:v>0</x:v>
      </x:c>
      <x:c r="FG492">
        <x:f t="shared" si="554"/>
        <x:v>0</x:v>
      </x:c>
      <x:c r="FH492">
        <x:f t="shared" si="555"/>
        <x:v>0</x:v>
      </x:c>
      <x:c r="FI492">
        <x:f t="shared" si="556"/>
        <x:v>0</x:v>
      </x:c>
      <x:c r="FJ492">
        <x:f t="shared" si="557"/>
        <x:v>0</x:v>
      </x:c>
      <x:c r="FK492">
        <x:f t="shared" si="558"/>
        <x:v>0</x:v>
      </x:c>
      <x:c r="FL492" s="41">
        <x:f t="shared" si="559"/>
        <x:v>0</x:v>
      </x:c>
      <x:c r="FM492">
        <x:f t="shared" si="560"/>
        <x:v>0</x:v>
      </x:c>
      <x:c r="FN492">
        <x:f t="shared" si="561"/>
        <x:v>0</x:v>
      </x:c>
      <x:c r="FO492">
        <x:f t="shared" si="562"/>
        <x:v>0</x:v>
      </x:c>
      <x:c r="FP492">
        <x:f t="shared" si="563"/>
        <x:v>0</x:v>
      </x:c>
      <x:c r="FQ492">
        <x:f t="shared" si="564"/>
        <x:v>0</x:v>
      </x:c>
      <x:c r="FR492">
        <x:f t="shared" si="565"/>
        <x:v>0</x:v>
      </x:c>
      <x:c r="FS492">
        <x:f t="shared" si="566"/>
        <x:v>0</x:v>
      </x:c>
      <x:c r="FT492">
        <x:f t="shared" si="567"/>
        <x:v>0</x:v>
      </x:c>
      <x:c r="FU492">
        <x:f t="shared" si="568"/>
        <x:v>0</x:v>
      </x:c>
      <x:c r="FV492">
        <x:f t="shared" si="569"/>
        <x:v>0</x:v>
      </x:c>
      <x:c r="FW492" s="41">
        <x:f t="shared" si="570"/>
        <x:v>0</x:v>
      </x:c>
      <x:c r="FX492">
        <x:f t="shared" si="571"/>
        <x:v>0</x:v>
      </x:c>
      <x:c r="FY492">
        <x:f t="shared" si="572"/>
        <x:v>0</x:v>
      </x:c>
      <x:c r="FZ492">
        <x:f t="shared" si="573"/>
        <x:v>0</x:v>
      </x:c>
      <x:c r="GA492">
        <x:f t="shared" si="574"/>
        <x:v>0</x:v>
      </x:c>
      <x:c r="GB492">
        <x:f t="shared" si="575"/>
        <x:v>0</x:v>
      </x:c>
      <x:c r="GC492">
        <x:f t="shared" si="576"/>
        <x:v>0</x:v>
      </x:c>
      <x:c r="GD492">
        <x:f t="shared" si="577"/>
        <x:v>0</x:v>
      </x:c>
      <x:c r="GE492">
        <x:f t="shared" si="578"/>
        <x:v>0</x:v>
      </x:c>
      <x:c r="GF492">
        <x:f t="shared" si="579"/>
        <x:v>0</x:v>
      </x:c>
      <x:c r="GG492">
        <x:f t="shared" si="580"/>
        <x:v>0</x:v>
      </x:c>
      <x:c r="GH492">
        <x:f t="shared" si="581"/>
        <x:v>0</x:v>
      </x:c>
      <x:c r="GI492">
        <x:f t="shared" si="582"/>
        <x:v>0</x:v>
      </x:c>
      <x:c r="GJ492">
        <x:f t="shared" si="583"/>
        <x:v>0</x:v>
      </x:c>
      <x:c r="GK492">
        <x:f t="shared" si="584"/>
        <x:v>0</x:v>
      </x:c>
      <x:c r="GL492">
        <x:f t="shared" si="585"/>
        <x:v>0</x:v>
      </x:c>
      <x:c r="GM492">
        <x:f t="shared" si="586"/>
        <x:v>0</x:v>
      </x:c>
      <x:c r="GN492">
        <x:f t="shared" si="587"/>
        <x:v>0</x:v>
      </x:c>
      <x:c r="GO492">
        <x:f t="shared" si="588"/>
        <x:v>0</x:v>
      </x:c>
      <x:c r="GP492">
        <x:f t="shared" si="589"/>
        <x:v>0</x:v>
      </x:c>
      <x:c r="GQ492">
        <x:f t="shared" si="590"/>
        <x:v>0</x:v>
      </x:c>
      <x:c r="GR492" s="42">
        <x:f t="shared" si="591"/>
        <x:v>0</x:v>
      </x:c>
      <x:c r="GS492">
        <x:f t="shared" si="592"/>
        <x:v>0</x:v>
      </x:c>
      <x:c r="GT492">
        <x:f t="shared" si="593"/>
        <x:v>0</x:v>
      </x:c>
      <x:c r="GU492">
        <x:f t="shared" si="594"/>
        <x:v>0</x:v>
      </x:c>
      <x:c r="GV492">
        <x:f t="shared" si="595"/>
        <x:v>0</x:v>
      </x:c>
      <x:c r="GW492">
        <x:f t="shared" si="596"/>
        <x:v>0</x:v>
      </x:c>
      <x:c r="GX492">
        <x:f t="shared" si="597"/>
        <x:v>0</x:v>
      </x:c>
      <x:c r="GY492">
        <x:f t="shared" si="598"/>
        <x:v>0</x:v>
      </x:c>
      <x:c r="GZ492">
        <x:f t="shared" si="599"/>
        <x:v>0</x:v>
      </x:c>
      <x:c r="HA492">
        <x:f t="shared" si="600"/>
        <x:v>0</x:v>
      </x:c>
      <x:c r="HB492" s="42">
        <x:f t="shared" si="601"/>
        <x:v>0</x:v>
      </x:c>
      <x:c r="HC492">
        <x:f t="shared" si="602"/>
        <x:v>0</x:v>
      </x:c>
      <x:c r="HD492">
        <x:f t="shared" si="603"/>
        <x:v>0</x:v>
      </x:c>
      <x:c r="HE492">
        <x:f t="shared" si="604"/>
        <x:v>0</x:v>
      </x:c>
      <x:c r="HF492">
        <x:f t="shared" si="605"/>
        <x:v>0</x:v>
      </x:c>
      <x:c r="HG492">
        <x:f t="shared" si="606"/>
        <x:v>0</x:v>
      </x:c>
      <x:c r="HH492">
        <x:f t="shared" si="607"/>
        <x:v>0</x:v>
      </x:c>
      <x:c r="HI492">
        <x:f t="shared" si="608"/>
        <x:v>0</x:v>
      </x:c>
      <x:c r="HJ492">
        <x:f t="shared" si="609"/>
        <x:v>0</x:v>
      </x:c>
      <x:c r="HK492">
        <x:f t="shared" si="610"/>
        <x:v>0</x:v>
      </x:c>
      <x:c r="HL492">
        <x:f t="shared" si="611"/>
        <x:v>0</x:v>
      </x:c>
    </x:row>
    <x:row r="493">
      <x:c r="D493" s="74"/>
      <x:c r="EQ493">
        <x:f t="shared" si="538"/>
        <x:v>0</x:v>
      </x:c>
      <x:c r="ER493">
        <x:f t="shared" si="539"/>
        <x:v>0</x:v>
      </x:c>
      <x:c r="ES493">
        <x:f t="shared" si="540"/>
        <x:v>0</x:v>
      </x:c>
      <x:c r="ET493">
        <x:f t="shared" si="541"/>
        <x:v>0</x:v>
      </x:c>
      <x:c r="EU493">
        <x:f t="shared" si="542"/>
        <x:v>0</x:v>
      </x:c>
      <x:c r="EV493">
        <x:f t="shared" si="543"/>
        <x:v>0</x:v>
      </x:c>
      <x:c r="EW493">
        <x:f t="shared" si="544"/>
        <x:v>0</x:v>
      </x:c>
      <x:c r="EX493">
        <x:f t="shared" si="545"/>
        <x:v>0</x:v>
      </x:c>
      <x:c r="EY493">
        <x:f t="shared" si="546"/>
        <x:v>0</x:v>
      </x:c>
      <x:c r="EZ493">
        <x:f t="shared" si="547"/>
        <x:v>0</x:v>
      </x:c>
      <x:c r="FA493" s="41">
        <x:f t="shared" si="548"/>
        <x:v>0</x:v>
      </x:c>
      <x:c r="FB493">
        <x:f t="shared" si="549"/>
        <x:v>0</x:v>
      </x:c>
      <x:c r="FC493">
        <x:f t="shared" si="550"/>
        <x:v>0</x:v>
      </x:c>
      <x:c r="FD493">
        <x:f t="shared" si="551"/>
        <x:v>0</x:v>
      </x:c>
      <x:c r="FE493">
        <x:f t="shared" si="552"/>
        <x:v>0</x:v>
      </x:c>
      <x:c r="FF493">
        <x:f t="shared" si="553"/>
        <x:v>0</x:v>
      </x:c>
      <x:c r="FG493">
        <x:f t="shared" si="554"/>
        <x:v>0</x:v>
      </x:c>
      <x:c r="FH493">
        <x:f t="shared" si="555"/>
        <x:v>0</x:v>
      </x:c>
      <x:c r="FI493">
        <x:f t="shared" si="556"/>
        <x:v>0</x:v>
      </x:c>
      <x:c r="FJ493">
        <x:f t="shared" si="557"/>
        <x:v>0</x:v>
      </x:c>
      <x:c r="FK493">
        <x:f t="shared" si="558"/>
        <x:v>0</x:v>
      </x:c>
      <x:c r="FL493" s="41">
        <x:f t="shared" si="559"/>
        <x:v>0</x:v>
      </x:c>
      <x:c r="FM493">
        <x:f t="shared" si="560"/>
        <x:v>0</x:v>
      </x:c>
      <x:c r="FN493">
        <x:f t="shared" si="561"/>
        <x:v>0</x:v>
      </x:c>
      <x:c r="FO493">
        <x:f t="shared" si="562"/>
        <x:v>0</x:v>
      </x:c>
      <x:c r="FP493">
        <x:f t="shared" si="563"/>
        <x:v>0</x:v>
      </x:c>
      <x:c r="FQ493">
        <x:f t="shared" si="564"/>
        <x:v>0</x:v>
      </x:c>
      <x:c r="FR493">
        <x:f t="shared" si="565"/>
        <x:v>0</x:v>
      </x:c>
      <x:c r="FS493">
        <x:f t="shared" si="566"/>
        <x:v>0</x:v>
      </x:c>
      <x:c r="FT493">
        <x:f t="shared" si="567"/>
        <x:v>0</x:v>
      </x:c>
      <x:c r="FU493">
        <x:f t="shared" si="568"/>
        <x:v>0</x:v>
      </x:c>
      <x:c r="FV493">
        <x:f t="shared" si="569"/>
        <x:v>0</x:v>
      </x:c>
      <x:c r="FW493" s="41">
        <x:f t="shared" si="570"/>
        <x:v>0</x:v>
      </x:c>
      <x:c r="FX493">
        <x:f t="shared" si="571"/>
        <x:v>0</x:v>
      </x:c>
      <x:c r="FY493">
        <x:f t="shared" si="572"/>
        <x:v>0</x:v>
      </x:c>
      <x:c r="FZ493">
        <x:f t="shared" si="573"/>
        <x:v>0</x:v>
      </x:c>
      <x:c r="GA493">
        <x:f t="shared" si="574"/>
        <x:v>0</x:v>
      </x:c>
      <x:c r="GB493">
        <x:f t="shared" si="575"/>
        <x:v>0</x:v>
      </x:c>
      <x:c r="GC493">
        <x:f t="shared" si="576"/>
        <x:v>0</x:v>
      </x:c>
      <x:c r="GD493">
        <x:f t="shared" si="577"/>
        <x:v>0</x:v>
      </x:c>
      <x:c r="GE493">
        <x:f t="shared" si="578"/>
        <x:v>0</x:v>
      </x:c>
      <x:c r="GF493">
        <x:f t="shared" si="579"/>
        <x:v>0</x:v>
      </x:c>
      <x:c r="GG493">
        <x:f t="shared" si="580"/>
        <x:v>0</x:v>
      </x:c>
      <x:c r="GH493">
        <x:f t="shared" si="581"/>
        <x:v>0</x:v>
      </x:c>
      <x:c r="GI493">
        <x:f t="shared" si="582"/>
        <x:v>0</x:v>
      </x:c>
      <x:c r="GJ493">
        <x:f t="shared" si="583"/>
        <x:v>0</x:v>
      </x:c>
      <x:c r="GK493">
        <x:f t="shared" si="584"/>
        <x:v>0</x:v>
      </x:c>
      <x:c r="GL493">
        <x:f t="shared" si="585"/>
        <x:v>0</x:v>
      </x:c>
      <x:c r="GM493">
        <x:f t="shared" si="586"/>
        <x:v>0</x:v>
      </x:c>
      <x:c r="GN493">
        <x:f t="shared" si="587"/>
        <x:v>0</x:v>
      </x:c>
      <x:c r="GO493">
        <x:f t="shared" si="588"/>
        <x:v>0</x:v>
      </x:c>
      <x:c r="GP493">
        <x:f t="shared" si="589"/>
        <x:v>0</x:v>
      </x:c>
      <x:c r="GQ493">
        <x:f t="shared" si="590"/>
        <x:v>0</x:v>
      </x:c>
      <x:c r="GR493" s="42">
        <x:f t="shared" si="591"/>
        <x:v>0</x:v>
      </x:c>
      <x:c r="GS493">
        <x:f t="shared" si="592"/>
        <x:v>0</x:v>
      </x:c>
      <x:c r="GT493">
        <x:f t="shared" si="593"/>
        <x:v>0</x:v>
      </x:c>
      <x:c r="GU493">
        <x:f t="shared" si="594"/>
        <x:v>0</x:v>
      </x:c>
      <x:c r="GV493">
        <x:f t="shared" si="595"/>
        <x:v>0</x:v>
      </x:c>
      <x:c r="GW493">
        <x:f t="shared" si="596"/>
        <x:v>0</x:v>
      </x:c>
      <x:c r="GX493">
        <x:f t="shared" si="597"/>
        <x:v>0</x:v>
      </x:c>
      <x:c r="GY493">
        <x:f t="shared" si="598"/>
        <x:v>0</x:v>
      </x:c>
      <x:c r="GZ493">
        <x:f t="shared" si="599"/>
        <x:v>0</x:v>
      </x:c>
      <x:c r="HA493">
        <x:f t="shared" si="600"/>
        <x:v>0</x:v>
      </x:c>
      <x:c r="HB493" s="42">
        <x:f t="shared" si="601"/>
        <x:v>0</x:v>
      </x:c>
      <x:c r="HC493">
        <x:f t="shared" si="602"/>
        <x:v>0</x:v>
      </x:c>
      <x:c r="HD493">
        <x:f t="shared" si="603"/>
        <x:v>0</x:v>
      </x:c>
      <x:c r="HE493">
        <x:f t="shared" si="604"/>
        <x:v>0</x:v>
      </x:c>
      <x:c r="HF493">
        <x:f t="shared" si="605"/>
        <x:v>0</x:v>
      </x:c>
      <x:c r="HG493">
        <x:f t="shared" si="606"/>
        <x:v>0</x:v>
      </x:c>
      <x:c r="HH493">
        <x:f t="shared" si="607"/>
        <x:v>0</x:v>
      </x:c>
      <x:c r="HI493">
        <x:f t="shared" si="608"/>
        <x:v>0</x:v>
      </x:c>
      <x:c r="HJ493">
        <x:f t="shared" si="609"/>
        <x:v>0</x:v>
      </x:c>
      <x:c r="HK493">
        <x:f t="shared" si="610"/>
        <x:v>0</x:v>
      </x:c>
      <x:c r="HL493">
        <x:f t="shared" si="611"/>
        <x:v>0</x:v>
      </x:c>
    </x:row>
    <x:row r="494">
      <x:c r="D494" s="74"/>
      <x:c r="EQ494">
        <x:f t="shared" si="538"/>
        <x:v>0</x:v>
      </x:c>
      <x:c r="ER494">
        <x:f t="shared" si="539"/>
        <x:v>0</x:v>
      </x:c>
      <x:c r="ES494">
        <x:f t="shared" si="540"/>
        <x:v>0</x:v>
      </x:c>
      <x:c r="ET494">
        <x:f t="shared" si="541"/>
        <x:v>0</x:v>
      </x:c>
      <x:c r="EU494">
        <x:f t="shared" si="542"/>
        <x:v>0</x:v>
      </x:c>
      <x:c r="EV494">
        <x:f t="shared" si="543"/>
        <x:v>0</x:v>
      </x:c>
      <x:c r="EW494">
        <x:f t="shared" si="544"/>
        <x:v>0</x:v>
      </x:c>
      <x:c r="EX494">
        <x:f t="shared" si="545"/>
        <x:v>0</x:v>
      </x:c>
      <x:c r="EY494">
        <x:f t="shared" si="546"/>
        <x:v>0</x:v>
      </x:c>
      <x:c r="EZ494">
        <x:f t="shared" si="547"/>
        <x:v>0</x:v>
      </x:c>
      <x:c r="FA494" s="41">
        <x:f t="shared" si="548"/>
        <x:v>0</x:v>
      </x:c>
      <x:c r="FB494">
        <x:f t="shared" si="549"/>
        <x:v>0</x:v>
      </x:c>
      <x:c r="FC494">
        <x:f t="shared" si="550"/>
        <x:v>0</x:v>
      </x:c>
      <x:c r="FD494">
        <x:f t="shared" si="551"/>
        <x:v>0</x:v>
      </x:c>
      <x:c r="FE494">
        <x:f t="shared" si="552"/>
        <x:v>0</x:v>
      </x:c>
      <x:c r="FF494">
        <x:f t="shared" si="553"/>
        <x:v>0</x:v>
      </x:c>
      <x:c r="FG494">
        <x:f t="shared" si="554"/>
        <x:v>0</x:v>
      </x:c>
      <x:c r="FH494">
        <x:f t="shared" si="555"/>
        <x:v>0</x:v>
      </x:c>
      <x:c r="FI494">
        <x:f t="shared" si="556"/>
        <x:v>0</x:v>
      </x:c>
      <x:c r="FJ494">
        <x:f t="shared" si="557"/>
        <x:v>0</x:v>
      </x:c>
      <x:c r="FK494">
        <x:f t="shared" si="558"/>
        <x:v>0</x:v>
      </x:c>
      <x:c r="FL494" s="41">
        <x:f t="shared" si="559"/>
        <x:v>0</x:v>
      </x:c>
      <x:c r="FM494">
        <x:f t="shared" si="560"/>
        <x:v>0</x:v>
      </x:c>
      <x:c r="FN494">
        <x:f t="shared" si="561"/>
        <x:v>0</x:v>
      </x:c>
      <x:c r="FO494">
        <x:f t="shared" si="562"/>
        <x:v>0</x:v>
      </x:c>
      <x:c r="FP494">
        <x:f t="shared" si="563"/>
        <x:v>0</x:v>
      </x:c>
      <x:c r="FQ494">
        <x:f t="shared" si="564"/>
        <x:v>0</x:v>
      </x:c>
      <x:c r="FR494">
        <x:f t="shared" si="565"/>
        <x:v>0</x:v>
      </x:c>
      <x:c r="FS494">
        <x:f t="shared" si="566"/>
        <x:v>0</x:v>
      </x:c>
      <x:c r="FT494">
        <x:f t="shared" si="567"/>
        <x:v>0</x:v>
      </x:c>
      <x:c r="FU494">
        <x:f t="shared" si="568"/>
        <x:v>0</x:v>
      </x:c>
      <x:c r="FV494">
        <x:f t="shared" si="569"/>
        <x:v>0</x:v>
      </x:c>
      <x:c r="FW494" s="41">
        <x:f t="shared" si="570"/>
        <x:v>0</x:v>
      </x:c>
      <x:c r="FX494">
        <x:f t="shared" si="571"/>
        <x:v>0</x:v>
      </x:c>
      <x:c r="FY494">
        <x:f t="shared" si="572"/>
        <x:v>0</x:v>
      </x:c>
      <x:c r="FZ494">
        <x:f t="shared" si="573"/>
        <x:v>0</x:v>
      </x:c>
      <x:c r="GA494">
        <x:f t="shared" si="574"/>
        <x:v>0</x:v>
      </x:c>
      <x:c r="GB494">
        <x:f t="shared" si="575"/>
        <x:v>0</x:v>
      </x:c>
      <x:c r="GC494">
        <x:f t="shared" si="576"/>
        <x:v>0</x:v>
      </x:c>
      <x:c r="GD494">
        <x:f t="shared" si="577"/>
        <x:v>0</x:v>
      </x:c>
      <x:c r="GE494">
        <x:f t="shared" si="578"/>
        <x:v>0</x:v>
      </x:c>
      <x:c r="GF494">
        <x:f t="shared" si="579"/>
        <x:v>0</x:v>
      </x:c>
      <x:c r="GG494">
        <x:f t="shared" si="580"/>
        <x:v>0</x:v>
      </x:c>
      <x:c r="GH494">
        <x:f t="shared" si="581"/>
        <x:v>0</x:v>
      </x:c>
      <x:c r="GI494">
        <x:f t="shared" si="582"/>
        <x:v>0</x:v>
      </x:c>
      <x:c r="GJ494">
        <x:f t="shared" si="583"/>
        <x:v>0</x:v>
      </x:c>
      <x:c r="GK494">
        <x:f t="shared" si="584"/>
        <x:v>0</x:v>
      </x:c>
      <x:c r="GL494">
        <x:f t="shared" si="585"/>
        <x:v>0</x:v>
      </x:c>
      <x:c r="GM494">
        <x:f t="shared" si="586"/>
        <x:v>0</x:v>
      </x:c>
      <x:c r="GN494">
        <x:f t="shared" si="587"/>
        <x:v>0</x:v>
      </x:c>
      <x:c r="GO494">
        <x:f t="shared" si="588"/>
        <x:v>0</x:v>
      </x:c>
      <x:c r="GP494">
        <x:f t="shared" si="589"/>
        <x:v>0</x:v>
      </x:c>
      <x:c r="GQ494">
        <x:f t="shared" si="590"/>
        <x:v>0</x:v>
      </x:c>
      <x:c r="GR494" s="42">
        <x:f t="shared" si="591"/>
        <x:v>0</x:v>
      </x:c>
      <x:c r="GS494">
        <x:f t="shared" si="592"/>
        <x:v>0</x:v>
      </x:c>
      <x:c r="GT494">
        <x:f t="shared" si="593"/>
        <x:v>0</x:v>
      </x:c>
      <x:c r="GU494">
        <x:f t="shared" si="594"/>
        <x:v>0</x:v>
      </x:c>
      <x:c r="GV494">
        <x:f t="shared" si="595"/>
        <x:v>0</x:v>
      </x:c>
      <x:c r="GW494">
        <x:f t="shared" si="596"/>
        <x:v>0</x:v>
      </x:c>
      <x:c r="GX494">
        <x:f t="shared" si="597"/>
        <x:v>0</x:v>
      </x:c>
      <x:c r="GY494">
        <x:f t="shared" si="598"/>
        <x:v>0</x:v>
      </x:c>
      <x:c r="GZ494">
        <x:f t="shared" si="599"/>
        <x:v>0</x:v>
      </x:c>
      <x:c r="HA494">
        <x:f t="shared" si="600"/>
        <x:v>0</x:v>
      </x:c>
      <x:c r="HB494" s="42">
        <x:f t="shared" si="601"/>
        <x:v>0</x:v>
      </x:c>
      <x:c r="HC494">
        <x:f t="shared" si="602"/>
        <x:v>0</x:v>
      </x:c>
      <x:c r="HD494">
        <x:f t="shared" si="603"/>
        <x:v>0</x:v>
      </x:c>
      <x:c r="HE494">
        <x:f t="shared" si="604"/>
        <x:v>0</x:v>
      </x:c>
      <x:c r="HF494">
        <x:f t="shared" si="605"/>
        <x:v>0</x:v>
      </x:c>
      <x:c r="HG494">
        <x:f t="shared" si="606"/>
        <x:v>0</x:v>
      </x:c>
      <x:c r="HH494">
        <x:f t="shared" si="607"/>
        <x:v>0</x:v>
      </x:c>
      <x:c r="HI494">
        <x:f t="shared" si="608"/>
        <x:v>0</x:v>
      </x:c>
      <x:c r="HJ494">
        <x:f t="shared" si="609"/>
        <x:v>0</x:v>
      </x:c>
      <x:c r="HK494">
        <x:f t="shared" si="610"/>
        <x:v>0</x:v>
      </x:c>
      <x:c r="HL494">
        <x:f t="shared" si="611"/>
        <x:v>0</x:v>
      </x:c>
    </x:row>
    <x:row r="495">
      <x:c r="D495" s="74"/>
      <x:c r="EQ495">
        <x:f t="shared" si="538"/>
        <x:v>0</x:v>
      </x:c>
      <x:c r="ER495">
        <x:f t="shared" si="539"/>
        <x:v>0</x:v>
      </x:c>
      <x:c r="ES495">
        <x:f t="shared" si="540"/>
        <x:v>0</x:v>
      </x:c>
      <x:c r="ET495">
        <x:f t="shared" si="541"/>
        <x:v>0</x:v>
      </x:c>
      <x:c r="EU495">
        <x:f t="shared" si="542"/>
        <x:v>0</x:v>
      </x:c>
      <x:c r="EV495">
        <x:f t="shared" si="543"/>
        <x:v>0</x:v>
      </x:c>
      <x:c r="EW495">
        <x:f t="shared" si="544"/>
        <x:v>0</x:v>
      </x:c>
      <x:c r="EX495">
        <x:f t="shared" si="545"/>
        <x:v>0</x:v>
      </x:c>
      <x:c r="EY495">
        <x:f t="shared" si="546"/>
        <x:v>0</x:v>
      </x:c>
      <x:c r="EZ495">
        <x:f t="shared" si="547"/>
        <x:v>0</x:v>
      </x:c>
      <x:c r="FA495" s="41">
        <x:f t="shared" si="548"/>
        <x:v>0</x:v>
      </x:c>
      <x:c r="FB495">
        <x:f t="shared" si="549"/>
        <x:v>0</x:v>
      </x:c>
      <x:c r="FC495">
        <x:f t="shared" si="550"/>
        <x:v>0</x:v>
      </x:c>
      <x:c r="FD495">
        <x:f t="shared" si="551"/>
        <x:v>0</x:v>
      </x:c>
      <x:c r="FE495">
        <x:f t="shared" si="552"/>
        <x:v>0</x:v>
      </x:c>
      <x:c r="FF495">
        <x:f t="shared" si="553"/>
        <x:v>0</x:v>
      </x:c>
      <x:c r="FG495">
        <x:f t="shared" si="554"/>
        <x:v>0</x:v>
      </x:c>
      <x:c r="FH495">
        <x:f t="shared" si="555"/>
        <x:v>0</x:v>
      </x:c>
      <x:c r="FI495">
        <x:f t="shared" si="556"/>
        <x:v>0</x:v>
      </x:c>
      <x:c r="FJ495">
        <x:f t="shared" si="557"/>
        <x:v>0</x:v>
      </x:c>
      <x:c r="FK495">
        <x:f t="shared" si="558"/>
        <x:v>0</x:v>
      </x:c>
      <x:c r="FL495" s="41">
        <x:f t="shared" si="559"/>
        <x:v>0</x:v>
      </x:c>
      <x:c r="FM495">
        <x:f t="shared" si="560"/>
        <x:v>0</x:v>
      </x:c>
      <x:c r="FN495">
        <x:f t="shared" si="561"/>
        <x:v>0</x:v>
      </x:c>
      <x:c r="FO495">
        <x:f t="shared" si="562"/>
        <x:v>0</x:v>
      </x:c>
      <x:c r="FP495">
        <x:f t="shared" si="563"/>
        <x:v>0</x:v>
      </x:c>
      <x:c r="FQ495">
        <x:f t="shared" si="564"/>
        <x:v>0</x:v>
      </x:c>
      <x:c r="FR495">
        <x:f t="shared" si="565"/>
        <x:v>0</x:v>
      </x:c>
      <x:c r="FS495">
        <x:f t="shared" si="566"/>
        <x:v>0</x:v>
      </x:c>
      <x:c r="FT495">
        <x:f t="shared" si="567"/>
        <x:v>0</x:v>
      </x:c>
      <x:c r="FU495">
        <x:f t="shared" si="568"/>
        <x:v>0</x:v>
      </x:c>
      <x:c r="FV495">
        <x:f t="shared" si="569"/>
        <x:v>0</x:v>
      </x:c>
      <x:c r="FW495" s="41">
        <x:f t="shared" si="570"/>
        <x:v>0</x:v>
      </x:c>
      <x:c r="FX495">
        <x:f t="shared" si="571"/>
        <x:v>0</x:v>
      </x:c>
      <x:c r="FY495">
        <x:f t="shared" si="572"/>
        <x:v>0</x:v>
      </x:c>
      <x:c r="FZ495">
        <x:f t="shared" si="573"/>
        <x:v>0</x:v>
      </x:c>
      <x:c r="GA495">
        <x:f t="shared" si="574"/>
        <x:v>0</x:v>
      </x:c>
      <x:c r="GB495">
        <x:f t="shared" si="575"/>
        <x:v>0</x:v>
      </x:c>
      <x:c r="GC495">
        <x:f t="shared" si="576"/>
        <x:v>0</x:v>
      </x:c>
      <x:c r="GD495">
        <x:f t="shared" si="577"/>
        <x:v>0</x:v>
      </x:c>
      <x:c r="GE495">
        <x:f t="shared" si="578"/>
        <x:v>0</x:v>
      </x:c>
      <x:c r="GF495">
        <x:f t="shared" si="579"/>
        <x:v>0</x:v>
      </x:c>
      <x:c r="GG495">
        <x:f t="shared" si="580"/>
        <x:v>0</x:v>
      </x:c>
      <x:c r="GH495">
        <x:f t="shared" si="581"/>
        <x:v>0</x:v>
      </x:c>
      <x:c r="GI495">
        <x:f t="shared" si="582"/>
        <x:v>0</x:v>
      </x:c>
      <x:c r="GJ495">
        <x:f t="shared" si="583"/>
        <x:v>0</x:v>
      </x:c>
      <x:c r="GK495">
        <x:f t="shared" si="584"/>
        <x:v>0</x:v>
      </x:c>
      <x:c r="GL495">
        <x:f t="shared" si="585"/>
        <x:v>0</x:v>
      </x:c>
      <x:c r="GM495">
        <x:f t="shared" si="586"/>
        <x:v>0</x:v>
      </x:c>
      <x:c r="GN495">
        <x:f t="shared" si="587"/>
        <x:v>0</x:v>
      </x:c>
      <x:c r="GO495">
        <x:f t="shared" si="588"/>
        <x:v>0</x:v>
      </x:c>
      <x:c r="GP495">
        <x:f t="shared" si="589"/>
        <x:v>0</x:v>
      </x:c>
      <x:c r="GQ495">
        <x:f t="shared" si="590"/>
        <x:v>0</x:v>
      </x:c>
      <x:c r="GR495" s="42">
        <x:f t="shared" si="591"/>
        <x:v>0</x:v>
      </x:c>
      <x:c r="GS495">
        <x:f t="shared" si="592"/>
        <x:v>0</x:v>
      </x:c>
      <x:c r="GT495">
        <x:f t="shared" si="593"/>
        <x:v>0</x:v>
      </x:c>
      <x:c r="GU495">
        <x:f t="shared" si="594"/>
        <x:v>0</x:v>
      </x:c>
      <x:c r="GV495">
        <x:f t="shared" si="595"/>
        <x:v>0</x:v>
      </x:c>
      <x:c r="GW495">
        <x:f t="shared" si="596"/>
        <x:v>0</x:v>
      </x:c>
      <x:c r="GX495">
        <x:f t="shared" si="597"/>
        <x:v>0</x:v>
      </x:c>
      <x:c r="GY495">
        <x:f t="shared" si="598"/>
        <x:v>0</x:v>
      </x:c>
      <x:c r="GZ495">
        <x:f t="shared" si="599"/>
        <x:v>0</x:v>
      </x:c>
      <x:c r="HA495">
        <x:f t="shared" si="600"/>
        <x:v>0</x:v>
      </x:c>
      <x:c r="HB495" s="42">
        <x:f t="shared" si="601"/>
        <x:v>0</x:v>
      </x:c>
      <x:c r="HC495">
        <x:f t="shared" si="602"/>
        <x:v>0</x:v>
      </x:c>
      <x:c r="HD495">
        <x:f t="shared" si="603"/>
        <x:v>0</x:v>
      </x:c>
      <x:c r="HE495">
        <x:f t="shared" si="604"/>
        <x:v>0</x:v>
      </x:c>
      <x:c r="HF495">
        <x:f t="shared" si="605"/>
        <x:v>0</x:v>
      </x:c>
      <x:c r="HG495">
        <x:f t="shared" si="606"/>
        <x:v>0</x:v>
      </x:c>
      <x:c r="HH495">
        <x:f t="shared" si="607"/>
        <x:v>0</x:v>
      </x:c>
      <x:c r="HI495">
        <x:f t="shared" si="608"/>
        <x:v>0</x:v>
      </x:c>
      <x:c r="HJ495">
        <x:f t="shared" si="609"/>
        <x:v>0</x:v>
      </x:c>
      <x:c r="HK495">
        <x:f t="shared" si="610"/>
        <x:v>0</x:v>
      </x:c>
      <x:c r="HL495">
        <x:f t="shared" si="611"/>
        <x:v>0</x:v>
      </x:c>
    </x:row>
    <x:row r="496">
      <x:c r="D496" s="74"/>
      <x:c r="EQ496">
        <x:f t="shared" si="538"/>
        <x:v>0</x:v>
      </x:c>
      <x:c r="ER496">
        <x:f t="shared" si="539"/>
        <x:v>0</x:v>
      </x:c>
      <x:c r="ES496">
        <x:f t="shared" si="540"/>
        <x:v>0</x:v>
      </x:c>
      <x:c r="ET496">
        <x:f t="shared" si="541"/>
        <x:v>0</x:v>
      </x:c>
      <x:c r="EU496">
        <x:f t="shared" si="542"/>
        <x:v>0</x:v>
      </x:c>
      <x:c r="EV496">
        <x:f t="shared" si="543"/>
        <x:v>0</x:v>
      </x:c>
      <x:c r="EW496">
        <x:f t="shared" si="544"/>
        <x:v>0</x:v>
      </x:c>
      <x:c r="EX496">
        <x:f t="shared" si="545"/>
        <x:v>0</x:v>
      </x:c>
      <x:c r="EY496">
        <x:f t="shared" si="546"/>
        <x:v>0</x:v>
      </x:c>
      <x:c r="EZ496">
        <x:f t="shared" si="547"/>
        <x:v>0</x:v>
      </x:c>
      <x:c r="FA496" s="41">
        <x:f t="shared" si="548"/>
        <x:v>0</x:v>
      </x:c>
      <x:c r="FB496">
        <x:f t="shared" si="549"/>
        <x:v>0</x:v>
      </x:c>
      <x:c r="FC496">
        <x:f t="shared" si="550"/>
        <x:v>0</x:v>
      </x:c>
      <x:c r="FD496">
        <x:f t="shared" si="551"/>
        <x:v>0</x:v>
      </x:c>
      <x:c r="FE496">
        <x:f t="shared" si="552"/>
        <x:v>0</x:v>
      </x:c>
      <x:c r="FF496">
        <x:f t="shared" si="553"/>
        <x:v>0</x:v>
      </x:c>
      <x:c r="FG496">
        <x:f t="shared" si="554"/>
        <x:v>0</x:v>
      </x:c>
      <x:c r="FH496">
        <x:f t="shared" si="555"/>
        <x:v>0</x:v>
      </x:c>
      <x:c r="FI496">
        <x:f t="shared" si="556"/>
        <x:v>0</x:v>
      </x:c>
      <x:c r="FJ496">
        <x:f t="shared" si="557"/>
        <x:v>0</x:v>
      </x:c>
      <x:c r="FK496">
        <x:f t="shared" si="558"/>
        <x:v>0</x:v>
      </x:c>
      <x:c r="FL496" s="41">
        <x:f t="shared" si="559"/>
        <x:v>0</x:v>
      </x:c>
      <x:c r="FM496">
        <x:f t="shared" si="560"/>
        <x:v>0</x:v>
      </x:c>
      <x:c r="FN496">
        <x:f t="shared" si="561"/>
        <x:v>0</x:v>
      </x:c>
      <x:c r="FO496">
        <x:f t="shared" si="562"/>
        <x:v>0</x:v>
      </x:c>
      <x:c r="FP496">
        <x:f t="shared" si="563"/>
        <x:v>0</x:v>
      </x:c>
      <x:c r="FQ496">
        <x:f t="shared" si="564"/>
        <x:v>0</x:v>
      </x:c>
      <x:c r="FR496">
        <x:f t="shared" si="565"/>
        <x:v>0</x:v>
      </x:c>
      <x:c r="FS496">
        <x:f t="shared" si="566"/>
        <x:v>0</x:v>
      </x:c>
      <x:c r="FT496">
        <x:f t="shared" si="567"/>
        <x:v>0</x:v>
      </x:c>
      <x:c r="FU496">
        <x:f t="shared" si="568"/>
        <x:v>0</x:v>
      </x:c>
      <x:c r="FV496">
        <x:f t="shared" si="569"/>
        <x:v>0</x:v>
      </x:c>
      <x:c r="FW496" s="41">
        <x:f t="shared" si="570"/>
        <x:v>0</x:v>
      </x:c>
      <x:c r="FX496">
        <x:f t="shared" si="571"/>
        <x:v>0</x:v>
      </x:c>
      <x:c r="FY496">
        <x:f t="shared" si="572"/>
        <x:v>0</x:v>
      </x:c>
      <x:c r="FZ496">
        <x:f t="shared" si="573"/>
        <x:v>0</x:v>
      </x:c>
      <x:c r="GA496">
        <x:f t="shared" si="574"/>
        <x:v>0</x:v>
      </x:c>
      <x:c r="GB496">
        <x:f t="shared" si="575"/>
        <x:v>0</x:v>
      </x:c>
      <x:c r="GC496">
        <x:f t="shared" si="576"/>
        <x:v>0</x:v>
      </x:c>
      <x:c r="GD496">
        <x:f t="shared" si="577"/>
        <x:v>0</x:v>
      </x:c>
      <x:c r="GE496">
        <x:f t="shared" si="578"/>
        <x:v>0</x:v>
      </x:c>
      <x:c r="GF496">
        <x:f t="shared" si="579"/>
        <x:v>0</x:v>
      </x:c>
      <x:c r="GG496">
        <x:f t="shared" si="580"/>
        <x:v>0</x:v>
      </x:c>
      <x:c r="GH496">
        <x:f t="shared" si="581"/>
        <x:v>0</x:v>
      </x:c>
      <x:c r="GI496">
        <x:f t="shared" si="582"/>
        <x:v>0</x:v>
      </x:c>
      <x:c r="GJ496">
        <x:f t="shared" si="583"/>
        <x:v>0</x:v>
      </x:c>
      <x:c r="GK496">
        <x:f t="shared" si="584"/>
        <x:v>0</x:v>
      </x:c>
      <x:c r="GL496">
        <x:f t="shared" si="585"/>
        <x:v>0</x:v>
      </x:c>
      <x:c r="GM496">
        <x:f t="shared" si="586"/>
        <x:v>0</x:v>
      </x:c>
      <x:c r="GN496">
        <x:f t="shared" si="587"/>
        <x:v>0</x:v>
      </x:c>
      <x:c r="GO496">
        <x:f t="shared" si="588"/>
        <x:v>0</x:v>
      </x:c>
      <x:c r="GP496">
        <x:f t="shared" si="589"/>
        <x:v>0</x:v>
      </x:c>
      <x:c r="GQ496">
        <x:f t="shared" si="590"/>
        <x:v>0</x:v>
      </x:c>
      <x:c r="GR496" s="42">
        <x:f t="shared" si="591"/>
        <x:v>0</x:v>
      </x:c>
      <x:c r="GS496">
        <x:f t="shared" si="592"/>
        <x:v>0</x:v>
      </x:c>
      <x:c r="GT496">
        <x:f t="shared" si="593"/>
        <x:v>0</x:v>
      </x:c>
      <x:c r="GU496">
        <x:f t="shared" si="594"/>
        <x:v>0</x:v>
      </x:c>
      <x:c r="GV496">
        <x:f t="shared" si="595"/>
        <x:v>0</x:v>
      </x:c>
      <x:c r="GW496">
        <x:f t="shared" si="596"/>
        <x:v>0</x:v>
      </x:c>
      <x:c r="GX496">
        <x:f t="shared" si="597"/>
        <x:v>0</x:v>
      </x:c>
      <x:c r="GY496">
        <x:f t="shared" si="598"/>
        <x:v>0</x:v>
      </x:c>
      <x:c r="GZ496">
        <x:f t="shared" si="599"/>
        <x:v>0</x:v>
      </x:c>
      <x:c r="HA496">
        <x:f t="shared" si="600"/>
        <x:v>0</x:v>
      </x:c>
      <x:c r="HB496" s="42">
        <x:f t="shared" si="601"/>
        <x:v>0</x:v>
      </x:c>
      <x:c r="HC496">
        <x:f t="shared" si="602"/>
        <x:v>0</x:v>
      </x:c>
      <x:c r="HD496">
        <x:f t="shared" si="603"/>
        <x:v>0</x:v>
      </x:c>
      <x:c r="HE496">
        <x:f t="shared" si="604"/>
        <x:v>0</x:v>
      </x:c>
      <x:c r="HF496">
        <x:f t="shared" si="605"/>
        <x:v>0</x:v>
      </x:c>
      <x:c r="HG496">
        <x:f t="shared" si="606"/>
        <x:v>0</x:v>
      </x:c>
      <x:c r="HH496">
        <x:f t="shared" si="607"/>
        <x:v>0</x:v>
      </x:c>
      <x:c r="HI496">
        <x:f t="shared" si="608"/>
        <x:v>0</x:v>
      </x:c>
      <x:c r="HJ496">
        <x:f t="shared" si="609"/>
        <x:v>0</x:v>
      </x:c>
      <x:c r="HK496">
        <x:f t="shared" si="610"/>
        <x:v>0</x:v>
      </x:c>
      <x:c r="HL496">
        <x:f t="shared" si="611"/>
        <x:v>0</x:v>
      </x:c>
    </x:row>
    <x:row r="497">
      <x:c r="D497" s="74"/>
      <x:c r="EQ497">
        <x:f t="shared" si="538"/>
        <x:v>0</x:v>
      </x:c>
      <x:c r="ER497">
        <x:f t="shared" si="539"/>
        <x:v>0</x:v>
      </x:c>
      <x:c r="ES497">
        <x:f t="shared" si="540"/>
        <x:v>0</x:v>
      </x:c>
      <x:c r="ET497">
        <x:f t="shared" si="541"/>
        <x:v>0</x:v>
      </x:c>
      <x:c r="EU497">
        <x:f t="shared" si="542"/>
        <x:v>0</x:v>
      </x:c>
      <x:c r="EV497">
        <x:f t="shared" si="543"/>
        <x:v>0</x:v>
      </x:c>
      <x:c r="EW497">
        <x:f t="shared" si="544"/>
        <x:v>0</x:v>
      </x:c>
      <x:c r="EX497">
        <x:f t="shared" si="545"/>
        <x:v>0</x:v>
      </x:c>
      <x:c r="EY497">
        <x:f t="shared" si="546"/>
        <x:v>0</x:v>
      </x:c>
      <x:c r="EZ497">
        <x:f t="shared" si="547"/>
        <x:v>0</x:v>
      </x:c>
      <x:c r="FA497" s="41">
        <x:f t="shared" si="548"/>
        <x:v>0</x:v>
      </x:c>
      <x:c r="FB497">
        <x:f t="shared" si="549"/>
        <x:v>0</x:v>
      </x:c>
      <x:c r="FC497">
        <x:f t="shared" si="550"/>
        <x:v>0</x:v>
      </x:c>
      <x:c r="FD497">
        <x:f t="shared" si="551"/>
        <x:v>0</x:v>
      </x:c>
      <x:c r="FE497">
        <x:f t="shared" si="552"/>
        <x:v>0</x:v>
      </x:c>
      <x:c r="FF497">
        <x:f t="shared" si="553"/>
        <x:v>0</x:v>
      </x:c>
      <x:c r="FG497">
        <x:f t="shared" si="554"/>
        <x:v>0</x:v>
      </x:c>
      <x:c r="FH497">
        <x:f t="shared" si="555"/>
        <x:v>0</x:v>
      </x:c>
      <x:c r="FI497">
        <x:f t="shared" si="556"/>
        <x:v>0</x:v>
      </x:c>
      <x:c r="FJ497">
        <x:f t="shared" si="557"/>
        <x:v>0</x:v>
      </x:c>
      <x:c r="FK497">
        <x:f t="shared" si="558"/>
        <x:v>0</x:v>
      </x:c>
      <x:c r="FL497" s="41">
        <x:f t="shared" si="559"/>
        <x:v>0</x:v>
      </x:c>
      <x:c r="FM497">
        <x:f t="shared" si="560"/>
        <x:v>0</x:v>
      </x:c>
      <x:c r="FN497">
        <x:f t="shared" si="561"/>
        <x:v>0</x:v>
      </x:c>
      <x:c r="FO497">
        <x:f t="shared" si="562"/>
        <x:v>0</x:v>
      </x:c>
      <x:c r="FP497">
        <x:f t="shared" si="563"/>
        <x:v>0</x:v>
      </x:c>
      <x:c r="FQ497">
        <x:f t="shared" si="564"/>
        <x:v>0</x:v>
      </x:c>
      <x:c r="FR497">
        <x:f t="shared" si="565"/>
        <x:v>0</x:v>
      </x:c>
      <x:c r="FS497">
        <x:f t="shared" si="566"/>
        <x:v>0</x:v>
      </x:c>
      <x:c r="FT497">
        <x:f t="shared" si="567"/>
        <x:v>0</x:v>
      </x:c>
      <x:c r="FU497">
        <x:f t="shared" si="568"/>
        <x:v>0</x:v>
      </x:c>
      <x:c r="FV497">
        <x:f t="shared" si="569"/>
        <x:v>0</x:v>
      </x:c>
      <x:c r="FW497" s="41">
        <x:f t="shared" si="570"/>
        <x:v>0</x:v>
      </x:c>
      <x:c r="FX497">
        <x:f t="shared" si="571"/>
        <x:v>0</x:v>
      </x:c>
      <x:c r="FY497">
        <x:f t="shared" si="572"/>
        <x:v>0</x:v>
      </x:c>
      <x:c r="FZ497">
        <x:f t="shared" si="573"/>
        <x:v>0</x:v>
      </x:c>
      <x:c r="GA497">
        <x:f t="shared" si="574"/>
        <x:v>0</x:v>
      </x:c>
      <x:c r="GB497">
        <x:f t="shared" si="575"/>
        <x:v>0</x:v>
      </x:c>
      <x:c r="GC497">
        <x:f t="shared" si="576"/>
        <x:v>0</x:v>
      </x:c>
      <x:c r="GD497">
        <x:f t="shared" si="577"/>
        <x:v>0</x:v>
      </x:c>
      <x:c r="GE497">
        <x:f t="shared" si="578"/>
        <x:v>0</x:v>
      </x:c>
      <x:c r="GF497">
        <x:f t="shared" si="579"/>
        <x:v>0</x:v>
      </x:c>
      <x:c r="GG497">
        <x:f t="shared" si="580"/>
        <x:v>0</x:v>
      </x:c>
      <x:c r="GH497">
        <x:f t="shared" si="581"/>
        <x:v>0</x:v>
      </x:c>
      <x:c r="GI497">
        <x:f t="shared" si="582"/>
        <x:v>0</x:v>
      </x:c>
      <x:c r="GJ497">
        <x:f t="shared" si="583"/>
        <x:v>0</x:v>
      </x:c>
      <x:c r="GK497">
        <x:f t="shared" si="584"/>
        <x:v>0</x:v>
      </x:c>
      <x:c r="GL497">
        <x:f t="shared" si="585"/>
        <x:v>0</x:v>
      </x:c>
      <x:c r="GM497">
        <x:f t="shared" si="586"/>
        <x:v>0</x:v>
      </x:c>
      <x:c r="GN497">
        <x:f t="shared" si="587"/>
        <x:v>0</x:v>
      </x:c>
      <x:c r="GO497">
        <x:f t="shared" si="588"/>
        <x:v>0</x:v>
      </x:c>
      <x:c r="GP497">
        <x:f t="shared" si="589"/>
        <x:v>0</x:v>
      </x:c>
      <x:c r="GQ497">
        <x:f t="shared" si="590"/>
        <x:v>0</x:v>
      </x:c>
      <x:c r="GR497" s="42">
        <x:f t="shared" si="591"/>
        <x:v>0</x:v>
      </x:c>
      <x:c r="GS497">
        <x:f t="shared" si="592"/>
        <x:v>0</x:v>
      </x:c>
      <x:c r="GT497">
        <x:f t="shared" si="593"/>
        <x:v>0</x:v>
      </x:c>
      <x:c r="GU497">
        <x:f t="shared" si="594"/>
        <x:v>0</x:v>
      </x:c>
      <x:c r="GV497">
        <x:f t="shared" si="595"/>
        <x:v>0</x:v>
      </x:c>
      <x:c r="GW497">
        <x:f t="shared" si="596"/>
        <x:v>0</x:v>
      </x:c>
      <x:c r="GX497">
        <x:f t="shared" si="597"/>
        <x:v>0</x:v>
      </x:c>
      <x:c r="GY497">
        <x:f t="shared" si="598"/>
        <x:v>0</x:v>
      </x:c>
      <x:c r="GZ497">
        <x:f t="shared" si="599"/>
        <x:v>0</x:v>
      </x:c>
      <x:c r="HA497">
        <x:f t="shared" si="600"/>
        <x:v>0</x:v>
      </x:c>
      <x:c r="HB497" s="42">
        <x:f t="shared" si="601"/>
        <x:v>0</x:v>
      </x:c>
      <x:c r="HC497">
        <x:f t="shared" si="602"/>
        <x:v>0</x:v>
      </x:c>
      <x:c r="HD497">
        <x:f t="shared" si="603"/>
        <x:v>0</x:v>
      </x:c>
      <x:c r="HE497">
        <x:f t="shared" si="604"/>
        <x:v>0</x:v>
      </x:c>
      <x:c r="HF497">
        <x:f t="shared" si="605"/>
        <x:v>0</x:v>
      </x:c>
      <x:c r="HG497">
        <x:f t="shared" si="606"/>
        <x:v>0</x:v>
      </x:c>
      <x:c r="HH497">
        <x:f t="shared" si="607"/>
        <x:v>0</x:v>
      </x:c>
      <x:c r="HI497">
        <x:f t="shared" si="608"/>
        <x:v>0</x:v>
      </x:c>
      <x:c r="HJ497">
        <x:f t="shared" si="609"/>
        <x:v>0</x:v>
      </x:c>
      <x:c r="HK497">
        <x:f t="shared" si="610"/>
        <x:v>0</x:v>
      </x:c>
      <x:c r="HL497">
        <x:f t="shared" si="611"/>
        <x:v>0</x:v>
      </x:c>
    </x:row>
    <x:row r="498">
      <x:c r="D498" s="74"/>
      <x:c r="EQ498">
        <x:f t="shared" si="538"/>
        <x:v>0</x:v>
      </x:c>
      <x:c r="ER498">
        <x:f t="shared" si="539"/>
        <x:v>0</x:v>
      </x:c>
      <x:c r="ES498">
        <x:f t="shared" si="540"/>
        <x:v>0</x:v>
      </x:c>
      <x:c r="ET498">
        <x:f t="shared" si="541"/>
        <x:v>0</x:v>
      </x:c>
      <x:c r="EU498">
        <x:f t="shared" si="542"/>
        <x:v>0</x:v>
      </x:c>
      <x:c r="EV498">
        <x:f t="shared" si="543"/>
        <x:v>0</x:v>
      </x:c>
      <x:c r="EW498">
        <x:f t="shared" si="544"/>
        <x:v>0</x:v>
      </x:c>
      <x:c r="EX498">
        <x:f t="shared" si="545"/>
        <x:v>0</x:v>
      </x:c>
      <x:c r="EY498">
        <x:f t="shared" si="546"/>
        <x:v>0</x:v>
      </x:c>
      <x:c r="EZ498">
        <x:f t="shared" si="547"/>
        <x:v>0</x:v>
      </x:c>
      <x:c r="FA498" s="41">
        <x:f t="shared" si="548"/>
        <x:v>0</x:v>
      </x:c>
      <x:c r="FB498">
        <x:f t="shared" si="549"/>
        <x:v>0</x:v>
      </x:c>
      <x:c r="FC498">
        <x:f t="shared" si="550"/>
        <x:v>0</x:v>
      </x:c>
      <x:c r="FD498">
        <x:f t="shared" si="551"/>
        <x:v>0</x:v>
      </x:c>
      <x:c r="FE498">
        <x:f t="shared" si="552"/>
        <x:v>0</x:v>
      </x:c>
      <x:c r="FF498">
        <x:f t="shared" si="553"/>
        <x:v>0</x:v>
      </x:c>
      <x:c r="FG498">
        <x:f t="shared" si="554"/>
        <x:v>0</x:v>
      </x:c>
      <x:c r="FH498">
        <x:f t="shared" si="555"/>
        <x:v>0</x:v>
      </x:c>
      <x:c r="FI498">
        <x:f t="shared" si="556"/>
        <x:v>0</x:v>
      </x:c>
      <x:c r="FJ498">
        <x:f t="shared" si="557"/>
        <x:v>0</x:v>
      </x:c>
      <x:c r="FK498">
        <x:f t="shared" si="558"/>
        <x:v>0</x:v>
      </x:c>
      <x:c r="FL498" s="41">
        <x:f t="shared" si="559"/>
        <x:v>0</x:v>
      </x:c>
      <x:c r="FM498">
        <x:f t="shared" si="560"/>
        <x:v>0</x:v>
      </x:c>
      <x:c r="FN498">
        <x:f t="shared" si="561"/>
        <x:v>0</x:v>
      </x:c>
      <x:c r="FO498">
        <x:f t="shared" si="562"/>
        <x:v>0</x:v>
      </x:c>
      <x:c r="FP498">
        <x:f t="shared" si="563"/>
        <x:v>0</x:v>
      </x:c>
      <x:c r="FQ498">
        <x:f t="shared" si="564"/>
        <x:v>0</x:v>
      </x:c>
      <x:c r="FR498">
        <x:f t="shared" si="565"/>
        <x:v>0</x:v>
      </x:c>
      <x:c r="FS498">
        <x:f t="shared" si="566"/>
        <x:v>0</x:v>
      </x:c>
      <x:c r="FT498">
        <x:f t="shared" si="567"/>
        <x:v>0</x:v>
      </x:c>
      <x:c r="FU498">
        <x:f t="shared" si="568"/>
        <x:v>0</x:v>
      </x:c>
      <x:c r="FV498">
        <x:f t="shared" si="569"/>
        <x:v>0</x:v>
      </x:c>
      <x:c r="FW498" s="41">
        <x:f t="shared" si="570"/>
        <x:v>0</x:v>
      </x:c>
      <x:c r="FX498">
        <x:f t="shared" si="571"/>
        <x:v>0</x:v>
      </x:c>
      <x:c r="FY498">
        <x:f t="shared" si="572"/>
        <x:v>0</x:v>
      </x:c>
      <x:c r="FZ498">
        <x:f t="shared" si="573"/>
        <x:v>0</x:v>
      </x:c>
      <x:c r="GA498">
        <x:f t="shared" si="574"/>
        <x:v>0</x:v>
      </x:c>
      <x:c r="GB498">
        <x:f t="shared" si="575"/>
        <x:v>0</x:v>
      </x:c>
      <x:c r="GC498">
        <x:f t="shared" si="576"/>
        <x:v>0</x:v>
      </x:c>
      <x:c r="GD498">
        <x:f t="shared" si="577"/>
        <x:v>0</x:v>
      </x:c>
      <x:c r="GE498">
        <x:f t="shared" si="578"/>
        <x:v>0</x:v>
      </x:c>
      <x:c r="GF498">
        <x:f t="shared" si="579"/>
        <x:v>0</x:v>
      </x:c>
      <x:c r="GG498">
        <x:f t="shared" si="580"/>
        <x:v>0</x:v>
      </x:c>
      <x:c r="GH498">
        <x:f t="shared" si="581"/>
        <x:v>0</x:v>
      </x:c>
      <x:c r="GI498">
        <x:f t="shared" si="582"/>
        <x:v>0</x:v>
      </x:c>
      <x:c r="GJ498">
        <x:f t="shared" si="583"/>
        <x:v>0</x:v>
      </x:c>
      <x:c r="GK498">
        <x:f t="shared" si="584"/>
        <x:v>0</x:v>
      </x:c>
      <x:c r="GL498">
        <x:f t="shared" si="585"/>
        <x:v>0</x:v>
      </x:c>
      <x:c r="GM498">
        <x:f t="shared" si="586"/>
        <x:v>0</x:v>
      </x:c>
      <x:c r="GN498">
        <x:f t="shared" si="587"/>
        <x:v>0</x:v>
      </x:c>
      <x:c r="GO498">
        <x:f t="shared" si="588"/>
        <x:v>0</x:v>
      </x:c>
      <x:c r="GP498">
        <x:f t="shared" si="589"/>
        <x:v>0</x:v>
      </x:c>
      <x:c r="GQ498">
        <x:f t="shared" si="590"/>
        <x:v>0</x:v>
      </x:c>
      <x:c r="GR498" s="42">
        <x:f t="shared" si="591"/>
        <x:v>0</x:v>
      </x:c>
      <x:c r="GS498">
        <x:f t="shared" si="592"/>
        <x:v>0</x:v>
      </x:c>
      <x:c r="GT498">
        <x:f t="shared" si="593"/>
        <x:v>0</x:v>
      </x:c>
      <x:c r="GU498">
        <x:f t="shared" si="594"/>
        <x:v>0</x:v>
      </x:c>
      <x:c r="GV498">
        <x:f t="shared" si="595"/>
        <x:v>0</x:v>
      </x:c>
      <x:c r="GW498">
        <x:f t="shared" si="596"/>
        <x:v>0</x:v>
      </x:c>
      <x:c r="GX498">
        <x:f t="shared" si="597"/>
        <x:v>0</x:v>
      </x:c>
      <x:c r="GY498">
        <x:f t="shared" si="598"/>
        <x:v>0</x:v>
      </x:c>
      <x:c r="GZ498">
        <x:f t="shared" si="599"/>
        <x:v>0</x:v>
      </x:c>
      <x:c r="HA498">
        <x:f t="shared" si="600"/>
        <x:v>0</x:v>
      </x:c>
      <x:c r="HB498" s="42">
        <x:f t="shared" si="601"/>
        <x:v>0</x:v>
      </x:c>
      <x:c r="HC498">
        <x:f t="shared" si="602"/>
        <x:v>0</x:v>
      </x:c>
      <x:c r="HD498">
        <x:f t="shared" si="603"/>
        <x:v>0</x:v>
      </x:c>
      <x:c r="HE498">
        <x:f t="shared" si="604"/>
        <x:v>0</x:v>
      </x:c>
      <x:c r="HF498">
        <x:f t="shared" si="605"/>
        <x:v>0</x:v>
      </x:c>
      <x:c r="HG498">
        <x:f t="shared" si="606"/>
        <x:v>0</x:v>
      </x:c>
      <x:c r="HH498">
        <x:f t="shared" si="607"/>
        <x:v>0</x:v>
      </x:c>
      <x:c r="HI498">
        <x:f t="shared" si="608"/>
        <x:v>0</x:v>
      </x:c>
      <x:c r="HJ498">
        <x:f t="shared" si="609"/>
        <x:v>0</x:v>
      </x:c>
      <x:c r="HK498">
        <x:f t="shared" si="610"/>
        <x:v>0</x:v>
      </x:c>
      <x:c r="HL498">
        <x:f t="shared" si="611"/>
        <x:v>0</x:v>
      </x:c>
    </x:row>
    <x:row r="499">
      <x:c r="D499" s="74"/>
      <x:c r="EQ499">
        <x:f t="shared" si="538"/>
        <x:v>0</x:v>
      </x:c>
      <x:c r="ER499">
        <x:f t="shared" si="539"/>
        <x:v>0</x:v>
      </x:c>
      <x:c r="ES499">
        <x:f t="shared" si="540"/>
        <x:v>0</x:v>
      </x:c>
      <x:c r="ET499">
        <x:f t="shared" si="541"/>
        <x:v>0</x:v>
      </x:c>
      <x:c r="EU499">
        <x:f t="shared" si="542"/>
        <x:v>0</x:v>
      </x:c>
      <x:c r="EV499">
        <x:f t="shared" si="543"/>
        <x:v>0</x:v>
      </x:c>
      <x:c r="EW499">
        <x:f t="shared" si="544"/>
        <x:v>0</x:v>
      </x:c>
      <x:c r="EX499">
        <x:f t="shared" si="545"/>
        <x:v>0</x:v>
      </x:c>
      <x:c r="EY499">
        <x:f t="shared" si="546"/>
        <x:v>0</x:v>
      </x:c>
      <x:c r="EZ499">
        <x:f t="shared" si="547"/>
        <x:v>0</x:v>
      </x:c>
      <x:c r="FA499" s="41">
        <x:f t="shared" si="548"/>
        <x:v>0</x:v>
      </x:c>
      <x:c r="FB499">
        <x:f t="shared" si="549"/>
        <x:v>0</x:v>
      </x:c>
      <x:c r="FC499">
        <x:f t="shared" si="550"/>
        <x:v>0</x:v>
      </x:c>
      <x:c r="FD499">
        <x:f t="shared" si="551"/>
        <x:v>0</x:v>
      </x:c>
      <x:c r="FE499">
        <x:f t="shared" si="552"/>
        <x:v>0</x:v>
      </x:c>
      <x:c r="FF499">
        <x:f t="shared" si="553"/>
        <x:v>0</x:v>
      </x:c>
      <x:c r="FG499">
        <x:f t="shared" si="554"/>
        <x:v>0</x:v>
      </x:c>
      <x:c r="FH499">
        <x:f t="shared" si="555"/>
        <x:v>0</x:v>
      </x:c>
      <x:c r="FI499">
        <x:f t="shared" si="556"/>
        <x:v>0</x:v>
      </x:c>
      <x:c r="FJ499">
        <x:f t="shared" si="557"/>
        <x:v>0</x:v>
      </x:c>
      <x:c r="FK499">
        <x:f t="shared" si="558"/>
        <x:v>0</x:v>
      </x:c>
      <x:c r="FL499" s="41">
        <x:f t="shared" si="559"/>
        <x:v>0</x:v>
      </x:c>
      <x:c r="FM499">
        <x:f t="shared" si="560"/>
        <x:v>0</x:v>
      </x:c>
      <x:c r="FN499">
        <x:f t="shared" si="561"/>
        <x:v>0</x:v>
      </x:c>
      <x:c r="FO499">
        <x:f t="shared" si="562"/>
        <x:v>0</x:v>
      </x:c>
      <x:c r="FP499">
        <x:f t="shared" si="563"/>
        <x:v>0</x:v>
      </x:c>
      <x:c r="FQ499">
        <x:f t="shared" si="564"/>
        <x:v>0</x:v>
      </x:c>
      <x:c r="FR499">
        <x:f t="shared" si="565"/>
        <x:v>0</x:v>
      </x:c>
      <x:c r="FS499">
        <x:f t="shared" si="566"/>
        <x:v>0</x:v>
      </x:c>
      <x:c r="FT499">
        <x:f t="shared" si="567"/>
        <x:v>0</x:v>
      </x:c>
      <x:c r="FU499">
        <x:f t="shared" si="568"/>
        <x:v>0</x:v>
      </x:c>
      <x:c r="FV499">
        <x:f t="shared" si="569"/>
        <x:v>0</x:v>
      </x:c>
      <x:c r="FW499" s="41">
        <x:f t="shared" si="570"/>
        <x:v>0</x:v>
      </x:c>
      <x:c r="FX499">
        <x:f t="shared" si="571"/>
        <x:v>0</x:v>
      </x:c>
      <x:c r="FY499">
        <x:f t="shared" si="572"/>
        <x:v>0</x:v>
      </x:c>
      <x:c r="FZ499">
        <x:f t="shared" si="573"/>
        <x:v>0</x:v>
      </x:c>
      <x:c r="GA499">
        <x:f t="shared" si="574"/>
        <x:v>0</x:v>
      </x:c>
      <x:c r="GB499">
        <x:f t="shared" si="575"/>
        <x:v>0</x:v>
      </x:c>
      <x:c r="GC499">
        <x:f t="shared" si="576"/>
        <x:v>0</x:v>
      </x:c>
      <x:c r="GD499">
        <x:f t="shared" si="577"/>
        <x:v>0</x:v>
      </x:c>
      <x:c r="GE499">
        <x:f t="shared" si="578"/>
        <x:v>0</x:v>
      </x:c>
      <x:c r="GF499">
        <x:f t="shared" si="579"/>
        <x:v>0</x:v>
      </x:c>
      <x:c r="GG499">
        <x:f t="shared" si="580"/>
        <x:v>0</x:v>
      </x:c>
      <x:c r="GH499">
        <x:f t="shared" si="581"/>
        <x:v>0</x:v>
      </x:c>
      <x:c r="GI499">
        <x:f t="shared" si="582"/>
        <x:v>0</x:v>
      </x:c>
      <x:c r="GJ499">
        <x:f t="shared" si="583"/>
        <x:v>0</x:v>
      </x:c>
      <x:c r="GK499">
        <x:f t="shared" si="584"/>
        <x:v>0</x:v>
      </x:c>
      <x:c r="GL499">
        <x:f t="shared" si="585"/>
        <x:v>0</x:v>
      </x:c>
      <x:c r="GM499">
        <x:f t="shared" si="586"/>
        <x:v>0</x:v>
      </x:c>
      <x:c r="GN499">
        <x:f t="shared" si="587"/>
        <x:v>0</x:v>
      </x:c>
      <x:c r="GO499">
        <x:f t="shared" si="588"/>
        <x:v>0</x:v>
      </x:c>
      <x:c r="GP499">
        <x:f t="shared" si="589"/>
        <x:v>0</x:v>
      </x:c>
      <x:c r="GQ499">
        <x:f t="shared" si="590"/>
        <x:v>0</x:v>
      </x:c>
      <x:c r="GR499" s="42">
        <x:f t="shared" si="591"/>
        <x:v>0</x:v>
      </x:c>
      <x:c r="GS499">
        <x:f t="shared" si="592"/>
        <x:v>0</x:v>
      </x:c>
      <x:c r="GT499">
        <x:f t="shared" si="593"/>
        <x:v>0</x:v>
      </x:c>
      <x:c r="GU499">
        <x:f t="shared" si="594"/>
        <x:v>0</x:v>
      </x:c>
      <x:c r="GV499">
        <x:f t="shared" si="595"/>
        <x:v>0</x:v>
      </x:c>
      <x:c r="GW499">
        <x:f t="shared" si="596"/>
        <x:v>0</x:v>
      </x:c>
      <x:c r="GX499">
        <x:f t="shared" si="597"/>
        <x:v>0</x:v>
      </x:c>
      <x:c r="GY499">
        <x:f t="shared" si="598"/>
        <x:v>0</x:v>
      </x:c>
      <x:c r="GZ499">
        <x:f t="shared" si="599"/>
        <x:v>0</x:v>
      </x:c>
      <x:c r="HA499">
        <x:f t="shared" si="600"/>
        <x:v>0</x:v>
      </x:c>
      <x:c r="HB499" s="42">
        <x:f t="shared" si="601"/>
        <x:v>0</x:v>
      </x:c>
      <x:c r="HC499">
        <x:f t="shared" si="602"/>
        <x:v>0</x:v>
      </x:c>
      <x:c r="HD499">
        <x:f t="shared" si="603"/>
        <x:v>0</x:v>
      </x:c>
      <x:c r="HE499">
        <x:f t="shared" si="604"/>
        <x:v>0</x:v>
      </x:c>
      <x:c r="HF499">
        <x:f t="shared" si="605"/>
        <x:v>0</x:v>
      </x:c>
      <x:c r="HG499">
        <x:f t="shared" si="606"/>
        <x:v>0</x:v>
      </x:c>
      <x:c r="HH499">
        <x:f t="shared" si="607"/>
        <x:v>0</x:v>
      </x:c>
      <x:c r="HI499">
        <x:f t="shared" si="608"/>
        <x:v>0</x:v>
      </x:c>
      <x:c r="HJ499">
        <x:f t="shared" si="609"/>
        <x:v>0</x:v>
      </x:c>
      <x:c r="HK499">
        <x:f t="shared" si="610"/>
        <x:v>0</x:v>
      </x:c>
      <x:c r="HL499">
        <x:f t="shared" si="611"/>
        <x:v>0</x:v>
      </x:c>
    </x:row>
    <x:row r="500">
      <x:c r="D500" s="74"/>
      <x:c r="EQ500">
        <x:f t="shared" si="538"/>
        <x:v>0</x:v>
      </x:c>
      <x:c r="ER500">
        <x:f t="shared" si="539"/>
        <x:v>0</x:v>
      </x:c>
      <x:c r="ES500">
        <x:f t="shared" si="540"/>
        <x:v>0</x:v>
      </x:c>
      <x:c r="ET500">
        <x:f t="shared" si="541"/>
        <x:v>0</x:v>
      </x:c>
      <x:c r="EU500">
        <x:f t="shared" si="542"/>
        <x:v>0</x:v>
      </x:c>
      <x:c r="EV500">
        <x:f t="shared" si="543"/>
        <x:v>0</x:v>
      </x:c>
      <x:c r="EW500">
        <x:f t="shared" si="544"/>
        <x:v>0</x:v>
      </x:c>
      <x:c r="EX500">
        <x:f t="shared" si="545"/>
        <x:v>0</x:v>
      </x:c>
      <x:c r="EY500">
        <x:f t="shared" si="546"/>
        <x:v>0</x:v>
      </x:c>
      <x:c r="EZ500">
        <x:f t="shared" si="547"/>
        <x:v>0</x:v>
      </x:c>
      <x:c r="FA500" s="41">
        <x:f t="shared" si="548"/>
        <x:v>0</x:v>
      </x:c>
      <x:c r="FB500">
        <x:f t="shared" si="549"/>
        <x:v>0</x:v>
      </x:c>
      <x:c r="FC500">
        <x:f t="shared" si="550"/>
        <x:v>0</x:v>
      </x:c>
      <x:c r="FD500">
        <x:f t="shared" si="551"/>
        <x:v>0</x:v>
      </x:c>
      <x:c r="FE500">
        <x:f t="shared" si="552"/>
        <x:v>0</x:v>
      </x:c>
      <x:c r="FF500">
        <x:f t="shared" si="553"/>
        <x:v>0</x:v>
      </x:c>
      <x:c r="FG500">
        <x:f t="shared" si="554"/>
        <x:v>0</x:v>
      </x:c>
      <x:c r="FH500">
        <x:f t="shared" si="555"/>
        <x:v>0</x:v>
      </x:c>
      <x:c r="FI500">
        <x:f t="shared" si="556"/>
        <x:v>0</x:v>
      </x:c>
      <x:c r="FJ500">
        <x:f t="shared" si="557"/>
        <x:v>0</x:v>
      </x:c>
      <x:c r="FK500">
        <x:f t="shared" si="558"/>
        <x:v>0</x:v>
      </x:c>
      <x:c r="FL500" s="41">
        <x:f t="shared" si="559"/>
        <x:v>0</x:v>
      </x:c>
      <x:c r="FM500">
        <x:f t="shared" si="560"/>
        <x:v>0</x:v>
      </x:c>
      <x:c r="FN500">
        <x:f t="shared" si="561"/>
        <x:v>0</x:v>
      </x:c>
      <x:c r="FO500">
        <x:f t="shared" si="562"/>
        <x:v>0</x:v>
      </x:c>
      <x:c r="FP500">
        <x:f t="shared" si="563"/>
        <x:v>0</x:v>
      </x:c>
      <x:c r="FQ500">
        <x:f t="shared" si="564"/>
        <x:v>0</x:v>
      </x:c>
      <x:c r="FR500">
        <x:f t="shared" si="565"/>
        <x:v>0</x:v>
      </x:c>
      <x:c r="FS500">
        <x:f t="shared" si="566"/>
        <x:v>0</x:v>
      </x:c>
      <x:c r="FT500">
        <x:f t="shared" si="567"/>
        <x:v>0</x:v>
      </x:c>
      <x:c r="FU500">
        <x:f t="shared" si="568"/>
        <x:v>0</x:v>
      </x:c>
      <x:c r="FV500">
        <x:f t="shared" si="569"/>
        <x:v>0</x:v>
      </x:c>
      <x:c r="FW500" s="41">
        <x:f t="shared" si="570"/>
        <x:v>0</x:v>
      </x:c>
      <x:c r="FX500">
        <x:f t="shared" si="571"/>
        <x:v>0</x:v>
      </x:c>
      <x:c r="FY500">
        <x:f t="shared" si="572"/>
        <x:v>0</x:v>
      </x:c>
      <x:c r="FZ500">
        <x:f t="shared" si="573"/>
        <x:v>0</x:v>
      </x:c>
      <x:c r="GA500">
        <x:f t="shared" si="574"/>
        <x:v>0</x:v>
      </x:c>
      <x:c r="GB500">
        <x:f t="shared" si="575"/>
        <x:v>0</x:v>
      </x:c>
      <x:c r="GC500">
        <x:f t="shared" si="576"/>
        <x:v>0</x:v>
      </x:c>
      <x:c r="GD500">
        <x:f t="shared" si="577"/>
        <x:v>0</x:v>
      </x:c>
      <x:c r="GE500">
        <x:f t="shared" si="578"/>
        <x:v>0</x:v>
      </x:c>
      <x:c r="GF500">
        <x:f t="shared" si="579"/>
        <x:v>0</x:v>
      </x:c>
      <x:c r="GG500">
        <x:f t="shared" si="580"/>
        <x:v>0</x:v>
      </x:c>
      <x:c r="GH500">
        <x:f t="shared" si="581"/>
        <x:v>0</x:v>
      </x:c>
      <x:c r="GI500">
        <x:f t="shared" si="582"/>
        <x:v>0</x:v>
      </x:c>
      <x:c r="GJ500">
        <x:f t="shared" si="583"/>
        <x:v>0</x:v>
      </x:c>
      <x:c r="GK500">
        <x:f t="shared" si="584"/>
        <x:v>0</x:v>
      </x:c>
      <x:c r="GL500">
        <x:f t="shared" si="585"/>
        <x:v>0</x:v>
      </x:c>
      <x:c r="GM500">
        <x:f t="shared" si="586"/>
        <x:v>0</x:v>
      </x:c>
      <x:c r="GN500">
        <x:f t="shared" si="587"/>
        <x:v>0</x:v>
      </x:c>
      <x:c r="GO500">
        <x:f t="shared" si="588"/>
        <x:v>0</x:v>
      </x:c>
      <x:c r="GP500">
        <x:f t="shared" si="589"/>
        <x:v>0</x:v>
      </x:c>
      <x:c r="GQ500">
        <x:f t="shared" si="590"/>
        <x:v>0</x:v>
      </x:c>
      <x:c r="GR500" s="42">
        <x:f t="shared" si="591"/>
        <x:v>0</x:v>
      </x:c>
      <x:c r="GS500">
        <x:f t="shared" si="592"/>
        <x:v>0</x:v>
      </x:c>
      <x:c r="GT500">
        <x:f t="shared" si="593"/>
        <x:v>0</x:v>
      </x:c>
      <x:c r="GU500">
        <x:f t="shared" si="594"/>
        <x:v>0</x:v>
      </x:c>
      <x:c r="GV500">
        <x:f t="shared" si="595"/>
        <x:v>0</x:v>
      </x:c>
      <x:c r="GW500">
        <x:f t="shared" si="596"/>
        <x:v>0</x:v>
      </x:c>
      <x:c r="GX500">
        <x:f t="shared" si="597"/>
        <x:v>0</x:v>
      </x:c>
      <x:c r="GY500">
        <x:f t="shared" si="598"/>
        <x:v>0</x:v>
      </x:c>
      <x:c r="GZ500">
        <x:f t="shared" si="599"/>
        <x:v>0</x:v>
      </x:c>
      <x:c r="HA500">
        <x:f t="shared" si="600"/>
        <x:v>0</x:v>
      </x:c>
      <x:c r="HB500" s="42">
        <x:f t="shared" si="601"/>
        <x:v>0</x:v>
      </x:c>
      <x:c r="HC500">
        <x:f t="shared" si="602"/>
        <x:v>0</x:v>
      </x:c>
      <x:c r="HD500">
        <x:f t="shared" si="603"/>
        <x:v>0</x:v>
      </x:c>
      <x:c r="HE500">
        <x:f t="shared" si="604"/>
        <x:v>0</x:v>
      </x:c>
      <x:c r="HF500">
        <x:f t="shared" si="605"/>
        <x:v>0</x:v>
      </x:c>
      <x:c r="HG500">
        <x:f t="shared" si="606"/>
        <x:v>0</x:v>
      </x:c>
      <x:c r="HH500">
        <x:f t="shared" si="607"/>
        <x:v>0</x:v>
      </x:c>
      <x:c r="HI500">
        <x:f t="shared" si="608"/>
        <x:v>0</x:v>
      </x:c>
      <x:c r="HJ500">
        <x:f t="shared" si="609"/>
        <x:v>0</x:v>
      </x:c>
      <x:c r="HK500">
        <x:f t="shared" si="610"/>
        <x:v>0</x:v>
      </x:c>
      <x:c r="HL500">
        <x:f t="shared" si="611"/>
        <x:v>0</x:v>
      </x:c>
    </x:row>
    <x:row r="501">
      <x:c r="D501" s="74"/>
      <x:c r="EQ501">
        <x:f t="shared" si="538"/>
        <x:v>0</x:v>
      </x:c>
      <x:c r="ER501">
        <x:f t="shared" si="539"/>
        <x:v>0</x:v>
      </x:c>
      <x:c r="ES501">
        <x:f t="shared" si="540"/>
        <x:v>0</x:v>
      </x:c>
      <x:c r="ET501">
        <x:f t="shared" si="541"/>
        <x:v>0</x:v>
      </x:c>
      <x:c r="EU501">
        <x:f t="shared" si="542"/>
        <x:v>0</x:v>
      </x:c>
      <x:c r="EV501">
        <x:f t="shared" si="543"/>
        <x:v>0</x:v>
      </x:c>
      <x:c r="EW501">
        <x:f t="shared" si="544"/>
        <x:v>0</x:v>
      </x:c>
      <x:c r="EX501">
        <x:f t="shared" si="545"/>
        <x:v>0</x:v>
      </x:c>
      <x:c r="EY501">
        <x:f t="shared" si="546"/>
        <x:v>0</x:v>
      </x:c>
      <x:c r="EZ501">
        <x:f t="shared" si="547"/>
        <x:v>0</x:v>
      </x:c>
      <x:c r="FA501" s="41">
        <x:f t="shared" si="548"/>
        <x:v>0</x:v>
      </x:c>
      <x:c r="FB501">
        <x:f t="shared" si="549"/>
        <x:v>0</x:v>
      </x:c>
      <x:c r="FC501">
        <x:f t="shared" si="550"/>
        <x:v>0</x:v>
      </x:c>
      <x:c r="FD501">
        <x:f t="shared" si="551"/>
        <x:v>0</x:v>
      </x:c>
      <x:c r="FE501">
        <x:f t="shared" si="552"/>
        <x:v>0</x:v>
      </x:c>
      <x:c r="FF501">
        <x:f t="shared" si="553"/>
        <x:v>0</x:v>
      </x:c>
      <x:c r="FG501">
        <x:f t="shared" si="554"/>
        <x:v>0</x:v>
      </x:c>
      <x:c r="FH501">
        <x:f t="shared" si="555"/>
        <x:v>0</x:v>
      </x:c>
      <x:c r="FI501">
        <x:f t="shared" si="556"/>
        <x:v>0</x:v>
      </x:c>
      <x:c r="FJ501">
        <x:f t="shared" si="557"/>
        <x:v>0</x:v>
      </x:c>
      <x:c r="FK501">
        <x:f t="shared" si="558"/>
        <x:v>0</x:v>
      </x:c>
      <x:c r="FL501" s="41">
        <x:f t="shared" si="559"/>
        <x:v>0</x:v>
      </x:c>
      <x:c r="FM501">
        <x:f t="shared" si="560"/>
        <x:v>0</x:v>
      </x:c>
      <x:c r="FN501">
        <x:f t="shared" si="561"/>
        <x:v>0</x:v>
      </x:c>
      <x:c r="FO501">
        <x:f t="shared" si="562"/>
        <x:v>0</x:v>
      </x:c>
      <x:c r="FP501">
        <x:f t="shared" si="563"/>
        <x:v>0</x:v>
      </x:c>
      <x:c r="FQ501">
        <x:f t="shared" si="564"/>
        <x:v>0</x:v>
      </x:c>
      <x:c r="FR501">
        <x:f t="shared" si="565"/>
        <x:v>0</x:v>
      </x:c>
      <x:c r="FS501">
        <x:f t="shared" si="566"/>
        <x:v>0</x:v>
      </x:c>
      <x:c r="FT501">
        <x:f t="shared" si="567"/>
        <x:v>0</x:v>
      </x:c>
      <x:c r="FU501">
        <x:f t="shared" si="568"/>
        <x:v>0</x:v>
      </x:c>
      <x:c r="FV501">
        <x:f t="shared" si="569"/>
        <x:v>0</x:v>
      </x:c>
      <x:c r="FW501" s="41">
        <x:f t="shared" si="570"/>
        <x:v>0</x:v>
      </x:c>
      <x:c r="FX501">
        <x:f t="shared" si="571"/>
        <x:v>0</x:v>
      </x:c>
      <x:c r="FY501">
        <x:f t="shared" si="572"/>
        <x:v>0</x:v>
      </x:c>
      <x:c r="FZ501">
        <x:f t="shared" si="573"/>
        <x:v>0</x:v>
      </x:c>
      <x:c r="GA501">
        <x:f t="shared" si="574"/>
        <x:v>0</x:v>
      </x:c>
      <x:c r="GB501">
        <x:f t="shared" si="575"/>
        <x:v>0</x:v>
      </x:c>
      <x:c r="GC501">
        <x:f t="shared" si="576"/>
        <x:v>0</x:v>
      </x:c>
      <x:c r="GD501">
        <x:f t="shared" si="577"/>
        <x:v>0</x:v>
      </x:c>
      <x:c r="GE501">
        <x:f t="shared" si="578"/>
        <x:v>0</x:v>
      </x:c>
      <x:c r="GF501">
        <x:f t="shared" si="579"/>
        <x:v>0</x:v>
      </x:c>
      <x:c r="GG501">
        <x:f t="shared" si="580"/>
        <x:v>0</x:v>
      </x:c>
      <x:c r="GH501">
        <x:f t="shared" si="581"/>
        <x:v>0</x:v>
      </x:c>
      <x:c r="GI501">
        <x:f t="shared" si="582"/>
        <x:v>0</x:v>
      </x:c>
      <x:c r="GJ501">
        <x:f t="shared" si="583"/>
        <x:v>0</x:v>
      </x:c>
      <x:c r="GK501">
        <x:f t="shared" si="584"/>
        <x:v>0</x:v>
      </x:c>
      <x:c r="GL501">
        <x:f t="shared" si="585"/>
        <x:v>0</x:v>
      </x:c>
      <x:c r="GM501">
        <x:f t="shared" si="586"/>
        <x:v>0</x:v>
      </x:c>
      <x:c r="GN501">
        <x:f t="shared" si="587"/>
        <x:v>0</x:v>
      </x:c>
      <x:c r="GO501">
        <x:f t="shared" si="588"/>
        <x:v>0</x:v>
      </x:c>
      <x:c r="GP501">
        <x:f t="shared" si="589"/>
        <x:v>0</x:v>
      </x:c>
      <x:c r="GQ501">
        <x:f t="shared" si="590"/>
        <x:v>0</x:v>
      </x:c>
      <x:c r="GR501" s="42">
        <x:f t="shared" si="591"/>
        <x:v>0</x:v>
      </x:c>
      <x:c r="GS501">
        <x:f t="shared" si="592"/>
        <x:v>0</x:v>
      </x:c>
      <x:c r="GT501">
        <x:f t="shared" si="593"/>
        <x:v>0</x:v>
      </x:c>
      <x:c r="GU501">
        <x:f t="shared" si="594"/>
        <x:v>0</x:v>
      </x:c>
      <x:c r="GV501">
        <x:f t="shared" si="595"/>
        <x:v>0</x:v>
      </x:c>
      <x:c r="GW501">
        <x:f t="shared" si="596"/>
        <x:v>0</x:v>
      </x:c>
      <x:c r="GX501">
        <x:f t="shared" si="597"/>
        <x:v>0</x:v>
      </x:c>
      <x:c r="GY501">
        <x:f t="shared" si="598"/>
        <x:v>0</x:v>
      </x:c>
      <x:c r="GZ501">
        <x:f t="shared" si="599"/>
        <x:v>0</x:v>
      </x:c>
      <x:c r="HA501">
        <x:f t="shared" si="600"/>
        <x:v>0</x:v>
      </x:c>
      <x:c r="HB501" s="42">
        <x:f t="shared" si="601"/>
        <x:v>0</x:v>
      </x:c>
      <x:c r="HC501">
        <x:f t="shared" si="602"/>
        <x:v>0</x:v>
      </x:c>
      <x:c r="HD501">
        <x:f t="shared" si="603"/>
        <x:v>0</x:v>
      </x:c>
      <x:c r="HE501">
        <x:f t="shared" si="604"/>
        <x:v>0</x:v>
      </x:c>
      <x:c r="HF501">
        <x:f t="shared" si="605"/>
        <x:v>0</x:v>
      </x:c>
      <x:c r="HG501">
        <x:f t="shared" si="606"/>
        <x:v>0</x:v>
      </x:c>
      <x:c r="HH501">
        <x:f t="shared" si="607"/>
        <x:v>0</x:v>
      </x:c>
      <x:c r="HI501">
        <x:f t="shared" si="608"/>
        <x:v>0</x:v>
      </x:c>
      <x:c r="HJ501">
        <x:f t="shared" si="609"/>
        <x:v>0</x:v>
      </x:c>
      <x:c r="HK501">
        <x:f t="shared" si="610"/>
        <x:v>0</x:v>
      </x:c>
      <x:c r="HL501">
        <x:f t="shared" si="611"/>
        <x:v>0</x:v>
      </x:c>
    </x:row>
    <x:row r="502">
      <x:c r="D502" s="74"/>
      <x:c r="EQ502">
        <x:f t="shared" si="538"/>
        <x:v>0</x:v>
      </x:c>
      <x:c r="ER502">
        <x:f t="shared" si="539"/>
        <x:v>0</x:v>
      </x:c>
      <x:c r="ES502">
        <x:f t="shared" si="540"/>
        <x:v>0</x:v>
      </x:c>
      <x:c r="ET502">
        <x:f t="shared" si="541"/>
        <x:v>0</x:v>
      </x:c>
      <x:c r="EU502">
        <x:f t="shared" si="542"/>
        <x:v>0</x:v>
      </x:c>
      <x:c r="EV502">
        <x:f t="shared" si="543"/>
        <x:v>0</x:v>
      </x:c>
      <x:c r="EW502">
        <x:f t="shared" si="544"/>
        <x:v>0</x:v>
      </x:c>
      <x:c r="EX502">
        <x:f t="shared" si="545"/>
        <x:v>0</x:v>
      </x:c>
      <x:c r="EY502">
        <x:f t="shared" si="546"/>
        <x:v>0</x:v>
      </x:c>
      <x:c r="EZ502">
        <x:f t="shared" si="547"/>
        <x:v>0</x:v>
      </x:c>
      <x:c r="FA502" s="41">
        <x:f t="shared" si="548"/>
        <x:v>0</x:v>
      </x:c>
      <x:c r="FB502">
        <x:f t="shared" si="549"/>
        <x:v>0</x:v>
      </x:c>
      <x:c r="FC502">
        <x:f t="shared" si="550"/>
        <x:v>0</x:v>
      </x:c>
      <x:c r="FD502">
        <x:f t="shared" si="551"/>
        <x:v>0</x:v>
      </x:c>
      <x:c r="FE502">
        <x:f t="shared" si="552"/>
        <x:v>0</x:v>
      </x:c>
      <x:c r="FF502">
        <x:f t="shared" si="553"/>
        <x:v>0</x:v>
      </x:c>
      <x:c r="FG502">
        <x:f t="shared" si="554"/>
        <x:v>0</x:v>
      </x:c>
      <x:c r="FH502">
        <x:f t="shared" si="555"/>
        <x:v>0</x:v>
      </x:c>
      <x:c r="FI502">
        <x:f t="shared" si="556"/>
        <x:v>0</x:v>
      </x:c>
      <x:c r="FJ502">
        <x:f t="shared" si="557"/>
        <x:v>0</x:v>
      </x:c>
      <x:c r="FK502">
        <x:f t="shared" si="558"/>
        <x:v>0</x:v>
      </x:c>
      <x:c r="FL502" s="41">
        <x:f t="shared" si="559"/>
        <x:v>0</x:v>
      </x:c>
      <x:c r="FM502">
        <x:f t="shared" si="560"/>
        <x:v>0</x:v>
      </x:c>
      <x:c r="FN502">
        <x:f t="shared" si="561"/>
        <x:v>0</x:v>
      </x:c>
      <x:c r="FO502">
        <x:f t="shared" si="562"/>
        <x:v>0</x:v>
      </x:c>
      <x:c r="FP502">
        <x:f t="shared" si="563"/>
        <x:v>0</x:v>
      </x:c>
      <x:c r="FQ502">
        <x:f t="shared" si="564"/>
        <x:v>0</x:v>
      </x:c>
      <x:c r="FR502">
        <x:f t="shared" si="565"/>
        <x:v>0</x:v>
      </x:c>
      <x:c r="FS502">
        <x:f t="shared" si="566"/>
        <x:v>0</x:v>
      </x:c>
      <x:c r="FT502">
        <x:f t="shared" si="567"/>
        <x:v>0</x:v>
      </x:c>
      <x:c r="FU502">
        <x:f t="shared" si="568"/>
        <x:v>0</x:v>
      </x:c>
      <x:c r="FV502">
        <x:f t="shared" si="569"/>
        <x:v>0</x:v>
      </x:c>
      <x:c r="FW502" s="41">
        <x:f t="shared" si="570"/>
        <x:v>0</x:v>
      </x:c>
      <x:c r="FX502">
        <x:f t="shared" si="571"/>
        <x:v>0</x:v>
      </x:c>
      <x:c r="FY502">
        <x:f t="shared" si="572"/>
        <x:v>0</x:v>
      </x:c>
      <x:c r="FZ502">
        <x:f t="shared" si="573"/>
        <x:v>0</x:v>
      </x:c>
      <x:c r="GA502">
        <x:f t="shared" si="574"/>
        <x:v>0</x:v>
      </x:c>
      <x:c r="GB502">
        <x:f t="shared" si="575"/>
        <x:v>0</x:v>
      </x:c>
      <x:c r="GC502">
        <x:f t="shared" si="576"/>
        <x:v>0</x:v>
      </x:c>
      <x:c r="GD502">
        <x:f t="shared" si="577"/>
        <x:v>0</x:v>
      </x:c>
      <x:c r="GE502">
        <x:f t="shared" si="578"/>
        <x:v>0</x:v>
      </x:c>
      <x:c r="GF502">
        <x:f t="shared" si="579"/>
        <x:v>0</x:v>
      </x:c>
      <x:c r="GG502">
        <x:f t="shared" si="580"/>
        <x:v>0</x:v>
      </x:c>
      <x:c r="GH502">
        <x:f t="shared" si="581"/>
        <x:v>0</x:v>
      </x:c>
      <x:c r="GI502">
        <x:f t="shared" si="582"/>
        <x:v>0</x:v>
      </x:c>
      <x:c r="GJ502">
        <x:f t="shared" si="583"/>
        <x:v>0</x:v>
      </x:c>
      <x:c r="GK502">
        <x:f t="shared" si="584"/>
        <x:v>0</x:v>
      </x:c>
      <x:c r="GL502">
        <x:f t="shared" si="585"/>
        <x:v>0</x:v>
      </x:c>
      <x:c r="GM502">
        <x:f t="shared" si="586"/>
        <x:v>0</x:v>
      </x:c>
      <x:c r="GN502">
        <x:f t="shared" si="587"/>
        <x:v>0</x:v>
      </x:c>
      <x:c r="GO502">
        <x:f t="shared" si="588"/>
        <x:v>0</x:v>
      </x:c>
      <x:c r="GP502">
        <x:f t="shared" si="589"/>
        <x:v>0</x:v>
      </x:c>
      <x:c r="GQ502">
        <x:f t="shared" si="590"/>
        <x:v>0</x:v>
      </x:c>
      <x:c r="GR502" s="42">
        <x:f t="shared" si="591"/>
        <x:v>0</x:v>
      </x:c>
      <x:c r="GS502">
        <x:f t="shared" si="592"/>
        <x:v>0</x:v>
      </x:c>
      <x:c r="GT502">
        <x:f t="shared" si="593"/>
        <x:v>0</x:v>
      </x:c>
      <x:c r="GU502">
        <x:f t="shared" si="594"/>
        <x:v>0</x:v>
      </x:c>
      <x:c r="GV502">
        <x:f t="shared" si="595"/>
        <x:v>0</x:v>
      </x:c>
      <x:c r="GW502">
        <x:f t="shared" si="596"/>
        <x:v>0</x:v>
      </x:c>
      <x:c r="GX502">
        <x:f t="shared" si="597"/>
        <x:v>0</x:v>
      </x:c>
      <x:c r="GY502">
        <x:f t="shared" si="598"/>
        <x:v>0</x:v>
      </x:c>
      <x:c r="GZ502">
        <x:f t="shared" si="599"/>
        <x:v>0</x:v>
      </x:c>
      <x:c r="HA502">
        <x:f t="shared" si="600"/>
        <x:v>0</x:v>
      </x:c>
      <x:c r="HB502" s="42">
        <x:f t="shared" si="601"/>
        <x:v>0</x:v>
      </x:c>
      <x:c r="HC502">
        <x:f t="shared" si="602"/>
        <x:v>0</x:v>
      </x:c>
      <x:c r="HD502">
        <x:f t="shared" si="603"/>
        <x:v>0</x:v>
      </x:c>
      <x:c r="HE502">
        <x:f t="shared" si="604"/>
        <x:v>0</x:v>
      </x:c>
      <x:c r="HF502">
        <x:f t="shared" si="605"/>
        <x:v>0</x:v>
      </x:c>
      <x:c r="HG502">
        <x:f t="shared" si="606"/>
        <x:v>0</x:v>
      </x:c>
      <x:c r="HH502">
        <x:f t="shared" si="607"/>
        <x:v>0</x:v>
      </x:c>
      <x:c r="HI502">
        <x:f t="shared" si="608"/>
        <x:v>0</x:v>
      </x:c>
      <x:c r="HJ502">
        <x:f t="shared" si="609"/>
        <x:v>0</x:v>
      </x:c>
      <x:c r="HK502">
        <x:f t="shared" si="610"/>
        <x:v>0</x:v>
      </x:c>
      <x:c r="HL502">
        <x:f t="shared" si="611"/>
        <x:v>0</x:v>
      </x:c>
    </x:row>
    <x:row r="503">
      <x:c r="D503" s="74"/>
      <x:c r="EQ503">
        <x:f t="shared" si="538"/>
        <x:v>0</x:v>
      </x:c>
      <x:c r="ER503">
        <x:f t="shared" si="539"/>
        <x:v>0</x:v>
      </x:c>
      <x:c r="ES503">
        <x:f t="shared" si="540"/>
        <x:v>0</x:v>
      </x:c>
      <x:c r="ET503">
        <x:f t="shared" si="541"/>
        <x:v>0</x:v>
      </x:c>
      <x:c r="EU503">
        <x:f t="shared" si="542"/>
        <x:v>0</x:v>
      </x:c>
      <x:c r="EV503">
        <x:f t="shared" si="543"/>
        <x:v>0</x:v>
      </x:c>
      <x:c r="EW503">
        <x:f t="shared" si="544"/>
        <x:v>0</x:v>
      </x:c>
      <x:c r="EX503">
        <x:f t="shared" si="545"/>
        <x:v>0</x:v>
      </x:c>
      <x:c r="EY503">
        <x:f t="shared" si="546"/>
        <x:v>0</x:v>
      </x:c>
      <x:c r="EZ503">
        <x:f t="shared" si="547"/>
        <x:v>0</x:v>
      </x:c>
      <x:c r="FA503" s="41">
        <x:f t="shared" si="548"/>
        <x:v>0</x:v>
      </x:c>
      <x:c r="FB503">
        <x:f t="shared" si="549"/>
        <x:v>0</x:v>
      </x:c>
      <x:c r="FC503">
        <x:f t="shared" si="550"/>
        <x:v>0</x:v>
      </x:c>
      <x:c r="FD503">
        <x:f t="shared" si="551"/>
        <x:v>0</x:v>
      </x:c>
      <x:c r="FE503">
        <x:f t="shared" si="552"/>
        <x:v>0</x:v>
      </x:c>
      <x:c r="FF503">
        <x:f t="shared" si="553"/>
        <x:v>0</x:v>
      </x:c>
      <x:c r="FG503">
        <x:f t="shared" si="554"/>
        <x:v>0</x:v>
      </x:c>
      <x:c r="FH503">
        <x:f t="shared" si="555"/>
        <x:v>0</x:v>
      </x:c>
      <x:c r="FI503">
        <x:f t="shared" si="556"/>
        <x:v>0</x:v>
      </x:c>
      <x:c r="FJ503">
        <x:f t="shared" si="557"/>
        <x:v>0</x:v>
      </x:c>
      <x:c r="FK503">
        <x:f t="shared" si="558"/>
        <x:v>0</x:v>
      </x:c>
      <x:c r="FL503" s="41">
        <x:f t="shared" si="559"/>
        <x:v>0</x:v>
      </x:c>
      <x:c r="FM503">
        <x:f t="shared" si="560"/>
        <x:v>0</x:v>
      </x:c>
      <x:c r="FN503">
        <x:f t="shared" si="561"/>
        <x:v>0</x:v>
      </x:c>
      <x:c r="FO503">
        <x:f t="shared" si="562"/>
        <x:v>0</x:v>
      </x:c>
      <x:c r="FP503">
        <x:f t="shared" si="563"/>
        <x:v>0</x:v>
      </x:c>
      <x:c r="FQ503">
        <x:f t="shared" si="564"/>
        <x:v>0</x:v>
      </x:c>
      <x:c r="FR503">
        <x:f t="shared" si="565"/>
        <x:v>0</x:v>
      </x:c>
      <x:c r="FS503">
        <x:f t="shared" si="566"/>
        <x:v>0</x:v>
      </x:c>
      <x:c r="FT503">
        <x:f t="shared" si="567"/>
        <x:v>0</x:v>
      </x:c>
      <x:c r="FU503">
        <x:f t="shared" si="568"/>
        <x:v>0</x:v>
      </x:c>
      <x:c r="FV503">
        <x:f t="shared" si="569"/>
        <x:v>0</x:v>
      </x:c>
      <x:c r="FW503" s="41">
        <x:f t="shared" si="570"/>
        <x:v>0</x:v>
      </x:c>
      <x:c r="FX503">
        <x:f t="shared" si="571"/>
        <x:v>0</x:v>
      </x:c>
      <x:c r="FY503">
        <x:f t="shared" si="572"/>
        <x:v>0</x:v>
      </x:c>
      <x:c r="FZ503">
        <x:f t="shared" si="573"/>
        <x:v>0</x:v>
      </x:c>
      <x:c r="GA503">
        <x:f t="shared" si="574"/>
        <x:v>0</x:v>
      </x:c>
      <x:c r="GB503">
        <x:f t="shared" si="575"/>
        <x:v>0</x:v>
      </x:c>
      <x:c r="GC503">
        <x:f t="shared" si="576"/>
        <x:v>0</x:v>
      </x:c>
      <x:c r="GD503">
        <x:f t="shared" si="577"/>
        <x:v>0</x:v>
      </x:c>
      <x:c r="GE503">
        <x:f t="shared" si="578"/>
        <x:v>0</x:v>
      </x:c>
      <x:c r="GF503">
        <x:f t="shared" si="579"/>
        <x:v>0</x:v>
      </x:c>
      <x:c r="GG503">
        <x:f t="shared" si="580"/>
        <x:v>0</x:v>
      </x:c>
      <x:c r="GH503">
        <x:f t="shared" si="581"/>
        <x:v>0</x:v>
      </x:c>
      <x:c r="GI503">
        <x:f t="shared" si="582"/>
        <x:v>0</x:v>
      </x:c>
      <x:c r="GJ503">
        <x:f t="shared" si="583"/>
        <x:v>0</x:v>
      </x:c>
      <x:c r="GK503">
        <x:f t="shared" si="584"/>
        <x:v>0</x:v>
      </x:c>
      <x:c r="GL503">
        <x:f t="shared" si="585"/>
        <x:v>0</x:v>
      </x:c>
      <x:c r="GM503">
        <x:f t="shared" si="586"/>
        <x:v>0</x:v>
      </x:c>
      <x:c r="GN503">
        <x:f t="shared" si="587"/>
        <x:v>0</x:v>
      </x:c>
      <x:c r="GO503">
        <x:f t="shared" si="588"/>
        <x:v>0</x:v>
      </x:c>
      <x:c r="GP503">
        <x:f t="shared" si="589"/>
        <x:v>0</x:v>
      </x:c>
      <x:c r="GQ503">
        <x:f t="shared" si="590"/>
        <x:v>0</x:v>
      </x:c>
      <x:c r="GR503" s="42">
        <x:f t="shared" si="591"/>
        <x:v>0</x:v>
      </x:c>
      <x:c r="GS503">
        <x:f t="shared" si="592"/>
        <x:v>0</x:v>
      </x:c>
      <x:c r="GT503">
        <x:f t="shared" si="593"/>
        <x:v>0</x:v>
      </x:c>
      <x:c r="GU503">
        <x:f t="shared" si="594"/>
        <x:v>0</x:v>
      </x:c>
      <x:c r="GV503">
        <x:f t="shared" si="595"/>
        <x:v>0</x:v>
      </x:c>
      <x:c r="GW503">
        <x:f t="shared" si="596"/>
        <x:v>0</x:v>
      </x:c>
      <x:c r="GX503">
        <x:f t="shared" si="597"/>
        <x:v>0</x:v>
      </x:c>
      <x:c r="GY503">
        <x:f t="shared" si="598"/>
        <x:v>0</x:v>
      </x:c>
      <x:c r="GZ503">
        <x:f t="shared" si="599"/>
        <x:v>0</x:v>
      </x:c>
      <x:c r="HA503">
        <x:f t="shared" si="600"/>
        <x:v>0</x:v>
      </x:c>
      <x:c r="HB503" s="42">
        <x:f t="shared" si="601"/>
        <x:v>0</x:v>
      </x:c>
      <x:c r="HC503">
        <x:f t="shared" si="602"/>
        <x:v>0</x:v>
      </x:c>
      <x:c r="HD503">
        <x:f t="shared" si="603"/>
        <x:v>0</x:v>
      </x:c>
      <x:c r="HE503">
        <x:f t="shared" si="604"/>
        <x:v>0</x:v>
      </x:c>
      <x:c r="HF503">
        <x:f t="shared" si="605"/>
        <x:v>0</x:v>
      </x:c>
      <x:c r="HG503">
        <x:f t="shared" si="606"/>
        <x:v>0</x:v>
      </x:c>
      <x:c r="HH503">
        <x:f t="shared" si="607"/>
        <x:v>0</x:v>
      </x:c>
      <x:c r="HI503">
        <x:f t="shared" si="608"/>
        <x:v>0</x:v>
      </x:c>
      <x:c r="HJ503">
        <x:f t="shared" si="609"/>
        <x:v>0</x:v>
      </x:c>
      <x:c r="HK503">
        <x:f t="shared" si="610"/>
        <x:v>0</x:v>
      </x:c>
      <x:c r="HL503">
        <x:f t="shared" si="611"/>
        <x:v>0</x:v>
      </x:c>
    </x:row>
    <x:row r="504">
      <x:c r="D504" s="74"/>
      <x:c r="EQ504">
        <x:f t="shared" si="538"/>
        <x:v>0</x:v>
      </x:c>
      <x:c r="ER504">
        <x:f t="shared" si="539"/>
        <x:v>0</x:v>
      </x:c>
      <x:c r="ES504">
        <x:f t="shared" si="540"/>
        <x:v>0</x:v>
      </x:c>
      <x:c r="ET504">
        <x:f t="shared" si="541"/>
        <x:v>0</x:v>
      </x:c>
      <x:c r="EU504">
        <x:f t="shared" si="542"/>
        <x:v>0</x:v>
      </x:c>
      <x:c r="EV504">
        <x:f t="shared" si="543"/>
        <x:v>0</x:v>
      </x:c>
      <x:c r="EW504">
        <x:f t="shared" si="544"/>
        <x:v>0</x:v>
      </x:c>
      <x:c r="EX504">
        <x:f t="shared" si="545"/>
        <x:v>0</x:v>
      </x:c>
      <x:c r="EY504">
        <x:f t="shared" si="546"/>
        <x:v>0</x:v>
      </x:c>
      <x:c r="EZ504">
        <x:f t="shared" si="547"/>
        <x:v>0</x:v>
      </x:c>
      <x:c r="FA504" s="41">
        <x:f t="shared" si="548"/>
        <x:v>0</x:v>
      </x:c>
      <x:c r="FB504">
        <x:f t="shared" si="549"/>
        <x:v>0</x:v>
      </x:c>
      <x:c r="FC504">
        <x:f t="shared" si="550"/>
        <x:v>0</x:v>
      </x:c>
      <x:c r="FD504">
        <x:f t="shared" si="551"/>
        <x:v>0</x:v>
      </x:c>
      <x:c r="FE504">
        <x:f t="shared" si="552"/>
        <x:v>0</x:v>
      </x:c>
      <x:c r="FF504">
        <x:f t="shared" si="553"/>
        <x:v>0</x:v>
      </x:c>
      <x:c r="FG504">
        <x:f t="shared" si="554"/>
        <x:v>0</x:v>
      </x:c>
      <x:c r="FH504">
        <x:f t="shared" si="555"/>
        <x:v>0</x:v>
      </x:c>
      <x:c r="FI504">
        <x:f t="shared" si="556"/>
        <x:v>0</x:v>
      </x:c>
      <x:c r="FJ504">
        <x:f t="shared" si="557"/>
        <x:v>0</x:v>
      </x:c>
      <x:c r="FK504">
        <x:f t="shared" si="558"/>
        <x:v>0</x:v>
      </x:c>
      <x:c r="FL504" s="41">
        <x:f t="shared" si="559"/>
        <x:v>0</x:v>
      </x:c>
      <x:c r="FM504">
        <x:f t="shared" si="560"/>
        <x:v>0</x:v>
      </x:c>
      <x:c r="FN504">
        <x:f t="shared" si="561"/>
        <x:v>0</x:v>
      </x:c>
      <x:c r="FO504">
        <x:f t="shared" si="562"/>
        <x:v>0</x:v>
      </x:c>
      <x:c r="FP504">
        <x:f t="shared" si="563"/>
        <x:v>0</x:v>
      </x:c>
      <x:c r="FQ504">
        <x:f t="shared" si="564"/>
        <x:v>0</x:v>
      </x:c>
      <x:c r="FR504">
        <x:f t="shared" si="565"/>
        <x:v>0</x:v>
      </x:c>
      <x:c r="FS504">
        <x:f t="shared" si="566"/>
        <x:v>0</x:v>
      </x:c>
      <x:c r="FT504">
        <x:f t="shared" si="567"/>
        <x:v>0</x:v>
      </x:c>
      <x:c r="FU504">
        <x:f t="shared" si="568"/>
        <x:v>0</x:v>
      </x:c>
      <x:c r="FV504">
        <x:f t="shared" si="569"/>
        <x:v>0</x:v>
      </x:c>
      <x:c r="FW504" s="41">
        <x:f t="shared" si="570"/>
        <x:v>0</x:v>
      </x:c>
      <x:c r="FX504">
        <x:f t="shared" si="571"/>
        <x:v>0</x:v>
      </x:c>
      <x:c r="FY504">
        <x:f t="shared" si="572"/>
        <x:v>0</x:v>
      </x:c>
      <x:c r="FZ504">
        <x:f t="shared" si="573"/>
        <x:v>0</x:v>
      </x:c>
      <x:c r="GA504">
        <x:f t="shared" si="574"/>
        <x:v>0</x:v>
      </x:c>
      <x:c r="GB504">
        <x:f t="shared" si="575"/>
        <x:v>0</x:v>
      </x:c>
      <x:c r="GC504">
        <x:f t="shared" si="576"/>
        <x:v>0</x:v>
      </x:c>
      <x:c r="GD504">
        <x:f t="shared" si="577"/>
        <x:v>0</x:v>
      </x:c>
      <x:c r="GE504">
        <x:f t="shared" si="578"/>
        <x:v>0</x:v>
      </x:c>
      <x:c r="GF504">
        <x:f t="shared" si="579"/>
        <x:v>0</x:v>
      </x:c>
      <x:c r="GG504">
        <x:f t="shared" si="580"/>
        <x:v>0</x:v>
      </x:c>
      <x:c r="GH504">
        <x:f t="shared" si="581"/>
        <x:v>0</x:v>
      </x:c>
      <x:c r="GI504">
        <x:f t="shared" si="582"/>
        <x:v>0</x:v>
      </x:c>
      <x:c r="GJ504">
        <x:f t="shared" si="583"/>
        <x:v>0</x:v>
      </x:c>
      <x:c r="GK504">
        <x:f t="shared" si="584"/>
        <x:v>0</x:v>
      </x:c>
      <x:c r="GL504">
        <x:f t="shared" si="585"/>
        <x:v>0</x:v>
      </x:c>
      <x:c r="GM504">
        <x:f t="shared" si="586"/>
        <x:v>0</x:v>
      </x:c>
      <x:c r="GN504">
        <x:f t="shared" si="587"/>
        <x:v>0</x:v>
      </x:c>
      <x:c r="GO504">
        <x:f t="shared" si="588"/>
        <x:v>0</x:v>
      </x:c>
      <x:c r="GP504">
        <x:f t="shared" si="589"/>
        <x:v>0</x:v>
      </x:c>
      <x:c r="GQ504">
        <x:f t="shared" si="590"/>
        <x:v>0</x:v>
      </x:c>
      <x:c r="GR504" s="42">
        <x:f t="shared" si="591"/>
        <x:v>0</x:v>
      </x:c>
      <x:c r="GS504">
        <x:f t="shared" si="592"/>
        <x:v>0</x:v>
      </x:c>
      <x:c r="GT504">
        <x:f t="shared" si="593"/>
        <x:v>0</x:v>
      </x:c>
      <x:c r="GU504">
        <x:f t="shared" si="594"/>
        <x:v>0</x:v>
      </x:c>
      <x:c r="GV504">
        <x:f t="shared" si="595"/>
        <x:v>0</x:v>
      </x:c>
      <x:c r="GW504">
        <x:f t="shared" si="596"/>
        <x:v>0</x:v>
      </x:c>
      <x:c r="GX504">
        <x:f t="shared" si="597"/>
        <x:v>0</x:v>
      </x:c>
      <x:c r="GY504">
        <x:f t="shared" si="598"/>
        <x:v>0</x:v>
      </x:c>
      <x:c r="GZ504">
        <x:f t="shared" si="599"/>
        <x:v>0</x:v>
      </x:c>
      <x:c r="HA504">
        <x:f t="shared" si="600"/>
        <x:v>0</x:v>
      </x:c>
      <x:c r="HB504" s="42">
        <x:f t="shared" si="601"/>
        <x:v>0</x:v>
      </x:c>
      <x:c r="HC504">
        <x:f t="shared" si="602"/>
        <x:v>0</x:v>
      </x:c>
      <x:c r="HD504">
        <x:f t="shared" si="603"/>
        <x:v>0</x:v>
      </x:c>
      <x:c r="HE504">
        <x:f t="shared" si="604"/>
        <x:v>0</x:v>
      </x:c>
      <x:c r="HF504">
        <x:f t="shared" si="605"/>
        <x:v>0</x:v>
      </x:c>
      <x:c r="HG504">
        <x:f t="shared" si="606"/>
        <x:v>0</x:v>
      </x:c>
      <x:c r="HH504">
        <x:f t="shared" si="607"/>
        <x:v>0</x:v>
      </x:c>
      <x:c r="HI504">
        <x:f t="shared" si="608"/>
        <x:v>0</x:v>
      </x:c>
      <x:c r="HJ504">
        <x:f t="shared" si="609"/>
        <x:v>0</x:v>
      </x:c>
      <x:c r="HK504">
        <x:f t="shared" si="610"/>
        <x:v>0</x:v>
      </x:c>
      <x:c r="HL504">
        <x:f t="shared" si="611"/>
        <x:v>0</x:v>
      </x:c>
    </x:row>
    <x:row r="505">
      <x:c r="D505" s="74"/>
      <x:c r="EQ505">
        <x:f t="shared" si="538"/>
        <x:v>0</x:v>
      </x:c>
      <x:c r="ER505">
        <x:f t="shared" si="539"/>
        <x:v>0</x:v>
      </x:c>
      <x:c r="ES505">
        <x:f t="shared" si="540"/>
        <x:v>0</x:v>
      </x:c>
      <x:c r="ET505">
        <x:f t="shared" si="541"/>
        <x:v>0</x:v>
      </x:c>
      <x:c r="EU505">
        <x:f t="shared" si="542"/>
        <x:v>0</x:v>
      </x:c>
      <x:c r="EV505">
        <x:f t="shared" si="543"/>
        <x:v>0</x:v>
      </x:c>
      <x:c r="EW505">
        <x:f t="shared" si="544"/>
        <x:v>0</x:v>
      </x:c>
      <x:c r="EX505">
        <x:f t="shared" si="545"/>
        <x:v>0</x:v>
      </x:c>
      <x:c r="EY505">
        <x:f t="shared" si="546"/>
        <x:v>0</x:v>
      </x:c>
      <x:c r="EZ505">
        <x:f t="shared" si="547"/>
        <x:v>0</x:v>
      </x:c>
      <x:c r="FA505" s="41">
        <x:f t="shared" si="548"/>
        <x:v>0</x:v>
      </x:c>
      <x:c r="FB505">
        <x:f t="shared" si="549"/>
        <x:v>0</x:v>
      </x:c>
      <x:c r="FC505">
        <x:f t="shared" si="550"/>
        <x:v>0</x:v>
      </x:c>
      <x:c r="FD505">
        <x:f t="shared" si="551"/>
        <x:v>0</x:v>
      </x:c>
      <x:c r="FE505">
        <x:f t="shared" si="552"/>
        <x:v>0</x:v>
      </x:c>
      <x:c r="FF505">
        <x:f t="shared" si="553"/>
        <x:v>0</x:v>
      </x:c>
      <x:c r="FG505">
        <x:f t="shared" si="554"/>
        <x:v>0</x:v>
      </x:c>
      <x:c r="FH505">
        <x:f t="shared" si="555"/>
        <x:v>0</x:v>
      </x:c>
      <x:c r="FI505">
        <x:f t="shared" si="556"/>
        <x:v>0</x:v>
      </x:c>
      <x:c r="FJ505">
        <x:f t="shared" si="557"/>
        <x:v>0</x:v>
      </x:c>
      <x:c r="FK505">
        <x:f t="shared" si="558"/>
        <x:v>0</x:v>
      </x:c>
      <x:c r="FL505" s="41">
        <x:f t="shared" si="559"/>
        <x:v>0</x:v>
      </x:c>
      <x:c r="FM505">
        <x:f t="shared" si="560"/>
        <x:v>0</x:v>
      </x:c>
      <x:c r="FN505">
        <x:f t="shared" si="561"/>
        <x:v>0</x:v>
      </x:c>
      <x:c r="FO505">
        <x:f t="shared" si="562"/>
        <x:v>0</x:v>
      </x:c>
      <x:c r="FP505">
        <x:f t="shared" si="563"/>
        <x:v>0</x:v>
      </x:c>
      <x:c r="FQ505">
        <x:f t="shared" si="564"/>
        <x:v>0</x:v>
      </x:c>
      <x:c r="FR505">
        <x:f t="shared" si="565"/>
        <x:v>0</x:v>
      </x:c>
      <x:c r="FS505">
        <x:f t="shared" si="566"/>
        <x:v>0</x:v>
      </x:c>
      <x:c r="FT505">
        <x:f t="shared" si="567"/>
        <x:v>0</x:v>
      </x:c>
      <x:c r="FU505">
        <x:f t="shared" si="568"/>
        <x:v>0</x:v>
      </x:c>
      <x:c r="FV505">
        <x:f t="shared" si="569"/>
        <x:v>0</x:v>
      </x:c>
      <x:c r="FW505" s="41">
        <x:f t="shared" si="570"/>
        <x:v>0</x:v>
      </x:c>
      <x:c r="FX505">
        <x:f t="shared" si="571"/>
        <x:v>0</x:v>
      </x:c>
      <x:c r="FY505">
        <x:f t="shared" si="572"/>
        <x:v>0</x:v>
      </x:c>
      <x:c r="FZ505">
        <x:f t="shared" si="573"/>
        <x:v>0</x:v>
      </x:c>
      <x:c r="GA505">
        <x:f t="shared" si="574"/>
        <x:v>0</x:v>
      </x:c>
      <x:c r="GB505">
        <x:f t="shared" si="575"/>
        <x:v>0</x:v>
      </x:c>
      <x:c r="GC505">
        <x:f t="shared" si="576"/>
        <x:v>0</x:v>
      </x:c>
      <x:c r="GD505">
        <x:f t="shared" si="577"/>
        <x:v>0</x:v>
      </x:c>
      <x:c r="GE505">
        <x:f t="shared" si="578"/>
        <x:v>0</x:v>
      </x:c>
      <x:c r="GF505">
        <x:f t="shared" si="579"/>
        <x:v>0</x:v>
      </x:c>
      <x:c r="GG505">
        <x:f t="shared" si="580"/>
        <x:v>0</x:v>
      </x:c>
      <x:c r="GH505">
        <x:f t="shared" si="581"/>
        <x:v>0</x:v>
      </x:c>
      <x:c r="GI505">
        <x:f t="shared" si="582"/>
        <x:v>0</x:v>
      </x:c>
      <x:c r="GJ505">
        <x:f t="shared" si="583"/>
        <x:v>0</x:v>
      </x:c>
      <x:c r="GK505">
        <x:f t="shared" si="584"/>
        <x:v>0</x:v>
      </x:c>
      <x:c r="GL505">
        <x:f t="shared" si="585"/>
        <x:v>0</x:v>
      </x:c>
      <x:c r="GM505">
        <x:f t="shared" si="586"/>
        <x:v>0</x:v>
      </x:c>
      <x:c r="GN505">
        <x:f t="shared" si="587"/>
        <x:v>0</x:v>
      </x:c>
      <x:c r="GO505">
        <x:f t="shared" si="588"/>
        <x:v>0</x:v>
      </x:c>
      <x:c r="GP505">
        <x:f t="shared" si="589"/>
        <x:v>0</x:v>
      </x:c>
      <x:c r="GQ505">
        <x:f t="shared" si="590"/>
        <x:v>0</x:v>
      </x:c>
      <x:c r="GR505" s="42">
        <x:f t="shared" si="591"/>
        <x:v>0</x:v>
      </x:c>
      <x:c r="GS505">
        <x:f t="shared" si="592"/>
        <x:v>0</x:v>
      </x:c>
      <x:c r="GT505">
        <x:f t="shared" si="593"/>
        <x:v>0</x:v>
      </x:c>
      <x:c r="GU505">
        <x:f t="shared" si="594"/>
        <x:v>0</x:v>
      </x:c>
      <x:c r="GV505">
        <x:f t="shared" si="595"/>
        <x:v>0</x:v>
      </x:c>
      <x:c r="GW505">
        <x:f t="shared" si="596"/>
        <x:v>0</x:v>
      </x:c>
      <x:c r="GX505">
        <x:f t="shared" si="597"/>
        <x:v>0</x:v>
      </x:c>
      <x:c r="GY505">
        <x:f t="shared" si="598"/>
        <x:v>0</x:v>
      </x:c>
      <x:c r="GZ505">
        <x:f t="shared" si="599"/>
        <x:v>0</x:v>
      </x:c>
      <x:c r="HA505">
        <x:f t="shared" si="600"/>
        <x:v>0</x:v>
      </x:c>
      <x:c r="HB505" s="42">
        <x:f t="shared" si="601"/>
        <x:v>0</x:v>
      </x:c>
      <x:c r="HC505">
        <x:f t="shared" si="602"/>
        <x:v>0</x:v>
      </x:c>
      <x:c r="HD505">
        <x:f t="shared" si="603"/>
        <x:v>0</x:v>
      </x:c>
      <x:c r="HE505">
        <x:f t="shared" si="604"/>
        <x:v>0</x:v>
      </x:c>
      <x:c r="HF505">
        <x:f t="shared" si="605"/>
        <x:v>0</x:v>
      </x:c>
      <x:c r="HG505">
        <x:f t="shared" si="606"/>
        <x:v>0</x:v>
      </x:c>
      <x:c r="HH505">
        <x:f t="shared" si="607"/>
        <x:v>0</x:v>
      </x:c>
      <x:c r="HI505">
        <x:f t="shared" si="608"/>
        <x:v>0</x:v>
      </x:c>
      <x:c r="HJ505">
        <x:f t="shared" si="609"/>
        <x:v>0</x:v>
      </x:c>
      <x:c r="HK505">
        <x:f t="shared" si="610"/>
        <x:v>0</x:v>
      </x:c>
      <x:c r="HL505">
        <x:f t="shared" si="611"/>
        <x:v>0</x:v>
      </x:c>
    </x:row>
    <x:row r="506">
      <x:c r="D506" s="74"/>
      <x:c r="EQ506">
        <x:f t="shared" si="538"/>
        <x:v>0</x:v>
      </x:c>
      <x:c r="ER506">
        <x:f t="shared" si="539"/>
        <x:v>0</x:v>
      </x:c>
      <x:c r="ES506">
        <x:f t="shared" si="540"/>
        <x:v>0</x:v>
      </x:c>
      <x:c r="ET506">
        <x:f t="shared" si="541"/>
        <x:v>0</x:v>
      </x:c>
      <x:c r="EU506">
        <x:f t="shared" si="542"/>
        <x:v>0</x:v>
      </x:c>
      <x:c r="EV506">
        <x:f t="shared" si="543"/>
        <x:v>0</x:v>
      </x:c>
      <x:c r="EW506">
        <x:f t="shared" si="544"/>
        <x:v>0</x:v>
      </x:c>
      <x:c r="EX506">
        <x:f t="shared" si="545"/>
        <x:v>0</x:v>
      </x:c>
      <x:c r="EY506">
        <x:f t="shared" si="546"/>
        <x:v>0</x:v>
      </x:c>
      <x:c r="EZ506">
        <x:f t="shared" si="547"/>
        <x:v>0</x:v>
      </x:c>
      <x:c r="FA506" s="41">
        <x:f t="shared" si="548"/>
        <x:v>0</x:v>
      </x:c>
      <x:c r="FB506">
        <x:f t="shared" si="549"/>
        <x:v>0</x:v>
      </x:c>
      <x:c r="FC506">
        <x:f t="shared" si="550"/>
        <x:v>0</x:v>
      </x:c>
      <x:c r="FD506">
        <x:f t="shared" si="551"/>
        <x:v>0</x:v>
      </x:c>
      <x:c r="FE506">
        <x:f t="shared" si="552"/>
        <x:v>0</x:v>
      </x:c>
      <x:c r="FF506">
        <x:f t="shared" si="553"/>
        <x:v>0</x:v>
      </x:c>
      <x:c r="FG506">
        <x:f t="shared" si="554"/>
        <x:v>0</x:v>
      </x:c>
      <x:c r="FH506">
        <x:f t="shared" si="555"/>
        <x:v>0</x:v>
      </x:c>
      <x:c r="FI506">
        <x:f t="shared" si="556"/>
        <x:v>0</x:v>
      </x:c>
      <x:c r="FJ506">
        <x:f t="shared" si="557"/>
        <x:v>0</x:v>
      </x:c>
      <x:c r="FK506">
        <x:f t="shared" si="558"/>
        <x:v>0</x:v>
      </x:c>
      <x:c r="FL506" s="41">
        <x:f t="shared" si="559"/>
        <x:v>0</x:v>
      </x:c>
      <x:c r="FM506">
        <x:f t="shared" si="560"/>
        <x:v>0</x:v>
      </x:c>
      <x:c r="FN506">
        <x:f t="shared" si="561"/>
        <x:v>0</x:v>
      </x:c>
      <x:c r="FO506">
        <x:f t="shared" si="562"/>
        <x:v>0</x:v>
      </x:c>
      <x:c r="FP506">
        <x:f t="shared" si="563"/>
        <x:v>0</x:v>
      </x:c>
      <x:c r="FQ506">
        <x:f t="shared" si="564"/>
        <x:v>0</x:v>
      </x:c>
      <x:c r="FR506">
        <x:f t="shared" si="565"/>
        <x:v>0</x:v>
      </x:c>
      <x:c r="FS506">
        <x:f t="shared" si="566"/>
        <x:v>0</x:v>
      </x:c>
      <x:c r="FT506">
        <x:f t="shared" si="567"/>
        <x:v>0</x:v>
      </x:c>
      <x:c r="FU506">
        <x:f t="shared" si="568"/>
        <x:v>0</x:v>
      </x:c>
      <x:c r="FV506">
        <x:f t="shared" si="569"/>
        <x:v>0</x:v>
      </x:c>
      <x:c r="FW506" s="41">
        <x:f t="shared" si="570"/>
        <x:v>0</x:v>
      </x:c>
      <x:c r="FX506">
        <x:f t="shared" si="571"/>
        <x:v>0</x:v>
      </x:c>
      <x:c r="FY506">
        <x:f t="shared" si="572"/>
        <x:v>0</x:v>
      </x:c>
      <x:c r="FZ506">
        <x:f t="shared" si="573"/>
        <x:v>0</x:v>
      </x:c>
      <x:c r="GA506">
        <x:f t="shared" si="574"/>
        <x:v>0</x:v>
      </x:c>
      <x:c r="GB506">
        <x:f t="shared" si="575"/>
        <x:v>0</x:v>
      </x:c>
      <x:c r="GC506">
        <x:f t="shared" si="576"/>
        <x:v>0</x:v>
      </x:c>
      <x:c r="GD506">
        <x:f t="shared" si="577"/>
        <x:v>0</x:v>
      </x:c>
      <x:c r="GE506">
        <x:f t="shared" si="578"/>
        <x:v>0</x:v>
      </x:c>
      <x:c r="GF506">
        <x:f t="shared" si="579"/>
        <x:v>0</x:v>
      </x:c>
      <x:c r="GG506">
        <x:f t="shared" si="580"/>
        <x:v>0</x:v>
      </x:c>
      <x:c r="GH506">
        <x:f t="shared" si="581"/>
        <x:v>0</x:v>
      </x:c>
      <x:c r="GI506">
        <x:f t="shared" si="582"/>
        <x:v>0</x:v>
      </x:c>
      <x:c r="GJ506">
        <x:f t="shared" si="583"/>
        <x:v>0</x:v>
      </x:c>
      <x:c r="GK506">
        <x:f t="shared" si="584"/>
        <x:v>0</x:v>
      </x:c>
      <x:c r="GL506">
        <x:f t="shared" si="585"/>
        <x:v>0</x:v>
      </x:c>
      <x:c r="GM506">
        <x:f t="shared" si="586"/>
        <x:v>0</x:v>
      </x:c>
      <x:c r="GN506">
        <x:f t="shared" si="587"/>
        <x:v>0</x:v>
      </x:c>
      <x:c r="GO506">
        <x:f t="shared" si="588"/>
        <x:v>0</x:v>
      </x:c>
      <x:c r="GP506">
        <x:f t="shared" si="589"/>
        <x:v>0</x:v>
      </x:c>
      <x:c r="GQ506">
        <x:f t="shared" si="590"/>
        <x:v>0</x:v>
      </x:c>
      <x:c r="GR506" s="42">
        <x:f t="shared" si="591"/>
        <x:v>0</x:v>
      </x:c>
      <x:c r="GS506">
        <x:f t="shared" si="592"/>
        <x:v>0</x:v>
      </x:c>
      <x:c r="GT506">
        <x:f t="shared" si="593"/>
        <x:v>0</x:v>
      </x:c>
      <x:c r="GU506">
        <x:f t="shared" si="594"/>
        <x:v>0</x:v>
      </x:c>
      <x:c r="GV506">
        <x:f t="shared" si="595"/>
        <x:v>0</x:v>
      </x:c>
      <x:c r="GW506">
        <x:f t="shared" si="596"/>
        <x:v>0</x:v>
      </x:c>
      <x:c r="GX506">
        <x:f t="shared" si="597"/>
        <x:v>0</x:v>
      </x:c>
      <x:c r="GY506">
        <x:f t="shared" si="598"/>
        <x:v>0</x:v>
      </x:c>
      <x:c r="GZ506">
        <x:f t="shared" si="599"/>
        <x:v>0</x:v>
      </x:c>
      <x:c r="HA506">
        <x:f t="shared" si="600"/>
        <x:v>0</x:v>
      </x:c>
      <x:c r="HB506" s="42">
        <x:f t="shared" si="601"/>
        <x:v>0</x:v>
      </x:c>
      <x:c r="HC506">
        <x:f t="shared" si="602"/>
        <x:v>0</x:v>
      </x:c>
      <x:c r="HD506">
        <x:f t="shared" si="603"/>
        <x:v>0</x:v>
      </x:c>
      <x:c r="HE506">
        <x:f t="shared" si="604"/>
        <x:v>0</x:v>
      </x:c>
      <x:c r="HF506">
        <x:f t="shared" si="605"/>
        <x:v>0</x:v>
      </x:c>
      <x:c r="HG506">
        <x:f t="shared" si="606"/>
        <x:v>0</x:v>
      </x:c>
      <x:c r="HH506">
        <x:f t="shared" si="607"/>
        <x:v>0</x:v>
      </x:c>
      <x:c r="HI506">
        <x:f t="shared" si="608"/>
        <x:v>0</x:v>
      </x:c>
      <x:c r="HJ506">
        <x:f t="shared" si="609"/>
        <x:v>0</x:v>
      </x:c>
      <x:c r="HK506">
        <x:f t="shared" si="610"/>
        <x:v>0</x:v>
      </x:c>
      <x:c r="HL506">
        <x:f t="shared" si="611"/>
        <x:v>0</x:v>
      </x:c>
    </x:row>
    <x:row r="507">
      <x:c r="D507" s="74"/>
      <x:c r="EQ507">
        <x:f t="shared" si="538"/>
        <x:v>0</x:v>
      </x:c>
      <x:c r="ER507">
        <x:f t="shared" si="539"/>
        <x:v>0</x:v>
      </x:c>
      <x:c r="ES507">
        <x:f t="shared" si="540"/>
        <x:v>0</x:v>
      </x:c>
      <x:c r="ET507">
        <x:f t="shared" si="541"/>
        <x:v>0</x:v>
      </x:c>
      <x:c r="EU507">
        <x:f t="shared" si="542"/>
        <x:v>0</x:v>
      </x:c>
      <x:c r="EV507">
        <x:f t="shared" si="543"/>
        <x:v>0</x:v>
      </x:c>
      <x:c r="EW507">
        <x:f t="shared" si="544"/>
        <x:v>0</x:v>
      </x:c>
      <x:c r="EX507">
        <x:f t="shared" si="545"/>
        <x:v>0</x:v>
      </x:c>
      <x:c r="EY507">
        <x:f t="shared" si="546"/>
        <x:v>0</x:v>
      </x:c>
      <x:c r="EZ507">
        <x:f t="shared" si="547"/>
        <x:v>0</x:v>
      </x:c>
      <x:c r="FA507" s="41">
        <x:f t="shared" si="548"/>
        <x:v>0</x:v>
      </x:c>
      <x:c r="FB507">
        <x:f t="shared" si="549"/>
        <x:v>0</x:v>
      </x:c>
      <x:c r="FC507">
        <x:f t="shared" si="550"/>
        <x:v>0</x:v>
      </x:c>
      <x:c r="FD507">
        <x:f t="shared" si="551"/>
        <x:v>0</x:v>
      </x:c>
      <x:c r="FE507">
        <x:f t="shared" si="552"/>
        <x:v>0</x:v>
      </x:c>
      <x:c r="FF507">
        <x:f t="shared" si="553"/>
        <x:v>0</x:v>
      </x:c>
      <x:c r="FG507">
        <x:f t="shared" si="554"/>
        <x:v>0</x:v>
      </x:c>
      <x:c r="FH507">
        <x:f t="shared" si="555"/>
        <x:v>0</x:v>
      </x:c>
      <x:c r="FI507">
        <x:f t="shared" si="556"/>
        <x:v>0</x:v>
      </x:c>
      <x:c r="FJ507">
        <x:f t="shared" si="557"/>
        <x:v>0</x:v>
      </x:c>
      <x:c r="FK507">
        <x:f t="shared" si="558"/>
        <x:v>0</x:v>
      </x:c>
      <x:c r="FL507" s="41">
        <x:f t="shared" si="559"/>
        <x:v>0</x:v>
      </x:c>
      <x:c r="FM507">
        <x:f t="shared" si="560"/>
        <x:v>0</x:v>
      </x:c>
      <x:c r="FN507">
        <x:f t="shared" si="561"/>
        <x:v>0</x:v>
      </x:c>
      <x:c r="FO507">
        <x:f t="shared" si="562"/>
        <x:v>0</x:v>
      </x:c>
      <x:c r="FP507">
        <x:f t="shared" si="563"/>
        <x:v>0</x:v>
      </x:c>
      <x:c r="FQ507">
        <x:f t="shared" si="564"/>
        <x:v>0</x:v>
      </x:c>
      <x:c r="FR507">
        <x:f t="shared" si="565"/>
        <x:v>0</x:v>
      </x:c>
      <x:c r="FS507">
        <x:f t="shared" si="566"/>
        <x:v>0</x:v>
      </x:c>
      <x:c r="FT507">
        <x:f t="shared" si="567"/>
        <x:v>0</x:v>
      </x:c>
      <x:c r="FU507">
        <x:f t="shared" si="568"/>
        <x:v>0</x:v>
      </x:c>
      <x:c r="FV507">
        <x:f t="shared" si="569"/>
        <x:v>0</x:v>
      </x:c>
      <x:c r="FW507" s="41">
        <x:f t="shared" si="570"/>
        <x:v>0</x:v>
      </x:c>
      <x:c r="FX507">
        <x:f t="shared" si="571"/>
        <x:v>0</x:v>
      </x:c>
      <x:c r="FY507">
        <x:f t="shared" si="572"/>
        <x:v>0</x:v>
      </x:c>
      <x:c r="FZ507">
        <x:f t="shared" si="573"/>
        <x:v>0</x:v>
      </x:c>
      <x:c r="GA507">
        <x:f t="shared" si="574"/>
        <x:v>0</x:v>
      </x:c>
      <x:c r="GB507">
        <x:f t="shared" si="575"/>
        <x:v>0</x:v>
      </x:c>
      <x:c r="GC507">
        <x:f t="shared" si="576"/>
        <x:v>0</x:v>
      </x:c>
      <x:c r="GD507">
        <x:f t="shared" si="577"/>
        <x:v>0</x:v>
      </x:c>
      <x:c r="GE507">
        <x:f t="shared" si="578"/>
        <x:v>0</x:v>
      </x:c>
      <x:c r="GF507">
        <x:f t="shared" si="579"/>
        <x:v>0</x:v>
      </x:c>
      <x:c r="GG507">
        <x:f t="shared" si="580"/>
        <x:v>0</x:v>
      </x:c>
      <x:c r="GH507">
        <x:f t="shared" si="581"/>
        <x:v>0</x:v>
      </x:c>
      <x:c r="GI507">
        <x:f t="shared" si="582"/>
        <x:v>0</x:v>
      </x:c>
      <x:c r="GJ507">
        <x:f t="shared" si="583"/>
        <x:v>0</x:v>
      </x:c>
      <x:c r="GK507">
        <x:f t="shared" si="584"/>
        <x:v>0</x:v>
      </x:c>
      <x:c r="GL507">
        <x:f t="shared" si="585"/>
        <x:v>0</x:v>
      </x:c>
      <x:c r="GM507">
        <x:f t="shared" si="586"/>
        <x:v>0</x:v>
      </x:c>
      <x:c r="GN507">
        <x:f t="shared" si="587"/>
        <x:v>0</x:v>
      </x:c>
      <x:c r="GO507">
        <x:f t="shared" si="588"/>
        <x:v>0</x:v>
      </x:c>
      <x:c r="GP507">
        <x:f t="shared" si="589"/>
        <x:v>0</x:v>
      </x:c>
      <x:c r="GQ507">
        <x:f t="shared" si="590"/>
        <x:v>0</x:v>
      </x:c>
      <x:c r="GR507" s="42">
        <x:f t="shared" si="591"/>
        <x:v>0</x:v>
      </x:c>
      <x:c r="GS507">
        <x:f t="shared" si="592"/>
        <x:v>0</x:v>
      </x:c>
      <x:c r="GT507">
        <x:f t="shared" si="593"/>
        <x:v>0</x:v>
      </x:c>
      <x:c r="GU507">
        <x:f t="shared" si="594"/>
        <x:v>0</x:v>
      </x:c>
      <x:c r="GV507">
        <x:f t="shared" si="595"/>
        <x:v>0</x:v>
      </x:c>
      <x:c r="GW507">
        <x:f t="shared" si="596"/>
        <x:v>0</x:v>
      </x:c>
      <x:c r="GX507">
        <x:f t="shared" si="597"/>
        <x:v>0</x:v>
      </x:c>
      <x:c r="GY507">
        <x:f t="shared" si="598"/>
        <x:v>0</x:v>
      </x:c>
      <x:c r="GZ507">
        <x:f t="shared" si="599"/>
        <x:v>0</x:v>
      </x:c>
      <x:c r="HA507">
        <x:f t="shared" si="600"/>
        <x:v>0</x:v>
      </x:c>
      <x:c r="HB507" s="42">
        <x:f t="shared" si="601"/>
        <x:v>0</x:v>
      </x:c>
      <x:c r="HC507">
        <x:f t="shared" si="602"/>
        <x:v>0</x:v>
      </x:c>
      <x:c r="HD507">
        <x:f t="shared" si="603"/>
        <x:v>0</x:v>
      </x:c>
      <x:c r="HE507">
        <x:f t="shared" si="604"/>
        <x:v>0</x:v>
      </x:c>
      <x:c r="HF507">
        <x:f t="shared" si="605"/>
        <x:v>0</x:v>
      </x:c>
      <x:c r="HG507">
        <x:f t="shared" si="606"/>
        <x:v>0</x:v>
      </x:c>
      <x:c r="HH507">
        <x:f t="shared" si="607"/>
        <x:v>0</x:v>
      </x:c>
      <x:c r="HI507">
        <x:f t="shared" si="608"/>
        <x:v>0</x:v>
      </x:c>
      <x:c r="HJ507">
        <x:f t="shared" si="609"/>
        <x:v>0</x:v>
      </x:c>
      <x:c r="HK507">
        <x:f t="shared" si="610"/>
        <x:v>0</x:v>
      </x:c>
      <x:c r="HL507">
        <x:f t="shared" si="611"/>
        <x:v>0</x:v>
      </x:c>
    </x:row>
    <x:row r="508">
      <x:c r="D508" s="74"/>
      <x:c r="EQ508">
        <x:f t="shared" si="538"/>
        <x:v>0</x:v>
      </x:c>
      <x:c r="ER508">
        <x:f t="shared" si="539"/>
        <x:v>0</x:v>
      </x:c>
      <x:c r="ES508">
        <x:f t="shared" si="540"/>
        <x:v>0</x:v>
      </x:c>
      <x:c r="ET508">
        <x:f t="shared" si="541"/>
        <x:v>0</x:v>
      </x:c>
      <x:c r="EU508">
        <x:f t="shared" si="542"/>
        <x:v>0</x:v>
      </x:c>
      <x:c r="EV508">
        <x:f t="shared" si="543"/>
        <x:v>0</x:v>
      </x:c>
      <x:c r="EW508">
        <x:f t="shared" si="544"/>
        <x:v>0</x:v>
      </x:c>
      <x:c r="EX508">
        <x:f t="shared" si="545"/>
        <x:v>0</x:v>
      </x:c>
      <x:c r="EY508">
        <x:f t="shared" si="546"/>
        <x:v>0</x:v>
      </x:c>
      <x:c r="EZ508">
        <x:f t="shared" si="547"/>
        <x:v>0</x:v>
      </x:c>
      <x:c r="FA508" s="41">
        <x:f t="shared" si="548"/>
        <x:v>0</x:v>
      </x:c>
      <x:c r="FB508">
        <x:f t="shared" si="549"/>
        <x:v>0</x:v>
      </x:c>
      <x:c r="FC508">
        <x:f t="shared" si="550"/>
        <x:v>0</x:v>
      </x:c>
      <x:c r="FD508">
        <x:f t="shared" si="551"/>
        <x:v>0</x:v>
      </x:c>
      <x:c r="FE508">
        <x:f t="shared" si="552"/>
        <x:v>0</x:v>
      </x:c>
      <x:c r="FF508">
        <x:f t="shared" si="553"/>
        <x:v>0</x:v>
      </x:c>
      <x:c r="FG508">
        <x:f t="shared" si="554"/>
        <x:v>0</x:v>
      </x:c>
      <x:c r="FH508">
        <x:f t="shared" si="555"/>
        <x:v>0</x:v>
      </x:c>
      <x:c r="FI508">
        <x:f t="shared" si="556"/>
        <x:v>0</x:v>
      </x:c>
      <x:c r="FJ508">
        <x:f t="shared" si="557"/>
        <x:v>0</x:v>
      </x:c>
      <x:c r="FK508">
        <x:f t="shared" si="558"/>
        <x:v>0</x:v>
      </x:c>
      <x:c r="FL508" s="41">
        <x:f t="shared" si="559"/>
        <x:v>0</x:v>
      </x:c>
      <x:c r="FM508">
        <x:f t="shared" si="560"/>
        <x:v>0</x:v>
      </x:c>
      <x:c r="FN508">
        <x:f t="shared" si="561"/>
        <x:v>0</x:v>
      </x:c>
      <x:c r="FO508">
        <x:f t="shared" si="562"/>
        <x:v>0</x:v>
      </x:c>
      <x:c r="FP508">
        <x:f t="shared" si="563"/>
        <x:v>0</x:v>
      </x:c>
      <x:c r="FQ508">
        <x:f t="shared" si="564"/>
        <x:v>0</x:v>
      </x:c>
      <x:c r="FR508">
        <x:f t="shared" si="565"/>
        <x:v>0</x:v>
      </x:c>
      <x:c r="FS508">
        <x:f t="shared" si="566"/>
        <x:v>0</x:v>
      </x:c>
      <x:c r="FT508">
        <x:f t="shared" si="567"/>
        <x:v>0</x:v>
      </x:c>
      <x:c r="FU508">
        <x:f t="shared" si="568"/>
        <x:v>0</x:v>
      </x:c>
      <x:c r="FV508">
        <x:f t="shared" si="569"/>
        <x:v>0</x:v>
      </x:c>
      <x:c r="FW508" s="41">
        <x:f t="shared" si="570"/>
        <x:v>0</x:v>
      </x:c>
      <x:c r="FX508">
        <x:f t="shared" si="571"/>
        <x:v>0</x:v>
      </x:c>
      <x:c r="FY508">
        <x:f t="shared" si="572"/>
        <x:v>0</x:v>
      </x:c>
      <x:c r="FZ508">
        <x:f t="shared" si="573"/>
        <x:v>0</x:v>
      </x:c>
      <x:c r="GA508">
        <x:f t="shared" si="574"/>
        <x:v>0</x:v>
      </x:c>
      <x:c r="GB508">
        <x:f t="shared" si="575"/>
        <x:v>0</x:v>
      </x:c>
      <x:c r="GC508">
        <x:f t="shared" si="576"/>
        <x:v>0</x:v>
      </x:c>
      <x:c r="GD508">
        <x:f t="shared" si="577"/>
        <x:v>0</x:v>
      </x:c>
      <x:c r="GE508">
        <x:f t="shared" si="578"/>
        <x:v>0</x:v>
      </x:c>
      <x:c r="GF508">
        <x:f t="shared" si="579"/>
        <x:v>0</x:v>
      </x:c>
      <x:c r="GG508">
        <x:f t="shared" si="580"/>
        <x:v>0</x:v>
      </x:c>
      <x:c r="GH508">
        <x:f t="shared" si="581"/>
        <x:v>0</x:v>
      </x:c>
      <x:c r="GI508">
        <x:f t="shared" si="582"/>
        <x:v>0</x:v>
      </x:c>
      <x:c r="GJ508">
        <x:f t="shared" si="583"/>
        <x:v>0</x:v>
      </x:c>
      <x:c r="GK508">
        <x:f t="shared" si="584"/>
        <x:v>0</x:v>
      </x:c>
      <x:c r="GL508">
        <x:f t="shared" si="585"/>
        <x:v>0</x:v>
      </x:c>
      <x:c r="GM508">
        <x:f t="shared" si="586"/>
        <x:v>0</x:v>
      </x:c>
      <x:c r="GN508">
        <x:f t="shared" si="587"/>
        <x:v>0</x:v>
      </x:c>
      <x:c r="GO508">
        <x:f t="shared" si="588"/>
        <x:v>0</x:v>
      </x:c>
      <x:c r="GP508">
        <x:f t="shared" si="589"/>
        <x:v>0</x:v>
      </x:c>
      <x:c r="GQ508">
        <x:f t="shared" si="590"/>
        <x:v>0</x:v>
      </x:c>
      <x:c r="GR508" s="42">
        <x:f t="shared" si="591"/>
        <x:v>0</x:v>
      </x:c>
      <x:c r="GS508">
        <x:f t="shared" si="592"/>
        <x:v>0</x:v>
      </x:c>
      <x:c r="GT508">
        <x:f t="shared" si="593"/>
        <x:v>0</x:v>
      </x:c>
      <x:c r="GU508">
        <x:f t="shared" si="594"/>
        <x:v>0</x:v>
      </x:c>
      <x:c r="GV508">
        <x:f t="shared" si="595"/>
        <x:v>0</x:v>
      </x:c>
      <x:c r="GW508">
        <x:f t="shared" si="596"/>
        <x:v>0</x:v>
      </x:c>
      <x:c r="GX508">
        <x:f t="shared" si="597"/>
        <x:v>0</x:v>
      </x:c>
      <x:c r="GY508">
        <x:f t="shared" si="598"/>
        <x:v>0</x:v>
      </x:c>
      <x:c r="GZ508">
        <x:f t="shared" si="599"/>
        <x:v>0</x:v>
      </x:c>
      <x:c r="HA508">
        <x:f t="shared" si="600"/>
        <x:v>0</x:v>
      </x:c>
      <x:c r="HB508" s="42">
        <x:f t="shared" si="601"/>
        <x:v>0</x:v>
      </x:c>
      <x:c r="HC508">
        <x:f t="shared" si="602"/>
        <x:v>0</x:v>
      </x:c>
      <x:c r="HD508">
        <x:f t="shared" si="603"/>
        <x:v>0</x:v>
      </x:c>
      <x:c r="HE508">
        <x:f t="shared" si="604"/>
        <x:v>0</x:v>
      </x:c>
      <x:c r="HF508">
        <x:f t="shared" si="605"/>
        <x:v>0</x:v>
      </x:c>
      <x:c r="HG508">
        <x:f t="shared" si="606"/>
        <x:v>0</x:v>
      </x:c>
      <x:c r="HH508">
        <x:f t="shared" si="607"/>
        <x:v>0</x:v>
      </x:c>
      <x:c r="HI508">
        <x:f t="shared" si="608"/>
        <x:v>0</x:v>
      </x:c>
      <x:c r="HJ508">
        <x:f t="shared" si="609"/>
        <x:v>0</x:v>
      </x:c>
      <x:c r="HK508">
        <x:f t="shared" si="610"/>
        <x:v>0</x:v>
      </x:c>
      <x:c r="HL508">
        <x:f t="shared" si="611"/>
        <x:v>0</x:v>
      </x:c>
    </x:row>
    <x:row r="509">
      <x:c r="D509" s="74"/>
      <x:c r="EQ509">
        <x:f t="shared" si="538"/>
        <x:v>0</x:v>
      </x:c>
      <x:c r="ER509">
        <x:f t="shared" si="539"/>
        <x:v>0</x:v>
      </x:c>
      <x:c r="ES509">
        <x:f t="shared" si="540"/>
        <x:v>0</x:v>
      </x:c>
      <x:c r="ET509">
        <x:f t="shared" si="541"/>
        <x:v>0</x:v>
      </x:c>
      <x:c r="EU509">
        <x:f t="shared" si="542"/>
        <x:v>0</x:v>
      </x:c>
      <x:c r="EV509">
        <x:f t="shared" si="543"/>
        <x:v>0</x:v>
      </x:c>
      <x:c r="EW509">
        <x:f t="shared" si="544"/>
        <x:v>0</x:v>
      </x:c>
      <x:c r="EX509">
        <x:f t="shared" si="545"/>
        <x:v>0</x:v>
      </x:c>
      <x:c r="EY509">
        <x:f t="shared" si="546"/>
        <x:v>0</x:v>
      </x:c>
      <x:c r="EZ509">
        <x:f t="shared" si="547"/>
        <x:v>0</x:v>
      </x:c>
      <x:c r="FA509" s="41">
        <x:f t="shared" si="548"/>
        <x:v>0</x:v>
      </x:c>
      <x:c r="FB509">
        <x:f t="shared" si="549"/>
        <x:v>0</x:v>
      </x:c>
      <x:c r="FC509">
        <x:f t="shared" si="550"/>
        <x:v>0</x:v>
      </x:c>
      <x:c r="FD509">
        <x:f t="shared" si="551"/>
        <x:v>0</x:v>
      </x:c>
      <x:c r="FE509">
        <x:f t="shared" si="552"/>
        <x:v>0</x:v>
      </x:c>
      <x:c r="FF509">
        <x:f t="shared" si="553"/>
        <x:v>0</x:v>
      </x:c>
      <x:c r="FG509">
        <x:f t="shared" si="554"/>
        <x:v>0</x:v>
      </x:c>
      <x:c r="FH509">
        <x:f t="shared" si="555"/>
        <x:v>0</x:v>
      </x:c>
      <x:c r="FI509">
        <x:f t="shared" si="556"/>
        <x:v>0</x:v>
      </x:c>
      <x:c r="FJ509">
        <x:f t="shared" si="557"/>
        <x:v>0</x:v>
      </x:c>
      <x:c r="FK509">
        <x:f t="shared" si="558"/>
        <x:v>0</x:v>
      </x:c>
      <x:c r="FL509" s="41">
        <x:f t="shared" si="559"/>
        <x:v>0</x:v>
      </x:c>
      <x:c r="FM509">
        <x:f t="shared" si="560"/>
        <x:v>0</x:v>
      </x:c>
      <x:c r="FN509">
        <x:f t="shared" si="561"/>
        <x:v>0</x:v>
      </x:c>
      <x:c r="FO509">
        <x:f t="shared" si="562"/>
        <x:v>0</x:v>
      </x:c>
      <x:c r="FP509">
        <x:f t="shared" si="563"/>
        <x:v>0</x:v>
      </x:c>
      <x:c r="FQ509">
        <x:f t="shared" si="564"/>
        <x:v>0</x:v>
      </x:c>
      <x:c r="FR509">
        <x:f t="shared" si="565"/>
        <x:v>0</x:v>
      </x:c>
      <x:c r="FS509">
        <x:f t="shared" si="566"/>
        <x:v>0</x:v>
      </x:c>
      <x:c r="FT509">
        <x:f t="shared" si="567"/>
        <x:v>0</x:v>
      </x:c>
      <x:c r="FU509">
        <x:f t="shared" si="568"/>
        <x:v>0</x:v>
      </x:c>
      <x:c r="FV509">
        <x:f t="shared" si="569"/>
        <x:v>0</x:v>
      </x:c>
      <x:c r="FW509" s="41">
        <x:f t="shared" si="570"/>
        <x:v>0</x:v>
      </x:c>
      <x:c r="FX509">
        <x:f t="shared" si="571"/>
        <x:v>0</x:v>
      </x:c>
      <x:c r="FY509">
        <x:f t="shared" si="572"/>
        <x:v>0</x:v>
      </x:c>
      <x:c r="FZ509">
        <x:f t="shared" si="573"/>
        <x:v>0</x:v>
      </x:c>
      <x:c r="GA509">
        <x:f t="shared" si="574"/>
        <x:v>0</x:v>
      </x:c>
      <x:c r="GB509">
        <x:f t="shared" si="575"/>
        <x:v>0</x:v>
      </x:c>
      <x:c r="GC509">
        <x:f t="shared" si="576"/>
        <x:v>0</x:v>
      </x:c>
      <x:c r="GD509">
        <x:f t="shared" si="577"/>
        <x:v>0</x:v>
      </x:c>
      <x:c r="GE509">
        <x:f t="shared" si="578"/>
        <x:v>0</x:v>
      </x:c>
      <x:c r="GF509">
        <x:f t="shared" si="579"/>
        <x:v>0</x:v>
      </x:c>
      <x:c r="GG509">
        <x:f t="shared" si="580"/>
        <x:v>0</x:v>
      </x:c>
      <x:c r="GH509">
        <x:f t="shared" si="581"/>
        <x:v>0</x:v>
      </x:c>
      <x:c r="GI509">
        <x:f t="shared" si="582"/>
        <x:v>0</x:v>
      </x:c>
      <x:c r="GJ509">
        <x:f t="shared" si="583"/>
        <x:v>0</x:v>
      </x:c>
      <x:c r="GK509">
        <x:f t="shared" si="584"/>
        <x:v>0</x:v>
      </x:c>
      <x:c r="GL509">
        <x:f t="shared" si="585"/>
        <x:v>0</x:v>
      </x:c>
      <x:c r="GM509">
        <x:f t="shared" si="586"/>
        <x:v>0</x:v>
      </x:c>
      <x:c r="GN509">
        <x:f t="shared" si="587"/>
        <x:v>0</x:v>
      </x:c>
      <x:c r="GO509">
        <x:f t="shared" si="588"/>
        <x:v>0</x:v>
      </x:c>
      <x:c r="GP509">
        <x:f t="shared" si="589"/>
        <x:v>0</x:v>
      </x:c>
      <x:c r="GQ509">
        <x:f t="shared" si="590"/>
        <x:v>0</x:v>
      </x:c>
      <x:c r="GR509" s="42">
        <x:f t="shared" si="591"/>
        <x:v>0</x:v>
      </x:c>
      <x:c r="GS509">
        <x:f t="shared" si="592"/>
        <x:v>0</x:v>
      </x:c>
      <x:c r="GT509">
        <x:f t="shared" si="593"/>
        <x:v>0</x:v>
      </x:c>
      <x:c r="GU509">
        <x:f t="shared" si="594"/>
        <x:v>0</x:v>
      </x:c>
      <x:c r="GV509">
        <x:f t="shared" si="595"/>
        <x:v>0</x:v>
      </x:c>
      <x:c r="GW509">
        <x:f t="shared" si="596"/>
        <x:v>0</x:v>
      </x:c>
      <x:c r="GX509">
        <x:f t="shared" si="597"/>
        <x:v>0</x:v>
      </x:c>
      <x:c r="GY509">
        <x:f t="shared" si="598"/>
        <x:v>0</x:v>
      </x:c>
      <x:c r="GZ509">
        <x:f t="shared" si="599"/>
        <x:v>0</x:v>
      </x:c>
      <x:c r="HA509">
        <x:f t="shared" si="600"/>
        <x:v>0</x:v>
      </x:c>
      <x:c r="HB509" s="42">
        <x:f t="shared" si="601"/>
        <x:v>0</x:v>
      </x:c>
      <x:c r="HC509">
        <x:f t="shared" si="602"/>
        <x:v>0</x:v>
      </x:c>
      <x:c r="HD509">
        <x:f t="shared" si="603"/>
        <x:v>0</x:v>
      </x:c>
      <x:c r="HE509">
        <x:f t="shared" si="604"/>
        <x:v>0</x:v>
      </x:c>
      <x:c r="HF509">
        <x:f t="shared" si="605"/>
        <x:v>0</x:v>
      </x:c>
      <x:c r="HG509">
        <x:f t="shared" si="606"/>
        <x:v>0</x:v>
      </x:c>
      <x:c r="HH509">
        <x:f t="shared" si="607"/>
        <x:v>0</x:v>
      </x:c>
      <x:c r="HI509">
        <x:f t="shared" si="608"/>
        <x:v>0</x:v>
      </x:c>
      <x:c r="HJ509">
        <x:f t="shared" si="609"/>
        <x:v>0</x:v>
      </x:c>
      <x:c r="HK509">
        <x:f t="shared" si="610"/>
        <x:v>0</x:v>
      </x:c>
      <x:c r="HL509">
        <x:f t="shared" si="611"/>
        <x:v>0</x:v>
      </x:c>
    </x:row>
    <x:row r="510">
      <x:c r="D510" s="74"/>
      <x:c r="EQ510">
        <x:f t="shared" si="538"/>
        <x:v>0</x:v>
      </x:c>
      <x:c r="ER510">
        <x:f t="shared" si="539"/>
        <x:v>0</x:v>
      </x:c>
      <x:c r="ES510">
        <x:f t="shared" si="540"/>
        <x:v>0</x:v>
      </x:c>
      <x:c r="ET510">
        <x:f t="shared" si="541"/>
        <x:v>0</x:v>
      </x:c>
      <x:c r="EU510">
        <x:f t="shared" si="542"/>
        <x:v>0</x:v>
      </x:c>
      <x:c r="EV510">
        <x:f t="shared" si="543"/>
        <x:v>0</x:v>
      </x:c>
      <x:c r="EW510">
        <x:f t="shared" si="544"/>
        <x:v>0</x:v>
      </x:c>
      <x:c r="EX510">
        <x:f t="shared" si="545"/>
        <x:v>0</x:v>
      </x:c>
      <x:c r="EY510">
        <x:f t="shared" si="546"/>
        <x:v>0</x:v>
      </x:c>
      <x:c r="EZ510">
        <x:f t="shared" si="547"/>
        <x:v>0</x:v>
      </x:c>
      <x:c r="FA510" s="41">
        <x:f t="shared" si="548"/>
        <x:v>0</x:v>
      </x:c>
      <x:c r="FB510">
        <x:f t="shared" si="549"/>
        <x:v>0</x:v>
      </x:c>
      <x:c r="FC510">
        <x:f t="shared" si="550"/>
        <x:v>0</x:v>
      </x:c>
      <x:c r="FD510">
        <x:f t="shared" si="551"/>
        <x:v>0</x:v>
      </x:c>
      <x:c r="FE510">
        <x:f t="shared" si="552"/>
        <x:v>0</x:v>
      </x:c>
      <x:c r="FF510">
        <x:f t="shared" si="553"/>
        <x:v>0</x:v>
      </x:c>
      <x:c r="FG510">
        <x:f t="shared" si="554"/>
        <x:v>0</x:v>
      </x:c>
      <x:c r="FH510">
        <x:f t="shared" si="555"/>
        <x:v>0</x:v>
      </x:c>
      <x:c r="FI510">
        <x:f t="shared" si="556"/>
        <x:v>0</x:v>
      </x:c>
      <x:c r="FJ510">
        <x:f t="shared" si="557"/>
        <x:v>0</x:v>
      </x:c>
      <x:c r="FK510">
        <x:f t="shared" si="558"/>
        <x:v>0</x:v>
      </x:c>
      <x:c r="FL510" s="41">
        <x:f t="shared" si="559"/>
        <x:v>0</x:v>
      </x:c>
      <x:c r="FM510">
        <x:f t="shared" si="560"/>
        <x:v>0</x:v>
      </x:c>
      <x:c r="FN510">
        <x:f t="shared" si="561"/>
        <x:v>0</x:v>
      </x:c>
      <x:c r="FO510">
        <x:f t="shared" si="562"/>
        <x:v>0</x:v>
      </x:c>
      <x:c r="FP510">
        <x:f t="shared" si="563"/>
        <x:v>0</x:v>
      </x:c>
      <x:c r="FQ510">
        <x:f t="shared" si="564"/>
        <x:v>0</x:v>
      </x:c>
      <x:c r="FR510">
        <x:f t="shared" si="565"/>
        <x:v>0</x:v>
      </x:c>
      <x:c r="FS510">
        <x:f t="shared" si="566"/>
        <x:v>0</x:v>
      </x:c>
      <x:c r="FT510">
        <x:f t="shared" si="567"/>
        <x:v>0</x:v>
      </x:c>
      <x:c r="FU510">
        <x:f t="shared" si="568"/>
        <x:v>0</x:v>
      </x:c>
      <x:c r="FV510">
        <x:f t="shared" si="569"/>
        <x:v>0</x:v>
      </x:c>
      <x:c r="FW510" s="41">
        <x:f t="shared" si="570"/>
        <x:v>0</x:v>
      </x:c>
      <x:c r="FX510">
        <x:f t="shared" si="571"/>
        <x:v>0</x:v>
      </x:c>
      <x:c r="FY510">
        <x:f t="shared" si="572"/>
        <x:v>0</x:v>
      </x:c>
      <x:c r="FZ510">
        <x:f t="shared" si="573"/>
        <x:v>0</x:v>
      </x:c>
      <x:c r="GA510">
        <x:f t="shared" si="574"/>
        <x:v>0</x:v>
      </x:c>
      <x:c r="GB510">
        <x:f t="shared" si="575"/>
        <x:v>0</x:v>
      </x:c>
      <x:c r="GC510">
        <x:f t="shared" si="576"/>
        <x:v>0</x:v>
      </x:c>
      <x:c r="GD510">
        <x:f t="shared" si="577"/>
        <x:v>0</x:v>
      </x:c>
      <x:c r="GE510">
        <x:f t="shared" si="578"/>
        <x:v>0</x:v>
      </x:c>
      <x:c r="GF510">
        <x:f t="shared" si="579"/>
        <x:v>0</x:v>
      </x:c>
      <x:c r="GG510">
        <x:f t="shared" si="580"/>
        <x:v>0</x:v>
      </x:c>
      <x:c r="GH510">
        <x:f t="shared" si="581"/>
        <x:v>0</x:v>
      </x:c>
      <x:c r="GI510">
        <x:f t="shared" si="582"/>
        <x:v>0</x:v>
      </x:c>
      <x:c r="GJ510">
        <x:f t="shared" si="583"/>
        <x:v>0</x:v>
      </x:c>
      <x:c r="GK510">
        <x:f t="shared" si="584"/>
        <x:v>0</x:v>
      </x:c>
      <x:c r="GL510">
        <x:f t="shared" si="585"/>
        <x:v>0</x:v>
      </x:c>
      <x:c r="GM510">
        <x:f t="shared" si="586"/>
        <x:v>0</x:v>
      </x:c>
      <x:c r="GN510">
        <x:f t="shared" si="587"/>
        <x:v>0</x:v>
      </x:c>
      <x:c r="GO510">
        <x:f t="shared" si="588"/>
        <x:v>0</x:v>
      </x:c>
      <x:c r="GP510">
        <x:f t="shared" si="589"/>
        <x:v>0</x:v>
      </x:c>
      <x:c r="GQ510">
        <x:f t="shared" si="590"/>
        <x:v>0</x:v>
      </x:c>
      <x:c r="GR510" s="42">
        <x:f t="shared" si="591"/>
        <x:v>0</x:v>
      </x:c>
      <x:c r="GS510">
        <x:f t="shared" si="592"/>
        <x:v>0</x:v>
      </x:c>
      <x:c r="GT510">
        <x:f t="shared" si="593"/>
        <x:v>0</x:v>
      </x:c>
      <x:c r="GU510">
        <x:f t="shared" si="594"/>
        <x:v>0</x:v>
      </x:c>
      <x:c r="GV510">
        <x:f t="shared" si="595"/>
        <x:v>0</x:v>
      </x:c>
      <x:c r="GW510">
        <x:f t="shared" si="596"/>
        <x:v>0</x:v>
      </x:c>
      <x:c r="GX510">
        <x:f t="shared" si="597"/>
        <x:v>0</x:v>
      </x:c>
      <x:c r="GY510">
        <x:f t="shared" si="598"/>
        <x:v>0</x:v>
      </x:c>
      <x:c r="GZ510">
        <x:f t="shared" si="599"/>
        <x:v>0</x:v>
      </x:c>
      <x:c r="HA510">
        <x:f t="shared" si="600"/>
        <x:v>0</x:v>
      </x:c>
      <x:c r="HB510" s="42">
        <x:f t="shared" si="601"/>
        <x:v>0</x:v>
      </x:c>
      <x:c r="HC510">
        <x:f t="shared" si="602"/>
        <x:v>0</x:v>
      </x:c>
      <x:c r="HD510">
        <x:f t="shared" si="603"/>
        <x:v>0</x:v>
      </x:c>
      <x:c r="HE510">
        <x:f t="shared" si="604"/>
        <x:v>0</x:v>
      </x:c>
      <x:c r="HF510">
        <x:f t="shared" si="605"/>
        <x:v>0</x:v>
      </x:c>
      <x:c r="HG510">
        <x:f t="shared" si="606"/>
        <x:v>0</x:v>
      </x:c>
      <x:c r="HH510">
        <x:f t="shared" si="607"/>
        <x:v>0</x:v>
      </x:c>
      <x:c r="HI510">
        <x:f t="shared" si="608"/>
        <x:v>0</x:v>
      </x:c>
      <x:c r="HJ510">
        <x:f t="shared" si="609"/>
        <x:v>0</x:v>
      </x:c>
      <x:c r="HK510">
        <x:f t="shared" si="610"/>
        <x:v>0</x:v>
      </x:c>
      <x:c r="HL510">
        <x:f t="shared" si="611"/>
        <x:v>0</x:v>
      </x:c>
    </x:row>
    <x:row r="511">
      <x:c r="D511" s="74"/>
      <x:c r="EQ511">
        <x:f t="shared" si="538"/>
        <x:v>0</x:v>
      </x:c>
      <x:c r="ER511">
        <x:f t="shared" si="539"/>
        <x:v>0</x:v>
      </x:c>
      <x:c r="ES511">
        <x:f t="shared" si="540"/>
        <x:v>0</x:v>
      </x:c>
      <x:c r="ET511">
        <x:f t="shared" si="541"/>
        <x:v>0</x:v>
      </x:c>
      <x:c r="EU511">
        <x:f t="shared" si="542"/>
        <x:v>0</x:v>
      </x:c>
      <x:c r="EV511">
        <x:f t="shared" si="543"/>
        <x:v>0</x:v>
      </x:c>
      <x:c r="EW511">
        <x:f t="shared" si="544"/>
        <x:v>0</x:v>
      </x:c>
      <x:c r="EX511">
        <x:f t="shared" si="545"/>
        <x:v>0</x:v>
      </x:c>
      <x:c r="EY511">
        <x:f t="shared" si="546"/>
        <x:v>0</x:v>
      </x:c>
      <x:c r="EZ511">
        <x:f t="shared" si="547"/>
        <x:v>0</x:v>
      </x:c>
      <x:c r="FA511" s="41">
        <x:f t="shared" si="548"/>
        <x:v>0</x:v>
      </x:c>
      <x:c r="FB511">
        <x:f t="shared" si="549"/>
        <x:v>0</x:v>
      </x:c>
      <x:c r="FC511">
        <x:f t="shared" si="550"/>
        <x:v>0</x:v>
      </x:c>
      <x:c r="FD511">
        <x:f t="shared" si="551"/>
        <x:v>0</x:v>
      </x:c>
      <x:c r="FE511">
        <x:f t="shared" si="552"/>
        <x:v>0</x:v>
      </x:c>
      <x:c r="FF511">
        <x:f t="shared" si="553"/>
        <x:v>0</x:v>
      </x:c>
      <x:c r="FG511">
        <x:f t="shared" si="554"/>
        <x:v>0</x:v>
      </x:c>
      <x:c r="FH511">
        <x:f t="shared" si="555"/>
        <x:v>0</x:v>
      </x:c>
      <x:c r="FI511">
        <x:f t="shared" si="556"/>
        <x:v>0</x:v>
      </x:c>
      <x:c r="FJ511">
        <x:f t="shared" si="557"/>
        <x:v>0</x:v>
      </x:c>
      <x:c r="FK511">
        <x:f t="shared" si="558"/>
        <x:v>0</x:v>
      </x:c>
      <x:c r="FL511" s="41">
        <x:f t="shared" si="559"/>
        <x:v>0</x:v>
      </x:c>
      <x:c r="FM511">
        <x:f t="shared" si="560"/>
        <x:v>0</x:v>
      </x:c>
      <x:c r="FN511">
        <x:f t="shared" si="561"/>
        <x:v>0</x:v>
      </x:c>
      <x:c r="FO511">
        <x:f t="shared" si="562"/>
        <x:v>0</x:v>
      </x:c>
      <x:c r="FP511">
        <x:f t="shared" si="563"/>
        <x:v>0</x:v>
      </x:c>
      <x:c r="FQ511">
        <x:f t="shared" si="564"/>
        <x:v>0</x:v>
      </x:c>
      <x:c r="FR511">
        <x:f t="shared" si="565"/>
        <x:v>0</x:v>
      </x:c>
      <x:c r="FS511">
        <x:f t="shared" si="566"/>
        <x:v>0</x:v>
      </x:c>
      <x:c r="FT511">
        <x:f t="shared" si="567"/>
        <x:v>0</x:v>
      </x:c>
      <x:c r="FU511">
        <x:f t="shared" si="568"/>
        <x:v>0</x:v>
      </x:c>
      <x:c r="FV511">
        <x:f t="shared" si="569"/>
        <x:v>0</x:v>
      </x:c>
      <x:c r="FW511" s="41">
        <x:f t="shared" si="570"/>
        <x:v>0</x:v>
      </x:c>
      <x:c r="FX511">
        <x:f t="shared" si="571"/>
        <x:v>0</x:v>
      </x:c>
      <x:c r="FY511">
        <x:f t="shared" si="572"/>
        <x:v>0</x:v>
      </x:c>
      <x:c r="FZ511">
        <x:f t="shared" si="573"/>
        <x:v>0</x:v>
      </x:c>
      <x:c r="GA511">
        <x:f t="shared" si="574"/>
        <x:v>0</x:v>
      </x:c>
      <x:c r="GB511">
        <x:f t="shared" si="575"/>
        <x:v>0</x:v>
      </x:c>
      <x:c r="GC511">
        <x:f t="shared" si="576"/>
        <x:v>0</x:v>
      </x:c>
      <x:c r="GD511">
        <x:f t="shared" si="577"/>
        <x:v>0</x:v>
      </x:c>
      <x:c r="GE511">
        <x:f t="shared" si="578"/>
        <x:v>0</x:v>
      </x:c>
      <x:c r="GF511">
        <x:f t="shared" si="579"/>
        <x:v>0</x:v>
      </x:c>
      <x:c r="GG511">
        <x:f t="shared" si="580"/>
        <x:v>0</x:v>
      </x:c>
      <x:c r="GH511">
        <x:f t="shared" si="581"/>
        <x:v>0</x:v>
      </x:c>
      <x:c r="GI511">
        <x:f t="shared" si="582"/>
        <x:v>0</x:v>
      </x:c>
      <x:c r="GJ511">
        <x:f t="shared" si="583"/>
        <x:v>0</x:v>
      </x:c>
      <x:c r="GK511">
        <x:f t="shared" si="584"/>
        <x:v>0</x:v>
      </x:c>
      <x:c r="GL511">
        <x:f t="shared" si="585"/>
        <x:v>0</x:v>
      </x:c>
      <x:c r="GM511">
        <x:f t="shared" si="586"/>
        <x:v>0</x:v>
      </x:c>
      <x:c r="GN511">
        <x:f t="shared" si="587"/>
        <x:v>0</x:v>
      </x:c>
      <x:c r="GO511">
        <x:f t="shared" si="588"/>
        <x:v>0</x:v>
      </x:c>
      <x:c r="GP511">
        <x:f t="shared" si="589"/>
        <x:v>0</x:v>
      </x:c>
      <x:c r="GQ511">
        <x:f t="shared" si="590"/>
        <x:v>0</x:v>
      </x:c>
      <x:c r="GR511" s="42">
        <x:f t="shared" si="591"/>
        <x:v>0</x:v>
      </x:c>
      <x:c r="GS511">
        <x:f t="shared" si="592"/>
        <x:v>0</x:v>
      </x:c>
      <x:c r="GT511">
        <x:f t="shared" si="593"/>
        <x:v>0</x:v>
      </x:c>
      <x:c r="GU511">
        <x:f t="shared" si="594"/>
        <x:v>0</x:v>
      </x:c>
      <x:c r="GV511">
        <x:f t="shared" si="595"/>
        <x:v>0</x:v>
      </x:c>
      <x:c r="GW511">
        <x:f t="shared" si="596"/>
        <x:v>0</x:v>
      </x:c>
      <x:c r="GX511">
        <x:f t="shared" si="597"/>
        <x:v>0</x:v>
      </x:c>
      <x:c r="GY511">
        <x:f t="shared" si="598"/>
        <x:v>0</x:v>
      </x:c>
      <x:c r="GZ511">
        <x:f t="shared" si="599"/>
        <x:v>0</x:v>
      </x:c>
      <x:c r="HA511">
        <x:f t="shared" si="600"/>
        <x:v>0</x:v>
      </x:c>
      <x:c r="HB511" s="42">
        <x:f t="shared" si="601"/>
        <x:v>0</x:v>
      </x:c>
      <x:c r="HC511">
        <x:f t="shared" si="602"/>
        <x:v>0</x:v>
      </x:c>
      <x:c r="HD511">
        <x:f t="shared" si="603"/>
        <x:v>0</x:v>
      </x:c>
      <x:c r="HE511">
        <x:f t="shared" si="604"/>
        <x:v>0</x:v>
      </x:c>
      <x:c r="HF511">
        <x:f t="shared" si="605"/>
        <x:v>0</x:v>
      </x:c>
      <x:c r="HG511">
        <x:f t="shared" si="606"/>
        <x:v>0</x:v>
      </x:c>
      <x:c r="HH511">
        <x:f t="shared" si="607"/>
        <x:v>0</x:v>
      </x:c>
      <x:c r="HI511">
        <x:f t="shared" si="608"/>
        <x:v>0</x:v>
      </x:c>
      <x:c r="HJ511">
        <x:f t="shared" si="609"/>
        <x:v>0</x:v>
      </x:c>
      <x:c r="HK511">
        <x:f t="shared" si="610"/>
        <x:v>0</x:v>
      </x:c>
      <x:c r="HL511">
        <x:f t="shared" si="611"/>
        <x:v>0</x:v>
      </x:c>
    </x:row>
    <x:row r="512" hidden="1">
      <x:c r="D512" s="74"/>
    </x:row>
    <x:row r="513" hidden="1">
      <x:c r="D513" s="74"/>
    </x:row>
    <x:row r="514" hidden="1">
      <x:c r="D514" s="74"/>
    </x:row>
    <x:row r="515" hidden="1">
      <x:c r="D515" s="74"/>
    </x:row>
    <x:row r="516" hidden="1">
      <x:c r="D516" s="74"/>
    </x:row>
    <x:row r="517" hidden="1">
      <x:c r="D517" s="74"/>
    </x:row>
    <x:row r="518" hidden="1">
      <x:c r="D518" s="74"/>
    </x:row>
    <x:row r="519" hidden="1">
      <x:c r="D519" s="74"/>
    </x:row>
    <x:row r="520" hidden="1">
      <x:c r="D520" s="74"/>
    </x:row>
    <x:row r="521" hidden="1">
      <x:c r="D521" s="74"/>
    </x:row>
    <x:row r="522" hidden="1">
      <x:c r="D522" s="74"/>
    </x:row>
    <x:row r="523" hidden="1">
      <x:c r="D523" s="74"/>
    </x:row>
    <x:row r="524" hidden="1">
      <x:c r="D524" s="74"/>
    </x:row>
    <x:row r="525" hidden="1">
      <x:c r="D525" s="74"/>
    </x:row>
    <x:row r="526" hidden="1">
      <x:c r="D526" s="74"/>
    </x:row>
    <x:row r="527" hidden="1">
      <x:c r="D527" s="74"/>
    </x:row>
    <x:row r="528" hidden="1">
      <x:c r="D528" s="74"/>
    </x:row>
    <x:row r="529" hidden="1">
      <x:c r="D529" s="74"/>
    </x:row>
    <x:row r="530" hidden="1">
      <x:c r="D530" s="74"/>
    </x:row>
    <x:row r="531" hidden="1">
      <x:c r="D531" s="74"/>
    </x:row>
    <x:row r="532" hidden="1">
      <x:c r="D532" s="74"/>
    </x:row>
    <x:row r="533" hidden="1">
      <x:c r="D533" s="74"/>
    </x:row>
    <x:row r="534" hidden="1">
      <x:c r="D534" s="74"/>
    </x:row>
    <x:row r="535" hidden="1">
      <x:c r="D535" s="74"/>
    </x:row>
    <x:row r="536" hidden="1">
      <x:c r="D536" s="74"/>
    </x:row>
    <x:row r="537" hidden="1">
      <x:c r="D537" s="74"/>
    </x:row>
    <x:row r="538" hidden="1">
      <x:c r="D538" s="74"/>
    </x:row>
    <x:row r="539" hidden="1">
      <x:c r="D539" s="74"/>
    </x:row>
    <x:row r="540" hidden="1">
      <x:c r="D540" s="74"/>
    </x:row>
    <x:row r="541" hidden="1">
      <x:c r="D541" s="74"/>
    </x:row>
    <x:row r="542" hidden="1">
      <x:c r="D542" s="74"/>
    </x:row>
    <x:row r="543" hidden="1">
      <x:c r="D543" s="74"/>
    </x:row>
    <x:row r="544" hidden="1">
      <x:c r="D544" s="74"/>
    </x:row>
    <x:row r="545" hidden="1">
      <x:c r="D545" s="74"/>
    </x:row>
    <x:row r="546" hidden="1">
      <x:c r="D546" s="74"/>
    </x:row>
    <x:row r="547" hidden="1">
      <x:c r="D547" s="74"/>
    </x:row>
    <x:row r="548" hidden="1">
      <x:c r="D548" s="74"/>
    </x:row>
    <x:row r="549" hidden="1">
      <x:c r="D549" s="74"/>
    </x:row>
    <x:row r="550" hidden="1">
      <x:c r="D550" s="74"/>
    </x:row>
    <x:row r="551" hidden="1">
      <x:c r="D551" s="74"/>
    </x:row>
    <x:row r="552" hidden="1">
      <x:c r="D552" s="74"/>
    </x:row>
    <x:row r="553" hidden="1">
      <x:c r="D553" s="74"/>
    </x:row>
    <x:row r="554" hidden="1">
      <x:c r="D554" s="74"/>
    </x:row>
    <x:row r="555" hidden="1">
      <x:c r="D555" s="74"/>
    </x:row>
    <x:row r="556" hidden="1">
      <x:c r="D556" s="74"/>
    </x:row>
    <x:row r="557" hidden="1">
      <x:c r="D557" s="74"/>
    </x:row>
    <x:row r="558" hidden="1">
      <x:c r="D558" s="74"/>
    </x:row>
    <x:row r="559" hidden="1">
      <x:c r="D559" s="74"/>
    </x:row>
    <x:row r="560" hidden="1">
      <x:c r="D560" s="74"/>
    </x:row>
    <x:row r="561" hidden="1">
      <x:c r="D561" s="74"/>
    </x:row>
    <x:row r="562" hidden="1">
      <x:c r="D562" s="74"/>
    </x:row>
    <x:row r="563" hidden="1">
      <x:c r="D563" s="74"/>
    </x:row>
    <x:row r="564" hidden="1">
      <x:c r="D564" s="74"/>
    </x:row>
    <x:row r="565" hidden="1">
      <x:c r="D565" s="74"/>
    </x:row>
    <x:row r="566" hidden="1">
      <x:c r="D566" s="74"/>
    </x:row>
    <x:row r="567" hidden="1">
      <x:c r="D567" s="74"/>
    </x:row>
    <x:row r="568" hidden="1">
      <x:c r="D568" s="74"/>
    </x:row>
    <x:row r="569" hidden="1">
      <x:c r="D569" s="74"/>
    </x:row>
    <x:row r="570" hidden="1">
      <x:c r="D570" s="74"/>
    </x:row>
    <x:row r="571" hidden="1">
      <x:c r="D571" s="74"/>
    </x:row>
    <x:row r="572" hidden="1">
      <x:c r="D572" s="74"/>
    </x:row>
    <x:row r="573" hidden="1">
      <x:c r="D573" s="74"/>
    </x:row>
    <x:row r="574" hidden="1">
      <x:c r="D574" s="74"/>
    </x:row>
    <x:row r="575" hidden="1">
      <x:c r="D575" s="74"/>
    </x:row>
    <x:row r="576" hidden="1">
      <x:c r="D576" s="74"/>
    </x:row>
    <x:row r="577" hidden="1">
      <x:c r="D577" s="74"/>
    </x:row>
    <x:row r="578" hidden="1">
      <x:c r="D578" s="74"/>
    </x:row>
    <x:row r="579" hidden="1">
      <x:c r="D579" s="74"/>
    </x:row>
    <x:row r="580" hidden="1">
      <x:c r="D580" s="74"/>
    </x:row>
    <x:row r="581" hidden="1">
      <x:c r="D581" s="74"/>
    </x:row>
    <x:row r="582" hidden="1">
      <x:c r="D582" s="74"/>
    </x:row>
    <x:row r="583" hidden="1">
      <x:c r="D583" s="74"/>
    </x:row>
    <x:row r="584" hidden="1">
      <x:c r="D584" s="74"/>
    </x:row>
    <x:row r="585" hidden="1">
      <x:c r="D585" s="74"/>
    </x:row>
    <x:row r="586" hidden="1">
      <x:c r="D586" s="74"/>
    </x:row>
    <x:row r="587" hidden="1">
      <x:c r="D587" s="74"/>
    </x:row>
    <x:row r="588" hidden="1">
      <x:c r="D588" s="74"/>
    </x:row>
    <x:row r="589" hidden="1">
      <x:c r="D589" s="74"/>
    </x:row>
    <x:row r="590" hidden="1">
      <x:c r="D590" s="74"/>
    </x:row>
    <x:row r="591" hidden="1">
      <x:c r="D591" s="74"/>
    </x:row>
    <x:row r="592" hidden="1">
      <x:c r="D592" s="74"/>
    </x:row>
    <x:row r="593" hidden="1">
      <x:c r="D593" s="74"/>
    </x:row>
    <x:row r="594" hidden="1">
      <x:c r="D594" s="74"/>
    </x:row>
    <x:row r="595" hidden="1">
      <x:c r="D595" s="74"/>
    </x:row>
    <x:row r="596" hidden="1">
      <x:c r="D596" s="74"/>
    </x:row>
    <x:row r="597" hidden="1">
      <x:c r="D597" s="74"/>
    </x:row>
    <x:row r="598" hidden="1">
      <x:c r="D598" s="74"/>
    </x:row>
    <x:row r="599" hidden="1">
      <x:c r="D599" s="74"/>
    </x:row>
    <x:row r="600" hidden="1">
      <x:c r="D600" s="74"/>
    </x:row>
    <x:row r="601" hidden="1">
      <x:c r="D601" s="74"/>
    </x:row>
    <x:row r="602" hidden="1">
      <x:c r="D602" s="74"/>
    </x:row>
    <x:row r="603" hidden="1">
      <x:c r="D603" s="74"/>
    </x:row>
    <x:row r="604" hidden="1">
      <x:c r="D604" s="74"/>
    </x:row>
    <x:row r="605" hidden="1">
      <x:c r="D605" s="74"/>
    </x:row>
    <x:row r="606" hidden="1">
      <x:c r="D606" s="74"/>
    </x:row>
    <x:row r="607" hidden="1">
      <x:c r="D607" s="74"/>
    </x:row>
    <x:row r="608" hidden="1">
      <x:c r="D608" s="74"/>
    </x:row>
    <x:row r="609" hidden="1">
      <x:c r="D609" s="74"/>
    </x:row>
    <x:row r="610" hidden="1">
      <x:c r="D610" s="74"/>
    </x:row>
    <x:row r="611" hidden="1">
      <x:c r="D611" s="74"/>
    </x:row>
    <x:row r="612" hidden="1">
      <x:c r="D612" s="74"/>
    </x:row>
    <x:row r="613" hidden="1">
      <x:c r="D613" s="74"/>
    </x:row>
    <x:row r="614" hidden="1">
      <x:c r="D614" s="74"/>
    </x:row>
    <x:row r="615" hidden="1">
      <x:c r="D615" s="74"/>
    </x:row>
    <x:row r="616" hidden="1">
      <x:c r="D616" s="74"/>
    </x:row>
    <x:row r="617" hidden="1">
      <x:c r="D617" s="74"/>
    </x:row>
    <x:row r="618" hidden="1">
      <x:c r="D618" s="74"/>
    </x:row>
    <x:row r="619" hidden="1">
      <x:c r="D619" s="74"/>
    </x:row>
    <x:row r="620" hidden="1">
      <x:c r="D620" s="74"/>
    </x:row>
    <x:row r="621" hidden="1">
      <x:c r="D621" s="74"/>
    </x:row>
    <x:row r="622" hidden="1">
      <x:c r="D622" s="74"/>
    </x:row>
    <x:row r="623" hidden="1">
      <x:c r="D623" s="74"/>
    </x:row>
    <x:row r="624" hidden="1">
      <x:c r="D624" s="74"/>
    </x:row>
    <x:row r="625" hidden="1">
      <x:c r="D625" s="74"/>
    </x:row>
    <x:row r="626" hidden="1">
      <x:c r="D626" s="74"/>
    </x:row>
    <x:row r="627" hidden="1">
      <x:c r="D627" s="74"/>
    </x:row>
    <x:row r="628" hidden="1">
      <x:c r="D628" s="74"/>
    </x:row>
    <x:row r="629" hidden="1">
      <x:c r="D629" s="74"/>
    </x:row>
    <x:row r="630" hidden="1">
      <x:c r="D630" s="74"/>
    </x:row>
    <x:row r="631" hidden="1">
      <x:c r="D631" s="74"/>
    </x:row>
    <x:row r="632" hidden="1">
      <x:c r="D632" s="74"/>
    </x:row>
    <x:row r="633" hidden="1">
      <x:c r="D633" s="74"/>
    </x:row>
    <x:row r="634" hidden="1">
      <x:c r="D634" s="74"/>
    </x:row>
    <x:row r="635" hidden="1">
      <x:c r="D635" s="74"/>
    </x:row>
    <x:row r="636" hidden="1">
      <x:c r="D636" s="74"/>
    </x:row>
    <x:row r="637" hidden="1">
      <x:c r="D637" s="74"/>
    </x:row>
    <x:row r="638" hidden="1">
      <x:c r="D638" s="74"/>
    </x:row>
    <x:row r="639" hidden="1">
      <x:c r="D639" s="74"/>
    </x:row>
    <x:row r="640" hidden="1">
      <x:c r="D640" s="74"/>
    </x:row>
    <x:row r="641" hidden="1">
      <x:c r="D641" s="74"/>
    </x:row>
    <x:row r="642" hidden="1">
      <x:c r="D642" s="74"/>
    </x:row>
    <x:row r="643" hidden="1">
      <x:c r="D643" s="74"/>
    </x:row>
    <x:row r="644" hidden="1">
      <x:c r="D644" s="74"/>
    </x:row>
    <x:row r="645" hidden="1">
      <x:c r="D645" s="74"/>
    </x:row>
    <x:row r="646" hidden="1">
      <x:c r="D646" s="74"/>
    </x:row>
    <x:row r="647" hidden="1">
      <x:c r="D647" s="74"/>
    </x:row>
    <x:row r="648" hidden="1">
      <x:c r="D648" s="74"/>
    </x:row>
    <x:row r="649" hidden="1">
      <x:c r="D649" s="74"/>
    </x:row>
    <x:row r="650" hidden="1">
      <x:c r="D650" s="74"/>
    </x:row>
    <x:row r="651" hidden="1">
      <x:c r="D651" s="74"/>
    </x:row>
    <x:row r="652" hidden="1">
      <x:c r="D652" s="74"/>
    </x:row>
    <x:row r="653" hidden="1">
      <x:c r="D653" s="74"/>
    </x:row>
    <x:row r="654" hidden="1">
      <x:c r="D654" s="74"/>
    </x:row>
    <x:row r="655" hidden="1">
      <x:c r="D655" s="74"/>
    </x:row>
    <x:row r="656" hidden="1">
      <x:c r="D656" s="74"/>
    </x:row>
    <x:row r="657" hidden="1">
      <x:c r="D657" s="74"/>
    </x:row>
    <x:row r="658" hidden="1">
      <x:c r="D658" s="74"/>
    </x:row>
    <x:row r="659" hidden="1">
      <x:c r="D659" s="74"/>
    </x:row>
    <x:row r="660" hidden="1">
      <x:c r="D660" s="74"/>
    </x:row>
    <x:row r="661" hidden="1">
      <x:c r="D661" s="74"/>
    </x:row>
    <x:row r="662" hidden="1">
      <x:c r="D662" s="74"/>
    </x:row>
    <x:row r="663" hidden="1">
      <x:c r="D663" s="74"/>
    </x:row>
    <x:row r="664" hidden="1">
      <x:c r="D664" s="74"/>
    </x:row>
    <x:row r="665" hidden="1">
      <x:c r="D665" s="74"/>
    </x:row>
    <x:row r="666" hidden="1">
      <x:c r="D666" s="74"/>
    </x:row>
    <x:row r="667" hidden="1">
      <x:c r="D667" s="74"/>
    </x:row>
    <x:row r="668" hidden="1">
      <x:c r="D668" s="74"/>
    </x:row>
    <x:row r="669" hidden="1">
      <x:c r="D669" s="74"/>
    </x:row>
    <x:row r="670" hidden="1">
      <x:c r="D670" s="74"/>
    </x:row>
    <x:row r="671" hidden="1">
      <x:c r="D671" s="74"/>
    </x:row>
    <x:row r="672" hidden="1">
      <x:c r="D672" s="74"/>
    </x:row>
    <x:row r="673" hidden="1">
      <x:c r="D673" s="74"/>
    </x:row>
    <x:row r="674" hidden="1">
      <x:c r="D674" s="74"/>
    </x:row>
    <x:row r="675" hidden="1">
      <x:c r="D675" s="74"/>
    </x:row>
    <x:row r="676" hidden="1">
      <x:c r="D676" s="74"/>
    </x:row>
    <x:row r="677" hidden="1">
      <x:c r="D677" s="74"/>
    </x:row>
    <x:row r="678" hidden="1">
      <x:c r="D678" s="74"/>
    </x:row>
    <x:row r="679" hidden="1">
      <x:c r="D679" s="74"/>
    </x:row>
    <x:row r="680" hidden="1">
      <x:c r="D680" s="74"/>
    </x:row>
    <x:row r="681" hidden="1">
      <x:c r="D681" s="74"/>
    </x:row>
    <x:row r="682" hidden="1">
      <x:c r="D682" s="74"/>
    </x:row>
    <x:row r="683" hidden="1">
      <x:c r="D683" s="74"/>
    </x:row>
    <x:row r="684" hidden="1">
      <x:c r="D684" s="74"/>
    </x:row>
    <x:row r="685" hidden="1">
      <x:c r="D685" s="74"/>
    </x:row>
    <x:row r="686" hidden="1">
      <x:c r="D686" s="74"/>
    </x:row>
    <x:row r="687" hidden="1">
      <x:c r="D687" s="74"/>
    </x:row>
    <x:row r="688" hidden="1">
      <x:c r="D688" s="74"/>
    </x:row>
    <x:row r="689" hidden="1">
      <x:c r="D689" s="74"/>
    </x:row>
    <x:row r="690" hidden="1">
      <x:c r="D690" s="74"/>
    </x:row>
    <x:row r="691" hidden="1">
      <x:c r="D691" s="74"/>
    </x:row>
    <x:row r="692" hidden="1">
      <x:c r="D692" s="74"/>
    </x:row>
    <x:row r="693" hidden="1">
      <x:c r="D693" s="74"/>
    </x:row>
    <x:row r="694" hidden="1">
      <x:c r="D694" s="74"/>
    </x:row>
    <x:row r="695" hidden="1">
      <x:c r="D695" s="74"/>
    </x:row>
  </x:sheetData>
  <x:mergeCells>
    <x:mergeCell ref="A1:T1"/>
    <x:mergeCell ref="A2:T2"/>
    <x:mergeCell ref="A3:D3"/>
    <x:mergeCell ref="A4:D4"/>
    <x:mergeCell ref="A5:D5"/>
    <x:mergeCell ref="A6:D6"/>
    <x:mergeCell ref="A7:A13"/>
    <x:mergeCell ref="B7:B13"/>
    <x:mergeCell ref="C7:C13"/>
    <x:mergeCell ref="EQ11:FA11"/>
    <x:mergeCell ref="HC11:HL11"/>
    <x:mergeCell ref="FB11:FL11"/>
    <x:mergeCell ref="FM11:FW11"/>
    <x:mergeCell ref="FX11:GH11"/>
    <x:mergeCell ref="GI11:GR11"/>
    <x:mergeCell ref="GS11:HB11"/>
  </x:mergeCells>
  <x:dataValidations count="1">
    <x:dataValidation type="list" allowBlank="1" showInputMessage="1" showErrorMessage="1" sqref="E8:EP8">
      <x:formula1>$HN$1:$HN$7</x:formula1>
      <x:formula2>0</x:formula2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FFC000"/>
  </x:sheetPr>
  <x:sheetFormatPr defaultColWidth="8.7109375" defaultRowHeight="15"/>
  <x:cols>
    <x:col min="2" max="2" width="23.28515625" customWidth="1"/>
    <x:col min="3" max="3" width="27.85546875" customWidth="1"/>
    <x:col min="4" max="5" width="9.7109375" customWidth="1"/>
    <x:col min="28" max="28" width="12.42578125" customWidth="1"/>
    <x:col min="29" max="29" width="10.7109375" customWidth="1"/>
    <x:col min="32" max="32" width="11.5703125" style="77" hidden="1" customWidth="1"/>
    <x:col min="33" max="34" width="8.85546875" hidden="1" customWidth="1"/>
    <x:col min="35" max="35" width="8.85546875" style="78" customWidth="1"/>
    <x:col min="36" max="36" width="8.85546875" customWidth="1"/>
    <x:col min="60" max="60" width="8.85546875" style="79" customWidth="1"/>
    <x:col min="86" max="86" width="8.85546875" style="79" customWidth="1"/>
  </x:cols>
  <x:sheetData>
    <x:row r="1" ht="17.25" customHeight="1">
      <x:c r="A1" s="205" t="s">
        <x:v>225</x:v>
      </x:c>
      <x:c r="B1" s="205"/>
      <x:c r="C1" s="205"/>
      <x:c r="D1" s="205"/>
      <x:c r="E1" s="205"/>
      <x:c r="F1" s="205"/>
      <x:c r="G1" s="205"/>
      <x:c r="H1" s="205"/>
      <x:c r="I1" s="205"/>
      <x:c r="J1" s="205"/>
      <x:c r="K1" s="205"/>
      <x:c r="L1" s="205"/>
      <x:c r="M1" s="205"/>
      <x:c r="N1" s="205"/>
      <x:c r="O1" s="205"/>
      <x:c r="P1" s="205"/>
      <x:c r="Q1" s="205"/>
      <x:c r="R1" s="205"/>
      <x:c r="S1" s="205"/>
      <x:c r="T1" s="4"/>
      <x:c r="U1" s="4"/>
      <x:c r="AG1" s="80"/>
      <x:c r="AH1" s="80"/>
    </x:row>
    <x:row r="2">
      <x:c r="A2" s="216" t="str">
        <x:f>CONCATENATE("Course: ",SETUP!B3," (",SETUP!D3,")   |   Section: ",SETUP!B4,"   |   Term: ",SETUP!D4,"   |   Faculty: ",SETUP!B5)</x:f>
        <x:v>Course: Introduction to Computing (IT 101)   |   Section: BSIT - 1A   |   Term: 1st Sem, AY 2026-2027   |   Faculty: Sample: Prof. Juan Dela Cruz</x:v>
      </x:c>
      <x:c r="B2" s="216"/>
      <x:c r="C2" s="216"/>
      <x:c r="D2" s="216"/>
      <x:c r="E2" s="216"/>
      <x:c r="F2" s="216"/>
      <x:c r="G2" s="216"/>
      <x:c r="H2" s="216"/>
      <x:c r="I2" s="216"/>
      <x:c r="J2" s="216"/>
      <x:c r="K2" s="216"/>
      <x:c r="L2" s="216"/>
      <x:c r="M2" s="216"/>
      <x:c r="N2" s="216"/>
      <x:c r="O2" s="216"/>
      <x:c r="P2" s="216"/>
      <x:c r="Q2" s="216"/>
      <x:c r="R2" s="216"/>
      <x:c r="S2" s="216"/>
      <x:c r="T2" s="2"/>
      <x:c r="U2" s="2"/>
    </x:row>
    <x:row r="3">
      <x:c r="E3" s="230" t="s">
        <x:v>226</x:v>
      </x:c>
      <x:c r="F3" s="230"/>
      <x:c r="G3" s="230"/>
      <x:c r="H3" s="231" t="str">
        <x:f t="array" ref="H3">_xlfn.IFS(C4="RLE &amp; LECTURE", "RLE", C4="LAB &amp; LECTURE", "LAB", TRUE(), "")</x:f>
      </x:c>
      <x:c r="I3" s="231"/>
      <x:c r="J3" s="231"/>
      <x:c r="K3" s="232" t="str">
        <x:f t="array" ref="K3">_xlfn.IFS(C4="RLE &amp; LECTURE", "OVERALL", C4="LAB &amp; LECTURE", "OVERALL", TRUE(), "")</x:f>
      </x:c>
      <x:c r="L3" s="232"/>
      <x:c r="M3" s="3"/>
      <x:c r="AG3">
        <x:v>10</x:v>
      </x:c>
      <x:c r="AH3" t="s">
        <x:v>226</x:v>
      </x:c>
    </x:row>
    <x:row r="4">
      <x:c r="B4" s="38" t="s">
        <x:v>227</x:v>
      </x:c>
      <x:c r="C4" s="81" t="s">
        <x:v>226</x:v>
      </x:c>
      <x:c r="D4" s="82"/>
      <x:c r="E4" s="83" t="s">
        <x:v>228</x:v>
      </x:c>
      <x:c r="F4" s="83" t="s">
        <x:v>139</x:v>
      </x:c>
      <x:c r="G4" s="83" t="str">
        <x:f>IF(C4="PE/SF/OJT/RESEARCH", "OUTPUT",  "EXAM")</x:f>
        <x:v>EXAM</x:v>
      </x:c>
      <x:c r="H4" s="83" t="str">
        <x:f t="array" ref="H4">_xlfn.IFS(C4="LECTURE","", C4="PE/SF/OJT/RESEARCH","",TRUE(),"TLA")</x:f>
      </x:c>
      <x:c r="I4" s="83" t="str">
        <x:f t="array" ref="I4">_xlfn.IFS(C4="LECTURE","", C4="PE/SF/OJT/RESEARCH","",TRUE(),"AT")</x:f>
      </x:c>
      <x:c r="J4" s="83" t="str">
        <x:f t="array" ref="J4">_xlfn.IFS(C4="LECTURE","", C4="PE/SF/OJT/RESEARCH","",TRUE(),"OUTPUT")</x:f>
      </x:c>
      <x:c r="K4" s="83" t="str">
        <x:f t="array" ref="K4">_xlfn.IFS(C4="LECTURE","", C4="PE/SF/OJT/RESEARCH","",TRUE(),"LECTURE")</x:f>
      </x:c>
      <x:c r="L4" s="83" t="str">
        <x:f t="array" ref="L4">_xlfn.IFS(C4="RLE &amp; LECTURE", "RLE", C4="LAB &amp; LECTURE", "LAB", TRUE(), "")</x:f>
      </x:c>
      <x:c r="M4" s="84"/>
      <x:c r="AG4">
        <x:v>15</x:v>
      </x:c>
      <x:c r="AH4" t="s">
        <x:v>229</x:v>
      </x:c>
    </x:row>
    <x:row r="5">
      <x:c r="C5" s="38" t="s">
        <x:v>230</x:v>
      </x:c>
      <x:c r="D5" s="38"/>
      <x:c r="E5" s="85">
        <x:v>40</x:v>
      </x:c>
      <x:c r="F5" s="85">
        <x:v>20</x:v>
      </x:c>
      <x:c r="G5" s="85">
        <x:v>40</x:v>
      </x:c>
      <x:c r="H5" s="85"/>
      <x:c r="I5" s="85"/>
      <x:c r="J5" s="85"/>
      <x:c r="K5" s="85"/>
      <x:c r="L5" s="85"/>
      <x:c r="M5" s="86"/>
      <x:c r="AG5">
        <x:v>20</x:v>
      </x:c>
      <x:c r="AH5" t="s">
        <x:v>231</x:v>
      </x:c>
    </x:row>
    <x:row r="6">
      <x:c r="C6" s="38" t="s">
        <x:v>232</x:v>
      </x:c>
      <x:c r="D6" s="38"/>
      <x:c r="E6" s="38"/>
      <x:c r="F6" s="87">
        <x:v>60</x:v>
      </x:c>
      <x:c r="G6" s="87">
        <x:v>40</x:v>
      </x:c>
      <x:c r="AG6">
        <x:v>25</x:v>
      </x:c>
    </x:row>
    <x:row r="7">
      <x:c r="C7" s="38" t="s">
        <x:v>233</x:v>
      </x:c>
      <x:c r="D7" s="38"/>
      <x:c r="E7" s="38"/>
      <x:c r="F7" s="224" t="s">
        <x:v>234</x:v>
      </x:c>
      <x:c r="G7" s="224"/>
      <x:c r="AG7">
        <x:v>30</x:v>
      </x:c>
    </x:row>
    <x:row r="8" ht="15" customHeight="1">
      <x:c r="C8" s="38"/>
      <x:c r="D8" s="38"/>
      <x:c r="E8" s="38"/>
      <x:c r="AG8">
        <x:v>35</x:v>
      </x:c>
      <x:c r="AJ8" s="225" t="s">
        <x:v>226</x:v>
      </x:c>
      <x:c r="AK8" s="225"/>
      <x:c r="AL8" s="225"/>
      <x:c r="AM8" s="225"/>
      <x:c r="AN8" s="225"/>
      <x:c r="AO8" s="225"/>
      <x:c r="AP8" s="225"/>
      <x:c r="AQ8" s="225"/>
      <x:c r="AR8" s="225"/>
      <x:c r="AS8" s="225"/>
      <x:c r="AT8" s="225"/>
      <x:c r="AU8" s="225"/>
      <x:c r="AV8" s="225"/>
      <x:c r="AW8" s="225"/>
      <x:c r="AX8" s="225"/>
      <x:c r="AY8" s="225"/>
      <x:c r="AZ8" s="225"/>
      <x:c r="BA8" s="225"/>
      <x:c r="BB8" s="225"/>
      <x:c r="BC8" s="225"/>
      <x:c r="BD8" s="225"/>
      <x:c r="BE8" s="225"/>
      <x:c r="BF8" s="225"/>
      <x:c r="BG8" s="225"/>
      <x:c r="BH8" s="225"/>
      <x:c r="BJ8" s="225" t="s">
        <x:v>235</x:v>
      </x:c>
      <x:c r="BK8" s="225"/>
      <x:c r="BL8" s="225"/>
      <x:c r="BM8" s="225"/>
      <x:c r="BN8" s="225"/>
      <x:c r="BO8" s="225"/>
      <x:c r="BP8" s="225"/>
      <x:c r="BQ8" s="225"/>
      <x:c r="BR8" s="225"/>
      <x:c r="BS8" s="225"/>
      <x:c r="BT8" s="225"/>
      <x:c r="BU8" s="225"/>
      <x:c r="BV8" s="225"/>
      <x:c r="BW8" s="225"/>
      <x:c r="BX8" s="225"/>
      <x:c r="BY8" s="225"/>
      <x:c r="BZ8" s="225"/>
      <x:c r="CA8" s="225"/>
      <x:c r="CB8" s="225"/>
      <x:c r="CC8" s="225"/>
      <x:c r="CD8" s="225"/>
      <x:c r="CE8" s="225"/>
      <x:c r="CF8" s="225"/>
      <x:c r="CG8" s="225"/>
      <x:c r="CH8" s="225"/>
    </x:row>
    <x:row r="9" ht="14.25" customHeight="1">
      <x:c r="A9" s="226" t="s">
        <x:v>172</x:v>
      </x:c>
      <x:c r="B9" s="227" t="s">
        <x:v>24</x:v>
      </x:c>
      <x:c r="C9" s="228" t="s">
        <x:v>25</x:v>
      </x:c>
      <x:c r="D9" s="219" t="s">
        <x:v>236</x:v>
      </x:c>
      <x:c r="E9" s="219"/>
      <x:c r="F9" s="219"/>
      <x:c r="G9" s="219"/>
      <x:c r="H9" s="219"/>
      <x:c r="I9" s="219"/>
      <x:c r="J9" s="219"/>
      <x:c r="K9" s="219"/>
      <x:c r="L9" s="218" t="s">
        <x:v>237</x:v>
      </x:c>
      <x:c r="M9" s="218"/>
      <x:c r="N9" s="218"/>
      <x:c r="O9" s="218"/>
      <x:c r="P9" s="218"/>
      <x:c r="Q9" s="218"/>
      <x:c r="R9" s="218"/>
      <x:c r="S9" s="218"/>
      <x:c r="T9" s="219" t="s">
        <x:v>238</x:v>
      </x:c>
      <x:c r="U9" s="219"/>
      <x:c r="V9" s="219"/>
      <x:c r="W9" s="219"/>
      <x:c r="X9" s="219"/>
      <x:c r="Y9" s="219"/>
      <x:c r="Z9" s="219"/>
      <x:c r="AA9" s="219"/>
      <x:c r="AB9" s="229" t="s">
        <x:v>239</x:v>
      </x:c>
      <x:c r="AC9" s="229" t="s">
        <x:v>240</x:v>
      </x:c>
      <x:c r="AG9">
        <x:v>40</x:v>
      </x:c>
      <x:c r="AJ9" s="219" t="s">
        <x:v>236</x:v>
      </x:c>
      <x:c r="AK9" s="219"/>
      <x:c r="AL9" s="219"/>
      <x:c r="AM9" s="219"/>
      <x:c r="AN9" s="219"/>
      <x:c r="AO9" s="219"/>
      <x:c r="AP9" s="219"/>
      <x:c r="AQ9" s="219"/>
      <x:c r="AR9" s="218" t="s">
        <x:v>237</x:v>
      </x:c>
      <x:c r="AS9" s="218"/>
      <x:c r="AT9" s="218"/>
      <x:c r="AU9" s="218"/>
      <x:c r="AV9" s="218"/>
      <x:c r="AW9" s="218"/>
      <x:c r="AX9" s="218"/>
      <x:c r="AY9" s="218"/>
      <x:c r="AZ9" s="219" t="s">
        <x:v>238</x:v>
      </x:c>
      <x:c r="BA9" s="219"/>
      <x:c r="BB9" s="219"/>
      <x:c r="BC9" s="219"/>
      <x:c r="BD9" s="219"/>
      <x:c r="BE9" s="219"/>
      <x:c r="BF9" s="219"/>
      <x:c r="BG9" s="219"/>
      <x:c r="BH9" s="220" t="s">
        <x:v>239</x:v>
      </x:c>
      <x:c r="BJ9" s="219" t="s">
        <x:v>236</x:v>
      </x:c>
      <x:c r="BK9" s="219"/>
      <x:c r="BL9" s="219"/>
      <x:c r="BM9" s="219"/>
      <x:c r="BN9" s="219"/>
      <x:c r="BO9" s="219"/>
      <x:c r="BP9" s="219"/>
      <x:c r="BQ9" s="219"/>
      <x:c r="BR9" s="218" t="s">
        <x:v>237</x:v>
      </x:c>
      <x:c r="BS9" s="218"/>
      <x:c r="BT9" s="218"/>
      <x:c r="BU9" s="218"/>
      <x:c r="BV9" s="218"/>
      <x:c r="BW9" s="218"/>
      <x:c r="BX9" s="218"/>
      <x:c r="BY9" s="218"/>
      <x:c r="BZ9" s="219" t="s">
        <x:v>238</x:v>
      </x:c>
      <x:c r="CA9" s="219"/>
      <x:c r="CB9" s="219"/>
      <x:c r="CC9" s="219"/>
      <x:c r="CD9" s="219"/>
      <x:c r="CE9" s="219"/>
      <x:c r="CF9" s="219"/>
      <x:c r="CG9" s="219"/>
      <x:c r="CH9" s="220" t="s">
        <x:v>239</x:v>
      </x:c>
    </x:row>
    <x:row r="10">
      <x:c r="A10" s="226"/>
      <x:c r="B10" s="227"/>
      <x:c r="C10" s="228"/>
      <x:c r="D10" s="88" t="str">
        <x:f t="array" ref="D10">_xlfn.IFS(C$4="PE/SF/OJT/RESEARCH", "TLA",  C$4="LECTURE","TLA",TRUE(),"")</x:f>
        <x:v>TLA</x:v>
      </x:c>
      <x:c r="E10" s="89" t="s">
        <x:v>241</x:v>
      </x:c>
      <x:c r="F10" s="90" t="str">
        <x:f t="array" ref="F10">_xlfn.IFS(C$4="PE/SF/OJT/RESEARCH", "AT",  C$4="LECTURE","AT",TRUE(),K$4)</x:f>
        <x:v>AT</x:v>
      </x:c>
      <x:c r="G10" s="91" t="s">
        <x:v>241</x:v>
      </x:c>
      <x:c r="H10" s="91" t="str">
        <x:f t="array" ref="H10">_xlfn.IFS(C$4="PE/SF/OJT/RESEARCH", "OUTPUT",  C$4="LECTURE","EXAM",TRUE(),H$3)</x:f>
        <x:v>EXAM</x:v>
      </x:c>
      <x:c r="I10" s="91" t="s">
        <x:v>241</x:v>
      </x:c>
      <x:c r="J10" s="221" t="s">
        <x:v>242</x:v>
      </x:c>
      <x:c r="K10" s="222" t="s">
        <x:v>243</x:v>
      </x:c>
      <x:c r="L10" s="90" t="str">
        <x:f t="array" ref="L10">_xlfn.IFS(C$4="PE/SF/OJT/RESEARCH", "TLA",  C$4="LECTURE","TLA",TRUE(),"")</x:f>
        <x:v>TLA</x:v>
      </x:c>
      <x:c r="M10" s="91" t="s">
        <x:v>241</x:v>
      </x:c>
      <x:c r="N10" s="90" t="str">
        <x:f t="array" ref="N10">_xlfn.IFS(C$4="PE/SF/OJT/RESEARCH", "AT",  C$4="LECTURE","AT",TRUE(),K$4)</x:f>
        <x:v>AT</x:v>
      </x:c>
      <x:c r="O10" s="91" t="s">
        <x:v>241</x:v>
      </x:c>
      <x:c r="P10" s="91" t="str">
        <x:f t="array" ref="P10">_xlfn.IFS(C$4="PE/SF/OJT/RESEARCH", "OUTPUT",  C$4="LECTURE","EXAM",TRUE(),H$3)</x:f>
        <x:v>EXAM</x:v>
      </x:c>
      <x:c r="Q10" s="91" t="s">
        <x:v>241</x:v>
      </x:c>
      <x:c r="R10" s="221" t="s">
        <x:v>242</x:v>
      </x:c>
      <x:c r="S10" s="222" t="s">
        <x:v>243</x:v>
      </x:c>
      <x:c r="T10" s="90" t="str">
        <x:f t="array" ref="T10">_xlfn.IFS(C$4="PE/SF/OJT/RESEARCH", "TLA",  C$4="LECTURE","TLA",TRUE(),"")</x:f>
        <x:v>TLA</x:v>
      </x:c>
      <x:c r="U10" s="91" t="s">
        <x:v>241</x:v>
      </x:c>
      <x:c r="V10" s="90" t="str">
        <x:f t="array" ref="V10">_xlfn.IFS(C$4="PE/SF/OJT/RESEARCH", "AT",  C$4="LECTURE","AT",TRUE(),K$4)</x:f>
        <x:v>AT</x:v>
      </x:c>
      <x:c r="W10" s="91" t="s">
        <x:v>241</x:v>
      </x:c>
      <x:c r="X10" s="91" t="str">
        <x:f t="array" ref="X10">_xlfn.IFS(C$4="PE/SF/OJT/RESEARCH", "OUTPUT",  C$4="LECTURE","EXAM",TRUE(),H$3)</x:f>
        <x:v>EXAM</x:v>
      </x:c>
      <x:c r="Y10" s="91" t="s">
        <x:v>241</x:v>
      </x:c>
      <x:c r="Z10" s="221" t="s">
        <x:v>242</x:v>
      </x:c>
      <x:c r="AA10" s="222" t="s">
        <x:v>243</x:v>
      </x:c>
      <x:c r="AB10" s="229"/>
      <x:c r="AC10" s="229"/>
      <x:c r="AG10">
        <x:v>45</x:v>
      </x:c>
      <x:c r="AJ10" s="93" t="s">
        <x:v>228</x:v>
      </x:c>
      <x:c r="AK10" s="84" t="s">
        <x:v>241</x:v>
      </x:c>
      <x:c r="AL10" s="90" t="s">
        <x:v>139</x:v>
      </x:c>
      <x:c r="AM10" s="91" t="s">
        <x:v>241</x:v>
      </x:c>
      <x:c r="AN10" s="91" t="s">
        <x:v>244</x:v>
      </x:c>
      <x:c r="AO10" s="91" t="s">
        <x:v>241</x:v>
      </x:c>
      <x:c r="AP10" s="91" t="s">
        <x:v>242</x:v>
      </x:c>
      <x:c r="AQ10" s="94" t="s">
        <x:v>243</x:v>
      </x:c>
      <x:c r="AR10" s="84" t="s">
        <x:v>228</x:v>
      </x:c>
      <x:c r="AS10" s="84" t="s">
        <x:v>241</x:v>
      </x:c>
      <x:c r="AT10" s="90" t="s">
        <x:v>139</x:v>
      </x:c>
      <x:c r="AU10" s="91" t="s">
        <x:v>241</x:v>
      </x:c>
      <x:c r="AV10" s="91" t="s">
        <x:v>244</x:v>
      </x:c>
      <x:c r="AW10" s="91" t="s">
        <x:v>241</x:v>
      </x:c>
      <x:c r="AX10" s="91" t="s">
        <x:v>242</x:v>
      </x:c>
      <x:c r="AY10" s="94" t="s">
        <x:v>243</x:v>
      </x:c>
      <x:c r="AZ10" s="84" t="s">
        <x:v>228</x:v>
      </x:c>
      <x:c r="BA10" s="84" t="s">
        <x:v>241</x:v>
      </x:c>
      <x:c r="BB10" s="90" t="s">
        <x:v>139</x:v>
      </x:c>
      <x:c r="BC10" s="91" t="s">
        <x:v>241</x:v>
      </x:c>
      <x:c r="BD10" s="91" t="s">
        <x:v>244</x:v>
      </x:c>
      <x:c r="BE10" s="91" t="s">
        <x:v>241</x:v>
      </x:c>
      <x:c r="BF10" s="91" t="s">
        <x:v>242</x:v>
      </x:c>
      <x:c r="BG10" s="94" t="s">
        <x:v>243</x:v>
      </x:c>
      <x:c r="BH10" s="220"/>
      <x:c r="BJ10" s="93" t="s">
        <x:v>228</x:v>
      </x:c>
      <x:c r="BK10" s="84" t="s">
        <x:v>241</x:v>
      </x:c>
      <x:c r="BL10" s="223" t="s">
        <x:v>139</x:v>
      </x:c>
      <x:c r="BM10" s="91" t="s">
        <x:v>241</x:v>
      </x:c>
      <x:c r="BN10" s="91" t="s">
        <x:v>245</x:v>
      </x:c>
      <x:c r="BO10" s="91" t="s">
        <x:v>241</x:v>
      </x:c>
      <x:c r="BP10" s="91" t="s">
        <x:v>242</x:v>
      </x:c>
      <x:c r="BQ10" s="94" t="s">
        <x:v>243</x:v>
      </x:c>
      <x:c r="BR10" s="84" t="s">
        <x:v>228</x:v>
      </x:c>
      <x:c r="BS10" s="84" t="s">
        <x:v>241</x:v>
      </x:c>
      <x:c r="BT10" s="90" t="s">
        <x:v>139</x:v>
      </x:c>
      <x:c r="BU10" s="91" t="s">
        <x:v>241</x:v>
      </x:c>
      <x:c r="BV10" s="91" t="s">
        <x:v>245</x:v>
      </x:c>
      <x:c r="BW10" s="91" t="s">
        <x:v>241</x:v>
      </x:c>
      <x:c r="BX10" s="91" t="s">
        <x:v>242</x:v>
      </x:c>
      <x:c r="BY10" s="94" t="s">
        <x:v>243</x:v>
      </x:c>
      <x:c r="BZ10" s="84" t="s">
        <x:v>228</x:v>
      </x:c>
      <x:c r="CA10" s="84" t="s">
        <x:v>241</x:v>
      </x:c>
      <x:c r="CB10" s="90" t="s">
        <x:v>139</x:v>
      </x:c>
      <x:c r="CC10" s="91" t="s">
        <x:v>241</x:v>
      </x:c>
      <x:c r="CD10" s="91" t="s">
        <x:v>245</x:v>
      </x:c>
      <x:c r="CE10" s="91" t="s">
        <x:v>241</x:v>
      </x:c>
      <x:c r="CF10" s="91" t="s">
        <x:v>242</x:v>
      </x:c>
      <x:c r="CG10" s="94" t="s">
        <x:v>243</x:v>
      </x:c>
      <x:c r="CH10" s="220"/>
    </x:row>
    <x:row r="11" ht="15" customHeight="1">
      <x:c r="A11" s="226"/>
      <x:c r="B11" s="227"/>
      <x:c r="C11" s="228"/>
      <x:c r="D11" s="96" t="n">
        <x:f t="array" ref="D11">IF(C12&lt;&gt;"",IF(F$7="SUMMER","N/A",_xlfn.IFS(D$10="TLA",RECORD!GO13,F$10="LECTURE","",TRUE(),"")),"")</x:f>
        <x:v>30</x:v>
      </x:c>
      <x:c r="E11" s="97" t="n">
        <x:f t="array" ref="E11">_xlfn.IFS(C$4="PE/SF/OJT/RESEARCH", E$5,  C$4="LECTURE",E$5,TRUE(),"")</x:f>
        <x:v>40</x:v>
      </x:c>
      <x:c r="F11" s="95" t="n">
        <x:f t="array" ref="F11">IF(C12&lt;&gt;"",IF(F$7="SUMMER","N/A",_xlfn.IFS(F$10="AT",RECORD!GI13,F$10="LECTURE",GRADES!AP12,TRUE(),"")),"")</x:f>
        <x:v>60</x:v>
      </x:c>
      <x:c r="G11" s="98" t="n">
        <x:f t="array" ref="G11">_xlfn.IFS(C$4="PE/SF/OJT/RESEARCH", F$5,  C$4="LECTURE",F$5,TRUE(),K$5)</x:f>
        <x:v>20</x:v>
      </x:c>
      <x:c r="H11" s="92" t="n">
        <x:f t="array" ref="H11">IF(C12&lt;&gt;"",IF(F$7="SUMMER","N/A",_xlfn.IFS(H$10="EXAM",RECORD!GJ13,H$10="OUTPUT",RECORD!GK13,H$10="LAB",BP11,TRUE(),"")),"")</x:f>
        <x:v>80</x:v>
      </x:c>
      <x:c r="I11" s="98" t="n">
        <x:f t="array" ref="I11">_xlfn.IFS(C$4="PE/SF/OJT/RESEARCH", G$5,  C$4="LECTURE",G$5,TRUE(),L$5)</x:f>
        <x:v>40</x:v>
      </x:c>
      <x:c r="J11" s="221"/>
      <x:c r="K11" s="222"/>
      <x:c r="L11" s="95" t="n">
        <x:f t="array" ref="L11">IF(C12&lt;&gt;"",_xlfn.IFS(L$10="TLA",RECORD!GY13,N$10="LECTURE","",TRUE(),""),"")</x:f>
        <x:v>50</x:v>
      </x:c>
      <x:c r="M11" s="98" t="n">
        <x:f t="array" ref="M11">_xlfn.IFS(C$4="PE/SF/OJT/RESEARCH", E$5,  C$4="LECTURE",E$5,TRUE(),"")</x:f>
        <x:v>40</x:v>
      </x:c>
      <x:c r="N11" s="95" t="n">
        <x:f t="array" ref="N11">IF(C12&lt;&gt;"",_xlfn.IFS(N$10="AT",RECORD!GS13,N$10="LECTURE",AX12,TRUE(),""),"")</x:f>
        <x:v>50</x:v>
      </x:c>
      <x:c r="O11" s="98" t="n">
        <x:f t="array" ref="O11">_xlfn.IFS(C$4="PE/SF/OJT/RESEARCH", F$5,  C$4="LECTURE",F$5,TRUE(),K$5)</x:f>
        <x:v>20</x:v>
      </x:c>
      <x:c r="P11" s="92" t="n">
        <x:f t="array" ref="P11">IF(C12&lt;&gt;"",_xlfn.IFS(P$10="EXAM",RECORD!GT13,P$10="OUTPUT",RECORD!GU13,P$10="LAB",BX11,TRUE(),""),"")</x:f>
        <x:v>100</x:v>
      </x:c>
      <x:c r="Q11" s="98" t="n">
        <x:f t="array" ref="Q11">_xlfn.IFS(C$4="PE/SF/OJT/RESEARCH", G$5,  C$4="LECTURE",G$5,TRUE(),L$5)</x:f>
        <x:v>40</x:v>
      </x:c>
      <x:c r="R11" s="221"/>
      <x:c r="S11" s="222"/>
      <x:c r="T11" s="95" t="n">
        <x:f t="array" ref="T11">IF(C12&lt;&gt;"",_xlfn.IFS(T$10="TLA",RECORD!HI13,V$10="LECTURE","",TRUE(),""),"")</x:f>
        <x:v>20</x:v>
      </x:c>
      <x:c r="U11" s="98" t="n">
        <x:f t="array" ref="U11">_xlfn.IFS(C$4="PE/SF/OJT/RESEARCH", E$5,  C$4="LECTURE",E$5,TRUE(),"")</x:f>
        <x:v>40</x:v>
      </x:c>
      <x:c r="V11" s="95" t="n">
        <x:f t="array" ref="V11">IF(C12&lt;&gt;"",_xlfn.IFS(V$10="AT",RECORD!HC13,V$10="LECTURE",BF12,TRUE(),""),"")</x:f>
        <x:v>50</x:v>
      </x:c>
      <x:c r="W11" s="98" t="n">
        <x:f t="array" ref="W11">_xlfn.IFS(C$4="PE/SF/OJT/RESEARCH", F$5,  C$4="LECTURE",F$5,TRUE(),K$5)</x:f>
        <x:v>20</x:v>
      </x:c>
      <x:c r="X11" s="92" t="n">
        <x:f t="array" ref="X11">IF(C12&lt;&gt;"",_xlfn.IFS(X$10="EXAM",RECORD!HD13,X$10="OUTPUT",RECORD!HE13,X$10="LAB",CF12,TRUE(),""),"")</x:f>
        <x:v>125</x:v>
      </x:c>
      <x:c r="Y11" s="98" t="n">
        <x:f t="array" ref="Y11">_xlfn.IFS(C$4="PE/SF/OJT/RESEARCH", G$5,  C$4="LECTURE",G$5,TRUE(),L$5)</x:f>
        <x:v>40</x:v>
      </x:c>
      <x:c r="Z11" s="221"/>
      <x:c r="AA11" s="222"/>
      <x:c r="AB11" s="229"/>
      <x:c r="AC11" s="229"/>
      <x:c r="AG11">
        <x:v>50</x:v>
      </x:c>
      <x:c r="AJ11" s="99"/>
      <x:c r="AK11" s="100"/>
      <x:c r="AL11" s="99"/>
      <x:c r="AM11" s="100"/>
      <x:c r="AN11" s="100"/>
      <x:c r="AO11" s="100"/>
      <x:c r="AP11" s="100"/>
      <x:c r="AQ11" s="101"/>
      <x:c r="AR11" s="100"/>
      <x:c r="AS11" s="100"/>
      <x:c r="AT11" s="99"/>
      <x:c r="AU11" s="100"/>
      <x:c r="AV11" s="100"/>
      <x:c r="AW11" s="100"/>
      <x:c r="AX11" s="100"/>
      <x:c r="AY11" s="101"/>
      <x:c r="AZ11" s="100"/>
      <x:c r="BA11" s="100"/>
      <x:c r="BB11" s="99"/>
      <x:c r="BC11" s="100"/>
      <x:c r="BD11" s="100"/>
      <x:c r="BE11" s="100"/>
      <x:c r="BF11" s="100"/>
      <x:c r="BG11" s="101"/>
      <x:c r="BH11" s="220"/>
      <x:c r="BJ11" s="99"/>
      <x:c r="BK11" s="100"/>
      <x:c r="BL11" s="223"/>
      <x:c r="BM11" s="100"/>
      <x:c r="BN11" s="100"/>
      <x:c r="BO11" s="100"/>
      <x:c r="BP11" s="100"/>
      <x:c r="BQ11" s="101"/>
      <x:c r="BR11" s="100"/>
      <x:c r="BS11" s="100"/>
      <x:c r="BT11" s="99"/>
      <x:c r="BU11" s="100"/>
      <x:c r="BV11" s="100"/>
      <x:c r="BW11" s="100"/>
      <x:c r="BX11" s="100"/>
      <x:c r="BY11" s="101"/>
      <x:c r="BZ11" s="100"/>
      <x:c r="CA11" s="100"/>
      <x:c r="CB11" s="99"/>
      <x:c r="CC11" s="100"/>
      <x:c r="CD11" s="100"/>
      <x:c r="CE11" s="100"/>
      <x:c r="CF11" s="100"/>
      <x:c r="CG11" s="101"/>
      <x:c r="CH11" s="220"/>
    </x:row>
    <x:row r="12">
      <x:c r="A12" s="102" t="n">
        <x:f>IF(RECORD!A14="","",RECORD!A14)</x:f>
        <x:v>1</x:v>
      </x:c>
      <x:c r="B12" s="102" t="str">
        <x:f>IF(RECORD!B14="","",RECORD!B14)</x:f>
        <x:v>2024-00123</x:v>
      </x:c>
      <x:c r="C12" s="103" t="str">
        <x:f>IF(RECORD!C14="","",RECORD!C14)</x:f>
        <x:v>Castillo, Danica C.</x:v>
      </x:c>
      <x:c r="D12" s="104" t="n">
        <x:f t="array" ref="D12">IF(C12&lt;&gt;"",IF(F$7="SUMMER","N/A",_xlfn.IFS(D$10="TLA",RECORD!GO14,F$10="LECTURE","",TRUE(),"")),"")</x:f>
        <x:v>21</x:v>
      </x:c>
      <x:c r="E12" s="105" t="n">
        <x:f t="shared" ref="E12:E75" si="0">IF(C12&lt;&gt;"",IFERROR((((((D12/D$11)*F$6)+G$6)*E$11)/100),""),"")</x:f>
        <x:v>32.8</x:v>
      </x:c>
      <x:c r="F12" s="104" t="n">
        <x:f t="array" ref="F12">IF(C12&lt;&gt;"",IF(F$7="SUMMER","N/A",_xlfn.IFS(F$10="AT",RECORD!GI14,F$10="LECTURE",GRADES!AP12,TRUE(),"")),"")</x:f>
        <x:v>42</x:v>
      </x:c>
      <x:c r="G12" s="106" t="n">
        <x:f t="shared" ref="G12:G75" si="1">IF(C12&lt;&gt;"",IFERROR((((((F12/F$11)*F$6)+G$6)*G$11)/100),""),"")</x:f>
        <x:v>16.4</x:v>
      </x:c>
      <x:c r="H12" s="107" t="n">
        <x:f t="array" ref="H12">IF(C12&lt;&gt;"",IF(F$7="SUMMER","N/A",_xlfn.IFS(H$10="EXAM",RECORD!GJ14,H$10="OUTPUT",RECORD!GK14,H$10="LAB",BP12,TRUE(),"")),"")</x:f>
        <x:v>80</x:v>
      </x:c>
      <x:c r="I12" s="106" t="n">
        <x:f t="shared" ref="I12:I75" si="2">IF(C12&lt;&gt;"",IFERROR((((((H12/H$11)*F$6)+G$6)*I$11)/100),""),"")</x:f>
        <x:v>40</x:v>
      </x:c>
      <x:c r="J12" s="108" t="n">
        <x:f t="shared" ref="J12:J75" si="3">IF(C12&lt;&gt;"",IFERROR(IF(F$7="SUMMER", "N/A", SUM(E12,G12,I12)),""),"")</x:f>
        <x:v>89.19999999999999</x:v>
      </x:c>
      <x:c r="K12" s="109" t="str">
        <x:f t="shared" ref="K12:K75" si="4">IF(C12&lt;&gt;"",IF(F7="SUMMER","N/A", IF(J12&gt;74,"PASSED","FAILED")),"")</x:f>
        <x:v>PASSED</x:v>
      </x:c>
      <x:c r="L12" s="110" t="n">
        <x:f t="array" ref="L12">IF(C12&lt;&gt;"",_xlfn.IFS(L$10="TLA",RECORD!GY14,N$10="LECTURE","",TRUE(),""),"")</x:f>
        <x:v>45</x:v>
      </x:c>
      <x:c r="M12" s="105" t="n">
        <x:f t="shared" ref="M12:M75" si="5">IF(C12&lt;&gt;"",IFERROR((((((L12/L$11)*F$6)+G$6)*M$11)/100),""),"")</x:f>
        <x:v>37.6</x:v>
      </x:c>
      <x:c r="N12" s="104" t="n">
        <x:f t="array" ref="N12">IF(C12&lt;&gt;"",_xlfn.IFS(N$10="AT",RECORD!GS14,N$10="LECTURE",AX12,TRUE(),""),"")</x:f>
        <x:v>35</x:v>
      </x:c>
      <x:c r="O12" s="106" t="n">
        <x:f t="shared" ref="O12:O75" si="6">IF(C12&lt;&gt;"",IFERROR((((((N12/N$11)*F$6)+G$6)*O$11)/100),""),"")</x:f>
        <x:v>16.4</x:v>
      </x:c>
      <x:c r="P12" s="107" t="n">
        <x:f t="array" ref="P12">IF(C12&lt;&gt;"",_xlfn.IFS(P$10="EXAM",RECORD!GT14,P$10="OUTPUT",RECORD!GU14,P$10="LAB",BX12,TRUE(),""),"")</x:f>
        <x:v>100</x:v>
      </x:c>
      <x:c r="Q12" s="106" t="n">
        <x:f t="shared" ref="Q12:Q75" si="7">IF(C12&lt;&gt;"",IFERROR((((((P12/P$11)*F$6)+G$6)*Q$11)/100),""),"")</x:f>
        <x:v>40</x:v>
      </x:c>
      <x:c r="R12" s="108" t="n">
        <x:f t="shared" ref="R12:R75" si="8">IF(C12&lt;&gt;"",IFERROR(IF(F$7="SUMMER", "N/A", SUM(M12,O12,Q12)),""),"")</x:f>
        <x:v>94</x:v>
      </x:c>
      <x:c r="S12" s="109" t="str">
        <x:f t="shared" ref="S12:S75" si="9">IF(C12&lt;&gt;"",IF(R12&gt;74,"PASSED","FAILED"),"")</x:f>
        <x:v>PASSED</x:v>
      </x:c>
      <x:c r="T12" s="110" t="n">
        <x:f t="array" ref="T12">IF(C12&lt;&gt;"",_xlfn.IFS(T$10="TLA",RECORD!HI14,V$10="LECTURE","",TRUE(),""),"")</x:f>
        <x:v>20</x:v>
      </x:c>
      <x:c r="U12" s="105" t="n">
        <x:f t="shared" ref="U12:U75" si="10">IF(C12&lt;&gt;"",IFERROR((((((T12/T$11)*F$6)+G$6)*U$11)/100),""),"")</x:f>
        <x:v>40</x:v>
      </x:c>
      <x:c r="V12" s="104" t="n">
        <x:f t="array" ref="V12">IF(C12&lt;&gt;"",_xlfn.IFS(V$10="AT",RECORD!HC14,V$10="LECTURE",BF12,TRUE(),""),"")</x:f>
        <x:v>50</x:v>
      </x:c>
      <x:c r="W12" s="106" t="n">
        <x:f t="shared" ref="W12:W75" si="11">IF(C12&lt;&gt;"",IFERROR((((((V12/V$11)*F$6)+G$6)*W$11)/100),""),"")</x:f>
        <x:v>20</x:v>
      </x:c>
      <x:c r="X12" s="107" t="n">
        <x:f t="array" ref="X12">IF(C12&lt;&gt;"",_xlfn.IFS(X$10="EXAM",RECORD!HD14,X$10="OUTPUT",RECORD!HE14,X$10="LAB",CF12,TRUE(),""),"")</x:f>
        <x:v>115</x:v>
      </x:c>
      <x:c r="Y12" s="106" t="n">
        <x:f t="shared" ref="Y12:Y75" si="12">IF(C12&lt;&gt;"",IFERROR((((((X12/X$11)*F$6)+G$6)*Y$11)/100),""),"")</x:f>
        <x:v>38.08</x:v>
      </x:c>
      <x:c r="Z12" s="108" t="n">
        <x:f t="shared" ref="Z12:Z75" si="13">IF(C12&lt;&gt;"",IFERROR(IF(N$7="SUMMER", "N/A", SUM(U12,W12,Y12)),""),"")</x:f>
        <x:v>98.08</x:v>
      </x:c>
      <x:c r="AA12" s="109" t="str">
        <x:f t="shared" ref="AA12:AA75" si="14">IF(C12&lt;&gt;"",IF(Z12&gt;74,"PASSED","FAILED"),"")</x:f>
        <x:v>PASSED</x:v>
      </x:c>
      <x:c r="AB12" s="111" t="n">
        <x:f t="shared" ref="AB12:AB75" si="15">IFERROR(IF(F$7="SUMMER", ((R12+Z12)/2), (J12+R12+Z12)/3),"")</x:f>
        <x:v>93.75999999999999</x:v>
      </x:c>
      <x:c r="AC12" s="109" t="str">
        <x:f t="shared" ref="AC12:AC75" si="16">IF(C12&lt;&gt;"",IF(AB12&gt;74,"PASSED","FAILED"),"")</x:f>
        <x:v>PASSED</x:v>
      </x:c>
      <x:c r="AD12" s="112"/>
      <x:c r="AE12" s="102"/>
      <x:c r="AF12" s="113"/>
      <x:c r="AG12" s="112">
        <x:v>55</x:v>
      </x:c>
      <x:c r="AH12" s="103"/>
      <x:c r="AI12" s="114"/>
      <x:c r="AJ12" s="107"/>
      <x:c r="AK12" s="107"/>
      <x:c r="AL12" s="107"/>
      <x:c r="AM12" s="107"/>
      <x:c r="AN12" s="107"/>
      <x:c r="AO12" s="107"/>
      <x:c r="AP12" s="107"/>
      <x:c r="AQ12" s="109" t="str">
        <x:f t="shared" ref="AQ12:AQ75" si="17">IF(AP12&gt;74,"PASSED","FAILED")</x:f>
        <x:v>FAILED</x:v>
      </x:c>
      <x:c r="AR12" s="115"/>
      <x:c r="AS12" s="115"/>
      <x:c r="AT12" s="107"/>
      <x:c r="AU12" s="107"/>
      <x:c r="AV12" s="107"/>
      <x:c r="AW12" s="107"/>
      <x:c r="AX12" s="107"/>
      <x:c r="AY12" s="109" t="str">
        <x:f t="shared" ref="AY12:AY75" si="18">IF(AX12&gt;74,"PASSED","FAILED")</x:f>
        <x:v>FAILED</x:v>
      </x:c>
      <x:c r="AZ12" s="115"/>
      <x:c r="BA12" s="115"/>
      <x:c r="BB12" s="107"/>
      <x:c r="BC12" s="107"/>
      <x:c r="BD12" s="107"/>
      <x:c r="BE12" s="107"/>
      <x:c r="BF12" s="107"/>
      <x:c r="BG12" s="109" t="str">
        <x:f t="shared" ref="BG12:BG75" si="19">IF(BF12&gt;74,"PASSED","FAILED")</x:f>
        <x:v>FAILED</x:v>
      </x:c>
      <x:c r="BH12" s="116"/>
      <x:c r="BI12" s="102"/>
      <x:c r="BJ12" s="107"/>
      <x:c r="BK12" s="107"/>
      <x:c r="BL12" s="107"/>
      <x:c r="BM12" s="107"/>
      <x:c r="BN12" s="107"/>
      <x:c r="BO12" s="107"/>
      <x:c r="BP12" s="107"/>
      <x:c r="BQ12" s="109" t="str">
        <x:f t="shared" ref="BQ12:BQ75" si="20">IF(BP12&gt;74,"PASSED","FAILED")</x:f>
        <x:v>FAILED</x:v>
      </x:c>
      <x:c r="BR12" s="115"/>
      <x:c r="BS12" s="115"/>
      <x:c r="BT12" s="107"/>
      <x:c r="BU12" s="107"/>
      <x:c r="BV12" s="107"/>
      <x:c r="BW12" s="107"/>
      <x:c r="BX12" s="107"/>
      <x:c r="BY12" s="109" t="str">
        <x:f t="shared" ref="BY12:BY75" si="21">IF(BX12&gt;74,"PASSED","FAILED")</x:f>
        <x:v>FAILED</x:v>
      </x:c>
      <x:c r="BZ12" s="115"/>
      <x:c r="CA12" s="115"/>
      <x:c r="CB12" s="107"/>
      <x:c r="CC12" s="107"/>
      <x:c r="CD12" s="107"/>
      <x:c r="CE12" s="107"/>
      <x:c r="CF12" s="107"/>
      <x:c r="CG12" s="109" t="str">
        <x:f t="shared" ref="CG12:CG75" si="22">IF(CF12&gt;74,"PASSED","FAILED")</x:f>
        <x:v>FAILED</x:v>
      </x:c>
      <x:c r="CH12" s="116"/>
    </x:row>
    <x:row r="13">
      <x:c r="A13" s="102" t="n">
        <x:f>IF(RECORD!A15="","",RECORD!A15)</x:f>
        <x:v>2</x:v>
      </x:c>
      <x:c r="B13" s="102" t="str">
        <x:f>IF(RECORD!B15="","",RECORD!B15)</x:f>
        <x:v>2024-00145</x:v>
      </x:c>
      <x:c r="C13" s="103" t="str">
        <x:f>IF(RECORD!C15="","",RECORD!C15)</x:f>
        <x:v>Soriano, Kyle G.</x:v>
      </x:c>
      <x:c r="D13" s="104" t="n">
        <x:f t="array" ref="D13">IF(C13&lt;&gt;"",IF(F$7="SUMMER","N/A",_xlfn.IFS(D$10="TLA",RECORD!GO15,F$10="LECTURE","",TRUE(),"")),"")</x:f>
        <x:v>22</x:v>
      </x:c>
      <x:c r="E13" s="105">
        <x:f t="shared" si="0"/>
        <x:v>33.6</x:v>
      </x:c>
      <x:c r="F13" s="104" t="n">
        <x:f t="array" ref="F13">IF(C13&lt;&gt;"",IF(F$7="SUMMER","N/A",_xlfn.IFS(F$10="AT",RECORD!GI15,F$10="LECTURE",GRADES!AP13,TRUE(),"")),"")</x:f>
        <x:v>50</x:v>
      </x:c>
      <x:c r="G13" s="106">
        <x:f t="shared" si="1"/>
        <x:v>18</x:v>
      </x:c>
      <x:c r="H13" s="107" t="n">
        <x:f t="array" ref="H13">IF(C13&lt;&gt;"",IF(F$7="SUMMER","N/A",_xlfn.IFS(H$10="EXAM",RECORD!GJ15,H$10="OUTPUT",RECORD!GK15,H$10="LAB",BP13,TRUE(),"")),"")</x:f>
        <x:v>80</x:v>
      </x:c>
      <x:c r="I13" s="106">
        <x:f t="shared" si="2"/>
        <x:v>40</x:v>
      </x:c>
      <x:c r="J13" s="108">
        <x:f t="shared" si="3"/>
        <x:v>91.6</x:v>
      </x:c>
      <x:c r="K13" s="109" t="str">
        <x:f t="shared" si="4"/>
        <x:v>PASSED</x:v>
      </x:c>
      <x:c r="L13" s="110" t="n">
        <x:f t="array" ref="L13">IF(C13&lt;&gt;"",_xlfn.IFS(L$10="TLA",RECORD!GY15,N$10="LECTURE","",TRUE(),""),"")</x:f>
        <x:v>45</x:v>
      </x:c>
      <x:c r="M13" s="105">
        <x:f t="shared" si="5"/>
        <x:v>37.6</x:v>
      </x:c>
      <x:c r="N13" s="104" t="n">
        <x:f t="array" ref="N13">IF(C13&lt;&gt;"",_xlfn.IFS(N$10="AT",RECORD!GS15,N$10="LECTURE",AX13,TRUE(),""),"")</x:f>
        <x:v>35</x:v>
      </x:c>
      <x:c r="O13" s="106">
        <x:f t="shared" si="6"/>
        <x:v>16.399999999999999</x:v>
      </x:c>
      <x:c r="P13" s="107" t="n">
        <x:f t="array" ref="P13">IF(C13&lt;&gt;"",_xlfn.IFS(P$10="EXAM",RECORD!GT15,P$10="OUTPUT",RECORD!GU15,P$10="LAB",BX13,TRUE(),""),"")</x:f>
        <x:v>70</x:v>
      </x:c>
      <x:c r="Q13" s="106">
        <x:f t="shared" si="7"/>
        <x:v>32.799999999999997</x:v>
      </x:c>
      <x:c r="R13" s="108">
        <x:f t="shared" si="8"/>
        <x:v>86.8</x:v>
      </x:c>
      <x:c r="S13" s="109" t="str">
        <x:f t="shared" si="9"/>
        <x:v>PASSED</x:v>
      </x:c>
      <x:c r="T13" s="110" t="n">
        <x:f t="array" ref="T13">IF(C13&lt;&gt;"",_xlfn.IFS(T$10="TLA",RECORD!HI15,V$10="LECTURE","",TRUE(),""),"")</x:f>
        <x:v>20</x:v>
      </x:c>
      <x:c r="U13" s="105">
        <x:f t="shared" si="10"/>
        <x:v>40</x:v>
      </x:c>
      <x:c r="V13" s="104" t="n">
        <x:f t="array" ref="V13">IF(C13&lt;&gt;"",_xlfn.IFS(V$10="AT",RECORD!HC15,V$10="LECTURE",BF13,TRUE(),""),"")</x:f>
        <x:v>50</x:v>
      </x:c>
      <x:c r="W13" s="106">
        <x:f t="shared" si="11"/>
        <x:v>20</x:v>
      </x:c>
      <x:c r="X13" s="107" t="n">
        <x:f t="array" ref="X13">IF(C13&lt;&gt;"",_xlfn.IFS(X$10="EXAM",RECORD!HD15,X$10="OUTPUT",RECORD!HE15,X$10="LAB",CF13,TRUE(),""),"")</x:f>
        <x:v>115</x:v>
      </x:c>
      <x:c r="Y13" s="106">
        <x:f t="shared" si="12"/>
        <x:v>38.08</x:v>
      </x:c>
      <x:c r="Z13" s="108">
        <x:f t="shared" si="13"/>
        <x:v>98.08</x:v>
      </x:c>
      <x:c r="AA13" s="109" t="str">
        <x:f t="shared" si="14"/>
        <x:v>PASSED</x:v>
      </x:c>
      <x:c r="AB13" s="111">
        <x:f t="shared" si="15"/>
        <x:v>92.159999999999982</x:v>
      </x:c>
      <x:c r="AC13" s="109" t="str">
        <x:f t="shared" si="16"/>
        <x:v>PASSED</x:v>
      </x:c>
      <x:c r="AD13" s="112"/>
      <x:c r="AE13" s="102"/>
      <x:c r="AF13" s="113"/>
      <x:c r="AG13" s="112">
        <x:v>60</x:v>
      </x:c>
      <x:c r="AH13" s="103"/>
      <x:c r="AI13" s="114"/>
      <x:c r="AJ13" s="102"/>
      <x:c r="AK13" s="102"/>
      <x:c r="AL13" s="102"/>
      <x:c r="AM13" s="102"/>
      <x:c r="AN13" s="102"/>
      <x:c r="AO13" s="102"/>
      <x:c r="AP13" s="102"/>
      <x:c r="AQ13" s="109" t="str">
        <x:f t="shared" si="17"/>
        <x:v>FAILED</x:v>
      </x:c>
      <x:c r="AR13" s="115"/>
      <x:c r="AS13" s="115"/>
      <x:c r="AT13" s="107"/>
      <x:c r="AU13" s="107"/>
      <x:c r="AV13" s="107"/>
      <x:c r="AW13" s="107"/>
      <x:c r="AX13" s="107"/>
      <x:c r="AY13" s="109" t="str">
        <x:f t="shared" si="18"/>
        <x:v>FAILED</x:v>
      </x:c>
      <x:c r="AZ13" s="115"/>
      <x:c r="BA13" s="115"/>
      <x:c r="BB13" s="107"/>
      <x:c r="BC13" s="107"/>
      <x:c r="BD13" s="107"/>
      <x:c r="BE13" s="107"/>
      <x:c r="BF13" s="107"/>
      <x:c r="BG13" s="109" t="str">
        <x:f t="shared" si="19"/>
        <x:v>FAILED</x:v>
      </x:c>
      <x:c r="BH13" s="117"/>
      <x:c r="BI13" s="102"/>
      <x:c r="BJ13" s="102"/>
      <x:c r="BK13" s="102"/>
      <x:c r="BL13" s="102"/>
      <x:c r="BM13" s="102"/>
      <x:c r="BN13" s="102"/>
      <x:c r="BO13" s="102"/>
      <x:c r="BP13" s="102"/>
      <x:c r="BQ13" s="109" t="str">
        <x:f t="shared" si="20"/>
        <x:v>FAILED</x:v>
      </x:c>
      <x:c r="BR13" s="115"/>
      <x:c r="BS13" s="115"/>
      <x:c r="BT13" s="107"/>
      <x:c r="BU13" s="107"/>
      <x:c r="BV13" s="107"/>
      <x:c r="BW13" s="107"/>
      <x:c r="BX13" s="107"/>
      <x:c r="BY13" s="109" t="str">
        <x:f t="shared" si="21"/>
        <x:v>FAILED</x:v>
      </x:c>
      <x:c r="BZ13" s="115"/>
      <x:c r="CA13" s="115"/>
      <x:c r="CB13" s="107"/>
      <x:c r="CC13" s="107"/>
      <x:c r="CD13" s="107"/>
      <x:c r="CE13" s="107"/>
      <x:c r="CF13" s="107"/>
      <x:c r="CG13" s="109" t="str">
        <x:f t="shared" si="22"/>
        <x:v>FAILED</x:v>
      </x:c>
      <x:c r="CH13" s="117"/>
    </x:row>
    <x:row r="14">
      <x:c r="A14" s="102" t="n">
        <x:f>IF(RECORD!A16="","",RECORD!A16)</x:f>
        <x:v>3</x:v>
      </x:c>
      <x:c r="B14" s="102" t="str">
        <x:f>IF(RECORD!B16="","",RECORD!B16)</x:f>
        <x:v>2024-00167</x:v>
      </x:c>
      <x:c r="C14" s="103" t="str">
        <x:f>IF(RECORD!C16="","",RECORD!C16)</x:f>
        <x:v>Santiago, Frances J.</x:v>
      </x:c>
      <x:c r="D14" s="104" t="n">
        <x:f t="array" ref="D14">IF(C14&lt;&gt;"",IF(F$7="SUMMER","N/A",_xlfn.IFS(D$10="TLA",RECORD!GO16,F$10="LECTURE","",TRUE(),"")),"")</x:f>
        <x:v>21</x:v>
      </x:c>
      <x:c r="E14" s="105">
        <x:f t="shared" si="0"/>
        <x:v>32.799999999999997</x:v>
      </x:c>
      <x:c r="F14" s="104" t="n">
        <x:f t="array" ref="F14">IF(C14&lt;&gt;"",IF(F$7="SUMMER","N/A",_xlfn.IFS(F$10="AT",RECORD!GI16,F$10="LECTURE",GRADES!AP14,TRUE(),"")),"")</x:f>
        <x:v>50</x:v>
      </x:c>
      <x:c r="G14" s="106">
        <x:f t="shared" si="1"/>
        <x:v>18</x:v>
      </x:c>
      <x:c r="H14" s="107" t="n">
        <x:f t="array" ref="H14">IF(C14&lt;&gt;"",IF(F$7="SUMMER","N/A",_xlfn.IFS(H$10="EXAM",RECORD!GJ16,H$10="OUTPUT",RECORD!GK16,H$10="LAB",BP14,TRUE(),"")),"")</x:f>
        <x:v>80</x:v>
      </x:c>
      <x:c r="I14" s="106">
        <x:f t="shared" si="2"/>
        <x:v>40</x:v>
      </x:c>
      <x:c r="J14" s="108">
        <x:f t="shared" si="3"/>
        <x:v>90.8</x:v>
      </x:c>
      <x:c r="K14" s="109" t="str">
        <x:f t="shared" si="4"/>
        <x:v>PASSED</x:v>
      </x:c>
      <x:c r="L14" s="110" t="n">
        <x:f t="array" ref="L14">IF(C14&lt;&gt;"",_xlfn.IFS(L$10="TLA",RECORD!GY16,N$10="LECTURE","",TRUE(),""),"")</x:f>
        <x:v>45</x:v>
      </x:c>
      <x:c r="M14" s="105">
        <x:f t="shared" si="5"/>
        <x:v>37.6</x:v>
      </x:c>
      <x:c r="N14" s="104" t="n">
        <x:f t="array" ref="N14">IF(C14&lt;&gt;"",_xlfn.IFS(N$10="AT",RECORD!GS16,N$10="LECTURE",AX14,TRUE(),""),"")</x:f>
        <x:v>35</x:v>
      </x:c>
      <x:c r="O14" s="106">
        <x:f t="shared" si="6"/>
        <x:v>16.399999999999999</x:v>
      </x:c>
      <x:c r="P14" s="107" t="n">
        <x:f t="array" ref="P14">IF(C14&lt;&gt;"",_xlfn.IFS(P$10="EXAM",RECORD!GT16,P$10="OUTPUT",RECORD!GU16,P$10="LAB",BX14,TRUE(),""),"")</x:f>
        <x:v>95</x:v>
      </x:c>
      <x:c r="Q14" s="106">
        <x:f t="shared" si="7"/>
        <x:v>38.799999999999997</x:v>
      </x:c>
      <x:c r="R14" s="108">
        <x:f t="shared" si="8"/>
        <x:v>92.8</x:v>
      </x:c>
      <x:c r="S14" s="109" t="str">
        <x:f t="shared" si="9"/>
        <x:v>PASSED</x:v>
      </x:c>
      <x:c r="T14" s="110" t="n">
        <x:f t="array" ref="T14">IF(C14&lt;&gt;"",_xlfn.IFS(T$10="TLA",RECORD!HI16,V$10="LECTURE","",TRUE(),""),"")</x:f>
        <x:v>20</x:v>
      </x:c>
      <x:c r="U14" s="105">
        <x:f t="shared" si="10"/>
        <x:v>40</x:v>
      </x:c>
      <x:c r="V14" s="104" t="n">
        <x:f t="array" ref="V14">IF(C14&lt;&gt;"",_xlfn.IFS(V$10="AT",RECORD!HC16,V$10="LECTURE",BF14,TRUE(),""),"")</x:f>
        <x:v>50</x:v>
      </x:c>
      <x:c r="W14" s="106">
        <x:f t="shared" si="11"/>
        <x:v>20</x:v>
      </x:c>
      <x:c r="X14" s="107" t="n">
        <x:f t="array" ref="X14">IF(C14&lt;&gt;"",_xlfn.IFS(X$10="EXAM",RECORD!HD16,X$10="OUTPUT",RECORD!HE16,X$10="LAB",CF14,TRUE(),""),"")</x:f>
        <x:v>115</x:v>
      </x:c>
      <x:c r="Y14" s="106">
        <x:f t="shared" si="12"/>
        <x:v>38.08</x:v>
      </x:c>
      <x:c r="Z14" s="108">
        <x:f t="shared" si="13"/>
        <x:v>98.08</x:v>
      </x:c>
      <x:c r="AA14" s="109" t="str">
        <x:f t="shared" si="14"/>
        <x:v>PASSED</x:v>
      </x:c>
      <x:c r="AB14" s="111">
        <x:f t="shared" si="15"/>
        <x:v>93.893333333333331</x:v>
      </x:c>
      <x:c r="AC14" s="109" t="str">
        <x:f t="shared" si="16"/>
        <x:v>PASSED</x:v>
      </x:c>
      <x:c r="AD14" s="112"/>
      <x:c r="AE14" s="102"/>
      <x:c r="AF14" s="113"/>
      <x:c r="AG14" s="112">
        <x:v>65</x:v>
      </x:c>
      <x:c r="AH14" s="103"/>
      <x:c r="AI14" s="114"/>
      <x:c r="AJ14" s="102"/>
      <x:c r="AK14" s="102"/>
      <x:c r="AL14" s="102"/>
      <x:c r="AM14" s="102"/>
      <x:c r="AN14" s="102"/>
      <x:c r="AO14" s="102"/>
      <x:c r="AP14" s="102"/>
      <x:c r="AQ14" s="109" t="str">
        <x:f t="shared" si="17"/>
        <x:v>FAILED</x:v>
      </x:c>
      <x:c r="AR14" s="115"/>
      <x:c r="AS14" s="115"/>
      <x:c r="AT14" s="107"/>
      <x:c r="AU14" s="107"/>
      <x:c r="AV14" s="107"/>
      <x:c r="AW14" s="107"/>
      <x:c r="AX14" s="107"/>
      <x:c r="AY14" s="109" t="str">
        <x:f t="shared" si="18"/>
        <x:v>FAILED</x:v>
      </x:c>
      <x:c r="AZ14" s="115"/>
      <x:c r="BA14" s="115"/>
      <x:c r="BB14" s="107"/>
      <x:c r="BC14" s="107"/>
      <x:c r="BD14" s="107"/>
      <x:c r="BE14" s="107"/>
      <x:c r="BF14" s="107"/>
      <x:c r="BG14" s="109" t="str">
        <x:f t="shared" si="19"/>
        <x:v>FAILED</x:v>
      </x:c>
      <x:c r="BH14" s="117"/>
      <x:c r="BI14" s="102"/>
      <x:c r="BJ14" s="102"/>
      <x:c r="BK14" s="102"/>
      <x:c r="BL14" s="102"/>
      <x:c r="BM14" s="102"/>
      <x:c r="BN14" s="102"/>
      <x:c r="BO14" s="102"/>
      <x:c r="BP14" s="102"/>
      <x:c r="BQ14" s="109" t="str">
        <x:f t="shared" si="20"/>
        <x:v>FAILED</x:v>
      </x:c>
      <x:c r="BR14" s="115"/>
      <x:c r="BS14" s="115"/>
      <x:c r="BT14" s="107"/>
      <x:c r="BU14" s="107"/>
      <x:c r="BV14" s="107"/>
      <x:c r="BW14" s="107"/>
      <x:c r="BX14" s="107"/>
      <x:c r="BY14" s="109" t="str">
        <x:f t="shared" si="21"/>
        <x:v>FAILED</x:v>
      </x:c>
      <x:c r="BZ14" s="115"/>
      <x:c r="CA14" s="115"/>
      <x:c r="CB14" s="107"/>
      <x:c r="CC14" s="107"/>
      <x:c r="CD14" s="107"/>
      <x:c r="CE14" s="107"/>
      <x:c r="CF14" s="107"/>
      <x:c r="CG14" s="109" t="str">
        <x:f t="shared" si="22"/>
        <x:v>FAILED</x:v>
      </x:c>
      <x:c r="CH14" s="117"/>
    </x:row>
    <x:row r="15">
      <x:c r="A15" s="102" t="n">
        <x:f>IF(RECORD!A17="","",RECORD!A17)</x:f>
        <x:v>4</x:v>
      </x:c>
      <x:c r="B15" s="102" t="str">
        <x:f>IF(RECORD!B17="","",RECORD!B17)</x:f>
        <x:v>2024-00189</x:v>
      </x:c>
      <x:c r="C15" s="103" t="str">
        <x:f>IF(RECORD!C17="","",RECORD!C17)</x:f>
        <x:v>Dizon, Zoe D.</x:v>
      </x:c>
      <x:c r="D15" s="104" t="n">
        <x:f t="array" ref="D15">IF(C15&lt;&gt;"",IF(F$7="SUMMER","N/A",_xlfn.IFS(D$10="TLA",RECORD!GO17,F$10="LECTURE","",TRUE(),"")),"")</x:f>
        <x:v>21</x:v>
      </x:c>
      <x:c r="E15" s="105">
        <x:f t="shared" si="0"/>
        <x:v>32.799999999999997</x:v>
      </x:c>
      <x:c r="F15" s="104" t="n">
        <x:f t="array" ref="F15">IF(C15&lt;&gt;"",IF(F$7="SUMMER","N/A",_xlfn.IFS(F$10="AT",RECORD!GI17,F$10="LECTURE",GRADES!AP15,TRUE(),"")),"")</x:f>
        <x:v>50</x:v>
      </x:c>
      <x:c r="G15" s="106">
        <x:f t="shared" si="1"/>
        <x:v>18</x:v>
      </x:c>
      <x:c r="H15" s="107" t="n">
        <x:f t="array" ref="H15">IF(C15&lt;&gt;"",IF(F$7="SUMMER","N/A",_xlfn.IFS(H$10="EXAM",RECORD!GJ17,H$10="OUTPUT",RECORD!GK17,H$10="LAB",BP15,TRUE(),"")),"")</x:f>
        <x:v>80</x:v>
      </x:c>
      <x:c r="I15" s="106">
        <x:f t="shared" si="2"/>
        <x:v>40</x:v>
      </x:c>
      <x:c r="J15" s="108">
        <x:f t="shared" si="3"/>
        <x:v>90.8</x:v>
      </x:c>
      <x:c r="K15" s="109" t="str">
        <x:f t="shared" si="4"/>
        <x:v>PASSED</x:v>
      </x:c>
      <x:c r="L15" s="110" t="n">
        <x:f t="array" ref="L15">IF(C15&lt;&gt;"",_xlfn.IFS(L$10="TLA",RECORD!GY17,N$10="LECTURE","",TRUE(),""),"")</x:f>
        <x:v>45</x:v>
      </x:c>
      <x:c r="M15" s="105">
        <x:f t="shared" si="5"/>
        <x:v>37.6</x:v>
      </x:c>
      <x:c r="N15" s="104" t="n">
        <x:f t="array" ref="N15">IF(C15&lt;&gt;"",_xlfn.IFS(N$10="AT",RECORD!GS17,N$10="LECTURE",AX15,TRUE(),""),"")</x:f>
        <x:v>35</x:v>
      </x:c>
      <x:c r="O15" s="106">
        <x:f t="shared" si="6"/>
        <x:v>16.399999999999999</x:v>
      </x:c>
      <x:c r="P15" s="107" t="n">
        <x:f t="array" ref="P15">IF(C15&lt;&gt;"",_xlfn.IFS(P$10="EXAM",RECORD!GT17,P$10="OUTPUT",RECORD!GU17,P$10="LAB",BX15,TRUE(),""),"")</x:f>
        <x:v>98</x:v>
      </x:c>
      <x:c r="Q15" s="106">
        <x:f t="shared" si="7"/>
        <x:v>39.520000000000003</x:v>
      </x:c>
      <x:c r="R15" s="108">
        <x:f t="shared" si="8"/>
        <x:v>93.52000000000001</x:v>
      </x:c>
      <x:c r="S15" s="109" t="str">
        <x:f t="shared" si="9"/>
        <x:v>PASSED</x:v>
      </x:c>
      <x:c r="T15" s="110" t="n">
        <x:f t="array" ref="T15">IF(C15&lt;&gt;"",_xlfn.IFS(T$10="TLA",RECORD!HI17,V$10="LECTURE","",TRUE(),""),"")</x:f>
        <x:v>15</x:v>
      </x:c>
      <x:c r="U15" s="105">
        <x:f t="shared" si="10"/>
        <x:v>34</x:v>
      </x:c>
      <x:c r="V15" s="104" t="n">
        <x:f t="array" ref="V15">IF(C15&lt;&gt;"",_xlfn.IFS(V$10="AT",RECORD!HC17,V$10="LECTURE",BF15,TRUE(),""),"")</x:f>
        <x:v>25</x:v>
      </x:c>
      <x:c r="W15" s="106">
        <x:f t="shared" si="11"/>
        <x:v>14</x:v>
      </x:c>
      <x:c r="X15" s="107" t="n">
        <x:f t="array" ref="X15">IF(C15&lt;&gt;"",_xlfn.IFS(X$10="EXAM",RECORD!HD17,X$10="OUTPUT",RECORD!HE17,X$10="LAB",CF15,TRUE(),""),"")</x:f>
        <x:v>115</x:v>
      </x:c>
      <x:c r="Y15" s="106">
        <x:f t="shared" si="12"/>
        <x:v>38.08</x:v>
      </x:c>
      <x:c r="Z15" s="108">
        <x:f t="shared" si="13"/>
        <x:v>86.08</x:v>
      </x:c>
      <x:c r="AA15" s="109" t="str">
        <x:f t="shared" si="14"/>
        <x:v>PASSED</x:v>
      </x:c>
      <x:c r="AB15" s="111">
        <x:f t="shared" si="15"/>
        <x:v>90.133333333333326</x:v>
      </x:c>
      <x:c r="AC15" s="109" t="str">
        <x:f t="shared" si="16"/>
        <x:v>PASSED</x:v>
      </x:c>
      <x:c r="AD15" s="112"/>
      <x:c r="AE15" s="102"/>
      <x:c r="AF15" s="113"/>
      <x:c r="AG15" s="112">
        <x:v>70</x:v>
      </x:c>
      <x:c r="AH15" s="103"/>
      <x:c r="AI15" s="114"/>
      <x:c r="AJ15" s="102"/>
      <x:c r="AK15" s="102"/>
      <x:c r="AL15" s="102"/>
      <x:c r="AM15" s="102"/>
      <x:c r="AN15" s="102"/>
      <x:c r="AO15" s="102"/>
      <x:c r="AP15" s="102"/>
      <x:c r="AQ15" s="109" t="str">
        <x:f t="shared" si="17"/>
        <x:v>FAILED</x:v>
      </x:c>
      <x:c r="AR15" s="115"/>
      <x:c r="AS15" s="115"/>
      <x:c r="AT15" s="107"/>
      <x:c r="AU15" s="107"/>
      <x:c r="AV15" s="107"/>
      <x:c r="AW15" s="107"/>
      <x:c r="AX15" s="107"/>
      <x:c r="AY15" s="109" t="str">
        <x:f t="shared" si="18"/>
        <x:v>FAILED</x:v>
      </x:c>
      <x:c r="AZ15" s="115"/>
      <x:c r="BA15" s="115"/>
      <x:c r="BB15" s="107"/>
      <x:c r="BC15" s="107"/>
      <x:c r="BD15" s="107"/>
      <x:c r="BE15" s="107"/>
      <x:c r="BF15" s="107"/>
      <x:c r="BG15" s="109" t="str">
        <x:f t="shared" si="19"/>
        <x:v>FAILED</x:v>
      </x:c>
      <x:c r="BH15" s="117"/>
      <x:c r="BI15" s="102"/>
      <x:c r="BJ15" s="102"/>
      <x:c r="BK15" s="102"/>
      <x:c r="BL15" s="102"/>
      <x:c r="BM15" s="102"/>
      <x:c r="BN15" s="102"/>
      <x:c r="BO15" s="102"/>
      <x:c r="BP15" s="102"/>
      <x:c r="BQ15" s="109" t="str">
        <x:f t="shared" si="20"/>
        <x:v>FAILED</x:v>
      </x:c>
      <x:c r="BR15" s="115"/>
      <x:c r="BS15" s="115"/>
      <x:c r="BT15" s="107"/>
      <x:c r="BU15" s="107"/>
      <x:c r="BV15" s="107"/>
      <x:c r="BW15" s="107"/>
      <x:c r="BX15" s="107"/>
      <x:c r="BY15" s="109" t="str">
        <x:f t="shared" si="21"/>
        <x:v>FAILED</x:v>
      </x:c>
      <x:c r="BZ15" s="115"/>
      <x:c r="CA15" s="115"/>
      <x:c r="CB15" s="107"/>
      <x:c r="CC15" s="107"/>
      <x:c r="CD15" s="107"/>
      <x:c r="CE15" s="107"/>
      <x:c r="CF15" s="107"/>
      <x:c r="CG15" s="109" t="str">
        <x:f t="shared" si="22"/>
        <x:v>FAILED</x:v>
      </x:c>
      <x:c r="CH15" s="117"/>
    </x:row>
    <x:row r="16">
      <x:c r="A16" s="102" t="n">
        <x:f>IF(RECORD!A18="","",RECORD!A18)</x:f>
        <x:v>5</x:v>
      </x:c>
      <x:c r="B16" s="102" t="str">
        <x:f>IF(RECORD!B18="","",RECORD!B18)</x:f>
        <x:v>2024-00201</x:v>
      </x:c>
      <x:c r="C16" s="103" t="str">
        <x:f>IF(RECORD!C18="","",RECORD!C18)</x:f>
        <x:v>Pineda, Bianca H.</x:v>
      </x:c>
      <x:c r="D16" s="104" t="n">
        <x:f t="array" ref="D16">IF(C16&lt;&gt;"",IF(F$7="SUMMER","N/A",_xlfn.IFS(D$10="TLA",RECORD!GO18,F$10="LECTURE","",TRUE(),"")),"")</x:f>
        <x:v>21</x:v>
      </x:c>
      <x:c r="E16" s="105">
        <x:f t="shared" si="0"/>
        <x:v>32.799999999999997</x:v>
      </x:c>
      <x:c r="F16" s="104" t="n">
        <x:f t="array" ref="F16">IF(C16&lt;&gt;"",IF(F$7="SUMMER","N/A",_xlfn.IFS(F$10="AT",RECORD!GI18,F$10="LECTURE",GRADES!AP16,TRUE(),"")),"")</x:f>
        <x:v>50</x:v>
      </x:c>
      <x:c r="G16" s="106">
        <x:f t="shared" si="1"/>
        <x:v>18</x:v>
      </x:c>
      <x:c r="H16" s="107" t="n">
        <x:f t="array" ref="H16">IF(C16&lt;&gt;"",IF(F$7="SUMMER","N/A",_xlfn.IFS(H$10="EXAM",RECORD!GJ18,H$10="OUTPUT",RECORD!GK18,H$10="LAB",BP16,TRUE(),"")),"")</x:f>
        <x:v>80</x:v>
      </x:c>
      <x:c r="I16" s="106">
        <x:f t="shared" si="2"/>
        <x:v>40</x:v>
      </x:c>
      <x:c r="J16" s="108">
        <x:f t="shared" si="3"/>
        <x:v>90.8</x:v>
      </x:c>
      <x:c r="K16" s="109" t="str">
        <x:f t="shared" si="4"/>
        <x:v>PASSED</x:v>
      </x:c>
      <x:c r="L16" s="110" t="n">
        <x:f t="array" ref="L16">IF(C16&lt;&gt;"",_xlfn.IFS(L$10="TLA",RECORD!GY18,N$10="LECTURE","",TRUE(),""),"")</x:f>
        <x:v>45</x:v>
      </x:c>
      <x:c r="M16" s="105">
        <x:f t="shared" si="5"/>
        <x:v>37.6</x:v>
      </x:c>
      <x:c r="N16" s="104" t="n">
        <x:f t="array" ref="N16">IF(C16&lt;&gt;"",_xlfn.IFS(N$10="AT",RECORD!GS18,N$10="LECTURE",AX16,TRUE(),""),"")</x:f>
        <x:v>35</x:v>
      </x:c>
      <x:c r="O16" s="106">
        <x:f t="shared" si="6"/>
        <x:v>16.399999999999999</x:v>
      </x:c>
      <x:c r="P16" s="107" t="n">
        <x:f t="array" ref="P16">IF(C16&lt;&gt;"",_xlfn.IFS(P$10="EXAM",RECORD!GT18,P$10="OUTPUT",RECORD!GU18,P$10="LAB",BX16,TRUE(),""),"")</x:f>
        <x:v>85</x:v>
      </x:c>
      <x:c r="Q16" s="106">
        <x:f t="shared" si="7"/>
        <x:v>36.4</x:v>
      </x:c>
      <x:c r="R16" s="108">
        <x:f t="shared" si="8"/>
        <x:v>90.4</x:v>
      </x:c>
      <x:c r="S16" s="109" t="str">
        <x:f t="shared" si="9"/>
        <x:v>PASSED</x:v>
      </x:c>
      <x:c r="T16" s="110" t="n">
        <x:f t="array" ref="T16">IF(C16&lt;&gt;"",_xlfn.IFS(T$10="TLA",RECORD!HI18,V$10="LECTURE","",TRUE(),""),"")</x:f>
        <x:v>14</x:v>
      </x:c>
      <x:c r="U16" s="105">
        <x:f t="shared" si="10"/>
        <x:v>32.799999999999997</x:v>
      </x:c>
      <x:c r="V16" s="104" t="n">
        <x:f t="array" ref="V16">IF(C16&lt;&gt;"",_xlfn.IFS(V$10="AT",RECORD!HC18,V$10="LECTURE",BF16,TRUE(),""),"")</x:f>
        <x:v>25</x:v>
      </x:c>
      <x:c r="W16" s="106">
        <x:f t="shared" si="11"/>
        <x:v>14</x:v>
      </x:c>
      <x:c r="X16" s="107" t="n">
        <x:f t="array" ref="X16">IF(C16&lt;&gt;"",_xlfn.IFS(X$10="EXAM",RECORD!HD18,X$10="OUTPUT",RECORD!HE18,X$10="LAB",CF16,TRUE(),""),"")</x:f>
        <x:v>68</x:v>
      </x:c>
      <x:c r="Y16" s="106">
        <x:f t="shared" si="12"/>
        <x:v>29.055999999999997</x:v>
      </x:c>
      <x:c r="Z16" s="108">
        <x:f t="shared" si="13"/>
        <x:v>75.855999999999995</x:v>
      </x:c>
      <x:c r="AA16" s="109" t="str">
        <x:f t="shared" si="14"/>
        <x:v>PASSED</x:v>
      </x:c>
      <x:c r="AB16" s="111">
        <x:f t="shared" si="15"/>
        <x:v>85.685333333333332</x:v>
      </x:c>
      <x:c r="AC16" s="109" t="str">
        <x:f t="shared" si="16"/>
        <x:v>PASSED</x:v>
      </x:c>
      <x:c r="AD16" s="112"/>
      <x:c r="AE16" s="102"/>
      <x:c r="AF16" s="113"/>
      <x:c r="AG16" s="112">
        <x:v>75</x:v>
      </x:c>
      <x:c r="AH16" s="103"/>
      <x:c r="AI16" s="114"/>
      <x:c r="AJ16" s="102"/>
      <x:c r="AK16" s="102"/>
      <x:c r="AL16" s="102"/>
      <x:c r="AM16" s="102"/>
      <x:c r="AN16" s="102"/>
      <x:c r="AO16" s="102"/>
      <x:c r="AP16" s="102"/>
      <x:c r="AQ16" s="109" t="str">
        <x:f t="shared" si="17"/>
        <x:v>FAILED</x:v>
      </x:c>
      <x:c r="AR16" s="115"/>
      <x:c r="AS16" s="115"/>
      <x:c r="AT16" s="107"/>
      <x:c r="AU16" s="107"/>
      <x:c r="AV16" s="107"/>
      <x:c r="AW16" s="107"/>
      <x:c r="AX16" s="107"/>
      <x:c r="AY16" s="109" t="str">
        <x:f t="shared" si="18"/>
        <x:v>FAILED</x:v>
      </x:c>
      <x:c r="AZ16" s="115"/>
      <x:c r="BA16" s="115"/>
      <x:c r="BB16" s="107"/>
      <x:c r="BC16" s="107"/>
      <x:c r="BD16" s="107"/>
      <x:c r="BE16" s="107"/>
      <x:c r="BF16" s="107"/>
      <x:c r="BG16" s="109" t="str">
        <x:f t="shared" si="19"/>
        <x:v>FAILED</x:v>
      </x:c>
      <x:c r="BH16" s="117"/>
      <x:c r="BI16" s="102"/>
      <x:c r="BJ16" s="102"/>
      <x:c r="BK16" s="102"/>
      <x:c r="BL16" s="102"/>
      <x:c r="BM16" s="102"/>
      <x:c r="BN16" s="102"/>
      <x:c r="BO16" s="102"/>
      <x:c r="BP16" s="102"/>
      <x:c r="BQ16" s="109" t="str">
        <x:f t="shared" si="20"/>
        <x:v>FAILED</x:v>
      </x:c>
      <x:c r="BR16" s="115"/>
      <x:c r="BS16" s="115"/>
      <x:c r="BT16" s="107"/>
      <x:c r="BU16" s="107"/>
      <x:c r="BV16" s="107"/>
      <x:c r="BW16" s="107"/>
      <x:c r="BX16" s="107"/>
      <x:c r="BY16" s="109" t="str">
        <x:f t="shared" si="21"/>
        <x:v>FAILED</x:v>
      </x:c>
      <x:c r="BZ16" s="115"/>
      <x:c r="CA16" s="115"/>
      <x:c r="CB16" s="107"/>
      <x:c r="CC16" s="107"/>
      <x:c r="CD16" s="107"/>
      <x:c r="CE16" s="107"/>
      <x:c r="CF16" s="107"/>
      <x:c r="CG16" s="109" t="str">
        <x:f t="shared" si="22"/>
        <x:v>FAILED</x:v>
      </x:c>
      <x:c r="CH16" s="117"/>
    </x:row>
    <x:row r="17">
      <x:c r="A17" s="102" t="n">
        <x:f>IF(RECORD!A19="","",RECORD!A19)</x:f>
        <x:v>6</x:v>
      </x:c>
      <x:c r="B17" s="102" t="str">
        <x:f>IF(RECORD!B19="","",RECORD!B19)</x:f>
        <x:v>2024-00223</x:v>
      </x:c>
      <x:c r="C17" s="103" t="str">
        <x:f>IF(RECORD!C19="","",RECORD!C19)</x:f>
        <x:v>Ramos, Amiel E.</x:v>
      </x:c>
      <x:c r="D17" s="104" t="n">
        <x:f t="array" ref="D17">IF(C17&lt;&gt;"",IF(F$7="SUMMER","N/A",_xlfn.IFS(D$10="TLA",RECORD!GO19,F$10="LECTURE","",TRUE(),"")),"")</x:f>
        <x:v>20</x:v>
      </x:c>
      <x:c r="E17" s="105">
        <x:f t="shared" si="0"/>
        <x:v>32</x:v>
      </x:c>
      <x:c r="F17" s="104" t="n">
        <x:f t="array" ref="F17">IF(C17&lt;&gt;"",IF(F$7="SUMMER","N/A",_xlfn.IFS(F$10="AT",RECORD!GI19,F$10="LECTURE",GRADES!AP17,TRUE(),"")),"")</x:f>
        <x:v>50</x:v>
      </x:c>
      <x:c r="G17" s="106">
        <x:f t="shared" si="1"/>
        <x:v>18</x:v>
      </x:c>
      <x:c r="H17" s="107" t="n">
        <x:f t="array" ref="H17">IF(C17&lt;&gt;"",IF(F$7="SUMMER","N/A",_xlfn.IFS(H$10="EXAM",RECORD!GJ19,H$10="OUTPUT",RECORD!GK19,H$10="LAB",BP17,TRUE(),"")),"")</x:f>
        <x:v>80</x:v>
      </x:c>
      <x:c r="I17" s="106">
        <x:f t="shared" si="2"/>
        <x:v>40</x:v>
      </x:c>
      <x:c r="J17" s="108">
        <x:f t="shared" si="3"/>
        <x:v>90</x:v>
      </x:c>
      <x:c r="K17" s="109" t="str">
        <x:f t="shared" si="4"/>
        <x:v>PASSED</x:v>
      </x:c>
      <x:c r="L17" s="110" t="n">
        <x:f t="array" ref="L17">IF(C17&lt;&gt;"",_xlfn.IFS(L$10="TLA",RECORD!GY19,N$10="LECTURE","",TRUE(),""),"")</x:f>
        <x:v>45</x:v>
      </x:c>
      <x:c r="M17" s="105">
        <x:f t="shared" si="5"/>
        <x:v>37.6</x:v>
      </x:c>
      <x:c r="N17" s="104" t="n">
        <x:f t="array" ref="N17">IF(C17&lt;&gt;"",_xlfn.IFS(N$10="AT",RECORD!GS19,N$10="LECTURE",AX17,TRUE(),""),"")</x:f>
        <x:v>25</x:v>
      </x:c>
      <x:c r="O17" s="106">
        <x:f t="shared" si="6"/>
        <x:v>14</x:v>
      </x:c>
      <x:c r="P17" s="107" t="n">
        <x:f t="array" ref="P17">IF(C17&lt;&gt;"",_xlfn.IFS(P$10="EXAM",RECORD!GT19,P$10="OUTPUT",RECORD!GU19,P$10="LAB",BX17,TRUE(),""),"")</x:f>
        <x:v>96</x:v>
      </x:c>
      <x:c r="Q17" s="106">
        <x:f t="shared" si="7"/>
        <x:v>39.04</x:v>
      </x:c>
      <x:c r="R17" s="108">
        <x:f t="shared" si="8"/>
        <x:v>90.64</x:v>
      </x:c>
      <x:c r="S17" s="109" t="str">
        <x:f t="shared" si="9"/>
        <x:v>PASSED</x:v>
      </x:c>
      <x:c r="T17" s="110" t="n">
        <x:f t="array" ref="T17">IF(C17&lt;&gt;"",_xlfn.IFS(T$10="TLA",RECORD!HI19,V$10="LECTURE","",TRUE(),""),"")</x:f>
        <x:v>10</x:v>
      </x:c>
      <x:c r="U17" s="105">
        <x:f t="shared" si="10"/>
        <x:v>28</x:v>
      </x:c>
      <x:c r="V17" s="104" t="n">
        <x:f t="array" ref="V17">IF(C17&lt;&gt;"",_xlfn.IFS(V$10="AT",RECORD!HC19,V$10="LECTURE",BF17,TRUE(),""),"")</x:f>
        <x:v>25</x:v>
      </x:c>
      <x:c r="W17" s="106">
        <x:f t="shared" si="11"/>
        <x:v>14</x:v>
      </x:c>
      <x:c r="X17" s="107" t="n">
        <x:f t="array" ref="X17">IF(C17&lt;&gt;"",_xlfn.IFS(X$10="EXAM",RECORD!HD19,X$10="OUTPUT",RECORD!HE19,X$10="LAB",CF17,TRUE(),""),"")</x:f>
        <x:v>68</x:v>
      </x:c>
      <x:c r="Y17" s="106">
        <x:f t="shared" si="12"/>
        <x:v>29.055999999999997</x:v>
      </x:c>
      <x:c r="Z17" s="108">
        <x:f t="shared" si="13"/>
        <x:v>71.055999999999997</x:v>
      </x:c>
      <x:c r="AA17" s="109" t="str">
        <x:f t="shared" si="14"/>
        <x:v>FAILED</x:v>
      </x:c>
      <x:c r="AB17" s="111">
        <x:f t="shared" si="15"/>
        <x:v>83.898666666666657</x:v>
      </x:c>
      <x:c r="AC17" s="109" t="str">
        <x:f t="shared" si="16"/>
        <x:v>PASSED</x:v>
      </x:c>
      <x:c r="AD17" s="112"/>
      <x:c r="AE17" s="102"/>
      <x:c r="AF17" s="113"/>
      <x:c r="AG17" s="112">
        <x:v>80</x:v>
      </x:c>
      <x:c r="AH17" s="103"/>
      <x:c r="AI17" s="114"/>
      <x:c r="AJ17" s="102"/>
      <x:c r="AK17" s="102"/>
      <x:c r="AL17" s="102"/>
      <x:c r="AM17" s="102"/>
      <x:c r="AN17" s="102"/>
      <x:c r="AO17" s="102"/>
      <x:c r="AP17" s="102"/>
      <x:c r="AQ17" s="109" t="str">
        <x:f t="shared" si="17"/>
        <x:v>FAILED</x:v>
      </x:c>
      <x:c r="AR17" s="115"/>
      <x:c r="AS17" s="115"/>
      <x:c r="AT17" s="107"/>
      <x:c r="AU17" s="107"/>
      <x:c r="AV17" s="107"/>
      <x:c r="AW17" s="107"/>
      <x:c r="AX17" s="107"/>
      <x:c r="AY17" s="109" t="str">
        <x:f t="shared" si="18"/>
        <x:v>FAILED</x:v>
      </x:c>
      <x:c r="AZ17" s="115"/>
      <x:c r="BA17" s="115"/>
      <x:c r="BB17" s="107"/>
      <x:c r="BC17" s="107"/>
      <x:c r="BD17" s="107"/>
      <x:c r="BE17" s="107"/>
      <x:c r="BF17" s="107"/>
      <x:c r="BG17" s="109" t="str">
        <x:f t="shared" si="19"/>
        <x:v>FAILED</x:v>
      </x:c>
      <x:c r="BH17" s="117"/>
      <x:c r="BI17" s="102"/>
      <x:c r="BJ17" s="102"/>
      <x:c r="BK17" s="102"/>
      <x:c r="BL17" s="102"/>
      <x:c r="BM17" s="102"/>
      <x:c r="BN17" s="102"/>
      <x:c r="BO17" s="102"/>
      <x:c r="BP17" s="102"/>
      <x:c r="BQ17" s="109" t="str">
        <x:f t="shared" si="20"/>
        <x:v>FAILED</x:v>
      </x:c>
      <x:c r="BR17" s="115"/>
      <x:c r="BS17" s="115"/>
      <x:c r="BT17" s="107"/>
      <x:c r="BU17" s="107"/>
      <x:c r="BV17" s="107"/>
      <x:c r="BW17" s="107"/>
      <x:c r="BX17" s="107"/>
      <x:c r="BY17" s="109" t="str">
        <x:f t="shared" si="21"/>
        <x:v>FAILED</x:v>
      </x:c>
      <x:c r="BZ17" s="115"/>
      <x:c r="CA17" s="115"/>
      <x:c r="CB17" s="107"/>
      <x:c r="CC17" s="107"/>
      <x:c r="CD17" s="107"/>
      <x:c r="CE17" s="107"/>
      <x:c r="CF17" s="107"/>
      <x:c r="CG17" s="109" t="str">
        <x:f t="shared" si="22"/>
        <x:v>FAILED</x:v>
      </x:c>
      <x:c r="CH17" s="117"/>
    </x:row>
    <x:row r="18">
      <x:c r="A18" s="102" t="n">
        <x:f>IF(RECORD!A20="","",RECORD!A20)</x:f>
        <x:v>7</x:v>
      </x:c>
      <x:c r="B18" s="102" t="str">
        <x:f>IF(RECORD!B20="","",RECORD!B20)</x:f>
        <x:v>2024-00245</x:v>
      </x:c>
      <x:c r="C18" s="103" t="str">
        <x:f>IF(RECORD!C20="","",RECORD!C20)</x:f>
        <x:v>Del Rosario, Beatrice F.</x:v>
      </x:c>
      <x:c r="D18" s="104" t="n">
        <x:f t="array" ref="D18">IF(C18&lt;&gt;"",IF(F$7="SUMMER","N/A",_xlfn.IFS(D$10="TLA",RECORD!GO20,F$10="LECTURE","",TRUE(),"")),"")</x:f>
        <x:v>20</x:v>
      </x:c>
      <x:c r="E18" s="105">
        <x:f t="shared" si="0"/>
        <x:v>32</x:v>
      </x:c>
      <x:c r="F18" s="104" t="n">
        <x:f t="array" ref="F18">IF(C18&lt;&gt;"",IF(F$7="SUMMER","N/A",_xlfn.IFS(F$10="AT",RECORD!GI20,F$10="LECTURE",GRADES!AP18,TRUE(),"")),"")</x:f>
        <x:v>50</x:v>
      </x:c>
      <x:c r="G18" s="106">
        <x:f t="shared" si="1"/>
        <x:v>18</x:v>
      </x:c>
      <x:c r="H18" s="107" t="n">
        <x:f t="array" ref="H18">IF(C18&lt;&gt;"",IF(F$7="SUMMER","N/A",_xlfn.IFS(H$10="EXAM",RECORD!GJ20,H$10="OUTPUT",RECORD!GK20,H$10="LAB",BP18,TRUE(),"")),"")</x:f>
        <x:v>80</x:v>
      </x:c>
      <x:c r="I18" s="106">
        <x:f t="shared" si="2"/>
        <x:v>40</x:v>
      </x:c>
      <x:c r="J18" s="108">
        <x:f t="shared" si="3"/>
        <x:v>90</x:v>
      </x:c>
      <x:c r="K18" s="109" t="str">
        <x:f t="shared" si="4"/>
        <x:v>PASSED</x:v>
      </x:c>
      <x:c r="L18" s="110" t="n">
        <x:f t="array" ref="L18">IF(C18&lt;&gt;"",_xlfn.IFS(L$10="TLA",RECORD!GY20,N$10="LECTURE","",TRUE(),""),"")</x:f>
        <x:v>45</x:v>
      </x:c>
      <x:c r="M18" s="105">
        <x:f t="shared" si="5"/>
        <x:v>37.6</x:v>
      </x:c>
      <x:c r="N18" s="104" t="n">
        <x:f t="array" ref="N18">IF(C18&lt;&gt;"",_xlfn.IFS(N$10="AT",RECORD!GS20,N$10="LECTURE",AX18,TRUE(),""),"")</x:f>
        <x:v>25</x:v>
      </x:c>
      <x:c r="O18" s="106">
        <x:f t="shared" si="6"/>
        <x:v>14</x:v>
      </x:c>
      <x:c r="P18" s="107" t="n">
        <x:f t="array" ref="P18">IF(C18&lt;&gt;"",_xlfn.IFS(P$10="EXAM",RECORD!GT20,P$10="OUTPUT",RECORD!GU20,P$10="LAB",BX18,TRUE(),""),"")</x:f>
        <x:v>50</x:v>
      </x:c>
      <x:c r="Q18" s="106">
        <x:f t="shared" si="7"/>
        <x:v>28</x:v>
      </x:c>
      <x:c r="R18" s="108">
        <x:f t="shared" si="8"/>
        <x:v>79.599999999999994</x:v>
      </x:c>
      <x:c r="S18" s="109" t="str">
        <x:f t="shared" si="9"/>
        <x:v>PASSED</x:v>
      </x:c>
      <x:c r="T18" s="110" t="n">
        <x:f t="array" ref="T18">IF(C18&lt;&gt;"",_xlfn.IFS(T$10="TLA",RECORD!HI20,V$10="LECTURE","",TRUE(),""),"")</x:f>
        <x:v>10</x:v>
      </x:c>
      <x:c r="U18" s="105">
        <x:f t="shared" si="10"/>
        <x:v>28</x:v>
      </x:c>
      <x:c r="V18" s="104" t="n">
        <x:f t="array" ref="V18">IF(C18&lt;&gt;"",_xlfn.IFS(V$10="AT",RECORD!HC20,V$10="LECTURE",BF18,TRUE(),""),"")</x:f>
        <x:v>25</x:v>
      </x:c>
      <x:c r="W18" s="106">
        <x:f t="shared" si="11"/>
        <x:v>14</x:v>
      </x:c>
      <x:c r="X18" s="107" t="n">
        <x:f t="array" ref="X18">IF(C18&lt;&gt;"",_xlfn.IFS(X$10="EXAM",RECORD!HD20,X$10="OUTPUT",RECORD!HE20,X$10="LAB",CF18,TRUE(),""),"")</x:f>
        <x:v>68</x:v>
      </x:c>
      <x:c r="Y18" s="106">
        <x:f t="shared" si="12"/>
        <x:v>29.055999999999997</x:v>
      </x:c>
      <x:c r="Z18" s="108">
        <x:f t="shared" si="13"/>
        <x:v>71.055999999999997</x:v>
      </x:c>
      <x:c r="AA18" s="109" t="str">
        <x:f t="shared" si="14"/>
        <x:v>FAILED</x:v>
      </x:c>
      <x:c r="AB18" s="111">
        <x:f t="shared" si="15"/>
        <x:v>80.218666666666664</x:v>
      </x:c>
      <x:c r="AC18" s="109" t="str">
        <x:f t="shared" si="16"/>
        <x:v>PASSED</x:v>
      </x:c>
      <x:c r="AD18" s="112"/>
      <x:c r="AE18" s="102"/>
      <x:c r="AF18" s="113"/>
      <x:c r="AG18" s="112">
        <x:v>85</x:v>
      </x:c>
      <x:c r="AH18" s="103"/>
      <x:c r="AI18" s="114"/>
      <x:c r="AJ18" s="102"/>
      <x:c r="AK18" s="102"/>
      <x:c r="AL18" s="102"/>
      <x:c r="AM18" s="102"/>
      <x:c r="AN18" s="102"/>
      <x:c r="AO18" s="102"/>
      <x:c r="AP18" s="102"/>
      <x:c r="AQ18" s="109" t="str">
        <x:f t="shared" si="17"/>
        <x:v>FAILED</x:v>
      </x:c>
      <x:c r="AR18" s="115"/>
      <x:c r="AS18" s="115"/>
      <x:c r="AT18" s="107"/>
      <x:c r="AU18" s="107"/>
      <x:c r="AV18" s="107"/>
      <x:c r="AW18" s="107"/>
      <x:c r="AX18" s="107"/>
      <x:c r="AY18" s="109" t="str">
        <x:f t="shared" si="18"/>
        <x:v>FAILED</x:v>
      </x:c>
      <x:c r="AZ18" s="115"/>
      <x:c r="BA18" s="115"/>
      <x:c r="BB18" s="107"/>
      <x:c r="BC18" s="107"/>
      <x:c r="BD18" s="107"/>
      <x:c r="BE18" s="107"/>
      <x:c r="BF18" s="107"/>
      <x:c r="BG18" s="109" t="str">
        <x:f t="shared" si="19"/>
        <x:v>FAILED</x:v>
      </x:c>
      <x:c r="BH18" s="117"/>
      <x:c r="BI18" s="102"/>
      <x:c r="BJ18" s="102"/>
      <x:c r="BK18" s="102"/>
      <x:c r="BL18" s="102"/>
      <x:c r="BM18" s="102"/>
      <x:c r="BN18" s="102"/>
      <x:c r="BO18" s="102"/>
      <x:c r="BP18" s="102"/>
      <x:c r="BQ18" s="109" t="str">
        <x:f t="shared" si="20"/>
        <x:v>FAILED</x:v>
      </x:c>
      <x:c r="BR18" s="115"/>
      <x:c r="BS18" s="115"/>
      <x:c r="BT18" s="107"/>
      <x:c r="BU18" s="107"/>
      <x:c r="BV18" s="107"/>
      <x:c r="BW18" s="107"/>
      <x:c r="BX18" s="107"/>
      <x:c r="BY18" s="109" t="str">
        <x:f t="shared" si="21"/>
        <x:v>FAILED</x:v>
      </x:c>
      <x:c r="BZ18" s="115"/>
      <x:c r="CA18" s="115"/>
      <x:c r="CB18" s="107"/>
      <x:c r="CC18" s="107"/>
      <x:c r="CD18" s="107"/>
      <x:c r="CE18" s="107"/>
      <x:c r="CF18" s="107"/>
      <x:c r="CG18" s="109" t="str">
        <x:f t="shared" si="22"/>
        <x:v>FAILED</x:v>
      </x:c>
      <x:c r="CH18" s="117"/>
    </x:row>
    <x:row r="19">
      <x:c r="A19" s="102" t="n">
        <x:f>IF(RECORD!A21="","",RECORD!A21)</x:f>
        <x:v>8</x:v>
      </x:c>
      <x:c r="B19" s="102" t="str">
        <x:f>IF(RECORD!B21="","",RECORD!B21)</x:f>
        <x:v>2024-00267</x:v>
      </x:c>
      <x:c r="C19" s="103" t="str">
        <x:f>IF(RECORD!C21="","",RECORD!C21)</x:f>
        <x:v>Rosales, Vanessa A.</x:v>
      </x:c>
      <x:c r="D19" s="104" t="n">
        <x:f t="array" ref="D19">IF(C19&lt;&gt;"",IF(F$7="SUMMER","N/A",_xlfn.IFS(D$10="TLA",RECORD!GO21,F$10="LECTURE","",TRUE(),"")),"")</x:f>
        <x:v>20</x:v>
      </x:c>
      <x:c r="E19" s="105">
        <x:f t="shared" si="0"/>
        <x:v>32</x:v>
      </x:c>
      <x:c r="F19" s="104" t="n">
        <x:f t="array" ref="F19">IF(C19&lt;&gt;"",IF(F$7="SUMMER","N/A",_xlfn.IFS(F$10="AT",RECORD!GI21,F$10="LECTURE",GRADES!AP19,TRUE(),"")),"")</x:f>
        <x:v>50</x:v>
      </x:c>
      <x:c r="G19" s="106">
        <x:f t="shared" si="1"/>
        <x:v>18</x:v>
      </x:c>
      <x:c r="H19" s="107" t="n">
        <x:f t="array" ref="H19">IF(C19&lt;&gt;"",IF(F$7="SUMMER","N/A",_xlfn.IFS(H$10="EXAM",RECORD!GJ21,H$10="OUTPUT",RECORD!GK21,H$10="LAB",BP19,TRUE(),"")),"")</x:f>
        <x:v>80</x:v>
      </x:c>
      <x:c r="I19" s="106">
        <x:f t="shared" si="2"/>
        <x:v>40</x:v>
      </x:c>
      <x:c r="J19" s="108">
        <x:f t="shared" si="3"/>
        <x:v>90</x:v>
      </x:c>
      <x:c r="K19" s="109" t="str">
        <x:f t="shared" si="4"/>
        <x:v>PASSED</x:v>
      </x:c>
      <x:c r="L19" s="110" t="n">
        <x:f t="array" ref="L19">IF(C19&lt;&gt;"",_xlfn.IFS(L$10="TLA",RECORD!GY21,N$10="LECTURE","",TRUE(),""),"")</x:f>
        <x:v>45</x:v>
      </x:c>
      <x:c r="M19" s="105">
        <x:f t="shared" si="5"/>
        <x:v>37.6</x:v>
      </x:c>
      <x:c r="N19" s="104" t="n">
        <x:f t="array" ref="N19">IF(C19&lt;&gt;"",_xlfn.IFS(N$10="AT",RECORD!GS21,N$10="LECTURE",AX19,TRUE(),""),"")</x:f>
        <x:v>25</x:v>
      </x:c>
      <x:c r="O19" s="106">
        <x:f t="shared" si="6"/>
        <x:v>14</x:v>
      </x:c>
      <x:c r="P19" s="107" t="n">
        <x:f t="array" ref="P19">IF(C19&lt;&gt;"",_xlfn.IFS(P$10="EXAM",RECORD!GT21,P$10="OUTPUT",RECORD!GU21,P$10="LAB",BX19,TRUE(),""),"")</x:f>
        <x:v>40</x:v>
      </x:c>
      <x:c r="Q19" s="106">
        <x:f t="shared" si="7"/>
        <x:v>25.6</x:v>
      </x:c>
      <x:c r="R19" s="108">
        <x:f t="shared" si="8"/>
        <x:v>77.2</x:v>
      </x:c>
      <x:c r="S19" s="109" t="str">
        <x:f t="shared" si="9"/>
        <x:v>PASSED</x:v>
      </x:c>
      <x:c r="T19" s="110" t="n">
        <x:f t="array" ref="T19">IF(C19&lt;&gt;"",_xlfn.IFS(T$10="TLA",RECORD!HI21,V$10="LECTURE","",TRUE(),""),"")</x:f>
        <x:v>20</x:v>
      </x:c>
      <x:c r="U19" s="105">
        <x:f t="shared" si="10"/>
        <x:v>40</x:v>
      </x:c>
      <x:c r="V19" s="104" t="n">
        <x:f t="array" ref="V19">IF(C19&lt;&gt;"",_xlfn.IFS(V$10="AT",RECORD!HC21,V$10="LECTURE",BF19,TRUE(),""),"")</x:f>
        <x:v>50</x:v>
      </x:c>
      <x:c r="W19" s="106">
        <x:f t="shared" si="11"/>
        <x:v>20</x:v>
      </x:c>
      <x:c r="X19" s="107" t="n">
        <x:f t="array" ref="X19">IF(C19&lt;&gt;"",_xlfn.IFS(X$10="EXAM",RECORD!HD21,X$10="OUTPUT",RECORD!HE21,X$10="LAB",CF19,TRUE(),""),"")</x:f>
        <x:v>68</x:v>
      </x:c>
      <x:c r="Y19" s="106">
        <x:f t="shared" si="12"/>
        <x:v>29.055999999999997</x:v>
      </x:c>
      <x:c r="Z19" s="108">
        <x:f t="shared" si="13"/>
        <x:v>89.055999999999997</x:v>
      </x:c>
      <x:c r="AA19" s="109" t="str">
        <x:f t="shared" si="14"/>
        <x:v>PASSED</x:v>
      </x:c>
      <x:c r="AB19" s="111">
        <x:f t="shared" si="15"/>
        <x:v>85.418666666666653</x:v>
      </x:c>
      <x:c r="AC19" s="109" t="str">
        <x:f t="shared" si="16"/>
        <x:v>PASSED</x:v>
      </x:c>
      <x:c r="AD19" s="112"/>
      <x:c r="AE19" s="102"/>
      <x:c r="AF19" s="113"/>
      <x:c r="AG19" s="112">
        <x:v>90</x:v>
      </x:c>
      <x:c r="AH19" s="103"/>
      <x:c r="AI19" s="114"/>
      <x:c r="AJ19" s="102"/>
      <x:c r="AK19" s="102"/>
      <x:c r="AL19" s="102"/>
      <x:c r="AM19" s="102"/>
      <x:c r="AN19" s="102"/>
      <x:c r="AO19" s="102"/>
      <x:c r="AP19" s="102"/>
      <x:c r="AQ19" s="109" t="str">
        <x:f t="shared" si="17"/>
        <x:v>FAILED</x:v>
      </x:c>
      <x:c r="AR19" s="115"/>
      <x:c r="AS19" s="115"/>
      <x:c r="AT19" s="107"/>
      <x:c r="AU19" s="107"/>
      <x:c r="AV19" s="107"/>
      <x:c r="AW19" s="107"/>
      <x:c r="AX19" s="107"/>
      <x:c r="AY19" s="109" t="str">
        <x:f t="shared" si="18"/>
        <x:v>FAILED</x:v>
      </x:c>
      <x:c r="AZ19" s="115"/>
      <x:c r="BA19" s="115"/>
      <x:c r="BB19" s="107"/>
      <x:c r="BC19" s="107"/>
      <x:c r="BD19" s="107"/>
      <x:c r="BE19" s="107"/>
      <x:c r="BF19" s="107"/>
      <x:c r="BG19" s="109" t="str">
        <x:f t="shared" si="19"/>
        <x:v>FAILED</x:v>
      </x:c>
      <x:c r="BH19" s="117"/>
      <x:c r="BI19" s="102"/>
      <x:c r="BJ19" s="102"/>
      <x:c r="BK19" s="102"/>
      <x:c r="BL19" s="102"/>
      <x:c r="BM19" s="102"/>
      <x:c r="BN19" s="102"/>
      <x:c r="BO19" s="102"/>
      <x:c r="BP19" s="102"/>
      <x:c r="BQ19" s="109" t="str">
        <x:f t="shared" si="20"/>
        <x:v>FAILED</x:v>
      </x:c>
      <x:c r="BR19" s="115"/>
      <x:c r="BS19" s="115"/>
      <x:c r="BT19" s="107"/>
      <x:c r="BU19" s="107"/>
      <x:c r="BV19" s="107"/>
      <x:c r="BW19" s="107"/>
      <x:c r="BX19" s="107"/>
      <x:c r="BY19" s="109" t="str">
        <x:f t="shared" si="21"/>
        <x:v>FAILED</x:v>
      </x:c>
      <x:c r="BZ19" s="115"/>
      <x:c r="CA19" s="115"/>
      <x:c r="CB19" s="107"/>
      <x:c r="CC19" s="107"/>
      <x:c r="CD19" s="107"/>
      <x:c r="CE19" s="107"/>
      <x:c r="CF19" s="107"/>
      <x:c r="CG19" s="109" t="str">
        <x:f t="shared" si="22"/>
        <x:v>FAILED</x:v>
      </x:c>
      <x:c r="CH19" s="117"/>
    </x:row>
    <x:row r="20">
      <x:c r="A20" s="102" t="n">
        <x:f>IF(RECORD!A22="","",RECORD!A22)</x:f>
        <x:v>9</x:v>
      </x:c>
      <x:c r="B20" s="102" t="str">
        <x:f>IF(RECORD!B22="","",RECORD!B22)</x:f>
        <x:v>2024-00289</x:v>
      </x:c>
      <x:c r="C20" s="103" t="str">
        <x:f>IF(RECORD!C22="","",RECORD!C22)</x:f>
        <x:v>Sarmiento, Daphne C.</x:v>
      </x:c>
      <x:c r="D20" s="104" t="n">
        <x:f t="array" ref="D20">IF(C20&lt;&gt;"",IF(F$7="SUMMER","N/A",_xlfn.IFS(D$10="TLA",RECORD!GO22,F$10="LECTURE","",TRUE(),"")),"")</x:f>
        <x:v>20</x:v>
      </x:c>
      <x:c r="E20" s="105">
        <x:f t="shared" si="0"/>
        <x:v>32</x:v>
      </x:c>
      <x:c r="F20" s="104" t="n">
        <x:f t="array" ref="F20">IF(C20&lt;&gt;"",IF(F$7="SUMMER","N/A",_xlfn.IFS(F$10="AT",RECORD!GI22,F$10="LECTURE",GRADES!AP20,TRUE(),"")),"")</x:f>
        <x:v>50</x:v>
      </x:c>
      <x:c r="G20" s="106">
        <x:f t="shared" si="1"/>
        <x:v>18</x:v>
      </x:c>
      <x:c r="H20" s="107" t="n">
        <x:f t="array" ref="H20">IF(C20&lt;&gt;"",IF(F$7="SUMMER","N/A",_xlfn.IFS(H$10="EXAM",RECORD!GJ22,H$10="OUTPUT",RECORD!GK22,H$10="LAB",BP20,TRUE(),"")),"")</x:f>
        <x:v>80</x:v>
      </x:c>
      <x:c r="I20" s="106">
        <x:f t="shared" si="2"/>
        <x:v>40</x:v>
      </x:c>
      <x:c r="J20" s="108">
        <x:f t="shared" si="3"/>
        <x:v>90</x:v>
      </x:c>
      <x:c r="K20" s="109" t="str">
        <x:f t="shared" si="4"/>
        <x:v>PASSED</x:v>
      </x:c>
      <x:c r="L20" s="110" t="n">
        <x:f t="array" ref="L20">IF(C20&lt;&gt;"",_xlfn.IFS(L$10="TLA",RECORD!GY22,N$10="LECTURE","",TRUE(),""),"")</x:f>
        <x:v>45</x:v>
      </x:c>
      <x:c r="M20" s="105">
        <x:f t="shared" si="5"/>
        <x:v>37.6</x:v>
      </x:c>
      <x:c r="N20" s="104" t="n">
        <x:f t="array" ref="N20">IF(C20&lt;&gt;"",_xlfn.IFS(N$10="AT",RECORD!GS22,N$10="LECTURE",AX20,TRUE(),""),"")</x:f>
        <x:v>25</x:v>
      </x:c>
      <x:c r="O20" s="106">
        <x:f t="shared" si="6"/>
        <x:v>14</x:v>
      </x:c>
      <x:c r="P20" s="107" t="n">
        <x:f t="array" ref="P20">IF(C20&lt;&gt;"",_xlfn.IFS(P$10="EXAM",RECORD!GT22,P$10="OUTPUT",RECORD!GU22,P$10="LAB",BX20,TRUE(),""),"")</x:f>
        <x:v>40</x:v>
      </x:c>
      <x:c r="Q20" s="106">
        <x:f t="shared" si="7"/>
        <x:v>25.6</x:v>
      </x:c>
      <x:c r="R20" s="108">
        <x:f t="shared" si="8"/>
        <x:v>77.2</x:v>
      </x:c>
      <x:c r="S20" s="109" t="str">
        <x:f t="shared" si="9"/>
        <x:v>PASSED</x:v>
      </x:c>
      <x:c r="T20" s="110" t="n">
        <x:f t="array" ref="T20">IF(C20&lt;&gt;"",_xlfn.IFS(T$10="TLA",RECORD!HI22,V$10="LECTURE","",TRUE(),""),"")</x:f>
        <x:v>20</x:v>
      </x:c>
      <x:c r="U20" s="105">
        <x:f t="shared" si="10"/>
        <x:v>40</x:v>
      </x:c>
      <x:c r="V20" s="104" t="n">
        <x:f t="array" ref="V20">IF(C20&lt;&gt;"",_xlfn.IFS(V$10="AT",RECORD!HC22,V$10="LECTURE",BF20,TRUE(),""),"")</x:f>
        <x:v>50</x:v>
      </x:c>
      <x:c r="W20" s="106">
        <x:f t="shared" si="11"/>
        <x:v>20</x:v>
      </x:c>
      <x:c r="X20" s="107" t="n">
        <x:f t="array" ref="X20">IF(C20&lt;&gt;"",_xlfn.IFS(X$10="EXAM",RECORD!HD22,X$10="OUTPUT",RECORD!HE22,X$10="LAB",CF20,TRUE(),""),"")</x:f>
        <x:v>68</x:v>
      </x:c>
      <x:c r="Y20" s="106">
        <x:f t="shared" si="12"/>
        <x:v>29.055999999999997</x:v>
      </x:c>
      <x:c r="Z20" s="108">
        <x:f t="shared" si="13"/>
        <x:v>89.055999999999997</x:v>
      </x:c>
      <x:c r="AA20" s="109" t="str">
        <x:f t="shared" si="14"/>
        <x:v>PASSED</x:v>
      </x:c>
      <x:c r="AB20" s="111">
        <x:f t="shared" si="15"/>
        <x:v>85.418666666666653</x:v>
      </x:c>
      <x:c r="AC20" s="109" t="str">
        <x:f t="shared" si="16"/>
        <x:v>PASSED</x:v>
      </x:c>
      <x:c r="AD20" s="112"/>
      <x:c r="AE20" s="102"/>
      <x:c r="AF20" s="113"/>
      <x:c r="AG20" s="112"/>
      <x:c r="AH20" s="103"/>
      <x:c r="AI20" s="114"/>
      <x:c r="AJ20" s="102"/>
      <x:c r="AK20" s="102"/>
      <x:c r="AL20" s="102"/>
      <x:c r="AM20" s="102"/>
      <x:c r="AN20" s="102"/>
      <x:c r="AO20" s="102"/>
      <x:c r="AP20" s="102"/>
      <x:c r="AQ20" s="109" t="str">
        <x:f t="shared" si="17"/>
        <x:v>FAILED</x:v>
      </x:c>
      <x:c r="AR20" s="115"/>
      <x:c r="AS20" s="115"/>
      <x:c r="AT20" s="107"/>
      <x:c r="AU20" s="107"/>
      <x:c r="AV20" s="107"/>
      <x:c r="AW20" s="107"/>
      <x:c r="AX20" s="107"/>
      <x:c r="AY20" s="109" t="str">
        <x:f t="shared" si="18"/>
        <x:v>FAILED</x:v>
      </x:c>
      <x:c r="AZ20" s="115"/>
      <x:c r="BA20" s="115"/>
      <x:c r="BB20" s="107"/>
      <x:c r="BC20" s="107"/>
      <x:c r="BD20" s="107"/>
      <x:c r="BE20" s="107"/>
      <x:c r="BF20" s="107"/>
      <x:c r="BG20" s="109" t="str">
        <x:f t="shared" si="19"/>
        <x:v>FAILED</x:v>
      </x:c>
      <x:c r="BH20" s="117"/>
      <x:c r="BI20" s="102"/>
      <x:c r="BJ20" s="102"/>
      <x:c r="BK20" s="102"/>
      <x:c r="BL20" s="102"/>
      <x:c r="BM20" s="102"/>
      <x:c r="BN20" s="102"/>
      <x:c r="BO20" s="102"/>
      <x:c r="BP20" s="102"/>
      <x:c r="BQ20" s="109" t="str">
        <x:f t="shared" si="20"/>
        <x:v>FAILED</x:v>
      </x:c>
      <x:c r="BR20" s="115"/>
      <x:c r="BS20" s="115"/>
      <x:c r="BT20" s="107"/>
      <x:c r="BU20" s="107"/>
      <x:c r="BV20" s="107"/>
      <x:c r="BW20" s="107"/>
      <x:c r="BX20" s="107"/>
      <x:c r="BY20" s="109" t="str">
        <x:f t="shared" si="21"/>
        <x:v>FAILED</x:v>
      </x:c>
      <x:c r="BZ20" s="115"/>
      <x:c r="CA20" s="115"/>
      <x:c r="CB20" s="107"/>
      <x:c r="CC20" s="107"/>
      <x:c r="CD20" s="107"/>
      <x:c r="CE20" s="107"/>
      <x:c r="CF20" s="107"/>
      <x:c r="CG20" s="109" t="str">
        <x:f t="shared" si="22"/>
        <x:v>FAILED</x:v>
      </x:c>
      <x:c r="CH20" s="117"/>
    </x:row>
    <x:row r="21">
      <x:c r="A21" s="102" t="n">
        <x:f>IF(RECORD!A23="","",RECORD!A23)</x:f>
        <x:v>10</x:v>
      </x:c>
      <x:c r="B21" s="102" t="str">
        <x:f>IF(RECORD!B23="","",RECORD!B23)</x:f>
        <x:v>2024-00301</x:v>
      </x:c>
      <x:c r="C21" s="103" t="str">
        <x:f>IF(RECORD!C23="","",RECORD!C23)</x:f>
        <x:v>Fernandez, Trisha S.</x:v>
      </x:c>
      <x:c r="D21" s="104" t="n">
        <x:f t="array" ref="D21">IF(C21&lt;&gt;"",IF(F$7="SUMMER","N/A",_xlfn.IFS(D$10="TLA",RECORD!GO23,F$10="LECTURE","",TRUE(),"")),"")</x:f>
        <x:v>20</x:v>
      </x:c>
      <x:c r="E21" s="105">
        <x:f t="shared" si="0"/>
        <x:v>32</x:v>
      </x:c>
      <x:c r="F21" s="104" t="n">
        <x:f t="array" ref="F21">IF(C21&lt;&gt;"",IF(F$7="SUMMER","N/A",_xlfn.IFS(F$10="AT",RECORD!GI23,F$10="LECTURE",GRADES!AP21,TRUE(),"")),"")</x:f>
        <x:v>50</x:v>
      </x:c>
      <x:c r="G21" s="106">
        <x:f t="shared" si="1"/>
        <x:v>18</x:v>
      </x:c>
      <x:c r="H21" s="107" t="n">
        <x:f t="array" ref="H21">IF(C21&lt;&gt;"",IF(F$7="SUMMER","N/A",_xlfn.IFS(H$10="EXAM",RECORD!GJ23,H$10="OUTPUT",RECORD!GK23,H$10="LAB",BP21,TRUE(),"")),"")</x:f>
        <x:v>80</x:v>
      </x:c>
      <x:c r="I21" s="106">
        <x:f t="shared" si="2"/>
        <x:v>40</x:v>
      </x:c>
      <x:c r="J21" s="108">
        <x:f t="shared" si="3"/>
        <x:v>90</x:v>
      </x:c>
      <x:c r="K21" s="109" t="str">
        <x:f t="shared" si="4"/>
        <x:v>PASSED</x:v>
      </x:c>
      <x:c r="L21" s="110" t="n">
        <x:f t="array" ref="L21">IF(C21&lt;&gt;"",_xlfn.IFS(L$10="TLA",RECORD!GY23,N$10="LECTURE","",TRUE(),""),"")</x:f>
        <x:v>45</x:v>
      </x:c>
      <x:c r="M21" s="105">
        <x:f t="shared" si="5"/>
        <x:v>37.6</x:v>
      </x:c>
      <x:c r="N21" s="104" t="n">
        <x:f t="array" ref="N21">IF(C21&lt;&gt;"",_xlfn.IFS(N$10="AT",RECORD!GS23,N$10="LECTURE",AX21,TRUE(),""),"")</x:f>
        <x:v>25</x:v>
      </x:c>
      <x:c r="O21" s="106">
        <x:f t="shared" si="6"/>
        <x:v>14</x:v>
      </x:c>
      <x:c r="P21" s="107" t="n">
        <x:f t="array" ref="P21">IF(C21&lt;&gt;"",_xlfn.IFS(P$10="EXAM",RECORD!GT23,P$10="OUTPUT",RECORD!GU23,P$10="LAB",BX21,TRUE(),""),"")</x:f>
        <x:v>40</x:v>
      </x:c>
      <x:c r="Q21" s="106">
        <x:f t="shared" si="7"/>
        <x:v>25.6</x:v>
      </x:c>
      <x:c r="R21" s="108">
        <x:f t="shared" si="8"/>
        <x:v>77.2</x:v>
      </x:c>
      <x:c r="S21" s="109" t="str">
        <x:f t="shared" si="9"/>
        <x:v>PASSED</x:v>
      </x:c>
      <x:c r="T21" s="110" t="n">
        <x:f t="array" ref="T21">IF(C21&lt;&gt;"",_xlfn.IFS(T$10="TLA",RECORD!HI23,V$10="LECTURE","",TRUE(),""),"")</x:f>
        <x:v>20</x:v>
      </x:c>
      <x:c r="U21" s="105">
        <x:f t="shared" si="10"/>
        <x:v>40</x:v>
      </x:c>
      <x:c r="V21" s="104" t="n">
        <x:f t="array" ref="V21">IF(C21&lt;&gt;"",_xlfn.IFS(V$10="AT",RECORD!HC23,V$10="LECTURE",BF21,TRUE(),""),"")</x:f>
        <x:v>50</x:v>
      </x:c>
      <x:c r="W21" s="106">
        <x:f t="shared" si="11"/>
        <x:v>20</x:v>
      </x:c>
      <x:c r="X21" s="107" t="n">
        <x:f t="array" ref="X21">IF(C21&lt;&gt;"",_xlfn.IFS(X$10="EXAM",RECORD!HD23,X$10="OUTPUT",RECORD!HE23,X$10="LAB",CF21,TRUE(),""),"")</x:f>
        <x:v>68</x:v>
      </x:c>
      <x:c r="Y21" s="106">
        <x:f t="shared" si="12"/>
        <x:v>29.055999999999997</x:v>
      </x:c>
      <x:c r="Z21" s="108">
        <x:f t="shared" si="13"/>
        <x:v>89.055999999999997</x:v>
      </x:c>
      <x:c r="AA21" s="109" t="str">
        <x:f t="shared" si="14"/>
        <x:v>PASSED</x:v>
      </x:c>
      <x:c r="AB21" s="111">
        <x:f t="shared" si="15"/>
        <x:v>85.418666666666653</x:v>
      </x:c>
      <x:c r="AC21" s="109" t="str">
        <x:f t="shared" si="16"/>
        <x:v>PASSED</x:v>
      </x:c>
      <x:c r="AD21" s="112"/>
      <x:c r="AE21" s="102"/>
      <x:c r="AF21" s="113"/>
      <x:c r="AG21" s="112"/>
      <x:c r="AH21" s="103"/>
      <x:c r="AI21" s="114"/>
      <x:c r="AJ21" s="102"/>
      <x:c r="AK21" s="102"/>
      <x:c r="AL21" s="102"/>
      <x:c r="AM21" s="102"/>
      <x:c r="AN21" s="102"/>
      <x:c r="AO21" s="102"/>
      <x:c r="AP21" s="102"/>
      <x:c r="AQ21" s="109" t="str">
        <x:f t="shared" si="17"/>
        <x:v>FAILED</x:v>
      </x:c>
      <x:c r="AR21" s="115"/>
      <x:c r="AS21" s="115"/>
      <x:c r="AT21" s="107"/>
      <x:c r="AU21" s="107"/>
      <x:c r="AV21" s="107"/>
      <x:c r="AW21" s="107"/>
      <x:c r="AX21" s="107"/>
      <x:c r="AY21" s="109" t="str">
        <x:f t="shared" si="18"/>
        <x:v>FAILED</x:v>
      </x:c>
      <x:c r="AZ21" s="115"/>
      <x:c r="BA21" s="115"/>
      <x:c r="BB21" s="107"/>
      <x:c r="BC21" s="107"/>
      <x:c r="BD21" s="107"/>
      <x:c r="BE21" s="107"/>
      <x:c r="BF21" s="107"/>
      <x:c r="BG21" s="109" t="str">
        <x:f t="shared" si="19"/>
        <x:v>FAILED</x:v>
      </x:c>
      <x:c r="BH21" s="117"/>
      <x:c r="BI21" s="102"/>
      <x:c r="BJ21" s="102"/>
      <x:c r="BK21" s="102"/>
      <x:c r="BL21" s="102"/>
      <x:c r="BM21" s="102"/>
      <x:c r="BN21" s="102"/>
      <x:c r="BO21" s="102"/>
      <x:c r="BP21" s="102"/>
      <x:c r="BQ21" s="109" t="str">
        <x:f t="shared" si="20"/>
        <x:v>FAILED</x:v>
      </x:c>
      <x:c r="BR21" s="115"/>
      <x:c r="BS21" s="115"/>
      <x:c r="BT21" s="107"/>
      <x:c r="BU21" s="107"/>
      <x:c r="BV21" s="107"/>
      <x:c r="BW21" s="107"/>
      <x:c r="BX21" s="107"/>
      <x:c r="BY21" s="109" t="str">
        <x:f t="shared" si="21"/>
        <x:v>FAILED</x:v>
      </x:c>
      <x:c r="BZ21" s="115"/>
      <x:c r="CA21" s="115"/>
      <x:c r="CB21" s="107"/>
      <x:c r="CC21" s="107"/>
      <x:c r="CD21" s="107"/>
      <x:c r="CE21" s="107"/>
      <x:c r="CF21" s="107"/>
      <x:c r="CG21" s="109" t="str">
        <x:f t="shared" si="22"/>
        <x:v>FAILED</x:v>
      </x:c>
      <x:c r="CH21" s="117"/>
    </x:row>
    <x:row r="22">
      <x:c r="A22" s="102" t="n">
        <x:f>IF(RECORD!A24="","",RECORD!A24)</x:f>
        <x:v>11</x:v>
      </x:c>
      <x:c r="B22" s="102" t="str">
        <x:f>IF(RECORD!B24="","",RECORD!B24)</x:f>
        <x:v>2024-00323</x:v>
      </x:c>
      <x:c r="C22" s="103" t="str">
        <x:f>IF(RECORD!C24="","",RECORD!C24)</x:f>
        <x:v>Aquino, Hannah R.</x:v>
      </x:c>
      <x:c r="D22" s="104" t="n">
        <x:f t="array" ref="D22">IF(C22&lt;&gt;"",IF(F$7="SUMMER","N/A",_xlfn.IFS(D$10="TLA",RECORD!GO24,F$10="LECTURE","",TRUE(),"")),"")</x:f>
        <x:v>20</x:v>
      </x:c>
      <x:c r="E22" s="105">
        <x:f t="shared" si="0"/>
        <x:v>32</x:v>
      </x:c>
      <x:c r="F22" s="104" t="n">
        <x:f t="array" ref="F22">IF(C22&lt;&gt;"",IF(F$7="SUMMER","N/A",_xlfn.IFS(F$10="AT",RECORD!GI24,F$10="LECTURE",GRADES!AP22,TRUE(),"")),"")</x:f>
        <x:v>50</x:v>
      </x:c>
      <x:c r="G22" s="106">
        <x:f t="shared" si="1"/>
        <x:v>18</x:v>
      </x:c>
      <x:c r="H22" s="107" t="n">
        <x:f t="array" ref="H22">IF(C22&lt;&gt;"",IF(F$7="SUMMER","N/A",_xlfn.IFS(H$10="EXAM",RECORD!GJ24,H$10="OUTPUT",RECORD!GK24,H$10="LAB",BP22,TRUE(),"")),"")</x:f>
        <x:v>80</x:v>
      </x:c>
      <x:c r="I22" s="106">
        <x:f t="shared" si="2"/>
        <x:v>40</x:v>
      </x:c>
      <x:c r="J22" s="108">
        <x:f t="shared" si="3"/>
        <x:v>90</x:v>
      </x:c>
      <x:c r="K22" s="109" t="str">
        <x:f t="shared" si="4"/>
        <x:v>PASSED</x:v>
      </x:c>
      <x:c r="L22" s="110" t="n">
        <x:f t="array" ref="L22">IF(C22&lt;&gt;"",_xlfn.IFS(L$10="TLA",RECORD!GY24,N$10="LECTURE","",TRUE(),""),"")</x:f>
        <x:v>45</x:v>
      </x:c>
      <x:c r="M22" s="105">
        <x:f t="shared" si="5"/>
        <x:v>37.6</x:v>
      </x:c>
      <x:c r="N22" s="104" t="n">
        <x:f t="array" ref="N22">IF(C22&lt;&gt;"",_xlfn.IFS(N$10="AT",RECORD!GS24,N$10="LECTURE",AX22,TRUE(),""),"")</x:f>
        <x:v>25</x:v>
      </x:c>
      <x:c r="O22" s="106">
        <x:f t="shared" si="6"/>
        <x:v>14</x:v>
      </x:c>
      <x:c r="P22" s="107" t="n">
        <x:f t="array" ref="P22">IF(C22&lt;&gt;"",_xlfn.IFS(P$10="EXAM",RECORD!GT24,P$10="OUTPUT",RECORD!GU24,P$10="LAB",BX22,TRUE(),""),"")</x:f>
        <x:v>40</x:v>
      </x:c>
      <x:c r="Q22" s="106">
        <x:f t="shared" si="7"/>
        <x:v>25.6</x:v>
      </x:c>
      <x:c r="R22" s="108">
        <x:f t="shared" si="8"/>
        <x:v>77.2</x:v>
      </x:c>
      <x:c r="S22" s="109" t="str">
        <x:f t="shared" si="9"/>
        <x:v>PASSED</x:v>
      </x:c>
      <x:c r="T22" s="110" t="n">
        <x:f t="array" ref="T22">IF(C22&lt;&gt;"",_xlfn.IFS(T$10="TLA",RECORD!HI24,V$10="LECTURE","",TRUE(),""),"")</x:f>
        <x:v>20</x:v>
      </x:c>
      <x:c r="U22" s="105">
        <x:f t="shared" si="10"/>
        <x:v>40</x:v>
      </x:c>
      <x:c r="V22" s="104" t="n">
        <x:f t="array" ref="V22">IF(C22&lt;&gt;"",_xlfn.IFS(V$10="AT",RECORD!HC24,V$10="LECTURE",BF22,TRUE(),""),"")</x:f>
        <x:v>50</x:v>
      </x:c>
      <x:c r="W22" s="106">
        <x:f t="shared" si="11"/>
        <x:v>20</x:v>
      </x:c>
      <x:c r="X22" s="107" t="n">
        <x:f t="array" ref="X22">IF(C22&lt;&gt;"",_xlfn.IFS(X$10="EXAM",RECORD!HD24,X$10="OUTPUT",RECORD!HE24,X$10="LAB",CF22,TRUE(),""),"")</x:f>
        <x:v>125</x:v>
      </x:c>
      <x:c r="Y22" s="106">
        <x:f t="shared" si="12"/>
        <x:v>40</x:v>
      </x:c>
      <x:c r="Z22" s="108">
        <x:f t="shared" si="13"/>
        <x:v>100</x:v>
      </x:c>
      <x:c r="AA22" s="109" t="str">
        <x:f t="shared" si="14"/>
        <x:v>PASSED</x:v>
      </x:c>
      <x:c r="AB22" s="111">
        <x:f t="shared" si="15"/>
        <x:v>89.066666666666663</x:v>
      </x:c>
      <x:c r="AC22" s="109" t="str">
        <x:f t="shared" si="16"/>
        <x:v>PASSED</x:v>
      </x:c>
      <x:c r="AD22" s="112"/>
      <x:c r="AE22" s="102"/>
      <x:c r="AF22" s="113"/>
      <x:c r="AG22" s="112">
        <x:v>60</x:v>
      </x:c>
      <x:c r="AH22" s="103">
        <x:v>40</x:v>
      </x:c>
      <x:c r="AI22" s="114"/>
      <x:c r="AJ22" s="102"/>
      <x:c r="AK22" s="102"/>
      <x:c r="AL22" s="102"/>
      <x:c r="AM22" s="102"/>
      <x:c r="AN22" s="102"/>
      <x:c r="AO22" s="102"/>
      <x:c r="AP22" s="102"/>
      <x:c r="AQ22" s="109" t="str">
        <x:f t="shared" si="17"/>
        <x:v>FAILED</x:v>
      </x:c>
      <x:c r="AR22" s="115"/>
      <x:c r="AS22" s="115"/>
      <x:c r="AT22" s="107"/>
      <x:c r="AU22" s="107"/>
      <x:c r="AV22" s="107"/>
      <x:c r="AW22" s="107"/>
      <x:c r="AX22" s="107"/>
      <x:c r="AY22" s="109" t="str">
        <x:f t="shared" si="18"/>
        <x:v>FAILED</x:v>
      </x:c>
      <x:c r="AZ22" s="115"/>
      <x:c r="BA22" s="115"/>
      <x:c r="BB22" s="107"/>
      <x:c r="BC22" s="107"/>
      <x:c r="BD22" s="107"/>
      <x:c r="BE22" s="107"/>
      <x:c r="BF22" s="107"/>
      <x:c r="BG22" s="109" t="str">
        <x:f t="shared" si="19"/>
        <x:v>FAILED</x:v>
      </x:c>
      <x:c r="BH22" s="117"/>
      <x:c r="BI22" s="102"/>
      <x:c r="BJ22" s="102"/>
      <x:c r="BK22" s="102"/>
      <x:c r="BL22" s="102"/>
      <x:c r="BM22" s="102"/>
      <x:c r="BN22" s="102"/>
      <x:c r="BO22" s="102"/>
      <x:c r="BP22" s="102"/>
      <x:c r="BQ22" s="109" t="str">
        <x:f t="shared" si="20"/>
        <x:v>FAILED</x:v>
      </x:c>
      <x:c r="BR22" s="115"/>
      <x:c r="BS22" s="115"/>
      <x:c r="BT22" s="107"/>
      <x:c r="BU22" s="107"/>
      <x:c r="BV22" s="107"/>
      <x:c r="BW22" s="107"/>
      <x:c r="BX22" s="107"/>
      <x:c r="BY22" s="109" t="str">
        <x:f t="shared" si="21"/>
        <x:v>FAILED</x:v>
      </x:c>
      <x:c r="BZ22" s="115"/>
      <x:c r="CA22" s="115"/>
      <x:c r="CB22" s="107"/>
      <x:c r="CC22" s="107"/>
      <x:c r="CD22" s="107"/>
      <x:c r="CE22" s="107"/>
      <x:c r="CF22" s="107"/>
      <x:c r="CG22" s="109" t="str">
        <x:f t="shared" si="22"/>
        <x:v>FAILED</x:v>
      </x:c>
      <x:c r="CH22" s="117"/>
    </x:row>
    <x:row r="23">
      <x:c r="A23" s="102" t="n">
        <x:f>IF(RECORD!A25="","",RECORD!A25)</x:f>
        <x:v>12</x:v>
      </x:c>
      <x:c r="B23" s="102" t="str">
        <x:f>IF(RECORD!B25="","",RECORD!B25)</x:f>
        <x:v>2024-00345</x:v>
      </x:c>
      <x:c r="C23" s="103" t="str">
        <x:f>IF(RECORD!C25="","",RECORD!C25)</x:f>
        <x:v>Cabrera, Quentin P.</x:v>
      </x:c>
      <x:c r="D23" s="104" t="n">
        <x:f t="array" ref="D23">IF(C23&lt;&gt;"",IF(F$7="SUMMER","N/A",_xlfn.IFS(D$10="TLA",RECORD!GO25,F$10="LECTURE","",TRUE(),"")),"")</x:f>
        <x:v>30</x:v>
      </x:c>
      <x:c r="E23" s="105">
        <x:f t="shared" si="0"/>
        <x:v>40</x:v>
      </x:c>
      <x:c r="F23" s="104" t="n">
        <x:f t="array" ref="F23">IF(C23&lt;&gt;"",IF(F$7="SUMMER","N/A",_xlfn.IFS(F$10="AT",RECORD!GI25,F$10="LECTURE",GRADES!AP23,TRUE(),"")),"")</x:f>
        <x:v>60</x:v>
      </x:c>
      <x:c r="G23" s="106">
        <x:f t="shared" si="1"/>
        <x:v>20</x:v>
      </x:c>
      <x:c r="H23" s="107" t="n">
        <x:f t="array" ref="H23">IF(C23&lt;&gt;"",IF(F$7="SUMMER","N/A",_xlfn.IFS(H$10="EXAM",RECORD!GJ25,H$10="OUTPUT",RECORD!GK25,H$10="LAB",BP23,TRUE(),"")),"")</x:f>
        <x:v>100</x:v>
      </x:c>
      <x:c r="I23" s="106">
        <x:f t="shared" si="2"/>
        <x:v>46</x:v>
      </x:c>
      <x:c r="J23" s="108">
        <x:f t="shared" si="3"/>
        <x:v>106</x:v>
      </x:c>
      <x:c r="K23" s="109" t="str">
        <x:f t="shared" si="4"/>
        <x:v>PASSED</x:v>
      </x:c>
      <x:c r="L23" s="110" t="n">
        <x:f t="array" ref="L23">IF(C23&lt;&gt;"",_xlfn.IFS(L$10="TLA",RECORD!GY25,N$10="LECTURE","",TRUE(),""),"")</x:f>
        <x:v>50</x:v>
      </x:c>
      <x:c r="M23" s="105">
        <x:f t="shared" si="5"/>
        <x:v>40</x:v>
      </x:c>
      <x:c r="N23" s="104" t="n">
        <x:f t="array" ref="N23">IF(C23&lt;&gt;"",_xlfn.IFS(N$10="AT",RECORD!GS25,N$10="LECTURE",AX23,TRUE(),""),"")</x:f>
        <x:v>50</x:v>
      </x:c>
      <x:c r="O23" s="106">
        <x:f t="shared" si="6"/>
        <x:v>20</x:v>
      </x:c>
      <x:c r="P23" s="107" t="n">
        <x:f t="array" ref="P23">IF(C23&lt;&gt;"",_xlfn.IFS(P$10="EXAM",RECORD!GT25,P$10="OUTPUT",RECORD!GU25,P$10="LAB",BX23,TRUE(),""),"")</x:f>
        <x:v>100</x:v>
      </x:c>
      <x:c r="Q23" s="106">
        <x:f t="shared" si="7"/>
        <x:v>40</x:v>
      </x:c>
      <x:c r="R23" s="108">
        <x:f t="shared" si="8"/>
        <x:v>100</x:v>
      </x:c>
      <x:c r="S23" s="109" t="str">
        <x:f t="shared" si="9"/>
        <x:v>PASSED</x:v>
      </x:c>
      <x:c r="T23" s="110" t="n">
        <x:f t="array" ref="T23">IF(C23&lt;&gt;"",_xlfn.IFS(T$10="TLA",RECORD!HI25,V$10="LECTURE","",TRUE(),""),"")</x:f>
        <x:v>20</x:v>
      </x:c>
      <x:c r="U23" s="105">
        <x:f t="shared" si="10"/>
        <x:v>40</x:v>
      </x:c>
      <x:c r="V23" s="104" t="n">
        <x:f t="array" ref="V23">IF(C23&lt;&gt;"",_xlfn.IFS(V$10="AT",RECORD!HC25,V$10="LECTURE",BF23,TRUE(),""),"")</x:f>
        <x:v>50</x:v>
      </x:c>
      <x:c r="W23" s="106">
        <x:f t="shared" si="11"/>
        <x:v>20</x:v>
      </x:c>
      <x:c r="X23" s="107" t="n">
        <x:f t="array" ref="X23">IF(C23&lt;&gt;"",_xlfn.IFS(X$10="EXAM",RECORD!HD25,X$10="OUTPUT",RECORD!HE25,X$10="LAB",CF23,TRUE(),""),"")</x:f>
        <x:v>125</x:v>
      </x:c>
      <x:c r="Y23" s="106">
        <x:f t="shared" si="12"/>
        <x:v>40</x:v>
      </x:c>
      <x:c r="Z23" s="108">
        <x:f t="shared" si="13"/>
        <x:v>100</x:v>
      </x:c>
      <x:c r="AA23" s="109" t="str">
        <x:f t="shared" si="14"/>
        <x:v>PASSED</x:v>
      </x:c>
      <x:c r="AB23" s="111">
        <x:f t="shared" si="15"/>
        <x:v>102</x:v>
      </x:c>
      <x:c r="AC23" s="109" t="str">
        <x:f t="shared" si="16"/>
        <x:v>PASSED</x:v>
      </x:c>
      <x:c r="AD23" s="112"/>
      <x:c r="AE23" s="102"/>
      <x:c r="AF23" s="113"/>
      <x:c r="AG23" s="112">
        <x:v>80</x:v>
      </x:c>
      <x:c r="AH23" s="103">
        <x:v>20</x:v>
      </x:c>
      <x:c r="AI23" s="114"/>
      <x:c r="AJ23" s="102"/>
      <x:c r="AK23" s="102"/>
      <x:c r="AL23" s="102"/>
      <x:c r="AM23" s="102"/>
      <x:c r="AN23" s="102"/>
      <x:c r="AO23" s="102"/>
      <x:c r="AP23" s="102"/>
      <x:c r="AQ23" s="109" t="str">
        <x:f t="shared" si="17"/>
        <x:v>FAILED</x:v>
      </x:c>
      <x:c r="AR23" s="115"/>
      <x:c r="AS23" s="115"/>
      <x:c r="AT23" s="107"/>
      <x:c r="AU23" s="107"/>
      <x:c r="AV23" s="107"/>
      <x:c r="AW23" s="107"/>
      <x:c r="AX23" s="107"/>
      <x:c r="AY23" s="109" t="str">
        <x:f t="shared" si="18"/>
        <x:v>FAILED</x:v>
      </x:c>
      <x:c r="AZ23" s="115"/>
      <x:c r="BA23" s="115"/>
      <x:c r="BB23" s="107"/>
      <x:c r="BC23" s="107"/>
      <x:c r="BD23" s="107"/>
      <x:c r="BE23" s="107"/>
      <x:c r="BF23" s="107"/>
      <x:c r="BG23" s="109" t="str">
        <x:f t="shared" si="19"/>
        <x:v>FAILED</x:v>
      </x:c>
      <x:c r="BH23" s="117"/>
      <x:c r="BI23" s="102"/>
      <x:c r="BJ23" s="102"/>
      <x:c r="BK23" s="102"/>
      <x:c r="BL23" s="102"/>
      <x:c r="BM23" s="102"/>
      <x:c r="BN23" s="102"/>
      <x:c r="BO23" s="102"/>
      <x:c r="BP23" s="102"/>
      <x:c r="BQ23" s="109" t="str">
        <x:f t="shared" si="20"/>
        <x:v>FAILED</x:v>
      </x:c>
      <x:c r="BR23" s="115"/>
      <x:c r="BS23" s="115"/>
      <x:c r="BT23" s="107"/>
      <x:c r="BU23" s="107"/>
      <x:c r="BV23" s="107"/>
      <x:c r="BW23" s="107"/>
      <x:c r="BX23" s="107"/>
      <x:c r="BY23" s="109" t="str">
        <x:f t="shared" si="21"/>
        <x:v>FAILED</x:v>
      </x:c>
      <x:c r="BZ23" s="115"/>
      <x:c r="CA23" s="115"/>
      <x:c r="CB23" s="107"/>
      <x:c r="CC23" s="107"/>
      <x:c r="CD23" s="107"/>
      <x:c r="CE23" s="107"/>
      <x:c r="CF23" s="107"/>
      <x:c r="CG23" s="109" t="str">
        <x:f t="shared" si="22"/>
        <x:v>FAILED</x:v>
      </x:c>
      <x:c r="CH23" s="117"/>
    </x:row>
    <x:row r="24">
      <x:c r="A24" s="102" t="n">
        <x:f>IF(RECORD!A26="","",RECORD!A26)</x:f>
        <x:v>13</x:v>
      </x:c>
      <x:c r="B24" s="102" t="str">
        <x:f>IF(RECORD!B26="","",RECORD!B26)</x:f>
        <x:v>2024-00367</x:v>
      </x:c>
      <x:c r="C24" s="103" t="str">
        <x:f>IF(RECORD!C26="","",RECORD!C26)</x:f>
        <x:v>Rivera, Caleb T.</x:v>
      </x:c>
      <x:c r="D24" s="104" t="n">
        <x:f t="array" ref="D24">IF(C24&lt;&gt;"",IF(F$7="SUMMER","N/A",_xlfn.IFS(D$10="TLA",RECORD!GO26,F$10="LECTURE","",TRUE(),"")),"")</x:f>
        <x:v>30</x:v>
      </x:c>
      <x:c r="E24" s="105">
        <x:f t="shared" si="0"/>
        <x:v>40</x:v>
      </x:c>
      <x:c r="F24" s="104" t="n">
        <x:f t="array" ref="F24">IF(C24&lt;&gt;"",IF(F$7="SUMMER","N/A",_xlfn.IFS(F$10="AT",RECORD!GI26,F$10="LECTURE",GRADES!AP24,TRUE(),"")),"")</x:f>
        <x:v>60</x:v>
      </x:c>
      <x:c r="G24" s="106">
        <x:f t="shared" si="1"/>
        <x:v>20</x:v>
      </x:c>
      <x:c r="H24" s="107" t="n">
        <x:f t="array" ref="H24">IF(C24&lt;&gt;"",IF(F$7="SUMMER","N/A",_xlfn.IFS(H$10="EXAM",RECORD!GJ26,H$10="OUTPUT",RECORD!GK26,H$10="LAB",BP24,TRUE(),"")),"")</x:f>
        <x:v>100</x:v>
      </x:c>
      <x:c r="I24" s="106">
        <x:f t="shared" si="2"/>
        <x:v>46</x:v>
      </x:c>
      <x:c r="J24" s="108">
        <x:f t="shared" si="3"/>
        <x:v>106</x:v>
      </x:c>
      <x:c r="K24" s="109" t="str">
        <x:f t="shared" si="4"/>
        <x:v>PASSED</x:v>
      </x:c>
      <x:c r="L24" s="110" t="n">
        <x:f t="array" ref="L24">IF(C24&lt;&gt;"",_xlfn.IFS(L$10="TLA",RECORD!GY26,N$10="LECTURE","",TRUE(),""),"")</x:f>
        <x:v>50</x:v>
      </x:c>
      <x:c r="M24" s="105">
        <x:f t="shared" si="5"/>
        <x:v>40</x:v>
      </x:c>
      <x:c r="N24" s="104" t="n">
        <x:f t="array" ref="N24">IF(C24&lt;&gt;"",_xlfn.IFS(N$10="AT",RECORD!GS26,N$10="LECTURE",AX24,TRUE(),""),"")</x:f>
        <x:v>50</x:v>
      </x:c>
      <x:c r="O24" s="106">
        <x:f t="shared" si="6"/>
        <x:v>20</x:v>
      </x:c>
      <x:c r="P24" s="107" t="n">
        <x:f t="array" ref="P24">IF(C24&lt;&gt;"",_xlfn.IFS(P$10="EXAM",RECORD!GT26,P$10="OUTPUT",RECORD!GU26,P$10="LAB",BX24,TRUE(),""),"")</x:f>
        <x:v>100</x:v>
      </x:c>
      <x:c r="Q24" s="106">
        <x:f t="shared" si="7"/>
        <x:v>40</x:v>
      </x:c>
      <x:c r="R24" s="108">
        <x:f t="shared" si="8"/>
        <x:v>100</x:v>
      </x:c>
      <x:c r="S24" s="109" t="str">
        <x:f t="shared" si="9"/>
        <x:v>PASSED</x:v>
      </x:c>
      <x:c r="T24" s="110" t="n">
        <x:f t="array" ref="T24">IF(C24&lt;&gt;"",_xlfn.IFS(T$10="TLA",RECORD!HI26,V$10="LECTURE","",TRUE(),""),"")</x:f>
        <x:v>20</x:v>
      </x:c>
      <x:c r="U24" s="105">
        <x:f t="shared" si="10"/>
        <x:v>40</x:v>
      </x:c>
      <x:c r="V24" s="104" t="n">
        <x:f t="array" ref="V24">IF(C24&lt;&gt;"",_xlfn.IFS(V$10="AT",RECORD!HC26,V$10="LECTURE",BF24,TRUE(),""),"")</x:f>
        <x:v>50</x:v>
      </x:c>
      <x:c r="W24" s="106">
        <x:f t="shared" si="11"/>
        <x:v>20</x:v>
      </x:c>
      <x:c r="X24" s="107" t="n">
        <x:f t="array" ref="X24">IF(C24&lt;&gt;"",_xlfn.IFS(X$10="EXAM",RECORD!HD26,X$10="OUTPUT",RECORD!HE26,X$10="LAB",CF24,TRUE(),""),"")</x:f>
        <x:v>125</x:v>
      </x:c>
      <x:c r="Y24" s="106">
        <x:f t="shared" si="12"/>
        <x:v>40</x:v>
      </x:c>
      <x:c r="Z24" s="108">
        <x:f t="shared" si="13"/>
        <x:v>100</x:v>
      </x:c>
      <x:c r="AA24" s="109" t="str">
        <x:f t="shared" si="14"/>
        <x:v>PASSED</x:v>
      </x:c>
      <x:c r="AB24" s="111">
        <x:f t="shared" si="15"/>
        <x:v>102</x:v>
      </x:c>
      <x:c r="AC24" s="109" t="str">
        <x:f t="shared" si="16"/>
        <x:v>PASSED</x:v>
      </x:c>
      <x:c r="AD24" s="112"/>
      <x:c r="AE24" s="102"/>
      <x:c r="AF24" s="113"/>
      <x:c r="AG24" s="112" t="s">
        <x:v>234</x:v>
      </x:c>
      <x:c r="AH24" s="103"/>
      <x:c r="AI24" s="114"/>
      <x:c r="AJ24" s="102"/>
      <x:c r="AK24" s="102"/>
      <x:c r="AL24" s="102"/>
      <x:c r="AM24" s="102"/>
      <x:c r="AN24" s="102"/>
      <x:c r="AO24" s="102"/>
      <x:c r="AP24" s="102"/>
      <x:c r="AQ24" s="109" t="str">
        <x:f t="shared" si="17"/>
        <x:v>FAILED</x:v>
      </x:c>
      <x:c r="AR24" s="115"/>
      <x:c r="AS24" s="115"/>
      <x:c r="AT24" s="107"/>
      <x:c r="AU24" s="107"/>
      <x:c r="AV24" s="107"/>
      <x:c r="AW24" s="107"/>
      <x:c r="AX24" s="107"/>
      <x:c r="AY24" s="109" t="str">
        <x:f t="shared" si="18"/>
        <x:v>FAILED</x:v>
      </x:c>
      <x:c r="AZ24" s="115"/>
      <x:c r="BA24" s="115"/>
      <x:c r="BB24" s="107"/>
      <x:c r="BC24" s="107"/>
      <x:c r="BD24" s="107"/>
      <x:c r="BE24" s="107"/>
      <x:c r="BF24" s="107"/>
      <x:c r="BG24" s="109" t="str">
        <x:f t="shared" si="19"/>
        <x:v>FAILED</x:v>
      </x:c>
      <x:c r="BH24" s="117"/>
      <x:c r="BI24" s="102"/>
      <x:c r="BJ24" s="102"/>
      <x:c r="BK24" s="102"/>
      <x:c r="BL24" s="102"/>
      <x:c r="BM24" s="102"/>
      <x:c r="BN24" s="102"/>
      <x:c r="BO24" s="102"/>
      <x:c r="BP24" s="102"/>
      <x:c r="BQ24" s="109" t="str">
        <x:f t="shared" si="20"/>
        <x:v>FAILED</x:v>
      </x:c>
      <x:c r="BR24" s="115"/>
      <x:c r="BS24" s="115"/>
      <x:c r="BT24" s="107"/>
      <x:c r="BU24" s="107"/>
      <x:c r="BV24" s="107"/>
      <x:c r="BW24" s="107"/>
      <x:c r="BX24" s="107"/>
      <x:c r="BY24" s="109" t="str">
        <x:f t="shared" si="21"/>
        <x:v>FAILED</x:v>
      </x:c>
      <x:c r="BZ24" s="115"/>
      <x:c r="CA24" s="115"/>
      <x:c r="CB24" s="107"/>
      <x:c r="CC24" s="107"/>
      <x:c r="CD24" s="107"/>
      <x:c r="CE24" s="107"/>
      <x:c r="CF24" s="107"/>
      <x:c r="CG24" s="109" t="str">
        <x:f t="shared" si="22"/>
        <x:v>FAILED</x:v>
      </x:c>
      <x:c r="CH24" s="117"/>
    </x:row>
    <x:row r="25">
      <x:c r="A25" s="102" t="n">
        <x:f>IF(RECORD!A27="","",RECORD!A27)</x:f>
        <x:v>14</x:v>
      </x:c>
      <x:c r="B25" s="102" t="str">
        <x:f>IF(RECORD!B27="","",RECORD!B27)</x:f>
        <x:v>2024-00389</x:v>
      </x:c>
      <x:c r="C25" s="103" t="str">
        <x:f>IF(RECORD!C27="","",RECORD!C27)</x:f>
        <x:v>Villamor, Yves E.</x:v>
      </x:c>
      <x:c r="D25" s="104" t="n">
        <x:f t="array" ref="D25">IF(C25&lt;&gt;"",IF(F$7="SUMMER","N/A",_xlfn.IFS(D$10="TLA",RECORD!GO27,F$10="LECTURE","",TRUE(),"")),"")</x:f>
        <x:v>30</x:v>
      </x:c>
      <x:c r="E25" s="105">
        <x:f t="shared" si="0"/>
        <x:v>40</x:v>
      </x:c>
      <x:c r="F25" s="104" t="n">
        <x:f t="array" ref="F25">IF(C25&lt;&gt;"",IF(F$7="SUMMER","N/A",_xlfn.IFS(F$10="AT",RECORD!GI27,F$10="LECTURE",GRADES!AP25,TRUE(),"")),"")</x:f>
        <x:v>60</x:v>
      </x:c>
      <x:c r="G25" s="106">
        <x:f t="shared" si="1"/>
        <x:v>20</x:v>
      </x:c>
      <x:c r="H25" s="107" t="n">
        <x:f t="array" ref="H25">IF(C25&lt;&gt;"",IF(F$7="SUMMER","N/A",_xlfn.IFS(H$10="EXAM",RECORD!GJ27,H$10="OUTPUT",RECORD!GK27,H$10="LAB",BP25,TRUE(),"")),"")</x:f>
        <x:v>100</x:v>
      </x:c>
      <x:c r="I25" s="106">
        <x:f t="shared" si="2"/>
        <x:v>46</x:v>
      </x:c>
      <x:c r="J25" s="108">
        <x:f t="shared" si="3"/>
        <x:v>106</x:v>
      </x:c>
      <x:c r="K25" s="109" t="str">
        <x:f t="shared" si="4"/>
        <x:v>PASSED</x:v>
      </x:c>
      <x:c r="L25" s="110" t="n">
        <x:f t="array" ref="L25">IF(C25&lt;&gt;"",_xlfn.IFS(L$10="TLA",RECORD!GY27,N$10="LECTURE","",TRUE(),""),"")</x:f>
        <x:v>50</x:v>
      </x:c>
      <x:c r="M25" s="105">
        <x:f t="shared" si="5"/>
        <x:v>40</x:v>
      </x:c>
      <x:c r="N25" s="104" t="n">
        <x:f t="array" ref="N25">IF(C25&lt;&gt;"",_xlfn.IFS(N$10="AT",RECORD!GS27,N$10="LECTURE",AX25,TRUE(),""),"")</x:f>
        <x:v>50</x:v>
      </x:c>
      <x:c r="O25" s="106">
        <x:f t="shared" si="6"/>
        <x:v>20</x:v>
      </x:c>
      <x:c r="P25" s="107" t="n">
        <x:f t="array" ref="P25">IF(C25&lt;&gt;"",_xlfn.IFS(P$10="EXAM",RECORD!GT27,P$10="OUTPUT",RECORD!GU27,P$10="LAB",BX25,TRUE(),""),"")</x:f>
        <x:v>100</x:v>
      </x:c>
      <x:c r="Q25" s="106">
        <x:f t="shared" si="7"/>
        <x:v>40</x:v>
      </x:c>
      <x:c r="R25" s="108">
        <x:f t="shared" si="8"/>
        <x:v>100</x:v>
      </x:c>
      <x:c r="S25" s="109" t="str">
        <x:f t="shared" si="9"/>
        <x:v>PASSED</x:v>
      </x:c>
      <x:c r="T25" s="110" t="n">
        <x:f t="array" ref="T25">IF(C25&lt;&gt;"",_xlfn.IFS(T$10="TLA",RECORD!HI27,V$10="LECTURE","",TRUE(),""),"")</x:f>
        <x:v>20</x:v>
      </x:c>
      <x:c r="U25" s="105">
        <x:f t="shared" si="10"/>
        <x:v>40</x:v>
      </x:c>
      <x:c r="V25" s="104" t="n">
        <x:f t="array" ref="V25">IF(C25&lt;&gt;"",_xlfn.IFS(V$10="AT",RECORD!HC27,V$10="LECTURE",BF25,TRUE(),""),"")</x:f>
        <x:v>50</x:v>
      </x:c>
      <x:c r="W25" s="106">
        <x:f t="shared" si="11"/>
        <x:v>20</x:v>
      </x:c>
      <x:c r="X25" s="107" t="n">
        <x:f t="array" ref="X25">IF(C25&lt;&gt;"",_xlfn.IFS(X$10="EXAM",RECORD!HD27,X$10="OUTPUT",RECORD!HE27,X$10="LAB",CF25,TRUE(),""),"")</x:f>
        <x:v>125</x:v>
      </x:c>
      <x:c r="Y25" s="106">
        <x:f t="shared" si="12"/>
        <x:v>40</x:v>
      </x:c>
      <x:c r="Z25" s="108">
        <x:f t="shared" si="13"/>
        <x:v>100</x:v>
      </x:c>
      <x:c r="AA25" s="109" t="str">
        <x:f t="shared" si="14"/>
        <x:v>PASSED</x:v>
      </x:c>
      <x:c r="AB25" s="111">
        <x:f t="shared" si="15"/>
        <x:v>102</x:v>
      </x:c>
      <x:c r="AC25" s="109" t="str">
        <x:f t="shared" si="16"/>
        <x:v>PASSED</x:v>
      </x:c>
      <x:c r="AD25" s="112"/>
      <x:c r="AE25" s="102"/>
      <x:c r="AF25" s="113"/>
      <x:c r="AG25" s="112" t="s">
        <x:v>246</x:v>
      </x:c>
      <x:c r="AH25" s="103"/>
      <x:c r="AI25" s="114"/>
      <x:c r="AJ25" s="102"/>
      <x:c r="AK25" s="102"/>
      <x:c r="AL25" s="102"/>
      <x:c r="AM25" s="102"/>
      <x:c r="AN25" s="102"/>
      <x:c r="AO25" s="102"/>
      <x:c r="AP25" s="102"/>
      <x:c r="AQ25" s="109" t="str">
        <x:f t="shared" si="17"/>
        <x:v>FAILED</x:v>
      </x:c>
      <x:c r="AR25" s="115"/>
      <x:c r="AS25" s="115"/>
      <x:c r="AT25" s="107"/>
      <x:c r="AU25" s="107"/>
      <x:c r="AV25" s="107"/>
      <x:c r="AW25" s="107"/>
      <x:c r="AX25" s="107"/>
      <x:c r="AY25" s="109" t="str">
        <x:f t="shared" si="18"/>
        <x:v>FAILED</x:v>
      </x:c>
      <x:c r="AZ25" s="115"/>
      <x:c r="BA25" s="115"/>
      <x:c r="BB25" s="107"/>
      <x:c r="BC25" s="107"/>
      <x:c r="BD25" s="107"/>
      <x:c r="BE25" s="107"/>
      <x:c r="BF25" s="107"/>
      <x:c r="BG25" s="109" t="str">
        <x:f t="shared" si="19"/>
        <x:v>FAILED</x:v>
      </x:c>
      <x:c r="BH25" s="117"/>
      <x:c r="BI25" s="102"/>
      <x:c r="BJ25" s="102"/>
      <x:c r="BK25" s="102"/>
      <x:c r="BL25" s="102"/>
      <x:c r="BM25" s="102"/>
      <x:c r="BN25" s="102"/>
      <x:c r="BO25" s="102"/>
      <x:c r="BP25" s="102"/>
      <x:c r="BQ25" s="109" t="str">
        <x:f t="shared" si="20"/>
        <x:v>FAILED</x:v>
      </x:c>
      <x:c r="BR25" s="115"/>
      <x:c r="BS25" s="115"/>
      <x:c r="BT25" s="107"/>
      <x:c r="BU25" s="107"/>
      <x:c r="BV25" s="107"/>
      <x:c r="BW25" s="107"/>
      <x:c r="BX25" s="107"/>
      <x:c r="BY25" s="109" t="str">
        <x:f t="shared" si="21"/>
        <x:v>FAILED</x:v>
      </x:c>
      <x:c r="BZ25" s="115"/>
      <x:c r="CA25" s="115"/>
      <x:c r="CB25" s="107"/>
      <x:c r="CC25" s="107"/>
      <x:c r="CD25" s="107"/>
      <x:c r="CE25" s="107"/>
      <x:c r="CF25" s="107"/>
      <x:c r="CG25" s="109" t="str">
        <x:f t="shared" si="22"/>
        <x:v>FAILED</x:v>
      </x:c>
      <x:c r="CH25" s="117"/>
    </x:row>
    <x:row r="26">
      <x:c r="A26" s="102" t="n">
        <x:f>IF(RECORD!A28="","",RECORD!A28)</x:f>
        <x:v>15</x:v>
      </x:c>
      <x:c r="B26" s="102" t="str">
        <x:f>IF(RECORD!B28="","",RECORD!B28)</x:f>
        <x:v>2024-00401</x:v>
      </x:c>
      <x:c r="C26" s="103" t="str">
        <x:f>IF(RECORD!C28="","",RECORD!C28)</x:f>
        <x:v>Valdez, Warren R.</x:v>
      </x:c>
      <x:c r="D26" s="104" t="n">
        <x:f t="array" ref="D26">IF(C26&lt;&gt;"",IF(F$7="SUMMER","N/A",_xlfn.IFS(D$10="TLA",RECORD!GO28,F$10="LECTURE","",TRUE(),"")),"")</x:f>
        <x:v>30</x:v>
      </x:c>
      <x:c r="E26" s="105">
        <x:f t="shared" si="0"/>
        <x:v>40</x:v>
      </x:c>
      <x:c r="F26" s="104" t="n">
        <x:f t="array" ref="F26">IF(C26&lt;&gt;"",IF(F$7="SUMMER","N/A",_xlfn.IFS(F$10="AT",RECORD!GI28,F$10="LECTURE",GRADES!AP26,TRUE(),"")),"")</x:f>
        <x:v>60</x:v>
      </x:c>
      <x:c r="G26" s="106">
        <x:f t="shared" si="1"/>
        <x:v>20</x:v>
      </x:c>
      <x:c r="H26" s="107" t="n">
        <x:f t="array" ref="H26">IF(C26&lt;&gt;"",IF(F$7="SUMMER","N/A",_xlfn.IFS(H$10="EXAM",RECORD!GJ28,H$10="OUTPUT",RECORD!GK28,H$10="LAB",BP26,TRUE(),"")),"")</x:f>
        <x:v>100</x:v>
      </x:c>
      <x:c r="I26" s="106">
        <x:f t="shared" si="2"/>
        <x:v>46</x:v>
      </x:c>
      <x:c r="J26" s="108">
        <x:f t="shared" si="3"/>
        <x:v>106</x:v>
      </x:c>
      <x:c r="K26" s="109" t="str">
        <x:f t="shared" si="4"/>
        <x:v>PASSED</x:v>
      </x:c>
      <x:c r="L26" s="110" t="n">
        <x:f t="array" ref="L26">IF(C26&lt;&gt;"",_xlfn.IFS(L$10="TLA",RECORD!GY28,N$10="LECTURE","",TRUE(),""),"")</x:f>
        <x:v>50</x:v>
      </x:c>
      <x:c r="M26" s="105">
        <x:f t="shared" si="5"/>
        <x:v>40</x:v>
      </x:c>
      <x:c r="N26" s="104" t="n">
        <x:f t="array" ref="N26">IF(C26&lt;&gt;"",_xlfn.IFS(N$10="AT",RECORD!GS28,N$10="LECTURE",AX26,TRUE(),""),"")</x:f>
        <x:v>50</x:v>
      </x:c>
      <x:c r="O26" s="106">
        <x:f t="shared" si="6"/>
        <x:v>20</x:v>
      </x:c>
      <x:c r="P26" s="107" t="n">
        <x:f t="array" ref="P26">IF(C26&lt;&gt;"",_xlfn.IFS(P$10="EXAM",RECORD!GT28,P$10="OUTPUT",RECORD!GU28,P$10="LAB",BX26,TRUE(),""),"")</x:f>
        <x:v>100</x:v>
      </x:c>
      <x:c r="Q26" s="106">
        <x:f t="shared" si="7"/>
        <x:v>40</x:v>
      </x:c>
      <x:c r="R26" s="108">
        <x:f t="shared" si="8"/>
        <x:v>100</x:v>
      </x:c>
      <x:c r="S26" s="109" t="str">
        <x:f t="shared" si="9"/>
        <x:v>PASSED</x:v>
      </x:c>
      <x:c r="T26" s="110" t="n">
        <x:f t="array" ref="T26">IF(C26&lt;&gt;"",_xlfn.IFS(T$10="TLA",RECORD!HI28,V$10="LECTURE","",TRUE(),""),"")</x:f>
        <x:v>20</x:v>
      </x:c>
      <x:c r="U26" s="105">
        <x:f t="shared" si="10"/>
        <x:v>40</x:v>
      </x:c>
      <x:c r="V26" s="104" t="n">
        <x:f t="array" ref="V26">IF(C26&lt;&gt;"",_xlfn.IFS(V$10="AT",RECORD!HC28,V$10="LECTURE",BF26,TRUE(),""),"")</x:f>
        <x:v>50</x:v>
      </x:c>
      <x:c r="W26" s="106">
        <x:f t="shared" si="11"/>
        <x:v>20</x:v>
      </x:c>
      <x:c r="X26" s="107" t="n">
        <x:f t="array" ref="X26">IF(C26&lt;&gt;"",_xlfn.IFS(X$10="EXAM",RECORD!HD28,X$10="OUTPUT",RECORD!HE28,X$10="LAB",CF26,TRUE(),""),"")</x:f>
        <x:v>125</x:v>
      </x:c>
      <x:c r="Y26" s="106">
        <x:f t="shared" si="12"/>
        <x:v>40</x:v>
      </x:c>
      <x:c r="Z26" s="108">
        <x:f t="shared" si="13"/>
        <x:v>100</x:v>
      </x:c>
      <x:c r="AA26" s="109" t="str">
        <x:f t="shared" si="14"/>
        <x:v>PASSED</x:v>
      </x:c>
      <x:c r="AB26" s="111">
        <x:f t="shared" si="15"/>
        <x:v>102</x:v>
      </x:c>
      <x:c r="AC26" s="109" t="str">
        <x:f t="shared" si="16"/>
        <x:v>PASSED</x:v>
      </x:c>
      <x:c r="AD26" s="112"/>
      <x:c r="AE26" s="102"/>
      <x:c r="AF26" s="113"/>
      <x:c r="AG26" s="112" t="s">
        <x:v>247</x:v>
      </x:c>
      <x:c r="AH26" s="103"/>
      <x:c r="AI26" s="114"/>
      <x:c r="AJ26" s="102"/>
      <x:c r="AK26" s="102"/>
      <x:c r="AL26" s="102"/>
      <x:c r="AM26" s="102"/>
      <x:c r="AN26" s="102"/>
      <x:c r="AO26" s="102"/>
      <x:c r="AP26" s="102"/>
      <x:c r="AQ26" s="109" t="str">
        <x:f t="shared" si="17"/>
        <x:v>FAILED</x:v>
      </x:c>
      <x:c r="AR26" s="115"/>
      <x:c r="AS26" s="115"/>
      <x:c r="AT26" s="107"/>
      <x:c r="AU26" s="107"/>
      <x:c r="AV26" s="107"/>
      <x:c r="AW26" s="107"/>
      <x:c r="AX26" s="107"/>
      <x:c r="AY26" s="109" t="str">
        <x:f t="shared" si="18"/>
        <x:v>FAILED</x:v>
      </x:c>
      <x:c r="AZ26" s="115"/>
      <x:c r="BA26" s="115"/>
      <x:c r="BB26" s="107"/>
      <x:c r="BC26" s="107"/>
      <x:c r="BD26" s="107"/>
      <x:c r="BE26" s="107"/>
      <x:c r="BF26" s="107"/>
      <x:c r="BG26" s="109" t="str">
        <x:f t="shared" si="19"/>
        <x:v>FAILED</x:v>
      </x:c>
      <x:c r="BH26" s="117"/>
      <x:c r="BI26" s="102"/>
      <x:c r="BJ26" s="102"/>
      <x:c r="BK26" s="102"/>
      <x:c r="BL26" s="102"/>
      <x:c r="BM26" s="102"/>
      <x:c r="BN26" s="102"/>
      <x:c r="BO26" s="102"/>
      <x:c r="BP26" s="102"/>
      <x:c r="BQ26" s="109" t="str">
        <x:f t="shared" si="20"/>
        <x:v>FAILED</x:v>
      </x:c>
      <x:c r="BR26" s="115"/>
      <x:c r="BS26" s="115"/>
      <x:c r="BT26" s="107"/>
      <x:c r="BU26" s="107"/>
      <x:c r="BV26" s="107"/>
      <x:c r="BW26" s="107"/>
      <x:c r="BX26" s="107"/>
      <x:c r="BY26" s="109" t="str">
        <x:f t="shared" si="21"/>
        <x:v>FAILED</x:v>
      </x:c>
      <x:c r="BZ26" s="115"/>
      <x:c r="CA26" s="115"/>
      <x:c r="CB26" s="107"/>
      <x:c r="CC26" s="107"/>
      <x:c r="CD26" s="107"/>
      <x:c r="CE26" s="107"/>
      <x:c r="CF26" s="107"/>
      <x:c r="CG26" s="109" t="str">
        <x:f t="shared" si="22"/>
        <x:v>FAILED</x:v>
      </x:c>
      <x:c r="CH26" s="117"/>
    </x:row>
    <x:row r="27">
      <x:c r="A27" s="102" t="n">
        <x:f>IF(RECORD!A29="","",RECORD!A29)</x:f>
        <x:v>16</x:v>
      </x:c>
      <x:c r="B27" s="102" t="str">
        <x:f>IF(RECORD!B29="","",RECORD!B29)</x:f>
        <x:v>2024-00423</x:v>
      </x:c>
      <x:c r="C27" s="103" t="str">
        <x:f>IF(RECORD!C29="","",RECORD!C29)</x:f>
        <x:v>Cordero, Rhea G.</x:v>
      </x:c>
      <x:c r="D27" s="104" t="n">
        <x:f t="array" ref="D27">IF(C27&lt;&gt;"",IF(F$7="SUMMER","N/A",_xlfn.IFS(D$10="TLA",RECORD!GO29,F$10="LECTURE","",TRUE(),"")),"")</x:f>
        <x:v>25</x:v>
      </x:c>
      <x:c r="E27" s="105">
        <x:f t="shared" si="0"/>
        <x:v>36</x:v>
      </x:c>
      <x:c r="F27" s="104" t="n">
        <x:f t="array" ref="F27">IF(C27&lt;&gt;"",IF(F$7="SUMMER","N/A",_xlfn.IFS(F$10="AT",RECORD!GI29,F$10="LECTURE",GRADES!AP27,TRUE(),"")),"")</x:f>
        <x:v>52</x:v>
      </x:c>
      <x:c r="G27" s="106">
        <x:f t="shared" si="1"/>
        <x:v>18.399999999999999</x:v>
      </x:c>
      <x:c r="H27" s="107" t="n">
        <x:f t="array" ref="H27">IF(C27&lt;&gt;"",IF(F$7="SUMMER","N/A",_xlfn.IFS(H$10="EXAM",RECORD!GJ29,H$10="OUTPUT",RECORD!GK29,H$10="LAB",BP27,TRUE(),"")),"")</x:f>
        <x:v>75</x:v>
      </x:c>
      <x:c r="I27" s="106">
        <x:f t="shared" si="2"/>
        <x:v>38.5</x:v>
      </x:c>
      <x:c r="J27" s="108">
        <x:f t="shared" si="3"/>
        <x:v>92.9</x:v>
      </x:c>
      <x:c r="K27" s="109" t="str">
        <x:f t="shared" si="4"/>
        <x:v>PASSED</x:v>
      </x:c>
      <x:c r="L27" s="110" t="n">
        <x:f t="array" ref="L27">IF(C27&lt;&gt;"",_xlfn.IFS(L$10="TLA",RECORD!GY29,N$10="LECTURE","",TRUE(),""),"")</x:f>
        <x:v>42</x:v>
      </x:c>
      <x:c r="M27" s="105">
        <x:f t="shared" si="5"/>
        <x:v>36.159999999999997</x:v>
      </x:c>
      <x:c r="N27" s="104" t="n">
        <x:f t="array" ref="N27">IF(C27&lt;&gt;"",_xlfn.IFS(N$10="AT",RECORD!GS29,N$10="LECTURE",AX27,TRUE(),""),"")</x:f>
        <x:v>45</x:v>
      </x:c>
      <x:c r="O27" s="106">
        <x:f t="shared" si="6"/>
        <x:v>18.8</x:v>
      </x:c>
      <x:c r="P27" s="107" t="n">
        <x:f t="array" ref="P27">IF(C27&lt;&gt;"",_xlfn.IFS(P$10="EXAM",RECORD!GT29,P$10="OUTPUT",RECORD!GU29,P$10="LAB",BX27,TRUE(),""),"")</x:f>
        <x:v>88</x:v>
      </x:c>
      <x:c r="Q27" s="106">
        <x:f t="shared" si="7"/>
        <x:v>37.119999999999997</x:v>
      </x:c>
      <x:c r="R27" s="108">
        <x:f t="shared" si="8"/>
        <x:v>92.079999999999984</x:v>
      </x:c>
      <x:c r="S27" s="109" t="str">
        <x:f t="shared" si="9"/>
        <x:v>PASSED</x:v>
      </x:c>
      <x:c r="T27" s="110" t="n">
        <x:f t="array" ref="T27">IF(C27&lt;&gt;"",_xlfn.IFS(T$10="TLA",RECORD!HI29,V$10="LECTURE","",TRUE(),""),"")</x:f>
        <x:v>18</x:v>
      </x:c>
      <x:c r="U27" s="105">
        <x:f t="shared" si="10"/>
        <x:v>37.6</x:v>
      </x:c>
      <x:c r="V27" s="104" t="n">
        <x:f t="array" ref="V27">IF(C27&lt;&gt;"",_xlfn.IFS(V$10="AT",RECORD!HC29,V$10="LECTURE",BF27,TRUE(),""),"")</x:f>
        <x:v>48</x:v>
      </x:c>
      <x:c r="W27" s="106">
        <x:f t="shared" si="11"/>
        <x:v>19.52</x:v>
      </x:c>
      <x:c r="X27" s="107" t="n">
        <x:f t="array" ref="X27">IF(C27&lt;&gt;"",_xlfn.IFS(X$10="EXAM",RECORD!HD29,X$10="OUTPUT",RECORD!HE29,X$10="LAB",CF27,TRUE(),""),"")</x:f>
        <x:v>111</x:v>
      </x:c>
      <x:c r="Y27" s="106">
        <x:f t="shared" si="12"/>
        <x:v>37.311999999999998</x:v>
      </x:c>
      <x:c r="Z27" s="108">
        <x:f t="shared" si="13"/>
        <x:v>94.432000000000002</x:v>
      </x:c>
      <x:c r="AA27" s="109" t="str">
        <x:f t="shared" si="14"/>
        <x:v>PASSED</x:v>
      </x:c>
      <x:c r="AB27" s="111">
        <x:f t="shared" si="15"/>
        <x:v>93.137333333333331</x:v>
      </x:c>
      <x:c r="AC27" s="109" t="str">
        <x:f t="shared" si="16"/>
        <x:v>PASSED</x:v>
      </x:c>
      <x:c r="AD27" s="112"/>
      <x:c r="AE27" s="102"/>
      <x:c r="AF27" s="113"/>
      <x:c r="AG27" s="112"/>
      <x:c r="AH27" s="103"/>
      <x:c r="AI27" s="114"/>
      <x:c r="AJ27" s="102"/>
      <x:c r="AK27" s="102"/>
      <x:c r="AL27" s="102"/>
      <x:c r="AM27" s="102"/>
      <x:c r="AN27" s="102"/>
      <x:c r="AO27" s="102"/>
      <x:c r="AP27" s="102"/>
      <x:c r="AQ27" s="109" t="str">
        <x:f t="shared" si="17"/>
        <x:v>FAILED</x:v>
      </x:c>
      <x:c r="AR27" s="115"/>
      <x:c r="AS27" s="115"/>
      <x:c r="AT27" s="107"/>
      <x:c r="AU27" s="107"/>
      <x:c r="AV27" s="107"/>
      <x:c r="AW27" s="107"/>
      <x:c r="AX27" s="107"/>
      <x:c r="AY27" s="109" t="str">
        <x:f t="shared" si="18"/>
        <x:v>FAILED</x:v>
      </x:c>
      <x:c r="AZ27" s="115"/>
      <x:c r="BA27" s="115"/>
      <x:c r="BB27" s="107"/>
      <x:c r="BC27" s="107"/>
      <x:c r="BD27" s="107"/>
      <x:c r="BE27" s="107"/>
      <x:c r="BF27" s="107"/>
      <x:c r="BG27" s="109" t="str">
        <x:f t="shared" si="19"/>
        <x:v>FAILED</x:v>
      </x:c>
      <x:c r="BH27" s="117"/>
      <x:c r="BI27" s="102"/>
      <x:c r="BJ27" s="102"/>
      <x:c r="BK27" s="102"/>
      <x:c r="BL27" s="102"/>
      <x:c r="BM27" s="102"/>
      <x:c r="BN27" s="102"/>
      <x:c r="BO27" s="102"/>
      <x:c r="BP27" s="102"/>
      <x:c r="BQ27" s="109" t="str">
        <x:f t="shared" si="20"/>
        <x:v>FAILED</x:v>
      </x:c>
      <x:c r="BR27" s="115"/>
      <x:c r="BS27" s="115"/>
      <x:c r="BT27" s="107"/>
      <x:c r="BU27" s="107"/>
      <x:c r="BV27" s="107"/>
      <x:c r="BW27" s="107"/>
      <x:c r="BX27" s="107"/>
      <x:c r="BY27" s="109" t="str">
        <x:f t="shared" si="21"/>
        <x:v>FAILED</x:v>
      </x:c>
      <x:c r="BZ27" s="115"/>
      <x:c r="CA27" s="115"/>
      <x:c r="CB27" s="107"/>
      <x:c r="CC27" s="107"/>
      <x:c r="CD27" s="107"/>
      <x:c r="CE27" s="107"/>
      <x:c r="CF27" s="107"/>
      <x:c r="CG27" s="109" t="str">
        <x:f t="shared" si="22"/>
        <x:v>FAILED</x:v>
      </x:c>
      <x:c r="CH27" s="117"/>
    </x:row>
    <x:row r="28">
      <x:c r="A28" s="102" t="n">
        <x:f>IF(RECORD!A30="","",RECORD!A30)</x:f>
        <x:v>17</x:v>
      </x:c>
      <x:c r="B28" s="102" t="str">
        <x:f>IF(RECORD!B30="","",RECORD!B30)</x:f>
        <x:v>2024-00445</x:v>
      </x:c>
      <x:c r="C28" s="103" t="str">
        <x:f>IF(RECORD!C30="","",RECORD!C30)</x:f>
        <x:v>Montemayor, Leah O.</x:v>
      </x:c>
      <x:c r="D28" s="104" t="n">
        <x:f t="array" ref="D28">IF(C28&lt;&gt;"",IF(F$7="SUMMER","N/A",_xlfn.IFS(D$10="TLA",RECORD!GO30,F$10="LECTURE","",TRUE(),"")),"")</x:f>
        <x:v>28</x:v>
      </x:c>
      <x:c r="E28" s="105">
        <x:f t="shared" si="0"/>
        <x:v>38.4</x:v>
      </x:c>
      <x:c r="F28" s="104" t="n">
        <x:f t="array" ref="F28">IF(C28&lt;&gt;"",IF(F$7="SUMMER","N/A",_xlfn.IFS(F$10="AT",RECORD!GI30,F$10="LECTURE",GRADES!AP28,TRUE(),"")),"")</x:f>
        <x:v>55</x:v>
      </x:c>
      <x:c r="G28" s="106">
        <x:f t="shared" si="1"/>
        <x:v>19</x:v>
      </x:c>
      <x:c r="H28" s="107" t="n">
        <x:f t="array" ref="H28">IF(C28&lt;&gt;"",IF(F$7="SUMMER","N/A",_xlfn.IFS(H$10="EXAM",RECORD!GJ30,H$10="OUTPUT",RECORD!GK30,H$10="LAB",BP28,TRUE(),"")),"")</x:f>
        <x:v>78</x:v>
      </x:c>
      <x:c r="I28" s="106">
        <x:f t="shared" si="2"/>
        <x:v>39.4</x:v>
      </x:c>
      <x:c r="J28" s="108">
        <x:f t="shared" si="3"/>
        <x:v>96.8</x:v>
      </x:c>
      <x:c r="K28" s="109" t="str">
        <x:f t="shared" si="4"/>
        <x:v>PASSED</x:v>
      </x:c>
      <x:c r="L28" s="110" t="n">
        <x:f t="array" ref="L28">IF(C28&lt;&gt;"",_xlfn.IFS(L$10="TLA",RECORD!GY30,N$10="LECTURE","",TRUE(),""),"")</x:f>
        <x:v>48</x:v>
      </x:c>
      <x:c r="M28" s="105">
        <x:f t="shared" si="5"/>
        <x:v>39.04</x:v>
      </x:c>
      <x:c r="N28" s="104" t="n">
        <x:f t="array" ref="N28">IF(C28&lt;&gt;"",_xlfn.IFS(N$10="AT",RECORD!GS30,N$10="LECTURE",AX28,TRUE(),""),"")</x:f>
        <x:v>48</x:v>
      </x:c>
      <x:c r="O28" s="106">
        <x:f t="shared" si="6"/>
        <x:v>19.52</x:v>
      </x:c>
      <x:c r="P28" s="107" t="n">
        <x:f t="array" ref="P28">IF(C28&lt;&gt;"",_xlfn.IFS(P$10="EXAM",RECORD!GT30,P$10="OUTPUT",RECORD!GU30,P$10="LAB",BX28,TRUE(),""),"")</x:f>
        <x:v>95</x:v>
      </x:c>
      <x:c r="Q28" s="106">
        <x:f t="shared" si="7"/>
        <x:v>38.799999999999997</x:v>
      </x:c>
      <x:c r="R28" s="108">
        <x:f t="shared" si="8"/>
        <x:v>97.36</x:v>
      </x:c>
      <x:c r="S28" s="109" t="str">
        <x:f t="shared" si="9"/>
        <x:v>PASSED</x:v>
      </x:c>
      <x:c r="T28" s="110" t="n">
        <x:f t="array" ref="T28">IF(C28&lt;&gt;"",_xlfn.IFS(T$10="TLA",RECORD!HI30,V$10="LECTURE","",TRUE(),""),"")</x:f>
        <x:v>19</x:v>
      </x:c>
      <x:c r="U28" s="105">
        <x:f t="shared" si="10"/>
        <x:v>38.799999999999997</x:v>
      </x:c>
      <x:c r="V28" s="104" t="n">
        <x:f t="array" ref="V28">IF(C28&lt;&gt;"",_xlfn.IFS(V$10="AT",RECORD!HC30,V$10="LECTURE",BF28,TRUE(),""),"")</x:f>
        <x:v>49</x:v>
      </x:c>
      <x:c r="W28" s="106">
        <x:f t="shared" si="11"/>
        <x:v>19.760000000000002</x:v>
      </x:c>
      <x:c r="X28" s="107" t="n">
        <x:f t="array" ref="X28">IF(C28&lt;&gt;"",_xlfn.IFS(X$10="EXAM",RECORD!HD30,X$10="OUTPUT",RECORD!HE30,X$10="LAB",CF28,TRUE(),""),"")</x:f>
        <x:v>119</x:v>
      </x:c>
      <x:c r="Y28" s="106">
        <x:f t="shared" si="12"/>
        <x:v>38.847999999999999</x:v>
      </x:c>
      <x:c r="Z28" s="108">
        <x:f t="shared" si="13"/>
        <x:v>97.408000000000001</x:v>
      </x:c>
      <x:c r="AA28" s="109" t="str">
        <x:f t="shared" si="14"/>
        <x:v>PASSED</x:v>
      </x:c>
      <x:c r="AB28" s="111">
        <x:f t="shared" si="15"/>
        <x:v>97.189333333333323</x:v>
      </x:c>
      <x:c r="AC28" s="109" t="str">
        <x:f t="shared" si="16"/>
        <x:v>PASSED</x:v>
      </x:c>
      <x:c r="AD28" s="112"/>
      <x:c r="AE28" s="102"/>
      <x:c r="AF28" s="113"/>
      <x:c r="AG28" s="112"/>
      <x:c r="AH28" s="103"/>
      <x:c r="AI28" s="114"/>
      <x:c r="AJ28" s="102"/>
      <x:c r="AK28" s="102"/>
      <x:c r="AL28" s="102"/>
      <x:c r="AM28" s="102"/>
      <x:c r="AN28" s="102"/>
      <x:c r="AO28" s="102"/>
      <x:c r="AP28" s="102"/>
      <x:c r="AQ28" s="109" t="str">
        <x:f t="shared" si="17"/>
        <x:v>FAILED</x:v>
      </x:c>
      <x:c r="AR28" s="115"/>
      <x:c r="AS28" s="115"/>
      <x:c r="AT28" s="107"/>
      <x:c r="AU28" s="107"/>
      <x:c r="AV28" s="107"/>
      <x:c r="AW28" s="107"/>
      <x:c r="AX28" s="107"/>
      <x:c r="AY28" s="109" t="str">
        <x:f t="shared" si="18"/>
        <x:v>FAILED</x:v>
      </x:c>
      <x:c r="AZ28" s="115"/>
      <x:c r="BA28" s="115"/>
      <x:c r="BB28" s="107"/>
      <x:c r="BC28" s="107"/>
      <x:c r="BD28" s="107"/>
      <x:c r="BE28" s="107"/>
      <x:c r="BF28" s="107"/>
      <x:c r="BG28" s="109" t="str">
        <x:f t="shared" si="19"/>
        <x:v>FAILED</x:v>
      </x:c>
      <x:c r="BH28" s="117"/>
      <x:c r="BI28" s="102"/>
      <x:c r="BJ28" s="102"/>
      <x:c r="BK28" s="102"/>
      <x:c r="BL28" s="102"/>
      <x:c r="BM28" s="102"/>
      <x:c r="BN28" s="102"/>
      <x:c r="BO28" s="102"/>
      <x:c r="BP28" s="102"/>
      <x:c r="BQ28" s="109" t="str">
        <x:f t="shared" si="20"/>
        <x:v>FAILED</x:v>
      </x:c>
      <x:c r="BR28" s="115"/>
      <x:c r="BS28" s="115"/>
      <x:c r="BT28" s="107"/>
      <x:c r="BU28" s="107"/>
      <x:c r="BV28" s="107"/>
      <x:c r="BW28" s="107"/>
      <x:c r="BX28" s="107"/>
      <x:c r="BY28" s="109" t="str">
        <x:f t="shared" si="21"/>
        <x:v>FAILED</x:v>
      </x:c>
      <x:c r="BZ28" s="115"/>
      <x:c r="CA28" s="115"/>
      <x:c r="CB28" s="107"/>
      <x:c r="CC28" s="107"/>
      <x:c r="CD28" s="107"/>
      <x:c r="CE28" s="107"/>
      <x:c r="CF28" s="107"/>
      <x:c r="CG28" s="109" t="str">
        <x:f t="shared" si="22"/>
        <x:v>FAILED</x:v>
      </x:c>
      <x:c r="CH28" s="117"/>
    </x:row>
    <x:row r="29">
      <x:c r="A29" s="102" t="n">
        <x:f>IF(RECORD!A31="","",RECORD!A31)</x:f>
        <x:v>18</x:v>
      </x:c>
      <x:c r="B29" s="102" t="str">
        <x:f>IF(RECORD!B31="","",RECORD!B31)</x:f>
        <x:v>2024-00467</x:v>
      </x:c>
      <x:c r="C29" s="103" t="str">
        <x:f>IF(RECORD!C31="","",RECORD!C31)</x:f>
        <x:v>Mercado, Marco V.</x:v>
      </x:c>
      <x:c r="D29" s="104" t="n">
        <x:f t="array" ref="D29">IF(C29&lt;&gt;"",IF(F$7="SUMMER","N/A",_xlfn.IFS(D$10="TLA",RECORD!GO31,F$10="LECTURE","",TRUE(),"")),"")</x:f>
        <x:v>20</x:v>
      </x:c>
      <x:c r="E29" s="105">
        <x:f t="shared" si="0"/>
        <x:v>32</x:v>
      </x:c>
      <x:c r="F29" s="104" t="n">
        <x:f t="array" ref="F29">IF(C29&lt;&gt;"",IF(F$7="SUMMER","N/A",_xlfn.IFS(F$10="AT",RECORD!GI31,F$10="LECTURE",GRADES!AP29,TRUE(),"")),"")</x:f>
        <x:v>40</x:v>
      </x:c>
      <x:c r="G29" s="106">
        <x:f t="shared" si="1"/>
        <x:v>16</x:v>
      </x:c>
      <x:c r="H29" s="107" t="n">
        <x:f t="array" ref="H29">IF(C29&lt;&gt;"",IF(F$7="SUMMER","N/A",_xlfn.IFS(H$10="EXAM",RECORD!GJ31,H$10="OUTPUT",RECORD!GK31,H$10="LAB",BP29,TRUE(),"")),"")</x:f>
        <x:v>55</x:v>
      </x:c>
      <x:c r="I29" s="106">
        <x:f t="shared" si="2"/>
        <x:v>32.5</x:v>
      </x:c>
      <x:c r="J29" s="108">
        <x:f t="shared" si="3"/>
        <x:v>80.5</x:v>
      </x:c>
      <x:c r="K29" s="109" t="str">
        <x:f t="shared" si="4"/>
        <x:v>PASSED</x:v>
      </x:c>
      <x:c r="L29" s="110" t="n">
        <x:f t="array" ref="L29">IF(C29&lt;&gt;"",_xlfn.IFS(L$10="TLA",RECORD!GY31,N$10="LECTURE","",TRUE(),""),"")</x:f>
        <x:v>35</x:v>
      </x:c>
      <x:c r="M29" s="105">
        <x:f t="shared" si="5"/>
        <x:v>32.799999999999997</x:v>
      </x:c>
      <x:c r="N29" s="104" t="n">
        <x:f t="array" ref="N29">IF(C29&lt;&gt;"",_xlfn.IFS(N$10="AT",RECORD!GS31,N$10="LECTURE",AX29,TRUE(),""),"")</x:f>
        <x:v>30</x:v>
      </x:c>
      <x:c r="O29" s="106">
        <x:f t="shared" si="6"/>
        <x:v>15.2</x:v>
      </x:c>
      <x:c r="P29" s="107" t="n">
        <x:f t="array" ref="P29">IF(C29&lt;&gt;"",_xlfn.IFS(P$10="EXAM",RECORD!GT31,P$10="OUTPUT",RECORD!GU31,P$10="LAB",BX29,TRUE(),""),"")</x:f>
        <x:v>60</x:v>
      </x:c>
      <x:c r="Q29" s="106">
        <x:f t="shared" si="7"/>
        <x:v>30.4</x:v>
      </x:c>
      <x:c r="R29" s="108">
        <x:f t="shared" si="8"/>
        <x:v>78.400000000000006</x:v>
      </x:c>
      <x:c r="S29" s="109" t="str">
        <x:f t="shared" si="9"/>
        <x:v>PASSED</x:v>
      </x:c>
      <x:c r="T29" s="110" t="n">
        <x:f t="array" ref="T29">IF(C29&lt;&gt;"",_xlfn.IFS(T$10="TLA",RECORD!HI31,V$10="LECTURE","",TRUE(),""),"")</x:f>
        <x:v>14</x:v>
      </x:c>
      <x:c r="U29" s="105">
        <x:f t="shared" si="10"/>
        <x:v>32.799999999999997</x:v>
      </x:c>
      <x:c r="V29" s="104" t="n">
        <x:f t="array" ref="V29">IF(C29&lt;&gt;"",_xlfn.IFS(V$10="AT",RECORD!HC31,V$10="LECTURE",BF29,TRUE(),""),"")</x:f>
        <x:v>35</x:v>
      </x:c>
      <x:c r="W29" s="106">
        <x:f t="shared" si="11"/>
        <x:v>16.399999999999999</x:v>
      </x:c>
      <x:c r="X29" s="107" t="n">
        <x:f t="array" ref="X29">IF(C29&lt;&gt;"",_xlfn.IFS(X$10="EXAM",RECORD!HD31,X$10="OUTPUT",RECORD!HE31,X$10="LAB",CF29,TRUE(),""),"")</x:f>
        <x:v>75</x:v>
      </x:c>
      <x:c r="Y29" s="106">
        <x:f t="shared" si="12"/>
        <x:v>30.4</x:v>
      </x:c>
      <x:c r="Z29" s="108">
        <x:f t="shared" si="13"/>
        <x:v>79.599999999999994</x:v>
      </x:c>
      <x:c r="AA29" s="109" t="str">
        <x:f t="shared" si="14"/>
        <x:v>PASSED</x:v>
      </x:c>
      <x:c r="AB29" s="111">
        <x:f t="shared" si="15"/>
        <x:v>79.5</x:v>
      </x:c>
      <x:c r="AC29" s="109" t="str">
        <x:f t="shared" si="16"/>
        <x:v>PASSED</x:v>
      </x:c>
      <x:c r="AD29" s="112"/>
      <x:c r="AE29" s="102"/>
      <x:c r="AF29" s="113"/>
      <x:c r="AG29" s="112"/>
      <x:c r="AH29" s="103"/>
      <x:c r="AI29" s="114"/>
      <x:c r="AJ29" s="102"/>
      <x:c r="AK29" s="102"/>
      <x:c r="AL29" s="102"/>
      <x:c r="AM29" s="102"/>
      <x:c r="AN29" s="102"/>
      <x:c r="AO29" s="102"/>
      <x:c r="AP29" s="102"/>
      <x:c r="AQ29" s="109" t="str">
        <x:f t="shared" si="17"/>
        <x:v>FAILED</x:v>
      </x:c>
      <x:c r="AR29" s="115"/>
      <x:c r="AS29" s="115"/>
      <x:c r="AT29" s="107"/>
      <x:c r="AU29" s="107"/>
      <x:c r="AV29" s="107"/>
      <x:c r="AW29" s="107"/>
      <x:c r="AX29" s="107"/>
      <x:c r="AY29" s="109" t="str">
        <x:f t="shared" si="18"/>
        <x:v>FAILED</x:v>
      </x:c>
      <x:c r="AZ29" s="115"/>
      <x:c r="BA29" s="115"/>
      <x:c r="BB29" s="107"/>
      <x:c r="BC29" s="107"/>
      <x:c r="BD29" s="107"/>
      <x:c r="BE29" s="107"/>
      <x:c r="BF29" s="107"/>
      <x:c r="BG29" s="109" t="str">
        <x:f t="shared" si="19"/>
        <x:v>FAILED</x:v>
      </x:c>
      <x:c r="BH29" s="117"/>
      <x:c r="BI29" s="102"/>
      <x:c r="BJ29" s="102"/>
      <x:c r="BK29" s="102"/>
      <x:c r="BL29" s="102"/>
      <x:c r="BM29" s="102"/>
      <x:c r="BN29" s="102"/>
      <x:c r="BO29" s="102"/>
      <x:c r="BP29" s="102"/>
      <x:c r="BQ29" s="109" t="str">
        <x:f t="shared" si="20"/>
        <x:v>FAILED</x:v>
      </x:c>
      <x:c r="BR29" s="115"/>
      <x:c r="BS29" s="115"/>
      <x:c r="BT29" s="107"/>
      <x:c r="BU29" s="107"/>
      <x:c r="BV29" s="107"/>
      <x:c r="BW29" s="107"/>
      <x:c r="BX29" s="107"/>
      <x:c r="BY29" s="109" t="str">
        <x:f t="shared" si="21"/>
        <x:v>FAILED</x:v>
      </x:c>
      <x:c r="BZ29" s="115"/>
      <x:c r="CA29" s="115"/>
      <x:c r="CB29" s="107"/>
      <x:c r="CC29" s="107"/>
      <x:c r="CD29" s="107"/>
      <x:c r="CE29" s="107"/>
      <x:c r="CF29" s="107"/>
      <x:c r="CG29" s="109" t="str">
        <x:f t="shared" si="22"/>
        <x:v>FAILED</x:v>
      </x:c>
      <x:c r="CH29" s="117"/>
    </x:row>
    <x:row r="30">
      <x:c r="A30" s="102" t="n">
        <x:f>IF(RECORD!A32="","",RECORD!A32)</x:f>
        <x:v>19</x:v>
      </x:c>
      <x:c r="B30" s="102" t="str">
        <x:f>IF(RECORD!B32="","",RECORD!B32)</x:f>
        <x:v>2024-00489</x:v>
      </x:c>
      <x:c r="C30" s="103" t="str">
        <x:f>IF(RECORD!C32="","",RECORD!C32)</x:f>
        <x:v>Tiongson, Cedric F.</x:v>
      </x:c>
      <x:c r="D30" s="104" t="n">
        <x:f t="array" ref="D30">IF(C30&lt;&gt;"",IF(F$7="SUMMER","N/A",_xlfn.IFS(D$10="TLA",RECORD!GO32,F$10="LECTURE","",TRUE(),"")),"")</x:f>
        <x:v>26</x:v>
      </x:c>
      <x:c r="E30" s="105">
        <x:f t="shared" si="0"/>
        <x:v>36.799999999999997</x:v>
      </x:c>
      <x:c r="F30" s="104" t="n">
        <x:f t="array" ref="F30">IF(C30&lt;&gt;"",IF(F$7="SUMMER","N/A",_xlfn.IFS(F$10="AT",RECORD!GI32,F$10="LECTURE",GRADES!AP30,TRUE(),"")),"")</x:f>
        <x:v>50</x:v>
      </x:c>
      <x:c r="G30" s="106">
        <x:f t="shared" si="1"/>
        <x:v>18</x:v>
      </x:c>
      <x:c r="H30" s="107" t="n">
        <x:f t="array" ref="H30">IF(C30&lt;&gt;"",IF(F$7="SUMMER","N/A",_xlfn.IFS(H$10="EXAM",RECORD!GJ32,H$10="OUTPUT",RECORD!GK32,H$10="LAB",BP30,TRUE(),"")),"")</x:f>
        <x:v>72</x:v>
      </x:c>
      <x:c r="I30" s="106">
        <x:f t="shared" si="2"/>
        <x:v>37.6</x:v>
      </x:c>
      <x:c r="J30" s="108">
        <x:f t="shared" si="3"/>
        <x:v>92.4</x:v>
      </x:c>
      <x:c r="K30" s="109" t="str">
        <x:f t="shared" si="4"/>
        <x:v>PASSED</x:v>
      </x:c>
      <x:c r="L30" s="110" t="n">
        <x:f t="array" ref="L30">IF(C30&lt;&gt;"",_xlfn.IFS(L$10="TLA",RECORD!GY32,N$10="LECTURE","",TRUE(),""),"")</x:f>
        <x:v>44</x:v>
      </x:c>
      <x:c r="M30" s="105">
        <x:f t="shared" si="5"/>
        <x:v>37.119999999999997</x:v>
      </x:c>
      <x:c r="N30" s="104" t="n">
        <x:f t="array" ref="N30">IF(C30&lt;&gt;"",_xlfn.IFS(N$10="AT",RECORD!GS32,N$10="LECTURE",AX30,TRUE(),""),"")</x:f>
        <x:v>42</x:v>
      </x:c>
      <x:c r="O30" s="106">
        <x:f t="shared" si="6"/>
        <x:v>18.079999999999998</x:v>
      </x:c>
      <x:c r="P30" s="107" t="n">
        <x:f t="array" ref="P30">IF(C30&lt;&gt;"",_xlfn.IFS(P$10="EXAM",RECORD!GT32,P$10="OUTPUT",RECORD!GU32,P$10="LAB",BX30,TRUE(),""),"")</x:f>
        <x:v>85</x:v>
      </x:c>
      <x:c r="Q30" s="106">
        <x:f t="shared" si="7"/>
        <x:v>36.4</x:v>
      </x:c>
      <x:c r="R30" s="108">
        <x:f t="shared" si="8"/>
        <x:v>91.6</x:v>
      </x:c>
      <x:c r="S30" s="109" t="str">
        <x:f t="shared" si="9"/>
        <x:v>PASSED</x:v>
      </x:c>
      <x:c r="T30" s="110" t="n">
        <x:f t="array" ref="T30">IF(C30&lt;&gt;"",_xlfn.IFS(T$10="TLA",RECORD!HI32,V$10="LECTURE","",TRUE(),""),"")</x:f>
        <x:v>17</x:v>
      </x:c>
      <x:c r="U30" s="105">
        <x:f t="shared" si="10"/>
        <x:v>36.4</x:v>
      </x:c>
      <x:c r="V30" s="104" t="n">
        <x:f t="array" ref="V30">IF(C30&lt;&gt;"",_xlfn.IFS(V$10="AT",RECORD!HC32,V$10="LECTURE",BF30,TRUE(),""),"")</x:f>
        <x:v>44</x:v>
      </x:c>
      <x:c r="W30" s="106">
        <x:f t="shared" si="11"/>
        <x:v>18.559999999999999</x:v>
      </x:c>
      <x:c r="X30" s="107" t="n">
        <x:f t="array" ref="X30">IF(C30&lt;&gt;"",_xlfn.IFS(X$10="EXAM",RECORD!HD32,X$10="OUTPUT",RECORD!HE32,X$10="LAB",CF30,TRUE(),""),"")</x:f>
        <x:v>100</x:v>
      </x:c>
      <x:c r="Y30" s="106">
        <x:f t="shared" si="12"/>
        <x:v>35.200000000000003</x:v>
      </x:c>
      <x:c r="Z30" s="108">
        <x:f t="shared" si="13"/>
        <x:v>90.16</x:v>
      </x:c>
      <x:c r="AA30" s="109" t="str">
        <x:f t="shared" si="14"/>
        <x:v>PASSED</x:v>
      </x:c>
      <x:c r="AB30" s="111">
        <x:f t="shared" si="15"/>
        <x:v>91.386666666666656</x:v>
      </x:c>
      <x:c r="AC30" s="109" t="str">
        <x:f t="shared" si="16"/>
        <x:v>PASSED</x:v>
      </x:c>
      <x:c r="AD30" s="112"/>
      <x:c r="AE30" s="102"/>
      <x:c r="AF30" s="113"/>
      <x:c r="AG30" s="112"/>
      <x:c r="AH30" s="103"/>
      <x:c r="AI30" s="114"/>
      <x:c r="AJ30" s="102"/>
      <x:c r="AK30" s="102"/>
      <x:c r="AL30" s="102"/>
      <x:c r="AM30" s="102"/>
      <x:c r="AN30" s="102"/>
      <x:c r="AO30" s="102"/>
      <x:c r="AP30" s="102"/>
      <x:c r="AQ30" s="109" t="str">
        <x:f t="shared" si="17"/>
        <x:v>FAILED</x:v>
      </x:c>
      <x:c r="AR30" s="115"/>
      <x:c r="AS30" s="115"/>
      <x:c r="AT30" s="107"/>
      <x:c r="AU30" s="107"/>
      <x:c r="AV30" s="107"/>
      <x:c r="AW30" s="107"/>
      <x:c r="AX30" s="107"/>
      <x:c r="AY30" s="109" t="str">
        <x:f t="shared" si="18"/>
        <x:v>FAILED</x:v>
      </x:c>
      <x:c r="AZ30" s="115"/>
      <x:c r="BA30" s="115"/>
      <x:c r="BB30" s="107"/>
      <x:c r="BC30" s="107"/>
      <x:c r="BD30" s="107"/>
      <x:c r="BE30" s="107"/>
      <x:c r="BF30" s="107"/>
      <x:c r="BG30" s="109" t="str">
        <x:f t="shared" si="19"/>
        <x:v>FAILED</x:v>
      </x:c>
      <x:c r="BH30" s="117"/>
      <x:c r="BI30" s="102"/>
      <x:c r="BJ30" s="102"/>
      <x:c r="BK30" s="102"/>
      <x:c r="BL30" s="102"/>
      <x:c r="BM30" s="102"/>
      <x:c r="BN30" s="102"/>
      <x:c r="BO30" s="102"/>
      <x:c r="BP30" s="102"/>
      <x:c r="BQ30" s="109" t="str">
        <x:f t="shared" si="20"/>
        <x:v>FAILED</x:v>
      </x:c>
      <x:c r="BR30" s="115"/>
      <x:c r="BS30" s="115"/>
      <x:c r="BT30" s="107"/>
      <x:c r="BU30" s="107"/>
      <x:c r="BV30" s="107"/>
      <x:c r="BW30" s="107"/>
      <x:c r="BX30" s="107"/>
      <x:c r="BY30" s="109" t="str">
        <x:f t="shared" si="21"/>
        <x:v>FAILED</x:v>
      </x:c>
      <x:c r="BZ30" s="115"/>
      <x:c r="CA30" s="115"/>
      <x:c r="CB30" s="107"/>
      <x:c r="CC30" s="107"/>
      <x:c r="CD30" s="107"/>
      <x:c r="CE30" s="107"/>
      <x:c r="CF30" s="107"/>
      <x:c r="CG30" s="109" t="str">
        <x:f t="shared" si="22"/>
        <x:v>FAILED</x:v>
      </x:c>
      <x:c r="CH30" s="117"/>
    </x:row>
    <x:row r="31">
      <x:c r="A31" s="102" t="n">
        <x:f>IF(RECORD!A33="","",RECORD!A33)</x:f>
        <x:v>20</x:v>
      </x:c>
      <x:c r="B31" s="102" t="str">
        <x:f>IF(RECORD!B33="","",RECORD!B33)</x:f>
        <x:v>2024-00511</x:v>
      </x:c>
      <x:c r="C31" s="103" t="str">
        <x:f>IF(RECORD!C33="","",RECORD!C33)</x:f>
        <x:v>Lorenzo, Owen M.</x:v>
      </x:c>
      <x:c r="D31" s="104" t="n">
        <x:f t="array" ref="D31">IF(C31&lt;&gt;"",IF(F$7="SUMMER","N/A",_xlfn.IFS(D$10="TLA",RECORD!GO33,F$10="LECTURE","",TRUE(),"")),"")</x:f>
        <x:v>10</x:v>
      </x:c>
      <x:c r="E31" s="105">
        <x:f t="shared" si="0"/>
        <x:v>24</x:v>
      </x:c>
      <x:c r="F31" s="104" t="n">
        <x:f t="array" ref="F31">IF(C31&lt;&gt;"",IF(F$7="SUMMER","N/A",_xlfn.IFS(F$10="AT",RECORD!GI33,F$10="LECTURE",GRADES!AP31,TRUE(),"")),"")</x:f>
        <x:v>20</x:v>
      </x:c>
      <x:c r="G31" s="106">
        <x:f t="shared" si="1"/>
        <x:v>12</x:v>
      </x:c>
      <x:c r="H31" s="107" t="n">
        <x:f t="array" ref="H31">IF(C31&lt;&gt;"",IF(F$7="SUMMER","N/A",_xlfn.IFS(H$10="EXAM",RECORD!GJ33,H$10="OUTPUT",RECORD!GK33,H$10="LAB",BP31,TRUE(),"")),"")</x:f>
        <x:v>40</x:v>
      </x:c>
      <x:c r="I31" s="106">
        <x:f t="shared" si="2"/>
        <x:v>28</x:v>
      </x:c>
      <x:c r="J31" s="108">
        <x:f t="shared" si="3"/>
        <x:v>64</x:v>
      </x:c>
      <x:c r="K31" s="109" t="str">
        <x:f t="shared" si="4"/>
        <x:v>FAILED</x:v>
      </x:c>
      <x:c r="L31" s="110" t="n">
        <x:f t="array" ref="L31">IF(C31&lt;&gt;"",_xlfn.IFS(L$10="TLA",RECORD!GY33,N$10="LECTURE","",TRUE(),""),"")</x:f>
        <x:v>20</x:v>
      </x:c>
      <x:c r="M31" s="105">
        <x:f t="shared" si="5"/>
        <x:v>25.6</x:v>
      </x:c>
      <x:c r="N31" s="104" t="n">
        <x:f t="array" ref="N31">IF(C31&lt;&gt;"",_xlfn.IFS(N$10="AT",RECORD!GS33,N$10="LECTURE",AX31,TRUE(),""),"")</x:f>
        <x:v>18</x:v>
      </x:c>
      <x:c r="O31" s="106">
        <x:f t="shared" si="6"/>
        <x:v>12.32</x:v>
      </x:c>
      <x:c r="P31" s="107" t="n">
        <x:f t="array" ref="P31">IF(C31&lt;&gt;"",_xlfn.IFS(P$10="EXAM",RECORD!GT33,P$10="OUTPUT",RECORD!GU33,P$10="LAB",BX31,TRUE(),""),"")</x:f>
        <x:v>45</x:v>
      </x:c>
      <x:c r="Q31" s="106">
        <x:f t="shared" si="7"/>
        <x:v>26.8</x:v>
      </x:c>
      <x:c r="R31" s="108">
        <x:f t="shared" si="8"/>
        <x:v>64.72</x:v>
      </x:c>
      <x:c r="S31" s="109" t="str">
        <x:f t="shared" si="9"/>
        <x:v>FAILED</x:v>
      </x:c>
      <x:c r="T31" s="110" t="n">
        <x:f t="array" ref="T31">IF(C31&lt;&gt;"",_xlfn.IFS(T$10="TLA",RECORD!HI33,V$10="LECTURE","",TRUE(),""),"")</x:f>
        <x:v>8</x:v>
      </x:c>
      <x:c r="U31" s="105">
        <x:f t="shared" si="10"/>
        <x:v>25.6</x:v>
      </x:c>
      <x:c r="V31" s="104" t="n">
        <x:f t="array" ref="V31">IF(C31&lt;&gt;"",_xlfn.IFS(V$10="AT",RECORD!HC33,V$10="LECTURE",BF31,TRUE(),""),"")</x:f>
        <x:v>22</x:v>
      </x:c>
      <x:c r="W31" s="106">
        <x:f t="shared" si="11"/>
        <x:v>13.28</x:v>
      </x:c>
      <x:c r="X31" s="107" t="n">
        <x:f t="array" ref="X31">IF(C31&lt;&gt;"",_xlfn.IFS(X$10="EXAM",RECORD!HD33,X$10="OUTPUT",RECORD!HE33,X$10="LAB",CF31,TRUE(),""),"")</x:f>
        <x:v>47</x:v>
      </x:c>
      <x:c r="Y31" s="106">
        <x:f t="shared" si="12"/>
        <x:v>25.024000000000001</x:v>
      </x:c>
      <x:c r="Z31" s="108">
        <x:f t="shared" si="13"/>
        <x:v>63.904000000000003</x:v>
      </x:c>
      <x:c r="AA31" s="109" t="str">
        <x:f t="shared" si="14"/>
        <x:v>FAILED</x:v>
      </x:c>
      <x:c r="AB31" s="111">
        <x:f t="shared" si="15"/>
        <x:v>64.207999999999998</x:v>
      </x:c>
      <x:c r="AC31" s="109" t="str">
        <x:f t="shared" si="16"/>
        <x:v>FAILED</x:v>
      </x:c>
      <x:c r="AD31" s="112"/>
      <x:c r="AE31" s="102"/>
      <x:c r="AF31" s="113"/>
      <x:c r="AG31" s="112"/>
      <x:c r="AH31" s="103"/>
      <x:c r="AI31" s="114"/>
      <x:c r="AJ31" s="102"/>
      <x:c r="AK31" s="102"/>
      <x:c r="AL31" s="102"/>
      <x:c r="AM31" s="102"/>
      <x:c r="AN31" s="102"/>
      <x:c r="AO31" s="102"/>
      <x:c r="AP31" s="102"/>
      <x:c r="AQ31" s="109" t="str">
        <x:f t="shared" si="17"/>
        <x:v>FAILED</x:v>
      </x:c>
      <x:c r="AR31" s="115"/>
      <x:c r="AS31" s="115"/>
      <x:c r="AT31" s="107"/>
      <x:c r="AU31" s="107"/>
      <x:c r="AV31" s="107"/>
      <x:c r="AW31" s="107"/>
      <x:c r="AX31" s="107"/>
      <x:c r="AY31" s="109" t="str">
        <x:f t="shared" si="18"/>
        <x:v>FAILED</x:v>
      </x:c>
      <x:c r="AZ31" s="115"/>
      <x:c r="BA31" s="115"/>
      <x:c r="BB31" s="107"/>
      <x:c r="BC31" s="107"/>
      <x:c r="BD31" s="107"/>
      <x:c r="BE31" s="107"/>
      <x:c r="BF31" s="107"/>
      <x:c r="BG31" s="109" t="str">
        <x:f t="shared" si="19"/>
        <x:v>FAILED</x:v>
      </x:c>
      <x:c r="BH31" s="117"/>
      <x:c r="BI31" s="102"/>
      <x:c r="BJ31" s="102"/>
      <x:c r="BK31" s="102"/>
      <x:c r="BL31" s="102"/>
      <x:c r="BM31" s="102"/>
      <x:c r="BN31" s="102"/>
      <x:c r="BO31" s="102"/>
      <x:c r="BP31" s="102"/>
      <x:c r="BQ31" s="109" t="str">
        <x:f t="shared" si="20"/>
        <x:v>FAILED</x:v>
      </x:c>
      <x:c r="BR31" s="115"/>
      <x:c r="BS31" s="115"/>
      <x:c r="BT31" s="107"/>
      <x:c r="BU31" s="107"/>
      <x:c r="BV31" s="107"/>
      <x:c r="BW31" s="107"/>
      <x:c r="BX31" s="107"/>
      <x:c r="BY31" s="109" t="str">
        <x:f t="shared" si="21"/>
        <x:v>FAILED</x:v>
      </x:c>
      <x:c r="BZ31" s="115"/>
      <x:c r="CA31" s="115"/>
      <x:c r="CB31" s="107"/>
      <x:c r="CC31" s="107"/>
      <x:c r="CD31" s="107"/>
      <x:c r="CE31" s="107"/>
      <x:c r="CF31" s="107"/>
      <x:c r="CG31" s="109" t="str">
        <x:f t="shared" si="22"/>
        <x:v>FAILED</x:v>
      </x:c>
      <x:c r="CH31" s="117"/>
    </x:row>
    <x:row r="32">
      <x:c r="A32" s="102" t="n">
        <x:f>IF(RECORD!A34="","",RECORD!A34)</x:f>
        <x:v>21</x:v>
      </x:c>
      <x:c r="B32" s="102" t="str">
        <x:f>IF(RECORD!B34="","",RECORD!B34)</x:f>
        <x:v>2024-00533</x:v>
      </x:c>
      <x:c r="C32" s="103" t="str">
        <x:f>IF(RECORD!C34="","",RECORD!C34)</x:f>
        <x:v>Mendoza, Nina M.</x:v>
      </x:c>
      <x:c r="D32" s="104" t="n">
        <x:f t="array" ref="D32">IF(C32&lt;&gt;"",IF(F$7="SUMMER","N/A",_xlfn.IFS(D$10="TLA",RECORD!GO34,F$10="LECTURE","",TRUE(),"")),"")</x:f>
        <x:v>27</x:v>
      </x:c>
      <x:c r="E32" s="105">
        <x:f t="shared" si="0"/>
        <x:v>37.6</x:v>
      </x:c>
      <x:c r="F32" s="104" t="n">
        <x:f t="array" ref="F32">IF(C32&lt;&gt;"",IF(F$7="SUMMER","N/A",_xlfn.IFS(F$10="AT",RECORD!GI34,F$10="LECTURE",GRADES!AP32,TRUE(),"")),"")</x:f>
        <x:v>54</x:v>
      </x:c>
      <x:c r="G32" s="106">
        <x:f t="shared" si="1"/>
        <x:v>18.8</x:v>
      </x:c>
      <x:c r="H32" s="107" t="n">
        <x:f t="array" ref="H32">IF(C32&lt;&gt;"",IF(F$7="SUMMER","N/A",_xlfn.IFS(H$10="EXAM",RECORD!GJ34,H$10="OUTPUT",RECORD!GK34,H$10="LAB",BP32,TRUE(),"")),"")</x:f>
        <x:v>76</x:v>
      </x:c>
      <x:c r="I32" s="106">
        <x:f t="shared" si="2"/>
        <x:v>38.799999999999997</x:v>
      </x:c>
      <x:c r="J32" s="108">
        <x:f t="shared" si="3"/>
        <x:v>95.2</x:v>
      </x:c>
      <x:c r="K32" s="109" t="str">
        <x:f t="shared" si="4"/>
        <x:v>PASSED</x:v>
      </x:c>
      <x:c r="L32" s="110" t="n">
        <x:f t="array" ref="L32">IF(C32&lt;&gt;"",_xlfn.IFS(L$10="TLA",RECORD!GY34,N$10="LECTURE","",TRUE(),""),"")</x:f>
        <x:v>46</x:v>
      </x:c>
      <x:c r="M32" s="105">
        <x:f t="shared" si="5"/>
        <x:v>38.08</x:v>
      </x:c>
      <x:c r="N32" s="104" t="n">
        <x:f t="array" ref="N32">IF(C32&lt;&gt;"",_xlfn.IFS(N$10="AT",RECORD!GS34,N$10="LECTURE",AX32,TRUE(),""),"")</x:f>
        <x:v>46</x:v>
      </x:c>
      <x:c r="O32" s="106">
        <x:f t="shared" si="6"/>
        <x:v>19.04</x:v>
      </x:c>
      <x:c r="P32" s="107" t="n">
        <x:f t="array" ref="P32">IF(C32&lt;&gt;"",_xlfn.IFS(P$10="EXAM",RECORD!GT34,P$10="OUTPUT",RECORD!GU34,P$10="LAB",BX32,TRUE(),""),"")</x:f>
        <x:v>90</x:v>
      </x:c>
      <x:c r="Q32" s="106">
        <x:f t="shared" si="7"/>
        <x:v>37.6</x:v>
      </x:c>
      <x:c r="R32" s="108">
        <x:f t="shared" si="8"/>
        <x:v>94.72</x:v>
      </x:c>
      <x:c r="S32" s="109" t="str">
        <x:f t="shared" si="9"/>
        <x:v>PASSED</x:v>
      </x:c>
      <x:c r="T32" s="110" t="n">
        <x:f t="array" ref="T32">IF(C32&lt;&gt;"",_xlfn.IFS(T$10="TLA",RECORD!HI34,V$10="LECTURE","",TRUE(),""),"")</x:f>
        <x:v>18</x:v>
      </x:c>
      <x:c r="U32" s="105">
        <x:f t="shared" si="10"/>
        <x:v>37.6</x:v>
      </x:c>
      <x:c r="V32" s="104" t="n">
        <x:f t="array" ref="V32">IF(C32&lt;&gt;"",_xlfn.IFS(V$10="AT",RECORD!HC34,V$10="LECTURE",BF32,TRUE(),""),"")</x:f>
        <x:v>47</x:v>
      </x:c>
      <x:c r="W32" s="106">
        <x:f t="shared" si="11"/>
        <x:v>19.28</x:v>
      </x:c>
      <x:c r="X32" s="107" t="n">
        <x:f t="array" ref="X32">IF(C32&lt;&gt;"",_xlfn.IFS(X$10="EXAM",RECORD!HD34,X$10="OUTPUT",RECORD!HE34,X$10="LAB",CF32,TRUE(),""),"")</x:f>
        <x:v>112</x:v>
      </x:c>
      <x:c r="Y32" s="106">
        <x:f t="shared" si="12"/>
        <x:v>37.503999999999998</x:v>
      </x:c>
      <x:c r="Z32" s="108">
        <x:f t="shared" si="13"/>
        <x:v>94.384</x:v>
      </x:c>
      <x:c r="AA32" s="109" t="str">
        <x:f t="shared" si="14"/>
        <x:v>PASSED</x:v>
      </x:c>
      <x:c r="AB32" s="111">
        <x:f t="shared" si="15"/>
        <x:v>94.768000000000015</x:v>
      </x:c>
      <x:c r="AC32" s="109" t="str">
        <x:f t="shared" si="16"/>
        <x:v>PASSED</x:v>
      </x:c>
      <x:c r="AD32" s="112"/>
      <x:c r="AE32" s="102"/>
      <x:c r="AF32" s="113"/>
      <x:c r="AG32" s="112"/>
      <x:c r="AH32" s="103"/>
      <x:c r="AI32" s="114"/>
      <x:c r="AJ32" s="102"/>
      <x:c r="AK32" s="102"/>
      <x:c r="AL32" s="102"/>
      <x:c r="AM32" s="102"/>
      <x:c r="AN32" s="102"/>
      <x:c r="AO32" s="102"/>
      <x:c r="AP32" s="102"/>
      <x:c r="AQ32" s="109" t="str">
        <x:f t="shared" si="17"/>
        <x:v>FAILED</x:v>
      </x:c>
      <x:c r="AR32" s="115"/>
      <x:c r="AS32" s="115"/>
      <x:c r="AT32" s="107"/>
      <x:c r="AU32" s="107"/>
      <x:c r="AV32" s="107"/>
      <x:c r="AW32" s="107"/>
      <x:c r="AX32" s="107"/>
      <x:c r="AY32" s="109" t="str">
        <x:f t="shared" si="18"/>
        <x:v>FAILED</x:v>
      </x:c>
      <x:c r="AZ32" s="115"/>
      <x:c r="BA32" s="115"/>
      <x:c r="BB32" s="107"/>
      <x:c r="BC32" s="107"/>
      <x:c r="BD32" s="107"/>
      <x:c r="BE32" s="107"/>
      <x:c r="BF32" s="107"/>
      <x:c r="BG32" s="109" t="str">
        <x:f t="shared" si="19"/>
        <x:v>FAILED</x:v>
      </x:c>
      <x:c r="BH32" s="117"/>
      <x:c r="BI32" s="102"/>
      <x:c r="BJ32" s="102"/>
      <x:c r="BK32" s="102"/>
      <x:c r="BL32" s="102"/>
      <x:c r="BM32" s="102"/>
      <x:c r="BN32" s="102"/>
      <x:c r="BO32" s="102"/>
      <x:c r="BP32" s="102"/>
      <x:c r="BQ32" s="109" t="str">
        <x:f t="shared" si="20"/>
        <x:v>FAILED</x:v>
      </x:c>
      <x:c r="BR32" s="115"/>
      <x:c r="BS32" s="115"/>
      <x:c r="BT32" s="107"/>
      <x:c r="BU32" s="107"/>
      <x:c r="BV32" s="107"/>
      <x:c r="BW32" s="107"/>
      <x:c r="BX32" s="107"/>
      <x:c r="BY32" s="109" t="str">
        <x:f t="shared" si="21"/>
        <x:v>FAILED</x:v>
      </x:c>
      <x:c r="BZ32" s="115"/>
      <x:c r="CA32" s="115"/>
      <x:c r="CB32" s="107"/>
      <x:c r="CC32" s="107"/>
      <x:c r="CD32" s="107"/>
      <x:c r="CE32" s="107"/>
      <x:c r="CF32" s="107"/>
      <x:c r="CG32" s="109" t="str">
        <x:f t="shared" si="22"/>
        <x:v>FAILED</x:v>
      </x:c>
      <x:c r="CH32" s="117"/>
    </x:row>
    <x:row r="33">
      <x:c r="A33" s="102" t="n">
        <x:f>IF(RECORD!A35="","",RECORD!A35)</x:f>
        <x:v>22</x:v>
      </x:c>
      <x:c r="B33" s="102" t="str">
        <x:f>IF(RECORD!B35="","",RECORD!B35)</x:f>
        <x:v>2024-00555</x:v>
      </x:c>
      <x:c r="C33" s="103" t="str">
        <x:f>IF(RECORD!C35="","",RECORD!C35)</x:f>
        <x:v>Robles, Elijah D.</x:v>
      </x:c>
      <x:c r="D33" s="104" t="n">
        <x:f t="array" ref="D33">IF(C33&lt;&gt;"",IF(F$7="SUMMER","N/A",_xlfn.IFS(D$10="TLA",RECORD!GO35,F$10="LECTURE","",TRUE(),"")),"")</x:f>
        <x:v>22</x:v>
      </x:c>
      <x:c r="E33" s="105">
        <x:f t="shared" si="0"/>
        <x:v>33.6</x:v>
      </x:c>
      <x:c r="F33" s="104" t="n">
        <x:f t="array" ref="F33">IF(C33&lt;&gt;"",IF(F$7="SUMMER","N/A",_xlfn.IFS(F$10="AT",RECORD!GI35,F$10="LECTURE",GRADES!AP33,TRUE(),"")),"")</x:f>
        <x:v>44</x:v>
      </x:c>
      <x:c r="G33" s="106">
        <x:f t="shared" si="1"/>
        <x:v>16.8</x:v>
      </x:c>
      <x:c r="H33" s="107" t="n">
        <x:f t="array" ref="H33">IF(C33&lt;&gt;"",IF(F$7="SUMMER","N/A",_xlfn.IFS(H$10="EXAM",RECORD!GJ35,H$10="OUTPUT",RECORD!GK35,H$10="LAB",BP33,TRUE(),"")),"")</x:f>
        <x:v>64</x:v>
      </x:c>
      <x:c r="I33" s="106">
        <x:f t="shared" si="2"/>
        <x:v>35.200000000000003</x:v>
      </x:c>
      <x:c r="J33" s="108">
        <x:f t="shared" si="3"/>
        <x:v>85.600000000000009</x:v>
      </x:c>
      <x:c r="K33" s="109" t="str">
        <x:f t="shared" si="4"/>
        <x:v>PASSED</x:v>
      </x:c>
      <x:c r="L33" s="110" t="n">
        <x:f t="array" ref="L33">IF(C33&lt;&gt;"",_xlfn.IFS(L$10="TLA",RECORD!GY35,N$10="LECTURE","",TRUE(),""),"")</x:f>
        <x:v>38</x:v>
      </x:c>
      <x:c r="M33" s="105">
        <x:f t="shared" si="5"/>
        <x:v>34.24</x:v>
      </x:c>
      <x:c r="N33" s="104" t="n">
        <x:f t="array" ref="N33">IF(C33&lt;&gt;"",_xlfn.IFS(N$10="AT",RECORD!GS35,N$10="LECTURE",AX33,TRUE(),""),"")</x:f>
        <x:v>36</x:v>
      </x:c>
      <x:c r="O33" s="106">
        <x:f t="shared" si="6"/>
        <x:v>16.639999999999997</x:v>
      </x:c>
      <x:c r="P33" s="107" t="n">
        <x:f t="array" ref="P33">IF(C33&lt;&gt;"",_xlfn.IFS(P$10="EXAM",RECORD!GT35,P$10="OUTPUT",RECORD!GU35,P$10="LAB",BX33,TRUE(),""),"")</x:f>
        <x:v>70</x:v>
      </x:c>
      <x:c r="Q33" s="106">
        <x:f t="shared" si="7"/>
        <x:v>32.799999999999997</x:v>
      </x:c>
      <x:c r="R33" s="108">
        <x:f t="shared" si="8"/>
        <x:v>83.679999999999993</x:v>
      </x:c>
      <x:c r="S33" s="109" t="str">
        <x:f t="shared" si="9"/>
        <x:v>PASSED</x:v>
      </x:c>
      <x:c r="T33" s="110" t="n">
        <x:f t="array" ref="T33">IF(C33&lt;&gt;"",_xlfn.IFS(T$10="TLA",RECORD!HI35,V$10="LECTURE","",TRUE(),""),"")</x:f>
        <x:v>15</x:v>
      </x:c>
      <x:c r="U33" s="105">
        <x:f t="shared" si="10"/>
        <x:v>34</x:v>
      </x:c>
      <x:c r="V33" s="104" t="n">
        <x:f t="array" ref="V33">IF(C33&lt;&gt;"",_xlfn.IFS(V$10="AT",RECORD!HC35,V$10="LECTURE",BF33,TRUE(),""),"")</x:f>
        <x:v>38</x:v>
      </x:c>
      <x:c r="W33" s="106">
        <x:f t="shared" si="11"/>
        <x:v>17.12</x:v>
      </x:c>
      <x:c r="X33" s="107" t="n">
        <x:f t="array" ref="X33">IF(C33&lt;&gt;"",_xlfn.IFS(X$10="EXAM",RECORD!HD35,X$10="OUTPUT",RECORD!HE35,X$10="LAB",CF33,TRUE(),""),"")</x:f>
        <x:v>80</x:v>
      </x:c>
      <x:c r="Y33" s="106">
        <x:f t="shared" si="12"/>
        <x:v>31.36</x:v>
      </x:c>
      <x:c r="Z33" s="108">
        <x:f t="shared" si="13"/>
        <x:v>82.48</x:v>
      </x:c>
      <x:c r="AA33" s="109" t="str">
        <x:f t="shared" si="14"/>
        <x:v>PASSED</x:v>
      </x:c>
      <x:c r="AB33" s="111">
        <x:f t="shared" si="15"/>
        <x:v>83.92</x:v>
      </x:c>
      <x:c r="AC33" s="109" t="str">
        <x:f t="shared" si="16"/>
        <x:v>PASSED</x:v>
      </x:c>
      <x:c r="AD33" s="112"/>
      <x:c r="AE33" s="102"/>
      <x:c r="AF33" s="113"/>
      <x:c r="AG33" s="112"/>
      <x:c r="AH33" s="103"/>
      <x:c r="AI33" s="114"/>
      <x:c r="AJ33" s="102"/>
      <x:c r="AK33" s="102"/>
      <x:c r="AL33" s="102"/>
      <x:c r="AM33" s="102"/>
      <x:c r="AN33" s="102"/>
      <x:c r="AO33" s="102"/>
      <x:c r="AP33" s="102"/>
      <x:c r="AQ33" s="109" t="str">
        <x:f t="shared" si="17"/>
        <x:v>FAILED</x:v>
      </x:c>
      <x:c r="AR33" s="115"/>
      <x:c r="AS33" s="115"/>
      <x:c r="AT33" s="107"/>
      <x:c r="AU33" s="107"/>
      <x:c r="AV33" s="107"/>
      <x:c r="AW33" s="107"/>
      <x:c r="AX33" s="107"/>
      <x:c r="AY33" s="109" t="str">
        <x:f t="shared" si="18"/>
        <x:v>FAILED</x:v>
      </x:c>
      <x:c r="AZ33" s="115"/>
      <x:c r="BA33" s="115"/>
      <x:c r="BB33" s="107"/>
      <x:c r="BC33" s="107"/>
      <x:c r="BD33" s="107"/>
      <x:c r="BE33" s="107"/>
      <x:c r="BF33" s="107"/>
      <x:c r="BG33" s="109" t="str">
        <x:f t="shared" si="19"/>
        <x:v>FAILED</x:v>
      </x:c>
      <x:c r="BH33" s="117"/>
      <x:c r="BI33" s="102"/>
      <x:c r="BJ33" s="102"/>
      <x:c r="BK33" s="102"/>
      <x:c r="BL33" s="102"/>
      <x:c r="BM33" s="102"/>
      <x:c r="BN33" s="102"/>
      <x:c r="BO33" s="102"/>
      <x:c r="BP33" s="102"/>
      <x:c r="BQ33" s="109" t="str">
        <x:f t="shared" si="20"/>
        <x:v>FAILED</x:v>
      </x:c>
      <x:c r="BR33" s="115"/>
      <x:c r="BS33" s="115"/>
      <x:c r="BT33" s="107"/>
      <x:c r="BU33" s="107"/>
      <x:c r="BV33" s="107"/>
      <x:c r="BW33" s="107"/>
      <x:c r="BX33" s="107"/>
      <x:c r="BY33" s="109" t="str">
        <x:f t="shared" si="21"/>
        <x:v>FAILED</x:v>
      </x:c>
      <x:c r="BZ33" s="115"/>
      <x:c r="CA33" s="115"/>
      <x:c r="CB33" s="107"/>
      <x:c r="CC33" s="107"/>
      <x:c r="CD33" s="107"/>
      <x:c r="CE33" s="107"/>
      <x:c r="CF33" s="107"/>
      <x:c r="CG33" s="109" t="str">
        <x:f t="shared" si="22"/>
        <x:v>FAILED</x:v>
      </x:c>
      <x:c r="CH33" s="117"/>
    </x:row>
    <x:row r="34">
      <x:c r="A34" s="102" t="n">
        <x:f>IF(RECORD!A36="","",RECORD!A36)</x:f>
        <x:v>23</x:v>
      </x:c>
      <x:c r="B34" s="102" t="str">
        <x:f>IF(RECORD!B36="","",RECORD!B36)</x:f>
        <x:v>2024-00577</x:v>
      </x:c>
      <x:c r="C34" s="103" t="str">
        <x:f>IF(RECORD!C36="","",RECORD!C36)</x:f>
        <x:v>Marquez, Jasmine B.</x:v>
      </x:c>
      <x:c r="D34" s="104" t="n">
        <x:f t="array" ref="D34">IF(C34&lt;&gt;"",IF(F$7="SUMMER","N/A",_xlfn.IFS(D$10="TLA",RECORD!GO36,F$10="LECTURE","",TRUE(),"")),"")</x:f>
        <x:v>29</x:v>
      </x:c>
      <x:c r="E34" s="105">
        <x:f t="shared" si="0"/>
        <x:v>39.200000000000003</x:v>
      </x:c>
      <x:c r="F34" s="104" t="n">
        <x:f t="array" ref="F34">IF(C34&lt;&gt;"",IF(F$7="SUMMER","N/A",_xlfn.IFS(F$10="AT",RECORD!GI36,F$10="LECTURE",GRADES!AP34,TRUE(),"")),"")</x:f>
        <x:v>57</x:v>
      </x:c>
      <x:c r="G34" s="106">
        <x:f t="shared" si="1"/>
        <x:v>19.399999999999999</x:v>
      </x:c>
      <x:c r="H34" s="107" t="n">
        <x:f t="array" ref="H34">IF(C34&lt;&gt;"",IF(F$7="SUMMER","N/A",_xlfn.IFS(H$10="EXAM",RECORD!GJ36,H$10="OUTPUT",RECORD!GK36,H$10="LAB",BP34,TRUE(),"")),"")</x:f>
        <x:v>79</x:v>
      </x:c>
      <x:c r="I34" s="106">
        <x:f t="shared" si="2"/>
        <x:v>39.700000000000003</x:v>
      </x:c>
      <x:c r="J34" s="108">
        <x:f t="shared" si="3"/>
        <x:v>98.300000000000011</x:v>
      </x:c>
      <x:c r="K34" s="109" t="str">
        <x:f t="shared" si="4"/>
        <x:v>PASSED</x:v>
      </x:c>
      <x:c r="L34" s="110" t="n">
        <x:f t="array" ref="L34">IF(C34&lt;&gt;"",_xlfn.IFS(L$10="TLA",RECORD!GY36,N$10="LECTURE","",TRUE(),""),"")</x:f>
        <x:v>49</x:v>
      </x:c>
      <x:c r="M34" s="105">
        <x:f t="shared" si="5"/>
        <x:v>39.520000000000003</x:v>
      </x:c>
      <x:c r="N34" s="104" t="n">
        <x:f t="array" ref="N34">IF(C34&lt;&gt;"",_xlfn.IFS(N$10="AT",RECORD!GS36,N$10="LECTURE",AX34,TRUE(),""),"")</x:f>
        <x:v>49</x:v>
      </x:c>
      <x:c r="O34" s="106">
        <x:f t="shared" si="6"/>
        <x:v>19.760000000000002</x:v>
      </x:c>
      <x:c r="P34" s="107" t="n">
        <x:f t="array" ref="P34">IF(C34&lt;&gt;"",_xlfn.IFS(P$10="EXAM",RECORD!GT36,P$10="OUTPUT",RECORD!GU36,P$10="LAB",BX34,TRUE(),""),"")</x:f>
        <x:v>98</x:v>
      </x:c>
      <x:c r="Q34" s="106">
        <x:f t="shared" si="7"/>
        <x:v>39.520000000000003</x:v>
      </x:c>
      <x:c r="R34" s="108">
        <x:f t="shared" si="8"/>
        <x:v>98.800000000000011</x:v>
      </x:c>
      <x:c r="S34" s="109" t="str">
        <x:f t="shared" si="9"/>
        <x:v>PASSED</x:v>
      </x:c>
      <x:c r="T34" s="110" t="n">
        <x:f t="array" ref="T34">IF(C34&lt;&gt;"",_xlfn.IFS(T$10="TLA",RECORD!HI36,V$10="LECTURE","",TRUE(),""),"")</x:f>
        <x:v>20</x:v>
      </x:c>
      <x:c r="U34" s="105">
        <x:f t="shared" si="10"/>
        <x:v>40</x:v>
      </x:c>
      <x:c r="V34" s="104" t="n">
        <x:f t="array" ref="V34">IF(C34&lt;&gt;"",_xlfn.IFS(V$10="AT",RECORD!HC36,V$10="LECTURE",BF34,TRUE(),""),"")</x:f>
        <x:v>50</x:v>
      </x:c>
      <x:c r="W34" s="106">
        <x:f t="shared" si="11"/>
        <x:v>20</x:v>
      </x:c>
      <x:c r="X34" s="107" t="n">
        <x:f t="array" ref="X34">IF(C34&lt;&gt;"",_xlfn.IFS(X$10="EXAM",RECORD!HD36,X$10="OUTPUT",RECORD!HE36,X$10="LAB",CF34,TRUE(),""),"")</x:f>
        <x:v>124</x:v>
      </x:c>
      <x:c r="Y34" s="106">
        <x:f t="shared" si="12"/>
        <x:v>39.808</x:v>
      </x:c>
      <x:c r="Z34" s="108">
        <x:f t="shared" si="13"/>
        <x:v>99.807999999999993</x:v>
      </x:c>
      <x:c r="AA34" s="109" t="str">
        <x:f t="shared" si="14"/>
        <x:v>PASSED</x:v>
      </x:c>
      <x:c r="AB34" s="111">
        <x:f t="shared" si="15"/>
        <x:v>98.969333333333338</x:v>
      </x:c>
      <x:c r="AC34" s="109" t="str">
        <x:f t="shared" si="16"/>
        <x:v>PASSED</x:v>
      </x:c>
      <x:c r="AD34" s="112"/>
      <x:c r="AE34" s="102"/>
      <x:c r="AF34" s="113"/>
      <x:c r="AG34" s="112"/>
      <x:c r="AH34" s="103"/>
      <x:c r="AI34" s="114"/>
      <x:c r="AJ34" s="102"/>
      <x:c r="AK34" s="102"/>
      <x:c r="AL34" s="102"/>
      <x:c r="AM34" s="102"/>
      <x:c r="AN34" s="102"/>
      <x:c r="AO34" s="102"/>
      <x:c r="AP34" s="102"/>
      <x:c r="AQ34" s="109" t="str">
        <x:f t="shared" si="17"/>
        <x:v>FAILED</x:v>
      </x:c>
      <x:c r="AR34" s="115"/>
      <x:c r="AS34" s="115"/>
      <x:c r="AT34" s="107"/>
      <x:c r="AU34" s="107"/>
      <x:c r="AV34" s="107"/>
      <x:c r="AW34" s="107"/>
      <x:c r="AX34" s="107"/>
      <x:c r="AY34" s="109" t="str">
        <x:f t="shared" si="18"/>
        <x:v>FAILED</x:v>
      </x:c>
      <x:c r="AZ34" s="115"/>
      <x:c r="BA34" s="115"/>
      <x:c r="BB34" s="107"/>
      <x:c r="BC34" s="107"/>
      <x:c r="BD34" s="107"/>
      <x:c r="BE34" s="107"/>
      <x:c r="BF34" s="107"/>
      <x:c r="BG34" s="109" t="str">
        <x:f t="shared" si="19"/>
        <x:v>FAILED</x:v>
      </x:c>
      <x:c r="BH34" s="117"/>
      <x:c r="BI34" s="102"/>
      <x:c r="BJ34" s="102"/>
      <x:c r="BK34" s="102"/>
      <x:c r="BL34" s="102"/>
      <x:c r="BM34" s="102"/>
      <x:c r="BN34" s="102"/>
      <x:c r="BO34" s="102"/>
      <x:c r="BP34" s="102"/>
      <x:c r="BQ34" s="109" t="str">
        <x:f t="shared" si="20"/>
        <x:v>FAILED</x:v>
      </x:c>
      <x:c r="BR34" s="115"/>
      <x:c r="BS34" s="115"/>
      <x:c r="BT34" s="107"/>
      <x:c r="BU34" s="107"/>
      <x:c r="BV34" s="107"/>
      <x:c r="BW34" s="107"/>
      <x:c r="BX34" s="107"/>
      <x:c r="BY34" s="109" t="str">
        <x:f t="shared" si="21"/>
        <x:v>FAILED</x:v>
      </x:c>
      <x:c r="BZ34" s="115"/>
      <x:c r="CA34" s="115"/>
      <x:c r="CB34" s="107"/>
      <x:c r="CC34" s="107"/>
      <x:c r="CD34" s="107"/>
      <x:c r="CE34" s="107"/>
      <x:c r="CF34" s="107"/>
      <x:c r="CG34" s="109" t="str">
        <x:f t="shared" si="22"/>
        <x:v>FAILED</x:v>
      </x:c>
      <x:c r="CH34" s="117"/>
    </x:row>
    <x:row r="35">
      <x:c r="A35" s="102" t="n">
        <x:f>IF(RECORD!A37="","",RECORD!A37)</x:f>
        <x:v>24</x:v>
      </x:c>
      <x:c r="B35" s="102" t="str">
        <x:f>IF(RECORD!B37="","",RECORD!B37)</x:f>
        <x:v>2024-00599</x:v>
      </x:c>
      <x:c r="C35" s="103" t="str">
        <x:f>IF(RECORD!C37="","",RECORD!C37)</x:f>
        <x:v>Velasco, Adrian V.</x:v>
      </x:c>
      <x:c r="D35" s="104" t="n">
        <x:f t="array" ref="D35">IF(C35&lt;&gt;"",IF(F$7="SUMMER","N/A",_xlfn.IFS(D$10="TLA",RECORD!GO37,F$10="LECTURE","",TRUE(),"")),"")</x:f>
        <x:v>21</x:v>
      </x:c>
      <x:c r="E35" s="105">
        <x:f t="shared" si="0"/>
        <x:v>32.799999999999997</x:v>
      </x:c>
      <x:c r="F35" s="104" t="n">
        <x:f t="array" ref="F35">IF(C35&lt;&gt;"",IF(F$7="SUMMER","N/A",_xlfn.IFS(F$10="AT",RECORD!GI37,F$10="LECTURE",GRADES!AP35,TRUE(),"")),"")</x:f>
        <x:v>42</x:v>
      </x:c>
      <x:c r="G35" s="106">
        <x:f t="shared" si="1"/>
        <x:v>16.399999999999999</x:v>
      </x:c>
      <x:c r="H35" s="107" t="n">
        <x:f t="array" ref="H35">IF(C35&lt;&gt;"",IF(F$7="SUMMER","N/A",_xlfn.IFS(H$10="EXAM",RECORD!GJ37,H$10="OUTPUT",RECORD!GK37,H$10="LAB",BP35,TRUE(),"")),"")</x:f>
        <x:v>60</x:v>
      </x:c>
      <x:c r="I35" s="106">
        <x:f t="shared" si="2"/>
        <x:v>34</x:v>
      </x:c>
      <x:c r="J35" s="108">
        <x:f t="shared" si="3"/>
        <x:v>83.199999999999989</x:v>
      </x:c>
      <x:c r="K35" s="109" t="str">
        <x:f t="shared" si="4"/>
        <x:v>PASSED</x:v>
      </x:c>
      <x:c r="L35" s="110" t="n">
        <x:f t="array" ref="L35">IF(C35&lt;&gt;"",_xlfn.IFS(L$10="TLA",RECORD!GY37,N$10="LECTURE","",TRUE(),""),"")</x:f>
        <x:v>37</x:v>
      </x:c>
      <x:c r="M35" s="105">
        <x:f t="shared" si="5"/>
        <x:v>33.76</x:v>
      </x:c>
      <x:c r="N35" s="104" t="n">
        <x:f t="array" ref="N35">IF(C35&lt;&gt;"",_xlfn.IFS(N$10="AT",RECORD!GS37,N$10="LECTURE",AX35,TRUE(),""),"")</x:f>
        <x:v>34</x:v>
      </x:c>
      <x:c r="O35" s="106">
        <x:f t="shared" si="6"/>
        <x:v>16.160000000000004</x:v>
      </x:c>
      <x:c r="P35" s="107" t="n">
        <x:f t="array" ref="P35">IF(C35&lt;&gt;"",_xlfn.IFS(P$10="EXAM",RECORD!GT37,P$10="OUTPUT",RECORD!GU37,P$10="LAB",BX35,TRUE(),""),"")</x:f>
        <x:v>68</x:v>
      </x:c>
      <x:c r="Q35" s="106">
        <x:f t="shared" si="7"/>
        <x:v>32.320000000000007</x:v>
      </x:c>
      <x:c r="R35" s="108">
        <x:f t="shared" si="8"/>
        <x:v>82.240000000000009</x:v>
      </x:c>
      <x:c r="S35" s="109" t="str">
        <x:f t="shared" si="9"/>
        <x:v>PASSED</x:v>
      </x:c>
      <x:c r="T35" s="110" t="n">
        <x:f t="array" ref="T35">IF(C35&lt;&gt;"",_xlfn.IFS(T$10="TLA",RECORD!HI37,V$10="LECTURE","",TRUE(),""),"")</x:f>
        <x:v>14</x:v>
      </x:c>
      <x:c r="U35" s="105">
        <x:f t="shared" si="10"/>
        <x:v>32.799999999999997</x:v>
      </x:c>
      <x:c r="V35" s="104" t="n">
        <x:f t="array" ref="V35">IF(C35&lt;&gt;"",_xlfn.IFS(V$10="AT",RECORD!HC37,V$10="LECTURE",BF35,TRUE(),""),"")</x:f>
        <x:v>36</x:v>
      </x:c>
      <x:c r="W35" s="106">
        <x:f t="shared" si="11"/>
        <x:v>16.639999999999997</x:v>
      </x:c>
      <x:c r="X35" s="107" t="n">
        <x:f t="array" ref="X35">IF(C35&lt;&gt;"",_xlfn.IFS(X$10="EXAM",RECORD!HD37,X$10="OUTPUT",RECORD!HE37,X$10="LAB",CF35,TRUE(),""),"")</x:f>
        <x:v>77</x:v>
      </x:c>
      <x:c r="Y35" s="106">
        <x:f t="shared" si="12"/>
        <x:v>30.784000000000006</x:v>
      </x:c>
      <x:c r="Z35" s="108">
        <x:f t="shared" si="13"/>
        <x:v>80.224000000000004</x:v>
      </x:c>
      <x:c r="AA35" s="109" t="str">
        <x:f t="shared" si="14"/>
        <x:v>PASSED</x:v>
      </x:c>
      <x:c r="AB35" s="111">
        <x:f t="shared" si="15"/>
        <x:v>81.887999999999991</x:v>
      </x:c>
      <x:c r="AC35" s="109" t="str">
        <x:f t="shared" si="16"/>
        <x:v>PASSED</x:v>
      </x:c>
      <x:c r="AD35" s="112"/>
      <x:c r="AE35" s="102"/>
      <x:c r="AF35" s="113"/>
      <x:c r="AG35" s="112"/>
      <x:c r="AH35" s="103"/>
      <x:c r="AI35" s="114"/>
      <x:c r="AJ35" s="102"/>
      <x:c r="AK35" s="102"/>
      <x:c r="AL35" s="102"/>
      <x:c r="AM35" s="102"/>
      <x:c r="AN35" s="102"/>
      <x:c r="AO35" s="102"/>
      <x:c r="AP35" s="102"/>
      <x:c r="AQ35" s="109" t="str">
        <x:f t="shared" si="17"/>
        <x:v>FAILED</x:v>
      </x:c>
      <x:c r="AR35" s="115"/>
      <x:c r="AS35" s="115"/>
      <x:c r="AT35" s="107"/>
      <x:c r="AU35" s="107"/>
      <x:c r="AV35" s="107"/>
      <x:c r="AW35" s="107"/>
      <x:c r="AX35" s="107"/>
      <x:c r="AY35" s="109" t="str">
        <x:f t="shared" si="18"/>
        <x:v>FAILED</x:v>
      </x:c>
      <x:c r="AZ35" s="115"/>
      <x:c r="BA35" s="115"/>
      <x:c r="BB35" s="107"/>
      <x:c r="BC35" s="107"/>
      <x:c r="BD35" s="107"/>
      <x:c r="BE35" s="107"/>
      <x:c r="BF35" s="107"/>
      <x:c r="BG35" s="109" t="str">
        <x:f t="shared" si="19"/>
        <x:v>FAILED</x:v>
      </x:c>
      <x:c r="BH35" s="117"/>
      <x:c r="BI35" s="102"/>
      <x:c r="BJ35" s="102"/>
      <x:c r="BK35" s="102"/>
      <x:c r="BL35" s="102"/>
      <x:c r="BM35" s="102"/>
      <x:c r="BN35" s="102"/>
      <x:c r="BO35" s="102"/>
      <x:c r="BP35" s="102"/>
      <x:c r="BQ35" s="109" t="str">
        <x:f t="shared" si="20"/>
        <x:v>FAILED</x:v>
      </x:c>
      <x:c r="BR35" s="115"/>
      <x:c r="BS35" s="115"/>
      <x:c r="BT35" s="107"/>
      <x:c r="BU35" s="107"/>
      <x:c r="BV35" s="107"/>
      <x:c r="BW35" s="107"/>
      <x:c r="BX35" s="107"/>
      <x:c r="BY35" s="109" t="str">
        <x:f t="shared" si="21"/>
        <x:v>FAILED</x:v>
      </x:c>
      <x:c r="BZ35" s="115"/>
      <x:c r="CA35" s="115"/>
      <x:c r="CB35" s="107"/>
      <x:c r="CC35" s="107"/>
      <x:c r="CD35" s="107"/>
      <x:c r="CE35" s="107"/>
      <x:c r="CF35" s="107"/>
      <x:c r="CG35" s="109" t="str">
        <x:f t="shared" si="22"/>
        <x:v>FAILED</x:v>
      </x:c>
      <x:c r="CH35" s="117"/>
    </x:row>
    <x:row r="36">
      <x:c r="A36" s="102" t="n">
        <x:f>IF(RECORD!A38="","",RECORD!A38)</x:f>
        <x:v>25</x:v>
      </x:c>
      <x:c r="B36" s="102" t="str">
        <x:f>IF(RECORD!B38="","",RECORD!B38)</x:f>
        <x:v>2024-00621</x:v>
      </x:c>
      <x:c r="C36" s="103" t="str">
        <x:f>IF(RECORD!C38="","",RECORD!C38)</x:f>
        <x:v>Palma, Gian K.</x:v>
      </x:c>
      <x:c r="D36" s="104" t="n">
        <x:f t="array" ref="D36">IF(C36&lt;&gt;"",IF(F$7="SUMMER","N/A",_xlfn.IFS(D$10="TLA",RECORD!GO38,F$10="LECTURE","",TRUE(),"")),"")</x:f>
        <x:v>24</x:v>
      </x:c>
      <x:c r="E36" s="105">
        <x:f t="shared" si="0"/>
        <x:v>35.200000000000003</x:v>
      </x:c>
      <x:c r="F36" s="104" t="n">
        <x:f t="array" ref="F36">IF(C36&lt;&gt;"",IF(F$7="SUMMER","N/A",_xlfn.IFS(F$10="AT",RECORD!GI38,F$10="LECTURE",GRADES!AP36,TRUE(),"")),"")</x:f>
        <x:v>48</x:v>
      </x:c>
      <x:c r="G36" s="106">
        <x:f t="shared" si="1"/>
        <x:v>17.600000000000001</x:v>
      </x:c>
      <x:c r="H36" s="107" t="n">
        <x:f t="array" ref="H36">IF(C36&lt;&gt;"",IF(F$7="SUMMER","N/A",_xlfn.IFS(H$10="EXAM",RECORD!GJ38,H$10="OUTPUT",RECORD!GK38,H$10="LAB",BP36,TRUE(),"")),"")</x:f>
        <x:v>70</x:v>
      </x:c>
      <x:c r="I36" s="106">
        <x:f t="shared" si="2"/>
        <x:v>37</x:v>
      </x:c>
      <x:c r="J36" s="108">
        <x:f t="shared" si="3"/>
        <x:v>89.800000000000011</x:v>
      </x:c>
      <x:c r="K36" s="109" t="str">
        <x:f t="shared" si="4"/>
        <x:v>PASSED</x:v>
      </x:c>
      <x:c r="L36" s="110" t="n">
        <x:f t="array" ref="L36">IF(C36&lt;&gt;"",_xlfn.IFS(L$10="TLA",RECORD!GY38,N$10="LECTURE","",TRUE(),""),"")</x:f>
        <x:v>41</x:v>
      </x:c>
      <x:c r="M36" s="105">
        <x:f t="shared" si="5"/>
        <x:v>35.679999999999993</x:v>
      </x:c>
      <x:c r="N36" s="104" t="n">
        <x:f t="array" ref="N36">IF(C36&lt;&gt;"",_xlfn.IFS(N$10="AT",RECORD!GS38,N$10="LECTURE",AX36,TRUE(),""),"")</x:f>
        <x:v>40</x:v>
      </x:c>
      <x:c r="O36" s="106">
        <x:f t="shared" si="6"/>
        <x:v>17.600000000000001</x:v>
      </x:c>
      <x:c r="P36" s="107" t="n">
        <x:f t="array" ref="P36">IF(C36&lt;&gt;"",_xlfn.IFS(P$10="EXAM",RECORD!GT38,P$10="OUTPUT",RECORD!GU38,P$10="LAB",BX36,TRUE(),""),"")</x:f>
        <x:v>80</x:v>
      </x:c>
      <x:c r="Q36" s="106">
        <x:f t="shared" si="7"/>
        <x:v>35.200000000000003</x:v>
      </x:c>
      <x:c r="R36" s="108">
        <x:f t="shared" si="8"/>
        <x:v>88.47999999999999</x:v>
      </x:c>
      <x:c r="S36" s="109" t="str">
        <x:f t="shared" si="9"/>
        <x:v>PASSED</x:v>
      </x:c>
      <x:c r="T36" s="110" t="n">
        <x:f t="array" ref="T36">IF(C36&lt;&gt;"",_xlfn.IFS(T$10="TLA",RECORD!HI38,V$10="LECTURE","",TRUE(),""),"")</x:f>
        <x:v>17</x:v>
      </x:c>
      <x:c r="U36" s="105">
        <x:f t="shared" si="10"/>
        <x:v>36.4</x:v>
      </x:c>
      <x:c r="V36" s="104" t="n">
        <x:f t="array" ref="V36">IF(C36&lt;&gt;"",_xlfn.IFS(V$10="AT",RECORD!HC38,V$10="LECTURE",BF36,TRUE(),""),"")</x:f>
        <x:v>43</x:v>
      </x:c>
      <x:c r="W36" s="106">
        <x:f t="shared" si="11"/>
        <x:v>18.32</x:v>
      </x:c>
      <x:c r="X36" s="107" t="n">
        <x:f t="array" ref="X36">IF(C36&lt;&gt;"",_xlfn.IFS(X$10="EXAM",RECORD!HD38,X$10="OUTPUT",RECORD!HE38,X$10="LAB",CF36,TRUE(),""),"")</x:f>
        <x:v>95</x:v>
      </x:c>
      <x:c r="Y36" s="106">
        <x:f t="shared" si="12"/>
        <x:v>34.24</x:v>
      </x:c>
      <x:c r="Z36" s="108">
        <x:f t="shared" si="13"/>
        <x:v>88.960000000000008</x:v>
      </x:c>
      <x:c r="AA36" s="109" t="str">
        <x:f t="shared" si="14"/>
        <x:v>PASSED</x:v>
      </x:c>
      <x:c r="AB36" s="111">
        <x:f t="shared" si="15"/>
        <x:v>89.08</x:v>
      </x:c>
      <x:c r="AC36" s="109" t="str">
        <x:f t="shared" si="16"/>
        <x:v>PASSED</x:v>
      </x:c>
      <x:c r="AD36" s="112"/>
      <x:c r="AE36" s="102"/>
      <x:c r="AF36" s="113"/>
      <x:c r="AG36" s="112"/>
      <x:c r="AH36" s="103"/>
      <x:c r="AI36" s="114"/>
      <x:c r="AJ36" s="102"/>
      <x:c r="AK36" s="102"/>
      <x:c r="AL36" s="102"/>
      <x:c r="AM36" s="102"/>
      <x:c r="AN36" s="102"/>
      <x:c r="AO36" s="102"/>
      <x:c r="AP36" s="102"/>
      <x:c r="AQ36" s="109" t="str">
        <x:f t="shared" si="17"/>
        <x:v>FAILED</x:v>
      </x:c>
      <x:c r="AR36" s="115"/>
      <x:c r="AS36" s="115"/>
      <x:c r="AT36" s="107"/>
      <x:c r="AU36" s="107"/>
      <x:c r="AV36" s="107"/>
      <x:c r="AW36" s="107"/>
      <x:c r="AX36" s="107"/>
      <x:c r="AY36" s="109" t="str">
        <x:f t="shared" si="18"/>
        <x:v>FAILED</x:v>
      </x:c>
      <x:c r="AZ36" s="115"/>
      <x:c r="BA36" s="115"/>
      <x:c r="BB36" s="107"/>
      <x:c r="BC36" s="107"/>
      <x:c r="BD36" s="107"/>
      <x:c r="BE36" s="107"/>
      <x:c r="BF36" s="107"/>
      <x:c r="BG36" s="109" t="str">
        <x:f t="shared" si="19"/>
        <x:v>FAILED</x:v>
      </x:c>
      <x:c r="BH36" s="117"/>
      <x:c r="BI36" s="102"/>
      <x:c r="BJ36" s="102"/>
      <x:c r="BK36" s="102"/>
      <x:c r="BL36" s="102"/>
      <x:c r="BM36" s="102"/>
      <x:c r="BN36" s="102"/>
      <x:c r="BO36" s="102"/>
      <x:c r="BP36" s="102"/>
      <x:c r="BQ36" s="109" t="str">
        <x:f t="shared" si="20"/>
        <x:v>FAILED</x:v>
      </x:c>
      <x:c r="BR36" s="115"/>
      <x:c r="BS36" s="115"/>
      <x:c r="BT36" s="107"/>
      <x:c r="BU36" s="107"/>
      <x:c r="BV36" s="107"/>
      <x:c r="BW36" s="107"/>
      <x:c r="BX36" s="107"/>
      <x:c r="BY36" s="109" t="str">
        <x:f t="shared" si="21"/>
        <x:v>FAILED</x:v>
      </x:c>
      <x:c r="BZ36" s="115"/>
      <x:c r="CA36" s="115"/>
      <x:c r="CB36" s="107"/>
      <x:c r="CC36" s="107"/>
      <x:c r="CD36" s="107"/>
      <x:c r="CE36" s="107"/>
      <x:c r="CF36" s="107"/>
      <x:c r="CG36" s="109" t="str">
        <x:f t="shared" si="22"/>
        <x:v>FAILED</x:v>
      </x:c>
      <x:c r="CH36" s="117"/>
    </x:row>
    <x:row r="37">
      <x:c r="A37" s="102" t="n">
        <x:f>IF(RECORD!A39="","",RECORD!A39)</x:f>
        <x:v>26</x:v>
      </x:c>
      <x:c r="B37" s="102" t="str">
        <x:f>IF(RECORD!B39="","",RECORD!B39)</x:f>
        <x:v>2024-00643</x:v>
      </x:c>
      <x:c r="C37" s="103" t="str">
        <x:f>IF(RECORD!C39="","",RECORD!C39)</x:f>
        <x:v>Torres, Sean T.</x:v>
      </x:c>
      <x:c r="D37" s="104" t="n">
        <x:f t="array" ref="D37">IF(C37&lt;&gt;"",IF(F$7="SUMMER","N/A",_xlfn.IFS(D$10="TLA",RECORD!GO39,F$10="LECTURE","",TRUE(),"")),"")</x:f>
        <x:v>25</x:v>
      </x:c>
      <x:c r="E37" s="105">
        <x:f t="shared" si="0"/>
        <x:v>36</x:v>
      </x:c>
      <x:c r="F37" s="104" t="n">
        <x:f t="array" ref="F37">IF(C37&lt;&gt;"",IF(F$7="SUMMER","N/A",_xlfn.IFS(F$10="AT",RECORD!GI39,F$10="LECTURE",GRADES!AP37,TRUE(),"")),"")</x:f>
        <x:v>50</x:v>
      </x:c>
      <x:c r="G37" s="106">
        <x:f t="shared" si="1"/>
        <x:v>18</x:v>
      </x:c>
      <x:c r="H37" s="107" t="n">
        <x:f t="array" ref="H37">IF(C37&lt;&gt;"",IF(F$7="SUMMER","N/A",_xlfn.IFS(H$10="EXAM",RECORD!GJ39,H$10="OUTPUT",RECORD!GK39,H$10="LAB",BP37,TRUE(),"")),"")</x:f>
        <x:v>73</x:v>
      </x:c>
      <x:c r="I37" s="106">
        <x:f t="shared" si="2"/>
        <x:v>37.9</x:v>
      </x:c>
      <x:c r="J37" s="108">
        <x:f t="shared" si="3"/>
        <x:v>91.9</x:v>
      </x:c>
      <x:c r="K37" s="109" t="str">
        <x:f t="shared" si="4"/>
        <x:v>PASSED</x:v>
      </x:c>
      <x:c r="L37" s="110" t="n">
        <x:f t="array" ref="L37">IF(C37&lt;&gt;"",_xlfn.IFS(L$10="TLA",RECORD!GY39,N$10="LECTURE","",TRUE(),""),"")</x:f>
        <x:v>43</x:v>
      </x:c>
      <x:c r="M37" s="105">
        <x:f t="shared" si="5"/>
        <x:v>36.64</x:v>
      </x:c>
      <x:c r="N37" s="104" t="n">
        <x:f t="array" ref="N37">IF(C37&lt;&gt;"",_xlfn.IFS(N$10="AT",RECORD!GS39,N$10="LECTURE",AX37,TRUE(),""),"")</x:f>
        <x:v>42</x:v>
      </x:c>
      <x:c r="O37" s="106">
        <x:f t="shared" si="6"/>
        <x:v>18.079999999999998</x:v>
      </x:c>
      <x:c r="P37" s="107" t="n">
        <x:f t="array" ref="P37">IF(C37&lt;&gt;"",_xlfn.IFS(P$10="EXAM",RECORD!GT39,P$10="OUTPUT",RECORD!GU39,P$10="LAB",BX37,TRUE(),""),"")</x:f>
        <x:v>83</x:v>
      </x:c>
      <x:c r="Q37" s="106">
        <x:f t="shared" si="7"/>
        <x:v>35.92</x:v>
      </x:c>
      <x:c r="R37" s="108">
        <x:f t="shared" si="8"/>
        <x:v>90.64</x:v>
      </x:c>
      <x:c r="S37" s="109" t="str">
        <x:f t="shared" si="9"/>
        <x:v>PASSED</x:v>
      </x:c>
      <x:c r="T37" s="110" t="n">
        <x:f t="array" ref="T37">IF(C37&lt;&gt;"",_xlfn.IFS(T$10="TLA",RECORD!HI39,V$10="LECTURE","",TRUE(),""),"")</x:f>
        <x:v>18</x:v>
      </x:c>
      <x:c r="U37" s="105">
        <x:f t="shared" si="10"/>
        <x:v>37.6</x:v>
      </x:c>
      <x:c r="V37" s="104" t="n">
        <x:f t="array" ref="V37">IF(C37&lt;&gt;"",_xlfn.IFS(V$10="AT",RECORD!HC39,V$10="LECTURE",BF37,TRUE(),""),"")</x:f>
        <x:v>45</x:v>
      </x:c>
      <x:c r="W37" s="106">
        <x:f t="shared" si="11"/>
        <x:v>18.8</x:v>
      </x:c>
      <x:c r="X37" s="107" t="n">
        <x:f t="array" ref="X37">IF(C37&lt;&gt;"",_xlfn.IFS(X$10="EXAM",RECORD!HD39,X$10="OUTPUT",RECORD!HE39,X$10="LAB",CF37,TRUE(),""),"")</x:f>
        <x:v>104</x:v>
      </x:c>
      <x:c r="Y37" s="106">
        <x:f t="shared" si="12"/>
        <x:v>35.967999999999989</x:v>
      </x:c>
      <x:c r="Z37" s="108">
        <x:f t="shared" si="13"/>
        <x:v>92.367999999999995</x:v>
      </x:c>
      <x:c r="AA37" s="109" t="str">
        <x:f t="shared" si="14"/>
        <x:v>PASSED</x:v>
      </x:c>
      <x:c r="AB37" s="111">
        <x:f t="shared" si="15"/>
        <x:v>91.63600000000001</x:v>
      </x:c>
      <x:c r="AC37" s="109" t="str">
        <x:f t="shared" si="16"/>
        <x:v>PASSED</x:v>
      </x:c>
      <x:c r="AD37" s="112"/>
      <x:c r="AE37" s="102"/>
      <x:c r="AF37" s="113"/>
      <x:c r="AG37" s="112"/>
      <x:c r="AH37" s="103"/>
      <x:c r="AI37" s="114"/>
      <x:c r="AJ37" s="102"/>
      <x:c r="AK37" s="102"/>
      <x:c r="AL37" s="102"/>
      <x:c r="AM37" s="102"/>
      <x:c r="AN37" s="102"/>
      <x:c r="AO37" s="102"/>
      <x:c r="AP37" s="102"/>
      <x:c r="AQ37" s="109" t="str">
        <x:f t="shared" si="17"/>
        <x:v>FAILED</x:v>
      </x:c>
      <x:c r="AR37" s="115"/>
      <x:c r="AS37" s="115"/>
      <x:c r="AT37" s="107"/>
      <x:c r="AU37" s="107"/>
      <x:c r="AV37" s="107"/>
      <x:c r="AW37" s="107"/>
      <x:c r="AX37" s="107"/>
      <x:c r="AY37" s="109" t="str">
        <x:f t="shared" si="18"/>
        <x:v>FAILED</x:v>
      </x:c>
      <x:c r="AZ37" s="115"/>
      <x:c r="BA37" s="115"/>
      <x:c r="BB37" s="107"/>
      <x:c r="BC37" s="107"/>
      <x:c r="BD37" s="107"/>
      <x:c r="BE37" s="107"/>
      <x:c r="BF37" s="107"/>
      <x:c r="BG37" s="109" t="str">
        <x:f t="shared" si="19"/>
        <x:v>FAILED</x:v>
      </x:c>
      <x:c r="BH37" s="117"/>
      <x:c r="BI37" s="102"/>
      <x:c r="BJ37" s="102"/>
      <x:c r="BK37" s="102"/>
      <x:c r="BL37" s="102"/>
      <x:c r="BM37" s="102"/>
      <x:c r="BN37" s="102"/>
      <x:c r="BO37" s="102"/>
      <x:c r="BP37" s="102"/>
      <x:c r="BQ37" s="109" t="str">
        <x:f t="shared" si="20"/>
        <x:v>FAILED</x:v>
      </x:c>
      <x:c r="BR37" s="115"/>
      <x:c r="BS37" s="115"/>
      <x:c r="BT37" s="107"/>
      <x:c r="BU37" s="107"/>
      <x:c r="BV37" s="107"/>
      <x:c r="BW37" s="107"/>
      <x:c r="BX37" s="107"/>
      <x:c r="BY37" s="109" t="str">
        <x:f t="shared" si="21"/>
        <x:v>FAILED</x:v>
      </x:c>
      <x:c r="BZ37" s="115"/>
      <x:c r="CA37" s="115"/>
      <x:c r="CB37" s="107"/>
      <x:c r="CC37" s="107"/>
      <x:c r="CD37" s="107"/>
      <x:c r="CE37" s="107"/>
      <x:c r="CF37" s="107"/>
      <x:c r="CG37" s="109" t="str">
        <x:f t="shared" si="22"/>
        <x:v>FAILED</x:v>
      </x:c>
      <x:c r="CH37" s="117"/>
    </x:row>
    <x:row r="38">
      <x:c r="A38" s="102" t="n">
        <x:f>IF(RECORD!A40="","",RECORD!A40)</x:f>
        <x:v>27</x:v>
      </x:c>
      <x:c r="B38" s="102" t="str">
        <x:f>IF(RECORD!B40="","",RECORD!B40)</x:f>
        <x:v>2024-00665</x:v>
      </x:c>
      <x:c r="C38" s="103" t="str">
        <x:f>IF(RECORD!C40="","",RECORD!C40)</x:f>
        <x:v>Santos, Xandra J.</x:v>
      </x:c>
      <x:c r="D38" s="104" t="n">
        <x:f t="array" ref="D38">IF(C38&lt;&gt;"",IF(F$7="SUMMER","N/A",_xlfn.IFS(D$10="TLA",RECORD!GO40,F$10="LECTURE","",TRUE(),"")),"")</x:f>
        <x:v>15</x:v>
      </x:c>
      <x:c r="E38" s="105">
        <x:f t="shared" si="0"/>
        <x:v>28</x:v>
      </x:c>
      <x:c r="F38" s="104" t="n">
        <x:f t="array" ref="F38">IF(C38&lt;&gt;"",IF(F$7="SUMMER","N/A",_xlfn.IFS(F$10="AT",RECORD!GI40,F$10="LECTURE",GRADES!AP38,TRUE(),"")),"")</x:f>
        <x:v>30</x:v>
      </x:c>
      <x:c r="G38" s="106">
        <x:f t="shared" si="1"/>
        <x:v>14</x:v>
      </x:c>
      <x:c r="H38" s="107" t="n">
        <x:f t="array" ref="H38">IF(C38&lt;&gt;"",IF(F$7="SUMMER","N/A",_xlfn.IFS(H$10="EXAM",RECORD!GJ40,H$10="OUTPUT",RECORD!GK40,H$10="LAB",BP38,TRUE(),"")),"")</x:f>
        <x:v>48</x:v>
      </x:c>
      <x:c r="I38" s="106">
        <x:f t="shared" si="2"/>
        <x:v>30.4</x:v>
      </x:c>
      <x:c r="J38" s="108">
        <x:f t="shared" si="3"/>
        <x:v>72.400000000000006</x:v>
      </x:c>
      <x:c r="K38" s="109" t="str">
        <x:f t="shared" si="4"/>
        <x:v>FAILED</x:v>
      </x:c>
      <x:c r="L38" s="110" t="n">
        <x:f t="array" ref="L38">IF(C38&lt;&gt;"",_xlfn.IFS(L$10="TLA",RECORD!GY40,N$10="LECTURE","",TRUE(),""),"")</x:f>
        <x:v>25</x:v>
      </x:c>
      <x:c r="M38" s="105">
        <x:f t="shared" si="5"/>
        <x:v>28</x:v>
      </x:c>
      <x:c r="N38" s="104" t="n">
        <x:f t="array" ref="N38">IF(C38&lt;&gt;"",_xlfn.IFS(N$10="AT",RECORD!GS40,N$10="LECTURE",AX38,TRUE(),""),"")</x:f>
        <x:v>22</x:v>
      </x:c>
      <x:c r="O38" s="106">
        <x:f t="shared" si="6"/>
        <x:v>13.28</x:v>
      </x:c>
      <x:c r="P38" s="107" t="n">
        <x:f t="array" ref="P38">IF(C38&lt;&gt;"",_xlfn.IFS(P$10="EXAM",RECORD!GT40,P$10="OUTPUT",RECORD!GU40,P$10="LAB",BX38,TRUE(),""),"")</x:f>
        <x:v>50</x:v>
      </x:c>
      <x:c r="Q38" s="106">
        <x:f t="shared" si="7"/>
        <x:v>28</x:v>
      </x:c>
      <x:c r="R38" s="108">
        <x:f t="shared" si="8"/>
        <x:v>69.28</x:v>
      </x:c>
      <x:c r="S38" s="109" t="str">
        <x:f t="shared" si="9"/>
        <x:v>FAILED</x:v>
      </x:c>
      <x:c r="T38" s="110" t="n">
        <x:f t="array" ref="T38">IF(C38&lt;&gt;"",_xlfn.IFS(T$10="TLA",RECORD!HI40,V$10="LECTURE","",TRUE(),""),"")</x:f>
        <x:v>10</x:v>
      </x:c>
      <x:c r="U38" s="105">
        <x:f t="shared" si="10"/>
        <x:v>28</x:v>
      </x:c>
      <x:c r="V38" s="104" t="n">
        <x:f t="array" ref="V38">IF(C38&lt;&gt;"",_xlfn.IFS(V$10="AT",RECORD!HC40,V$10="LECTURE",BF38,TRUE(),""),"")</x:f>
        <x:v>25</x:v>
      </x:c>
      <x:c r="W38" s="106">
        <x:f t="shared" si="11"/>
        <x:v>14</x:v>
      </x:c>
      <x:c r="X38" s="107" t="n">
        <x:f t="array" ref="X38">IF(C38&lt;&gt;"",_xlfn.IFS(X$10="EXAM",RECORD!HD40,X$10="OUTPUT",RECORD!HE40,X$10="LAB",CF38,TRUE(),""),"")</x:f>
        <x:v>57</x:v>
      </x:c>
      <x:c r="Y38" s="106">
        <x:f t="shared" si="12"/>
        <x:v>26.944000000000003</x:v>
      </x:c>
      <x:c r="Z38" s="108">
        <x:f t="shared" si="13"/>
        <x:v>68.944000000000003</x:v>
      </x:c>
      <x:c r="AA38" s="109" t="str">
        <x:f t="shared" si="14"/>
        <x:v>FAILED</x:v>
      </x:c>
      <x:c r="AB38" s="111">
        <x:f t="shared" si="15"/>
        <x:v>70.208000000000013</x:v>
      </x:c>
      <x:c r="AC38" s="109" t="str">
        <x:f t="shared" si="16"/>
        <x:v>FAILED</x:v>
      </x:c>
      <x:c r="AD38" s="112"/>
      <x:c r="AE38" s="102"/>
      <x:c r="AF38" s="113"/>
      <x:c r="AG38" s="112"/>
      <x:c r="AH38" s="103"/>
      <x:c r="AI38" s="114"/>
      <x:c r="AJ38" s="102"/>
      <x:c r="AK38" s="102"/>
      <x:c r="AL38" s="102"/>
      <x:c r="AM38" s="102"/>
      <x:c r="AN38" s="102"/>
      <x:c r="AO38" s="102"/>
      <x:c r="AP38" s="102"/>
      <x:c r="AQ38" s="109" t="str">
        <x:f t="shared" si="17"/>
        <x:v>FAILED</x:v>
      </x:c>
      <x:c r="AR38" s="115"/>
      <x:c r="AS38" s="115"/>
      <x:c r="AT38" s="107"/>
      <x:c r="AU38" s="107"/>
      <x:c r="AV38" s="107"/>
      <x:c r="AW38" s="107"/>
      <x:c r="AX38" s="107"/>
      <x:c r="AY38" s="109" t="str">
        <x:f t="shared" si="18"/>
        <x:v>FAILED</x:v>
      </x:c>
      <x:c r="AZ38" s="115"/>
      <x:c r="BA38" s="115"/>
      <x:c r="BB38" s="107"/>
      <x:c r="BC38" s="107"/>
      <x:c r="BD38" s="107"/>
      <x:c r="BE38" s="107"/>
      <x:c r="BF38" s="107"/>
      <x:c r="BG38" s="109" t="str">
        <x:f t="shared" si="19"/>
        <x:v>FAILED</x:v>
      </x:c>
      <x:c r="BH38" s="117"/>
      <x:c r="BI38" s="102"/>
      <x:c r="BJ38" s="102"/>
      <x:c r="BK38" s="102"/>
      <x:c r="BL38" s="102"/>
      <x:c r="BM38" s="102"/>
      <x:c r="BN38" s="102"/>
      <x:c r="BO38" s="102"/>
      <x:c r="BP38" s="102"/>
      <x:c r="BQ38" s="109" t="str">
        <x:f t="shared" si="20"/>
        <x:v>FAILED</x:v>
      </x:c>
      <x:c r="BR38" s="115"/>
      <x:c r="BS38" s="115"/>
      <x:c r="BT38" s="107"/>
      <x:c r="BU38" s="107"/>
      <x:c r="BV38" s="107"/>
      <x:c r="BW38" s="107"/>
      <x:c r="BX38" s="107"/>
      <x:c r="BY38" s="109" t="str">
        <x:f t="shared" si="21"/>
        <x:v>FAILED</x:v>
      </x:c>
      <x:c r="BZ38" s="115"/>
      <x:c r="CA38" s="115"/>
      <x:c r="CB38" s="107"/>
      <x:c r="CC38" s="107"/>
      <x:c r="CD38" s="107"/>
      <x:c r="CE38" s="107"/>
      <x:c r="CF38" s="107"/>
      <x:c r="CG38" s="109" t="str">
        <x:f t="shared" si="22"/>
        <x:v>FAILED</x:v>
      </x:c>
      <x:c r="CH38" s="117"/>
    </x:row>
    <x:row r="39">
      <x:c r="A39" s="102" t="n">
        <x:f>IF(RECORD!A41="","",RECORD!A41)</x:f>
        <x:v>28</x:v>
      </x:c>
      <x:c r="B39" s="102" t="str">
        <x:f>IF(RECORD!B41="","",RECORD!B41)</x:f>
        <x:v>2024-00687</x:v>
      </x:c>
      <x:c r="C39" s="103" t="str">
        <x:f>IF(RECORD!C41="","",RECORD!C41)</x:f>
        <x:v>Alvarez, Ivan A.</x:v>
      </x:c>
      <x:c r="D39" s="104" t="n">
        <x:f t="array" ref="D39">IF(C39&lt;&gt;"",IF(F$7="SUMMER","N/A",_xlfn.IFS(D$10="TLA",RECORD!GO41,F$10="LECTURE","",TRUE(),"")),"")</x:f>
        <x:v>26</x:v>
      </x:c>
      <x:c r="E39" s="105">
        <x:f t="shared" si="0"/>
        <x:v>36.799999999999997</x:v>
      </x:c>
      <x:c r="F39" s="104" t="n">
        <x:f t="array" ref="F39">IF(C39&lt;&gt;"",IF(F$7="SUMMER","N/A",_xlfn.IFS(F$10="AT",RECORD!GI41,F$10="LECTURE",GRADES!AP39,TRUE(),"")),"")</x:f>
        <x:v>51</x:v>
      </x:c>
      <x:c r="G39" s="106">
        <x:f t="shared" si="1"/>
        <x:v>18.2</x:v>
      </x:c>
      <x:c r="H39" s="107" t="n">
        <x:f t="array" ref="H39">IF(C39&lt;&gt;"",IF(F$7="SUMMER","N/A",_xlfn.IFS(H$10="EXAM",RECORD!GJ41,H$10="OUTPUT",RECORD!GK41,H$10="LAB",BP39,TRUE(),"")),"")</x:f>
        <x:v>74</x:v>
      </x:c>
      <x:c r="I39" s="106">
        <x:f t="shared" si="2"/>
        <x:v>38.200000000000003</x:v>
      </x:c>
      <x:c r="J39" s="108">
        <x:f t="shared" si="3"/>
        <x:v>93.2</x:v>
      </x:c>
      <x:c r="K39" s="109" t="str">
        <x:f t="shared" si="4"/>
        <x:v>PASSED</x:v>
      </x:c>
      <x:c r="L39" s="110" t="n">
        <x:f t="array" ref="L39">IF(C39&lt;&gt;"",_xlfn.IFS(L$10="TLA",RECORD!GY41,N$10="LECTURE","",TRUE(),""),"")</x:f>
        <x:v>44</x:v>
      </x:c>
      <x:c r="M39" s="105">
        <x:f t="shared" si="5"/>
        <x:v>37.119999999999997</x:v>
      </x:c>
      <x:c r="N39" s="104" t="n">
        <x:f t="array" ref="N39">IF(C39&lt;&gt;"",_xlfn.IFS(N$10="AT",RECORD!GS41,N$10="LECTURE",AX39,TRUE(),""),"")</x:f>
        <x:v>43</x:v>
      </x:c>
      <x:c r="O39" s="106">
        <x:f t="shared" si="6"/>
        <x:v>18.32</x:v>
      </x:c>
      <x:c r="P39" s="107" t="n">
        <x:f t="array" ref="P39">IF(C39&lt;&gt;"",_xlfn.IFS(P$10="EXAM",RECORD!GT41,P$10="OUTPUT",RECORD!GU41,P$10="LAB",BX39,TRUE(),""),"")</x:f>
        <x:v>86</x:v>
      </x:c>
      <x:c r="Q39" s="106">
        <x:f t="shared" si="7"/>
        <x:v>36.64</x:v>
      </x:c>
      <x:c r="R39" s="108">
        <x:f t="shared" si="8"/>
        <x:v>92.08</x:v>
      </x:c>
      <x:c r="S39" s="109" t="str">
        <x:f t="shared" si="9"/>
        <x:v>PASSED</x:v>
      </x:c>
      <x:c r="T39" s="110" t="n">
        <x:f t="array" ref="T39">IF(C39&lt;&gt;"",_xlfn.IFS(T$10="TLA",RECORD!HI41,V$10="LECTURE","",TRUE(),""),"")</x:f>
        <x:v>18</x:v>
      </x:c>
      <x:c r="U39" s="105">
        <x:f t="shared" si="10"/>
        <x:v>37.6</x:v>
      </x:c>
      <x:c r="V39" s="104" t="n">
        <x:f t="array" ref="V39">IF(C39&lt;&gt;"",_xlfn.IFS(V$10="AT",RECORD!HC41,V$10="LECTURE",BF39,TRUE(),""),"")</x:f>
        <x:v>45</x:v>
      </x:c>
      <x:c r="W39" s="106">
        <x:f t="shared" si="11"/>
        <x:v>18.8</x:v>
      </x:c>
      <x:c r="X39" s="107" t="n">
        <x:f t="array" ref="X39">IF(C39&lt;&gt;"",_xlfn.IFS(X$10="EXAM",RECORD!HD41,X$10="OUTPUT",RECORD!HE41,X$10="LAB",CF39,TRUE(),""),"")</x:f>
        <x:v>105</x:v>
      </x:c>
      <x:c r="Y39" s="106">
        <x:f t="shared" si="12"/>
        <x:v>36.159999999999997</x:v>
      </x:c>
      <x:c r="Z39" s="108">
        <x:f t="shared" si="13"/>
        <x:v>92.56</x:v>
      </x:c>
      <x:c r="AA39" s="109" t="str">
        <x:f t="shared" si="14"/>
        <x:v>PASSED</x:v>
      </x:c>
      <x:c r="AB39" s="111">
        <x:f t="shared" si="15"/>
        <x:v>92.613333333333344</x:v>
      </x:c>
      <x:c r="AC39" s="109" t="str">
        <x:f t="shared" si="16"/>
        <x:v>PASSED</x:v>
      </x:c>
      <x:c r="AD39" s="112"/>
      <x:c r="AE39" s="102"/>
      <x:c r="AF39" s="113"/>
      <x:c r="AG39" s="112"/>
      <x:c r="AH39" s="103"/>
      <x:c r="AI39" s="114"/>
      <x:c r="AJ39" s="102"/>
      <x:c r="AK39" s="102"/>
      <x:c r="AL39" s="102"/>
      <x:c r="AM39" s="102"/>
      <x:c r="AN39" s="102"/>
      <x:c r="AO39" s="102"/>
      <x:c r="AP39" s="102"/>
      <x:c r="AQ39" s="109" t="str">
        <x:f t="shared" si="17"/>
        <x:v>FAILED</x:v>
      </x:c>
      <x:c r="AR39" s="115"/>
      <x:c r="AS39" s="115"/>
      <x:c r="AT39" s="107"/>
      <x:c r="AU39" s="107"/>
      <x:c r="AV39" s="107"/>
      <x:c r="AW39" s="107"/>
      <x:c r="AX39" s="107"/>
      <x:c r="AY39" s="109" t="str">
        <x:f t="shared" si="18"/>
        <x:v>FAILED</x:v>
      </x:c>
      <x:c r="AZ39" s="115"/>
      <x:c r="BA39" s="115"/>
      <x:c r="BB39" s="107"/>
      <x:c r="BC39" s="107"/>
      <x:c r="BD39" s="107"/>
      <x:c r="BE39" s="107"/>
      <x:c r="BF39" s="107"/>
      <x:c r="BG39" s="109" t="str">
        <x:f t="shared" si="19"/>
        <x:v>FAILED</x:v>
      </x:c>
      <x:c r="BH39" s="117"/>
      <x:c r="BI39" s="102"/>
      <x:c r="BJ39" s="102"/>
      <x:c r="BK39" s="102"/>
      <x:c r="BL39" s="102"/>
      <x:c r="BM39" s="102"/>
      <x:c r="BN39" s="102"/>
      <x:c r="BO39" s="102"/>
      <x:c r="BP39" s="102"/>
      <x:c r="BQ39" s="109" t="str">
        <x:f t="shared" si="20"/>
        <x:v>FAILED</x:v>
      </x:c>
      <x:c r="BR39" s="115"/>
      <x:c r="BS39" s="115"/>
      <x:c r="BT39" s="107"/>
      <x:c r="BU39" s="107"/>
      <x:c r="BV39" s="107"/>
      <x:c r="BW39" s="107"/>
      <x:c r="BX39" s="107"/>
      <x:c r="BY39" s="109" t="str">
        <x:f t="shared" si="21"/>
        <x:v>FAILED</x:v>
      </x:c>
      <x:c r="BZ39" s="115"/>
      <x:c r="CA39" s="115"/>
      <x:c r="CB39" s="107"/>
      <x:c r="CC39" s="107"/>
      <x:c r="CD39" s="107"/>
      <x:c r="CE39" s="107"/>
      <x:c r="CF39" s="107"/>
      <x:c r="CG39" s="109" t="str">
        <x:f t="shared" si="22"/>
        <x:v>FAILED</x:v>
      </x:c>
      <x:c r="CH39" s="117"/>
    </x:row>
    <x:row r="40">
      <x:c r="A40" s="102" t="n">
        <x:f>IF(RECORD!A42="","",RECORD!A42)</x:f>
        <x:v>29</x:v>
      </x:c>
      <x:c r="B40" s="102" t="str">
        <x:f>IF(RECORD!B42="","",RECORD!B42)</x:f>
        <x:v>2024-00709</x:v>
      </x:c>
      <x:c r="C40" s="103" t="str">
        <x:f>IF(RECORD!C42="","",RECORD!C42)</x:f>
        <x:v>Pascual, Uriel V.</x:v>
      </x:c>
      <x:c r="D40" s="104" t="n">
        <x:f t="array" ref="D40">IF(C40&lt;&gt;"",IF(F$7="SUMMER","N/A",_xlfn.IFS(D$10="TLA",RECORD!GO42,F$10="LECTURE","",TRUE(),"")),"")</x:f>
        <x:v>28</x:v>
      </x:c>
      <x:c r="E40" s="105">
        <x:f t="shared" si="0"/>
        <x:v>38.4</x:v>
      </x:c>
      <x:c r="F40" s="104" t="n">
        <x:f t="array" ref="F40">IF(C40&lt;&gt;"",IF(F$7="SUMMER","N/A",_xlfn.IFS(F$10="AT",RECORD!GI42,F$10="LECTURE",GRADES!AP40,TRUE(),"")),"")</x:f>
        <x:v>56</x:v>
      </x:c>
      <x:c r="G40" s="106">
        <x:f t="shared" si="1"/>
        <x:v>19.2</x:v>
      </x:c>
      <x:c r="H40" s="107" t="n">
        <x:f t="array" ref="H40">IF(C40&lt;&gt;"",IF(F$7="SUMMER","N/A",_xlfn.IFS(H$10="EXAM",RECORD!GJ42,H$10="OUTPUT",RECORD!GK42,H$10="LAB",BP40,TRUE(),"")),"")</x:f>
        <x:v>77</x:v>
      </x:c>
      <x:c r="I40" s="106">
        <x:f t="shared" si="2"/>
        <x:v>39.1</x:v>
      </x:c>
      <x:c r="J40" s="108">
        <x:f t="shared" si="3"/>
        <x:v>96.699999999999989</x:v>
      </x:c>
      <x:c r="K40" s="109" t="str">
        <x:f t="shared" si="4"/>
        <x:v>PASSED</x:v>
      </x:c>
      <x:c r="L40" s="110" t="n">
        <x:f t="array" ref="L40">IF(C40&lt;&gt;"",_xlfn.IFS(L$10="TLA",RECORD!GY42,N$10="LECTURE","",TRUE(),""),"")</x:f>
        <x:v>47</x:v>
      </x:c>
      <x:c r="M40" s="105">
        <x:f t="shared" si="5"/>
        <x:v>38.56</x:v>
      </x:c>
      <x:c r="N40" s="104" t="n">
        <x:f t="array" ref="N40">IF(C40&lt;&gt;"",_xlfn.IFS(N$10="AT",RECORD!GS42,N$10="LECTURE",AX40,TRUE(),""),"")</x:f>
        <x:v>47</x:v>
      </x:c>
      <x:c r="O40" s="106">
        <x:f t="shared" si="6"/>
        <x:v>19.28</x:v>
      </x:c>
      <x:c r="P40" s="107" t="n">
        <x:f t="array" ref="P40">IF(C40&lt;&gt;"",_xlfn.IFS(P$10="EXAM",RECORD!GT42,P$10="OUTPUT",RECORD!GU42,P$10="LAB",BX40,TRUE(),""),"")</x:f>
        <x:v>92</x:v>
      </x:c>
      <x:c r="Q40" s="106">
        <x:f t="shared" si="7"/>
        <x:v>38.08</x:v>
      </x:c>
      <x:c r="R40" s="108">
        <x:f t="shared" si="8"/>
        <x:v>95.92</x:v>
      </x:c>
      <x:c r="S40" s="109" t="str">
        <x:f t="shared" si="9"/>
        <x:v>PASSED</x:v>
      </x:c>
      <x:c r="T40" s="110" t="n">
        <x:f t="array" ref="T40">IF(C40&lt;&gt;"",_xlfn.IFS(T$10="TLA",RECORD!HI42,V$10="LECTURE","",TRUE(),""),"")</x:f>
        <x:v>19</x:v>
      </x:c>
      <x:c r="U40" s="105">
        <x:f t="shared" si="10"/>
        <x:v>38.799999999999997</x:v>
      </x:c>
      <x:c r="V40" s="104" t="n">
        <x:f t="array" ref="V40">IF(C40&lt;&gt;"",_xlfn.IFS(V$10="AT",RECORD!HC42,V$10="LECTURE",BF40,TRUE(),""),"")</x:f>
        <x:v>48</x:v>
      </x:c>
      <x:c r="W40" s="106">
        <x:f t="shared" si="11"/>
        <x:v>19.52</x:v>
      </x:c>
      <x:c r="X40" s="107" t="n">
        <x:f t="array" ref="X40">IF(C40&lt;&gt;"",_xlfn.IFS(X$10="EXAM",RECORD!HD42,X$10="OUTPUT",RECORD!HE42,X$10="LAB",CF40,TRUE(),""),"")</x:f>
        <x:v>116</x:v>
      </x:c>
      <x:c r="Y40" s="106">
        <x:f t="shared" si="12"/>
        <x:v>38.272000000000006</x:v>
      </x:c>
      <x:c r="Z40" s="108">
        <x:f t="shared" si="13"/>
        <x:v>96.591999999999999</x:v>
      </x:c>
      <x:c r="AA40" s="109" t="str">
        <x:f t="shared" si="14"/>
        <x:v>PASSED</x:v>
      </x:c>
      <x:c r="AB40" s="111">
        <x:f t="shared" si="15"/>
        <x:v>96.403999999999996</x:v>
      </x:c>
      <x:c r="AC40" s="109" t="str">
        <x:f t="shared" si="16"/>
        <x:v>PASSED</x:v>
      </x:c>
      <x:c r="AD40" s="112"/>
      <x:c r="AE40" s="102"/>
      <x:c r="AF40" s="113"/>
      <x:c r="AG40" s="112"/>
      <x:c r="AH40" s="103"/>
      <x:c r="AI40" s="114"/>
      <x:c r="AJ40" s="102"/>
      <x:c r="AK40" s="102"/>
      <x:c r="AL40" s="102"/>
      <x:c r="AM40" s="102"/>
      <x:c r="AN40" s="102"/>
      <x:c r="AO40" s="102"/>
      <x:c r="AP40" s="102"/>
      <x:c r="AQ40" s="109" t="str">
        <x:f t="shared" si="17"/>
        <x:v>FAILED</x:v>
      </x:c>
      <x:c r="AR40" s="115"/>
      <x:c r="AS40" s="115"/>
      <x:c r="AT40" s="107"/>
      <x:c r="AU40" s="107"/>
      <x:c r="AV40" s="107"/>
      <x:c r="AW40" s="107"/>
      <x:c r="AX40" s="107"/>
      <x:c r="AY40" s="109" t="str">
        <x:f t="shared" si="18"/>
        <x:v>FAILED</x:v>
      </x:c>
      <x:c r="AZ40" s="115"/>
      <x:c r="BA40" s="115"/>
      <x:c r="BB40" s="107"/>
      <x:c r="BC40" s="107"/>
      <x:c r="BD40" s="107"/>
      <x:c r="BE40" s="107"/>
      <x:c r="BF40" s="107"/>
      <x:c r="BG40" s="109" t="str">
        <x:f t="shared" si="19"/>
        <x:v>FAILED</x:v>
      </x:c>
      <x:c r="BH40" s="117"/>
      <x:c r="BI40" s="102"/>
      <x:c r="BJ40" s="102"/>
      <x:c r="BK40" s="102"/>
      <x:c r="BL40" s="102"/>
      <x:c r="BM40" s="102"/>
      <x:c r="BN40" s="102"/>
      <x:c r="BO40" s="102"/>
      <x:c r="BP40" s="102"/>
      <x:c r="BQ40" s="109" t="str">
        <x:f t="shared" si="20"/>
        <x:v>FAILED</x:v>
      </x:c>
      <x:c r="BR40" s="115"/>
      <x:c r="BS40" s="115"/>
      <x:c r="BT40" s="107"/>
      <x:c r="BU40" s="107"/>
      <x:c r="BV40" s="107"/>
      <x:c r="BW40" s="107"/>
      <x:c r="BX40" s="107"/>
      <x:c r="BY40" s="109" t="str">
        <x:f t="shared" si="21"/>
        <x:v>FAILED</x:v>
      </x:c>
      <x:c r="BZ40" s="115"/>
      <x:c r="CA40" s="115"/>
      <x:c r="CB40" s="107"/>
      <x:c r="CC40" s="107"/>
      <x:c r="CD40" s="107"/>
      <x:c r="CE40" s="107"/>
      <x:c r="CF40" s="107"/>
      <x:c r="CG40" s="109" t="str">
        <x:f t="shared" si="22"/>
        <x:v>FAILED</x:v>
      </x:c>
      <x:c r="CH40" s="117"/>
    </x:row>
    <x:row r="41">
      <x:c r="A41" s="102" t="n">
        <x:f>IF(RECORD!A43="","",RECORD!A43)</x:f>
        <x:v>30</x:v>
      </x:c>
      <x:c r="B41" s="102" t="str">
        <x:f>IF(RECORD!B43="","",RECORD!B43)</x:f>
        <x:v>2024-00731</x:v>
      </x:c>
      <x:c r="C41" s="103" t="str">
        <x:f>IF(RECORD!C43="","",RECORD!C43)</x:f>
        <x:v>De Guzman, Patricia O.</x:v>
      </x:c>
      <x:c r="D41" s="104" t="n">
        <x:f t="array" ref="D41">IF(C41&lt;&gt;"",IF(F$7="SUMMER","N/A",_xlfn.IFS(D$10="TLA",RECORD!GO43,F$10="LECTURE","",TRUE(),"")),"")</x:f>
        <x:v>23</x:v>
      </x:c>
      <x:c r="E41" s="105">
        <x:f t="shared" si="0"/>
        <x:v>34.4</x:v>
      </x:c>
      <x:c r="F41" s="104" t="n">
        <x:f t="array" ref="F41">IF(C41&lt;&gt;"",IF(F$7="SUMMER","N/A",_xlfn.IFS(F$10="AT",RECORD!GI43,F$10="LECTURE",GRADES!AP41,TRUE(),"")),"")</x:f>
        <x:v>46</x:v>
      </x:c>
      <x:c r="G41" s="106">
        <x:f t="shared" si="1"/>
        <x:v>17.2</x:v>
      </x:c>
      <x:c r="H41" s="107" t="n">
        <x:f t="array" ref="H41">IF(C41&lt;&gt;"",IF(F$7="SUMMER","N/A",_xlfn.IFS(H$10="EXAM",RECORD!GJ43,H$10="OUTPUT",RECORD!GK43,H$10="LAB",BP41,TRUE(),"")),"")</x:f>
        <x:v>66</x:v>
      </x:c>
      <x:c r="I41" s="106">
        <x:f t="shared" si="2"/>
        <x:v>35.799999999999997</x:v>
      </x:c>
      <x:c r="J41" s="108">
        <x:f t="shared" si="3"/>
        <x:v>87.399999999999991</x:v>
      </x:c>
      <x:c r="K41" s="109" t="str">
        <x:f t="shared" si="4"/>
        <x:v>PASSED</x:v>
      </x:c>
      <x:c r="L41" s="110" t="n">
        <x:f t="array" ref="L41">IF(C41&lt;&gt;"",_xlfn.IFS(L$10="TLA",RECORD!GY43,N$10="LECTURE","",TRUE(),""),"")</x:f>
        <x:v>40</x:v>
      </x:c>
      <x:c r="M41" s="105">
        <x:f t="shared" si="5"/>
        <x:v>35.200000000000003</x:v>
      </x:c>
      <x:c r="N41" s="104" t="n">
        <x:f t="array" ref="N41">IF(C41&lt;&gt;"",_xlfn.IFS(N$10="AT",RECORD!GS43,N$10="LECTURE",AX41,TRUE(),""),"")</x:f>
        <x:v>38</x:v>
      </x:c>
      <x:c r="O41" s="106">
        <x:f t="shared" si="6"/>
        <x:v>17.12</x:v>
      </x:c>
      <x:c r="P41" s="107" t="n">
        <x:f t="array" ref="P41">IF(C41&lt;&gt;"",_xlfn.IFS(P$10="EXAM",RECORD!GT43,P$10="OUTPUT",RECORD!GU43,P$10="LAB",BX41,TRUE(),""),"")</x:f>
        <x:v>75</x:v>
      </x:c>
      <x:c r="Q41" s="106">
        <x:f t="shared" si="7"/>
        <x:v>34</x:v>
      </x:c>
      <x:c r="R41" s="108">
        <x:f t="shared" si="8"/>
        <x:v>86.320000000000007</x:v>
      </x:c>
      <x:c r="S41" s="109" t="str">
        <x:f t="shared" si="9"/>
        <x:v>PASSED</x:v>
      </x:c>
      <x:c r="T41" s="110" t="n">
        <x:f t="array" ref="T41">IF(C41&lt;&gt;"",_xlfn.IFS(T$10="TLA",RECORD!HI43,V$10="LECTURE","",TRUE(),""),"")</x:f>
        <x:v>16</x:v>
      </x:c>
      <x:c r="U41" s="105">
        <x:f t="shared" si="10"/>
        <x:v>35.200000000000003</x:v>
      </x:c>
      <x:c r="V41" s="104" t="n">
        <x:f t="array" ref="V41">IF(C41&lt;&gt;"",_xlfn.IFS(V$10="AT",RECORD!HC43,V$10="LECTURE",BF41,TRUE(),""),"")</x:f>
        <x:v>40</x:v>
      </x:c>
      <x:c r="W41" s="106">
        <x:f t="shared" si="11"/>
        <x:v>17.600000000000001</x:v>
      </x:c>
      <x:c r="X41" s="107" t="n">
        <x:f t="array" ref="X41">IF(C41&lt;&gt;"",_xlfn.IFS(X$10="EXAM",RECORD!HD43,X$10="OUTPUT",RECORD!HE43,X$10="LAB",CF41,TRUE(),""),"")</x:f>
        <x:v>87</x:v>
      </x:c>
      <x:c r="Y41" s="106">
        <x:f t="shared" si="12"/>
        <x:v>32.703999999999994</x:v>
      </x:c>
      <x:c r="Z41" s="108">
        <x:f t="shared" si="13"/>
        <x:v>85.503999999999991</x:v>
      </x:c>
      <x:c r="AA41" s="109" t="str">
        <x:f t="shared" si="14"/>
        <x:v>PASSED</x:v>
      </x:c>
      <x:c r="AB41" s="111">
        <x:f t="shared" si="15"/>
        <x:v>86.408000000000001</x:v>
      </x:c>
      <x:c r="AC41" s="109" t="str">
        <x:f t="shared" si="16"/>
        <x:v>PASSED</x:v>
      </x:c>
      <x:c r="AD41" s="112"/>
      <x:c r="AE41" s="102"/>
      <x:c r="AF41" s="113"/>
      <x:c r="AG41" s="112"/>
      <x:c r="AH41" s="103"/>
      <x:c r="AI41" s="114"/>
      <x:c r="AJ41" s="102"/>
      <x:c r="AK41" s="102"/>
      <x:c r="AL41" s="102"/>
      <x:c r="AM41" s="102"/>
      <x:c r="AN41" s="102"/>
      <x:c r="AO41" s="102"/>
      <x:c r="AP41" s="102"/>
      <x:c r="AQ41" s="109" t="str">
        <x:f t="shared" si="17"/>
        <x:v>FAILED</x:v>
      </x:c>
      <x:c r="AR41" s="115"/>
      <x:c r="AS41" s="115"/>
      <x:c r="AT41" s="107"/>
      <x:c r="AU41" s="107"/>
      <x:c r="AV41" s="107"/>
      <x:c r="AW41" s="107"/>
      <x:c r="AX41" s="107"/>
      <x:c r="AY41" s="109" t="str">
        <x:f t="shared" si="18"/>
        <x:v>FAILED</x:v>
      </x:c>
      <x:c r="AZ41" s="115"/>
      <x:c r="BA41" s="115"/>
      <x:c r="BB41" s="107"/>
      <x:c r="BC41" s="107"/>
      <x:c r="BD41" s="107"/>
      <x:c r="BE41" s="107"/>
      <x:c r="BF41" s="107"/>
      <x:c r="BG41" s="109" t="str">
        <x:f t="shared" si="19"/>
        <x:v>FAILED</x:v>
      </x:c>
      <x:c r="BH41" s="117"/>
      <x:c r="BI41" s="102"/>
      <x:c r="BJ41" s="102"/>
      <x:c r="BK41" s="102"/>
      <x:c r="BL41" s="102"/>
      <x:c r="BM41" s="102"/>
      <x:c r="BN41" s="102"/>
      <x:c r="BO41" s="102"/>
      <x:c r="BP41" s="102"/>
      <x:c r="BQ41" s="109" t="str">
        <x:f t="shared" si="20"/>
        <x:v>FAILED</x:v>
      </x:c>
      <x:c r="BR41" s="115"/>
      <x:c r="BS41" s="115"/>
      <x:c r="BT41" s="107"/>
      <x:c r="BU41" s="107"/>
      <x:c r="BV41" s="107"/>
      <x:c r="BW41" s="107"/>
      <x:c r="BX41" s="107"/>
      <x:c r="BY41" s="109" t="str">
        <x:f t="shared" si="21"/>
        <x:v>FAILED</x:v>
      </x:c>
      <x:c r="BZ41" s="115"/>
      <x:c r="CA41" s="115"/>
      <x:c r="CB41" s="107"/>
      <x:c r="CC41" s="107"/>
      <x:c r="CD41" s="107"/>
      <x:c r="CE41" s="107"/>
      <x:c r="CF41" s="107"/>
      <x:c r="CG41" s="109" t="str">
        <x:f t="shared" si="22"/>
        <x:v>FAILED</x:v>
      </x:c>
      <x:c r="CH41" s="117"/>
    </x:row>
    <x:row r="42">
      <x:c r="A42" s="102" t="str">
        <x:f>IF(RECORD!A44="","",RECORD!A44)</x:f>
      </x:c>
      <x:c r="B42" s="102" t="str">
        <x:f>IF(RECORD!B44="","",RECORD!B44)</x:f>
      </x:c>
      <x:c r="C42" s="103" t="str">
        <x:f>IF(RECORD!C44="","",RECORD!C44)</x:f>
      </x:c>
      <x:c r="D42" s="104" t="str">
        <x:f t="array" ref="D42">IF(C42&lt;&gt;"",IF(F$7="SUMMER","N/A",_xlfn.IFS(D$10="TLA",RECORD!GO44,F$10="LECTURE","",TRUE(),"")),"")</x:f>
      </x:c>
      <x:c r="E42" s="105" t="str">
        <x:f t="shared" si="0"/>
      </x:c>
      <x:c r="F42" s="104" t="str">
        <x:f t="array" ref="F42">IF(C42&lt;&gt;"",IF(F$7="SUMMER","N/A",_xlfn.IFS(F$10="AT",RECORD!GI44,F$10="LECTURE",GRADES!AP42,TRUE(),"")),"")</x:f>
      </x:c>
      <x:c r="G42" s="106" t="str">
        <x:f t="shared" si="1"/>
      </x:c>
      <x:c r="H42" s="107" t="str">
        <x:f t="array" ref="H42">IF(C42&lt;&gt;"",IF(F$7="SUMMER","N/A",_xlfn.IFS(H$10="EXAM",RECORD!GJ44,H$10="OUTPUT",RECORD!GK44,H$10="LAB",BP42,TRUE(),"")),"")</x:f>
      </x:c>
      <x:c r="I42" s="106" t="str">
        <x:f t="shared" si="2"/>
      </x:c>
      <x:c r="J42" s="108" t="str">
        <x:f t="shared" si="3"/>
      </x:c>
      <x:c r="K42" s="109" t="str">
        <x:f t="shared" si="4"/>
      </x:c>
      <x:c r="L42" s="110" t="str">
        <x:f t="array" ref="L42">IF(C42&lt;&gt;"",_xlfn.IFS(L$10="TLA",RECORD!GY44,N$10="LECTURE","",TRUE(),""),"")</x:f>
      </x:c>
      <x:c r="M42" s="105" t="str">
        <x:f t="shared" si="5"/>
      </x:c>
      <x:c r="N42" s="104" t="str">
        <x:f t="array" ref="N42">IF(C42&lt;&gt;"",_xlfn.IFS(N$10="AT",RECORD!GS44,N$10="LECTURE",AX42,TRUE(),""),"")</x:f>
      </x:c>
      <x:c r="O42" s="106" t="str">
        <x:f t="shared" si="6"/>
      </x:c>
      <x:c r="P42" s="107" t="str">
        <x:f t="array" ref="P42">IF(C42&lt;&gt;"",_xlfn.IFS(P$10="EXAM",RECORD!GT44,P$10="OUTPUT",RECORD!GU44,P$10="LAB",BX42,TRUE(),""),"")</x:f>
      </x:c>
      <x:c r="Q42" s="106" t="str">
        <x:f t="shared" si="7"/>
      </x:c>
      <x:c r="R42" s="108" t="str">
        <x:f t="shared" si="8"/>
      </x:c>
      <x:c r="S42" s="109" t="str">
        <x:f t="shared" si="9"/>
      </x:c>
      <x:c r="T42" s="110" t="str">
        <x:f t="array" ref="T42">IF(C42&lt;&gt;"",_xlfn.IFS(T$10="TLA",RECORD!HI44,V$10="LECTURE","",TRUE(),""),"")</x:f>
      </x:c>
      <x:c r="U42" s="105" t="str">
        <x:f t="shared" si="10"/>
      </x:c>
      <x:c r="V42" s="104" t="str">
        <x:f t="array" ref="V42">IF(C42&lt;&gt;"",_xlfn.IFS(V$10="AT",RECORD!HC44,V$10="LECTURE",BF42,TRUE(),""),"")</x:f>
      </x:c>
      <x:c r="W42" s="106" t="str">
        <x:f t="shared" si="11"/>
      </x:c>
      <x:c r="X42" s="107" t="str">
        <x:f t="array" ref="X42">IF(C42&lt;&gt;"",_xlfn.IFS(X$10="EXAM",RECORD!HD44,X$10="OUTPUT",RECORD!HE44,X$10="LAB",CF42,TRUE(),""),"")</x:f>
      </x:c>
      <x:c r="Y42" s="106" t="str">
        <x:f t="shared" si="12"/>
      </x:c>
      <x:c r="Z42" s="108" t="str">
        <x:f t="shared" si="13"/>
      </x:c>
      <x:c r="AA42" s="109" t="str">
        <x:f t="shared" si="14"/>
      </x:c>
      <x:c r="AB42" s="111" t="str">
        <x:f t="shared" si="15"/>
      </x:c>
      <x:c r="AC42" s="109" t="str">
        <x:f t="shared" si="16"/>
      </x:c>
      <x:c r="AD42" s="112"/>
      <x:c r="AE42" s="102"/>
      <x:c r="AF42" s="113"/>
      <x:c r="AG42" s="112"/>
      <x:c r="AH42" s="103"/>
      <x:c r="AI42" s="114"/>
      <x:c r="AJ42" s="102"/>
      <x:c r="AK42" s="102"/>
      <x:c r="AL42" s="102"/>
      <x:c r="AM42" s="102"/>
      <x:c r="AN42" s="102"/>
      <x:c r="AO42" s="102"/>
      <x:c r="AP42" s="102"/>
      <x:c r="AQ42" s="109" t="str">
        <x:f t="shared" si="17"/>
        <x:v>FAILED</x:v>
      </x:c>
      <x:c r="AR42" s="115"/>
      <x:c r="AS42" s="115"/>
      <x:c r="AT42" s="107"/>
      <x:c r="AU42" s="107"/>
      <x:c r="AV42" s="107"/>
      <x:c r="AW42" s="107"/>
      <x:c r="AX42" s="107"/>
      <x:c r="AY42" s="109" t="str">
        <x:f t="shared" si="18"/>
        <x:v>FAILED</x:v>
      </x:c>
      <x:c r="AZ42" s="115"/>
      <x:c r="BA42" s="115"/>
      <x:c r="BB42" s="107"/>
      <x:c r="BC42" s="107"/>
      <x:c r="BD42" s="107"/>
      <x:c r="BE42" s="107"/>
      <x:c r="BF42" s="107"/>
      <x:c r="BG42" s="109" t="str">
        <x:f t="shared" si="19"/>
        <x:v>FAILED</x:v>
      </x:c>
      <x:c r="BH42" s="117"/>
      <x:c r="BI42" s="102"/>
      <x:c r="BJ42" s="102"/>
      <x:c r="BK42" s="102"/>
      <x:c r="BL42" s="102"/>
      <x:c r="BM42" s="102"/>
      <x:c r="BN42" s="102"/>
      <x:c r="BO42" s="102"/>
      <x:c r="BP42" s="102"/>
      <x:c r="BQ42" s="109" t="str">
        <x:f t="shared" si="20"/>
        <x:v>FAILED</x:v>
      </x:c>
      <x:c r="BR42" s="115"/>
      <x:c r="BS42" s="115"/>
      <x:c r="BT42" s="107"/>
      <x:c r="BU42" s="107"/>
      <x:c r="BV42" s="107"/>
      <x:c r="BW42" s="107"/>
      <x:c r="BX42" s="107"/>
      <x:c r="BY42" s="109" t="str">
        <x:f t="shared" si="21"/>
        <x:v>FAILED</x:v>
      </x:c>
      <x:c r="BZ42" s="115"/>
      <x:c r="CA42" s="115"/>
      <x:c r="CB42" s="107"/>
      <x:c r="CC42" s="107"/>
      <x:c r="CD42" s="107"/>
      <x:c r="CE42" s="107"/>
      <x:c r="CF42" s="107"/>
      <x:c r="CG42" s="109" t="str">
        <x:f t="shared" si="22"/>
        <x:v>FAILED</x:v>
      </x:c>
      <x:c r="CH42" s="117"/>
    </x:row>
    <x:row r="43">
      <x:c r="A43" s="102" t="str">
        <x:f>IF(RECORD!A45="","",RECORD!A45)</x:f>
      </x:c>
      <x:c r="B43" s="102" t="str">
        <x:f>IF(RECORD!B45="","",RECORD!B45)</x:f>
      </x:c>
      <x:c r="C43" s="103" t="str">
        <x:f>IF(RECORD!C45="","",RECORD!C45)</x:f>
      </x:c>
      <x:c r="D43" s="104" t="str">
        <x:f t="array" ref="D43">IF(C43&lt;&gt;"",IF(F$7="SUMMER","N/A",_xlfn.IFS(D$10="TLA",RECORD!GO45,F$10="LECTURE","",TRUE(),"")),"")</x:f>
      </x:c>
      <x:c r="E43" s="105" t="str">
        <x:f t="shared" si="0"/>
      </x:c>
      <x:c r="F43" s="104" t="str">
        <x:f t="array" ref="F43">IF(C43&lt;&gt;"",IF(F$7="SUMMER","N/A",_xlfn.IFS(F$10="AT",RECORD!GI45,F$10="LECTURE",GRADES!AP43,TRUE(),"")),"")</x:f>
      </x:c>
      <x:c r="G43" s="106" t="str">
        <x:f t="shared" si="1"/>
      </x:c>
      <x:c r="H43" s="107" t="str">
        <x:f t="array" ref="H43">IF(C43&lt;&gt;"",IF(F$7="SUMMER","N/A",_xlfn.IFS(H$10="EXAM",RECORD!GJ45,H$10="OUTPUT",RECORD!GK45,H$10="LAB",BP43,TRUE(),"")),"")</x:f>
      </x:c>
      <x:c r="I43" s="106" t="str">
        <x:f t="shared" si="2"/>
      </x:c>
      <x:c r="J43" s="108" t="str">
        <x:f t="shared" si="3"/>
      </x:c>
      <x:c r="K43" s="109" t="str">
        <x:f t="shared" si="4"/>
      </x:c>
      <x:c r="L43" s="110" t="str">
        <x:f t="array" ref="L43">IF(C43&lt;&gt;"",_xlfn.IFS(L$10="TLA",RECORD!GY45,N$10="LECTURE","",TRUE(),""),"")</x:f>
      </x:c>
      <x:c r="M43" s="105" t="str">
        <x:f t="shared" si="5"/>
      </x:c>
      <x:c r="N43" s="104" t="str">
        <x:f t="array" ref="N43">IF(C43&lt;&gt;"",_xlfn.IFS(N$10="AT",RECORD!GS45,N$10="LECTURE",AX43,TRUE(),""),"")</x:f>
      </x:c>
      <x:c r="O43" s="106" t="str">
        <x:f t="shared" si="6"/>
      </x:c>
      <x:c r="P43" s="107" t="str">
        <x:f t="array" ref="P43">IF(C43&lt;&gt;"",_xlfn.IFS(P$10="EXAM",RECORD!GT45,P$10="OUTPUT",RECORD!GU45,P$10="LAB",BX43,TRUE(),""),"")</x:f>
      </x:c>
      <x:c r="Q43" s="106" t="str">
        <x:f t="shared" si="7"/>
      </x:c>
      <x:c r="R43" s="108" t="str">
        <x:f t="shared" si="8"/>
      </x:c>
      <x:c r="S43" s="109" t="str">
        <x:f t="shared" si="9"/>
      </x:c>
      <x:c r="T43" s="110" t="str">
        <x:f t="array" ref="T43">IF(C43&lt;&gt;"",_xlfn.IFS(T$10="TLA",RECORD!HI45,V$10="LECTURE","",TRUE(),""),"")</x:f>
      </x:c>
      <x:c r="U43" s="105" t="str">
        <x:f t="shared" si="10"/>
      </x:c>
      <x:c r="V43" s="104" t="str">
        <x:f t="array" ref="V43">IF(C43&lt;&gt;"",_xlfn.IFS(V$10="AT",RECORD!HC45,V$10="LECTURE",BF43,TRUE(),""),"")</x:f>
      </x:c>
      <x:c r="W43" s="106" t="str">
        <x:f t="shared" si="11"/>
      </x:c>
      <x:c r="X43" s="107" t="str">
        <x:f t="array" ref="X43">IF(C43&lt;&gt;"",_xlfn.IFS(X$10="EXAM",RECORD!HD45,X$10="OUTPUT",RECORD!HE45,X$10="LAB",CF43,TRUE(),""),"")</x:f>
      </x:c>
      <x:c r="Y43" s="106" t="str">
        <x:f t="shared" si="12"/>
      </x:c>
      <x:c r="Z43" s="108" t="str">
        <x:f t="shared" si="13"/>
      </x:c>
      <x:c r="AA43" s="109" t="str">
        <x:f t="shared" si="14"/>
      </x:c>
      <x:c r="AB43" s="111" t="str">
        <x:f t="shared" si="15"/>
      </x:c>
      <x:c r="AC43" s="109" t="str">
        <x:f t="shared" si="16"/>
      </x:c>
      <x:c r="AD43" s="112"/>
      <x:c r="AE43" s="102"/>
      <x:c r="AF43" s="113"/>
      <x:c r="AG43" s="112"/>
      <x:c r="AH43" s="103"/>
      <x:c r="AI43" s="114"/>
      <x:c r="AJ43" s="102"/>
      <x:c r="AK43" s="102"/>
      <x:c r="AL43" s="102"/>
      <x:c r="AM43" s="102"/>
      <x:c r="AN43" s="102"/>
      <x:c r="AO43" s="102"/>
      <x:c r="AP43" s="102"/>
      <x:c r="AQ43" s="109" t="str">
        <x:f t="shared" si="17"/>
        <x:v>FAILED</x:v>
      </x:c>
      <x:c r="AR43" s="115"/>
      <x:c r="AS43" s="115"/>
      <x:c r="AT43" s="107"/>
      <x:c r="AU43" s="107"/>
      <x:c r="AV43" s="107"/>
      <x:c r="AW43" s="107"/>
      <x:c r="AX43" s="107"/>
      <x:c r="AY43" s="109" t="str">
        <x:f t="shared" si="18"/>
        <x:v>FAILED</x:v>
      </x:c>
      <x:c r="AZ43" s="115"/>
      <x:c r="BA43" s="115"/>
      <x:c r="BB43" s="107"/>
      <x:c r="BC43" s="107"/>
      <x:c r="BD43" s="107"/>
      <x:c r="BE43" s="107"/>
      <x:c r="BF43" s="107"/>
      <x:c r="BG43" s="109" t="str">
        <x:f t="shared" si="19"/>
        <x:v>FAILED</x:v>
      </x:c>
      <x:c r="BH43" s="117"/>
      <x:c r="BI43" s="102"/>
      <x:c r="BJ43" s="102"/>
      <x:c r="BK43" s="102"/>
      <x:c r="BL43" s="102"/>
      <x:c r="BM43" s="102"/>
      <x:c r="BN43" s="102"/>
      <x:c r="BO43" s="102"/>
      <x:c r="BP43" s="102"/>
      <x:c r="BQ43" s="109" t="str">
        <x:f t="shared" si="20"/>
        <x:v>FAILED</x:v>
      </x:c>
      <x:c r="BR43" s="115"/>
      <x:c r="BS43" s="115"/>
      <x:c r="BT43" s="107"/>
      <x:c r="BU43" s="107"/>
      <x:c r="BV43" s="107"/>
      <x:c r="BW43" s="107"/>
      <x:c r="BX43" s="107"/>
      <x:c r="BY43" s="109" t="str">
        <x:f t="shared" si="21"/>
        <x:v>FAILED</x:v>
      </x:c>
      <x:c r="BZ43" s="115"/>
      <x:c r="CA43" s="115"/>
      <x:c r="CB43" s="107"/>
      <x:c r="CC43" s="107"/>
      <x:c r="CD43" s="107"/>
      <x:c r="CE43" s="107"/>
      <x:c r="CF43" s="107"/>
      <x:c r="CG43" s="109" t="str">
        <x:f t="shared" si="22"/>
        <x:v>FAILED</x:v>
      </x:c>
      <x:c r="CH43" s="117"/>
    </x:row>
    <x:row r="44">
      <x:c r="A44" s="102" t="str">
        <x:f>IF(RECORD!A46="","",RECORD!A46)</x:f>
      </x:c>
      <x:c r="B44" s="102" t="str">
        <x:f>IF(RECORD!B46="","",RECORD!B46)</x:f>
      </x:c>
      <x:c r="C44" s="103" t="str">
        <x:f>IF(RECORD!C46="","",RECORD!C46)</x:f>
      </x:c>
      <x:c r="D44" s="104" t="str">
        <x:f t="array" ref="D44">IF(C44&lt;&gt;"",IF(F$7="SUMMER","N/A",_xlfn.IFS(D$10="TLA",RECORD!GO46,F$10="LECTURE","",TRUE(),"")),"")</x:f>
      </x:c>
      <x:c r="E44" s="105" t="str">
        <x:f t="shared" si="0"/>
      </x:c>
      <x:c r="F44" s="104" t="str">
        <x:f t="array" ref="F44">IF(C44&lt;&gt;"",IF(F$7="SUMMER","N/A",_xlfn.IFS(F$10="AT",RECORD!GI46,F$10="LECTURE",GRADES!AP44,TRUE(),"")),"")</x:f>
      </x:c>
      <x:c r="G44" s="106" t="str">
        <x:f t="shared" si="1"/>
      </x:c>
      <x:c r="H44" s="107" t="str">
        <x:f t="array" ref="H44">IF(C44&lt;&gt;"",IF(F$7="SUMMER","N/A",_xlfn.IFS(H$10="EXAM",RECORD!GJ46,H$10="OUTPUT",RECORD!GK46,H$10="LAB",BP44,TRUE(),"")),"")</x:f>
      </x:c>
      <x:c r="I44" s="106" t="str">
        <x:f t="shared" si="2"/>
      </x:c>
      <x:c r="J44" s="108" t="str">
        <x:f t="shared" si="3"/>
      </x:c>
      <x:c r="K44" s="109" t="str">
        <x:f t="shared" si="4"/>
      </x:c>
      <x:c r="L44" s="110" t="str">
        <x:f t="array" ref="L44">IF(C44&lt;&gt;"",_xlfn.IFS(L$10="TLA",RECORD!GY46,N$10="LECTURE","",TRUE(),""),"")</x:f>
      </x:c>
      <x:c r="M44" s="105" t="str">
        <x:f t="shared" si="5"/>
      </x:c>
      <x:c r="N44" s="104" t="str">
        <x:f t="array" ref="N44">IF(C44&lt;&gt;"",_xlfn.IFS(N$10="AT",RECORD!GS46,N$10="LECTURE",AX44,TRUE(),""),"")</x:f>
      </x:c>
      <x:c r="O44" s="106" t="str">
        <x:f t="shared" si="6"/>
      </x:c>
      <x:c r="P44" s="107" t="str">
        <x:f t="array" ref="P44">IF(C44&lt;&gt;"",_xlfn.IFS(P$10="EXAM",RECORD!GT46,P$10="OUTPUT",RECORD!GU46,P$10="LAB",BX44,TRUE(),""),"")</x:f>
      </x:c>
      <x:c r="Q44" s="106" t="str">
        <x:f t="shared" si="7"/>
      </x:c>
      <x:c r="R44" s="108" t="str">
        <x:f t="shared" si="8"/>
      </x:c>
      <x:c r="S44" s="109" t="str">
        <x:f t="shared" si="9"/>
      </x:c>
      <x:c r="T44" s="110" t="str">
        <x:f t="array" ref="T44">IF(C44&lt;&gt;"",_xlfn.IFS(T$10="TLA",RECORD!HI46,V$10="LECTURE","",TRUE(),""),"")</x:f>
      </x:c>
      <x:c r="U44" s="105" t="str">
        <x:f t="shared" si="10"/>
      </x:c>
      <x:c r="V44" s="104" t="str">
        <x:f t="array" ref="V44">IF(C44&lt;&gt;"",_xlfn.IFS(V$10="AT",RECORD!HC46,V$10="LECTURE",BF44,TRUE(),""),"")</x:f>
      </x:c>
      <x:c r="W44" s="106" t="str">
        <x:f t="shared" si="11"/>
      </x:c>
      <x:c r="X44" s="107" t="str">
        <x:f t="array" ref="X44">IF(C44&lt;&gt;"",_xlfn.IFS(X$10="EXAM",RECORD!HD46,X$10="OUTPUT",RECORD!HE46,X$10="LAB",CF44,TRUE(),""),"")</x:f>
      </x:c>
      <x:c r="Y44" s="106" t="str">
        <x:f t="shared" si="12"/>
      </x:c>
      <x:c r="Z44" s="108" t="str">
        <x:f t="shared" si="13"/>
      </x:c>
      <x:c r="AA44" s="109" t="str">
        <x:f t="shared" si="14"/>
      </x:c>
      <x:c r="AB44" s="111" t="str">
        <x:f t="shared" si="15"/>
      </x:c>
      <x:c r="AC44" s="109" t="str">
        <x:f t="shared" si="16"/>
      </x:c>
      <x:c r="AD44" s="112"/>
      <x:c r="AE44" s="102"/>
      <x:c r="AF44" s="113"/>
      <x:c r="AG44" s="112"/>
      <x:c r="AH44" s="103"/>
      <x:c r="AI44" s="114"/>
      <x:c r="AJ44" s="102"/>
      <x:c r="AK44" s="102"/>
      <x:c r="AL44" s="102"/>
      <x:c r="AM44" s="102"/>
      <x:c r="AN44" s="102"/>
      <x:c r="AO44" s="102"/>
      <x:c r="AP44" s="102"/>
      <x:c r="AQ44" s="109" t="str">
        <x:f t="shared" si="17"/>
        <x:v>FAILED</x:v>
      </x:c>
      <x:c r="AR44" s="115"/>
      <x:c r="AS44" s="115"/>
      <x:c r="AT44" s="107"/>
      <x:c r="AU44" s="107"/>
      <x:c r="AV44" s="107"/>
      <x:c r="AW44" s="107"/>
      <x:c r="AX44" s="107"/>
      <x:c r="AY44" s="109" t="str">
        <x:f t="shared" si="18"/>
        <x:v>FAILED</x:v>
      </x:c>
      <x:c r="AZ44" s="115"/>
      <x:c r="BA44" s="115"/>
      <x:c r="BB44" s="107"/>
      <x:c r="BC44" s="107"/>
      <x:c r="BD44" s="107"/>
      <x:c r="BE44" s="107"/>
      <x:c r="BF44" s="107"/>
      <x:c r="BG44" s="109" t="str">
        <x:f t="shared" si="19"/>
        <x:v>FAILED</x:v>
      </x:c>
      <x:c r="BH44" s="117"/>
      <x:c r="BI44" s="102"/>
      <x:c r="BJ44" s="102"/>
      <x:c r="BK44" s="102"/>
      <x:c r="BL44" s="102"/>
      <x:c r="BM44" s="102"/>
      <x:c r="BN44" s="102"/>
      <x:c r="BO44" s="102"/>
      <x:c r="BP44" s="102"/>
      <x:c r="BQ44" s="109" t="str">
        <x:f t="shared" si="20"/>
        <x:v>FAILED</x:v>
      </x:c>
      <x:c r="BR44" s="115"/>
      <x:c r="BS44" s="115"/>
      <x:c r="BT44" s="107"/>
      <x:c r="BU44" s="107"/>
      <x:c r="BV44" s="107"/>
      <x:c r="BW44" s="107"/>
      <x:c r="BX44" s="107"/>
      <x:c r="BY44" s="109" t="str">
        <x:f t="shared" si="21"/>
        <x:v>FAILED</x:v>
      </x:c>
      <x:c r="BZ44" s="115"/>
      <x:c r="CA44" s="115"/>
      <x:c r="CB44" s="107"/>
      <x:c r="CC44" s="107"/>
      <x:c r="CD44" s="107"/>
      <x:c r="CE44" s="107"/>
      <x:c r="CF44" s="107"/>
      <x:c r="CG44" s="109" t="str">
        <x:f t="shared" si="22"/>
        <x:v>FAILED</x:v>
      </x:c>
      <x:c r="CH44" s="117"/>
    </x:row>
    <x:row r="45">
      <x:c r="A45" s="102" t="str">
        <x:f>IF(RECORD!A47="","",RECORD!A47)</x:f>
      </x:c>
      <x:c r="B45" s="102" t="str">
        <x:f>IF(RECORD!B47="","",RECORD!B47)</x:f>
      </x:c>
      <x:c r="C45" s="103" t="str">
        <x:f>IF(RECORD!C47="","",RECORD!C47)</x:f>
      </x:c>
      <x:c r="D45" s="104" t="str">
        <x:f t="array" ref="D45">IF(C45&lt;&gt;"",IF(F$7="SUMMER","N/A",_xlfn.IFS(D$10="TLA",RECORD!GO47,F$10="LECTURE","",TRUE(),"")),"")</x:f>
      </x:c>
      <x:c r="E45" s="105" t="str">
        <x:f t="shared" si="0"/>
      </x:c>
      <x:c r="F45" s="104" t="str">
        <x:f t="array" ref="F45">IF(C45&lt;&gt;"",IF(F$7="SUMMER","N/A",_xlfn.IFS(F$10="AT",RECORD!GI47,F$10="LECTURE",GRADES!AP45,TRUE(),"")),"")</x:f>
      </x:c>
      <x:c r="G45" s="106" t="str">
        <x:f t="shared" si="1"/>
      </x:c>
      <x:c r="H45" s="107" t="str">
        <x:f t="array" ref="H45">IF(C45&lt;&gt;"",IF(F$7="SUMMER","N/A",_xlfn.IFS(H$10="EXAM",RECORD!GJ47,H$10="OUTPUT",RECORD!GK47,H$10="LAB",BP45,TRUE(),"")),"")</x:f>
      </x:c>
      <x:c r="I45" s="106" t="str">
        <x:f t="shared" si="2"/>
      </x:c>
      <x:c r="J45" s="108" t="str">
        <x:f t="shared" si="3"/>
      </x:c>
      <x:c r="K45" s="109" t="str">
        <x:f t="shared" si="4"/>
      </x:c>
      <x:c r="L45" s="110" t="str">
        <x:f t="array" ref="L45">IF(C45&lt;&gt;"",_xlfn.IFS(L$10="TLA",RECORD!GY47,N$10="LECTURE","",TRUE(),""),"")</x:f>
      </x:c>
      <x:c r="M45" s="105" t="str">
        <x:f t="shared" si="5"/>
      </x:c>
      <x:c r="N45" s="104" t="str">
        <x:f t="array" ref="N45">IF(C45&lt;&gt;"",_xlfn.IFS(N$10="AT",RECORD!GS47,N$10="LECTURE",AX45,TRUE(),""),"")</x:f>
      </x:c>
      <x:c r="O45" s="106" t="str">
        <x:f t="shared" si="6"/>
      </x:c>
      <x:c r="P45" s="107" t="str">
        <x:f t="array" ref="P45">IF(C45&lt;&gt;"",_xlfn.IFS(P$10="EXAM",RECORD!GT47,P$10="OUTPUT",RECORD!GU47,P$10="LAB",BX45,TRUE(),""),"")</x:f>
      </x:c>
      <x:c r="Q45" s="106" t="str">
        <x:f t="shared" si="7"/>
      </x:c>
      <x:c r="R45" s="108" t="str">
        <x:f t="shared" si="8"/>
      </x:c>
      <x:c r="S45" s="109" t="str">
        <x:f t="shared" si="9"/>
      </x:c>
      <x:c r="T45" s="110" t="str">
        <x:f t="array" ref="T45">IF(C45&lt;&gt;"",_xlfn.IFS(T$10="TLA",RECORD!HI47,V$10="LECTURE","",TRUE(),""),"")</x:f>
      </x:c>
      <x:c r="U45" s="105" t="str">
        <x:f t="shared" si="10"/>
      </x:c>
      <x:c r="V45" s="104" t="str">
        <x:f t="array" ref="V45">IF(C45&lt;&gt;"",_xlfn.IFS(V$10="AT",RECORD!HC47,V$10="LECTURE",BF45,TRUE(),""),"")</x:f>
      </x:c>
      <x:c r="W45" s="106" t="str">
        <x:f t="shared" si="11"/>
      </x:c>
      <x:c r="X45" s="107" t="str">
        <x:f t="array" ref="X45">IF(C45&lt;&gt;"",_xlfn.IFS(X$10="EXAM",RECORD!HD47,X$10="OUTPUT",RECORD!HE47,X$10="LAB",CF45,TRUE(),""),"")</x:f>
      </x:c>
      <x:c r="Y45" s="106" t="str">
        <x:f t="shared" si="12"/>
      </x:c>
      <x:c r="Z45" s="108" t="str">
        <x:f t="shared" si="13"/>
      </x:c>
      <x:c r="AA45" s="109" t="str">
        <x:f t="shared" si="14"/>
      </x:c>
      <x:c r="AB45" s="111" t="str">
        <x:f t="shared" si="15"/>
      </x:c>
      <x:c r="AC45" s="109" t="str">
        <x:f t="shared" si="16"/>
      </x:c>
      <x:c r="AD45" s="112"/>
      <x:c r="AE45" s="102"/>
      <x:c r="AF45" s="113"/>
      <x:c r="AG45" s="112"/>
      <x:c r="AH45" s="103"/>
      <x:c r="AI45" s="114"/>
      <x:c r="AJ45" s="102"/>
      <x:c r="AK45" s="102"/>
      <x:c r="AL45" s="102"/>
      <x:c r="AM45" s="102"/>
      <x:c r="AN45" s="102"/>
      <x:c r="AO45" s="102"/>
      <x:c r="AP45" s="102"/>
      <x:c r="AQ45" s="109" t="str">
        <x:f t="shared" si="17"/>
        <x:v>FAILED</x:v>
      </x:c>
      <x:c r="AR45" s="115"/>
      <x:c r="AS45" s="115"/>
      <x:c r="AT45" s="107"/>
      <x:c r="AU45" s="107"/>
      <x:c r="AV45" s="107"/>
      <x:c r="AW45" s="107"/>
      <x:c r="AX45" s="107"/>
      <x:c r="AY45" s="109" t="str">
        <x:f t="shared" si="18"/>
        <x:v>FAILED</x:v>
      </x:c>
      <x:c r="AZ45" s="115"/>
      <x:c r="BA45" s="115"/>
      <x:c r="BB45" s="107"/>
      <x:c r="BC45" s="107"/>
      <x:c r="BD45" s="107"/>
      <x:c r="BE45" s="107"/>
      <x:c r="BF45" s="107"/>
      <x:c r="BG45" s="109" t="str">
        <x:f t="shared" si="19"/>
        <x:v>FAILED</x:v>
      </x:c>
      <x:c r="BH45" s="117"/>
      <x:c r="BI45" s="102"/>
      <x:c r="BJ45" s="102"/>
      <x:c r="BK45" s="102"/>
      <x:c r="BL45" s="102"/>
      <x:c r="BM45" s="102"/>
      <x:c r="BN45" s="102"/>
      <x:c r="BO45" s="102"/>
      <x:c r="BP45" s="102"/>
      <x:c r="BQ45" s="109" t="str">
        <x:f t="shared" si="20"/>
        <x:v>FAILED</x:v>
      </x:c>
      <x:c r="BR45" s="115"/>
      <x:c r="BS45" s="115"/>
      <x:c r="BT45" s="107"/>
      <x:c r="BU45" s="107"/>
      <x:c r="BV45" s="107"/>
      <x:c r="BW45" s="107"/>
      <x:c r="BX45" s="107"/>
      <x:c r="BY45" s="109" t="str">
        <x:f t="shared" si="21"/>
        <x:v>FAILED</x:v>
      </x:c>
      <x:c r="BZ45" s="115"/>
      <x:c r="CA45" s="115"/>
      <x:c r="CB45" s="107"/>
      <x:c r="CC45" s="107"/>
      <x:c r="CD45" s="107"/>
      <x:c r="CE45" s="107"/>
      <x:c r="CF45" s="107"/>
      <x:c r="CG45" s="109" t="str">
        <x:f t="shared" si="22"/>
        <x:v>FAILED</x:v>
      </x:c>
      <x:c r="CH45" s="117"/>
    </x:row>
    <x:row r="46">
      <x:c r="A46" s="102" t="str">
        <x:f>IF(RECORD!A48="","",RECORD!A48)</x:f>
      </x:c>
      <x:c r="B46" s="102" t="str">
        <x:f>IF(RECORD!B48="","",RECORD!B48)</x:f>
      </x:c>
      <x:c r="C46" s="103" t="str">
        <x:f>IF(RECORD!C48="","",RECORD!C48)</x:f>
      </x:c>
      <x:c r="D46" s="104" t="str">
        <x:f t="array" ref="D46">IF(C46&lt;&gt;"",IF(F$7="SUMMER","N/A",_xlfn.IFS(D$10="TLA",RECORD!GO48,F$10="LECTURE","",TRUE(),"")),"")</x:f>
      </x:c>
      <x:c r="E46" s="105" t="str">
        <x:f t="shared" si="0"/>
      </x:c>
      <x:c r="F46" s="104" t="str">
        <x:f t="array" ref="F46">IF(C46&lt;&gt;"",IF(F$7="SUMMER","N/A",_xlfn.IFS(F$10="AT",RECORD!GI48,F$10="LECTURE",GRADES!AP46,TRUE(),"")),"")</x:f>
      </x:c>
      <x:c r="G46" s="106" t="str">
        <x:f t="shared" si="1"/>
      </x:c>
      <x:c r="H46" s="107" t="str">
        <x:f t="array" ref="H46">IF(C46&lt;&gt;"",IF(F$7="SUMMER","N/A",_xlfn.IFS(H$10="EXAM",RECORD!GJ48,H$10="OUTPUT",RECORD!GK48,H$10="LAB",BP46,TRUE(),"")),"")</x:f>
      </x:c>
      <x:c r="I46" s="106" t="str">
        <x:f t="shared" si="2"/>
      </x:c>
      <x:c r="J46" s="108" t="str">
        <x:f t="shared" si="3"/>
      </x:c>
      <x:c r="K46" s="109" t="str">
        <x:f t="shared" si="4"/>
      </x:c>
      <x:c r="L46" s="110" t="str">
        <x:f t="array" ref="L46">IF(C46&lt;&gt;"",_xlfn.IFS(L$10="TLA",RECORD!GY48,N$10="LECTURE","",TRUE(),""),"")</x:f>
      </x:c>
      <x:c r="M46" s="105" t="str">
        <x:f t="shared" si="5"/>
      </x:c>
      <x:c r="N46" s="104" t="str">
        <x:f t="array" ref="N46">IF(C46&lt;&gt;"",_xlfn.IFS(N$10="AT",RECORD!GS48,N$10="LECTURE",AX46,TRUE(),""),"")</x:f>
      </x:c>
      <x:c r="O46" s="106" t="str">
        <x:f t="shared" si="6"/>
      </x:c>
      <x:c r="P46" s="107" t="str">
        <x:f t="array" ref="P46">IF(C46&lt;&gt;"",_xlfn.IFS(P$10="EXAM",RECORD!GT48,P$10="OUTPUT",RECORD!GU48,P$10="LAB",BX46,TRUE(),""),"")</x:f>
      </x:c>
      <x:c r="Q46" s="106" t="str">
        <x:f t="shared" si="7"/>
      </x:c>
      <x:c r="R46" s="108" t="str">
        <x:f t="shared" si="8"/>
      </x:c>
      <x:c r="S46" s="109" t="str">
        <x:f t="shared" si="9"/>
      </x:c>
      <x:c r="T46" s="110" t="str">
        <x:f t="array" ref="T46">IF(C46&lt;&gt;"",_xlfn.IFS(T$10="TLA",RECORD!HI48,V$10="LECTURE","",TRUE(),""),"")</x:f>
      </x:c>
      <x:c r="U46" s="105" t="str">
        <x:f t="shared" si="10"/>
      </x:c>
      <x:c r="V46" s="104" t="str">
        <x:f t="array" ref="V46">IF(C46&lt;&gt;"",_xlfn.IFS(V$10="AT",RECORD!HC48,V$10="LECTURE",BF46,TRUE(),""),"")</x:f>
      </x:c>
      <x:c r="W46" s="106" t="str">
        <x:f t="shared" si="11"/>
      </x:c>
      <x:c r="X46" s="107" t="str">
        <x:f t="array" ref="X46">IF(C46&lt;&gt;"",_xlfn.IFS(X$10="EXAM",RECORD!HD48,X$10="OUTPUT",RECORD!HE48,X$10="LAB",CF46,TRUE(),""),"")</x:f>
      </x:c>
      <x:c r="Y46" s="106" t="str">
        <x:f t="shared" si="12"/>
      </x:c>
      <x:c r="Z46" s="108" t="str">
        <x:f t="shared" si="13"/>
      </x:c>
      <x:c r="AA46" s="109" t="str">
        <x:f t="shared" si="14"/>
      </x:c>
      <x:c r="AB46" s="111" t="str">
        <x:f t="shared" si="15"/>
      </x:c>
      <x:c r="AC46" s="109" t="str">
        <x:f t="shared" si="16"/>
      </x:c>
      <x:c r="AD46" s="112"/>
      <x:c r="AE46" s="102"/>
      <x:c r="AF46" s="113"/>
      <x:c r="AG46" s="112"/>
      <x:c r="AH46" s="103"/>
      <x:c r="AI46" s="114"/>
      <x:c r="AJ46" s="102"/>
      <x:c r="AK46" s="102"/>
      <x:c r="AL46" s="102"/>
      <x:c r="AM46" s="102"/>
      <x:c r="AN46" s="102"/>
      <x:c r="AO46" s="102"/>
      <x:c r="AP46" s="102"/>
      <x:c r="AQ46" s="109" t="str">
        <x:f t="shared" si="17"/>
        <x:v>FAILED</x:v>
      </x:c>
      <x:c r="AR46" s="115"/>
      <x:c r="AS46" s="115"/>
      <x:c r="AT46" s="107"/>
      <x:c r="AU46" s="107"/>
      <x:c r="AV46" s="107"/>
      <x:c r="AW46" s="107"/>
      <x:c r="AX46" s="107"/>
      <x:c r="AY46" s="109" t="str">
        <x:f t="shared" si="18"/>
        <x:v>FAILED</x:v>
      </x:c>
      <x:c r="AZ46" s="115"/>
      <x:c r="BA46" s="115"/>
      <x:c r="BB46" s="107"/>
      <x:c r="BC46" s="107"/>
      <x:c r="BD46" s="107"/>
      <x:c r="BE46" s="107"/>
      <x:c r="BF46" s="107"/>
      <x:c r="BG46" s="109" t="str">
        <x:f t="shared" si="19"/>
        <x:v>FAILED</x:v>
      </x:c>
      <x:c r="BH46" s="117"/>
      <x:c r="BI46" s="102"/>
      <x:c r="BJ46" s="102"/>
      <x:c r="BK46" s="102"/>
      <x:c r="BL46" s="102"/>
      <x:c r="BM46" s="102"/>
      <x:c r="BN46" s="102"/>
      <x:c r="BO46" s="102"/>
      <x:c r="BP46" s="102"/>
      <x:c r="BQ46" s="109" t="str">
        <x:f t="shared" si="20"/>
        <x:v>FAILED</x:v>
      </x:c>
      <x:c r="BR46" s="115"/>
      <x:c r="BS46" s="115"/>
      <x:c r="BT46" s="107"/>
      <x:c r="BU46" s="107"/>
      <x:c r="BV46" s="107"/>
      <x:c r="BW46" s="107"/>
      <x:c r="BX46" s="107"/>
      <x:c r="BY46" s="109" t="str">
        <x:f t="shared" si="21"/>
        <x:v>FAILED</x:v>
      </x:c>
      <x:c r="BZ46" s="115"/>
      <x:c r="CA46" s="115"/>
      <x:c r="CB46" s="107"/>
      <x:c r="CC46" s="107"/>
      <x:c r="CD46" s="107"/>
      <x:c r="CE46" s="107"/>
      <x:c r="CF46" s="107"/>
      <x:c r="CG46" s="109" t="str">
        <x:f t="shared" si="22"/>
        <x:v>FAILED</x:v>
      </x:c>
      <x:c r="CH46" s="117"/>
    </x:row>
    <x:row r="47">
      <x:c r="A47" s="102" t="str">
        <x:f>IF(RECORD!A49="","",RECORD!A49)</x:f>
      </x:c>
      <x:c r="B47" s="102" t="str">
        <x:f>IF(RECORD!B49="","",RECORD!B49)</x:f>
      </x:c>
      <x:c r="C47" s="103" t="str">
        <x:f>IF(RECORD!C49="","",RECORD!C49)</x:f>
      </x:c>
      <x:c r="D47" s="104" t="str">
        <x:f t="array" ref="D47">IF(C47&lt;&gt;"",IF(F$7="SUMMER","N/A",_xlfn.IFS(D$10="TLA",RECORD!GO49,F$10="LECTURE","",TRUE(),"")),"")</x:f>
      </x:c>
      <x:c r="E47" s="105" t="str">
        <x:f t="shared" si="0"/>
      </x:c>
      <x:c r="F47" s="104" t="str">
        <x:f t="array" ref="F47">IF(C47&lt;&gt;"",IF(F$7="SUMMER","N/A",_xlfn.IFS(F$10="AT",RECORD!GI49,F$10="LECTURE",GRADES!AP47,TRUE(),"")),"")</x:f>
      </x:c>
      <x:c r="G47" s="106" t="str">
        <x:f t="shared" si="1"/>
      </x:c>
      <x:c r="H47" s="107" t="str">
        <x:f t="array" ref="H47">IF(C47&lt;&gt;"",IF(F$7="SUMMER","N/A",_xlfn.IFS(H$10="EXAM",RECORD!GJ49,H$10="OUTPUT",RECORD!GK49,H$10="LAB",BP47,TRUE(),"")),"")</x:f>
      </x:c>
      <x:c r="I47" s="106" t="str">
        <x:f t="shared" si="2"/>
      </x:c>
      <x:c r="J47" s="108" t="str">
        <x:f t="shared" si="3"/>
      </x:c>
      <x:c r="K47" s="109" t="str">
        <x:f t="shared" si="4"/>
      </x:c>
      <x:c r="L47" s="110" t="str">
        <x:f t="array" ref="L47">IF(C47&lt;&gt;"",_xlfn.IFS(L$10="TLA",RECORD!GY49,N$10="LECTURE","",TRUE(),""),"")</x:f>
      </x:c>
      <x:c r="M47" s="105" t="str">
        <x:f t="shared" si="5"/>
      </x:c>
      <x:c r="N47" s="104" t="str">
        <x:f t="array" ref="N47">IF(C47&lt;&gt;"",_xlfn.IFS(N$10="AT",RECORD!GS49,N$10="LECTURE",AX47,TRUE(),""),"")</x:f>
      </x:c>
      <x:c r="O47" s="106" t="str">
        <x:f t="shared" si="6"/>
      </x:c>
      <x:c r="P47" s="107" t="str">
        <x:f t="array" ref="P47">IF(C47&lt;&gt;"",_xlfn.IFS(P$10="EXAM",RECORD!GT49,P$10="OUTPUT",RECORD!GU49,P$10="LAB",BX47,TRUE(),""),"")</x:f>
      </x:c>
      <x:c r="Q47" s="106" t="str">
        <x:f t="shared" si="7"/>
      </x:c>
      <x:c r="R47" s="108" t="str">
        <x:f t="shared" si="8"/>
      </x:c>
      <x:c r="S47" s="109" t="str">
        <x:f t="shared" si="9"/>
      </x:c>
      <x:c r="T47" s="110" t="str">
        <x:f t="array" ref="T47">IF(C47&lt;&gt;"",_xlfn.IFS(T$10="TLA",RECORD!HI49,V$10="LECTURE","",TRUE(),""),"")</x:f>
      </x:c>
      <x:c r="U47" s="105" t="str">
        <x:f t="shared" si="10"/>
      </x:c>
      <x:c r="V47" s="104" t="str">
        <x:f t="array" ref="V47">IF(C47&lt;&gt;"",_xlfn.IFS(V$10="AT",RECORD!HC49,V$10="LECTURE",BF47,TRUE(),""),"")</x:f>
      </x:c>
      <x:c r="W47" s="106" t="str">
        <x:f t="shared" si="11"/>
      </x:c>
      <x:c r="X47" s="107" t="str">
        <x:f t="array" ref="X47">IF(C47&lt;&gt;"",_xlfn.IFS(X$10="EXAM",RECORD!HD49,X$10="OUTPUT",RECORD!HE49,X$10="LAB",CF47,TRUE(),""),"")</x:f>
      </x:c>
      <x:c r="Y47" s="106" t="str">
        <x:f t="shared" si="12"/>
      </x:c>
      <x:c r="Z47" s="108" t="str">
        <x:f t="shared" si="13"/>
      </x:c>
      <x:c r="AA47" s="109" t="str">
        <x:f t="shared" si="14"/>
      </x:c>
      <x:c r="AB47" s="111" t="str">
        <x:f t="shared" si="15"/>
      </x:c>
      <x:c r="AC47" s="109" t="str">
        <x:f t="shared" si="16"/>
      </x:c>
      <x:c r="AD47" s="112"/>
      <x:c r="AE47" s="102"/>
      <x:c r="AF47" s="113"/>
      <x:c r="AG47" s="112"/>
      <x:c r="AH47" s="103"/>
      <x:c r="AI47" s="114"/>
      <x:c r="AJ47" s="102"/>
      <x:c r="AK47" s="102"/>
      <x:c r="AL47" s="102"/>
      <x:c r="AM47" s="102"/>
      <x:c r="AN47" s="102"/>
      <x:c r="AO47" s="102"/>
      <x:c r="AP47" s="102"/>
      <x:c r="AQ47" s="109" t="str">
        <x:f t="shared" si="17"/>
        <x:v>FAILED</x:v>
      </x:c>
      <x:c r="AR47" s="115"/>
      <x:c r="AS47" s="115"/>
      <x:c r="AT47" s="107"/>
      <x:c r="AU47" s="107"/>
      <x:c r="AV47" s="107"/>
      <x:c r="AW47" s="107"/>
      <x:c r="AX47" s="107"/>
      <x:c r="AY47" s="109" t="str">
        <x:f t="shared" si="18"/>
        <x:v>FAILED</x:v>
      </x:c>
      <x:c r="AZ47" s="115"/>
      <x:c r="BA47" s="115"/>
      <x:c r="BB47" s="107"/>
      <x:c r="BC47" s="107"/>
      <x:c r="BD47" s="107"/>
      <x:c r="BE47" s="107"/>
      <x:c r="BF47" s="107"/>
      <x:c r="BG47" s="109" t="str">
        <x:f t="shared" si="19"/>
        <x:v>FAILED</x:v>
      </x:c>
      <x:c r="BH47" s="117"/>
      <x:c r="BI47" s="102"/>
      <x:c r="BJ47" s="102"/>
      <x:c r="BK47" s="102"/>
      <x:c r="BL47" s="102"/>
      <x:c r="BM47" s="102"/>
      <x:c r="BN47" s="102"/>
      <x:c r="BO47" s="102"/>
      <x:c r="BP47" s="102"/>
      <x:c r="BQ47" s="109" t="str">
        <x:f t="shared" si="20"/>
        <x:v>FAILED</x:v>
      </x:c>
      <x:c r="BR47" s="115"/>
      <x:c r="BS47" s="115"/>
      <x:c r="BT47" s="107"/>
      <x:c r="BU47" s="107"/>
      <x:c r="BV47" s="107"/>
      <x:c r="BW47" s="107"/>
      <x:c r="BX47" s="107"/>
      <x:c r="BY47" s="109" t="str">
        <x:f t="shared" si="21"/>
        <x:v>FAILED</x:v>
      </x:c>
      <x:c r="BZ47" s="115"/>
      <x:c r="CA47" s="115"/>
      <x:c r="CB47" s="107"/>
      <x:c r="CC47" s="107"/>
      <x:c r="CD47" s="107"/>
      <x:c r="CE47" s="107"/>
      <x:c r="CF47" s="107"/>
      <x:c r="CG47" s="109" t="str">
        <x:f t="shared" si="22"/>
        <x:v>FAILED</x:v>
      </x:c>
      <x:c r="CH47" s="117"/>
    </x:row>
    <x:row r="48">
      <x:c r="A48" s="102" t="str">
        <x:f>IF(RECORD!A50="","",RECORD!A50)</x:f>
      </x:c>
      <x:c r="B48" s="102" t="str">
        <x:f>IF(RECORD!B50="","",RECORD!B50)</x:f>
      </x:c>
      <x:c r="C48" s="103" t="str">
        <x:f>IF(RECORD!C50="","",RECORD!C50)</x:f>
      </x:c>
      <x:c r="D48" s="104" t="str">
        <x:f t="array" ref="D48">IF(C48&lt;&gt;"",IF(F$7="SUMMER","N/A",_xlfn.IFS(D$10="TLA",RECORD!GO50,F$10="LECTURE","",TRUE(),"")),"")</x:f>
      </x:c>
      <x:c r="E48" s="105" t="str">
        <x:f t="shared" si="0"/>
      </x:c>
      <x:c r="F48" s="104" t="str">
        <x:f t="array" ref="F48">IF(C48&lt;&gt;"",IF(F$7="SUMMER","N/A",_xlfn.IFS(F$10="AT",RECORD!GI50,F$10="LECTURE",GRADES!AP48,TRUE(),"")),"")</x:f>
      </x:c>
      <x:c r="G48" s="106" t="str">
        <x:f t="shared" si="1"/>
      </x:c>
      <x:c r="H48" s="107" t="str">
        <x:f t="array" ref="H48">IF(C48&lt;&gt;"",IF(F$7="SUMMER","N/A",_xlfn.IFS(H$10="EXAM",RECORD!GJ50,H$10="OUTPUT",RECORD!GK50,H$10="LAB",BP48,TRUE(),"")),"")</x:f>
      </x:c>
      <x:c r="I48" s="106" t="str">
        <x:f t="shared" si="2"/>
      </x:c>
      <x:c r="J48" s="108" t="str">
        <x:f t="shared" si="3"/>
      </x:c>
      <x:c r="K48" s="109" t="str">
        <x:f t="shared" si="4"/>
      </x:c>
      <x:c r="L48" s="110" t="str">
        <x:f t="array" ref="L48">IF(C48&lt;&gt;"",_xlfn.IFS(L$10="TLA",RECORD!GY50,N$10="LECTURE","",TRUE(),""),"")</x:f>
      </x:c>
      <x:c r="M48" s="105" t="str">
        <x:f t="shared" si="5"/>
      </x:c>
      <x:c r="N48" s="104" t="str">
        <x:f t="array" ref="N48">IF(C48&lt;&gt;"",_xlfn.IFS(N$10="AT",RECORD!GS50,N$10="LECTURE",AX48,TRUE(),""),"")</x:f>
      </x:c>
      <x:c r="O48" s="106" t="str">
        <x:f t="shared" si="6"/>
      </x:c>
      <x:c r="P48" s="107" t="str">
        <x:f t="array" ref="P48">IF(C48&lt;&gt;"",_xlfn.IFS(P$10="EXAM",RECORD!GT50,P$10="OUTPUT",RECORD!GU50,P$10="LAB",BX48,TRUE(),""),"")</x:f>
      </x:c>
      <x:c r="Q48" s="106" t="str">
        <x:f t="shared" si="7"/>
      </x:c>
      <x:c r="R48" s="108" t="str">
        <x:f t="shared" si="8"/>
      </x:c>
      <x:c r="S48" s="109" t="str">
        <x:f t="shared" si="9"/>
      </x:c>
      <x:c r="T48" s="110" t="str">
        <x:f t="array" ref="T48">IF(C48&lt;&gt;"",_xlfn.IFS(T$10="TLA",RECORD!HI50,V$10="LECTURE","",TRUE(),""),"")</x:f>
      </x:c>
      <x:c r="U48" s="105" t="str">
        <x:f t="shared" si="10"/>
      </x:c>
      <x:c r="V48" s="104" t="str">
        <x:f t="array" ref="V48">IF(C48&lt;&gt;"",_xlfn.IFS(V$10="AT",RECORD!HC50,V$10="LECTURE",BF48,TRUE(),""),"")</x:f>
      </x:c>
      <x:c r="W48" s="106" t="str">
        <x:f t="shared" si="11"/>
      </x:c>
      <x:c r="X48" s="107" t="str">
        <x:f t="array" ref="X48">IF(C48&lt;&gt;"",_xlfn.IFS(X$10="EXAM",RECORD!HD50,X$10="OUTPUT",RECORD!HE50,X$10="LAB",CF48,TRUE(),""),"")</x:f>
      </x:c>
      <x:c r="Y48" s="106" t="str">
        <x:f t="shared" si="12"/>
      </x:c>
      <x:c r="Z48" s="108" t="str">
        <x:f t="shared" si="13"/>
      </x:c>
      <x:c r="AA48" s="109" t="str">
        <x:f t="shared" si="14"/>
      </x:c>
      <x:c r="AB48" s="111" t="str">
        <x:f t="shared" si="15"/>
      </x:c>
      <x:c r="AC48" s="109" t="str">
        <x:f t="shared" si="16"/>
      </x:c>
      <x:c r="AD48" s="112"/>
      <x:c r="AE48" s="102"/>
      <x:c r="AF48" s="113"/>
      <x:c r="AG48" s="112"/>
      <x:c r="AH48" s="103"/>
      <x:c r="AI48" s="114"/>
      <x:c r="AJ48" s="102"/>
      <x:c r="AK48" s="102"/>
      <x:c r="AL48" s="102"/>
      <x:c r="AM48" s="102"/>
      <x:c r="AN48" s="102"/>
      <x:c r="AO48" s="102"/>
      <x:c r="AP48" s="102"/>
      <x:c r="AQ48" s="109" t="str">
        <x:f t="shared" si="17"/>
        <x:v>FAILED</x:v>
      </x:c>
      <x:c r="AR48" s="115"/>
      <x:c r="AS48" s="115"/>
      <x:c r="AT48" s="107"/>
      <x:c r="AU48" s="107"/>
      <x:c r="AV48" s="107"/>
      <x:c r="AW48" s="107"/>
      <x:c r="AX48" s="107"/>
      <x:c r="AY48" s="109" t="str">
        <x:f t="shared" si="18"/>
        <x:v>FAILED</x:v>
      </x:c>
      <x:c r="AZ48" s="115"/>
      <x:c r="BA48" s="115"/>
      <x:c r="BB48" s="107"/>
      <x:c r="BC48" s="107"/>
      <x:c r="BD48" s="107"/>
      <x:c r="BE48" s="107"/>
      <x:c r="BF48" s="107"/>
      <x:c r="BG48" s="109" t="str">
        <x:f t="shared" si="19"/>
        <x:v>FAILED</x:v>
      </x:c>
      <x:c r="BH48" s="117"/>
      <x:c r="BI48" s="102"/>
      <x:c r="BJ48" s="102"/>
      <x:c r="BK48" s="102"/>
      <x:c r="BL48" s="102"/>
      <x:c r="BM48" s="102"/>
      <x:c r="BN48" s="102"/>
      <x:c r="BO48" s="102"/>
      <x:c r="BP48" s="102"/>
      <x:c r="BQ48" s="109" t="str">
        <x:f t="shared" si="20"/>
        <x:v>FAILED</x:v>
      </x:c>
      <x:c r="BR48" s="115"/>
      <x:c r="BS48" s="115"/>
      <x:c r="BT48" s="107"/>
      <x:c r="BU48" s="107"/>
      <x:c r="BV48" s="107"/>
      <x:c r="BW48" s="107"/>
      <x:c r="BX48" s="107"/>
      <x:c r="BY48" s="109" t="str">
        <x:f t="shared" si="21"/>
        <x:v>FAILED</x:v>
      </x:c>
      <x:c r="BZ48" s="115"/>
      <x:c r="CA48" s="115"/>
      <x:c r="CB48" s="107"/>
      <x:c r="CC48" s="107"/>
      <x:c r="CD48" s="107"/>
      <x:c r="CE48" s="107"/>
      <x:c r="CF48" s="107"/>
      <x:c r="CG48" s="109" t="str">
        <x:f t="shared" si="22"/>
        <x:v>FAILED</x:v>
      </x:c>
      <x:c r="CH48" s="117"/>
    </x:row>
    <x:row r="49">
      <x:c r="A49" s="102" t="str">
        <x:f>IF(RECORD!A51="","",RECORD!A51)</x:f>
      </x:c>
      <x:c r="B49" s="102" t="str">
        <x:f>IF(RECORD!B51="","",RECORD!B51)</x:f>
      </x:c>
      <x:c r="C49" s="103" t="str">
        <x:f>IF(RECORD!C51="","",RECORD!C51)</x:f>
      </x:c>
      <x:c r="D49" s="104" t="str">
        <x:f t="array" ref="D49">IF(C49&lt;&gt;"",IF(F$7="SUMMER","N/A",_xlfn.IFS(D$10="TLA",RECORD!GO51,F$10="LECTURE","",TRUE(),"")),"")</x:f>
      </x:c>
      <x:c r="E49" s="105" t="str">
        <x:f t="shared" si="0"/>
      </x:c>
      <x:c r="F49" s="104" t="str">
        <x:f t="array" ref="F49">IF(C49&lt;&gt;"",IF(F$7="SUMMER","N/A",_xlfn.IFS(F$10="AT",RECORD!GI51,F$10="LECTURE",GRADES!AP49,TRUE(),"")),"")</x:f>
      </x:c>
      <x:c r="G49" s="106" t="str">
        <x:f t="shared" si="1"/>
      </x:c>
      <x:c r="H49" s="107" t="str">
        <x:f t="array" ref="H49">IF(C49&lt;&gt;"",IF(F$7="SUMMER","N/A",_xlfn.IFS(H$10="EXAM",RECORD!GJ51,H$10="OUTPUT",RECORD!GK51,H$10="LAB",BP49,TRUE(),"")),"")</x:f>
      </x:c>
      <x:c r="I49" s="106" t="str">
        <x:f t="shared" si="2"/>
      </x:c>
      <x:c r="J49" s="108" t="str">
        <x:f t="shared" si="3"/>
      </x:c>
      <x:c r="K49" s="109" t="str">
        <x:f t="shared" si="4"/>
      </x:c>
      <x:c r="L49" s="110" t="str">
        <x:f t="array" ref="L49">IF(C49&lt;&gt;"",_xlfn.IFS(L$10="TLA",RECORD!GY51,N$10="LECTURE","",TRUE(),""),"")</x:f>
      </x:c>
      <x:c r="M49" s="105" t="str">
        <x:f t="shared" si="5"/>
      </x:c>
      <x:c r="N49" s="104" t="str">
        <x:f t="array" ref="N49">IF(C49&lt;&gt;"",_xlfn.IFS(N$10="AT",RECORD!GS51,N$10="LECTURE",AX49,TRUE(),""),"")</x:f>
      </x:c>
      <x:c r="O49" s="106" t="str">
        <x:f t="shared" si="6"/>
      </x:c>
      <x:c r="P49" s="107" t="str">
        <x:f t="array" ref="P49">IF(C49&lt;&gt;"",_xlfn.IFS(P$10="EXAM",RECORD!GT51,P$10="OUTPUT",RECORD!GU51,P$10="LAB",BX49,TRUE(),""),"")</x:f>
      </x:c>
      <x:c r="Q49" s="106" t="str">
        <x:f t="shared" si="7"/>
      </x:c>
      <x:c r="R49" s="108" t="str">
        <x:f t="shared" si="8"/>
      </x:c>
      <x:c r="S49" s="109" t="str">
        <x:f t="shared" si="9"/>
      </x:c>
      <x:c r="T49" s="110" t="str">
        <x:f t="array" ref="T49">IF(C49&lt;&gt;"",_xlfn.IFS(T$10="TLA",RECORD!HI51,V$10="LECTURE","",TRUE(),""),"")</x:f>
      </x:c>
      <x:c r="U49" s="105" t="str">
        <x:f t="shared" si="10"/>
      </x:c>
      <x:c r="V49" s="104" t="str">
        <x:f t="array" ref="V49">IF(C49&lt;&gt;"",_xlfn.IFS(V$10="AT",RECORD!HC51,V$10="LECTURE",BF49,TRUE(),""),"")</x:f>
      </x:c>
      <x:c r="W49" s="106" t="str">
        <x:f t="shared" si="11"/>
      </x:c>
      <x:c r="X49" s="107" t="str">
        <x:f t="array" ref="X49">IF(C49&lt;&gt;"",_xlfn.IFS(X$10="EXAM",RECORD!HD51,X$10="OUTPUT",RECORD!HE51,X$10="LAB",CF49,TRUE(),""),"")</x:f>
      </x:c>
      <x:c r="Y49" s="106" t="str">
        <x:f t="shared" si="12"/>
      </x:c>
      <x:c r="Z49" s="108" t="str">
        <x:f t="shared" si="13"/>
      </x:c>
      <x:c r="AA49" s="109" t="str">
        <x:f t="shared" si="14"/>
      </x:c>
      <x:c r="AB49" s="111" t="str">
        <x:f t="shared" si="15"/>
      </x:c>
      <x:c r="AC49" s="109" t="str">
        <x:f t="shared" si="16"/>
      </x:c>
      <x:c r="AD49" s="112"/>
      <x:c r="AE49" s="102"/>
      <x:c r="AF49" s="113"/>
      <x:c r="AG49" s="112"/>
      <x:c r="AH49" s="103"/>
      <x:c r="AI49" s="114"/>
      <x:c r="AJ49" s="102"/>
      <x:c r="AK49" s="102"/>
      <x:c r="AL49" s="102"/>
      <x:c r="AM49" s="102"/>
      <x:c r="AN49" s="102"/>
      <x:c r="AO49" s="102"/>
      <x:c r="AP49" s="102"/>
      <x:c r="AQ49" s="109" t="str">
        <x:f t="shared" si="17"/>
        <x:v>FAILED</x:v>
      </x:c>
      <x:c r="AR49" s="115"/>
      <x:c r="AS49" s="115"/>
      <x:c r="AT49" s="107"/>
      <x:c r="AU49" s="107"/>
      <x:c r="AV49" s="107"/>
      <x:c r="AW49" s="107"/>
      <x:c r="AX49" s="107"/>
      <x:c r="AY49" s="109" t="str">
        <x:f t="shared" si="18"/>
        <x:v>FAILED</x:v>
      </x:c>
      <x:c r="AZ49" s="115"/>
      <x:c r="BA49" s="115"/>
      <x:c r="BB49" s="107"/>
      <x:c r="BC49" s="107"/>
      <x:c r="BD49" s="107"/>
      <x:c r="BE49" s="107"/>
      <x:c r="BF49" s="107"/>
      <x:c r="BG49" s="109" t="str">
        <x:f t="shared" si="19"/>
        <x:v>FAILED</x:v>
      </x:c>
      <x:c r="BH49" s="117"/>
      <x:c r="BI49" s="102"/>
      <x:c r="BJ49" s="102"/>
      <x:c r="BK49" s="102"/>
      <x:c r="BL49" s="102"/>
      <x:c r="BM49" s="102"/>
      <x:c r="BN49" s="102"/>
      <x:c r="BO49" s="102"/>
      <x:c r="BP49" s="102"/>
      <x:c r="BQ49" s="109" t="str">
        <x:f t="shared" si="20"/>
        <x:v>FAILED</x:v>
      </x:c>
      <x:c r="BR49" s="115"/>
      <x:c r="BS49" s="115"/>
      <x:c r="BT49" s="107"/>
      <x:c r="BU49" s="107"/>
      <x:c r="BV49" s="107"/>
      <x:c r="BW49" s="107"/>
      <x:c r="BX49" s="107"/>
      <x:c r="BY49" s="109" t="str">
        <x:f t="shared" si="21"/>
        <x:v>FAILED</x:v>
      </x:c>
      <x:c r="BZ49" s="115"/>
      <x:c r="CA49" s="115"/>
      <x:c r="CB49" s="107"/>
      <x:c r="CC49" s="107"/>
      <x:c r="CD49" s="107"/>
      <x:c r="CE49" s="107"/>
      <x:c r="CF49" s="107"/>
      <x:c r="CG49" s="109" t="str">
        <x:f t="shared" si="22"/>
        <x:v>FAILED</x:v>
      </x:c>
      <x:c r="CH49" s="117"/>
    </x:row>
    <x:row r="50">
      <x:c r="A50" s="102" t="str">
        <x:f>IF(RECORD!A52="","",RECORD!A52)</x:f>
      </x:c>
      <x:c r="B50" s="102" t="str">
        <x:f>IF(RECORD!B52="","",RECORD!B52)</x:f>
      </x:c>
      <x:c r="C50" s="103" t="str">
        <x:f>IF(RECORD!C52="","",RECORD!C52)</x:f>
      </x:c>
      <x:c r="D50" s="104" t="str">
        <x:f t="array" ref="D50">IF(C50&lt;&gt;"",IF(F$7="SUMMER","N/A",_xlfn.IFS(D$10="TLA",RECORD!GO52,F$10="LECTURE","",TRUE(),"")),"")</x:f>
      </x:c>
      <x:c r="E50" s="105" t="str">
        <x:f t="shared" si="0"/>
      </x:c>
      <x:c r="F50" s="104" t="str">
        <x:f t="array" ref="F50">IF(C50&lt;&gt;"",IF(F$7="SUMMER","N/A",_xlfn.IFS(F$10="AT",RECORD!GI52,F$10="LECTURE",GRADES!AP50,TRUE(),"")),"")</x:f>
      </x:c>
      <x:c r="G50" s="106" t="str">
        <x:f t="shared" si="1"/>
      </x:c>
      <x:c r="H50" s="107" t="str">
        <x:f t="array" ref="H50">IF(C50&lt;&gt;"",IF(F$7="SUMMER","N/A",_xlfn.IFS(H$10="EXAM",RECORD!GJ52,H$10="OUTPUT",RECORD!GK52,H$10="LAB",BP50,TRUE(),"")),"")</x:f>
      </x:c>
      <x:c r="I50" s="106" t="str">
        <x:f t="shared" si="2"/>
      </x:c>
      <x:c r="J50" s="108" t="str">
        <x:f t="shared" si="3"/>
      </x:c>
      <x:c r="K50" s="109" t="str">
        <x:f t="shared" si="4"/>
      </x:c>
      <x:c r="L50" s="110" t="str">
        <x:f t="array" ref="L50">IF(C50&lt;&gt;"",_xlfn.IFS(L$10="TLA",RECORD!GY52,N$10="LECTURE","",TRUE(),""),"")</x:f>
      </x:c>
      <x:c r="M50" s="105" t="str">
        <x:f t="shared" si="5"/>
      </x:c>
      <x:c r="N50" s="104" t="str">
        <x:f t="array" ref="N50">IF(C50&lt;&gt;"",_xlfn.IFS(N$10="AT",RECORD!GS52,N$10="LECTURE",AX50,TRUE(),""),"")</x:f>
      </x:c>
      <x:c r="O50" s="106" t="str">
        <x:f t="shared" si="6"/>
      </x:c>
      <x:c r="P50" s="107" t="str">
        <x:f t="array" ref="P50">IF(C50&lt;&gt;"",_xlfn.IFS(P$10="EXAM",RECORD!GT52,P$10="OUTPUT",RECORD!GU52,P$10="LAB",BX50,TRUE(),""),"")</x:f>
      </x:c>
      <x:c r="Q50" s="106" t="str">
        <x:f t="shared" si="7"/>
      </x:c>
      <x:c r="R50" s="108" t="str">
        <x:f t="shared" si="8"/>
      </x:c>
      <x:c r="S50" s="109" t="str">
        <x:f t="shared" si="9"/>
      </x:c>
      <x:c r="T50" s="110" t="str">
        <x:f t="array" ref="T50">IF(C50&lt;&gt;"",_xlfn.IFS(T$10="TLA",RECORD!HI52,V$10="LECTURE","",TRUE(),""),"")</x:f>
      </x:c>
      <x:c r="U50" s="105" t="str">
        <x:f t="shared" si="10"/>
      </x:c>
      <x:c r="V50" s="104" t="str">
        <x:f t="array" ref="V50">IF(C50&lt;&gt;"",_xlfn.IFS(V$10="AT",RECORD!HC52,V$10="LECTURE",BF50,TRUE(),""),"")</x:f>
      </x:c>
      <x:c r="W50" s="106" t="str">
        <x:f t="shared" si="11"/>
      </x:c>
      <x:c r="X50" s="107" t="str">
        <x:f t="array" ref="X50">IF(C50&lt;&gt;"",_xlfn.IFS(X$10="EXAM",RECORD!HD52,X$10="OUTPUT",RECORD!HE52,X$10="LAB",CF50,TRUE(),""),"")</x:f>
      </x:c>
      <x:c r="Y50" s="106" t="str">
        <x:f t="shared" si="12"/>
      </x:c>
      <x:c r="Z50" s="108" t="str">
        <x:f t="shared" si="13"/>
      </x:c>
      <x:c r="AA50" s="109" t="str">
        <x:f t="shared" si="14"/>
      </x:c>
      <x:c r="AB50" s="111" t="str">
        <x:f t="shared" si="15"/>
      </x:c>
      <x:c r="AC50" s="109" t="str">
        <x:f t="shared" si="16"/>
      </x:c>
      <x:c r="AD50" s="112"/>
      <x:c r="AE50" s="102"/>
      <x:c r="AF50" s="113"/>
      <x:c r="AG50" s="112"/>
      <x:c r="AH50" s="103"/>
      <x:c r="AI50" s="114"/>
      <x:c r="AJ50" s="102"/>
      <x:c r="AK50" s="102"/>
      <x:c r="AL50" s="102"/>
      <x:c r="AM50" s="102"/>
      <x:c r="AN50" s="102"/>
      <x:c r="AO50" s="102"/>
      <x:c r="AP50" s="102"/>
      <x:c r="AQ50" s="109" t="str">
        <x:f t="shared" si="17"/>
        <x:v>FAILED</x:v>
      </x:c>
      <x:c r="AR50" s="115"/>
      <x:c r="AS50" s="115"/>
      <x:c r="AT50" s="107"/>
      <x:c r="AU50" s="107"/>
      <x:c r="AV50" s="107"/>
      <x:c r="AW50" s="107"/>
      <x:c r="AX50" s="107"/>
      <x:c r="AY50" s="109" t="str">
        <x:f t="shared" si="18"/>
        <x:v>FAILED</x:v>
      </x:c>
      <x:c r="AZ50" s="115"/>
      <x:c r="BA50" s="115"/>
      <x:c r="BB50" s="107"/>
      <x:c r="BC50" s="107"/>
      <x:c r="BD50" s="107"/>
      <x:c r="BE50" s="107"/>
      <x:c r="BF50" s="107"/>
      <x:c r="BG50" s="109" t="str">
        <x:f t="shared" si="19"/>
        <x:v>FAILED</x:v>
      </x:c>
      <x:c r="BH50" s="117"/>
      <x:c r="BI50" s="102"/>
      <x:c r="BJ50" s="102"/>
      <x:c r="BK50" s="102"/>
      <x:c r="BL50" s="102"/>
      <x:c r="BM50" s="102"/>
      <x:c r="BN50" s="102"/>
      <x:c r="BO50" s="102"/>
      <x:c r="BP50" s="102"/>
      <x:c r="BQ50" s="109" t="str">
        <x:f t="shared" si="20"/>
        <x:v>FAILED</x:v>
      </x:c>
      <x:c r="BR50" s="115"/>
      <x:c r="BS50" s="115"/>
      <x:c r="BT50" s="107"/>
      <x:c r="BU50" s="107"/>
      <x:c r="BV50" s="107"/>
      <x:c r="BW50" s="107"/>
      <x:c r="BX50" s="107"/>
      <x:c r="BY50" s="109" t="str">
        <x:f t="shared" si="21"/>
        <x:v>FAILED</x:v>
      </x:c>
      <x:c r="BZ50" s="115"/>
      <x:c r="CA50" s="115"/>
      <x:c r="CB50" s="107"/>
      <x:c r="CC50" s="107"/>
      <x:c r="CD50" s="107"/>
      <x:c r="CE50" s="107"/>
      <x:c r="CF50" s="107"/>
      <x:c r="CG50" s="109" t="str">
        <x:f t="shared" si="22"/>
        <x:v>FAILED</x:v>
      </x:c>
      <x:c r="CH50" s="117"/>
    </x:row>
    <x:row r="51">
      <x:c r="A51" s="102" t="str">
        <x:f>IF(RECORD!A53="","",RECORD!A53)</x:f>
      </x:c>
      <x:c r="B51" s="102" t="str">
        <x:f>IF(RECORD!B53="","",RECORD!B53)</x:f>
      </x:c>
      <x:c r="C51" s="103" t="str">
        <x:f>IF(RECORD!C53="","",RECORD!C53)</x:f>
      </x:c>
      <x:c r="D51" s="104" t="str">
        <x:f t="array" ref="D51">IF(C51&lt;&gt;"",IF(F$7="SUMMER","N/A",_xlfn.IFS(D$10="TLA",RECORD!GO53,F$10="LECTURE","",TRUE(),"")),"")</x:f>
      </x:c>
      <x:c r="E51" s="105" t="str">
        <x:f t="shared" si="0"/>
      </x:c>
      <x:c r="F51" s="104" t="str">
        <x:f t="array" ref="F51">IF(C51&lt;&gt;"",IF(F$7="SUMMER","N/A",_xlfn.IFS(F$10="AT",RECORD!GI53,F$10="LECTURE",GRADES!AP51,TRUE(),"")),"")</x:f>
      </x:c>
      <x:c r="G51" s="106" t="str">
        <x:f t="shared" si="1"/>
      </x:c>
      <x:c r="H51" s="107" t="str">
        <x:f t="array" ref="H51">IF(C51&lt;&gt;"",IF(F$7="SUMMER","N/A",_xlfn.IFS(H$10="EXAM",RECORD!GJ53,H$10="OUTPUT",RECORD!GK53,H$10="LAB",BP51,TRUE(),"")),"")</x:f>
      </x:c>
      <x:c r="I51" s="106" t="str">
        <x:f t="shared" si="2"/>
      </x:c>
      <x:c r="J51" s="108" t="str">
        <x:f t="shared" si="3"/>
      </x:c>
      <x:c r="K51" s="109" t="str">
        <x:f t="shared" si="4"/>
      </x:c>
      <x:c r="L51" s="110" t="str">
        <x:f t="array" ref="L51">IF(C51&lt;&gt;"",_xlfn.IFS(L$10="TLA",RECORD!GY53,N$10="LECTURE","",TRUE(),""),"")</x:f>
      </x:c>
      <x:c r="M51" s="105" t="str">
        <x:f t="shared" si="5"/>
      </x:c>
      <x:c r="N51" s="104" t="str">
        <x:f t="array" ref="N51">IF(C51&lt;&gt;"",_xlfn.IFS(N$10="AT",RECORD!GS53,N$10="LECTURE",AX51,TRUE(),""),"")</x:f>
      </x:c>
      <x:c r="O51" s="106" t="str">
        <x:f t="shared" si="6"/>
      </x:c>
      <x:c r="P51" s="107" t="str">
        <x:f t="array" ref="P51">IF(C51&lt;&gt;"",_xlfn.IFS(P$10="EXAM",RECORD!GT53,P$10="OUTPUT",RECORD!GU53,P$10="LAB",BX51,TRUE(),""),"")</x:f>
      </x:c>
      <x:c r="Q51" s="106" t="str">
        <x:f t="shared" si="7"/>
      </x:c>
      <x:c r="R51" s="108" t="str">
        <x:f t="shared" si="8"/>
      </x:c>
      <x:c r="S51" s="109" t="str">
        <x:f t="shared" si="9"/>
      </x:c>
      <x:c r="T51" s="110" t="str">
        <x:f t="array" ref="T51">IF(C51&lt;&gt;"",_xlfn.IFS(T$10="TLA",RECORD!HI53,V$10="LECTURE","",TRUE(),""),"")</x:f>
      </x:c>
      <x:c r="U51" s="105" t="str">
        <x:f t="shared" si="10"/>
      </x:c>
      <x:c r="V51" s="104" t="str">
        <x:f t="array" ref="V51">IF(C51&lt;&gt;"",_xlfn.IFS(V$10="AT",RECORD!HC53,V$10="LECTURE",BF51,TRUE(),""),"")</x:f>
      </x:c>
      <x:c r="W51" s="106" t="str">
        <x:f t="shared" si="11"/>
      </x:c>
      <x:c r="X51" s="107" t="str">
        <x:f t="array" ref="X51">IF(C51&lt;&gt;"",_xlfn.IFS(X$10="EXAM",RECORD!HD53,X$10="OUTPUT",RECORD!HE53,X$10="LAB",CF51,TRUE(),""),"")</x:f>
      </x:c>
      <x:c r="Y51" s="106" t="str">
        <x:f t="shared" si="12"/>
      </x:c>
      <x:c r="Z51" s="108" t="str">
        <x:f t="shared" si="13"/>
      </x:c>
      <x:c r="AA51" s="109" t="str">
        <x:f t="shared" si="14"/>
      </x:c>
      <x:c r="AB51" s="111" t="str">
        <x:f t="shared" si="15"/>
      </x:c>
      <x:c r="AC51" s="109" t="str">
        <x:f t="shared" si="16"/>
      </x:c>
      <x:c r="AD51" s="112"/>
      <x:c r="AE51" s="102"/>
      <x:c r="AF51" s="113"/>
      <x:c r="AG51" s="112"/>
      <x:c r="AH51" s="103"/>
      <x:c r="AI51" s="114"/>
      <x:c r="AJ51" s="102"/>
      <x:c r="AK51" s="102"/>
      <x:c r="AL51" s="102"/>
      <x:c r="AM51" s="102"/>
      <x:c r="AN51" s="102"/>
      <x:c r="AO51" s="102"/>
      <x:c r="AP51" s="102"/>
      <x:c r="AQ51" s="109" t="str">
        <x:f t="shared" si="17"/>
        <x:v>FAILED</x:v>
      </x:c>
      <x:c r="AR51" s="115"/>
      <x:c r="AS51" s="115"/>
      <x:c r="AT51" s="107"/>
      <x:c r="AU51" s="107"/>
      <x:c r="AV51" s="107"/>
      <x:c r="AW51" s="107"/>
      <x:c r="AX51" s="107"/>
      <x:c r="AY51" s="109" t="str">
        <x:f t="shared" si="18"/>
        <x:v>FAILED</x:v>
      </x:c>
      <x:c r="AZ51" s="115"/>
      <x:c r="BA51" s="115"/>
      <x:c r="BB51" s="107"/>
      <x:c r="BC51" s="107"/>
      <x:c r="BD51" s="107"/>
      <x:c r="BE51" s="107"/>
      <x:c r="BF51" s="107"/>
      <x:c r="BG51" s="109" t="str">
        <x:f t="shared" si="19"/>
        <x:v>FAILED</x:v>
      </x:c>
      <x:c r="BH51" s="117"/>
      <x:c r="BI51" s="102"/>
      <x:c r="BJ51" s="102"/>
      <x:c r="BK51" s="102"/>
      <x:c r="BL51" s="102"/>
      <x:c r="BM51" s="102"/>
      <x:c r="BN51" s="102"/>
      <x:c r="BO51" s="102"/>
      <x:c r="BP51" s="102"/>
      <x:c r="BQ51" s="109" t="str">
        <x:f t="shared" si="20"/>
        <x:v>FAILED</x:v>
      </x:c>
      <x:c r="BR51" s="115"/>
      <x:c r="BS51" s="115"/>
      <x:c r="BT51" s="107"/>
      <x:c r="BU51" s="107"/>
      <x:c r="BV51" s="107"/>
      <x:c r="BW51" s="107"/>
      <x:c r="BX51" s="107"/>
      <x:c r="BY51" s="109" t="str">
        <x:f t="shared" si="21"/>
        <x:v>FAILED</x:v>
      </x:c>
      <x:c r="BZ51" s="115"/>
      <x:c r="CA51" s="115"/>
      <x:c r="CB51" s="107"/>
      <x:c r="CC51" s="107"/>
      <x:c r="CD51" s="107"/>
      <x:c r="CE51" s="107"/>
      <x:c r="CF51" s="107"/>
      <x:c r="CG51" s="109" t="str">
        <x:f t="shared" si="22"/>
        <x:v>FAILED</x:v>
      </x:c>
      <x:c r="CH51" s="117"/>
    </x:row>
    <x:row r="52">
      <x:c r="A52" s="102" t="str">
        <x:f>IF(RECORD!A54="","",RECORD!A54)</x:f>
      </x:c>
      <x:c r="B52" s="102" t="str">
        <x:f>IF(RECORD!B54="","",RECORD!B54)</x:f>
      </x:c>
      <x:c r="C52" s="103" t="str">
        <x:f>IF(RECORD!C54="","",RECORD!C54)</x:f>
      </x:c>
      <x:c r="D52" s="104" t="str">
        <x:f t="array" ref="D52">IF(C52&lt;&gt;"",IF(F$7="SUMMER","N/A",_xlfn.IFS(D$10="TLA",RECORD!GO54,F$10="LECTURE","",TRUE(),"")),"")</x:f>
      </x:c>
      <x:c r="E52" s="105" t="str">
        <x:f t="shared" si="0"/>
      </x:c>
      <x:c r="F52" s="104" t="str">
        <x:f t="array" ref="F52">IF(C52&lt;&gt;"",IF(F$7="SUMMER","N/A",_xlfn.IFS(F$10="AT",RECORD!GI54,F$10="LECTURE",GRADES!AP52,TRUE(),"")),"")</x:f>
      </x:c>
      <x:c r="G52" s="106" t="str">
        <x:f t="shared" si="1"/>
      </x:c>
      <x:c r="H52" s="107" t="str">
        <x:f t="array" ref="H52">IF(C52&lt;&gt;"",IF(F$7="SUMMER","N/A",_xlfn.IFS(H$10="EXAM",RECORD!GJ54,H$10="OUTPUT",RECORD!GK54,H$10="LAB",BP52,TRUE(),"")),"")</x:f>
      </x:c>
      <x:c r="I52" s="106" t="str">
        <x:f t="shared" si="2"/>
      </x:c>
      <x:c r="J52" s="108" t="str">
        <x:f t="shared" si="3"/>
      </x:c>
      <x:c r="K52" s="109" t="str">
        <x:f t="shared" si="4"/>
      </x:c>
      <x:c r="L52" s="110" t="str">
        <x:f t="array" ref="L52">IF(C52&lt;&gt;"",_xlfn.IFS(L$10="TLA",RECORD!GY54,N$10="LECTURE","",TRUE(),""),"")</x:f>
      </x:c>
      <x:c r="M52" s="105" t="str">
        <x:f t="shared" si="5"/>
      </x:c>
      <x:c r="N52" s="104" t="str">
        <x:f t="array" ref="N52">IF(C52&lt;&gt;"",_xlfn.IFS(N$10="AT",RECORD!GS54,N$10="LECTURE",AX52,TRUE(),""),"")</x:f>
      </x:c>
      <x:c r="O52" s="106" t="str">
        <x:f t="shared" si="6"/>
      </x:c>
      <x:c r="P52" s="107" t="str">
        <x:f t="array" ref="P52">IF(C52&lt;&gt;"",_xlfn.IFS(P$10="EXAM",RECORD!GT54,P$10="OUTPUT",RECORD!GU54,P$10="LAB",BX52,TRUE(),""),"")</x:f>
      </x:c>
      <x:c r="Q52" s="106" t="str">
        <x:f t="shared" si="7"/>
      </x:c>
      <x:c r="R52" s="108" t="str">
        <x:f t="shared" si="8"/>
      </x:c>
      <x:c r="S52" s="109" t="str">
        <x:f t="shared" si="9"/>
      </x:c>
      <x:c r="T52" s="110" t="str">
        <x:f t="array" ref="T52">IF(C52&lt;&gt;"",_xlfn.IFS(T$10="TLA",RECORD!HI54,V$10="LECTURE","",TRUE(),""),"")</x:f>
      </x:c>
      <x:c r="U52" s="105" t="str">
        <x:f t="shared" si="10"/>
      </x:c>
      <x:c r="V52" s="104" t="str">
        <x:f t="array" ref="V52">IF(C52&lt;&gt;"",_xlfn.IFS(V$10="AT",RECORD!HC54,V$10="LECTURE",BF52,TRUE(),""),"")</x:f>
      </x:c>
      <x:c r="W52" s="106" t="str">
        <x:f t="shared" si="11"/>
      </x:c>
      <x:c r="X52" s="107" t="str">
        <x:f t="array" ref="X52">IF(C52&lt;&gt;"",_xlfn.IFS(X$10="EXAM",RECORD!HD54,X$10="OUTPUT",RECORD!HE54,X$10="LAB",CF52,TRUE(),""),"")</x:f>
      </x:c>
      <x:c r="Y52" s="106" t="str">
        <x:f t="shared" si="12"/>
      </x:c>
      <x:c r="Z52" s="108" t="str">
        <x:f t="shared" si="13"/>
      </x:c>
      <x:c r="AA52" s="109" t="str">
        <x:f t="shared" si="14"/>
      </x:c>
      <x:c r="AB52" s="111" t="str">
        <x:f t="shared" si="15"/>
      </x:c>
      <x:c r="AC52" s="109" t="str">
        <x:f t="shared" si="16"/>
      </x:c>
      <x:c r="AD52" s="112"/>
      <x:c r="AE52" s="102"/>
      <x:c r="AF52" s="113"/>
      <x:c r="AG52" s="112"/>
      <x:c r="AH52" s="103"/>
      <x:c r="AI52" s="114"/>
      <x:c r="AJ52" s="102"/>
      <x:c r="AK52" s="102"/>
      <x:c r="AL52" s="102"/>
      <x:c r="AM52" s="102"/>
      <x:c r="AN52" s="102"/>
      <x:c r="AO52" s="102"/>
      <x:c r="AP52" s="102"/>
      <x:c r="AQ52" s="109" t="str">
        <x:f t="shared" si="17"/>
        <x:v>FAILED</x:v>
      </x:c>
      <x:c r="AR52" s="115"/>
      <x:c r="AS52" s="115"/>
      <x:c r="AT52" s="107"/>
      <x:c r="AU52" s="107"/>
      <x:c r="AV52" s="107"/>
      <x:c r="AW52" s="107"/>
      <x:c r="AX52" s="107"/>
      <x:c r="AY52" s="109" t="str">
        <x:f t="shared" si="18"/>
        <x:v>FAILED</x:v>
      </x:c>
      <x:c r="AZ52" s="115"/>
      <x:c r="BA52" s="115"/>
      <x:c r="BB52" s="107"/>
      <x:c r="BC52" s="107"/>
      <x:c r="BD52" s="107"/>
      <x:c r="BE52" s="107"/>
      <x:c r="BF52" s="107"/>
      <x:c r="BG52" s="109" t="str">
        <x:f t="shared" si="19"/>
        <x:v>FAILED</x:v>
      </x:c>
      <x:c r="BH52" s="117"/>
      <x:c r="BI52" s="102"/>
      <x:c r="BJ52" s="102"/>
      <x:c r="BK52" s="102"/>
      <x:c r="BL52" s="102"/>
      <x:c r="BM52" s="102"/>
      <x:c r="BN52" s="102"/>
      <x:c r="BO52" s="102"/>
      <x:c r="BP52" s="102"/>
      <x:c r="BQ52" s="109" t="str">
        <x:f t="shared" si="20"/>
        <x:v>FAILED</x:v>
      </x:c>
      <x:c r="BR52" s="115"/>
      <x:c r="BS52" s="115"/>
      <x:c r="BT52" s="107"/>
      <x:c r="BU52" s="107"/>
      <x:c r="BV52" s="107"/>
      <x:c r="BW52" s="107"/>
      <x:c r="BX52" s="107"/>
      <x:c r="BY52" s="109" t="str">
        <x:f t="shared" si="21"/>
        <x:v>FAILED</x:v>
      </x:c>
      <x:c r="BZ52" s="115"/>
      <x:c r="CA52" s="115"/>
      <x:c r="CB52" s="107"/>
      <x:c r="CC52" s="107"/>
      <x:c r="CD52" s="107"/>
      <x:c r="CE52" s="107"/>
      <x:c r="CF52" s="107"/>
      <x:c r="CG52" s="109" t="str">
        <x:f t="shared" si="22"/>
        <x:v>FAILED</x:v>
      </x:c>
      <x:c r="CH52" s="117"/>
    </x:row>
    <x:row r="53">
      <x:c r="A53" s="102" t="str">
        <x:f>IF(RECORD!A55="","",RECORD!A55)</x:f>
      </x:c>
      <x:c r="B53" s="102" t="str">
        <x:f>IF(RECORD!B55="","",RECORD!B55)</x:f>
      </x:c>
      <x:c r="C53" s="103" t="str">
        <x:f>IF(RECORD!C55="","",RECORD!C55)</x:f>
      </x:c>
      <x:c r="D53" s="104" t="str">
        <x:f t="array" ref="D53">IF(C53&lt;&gt;"",IF(F$7="SUMMER","N/A",_xlfn.IFS(D$10="TLA",RECORD!GO55,F$10="LECTURE","",TRUE(),"")),"")</x:f>
      </x:c>
      <x:c r="E53" s="105" t="str">
        <x:f t="shared" si="0"/>
      </x:c>
      <x:c r="F53" s="104" t="str">
        <x:f t="array" ref="F53">IF(C53&lt;&gt;"",IF(F$7="SUMMER","N/A",_xlfn.IFS(F$10="AT",RECORD!GI55,F$10="LECTURE",GRADES!AP53,TRUE(),"")),"")</x:f>
      </x:c>
      <x:c r="G53" s="106" t="str">
        <x:f t="shared" si="1"/>
      </x:c>
      <x:c r="H53" s="107" t="str">
        <x:f t="array" ref="H53">IF(C53&lt;&gt;"",IF(F$7="SUMMER","N/A",_xlfn.IFS(H$10="EXAM",RECORD!GJ55,H$10="OUTPUT",RECORD!GK55,H$10="LAB",BP53,TRUE(),"")),"")</x:f>
      </x:c>
      <x:c r="I53" s="106" t="str">
        <x:f t="shared" si="2"/>
      </x:c>
      <x:c r="J53" s="108" t="str">
        <x:f t="shared" si="3"/>
      </x:c>
      <x:c r="K53" s="109" t="str">
        <x:f t="shared" si="4"/>
      </x:c>
      <x:c r="L53" s="110" t="str">
        <x:f t="array" ref="L53">IF(C53&lt;&gt;"",_xlfn.IFS(L$10="TLA",RECORD!GY55,N$10="LECTURE","",TRUE(),""),"")</x:f>
      </x:c>
      <x:c r="M53" s="105" t="str">
        <x:f t="shared" si="5"/>
      </x:c>
      <x:c r="N53" s="104" t="str">
        <x:f t="array" ref="N53">IF(C53&lt;&gt;"",_xlfn.IFS(N$10="AT",RECORD!GS55,N$10="LECTURE",AX53,TRUE(),""),"")</x:f>
      </x:c>
      <x:c r="O53" s="106" t="str">
        <x:f t="shared" si="6"/>
      </x:c>
      <x:c r="P53" s="107" t="str">
        <x:f t="array" ref="P53">IF(C53&lt;&gt;"",_xlfn.IFS(P$10="EXAM",RECORD!GT55,P$10="OUTPUT",RECORD!GU55,P$10="LAB",BX53,TRUE(),""),"")</x:f>
      </x:c>
      <x:c r="Q53" s="106" t="str">
        <x:f t="shared" si="7"/>
      </x:c>
      <x:c r="R53" s="108" t="str">
        <x:f t="shared" si="8"/>
      </x:c>
      <x:c r="S53" s="109" t="str">
        <x:f t="shared" si="9"/>
      </x:c>
      <x:c r="T53" s="110" t="str">
        <x:f t="array" ref="T53">IF(C53&lt;&gt;"",_xlfn.IFS(T$10="TLA",RECORD!HI55,V$10="LECTURE","",TRUE(),""),"")</x:f>
      </x:c>
      <x:c r="U53" s="105" t="str">
        <x:f t="shared" si="10"/>
      </x:c>
      <x:c r="V53" s="104" t="str">
        <x:f t="array" ref="V53">IF(C53&lt;&gt;"",_xlfn.IFS(V$10="AT",RECORD!HC55,V$10="LECTURE",BF53,TRUE(),""),"")</x:f>
      </x:c>
      <x:c r="W53" s="106" t="str">
        <x:f t="shared" si="11"/>
      </x:c>
      <x:c r="X53" s="107" t="str">
        <x:f t="array" ref="X53">IF(C53&lt;&gt;"",_xlfn.IFS(X$10="EXAM",RECORD!HD55,X$10="OUTPUT",RECORD!HE55,X$10="LAB",CF53,TRUE(),""),"")</x:f>
      </x:c>
      <x:c r="Y53" s="106" t="str">
        <x:f t="shared" si="12"/>
      </x:c>
      <x:c r="Z53" s="108" t="str">
        <x:f t="shared" si="13"/>
      </x:c>
      <x:c r="AA53" s="109" t="str">
        <x:f t="shared" si="14"/>
      </x:c>
      <x:c r="AB53" s="111" t="str">
        <x:f t="shared" si="15"/>
      </x:c>
      <x:c r="AC53" s="109" t="str">
        <x:f t="shared" si="16"/>
      </x:c>
      <x:c r="AD53" s="112"/>
      <x:c r="AE53" s="102"/>
      <x:c r="AF53" s="113"/>
      <x:c r="AG53" s="112"/>
      <x:c r="AH53" s="103"/>
      <x:c r="AI53" s="114"/>
      <x:c r="AJ53" s="102"/>
      <x:c r="AK53" s="102"/>
      <x:c r="AL53" s="102"/>
      <x:c r="AM53" s="102"/>
      <x:c r="AN53" s="102"/>
      <x:c r="AO53" s="102"/>
      <x:c r="AP53" s="102"/>
      <x:c r="AQ53" s="109" t="str">
        <x:f t="shared" si="17"/>
        <x:v>FAILED</x:v>
      </x:c>
      <x:c r="AR53" s="115"/>
      <x:c r="AS53" s="115"/>
      <x:c r="AT53" s="107"/>
      <x:c r="AU53" s="107"/>
      <x:c r="AV53" s="107"/>
      <x:c r="AW53" s="107"/>
      <x:c r="AX53" s="107"/>
      <x:c r="AY53" s="109" t="str">
        <x:f t="shared" si="18"/>
        <x:v>FAILED</x:v>
      </x:c>
      <x:c r="AZ53" s="115"/>
      <x:c r="BA53" s="115"/>
      <x:c r="BB53" s="107"/>
      <x:c r="BC53" s="107"/>
      <x:c r="BD53" s="107"/>
      <x:c r="BE53" s="107"/>
      <x:c r="BF53" s="107"/>
      <x:c r="BG53" s="109" t="str">
        <x:f t="shared" si="19"/>
        <x:v>FAILED</x:v>
      </x:c>
      <x:c r="BH53" s="117"/>
      <x:c r="BI53" s="102"/>
      <x:c r="BJ53" s="102"/>
      <x:c r="BK53" s="102"/>
      <x:c r="BL53" s="102"/>
      <x:c r="BM53" s="102"/>
      <x:c r="BN53" s="102"/>
      <x:c r="BO53" s="102"/>
      <x:c r="BP53" s="102"/>
      <x:c r="BQ53" s="109" t="str">
        <x:f t="shared" si="20"/>
        <x:v>FAILED</x:v>
      </x:c>
      <x:c r="BR53" s="115"/>
      <x:c r="BS53" s="115"/>
      <x:c r="BT53" s="107"/>
      <x:c r="BU53" s="107"/>
      <x:c r="BV53" s="107"/>
      <x:c r="BW53" s="107"/>
      <x:c r="BX53" s="107"/>
      <x:c r="BY53" s="109" t="str">
        <x:f t="shared" si="21"/>
        <x:v>FAILED</x:v>
      </x:c>
      <x:c r="BZ53" s="115"/>
      <x:c r="CA53" s="115"/>
      <x:c r="CB53" s="107"/>
      <x:c r="CC53" s="107"/>
      <x:c r="CD53" s="107"/>
      <x:c r="CE53" s="107"/>
      <x:c r="CF53" s="107"/>
      <x:c r="CG53" s="109" t="str">
        <x:f t="shared" si="22"/>
        <x:v>FAILED</x:v>
      </x:c>
      <x:c r="CH53" s="117"/>
    </x:row>
    <x:row r="54">
      <x:c r="A54" s="102" t="str">
        <x:f>IF(RECORD!A56="","",RECORD!A56)</x:f>
      </x:c>
      <x:c r="B54" s="102" t="str">
        <x:f>IF(RECORD!B56="","",RECORD!B56)</x:f>
      </x:c>
      <x:c r="C54" s="103" t="str">
        <x:f>IF(RECORD!C56="","",RECORD!C56)</x:f>
      </x:c>
      <x:c r="D54" s="104" t="str">
        <x:f t="array" ref="D54">IF(C54&lt;&gt;"",IF(F$7="SUMMER","N/A",_xlfn.IFS(D$10="TLA",RECORD!GO56,F$10="LECTURE","",TRUE(),"")),"")</x:f>
      </x:c>
      <x:c r="E54" s="105" t="str">
        <x:f t="shared" si="0"/>
      </x:c>
      <x:c r="F54" s="104" t="str">
        <x:f t="array" ref="F54">IF(C54&lt;&gt;"",IF(F$7="SUMMER","N/A",_xlfn.IFS(F$10="AT",RECORD!GI56,F$10="LECTURE",GRADES!AP54,TRUE(),"")),"")</x:f>
      </x:c>
      <x:c r="G54" s="106" t="str">
        <x:f t="shared" si="1"/>
      </x:c>
      <x:c r="H54" s="107" t="str">
        <x:f t="array" ref="H54">IF(C54&lt;&gt;"",IF(F$7="SUMMER","N/A",_xlfn.IFS(H$10="EXAM",RECORD!GJ56,H$10="OUTPUT",RECORD!GK56,H$10="LAB",BP54,TRUE(),"")),"")</x:f>
      </x:c>
      <x:c r="I54" s="106" t="str">
        <x:f t="shared" si="2"/>
      </x:c>
      <x:c r="J54" s="108" t="str">
        <x:f t="shared" si="3"/>
      </x:c>
      <x:c r="K54" s="109" t="str">
        <x:f t="shared" si="4"/>
      </x:c>
      <x:c r="L54" s="110" t="str">
        <x:f t="array" ref="L54">IF(C54&lt;&gt;"",_xlfn.IFS(L$10="TLA",RECORD!GY56,N$10="LECTURE","",TRUE(),""),"")</x:f>
      </x:c>
      <x:c r="M54" s="105" t="str">
        <x:f t="shared" si="5"/>
      </x:c>
      <x:c r="N54" s="104" t="str">
        <x:f t="array" ref="N54">IF(C54&lt;&gt;"",_xlfn.IFS(N$10="AT",RECORD!GS56,N$10="LECTURE",AX54,TRUE(),""),"")</x:f>
      </x:c>
      <x:c r="O54" s="106" t="str">
        <x:f t="shared" si="6"/>
      </x:c>
      <x:c r="P54" s="107" t="str">
        <x:f t="array" ref="P54">IF(C54&lt;&gt;"",_xlfn.IFS(P$10="EXAM",RECORD!GT56,P$10="OUTPUT",RECORD!GU56,P$10="LAB",BX54,TRUE(),""),"")</x:f>
      </x:c>
      <x:c r="Q54" s="106" t="str">
        <x:f t="shared" si="7"/>
      </x:c>
      <x:c r="R54" s="108" t="str">
        <x:f t="shared" si="8"/>
      </x:c>
      <x:c r="S54" s="109" t="str">
        <x:f t="shared" si="9"/>
      </x:c>
      <x:c r="T54" s="110" t="str">
        <x:f t="array" ref="T54">IF(C54&lt;&gt;"",_xlfn.IFS(T$10="TLA",RECORD!HI56,V$10="LECTURE","",TRUE(),""),"")</x:f>
      </x:c>
      <x:c r="U54" s="105" t="str">
        <x:f t="shared" si="10"/>
      </x:c>
      <x:c r="V54" s="104" t="str">
        <x:f t="array" ref="V54">IF(C54&lt;&gt;"",_xlfn.IFS(V$10="AT",RECORD!HC56,V$10="LECTURE",BF54,TRUE(),""),"")</x:f>
      </x:c>
      <x:c r="W54" s="106" t="str">
        <x:f t="shared" si="11"/>
      </x:c>
      <x:c r="X54" s="107" t="str">
        <x:f t="array" ref="X54">IF(C54&lt;&gt;"",_xlfn.IFS(X$10="EXAM",RECORD!HD56,X$10="OUTPUT",RECORD!HE56,X$10="LAB",CF54,TRUE(),""),"")</x:f>
      </x:c>
      <x:c r="Y54" s="106" t="str">
        <x:f t="shared" si="12"/>
      </x:c>
      <x:c r="Z54" s="108" t="str">
        <x:f t="shared" si="13"/>
      </x:c>
      <x:c r="AA54" s="109" t="str">
        <x:f t="shared" si="14"/>
      </x:c>
      <x:c r="AB54" s="111" t="str">
        <x:f t="shared" si="15"/>
      </x:c>
      <x:c r="AC54" s="109" t="str">
        <x:f t="shared" si="16"/>
      </x:c>
      <x:c r="AD54" s="112"/>
      <x:c r="AE54" s="102"/>
      <x:c r="AF54" s="113"/>
      <x:c r="AG54" s="112"/>
      <x:c r="AH54" s="103"/>
      <x:c r="AI54" s="114"/>
      <x:c r="AJ54" s="102"/>
      <x:c r="AK54" s="102"/>
      <x:c r="AL54" s="102"/>
      <x:c r="AM54" s="102"/>
      <x:c r="AN54" s="102"/>
      <x:c r="AO54" s="102"/>
      <x:c r="AP54" s="102"/>
      <x:c r="AQ54" s="109" t="str">
        <x:f t="shared" si="17"/>
        <x:v>FAILED</x:v>
      </x:c>
      <x:c r="AR54" s="115"/>
      <x:c r="AS54" s="115"/>
      <x:c r="AT54" s="107"/>
      <x:c r="AU54" s="107"/>
      <x:c r="AV54" s="107"/>
      <x:c r="AW54" s="107"/>
      <x:c r="AX54" s="107"/>
      <x:c r="AY54" s="109" t="str">
        <x:f t="shared" si="18"/>
        <x:v>FAILED</x:v>
      </x:c>
      <x:c r="AZ54" s="115"/>
      <x:c r="BA54" s="115"/>
      <x:c r="BB54" s="107"/>
      <x:c r="BC54" s="107"/>
      <x:c r="BD54" s="107"/>
      <x:c r="BE54" s="107"/>
      <x:c r="BF54" s="107"/>
      <x:c r="BG54" s="109" t="str">
        <x:f t="shared" si="19"/>
        <x:v>FAILED</x:v>
      </x:c>
      <x:c r="BH54" s="117"/>
      <x:c r="BI54" s="102"/>
      <x:c r="BJ54" s="102"/>
      <x:c r="BK54" s="102"/>
      <x:c r="BL54" s="102"/>
      <x:c r="BM54" s="102"/>
      <x:c r="BN54" s="102"/>
      <x:c r="BO54" s="102"/>
      <x:c r="BP54" s="102"/>
      <x:c r="BQ54" s="109" t="str">
        <x:f t="shared" si="20"/>
        <x:v>FAILED</x:v>
      </x:c>
      <x:c r="BR54" s="115"/>
      <x:c r="BS54" s="115"/>
      <x:c r="BT54" s="107"/>
      <x:c r="BU54" s="107"/>
      <x:c r="BV54" s="107"/>
      <x:c r="BW54" s="107"/>
      <x:c r="BX54" s="107"/>
      <x:c r="BY54" s="109" t="str">
        <x:f t="shared" si="21"/>
        <x:v>FAILED</x:v>
      </x:c>
      <x:c r="BZ54" s="115"/>
      <x:c r="CA54" s="115"/>
      <x:c r="CB54" s="107"/>
      <x:c r="CC54" s="107"/>
      <x:c r="CD54" s="107"/>
      <x:c r="CE54" s="107"/>
      <x:c r="CF54" s="107"/>
      <x:c r="CG54" s="109" t="str">
        <x:f t="shared" si="22"/>
        <x:v>FAILED</x:v>
      </x:c>
      <x:c r="CH54" s="117"/>
    </x:row>
    <x:row r="55">
      <x:c r="A55" s="102" t="str">
        <x:f>IF(RECORD!A57="","",RECORD!A57)</x:f>
      </x:c>
      <x:c r="B55" s="102" t="str">
        <x:f>IF(RECORD!B57="","",RECORD!B57)</x:f>
      </x:c>
      <x:c r="C55" s="103" t="str">
        <x:f>IF(RECORD!C57="","",RECORD!C57)</x:f>
      </x:c>
      <x:c r="D55" s="104" t="str">
        <x:f t="array" ref="D55">IF(C55&lt;&gt;"",IF(F$7="SUMMER","N/A",_xlfn.IFS(D$10="TLA",RECORD!GO57,F$10="LECTURE","",TRUE(),"")),"")</x:f>
      </x:c>
      <x:c r="E55" s="105" t="str">
        <x:f t="shared" si="0"/>
      </x:c>
      <x:c r="F55" s="104" t="str">
        <x:f t="array" ref="F55">IF(C55&lt;&gt;"",IF(F$7="SUMMER","N/A",_xlfn.IFS(F$10="AT",RECORD!GI57,F$10="LECTURE",GRADES!AP55,TRUE(),"")),"")</x:f>
      </x:c>
      <x:c r="G55" s="106" t="str">
        <x:f t="shared" si="1"/>
      </x:c>
      <x:c r="H55" s="107" t="str">
        <x:f t="array" ref="H55">IF(C55&lt;&gt;"",IF(F$7="SUMMER","N/A",_xlfn.IFS(H$10="EXAM",RECORD!GJ57,H$10="OUTPUT",RECORD!GK57,H$10="LAB",BP55,TRUE(),"")),"")</x:f>
      </x:c>
      <x:c r="I55" s="106" t="str">
        <x:f t="shared" si="2"/>
      </x:c>
      <x:c r="J55" s="108" t="str">
        <x:f t="shared" si="3"/>
      </x:c>
      <x:c r="K55" s="109" t="str">
        <x:f t="shared" si="4"/>
      </x:c>
      <x:c r="L55" s="110" t="str">
        <x:f t="array" ref="L55">IF(C55&lt;&gt;"",_xlfn.IFS(L$10="TLA",RECORD!GY57,N$10="LECTURE","",TRUE(),""),"")</x:f>
      </x:c>
      <x:c r="M55" s="105" t="str">
        <x:f t="shared" si="5"/>
      </x:c>
      <x:c r="N55" s="104" t="str">
        <x:f t="array" ref="N55">IF(C55&lt;&gt;"",_xlfn.IFS(N$10="AT",RECORD!GS57,N$10="LECTURE",AX55,TRUE(),""),"")</x:f>
      </x:c>
      <x:c r="O55" s="106" t="str">
        <x:f t="shared" si="6"/>
      </x:c>
      <x:c r="P55" s="107" t="str">
        <x:f t="array" ref="P55">IF(C55&lt;&gt;"",_xlfn.IFS(P$10="EXAM",RECORD!GT57,P$10="OUTPUT",RECORD!GU57,P$10="LAB",BX55,TRUE(),""),"")</x:f>
      </x:c>
      <x:c r="Q55" s="106" t="str">
        <x:f t="shared" si="7"/>
      </x:c>
      <x:c r="R55" s="108" t="str">
        <x:f t="shared" si="8"/>
      </x:c>
      <x:c r="S55" s="109" t="str">
        <x:f t="shared" si="9"/>
      </x:c>
      <x:c r="T55" s="110" t="str">
        <x:f t="array" ref="T55">IF(C55&lt;&gt;"",_xlfn.IFS(T$10="TLA",RECORD!HI57,V$10="LECTURE","",TRUE(),""),"")</x:f>
      </x:c>
      <x:c r="U55" s="105" t="str">
        <x:f t="shared" si="10"/>
      </x:c>
      <x:c r="V55" s="104" t="str">
        <x:f t="array" ref="V55">IF(C55&lt;&gt;"",_xlfn.IFS(V$10="AT",RECORD!HC57,V$10="LECTURE",BF55,TRUE(),""),"")</x:f>
      </x:c>
      <x:c r="W55" s="106" t="str">
        <x:f t="shared" si="11"/>
      </x:c>
      <x:c r="X55" s="107" t="str">
        <x:f t="array" ref="X55">IF(C55&lt;&gt;"",_xlfn.IFS(X$10="EXAM",RECORD!HD57,X$10="OUTPUT",RECORD!HE57,X$10="LAB",CF55,TRUE(),""),"")</x:f>
      </x:c>
      <x:c r="Y55" s="106" t="str">
        <x:f t="shared" si="12"/>
      </x:c>
      <x:c r="Z55" s="108" t="str">
        <x:f t="shared" si="13"/>
      </x:c>
      <x:c r="AA55" s="109" t="str">
        <x:f t="shared" si="14"/>
      </x:c>
      <x:c r="AB55" s="111" t="str">
        <x:f t="shared" si="15"/>
      </x:c>
      <x:c r="AC55" s="109" t="str">
        <x:f t="shared" si="16"/>
      </x:c>
      <x:c r="AD55" s="112"/>
      <x:c r="AE55" s="102"/>
      <x:c r="AF55" s="113"/>
      <x:c r="AG55" s="112"/>
      <x:c r="AH55" s="103"/>
      <x:c r="AI55" s="114"/>
      <x:c r="AJ55" s="102"/>
      <x:c r="AK55" s="102"/>
      <x:c r="AL55" s="102"/>
      <x:c r="AM55" s="102"/>
      <x:c r="AN55" s="102"/>
      <x:c r="AO55" s="102"/>
      <x:c r="AP55" s="102"/>
      <x:c r="AQ55" s="109" t="str">
        <x:f t="shared" si="17"/>
        <x:v>FAILED</x:v>
      </x:c>
      <x:c r="AR55" s="115"/>
      <x:c r="AS55" s="115"/>
      <x:c r="AT55" s="107"/>
      <x:c r="AU55" s="107"/>
      <x:c r="AV55" s="107"/>
      <x:c r="AW55" s="107"/>
      <x:c r="AX55" s="107"/>
      <x:c r="AY55" s="109" t="str">
        <x:f t="shared" si="18"/>
        <x:v>FAILED</x:v>
      </x:c>
      <x:c r="AZ55" s="115"/>
      <x:c r="BA55" s="115"/>
      <x:c r="BB55" s="107"/>
      <x:c r="BC55" s="107"/>
      <x:c r="BD55" s="107"/>
      <x:c r="BE55" s="107"/>
      <x:c r="BF55" s="107"/>
      <x:c r="BG55" s="109" t="str">
        <x:f t="shared" si="19"/>
        <x:v>FAILED</x:v>
      </x:c>
      <x:c r="BH55" s="117"/>
      <x:c r="BI55" s="102"/>
      <x:c r="BJ55" s="102"/>
      <x:c r="BK55" s="102"/>
      <x:c r="BL55" s="102"/>
      <x:c r="BM55" s="102"/>
      <x:c r="BN55" s="102"/>
      <x:c r="BO55" s="102"/>
      <x:c r="BP55" s="102"/>
      <x:c r="BQ55" s="109" t="str">
        <x:f t="shared" si="20"/>
        <x:v>FAILED</x:v>
      </x:c>
      <x:c r="BR55" s="115"/>
      <x:c r="BS55" s="115"/>
      <x:c r="BT55" s="107"/>
      <x:c r="BU55" s="107"/>
      <x:c r="BV55" s="107"/>
      <x:c r="BW55" s="107"/>
      <x:c r="BX55" s="107"/>
      <x:c r="BY55" s="109" t="str">
        <x:f t="shared" si="21"/>
        <x:v>FAILED</x:v>
      </x:c>
      <x:c r="BZ55" s="115"/>
      <x:c r="CA55" s="115"/>
      <x:c r="CB55" s="107"/>
      <x:c r="CC55" s="107"/>
      <x:c r="CD55" s="107"/>
      <x:c r="CE55" s="107"/>
      <x:c r="CF55" s="107"/>
      <x:c r="CG55" s="109" t="str">
        <x:f t="shared" si="22"/>
        <x:v>FAILED</x:v>
      </x:c>
      <x:c r="CH55" s="117"/>
    </x:row>
    <x:row r="56">
      <x:c r="A56" s="102" t="str">
        <x:f>IF(RECORD!A58="","",RECORD!A58)</x:f>
      </x:c>
      <x:c r="B56" s="102" t="str">
        <x:f>IF(RECORD!B58="","",RECORD!B58)</x:f>
      </x:c>
      <x:c r="C56" s="103" t="str">
        <x:f>IF(RECORD!C58="","",RECORD!C58)</x:f>
      </x:c>
      <x:c r="D56" s="104" t="str">
        <x:f t="array" ref="D56">IF(C56&lt;&gt;"",IF(F$7="SUMMER","N/A",_xlfn.IFS(D$10="TLA",RECORD!GO58,F$10="LECTURE","",TRUE(),"")),"")</x:f>
      </x:c>
      <x:c r="E56" s="105" t="str">
        <x:f t="shared" si="0"/>
      </x:c>
      <x:c r="F56" s="104" t="str">
        <x:f t="array" ref="F56">IF(C56&lt;&gt;"",IF(F$7="SUMMER","N/A",_xlfn.IFS(F$10="AT",RECORD!GI58,F$10="LECTURE",GRADES!AP56,TRUE(),"")),"")</x:f>
      </x:c>
      <x:c r="G56" s="106" t="str">
        <x:f t="shared" si="1"/>
      </x:c>
      <x:c r="H56" s="107" t="str">
        <x:f t="array" ref="H56">IF(C56&lt;&gt;"",IF(F$7="SUMMER","N/A",_xlfn.IFS(H$10="EXAM",RECORD!GJ58,H$10="OUTPUT",RECORD!GK58,H$10="LAB",BP56,TRUE(),"")),"")</x:f>
      </x:c>
      <x:c r="I56" s="106" t="str">
        <x:f t="shared" si="2"/>
      </x:c>
      <x:c r="J56" s="108" t="str">
        <x:f t="shared" si="3"/>
      </x:c>
      <x:c r="K56" s="109" t="str">
        <x:f t="shared" si="4"/>
      </x:c>
      <x:c r="L56" s="110" t="str">
        <x:f t="array" ref="L56">IF(C56&lt;&gt;"",_xlfn.IFS(L$10="TLA",RECORD!GY58,N$10="LECTURE","",TRUE(),""),"")</x:f>
      </x:c>
      <x:c r="M56" s="105" t="str">
        <x:f t="shared" si="5"/>
      </x:c>
      <x:c r="N56" s="104" t="str">
        <x:f t="array" ref="N56">IF(C56&lt;&gt;"",_xlfn.IFS(N$10="AT",RECORD!GS58,N$10="LECTURE",AX56,TRUE(),""),"")</x:f>
      </x:c>
      <x:c r="O56" s="106" t="str">
        <x:f t="shared" si="6"/>
      </x:c>
      <x:c r="P56" s="107" t="str">
        <x:f t="array" ref="P56">IF(C56&lt;&gt;"",_xlfn.IFS(P$10="EXAM",RECORD!GT58,P$10="OUTPUT",RECORD!GU58,P$10="LAB",BX56,TRUE(),""),"")</x:f>
      </x:c>
      <x:c r="Q56" s="106" t="str">
        <x:f t="shared" si="7"/>
      </x:c>
      <x:c r="R56" s="108" t="str">
        <x:f t="shared" si="8"/>
      </x:c>
      <x:c r="S56" s="109" t="str">
        <x:f t="shared" si="9"/>
      </x:c>
      <x:c r="T56" s="110" t="str">
        <x:f t="array" ref="T56">IF(C56&lt;&gt;"",_xlfn.IFS(T$10="TLA",RECORD!HI58,V$10="LECTURE","",TRUE(),""),"")</x:f>
      </x:c>
      <x:c r="U56" s="105" t="str">
        <x:f t="shared" si="10"/>
      </x:c>
      <x:c r="V56" s="104" t="str">
        <x:f t="array" ref="V56">IF(C56&lt;&gt;"",_xlfn.IFS(V$10="AT",RECORD!HC58,V$10="LECTURE",BF56,TRUE(),""),"")</x:f>
      </x:c>
      <x:c r="W56" s="106" t="str">
        <x:f t="shared" si="11"/>
      </x:c>
      <x:c r="X56" s="107" t="str">
        <x:f t="array" ref="X56">IF(C56&lt;&gt;"",_xlfn.IFS(X$10="EXAM",RECORD!HD58,X$10="OUTPUT",RECORD!HE58,X$10="LAB",CF56,TRUE(),""),"")</x:f>
      </x:c>
      <x:c r="Y56" s="106" t="str">
        <x:f t="shared" si="12"/>
      </x:c>
      <x:c r="Z56" s="108" t="str">
        <x:f t="shared" si="13"/>
      </x:c>
      <x:c r="AA56" s="109" t="str">
        <x:f t="shared" si="14"/>
      </x:c>
      <x:c r="AB56" s="111" t="str">
        <x:f t="shared" si="15"/>
      </x:c>
      <x:c r="AC56" s="109" t="str">
        <x:f t="shared" si="16"/>
      </x:c>
      <x:c r="AD56" s="112"/>
      <x:c r="AE56" s="102"/>
      <x:c r="AF56" s="113"/>
      <x:c r="AG56" s="112"/>
      <x:c r="AH56" s="103"/>
      <x:c r="AI56" s="114"/>
      <x:c r="AJ56" s="102"/>
      <x:c r="AK56" s="102"/>
      <x:c r="AL56" s="102"/>
      <x:c r="AM56" s="102"/>
      <x:c r="AN56" s="102"/>
      <x:c r="AO56" s="102"/>
      <x:c r="AP56" s="102"/>
      <x:c r="AQ56" s="109" t="str">
        <x:f t="shared" si="17"/>
        <x:v>FAILED</x:v>
      </x:c>
      <x:c r="AR56" s="115"/>
      <x:c r="AS56" s="115"/>
      <x:c r="AT56" s="107"/>
      <x:c r="AU56" s="107"/>
      <x:c r="AV56" s="107"/>
      <x:c r="AW56" s="107"/>
      <x:c r="AX56" s="107"/>
      <x:c r="AY56" s="109" t="str">
        <x:f t="shared" si="18"/>
        <x:v>FAILED</x:v>
      </x:c>
      <x:c r="AZ56" s="115"/>
      <x:c r="BA56" s="115"/>
      <x:c r="BB56" s="107"/>
      <x:c r="BC56" s="107"/>
      <x:c r="BD56" s="107"/>
      <x:c r="BE56" s="107"/>
      <x:c r="BF56" s="107"/>
      <x:c r="BG56" s="109" t="str">
        <x:f t="shared" si="19"/>
        <x:v>FAILED</x:v>
      </x:c>
      <x:c r="BH56" s="117"/>
      <x:c r="BI56" s="102"/>
      <x:c r="BJ56" s="102"/>
      <x:c r="BK56" s="102"/>
      <x:c r="BL56" s="102"/>
      <x:c r="BM56" s="102"/>
      <x:c r="BN56" s="102"/>
      <x:c r="BO56" s="102"/>
      <x:c r="BP56" s="102"/>
      <x:c r="BQ56" s="109" t="str">
        <x:f t="shared" si="20"/>
        <x:v>FAILED</x:v>
      </x:c>
      <x:c r="BR56" s="115"/>
      <x:c r="BS56" s="115"/>
      <x:c r="BT56" s="107"/>
      <x:c r="BU56" s="107"/>
      <x:c r="BV56" s="107"/>
      <x:c r="BW56" s="107"/>
      <x:c r="BX56" s="107"/>
      <x:c r="BY56" s="109" t="str">
        <x:f t="shared" si="21"/>
        <x:v>FAILED</x:v>
      </x:c>
      <x:c r="BZ56" s="115"/>
      <x:c r="CA56" s="115"/>
      <x:c r="CB56" s="107"/>
      <x:c r="CC56" s="107"/>
      <x:c r="CD56" s="107"/>
      <x:c r="CE56" s="107"/>
      <x:c r="CF56" s="107"/>
      <x:c r="CG56" s="109" t="str">
        <x:f t="shared" si="22"/>
        <x:v>FAILED</x:v>
      </x:c>
      <x:c r="CH56" s="117"/>
    </x:row>
    <x:row r="57">
      <x:c r="A57" s="102" t="str">
        <x:f>IF(RECORD!A59="","",RECORD!A59)</x:f>
      </x:c>
      <x:c r="B57" s="102" t="str">
        <x:f>IF(RECORD!B59="","",RECORD!B59)</x:f>
      </x:c>
      <x:c r="C57" s="103" t="str">
        <x:f>IF(RECORD!C59="","",RECORD!C59)</x:f>
      </x:c>
      <x:c r="D57" s="104" t="str">
        <x:f t="array" ref="D57">IF(C57&lt;&gt;"",IF(F$7="SUMMER","N/A",_xlfn.IFS(D$10="TLA",RECORD!GO59,F$10="LECTURE","",TRUE(),"")),"")</x:f>
      </x:c>
      <x:c r="E57" s="105" t="str">
        <x:f t="shared" si="0"/>
      </x:c>
      <x:c r="F57" s="104" t="str">
        <x:f t="array" ref="F57">IF(C57&lt;&gt;"",IF(F$7="SUMMER","N/A",_xlfn.IFS(F$10="AT",RECORD!GI59,F$10="LECTURE",GRADES!AP57,TRUE(),"")),"")</x:f>
      </x:c>
      <x:c r="G57" s="106" t="str">
        <x:f t="shared" si="1"/>
      </x:c>
      <x:c r="H57" s="107" t="str">
        <x:f t="array" ref="H57">IF(C57&lt;&gt;"",IF(F$7="SUMMER","N/A",_xlfn.IFS(H$10="EXAM",RECORD!GJ59,H$10="OUTPUT",RECORD!GK59,H$10="LAB",BP57,TRUE(),"")),"")</x:f>
      </x:c>
      <x:c r="I57" s="106" t="str">
        <x:f t="shared" si="2"/>
      </x:c>
      <x:c r="J57" s="108" t="str">
        <x:f t="shared" si="3"/>
      </x:c>
      <x:c r="K57" s="109" t="str">
        <x:f t="shared" si="4"/>
      </x:c>
      <x:c r="L57" s="110" t="str">
        <x:f t="array" ref="L57">IF(C57&lt;&gt;"",_xlfn.IFS(L$10="TLA",RECORD!GY59,N$10="LECTURE","",TRUE(),""),"")</x:f>
      </x:c>
      <x:c r="M57" s="105" t="str">
        <x:f t="shared" si="5"/>
      </x:c>
      <x:c r="N57" s="104" t="str">
        <x:f t="array" ref="N57">IF(C57&lt;&gt;"",_xlfn.IFS(N$10="AT",RECORD!GS59,N$10="LECTURE",AX57,TRUE(),""),"")</x:f>
      </x:c>
      <x:c r="O57" s="106" t="str">
        <x:f t="shared" si="6"/>
      </x:c>
      <x:c r="P57" s="107" t="str">
        <x:f t="array" ref="P57">IF(C57&lt;&gt;"",_xlfn.IFS(P$10="EXAM",RECORD!GT59,P$10="OUTPUT",RECORD!GU59,P$10="LAB",BX57,TRUE(),""),"")</x:f>
      </x:c>
      <x:c r="Q57" s="106" t="str">
        <x:f t="shared" si="7"/>
      </x:c>
      <x:c r="R57" s="108" t="str">
        <x:f t="shared" si="8"/>
      </x:c>
      <x:c r="S57" s="109" t="str">
        <x:f t="shared" si="9"/>
      </x:c>
      <x:c r="T57" s="110" t="str">
        <x:f t="array" ref="T57">IF(C57&lt;&gt;"",_xlfn.IFS(T$10="TLA",RECORD!HI59,V$10="LECTURE","",TRUE(),""),"")</x:f>
      </x:c>
      <x:c r="U57" s="105" t="str">
        <x:f t="shared" si="10"/>
      </x:c>
      <x:c r="V57" s="104" t="str">
        <x:f t="array" ref="V57">IF(C57&lt;&gt;"",_xlfn.IFS(V$10="AT",RECORD!HC59,V$10="LECTURE",BF57,TRUE(),""),"")</x:f>
      </x:c>
      <x:c r="W57" s="106" t="str">
        <x:f t="shared" si="11"/>
      </x:c>
      <x:c r="X57" s="107" t="str">
        <x:f t="array" ref="X57">IF(C57&lt;&gt;"",_xlfn.IFS(X$10="EXAM",RECORD!HD59,X$10="OUTPUT",RECORD!HE59,X$10="LAB",CF57,TRUE(),""),"")</x:f>
      </x:c>
      <x:c r="Y57" s="106" t="str">
        <x:f t="shared" si="12"/>
      </x:c>
      <x:c r="Z57" s="108" t="str">
        <x:f t="shared" si="13"/>
      </x:c>
      <x:c r="AA57" s="109" t="str">
        <x:f t="shared" si="14"/>
      </x:c>
      <x:c r="AB57" s="111" t="str">
        <x:f t="shared" si="15"/>
      </x:c>
      <x:c r="AC57" s="109" t="str">
        <x:f t="shared" si="16"/>
      </x:c>
      <x:c r="AD57" s="112"/>
      <x:c r="AE57" s="102"/>
      <x:c r="AF57" s="113"/>
      <x:c r="AG57" s="112"/>
      <x:c r="AH57" s="103"/>
      <x:c r="AI57" s="114"/>
      <x:c r="AJ57" s="102"/>
      <x:c r="AK57" s="102"/>
      <x:c r="AL57" s="102"/>
      <x:c r="AM57" s="102"/>
      <x:c r="AN57" s="102"/>
      <x:c r="AO57" s="102"/>
      <x:c r="AP57" s="102"/>
      <x:c r="AQ57" s="109" t="str">
        <x:f t="shared" si="17"/>
        <x:v>FAILED</x:v>
      </x:c>
      <x:c r="AR57" s="115"/>
      <x:c r="AS57" s="115"/>
      <x:c r="AT57" s="107"/>
      <x:c r="AU57" s="107"/>
      <x:c r="AV57" s="107"/>
      <x:c r="AW57" s="107"/>
      <x:c r="AX57" s="107"/>
      <x:c r="AY57" s="109" t="str">
        <x:f t="shared" si="18"/>
        <x:v>FAILED</x:v>
      </x:c>
      <x:c r="AZ57" s="115"/>
      <x:c r="BA57" s="115"/>
      <x:c r="BB57" s="107"/>
      <x:c r="BC57" s="107"/>
      <x:c r="BD57" s="107"/>
      <x:c r="BE57" s="107"/>
      <x:c r="BF57" s="107"/>
      <x:c r="BG57" s="109" t="str">
        <x:f t="shared" si="19"/>
        <x:v>FAILED</x:v>
      </x:c>
      <x:c r="BH57" s="117"/>
      <x:c r="BI57" s="102"/>
      <x:c r="BJ57" s="102"/>
      <x:c r="BK57" s="102"/>
      <x:c r="BL57" s="102"/>
      <x:c r="BM57" s="102"/>
      <x:c r="BN57" s="102"/>
      <x:c r="BO57" s="102"/>
      <x:c r="BP57" s="102"/>
      <x:c r="BQ57" s="109" t="str">
        <x:f t="shared" si="20"/>
        <x:v>FAILED</x:v>
      </x:c>
      <x:c r="BR57" s="115"/>
      <x:c r="BS57" s="115"/>
      <x:c r="BT57" s="107"/>
      <x:c r="BU57" s="107"/>
      <x:c r="BV57" s="107"/>
      <x:c r="BW57" s="107"/>
      <x:c r="BX57" s="107"/>
      <x:c r="BY57" s="109" t="str">
        <x:f t="shared" si="21"/>
        <x:v>FAILED</x:v>
      </x:c>
      <x:c r="BZ57" s="115"/>
      <x:c r="CA57" s="115"/>
      <x:c r="CB57" s="107"/>
      <x:c r="CC57" s="107"/>
      <x:c r="CD57" s="107"/>
      <x:c r="CE57" s="107"/>
      <x:c r="CF57" s="107"/>
      <x:c r="CG57" s="109" t="str">
        <x:f t="shared" si="22"/>
        <x:v>FAILED</x:v>
      </x:c>
      <x:c r="CH57" s="117"/>
    </x:row>
    <x:row r="58">
      <x:c r="A58" s="102" t="str">
        <x:f>IF(RECORD!A60="","",RECORD!A60)</x:f>
      </x:c>
      <x:c r="B58" s="102" t="str">
        <x:f>IF(RECORD!B60="","",RECORD!B60)</x:f>
      </x:c>
      <x:c r="C58" s="103" t="str">
        <x:f>IF(RECORD!C60="","",RECORD!C60)</x:f>
      </x:c>
      <x:c r="D58" s="104" t="str">
        <x:f t="array" ref="D58">IF(C58&lt;&gt;"",IF(F$7="SUMMER","N/A",_xlfn.IFS(D$10="TLA",RECORD!GO60,F$10="LECTURE","",TRUE(),"")),"")</x:f>
      </x:c>
      <x:c r="E58" s="105" t="str">
        <x:f t="shared" si="0"/>
      </x:c>
      <x:c r="F58" s="104" t="str">
        <x:f t="array" ref="F58">IF(C58&lt;&gt;"",IF(F$7="SUMMER","N/A",_xlfn.IFS(F$10="AT",RECORD!GI60,F$10="LECTURE",GRADES!AP58,TRUE(),"")),"")</x:f>
      </x:c>
      <x:c r="G58" s="106" t="str">
        <x:f t="shared" si="1"/>
      </x:c>
      <x:c r="H58" s="107" t="str">
        <x:f t="array" ref="H58">IF(C58&lt;&gt;"",IF(F$7="SUMMER","N/A",_xlfn.IFS(H$10="EXAM",RECORD!GJ60,H$10="OUTPUT",RECORD!GK60,H$10="LAB",BP58,TRUE(),"")),"")</x:f>
      </x:c>
      <x:c r="I58" s="106" t="str">
        <x:f t="shared" si="2"/>
      </x:c>
      <x:c r="J58" s="108" t="str">
        <x:f t="shared" si="3"/>
      </x:c>
      <x:c r="K58" s="109" t="str">
        <x:f t="shared" si="4"/>
      </x:c>
      <x:c r="L58" s="110" t="str">
        <x:f t="array" ref="L58">IF(C58&lt;&gt;"",_xlfn.IFS(L$10="TLA",RECORD!GY60,N$10="LECTURE","",TRUE(),""),"")</x:f>
      </x:c>
      <x:c r="M58" s="105" t="str">
        <x:f t="shared" si="5"/>
      </x:c>
      <x:c r="N58" s="104" t="str">
        <x:f t="array" ref="N58">IF(C58&lt;&gt;"",_xlfn.IFS(N$10="AT",RECORD!GS60,N$10="LECTURE",AX58,TRUE(),""),"")</x:f>
      </x:c>
      <x:c r="O58" s="106" t="str">
        <x:f t="shared" si="6"/>
      </x:c>
      <x:c r="P58" s="107" t="str">
        <x:f t="array" ref="P58">IF(C58&lt;&gt;"",_xlfn.IFS(P$10="EXAM",RECORD!GT60,P$10="OUTPUT",RECORD!GU60,P$10="LAB",BX58,TRUE(),""),"")</x:f>
      </x:c>
      <x:c r="Q58" s="106" t="str">
        <x:f t="shared" si="7"/>
      </x:c>
      <x:c r="R58" s="108" t="str">
        <x:f t="shared" si="8"/>
      </x:c>
      <x:c r="S58" s="109" t="str">
        <x:f t="shared" si="9"/>
      </x:c>
      <x:c r="T58" s="110" t="str">
        <x:f t="array" ref="T58">IF(C58&lt;&gt;"",_xlfn.IFS(T$10="TLA",RECORD!HI60,V$10="LECTURE","",TRUE(),""),"")</x:f>
      </x:c>
      <x:c r="U58" s="105" t="str">
        <x:f t="shared" si="10"/>
      </x:c>
      <x:c r="V58" s="104" t="str">
        <x:f t="array" ref="V58">IF(C58&lt;&gt;"",_xlfn.IFS(V$10="AT",RECORD!HC60,V$10="LECTURE",BF58,TRUE(),""),"")</x:f>
      </x:c>
      <x:c r="W58" s="106" t="str">
        <x:f t="shared" si="11"/>
      </x:c>
      <x:c r="X58" s="107" t="str">
        <x:f t="array" ref="X58">IF(C58&lt;&gt;"",_xlfn.IFS(X$10="EXAM",RECORD!HD60,X$10="OUTPUT",RECORD!HE60,X$10="LAB",CF58,TRUE(),""),"")</x:f>
      </x:c>
      <x:c r="Y58" s="106" t="str">
        <x:f t="shared" si="12"/>
      </x:c>
      <x:c r="Z58" s="108" t="str">
        <x:f t="shared" si="13"/>
      </x:c>
      <x:c r="AA58" s="109" t="str">
        <x:f t="shared" si="14"/>
      </x:c>
      <x:c r="AB58" s="111" t="str">
        <x:f t="shared" si="15"/>
      </x:c>
      <x:c r="AC58" s="109" t="str">
        <x:f t="shared" si="16"/>
      </x:c>
      <x:c r="AD58" s="112"/>
      <x:c r="AE58" s="102"/>
      <x:c r="AF58" s="113"/>
      <x:c r="AG58" s="112"/>
      <x:c r="AH58" s="103"/>
      <x:c r="AI58" s="114"/>
      <x:c r="AJ58" s="102"/>
      <x:c r="AK58" s="102"/>
      <x:c r="AL58" s="102"/>
      <x:c r="AM58" s="102"/>
      <x:c r="AN58" s="102"/>
      <x:c r="AO58" s="102"/>
      <x:c r="AP58" s="102"/>
      <x:c r="AQ58" s="109" t="str">
        <x:f t="shared" si="17"/>
        <x:v>FAILED</x:v>
      </x:c>
      <x:c r="AR58" s="115"/>
      <x:c r="AS58" s="115"/>
      <x:c r="AT58" s="107"/>
      <x:c r="AU58" s="107"/>
      <x:c r="AV58" s="107"/>
      <x:c r="AW58" s="107"/>
      <x:c r="AX58" s="107"/>
      <x:c r="AY58" s="109" t="str">
        <x:f t="shared" si="18"/>
        <x:v>FAILED</x:v>
      </x:c>
      <x:c r="AZ58" s="115"/>
      <x:c r="BA58" s="115"/>
      <x:c r="BB58" s="107"/>
      <x:c r="BC58" s="107"/>
      <x:c r="BD58" s="107"/>
      <x:c r="BE58" s="107"/>
      <x:c r="BF58" s="107"/>
      <x:c r="BG58" s="109" t="str">
        <x:f t="shared" si="19"/>
        <x:v>FAILED</x:v>
      </x:c>
      <x:c r="BH58" s="117"/>
      <x:c r="BI58" s="102"/>
      <x:c r="BJ58" s="102"/>
      <x:c r="BK58" s="102"/>
      <x:c r="BL58" s="102"/>
      <x:c r="BM58" s="102"/>
      <x:c r="BN58" s="102"/>
      <x:c r="BO58" s="102"/>
      <x:c r="BP58" s="102"/>
      <x:c r="BQ58" s="109" t="str">
        <x:f t="shared" si="20"/>
        <x:v>FAILED</x:v>
      </x:c>
      <x:c r="BR58" s="115"/>
      <x:c r="BS58" s="115"/>
      <x:c r="BT58" s="107"/>
      <x:c r="BU58" s="107"/>
      <x:c r="BV58" s="107"/>
      <x:c r="BW58" s="107"/>
      <x:c r="BX58" s="107"/>
      <x:c r="BY58" s="109" t="str">
        <x:f t="shared" si="21"/>
        <x:v>FAILED</x:v>
      </x:c>
      <x:c r="BZ58" s="115"/>
      <x:c r="CA58" s="115"/>
      <x:c r="CB58" s="107"/>
      <x:c r="CC58" s="107"/>
      <x:c r="CD58" s="107"/>
      <x:c r="CE58" s="107"/>
      <x:c r="CF58" s="107"/>
      <x:c r="CG58" s="109" t="str">
        <x:f t="shared" si="22"/>
        <x:v>FAILED</x:v>
      </x:c>
      <x:c r="CH58" s="117"/>
    </x:row>
    <x:row r="59">
      <x:c r="A59" s="102" t="str">
        <x:f>IF(RECORD!A61="","",RECORD!A61)</x:f>
      </x:c>
      <x:c r="B59" s="102" t="str">
        <x:f>IF(RECORD!B61="","",RECORD!B61)</x:f>
      </x:c>
      <x:c r="C59" s="103" t="str">
        <x:f>IF(RECORD!C61="","",RECORD!C61)</x:f>
      </x:c>
      <x:c r="D59" s="104" t="str">
        <x:f t="array" ref="D59">IF(C59&lt;&gt;"",IF(F$7="SUMMER","N/A",_xlfn.IFS(D$10="TLA",RECORD!GO61,F$10="LECTURE","",TRUE(),"")),"")</x:f>
      </x:c>
      <x:c r="E59" s="105" t="str">
        <x:f t="shared" si="0"/>
      </x:c>
      <x:c r="F59" s="104" t="str">
        <x:f t="array" ref="F59">IF(C59&lt;&gt;"",IF(F$7="SUMMER","N/A",_xlfn.IFS(F$10="AT",RECORD!GI61,F$10="LECTURE",GRADES!AP59,TRUE(),"")),"")</x:f>
      </x:c>
      <x:c r="G59" s="106" t="str">
        <x:f t="shared" si="1"/>
      </x:c>
      <x:c r="H59" s="107" t="str">
        <x:f t="array" ref="H59">IF(C59&lt;&gt;"",IF(F$7="SUMMER","N/A",_xlfn.IFS(H$10="EXAM",RECORD!GJ61,H$10="OUTPUT",RECORD!GK61,H$10="LAB",BP59,TRUE(),"")),"")</x:f>
      </x:c>
      <x:c r="I59" s="106" t="str">
        <x:f t="shared" si="2"/>
      </x:c>
      <x:c r="J59" s="108" t="str">
        <x:f t="shared" si="3"/>
      </x:c>
      <x:c r="K59" s="109" t="str">
        <x:f t="shared" si="4"/>
      </x:c>
      <x:c r="L59" s="110" t="str">
        <x:f t="array" ref="L59">IF(C59&lt;&gt;"",_xlfn.IFS(L$10="TLA",RECORD!GY61,N$10="LECTURE","",TRUE(),""),"")</x:f>
      </x:c>
      <x:c r="M59" s="105" t="str">
        <x:f t="shared" si="5"/>
      </x:c>
      <x:c r="N59" s="104" t="str">
        <x:f t="array" ref="N59">IF(C59&lt;&gt;"",_xlfn.IFS(N$10="AT",RECORD!GS61,N$10="LECTURE",AX59,TRUE(),""),"")</x:f>
      </x:c>
      <x:c r="O59" s="106" t="str">
        <x:f t="shared" si="6"/>
      </x:c>
      <x:c r="P59" s="107" t="str">
        <x:f t="array" ref="P59">IF(C59&lt;&gt;"",_xlfn.IFS(P$10="EXAM",RECORD!GT61,P$10="OUTPUT",RECORD!GU61,P$10="LAB",BX59,TRUE(),""),"")</x:f>
      </x:c>
      <x:c r="Q59" s="106" t="str">
        <x:f t="shared" si="7"/>
      </x:c>
      <x:c r="R59" s="108" t="str">
        <x:f t="shared" si="8"/>
      </x:c>
      <x:c r="S59" s="109" t="str">
        <x:f t="shared" si="9"/>
      </x:c>
      <x:c r="T59" s="110" t="str">
        <x:f t="array" ref="T59">IF(C59&lt;&gt;"",_xlfn.IFS(T$10="TLA",RECORD!HI61,V$10="LECTURE","",TRUE(),""),"")</x:f>
      </x:c>
      <x:c r="U59" s="105" t="str">
        <x:f t="shared" si="10"/>
      </x:c>
      <x:c r="V59" s="104" t="str">
        <x:f t="array" ref="V59">IF(C59&lt;&gt;"",_xlfn.IFS(V$10="AT",RECORD!HC61,V$10="LECTURE",BF59,TRUE(),""),"")</x:f>
      </x:c>
      <x:c r="W59" s="106" t="str">
        <x:f t="shared" si="11"/>
      </x:c>
      <x:c r="X59" s="107" t="str">
        <x:f t="array" ref="X59">IF(C59&lt;&gt;"",_xlfn.IFS(X$10="EXAM",RECORD!HD61,X$10="OUTPUT",RECORD!HE61,X$10="LAB",CF59,TRUE(),""),"")</x:f>
      </x:c>
      <x:c r="Y59" s="106" t="str">
        <x:f t="shared" si="12"/>
      </x:c>
      <x:c r="Z59" s="108" t="str">
        <x:f t="shared" si="13"/>
      </x:c>
      <x:c r="AA59" s="109" t="str">
        <x:f t="shared" si="14"/>
      </x:c>
      <x:c r="AB59" s="111" t="str">
        <x:f t="shared" si="15"/>
      </x:c>
      <x:c r="AC59" s="109" t="str">
        <x:f t="shared" si="16"/>
      </x:c>
      <x:c r="AD59" s="112"/>
      <x:c r="AE59" s="102"/>
      <x:c r="AF59" s="113"/>
      <x:c r="AG59" s="112"/>
      <x:c r="AH59" s="103"/>
      <x:c r="AI59" s="114"/>
      <x:c r="AJ59" s="102"/>
      <x:c r="AK59" s="102"/>
      <x:c r="AL59" s="102"/>
      <x:c r="AM59" s="102"/>
      <x:c r="AN59" s="102"/>
      <x:c r="AO59" s="102"/>
      <x:c r="AP59" s="102"/>
      <x:c r="AQ59" s="109" t="str">
        <x:f t="shared" si="17"/>
        <x:v>FAILED</x:v>
      </x:c>
      <x:c r="AR59" s="115"/>
      <x:c r="AS59" s="115"/>
      <x:c r="AT59" s="107"/>
      <x:c r="AU59" s="107"/>
      <x:c r="AV59" s="107"/>
      <x:c r="AW59" s="107"/>
      <x:c r="AX59" s="107"/>
      <x:c r="AY59" s="109" t="str">
        <x:f t="shared" si="18"/>
        <x:v>FAILED</x:v>
      </x:c>
      <x:c r="AZ59" s="115"/>
      <x:c r="BA59" s="115"/>
      <x:c r="BB59" s="107"/>
      <x:c r="BC59" s="107"/>
      <x:c r="BD59" s="107"/>
      <x:c r="BE59" s="107"/>
      <x:c r="BF59" s="107"/>
      <x:c r="BG59" s="109" t="str">
        <x:f t="shared" si="19"/>
        <x:v>FAILED</x:v>
      </x:c>
      <x:c r="BH59" s="117"/>
      <x:c r="BI59" s="102"/>
      <x:c r="BJ59" s="102"/>
      <x:c r="BK59" s="102"/>
      <x:c r="BL59" s="102"/>
      <x:c r="BM59" s="102"/>
      <x:c r="BN59" s="102"/>
      <x:c r="BO59" s="102"/>
      <x:c r="BP59" s="102"/>
      <x:c r="BQ59" s="109" t="str">
        <x:f t="shared" si="20"/>
        <x:v>FAILED</x:v>
      </x:c>
      <x:c r="BR59" s="115"/>
      <x:c r="BS59" s="115"/>
      <x:c r="BT59" s="107"/>
      <x:c r="BU59" s="107"/>
      <x:c r="BV59" s="107"/>
      <x:c r="BW59" s="107"/>
      <x:c r="BX59" s="107"/>
      <x:c r="BY59" s="109" t="str">
        <x:f t="shared" si="21"/>
        <x:v>FAILED</x:v>
      </x:c>
      <x:c r="BZ59" s="115"/>
      <x:c r="CA59" s="115"/>
      <x:c r="CB59" s="107"/>
      <x:c r="CC59" s="107"/>
      <x:c r="CD59" s="107"/>
      <x:c r="CE59" s="107"/>
      <x:c r="CF59" s="107"/>
      <x:c r="CG59" s="109" t="str">
        <x:f t="shared" si="22"/>
        <x:v>FAILED</x:v>
      </x:c>
      <x:c r="CH59" s="117"/>
    </x:row>
    <x:row r="60">
      <x:c r="A60" s="102" t="str">
        <x:f>IF(RECORD!A62="","",RECORD!A62)</x:f>
      </x:c>
      <x:c r="B60" s="102" t="str">
        <x:f>IF(RECORD!B62="","",RECORD!B62)</x:f>
      </x:c>
      <x:c r="C60" s="103" t="str">
        <x:f>IF(RECORD!C62="","",RECORD!C62)</x:f>
      </x:c>
      <x:c r="D60" s="104" t="str">
        <x:f t="array" ref="D60">IF(C60&lt;&gt;"",IF(F$7="SUMMER","N/A",_xlfn.IFS(D$10="TLA",RECORD!GO62,F$10="LECTURE","",TRUE(),"")),"")</x:f>
      </x:c>
      <x:c r="E60" s="105" t="str">
        <x:f t="shared" si="0"/>
      </x:c>
      <x:c r="F60" s="104" t="str">
        <x:f t="array" ref="F60">IF(C60&lt;&gt;"",IF(F$7="SUMMER","N/A",_xlfn.IFS(F$10="AT",RECORD!GI62,F$10="LECTURE",GRADES!AP60,TRUE(),"")),"")</x:f>
      </x:c>
      <x:c r="G60" s="106" t="str">
        <x:f t="shared" si="1"/>
      </x:c>
      <x:c r="H60" s="107" t="str">
        <x:f t="array" ref="H60">IF(C60&lt;&gt;"",IF(F$7="SUMMER","N/A",_xlfn.IFS(H$10="EXAM",RECORD!GJ62,H$10="OUTPUT",RECORD!GK62,H$10="LAB",BP60,TRUE(),"")),"")</x:f>
      </x:c>
      <x:c r="I60" s="106" t="str">
        <x:f t="shared" si="2"/>
      </x:c>
      <x:c r="J60" s="108" t="str">
        <x:f t="shared" si="3"/>
      </x:c>
      <x:c r="K60" s="109" t="str">
        <x:f t="shared" si="4"/>
      </x:c>
      <x:c r="L60" s="110" t="str">
        <x:f t="array" ref="L60">IF(C60&lt;&gt;"",_xlfn.IFS(L$10="TLA",RECORD!GY62,N$10="LECTURE","",TRUE(),""),"")</x:f>
      </x:c>
      <x:c r="M60" s="105" t="str">
        <x:f t="shared" si="5"/>
      </x:c>
      <x:c r="N60" s="104" t="str">
        <x:f t="array" ref="N60">IF(C60&lt;&gt;"",_xlfn.IFS(N$10="AT",RECORD!GS62,N$10="LECTURE",AX60,TRUE(),""),"")</x:f>
      </x:c>
      <x:c r="O60" s="106" t="str">
        <x:f t="shared" si="6"/>
      </x:c>
      <x:c r="P60" s="107" t="str">
        <x:f t="array" ref="P60">IF(C60&lt;&gt;"",_xlfn.IFS(P$10="EXAM",RECORD!GT62,P$10="OUTPUT",RECORD!GU62,P$10="LAB",BX60,TRUE(),""),"")</x:f>
      </x:c>
      <x:c r="Q60" s="106" t="str">
        <x:f t="shared" si="7"/>
      </x:c>
      <x:c r="R60" s="108" t="str">
        <x:f t="shared" si="8"/>
      </x:c>
      <x:c r="S60" s="109" t="str">
        <x:f t="shared" si="9"/>
      </x:c>
      <x:c r="T60" s="110" t="str">
        <x:f t="array" ref="T60">IF(C60&lt;&gt;"",_xlfn.IFS(T$10="TLA",RECORD!HI62,V$10="LECTURE","",TRUE(),""),"")</x:f>
      </x:c>
      <x:c r="U60" s="105" t="str">
        <x:f t="shared" si="10"/>
      </x:c>
      <x:c r="V60" s="104" t="str">
        <x:f t="array" ref="V60">IF(C60&lt;&gt;"",_xlfn.IFS(V$10="AT",RECORD!HC62,V$10="LECTURE",BF60,TRUE(),""),"")</x:f>
      </x:c>
      <x:c r="W60" s="106" t="str">
        <x:f t="shared" si="11"/>
      </x:c>
      <x:c r="X60" s="107" t="str">
        <x:f t="array" ref="X60">IF(C60&lt;&gt;"",_xlfn.IFS(X$10="EXAM",RECORD!HD62,X$10="OUTPUT",RECORD!HE62,X$10="LAB",CF60,TRUE(),""),"")</x:f>
      </x:c>
      <x:c r="Y60" s="106" t="str">
        <x:f t="shared" si="12"/>
      </x:c>
      <x:c r="Z60" s="108" t="str">
        <x:f t="shared" si="13"/>
      </x:c>
      <x:c r="AA60" s="109" t="str">
        <x:f t="shared" si="14"/>
      </x:c>
      <x:c r="AB60" s="111" t="str">
        <x:f t="shared" si="15"/>
      </x:c>
      <x:c r="AC60" s="109" t="str">
        <x:f t="shared" si="16"/>
      </x:c>
      <x:c r="AD60" s="112"/>
      <x:c r="AE60" s="102"/>
      <x:c r="AF60" s="113"/>
      <x:c r="AG60" s="112"/>
      <x:c r="AH60" s="103"/>
      <x:c r="AI60" s="114"/>
      <x:c r="AJ60" s="102"/>
      <x:c r="AK60" s="102"/>
      <x:c r="AL60" s="102"/>
      <x:c r="AM60" s="102"/>
      <x:c r="AN60" s="102"/>
      <x:c r="AO60" s="102"/>
      <x:c r="AP60" s="102"/>
      <x:c r="AQ60" s="109" t="str">
        <x:f t="shared" si="17"/>
        <x:v>FAILED</x:v>
      </x:c>
      <x:c r="AR60" s="115"/>
      <x:c r="AS60" s="115"/>
      <x:c r="AT60" s="107"/>
      <x:c r="AU60" s="107"/>
      <x:c r="AV60" s="107"/>
      <x:c r="AW60" s="107"/>
      <x:c r="AX60" s="107"/>
      <x:c r="AY60" s="109" t="str">
        <x:f t="shared" si="18"/>
        <x:v>FAILED</x:v>
      </x:c>
      <x:c r="AZ60" s="115"/>
      <x:c r="BA60" s="115"/>
      <x:c r="BB60" s="107"/>
      <x:c r="BC60" s="107"/>
      <x:c r="BD60" s="107"/>
      <x:c r="BE60" s="107"/>
      <x:c r="BF60" s="107"/>
      <x:c r="BG60" s="109" t="str">
        <x:f t="shared" si="19"/>
        <x:v>FAILED</x:v>
      </x:c>
      <x:c r="BH60" s="117"/>
      <x:c r="BI60" s="102"/>
      <x:c r="BJ60" s="102"/>
      <x:c r="BK60" s="102"/>
      <x:c r="BL60" s="102"/>
      <x:c r="BM60" s="102"/>
      <x:c r="BN60" s="102"/>
      <x:c r="BO60" s="102"/>
      <x:c r="BP60" s="102"/>
      <x:c r="BQ60" s="109" t="str">
        <x:f t="shared" si="20"/>
        <x:v>FAILED</x:v>
      </x:c>
      <x:c r="BR60" s="115"/>
      <x:c r="BS60" s="115"/>
      <x:c r="BT60" s="107"/>
      <x:c r="BU60" s="107"/>
      <x:c r="BV60" s="107"/>
      <x:c r="BW60" s="107"/>
      <x:c r="BX60" s="107"/>
      <x:c r="BY60" s="109" t="str">
        <x:f t="shared" si="21"/>
        <x:v>FAILED</x:v>
      </x:c>
      <x:c r="BZ60" s="115"/>
      <x:c r="CA60" s="115"/>
      <x:c r="CB60" s="107"/>
      <x:c r="CC60" s="107"/>
      <x:c r="CD60" s="107"/>
      <x:c r="CE60" s="107"/>
      <x:c r="CF60" s="107"/>
      <x:c r="CG60" s="109" t="str">
        <x:f t="shared" si="22"/>
        <x:v>FAILED</x:v>
      </x:c>
      <x:c r="CH60" s="117"/>
    </x:row>
    <x:row r="61">
      <x:c r="A61" s="102" t="str">
        <x:f>IF(RECORD!A63="","",RECORD!A63)</x:f>
      </x:c>
      <x:c r="B61" s="102" t="str">
        <x:f>IF(RECORD!B63="","",RECORD!B63)</x:f>
      </x:c>
      <x:c r="C61" s="103" t="str">
        <x:f>IF(RECORD!C63="","",RECORD!C63)</x:f>
      </x:c>
      <x:c r="D61" s="104" t="str">
        <x:f t="array" ref="D61">IF(C61&lt;&gt;"",IF(F$7="SUMMER","N/A",_xlfn.IFS(D$10="TLA",RECORD!GO63,F$10="LECTURE","",TRUE(),"")),"")</x:f>
      </x:c>
      <x:c r="E61" s="105" t="str">
        <x:f t="shared" si="0"/>
      </x:c>
      <x:c r="F61" s="104" t="str">
        <x:f t="array" ref="F61">IF(C61&lt;&gt;"",IF(F$7="SUMMER","N/A",_xlfn.IFS(F$10="AT",RECORD!GI63,F$10="LECTURE",GRADES!AP61,TRUE(),"")),"")</x:f>
      </x:c>
      <x:c r="G61" s="106" t="str">
        <x:f t="shared" si="1"/>
      </x:c>
      <x:c r="H61" s="107" t="str">
        <x:f t="array" ref="H61">IF(C61&lt;&gt;"",IF(F$7="SUMMER","N/A",_xlfn.IFS(H$10="EXAM",RECORD!GJ63,H$10="OUTPUT",RECORD!GK63,H$10="LAB",BP61,TRUE(),"")),"")</x:f>
      </x:c>
      <x:c r="I61" s="106" t="str">
        <x:f t="shared" si="2"/>
      </x:c>
      <x:c r="J61" s="108" t="str">
        <x:f t="shared" si="3"/>
      </x:c>
      <x:c r="K61" s="109" t="str">
        <x:f t="shared" si="4"/>
      </x:c>
      <x:c r="L61" s="110" t="str">
        <x:f t="array" ref="L61">IF(C61&lt;&gt;"",_xlfn.IFS(L$10="TLA",RECORD!GY63,N$10="LECTURE","",TRUE(),""),"")</x:f>
      </x:c>
      <x:c r="M61" s="105" t="str">
        <x:f t="shared" si="5"/>
      </x:c>
      <x:c r="N61" s="104" t="str">
        <x:f t="array" ref="N61">IF(C61&lt;&gt;"",_xlfn.IFS(N$10="AT",RECORD!GS63,N$10="LECTURE",AX61,TRUE(),""),"")</x:f>
      </x:c>
      <x:c r="O61" s="106" t="str">
        <x:f t="shared" si="6"/>
      </x:c>
      <x:c r="P61" s="107" t="str">
        <x:f t="array" ref="P61">IF(C61&lt;&gt;"",_xlfn.IFS(P$10="EXAM",RECORD!GT63,P$10="OUTPUT",RECORD!GU63,P$10="LAB",BX61,TRUE(),""),"")</x:f>
      </x:c>
      <x:c r="Q61" s="106" t="str">
        <x:f t="shared" si="7"/>
      </x:c>
      <x:c r="R61" s="108" t="str">
        <x:f t="shared" si="8"/>
      </x:c>
      <x:c r="S61" s="109" t="str">
        <x:f t="shared" si="9"/>
      </x:c>
      <x:c r="T61" s="110" t="str">
        <x:f t="array" ref="T61">IF(C61&lt;&gt;"",_xlfn.IFS(T$10="TLA",RECORD!HI63,V$10="LECTURE","",TRUE(),""),"")</x:f>
      </x:c>
      <x:c r="U61" s="105" t="str">
        <x:f t="shared" si="10"/>
      </x:c>
      <x:c r="V61" s="104" t="str">
        <x:f t="array" ref="V61">IF(C61&lt;&gt;"",_xlfn.IFS(V$10="AT",RECORD!HC63,V$10="LECTURE",BF61,TRUE(),""),"")</x:f>
      </x:c>
      <x:c r="W61" s="106" t="str">
        <x:f t="shared" si="11"/>
      </x:c>
      <x:c r="X61" s="107" t="str">
        <x:f t="array" ref="X61">IF(C61&lt;&gt;"",_xlfn.IFS(X$10="EXAM",RECORD!HD63,X$10="OUTPUT",RECORD!HE63,X$10="LAB",CF61,TRUE(),""),"")</x:f>
      </x:c>
      <x:c r="Y61" s="106" t="str">
        <x:f t="shared" si="12"/>
      </x:c>
      <x:c r="Z61" s="108" t="str">
        <x:f t="shared" si="13"/>
      </x:c>
      <x:c r="AA61" s="109" t="str">
        <x:f t="shared" si="14"/>
      </x:c>
      <x:c r="AB61" s="111" t="str">
        <x:f t="shared" si="15"/>
      </x:c>
      <x:c r="AC61" s="109" t="str">
        <x:f t="shared" si="16"/>
      </x:c>
      <x:c r="AD61" s="112"/>
      <x:c r="AE61" s="102"/>
      <x:c r="AF61" s="113"/>
      <x:c r="AG61" s="112"/>
      <x:c r="AH61" s="103"/>
      <x:c r="AI61" s="114"/>
      <x:c r="AJ61" s="102"/>
      <x:c r="AK61" s="102"/>
      <x:c r="AL61" s="102"/>
      <x:c r="AM61" s="102"/>
      <x:c r="AN61" s="102"/>
      <x:c r="AO61" s="102"/>
      <x:c r="AP61" s="102"/>
      <x:c r="AQ61" s="109" t="str">
        <x:f t="shared" si="17"/>
        <x:v>FAILED</x:v>
      </x:c>
      <x:c r="AR61" s="115"/>
      <x:c r="AS61" s="115"/>
      <x:c r="AT61" s="107"/>
      <x:c r="AU61" s="107"/>
      <x:c r="AV61" s="107"/>
      <x:c r="AW61" s="107"/>
      <x:c r="AX61" s="107"/>
      <x:c r="AY61" s="109" t="str">
        <x:f t="shared" si="18"/>
        <x:v>FAILED</x:v>
      </x:c>
      <x:c r="AZ61" s="115"/>
      <x:c r="BA61" s="115"/>
      <x:c r="BB61" s="107"/>
      <x:c r="BC61" s="107"/>
      <x:c r="BD61" s="107"/>
      <x:c r="BE61" s="107"/>
      <x:c r="BF61" s="107"/>
      <x:c r="BG61" s="109" t="str">
        <x:f t="shared" si="19"/>
        <x:v>FAILED</x:v>
      </x:c>
      <x:c r="BH61" s="117"/>
      <x:c r="BI61" s="102"/>
      <x:c r="BJ61" s="102"/>
      <x:c r="BK61" s="102"/>
      <x:c r="BL61" s="102"/>
      <x:c r="BM61" s="102"/>
      <x:c r="BN61" s="102"/>
      <x:c r="BO61" s="102"/>
      <x:c r="BP61" s="102"/>
      <x:c r="BQ61" s="109" t="str">
        <x:f t="shared" si="20"/>
        <x:v>FAILED</x:v>
      </x:c>
      <x:c r="BR61" s="115"/>
      <x:c r="BS61" s="115"/>
      <x:c r="BT61" s="107"/>
      <x:c r="BU61" s="107"/>
      <x:c r="BV61" s="107"/>
      <x:c r="BW61" s="107"/>
      <x:c r="BX61" s="107"/>
      <x:c r="BY61" s="109" t="str">
        <x:f t="shared" si="21"/>
        <x:v>FAILED</x:v>
      </x:c>
      <x:c r="BZ61" s="115"/>
      <x:c r="CA61" s="115"/>
      <x:c r="CB61" s="107"/>
      <x:c r="CC61" s="107"/>
      <x:c r="CD61" s="107"/>
      <x:c r="CE61" s="107"/>
      <x:c r="CF61" s="107"/>
      <x:c r="CG61" s="109" t="str">
        <x:f t="shared" si="22"/>
        <x:v>FAILED</x:v>
      </x:c>
      <x:c r="CH61" s="117"/>
    </x:row>
    <x:row r="62">
      <x:c r="A62" s="102" t="str">
        <x:f>IF(RECORD!A64="","",RECORD!A64)</x:f>
      </x:c>
      <x:c r="B62" s="102" t="str">
        <x:f>IF(RECORD!B64="","",RECORD!B64)</x:f>
      </x:c>
      <x:c r="C62" s="103" t="str">
        <x:f>IF(RECORD!C64="","",RECORD!C64)</x:f>
      </x:c>
      <x:c r="D62" s="104" t="str">
        <x:f t="array" ref="D62">IF(C62&lt;&gt;"",IF(F$7="SUMMER","N/A",_xlfn.IFS(D$10="TLA",RECORD!GO64,F$10="LECTURE","",TRUE(),"")),"")</x:f>
      </x:c>
      <x:c r="E62" s="105" t="str">
        <x:f t="shared" si="0"/>
      </x:c>
      <x:c r="F62" s="104" t="str">
        <x:f t="array" ref="F62">IF(C62&lt;&gt;"",IF(F$7="SUMMER","N/A",_xlfn.IFS(F$10="AT",RECORD!GI64,F$10="LECTURE",GRADES!AP62,TRUE(),"")),"")</x:f>
      </x:c>
      <x:c r="G62" s="106" t="str">
        <x:f t="shared" si="1"/>
      </x:c>
      <x:c r="H62" s="107" t="str">
        <x:f t="array" ref="H62">IF(C62&lt;&gt;"",IF(F$7="SUMMER","N/A",_xlfn.IFS(H$10="EXAM",RECORD!GJ64,H$10="OUTPUT",RECORD!GK64,H$10="LAB",BP62,TRUE(),"")),"")</x:f>
      </x:c>
      <x:c r="I62" s="106" t="str">
        <x:f t="shared" si="2"/>
      </x:c>
      <x:c r="J62" s="108" t="str">
        <x:f t="shared" si="3"/>
      </x:c>
      <x:c r="K62" s="109" t="str">
        <x:f t="shared" si="4"/>
      </x:c>
      <x:c r="L62" s="110" t="str">
        <x:f t="array" ref="L62">IF(C62&lt;&gt;"",_xlfn.IFS(L$10="TLA",RECORD!GY64,N$10="LECTURE","",TRUE(),""),"")</x:f>
      </x:c>
      <x:c r="M62" s="105" t="str">
        <x:f t="shared" si="5"/>
      </x:c>
      <x:c r="N62" s="104" t="str">
        <x:f t="array" ref="N62">IF(C62&lt;&gt;"",_xlfn.IFS(N$10="AT",RECORD!GS64,N$10="LECTURE",AX62,TRUE(),""),"")</x:f>
      </x:c>
      <x:c r="O62" s="106" t="str">
        <x:f t="shared" si="6"/>
      </x:c>
      <x:c r="P62" s="107" t="str">
        <x:f t="array" ref="P62">IF(C62&lt;&gt;"",_xlfn.IFS(P$10="EXAM",RECORD!GT64,P$10="OUTPUT",RECORD!GU64,P$10="LAB",BX62,TRUE(),""),"")</x:f>
      </x:c>
      <x:c r="Q62" s="106" t="str">
        <x:f t="shared" si="7"/>
      </x:c>
      <x:c r="R62" s="108" t="str">
        <x:f t="shared" si="8"/>
      </x:c>
      <x:c r="S62" s="109" t="str">
        <x:f t="shared" si="9"/>
      </x:c>
      <x:c r="T62" s="110" t="str">
        <x:f t="array" ref="T62">IF(C62&lt;&gt;"",_xlfn.IFS(T$10="TLA",RECORD!HI64,V$10="LECTURE","",TRUE(),""),"")</x:f>
      </x:c>
      <x:c r="U62" s="105" t="str">
        <x:f t="shared" si="10"/>
      </x:c>
      <x:c r="V62" s="104" t="str">
        <x:f t="array" ref="V62">IF(C62&lt;&gt;"",_xlfn.IFS(V$10="AT",RECORD!HC64,V$10="LECTURE",BF62,TRUE(),""),"")</x:f>
      </x:c>
      <x:c r="W62" s="106" t="str">
        <x:f t="shared" si="11"/>
      </x:c>
      <x:c r="X62" s="107" t="str">
        <x:f t="array" ref="X62">IF(C62&lt;&gt;"",_xlfn.IFS(X$10="EXAM",RECORD!HD64,X$10="OUTPUT",RECORD!HE64,X$10="LAB",CF62,TRUE(),""),"")</x:f>
      </x:c>
      <x:c r="Y62" s="106" t="str">
        <x:f t="shared" si="12"/>
      </x:c>
      <x:c r="Z62" s="108" t="str">
        <x:f t="shared" si="13"/>
      </x:c>
      <x:c r="AA62" s="109" t="str">
        <x:f t="shared" si="14"/>
      </x:c>
      <x:c r="AB62" s="111" t="str">
        <x:f t="shared" si="15"/>
      </x:c>
      <x:c r="AC62" s="109" t="str">
        <x:f t="shared" si="16"/>
      </x:c>
      <x:c r="AD62" s="112"/>
      <x:c r="AE62" s="102"/>
      <x:c r="AF62" s="113"/>
      <x:c r="AG62" s="112"/>
      <x:c r="AH62" s="103"/>
      <x:c r="AI62" s="114"/>
      <x:c r="AJ62" s="102"/>
      <x:c r="AK62" s="102"/>
      <x:c r="AL62" s="102"/>
      <x:c r="AM62" s="102"/>
      <x:c r="AN62" s="102"/>
      <x:c r="AO62" s="102"/>
      <x:c r="AP62" s="102"/>
      <x:c r="AQ62" s="109" t="str">
        <x:f t="shared" si="17"/>
        <x:v>FAILED</x:v>
      </x:c>
      <x:c r="AR62" s="115"/>
      <x:c r="AS62" s="115"/>
      <x:c r="AT62" s="107"/>
      <x:c r="AU62" s="107"/>
      <x:c r="AV62" s="107"/>
      <x:c r="AW62" s="107"/>
      <x:c r="AX62" s="107"/>
      <x:c r="AY62" s="109" t="str">
        <x:f t="shared" si="18"/>
        <x:v>FAILED</x:v>
      </x:c>
      <x:c r="AZ62" s="115"/>
      <x:c r="BA62" s="115"/>
      <x:c r="BB62" s="107"/>
      <x:c r="BC62" s="107"/>
      <x:c r="BD62" s="107"/>
      <x:c r="BE62" s="107"/>
      <x:c r="BF62" s="107"/>
      <x:c r="BG62" s="109" t="str">
        <x:f t="shared" si="19"/>
        <x:v>FAILED</x:v>
      </x:c>
      <x:c r="BH62" s="117"/>
      <x:c r="BI62" s="102"/>
      <x:c r="BJ62" s="102"/>
      <x:c r="BK62" s="102"/>
      <x:c r="BL62" s="102"/>
      <x:c r="BM62" s="102"/>
      <x:c r="BN62" s="102"/>
      <x:c r="BO62" s="102"/>
      <x:c r="BP62" s="102"/>
      <x:c r="BQ62" s="109" t="str">
        <x:f t="shared" si="20"/>
        <x:v>FAILED</x:v>
      </x:c>
      <x:c r="BR62" s="115"/>
      <x:c r="BS62" s="115"/>
      <x:c r="BT62" s="107"/>
      <x:c r="BU62" s="107"/>
      <x:c r="BV62" s="107"/>
      <x:c r="BW62" s="107"/>
      <x:c r="BX62" s="107"/>
      <x:c r="BY62" s="109" t="str">
        <x:f t="shared" si="21"/>
        <x:v>FAILED</x:v>
      </x:c>
      <x:c r="BZ62" s="115"/>
      <x:c r="CA62" s="115"/>
      <x:c r="CB62" s="107"/>
      <x:c r="CC62" s="107"/>
      <x:c r="CD62" s="107"/>
      <x:c r="CE62" s="107"/>
      <x:c r="CF62" s="107"/>
      <x:c r="CG62" s="109" t="str">
        <x:f t="shared" si="22"/>
        <x:v>FAILED</x:v>
      </x:c>
      <x:c r="CH62" s="117"/>
    </x:row>
    <x:row r="63">
      <x:c r="A63" s="102" t="str">
        <x:f>IF(RECORD!A65="","",RECORD!A65)</x:f>
      </x:c>
      <x:c r="B63" s="102" t="str">
        <x:f>IF(RECORD!B65="","",RECORD!B65)</x:f>
      </x:c>
      <x:c r="C63" s="103" t="str">
        <x:f>IF(RECORD!C65="","",RECORD!C65)</x:f>
      </x:c>
      <x:c r="D63" s="104" t="str">
        <x:f t="array" ref="D63">IF(C63&lt;&gt;"",IF(F$7="SUMMER","N/A",_xlfn.IFS(D$10="TLA",RECORD!GO65,F$10="LECTURE","",TRUE(),"")),"")</x:f>
      </x:c>
      <x:c r="E63" s="105" t="str">
        <x:f t="shared" si="0"/>
      </x:c>
      <x:c r="F63" s="104" t="str">
        <x:f t="array" ref="F63">IF(C63&lt;&gt;"",IF(F$7="SUMMER","N/A",_xlfn.IFS(F$10="AT",RECORD!GI65,F$10="LECTURE",GRADES!AP63,TRUE(),"")),"")</x:f>
      </x:c>
      <x:c r="G63" s="106" t="str">
        <x:f t="shared" si="1"/>
      </x:c>
      <x:c r="H63" s="107" t="str">
        <x:f t="array" ref="H63">IF(C63&lt;&gt;"",IF(F$7="SUMMER","N/A",_xlfn.IFS(H$10="EXAM",RECORD!GJ65,H$10="OUTPUT",RECORD!GK65,H$10="LAB",BP63,TRUE(),"")),"")</x:f>
      </x:c>
      <x:c r="I63" s="106" t="str">
        <x:f t="shared" si="2"/>
      </x:c>
      <x:c r="J63" s="108" t="str">
        <x:f t="shared" si="3"/>
      </x:c>
      <x:c r="K63" s="109" t="str">
        <x:f t="shared" si="4"/>
      </x:c>
      <x:c r="L63" s="110" t="str">
        <x:f t="array" ref="L63">IF(C63&lt;&gt;"",_xlfn.IFS(L$10="TLA",RECORD!GY65,N$10="LECTURE","",TRUE(),""),"")</x:f>
      </x:c>
      <x:c r="M63" s="105" t="str">
        <x:f t="shared" si="5"/>
      </x:c>
      <x:c r="N63" s="104" t="str">
        <x:f t="array" ref="N63">IF(C63&lt;&gt;"",_xlfn.IFS(N$10="AT",RECORD!GS65,N$10="LECTURE",AX63,TRUE(),""),"")</x:f>
      </x:c>
      <x:c r="O63" s="106" t="str">
        <x:f t="shared" si="6"/>
      </x:c>
      <x:c r="P63" s="107" t="str">
        <x:f t="array" ref="P63">IF(C63&lt;&gt;"",_xlfn.IFS(P$10="EXAM",RECORD!GT65,P$10="OUTPUT",RECORD!GU65,P$10="LAB",BX63,TRUE(),""),"")</x:f>
      </x:c>
      <x:c r="Q63" s="106" t="str">
        <x:f t="shared" si="7"/>
      </x:c>
      <x:c r="R63" s="108" t="str">
        <x:f t="shared" si="8"/>
      </x:c>
      <x:c r="S63" s="109" t="str">
        <x:f t="shared" si="9"/>
      </x:c>
      <x:c r="T63" s="110" t="str">
        <x:f t="array" ref="T63">IF(C63&lt;&gt;"",_xlfn.IFS(T$10="TLA",RECORD!HI65,V$10="LECTURE","",TRUE(),""),"")</x:f>
      </x:c>
      <x:c r="U63" s="105" t="str">
        <x:f t="shared" si="10"/>
      </x:c>
      <x:c r="V63" s="104" t="str">
        <x:f t="array" ref="V63">IF(C63&lt;&gt;"",_xlfn.IFS(V$10="AT",RECORD!HC65,V$10="LECTURE",BF63,TRUE(),""),"")</x:f>
      </x:c>
      <x:c r="W63" s="106" t="str">
        <x:f t="shared" si="11"/>
      </x:c>
      <x:c r="X63" s="107" t="str">
        <x:f t="array" ref="X63">IF(C63&lt;&gt;"",_xlfn.IFS(X$10="EXAM",RECORD!HD65,X$10="OUTPUT",RECORD!HE65,X$10="LAB",CF63,TRUE(),""),"")</x:f>
      </x:c>
      <x:c r="Y63" s="106" t="str">
        <x:f t="shared" si="12"/>
      </x:c>
      <x:c r="Z63" s="108" t="str">
        <x:f t="shared" si="13"/>
      </x:c>
      <x:c r="AA63" s="109" t="str">
        <x:f t="shared" si="14"/>
      </x:c>
      <x:c r="AB63" s="111" t="str">
        <x:f t="shared" si="15"/>
      </x:c>
      <x:c r="AC63" s="109" t="str">
        <x:f t="shared" si="16"/>
      </x:c>
      <x:c r="AD63" s="112"/>
      <x:c r="AE63" s="102"/>
      <x:c r="AF63" s="113"/>
      <x:c r="AG63" s="112"/>
      <x:c r="AH63" s="103"/>
      <x:c r="AI63" s="114"/>
      <x:c r="AJ63" s="102"/>
      <x:c r="AK63" s="102"/>
      <x:c r="AL63" s="102"/>
      <x:c r="AM63" s="102"/>
      <x:c r="AN63" s="102"/>
      <x:c r="AO63" s="102"/>
      <x:c r="AP63" s="102"/>
      <x:c r="AQ63" s="109" t="str">
        <x:f t="shared" si="17"/>
        <x:v>FAILED</x:v>
      </x:c>
      <x:c r="AR63" s="115"/>
      <x:c r="AS63" s="115"/>
      <x:c r="AT63" s="107"/>
      <x:c r="AU63" s="107"/>
      <x:c r="AV63" s="107"/>
      <x:c r="AW63" s="107"/>
      <x:c r="AX63" s="107"/>
      <x:c r="AY63" s="109" t="str">
        <x:f t="shared" si="18"/>
        <x:v>FAILED</x:v>
      </x:c>
      <x:c r="AZ63" s="115"/>
      <x:c r="BA63" s="115"/>
      <x:c r="BB63" s="107"/>
      <x:c r="BC63" s="107"/>
      <x:c r="BD63" s="107"/>
      <x:c r="BE63" s="107"/>
      <x:c r="BF63" s="107"/>
      <x:c r="BG63" s="109" t="str">
        <x:f t="shared" si="19"/>
        <x:v>FAILED</x:v>
      </x:c>
      <x:c r="BH63" s="117"/>
      <x:c r="BI63" s="102"/>
      <x:c r="BJ63" s="102"/>
      <x:c r="BK63" s="102"/>
      <x:c r="BL63" s="102"/>
      <x:c r="BM63" s="102"/>
      <x:c r="BN63" s="102"/>
      <x:c r="BO63" s="102"/>
      <x:c r="BP63" s="102"/>
      <x:c r="BQ63" s="109" t="str">
        <x:f t="shared" si="20"/>
        <x:v>FAILED</x:v>
      </x:c>
      <x:c r="BR63" s="115"/>
      <x:c r="BS63" s="115"/>
      <x:c r="BT63" s="107"/>
      <x:c r="BU63" s="107"/>
      <x:c r="BV63" s="107"/>
      <x:c r="BW63" s="107"/>
      <x:c r="BX63" s="107"/>
      <x:c r="BY63" s="109" t="str">
        <x:f t="shared" si="21"/>
        <x:v>FAILED</x:v>
      </x:c>
      <x:c r="BZ63" s="115"/>
      <x:c r="CA63" s="115"/>
      <x:c r="CB63" s="107"/>
      <x:c r="CC63" s="107"/>
      <x:c r="CD63" s="107"/>
      <x:c r="CE63" s="107"/>
      <x:c r="CF63" s="107"/>
      <x:c r="CG63" s="109" t="str">
        <x:f t="shared" si="22"/>
        <x:v>FAILED</x:v>
      </x:c>
      <x:c r="CH63" s="117"/>
    </x:row>
    <x:row r="64">
      <x:c r="A64" s="102" t="str">
        <x:f>IF(RECORD!A66="","",RECORD!A66)</x:f>
      </x:c>
      <x:c r="B64" s="102" t="str">
        <x:f>IF(RECORD!B66="","",RECORD!B66)</x:f>
      </x:c>
      <x:c r="C64" s="103" t="str">
        <x:f>IF(RECORD!C66="","",RECORD!C66)</x:f>
      </x:c>
      <x:c r="D64" s="104" t="str">
        <x:f t="array" ref="D64">IF(C64&lt;&gt;"",IF(F$7="SUMMER","N/A",_xlfn.IFS(D$10="TLA",RECORD!GO66,F$10="LECTURE","",TRUE(),"")),"")</x:f>
      </x:c>
      <x:c r="E64" s="105" t="str">
        <x:f t="shared" si="0"/>
      </x:c>
      <x:c r="F64" s="104" t="str">
        <x:f t="array" ref="F64">IF(C64&lt;&gt;"",IF(F$7="SUMMER","N/A",_xlfn.IFS(F$10="AT",RECORD!GI66,F$10="LECTURE",GRADES!AP64,TRUE(),"")),"")</x:f>
      </x:c>
      <x:c r="G64" s="106" t="str">
        <x:f t="shared" si="1"/>
      </x:c>
      <x:c r="H64" s="107" t="str">
        <x:f t="array" ref="H64">IF(C64&lt;&gt;"",IF(F$7="SUMMER","N/A",_xlfn.IFS(H$10="EXAM",RECORD!GJ66,H$10="OUTPUT",RECORD!GK66,H$10="LAB",BP64,TRUE(),"")),"")</x:f>
      </x:c>
      <x:c r="I64" s="106" t="str">
        <x:f t="shared" si="2"/>
      </x:c>
      <x:c r="J64" s="108" t="str">
        <x:f t="shared" si="3"/>
      </x:c>
      <x:c r="K64" s="109" t="str">
        <x:f t="shared" si="4"/>
      </x:c>
      <x:c r="L64" s="110" t="str">
        <x:f t="array" ref="L64">IF(C64&lt;&gt;"",_xlfn.IFS(L$10="TLA",RECORD!GY66,N$10="LECTURE","",TRUE(),""),"")</x:f>
      </x:c>
      <x:c r="M64" s="105" t="str">
        <x:f t="shared" si="5"/>
      </x:c>
      <x:c r="N64" s="104" t="str">
        <x:f t="array" ref="N64">IF(C64&lt;&gt;"",_xlfn.IFS(N$10="AT",RECORD!GS66,N$10="LECTURE",AX64,TRUE(),""),"")</x:f>
      </x:c>
      <x:c r="O64" s="106" t="str">
        <x:f t="shared" si="6"/>
      </x:c>
      <x:c r="P64" s="107" t="str">
        <x:f t="array" ref="P64">IF(C64&lt;&gt;"",_xlfn.IFS(P$10="EXAM",RECORD!GT66,P$10="OUTPUT",RECORD!GU66,P$10="LAB",BX64,TRUE(),""),"")</x:f>
      </x:c>
      <x:c r="Q64" s="106" t="str">
        <x:f t="shared" si="7"/>
      </x:c>
      <x:c r="R64" s="108" t="str">
        <x:f t="shared" si="8"/>
      </x:c>
      <x:c r="S64" s="109" t="str">
        <x:f t="shared" si="9"/>
      </x:c>
      <x:c r="T64" s="110" t="str">
        <x:f t="array" ref="T64">IF(C64&lt;&gt;"",_xlfn.IFS(T$10="TLA",RECORD!HI66,V$10="LECTURE","",TRUE(),""),"")</x:f>
      </x:c>
      <x:c r="U64" s="105" t="str">
        <x:f t="shared" si="10"/>
      </x:c>
      <x:c r="V64" s="104" t="str">
        <x:f t="array" ref="V64">IF(C64&lt;&gt;"",_xlfn.IFS(V$10="AT",RECORD!HC66,V$10="LECTURE",BF64,TRUE(),""),"")</x:f>
      </x:c>
      <x:c r="W64" s="106" t="str">
        <x:f t="shared" si="11"/>
      </x:c>
      <x:c r="X64" s="107" t="str">
        <x:f t="array" ref="X64">IF(C64&lt;&gt;"",_xlfn.IFS(X$10="EXAM",RECORD!HD66,X$10="OUTPUT",RECORD!HE66,X$10="LAB",CF64,TRUE(),""),"")</x:f>
      </x:c>
      <x:c r="Y64" s="106" t="str">
        <x:f t="shared" si="12"/>
      </x:c>
      <x:c r="Z64" s="108" t="str">
        <x:f t="shared" si="13"/>
      </x:c>
      <x:c r="AA64" s="109" t="str">
        <x:f t="shared" si="14"/>
      </x:c>
      <x:c r="AB64" s="111" t="str">
        <x:f t="shared" si="15"/>
      </x:c>
      <x:c r="AC64" s="109" t="str">
        <x:f t="shared" si="16"/>
      </x:c>
      <x:c r="AD64" s="112"/>
      <x:c r="AE64" s="102"/>
      <x:c r="AF64" s="113"/>
      <x:c r="AG64" s="112"/>
      <x:c r="AH64" s="103"/>
      <x:c r="AI64" s="114"/>
      <x:c r="AJ64" s="102"/>
      <x:c r="AK64" s="102"/>
      <x:c r="AL64" s="102"/>
      <x:c r="AM64" s="102"/>
      <x:c r="AN64" s="102"/>
      <x:c r="AO64" s="102"/>
      <x:c r="AP64" s="102"/>
      <x:c r="AQ64" s="109" t="str">
        <x:f t="shared" si="17"/>
        <x:v>FAILED</x:v>
      </x:c>
      <x:c r="AR64" s="115"/>
      <x:c r="AS64" s="115"/>
      <x:c r="AT64" s="107"/>
      <x:c r="AU64" s="107"/>
      <x:c r="AV64" s="107"/>
      <x:c r="AW64" s="107"/>
      <x:c r="AX64" s="107"/>
      <x:c r="AY64" s="109" t="str">
        <x:f t="shared" si="18"/>
        <x:v>FAILED</x:v>
      </x:c>
      <x:c r="AZ64" s="115"/>
      <x:c r="BA64" s="115"/>
      <x:c r="BB64" s="107"/>
      <x:c r="BC64" s="107"/>
      <x:c r="BD64" s="107"/>
      <x:c r="BE64" s="107"/>
      <x:c r="BF64" s="107"/>
      <x:c r="BG64" s="109" t="str">
        <x:f t="shared" si="19"/>
        <x:v>FAILED</x:v>
      </x:c>
      <x:c r="BH64" s="117"/>
      <x:c r="BI64" s="102"/>
      <x:c r="BJ64" s="102"/>
      <x:c r="BK64" s="102"/>
      <x:c r="BL64" s="102"/>
      <x:c r="BM64" s="102"/>
      <x:c r="BN64" s="102"/>
      <x:c r="BO64" s="102"/>
      <x:c r="BP64" s="102"/>
      <x:c r="BQ64" s="109" t="str">
        <x:f t="shared" si="20"/>
        <x:v>FAILED</x:v>
      </x:c>
      <x:c r="BR64" s="115"/>
      <x:c r="BS64" s="115"/>
      <x:c r="BT64" s="107"/>
      <x:c r="BU64" s="107"/>
      <x:c r="BV64" s="107"/>
      <x:c r="BW64" s="107"/>
      <x:c r="BX64" s="107"/>
      <x:c r="BY64" s="109" t="str">
        <x:f t="shared" si="21"/>
        <x:v>FAILED</x:v>
      </x:c>
      <x:c r="BZ64" s="115"/>
      <x:c r="CA64" s="115"/>
      <x:c r="CB64" s="107"/>
      <x:c r="CC64" s="107"/>
      <x:c r="CD64" s="107"/>
      <x:c r="CE64" s="107"/>
      <x:c r="CF64" s="107"/>
      <x:c r="CG64" s="109" t="str">
        <x:f t="shared" si="22"/>
        <x:v>FAILED</x:v>
      </x:c>
      <x:c r="CH64" s="117"/>
    </x:row>
    <x:row r="65">
      <x:c r="A65" s="102" t="str">
        <x:f>IF(RECORD!A67="","",RECORD!A67)</x:f>
      </x:c>
      <x:c r="B65" s="102" t="str">
        <x:f>IF(RECORD!B67="","",RECORD!B67)</x:f>
      </x:c>
      <x:c r="C65" s="103" t="str">
        <x:f>IF(RECORD!C67="","",RECORD!C67)</x:f>
      </x:c>
      <x:c r="D65" s="104" t="str">
        <x:f t="array" ref="D65">IF(C65&lt;&gt;"",IF(F$7="SUMMER","N/A",_xlfn.IFS(D$10="TLA",RECORD!GO67,F$10="LECTURE","",TRUE(),"")),"")</x:f>
      </x:c>
      <x:c r="E65" s="105" t="str">
        <x:f t="shared" si="0"/>
      </x:c>
      <x:c r="F65" s="104" t="str">
        <x:f t="array" ref="F65">IF(C65&lt;&gt;"",IF(F$7="SUMMER","N/A",_xlfn.IFS(F$10="AT",RECORD!GI67,F$10="LECTURE",GRADES!AP65,TRUE(),"")),"")</x:f>
      </x:c>
      <x:c r="G65" s="106" t="str">
        <x:f t="shared" si="1"/>
      </x:c>
      <x:c r="H65" s="107" t="str">
        <x:f t="array" ref="H65">IF(C65&lt;&gt;"",IF(F$7="SUMMER","N/A",_xlfn.IFS(H$10="EXAM",RECORD!GJ67,H$10="OUTPUT",RECORD!GK67,H$10="LAB",BP65,TRUE(),"")),"")</x:f>
      </x:c>
      <x:c r="I65" s="106" t="str">
        <x:f t="shared" si="2"/>
      </x:c>
      <x:c r="J65" s="108" t="str">
        <x:f t="shared" si="3"/>
      </x:c>
      <x:c r="K65" s="109" t="str">
        <x:f t="shared" si="4"/>
      </x:c>
      <x:c r="L65" s="110" t="str">
        <x:f t="array" ref="L65">IF(C65&lt;&gt;"",_xlfn.IFS(L$10="TLA",RECORD!GY67,N$10="LECTURE","",TRUE(),""),"")</x:f>
      </x:c>
      <x:c r="M65" s="105" t="str">
        <x:f t="shared" si="5"/>
      </x:c>
      <x:c r="N65" s="104" t="str">
        <x:f t="array" ref="N65">IF(C65&lt;&gt;"",_xlfn.IFS(N$10="AT",RECORD!GS67,N$10="LECTURE",AX65,TRUE(),""),"")</x:f>
      </x:c>
      <x:c r="O65" s="106" t="str">
        <x:f t="shared" si="6"/>
      </x:c>
      <x:c r="P65" s="107" t="str">
        <x:f t="array" ref="P65">IF(C65&lt;&gt;"",_xlfn.IFS(P$10="EXAM",RECORD!GT67,P$10="OUTPUT",RECORD!GU67,P$10="LAB",BX65,TRUE(),""),"")</x:f>
      </x:c>
      <x:c r="Q65" s="106" t="str">
        <x:f t="shared" si="7"/>
      </x:c>
      <x:c r="R65" s="108" t="str">
        <x:f t="shared" si="8"/>
      </x:c>
      <x:c r="S65" s="109" t="str">
        <x:f t="shared" si="9"/>
      </x:c>
      <x:c r="T65" s="110" t="str">
        <x:f t="array" ref="T65">IF(C65&lt;&gt;"",_xlfn.IFS(T$10="TLA",RECORD!HI67,V$10="LECTURE","",TRUE(),""),"")</x:f>
      </x:c>
      <x:c r="U65" s="105" t="str">
        <x:f t="shared" si="10"/>
      </x:c>
      <x:c r="V65" s="104" t="str">
        <x:f t="array" ref="V65">IF(C65&lt;&gt;"",_xlfn.IFS(V$10="AT",RECORD!HC67,V$10="LECTURE",BF65,TRUE(),""),"")</x:f>
      </x:c>
      <x:c r="W65" s="106" t="str">
        <x:f t="shared" si="11"/>
      </x:c>
      <x:c r="X65" s="107" t="str">
        <x:f t="array" ref="X65">IF(C65&lt;&gt;"",_xlfn.IFS(X$10="EXAM",RECORD!HD67,X$10="OUTPUT",RECORD!HE67,X$10="LAB",CF65,TRUE(),""),"")</x:f>
      </x:c>
      <x:c r="Y65" s="106" t="str">
        <x:f t="shared" si="12"/>
      </x:c>
      <x:c r="Z65" s="108" t="str">
        <x:f t="shared" si="13"/>
      </x:c>
      <x:c r="AA65" s="109" t="str">
        <x:f t="shared" si="14"/>
      </x:c>
      <x:c r="AB65" s="111" t="str">
        <x:f t="shared" si="15"/>
      </x:c>
      <x:c r="AC65" s="109" t="str">
        <x:f t="shared" si="16"/>
      </x:c>
      <x:c r="AD65" s="112"/>
      <x:c r="AE65" s="102"/>
      <x:c r="AF65" s="113"/>
      <x:c r="AG65" s="112"/>
      <x:c r="AH65" s="103"/>
      <x:c r="AI65" s="114"/>
      <x:c r="AJ65" s="102"/>
      <x:c r="AK65" s="102"/>
      <x:c r="AL65" s="102"/>
      <x:c r="AM65" s="102"/>
      <x:c r="AN65" s="102"/>
      <x:c r="AO65" s="102"/>
      <x:c r="AP65" s="102"/>
      <x:c r="AQ65" s="109" t="str">
        <x:f t="shared" si="17"/>
        <x:v>FAILED</x:v>
      </x:c>
      <x:c r="AR65" s="115"/>
      <x:c r="AS65" s="115"/>
      <x:c r="AT65" s="107"/>
      <x:c r="AU65" s="107"/>
      <x:c r="AV65" s="107"/>
      <x:c r="AW65" s="107"/>
      <x:c r="AX65" s="107"/>
      <x:c r="AY65" s="109" t="str">
        <x:f t="shared" si="18"/>
        <x:v>FAILED</x:v>
      </x:c>
      <x:c r="AZ65" s="115"/>
      <x:c r="BA65" s="115"/>
      <x:c r="BB65" s="107"/>
      <x:c r="BC65" s="107"/>
      <x:c r="BD65" s="107"/>
      <x:c r="BE65" s="107"/>
      <x:c r="BF65" s="107"/>
      <x:c r="BG65" s="109" t="str">
        <x:f t="shared" si="19"/>
        <x:v>FAILED</x:v>
      </x:c>
      <x:c r="BH65" s="117"/>
      <x:c r="BI65" s="102"/>
      <x:c r="BJ65" s="102"/>
      <x:c r="BK65" s="102"/>
      <x:c r="BL65" s="102"/>
      <x:c r="BM65" s="102"/>
      <x:c r="BN65" s="102"/>
      <x:c r="BO65" s="102"/>
      <x:c r="BP65" s="102"/>
      <x:c r="BQ65" s="109" t="str">
        <x:f t="shared" si="20"/>
        <x:v>FAILED</x:v>
      </x:c>
      <x:c r="BR65" s="115"/>
      <x:c r="BS65" s="115"/>
      <x:c r="BT65" s="107"/>
      <x:c r="BU65" s="107"/>
      <x:c r="BV65" s="107"/>
      <x:c r="BW65" s="107"/>
      <x:c r="BX65" s="107"/>
      <x:c r="BY65" s="109" t="str">
        <x:f t="shared" si="21"/>
        <x:v>FAILED</x:v>
      </x:c>
      <x:c r="BZ65" s="115"/>
      <x:c r="CA65" s="115"/>
      <x:c r="CB65" s="107"/>
      <x:c r="CC65" s="107"/>
      <x:c r="CD65" s="107"/>
      <x:c r="CE65" s="107"/>
      <x:c r="CF65" s="107"/>
      <x:c r="CG65" s="109" t="str">
        <x:f t="shared" si="22"/>
        <x:v>FAILED</x:v>
      </x:c>
      <x:c r="CH65" s="117"/>
    </x:row>
    <x:row r="66">
      <x:c r="A66" s="102" t="str">
        <x:f>IF(RECORD!A68="","",RECORD!A68)</x:f>
      </x:c>
      <x:c r="B66" s="102" t="str">
        <x:f>IF(RECORD!B68="","",RECORD!B68)</x:f>
      </x:c>
      <x:c r="C66" s="103" t="str">
        <x:f>IF(RECORD!C68="","",RECORD!C68)</x:f>
      </x:c>
      <x:c r="D66" s="104" t="str">
        <x:f t="array" ref="D66">IF(C66&lt;&gt;"",IF(F$7="SUMMER","N/A",_xlfn.IFS(D$10="TLA",RECORD!GO68,F$10="LECTURE","",TRUE(),"")),"")</x:f>
      </x:c>
      <x:c r="E66" s="105" t="str">
        <x:f t="shared" si="0"/>
      </x:c>
      <x:c r="F66" s="104" t="str">
        <x:f t="array" ref="F66">IF(C66&lt;&gt;"",IF(F$7="SUMMER","N/A",_xlfn.IFS(F$10="AT",RECORD!GI68,F$10="LECTURE",GRADES!AP66,TRUE(),"")),"")</x:f>
      </x:c>
      <x:c r="G66" s="106" t="str">
        <x:f t="shared" si="1"/>
      </x:c>
      <x:c r="H66" s="107" t="str">
        <x:f t="array" ref="H66">IF(C66&lt;&gt;"",IF(F$7="SUMMER","N/A",_xlfn.IFS(H$10="EXAM",RECORD!GJ68,H$10="OUTPUT",RECORD!GK68,H$10="LAB",BP66,TRUE(),"")),"")</x:f>
      </x:c>
      <x:c r="I66" s="106" t="str">
        <x:f t="shared" si="2"/>
      </x:c>
      <x:c r="J66" s="108" t="str">
        <x:f t="shared" si="3"/>
      </x:c>
      <x:c r="K66" s="109" t="str">
        <x:f t="shared" si="4"/>
      </x:c>
      <x:c r="L66" s="110" t="str">
        <x:f t="array" ref="L66">IF(C66&lt;&gt;"",_xlfn.IFS(L$10="TLA",RECORD!GY68,N$10="LECTURE","",TRUE(),""),"")</x:f>
      </x:c>
      <x:c r="M66" s="105" t="str">
        <x:f t="shared" si="5"/>
      </x:c>
      <x:c r="N66" s="104" t="str">
        <x:f t="array" ref="N66">IF(C66&lt;&gt;"",_xlfn.IFS(N$10="AT",RECORD!GS68,N$10="LECTURE",AX66,TRUE(),""),"")</x:f>
      </x:c>
      <x:c r="O66" s="106" t="str">
        <x:f t="shared" si="6"/>
      </x:c>
      <x:c r="P66" s="107" t="str">
        <x:f t="array" ref="P66">IF(C66&lt;&gt;"",_xlfn.IFS(P$10="EXAM",RECORD!GT68,P$10="OUTPUT",RECORD!GU68,P$10="LAB",BX66,TRUE(),""),"")</x:f>
      </x:c>
      <x:c r="Q66" s="106" t="str">
        <x:f t="shared" si="7"/>
      </x:c>
      <x:c r="R66" s="108" t="str">
        <x:f t="shared" si="8"/>
      </x:c>
      <x:c r="S66" s="109" t="str">
        <x:f t="shared" si="9"/>
      </x:c>
      <x:c r="T66" s="110" t="str">
        <x:f t="array" ref="T66">IF(C66&lt;&gt;"",_xlfn.IFS(T$10="TLA",RECORD!HI68,V$10="LECTURE","",TRUE(),""),"")</x:f>
      </x:c>
      <x:c r="U66" s="105" t="str">
        <x:f t="shared" si="10"/>
      </x:c>
      <x:c r="V66" s="104" t="str">
        <x:f t="array" ref="V66">IF(C66&lt;&gt;"",_xlfn.IFS(V$10="AT",RECORD!HC68,V$10="LECTURE",BF66,TRUE(),""),"")</x:f>
      </x:c>
      <x:c r="W66" s="106" t="str">
        <x:f t="shared" si="11"/>
      </x:c>
      <x:c r="X66" s="107" t="str">
        <x:f t="array" ref="X66">IF(C66&lt;&gt;"",_xlfn.IFS(X$10="EXAM",RECORD!HD68,X$10="OUTPUT",RECORD!HE68,X$10="LAB",CF66,TRUE(),""),"")</x:f>
      </x:c>
      <x:c r="Y66" s="106" t="str">
        <x:f t="shared" si="12"/>
      </x:c>
      <x:c r="Z66" s="108" t="str">
        <x:f t="shared" si="13"/>
      </x:c>
      <x:c r="AA66" s="109" t="str">
        <x:f t="shared" si="14"/>
      </x:c>
      <x:c r="AB66" s="111" t="str">
        <x:f t="shared" si="15"/>
      </x:c>
      <x:c r="AC66" s="109" t="str">
        <x:f t="shared" si="16"/>
      </x:c>
      <x:c r="AD66" s="112"/>
      <x:c r="AE66" s="102"/>
      <x:c r="AF66" s="113"/>
      <x:c r="AG66" s="112"/>
      <x:c r="AH66" s="103"/>
      <x:c r="AI66" s="114"/>
      <x:c r="AJ66" s="102"/>
      <x:c r="AK66" s="102"/>
      <x:c r="AL66" s="102"/>
      <x:c r="AM66" s="102"/>
      <x:c r="AN66" s="102"/>
      <x:c r="AO66" s="102"/>
      <x:c r="AP66" s="102"/>
      <x:c r="AQ66" s="109" t="str">
        <x:f t="shared" si="17"/>
        <x:v>FAILED</x:v>
      </x:c>
      <x:c r="AR66" s="115"/>
      <x:c r="AS66" s="115"/>
      <x:c r="AT66" s="107"/>
      <x:c r="AU66" s="107"/>
      <x:c r="AV66" s="107"/>
      <x:c r="AW66" s="107"/>
      <x:c r="AX66" s="107"/>
      <x:c r="AY66" s="109" t="str">
        <x:f t="shared" si="18"/>
        <x:v>FAILED</x:v>
      </x:c>
      <x:c r="AZ66" s="115"/>
      <x:c r="BA66" s="115"/>
      <x:c r="BB66" s="107"/>
      <x:c r="BC66" s="107"/>
      <x:c r="BD66" s="107"/>
      <x:c r="BE66" s="107"/>
      <x:c r="BF66" s="107"/>
      <x:c r="BG66" s="109" t="str">
        <x:f t="shared" si="19"/>
        <x:v>FAILED</x:v>
      </x:c>
      <x:c r="BH66" s="117"/>
      <x:c r="BI66" s="102"/>
      <x:c r="BJ66" s="102"/>
      <x:c r="BK66" s="102"/>
      <x:c r="BL66" s="102"/>
      <x:c r="BM66" s="102"/>
      <x:c r="BN66" s="102"/>
      <x:c r="BO66" s="102"/>
      <x:c r="BP66" s="102"/>
      <x:c r="BQ66" s="109" t="str">
        <x:f t="shared" si="20"/>
        <x:v>FAILED</x:v>
      </x:c>
      <x:c r="BR66" s="115"/>
      <x:c r="BS66" s="115"/>
      <x:c r="BT66" s="107"/>
      <x:c r="BU66" s="107"/>
      <x:c r="BV66" s="107"/>
      <x:c r="BW66" s="107"/>
      <x:c r="BX66" s="107"/>
      <x:c r="BY66" s="109" t="str">
        <x:f t="shared" si="21"/>
        <x:v>FAILED</x:v>
      </x:c>
      <x:c r="BZ66" s="115"/>
      <x:c r="CA66" s="115"/>
      <x:c r="CB66" s="107"/>
      <x:c r="CC66" s="107"/>
      <x:c r="CD66" s="107"/>
      <x:c r="CE66" s="107"/>
      <x:c r="CF66" s="107"/>
      <x:c r="CG66" s="109" t="str">
        <x:f t="shared" si="22"/>
        <x:v>FAILED</x:v>
      </x:c>
      <x:c r="CH66" s="117"/>
    </x:row>
    <x:row r="67">
      <x:c r="A67" s="102" t="str">
        <x:f>IF(RECORD!A69="","",RECORD!A69)</x:f>
      </x:c>
      <x:c r="B67" s="102" t="str">
        <x:f>IF(RECORD!B69="","",RECORD!B69)</x:f>
      </x:c>
      <x:c r="C67" s="103" t="str">
        <x:f>IF(RECORD!C69="","",RECORD!C69)</x:f>
      </x:c>
      <x:c r="D67" s="104" t="str">
        <x:f t="array" ref="D67">IF(C67&lt;&gt;"",IF(F$7="SUMMER","N/A",_xlfn.IFS(D$10="TLA",RECORD!GO69,F$10="LECTURE","",TRUE(),"")),"")</x:f>
      </x:c>
      <x:c r="E67" s="105" t="str">
        <x:f t="shared" si="0"/>
      </x:c>
      <x:c r="F67" s="104" t="str">
        <x:f t="array" ref="F67">IF(C67&lt;&gt;"",IF(F$7="SUMMER","N/A",_xlfn.IFS(F$10="AT",RECORD!GI69,F$10="LECTURE",GRADES!AP67,TRUE(),"")),"")</x:f>
      </x:c>
      <x:c r="G67" s="106" t="str">
        <x:f t="shared" si="1"/>
      </x:c>
      <x:c r="H67" s="107" t="str">
        <x:f t="array" ref="H67">IF(C67&lt;&gt;"",IF(F$7="SUMMER","N/A",_xlfn.IFS(H$10="EXAM",RECORD!GJ69,H$10="OUTPUT",RECORD!GK69,H$10="LAB",BP67,TRUE(),"")),"")</x:f>
      </x:c>
      <x:c r="I67" s="106" t="str">
        <x:f t="shared" si="2"/>
      </x:c>
      <x:c r="J67" s="108" t="str">
        <x:f t="shared" si="3"/>
      </x:c>
      <x:c r="K67" s="109" t="str">
        <x:f t="shared" si="4"/>
      </x:c>
      <x:c r="L67" s="110" t="str">
        <x:f t="array" ref="L67">IF(C67&lt;&gt;"",_xlfn.IFS(L$10="TLA",RECORD!GY69,N$10="LECTURE","",TRUE(),""),"")</x:f>
      </x:c>
      <x:c r="M67" s="105" t="str">
        <x:f t="shared" si="5"/>
      </x:c>
      <x:c r="N67" s="104" t="str">
        <x:f t="array" ref="N67">IF(C67&lt;&gt;"",_xlfn.IFS(N$10="AT",RECORD!GS69,N$10="LECTURE",AX67,TRUE(),""),"")</x:f>
      </x:c>
      <x:c r="O67" s="106" t="str">
        <x:f t="shared" si="6"/>
      </x:c>
      <x:c r="P67" s="107" t="str">
        <x:f t="array" ref="P67">IF(C67&lt;&gt;"",_xlfn.IFS(P$10="EXAM",RECORD!GT69,P$10="OUTPUT",RECORD!GU69,P$10="LAB",BX67,TRUE(),""),"")</x:f>
      </x:c>
      <x:c r="Q67" s="106" t="str">
        <x:f t="shared" si="7"/>
      </x:c>
      <x:c r="R67" s="108" t="str">
        <x:f t="shared" si="8"/>
      </x:c>
      <x:c r="S67" s="109" t="str">
        <x:f t="shared" si="9"/>
      </x:c>
      <x:c r="T67" s="110" t="str">
        <x:f t="array" ref="T67">IF(C67&lt;&gt;"",_xlfn.IFS(T$10="TLA",RECORD!HI69,V$10="LECTURE","",TRUE(),""),"")</x:f>
      </x:c>
      <x:c r="U67" s="105" t="str">
        <x:f t="shared" si="10"/>
      </x:c>
      <x:c r="V67" s="104" t="str">
        <x:f t="array" ref="V67">IF(C67&lt;&gt;"",_xlfn.IFS(V$10="AT",RECORD!HC69,V$10="LECTURE",BF67,TRUE(),""),"")</x:f>
      </x:c>
      <x:c r="W67" s="106" t="str">
        <x:f t="shared" si="11"/>
      </x:c>
      <x:c r="X67" s="107" t="str">
        <x:f t="array" ref="X67">IF(C67&lt;&gt;"",_xlfn.IFS(X$10="EXAM",RECORD!HD69,X$10="OUTPUT",RECORD!HE69,X$10="LAB",CF67,TRUE(),""),"")</x:f>
      </x:c>
      <x:c r="Y67" s="106" t="str">
        <x:f t="shared" si="12"/>
      </x:c>
      <x:c r="Z67" s="108" t="str">
        <x:f t="shared" si="13"/>
      </x:c>
      <x:c r="AA67" s="109" t="str">
        <x:f t="shared" si="14"/>
      </x:c>
      <x:c r="AB67" s="111" t="str">
        <x:f t="shared" si="15"/>
      </x:c>
      <x:c r="AC67" s="109" t="str">
        <x:f t="shared" si="16"/>
      </x:c>
      <x:c r="AD67" s="112"/>
      <x:c r="AE67" s="102"/>
      <x:c r="AF67" s="113"/>
      <x:c r="AG67" s="112"/>
      <x:c r="AH67" s="103"/>
      <x:c r="AI67" s="114"/>
      <x:c r="AJ67" s="102"/>
      <x:c r="AK67" s="102"/>
      <x:c r="AL67" s="102"/>
      <x:c r="AM67" s="102"/>
      <x:c r="AN67" s="102"/>
      <x:c r="AO67" s="102"/>
      <x:c r="AP67" s="102"/>
      <x:c r="AQ67" s="109" t="str">
        <x:f t="shared" si="17"/>
        <x:v>FAILED</x:v>
      </x:c>
      <x:c r="AR67" s="115"/>
      <x:c r="AS67" s="115"/>
      <x:c r="AT67" s="107"/>
      <x:c r="AU67" s="107"/>
      <x:c r="AV67" s="107"/>
      <x:c r="AW67" s="107"/>
      <x:c r="AX67" s="107"/>
      <x:c r="AY67" s="109" t="str">
        <x:f t="shared" si="18"/>
        <x:v>FAILED</x:v>
      </x:c>
      <x:c r="AZ67" s="115"/>
      <x:c r="BA67" s="115"/>
      <x:c r="BB67" s="107"/>
      <x:c r="BC67" s="107"/>
      <x:c r="BD67" s="107"/>
      <x:c r="BE67" s="107"/>
      <x:c r="BF67" s="107"/>
      <x:c r="BG67" s="109" t="str">
        <x:f t="shared" si="19"/>
        <x:v>FAILED</x:v>
      </x:c>
      <x:c r="BH67" s="117"/>
      <x:c r="BI67" s="102"/>
      <x:c r="BJ67" s="102"/>
      <x:c r="BK67" s="102"/>
      <x:c r="BL67" s="102"/>
      <x:c r="BM67" s="102"/>
      <x:c r="BN67" s="102"/>
      <x:c r="BO67" s="102"/>
      <x:c r="BP67" s="102"/>
      <x:c r="BQ67" s="109" t="str">
        <x:f t="shared" si="20"/>
        <x:v>FAILED</x:v>
      </x:c>
      <x:c r="BR67" s="115"/>
      <x:c r="BS67" s="115"/>
      <x:c r="BT67" s="107"/>
      <x:c r="BU67" s="107"/>
      <x:c r="BV67" s="107"/>
      <x:c r="BW67" s="107"/>
      <x:c r="BX67" s="107"/>
      <x:c r="BY67" s="109" t="str">
        <x:f t="shared" si="21"/>
        <x:v>FAILED</x:v>
      </x:c>
      <x:c r="BZ67" s="115"/>
      <x:c r="CA67" s="115"/>
      <x:c r="CB67" s="107"/>
      <x:c r="CC67" s="107"/>
      <x:c r="CD67" s="107"/>
      <x:c r="CE67" s="107"/>
      <x:c r="CF67" s="107"/>
      <x:c r="CG67" s="109" t="str">
        <x:f t="shared" si="22"/>
        <x:v>FAILED</x:v>
      </x:c>
      <x:c r="CH67" s="117"/>
    </x:row>
    <x:row r="68">
      <x:c r="A68" s="102" t="str">
        <x:f>IF(RECORD!A70="","",RECORD!A70)</x:f>
      </x:c>
      <x:c r="B68" s="102" t="str">
        <x:f>IF(RECORD!B70="","",RECORD!B70)</x:f>
      </x:c>
      <x:c r="C68" s="103" t="str">
        <x:f>IF(RECORD!C70="","",RECORD!C70)</x:f>
      </x:c>
      <x:c r="D68" s="104" t="str">
        <x:f t="array" ref="D68">IF(C68&lt;&gt;"",IF(F$7="SUMMER","N/A",_xlfn.IFS(D$10="TLA",RECORD!GO70,F$10="LECTURE","",TRUE(),"")),"")</x:f>
      </x:c>
      <x:c r="E68" s="105" t="str">
        <x:f t="shared" si="0"/>
      </x:c>
      <x:c r="F68" s="104" t="str">
        <x:f t="array" ref="F68">IF(C68&lt;&gt;"",IF(F$7="SUMMER","N/A",_xlfn.IFS(F$10="AT",RECORD!GI70,F$10="LECTURE",GRADES!AP68,TRUE(),"")),"")</x:f>
      </x:c>
      <x:c r="G68" s="106" t="str">
        <x:f t="shared" si="1"/>
      </x:c>
      <x:c r="H68" s="107" t="str">
        <x:f t="array" ref="H68">IF(C68&lt;&gt;"",IF(F$7="SUMMER","N/A",_xlfn.IFS(H$10="EXAM",RECORD!GJ70,H$10="OUTPUT",RECORD!GK70,H$10="LAB",BP68,TRUE(),"")),"")</x:f>
      </x:c>
      <x:c r="I68" s="106" t="str">
        <x:f t="shared" si="2"/>
      </x:c>
      <x:c r="J68" s="108" t="str">
        <x:f t="shared" si="3"/>
      </x:c>
      <x:c r="K68" s="109" t="str">
        <x:f t="shared" si="4"/>
      </x:c>
      <x:c r="L68" s="110" t="str">
        <x:f t="array" ref="L68">IF(C68&lt;&gt;"",_xlfn.IFS(L$10="TLA",RECORD!GY70,N$10="LECTURE","",TRUE(),""),"")</x:f>
      </x:c>
      <x:c r="M68" s="105" t="str">
        <x:f t="shared" si="5"/>
      </x:c>
      <x:c r="N68" s="104" t="str">
        <x:f t="array" ref="N68">IF(C68&lt;&gt;"",_xlfn.IFS(N$10="AT",RECORD!GS70,N$10="LECTURE",AX68,TRUE(),""),"")</x:f>
      </x:c>
      <x:c r="O68" s="106" t="str">
        <x:f t="shared" si="6"/>
      </x:c>
      <x:c r="P68" s="107" t="str">
        <x:f t="array" ref="P68">IF(C68&lt;&gt;"",_xlfn.IFS(P$10="EXAM",RECORD!GT70,P$10="OUTPUT",RECORD!GU70,P$10="LAB",BX68,TRUE(),""),"")</x:f>
      </x:c>
      <x:c r="Q68" s="106" t="str">
        <x:f t="shared" si="7"/>
      </x:c>
      <x:c r="R68" s="108" t="str">
        <x:f t="shared" si="8"/>
      </x:c>
      <x:c r="S68" s="109" t="str">
        <x:f t="shared" si="9"/>
      </x:c>
      <x:c r="T68" s="110" t="str">
        <x:f t="array" ref="T68">IF(C68&lt;&gt;"",_xlfn.IFS(T$10="TLA",RECORD!HI70,V$10="LECTURE","",TRUE(),""),"")</x:f>
      </x:c>
      <x:c r="U68" s="105" t="str">
        <x:f t="shared" si="10"/>
      </x:c>
      <x:c r="V68" s="104" t="str">
        <x:f t="array" ref="V68">IF(C68&lt;&gt;"",_xlfn.IFS(V$10="AT",RECORD!HC70,V$10="LECTURE",BF68,TRUE(),""),"")</x:f>
      </x:c>
      <x:c r="W68" s="106" t="str">
        <x:f t="shared" si="11"/>
      </x:c>
      <x:c r="X68" s="107" t="str">
        <x:f t="array" ref="X68">IF(C68&lt;&gt;"",_xlfn.IFS(X$10="EXAM",RECORD!HD70,X$10="OUTPUT",RECORD!HE70,X$10="LAB",CF68,TRUE(),""),"")</x:f>
      </x:c>
      <x:c r="Y68" s="106" t="str">
        <x:f t="shared" si="12"/>
      </x:c>
      <x:c r="Z68" s="108" t="str">
        <x:f t="shared" si="13"/>
      </x:c>
      <x:c r="AA68" s="109" t="str">
        <x:f t="shared" si="14"/>
      </x:c>
      <x:c r="AB68" s="111" t="str">
        <x:f t="shared" si="15"/>
      </x:c>
      <x:c r="AC68" s="109" t="str">
        <x:f t="shared" si="16"/>
      </x:c>
      <x:c r="AD68" s="112"/>
      <x:c r="AE68" s="102"/>
      <x:c r="AF68" s="113"/>
      <x:c r="AG68" s="112"/>
      <x:c r="AH68" s="103"/>
      <x:c r="AI68" s="114"/>
      <x:c r="AJ68" s="102"/>
      <x:c r="AK68" s="102"/>
      <x:c r="AL68" s="102"/>
      <x:c r="AM68" s="102"/>
      <x:c r="AN68" s="102"/>
      <x:c r="AO68" s="102"/>
      <x:c r="AP68" s="102"/>
      <x:c r="AQ68" s="109" t="str">
        <x:f t="shared" si="17"/>
        <x:v>FAILED</x:v>
      </x:c>
      <x:c r="AR68" s="115"/>
      <x:c r="AS68" s="115"/>
      <x:c r="AT68" s="107"/>
      <x:c r="AU68" s="107"/>
      <x:c r="AV68" s="107"/>
      <x:c r="AW68" s="107"/>
      <x:c r="AX68" s="107"/>
      <x:c r="AY68" s="109" t="str">
        <x:f t="shared" si="18"/>
        <x:v>FAILED</x:v>
      </x:c>
      <x:c r="AZ68" s="115"/>
      <x:c r="BA68" s="115"/>
      <x:c r="BB68" s="107"/>
      <x:c r="BC68" s="107"/>
      <x:c r="BD68" s="107"/>
      <x:c r="BE68" s="107"/>
      <x:c r="BF68" s="107"/>
      <x:c r="BG68" s="109" t="str">
        <x:f t="shared" si="19"/>
        <x:v>FAILED</x:v>
      </x:c>
      <x:c r="BH68" s="117"/>
      <x:c r="BI68" s="102"/>
      <x:c r="BJ68" s="102"/>
      <x:c r="BK68" s="102"/>
      <x:c r="BL68" s="102"/>
      <x:c r="BM68" s="102"/>
      <x:c r="BN68" s="102"/>
      <x:c r="BO68" s="102"/>
      <x:c r="BP68" s="102"/>
      <x:c r="BQ68" s="109" t="str">
        <x:f t="shared" si="20"/>
        <x:v>FAILED</x:v>
      </x:c>
      <x:c r="BR68" s="115"/>
      <x:c r="BS68" s="115"/>
      <x:c r="BT68" s="107"/>
      <x:c r="BU68" s="107"/>
      <x:c r="BV68" s="107"/>
      <x:c r="BW68" s="107"/>
      <x:c r="BX68" s="107"/>
      <x:c r="BY68" s="109" t="str">
        <x:f t="shared" si="21"/>
        <x:v>FAILED</x:v>
      </x:c>
      <x:c r="BZ68" s="115"/>
      <x:c r="CA68" s="115"/>
      <x:c r="CB68" s="107"/>
      <x:c r="CC68" s="107"/>
      <x:c r="CD68" s="107"/>
      <x:c r="CE68" s="107"/>
      <x:c r="CF68" s="107"/>
      <x:c r="CG68" s="109" t="str">
        <x:f t="shared" si="22"/>
        <x:v>FAILED</x:v>
      </x:c>
      <x:c r="CH68" s="117"/>
    </x:row>
    <x:row r="69">
      <x:c r="A69" s="102" t="str">
        <x:f>IF(RECORD!A71="","",RECORD!A71)</x:f>
      </x:c>
      <x:c r="B69" s="102" t="str">
        <x:f>IF(RECORD!B71="","",RECORD!B71)</x:f>
      </x:c>
      <x:c r="C69" s="103" t="str">
        <x:f>IF(RECORD!C71="","",RECORD!C71)</x:f>
      </x:c>
      <x:c r="D69" s="104" t="str">
        <x:f t="array" ref="D69">IF(C69&lt;&gt;"",IF(F$7="SUMMER","N/A",_xlfn.IFS(D$10="TLA",RECORD!GO71,F$10="LECTURE","",TRUE(),"")),"")</x:f>
      </x:c>
      <x:c r="E69" s="105" t="str">
        <x:f t="shared" si="0"/>
      </x:c>
      <x:c r="F69" s="104" t="str">
        <x:f t="array" ref="F69">IF(C69&lt;&gt;"",IF(F$7="SUMMER","N/A",_xlfn.IFS(F$10="AT",RECORD!GI71,F$10="LECTURE",GRADES!AP69,TRUE(),"")),"")</x:f>
      </x:c>
      <x:c r="G69" s="106" t="str">
        <x:f t="shared" si="1"/>
      </x:c>
      <x:c r="H69" s="107" t="str">
        <x:f t="array" ref="H69">IF(C69&lt;&gt;"",IF(F$7="SUMMER","N/A",_xlfn.IFS(H$10="EXAM",RECORD!GJ71,H$10="OUTPUT",RECORD!GK71,H$10="LAB",BP69,TRUE(),"")),"")</x:f>
      </x:c>
      <x:c r="I69" s="106" t="str">
        <x:f t="shared" si="2"/>
      </x:c>
      <x:c r="J69" s="108" t="str">
        <x:f t="shared" si="3"/>
      </x:c>
      <x:c r="K69" s="109" t="str">
        <x:f t="shared" si="4"/>
      </x:c>
      <x:c r="L69" s="110" t="str">
        <x:f t="array" ref="L69">IF(C69&lt;&gt;"",_xlfn.IFS(L$10="TLA",RECORD!GY71,N$10="LECTURE","",TRUE(),""),"")</x:f>
      </x:c>
      <x:c r="M69" s="105" t="str">
        <x:f t="shared" si="5"/>
      </x:c>
      <x:c r="N69" s="104" t="str">
        <x:f t="array" ref="N69">IF(C69&lt;&gt;"",_xlfn.IFS(N$10="AT",RECORD!GS71,N$10="LECTURE",AX69,TRUE(),""),"")</x:f>
      </x:c>
      <x:c r="O69" s="106" t="str">
        <x:f t="shared" si="6"/>
      </x:c>
      <x:c r="P69" s="107" t="str">
        <x:f t="array" ref="P69">IF(C69&lt;&gt;"",_xlfn.IFS(P$10="EXAM",RECORD!GT71,P$10="OUTPUT",RECORD!GU71,P$10="LAB",BX69,TRUE(),""),"")</x:f>
      </x:c>
      <x:c r="Q69" s="106" t="str">
        <x:f t="shared" si="7"/>
      </x:c>
      <x:c r="R69" s="108" t="str">
        <x:f t="shared" si="8"/>
      </x:c>
      <x:c r="S69" s="109" t="str">
        <x:f t="shared" si="9"/>
      </x:c>
      <x:c r="T69" s="110" t="str">
        <x:f t="array" ref="T69">IF(C69&lt;&gt;"",_xlfn.IFS(T$10="TLA",RECORD!HI71,V$10="LECTURE","",TRUE(),""),"")</x:f>
      </x:c>
      <x:c r="U69" s="105" t="str">
        <x:f t="shared" si="10"/>
      </x:c>
      <x:c r="V69" s="104" t="str">
        <x:f t="array" ref="V69">IF(C69&lt;&gt;"",_xlfn.IFS(V$10="AT",RECORD!HC71,V$10="LECTURE",BF69,TRUE(),""),"")</x:f>
      </x:c>
      <x:c r="W69" s="106" t="str">
        <x:f t="shared" si="11"/>
      </x:c>
      <x:c r="X69" s="107" t="str">
        <x:f t="array" ref="X69">IF(C69&lt;&gt;"",_xlfn.IFS(X$10="EXAM",RECORD!HD71,X$10="OUTPUT",RECORD!HE71,X$10="LAB",CF69,TRUE(),""),"")</x:f>
      </x:c>
      <x:c r="Y69" s="106" t="str">
        <x:f t="shared" si="12"/>
      </x:c>
      <x:c r="Z69" s="108" t="str">
        <x:f t="shared" si="13"/>
      </x:c>
      <x:c r="AA69" s="109" t="str">
        <x:f t="shared" si="14"/>
      </x:c>
      <x:c r="AB69" s="111" t="str">
        <x:f t="shared" si="15"/>
      </x:c>
      <x:c r="AC69" s="109" t="str">
        <x:f t="shared" si="16"/>
      </x:c>
      <x:c r="AD69" s="112"/>
      <x:c r="AE69" s="102"/>
      <x:c r="AF69" s="113"/>
      <x:c r="AG69" s="112"/>
      <x:c r="AH69" s="103"/>
      <x:c r="AI69" s="114"/>
      <x:c r="AJ69" s="102"/>
      <x:c r="AK69" s="102"/>
      <x:c r="AL69" s="102"/>
      <x:c r="AM69" s="102"/>
      <x:c r="AN69" s="102"/>
      <x:c r="AO69" s="102"/>
      <x:c r="AP69" s="102"/>
      <x:c r="AQ69" s="109" t="str">
        <x:f t="shared" si="17"/>
        <x:v>FAILED</x:v>
      </x:c>
      <x:c r="AR69" s="115"/>
      <x:c r="AS69" s="115"/>
      <x:c r="AT69" s="107"/>
      <x:c r="AU69" s="107"/>
      <x:c r="AV69" s="107"/>
      <x:c r="AW69" s="107"/>
      <x:c r="AX69" s="107"/>
      <x:c r="AY69" s="109" t="str">
        <x:f t="shared" si="18"/>
        <x:v>FAILED</x:v>
      </x:c>
      <x:c r="AZ69" s="115"/>
      <x:c r="BA69" s="115"/>
      <x:c r="BB69" s="107"/>
      <x:c r="BC69" s="107"/>
      <x:c r="BD69" s="107"/>
      <x:c r="BE69" s="107"/>
      <x:c r="BF69" s="107"/>
      <x:c r="BG69" s="109" t="str">
        <x:f t="shared" si="19"/>
        <x:v>FAILED</x:v>
      </x:c>
      <x:c r="BH69" s="117"/>
      <x:c r="BI69" s="102"/>
      <x:c r="BJ69" s="102"/>
      <x:c r="BK69" s="102"/>
      <x:c r="BL69" s="102"/>
      <x:c r="BM69" s="102"/>
      <x:c r="BN69" s="102"/>
      <x:c r="BO69" s="102"/>
      <x:c r="BP69" s="102"/>
      <x:c r="BQ69" s="109" t="str">
        <x:f t="shared" si="20"/>
        <x:v>FAILED</x:v>
      </x:c>
      <x:c r="BR69" s="115"/>
      <x:c r="BS69" s="115"/>
      <x:c r="BT69" s="107"/>
      <x:c r="BU69" s="107"/>
      <x:c r="BV69" s="107"/>
      <x:c r="BW69" s="107"/>
      <x:c r="BX69" s="107"/>
      <x:c r="BY69" s="109" t="str">
        <x:f t="shared" si="21"/>
        <x:v>FAILED</x:v>
      </x:c>
      <x:c r="BZ69" s="115"/>
      <x:c r="CA69" s="115"/>
      <x:c r="CB69" s="107"/>
      <x:c r="CC69" s="107"/>
      <x:c r="CD69" s="107"/>
      <x:c r="CE69" s="107"/>
      <x:c r="CF69" s="107"/>
      <x:c r="CG69" s="109" t="str">
        <x:f t="shared" si="22"/>
        <x:v>FAILED</x:v>
      </x:c>
      <x:c r="CH69" s="117"/>
    </x:row>
    <x:row r="70">
      <x:c r="A70" s="102" t="str">
        <x:f>IF(RECORD!A72="","",RECORD!A72)</x:f>
      </x:c>
      <x:c r="B70" s="102" t="str">
        <x:f>IF(RECORD!B72="","",RECORD!B72)</x:f>
      </x:c>
      <x:c r="C70" s="103" t="str">
        <x:f>IF(RECORD!C72="","",RECORD!C72)</x:f>
      </x:c>
      <x:c r="D70" s="104" t="str">
        <x:f t="array" ref="D70">IF(C70&lt;&gt;"",IF(F$7="SUMMER","N/A",_xlfn.IFS(D$10="TLA",RECORD!GO72,F$10="LECTURE","",TRUE(),"")),"")</x:f>
      </x:c>
      <x:c r="E70" s="105" t="str">
        <x:f t="shared" si="0"/>
      </x:c>
      <x:c r="F70" s="104" t="str">
        <x:f t="array" ref="F70">IF(C70&lt;&gt;"",IF(F$7="SUMMER","N/A",_xlfn.IFS(F$10="AT",RECORD!GI72,F$10="LECTURE",GRADES!AP70,TRUE(),"")),"")</x:f>
      </x:c>
      <x:c r="G70" s="106" t="str">
        <x:f t="shared" si="1"/>
      </x:c>
      <x:c r="H70" s="107" t="str">
        <x:f t="array" ref="H70">IF(C70&lt;&gt;"",IF(F$7="SUMMER","N/A",_xlfn.IFS(H$10="EXAM",RECORD!GJ72,H$10="OUTPUT",RECORD!GK72,H$10="LAB",BP70,TRUE(),"")),"")</x:f>
      </x:c>
      <x:c r="I70" s="106" t="str">
        <x:f t="shared" si="2"/>
      </x:c>
      <x:c r="J70" s="108" t="str">
        <x:f t="shared" si="3"/>
      </x:c>
      <x:c r="K70" s="109" t="str">
        <x:f t="shared" si="4"/>
      </x:c>
      <x:c r="L70" s="110" t="str">
        <x:f t="array" ref="L70">IF(C70&lt;&gt;"",_xlfn.IFS(L$10="TLA",RECORD!GY72,N$10="LECTURE","",TRUE(),""),"")</x:f>
      </x:c>
      <x:c r="M70" s="105" t="str">
        <x:f t="shared" si="5"/>
      </x:c>
      <x:c r="N70" s="104" t="str">
        <x:f t="array" ref="N70">IF(C70&lt;&gt;"",_xlfn.IFS(N$10="AT",RECORD!GS72,N$10="LECTURE",AX70,TRUE(),""),"")</x:f>
      </x:c>
      <x:c r="O70" s="106" t="str">
        <x:f t="shared" si="6"/>
      </x:c>
      <x:c r="P70" s="107" t="str">
        <x:f t="array" ref="P70">IF(C70&lt;&gt;"",_xlfn.IFS(P$10="EXAM",RECORD!GT72,P$10="OUTPUT",RECORD!GU72,P$10="LAB",BX70,TRUE(),""),"")</x:f>
      </x:c>
      <x:c r="Q70" s="106" t="str">
        <x:f t="shared" si="7"/>
      </x:c>
      <x:c r="R70" s="108" t="str">
        <x:f t="shared" si="8"/>
      </x:c>
      <x:c r="S70" s="109" t="str">
        <x:f t="shared" si="9"/>
      </x:c>
      <x:c r="T70" s="110" t="str">
        <x:f t="array" ref="T70">IF(C70&lt;&gt;"",_xlfn.IFS(T$10="TLA",RECORD!HI72,V$10="LECTURE","",TRUE(),""),"")</x:f>
      </x:c>
      <x:c r="U70" s="105" t="str">
        <x:f t="shared" si="10"/>
      </x:c>
      <x:c r="V70" s="104" t="str">
        <x:f t="array" ref="V70">IF(C70&lt;&gt;"",_xlfn.IFS(V$10="AT",RECORD!HC72,V$10="LECTURE",BF70,TRUE(),""),"")</x:f>
      </x:c>
      <x:c r="W70" s="106" t="str">
        <x:f t="shared" si="11"/>
      </x:c>
      <x:c r="X70" s="107" t="str">
        <x:f t="array" ref="X70">IF(C70&lt;&gt;"",_xlfn.IFS(X$10="EXAM",RECORD!HD72,X$10="OUTPUT",RECORD!HE72,X$10="LAB",CF70,TRUE(),""),"")</x:f>
      </x:c>
      <x:c r="Y70" s="106" t="str">
        <x:f t="shared" si="12"/>
      </x:c>
      <x:c r="Z70" s="108" t="str">
        <x:f t="shared" si="13"/>
      </x:c>
      <x:c r="AA70" s="109" t="str">
        <x:f t="shared" si="14"/>
      </x:c>
      <x:c r="AB70" s="111" t="str">
        <x:f t="shared" si="15"/>
      </x:c>
      <x:c r="AC70" s="109" t="str">
        <x:f t="shared" si="16"/>
      </x:c>
      <x:c r="AD70" s="112"/>
      <x:c r="AE70" s="102"/>
      <x:c r="AF70" s="113"/>
      <x:c r="AG70" s="112"/>
      <x:c r="AH70" s="103"/>
      <x:c r="AI70" s="114"/>
      <x:c r="AJ70" s="102"/>
      <x:c r="AK70" s="102"/>
      <x:c r="AL70" s="102"/>
      <x:c r="AM70" s="102"/>
      <x:c r="AN70" s="102"/>
      <x:c r="AO70" s="102"/>
      <x:c r="AP70" s="102"/>
      <x:c r="AQ70" s="109" t="str">
        <x:f t="shared" si="17"/>
        <x:v>FAILED</x:v>
      </x:c>
      <x:c r="AR70" s="115"/>
      <x:c r="AS70" s="115"/>
      <x:c r="AT70" s="107"/>
      <x:c r="AU70" s="107"/>
      <x:c r="AV70" s="107"/>
      <x:c r="AW70" s="107"/>
      <x:c r="AX70" s="107"/>
      <x:c r="AY70" s="109" t="str">
        <x:f t="shared" si="18"/>
        <x:v>FAILED</x:v>
      </x:c>
      <x:c r="AZ70" s="115"/>
      <x:c r="BA70" s="115"/>
      <x:c r="BB70" s="107"/>
      <x:c r="BC70" s="107"/>
      <x:c r="BD70" s="107"/>
      <x:c r="BE70" s="107"/>
      <x:c r="BF70" s="107"/>
      <x:c r="BG70" s="109" t="str">
        <x:f t="shared" si="19"/>
        <x:v>FAILED</x:v>
      </x:c>
      <x:c r="BH70" s="117"/>
      <x:c r="BI70" s="102"/>
      <x:c r="BJ70" s="102"/>
      <x:c r="BK70" s="102"/>
      <x:c r="BL70" s="102"/>
      <x:c r="BM70" s="102"/>
      <x:c r="BN70" s="102"/>
      <x:c r="BO70" s="102"/>
      <x:c r="BP70" s="102"/>
      <x:c r="BQ70" s="109" t="str">
        <x:f t="shared" si="20"/>
        <x:v>FAILED</x:v>
      </x:c>
      <x:c r="BR70" s="115"/>
      <x:c r="BS70" s="115"/>
      <x:c r="BT70" s="107"/>
      <x:c r="BU70" s="107"/>
      <x:c r="BV70" s="107"/>
      <x:c r="BW70" s="107"/>
      <x:c r="BX70" s="107"/>
      <x:c r="BY70" s="109" t="str">
        <x:f t="shared" si="21"/>
        <x:v>FAILED</x:v>
      </x:c>
      <x:c r="BZ70" s="115"/>
      <x:c r="CA70" s="115"/>
      <x:c r="CB70" s="107"/>
      <x:c r="CC70" s="107"/>
      <x:c r="CD70" s="107"/>
      <x:c r="CE70" s="107"/>
      <x:c r="CF70" s="107"/>
      <x:c r="CG70" s="109" t="str">
        <x:f t="shared" si="22"/>
        <x:v>FAILED</x:v>
      </x:c>
      <x:c r="CH70" s="117"/>
    </x:row>
    <x:row r="71">
      <x:c r="A71" s="102" t="str">
        <x:f>IF(RECORD!A73="","",RECORD!A73)</x:f>
      </x:c>
      <x:c r="B71" s="102" t="str">
        <x:f>IF(RECORD!B73="","",RECORD!B73)</x:f>
      </x:c>
      <x:c r="C71" s="103" t="str">
        <x:f>IF(RECORD!C73="","",RECORD!C73)</x:f>
      </x:c>
      <x:c r="D71" s="104" t="str">
        <x:f t="array" ref="D71">IF(C71&lt;&gt;"",IF(F$7="SUMMER","N/A",_xlfn.IFS(D$10="TLA",RECORD!GO73,F$10="LECTURE","",TRUE(),"")),"")</x:f>
      </x:c>
      <x:c r="E71" s="105" t="str">
        <x:f t="shared" si="0"/>
      </x:c>
      <x:c r="F71" s="104" t="str">
        <x:f t="array" ref="F71">IF(C71&lt;&gt;"",IF(F$7="SUMMER","N/A",_xlfn.IFS(F$10="AT",RECORD!GI73,F$10="LECTURE",GRADES!AP71,TRUE(),"")),"")</x:f>
      </x:c>
      <x:c r="G71" s="106" t="str">
        <x:f t="shared" si="1"/>
      </x:c>
      <x:c r="H71" s="107" t="str">
        <x:f t="array" ref="H71">IF(C71&lt;&gt;"",IF(F$7="SUMMER","N/A",_xlfn.IFS(H$10="EXAM",RECORD!GJ73,H$10="OUTPUT",RECORD!GK73,H$10="LAB",BP71,TRUE(),"")),"")</x:f>
      </x:c>
      <x:c r="I71" s="106" t="str">
        <x:f t="shared" si="2"/>
      </x:c>
      <x:c r="J71" s="108" t="str">
        <x:f t="shared" si="3"/>
      </x:c>
      <x:c r="K71" s="109" t="str">
        <x:f t="shared" si="4"/>
      </x:c>
      <x:c r="L71" s="110" t="str">
        <x:f t="array" ref="L71">IF(C71&lt;&gt;"",_xlfn.IFS(L$10="TLA",RECORD!GY73,N$10="LECTURE","",TRUE(),""),"")</x:f>
      </x:c>
      <x:c r="M71" s="105" t="str">
        <x:f t="shared" si="5"/>
      </x:c>
      <x:c r="N71" s="104" t="str">
        <x:f t="array" ref="N71">IF(C71&lt;&gt;"",_xlfn.IFS(N$10="AT",RECORD!GS73,N$10="LECTURE",AX71,TRUE(),""),"")</x:f>
      </x:c>
      <x:c r="O71" s="106" t="str">
        <x:f t="shared" si="6"/>
      </x:c>
      <x:c r="P71" s="107" t="str">
        <x:f t="array" ref="P71">IF(C71&lt;&gt;"",_xlfn.IFS(P$10="EXAM",RECORD!GT73,P$10="OUTPUT",RECORD!GU73,P$10="LAB",BX71,TRUE(),""),"")</x:f>
      </x:c>
      <x:c r="Q71" s="106" t="str">
        <x:f t="shared" si="7"/>
      </x:c>
      <x:c r="R71" s="108" t="str">
        <x:f t="shared" si="8"/>
      </x:c>
      <x:c r="S71" s="109" t="str">
        <x:f t="shared" si="9"/>
      </x:c>
      <x:c r="T71" s="110" t="str">
        <x:f t="array" ref="T71">IF(C71&lt;&gt;"",_xlfn.IFS(T$10="TLA",RECORD!HI73,V$10="LECTURE","",TRUE(),""),"")</x:f>
      </x:c>
      <x:c r="U71" s="105" t="str">
        <x:f t="shared" si="10"/>
      </x:c>
      <x:c r="V71" s="104" t="str">
        <x:f t="array" ref="V71">IF(C71&lt;&gt;"",_xlfn.IFS(V$10="AT",RECORD!HC73,V$10="LECTURE",BF71,TRUE(),""),"")</x:f>
      </x:c>
      <x:c r="W71" s="106" t="str">
        <x:f t="shared" si="11"/>
      </x:c>
      <x:c r="X71" s="107" t="str">
        <x:f t="array" ref="X71">IF(C71&lt;&gt;"",_xlfn.IFS(X$10="EXAM",RECORD!HD73,X$10="OUTPUT",RECORD!HE73,X$10="LAB",CF71,TRUE(),""),"")</x:f>
      </x:c>
      <x:c r="Y71" s="106" t="str">
        <x:f t="shared" si="12"/>
      </x:c>
      <x:c r="Z71" s="108" t="str">
        <x:f t="shared" si="13"/>
      </x:c>
      <x:c r="AA71" s="109" t="str">
        <x:f t="shared" si="14"/>
      </x:c>
      <x:c r="AB71" s="111" t="str">
        <x:f t="shared" si="15"/>
      </x:c>
      <x:c r="AC71" s="109" t="str">
        <x:f t="shared" si="16"/>
      </x:c>
      <x:c r="AD71" s="112"/>
      <x:c r="AE71" s="102"/>
      <x:c r="AF71" s="113"/>
      <x:c r="AG71" s="112"/>
      <x:c r="AH71" s="103"/>
      <x:c r="AI71" s="114"/>
      <x:c r="AJ71" s="102"/>
      <x:c r="AK71" s="102"/>
      <x:c r="AL71" s="102"/>
      <x:c r="AM71" s="102"/>
      <x:c r="AN71" s="102"/>
      <x:c r="AO71" s="102"/>
      <x:c r="AP71" s="102"/>
      <x:c r="AQ71" s="109" t="str">
        <x:f t="shared" si="17"/>
        <x:v>FAILED</x:v>
      </x:c>
      <x:c r="AR71" s="115"/>
      <x:c r="AS71" s="115"/>
      <x:c r="AT71" s="107"/>
      <x:c r="AU71" s="107"/>
      <x:c r="AV71" s="107"/>
      <x:c r="AW71" s="107"/>
      <x:c r="AX71" s="107"/>
      <x:c r="AY71" s="109" t="str">
        <x:f t="shared" si="18"/>
        <x:v>FAILED</x:v>
      </x:c>
      <x:c r="AZ71" s="115"/>
      <x:c r="BA71" s="115"/>
      <x:c r="BB71" s="107"/>
      <x:c r="BC71" s="107"/>
      <x:c r="BD71" s="107"/>
      <x:c r="BE71" s="107"/>
      <x:c r="BF71" s="107"/>
      <x:c r="BG71" s="109" t="str">
        <x:f t="shared" si="19"/>
        <x:v>FAILED</x:v>
      </x:c>
      <x:c r="BH71" s="117"/>
      <x:c r="BI71" s="102"/>
      <x:c r="BJ71" s="102"/>
      <x:c r="BK71" s="102"/>
      <x:c r="BL71" s="102"/>
      <x:c r="BM71" s="102"/>
      <x:c r="BN71" s="102"/>
      <x:c r="BO71" s="102"/>
      <x:c r="BP71" s="102"/>
      <x:c r="BQ71" s="109" t="str">
        <x:f t="shared" si="20"/>
        <x:v>FAILED</x:v>
      </x:c>
      <x:c r="BR71" s="115"/>
      <x:c r="BS71" s="115"/>
      <x:c r="BT71" s="107"/>
      <x:c r="BU71" s="107"/>
      <x:c r="BV71" s="107"/>
      <x:c r="BW71" s="107"/>
      <x:c r="BX71" s="107"/>
      <x:c r="BY71" s="109" t="str">
        <x:f t="shared" si="21"/>
        <x:v>FAILED</x:v>
      </x:c>
      <x:c r="BZ71" s="115"/>
      <x:c r="CA71" s="115"/>
      <x:c r="CB71" s="107"/>
      <x:c r="CC71" s="107"/>
      <x:c r="CD71" s="107"/>
      <x:c r="CE71" s="107"/>
      <x:c r="CF71" s="107"/>
      <x:c r="CG71" s="109" t="str">
        <x:f t="shared" si="22"/>
        <x:v>FAILED</x:v>
      </x:c>
      <x:c r="CH71" s="117"/>
    </x:row>
    <x:row r="72">
      <x:c r="A72" s="102" t="str">
        <x:f>IF(RECORD!A74="","",RECORD!A74)</x:f>
      </x:c>
      <x:c r="B72" s="102" t="str">
        <x:f>IF(RECORD!B74="","",RECORD!B74)</x:f>
      </x:c>
      <x:c r="C72" s="103" t="str">
        <x:f>IF(RECORD!C74="","",RECORD!C74)</x:f>
      </x:c>
      <x:c r="D72" s="104" t="str">
        <x:f t="array" ref="D72">IF(C72&lt;&gt;"",IF(F$7="SUMMER","N/A",_xlfn.IFS(D$10="TLA",RECORD!GO74,F$10="LECTURE","",TRUE(),"")),"")</x:f>
      </x:c>
      <x:c r="E72" s="105" t="str">
        <x:f t="shared" si="0"/>
      </x:c>
      <x:c r="F72" s="104" t="str">
        <x:f t="array" ref="F72">IF(C72&lt;&gt;"",IF(F$7="SUMMER","N/A",_xlfn.IFS(F$10="AT",RECORD!GI74,F$10="LECTURE",GRADES!AP72,TRUE(),"")),"")</x:f>
      </x:c>
      <x:c r="G72" s="106" t="str">
        <x:f t="shared" si="1"/>
      </x:c>
      <x:c r="H72" s="107" t="str">
        <x:f t="array" ref="H72">IF(C72&lt;&gt;"",IF(F$7="SUMMER","N/A",_xlfn.IFS(H$10="EXAM",RECORD!GJ74,H$10="OUTPUT",RECORD!GK74,H$10="LAB",BP72,TRUE(),"")),"")</x:f>
      </x:c>
      <x:c r="I72" s="106" t="str">
        <x:f t="shared" si="2"/>
      </x:c>
      <x:c r="J72" s="108" t="str">
        <x:f t="shared" si="3"/>
      </x:c>
      <x:c r="K72" s="109" t="str">
        <x:f t="shared" si="4"/>
      </x:c>
      <x:c r="L72" s="110" t="str">
        <x:f t="array" ref="L72">IF(C72&lt;&gt;"",_xlfn.IFS(L$10="TLA",RECORD!GY74,N$10="LECTURE","",TRUE(),""),"")</x:f>
      </x:c>
      <x:c r="M72" s="105" t="str">
        <x:f t="shared" si="5"/>
      </x:c>
      <x:c r="N72" s="104" t="str">
        <x:f t="array" ref="N72">IF(C72&lt;&gt;"",_xlfn.IFS(N$10="AT",RECORD!GS74,N$10="LECTURE",AX72,TRUE(),""),"")</x:f>
      </x:c>
      <x:c r="O72" s="106" t="str">
        <x:f t="shared" si="6"/>
      </x:c>
      <x:c r="P72" s="107" t="str">
        <x:f t="array" ref="P72">IF(C72&lt;&gt;"",_xlfn.IFS(P$10="EXAM",RECORD!GT74,P$10="OUTPUT",RECORD!GU74,P$10="LAB",BX72,TRUE(),""),"")</x:f>
      </x:c>
      <x:c r="Q72" s="106" t="str">
        <x:f t="shared" si="7"/>
      </x:c>
      <x:c r="R72" s="108" t="str">
        <x:f t="shared" si="8"/>
      </x:c>
      <x:c r="S72" s="109" t="str">
        <x:f t="shared" si="9"/>
      </x:c>
      <x:c r="T72" s="110" t="str">
        <x:f t="array" ref="T72">IF(C72&lt;&gt;"",_xlfn.IFS(T$10="TLA",RECORD!HI74,V$10="LECTURE","",TRUE(),""),"")</x:f>
      </x:c>
      <x:c r="U72" s="105" t="str">
        <x:f t="shared" si="10"/>
      </x:c>
      <x:c r="V72" s="104" t="str">
        <x:f t="array" ref="V72">IF(C72&lt;&gt;"",_xlfn.IFS(V$10="AT",RECORD!HC74,V$10="LECTURE",BF72,TRUE(),""),"")</x:f>
      </x:c>
      <x:c r="W72" s="106" t="str">
        <x:f t="shared" si="11"/>
      </x:c>
      <x:c r="X72" s="107" t="str">
        <x:f t="array" ref="X72">IF(C72&lt;&gt;"",_xlfn.IFS(X$10="EXAM",RECORD!HD74,X$10="OUTPUT",RECORD!HE74,X$10="LAB",CF72,TRUE(),""),"")</x:f>
      </x:c>
      <x:c r="Y72" s="106" t="str">
        <x:f t="shared" si="12"/>
      </x:c>
      <x:c r="Z72" s="108" t="str">
        <x:f t="shared" si="13"/>
      </x:c>
      <x:c r="AA72" s="109" t="str">
        <x:f t="shared" si="14"/>
      </x:c>
      <x:c r="AB72" s="111" t="str">
        <x:f t="shared" si="15"/>
      </x:c>
      <x:c r="AC72" s="109" t="str">
        <x:f t="shared" si="16"/>
      </x:c>
      <x:c r="AD72" s="112"/>
      <x:c r="AE72" s="102"/>
      <x:c r="AF72" s="113"/>
      <x:c r="AG72" s="112"/>
      <x:c r="AH72" s="103"/>
      <x:c r="AI72" s="114"/>
      <x:c r="AJ72" s="102"/>
      <x:c r="AK72" s="102"/>
      <x:c r="AL72" s="102"/>
      <x:c r="AM72" s="102"/>
      <x:c r="AN72" s="102"/>
      <x:c r="AO72" s="102"/>
      <x:c r="AP72" s="102"/>
      <x:c r="AQ72" s="109" t="str">
        <x:f t="shared" si="17"/>
        <x:v>FAILED</x:v>
      </x:c>
      <x:c r="AR72" s="115"/>
      <x:c r="AS72" s="115"/>
      <x:c r="AT72" s="107"/>
      <x:c r="AU72" s="107"/>
      <x:c r="AV72" s="107"/>
      <x:c r="AW72" s="107"/>
      <x:c r="AX72" s="107"/>
      <x:c r="AY72" s="109" t="str">
        <x:f t="shared" si="18"/>
        <x:v>FAILED</x:v>
      </x:c>
      <x:c r="AZ72" s="115"/>
      <x:c r="BA72" s="115"/>
      <x:c r="BB72" s="107"/>
      <x:c r="BC72" s="107"/>
      <x:c r="BD72" s="107"/>
      <x:c r="BE72" s="107"/>
      <x:c r="BF72" s="107"/>
      <x:c r="BG72" s="109" t="str">
        <x:f t="shared" si="19"/>
        <x:v>FAILED</x:v>
      </x:c>
      <x:c r="BH72" s="117"/>
      <x:c r="BI72" s="102"/>
      <x:c r="BJ72" s="102"/>
      <x:c r="BK72" s="102"/>
      <x:c r="BL72" s="102"/>
      <x:c r="BM72" s="102"/>
      <x:c r="BN72" s="102"/>
      <x:c r="BO72" s="102"/>
      <x:c r="BP72" s="102"/>
      <x:c r="BQ72" s="109" t="str">
        <x:f t="shared" si="20"/>
        <x:v>FAILED</x:v>
      </x:c>
      <x:c r="BR72" s="115"/>
      <x:c r="BS72" s="115"/>
      <x:c r="BT72" s="107"/>
      <x:c r="BU72" s="107"/>
      <x:c r="BV72" s="107"/>
      <x:c r="BW72" s="107"/>
      <x:c r="BX72" s="107"/>
      <x:c r="BY72" s="109" t="str">
        <x:f t="shared" si="21"/>
        <x:v>FAILED</x:v>
      </x:c>
      <x:c r="BZ72" s="115"/>
      <x:c r="CA72" s="115"/>
      <x:c r="CB72" s="107"/>
      <x:c r="CC72" s="107"/>
      <x:c r="CD72" s="107"/>
      <x:c r="CE72" s="107"/>
      <x:c r="CF72" s="107"/>
      <x:c r="CG72" s="109" t="str">
        <x:f t="shared" si="22"/>
        <x:v>FAILED</x:v>
      </x:c>
      <x:c r="CH72" s="117"/>
    </x:row>
    <x:row r="73">
      <x:c r="A73" s="102" t="str">
        <x:f>IF(RECORD!A75="","",RECORD!A75)</x:f>
      </x:c>
      <x:c r="B73" s="102" t="str">
        <x:f>IF(RECORD!B75="","",RECORD!B75)</x:f>
      </x:c>
      <x:c r="C73" s="103" t="str">
        <x:f>IF(RECORD!C75="","",RECORD!C75)</x:f>
      </x:c>
      <x:c r="D73" s="104" t="str">
        <x:f t="array" ref="D73">IF(C73&lt;&gt;"",IF(F$7="SUMMER","N/A",_xlfn.IFS(D$10="TLA",RECORD!GO75,F$10="LECTURE","",TRUE(),"")),"")</x:f>
      </x:c>
      <x:c r="E73" s="105" t="str">
        <x:f t="shared" si="0"/>
      </x:c>
      <x:c r="F73" s="104" t="str">
        <x:f t="array" ref="F73">IF(C73&lt;&gt;"",IF(F$7="SUMMER","N/A",_xlfn.IFS(F$10="AT",RECORD!GI75,F$10="LECTURE",GRADES!AP73,TRUE(),"")),"")</x:f>
      </x:c>
      <x:c r="G73" s="106" t="str">
        <x:f t="shared" si="1"/>
      </x:c>
      <x:c r="H73" s="107" t="str">
        <x:f t="array" ref="H73">IF(C73&lt;&gt;"",IF(F$7="SUMMER","N/A",_xlfn.IFS(H$10="EXAM",RECORD!GJ75,H$10="OUTPUT",RECORD!GK75,H$10="LAB",BP73,TRUE(),"")),"")</x:f>
      </x:c>
      <x:c r="I73" s="106" t="str">
        <x:f t="shared" si="2"/>
      </x:c>
      <x:c r="J73" s="108" t="str">
        <x:f t="shared" si="3"/>
      </x:c>
      <x:c r="K73" s="109" t="str">
        <x:f t="shared" si="4"/>
      </x:c>
      <x:c r="L73" s="110" t="str">
        <x:f t="array" ref="L73">IF(C73&lt;&gt;"",_xlfn.IFS(L$10="TLA",RECORD!GY75,N$10="LECTURE","",TRUE(),""),"")</x:f>
      </x:c>
      <x:c r="M73" s="105" t="str">
        <x:f t="shared" si="5"/>
      </x:c>
      <x:c r="N73" s="104" t="str">
        <x:f t="array" ref="N73">IF(C73&lt;&gt;"",_xlfn.IFS(N$10="AT",RECORD!GS75,N$10="LECTURE",AX73,TRUE(),""),"")</x:f>
      </x:c>
      <x:c r="O73" s="106" t="str">
        <x:f t="shared" si="6"/>
      </x:c>
      <x:c r="P73" s="107" t="str">
        <x:f t="array" ref="P73">IF(C73&lt;&gt;"",_xlfn.IFS(P$10="EXAM",RECORD!GT75,P$10="OUTPUT",RECORD!GU75,P$10="LAB",BX73,TRUE(),""),"")</x:f>
      </x:c>
      <x:c r="Q73" s="106" t="str">
        <x:f t="shared" si="7"/>
      </x:c>
      <x:c r="R73" s="108" t="str">
        <x:f t="shared" si="8"/>
      </x:c>
      <x:c r="S73" s="109" t="str">
        <x:f t="shared" si="9"/>
      </x:c>
      <x:c r="T73" s="110" t="str">
        <x:f t="array" ref="T73">IF(C73&lt;&gt;"",_xlfn.IFS(T$10="TLA",RECORD!HI75,V$10="LECTURE","",TRUE(),""),"")</x:f>
      </x:c>
      <x:c r="U73" s="105" t="str">
        <x:f t="shared" si="10"/>
      </x:c>
      <x:c r="V73" s="104" t="str">
        <x:f t="array" ref="V73">IF(C73&lt;&gt;"",_xlfn.IFS(V$10="AT",RECORD!HC75,V$10="LECTURE",BF73,TRUE(),""),"")</x:f>
      </x:c>
      <x:c r="W73" s="106" t="str">
        <x:f t="shared" si="11"/>
      </x:c>
      <x:c r="X73" s="107" t="str">
        <x:f t="array" ref="X73">IF(C73&lt;&gt;"",_xlfn.IFS(X$10="EXAM",RECORD!HD75,X$10="OUTPUT",RECORD!HE75,X$10="LAB",CF73,TRUE(),""),"")</x:f>
      </x:c>
      <x:c r="Y73" s="106" t="str">
        <x:f t="shared" si="12"/>
      </x:c>
      <x:c r="Z73" s="108" t="str">
        <x:f t="shared" si="13"/>
      </x:c>
      <x:c r="AA73" s="109" t="str">
        <x:f t="shared" si="14"/>
      </x:c>
      <x:c r="AB73" s="111" t="str">
        <x:f t="shared" si="15"/>
      </x:c>
      <x:c r="AC73" s="109" t="str">
        <x:f t="shared" si="16"/>
      </x:c>
      <x:c r="AD73" s="112"/>
      <x:c r="AE73" s="102"/>
      <x:c r="AF73" s="113"/>
      <x:c r="AG73" s="112"/>
      <x:c r="AH73" s="103"/>
      <x:c r="AI73" s="114"/>
      <x:c r="AJ73" s="102"/>
      <x:c r="AK73" s="102"/>
      <x:c r="AL73" s="102"/>
      <x:c r="AM73" s="102"/>
      <x:c r="AN73" s="102"/>
      <x:c r="AO73" s="102"/>
      <x:c r="AP73" s="102"/>
      <x:c r="AQ73" s="109" t="str">
        <x:f t="shared" si="17"/>
        <x:v>FAILED</x:v>
      </x:c>
      <x:c r="AR73" s="115"/>
      <x:c r="AS73" s="115"/>
      <x:c r="AT73" s="107"/>
      <x:c r="AU73" s="107"/>
      <x:c r="AV73" s="107"/>
      <x:c r="AW73" s="107"/>
      <x:c r="AX73" s="107"/>
      <x:c r="AY73" s="109" t="str">
        <x:f t="shared" si="18"/>
        <x:v>FAILED</x:v>
      </x:c>
      <x:c r="AZ73" s="115"/>
      <x:c r="BA73" s="115"/>
      <x:c r="BB73" s="107"/>
      <x:c r="BC73" s="107"/>
      <x:c r="BD73" s="107"/>
      <x:c r="BE73" s="107"/>
      <x:c r="BF73" s="107"/>
      <x:c r="BG73" s="109" t="str">
        <x:f t="shared" si="19"/>
        <x:v>FAILED</x:v>
      </x:c>
      <x:c r="BH73" s="117"/>
      <x:c r="BI73" s="102"/>
      <x:c r="BJ73" s="102"/>
      <x:c r="BK73" s="102"/>
      <x:c r="BL73" s="102"/>
      <x:c r="BM73" s="102"/>
      <x:c r="BN73" s="102"/>
      <x:c r="BO73" s="102"/>
      <x:c r="BP73" s="102"/>
      <x:c r="BQ73" s="109" t="str">
        <x:f t="shared" si="20"/>
        <x:v>FAILED</x:v>
      </x:c>
      <x:c r="BR73" s="115"/>
      <x:c r="BS73" s="115"/>
      <x:c r="BT73" s="107"/>
      <x:c r="BU73" s="107"/>
      <x:c r="BV73" s="107"/>
      <x:c r="BW73" s="107"/>
      <x:c r="BX73" s="107"/>
      <x:c r="BY73" s="109" t="str">
        <x:f t="shared" si="21"/>
        <x:v>FAILED</x:v>
      </x:c>
      <x:c r="BZ73" s="115"/>
      <x:c r="CA73" s="115"/>
      <x:c r="CB73" s="107"/>
      <x:c r="CC73" s="107"/>
      <x:c r="CD73" s="107"/>
      <x:c r="CE73" s="107"/>
      <x:c r="CF73" s="107"/>
      <x:c r="CG73" s="109" t="str">
        <x:f t="shared" si="22"/>
        <x:v>FAILED</x:v>
      </x:c>
      <x:c r="CH73" s="117"/>
    </x:row>
    <x:row r="74">
      <x:c r="A74" s="102" t="str">
        <x:f>IF(RECORD!A76="","",RECORD!A76)</x:f>
      </x:c>
      <x:c r="B74" s="102" t="str">
        <x:f>IF(RECORD!B76="","",RECORD!B76)</x:f>
      </x:c>
      <x:c r="C74" s="103" t="str">
        <x:f>IF(RECORD!C76="","",RECORD!C76)</x:f>
      </x:c>
      <x:c r="D74" s="104" t="str">
        <x:f t="array" ref="D74">IF(C74&lt;&gt;"",IF(F$7="SUMMER","N/A",_xlfn.IFS(D$10="TLA",RECORD!GO76,F$10="LECTURE","",TRUE(),"")),"")</x:f>
      </x:c>
      <x:c r="E74" s="105" t="str">
        <x:f t="shared" si="0"/>
      </x:c>
      <x:c r="F74" s="104" t="str">
        <x:f t="array" ref="F74">IF(C74&lt;&gt;"",IF(F$7="SUMMER","N/A",_xlfn.IFS(F$10="AT",RECORD!GI76,F$10="LECTURE",GRADES!AP74,TRUE(),"")),"")</x:f>
      </x:c>
      <x:c r="G74" s="106" t="str">
        <x:f t="shared" si="1"/>
      </x:c>
      <x:c r="H74" s="107" t="str">
        <x:f t="array" ref="H74">IF(C74&lt;&gt;"",IF(F$7="SUMMER","N/A",_xlfn.IFS(H$10="EXAM",RECORD!GJ76,H$10="OUTPUT",RECORD!GK76,H$10="LAB",BP74,TRUE(),"")),"")</x:f>
      </x:c>
      <x:c r="I74" s="106" t="str">
        <x:f t="shared" si="2"/>
      </x:c>
      <x:c r="J74" s="108" t="str">
        <x:f t="shared" si="3"/>
      </x:c>
      <x:c r="K74" s="109" t="str">
        <x:f t="shared" si="4"/>
      </x:c>
      <x:c r="L74" s="110" t="str">
        <x:f t="array" ref="L74">IF(C74&lt;&gt;"",_xlfn.IFS(L$10="TLA",RECORD!GY76,N$10="LECTURE","",TRUE(),""),"")</x:f>
      </x:c>
      <x:c r="M74" s="105" t="str">
        <x:f t="shared" si="5"/>
      </x:c>
      <x:c r="N74" s="104" t="str">
        <x:f t="array" ref="N74">IF(C74&lt;&gt;"",_xlfn.IFS(N$10="AT",RECORD!GS76,N$10="LECTURE",AX74,TRUE(),""),"")</x:f>
      </x:c>
      <x:c r="O74" s="106" t="str">
        <x:f t="shared" si="6"/>
      </x:c>
      <x:c r="P74" s="107" t="str">
        <x:f t="array" ref="P74">IF(C74&lt;&gt;"",_xlfn.IFS(P$10="EXAM",RECORD!GT76,P$10="OUTPUT",RECORD!GU76,P$10="LAB",BX74,TRUE(),""),"")</x:f>
      </x:c>
      <x:c r="Q74" s="106" t="str">
        <x:f t="shared" si="7"/>
      </x:c>
      <x:c r="R74" s="108" t="str">
        <x:f t="shared" si="8"/>
      </x:c>
      <x:c r="S74" s="109" t="str">
        <x:f t="shared" si="9"/>
      </x:c>
      <x:c r="T74" s="110" t="str">
        <x:f t="array" ref="T74">IF(C74&lt;&gt;"",_xlfn.IFS(T$10="TLA",RECORD!HI76,V$10="LECTURE","",TRUE(),""),"")</x:f>
      </x:c>
      <x:c r="U74" s="105" t="str">
        <x:f t="shared" si="10"/>
      </x:c>
      <x:c r="V74" s="104" t="str">
        <x:f t="array" ref="V74">IF(C74&lt;&gt;"",_xlfn.IFS(V$10="AT",RECORD!HC76,V$10="LECTURE",BF74,TRUE(),""),"")</x:f>
      </x:c>
      <x:c r="W74" s="106" t="str">
        <x:f t="shared" si="11"/>
      </x:c>
      <x:c r="X74" s="107" t="str">
        <x:f t="array" ref="X74">IF(C74&lt;&gt;"",_xlfn.IFS(X$10="EXAM",RECORD!HD76,X$10="OUTPUT",RECORD!HE76,X$10="LAB",CF74,TRUE(),""),"")</x:f>
      </x:c>
      <x:c r="Y74" s="106" t="str">
        <x:f t="shared" si="12"/>
      </x:c>
      <x:c r="Z74" s="108" t="str">
        <x:f t="shared" si="13"/>
      </x:c>
      <x:c r="AA74" s="109" t="str">
        <x:f t="shared" si="14"/>
      </x:c>
      <x:c r="AB74" s="111" t="str">
        <x:f t="shared" si="15"/>
      </x:c>
      <x:c r="AC74" s="109" t="str">
        <x:f t="shared" si="16"/>
      </x:c>
      <x:c r="AD74" s="112"/>
      <x:c r="AE74" s="102"/>
      <x:c r="AF74" s="113"/>
      <x:c r="AG74" s="112"/>
      <x:c r="AH74" s="103"/>
      <x:c r="AI74" s="114"/>
      <x:c r="AJ74" s="102"/>
      <x:c r="AK74" s="102"/>
      <x:c r="AL74" s="102"/>
      <x:c r="AM74" s="102"/>
      <x:c r="AN74" s="102"/>
      <x:c r="AO74" s="102"/>
      <x:c r="AP74" s="102"/>
      <x:c r="AQ74" s="109" t="str">
        <x:f t="shared" si="17"/>
        <x:v>FAILED</x:v>
      </x:c>
      <x:c r="AR74" s="115"/>
      <x:c r="AS74" s="115"/>
      <x:c r="AT74" s="107"/>
      <x:c r="AU74" s="107"/>
      <x:c r="AV74" s="107"/>
      <x:c r="AW74" s="107"/>
      <x:c r="AX74" s="107"/>
      <x:c r="AY74" s="109" t="str">
        <x:f t="shared" si="18"/>
        <x:v>FAILED</x:v>
      </x:c>
      <x:c r="AZ74" s="115"/>
      <x:c r="BA74" s="115"/>
      <x:c r="BB74" s="107"/>
      <x:c r="BC74" s="107"/>
      <x:c r="BD74" s="107"/>
      <x:c r="BE74" s="107"/>
      <x:c r="BF74" s="107"/>
      <x:c r="BG74" s="109" t="str">
        <x:f t="shared" si="19"/>
        <x:v>FAILED</x:v>
      </x:c>
      <x:c r="BH74" s="117"/>
      <x:c r="BI74" s="102"/>
      <x:c r="BJ74" s="102"/>
      <x:c r="BK74" s="102"/>
      <x:c r="BL74" s="102"/>
      <x:c r="BM74" s="102"/>
      <x:c r="BN74" s="102"/>
      <x:c r="BO74" s="102"/>
      <x:c r="BP74" s="102"/>
      <x:c r="BQ74" s="109" t="str">
        <x:f t="shared" si="20"/>
        <x:v>FAILED</x:v>
      </x:c>
      <x:c r="BR74" s="115"/>
      <x:c r="BS74" s="115"/>
      <x:c r="BT74" s="107"/>
      <x:c r="BU74" s="107"/>
      <x:c r="BV74" s="107"/>
      <x:c r="BW74" s="107"/>
      <x:c r="BX74" s="107"/>
      <x:c r="BY74" s="109" t="str">
        <x:f t="shared" si="21"/>
        <x:v>FAILED</x:v>
      </x:c>
      <x:c r="BZ74" s="115"/>
      <x:c r="CA74" s="115"/>
      <x:c r="CB74" s="107"/>
      <x:c r="CC74" s="107"/>
      <x:c r="CD74" s="107"/>
      <x:c r="CE74" s="107"/>
      <x:c r="CF74" s="107"/>
      <x:c r="CG74" s="109" t="str">
        <x:f t="shared" si="22"/>
        <x:v>FAILED</x:v>
      </x:c>
      <x:c r="CH74" s="117"/>
    </x:row>
    <x:row r="75">
      <x:c r="A75" s="102" t="str">
        <x:f>IF(RECORD!A77="","",RECORD!A77)</x:f>
      </x:c>
      <x:c r="B75" s="102" t="str">
        <x:f>IF(RECORD!B77="","",RECORD!B77)</x:f>
      </x:c>
      <x:c r="C75" s="103" t="str">
        <x:f>IF(RECORD!C77="","",RECORD!C77)</x:f>
      </x:c>
      <x:c r="D75" s="104" t="str">
        <x:f t="array" ref="D75">IF(C75&lt;&gt;"",IF(F$7="SUMMER","N/A",_xlfn.IFS(D$10="TLA",RECORD!GO77,F$10="LECTURE","",TRUE(),"")),"")</x:f>
      </x:c>
      <x:c r="E75" s="105" t="str">
        <x:f t="shared" si="0"/>
      </x:c>
      <x:c r="F75" s="104" t="str">
        <x:f t="array" ref="F75">IF(C75&lt;&gt;"",IF(F$7="SUMMER","N/A",_xlfn.IFS(F$10="AT",RECORD!GI77,F$10="LECTURE",GRADES!AP75,TRUE(),"")),"")</x:f>
      </x:c>
      <x:c r="G75" s="106" t="str">
        <x:f t="shared" si="1"/>
      </x:c>
      <x:c r="H75" s="107" t="str">
        <x:f t="array" ref="H75">IF(C75&lt;&gt;"",IF(F$7="SUMMER","N/A",_xlfn.IFS(H$10="EXAM",RECORD!GJ77,H$10="OUTPUT",RECORD!GK77,H$10="LAB",BP75,TRUE(),"")),"")</x:f>
      </x:c>
      <x:c r="I75" s="106" t="str">
        <x:f t="shared" si="2"/>
      </x:c>
      <x:c r="J75" s="108" t="str">
        <x:f t="shared" si="3"/>
      </x:c>
      <x:c r="K75" s="109" t="str">
        <x:f t="shared" si="4"/>
      </x:c>
      <x:c r="L75" s="110" t="str">
        <x:f t="array" ref="L75">IF(C75&lt;&gt;"",_xlfn.IFS(L$10="TLA",RECORD!GY77,N$10="LECTURE","",TRUE(),""),"")</x:f>
      </x:c>
      <x:c r="M75" s="105" t="str">
        <x:f t="shared" si="5"/>
      </x:c>
      <x:c r="N75" s="104" t="str">
        <x:f t="array" ref="N75">IF(C75&lt;&gt;"",_xlfn.IFS(N$10="AT",RECORD!GS77,N$10="LECTURE",AX75,TRUE(),""),"")</x:f>
      </x:c>
      <x:c r="O75" s="106" t="str">
        <x:f t="shared" si="6"/>
      </x:c>
      <x:c r="P75" s="107" t="str">
        <x:f t="array" ref="P75">IF(C75&lt;&gt;"",_xlfn.IFS(P$10="EXAM",RECORD!GT77,P$10="OUTPUT",RECORD!GU77,P$10="LAB",BX75,TRUE(),""),"")</x:f>
      </x:c>
      <x:c r="Q75" s="106" t="str">
        <x:f t="shared" si="7"/>
      </x:c>
      <x:c r="R75" s="108" t="str">
        <x:f t="shared" si="8"/>
      </x:c>
      <x:c r="S75" s="109" t="str">
        <x:f t="shared" si="9"/>
      </x:c>
      <x:c r="T75" s="110" t="str">
        <x:f t="array" ref="T75">IF(C75&lt;&gt;"",_xlfn.IFS(T$10="TLA",RECORD!HI77,V$10="LECTURE","",TRUE(),""),"")</x:f>
      </x:c>
      <x:c r="U75" s="105" t="str">
        <x:f t="shared" si="10"/>
      </x:c>
      <x:c r="V75" s="104" t="str">
        <x:f t="array" ref="V75">IF(C75&lt;&gt;"",_xlfn.IFS(V$10="AT",RECORD!HC77,V$10="LECTURE",BF75,TRUE(),""),"")</x:f>
      </x:c>
      <x:c r="W75" s="106" t="str">
        <x:f t="shared" si="11"/>
      </x:c>
      <x:c r="X75" s="107" t="str">
        <x:f t="array" ref="X75">IF(C75&lt;&gt;"",_xlfn.IFS(X$10="EXAM",RECORD!HD77,X$10="OUTPUT",RECORD!HE77,X$10="LAB",CF75,TRUE(),""),"")</x:f>
      </x:c>
      <x:c r="Y75" s="106" t="str">
        <x:f t="shared" si="12"/>
      </x:c>
      <x:c r="Z75" s="108" t="str">
        <x:f t="shared" si="13"/>
      </x:c>
      <x:c r="AA75" s="109" t="str">
        <x:f t="shared" si="14"/>
      </x:c>
      <x:c r="AB75" s="111" t="str">
        <x:f t="shared" si="15"/>
      </x:c>
      <x:c r="AC75" s="109" t="str">
        <x:f t="shared" si="16"/>
      </x:c>
      <x:c r="AD75" s="112"/>
      <x:c r="AE75" s="102"/>
      <x:c r="AF75" s="113"/>
      <x:c r="AG75" s="112"/>
      <x:c r="AH75" s="103"/>
      <x:c r="AI75" s="114"/>
      <x:c r="AJ75" s="102"/>
      <x:c r="AK75" s="102"/>
      <x:c r="AL75" s="102"/>
      <x:c r="AM75" s="102"/>
      <x:c r="AN75" s="102"/>
      <x:c r="AO75" s="102"/>
      <x:c r="AP75" s="102"/>
      <x:c r="AQ75" s="109" t="str">
        <x:f t="shared" si="17"/>
        <x:v>FAILED</x:v>
      </x:c>
      <x:c r="AR75" s="115"/>
      <x:c r="AS75" s="115"/>
      <x:c r="AT75" s="107"/>
      <x:c r="AU75" s="107"/>
      <x:c r="AV75" s="107"/>
      <x:c r="AW75" s="107"/>
      <x:c r="AX75" s="107"/>
      <x:c r="AY75" s="109" t="str">
        <x:f t="shared" si="18"/>
        <x:v>FAILED</x:v>
      </x:c>
      <x:c r="AZ75" s="115"/>
      <x:c r="BA75" s="115"/>
      <x:c r="BB75" s="107"/>
      <x:c r="BC75" s="107"/>
      <x:c r="BD75" s="107"/>
      <x:c r="BE75" s="107"/>
      <x:c r="BF75" s="107"/>
      <x:c r="BG75" s="109" t="str">
        <x:f t="shared" si="19"/>
        <x:v>FAILED</x:v>
      </x:c>
      <x:c r="BH75" s="117"/>
      <x:c r="BI75" s="102"/>
      <x:c r="BJ75" s="102"/>
      <x:c r="BK75" s="102"/>
      <x:c r="BL75" s="102"/>
      <x:c r="BM75" s="102"/>
      <x:c r="BN75" s="102"/>
      <x:c r="BO75" s="102"/>
      <x:c r="BP75" s="102"/>
      <x:c r="BQ75" s="109" t="str">
        <x:f t="shared" si="20"/>
        <x:v>FAILED</x:v>
      </x:c>
      <x:c r="BR75" s="115"/>
      <x:c r="BS75" s="115"/>
      <x:c r="BT75" s="107"/>
      <x:c r="BU75" s="107"/>
      <x:c r="BV75" s="107"/>
      <x:c r="BW75" s="107"/>
      <x:c r="BX75" s="107"/>
      <x:c r="BY75" s="109" t="str">
        <x:f t="shared" si="21"/>
        <x:v>FAILED</x:v>
      </x:c>
      <x:c r="BZ75" s="115"/>
      <x:c r="CA75" s="115"/>
      <x:c r="CB75" s="107"/>
      <x:c r="CC75" s="107"/>
      <x:c r="CD75" s="107"/>
      <x:c r="CE75" s="107"/>
      <x:c r="CF75" s="107"/>
      <x:c r="CG75" s="109" t="str">
        <x:f t="shared" si="22"/>
        <x:v>FAILED</x:v>
      </x:c>
      <x:c r="CH75" s="117"/>
    </x:row>
    <x:row r="76">
      <x:c r="A76" s="102" t="str">
        <x:f>IF(RECORD!A78="","",RECORD!A78)</x:f>
      </x:c>
      <x:c r="B76" s="102" t="str">
        <x:f>IF(RECORD!B78="","",RECORD!B78)</x:f>
      </x:c>
      <x:c r="C76" s="103" t="str">
        <x:f>IF(RECORD!C78="","",RECORD!C78)</x:f>
      </x:c>
      <x:c r="D76" s="104" t="str">
        <x:f t="array" ref="D76">IF(C76&lt;&gt;"",IF(F$7="SUMMER","N/A",_xlfn.IFS(D$10="TLA",RECORD!GO78,F$10="LECTURE","",TRUE(),"")),"")</x:f>
      </x:c>
      <x:c r="E76" s="105" t="str">
        <x:f t="shared" ref="E76:E139" si="23">IF(C76&lt;&gt;"",IFERROR((((((D76/D$11)*F$6)+G$6)*E$11)/100),""),"")</x:f>
      </x:c>
      <x:c r="F76" s="104" t="str">
        <x:f t="array" ref="F76">IF(C76&lt;&gt;"",IF(F$7="SUMMER","N/A",_xlfn.IFS(F$10="AT",RECORD!GI78,F$10="LECTURE",GRADES!AP76,TRUE(),"")),"")</x:f>
      </x:c>
      <x:c r="G76" s="106" t="str">
        <x:f t="shared" ref="G76:G139" si="24">IF(C76&lt;&gt;"",IFERROR((((((F76/F$11)*F$6)+G$6)*G$11)/100),""),"")</x:f>
      </x:c>
      <x:c r="H76" s="107" t="str">
        <x:f t="array" ref="H76">IF(C76&lt;&gt;"",IF(F$7="SUMMER","N/A",_xlfn.IFS(H$10="EXAM",RECORD!GJ78,H$10="OUTPUT",RECORD!GK78,H$10="LAB",BP76,TRUE(),"")),"")</x:f>
      </x:c>
      <x:c r="I76" s="106" t="str">
        <x:f t="shared" ref="I76:I139" si="25">IF(C76&lt;&gt;"",IFERROR((((((H76/H$11)*F$6)+G$6)*I$11)/100),""),"")</x:f>
      </x:c>
      <x:c r="J76" s="108" t="str">
        <x:f t="shared" ref="J76:J139" si="26">IF(C76&lt;&gt;"",IFERROR(IF(F$7="SUMMER", "N/A", SUM(E76,G76,I76)),""),"")</x:f>
      </x:c>
      <x:c r="K76" s="109" t="str">
        <x:f t="shared" ref="K76:K139" si="27">IF(C76&lt;&gt;"",IF(F71="SUMMER","N/A", IF(J76&gt;74,"PASSED","FAILED")),"")</x:f>
      </x:c>
      <x:c r="L76" s="110" t="str">
        <x:f t="array" ref="L76">IF(C76&lt;&gt;"",_xlfn.IFS(L$10="TLA",RECORD!GY78,N$10="LECTURE","",TRUE(),""),"")</x:f>
      </x:c>
      <x:c r="M76" s="105" t="str">
        <x:f t="shared" ref="M76:M139" si="28">IF(C76&lt;&gt;"",IFERROR((((((L76/L$11)*F$6)+G$6)*M$11)/100),""),"")</x:f>
      </x:c>
      <x:c r="N76" s="104" t="str">
        <x:f t="array" ref="N76">IF(C76&lt;&gt;"",_xlfn.IFS(N$10="AT",RECORD!GS78,N$10="LECTURE",AX76,TRUE(),""),"")</x:f>
      </x:c>
      <x:c r="O76" s="106" t="str">
        <x:f t="shared" ref="O76:O139" si="29">IF(C76&lt;&gt;"",IFERROR((((((N76/N$11)*F$6)+G$6)*O$11)/100),""),"")</x:f>
      </x:c>
      <x:c r="P76" s="107" t="str">
        <x:f t="array" ref="P76">IF(C76&lt;&gt;"",_xlfn.IFS(P$10="EXAM",RECORD!GT78,P$10="OUTPUT",RECORD!GU78,P$10="LAB",BX76,TRUE(),""),"")</x:f>
      </x:c>
      <x:c r="Q76" s="106" t="str">
        <x:f t="shared" ref="Q76:Q139" si="30">IF(C76&lt;&gt;"",IFERROR((((((P76/P$11)*F$6)+G$6)*Q$11)/100),""),"")</x:f>
      </x:c>
      <x:c r="R76" s="108" t="str">
        <x:f t="shared" ref="R76:R139" si="31">IF(C76&lt;&gt;"",IFERROR(IF(F$7="SUMMER", "N/A", SUM(M76,O76,Q76)),""),"")</x:f>
      </x:c>
      <x:c r="S76" s="109" t="str">
        <x:f t="shared" ref="S76:S139" si="32">IF(C76&lt;&gt;"",IF(R76&gt;74,"PASSED","FAILED"),"")</x:f>
      </x:c>
      <x:c r="T76" s="110" t="str">
        <x:f t="array" ref="T76">IF(C76&lt;&gt;"",_xlfn.IFS(T$10="TLA",RECORD!HI78,V$10="LECTURE","",TRUE(),""),"")</x:f>
      </x:c>
      <x:c r="U76" s="105" t="str">
        <x:f t="shared" ref="U76:U139" si="33">IF(C76&lt;&gt;"",IFERROR((((((T76/T$11)*F$6)+G$6)*U$11)/100),""),"")</x:f>
      </x:c>
      <x:c r="V76" s="104" t="str">
        <x:f t="array" ref="V76">IF(C76&lt;&gt;"",_xlfn.IFS(V$10="AT",RECORD!HC78,V$10="LECTURE",BF76,TRUE(),""),"")</x:f>
      </x:c>
      <x:c r="W76" s="106" t="str">
        <x:f t="shared" ref="W76:W139" si="34">IF(C76&lt;&gt;"",IFERROR((((((V76/V$11)*F$6)+G$6)*W$11)/100),""),"")</x:f>
      </x:c>
      <x:c r="X76" s="107" t="str">
        <x:f t="array" ref="X76">IF(C76&lt;&gt;"",_xlfn.IFS(X$10="EXAM",RECORD!HD78,X$10="OUTPUT",RECORD!HE78,X$10="LAB",CF76,TRUE(),""),"")</x:f>
      </x:c>
      <x:c r="Y76" s="106" t="str">
        <x:f t="shared" ref="Y76:Y139" si="35">IF(C76&lt;&gt;"",IFERROR((((((X76/X$11)*F$6)+G$6)*Y$11)/100),""),"")</x:f>
      </x:c>
      <x:c r="Z76" s="108" t="str">
        <x:f t="shared" ref="Z76:Z139" si="36">IF(C76&lt;&gt;"",IFERROR(IF(N$7="SUMMER", "N/A", SUM(U76,W76,Y76)),""),"")</x:f>
      </x:c>
      <x:c r="AA76" s="109" t="str">
        <x:f t="shared" ref="AA76:AA139" si="37">IF(C76&lt;&gt;"",IF(Z76&gt;74,"PASSED","FAILED"),"")</x:f>
      </x:c>
      <x:c r="AB76" s="111" t="n">
        <x:f t="shared" ref="AB76:AB139" si="38">IFERROR(IF(F$7="SUMMER", ((R76+Z76)/2), (J76+R76+Z76)/3),"")</x:f>
        <x:v>0</x:v>
      </x:c>
      <x:c r="AC76" s="109" t="str">
        <x:f t="shared" ref="AC76:AC139" si="39">IF(C76&lt;&gt;"",IF(AB76&gt;74,"PASSED","FAILED"),"")</x:f>
      </x:c>
      <x:c r="AD76" s="112"/>
      <x:c r="AE76" s="102"/>
      <x:c r="AF76" s="113"/>
      <x:c r="AG76" s="112"/>
      <x:c r="AH76" s="103"/>
      <x:c r="AI76" s="114"/>
      <x:c r="AJ76" s="102"/>
      <x:c r="AK76" s="102"/>
      <x:c r="AL76" s="102"/>
      <x:c r="AM76" s="102"/>
      <x:c r="AN76" s="102"/>
      <x:c r="AO76" s="102"/>
      <x:c r="AP76" s="102"/>
      <x:c r="AQ76" s="109" t="str">
        <x:f t="shared" ref="AQ76:AQ139" si="40">IF(AP76&gt;74,"PASSED","FAILED")</x:f>
        <x:v>FAILED</x:v>
      </x:c>
      <x:c r="AR76" s="115"/>
      <x:c r="AS76" s="115"/>
      <x:c r="AT76" s="107"/>
      <x:c r="AU76" s="107"/>
      <x:c r="AV76" s="107"/>
      <x:c r="AW76" s="107"/>
      <x:c r="AX76" s="107"/>
      <x:c r="AY76" s="109" t="str">
        <x:f t="shared" ref="AY76:AY139" si="41">IF(AX76&gt;74,"PASSED","FAILED")</x:f>
        <x:v>FAILED</x:v>
      </x:c>
      <x:c r="AZ76" s="115"/>
      <x:c r="BA76" s="115"/>
      <x:c r="BB76" s="107"/>
      <x:c r="BC76" s="107"/>
      <x:c r="BD76" s="107"/>
      <x:c r="BE76" s="107"/>
      <x:c r="BF76" s="107"/>
      <x:c r="BG76" s="109" t="str">
        <x:f t="shared" ref="BG76:BG139" si="42">IF(BF76&gt;74,"PASSED","FAILED")</x:f>
        <x:v>FAILED</x:v>
      </x:c>
      <x:c r="BH76" s="117"/>
      <x:c r="BI76" s="102"/>
      <x:c r="BJ76" s="102"/>
      <x:c r="BK76" s="102"/>
      <x:c r="BL76" s="102"/>
      <x:c r="BM76" s="102"/>
      <x:c r="BN76" s="102"/>
      <x:c r="BO76" s="102"/>
      <x:c r="BP76" s="102"/>
      <x:c r="BQ76" s="109" t="str">
        <x:f t="shared" ref="BQ76:BQ139" si="43">IF(BP76&gt;74,"PASSED","FAILED")</x:f>
        <x:v>FAILED</x:v>
      </x:c>
      <x:c r="BR76" s="115"/>
      <x:c r="BS76" s="115"/>
      <x:c r="BT76" s="107"/>
      <x:c r="BU76" s="107"/>
      <x:c r="BV76" s="107"/>
      <x:c r="BW76" s="107"/>
      <x:c r="BX76" s="107"/>
      <x:c r="BY76" s="109" t="str">
        <x:f t="shared" ref="BY76:BY139" si="44">IF(BX76&gt;74,"PASSED","FAILED")</x:f>
        <x:v>FAILED</x:v>
      </x:c>
      <x:c r="BZ76" s="115"/>
      <x:c r="CA76" s="115"/>
      <x:c r="CB76" s="107"/>
      <x:c r="CC76" s="107"/>
      <x:c r="CD76" s="107"/>
      <x:c r="CE76" s="107"/>
      <x:c r="CF76" s="107"/>
      <x:c r="CG76" s="109" t="str">
        <x:f t="shared" ref="CG76:CG139" si="45">IF(CF76&gt;74,"PASSED","FAILED")</x:f>
        <x:v>FAILED</x:v>
      </x:c>
      <x:c r="CH76" s="117"/>
    </x:row>
    <x:row r="77">
      <x:c r="A77" s="102" t="str">
        <x:f>IF(RECORD!A79="","",RECORD!A79)</x:f>
      </x:c>
      <x:c r="B77" s="102" t="str">
        <x:f>IF(RECORD!B79="","",RECORD!B79)</x:f>
      </x:c>
      <x:c r="C77" s="103" t="str">
        <x:f>IF(RECORD!C79="","",RECORD!C79)</x:f>
      </x:c>
      <x:c r="D77" s="104" t="str">
        <x:f t="array" ref="D77">IF(C77&lt;&gt;"",IF(F$7="SUMMER","N/A",_xlfn.IFS(D$10="TLA",RECORD!GO79,F$10="LECTURE","",TRUE(),"")),"")</x:f>
      </x:c>
      <x:c r="E77" s="105" t="str">
        <x:f t="shared" si="23"/>
      </x:c>
      <x:c r="F77" s="104" t="str">
        <x:f t="array" ref="F77">IF(C77&lt;&gt;"",IF(F$7="SUMMER","N/A",_xlfn.IFS(F$10="AT",RECORD!GI79,F$10="LECTURE",GRADES!AP77,TRUE(),"")),"")</x:f>
      </x:c>
      <x:c r="G77" s="106" t="str">
        <x:f t="shared" si="24"/>
      </x:c>
      <x:c r="H77" s="107" t="str">
        <x:f t="array" ref="H77">IF(C77&lt;&gt;"",IF(F$7="SUMMER","N/A",_xlfn.IFS(H$10="EXAM",RECORD!GJ79,H$10="OUTPUT",RECORD!GK79,H$10="LAB",BP77,TRUE(),"")),"")</x:f>
      </x:c>
      <x:c r="I77" s="106" t="str">
        <x:f t="shared" si="25"/>
      </x:c>
      <x:c r="J77" s="108" t="str">
        <x:f t="shared" si="26"/>
      </x:c>
      <x:c r="K77" s="109" t="str">
        <x:f t="shared" si="27"/>
      </x:c>
      <x:c r="L77" s="110" t="str">
        <x:f t="array" ref="L77">IF(C77&lt;&gt;"",_xlfn.IFS(L$10="TLA",RECORD!GY79,N$10="LECTURE","",TRUE(),""),"")</x:f>
      </x:c>
      <x:c r="M77" s="105" t="str">
        <x:f t="shared" si="28"/>
      </x:c>
      <x:c r="N77" s="104" t="str">
        <x:f t="array" ref="N77">IF(C77&lt;&gt;"",_xlfn.IFS(N$10="AT",RECORD!GS79,N$10="LECTURE",AX77,TRUE(),""),"")</x:f>
      </x:c>
      <x:c r="O77" s="106" t="str">
        <x:f t="shared" si="29"/>
      </x:c>
      <x:c r="P77" s="107" t="str">
        <x:f t="array" ref="P77">IF(C77&lt;&gt;"",_xlfn.IFS(P$10="EXAM",RECORD!GT79,P$10="OUTPUT",RECORD!GU79,P$10="LAB",BX77,TRUE(),""),"")</x:f>
      </x:c>
      <x:c r="Q77" s="106" t="str">
        <x:f t="shared" si="30"/>
      </x:c>
      <x:c r="R77" s="108" t="str">
        <x:f t="shared" si="31"/>
      </x:c>
      <x:c r="S77" s="109" t="str">
        <x:f t="shared" si="32"/>
      </x:c>
      <x:c r="T77" s="110" t="str">
        <x:f t="array" ref="T77">IF(C77&lt;&gt;"",_xlfn.IFS(T$10="TLA",RECORD!HI79,V$10="LECTURE","",TRUE(),""),"")</x:f>
      </x:c>
      <x:c r="U77" s="105" t="str">
        <x:f t="shared" si="33"/>
      </x:c>
      <x:c r="V77" s="104" t="str">
        <x:f t="array" ref="V77">IF(C77&lt;&gt;"",_xlfn.IFS(V$10="AT",RECORD!HC79,V$10="LECTURE",BF77,TRUE(),""),"")</x:f>
      </x:c>
      <x:c r="W77" s="106" t="str">
        <x:f t="shared" si="34"/>
      </x:c>
      <x:c r="X77" s="107" t="str">
        <x:f t="array" ref="X77">IF(C77&lt;&gt;"",_xlfn.IFS(X$10="EXAM",RECORD!HD79,X$10="OUTPUT",RECORD!HE79,X$10="LAB",CF77,TRUE(),""),"")</x:f>
      </x:c>
      <x:c r="Y77" s="106" t="str">
        <x:f t="shared" si="35"/>
      </x:c>
      <x:c r="Z77" s="108" t="str">
        <x:f t="shared" si="36"/>
      </x:c>
      <x:c r="AA77" s="109" t="str">
        <x:f t="shared" si="37"/>
      </x:c>
      <x:c r="AB77" s="111" t="str">
        <x:f t="shared" si="38"/>
      </x:c>
      <x:c r="AC77" s="109" t="str">
        <x:f t="shared" si="39"/>
      </x:c>
      <x:c r="AD77" s="112"/>
      <x:c r="AE77" s="102"/>
      <x:c r="AF77" s="113"/>
      <x:c r="AG77" s="112"/>
      <x:c r="AH77" s="103"/>
      <x:c r="AI77" s="114"/>
      <x:c r="AJ77" s="102"/>
      <x:c r="AK77" s="102"/>
      <x:c r="AL77" s="102"/>
      <x:c r="AM77" s="102"/>
      <x:c r="AN77" s="102"/>
      <x:c r="AO77" s="102"/>
      <x:c r="AP77" s="102"/>
      <x:c r="AQ77" s="109" t="str">
        <x:f t="shared" si="40"/>
        <x:v>FAILED</x:v>
      </x:c>
      <x:c r="AR77" s="115"/>
      <x:c r="AS77" s="115"/>
      <x:c r="AT77" s="107"/>
      <x:c r="AU77" s="107"/>
      <x:c r="AV77" s="107"/>
      <x:c r="AW77" s="107"/>
      <x:c r="AX77" s="107"/>
      <x:c r="AY77" s="109" t="str">
        <x:f t="shared" si="41"/>
        <x:v>FAILED</x:v>
      </x:c>
      <x:c r="AZ77" s="115"/>
      <x:c r="BA77" s="115"/>
      <x:c r="BB77" s="107"/>
      <x:c r="BC77" s="107"/>
      <x:c r="BD77" s="107"/>
      <x:c r="BE77" s="107"/>
      <x:c r="BF77" s="107"/>
      <x:c r="BG77" s="109" t="str">
        <x:f t="shared" si="42"/>
        <x:v>FAILED</x:v>
      </x:c>
      <x:c r="BH77" s="117"/>
      <x:c r="BI77" s="102"/>
      <x:c r="BJ77" s="102"/>
      <x:c r="BK77" s="102"/>
      <x:c r="BL77" s="102"/>
      <x:c r="BM77" s="102"/>
      <x:c r="BN77" s="102"/>
      <x:c r="BO77" s="102"/>
      <x:c r="BP77" s="102"/>
      <x:c r="BQ77" s="109" t="str">
        <x:f t="shared" si="43"/>
        <x:v>FAILED</x:v>
      </x:c>
      <x:c r="BR77" s="115"/>
      <x:c r="BS77" s="115"/>
      <x:c r="BT77" s="107"/>
      <x:c r="BU77" s="107"/>
      <x:c r="BV77" s="107"/>
      <x:c r="BW77" s="107"/>
      <x:c r="BX77" s="107"/>
      <x:c r="BY77" s="109" t="str">
        <x:f t="shared" si="44"/>
        <x:v>FAILED</x:v>
      </x:c>
      <x:c r="BZ77" s="115"/>
      <x:c r="CA77" s="115"/>
      <x:c r="CB77" s="107"/>
      <x:c r="CC77" s="107"/>
      <x:c r="CD77" s="107"/>
      <x:c r="CE77" s="107"/>
      <x:c r="CF77" s="107"/>
      <x:c r="CG77" s="109" t="str">
        <x:f t="shared" si="45"/>
        <x:v>FAILED</x:v>
      </x:c>
      <x:c r="CH77" s="117"/>
    </x:row>
    <x:row r="78">
      <x:c r="A78" s="102" t="str">
        <x:f>IF(RECORD!A80="","",RECORD!A80)</x:f>
      </x:c>
      <x:c r="B78" s="102" t="str">
        <x:f>IF(RECORD!B80="","",RECORD!B80)</x:f>
      </x:c>
      <x:c r="C78" s="103" t="str">
        <x:f>IF(RECORD!C80="","",RECORD!C80)</x:f>
      </x:c>
      <x:c r="D78" s="104" t="str">
        <x:f t="array" ref="D78">IF(C78&lt;&gt;"",IF(F$7="SUMMER","N/A",_xlfn.IFS(D$10="TLA",RECORD!GO80,F$10="LECTURE","",TRUE(),"")),"")</x:f>
      </x:c>
      <x:c r="E78" s="105" t="str">
        <x:f t="shared" si="23"/>
      </x:c>
      <x:c r="F78" s="104" t="str">
        <x:f t="array" ref="F78">IF(C78&lt;&gt;"",IF(F$7="SUMMER","N/A",_xlfn.IFS(F$10="AT",RECORD!GI80,F$10="LECTURE",GRADES!AP78,TRUE(),"")),"")</x:f>
      </x:c>
      <x:c r="G78" s="106" t="str">
        <x:f t="shared" si="24"/>
      </x:c>
      <x:c r="H78" s="107" t="str">
        <x:f t="array" ref="H78">IF(C78&lt;&gt;"",IF(F$7="SUMMER","N/A",_xlfn.IFS(H$10="EXAM",RECORD!GJ80,H$10="OUTPUT",RECORD!GK80,H$10="LAB",BP78,TRUE(),"")),"")</x:f>
      </x:c>
      <x:c r="I78" s="106" t="str">
        <x:f t="shared" si="25"/>
      </x:c>
      <x:c r="J78" s="108" t="str">
        <x:f t="shared" si="26"/>
      </x:c>
      <x:c r="K78" s="109" t="str">
        <x:f t="shared" si="27"/>
      </x:c>
      <x:c r="L78" s="110" t="str">
        <x:f t="array" ref="L78">IF(C78&lt;&gt;"",_xlfn.IFS(L$10="TLA",RECORD!GY80,N$10="LECTURE","",TRUE(),""),"")</x:f>
      </x:c>
      <x:c r="M78" s="105" t="str">
        <x:f t="shared" si="28"/>
      </x:c>
      <x:c r="N78" s="104" t="str">
        <x:f t="array" ref="N78">IF(C78&lt;&gt;"",_xlfn.IFS(N$10="AT",RECORD!GS80,N$10="LECTURE",AX78,TRUE(),""),"")</x:f>
      </x:c>
      <x:c r="O78" s="106" t="str">
        <x:f t="shared" si="29"/>
      </x:c>
      <x:c r="P78" s="107" t="str">
        <x:f t="array" ref="P78">IF(C78&lt;&gt;"",_xlfn.IFS(P$10="EXAM",RECORD!GT80,P$10="OUTPUT",RECORD!GU80,P$10="LAB",BX78,TRUE(),""),"")</x:f>
      </x:c>
      <x:c r="Q78" s="106" t="str">
        <x:f t="shared" si="30"/>
      </x:c>
      <x:c r="R78" s="108" t="str">
        <x:f t="shared" si="31"/>
      </x:c>
      <x:c r="S78" s="109" t="str">
        <x:f t="shared" si="32"/>
      </x:c>
      <x:c r="T78" s="110" t="str">
        <x:f t="array" ref="T78">IF(C78&lt;&gt;"",_xlfn.IFS(T$10="TLA",RECORD!HI80,V$10="LECTURE","",TRUE(),""),"")</x:f>
      </x:c>
      <x:c r="U78" s="105" t="str">
        <x:f t="shared" si="33"/>
      </x:c>
      <x:c r="V78" s="104" t="str">
        <x:f t="array" ref="V78">IF(C78&lt;&gt;"",_xlfn.IFS(V$10="AT",RECORD!HC80,V$10="LECTURE",BF78,TRUE(),""),"")</x:f>
      </x:c>
      <x:c r="W78" s="106" t="str">
        <x:f t="shared" si="34"/>
      </x:c>
      <x:c r="X78" s="107" t="str">
        <x:f t="array" ref="X78">IF(C78&lt;&gt;"",_xlfn.IFS(X$10="EXAM",RECORD!HD80,X$10="OUTPUT",RECORD!HE80,X$10="LAB",CF78,TRUE(),""),"")</x:f>
      </x:c>
      <x:c r="Y78" s="106" t="str">
        <x:f t="shared" si="35"/>
      </x:c>
      <x:c r="Z78" s="108" t="str">
        <x:f t="shared" si="36"/>
      </x:c>
      <x:c r="AA78" s="109" t="str">
        <x:f t="shared" si="37"/>
      </x:c>
      <x:c r="AB78" s="111" t="str">
        <x:f t="shared" si="38"/>
      </x:c>
      <x:c r="AC78" s="109" t="str">
        <x:f t="shared" si="39"/>
      </x:c>
      <x:c r="AD78" s="112"/>
      <x:c r="AE78" s="102"/>
      <x:c r="AF78" s="113"/>
      <x:c r="AG78" s="112"/>
      <x:c r="AH78" s="103"/>
      <x:c r="AI78" s="114"/>
      <x:c r="AJ78" s="102"/>
      <x:c r="AK78" s="102"/>
      <x:c r="AL78" s="102"/>
      <x:c r="AM78" s="102"/>
      <x:c r="AN78" s="102"/>
      <x:c r="AO78" s="102"/>
      <x:c r="AP78" s="102"/>
      <x:c r="AQ78" s="109" t="str">
        <x:f t="shared" si="40"/>
        <x:v>FAILED</x:v>
      </x:c>
      <x:c r="AR78" s="115"/>
      <x:c r="AS78" s="115"/>
      <x:c r="AT78" s="107"/>
      <x:c r="AU78" s="107"/>
      <x:c r="AV78" s="107"/>
      <x:c r="AW78" s="107"/>
      <x:c r="AX78" s="107"/>
      <x:c r="AY78" s="109" t="str">
        <x:f t="shared" si="41"/>
        <x:v>FAILED</x:v>
      </x:c>
      <x:c r="AZ78" s="115"/>
      <x:c r="BA78" s="115"/>
      <x:c r="BB78" s="107"/>
      <x:c r="BC78" s="107"/>
      <x:c r="BD78" s="107"/>
      <x:c r="BE78" s="107"/>
      <x:c r="BF78" s="107"/>
      <x:c r="BG78" s="109" t="str">
        <x:f t="shared" si="42"/>
        <x:v>FAILED</x:v>
      </x:c>
      <x:c r="BH78" s="117"/>
      <x:c r="BI78" s="102"/>
      <x:c r="BJ78" s="102"/>
      <x:c r="BK78" s="102"/>
      <x:c r="BL78" s="102"/>
      <x:c r="BM78" s="102"/>
      <x:c r="BN78" s="102"/>
      <x:c r="BO78" s="102"/>
      <x:c r="BP78" s="102"/>
      <x:c r="BQ78" s="109" t="str">
        <x:f t="shared" si="43"/>
        <x:v>FAILED</x:v>
      </x:c>
      <x:c r="BR78" s="115"/>
      <x:c r="BS78" s="115"/>
      <x:c r="BT78" s="107"/>
      <x:c r="BU78" s="107"/>
      <x:c r="BV78" s="107"/>
      <x:c r="BW78" s="107"/>
      <x:c r="BX78" s="107"/>
      <x:c r="BY78" s="109" t="str">
        <x:f t="shared" si="44"/>
        <x:v>FAILED</x:v>
      </x:c>
      <x:c r="BZ78" s="115"/>
      <x:c r="CA78" s="115"/>
      <x:c r="CB78" s="107"/>
      <x:c r="CC78" s="107"/>
      <x:c r="CD78" s="107"/>
      <x:c r="CE78" s="107"/>
      <x:c r="CF78" s="107"/>
      <x:c r="CG78" s="109" t="str">
        <x:f t="shared" si="45"/>
        <x:v>FAILED</x:v>
      </x:c>
      <x:c r="CH78" s="117"/>
    </x:row>
    <x:row r="79">
      <x:c r="A79" s="102" t="str">
        <x:f>IF(RECORD!A81="","",RECORD!A81)</x:f>
      </x:c>
      <x:c r="B79" s="102" t="str">
        <x:f>IF(RECORD!B81="","",RECORD!B81)</x:f>
      </x:c>
      <x:c r="C79" s="103" t="str">
        <x:f>IF(RECORD!C81="","",RECORD!C81)</x:f>
      </x:c>
      <x:c r="D79" s="104" t="str">
        <x:f t="array" ref="D79">IF(C79&lt;&gt;"",IF(F$7="SUMMER","N/A",_xlfn.IFS(D$10="TLA",RECORD!GO81,F$10="LECTURE","",TRUE(),"")),"")</x:f>
      </x:c>
      <x:c r="E79" s="105" t="str">
        <x:f t="shared" si="23"/>
      </x:c>
      <x:c r="F79" s="104" t="str">
        <x:f t="array" ref="F79">IF(C79&lt;&gt;"",IF(F$7="SUMMER","N/A",_xlfn.IFS(F$10="AT",RECORD!GI81,F$10="LECTURE",GRADES!AP79,TRUE(),"")),"")</x:f>
      </x:c>
      <x:c r="G79" s="106" t="str">
        <x:f t="shared" si="24"/>
      </x:c>
      <x:c r="H79" s="107" t="str">
        <x:f t="array" ref="H79">IF(C79&lt;&gt;"",IF(F$7="SUMMER","N/A",_xlfn.IFS(H$10="EXAM",RECORD!GJ81,H$10="OUTPUT",RECORD!GK81,H$10="LAB",BP79,TRUE(),"")),"")</x:f>
      </x:c>
      <x:c r="I79" s="106" t="str">
        <x:f t="shared" si="25"/>
      </x:c>
      <x:c r="J79" s="108" t="str">
        <x:f t="shared" si="26"/>
      </x:c>
      <x:c r="K79" s="109" t="str">
        <x:f t="shared" si="27"/>
      </x:c>
      <x:c r="L79" s="110" t="str">
        <x:f t="array" ref="L79">IF(C79&lt;&gt;"",_xlfn.IFS(L$10="TLA",RECORD!GY81,N$10="LECTURE","",TRUE(),""),"")</x:f>
      </x:c>
      <x:c r="M79" s="105" t="str">
        <x:f t="shared" si="28"/>
      </x:c>
      <x:c r="N79" s="104" t="str">
        <x:f t="array" ref="N79">IF(C79&lt;&gt;"",_xlfn.IFS(N$10="AT",RECORD!GS81,N$10="LECTURE",AX79,TRUE(),""),"")</x:f>
      </x:c>
      <x:c r="O79" s="106" t="str">
        <x:f t="shared" si="29"/>
      </x:c>
      <x:c r="P79" s="107" t="str">
        <x:f t="array" ref="P79">IF(C79&lt;&gt;"",_xlfn.IFS(P$10="EXAM",RECORD!GT81,P$10="OUTPUT",RECORD!GU81,P$10="LAB",BX79,TRUE(),""),"")</x:f>
      </x:c>
      <x:c r="Q79" s="106" t="str">
        <x:f t="shared" si="30"/>
      </x:c>
      <x:c r="R79" s="108" t="str">
        <x:f t="shared" si="31"/>
      </x:c>
      <x:c r="S79" s="109" t="str">
        <x:f t="shared" si="32"/>
      </x:c>
      <x:c r="T79" s="110" t="str">
        <x:f t="array" ref="T79">IF(C79&lt;&gt;"",_xlfn.IFS(T$10="TLA",RECORD!HI81,V$10="LECTURE","",TRUE(),""),"")</x:f>
      </x:c>
      <x:c r="U79" s="105" t="str">
        <x:f t="shared" si="33"/>
      </x:c>
      <x:c r="V79" s="104" t="str">
        <x:f t="array" ref="V79">IF(C79&lt;&gt;"",_xlfn.IFS(V$10="AT",RECORD!HC81,V$10="LECTURE",BF79,TRUE(),""),"")</x:f>
      </x:c>
      <x:c r="W79" s="106" t="str">
        <x:f t="shared" si="34"/>
      </x:c>
      <x:c r="X79" s="107" t="str">
        <x:f t="array" ref="X79">IF(C79&lt;&gt;"",_xlfn.IFS(X$10="EXAM",RECORD!HD81,X$10="OUTPUT",RECORD!HE81,X$10="LAB",CF79,TRUE(),""),"")</x:f>
      </x:c>
      <x:c r="Y79" s="106" t="str">
        <x:f t="shared" si="35"/>
      </x:c>
      <x:c r="Z79" s="108" t="str">
        <x:f t="shared" si="36"/>
      </x:c>
      <x:c r="AA79" s="109" t="str">
        <x:f t="shared" si="37"/>
      </x:c>
      <x:c r="AB79" s="111" t="str">
        <x:f t="shared" si="38"/>
      </x:c>
      <x:c r="AC79" s="109" t="str">
        <x:f t="shared" si="39"/>
      </x:c>
      <x:c r="AD79" s="112"/>
      <x:c r="AE79" s="102"/>
      <x:c r="AF79" s="113"/>
      <x:c r="AG79" s="112"/>
      <x:c r="AH79" s="103"/>
      <x:c r="AI79" s="114"/>
      <x:c r="AJ79" s="102"/>
      <x:c r="AK79" s="102"/>
      <x:c r="AL79" s="102"/>
      <x:c r="AM79" s="102"/>
      <x:c r="AN79" s="102"/>
      <x:c r="AO79" s="102"/>
      <x:c r="AP79" s="102"/>
      <x:c r="AQ79" s="109" t="str">
        <x:f t="shared" si="40"/>
        <x:v>FAILED</x:v>
      </x:c>
      <x:c r="AR79" s="115"/>
      <x:c r="AS79" s="115"/>
      <x:c r="AT79" s="107"/>
      <x:c r="AU79" s="107"/>
      <x:c r="AV79" s="107"/>
      <x:c r="AW79" s="107"/>
      <x:c r="AX79" s="107"/>
      <x:c r="AY79" s="109" t="str">
        <x:f t="shared" si="41"/>
        <x:v>FAILED</x:v>
      </x:c>
      <x:c r="AZ79" s="115"/>
      <x:c r="BA79" s="115"/>
      <x:c r="BB79" s="107"/>
      <x:c r="BC79" s="107"/>
      <x:c r="BD79" s="107"/>
      <x:c r="BE79" s="107"/>
      <x:c r="BF79" s="107"/>
      <x:c r="BG79" s="109" t="str">
        <x:f t="shared" si="42"/>
        <x:v>FAILED</x:v>
      </x:c>
      <x:c r="BH79" s="117"/>
      <x:c r="BI79" s="102"/>
      <x:c r="BJ79" s="102"/>
      <x:c r="BK79" s="102"/>
      <x:c r="BL79" s="102"/>
      <x:c r="BM79" s="102"/>
      <x:c r="BN79" s="102"/>
      <x:c r="BO79" s="102"/>
      <x:c r="BP79" s="102"/>
      <x:c r="BQ79" s="109" t="str">
        <x:f t="shared" si="43"/>
        <x:v>FAILED</x:v>
      </x:c>
      <x:c r="BR79" s="115"/>
      <x:c r="BS79" s="115"/>
      <x:c r="BT79" s="107"/>
      <x:c r="BU79" s="107"/>
      <x:c r="BV79" s="107"/>
      <x:c r="BW79" s="107"/>
      <x:c r="BX79" s="107"/>
      <x:c r="BY79" s="109" t="str">
        <x:f t="shared" si="44"/>
        <x:v>FAILED</x:v>
      </x:c>
      <x:c r="BZ79" s="115"/>
      <x:c r="CA79" s="115"/>
      <x:c r="CB79" s="107"/>
      <x:c r="CC79" s="107"/>
      <x:c r="CD79" s="107"/>
      <x:c r="CE79" s="107"/>
      <x:c r="CF79" s="107"/>
      <x:c r="CG79" s="109" t="str">
        <x:f t="shared" si="45"/>
        <x:v>FAILED</x:v>
      </x:c>
      <x:c r="CH79" s="117"/>
    </x:row>
    <x:row r="80">
      <x:c r="A80" s="102" t="str">
        <x:f>IF(RECORD!A82="","",RECORD!A82)</x:f>
      </x:c>
      <x:c r="B80" s="102" t="str">
        <x:f>IF(RECORD!B82="","",RECORD!B82)</x:f>
      </x:c>
      <x:c r="C80" s="103" t="str">
        <x:f>IF(RECORD!C82="","",RECORD!C82)</x:f>
      </x:c>
      <x:c r="D80" s="104" t="str">
        <x:f t="array" ref="D80">IF(C80&lt;&gt;"",IF(F$7="SUMMER","N/A",_xlfn.IFS(D$10="TLA",RECORD!GO82,F$10="LECTURE","",TRUE(),"")),"")</x:f>
      </x:c>
      <x:c r="E80" s="105" t="str">
        <x:f t="shared" si="23"/>
      </x:c>
      <x:c r="F80" s="104" t="str">
        <x:f t="array" ref="F80">IF(C80&lt;&gt;"",IF(F$7="SUMMER","N/A",_xlfn.IFS(F$10="AT",RECORD!GI82,F$10="LECTURE",GRADES!AP80,TRUE(),"")),"")</x:f>
      </x:c>
      <x:c r="G80" s="106" t="str">
        <x:f t="shared" si="24"/>
      </x:c>
      <x:c r="H80" s="107" t="str">
        <x:f t="array" ref="H80">IF(C80&lt;&gt;"",IF(F$7="SUMMER","N/A",_xlfn.IFS(H$10="EXAM",RECORD!GJ82,H$10="OUTPUT",RECORD!GK82,H$10="LAB",BP80,TRUE(),"")),"")</x:f>
      </x:c>
      <x:c r="I80" s="106" t="str">
        <x:f t="shared" si="25"/>
      </x:c>
      <x:c r="J80" s="108" t="str">
        <x:f t="shared" si="26"/>
      </x:c>
      <x:c r="K80" s="109" t="str">
        <x:f t="shared" si="27"/>
      </x:c>
      <x:c r="L80" s="110" t="str">
        <x:f t="array" ref="L80">IF(C80&lt;&gt;"",_xlfn.IFS(L$10="TLA",RECORD!GY82,N$10="LECTURE","",TRUE(),""),"")</x:f>
      </x:c>
      <x:c r="M80" s="105" t="str">
        <x:f t="shared" si="28"/>
      </x:c>
      <x:c r="N80" s="104" t="str">
        <x:f t="array" ref="N80">IF(C80&lt;&gt;"",_xlfn.IFS(N$10="AT",RECORD!GS82,N$10="LECTURE",AX80,TRUE(),""),"")</x:f>
      </x:c>
      <x:c r="O80" s="106" t="str">
        <x:f t="shared" si="29"/>
      </x:c>
      <x:c r="P80" s="107" t="str">
        <x:f t="array" ref="P80">IF(C80&lt;&gt;"",_xlfn.IFS(P$10="EXAM",RECORD!GT82,P$10="OUTPUT",RECORD!GU82,P$10="LAB",BX80,TRUE(),""),"")</x:f>
      </x:c>
      <x:c r="Q80" s="106" t="str">
        <x:f t="shared" si="30"/>
      </x:c>
      <x:c r="R80" s="108" t="str">
        <x:f t="shared" si="31"/>
      </x:c>
      <x:c r="S80" s="109" t="str">
        <x:f t="shared" si="32"/>
      </x:c>
      <x:c r="T80" s="110" t="str">
        <x:f t="array" ref="T80">IF(C80&lt;&gt;"",_xlfn.IFS(T$10="TLA",RECORD!HI82,V$10="LECTURE","",TRUE(),""),"")</x:f>
      </x:c>
      <x:c r="U80" s="105" t="str">
        <x:f t="shared" si="33"/>
      </x:c>
      <x:c r="V80" s="104" t="str">
        <x:f t="array" ref="V80">IF(C80&lt;&gt;"",_xlfn.IFS(V$10="AT",RECORD!HC82,V$10="LECTURE",BF80,TRUE(),""),"")</x:f>
      </x:c>
      <x:c r="W80" s="106" t="str">
        <x:f t="shared" si="34"/>
      </x:c>
      <x:c r="X80" s="107" t="str">
        <x:f t="array" ref="X80">IF(C80&lt;&gt;"",_xlfn.IFS(X$10="EXAM",RECORD!HD82,X$10="OUTPUT",RECORD!HE82,X$10="LAB",CF80,TRUE(),""),"")</x:f>
      </x:c>
      <x:c r="Y80" s="106" t="str">
        <x:f t="shared" si="35"/>
      </x:c>
      <x:c r="Z80" s="108" t="str">
        <x:f t="shared" si="36"/>
      </x:c>
      <x:c r="AA80" s="109" t="str">
        <x:f t="shared" si="37"/>
      </x:c>
      <x:c r="AB80" s="111" t="str">
        <x:f t="shared" si="38"/>
      </x:c>
      <x:c r="AC80" s="109" t="str">
        <x:f t="shared" si="39"/>
      </x:c>
      <x:c r="AD80" s="112"/>
      <x:c r="AE80" s="102"/>
      <x:c r="AF80" s="113"/>
      <x:c r="AG80" s="112"/>
      <x:c r="AH80" s="103"/>
      <x:c r="AI80" s="114"/>
      <x:c r="AJ80" s="102"/>
      <x:c r="AK80" s="102"/>
      <x:c r="AL80" s="102"/>
      <x:c r="AM80" s="102"/>
      <x:c r="AN80" s="102"/>
      <x:c r="AO80" s="102"/>
      <x:c r="AP80" s="102"/>
      <x:c r="AQ80" s="109" t="str">
        <x:f t="shared" si="40"/>
        <x:v>FAILED</x:v>
      </x:c>
      <x:c r="AR80" s="115"/>
      <x:c r="AS80" s="115"/>
      <x:c r="AT80" s="107"/>
      <x:c r="AU80" s="107"/>
      <x:c r="AV80" s="107"/>
      <x:c r="AW80" s="107"/>
      <x:c r="AX80" s="107"/>
      <x:c r="AY80" s="109" t="str">
        <x:f t="shared" si="41"/>
        <x:v>FAILED</x:v>
      </x:c>
      <x:c r="AZ80" s="115"/>
      <x:c r="BA80" s="115"/>
      <x:c r="BB80" s="107"/>
      <x:c r="BC80" s="107"/>
      <x:c r="BD80" s="107"/>
      <x:c r="BE80" s="107"/>
      <x:c r="BF80" s="107"/>
      <x:c r="BG80" s="109" t="str">
        <x:f t="shared" si="42"/>
        <x:v>FAILED</x:v>
      </x:c>
      <x:c r="BH80" s="117"/>
      <x:c r="BI80" s="102"/>
      <x:c r="BJ80" s="102"/>
      <x:c r="BK80" s="102"/>
      <x:c r="BL80" s="102"/>
      <x:c r="BM80" s="102"/>
      <x:c r="BN80" s="102"/>
      <x:c r="BO80" s="102"/>
      <x:c r="BP80" s="102"/>
      <x:c r="BQ80" s="109" t="str">
        <x:f t="shared" si="43"/>
        <x:v>FAILED</x:v>
      </x:c>
      <x:c r="BR80" s="115"/>
      <x:c r="BS80" s="115"/>
      <x:c r="BT80" s="107"/>
      <x:c r="BU80" s="107"/>
      <x:c r="BV80" s="107"/>
      <x:c r="BW80" s="107"/>
      <x:c r="BX80" s="107"/>
      <x:c r="BY80" s="109" t="str">
        <x:f t="shared" si="44"/>
        <x:v>FAILED</x:v>
      </x:c>
      <x:c r="BZ80" s="115"/>
      <x:c r="CA80" s="115"/>
      <x:c r="CB80" s="107"/>
      <x:c r="CC80" s="107"/>
      <x:c r="CD80" s="107"/>
      <x:c r="CE80" s="107"/>
      <x:c r="CF80" s="107"/>
      <x:c r="CG80" s="109" t="str">
        <x:f t="shared" si="45"/>
        <x:v>FAILED</x:v>
      </x:c>
      <x:c r="CH80" s="117"/>
    </x:row>
    <x:row r="81">
      <x:c r="A81" s="102" t="str">
        <x:f>IF(RECORD!A83="","",RECORD!A83)</x:f>
      </x:c>
      <x:c r="B81" s="102" t="str">
        <x:f>IF(RECORD!B83="","",RECORD!B83)</x:f>
      </x:c>
      <x:c r="C81" s="103" t="str">
        <x:f>IF(RECORD!C83="","",RECORD!C83)</x:f>
      </x:c>
      <x:c r="D81" s="104" t="str">
        <x:f t="array" ref="D81">IF(C81&lt;&gt;"",IF(F$7="SUMMER","N/A",_xlfn.IFS(D$10="TLA",RECORD!GO83,F$10="LECTURE","",TRUE(),"")),"")</x:f>
      </x:c>
      <x:c r="E81" s="105" t="str">
        <x:f t="shared" si="23"/>
      </x:c>
      <x:c r="F81" s="104" t="str">
        <x:f t="array" ref="F81">IF(C81&lt;&gt;"",IF(F$7="SUMMER","N/A",_xlfn.IFS(F$10="AT",RECORD!GI83,F$10="LECTURE",GRADES!AP81,TRUE(),"")),"")</x:f>
      </x:c>
      <x:c r="G81" s="106" t="str">
        <x:f t="shared" si="24"/>
      </x:c>
      <x:c r="H81" s="107" t="str">
        <x:f t="array" ref="H81">IF(C81&lt;&gt;"",IF(F$7="SUMMER","N/A",_xlfn.IFS(H$10="EXAM",RECORD!GJ83,H$10="OUTPUT",RECORD!GK83,H$10="LAB",BP81,TRUE(),"")),"")</x:f>
      </x:c>
      <x:c r="I81" s="106" t="str">
        <x:f t="shared" si="25"/>
      </x:c>
      <x:c r="J81" s="108" t="str">
        <x:f t="shared" si="26"/>
      </x:c>
      <x:c r="K81" s="109" t="str">
        <x:f t="shared" si="27"/>
      </x:c>
      <x:c r="L81" s="110" t="str">
        <x:f t="array" ref="L81">IF(C81&lt;&gt;"",_xlfn.IFS(L$10="TLA",RECORD!GY83,N$10="LECTURE","",TRUE(),""),"")</x:f>
      </x:c>
      <x:c r="M81" s="105" t="str">
        <x:f t="shared" si="28"/>
      </x:c>
      <x:c r="N81" s="104" t="str">
        <x:f t="array" ref="N81">IF(C81&lt;&gt;"",_xlfn.IFS(N$10="AT",RECORD!GS83,N$10="LECTURE",AX81,TRUE(),""),"")</x:f>
      </x:c>
      <x:c r="O81" s="106" t="str">
        <x:f t="shared" si="29"/>
      </x:c>
      <x:c r="P81" s="107" t="str">
        <x:f t="array" ref="P81">IF(C81&lt;&gt;"",_xlfn.IFS(P$10="EXAM",RECORD!GT83,P$10="OUTPUT",RECORD!GU83,P$10="LAB",BX81,TRUE(),""),"")</x:f>
      </x:c>
      <x:c r="Q81" s="106" t="str">
        <x:f t="shared" si="30"/>
      </x:c>
      <x:c r="R81" s="108" t="str">
        <x:f t="shared" si="31"/>
      </x:c>
      <x:c r="S81" s="109" t="str">
        <x:f t="shared" si="32"/>
      </x:c>
      <x:c r="T81" s="110" t="str">
        <x:f t="array" ref="T81">IF(C81&lt;&gt;"",_xlfn.IFS(T$10="TLA",RECORD!HI83,V$10="LECTURE","",TRUE(),""),"")</x:f>
      </x:c>
      <x:c r="U81" s="105" t="str">
        <x:f t="shared" si="33"/>
      </x:c>
      <x:c r="V81" s="104" t="str">
        <x:f t="array" ref="V81">IF(C81&lt;&gt;"",_xlfn.IFS(V$10="AT",RECORD!HC83,V$10="LECTURE",BF81,TRUE(),""),"")</x:f>
      </x:c>
      <x:c r="W81" s="106" t="str">
        <x:f t="shared" si="34"/>
      </x:c>
      <x:c r="X81" s="107" t="str">
        <x:f t="array" ref="X81">IF(C81&lt;&gt;"",_xlfn.IFS(X$10="EXAM",RECORD!HD83,X$10="OUTPUT",RECORD!HE83,X$10="LAB",CF81,TRUE(),""),"")</x:f>
      </x:c>
      <x:c r="Y81" s="106" t="str">
        <x:f t="shared" si="35"/>
      </x:c>
      <x:c r="Z81" s="108" t="str">
        <x:f t="shared" si="36"/>
      </x:c>
      <x:c r="AA81" s="109" t="str">
        <x:f t="shared" si="37"/>
      </x:c>
      <x:c r="AB81" s="111" t="str">
        <x:f t="shared" si="38"/>
      </x:c>
      <x:c r="AC81" s="109" t="str">
        <x:f t="shared" si="39"/>
      </x:c>
      <x:c r="AD81" s="112"/>
      <x:c r="AE81" s="102"/>
      <x:c r="AF81" s="113"/>
      <x:c r="AG81" s="112"/>
      <x:c r="AH81" s="103"/>
      <x:c r="AI81" s="114"/>
      <x:c r="AJ81" s="102"/>
      <x:c r="AK81" s="102"/>
      <x:c r="AL81" s="102"/>
      <x:c r="AM81" s="102"/>
      <x:c r="AN81" s="102"/>
      <x:c r="AO81" s="102"/>
      <x:c r="AP81" s="102"/>
      <x:c r="AQ81" s="109" t="str">
        <x:f t="shared" si="40"/>
        <x:v>FAILED</x:v>
      </x:c>
      <x:c r="AR81" s="115"/>
      <x:c r="AS81" s="115"/>
      <x:c r="AT81" s="107"/>
      <x:c r="AU81" s="107"/>
      <x:c r="AV81" s="107"/>
      <x:c r="AW81" s="107"/>
      <x:c r="AX81" s="107"/>
      <x:c r="AY81" s="109" t="str">
        <x:f t="shared" si="41"/>
        <x:v>FAILED</x:v>
      </x:c>
      <x:c r="AZ81" s="115"/>
      <x:c r="BA81" s="115"/>
      <x:c r="BB81" s="107"/>
      <x:c r="BC81" s="107"/>
      <x:c r="BD81" s="107"/>
      <x:c r="BE81" s="107"/>
      <x:c r="BF81" s="107"/>
      <x:c r="BG81" s="109" t="str">
        <x:f t="shared" si="42"/>
        <x:v>FAILED</x:v>
      </x:c>
      <x:c r="BH81" s="117"/>
      <x:c r="BI81" s="102"/>
      <x:c r="BJ81" s="102"/>
      <x:c r="BK81" s="102"/>
      <x:c r="BL81" s="102"/>
      <x:c r="BM81" s="102"/>
      <x:c r="BN81" s="102"/>
      <x:c r="BO81" s="102"/>
      <x:c r="BP81" s="102"/>
      <x:c r="BQ81" s="109" t="str">
        <x:f t="shared" si="43"/>
        <x:v>FAILED</x:v>
      </x:c>
      <x:c r="BR81" s="115"/>
      <x:c r="BS81" s="115"/>
      <x:c r="BT81" s="107"/>
      <x:c r="BU81" s="107"/>
      <x:c r="BV81" s="107"/>
      <x:c r="BW81" s="107"/>
      <x:c r="BX81" s="107"/>
      <x:c r="BY81" s="109" t="str">
        <x:f t="shared" si="44"/>
        <x:v>FAILED</x:v>
      </x:c>
      <x:c r="BZ81" s="115"/>
      <x:c r="CA81" s="115"/>
      <x:c r="CB81" s="107"/>
      <x:c r="CC81" s="107"/>
      <x:c r="CD81" s="107"/>
      <x:c r="CE81" s="107"/>
      <x:c r="CF81" s="107"/>
      <x:c r="CG81" s="109" t="str">
        <x:f t="shared" si="45"/>
        <x:v>FAILED</x:v>
      </x:c>
      <x:c r="CH81" s="117"/>
    </x:row>
    <x:row r="82">
      <x:c r="A82" s="102" t="str">
        <x:f>IF(RECORD!A84="","",RECORD!A84)</x:f>
      </x:c>
      <x:c r="B82" s="102" t="str">
        <x:f>IF(RECORD!B84="","",RECORD!B84)</x:f>
      </x:c>
      <x:c r="C82" s="103" t="str">
        <x:f>IF(RECORD!C84="","",RECORD!C84)</x:f>
      </x:c>
      <x:c r="D82" s="104" t="str">
        <x:f t="array" ref="D82">IF(C82&lt;&gt;"",IF(F$7="SUMMER","N/A",_xlfn.IFS(D$10="TLA",RECORD!GO84,F$10="LECTURE","",TRUE(),"")),"")</x:f>
      </x:c>
      <x:c r="E82" s="105" t="str">
        <x:f t="shared" si="23"/>
      </x:c>
      <x:c r="F82" s="104" t="str">
        <x:f t="array" ref="F82">IF(C82&lt;&gt;"",IF(F$7="SUMMER","N/A",_xlfn.IFS(F$10="AT",RECORD!GI84,F$10="LECTURE",GRADES!AP82,TRUE(),"")),"")</x:f>
      </x:c>
      <x:c r="G82" s="106" t="str">
        <x:f t="shared" si="24"/>
      </x:c>
      <x:c r="H82" s="107" t="str">
        <x:f t="array" ref="H82">IF(C82&lt;&gt;"",IF(F$7="SUMMER","N/A",_xlfn.IFS(H$10="EXAM",RECORD!GJ84,H$10="OUTPUT",RECORD!GK84,H$10="LAB",BP82,TRUE(),"")),"")</x:f>
      </x:c>
      <x:c r="I82" s="106" t="str">
        <x:f t="shared" si="25"/>
      </x:c>
      <x:c r="J82" s="108" t="str">
        <x:f t="shared" si="26"/>
      </x:c>
      <x:c r="K82" s="109" t="str">
        <x:f t="shared" si="27"/>
      </x:c>
      <x:c r="L82" s="110" t="str">
        <x:f t="array" ref="L82">IF(C82&lt;&gt;"",_xlfn.IFS(L$10="TLA",RECORD!GY84,N$10="LECTURE","",TRUE(),""),"")</x:f>
      </x:c>
      <x:c r="M82" s="105" t="str">
        <x:f t="shared" si="28"/>
      </x:c>
      <x:c r="N82" s="104" t="str">
        <x:f t="array" ref="N82">IF(C82&lt;&gt;"",_xlfn.IFS(N$10="AT",RECORD!GS84,N$10="LECTURE",AX82,TRUE(),""),"")</x:f>
      </x:c>
      <x:c r="O82" s="106" t="str">
        <x:f t="shared" si="29"/>
      </x:c>
      <x:c r="P82" s="107" t="str">
        <x:f t="array" ref="P82">IF(C82&lt;&gt;"",_xlfn.IFS(P$10="EXAM",RECORD!GT84,P$10="OUTPUT",RECORD!GU84,P$10="LAB",BX82,TRUE(),""),"")</x:f>
      </x:c>
      <x:c r="Q82" s="106" t="str">
        <x:f t="shared" si="30"/>
      </x:c>
      <x:c r="R82" s="108" t="str">
        <x:f t="shared" si="31"/>
      </x:c>
      <x:c r="S82" s="109" t="str">
        <x:f t="shared" si="32"/>
      </x:c>
      <x:c r="T82" s="110" t="str">
        <x:f t="array" ref="T82">IF(C82&lt;&gt;"",_xlfn.IFS(T$10="TLA",RECORD!HI84,V$10="LECTURE","",TRUE(),""),"")</x:f>
      </x:c>
      <x:c r="U82" s="105" t="str">
        <x:f t="shared" si="33"/>
      </x:c>
      <x:c r="V82" s="104" t="str">
        <x:f t="array" ref="V82">IF(C82&lt;&gt;"",_xlfn.IFS(V$10="AT",RECORD!HC84,V$10="LECTURE",BF82,TRUE(),""),"")</x:f>
      </x:c>
      <x:c r="W82" s="106" t="str">
        <x:f t="shared" si="34"/>
      </x:c>
      <x:c r="X82" s="107" t="str">
        <x:f t="array" ref="X82">IF(C82&lt;&gt;"",_xlfn.IFS(X$10="EXAM",RECORD!HD84,X$10="OUTPUT",RECORD!HE84,X$10="LAB",CF82,TRUE(),""),"")</x:f>
      </x:c>
      <x:c r="Y82" s="106" t="str">
        <x:f t="shared" si="35"/>
      </x:c>
      <x:c r="Z82" s="108" t="str">
        <x:f t="shared" si="36"/>
      </x:c>
      <x:c r="AA82" s="109" t="str">
        <x:f t="shared" si="37"/>
      </x:c>
      <x:c r="AB82" s="111" t="str">
        <x:f t="shared" si="38"/>
      </x:c>
      <x:c r="AC82" s="109" t="str">
        <x:f t="shared" si="39"/>
      </x:c>
      <x:c r="AD82" s="112"/>
      <x:c r="AE82" s="102"/>
      <x:c r="AF82" s="113"/>
      <x:c r="AG82" s="112"/>
      <x:c r="AH82" s="103"/>
      <x:c r="AI82" s="114"/>
      <x:c r="AJ82" s="102"/>
      <x:c r="AK82" s="102"/>
      <x:c r="AL82" s="102"/>
      <x:c r="AM82" s="102"/>
      <x:c r="AN82" s="102"/>
      <x:c r="AO82" s="102"/>
      <x:c r="AP82" s="102"/>
      <x:c r="AQ82" s="109" t="str">
        <x:f t="shared" si="40"/>
        <x:v>FAILED</x:v>
      </x:c>
      <x:c r="AR82" s="115"/>
      <x:c r="AS82" s="115"/>
      <x:c r="AT82" s="107"/>
      <x:c r="AU82" s="107"/>
      <x:c r="AV82" s="107"/>
      <x:c r="AW82" s="107"/>
      <x:c r="AX82" s="107"/>
      <x:c r="AY82" s="109" t="str">
        <x:f t="shared" si="41"/>
        <x:v>FAILED</x:v>
      </x:c>
      <x:c r="AZ82" s="115"/>
      <x:c r="BA82" s="115"/>
      <x:c r="BB82" s="107"/>
      <x:c r="BC82" s="107"/>
      <x:c r="BD82" s="107"/>
      <x:c r="BE82" s="107"/>
      <x:c r="BF82" s="107"/>
      <x:c r="BG82" s="109" t="str">
        <x:f t="shared" si="42"/>
        <x:v>FAILED</x:v>
      </x:c>
      <x:c r="BH82" s="117"/>
      <x:c r="BI82" s="102"/>
      <x:c r="BJ82" s="102"/>
      <x:c r="BK82" s="102"/>
      <x:c r="BL82" s="102"/>
      <x:c r="BM82" s="102"/>
      <x:c r="BN82" s="102"/>
      <x:c r="BO82" s="102"/>
      <x:c r="BP82" s="102"/>
      <x:c r="BQ82" s="109" t="str">
        <x:f t="shared" si="43"/>
        <x:v>FAILED</x:v>
      </x:c>
      <x:c r="BR82" s="115"/>
      <x:c r="BS82" s="115"/>
      <x:c r="BT82" s="107"/>
      <x:c r="BU82" s="107"/>
      <x:c r="BV82" s="107"/>
      <x:c r="BW82" s="107"/>
      <x:c r="BX82" s="107"/>
      <x:c r="BY82" s="109" t="str">
        <x:f t="shared" si="44"/>
        <x:v>FAILED</x:v>
      </x:c>
      <x:c r="BZ82" s="115"/>
      <x:c r="CA82" s="115"/>
      <x:c r="CB82" s="107"/>
      <x:c r="CC82" s="107"/>
      <x:c r="CD82" s="107"/>
      <x:c r="CE82" s="107"/>
      <x:c r="CF82" s="107"/>
      <x:c r="CG82" s="109" t="str">
        <x:f t="shared" si="45"/>
        <x:v>FAILED</x:v>
      </x:c>
      <x:c r="CH82" s="117"/>
    </x:row>
    <x:row r="83">
      <x:c r="A83" s="102" t="str">
        <x:f>IF(RECORD!A85="","",RECORD!A85)</x:f>
      </x:c>
      <x:c r="B83" s="102" t="str">
        <x:f>IF(RECORD!B85="","",RECORD!B85)</x:f>
      </x:c>
      <x:c r="C83" s="103" t="str">
        <x:f>IF(RECORD!C85="","",RECORD!C85)</x:f>
      </x:c>
      <x:c r="D83" s="104" t="str">
        <x:f t="array" ref="D83">IF(C83&lt;&gt;"",IF(F$7="SUMMER","N/A",_xlfn.IFS(D$10="TLA",RECORD!GO85,F$10="LECTURE","",TRUE(),"")),"")</x:f>
      </x:c>
      <x:c r="E83" s="105" t="str">
        <x:f t="shared" si="23"/>
      </x:c>
      <x:c r="F83" s="104" t="str">
        <x:f t="array" ref="F83">IF(C83&lt;&gt;"",IF(F$7="SUMMER","N/A",_xlfn.IFS(F$10="AT",RECORD!GI85,F$10="LECTURE",GRADES!AP83,TRUE(),"")),"")</x:f>
      </x:c>
      <x:c r="G83" s="106" t="str">
        <x:f t="shared" si="24"/>
      </x:c>
      <x:c r="H83" s="107" t="str">
        <x:f t="array" ref="H83">IF(C83&lt;&gt;"",IF(F$7="SUMMER","N/A",_xlfn.IFS(H$10="EXAM",RECORD!GJ85,H$10="OUTPUT",RECORD!GK85,H$10="LAB",BP83,TRUE(),"")),"")</x:f>
      </x:c>
      <x:c r="I83" s="106" t="str">
        <x:f t="shared" si="25"/>
      </x:c>
      <x:c r="J83" s="108" t="str">
        <x:f t="shared" si="26"/>
      </x:c>
      <x:c r="K83" s="109" t="str">
        <x:f t="shared" si="27"/>
      </x:c>
      <x:c r="L83" s="110" t="str">
        <x:f t="array" ref="L83">IF(C83&lt;&gt;"",_xlfn.IFS(L$10="TLA",RECORD!GY85,N$10="LECTURE","",TRUE(),""),"")</x:f>
      </x:c>
      <x:c r="M83" s="105" t="str">
        <x:f t="shared" si="28"/>
      </x:c>
      <x:c r="N83" s="104" t="str">
        <x:f t="array" ref="N83">IF(C83&lt;&gt;"",_xlfn.IFS(N$10="AT",RECORD!GS85,N$10="LECTURE",AX83,TRUE(),""),"")</x:f>
      </x:c>
      <x:c r="O83" s="106" t="str">
        <x:f t="shared" si="29"/>
      </x:c>
      <x:c r="P83" s="107" t="str">
        <x:f t="array" ref="P83">IF(C83&lt;&gt;"",_xlfn.IFS(P$10="EXAM",RECORD!GT85,P$10="OUTPUT",RECORD!GU85,P$10="LAB",BX83,TRUE(),""),"")</x:f>
      </x:c>
      <x:c r="Q83" s="106" t="str">
        <x:f t="shared" si="30"/>
      </x:c>
      <x:c r="R83" s="108" t="str">
        <x:f t="shared" si="31"/>
      </x:c>
      <x:c r="S83" s="109" t="str">
        <x:f t="shared" si="32"/>
      </x:c>
      <x:c r="T83" s="110" t="str">
        <x:f t="array" ref="T83">IF(C83&lt;&gt;"",_xlfn.IFS(T$10="TLA",RECORD!HI85,V$10="LECTURE","",TRUE(),""),"")</x:f>
      </x:c>
      <x:c r="U83" s="105" t="str">
        <x:f t="shared" si="33"/>
      </x:c>
      <x:c r="V83" s="104" t="str">
        <x:f t="array" ref="V83">IF(C83&lt;&gt;"",_xlfn.IFS(V$10="AT",RECORD!HC85,V$10="LECTURE",BF83,TRUE(),""),"")</x:f>
      </x:c>
      <x:c r="W83" s="106" t="str">
        <x:f t="shared" si="34"/>
      </x:c>
      <x:c r="X83" s="107" t="str">
        <x:f t="array" ref="X83">IF(C83&lt;&gt;"",_xlfn.IFS(X$10="EXAM",RECORD!HD85,X$10="OUTPUT",RECORD!HE85,X$10="LAB",CF83,TRUE(),""),"")</x:f>
      </x:c>
      <x:c r="Y83" s="106" t="str">
        <x:f t="shared" si="35"/>
      </x:c>
      <x:c r="Z83" s="108" t="str">
        <x:f t="shared" si="36"/>
      </x:c>
      <x:c r="AA83" s="109" t="str">
        <x:f t="shared" si="37"/>
      </x:c>
      <x:c r="AB83" s="111" t="str">
        <x:f t="shared" si="38"/>
      </x:c>
      <x:c r="AC83" s="109" t="str">
        <x:f t="shared" si="39"/>
      </x:c>
      <x:c r="AD83" s="112"/>
      <x:c r="AE83" s="102"/>
      <x:c r="AF83" s="113"/>
      <x:c r="AG83" s="112"/>
      <x:c r="AH83" s="103"/>
      <x:c r="AI83" s="114"/>
      <x:c r="AJ83" s="102"/>
      <x:c r="AK83" s="102"/>
      <x:c r="AL83" s="102"/>
      <x:c r="AM83" s="102"/>
      <x:c r="AN83" s="102"/>
      <x:c r="AO83" s="102"/>
      <x:c r="AP83" s="102"/>
      <x:c r="AQ83" s="109" t="str">
        <x:f t="shared" si="40"/>
        <x:v>FAILED</x:v>
      </x:c>
      <x:c r="AR83" s="115"/>
      <x:c r="AS83" s="115"/>
      <x:c r="AT83" s="107"/>
      <x:c r="AU83" s="107"/>
      <x:c r="AV83" s="107"/>
      <x:c r="AW83" s="107"/>
      <x:c r="AX83" s="107"/>
      <x:c r="AY83" s="109" t="str">
        <x:f t="shared" si="41"/>
        <x:v>FAILED</x:v>
      </x:c>
      <x:c r="AZ83" s="115"/>
      <x:c r="BA83" s="115"/>
      <x:c r="BB83" s="107"/>
      <x:c r="BC83" s="107"/>
      <x:c r="BD83" s="107"/>
      <x:c r="BE83" s="107"/>
      <x:c r="BF83" s="107"/>
      <x:c r="BG83" s="109" t="str">
        <x:f t="shared" si="42"/>
        <x:v>FAILED</x:v>
      </x:c>
      <x:c r="BH83" s="117"/>
      <x:c r="BI83" s="102"/>
      <x:c r="BJ83" s="102"/>
      <x:c r="BK83" s="102"/>
      <x:c r="BL83" s="102"/>
      <x:c r="BM83" s="102"/>
      <x:c r="BN83" s="102"/>
      <x:c r="BO83" s="102"/>
      <x:c r="BP83" s="102"/>
      <x:c r="BQ83" s="109" t="str">
        <x:f t="shared" si="43"/>
        <x:v>FAILED</x:v>
      </x:c>
      <x:c r="BR83" s="115"/>
      <x:c r="BS83" s="115"/>
      <x:c r="BT83" s="107"/>
      <x:c r="BU83" s="107"/>
      <x:c r="BV83" s="107"/>
      <x:c r="BW83" s="107"/>
      <x:c r="BX83" s="107"/>
      <x:c r="BY83" s="109" t="str">
        <x:f t="shared" si="44"/>
        <x:v>FAILED</x:v>
      </x:c>
      <x:c r="BZ83" s="115"/>
      <x:c r="CA83" s="115"/>
      <x:c r="CB83" s="107"/>
      <x:c r="CC83" s="107"/>
      <x:c r="CD83" s="107"/>
      <x:c r="CE83" s="107"/>
      <x:c r="CF83" s="107"/>
      <x:c r="CG83" s="109" t="str">
        <x:f t="shared" si="45"/>
        <x:v>FAILED</x:v>
      </x:c>
      <x:c r="CH83" s="117"/>
    </x:row>
    <x:row r="84">
      <x:c r="A84" s="102" t="str">
        <x:f>IF(RECORD!A86="","",RECORD!A86)</x:f>
      </x:c>
      <x:c r="B84" s="102" t="str">
        <x:f>IF(RECORD!B86="","",RECORD!B86)</x:f>
      </x:c>
      <x:c r="C84" s="103" t="str">
        <x:f>IF(RECORD!C86="","",RECORD!C86)</x:f>
      </x:c>
      <x:c r="D84" s="104" t="str">
        <x:f t="array" ref="D84">IF(C84&lt;&gt;"",IF(F$7="SUMMER","N/A",_xlfn.IFS(D$10="TLA",RECORD!GO86,F$10="LECTURE","",TRUE(),"")),"")</x:f>
      </x:c>
      <x:c r="E84" s="105" t="str">
        <x:f t="shared" si="23"/>
      </x:c>
      <x:c r="F84" s="104" t="str">
        <x:f t="array" ref="F84">IF(C84&lt;&gt;"",IF(F$7="SUMMER","N/A",_xlfn.IFS(F$10="AT",RECORD!GI86,F$10="LECTURE",GRADES!AP84,TRUE(),"")),"")</x:f>
      </x:c>
      <x:c r="G84" s="106" t="str">
        <x:f t="shared" si="24"/>
      </x:c>
      <x:c r="H84" s="107" t="str">
        <x:f t="array" ref="H84">IF(C84&lt;&gt;"",IF(F$7="SUMMER","N/A",_xlfn.IFS(H$10="EXAM",RECORD!GJ86,H$10="OUTPUT",RECORD!GK86,H$10="LAB",BP84,TRUE(),"")),"")</x:f>
      </x:c>
      <x:c r="I84" s="106" t="str">
        <x:f t="shared" si="25"/>
      </x:c>
      <x:c r="J84" s="108" t="str">
        <x:f t="shared" si="26"/>
      </x:c>
      <x:c r="K84" s="109" t="str">
        <x:f t="shared" si="27"/>
      </x:c>
      <x:c r="L84" s="110" t="str">
        <x:f t="array" ref="L84">IF(C84&lt;&gt;"",_xlfn.IFS(L$10="TLA",RECORD!GY86,N$10="LECTURE","",TRUE(),""),"")</x:f>
      </x:c>
      <x:c r="M84" s="105" t="str">
        <x:f t="shared" si="28"/>
      </x:c>
      <x:c r="N84" s="104" t="str">
        <x:f t="array" ref="N84">IF(C84&lt;&gt;"",_xlfn.IFS(N$10="AT",RECORD!GS86,N$10="LECTURE",AX84,TRUE(),""),"")</x:f>
      </x:c>
      <x:c r="O84" s="106" t="str">
        <x:f t="shared" si="29"/>
      </x:c>
      <x:c r="P84" s="107" t="str">
        <x:f t="array" ref="P84">IF(C84&lt;&gt;"",_xlfn.IFS(P$10="EXAM",RECORD!GT86,P$10="OUTPUT",RECORD!GU86,P$10="LAB",BX84,TRUE(),""),"")</x:f>
      </x:c>
      <x:c r="Q84" s="106" t="str">
        <x:f t="shared" si="30"/>
      </x:c>
      <x:c r="R84" s="108" t="str">
        <x:f t="shared" si="31"/>
      </x:c>
      <x:c r="S84" s="109" t="str">
        <x:f t="shared" si="32"/>
      </x:c>
      <x:c r="T84" s="110" t="str">
        <x:f t="array" ref="T84">IF(C84&lt;&gt;"",_xlfn.IFS(T$10="TLA",RECORD!HI86,V$10="LECTURE","",TRUE(),""),"")</x:f>
      </x:c>
      <x:c r="U84" s="105" t="str">
        <x:f t="shared" si="33"/>
      </x:c>
      <x:c r="V84" s="104" t="str">
        <x:f t="array" ref="V84">IF(C84&lt;&gt;"",_xlfn.IFS(V$10="AT",RECORD!HC86,V$10="LECTURE",BF84,TRUE(),""),"")</x:f>
      </x:c>
      <x:c r="W84" s="106" t="str">
        <x:f t="shared" si="34"/>
      </x:c>
      <x:c r="X84" s="107" t="str">
        <x:f t="array" ref="X84">IF(C84&lt;&gt;"",_xlfn.IFS(X$10="EXAM",RECORD!HD86,X$10="OUTPUT",RECORD!HE86,X$10="LAB",CF84,TRUE(),""),"")</x:f>
      </x:c>
      <x:c r="Y84" s="106" t="str">
        <x:f t="shared" si="35"/>
      </x:c>
      <x:c r="Z84" s="108" t="str">
        <x:f t="shared" si="36"/>
      </x:c>
      <x:c r="AA84" s="109" t="str">
        <x:f t="shared" si="37"/>
      </x:c>
      <x:c r="AB84" s="111" t="str">
        <x:f t="shared" si="38"/>
      </x:c>
      <x:c r="AC84" s="109" t="str">
        <x:f t="shared" si="39"/>
      </x:c>
      <x:c r="AD84" s="112"/>
      <x:c r="AE84" s="102"/>
      <x:c r="AF84" s="113"/>
      <x:c r="AG84" s="112"/>
      <x:c r="AH84" s="103"/>
      <x:c r="AI84" s="114"/>
      <x:c r="AJ84" s="102"/>
      <x:c r="AK84" s="102"/>
      <x:c r="AL84" s="102"/>
      <x:c r="AM84" s="102"/>
      <x:c r="AN84" s="102"/>
      <x:c r="AO84" s="102"/>
      <x:c r="AP84" s="102"/>
      <x:c r="AQ84" s="109" t="str">
        <x:f t="shared" si="40"/>
        <x:v>FAILED</x:v>
      </x:c>
      <x:c r="AR84" s="115"/>
      <x:c r="AS84" s="115"/>
      <x:c r="AT84" s="107"/>
      <x:c r="AU84" s="107"/>
      <x:c r="AV84" s="107"/>
      <x:c r="AW84" s="107"/>
      <x:c r="AX84" s="107"/>
      <x:c r="AY84" s="109" t="str">
        <x:f t="shared" si="41"/>
        <x:v>FAILED</x:v>
      </x:c>
      <x:c r="AZ84" s="115"/>
      <x:c r="BA84" s="115"/>
      <x:c r="BB84" s="107"/>
      <x:c r="BC84" s="107"/>
      <x:c r="BD84" s="107"/>
      <x:c r="BE84" s="107"/>
      <x:c r="BF84" s="107"/>
      <x:c r="BG84" s="109" t="str">
        <x:f t="shared" si="42"/>
        <x:v>FAILED</x:v>
      </x:c>
      <x:c r="BH84" s="117"/>
      <x:c r="BI84" s="102"/>
      <x:c r="BJ84" s="102"/>
      <x:c r="BK84" s="102"/>
      <x:c r="BL84" s="102"/>
      <x:c r="BM84" s="102"/>
      <x:c r="BN84" s="102"/>
      <x:c r="BO84" s="102"/>
      <x:c r="BP84" s="102"/>
      <x:c r="BQ84" s="109" t="str">
        <x:f t="shared" si="43"/>
        <x:v>FAILED</x:v>
      </x:c>
      <x:c r="BR84" s="115"/>
      <x:c r="BS84" s="115"/>
      <x:c r="BT84" s="107"/>
      <x:c r="BU84" s="107"/>
      <x:c r="BV84" s="107"/>
      <x:c r="BW84" s="107"/>
      <x:c r="BX84" s="107"/>
      <x:c r="BY84" s="109" t="str">
        <x:f t="shared" si="44"/>
        <x:v>FAILED</x:v>
      </x:c>
      <x:c r="BZ84" s="115"/>
      <x:c r="CA84" s="115"/>
      <x:c r="CB84" s="107"/>
      <x:c r="CC84" s="107"/>
      <x:c r="CD84" s="107"/>
      <x:c r="CE84" s="107"/>
      <x:c r="CF84" s="107"/>
      <x:c r="CG84" s="109" t="str">
        <x:f t="shared" si="45"/>
        <x:v>FAILED</x:v>
      </x:c>
      <x:c r="CH84" s="117"/>
    </x:row>
    <x:row r="85">
      <x:c r="A85" s="102" t="str">
        <x:f>IF(RECORD!A87="","",RECORD!A87)</x:f>
      </x:c>
      <x:c r="B85" s="102" t="str">
        <x:f>IF(RECORD!B87="","",RECORD!B87)</x:f>
      </x:c>
      <x:c r="C85" s="103" t="str">
        <x:f>IF(RECORD!C87="","",RECORD!C87)</x:f>
      </x:c>
      <x:c r="D85" s="104" t="str">
        <x:f t="array" ref="D85">IF(C85&lt;&gt;"",IF(F$7="SUMMER","N/A",_xlfn.IFS(D$10="TLA",RECORD!GO87,F$10="LECTURE","",TRUE(),"")),"")</x:f>
      </x:c>
      <x:c r="E85" s="105" t="str">
        <x:f t="shared" si="23"/>
      </x:c>
      <x:c r="F85" s="104" t="str">
        <x:f t="array" ref="F85">IF(C85&lt;&gt;"",IF(F$7="SUMMER","N/A",_xlfn.IFS(F$10="AT",RECORD!GI87,F$10="LECTURE",GRADES!AP85,TRUE(),"")),"")</x:f>
      </x:c>
      <x:c r="G85" s="106" t="str">
        <x:f t="shared" si="24"/>
      </x:c>
      <x:c r="H85" s="107" t="str">
        <x:f t="array" ref="H85">IF(C85&lt;&gt;"",IF(F$7="SUMMER","N/A",_xlfn.IFS(H$10="EXAM",RECORD!GJ87,H$10="OUTPUT",RECORD!GK87,H$10="LAB",BP85,TRUE(),"")),"")</x:f>
      </x:c>
      <x:c r="I85" s="106" t="str">
        <x:f t="shared" si="25"/>
      </x:c>
      <x:c r="J85" s="108" t="str">
        <x:f t="shared" si="26"/>
      </x:c>
      <x:c r="K85" s="109" t="str">
        <x:f t="shared" si="27"/>
      </x:c>
      <x:c r="L85" s="110" t="str">
        <x:f t="array" ref="L85">IF(C85&lt;&gt;"",_xlfn.IFS(L$10="TLA",RECORD!GY87,N$10="LECTURE","",TRUE(),""),"")</x:f>
      </x:c>
      <x:c r="M85" s="105" t="str">
        <x:f t="shared" si="28"/>
      </x:c>
      <x:c r="N85" s="104" t="str">
        <x:f t="array" ref="N85">IF(C85&lt;&gt;"",_xlfn.IFS(N$10="AT",RECORD!GS87,N$10="LECTURE",AX85,TRUE(),""),"")</x:f>
      </x:c>
      <x:c r="O85" s="106" t="str">
        <x:f t="shared" si="29"/>
      </x:c>
      <x:c r="P85" s="107" t="str">
        <x:f t="array" ref="P85">IF(C85&lt;&gt;"",_xlfn.IFS(P$10="EXAM",RECORD!GT87,P$10="OUTPUT",RECORD!GU87,P$10="LAB",BX85,TRUE(),""),"")</x:f>
      </x:c>
      <x:c r="Q85" s="106" t="str">
        <x:f t="shared" si="30"/>
      </x:c>
      <x:c r="R85" s="108" t="str">
        <x:f t="shared" si="31"/>
      </x:c>
      <x:c r="S85" s="109" t="str">
        <x:f t="shared" si="32"/>
      </x:c>
      <x:c r="T85" s="110" t="str">
        <x:f t="array" ref="T85">IF(C85&lt;&gt;"",_xlfn.IFS(T$10="TLA",RECORD!HI87,V$10="LECTURE","",TRUE(),""),"")</x:f>
      </x:c>
      <x:c r="U85" s="105" t="str">
        <x:f t="shared" si="33"/>
      </x:c>
      <x:c r="V85" s="104" t="str">
        <x:f t="array" ref="V85">IF(C85&lt;&gt;"",_xlfn.IFS(V$10="AT",RECORD!HC87,V$10="LECTURE",BF85,TRUE(),""),"")</x:f>
      </x:c>
      <x:c r="W85" s="106" t="str">
        <x:f t="shared" si="34"/>
      </x:c>
      <x:c r="X85" s="107" t="str">
        <x:f t="array" ref="X85">IF(C85&lt;&gt;"",_xlfn.IFS(X$10="EXAM",RECORD!HD87,X$10="OUTPUT",RECORD!HE87,X$10="LAB",CF85,TRUE(),""),"")</x:f>
      </x:c>
      <x:c r="Y85" s="106" t="str">
        <x:f t="shared" si="35"/>
      </x:c>
      <x:c r="Z85" s="108" t="str">
        <x:f t="shared" si="36"/>
      </x:c>
      <x:c r="AA85" s="109" t="str">
        <x:f t="shared" si="37"/>
      </x:c>
      <x:c r="AB85" s="111" t="str">
        <x:f t="shared" si="38"/>
      </x:c>
      <x:c r="AC85" s="109" t="str">
        <x:f t="shared" si="39"/>
      </x:c>
      <x:c r="AD85" s="112"/>
      <x:c r="AE85" s="102"/>
      <x:c r="AF85" s="113"/>
      <x:c r="AG85" s="112"/>
      <x:c r="AH85" s="103"/>
      <x:c r="AI85" s="114"/>
      <x:c r="AJ85" s="102"/>
      <x:c r="AK85" s="102"/>
      <x:c r="AL85" s="102"/>
      <x:c r="AM85" s="102"/>
      <x:c r="AN85" s="102"/>
      <x:c r="AO85" s="102"/>
      <x:c r="AP85" s="102"/>
      <x:c r="AQ85" s="109" t="str">
        <x:f t="shared" si="40"/>
        <x:v>FAILED</x:v>
      </x:c>
      <x:c r="AR85" s="115"/>
      <x:c r="AS85" s="115"/>
      <x:c r="AT85" s="107"/>
      <x:c r="AU85" s="107"/>
      <x:c r="AV85" s="107"/>
      <x:c r="AW85" s="107"/>
      <x:c r="AX85" s="107"/>
      <x:c r="AY85" s="109" t="str">
        <x:f t="shared" si="41"/>
        <x:v>FAILED</x:v>
      </x:c>
      <x:c r="AZ85" s="115"/>
      <x:c r="BA85" s="115"/>
      <x:c r="BB85" s="107"/>
      <x:c r="BC85" s="107"/>
      <x:c r="BD85" s="107"/>
      <x:c r="BE85" s="107"/>
      <x:c r="BF85" s="107"/>
      <x:c r="BG85" s="109" t="str">
        <x:f t="shared" si="42"/>
        <x:v>FAILED</x:v>
      </x:c>
      <x:c r="BH85" s="117"/>
      <x:c r="BI85" s="102"/>
      <x:c r="BJ85" s="102"/>
      <x:c r="BK85" s="102"/>
      <x:c r="BL85" s="102"/>
      <x:c r="BM85" s="102"/>
      <x:c r="BN85" s="102"/>
      <x:c r="BO85" s="102"/>
      <x:c r="BP85" s="102"/>
      <x:c r="BQ85" s="109" t="str">
        <x:f t="shared" si="43"/>
        <x:v>FAILED</x:v>
      </x:c>
      <x:c r="BR85" s="115"/>
      <x:c r="BS85" s="115"/>
      <x:c r="BT85" s="107"/>
      <x:c r="BU85" s="107"/>
      <x:c r="BV85" s="107"/>
      <x:c r="BW85" s="107"/>
      <x:c r="BX85" s="107"/>
      <x:c r="BY85" s="109" t="str">
        <x:f t="shared" si="44"/>
        <x:v>FAILED</x:v>
      </x:c>
      <x:c r="BZ85" s="115"/>
      <x:c r="CA85" s="115"/>
      <x:c r="CB85" s="107"/>
      <x:c r="CC85" s="107"/>
      <x:c r="CD85" s="107"/>
      <x:c r="CE85" s="107"/>
      <x:c r="CF85" s="107"/>
      <x:c r="CG85" s="109" t="str">
        <x:f t="shared" si="45"/>
        <x:v>FAILED</x:v>
      </x:c>
      <x:c r="CH85" s="117"/>
    </x:row>
    <x:row r="86">
      <x:c r="A86" s="102" t="str">
        <x:f>IF(RECORD!A88="","",RECORD!A88)</x:f>
      </x:c>
      <x:c r="B86" s="102" t="str">
        <x:f>IF(RECORD!B88="","",RECORD!B88)</x:f>
      </x:c>
      <x:c r="C86" s="103" t="str">
        <x:f>IF(RECORD!C88="","",RECORD!C88)</x:f>
      </x:c>
      <x:c r="D86" s="104" t="str">
        <x:f t="array" ref="D86">IF(C86&lt;&gt;"",IF(F$7="SUMMER","N/A",_xlfn.IFS(D$10="TLA",RECORD!GO88,F$10="LECTURE","",TRUE(),"")),"")</x:f>
      </x:c>
      <x:c r="E86" s="105" t="str">
        <x:f t="shared" si="23"/>
      </x:c>
      <x:c r="F86" s="104" t="str">
        <x:f t="array" ref="F86">IF(C86&lt;&gt;"",IF(F$7="SUMMER","N/A",_xlfn.IFS(F$10="AT",RECORD!GI88,F$10="LECTURE",GRADES!AP86,TRUE(),"")),"")</x:f>
      </x:c>
      <x:c r="G86" s="106" t="str">
        <x:f t="shared" si="24"/>
      </x:c>
      <x:c r="H86" s="107" t="str">
        <x:f t="array" ref="H86">IF(C86&lt;&gt;"",IF(F$7="SUMMER","N/A",_xlfn.IFS(H$10="EXAM",RECORD!GJ88,H$10="OUTPUT",RECORD!GK88,H$10="LAB",BP86,TRUE(),"")),"")</x:f>
      </x:c>
      <x:c r="I86" s="106" t="str">
        <x:f t="shared" si="25"/>
      </x:c>
      <x:c r="J86" s="108" t="str">
        <x:f t="shared" si="26"/>
      </x:c>
      <x:c r="K86" s="109" t="str">
        <x:f t="shared" si="27"/>
      </x:c>
      <x:c r="L86" s="110" t="str">
        <x:f t="array" ref="L86">IF(C86&lt;&gt;"",_xlfn.IFS(L$10="TLA",RECORD!GY88,N$10="LECTURE","",TRUE(),""),"")</x:f>
      </x:c>
      <x:c r="M86" s="105" t="str">
        <x:f t="shared" si="28"/>
      </x:c>
      <x:c r="N86" s="104" t="str">
        <x:f t="array" ref="N86">IF(C86&lt;&gt;"",_xlfn.IFS(N$10="AT",RECORD!GS88,N$10="LECTURE",AX86,TRUE(),""),"")</x:f>
      </x:c>
      <x:c r="O86" s="106" t="str">
        <x:f t="shared" si="29"/>
      </x:c>
      <x:c r="P86" s="107" t="str">
        <x:f t="array" ref="P86">IF(C86&lt;&gt;"",_xlfn.IFS(P$10="EXAM",RECORD!GT88,P$10="OUTPUT",RECORD!GU88,P$10="LAB",BX86,TRUE(),""),"")</x:f>
      </x:c>
      <x:c r="Q86" s="106" t="str">
        <x:f t="shared" si="30"/>
      </x:c>
      <x:c r="R86" s="108" t="str">
        <x:f t="shared" si="31"/>
      </x:c>
      <x:c r="S86" s="109" t="str">
        <x:f t="shared" si="32"/>
      </x:c>
      <x:c r="T86" s="110" t="str">
        <x:f t="array" ref="T86">IF(C86&lt;&gt;"",_xlfn.IFS(T$10="TLA",RECORD!HI88,V$10="LECTURE","",TRUE(),""),"")</x:f>
      </x:c>
      <x:c r="U86" s="105" t="str">
        <x:f t="shared" si="33"/>
      </x:c>
      <x:c r="V86" s="104" t="str">
        <x:f t="array" ref="V86">IF(C86&lt;&gt;"",_xlfn.IFS(V$10="AT",RECORD!HC88,V$10="LECTURE",BF86,TRUE(),""),"")</x:f>
      </x:c>
      <x:c r="W86" s="106" t="str">
        <x:f t="shared" si="34"/>
      </x:c>
      <x:c r="X86" s="107" t="str">
        <x:f t="array" ref="X86">IF(C86&lt;&gt;"",_xlfn.IFS(X$10="EXAM",RECORD!HD88,X$10="OUTPUT",RECORD!HE88,X$10="LAB",CF86,TRUE(),""),"")</x:f>
      </x:c>
      <x:c r="Y86" s="106" t="str">
        <x:f t="shared" si="35"/>
      </x:c>
      <x:c r="Z86" s="108" t="str">
        <x:f t="shared" si="36"/>
      </x:c>
      <x:c r="AA86" s="109" t="str">
        <x:f t="shared" si="37"/>
      </x:c>
      <x:c r="AB86" s="111" t="str">
        <x:f t="shared" si="38"/>
      </x:c>
      <x:c r="AC86" s="109" t="str">
        <x:f t="shared" si="39"/>
      </x:c>
      <x:c r="AD86" s="112"/>
      <x:c r="AE86" s="102"/>
      <x:c r="AF86" s="113"/>
      <x:c r="AG86" s="112"/>
      <x:c r="AH86" s="103"/>
      <x:c r="AI86" s="114"/>
      <x:c r="AJ86" s="102"/>
      <x:c r="AK86" s="102"/>
      <x:c r="AL86" s="102"/>
      <x:c r="AM86" s="102"/>
      <x:c r="AN86" s="102"/>
      <x:c r="AO86" s="102"/>
      <x:c r="AP86" s="102"/>
      <x:c r="AQ86" s="109" t="str">
        <x:f t="shared" si="40"/>
        <x:v>FAILED</x:v>
      </x:c>
      <x:c r="AR86" s="115"/>
      <x:c r="AS86" s="115"/>
      <x:c r="AT86" s="107"/>
      <x:c r="AU86" s="107"/>
      <x:c r="AV86" s="107"/>
      <x:c r="AW86" s="107"/>
      <x:c r="AX86" s="107"/>
      <x:c r="AY86" s="109" t="str">
        <x:f t="shared" si="41"/>
        <x:v>FAILED</x:v>
      </x:c>
      <x:c r="AZ86" s="115"/>
      <x:c r="BA86" s="115"/>
      <x:c r="BB86" s="107"/>
      <x:c r="BC86" s="107"/>
      <x:c r="BD86" s="107"/>
      <x:c r="BE86" s="107"/>
      <x:c r="BF86" s="107"/>
      <x:c r="BG86" s="109" t="str">
        <x:f t="shared" si="42"/>
        <x:v>FAILED</x:v>
      </x:c>
      <x:c r="BH86" s="117"/>
      <x:c r="BI86" s="102"/>
      <x:c r="BJ86" s="102"/>
      <x:c r="BK86" s="102"/>
      <x:c r="BL86" s="102"/>
      <x:c r="BM86" s="102"/>
      <x:c r="BN86" s="102"/>
      <x:c r="BO86" s="102"/>
      <x:c r="BP86" s="102"/>
      <x:c r="BQ86" s="109" t="str">
        <x:f t="shared" si="43"/>
        <x:v>FAILED</x:v>
      </x:c>
      <x:c r="BR86" s="115"/>
      <x:c r="BS86" s="115"/>
      <x:c r="BT86" s="107"/>
      <x:c r="BU86" s="107"/>
      <x:c r="BV86" s="107"/>
      <x:c r="BW86" s="107"/>
      <x:c r="BX86" s="107"/>
      <x:c r="BY86" s="109" t="str">
        <x:f t="shared" si="44"/>
        <x:v>FAILED</x:v>
      </x:c>
      <x:c r="BZ86" s="115"/>
      <x:c r="CA86" s="115"/>
      <x:c r="CB86" s="107"/>
      <x:c r="CC86" s="107"/>
      <x:c r="CD86" s="107"/>
      <x:c r="CE86" s="107"/>
      <x:c r="CF86" s="107"/>
      <x:c r="CG86" s="109" t="str">
        <x:f t="shared" si="45"/>
        <x:v>FAILED</x:v>
      </x:c>
      <x:c r="CH86" s="117"/>
    </x:row>
    <x:row r="87">
      <x:c r="A87" s="102" t="str">
        <x:f>IF(RECORD!A89="","",RECORD!A89)</x:f>
      </x:c>
      <x:c r="B87" s="102" t="str">
        <x:f>IF(RECORD!B89="","",RECORD!B89)</x:f>
      </x:c>
      <x:c r="C87" s="103" t="str">
        <x:f>IF(RECORD!C89="","",RECORD!C89)</x:f>
      </x:c>
      <x:c r="D87" s="104" t="str">
        <x:f t="array" ref="D87">IF(C87&lt;&gt;"",IF(F$7="SUMMER","N/A",_xlfn.IFS(D$10="TLA",RECORD!GO89,F$10="LECTURE","",TRUE(),"")),"")</x:f>
      </x:c>
      <x:c r="E87" s="105" t="str">
        <x:f t="shared" si="23"/>
      </x:c>
      <x:c r="F87" s="104" t="str">
        <x:f t="array" ref="F87">IF(C87&lt;&gt;"",IF(F$7="SUMMER","N/A",_xlfn.IFS(F$10="AT",RECORD!GI89,F$10="LECTURE",GRADES!AP87,TRUE(),"")),"")</x:f>
      </x:c>
      <x:c r="G87" s="106" t="str">
        <x:f t="shared" si="24"/>
      </x:c>
      <x:c r="H87" s="107" t="str">
        <x:f t="array" ref="H87">IF(C87&lt;&gt;"",IF(F$7="SUMMER","N/A",_xlfn.IFS(H$10="EXAM",RECORD!GJ89,H$10="OUTPUT",RECORD!GK89,H$10="LAB",BP87,TRUE(),"")),"")</x:f>
      </x:c>
      <x:c r="I87" s="106" t="str">
        <x:f t="shared" si="25"/>
      </x:c>
      <x:c r="J87" s="108" t="str">
        <x:f t="shared" si="26"/>
      </x:c>
      <x:c r="K87" s="109" t="str">
        <x:f t="shared" si="27"/>
      </x:c>
      <x:c r="L87" s="110" t="str">
        <x:f t="array" ref="L87">IF(C87&lt;&gt;"",_xlfn.IFS(L$10="TLA",RECORD!GY89,N$10="LECTURE","",TRUE(),""),"")</x:f>
      </x:c>
      <x:c r="M87" s="105" t="str">
        <x:f t="shared" si="28"/>
      </x:c>
      <x:c r="N87" s="104" t="str">
        <x:f t="array" ref="N87">IF(C87&lt;&gt;"",_xlfn.IFS(N$10="AT",RECORD!GS89,N$10="LECTURE",AX87,TRUE(),""),"")</x:f>
      </x:c>
      <x:c r="O87" s="106" t="str">
        <x:f t="shared" si="29"/>
      </x:c>
      <x:c r="P87" s="107" t="str">
        <x:f t="array" ref="P87">IF(C87&lt;&gt;"",_xlfn.IFS(P$10="EXAM",RECORD!GT89,P$10="OUTPUT",RECORD!GU89,P$10="LAB",BX87,TRUE(),""),"")</x:f>
      </x:c>
      <x:c r="Q87" s="106" t="str">
        <x:f t="shared" si="30"/>
      </x:c>
      <x:c r="R87" s="108" t="str">
        <x:f t="shared" si="31"/>
      </x:c>
      <x:c r="S87" s="109" t="str">
        <x:f t="shared" si="32"/>
      </x:c>
      <x:c r="T87" s="110" t="str">
        <x:f t="array" ref="T87">IF(C87&lt;&gt;"",_xlfn.IFS(T$10="TLA",RECORD!HI89,V$10="LECTURE","",TRUE(),""),"")</x:f>
      </x:c>
      <x:c r="U87" s="105" t="str">
        <x:f t="shared" si="33"/>
      </x:c>
      <x:c r="V87" s="104" t="str">
        <x:f t="array" ref="V87">IF(C87&lt;&gt;"",_xlfn.IFS(V$10="AT",RECORD!HC89,V$10="LECTURE",BF87,TRUE(),""),"")</x:f>
      </x:c>
      <x:c r="W87" s="106" t="str">
        <x:f t="shared" si="34"/>
      </x:c>
      <x:c r="X87" s="107" t="str">
        <x:f t="array" ref="X87">IF(C87&lt;&gt;"",_xlfn.IFS(X$10="EXAM",RECORD!HD89,X$10="OUTPUT",RECORD!HE89,X$10="LAB",CF87,TRUE(),""),"")</x:f>
      </x:c>
      <x:c r="Y87" s="106" t="str">
        <x:f t="shared" si="35"/>
      </x:c>
      <x:c r="Z87" s="108" t="str">
        <x:f t="shared" si="36"/>
      </x:c>
      <x:c r="AA87" s="109" t="str">
        <x:f t="shared" si="37"/>
      </x:c>
      <x:c r="AB87" s="111" t="str">
        <x:f t="shared" si="38"/>
      </x:c>
      <x:c r="AC87" s="109" t="str">
        <x:f t="shared" si="39"/>
      </x:c>
      <x:c r="AD87" s="112"/>
      <x:c r="AE87" s="102"/>
      <x:c r="AF87" s="113"/>
      <x:c r="AG87" s="112"/>
      <x:c r="AH87" s="103"/>
      <x:c r="AI87" s="114"/>
      <x:c r="AJ87" s="102"/>
      <x:c r="AK87" s="102"/>
      <x:c r="AL87" s="102"/>
      <x:c r="AM87" s="102"/>
      <x:c r="AN87" s="102"/>
      <x:c r="AO87" s="102"/>
      <x:c r="AP87" s="102"/>
      <x:c r="AQ87" s="109" t="str">
        <x:f t="shared" si="40"/>
        <x:v>FAILED</x:v>
      </x:c>
      <x:c r="AR87" s="115"/>
      <x:c r="AS87" s="115"/>
      <x:c r="AT87" s="107"/>
      <x:c r="AU87" s="107"/>
      <x:c r="AV87" s="107"/>
      <x:c r="AW87" s="107"/>
      <x:c r="AX87" s="107"/>
      <x:c r="AY87" s="109" t="str">
        <x:f t="shared" si="41"/>
        <x:v>FAILED</x:v>
      </x:c>
      <x:c r="AZ87" s="115"/>
      <x:c r="BA87" s="115"/>
      <x:c r="BB87" s="107"/>
      <x:c r="BC87" s="107"/>
      <x:c r="BD87" s="107"/>
      <x:c r="BE87" s="107"/>
      <x:c r="BF87" s="107"/>
      <x:c r="BG87" s="109" t="str">
        <x:f t="shared" si="42"/>
        <x:v>FAILED</x:v>
      </x:c>
      <x:c r="BH87" s="117"/>
      <x:c r="BI87" s="102"/>
      <x:c r="BJ87" s="102"/>
      <x:c r="BK87" s="102"/>
      <x:c r="BL87" s="102"/>
      <x:c r="BM87" s="102"/>
      <x:c r="BN87" s="102"/>
      <x:c r="BO87" s="102"/>
      <x:c r="BP87" s="102"/>
      <x:c r="BQ87" s="109" t="str">
        <x:f t="shared" si="43"/>
        <x:v>FAILED</x:v>
      </x:c>
      <x:c r="BR87" s="115"/>
      <x:c r="BS87" s="115"/>
      <x:c r="BT87" s="107"/>
      <x:c r="BU87" s="107"/>
      <x:c r="BV87" s="107"/>
      <x:c r="BW87" s="107"/>
      <x:c r="BX87" s="107"/>
      <x:c r="BY87" s="109" t="str">
        <x:f t="shared" si="44"/>
        <x:v>FAILED</x:v>
      </x:c>
      <x:c r="BZ87" s="115"/>
      <x:c r="CA87" s="115"/>
      <x:c r="CB87" s="107"/>
      <x:c r="CC87" s="107"/>
      <x:c r="CD87" s="107"/>
      <x:c r="CE87" s="107"/>
      <x:c r="CF87" s="107"/>
      <x:c r="CG87" s="109" t="str">
        <x:f t="shared" si="45"/>
        <x:v>FAILED</x:v>
      </x:c>
      <x:c r="CH87" s="117"/>
    </x:row>
    <x:row r="88">
      <x:c r="A88" s="102" t="str">
        <x:f>IF(RECORD!A90="","",RECORD!A90)</x:f>
      </x:c>
      <x:c r="B88" s="102" t="str">
        <x:f>IF(RECORD!B90="","",RECORD!B90)</x:f>
      </x:c>
      <x:c r="C88" s="103" t="str">
        <x:f>IF(RECORD!C90="","",RECORD!C90)</x:f>
      </x:c>
      <x:c r="D88" s="104" t="str">
        <x:f t="array" ref="D88">IF(C88&lt;&gt;"",IF(F$7="SUMMER","N/A",_xlfn.IFS(D$10="TLA",RECORD!GO90,F$10="LECTURE","",TRUE(),"")),"")</x:f>
      </x:c>
      <x:c r="E88" s="105" t="str">
        <x:f t="shared" si="23"/>
      </x:c>
      <x:c r="F88" s="104" t="str">
        <x:f t="array" ref="F88">IF(C88&lt;&gt;"",IF(F$7="SUMMER","N/A",_xlfn.IFS(F$10="AT",RECORD!GI90,F$10="LECTURE",GRADES!AP88,TRUE(),"")),"")</x:f>
      </x:c>
      <x:c r="G88" s="106" t="str">
        <x:f t="shared" si="24"/>
      </x:c>
      <x:c r="H88" s="107" t="str">
        <x:f t="array" ref="H88">IF(C88&lt;&gt;"",IF(F$7="SUMMER","N/A",_xlfn.IFS(H$10="EXAM",RECORD!GJ90,H$10="OUTPUT",RECORD!GK90,H$10="LAB",BP88,TRUE(),"")),"")</x:f>
      </x:c>
      <x:c r="I88" s="106" t="str">
        <x:f t="shared" si="25"/>
      </x:c>
      <x:c r="J88" s="108" t="str">
        <x:f t="shared" si="26"/>
      </x:c>
      <x:c r="K88" s="109" t="str">
        <x:f t="shared" si="27"/>
      </x:c>
      <x:c r="L88" s="110" t="str">
        <x:f t="array" ref="L88">IF(C88&lt;&gt;"",_xlfn.IFS(L$10="TLA",RECORD!GY90,N$10="LECTURE","",TRUE(),""),"")</x:f>
      </x:c>
      <x:c r="M88" s="105" t="str">
        <x:f t="shared" si="28"/>
      </x:c>
      <x:c r="N88" s="104" t="str">
        <x:f t="array" ref="N88">IF(C88&lt;&gt;"",_xlfn.IFS(N$10="AT",RECORD!GS90,N$10="LECTURE",AX88,TRUE(),""),"")</x:f>
      </x:c>
      <x:c r="O88" s="106" t="str">
        <x:f t="shared" si="29"/>
      </x:c>
      <x:c r="P88" s="107" t="str">
        <x:f t="array" ref="P88">IF(C88&lt;&gt;"",_xlfn.IFS(P$10="EXAM",RECORD!GT90,P$10="OUTPUT",RECORD!GU90,P$10="LAB",BX88,TRUE(),""),"")</x:f>
      </x:c>
      <x:c r="Q88" s="106" t="str">
        <x:f t="shared" si="30"/>
      </x:c>
      <x:c r="R88" s="108" t="str">
        <x:f t="shared" si="31"/>
      </x:c>
      <x:c r="S88" s="109" t="str">
        <x:f t="shared" si="32"/>
      </x:c>
      <x:c r="T88" s="110" t="str">
        <x:f t="array" ref="T88">IF(C88&lt;&gt;"",_xlfn.IFS(T$10="TLA",RECORD!HI90,V$10="LECTURE","",TRUE(),""),"")</x:f>
      </x:c>
      <x:c r="U88" s="105" t="str">
        <x:f t="shared" si="33"/>
      </x:c>
      <x:c r="V88" s="104" t="str">
        <x:f t="array" ref="V88">IF(C88&lt;&gt;"",_xlfn.IFS(V$10="AT",RECORD!HC90,V$10="LECTURE",BF88,TRUE(),""),"")</x:f>
      </x:c>
      <x:c r="W88" s="106" t="str">
        <x:f t="shared" si="34"/>
      </x:c>
      <x:c r="X88" s="107" t="str">
        <x:f t="array" ref="X88">IF(C88&lt;&gt;"",_xlfn.IFS(X$10="EXAM",RECORD!HD90,X$10="OUTPUT",RECORD!HE90,X$10="LAB",CF88,TRUE(),""),"")</x:f>
      </x:c>
      <x:c r="Y88" s="106" t="str">
        <x:f t="shared" si="35"/>
      </x:c>
      <x:c r="Z88" s="108" t="str">
        <x:f t="shared" si="36"/>
      </x:c>
      <x:c r="AA88" s="109" t="str">
        <x:f t="shared" si="37"/>
      </x:c>
      <x:c r="AB88" s="111" t="str">
        <x:f t="shared" si="38"/>
      </x:c>
      <x:c r="AC88" s="109" t="str">
        <x:f t="shared" si="39"/>
      </x:c>
      <x:c r="AD88" s="112"/>
      <x:c r="AE88" s="102"/>
      <x:c r="AF88" s="113"/>
      <x:c r="AG88" s="112"/>
      <x:c r="AH88" s="103"/>
      <x:c r="AI88" s="114"/>
      <x:c r="AJ88" s="102"/>
      <x:c r="AK88" s="102"/>
      <x:c r="AL88" s="102"/>
      <x:c r="AM88" s="102"/>
      <x:c r="AN88" s="102"/>
      <x:c r="AO88" s="102"/>
      <x:c r="AP88" s="102"/>
      <x:c r="AQ88" s="109" t="str">
        <x:f t="shared" si="40"/>
        <x:v>FAILED</x:v>
      </x:c>
      <x:c r="AR88" s="115"/>
      <x:c r="AS88" s="115"/>
      <x:c r="AT88" s="107"/>
      <x:c r="AU88" s="107"/>
      <x:c r="AV88" s="107"/>
      <x:c r="AW88" s="107"/>
      <x:c r="AX88" s="107"/>
      <x:c r="AY88" s="109" t="str">
        <x:f t="shared" si="41"/>
        <x:v>FAILED</x:v>
      </x:c>
      <x:c r="AZ88" s="115"/>
      <x:c r="BA88" s="115"/>
      <x:c r="BB88" s="107"/>
      <x:c r="BC88" s="107"/>
      <x:c r="BD88" s="107"/>
      <x:c r="BE88" s="107"/>
      <x:c r="BF88" s="107"/>
      <x:c r="BG88" s="109" t="str">
        <x:f t="shared" si="42"/>
        <x:v>FAILED</x:v>
      </x:c>
      <x:c r="BH88" s="117"/>
      <x:c r="BI88" s="102"/>
      <x:c r="BJ88" s="102"/>
      <x:c r="BK88" s="102"/>
      <x:c r="BL88" s="102"/>
      <x:c r="BM88" s="102"/>
      <x:c r="BN88" s="102"/>
      <x:c r="BO88" s="102"/>
      <x:c r="BP88" s="102"/>
      <x:c r="BQ88" s="109" t="str">
        <x:f t="shared" si="43"/>
        <x:v>FAILED</x:v>
      </x:c>
      <x:c r="BR88" s="115"/>
      <x:c r="BS88" s="115"/>
      <x:c r="BT88" s="107"/>
      <x:c r="BU88" s="107"/>
      <x:c r="BV88" s="107"/>
      <x:c r="BW88" s="107"/>
      <x:c r="BX88" s="107"/>
      <x:c r="BY88" s="109" t="str">
        <x:f t="shared" si="44"/>
        <x:v>FAILED</x:v>
      </x:c>
      <x:c r="BZ88" s="115"/>
      <x:c r="CA88" s="115"/>
      <x:c r="CB88" s="107"/>
      <x:c r="CC88" s="107"/>
      <x:c r="CD88" s="107"/>
      <x:c r="CE88" s="107"/>
      <x:c r="CF88" s="107"/>
      <x:c r="CG88" s="109" t="str">
        <x:f t="shared" si="45"/>
        <x:v>FAILED</x:v>
      </x:c>
      <x:c r="CH88" s="117"/>
    </x:row>
    <x:row r="89">
      <x:c r="A89" s="102" t="str">
        <x:f>IF(RECORD!A91="","",RECORD!A91)</x:f>
      </x:c>
      <x:c r="B89" s="102" t="str">
        <x:f>IF(RECORD!B91="","",RECORD!B91)</x:f>
      </x:c>
      <x:c r="C89" s="103" t="str">
        <x:f>IF(RECORD!C91="","",RECORD!C91)</x:f>
      </x:c>
      <x:c r="D89" s="104" t="str">
        <x:f t="array" ref="D89">IF(C89&lt;&gt;"",IF(F$7="SUMMER","N/A",_xlfn.IFS(D$10="TLA",RECORD!GO91,F$10="LECTURE","",TRUE(),"")),"")</x:f>
      </x:c>
      <x:c r="E89" s="105" t="str">
        <x:f t="shared" si="23"/>
      </x:c>
      <x:c r="F89" s="104" t="str">
        <x:f t="array" ref="F89">IF(C89&lt;&gt;"",IF(F$7="SUMMER","N/A",_xlfn.IFS(F$10="AT",RECORD!GI91,F$10="LECTURE",GRADES!AP89,TRUE(),"")),"")</x:f>
      </x:c>
      <x:c r="G89" s="106" t="str">
        <x:f t="shared" si="24"/>
      </x:c>
      <x:c r="H89" s="107" t="str">
        <x:f t="array" ref="H89">IF(C89&lt;&gt;"",IF(F$7="SUMMER","N/A",_xlfn.IFS(H$10="EXAM",RECORD!GJ91,H$10="OUTPUT",RECORD!GK91,H$10="LAB",BP89,TRUE(),"")),"")</x:f>
      </x:c>
      <x:c r="I89" s="106" t="str">
        <x:f t="shared" si="25"/>
      </x:c>
      <x:c r="J89" s="108" t="str">
        <x:f t="shared" si="26"/>
      </x:c>
      <x:c r="K89" s="109" t="str">
        <x:f t="shared" si="27"/>
      </x:c>
      <x:c r="L89" s="110" t="str">
        <x:f t="array" ref="L89">IF(C89&lt;&gt;"",_xlfn.IFS(L$10="TLA",RECORD!GY91,N$10="LECTURE","",TRUE(),""),"")</x:f>
      </x:c>
      <x:c r="M89" s="105" t="str">
        <x:f t="shared" si="28"/>
      </x:c>
      <x:c r="N89" s="104" t="str">
        <x:f t="array" ref="N89">IF(C89&lt;&gt;"",_xlfn.IFS(N$10="AT",RECORD!GS91,N$10="LECTURE",AX89,TRUE(),""),"")</x:f>
      </x:c>
      <x:c r="O89" s="106" t="str">
        <x:f t="shared" si="29"/>
      </x:c>
      <x:c r="P89" s="107" t="str">
        <x:f t="array" ref="P89">IF(C89&lt;&gt;"",_xlfn.IFS(P$10="EXAM",RECORD!GT91,P$10="OUTPUT",RECORD!GU91,P$10="LAB",BX89,TRUE(),""),"")</x:f>
      </x:c>
      <x:c r="Q89" s="106" t="str">
        <x:f t="shared" si="30"/>
      </x:c>
      <x:c r="R89" s="108" t="str">
        <x:f t="shared" si="31"/>
      </x:c>
      <x:c r="S89" s="109" t="str">
        <x:f t="shared" si="32"/>
      </x:c>
      <x:c r="T89" s="110" t="str">
        <x:f t="array" ref="T89">IF(C89&lt;&gt;"",_xlfn.IFS(T$10="TLA",RECORD!HI91,V$10="LECTURE","",TRUE(),""),"")</x:f>
      </x:c>
      <x:c r="U89" s="105" t="str">
        <x:f t="shared" si="33"/>
      </x:c>
      <x:c r="V89" s="104" t="str">
        <x:f t="array" ref="V89">IF(C89&lt;&gt;"",_xlfn.IFS(V$10="AT",RECORD!HC91,V$10="LECTURE",BF89,TRUE(),""),"")</x:f>
      </x:c>
      <x:c r="W89" s="106" t="str">
        <x:f t="shared" si="34"/>
      </x:c>
      <x:c r="X89" s="107" t="str">
        <x:f t="array" ref="X89">IF(C89&lt;&gt;"",_xlfn.IFS(X$10="EXAM",RECORD!HD91,X$10="OUTPUT",RECORD!HE91,X$10="LAB",CF89,TRUE(),""),"")</x:f>
      </x:c>
      <x:c r="Y89" s="106" t="str">
        <x:f t="shared" si="35"/>
      </x:c>
      <x:c r="Z89" s="108" t="str">
        <x:f t="shared" si="36"/>
      </x:c>
      <x:c r="AA89" s="109" t="str">
        <x:f t="shared" si="37"/>
      </x:c>
      <x:c r="AB89" s="111" t="str">
        <x:f t="shared" si="38"/>
      </x:c>
      <x:c r="AC89" s="109" t="str">
        <x:f t="shared" si="39"/>
      </x:c>
      <x:c r="AD89" s="112"/>
      <x:c r="AE89" s="102"/>
      <x:c r="AF89" s="113"/>
      <x:c r="AG89" s="112"/>
      <x:c r="AH89" s="103"/>
      <x:c r="AI89" s="114"/>
      <x:c r="AJ89" s="102"/>
      <x:c r="AK89" s="102"/>
      <x:c r="AL89" s="102"/>
      <x:c r="AM89" s="102"/>
      <x:c r="AN89" s="102"/>
      <x:c r="AO89" s="102"/>
      <x:c r="AP89" s="102"/>
      <x:c r="AQ89" s="109" t="str">
        <x:f t="shared" si="40"/>
        <x:v>FAILED</x:v>
      </x:c>
      <x:c r="AR89" s="115"/>
      <x:c r="AS89" s="115"/>
      <x:c r="AT89" s="107"/>
      <x:c r="AU89" s="107"/>
      <x:c r="AV89" s="107"/>
      <x:c r="AW89" s="107"/>
      <x:c r="AX89" s="107"/>
      <x:c r="AY89" s="109" t="str">
        <x:f t="shared" si="41"/>
        <x:v>FAILED</x:v>
      </x:c>
      <x:c r="AZ89" s="115"/>
      <x:c r="BA89" s="115"/>
      <x:c r="BB89" s="107"/>
      <x:c r="BC89" s="107"/>
      <x:c r="BD89" s="107"/>
      <x:c r="BE89" s="107"/>
      <x:c r="BF89" s="107"/>
      <x:c r="BG89" s="109" t="str">
        <x:f t="shared" si="42"/>
        <x:v>FAILED</x:v>
      </x:c>
      <x:c r="BH89" s="117"/>
      <x:c r="BI89" s="102"/>
      <x:c r="BJ89" s="102"/>
      <x:c r="BK89" s="102"/>
      <x:c r="BL89" s="102"/>
      <x:c r="BM89" s="102"/>
      <x:c r="BN89" s="102"/>
      <x:c r="BO89" s="102"/>
      <x:c r="BP89" s="102"/>
      <x:c r="BQ89" s="109" t="str">
        <x:f t="shared" si="43"/>
        <x:v>FAILED</x:v>
      </x:c>
      <x:c r="BR89" s="115"/>
      <x:c r="BS89" s="115"/>
      <x:c r="BT89" s="107"/>
      <x:c r="BU89" s="107"/>
      <x:c r="BV89" s="107"/>
      <x:c r="BW89" s="107"/>
      <x:c r="BX89" s="107"/>
      <x:c r="BY89" s="109" t="str">
        <x:f t="shared" si="44"/>
        <x:v>FAILED</x:v>
      </x:c>
      <x:c r="BZ89" s="115"/>
      <x:c r="CA89" s="115"/>
      <x:c r="CB89" s="107"/>
      <x:c r="CC89" s="107"/>
      <x:c r="CD89" s="107"/>
      <x:c r="CE89" s="107"/>
      <x:c r="CF89" s="107"/>
      <x:c r="CG89" s="109" t="str">
        <x:f t="shared" si="45"/>
        <x:v>FAILED</x:v>
      </x:c>
      <x:c r="CH89" s="117"/>
    </x:row>
    <x:row r="90">
      <x:c r="A90" s="102" t="str">
        <x:f>IF(RECORD!A92="","",RECORD!A92)</x:f>
      </x:c>
      <x:c r="B90" s="102" t="str">
        <x:f>IF(RECORD!B92="","",RECORD!B92)</x:f>
      </x:c>
      <x:c r="C90" s="103" t="str">
        <x:f>IF(RECORD!C92="","",RECORD!C92)</x:f>
      </x:c>
      <x:c r="D90" s="104" t="str">
        <x:f t="array" ref="D90">IF(C90&lt;&gt;"",IF(F$7="SUMMER","N/A",_xlfn.IFS(D$10="TLA",RECORD!GO92,F$10="LECTURE","",TRUE(),"")),"")</x:f>
      </x:c>
      <x:c r="E90" s="105" t="str">
        <x:f t="shared" si="23"/>
      </x:c>
      <x:c r="F90" s="104" t="str">
        <x:f t="array" ref="F90">IF(C90&lt;&gt;"",IF(F$7="SUMMER","N/A",_xlfn.IFS(F$10="AT",RECORD!GI92,F$10="LECTURE",GRADES!AP90,TRUE(),"")),"")</x:f>
      </x:c>
      <x:c r="G90" s="106" t="str">
        <x:f t="shared" si="24"/>
      </x:c>
      <x:c r="H90" s="107" t="str">
        <x:f t="array" ref="H90">IF(C90&lt;&gt;"",IF(F$7="SUMMER","N/A",_xlfn.IFS(H$10="EXAM",RECORD!GJ92,H$10="OUTPUT",RECORD!GK92,H$10="LAB",BP90,TRUE(),"")),"")</x:f>
      </x:c>
      <x:c r="I90" s="106" t="str">
        <x:f t="shared" si="25"/>
      </x:c>
      <x:c r="J90" s="108" t="str">
        <x:f t="shared" si="26"/>
      </x:c>
      <x:c r="K90" s="109" t="str">
        <x:f t="shared" si="27"/>
      </x:c>
      <x:c r="L90" s="110" t="str">
        <x:f t="array" ref="L90">IF(C90&lt;&gt;"",_xlfn.IFS(L$10="TLA",RECORD!GY92,N$10="LECTURE","",TRUE(),""),"")</x:f>
      </x:c>
      <x:c r="M90" s="105" t="str">
        <x:f t="shared" si="28"/>
      </x:c>
      <x:c r="N90" s="104" t="str">
        <x:f t="array" ref="N90">IF(C90&lt;&gt;"",_xlfn.IFS(N$10="AT",RECORD!GS92,N$10="LECTURE",AX90,TRUE(),""),"")</x:f>
      </x:c>
      <x:c r="O90" s="106" t="str">
        <x:f t="shared" si="29"/>
      </x:c>
      <x:c r="P90" s="107" t="str">
        <x:f t="array" ref="P90">IF(C90&lt;&gt;"",_xlfn.IFS(P$10="EXAM",RECORD!GT92,P$10="OUTPUT",RECORD!GU92,P$10="LAB",BX90,TRUE(),""),"")</x:f>
      </x:c>
      <x:c r="Q90" s="106" t="str">
        <x:f t="shared" si="30"/>
      </x:c>
      <x:c r="R90" s="108" t="str">
        <x:f t="shared" si="31"/>
      </x:c>
      <x:c r="S90" s="109" t="str">
        <x:f t="shared" si="32"/>
      </x:c>
      <x:c r="T90" s="110" t="str">
        <x:f t="array" ref="T90">IF(C90&lt;&gt;"",_xlfn.IFS(T$10="TLA",RECORD!HI92,V$10="LECTURE","",TRUE(),""),"")</x:f>
      </x:c>
      <x:c r="U90" s="105" t="str">
        <x:f t="shared" si="33"/>
      </x:c>
      <x:c r="V90" s="104" t="str">
        <x:f t="array" ref="V90">IF(C90&lt;&gt;"",_xlfn.IFS(V$10="AT",RECORD!HC92,V$10="LECTURE",BF90,TRUE(),""),"")</x:f>
      </x:c>
      <x:c r="W90" s="106" t="str">
        <x:f t="shared" si="34"/>
      </x:c>
      <x:c r="X90" s="107" t="str">
        <x:f t="array" ref="X90">IF(C90&lt;&gt;"",_xlfn.IFS(X$10="EXAM",RECORD!HD92,X$10="OUTPUT",RECORD!HE92,X$10="LAB",CF90,TRUE(),""),"")</x:f>
      </x:c>
      <x:c r="Y90" s="106" t="str">
        <x:f t="shared" si="35"/>
      </x:c>
      <x:c r="Z90" s="108" t="str">
        <x:f t="shared" si="36"/>
      </x:c>
      <x:c r="AA90" s="109" t="str">
        <x:f t="shared" si="37"/>
      </x:c>
      <x:c r="AB90" s="111" t="str">
        <x:f t="shared" si="38"/>
      </x:c>
      <x:c r="AC90" s="109" t="str">
        <x:f t="shared" si="39"/>
      </x:c>
      <x:c r="AD90" s="112"/>
      <x:c r="AE90" s="102"/>
      <x:c r="AF90" s="113"/>
      <x:c r="AG90" s="112"/>
      <x:c r="AH90" s="103"/>
      <x:c r="AI90" s="114"/>
      <x:c r="AJ90" s="102"/>
      <x:c r="AK90" s="102"/>
      <x:c r="AL90" s="102"/>
      <x:c r="AM90" s="102"/>
      <x:c r="AN90" s="102"/>
      <x:c r="AO90" s="102"/>
      <x:c r="AP90" s="102"/>
      <x:c r="AQ90" s="109" t="str">
        <x:f t="shared" si="40"/>
        <x:v>FAILED</x:v>
      </x:c>
      <x:c r="AR90" s="115"/>
      <x:c r="AS90" s="115"/>
      <x:c r="AT90" s="107"/>
      <x:c r="AU90" s="107"/>
      <x:c r="AV90" s="107"/>
      <x:c r="AW90" s="107"/>
      <x:c r="AX90" s="107"/>
      <x:c r="AY90" s="109" t="str">
        <x:f t="shared" si="41"/>
        <x:v>FAILED</x:v>
      </x:c>
      <x:c r="AZ90" s="115"/>
      <x:c r="BA90" s="115"/>
      <x:c r="BB90" s="107"/>
      <x:c r="BC90" s="107"/>
      <x:c r="BD90" s="107"/>
      <x:c r="BE90" s="107"/>
      <x:c r="BF90" s="107"/>
      <x:c r="BG90" s="109" t="str">
        <x:f t="shared" si="42"/>
        <x:v>FAILED</x:v>
      </x:c>
      <x:c r="BH90" s="117"/>
      <x:c r="BI90" s="102"/>
      <x:c r="BJ90" s="102"/>
      <x:c r="BK90" s="102"/>
      <x:c r="BL90" s="102"/>
      <x:c r="BM90" s="102"/>
      <x:c r="BN90" s="102"/>
      <x:c r="BO90" s="102"/>
      <x:c r="BP90" s="102"/>
      <x:c r="BQ90" s="109" t="str">
        <x:f t="shared" si="43"/>
        <x:v>FAILED</x:v>
      </x:c>
      <x:c r="BR90" s="115"/>
      <x:c r="BS90" s="115"/>
      <x:c r="BT90" s="107"/>
      <x:c r="BU90" s="107"/>
      <x:c r="BV90" s="107"/>
      <x:c r="BW90" s="107"/>
      <x:c r="BX90" s="107"/>
      <x:c r="BY90" s="109" t="str">
        <x:f t="shared" si="44"/>
        <x:v>FAILED</x:v>
      </x:c>
      <x:c r="BZ90" s="115"/>
      <x:c r="CA90" s="115"/>
      <x:c r="CB90" s="107"/>
      <x:c r="CC90" s="107"/>
      <x:c r="CD90" s="107"/>
      <x:c r="CE90" s="107"/>
      <x:c r="CF90" s="107"/>
      <x:c r="CG90" s="109" t="str">
        <x:f t="shared" si="45"/>
        <x:v>FAILED</x:v>
      </x:c>
      <x:c r="CH90" s="117"/>
    </x:row>
    <x:row r="91">
      <x:c r="A91" s="102" t="str">
        <x:f>IF(RECORD!A93="","",RECORD!A93)</x:f>
      </x:c>
      <x:c r="B91" s="102" t="str">
        <x:f>IF(RECORD!B93="","",RECORD!B93)</x:f>
      </x:c>
      <x:c r="C91" s="103" t="str">
        <x:f>IF(RECORD!C93="","",RECORD!C93)</x:f>
      </x:c>
      <x:c r="D91" s="104" t="str">
        <x:f t="array" ref="D91">IF(C91&lt;&gt;"",IF(F$7="SUMMER","N/A",_xlfn.IFS(D$10="TLA",RECORD!GO93,F$10="LECTURE","",TRUE(),"")),"")</x:f>
      </x:c>
      <x:c r="E91" s="105" t="str">
        <x:f t="shared" si="23"/>
      </x:c>
      <x:c r="F91" s="104" t="str">
        <x:f t="array" ref="F91">IF(C91&lt;&gt;"",IF(F$7="SUMMER","N/A",_xlfn.IFS(F$10="AT",RECORD!GI93,F$10="LECTURE",GRADES!AP91,TRUE(),"")),"")</x:f>
      </x:c>
      <x:c r="G91" s="106" t="str">
        <x:f t="shared" si="24"/>
      </x:c>
      <x:c r="H91" s="107" t="str">
        <x:f t="array" ref="H91">IF(C91&lt;&gt;"",IF(F$7="SUMMER","N/A",_xlfn.IFS(H$10="EXAM",RECORD!GJ93,H$10="OUTPUT",RECORD!GK93,H$10="LAB",BP91,TRUE(),"")),"")</x:f>
      </x:c>
      <x:c r="I91" s="106" t="str">
        <x:f t="shared" si="25"/>
      </x:c>
      <x:c r="J91" s="108" t="str">
        <x:f t="shared" si="26"/>
      </x:c>
      <x:c r="K91" s="109" t="str">
        <x:f t="shared" si="27"/>
      </x:c>
      <x:c r="L91" s="110" t="str">
        <x:f t="array" ref="L91">IF(C91&lt;&gt;"",_xlfn.IFS(L$10="TLA",RECORD!GY93,N$10="LECTURE","",TRUE(),""),"")</x:f>
      </x:c>
      <x:c r="M91" s="105" t="str">
        <x:f t="shared" si="28"/>
      </x:c>
      <x:c r="N91" s="104" t="str">
        <x:f t="array" ref="N91">IF(C91&lt;&gt;"",_xlfn.IFS(N$10="AT",RECORD!GS93,N$10="LECTURE",AX91,TRUE(),""),"")</x:f>
      </x:c>
      <x:c r="O91" s="106" t="str">
        <x:f t="shared" si="29"/>
      </x:c>
      <x:c r="P91" s="107" t="str">
        <x:f t="array" ref="P91">IF(C91&lt;&gt;"",_xlfn.IFS(P$10="EXAM",RECORD!GT93,P$10="OUTPUT",RECORD!GU93,P$10="LAB",BX91,TRUE(),""),"")</x:f>
      </x:c>
      <x:c r="Q91" s="106" t="str">
        <x:f t="shared" si="30"/>
      </x:c>
      <x:c r="R91" s="108" t="str">
        <x:f t="shared" si="31"/>
      </x:c>
      <x:c r="S91" s="109" t="str">
        <x:f t="shared" si="32"/>
      </x:c>
      <x:c r="T91" s="110" t="str">
        <x:f t="array" ref="T91">IF(C91&lt;&gt;"",_xlfn.IFS(T$10="TLA",RECORD!HI93,V$10="LECTURE","",TRUE(),""),"")</x:f>
      </x:c>
      <x:c r="U91" s="105" t="str">
        <x:f t="shared" si="33"/>
      </x:c>
      <x:c r="V91" s="104" t="str">
        <x:f t="array" ref="V91">IF(C91&lt;&gt;"",_xlfn.IFS(V$10="AT",RECORD!HC93,V$10="LECTURE",BF91,TRUE(),""),"")</x:f>
      </x:c>
      <x:c r="W91" s="106" t="str">
        <x:f t="shared" si="34"/>
      </x:c>
      <x:c r="X91" s="107" t="str">
        <x:f t="array" ref="X91">IF(C91&lt;&gt;"",_xlfn.IFS(X$10="EXAM",RECORD!HD93,X$10="OUTPUT",RECORD!HE93,X$10="LAB",CF91,TRUE(),""),"")</x:f>
      </x:c>
      <x:c r="Y91" s="106" t="str">
        <x:f t="shared" si="35"/>
      </x:c>
      <x:c r="Z91" s="108" t="str">
        <x:f t="shared" si="36"/>
      </x:c>
      <x:c r="AA91" s="109" t="str">
        <x:f t="shared" si="37"/>
      </x:c>
      <x:c r="AB91" s="111" t="str">
        <x:f t="shared" si="38"/>
      </x:c>
      <x:c r="AC91" s="109" t="str">
        <x:f t="shared" si="39"/>
      </x:c>
      <x:c r="AD91" s="112"/>
      <x:c r="AE91" s="102"/>
      <x:c r="AF91" s="113"/>
      <x:c r="AG91" s="112"/>
      <x:c r="AH91" s="103"/>
      <x:c r="AI91" s="114"/>
      <x:c r="AJ91" s="102"/>
      <x:c r="AK91" s="102"/>
      <x:c r="AL91" s="102"/>
      <x:c r="AM91" s="102"/>
      <x:c r="AN91" s="102"/>
      <x:c r="AO91" s="102"/>
      <x:c r="AP91" s="102"/>
      <x:c r="AQ91" s="109" t="str">
        <x:f t="shared" si="40"/>
        <x:v>FAILED</x:v>
      </x:c>
      <x:c r="AR91" s="115"/>
      <x:c r="AS91" s="115"/>
      <x:c r="AT91" s="107"/>
      <x:c r="AU91" s="107"/>
      <x:c r="AV91" s="107"/>
      <x:c r="AW91" s="107"/>
      <x:c r="AX91" s="107"/>
      <x:c r="AY91" s="109" t="str">
        <x:f t="shared" si="41"/>
        <x:v>FAILED</x:v>
      </x:c>
      <x:c r="AZ91" s="115"/>
      <x:c r="BA91" s="115"/>
      <x:c r="BB91" s="107"/>
      <x:c r="BC91" s="107"/>
      <x:c r="BD91" s="107"/>
      <x:c r="BE91" s="107"/>
      <x:c r="BF91" s="107"/>
      <x:c r="BG91" s="109" t="str">
        <x:f t="shared" si="42"/>
        <x:v>FAILED</x:v>
      </x:c>
      <x:c r="BH91" s="117"/>
      <x:c r="BI91" s="102"/>
      <x:c r="BJ91" s="102"/>
      <x:c r="BK91" s="102"/>
      <x:c r="BL91" s="102"/>
      <x:c r="BM91" s="102"/>
      <x:c r="BN91" s="102"/>
      <x:c r="BO91" s="102"/>
      <x:c r="BP91" s="102"/>
      <x:c r="BQ91" s="109" t="str">
        <x:f t="shared" si="43"/>
        <x:v>FAILED</x:v>
      </x:c>
      <x:c r="BR91" s="115"/>
      <x:c r="BS91" s="115"/>
      <x:c r="BT91" s="107"/>
      <x:c r="BU91" s="107"/>
      <x:c r="BV91" s="107"/>
      <x:c r="BW91" s="107"/>
      <x:c r="BX91" s="107"/>
      <x:c r="BY91" s="109" t="str">
        <x:f t="shared" si="44"/>
        <x:v>FAILED</x:v>
      </x:c>
      <x:c r="BZ91" s="115"/>
      <x:c r="CA91" s="115"/>
      <x:c r="CB91" s="107"/>
      <x:c r="CC91" s="107"/>
      <x:c r="CD91" s="107"/>
      <x:c r="CE91" s="107"/>
      <x:c r="CF91" s="107"/>
      <x:c r="CG91" s="109" t="str">
        <x:f t="shared" si="45"/>
        <x:v>FAILED</x:v>
      </x:c>
      <x:c r="CH91" s="117"/>
    </x:row>
    <x:row r="92">
      <x:c r="A92" s="102" t="str">
        <x:f>IF(RECORD!A94="","",RECORD!A94)</x:f>
      </x:c>
      <x:c r="B92" s="102" t="str">
        <x:f>IF(RECORD!B94="","",RECORD!B94)</x:f>
      </x:c>
      <x:c r="C92" s="103" t="str">
        <x:f>IF(RECORD!C94="","",RECORD!C94)</x:f>
      </x:c>
      <x:c r="D92" s="104" t="str">
        <x:f t="array" ref="D92">IF(C92&lt;&gt;"",IF(F$7="SUMMER","N/A",_xlfn.IFS(D$10="TLA",RECORD!GO94,F$10="LECTURE","",TRUE(),"")),"")</x:f>
      </x:c>
      <x:c r="E92" s="105" t="str">
        <x:f t="shared" si="23"/>
      </x:c>
      <x:c r="F92" s="104" t="str">
        <x:f t="array" ref="F92">IF(C92&lt;&gt;"",IF(F$7="SUMMER","N/A",_xlfn.IFS(F$10="AT",RECORD!GI94,F$10="LECTURE",GRADES!AP92,TRUE(),"")),"")</x:f>
      </x:c>
      <x:c r="G92" s="106" t="str">
        <x:f t="shared" si="24"/>
      </x:c>
      <x:c r="H92" s="107" t="str">
        <x:f t="array" ref="H92">IF(C92&lt;&gt;"",IF(F$7="SUMMER","N/A",_xlfn.IFS(H$10="EXAM",RECORD!GJ94,H$10="OUTPUT",RECORD!GK94,H$10="LAB",BP92,TRUE(),"")),"")</x:f>
      </x:c>
      <x:c r="I92" s="106" t="str">
        <x:f t="shared" si="25"/>
      </x:c>
      <x:c r="J92" s="108" t="str">
        <x:f t="shared" si="26"/>
      </x:c>
      <x:c r="K92" s="109" t="str">
        <x:f t="shared" si="27"/>
      </x:c>
      <x:c r="L92" s="110" t="str">
        <x:f t="array" ref="L92">IF(C92&lt;&gt;"",_xlfn.IFS(L$10="TLA",RECORD!GY94,N$10="LECTURE","",TRUE(),""),"")</x:f>
      </x:c>
      <x:c r="M92" s="105" t="str">
        <x:f t="shared" si="28"/>
      </x:c>
      <x:c r="N92" s="104" t="str">
        <x:f t="array" ref="N92">IF(C92&lt;&gt;"",_xlfn.IFS(N$10="AT",RECORD!GS94,N$10="LECTURE",AX92,TRUE(),""),"")</x:f>
      </x:c>
      <x:c r="O92" s="106" t="str">
        <x:f t="shared" si="29"/>
      </x:c>
      <x:c r="P92" s="107" t="str">
        <x:f t="array" ref="P92">IF(C92&lt;&gt;"",_xlfn.IFS(P$10="EXAM",RECORD!GT94,P$10="OUTPUT",RECORD!GU94,P$10="LAB",BX92,TRUE(),""),"")</x:f>
      </x:c>
      <x:c r="Q92" s="106" t="str">
        <x:f t="shared" si="30"/>
      </x:c>
      <x:c r="R92" s="108" t="str">
        <x:f t="shared" si="31"/>
      </x:c>
      <x:c r="S92" s="109" t="str">
        <x:f t="shared" si="32"/>
      </x:c>
      <x:c r="T92" s="110" t="str">
        <x:f t="array" ref="T92">IF(C92&lt;&gt;"",_xlfn.IFS(T$10="TLA",RECORD!HI94,V$10="LECTURE","",TRUE(),""),"")</x:f>
      </x:c>
      <x:c r="U92" s="105" t="str">
        <x:f t="shared" si="33"/>
      </x:c>
      <x:c r="V92" s="104" t="str">
        <x:f t="array" ref="V92">IF(C92&lt;&gt;"",_xlfn.IFS(V$10="AT",RECORD!HC94,V$10="LECTURE",BF92,TRUE(),""),"")</x:f>
      </x:c>
      <x:c r="W92" s="106" t="str">
        <x:f t="shared" si="34"/>
      </x:c>
      <x:c r="X92" s="107" t="str">
        <x:f t="array" ref="X92">IF(C92&lt;&gt;"",_xlfn.IFS(X$10="EXAM",RECORD!HD94,X$10="OUTPUT",RECORD!HE94,X$10="LAB",CF92,TRUE(),""),"")</x:f>
      </x:c>
      <x:c r="Y92" s="106" t="str">
        <x:f t="shared" si="35"/>
      </x:c>
      <x:c r="Z92" s="108" t="str">
        <x:f t="shared" si="36"/>
      </x:c>
      <x:c r="AA92" s="109" t="str">
        <x:f t="shared" si="37"/>
      </x:c>
      <x:c r="AB92" s="111" t="str">
        <x:f t="shared" si="38"/>
      </x:c>
      <x:c r="AC92" s="109" t="str">
        <x:f t="shared" si="39"/>
      </x:c>
      <x:c r="AD92" s="112"/>
      <x:c r="AE92" s="102"/>
      <x:c r="AF92" s="113"/>
      <x:c r="AG92" s="112"/>
      <x:c r="AH92" s="103"/>
      <x:c r="AI92" s="114"/>
      <x:c r="AJ92" s="102"/>
      <x:c r="AK92" s="102"/>
      <x:c r="AL92" s="102"/>
      <x:c r="AM92" s="102"/>
      <x:c r="AN92" s="102"/>
      <x:c r="AO92" s="102"/>
      <x:c r="AP92" s="102"/>
      <x:c r="AQ92" s="109" t="str">
        <x:f t="shared" si="40"/>
        <x:v>FAILED</x:v>
      </x:c>
      <x:c r="AR92" s="115"/>
      <x:c r="AS92" s="115"/>
      <x:c r="AT92" s="107"/>
      <x:c r="AU92" s="107"/>
      <x:c r="AV92" s="107"/>
      <x:c r="AW92" s="107"/>
      <x:c r="AX92" s="107"/>
      <x:c r="AY92" s="109" t="str">
        <x:f t="shared" si="41"/>
        <x:v>FAILED</x:v>
      </x:c>
      <x:c r="AZ92" s="115"/>
      <x:c r="BA92" s="115"/>
      <x:c r="BB92" s="107"/>
      <x:c r="BC92" s="107"/>
      <x:c r="BD92" s="107"/>
      <x:c r="BE92" s="107"/>
      <x:c r="BF92" s="107"/>
      <x:c r="BG92" s="109" t="str">
        <x:f t="shared" si="42"/>
        <x:v>FAILED</x:v>
      </x:c>
      <x:c r="BH92" s="117"/>
      <x:c r="BI92" s="102"/>
      <x:c r="BJ92" s="102"/>
      <x:c r="BK92" s="102"/>
      <x:c r="BL92" s="102"/>
      <x:c r="BM92" s="102"/>
      <x:c r="BN92" s="102"/>
      <x:c r="BO92" s="102"/>
      <x:c r="BP92" s="102"/>
      <x:c r="BQ92" s="109" t="str">
        <x:f t="shared" si="43"/>
        <x:v>FAILED</x:v>
      </x:c>
      <x:c r="BR92" s="115"/>
      <x:c r="BS92" s="115"/>
      <x:c r="BT92" s="107"/>
      <x:c r="BU92" s="107"/>
      <x:c r="BV92" s="107"/>
      <x:c r="BW92" s="107"/>
      <x:c r="BX92" s="107"/>
      <x:c r="BY92" s="109" t="str">
        <x:f t="shared" si="44"/>
        <x:v>FAILED</x:v>
      </x:c>
      <x:c r="BZ92" s="115"/>
      <x:c r="CA92" s="115"/>
      <x:c r="CB92" s="107"/>
      <x:c r="CC92" s="107"/>
      <x:c r="CD92" s="107"/>
      <x:c r="CE92" s="107"/>
      <x:c r="CF92" s="107"/>
      <x:c r="CG92" s="109" t="str">
        <x:f t="shared" si="45"/>
        <x:v>FAILED</x:v>
      </x:c>
      <x:c r="CH92" s="117"/>
    </x:row>
    <x:row r="93">
      <x:c r="A93" s="102" t="str">
        <x:f>IF(RECORD!A95="","",RECORD!A95)</x:f>
      </x:c>
      <x:c r="B93" s="102" t="str">
        <x:f>IF(RECORD!B95="","",RECORD!B95)</x:f>
      </x:c>
      <x:c r="C93" s="103" t="str">
        <x:f>IF(RECORD!C95="","",RECORD!C95)</x:f>
      </x:c>
      <x:c r="D93" s="104" t="str">
        <x:f t="array" ref="D93">IF(C93&lt;&gt;"",IF(F$7="SUMMER","N/A",_xlfn.IFS(D$10="TLA",RECORD!GO95,F$10="LECTURE","",TRUE(),"")),"")</x:f>
      </x:c>
      <x:c r="E93" s="105" t="str">
        <x:f t="shared" si="23"/>
      </x:c>
      <x:c r="F93" s="104" t="str">
        <x:f t="array" ref="F93">IF(C93&lt;&gt;"",IF(F$7="SUMMER","N/A",_xlfn.IFS(F$10="AT",RECORD!GI95,F$10="LECTURE",GRADES!AP93,TRUE(),"")),"")</x:f>
      </x:c>
      <x:c r="G93" s="106" t="str">
        <x:f t="shared" si="24"/>
      </x:c>
      <x:c r="H93" s="107" t="str">
        <x:f t="array" ref="H93">IF(C93&lt;&gt;"",IF(F$7="SUMMER","N/A",_xlfn.IFS(H$10="EXAM",RECORD!GJ95,H$10="OUTPUT",RECORD!GK95,H$10="LAB",BP93,TRUE(),"")),"")</x:f>
      </x:c>
      <x:c r="I93" s="106" t="str">
        <x:f t="shared" si="25"/>
      </x:c>
      <x:c r="J93" s="108" t="str">
        <x:f t="shared" si="26"/>
      </x:c>
      <x:c r="K93" s="109" t="str">
        <x:f t="shared" si="27"/>
      </x:c>
      <x:c r="L93" s="110" t="str">
        <x:f t="array" ref="L93">IF(C93&lt;&gt;"",_xlfn.IFS(L$10="TLA",RECORD!GY95,N$10="LECTURE","",TRUE(),""),"")</x:f>
      </x:c>
      <x:c r="M93" s="105" t="str">
        <x:f t="shared" si="28"/>
      </x:c>
      <x:c r="N93" s="104" t="str">
        <x:f t="array" ref="N93">IF(C93&lt;&gt;"",_xlfn.IFS(N$10="AT",RECORD!GS95,N$10="LECTURE",AX93,TRUE(),""),"")</x:f>
      </x:c>
      <x:c r="O93" s="106" t="str">
        <x:f t="shared" si="29"/>
      </x:c>
      <x:c r="P93" s="107" t="str">
        <x:f t="array" ref="P93">IF(C93&lt;&gt;"",_xlfn.IFS(P$10="EXAM",RECORD!GT95,P$10="OUTPUT",RECORD!GU95,P$10="LAB",BX93,TRUE(),""),"")</x:f>
      </x:c>
      <x:c r="Q93" s="106" t="str">
        <x:f t="shared" si="30"/>
      </x:c>
      <x:c r="R93" s="108" t="str">
        <x:f t="shared" si="31"/>
      </x:c>
      <x:c r="S93" s="109" t="str">
        <x:f t="shared" si="32"/>
      </x:c>
      <x:c r="T93" s="110" t="str">
        <x:f t="array" ref="T93">IF(C93&lt;&gt;"",_xlfn.IFS(T$10="TLA",RECORD!HI95,V$10="LECTURE","",TRUE(),""),"")</x:f>
      </x:c>
      <x:c r="U93" s="105" t="str">
        <x:f t="shared" si="33"/>
      </x:c>
      <x:c r="V93" s="104" t="str">
        <x:f t="array" ref="V93">IF(C93&lt;&gt;"",_xlfn.IFS(V$10="AT",RECORD!HC95,V$10="LECTURE",BF93,TRUE(),""),"")</x:f>
      </x:c>
      <x:c r="W93" s="106" t="str">
        <x:f t="shared" si="34"/>
      </x:c>
      <x:c r="X93" s="107" t="str">
        <x:f t="array" ref="X93">IF(C93&lt;&gt;"",_xlfn.IFS(X$10="EXAM",RECORD!HD95,X$10="OUTPUT",RECORD!HE95,X$10="LAB",CF93,TRUE(),""),"")</x:f>
      </x:c>
      <x:c r="Y93" s="106" t="str">
        <x:f t="shared" si="35"/>
      </x:c>
      <x:c r="Z93" s="108" t="str">
        <x:f t="shared" si="36"/>
      </x:c>
      <x:c r="AA93" s="109" t="str">
        <x:f t="shared" si="37"/>
      </x:c>
      <x:c r="AB93" s="111" t="str">
        <x:f t="shared" si="38"/>
      </x:c>
      <x:c r="AC93" s="109" t="str">
        <x:f t="shared" si="39"/>
      </x:c>
      <x:c r="AD93" s="112"/>
      <x:c r="AE93" s="102"/>
      <x:c r="AF93" s="113"/>
      <x:c r="AG93" s="112"/>
      <x:c r="AH93" s="103"/>
      <x:c r="AI93" s="114"/>
      <x:c r="AJ93" s="102"/>
      <x:c r="AK93" s="102"/>
      <x:c r="AL93" s="102"/>
      <x:c r="AM93" s="102"/>
      <x:c r="AN93" s="102"/>
      <x:c r="AO93" s="102"/>
      <x:c r="AP93" s="102"/>
      <x:c r="AQ93" s="109" t="str">
        <x:f t="shared" si="40"/>
        <x:v>FAILED</x:v>
      </x:c>
      <x:c r="AR93" s="115"/>
      <x:c r="AS93" s="115"/>
      <x:c r="AT93" s="107"/>
      <x:c r="AU93" s="107"/>
      <x:c r="AV93" s="107"/>
      <x:c r="AW93" s="107"/>
      <x:c r="AX93" s="107"/>
      <x:c r="AY93" s="109" t="str">
        <x:f t="shared" si="41"/>
        <x:v>FAILED</x:v>
      </x:c>
      <x:c r="AZ93" s="115"/>
      <x:c r="BA93" s="115"/>
      <x:c r="BB93" s="107"/>
      <x:c r="BC93" s="107"/>
      <x:c r="BD93" s="107"/>
      <x:c r="BE93" s="107"/>
      <x:c r="BF93" s="107"/>
      <x:c r="BG93" s="109" t="str">
        <x:f t="shared" si="42"/>
        <x:v>FAILED</x:v>
      </x:c>
      <x:c r="BH93" s="117"/>
      <x:c r="BI93" s="102"/>
      <x:c r="BJ93" s="102"/>
      <x:c r="BK93" s="102"/>
      <x:c r="BL93" s="102"/>
      <x:c r="BM93" s="102"/>
      <x:c r="BN93" s="102"/>
      <x:c r="BO93" s="102"/>
      <x:c r="BP93" s="102"/>
      <x:c r="BQ93" s="109" t="str">
        <x:f t="shared" si="43"/>
        <x:v>FAILED</x:v>
      </x:c>
      <x:c r="BR93" s="115"/>
      <x:c r="BS93" s="115"/>
      <x:c r="BT93" s="107"/>
      <x:c r="BU93" s="107"/>
      <x:c r="BV93" s="107"/>
      <x:c r="BW93" s="107"/>
      <x:c r="BX93" s="107"/>
      <x:c r="BY93" s="109" t="str">
        <x:f t="shared" si="44"/>
        <x:v>FAILED</x:v>
      </x:c>
      <x:c r="BZ93" s="115"/>
      <x:c r="CA93" s="115"/>
      <x:c r="CB93" s="107"/>
      <x:c r="CC93" s="107"/>
      <x:c r="CD93" s="107"/>
      <x:c r="CE93" s="107"/>
      <x:c r="CF93" s="107"/>
      <x:c r="CG93" s="109" t="str">
        <x:f t="shared" si="45"/>
        <x:v>FAILED</x:v>
      </x:c>
      <x:c r="CH93" s="117"/>
    </x:row>
    <x:row r="94">
      <x:c r="A94" s="102" t="str">
        <x:f>IF(RECORD!A96="","",RECORD!A96)</x:f>
      </x:c>
      <x:c r="B94" s="102" t="str">
        <x:f>IF(RECORD!B96="","",RECORD!B96)</x:f>
      </x:c>
      <x:c r="C94" s="103" t="str">
        <x:f>IF(RECORD!C96="","",RECORD!C96)</x:f>
      </x:c>
      <x:c r="D94" s="104" t="str">
        <x:f t="array" ref="D94">IF(C94&lt;&gt;"",IF(F$7="SUMMER","N/A",_xlfn.IFS(D$10="TLA",RECORD!GO96,F$10="LECTURE","",TRUE(),"")),"")</x:f>
      </x:c>
      <x:c r="E94" s="105" t="str">
        <x:f t="shared" si="23"/>
      </x:c>
      <x:c r="F94" s="104" t="str">
        <x:f t="array" ref="F94">IF(C94&lt;&gt;"",IF(F$7="SUMMER","N/A",_xlfn.IFS(F$10="AT",RECORD!GI96,F$10="LECTURE",GRADES!AP94,TRUE(),"")),"")</x:f>
      </x:c>
      <x:c r="G94" s="106" t="str">
        <x:f t="shared" si="24"/>
      </x:c>
      <x:c r="H94" s="107" t="str">
        <x:f t="array" ref="H94">IF(C94&lt;&gt;"",IF(F$7="SUMMER","N/A",_xlfn.IFS(H$10="EXAM",RECORD!GJ96,H$10="OUTPUT",RECORD!GK96,H$10="LAB",BP94,TRUE(),"")),"")</x:f>
      </x:c>
      <x:c r="I94" s="106" t="str">
        <x:f t="shared" si="25"/>
      </x:c>
      <x:c r="J94" s="108" t="str">
        <x:f t="shared" si="26"/>
      </x:c>
      <x:c r="K94" s="109" t="str">
        <x:f t="shared" si="27"/>
      </x:c>
      <x:c r="L94" s="110" t="str">
        <x:f t="array" ref="L94">IF(C94&lt;&gt;"",_xlfn.IFS(L$10="TLA",RECORD!GY96,N$10="LECTURE","",TRUE(),""),"")</x:f>
      </x:c>
      <x:c r="M94" s="105" t="str">
        <x:f t="shared" si="28"/>
      </x:c>
      <x:c r="N94" s="104" t="str">
        <x:f t="array" ref="N94">IF(C94&lt;&gt;"",_xlfn.IFS(N$10="AT",RECORD!GS96,N$10="LECTURE",AX94,TRUE(),""),"")</x:f>
      </x:c>
      <x:c r="O94" s="106" t="str">
        <x:f t="shared" si="29"/>
      </x:c>
      <x:c r="P94" s="107" t="str">
        <x:f t="array" ref="P94">IF(C94&lt;&gt;"",_xlfn.IFS(P$10="EXAM",RECORD!GT96,P$10="OUTPUT",RECORD!GU96,P$10="LAB",BX94,TRUE(),""),"")</x:f>
      </x:c>
      <x:c r="Q94" s="106" t="str">
        <x:f t="shared" si="30"/>
      </x:c>
      <x:c r="R94" s="108" t="str">
        <x:f t="shared" si="31"/>
      </x:c>
      <x:c r="S94" s="109" t="str">
        <x:f t="shared" si="32"/>
      </x:c>
      <x:c r="T94" s="110" t="str">
        <x:f t="array" ref="T94">IF(C94&lt;&gt;"",_xlfn.IFS(T$10="TLA",RECORD!HI96,V$10="LECTURE","",TRUE(),""),"")</x:f>
      </x:c>
      <x:c r="U94" s="105" t="str">
        <x:f t="shared" si="33"/>
      </x:c>
      <x:c r="V94" s="104" t="str">
        <x:f t="array" ref="V94">IF(C94&lt;&gt;"",_xlfn.IFS(V$10="AT",RECORD!HC96,V$10="LECTURE",BF94,TRUE(),""),"")</x:f>
      </x:c>
      <x:c r="W94" s="106" t="str">
        <x:f t="shared" si="34"/>
      </x:c>
      <x:c r="X94" s="107" t="str">
        <x:f t="array" ref="X94">IF(C94&lt;&gt;"",_xlfn.IFS(X$10="EXAM",RECORD!HD96,X$10="OUTPUT",RECORD!HE96,X$10="LAB",CF94,TRUE(),""),"")</x:f>
      </x:c>
      <x:c r="Y94" s="106" t="str">
        <x:f t="shared" si="35"/>
      </x:c>
      <x:c r="Z94" s="108" t="str">
        <x:f t="shared" si="36"/>
      </x:c>
      <x:c r="AA94" s="109" t="str">
        <x:f t="shared" si="37"/>
      </x:c>
      <x:c r="AB94" s="111" t="str">
        <x:f t="shared" si="38"/>
      </x:c>
      <x:c r="AC94" s="109" t="str">
        <x:f t="shared" si="39"/>
      </x:c>
      <x:c r="AD94" s="112"/>
      <x:c r="AE94" s="102"/>
      <x:c r="AF94" s="113"/>
      <x:c r="AG94" s="112"/>
      <x:c r="AH94" s="103"/>
      <x:c r="AI94" s="114"/>
      <x:c r="AJ94" s="102"/>
      <x:c r="AK94" s="102"/>
      <x:c r="AL94" s="102"/>
      <x:c r="AM94" s="102"/>
      <x:c r="AN94" s="102"/>
      <x:c r="AO94" s="102"/>
      <x:c r="AP94" s="102"/>
      <x:c r="AQ94" s="109" t="str">
        <x:f t="shared" si="40"/>
        <x:v>FAILED</x:v>
      </x:c>
      <x:c r="AR94" s="115"/>
      <x:c r="AS94" s="115"/>
      <x:c r="AT94" s="107"/>
      <x:c r="AU94" s="107"/>
      <x:c r="AV94" s="107"/>
      <x:c r="AW94" s="107"/>
      <x:c r="AX94" s="107"/>
      <x:c r="AY94" s="109" t="str">
        <x:f t="shared" si="41"/>
        <x:v>FAILED</x:v>
      </x:c>
      <x:c r="AZ94" s="115"/>
      <x:c r="BA94" s="115"/>
      <x:c r="BB94" s="107"/>
      <x:c r="BC94" s="107"/>
      <x:c r="BD94" s="107"/>
      <x:c r="BE94" s="107"/>
      <x:c r="BF94" s="107"/>
      <x:c r="BG94" s="109" t="str">
        <x:f t="shared" si="42"/>
        <x:v>FAILED</x:v>
      </x:c>
      <x:c r="BH94" s="117"/>
      <x:c r="BI94" s="102"/>
      <x:c r="BJ94" s="102"/>
      <x:c r="BK94" s="102"/>
      <x:c r="BL94" s="102"/>
      <x:c r="BM94" s="102"/>
      <x:c r="BN94" s="102"/>
      <x:c r="BO94" s="102"/>
      <x:c r="BP94" s="102"/>
      <x:c r="BQ94" s="109" t="str">
        <x:f t="shared" si="43"/>
        <x:v>FAILED</x:v>
      </x:c>
      <x:c r="BR94" s="115"/>
      <x:c r="BS94" s="115"/>
      <x:c r="BT94" s="107"/>
      <x:c r="BU94" s="107"/>
      <x:c r="BV94" s="107"/>
      <x:c r="BW94" s="107"/>
      <x:c r="BX94" s="107"/>
      <x:c r="BY94" s="109" t="str">
        <x:f t="shared" si="44"/>
        <x:v>FAILED</x:v>
      </x:c>
      <x:c r="BZ94" s="115"/>
      <x:c r="CA94" s="115"/>
      <x:c r="CB94" s="107"/>
      <x:c r="CC94" s="107"/>
      <x:c r="CD94" s="107"/>
      <x:c r="CE94" s="107"/>
      <x:c r="CF94" s="107"/>
      <x:c r="CG94" s="109" t="str">
        <x:f t="shared" si="45"/>
        <x:v>FAILED</x:v>
      </x:c>
      <x:c r="CH94" s="117"/>
    </x:row>
    <x:row r="95">
      <x:c r="A95" s="102" t="str">
        <x:f>IF(RECORD!A97="","",RECORD!A97)</x:f>
      </x:c>
      <x:c r="B95" s="102" t="str">
        <x:f>IF(RECORD!B97="","",RECORD!B97)</x:f>
      </x:c>
      <x:c r="C95" s="103" t="str">
        <x:f>IF(RECORD!C97="","",RECORD!C97)</x:f>
      </x:c>
      <x:c r="D95" s="104" t="str">
        <x:f t="array" ref="D95">IF(C95&lt;&gt;"",IF(F$7="SUMMER","N/A",_xlfn.IFS(D$10="TLA",RECORD!GO97,F$10="LECTURE","",TRUE(),"")),"")</x:f>
      </x:c>
      <x:c r="E95" s="105" t="str">
        <x:f t="shared" si="23"/>
      </x:c>
      <x:c r="F95" s="104" t="str">
        <x:f t="array" ref="F95">IF(C95&lt;&gt;"",IF(F$7="SUMMER","N/A",_xlfn.IFS(F$10="AT",RECORD!GI97,F$10="LECTURE",GRADES!AP95,TRUE(),"")),"")</x:f>
      </x:c>
      <x:c r="G95" s="106" t="str">
        <x:f t="shared" si="24"/>
      </x:c>
      <x:c r="H95" s="107" t="str">
        <x:f t="array" ref="H95">IF(C95&lt;&gt;"",IF(F$7="SUMMER","N/A",_xlfn.IFS(H$10="EXAM",RECORD!GJ97,H$10="OUTPUT",RECORD!GK97,H$10="LAB",BP95,TRUE(),"")),"")</x:f>
      </x:c>
      <x:c r="I95" s="106" t="str">
        <x:f t="shared" si="25"/>
      </x:c>
      <x:c r="J95" s="108" t="str">
        <x:f t="shared" si="26"/>
      </x:c>
      <x:c r="K95" s="109" t="str">
        <x:f t="shared" si="27"/>
      </x:c>
      <x:c r="L95" s="110" t="str">
        <x:f t="array" ref="L95">IF(C95&lt;&gt;"",_xlfn.IFS(L$10="TLA",RECORD!GY97,N$10="LECTURE","",TRUE(),""),"")</x:f>
      </x:c>
      <x:c r="M95" s="105" t="str">
        <x:f t="shared" si="28"/>
      </x:c>
      <x:c r="N95" s="104" t="str">
        <x:f t="array" ref="N95">IF(C95&lt;&gt;"",_xlfn.IFS(N$10="AT",RECORD!GS97,N$10="LECTURE",AX95,TRUE(),""),"")</x:f>
      </x:c>
      <x:c r="O95" s="106" t="str">
        <x:f t="shared" si="29"/>
      </x:c>
      <x:c r="P95" s="107" t="str">
        <x:f t="array" ref="P95">IF(C95&lt;&gt;"",_xlfn.IFS(P$10="EXAM",RECORD!GT97,P$10="OUTPUT",RECORD!GU97,P$10="LAB",BX95,TRUE(),""),"")</x:f>
      </x:c>
      <x:c r="Q95" s="106" t="str">
        <x:f t="shared" si="30"/>
      </x:c>
      <x:c r="R95" s="108" t="str">
        <x:f t="shared" si="31"/>
      </x:c>
      <x:c r="S95" s="109" t="str">
        <x:f t="shared" si="32"/>
      </x:c>
      <x:c r="T95" s="110" t="str">
        <x:f t="array" ref="T95">IF(C95&lt;&gt;"",_xlfn.IFS(T$10="TLA",RECORD!HI97,V$10="LECTURE","",TRUE(),""),"")</x:f>
      </x:c>
      <x:c r="U95" s="105" t="str">
        <x:f t="shared" si="33"/>
      </x:c>
      <x:c r="V95" s="104" t="str">
        <x:f t="array" ref="V95">IF(C95&lt;&gt;"",_xlfn.IFS(V$10="AT",RECORD!HC97,V$10="LECTURE",BF95,TRUE(),""),"")</x:f>
      </x:c>
      <x:c r="W95" s="106" t="str">
        <x:f t="shared" si="34"/>
      </x:c>
      <x:c r="X95" s="107" t="str">
        <x:f t="array" ref="X95">IF(C95&lt;&gt;"",_xlfn.IFS(X$10="EXAM",RECORD!HD97,X$10="OUTPUT",RECORD!HE97,X$10="LAB",CF95,TRUE(),""),"")</x:f>
      </x:c>
      <x:c r="Y95" s="106" t="str">
        <x:f t="shared" si="35"/>
      </x:c>
      <x:c r="Z95" s="108" t="str">
        <x:f t="shared" si="36"/>
      </x:c>
      <x:c r="AA95" s="109" t="str">
        <x:f t="shared" si="37"/>
      </x:c>
      <x:c r="AB95" s="111" t="str">
        <x:f t="shared" si="38"/>
      </x:c>
      <x:c r="AC95" s="109" t="str">
        <x:f t="shared" si="39"/>
      </x:c>
      <x:c r="AD95" s="112"/>
      <x:c r="AE95" s="102"/>
      <x:c r="AF95" s="113"/>
      <x:c r="AG95" s="112"/>
      <x:c r="AH95" s="103"/>
      <x:c r="AI95" s="114"/>
      <x:c r="AJ95" s="102"/>
      <x:c r="AK95" s="102"/>
      <x:c r="AL95" s="102"/>
      <x:c r="AM95" s="102"/>
      <x:c r="AN95" s="102"/>
      <x:c r="AO95" s="102"/>
      <x:c r="AP95" s="102"/>
      <x:c r="AQ95" s="109" t="str">
        <x:f t="shared" si="40"/>
        <x:v>FAILED</x:v>
      </x:c>
      <x:c r="AR95" s="115"/>
      <x:c r="AS95" s="115"/>
      <x:c r="AT95" s="107"/>
      <x:c r="AU95" s="107"/>
      <x:c r="AV95" s="107"/>
      <x:c r="AW95" s="107"/>
      <x:c r="AX95" s="107"/>
      <x:c r="AY95" s="109" t="str">
        <x:f t="shared" si="41"/>
        <x:v>FAILED</x:v>
      </x:c>
      <x:c r="AZ95" s="115"/>
      <x:c r="BA95" s="115"/>
      <x:c r="BB95" s="107"/>
      <x:c r="BC95" s="107"/>
      <x:c r="BD95" s="107"/>
      <x:c r="BE95" s="107"/>
      <x:c r="BF95" s="107"/>
      <x:c r="BG95" s="109" t="str">
        <x:f t="shared" si="42"/>
        <x:v>FAILED</x:v>
      </x:c>
      <x:c r="BH95" s="117"/>
      <x:c r="BI95" s="102"/>
      <x:c r="BJ95" s="102"/>
      <x:c r="BK95" s="102"/>
      <x:c r="BL95" s="102"/>
      <x:c r="BM95" s="102"/>
      <x:c r="BN95" s="102"/>
      <x:c r="BO95" s="102"/>
      <x:c r="BP95" s="102"/>
      <x:c r="BQ95" s="109" t="str">
        <x:f t="shared" si="43"/>
        <x:v>FAILED</x:v>
      </x:c>
      <x:c r="BR95" s="115"/>
      <x:c r="BS95" s="115"/>
      <x:c r="BT95" s="107"/>
      <x:c r="BU95" s="107"/>
      <x:c r="BV95" s="107"/>
      <x:c r="BW95" s="107"/>
      <x:c r="BX95" s="107"/>
      <x:c r="BY95" s="109" t="str">
        <x:f t="shared" si="44"/>
        <x:v>FAILED</x:v>
      </x:c>
      <x:c r="BZ95" s="115"/>
      <x:c r="CA95" s="115"/>
      <x:c r="CB95" s="107"/>
      <x:c r="CC95" s="107"/>
      <x:c r="CD95" s="107"/>
      <x:c r="CE95" s="107"/>
      <x:c r="CF95" s="107"/>
      <x:c r="CG95" s="109" t="str">
        <x:f t="shared" si="45"/>
        <x:v>FAILED</x:v>
      </x:c>
      <x:c r="CH95" s="117"/>
    </x:row>
    <x:row r="96">
      <x:c r="A96" s="102" t="str">
        <x:f>IF(RECORD!A98="","",RECORD!A98)</x:f>
      </x:c>
      <x:c r="B96" s="102" t="str">
        <x:f>IF(RECORD!B98="","",RECORD!B98)</x:f>
      </x:c>
      <x:c r="C96" s="103" t="str">
        <x:f>IF(RECORD!C98="","",RECORD!C98)</x:f>
      </x:c>
      <x:c r="D96" s="104" t="str">
        <x:f t="array" ref="D96">IF(C96&lt;&gt;"",IF(F$7="SUMMER","N/A",_xlfn.IFS(D$10="TLA",RECORD!GO98,F$10="LECTURE","",TRUE(),"")),"")</x:f>
      </x:c>
      <x:c r="E96" s="105" t="str">
        <x:f t="shared" si="23"/>
      </x:c>
      <x:c r="F96" s="104" t="str">
        <x:f t="array" ref="F96">IF(C96&lt;&gt;"",IF(F$7="SUMMER","N/A",_xlfn.IFS(F$10="AT",RECORD!GI98,F$10="LECTURE",GRADES!AP96,TRUE(),"")),"")</x:f>
      </x:c>
      <x:c r="G96" s="106" t="str">
        <x:f t="shared" si="24"/>
      </x:c>
      <x:c r="H96" s="107" t="str">
        <x:f t="array" ref="H96">IF(C96&lt;&gt;"",IF(F$7="SUMMER","N/A",_xlfn.IFS(H$10="EXAM",RECORD!GJ98,H$10="OUTPUT",RECORD!GK98,H$10="LAB",BP96,TRUE(),"")),"")</x:f>
      </x:c>
      <x:c r="I96" s="106" t="str">
        <x:f t="shared" si="25"/>
      </x:c>
      <x:c r="J96" s="108" t="str">
        <x:f t="shared" si="26"/>
      </x:c>
      <x:c r="K96" s="109" t="str">
        <x:f t="shared" si="27"/>
      </x:c>
      <x:c r="L96" s="110" t="str">
        <x:f t="array" ref="L96">IF(C96&lt;&gt;"",_xlfn.IFS(L$10="TLA",RECORD!GY98,N$10="LECTURE","",TRUE(),""),"")</x:f>
      </x:c>
      <x:c r="M96" s="105" t="str">
        <x:f t="shared" si="28"/>
      </x:c>
      <x:c r="N96" s="104" t="str">
        <x:f t="array" ref="N96">IF(C96&lt;&gt;"",_xlfn.IFS(N$10="AT",RECORD!GS98,N$10="LECTURE",AX96,TRUE(),""),"")</x:f>
      </x:c>
      <x:c r="O96" s="106" t="str">
        <x:f t="shared" si="29"/>
      </x:c>
      <x:c r="P96" s="107" t="str">
        <x:f t="array" ref="P96">IF(C96&lt;&gt;"",_xlfn.IFS(P$10="EXAM",RECORD!GT98,P$10="OUTPUT",RECORD!GU98,P$10="LAB",BX96,TRUE(),""),"")</x:f>
      </x:c>
      <x:c r="Q96" s="106" t="str">
        <x:f t="shared" si="30"/>
      </x:c>
      <x:c r="R96" s="108" t="str">
        <x:f t="shared" si="31"/>
      </x:c>
      <x:c r="S96" s="109" t="str">
        <x:f t="shared" si="32"/>
      </x:c>
      <x:c r="T96" s="110" t="str">
        <x:f t="array" ref="T96">IF(C96&lt;&gt;"",_xlfn.IFS(T$10="TLA",RECORD!HI98,V$10="LECTURE","",TRUE(),""),"")</x:f>
      </x:c>
      <x:c r="U96" s="105" t="str">
        <x:f t="shared" si="33"/>
      </x:c>
      <x:c r="V96" s="104" t="str">
        <x:f t="array" ref="V96">IF(C96&lt;&gt;"",_xlfn.IFS(V$10="AT",RECORD!HC98,V$10="LECTURE",BF96,TRUE(),""),"")</x:f>
      </x:c>
      <x:c r="W96" s="106" t="str">
        <x:f t="shared" si="34"/>
      </x:c>
      <x:c r="X96" s="107" t="str">
        <x:f t="array" ref="X96">IF(C96&lt;&gt;"",_xlfn.IFS(X$10="EXAM",RECORD!HD98,X$10="OUTPUT",RECORD!HE98,X$10="LAB",CF96,TRUE(),""),"")</x:f>
      </x:c>
      <x:c r="Y96" s="106" t="str">
        <x:f t="shared" si="35"/>
      </x:c>
      <x:c r="Z96" s="108" t="str">
        <x:f t="shared" si="36"/>
      </x:c>
      <x:c r="AA96" s="109" t="str">
        <x:f t="shared" si="37"/>
      </x:c>
      <x:c r="AB96" s="111" t="str">
        <x:f t="shared" si="38"/>
      </x:c>
      <x:c r="AC96" s="109" t="str">
        <x:f t="shared" si="39"/>
      </x:c>
      <x:c r="AD96" s="112"/>
      <x:c r="AE96" s="102"/>
      <x:c r="AF96" s="113"/>
      <x:c r="AG96" s="112"/>
      <x:c r="AH96" s="103"/>
      <x:c r="AI96" s="114"/>
      <x:c r="AJ96" s="102"/>
      <x:c r="AK96" s="102"/>
      <x:c r="AL96" s="102"/>
      <x:c r="AM96" s="102"/>
      <x:c r="AN96" s="102"/>
      <x:c r="AO96" s="102"/>
      <x:c r="AP96" s="102"/>
      <x:c r="AQ96" s="109" t="str">
        <x:f t="shared" si="40"/>
        <x:v>FAILED</x:v>
      </x:c>
      <x:c r="AR96" s="115"/>
      <x:c r="AS96" s="115"/>
      <x:c r="AT96" s="107"/>
      <x:c r="AU96" s="107"/>
      <x:c r="AV96" s="107"/>
      <x:c r="AW96" s="107"/>
      <x:c r="AX96" s="107"/>
      <x:c r="AY96" s="109" t="str">
        <x:f t="shared" si="41"/>
        <x:v>FAILED</x:v>
      </x:c>
      <x:c r="AZ96" s="115"/>
      <x:c r="BA96" s="115"/>
      <x:c r="BB96" s="107"/>
      <x:c r="BC96" s="107"/>
      <x:c r="BD96" s="107"/>
      <x:c r="BE96" s="107"/>
      <x:c r="BF96" s="107"/>
      <x:c r="BG96" s="109" t="str">
        <x:f t="shared" si="42"/>
        <x:v>FAILED</x:v>
      </x:c>
      <x:c r="BH96" s="117"/>
      <x:c r="BI96" s="102"/>
      <x:c r="BJ96" s="102"/>
      <x:c r="BK96" s="102"/>
      <x:c r="BL96" s="102"/>
      <x:c r="BM96" s="102"/>
      <x:c r="BN96" s="102"/>
      <x:c r="BO96" s="102"/>
      <x:c r="BP96" s="102"/>
      <x:c r="BQ96" s="109" t="str">
        <x:f t="shared" si="43"/>
        <x:v>FAILED</x:v>
      </x:c>
      <x:c r="BR96" s="115"/>
      <x:c r="BS96" s="115"/>
      <x:c r="BT96" s="107"/>
      <x:c r="BU96" s="107"/>
      <x:c r="BV96" s="107"/>
      <x:c r="BW96" s="107"/>
      <x:c r="BX96" s="107"/>
      <x:c r="BY96" s="109" t="str">
        <x:f t="shared" si="44"/>
        <x:v>FAILED</x:v>
      </x:c>
      <x:c r="BZ96" s="115"/>
      <x:c r="CA96" s="115"/>
      <x:c r="CB96" s="107"/>
      <x:c r="CC96" s="107"/>
      <x:c r="CD96" s="107"/>
      <x:c r="CE96" s="107"/>
      <x:c r="CF96" s="107"/>
      <x:c r="CG96" s="109" t="str">
        <x:f t="shared" si="45"/>
        <x:v>FAILED</x:v>
      </x:c>
      <x:c r="CH96" s="117"/>
    </x:row>
    <x:row r="97">
      <x:c r="A97" s="102" t="str">
        <x:f>IF(RECORD!A99="","",RECORD!A99)</x:f>
      </x:c>
      <x:c r="B97" s="102" t="str">
        <x:f>IF(RECORD!B99="","",RECORD!B99)</x:f>
      </x:c>
      <x:c r="C97" s="103" t="str">
        <x:f>IF(RECORD!C99="","",RECORD!C99)</x:f>
      </x:c>
      <x:c r="D97" s="104" t="str">
        <x:f t="array" ref="D97">IF(C97&lt;&gt;"",IF(F$7="SUMMER","N/A",_xlfn.IFS(D$10="TLA",RECORD!GO99,F$10="LECTURE","",TRUE(),"")),"")</x:f>
      </x:c>
      <x:c r="E97" s="105" t="str">
        <x:f t="shared" si="23"/>
      </x:c>
      <x:c r="F97" s="104" t="str">
        <x:f t="array" ref="F97">IF(C97&lt;&gt;"",IF(F$7="SUMMER","N/A",_xlfn.IFS(F$10="AT",RECORD!GI99,F$10="LECTURE",GRADES!AP97,TRUE(),"")),"")</x:f>
      </x:c>
      <x:c r="G97" s="106" t="str">
        <x:f t="shared" si="24"/>
      </x:c>
      <x:c r="H97" s="107" t="str">
        <x:f t="array" ref="H97">IF(C97&lt;&gt;"",IF(F$7="SUMMER","N/A",_xlfn.IFS(H$10="EXAM",RECORD!GJ99,H$10="OUTPUT",RECORD!GK99,H$10="LAB",BP97,TRUE(),"")),"")</x:f>
      </x:c>
      <x:c r="I97" s="106" t="str">
        <x:f t="shared" si="25"/>
      </x:c>
      <x:c r="J97" s="108" t="str">
        <x:f t="shared" si="26"/>
      </x:c>
      <x:c r="K97" s="109" t="str">
        <x:f t="shared" si="27"/>
      </x:c>
      <x:c r="L97" s="110" t="str">
        <x:f t="array" ref="L97">IF(C97&lt;&gt;"",_xlfn.IFS(L$10="TLA",RECORD!GY99,N$10="LECTURE","",TRUE(),""),"")</x:f>
      </x:c>
      <x:c r="M97" s="105" t="str">
        <x:f t="shared" si="28"/>
      </x:c>
      <x:c r="N97" s="104" t="str">
        <x:f t="array" ref="N97">IF(C97&lt;&gt;"",_xlfn.IFS(N$10="AT",RECORD!GS99,N$10="LECTURE",AX97,TRUE(),""),"")</x:f>
      </x:c>
      <x:c r="O97" s="106" t="str">
        <x:f t="shared" si="29"/>
      </x:c>
      <x:c r="P97" s="107" t="str">
        <x:f t="array" ref="P97">IF(C97&lt;&gt;"",_xlfn.IFS(P$10="EXAM",RECORD!GT99,P$10="OUTPUT",RECORD!GU99,P$10="LAB",BX97,TRUE(),""),"")</x:f>
      </x:c>
      <x:c r="Q97" s="106" t="str">
        <x:f t="shared" si="30"/>
      </x:c>
      <x:c r="R97" s="108" t="str">
        <x:f t="shared" si="31"/>
      </x:c>
      <x:c r="S97" s="109" t="str">
        <x:f t="shared" si="32"/>
      </x:c>
      <x:c r="T97" s="110" t="str">
        <x:f t="array" ref="T97">IF(C97&lt;&gt;"",_xlfn.IFS(T$10="TLA",RECORD!HI99,V$10="LECTURE","",TRUE(),""),"")</x:f>
      </x:c>
      <x:c r="U97" s="105" t="str">
        <x:f t="shared" si="33"/>
      </x:c>
      <x:c r="V97" s="104" t="str">
        <x:f t="array" ref="V97">IF(C97&lt;&gt;"",_xlfn.IFS(V$10="AT",RECORD!HC99,V$10="LECTURE",BF97,TRUE(),""),"")</x:f>
      </x:c>
      <x:c r="W97" s="106" t="str">
        <x:f t="shared" si="34"/>
      </x:c>
      <x:c r="X97" s="107" t="str">
        <x:f t="array" ref="X97">IF(C97&lt;&gt;"",_xlfn.IFS(X$10="EXAM",RECORD!HD99,X$10="OUTPUT",RECORD!HE99,X$10="LAB",CF97,TRUE(),""),"")</x:f>
      </x:c>
      <x:c r="Y97" s="106" t="str">
        <x:f t="shared" si="35"/>
      </x:c>
      <x:c r="Z97" s="108" t="str">
        <x:f t="shared" si="36"/>
      </x:c>
      <x:c r="AA97" s="109" t="str">
        <x:f t="shared" si="37"/>
      </x:c>
      <x:c r="AB97" s="111" t="str">
        <x:f t="shared" si="38"/>
      </x:c>
      <x:c r="AC97" s="109" t="str">
        <x:f t="shared" si="39"/>
      </x:c>
      <x:c r="AD97" s="112"/>
      <x:c r="AE97" s="102"/>
      <x:c r="AF97" s="113"/>
      <x:c r="AG97" s="112"/>
      <x:c r="AH97" s="103"/>
      <x:c r="AI97" s="114"/>
      <x:c r="AJ97" s="102"/>
      <x:c r="AK97" s="102"/>
      <x:c r="AL97" s="102"/>
      <x:c r="AM97" s="102"/>
      <x:c r="AN97" s="102"/>
      <x:c r="AO97" s="102"/>
      <x:c r="AP97" s="102"/>
      <x:c r="AQ97" s="109" t="str">
        <x:f t="shared" si="40"/>
        <x:v>FAILED</x:v>
      </x:c>
      <x:c r="AR97" s="115"/>
      <x:c r="AS97" s="115"/>
      <x:c r="AT97" s="107"/>
      <x:c r="AU97" s="107"/>
      <x:c r="AV97" s="107"/>
      <x:c r="AW97" s="107"/>
      <x:c r="AX97" s="107"/>
      <x:c r="AY97" s="109" t="str">
        <x:f t="shared" si="41"/>
        <x:v>FAILED</x:v>
      </x:c>
      <x:c r="AZ97" s="115"/>
      <x:c r="BA97" s="115"/>
      <x:c r="BB97" s="107"/>
      <x:c r="BC97" s="107"/>
      <x:c r="BD97" s="107"/>
      <x:c r="BE97" s="107"/>
      <x:c r="BF97" s="107"/>
      <x:c r="BG97" s="109" t="str">
        <x:f t="shared" si="42"/>
        <x:v>FAILED</x:v>
      </x:c>
      <x:c r="BH97" s="117"/>
      <x:c r="BI97" s="102"/>
      <x:c r="BJ97" s="102"/>
      <x:c r="BK97" s="102"/>
      <x:c r="BL97" s="102"/>
      <x:c r="BM97" s="102"/>
      <x:c r="BN97" s="102"/>
      <x:c r="BO97" s="102"/>
      <x:c r="BP97" s="102"/>
      <x:c r="BQ97" s="109" t="str">
        <x:f t="shared" si="43"/>
        <x:v>FAILED</x:v>
      </x:c>
      <x:c r="BR97" s="115"/>
      <x:c r="BS97" s="115"/>
      <x:c r="BT97" s="107"/>
      <x:c r="BU97" s="107"/>
      <x:c r="BV97" s="107"/>
      <x:c r="BW97" s="107"/>
      <x:c r="BX97" s="107"/>
      <x:c r="BY97" s="109" t="str">
        <x:f t="shared" si="44"/>
        <x:v>FAILED</x:v>
      </x:c>
      <x:c r="BZ97" s="115"/>
      <x:c r="CA97" s="115"/>
      <x:c r="CB97" s="107"/>
      <x:c r="CC97" s="107"/>
      <x:c r="CD97" s="107"/>
      <x:c r="CE97" s="107"/>
      <x:c r="CF97" s="107"/>
      <x:c r="CG97" s="109" t="str">
        <x:f t="shared" si="45"/>
        <x:v>FAILED</x:v>
      </x:c>
      <x:c r="CH97" s="117"/>
    </x:row>
    <x:row r="98">
      <x:c r="A98" s="102" t="str">
        <x:f>IF(RECORD!A100="","",RECORD!A100)</x:f>
      </x:c>
      <x:c r="B98" s="102" t="str">
        <x:f>IF(RECORD!B100="","",RECORD!B100)</x:f>
      </x:c>
      <x:c r="C98" s="103" t="str">
        <x:f>IF(RECORD!C100="","",RECORD!C100)</x:f>
      </x:c>
      <x:c r="D98" s="104" t="str">
        <x:f t="array" ref="D98">IF(C98&lt;&gt;"",IF(F$7="SUMMER","N/A",_xlfn.IFS(D$10="TLA",RECORD!GO100,F$10="LECTURE","",TRUE(),"")),"")</x:f>
      </x:c>
      <x:c r="E98" s="105" t="str">
        <x:f t="shared" si="23"/>
      </x:c>
      <x:c r="F98" s="104" t="str">
        <x:f t="array" ref="F98">IF(C98&lt;&gt;"",IF(F$7="SUMMER","N/A",_xlfn.IFS(F$10="AT",RECORD!GI100,F$10="LECTURE",GRADES!AP98,TRUE(),"")),"")</x:f>
      </x:c>
      <x:c r="G98" s="106" t="str">
        <x:f t="shared" si="24"/>
      </x:c>
      <x:c r="H98" s="107" t="str">
        <x:f t="array" ref="H98">IF(C98&lt;&gt;"",IF(F$7="SUMMER","N/A",_xlfn.IFS(H$10="EXAM",RECORD!GJ100,H$10="OUTPUT",RECORD!GK100,H$10="LAB",BP98,TRUE(),"")),"")</x:f>
      </x:c>
      <x:c r="I98" s="106" t="str">
        <x:f t="shared" si="25"/>
      </x:c>
      <x:c r="J98" s="108" t="str">
        <x:f t="shared" si="26"/>
      </x:c>
      <x:c r="K98" s="109" t="str">
        <x:f t="shared" si="27"/>
      </x:c>
      <x:c r="L98" s="110" t="str">
        <x:f t="array" ref="L98">IF(C98&lt;&gt;"",_xlfn.IFS(L$10="TLA",RECORD!GY100,N$10="LECTURE","",TRUE(),""),"")</x:f>
      </x:c>
      <x:c r="M98" s="105" t="str">
        <x:f t="shared" si="28"/>
      </x:c>
      <x:c r="N98" s="104" t="str">
        <x:f t="array" ref="N98">IF(C98&lt;&gt;"",_xlfn.IFS(N$10="AT",RECORD!GS100,N$10="LECTURE",AX98,TRUE(),""),"")</x:f>
      </x:c>
      <x:c r="O98" s="106" t="str">
        <x:f t="shared" si="29"/>
      </x:c>
      <x:c r="P98" s="107" t="str">
        <x:f t="array" ref="P98">IF(C98&lt;&gt;"",_xlfn.IFS(P$10="EXAM",RECORD!GT100,P$10="OUTPUT",RECORD!GU100,P$10="LAB",BX98,TRUE(),""),"")</x:f>
      </x:c>
      <x:c r="Q98" s="106" t="str">
        <x:f t="shared" si="30"/>
      </x:c>
      <x:c r="R98" s="108" t="str">
        <x:f t="shared" si="31"/>
      </x:c>
      <x:c r="S98" s="109" t="str">
        <x:f t="shared" si="32"/>
      </x:c>
      <x:c r="T98" s="110" t="str">
        <x:f t="array" ref="T98">IF(C98&lt;&gt;"",_xlfn.IFS(T$10="TLA",RECORD!HI100,V$10="LECTURE","",TRUE(),""),"")</x:f>
      </x:c>
      <x:c r="U98" s="105" t="str">
        <x:f t="shared" si="33"/>
      </x:c>
      <x:c r="V98" s="104" t="str">
        <x:f t="array" ref="V98">IF(C98&lt;&gt;"",_xlfn.IFS(V$10="AT",RECORD!HC100,V$10="LECTURE",BF98,TRUE(),""),"")</x:f>
      </x:c>
      <x:c r="W98" s="106" t="str">
        <x:f t="shared" si="34"/>
      </x:c>
      <x:c r="X98" s="107" t="str">
        <x:f t="array" ref="X98">IF(C98&lt;&gt;"",_xlfn.IFS(X$10="EXAM",RECORD!HD100,X$10="OUTPUT",RECORD!HE100,X$10="LAB",CF98,TRUE(),""),"")</x:f>
      </x:c>
      <x:c r="Y98" s="106" t="str">
        <x:f t="shared" si="35"/>
      </x:c>
      <x:c r="Z98" s="108" t="str">
        <x:f t="shared" si="36"/>
      </x:c>
      <x:c r="AA98" s="109" t="str">
        <x:f t="shared" si="37"/>
      </x:c>
      <x:c r="AB98" s="111" t="str">
        <x:f t="shared" si="38"/>
      </x:c>
      <x:c r="AC98" s="109" t="str">
        <x:f t="shared" si="39"/>
      </x:c>
      <x:c r="AD98" s="112"/>
      <x:c r="AE98" s="102"/>
      <x:c r="AF98" s="113"/>
      <x:c r="AG98" s="112"/>
      <x:c r="AH98" s="103"/>
      <x:c r="AI98" s="114"/>
      <x:c r="AJ98" s="102"/>
      <x:c r="AK98" s="102"/>
      <x:c r="AL98" s="102"/>
      <x:c r="AM98" s="102"/>
      <x:c r="AN98" s="102"/>
      <x:c r="AO98" s="102"/>
      <x:c r="AP98" s="102"/>
      <x:c r="AQ98" s="109" t="str">
        <x:f t="shared" si="40"/>
        <x:v>FAILED</x:v>
      </x:c>
      <x:c r="AR98" s="115"/>
      <x:c r="AS98" s="115"/>
      <x:c r="AT98" s="107"/>
      <x:c r="AU98" s="107"/>
      <x:c r="AV98" s="107"/>
      <x:c r="AW98" s="107"/>
      <x:c r="AX98" s="107"/>
      <x:c r="AY98" s="109" t="str">
        <x:f t="shared" si="41"/>
        <x:v>FAILED</x:v>
      </x:c>
      <x:c r="AZ98" s="115"/>
      <x:c r="BA98" s="115"/>
      <x:c r="BB98" s="107"/>
      <x:c r="BC98" s="107"/>
      <x:c r="BD98" s="107"/>
      <x:c r="BE98" s="107"/>
      <x:c r="BF98" s="107"/>
      <x:c r="BG98" s="109" t="str">
        <x:f t="shared" si="42"/>
        <x:v>FAILED</x:v>
      </x:c>
      <x:c r="BH98" s="117"/>
      <x:c r="BI98" s="102"/>
      <x:c r="BJ98" s="102"/>
      <x:c r="BK98" s="102"/>
      <x:c r="BL98" s="102"/>
      <x:c r="BM98" s="102"/>
      <x:c r="BN98" s="102"/>
      <x:c r="BO98" s="102"/>
      <x:c r="BP98" s="102"/>
      <x:c r="BQ98" s="109" t="str">
        <x:f t="shared" si="43"/>
        <x:v>FAILED</x:v>
      </x:c>
      <x:c r="BR98" s="115"/>
      <x:c r="BS98" s="115"/>
      <x:c r="BT98" s="107"/>
      <x:c r="BU98" s="107"/>
      <x:c r="BV98" s="107"/>
      <x:c r="BW98" s="107"/>
      <x:c r="BX98" s="107"/>
      <x:c r="BY98" s="109" t="str">
        <x:f t="shared" si="44"/>
        <x:v>FAILED</x:v>
      </x:c>
      <x:c r="BZ98" s="115"/>
      <x:c r="CA98" s="115"/>
      <x:c r="CB98" s="107"/>
      <x:c r="CC98" s="107"/>
      <x:c r="CD98" s="107"/>
      <x:c r="CE98" s="107"/>
      <x:c r="CF98" s="107"/>
      <x:c r="CG98" s="109" t="str">
        <x:f t="shared" si="45"/>
        <x:v>FAILED</x:v>
      </x:c>
      <x:c r="CH98" s="117"/>
    </x:row>
    <x:row r="99">
      <x:c r="A99" s="102" t="str">
        <x:f>IF(RECORD!A101="","",RECORD!A101)</x:f>
      </x:c>
      <x:c r="B99" s="102" t="str">
        <x:f>IF(RECORD!B101="","",RECORD!B101)</x:f>
      </x:c>
      <x:c r="C99" s="103" t="str">
        <x:f>IF(RECORD!C101="","",RECORD!C101)</x:f>
      </x:c>
      <x:c r="D99" s="104" t="str">
        <x:f t="array" ref="D99">IF(C99&lt;&gt;"",IF(F$7="SUMMER","N/A",_xlfn.IFS(D$10="TLA",RECORD!GO101,F$10="LECTURE","",TRUE(),"")),"")</x:f>
      </x:c>
      <x:c r="E99" s="105" t="str">
        <x:f t="shared" si="23"/>
      </x:c>
      <x:c r="F99" s="104" t="str">
        <x:f t="array" ref="F99">IF(C99&lt;&gt;"",IF(F$7="SUMMER","N/A",_xlfn.IFS(F$10="AT",RECORD!GI101,F$10="LECTURE",GRADES!AP99,TRUE(),"")),"")</x:f>
      </x:c>
      <x:c r="G99" s="106" t="str">
        <x:f t="shared" si="24"/>
      </x:c>
      <x:c r="H99" s="107" t="str">
        <x:f t="array" ref="H99">IF(C99&lt;&gt;"",IF(F$7="SUMMER","N/A",_xlfn.IFS(H$10="EXAM",RECORD!GJ101,H$10="OUTPUT",RECORD!GK101,H$10="LAB",BP99,TRUE(),"")),"")</x:f>
      </x:c>
      <x:c r="I99" s="106" t="str">
        <x:f t="shared" si="25"/>
      </x:c>
      <x:c r="J99" s="108" t="str">
        <x:f t="shared" si="26"/>
      </x:c>
      <x:c r="K99" s="109" t="str">
        <x:f t="shared" si="27"/>
      </x:c>
      <x:c r="L99" s="110" t="str">
        <x:f t="array" ref="L99">IF(C99&lt;&gt;"",_xlfn.IFS(L$10="TLA",RECORD!GY101,N$10="LECTURE","",TRUE(),""),"")</x:f>
      </x:c>
      <x:c r="M99" s="105" t="str">
        <x:f t="shared" si="28"/>
      </x:c>
      <x:c r="N99" s="104" t="str">
        <x:f t="array" ref="N99">IF(C99&lt;&gt;"",_xlfn.IFS(N$10="AT",RECORD!GS101,N$10="LECTURE",AX99,TRUE(),""),"")</x:f>
      </x:c>
      <x:c r="O99" s="106" t="str">
        <x:f t="shared" si="29"/>
      </x:c>
      <x:c r="P99" s="107" t="str">
        <x:f t="array" ref="P99">IF(C99&lt;&gt;"",_xlfn.IFS(P$10="EXAM",RECORD!GT101,P$10="OUTPUT",RECORD!GU101,P$10="LAB",BX99,TRUE(),""),"")</x:f>
      </x:c>
      <x:c r="Q99" s="106" t="str">
        <x:f t="shared" si="30"/>
      </x:c>
      <x:c r="R99" s="108" t="str">
        <x:f t="shared" si="31"/>
      </x:c>
      <x:c r="S99" s="109" t="str">
        <x:f t="shared" si="32"/>
      </x:c>
      <x:c r="T99" s="110" t="str">
        <x:f t="array" ref="T99">IF(C99&lt;&gt;"",_xlfn.IFS(T$10="TLA",RECORD!HI101,V$10="LECTURE","",TRUE(),""),"")</x:f>
      </x:c>
      <x:c r="U99" s="105" t="str">
        <x:f t="shared" si="33"/>
      </x:c>
      <x:c r="V99" s="104" t="str">
        <x:f t="array" ref="V99">IF(C99&lt;&gt;"",_xlfn.IFS(V$10="AT",RECORD!HC101,V$10="LECTURE",BF99,TRUE(),""),"")</x:f>
      </x:c>
      <x:c r="W99" s="106" t="str">
        <x:f t="shared" si="34"/>
      </x:c>
      <x:c r="X99" s="107" t="str">
        <x:f t="array" ref="X99">IF(C99&lt;&gt;"",_xlfn.IFS(X$10="EXAM",RECORD!HD101,X$10="OUTPUT",RECORD!HE101,X$10="LAB",CF99,TRUE(),""),"")</x:f>
      </x:c>
      <x:c r="Y99" s="106" t="str">
        <x:f t="shared" si="35"/>
      </x:c>
      <x:c r="Z99" s="108" t="str">
        <x:f t="shared" si="36"/>
      </x:c>
      <x:c r="AA99" s="109" t="str">
        <x:f t="shared" si="37"/>
      </x:c>
      <x:c r="AB99" s="111" t="str">
        <x:f t="shared" si="38"/>
      </x:c>
      <x:c r="AC99" s="109" t="str">
        <x:f t="shared" si="39"/>
      </x:c>
      <x:c r="AD99" s="112"/>
      <x:c r="AE99" s="102"/>
      <x:c r="AF99" s="113"/>
      <x:c r="AG99" s="112"/>
      <x:c r="AH99" s="103"/>
      <x:c r="AI99" s="114"/>
      <x:c r="AJ99" s="102"/>
      <x:c r="AK99" s="102"/>
      <x:c r="AL99" s="102"/>
      <x:c r="AM99" s="102"/>
      <x:c r="AN99" s="102"/>
      <x:c r="AO99" s="102"/>
      <x:c r="AP99" s="102"/>
      <x:c r="AQ99" s="109" t="str">
        <x:f t="shared" si="40"/>
        <x:v>FAILED</x:v>
      </x:c>
      <x:c r="AR99" s="115"/>
      <x:c r="AS99" s="115"/>
      <x:c r="AT99" s="107"/>
      <x:c r="AU99" s="107"/>
      <x:c r="AV99" s="107"/>
      <x:c r="AW99" s="107"/>
      <x:c r="AX99" s="107"/>
      <x:c r="AY99" s="109" t="str">
        <x:f t="shared" si="41"/>
        <x:v>FAILED</x:v>
      </x:c>
      <x:c r="AZ99" s="115"/>
      <x:c r="BA99" s="115"/>
      <x:c r="BB99" s="107"/>
      <x:c r="BC99" s="107"/>
      <x:c r="BD99" s="107"/>
      <x:c r="BE99" s="107"/>
      <x:c r="BF99" s="107"/>
      <x:c r="BG99" s="109" t="str">
        <x:f t="shared" si="42"/>
        <x:v>FAILED</x:v>
      </x:c>
      <x:c r="BH99" s="117"/>
      <x:c r="BI99" s="102"/>
      <x:c r="BJ99" s="102"/>
      <x:c r="BK99" s="102"/>
      <x:c r="BL99" s="102"/>
      <x:c r="BM99" s="102"/>
      <x:c r="BN99" s="102"/>
      <x:c r="BO99" s="102"/>
      <x:c r="BP99" s="102"/>
      <x:c r="BQ99" s="109" t="str">
        <x:f t="shared" si="43"/>
        <x:v>FAILED</x:v>
      </x:c>
      <x:c r="BR99" s="115"/>
      <x:c r="BS99" s="115"/>
      <x:c r="BT99" s="107"/>
      <x:c r="BU99" s="107"/>
      <x:c r="BV99" s="107"/>
      <x:c r="BW99" s="107"/>
      <x:c r="BX99" s="107"/>
      <x:c r="BY99" s="109" t="str">
        <x:f t="shared" si="44"/>
        <x:v>FAILED</x:v>
      </x:c>
      <x:c r="BZ99" s="115"/>
      <x:c r="CA99" s="115"/>
      <x:c r="CB99" s="107"/>
      <x:c r="CC99" s="107"/>
      <x:c r="CD99" s="107"/>
      <x:c r="CE99" s="107"/>
      <x:c r="CF99" s="107"/>
      <x:c r="CG99" s="109" t="str">
        <x:f t="shared" si="45"/>
        <x:v>FAILED</x:v>
      </x:c>
      <x:c r="CH99" s="117"/>
    </x:row>
    <x:row r="100">
      <x:c r="A100" s="102" t="str">
        <x:f>IF(RECORD!A102="","",RECORD!A102)</x:f>
      </x:c>
      <x:c r="B100" s="102" t="str">
        <x:f>IF(RECORD!B102="","",RECORD!B102)</x:f>
      </x:c>
      <x:c r="C100" s="103" t="str">
        <x:f>IF(RECORD!C102="","",RECORD!C102)</x:f>
      </x:c>
      <x:c r="D100" s="104" t="str">
        <x:f t="array" ref="D100">IF(C100&lt;&gt;"",IF(F$7="SUMMER","N/A",_xlfn.IFS(D$10="TLA",RECORD!GO102,F$10="LECTURE","",TRUE(),"")),"")</x:f>
      </x:c>
      <x:c r="E100" s="105" t="str">
        <x:f t="shared" si="23"/>
      </x:c>
      <x:c r="F100" s="104" t="str">
        <x:f t="array" ref="F100">IF(C100&lt;&gt;"",IF(F$7="SUMMER","N/A",_xlfn.IFS(F$10="AT",RECORD!GI102,F$10="LECTURE",GRADES!AP100,TRUE(),"")),"")</x:f>
      </x:c>
      <x:c r="G100" s="106" t="str">
        <x:f t="shared" si="24"/>
      </x:c>
      <x:c r="H100" s="107" t="str">
        <x:f t="array" ref="H100">IF(C100&lt;&gt;"",IF(F$7="SUMMER","N/A",_xlfn.IFS(H$10="EXAM",RECORD!GJ102,H$10="OUTPUT",RECORD!GK102,H$10="LAB",BP100,TRUE(),"")),"")</x:f>
      </x:c>
      <x:c r="I100" s="106" t="str">
        <x:f t="shared" si="25"/>
      </x:c>
      <x:c r="J100" s="108" t="str">
        <x:f t="shared" si="26"/>
      </x:c>
      <x:c r="K100" s="109" t="str">
        <x:f t="shared" si="27"/>
      </x:c>
      <x:c r="L100" s="110" t="str">
        <x:f t="array" ref="L100">IF(C100&lt;&gt;"",_xlfn.IFS(L$10="TLA",RECORD!GY102,N$10="LECTURE","",TRUE(),""),"")</x:f>
      </x:c>
      <x:c r="M100" s="105" t="str">
        <x:f t="shared" si="28"/>
      </x:c>
      <x:c r="N100" s="104" t="str">
        <x:f t="array" ref="N100">IF(C100&lt;&gt;"",_xlfn.IFS(N$10="AT",RECORD!GS102,N$10="LECTURE",AX100,TRUE(),""),"")</x:f>
      </x:c>
      <x:c r="O100" s="106" t="str">
        <x:f t="shared" si="29"/>
      </x:c>
      <x:c r="P100" s="107" t="str">
        <x:f t="array" ref="P100">IF(C100&lt;&gt;"",_xlfn.IFS(P$10="EXAM",RECORD!GT102,P$10="OUTPUT",RECORD!GU102,P$10="LAB",BX100,TRUE(),""),"")</x:f>
      </x:c>
      <x:c r="Q100" s="106" t="str">
        <x:f t="shared" si="30"/>
      </x:c>
      <x:c r="R100" s="108" t="str">
        <x:f t="shared" si="31"/>
      </x:c>
      <x:c r="S100" s="109" t="str">
        <x:f t="shared" si="32"/>
      </x:c>
      <x:c r="T100" s="110" t="str">
        <x:f t="array" ref="T100">IF(C100&lt;&gt;"",_xlfn.IFS(T$10="TLA",RECORD!HI102,V$10="LECTURE","",TRUE(),""),"")</x:f>
      </x:c>
      <x:c r="U100" s="105" t="str">
        <x:f t="shared" si="33"/>
      </x:c>
      <x:c r="V100" s="104" t="str">
        <x:f t="array" ref="V100">IF(C100&lt;&gt;"",_xlfn.IFS(V$10="AT",RECORD!HC102,V$10="LECTURE",BF100,TRUE(),""),"")</x:f>
      </x:c>
      <x:c r="W100" s="106" t="str">
        <x:f t="shared" si="34"/>
      </x:c>
      <x:c r="X100" s="107" t="str">
        <x:f t="array" ref="X100">IF(C100&lt;&gt;"",_xlfn.IFS(X$10="EXAM",RECORD!HD102,X$10="OUTPUT",RECORD!HE102,X$10="LAB",CF100,TRUE(),""),"")</x:f>
      </x:c>
      <x:c r="Y100" s="106" t="str">
        <x:f t="shared" si="35"/>
      </x:c>
      <x:c r="Z100" s="108" t="str">
        <x:f t="shared" si="36"/>
      </x:c>
      <x:c r="AA100" s="109" t="str">
        <x:f t="shared" si="37"/>
      </x:c>
      <x:c r="AB100" s="111" t="str">
        <x:f t="shared" si="38"/>
      </x:c>
      <x:c r="AC100" s="109" t="str">
        <x:f t="shared" si="39"/>
      </x:c>
      <x:c r="AD100" s="112"/>
      <x:c r="AE100" s="102"/>
      <x:c r="AF100" s="113"/>
      <x:c r="AG100" s="112"/>
      <x:c r="AH100" s="103"/>
      <x:c r="AI100" s="114"/>
      <x:c r="AJ100" s="102"/>
      <x:c r="AK100" s="102"/>
      <x:c r="AL100" s="102"/>
      <x:c r="AM100" s="102"/>
      <x:c r="AN100" s="102"/>
      <x:c r="AO100" s="102"/>
      <x:c r="AP100" s="102"/>
      <x:c r="AQ100" s="109" t="str">
        <x:f t="shared" si="40"/>
        <x:v>FAILED</x:v>
      </x:c>
      <x:c r="AR100" s="115"/>
      <x:c r="AS100" s="115"/>
      <x:c r="AT100" s="107"/>
      <x:c r="AU100" s="107"/>
      <x:c r="AV100" s="107"/>
      <x:c r="AW100" s="107"/>
      <x:c r="AX100" s="107"/>
      <x:c r="AY100" s="109" t="str">
        <x:f t="shared" si="41"/>
        <x:v>FAILED</x:v>
      </x:c>
      <x:c r="AZ100" s="115"/>
      <x:c r="BA100" s="115"/>
      <x:c r="BB100" s="107"/>
      <x:c r="BC100" s="107"/>
      <x:c r="BD100" s="107"/>
      <x:c r="BE100" s="107"/>
      <x:c r="BF100" s="107"/>
      <x:c r="BG100" s="109" t="str">
        <x:f t="shared" si="42"/>
        <x:v>FAILED</x:v>
      </x:c>
      <x:c r="BH100" s="117"/>
      <x:c r="BI100" s="102"/>
      <x:c r="BJ100" s="102"/>
      <x:c r="BK100" s="102"/>
      <x:c r="BL100" s="102"/>
      <x:c r="BM100" s="102"/>
      <x:c r="BN100" s="102"/>
      <x:c r="BO100" s="102"/>
      <x:c r="BP100" s="102"/>
      <x:c r="BQ100" s="109" t="str">
        <x:f t="shared" si="43"/>
        <x:v>FAILED</x:v>
      </x:c>
      <x:c r="BR100" s="115"/>
      <x:c r="BS100" s="115"/>
      <x:c r="BT100" s="107"/>
      <x:c r="BU100" s="107"/>
      <x:c r="BV100" s="107"/>
      <x:c r="BW100" s="107"/>
      <x:c r="BX100" s="107"/>
      <x:c r="BY100" s="109" t="str">
        <x:f t="shared" si="44"/>
        <x:v>FAILED</x:v>
      </x:c>
      <x:c r="BZ100" s="115"/>
      <x:c r="CA100" s="115"/>
      <x:c r="CB100" s="107"/>
      <x:c r="CC100" s="107"/>
      <x:c r="CD100" s="107"/>
      <x:c r="CE100" s="107"/>
      <x:c r="CF100" s="107"/>
      <x:c r="CG100" s="109" t="str">
        <x:f t="shared" si="45"/>
        <x:v>FAILED</x:v>
      </x:c>
      <x:c r="CH100" s="117"/>
    </x:row>
    <x:row r="101">
      <x:c r="A101" s="102" t="str">
        <x:f>IF(RECORD!A103="","",RECORD!A103)</x:f>
      </x:c>
      <x:c r="B101" s="102" t="str">
        <x:f>IF(RECORD!B103="","",RECORD!B103)</x:f>
      </x:c>
      <x:c r="C101" s="103" t="str">
        <x:f>IF(RECORD!C103="","",RECORD!C103)</x:f>
      </x:c>
      <x:c r="D101" s="104" t="str">
        <x:f t="array" ref="D101">IF(C101&lt;&gt;"",IF(F$7="SUMMER","N/A",_xlfn.IFS(D$10="TLA",RECORD!GO103,F$10="LECTURE","",TRUE(),"")),"")</x:f>
      </x:c>
      <x:c r="E101" s="105" t="str">
        <x:f t="shared" si="23"/>
      </x:c>
      <x:c r="F101" s="104" t="str">
        <x:f t="array" ref="F101">IF(C101&lt;&gt;"",IF(F$7="SUMMER","N/A",_xlfn.IFS(F$10="AT",RECORD!GI103,F$10="LECTURE",GRADES!AP101,TRUE(),"")),"")</x:f>
      </x:c>
      <x:c r="G101" s="106" t="str">
        <x:f t="shared" si="24"/>
      </x:c>
      <x:c r="H101" s="107" t="str">
        <x:f t="array" ref="H101">IF(C101&lt;&gt;"",IF(F$7="SUMMER","N/A",_xlfn.IFS(H$10="EXAM",RECORD!GJ103,H$10="OUTPUT",RECORD!GK103,H$10="LAB",BP101,TRUE(),"")),"")</x:f>
      </x:c>
      <x:c r="I101" s="106" t="str">
        <x:f t="shared" si="25"/>
      </x:c>
      <x:c r="J101" s="108" t="str">
        <x:f t="shared" si="26"/>
      </x:c>
      <x:c r="K101" s="109" t="str">
        <x:f t="shared" si="27"/>
      </x:c>
      <x:c r="L101" s="110" t="str">
        <x:f t="array" ref="L101">IF(C101&lt;&gt;"",_xlfn.IFS(L$10="TLA",RECORD!GY103,N$10="LECTURE","",TRUE(),""),"")</x:f>
      </x:c>
      <x:c r="M101" s="105" t="str">
        <x:f t="shared" si="28"/>
      </x:c>
      <x:c r="N101" s="104" t="str">
        <x:f t="array" ref="N101">IF(C101&lt;&gt;"",_xlfn.IFS(N$10="AT",RECORD!GS103,N$10="LECTURE",AX101,TRUE(),""),"")</x:f>
      </x:c>
      <x:c r="O101" s="106" t="str">
        <x:f t="shared" si="29"/>
      </x:c>
      <x:c r="P101" s="107" t="str">
        <x:f t="array" ref="P101">IF(C101&lt;&gt;"",_xlfn.IFS(P$10="EXAM",RECORD!GT103,P$10="OUTPUT",RECORD!GU103,P$10="LAB",BX101,TRUE(),""),"")</x:f>
      </x:c>
      <x:c r="Q101" s="106" t="str">
        <x:f t="shared" si="30"/>
      </x:c>
      <x:c r="R101" s="108" t="str">
        <x:f t="shared" si="31"/>
      </x:c>
      <x:c r="S101" s="109" t="str">
        <x:f t="shared" si="32"/>
      </x:c>
      <x:c r="T101" s="110" t="str">
        <x:f t="array" ref="T101">IF(C101&lt;&gt;"",_xlfn.IFS(T$10="TLA",RECORD!HI103,V$10="LECTURE","",TRUE(),""),"")</x:f>
      </x:c>
      <x:c r="U101" s="105" t="str">
        <x:f t="shared" si="33"/>
      </x:c>
      <x:c r="V101" s="104" t="str">
        <x:f t="array" ref="V101">IF(C101&lt;&gt;"",_xlfn.IFS(V$10="AT",RECORD!HC103,V$10="LECTURE",BF101,TRUE(),""),"")</x:f>
      </x:c>
      <x:c r="W101" s="106" t="str">
        <x:f t="shared" si="34"/>
      </x:c>
      <x:c r="X101" s="107" t="str">
        <x:f t="array" ref="X101">IF(C101&lt;&gt;"",_xlfn.IFS(X$10="EXAM",RECORD!HD103,X$10="OUTPUT",RECORD!HE103,X$10="LAB",CF101,TRUE(),""),"")</x:f>
      </x:c>
      <x:c r="Y101" s="106" t="str">
        <x:f t="shared" si="35"/>
      </x:c>
      <x:c r="Z101" s="108" t="str">
        <x:f t="shared" si="36"/>
      </x:c>
      <x:c r="AA101" s="109" t="str">
        <x:f t="shared" si="37"/>
      </x:c>
      <x:c r="AB101" s="111" t="str">
        <x:f t="shared" si="38"/>
      </x:c>
      <x:c r="AC101" s="109" t="str">
        <x:f t="shared" si="39"/>
      </x:c>
      <x:c r="AD101" s="112"/>
      <x:c r="AE101" s="102"/>
      <x:c r="AF101" s="113"/>
      <x:c r="AG101" s="112"/>
      <x:c r="AH101" s="103"/>
      <x:c r="AI101" s="114"/>
      <x:c r="AJ101" s="102"/>
      <x:c r="AK101" s="102"/>
      <x:c r="AL101" s="102"/>
      <x:c r="AM101" s="102"/>
      <x:c r="AN101" s="102"/>
      <x:c r="AO101" s="102"/>
      <x:c r="AP101" s="102"/>
      <x:c r="AQ101" s="109" t="str">
        <x:f t="shared" si="40"/>
        <x:v>FAILED</x:v>
      </x:c>
      <x:c r="AR101" s="115"/>
      <x:c r="AS101" s="115"/>
      <x:c r="AT101" s="107"/>
      <x:c r="AU101" s="107"/>
      <x:c r="AV101" s="107"/>
      <x:c r="AW101" s="107"/>
      <x:c r="AX101" s="107"/>
      <x:c r="AY101" s="109" t="str">
        <x:f t="shared" si="41"/>
        <x:v>FAILED</x:v>
      </x:c>
      <x:c r="AZ101" s="115"/>
      <x:c r="BA101" s="115"/>
      <x:c r="BB101" s="107"/>
      <x:c r="BC101" s="107"/>
      <x:c r="BD101" s="107"/>
      <x:c r="BE101" s="107"/>
      <x:c r="BF101" s="107"/>
      <x:c r="BG101" s="109" t="str">
        <x:f t="shared" si="42"/>
        <x:v>FAILED</x:v>
      </x:c>
      <x:c r="BH101" s="117"/>
      <x:c r="BI101" s="102"/>
      <x:c r="BJ101" s="102"/>
      <x:c r="BK101" s="102"/>
      <x:c r="BL101" s="102"/>
      <x:c r="BM101" s="102"/>
      <x:c r="BN101" s="102"/>
      <x:c r="BO101" s="102"/>
      <x:c r="BP101" s="102"/>
      <x:c r="BQ101" s="109" t="str">
        <x:f t="shared" si="43"/>
        <x:v>FAILED</x:v>
      </x:c>
      <x:c r="BR101" s="115"/>
      <x:c r="BS101" s="115"/>
      <x:c r="BT101" s="107"/>
      <x:c r="BU101" s="107"/>
      <x:c r="BV101" s="107"/>
      <x:c r="BW101" s="107"/>
      <x:c r="BX101" s="107"/>
      <x:c r="BY101" s="109" t="str">
        <x:f t="shared" si="44"/>
        <x:v>FAILED</x:v>
      </x:c>
      <x:c r="BZ101" s="115"/>
      <x:c r="CA101" s="115"/>
      <x:c r="CB101" s="107"/>
      <x:c r="CC101" s="107"/>
      <x:c r="CD101" s="107"/>
      <x:c r="CE101" s="107"/>
      <x:c r="CF101" s="107"/>
      <x:c r="CG101" s="109" t="str">
        <x:f t="shared" si="45"/>
        <x:v>FAILED</x:v>
      </x:c>
      <x:c r="CH101" s="117"/>
    </x:row>
    <x:row r="102">
      <x:c r="A102" s="102" t="str">
        <x:f>IF(RECORD!A104="","",RECORD!A104)</x:f>
      </x:c>
      <x:c r="B102" s="102" t="str">
        <x:f>IF(RECORD!B104="","",RECORD!B104)</x:f>
      </x:c>
      <x:c r="C102" s="103" t="str">
        <x:f>IF(RECORD!C104="","",RECORD!C104)</x:f>
      </x:c>
      <x:c r="D102" s="104" t="str">
        <x:f t="array" ref="D102">IF(C102&lt;&gt;"",IF(F$7="SUMMER","N/A",_xlfn.IFS(D$10="TLA",RECORD!GO104,F$10="LECTURE","",TRUE(),"")),"")</x:f>
      </x:c>
      <x:c r="E102" s="105" t="str">
        <x:f t="shared" si="23"/>
      </x:c>
      <x:c r="F102" s="104" t="str">
        <x:f t="array" ref="F102">IF(C102&lt;&gt;"",IF(F$7="SUMMER","N/A",_xlfn.IFS(F$10="AT",RECORD!GI104,F$10="LECTURE",GRADES!AP102,TRUE(),"")),"")</x:f>
      </x:c>
      <x:c r="G102" s="106" t="str">
        <x:f t="shared" si="24"/>
      </x:c>
      <x:c r="H102" s="107" t="str">
        <x:f t="array" ref="H102">IF(C102&lt;&gt;"",IF(F$7="SUMMER","N/A",_xlfn.IFS(H$10="EXAM",RECORD!GJ104,H$10="OUTPUT",RECORD!GK104,H$10="LAB",BP102,TRUE(),"")),"")</x:f>
      </x:c>
      <x:c r="I102" s="106" t="str">
        <x:f t="shared" si="25"/>
      </x:c>
      <x:c r="J102" s="108" t="str">
        <x:f t="shared" si="26"/>
      </x:c>
      <x:c r="K102" s="109" t="str">
        <x:f t="shared" si="27"/>
      </x:c>
      <x:c r="L102" s="110" t="str">
        <x:f t="array" ref="L102">IF(C102&lt;&gt;"",_xlfn.IFS(L$10="TLA",RECORD!GY104,N$10="LECTURE","",TRUE(),""),"")</x:f>
      </x:c>
      <x:c r="M102" s="105" t="str">
        <x:f t="shared" si="28"/>
      </x:c>
      <x:c r="N102" s="104" t="str">
        <x:f t="array" ref="N102">IF(C102&lt;&gt;"",_xlfn.IFS(N$10="AT",RECORD!GS104,N$10="LECTURE",AX102,TRUE(),""),"")</x:f>
      </x:c>
      <x:c r="O102" s="106" t="str">
        <x:f t="shared" si="29"/>
      </x:c>
      <x:c r="P102" s="107" t="str">
        <x:f t="array" ref="P102">IF(C102&lt;&gt;"",_xlfn.IFS(P$10="EXAM",RECORD!GT104,P$10="OUTPUT",RECORD!GU104,P$10="LAB",BX102,TRUE(),""),"")</x:f>
      </x:c>
      <x:c r="Q102" s="106" t="str">
        <x:f t="shared" si="30"/>
      </x:c>
      <x:c r="R102" s="108" t="str">
        <x:f t="shared" si="31"/>
      </x:c>
      <x:c r="S102" s="109" t="str">
        <x:f t="shared" si="32"/>
      </x:c>
      <x:c r="T102" s="110" t="str">
        <x:f t="array" ref="T102">IF(C102&lt;&gt;"",_xlfn.IFS(T$10="TLA",RECORD!HI104,V$10="LECTURE","",TRUE(),""),"")</x:f>
      </x:c>
      <x:c r="U102" s="105" t="str">
        <x:f t="shared" si="33"/>
      </x:c>
      <x:c r="V102" s="104" t="str">
        <x:f t="array" ref="V102">IF(C102&lt;&gt;"",_xlfn.IFS(V$10="AT",RECORD!HC104,V$10="LECTURE",BF102,TRUE(),""),"")</x:f>
      </x:c>
      <x:c r="W102" s="106" t="str">
        <x:f t="shared" si="34"/>
      </x:c>
      <x:c r="X102" s="107" t="str">
        <x:f t="array" ref="X102">IF(C102&lt;&gt;"",_xlfn.IFS(X$10="EXAM",RECORD!HD104,X$10="OUTPUT",RECORD!HE104,X$10="LAB",CF102,TRUE(),""),"")</x:f>
      </x:c>
      <x:c r="Y102" s="106" t="str">
        <x:f t="shared" si="35"/>
      </x:c>
      <x:c r="Z102" s="108" t="str">
        <x:f t="shared" si="36"/>
      </x:c>
      <x:c r="AA102" s="109" t="str">
        <x:f t="shared" si="37"/>
      </x:c>
      <x:c r="AB102" s="111" t="str">
        <x:f t="shared" si="38"/>
      </x:c>
      <x:c r="AC102" s="109" t="str">
        <x:f t="shared" si="39"/>
      </x:c>
      <x:c r="AD102" s="112"/>
      <x:c r="AE102" s="102"/>
      <x:c r="AF102" s="113"/>
      <x:c r="AG102" s="112"/>
      <x:c r="AH102" s="103"/>
      <x:c r="AI102" s="114"/>
      <x:c r="AJ102" s="102"/>
      <x:c r="AK102" s="102"/>
      <x:c r="AL102" s="102"/>
      <x:c r="AM102" s="102"/>
      <x:c r="AN102" s="102"/>
      <x:c r="AO102" s="102"/>
      <x:c r="AP102" s="102"/>
      <x:c r="AQ102" s="109" t="str">
        <x:f t="shared" si="40"/>
        <x:v>FAILED</x:v>
      </x:c>
      <x:c r="AR102" s="115"/>
      <x:c r="AS102" s="115"/>
      <x:c r="AT102" s="107"/>
      <x:c r="AU102" s="107"/>
      <x:c r="AV102" s="107"/>
      <x:c r="AW102" s="107"/>
      <x:c r="AX102" s="107"/>
      <x:c r="AY102" s="109" t="str">
        <x:f t="shared" si="41"/>
        <x:v>FAILED</x:v>
      </x:c>
      <x:c r="AZ102" s="115"/>
      <x:c r="BA102" s="115"/>
      <x:c r="BB102" s="107"/>
      <x:c r="BC102" s="107"/>
      <x:c r="BD102" s="107"/>
      <x:c r="BE102" s="107"/>
      <x:c r="BF102" s="107"/>
      <x:c r="BG102" s="109" t="str">
        <x:f t="shared" si="42"/>
        <x:v>FAILED</x:v>
      </x:c>
      <x:c r="BH102" s="117"/>
      <x:c r="BI102" s="102"/>
      <x:c r="BJ102" s="102"/>
      <x:c r="BK102" s="102"/>
      <x:c r="BL102" s="102"/>
      <x:c r="BM102" s="102"/>
      <x:c r="BN102" s="102"/>
      <x:c r="BO102" s="102"/>
      <x:c r="BP102" s="102"/>
      <x:c r="BQ102" s="109" t="str">
        <x:f t="shared" si="43"/>
        <x:v>FAILED</x:v>
      </x:c>
      <x:c r="BR102" s="115"/>
      <x:c r="BS102" s="115"/>
      <x:c r="BT102" s="107"/>
      <x:c r="BU102" s="107"/>
      <x:c r="BV102" s="107"/>
      <x:c r="BW102" s="107"/>
      <x:c r="BX102" s="107"/>
      <x:c r="BY102" s="109" t="str">
        <x:f t="shared" si="44"/>
        <x:v>FAILED</x:v>
      </x:c>
      <x:c r="BZ102" s="115"/>
      <x:c r="CA102" s="115"/>
      <x:c r="CB102" s="107"/>
      <x:c r="CC102" s="107"/>
      <x:c r="CD102" s="107"/>
      <x:c r="CE102" s="107"/>
      <x:c r="CF102" s="107"/>
      <x:c r="CG102" s="109" t="str">
        <x:f t="shared" si="45"/>
        <x:v>FAILED</x:v>
      </x:c>
      <x:c r="CH102" s="117"/>
    </x:row>
    <x:row r="103">
      <x:c r="A103" s="102" t="str">
        <x:f>IF(RECORD!A105="","",RECORD!A105)</x:f>
      </x:c>
      <x:c r="B103" s="102" t="str">
        <x:f>IF(RECORD!B105="","",RECORD!B105)</x:f>
      </x:c>
      <x:c r="C103" s="103" t="str">
        <x:f>IF(RECORD!C105="","",RECORD!C105)</x:f>
      </x:c>
      <x:c r="D103" s="104" t="str">
        <x:f t="array" ref="D103">IF(C103&lt;&gt;"",IF(F$7="SUMMER","N/A",_xlfn.IFS(D$10="TLA",RECORD!GO105,F$10="LECTURE","",TRUE(),"")),"")</x:f>
      </x:c>
      <x:c r="E103" s="105" t="str">
        <x:f t="shared" si="23"/>
      </x:c>
      <x:c r="F103" s="104" t="str">
        <x:f t="array" ref="F103">IF(C103&lt;&gt;"",IF(F$7="SUMMER","N/A",_xlfn.IFS(F$10="AT",RECORD!GI105,F$10="LECTURE",GRADES!AP103,TRUE(),"")),"")</x:f>
      </x:c>
      <x:c r="G103" s="106" t="str">
        <x:f t="shared" si="24"/>
      </x:c>
      <x:c r="H103" s="107" t="str">
        <x:f t="array" ref="H103">IF(C103&lt;&gt;"",IF(F$7="SUMMER","N/A",_xlfn.IFS(H$10="EXAM",RECORD!GJ105,H$10="OUTPUT",RECORD!GK105,H$10="LAB",BP103,TRUE(),"")),"")</x:f>
      </x:c>
      <x:c r="I103" s="106" t="str">
        <x:f t="shared" si="25"/>
      </x:c>
      <x:c r="J103" s="108" t="str">
        <x:f t="shared" si="26"/>
      </x:c>
      <x:c r="K103" s="109" t="str">
        <x:f t="shared" si="27"/>
      </x:c>
      <x:c r="L103" s="110" t="str">
        <x:f t="array" ref="L103">IF(C103&lt;&gt;"",_xlfn.IFS(L$10="TLA",RECORD!GY105,N$10="LECTURE","",TRUE(),""),"")</x:f>
      </x:c>
      <x:c r="M103" s="105" t="str">
        <x:f t="shared" si="28"/>
      </x:c>
      <x:c r="N103" s="104" t="str">
        <x:f t="array" ref="N103">IF(C103&lt;&gt;"",_xlfn.IFS(N$10="AT",RECORD!GS105,N$10="LECTURE",AX103,TRUE(),""),"")</x:f>
      </x:c>
      <x:c r="O103" s="106" t="str">
        <x:f t="shared" si="29"/>
      </x:c>
      <x:c r="P103" s="107" t="str">
        <x:f t="array" ref="P103">IF(C103&lt;&gt;"",_xlfn.IFS(P$10="EXAM",RECORD!GT105,P$10="OUTPUT",RECORD!GU105,P$10="LAB",BX103,TRUE(),""),"")</x:f>
      </x:c>
      <x:c r="Q103" s="106" t="str">
        <x:f t="shared" si="30"/>
      </x:c>
      <x:c r="R103" s="108" t="str">
        <x:f t="shared" si="31"/>
      </x:c>
      <x:c r="S103" s="109" t="str">
        <x:f t="shared" si="32"/>
      </x:c>
      <x:c r="T103" s="110" t="str">
        <x:f t="array" ref="T103">IF(C103&lt;&gt;"",_xlfn.IFS(T$10="TLA",RECORD!HI105,V$10="LECTURE","",TRUE(),""),"")</x:f>
      </x:c>
      <x:c r="U103" s="105" t="str">
        <x:f t="shared" si="33"/>
      </x:c>
      <x:c r="V103" s="104" t="str">
        <x:f t="array" ref="V103">IF(C103&lt;&gt;"",_xlfn.IFS(V$10="AT",RECORD!HC105,V$10="LECTURE",BF103,TRUE(),""),"")</x:f>
      </x:c>
      <x:c r="W103" s="106" t="str">
        <x:f t="shared" si="34"/>
      </x:c>
      <x:c r="X103" s="107" t="str">
        <x:f t="array" ref="X103">IF(C103&lt;&gt;"",_xlfn.IFS(X$10="EXAM",RECORD!HD105,X$10="OUTPUT",RECORD!HE105,X$10="LAB",CF103,TRUE(),""),"")</x:f>
      </x:c>
      <x:c r="Y103" s="106" t="str">
        <x:f t="shared" si="35"/>
      </x:c>
      <x:c r="Z103" s="108" t="str">
        <x:f t="shared" si="36"/>
      </x:c>
      <x:c r="AA103" s="109" t="str">
        <x:f t="shared" si="37"/>
      </x:c>
      <x:c r="AB103" s="111" t="str">
        <x:f t="shared" si="38"/>
      </x:c>
      <x:c r="AC103" s="109" t="str">
        <x:f t="shared" si="39"/>
      </x:c>
      <x:c r="AD103" s="112"/>
      <x:c r="AE103" s="102"/>
      <x:c r="AF103" s="113"/>
      <x:c r="AG103" s="112"/>
      <x:c r="AH103" s="103"/>
      <x:c r="AI103" s="114"/>
      <x:c r="AJ103" s="102"/>
      <x:c r="AK103" s="102"/>
      <x:c r="AL103" s="102"/>
      <x:c r="AM103" s="102"/>
      <x:c r="AN103" s="102"/>
      <x:c r="AO103" s="102"/>
      <x:c r="AP103" s="102"/>
      <x:c r="AQ103" s="109" t="str">
        <x:f t="shared" si="40"/>
        <x:v>FAILED</x:v>
      </x:c>
      <x:c r="AR103" s="115"/>
      <x:c r="AS103" s="115"/>
      <x:c r="AT103" s="107"/>
      <x:c r="AU103" s="107"/>
      <x:c r="AV103" s="107"/>
      <x:c r="AW103" s="107"/>
      <x:c r="AX103" s="107"/>
      <x:c r="AY103" s="109" t="str">
        <x:f t="shared" si="41"/>
        <x:v>FAILED</x:v>
      </x:c>
      <x:c r="AZ103" s="115"/>
      <x:c r="BA103" s="115"/>
      <x:c r="BB103" s="107"/>
      <x:c r="BC103" s="107"/>
      <x:c r="BD103" s="107"/>
      <x:c r="BE103" s="107"/>
      <x:c r="BF103" s="107"/>
      <x:c r="BG103" s="109" t="str">
        <x:f t="shared" si="42"/>
        <x:v>FAILED</x:v>
      </x:c>
      <x:c r="BH103" s="117"/>
      <x:c r="BI103" s="102"/>
      <x:c r="BJ103" s="102"/>
      <x:c r="BK103" s="102"/>
      <x:c r="BL103" s="102"/>
      <x:c r="BM103" s="102"/>
      <x:c r="BN103" s="102"/>
      <x:c r="BO103" s="102"/>
      <x:c r="BP103" s="102"/>
      <x:c r="BQ103" s="109" t="str">
        <x:f t="shared" si="43"/>
        <x:v>FAILED</x:v>
      </x:c>
      <x:c r="BR103" s="115"/>
      <x:c r="BS103" s="115"/>
      <x:c r="BT103" s="107"/>
      <x:c r="BU103" s="107"/>
      <x:c r="BV103" s="107"/>
      <x:c r="BW103" s="107"/>
      <x:c r="BX103" s="107"/>
      <x:c r="BY103" s="109" t="str">
        <x:f t="shared" si="44"/>
        <x:v>FAILED</x:v>
      </x:c>
      <x:c r="BZ103" s="115"/>
      <x:c r="CA103" s="115"/>
      <x:c r="CB103" s="107"/>
      <x:c r="CC103" s="107"/>
      <x:c r="CD103" s="107"/>
      <x:c r="CE103" s="107"/>
      <x:c r="CF103" s="107"/>
      <x:c r="CG103" s="109" t="str">
        <x:f t="shared" si="45"/>
        <x:v>FAILED</x:v>
      </x:c>
      <x:c r="CH103" s="117"/>
    </x:row>
    <x:row r="104">
      <x:c r="A104" s="102" t="str">
        <x:f>IF(RECORD!A106="","",RECORD!A106)</x:f>
      </x:c>
      <x:c r="B104" s="102" t="str">
        <x:f>IF(RECORD!B106="","",RECORD!B106)</x:f>
      </x:c>
      <x:c r="C104" s="103" t="str">
        <x:f>IF(RECORD!C106="","",RECORD!C106)</x:f>
      </x:c>
      <x:c r="D104" s="104" t="str">
        <x:f t="array" ref="D104">IF(C104&lt;&gt;"",IF(F$7="SUMMER","N/A",_xlfn.IFS(D$10="TLA",RECORD!GO106,F$10="LECTURE","",TRUE(),"")),"")</x:f>
      </x:c>
      <x:c r="E104" s="105" t="str">
        <x:f t="shared" si="23"/>
      </x:c>
      <x:c r="F104" s="104" t="str">
        <x:f t="array" ref="F104">IF(C104&lt;&gt;"",IF(F$7="SUMMER","N/A",_xlfn.IFS(F$10="AT",RECORD!GI106,F$10="LECTURE",GRADES!AP104,TRUE(),"")),"")</x:f>
      </x:c>
      <x:c r="G104" s="106" t="str">
        <x:f t="shared" si="24"/>
      </x:c>
      <x:c r="H104" s="107" t="str">
        <x:f t="array" ref="H104">IF(C104&lt;&gt;"",IF(F$7="SUMMER","N/A",_xlfn.IFS(H$10="EXAM",RECORD!GJ106,H$10="OUTPUT",RECORD!GK106,H$10="LAB",BP104,TRUE(),"")),"")</x:f>
      </x:c>
      <x:c r="I104" s="106" t="str">
        <x:f t="shared" si="25"/>
      </x:c>
      <x:c r="J104" s="108" t="str">
        <x:f t="shared" si="26"/>
      </x:c>
      <x:c r="K104" s="109" t="str">
        <x:f t="shared" si="27"/>
      </x:c>
      <x:c r="L104" s="110" t="str">
        <x:f t="array" ref="L104">IF(C104&lt;&gt;"",_xlfn.IFS(L$10="TLA",RECORD!GY106,N$10="LECTURE","",TRUE(),""),"")</x:f>
      </x:c>
      <x:c r="M104" s="105" t="str">
        <x:f t="shared" si="28"/>
      </x:c>
      <x:c r="N104" s="104" t="str">
        <x:f t="array" ref="N104">IF(C104&lt;&gt;"",_xlfn.IFS(N$10="AT",RECORD!GS106,N$10="LECTURE",AX104,TRUE(),""),"")</x:f>
      </x:c>
      <x:c r="O104" s="106" t="str">
        <x:f t="shared" si="29"/>
      </x:c>
      <x:c r="P104" s="107" t="str">
        <x:f t="array" ref="P104">IF(C104&lt;&gt;"",_xlfn.IFS(P$10="EXAM",RECORD!GT106,P$10="OUTPUT",RECORD!GU106,P$10="LAB",BX104,TRUE(),""),"")</x:f>
      </x:c>
      <x:c r="Q104" s="106" t="str">
        <x:f t="shared" si="30"/>
      </x:c>
      <x:c r="R104" s="108" t="str">
        <x:f t="shared" si="31"/>
      </x:c>
      <x:c r="S104" s="109" t="str">
        <x:f t="shared" si="32"/>
      </x:c>
      <x:c r="T104" s="110" t="str">
        <x:f t="array" ref="T104">IF(C104&lt;&gt;"",_xlfn.IFS(T$10="TLA",RECORD!HI106,V$10="LECTURE","",TRUE(),""),"")</x:f>
      </x:c>
      <x:c r="U104" s="105" t="str">
        <x:f t="shared" si="33"/>
      </x:c>
      <x:c r="V104" s="104" t="str">
        <x:f t="array" ref="V104">IF(C104&lt;&gt;"",_xlfn.IFS(V$10="AT",RECORD!HC106,V$10="LECTURE",BF104,TRUE(),""),"")</x:f>
      </x:c>
      <x:c r="W104" s="106" t="str">
        <x:f t="shared" si="34"/>
      </x:c>
      <x:c r="X104" s="107" t="str">
        <x:f t="array" ref="X104">IF(C104&lt;&gt;"",_xlfn.IFS(X$10="EXAM",RECORD!HD106,X$10="OUTPUT",RECORD!HE106,X$10="LAB",CF104,TRUE(),""),"")</x:f>
      </x:c>
      <x:c r="Y104" s="106" t="str">
        <x:f t="shared" si="35"/>
      </x:c>
      <x:c r="Z104" s="108" t="str">
        <x:f t="shared" si="36"/>
      </x:c>
      <x:c r="AA104" s="109" t="str">
        <x:f t="shared" si="37"/>
      </x:c>
      <x:c r="AB104" s="111" t="str">
        <x:f t="shared" si="38"/>
      </x:c>
      <x:c r="AC104" s="109" t="str">
        <x:f t="shared" si="39"/>
      </x:c>
      <x:c r="AD104" s="112"/>
      <x:c r="AE104" s="102"/>
      <x:c r="AF104" s="113"/>
      <x:c r="AG104" s="112"/>
      <x:c r="AH104" s="103"/>
      <x:c r="AI104" s="114"/>
      <x:c r="AJ104" s="102"/>
      <x:c r="AK104" s="102"/>
      <x:c r="AL104" s="102"/>
      <x:c r="AM104" s="102"/>
      <x:c r="AN104" s="102"/>
      <x:c r="AO104" s="102"/>
      <x:c r="AP104" s="102"/>
      <x:c r="AQ104" s="109" t="str">
        <x:f t="shared" si="40"/>
        <x:v>FAILED</x:v>
      </x:c>
      <x:c r="AR104" s="115"/>
      <x:c r="AS104" s="115"/>
      <x:c r="AT104" s="107"/>
      <x:c r="AU104" s="107"/>
      <x:c r="AV104" s="107"/>
      <x:c r="AW104" s="107"/>
      <x:c r="AX104" s="107"/>
      <x:c r="AY104" s="109" t="str">
        <x:f t="shared" si="41"/>
        <x:v>FAILED</x:v>
      </x:c>
      <x:c r="AZ104" s="115"/>
      <x:c r="BA104" s="115"/>
      <x:c r="BB104" s="107"/>
      <x:c r="BC104" s="107"/>
      <x:c r="BD104" s="107"/>
      <x:c r="BE104" s="107"/>
      <x:c r="BF104" s="107"/>
      <x:c r="BG104" s="109" t="str">
        <x:f t="shared" si="42"/>
        <x:v>FAILED</x:v>
      </x:c>
      <x:c r="BH104" s="117"/>
      <x:c r="BI104" s="102"/>
      <x:c r="BJ104" s="102"/>
      <x:c r="BK104" s="102"/>
      <x:c r="BL104" s="102"/>
      <x:c r="BM104" s="102"/>
      <x:c r="BN104" s="102"/>
      <x:c r="BO104" s="102"/>
      <x:c r="BP104" s="102"/>
      <x:c r="BQ104" s="109" t="str">
        <x:f t="shared" si="43"/>
        <x:v>FAILED</x:v>
      </x:c>
      <x:c r="BR104" s="115"/>
      <x:c r="BS104" s="115"/>
      <x:c r="BT104" s="107"/>
      <x:c r="BU104" s="107"/>
      <x:c r="BV104" s="107"/>
      <x:c r="BW104" s="107"/>
      <x:c r="BX104" s="107"/>
      <x:c r="BY104" s="109" t="str">
        <x:f t="shared" si="44"/>
        <x:v>FAILED</x:v>
      </x:c>
      <x:c r="BZ104" s="115"/>
      <x:c r="CA104" s="115"/>
      <x:c r="CB104" s="107"/>
      <x:c r="CC104" s="107"/>
      <x:c r="CD104" s="107"/>
      <x:c r="CE104" s="107"/>
      <x:c r="CF104" s="107"/>
      <x:c r="CG104" s="109" t="str">
        <x:f t="shared" si="45"/>
        <x:v>FAILED</x:v>
      </x:c>
      <x:c r="CH104" s="117"/>
    </x:row>
    <x:row r="105">
      <x:c r="A105" s="102" t="str">
        <x:f>IF(RECORD!A107="","",RECORD!A107)</x:f>
      </x:c>
      <x:c r="B105" s="102" t="str">
        <x:f>IF(RECORD!B107="","",RECORD!B107)</x:f>
      </x:c>
      <x:c r="C105" s="103" t="str">
        <x:f>IF(RECORD!C107="","",RECORD!C107)</x:f>
      </x:c>
      <x:c r="D105" s="104" t="str">
        <x:f t="array" ref="D105">IF(C105&lt;&gt;"",IF(F$7="SUMMER","N/A",_xlfn.IFS(D$10="TLA",RECORD!GO107,F$10="LECTURE","",TRUE(),"")),"")</x:f>
      </x:c>
      <x:c r="E105" s="105" t="str">
        <x:f t="shared" si="23"/>
      </x:c>
      <x:c r="F105" s="104" t="str">
        <x:f t="array" ref="F105">IF(C105&lt;&gt;"",IF(F$7="SUMMER","N/A",_xlfn.IFS(F$10="AT",RECORD!GI107,F$10="LECTURE",GRADES!AP105,TRUE(),"")),"")</x:f>
      </x:c>
      <x:c r="G105" s="106" t="str">
        <x:f t="shared" si="24"/>
      </x:c>
      <x:c r="H105" s="107" t="str">
        <x:f t="array" ref="H105">IF(C105&lt;&gt;"",IF(F$7="SUMMER","N/A",_xlfn.IFS(H$10="EXAM",RECORD!GJ107,H$10="OUTPUT",RECORD!GK107,H$10="LAB",BP105,TRUE(),"")),"")</x:f>
      </x:c>
      <x:c r="I105" s="106" t="str">
        <x:f t="shared" si="25"/>
      </x:c>
      <x:c r="J105" s="108" t="str">
        <x:f t="shared" si="26"/>
      </x:c>
      <x:c r="K105" s="109" t="str">
        <x:f t="shared" si="27"/>
      </x:c>
      <x:c r="L105" s="110" t="str">
        <x:f t="array" ref="L105">IF(C105&lt;&gt;"",_xlfn.IFS(L$10="TLA",RECORD!GY107,N$10="LECTURE","",TRUE(),""),"")</x:f>
      </x:c>
      <x:c r="M105" s="105" t="str">
        <x:f t="shared" si="28"/>
      </x:c>
      <x:c r="N105" s="104" t="str">
        <x:f t="array" ref="N105">IF(C105&lt;&gt;"",_xlfn.IFS(N$10="AT",RECORD!GS107,N$10="LECTURE",AX105,TRUE(),""),"")</x:f>
      </x:c>
      <x:c r="O105" s="106" t="str">
        <x:f t="shared" si="29"/>
      </x:c>
      <x:c r="P105" s="107" t="str">
        <x:f t="array" ref="P105">IF(C105&lt;&gt;"",_xlfn.IFS(P$10="EXAM",RECORD!GT107,P$10="OUTPUT",RECORD!GU107,P$10="LAB",BX105,TRUE(),""),"")</x:f>
      </x:c>
      <x:c r="Q105" s="106" t="str">
        <x:f t="shared" si="30"/>
      </x:c>
      <x:c r="R105" s="108" t="str">
        <x:f t="shared" si="31"/>
      </x:c>
      <x:c r="S105" s="109" t="str">
        <x:f t="shared" si="32"/>
      </x:c>
      <x:c r="T105" s="110" t="str">
        <x:f t="array" ref="T105">IF(C105&lt;&gt;"",_xlfn.IFS(T$10="TLA",RECORD!HI107,V$10="LECTURE","",TRUE(),""),"")</x:f>
      </x:c>
      <x:c r="U105" s="105" t="str">
        <x:f t="shared" si="33"/>
      </x:c>
      <x:c r="V105" s="104" t="str">
        <x:f t="array" ref="V105">IF(C105&lt;&gt;"",_xlfn.IFS(V$10="AT",RECORD!HC107,V$10="LECTURE",BF105,TRUE(),""),"")</x:f>
      </x:c>
      <x:c r="W105" s="106" t="str">
        <x:f t="shared" si="34"/>
      </x:c>
      <x:c r="X105" s="107" t="str">
        <x:f t="array" ref="X105">IF(C105&lt;&gt;"",_xlfn.IFS(X$10="EXAM",RECORD!HD107,X$10="OUTPUT",RECORD!HE107,X$10="LAB",CF105,TRUE(),""),"")</x:f>
      </x:c>
      <x:c r="Y105" s="106" t="str">
        <x:f t="shared" si="35"/>
      </x:c>
      <x:c r="Z105" s="108" t="str">
        <x:f t="shared" si="36"/>
      </x:c>
      <x:c r="AA105" s="109" t="str">
        <x:f t="shared" si="37"/>
      </x:c>
      <x:c r="AB105" s="111" t="str">
        <x:f t="shared" si="38"/>
      </x:c>
      <x:c r="AC105" s="109" t="str">
        <x:f t="shared" si="39"/>
      </x:c>
      <x:c r="AD105" s="112"/>
      <x:c r="AE105" s="102"/>
      <x:c r="AF105" s="113"/>
      <x:c r="AG105" s="112"/>
      <x:c r="AH105" s="103"/>
      <x:c r="AI105" s="114"/>
      <x:c r="AJ105" s="102"/>
      <x:c r="AK105" s="102"/>
      <x:c r="AL105" s="102"/>
      <x:c r="AM105" s="102"/>
      <x:c r="AN105" s="102"/>
      <x:c r="AO105" s="102"/>
      <x:c r="AP105" s="102"/>
      <x:c r="AQ105" s="109" t="str">
        <x:f t="shared" si="40"/>
        <x:v>FAILED</x:v>
      </x:c>
      <x:c r="AR105" s="115"/>
      <x:c r="AS105" s="115"/>
      <x:c r="AT105" s="107"/>
      <x:c r="AU105" s="107"/>
      <x:c r="AV105" s="107"/>
      <x:c r="AW105" s="107"/>
      <x:c r="AX105" s="107"/>
      <x:c r="AY105" s="109" t="str">
        <x:f t="shared" si="41"/>
        <x:v>FAILED</x:v>
      </x:c>
      <x:c r="AZ105" s="115"/>
      <x:c r="BA105" s="115"/>
      <x:c r="BB105" s="107"/>
      <x:c r="BC105" s="107"/>
      <x:c r="BD105" s="107"/>
      <x:c r="BE105" s="107"/>
      <x:c r="BF105" s="107"/>
      <x:c r="BG105" s="109" t="str">
        <x:f t="shared" si="42"/>
        <x:v>FAILED</x:v>
      </x:c>
      <x:c r="BH105" s="117"/>
      <x:c r="BI105" s="102"/>
      <x:c r="BJ105" s="102"/>
      <x:c r="BK105" s="102"/>
      <x:c r="BL105" s="102"/>
      <x:c r="BM105" s="102"/>
      <x:c r="BN105" s="102"/>
      <x:c r="BO105" s="102"/>
      <x:c r="BP105" s="102"/>
      <x:c r="BQ105" s="109" t="str">
        <x:f t="shared" si="43"/>
        <x:v>FAILED</x:v>
      </x:c>
      <x:c r="BR105" s="115"/>
      <x:c r="BS105" s="115"/>
      <x:c r="BT105" s="107"/>
      <x:c r="BU105" s="107"/>
      <x:c r="BV105" s="107"/>
      <x:c r="BW105" s="107"/>
      <x:c r="BX105" s="107"/>
      <x:c r="BY105" s="109" t="str">
        <x:f t="shared" si="44"/>
        <x:v>FAILED</x:v>
      </x:c>
      <x:c r="BZ105" s="115"/>
      <x:c r="CA105" s="115"/>
      <x:c r="CB105" s="107"/>
      <x:c r="CC105" s="107"/>
      <x:c r="CD105" s="107"/>
      <x:c r="CE105" s="107"/>
      <x:c r="CF105" s="107"/>
      <x:c r="CG105" s="109" t="str">
        <x:f t="shared" si="45"/>
        <x:v>FAILED</x:v>
      </x:c>
      <x:c r="CH105" s="117"/>
    </x:row>
    <x:row r="106">
      <x:c r="A106" s="102" t="str">
        <x:f>IF(RECORD!A108="","",RECORD!A108)</x:f>
      </x:c>
      <x:c r="B106" s="102" t="str">
        <x:f>IF(RECORD!B108="","",RECORD!B108)</x:f>
      </x:c>
      <x:c r="C106" s="103" t="str">
        <x:f>IF(RECORD!C108="","",RECORD!C108)</x:f>
      </x:c>
      <x:c r="D106" s="104" t="str">
        <x:f t="array" ref="D106">IF(C106&lt;&gt;"",IF(F$7="SUMMER","N/A",_xlfn.IFS(D$10="TLA",RECORD!GO108,F$10="LECTURE","",TRUE(),"")),"")</x:f>
      </x:c>
      <x:c r="E106" s="105" t="str">
        <x:f t="shared" si="23"/>
      </x:c>
      <x:c r="F106" s="104" t="str">
        <x:f t="array" ref="F106">IF(C106&lt;&gt;"",IF(F$7="SUMMER","N/A",_xlfn.IFS(F$10="AT",RECORD!GI108,F$10="LECTURE",GRADES!AP106,TRUE(),"")),"")</x:f>
      </x:c>
      <x:c r="G106" s="106" t="str">
        <x:f t="shared" si="24"/>
      </x:c>
      <x:c r="H106" s="107" t="str">
        <x:f t="array" ref="H106">IF(C106&lt;&gt;"",IF(F$7="SUMMER","N/A",_xlfn.IFS(H$10="EXAM",RECORD!GJ108,H$10="OUTPUT",RECORD!GK108,H$10="LAB",BP106,TRUE(),"")),"")</x:f>
      </x:c>
      <x:c r="I106" s="106" t="str">
        <x:f t="shared" si="25"/>
      </x:c>
      <x:c r="J106" s="108" t="str">
        <x:f t="shared" si="26"/>
      </x:c>
      <x:c r="K106" s="109" t="str">
        <x:f t="shared" si="27"/>
      </x:c>
      <x:c r="L106" s="110" t="str">
        <x:f t="array" ref="L106">IF(C106&lt;&gt;"",_xlfn.IFS(L$10="TLA",RECORD!GY108,N$10="LECTURE","",TRUE(),""),"")</x:f>
      </x:c>
      <x:c r="M106" s="105" t="str">
        <x:f t="shared" si="28"/>
      </x:c>
      <x:c r="N106" s="104" t="str">
        <x:f t="array" ref="N106">IF(C106&lt;&gt;"",_xlfn.IFS(N$10="AT",RECORD!GS108,N$10="LECTURE",AX106,TRUE(),""),"")</x:f>
      </x:c>
      <x:c r="O106" s="106" t="str">
        <x:f t="shared" si="29"/>
      </x:c>
      <x:c r="P106" s="107" t="str">
        <x:f t="array" ref="P106">IF(C106&lt;&gt;"",_xlfn.IFS(P$10="EXAM",RECORD!GT108,P$10="OUTPUT",RECORD!GU108,P$10="LAB",BX106,TRUE(),""),"")</x:f>
      </x:c>
      <x:c r="Q106" s="106" t="str">
        <x:f t="shared" si="30"/>
      </x:c>
      <x:c r="R106" s="108" t="str">
        <x:f t="shared" si="31"/>
      </x:c>
      <x:c r="S106" s="109" t="str">
        <x:f t="shared" si="32"/>
      </x:c>
      <x:c r="T106" s="110" t="str">
        <x:f t="array" ref="T106">IF(C106&lt;&gt;"",_xlfn.IFS(T$10="TLA",RECORD!HI108,V$10="LECTURE","",TRUE(),""),"")</x:f>
      </x:c>
      <x:c r="U106" s="105" t="str">
        <x:f t="shared" si="33"/>
      </x:c>
      <x:c r="V106" s="104" t="str">
        <x:f t="array" ref="V106">IF(C106&lt;&gt;"",_xlfn.IFS(V$10="AT",RECORD!HC108,V$10="LECTURE",BF106,TRUE(),""),"")</x:f>
      </x:c>
      <x:c r="W106" s="106" t="str">
        <x:f t="shared" si="34"/>
      </x:c>
      <x:c r="X106" s="107" t="str">
        <x:f t="array" ref="X106">IF(C106&lt;&gt;"",_xlfn.IFS(X$10="EXAM",RECORD!HD108,X$10="OUTPUT",RECORD!HE108,X$10="LAB",CF106,TRUE(),""),"")</x:f>
      </x:c>
      <x:c r="Y106" s="106" t="str">
        <x:f t="shared" si="35"/>
      </x:c>
      <x:c r="Z106" s="108" t="str">
        <x:f t="shared" si="36"/>
      </x:c>
      <x:c r="AA106" s="109" t="str">
        <x:f t="shared" si="37"/>
      </x:c>
      <x:c r="AB106" s="111" t="str">
        <x:f t="shared" si="38"/>
      </x:c>
      <x:c r="AC106" s="109" t="str">
        <x:f t="shared" si="39"/>
      </x:c>
      <x:c r="AD106" s="112"/>
      <x:c r="AE106" s="102"/>
      <x:c r="AF106" s="113"/>
      <x:c r="AG106" s="112"/>
      <x:c r="AH106" s="103"/>
      <x:c r="AI106" s="114"/>
      <x:c r="AJ106" s="102"/>
      <x:c r="AK106" s="102"/>
      <x:c r="AL106" s="102"/>
      <x:c r="AM106" s="102"/>
      <x:c r="AN106" s="102"/>
      <x:c r="AO106" s="102"/>
      <x:c r="AP106" s="102"/>
      <x:c r="AQ106" s="109" t="str">
        <x:f t="shared" si="40"/>
        <x:v>FAILED</x:v>
      </x:c>
      <x:c r="AR106" s="115"/>
      <x:c r="AS106" s="115"/>
      <x:c r="AT106" s="107"/>
      <x:c r="AU106" s="107"/>
      <x:c r="AV106" s="107"/>
      <x:c r="AW106" s="107"/>
      <x:c r="AX106" s="107"/>
      <x:c r="AY106" s="109" t="str">
        <x:f t="shared" si="41"/>
        <x:v>FAILED</x:v>
      </x:c>
      <x:c r="AZ106" s="115"/>
      <x:c r="BA106" s="115"/>
      <x:c r="BB106" s="107"/>
      <x:c r="BC106" s="107"/>
      <x:c r="BD106" s="107"/>
      <x:c r="BE106" s="107"/>
      <x:c r="BF106" s="107"/>
      <x:c r="BG106" s="109" t="str">
        <x:f t="shared" si="42"/>
        <x:v>FAILED</x:v>
      </x:c>
      <x:c r="BH106" s="117"/>
      <x:c r="BI106" s="102"/>
      <x:c r="BJ106" s="102"/>
      <x:c r="BK106" s="102"/>
      <x:c r="BL106" s="102"/>
      <x:c r="BM106" s="102"/>
      <x:c r="BN106" s="102"/>
      <x:c r="BO106" s="102"/>
      <x:c r="BP106" s="102"/>
      <x:c r="BQ106" s="109" t="str">
        <x:f t="shared" si="43"/>
        <x:v>FAILED</x:v>
      </x:c>
      <x:c r="BR106" s="115"/>
      <x:c r="BS106" s="115"/>
      <x:c r="BT106" s="107"/>
      <x:c r="BU106" s="107"/>
      <x:c r="BV106" s="107"/>
      <x:c r="BW106" s="107"/>
      <x:c r="BX106" s="107"/>
      <x:c r="BY106" s="109" t="str">
        <x:f t="shared" si="44"/>
        <x:v>FAILED</x:v>
      </x:c>
      <x:c r="BZ106" s="115"/>
      <x:c r="CA106" s="115"/>
      <x:c r="CB106" s="107"/>
      <x:c r="CC106" s="107"/>
      <x:c r="CD106" s="107"/>
      <x:c r="CE106" s="107"/>
      <x:c r="CF106" s="107"/>
      <x:c r="CG106" s="109" t="str">
        <x:f t="shared" si="45"/>
        <x:v>FAILED</x:v>
      </x:c>
      <x:c r="CH106" s="117"/>
    </x:row>
    <x:row r="107">
      <x:c r="A107" s="102" t="str">
        <x:f>IF(RECORD!A109="","",RECORD!A109)</x:f>
      </x:c>
      <x:c r="B107" s="102" t="str">
        <x:f>IF(RECORD!B109="","",RECORD!B109)</x:f>
      </x:c>
      <x:c r="C107" s="103" t="str">
        <x:f>IF(RECORD!C109="","",RECORD!C109)</x:f>
      </x:c>
      <x:c r="D107" s="104" t="str">
        <x:f t="array" ref="D107">IF(C107&lt;&gt;"",IF(F$7="SUMMER","N/A",_xlfn.IFS(D$10="TLA",RECORD!GO109,F$10="LECTURE","",TRUE(),"")),"")</x:f>
      </x:c>
      <x:c r="E107" s="105" t="str">
        <x:f t="shared" si="23"/>
      </x:c>
      <x:c r="F107" s="104" t="str">
        <x:f t="array" ref="F107">IF(C107&lt;&gt;"",IF(F$7="SUMMER","N/A",_xlfn.IFS(F$10="AT",RECORD!GI109,F$10="LECTURE",GRADES!AP107,TRUE(),"")),"")</x:f>
      </x:c>
      <x:c r="G107" s="106" t="str">
        <x:f t="shared" si="24"/>
      </x:c>
      <x:c r="H107" s="107" t="str">
        <x:f t="array" ref="H107">IF(C107&lt;&gt;"",IF(F$7="SUMMER","N/A",_xlfn.IFS(H$10="EXAM",RECORD!GJ109,H$10="OUTPUT",RECORD!GK109,H$10="LAB",BP107,TRUE(),"")),"")</x:f>
      </x:c>
      <x:c r="I107" s="106" t="str">
        <x:f t="shared" si="25"/>
      </x:c>
      <x:c r="J107" s="108" t="str">
        <x:f t="shared" si="26"/>
      </x:c>
      <x:c r="K107" s="109" t="str">
        <x:f t="shared" si="27"/>
      </x:c>
      <x:c r="L107" s="110" t="str">
        <x:f t="array" ref="L107">IF(C107&lt;&gt;"",_xlfn.IFS(L$10="TLA",RECORD!GY109,N$10="LECTURE","",TRUE(),""),"")</x:f>
      </x:c>
      <x:c r="M107" s="105" t="str">
        <x:f t="shared" si="28"/>
      </x:c>
      <x:c r="N107" s="104" t="str">
        <x:f t="array" ref="N107">IF(C107&lt;&gt;"",_xlfn.IFS(N$10="AT",RECORD!GS109,N$10="LECTURE",AX107,TRUE(),""),"")</x:f>
      </x:c>
      <x:c r="O107" s="106" t="str">
        <x:f t="shared" si="29"/>
      </x:c>
      <x:c r="P107" s="107" t="str">
        <x:f t="array" ref="P107">IF(C107&lt;&gt;"",_xlfn.IFS(P$10="EXAM",RECORD!GT109,P$10="OUTPUT",RECORD!GU109,P$10="LAB",BX107,TRUE(),""),"")</x:f>
      </x:c>
      <x:c r="Q107" s="106" t="str">
        <x:f t="shared" si="30"/>
      </x:c>
      <x:c r="R107" s="108" t="str">
        <x:f t="shared" si="31"/>
      </x:c>
      <x:c r="S107" s="109" t="str">
        <x:f t="shared" si="32"/>
      </x:c>
      <x:c r="T107" s="110" t="str">
        <x:f t="array" ref="T107">IF(C107&lt;&gt;"",_xlfn.IFS(T$10="TLA",RECORD!HI109,V$10="LECTURE","",TRUE(),""),"")</x:f>
      </x:c>
      <x:c r="U107" s="105" t="str">
        <x:f t="shared" si="33"/>
      </x:c>
      <x:c r="V107" s="104" t="str">
        <x:f t="array" ref="V107">IF(C107&lt;&gt;"",_xlfn.IFS(V$10="AT",RECORD!HC109,V$10="LECTURE",BF107,TRUE(),""),"")</x:f>
      </x:c>
      <x:c r="W107" s="106" t="str">
        <x:f t="shared" si="34"/>
      </x:c>
      <x:c r="X107" s="107" t="str">
        <x:f t="array" ref="X107">IF(C107&lt;&gt;"",_xlfn.IFS(X$10="EXAM",RECORD!HD109,X$10="OUTPUT",RECORD!HE109,X$10="LAB",CF107,TRUE(),""),"")</x:f>
      </x:c>
      <x:c r="Y107" s="106" t="str">
        <x:f t="shared" si="35"/>
      </x:c>
      <x:c r="Z107" s="108" t="str">
        <x:f t="shared" si="36"/>
      </x:c>
      <x:c r="AA107" s="109" t="str">
        <x:f t="shared" si="37"/>
      </x:c>
      <x:c r="AB107" s="111" t="str">
        <x:f t="shared" si="38"/>
      </x:c>
      <x:c r="AC107" s="109" t="str">
        <x:f t="shared" si="39"/>
      </x:c>
      <x:c r="AD107" s="112"/>
      <x:c r="AE107" s="102"/>
      <x:c r="AF107" s="113"/>
      <x:c r="AG107" s="112"/>
      <x:c r="AH107" s="103"/>
      <x:c r="AI107" s="114"/>
      <x:c r="AJ107" s="102"/>
      <x:c r="AK107" s="102"/>
      <x:c r="AL107" s="102"/>
      <x:c r="AM107" s="102"/>
      <x:c r="AN107" s="102"/>
      <x:c r="AO107" s="102"/>
      <x:c r="AP107" s="102"/>
      <x:c r="AQ107" s="109" t="str">
        <x:f t="shared" si="40"/>
        <x:v>FAILED</x:v>
      </x:c>
      <x:c r="AR107" s="115"/>
      <x:c r="AS107" s="115"/>
      <x:c r="AT107" s="107"/>
      <x:c r="AU107" s="107"/>
      <x:c r="AV107" s="107"/>
      <x:c r="AW107" s="107"/>
      <x:c r="AX107" s="107"/>
      <x:c r="AY107" s="109" t="str">
        <x:f t="shared" si="41"/>
        <x:v>FAILED</x:v>
      </x:c>
      <x:c r="AZ107" s="115"/>
      <x:c r="BA107" s="115"/>
      <x:c r="BB107" s="107"/>
      <x:c r="BC107" s="107"/>
      <x:c r="BD107" s="107"/>
      <x:c r="BE107" s="107"/>
      <x:c r="BF107" s="107"/>
      <x:c r="BG107" s="109" t="str">
        <x:f t="shared" si="42"/>
        <x:v>FAILED</x:v>
      </x:c>
      <x:c r="BH107" s="117"/>
      <x:c r="BI107" s="102"/>
      <x:c r="BJ107" s="102"/>
      <x:c r="BK107" s="102"/>
      <x:c r="BL107" s="102"/>
      <x:c r="BM107" s="102"/>
      <x:c r="BN107" s="102"/>
      <x:c r="BO107" s="102"/>
      <x:c r="BP107" s="102"/>
      <x:c r="BQ107" s="109" t="str">
        <x:f t="shared" si="43"/>
        <x:v>FAILED</x:v>
      </x:c>
      <x:c r="BR107" s="115"/>
      <x:c r="BS107" s="115"/>
      <x:c r="BT107" s="107"/>
      <x:c r="BU107" s="107"/>
      <x:c r="BV107" s="107"/>
      <x:c r="BW107" s="107"/>
      <x:c r="BX107" s="107"/>
      <x:c r="BY107" s="109" t="str">
        <x:f t="shared" si="44"/>
        <x:v>FAILED</x:v>
      </x:c>
      <x:c r="BZ107" s="115"/>
      <x:c r="CA107" s="115"/>
      <x:c r="CB107" s="107"/>
      <x:c r="CC107" s="107"/>
      <x:c r="CD107" s="107"/>
      <x:c r="CE107" s="107"/>
      <x:c r="CF107" s="107"/>
      <x:c r="CG107" s="109" t="str">
        <x:f t="shared" si="45"/>
        <x:v>FAILED</x:v>
      </x:c>
      <x:c r="CH107" s="117"/>
    </x:row>
    <x:row r="108">
      <x:c r="A108" s="102" t="str">
        <x:f>IF(RECORD!A110="","",RECORD!A110)</x:f>
      </x:c>
      <x:c r="B108" s="102" t="str">
        <x:f>IF(RECORD!B110="","",RECORD!B110)</x:f>
      </x:c>
      <x:c r="C108" s="103" t="str">
        <x:f>IF(RECORD!C110="","",RECORD!C110)</x:f>
      </x:c>
      <x:c r="D108" s="104" t="str">
        <x:f t="array" ref="D108">IF(C108&lt;&gt;"",IF(F$7="SUMMER","N/A",_xlfn.IFS(D$10="TLA",RECORD!GO110,F$10="LECTURE","",TRUE(),"")),"")</x:f>
      </x:c>
      <x:c r="E108" s="105" t="str">
        <x:f t="shared" si="23"/>
      </x:c>
      <x:c r="F108" s="104" t="str">
        <x:f t="array" ref="F108">IF(C108&lt;&gt;"",IF(F$7="SUMMER","N/A",_xlfn.IFS(F$10="AT",RECORD!GI110,F$10="LECTURE",GRADES!AP108,TRUE(),"")),"")</x:f>
      </x:c>
      <x:c r="G108" s="106" t="str">
        <x:f t="shared" si="24"/>
      </x:c>
      <x:c r="H108" s="107" t="str">
        <x:f t="array" ref="H108">IF(C108&lt;&gt;"",IF(F$7="SUMMER","N/A",_xlfn.IFS(H$10="EXAM",RECORD!GJ110,H$10="OUTPUT",RECORD!GK110,H$10="LAB",BP108,TRUE(),"")),"")</x:f>
      </x:c>
      <x:c r="I108" s="106" t="str">
        <x:f t="shared" si="25"/>
      </x:c>
      <x:c r="J108" s="108" t="str">
        <x:f t="shared" si="26"/>
      </x:c>
      <x:c r="K108" s="109" t="str">
        <x:f t="shared" si="27"/>
      </x:c>
      <x:c r="L108" s="110" t="str">
        <x:f t="array" ref="L108">IF(C108&lt;&gt;"",_xlfn.IFS(L$10="TLA",RECORD!GY110,N$10="LECTURE","",TRUE(),""),"")</x:f>
      </x:c>
      <x:c r="M108" s="105" t="str">
        <x:f t="shared" si="28"/>
      </x:c>
      <x:c r="N108" s="104" t="str">
        <x:f t="array" ref="N108">IF(C108&lt;&gt;"",_xlfn.IFS(N$10="AT",RECORD!GS110,N$10="LECTURE",AX108,TRUE(),""),"")</x:f>
      </x:c>
      <x:c r="O108" s="106" t="str">
        <x:f t="shared" si="29"/>
      </x:c>
      <x:c r="P108" s="107" t="str">
        <x:f t="array" ref="P108">IF(C108&lt;&gt;"",_xlfn.IFS(P$10="EXAM",RECORD!GT110,P$10="OUTPUT",RECORD!GU110,P$10="LAB",BX108,TRUE(),""),"")</x:f>
      </x:c>
      <x:c r="Q108" s="106" t="str">
        <x:f t="shared" si="30"/>
      </x:c>
      <x:c r="R108" s="108" t="str">
        <x:f t="shared" si="31"/>
      </x:c>
      <x:c r="S108" s="109" t="str">
        <x:f t="shared" si="32"/>
      </x:c>
      <x:c r="T108" s="110" t="str">
        <x:f t="array" ref="T108">IF(C108&lt;&gt;"",_xlfn.IFS(T$10="TLA",RECORD!HI110,V$10="LECTURE","",TRUE(),""),"")</x:f>
      </x:c>
      <x:c r="U108" s="105" t="str">
        <x:f t="shared" si="33"/>
      </x:c>
      <x:c r="V108" s="104" t="str">
        <x:f t="array" ref="V108">IF(C108&lt;&gt;"",_xlfn.IFS(V$10="AT",RECORD!HC110,V$10="LECTURE",BF108,TRUE(),""),"")</x:f>
      </x:c>
      <x:c r="W108" s="106" t="str">
        <x:f t="shared" si="34"/>
      </x:c>
      <x:c r="X108" s="107" t="str">
        <x:f t="array" ref="X108">IF(C108&lt;&gt;"",_xlfn.IFS(X$10="EXAM",RECORD!HD110,X$10="OUTPUT",RECORD!HE110,X$10="LAB",CF108,TRUE(),""),"")</x:f>
      </x:c>
      <x:c r="Y108" s="106" t="str">
        <x:f t="shared" si="35"/>
      </x:c>
      <x:c r="Z108" s="108" t="str">
        <x:f t="shared" si="36"/>
      </x:c>
      <x:c r="AA108" s="109" t="str">
        <x:f t="shared" si="37"/>
      </x:c>
      <x:c r="AB108" s="111" t="str">
        <x:f t="shared" si="38"/>
      </x:c>
      <x:c r="AC108" s="109" t="str">
        <x:f t="shared" si="39"/>
      </x:c>
      <x:c r="AD108" s="112"/>
      <x:c r="AE108" s="102"/>
      <x:c r="AF108" s="113"/>
      <x:c r="AG108" s="112"/>
      <x:c r="AH108" s="103"/>
      <x:c r="AI108" s="114"/>
      <x:c r="AJ108" s="102"/>
      <x:c r="AK108" s="102"/>
      <x:c r="AL108" s="102"/>
      <x:c r="AM108" s="102"/>
      <x:c r="AN108" s="102"/>
      <x:c r="AO108" s="102"/>
      <x:c r="AP108" s="102"/>
      <x:c r="AQ108" s="109" t="str">
        <x:f t="shared" si="40"/>
        <x:v>FAILED</x:v>
      </x:c>
      <x:c r="AR108" s="115"/>
      <x:c r="AS108" s="115"/>
      <x:c r="AT108" s="107"/>
      <x:c r="AU108" s="107"/>
      <x:c r="AV108" s="107"/>
      <x:c r="AW108" s="107"/>
      <x:c r="AX108" s="107"/>
      <x:c r="AY108" s="109" t="str">
        <x:f t="shared" si="41"/>
        <x:v>FAILED</x:v>
      </x:c>
      <x:c r="AZ108" s="115"/>
      <x:c r="BA108" s="115"/>
      <x:c r="BB108" s="107"/>
      <x:c r="BC108" s="107"/>
      <x:c r="BD108" s="107"/>
      <x:c r="BE108" s="107"/>
      <x:c r="BF108" s="107"/>
      <x:c r="BG108" s="109" t="str">
        <x:f t="shared" si="42"/>
        <x:v>FAILED</x:v>
      </x:c>
      <x:c r="BH108" s="117"/>
      <x:c r="BI108" s="102"/>
      <x:c r="BJ108" s="102"/>
      <x:c r="BK108" s="102"/>
      <x:c r="BL108" s="102"/>
      <x:c r="BM108" s="102"/>
      <x:c r="BN108" s="102"/>
      <x:c r="BO108" s="102"/>
      <x:c r="BP108" s="102"/>
      <x:c r="BQ108" s="109" t="str">
        <x:f t="shared" si="43"/>
        <x:v>FAILED</x:v>
      </x:c>
      <x:c r="BR108" s="115"/>
      <x:c r="BS108" s="115"/>
      <x:c r="BT108" s="107"/>
      <x:c r="BU108" s="107"/>
      <x:c r="BV108" s="107"/>
      <x:c r="BW108" s="107"/>
      <x:c r="BX108" s="107"/>
      <x:c r="BY108" s="109" t="str">
        <x:f t="shared" si="44"/>
        <x:v>FAILED</x:v>
      </x:c>
      <x:c r="BZ108" s="115"/>
      <x:c r="CA108" s="115"/>
      <x:c r="CB108" s="107"/>
      <x:c r="CC108" s="107"/>
      <x:c r="CD108" s="107"/>
      <x:c r="CE108" s="107"/>
      <x:c r="CF108" s="107"/>
      <x:c r="CG108" s="109" t="str">
        <x:f t="shared" si="45"/>
        <x:v>FAILED</x:v>
      </x:c>
      <x:c r="CH108" s="117"/>
    </x:row>
    <x:row r="109">
      <x:c r="A109" s="102" t="str">
        <x:f>IF(RECORD!A111="","",RECORD!A111)</x:f>
      </x:c>
      <x:c r="B109" s="102" t="str">
        <x:f>IF(RECORD!B111="","",RECORD!B111)</x:f>
      </x:c>
      <x:c r="C109" s="103" t="str">
        <x:f>IF(RECORD!C111="","",RECORD!C111)</x:f>
      </x:c>
      <x:c r="D109" s="104" t="str">
        <x:f t="array" ref="D109">IF(C109&lt;&gt;"",IF(F$7="SUMMER","N/A",_xlfn.IFS(D$10="TLA",RECORD!GO111,F$10="LECTURE","",TRUE(),"")),"")</x:f>
      </x:c>
      <x:c r="E109" s="105" t="str">
        <x:f t="shared" si="23"/>
      </x:c>
      <x:c r="F109" s="104" t="str">
        <x:f t="array" ref="F109">IF(C109&lt;&gt;"",IF(F$7="SUMMER","N/A",_xlfn.IFS(F$10="AT",RECORD!GI111,F$10="LECTURE",GRADES!AP109,TRUE(),"")),"")</x:f>
      </x:c>
      <x:c r="G109" s="106" t="str">
        <x:f t="shared" si="24"/>
      </x:c>
      <x:c r="H109" s="107" t="str">
        <x:f t="array" ref="H109">IF(C109&lt;&gt;"",IF(F$7="SUMMER","N/A",_xlfn.IFS(H$10="EXAM",RECORD!GJ111,H$10="OUTPUT",RECORD!GK111,H$10="LAB",BP109,TRUE(),"")),"")</x:f>
      </x:c>
      <x:c r="I109" s="106" t="str">
        <x:f t="shared" si="25"/>
      </x:c>
      <x:c r="J109" s="108" t="str">
        <x:f t="shared" si="26"/>
      </x:c>
      <x:c r="K109" s="109" t="str">
        <x:f t="shared" si="27"/>
      </x:c>
      <x:c r="L109" s="110" t="str">
        <x:f t="array" ref="L109">IF(C109&lt;&gt;"",_xlfn.IFS(L$10="TLA",RECORD!GY111,N$10="LECTURE","",TRUE(),""),"")</x:f>
      </x:c>
      <x:c r="M109" s="105" t="str">
        <x:f t="shared" si="28"/>
      </x:c>
      <x:c r="N109" s="104" t="str">
        <x:f t="array" ref="N109">IF(C109&lt;&gt;"",_xlfn.IFS(N$10="AT",RECORD!GS111,N$10="LECTURE",AX109,TRUE(),""),"")</x:f>
      </x:c>
      <x:c r="O109" s="106" t="str">
        <x:f t="shared" si="29"/>
      </x:c>
      <x:c r="P109" s="107" t="str">
        <x:f t="array" ref="P109">IF(C109&lt;&gt;"",_xlfn.IFS(P$10="EXAM",RECORD!GT111,P$10="OUTPUT",RECORD!GU111,P$10="LAB",BX109,TRUE(),""),"")</x:f>
      </x:c>
      <x:c r="Q109" s="106" t="str">
        <x:f t="shared" si="30"/>
      </x:c>
      <x:c r="R109" s="108" t="str">
        <x:f t="shared" si="31"/>
      </x:c>
      <x:c r="S109" s="109" t="str">
        <x:f t="shared" si="32"/>
      </x:c>
      <x:c r="T109" s="110" t="str">
        <x:f t="array" ref="T109">IF(C109&lt;&gt;"",_xlfn.IFS(T$10="TLA",RECORD!HI111,V$10="LECTURE","",TRUE(),""),"")</x:f>
      </x:c>
      <x:c r="U109" s="105" t="str">
        <x:f t="shared" si="33"/>
      </x:c>
      <x:c r="V109" s="104" t="str">
        <x:f t="array" ref="V109">IF(C109&lt;&gt;"",_xlfn.IFS(V$10="AT",RECORD!HC111,V$10="LECTURE",BF109,TRUE(),""),"")</x:f>
      </x:c>
      <x:c r="W109" s="106" t="str">
        <x:f t="shared" si="34"/>
      </x:c>
      <x:c r="X109" s="107" t="str">
        <x:f t="array" ref="X109">IF(C109&lt;&gt;"",_xlfn.IFS(X$10="EXAM",RECORD!HD111,X$10="OUTPUT",RECORD!HE111,X$10="LAB",CF109,TRUE(),""),"")</x:f>
      </x:c>
      <x:c r="Y109" s="106" t="str">
        <x:f t="shared" si="35"/>
      </x:c>
      <x:c r="Z109" s="108" t="str">
        <x:f t="shared" si="36"/>
      </x:c>
      <x:c r="AA109" s="109" t="str">
        <x:f t="shared" si="37"/>
      </x:c>
      <x:c r="AB109" s="111" t="str">
        <x:f t="shared" si="38"/>
      </x:c>
      <x:c r="AC109" s="109" t="str">
        <x:f t="shared" si="39"/>
      </x:c>
      <x:c r="AD109" s="112"/>
      <x:c r="AE109" s="102"/>
      <x:c r="AF109" s="113"/>
      <x:c r="AG109" s="112"/>
      <x:c r="AH109" s="103"/>
      <x:c r="AI109" s="114"/>
      <x:c r="AJ109" s="102"/>
      <x:c r="AK109" s="102"/>
      <x:c r="AL109" s="102"/>
      <x:c r="AM109" s="102"/>
      <x:c r="AN109" s="102"/>
      <x:c r="AO109" s="102"/>
      <x:c r="AP109" s="102"/>
      <x:c r="AQ109" s="109" t="str">
        <x:f t="shared" si="40"/>
        <x:v>FAILED</x:v>
      </x:c>
      <x:c r="AR109" s="115"/>
      <x:c r="AS109" s="115"/>
      <x:c r="AT109" s="107"/>
      <x:c r="AU109" s="107"/>
      <x:c r="AV109" s="107"/>
      <x:c r="AW109" s="107"/>
      <x:c r="AX109" s="107"/>
      <x:c r="AY109" s="109" t="str">
        <x:f t="shared" si="41"/>
        <x:v>FAILED</x:v>
      </x:c>
      <x:c r="AZ109" s="115"/>
      <x:c r="BA109" s="115"/>
      <x:c r="BB109" s="107"/>
      <x:c r="BC109" s="107"/>
      <x:c r="BD109" s="107"/>
      <x:c r="BE109" s="107"/>
      <x:c r="BF109" s="107"/>
      <x:c r="BG109" s="109" t="str">
        <x:f t="shared" si="42"/>
        <x:v>FAILED</x:v>
      </x:c>
      <x:c r="BH109" s="117"/>
      <x:c r="BI109" s="102"/>
      <x:c r="BJ109" s="102"/>
      <x:c r="BK109" s="102"/>
      <x:c r="BL109" s="102"/>
      <x:c r="BM109" s="102"/>
      <x:c r="BN109" s="102"/>
      <x:c r="BO109" s="102"/>
      <x:c r="BP109" s="102"/>
      <x:c r="BQ109" s="109" t="str">
        <x:f t="shared" si="43"/>
        <x:v>FAILED</x:v>
      </x:c>
      <x:c r="BR109" s="115"/>
      <x:c r="BS109" s="115"/>
      <x:c r="BT109" s="107"/>
      <x:c r="BU109" s="107"/>
      <x:c r="BV109" s="107"/>
      <x:c r="BW109" s="107"/>
      <x:c r="BX109" s="107"/>
      <x:c r="BY109" s="109" t="str">
        <x:f t="shared" si="44"/>
        <x:v>FAILED</x:v>
      </x:c>
      <x:c r="BZ109" s="115"/>
      <x:c r="CA109" s="115"/>
      <x:c r="CB109" s="107"/>
      <x:c r="CC109" s="107"/>
      <x:c r="CD109" s="107"/>
      <x:c r="CE109" s="107"/>
      <x:c r="CF109" s="107"/>
      <x:c r="CG109" s="109" t="str">
        <x:f t="shared" si="45"/>
        <x:v>FAILED</x:v>
      </x:c>
      <x:c r="CH109" s="117"/>
    </x:row>
    <x:row r="110">
      <x:c r="A110" s="102" t="str">
        <x:f>IF(RECORD!A112="","",RECORD!A112)</x:f>
      </x:c>
      <x:c r="B110" s="102" t="str">
        <x:f>IF(RECORD!B112="","",RECORD!B112)</x:f>
      </x:c>
      <x:c r="C110" s="103" t="str">
        <x:f>IF(RECORD!C112="","",RECORD!C112)</x:f>
      </x:c>
      <x:c r="D110" s="104" t="str">
        <x:f t="array" ref="D110">IF(C110&lt;&gt;"",IF(F$7="SUMMER","N/A",_xlfn.IFS(D$10="TLA",RECORD!GO112,F$10="LECTURE","",TRUE(),"")),"")</x:f>
      </x:c>
      <x:c r="E110" s="105" t="str">
        <x:f t="shared" si="23"/>
      </x:c>
      <x:c r="F110" s="104" t="str">
        <x:f t="array" ref="F110">IF(C110&lt;&gt;"",IF(F$7="SUMMER","N/A",_xlfn.IFS(F$10="AT",RECORD!GI112,F$10="LECTURE",GRADES!AP110,TRUE(),"")),"")</x:f>
      </x:c>
      <x:c r="G110" s="106" t="str">
        <x:f t="shared" si="24"/>
      </x:c>
      <x:c r="H110" s="107" t="str">
        <x:f t="array" ref="H110">IF(C110&lt;&gt;"",IF(F$7="SUMMER","N/A",_xlfn.IFS(H$10="EXAM",RECORD!GJ112,H$10="OUTPUT",RECORD!GK112,H$10="LAB",BP110,TRUE(),"")),"")</x:f>
      </x:c>
      <x:c r="I110" s="106" t="str">
        <x:f t="shared" si="25"/>
      </x:c>
      <x:c r="J110" s="108" t="str">
        <x:f t="shared" si="26"/>
      </x:c>
      <x:c r="K110" s="109" t="str">
        <x:f t="shared" si="27"/>
      </x:c>
      <x:c r="L110" s="110" t="str">
        <x:f t="array" ref="L110">IF(C110&lt;&gt;"",_xlfn.IFS(L$10="TLA",RECORD!GY112,N$10="LECTURE","",TRUE(),""),"")</x:f>
      </x:c>
      <x:c r="M110" s="105" t="str">
        <x:f t="shared" si="28"/>
      </x:c>
      <x:c r="N110" s="104" t="str">
        <x:f t="array" ref="N110">IF(C110&lt;&gt;"",_xlfn.IFS(N$10="AT",RECORD!GS112,N$10="LECTURE",AX110,TRUE(),""),"")</x:f>
      </x:c>
      <x:c r="O110" s="106" t="str">
        <x:f t="shared" si="29"/>
      </x:c>
      <x:c r="P110" s="107" t="str">
        <x:f t="array" ref="P110">IF(C110&lt;&gt;"",_xlfn.IFS(P$10="EXAM",RECORD!GT112,P$10="OUTPUT",RECORD!GU112,P$10="LAB",BX110,TRUE(),""),"")</x:f>
      </x:c>
      <x:c r="Q110" s="106" t="str">
        <x:f t="shared" si="30"/>
      </x:c>
      <x:c r="R110" s="108" t="str">
        <x:f t="shared" si="31"/>
      </x:c>
      <x:c r="S110" s="109" t="str">
        <x:f t="shared" si="32"/>
      </x:c>
      <x:c r="T110" s="110" t="str">
        <x:f t="array" ref="T110">IF(C110&lt;&gt;"",_xlfn.IFS(T$10="TLA",RECORD!HI112,V$10="LECTURE","",TRUE(),""),"")</x:f>
      </x:c>
      <x:c r="U110" s="105" t="str">
        <x:f t="shared" si="33"/>
      </x:c>
      <x:c r="V110" s="104" t="str">
        <x:f t="array" ref="V110">IF(C110&lt;&gt;"",_xlfn.IFS(V$10="AT",RECORD!HC112,V$10="LECTURE",BF110,TRUE(),""),"")</x:f>
      </x:c>
      <x:c r="W110" s="106" t="str">
        <x:f t="shared" si="34"/>
      </x:c>
      <x:c r="X110" s="107" t="str">
        <x:f t="array" ref="X110">IF(C110&lt;&gt;"",_xlfn.IFS(X$10="EXAM",RECORD!HD112,X$10="OUTPUT",RECORD!HE112,X$10="LAB",CF110,TRUE(),""),"")</x:f>
      </x:c>
      <x:c r="Y110" s="106" t="str">
        <x:f t="shared" si="35"/>
      </x:c>
      <x:c r="Z110" s="108" t="str">
        <x:f t="shared" si="36"/>
      </x:c>
      <x:c r="AA110" s="109" t="str">
        <x:f t="shared" si="37"/>
      </x:c>
      <x:c r="AB110" s="111" t="str">
        <x:f t="shared" si="38"/>
      </x:c>
      <x:c r="AC110" s="109" t="str">
        <x:f t="shared" si="39"/>
      </x:c>
      <x:c r="AD110" s="112"/>
      <x:c r="AE110" s="102"/>
      <x:c r="AF110" s="113"/>
      <x:c r="AG110" s="112"/>
      <x:c r="AH110" s="103"/>
      <x:c r="AI110" s="114"/>
      <x:c r="AJ110" s="102"/>
      <x:c r="AK110" s="102"/>
      <x:c r="AL110" s="102"/>
      <x:c r="AM110" s="102"/>
      <x:c r="AN110" s="102"/>
      <x:c r="AO110" s="102"/>
      <x:c r="AP110" s="102"/>
      <x:c r="AQ110" s="109" t="str">
        <x:f t="shared" si="40"/>
        <x:v>FAILED</x:v>
      </x:c>
      <x:c r="AR110" s="115"/>
      <x:c r="AS110" s="115"/>
      <x:c r="AT110" s="107"/>
      <x:c r="AU110" s="107"/>
      <x:c r="AV110" s="107"/>
      <x:c r="AW110" s="107"/>
      <x:c r="AX110" s="107"/>
      <x:c r="AY110" s="109" t="str">
        <x:f t="shared" si="41"/>
        <x:v>FAILED</x:v>
      </x:c>
      <x:c r="AZ110" s="115"/>
      <x:c r="BA110" s="115"/>
      <x:c r="BB110" s="107"/>
      <x:c r="BC110" s="107"/>
      <x:c r="BD110" s="107"/>
      <x:c r="BE110" s="107"/>
      <x:c r="BF110" s="107"/>
      <x:c r="BG110" s="109" t="str">
        <x:f t="shared" si="42"/>
        <x:v>FAILED</x:v>
      </x:c>
      <x:c r="BH110" s="117"/>
      <x:c r="BI110" s="102"/>
      <x:c r="BJ110" s="102"/>
      <x:c r="BK110" s="102"/>
      <x:c r="BL110" s="102"/>
      <x:c r="BM110" s="102"/>
      <x:c r="BN110" s="102"/>
      <x:c r="BO110" s="102"/>
      <x:c r="BP110" s="102"/>
      <x:c r="BQ110" s="109" t="str">
        <x:f t="shared" si="43"/>
        <x:v>FAILED</x:v>
      </x:c>
      <x:c r="BR110" s="115"/>
      <x:c r="BS110" s="115"/>
      <x:c r="BT110" s="107"/>
      <x:c r="BU110" s="107"/>
      <x:c r="BV110" s="107"/>
      <x:c r="BW110" s="107"/>
      <x:c r="BX110" s="107"/>
      <x:c r="BY110" s="109" t="str">
        <x:f t="shared" si="44"/>
        <x:v>FAILED</x:v>
      </x:c>
      <x:c r="BZ110" s="115"/>
      <x:c r="CA110" s="115"/>
      <x:c r="CB110" s="107"/>
      <x:c r="CC110" s="107"/>
      <x:c r="CD110" s="107"/>
      <x:c r="CE110" s="107"/>
      <x:c r="CF110" s="107"/>
      <x:c r="CG110" s="109" t="str">
        <x:f t="shared" si="45"/>
        <x:v>FAILED</x:v>
      </x:c>
      <x:c r="CH110" s="117"/>
    </x:row>
    <x:row r="111">
      <x:c r="A111" s="102" t="str">
        <x:f>IF(RECORD!A113="","",RECORD!A113)</x:f>
      </x:c>
      <x:c r="B111" s="102" t="str">
        <x:f>IF(RECORD!B113="","",RECORD!B113)</x:f>
      </x:c>
      <x:c r="C111" s="103" t="str">
        <x:f>IF(RECORD!C113="","",RECORD!C113)</x:f>
      </x:c>
      <x:c r="D111" s="104" t="str">
        <x:f t="array" ref="D111">IF(C111&lt;&gt;"",IF(F$7="SUMMER","N/A",_xlfn.IFS(D$10="TLA",RECORD!GO113,F$10="LECTURE","",TRUE(),"")),"")</x:f>
      </x:c>
      <x:c r="E111" s="105" t="str">
        <x:f t="shared" si="23"/>
      </x:c>
      <x:c r="F111" s="104" t="str">
        <x:f t="array" ref="F111">IF(C111&lt;&gt;"",IF(F$7="SUMMER","N/A",_xlfn.IFS(F$10="AT",RECORD!GI113,F$10="LECTURE",GRADES!AP111,TRUE(),"")),"")</x:f>
      </x:c>
      <x:c r="G111" s="106" t="str">
        <x:f t="shared" si="24"/>
      </x:c>
      <x:c r="H111" s="107" t="str">
        <x:f t="array" ref="H111">IF(C111&lt;&gt;"",IF(F$7="SUMMER","N/A",_xlfn.IFS(H$10="EXAM",RECORD!GJ113,H$10="OUTPUT",RECORD!GK113,H$10="LAB",BP111,TRUE(),"")),"")</x:f>
      </x:c>
      <x:c r="I111" s="106" t="str">
        <x:f t="shared" si="25"/>
      </x:c>
      <x:c r="J111" s="108" t="str">
        <x:f t="shared" si="26"/>
      </x:c>
      <x:c r="K111" s="109" t="str">
        <x:f t="shared" si="27"/>
      </x:c>
      <x:c r="L111" s="110" t="str">
        <x:f t="array" ref="L111">IF(C111&lt;&gt;"",_xlfn.IFS(L$10="TLA",RECORD!GY113,N$10="LECTURE","",TRUE(),""),"")</x:f>
      </x:c>
      <x:c r="M111" s="105" t="str">
        <x:f t="shared" si="28"/>
      </x:c>
      <x:c r="N111" s="104" t="str">
        <x:f t="array" ref="N111">IF(C111&lt;&gt;"",_xlfn.IFS(N$10="AT",RECORD!GS113,N$10="LECTURE",AX111,TRUE(),""),"")</x:f>
      </x:c>
      <x:c r="O111" s="106" t="str">
        <x:f t="shared" si="29"/>
      </x:c>
      <x:c r="P111" s="107" t="str">
        <x:f t="array" ref="P111">IF(C111&lt;&gt;"",_xlfn.IFS(P$10="EXAM",RECORD!GT113,P$10="OUTPUT",RECORD!GU113,P$10="LAB",BX111,TRUE(),""),"")</x:f>
      </x:c>
      <x:c r="Q111" s="106" t="str">
        <x:f t="shared" si="30"/>
      </x:c>
      <x:c r="R111" s="108" t="str">
        <x:f t="shared" si="31"/>
      </x:c>
      <x:c r="S111" s="109" t="str">
        <x:f t="shared" si="32"/>
      </x:c>
      <x:c r="T111" s="110" t="str">
        <x:f t="array" ref="T111">IF(C111&lt;&gt;"",_xlfn.IFS(T$10="TLA",RECORD!HI113,V$10="LECTURE","",TRUE(),""),"")</x:f>
      </x:c>
      <x:c r="U111" s="105" t="str">
        <x:f t="shared" si="33"/>
      </x:c>
      <x:c r="V111" s="104" t="str">
        <x:f t="array" ref="V111">IF(C111&lt;&gt;"",_xlfn.IFS(V$10="AT",RECORD!HC113,V$10="LECTURE",BF111,TRUE(),""),"")</x:f>
      </x:c>
      <x:c r="W111" s="106" t="str">
        <x:f t="shared" si="34"/>
      </x:c>
      <x:c r="X111" s="107" t="str">
        <x:f t="array" ref="X111">IF(C111&lt;&gt;"",_xlfn.IFS(X$10="EXAM",RECORD!HD113,X$10="OUTPUT",RECORD!HE113,X$10="LAB",CF111,TRUE(),""),"")</x:f>
      </x:c>
      <x:c r="Y111" s="106" t="str">
        <x:f t="shared" si="35"/>
      </x:c>
      <x:c r="Z111" s="108" t="str">
        <x:f t="shared" si="36"/>
      </x:c>
      <x:c r="AA111" s="109" t="str">
        <x:f t="shared" si="37"/>
      </x:c>
      <x:c r="AB111" s="111" t="str">
        <x:f t="shared" si="38"/>
      </x:c>
      <x:c r="AC111" s="109" t="str">
        <x:f t="shared" si="39"/>
      </x:c>
      <x:c r="AD111" s="112"/>
      <x:c r="AE111" s="102"/>
      <x:c r="AF111" s="113"/>
      <x:c r="AG111" s="112"/>
      <x:c r="AH111" s="103"/>
      <x:c r="AI111" s="114"/>
      <x:c r="AJ111" s="102"/>
      <x:c r="AK111" s="102"/>
      <x:c r="AL111" s="102"/>
      <x:c r="AM111" s="102"/>
      <x:c r="AN111" s="102"/>
      <x:c r="AO111" s="102"/>
      <x:c r="AP111" s="102"/>
      <x:c r="AQ111" s="109" t="str">
        <x:f t="shared" si="40"/>
        <x:v>FAILED</x:v>
      </x:c>
      <x:c r="AR111" s="115"/>
      <x:c r="AS111" s="115"/>
      <x:c r="AT111" s="107"/>
      <x:c r="AU111" s="107"/>
      <x:c r="AV111" s="107"/>
      <x:c r="AW111" s="107"/>
      <x:c r="AX111" s="107"/>
      <x:c r="AY111" s="109" t="str">
        <x:f t="shared" si="41"/>
        <x:v>FAILED</x:v>
      </x:c>
      <x:c r="AZ111" s="115"/>
      <x:c r="BA111" s="115"/>
      <x:c r="BB111" s="107"/>
      <x:c r="BC111" s="107"/>
      <x:c r="BD111" s="107"/>
      <x:c r="BE111" s="107"/>
      <x:c r="BF111" s="107"/>
      <x:c r="BG111" s="109" t="str">
        <x:f t="shared" si="42"/>
        <x:v>FAILED</x:v>
      </x:c>
      <x:c r="BH111" s="117"/>
      <x:c r="BI111" s="102"/>
      <x:c r="BJ111" s="102"/>
      <x:c r="BK111" s="102"/>
      <x:c r="BL111" s="102"/>
      <x:c r="BM111" s="102"/>
      <x:c r="BN111" s="102"/>
      <x:c r="BO111" s="102"/>
      <x:c r="BP111" s="102"/>
      <x:c r="BQ111" s="109" t="str">
        <x:f t="shared" si="43"/>
        <x:v>FAILED</x:v>
      </x:c>
      <x:c r="BR111" s="115"/>
      <x:c r="BS111" s="115"/>
      <x:c r="BT111" s="107"/>
      <x:c r="BU111" s="107"/>
      <x:c r="BV111" s="107"/>
      <x:c r="BW111" s="107"/>
      <x:c r="BX111" s="107"/>
      <x:c r="BY111" s="109" t="str">
        <x:f t="shared" si="44"/>
        <x:v>FAILED</x:v>
      </x:c>
      <x:c r="BZ111" s="115"/>
      <x:c r="CA111" s="115"/>
      <x:c r="CB111" s="107"/>
      <x:c r="CC111" s="107"/>
      <x:c r="CD111" s="107"/>
      <x:c r="CE111" s="107"/>
      <x:c r="CF111" s="107"/>
      <x:c r="CG111" s="109" t="str">
        <x:f t="shared" si="45"/>
        <x:v>FAILED</x:v>
      </x:c>
      <x:c r="CH111" s="117"/>
    </x:row>
    <x:row r="112">
      <x:c r="A112" s="102" t="str">
        <x:f>IF(RECORD!A114="","",RECORD!A114)</x:f>
      </x:c>
      <x:c r="B112" s="102" t="str">
        <x:f>IF(RECORD!B114="","",RECORD!B114)</x:f>
      </x:c>
      <x:c r="C112" s="103" t="str">
        <x:f>IF(RECORD!C114="","",RECORD!C114)</x:f>
      </x:c>
      <x:c r="D112" s="104" t="str">
        <x:f t="array" ref="D112">IF(C112&lt;&gt;"",IF(F$7="SUMMER","N/A",_xlfn.IFS(D$10="TLA",RECORD!GO114,F$10="LECTURE","",TRUE(),"")),"")</x:f>
      </x:c>
      <x:c r="E112" s="105" t="str">
        <x:f t="shared" si="23"/>
      </x:c>
      <x:c r="F112" s="104" t="str">
        <x:f t="array" ref="F112">IF(C112&lt;&gt;"",IF(F$7="SUMMER","N/A",_xlfn.IFS(F$10="AT",RECORD!GI114,F$10="LECTURE",GRADES!AP112,TRUE(),"")),"")</x:f>
      </x:c>
      <x:c r="G112" s="106" t="str">
        <x:f t="shared" si="24"/>
      </x:c>
      <x:c r="H112" s="107" t="str">
        <x:f t="array" ref="H112">IF(C112&lt;&gt;"",IF(F$7="SUMMER","N/A",_xlfn.IFS(H$10="EXAM",RECORD!GJ114,H$10="OUTPUT",RECORD!GK114,H$10="LAB",BP112,TRUE(),"")),"")</x:f>
      </x:c>
      <x:c r="I112" s="106" t="str">
        <x:f t="shared" si="25"/>
      </x:c>
      <x:c r="J112" s="108" t="str">
        <x:f t="shared" si="26"/>
      </x:c>
      <x:c r="K112" s="109" t="str">
        <x:f t="shared" si="27"/>
      </x:c>
      <x:c r="L112" s="110" t="str">
        <x:f t="array" ref="L112">IF(C112&lt;&gt;"",_xlfn.IFS(L$10="TLA",RECORD!GY114,N$10="LECTURE","",TRUE(),""),"")</x:f>
      </x:c>
      <x:c r="M112" s="105" t="str">
        <x:f t="shared" si="28"/>
      </x:c>
      <x:c r="N112" s="104" t="str">
        <x:f t="array" ref="N112">IF(C112&lt;&gt;"",_xlfn.IFS(N$10="AT",RECORD!GS114,N$10="LECTURE",AX112,TRUE(),""),"")</x:f>
      </x:c>
      <x:c r="O112" s="106" t="str">
        <x:f t="shared" si="29"/>
      </x:c>
      <x:c r="P112" s="107" t="str">
        <x:f t="array" ref="P112">IF(C112&lt;&gt;"",_xlfn.IFS(P$10="EXAM",RECORD!GT114,P$10="OUTPUT",RECORD!GU114,P$10="LAB",BX112,TRUE(),""),"")</x:f>
      </x:c>
      <x:c r="Q112" s="106" t="str">
        <x:f t="shared" si="30"/>
      </x:c>
      <x:c r="R112" s="108" t="str">
        <x:f t="shared" si="31"/>
      </x:c>
      <x:c r="S112" s="109" t="str">
        <x:f t="shared" si="32"/>
      </x:c>
      <x:c r="T112" s="110" t="str">
        <x:f t="array" ref="T112">IF(C112&lt;&gt;"",_xlfn.IFS(T$10="TLA",RECORD!HI114,V$10="LECTURE","",TRUE(),""),"")</x:f>
      </x:c>
      <x:c r="U112" s="105" t="str">
        <x:f t="shared" si="33"/>
      </x:c>
      <x:c r="V112" s="104" t="str">
        <x:f t="array" ref="V112">IF(C112&lt;&gt;"",_xlfn.IFS(V$10="AT",RECORD!HC114,V$10="LECTURE",BF112,TRUE(),""),"")</x:f>
      </x:c>
      <x:c r="W112" s="106" t="str">
        <x:f t="shared" si="34"/>
      </x:c>
      <x:c r="X112" s="107" t="str">
        <x:f t="array" ref="X112">IF(C112&lt;&gt;"",_xlfn.IFS(X$10="EXAM",RECORD!HD114,X$10="OUTPUT",RECORD!HE114,X$10="LAB",CF112,TRUE(),""),"")</x:f>
      </x:c>
      <x:c r="Y112" s="106" t="str">
        <x:f t="shared" si="35"/>
      </x:c>
      <x:c r="Z112" s="108" t="str">
        <x:f t="shared" si="36"/>
      </x:c>
      <x:c r="AA112" s="109" t="str">
        <x:f t="shared" si="37"/>
      </x:c>
      <x:c r="AB112" s="111" t="str">
        <x:f t="shared" si="38"/>
      </x:c>
      <x:c r="AC112" s="109" t="str">
        <x:f t="shared" si="39"/>
      </x:c>
      <x:c r="AD112" s="112"/>
      <x:c r="AE112" s="102"/>
      <x:c r="AF112" s="113"/>
      <x:c r="AG112" s="112"/>
      <x:c r="AH112" s="103"/>
      <x:c r="AI112" s="114"/>
      <x:c r="AJ112" s="102"/>
      <x:c r="AK112" s="102"/>
      <x:c r="AL112" s="102"/>
      <x:c r="AM112" s="102"/>
      <x:c r="AN112" s="102"/>
      <x:c r="AO112" s="102"/>
      <x:c r="AP112" s="102"/>
      <x:c r="AQ112" s="109" t="str">
        <x:f t="shared" si="40"/>
        <x:v>FAILED</x:v>
      </x:c>
      <x:c r="AR112" s="115"/>
      <x:c r="AS112" s="115"/>
      <x:c r="AT112" s="107"/>
      <x:c r="AU112" s="107"/>
      <x:c r="AV112" s="107"/>
      <x:c r="AW112" s="107"/>
      <x:c r="AX112" s="107"/>
      <x:c r="AY112" s="109" t="str">
        <x:f t="shared" si="41"/>
        <x:v>FAILED</x:v>
      </x:c>
      <x:c r="AZ112" s="115"/>
      <x:c r="BA112" s="115"/>
      <x:c r="BB112" s="107"/>
      <x:c r="BC112" s="107"/>
      <x:c r="BD112" s="107"/>
      <x:c r="BE112" s="107"/>
      <x:c r="BF112" s="107"/>
      <x:c r="BG112" s="109" t="str">
        <x:f t="shared" si="42"/>
        <x:v>FAILED</x:v>
      </x:c>
      <x:c r="BH112" s="117"/>
      <x:c r="BI112" s="102"/>
      <x:c r="BJ112" s="102"/>
      <x:c r="BK112" s="102"/>
      <x:c r="BL112" s="102"/>
      <x:c r="BM112" s="102"/>
      <x:c r="BN112" s="102"/>
      <x:c r="BO112" s="102"/>
      <x:c r="BP112" s="102"/>
      <x:c r="BQ112" s="109" t="str">
        <x:f t="shared" si="43"/>
        <x:v>FAILED</x:v>
      </x:c>
      <x:c r="BR112" s="115"/>
      <x:c r="BS112" s="115"/>
      <x:c r="BT112" s="107"/>
      <x:c r="BU112" s="107"/>
      <x:c r="BV112" s="107"/>
      <x:c r="BW112" s="107"/>
      <x:c r="BX112" s="107"/>
      <x:c r="BY112" s="109" t="str">
        <x:f t="shared" si="44"/>
        <x:v>FAILED</x:v>
      </x:c>
      <x:c r="BZ112" s="115"/>
      <x:c r="CA112" s="115"/>
      <x:c r="CB112" s="107"/>
      <x:c r="CC112" s="107"/>
      <x:c r="CD112" s="107"/>
      <x:c r="CE112" s="107"/>
      <x:c r="CF112" s="107"/>
      <x:c r="CG112" s="109" t="str">
        <x:f t="shared" si="45"/>
        <x:v>FAILED</x:v>
      </x:c>
      <x:c r="CH112" s="117"/>
    </x:row>
    <x:row r="113">
      <x:c r="A113" s="102" t="str">
        <x:f>IF(RECORD!A115="","",RECORD!A115)</x:f>
      </x:c>
      <x:c r="B113" s="102" t="str">
        <x:f>IF(RECORD!B115="","",RECORD!B115)</x:f>
      </x:c>
      <x:c r="C113" s="103" t="str">
        <x:f>IF(RECORD!C115="","",RECORD!C115)</x:f>
      </x:c>
      <x:c r="D113" s="104" t="str">
        <x:f t="array" ref="D113">IF(C113&lt;&gt;"",IF(F$7="SUMMER","N/A",_xlfn.IFS(D$10="TLA",RECORD!GO115,F$10="LECTURE","",TRUE(),"")),"")</x:f>
      </x:c>
      <x:c r="E113" s="105" t="str">
        <x:f t="shared" si="23"/>
      </x:c>
      <x:c r="F113" s="104" t="str">
        <x:f t="array" ref="F113">IF(C113&lt;&gt;"",IF(F$7="SUMMER","N/A",_xlfn.IFS(F$10="AT",RECORD!GI115,F$10="LECTURE",GRADES!AP113,TRUE(),"")),"")</x:f>
      </x:c>
      <x:c r="G113" s="106" t="str">
        <x:f t="shared" si="24"/>
      </x:c>
      <x:c r="H113" s="107" t="str">
        <x:f t="array" ref="H113">IF(C113&lt;&gt;"",IF(F$7="SUMMER","N/A",_xlfn.IFS(H$10="EXAM",RECORD!GJ115,H$10="OUTPUT",RECORD!GK115,H$10="LAB",BP113,TRUE(),"")),"")</x:f>
      </x:c>
      <x:c r="I113" s="106" t="str">
        <x:f t="shared" si="25"/>
      </x:c>
      <x:c r="J113" s="108" t="str">
        <x:f t="shared" si="26"/>
      </x:c>
      <x:c r="K113" s="109" t="str">
        <x:f t="shared" si="27"/>
      </x:c>
      <x:c r="L113" s="110" t="str">
        <x:f t="array" ref="L113">IF(C113&lt;&gt;"",_xlfn.IFS(L$10="TLA",RECORD!GY115,N$10="LECTURE","",TRUE(),""),"")</x:f>
      </x:c>
      <x:c r="M113" s="105" t="str">
        <x:f t="shared" si="28"/>
      </x:c>
      <x:c r="N113" s="104" t="str">
        <x:f t="array" ref="N113">IF(C113&lt;&gt;"",_xlfn.IFS(N$10="AT",RECORD!GS115,N$10="LECTURE",AX113,TRUE(),""),"")</x:f>
      </x:c>
      <x:c r="O113" s="106" t="str">
        <x:f t="shared" si="29"/>
      </x:c>
      <x:c r="P113" s="107" t="str">
        <x:f t="array" ref="P113">IF(C113&lt;&gt;"",_xlfn.IFS(P$10="EXAM",RECORD!GT115,P$10="OUTPUT",RECORD!GU115,P$10="LAB",BX113,TRUE(),""),"")</x:f>
      </x:c>
      <x:c r="Q113" s="106" t="str">
        <x:f t="shared" si="30"/>
      </x:c>
      <x:c r="R113" s="108" t="str">
        <x:f t="shared" si="31"/>
      </x:c>
      <x:c r="S113" s="109" t="str">
        <x:f t="shared" si="32"/>
      </x:c>
      <x:c r="T113" s="110" t="str">
        <x:f t="array" ref="T113">IF(C113&lt;&gt;"",_xlfn.IFS(T$10="TLA",RECORD!HI115,V$10="LECTURE","",TRUE(),""),"")</x:f>
      </x:c>
      <x:c r="U113" s="105" t="str">
        <x:f t="shared" si="33"/>
      </x:c>
      <x:c r="V113" s="104" t="str">
        <x:f t="array" ref="V113">IF(C113&lt;&gt;"",_xlfn.IFS(V$10="AT",RECORD!HC115,V$10="LECTURE",BF113,TRUE(),""),"")</x:f>
      </x:c>
      <x:c r="W113" s="106" t="str">
        <x:f t="shared" si="34"/>
      </x:c>
      <x:c r="X113" s="107" t="str">
        <x:f t="array" ref="X113">IF(C113&lt;&gt;"",_xlfn.IFS(X$10="EXAM",RECORD!HD115,X$10="OUTPUT",RECORD!HE115,X$10="LAB",CF113,TRUE(),""),"")</x:f>
      </x:c>
      <x:c r="Y113" s="106" t="str">
        <x:f t="shared" si="35"/>
      </x:c>
      <x:c r="Z113" s="108" t="str">
        <x:f t="shared" si="36"/>
      </x:c>
      <x:c r="AA113" s="109" t="str">
        <x:f t="shared" si="37"/>
      </x:c>
      <x:c r="AB113" s="111" t="str">
        <x:f t="shared" si="38"/>
      </x:c>
      <x:c r="AC113" s="109" t="str">
        <x:f t="shared" si="39"/>
      </x:c>
      <x:c r="AD113" s="112"/>
      <x:c r="AE113" s="102"/>
      <x:c r="AF113" s="113"/>
      <x:c r="AG113" s="112"/>
      <x:c r="AH113" s="103"/>
      <x:c r="AI113" s="114"/>
      <x:c r="AJ113" s="102"/>
      <x:c r="AK113" s="102"/>
      <x:c r="AL113" s="102"/>
      <x:c r="AM113" s="102"/>
      <x:c r="AN113" s="102"/>
      <x:c r="AO113" s="102"/>
      <x:c r="AP113" s="102"/>
      <x:c r="AQ113" s="109" t="str">
        <x:f t="shared" si="40"/>
        <x:v>FAILED</x:v>
      </x:c>
      <x:c r="AR113" s="115"/>
      <x:c r="AS113" s="115"/>
      <x:c r="AT113" s="107"/>
      <x:c r="AU113" s="107"/>
      <x:c r="AV113" s="107"/>
      <x:c r="AW113" s="107"/>
      <x:c r="AX113" s="107"/>
      <x:c r="AY113" s="109" t="str">
        <x:f t="shared" si="41"/>
        <x:v>FAILED</x:v>
      </x:c>
      <x:c r="AZ113" s="115"/>
      <x:c r="BA113" s="115"/>
      <x:c r="BB113" s="107"/>
      <x:c r="BC113" s="107"/>
      <x:c r="BD113" s="107"/>
      <x:c r="BE113" s="107"/>
      <x:c r="BF113" s="107"/>
      <x:c r="BG113" s="109" t="str">
        <x:f t="shared" si="42"/>
        <x:v>FAILED</x:v>
      </x:c>
      <x:c r="BH113" s="117"/>
      <x:c r="BI113" s="102"/>
      <x:c r="BJ113" s="102"/>
      <x:c r="BK113" s="102"/>
      <x:c r="BL113" s="102"/>
      <x:c r="BM113" s="102"/>
      <x:c r="BN113" s="102"/>
      <x:c r="BO113" s="102"/>
      <x:c r="BP113" s="102"/>
      <x:c r="BQ113" s="109" t="str">
        <x:f t="shared" si="43"/>
        <x:v>FAILED</x:v>
      </x:c>
      <x:c r="BR113" s="115"/>
      <x:c r="BS113" s="115"/>
      <x:c r="BT113" s="107"/>
      <x:c r="BU113" s="107"/>
      <x:c r="BV113" s="107"/>
      <x:c r="BW113" s="107"/>
      <x:c r="BX113" s="107"/>
      <x:c r="BY113" s="109" t="str">
        <x:f t="shared" si="44"/>
        <x:v>FAILED</x:v>
      </x:c>
      <x:c r="BZ113" s="115"/>
      <x:c r="CA113" s="115"/>
      <x:c r="CB113" s="107"/>
      <x:c r="CC113" s="107"/>
      <x:c r="CD113" s="107"/>
      <x:c r="CE113" s="107"/>
      <x:c r="CF113" s="107"/>
      <x:c r="CG113" s="109" t="str">
        <x:f t="shared" si="45"/>
        <x:v>FAILED</x:v>
      </x:c>
      <x:c r="CH113" s="117"/>
    </x:row>
    <x:row r="114">
      <x:c r="A114" s="102" t="str">
        <x:f>IF(RECORD!A116="","",RECORD!A116)</x:f>
      </x:c>
      <x:c r="B114" s="102" t="str">
        <x:f>IF(RECORD!B116="","",RECORD!B116)</x:f>
      </x:c>
      <x:c r="C114" s="103" t="str">
        <x:f>IF(RECORD!C116="","",RECORD!C116)</x:f>
      </x:c>
      <x:c r="D114" s="104" t="str">
        <x:f t="array" ref="D114">IF(C114&lt;&gt;"",IF(F$7="SUMMER","N/A",_xlfn.IFS(D$10="TLA",RECORD!GO116,F$10="LECTURE","",TRUE(),"")),"")</x:f>
      </x:c>
      <x:c r="E114" s="105" t="str">
        <x:f t="shared" si="23"/>
      </x:c>
      <x:c r="F114" s="104" t="str">
        <x:f t="array" ref="F114">IF(C114&lt;&gt;"",IF(F$7="SUMMER","N/A",_xlfn.IFS(F$10="AT",RECORD!GI116,F$10="LECTURE",GRADES!AP114,TRUE(),"")),"")</x:f>
      </x:c>
      <x:c r="G114" s="106" t="str">
        <x:f t="shared" si="24"/>
      </x:c>
      <x:c r="H114" s="107" t="str">
        <x:f t="array" ref="H114">IF(C114&lt;&gt;"",IF(F$7="SUMMER","N/A",_xlfn.IFS(H$10="EXAM",RECORD!GJ116,H$10="OUTPUT",RECORD!GK116,H$10="LAB",BP114,TRUE(),"")),"")</x:f>
      </x:c>
      <x:c r="I114" s="106" t="str">
        <x:f t="shared" si="25"/>
      </x:c>
      <x:c r="J114" s="108" t="str">
        <x:f t="shared" si="26"/>
      </x:c>
      <x:c r="K114" s="109" t="str">
        <x:f t="shared" si="27"/>
      </x:c>
      <x:c r="L114" s="110" t="str">
        <x:f t="array" ref="L114">IF(C114&lt;&gt;"",_xlfn.IFS(L$10="TLA",RECORD!GY116,N$10="LECTURE","",TRUE(),""),"")</x:f>
      </x:c>
      <x:c r="M114" s="105" t="str">
        <x:f t="shared" si="28"/>
      </x:c>
      <x:c r="N114" s="104" t="str">
        <x:f t="array" ref="N114">IF(C114&lt;&gt;"",_xlfn.IFS(N$10="AT",RECORD!GS116,N$10="LECTURE",AX114,TRUE(),""),"")</x:f>
      </x:c>
      <x:c r="O114" s="106" t="str">
        <x:f t="shared" si="29"/>
      </x:c>
      <x:c r="P114" s="107" t="str">
        <x:f t="array" ref="P114">IF(C114&lt;&gt;"",_xlfn.IFS(P$10="EXAM",RECORD!GT116,P$10="OUTPUT",RECORD!GU116,P$10="LAB",BX114,TRUE(),""),"")</x:f>
      </x:c>
      <x:c r="Q114" s="106" t="str">
        <x:f t="shared" si="30"/>
      </x:c>
      <x:c r="R114" s="108" t="str">
        <x:f t="shared" si="31"/>
      </x:c>
      <x:c r="S114" s="109" t="str">
        <x:f t="shared" si="32"/>
      </x:c>
      <x:c r="T114" s="110" t="str">
        <x:f t="array" ref="T114">IF(C114&lt;&gt;"",_xlfn.IFS(T$10="TLA",RECORD!HI116,V$10="LECTURE","",TRUE(),""),"")</x:f>
      </x:c>
      <x:c r="U114" s="105" t="str">
        <x:f t="shared" si="33"/>
      </x:c>
      <x:c r="V114" s="104" t="str">
        <x:f t="array" ref="V114">IF(C114&lt;&gt;"",_xlfn.IFS(V$10="AT",RECORD!HC116,V$10="LECTURE",BF114,TRUE(),""),"")</x:f>
      </x:c>
      <x:c r="W114" s="106" t="str">
        <x:f t="shared" si="34"/>
      </x:c>
      <x:c r="X114" s="107" t="str">
        <x:f t="array" ref="X114">IF(C114&lt;&gt;"",_xlfn.IFS(X$10="EXAM",RECORD!HD116,X$10="OUTPUT",RECORD!HE116,X$10="LAB",CF114,TRUE(),""),"")</x:f>
      </x:c>
      <x:c r="Y114" s="106" t="str">
        <x:f t="shared" si="35"/>
      </x:c>
      <x:c r="Z114" s="108" t="str">
        <x:f t="shared" si="36"/>
      </x:c>
      <x:c r="AA114" s="109" t="str">
        <x:f t="shared" si="37"/>
      </x:c>
      <x:c r="AB114" s="111" t="str">
        <x:f t="shared" si="38"/>
      </x:c>
      <x:c r="AC114" s="109" t="str">
        <x:f t="shared" si="39"/>
      </x:c>
      <x:c r="AD114" s="112"/>
      <x:c r="AE114" s="102"/>
      <x:c r="AF114" s="113"/>
      <x:c r="AG114" s="112"/>
      <x:c r="AH114" s="103"/>
      <x:c r="AI114" s="114"/>
      <x:c r="AJ114" s="102"/>
      <x:c r="AK114" s="102"/>
      <x:c r="AL114" s="102"/>
      <x:c r="AM114" s="102"/>
      <x:c r="AN114" s="102"/>
      <x:c r="AO114" s="102"/>
      <x:c r="AP114" s="102"/>
      <x:c r="AQ114" s="109" t="str">
        <x:f t="shared" si="40"/>
        <x:v>FAILED</x:v>
      </x:c>
      <x:c r="AR114" s="115"/>
      <x:c r="AS114" s="115"/>
      <x:c r="AT114" s="107"/>
      <x:c r="AU114" s="107"/>
      <x:c r="AV114" s="107"/>
      <x:c r="AW114" s="107"/>
      <x:c r="AX114" s="107"/>
      <x:c r="AY114" s="109" t="str">
        <x:f t="shared" si="41"/>
        <x:v>FAILED</x:v>
      </x:c>
      <x:c r="AZ114" s="115"/>
      <x:c r="BA114" s="115"/>
      <x:c r="BB114" s="107"/>
      <x:c r="BC114" s="107"/>
      <x:c r="BD114" s="107"/>
      <x:c r="BE114" s="107"/>
      <x:c r="BF114" s="107"/>
      <x:c r="BG114" s="109" t="str">
        <x:f t="shared" si="42"/>
        <x:v>FAILED</x:v>
      </x:c>
      <x:c r="BH114" s="117"/>
      <x:c r="BI114" s="102"/>
      <x:c r="BJ114" s="102"/>
      <x:c r="BK114" s="102"/>
      <x:c r="BL114" s="102"/>
      <x:c r="BM114" s="102"/>
      <x:c r="BN114" s="102"/>
      <x:c r="BO114" s="102"/>
      <x:c r="BP114" s="102"/>
      <x:c r="BQ114" s="109" t="str">
        <x:f t="shared" si="43"/>
        <x:v>FAILED</x:v>
      </x:c>
      <x:c r="BR114" s="115"/>
      <x:c r="BS114" s="115"/>
      <x:c r="BT114" s="107"/>
      <x:c r="BU114" s="107"/>
      <x:c r="BV114" s="107"/>
      <x:c r="BW114" s="107"/>
      <x:c r="BX114" s="107"/>
      <x:c r="BY114" s="109" t="str">
        <x:f t="shared" si="44"/>
        <x:v>FAILED</x:v>
      </x:c>
      <x:c r="BZ114" s="115"/>
      <x:c r="CA114" s="115"/>
      <x:c r="CB114" s="107"/>
      <x:c r="CC114" s="107"/>
      <x:c r="CD114" s="107"/>
      <x:c r="CE114" s="107"/>
      <x:c r="CF114" s="107"/>
      <x:c r="CG114" s="109" t="str">
        <x:f t="shared" si="45"/>
        <x:v>FAILED</x:v>
      </x:c>
      <x:c r="CH114" s="117"/>
    </x:row>
    <x:row r="115">
      <x:c r="A115" s="102" t="str">
        <x:f>IF(RECORD!A117="","",RECORD!A117)</x:f>
      </x:c>
      <x:c r="B115" s="102" t="str">
        <x:f>IF(RECORD!B117="","",RECORD!B117)</x:f>
      </x:c>
      <x:c r="C115" s="103" t="str">
        <x:f>IF(RECORD!C117="","",RECORD!C117)</x:f>
      </x:c>
      <x:c r="D115" s="104" t="str">
        <x:f t="array" ref="D115">IF(C115&lt;&gt;"",IF(F$7="SUMMER","N/A",_xlfn.IFS(D$10="TLA",RECORD!GO117,F$10="LECTURE","",TRUE(),"")),"")</x:f>
      </x:c>
      <x:c r="E115" s="105" t="str">
        <x:f t="shared" si="23"/>
      </x:c>
      <x:c r="F115" s="104" t="str">
        <x:f t="array" ref="F115">IF(C115&lt;&gt;"",IF(F$7="SUMMER","N/A",_xlfn.IFS(F$10="AT",RECORD!GI117,F$10="LECTURE",GRADES!AP115,TRUE(),"")),"")</x:f>
      </x:c>
      <x:c r="G115" s="106" t="str">
        <x:f t="shared" si="24"/>
      </x:c>
      <x:c r="H115" s="107" t="str">
        <x:f t="array" ref="H115">IF(C115&lt;&gt;"",IF(F$7="SUMMER","N/A",_xlfn.IFS(H$10="EXAM",RECORD!GJ117,H$10="OUTPUT",RECORD!GK117,H$10="LAB",BP115,TRUE(),"")),"")</x:f>
      </x:c>
      <x:c r="I115" s="106" t="str">
        <x:f t="shared" si="25"/>
      </x:c>
      <x:c r="J115" s="108" t="str">
        <x:f t="shared" si="26"/>
      </x:c>
      <x:c r="K115" s="109" t="str">
        <x:f t="shared" si="27"/>
      </x:c>
      <x:c r="L115" s="110" t="str">
        <x:f t="array" ref="L115">IF(C115&lt;&gt;"",_xlfn.IFS(L$10="TLA",RECORD!GY117,N$10="LECTURE","",TRUE(),""),"")</x:f>
      </x:c>
      <x:c r="M115" s="105" t="str">
        <x:f t="shared" si="28"/>
      </x:c>
      <x:c r="N115" s="104" t="str">
        <x:f t="array" ref="N115">IF(C115&lt;&gt;"",_xlfn.IFS(N$10="AT",RECORD!GS117,N$10="LECTURE",AX115,TRUE(),""),"")</x:f>
      </x:c>
      <x:c r="O115" s="106" t="str">
        <x:f t="shared" si="29"/>
      </x:c>
      <x:c r="P115" s="107" t="str">
        <x:f t="array" ref="P115">IF(C115&lt;&gt;"",_xlfn.IFS(P$10="EXAM",RECORD!GT117,P$10="OUTPUT",RECORD!GU117,P$10="LAB",BX115,TRUE(),""),"")</x:f>
      </x:c>
      <x:c r="Q115" s="106" t="str">
        <x:f t="shared" si="30"/>
      </x:c>
      <x:c r="R115" s="108" t="str">
        <x:f t="shared" si="31"/>
      </x:c>
      <x:c r="S115" s="109" t="str">
        <x:f t="shared" si="32"/>
      </x:c>
      <x:c r="T115" s="110" t="str">
        <x:f t="array" ref="T115">IF(C115&lt;&gt;"",_xlfn.IFS(T$10="TLA",RECORD!HI117,V$10="LECTURE","",TRUE(),""),"")</x:f>
      </x:c>
      <x:c r="U115" s="105" t="str">
        <x:f t="shared" si="33"/>
      </x:c>
      <x:c r="V115" s="104" t="str">
        <x:f t="array" ref="V115">IF(C115&lt;&gt;"",_xlfn.IFS(V$10="AT",RECORD!HC117,V$10="LECTURE",BF115,TRUE(),""),"")</x:f>
      </x:c>
      <x:c r="W115" s="106" t="str">
        <x:f t="shared" si="34"/>
      </x:c>
      <x:c r="X115" s="107" t="str">
        <x:f t="array" ref="X115">IF(C115&lt;&gt;"",_xlfn.IFS(X$10="EXAM",RECORD!HD117,X$10="OUTPUT",RECORD!HE117,X$10="LAB",CF115,TRUE(),""),"")</x:f>
      </x:c>
      <x:c r="Y115" s="106" t="str">
        <x:f t="shared" si="35"/>
      </x:c>
      <x:c r="Z115" s="108" t="str">
        <x:f t="shared" si="36"/>
      </x:c>
      <x:c r="AA115" s="109" t="str">
        <x:f t="shared" si="37"/>
      </x:c>
      <x:c r="AB115" s="111" t="str">
        <x:f t="shared" si="38"/>
      </x:c>
      <x:c r="AC115" s="109" t="str">
        <x:f t="shared" si="39"/>
      </x:c>
      <x:c r="AD115" s="112"/>
      <x:c r="AE115" s="102"/>
      <x:c r="AF115" s="113"/>
      <x:c r="AG115" s="112"/>
      <x:c r="AH115" s="103"/>
      <x:c r="AI115" s="114"/>
      <x:c r="AJ115" s="102"/>
      <x:c r="AK115" s="102"/>
      <x:c r="AL115" s="102"/>
      <x:c r="AM115" s="102"/>
      <x:c r="AN115" s="102"/>
      <x:c r="AO115" s="102"/>
      <x:c r="AP115" s="102"/>
      <x:c r="AQ115" s="109" t="str">
        <x:f t="shared" si="40"/>
        <x:v>FAILED</x:v>
      </x:c>
      <x:c r="AR115" s="115"/>
      <x:c r="AS115" s="115"/>
      <x:c r="AT115" s="107"/>
      <x:c r="AU115" s="107"/>
      <x:c r="AV115" s="107"/>
      <x:c r="AW115" s="107"/>
      <x:c r="AX115" s="107"/>
      <x:c r="AY115" s="109" t="str">
        <x:f t="shared" si="41"/>
        <x:v>FAILED</x:v>
      </x:c>
      <x:c r="AZ115" s="115"/>
      <x:c r="BA115" s="115"/>
      <x:c r="BB115" s="107"/>
      <x:c r="BC115" s="107"/>
      <x:c r="BD115" s="107"/>
      <x:c r="BE115" s="107"/>
      <x:c r="BF115" s="107"/>
      <x:c r="BG115" s="109" t="str">
        <x:f t="shared" si="42"/>
        <x:v>FAILED</x:v>
      </x:c>
      <x:c r="BH115" s="117"/>
      <x:c r="BI115" s="102"/>
      <x:c r="BJ115" s="102"/>
      <x:c r="BK115" s="102"/>
      <x:c r="BL115" s="102"/>
      <x:c r="BM115" s="102"/>
      <x:c r="BN115" s="102"/>
      <x:c r="BO115" s="102"/>
      <x:c r="BP115" s="102"/>
      <x:c r="BQ115" s="109" t="str">
        <x:f t="shared" si="43"/>
        <x:v>FAILED</x:v>
      </x:c>
      <x:c r="BR115" s="115"/>
      <x:c r="BS115" s="115"/>
      <x:c r="BT115" s="107"/>
      <x:c r="BU115" s="107"/>
      <x:c r="BV115" s="107"/>
      <x:c r="BW115" s="107"/>
      <x:c r="BX115" s="107"/>
      <x:c r="BY115" s="109" t="str">
        <x:f t="shared" si="44"/>
        <x:v>FAILED</x:v>
      </x:c>
      <x:c r="BZ115" s="115"/>
      <x:c r="CA115" s="115"/>
      <x:c r="CB115" s="107"/>
      <x:c r="CC115" s="107"/>
      <x:c r="CD115" s="107"/>
      <x:c r="CE115" s="107"/>
      <x:c r="CF115" s="107"/>
      <x:c r="CG115" s="109" t="str">
        <x:f t="shared" si="45"/>
        <x:v>FAILED</x:v>
      </x:c>
      <x:c r="CH115" s="117"/>
    </x:row>
    <x:row r="116">
      <x:c r="A116" s="102" t="str">
        <x:f>IF(RECORD!A118="","",RECORD!A118)</x:f>
      </x:c>
      <x:c r="B116" s="102" t="str">
        <x:f>IF(RECORD!B118="","",RECORD!B118)</x:f>
      </x:c>
      <x:c r="C116" s="103" t="str">
        <x:f>IF(RECORD!C118="","",RECORD!C118)</x:f>
      </x:c>
      <x:c r="D116" s="104" t="str">
        <x:f t="array" ref="D116">IF(C116&lt;&gt;"",IF(F$7="SUMMER","N/A",_xlfn.IFS(D$10="TLA",RECORD!GO118,F$10="LECTURE","",TRUE(),"")),"")</x:f>
      </x:c>
      <x:c r="E116" s="105" t="str">
        <x:f t="shared" si="23"/>
      </x:c>
      <x:c r="F116" s="104" t="str">
        <x:f t="array" ref="F116">IF(C116&lt;&gt;"",IF(F$7="SUMMER","N/A",_xlfn.IFS(F$10="AT",RECORD!GI118,F$10="LECTURE",GRADES!AP116,TRUE(),"")),"")</x:f>
      </x:c>
      <x:c r="G116" s="106" t="str">
        <x:f t="shared" si="24"/>
      </x:c>
      <x:c r="H116" s="107" t="str">
        <x:f t="array" ref="H116">IF(C116&lt;&gt;"",IF(F$7="SUMMER","N/A",_xlfn.IFS(H$10="EXAM",RECORD!GJ118,H$10="OUTPUT",RECORD!GK118,H$10="LAB",BP116,TRUE(),"")),"")</x:f>
      </x:c>
      <x:c r="I116" s="106" t="str">
        <x:f t="shared" si="25"/>
      </x:c>
      <x:c r="J116" s="108" t="str">
        <x:f t="shared" si="26"/>
      </x:c>
      <x:c r="K116" s="109" t="str">
        <x:f t="shared" si="27"/>
      </x:c>
      <x:c r="L116" s="110" t="str">
        <x:f t="array" ref="L116">IF(C116&lt;&gt;"",_xlfn.IFS(L$10="TLA",RECORD!GY118,N$10="LECTURE","",TRUE(),""),"")</x:f>
      </x:c>
      <x:c r="M116" s="105" t="str">
        <x:f t="shared" si="28"/>
      </x:c>
      <x:c r="N116" s="104" t="str">
        <x:f t="array" ref="N116">IF(C116&lt;&gt;"",_xlfn.IFS(N$10="AT",RECORD!GS118,N$10="LECTURE",AX116,TRUE(),""),"")</x:f>
      </x:c>
      <x:c r="O116" s="106" t="str">
        <x:f t="shared" si="29"/>
      </x:c>
      <x:c r="P116" s="107" t="str">
        <x:f t="array" ref="P116">IF(C116&lt;&gt;"",_xlfn.IFS(P$10="EXAM",RECORD!GT118,P$10="OUTPUT",RECORD!GU118,P$10="LAB",BX116,TRUE(),""),"")</x:f>
      </x:c>
      <x:c r="Q116" s="106" t="str">
        <x:f t="shared" si="30"/>
      </x:c>
      <x:c r="R116" s="108" t="str">
        <x:f t="shared" si="31"/>
      </x:c>
      <x:c r="S116" s="109" t="str">
        <x:f t="shared" si="32"/>
      </x:c>
      <x:c r="T116" s="110" t="str">
        <x:f t="array" ref="T116">IF(C116&lt;&gt;"",_xlfn.IFS(T$10="TLA",RECORD!HI118,V$10="LECTURE","",TRUE(),""),"")</x:f>
      </x:c>
      <x:c r="U116" s="105" t="str">
        <x:f t="shared" si="33"/>
      </x:c>
      <x:c r="V116" s="104" t="str">
        <x:f t="array" ref="V116">IF(C116&lt;&gt;"",_xlfn.IFS(V$10="AT",RECORD!HC118,V$10="LECTURE",BF116,TRUE(),""),"")</x:f>
      </x:c>
      <x:c r="W116" s="106" t="str">
        <x:f t="shared" si="34"/>
      </x:c>
      <x:c r="X116" s="107" t="str">
        <x:f t="array" ref="X116">IF(C116&lt;&gt;"",_xlfn.IFS(X$10="EXAM",RECORD!HD118,X$10="OUTPUT",RECORD!HE118,X$10="LAB",CF116,TRUE(),""),"")</x:f>
      </x:c>
      <x:c r="Y116" s="106" t="str">
        <x:f t="shared" si="35"/>
      </x:c>
      <x:c r="Z116" s="108" t="str">
        <x:f t="shared" si="36"/>
      </x:c>
      <x:c r="AA116" s="109" t="str">
        <x:f t="shared" si="37"/>
      </x:c>
      <x:c r="AB116" s="111" t="str">
        <x:f t="shared" si="38"/>
      </x:c>
      <x:c r="AC116" s="109" t="str">
        <x:f t="shared" si="39"/>
      </x:c>
      <x:c r="AD116" s="112"/>
      <x:c r="AE116" s="102"/>
      <x:c r="AF116" s="113"/>
      <x:c r="AG116" s="112"/>
      <x:c r="AH116" s="103"/>
      <x:c r="AI116" s="114"/>
      <x:c r="AJ116" s="102"/>
      <x:c r="AK116" s="102"/>
      <x:c r="AL116" s="102"/>
      <x:c r="AM116" s="102"/>
      <x:c r="AN116" s="102"/>
      <x:c r="AO116" s="102"/>
      <x:c r="AP116" s="102"/>
      <x:c r="AQ116" s="109" t="str">
        <x:f t="shared" si="40"/>
        <x:v>FAILED</x:v>
      </x:c>
      <x:c r="AR116" s="115"/>
      <x:c r="AS116" s="115"/>
      <x:c r="AT116" s="107"/>
      <x:c r="AU116" s="107"/>
      <x:c r="AV116" s="107"/>
      <x:c r="AW116" s="107"/>
      <x:c r="AX116" s="107"/>
      <x:c r="AY116" s="109" t="str">
        <x:f t="shared" si="41"/>
        <x:v>FAILED</x:v>
      </x:c>
      <x:c r="AZ116" s="115"/>
      <x:c r="BA116" s="115"/>
      <x:c r="BB116" s="107"/>
      <x:c r="BC116" s="107"/>
      <x:c r="BD116" s="107"/>
      <x:c r="BE116" s="107"/>
      <x:c r="BF116" s="107"/>
      <x:c r="BG116" s="109" t="str">
        <x:f t="shared" si="42"/>
        <x:v>FAILED</x:v>
      </x:c>
      <x:c r="BH116" s="117"/>
      <x:c r="BI116" s="102"/>
      <x:c r="BJ116" s="102"/>
      <x:c r="BK116" s="102"/>
      <x:c r="BL116" s="102"/>
      <x:c r="BM116" s="102"/>
      <x:c r="BN116" s="102"/>
      <x:c r="BO116" s="102"/>
      <x:c r="BP116" s="102"/>
      <x:c r="BQ116" s="109" t="str">
        <x:f t="shared" si="43"/>
        <x:v>FAILED</x:v>
      </x:c>
      <x:c r="BR116" s="115"/>
      <x:c r="BS116" s="115"/>
      <x:c r="BT116" s="107"/>
      <x:c r="BU116" s="107"/>
      <x:c r="BV116" s="107"/>
      <x:c r="BW116" s="107"/>
      <x:c r="BX116" s="107"/>
      <x:c r="BY116" s="109" t="str">
        <x:f t="shared" si="44"/>
        <x:v>FAILED</x:v>
      </x:c>
      <x:c r="BZ116" s="115"/>
      <x:c r="CA116" s="115"/>
      <x:c r="CB116" s="107"/>
      <x:c r="CC116" s="107"/>
      <x:c r="CD116" s="107"/>
      <x:c r="CE116" s="107"/>
      <x:c r="CF116" s="107"/>
      <x:c r="CG116" s="109" t="str">
        <x:f t="shared" si="45"/>
        <x:v>FAILED</x:v>
      </x:c>
      <x:c r="CH116" s="117"/>
    </x:row>
    <x:row r="117">
      <x:c r="A117" s="102" t="str">
        <x:f>IF(RECORD!A119="","",RECORD!A119)</x:f>
      </x:c>
      <x:c r="B117" s="102" t="str">
        <x:f>IF(RECORD!B119="","",RECORD!B119)</x:f>
      </x:c>
      <x:c r="C117" s="103" t="str">
        <x:f>IF(RECORD!C119="","",RECORD!C119)</x:f>
      </x:c>
      <x:c r="D117" s="104" t="str">
        <x:f t="array" ref="D117">IF(C117&lt;&gt;"",IF(F$7="SUMMER","N/A",_xlfn.IFS(D$10="TLA",RECORD!GO119,F$10="LECTURE","",TRUE(),"")),"")</x:f>
      </x:c>
      <x:c r="E117" s="105" t="str">
        <x:f t="shared" si="23"/>
      </x:c>
      <x:c r="F117" s="104" t="str">
        <x:f t="array" ref="F117">IF(C117&lt;&gt;"",IF(F$7="SUMMER","N/A",_xlfn.IFS(F$10="AT",RECORD!GI119,F$10="LECTURE",GRADES!AP117,TRUE(),"")),"")</x:f>
      </x:c>
      <x:c r="G117" s="106" t="str">
        <x:f t="shared" si="24"/>
      </x:c>
      <x:c r="H117" s="107" t="str">
        <x:f t="array" ref="H117">IF(C117&lt;&gt;"",IF(F$7="SUMMER","N/A",_xlfn.IFS(H$10="EXAM",RECORD!GJ119,H$10="OUTPUT",RECORD!GK119,H$10="LAB",BP117,TRUE(),"")),"")</x:f>
      </x:c>
      <x:c r="I117" s="106" t="str">
        <x:f t="shared" si="25"/>
      </x:c>
      <x:c r="J117" s="108" t="str">
        <x:f t="shared" si="26"/>
      </x:c>
      <x:c r="K117" s="109" t="str">
        <x:f t="shared" si="27"/>
      </x:c>
      <x:c r="L117" s="110" t="str">
        <x:f t="array" ref="L117">IF(C117&lt;&gt;"",_xlfn.IFS(L$10="TLA",RECORD!GY119,N$10="LECTURE","",TRUE(),""),"")</x:f>
      </x:c>
      <x:c r="M117" s="105" t="str">
        <x:f t="shared" si="28"/>
      </x:c>
      <x:c r="N117" s="104" t="str">
        <x:f t="array" ref="N117">IF(C117&lt;&gt;"",_xlfn.IFS(N$10="AT",RECORD!GS119,N$10="LECTURE",AX117,TRUE(),""),"")</x:f>
      </x:c>
      <x:c r="O117" s="106" t="str">
        <x:f t="shared" si="29"/>
      </x:c>
      <x:c r="P117" s="107" t="str">
        <x:f t="array" ref="P117">IF(C117&lt;&gt;"",_xlfn.IFS(P$10="EXAM",RECORD!GT119,P$10="OUTPUT",RECORD!GU119,P$10="LAB",BX117,TRUE(),""),"")</x:f>
      </x:c>
      <x:c r="Q117" s="106" t="str">
        <x:f t="shared" si="30"/>
      </x:c>
      <x:c r="R117" s="108" t="str">
        <x:f t="shared" si="31"/>
      </x:c>
      <x:c r="S117" s="109" t="str">
        <x:f t="shared" si="32"/>
      </x:c>
      <x:c r="T117" s="110" t="str">
        <x:f t="array" ref="T117">IF(C117&lt;&gt;"",_xlfn.IFS(T$10="TLA",RECORD!HI119,V$10="LECTURE","",TRUE(),""),"")</x:f>
      </x:c>
      <x:c r="U117" s="105" t="str">
        <x:f t="shared" si="33"/>
      </x:c>
      <x:c r="V117" s="104" t="str">
        <x:f t="array" ref="V117">IF(C117&lt;&gt;"",_xlfn.IFS(V$10="AT",RECORD!HC119,V$10="LECTURE",BF117,TRUE(),""),"")</x:f>
      </x:c>
      <x:c r="W117" s="106" t="str">
        <x:f t="shared" si="34"/>
      </x:c>
      <x:c r="X117" s="107" t="str">
        <x:f t="array" ref="X117">IF(C117&lt;&gt;"",_xlfn.IFS(X$10="EXAM",RECORD!HD119,X$10="OUTPUT",RECORD!HE119,X$10="LAB",CF117,TRUE(),""),"")</x:f>
      </x:c>
      <x:c r="Y117" s="106" t="str">
        <x:f t="shared" si="35"/>
      </x:c>
      <x:c r="Z117" s="108" t="str">
        <x:f t="shared" si="36"/>
      </x:c>
      <x:c r="AA117" s="109" t="str">
        <x:f t="shared" si="37"/>
      </x:c>
      <x:c r="AB117" s="111" t="str">
        <x:f t="shared" si="38"/>
      </x:c>
      <x:c r="AC117" s="109" t="str">
        <x:f t="shared" si="39"/>
      </x:c>
      <x:c r="AD117" s="112"/>
      <x:c r="AE117" s="102"/>
      <x:c r="AF117" s="113"/>
      <x:c r="AG117" s="112"/>
      <x:c r="AH117" s="103"/>
      <x:c r="AI117" s="114"/>
      <x:c r="AJ117" s="102"/>
      <x:c r="AK117" s="102"/>
      <x:c r="AL117" s="102"/>
      <x:c r="AM117" s="102"/>
      <x:c r="AN117" s="102"/>
      <x:c r="AO117" s="102"/>
      <x:c r="AP117" s="102"/>
      <x:c r="AQ117" s="109" t="str">
        <x:f t="shared" si="40"/>
        <x:v>FAILED</x:v>
      </x:c>
      <x:c r="AR117" s="115"/>
      <x:c r="AS117" s="115"/>
      <x:c r="AT117" s="107"/>
      <x:c r="AU117" s="107"/>
      <x:c r="AV117" s="107"/>
      <x:c r="AW117" s="107"/>
      <x:c r="AX117" s="107"/>
      <x:c r="AY117" s="109" t="str">
        <x:f t="shared" si="41"/>
        <x:v>FAILED</x:v>
      </x:c>
      <x:c r="AZ117" s="115"/>
      <x:c r="BA117" s="115"/>
      <x:c r="BB117" s="107"/>
      <x:c r="BC117" s="107"/>
      <x:c r="BD117" s="107"/>
      <x:c r="BE117" s="107"/>
      <x:c r="BF117" s="107"/>
      <x:c r="BG117" s="109" t="str">
        <x:f t="shared" si="42"/>
        <x:v>FAILED</x:v>
      </x:c>
      <x:c r="BH117" s="117"/>
      <x:c r="BI117" s="102"/>
      <x:c r="BJ117" s="102"/>
      <x:c r="BK117" s="102"/>
      <x:c r="BL117" s="102"/>
      <x:c r="BM117" s="102"/>
      <x:c r="BN117" s="102"/>
      <x:c r="BO117" s="102"/>
      <x:c r="BP117" s="102"/>
      <x:c r="BQ117" s="109" t="str">
        <x:f t="shared" si="43"/>
        <x:v>FAILED</x:v>
      </x:c>
      <x:c r="BR117" s="115"/>
      <x:c r="BS117" s="115"/>
      <x:c r="BT117" s="107"/>
      <x:c r="BU117" s="107"/>
      <x:c r="BV117" s="107"/>
      <x:c r="BW117" s="107"/>
      <x:c r="BX117" s="107"/>
      <x:c r="BY117" s="109" t="str">
        <x:f t="shared" si="44"/>
        <x:v>FAILED</x:v>
      </x:c>
      <x:c r="BZ117" s="115"/>
      <x:c r="CA117" s="115"/>
      <x:c r="CB117" s="107"/>
      <x:c r="CC117" s="107"/>
      <x:c r="CD117" s="107"/>
      <x:c r="CE117" s="107"/>
      <x:c r="CF117" s="107"/>
      <x:c r="CG117" s="109" t="str">
        <x:f t="shared" si="45"/>
        <x:v>FAILED</x:v>
      </x:c>
      <x:c r="CH117" s="117"/>
    </x:row>
    <x:row r="118">
      <x:c r="A118" s="102" t="str">
        <x:f>IF(RECORD!A120="","",RECORD!A120)</x:f>
      </x:c>
      <x:c r="B118" s="102" t="str">
        <x:f>IF(RECORD!B120="","",RECORD!B120)</x:f>
      </x:c>
      <x:c r="C118" s="103" t="str">
        <x:f>IF(RECORD!C120="","",RECORD!C120)</x:f>
      </x:c>
      <x:c r="D118" s="104" t="str">
        <x:f t="array" ref="D118">IF(C118&lt;&gt;"",IF(F$7="SUMMER","N/A",_xlfn.IFS(D$10="TLA",RECORD!GO120,F$10="LECTURE","",TRUE(),"")),"")</x:f>
      </x:c>
      <x:c r="E118" s="105" t="str">
        <x:f t="shared" si="23"/>
      </x:c>
      <x:c r="F118" s="104" t="str">
        <x:f t="array" ref="F118">IF(C118&lt;&gt;"",IF(F$7="SUMMER","N/A",_xlfn.IFS(F$10="AT",RECORD!GI120,F$10="LECTURE",GRADES!AP118,TRUE(),"")),"")</x:f>
      </x:c>
      <x:c r="G118" s="106" t="str">
        <x:f t="shared" si="24"/>
      </x:c>
      <x:c r="H118" s="107" t="str">
        <x:f t="array" ref="H118">IF(C118&lt;&gt;"",IF(F$7="SUMMER","N/A",_xlfn.IFS(H$10="EXAM",RECORD!GJ120,H$10="OUTPUT",RECORD!GK120,H$10="LAB",BP118,TRUE(),"")),"")</x:f>
      </x:c>
      <x:c r="I118" s="106" t="str">
        <x:f t="shared" si="25"/>
      </x:c>
      <x:c r="J118" s="108" t="str">
        <x:f t="shared" si="26"/>
      </x:c>
      <x:c r="K118" s="109" t="str">
        <x:f t="shared" si="27"/>
      </x:c>
      <x:c r="L118" s="110" t="str">
        <x:f t="array" ref="L118">IF(C118&lt;&gt;"",_xlfn.IFS(L$10="TLA",RECORD!GY120,N$10="LECTURE","",TRUE(),""),"")</x:f>
      </x:c>
      <x:c r="M118" s="105" t="str">
        <x:f t="shared" si="28"/>
      </x:c>
      <x:c r="N118" s="104" t="str">
        <x:f t="array" ref="N118">IF(C118&lt;&gt;"",_xlfn.IFS(N$10="AT",RECORD!GS120,N$10="LECTURE",AX118,TRUE(),""),"")</x:f>
      </x:c>
      <x:c r="O118" s="106" t="str">
        <x:f t="shared" si="29"/>
      </x:c>
      <x:c r="P118" s="107" t="str">
        <x:f t="array" ref="P118">IF(C118&lt;&gt;"",_xlfn.IFS(P$10="EXAM",RECORD!GT120,P$10="OUTPUT",RECORD!GU120,P$10="LAB",BX118,TRUE(),""),"")</x:f>
      </x:c>
      <x:c r="Q118" s="106" t="str">
        <x:f t="shared" si="30"/>
      </x:c>
      <x:c r="R118" s="108" t="str">
        <x:f t="shared" si="31"/>
      </x:c>
      <x:c r="S118" s="109" t="str">
        <x:f t="shared" si="32"/>
      </x:c>
      <x:c r="T118" s="110" t="str">
        <x:f t="array" ref="T118">IF(C118&lt;&gt;"",_xlfn.IFS(T$10="TLA",RECORD!HI120,V$10="LECTURE","",TRUE(),""),"")</x:f>
      </x:c>
      <x:c r="U118" s="105" t="str">
        <x:f t="shared" si="33"/>
      </x:c>
      <x:c r="V118" s="104" t="str">
        <x:f t="array" ref="V118">IF(C118&lt;&gt;"",_xlfn.IFS(V$10="AT",RECORD!HC120,V$10="LECTURE",BF118,TRUE(),""),"")</x:f>
      </x:c>
      <x:c r="W118" s="106" t="str">
        <x:f t="shared" si="34"/>
      </x:c>
      <x:c r="X118" s="107" t="str">
        <x:f t="array" ref="X118">IF(C118&lt;&gt;"",_xlfn.IFS(X$10="EXAM",RECORD!HD120,X$10="OUTPUT",RECORD!HE120,X$10="LAB",CF118,TRUE(),""),"")</x:f>
      </x:c>
      <x:c r="Y118" s="106" t="str">
        <x:f t="shared" si="35"/>
      </x:c>
      <x:c r="Z118" s="108" t="str">
        <x:f t="shared" si="36"/>
      </x:c>
      <x:c r="AA118" s="109" t="str">
        <x:f t="shared" si="37"/>
      </x:c>
      <x:c r="AB118" s="111" t="str">
        <x:f t="shared" si="38"/>
      </x:c>
      <x:c r="AC118" s="109" t="str">
        <x:f t="shared" si="39"/>
      </x:c>
      <x:c r="AD118" s="112"/>
      <x:c r="AE118" s="102"/>
      <x:c r="AF118" s="113"/>
      <x:c r="AG118" s="112"/>
      <x:c r="AH118" s="103"/>
      <x:c r="AI118" s="114"/>
      <x:c r="AJ118" s="102"/>
      <x:c r="AK118" s="102"/>
      <x:c r="AL118" s="102"/>
      <x:c r="AM118" s="102"/>
      <x:c r="AN118" s="102"/>
      <x:c r="AO118" s="102"/>
      <x:c r="AP118" s="102"/>
      <x:c r="AQ118" s="109" t="str">
        <x:f t="shared" si="40"/>
        <x:v>FAILED</x:v>
      </x:c>
      <x:c r="AR118" s="115"/>
      <x:c r="AS118" s="115"/>
      <x:c r="AT118" s="107"/>
      <x:c r="AU118" s="107"/>
      <x:c r="AV118" s="107"/>
      <x:c r="AW118" s="107"/>
      <x:c r="AX118" s="107"/>
      <x:c r="AY118" s="109" t="str">
        <x:f t="shared" si="41"/>
        <x:v>FAILED</x:v>
      </x:c>
      <x:c r="AZ118" s="115"/>
      <x:c r="BA118" s="115"/>
      <x:c r="BB118" s="107"/>
      <x:c r="BC118" s="107"/>
      <x:c r="BD118" s="107"/>
      <x:c r="BE118" s="107"/>
      <x:c r="BF118" s="107"/>
      <x:c r="BG118" s="109" t="str">
        <x:f t="shared" si="42"/>
        <x:v>FAILED</x:v>
      </x:c>
      <x:c r="BH118" s="117"/>
      <x:c r="BI118" s="102"/>
      <x:c r="BJ118" s="102"/>
      <x:c r="BK118" s="102"/>
      <x:c r="BL118" s="102"/>
      <x:c r="BM118" s="102"/>
      <x:c r="BN118" s="102"/>
      <x:c r="BO118" s="102"/>
      <x:c r="BP118" s="102"/>
      <x:c r="BQ118" s="109" t="str">
        <x:f t="shared" si="43"/>
        <x:v>FAILED</x:v>
      </x:c>
      <x:c r="BR118" s="115"/>
      <x:c r="BS118" s="115"/>
      <x:c r="BT118" s="107"/>
      <x:c r="BU118" s="107"/>
      <x:c r="BV118" s="107"/>
      <x:c r="BW118" s="107"/>
      <x:c r="BX118" s="107"/>
      <x:c r="BY118" s="109" t="str">
        <x:f t="shared" si="44"/>
        <x:v>FAILED</x:v>
      </x:c>
      <x:c r="BZ118" s="115"/>
      <x:c r="CA118" s="115"/>
      <x:c r="CB118" s="107"/>
      <x:c r="CC118" s="107"/>
      <x:c r="CD118" s="107"/>
      <x:c r="CE118" s="107"/>
      <x:c r="CF118" s="107"/>
      <x:c r="CG118" s="109" t="str">
        <x:f t="shared" si="45"/>
        <x:v>FAILED</x:v>
      </x:c>
      <x:c r="CH118" s="117"/>
    </x:row>
    <x:row r="119">
      <x:c r="A119" s="102" t="str">
        <x:f>IF(RECORD!A121="","",RECORD!A121)</x:f>
      </x:c>
      <x:c r="B119" s="102" t="str">
        <x:f>IF(RECORD!B121="","",RECORD!B121)</x:f>
      </x:c>
      <x:c r="C119" s="103" t="str">
        <x:f>IF(RECORD!C121="","",RECORD!C121)</x:f>
      </x:c>
      <x:c r="D119" s="104" t="str">
        <x:f t="array" ref="D119">IF(C119&lt;&gt;"",IF(F$7="SUMMER","N/A",_xlfn.IFS(D$10="TLA",RECORD!GO121,F$10="LECTURE","",TRUE(),"")),"")</x:f>
      </x:c>
      <x:c r="E119" s="105" t="str">
        <x:f t="shared" si="23"/>
      </x:c>
      <x:c r="F119" s="104" t="str">
        <x:f t="array" ref="F119">IF(C119&lt;&gt;"",IF(F$7="SUMMER","N/A",_xlfn.IFS(F$10="AT",RECORD!GI121,F$10="LECTURE",GRADES!AP119,TRUE(),"")),"")</x:f>
      </x:c>
      <x:c r="G119" s="106" t="str">
        <x:f t="shared" si="24"/>
      </x:c>
      <x:c r="H119" s="107" t="str">
        <x:f t="array" ref="H119">IF(C119&lt;&gt;"",IF(F$7="SUMMER","N/A",_xlfn.IFS(H$10="EXAM",RECORD!GJ121,H$10="OUTPUT",RECORD!GK121,H$10="LAB",BP119,TRUE(),"")),"")</x:f>
      </x:c>
      <x:c r="I119" s="106" t="str">
        <x:f t="shared" si="25"/>
      </x:c>
      <x:c r="J119" s="108" t="str">
        <x:f t="shared" si="26"/>
      </x:c>
      <x:c r="K119" s="109" t="str">
        <x:f t="shared" si="27"/>
      </x:c>
      <x:c r="L119" s="110" t="str">
        <x:f t="array" ref="L119">IF(C119&lt;&gt;"",_xlfn.IFS(L$10="TLA",RECORD!GY121,N$10="LECTURE","",TRUE(),""),"")</x:f>
      </x:c>
      <x:c r="M119" s="105" t="str">
        <x:f t="shared" si="28"/>
      </x:c>
      <x:c r="N119" s="104" t="str">
        <x:f t="array" ref="N119">IF(C119&lt;&gt;"",_xlfn.IFS(N$10="AT",RECORD!GS121,N$10="LECTURE",AX119,TRUE(),""),"")</x:f>
      </x:c>
      <x:c r="O119" s="106" t="str">
        <x:f t="shared" si="29"/>
      </x:c>
      <x:c r="P119" s="107" t="str">
        <x:f t="array" ref="P119">IF(C119&lt;&gt;"",_xlfn.IFS(P$10="EXAM",RECORD!GT121,P$10="OUTPUT",RECORD!GU121,P$10="LAB",BX119,TRUE(),""),"")</x:f>
      </x:c>
      <x:c r="Q119" s="106" t="str">
        <x:f t="shared" si="30"/>
      </x:c>
      <x:c r="R119" s="108" t="str">
        <x:f t="shared" si="31"/>
      </x:c>
      <x:c r="S119" s="109" t="str">
        <x:f t="shared" si="32"/>
      </x:c>
      <x:c r="T119" s="110" t="str">
        <x:f t="array" ref="T119">IF(C119&lt;&gt;"",_xlfn.IFS(T$10="TLA",RECORD!HI121,V$10="LECTURE","",TRUE(),""),"")</x:f>
      </x:c>
      <x:c r="U119" s="105" t="str">
        <x:f t="shared" si="33"/>
      </x:c>
      <x:c r="V119" s="104" t="str">
        <x:f t="array" ref="V119">IF(C119&lt;&gt;"",_xlfn.IFS(V$10="AT",RECORD!HC121,V$10="LECTURE",BF119,TRUE(),""),"")</x:f>
      </x:c>
      <x:c r="W119" s="106" t="str">
        <x:f t="shared" si="34"/>
      </x:c>
      <x:c r="X119" s="107" t="str">
        <x:f t="array" ref="X119">IF(C119&lt;&gt;"",_xlfn.IFS(X$10="EXAM",RECORD!HD121,X$10="OUTPUT",RECORD!HE121,X$10="LAB",CF119,TRUE(),""),"")</x:f>
      </x:c>
      <x:c r="Y119" s="106" t="str">
        <x:f t="shared" si="35"/>
      </x:c>
      <x:c r="Z119" s="108" t="str">
        <x:f t="shared" si="36"/>
      </x:c>
      <x:c r="AA119" s="109" t="str">
        <x:f t="shared" si="37"/>
      </x:c>
      <x:c r="AB119" s="111" t="str">
        <x:f t="shared" si="38"/>
      </x:c>
      <x:c r="AC119" s="109" t="str">
        <x:f t="shared" si="39"/>
      </x:c>
      <x:c r="AD119" s="112"/>
      <x:c r="AE119" s="102"/>
      <x:c r="AF119" s="113"/>
      <x:c r="AG119" s="112"/>
      <x:c r="AH119" s="103"/>
      <x:c r="AI119" s="114"/>
      <x:c r="AJ119" s="102"/>
      <x:c r="AK119" s="102"/>
      <x:c r="AL119" s="102"/>
      <x:c r="AM119" s="102"/>
      <x:c r="AN119" s="102"/>
      <x:c r="AO119" s="102"/>
      <x:c r="AP119" s="102"/>
      <x:c r="AQ119" s="109" t="str">
        <x:f t="shared" si="40"/>
        <x:v>FAILED</x:v>
      </x:c>
      <x:c r="AR119" s="115"/>
      <x:c r="AS119" s="115"/>
      <x:c r="AT119" s="107"/>
      <x:c r="AU119" s="107"/>
      <x:c r="AV119" s="107"/>
      <x:c r="AW119" s="107"/>
      <x:c r="AX119" s="107"/>
      <x:c r="AY119" s="109" t="str">
        <x:f t="shared" si="41"/>
        <x:v>FAILED</x:v>
      </x:c>
      <x:c r="AZ119" s="115"/>
      <x:c r="BA119" s="115"/>
      <x:c r="BB119" s="107"/>
      <x:c r="BC119" s="107"/>
      <x:c r="BD119" s="107"/>
      <x:c r="BE119" s="107"/>
      <x:c r="BF119" s="107"/>
      <x:c r="BG119" s="109" t="str">
        <x:f t="shared" si="42"/>
        <x:v>FAILED</x:v>
      </x:c>
      <x:c r="BH119" s="117"/>
      <x:c r="BI119" s="102"/>
      <x:c r="BJ119" s="102"/>
      <x:c r="BK119" s="102"/>
      <x:c r="BL119" s="102"/>
      <x:c r="BM119" s="102"/>
      <x:c r="BN119" s="102"/>
      <x:c r="BO119" s="102"/>
      <x:c r="BP119" s="102"/>
      <x:c r="BQ119" s="109" t="str">
        <x:f t="shared" si="43"/>
        <x:v>FAILED</x:v>
      </x:c>
      <x:c r="BR119" s="115"/>
      <x:c r="BS119" s="115"/>
      <x:c r="BT119" s="107"/>
      <x:c r="BU119" s="107"/>
      <x:c r="BV119" s="107"/>
      <x:c r="BW119" s="107"/>
      <x:c r="BX119" s="107"/>
      <x:c r="BY119" s="109" t="str">
        <x:f t="shared" si="44"/>
        <x:v>FAILED</x:v>
      </x:c>
      <x:c r="BZ119" s="115"/>
      <x:c r="CA119" s="115"/>
      <x:c r="CB119" s="107"/>
      <x:c r="CC119" s="107"/>
      <x:c r="CD119" s="107"/>
      <x:c r="CE119" s="107"/>
      <x:c r="CF119" s="107"/>
      <x:c r="CG119" s="109" t="str">
        <x:f t="shared" si="45"/>
        <x:v>FAILED</x:v>
      </x:c>
      <x:c r="CH119" s="117"/>
    </x:row>
    <x:row r="120">
      <x:c r="A120" s="102" t="str">
        <x:f>IF(RECORD!A122="","",RECORD!A122)</x:f>
      </x:c>
      <x:c r="B120" s="102" t="str">
        <x:f>IF(RECORD!B122="","",RECORD!B122)</x:f>
      </x:c>
      <x:c r="C120" s="103" t="str">
        <x:f>IF(RECORD!C122="","",RECORD!C122)</x:f>
      </x:c>
      <x:c r="D120" s="104" t="str">
        <x:f t="array" ref="D120">IF(C120&lt;&gt;"",IF(F$7="SUMMER","N/A",_xlfn.IFS(D$10="TLA",RECORD!GO122,F$10="LECTURE","",TRUE(),"")),"")</x:f>
      </x:c>
      <x:c r="E120" s="105" t="str">
        <x:f t="shared" si="23"/>
      </x:c>
      <x:c r="F120" s="104" t="str">
        <x:f t="array" ref="F120">IF(C120&lt;&gt;"",IF(F$7="SUMMER","N/A",_xlfn.IFS(F$10="AT",RECORD!GI122,F$10="LECTURE",GRADES!AP120,TRUE(),"")),"")</x:f>
      </x:c>
      <x:c r="G120" s="106" t="str">
        <x:f t="shared" si="24"/>
      </x:c>
      <x:c r="H120" s="107" t="str">
        <x:f t="array" ref="H120">IF(C120&lt;&gt;"",IF(F$7="SUMMER","N/A",_xlfn.IFS(H$10="EXAM",RECORD!GJ122,H$10="OUTPUT",RECORD!GK122,H$10="LAB",BP120,TRUE(),"")),"")</x:f>
      </x:c>
      <x:c r="I120" s="106" t="str">
        <x:f t="shared" si="25"/>
      </x:c>
      <x:c r="J120" s="108" t="str">
        <x:f t="shared" si="26"/>
      </x:c>
      <x:c r="K120" s="109" t="str">
        <x:f t="shared" si="27"/>
      </x:c>
      <x:c r="L120" s="110" t="str">
        <x:f t="array" ref="L120">IF(C120&lt;&gt;"",_xlfn.IFS(L$10="TLA",RECORD!GY122,N$10="LECTURE","",TRUE(),""),"")</x:f>
      </x:c>
      <x:c r="M120" s="105" t="str">
        <x:f t="shared" si="28"/>
      </x:c>
      <x:c r="N120" s="104" t="str">
        <x:f t="array" ref="N120">IF(C120&lt;&gt;"",_xlfn.IFS(N$10="AT",RECORD!GS122,N$10="LECTURE",AX120,TRUE(),""),"")</x:f>
      </x:c>
      <x:c r="O120" s="106" t="str">
        <x:f t="shared" si="29"/>
      </x:c>
      <x:c r="P120" s="107" t="str">
        <x:f t="array" ref="P120">IF(C120&lt;&gt;"",_xlfn.IFS(P$10="EXAM",RECORD!GT122,P$10="OUTPUT",RECORD!GU122,P$10="LAB",BX120,TRUE(),""),"")</x:f>
      </x:c>
      <x:c r="Q120" s="106" t="str">
        <x:f t="shared" si="30"/>
      </x:c>
      <x:c r="R120" s="108" t="str">
        <x:f t="shared" si="31"/>
      </x:c>
      <x:c r="S120" s="109" t="str">
        <x:f t="shared" si="32"/>
      </x:c>
      <x:c r="T120" s="110" t="str">
        <x:f t="array" ref="T120">IF(C120&lt;&gt;"",_xlfn.IFS(T$10="TLA",RECORD!HI122,V$10="LECTURE","",TRUE(),""),"")</x:f>
      </x:c>
      <x:c r="U120" s="105" t="str">
        <x:f t="shared" si="33"/>
      </x:c>
      <x:c r="V120" s="104" t="str">
        <x:f t="array" ref="V120">IF(C120&lt;&gt;"",_xlfn.IFS(V$10="AT",RECORD!HC122,V$10="LECTURE",BF120,TRUE(),""),"")</x:f>
      </x:c>
      <x:c r="W120" s="106" t="str">
        <x:f t="shared" si="34"/>
      </x:c>
      <x:c r="X120" s="107" t="str">
        <x:f t="array" ref="X120">IF(C120&lt;&gt;"",_xlfn.IFS(X$10="EXAM",RECORD!HD122,X$10="OUTPUT",RECORD!HE122,X$10="LAB",CF120,TRUE(),""),"")</x:f>
      </x:c>
      <x:c r="Y120" s="106" t="str">
        <x:f t="shared" si="35"/>
      </x:c>
      <x:c r="Z120" s="108" t="str">
        <x:f t="shared" si="36"/>
      </x:c>
      <x:c r="AA120" s="109" t="str">
        <x:f t="shared" si="37"/>
      </x:c>
      <x:c r="AB120" s="111" t="str">
        <x:f t="shared" si="38"/>
      </x:c>
      <x:c r="AC120" s="109" t="str">
        <x:f t="shared" si="39"/>
      </x:c>
      <x:c r="AD120" s="112"/>
      <x:c r="AE120" s="102"/>
      <x:c r="AF120" s="113"/>
      <x:c r="AG120" s="112"/>
      <x:c r="AH120" s="103"/>
      <x:c r="AI120" s="114"/>
      <x:c r="AJ120" s="102"/>
      <x:c r="AK120" s="102"/>
      <x:c r="AL120" s="102"/>
      <x:c r="AM120" s="102"/>
      <x:c r="AN120" s="102"/>
      <x:c r="AO120" s="102"/>
      <x:c r="AP120" s="102"/>
      <x:c r="AQ120" s="109" t="str">
        <x:f t="shared" si="40"/>
        <x:v>FAILED</x:v>
      </x:c>
      <x:c r="AR120" s="115"/>
      <x:c r="AS120" s="115"/>
      <x:c r="AT120" s="107"/>
      <x:c r="AU120" s="107"/>
      <x:c r="AV120" s="107"/>
      <x:c r="AW120" s="107"/>
      <x:c r="AX120" s="107"/>
      <x:c r="AY120" s="109" t="str">
        <x:f t="shared" si="41"/>
        <x:v>FAILED</x:v>
      </x:c>
      <x:c r="AZ120" s="115"/>
      <x:c r="BA120" s="115"/>
      <x:c r="BB120" s="107"/>
      <x:c r="BC120" s="107"/>
      <x:c r="BD120" s="107"/>
      <x:c r="BE120" s="107"/>
      <x:c r="BF120" s="107"/>
      <x:c r="BG120" s="109" t="str">
        <x:f t="shared" si="42"/>
        <x:v>FAILED</x:v>
      </x:c>
      <x:c r="BH120" s="117"/>
      <x:c r="BI120" s="102"/>
      <x:c r="BJ120" s="102"/>
      <x:c r="BK120" s="102"/>
      <x:c r="BL120" s="102"/>
      <x:c r="BM120" s="102"/>
      <x:c r="BN120" s="102"/>
      <x:c r="BO120" s="102"/>
      <x:c r="BP120" s="102"/>
      <x:c r="BQ120" s="109" t="str">
        <x:f t="shared" si="43"/>
        <x:v>FAILED</x:v>
      </x:c>
      <x:c r="BR120" s="115"/>
      <x:c r="BS120" s="115"/>
      <x:c r="BT120" s="107"/>
      <x:c r="BU120" s="107"/>
      <x:c r="BV120" s="107"/>
      <x:c r="BW120" s="107"/>
      <x:c r="BX120" s="107"/>
      <x:c r="BY120" s="109" t="str">
        <x:f t="shared" si="44"/>
        <x:v>FAILED</x:v>
      </x:c>
      <x:c r="BZ120" s="115"/>
      <x:c r="CA120" s="115"/>
      <x:c r="CB120" s="107"/>
      <x:c r="CC120" s="107"/>
      <x:c r="CD120" s="107"/>
      <x:c r="CE120" s="107"/>
      <x:c r="CF120" s="107"/>
      <x:c r="CG120" s="109" t="str">
        <x:f t="shared" si="45"/>
        <x:v>FAILED</x:v>
      </x:c>
      <x:c r="CH120" s="117"/>
    </x:row>
    <x:row r="121">
      <x:c r="A121" s="102" t="str">
        <x:f>IF(RECORD!A123="","",RECORD!A123)</x:f>
      </x:c>
      <x:c r="B121" s="102" t="str">
        <x:f>IF(RECORD!B123="","",RECORD!B123)</x:f>
      </x:c>
      <x:c r="C121" s="103" t="str">
        <x:f>IF(RECORD!C123="","",RECORD!C123)</x:f>
      </x:c>
      <x:c r="D121" s="104" t="str">
        <x:f t="array" ref="D121">IF(C121&lt;&gt;"",IF(F$7="SUMMER","N/A",_xlfn.IFS(D$10="TLA",RECORD!GO123,F$10="LECTURE","",TRUE(),"")),"")</x:f>
      </x:c>
      <x:c r="E121" s="105" t="str">
        <x:f t="shared" si="23"/>
      </x:c>
      <x:c r="F121" s="104" t="str">
        <x:f t="array" ref="F121">IF(C121&lt;&gt;"",IF(F$7="SUMMER","N/A",_xlfn.IFS(F$10="AT",RECORD!GI123,F$10="LECTURE",GRADES!AP121,TRUE(),"")),"")</x:f>
      </x:c>
      <x:c r="G121" s="106" t="str">
        <x:f t="shared" si="24"/>
      </x:c>
      <x:c r="H121" s="107" t="str">
        <x:f t="array" ref="H121">IF(C121&lt;&gt;"",IF(F$7="SUMMER","N/A",_xlfn.IFS(H$10="EXAM",RECORD!GJ123,H$10="OUTPUT",RECORD!GK123,H$10="LAB",BP121,TRUE(),"")),"")</x:f>
      </x:c>
      <x:c r="I121" s="106" t="str">
        <x:f t="shared" si="25"/>
      </x:c>
      <x:c r="J121" s="108" t="str">
        <x:f t="shared" si="26"/>
      </x:c>
      <x:c r="K121" s="109" t="str">
        <x:f t="shared" si="27"/>
      </x:c>
      <x:c r="L121" s="110" t="str">
        <x:f t="array" ref="L121">IF(C121&lt;&gt;"",_xlfn.IFS(L$10="TLA",RECORD!GY123,N$10="LECTURE","",TRUE(),""),"")</x:f>
      </x:c>
      <x:c r="M121" s="105" t="str">
        <x:f t="shared" si="28"/>
      </x:c>
      <x:c r="N121" s="104" t="str">
        <x:f t="array" ref="N121">IF(C121&lt;&gt;"",_xlfn.IFS(N$10="AT",RECORD!GS123,N$10="LECTURE",AX121,TRUE(),""),"")</x:f>
      </x:c>
      <x:c r="O121" s="106" t="str">
        <x:f t="shared" si="29"/>
      </x:c>
      <x:c r="P121" s="107" t="str">
        <x:f t="array" ref="P121">IF(C121&lt;&gt;"",_xlfn.IFS(P$10="EXAM",RECORD!GT123,P$10="OUTPUT",RECORD!GU123,P$10="LAB",BX121,TRUE(),""),"")</x:f>
      </x:c>
      <x:c r="Q121" s="106" t="str">
        <x:f t="shared" si="30"/>
      </x:c>
      <x:c r="R121" s="108" t="str">
        <x:f t="shared" si="31"/>
      </x:c>
      <x:c r="S121" s="109" t="str">
        <x:f t="shared" si="32"/>
      </x:c>
      <x:c r="T121" s="110" t="str">
        <x:f t="array" ref="T121">IF(C121&lt;&gt;"",_xlfn.IFS(T$10="TLA",RECORD!HI123,V$10="LECTURE","",TRUE(),""),"")</x:f>
      </x:c>
      <x:c r="U121" s="105" t="str">
        <x:f t="shared" si="33"/>
      </x:c>
      <x:c r="V121" s="104" t="str">
        <x:f t="array" ref="V121">IF(C121&lt;&gt;"",_xlfn.IFS(V$10="AT",RECORD!HC123,V$10="LECTURE",BF121,TRUE(),""),"")</x:f>
      </x:c>
      <x:c r="W121" s="106" t="str">
        <x:f t="shared" si="34"/>
      </x:c>
      <x:c r="X121" s="107" t="str">
        <x:f t="array" ref="X121">IF(C121&lt;&gt;"",_xlfn.IFS(X$10="EXAM",RECORD!HD123,X$10="OUTPUT",RECORD!HE123,X$10="LAB",CF121,TRUE(),""),"")</x:f>
      </x:c>
      <x:c r="Y121" s="106" t="str">
        <x:f t="shared" si="35"/>
      </x:c>
      <x:c r="Z121" s="108" t="str">
        <x:f t="shared" si="36"/>
      </x:c>
      <x:c r="AA121" s="109" t="str">
        <x:f t="shared" si="37"/>
      </x:c>
      <x:c r="AB121" s="111" t="str">
        <x:f t="shared" si="38"/>
      </x:c>
      <x:c r="AC121" s="109" t="str">
        <x:f t="shared" si="39"/>
      </x:c>
      <x:c r="AD121" s="112"/>
      <x:c r="AE121" s="102"/>
      <x:c r="AF121" s="113"/>
      <x:c r="AG121" s="112"/>
      <x:c r="AH121" s="103"/>
      <x:c r="AI121" s="114"/>
      <x:c r="AJ121" s="102"/>
      <x:c r="AK121" s="102"/>
      <x:c r="AL121" s="102"/>
      <x:c r="AM121" s="102"/>
      <x:c r="AN121" s="102"/>
      <x:c r="AO121" s="102"/>
      <x:c r="AP121" s="102"/>
      <x:c r="AQ121" s="109" t="str">
        <x:f t="shared" si="40"/>
        <x:v>FAILED</x:v>
      </x:c>
      <x:c r="AR121" s="115"/>
      <x:c r="AS121" s="115"/>
      <x:c r="AT121" s="107"/>
      <x:c r="AU121" s="107"/>
      <x:c r="AV121" s="107"/>
      <x:c r="AW121" s="107"/>
      <x:c r="AX121" s="107"/>
      <x:c r="AY121" s="109" t="str">
        <x:f t="shared" si="41"/>
        <x:v>FAILED</x:v>
      </x:c>
      <x:c r="AZ121" s="115"/>
      <x:c r="BA121" s="115"/>
      <x:c r="BB121" s="107"/>
      <x:c r="BC121" s="107"/>
      <x:c r="BD121" s="107"/>
      <x:c r="BE121" s="107"/>
      <x:c r="BF121" s="107"/>
      <x:c r="BG121" s="109" t="str">
        <x:f t="shared" si="42"/>
        <x:v>FAILED</x:v>
      </x:c>
      <x:c r="BH121" s="117"/>
      <x:c r="BI121" s="102"/>
      <x:c r="BJ121" s="102"/>
      <x:c r="BK121" s="102"/>
      <x:c r="BL121" s="102"/>
      <x:c r="BM121" s="102"/>
      <x:c r="BN121" s="102"/>
      <x:c r="BO121" s="102"/>
      <x:c r="BP121" s="102"/>
      <x:c r="BQ121" s="109" t="str">
        <x:f t="shared" si="43"/>
        <x:v>FAILED</x:v>
      </x:c>
      <x:c r="BR121" s="115"/>
      <x:c r="BS121" s="115"/>
      <x:c r="BT121" s="107"/>
      <x:c r="BU121" s="107"/>
      <x:c r="BV121" s="107"/>
      <x:c r="BW121" s="107"/>
      <x:c r="BX121" s="107"/>
      <x:c r="BY121" s="109" t="str">
        <x:f t="shared" si="44"/>
        <x:v>FAILED</x:v>
      </x:c>
      <x:c r="BZ121" s="115"/>
      <x:c r="CA121" s="115"/>
      <x:c r="CB121" s="107"/>
      <x:c r="CC121" s="107"/>
      <x:c r="CD121" s="107"/>
      <x:c r="CE121" s="107"/>
      <x:c r="CF121" s="107"/>
      <x:c r="CG121" s="109" t="str">
        <x:f t="shared" si="45"/>
        <x:v>FAILED</x:v>
      </x:c>
      <x:c r="CH121" s="117"/>
    </x:row>
    <x:row r="122">
      <x:c r="A122" s="102" t="str">
        <x:f>IF(RECORD!A124="","",RECORD!A124)</x:f>
      </x:c>
      <x:c r="B122" s="102" t="str">
        <x:f>IF(RECORD!B124="","",RECORD!B124)</x:f>
      </x:c>
      <x:c r="C122" s="103" t="str">
        <x:f>IF(RECORD!C124="","",RECORD!C124)</x:f>
      </x:c>
      <x:c r="D122" s="104" t="str">
        <x:f t="array" ref="D122">IF(C122&lt;&gt;"",IF(F$7="SUMMER","N/A",_xlfn.IFS(D$10="TLA",RECORD!GO124,F$10="LECTURE","",TRUE(),"")),"")</x:f>
      </x:c>
      <x:c r="E122" s="105" t="str">
        <x:f t="shared" si="23"/>
      </x:c>
      <x:c r="F122" s="104" t="str">
        <x:f t="array" ref="F122">IF(C122&lt;&gt;"",IF(F$7="SUMMER","N/A",_xlfn.IFS(F$10="AT",RECORD!GI124,F$10="LECTURE",GRADES!AP122,TRUE(),"")),"")</x:f>
      </x:c>
      <x:c r="G122" s="106" t="str">
        <x:f t="shared" si="24"/>
      </x:c>
      <x:c r="H122" s="107" t="str">
        <x:f t="array" ref="H122">IF(C122&lt;&gt;"",IF(F$7="SUMMER","N/A",_xlfn.IFS(H$10="EXAM",RECORD!GJ124,H$10="OUTPUT",RECORD!GK124,H$10="LAB",BP122,TRUE(),"")),"")</x:f>
      </x:c>
      <x:c r="I122" s="106" t="str">
        <x:f t="shared" si="25"/>
      </x:c>
      <x:c r="J122" s="108" t="str">
        <x:f t="shared" si="26"/>
      </x:c>
      <x:c r="K122" s="109" t="str">
        <x:f t="shared" si="27"/>
      </x:c>
      <x:c r="L122" s="110" t="str">
        <x:f t="array" ref="L122">IF(C122&lt;&gt;"",_xlfn.IFS(L$10="TLA",RECORD!GY124,N$10="LECTURE","",TRUE(),""),"")</x:f>
      </x:c>
      <x:c r="M122" s="105" t="str">
        <x:f t="shared" si="28"/>
      </x:c>
      <x:c r="N122" s="104" t="str">
        <x:f t="array" ref="N122">IF(C122&lt;&gt;"",_xlfn.IFS(N$10="AT",RECORD!GS124,N$10="LECTURE",AX122,TRUE(),""),"")</x:f>
      </x:c>
      <x:c r="O122" s="106" t="str">
        <x:f t="shared" si="29"/>
      </x:c>
      <x:c r="P122" s="107" t="str">
        <x:f t="array" ref="P122">IF(C122&lt;&gt;"",_xlfn.IFS(P$10="EXAM",RECORD!GT124,P$10="OUTPUT",RECORD!GU124,P$10="LAB",BX122,TRUE(),""),"")</x:f>
      </x:c>
      <x:c r="Q122" s="106" t="str">
        <x:f t="shared" si="30"/>
      </x:c>
      <x:c r="R122" s="108" t="str">
        <x:f t="shared" si="31"/>
      </x:c>
      <x:c r="S122" s="109" t="str">
        <x:f t="shared" si="32"/>
      </x:c>
      <x:c r="T122" s="110" t="str">
        <x:f t="array" ref="T122">IF(C122&lt;&gt;"",_xlfn.IFS(T$10="TLA",RECORD!HI124,V$10="LECTURE","",TRUE(),""),"")</x:f>
      </x:c>
      <x:c r="U122" s="105" t="str">
        <x:f t="shared" si="33"/>
      </x:c>
      <x:c r="V122" s="104" t="str">
        <x:f t="array" ref="V122">IF(C122&lt;&gt;"",_xlfn.IFS(V$10="AT",RECORD!HC124,V$10="LECTURE",BF122,TRUE(),""),"")</x:f>
      </x:c>
      <x:c r="W122" s="106" t="str">
        <x:f t="shared" si="34"/>
      </x:c>
      <x:c r="X122" s="107" t="str">
        <x:f t="array" ref="X122">IF(C122&lt;&gt;"",_xlfn.IFS(X$10="EXAM",RECORD!HD124,X$10="OUTPUT",RECORD!HE124,X$10="LAB",CF122,TRUE(),""),"")</x:f>
      </x:c>
      <x:c r="Y122" s="106" t="str">
        <x:f t="shared" si="35"/>
      </x:c>
      <x:c r="Z122" s="108" t="str">
        <x:f t="shared" si="36"/>
      </x:c>
      <x:c r="AA122" s="109" t="str">
        <x:f t="shared" si="37"/>
      </x:c>
      <x:c r="AB122" s="111" t="str">
        <x:f t="shared" si="38"/>
      </x:c>
      <x:c r="AC122" s="109" t="str">
        <x:f t="shared" si="39"/>
      </x:c>
      <x:c r="AD122" s="112"/>
      <x:c r="AE122" s="102"/>
      <x:c r="AF122" s="113"/>
      <x:c r="AG122" s="112"/>
      <x:c r="AH122" s="103"/>
      <x:c r="AI122" s="114"/>
      <x:c r="AJ122" s="102"/>
      <x:c r="AK122" s="102"/>
      <x:c r="AL122" s="102"/>
      <x:c r="AM122" s="102"/>
      <x:c r="AN122" s="102"/>
      <x:c r="AO122" s="102"/>
      <x:c r="AP122" s="102"/>
      <x:c r="AQ122" s="109" t="str">
        <x:f t="shared" si="40"/>
        <x:v>FAILED</x:v>
      </x:c>
      <x:c r="AR122" s="115"/>
      <x:c r="AS122" s="115"/>
      <x:c r="AT122" s="107"/>
      <x:c r="AU122" s="107"/>
      <x:c r="AV122" s="107"/>
      <x:c r="AW122" s="107"/>
      <x:c r="AX122" s="107"/>
      <x:c r="AY122" s="109" t="str">
        <x:f t="shared" si="41"/>
        <x:v>FAILED</x:v>
      </x:c>
      <x:c r="AZ122" s="115"/>
      <x:c r="BA122" s="115"/>
      <x:c r="BB122" s="107"/>
      <x:c r="BC122" s="107"/>
      <x:c r="BD122" s="107"/>
      <x:c r="BE122" s="107"/>
      <x:c r="BF122" s="107"/>
      <x:c r="BG122" s="109" t="str">
        <x:f t="shared" si="42"/>
        <x:v>FAILED</x:v>
      </x:c>
      <x:c r="BH122" s="117"/>
      <x:c r="BI122" s="102"/>
      <x:c r="BJ122" s="102"/>
      <x:c r="BK122" s="102"/>
      <x:c r="BL122" s="102"/>
      <x:c r="BM122" s="102"/>
      <x:c r="BN122" s="102"/>
      <x:c r="BO122" s="102"/>
      <x:c r="BP122" s="102"/>
      <x:c r="BQ122" s="109" t="str">
        <x:f t="shared" si="43"/>
        <x:v>FAILED</x:v>
      </x:c>
      <x:c r="BR122" s="115"/>
      <x:c r="BS122" s="115"/>
      <x:c r="BT122" s="107"/>
      <x:c r="BU122" s="107"/>
      <x:c r="BV122" s="107"/>
      <x:c r="BW122" s="107"/>
      <x:c r="BX122" s="107"/>
      <x:c r="BY122" s="109" t="str">
        <x:f t="shared" si="44"/>
        <x:v>FAILED</x:v>
      </x:c>
      <x:c r="BZ122" s="115"/>
      <x:c r="CA122" s="115"/>
      <x:c r="CB122" s="107"/>
      <x:c r="CC122" s="107"/>
      <x:c r="CD122" s="107"/>
      <x:c r="CE122" s="107"/>
      <x:c r="CF122" s="107"/>
      <x:c r="CG122" s="109" t="str">
        <x:f t="shared" si="45"/>
        <x:v>FAILED</x:v>
      </x:c>
      <x:c r="CH122" s="117"/>
    </x:row>
    <x:row r="123">
      <x:c r="A123" s="102" t="str">
        <x:f>IF(RECORD!A125="","",RECORD!A125)</x:f>
      </x:c>
      <x:c r="B123" s="102" t="str">
        <x:f>IF(RECORD!B125="","",RECORD!B125)</x:f>
      </x:c>
      <x:c r="C123" s="103" t="str">
        <x:f>IF(RECORD!C125="","",RECORD!C125)</x:f>
      </x:c>
      <x:c r="D123" s="104" t="str">
        <x:f t="array" ref="D123">IF(C123&lt;&gt;"",IF(F$7="SUMMER","N/A",_xlfn.IFS(D$10="TLA",RECORD!GO125,F$10="LECTURE","",TRUE(),"")),"")</x:f>
      </x:c>
      <x:c r="E123" s="105" t="str">
        <x:f t="shared" si="23"/>
      </x:c>
      <x:c r="F123" s="104" t="str">
        <x:f t="array" ref="F123">IF(C123&lt;&gt;"",IF(F$7="SUMMER","N/A",_xlfn.IFS(F$10="AT",RECORD!GI125,F$10="LECTURE",GRADES!AP123,TRUE(),"")),"")</x:f>
      </x:c>
      <x:c r="G123" s="106" t="str">
        <x:f t="shared" si="24"/>
      </x:c>
      <x:c r="H123" s="107" t="str">
        <x:f t="array" ref="H123">IF(C123&lt;&gt;"",IF(F$7="SUMMER","N/A",_xlfn.IFS(H$10="EXAM",RECORD!GJ125,H$10="OUTPUT",RECORD!GK125,H$10="LAB",BP123,TRUE(),"")),"")</x:f>
      </x:c>
      <x:c r="I123" s="106" t="str">
        <x:f t="shared" si="25"/>
      </x:c>
      <x:c r="J123" s="108" t="str">
        <x:f t="shared" si="26"/>
      </x:c>
      <x:c r="K123" s="109" t="str">
        <x:f t="shared" si="27"/>
      </x:c>
      <x:c r="L123" s="110" t="str">
        <x:f t="array" ref="L123">IF(C123&lt;&gt;"",_xlfn.IFS(L$10="TLA",RECORD!GY125,N$10="LECTURE","",TRUE(),""),"")</x:f>
      </x:c>
      <x:c r="M123" s="105" t="str">
        <x:f t="shared" si="28"/>
      </x:c>
      <x:c r="N123" s="104" t="str">
        <x:f t="array" ref="N123">IF(C123&lt;&gt;"",_xlfn.IFS(N$10="AT",RECORD!GS125,N$10="LECTURE",AX123,TRUE(),""),"")</x:f>
      </x:c>
      <x:c r="O123" s="106" t="str">
        <x:f t="shared" si="29"/>
      </x:c>
      <x:c r="P123" s="107" t="str">
        <x:f t="array" ref="P123">IF(C123&lt;&gt;"",_xlfn.IFS(P$10="EXAM",RECORD!GT125,P$10="OUTPUT",RECORD!GU125,P$10="LAB",BX123,TRUE(),""),"")</x:f>
      </x:c>
      <x:c r="Q123" s="106" t="str">
        <x:f t="shared" si="30"/>
      </x:c>
      <x:c r="R123" s="108" t="str">
        <x:f t="shared" si="31"/>
      </x:c>
      <x:c r="S123" s="109" t="str">
        <x:f t="shared" si="32"/>
      </x:c>
      <x:c r="T123" s="110" t="str">
        <x:f t="array" ref="T123">IF(C123&lt;&gt;"",_xlfn.IFS(T$10="TLA",RECORD!HI125,V$10="LECTURE","",TRUE(),""),"")</x:f>
      </x:c>
      <x:c r="U123" s="105" t="str">
        <x:f t="shared" si="33"/>
      </x:c>
      <x:c r="V123" s="104" t="str">
        <x:f t="array" ref="V123">IF(C123&lt;&gt;"",_xlfn.IFS(V$10="AT",RECORD!HC125,V$10="LECTURE",BF123,TRUE(),""),"")</x:f>
      </x:c>
      <x:c r="W123" s="106" t="str">
        <x:f t="shared" si="34"/>
      </x:c>
      <x:c r="X123" s="107" t="str">
        <x:f t="array" ref="X123">IF(C123&lt;&gt;"",_xlfn.IFS(X$10="EXAM",RECORD!HD125,X$10="OUTPUT",RECORD!HE125,X$10="LAB",CF123,TRUE(),""),"")</x:f>
      </x:c>
      <x:c r="Y123" s="106" t="str">
        <x:f t="shared" si="35"/>
      </x:c>
      <x:c r="Z123" s="108" t="str">
        <x:f t="shared" si="36"/>
      </x:c>
      <x:c r="AA123" s="109" t="str">
        <x:f t="shared" si="37"/>
      </x:c>
      <x:c r="AB123" s="111" t="str">
        <x:f t="shared" si="38"/>
      </x:c>
      <x:c r="AC123" s="109" t="str">
        <x:f t="shared" si="39"/>
      </x:c>
      <x:c r="AD123" s="112"/>
      <x:c r="AE123" s="102"/>
      <x:c r="AF123" s="113"/>
      <x:c r="AG123" s="112"/>
      <x:c r="AH123" s="103"/>
      <x:c r="AI123" s="114"/>
      <x:c r="AJ123" s="102"/>
      <x:c r="AK123" s="102"/>
      <x:c r="AL123" s="102"/>
      <x:c r="AM123" s="102"/>
      <x:c r="AN123" s="102"/>
      <x:c r="AO123" s="102"/>
      <x:c r="AP123" s="102"/>
      <x:c r="AQ123" s="109" t="str">
        <x:f t="shared" si="40"/>
        <x:v>FAILED</x:v>
      </x:c>
      <x:c r="AR123" s="115"/>
      <x:c r="AS123" s="115"/>
      <x:c r="AT123" s="107"/>
      <x:c r="AU123" s="107"/>
      <x:c r="AV123" s="107"/>
      <x:c r="AW123" s="107"/>
      <x:c r="AX123" s="107"/>
      <x:c r="AY123" s="109" t="str">
        <x:f t="shared" si="41"/>
        <x:v>FAILED</x:v>
      </x:c>
      <x:c r="AZ123" s="115"/>
      <x:c r="BA123" s="115"/>
      <x:c r="BB123" s="107"/>
      <x:c r="BC123" s="107"/>
      <x:c r="BD123" s="107"/>
      <x:c r="BE123" s="107"/>
      <x:c r="BF123" s="107"/>
      <x:c r="BG123" s="109" t="str">
        <x:f t="shared" si="42"/>
        <x:v>FAILED</x:v>
      </x:c>
      <x:c r="BH123" s="117"/>
      <x:c r="BI123" s="102"/>
      <x:c r="BJ123" s="102"/>
      <x:c r="BK123" s="102"/>
      <x:c r="BL123" s="102"/>
      <x:c r="BM123" s="102"/>
      <x:c r="BN123" s="102"/>
      <x:c r="BO123" s="102"/>
      <x:c r="BP123" s="102"/>
      <x:c r="BQ123" s="109" t="str">
        <x:f t="shared" si="43"/>
        <x:v>FAILED</x:v>
      </x:c>
      <x:c r="BR123" s="115"/>
      <x:c r="BS123" s="115"/>
      <x:c r="BT123" s="107"/>
      <x:c r="BU123" s="107"/>
      <x:c r="BV123" s="107"/>
      <x:c r="BW123" s="107"/>
      <x:c r="BX123" s="107"/>
      <x:c r="BY123" s="109" t="str">
        <x:f t="shared" si="44"/>
        <x:v>FAILED</x:v>
      </x:c>
      <x:c r="BZ123" s="115"/>
      <x:c r="CA123" s="115"/>
      <x:c r="CB123" s="107"/>
      <x:c r="CC123" s="107"/>
      <x:c r="CD123" s="107"/>
      <x:c r="CE123" s="107"/>
      <x:c r="CF123" s="107"/>
      <x:c r="CG123" s="109" t="str">
        <x:f t="shared" si="45"/>
        <x:v>FAILED</x:v>
      </x:c>
      <x:c r="CH123" s="117"/>
    </x:row>
    <x:row r="124">
      <x:c r="A124" s="102" t="str">
        <x:f>IF(RECORD!A126="","",RECORD!A126)</x:f>
      </x:c>
      <x:c r="B124" s="102" t="str">
        <x:f>IF(RECORD!B126="","",RECORD!B126)</x:f>
      </x:c>
      <x:c r="C124" s="103" t="str">
        <x:f>IF(RECORD!C126="","",RECORD!C126)</x:f>
      </x:c>
      <x:c r="D124" s="104" t="str">
        <x:f t="array" ref="D124">IF(C124&lt;&gt;"",IF(F$7="SUMMER","N/A",_xlfn.IFS(D$10="TLA",RECORD!GO126,F$10="LECTURE","",TRUE(),"")),"")</x:f>
      </x:c>
      <x:c r="E124" s="105" t="str">
        <x:f t="shared" si="23"/>
      </x:c>
      <x:c r="F124" s="104" t="str">
        <x:f t="array" ref="F124">IF(C124&lt;&gt;"",IF(F$7="SUMMER","N/A",_xlfn.IFS(F$10="AT",RECORD!GI126,F$10="LECTURE",GRADES!AP124,TRUE(),"")),"")</x:f>
      </x:c>
      <x:c r="G124" s="106" t="str">
        <x:f t="shared" si="24"/>
      </x:c>
      <x:c r="H124" s="107" t="str">
        <x:f t="array" ref="H124">IF(C124&lt;&gt;"",IF(F$7="SUMMER","N/A",_xlfn.IFS(H$10="EXAM",RECORD!GJ126,H$10="OUTPUT",RECORD!GK126,H$10="LAB",BP124,TRUE(),"")),"")</x:f>
      </x:c>
      <x:c r="I124" s="106" t="str">
        <x:f t="shared" si="25"/>
      </x:c>
      <x:c r="J124" s="108" t="str">
        <x:f t="shared" si="26"/>
      </x:c>
      <x:c r="K124" s="109" t="str">
        <x:f t="shared" si="27"/>
      </x:c>
      <x:c r="L124" s="110" t="str">
        <x:f t="array" ref="L124">IF(C124&lt;&gt;"",_xlfn.IFS(L$10="TLA",RECORD!GY126,N$10="LECTURE","",TRUE(),""),"")</x:f>
      </x:c>
      <x:c r="M124" s="105" t="str">
        <x:f t="shared" si="28"/>
      </x:c>
      <x:c r="N124" s="104" t="str">
        <x:f t="array" ref="N124">IF(C124&lt;&gt;"",_xlfn.IFS(N$10="AT",RECORD!GS126,N$10="LECTURE",AX124,TRUE(),""),"")</x:f>
      </x:c>
      <x:c r="O124" s="106" t="str">
        <x:f t="shared" si="29"/>
      </x:c>
      <x:c r="P124" s="107" t="str">
        <x:f t="array" ref="P124">IF(C124&lt;&gt;"",_xlfn.IFS(P$10="EXAM",RECORD!GT126,P$10="OUTPUT",RECORD!GU126,P$10="LAB",BX124,TRUE(),""),"")</x:f>
      </x:c>
      <x:c r="Q124" s="106" t="str">
        <x:f t="shared" si="30"/>
      </x:c>
      <x:c r="R124" s="108" t="str">
        <x:f t="shared" si="31"/>
      </x:c>
      <x:c r="S124" s="109" t="str">
        <x:f t="shared" si="32"/>
      </x:c>
      <x:c r="T124" s="110" t="str">
        <x:f t="array" ref="T124">IF(C124&lt;&gt;"",_xlfn.IFS(T$10="TLA",RECORD!HI126,V$10="LECTURE","",TRUE(),""),"")</x:f>
      </x:c>
      <x:c r="U124" s="105" t="str">
        <x:f t="shared" si="33"/>
      </x:c>
      <x:c r="V124" s="104" t="str">
        <x:f t="array" ref="V124">IF(C124&lt;&gt;"",_xlfn.IFS(V$10="AT",RECORD!HC126,V$10="LECTURE",BF124,TRUE(),""),"")</x:f>
      </x:c>
      <x:c r="W124" s="106" t="str">
        <x:f t="shared" si="34"/>
      </x:c>
      <x:c r="X124" s="107" t="str">
        <x:f t="array" ref="X124">IF(C124&lt;&gt;"",_xlfn.IFS(X$10="EXAM",RECORD!HD126,X$10="OUTPUT",RECORD!HE126,X$10="LAB",CF124,TRUE(),""),"")</x:f>
      </x:c>
      <x:c r="Y124" s="106" t="str">
        <x:f t="shared" si="35"/>
      </x:c>
      <x:c r="Z124" s="108" t="str">
        <x:f t="shared" si="36"/>
      </x:c>
      <x:c r="AA124" s="109" t="str">
        <x:f t="shared" si="37"/>
      </x:c>
      <x:c r="AB124" s="111" t="str">
        <x:f t="shared" si="38"/>
      </x:c>
      <x:c r="AC124" s="109" t="str">
        <x:f t="shared" si="39"/>
      </x:c>
      <x:c r="AD124" s="112"/>
      <x:c r="AE124" s="102"/>
      <x:c r="AF124" s="113"/>
      <x:c r="AG124" s="112"/>
      <x:c r="AH124" s="103"/>
      <x:c r="AI124" s="114"/>
      <x:c r="AJ124" s="102"/>
      <x:c r="AK124" s="102"/>
      <x:c r="AL124" s="102"/>
      <x:c r="AM124" s="102"/>
      <x:c r="AN124" s="102"/>
      <x:c r="AO124" s="102"/>
      <x:c r="AP124" s="102"/>
      <x:c r="AQ124" s="109" t="str">
        <x:f t="shared" si="40"/>
        <x:v>FAILED</x:v>
      </x:c>
      <x:c r="AR124" s="115"/>
      <x:c r="AS124" s="115"/>
      <x:c r="AT124" s="107"/>
      <x:c r="AU124" s="107"/>
      <x:c r="AV124" s="107"/>
      <x:c r="AW124" s="107"/>
      <x:c r="AX124" s="107"/>
      <x:c r="AY124" s="109" t="str">
        <x:f t="shared" si="41"/>
        <x:v>FAILED</x:v>
      </x:c>
      <x:c r="AZ124" s="115"/>
      <x:c r="BA124" s="115"/>
      <x:c r="BB124" s="107"/>
      <x:c r="BC124" s="107"/>
      <x:c r="BD124" s="107"/>
      <x:c r="BE124" s="107"/>
      <x:c r="BF124" s="107"/>
      <x:c r="BG124" s="109" t="str">
        <x:f t="shared" si="42"/>
        <x:v>FAILED</x:v>
      </x:c>
      <x:c r="BH124" s="117"/>
      <x:c r="BI124" s="102"/>
      <x:c r="BJ124" s="102"/>
      <x:c r="BK124" s="102"/>
      <x:c r="BL124" s="102"/>
      <x:c r="BM124" s="102"/>
      <x:c r="BN124" s="102"/>
      <x:c r="BO124" s="102"/>
      <x:c r="BP124" s="102"/>
      <x:c r="BQ124" s="109" t="str">
        <x:f t="shared" si="43"/>
        <x:v>FAILED</x:v>
      </x:c>
      <x:c r="BR124" s="115"/>
      <x:c r="BS124" s="115"/>
      <x:c r="BT124" s="107"/>
      <x:c r="BU124" s="107"/>
      <x:c r="BV124" s="107"/>
      <x:c r="BW124" s="107"/>
      <x:c r="BX124" s="107"/>
      <x:c r="BY124" s="109" t="str">
        <x:f t="shared" si="44"/>
        <x:v>FAILED</x:v>
      </x:c>
      <x:c r="BZ124" s="115"/>
      <x:c r="CA124" s="115"/>
      <x:c r="CB124" s="107"/>
      <x:c r="CC124" s="107"/>
      <x:c r="CD124" s="107"/>
      <x:c r="CE124" s="107"/>
      <x:c r="CF124" s="107"/>
      <x:c r="CG124" s="109" t="str">
        <x:f t="shared" si="45"/>
        <x:v>FAILED</x:v>
      </x:c>
      <x:c r="CH124" s="117"/>
    </x:row>
    <x:row r="125">
      <x:c r="A125" s="102" t="str">
        <x:f>IF(RECORD!A127="","",RECORD!A127)</x:f>
      </x:c>
      <x:c r="B125" s="102" t="str">
        <x:f>IF(RECORD!B127="","",RECORD!B127)</x:f>
      </x:c>
      <x:c r="C125" s="103" t="str">
        <x:f>IF(RECORD!C127="","",RECORD!C127)</x:f>
      </x:c>
      <x:c r="D125" s="104" t="str">
        <x:f t="array" ref="D125">IF(C125&lt;&gt;"",IF(F$7="SUMMER","N/A",_xlfn.IFS(D$10="TLA",RECORD!GO127,F$10="LECTURE","",TRUE(),"")),"")</x:f>
      </x:c>
      <x:c r="E125" s="105" t="str">
        <x:f t="shared" si="23"/>
      </x:c>
      <x:c r="F125" s="104" t="str">
        <x:f t="array" ref="F125">IF(C125&lt;&gt;"",IF(F$7="SUMMER","N/A",_xlfn.IFS(F$10="AT",RECORD!GI127,F$10="LECTURE",GRADES!AP125,TRUE(),"")),"")</x:f>
      </x:c>
      <x:c r="G125" s="106" t="str">
        <x:f t="shared" si="24"/>
      </x:c>
      <x:c r="H125" s="107" t="str">
        <x:f t="array" ref="H125">IF(C125&lt;&gt;"",IF(F$7="SUMMER","N/A",_xlfn.IFS(H$10="EXAM",RECORD!GJ127,H$10="OUTPUT",RECORD!GK127,H$10="LAB",BP125,TRUE(),"")),"")</x:f>
      </x:c>
      <x:c r="I125" s="106" t="str">
        <x:f t="shared" si="25"/>
      </x:c>
      <x:c r="J125" s="108" t="str">
        <x:f t="shared" si="26"/>
      </x:c>
      <x:c r="K125" s="109" t="str">
        <x:f t="shared" si="27"/>
      </x:c>
      <x:c r="L125" s="110" t="str">
        <x:f t="array" ref="L125">IF(C125&lt;&gt;"",_xlfn.IFS(L$10="TLA",RECORD!GY127,N$10="LECTURE","",TRUE(),""),"")</x:f>
      </x:c>
      <x:c r="M125" s="105" t="str">
        <x:f t="shared" si="28"/>
      </x:c>
      <x:c r="N125" s="104" t="str">
        <x:f t="array" ref="N125">IF(C125&lt;&gt;"",_xlfn.IFS(N$10="AT",RECORD!GS127,N$10="LECTURE",AX125,TRUE(),""),"")</x:f>
      </x:c>
      <x:c r="O125" s="106" t="str">
        <x:f t="shared" si="29"/>
      </x:c>
      <x:c r="P125" s="107" t="str">
        <x:f t="array" ref="P125">IF(C125&lt;&gt;"",_xlfn.IFS(P$10="EXAM",RECORD!GT127,P$10="OUTPUT",RECORD!GU127,P$10="LAB",BX125,TRUE(),""),"")</x:f>
      </x:c>
      <x:c r="Q125" s="106" t="str">
        <x:f t="shared" si="30"/>
      </x:c>
      <x:c r="R125" s="108" t="str">
        <x:f t="shared" si="31"/>
      </x:c>
      <x:c r="S125" s="109" t="str">
        <x:f t="shared" si="32"/>
      </x:c>
      <x:c r="T125" s="110" t="str">
        <x:f t="array" ref="T125">IF(C125&lt;&gt;"",_xlfn.IFS(T$10="TLA",RECORD!HI127,V$10="LECTURE","",TRUE(),""),"")</x:f>
      </x:c>
      <x:c r="U125" s="105" t="str">
        <x:f t="shared" si="33"/>
      </x:c>
      <x:c r="V125" s="104" t="str">
        <x:f t="array" ref="V125">IF(C125&lt;&gt;"",_xlfn.IFS(V$10="AT",RECORD!HC127,V$10="LECTURE",BF125,TRUE(),""),"")</x:f>
      </x:c>
      <x:c r="W125" s="106" t="str">
        <x:f t="shared" si="34"/>
      </x:c>
      <x:c r="X125" s="107" t="str">
        <x:f t="array" ref="X125">IF(C125&lt;&gt;"",_xlfn.IFS(X$10="EXAM",RECORD!HD127,X$10="OUTPUT",RECORD!HE127,X$10="LAB",CF125,TRUE(),""),"")</x:f>
      </x:c>
      <x:c r="Y125" s="106" t="str">
        <x:f t="shared" si="35"/>
      </x:c>
      <x:c r="Z125" s="108" t="str">
        <x:f t="shared" si="36"/>
      </x:c>
      <x:c r="AA125" s="109" t="str">
        <x:f t="shared" si="37"/>
      </x:c>
      <x:c r="AB125" s="111" t="str">
        <x:f t="shared" si="38"/>
      </x:c>
      <x:c r="AC125" s="109" t="str">
        <x:f t="shared" si="39"/>
      </x:c>
      <x:c r="AD125" s="112"/>
      <x:c r="AE125" s="102"/>
      <x:c r="AF125" s="113"/>
      <x:c r="AG125" s="112"/>
      <x:c r="AH125" s="103"/>
      <x:c r="AI125" s="114"/>
      <x:c r="AJ125" s="102"/>
      <x:c r="AK125" s="102"/>
      <x:c r="AL125" s="102"/>
      <x:c r="AM125" s="102"/>
      <x:c r="AN125" s="102"/>
      <x:c r="AO125" s="102"/>
      <x:c r="AP125" s="102"/>
      <x:c r="AQ125" s="109" t="str">
        <x:f t="shared" si="40"/>
        <x:v>FAILED</x:v>
      </x:c>
      <x:c r="AR125" s="115"/>
      <x:c r="AS125" s="115"/>
      <x:c r="AT125" s="107"/>
      <x:c r="AU125" s="107"/>
      <x:c r="AV125" s="107"/>
      <x:c r="AW125" s="107"/>
      <x:c r="AX125" s="107"/>
      <x:c r="AY125" s="109" t="str">
        <x:f t="shared" si="41"/>
        <x:v>FAILED</x:v>
      </x:c>
      <x:c r="AZ125" s="115"/>
      <x:c r="BA125" s="115"/>
      <x:c r="BB125" s="107"/>
      <x:c r="BC125" s="107"/>
      <x:c r="BD125" s="107"/>
      <x:c r="BE125" s="107"/>
      <x:c r="BF125" s="107"/>
      <x:c r="BG125" s="109" t="str">
        <x:f t="shared" si="42"/>
        <x:v>FAILED</x:v>
      </x:c>
      <x:c r="BH125" s="117"/>
      <x:c r="BI125" s="102"/>
      <x:c r="BJ125" s="102"/>
      <x:c r="BK125" s="102"/>
      <x:c r="BL125" s="102"/>
      <x:c r="BM125" s="102"/>
      <x:c r="BN125" s="102"/>
      <x:c r="BO125" s="102"/>
      <x:c r="BP125" s="102"/>
      <x:c r="BQ125" s="109" t="str">
        <x:f t="shared" si="43"/>
        <x:v>FAILED</x:v>
      </x:c>
      <x:c r="BR125" s="115"/>
      <x:c r="BS125" s="115"/>
      <x:c r="BT125" s="107"/>
      <x:c r="BU125" s="107"/>
      <x:c r="BV125" s="107"/>
      <x:c r="BW125" s="107"/>
      <x:c r="BX125" s="107"/>
      <x:c r="BY125" s="109" t="str">
        <x:f t="shared" si="44"/>
        <x:v>FAILED</x:v>
      </x:c>
      <x:c r="BZ125" s="115"/>
      <x:c r="CA125" s="115"/>
      <x:c r="CB125" s="107"/>
      <x:c r="CC125" s="107"/>
      <x:c r="CD125" s="107"/>
      <x:c r="CE125" s="107"/>
      <x:c r="CF125" s="107"/>
      <x:c r="CG125" s="109" t="str">
        <x:f t="shared" si="45"/>
        <x:v>FAILED</x:v>
      </x:c>
      <x:c r="CH125" s="117"/>
    </x:row>
    <x:row r="126">
      <x:c r="A126" s="102" t="str">
        <x:f>IF(RECORD!A128="","",RECORD!A128)</x:f>
      </x:c>
      <x:c r="B126" s="102" t="str">
        <x:f>IF(RECORD!B128="","",RECORD!B128)</x:f>
      </x:c>
      <x:c r="C126" s="103" t="str">
        <x:f>IF(RECORD!C128="","",RECORD!C128)</x:f>
      </x:c>
      <x:c r="D126" s="104" t="str">
        <x:f t="array" ref="D126">IF(C126&lt;&gt;"",IF(F$7="SUMMER","N/A",_xlfn.IFS(D$10="TLA",RECORD!GO128,F$10="LECTURE","",TRUE(),"")),"")</x:f>
      </x:c>
      <x:c r="E126" s="105" t="str">
        <x:f t="shared" si="23"/>
      </x:c>
      <x:c r="F126" s="104" t="str">
        <x:f t="array" ref="F126">IF(C126&lt;&gt;"",IF(F$7="SUMMER","N/A",_xlfn.IFS(F$10="AT",RECORD!GI128,F$10="LECTURE",GRADES!AP126,TRUE(),"")),"")</x:f>
      </x:c>
      <x:c r="G126" s="106" t="str">
        <x:f t="shared" si="24"/>
      </x:c>
      <x:c r="H126" s="107" t="str">
        <x:f t="array" ref="H126">IF(C126&lt;&gt;"",IF(F$7="SUMMER","N/A",_xlfn.IFS(H$10="EXAM",RECORD!GJ128,H$10="OUTPUT",RECORD!GK128,H$10="LAB",BP126,TRUE(),"")),"")</x:f>
      </x:c>
      <x:c r="I126" s="106" t="str">
        <x:f t="shared" si="25"/>
      </x:c>
      <x:c r="J126" s="108" t="str">
        <x:f t="shared" si="26"/>
      </x:c>
      <x:c r="K126" s="109" t="str">
        <x:f t="shared" si="27"/>
      </x:c>
      <x:c r="L126" s="110" t="str">
        <x:f t="array" ref="L126">IF(C126&lt;&gt;"",_xlfn.IFS(L$10="TLA",RECORD!GY128,N$10="LECTURE","",TRUE(),""),"")</x:f>
      </x:c>
      <x:c r="M126" s="105" t="str">
        <x:f t="shared" si="28"/>
      </x:c>
      <x:c r="N126" s="104" t="str">
        <x:f t="array" ref="N126">IF(C126&lt;&gt;"",_xlfn.IFS(N$10="AT",RECORD!GS128,N$10="LECTURE",AX126,TRUE(),""),"")</x:f>
      </x:c>
      <x:c r="O126" s="106" t="str">
        <x:f t="shared" si="29"/>
      </x:c>
      <x:c r="P126" s="107" t="str">
        <x:f t="array" ref="P126">IF(C126&lt;&gt;"",_xlfn.IFS(P$10="EXAM",RECORD!GT128,P$10="OUTPUT",RECORD!GU128,P$10="LAB",BX126,TRUE(),""),"")</x:f>
      </x:c>
      <x:c r="Q126" s="106" t="str">
        <x:f t="shared" si="30"/>
      </x:c>
      <x:c r="R126" s="108" t="str">
        <x:f t="shared" si="31"/>
      </x:c>
      <x:c r="S126" s="109" t="str">
        <x:f t="shared" si="32"/>
      </x:c>
      <x:c r="T126" s="110" t="str">
        <x:f t="array" ref="T126">IF(C126&lt;&gt;"",_xlfn.IFS(T$10="TLA",RECORD!HI128,V$10="LECTURE","",TRUE(),""),"")</x:f>
      </x:c>
      <x:c r="U126" s="105" t="str">
        <x:f t="shared" si="33"/>
      </x:c>
      <x:c r="V126" s="104" t="str">
        <x:f t="array" ref="V126">IF(C126&lt;&gt;"",_xlfn.IFS(V$10="AT",RECORD!HC128,V$10="LECTURE",BF126,TRUE(),""),"")</x:f>
      </x:c>
      <x:c r="W126" s="106" t="str">
        <x:f t="shared" si="34"/>
      </x:c>
      <x:c r="X126" s="107" t="str">
        <x:f t="array" ref="X126">IF(C126&lt;&gt;"",_xlfn.IFS(X$10="EXAM",RECORD!HD128,X$10="OUTPUT",RECORD!HE128,X$10="LAB",CF126,TRUE(),""),"")</x:f>
      </x:c>
      <x:c r="Y126" s="106" t="str">
        <x:f t="shared" si="35"/>
      </x:c>
      <x:c r="Z126" s="108" t="str">
        <x:f t="shared" si="36"/>
      </x:c>
      <x:c r="AA126" s="109" t="str">
        <x:f t="shared" si="37"/>
      </x:c>
      <x:c r="AB126" s="111" t="str">
        <x:f t="shared" si="38"/>
      </x:c>
      <x:c r="AC126" s="109" t="str">
        <x:f t="shared" si="39"/>
      </x:c>
      <x:c r="AD126" s="112"/>
      <x:c r="AE126" s="102"/>
      <x:c r="AF126" s="113"/>
      <x:c r="AG126" s="112"/>
      <x:c r="AH126" s="103"/>
      <x:c r="AI126" s="114"/>
      <x:c r="AJ126" s="102"/>
      <x:c r="AK126" s="102"/>
      <x:c r="AL126" s="102"/>
      <x:c r="AM126" s="102"/>
      <x:c r="AN126" s="102"/>
      <x:c r="AO126" s="102"/>
      <x:c r="AP126" s="102"/>
      <x:c r="AQ126" s="109" t="str">
        <x:f t="shared" si="40"/>
        <x:v>FAILED</x:v>
      </x:c>
      <x:c r="AR126" s="115"/>
      <x:c r="AS126" s="115"/>
      <x:c r="AT126" s="107"/>
      <x:c r="AU126" s="107"/>
      <x:c r="AV126" s="107"/>
      <x:c r="AW126" s="107"/>
      <x:c r="AX126" s="107"/>
      <x:c r="AY126" s="109" t="str">
        <x:f t="shared" si="41"/>
        <x:v>FAILED</x:v>
      </x:c>
      <x:c r="AZ126" s="115"/>
      <x:c r="BA126" s="115"/>
      <x:c r="BB126" s="107"/>
      <x:c r="BC126" s="107"/>
      <x:c r="BD126" s="107"/>
      <x:c r="BE126" s="107"/>
      <x:c r="BF126" s="107"/>
      <x:c r="BG126" s="109" t="str">
        <x:f t="shared" si="42"/>
        <x:v>FAILED</x:v>
      </x:c>
      <x:c r="BH126" s="117"/>
      <x:c r="BI126" s="102"/>
      <x:c r="BJ126" s="102"/>
      <x:c r="BK126" s="102"/>
      <x:c r="BL126" s="102"/>
      <x:c r="BM126" s="102"/>
      <x:c r="BN126" s="102"/>
      <x:c r="BO126" s="102"/>
      <x:c r="BP126" s="102"/>
      <x:c r="BQ126" s="109" t="str">
        <x:f t="shared" si="43"/>
        <x:v>FAILED</x:v>
      </x:c>
      <x:c r="BR126" s="115"/>
      <x:c r="BS126" s="115"/>
      <x:c r="BT126" s="107"/>
      <x:c r="BU126" s="107"/>
      <x:c r="BV126" s="107"/>
      <x:c r="BW126" s="107"/>
      <x:c r="BX126" s="107"/>
      <x:c r="BY126" s="109" t="str">
        <x:f t="shared" si="44"/>
        <x:v>FAILED</x:v>
      </x:c>
      <x:c r="BZ126" s="115"/>
      <x:c r="CA126" s="115"/>
      <x:c r="CB126" s="107"/>
      <x:c r="CC126" s="107"/>
      <x:c r="CD126" s="107"/>
      <x:c r="CE126" s="107"/>
      <x:c r="CF126" s="107"/>
      <x:c r="CG126" s="109" t="str">
        <x:f t="shared" si="45"/>
        <x:v>FAILED</x:v>
      </x:c>
      <x:c r="CH126" s="117"/>
    </x:row>
    <x:row r="127">
      <x:c r="A127" s="102" t="str">
        <x:f>IF(RECORD!A129="","",RECORD!A129)</x:f>
      </x:c>
      <x:c r="B127" s="102" t="str">
        <x:f>IF(RECORD!B129="","",RECORD!B129)</x:f>
      </x:c>
      <x:c r="C127" s="103" t="str">
        <x:f>IF(RECORD!C129="","",RECORD!C129)</x:f>
      </x:c>
      <x:c r="D127" s="104" t="str">
        <x:f t="array" ref="D127">IF(C127&lt;&gt;"",IF(F$7="SUMMER","N/A",_xlfn.IFS(D$10="TLA",RECORD!GO129,F$10="LECTURE","",TRUE(),"")),"")</x:f>
      </x:c>
      <x:c r="E127" s="105" t="str">
        <x:f t="shared" si="23"/>
      </x:c>
      <x:c r="F127" s="104" t="str">
        <x:f t="array" ref="F127">IF(C127&lt;&gt;"",IF(F$7="SUMMER","N/A",_xlfn.IFS(F$10="AT",RECORD!GI129,F$10="LECTURE",GRADES!AP127,TRUE(),"")),"")</x:f>
      </x:c>
      <x:c r="G127" s="106" t="str">
        <x:f t="shared" si="24"/>
      </x:c>
      <x:c r="H127" s="107" t="str">
        <x:f t="array" ref="H127">IF(C127&lt;&gt;"",IF(F$7="SUMMER","N/A",_xlfn.IFS(H$10="EXAM",RECORD!GJ129,H$10="OUTPUT",RECORD!GK129,H$10="LAB",BP127,TRUE(),"")),"")</x:f>
      </x:c>
      <x:c r="I127" s="106" t="str">
        <x:f t="shared" si="25"/>
      </x:c>
      <x:c r="J127" s="108" t="str">
        <x:f t="shared" si="26"/>
      </x:c>
      <x:c r="K127" s="109" t="str">
        <x:f t="shared" si="27"/>
      </x:c>
      <x:c r="L127" s="110" t="str">
        <x:f t="array" ref="L127">IF(C127&lt;&gt;"",_xlfn.IFS(L$10="TLA",RECORD!GY129,N$10="LECTURE","",TRUE(),""),"")</x:f>
      </x:c>
      <x:c r="M127" s="105" t="str">
        <x:f t="shared" si="28"/>
      </x:c>
      <x:c r="N127" s="104" t="str">
        <x:f t="array" ref="N127">IF(C127&lt;&gt;"",_xlfn.IFS(N$10="AT",RECORD!GS129,N$10="LECTURE",AX127,TRUE(),""),"")</x:f>
      </x:c>
      <x:c r="O127" s="106" t="str">
        <x:f t="shared" si="29"/>
      </x:c>
      <x:c r="P127" s="107" t="str">
        <x:f t="array" ref="P127">IF(C127&lt;&gt;"",_xlfn.IFS(P$10="EXAM",RECORD!GT129,P$10="OUTPUT",RECORD!GU129,P$10="LAB",BX127,TRUE(),""),"")</x:f>
      </x:c>
      <x:c r="Q127" s="106" t="str">
        <x:f t="shared" si="30"/>
      </x:c>
      <x:c r="R127" s="108" t="str">
        <x:f t="shared" si="31"/>
      </x:c>
      <x:c r="S127" s="109" t="str">
        <x:f t="shared" si="32"/>
      </x:c>
      <x:c r="T127" s="110" t="str">
        <x:f t="array" ref="T127">IF(C127&lt;&gt;"",_xlfn.IFS(T$10="TLA",RECORD!HI129,V$10="LECTURE","",TRUE(),""),"")</x:f>
      </x:c>
      <x:c r="U127" s="105" t="str">
        <x:f t="shared" si="33"/>
      </x:c>
      <x:c r="V127" s="104" t="str">
        <x:f t="array" ref="V127">IF(C127&lt;&gt;"",_xlfn.IFS(V$10="AT",RECORD!HC129,V$10="LECTURE",BF127,TRUE(),""),"")</x:f>
      </x:c>
      <x:c r="W127" s="106" t="str">
        <x:f t="shared" si="34"/>
      </x:c>
      <x:c r="X127" s="107" t="str">
        <x:f t="array" ref="X127">IF(C127&lt;&gt;"",_xlfn.IFS(X$10="EXAM",RECORD!HD129,X$10="OUTPUT",RECORD!HE129,X$10="LAB",CF127,TRUE(),""),"")</x:f>
      </x:c>
      <x:c r="Y127" s="106" t="str">
        <x:f t="shared" si="35"/>
      </x:c>
      <x:c r="Z127" s="108" t="str">
        <x:f t="shared" si="36"/>
      </x:c>
      <x:c r="AA127" s="109" t="str">
        <x:f t="shared" si="37"/>
      </x:c>
      <x:c r="AB127" s="111" t="str">
        <x:f t="shared" si="38"/>
      </x:c>
      <x:c r="AC127" s="109" t="str">
        <x:f t="shared" si="39"/>
      </x:c>
      <x:c r="AD127" s="112"/>
      <x:c r="AE127" s="102"/>
      <x:c r="AF127" s="113"/>
      <x:c r="AG127" s="112"/>
      <x:c r="AH127" s="103"/>
      <x:c r="AI127" s="114"/>
      <x:c r="AJ127" s="102"/>
      <x:c r="AK127" s="102"/>
      <x:c r="AL127" s="102"/>
      <x:c r="AM127" s="102"/>
      <x:c r="AN127" s="102"/>
      <x:c r="AO127" s="102"/>
      <x:c r="AP127" s="102"/>
      <x:c r="AQ127" s="109" t="str">
        <x:f t="shared" si="40"/>
        <x:v>FAILED</x:v>
      </x:c>
      <x:c r="AR127" s="115"/>
      <x:c r="AS127" s="115"/>
      <x:c r="AT127" s="107"/>
      <x:c r="AU127" s="107"/>
      <x:c r="AV127" s="107"/>
      <x:c r="AW127" s="107"/>
      <x:c r="AX127" s="107"/>
      <x:c r="AY127" s="109" t="str">
        <x:f t="shared" si="41"/>
        <x:v>FAILED</x:v>
      </x:c>
      <x:c r="AZ127" s="115"/>
      <x:c r="BA127" s="115"/>
      <x:c r="BB127" s="107"/>
      <x:c r="BC127" s="107"/>
      <x:c r="BD127" s="107"/>
      <x:c r="BE127" s="107"/>
      <x:c r="BF127" s="107"/>
      <x:c r="BG127" s="109" t="str">
        <x:f t="shared" si="42"/>
        <x:v>FAILED</x:v>
      </x:c>
      <x:c r="BH127" s="117"/>
      <x:c r="BI127" s="102"/>
      <x:c r="BJ127" s="102"/>
      <x:c r="BK127" s="102"/>
      <x:c r="BL127" s="102"/>
      <x:c r="BM127" s="102"/>
      <x:c r="BN127" s="102"/>
      <x:c r="BO127" s="102"/>
      <x:c r="BP127" s="102"/>
      <x:c r="BQ127" s="109" t="str">
        <x:f t="shared" si="43"/>
        <x:v>FAILED</x:v>
      </x:c>
      <x:c r="BR127" s="115"/>
      <x:c r="BS127" s="115"/>
      <x:c r="BT127" s="107"/>
      <x:c r="BU127" s="107"/>
      <x:c r="BV127" s="107"/>
      <x:c r="BW127" s="107"/>
      <x:c r="BX127" s="107"/>
      <x:c r="BY127" s="109" t="str">
        <x:f t="shared" si="44"/>
        <x:v>FAILED</x:v>
      </x:c>
      <x:c r="BZ127" s="115"/>
      <x:c r="CA127" s="115"/>
      <x:c r="CB127" s="107"/>
      <x:c r="CC127" s="107"/>
      <x:c r="CD127" s="107"/>
      <x:c r="CE127" s="107"/>
      <x:c r="CF127" s="107"/>
      <x:c r="CG127" s="109" t="str">
        <x:f t="shared" si="45"/>
        <x:v>FAILED</x:v>
      </x:c>
      <x:c r="CH127" s="117"/>
    </x:row>
    <x:row r="128">
      <x:c r="A128" s="102" t="str">
        <x:f>IF(RECORD!A130="","",RECORD!A130)</x:f>
      </x:c>
      <x:c r="B128" s="102" t="str">
        <x:f>IF(RECORD!B130="","",RECORD!B130)</x:f>
      </x:c>
      <x:c r="C128" s="103" t="str">
        <x:f>IF(RECORD!C130="","",RECORD!C130)</x:f>
      </x:c>
      <x:c r="D128" s="104" t="str">
        <x:f t="array" ref="D128">IF(C128&lt;&gt;"",IF(F$7="SUMMER","N/A",_xlfn.IFS(D$10="TLA",RECORD!GO130,F$10="LECTURE","",TRUE(),"")),"")</x:f>
      </x:c>
      <x:c r="E128" s="105" t="str">
        <x:f t="shared" si="23"/>
      </x:c>
      <x:c r="F128" s="104" t="str">
        <x:f t="array" ref="F128">IF(C128&lt;&gt;"",IF(F$7="SUMMER","N/A",_xlfn.IFS(F$10="AT",RECORD!GI130,F$10="LECTURE",GRADES!AP128,TRUE(),"")),"")</x:f>
      </x:c>
      <x:c r="G128" s="106" t="str">
        <x:f t="shared" si="24"/>
      </x:c>
      <x:c r="H128" s="107" t="str">
        <x:f t="array" ref="H128">IF(C128&lt;&gt;"",IF(F$7="SUMMER","N/A",_xlfn.IFS(H$10="EXAM",RECORD!GJ130,H$10="OUTPUT",RECORD!GK130,H$10="LAB",BP128,TRUE(),"")),"")</x:f>
      </x:c>
      <x:c r="I128" s="106" t="str">
        <x:f t="shared" si="25"/>
      </x:c>
      <x:c r="J128" s="108" t="str">
        <x:f t="shared" si="26"/>
      </x:c>
      <x:c r="K128" s="109" t="str">
        <x:f t="shared" si="27"/>
      </x:c>
      <x:c r="L128" s="110" t="str">
        <x:f t="array" ref="L128">IF(C128&lt;&gt;"",_xlfn.IFS(L$10="TLA",RECORD!GY130,N$10="LECTURE","",TRUE(),""),"")</x:f>
      </x:c>
      <x:c r="M128" s="105" t="str">
        <x:f t="shared" si="28"/>
      </x:c>
      <x:c r="N128" s="104" t="str">
        <x:f t="array" ref="N128">IF(C128&lt;&gt;"",_xlfn.IFS(N$10="AT",RECORD!GS130,N$10="LECTURE",AX128,TRUE(),""),"")</x:f>
      </x:c>
      <x:c r="O128" s="106" t="str">
        <x:f t="shared" si="29"/>
      </x:c>
      <x:c r="P128" s="107" t="str">
        <x:f t="array" ref="P128">IF(C128&lt;&gt;"",_xlfn.IFS(P$10="EXAM",RECORD!GT130,P$10="OUTPUT",RECORD!GU130,P$10="LAB",BX128,TRUE(),""),"")</x:f>
      </x:c>
      <x:c r="Q128" s="106" t="str">
        <x:f t="shared" si="30"/>
      </x:c>
      <x:c r="R128" s="108" t="str">
        <x:f t="shared" si="31"/>
      </x:c>
      <x:c r="S128" s="109" t="str">
        <x:f t="shared" si="32"/>
      </x:c>
      <x:c r="T128" s="110" t="str">
        <x:f t="array" ref="T128">IF(C128&lt;&gt;"",_xlfn.IFS(T$10="TLA",RECORD!HI130,V$10="LECTURE","",TRUE(),""),"")</x:f>
      </x:c>
      <x:c r="U128" s="105" t="str">
        <x:f t="shared" si="33"/>
      </x:c>
      <x:c r="V128" s="104" t="str">
        <x:f t="array" ref="V128">IF(C128&lt;&gt;"",_xlfn.IFS(V$10="AT",RECORD!HC130,V$10="LECTURE",BF128,TRUE(),""),"")</x:f>
      </x:c>
      <x:c r="W128" s="106" t="str">
        <x:f t="shared" si="34"/>
      </x:c>
      <x:c r="X128" s="107" t="str">
        <x:f t="array" ref="X128">IF(C128&lt;&gt;"",_xlfn.IFS(X$10="EXAM",RECORD!HD130,X$10="OUTPUT",RECORD!HE130,X$10="LAB",CF128,TRUE(),""),"")</x:f>
      </x:c>
      <x:c r="Y128" s="106" t="str">
        <x:f t="shared" si="35"/>
      </x:c>
      <x:c r="Z128" s="108" t="str">
        <x:f t="shared" si="36"/>
      </x:c>
      <x:c r="AA128" s="109" t="str">
        <x:f t="shared" si="37"/>
      </x:c>
      <x:c r="AB128" s="111" t="str">
        <x:f t="shared" si="38"/>
      </x:c>
      <x:c r="AC128" s="109" t="str">
        <x:f t="shared" si="39"/>
      </x:c>
      <x:c r="AD128" s="112"/>
      <x:c r="AE128" s="102"/>
      <x:c r="AF128" s="113"/>
      <x:c r="AG128" s="112"/>
      <x:c r="AH128" s="103"/>
      <x:c r="AI128" s="114"/>
      <x:c r="AJ128" s="102"/>
      <x:c r="AK128" s="102"/>
      <x:c r="AL128" s="102"/>
      <x:c r="AM128" s="102"/>
      <x:c r="AN128" s="102"/>
      <x:c r="AO128" s="102"/>
      <x:c r="AP128" s="102"/>
      <x:c r="AQ128" s="109" t="str">
        <x:f t="shared" si="40"/>
        <x:v>FAILED</x:v>
      </x:c>
      <x:c r="AR128" s="115"/>
      <x:c r="AS128" s="115"/>
      <x:c r="AT128" s="107"/>
      <x:c r="AU128" s="107"/>
      <x:c r="AV128" s="107"/>
      <x:c r="AW128" s="107"/>
      <x:c r="AX128" s="107"/>
      <x:c r="AY128" s="109" t="str">
        <x:f t="shared" si="41"/>
        <x:v>FAILED</x:v>
      </x:c>
      <x:c r="AZ128" s="115"/>
      <x:c r="BA128" s="115"/>
      <x:c r="BB128" s="107"/>
      <x:c r="BC128" s="107"/>
      <x:c r="BD128" s="107"/>
      <x:c r="BE128" s="107"/>
      <x:c r="BF128" s="107"/>
      <x:c r="BG128" s="109" t="str">
        <x:f t="shared" si="42"/>
        <x:v>FAILED</x:v>
      </x:c>
      <x:c r="BH128" s="117"/>
      <x:c r="BI128" s="102"/>
      <x:c r="BJ128" s="102"/>
      <x:c r="BK128" s="102"/>
      <x:c r="BL128" s="102"/>
      <x:c r="BM128" s="102"/>
      <x:c r="BN128" s="102"/>
      <x:c r="BO128" s="102"/>
      <x:c r="BP128" s="102"/>
      <x:c r="BQ128" s="109" t="str">
        <x:f t="shared" si="43"/>
        <x:v>FAILED</x:v>
      </x:c>
      <x:c r="BR128" s="115"/>
      <x:c r="BS128" s="115"/>
      <x:c r="BT128" s="107"/>
      <x:c r="BU128" s="107"/>
      <x:c r="BV128" s="107"/>
      <x:c r="BW128" s="107"/>
      <x:c r="BX128" s="107"/>
      <x:c r="BY128" s="109" t="str">
        <x:f t="shared" si="44"/>
        <x:v>FAILED</x:v>
      </x:c>
      <x:c r="BZ128" s="115"/>
      <x:c r="CA128" s="115"/>
      <x:c r="CB128" s="107"/>
      <x:c r="CC128" s="107"/>
      <x:c r="CD128" s="107"/>
      <x:c r="CE128" s="107"/>
      <x:c r="CF128" s="107"/>
      <x:c r="CG128" s="109" t="str">
        <x:f t="shared" si="45"/>
        <x:v>FAILED</x:v>
      </x:c>
      <x:c r="CH128" s="117"/>
    </x:row>
    <x:row r="129">
      <x:c r="A129" s="102" t="str">
        <x:f>IF(RECORD!A131="","",RECORD!A131)</x:f>
      </x:c>
      <x:c r="B129" s="102" t="str">
        <x:f>IF(RECORD!B131="","",RECORD!B131)</x:f>
      </x:c>
      <x:c r="C129" s="103" t="str">
        <x:f>IF(RECORD!C131="","",RECORD!C131)</x:f>
      </x:c>
      <x:c r="D129" s="104" t="str">
        <x:f t="array" ref="D129">IF(C129&lt;&gt;"",IF(F$7="SUMMER","N/A",_xlfn.IFS(D$10="TLA",RECORD!GO131,F$10="LECTURE","",TRUE(),"")),"")</x:f>
      </x:c>
      <x:c r="E129" s="105" t="str">
        <x:f t="shared" si="23"/>
      </x:c>
      <x:c r="F129" s="104" t="str">
        <x:f t="array" ref="F129">IF(C129&lt;&gt;"",IF(F$7="SUMMER","N/A",_xlfn.IFS(F$10="AT",RECORD!GI131,F$10="LECTURE",GRADES!AP129,TRUE(),"")),"")</x:f>
      </x:c>
      <x:c r="G129" s="106" t="str">
        <x:f t="shared" si="24"/>
      </x:c>
      <x:c r="H129" s="107" t="str">
        <x:f t="array" ref="H129">IF(C129&lt;&gt;"",IF(F$7="SUMMER","N/A",_xlfn.IFS(H$10="EXAM",RECORD!GJ131,H$10="OUTPUT",RECORD!GK131,H$10="LAB",BP129,TRUE(),"")),"")</x:f>
      </x:c>
      <x:c r="I129" s="106" t="str">
        <x:f t="shared" si="25"/>
      </x:c>
      <x:c r="J129" s="108" t="str">
        <x:f t="shared" si="26"/>
      </x:c>
      <x:c r="K129" s="109" t="str">
        <x:f t="shared" si="27"/>
      </x:c>
      <x:c r="L129" s="110" t="str">
        <x:f t="array" ref="L129">IF(C129&lt;&gt;"",_xlfn.IFS(L$10="TLA",RECORD!GY131,N$10="LECTURE","",TRUE(),""),"")</x:f>
      </x:c>
      <x:c r="M129" s="105" t="str">
        <x:f t="shared" si="28"/>
      </x:c>
      <x:c r="N129" s="104" t="str">
        <x:f t="array" ref="N129">IF(C129&lt;&gt;"",_xlfn.IFS(N$10="AT",RECORD!GS131,N$10="LECTURE",AX129,TRUE(),""),"")</x:f>
      </x:c>
      <x:c r="O129" s="106" t="str">
        <x:f t="shared" si="29"/>
      </x:c>
      <x:c r="P129" s="107" t="str">
        <x:f t="array" ref="P129">IF(C129&lt;&gt;"",_xlfn.IFS(P$10="EXAM",RECORD!GT131,P$10="OUTPUT",RECORD!GU131,P$10="LAB",BX129,TRUE(),""),"")</x:f>
      </x:c>
      <x:c r="Q129" s="106" t="str">
        <x:f t="shared" si="30"/>
      </x:c>
      <x:c r="R129" s="108" t="str">
        <x:f t="shared" si="31"/>
      </x:c>
      <x:c r="S129" s="109" t="str">
        <x:f t="shared" si="32"/>
      </x:c>
      <x:c r="T129" s="110" t="str">
        <x:f t="array" ref="T129">IF(C129&lt;&gt;"",_xlfn.IFS(T$10="TLA",RECORD!HI131,V$10="LECTURE","",TRUE(),""),"")</x:f>
      </x:c>
      <x:c r="U129" s="105" t="str">
        <x:f t="shared" si="33"/>
      </x:c>
      <x:c r="V129" s="104" t="str">
        <x:f t="array" ref="V129">IF(C129&lt;&gt;"",_xlfn.IFS(V$10="AT",RECORD!HC131,V$10="LECTURE",BF129,TRUE(),""),"")</x:f>
      </x:c>
      <x:c r="W129" s="106" t="str">
        <x:f t="shared" si="34"/>
      </x:c>
      <x:c r="X129" s="107" t="str">
        <x:f t="array" ref="X129">IF(C129&lt;&gt;"",_xlfn.IFS(X$10="EXAM",RECORD!HD131,X$10="OUTPUT",RECORD!HE131,X$10="LAB",CF129,TRUE(),""),"")</x:f>
      </x:c>
      <x:c r="Y129" s="106" t="str">
        <x:f t="shared" si="35"/>
      </x:c>
      <x:c r="Z129" s="108" t="str">
        <x:f t="shared" si="36"/>
      </x:c>
      <x:c r="AA129" s="109" t="str">
        <x:f t="shared" si="37"/>
      </x:c>
      <x:c r="AB129" s="111" t="str">
        <x:f t="shared" si="38"/>
      </x:c>
      <x:c r="AC129" s="109" t="str">
        <x:f t="shared" si="39"/>
      </x:c>
      <x:c r="AD129" s="112"/>
      <x:c r="AE129" s="102"/>
      <x:c r="AF129" s="113"/>
      <x:c r="AG129" s="112"/>
      <x:c r="AH129" s="103"/>
      <x:c r="AI129" s="114"/>
      <x:c r="AJ129" s="102"/>
      <x:c r="AK129" s="102"/>
      <x:c r="AL129" s="102"/>
      <x:c r="AM129" s="102"/>
      <x:c r="AN129" s="102"/>
      <x:c r="AO129" s="102"/>
      <x:c r="AP129" s="102"/>
      <x:c r="AQ129" s="109" t="str">
        <x:f t="shared" si="40"/>
        <x:v>FAILED</x:v>
      </x:c>
      <x:c r="AR129" s="115"/>
      <x:c r="AS129" s="115"/>
      <x:c r="AT129" s="107"/>
      <x:c r="AU129" s="107"/>
      <x:c r="AV129" s="107"/>
      <x:c r="AW129" s="107"/>
      <x:c r="AX129" s="107"/>
      <x:c r="AY129" s="109" t="str">
        <x:f t="shared" si="41"/>
        <x:v>FAILED</x:v>
      </x:c>
      <x:c r="AZ129" s="115"/>
      <x:c r="BA129" s="115"/>
      <x:c r="BB129" s="107"/>
      <x:c r="BC129" s="107"/>
      <x:c r="BD129" s="107"/>
      <x:c r="BE129" s="107"/>
      <x:c r="BF129" s="107"/>
      <x:c r="BG129" s="109" t="str">
        <x:f t="shared" si="42"/>
        <x:v>FAILED</x:v>
      </x:c>
      <x:c r="BH129" s="117"/>
      <x:c r="BI129" s="102"/>
      <x:c r="BJ129" s="102"/>
      <x:c r="BK129" s="102"/>
      <x:c r="BL129" s="102"/>
      <x:c r="BM129" s="102"/>
      <x:c r="BN129" s="102"/>
      <x:c r="BO129" s="102"/>
      <x:c r="BP129" s="102"/>
      <x:c r="BQ129" s="109" t="str">
        <x:f t="shared" si="43"/>
        <x:v>FAILED</x:v>
      </x:c>
      <x:c r="BR129" s="115"/>
      <x:c r="BS129" s="115"/>
      <x:c r="BT129" s="107"/>
      <x:c r="BU129" s="107"/>
      <x:c r="BV129" s="107"/>
      <x:c r="BW129" s="107"/>
      <x:c r="BX129" s="107"/>
      <x:c r="BY129" s="109" t="str">
        <x:f t="shared" si="44"/>
        <x:v>FAILED</x:v>
      </x:c>
      <x:c r="BZ129" s="115"/>
      <x:c r="CA129" s="115"/>
      <x:c r="CB129" s="107"/>
      <x:c r="CC129" s="107"/>
      <x:c r="CD129" s="107"/>
      <x:c r="CE129" s="107"/>
      <x:c r="CF129" s="107"/>
      <x:c r="CG129" s="109" t="str">
        <x:f t="shared" si="45"/>
        <x:v>FAILED</x:v>
      </x:c>
      <x:c r="CH129" s="117"/>
    </x:row>
    <x:row r="130">
      <x:c r="A130" s="102" t="str">
        <x:f>IF(RECORD!A132="","",RECORD!A132)</x:f>
      </x:c>
      <x:c r="B130" s="102" t="str">
        <x:f>IF(RECORD!B132="","",RECORD!B132)</x:f>
      </x:c>
      <x:c r="C130" s="103" t="str">
        <x:f>IF(RECORD!C132="","",RECORD!C132)</x:f>
      </x:c>
      <x:c r="D130" s="104" t="str">
        <x:f t="array" ref="D130">IF(C130&lt;&gt;"",IF(F$7="SUMMER","N/A",_xlfn.IFS(D$10="TLA",RECORD!GO132,F$10="LECTURE","",TRUE(),"")),"")</x:f>
      </x:c>
      <x:c r="E130" s="105" t="str">
        <x:f t="shared" si="23"/>
      </x:c>
      <x:c r="F130" s="104" t="str">
        <x:f t="array" ref="F130">IF(C130&lt;&gt;"",IF(F$7="SUMMER","N/A",_xlfn.IFS(F$10="AT",RECORD!GI132,F$10="LECTURE",GRADES!AP130,TRUE(),"")),"")</x:f>
      </x:c>
      <x:c r="G130" s="106" t="str">
        <x:f t="shared" si="24"/>
      </x:c>
      <x:c r="H130" s="107" t="str">
        <x:f t="array" ref="H130">IF(C130&lt;&gt;"",IF(F$7="SUMMER","N/A",_xlfn.IFS(H$10="EXAM",RECORD!GJ132,H$10="OUTPUT",RECORD!GK132,H$10="LAB",BP130,TRUE(),"")),"")</x:f>
      </x:c>
      <x:c r="I130" s="106" t="str">
        <x:f t="shared" si="25"/>
      </x:c>
      <x:c r="J130" s="108" t="str">
        <x:f t="shared" si="26"/>
      </x:c>
      <x:c r="K130" s="109" t="str">
        <x:f t="shared" si="27"/>
      </x:c>
      <x:c r="L130" s="110" t="str">
        <x:f t="array" ref="L130">IF(C130&lt;&gt;"",_xlfn.IFS(L$10="TLA",RECORD!GY132,N$10="LECTURE","",TRUE(),""),"")</x:f>
      </x:c>
      <x:c r="M130" s="105" t="str">
        <x:f t="shared" si="28"/>
      </x:c>
      <x:c r="N130" s="104" t="str">
        <x:f t="array" ref="N130">IF(C130&lt;&gt;"",_xlfn.IFS(N$10="AT",RECORD!GS132,N$10="LECTURE",AX130,TRUE(),""),"")</x:f>
      </x:c>
      <x:c r="O130" s="106" t="str">
        <x:f t="shared" si="29"/>
      </x:c>
      <x:c r="P130" s="107" t="str">
        <x:f t="array" ref="P130">IF(C130&lt;&gt;"",_xlfn.IFS(P$10="EXAM",RECORD!GT132,P$10="OUTPUT",RECORD!GU132,P$10="LAB",BX130,TRUE(),""),"")</x:f>
      </x:c>
      <x:c r="Q130" s="106" t="str">
        <x:f t="shared" si="30"/>
      </x:c>
      <x:c r="R130" s="108" t="str">
        <x:f t="shared" si="31"/>
      </x:c>
      <x:c r="S130" s="109" t="str">
        <x:f t="shared" si="32"/>
      </x:c>
      <x:c r="T130" s="110" t="str">
        <x:f t="array" ref="T130">IF(C130&lt;&gt;"",_xlfn.IFS(T$10="TLA",RECORD!HI132,V$10="LECTURE","",TRUE(),""),"")</x:f>
      </x:c>
      <x:c r="U130" s="105" t="str">
        <x:f t="shared" si="33"/>
      </x:c>
      <x:c r="V130" s="104" t="str">
        <x:f t="array" ref="V130">IF(C130&lt;&gt;"",_xlfn.IFS(V$10="AT",RECORD!HC132,V$10="LECTURE",BF130,TRUE(),""),"")</x:f>
      </x:c>
      <x:c r="W130" s="106" t="str">
        <x:f t="shared" si="34"/>
      </x:c>
      <x:c r="X130" s="107" t="str">
        <x:f t="array" ref="X130">IF(C130&lt;&gt;"",_xlfn.IFS(X$10="EXAM",RECORD!HD132,X$10="OUTPUT",RECORD!HE132,X$10="LAB",CF130,TRUE(),""),"")</x:f>
      </x:c>
      <x:c r="Y130" s="106" t="str">
        <x:f t="shared" si="35"/>
      </x:c>
      <x:c r="Z130" s="108" t="str">
        <x:f t="shared" si="36"/>
      </x:c>
      <x:c r="AA130" s="109" t="str">
        <x:f t="shared" si="37"/>
      </x:c>
      <x:c r="AB130" s="111" t="str">
        <x:f t="shared" si="38"/>
      </x:c>
      <x:c r="AC130" s="109" t="str">
        <x:f t="shared" si="39"/>
      </x:c>
      <x:c r="AD130" s="112"/>
      <x:c r="AE130" s="102"/>
      <x:c r="AF130" s="113"/>
      <x:c r="AG130" s="112"/>
      <x:c r="AH130" s="103"/>
      <x:c r="AI130" s="114"/>
      <x:c r="AJ130" s="102"/>
      <x:c r="AK130" s="102"/>
      <x:c r="AL130" s="102"/>
      <x:c r="AM130" s="102"/>
      <x:c r="AN130" s="102"/>
      <x:c r="AO130" s="102"/>
      <x:c r="AP130" s="102"/>
      <x:c r="AQ130" s="109" t="str">
        <x:f t="shared" si="40"/>
        <x:v>FAILED</x:v>
      </x:c>
      <x:c r="AR130" s="115"/>
      <x:c r="AS130" s="115"/>
      <x:c r="AT130" s="107"/>
      <x:c r="AU130" s="107"/>
      <x:c r="AV130" s="107"/>
      <x:c r="AW130" s="107"/>
      <x:c r="AX130" s="107"/>
      <x:c r="AY130" s="109" t="str">
        <x:f t="shared" si="41"/>
        <x:v>FAILED</x:v>
      </x:c>
      <x:c r="AZ130" s="115"/>
      <x:c r="BA130" s="115"/>
      <x:c r="BB130" s="107"/>
      <x:c r="BC130" s="107"/>
      <x:c r="BD130" s="107"/>
      <x:c r="BE130" s="107"/>
      <x:c r="BF130" s="107"/>
      <x:c r="BG130" s="109" t="str">
        <x:f t="shared" si="42"/>
        <x:v>FAILED</x:v>
      </x:c>
      <x:c r="BH130" s="117"/>
      <x:c r="BI130" s="102"/>
      <x:c r="BJ130" s="102"/>
      <x:c r="BK130" s="102"/>
      <x:c r="BL130" s="102"/>
      <x:c r="BM130" s="102"/>
      <x:c r="BN130" s="102"/>
      <x:c r="BO130" s="102"/>
      <x:c r="BP130" s="102"/>
      <x:c r="BQ130" s="109" t="str">
        <x:f t="shared" si="43"/>
        <x:v>FAILED</x:v>
      </x:c>
      <x:c r="BR130" s="115"/>
      <x:c r="BS130" s="115"/>
      <x:c r="BT130" s="107"/>
      <x:c r="BU130" s="107"/>
      <x:c r="BV130" s="107"/>
      <x:c r="BW130" s="107"/>
      <x:c r="BX130" s="107"/>
      <x:c r="BY130" s="109" t="str">
        <x:f t="shared" si="44"/>
        <x:v>FAILED</x:v>
      </x:c>
      <x:c r="BZ130" s="115"/>
      <x:c r="CA130" s="115"/>
      <x:c r="CB130" s="107"/>
      <x:c r="CC130" s="107"/>
      <x:c r="CD130" s="107"/>
      <x:c r="CE130" s="107"/>
      <x:c r="CF130" s="107"/>
      <x:c r="CG130" s="109" t="str">
        <x:f t="shared" si="45"/>
        <x:v>FAILED</x:v>
      </x:c>
      <x:c r="CH130" s="117"/>
    </x:row>
    <x:row r="131">
      <x:c r="A131" s="102" t="str">
        <x:f>IF(RECORD!A133="","",RECORD!A133)</x:f>
      </x:c>
      <x:c r="B131" s="102" t="str">
        <x:f>IF(RECORD!B133="","",RECORD!B133)</x:f>
      </x:c>
      <x:c r="C131" s="103" t="str">
        <x:f>IF(RECORD!C133="","",RECORD!C133)</x:f>
      </x:c>
      <x:c r="D131" s="104" t="str">
        <x:f t="array" ref="D131">IF(C131&lt;&gt;"",IF(F$7="SUMMER","N/A",_xlfn.IFS(D$10="TLA",RECORD!GO133,F$10="LECTURE","",TRUE(),"")),"")</x:f>
      </x:c>
      <x:c r="E131" s="105" t="str">
        <x:f t="shared" si="23"/>
      </x:c>
      <x:c r="F131" s="104" t="str">
        <x:f t="array" ref="F131">IF(C131&lt;&gt;"",IF(F$7="SUMMER","N/A",_xlfn.IFS(F$10="AT",RECORD!GI133,F$10="LECTURE",GRADES!AP131,TRUE(),"")),"")</x:f>
      </x:c>
      <x:c r="G131" s="106" t="str">
        <x:f t="shared" si="24"/>
      </x:c>
      <x:c r="H131" s="107" t="str">
        <x:f t="array" ref="H131">IF(C131&lt;&gt;"",IF(F$7="SUMMER","N/A",_xlfn.IFS(H$10="EXAM",RECORD!GJ133,H$10="OUTPUT",RECORD!GK133,H$10="LAB",BP131,TRUE(),"")),"")</x:f>
      </x:c>
      <x:c r="I131" s="106" t="str">
        <x:f t="shared" si="25"/>
      </x:c>
      <x:c r="J131" s="108" t="str">
        <x:f t="shared" si="26"/>
      </x:c>
      <x:c r="K131" s="109" t="str">
        <x:f t="shared" si="27"/>
      </x:c>
      <x:c r="L131" s="110" t="str">
        <x:f t="array" ref="L131">IF(C131&lt;&gt;"",_xlfn.IFS(L$10="TLA",RECORD!GY133,N$10="LECTURE","",TRUE(),""),"")</x:f>
      </x:c>
      <x:c r="M131" s="105" t="str">
        <x:f t="shared" si="28"/>
      </x:c>
      <x:c r="N131" s="104" t="str">
        <x:f t="array" ref="N131">IF(C131&lt;&gt;"",_xlfn.IFS(N$10="AT",RECORD!GS133,N$10="LECTURE",AX131,TRUE(),""),"")</x:f>
      </x:c>
      <x:c r="O131" s="106" t="str">
        <x:f t="shared" si="29"/>
      </x:c>
      <x:c r="P131" s="107" t="str">
        <x:f t="array" ref="P131">IF(C131&lt;&gt;"",_xlfn.IFS(P$10="EXAM",RECORD!GT133,P$10="OUTPUT",RECORD!GU133,P$10="LAB",BX131,TRUE(),""),"")</x:f>
      </x:c>
      <x:c r="Q131" s="106" t="str">
        <x:f t="shared" si="30"/>
      </x:c>
      <x:c r="R131" s="108" t="str">
        <x:f t="shared" si="31"/>
      </x:c>
      <x:c r="S131" s="109" t="str">
        <x:f t="shared" si="32"/>
      </x:c>
      <x:c r="T131" s="110" t="str">
        <x:f t="array" ref="T131">IF(C131&lt;&gt;"",_xlfn.IFS(T$10="TLA",RECORD!HI133,V$10="LECTURE","",TRUE(),""),"")</x:f>
      </x:c>
      <x:c r="U131" s="105" t="str">
        <x:f t="shared" si="33"/>
      </x:c>
      <x:c r="V131" s="104" t="str">
        <x:f t="array" ref="V131">IF(C131&lt;&gt;"",_xlfn.IFS(V$10="AT",RECORD!HC133,V$10="LECTURE",BF131,TRUE(),""),"")</x:f>
      </x:c>
      <x:c r="W131" s="106" t="str">
        <x:f t="shared" si="34"/>
      </x:c>
      <x:c r="X131" s="107" t="str">
        <x:f t="array" ref="X131">IF(C131&lt;&gt;"",_xlfn.IFS(X$10="EXAM",RECORD!HD133,X$10="OUTPUT",RECORD!HE133,X$10="LAB",CF131,TRUE(),""),"")</x:f>
      </x:c>
      <x:c r="Y131" s="106" t="str">
        <x:f t="shared" si="35"/>
      </x:c>
      <x:c r="Z131" s="108" t="str">
        <x:f t="shared" si="36"/>
      </x:c>
      <x:c r="AA131" s="109" t="str">
        <x:f t="shared" si="37"/>
      </x:c>
      <x:c r="AB131" s="111" t="str">
        <x:f t="shared" si="38"/>
      </x:c>
      <x:c r="AC131" s="109" t="str">
        <x:f t="shared" si="39"/>
      </x:c>
      <x:c r="AD131" s="112"/>
      <x:c r="AE131" s="102"/>
      <x:c r="AF131" s="113"/>
      <x:c r="AG131" s="112"/>
      <x:c r="AH131" s="103"/>
      <x:c r="AI131" s="114"/>
      <x:c r="AJ131" s="102"/>
      <x:c r="AK131" s="102"/>
      <x:c r="AL131" s="102"/>
      <x:c r="AM131" s="102"/>
      <x:c r="AN131" s="102"/>
      <x:c r="AO131" s="102"/>
      <x:c r="AP131" s="102"/>
      <x:c r="AQ131" s="109" t="str">
        <x:f t="shared" si="40"/>
        <x:v>FAILED</x:v>
      </x:c>
      <x:c r="AR131" s="115"/>
      <x:c r="AS131" s="115"/>
      <x:c r="AT131" s="107"/>
      <x:c r="AU131" s="107"/>
      <x:c r="AV131" s="107"/>
      <x:c r="AW131" s="107"/>
      <x:c r="AX131" s="107"/>
      <x:c r="AY131" s="109" t="str">
        <x:f t="shared" si="41"/>
        <x:v>FAILED</x:v>
      </x:c>
      <x:c r="AZ131" s="115"/>
      <x:c r="BA131" s="115"/>
      <x:c r="BB131" s="107"/>
      <x:c r="BC131" s="107"/>
      <x:c r="BD131" s="107"/>
      <x:c r="BE131" s="107"/>
      <x:c r="BF131" s="107"/>
      <x:c r="BG131" s="109" t="str">
        <x:f t="shared" si="42"/>
        <x:v>FAILED</x:v>
      </x:c>
      <x:c r="BH131" s="117"/>
      <x:c r="BI131" s="102"/>
      <x:c r="BJ131" s="102"/>
      <x:c r="BK131" s="102"/>
      <x:c r="BL131" s="102"/>
      <x:c r="BM131" s="102"/>
      <x:c r="BN131" s="102"/>
      <x:c r="BO131" s="102"/>
      <x:c r="BP131" s="102"/>
      <x:c r="BQ131" s="109" t="str">
        <x:f t="shared" si="43"/>
        <x:v>FAILED</x:v>
      </x:c>
      <x:c r="BR131" s="115"/>
      <x:c r="BS131" s="115"/>
      <x:c r="BT131" s="107"/>
      <x:c r="BU131" s="107"/>
      <x:c r="BV131" s="107"/>
      <x:c r="BW131" s="107"/>
      <x:c r="BX131" s="107"/>
      <x:c r="BY131" s="109" t="str">
        <x:f t="shared" si="44"/>
        <x:v>FAILED</x:v>
      </x:c>
      <x:c r="BZ131" s="115"/>
      <x:c r="CA131" s="115"/>
      <x:c r="CB131" s="107"/>
      <x:c r="CC131" s="107"/>
      <x:c r="CD131" s="107"/>
      <x:c r="CE131" s="107"/>
      <x:c r="CF131" s="107"/>
      <x:c r="CG131" s="109" t="str">
        <x:f t="shared" si="45"/>
        <x:v>FAILED</x:v>
      </x:c>
      <x:c r="CH131" s="117"/>
    </x:row>
    <x:row r="132">
      <x:c r="A132" s="102" t="str">
        <x:f>IF(RECORD!A134="","",RECORD!A134)</x:f>
      </x:c>
      <x:c r="B132" s="102" t="str">
        <x:f>IF(RECORD!B134="","",RECORD!B134)</x:f>
      </x:c>
      <x:c r="C132" s="103" t="str">
        <x:f>IF(RECORD!C134="","",RECORD!C134)</x:f>
      </x:c>
      <x:c r="D132" s="104" t="str">
        <x:f t="array" ref="D132">IF(C132&lt;&gt;"",IF(F$7="SUMMER","N/A",_xlfn.IFS(D$10="TLA",RECORD!GO134,F$10="LECTURE","",TRUE(),"")),"")</x:f>
      </x:c>
      <x:c r="E132" s="105" t="str">
        <x:f t="shared" si="23"/>
      </x:c>
      <x:c r="F132" s="104" t="str">
        <x:f t="array" ref="F132">IF(C132&lt;&gt;"",IF(F$7="SUMMER","N/A",_xlfn.IFS(F$10="AT",RECORD!GI134,F$10="LECTURE",GRADES!AP132,TRUE(),"")),"")</x:f>
      </x:c>
      <x:c r="G132" s="106" t="str">
        <x:f t="shared" si="24"/>
      </x:c>
      <x:c r="H132" s="107" t="str">
        <x:f t="array" ref="H132">IF(C132&lt;&gt;"",IF(F$7="SUMMER","N/A",_xlfn.IFS(H$10="EXAM",RECORD!GJ134,H$10="OUTPUT",RECORD!GK134,H$10="LAB",BP132,TRUE(),"")),"")</x:f>
      </x:c>
      <x:c r="I132" s="106" t="str">
        <x:f t="shared" si="25"/>
      </x:c>
      <x:c r="J132" s="108" t="str">
        <x:f t="shared" si="26"/>
      </x:c>
      <x:c r="K132" s="109" t="str">
        <x:f t="shared" si="27"/>
      </x:c>
      <x:c r="L132" s="110" t="str">
        <x:f t="array" ref="L132">IF(C132&lt;&gt;"",_xlfn.IFS(L$10="TLA",RECORD!GY134,N$10="LECTURE","",TRUE(),""),"")</x:f>
      </x:c>
      <x:c r="M132" s="105" t="str">
        <x:f t="shared" si="28"/>
      </x:c>
      <x:c r="N132" s="104" t="str">
        <x:f t="array" ref="N132">IF(C132&lt;&gt;"",_xlfn.IFS(N$10="AT",RECORD!GS134,N$10="LECTURE",AX132,TRUE(),""),"")</x:f>
      </x:c>
      <x:c r="O132" s="106" t="str">
        <x:f t="shared" si="29"/>
      </x:c>
      <x:c r="P132" s="107" t="str">
        <x:f t="array" ref="P132">IF(C132&lt;&gt;"",_xlfn.IFS(P$10="EXAM",RECORD!GT134,P$10="OUTPUT",RECORD!GU134,P$10="LAB",BX132,TRUE(),""),"")</x:f>
      </x:c>
      <x:c r="Q132" s="106" t="str">
        <x:f t="shared" si="30"/>
      </x:c>
      <x:c r="R132" s="108" t="str">
        <x:f t="shared" si="31"/>
      </x:c>
      <x:c r="S132" s="109" t="str">
        <x:f t="shared" si="32"/>
      </x:c>
      <x:c r="T132" s="110" t="str">
        <x:f t="array" ref="T132">IF(C132&lt;&gt;"",_xlfn.IFS(T$10="TLA",RECORD!HI134,V$10="LECTURE","",TRUE(),""),"")</x:f>
      </x:c>
      <x:c r="U132" s="105" t="str">
        <x:f t="shared" si="33"/>
      </x:c>
      <x:c r="V132" s="104" t="str">
        <x:f t="array" ref="V132">IF(C132&lt;&gt;"",_xlfn.IFS(V$10="AT",RECORD!HC134,V$10="LECTURE",BF132,TRUE(),""),"")</x:f>
      </x:c>
      <x:c r="W132" s="106" t="str">
        <x:f t="shared" si="34"/>
      </x:c>
      <x:c r="X132" s="107" t="str">
        <x:f t="array" ref="X132">IF(C132&lt;&gt;"",_xlfn.IFS(X$10="EXAM",RECORD!HD134,X$10="OUTPUT",RECORD!HE134,X$10="LAB",CF132,TRUE(),""),"")</x:f>
      </x:c>
      <x:c r="Y132" s="106" t="str">
        <x:f t="shared" si="35"/>
      </x:c>
      <x:c r="Z132" s="108" t="str">
        <x:f t="shared" si="36"/>
      </x:c>
      <x:c r="AA132" s="109" t="str">
        <x:f t="shared" si="37"/>
      </x:c>
      <x:c r="AB132" s="111" t="str">
        <x:f t="shared" si="38"/>
      </x:c>
      <x:c r="AC132" s="109" t="str">
        <x:f t="shared" si="39"/>
      </x:c>
      <x:c r="AD132" s="112"/>
      <x:c r="AE132" s="102"/>
      <x:c r="AF132" s="113"/>
      <x:c r="AG132" s="112"/>
      <x:c r="AH132" s="103"/>
      <x:c r="AI132" s="114"/>
      <x:c r="AJ132" s="102"/>
      <x:c r="AK132" s="102"/>
      <x:c r="AL132" s="102"/>
      <x:c r="AM132" s="102"/>
      <x:c r="AN132" s="102"/>
      <x:c r="AO132" s="102"/>
      <x:c r="AP132" s="102"/>
      <x:c r="AQ132" s="109" t="str">
        <x:f t="shared" si="40"/>
        <x:v>FAILED</x:v>
      </x:c>
      <x:c r="AR132" s="115"/>
      <x:c r="AS132" s="115"/>
      <x:c r="AT132" s="107"/>
      <x:c r="AU132" s="107"/>
      <x:c r="AV132" s="107"/>
      <x:c r="AW132" s="107"/>
      <x:c r="AX132" s="107"/>
      <x:c r="AY132" s="109" t="str">
        <x:f t="shared" si="41"/>
        <x:v>FAILED</x:v>
      </x:c>
      <x:c r="AZ132" s="115"/>
      <x:c r="BA132" s="115"/>
      <x:c r="BB132" s="107"/>
      <x:c r="BC132" s="107"/>
      <x:c r="BD132" s="107"/>
      <x:c r="BE132" s="107"/>
      <x:c r="BF132" s="107"/>
      <x:c r="BG132" s="109" t="str">
        <x:f t="shared" si="42"/>
        <x:v>FAILED</x:v>
      </x:c>
      <x:c r="BH132" s="117"/>
      <x:c r="BI132" s="102"/>
      <x:c r="BJ132" s="102"/>
      <x:c r="BK132" s="102"/>
      <x:c r="BL132" s="102"/>
      <x:c r="BM132" s="102"/>
      <x:c r="BN132" s="102"/>
      <x:c r="BO132" s="102"/>
      <x:c r="BP132" s="102"/>
      <x:c r="BQ132" s="109" t="str">
        <x:f t="shared" si="43"/>
        <x:v>FAILED</x:v>
      </x:c>
      <x:c r="BR132" s="115"/>
      <x:c r="BS132" s="115"/>
      <x:c r="BT132" s="107"/>
      <x:c r="BU132" s="107"/>
      <x:c r="BV132" s="107"/>
      <x:c r="BW132" s="107"/>
      <x:c r="BX132" s="107"/>
      <x:c r="BY132" s="109" t="str">
        <x:f t="shared" si="44"/>
        <x:v>FAILED</x:v>
      </x:c>
      <x:c r="BZ132" s="115"/>
      <x:c r="CA132" s="115"/>
      <x:c r="CB132" s="107"/>
      <x:c r="CC132" s="107"/>
      <x:c r="CD132" s="107"/>
      <x:c r="CE132" s="107"/>
      <x:c r="CF132" s="107"/>
      <x:c r="CG132" s="109" t="str">
        <x:f t="shared" si="45"/>
        <x:v>FAILED</x:v>
      </x:c>
      <x:c r="CH132" s="117"/>
    </x:row>
    <x:row r="133">
      <x:c r="A133" s="102" t="str">
        <x:f>IF(RECORD!A135="","",RECORD!A135)</x:f>
      </x:c>
      <x:c r="B133" s="102" t="str">
        <x:f>IF(RECORD!B135="","",RECORD!B135)</x:f>
      </x:c>
      <x:c r="C133" s="103" t="str">
        <x:f>IF(RECORD!C135="","",RECORD!C135)</x:f>
      </x:c>
      <x:c r="D133" s="104" t="str">
        <x:f t="array" ref="D133">IF(C133&lt;&gt;"",IF(F$7="SUMMER","N/A",_xlfn.IFS(D$10="TLA",RECORD!GO135,F$10="LECTURE","",TRUE(),"")),"")</x:f>
      </x:c>
      <x:c r="E133" s="105" t="str">
        <x:f t="shared" si="23"/>
      </x:c>
      <x:c r="F133" s="104" t="str">
        <x:f t="array" ref="F133">IF(C133&lt;&gt;"",IF(F$7="SUMMER","N/A",_xlfn.IFS(F$10="AT",RECORD!GI135,F$10="LECTURE",GRADES!AP133,TRUE(),"")),"")</x:f>
      </x:c>
      <x:c r="G133" s="106" t="str">
        <x:f t="shared" si="24"/>
      </x:c>
      <x:c r="H133" s="107" t="str">
        <x:f t="array" ref="H133">IF(C133&lt;&gt;"",IF(F$7="SUMMER","N/A",_xlfn.IFS(H$10="EXAM",RECORD!GJ135,H$10="OUTPUT",RECORD!GK135,H$10="LAB",BP133,TRUE(),"")),"")</x:f>
      </x:c>
      <x:c r="I133" s="106" t="str">
        <x:f t="shared" si="25"/>
      </x:c>
      <x:c r="J133" s="108" t="str">
        <x:f t="shared" si="26"/>
      </x:c>
      <x:c r="K133" s="109" t="str">
        <x:f t="shared" si="27"/>
      </x:c>
      <x:c r="L133" s="110" t="str">
        <x:f t="array" ref="L133">IF(C133&lt;&gt;"",_xlfn.IFS(L$10="TLA",RECORD!GY135,N$10="LECTURE","",TRUE(),""),"")</x:f>
      </x:c>
      <x:c r="M133" s="105" t="str">
        <x:f t="shared" si="28"/>
      </x:c>
      <x:c r="N133" s="104" t="str">
        <x:f t="array" ref="N133">IF(C133&lt;&gt;"",_xlfn.IFS(N$10="AT",RECORD!GS135,N$10="LECTURE",AX133,TRUE(),""),"")</x:f>
      </x:c>
      <x:c r="O133" s="106" t="str">
        <x:f t="shared" si="29"/>
      </x:c>
      <x:c r="P133" s="107" t="str">
        <x:f t="array" ref="P133">IF(C133&lt;&gt;"",_xlfn.IFS(P$10="EXAM",RECORD!GT135,P$10="OUTPUT",RECORD!GU135,P$10="LAB",BX133,TRUE(),""),"")</x:f>
      </x:c>
      <x:c r="Q133" s="106" t="str">
        <x:f t="shared" si="30"/>
      </x:c>
      <x:c r="R133" s="108" t="str">
        <x:f t="shared" si="31"/>
      </x:c>
      <x:c r="S133" s="109" t="str">
        <x:f t="shared" si="32"/>
      </x:c>
      <x:c r="T133" s="110" t="str">
        <x:f t="array" ref="T133">IF(C133&lt;&gt;"",_xlfn.IFS(T$10="TLA",RECORD!HI135,V$10="LECTURE","",TRUE(),""),"")</x:f>
      </x:c>
      <x:c r="U133" s="105" t="str">
        <x:f t="shared" si="33"/>
      </x:c>
      <x:c r="V133" s="104" t="str">
        <x:f t="array" ref="V133">IF(C133&lt;&gt;"",_xlfn.IFS(V$10="AT",RECORD!HC135,V$10="LECTURE",BF133,TRUE(),""),"")</x:f>
      </x:c>
      <x:c r="W133" s="106" t="str">
        <x:f t="shared" si="34"/>
      </x:c>
      <x:c r="X133" s="107" t="str">
        <x:f t="array" ref="X133">IF(C133&lt;&gt;"",_xlfn.IFS(X$10="EXAM",RECORD!HD135,X$10="OUTPUT",RECORD!HE135,X$10="LAB",CF133,TRUE(),""),"")</x:f>
      </x:c>
      <x:c r="Y133" s="106" t="str">
        <x:f t="shared" si="35"/>
      </x:c>
      <x:c r="Z133" s="108" t="str">
        <x:f t="shared" si="36"/>
      </x:c>
      <x:c r="AA133" s="109" t="str">
        <x:f t="shared" si="37"/>
      </x:c>
      <x:c r="AB133" s="111" t="str">
        <x:f t="shared" si="38"/>
      </x:c>
      <x:c r="AC133" s="109" t="str">
        <x:f t="shared" si="39"/>
      </x:c>
      <x:c r="AD133" s="112"/>
      <x:c r="AE133" s="102"/>
      <x:c r="AF133" s="113"/>
      <x:c r="AG133" s="112"/>
      <x:c r="AH133" s="103"/>
      <x:c r="AI133" s="114"/>
      <x:c r="AJ133" s="102"/>
      <x:c r="AK133" s="102"/>
      <x:c r="AL133" s="102"/>
      <x:c r="AM133" s="102"/>
      <x:c r="AN133" s="102"/>
      <x:c r="AO133" s="102"/>
      <x:c r="AP133" s="102"/>
      <x:c r="AQ133" s="109" t="str">
        <x:f t="shared" si="40"/>
        <x:v>FAILED</x:v>
      </x:c>
      <x:c r="AR133" s="115"/>
      <x:c r="AS133" s="115"/>
      <x:c r="AT133" s="107"/>
      <x:c r="AU133" s="107"/>
      <x:c r="AV133" s="107"/>
      <x:c r="AW133" s="107"/>
      <x:c r="AX133" s="107"/>
      <x:c r="AY133" s="109" t="str">
        <x:f t="shared" si="41"/>
        <x:v>FAILED</x:v>
      </x:c>
      <x:c r="AZ133" s="115"/>
      <x:c r="BA133" s="115"/>
      <x:c r="BB133" s="107"/>
      <x:c r="BC133" s="107"/>
      <x:c r="BD133" s="107"/>
      <x:c r="BE133" s="107"/>
      <x:c r="BF133" s="107"/>
      <x:c r="BG133" s="109" t="str">
        <x:f t="shared" si="42"/>
        <x:v>FAILED</x:v>
      </x:c>
      <x:c r="BH133" s="117"/>
      <x:c r="BI133" s="102"/>
      <x:c r="BJ133" s="102"/>
      <x:c r="BK133" s="102"/>
      <x:c r="BL133" s="102"/>
      <x:c r="BM133" s="102"/>
      <x:c r="BN133" s="102"/>
      <x:c r="BO133" s="102"/>
      <x:c r="BP133" s="102"/>
      <x:c r="BQ133" s="109" t="str">
        <x:f t="shared" si="43"/>
        <x:v>FAILED</x:v>
      </x:c>
      <x:c r="BR133" s="115"/>
      <x:c r="BS133" s="115"/>
      <x:c r="BT133" s="107"/>
      <x:c r="BU133" s="107"/>
      <x:c r="BV133" s="107"/>
      <x:c r="BW133" s="107"/>
      <x:c r="BX133" s="107"/>
      <x:c r="BY133" s="109" t="str">
        <x:f t="shared" si="44"/>
        <x:v>FAILED</x:v>
      </x:c>
      <x:c r="BZ133" s="115"/>
      <x:c r="CA133" s="115"/>
      <x:c r="CB133" s="107"/>
      <x:c r="CC133" s="107"/>
      <x:c r="CD133" s="107"/>
      <x:c r="CE133" s="107"/>
      <x:c r="CF133" s="107"/>
      <x:c r="CG133" s="109" t="str">
        <x:f t="shared" si="45"/>
        <x:v>FAILED</x:v>
      </x:c>
      <x:c r="CH133" s="117"/>
    </x:row>
    <x:row r="134">
      <x:c r="A134" s="102" t="str">
        <x:f>IF(RECORD!A136="","",RECORD!A136)</x:f>
      </x:c>
      <x:c r="B134" s="102" t="str">
        <x:f>IF(RECORD!B136="","",RECORD!B136)</x:f>
      </x:c>
      <x:c r="C134" s="103" t="str">
        <x:f>IF(RECORD!C136="","",RECORD!C136)</x:f>
      </x:c>
      <x:c r="D134" s="104" t="str">
        <x:f t="array" ref="D134">IF(C134&lt;&gt;"",IF(F$7="SUMMER","N/A",_xlfn.IFS(D$10="TLA",RECORD!GO136,F$10="LECTURE","",TRUE(),"")),"")</x:f>
      </x:c>
      <x:c r="E134" s="105" t="str">
        <x:f t="shared" si="23"/>
      </x:c>
      <x:c r="F134" s="104" t="str">
        <x:f t="array" ref="F134">IF(C134&lt;&gt;"",IF(F$7="SUMMER","N/A",_xlfn.IFS(F$10="AT",RECORD!GI136,F$10="LECTURE",GRADES!AP134,TRUE(),"")),"")</x:f>
      </x:c>
      <x:c r="G134" s="106" t="str">
        <x:f t="shared" si="24"/>
      </x:c>
      <x:c r="H134" s="107" t="str">
        <x:f t="array" ref="H134">IF(C134&lt;&gt;"",IF(F$7="SUMMER","N/A",_xlfn.IFS(H$10="EXAM",RECORD!GJ136,H$10="OUTPUT",RECORD!GK136,H$10="LAB",BP134,TRUE(),"")),"")</x:f>
      </x:c>
      <x:c r="I134" s="106" t="str">
        <x:f t="shared" si="25"/>
      </x:c>
      <x:c r="J134" s="108" t="str">
        <x:f t="shared" si="26"/>
      </x:c>
      <x:c r="K134" s="109" t="str">
        <x:f t="shared" si="27"/>
      </x:c>
      <x:c r="L134" s="110" t="str">
        <x:f t="array" ref="L134">IF(C134&lt;&gt;"",_xlfn.IFS(L$10="TLA",RECORD!GY136,N$10="LECTURE","",TRUE(),""),"")</x:f>
      </x:c>
      <x:c r="M134" s="105" t="str">
        <x:f t="shared" si="28"/>
      </x:c>
      <x:c r="N134" s="104" t="str">
        <x:f t="array" ref="N134">IF(C134&lt;&gt;"",_xlfn.IFS(N$10="AT",RECORD!GS136,N$10="LECTURE",AX134,TRUE(),""),"")</x:f>
      </x:c>
      <x:c r="O134" s="106" t="str">
        <x:f t="shared" si="29"/>
      </x:c>
      <x:c r="P134" s="107" t="str">
        <x:f t="array" ref="P134">IF(C134&lt;&gt;"",_xlfn.IFS(P$10="EXAM",RECORD!GT136,P$10="OUTPUT",RECORD!GU136,P$10="LAB",BX134,TRUE(),""),"")</x:f>
      </x:c>
      <x:c r="Q134" s="106" t="str">
        <x:f t="shared" si="30"/>
      </x:c>
      <x:c r="R134" s="108" t="str">
        <x:f t="shared" si="31"/>
      </x:c>
      <x:c r="S134" s="109" t="str">
        <x:f t="shared" si="32"/>
      </x:c>
      <x:c r="T134" s="110" t="str">
        <x:f t="array" ref="T134">IF(C134&lt;&gt;"",_xlfn.IFS(T$10="TLA",RECORD!HI136,V$10="LECTURE","",TRUE(),""),"")</x:f>
      </x:c>
      <x:c r="U134" s="105" t="str">
        <x:f t="shared" si="33"/>
      </x:c>
      <x:c r="V134" s="104" t="str">
        <x:f t="array" ref="V134">IF(C134&lt;&gt;"",_xlfn.IFS(V$10="AT",RECORD!HC136,V$10="LECTURE",BF134,TRUE(),""),"")</x:f>
      </x:c>
      <x:c r="W134" s="106" t="str">
        <x:f t="shared" si="34"/>
      </x:c>
      <x:c r="X134" s="107" t="str">
        <x:f t="array" ref="X134">IF(C134&lt;&gt;"",_xlfn.IFS(X$10="EXAM",RECORD!HD136,X$10="OUTPUT",RECORD!HE136,X$10="LAB",CF134,TRUE(),""),"")</x:f>
      </x:c>
      <x:c r="Y134" s="106" t="str">
        <x:f t="shared" si="35"/>
      </x:c>
      <x:c r="Z134" s="108" t="str">
        <x:f t="shared" si="36"/>
      </x:c>
      <x:c r="AA134" s="109" t="str">
        <x:f t="shared" si="37"/>
      </x:c>
      <x:c r="AB134" s="111" t="str">
        <x:f t="shared" si="38"/>
      </x:c>
      <x:c r="AC134" s="109" t="str">
        <x:f t="shared" si="39"/>
      </x:c>
      <x:c r="AD134" s="112"/>
      <x:c r="AE134" s="102"/>
      <x:c r="AF134" s="113"/>
      <x:c r="AG134" s="112"/>
      <x:c r="AH134" s="103"/>
      <x:c r="AI134" s="114"/>
      <x:c r="AJ134" s="102"/>
      <x:c r="AK134" s="102"/>
      <x:c r="AL134" s="102"/>
      <x:c r="AM134" s="102"/>
      <x:c r="AN134" s="102"/>
      <x:c r="AO134" s="102"/>
      <x:c r="AP134" s="102"/>
      <x:c r="AQ134" s="109" t="str">
        <x:f t="shared" si="40"/>
        <x:v>FAILED</x:v>
      </x:c>
      <x:c r="AR134" s="115"/>
      <x:c r="AS134" s="115"/>
      <x:c r="AT134" s="107"/>
      <x:c r="AU134" s="107"/>
      <x:c r="AV134" s="107"/>
      <x:c r="AW134" s="107"/>
      <x:c r="AX134" s="107"/>
      <x:c r="AY134" s="109" t="str">
        <x:f t="shared" si="41"/>
        <x:v>FAILED</x:v>
      </x:c>
      <x:c r="AZ134" s="115"/>
      <x:c r="BA134" s="115"/>
      <x:c r="BB134" s="107"/>
      <x:c r="BC134" s="107"/>
      <x:c r="BD134" s="107"/>
      <x:c r="BE134" s="107"/>
      <x:c r="BF134" s="107"/>
      <x:c r="BG134" s="109" t="str">
        <x:f t="shared" si="42"/>
        <x:v>FAILED</x:v>
      </x:c>
      <x:c r="BH134" s="117"/>
      <x:c r="BI134" s="102"/>
      <x:c r="BJ134" s="102"/>
      <x:c r="BK134" s="102"/>
      <x:c r="BL134" s="102"/>
      <x:c r="BM134" s="102"/>
      <x:c r="BN134" s="102"/>
      <x:c r="BO134" s="102"/>
      <x:c r="BP134" s="102"/>
      <x:c r="BQ134" s="109" t="str">
        <x:f t="shared" si="43"/>
        <x:v>FAILED</x:v>
      </x:c>
      <x:c r="BR134" s="115"/>
      <x:c r="BS134" s="115"/>
      <x:c r="BT134" s="107"/>
      <x:c r="BU134" s="107"/>
      <x:c r="BV134" s="107"/>
      <x:c r="BW134" s="107"/>
      <x:c r="BX134" s="107"/>
      <x:c r="BY134" s="109" t="str">
        <x:f t="shared" si="44"/>
        <x:v>FAILED</x:v>
      </x:c>
      <x:c r="BZ134" s="115"/>
      <x:c r="CA134" s="115"/>
      <x:c r="CB134" s="107"/>
      <x:c r="CC134" s="107"/>
      <x:c r="CD134" s="107"/>
      <x:c r="CE134" s="107"/>
      <x:c r="CF134" s="107"/>
      <x:c r="CG134" s="109" t="str">
        <x:f t="shared" si="45"/>
        <x:v>FAILED</x:v>
      </x:c>
      <x:c r="CH134" s="117"/>
    </x:row>
    <x:row r="135">
      <x:c r="A135" s="102" t="str">
        <x:f>IF(RECORD!A137="","",RECORD!A137)</x:f>
      </x:c>
      <x:c r="B135" s="102" t="str">
        <x:f>IF(RECORD!B137="","",RECORD!B137)</x:f>
      </x:c>
      <x:c r="C135" s="103" t="str">
        <x:f>IF(RECORD!C137="","",RECORD!C137)</x:f>
      </x:c>
      <x:c r="D135" s="104" t="str">
        <x:f t="array" ref="D135">IF(C135&lt;&gt;"",IF(F$7="SUMMER","N/A",_xlfn.IFS(D$10="TLA",RECORD!GO137,F$10="LECTURE","",TRUE(),"")),"")</x:f>
      </x:c>
      <x:c r="E135" s="105" t="str">
        <x:f t="shared" si="23"/>
      </x:c>
      <x:c r="F135" s="104" t="str">
        <x:f t="array" ref="F135">IF(C135&lt;&gt;"",IF(F$7="SUMMER","N/A",_xlfn.IFS(F$10="AT",RECORD!GI137,F$10="LECTURE",GRADES!AP135,TRUE(),"")),"")</x:f>
      </x:c>
      <x:c r="G135" s="106" t="str">
        <x:f t="shared" si="24"/>
      </x:c>
      <x:c r="H135" s="107" t="str">
        <x:f t="array" ref="H135">IF(C135&lt;&gt;"",IF(F$7="SUMMER","N/A",_xlfn.IFS(H$10="EXAM",RECORD!GJ137,H$10="OUTPUT",RECORD!GK137,H$10="LAB",BP135,TRUE(),"")),"")</x:f>
      </x:c>
      <x:c r="I135" s="106" t="str">
        <x:f t="shared" si="25"/>
      </x:c>
      <x:c r="J135" s="108" t="str">
        <x:f t="shared" si="26"/>
      </x:c>
      <x:c r="K135" s="109" t="str">
        <x:f t="shared" si="27"/>
      </x:c>
      <x:c r="L135" s="110" t="str">
        <x:f t="array" ref="L135">IF(C135&lt;&gt;"",_xlfn.IFS(L$10="TLA",RECORD!GY137,N$10="LECTURE","",TRUE(),""),"")</x:f>
      </x:c>
      <x:c r="M135" s="105" t="str">
        <x:f t="shared" si="28"/>
      </x:c>
      <x:c r="N135" s="104" t="str">
        <x:f t="array" ref="N135">IF(C135&lt;&gt;"",_xlfn.IFS(N$10="AT",RECORD!GS137,N$10="LECTURE",AX135,TRUE(),""),"")</x:f>
      </x:c>
      <x:c r="O135" s="106" t="str">
        <x:f t="shared" si="29"/>
      </x:c>
      <x:c r="P135" s="107" t="str">
        <x:f t="array" ref="P135">IF(C135&lt;&gt;"",_xlfn.IFS(P$10="EXAM",RECORD!GT137,P$10="OUTPUT",RECORD!GU137,P$10="LAB",BX135,TRUE(),""),"")</x:f>
      </x:c>
      <x:c r="Q135" s="106" t="str">
        <x:f t="shared" si="30"/>
      </x:c>
      <x:c r="R135" s="108" t="str">
        <x:f t="shared" si="31"/>
      </x:c>
      <x:c r="S135" s="109" t="str">
        <x:f t="shared" si="32"/>
      </x:c>
      <x:c r="T135" s="110" t="str">
        <x:f t="array" ref="T135">IF(C135&lt;&gt;"",_xlfn.IFS(T$10="TLA",RECORD!HI137,V$10="LECTURE","",TRUE(),""),"")</x:f>
      </x:c>
      <x:c r="U135" s="105" t="str">
        <x:f t="shared" si="33"/>
      </x:c>
      <x:c r="V135" s="104" t="str">
        <x:f t="array" ref="V135">IF(C135&lt;&gt;"",_xlfn.IFS(V$10="AT",RECORD!HC137,V$10="LECTURE",BF135,TRUE(),""),"")</x:f>
      </x:c>
      <x:c r="W135" s="106" t="str">
        <x:f t="shared" si="34"/>
      </x:c>
      <x:c r="X135" s="107" t="str">
        <x:f t="array" ref="X135">IF(C135&lt;&gt;"",_xlfn.IFS(X$10="EXAM",RECORD!HD137,X$10="OUTPUT",RECORD!HE137,X$10="LAB",CF135,TRUE(),""),"")</x:f>
      </x:c>
      <x:c r="Y135" s="106" t="str">
        <x:f t="shared" si="35"/>
      </x:c>
      <x:c r="Z135" s="108" t="str">
        <x:f t="shared" si="36"/>
      </x:c>
      <x:c r="AA135" s="109" t="str">
        <x:f t="shared" si="37"/>
      </x:c>
      <x:c r="AB135" s="111" t="str">
        <x:f t="shared" si="38"/>
      </x:c>
      <x:c r="AC135" s="109" t="str">
        <x:f t="shared" si="39"/>
      </x:c>
      <x:c r="AD135" s="112"/>
      <x:c r="AE135" s="102"/>
      <x:c r="AF135" s="113"/>
      <x:c r="AG135" s="112"/>
      <x:c r="AH135" s="103"/>
      <x:c r="AI135" s="114"/>
      <x:c r="AJ135" s="102"/>
      <x:c r="AK135" s="102"/>
      <x:c r="AL135" s="102"/>
      <x:c r="AM135" s="102"/>
      <x:c r="AN135" s="102"/>
      <x:c r="AO135" s="102"/>
      <x:c r="AP135" s="102"/>
      <x:c r="AQ135" s="109" t="str">
        <x:f t="shared" si="40"/>
        <x:v>FAILED</x:v>
      </x:c>
      <x:c r="AR135" s="115"/>
      <x:c r="AS135" s="115"/>
      <x:c r="AT135" s="107"/>
      <x:c r="AU135" s="107"/>
      <x:c r="AV135" s="107"/>
      <x:c r="AW135" s="107"/>
      <x:c r="AX135" s="107"/>
      <x:c r="AY135" s="109" t="str">
        <x:f t="shared" si="41"/>
        <x:v>FAILED</x:v>
      </x:c>
      <x:c r="AZ135" s="115"/>
      <x:c r="BA135" s="115"/>
      <x:c r="BB135" s="107"/>
      <x:c r="BC135" s="107"/>
      <x:c r="BD135" s="107"/>
      <x:c r="BE135" s="107"/>
      <x:c r="BF135" s="107"/>
      <x:c r="BG135" s="109" t="str">
        <x:f t="shared" si="42"/>
        <x:v>FAILED</x:v>
      </x:c>
      <x:c r="BH135" s="117"/>
      <x:c r="BI135" s="102"/>
      <x:c r="BJ135" s="102"/>
      <x:c r="BK135" s="102"/>
      <x:c r="BL135" s="102"/>
      <x:c r="BM135" s="102"/>
      <x:c r="BN135" s="102"/>
      <x:c r="BO135" s="102"/>
      <x:c r="BP135" s="102"/>
      <x:c r="BQ135" s="109" t="str">
        <x:f t="shared" si="43"/>
        <x:v>FAILED</x:v>
      </x:c>
      <x:c r="BR135" s="115"/>
      <x:c r="BS135" s="115"/>
      <x:c r="BT135" s="107"/>
      <x:c r="BU135" s="107"/>
      <x:c r="BV135" s="107"/>
      <x:c r="BW135" s="107"/>
      <x:c r="BX135" s="107"/>
      <x:c r="BY135" s="109" t="str">
        <x:f t="shared" si="44"/>
        <x:v>FAILED</x:v>
      </x:c>
      <x:c r="BZ135" s="115"/>
      <x:c r="CA135" s="115"/>
      <x:c r="CB135" s="107"/>
      <x:c r="CC135" s="107"/>
      <x:c r="CD135" s="107"/>
      <x:c r="CE135" s="107"/>
      <x:c r="CF135" s="107"/>
      <x:c r="CG135" s="109" t="str">
        <x:f t="shared" si="45"/>
        <x:v>FAILED</x:v>
      </x:c>
      <x:c r="CH135" s="117"/>
    </x:row>
    <x:row r="136">
      <x:c r="A136" s="102" t="str">
        <x:f>IF(RECORD!A138="","",RECORD!A138)</x:f>
      </x:c>
      <x:c r="B136" s="102" t="str">
        <x:f>IF(RECORD!B138="","",RECORD!B138)</x:f>
      </x:c>
      <x:c r="C136" s="103" t="str">
        <x:f>IF(RECORD!C138="","",RECORD!C138)</x:f>
      </x:c>
      <x:c r="D136" s="104" t="str">
        <x:f t="array" ref="D136">IF(C136&lt;&gt;"",IF(F$7="SUMMER","N/A",_xlfn.IFS(D$10="TLA",RECORD!GO138,F$10="LECTURE","",TRUE(),"")),"")</x:f>
      </x:c>
      <x:c r="E136" s="105" t="str">
        <x:f t="shared" si="23"/>
      </x:c>
      <x:c r="F136" s="104" t="str">
        <x:f t="array" ref="F136">IF(C136&lt;&gt;"",IF(F$7="SUMMER","N/A",_xlfn.IFS(F$10="AT",RECORD!GI138,F$10="LECTURE",GRADES!AP136,TRUE(),"")),"")</x:f>
      </x:c>
      <x:c r="G136" s="106" t="str">
        <x:f t="shared" si="24"/>
      </x:c>
      <x:c r="H136" s="107" t="str">
        <x:f t="array" ref="H136">IF(C136&lt;&gt;"",IF(F$7="SUMMER","N/A",_xlfn.IFS(H$10="EXAM",RECORD!GJ138,H$10="OUTPUT",RECORD!GK138,H$10="LAB",BP136,TRUE(),"")),"")</x:f>
      </x:c>
      <x:c r="I136" s="106" t="str">
        <x:f t="shared" si="25"/>
      </x:c>
      <x:c r="J136" s="108" t="str">
        <x:f t="shared" si="26"/>
      </x:c>
      <x:c r="K136" s="109" t="str">
        <x:f t="shared" si="27"/>
      </x:c>
      <x:c r="L136" s="110" t="str">
        <x:f t="array" ref="L136">IF(C136&lt;&gt;"",_xlfn.IFS(L$10="TLA",RECORD!GY138,N$10="LECTURE","",TRUE(),""),"")</x:f>
      </x:c>
      <x:c r="M136" s="105" t="str">
        <x:f t="shared" si="28"/>
      </x:c>
      <x:c r="N136" s="104" t="str">
        <x:f t="array" ref="N136">IF(C136&lt;&gt;"",_xlfn.IFS(N$10="AT",RECORD!GS138,N$10="LECTURE",AX136,TRUE(),""),"")</x:f>
      </x:c>
      <x:c r="O136" s="106" t="str">
        <x:f t="shared" si="29"/>
      </x:c>
      <x:c r="P136" s="107" t="str">
        <x:f t="array" ref="P136">IF(C136&lt;&gt;"",_xlfn.IFS(P$10="EXAM",RECORD!GT138,P$10="OUTPUT",RECORD!GU138,P$10="LAB",BX136,TRUE(),""),"")</x:f>
      </x:c>
      <x:c r="Q136" s="106" t="str">
        <x:f t="shared" si="30"/>
      </x:c>
      <x:c r="R136" s="108" t="str">
        <x:f t="shared" si="31"/>
      </x:c>
      <x:c r="S136" s="109" t="str">
        <x:f t="shared" si="32"/>
      </x:c>
      <x:c r="T136" s="110" t="str">
        <x:f t="array" ref="T136">IF(C136&lt;&gt;"",_xlfn.IFS(T$10="TLA",RECORD!HI138,V$10="LECTURE","",TRUE(),""),"")</x:f>
      </x:c>
      <x:c r="U136" s="105" t="str">
        <x:f t="shared" si="33"/>
      </x:c>
      <x:c r="V136" s="104" t="str">
        <x:f t="array" ref="V136">IF(C136&lt;&gt;"",_xlfn.IFS(V$10="AT",RECORD!HC138,V$10="LECTURE",BF136,TRUE(),""),"")</x:f>
      </x:c>
      <x:c r="W136" s="106" t="str">
        <x:f t="shared" si="34"/>
      </x:c>
      <x:c r="X136" s="107" t="str">
        <x:f t="array" ref="X136">IF(C136&lt;&gt;"",_xlfn.IFS(X$10="EXAM",RECORD!HD138,X$10="OUTPUT",RECORD!HE138,X$10="LAB",CF136,TRUE(),""),"")</x:f>
      </x:c>
      <x:c r="Y136" s="106" t="str">
        <x:f t="shared" si="35"/>
      </x:c>
      <x:c r="Z136" s="108" t="str">
        <x:f t="shared" si="36"/>
      </x:c>
      <x:c r="AA136" s="109" t="str">
        <x:f t="shared" si="37"/>
      </x:c>
      <x:c r="AB136" s="111" t="str">
        <x:f t="shared" si="38"/>
      </x:c>
      <x:c r="AC136" s="109" t="str">
        <x:f t="shared" si="39"/>
      </x:c>
      <x:c r="AD136" s="112"/>
      <x:c r="AE136" s="102"/>
      <x:c r="AF136" s="113"/>
      <x:c r="AG136" s="112"/>
      <x:c r="AH136" s="103"/>
      <x:c r="AI136" s="114"/>
      <x:c r="AJ136" s="102"/>
      <x:c r="AK136" s="102"/>
      <x:c r="AL136" s="102"/>
      <x:c r="AM136" s="102"/>
      <x:c r="AN136" s="102"/>
      <x:c r="AO136" s="102"/>
      <x:c r="AP136" s="102"/>
      <x:c r="AQ136" s="109" t="str">
        <x:f t="shared" si="40"/>
        <x:v>FAILED</x:v>
      </x:c>
      <x:c r="AR136" s="115"/>
      <x:c r="AS136" s="115"/>
      <x:c r="AT136" s="107"/>
      <x:c r="AU136" s="107"/>
      <x:c r="AV136" s="107"/>
      <x:c r="AW136" s="107"/>
      <x:c r="AX136" s="107"/>
      <x:c r="AY136" s="109" t="str">
        <x:f t="shared" si="41"/>
        <x:v>FAILED</x:v>
      </x:c>
      <x:c r="AZ136" s="115"/>
      <x:c r="BA136" s="115"/>
      <x:c r="BB136" s="107"/>
      <x:c r="BC136" s="107"/>
      <x:c r="BD136" s="107"/>
      <x:c r="BE136" s="107"/>
      <x:c r="BF136" s="107"/>
      <x:c r="BG136" s="109" t="str">
        <x:f t="shared" si="42"/>
        <x:v>FAILED</x:v>
      </x:c>
      <x:c r="BH136" s="117"/>
      <x:c r="BI136" s="102"/>
      <x:c r="BJ136" s="102"/>
      <x:c r="BK136" s="102"/>
      <x:c r="BL136" s="102"/>
      <x:c r="BM136" s="102"/>
      <x:c r="BN136" s="102"/>
      <x:c r="BO136" s="102"/>
      <x:c r="BP136" s="102"/>
      <x:c r="BQ136" s="109" t="str">
        <x:f t="shared" si="43"/>
        <x:v>FAILED</x:v>
      </x:c>
      <x:c r="BR136" s="115"/>
      <x:c r="BS136" s="115"/>
      <x:c r="BT136" s="107"/>
      <x:c r="BU136" s="107"/>
      <x:c r="BV136" s="107"/>
      <x:c r="BW136" s="107"/>
      <x:c r="BX136" s="107"/>
      <x:c r="BY136" s="109" t="str">
        <x:f t="shared" si="44"/>
        <x:v>FAILED</x:v>
      </x:c>
      <x:c r="BZ136" s="115"/>
      <x:c r="CA136" s="115"/>
      <x:c r="CB136" s="107"/>
      <x:c r="CC136" s="107"/>
      <x:c r="CD136" s="107"/>
      <x:c r="CE136" s="107"/>
      <x:c r="CF136" s="107"/>
      <x:c r="CG136" s="109" t="str">
        <x:f t="shared" si="45"/>
        <x:v>FAILED</x:v>
      </x:c>
      <x:c r="CH136" s="117"/>
    </x:row>
    <x:row r="137">
      <x:c r="A137" s="102" t="str">
        <x:f>IF(RECORD!A139="","",RECORD!A139)</x:f>
      </x:c>
      <x:c r="B137" s="102" t="str">
        <x:f>IF(RECORD!B139="","",RECORD!B139)</x:f>
      </x:c>
      <x:c r="C137" s="103" t="str">
        <x:f>IF(RECORD!C139="","",RECORD!C139)</x:f>
      </x:c>
      <x:c r="D137" s="104" t="str">
        <x:f t="array" ref="D137">IF(C137&lt;&gt;"",IF(F$7="SUMMER","N/A",_xlfn.IFS(D$10="TLA",RECORD!GO139,F$10="LECTURE","",TRUE(),"")),"")</x:f>
      </x:c>
      <x:c r="E137" s="105" t="str">
        <x:f t="shared" si="23"/>
      </x:c>
      <x:c r="F137" s="104" t="str">
        <x:f t="array" ref="F137">IF(C137&lt;&gt;"",IF(F$7="SUMMER","N/A",_xlfn.IFS(F$10="AT",RECORD!GI139,F$10="LECTURE",GRADES!AP137,TRUE(),"")),"")</x:f>
      </x:c>
      <x:c r="G137" s="106" t="str">
        <x:f t="shared" si="24"/>
      </x:c>
      <x:c r="H137" s="107" t="str">
        <x:f t="array" ref="H137">IF(C137&lt;&gt;"",IF(F$7="SUMMER","N/A",_xlfn.IFS(H$10="EXAM",RECORD!GJ139,H$10="OUTPUT",RECORD!GK139,H$10="LAB",BP137,TRUE(),"")),"")</x:f>
      </x:c>
      <x:c r="I137" s="106" t="str">
        <x:f t="shared" si="25"/>
      </x:c>
      <x:c r="J137" s="108" t="str">
        <x:f t="shared" si="26"/>
      </x:c>
      <x:c r="K137" s="109" t="str">
        <x:f t="shared" si="27"/>
      </x:c>
      <x:c r="L137" s="110" t="str">
        <x:f t="array" ref="L137">IF(C137&lt;&gt;"",_xlfn.IFS(L$10="TLA",RECORD!GY139,N$10="LECTURE","",TRUE(),""),"")</x:f>
      </x:c>
      <x:c r="M137" s="105" t="str">
        <x:f t="shared" si="28"/>
      </x:c>
      <x:c r="N137" s="104" t="str">
        <x:f t="array" ref="N137">IF(C137&lt;&gt;"",_xlfn.IFS(N$10="AT",RECORD!GS139,N$10="LECTURE",AX137,TRUE(),""),"")</x:f>
      </x:c>
      <x:c r="O137" s="106" t="str">
        <x:f t="shared" si="29"/>
      </x:c>
      <x:c r="P137" s="107" t="str">
        <x:f t="array" ref="P137">IF(C137&lt;&gt;"",_xlfn.IFS(P$10="EXAM",RECORD!GT139,P$10="OUTPUT",RECORD!GU139,P$10="LAB",BX137,TRUE(),""),"")</x:f>
      </x:c>
      <x:c r="Q137" s="106" t="str">
        <x:f t="shared" si="30"/>
      </x:c>
      <x:c r="R137" s="108" t="str">
        <x:f t="shared" si="31"/>
      </x:c>
      <x:c r="S137" s="109" t="str">
        <x:f t="shared" si="32"/>
      </x:c>
      <x:c r="T137" s="110" t="str">
        <x:f t="array" ref="T137">IF(C137&lt;&gt;"",_xlfn.IFS(T$10="TLA",RECORD!HI139,V$10="LECTURE","",TRUE(),""),"")</x:f>
      </x:c>
      <x:c r="U137" s="105" t="str">
        <x:f t="shared" si="33"/>
      </x:c>
      <x:c r="V137" s="104" t="str">
        <x:f t="array" ref="V137">IF(C137&lt;&gt;"",_xlfn.IFS(V$10="AT",RECORD!HC139,V$10="LECTURE",BF137,TRUE(),""),"")</x:f>
      </x:c>
      <x:c r="W137" s="106" t="str">
        <x:f t="shared" si="34"/>
      </x:c>
      <x:c r="X137" s="107" t="str">
        <x:f t="array" ref="X137">IF(C137&lt;&gt;"",_xlfn.IFS(X$10="EXAM",RECORD!HD139,X$10="OUTPUT",RECORD!HE139,X$10="LAB",CF137,TRUE(),""),"")</x:f>
      </x:c>
      <x:c r="Y137" s="106" t="str">
        <x:f t="shared" si="35"/>
      </x:c>
      <x:c r="Z137" s="108" t="str">
        <x:f t="shared" si="36"/>
      </x:c>
      <x:c r="AA137" s="109" t="str">
        <x:f t="shared" si="37"/>
      </x:c>
      <x:c r="AB137" s="111" t="str">
        <x:f t="shared" si="38"/>
      </x:c>
      <x:c r="AC137" s="109" t="str">
        <x:f t="shared" si="39"/>
      </x:c>
      <x:c r="AD137" s="112"/>
      <x:c r="AE137" s="102"/>
      <x:c r="AF137" s="113"/>
      <x:c r="AG137" s="112"/>
      <x:c r="AH137" s="103"/>
      <x:c r="AI137" s="114"/>
      <x:c r="AJ137" s="102"/>
      <x:c r="AK137" s="102"/>
      <x:c r="AL137" s="102"/>
      <x:c r="AM137" s="102"/>
      <x:c r="AN137" s="102"/>
      <x:c r="AO137" s="102"/>
      <x:c r="AP137" s="102"/>
      <x:c r="AQ137" s="109" t="str">
        <x:f t="shared" si="40"/>
        <x:v>FAILED</x:v>
      </x:c>
      <x:c r="AR137" s="115"/>
      <x:c r="AS137" s="115"/>
      <x:c r="AT137" s="107"/>
      <x:c r="AU137" s="107"/>
      <x:c r="AV137" s="107"/>
      <x:c r="AW137" s="107"/>
      <x:c r="AX137" s="107"/>
      <x:c r="AY137" s="109" t="str">
        <x:f t="shared" si="41"/>
        <x:v>FAILED</x:v>
      </x:c>
      <x:c r="AZ137" s="115"/>
      <x:c r="BA137" s="115"/>
      <x:c r="BB137" s="107"/>
      <x:c r="BC137" s="107"/>
      <x:c r="BD137" s="107"/>
      <x:c r="BE137" s="107"/>
      <x:c r="BF137" s="107"/>
      <x:c r="BG137" s="109" t="str">
        <x:f t="shared" si="42"/>
        <x:v>FAILED</x:v>
      </x:c>
      <x:c r="BH137" s="117"/>
      <x:c r="BI137" s="102"/>
      <x:c r="BJ137" s="102"/>
      <x:c r="BK137" s="102"/>
      <x:c r="BL137" s="102"/>
      <x:c r="BM137" s="102"/>
      <x:c r="BN137" s="102"/>
      <x:c r="BO137" s="102"/>
      <x:c r="BP137" s="102"/>
      <x:c r="BQ137" s="109" t="str">
        <x:f t="shared" si="43"/>
        <x:v>FAILED</x:v>
      </x:c>
      <x:c r="BR137" s="115"/>
      <x:c r="BS137" s="115"/>
      <x:c r="BT137" s="107"/>
      <x:c r="BU137" s="107"/>
      <x:c r="BV137" s="107"/>
      <x:c r="BW137" s="107"/>
      <x:c r="BX137" s="107"/>
      <x:c r="BY137" s="109" t="str">
        <x:f t="shared" si="44"/>
        <x:v>FAILED</x:v>
      </x:c>
      <x:c r="BZ137" s="115"/>
      <x:c r="CA137" s="115"/>
      <x:c r="CB137" s="107"/>
      <x:c r="CC137" s="107"/>
      <x:c r="CD137" s="107"/>
      <x:c r="CE137" s="107"/>
      <x:c r="CF137" s="107"/>
      <x:c r="CG137" s="109" t="str">
        <x:f t="shared" si="45"/>
        <x:v>FAILED</x:v>
      </x:c>
      <x:c r="CH137" s="117"/>
    </x:row>
    <x:row r="138">
      <x:c r="A138" s="102" t="str">
        <x:f>IF(RECORD!A140="","",RECORD!A140)</x:f>
      </x:c>
      <x:c r="B138" s="102" t="str">
        <x:f>IF(RECORD!B140="","",RECORD!B140)</x:f>
      </x:c>
      <x:c r="C138" s="103" t="str">
        <x:f>IF(RECORD!C140="","",RECORD!C140)</x:f>
      </x:c>
      <x:c r="D138" s="104" t="str">
        <x:f t="array" ref="D138">IF(C138&lt;&gt;"",IF(F$7="SUMMER","N/A",_xlfn.IFS(D$10="TLA",RECORD!GO140,F$10="LECTURE","",TRUE(),"")),"")</x:f>
      </x:c>
      <x:c r="E138" s="105" t="str">
        <x:f t="shared" si="23"/>
      </x:c>
      <x:c r="F138" s="104" t="str">
        <x:f t="array" ref="F138">IF(C138&lt;&gt;"",IF(F$7="SUMMER","N/A",_xlfn.IFS(F$10="AT",RECORD!GI140,F$10="LECTURE",GRADES!AP138,TRUE(),"")),"")</x:f>
      </x:c>
      <x:c r="G138" s="106" t="str">
        <x:f t="shared" si="24"/>
      </x:c>
      <x:c r="H138" s="107" t="str">
        <x:f t="array" ref="H138">IF(C138&lt;&gt;"",IF(F$7="SUMMER","N/A",_xlfn.IFS(H$10="EXAM",RECORD!GJ140,H$10="OUTPUT",RECORD!GK140,H$10="LAB",BP138,TRUE(),"")),"")</x:f>
      </x:c>
      <x:c r="I138" s="106" t="str">
        <x:f t="shared" si="25"/>
      </x:c>
      <x:c r="J138" s="108" t="str">
        <x:f t="shared" si="26"/>
      </x:c>
      <x:c r="K138" s="109" t="str">
        <x:f t="shared" si="27"/>
      </x:c>
      <x:c r="L138" s="110" t="str">
        <x:f t="array" ref="L138">IF(C138&lt;&gt;"",_xlfn.IFS(L$10="TLA",RECORD!GY140,N$10="LECTURE","",TRUE(),""),"")</x:f>
      </x:c>
      <x:c r="M138" s="105" t="str">
        <x:f t="shared" si="28"/>
      </x:c>
      <x:c r="N138" s="104" t="str">
        <x:f t="array" ref="N138">IF(C138&lt;&gt;"",_xlfn.IFS(N$10="AT",RECORD!GS140,N$10="LECTURE",AX138,TRUE(),""),"")</x:f>
      </x:c>
      <x:c r="O138" s="106" t="str">
        <x:f t="shared" si="29"/>
      </x:c>
      <x:c r="P138" s="107" t="str">
        <x:f t="array" ref="P138">IF(C138&lt;&gt;"",_xlfn.IFS(P$10="EXAM",RECORD!GT140,P$10="OUTPUT",RECORD!GU140,P$10="LAB",BX138,TRUE(),""),"")</x:f>
      </x:c>
      <x:c r="Q138" s="106" t="str">
        <x:f t="shared" si="30"/>
      </x:c>
      <x:c r="R138" s="108" t="str">
        <x:f t="shared" si="31"/>
      </x:c>
      <x:c r="S138" s="109" t="str">
        <x:f t="shared" si="32"/>
      </x:c>
      <x:c r="T138" s="110" t="str">
        <x:f t="array" ref="T138">IF(C138&lt;&gt;"",_xlfn.IFS(T$10="TLA",RECORD!HI140,V$10="LECTURE","",TRUE(),""),"")</x:f>
      </x:c>
      <x:c r="U138" s="105" t="str">
        <x:f t="shared" si="33"/>
      </x:c>
      <x:c r="V138" s="104" t="str">
        <x:f t="array" ref="V138">IF(C138&lt;&gt;"",_xlfn.IFS(V$10="AT",RECORD!HC140,V$10="LECTURE",BF138,TRUE(),""),"")</x:f>
      </x:c>
      <x:c r="W138" s="106" t="str">
        <x:f t="shared" si="34"/>
      </x:c>
      <x:c r="X138" s="107" t="str">
        <x:f t="array" ref="X138">IF(C138&lt;&gt;"",_xlfn.IFS(X$10="EXAM",RECORD!HD140,X$10="OUTPUT",RECORD!HE140,X$10="LAB",CF138,TRUE(),""),"")</x:f>
      </x:c>
      <x:c r="Y138" s="106" t="str">
        <x:f t="shared" si="35"/>
      </x:c>
      <x:c r="Z138" s="108" t="str">
        <x:f t="shared" si="36"/>
      </x:c>
      <x:c r="AA138" s="109" t="str">
        <x:f t="shared" si="37"/>
      </x:c>
      <x:c r="AB138" s="111" t="str">
        <x:f t="shared" si="38"/>
      </x:c>
      <x:c r="AC138" s="109" t="str">
        <x:f t="shared" si="39"/>
      </x:c>
      <x:c r="AD138" s="112"/>
      <x:c r="AE138" s="102"/>
      <x:c r="AF138" s="113"/>
      <x:c r="AG138" s="112"/>
      <x:c r="AH138" s="103"/>
      <x:c r="AI138" s="114"/>
      <x:c r="AJ138" s="102"/>
      <x:c r="AK138" s="102"/>
      <x:c r="AL138" s="102"/>
      <x:c r="AM138" s="102"/>
      <x:c r="AN138" s="102"/>
      <x:c r="AO138" s="102"/>
      <x:c r="AP138" s="102"/>
      <x:c r="AQ138" s="109" t="str">
        <x:f t="shared" si="40"/>
        <x:v>FAILED</x:v>
      </x:c>
      <x:c r="AR138" s="115"/>
      <x:c r="AS138" s="115"/>
      <x:c r="AT138" s="107"/>
      <x:c r="AU138" s="107"/>
      <x:c r="AV138" s="107"/>
      <x:c r="AW138" s="107"/>
      <x:c r="AX138" s="107"/>
      <x:c r="AY138" s="109" t="str">
        <x:f t="shared" si="41"/>
        <x:v>FAILED</x:v>
      </x:c>
      <x:c r="AZ138" s="115"/>
      <x:c r="BA138" s="115"/>
      <x:c r="BB138" s="107"/>
      <x:c r="BC138" s="107"/>
      <x:c r="BD138" s="107"/>
      <x:c r="BE138" s="107"/>
      <x:c r="BF138" s="107"/>
      <x:c r="BG138" s="109" t="str">
        <x:f t="shared" si="42"/>
        <x:v>FAILED</x:v>
      </x:c>
      <x:c r="BH138" s="117"/>
      <x:c r="BI138" s="102"/>
      <x:c r="BJ138" s="102"/>
      <x:c r="BK138" s="102"/>
      <x:c r="BL138" s="102"/>
      <x:c r="BM138" s="102"/>
      <x:c r="BN138" s="102"/>
      <x:c r="BO138" s="102"/>
      <x:c r="BP138" s="102"/>
      <x:c r="BQ138" s="109" t="str">
        <x:f t="shared" si="43"/>
        <x:v>FAILED</x:v>
      </x:c>
      <x:c r="BR138" s="115"/>
      <x:c r="BS138" s="115"/>
      <x:c r="BT138" s="107"/>
      <x:c r="BU138" s="107"/>
      <x:c r="BV138" s="107"/>
      <x:c r="BW138" s="107"/>
      <x:c r="BX138" s="107"/>
      <x:c r="BY138" s="109" t="str">
        <x:f t="shared" si="44"/>
        <x:v>FAILED</x:v>
      </x:c>
      <x:c r="BZ138" s="115"/>
      <x:c r="CA138" s="115"/>
      <x:c r="CB138" s="107"/>
      <x:c r="CC138" s="107"/>
      <x:c r="CD138" s="107"/>
      <x:c r="CE138" s="107"/>
      <x:c r="CF138" s="107"/>
      <x:c r="CG138" s="109" t="str">
        <x:f t="shared" si="45"/>
        <x:v>FAILED</x:v>
      </x:c>
      <x:c r="CH138" s="117"/>
    </x:row>
    <x:row r="139">
      <x:c r="A139" s="102" t="str">
        <x:f>IF(RECORD!A141="","",RECORD!A141)</x:f>
      </x:c>
      <x:c r="B139" s="102" t="str">
        <x:f>IF(RECORD!B141="","",RECORD!B141)</x:f>
      </x:c>
      <x:c r="C139" s="103" t="str">
        <x:f>IF(RECORD!C141="","",RECORD!C141)</x:f>
      </x:c>
      <x:c r="D139" s="104" t="str">
        <x:f t="array" ref="D139">IF(C139&lt;&gt;"",IF(F$7="SUMMER","N/A",_xlfn.IFS(D$10="TLA",RECORD!GO141,F$10="LECTURE","",TRUE(),"")),"")</x:f>
      </x:c>
      <x:c r="E139" s="105" t="str">
        <x:f t="shared" si="23"/>
      </x:c>
      <x:c r="F139" s="104" t="str">
        <x:f t="array" ref="F139">IF(C139&lt;&gt;"",IF(F$7="SUMMER","N/A",_xlfn.IFS(F$10="AT",RECORD!GI141,F$10="LECTURE",GRADES!AP139,TRUE(),"")),"")</x:f>
      </x:c>
      <x:c r="G139" s="106" t="str">
        <x:f t="shared" si="24"/>
      </x:c>
      <x:c r="H139" s="107" t="str">
        <x:f t="array" ref="H139">IF(C139&lt;&gt;"",IF(F$7="SUMMER","N/A",_xlfn.IFS(H$10="EXAM",RECORD!GJ141,H$10="OUTPUT",RECORD!GK141,H$10="LAB",BP139,TRUE(),"")),"")</x:f>
      </x:c>
      <x:c r="I139" s="106" t="str">
        <x:f t="shared" si="25"/>
      </x:c>
      <x:c r="J139" s="108" t="str">
        <x:f t="shared" si="26"/>
      </x:c>
      <x:c r="K139" s="109" t="str">
        <x:f t="shared" si="27"/>
      </x:c>
      <x:c r="L139" s="110" t="str">
        <x:f t="array" ref="L139">IF(C139&lt;&gt;"",_xlfn.IFS(L$10="TLA",RECORD!GY141,N$10="LECTURE","",TRUE(),""),"")</x:f>
      </x:c>
      <x:c r="M139" s="105" t="str">
        <x:f t="shared" si="28"/>
      </x:c>
      <x:c r="N139" s="104" t="str">
        <x:f t="array" ref="N139">IF(C139&lt;&gt;"",_xlfn.IFS(N$10="AT",RECORD!GS141,N$10="LECTURE",AX139,TRUE(),""),"")</x:f>
      </x:c>
      <x:c r="O139" s="106" t="str">
        <x:f t="shared" si="29"/>
      </x:c>
      <x:c r="P139" s="107" t="str">
        <x:f t="array" ref="P139">IF(C139&lt;&gt;"",_xlfn.IFS(P$10="EXAM",RECORD!GT141,P$10="OUTPUT",RECORD!GU141,P$10="LAB",BX139,TRUE(),""),"")</x:f>
      </x:c>
      <x:c r="Q139" s="106" t="str">
        <x:f t="shared" si="30"/>
      </x:c>
      <x:c r="R139" s="108" t="str">
        <x:f t="shared" si="31"/>
      </x:c>
      <x:c r="S139" s="109" t="str">
        <x:f t="shared" si="32"/>
      </x:c>
      <x:c r="T139" s="110" t="str">
        <x:f t="array" ref="T139">IF(C139&lt;&gt;"",_xlfn.IFS(T$10="TLA",RECORD!HI141,V$10="LECTURE","",TRUE(),""),"")</x:f>
      </x:c>
      <x:c r="U139" s="105" t="str">
        <x:f t="shared" si="33"/>
      </x:c>
      <x:c r="V139" s="104" t="str">
        <x:f t="array" ref="V139">IF(C139&lt;&gt;"",_xlfn.IFS(V$10="AT",RECORD!HC141,V$10="LECTURE",BF139,TRUE(),""),"")</x:f>
      </x:c>
      <x:c r="W139" s="106" t="str">
        <x:f t="shared" si="34"/>
      </x:c>
      <x:c r="X139" s="107" t="str">
        <x:f t="array" ref="X139">IF(C139&lt;&gt;"",_xlfn.IFS(X$10="EXAM",RECORD!HD141,X$10="OUTPUT",RECORD!HE141,X$10="LAB",CF139,TRUE(),""),"")</x:f>
      </x:c>
      <x:c r="Y139" s="106" t="str">
        <x:f t="shared" si="35"/>
      </x:c>
      <x:c r="Z139" s="108" t="str">
        <x:f t="shared" si="36"/>
      </x:c>
      <x:c r="AA139" s="109" t="str">
        <x:f t="shared" si="37"/>
      </x:c>
      <x:c r="AB139" s="111" t="str">
        <x:f t="shared" si="38"/>
      </x:c>
      <x:c r="AC139" s="109" t="str">
        <x:f t="shared" si="39"/>
      </x:c>
      <x:c r="AD139" s="112"/>
      <x:c r="AE139" s="102"/>
      <x:c r="AF139" s="113"/>
      <x:c r="AG139" s="112"/>
      <x:c r="AH139" s="103"/>
      <x:c r="AI139" s="114"/>
      <x:c r="AJ139" s="102"/>
      <x:c r="AK139" s="102"/>
      <x:c r="AL139" s="102"/>
      <x:c r="AM139" s="102"/>
      <x:c r="AN139" s="102"/>
      <x:c r="AO139" s="102"/>
      <x:c r="AP139" s="102"/>
      <x:c r="AQ139" s="109" t="str">
        <x:f t="shared" si="40"/>
        <x:v>FAILED</x:v>
      </x:c>
      <x:c r="AR139" s="115"/>
      <x:c r="AS139" s="115"/>
      <x:c r="AT139" s="107"/>
      <x:c r="AU139" s="107"/>
      <x:c r="AV139" s="107"/>
      <x:c r="AW139" s="107"/>
      <x:c r="AX139" s="107"/>
      <x:c r="AY139" s="109" t="str">
        <x:f t="shared" si="41"/>
        <x:v>FAILED</x:v>
      </x:c>
      <x:c r="AZ139" s="115"/>
      <x:c r="BA139" s="115"/>
      <x:c r="BB139" s="107"/>
      <x:c r="BC139" s="107"/>
      <x:c r="BD139" s="107"/>
      <x:c r="BE139" s="107"/>
      <x:c r="BF139" s="107"/>
      <x:c r="BG139" s="109" t="str">
        <x:f t="shared" si="42"/>
        <x:v>FAILED</x:v>
      </x:c>
      <x:c r="BH139" s="117"/>
      <x:c r="BI139" s="102"/>
      <x:c r="BJ139" s="102"/>
      <x:c r="BK139" s="102"/>
      <x:c r="BL139" s="102"/>
      <x:c r="BM139" s="102"/>
      <x:c r="BN139" s="102"/>
      <x:c r="BO139" s="102"/>
      <x:c r="BP139" s="102"/>
      <x:c r="BQ139" s="109" t="str">
        <x:f t="shared" si="43"/>
        <x:v>FAILED</x:v>
      </x:c>
      <x:c r="BR139" s="115"/>
      <x:c r="BS139" s="115"/>
      <x:c r="BT139" s="107"/>
      <x:c r="BU139" s="107"/>
      <x:c r="BV139" s="107"/>
      <x:c r="BW139" s="107"/>
      <x:c r="BX139" s="107"/>
      <x:c r="BY139" s="109" t="str">
        <x:f t="shared" si="44"/>
        <x:v>FAILED</x:v>
      </x:c>
      <x:c r="BZ139" s="115"/>
      <x:c r="CA139" s="115"/>
      <x:c r="CB139" s="107"/>
      <x:c r="CC139" s="107"/>
      <x:c r="CD139" s="107"/>
      <x:c r="CE139" s="107"/>
      <x:c r="CF139" s="107"/>
      <x:c r="CG139" s="109" t="str">
        <x:f t="shared" si="45"/>
        <x:v>FAILED</x:v>
      </x:c>
      <x:c r="CH139" s="117"/>
    </x:row>
    <x:row r="140">
      <x:c r="A140" s="102" t="str">
        <x:f>IF(RECORD!A142="","",RECORD!A142)</x:f>
      </x:c>
      <x:c r="B140" s="102" t="str">
        <x:f>IF(RECORD!B142="","",RECORD!B142)</x:f>
      </x:c>
      <x:c r="C140" s="103" t="str">
        <x:f>IF(RECORD!C142="","",RECORD!C142)</x:f>
      </x:c>
      <x:c r="D140" s="104" t="str">
        <x:f t="array" ref="D140">IF(C140&lt;&gt;"",IF(F$7="SUMMER","N/A",_xlfn.IFS(D$10="TLA",RECORD!GO142,F$10="LECTURE","",TRUE(),"")),"")</x:f>
      </x:c>
      <x:c r="E140" s="105" t="str">
        <x:f t="shared" ref="E140:E203" si="46">IF(C140&lt;&gt;"",IFERROR((((((D140/D$11)*F$6)+G$6)*E$11)/100),""),"")</x:f>
      </x:c>
      <x:c r="F140" s="104" t="str">
        <x:f t="array" ref="F140">IF(C140&lt;&gt;"",IF(F$7="SUMMER","N/A",_xlfn.IFS(F$10="AT",RECORD!GI142,F$10="LECTURE",GRADES!AP140,TRUE(),"")),"")</x:f>
      </x:c>
      <x:c r="G140" s="106" t="str">
        <x:f t="shared" ref="G140:G203" si="47">IF(C140&lt;&gt;"",IFERROR((((((F140/F$11)*F$6)+G$6)*G$11)/100),""),"")</x:f>
      </x:c>
      <x:c r="H140" s="107" t="str">
        <x:f t="array" ref="H140">IF(C140&lt;&gt;"",IF(F$7="SUMMER","N/A",_xlfn.IFS(H$10="EXAM",RECORD!GJ142,H$10="OUTPUT",RECORD!GK142,H$10="LAB",BP140,TRUE(),"")),"")</x:f>
      </x:c>
      <x:c r="I140" s="106" t="str">
        <x:f t="shared" ref="I140:I203" si="48">IF(C140&lt;&gt;"",IFERROR((((((H140/H$11)*F$6)+G$6)*I$11)/100),""),"")</x:f>
      </x:c>
      <x:c r="J140" s="108" t="str">
        <x:f t="shared" ref="J140:J203" si="49">IF(C140&lt;&gt;"",IFERROR(IF(F$7="SUMMER", "N/A", SUM(E140,G140,I140)),""),"")</x:f>
      </x:c>
      <x:c r="K140" s="109" t="str">
        <x:f t="shared" ref="K140:K203" si="50">IF(C140&lt;&gt;"",IF(F135="SUMMER","N/A", IF(J140&gt;74,"PASSED","FAILED")),"")</x:f>
      </x:c>
      <x:c r="L140" s="110" t="str">
        <x:f t="array" ref="L140">IF(C140&lt;&gt;"",_xlfn.IFS(L$10="TLA",RECORD!GY142,N$10="LECTURE","",TRUE(),""),"")</x:f>
      </x:c>
      <x:c r="M140" s="105" t="str">
        <x:f t="shared" ref="M140:M203" si="51">IF(C140&lt;&gt;"",IFERROR((((((L140/L$11)*F$6)+G$6)*M$11)/100),""),"")</x:f>
      </x:c>
      <x:c r="N140" s="104" t="str">
        <x:f t="array" ref="N140">IF(C140&lt;&gt;"",_xlfn.IFS(N$10="AT",RECORD!GS142,N$10="LECTURE",AX140,TRUE(),""),"")</x:f>
      </x:c>
      <x:c r="O140" s="106" t="str">
        <x:f t="shared" ref="O140:O203" si="52">IF(C140&lt;&gt;"",IFERROR((((((N140/N$11)*F$6)+G$6)*O$11)/100),""),"")</x:f>
      </x:c>
      <x:c r="P140" s="107" t="str">
        <x:f t="array" ref="P140">IF(C140&lt;&gt;"",_xlfn.IFS(P$10="EXAM",RECORD!GT142,P$10="OUTPUT",RECORD!GU142,P$10="LAB",BX140,TRUE(),""),"")</x:f>
      </x:c>
      <x:c r="Q140" s="106" t="str">
        <x:f t="shared" ref="Q140:Q203" si="53">IF(C140&lt;&gt;"",IFERROR((((((P140/P$11)*F$6)+G$6)*Q$11)/100),""),"")</x:f>
      </x:c>
      <x:c r="R140" s="108" t="str">
        <x:f t="shared" ref="R140:R203" si="54">IF(C140&lt;&gt;"",IFERROR(IF(F$7="SUMMER", "N/A", SUM(M140,O140,Q140)),""),"")</x:f>
      </x:c>
      <x:c r="S140" s="109" t="str">
        <x:f t="shared" ref="S140:S203" si="55">IF(C140&lt;&gt;"",IF(R140&gt;74,"PASSED","FAILED"),"")</x:f>
      </x:c>
      <x:c r="T140" s="110" t="str">
        <x:f t="array" ref="T140">IF(C140&lt;&gt;"",_xlfn.IFS(T$10="TLA",RECORD!HI142,V$10="LECTURE","",TRUE(),""),"")</x:f>
      </x:c>
      <x:c r="U140" s="105" t="str">
        <x:f t="shared" ref="U140:U203" si="56">IF(C140&lt;&gt;"",IFERROR((((((T140/T$11)*F$6)+G$6)*U$11)/100),""),"")</x:f>
      </x:c>
      <x:c r="V140" s="104" t="str">
        <x:f t="array" ref="V140">IF(C140&lt;&gt;"",_xlfn.IFS(V$10="AT",RECORD!HC142,V$10="LECTURE",BF140,TRUE(),""),"")</x:f>
      </x:c>
      <x:c r="W140" s="106" t="str">
        <x:f t="shared" ref="W140:W203" si="57">IF(C140&lt;&gt;"",IFERROR((((((V140/V$11)*F$6)+G$6)*W$11)/100),""),"")</x:f>
      </x:c>
      <x:c r="X140" s="107" t="str">
        <x:f t="array" ref="X140">IF(C140&lt;&gt;"",_xlfn.IFS(X$10="EXAM",RECORD!HD142,X$10="OUTPUT",RECORD!HE142,X$10="LAB",CF140,TRUE(),""),"")</x:f>
      </x:c>
      <x:c r="Y140" s="106" t="str">
        <x:f t="shared" ref="Y140:Y203" si="58">IF(C140&lt;&gt;"",IFERROR((((((X140/X$11)*F$6)+G$6)*Y$11)/100),""),"")</x:f>
      </x:c>
      <x:c r="Z140" s="108" t="str">
        <x:f t="shared" ref="Z140:Z203" si="59">IF(C140&lt;&gt;"",IFERROR(IF(N$7="SUMMER", "N/A", SUM(U140,W140,Y140)),""),"")</x:f>
      </x:c>
      <x:c r="AA140" s="109" t="str">
        <x:f t="shared" ref="AA140:AA203" si="60">IF(C140&lt;&gt;"",IF(Z140&gt;74,"PASSED","FAILED"),"")</x:f>
      </x:c>
      <x:c r="AB140" s="111" t="n">
        <x:f t="shared" ref="AB140:AB203" si="61">IFERROR(IF(F$7="SUMMER", ((R140+Z140)/2), (J140+R140+Z140)/3),"")</x:f>
        <x:v>0</x:v>
      </x:c>
      <x:c r="AC140" s="109" t="str">
        <x:f t="shared" ref="AC140:AC203" si="62">IF(C140&lt;&gt;"",IF(AB140&gt;74,"PASSED","FAILED"),"")</x:f>
      </x:c>
      <x:c r="AD140" s="112"/>
      <x:c r="AE140" s="102"/>
      <x:c r="AF140" s="113"/>
      <x:c r="AG140" s="112"/>
      <x:c r="AH140" s="103"/>
      <x:c r="AI140" s="114"/>
      <x:c r="AJ140" s="102"/>
      <x:c r="AK140" s="102"/>
      <x:c r="AL140" s="102"/>
      <x:c r="AM140" s="102"/>
      <x:c r="AN140" s="102"/>
      <x:c r="AO140" s="102"/>
      <x:c r="AP140" s="102"/>
      <x:c r="AQ140" s="109" t="str">
        <x:f t="shared" ref="AQ140:AQ203" si="63">IF(AP140&gt;74,"PASSED","FAILED")</x:f>
        <x:v>FAILED</x:v>
      </x:c>
      <x:c r="AR140" s="115"/>
      <x:c r="AS140" s="115"/>
      <x:c r="AT140" s="107"/>
      <x:c r="AU140" s="107"/>
      <x:c r="AV140" s="107"/>
      <x:c r="AW140" s="107"/>
      <x:c r="AX140" s="107"/>
      <x:c r="AY140" s="109" t="str">
        <x:f t="shared" ref="AY140:AY203" si="64">IF(AX140&gt;74,"PASSED","FAILED")</x:f>
        <x:v>FAILED</x:v>
      </x:c>
      <x:c r="AZ140" s="115"/>
      <x:c r="BA140" s="115"/>
      <x:c r="BB140" s="107"/>
      <x:c r="BC140" s="107"/>
      <x:c r="BD140" s="107"/>
      <x:c r="BE140" s="107"/>
      <x:c r="BF140" s="107"/>
      <x:c r="BG140" s="109" t="str">
        <x:f t="shared" ref="BG140:BG203" si="65">IF(BF140&gt;74,"PASSED","FAILED")</x:f>
        <x:v>FAILED</x:v>
      </x:c>
      <x:c r="BH140" s="117"/>
      <x:c r="BI140" s="102"/>
      <x:c r="BJ140" s="102"/>
      <x:c r="BK140" s="102"/>
      <x:c r="BL140" s="102"/>
      <x:c r="BM140" s="102"/>
      <x:c r="BN140" s="102"/>
      <x:c r="BO140" s="102"/>
      <x:c r="BP140" s="102"/>
      <x:c r="BQ140" s="109" t="str">
        <x:f t="shared" ref="BQ140:BQ203" si="66">IF(BP140&gt;74,"PASSED","FAILED")</x:f>
        <x:v>FAILED</x:v>
      </x:c>
      <x:c r="BR140" s="115"/>
      <x:c r="BS140" s="115"/>
      <x:c r="BT140" s="107"/>
      <x:c r="BU140" s="107"/>
      <x:c r="BV140" s="107"/>
      <x:c r="BW140" s="107"/>
      <x:c r="BX140" s="107"/>
      <x:c r="BY140" s="109" t="str">
        <x:f t="shared" ref="BY140:BY203" si="67">IF(BX140&gt;74,"PASSED","FAILED")</x:f>
        <x:v>FAILED</x:v>
      </x:c>
      <x:c r="BZ140" s="115"/>
      <x:c r="CA140" s="115"/>
      <x:c r="CB140" s="107"/>
      <x:c r="CC140" s="107"/>
      <x:c r="CD140" s="107"/>
      <x:c r="CE140" s="107"/>
      <x:c r="CF140" s="107"/>
      <x:c r="CG140" s="109" t="str">
        <x:f t="shared" ref="CG140:CG203" si="68">IF(CF140&gt;74,"PASSED","FAILED")</x:f>
        <x:v>FAILED</x:v>
      </x:c>
      <x:c r="CH140" s="117"/>
    </x:row>
    <x:row r="141">
      <x:c r="A141" s="102" t="str">
        <x:f>IF(RECORD!A143="","",RECORD!A143)</x:f>
      </x:c>
      <x:c r="B141" s="102" t="str">
        <x:f>IF(RECORD!B143="","",RECORD!B143)</x:f>
      </x:c>
      <x:c r="C141" s="103" t="str">
        <x:f>IF(RECORD!C143="","",RECORD!C143)</x:f>
      </x:c>
      <x:c r="D141" s="104" t="str">
        <x:f t="array" ref="D141">IF(C141&lt;&gt;"",IF(F$7="SUMMER","N/A",_xlfn.IFS(D$10="TLA",RECORD!GO143,F$10="LECTURE","",TRUE(),"")),"")</x:f>
      </x:c>
      <x:c r="E141" s="105" t="str">
        <x:f t="shared" si="46"/>
      </x:c>
      <x:c r="F141" s="104" t="str">
        <x:f t="array" ref="F141">IF(C141&lt;&gt;"",IF(F$7="SUMMER","N/A",_xlfn.IFS(F$10="AT",RECORD!GI143,F$10="LECTURE",GRADES!AP141,TRUE(),"")),"")</x:f>
      </x:c>
      <x:c r="G141" s="106" t="str">
        <x:f t="shared" si="47"/>
      </x:c>
      <x:c r="H141" s="107" t="str">
        <x:f t="array" ref="H141">IF(C141&lt;&gt;"",IF(F$7="SUMMER","N/A",_xlfn.IFS(H$10="EXAM",RECORD!GJ143,H$10="OUTPUT",RECORD!GK143,H$10="LAB",BP141,TRUE(),"")),"")</x:f>
      </x:c>
      <x:c r="I141" s="106" t="str">
        <x:f t="shared" si="48"/>
      </x:c>
      <x:c r="J141" s="108" t="str">
        <x:f t="shared" si="49"/>
      </x:c>
      <x:c r="K141" s="109" t="str">
        <x:f t="shared" si="50"/>
      </x:c>
      <x:c r="L141" s="110" t="str">
        <x:f t="array" ref="L141">IF(C141&lt;&gt;"",_xlfn.IFS(L$10="TLA",RECORD!GY143,N$10="LECTURE","",TRUE(),""),"")</x:f>
      </x:c>
      <x:c r="M141" s="105" t="str">
        <x:f t="shared" si="51"/>
      </x:c>
      <x:c r="N141" s="104" t="str">
        <x:f t="array" ref="N141">IF(C141&lt;&gt;"",_xlfn.IFS(N$10="AT",RECORD!GS143,N$10="LECTURE",AX141,TRUE(),""),"")</x:f>
      </x:c>
      <x:c r="O141" s="106" t="str">
        <x:f t="shared" si="52"/>
      </x:c>
      <x:c r="P141" s="107" t="str">
        <x:f t="array" ref="P141">IF(C141&lt;&gt;"",_xlfn.IFS(P$10="EXAM",RECORD!GT143,P$10="OUTPUT",RECORD!GU143,P$10="LAB",BX141,TRUE(),""),"")</x:f>
      </x:c>
      <x:c r="Q141" s="106" t="str">
        <x:f t="shared" si="53"/>
      </x:c>
      <x:c r="R141" s="108" t="str">
        <x:f t="shared" si="54"/>
      </x:c>
      <x:c r="S141" s="109" t="str">
        <x:f t="shared" si="55"/>
      </x:c>
      <x:c r="T141" s="110" t="str">
        <x:f t="array" ref="T141">IF(C141&lt;&gt;"",_xlfn.IFS(T$10="TLA",RECORD!HI143,V$10="LECTURE","",TRUE(),""),"")</x:f>
      </x:c>
      <x:c r="U141" s="105" t="str">
        <x:f t="shared" si="56"/>
      </x:c>
      <x:c r="V141" s="104" t="str">
        <x:f t="array" ref="V141">IF(C141&lt;&gt;"",_xlfn.IFS(V$10="AT",RECORD!HC143,V$10="LECTURE",BF141,TRUE(),""),"")</x:f>
      </x:c>
      <x:c r="W141" s="106" t="str">
        <x:f t="shared" si="57"/>
      </x:c>
      <x:c r="X141" s="107" t="str">
        <x:f t="array" ref="X141">IF(C141&lt;&gt;"",_xlfn.IFS(X$10="EXAM",RECORD!HD143,X$10="OUTPUT",RECORD!HE143,X$10="LAB",CF141,TRUE(),""),"")</x:f>
      </x:c>
      <x:c r="Y141" s="106" t="str">
        <x:f t="shared" si="58"/>
      </x:c>
      <x:c r="Z141" s="108" t="str">
        <x:f t="shared" si="59"/>
      </x:c>
      <x:c r="AA141" s="109" t="str">
        <x:f t="shared" si="60"/>
      </x:c>
      <x:c r="AB141" s="111" t="str">
        <x:f t="shared" si="61"/>
      </x:c>
      <x:c r="AC141" s="109" t="str">
        <x:f t="shared" si="62"/>
      </x:c>
      <x:c r="AD141" s="112"/>
      <x:c r="AE141" s="102"/>
      <x:c r="AF141" s="113"/>
      <x:c r="AG141" s="112"/>
      <x:c r="AH141" s="103"/>
      <x:c r="AI141" s="114"/>
      <x:c r="AJ141" s="102"/>
      <x:c r="AK141" s="102"/>
      <x:c r="AL141" s="102"/>
      <x:c r="AM141" s="102"/>
      <x:c r="AN141" s="102"/>
      <x:c r="AO141" s="102"/>
      <x:c r="AP141" s="102"/>
      <x:c r="AQ141" s="109" t="str">
        <x:f t="shared" si="63"/>
        <x:v>FAILED</x:v>
      </x:c>
      <x:c r="AR141" s="115"/>
      <x:c r="AS141" s="115"/>
      <x:c r="AT141" s="107"/>
      <x:c r="AU141" s="107"/>
      <x:c r="AV141" s="107"/>
      <x:c r="AW141" s="107"/>
      <x:c r="AX141" s="107"/>
      <x:c r="AY141" s="109" t="str">
        <x:f t="shared" si="64"/>
        <x:v>FAILED</x:v>
      </x:c>
      <x:c r="AZ141" s="115"/>
      <x:c r="BA141" s="115"/>
      <x:c r="BB141" s="107"/>
      <x:c r="BC141" s="107"/>
      <x:c r="BD141" s="107"/>
      <x:c r="BE141" s="107"/>
      <x:c r="BF141" s="107"/>
      <x:c r="BG141" s="109" t="str">
        <x:f t="shared" si="65"/>
        <x:v>FAILED</x:v>
      </x:c>
      <x:c r="BH141" s="117"/>
      <x:c r="BI141" s="102"/>
      <x:c r="BJ141" s="102"/>
      <x:c r="BK141" s="102"/>
      <x:c r="BL141" s="102"/>
      <x:c r="BM141" s="102"/>
      <x:c r="BN141" s="102"/>
      <x:c r="BO141" s="102"/>
      <x:c r="BP141" s="102"/>
      <x:c r="BQ141" s="109" t="str">
        <x:f t="shared" si="66"/>
        <x:v>FAILED</x:v>
      </x:c>
      <x:c r="BR141" s="115"/>
      <x:c r="BS141" s="115"/>
      <x:c r="BT141" s="107"/>
      <x:c r="BU141" s="107"/>
      <x:c r="BV141" s="107"/>
      <x:c r="BW141" s="107"/>
      <x:c r="BX141" s="107"/>
      <x:c r="BY141" s="109" t="str">
        <x:f t="shared" si="67"/>
        <x:v>FAILED</x:v>
      </x:c>
      <x:c r="BZ141" s="115"/>
      <x:c r="CA141" s="115"/>
      <x:c r="CB141" s="107"/>
      <x:c r="CC141" s="107"/>
      <x:c r="CD141" s="107"/>
      <x:c r="CE141" s="107"/>
      <x:c r="CF141" s="107"/>
      <x:c r="CG141" s="109" t="str">
        <x:f t="shared" si="68"/>
        <x:v>FAILED</x:v>
      </x:c>
      <x:c r="CH141" s="117"/>
    </x:row>
    <x:row r="142">
      <x:c r="A142" s="102" t="str">
        <x:f>IF(RECORD!A144="","",RECORD!A144)</x:f>
      </x:c>
      <x:c r="B142" s="102" t="str">
        <x:f>IF(RECORD!B144="","",RECORD!B144)</x:f>
      </x:c>
      <x:c r="C142" s="103" t="str">
        <x:f>IF(RECORD!C144="","",RECORD!C144)</x:f>
      </x:c>
      <x:c r="D142" s="104" t="str">
        <x:f t="array" ref="D142">IF(C142&lt;&gt;"",IF(F$7="SUMMER","N/A",_xlfn.IFS(D$10="TLA",RECORD!GO144,F$10="LECTURE","",TRUE(),"")),"")</x:f>
      </x:c>
      <x:c r="E142" s="105" t="str">
        <x:f t="shared" si="46"/>
      </x:c>
      <x:c r="F142" s="104" t="str">
        <x:f t="array" ref="F142">IF(C142&lt;&gt;"",IF(F$7="SUMMER","N/A",_xlfn.IFS(F$10="AT",RECORD!GI144,F$10="LECTURE",GRADES!AP142,TRUE(),"")),"")</x:f>
      </x:c>
      <x:c r="G142" s="106" t="str">
        <x:f t="shared" si="47"/>
      </x:c>
      <x:c r="H142" s="107" t="str">
        <x:f t="array" ref="H142">IF(C142&lt;&gt;"",IF(F$7="SUMMER","N/A",_xlfn.IFS(H$10="EXAM",RECORD!GJ144,H$10="OUTPUT",RECORD!GK144,H$10="LAB",BP142,TRUE(),"")),"")</x:f>
      </x:c>
      <x:c r="I142" s="106" t="str">
        <x:f t="shared" si="48"/>
      </x:c>
      <x:c r="J142" s="108" t="str">
        <x:f t="shared" si="49"/>
      </x:c>
      <x:c r="K142" s="109" t="str">
        <x:f t="shared" si="50"/>
      </x:c>
      <x:c r="L142" s="110" t="str">
        <x:f t="array" ref="L142">IF(C142&lt;&gt;"",_xlfn.IFS(L$10="TLA",RECORD!GY144,N$10="LECTURE","",TRUE(),""),"")</x:f>
      </x:c>
      <x:c r="M142" s="105" t="str">
        <x:f t="shared" si="51"/>
      </x:c>
      <x:c r="N142" s="104" t="str">
        <x:f t="array" ref="N142">IF(C142&lt;&gt;"",_xlfn.IFS(N$10="AT",RECORD!GS144,N$10="LECTURE",AX142,TRUE(),""),"")</x:f>
      </x:c>
      <x:c r="O142" s="106" t="str">
        <x:f t="shared" si="52"/>
      </x:c>
      <x:c r="P142" s="107" t="str">
        <x:f t="array" ref="P142">IF(C142&lt;&gt;"",_xlfn.IFS(P$10="EXAM",RECORD!GT144,P$10="OUTPUT",RECORD!GU144,P$10="LAB",BX142,TRUE(),""),"")</x:f>
      </x:c>
      <x:c r="Q142" s="106" t="str">
        <x:f t="shared" si="53"/>
      </x:c>
      <x:c r="R142" s="108" t="str">
        <x:f t="shared" si="54"/>
      </x:c>
      <x:c r="S142" s="109" t="str">
        <x:f t="shared" si="55"/>
      </x:c>
      <x:c r="T142" s="110" t="str">
        <x:f t="array" ref="T142">IF(C142&lt;&gt;"",_xlfn.IFS(T$10="TLA",RECORD!HI144,V$10="LECTURE","",TRUE(),""),"")</x:f>
      </x:c>
      <x:c r="U142" s="105" t="str">
        <x:f t="shared" si="56"/>
      </x:c>
      <x:c r="V142" s="104" t="str">
        <x:f t="array" ref="V142">IF(C142&lt;&gt;"",_xlfn.IFS(V$10="AT",RECORD!HC144,V$10="LECTURE",BF142,TRUE(),""),"")</x:f>
      </x:c>
      <x:c r="W142" s="106" t="str">
        <x:f t="shared" si="57"/>
      </x:c>
      <x:c r="X142" s="107" t="str">
        <x:f t="array" ref="X142">IF(C142&lt;&gt;"",_xlfn.IFS(X$10="EXAM",RECORD!HD144,X$10="OUTPUT",RECORD!HE144,X$10="LAB",CF142,TRUE(),""),"")</x:f>
      </x:c>
      <x:c r="Y142" s="106" t="str">
        <x:f t="shared" si="58"/>
      </x:c>
      <x:c r="Z142" s="108" t="str">
        <x:f t="shared" si="59"/>
      </x:c>
      <x:c r="AA142" s="109" t="str">
        <x:f t="shared" si="60"/>
      </x:c>
      <x:c r="AB142" s="111" t="str">
        <x:f t="shared" si="61"/>
      </x:c>
      <x:c r="AC142" s="109" t="str">
        <x:f t="shared" si="62"/>
      </x:c>
      <x:c r="AD142" s="112"/>
      <x:c r="AE142" s="102"/>
      <x:c r="AF142" s="113"/>
      <x:c r="AG142" s="112"/>
      <x:c r="AH142" s="103"/>
      <x:c r="AI142" s="114"/>
      <x:c r="AJ142" s="102"/>
      <x:c r="AK142" s="102"/>
      <x:c r="AL142" s="102"/>
      <x:c r="AM142" s="102"/>
      <x:c r="AN142" s="102"/>
      <x:c r="AO142" s="102"/>
      <x:c r="AP142" s="102"/>
      <x:c r="AQ142" s="109" t="str">
        <x:f t="shared" si="63"/>
        <x:v>FAILED</x:v>
      </x:c>
      <x:c r="AR142" s="115"/>
      <x:c r="AS142" s="115"/>
      <x:c r="AT142" s="107"/>
      <x:c r="AU142" s="107"/>
      <x:c r="AV142" s="107"/>
      <x:c r="AW142" s="107"/>
      <x:c r="AX142" s="107"/>
      <x:c r="AY142" s="109" t="str">
        <x:f t="shared" si="64"/>
        <x:v>FAILED</x:v>
      </x:c>
      <x:c r="AZ142" s="115"/>
      <x:c r="BA142" s="115"/>
      <x:c r="BB142" s="107"/>
      <x:c r="BC142" s="107"/>
      <x:c r="BD142" s="107"/>
      <x:c r="BE142" s="107"/>
      <x:c r="BF142" s="107"/>
      <x:c r="BG142" s="109" t="str">
        <x:f t="shared" si="65"/>
        <x:v>FAILED</x:v>
      </x:c>
      <x:c r="BH142" s="117"/>
      <x:c r="BI142" s="102"/>
      <x:c r="BJ142" s="102"/>
      <x:c r="BK142" s="102"/>
      <x:c r="BL142" s="102"/>
      <x:c r="BM142" s="102"/>
      <x:c r="BN142" s="102"/>
      <x:c r="BO142" s="102"/>
      <x:c r="BP142" s="102"/>
      <x:c r="BQ142" s="109" t="str">
        <x:f t="shared" si="66"/>
        <x:v>FAILED</x:v>
      </x:c>
      <x:c r="BR142" s="115"/>
      <x:c r="BS142" s="115"/>
      <x:c r="BT142" s="107"/>
      <x:c r="BU142" s="107"/>
      <x:c r="BV142" s="107"/>
      <x:c r="BW142" s="107"/>
      <x:c r="BX142" s="107"/>
      <x:c r="BY142" s="109" t="str">
        <x:f t="shared" si="67"/>
        <x:v>FAILED</x:v>
      </x:c>
      <x:c r="BZ142" s="115"/>
      <x:c r="CA142" s="115"/>
      <x:c r="CB142" s="107"/>
      <x:c r="CC142" s="107"/>
      <x:c r="CD142" s="107"/>
      <x:c r="CE142" s="107"/>
      <x:c r="CF142" s="107"/>
      <x:c r="CG142" s="109" t="str">
        <x:f t="shared" si="68"/>
        <x:v>FAILED</x:v>
      </x:c>
      <x:c r="CH142" s="117"/>
    </x:row>
    <x:row r="143">
      <x:c r="A143" s="102" t="str">
        <x:f>IF(RECORD!A145="","",RECORD!A145)</x:f>
      </x:c>
      <x:c r="B143" s="102" t="str">
        <x:f>IF(RECORD!B145="","",RECORD!B145)</x:f>
      </x:c>
      <x:c r="C143" s="103" t="str">
        <x:f>IF(RECORD!C145="","",RECORD!C145)</x:f>
      </x:c>
      <x:c r="D143" s="104" t="str">
        <x:f t="array" ref="D143">IF(C143&lt;&gt;"",IF(F$7="SUMMER","N/A",_xlfn.IFS(D$10="TLA",RECORD!GO145,F$10="LECTURE","",TRUE(),"")),"")</x:f>
      </x:c>
      <x:c r="E143" s="105" t="str">
        <x:f t="shared" si="46"/>
      </x:c>
      <x:c r="F143" s="104" t="str">
        <x:f t="array" ref="F143">IF(C143&lt;&gt;"",IF(F$7="SUMMER","N/A",_xlfn.IFS(F$10="AT",RECORD!GI145,F$10="LECTURE",GRADES!AP143,TRUE(),"")),"")</x:f>
      </x:c>
      <x:c r="G143" s="106" t="str">
        <x:f t="shared" si="47"/>
      </x:c>
      <x:c r="H143" s="107" t="str">
        <x:f t="array" ref="H143">IF(C143&lt;&gt;"",IF(F$7="SUMMER","N/A",_xlfn.IFS(H$10="EXAM",RECORD!GJ145,H$10="OUTPUT",RECORD!GK145,H$10="LAB",BP143,TRUE(),"")),"")</x:f>
      </x:c>
      <x:c r="I143" s="106" t="str">
        <x:f t="shared" si="48"/>
      </x:c>
      <x:c r="J143" s="108" t="str">
        <x:f t="shared" si="49"/>
      </x:c>
      <x:c r="K143" s="109" t="str">
        <x:f t="shared" si="50"/>
      </x:c>
      <x:c r="L143" s="110" t="str">
        <x:f t="array" ref="L143">IF(C143&lt;&gt;"",_xlfn.IFS(L$10="TLA",RECORD!GY145,N$10="LECTURE","",TRUE(),""),"")</x:f>
      </x:c>
      <x:c r="M143" s="105" t="str">
        <x:f t="shared" si="51"/>
      </x:c>
      <x:c r="N143" s="104" t="str">
        <x:f t="array" ref="N143">IF(C143&lt;&gt;"",_xlfn.IFS(N$10="AT",RECORD!GS145,N$10="LECTURE",AX143,TRUE(),""),"")</x:f>
      </x:c>
      <x:c r="O143" s="106" t="str">
        <x:f t="shared" si="52"/>
      </x:c>
      <x:c r="P143" s="107" t="str">
        <x:f t="array" ref="P143">IF(C143&lt;&gt;"",_xlfn.IFS(P$10="EXAM",RECORD!GT145,P$10="OUTPUT",RECORD!GU145,P$10="LAB",BX143,TRUE(),""),"")</x:f>
      </x:c>
      <x:c r="Q143" s="106" t="str">
        <x:f t="shared" si="53"/>
      </x:c>
      <x:c r="R143" s="108" t="str">
        <x:f t="shared" si="54"/>
      </x:c>
      <x:c r="S143" s="109" t="str">
        <x:f t="shared" si="55"/>
      </x:c>
      <x:c r="T143" s="110" t="str">
        <x:f t="array" ref="T143">IF(C143&lt;&gt;"",_xlfn.IFS(T$10="TLA",RECORD!HI145,V$10="LECTURE","",TRUE(),""),"")</x:f>
      </x:c>
      <x:c r="U143" s="105" t="str">
        <x:f t="shared" si="56"/>
      </x:c>
      <x:c r="V143" s="104" t="str">
        <x:f t="array" ref="V143">IF(C143&lt;&gt;"",_xlfn.IFS(V$10="AT",RECORD!HC145,V$10="LECTURE",BF143,TRUE(),""),"")</x:f>
      </x:c>
      <x:c r="W143" s="106" t="str">
        <x:f t="shared" si="57"/>
      </x:c>
      <x:c r="X143" s="107" t="str">
        <x:f t="array" ref="X143">IF(C143&lt;&gt;"",_xlfn.IFS(X$10="EXAM",RECORD!HD145,X$10="OUTPUT",RECORD!HE145,X$10="LAB",CF143,TRUE(),""),"")</x:f>
      </x:c>
      <x:c r="Y143" s="106" t="str">
        <x:f t="shared" si="58"/>
      </x:c>
      <x:c r="Z143" s="108" t="str">
        <x:f t="shared" si="59"/>
      </x:c>
      <x:c r="AA143" s="109" t="str">
        <x:f t="shared" si="60"/>
      </x:c>
      <x:c r="AB143" s="111" t="str">
        <x:f t="shared" si="61"/>
      </x:c>
      <x:c r="AC143" s="109" t="str">
        <x:f t="shared" si="62"/>
      </x:c>
      <x:c r="AD143" s="112"/>
      <x:c r="AE143" s="102"/>
      <x:c r="AF143" s="113"/>
      <x:c r="AG143" s="112"/>
      <x:c r="AH143" s="103"/>
      <x:c r="AI143" s="114"/>
      <x:c r="AJ143" s="102"/>
      <x:c r="AK143" s="102"/>
      <x:c r="AL143" s="102"/>
      <x:c r="AM143" s="102"/>
      <x:c r="AN143" s="102"/>
      <x:c r="AO143" s="102"/>
      <x:c r="AP143" s="102"/>
      <x:c r="AQ143" s="109" t="str">
        <x:f t="shared" si="63"/>
        <x:v>FAILED</x:v>
      </x:c>
      <x:c r="AR143" s="115"/>
      <x:c r="AS143" s="115"/>
      <x:c r="AT143" s="107"/>
      <x:c r="AU143" s="107"/>
      <x:c r="AV143" s="107"/>
      <x:c r="AW143" s="107"/>
      <x:c r="AX143" s="107"/>
      <x:c r="AY143" s="109" t="str">
        <x:f t="shared" si="64"/>
        <x:v>FAILED</x:v>
      </x:c>
      <x:c r="AZ143" s="115"/>
      <x:c r="BA143" s="115"/>
      <x:c r="BB143" s="107"/>
      <x:c r="BC143" s="107"/>
      <x:c r="BD143" s="107"/>
      <x:c r="BE143" s="107"/>
      <x:c r="BF143" s="107"/>
      <x:c r="BG143" s="109" t="str">
        <x:f t="shared" si="65"/>
        <x:v>FAILED</x:v>
      </x:c>
      <x:c r="BH143" s="117"/>
      <x:c r="BI143" s="102"/>
      <x:c r="BJ143" s="102"/>
      <x:c r="BK143" s="102"/>
      <x:c r="BL143" s="102"/>
      <x:c r="BM143" s="102"/>
      <x:c r="BN143" s="102"/>
      <x:c r="BO143" s="102"/>
      <x:c r="BP143" s="102"/>
      <x:c r="BQ143" s="109" t="str">
        <x:f t="shared" si="66"/>
        <x:v>FAILED</x:v>
      </x:c>
      <x:c r="BR143" s="115"/>
      <x:c r="BS143" s="115"/>
      <x:c r="BT143" s="107"/>
      <x:c r="BU143" s="107"/>
      <x:c r="BV143" s="107"/>
      <x:c r="BW143" s="107"/>
      <x:c r="BX143" s="107"/>
      <x:c r="BY143" s="109" t="str">
        <x:f t="shared" si="67"/>
        <x:v>FAILED</x:v>
      </x:c>
      <x:c r="BZ143" s="115"/>
      <x:c r="CA143" s="115"/>
      <x:c r="CB143" s="107"/>
      <x:c r="CC143" s="107"/>
      <x:c r="CD143" s="107"/>
      <x:c r="CE143" s="107"/>
      <x:c r="CF143" s="107"/>
      <x:c r="CG143" s="109" t="str">
        <x:f t="shared" si="68"/>
        <x:v>FAILED</x:v>
      </x:c>
      <x:c r="CH143" s="117"/>
    </x:row>
    <x:row r="144">
      <x:c r="A144" s="102" t="str">
        <x:f>IF(RECORD!A146="","",RECORD!A146)</x:f>
      </x:c>
      <x:c r="B144" s="102" t="str">
        <x:f>IF(RECORD!B146="","",RECORD!B146)</x:f>
      </x:c>
      <x:c r="C144" s="103" t="str">
        <x:f>IF(RECORD!C146="","",RECORD!C146)</x:f>
      </x:c>
      <x:c r="D144" s="104" t="str">
        <x:f t="array" ref="D144">IF(C144&lt;&gt;"",IF(F$7="SUMMER","N/A",_xlfn.IFS(D$10="TLA",RECORD!GO146,F$10="LECTURE","",TRUE(),"")),"")</x:f>
      </x:c>
      <x:c r="E144" s="105" t="str">
        <x:f t="shared" si="46"/>
      </x:c>
      <x:c r="F144" s="104" t="str">
        <x:f t="array" ref="F144">IF(C144&lt;&gt;"",IF(F$7="SUMMER","N/A",_xlfn.IFS(F$10="AT",RECORD!GI146,F$10="LECTURE",GRADES!AP144,TRUE(),"")),"")</x:f>
      </x:c>
      <x:c r="G144" s="106" t="str">
        <x:f t="shared" si="47"/>
      </x:c>
      <x:c r="H144" s="107" t="str">
        <x:f t="array" ref="H144">IF(C144&lt;&gt;"",IF(F$7="SUMMER","N/A",_xlfn.IFS(H$10="EXAM",RECORD!GJ146,H$10="OUTPUT",RECORD!GK146,H$10="LAB",BP144,TRUE(),"")),"")</x:f>
      </x:c>
      <x:c r="I144" s="106" t="str">
        <x:f t="shared" si="48"/>
      </x:c>
      <x:c r="J144" s="108" t="str">
        <x:f t="shared" si="49"/>
      </x:c>
      <x:c r="K144" s="109" t="str">
        <x:f t="shared" si="50"/>
      </x:c>
      <x:c r="L144" s="110" t="str">
        <x:f t="array" ref="L144">IF(C144&lt;&gt;"",_xlfn.IFS(L$10="TLA",RECORD!GY146,N$10="LECTURE","",TRUE(),""),"")</x:f>
      </x:c>
      <x:c r="M144" s="105" t="str">
        <x:f t="shared" si="51"/>
      </x:c>
      <x:c r="N144" s="104" t="str">
        <x:f t="array" ref="N144">IF(C144&lt;&gt;"",_xlfn.IFS(N$10="AT",RECORD!GS146,N$10="LECTURE",AX144,TRUE(),""),"")</x:f>
      </x:c>
      <x:c r="O144" s="106" t="str">
        <x:f t="shared" si="52"/>
      </x:c>
      <x:c r="P144" s="107" t="str">
        <x:f t="array" ref="P144">IF(C144&lt;&gt;"",_xlfn.IFS(P$10="EXAM",RECORD!GT146,P$10="OUTPUT",RECORD!GU146,P$10="LAB",BX144,TRUE(),""),"")</x:f>
      </x:c>
      <x:c r="Q144" s="106" t="str">
        <x:f t="shared" si="53"/>
      </x:c>
      <x:c r="R144" s="108" t="str">
        <x:f t="shared" si="54"/>
      </x:c>
      <x:c r="S144" s="109" t="str">
        <x:f t="shared" si="55"/>
      </x:c>
      <x:c r="T144" s="110" t="str">
        <x:f t="array" ref="T144">IF(C144&lt;&gt;"",_xlfn.IFS(T$10="TLA",RECORD!HI146,V$10="LECTURE","",TRUE(),""),"")</x:f>
      </x:c>
      <x:c r="U144" s="105" t="str">
        <x:f t="shared" si="56"/>
      </x:c>
      <x:c r="V144" s="104" t="str">
        <x:f t="array" ref="V144">IF(C144&lt;&gt;"",_xlfn.IFS(V$10="AT",RECORD!HC146,V$10="LECTURE",BF144,TRUE(),""),"")</x:f>
      </x:c>
      <x:c r="W144" s="106" t="str">
        <x:f t="shared" si="57"/>
      </x:c>
      <x:c r="X144" s="107" t="str">
        <x:f t="array" ref="X144">IF(C144&lt;&gt;"",_xlfn.IFS(X$10="EXAM",RECORD!HD146,X$10="OUTPUT",RECORD!HE146,X$10="LAB",CF144,TRUE(),""),"")</x:f>
      </x:c>
      <x:c r="Y144" s="106" t="str">
        <x:f t="shared" si="58"/>
      </x:c>
      <x:c r="Z144" s="108" t="str">
        <x:f t="shared" si="59"/>
      </x:c>
      <x:c r="AA144" s="109" t="str">
        <x:f t="shared" si="60"/>
      </x:c>
      <x:c r="AB144" s="111" t="str">
        <x:f t="shared" si="61"/>
      </x:c>
      <x:c r="AC144" s="109" t="str">
        <x:f t="shared" si="62"/>
      </x:c>
      <x:c r="AD144" s="112"/>
      <x:c r="AE144" s="102"/>
      <x:c r="AF144" s="113"/>
      <x:c r="AG144" s="112"/>
      <x:c r="AH144" s="103"/>
      <x:c r="AI144" s="114"/>
      <x:c r="AJ144" s="102"/>
      <x:c r="AK144" s="102"/>
      <x:c r="AL144" s="102"/>
      <x:c r="AM144" s="102"/>
      <x:c r="AN144" s="102"/>
      <x:c r="AO144" s="102"/>
      <x:c r="AP144" s="102"/>
      <x:c r="AQ144" s="109" t="str">
        <x:f t="shared" si="63"/>
        <x:v>FAILED</x:v>
      </x:c>
      <x:c r="AR144" s="115"/>
      <x:c r="AS144" s="115"/>
      <x:c r="AT144" s="107"/>
      <x:c r="AU144" s="107"/>
      <x:c r="AV144" s="107"/>
      <x:c r="AW144" s="107"/>
      <x:c r="AX144" s="107"/>
      <x:c r="AY144" s="109" t="str">
        <x:f t="shared" si="64"/>
        <x:v>FAILED</x:v>
      </x:c>
      <x:c r="AZ144" s="115"/>
      <x:c r="BA144" s="115"/>
      <x:c r="BB144" s="107"/>
      <x:c r="BC144" s="107"/>
      <x:c r="BD144" s="107"/>
      <x:c r="BE144" s="107"/>
      <x:c r="BF144" s="107"/>
      <x:c r="BG144" s="109" t="str">
        <x:f t="shared" si="65"/>
        <x:v>FAILED</x:v>
      </x:c>
      <x:c r="BH144" s="117"/>
      <x:c r="BI144" s="102"/>
      <x:c r="BJ144" s="102"/>
      <x:c r="BK144" s="102"/>
      <x:c r="BL144" s="102"/>
      <x:c r="BM144" s="102"/>
      <x:c r="BN144" s="102"/>
      <x:c r="BO144" s="102"/>
      <x:c r="BP144" s="102"/>
      <x:c r="BQ144" s="109" t="str">
        <x:f t="shared" si="66"/>
        <x:v>FAILED</x:v>
      </x:c>
      <x:c r="BR144" s="115"/>
      <x:c r="BS144" s="115"/>
      <x:c r="BT144" s="107"/>
      <x:c r="BU144" s="107"/>
      <x:c r="BV144" s="107"/>
      <x:c r="BW144" s="107"/>
      <x:c r="BX144" s="107"/>
      <x:c r="BY144" s="109" t="str">
        <x:f t="shared" si="67"/>
        <x:v>FAILED</x:v>
      </x:c>
      <x:c r="BZ144" s="115"/>
      <x:c r="CA144" s="115"/>
      <x:c r="CB144" s="107"/>
      <x:c r="CC144" s="107"/>
      <x:c r="CD144" s="107"/>
      <x:c r="CE144" s="107"/>
      <x:c r="CF144" s="107"/>
      <x:c r="CG144" s="109" t="str">
        <x:f t="shared" si="68"/>
        <x:v>FAILED</x:v>
      </x:c>
      <x:c r="CH144" s="117"/>
    </x:row>
    <x:row r="145">
      <x:c r="A145" s="102" t="str">
        <x:f>IF(RECORD!A147="","",RECORD!A147)</x:f>
      </x:c>
      <x:c r="B145" s="102" t="str">
        <x:f>IF(RECORD!B147="","",RECORD!B147)</x:f>
      </x:c>
      <x:c r="C145" s="103" t="str">
        <x:f>IF(RECORD!C147="","",RECORD!C147)</x:f>
      </x:c>
      <x:c r="D145" s="104" t="str">
        <x:f t="array" ref="D145">IF(C145&lt;&gt;"",IF(F$7="SUMMER","N/A",_xlfn.IFS(D$10="TLA",RECORD!GO147,F$10="LECTURE","",TRUE(),"")),"")</x:f>
      </x:c>
      <x:c r="E145" s="105" t="str">
        <x:f t="shared" si="46"/>
      </x:c>
      <x:c r="F145" s="104" t="str">
        <x:f t="array" ref="F145">IF(C145&lt;&gt;"",IF(F$7="SUMMER","N/A",_xlfn.IFS(F$10="AT",RECORD!GI147,F$10="LECTURE",GRADES!AP145,TRUE(),"")),"")</x:f>
      </x:c>
      <x:c r="G145" s="106" t="str">
        <x:f t="shared" si="47"/>
      </x:c>
      <x:c r="H145" s="107" t="str">
        <x:f t="array" ref="H145">IF(C145&lt;&gt;"",IF(F$7="SUMMER","N/A",_xlfn.IFS(H$10="EXAM",RECORD!GJ147,H$10="OUTPUT",RECORD!GK147,H$10="LAB",BP145,TRUE(),"")),"")</x:f>
      </x:c>
      <x:c r="I145" s="106" t="str">
        <x:f t="shared" si="48"/>
      </x:c>
      <x:c r="J145" s="108" t="str">
        <x:f t="shared" si="49"/>
      </x:c>
      <x:c r="K145" s="109" t="str">
        <x:f t="shared" si="50"/>
      </x:c>
      <x:c r="L145" s="110" t="str">
        <x:f t="array" ref="L145">IF(C145&lt;&gt;"",_xlfn.IFS(L$10="TLA",RECORD!GY147,N$10="LECTURE","",TRUE(),""),"")</x:f>
      </x:c>
      <x:c r="M145" s="105" t="str">
        <x:f t="shared" si="51"/>
      </x:c>
      <x:c r="N145" s="104" t="str">
        <x:f t="array" ref="N145">IF(C145&lt;&gt;"",_xlfn.IFS(N$10="AT",RECORD!GS147,N$10="LECTURE",AX145,TRUE(),""),"")</x:f>
      </x:c>
      <x:c r="O145" s="106" t="str">
        <x:f t="shared" si="52"/>
      </x:c>
      <x:c r="P145" s="107" t="str">
        <x:f t="array" ref="P145">IF(C145&lt;&gt;"",_xlfn.IFS(P$10="EXAM",RECORD!GT147,P$10="OUTPUT",RECORD!GU147,P$10="LAB",BX145,TRUE(),""),"")</x:f>
      </x:c>
      <x:c r="Q145" s="106" t="str">
        <x:f t="shared" si="53"/>
      </x:c>
      <x:c r="R145" s="108" t="str">
        <x:f t="shared" si="54"/>
      </x:c>
      <x:c r="S145" s="109" t="str">
        <x:f t="shared" si="55"/>
      </x:c>
      <x:c r="T145" s="110" t="str">
        <x:f t="array" ref="T145">IF(C145&lt;&gt;"",_xlfn.IFS(T$10="TLA",RECORD!HI147,V$10="LECTURE","",TRUE(),""),"")</x:f>
      </x:c>
      <x:c r="U145" s="105" t="str">
        <x:f t="shared" si="56"/>
      </x:c>
      <x:c r="V145" s="104" t="str">
        <x:f t="array" ref="V145">IF(C145&lt;&gt;"",_xlfn.IFS(V$10="AT",RECORD!HC147,V$10="LECTURE",BF145,TRUE(),""),"")</x:f>
      </x:c>
      <x:c r="W145" s="106" t="str">
        <x:f t="shared" si="57"/>
      </x:c>
      <x:c r="X145" s="107" t="str">
        <x:f t="array" ref="X145">IF(C145&lt;&gt;"",_xlfn.IFS(X$10="EXAM",RECORD!HD147,X$10="OUTPUT",RECORD!HE147,X$10="LAB",CF145,TRUE(),""),"")</x:f>
      </x:c>
      <x:c r="Y145" s="106" t="str">
        <x:f t="shared" si="58"/>
      </x:c>
      <x:c r="Z145" s="108" t="str">
        <x:f t="shared" si="59"/>
      </x:c>
      <x:c r="AA145" s="109" t="str">
        <x:f t="shared" si="60"/>
      </x:c>
      <x:c r="AB145" s="111" t="str">
        <x:f t="shared" si="61"/>
      </x:c>
      <x:c r="AC145" s="109" t="str">
        <x:f t="shared" si="62"/>
      </x:c>
      <x:c r="AD145" s="112"/>
      <x:c r="AE145" s="102"/>
      <x:c r="AF145" s="113"/>
      <x:c r="AG145" s="112"/>
      <x:c r="AH145" s="103"/>
      <x:c r="AI145" s="114"/>
      <x:c r="AJ145" s="102"/>
      <x:c r="AK145" s="102"/>
      <x:c r="AL145" s="102"/>
      <x:c r="AM145" s="102"/>
      <x:c r="AN145" s="102"/>
      <x:c r="AO145" s="102"/>
      <x:c r="AP145" s="102"/>
      <x:c r="AQ145" s="109" t="str">
        <x:f t="shared" si="63"/>
        <x:v>FAILED</x:v>
      </x:c>
      <x:c r="AR145" s="115"/>
      <x:c r="AS145" s="115"/>
      <x:c r="AT145" s="107"/>
      <x:c r="AU145" s="107"/>
      <x:c r="AV145" s="107"/>
      <x:c r="AW145" s="107"/>
      <x:c r="AX145" s="107"/>
      <x:c r="AY145" s="109" t="str">
        <x:f t="shared" si="64"/>
        <x:v>FAILED</x:v>
      </x:c>
      <x:c r="AZ145" s="115"/>
      <x:c r="BA145" s="115"/>
      <x:c r="BB145" s="107"/>
      <x:c r="BC145" s="107"/>
      <x:c r="BD145" s="107"/>
      <x:c r="BE145" s="107"/>
      <x:c r="BF145" s="107"/>
      <x:c r="BG145" s="109" t="str">
        <x:f t="shared" si="65"/>
        <x:v>FAILED</x:v>
      </x:c>
      <x:c r="BH145" s="117"/>
      <x:c r="BI145" s="102"/>
      <x:c r="BJ145" s="102"/>
      <x:c r="BK145" s="102"/>
      <x:c r="BL145" s="102"/>
      <x:c r="BM145" s="102"/>
      <x:c r="BN145" s="102"/>
      <x:c r="BO145" s="102"/>
      <x:c r="BP145" s="102"/>
      <x:c r="BQ145" s="109" t="str">
        <x:f t="shared" si="66"/>
        <x:v>FAILED</x:v>
      </x:c>
      <x:c r="BR145" s="115"/>
      <x:c r="BS145" s="115"/>
      <x:c r="BT145" s="107"/>
      <x:c r="BU145" s="107"/>
      <x:c r="BV145" s="107"/>
      <x:c r="BW145" s="107"/>
      <x:c r="BX145" s="107"/>
      <x:c r="BY145" s="109" t="str">
        <x:f t="shared" si="67"/>
        <x:v>FAILED</x:v>
      </x:c>
      <x:c r="BZ145" s="115"/>
      <x:c r="CA145" s="115"/>
      <x:c r="CB145" s="107"/>
      <x:c r="CC145" s="107"/>
      <x:c r="CD145" s="107"/>
      <x:c r="CE145" s="107"/>
      <x:c r="CF145" s="107"/>
      <x:c r="CG145" s="109" t="str">
        <x:f t="shared" si="68"/>
        <x:v>FAILED</x:v>
      </x:c>
      <x:c r="CH145" s="117"/>
    </x:row>
    <x:row r="146">
      <x:c r="A146" s="102" t="str">
        <x:f>IF(RECORD!A148="","",RECORD!A148)</x:f>
      </x:c>
      <x:c r="B146" s="102" t="str">
        <x:f>IF(RECORD!B148="","",RECORD!B148)</x:f>
      </x:c>
      <x:c r="C146" s="103" t="str">
        <x:f>IF(RECORD!C148="","",RECORD!C148)</x:f>
      </x:c>
      <x:c r="D146" s="104" t="str">
        <x:f t="array" ref="D146">IF(C146&lt;&gt;"",IF(F$7="SUMMER","N/A",_xlfn.IFS(D$10="TLA",RECORD!GO148,F$10="LECTURE","",TRUE(),"")),"")</x:f>
      </x:c>
      <x:c r="E146" s="105" t="str">
        <x:f t="shared" si="46"/>
      </x:c>
      <x:c r="F146" s="104" t="str">
        <x:f t="array" ref="F146">IF(C146&lt;&gt;"",IF(F$7="SUMMER","N/A",_xlfn.IFS(F$10="AT",RECORD!GI148,F$10="LECTURE",GRADES!AP146,TRUE(),"")),"")</x:f>
      </x:c>
      <x:c r="G146" s="106" t="str">
        <x:f t="shared" si="47"/>
      </x:c>
      <x:c r="H146" s="107" t="str">
        <x:f t="array" ref="H146">IF(C146&lt;&gt;"",IF(F$7="SUMMER","N/A",_xlfn.IFS(H$10="EXAM",RECORD!GJ148,H$10="OUTPUT",RECORD!GK148,H$10="LAB",BP146,TRUE(),"")),"")</x:f>
      </x:c>
      <x:c r="I146" s="106" t="str">
        <x:f t="shared" si="48"/>
      </x:c>
      <x:c r="J146" s="108" t="str">
        <x:f t="shared" si="49"/>
      </x:c>
      <x:c r="K146" s="109" t="str">
        <x:f t="shared" si="50"/>
      </x:c>
      <x:c r="L146" s="110" t="str">
        <x:f t="array" ref="L146">IF(C146&lt;&gt;"",_xlfn.IFS(L$10="TLA",RECORD!GY148,N$10="LECTURE","",TRUE(),""),"")</x:f>
      </x:c>
      <x:c r="M146" s="105" t="str">
        <x:f t="shared" si="51"/>
      </x:c>
      <x:c r="N146" s="104" t="str">
        <x:f t="array" ref="N146">IF(C146&lt;&gt;"",_xlfn.IFS(N$10="AT",RECORD!GS148,N$10="LECTURE",AX146,TRUE(),""),"")</x:f>
      </x:c>
      <x:c r="O146" s="106" t="str">
        <x:f t="shared" si="52"/>
      </x:c>
      <x:c r="P146" s="107" t="str">
        <x:f t="array" ref="P146">IF(C146&lt;&gt;"",_xlfn.IFS(P$10="EXAM",RECORD!GT148,P$10="OUTPUT",RECORD!GU148,P$10="LAB",BX146,TRUE(),""),"")</x:f>
      </x:c>
      <x:c r="Q146" s="106" t="str">
        <x:f t="shared" si="53"/>
      </x:c>
      <x:c r="R146" s="108" t="str">
        <x:f t="shared" si="54"/>
      </x:c>
      <x:c r="S146" s="109" t="str">
        <x:f t="shared" si="55"/>
      </x:c>
      <x:c r="T146" s="110" t="str">
        <x:f t="array" ref="T146">IF(C146&lt;&gt;"",_xlfn.IFS(T$10="TLA",RECORD!HI148,V$10="LECTURE","",TRUE(),""),"")</x:f>
      </x:c>
      <x:c r="U146" s="105" t="str">
        <x:f t="shared" si="56"/>
      </x:c>
      <x:c r="V146" s="104" t="str">
        <x:f t="array" ref="V146">IF(C146&lt;&gt;"",_xlfn.IFS(V$10="AT",RECORD!HC148,V$10="LECTURE",BF146,TRUE(),""),"")</x:f>
      </x:c>
      <x:c r="W146" s="106" t="str">
        <x:f t="shared" si="57"/>
      </x:c>
      <x:c r="X146" s="107" t="str">
        <x:f t="array" ref="X146">IF(C146&lt;&gt;"",_xlfn.IFS(X$10="EXAM",RECORD!HD148,X$10="OUTPUT",RECORD!HE148,X$10="LAB",CF146,TRUE(),""),"")</x:f>
      </x:c>
      <x:c r="Y146" s="106" t="str">
        <x:f t="shared" si="58"/>
      </x:c>
      <x:c r="Z146" s="108" t="str">
        <x:f t="shared" si="59"/>
      </x:c>
      <x:c r="AA146" s="109" t="str">
        <x:f t="shared" si="60"/>
      </x:c>
      <x:c r="AB146" s="111" t="str">
        <x:f t="shared" si="61"/>
      </x:c>
      <x:c r="AC146" s="109" t="str">
        <x:f t="shared" si="62"/>
      </x:c>
      <x:c r="AD146" s="112"/>
      <x:c r="AE146" s="102"/>
      <x:c r="AF146" s="113"/>
      <x:c r="AG146" s="112"/>
      <x:c r="AH146" s="103"/>
      <x:c r="AI146" s="114"/>
      <x:c r="AJ146" s="102"/>
      <x:c r="AK146" s="102"/>
      <x:c r="AL146" s="102"/>
      <x:c r="AM146" s="102"/>
      <x:c r="AN146" s="102"/>
      <x:c r="AO146" s="102"/>
      <x:c r="AP146" s="102"/>
      <x:c r="AQ146" s="109" t="str">
        <x:f t="shared" si="63"/>
        <x:v>FAILED</x:v>
      </x:c>
      <x:c r="AR146" s="115"/>
      <x:c r="AS146" s="115"/>
      <x:c r="AT146" s="107"/>
      <x:c r="AU146" s="107"/>
      <x:c r="AV146" s="107"/>
      <x:c r="AW146" s="107"/>
      <x:c r="AX146" s="107"/>
      <x:c r="AY146" s="109" t="str">
        <x:f t="shared" si="64"/>
        <x:v>FAILED</x:v>
      </x:c>
      <x:c r="AZ146" s="115"/>
      <x:c r="BA146" s="115"/>
      <x:c r="BB146" s="107"/>
      <x:c r="BC146" s="107"/>
      <x:c r="BD146" s="107"/>
      <x:c r="BE146" s="107"/>
      <x:c r="BF146" s="107"/>
      <x:c r="BG146" s="109" t="str">
        <x:f t="shared" si="65"/>
        <x:v>FAILED</x:v>
      </x:c>
      <x:c r="BH146" s="117"/>
      <x:c r="BI146" s="102"/>
      <x:c r="BJ146" s="102"/>
      <x:c r="BK146" s="102"/>
      <x:c r="BL146" s="102"/>
      <x:c r="BM146" s="102"/>
      <x:c r="BN146" s="102"/>
      <x:c r="BO146" s="102"/>
      <x:c r="BP146" s="102"/>
      <x:c r="BQ146" s="109" t="str">
        <x:f t="shared" si="66"/>
        <x:v>FAILED</x:v>
      </x:c>
      <x:c r="BR146" s="115"/>
      <x:c r="BS146" s="115"/>
      <x:c r="BT146" s="107"/>
      <x:c r="BU146" s="107"/>
      <x:c r="BV146" s="107"/>
      <x:c r="BW146" s="107"/>
      <x:c r="BX146" s="107"/>
      <x:c r="BY146" s="109" t="str">
        <x:f t="shared" si="67"/>
        <x:v>FAILED</x:v>
      </x:c>
      <x:c r="BZ146" s="115"/>
      <x:c r="CA146" s="115"/>
      <x:c r="CB146" s="107"/>
      <x:c r="CC146" s="107"/>
      <x:c r="CD146" s="107"/>
      <x:c r="CE146" s="107"/>
      <x:c r="CF146" s="107"/>
      <x:c r="CG146" s="109" t="str">
        <x:f t="shared" si="68"/>
        <x:v>FAILED</x:v>
      </x:c>
      <x:c r="CH146" s="117"/>
    </x:row>
    <x:row r="147">
      <x:c r="A147" s="102" t="str">
        <x:f>IF(RECORD!A149="","",RECORD!A149)</x:f>
      </x:c>
      <x:c r="B147" s="102" t="str">
        <x:f>IF(RECORD!B149="","",RECORD!B149)</x:f>
      </x:c>
      <x:c r="C147" s="103" t="str">
        <x:f>IF(RECORD!C149="","",RECORD!C149)</x:f>
      </x:c>
      <x:c r="D147" s="104" t="str">
        <x:f t="array" ref="D147">IF(C147&lt;&gt;"",IF(F$7="SUMMER","N/A",_xlfn.IFS(D$10="TLA",RECORD!GO149,F$10="LECTURE","",TRUE(),"")),"")</x:f>
      </x:c>
      <x:c r="E147" s="105" t="str">
        <x:f t="shared" si="46"/>
      </x:c>
      <x:c r="F147" s="104" t="str">
        <x:f t="array" ref="F147">IF(C147&lt;&gt;"",IF(F$7="SUMMER","N/A",_xlfn.IFS(F$10="AT",RECORD!GI149,F$10="LECTURE",GRADES!AP147,TRUE(),"")),"")</x:f>
      </x:c>
      <x:c r="G147" s="106" t="str">
        <x:f t="shared" si="47"/>
      </x:c>
      <x:c r="H147" s="107" t="str">
        <x:f t="array" ref="H147">IF(C147&lt;&gt;"",IF(F$7="SUMMER","N/A",_xlfn.IFS(H$10="EXAM",RECORD!GJ149,H$10="OUTPUT",RECORD!GK149,H$10="LAB",BP147,TRUE(),"")),"")</x:f>
      </x:c>
      <x:c r="I147" s="106" t="str">
        <x:f t="shared" si="48"/>
      </x:c>
      <x:c r="J147" s="108" t="str">
        <x:f t="shared" si="49"/>
      </x:c>
      <x:c r="K147" s="109" t="str">
        <x:f t="shared" si="50"/>
      </x:c>
      <x:c r="L147" s="110" t="str">
        <x:f t="array" ref="L147">IF(C147&lt;&gt;"",_xlfn.IFS(L$10="TLA",RECORD!GY149,N$10="LECTURE","",TRUE(),""),"")</x:f>
      </x:c>
      <x:c r="M147" s="105" t="str">
        <x:f t="shared" si="51"/>
      </x:c>
      <x:c r="N147" s="104" t="str">
        <x:f t="array" ref="N147">IF(C147&lt;&gt;"",_xlfn.IFS(N$10="AT",RECORD!GS149,N$10="LECTURE",AX147,TRUE(),""),"")</x:f>
      </x:c>
      <x:c r="O147" s="106" t="str">
        <x:f t="shared" si="52"/>
      </x:c>
      <x:c r="P147" s="107" t="str">
        <x:f t="array" ref="P147">IF(C147&lt;&gt;"",_xlfn.IFS(P$10="EXAM",RECORD!GT149,P$10="OUTPUT",RECORD!GU149,P$10="LAB",BX147,TRUE(),""),"")</x:f>
      </x:c>
      <x:c r="Q147" s="106" t="str">
        <x:f t="shared" si="53"/>
      </x:c>
      <x:c r="R147" s="108" t="str">
        <x:f t="shared" si="54"/>
      </x:c>
      <x:c r="S147" s="109" t="str">
        <x:f t="shared" si="55"/>
      </x:c>
      <x:c r="T147" s="110" t="str">
        <x:f t="array" ref="T147">IF(C147&lt;&gt;"",_xlfn.IFS(T$10="TLA",RECORD!HI149,V$10="LECTURE","",TRUE(),""),"")</x:f>
      </x:c>
      <x:c r="U147" s="105" t="str">
        <x:f t="shared" si="56"/>
      </x:c>
      <x:c r="V147" s="104" t="str">
        <x:f t="array" ref="V147">IF(C147&lt;&gt;"",_xlfn.IFS(V$10="AT",RECORD!HC149,V$10="LECTURE",BF147,TRUE(),""),"")</x:f>
      </x:c>
      <x:c r="W147" s="106" t="str">
        <x:f t="shared" si="57"/>
      </x:c>
      <x:c r="X147" s="107" t="str">
        <x:f t="array" ref="X147">IF(C147&lt;&gt;"",_xlfn.IFS(X$10="EXAM",RECORD!HD149,X$10="OUTPUT",RECORD!HE149,X$10="LAB",CF147,TRUE(),""),"")</x:f>
      </x:c>
      <x:c r="Y147" s="106" t="str">
        <x:f t="shared" si="58"/>
      </x:c>
      <x:c r="Z147" s="108" t="str">
        <x:f t="shared" si="59"/>
      </x:c>
      <x:c r="AA147" s="109" t="str">
        <x:f t="shared" si="60"/>
      </x:c>
      <x:c r="AB147" s="111" t="str">
        <x:f t="shared" si="61"/>
      </x:c>
      <x:c r="AC147" s="109" t="str">
        <x:f t="shared" si="62"/>
      </x:c>
      <x:c r="AD147" s="112"/>
      <x:c r="AE147" s="102"/>
      <x:c r="AF147" s="113"/>
      <x:c r="AG147" s="112"/>
      <x:c r="AH147" s="103"/>
      <x:c r="AI147" s="114"/>
      <x:c r="AJ147" s="102"/>
      <x:c r="AK147" s="102"/>
      <x:c r="AL147" s="102"/>
      <x:c r="AM147" s="102"/>
      <x:c r="AN147" s="102"/>
      <x:c r="AO147" s="102"/>
      <x:c r="AP147" s="102"/>
      <x:c r="AQ147" s="109" t="str">
        <x:f t="shared" si="63"/>
        <x:v>FAILED</x:v>
      </x:c>
      <x:c r="AR147" s="115"/>
      <x:c r="AS147" s="115"/>
      <x:c r="AT147" s="107"/>
      <x:c r="AU147" s="107"/>
      <x:c r="AV147" s="107"/>
      <x:c r="AW147" s="107"/>
      <x:c r="AX147" s="107"/>
      <x:c r="AY147" s="109" t="str">
        <x:f t="shared" si="64"/>
        <x:v>FAILED</x:v>
      </x:c>
      <x:c r="AZ147" s="115"/>
      <x:c r="BA147" s="115"/>
      <x:c r="BB147" s="107"/>
      <x:c r="BC147" s="107"/>
      <x:c r="BD147" s="107"/>
      <x:c r="BE147" s="107"/>
      <x:c r="BF147" s="107"/>
      <x:c r="BG147" s="109" t="str">
        <x:f t="shared" si="65"/>
        <x:v>FAILED</x:v>
      </x:c>
      <x:c r="BH147" s="117"/>
      <x:c r="BI147" s="102"/>
      <x:c r="BJ147" s="102"/>
      <x:c r="BK147" s="102"/>
      <x:c r="BL147" s="102"/>
      <x:c r="BM147" s="102"/>
      <x:c r="BN147" s="102"/>
      <x:c r="BO147" s="102"/>
      <x:c r="BP147" s="102"/>
      <x:c r="BQ147" s="109" t="str">
        <x:f t="shared" si="66"/>
        <x:v>FAILED</x:v>
      </x:c>
      <x:c r="BR147" s="115"/>
      <x:c r="BS147" s="115"/>
      <x:c r="BT147" s="107"/>
      <x:c r="BU147" s="107"/>
      <x:c r="BV147" s="107"/>
      <x:c r="BW147" s="107"/>
      <x:c r="BX147" s="107"/>
      <x:c r="BY147" s="109" t="str">
        <x:f t="shared" si="67"/>
        <x:v>FAILED</x:v>
      </x:c>
      <x:c r="BZ147" s="115"/>
      <x:c r="CA147" s="115"/>
      <x:c r="CB147" s="107"/>
      <x:c r="CC147" s="107"/>
      <x:c r="CD147" s="107"/>
      <x:c r="CE147" s="107"/>
      <x:c r="CF147" s="107"/>
      <x:c r="CG147" s="109" t="str">
        <x:f t="shared" si="68"/>
        <x:v>FAILED</x:v>
      </x:c>
      <x:c r="CH147" s="117"/>
    </x:row>
    <x:row r="148">
      <x:c r="A148" s="102" t="str">
        <x:f>IF(RECORD!A150="","",RECORD!A150)</x:f>
      </x:c>
      <x:c r="B148" s="102" t="str">
        <x:f>IF(RECORD!B150="","",RECORD!B150)</x:f>
      </x:c>
      <x:c r="C148" s="103" t="str">
        <x:f>IF(RECORD!C150="","",RECORD!C150)</x:f>
      </x:c>
      <x:c r="D148" s="104" t="str">
        <x:f t="array" ref="D148">IF(C148&lt;&gt;"",IF(F$7="SUMMER","N/A",_xlfn.IFS(D$10="TLA",RECORD!GO150,F$10="LECTURE","",TRUE(),"")),"")</x:f>
      </x:c>
      <x:c r="E148" s="105" t="str">
        <x:f t="shared" si="46"/>
      </x:c>
      <x:c r="F148" s="104" t="str">
        <x:f t="array" ref="F148">IF(C148&lt;&gt;"",IF(F$7="SUMMER","N/A",_xlfn.IFS(F$10="AT",RECORD!GI150,F$10="LECTURE",GRADES!AP148,TRUE(),"")),"")</x:f>
      </x:c>
      <x:c r="G148" s="106" t="str">
        <x:f t="shared" si="47"/>
      </x:c>
      <x:c r="H148" s="107" t="str">
        <x:f t="array" ref="H148">IF(C148&lt;&gt;"",IF(F$7="SUMMER","N/A",_xlfn.IFS(H$10="EXAM",RECORD!GJ150,H$10="OUTPUT",RECORD!GK150,H$10="LAB",BP148,TRUE(),"")),"")</x:f>
      </x:c>
      <x:c r="I148" s="106" t="str">
        <x:f t="shared" si="48"/>
      </x:c>
      <x:c r="J148" s="108" t="str">
        <x:f t="shared" si="49"/>
      </x:c>
      <x:c r="K148" s="109" t="str">
        <x:f t="shared" si="50"/>
      </x:c>
      <x:c r="L148" s="110" t="str">
        <x:f t="array" ref="L148">IF(C148&lt;&gt;"",_xlfn.IFS(L$10="TLA",RECORD!GY150,N$10="LECTURE","",TRUE(),""),"")</x:f>
      </x:c>
      <x:c r="M148" s="105" t="str">
        <x:f t="shared" si="51"/>
      </x:c>
      <x:c r="N148" s="104" t="str">
        <x:f t="array" ref="N148">IF(C148&lt;&gt;"",_xlfn.IFS(N$10="AT",RECORD!GS150,N$10="LECTURE",AX148,TRUE(),""),"")</x:f>
      </x:c>
      <x:c r="O148" s="106" t="str">
        <x:f t="shared" si="52"/>
      </x:c>
      <x:c r="P148" s="107" t="str">
        <x:f t="array" ref="P148">IF(C148&lt;&gt;"",_xlfn.IFS(P$10="EXAM",RECORD!GT150,P$10="OUTPUT",RECORD!GU150,P$10="LAB",BX148,TRUE(),""),"")</x:f>
      </x:c>
      <x:c r="Q148" s="106" t="str">
        <x:f t="shared" si="53"/>
      </x:c>
      <x:c r="R148" s="108" t="str">
        <x:f t="shared" si="54"/>
      </x:c>
      <x:c r="S148" s="109" t="str">
        <x:f t="shared" si="55"/>
      </x:c>
      <x:c r="T148" s="110" t="str">
        <x:f t="array" ref="T148">IF(C148&lt;&gt;"",_xlfn.IFS(T$10="TLA",RECORD!HI150,V$10="LECTURE","",TRUE(),""),"")</x:f>
      </x:c>
      <x:c r="U148" s="105" t="str">
        <x:f t="shared" si="56"/>
      </x:c>
      <x:c r="V148" s="104" t="str">
        <x:f t="array" ref="V148">IF(C148&lt;&gt;"",_xlfn.IFS(V$10="AT",RECORD!HC150,V$10="LECTURE",BF148,TRUE(),""),"")</x:f>
      </x:c>
      <x:c r="W148" s="106" t="str">
        <x:f t="shared" si="57"/>
      </x:c>
      <x:c r="X148" s="107" t="str">
        <x:f t="array" ref="X148">IF(C148&lt;&gt;"",_xlfn.IFS(X$10="EXAM",RECORD!HD150,X$10="OUTPUT",RECORD!HE150,X$10="LAB",CF148,TRUE(),""),"")</x:f>
      </x:c>
      <x:c r="Y148" s="106" t="str">
        <x:f t="shared" si="58"/>
      </x:c>
      <x:c r="Z148" s="108" t="str">
        <x:f t="shared" si="59"/>
      </x:c>
      <x:c r="AA148" s="109" t="str">
        <x:f t="shared" si="60"/>
      </x:c>
      <x:c r="AB148" s="111" t="str">
        <x:f t="shared" si="61"/>
      </x:c>
      <x:c r="AC148" s="109" t="str">
        <x:f t="shared" si="62"/>
      </x:c>
      <x:c r="AD148" s="112"/>
      <x:c r="AE148" s="102"/>
      <x:c r="AF148" s="113"/>
      <x:c r="AG148" s="112"/>
      <x:c r="AH148" s="103"/>
      <x:c r="AI148" s="114"/>
      <x:c r="AJ148" s="102"/>
      <x:c r="AK148" s="102"/>
      <x:c r="AL148" s="102"/>
      <x:c r="AM148" s="102"/>
      <x:c r="AN148" s="102"/>
      <x:c r="AO148" s="102"/>
      <x:c r="AP148" s="102"/>
      <x:c r="AQ148" s="109" t="str">
        <x:f t="shared" si="63"/>
        <x:v>FAILED</x:v>
      </x:c>
      <x:c r="AR148" s="115"/>
      <x:c r="AS148" s="115"/>
      <x:c r="AT148" s="107"/>
      <x:c r="AU148" s="107"/>
      <x:c r="AV148" s="107"/>
      <x:c r="AW148" s="107"/>
      <x:c r="AX148" s="107"/>
      <x:c r="AY148" s="109" t="str">
        <x:f t="shared" si="64"/>
        <x:v>FAILED</x:v>
      </x:c>
      <x:c r="AZ148" s="115"/>
      <x:c r="BA148" s="115"/>
      <x:c r="BB148" s="107"/>
      <x:c r="BC148" s="107"/>
      <x:c r="BD148" s="107"/>
      <x:c r="BE148" s="107"/>
      <x:c r="BF148" s="107"/>
      <x:c r="BG148" s="109" t="str">
        <x:f t="shared" si="65"/>
        <x:v>FAILED</x:v>
      </x:c>
      <x:c r="BH148" s="117"/>
      <x:c r="BI148" s="102"/>
      <x:c r="BJ148" s="102"/>
      <x:c r="BK148" s="102"/>
      <x:c r="BL148" s="102"/>
      <x:c r="BM148" s="102"/>
      <x:c r="BN148" s="102"/>
      <x:c r="BO148" s="102"/>
      <x:c r="BP148" s="102"/>
      <x:c r="BQ148" s="109" t="str">
        <x:f t="shared" si="66"/>
        <x:v>FAILED</x:v>
      </x:c>
      <x:c r="BR148" s="115"/>
      <x:c r="BS148" s="115"/>
      <x:c r="BT148" s="107"/>
      <x:c r="BU148" s="107"/>
      <x:c r="BV148" s="107"/>
      <x:c r="BW148" s="107"/>
      <x:c r="BX148" s="107"/>
      <x:c r="BY148" s="109" t="str">
        <x:f t="shared" si="67"/>
        <x:v>FAILED</x:v>
      </x:c>
      <x:c r="BZ148" s="115"/>
      <x:c r="CA148" s="115"/>
      <x:c r="CB148" s="107"/>
      <x:c r="CC148" s="107"/>
      <x:c r="CD148" s="107"/>
      <x:c r="CE148" s="107"/>
      <x:c r="CF148" s="107"/>
      <x:c r="CG148" s="109" t="str">
        <x:f t="shared" si="68"/>
        <x:v>FAILED</x:v>
      </x:c>
      <x:c r="CH148" s="117"/>
    </x:row>
    <x:row r="149">
      <x:c r="A149" s="102" t="str">
        <x:f>IF(RECORD!A151="","",RECORD!A151)</x:f>
      </x:c>
      <x:c r="B149" s="102" t="str">
        <x:f>IF(RECORD!B151="","",RECORD!B151)</x:f>
      </x:c>
      <x:c r="C149" s="103" t="str">
        <x:f>IF(RECORD!C151="","",RECORD!C151)</x:f>
      </x:c>
      <x:c r="D149" s="104" t="str">
        <x:f t="array" ref="D149">IF(C149&lt;&gt;"",IF(F$7="SUMMER","N/A",_xlfn.IFS(D$10="TLA",RECORD!GO151,F$10="LECTURE","",TRUE(),"")),"")</x:f>
      </x:c>
      <x:c r="E149" s="105" t="str">
        <x:f t="shared" si="46"/>
      </x:c>
      <x:c r="F149" s="104" t="str">
        <x:f t="array" ref="F149">IF(C149&lt;&gt;"",IF(F$7="SUMMER","N/A",_xlfn.IFS(F$10="AT",RECORD!GI151,F$10="LECTURE",GRADES!AP149,TRUE(),"")),"")</x:f>
      </x:c>
      <x:c r="G149" s="106" t="str">
        <x:f t="shared" si="47"/>
      </x:c>
      <x:c r="H149" s="107" t="str">
        <x:f t="array" ref="H149">IF(C149&lt;&gt;"",IF(F$7="SUMMER","N/A",_xlfn.IFS(H$10="EXAM",RECORD!GJ151,H$10="OUTPUT",RECORD!GK151,H$10="LAB",BP149,TRUE(),"")),"")</x:f>
      </x:c>
      <x:c r="I149" s="106" t="str">
        <x:f t="shared" si="48"/>
      </x:c>
      <x:c r="J149" s="108" t="str">
        <x:f t="shared" si="49"/>
      </x:c>
      <x:c r="K149" s="109" t="str">
        <x:f t="shared" si="50"/>
      </x:c>
      <x:c r="L149" s="110" t="str">
        <x:f t="array" ref="L149">IF(C149&lt;&gt;"",_xlfn.IFS(L$10="TLA",RECORD!GY151,N$10="LECTURE","",TRUE(),""),"")</x:f>
      </x:c>
      <x:c r="M149" s="105" t="str">
        <x:f t="shared" si="51"/>
      </x:c>
      <x:c r="N149" s="104" t="str">
        <x:f t="array" ref="N149">IF(C149&lt;&gt;"",_xlfn.IFS(N$10="AT",RECORD!GS151,N$10="LECTURE",AX149,TRUE(),""),"")</x:f>
      </x:c>
      <x:c r="O149" s="106" t="str">
        <x:f t="shared" si="52"/>
      </x:c>
      <x:c r="P149" s="107" t="str">
        <x:f t="array" ref="P149">IF(C149&lt;&gt;"",_xlfn.IFS(P$10="EXAM",RECORD!GT151,P$10="OUTPUT",RECORD!GU151,P$10="LAB",BX149,TRUE(),""),"")</x:f>
      </x:c>
      <x:c r="Q149" s="106" t="str">
        <x:f t="shared" si="53"/>
      </x:c>
      <x:c r="R149" s="108" t="str">
        <x:f t="shared" si="54"/>
      </x:c>
      <x:c r="S149" s="109" t="str">
        <x:f t="shared" si="55"/>
      </x:c>
      <x:c r="T149" s="110" t="str">
        <x:f t="array" ref="T149">IF(C149&lt;&gt;"",_xlfn.IFS(T$10="TLA",RECORD!HI151,V$10="LECTURE","",TRUE(),""),"")</x:f>
      </x:c>
      <x:c r="U149" s="105" t="str">
        <x:f t="shared" si="56"/>
      </x:c>
      <x:c r="V149" s="104" t="str">
        <x:f t="array" ref="V149">IF(C149&lt;&gt;"",_xlfn.IFS(V$10="AT",RECORD!HC151,V$10="LECTURE",BF149,TRUE(),""),"")</x:f>
      </x:c>
      <x:c r="W149" s="106" t="str">
        <x:f t="shared" si="57"/>
      </x:c>
      <x:c r="X149" s="107" t="str">
        <x:f t="array" ref="X149">IF(C149&lt;&gt;"",_xlfn.IFS(X$10="EXAM",RECORD!HD151,X$10="OUTPUT",RECORD!HE151,X$10="LAB",CF149,TRUE(),""),"")</x:f>
      </x:c>
      <x:c r="Y149" s="106" t="str">
        <x:f t="shared" si="58"/>
      </x:c>
      <x:c r="Z149" s="108" t="str">
        <x:f t="shared" si="59"/>
      </x:c>
      <x:c r="AA149" s="109" t="str">
        <x:f t="shared" si="60"/>
      </x:c>
      <x:c r="AB149" s="111" t="str">
        <x:f t="shared" si="61"/>
      </x:c>
      <x:c r="AC149" s="109" t="str">
        <x:f t="shared" si="62"/>
      </x:c>
      <x:c r="AD149" s="112"/>
      <x:c r="AE149" s="102"/>
      <x:c r="AF149" s="113"/>
      <x:c r="AG149" s="112"/>
      <x:c r="AH149" s="103"/>
      <x:c r="AI149" s="114"/>
      <x:c r="AJ149" s="102"/>
      <x:c r="AK149" s="102"/>
      <x:c r="AL149" s="102"/>
      <x:c r="AM149" s="102"/>
      <x:c r="AN149" s="102"/>
      <x:c r="AO149" s="102"/>
      <x:c r="AP149" s="102"/>
      <x:c r="AQ149" s="109" t="str">
        <x:f t="shared" si="63"/>
        <x:v>FAILED</x:v>
      </x:c>
      <x:c r="AR149" s="115"/>
      <x:c r="AS149" s="115"/>
      <x:c r="AT149" s="107"/>
      <x:c r="AU149" s="107"/>
      <x:c r="AV149" s="107"/>
      <x:c r="AW149" s="107"/>
      <x:c r="AX149" s="107"/>
      <x:c r="AY149" s="109" t="str">
        <x:f t="shared" si="64"/>
        <x:v>FAILED</x:v>
      </x:c>
      <x:c r="AZ149" s="115"/>
      <x:c r="BA149" s="115"/>
      <x:c r="BB149" s="107"/>
      <x:c r="BC149" s="107"/>
      <x:c r="BD149" s="107"/>
      <x:c r="BE149" s="107"/>
      <x:c r="BF149" s="107"/>
      <x:c r="BG149" s="109" t="str">
        <x:f t="shared" si="65"/>
        <x:v>FAILED</x:v>
      </x:c>
      <x:c r="BH149" s="117"/>
      <x:c r="BI149" s="102"/>
      <x:c r="BJ149" s="102"/>
      <x:c r="BK149" s="102"/>
      <x:c r="BL149" s="102"/>
      <x:c r="BM149" s="102"/>
      <x:c r="BN149" s="102"/>
      <x:c r="BO149" s="102"/>
      <x:c r="BP149" s="102"/>
      <x:c r="BQ149" s="109" t="str">
        <x:f t="shared" si="66"/>
        <x:v>FAILED</x:v>
      </x:c>
      <x:c r="BR149" s="115"/>
      <x:c r="BS149" s="115"/>
      <x:c r="BT149" s="107"/>
      <x:c r="BU149" s="107"/>
      <x:c r="BV149" s="107"/>
      <x:c r="BW149" s="107"/>
      <x:c r="BX149" s="107"/>
      <x:c r="BY149" s="109" t="str">
        <x:f t="shared" si="67"/>
        <x:v>FAILED</x:v>
      </x:c>
      <x:c r="BZ149" s="115"/>
      <x:c r="CA149" s="115"/>
      <x:c r="CB149" s="107"/>
      <x:c r="CC149" s="107"/>
      <x:c r="CD149" s="107"/>
      <x:c r="CE149" s="107"/>
      <x:c r="CF149" s="107"/>
      <x:c r="CG149" s="109" t="str">
        <x:f t="shared" si="68"/>
        <x:v>FAILED</x:v>
      </x:c>
      <x:c r="CH149" s="117"/>
    </x:row>
    <x:row r="150">
      <x:c r="A150" s="102" t="str">
        <x:f>IF(RECORD!A152="","",RECORD!A152)</x:f>
      </x:c>
      <x:c r="B150" s="102" t="str">
        <x:f>IF(RECORD!B152="","",RECORD!B152)</x:f>
      </x:c>
      <x:c r="C150" s="103" t="str">
        <x:f>IF(RECORD!C152="","",RECORD!C152)</x:f>
      </x:c>
      <x:c r="D150" s="104" t="str">
        <x:f t="array" ref="D150">IF(C150&lt;&gt;"",IF(F$7="SUMMER","N/A",_xlfn.IFS(D$10="TLA",RECORD!GO152,F$10="LECTURE","",TRUE(),"")),"")</x:f>
      </x:c>
      <x:c r="E150" s="105" t="str">
        <x:f t="shared" si="46"/>
      </x:c>
      <x:c r="F150" s="104" t="str">
        <x:f t="array" ref="F150">IF(C150&lt;&gt;"",IF(F$7="SUMMER","N/A",_xlfn.IFS(F$10="AT",RECORD!GI152,F$10="LECTURE",GRADES!AP150,TRUE(),"")),"")</x:f>
      </x:c>
      <x:c r="G150" s="106" t="str">
        <x:f t="shared" si="47"/>
      </x:c>
      <x:c r="H150" s="107" t="str">
        <x:f t="array" ref="H150">IF(C150&lt;&gt;"",IF(F$7="SUMMER","N/A",_xlfn.IFS(H$10="EXAM",RECORD!GJ152,H$10="OUTPUT",RECORD!GK152,H$10="LAB",BP150,TRUE(),"")),"")</x:f>
      </x:c>
      <x:c r="I150" s="106" t="str">
        <x:f t="shared" si="48"/>
      </x:c>
      <x:c r="J150" s="108" t="str">
        <x:f t="shared" si="49"/>
      </x:c>
      <x:c r="K150" s="109" t="str">
        <x:f t="shared" si="50"/>
      </x:c>
      <x:c r="L150" s="110" t="str">
        <x:f t="array" ref="L150">IF(C150&lt;&gt;"",_xlfn.IFS(L$10="TLA",RECORD!GY152,N$10="LECTURE","",TRUE(),""),"")</x:f>
      </x:c>
      <x:c r="M150" s="105" t="str">
        <x:f t="shared" si="51"/>
      </x:c>
      <x:c r="N150" s="104" t="str">
        <x:f t="array" ref="N150">IF(C150&lt;&gt;"",_xlfn.IFS(N$10="AT",RECORD!GS152,N$10="LECTURE",AX150,TRUE(),""),"")</x:f>
      </x:c>
      <x:c r="O150" s="106" t="str">
        <x:f t="shared" si="52"/>
      </x:c>
      <x:c r="P150" s="107" t="str">
        <x:f t="array" ref="P150">IF(C150&lt;&gt;"",_xlfn.IFS(P$10="EXAM",RECORD!GT152,P$10="OUTPUT",RECORD!GU152,P$10="LAB",BX150,TRUE(),""),"")</x:f>
      </x:c>
      <x:c r="Q150" s="106" t="str">
        <x:f t="shared" si="53"/>
      </x:c>
      <x:c r="R150" s="108" t="str">
        <x:f t="shared" si="54"/>
      </x:c>
      <x:c r="S150" s="109" t="str">
        <x:f t="shared" si="55"/>
      </x:c>
      <x:c r="T150" s="110" t="str">
        <x:f t="array" ref="T150">IF(C150&lt;&gt;"",_xlfn.IFS(T$10="TLA",RECORD!HI152,V$10="LECTURE","",TRUE(),""),"")</x:f>
      </x:c>
      <x:c r="U150" s="105" t="str">
        <x:f t="shared" si="56"/>
      </x:c>
      <x:c r="V150" s="104" t="str">
        <x:f t="array" ref="V150">IF(C150&lt;&gt;"",_xlfn.IFS(V$10="AT",RECORD!HC152,V$10="LECTURE",BF150,TRUE(),""),"")</x:f>
      </x:c>
      <x:c r="W150" s="106" t="str">
        <x:f t="shared" si="57"/>
      </x:c>
      <x:c r="X150" s="107" t="str">
        <x:f t="array" ref="X150">IF(C150&lt;&gt;"",_xlfn.IFS(X$10="EXAM",RECORD!HD152,X$10="OUTPUT",RECORD!HE152,X$10="LAB",CF150,TRUE(),""),"")</x:f>
      </x:c>
      <x:c r="Y150" s="106" t="str">
        <x:f t="shared" si="58"/>
      </x:c>
      <x:c r="Z150" s="108" t="str">
        <x:f t="shared" si="59"/>
      </x:c>
      <x:c r="AA150" s="109" t="str">
        <x:f t="shared" si="60"/>
      </x:c>
      <x:c r="AB150" s="111" t="str">
        <x:f t="shared" si="61"/>
      </x:c>
      <x:c r="AC150" s="109" t="str">
        <x:f t="shared" si="62"/>
      </x:c>
      <x:c r="AD150" s="112"/>
      <x:c r="AE150" s="102"/>
      <x:c r="AF150" s="113"/>
      <x:c r="AG150" s="112"/>
      <x:c r="AH150" s="103"/>
      <x:c r="AI150" s="114"/>
      <x:c r="AJ150" s="102"/>
      <x:c r="AK150" s="102"/>
      <x:c r="AL150" s="102"/>
      <x:c r="AM150" s="102"/>
      <x:c r="AN150" s="102"/>
      <x:c r="AO150" s="102"/>
      <x:c r="AP150" s="102"/>
      <x:c r="AQ150" s="109" t="str">
        <x:f t="shared" si="63"/>
        <x:v>FAILED</x:v>
      </x:c>
      <x:c r="AR150" s="115"/>
      <x:c r="AS150" s="115"/>
      <x:c r="AT150" s="107"/>
      <x:c r="AU150" s="107"/>
      <x:c r="AV150" s="107"/>
      <x:c r="AW150" s="107"/>
      <x:c r="AX150" s="107"/>
      <x:c r="AY150" s="109" t="str">
        <x:f t="shared" si="64"/>
        <x:v>FAILED</x:v>
      </x:c>
      <x:c r="AZ150" s="115"/>
      <x:c r="BA150" s="115"/>
      <x:c r="BB150" s="107"/>
      <x:c r="BC150" s="107"/>
      <x:c r="BD150" s="107"/>
      <x:c r="BE150" s="107"/>
      <x:c r="BF150" s="107"/>
      <x:c r="BG150" s="109" t="str">
        <x:f t="shared" si="65"/>
        <x:v>FAILED</x:v>
      </x:c>
      <x:c r="BH150" s="117"/>
      <x:c r="BI150" s="102"/>
      <x:c r="BJ150" s="102"/>
      <x:c r="BK150" s="102"/>
      <x:c r="BL150" s="102"/>
      <x:c r="BM150" s="102"/>
      <x:c r="BN150" s="102"/>
      <x:c r="BO150" s="102"/>
      <x:c r="BP150" s="102"/>
      <x:c r="BQ150" s="109" t="str">
        <x:f t="shared" si="66"/>
        <x:v>FAILED</x:v>
      </x:c>
      <x:c r="BR150" s="115"/>
      <x:c r="BS150" s="115"/>
      <x:c r="BT150" s="107"/>
      <x:c r="BU150" s="107"/>
      <x:c r="BV150" s="107"/>
      <x:c r="BW150" s="107"/>
      <x:c r="BX150" s="107"/>
      <x:c r="BY150" s="109" t="str">
        <x:f t="shared" si="67"/>
        <x:v>FAILED</x:v>
      </x:c>
      <x:c r="BZ150" s="115"/>
      <x:c r="CA150" s="115"/>
      <x:c r="CB150" s="107"/>
      <x:c r="CC150" s="107"/>
      <x:c r="CD150" s="107"/>
      <x:c r="CE150" s="107"/>
      <x:c r="CF150" s="107"/>
      <x:c r="CG150" s="109" t="str">
        <x:f t="shared" si="68"/>
        <x:v>FAILED</x:v>
      </x:c>
      <x:c r="CH150" s="117"/>
    </x:row>
    <x:row r="151">
      <x:c r="A151" s="102" t="str">
        <x:f>IF(RECORD!A153="","",RECORD!A153)</x:f>
      </x:c>
      <x:c r="B151" s="102" t="str">
        <x:f>IF(RECORD!B153="","",RECORD!B153)</x:f>
      </x:c>
      <x:c r="C151" s="103" t="str">
        <x:f>IF(RECORD!C153="","",RECORD!C153)</x:f>
      </x:c>
      <x:c r="D151" s="104" t="str">
        <x:f t="array" ref="D151">IF(C151&lt;&gt;"",IF(F$7="SUMMER","N/A",_xlfn.IFS(D$10="TLA",RECORD!GO153,F$10="LECTURE","",TRUE(),"")),"")</x:f>
      </x:c>
      <x:c r="E151" s="105" t="str">
        <x:f t="shared" si="46"/>
      </x:c>
      <x:c r="F151" s="104" t="str">
        <x:f t="array" ref="F151">IF(C151&lt;&gt;"",IF(F$7="SUMMER","N/A",_xlfn.IFS(F$10="AT",RECORD!GI153,F$10="LECTURE",GRADES!AP151,TRUE(),"")),"")</x:f>
      </x:c>
      <x:c r="G151" s="106" t="str">
        <x:f t="shared" si="47"/>
      </x:c>
      <x:c r="H151" s="107" t="str">
        <x:f t="array" ref="H151">IF(C151&lt;&gt;"",IF(F$7="SUMMER","N/A",_xlfn.IFS(H$10="EXAM",RECORD!GJ153,H$10="OUTPUT",RECORD!GK153,H$10="LAB",BP151,TRUE(),"")),"")</x:f>
      </x:c>
      <x:c r="I151" s="106" t="str">
        <x:f t="shared" si="48"/>
      </x:c>
      <x:c r="J151" s="108" t="str">
        <x:f t="shared" si="49"/>
      </x:c>
      <x:c r="K151" s="109" t="str">
        <x:f t="shared" si="50"/>
      </x:c>
      <x:c r="L151" s="110" t="str">
        <x:f t="array" ref="L151">IF(C151&lt;&gt;"",_xlfn.IFS(L$10="TLA",RECORD!GY153,N$10="LECTURE","",TRUE(),""),"")</x:f>
      </x:c>
      <x:c r="M151" s="105" t="str">
        <x:f t="shared" si="51"/>
      </x:c>
      <x:c r="N151" s="104" t="str">
        <x:f t="array" ref="N151">IF(C151&lt;&gt;"",_xlfn.IFS(N$10="AT",RECORD!GS153,N$10="LECTURE",AX151,TRUE(),""),"")</x:f>
      </x:c>
      <x:c r="O151" s="106" t="str">
        <x:f t="shared" si="52"/>
      </x:c>
      <x:c r="P151" s="107" t="str">
        <x:f t="array" ref="P151">IF(C151&lt;&gt;"",_xlfn.IFS(P$10="EXAM",RECORD!GT153,P$10="OUTPUT",RECORD!GU153,P$10="LAB",BX151,TRUE(),""),"")</x:f>
      </x:c>
      <x:c r="Q151" s="106" t="str">
        <x:f t="shared" si="53"/>
      </x:c>
      <x:c r="R151" s="108" t="str">
        <x:f t="shared" si="54"/>
      </x:c>
      <x:c r="S151" s="109" t="str">
        <x:f t="shared" si="55"/>
      </x:c>
      <x:c r="T151" s="110" t="str">
        <x:f t="array" ref="T151">IF(C151&lt;&gt;"",_xlfn.IFS(T$10="TLA",RECORD!HI153,V$10="LECTURE","",TRUE(),""),"")</x:f>
      </x:c>
      <x:c r="U151" s="105" t="str">
        <x:f t="shared" si="56"/>
      </x:c>
      <x:c r="V151" s="104" t="str">
        <x:f t="array" ref="V151">IF(C151&lt;&gt;"",_xlfn.IFS(V$10="AT",RECORD!HC153,V$10="LECTURE",BF151,TRUE(),""),"")</x:f>
      </x:c>
      <x:c r="W151" s="106" t="str">
        <x:f t="shared" si="57"/>
      </x:c>
      <x:c r="X151" s="107" t="str">
        <x:f t="array" ref="X151">IF(C151&lt;&gt;"",_xlfn.IFS(X$10="EXAM",RECORD!HD153,X$10="OUTPUT",RECORD!HE153,X$10="LAB",CF151,TRUE(),""),"")</x:f>
      </x:c>
      <x:c r="Y151" s="106" t="str">
        <x:f t="shared" si="58"/>
      </x:c>
      <x:c r="Z151" s="108" t="str">
        <x:f t="shared" si="59"/>
      </x:c>
      <x:c r="AA151" s="109" t="str">
        <x:f t="shared" si="60"/>
      </x:c>
      <x:c r="AB151" s="111" t="str">
        <x:f t="shared" si="61"/>
      </x:c>
      <x:c r="AC151" s="109" t="str">
        <x:f t="shared" si="62"/>
      </x:c>
      <x:c r="AD151" s="112"/>
      <x:c r="AE151" s="102"/>
      <x:c r="AF151" s="113"/>
      <x:c r="AG151" s="112"/>
      <x:c r="AH151" s="103"/>
      <x:c r="AI151" s="114"/>
      <x:c r="AJ151" s="102"/>
      <x:c r="AK151" s="102"/>
      <x:c r="AL151" s="102"/>
      <x:c r="AM151" s="102"/>
      <x:c r="AN151" s="102"/>
      <x:c r="AO151" s="102"/>
      <x:c r="AP151" s="102"/>
      <x:c r="AQ151" s="109" t="str">
        <x:f t="shared" si="63"/>
        <x:v>FAILED</x:v>
      </x:c>
      <x:c r="AR151" s="115"/>
      <x:c r="AS151" s="115"/>
      <x:c r="AT151" s="107"/>
      <x:c r="AU151" s="107"/>
      <x:c r="AV151" s="107"/>
      <x:c r="AW151" s="107"/>
      <x:c r="AX151" s="107"/>
      <x:c r="AY151" s="109" t="str">
        <x:f t="shared" si="64"/>
        <x:v>FAILED</x:v>
      </x:c>
      <x:c r="AZ151" s="115"/>
      <x:c r="BA151" s="115"/>
      <x:c r="BB151" s="107"/>
      <x:c r="BC151" s="107"/>
      <x:c r="BD151" s="107"/>
      <x:c r="BE151" s="107"/>
      <x:c r="BF151" s="107"/>
      <x:c r="BG151" s="109" t="str">
        <x:f t="shared" si="65"/>
        <x:v>FAILED</x:v>
      </x:c>
      <x:c r="BH151" s="117"/>
      <x:c r="BI151" s="102"/>
      <x:c r="BJ151" s="102"/>
      <x:c r="BK151" s="102"/>
      <x:c r="BL151" s="102"/>
      <x:c r="BM151" s="102"/>
      <x:c r="BN151" s="102"/>
      <x:c r="BO151" s="102"/>
      <x:c r="BP151" s="102"/>
      <x:c r="BQ151" s="109" t="str">
        <x:f t="shared" si="66"/>
        <x:v>FAILED</x:v>
      </x:c>
      <x:c r="BR151" s="115"/>
      <x:c r="BS151" s="115"/>
      <x:c r="BT151" s="107"/>
      <x:c r="BU151" s="107"/>
      <x:c r="BV151" s="107"/>
      <x:c r="BW151" s="107"/>
      <x:c r="BX151" s="107"/>
      <x:c r="BY151" s="109" t="str">
        <x:f t="shared" si="67"/>
        <x:v>FAILED</x:v>
      </x:c>
      <x:c r="BZ151" s="115"/>
      <x:c r="CA151" s="115"/>
      <x:c r="CB151" s="107"/>
      <x:c r="CC151" s="107"/>
      <x:c r="CD151" s="107"/>
      <x:c r="CE151" s="107"/>
      <x:c r="CF151" s="107"/>
      <x:c r="CG151" s="109" t="str">
        <x:f t="shared" si="68"/>
        <x:v>FAILED</x:v>
      </x:c>
      <x:c r="CH151" s="117"/>
    </x:row>
    <x:row r="152">
      <x:c r="A152" s="102" t="str">
        <x:f>IF(RECORD!A154="","",RECORD!A154)</x:f>
      </x:c>
      <x:c r="B152" s="102" t="str">
        <x:f>IF(RECORD!B154="","",RECORD!B154)</x:f>
      </x:c>
      <x:c r="C152" s="103" t="str">
        <x:f>IF(RECORD!C154="","",RECORD!C154)</x:f>
      </x:c>
      <x:c r="D152" s="104" t="str">
        <x:f t="array" ref="D152">IF(C152&lt;&gt;"",IF(F$7="SUMMER","N/A",_xlfn.IFS(D$10="TLA",RECORD!GO154,F$10="LECTURE","",TRUE(),"")),"")</x:f>
      </x:c>
      <x:c r="E152" s="105" t="str">
        <x:f t="shared" si="46"/>
      </x:c>
      <x:c r="F152" s="104" t="str">
        <x:f t="array" ref="F152">IF(C152&lt;&gt;"",IF(F$7="SUMMER","N/A",_xlfn.IFS(F$10="AT",RECORD!GI154,F$10="LECTURE",GRADES!AP152,TRUE(),"")),"")</x:f>
      </x:c>
      <x:c r="G152" s="106" t="str">
        <x:f t="shared" si="47"/>
      </x:c>
      <x:c r="H152" s="107" t="str">
        <x:f t="array" ref="H152">IF(C152&lt;&gt;"",IF(F$7="SUMMER","N/A",_xlfn.IFS(H$10="EXAM",RECORD!GJ154,H$10="OUTPUT",RECORD!GK154,H$10="LAB",BP152,TRUE(),"")),"")</x:f>
      </x:c>
      <x:c r="I152" s="106" t="str">
        <x:f t="shared" si="48"/>
      </x:c>
      <x:c r="J152" s="108" t="str">
        <x:f t="shared" si="49"/>
      </x:c>
      <x:c r="K152" s="109" t="str">
        <x:f t="shared" si="50"/>
      </x:c>
      <x:c r="L152" s="110" t="str">
        <x:f t="array" ref="L152">IF(C152&lt;&gt;"",_xlfn.IFS(L$10="TLA",RECORD!GY154,N$10="LECTURE","",TRUE(),""),"")</x:f>
      </x:c>
      <x:c r="M152" s="105" t="str">
        <x:f t="shared" si="51"/>
      </x:c>
      <x:c r="N152" s="104" t="str">
        <x:f t="array" ref="N152">IF(C152&lt;&gt;"",_xlfn.IFS(N$10="AT",RECORD!GS154,N$10="LECTURE",AX152,TRUE(),""),"")</x:f>
      </x:c>
      <x:c r="O152" s="106" t="str">
        <x:f t="shared" si="52"/>
      </x:c>
      <x:c r="P152" s="107" t="str">
        <x:f t="array" ref="P152">IF(C152&lt;&gt;"",_xlfn.IFS(P$10="EXAM",RECORD!GT154,P$10="OUTPUT",RECORD!GU154,P$10="LAB",BX152,TRUE(),""),"")</x:f>
      </x:c>
      <x:c r="Q152" s="106" t="str">
        <x:f t="shared" si="53"/>
      </x:c>
      <x:c r="R152" s="108" t="str">
        <x:f t="shared" si="54"/>
      </x:c>
      <x:c r="S152" s="109" t="str">
        <x:f t="shared" si="55"/>
      </x:c>
      <x:c r="T152" s="110" t="str">
        <x:f t="array" ref="T152">IF(C152&lt;&gt;"",_xlfn.IFS(T$10="TLA",RECORD!HI154,V$10="LECTURE","",TRUE(),""),"")</x:f>
      </x:c>
      <x:c r="U152" s="105" t="str">
        <x:f t="shared" si="56"/>
      </x:c>
      <x:c r="V152" s="104" t="str">
        <x:f t="array" ref="V152">IF(C152&lt;&gt;"",_xlfn.IFS(V$10="AT",RECORD!HC154,V$10="LECTURE",BF152,TRUE(),""),"")</x:f>
      </x:c>
      <x:c r="W152" s="106" t="str">
        <x:f t="shared" si="57"/>
      </x:c>
      <x:c r="X152" s="107" t="str">
        <x:f t="array" ref="X152">IF(C152&lt;&gt;"",_xlfn.IFS(X$10="EXAM",RECORD!HD154,X$10="OUTPUT",RECORD!HE154,X$10="LAB",CF152,TRUE(),""),"")</x:f>
      </x:c>
      <x:c r="Y152" s="106" t="str">
        <x:f t="shared" si="58"/>
      </x:c>
      <x:c r="Z152" s="108" t="str">
        <x:f t="shared" si="59"/>
      </x:c>
      <x:c r="AA152" s="109" t="str">
        <x:f t="shared" si="60"/>
      </x:c>
      <x:c r="AB152" s="111" t="str">
        <x:f t="shared" si="61"/>
      </x:c>
      <x:c r="AC152" s="109" t="str">
        <x:f t="shared" si="62"/>
      </x:c>
      <x:c r="AD152" s="112"/>
      <x:c r="AE152" s="102"/>
      <x:c r="AF152" s="113"/>
      <x:c r="AG152" s="112"/>
      <x:c r="AH152" s="103"/>
      <x:c r="AI152" s="114"/>
      <x:c r="AJ152" s="102"/>
      <x:c r="AK152" s="102"/>
      <x:c r="AL152" s="102"/>
      <x:c r="AM152" s="102"/>
      <x:c r="AN152" s="102"/>
      <x:c r="AO152" s="102"/>
      <x:c r="AP152" s="102"/>
      <x:c r="AQ152" s="109" t="str">
        <x:f t="shared" si="63"/>
        <x:v>FAILED</x:v>
      </x:c>
      <x:c r="AR152" s="115"/>
      <x:c r="AS152" s="115"/>
      <x:c r="AT152" s="107"/>
      <x:c r="AU152" s="107"/>
      <x:c r="AV152" s="107"/>
      <x:c r="AW152" s="107"/>
      <x:c r="AX152" s="107"/>
      <x:c r="AY152" s="109" t="str">
        <x:f t="shared" si="64"/>
        <x:v>FAILED</x:v>
      </x:c>
      <x:c r="AZ152" s="115"/>
      <x:c r="BA152" s="115"/>
      <x:c r="BB152" s="107"/>
      <x:c r="BC152" s="107"/>
      <x:c r="BD152" s="107"/>
      <x:c r="BE152" s="107"/>
      <x:c r="BF152" s="107"/>
      <x:c r="BG152" s="109" t="str">
        <x:f t="shared" si="65"/>
        <x:v>FAILED</x:v>
      </x:c>
      <x:c r="BH152" s="117"/>
      <x:c r="BI152" s="102"/>
      <x:c r="BJ152" s="102"/>
      <x:c r="BK152" s="102"/>
      <x:c r="BL152" s="102"/>
      <x:c r="BM152" s="102"/>
      <x:c r="BN152" s="102"/>
      <x:c r="BO152" s="102"/>
      <x:c r="BP152" s="102"/>
      <x:c r="BQ152" s="109" t="str">
        <x:f t="shared" si="66"/>
        <x:v>FAILED</x:v>
      </x:c>
      <x:c r="BR152" s="115"/>
      <x:c r="BS152" s="115"/>
      <x:c r="BT152" s="107"/>
      <x:c r="BU152" s="107"/>
      <x:c r="BV152" s="107"/>
      <x:c r="BW152" s="107"/>
      <x:c r="BX152" s="107"/>
      <x:c r="BY152" s="109" t="str">
        <x:f t="shared" si="67"/>
        <x:v>FAILED</x:v>
      </x:c>
      <x:c r="BZ152" s="115"/>
      <x:c r="CA152" s="115"/>
      <x:c r="CB152" s="107"/>
      <x:c r="CC152" s="107"/>
      <x:c r="CD152" s="107"/>
      <x:c r="CE152" s="107"/>
      <x:c r="CF152" s="107"/>
      <x:c r="CG152" s="109" t="str">
        <x:f t="shared" si="68"/>
        <x:v>FAILED</x:v>
      </x:c>
      <x:c r="CH152" s="117"/>
    </x:row>
    <x:row r="153">
      <x:c r="A153" s="102" t="str">
        <x:f>IF(RECORD!A155="","",RECORD!A155)</x:f>
      </x:c>
      <x:c r="B153" s="102" t="str">
        <x:f>IF(RECORD!B155="","",RECORD!B155)</x:f>
      </x:c>
      <x:c r="C153" s="103" t="str">
        <x:f>IF(RECORD!C155="","",RECORD!C155)</x:f>
      </x:c>
      <x:c r="D153" s="104" t="str">
        <x:f t="array" ref="D153">IF(C153&lt;&gt;"",IF(F$7="SUMMER","N/A",_xlfn.IFS(D$10="TLA",RECORD!GO155,F$10="LECTURE","",TRUE(),"")),"")</x:f>
      </x:c>
      <x:c r="E153" s="105" t="str">
        <x:f t="shared" si="46"/>
      </x:c>
      <x:c r="F153" s="104" t="str">
        <x:f t="array" ref="F153">IF(C153&lt;&gt;"",IF(F$7="SUMMER","N/A",_xlfn.IFS(F$10="AT",RECORD!GI155,F$10="LECTURE",GRADES!AP153,TRUE(),"")),"")</x:f>
      </x:c>
      <x:c r="G153" s="106" t="str">
        <x:f t="shared" si="47"/>
      </x:c>
      <x:c r="H153" s="107" t="str">
        <x:f t="array" ref="H153">IF(C153&lt;&gt;"",IF(F$7="SUMMER","N/A",_xlfn.IFS(H$10="EXAM",RECORD!GJ155,H$10="OUTPUT",RECORD!GK155,H$10="LAB",BP153,TRUE(),"")),"")</x:f>
      </x:c>
      <x:c r="I153" s="106" t="str">
        <x:f t="shared" si="48"/>
      </x:c>
      <x:c r="J153" s="108" t="str">
        <x:f t="shared" si="49"/>
      </x:c>
      <x:c r="K153" s="109" t="str">
        <x:f t="shared" si="50"/>
      </x:c>
      <x:c r="L153" s="110" t="str">
        <x:f t="array" ref="L153">IF(C153&lt;&gt;"",_xlfn.IFS(L$10="TLA",RECORD!GY155,N$10="LECTURE","",TRUE(),""),"")</x:f>
      </x:c>
      <x:c r="M153" s="105" t="str">
        <x:f t="shared" si="51"/>
      </x:c>
      <x:c r="N153" s="104" t="str">
        <x:f t="array" ref="N153">IF(C153&lt;&gt;"",_xlfn.IFS(N$10="AT",RECORD!GS155,N$10="LECTURE",AX153,TRUE(),""),"")</x:f>
      </x:c>
      <x:c r="O153" s="106" t="str">
        <x:f t="shared" si="52"/>
      </x:c>
      <x:c r="P153" s="107" t="str">
        <x:f t="array" ref="P153">IF(C153&lt;&gt;"",_xlfn.IFS(P$10="EXAM",RECORD!GT155,P$10="OUTPUT",RECORD!GU155,P$10="LAB",BX153,TRUE(),""),"")</x:f>
      </x:c>
      <x:c r="Q153" s="106" t="str">
        <x:f t="shared" si="53"/>
      </x:c>
      <x:c r="R153" s="108" t="str">
        <x:f t="shared" si="54"/>
      </x:c>
      <x:c r="S153" s="109" t="str">
        <x:f t="shared" si="55"/>
      </x:c>
      <x:c r="T153" s="110" t="str">
        <x:f t="array" ref="T153">IF(C153&lt;&gt;"",_xlfn.IFS(T$10="TLA",RECORD!HI155,V$10="LECTURE","",TRUE(),""),"")</x:f>
      </x:c>
      <x:c r="U153" s="105" t="str">
        <x:f t="shared" si="56"/>
      </x:c>
      <x:c r="V153" s="104" t="str">
        <x:f t="array" ref="V153">IF(C153&lt;&gt;"",_xlfn.IFS(V$10="AT",RECORD!HC155,V$10="LECTURE",BF153,TRUE(),""),"")</x:f>
      </x:c>
      <x:c r="W153" s="106" t="str">
        <x:f t="shared" si="57"/>
      </x:c>
      <x:c r="X153" s="107" t="str">
        <x:f t="array" ref="X153">IF(C153&lt;&gt;"",_xlfn.IFS(X$10="EXAM",RECORD!HD155,X$10="OUTPUT",RECORD!HE155,X$10="LAB",CF153,TRUE(),""),"")</x:f>
      </x:c>
      <x:c r="Y153" s="106" t="str">
        <x:f t="shared" si="58"/>
      </x:c>
      <x:c r="Z153" s="108" t="str">
        <x:f t="shared" si="59"/>
      </x:c>
      <x:c r="AA153" s="109" t="str">
        <x:f t="shared" si="60"/>
      </x:c>
      <x:c r="AB153" s="111" t="str">
        <x:f t="shared" si="61"/>
      </x:c>
      <x:c r="AC153" s="109" t="str">
        <x:f t="shared" si="62"/>
      </x:c>
      <x:c r="AD153" s="112"/>
      <x:c r="AE153" s="102"/>
      <x:c r="AF153" s="113"/>
      <x:c r="AG153" s="112"/>
      <x:c r="AH153" s="103"/>
      <x:c r="AI153" s="114"/>
      <x:c r="AJ153" s="102"/>
      <x:c r="AK153" s="102"/>
      <x:c r="AL153" s="102"/>
      <x:c r="AM153" s="102"/>
      <x:c r="AN153" s="102"/>
      <x:c r="AO153" s="102"/>
      <x:c r="AP153" s="102"/>
      <x:c r="AQ153" s="109" t="str">
        <x:f t="shared" si="63"/>
        <x:v>FAILED</x:v>
      </x:c>
      <x:c r="AR153" s="115"/>
      <x:c r="AS153" s="115"/>
      <x:c r="AT153" s="107"/>
      <x:c r="AU153" s="107"/>
      <x:c r="AV153" s="107"/>
      <x:c r="AW153" s="107"/>
      <x:c r="AX153" s="107"/>
      <x:c r="AY153" s="109" t="str">
        <x:f t="shared" si="64"/>
        <x:v>FAILED</x:v>
      </x:c>
      <x:c r="AZ153" s="115"/>
      <x:c r="BA153" s="115"/>
      <x:c r="BB153" s="107"/>
      <x:c r="BC153" s="107"/>
      <x:c r="BD153" s="107"/>
      <x:c r="BE153" s="107"/>
      <x:c r="BF153" s="107"/>
      <x:c r="BG153" s="109" t="str">
        <x:f t="shared" si="65"/>
        <x:v>FAILED</x:v>
      </x:c>
      <x:c r="BH153" s="117"/>
      <x:c r="BI153" s="102"/>
      <x:c r="BJ153" s="102"/>
      <x:c r="BK153" s="102"/>
      <x:c r="BL153" s="102"/>
      <x:c r="BM153" s="102"/>
      <x:c r="BN153" s="102"/>
      <x:c r="BO153" s="102"/>
      <x:c r="BP153" s="102"/>
      <x:c r="BQ153" s="109" t="str">
        <x:f t="shared" si="66"/>
        <x:v>FAILED</x:v>
      </x:c>
      <x:c r="BR153" s="115"/>
      <x:c r="BS153" s="115"/>
      <x:c r="BT153" s="107"/>
      <x:c r="BU153" s="107"/>
      <x:c r="BV153" s="107"/>
      <x:c r="BW153" s="107"/>
      <x:c r="BX153" s="107"/>
      <x:c r="BY153" s="109" t="str">
        <x:f t="shared" si="67"/>
        <x:v>FAILED</x:v>
      </x:c>
      <x:c r="BZ153" s="115"/>
      <x:c r="CA153" s="115"/>
      <x:c r="CB153" s="107"/>
      <x:c r="CC153" s="107"/>
      <x:c r="CD153" s="107"/>
      <x:c r="CE153" s="107"/>
      <x:c r="CF153" s="107"/>
      <x:c r="CG153" s="109" t="str">
        <x:f t="shared" si="68"/>
        <x:v>FAILED</x:v>
      </x:c>
      <x:c r="CH153" s="117"/>
    </x:row>
    <x:row r="154">
      <x:c r="A154" s="102" t="str">
        <x:f>IF(RECORD!A156="","",RECORD!A156)</x:f>
      </x:c>
      <x:c r="B154" s="102" t="str">
        <x:f>IF(RECORD!B156="","",RECORD!B156)</x:f>
      </x:c>
      <x:c r="C154" s="103" t="str">
        <x:f>IF(RECORD!C156="","",RECORD!C156)</x:f>
      </x:c>
      <x:c r="D154" s="104" t="str">
        <x:f t="array" ref="D154">IF(C154&lt;&gt;"",IF(F$7="SUMMER","N/A",_xlfn.IFS(D$10="TLA",RECORD!GO156,F$10="LECTURE","",TRUE(),"")),"")</x:f>
      </x:c>
      <x:c r="E154" s="105" t="str">
        <x:f t="shared" si="46"/>
      </x:c>
      <x:c r="F154" s="104" t="str">
        <x:f t="array" ref="F154">IF(C154&lt;&gt;"",IF(F$7="SUMMER","N/A",_xlfn.IFS(F$10="AT",RECORD!GI156,F$10="LECTURE",GRADES!AP154,TRUE(),"")),"")</x:f>
      </x:c>
      <x:c r="G154" s="106" t="str">
        <x:f t="shared" si="47"/>
      </x:c>
      <x:c r="H154" s="107" t="str">
        <x:f t="array" ref="H154">IF(C154&lt;&gt;"",IF(F$7="SUMMER","N/A",_xlfn.IFS(H$10="EXAM",RECORD!GJ156,H$10="OUTPUT",RECORD!GK156,H$10="LAB",BP154,TRUE(),"")),"")</x:f>
      </x:c>
      <x:c r="I154" s="106" t="str">
        <x:f t="shared" si="48"/>
      </x:c>
      <x:c r="J154" s="108" t="str">
        <x:f t="shared" si="49"/>
      </x:c>
      <x:c r="K154" s="109" t="str">
        <x:f t="shared" si="50"/>
      </x:c>
      <x:c r="L154" s="110" t="str">
        <x:f t="array" ref="L154">IF(C154&lt;&gt;"",_xlfn.IFS(L$10="TLA",RECORD!GY156,N$10="LECTURE","",TRUE(),""),"")</x:f>
      </x:c>
      <x:c r="M154" s="105" t="str">
        <x:f t="shared" si="51"/>
      </x:c>
      <x:c r="N154" s="104" t="str">
        <x:f t="array" ref="N154">IF(C154&lt;&gt;"",_xlfn.IFS(N$10="AT",RECORD!GS156,N$10="LECTURE",AX154,TRUE(),""),"")</x:f>
      </x:c>
      <x:c r="O154" s="106" t="str">
        <x:f t="shared" si="52"/>
      </x:c>
      <x:c r="P154" s="107" t="str">
        <x:f t="array" ref="P154">IF(C154&lt;&gt;"",_xlfn.IFS(P$10="EXAM",RECORD!GT156,P$10="OUTPUT",RECORD!GU156,P$10="LAB",BX154,TRUE(),""),"")</x:f>
      </x:c>
      <x:c r="Q154" s="106" t="str">
        <x:f t="shared" si="53"/>
      </x:c>
      <x:c r="R154" s="108" t="str">
        <x:f t="shared" si="54"/>
      </x:c>
      <x:c r="S154" s="109" t="str">
        <x:f t="shared" si="55"/>
      </x:c>
      <x:c r="T154" s="110" t="str">
        <x:f t="array" ref="T154">IF(C154&lt;&gt;"",_xlfn.IFS(T$10="TLA",RECORD!HI156,V$10="LECTURE","",TRUE(),""),"")</x:f>
      </x:c>
      <x:c r="U154" s="105" t="str">
        <x:f t="shared" si="56"/>
      </x:c>
      <x:c r="V154" s="104" t="str">
        <x:f t="array" ref="V154">IF(C154&lt;&gt;"",_xlfn.IFS(V$10="AT",RECORD!HC156,V$10="LECTURE",BF154,TRUE(),""),"")</x:f>
      </x:c>
      <x:c r="W154" s="106" t="str">
        <x:f t="shared" si="57"/>
      </x:c>
      <x:c r="X154" s="107" t="str">
        <x:f t="array" ref="X154">IF(C154&lt;&gt;"",_xlfn.IFS(X$10="EXAM",RECORD!HD156,X$10="OUTPUT",RECORD!HE156,X$10="LAB",CF154,TRUE(),""),"")</x:f>
      </x:c>
      <x:c r="Y154" s="106" t="str">
        <x:f t="shared" si="58"/>
      </x:c>
      <x:c r="Z154" s="108" t="str">
        <x:f t="shared" si="59"/>
      </x:c>
      <x:c r="AA154" s="109" t="str">
        <x:f t="shared" si="60"/>
      </x:c>
      <x:c r="AB154" s="111" t="str">
        <x:f t="shared" si="61"/>
      </x:c>
      <x:c r="AC154" s="109" t="str">
        <x:f t="shared" si="62"/>
      </x:c>
      <x:c r="AD154" s="112"/>
      <x:c r="AE154" s="102"/>
      <x:c r="AF154" s="113"/>
      <x:c r="AG154" s="112"/>
      <x:c r="AH154" s="103"/>
      <x:c r="AI154" s="114"/>
      <x:c r="AJ154" s="102"/>
      <x:c r="AK154" s="102"/>
      <x:c r="AL154" s="102"/>
      <x:c r="AM154" s="102"/>
      <x:c r="AN154" s="102"/>
      <x:c r="AO154" s="102"/>
      <x:c r="AP154" s="102"/>
      <x:c r="AQ154" s="109" t="str">
        <x:f t="shared" si="63"/>
        <x:v>FAILED</x:v>
      </x:c>
      <x:c r="AR154" s="115"/>
      <x:c r="AS154" s="115"/>
      <x:c r="AT154" s="107"/>
      <x:c r="AU154" s="107"/>
      <x:c r="AV154" s="107"/>
      <x:c r="AW154" s="107"/>
      <x:c r="AX154" s="107"/>
      <x:c r="AY154" s="109" t="str">
        <x:f t="shared" si="64"/>
        <x:v>FAILED</x:v>
      </x:c>
      <x:c r="AZ154" s="115"/>
      <x:c r="BA154" s="115"/>
      <x:c r="BB154" s="107"/>
      <x:c r="BC154" s="107"/>
      <x:c r="BD154" s="107"/>
      <x:c r="BE154" s="107"/>
      <x:c r="BF154" s="107"/>
      <x:c r="BG154" s="109" t="str">
        <x:f t="shared" si="65"/>
        <x:v>FAILED</x:v>
      </x:c>
      <x:c r="BH154" s="117"/>
      <x:c r="BI154" s="102"/>
      <x:c r="BJ154" s="102"/>
      <x:c r="BK154" s="102"/>
      <x:c r="BL154" s="102"/>
      <x:c r="BM154" s="102"/>
      <x:c r="BN154" s="102"/>
      <x:c r="BO154" s="102"/>
      <x:c r="BP154" s="102"/>
      <x:c r="BQ154" s="109" t="str">
        <x:f t="shared" si="66"/>
        <x:v>FAILED</x:v>
      </x:c>
      <x:c r="BR154" s="115"/>
      <x:c r="BS154" s="115"/>
      <x:c r="BT154" s="107"/>
      <x:c r="BU154" s="107"/>
      <x:c r="BV154" s="107"/>
      <x:c r="BW154" s="107"/>
      <x:c r="BX154" s="107"/>
      <x:c r="BY154" s="109" t="str">
        <x:f t="shared" si="67"/>
        <x:v>FAILED</x:v>
      </x:c>
      <x:c r="BZ154" s="115"/>
      <x:c r="CA154" s="115"/>
      <x:c r="CB154" s="107"/>
      <x:c r="CC154" s="107"/>
      <x:c r="CD154" s="107"/>
      <x:c r="CE154" s="107"/>
      <x:c r="CF154" s="107"/>
      <x:c r="CG154" s="109" t="str">
        <x:f t="shared" si="68"/>
        <x:v>FAILED</x:v>
      </x:c>
      <x:c r="CH154" s="117"/>
    </x:row>
    <x:row r="155">
      <x:c r="A155" s="102" t="str">
        <x:f>IF(RECORD!A157="","",RECORD!A157)</x:f>
      </x:c>
      <x:c r="B155" s="102" t="str">
        <x:f>IF(RECORD!B157="","",RECORD!B157)</x:f>
      </x:c>
      <x:c r="C155" s="103" t="str">
        <x:f>IF(RECORD!C157="","",RECORD!C157)</x:f>
      </x:c>
      <x:c r="D155" s="104" t="str">
        <x:f t="array" ref="D155">IF(C155&lt;&gt;"",IF(F$7="SUMMER","N/A",_xlfn.IFS(D$10="TLA",RECORD!GO157,F$10="LECTURE","",TRUE(),"")),"")</x:f>
      </x:c>
      <x:c r="E155" s="105" t="str">
        <x:f t="shared" si="46"/>
      </x:c>
      <x:c r="F155" s="104" t="str">
        <x:f t="array" ref="F155">IF(C155&lt;&gt;"",IF(F$7="SUMMER","N/A",_xlfn.IFS(F$10="AT",RECORD!GI157,F$10="LECTURE",GRADES!AP155,TRUE(),"")),"")</x:f>
      </x:c>
      <x:c r="G155" s="106" t="str">
        <x:f t="shared" si="47"/>
      </x:c>
      <x:c r="H155" s="107" t="str">
        <x:f t="array" ref="H155">IF(C155&lt;&gt;"",IF(F$7="SUMMER","N/A",_xlfn.IFS(H$10="EXAM",RECORD!GJ157,H$10="OUTPUT",RECORD!GK157,H$10="LAB",BP155,TRUE(),"")),"")</x:f>
      </x:c>
      <x:c r="I155" s="106" t="str">
        <x:f t="shared" si="48"/>
      </x:c>
      <x:c r="J155" s="108" t="str">
        <x:f t="shared" si="49"/>
      </x:c>
      <x:c r="K155" s="109" t="str">
        <x:f t="shared" si="50"/>
      </x:c>
      <x:c r="L155" s="110" t="str">
        <x:f t="array" ref="L155">IF(C155&lt;&gt;"",_xlfn.IFS(L$10="TLA",RECORD!GY157,N$10="LECTURE","",TRUE(),""),"")</x:f>
      </x:c>
      <x:c r="M155" s="105" t="str">
        <x:f t="shared" si="51"/>
      </x:c>
      <x:c r="N155" s="104" t="str">
        <x:f t="array" ref="N155">IF(C155&lt;&gt;"",_xlfn.IFS(N$10="AT",RECORD!GS157,N$10="LECTURE",AX155,TRUE(),""),"")</x:f>
      </x:c>
      <x:c r="O155" s="106" t="str">
        <x:f t="shared" si="52"/>
      </x:c>
      <x:c r="P155" s="107" t="str">
        <x:f t="array" ref="P155">IF(C155&lt;&gt;"",_xlfn.IFS(P$10="EXAM",RECORD!GT157,P$10="OUTPUT",RECORD!GU157,P$10="LAB",BX155,TRUE(),""),"")</x:f>
      </x:c>
      <x:c r="Q155" s="106" t="str">
        <x:f t="shared" si="53"/>
      </x:c>
      <x:c r="R155" s="108" t="str">
        <x:f t="shared" si="54"/>
      </x:c>
      <x:c r="S155" s="109" t="str">
        <x:f t="shared" si="55"/>
      </x:c>
      <x:c r="T155" s="110" t="str">
        <x:f t="array" ref="T155">IF(C155&lt;&gt;"",_xlfn.IFS(T$10="TLA",RECORD!HI157,V$10="LECTURE","",TRUE(),""),"")</x:f>
      </x:c>
      <x:c r="U155" s="105" t="str">
        <x:f t="shared" si="56"/>
      </x:c>
      <x:c r="V155" s="104" t="str">
        <x:f t="array" ref="V155">IF(C155&lt;&gt;"",_xlfn.IFS(V$10="AT",RECORD!HC157,V$10="LECTURE",BF155,TRUE(),""),"")</x:f>
      </x:c>
      <x:c r="W155" s="106" t="str">
        <x:f t="shared" si="57"/>
      </x:c>
      <x:c r="X155" s="107" t="str">
        <x:f t="array" ref="X155">IF(C155&lt;&gt;"",_xlfn.IFS(X$10="EXAM",RECORD!HD157,X$10="OUTPUT",RECORD!HE157,X$10="LAB",CF155,TRUE(),""),"")</x:f>
      </x:c>
      <x:c r="Y155" s="106" t="str">
        <x:f t="shared" si="58"/>
      </x:c>
      <x:c r="Z155" s="108" t="str">
        <x:f t="shared" si="59"/>
      </x:c>
      <x:c r="AA155" s="109" t="str">
        <x:f t="shared" si="60"/>
      </x:c>
      <x:c r="AB155" s="111" t="str">
        <x:f t="shared" si="61"/>
      </x:c>
      <x:c r="AC155" s="109" t="str">
        <x:f t="shared" si="62"/>
      </x:c>
      <x:c r="AD155" s="112"/>
      <x:c r="AE155" s="102"/>
      <x:c r="AF155" s="113"/>
      <x:c r="AG155" s="112"/>
      <x:c r="AH155" s="103"/>
      <x:c r="AI155" s="114"/>
      <x:c r="AJ155" s="102"/>
      <x:c r="AK155" s="102"/>
      <x:c r="AL155" s="102"/>
      <x:c r="AM155" s="102"/>
      <x:c r="AN155" s="102"/>
      <x:c r="AO155" s="102"/>
      <x:c r="AP155" s="102"/>
      <x:c r="AQ155" s="109" t="str">
        <x:f t="shared" si="63"/>
        <x:v>FAILED</x:v>
      </x:c>
      <x:c r="AR155" s="115"/>
      <x:c r="AS155" s="115"/>
      <x:c r="AT155" s="107"/>
      <x:c r="AU155" s="107"/>
      <x:c r="AV155" s="107"/>
      <x:c r="AW155" s="107"/>
      <x:c r="AX155" s="107"/>
      <x:c r="AY155" s="109" t="str">
        <x:f t="shared" si="64"/>
        <x:v>FAILED</x:v>
      </x:c>
      <x:c r="AZ155" s="115"/>
      <x:c r="BA155" s="115"/>
      <x:c r="BB155" s="107"/>
      <x:c r="BC155" s="107"/>
      <x:c r="BD155" s="107"/>
      <x:c r="BE155" s="107"/>
      <x:c r="BF155" s="107"/>
      <x:c r="BG155" s="109" t="str">
        <x:f t="shared" si="65"/>
        <x:v>FAILED</x:v>
      </x:c>
      <x:c r="BH155" s="117"/>
      <x:c r="BI155" s="102"/>
      <x:c r="BJ155" s="102"/>
      <x:c r="BK155" s="102"/>
      <x:c r="BL155" s="102"/>
      <x:c r="BM155" s="102"/>
      <x:c r="BN155" s="102"/>
      <x:c r="BO155" s="102"/>
      <x:c r="BP155" s="102"/>
      <x:c r="BQ155" s="109" t="str">
        <x:f t="shared" si="66"/>
        <x:v>FAILED</x:v>
      </x:c>
      <x:c r="BR155" s="115"/>
      <x:c r="BS155" s="115"/>
      <x:c r="BT155" s="107"/>
      <x:c r="BU155" s="107"/>
      <x:c r="BV155" s="107"/>
      <x:c r="BW155" s="107"/>
      <x:c r="BX155" s="107"/>
      <x:c r="BY155" s="109" t="str">
        <x:f t="shared" si="67"/>
        <x:v>FAILED</x:v>
      </x:c>
      <x:c r="BZ155" s="115"/>
      <x:c r="CA155" s="115"/>
      <x:c r="CB155" s="107"/>
      <x:c r="CC155" s="107"/>
      <x:c r="CD155" s="107"/>
      <x:c r="CE155" s="107"/>
      <x:c r="CF155" s="107"/>
      <x:c r="CG155" s="109" t="str">
        <x:f t="shared" si="68"/>
        <x:v>FAILED</x:v>
      </x:c>
      <x:c r="CH155" s="117"/>
    </x:row>
    <x:row r="156">
      <x:c r="A156" s="102" t="str">
        <x:f>IF(RECORD!A158="","",RECORD!A158)</x:f>
      </x:c>
      <x:c r="B156" s="102" t="str">
        <x:f>IF(RECORD!B158="","",RECORD!B158)</x:f>
      </x:c>
      <x:c r="C156" s="103" t="str">
        <x:f>IF(RECORD!C158="","",RECORD!C158)</x:f>
      </x:c>
      <x:c r="D156" s="104" t="str">
        <x:f t="array" ref="D156">IF(C156&lt;&gt;"",IF(F$7="SUMMER","N/A",_xlfn.IFS(D$10="TLA",RECORD!GO158,F$10="LECTURE","",TRUE(),"")),"")</x:f>
      </x:c>
      <x:c r="E156" s="105" t="str">
        <x:f t="shared" si="46"/>
      </x:c>
      <x:c r="F156" s="104" t="str">
        <x:f t="array" ref="F156">IF(C156&lt;&gt;"",IF(F$7="SUMMER","N/A",_xlfn.IFS(F$10="AT",RECORD!GI158,F$10="LECTURE",GRADES!AP156,TRUE(),"")),"")</x:f>
      </x:c>
      <x:c r="G156" s="106" t="str">
        <x:f t="shared" si="47"/>
      </x:c>
      <x:c r="H156" s="107" t="str">
        <x:f t="array" ref="H156">IF(C156&lt;&gt;"",IF(F$7="SUMMER","N/A",_xlfn.IFS(H$10="EXAM",RECORD!GJ158,H$10="OUTPUT",RECORD!GK158,H$10="LAB",BP156,TRUE(),"")),"")</x:f>
      </x:c>
      <x:c r="I156" s="106" t="str">
        <x:f t="shared" si="48"/>
      </x:c>
      <x:c r="J156" s="108" t="str">
        <x:f t="shared" si="49"/>
      </x:c>
      <x:c r="K156" s="109" t="str">
        <x:f t="shared" si="50"/>
      </x:c>
      <x:c r="L156" s="110" t="str">
        <x:f t="array" ref="L156">IF(C156&lt;&gt;"",_xlfn.IFS(L$10="TLA",RECORD!GY158,N$10="LECTURE","",TRUE(),""),"")</x:f>
      </x:c>
      <x:c r="M156" s="105" t="str">
        <x:f t="shared" si="51"/>
      </x:c>
      <x:c r="N156" s="104" t="str">
        <x:f t="array" ref="N156">IF(C156&lt;&gt;"",_xlfn.IFS(N$10="AT",RECORD!GS158,N$10="LECTURE",AX156,TRUE(),""),"")</x:f>
      </x:c>
      <x:c r="O156" s="106" t="str">
        <x:f t="shared" si="52"/>
      </x:c>
      <x:c r="P156" s="107" t="str">
        <x:f t="array" ref="P156">IF(C156&lt;&gt;"",_xlfn.IFS(P$10="EXAM",RECORD!GT158,P$10="OUTPUT",RECORD!GU158,P$10="LAB",BX156,TRUE(),""),"")</x:f>
      </x:c>
      <x:c r="Q156" s="106" t="str">
        <x:f t="shared" si="53"/>
      </x:c>
      <x:c r="R156" s="108" t="str">
        <x:f t="shared" si="54"/>
      </x:c>
      <x:c r="S156" s="109" t="str">
        <x:f t="shared" si="55"/>
      </x:c>
      <x:c r="T156" s="110" t="str">
        <x:f t="array" ref="T156">IF(C156&lt;&gt;"",_xlfn.IFS(T$10="TLA",RECORD!HI158,V$10="LECTURE","",TRUE(),""),"")</x:f>
      </x:c>
      <x:c r="U156" s="105" t="str">
        <x:f t="shared" si="56"/>
      </x:c>
      <x:c r="V156" s="104" t="str">
        <x:f t="array" ref="V156">IF(C156&lt;&gt;"",_xlfn.IFS(V$10="AT",RECORD!HC158,V$10="LECTURE",BF156,TRUE(),""),"")</x:f>
      </x:c>
      <x:c r="W156" s="106" t="str">
        <x:f t="shared" si="57"/>
      </x:c>
      <x:c r="X156" s="107" t="str">
        <x:f t="array" ref="X156">IF(C156&lt;&gt;"",_xlfn.IFS(X$10="EXAM",RECORD!HD158,X$10="OUTPUT",RECORD!HE158,X$10="LAB",CF156,TRUE(),""),"")</x:f>
      </x:c>
      <x:c r="Y156" s="106" t="str">
        <x:f t="shared" si="58"/>
      </x:c>
      <x:c r="Z156" s="108" t="str">
        <x:f t="shared" si="59"/>
      </x:c>
      <x:c r="AA156" s="109" t="str">
        <x:f t="shared" si="60"/>
      </x:c>
      <x:c r="AB156" s="111" t="str">
        <x:f t="shared" si="61"/>
      </x:c>
      <x:c r="AC156" s="109" t="str">
        <x:f t="shared" si="62"/>
      </x:c>
      <x:c r="AD156" s="112"/>
      <x:c r="AE156" s="102"/>
      <x:c r="AF156" s="113"/>
      <x:c r="AG156" s="112"/>
      <x:c r="AH156" s="103"/>
      <x:c r="AI156" s="114"/>
      <x:c r="AJ156" s="102"/>
      <x:c r="AK156" s="102"/>
      <x:c r="AL156" s="102"/>
      <x:c r="AM156" s="102"/>
      <x:c r="AN156" s="102"/>
      <x:c r="AO156" s="102"/>
      <x:c r="AP156" s="102"/>
      <x:c r="AQ156" s="109" t="str">
        <x:f t="shared" si="63"/>
        <x:v>FAILED</x:v>
      </x:c>
      <x:c r="AR156" s="115"/>
      <x:c r="AS156" s="115"/>
      <x:c r="AT156" s="107"/>
      <x:c r="AU156" s="107"/>
      <x:c r="AV156" s="107"/>
      <x:c r="AW156" s="107"/>
      <x:c r="AX156" s="107"/>
      <x:c r="AY156" s="109" t="str">
        <x:f t="shared" si="64"/>
        <x:v>FAILED</x:v>
      </x:c>
      <x:c r="AZ156" s="115"/>
      <x:c r="BA156" s="115"/>
      <x:c r="BB156" s="107"/>
      <x:c r="BC156" s="107"/>
      <x:c r="BD156" s="107"/>
      <x:c r="BE156" s="107"/>
      <x:c r="BF156" s="107"/>
      <x:c r="BG156" s="109" t="str">
        <x:f t="shared" si="65"/>
        <x:v>FAILED</x:v>
      </x:c>
      <x:c r="BH156" s="117"/>
      <x:c r="BI156" s="102"/>
      <x:c r="BJ156" s="102"/>
      <x:c r="BK156" s="102"/>
      <x:c r="BL156" s="102"/>
      <x:c r="BM156" s="102"/>
      <x:c r="BN156" s="102"/>
      <x:c r="BO156" s="102"/>
      <x:c r="BP156" s="102"/>
      <x:c r="BQ156" s="109" t="str">
        <x:f t="shared" si="66"/>
        <x:v>FAILED</x:v>
      </x:c>
      <x:c r="BR156" s="115"/>
      <x:c r="BS156" s="115"/>
      <x:c r="BT156" s="107"/>
      <x:c r="BU156" s="107"/>
      <x:c r="BV156" s="107"/>
      <x:c r="BW156" s="107"/>
      <x:c r="BX156" s="107"/>
      <x:c r="BY156" s="109" t="str">
        <x:f t="shared" si="67"/>
        <x:v>FAILED</x:v>
      </x:c>
      <x:c r="BZ156" s="115"/>
      <x:c r="CA156" s="115"/>
      <x:c r="CB156" s="107"/>
      <x:c r="CC156" s="107"/>
      <x:c r="CD156" s="107"/>
      <x:c r="CE156" s="107"/>
      <x:c r="CF156" s="107"/>
      <x:c r="CG156" s="109" t="str">
        <x:f t="shared" si="68"/>
        <x:v>FAILED</x:v>
      </x:c>
      <x:c r="CH156" s="117"/>
    </x:row>
    <x:row r="157">
      <x:c r="A157" s="102" t="str">
        <x:f>IF(RECORD!A159="","",RECORD!A159)</x:f>
      </x:c>
      <x:c r="B157" s="102" t="str">
        <x:f>IF(RECORD!B159="","",RECORD!B159)</x:f>
      </x:c>
      <x:c r="C157" s="103" t="str">
        <x:f>IF(RECORD!C159="","",RECORD!C159)</x:f>
      </x:c>
      <x:c r="D157" s="104" t="str">
        <x:f t="array" ref="D157">IF(C157&lt;&gt;"",IF(F$7="SUMMER","N/A",_xlfn.IFS(D$10="TLA",RECORD!GO159,F$10="LECTURE","",TRUE(),"")),"")</x:f>
      </x:c>
      <x:c r="E157" s="105" t="str">
        <x:f t="shared" si="46"/>
      </x:c>
      <x:c r="F157" s="104" t="str">
        <x:f t="array" ref="F157">IF(C157&lt;&gt;"",IF(F$7="SUMMER","N/A",_xlfn.IFS(F$10="AT",RECORD!GI159,F$10="LECTURE",GRADES!AP157,TRUE(),"")),"")</x:f>
      </x:c>
      <x:c r="G157" s="106" t="str">
        <x:f t="shared" si="47"/>
      </x:c>
      <x:c r="H157" s="107" t="str">
        <x:f t="array" ref="H157">IF(C157&lt;&gt;"",IF(F$7="SUMMER","N/A",_xlfn.IFS(H$10="EXAM",RECORD!GJ159,H$10="OUTPUT",RECORD!GK159,H$10="LAB",BP157,TRUE(),"")),"")</x:f>
      </x:c>
      <x:c r="I157" s="106" t="str">
        <x:f t="shared" si="48"/>
      </x:c>
      <x:c r="J157" s="108" t="str">
        <x:f t="shared" si="49"/>
      </x:c>
      <x:c r="K157" s="109" t="str">
        <x:f t="shared" si="50"/>
      </x:c>
      <x:c r="L157" s="110" t="str">
        <x:f t="array" ref="L157">IF(C157&lt;&gt;"",_xlfn.IFS(L$10="TLA",RECORD!GY159,N$10="LECTURE","",TRUE(),""),"")</x:f>
      </x:c>
      <x:c r="M157" s="105" t="str">
        <x:f t="shared" si="51"/>
      </x:c>
      <x:c r="N157" s="104" t="str">
        <x:f t="array" ref="N157">IF(C157&lt;&gt;"",_xlfn.IFS(N$10="AT",RECORD!GS159,N$10="LECTURE",AX157,TRUE(),""),"")</x:f>
      </x:c>
      <x:c r="O157" s="106" t="str">
        <x:f t="shared" si="52"/>
      </x:c>
      <x:c r="P157" s="107" t="str">
        <x:f t="array" ref="P157">IF(C157&lt;&gt;"",_xlfn.IFS(P$10="EXAM",RECORD!GT159,P$10="OUTPUT",RECORD!GU159,P$10="LAB",BX157,TRUE(),""),"")</x:f>
      </x:c>
      <x:c r="Q157" s="106" t="str">
        <x:f t="shared" si="53"/>
      </x:c>
      <x:c r="R157" s="108" t="str">
        <x:f t="shared" si="54"/>
      </x:c>
      <x:c r="S157" s="109" t="str">
        <x:f t="shared" si="55"/>
      </x:c>
      <x:c r="T157" s="110" t="str">
        <x:f t="array" ref="T157">IF(C157&lt;&gt;"",_xlfn.IFS(T$10="TLA",RECORD!HI159,V$10="LECTURE","",TRUE(),""),"")</x:f>
      </x:c>
      <x:c r="U157" s="105" t="str">
        <x:f t="shared" si="56"/>
      </x:c>
      <x:c r="V157" s="104" t="str">
        <x:f t="array" ref="V157">IF(C157&lt;&gt;"",_xlfn.IFS(V$10="AT",RECORD!HC159,V$10="LECTURE",BF157,TRUE(),""),"")</x:f>
      </x:c>
      <x:c r="W157" s="106" t="str">
        <x:f t="shared" si="57"/>
      </x:c>
      <x:c r="X157" s="107" t="str">
        <x:f t="array" ref="X157">IF(C157&lt;&gt;"",_xlfn.IFS(X$10="EXAM",RECORD!HD159,X$10="OUTPUT",RECORD!HE159,X$10="LAB",CF157,TRUE(),""),"")</x:f>
      </x:c>
      <x:c r="Y157" s="106" t="str">
        <x:f t="shared" si="58"/>
      </x:c>
      <x:c r="Z157" s="108" t="str">
        <x:f t="shared" si="59"/>
      </x:c>
      <x:c r="AA157" s="109" t="str">
        <x:f t="shared" si="60"/>
      </x:c>
      <x:c r="AB157" s="111" t="str">
        <x:f t="shared" si="61"/>
      </x:c>
      <x:c r="AC157" s="109" t="str">
        <x:f t="shared" si="62"/>
      </x:c>
      <x:c r="AD157" s="112"/>
      <x:c r="AE157" s="102"/>
      <x:c r="AF157" s="113"/>
      <x:c r="AG157" s="112"/>
      <x:c r="AH157" s="103"/>
      <x:c r="AI157" s="114"/>
      <x:c r="AJ157" s="102"/>
      <x:c r="AK157" s="102"/>
      <x:c r="AL157" s="102"/>
      <x:c r="AM157" s="102"/>
      <x:c r="AN157" s="102"/>
      <x:c r="AO157" s="102"/>
      <x:c r="AP157" s="102"/>
      <x:c r="AQ157" s="109" t="str">
        <x:f t="shared" si="63"/>
        <x:v>FAILED</x:v>
      </x:c>
      <x:c r="AR157" s="115"/>
      <x:c r="AS157" s="115"/>
      <x:c r="AT157" s="107"/>
      <x:c r="AU157" s="107"/>
      <x:c r="AV157" s="107"/>
      <x:c r="AW157" s="107"/>
      <x:c r="AX157" s="107"/>
      <x:c r="AY157" s="109" t="str">
        <x:f t="shared" si="64"/>
        <x:v>FAILED</x:v>
      </x:c>
      <x:c r="AZ157" s="115"/>
      <x:c r="BA157" s="115"/>
      <x:c r="BB157" s="107"/>
      <x:c r="BC157" s="107"/>
      <x:c r="BD157" s="107"/>
      <x:c r="BE157" s="107"/>
      <x:c r="BF157" s="107"/>
      <x:c r="BG157" s="109" t="str">
        <x:f t="shared" si="65"/>
        <x:v>FAILED</x:v>
      </x:c>
      <x:c r="BH157" s="117"/>
      <x:c r="BI157" s="102"/>
      <x:c r="BJ157" s="102"/>
      <x:c r="BK157" s="102"/>
      <x:c r="BL157" s="102"/>
      <x:c r="BM157" s="102"/>
      <x:c r="BN157" s="102"/>
      <x:c r="BO157" s="102"/>
      <x:c r="BP157" s="102"/>
      <x:c r="BQ157" s="109" t="str">
        <x:f t="shared" si="66"/>
        <x:v>FAILED</x:v>
      </x:c>
      <x:c r="BR157" s="115"/>
      <x:c r="BS157" s="115"/>
      <x:c r="BT157" s="107"/>
      <x:c r="BU157" s="107"/>
      <x:c r="BV157" s="107"/>
      <x:c r="BW157" s="107"/>
      <x:c r="BX157" s="107"/>
      <x:c r="BY157" s="109" t="str">
        <x:f t="shared" si="67"/>
        <x:v>FAILED</x:v>
      </x:c>
      <x:c r="BZ157" s="115"/>
      <x:c r="CA157" s="115"/>
      <x:c r="CB157" s="107"/>
      <x:c r="CC157" s="107"/>
      <x:c r="CD157" s="107"/>
      <x:c r="CE157" s="107"/>
      <x:c r="CF157" s="107"/>
      <x:c r="CG157" s="109" t="str">
        <x:f t="shared" si="68"/>
        <x:v>FAILED</x:v>
      </x:c>
      <x:c r="CH157" s="117"/>
    </x:row>
    <x:row r="158">
      <x:c r="A158" s="102" t="str">
        <x:f>IF(RECORD!A160="","",RECORD!A160)</x:f>
      </x:c>
      <x:c r="B158" s="102" t="str">
        <x:f>IF(RECORD!B160="","",RECORD!B160)</x:f>
      </x:c>
      <x:c r="C158" s="103" t="str">
        <x:f>IF(RECORD!C160="","",RECORD!C160)</x:f>
      </x:c>
      <x:c r="D158" s="104" t="str">
        <x:f t="array" ref="D158">IF(C158&lt;&gt;"",IF(F$7="SUMMER","N/A",_xlfn.IFS(D$10="TLA",RECORD!GO160,F$10="LECTURE","",TRUE(),"")),"")</x:f>
      </x:c>
      <x:c r="E158" s="105" t="str">
        <x:f t="shared" si="46"/>
      </x:c>
      <x:c r="F158" s="104" t="str">
        <x:f t="array" ref="F158">IF(C158&lt;&gt;"",IF(F$7="SUMMER","N/A",_xlfn.IFS(F$10="AT",RECORD!GI160,F$10="LECTURE",GRADES!AP158,TRUE(),"")),"")</x:f>
      </x:c>
      <x:c r="G158" s="106" t="str">
        <x:f t="shared" si="47"/>
      </x:c>
      <x:c r="H158" s="107" t="str">
        <x:f t="array" ref="H158">IF(C158&lt;&gt;"",IF(F$7="SUMMER","N/A",_xlfn.IFS(H$10="EXAM",RECORD!GJ160,H$10="OUTPUT",RECORD!GK160,H$10="LAB",BP158,TRUE(),"")),"")</x:f>
      </x:c>
      <x:c r="I158" s="106" t="str">
        <x:f t="shared" si="48"/>
      </x:c>
      <x:c r="J158" s="108" t="str">
        <x:f t="shared" si="49"/>
      </x:c>
      <x:c r="K158" s="109" t="str">
        <x:f t="shared" si="50"/>
      </x:c>
      <x:c r="L158" s="110" t="str">
        <x:f t="array" ref="L158">IF(C158&lt;&gt;"",_xlfn.IFS(L$10="TLA",RECORD!GY160,N$10="LECTURE","",TRUE(),""),"")</x:f>
      </x:c>
      <x:c r="M158" s="105" t="str">
        <x:f t="shared" si="51"/>
      </x:c>
      <x:c r="N158" s="104" t="str">
        <x:f t="array" ref="N158">IF(C158&lt;&gt;"",_xlfn.IFS(N$10="AT",RECORD!GS160,N$10="LECTURE",AX158,TRUE(),""),"")</x:f>
      </x:c>
      <x:c r="O158" s="106" t="str">
        <x:f t="shared" si="52"/>
      </x:c>
      <x:c r="P158" s="107" t="str">
        <x:f t="array" ref="P158">IF(C158&lt;&gt;"",_xlfn.IFS(P$10="EXAM",RECORD!GT160,P$10="OUTPUT",RECORD!GU160,P$10="LAB",BX158,TRUE(),""),"")</x:f>
      </x:c>
      <x:c r="Q158" s="106" t="str">
        <x:f t="shared" si="53"/>
      </x:c>
      <x:c r="R158" s="108" t="str">
        <x:f t="shared" si="54"/>
      </x:c>
      <x:c r="S158" s="109" t="str">
        <x:f t="shared" si="55"/>
      </x:c>
      <x:c r="T158" s="110" t="str">
        <x:f t="array" ref="T158">IF(C158&lt;&gt;"",_xlfn.IFS(T$10="TLA",RECORD!HI160,V$10="LECTURE","",TRUE(),""),"")</x:f>
      </x:c>
      <x:c r="U158" s="105" t="str">
        <x:f t="shared" si="56"/>
      </x:c>
      <x:c r="V158" s="104" t="str">
        <x:f t="array" ref="V158">IF(C158&lt;&gt;"",_xlfn.IFS(V$10="AT",RECORD!HC160,V$10="LECTURE",BF158,TRUE(),""),"")</x:f>
      </x:c>
      <x:c r="W158" s="106" t="str">
        <x:f t="shared" si="57"/>
      </x:c>
      <x:c r="X158" s="107" t="str">
        <x:f t="array" ref="X158">IF(C158&lt;&gt;"",_xlfn.IFS(X$10="EXAM",RECORD!HD160,X$10="OUTPUT",RECORD!HE160,X$10="LAB",CF158,TRUE(),""),"")</x:f>
      </x:c>
      <x:c r="Y158" s="106" t="str">
        <x:f t="shared" si="58"/>
      </x:c>
      <x:c r="Z158" s="108" t="str">
        <x:f t="shared" si="59"/>
      </x:c>
      <x:c r="AA158" s="109" t="str">
        <x:f t="shared" si="60"/>
      </x:c>
      <x:c r="AB158" s="111" t="str">
        <x:f t="shared" si="61"/>
      </x:c>
      <x:c r="AC158" s="109" t="str">
        <x:f t="shared" si="62"/>
      </x:c>
      <x:c r="AD158" s="112"/>
      <x:c r="AE158" s="102"/>
      <x:c r="AF158" s="113"/>
      <x:c r="AG158" s="112"/>
      <x:c r="AH158" s="103"/>
      <x:c r="AI158" s="114"/>
      <x:c r="AJ158" s="102"/>
      <x:c r="AK158" s="102"/>
      <x:c r="AL158" s="102"/>
      <x:c r="AM158" s="102"/>
      <x:c r="AN158" s="102"/>
      <x:c r="AO158" s="102"/>
      <x:c r="AP158" s="102"/>
      <x:c r="AQ158" s="109" t="str">
        <x:f t="shared" si="63"/>
        <x:v>FAILED</x:v>
      </x:c>
      <x:c r="AR158" s="115"/>
      <x:c r="AS158" s="115"/>
      <x:c r="AT158" s="107"/>
      <x:c r="AU158" s="107"/>
      <x:c r="AV158" s="107"/>
      <x:c r="AW158" s="107"/>
      <x:c r="AX158" s="107"/>
      <x:c r="AY158" s="109" t="str">
        <x:f t="shared" si="64"/>
        <x:v>FAILED</x:v>
      </x:c>
      <x:c r="AZ158" s="115"/>
      <x:c r="BA158" s="115"/>
      <x:c r="BB158" s="107"/>
      <x:c r="BC158" s="107"/>
      <x:c r="BD158" s="107"/>
      <x:c r="BE158" s="107"/>
      <x:c r="BF158" s="107"/>
      <x:c r="BG158" s="109" t="str">
        <x:f t="shared" si="65"/>
        <x:v>FAILED</x:v>
      </x:c>
      <x:c r="BH158" s="117"/>
      <x:c r="BI158" s="102"/>
      <x:c r="BJ158" s="102"/>
      <x:c r="BK158" s="102"/>
      <x:c r="BL158" s="102"/>
      <x:c r="BM158" s="102"/>
      <x:c r="BN158" s="102"/>
      <x:c r="BO158" s="102"/>
      <x:c r="BP158" s="102"/>
      <x:c r="BQ158" s="109" t="str">
        <x:f t="shared" si="66"/>
        <x:v>FAILED</x:v>
      </x:c>
      <x:c r="BR158" s="115"/>
      <x:c r="BS158" s="115"/>
      <x:c r="BT158" s="107"/>
      <x:c r="BU158" s="107"/>
      <x:c r="BV158" s="107"/>
      <x:c r="BW158" s="107"/>
      <x:c r="BX158" s="107"/>
      <x:c r="BY158" s="109" t="str">
        <x:f t="shared" si="67"/>
        <x:v>FAILED</x:v>
      </x:c>
      <x:c r="BZ158" s="115"/>
      <x:c r="CA158" s="115"/>
      <x:c r="CB158" s="107"/>
      <x:c r="CC158" s="107"/>
      <x:c r="CD158" s="107"/>
      <x:c r="CE158" s="107"/>
      <x:c r="CF158" s="107"/>
      <x:c r="CG158" s="109" t="str">
        <x:f t="shared" si="68"/>
        <x:v>FAILED</x:v>
      </x:c>
      <x:c r="CH158" s="117"/>
    </x:row>
    <x:row r="159">
      <x:c r="A159" s="102" t="str">
        <x:f>IF(RECORD!A161="","",RECORD!A161)</x:f>
      </x:c>
      <x:c r="B159" s="102" t="str">
        <x:f>IF(RECORD!B161="","",RECORD!B161)</x:f>
      </x:c>
      <x:c r="C159" s="103" t="str">
        <x:f>IF(RECORD!C161="","",RECORD!C161)</x:f>
      </x:c>
      <x:c r="D159" s="104" t="str">
        <x:f t="array" ref="D159">IF(C159&lt;&gt;"",IF(F$7="SUMMER","N/A",_xlfn.IFS(D$10="TLA",RECORD!GO161,F$10="LECTURE","",TRUE(),"")),"")</x:f>
      </x:c>
      <x:c r="E159" s="105" t="str">
        <x:f t="shared" si="46"/>
      </x:c>
      <x:c r="F159" s="104" t="str">
        <x:f t="array" ref="F159">IF(C159&lt;&gt;"",IF(F$7="SUMMER","N/A",_xlfn.IFS(F$10="AT",RECORD!GI161,F$10="LECTURE",GRADES!AP159,TRUE(),"")),"")</x:f>
      </x:c>
      <x:c r="G159" s="106" t="str">
        <x:f t="shared" si="47"/>
      </x:c>
      <x:c r="H159" s="107" t="str">
        <x:f t="array" ref="H159">IF(C159&lt;&gt;"",IF(F$7="SUMMER","N/A",_xlfn.IFS(H$10="EXAM",RECORD!GJ161,H$10="OUTPUT",RECORD!GK161,H$10="LAB",BP159,TRUE(),"")),"")</x:f>
      </x:c>
      <x:c r="I159" s="106" t="str">
        <x:f t="shared" si="48"/>
      </x:c>
      <x:c r="J159" s="108" t="str">
        <x:f t="shared" si="49"/>
      </x:c>
      <x:c r="K159" s="109" t="str">
        <x:f t="shared" si="50"/>
      </x:c>
      <x:c r="L159" s="110" t="str">
        <x:f t="array" ref="L159">IF(C159&lt;&gt;"",_xlfn.IFS(L$10="TLA",RECORD!GY161,N$10="LECTURE","",TRUE(),""),"")</x:f>
      </x:c>
      <x:c r="M159" s="105" t="str">
        <x:f t="shared" si="51"/>
      </x:c>
      <x:c r="N159" s="104" t="str">
        <x:f t="array" ref="N159">IF(C159&lt;&gt;"",_xlfn.IFS(N$10="AT",RECORD!GS161,N$10="LECTURE",AX159,TRUE(),""),"")</x:f>
      </x:c>
      <x:c r="O159" s="106" t="str">
        <x:f t="shared" si="52"/>
      </x:c>
      <x:c r="P159" s="107" t="str">
        <x:f t="array" ref="P159">IF(C159&lt;&gt;"",_xlfn.IFS(P$10="EXAM",RECORD!GT161,P$10="OUTPUT",RECORD!GU161,P$10="LAB",BX159,TRUE(),""),"")</x:f>
      </x:c>
      <x:c r="Q159" s="106" t="str">
        <x:f t="shared" si="53"/>
      </x:c>
      <x:c r="R159" s="108" t="str">
        <x:f t="shared" si="54"/>
      </x:c>
      <x:c r="S159" s="109" t="str">
        <x:f t="shared" si="55"/>
      </x:c>
      <x:c r="T159" s="110" t="str">
        <x:f t="array" ref="T159">IF(C159&lt;&gt;"",_xlfn.IFS(T$10="TLA",RECORD!HI161,V$10="LECTURE","",TRUE(),""),"")</x:f>
      </x:c>
      <x:c r="U159" s="105" t="str">
        <x:f t="shared" si="56"/>
      </x:c>
      <x:c r="V159" s="104" t="str">
        <x:f t="array" ref="V159">IF(C159&lt;&gt;"",_xlfn.IFS(V$10="AT",RECORD!HC161,V$10="LECTURE",BF159,TRUE(),""),"")</x:f>
      </x:c>
      <x:c r="W159" s="106" t="str">
        <x:f t="shared" si="57"/>
      </x:c>
      <x:c r="X159" s="107" t="str">
        <x:f t="array" ref="X159">IF(C159&lt;&gt;"",_xlfn.IFS(X$10="EXAM",RECORD!HD161,X$10="OUTPUT",RECORD!HE161,X$10="LAB",CF159,TRUE(),""),"")</x:f>
      </x:c>
      <x:c r="Y159" s="106" t="str">
        <x:f t="shared" si="58"/>
      </x:c>
      <x:c r="Z159" s="108" t="str">
        <x:f t="shared" si="59"/>
      </x:c>
      <x:c r="AA159" s="109" t="str">
        <x:f t="shared" si="60"/>
      </x:c>
      <x:c r="AB159" s="111" t="str">
        <x:f t="shared" si="61"/>
      </x:c>
      <x:c r="AC159" s="109" t="str">
        <x:f t="shared" si="62"/>
      </x:c>
      <x:c r="AD159" s="112"/>
      <x:c r="AE159" s="102"/>
      <x:c r="AF159" s="113"/>
      <x:c r="AG159" s="112"/>
      <x:c r="AH159" s="103"/>
      <x:c r="AI159" s="114"/>
      <x:c r="AJ159" s="102"/>
      <x:c r="AK159" s="102"/>
      <x:c r="AL159" s="102"/>
      <x:c r="AM159" s="102"/>
      <x:c r="AN159" s="102"/>
      <x:c r="AO159" s="102"/>
      <x:c r="AP159" s="102"/>
      <x:c r="AQ159" s="109" t="str">
        <x:f t="shared" si="63"/>
        <x:v>FAILED</x:v>
      </x:c>
      <x:c r="AR159" s="115"/>
      <x:c r="AS159" s="115"/>
      <x:c r="AT159" s="107"/>
      <x:c r="AU159" s="107"/>
      <x:c r="AV159" s="107"/>
      <x:c r="AW159" s="107"/>
      <x:c r="AX159" s="107"/>
      <x:c r="AY159" s="109" t="str">
        <x:f t="shared" si="64"/>
        <x:v>FAILED</x:v>
      </x:c>
      <x:c r="AZ159" s="115"/>
      <x:c r="BA159" s="115"/>
      <x:c r="BB159" s="107"/>
      <x:c r="BC159" s="107"/>
      <x:c r="BD159" s="107"/>
      <x:c r="BE159" s="107"/>
      <x:c r="BF159" s="107"/>
      <x:c r="BG159" s="109" t="str">
        <x:f t="shared" si="65"/>
        <x:v>FAILED</x:v>
      </x:c>
      <x:c r="BH159" s="117"/>
      <x:c r="BI159" s="102"/>
      <x:c r="BJ159" s="102"/>
      <x:c r="BK159" s="102"/>
      <x:c r="BL159" s="102"/>
      <x:c r="BM159" s="102"/>
      <x:c r="BN159" s="102"/>
      <x:c r="BO159" s="102"/>
      <x:c r="BP159" s="102"/>
      <x:c r="BQ159" s="109" t="str">
        <x:f t="shared" si="66"/>
        <x:v>FAILED</x:v>
      </x:c>
      <x:c r="BR159" s="115"/>
      <x:c r="BS159" s="115"/>
      <x:c r="BT159" s="107"/>
      <x:c r="BU159" s="107"/>
      <x:c r="BV159" s="107"/>
      <x:c r="BW159" s="107"/>
      <x:c r="BX159" s="107"/>
      <x:c r="BY159" s="109" t="str">
        <x:f t="shared" si="67"/>
        <x:v>FAILED</x:v>
      </x:c>
      <x:c r="BZ159" s="115"/>
      <x:c r="CA159" s="115"/>
      <x:c r="CB159" s="107"/>
      <x:c r="CC159" s="107"/>
      <x:c r="CD159" s="107"/>
      <x:c r="CE159" s="107"/>
      <x:c r="CF159" s="107"/>
      <x:c r="CG159" s="109" t="str">
        <x:f t="shared" si="68"/>
        <x:v>FAILED</x:v>
      </x:c>
      <x:c r="CH159" s="117"/>
    </x:row>
    <x:row r="160">
      <x:c r="A160" s="102" t="str">
        <x:f>IF(RECORD!A162="","",RECORD!A162)</x:f>
      </x:c>
      <x:c r="B160" s="102" t="str">
        <x:f>IF(RECORD!B162="","",RECORD!B162)</x:f>
      </x:c>
      <x:c r="C160" s="103" t="str">
        <x:f>IF(RECORD!C162="","",RECORD!C162)</x:f>
      </x:c>
      <x:c r="D160" s="104" t="str">
        <x:f t="array" ref="D160">IF(C160&lt;&gt;"",IF(F$7="SUMMER","N/A",_xlfn.IFS(D$10="TLA",RECORD!GO162,F$10="LECTURE","",TRUE(),"")),"")</x:f>
      </x:c>
      <x:c r="E160" s="105" t="str">
        <x:f t="shared" si="46"/>
      </x:c>
      <x:c r="F160" s="104" t="str">
        <x:f t="array" ref="F160">IF(C160&lt;&gt;"",IF(F$7="SUMMER","N/A",_xlfn.IFS(F$10="AT",RECORD!GI162,F$10="LECTURE",GRADES!AP160,TRUE(),"")),"")</x:f>
      </x:c>
      <x:c r="G160" s="106" t="str">
        <x:f t="shared" si="47"/>
      </x:c>
      <x:c r="H160" s="107" t="str">
        <x:f t="array" ref="H160">IF(C160&lt;&gt;"",IF(F$7="SUMMER","N/A",_xlfn.IFS(H$10="EXAM",RECORD!GJ162,H$10="OUTPUT",RECORD!GK162,H$10="LAB",BP160,TRUE(),"")),"")</x:f>
      </x:c>
      <x:c r="I160" s="106" t="str">
        <x:f t="shared" si="48"/>
      </x:c>
      <x:c r="J160" s="108" t="str">
        <x:f t="shared" si="49"/>
      </x:c>
      <x:c r="K160" s="109" t="str">
        <x:f t="shared" si="50"/>
      </x:c>
      <x:c r="L160" s="110" t="str">
        <x:f t="array" ref="L160">IF(C160&lt;&gt;"",_xlfn.IFS(L$10="TLA",RECORD!GY162,N$10="LECTURE","",TRUE(),""),"")</x:f>
      </x:c>
      <x:c r="M160" s="105" t="str">
        <x:f t="shared" si="51"/>
      </x:c>
      <x:c r="N160" s="104" t="str">
        <x:f t="array" ref="N160">IF(C160&lt;&gt;"",_xlfn.IFS(N$10="AT",RECORD!GS162,N$10="LECTURE",AX160,TRUE(),""),"")</x:f>
      </x:c>
      <x:c r="O160" s="106" t="str">
        <x:f t="shared" si="52"/>
      </x:c>
      <x:c r="P160" s="107" t="str">
        <x:f t="array" ref="P160">IF(C160&lt;&gt;"",_xlfn.IFS(P$10="EXAM",RECORD!GT162,P$10="OUTPUT",RECORD!GU162,P$10="LAB",BX160,TRUE(),""),"")</x:f>
      </x:c>
      <x:c r="Q160" s="106" t="str">
        <x:f t="shared" si="53"/>
      </x:c>
      <x:c r="R160" s="108" t="str">
        <x:f t="shared" si="54"/>
      </x:c>
      <x:c r="S160" s="109" t="str">
        <x:f t="shared" si="55"/>
      </x:c>
      <x:c r="T160" s="110" t="str">
        <x:f t="array" ref="T160">IF(C160&lt;&gt;"",_xlfn.IFS(T$10="TLA",RECORD!HI162,V$10="LECTURE","",TRUE(),""),"")</x:f>
      </x:c>
      <x:c r="U160" s="105" t="str">
        <x:f t="shared" si="56"/>
      </x:c>
      <x:c r="V160" s="104" t="str">
        <x:f t="array" ref="V160">IF(C160&lt;&gt;"",_xlfn.IFS(V$10="AT",RECORD!HC162,V$10="LECTURE",BF160,TRUE(),""),"")</x:f>
      </x:c>
      <x:c r="W160" s="106" t="str">
        <x:f t="shared" si="57"/>
      </x:c>
      <x:c r="X160" s="107" t="str">
        <x:f t="array" ref="X160">IF(C160&lt;&gt;"",_xlfn.IFS(X$10="EXAM",RECORD!HD162,X$10="OUTPUT",RECORD!HE162,X$10="LAB",CF160,TRUE(),""),"")</x:f>
      </x:c>
      <x:c r="Y160" s="106" t="str">
        <x:f t="shared" si="58"/>
      </x:c>
      <x:c r="Z160" s="108" t="str">
        <x:f t="shared" si="59"/>
      </x:c>
      <x:c r="AA160" s="109" t="str">
        <x:f t="shared" si="60"/>
      </x:c>
      <x:c r="AB160" s="111" t="str">
        <x:f t="shared" si="61"/>
      </x:c>
      <x:c r="AC160" s="109" t="str">
        <x:f t="shared" si="62"/>
      </x:c>
      <x:c r="AD160" s="112"/>
      <x:c r="AE160" s="102"/>
      <x:c r="AF160" s="113"/>
      <x:c r="AG160" s="112"/>
      <x:c r="AH160" s="103"/>
      <x:c r="AI160" s="114"/>
      <x:c r="AJ160" s="102"/>
      <x:c r="AK160" s="102"/>
      <x:c r="AL160" s="102"/>
      <x:c r="AM160" s="102"/>
      <x:c r="AN160" s="102"/>
      <x:c r="AO160" s="102"/>
      <x:c r="AP160" s="102"/>
      <x:c r="AQ160" s="109" t="str">
        <x:f t="shared" si="63"/>
        <x:v>FAILED</x:v>
      </x:c>
      <x:c r="AR160" s="115"/>
      <x:c r="AS160" s="115"/>
      <x:c r="AT160" s="107"/>
      <x:c r="AU160" s="107"/>
      <x:c r="AV160" s="107"/>
      <x:c r="AW160" s="107"/>
      <x:c r="AX160" s="107"/>
      <x:c r="AY160" s="109" t="str">
        <x:f t="shared" si="64"/>
        <x:v>FAILED</x:v>
      </x:c>
      <x:c r="AZ160" s="115"/>
      <x:c r="BA160" s="115"/>
      <x:c r="BB160" s="107"/>
      <x:c r="BC160" s="107"/>
      <x:c r="BD160" s="107"/>
      <x:c r="BE160" s="107"/>
      <x:c r="BF160" s="107"/>
      <x:c r="BG160" s="109" t="str">
        <x:f t="shared" si="65"/>
        <x:v>FAILED</x:v>
      </x:c>
      <x:c r="BH160" s="117"/>
      <x:c r="BI160" s="102"/>
      <x:c r="BJ160" s="102"/>
      <x:c r="BK160" s="102"/>
      <x:c r="BL160" s="102"/>
      <x:c r="BM160" s="102"/>
      <x:c r="BN160" s="102"/>
      <x:c r="BO160" s="102"/>
      <x:c r="BP160" s="102"/>
      <x:c r="BQ160" s="109" t="str">
        <x:f t="shared" si="66"/>
        <x:v>FAILED</x:v>
      </x:c>
      <x:c r="BR160" s="115"/>
      <x:c r="BS160" s="115"/>
      <x:c r="BT160" s="107"/>
      <x:c r="BU160" s="107"/>
      <x:c r="BV160" s="107"/>
      <x:c r="BW160" s="107"/>
      <x:c r="BX160" s="107"/>
      <x:c r="BY160" s="109" t="str">
        <x:f t="shared" si="67"/>
        <x:v>FAILED</x:v>
      </x:c>
      <x:c r="BZ160" s="115"/>
      <x:c r="CA160" s="115"/>
      <x:c r="CB160" s="107"/>
      <x:c r="CC160" s="107"/>
      <x:c r="CD160" s="107"/>
      <x:c r="CE160" s="107"/>
      <x:c r="CF160" s="107"/>
      <x:c r="CG160" s="109" t="str">
        <x:f t="shared" si="68"/>
        <x:v>FAILED</x:v>
      </x:c>
      <x:c r="CH160" s="117"/>
    </x:row>
    <x:row r="161">
      <x:c r="A161" s="102" t="str">
        <x:f>IF(RECORD!A163="","",RECORD!A163)</x:f>
      </x:c>
      <x:c r="B161" s="102" t="str">
        <x:f>IF(RECORD!B163="","",RECORD!B163)</x:f>
      </x:c>
      <x:c r="C161" s="103" t="str">
        <x:f>IF(RECORD!C163="","",RECORD!C163)</x:f>
      </x:c>
      <x:c r="D161" s="104" t="str">
        <x:f t="array" ref="D161">IF(C161&lt;&gt;"",IF(F$7="SUMMER","N/A",_xlfn.IFS(D$10="TLA",RECORD!GO163,F$10="LECTURE","",TRUE(),"")),"")</x:f>
      </x:c>
      <x:c r="E161" s="105" t="str">
        <x:f t="shared" si="46"/>
      </x:c>
      <x:c r="F161" s="104" t="str">
        <x:f t="array" ref="F161">IF(C161&lt;&gt;"",IF(F$7="SUMMER","N/A",_xlfn.IFS(F$10="AT",RECORD!GI163,F$10="LECTURE",GRADES!AP161,TRUE(),"")),"")</x:f>
      </x:c>
      <x:c r="G161" s="106" t="str">
        <x:f t="shared" si="47"/>
      </x:c>
      <x:c r="H161" s="107" t="str">
        <x:f t="array" ref="H161">IF(C161&lt;&gt;"",IF(F$7="SUMMER","N/A",_xlfn.IFS(H$10="EXAM",RECORD!GJ163,H$10="OUTPUT",RECORD!GK163,H$10="LAB",BP161,TRUE(),"")),"")</x:f>
      </x:c>
      <x:c r="I161" s="106" t="str">
        <x:f t="shared" si="48"/>
      </x:c>
      <x:c r="J161" s="108" t="str">
        <x:f t="shared" si="49"/>
      </x:c>
      <x:c r="K161" s="109" t="str">
        <x:f t="shared" si="50"/>
      </x:c>
      <x:c r="L161" s="110" t="str">
        <x:f t="array" ref="L161">IF(C161&lt;&gt;"",_xlfn.IFS(L$10="TLA",RECORD!GY163,N$10="LECTURE","",TRUE(),""),"")</x:f>
      </x:c>
      <x:c r="M161" s="105" t="str">
        <x:f t="shared" si="51"/>
      </x:c>
      <x:c r="N161" s="104" t="str">
        <x:f t="array" ref="N161">IF(C161&lt;&gt;"",_xlfn.IFS(N$10="AT",RECORD!GS163,N$10="LECTURE",AX161,TRUE(),""),"")</x:f>
      </x:c>
      <x:c r="O161" s="106" t="str">
        <x:f t="shared" si="52"/>
      </x:c>
      <x:c r="P161" s="107" t="str">
        <x:f t="array" ref="P161">IF(C161&lt;&gt;"",_xlfn.IFS(P$10="EXAM",RECORD!GT163,P$10="OUTPUT",RECORD!GU163,P$10="LAB",BX161,TRUE(),""),"")</x:f>
      </x:c>
      <x:c r="Q161" s="106" t="str">
        <x:f t="shared" si="53"/>
      </x:c>
      <x:c r="R161" s="108" t="str">
        <x:f t="shared" si="54"/>
      </x:c>
      <x:c r="S161" s="109" t="str">
        <x:f t="shared" si="55"/>
      </x:c>
      <x:c r="T161" s="110" t="str">
        <x:f t="array" ref="T161">IF(C161&lt;&gt;"",_xlfn.IFS(T$10="TLA",RECORD!HI163,V$10="LECTURE","",TRUE(),""),"")</x:f>
      </x:c>
      <x:c r="U161" s="105" t="str">
        <x:f t="shared" si="56"/>
      </x:c>
      <x:c r="V161" s="104" t="str">
        <x:f t="array" ref="V161">IF(C161&lt;&gt;"",_xlfn.IFS(V$10="AT",RECORD!HC163,V$10="LECTURE",BF161,TRUE(),""),"")</x:f>
      </x:c>
      <x:c r="W161" s="106" t="str">
        <x:f t="shared" si="57"/>
      </x:c>
      <x:c r="X161" s="107" t="str">
        <x:f t="array" ref="X161">IF(C161&lt;&gt;"",_xlfn.IFS(X$10="EXAM",RECORD!HD163,X$10="OUTPUT",RECORD!HE163,X$10="LAB",CF161,TRUE(),""),"")</x:f>
      </x:c>
      <x:c r="Y161" s="106" t="str">
        <x:f t="shared" si="58"/>
      </x:c>
      <x:c r="Z161" s="108" t="str">
        <x:f t="shared" si="59"/>
      </x:c>
      <x:c r="AA161" s="109" t="str">
        <x:f t="shared" si="60"/>
      </x:c>
      <x:c r="AB161" s="111" t="str">
        <x:f t="shared" si="61"/>
      </x:c>
      <x:c r="AC161" s="109" t="str">
        <x:f t="shared" si="62"/>
      </x:c>
      <x:c r="AD161" s="112"/>
      <x:c r="AE161" s="102"/>
      <x:c r="AF161" s="113"/>
      <x:c r="AG161" s="112"/>
      <x:c r="AH161" s="103"/>
      <x:c r="AI161" s="114"/>
      <x:c r="AJ161" s="102"/>
      <x:c r="AK161" s="102"/>
      <x:c r="AL161" s="102"/>
      <x:c r="AM161" s="102"/>
      <x:c r="AN161" s="102"/>
      <x:c r="AO161" s="102"/>
      <x:c r="AP161" s="102"/>
      <x:c r="AQ161" s="109" t="str">
        <x:f t="shared" si="63"/>
        <x:v>FAILED</x:v>
      </x:c>
      <x:c r="AR161" s="115"/>
      <x:c r="AS161" s="115"/>
      <x:c r="AT161" s="107"/>
      <x:c r="AU161" s="107"/>
      <x:c r="AV161" s="107"/>
      <x:c r="AW161" s="107"/>
      <x:c r="AX161" s="107"/>
      <x:c r="AY161" s="109" t="str">
        <x:f t="shared" si="64"/>
        <x:v>FAILED</x:v>
      </x:c>
      <x:c r="AZ161" s="115"/>
      <x:c r="BA161" s="115"/>
      <x:c r="BB161" s="107"/>
      <x:c r="BC161" s="107"/>
      <x:c r="BD161" s="107"/>
      <x:c r="BE161" s="107"/>
      <x:c r="BF161" s="107"/>
      <x:c r="BG161" s="109" t="str">
        <x:f t="shared" si="65"/>
        <x:v>FAILED</x:v>
      </x:c>
      <x:c r="BH161" s="117"/>
      <x:c r="BI161" s="102"/>
      <x:c r="BJ161" s="102"/>
      <x:c r="BK161" s="102"/>
      <x:c r="BL161" s="102"/>
      <x:c r="BM161" s="102"/>
      <x:c r="BN161" s="102"/>
      <x:c r="BO161" s="102"/>
      <x:c r="BP161" s="102"/>
      <x:c r="BQ161" s="109" t="str">
        <x:f t="shared" si="66"/>
        <x:v>FAILED</x:v>
      </x:c>
      <x:c r="BR161" s="115"/>
      <x:c r="BS161" s="115"/>
      <x:c r="BT161" s="107"/>
      <x:c r="BU161" s="107"/>
      <x:c r="BV161" s="107"/>
      <x:c r="BW161" s="107"/>
      <x:c r="BX161" s="107"/>
      <x:c r="BY161" s="109" t="str">
        <x:f t="shared" si="67"/>
        <x:v>FAILED</x:v>
      </x:c>
      <x:c r="BZ161" s="115"/>
      <x:c r="CA161" s="115"/>
      <x:c r="CB161" s="107"/>
      <x:c r="CC161" s="107"/>
      <x:c r="CD161" s="107"/>
      <x:c r="CE161" s="107"/>
      <x:c r="CF161" s="107"/>
      <x:c r="CG161" s="109" t="str">
        <x:f t="shared" si="68"/>
        <x:v>FAILED</x:v>
      </x:c>
      <x:c r="CH161" s="117"/>
    </x:row>
    <x:row r="162">
      <x:c r="A162" s="102" t="str">
        <x:f>IF(RECORD!A164="","",RECORD!A164)</x:f>
      </x:c>
      <x:c r="B162" s="102" t="str">
        <x:f>IF(RECORD!B164="","",RECORD!B164)</x:f>
      </x:c>
      <x:c r="C162" s="103" t="str">
        <x:f>IF(RECORD!C164="","",RECORD!C164)</x:f>
      </x:c>
      <x:c r="D162" s="104" t="str">
        <x:f t="array" ref="D162">IF(C162&lt;&gt;"",IF(F$7="SUMMER","N/A",_xlfn.IFS(D$10="TLA",RECORD!GO164,F$10="LECTURE","",TRUE(),"")),"")</x:f>
      </x:c>
      <x:c r="E162" s="105" t="str">
        <x:f t="shared" si="46"/>
      </x:c>
      <x:c r="F162" s="104" t="str">
        <x:f t="array" ref="F162">IF(C162&lt;&gt;"",IF(F$7="SUMMER","N/A",_xlfn.IFS(F$10="AT",RECORD!GI164,F$10="LECTURE",GRADES!AP162,TRUE(),"")),"")</x:f>
      </x:c>
      <x:c r="G162" s="106" t="str">
        <x:f t="shared" si="47"/>
      </x:c>
      <x:c r="H162" s="107" t="str">
        <x:f t="array" ref="H162">IF(C162&lt;&gt;"",IF(F$7="SUMMER","N/A",_xlfn.IFS(H$10="EXAM",RECORD!GJ164,H$10="OUTPUT",RECORD!GK164,H$10="LAB",BP162,TRUE(),"")),"")</x:f>
      </x:c>
      <x:c r="I162" s="106" t="str">
        <x:f t="shared" si="48"/>
      </x:c>
      <x:c r="J162" s="108" t="str">
        <x:f t="shared" si="49"/>
      </x:c>
      <x:c r="K162" s="109" t="str">
        <x:f t="shared" si="50"/>
      </x:c>
      <x:c r="L162" s="110" t="str">
        <x:f t="array" ref="L162">IF(C162&lt;&gt;"",_xlfn.IFS(L$10="TLA",RECORD!GY164,N$10="LECTURE","",TRUE(),""),"")</x:f>
      </x:c>
      <x:c r="M162" s="105" t="str">
        <x:f t="shared" si="51"/>
      </x:c>
      <x:c r="N162" s="104" t="str">
        <x:f t="array" ref="N162">IF(C162&lt;&gt;"",_xlfn.IFS(N$10="AT",RECORD!GS164,N$10="LECTURE",AX162,TRUE(),""),"")</x:f>
      </x:c>
      <x:c r="O162" s="106" t="str">
        <x:f t="shared" si="52"/>
      </x:c>
      <x:c r="P162" s="107" t="str">
        <x:f t="array" ref="P162">IF(C162&lt;&gt;"",_xlfn.IFS(P$10="EXAM",RECORD!GT164,P$10="OUTPUT",RECORD!GU164,P$10="LAB",BX162,TRUE(),""),"")</x:f>
      </x:c>
      <x:c r="Q162" s="106" t="str">
        <x:f t="shared" si="53"/>
      </x:c>
      <x:c r="R162" s="108" t="str">
        <x:f t="shared" si="54"/>
      </x:c>
      <x:c r="S162" s="109" t="str">
        <x:f t="shared" si="55"/>
      </x:c>
      <x:c r="T162" s="110" t="str">
        <x:f t="array" ref="T162">IF(C162&lt;&gt;"",_xlfn.IFS(T$10="TLA",RECORD!HI164,V$10="LECTURE","",TRUE(),""),"")</x:f>
      </x:c>
      <x:c r="U162" s="105" t="str">
        <x:f t="shared" si="56"/>
      </x:c>
      <x:c r="V162" s="104" t="str">
        <x:f t="array" ref="V162">IF(C162&lt;&gt;"",_xlfn.IFS(V$10="AT",RECORD!HC164,V$10="LECTURE",BF162,TRUE(),""),"")</x:f>
      </x:c>
      <x:c r="W162" s="106" t="str">
        <x:f t="shared" si="57"/>
      </x:c>
      <x:c r="X162" s="107" t="str">
        <x:f t="array" ref="X162">IF(C162&lt;&gt;"",_xlfn.IFS(X$10="EXAM",RECORD!HD164,X$10="OUTPUT",RECORD!HE164,X$10="LAB",CF162,TRUE(),""),"")</x:f>
      </x:c>
      <x:c r="Y162" s="106" t="str">
        <x:f t="shared" si="58"/>
      </x:c>
      <x:c r="Z162" s="108" t="str">
        <x:f t="shared" si="59"/>
      </x:c>
      <x:c r="AA162" s="109" t="str">
        <x:f t="shared" si="60"/>
      </x:c>
      <x:c r="AB162" s="111" t="str">
        <x:f t="shared" si="61"/>
      </x:c>
      <x:c r="AC162" s="109" t="str">
        <x:f t="shared" si="62"/>
      </x:c>
      <x:c r="AD162" s="112"/>
      <x:c r="AE162" s="102"/>
      <x:c r="AF162" s="113"/>
      <x:c r="AG162" s="112"/>
      <x:c r="AH162" s="103"/>
      <x:c r="AI162" s="114"/>
      <x:c r="AJ162" s="102"/>
      <x:c r="AK162" s="102"/>
      <x:c r="AL162" s="102"/>
      <x:c r="AM162" s="102"/>
      <x:c r="AN162" s="102"/>
      <x:c r="AO162" s="102"/>
      <x:c r="AP162" s="102"/>
      <x:c r="AQ162" s="109" t="str">
        <x:f t="shared" si="63"/>
        <x:v>FAILED</x:v>
      </x:c>
      <x:c r="AR162" s="115"/>
      <x:c r="AS162" s="115"/>
      <x:c r="AT162" s="107"/>
      <x:c r="AU162" s="107"/>
      <x:c r="AV162" s="107"/>
      <x:c r="AW162" s="107"/>
      <x:c r="AX162" s="107"/>
      <x:c r="AY162" s="109" t="str">
        <x:f t="shared" si="64"/>
        <x:v>FAILED</x:v>
      </x:c>
      <x:c r="AZ162" s="115"/>
      <x:c r="BA162" s="115"/>
      <x:c r="BB162" s="107"/>
      <x:c r="BC162" s="107"/>
      <x:c r="BD162" s="107"/>
      <x:c r="BE162" s="107"/>
      <x:c r="BF162" s="107"/>
      <x:c r="BG162" s="109" t="str">
        <x:f t="shared" si="65"/>
        <x:v>FAILED</x:v>
      </x:c>
      <x:c r="BH162" s="117"/>
      <x:c r="BI162" s="102"/>
      <x:c r="BJ162" s="102"/>
      <x:c r="BK162" s="102"/>
      <x:c r="BL162" s="102"/>
      <x:c r="BM162" s="102"/>
      <x:c r="BN162" s="102"/>
      <x:c r="BO162" s="102"/>
      <x:c r="BP162" s="102"/>
      <x:c r="BQ162" s="109" t="str">
        <x:f t="shared" si="66"/>
        <x:v>FAILED</x:v>
      </x:c>
      <x:c r="BR162" s="115"/>
      <x:c r="BS162" s="115"/>
      <x:c r="BT162" s="107"/>
      <x:c r="BU162" s="107"/>
      <x:c r="BV162" s="107"/>
      <x:c r="BW162" s="107"/>
      <x:c r="BX162" s="107"/>
      <x:c r="BY162" s="109" t="str">
        <x:f t="shared" si="67"/>
        <x:v>FAILED</x:v>
      </x:c>
      <x:c r="BZ162" s="115"/>
      <x:c r="CA162" s="115"/>
      <x:c r="CB162" s="107"/>
      <x:c r="CC162" s="107"/>
      <x:c r="CD162" s="107"/>
      <x:c r="CE162" s="107"/>
      <x:c r="CF162" s="107"/>
      <x:c r="CG162" s="109" t="str">
        <x:f t="shared" si="68"/>
        <x:v>FAILED</x:v>
      </x:c>
      <x:c r="CH162" s="117"/>
    </x:row>
    <x:row r="163">
      <x:c r="A163" s="102" t="str">
        <x:f>IF(RECORD!A165="","",RECORD!A165)</x:f>
      </x:c>
      <x:c r="B163" s="102" t="str">
        <x:f>IF(RECORD!B165="","",RECORD!B165)</x:f>
      </x:c>
      <x:c r="C163" s="103" t="str">
        <x:f>IF(RECORD!C165="","",RECORD!C165)</x:f>
      </x:c>
      <x:c r="D163" s="104" t="str">
        <x:f t="array" ref="D163">IF(C163&lt;&gt;"",IF(F$7="SUMMER","N/A",_xlfn.IFS(D$10="TLA",RECORD!GO165,F$10="LECTURE","",TRUE(),"")),"")</x:f>
      </x:c>
      <x:c r="E163" s="105" t="str">
        <x:f t="shared" si="46"/>
      </x:c>
      <x:c r="F163" s="104" t="str">
        <x:f t="array" ref="F163">IF(C163&lt;&gt;"",IF(F$7="SUMMER","N/A",_xlfn.IFS(F$10="AT",RECORD!GI165,F$10="LECTURE",GRADES!AP163,TRUE(),"")),"")</x:f>
      </x:c>
      <x:c r="G163" s="106" t="str">
        <x:f t="shared" si="47"/>
      </x:c>
      <x:c r="H163" s="107" t="str">
        <x:f t="array" ref="H163">IF(C163&lt;&gt;"",IF(F$7="SUMMER","N/A",_xlfn.IFS(H$10="EXAM",RECORD!GJ165,H$10="OUTPUT",RECORD!GK165,H$10="LAB",BP163,TRUE(),"")),"")</x:f>
      </x:c>
      <x:c r="I163" s="106" t="str">
        <x:f t="shared" si="48"/>
      </x:c>
      <x:c r="J163" s="108" t="str">
        <x:f t="shared" si="49"/>
      </x:c>
      <x:c r="K163" s="109" t="str">
        <x:f t="shared" si="50"/>
      </x:c>
      <x:c r="L163" s="110" t="str">
        <x:f t="array" ref="L163">IF(C163&lt;&gt;"",_xlfn.IFS(L$10="TLA",RECORD!GY165,N$10="LECTURE","",TRUE(),""),"")</x:f>
      </x:c>
      <x:c r="M163" s="105" t="str">
        <x:f t="shared" si="51"/>
      </x:c>
      <x:c r="N163" s="104" t="str">
        <x:f t="array" ref="N163">IF(C163&lt;&gt;"",_xlfn.IFS(N$10="AT",RECORD!GS165,N$10="LECTURE",AX163,TRUE(),""),"")</x:f>
      </x:c>
      <x:c r="O163" s="106" t="str">
        <x:f t="shared" si="52"/>
      </x:c>
      <x:c r="P163" s="107" t="str">
        <x:f t="array" ref="P163">IF(C163&lt;&gt;"",_xlfn.IFS(P$10="EXAM",RECORD!GT165,P$10="OUTPUT",RECORD!GU165,P$10="LAB",BX163,TRUE(),""),"")</x:f>
      </x:c>
      <x:c r="Q163" s="106" t="str">
        <x:f t="shared" si="53"/>
      </x:c>
      <x:c r="R163" s="108" t="str">
        <x:f t="shared" si="54"/>
      </x:c>
      <x:c r="S163" s="109" t="str">
        <x:f t="shared" si="55"/>
      </x:c>
      <x:c r="T163" s="110" t="str">
        <x:f t="array" ref="T163">IF(C163&lt;&gt;"",_xlfn.IFS(T$10="TLA",RECORD!HI165,V$10="LECTURE","",TRUE(),""),"")</x:f>
      </x:c>
      <x:c r="U163" s="105" t="str">
        <x:f t="shared" si="56"/>
      </x:c>
      <x:c r="V163" s="104" t="str">
        <x:f t="array" ref="V163">IF(C163&lt;&gt;"",_xlfn.IFS(V$10="AT",RECORD!HC165,V$10="LECTURE",BF163,TRUE(),""),"")</x:f>
      </x:c>
      <x:c r="W163" s="106" t="str">
        <x:f t="shared" si="57"/>
      </x:c>
      <x:c r="X163" s="107" t="str">
        <x:f t="array" ref="X163">IF(C163&lt;&gt;"",_xlfn.IFS(X$10="EXAM",RECORD!HD165,X$10="OUTPUT",RECORD!HE165,X$10="LAB",CF163,TRUE(),""),"")</x:f>
      </x:c>
      <x:c r="Y163" s="106" t="str">
        <x:f t="shared" si="58"/>
      </x:c>
      <x:c r="Z163" s="108" t="str">
        <x:f t="shared" si="59"/>
      </x:c>
      <x:c r="AA163" s="109" t="str">
        <x:f t="shared" si="60"/>
      </x:c>
      <x:c r="AB163" s="111" t="str">
        <x:f t="shared" si="61"/>
      </x:c>
      <x:c r="AC163" s="109" t="str">
        <x:f t="shared" si="62"/>
      </x:c>
      <x:c r="AD163" s="112"/>
      <x:c r="AE163" s="102"/>
      <x:c r="AF163" s="113"/>
      <x:c r="AG163" s="112"/>
      <x:c r="AH163" s="103"/>
      <x:c r="AI163" s="114"/>
      <x:c r="AJ163" s="102"/>
      <x:c r="AK163" s="102"/>
      <x:c r="AL163" s="102"/>
      <x:c r="AM163" s="102"/>
      <x:c r="AN163" s="102"/>
      <x:c r="AO163" s="102"/>
      <x:c r="AP163" s="102"/>
      <x:c r="AQ163" s="109" t="str">
        <x:f t="shared" si="63"/>
        <x:v>FAILED</x:v>
      </x:c>
      <x:c r="AR163" s="115"/>
      <x:c r="AS163" s="115"/>
      <x:c r="AT163" s="107"/>
      <x:c r="AU163" s="107"/>
      <x:c r="AV163" s="107"/>
      <x:c r="AW163" s="107"/>
      <x:c r="AX163" s="107"/>
      <x:c r="AY163" s="109" t="str">
        <x:f t="shared" si="64"/>
        <x:v>FAILED</x:v>
      </x:c>
      <x:c r="AZ163" s="115"/>
      <x:c r="BA163" s="115"/>
      <x:c r="BB163" s="107"/>
      <x:c r="BC163" s="107"/>
      <x:c r="BD163" s="107"/>
      <x:c r="BE163" s="107"/>
      <x:c r="BF163" s="107"/>
      <x:c r="BG163" s="109" t="str">
        <x:f t="shared" si="65"/>
        <x:v>FAILED</x:v>
      </x:c>
      <x:c r="BH163" s="117"/>
      <x:c r="BI163" s="102"/>
      <x:c r="BJ163" s="102"/>
      <x:c r="BK163" s="102"/>
      <x:c r="BL163" s="102"/>
      <x:c r="BM163" s="102"/>
      <x:c r="BN163" s="102"/>
      <x:c r="BO163" s="102"/>
      <x:c r="BP163" s="102"/>
      <x:c r="BQ163" s="109" t="str">
        <x:f t="shared" si="66"/>
        <x:v>FAILED</x:v>
      </x:c>
      <x:c r="BR163" s="115"/>
      <x:c r="BS163" s="115"/>
      <x:c r="BT163" s="107"/>
      <x:c r="BU163" s="107"/>
      <x:c r="BV163" s="107"/>
      <x:c r="BW163" s="107"/>
      <x:c r="BX163" s="107"/>
      <x:c r="BY163" s="109" t="str">
        <x:f t="shared" si="67"/>
        <x:v>FAILED</x:v>
      </x:c>
      <x:c r="BZ163" s="115"/>
      <x:c r="CA163" s="115"/>
      <x:c r="CB163" s="107"/>
      <x:c r="CC163" s="107"/>
      <x:c r="CD163" s="107"/>
      <x:c r="CE163" s="107"/>
      <x:c r="CF163" s="107"/>
      <x:c r="CG163" s="109" t="str">
        <x:f t="shared" si="68"/>
        <x:v>FAILED</x:v>
      </x:c>
      <x:c r="CH163" s="117"/>
    </x:row>
    <x:row r="164">
      <x:c r="A164" s="102" t="str">
        <x:f>IF(RECORD!A166="","",RECORD!A166)</x:f>
      </x:c>
      <x:c r="B164" s="102" t="str">
        <x:f>IF(RECORD!B166="","",RECORD!B166)</x:f>
      </x:c>
      <x:c r="C164" s="103" t="str">
        <x:f>IF(RECORD!C166="","",RECORD!C166)</x:f>
      </x:c>
      <x:c r="D164" s="104" t="str">
        <x:f t="array" ref="D164">IF(C164&lt;&gt;"",IF(F$7="SUMMER","N/A",_xlfn.IFS(D$10="TLA",RECORD!GO166,F$10="LECTURE","",TRUE(),"")),"")</x:f>
      </x:c>
      <x:c r="E164" s="105" t="str">
        <x:f t="shared" si="46"/>
      </x:c>
      <x:c r="F164" s="104" t="str">
        <x:f t="array" ref="F164">IF(C164&lt;&gt;"",IF(F$7="SUMMER","N/A",_xlfn.IFS(F$10="AT",RECORD!GI166,F$10="LECTURE",GRADES!AP164,TRUE(),"")),"")</x:f>
      </x:c>
      <x:c r="G164" s="106" t="str">
        <x:f t="shared" si="47"/>
      </x:c>
      <x:c r="H164" s="107" t="str">
        <x:f t="array" ref="H164">IF(C164&lt;&gt;"",IF(F$7="SUMMER","N/A",_xlfn.IFS(H$10="EXAM",RECORD!GJ166,H$10="OUTPUT",RECORD!GK166,H$10="LAB",BP164,TRUE(),"")),"")</x:f>
      </x:c>
      <x:c r="I164" s="106" t="str">
        <x:f t="shared" si="48"/>
      </x:c>
      <x:c r="J164" s="108" t="str">
        <x:f t="shared" si="49"/>
      </x:c>
      <x:c r="K164" s="109" t="str">
        <x:f t="shared" si="50"/>
      </x:c>
      <x:c r="L164" s="110" t="str">
        <x:f t="array" ref="L164">IF(C164&lt;&gt;"",_xlfn.IFS(L$10="TLA",RECORD!GY166,N$10="LECTURE","",TRUE(),""),"")</x:f>
      </x:c>
      <x:c r="M164" s="105" t="str">
        <x:f t="shared" si="51"/>
      </x:c>
      <x:c r="N164" s="104" t="str">
        <x:f t="array" ref="N164">IF(C164&lt;&gt;"",_xlfn.IFS(N$10="AT",RECORD!GS166,N$10="LECTURE",AX164,TRUE(),""),"")</x:f>
      </x:c>
      <x:c r="O164" s="106" t="str">
        <x:f t="shared" si="52"/>
      </x:c>
      <x:c r="P164" s="107" t="str">
        <x:f t="array" ref="P164">IF(C164&lt;&gt;"",_xlfn.IFS(P$10="EXAM",RECORD!GT166,P$10="OUTPUT",RECORD!GU166,P$10="LAB",BX164,TRUE(),""),"")</x:f>
      </x:c>
      <x:c r="Q164" s="106" t="str">
        <x:f t="shared" si="53"/>
      </x:c>
      <x:c r="R164" s="108" t="str">
        <x:f t="shared" si="54"/>
      </x:c>
      <x:c r="S164" s="109" t="str">
        <x:f t="shared" si="55"/>
      </x:c>
      <x:c r="T164" s="110" t="str">
        <x:f t="array" ref="T164">IF(C164&lt;&gt;"",_xlfn.IFS(T$10="TLA",RECORD!HI166,V$10="LECTURE","",TRUE(),""),"")</x:f>
      </x:c>
      <x:c r="U164" s="105" t="str">
        <x:f t="shared" si="56"/>
      </x:c>
      <x:c r="V164" s="104" t="str">
        <x:f t="array" ref="V164">IF(C164&lt;&gt;"",_xlfn.IFS(V$10="AT",RECORD!HC166,V$10="LECTURE",BF164,TRUE(),""),"")</x:f>
      </x:c>
      <x:c r="W164" s="106" t="str">
        <x:f t="shared" si="57"/>
      </x:c>
      <x:c r="X164" s="107" t="str">
        <x:f t="array" ref="X164">IF(C164&lt;&gt;"",_xlfn.IFS(X$10="EXAM",RECORD!HD166,X$10="OUTPUT",RECORD!HE166,X$10="LAB",CF164,TRUE(),""),"")</x:f>
      </x:c>
      <x:c r="Y164" s="106" t="str">
        <x:f t="shared" si="58"/>
      </x:c>
      <x:c r="Z164" s="108" t="str">
        <x:f t="shared" si="59"/>
      </x:c>
      <x:c r="AA164" s="109" t="str">
        <x:f t="shared" si="60"/>
      </x:c>
      <x:c r="AB164" s="111" t="str">
        <x:f t="shared" si="61"/>
      </x:c>
      <x:c r="AC164" s="109" t="str">
        <x:f t="shared" si="62"/>
      </x:c>
      <x:c r="AD164" s="112"/>
      <x:c r="AE164" s="102"/>
      <x:c r="AF164" s="113"/>
      <x:c r="AG164" s="112"/>
      <x:c r="AH164" s="103"/>
      <x:c r="AI164" s="114"/>
      <x:c r="AJ164" s="102"/>
      <x:c r="AK164" s="102"/>
      <x:c r="AL164" s="102"/>
      <x:c r="AM164" s="102"/>
      <x:c r="AN164" s="102"/>
      <x:c r="AO164" s="102"/>
      <x:c r="AP164" s="102"/>
      <x:c r="AQ164" s="109" t="str">
        <x:f t="shared" si="63"/>
        <x:v>FAILED</x:v>
      </x:c>
      <x:c r="AR164" s="115"/>
      <x:c r="AS164" s="115"/>
      <x:c r="AT164" s="107"/>
      <x:c r="AU164" s="107"/>
      <x:c r="AV164" s="107"/>
      <x:c r="AW164" s="107"/>
      <x:c r="AX164" s="107"/>
      <x:c r="AY164" s="109" t="str">
        <x:f t="shared" si="64"/>
        <x:v>FAILED</x:v>
      </x:c>
      <x:c r="AZ164" s="115"/>
      <x:c r="BA164" s="115"/>
      <x:c r="BB164" s="107"/>
      <x:c r="BC164" s="107"/>
      <x:c r="BD164" s="107"/>
      <x:c r="BE164" s="107"/>
      <x:c r="BF164" s="107"/>
      <x:c r="BG164" s="109" t="str">
        <x:f t="shared" si="65"/>
        <x:v>FAILED</x:v>
      </x:c>
      <x:c r="BH164" s="117"/>
      <x:c r="BI164" s="102"/>
      <x:c r="BJ164" s="102"/>
      <x:c r="BK164" s="102"/>
      <x:c r="BL164" s="102"/>
      <x:c r="BM164" s="102"/>
      <x:c r="BN164" s="102"/>
      <x:c r="BO164" s="102"/>
      <x:c r="BP164" s="102"/>
      <x:c r="BQ164" s="109" t="str">
        <x:f t="shared" si="66"/>
        <x:v>FAILED</x:v>
      </x:c>
      <x:c r="BR164" s="115"/>
      <x:c r="BS164" s="115"/>
      <x:c r="BT164" s="107"/>
      <x:c r="BU164" s="107"/>
      <x:c r="BV164" s="107"/>
      <x:c r="BW164" s="107"/>
      <x:c r="BX164" s="107"/>
      <x:c r="BY164" s="109" t="str">
        <x:f t="shared" si="67"/>
        <x:v>FAILED</x:v>
      </x:c>
      <x:c r="BZ164" s="115"/>
      <x:c r="CA164" s="115"/>
      <x:c r="CB164" s="107"/>
      <x:c r="CC164" s="107"/>
      <x:c r="CD164" s="107"/>
      <x:c r="CE164" s="107"/>
      <x:c r="CF164" s="107"/>
      <x:c r="CG164" s="109" t="str">
        <x:f t="shared" si="68"/>
        <x:v>FAILED</x:v>
      </x:c>
      <x:c r="CH164" s="117"/>
    </x:row>
    <x:row r="165">
      <x:c r="A165" s="102" t="str">
        <x:f>IF(RECORD!A167="","",RECORD!A167)</x:f>
      </x:c>
      <x:c r="B165" s="102" t="str">
        <x:f>IF(RECORD!B167="","",RECORD!B167)</x:f>
      </x:c>
      <x:c r="C165" s="103" t="str">
        <x:f>IF(RECORD!C167="","",RECORD!C167)</x:f>
      </x:c>
      <x:c r="D165" s="104" t="str">
        <x:f t="array" ref="D165">IF(C165&lt;&gt;"",IF(F$7="SUMMER","N/A",_xlfn.IFS(D$10="TLA",RECORD!GO167,F$10="LECTURE","",TRUE(),"")),"")</x:f>
      </x:c>
      <x:c r="E165" s="105" t="str">
        <x:f t="shared" si="46"/>
      </x:c>
      <x:c r="F165" s="104" t="str">
        <x:f t="array" ref="F165">IF(C165&lt;&gt;"",IF(F$7="SUMMER","N/A",_xlfn.IFS(F$10="AT",RECORD!GI167,F$10="LECTURE",GRADES!AP165,TRUE(),"")),"")</x:f>
      </x:c>
      <x:c r="G165" s="106" t="str">
        <x:f t="shared" si="47"/>
      </x:c>
      <x:c r="H165" s="107" t="str">
        <x:f t="array" ref="H165">IF(C165&lt;&gt;"",IF(F$7="SUMMER","N/A",_xlfn.IFS(H$10="EXAM",RECORD!GJ167,H$10="OUTPUT",RECORD!GK167,H$10="LAB",BP165,TRUE(),"")),"")</x:f>
      </x:c>
      <x:c r="I165" s="106" t="str">
        <x:f t="shared" si="48"/>
      </x:c>
      <x:c r="J165" s="108" t="str">
        <x:f t="shared" si="49"/>
      </x:c>
      <x:c r="K165" s="109" t="str">
        <x:f t="shared" si="50"/>
      </x:c>
      <x:c r="L165" s="110" t="str">
        <x:f t="array" ref="L165">IF(C165&lt;&gt;"",_xlfn.IFS(L$10="TLA",RECORD!GY167,N$10="LECTURE","",TRUE(),""),"")</x:f>
      </x:c>
      <x:c r="M165" s="105" t="str">
        <x:f t="shared" si="51"/>
      </x:c>
      <x:c r="N165" s="104" t="str">
        <x:f t="array" ref="N165">IF(C165&lt;&gt;"",_xlfn.IFS(N$10="AT",RECORD!GS167,N$10="LECTURE",AX165,TRUE(),""),"")</x:f>
      </x:c>
      <x:c r="O165" s="106" t="str">
        <x:f t="shared" si="52"/>
      </x:c>
      <x:c r="P165" s="107" t="str">
        <x:f t="array" ref="P165">IF(C165&lt;&gt;"",_xlfn.IFS(P$10="EXAM",RECORD!GT167,P$10="OUTPUT",RECORD!GU167,P$10="LAB",BX165,TRUE(),""),"")</x:f>
      </x:c>
      <x:c r="Q165" s="106" t="str">
        <x:f t="shared" si="53"/>
      </x:c>
      <x:c r="R165" s="108" t="str">
        <x:f t="shared" si="54"/>
      </x:c>
      <x:c r="S165" s="109" t="str">
        <x:f t="shared" si="55"/>
      </x:c>
      <x:c r="T165" s="110" t="str">
        <x:f t="array" ref="T165">IF(C165&lt;&gt;"",_xlfn.IFS(T$10="TLA",RECORD!HI167,V$10="LECTURE","",TRUE(),""),"")</x:f>
      </x:c>
      <x:c r="U165" s="105" t="str">
        <x:f t="shared" si="56"/>
      </x:c>
      <x:c r="V165" s="104" t="str">
        <x:f t="array" ref="V165">IF(C165&lt;&gt;"",_xlfn.IFS(V$10="AT",RECORD!HC167,V$10="LECTURE",BF165,TRUE(),""),"")</x:f>
      </x:c>
      <x:c r="W165" s="106" t="str">
        <x:f t="shared" si="57"/>
      </x:c>
      <x:c r="X165" s="107" t="str">
        <x:f t="array" ref="X165">IF(C165&lt;&gt;"",_xlfn.IFS(X$10="EXAM",RECORD!HD167,X$10="OUTPUT",RECORD!HE167,X$10="LAB",CF165,TRUE(),""),"")</x:f>
      </x:c>
      <x:c r="Y165" s="106" t="str">
        <x:f t="shared" si="58"/>
      </x:c>
      <x:c r="Z165" s="108" t="str">
        <x:f t="shared" si="59"/>
      </x:c>
      <x:c r="AA165" s="109" t="str">
        <x:f t="shared" si="60"/>
      </x:c>
      <x:c r="AB165" s="111" t="str">
        <x:f t="shared" si="61"/>
      </x:c>
      <x:c r="AC165" s="109" t="str">
        <x:f t="shared" si="62"/>
      </x:c>
      <x:c r="AD165" s="112"/>
      <x:c r="AE165" s="102"/>
      <x:c r="AF165" s="113"/>
      <x:c r="AG165" s="112"/>
      <x:c r="AH165" s="103"/>
      <x:c r="AI165" s="114"/>
      <x:c r="AJ165" s="102"/>
      <x:c r="AK165" s="102"/>
      <x:c r="AL165" s="102"/>
      <x:c r="AM165" s="102"/>
      <x:c r="AN165" s="102"/>
      <x:c r="AO165" s="102"/>
      <x:c r="AP165" s="102"/>
      <x:c r="AQ165" s="109" t="str">
        <x:f t="shared" si="63"/>
        <x:v>FAILED</x:v>
      </x:c>
      <x:c r="AR165" s="115"/>
      <x:c r="AS165" s="115"/>
      <x:c r="AT165" s="107"/>
      <x:c r="AU165" s="107"/>
      <x:c r="AV165" s="107"/>
      <x:c r="AW165" s="107"/>
      <x:c r="AX165" s="107"/>
      <x:c r="AY165" s="109" t="str">
        <x:f t="shared" si="64"/>
        <x:v>FAILED</x:v>
      </x:c>
      <x:c r="AZ165" s="115"/>
      <x:c r="BA165" s="115"/>
      <x:c r="BB165" s="107"/>
      <x:c r="BC165" s="107"/>
      <x:c r="BD165" s="107"/>
      <x:c r="BE165" s="107"/>
      <x:c r="BF165" s="107"/>
      <x:c r="BG165" s="109" t="str">
        <x:f t="shared" si="65"/>
        <x:v>FAILED</x:v>
      </x:c>
      <x:c r="BH165" s="117"/>
      <x:c r="BI165" s="102"/>
      <x:c r="BJ165" s="102"/>
      <x:c r="BK165" s="102"/>
      <x:c r="BL165" s="102"/>
      <x:c r="BM165" s="102"/>
      <x:c r="BN165" s="102"/>
      <x:c r="BO165" s="102"/>
      <x:c r="BP165" s="102"/>
      <x:c r="BQ165" s="109" t="str">
        <x:f t="shared" si="66"/>
        <x:v>FAILED</x:v>
      </x:c>
      <x:c r="BR165" s="115"/>
      <x:c r="BS165" s="115"/>
      <x:c r="BT165" s="107"/>
      <x:c r="BU165" s="107"/>
      <x:c r="BV165" s="107"/>
      <x:c r="BW165" s="107"/>
      <x:c r="BX165" s="107"/>
      <x:c r="BY165" s="109" t="str">
        <x:f t="shared" si="67"/>
        <x:v>FAILED</x:v>
      </x:c>
      <x:c r="BZ165" s="115"/>
      <x:c r="CA165" s="115"/>
      <x:c r="CB165" s="107"/>
      <x:c r="CC165" s="107"/>
      <x:c r="CD165" s="107"/>
      <x:c r="CE165" s="107"/>
      <x:c r="CF165" s="107"/>
      <x:c r="CG165" s="109" t="str">
        <x:f t="shared" si="68"/>
        <x:v>FAILED</x:v>
      </x:c>
      <x:c r="CH165" s="117"/>
    </x:row>
    <x:row r="166">
      <x:c r="A166" s="102" t="str">
        <x:f>IF(RECORD!A168="","",RECORD!A168)</x:f>
      </x:c>
      <x:c r="B166" s="102" t="str">
        <x:f>IF(RECORD!B168="","",RECORD!B168)</x:f>
      </x:c>
      <x:c r="C166" s="103" t="str">
        <x:f>IF(RECORD!C168="","",RECORD!C168)</x:f>
      </x:c>
      <x:c r="D166" s="104" t="str">
        <x:f t="array" ref="D166">IF(C166&lt;&gt;"",IF(F$7="SUMMER","N/A",_xlfn.IFS(D$10="TLA",RECORD!GO168,F$10="LECTURE","",TRUE(),"")),"")</x:f>
      </x:c>
      <x:c r="E166" s="105" t="str">
        <x:f t="shared" si="46"/>
      </x:c>
      <x:c r="F166" s="104" t="str">
        <x:f t="array" ref="F166">IF(C166&lt;&gt;"",IF(F$7="SUMMER","N/A",_xlfn.IFS(F$10="AT",RECORD!GI168,F$10="LECTURE",GRADES!AP166,TRUE(),"")),"")</x:f>
      </x:c>
      <x:c r="G166" s="106" t="str">
        <x:f t="shared" si="47"/>
      </x:c>
      <x:c r="H166" s="107" t="str">
        <x:f t="array" ref="H166">IF(C166&lt;&gt;"",IF(F$7="SUMMER","N/A",_xlfn.IFS(H$10="EXAM",RECORD!GJ168,H$10="OUTPUT",RECORD!GK168,H$10="LAB",BP166,TRUE(),"")),"")</x:f>
      </x:c>
      <x:c r="I166" s="106" t="str">
        <x:f t="shared" si="48"/>
      </x:c>
      <x:c r="J166" s="108" t="str">
        <x:f t="shared" si="49"/>
      </x:c>
      <x:c r="K166" s="109" t="str">
        <x:f t="shared" si="50"/>
      </x:c>
      <x:c r="L166" s="110" t="str">
        <x:f t="array" ref="L166">IF(C166&lt;&gt;"",_xlfn.IFS(L$10="TLA",RECORD!GY168,N$10="LECTURE","",TRUE(),""),"")</x:f>
      </x:c>
      <x:c r="M166" s="105" t="str">
        <x:f t="shared" si="51"/>
      </x:c>
      <x:c r="N166" s="104" t="str">
        <x:f t="array" ref="N166">IF(C166&lt;&gt;"",_xlfn.IFS(N$10="AT",RECORD!GS168,N$10="LECTURE",AX166,TRUE(),""),"")</x:f>
      </x:c>
      <x:c r="O166" s="106" t="str">
        <x:f t="shared" si="52"/>
      </x:c>
      <x:c r="P166" s="107" t="str">
        <x:f t="array" ref="P166">IF(C166&lt;&gt;"",_xlfn.IFS(P$10="EXAM",RECORD!GT168,P$10="OUTPUT",RECORD!GU168,P$10="LAB",BX166,TRUE(),""),"")</x:f>
      </x:c>
      <x:c r="Q166" s="106" t="str">
        <x:f t="shared" si="53"/>
      </x:c>
      <x:c r="R166" s="108" t="str">
        <x:f t="shared" si="54"/>
      </x:c>
      <x:c r="S166" s="109" t="str">
        <x:f t="shared" si="55"/>
      </x:c>
      <x:c r="T166" s="110" t="str">
        <x:f t="array" ref="T166">IF(C166&lt;&gt;"",_xlfn.IFS(T$10="TLA",RECORD!HI168,V$10="LECTURE","",TRUE(),""),"")</x:f>
      </x:c>
      <x:c r="U166" s="105" t="str">
        <x:f t="shared" si="56"/>
      </x:c>
      <x:c r="V166" s="104" t="str">
        <x:f t="array" ref="V166">IF(C166&lt;&gt;"",_xlfn.IFS(V$10="AT",RECORD!HC168,V$10="LECTURE",BF166,TRUE(),""),"")</x:f>
      </x:c>
      <x:c r="W166" s="106" t="str">
        <x:f t="shared" si="57"/>
      </x:c>
      <x:c r="X166" s="107" t="str">
        <x:f t="array" ref="X166">IF(C166&lt;&gt;"",_xlfn.IFS(X$10="EXAM",RECORD!HD168,X$10="OUTPUT",RECORD!HE168,X$10="LAB",CF166,TRUE(),""),"")</x:f>
      </x:c>
      <x:c r="Y166" s="106" t="str">
        <x:f t="shared" si="58"/>
      </x:c>
      <x:c r="Z166" s="108" t="str">
        <x:f t="shared" si="59"/>
      </x:c>
      <x:c r="AA166" s="109" t="str">
        <x:f t="shared" si="60"/>
      </x:c>
      <x:c r="AB166" s="111" t="str">
        <x:f t="shared" si="61"/>
      </x:c>
      <x:c r="AC166" s="109" t="str">
        <x:f t="shared" si="62"/>
      </x:c>
      <x:c r="AD166" s="112"/>
      <x:c r="AE166" s="102"/>
      <x:c r="AF166" s="113"/>
      <x:c r="AG166" s="112"/>
      <x:c r="AH166" s="103"/>
      <x:c r="AI166" s="114"/>
      <x:c r="AJ166" s="102"/>
      <x:c r="AK166" s="102"/>
      <x:c r="AL166" s="102"/>
      <x:c r="AM166" s="102"/>
      <x:c r="AN166" s="102"/>
      <x:c r="AO166" s="102"/>
      <x:c r="AP166" s="102"/>
      <x:c r="AQ166" s="109" t="str">
        <x:f t="shared" si="63"/>
        <x:v>FAILED</x:v>
      </x:c>
      <x:c r="AR166" s="115"/>
      <x:c r="AS166" s="115"/>
      <x:c r="AT166" s="107"/>
      <x:c r="AU166" s="107"/>
      <x:c r="AV166" s="107"/>
      <x:c r="AW166" s="107"/>
      <x:c r="AX166" s="107"/>
      <x:c r="AY166" s="109" t="str">
        <x:f t="shared" si="64"/>
        <x:v>FAILED</x:v>
      </x:c>
      <x:c r="AZ166" s="115"/>
      <x:c r="BA166" s="115"/>
      <x:c r="BB166" s="107"/>
      <x:c r="BC166" s="107"/>
      <x:c r="BD166" s="107"/>
      <x:c r="BE166" s="107"/>
      <x:c r="BF166" s="107"/>
      <x:c r="BG166" s="109" t="str">
        <x:f t="shared" si="65"/>
        <x:v>FAILED</x:v>
      </x:c>
      <x:c r="BH166" s="117"/>
      <x:c r="BI166" s="102"/>
      <x:c r="BJ166" s="102"/>
      <x:c r="BK166" s="102"/>
      <x:c r="BL166" s="102"/>
      <x:c r="BM166" s="102"/>
      <x:c r="BN166" s="102"/>
      <x:c r="BO166" s="102"/>
      <x:c r="BP166" s="102"/>
      <x:c r="BQ166" s="109" t="str">
        <x:f t="shared" si="66"/>
        <x:v>FAILED</x:v>
      </x:c>
      <x:c r="BR166" s="115"/>
      <x:c r="BS166" s="115"/>
      <x:c r="BT166" s="107"/>
      <x:c r="BU166" s="107"/>
      <x:c r="BV166" s="107"/>
      <x:c r="BW166" s="107"/>
      <x:c r="BX166" s="107"/>
      <x:c r="BY166" s="109" t="str">
        <x:f t="shared" si="67"/>
        <x:v>FAILED</x:v>
      </x:c>
      <x:c r="BZ166" s="115"/>
      <x:c r="CA166" s="115"/>
      <x:c r="CB166" s="107"/>
      <x:c r="CC166" s="107"/>
      <x:c r="CD166" s="107"/>
      <x:c r="CE166" s="107"/>
      <x:c r="CF166" s="107"/>
      <x:c r="CG166" s="109" t="str">
        <x:f t="shared" si="68"/>
        <x:v>FAILED</x:v>
      </x:c>
      <x:c r="CH166" s="117"/>
    </x:row>
    <x:row r="167">
      <x:c r="A167" s="102" t="str">
        <x:f>IF(RECORD!A169="","",RECORD!A169)</x:f>
      </x:c>
      <x:c r="B167" s="102" t="str">
        <x:f>IF(RECORD!B169="","",RECORD!B169)</x:f>
      </x:c>
      <x:c r="C167" s="103" t="str">
        <x:f>IF(RECORD!C169="","",RECORD!C169)</x:f>
      </x:c>
      <x:c r="D167" s="104" t="str">
        <x:f t="array" ref="D167">IF(C167&lt;&gt;"",IF(F$7="SUMMER","N/A",_xlfn.IFS(D$10="TLA",RECORD!GO169,F$10="LECTURE","",TRUE(),"")),"")</x:f>
      </x:c>
      <x:c r="E167" s="105" t="str">
        <x:f t="shared" si="46"/>
      </x:c>
      <x:c r="F167" s="104" t="str">
        <x:f t="array" ref="F167">IF(C167&lt;&gt;"",IF(F$7="SUMMER","N/A",_xlfn.IFS(F$10="AT",RECORD!GI169,F$10="LECTURE",GRADES!AP167,TRUE(),"")),"")</x:f>
      </x:c>
      <x:c r="G167" s="106" t="str">
        <x:f t="shared" si="47"/>
      </x:c>
      <x:c r="H167" s="107" t="str">
        <x:f t="array" ref="H167">IF(C167&lt;&gt;"",IF(F$7="SUMMER","N/A",_xlfn.IFS(H$10="EXAM",RECORD!GJ169,H$10="OUTPUT",RECORD!GK169,H$10="LAB",BP167,TRUE(),"")),"")</x:f>
      </x:c>
      <x:c r="I167" s="106" t="str">
        <x:f t="shared" si="48"/>
      </x:c>
      <x:c r="J167" s="108" t="str">
        <x:f t="shared" si="49"/>
      </x:c>
      <x:c r="K167" s="109" t="str">
        <x:f t="shared" si="50"/>
      </x:c>
      <x:c r="L167" s="110" t="str">
        <x:f t="array" ref="L167">IF(C167&lt;&gt;"",_xlfn.IFS(L$10="TLA",RECORD!GY169,N$10="LECTURE","",TRUE(),""),"")</x:f>
      </x:c>
      <x:c r="M167" s="105" t="str">
        <x:f t="shared" si="51"/>
      </x:c>
      <x:c r="N167" s="104" t="str">
        <x:f t="array" ref="N167">IF(C167&lt;&gt;"",_xlfn.IFS(N$10="AT",RECORD!GS169,N$10="LECTURE",AX167,TRUE(),""),"")</x:f>
      </x:c>
      <x:c r="O167" s="106" t="str">
        <x:f t="shared" si="52"/>
      </x:c>
      <x:c r="P167" s="107" t="str">
        <x:f t="array" ref="P167">IF(C167&lt;&gt;"",_xlfn.IFS(P$10="EXAM",RECORD!GT169,P$10="OUTPUT",RECORD!GU169,P$10="LAB",BX167,TRUE(),""),"")</x:f>
      </x:c>
      <x:c r="Q167" s="106" t="str">
        <x:f t="shared" si="53"/>
      </x:c>
      <x:c r="R167" s="108" t="str">
        <x:f t="shared" si="54"/>
      </x:c>
      <x:c r="S167" s="109" t="str">
        <x:f t="shared" si="55"/>
      </x:c>
      <x:c r="T167" s="110" t="str">
        <x:f t="array" ref="T167">IF(C167&lt;&gt;"",_xlfn.IFS(T$10="TLA",RECORD!HI169,V$10="LECTURE","",TRUE(),""),"")</x:f>
      </x:c>
      <x:c r="U167" s="105" t="str">
        <x:f t="shared" si="56"/>
      </x:c>
      <x:c r="V167" s="104" t="str">
        <x:f t="array" ref="V167">IF(C167&lt;&gt;"",_xlfn.IFS(V$10="AT",RECORD!HC169,V$10="LECTURE",BF167,TRUE(),""),"")</x:f>
      </x:c>
      <x:c r="W167" s="106" t="str">
        <x:f t="shared" si="57"/>
      </x:c>
      <x:c r="X167" s="107" t="str">
        <x:f t="array" ref="X167">IF(C167&lt;&gt;"",_xlfn.IFS(X$10="EXAM",RECORD!HD169,X$10="OUTPUT",RECORD!HE169,X$10="LAB",CF167,TRUE(),""),"")</x:f>
      </x:c>
      <x:c r="Y167" s="106" t="str">
        <x:f t="shared" si="58"/>
      </x:c>
      <x:c r="Z167" s="108" t="str">
        <x:f t="shared" si="59"/>
      </x:c>
      <x:c r="AA167" s="109" t="str">
        <x:f t="shared" si="60"/>
      </x:c>
      <x:c r="AB167" s="111" t="str">
        <x:f t="shared" si="61"/>
      </x:c>
      <x:c r="AC167" s="109" t="str">
        <x:f t="shared" si="62"/>
      </x:c>
      <x:c r="AD167" s="112"/>
      <x:c r="AE167" s="102"/>
      <x:c r="AF167" s="113"/>
      <x:c r="AG167" s="112"/>
      <x:c r="AH167" s="103"/>
      <x:c r="AI167" s="114"/>
      <x:c r="AJ167" s="102"/>
      <x:c r="AK167" s="102"/>
      <x:c r="AL167" s="102"/>
      <x:c r="AM167" s="102"/>
      <x:c r="AN167" s="102"/>
      <x:c r="AO167" s="102"/>
      <x:c r="AP167" s="102"/>
      <x:c r="AQ167" s="109" t="str">
        <x:f t="shared" si="63"/>
        <x:v>FAILED</x:v>
      </x:c>
      <x:c r="AR167" s="115"/>
      <x:c r="AS167" s="115"/>
      <x:c r="AT167" s="107"/>
      <x:c r="AU167" s="107"/>
      <x:c r="AV167" s="107"/>
      <x:c r="AW167" s="107"/>
      <x:c r="AX167" s="107"/>
      <x:c r="AY167" s="109" t="str">
        <x:f t="shared" si="64"/>
        <x:v>FAILED</x:v>
      </x:c>
      <x:c r="AZ167" s="115"/>
      <x:c r="BA167" s="115"/>
      <x:c r="BB167" s="107"/>
      <x:c r="BC167" s="107"/>
      <x:c r="BD167" s="107"/>
      <x:c r="BE167" s="107"/>
      <x:c r="BF167" s="107"/>
      <x:c r="BG167" s="109" t="str">
        <x:f t="shared" si="65"/>
        <x:v>FAILED</x:v>
      </x:c>
      <x:c r="BH167" s="117"/>
      <x:c r="BI167" s="102"/>
      <x:c r="BJ167" s="102"/>
      <x:c r="BK167" s="102"/>
      <x:c r="BL167" s="102"/>
      <x:c r="BM167" s="102"/>
      <x:c r="BN167" s="102"/>
      <x:c r="BO167" s="102"/>
      <x:c r="BP167" s="102"/>
      <x:c r="BQ167" s="109" t="str">
        <x:f t="shared" si="66"/>
        <x:v>FAILED</x:v>
      </x:c>
      <x:c r="BR167" s="115"/>
      <x:c r="BS167" s="115"/>
      <x:c r="BT167" s="107"/>
      <x:c r="BU167" s="107"/>
      <x:c r="BV167" s="107"/>
      <x:c r="BW167" s="107"/>
      <x:c r="BX167" s="107"/>
      <x:c r="BY167" s="109" t="str">
        <x:f t="shared" si="67"/>
        <x:v>FAILED</x:v>
      </x:c>
      <x:c r="BZ167" s="115"/>
      <x:c r="CA167" s="115"/>
      <x:c r="CB167" s="107"/>
      <x:c r="CC167" s="107"/>
      <x:c r="CD167" s="107"/>
      <x:c r="CE167" s="107"/>
      <x:c r="CF167" s="107"/>
      <x:c r="CG167" s="109" t="str">
        <x:f t="shared" si="68"/>
        <x:v>FAILED</x:v>
      </x:c>
      <x:c r="CH167" s="117"/>
    </x:row>
    <x:row r="168">
      <x:c r="A168" s="102" t="str">
        <x:f>IF(RECORD!A170="","",RECORD!A170)</x:f>
      </x:c>
      <x:c r="B168" s="102" t="str">
        <x:f>IF(RECORD!B170="","",RECORD!B170)</x:f>
      </x:c>
      <x:c r="C168" s="103" t="str">
        <x:f>IF(RECORD!C170="","",RECORD!C170)</x:f>
      </x:c>
      <x:c r="D168" s="104" t="str">
        <x:f t="array" ref="D168">IF(C168&lt;&gt;"",IF(F$7="SUMMER","N/A",_xlfn.IFS(D$10="TLA",RECORD!GO170,F$10="LECTURE","",TRUE(),"")),"")</x:f>
      </x:c>
      <x:c r="E168" s="105" t="str">
        <x:f t="shared" si="46"/>
      </x:c>
      <x:c r="F168" s="104" t="str">
        <x:f t="array" ref="F168">IF(C168&lt;&gt;"",IF(F$7="SUMMER","N/A",_xlfn.IFS(F$10="AT",RECORD!GI170,F$10="LECTURE",GRADES!AP168,TRUE(),"")),"")</x:f>
      </x:c>
      <x:c r="G168" s="106" t="str">
        <x:f t="shared" si="47"/>
      </x:c>
      <x:c r="H168" s="107" t="str">
        <x:f t="array" ref="H168">IF(C168&lt;&gt;"",IF(F$7="SUMMER","N/A",_xlfn.IFS(H$10="EXAM",RECORD!GJ170,H$10="OUTPUT",RECORD!GK170,H$10="LAB",BP168,TRUE(),"")),"")</x:f>
      </x:c>
      <x:c r="I168" s="106" t="str">
        <x:f t="shared" si="48"/>
      </x:c>
      <x:c r="J168" s="108" t="str">
        <x:f t="shared" si="49"/>
      </x:c>
      <x:c r="K168" s="109" t="str">
        <x:f t="shared" si="50"/>
      </x:c>
      <x:c r="L168" s="110" t="str">
        <x:f t="array" ref="L168">IF(C168&lt;&gt;"",_xlfn.IFS(L$10="TLA",RECORD!GY170,N$10="LECTURE","",TRUE(),""),"")</x:f>
      </x:c>
      <x:c r="M168" s="105" t="str">
        <x:f t="shared" si="51"/>
      </x:c>
      <x:c r="N168" s="104" t="str">
        <x:f t="array" ref="N168">IF(C168&lt;&gt;"",_xlfn.IFS(N$10="AT",RECORD!GS170,N$10="LECTURE",AX168,TRUE(),""),"")</x:f>
      </x:c>
      <x:c r="O168" s="106" t="str">
        <x:f t="shared" si="52"/>
      </x:c>
      <x:c r="P168" s="107" t="str">
        <x:f t="array" ref="P168">IF(C168&lt;&gt;"",_xlfn.IFS(P$10="EXAM",RECORD!GT170,P$10="OUTPUT",RECORD!GU170,P$10="LAB",BX168,TRUE(),""),"")</x:f>
      </x:c>
      <x:c r="Q168" s="106" t="str">
        <x:f t="shared" si="53"/>
      </x:c>
      <x:c r="R168" s="108" t="str">
        <x:f t="shared" si="54"/>
      </x:c>
      <x:c r="S168" s="109" t="str">
        <x:f t="shared" si="55"/>
      </x:c>
      <x:c r="T168" s="110" t="str">
        <x:f t="array" ref="T168">IF(C168&lt;&gt;"",_xlfn.IFS(T$10="TLA",RECORD!HI170,V$10="LECTURE","",TRUE(),""),"")</x:f>
      </x:c>
      <x:c r="U168" s="105" t="str">
        <x:f t="shared" si="56"/>
      </x:c>
      <x:c r="V168" s="104" t="str">
        <x:f t="array" ref="V168">IF(C168&lt;&gt;"",_xlfn.IFS(V$10="AT",RECORD!HC170,V$10="LECTURE",BF168,TRUE(),""),"")</x:f>
      </x:c>
      <x:c r="W168" s="106" t="str">
        <x:f t="shared" si="57"/>
      </x:c>
      <x:c r="X168" s="107" t="str">
        <x:f t="array" ref="X168">IF(C168&lt;&gt;"",_xlfn.IFS(X$10="EXAM",RECORD!HD170,X$10="OUTPUT",RECORD!HE170,X$10="LAB",CF168,TRUE(),""),"")</x:f>
      </x:c>
      <x:c r="Y168" s="106" t="str">
        <x:f t="shared" si="58"/>
      </x:c>
      <x:c r="Z168" s="108" t="str">
        <x:f t="shared" si="59"/>
      </x:c>
      <x:c r="AA168" s="109" t="str">
        <x:f t="shared" si="60"/>
      </x:c>
      <x:c r="AB168" s="111" t="str">
        <x:f t="shared" si="61"/>
      </x:c>
      <x:c r="AC168" s="109" t="str">
        <x:f t="shared" si="62"/>
      </x:c>
      <x:c r="AD168" s="112"/>
      <x:c r="AE168" s="102"/>
      <x:c r="AF168" s="113"/>
      <x:c r="AG168" s="112"/>
      <x:c r="AH168" s="103"/>
      <x:c r="AI168" s="114"/>
      <x:c r="AJ168" s="102"/>
      <x:c r="AK168" s="102"/>
      <x:c r="AL168" s="102"/>
      <x:c r="AM168" s="102"/>
      <x:c r="AN168" s="102"/>
      <x:c r="AO168" s="102"/>
      <x:c r="AP168" s="102"/>
      <x:c r="AQ168" s="109" t="str">
        <x:f t="shared" si="63"/>
        <x:v>FAILED</x:v>
      </x:c>
      <x:c r="AR168" s="115"/>
      <x:c r="AS168" s="115"/>
      <x:c r="AT168" s="107"/>
      <x:c r="AU168" s="107"/>
      <x:c r="AV168" s="107"/>
      <x:c r="AW168" s="107"/>
      <x:c r="AX168" s="107"/>
      <x:c r="AY168" s="109" t="str">
        <x:f t="shared" si="64"/>
        <x:v>FAILED</x:v>
      </x:c>
      <x:c r="AZ168" s="115"/>
      <x:c r="BA168" s="115"/>
      <x:c r="BB168" s="107"/>
      <x:c r="BC168" s="107"/>
      <x:c r="BD168" s="107"/>
      <x:c r="BE168" s="107"/>
      <x:c r="BF168" s="107"/>
      <x:c r="BG168" s="109" t="str">
        <x:f t="shared" si="65"/>
        <x:v>FAILED</x:v>
      </x:c>
      <x:c r="BH168" s="117"/>
      <x:c r="BI168" s="102"/>
      <x:c r="BJ168" s="102"/>
      <x:c r="BK168" s="102"/>
      <x:c r="BL168" s="102"/>
      <x:c r="BM168" s="102"/>
      <x:c r="BN168" s="102"/>
      <x:c r="BO168" s="102"/>
      <x:c r="BP168" s="102"/>
      <x:c r="BQ168" s="109" t="str">
        <x:f t="shared" si="66"/>
        <x:v>FAILED</x:v>
      </x:c>
      <x:c r="BR168" s="115"/>
      <x:c r="BS168" s="115"/>
      <x:c r="BT168" s="107"/>
      <x:c r="BU168" s="107"/>
      <x:c r="BV168" s="107"/>
      <x:c r="BW168" s="107"/>
      <x:c r="BX168" s="107"/>
      <x:c r="BY168" s="109" t="str">
        <x:f t="shared" si="67"/>
        <x:v>FAILED</x:v>
      </x:c>
      <x:c r="BZ168" s="115"/>
      <x:c r="CA168" s="115"/>
      <x:c r="CB168" s="107"/>
      <x:c r="CC168" s="107"/>
      <x:c r="CD168" s="107"/>
      <x:c r="CE168" s="107"/>
      <x:c r="CF168" s="107"/>
      <x:c r="CG168" s="109" t="str">
        <x:f t="shared" si="68"/>
        <x:v>FAILED</x:v>
      </x:c>
      <x:c r="CH168" s="117"/>
    </x:row>
    <x:row r="169">
      <x:c r="A169" s="102" t="str">
        <x:f>IF(RECORD!A171="","",RECORD!A171)</x:f>
      </x:c>
      <x:c r="B169" s="102" t="str">
        <x:f>IF(RECORD!B171="","",RECORD!B171)</x:f>
      </x:c>
      <x:c r="C169" s="103" t="str">
        <x:f>IF(RECORD!C171="","",RECORD!C171)</x:f>
      </x:c>
      <x:c r="D169" s="104" t="str">
        <x:f t="array" ref="D169">IF(C169&lt;&gt;"",IF(F$7="SUMMER","N/A",_xlfn.IFS(D$10="TLA",RECORD!GO171,F$10="LECTURE","",TRUE(),"")),"")</x:f>
      </x:c>
      <x:c r="E169" s="105" t="str">
        <x:f t="shared" si="46"/>
      </x:c>
      <x:c r="F169" s="104" t="str">
        <x:f t="array" ref="F169">IF(C169&lt;&gt;"",IF(F$7="SUMMER","N/A",_xlfn.IFS(F$10="AT",RECORD!GI171,F$10="LECTURE",GRADES!AP169,TRUE(),"")),"")</x:f>
      </x:c>
      <x:c r="G169" s="106" t="str">
        <x:f t="shared" si="47"/>
      </x:c>
      <x:c r="H169" s="107" t="str">
        <x:f t="array" ref="H169">IF(C169&lt;&gt;"",IF(F$7="SUMMER","N/A",_xlfn.IFS(H$10="EXAM",RECORD!GJ171,H$10="OUTPUT",RECORD!GK171,H$10="LAB",BP169,TRUE(),"")),"")</x:f>
      </x:c>
      <x:c r="I169" s="106" t="str">
        <x:f t="shared" si="48"/>
      </x:c>
      <x:c r="J169" s="108" t="str">
        <x:f t="shared" si="49"/>
      </x:c>
      <x:c r="K169" s="109" t="str">
        <x:f t="shared" si="50"/>
      </x:c>
      <x:c r="L169" s="110" t="str">
        <x:f t="array" ref="L169">IF(C169&lt;&gt;"",_xlfn.IFS(L$10="TLA",RECORD!GY171,N$10="LECTURE","",TRUE(),""),"")</x:f>
      </x:c>
      <x:c r="M169" s="105" t="str">
        <x:f t="shared" si="51"/>
      </x:c>
      <x:c r="N169" s="104" t="str">
        <x:f t="array" ref="N169">IF(C169&lt;&gt;"",_xlfn.IFS(N$10="AT",RECORD!GS171,N$10="LECTURE",AX169,TRUE(),""),"")</x:f>
      </x:c>
      <x:c r="O169" s="106" t="str">
        <x:f t="shared" si="52"/>
      </x:c>
      <x:c r="P169" s="107" t="str">
        <x:f t="array" ref="P169">IF(C169&lt;&gt;"",_xlfn.IFS(P$10="EXAM",RECORD!GT171,P$10="OUTPUT",RECORD!GU171,P$10="LAB",BX169,TRUE(),""),"")</x:f>
      </x:c>
      <x:c r="Q169" s="106" t="str">
        <x:f t="shared" si="53"/>
      </x:c>
      <x:c r="R169" s="108" t="str">
        <x:f t="shared" si="54"/>
      </x:c>
      <x:c r="S169" s="109" t="str">
        <x:f t="shared" si="55"/>
      </x:c>
      <x:c r="T169" s="110" t="str">
        <x:f t="array" ref="T169">IF(C169&lt;&gt;"",_xlfn.IFS(T$10="TLA",RECORD!HI171,V$10="LECTURE","",TRUE(),""),"")</x:f>
      </x:c>
      <x:c r="U169" s="105" t="str">
        <x:f t="shared" si="56"/>
      </x:c>
      <x:c r="V169" s="104" t="str">
        <x:f t="array" ref="V169">IF(C169&lt;&gt;"",_xlfn.IFS(V$10="AT",RECORD!HC171,V$10="LECTURE",BF169,TRUE(),""),"")</x:f>
      </x:c>
      <x:c r="W169" s="106" t="str">
        <x:f t="shared" si="57"/>
      </x:c>
      <x:c r="X169" s="107" t="str">
        <x:f t="array" ref="X169">IF(C169&lt;&gt;"",_xlfn.IFS(X$10="EXAM",RECORD!HD171,X$10="OUTPUT",RECORD!HE171,X$10="LAB",CF169,TRUE(),""),"")</x:f>
      </x:c>
      <x:c r="Y169" s="106" t="str">
        <x:f t="shared" si="58"/>
      </x:c>
      <x:c r="Z169" s="108" t="str">
        <x:f t="shared" si="59"/>
      </x:c>
      <x:c r="AA169" s="109" t="str">
        <x:f t="shared" si="60"/>
      </x:c>
      <x:c r="AB169" s="111" t="str">
        <x:f t="shared" si="61"/>
      </x:c>
      <x:c r="AC169" s="109" t="str">
        <x:f t="shared" si="62"/>
      </x:c>
      <x:c r="AD169" s="112"/>
      <x:c r="AE169" s="102"/>
      <x:c r="AF169" s="113"/>
      <x:c r="AG169" s="112"/>
      <x:c r="AH169" s="103"/>
      <x:c r="AI169" s="114"/>
      <x:c r="AJ169" s="102"/>
      <x:c r="AK169" s="102"/>
      <x:c r="AL169" s="102"/>
      <x:c r="AM169" s="102"/>
      <x:c r="AN169" s="102"/>
      <x:c r="AO169" s="102"/>
      <x:c r="AP169" s="102"/>
      <x:c r="AQ169" s="109" t="str">
        <x:f t="shared" si="63"/>
        <x:v>FAILED</x:v>
      </x:c>
      <x:c r="AR169" s="115"/>
      <x:c r="AS169" s="115"/>
      <x:c r="AT169" s="107"/>
      <x:c r="AU169" s="107"/>
      <x:c r="AV169" s="107"/>
      <x:c r="AW169" s="107"/>
      <x:c r="AX169" s="107"/>
      <x:c r="AY169" s="109" t="str">
        <x:f t="shared" si="64"/>
        <x:v>FAILED</x:v>
      </x:c>
      <x:c r="AZ169" s="115"/>
      <x:c r="BA169" s="115"/>
      <x:c r="BB169" s="107"/>
      <x:c r="BC169" s="107"/>
      <x:c r="BD169" s="107"/>
      <x:c r="BE169" s="107"/>
      <x:c r="BF169" s="107"/>
      <x:c r="BG169" s="109" t="str">
        <x:f t="shared" si="65"/>
        <x:v>FAILED</x:v>
      </x:c>
      <x:c r="BH169" s="117"/>
      <x:c r="BI169" s="102"/>
      <x:c r="BJ169" s="102"/>
      <x:c r="BK169" s="102"/>
      <x:c r="BL169" s="102"/>
      <x:c r="BM169" s="102"/>
      <x:c r="BN169" s="102"/>
      <x:c r="BO169" s="102"/>
      <x:c r="BP169" s="102"/>
      <x:c r="BQ169" s="109" t="str">
        <x:f t="shared" si="66"/>
        <x:v>FAILED</x:v>
      </x:c>
      <x:c r="BR169" s="115"/>
      <x:c r="BS169" s="115"/>
      <x:c r="BT169" s="107"/>
      <x:c r="BU169" s="107"/>
      <x:c r="BV169" s="107"/>
      <x:c r="BW169" s="107"/>
      <x:c r="BX169" s="107"/>
      <x:c r="BY169" s="109" t="str">
        <x:f t="shared" si="67"/>
        <x:v>FAILED</x:v>
      </x:c>
      <x:c r="BZ169" s="115"/>
      <x:c r="CA169" s="115"/>
      <x:c r="CB169" s="107"/>
      <x:c r="CC169" s="107"/>
      <x:c r="CD169" s="107"/>
      <x:c r="CE169" s="107"/>
      <x:c r="CF169" s="107"/>
      <x:c r="CG169" s="109" t="str">
        <x:f t="shared" si="68"/>
        <x:v>FAILED</x:v>
      </x:c>
      <x:c r="CH169" s="117"/>
    </x:row>
    <x:row r="170">
      <x:c r="A170" s="102" t="str">
        <x:f>IF(RECORD!A172="","",RECORD!A172)</x:f>
      </x:c>
      <x:c r="B170" s="102" t="str">
        <x:f>IF(RECORD!B172="","",RECORD!B172)</x:f>
      </x:c>
      <x:c r="C170" s="103" t="str">
        <x:f>IF(RECORD!C172="","",RECORD!C172)</x:f>
      </x:c>
      <x:c r="D170" s="104" t="str">
        <x:f t="array" ref="D170">IF(C170&lt;&gt;"",IF(F$7="SUMMER","N/A",_xlfn.IFS(D$10="TLA",RECORD!GO172,F$10="LECTURE","",TRUE(),"")),"")</x:f>
      </x:c>
      <x:c r="E170" s="105" t="str">
        <x:f t="shared" si="46"/>
      </x:c>
      <x:c r="F170" s="104" t="str">
        <x:f t="array" ref="F170">IF(C170&lt;&gt;"",IF(F$7="SUMMER","N/A",_xlfn.IFS(F$10="AT",RECORD!GI172,F$10="LECTURE",GRADES!AP170,TRUE(),"")),"")</x:f>
      </x:c>
      <x:c r="G170" s="106" t="str">
        <x:f t="shared" si="47"/>
      </x:c>
      <x:c r="H170" s="107" t="str">
        <x:f t="array" ref="H170">IF(C170&lt;&gt;"",IF(F$7="SUMMER","N/A",_xlfn.IFS(H$10="EXAM",RECORD!GJ172,H$10="OUTPUT",RECORD!GK172,H$10="LAB",BP170,TRUE(),"")),"")</x:f>
      </x:c>
      <x:c r="I170" s="106" t="str">
        <x:f t="shared" si="48"/>
      </x:c>
      <x:c r="J170" s="108" t="str">
        <x:f t="shared" si="49"/>
      </x:c>
      <x:c r="K170" s="109" t="str">
        <x:f t="shared" si="50"/>
      </x:c>
      <x:c r="L170" s="110" t="str">
        <x:f t="array" ref="L170">IF(C170&lt;&gt;"",_xlfn.IFS(L$10="TLA",RECORD!GY172,N$10="LECTURE","",TRUE(),""),"")</x:f>
      </x:c>
      <x:c r="M170" s="105" t="str">
        <x:f t="shared" si="51"/>
      </x:c>
      <x:c r="N170" s="104" t="str">
        <x:f t="array" ref="N170">IF(C170&lt;&gt;"",_xlfn.IFS(N$10="AT",RECORD!GS172,N$10="LECTURE",AX170,TRUE(),""),"")</x:f>
      </x:c>
      <x:c r="O170" s="106" t="str">
        <x:f t="shared" si="52"/>
      </x:c>
      <x:c r="P170" s="107" t="str">
        <x:f t="array" ref="P170">IF(C170&lt;&gt;"",_xlfn.IFS(P$10="EXAM",RECORD!GT172,P$10="OUTPUT",RECORD!GU172,P$10="LAB",BX170,TRUE(),""),"")</x:f>
      </x:c>
      <x:c r="Q170" s="106" t="str">
        <x:f t="shared" si="53"/>
      </x:c>
      <x:c r="R170" s="108" t="str">
        <x:f t="shared" si="54"/>
      </x:c>
      <x:c r="S170" s="109" t="str">
        <x:f t="shared" si="55"/>
      </x:c>
      <x:c r="T170" s="110" t="str">
        <x:f t="array" ref="T170">IF(C170&lt;&gt;"",_xlfn.IFS(T$10="TLA",RECORD!HI172,V$10="LECTURE","",TRUE(),""),"")</x:f>
      </x:c>
      <x:c r="U170" s="105" t="str">
        <x:f t="shared" si="56"/>
      </x:c>
      <x:c r="V170" s="104" t="str">
        <x:f t="array" ref="V170">IF(C170&lt;&gt;"",_xlfn.IFS(V$10="AT",RECORD!HC172,V$10="LECTURE",BF170,TRUE(),""),"")</x:f>
      </x:c>
      <x:c r="W170" s="106" t="str">
        <x:f t="shared" si="57"/>
      </x:c>
      <x:c r="X170" s="107" t="str">
        <x:f t="array" ref="X170">IF(C170&lt;&gt;"",_xlfn.IFS(X$10="EXAM",RECORD!HD172,X$10="OUTPUT",RECORD!HE172,X$10="LAB",CF170,TRUE(),""),"")</x:f>
      </x:c>
      <x:c r="Y170" s="106" t="str">
        <x:f t="shared" si="58"/>
      </x:c>
      <x:c r="Z170" s="108" t="str">
        <x:f t="shared" si="59"/>
      </x:c>
      <x:c r="AA170" s="109" t="str">
        <x:f t="shared" si="60"/>
      </x:c>
      <x:c r="AB170" s="111" t="str">
        <x:f t="shared" si="61"/>
      </x:c>
      <x:c r="AC170" s="109" t="str">
        <x:f t="shared" si="62"/>
      </x:c>
      <x:c r="AD170" s="112"/>
      <x:c r="AE170" s="102"/>
      <x:c r="AF170" s="113"/>
      <x:c r="AG170" s="112"/>
      <x:c r="AH170" s="103"/>
      <x:c r="AI170" s="114"/>
      <x:c r="AJ170" s="102"/>
      <x:c r="AK170" s="102"/>
      <x:c r="AL170" s="102"/>
      <x:c r="AM170" s="102"/>
      <x:c r="AN170" s="102"/>
      <x:c r="AO170" s="102"/>
      <x:c r="AP170" s="102"/>
      <x:c r="AQ170" s="109" t="str">
        <x:f t="shared" si="63"/>
        <x:v>FAILED</x:v>
      </x:c>
      <x:c r="AR170" s="115"/>
      <x:c r="AS170" s="115"/>
      <x:c r="AT170" s="107"/>
      <x:c r="AU170" s="107"/>
      <x:c r="AV170" s="107"/>
      <x:c r="AW170" s="107"/>
      <x:c r="AX170" s="107"/>
      <x:c r="AY170" s="109" t="str">
        <x:f t="shared" si="64"/>
        <x:v>FAILED</x:v>
      </x:c>
      <x:c r="AZ170" s="115"/>
      <x:c r="BA170" s="115"/>
      <x:c r="BB170" s="107"/>
      <x:c r="BC170" s="107"/>
      <x:c r="BD170" s="107"/>
      <x:c r="BE170" s="107"/>
      <x:c r="BF170" s="107"/>
      <x:c r="BG170" s="109" t="str">
        <x:f t="shared" si="65"/>
        <x:v>FAILED</x:v>
      </x:c>
      <x:c r="BH170" s="117"/>
      <x:c r="BI170" s="102"/>
      <x:c r="BJ170" s="102"/>
      <x:c r="BK170" s="102"/>
      <x:c r="BL170" s="102"/>
      <x:c r="BM170" s="102"/>
      <x:c r="BN170" s="102"/>
      <x:c r="BO170" s="102"/>
      <x:c r="BP170" s="102"/>
      <x:c r="BQ170" s="109" t="str">
        <x:f t="shared" si="66"/>
        <x:v>FAILED</x:v>
      </x:c>
      <x:c r="BR170" s="115"/>
      <x:c r="BS170" s="115"/>
      <x:c r="BT170" s="107"/>
      <x:c r="BU170" s="107"/>
      <x:c r="BV170" s="107"/>
      <x:c r="BW170" s="107"/>
      <x:c r="BX170" s="107"/>
      <x:c r="BY170" s="109" t="str">
        <x:f t="shared" si="67"/>
        <x:v>FAILED</x:v>
      </x:c>
      <x:c r="BZ170" s="115"/>
      <x:c r="CA170" s="115"/>
      <x:c r="CB170" s="107"/>
      <x:c r="CC170" s="107"/>
      <x:c r="CD170" s="107"/>
      <x:c r="CE170" s="107"/>
      <x:c r="CF170" s="107"/>
      <x:c r="CG170" s="109" t="str">
        <x:f t="shared" si="68"/>
        <x:v>FAILED</x:v>
      </x:c>
      <x:c r="CH170" s="117"/>
    </x:row>
    <x:row r="171">
      <x:c r="A171" s="102" t="str">
        <x:f>IF(RECORD!A173="","",RECORD!A173)</x:f>
      </x:c>
      <x:c r="B171" s="102" t="str">
        <x:f>IF(RECORD!B173="","",RECORD!B173)</x:f>
      </x:c>
      <x:c r="C171" s="103" t="str">
        <x:f>IF(RECORD!C173="","",RECORD!C173)</x:f>
      </x:c>
      <x:c r="D171" s="104" t="str">
        <x:f t="array" ref="D171">IF(C171&lt;&gt;"",IF(F$7="SUMMER","N/A",_xlfn.IFS(D$10="TLA",RECORD!GO173,F$10="LECTURE","",TRUE(),"")),"")</x:f>
      </x:c>
      <x:c r="E171" s="105" t="str">
        <x:f t="shared" si="46"/>
      </x:c>
      <x:c r="F171" s="104" t="str">
        <x:f t="array" ref="F171">IF(C171&lt;&gt;"",IF(F$7="SUMMER","N/A",_xlfn.IFS(F$10="AT",RECORD!GI173,F$10="LECTURE",GRADES!AP171,TRUE(),"")),"")</x:f>
      </x:c>
      <x:c r="G171" s="106" t="str">
        <x:f t="shared" si="47"/>
      </x:c>
      <x:c r="H171" s="107" t="str">
        <x:f t="array" ref="H171">IF(C171&lt;&gt;"",IF(F$7="SUMMER","N/A",_xlfn.IFS(H$10="EXAM",RECORD!GJ173,H$10="OUTPUT",RECORD!GK173,H$10="LAB",BP171,TRUE(),"")),"")</x:f>
      </x:c>
      <x:c r="I171" s="106" t="str">
        <x:f t="shared" si="48"/>
      </x:c>
      <x:c r="J171" s="108" t="str">
        <x:f t="shared" si="49"/>
      </x:c>
      <x:c r="K171" s="109" t="str">
        <x:f t="shared" si="50"/>
      </x:c>
      <x:c r="L171" s="110" t="str">
        <x:f t="array" ref="L171">IF(C171&lt;&gt;"",_xlfn.IFS(L$10="TLA",RECORD!GY173,N$10="LECTURE","",TRUE(),""),"")</x:f>
      </x:c>
      <x:c r="M171" s="105" t="str">
        <x:f t="shared" si="51"/>
      </x:c>
      <x:c r="N171" s="104" t="str">
        <x:f t="array" ref="N171">IF(C171&lt;&gt;"",_xlfn.IFS(N$10="AT",RECORD!GS173,N$10="LECTURE",AX171,TRUE(),""),"")</x:f>
      </x:c>
      <x:c r="O171" s="106" t="str">
        <x:f t="shared" si="52"/>
      </x:c>
      <x:c r="P171" s="107" t="str">
        <x:f t="array" ref="P171">IF(C171&lt;&gt;"",_xlfn.IFS(P$10="EXAM",RECORD!GT173,P$10="OUTPUT",RECORD!GU173,P$10="LAB",BX171,TRUE(),""),"")</x:f>
      </x:c>
      <x:c r="Q171" s="106" t="str">
        <x:f t="shared" si="53"/>
      </x:c>
      <x:c r="R171" s="108" t="str">
        <x:f t="shared" si="54"/>
      </x:c>
      <x:c r="S171" s="109" t="str">
        <x:f t="shared" si="55"/>
      </x:c>
      <x:c r="T171" s="110" t="str">
        <x:f t="array" ref="T171">IF(C171&lt;&gt;"",_xlfn.IFS(T$10="TLA",RECORD!HI173,V$10="LECTURE","",TRUE(),""),"")</x:f>
      </x:c>
      <x:c r="U171" s="105" t="str">
        <x:f t="shared" si="56"/>
      </x:c>
      <x:c r="V171" s="104" t="str">
        <x:f t="array" ref="V171">IF(C171&lt;&gt;"",_xlfn.IFS(V$10="AT",RECORD!HC173,V$10="LECTURE",BF171,TRUE(),""),"")</x:f>
      </x:c>
      <x:c r="W171" s="106" t="str">
        <x:f t="shared" si="57"/>
      </x:c>
      <x:c r="X171" s="107" t="str">
        <x:f t="array" ref="X171">IF(C171&lt;&gt;"",_xlfn.IFS(X$10="EXAM",RECORD!HD173,X$10="OUTPUT",RECORD!HE173,X$10="LAB",CF171,TRUE(),""),"")</x:f>
      </x:c>
      <x:c r="Y171" s="106" t="str">
        <x:f t="shared" si="58"/>
      </x:c>
      <x:c r="Z171" s="108" t="str">
        <x:f t="shared" si="59"/>
      </x:c>
      <x:c r="AA171" s="109" t="str">
        <x:f t="shared" si="60"/>
      </x:c>
      <x:c r="AB171" s="111" t="str">
        <x:f t="shared" si="61"/>
      </x:c>
      <x:c r="AC171" s="109" t="str">
        <x:f t="shared" si="62"/>
      </x:c>
      <x:c r="AD171" s="112"/>
      <x:c r="AE171" s="102"/>
      <x:c r="AF171" s="113"/>
      <x:c r="AG171" s="112"/>
      <x:c r="AH171" s="103"/>
      <x:c r="AI171" s="114"/>
      <x:c r="AJ171" s="102"/>
      <x:c r="AK171" s="102"/>
      <x:c r="AL171" s="102"/>
      <x:c r="AM171" s="102"/>
      <x:c r="AN171" s="102"/>
      <x:c r="AO171" s="102"/>
      <x:c r="AP171" s="102"/>
      <x:c r="AQ171" s="109" t="str">
        <x:f t="shared" si="63"/>
        <x:v>FAILED</x:v>
      </x:c>
      <x:c r="AR171" s="115"/>
      <x:c r="AS171" s="115"/>
      <x:c r="AT171" s="107"/>
      <x:c r="AU171" s="107"/>
      <x:c r="AV171" s="107"/>
      <x:c r="AW171" s="107"/>
      <x:c r="AX171" s="107"/>
      <x:c r="AY171" s="109" t="str">
        <x:f t="shared" si="64"/>
        <x:v>FAILED</x:v>
      </x:c>
      <x:c r="AZ171" s="115"/>
      <x:c r="BA171" s="115"/>
      <x:c r="BB171" s="107"/>
      <x:c r="BC171" s="107"/>
      <x:c r="BD171" s="107"/>
      <x:c r="BE171" s="107"/>
      <x:c r="BF171" s="107"/>
      <x:c r="BG171" s="109" t="str">
        <x:f t="shared" si="65"/>
        <x:v>FAILED</x:v>
      </x:c>
      <x:c r="BH171" s="117"/>
      <x:c r="BI171" s="102"/>
      <x:c r="BJ171" s="102"/>
      <x:c r="BK171" s="102"/>
      <x:c r="BL171" s="102"/>
      <x:c r="BM171" s="102"/>
      <x:c r="BN171" s="102"/>
      <x:c r="BO171" s="102"/>
      <x:c r="BP171" s="102"/>
      <x:c r="BQ171" s="109" t="str">
        <x:f t="shared" si="66"/>
        <x:v>FAILED</x:v>
      </x:c>
      <x:c r="BR171" s="115"/>
      <x:c r="BS171" s="115"/>
      <x:c r="BT171" s="107"/>
      <x:c r="BU171" s="107"/>
      <x:c r="BV171" s="107"/>
      <x:c r="BW171" s="107"/>
      <x:c r="BX171" s="107"/>
      <x:c r="BY171" s="109" t="str">
        <x:f t="shared" si="67"/>
        <x:v>FAILED</x:v>
      </x:c>
      <x:c r="BZ171" s="115"/>
      <x:c r="CA171" s="115"/>
      <x:c r="CB171" s="107"/>
      <x:c r="CC171" s="107"/>
      <x:c r="CD171" s="107"/>
      <x:c r="CE171" s="107"/>
      <x:c r="CF171" s="107"/>
      <x:c r="CG171" s="109" t="str">
        <x:f t="shared" si="68"/>
        <x:v>FAILED</x:v>
      </x:c>
      <x:c r="CH171" s="117"/>
    </x:row>
    <x:row r="172">
      <x:c r="A172" s="102" t="str">
        <x:f>IF(RECORD!A174="","",RECORD!A174)</x:f>
      </x:c>
      <x:c r="B172" s="102" t="str">
        <x:f>IF(RECORD!B174="","",RECORD!B174)</x:f>
      </x:c>
      <x:c r="C172" s="103" t="str">
        <x:f>IF(RECORD!C174="","",RECORD!C174)</x:f>
      </x:c>
      <x:c r="D172" s="104" t="str">
        <x:f t="array" ref="D172">IF(C172&lt;&gt;"",IF(F$7="SUMMER","N/A",_xlfn.IFS(D$10="TLA",RECORD!GO174,F$10="LECTURE","",TRUE(),"")),"")</x:f>
      </x:c>
      <x:c r="E172" s="105" t="str">
        <x:f t="shared" si="46"/>
      </x:c>
      <x:c r="F172" s="104" t="str">
        <x:f t="array" ref="F172">IF(C172&lt;&gt;"",IF(F$7="SUMMER","N/A",_xlfn.IFS(F$10="AT",RECORD!GI174,F$10="LECTURE",GRADES!AP172,TRUE(),"")),"")</x:f>
      </x:c>
      <x:c r="G172" s="106" t="str">
        <x:f t="shared" si="47"/>
      </x:c>
      <x:c r="H172" s="107" t="str">
        <x:f t="array" ref="H172">IF(C172&lt;&gt;"",IF(F$7="SUMMER","N/A",_xlfn.IFS(H$10="EXAM",RECORD!GJ174,H$10="OUTPUT",RECORD!GK174,H$10="LAB",BP172,TRUE(),"")),"")</x:f>
      </x:c>
      <x:c r="I172" s="106" t="str">
        <x:f t="shared" si="48"/>
      </x:c>
      <x:c r="J172" s="108" t="str">
        <x:f t="shared" si="49"/>
      </x:c>
      <x:c r="K172" s="109" t="str">
        <x:f t="shared" si="50"/>
      </x:c>
      <x:c r="L172" s="110" t="str">
        <x:f t="array" ref="L172">IF(C172&lt;&gt;"",_xlfn.IFS(L$10="TLA",RECORD!GY174,N$10="LECTURE","",TRUE(),""),"")</x:f>
      </x:c>
      <x:c r="M172" s="105" t="str">
        <x:f t="shared" si="51"/>
      </x:c>
      <x:c r="N172" s="104" t="str">
        <x:f t="array" ref="N172">IF(C172&lt;&gt;"",_xlfn.IFS(N$10="AT",RECORD!GS174,N$10="LECTURE",AX172,TRUE(),""),"")</x:f>
      </x:c>
      <x:c r="O172" s="106" t="str">
        <x:f t="shared" si="52"/>
      </x:c>
      <x:c r="P172" s="107" t="str">
        <x:f t="array" ref="P172">IF(C172&lt;&gt;"",_xlfn.IFS(P$10="EXAM",RECORD!GT174,P$10="OUTPUT",RECORD!GU174,P$10="LAB",BX172,TRUE(),""),"")</x:f>
      </x:c>
      <x:c r="Q172" s="106" t="str">
        <x:f t="shared" si="53"/>
      </x:c>
      <x:c r="R172" s="108" t="str">
        <x:f t="shared" si="54"/>
      </x:c>
      <x:c r="S172" s="109" t="str">
        <x:f t="shared" si="55"/>
      </x:c>
      <x:c r="T172" s="110" t="str">
        <x:f t="array" ref="T172">IF(C172&lt;&gt;"",_xlfn.IFS(T$10="TLA",RECORD!HI174,V$10="LECTURE","",TRUE(),""),"")</x:f>
      </x:c>
      <x:c r="U172" s="105" t="str">
        <x:f t="shared" si="56"/>
      </x:c>
      <x:c r="V172" s="104" t="str">
        <x:f t="array" ref="V172">IF(C172&lt;&gt;"",_xlfn.IFS(V$10="AT",RECORD!HC174,V$10="LECTURE",BF172,TRUE(),""),"")</x:f>
      </x:c>
      <x:c r="W172" s="106" t="str">
        <x:f t="shared" si="57"/>
      </x:c>
      <x:c r="X172" s="107" t="str">
        <x:f t="array" ref="X172">IF(C172&lt;&gt;"",_xlfn.IFS(X$10="EXAM",RECORD!HD174,X$10="OUTPUT",RECORD!HE174,X$10="LAB",CF172,TRUE(),""),"")</x:f>
      </x:c>
      <x:c r="Y172" s="106" t="str">
        <x:f t="shared" si="58"/>
      </x:c>
      <x:c r="Z172" s="108" t="str">
        <x:f t="shared" si="59"/>
      </x:c>
      <x:c r="AA172" s="109" t="str">
        <x:f t="shared" si="60"/>
      </x:c>
      <x:c r="AB172" s="111" t="str">
        <x:f t="shared" si="61"/>
      </x:c>
      <x:c r="AC172" s="109" t="str">
        <x:f t="shared" si="62"/>
      </x:c>
      <x:c r="AD172" s="112"/>
      <x:c r="AE172" s="102"/>
      <x:c r="AF172" s="113"/>
      <x:c r="AG172" s="112"/>
      <x:c r="AH172" s="103"/>
      <x:c r="AI172" s="114"/>
      <x:c r="AJ172" s="102"/>
      <x:c r="AK172" s="102"/>
      <x:c r="AL172" s="102"/>
      <x:c r="AM172" s="102"/>
      <x:c r="AN172" s="102"/>
      <x:c r="AO172" s="102"/>
      <x:c r="AP172" s="102"/>
      <x:c r="AQ172" s="109" t="str">
        <x:f t="shared" si="63"/>
        <x:v>FAILED</x:v>
      </x:c>
      <x:c r="AR172" s="115"/>
      <x:c r="AS172" s="115"/>
      <x:c r="AT172" s="107"/>
      <x:c r="AU172" s="107"/>
      <x:c r="AV172" s="107"/>
      <x:c r="AW172" s="107"/>
      <x:c r="AX172" s="107"/>
      <x:c r="AY172" s="109" t="str">
        <x:f t="shared" si="64"/>
        <x:v>FAILED</x:v>
      </x:c>
      <x:c r="AZ172" s="115"/>
      <x:c r="BA172" s="115"/>
      <x:c r="BB172" s="107"/>
      <x:c r="BC172" s="107"/>
      <x:c r="BD172" s="107"/>
      <x:c r="BE172" s="107"/>
      <x:c r="BF172" s="107"/>
      <x:c r="BG172" s="109" t="str">
        <x:f t="shared" si="65"/>
        <x:v>FAILED</x:v>
      </x:c>
      <x:c r="BH172" s="117"/>
      <x:c r="BI172" s="102"/>
      <x:c r="BJ172" s="102"/>
      <x:c r="BK172" s="102"/>
      <x:c r="BL172" s="102"/>
      <x:c r="BM172" s="102"/>
      <x:c r="BN172" s="102"/>
      <x:c r="BO172" s="102"/>
      <x:c r="BP172" s="102"/>
      <x:c r="BQ172" s="109" t="str">
        <x:f t="shared" si="66"/>
        <x:v>FAILED</x:v>
      </x:c>
      <x:c r="BR172" s="115"/>
      <x:c r="BS172" s="115"/>
      <x:c r="BT172" s="107"/>
      <x:c r="BU172" s="107"/>
      <x:c r="BV172" s="107"/>
      <x:c r="BW172" s="107"/>
      <x:c r="BX172" s="107"/>
      <x:c r="BY172" s="109" t="str">
        <x:f t="shared" si="67"/>
        <x:v>FAILED</x:v>
      </x:c>
      <x:c r="BZ172" s="115"/>
      <x:c r="CA172" s="115"/>
      <x:c r="CB172" s="107"/>
      <x:c r="CC172" s="107"/>
      <x:c r="CD172" s="107"/>
      <x:c r="CE172" s="107"/>
      <x:c r="CF172" s="107"/>
      <x:c r="CG172" s="109" t="str">
        <x:f t="shared" si="68"/>
        <x:v>FAILED</x:v>
      </x:c>
      <x:c r="CH172" s="117"/>
    </x:row>
    <x:row r="173">
      <x:c r="A173" s="102" t="str">
        <x:f>IF(RECORD!A175="","",RECORD!A175)</x:f>
      </x:c>
      <x:c r="B173" s="102" t="str">
        <x:f>IF(RECORD!B175="","",RECORD!B175)</x:f>
      </x:c>
      <x:c r="C173" s="103" t="str">
        <x:f>IF(RECORD!C175="","",RECORD!C175)</x:f>
      </x:c>
      <x:c r="D173" s="104" t="str">
        <x:f t="array" ref="D173">IF(C173&lt;&gt;"",IF(F$7="SUMMER","N/A",_xlfn.IFS(D$10="TLA",RECORD!GO175,F$10="LECTURE","",TRUE(),"")),"")</x:f>
      </x:c>
      <x:c r="E173" s="105" t="str">
        <x:f t="shared" si="46"/>
      </x:c>
      <x:c r="F173" s="104" t="str">
        <x:f t="array" ref="F173">IF(C173&lt;&gt;"",IF(F$7="SUMMER","N/A",_xlfn.IFS(F$10="AT",RECORD!GI175,F$10="LECTURE",GRADES!AP173,TRUE(),"")),"")</x:f>
      </x:c>
      <x:c r="G173" s="106" t="str">
        <x:f t="shared" si="47"/>
      </x:c>
      <x:c r="H173" s="107" t="str">
        <x:f t="array" ref="H173">IF(C173&lt;&gt;"",IF(F$7="SUMMER","N/A",_xlfn.IFS(H$10="EXAM",RECORD!GJ175,H$10="OUTPUT",RECORD!GK175,H$10="LAB",BP173,TRUE(),"")),"")</x:f>
      </x:c>
      <x:c r="I173" s="106" t="str">
        <x:f t="shared" si="48"/>
      </x:c>
      <x:c r="J173" s="108" t="str">
        <x:f t="shared" si="49"/>
      </x:c>
      <x:c r="K173" s="109" t="str">
        <x:f t="shared" si="50"/>
      </x:c>
      <x:c r="L173" s="110" t="str">
        <x:f t="array" ref="L173">IF(C173&lt;&gt;"",_xlfn.IFS(L$10="TLA",RECORD!GY175,N$10="LECTURE","",TRUE(),""),"")</x:f>
      </x:c>
      <x:c r="M173" s="105" t="str">
        <x:f t="shared" si="51"/>
      </x:c>
      <x:c r="N173" s="104" t="str">
        <x:f t="array" ref="N173">IF(C173&lt;&gt;"",_xlfn.IFS(N$10="AT",RECORD!GS175,N$10="LECTURE",AX173,TRUE(),""),"")</x:f>
      </x:c>
      <x:c r="O173" s="106" t="str">
        <x:f t="shared" si="52"/>
      </x:c>
      <x:c r="P173" s="107" t="str">
        <x:f t="array" ref="P173">IF(C173&lt;&gt;"",_xlfn.IFS(P$10="EXAM",RECORD!GT175,P$10="OUTPUT",RECORD!GU175,P$10="LAB",BX173,TRUE(),""),"")</x:f>
      </x:c>
      <x:c r="Q173" s="106" t="str">
        <x:f t="shared" si="53"/>
      </x:c>
      <x:c r="R173" s="108" t="str">
        <x:f t="shared" si="54"/>
      </x:c>
      <x:c r="S173" s="109" t="str">
        <x:f t="shared" si="55"/>
      </x:c>
      <x:c r="T173" s="110" t="str">
        <x:f t="array" ref="T173">IF(C173&lt;&gt;"",_xlfn.IFS(T$10="TLA",RECORD!HI175,V$10="LECTURE","",TRUE(),""),"")</x:f>
      </x:c>
      <x:c r="U173" s="105" t="str">
        <x:f t="shared" si="56"/>
      </x:c>
      <x:c r="V173" s="104" t="str">
        <x:f t="array" ref="V173">IF(C173&lt;&gt;"",_xlfn.IFS(V$10="AT",RECORD!HC175,V$10="LECTURE",BF173,TRUE(),""),"")</x:f>
      </x:c>
      <x:c r="W173" s="106" t="str">
        <x:f t="shared" si="57"/>
      </x:c>
      <x:c r="X173" s="107" t="str">
        <x:f t="array" ref="X173">IF(C173&lt;&gt;"",_xlfn.IFS(X$10="EXAM",RECORD!HD175,X$10="OUTPUT",RECORD!HE175,X$10="LAB",CF173,TRUE(),""),"")</x:f>
      </x:c>
      <x:c r="Y173" s="106" t="str">
        <x:f t="shared" si="58"/>
      </x:c>
      <x:c r="Z173" s="108" t="str">
        <x:f t="shared" si="59"/>
      </x:c>
      <x:c r="AA173" s="109" t="str">
        <x:f t="shared" si="60"/>
      </x:c>
      <x:c r="AB173" s="111" t="str">
        <x:f t="shared" si="61"/>
      </x:c>
      <x:c r="AC173" s="109" t="str">
        <x:f t="shared" si="62"/>
      </x:c>
      <x:c r="AD173" s="112"/>
      <x:c r="AE173" s="102"/>
      <x:c r="AF173" s="113"/>
      <x:c r="AG173" s="112"/>
      <x:c r="AH173" s="103"/>
      <x:c r="AI173" s="114"/>
      <x:c r="AJ173" s="102"/>
      <x:c r="AK173" s="102"/>
      <x:c r="AL173" s="102"/>
      <x:c r="AM173" s="102"/>
      <x:c r="AN173" s="102"/>
      <x:c r="AO173" s="102"/>
      <x:c r="AP173" s="102"/>
      <x:c r="AQ173" s="109" t="str">
        <x:f t="shared" si="63"/>
        <x:v>FAILED</x:v>
      </x:c>
      <x:c r="AR173" s="115"/>
      <x:c r="AS173" s="115"/>
      <x:c r="AT173" s="107"/>
      <x:c r="AU173" s="107"/>
      <x:c r="AV173" s="107"/>
      <x:c r="AW173" s="107"/>
      <x:c r="AX173" s="107"/>
      <x:c r="AY173" s="109" t="str">
        <x:f t="shared" si="64"/>
        <x:v>FAILED</x:v>
      </x:c>
      <x:c r="AZ173" s="115"/>
      <x:c r="BA173" s="115"/>
      <x:c r="BB173" s="107"/>
      <x:c r="BC173" s="107"/>
      <x:c r="BD173" s="107"/>
      <x:c r="BE173" s="107"/>
      <x:c r="BF173" s="107"/>
      <x:c r="BG173" s="109" t="str">
        <x:f t="shared" si="65"/>
        <x:v>FAILED</x:v>
      </x:c>
      <x:c r="BH173" s="117"/>
      <x:c r="BI173" s="102"/>
      <x:c r="BJ173" s="102"/>
      <x:c r="BK173" s="102"/>
      <x:c r="BL173" s="102"/>
      <x:c r="BM173" s="102"/>
      <x:c r="BN173" s="102"/>
      <x:c r="BO173" s="102"/>
      <x:c r="BP173" s="102"/>
      <x:c r="BQ173" s="109" t="str">
        <x:f t="shared" si="66"/>
        <x:v>FAILED</x:v>
      </x:c>
      <x:c r="BR173" s="115"/>
      <x:c r="BS173" s="115"/>
      <x:c r="BT173" s="107"/>
      <x:c r="BU173" s="107"/>
      <x:c r="BV173" s="107"/>
      <x:c r="BW173" s="107"/>
      <x:c r="BX173" s="107"/>
      <x:c r="BY173" s="109" t="str">
        <x:f t="shared" si="67"/>
        <x:v>FAILED</x:v>
      </x:c>
      <x:c r="BZ173" s="115"/>
      <x:c r="CA173" s="115"/>
      <x:c r="CB173" s="107"/>
      <x:c r="CC173" s="107"/>
      <x:c r="CD173" s="107"/>
      <x:c r="CE173" s="107"/>
      <x:c r="CF173" s="107"/>
      <x:c r="CG173" s="109" t="str">
        <x:f t="shared" si="68"/>
        <x:v>FAILED</x:v>
      </x:c>
      <x:c r="CH173" s="117"/>
    </x:row>
    <x:row r="174">
      <x:c r="A174" s="102" t="str">
        <x:f>IF(RECORD!A176="","",RECORD!A176)</x:f>
      </x:c>
      <x:c r="B174" s="102" t="str">
        <x:f>IF(RECORD!B176="","",RECORD!B176)</x:f>
      </x:c>
      <x:c r="C174" s="103" t="str">
        <x:f>IF(RECORD!C176="","",RECORD!C176)</x:f>
      </x:c>
      <x:c r="D174" s="104" t="str">
        <x:f t="array" ref="D174">IF(C174&lt;&gt;"",IF(F$7="SUMMER","N/A",_xlfn.IFS(D$10="TLA",RECORD!GO176,F$10="LECTURE","",TRUE(),"")),"")</x:f>
      </x:c>
      <x:c r="E174" s="105" t="str">
        <x:f t="shared" si="46"/>
      </x:c>
      <x:c r="F174" s="104" t="str">
        <x:f t="array" ref="F174">IF(C174&lt;&gt;"",IF(F$7="SUMMER","N/A",_xlfn.IFS(F$10="AT",RECORD!GI176,F$10="LECTURE",GRADES!AP174,TRUE(),"")),"")</x:f>
      </x:c>
      <x:c r="G174" s="106" t="str">
        <x:f t="shared" si="47"/>
      </x:c>
      <x:c r="H174" s="107" t="str">
        <x:f t="array" ref="H174">IF(C174&lt;&gt;"",IF(F$7="SUMMER","N/A",_xlfn.IFS(H$10="EXAM",RECORD!GJ176,H$10="OUTPUT",RECORD!GK176,H$10="LAB",BP174,TRUE(),"")),"")</x:f>
      </x:c>
      <x:c r="I174" s="106" t="str">
        <x:f t="shared" si="48"/>
      </x:c>
      <x:c r="J174" s="108" t="str">
        <x:f t="shared" si="49"/>
      </x:c>
      <x:c r="K174" s="109" t="str">
        <x:f t="shared" si="50"/>
      </x:c>
      <x:c r="L174" s="110" t="str">
        <x:f t="array" ref="L174">IF(C174&lt;&gt;"",_xlfn.IFS(L$10="TLA",RECORD!GY176,N$10="LECTURE","",TRUE(),""),"")</x:f>
      </x:c>
      <x:c r="M174" s="105" t="str">
        <x:f t="shared" si="51"/>
      </x:c>
      <x:c r="N174" s="104" t="str">
        <x:f t="array" ref="N174">IF(C174&lt;&gt;"",_xlfn.IFS(N$10="AT",RECORD!GS176,N$10="LECTURE",AX174,TRUE(),""),"")</x:f>
      </x:c>
      <x:c r="O174" s="106" t="str">
        <x:f t="shared" si="52"/>
      </x:c>
      <x:c r="P174" s="107" t="str">
        <x:f t="array" ref="P174">IF(C174&lt;&gt;"",_xlfn.IFS(P$10="EXAM",RECORD!GT176,P$10="OUTPUT",RECORD!GU176,P$10="LAB",BX174,TRUE(),""),"")</x:f>
      </x:c>
      <x:c r="Q174" s="106" t="str">
        <x:f t="shared" si="53"/>
      </x:c>
      <x:c r="R174" s="108" t="str">
        <x:f t="shared" si="54"/>
      </x:c>
      <x:c r="S174" s="109" t="str">
        <x:f t="shared" si="55"/>
      </x:c>
      <x:c r="T174" s="110" t="str">
        <x:f t="array" ref="T174">IF(C174&lt;&gt;"",_xlfn.IFS(T$10="TLA",RECORD!HI176,V$10="LECTURE","",TRUE(),""),"")</x:f>
      </x:c>
      <x:c r="U174" s="105" t="str">
        <x:f t="shared" si="56"/>
      </x:c>
      <x:c r="V174" s="104" t="str">
        <x:f t="array" ref="V174">IF(C174&lt;&gt;"",_xlfn.IFS(V$10="AT",RECORD!HC176,V$10="LECTURE",BF174,TRUE(),""),"")</x:f>
      </x:c>
      <x:c r="W174" s="106" t="str">
        <x:f t="shared" si="57"/>
      </x:c>
      <x:c r="X174" s="107" t="str">
        <x:f t="array" ref="X174">IF(C174&lt;&gt;"",_xlfn.IFS(X$10="EXAM",RECORD!HD176,X$10="OUTPUT",RECORD!HE176,X$10="LAB",CF174,TRUE(),""),"")</x:f>
      </x:c>
      <x:c r="Y174" s="106" t="str">
        <x:f t="shared" si="58"/>
      </x:c>
      <x:c r="Z174" s="108" t="str">
        <x:f t="shared" si="59"/>
      </x:c>
      <x:c r="AA174" s="109" t="str">
        <x:f t="shared" si="60"/>
      </x:c>
      <x:c r="AB174" s="111" t="str">
        <x:f t="shared" si="61"/>
      </x:c>
      <x:c r="AC174" s="109" t="str">
        <x:f t="shared" si="62"/>
      </x:c>
      <x:c r="AD174" s="112"/>
      <x:c r="AE174" s="102"/>
      <x:c r="AF174" s="113"/>
      <x:c r="AG174" s="112"/>
      <x:c r="AH174" s="103"/>
      <x:c r="AI174" s="114"/>
      <x:c r="AJ174" s="102"/>
      <x:c r="AK174" s="102"/>
      <x:c r="AL174" s="102"/>
      <x:c r="AM174" s="102"/>
      <x:c r="AN174" s="102"/>
      <x:c r="AO174" s="102"/>
      <x:c r="AP174" s="102"/>
      <x:c r="AQ174" s="109" t="str">
        <x:f t="shared" si="63"/>
        <x:v>FAILED</x:v>
      </x:c>
      <x:c r="AR174" s="115"/>
      <x:c r="AS174" s="115"/>
      <x:c r="AT174" s="107"/>
      <x:c r="AU174" s="107"/>
      <x:c r="AV174" s="107"/>
      <x:c r="AW174" s="107"/>
      <x:c r="AX174" s="107"/>
      <x:c r="AY174" s="109" t="str">
        <x:f t="shared" si="64"/>
        <x:v>FAILED</x:v>
      </x:c>
      <x:c r="AZ174" s="115"/>
      <x:c r="BA174" s="115"/>
      <x:c r="BB174" s="107"/>
      <x:c r="BC174" s="107"/>
      <x:c r="BD174" s="107"/>
      <x:c r="BE174" s="107"/>
      <x:c r="BF174" s="107"/>
      <x:c r="BG174" s="109" t="str">
        <x:f t="shared" si="65"/>
        <x:v>FAILED</x:v>
      </x:c>
      <x:c r="BH174" s="117"/>
      <x:c r="BI174" s="102"/>
      <x:c r="BJ174" s="102"/>
      <x:c r="BK174" s="102"/>
      <x:c r="BL174" s="102"/>
      <x:c r="BM174" s="102"/>
      <x:c r="BN174" s="102"/>
      <x:c r="BO174" s="102"/>
      <x:c r="BP174" s="102"/>
      <x:c r="BQ174" s="109" t="str">
        <x:f t="shared" si="66"/>
        <x:v>FAILED</x:v>
      </x:c>
      <x:c r="BR174" s="115"/>
      <x:c r="BS174" s="115"/>
      <x:c r="BT174" s="107"/>
      <x:c r="BU174" s="107"/>
      <x:c r="BV174" s="107"/>
      <x:c r="BW174" s="107"/>
      <x:c r="BX174" s="107"/>
      <x:c r="BY174" s="109" t="str">
        <x:f t="shared" si="67"/>
        <x:v>FAILED</x:v>
      </x:c>
      <x:c r="BZ174" s="115"/>
      <x:c r="CA174" s="115"/>
      <x:c r="CB174" s="107"/>
      <x:c r="CC174" s="107"/>
      <x:c r="CD174" s="107"/>
      <x:c r="CE174" s="107"/>
      <x:c r="CF174" s="107"/>
      <x:c r="CG174" s="109" t="str">
        <x:f t="shared" si="68"/>
        <x:v>FAILED</x:v>
      </x:c>
      <x:c r="CH174" s="117"/>
    </x:row>
    <x:row r="175">
      <x:c r="A175" s="102" t="str">
        <x:f>IF(RECORD!A177="","",RECORD!A177)</x:f>
      </x:c>
      <x:c r="B175" s="102" t="str">
        <x:f>IF(RECORD!B177="","",RECORD!B177)</x:f>
      </x:c>
      <x:c r="C175" s="103" t="str">
        <x:f>IF(RECORD!C177="","",RECORD!C177)</x:f>
      </x:c>
      <x:c r="D175" s="104" t="str">
        <x:f t="array" ref="D175">IF(C175&lt;&gt;"",IF(F$7="SUMMER","N/A",_xlfn.IFS(D$10="TLA",RECORD!GO177,F$10="LECTURE","",TRUE(),"")),"")</x:f>
      </x:c>
      <x:c r="E175" s="105" t="str">
        <x:f t="shared" si="46"/>
      </x:c>
      <x:c r="F175" s="104" t="str">
        <x:f t="array" ref="F175">IF(C175&lt;&gt;"",IF(F$7="SUMMER","N/A",_xlfn.IFS(F$10="AT",RECORD!GI177,F$10="LECTURE",GRADES!AP175,TRUE(),"")),"")</x:f>
      </x:c>
      <x:c r="G175" s="106" t="str">
        <x:f t="shared" si="47"/>
      </x:c>
      <x:c r="H175" s="107" t="str">
        <x:f t="array" ref="H175">IF(C175&lt;&gt;"",IF(F$7="SUMMER","N/A",_xlfn.IFS(H$10="EXAM",RECORD!GJ177,H$10="OUTPUT",RECORD!GK177,H$10="LAB",BP175,TRUE(),"")),"")</x:f>
      </x:c>
      <x:c r="I175" s="106" t="str">
        <x:f t="shared" si="48"/>
      </x:c>
      <x:c r="J175" s="108" t="str">
        <x:f t="shared" si="49"/>
      </x:c>
      <x:c r="K175" s="109" t="str">
        <x:f t="shared" si="50"/>
      </x:c>
      <x:c r="L175" s="110" t="str">
        <x:f t="array" ref="L175">IF(C175&lt;&gt;"",_xlfn.IFS(L$10="TLA",RECORD!GY177,N$10="LECTURE","",TRUE(),""),"")</x:f>
      </x:c>
      <x:c r="M175" s="105" t="str">
        <x:f t="shared" si="51"/>
      </x:c>
      <x:c r="N175" s="104" t="str">
        <x:f t="array" ref="N175">IF(C175&lt;&gt;"",_xlfn.IFS(N$10="AT",RECORD!GS177,N$10="LECTURE",AX175,TRUE(),""),"")</x:f>
      </x:c>
      <x:c r="O175" s="106" t="str">
        <x:f t="shared" si="52"/>
      </x:c>
      <x:c r="P175" s="107" t="str">
        <x:f t="array" ref="P175">IF(C175&lt;&gt;"",_xlfn.IFS(P$10="EXAM",RECORD!GT177,P$10="OUTPUT",RECORD!GU177,P$10="LAB",BX175,TRUE(),""),"")</x:f>
      </x:c>
      <x:c r="Q175" s="106" t="str">
        <x:f t="shared" si="53"/>
      </x:c>
      <x:c r="R175" s="108" t="str">
        <x:f t="shared" si="54"/>
      </x:c>
      <x:c r="S175" s="109" t="str">
        <x:f t="shared" si="55"/>
      </x:c>
      <x:c r="T175" s="110" t="str">
        <x:f t="array" ref="T175">IF(C175&lt;&gt;"",_xlfn.IFS(T$10="TLA",RECORD!HI177,V$10="LECTURE","",TRUE(),""),"")</x:f>
      </x:c>
      <x:c r="U175" s="105" t="str">
        <x:f t="shared" si="56"/>
      </x:c>
      <x:c r="V175" s="104" t="str">
        <x:f t="array" ref="V175">IF(C175&lt;&gt;"",_xlfn.IFS(V$10="AT",RECORD!HC177,V$10="LECTURE",BF175,TRUE(),""),"")</x:f>
      </x:c>
      <x:c r="W175" s="106" t="str">
        <x:f t="shared" si="57"/>
      </x:c>
      <x:c r="X175" s="107" t="str">
        <x:f t="array" ref="X175">IF(C175&lt;&gt;"",_xlfn.IFS(X$10="EXAM",RECORD!HD177,X$10="OUTPUT",RECORD!HE177,X$10="LAB",CF175,TRUE(),""),"")</x:f>
      </x:c>
      <x:c r="Y175" s="106" t="str">
        <x:f t="shared" si="58"/>
      </x:c>
      <x:c r="Z175" s="108" t="str">
        <x:f t="shared" si="59"/>
      </x:c>
      <x:c r="AA175" s="109" t="str">
        <x:f t="shared" si="60"/>
      </x:c>
      <x:c r="AB175" s="111" t="str">
        <x:f t="shared" si="61"/>
      </x:c>
      <x:c r="AC175" s="109" t="str">
        <x:f t="shared" si="62"/>
      </x:c>
      <x:c r="AD175" s="112"/>
      <x:c r="AE175" s="102"/>
      <x:c r="AF175" s="113"/>
      <x:c r="AG175" s="112"/>
      <x:c r="AH175" s="103"/>
      <x:c r="AI175" s="114"/>
      <x:c r="AJ175" s="102"/>
      <x:c r="AK175" s="102"/>
      <x:c r="AL175" s="102"/>
      <x:c r="AM175" s="102"/>
      <x:c r="AN175" s="102"/>
      <x:c r="AO175" s="102"/>
      <x:c r="AP175" s="102"/>
      <x:c r="AQ175" s="109" t="str">
        <x:f t="shared" si="63"/>
        <x:v>FAILED</x:v>
      </x:c>
      <x:c r="AR175" s="115"/>
      <x:c r="AS175" s="115"/>
      <x:c r="AT175" s="107"/>
      <x:c r="AU175" s="107"/>
      <x:c r="AV175" s="107"/>
      <x:c r="AW175" s="107"/>
      <x:c r="AX175" s="107"/>
      <x:c r="AY175" s="109" t="str">
        <x:f t="shared" si="64"/>
        <x:v>FAILED</x:v>
      </x:c>
      <x:c r="AZ175" s="115"/>
      <x:c r="BA175" s="115"/>
      <x:c r="BB175" s="107"/>
      <x:c r="BC175" s="107"/>
      <x:c r="BD175" s="107"/>
      <x:c r="BE175" s="107"/>
      <x:c r="BF175" s="107"/>
      <x:c r="BG175" s="109" t="str">
        <x:f t="shared" si="65"/>
        <x:v>FAILED</x:v>
      </x:c>
      <x:c r="BH175" s="117"/>
      <x:c r="BI175" s="102"/>
      <x:c r="BJ175" s="102"/>
      <x:c r="BK175" s="102"/>
      <x:c r="BL175" s="102"/>
      <x:c r="BM175" s="102"/>
      <x:c r="BN175" s="102"/>
      <x:c r="BO175" s="102"/>
      <x:c r="BP175" s="102"/>
      <x:c r="BQ175" s="109" t="str">
        <x:f t="shared" si="66"/>
        <x:v>FAILED</x:v>
      </x:c>
      <x:c r="BR175" s="115"/>
      <x:c r="BS175" s="115"/>
      <x:c r="BT175" s="107"/>
      <x:c r="BU175" s="107"/>
      <x:c r="BV175" s="107"/>
      <x:c r="BW175" s="107"/>
      <x:c r="BX175" s="107"/>
      <x:c r="BY175" s="109" t="str">
        <x:f t="shared" si="67"/>
        <x:v>FAILED</x:v>
      </x:c>
      <x:c r="BZ175" s="115"/>
      <x:c r="CA175" s="115"/>
      <x:c r="CB175" s="107"/>
      <x:c r="CC175" s="107"/>
      <x:c r="CD175" s="107"/>
      <x:c r="CE175" s="107"/>
      <x:c r="CF175" s="107"/>
      <x:c r="CG175" s="109" t="str">
        <x:f t="shared" si="68"/>
        <x:v>FAILED</x:v>
      </x:c>
      <x:c r="CH175" s="117"/>
    </x:row>
    <x:row r="176">
      <x:c r="A176" s="102" t="str">
        <x:f>IF(RECORD!A178="","",RECORD!A178)</x:f>
      </x:c>
      <x:c r="B176" s="102" t="str">
        <x:f>IF(RECORD!B178="","",RECORD!B178)</x:f>
      </x:c>
      <x:c r="C176" s="103" t="str">
        <x:f>IF(RECORD!C178="","",RECORD!C178)</x:f>
      </x:c>
      <x:c r="D176" s="104" t="str">
        <x:f t="array" ref="D176">IF(C176&lt;&gt;"",IF(F$7="SUMMER","N/A",_xlfn.IFS(D$10="TLA",RECORD!GO178,F$10="LECTURE","",TRUE(),"")),"")</x:f>
      </x:c>
      <x:c r="E176" s="105" t="str">
        <x:f t="shared" si="46"/>
      </x:c>
      <x:c r="F176" s="104" t="str">
        <x:f t="array" ref="F176">IF(C176&lt;&gt;"",IF(F$7="SUMMER","N/A",_xlfn.IFS(F$10="AT",RECORD!GI178,F$10="LECTURE",GRADES!AP176,TRUE(),"")),"")</x:f>
      </x:c>
      <x:c r="G176" s="106" t="str">
        <x:f t="shared" si="47"/>
      </x:c>
      <x:c r="H176" s="107" t="str">
        <x:f t="array" ref="H176">IF(C176&lt;&gt;"",IF(F$7="SUMMER","N/A",_xlfn.IFS(H$10="EXAM",RECORD!GJ178,H$10="OUTPUT",RECORD!GK178,H$10="LAB",BP176,TRUE(),"")),"")</x:f>
      </x:c>
      <x:c r="I176" s="106" t="str">
        <x:f t="shared" si="48"/>
      </x:c>
      <x:c r="J176" s="108" t="str">
        <x:f t="shared" si="49"/>
      </x:c>
      <x:c r="K176" s="109" t="str">
        <x:f t="shared" si="50"/>
      </x:c>
      <x:c r="L176" s="110" t="str">
        <x:f t="array" ref="L176">IF(C176&lt;&gt;"",_xlfn.IFS(L$10="TLA",RECORD!GY178,N$10="LECTURE","",TRUE(),""),"")</x:f>
      </x:c>
      <x:c r="M176" s="105" t="str">
        <x:f t="shared" si="51"/>
      </x:c>
      <x:c r="N176" s="104" t="str">
        <x:f t="array" ref="N176">IF(C176&lt;&gt;"",_xlfn.IFS(N$10="AT",RECORD!GS178,N$10="LECTURE",AX176,TRUE(),""),"")</x:f>
      </x:c>
      <x:c r="O176" s="106" t="str">
        <x:f t="shared" si="52"/>
      </x:c>
      <x:c r="P176" s="107" t="str">
        <x:f t="array" ref="P176">IF(C176&lt;&gt;"",_xlfn.IFS(P$10="EXAM",RECORD!GT178,P$10="OUTPUT",RECORD!GU178,P$10="LAB",BX176,TRUE(),""),"")</x:f>
      </x:c>
      <x:c r="Q176" s="106" t="str">
        <x:f t="shared" si="53"/>
      </x:c>
      <x:c r="R176" s="108" t="str">
        <x:f t="shared" si="54"/>
      </x:c>
      <x:c r="S176" s="109" t="str">
        <x:f t="shared" si="55"/>
      </x:c>
      <x:c r="T176" s="110" t="str">
        <x:f t="array" ref="T176">IF(C176&lt;&gt;"",_xlfn.IFS(T$10="TLA",RECORD!HI178,V$10="LECTURE","",TRUE(),""),"")</x:f>
      </x:c>
      <x:c r="U176" s="105" t="str">
        <x:f t="shared" si="56"/>
      </x:c>
      <x:c r="V176" s="104" t="str">
        <x:f t="array" ref="V176">IF(C176&lt;&gt;"",_xlfn.IFS(V$10="AT",RECORD!HC178,V$10="LECTURE",BF176,TRUE(),""),"")</x:f>
      </x:c>
      <x:c r="W176" s="106" t="str">
        <x:f t="shared" si="57"/>
      </x:c>
      <x:c r="X176" s="107" t="str">
        <x:f t="array" ref="X176">IF(C176&lt;&gt;"",_xlfn.IFS(X$10="EXAM",RECORD!HD178,X$10="OUTPUT",RECORD!HE178,X$10="LAB",CF176,TRUE(),""),"")</x:f>
      </x:c>
      <x:c r="Y176" s="106" t="str">
        <x:f t="shared" si="58"/>
      </x:c>
      <x:c r="Z176" s="108" t="str">
        <x:f t="shared" si="59"/>
      </x:c>
      <x:c r="AA176" s="109" t="str">
        <x:f t="shared" si="60"/>
      </x:c>
      <x:c r="AB176" s="111" t="str">
        <x:f t="shared" si="61"/>
      </x:c>
      <x:c r="AC176" s="109" t="str">
        <x:f t="shared" si="62"/>
      </x:c>
      <x:c r="AD176" s="112"/>
      <x:c r="AE176" s="102"/>
      <x:c r="AF176" s="113"/>
      <x:c r="AG176" s="112"/>
      <x:c r="AH176" s="103"/>
      <x:c r="AI176" s="114"/>
      <x:c r="AJ176" s="102"/>
      <x:c r="AK176" s="102"/>
      <x:c r="AL176" s="102"/>
      <x:c r="AM176" s="102"/>
      <x:c r="AN176" s="102"/>
      <x:c r="AO176" s="102"/>
      <x:c r="AP176" s="102"/>
      <x:c r="AQ176" s="109" t="str">
        <x:f t="shared" si="63"/>
        <x:v>FAILED</x:v>
      </x:c>
      <x:c r="AR176" s="115"/>
      <x:c r="AS176" s="115"/>
      <x:c r="AT176" s="107"/>
      <x:c r="AU176" s="107"/>
      <x:c r="AV176" s="107"/>
      <x:c r="AW176" s="107"/>
      <x:c r="AX176" s="107"/>
      <x:c r="AY176" s="109" t="str">
        <x:f t="shared" si="64"/>
        <x:v>FAILED</x:v>
      </x:c>
      <x:c r="AZ176" s="115"/>
      <x:c r="BA176" s="115"/>
      <x:c r="BB176" s="107"/>
      <x:c r="BC176" s="107"/>
      <x:c r="BD176" s="107"/>
      <x:c r="BE176" s="107"/>
      <x:c r="BF176" s="107"/>
      <x:c r="BG176" s="109" t="str">
        <x:f t="shared" si="65"/>
        <x:v>FAILED</x:v>
      </x:c>
      <x:c r="BH176" s="117"/>
      <x:c r="BI176" s="102"/>
      <x:c r="BJ176" s="102"/>
      <x:c r="BK176" s="102"/>
      <x:c r="BL176" s="102"/>
      <x:c r="BM176" s="102"/>
      <x:c r="BN176" s="102"/>
      <x:c r="BO176" s="102"/>
      <x:c r="BP176" s="102"/>
      <x:c r="BQ176" s="109" t="str">
        <x:f t="shared" si="66"/>
        <x:v>FAILED</x:v>
      </x:c>
      <x:c r="BR176" s="115"/>
      <x:c r="BS176" s="115"/>
      <x:c r="BT176" s="107"/>
      <x:c r="BU176" s="107"/>
      <x:c r="BV176" s="107"/>
      <x:c r="BW176" s="107"/>
      <x:c r="BX176" s="107"/>
      <x:c r="BY176" s="109" t="str">
        <x:f t="shared" si="67"/>
        <x:v>FAILED</x:v>
      </x:c>
      <x:c r="BZ176" s="115"/>
      <x:c r="CA176" s="115"/>
      <x:c r="CB176" s="107"/>
      <x:c r="CC176" s="107"/>
      <x:c r="CD176" s="107"/>
      <x:c r="CE176" s="107"/>
      <x:c r="CF176" s="107"/>
      <x:c r="CG176" s="109" t="str">
        <x:f t="shared" si="68"/>
        <x:v>FAILED</x:v>
      </x:c>
      <x:c r="CH176" s="117"/>
    </x:row>
    <x:row r="177">
      <x:c r="A177" s="102" t="str">
        <x:f>IF(RECORD!A179="","",RECORD!A179)</x:f>
      </x:c>
      <x:c r="B177" s="102" t="str">
        <x:f>IF(RECORD!B179="","",RECORD!B179)</x:f>
      </x:c>
      <x:c r="C177" s="103" t="str">
        <x:f>IF(RECORD!C179="","",RECORD!C179)</x:f>
      </x:c>
      <x:c r="D177" s="104" t="str">
        <x:f t="array" ref="D177">IF(C177&lt;&gt;"",IF(F$7="SUMMER","N/A",_xlfn.IFS(D$10="TLA",RECORD!GO179,F$10="LECTURE","",TRUE(),"")),"")</x:f>
      </x:c>
      <x:c r="E177" s="105" t="str">
        <x:f t="shared" si="46"/>
      </x:c>
      <x:c r="F177" s="104" t="str">
        <x:f t="array" ref="F177">IF(C177&lt;&gt;"",IF(F$7="SUMMER","N/A",_xlfn.IFS(F$10="AT",RECORD!GI179,F$10="LECTURE",GRADES!AP177,TRUE(),"")),"")</x:f>
      </x:c>
      <x:c r="G177" s="106" t="str">
        <x:f t="shared" si="47"/>
      </x:c>
      <x:c r="H177" s="107" t="str">
        <x:f t="array" ref="H177">IF(C177&lt;&gt;"",IF(F$7="SUMMER","N/A",_xlfn.IFS(H$10="EXAM",RECORD!GJ179,H$10="OUTPUT",RECORD!GK179,H$10="LAB",BP177,TRUE(),"")),"")</x:f>
      </x:c>
      <x:c r="I177" s="106" t="str">
        <x:f t="shared" si="48"/>
      </x:c>
      <x:c r="J177" s="108" t="str">
        <x:f t="shared" si="49"/>
      </x:c>
      <x:c r="K177" s="109" t="str">
        <x:f t="shared" si="50"/>
      </x:c>
      <x:c r="L177" s="110" t="str">
        <x:f t="array" ref="L177">IF(C177&lt;&gt;"",_xlfn.IFS(L$10="TLA",RECORD!GY179,N$10="LECTURE","",TRUE(),""),"")</x:f>
      </x:c>
      <x:c r="M177" s="105" t="str">
        <x:f t="shared" si="51"/>
      </x:c>
      <x:c r="N177" s="104" t="str">
        <x:f t="array" ref="N177">IF(C177&lt;&gt;"",_xlfn.IFS(N$10="AT",RECORD!GS179,N$10="LECTURE",AX177,TRUE(),""),"")</x:f>
      </x:c>
      <x:c r="O177" s="106" t="str">
        <x:f t="shared" si="52"/>
      </x:c>
      <x:c r="P177" s="107" t="str">
        <x:f t="array" ref="P177">IF(C177&lt;&gt;"",_xlfn.IFS(P$10="EXAM",RECORD!GT179,P$10="OUTPUT",RECORD!GU179,P$10="LAB",BX177,TRUE(),""),"")</x:f>
      </x:c>
      <x:c r="Q177" s="106" t="str">
        <x:f t="shared" si="53"/>
      </x:c>
      <x:c r="R177" s="108" t="str">
        <x:f t="shared" si="54"/>
      </x:c>
      <x:c r="S177" s="109" t="str">
        <x:f t="shared" si="55"/>
      </x:c>
      <x:c r="T177" s="110" t="str">
        <x:f t="array" ref="T177">IF(C177&lt;&gt;"",_xlfn.IFS(T$10="TLA",RECORD!HI179,V$10="LECTURE","",TRUE(),""),"")</x:f>
      </x:c>
      <x:c r="U177" s="105" t="str">
        <x:f t="shared" si="56"/>
      </x:c>
      <x:c r="V177" s="104" t="str">
        <x:f t="array" ref="V177">IF(C177&lt;&gt;"",_xlfn.IFS(V$10="AT",RECORD!HC179,V$10="LECTURE",BF177,TRUE(),""),"")</x:f>
      </x:c>
      <x:c r="W177" s="106" t="str">
        <x:f t="shared" si="57"/>
      </x:c>
      <x:c r="X177" s="107" t="str">
        <x:f t="array" ref="X177">IF(C177&lt;&gt;"",_xlfn.IFS(X$10="EXAM",RECORD!HD179,X$10="OUTPUT",RECORD!HE179,X$10="LAB",CF177,TRUE(),""),"")</x:f>
      </x:c>
      <x:c r="Y177" s="106" t="str">
        <x:f t="shared" si="58"/>
      </x:c>
      <x:c r="Z177" s="108" t="str">
        <x:f t="shared" si="59"/>
      </x:c>
      <x:c r="AA177" s="109" t="str">
        <x:f t="shared" si="60"/>
      </x:c>
      <x:c r="AB177" s="111" t="str">
        <x:f t="shared" si="61"/>
      </x:c>
      <x:c r="AC177" s="109" t="str">
        <x:f t="shared" si="62"/>
      </x:c>
      <x:c r="AD177" s="112"/>
      <x:c r="AE177" s="102"/>
      <x:c r="AF177" s="113"/>
      <x:c r="AG177" s="112"/>
      <x:c r="AH177" s="103"/>
      <x:c r="AI177" s="114"/>
      <x:c r="AJ177" s="102"/>
      <x:c r="AK177" s="102"/>
      <x:c r="AL177" s="102"/>
      <x:c r="AM177" s="102"/>
      <x:c r="AN177" s="102"/>
      <x:c r="AO177" s="102"/>
      <x:c r="AP177" s="102"/>
      <x:c r="AQ177" s="109" t="str">
        <x:f t="shared" si="63"/>
        <x:v>FAILED</x:v>
      </x:c>
      <x:c r="AR177" s="115"/>
      <x:c r="AS177" s="115"/>
      <x:c r="AT177" s="107"/>
      <x:c r="AU177" s="107"/>
      <x:c r="AV177" s="107"/>
      <x:c r="AW177" s="107"/>
      <x:c r="AX177" s="107"/>
      <x:c r="AY177" s="109" t="str">
        <x:f t="shared" si="64"/>
        <x:v>FAILED</x:v>
      </x:c>
      <x:c r="AZ177" s="115"/>
      <x:c r="BA177" s="115"/>
      <x:c r="BB177" s="107"/>
      <x:c r="BC177" s="107"/>
      <x:c r="BD177" s="107"/>
      <x:c r="BE177" s="107"/>
      <x:c r="BF177" s="107"/>
      <x:c r="BG177" s="109" t="str">
        <x:f t="shared" si="65"/>
        <x:v>FAILED</x:v>
      </x:c>
      <x:c r="BH177" s="117"/>
      <x:c r="BI177" s="102"/>
      <x:c r="BJ177" s="102"/>
      <x:c r="BK177" s="102"/>
      <x:c r="BL177" s="102"/>
      <x:c r="BM177" s="102"/>
      <x:c r="BN177" s="102"/>
      <x:c r="BO177" s="102"/>
      <x:c r="BP177" s="102"/>
      <x:c r="BQ177" s="109" t="str">
        <x:f t="shared" si="66"/>
        <x:v>FAILED</x:v>
      </x:c>
      <x:c r="BR177" s="115"/>
      <x:c r="BS177" s="115"/>
      <x:c r="BT177" s="107"/>
      <x:c r="BU177" s="107"/>
      <x:c r="BV177" s="107"/>
      <x:c r="BW177" s="107"/>
      <x:c r="BX177" s="107"/>
      <x:c r="BY177" s="109" t="str">
        <x:f t="shared" si="67"/>
        <x:v>FAILED</x:v>
      </x:c>
      <x:c r="BZ177" s="115"/>
      <x:c r="CA177" s="115"/>
      <x:c r="CB177" s="107"/>
      <x:c r="CC177" s="107"/>
      <x:c r="CD177" s="107"/>
      <x:c r="CE177" s="107"/>
      <x:c r="CF177" s="107"/>
      <x:c r="CG177" s="109" t="str">
        <x:f t="shared" si="68"/>
        <x:v>FAILED</x:v>
      </x:c>
      <x:c r="CH177" s="117"/>
    </x:row>
    <x:row r="178">
      <x:c r="A178" s="102" t="str">
        <x:f>IF(RECORD!A180="","",RECORD!A180)</x:f>
      </x:c>
      <x:c r="B178" s="102" t="str">
        <x:f>IF(RECORD!B180="","",RECORD!B180)</x:f>
      </x:c>
      <x:c r="C178" s="103" t="str">
        <x:f>IF(RECORD!C180="","",RECORD!C180)</x:f>
      </x:c>
      <x:c r="D178" s="104" t="str">
        <x:f t="array" ref="D178">IF(C178&lt;&gt;"",IF(F$7="SUMMER","N/A",_xlfn.IFS(D$10="TLA",RECORD!GO180,F$10="LECTURE","",TRUE(),"")),"")</x:f>
      </x:c>
      <x:c r="E178" s="105" t="str">
        <x:f t="shared" si="46"/>
      </x:c>
      <x:c r="F178" s="104" t="str">
        <x:f t="array" ref="F178">IF(C178&lt;&gt;"",IF(F$7="SUMMER","N/A",_xlfn.IFS(F$10="AT",RECORD!GI180,F$10="LECTURE",GRADES!AP178,TRUE(),"")),"")</x:f>
      </x:c>
      <x:c r="G178" s="106" t="str">
        <x:f t="shared" si="47"/>
      </x:c>
      <x:c r="H178" s="107" t="str">
        <x:f t="array" ref="H178">IF(C178&lt;&gt;"",IF(F$7="SUMMER","N/A",_xlfn.IFS(H$10="EXAM",RECORD!GJ180,H$10="OUTPUT",RECORD!GK180,H$10="LAB",BP178,TRUE(),"")),"")</x:f>
      </x:c>
      <x:c r="I178" s="106" t="str">
        <x:f t="shared" si="48"/>
      </x:c>
      <x:c r="J178" s="108" t="str">
        <x:f t="shared" si="49"/>
      </x:c>
      <x:c r="K178" s="109" t="str">
        <x:f t="shared" si="50"/>
      </x:c>
      <x:c r="L178" s="110" t="str">
        <x:f t="array" ref="L178">IF(C178&lt;&gt;"",_xlfn.IFS(L$10="TLA",RECORD!GY180,N$10="LECTURE","",TRUE(),""),"")</x:f>
      </x:c>
      <x:c r="M178" s="105" t="str">
        <x:f t="shared" si="51"/>
      </x:c>
      <x:c r="N178" s="104" t="str">
        <x:f t="array" ref="N178">IF(C178&lt;&gt;"",_xlfn.IFS(N$10="AT",RECORD!GS180,N$10="LECTURE",AX178,TRUE(),""),"")</x:f>
      </x:c>
      <x:c r="O178" s="106" t="str">
        <x:f t="shared" si="52"/>
      </x:c>
      <x:c r="P178" s="107" t="str">
        <x:f t="array" ref="P178">IF(C178&lt;&gt;"",_xlfn.IFS(P$10="EXAM",RECORD!GT180,P$10="OUTPUT",RECORD!GU180,P$10="LAB",BX178,TRUE(),""),"")</x:f>
      </x:c>
      <x:c r="Q178" s="106" t="str">
        <x:f t="shared" si="53"/>
      </x:c>
      <x:c r="R178" s="108" t="str">
        <x:f t="shared" si="54"/>
      </x:c>
      <x:c r="S178" s="109" t="str">
        <x:f t="shared" si="55"/>
      </x:c>
      <x:c r="T178" s="110" t="str">
        <x:f t="array" ref="T178">IF(C178&lt;&gt;"",_xlfn.IFS(T$10="TLA",RECORD!HI180,V$10="LECTURE","",TRUE(),""),"")</x:f>
      </x:c>
      <x:c r="U178" s="105" t="str">
        <x:f t="shared" si="56"/>
      </x:c>
      <x:c r="V178" s="104" t="str">
        <x:f t="array" ref="V178">IF(C178&lt;&gt;"",_xlfn.IFS(V$10="AT",RECORD!HC180,V$10="LECTURE",BF178,TRUE(),""),"")</x:f>
      </x:c>
      <x:c r="W178" s="106" t="str">
        <x:f t="shared" si="57"/>
      </x:c>
      <x:c r="X178" s="107" t="str">
        <x:f t="array" ref="X178">IF(C178&lt;&gt;"",_xlfn.IFS(X$10="EXAM",RECORD!HD180,X$10="OUTPUT",RECORD!HE180,X$10="LAB",CF178,TRUE(),""),"")</x:f>
      </x:c>
      <x:c r="Y178" s="106" t="str">
        <x:f t="shared" si="58"/>
      </x:c>
      <x:c r="Z178" s="108" t="str">
        <x:f t="shared" si="59"/>
      </x:c>
      <x:c r="AA178" s="109" t="str">
        <x:f t="shared" si="60"/>
      </x:c>
      <x:c r="AB178" s="111" t="str">
        <x:f t="shared" si="61"/>
      </x:c>
      <x:c r="AC178" s="109" t="str">
        <x:f t="shared" si="62"/>
      </x:c>
      <x:c r="AD178" s="112"/>
      <x:c r="AE178" s="102"/>
      <x:c r="AF178" s="113"/>
      <x:c r="AG178" s="112"/>
      <x:c r="AH178" s="103"/>
      <x:c r="AI178" s="114"/>
      <x:c r="AJ178" s="102"/>
      <x:c r="AK178" s="102"/>
      <x:c r="AL178" s="102"/>
      <x:c r="AM178" s="102"/>
      <x:c r="AN178" s="102"/>
      <x:c r="AO178" s="102"/>
      <x:c r="AP178" s="102"/>
      <x:c r="AQ178" s="109" t="str">
        <x:f t="shared" si="63"/>
        <x:v>FAILED</x:v>
      </x:c>
      <x:c r="AR178" s="115"/>
      <x:c r="AS178" s="115"/>
      <x:c r="AT178" s="107"/>
      <x:c r="AU178" s="107"/>
      <x:c r="AV178" s="107"/>
      <x:c r="AW178" s="107"/>
      <x:c r="AX178" s="107"/>
      <x:c r="AY178" s="109" t="str">
        <x:f t="shared" si="64"/>
        <x:v>FAILED</x:v>
      </x:c>
      <x:c r="AZ178" s="115"/>
      <x:c r="BA178" s="115"/>
      <x:c r="BB178" s="107"/>
      <x:c r="BC178" s="107"/>
      <x:c r="BD178" s="107"/>
      <x:c r="BE178" s="107"/>
      <x:c r="BF178" s="107"/>
      <x:c r="BG178" s="109" t="str">
        <x:f t="shared" si="65"/>
        <x:v>FAILED</x:v>
      </x:c>
      <x:c r="BH178" s="117"/>
      <x:c r="BI178" s="102"/>
      <x:c r="BJ178" s="102"/>
      <x:c r="BK178" s="102"/>
      <x:c r="BL178" s="102"/>
      <x:c r="BM178" s="102"/>
      <x:c r="BN178" s="102"/>
      <x:c r="BO178" s="102"/>
      <x:c r="BP178" s="102"/>
      <x:c r="BQ178" s="109" t="str">
        <x:f t="shared" si="66"/>
        <x:v>FAILED</x:v>
      </x:c>
      <x:c r="BR178" s="115"/>
      <x:c r="BS178" s="115"/>
      <x:c r="BT178" s="107"/>
      <x:c r="BU178" s="107"/>
      <x:c r="BV178" s="107"/>
      <x:c r="BW178" s="107"/>
      <x:c r="BX178" s="107"/>
      <x:c r="BY178" s="109" t="str">
        <x:f t="shared" si="67"/>
        <x:v>FAILED</x:v>
      </x:c>
      <x:c r="BZ178" s="115"/>
      <x:c r="CA178" s="115"/>
      <x:c r="CB178" s="107"/>
      <x:c r="CC178" s="107"/>
      <x:c r="CD178" s="107"/>
      <x:c r="CE178" s="107"/>
      <x:c r="CF178" s="107"/>
      <x:c r="CG178" s="109" t="str">
        <x:f t="shared" si="68"/>
        <x:v>FAILED</x:v>
      </x:c>
      <x:c r="CH178" s="117"/>
    </x:row>
    <x:row r="179">
      <x:c r="A179" s="102" t="str">
        <x:f>IF(RECORD!A181="","",RECORD!A181)</x:f>
      </x:c>
      <x:c r="B179" s="102" t="str">
        <x:f>IF(RECORD!B181="","",RECORD!B181)</x:f>
      </x:c>
      <x:c r="C179" s="103" t="str">
        <x:f>IF(RECORD!C181="","",RECORD!C181)</x:f>
      </x:c>
      <x:c r="D179" s="104" t="str">
        <x:f t="array" ref="D179">IF(C179&lt;&gt;"",IF(F$7="SUMMER","N/A",_xlfn.IFS(D$10="TLA",RECORD!GO181,F$10="LECTURE","",TRUE(),"")),"")</x:f>
      </x:c>
      <x:c r="E179" s="105" t="str">
        <x:f t="shared" si="46"/>
      </x:c>
      <x:c r="F179" s="104" t="str">
        <x:f t="array" ref="F179">IF(C179&lt;&gt;"",IF(F$7="SUMMER","N/A",_xlfn.IFS(F$10="AT",RECORD!GI181,F$10="LECTURE",GRADES!AP179,TRUE(),"")),"")</x:f>
      </x:c>
      <x:c r="G179" s="106" t="str">
        <x:f t="shared" si="47"/>
      </x:c>
      <x:c r="H179" s="107" t="str">
        <x:f t="array" ref="H179">IF(C179&lt;&gt;"",IF(F$7="SUMMER","N/A",_xlfn.IFS(H$10="EXAM",RECORD!GJ181,H$10="OUTPUT",RECORD!GK181,H$10="LAB",BP179,TRUE(),"")),"")</x:f>
      </x:c>
      <x:c r="I179" s="106" t="str">
        <x:f t="shared" si="48"/>
      </x:c>
      <x:c r="J179" s="108" t="str">
        <x:f t="shared" si="49"/>
      </x:c>
      <x:c r="K179" s="109" t="str">
        <x:f t="shared" si="50"/>
      </x:c>
      <x:c r="L179" s="110" t="str">
        <x:f t="array" ref="L179">IF(C179&lt;&gt;"",_xlfn.IFS(L$10="TLA",RECORD!GY181,N$10="LECTURE","",TRUE(),""),"")</x:f>
      </x:c>
      <x:c r="M179" s="105" t="str">
        <x:f t="shared" si="51"/>
      </x:c>
      <x:c r="N179" s="104" t="str">
        <x:f t="array" ref="N179">IF(C179&lt;&gt;"",_xlfn.IFS(N$10="AT",RECORD!GS181,N$10="LECTURE",AX179,TRUE(),""),"")</x:f>
      </x:c>
      <x:c r="O179" s="106" t="str">
        <x:f t="shared" si="52"/>
      </x:c>
      <x:c r="P179" s="107" t="str">
        <x:f t="array" ref="P179">IF(C179&lt;&gt;"",_xlfn.IFS(P$10="EXAM",RECORD!GT181,P$10="OUTPUT",RECORD!GU181,P$10="LAB",BX179,TRUE(),""),"")</x:f>
      </x:c>
      <x:c r="Q179" s="106" t="str">
        <x:f t="shared" si="53"/>
      </x:c>
      <x:c r="R179" s="108" t="str">
        <x:f t="shared" si="54"/>
      </x:c>
      <x:c r="S179" s="109" t="str">
        <x:f t="shared" si="55"/>
      </x:c>
      <x:c r="T179" s="110" t="str">
        <x:f t="array" ref="T179">IF(C179&lt;&gt;"",_xlfn.IFS(T$10="TLA",RECORD!HI181,V$10="LECTURE","",TRUE(),""),"")</x:f>
      </x:c>
      <x:c r="U179" s="105" t="str">
        <x:f t="shared" si="56"/>
      </x:c>
      <x:c r="V179" s="104" t="str">
        <x:f t="array" ref="V179">IF(C179&lt;&gt;"",_xlfn.IFS(V$10="AT",RECORD!HC181,V$10="LECTURE",BF179,TRUE(),""),"")</x:f>
      </x:c>
      <x:c r="W179" s="106" t="str">
        <x:f t="shared" si="57"/>
      </x:c>
      <x:c r="X179" s="107" t="str">
        <x:f t="array" ref="X179">IF(C179&lt;&gt;"",_xlfn.IFS(X$10="EXAM",RECORD!HD181,X$10="OUTPUT",RECORD!HE181,X$10="LAB",CF179,TRUE(),""),"")</x:f>
      </x:c>
      <x:c r="Y179" s="106" t="str">
        <x:f t="shared" si="58"/>
      </x:c>
      <x:c r="Z179" s="108" t="str">
        <x:f t="shared" si="59"/>
      </x:c>
      <x:c r="AA179" s="109" t="str">
        <x:f t="shared" si="60"/>
      </x:c>
      <x:c r="AB179" s="111" t="str">
        <x:f t="shared" si="61"/>
      </x:c>
      <x:c r="AC179" s="109" t="str">
        <x:f t="shared" si="62"/>
      </x:c>
      <x:c r="AD179" s="112"/>
      <x:c r="AE179" s="102"/>
      <x:c r="AF179" s="113"/>
      <x:c r="AG179" s="112"/>
      <x:c r="AH179" s="103"/>
      <x:c r="AI179" s="114"/>
      <x:c r="AJ179" s="102"/>
      <x:c r="AK179" s="102"/>
      <x:c r="AL179" s="102"/>
      <x:c r="AM179" s="102"/>
      <x:c r="AN179" s="102"/>
      <x:c r="AO179" s="102"/>
      <x:c r="AP179" s="102"/>
      <x:c r="AQ179" s="109" t="str">
        <x:f t="shared" si="63"/>
        <x:v>FAILED</x:v>
      </x:c>
      <x:c r="AR179" s="115"/>
      <x:c r="AS179" s="115"/>
      <x:c r="AT179" s="107"/>
      <x:c r="AU179" s="107"/>
      <x:c r="AV179" s="107"/>
      <x:c r="AW179" s="107"/>
      <x:c r="AX179" s="107"/>
      <x:c r="AY179" s="109" t="str">
        <x:f t="shared" si="64"/>
        <x:v>FAILED</x:v>
      </x:c>
      <x:c r="AZ179" s="115"/>
      <x:c r="BA179" s="115"/>
      <x:c r="BB179" s="107"/>
      <x:c r="BC179" s="107"/>
      <x:c r="BD179" s="107"/>
      <x:c r="BE179" s="107"/>
      <x:c r="BF179" s="107"/>
      <x:c r="BG179" s="109" t="str">
        <x:f t="shared" si="65"/>
        <x:v>FAILED</x:v>
      </x:c>
      <x:c r="BH179" s="117"/>
      <x:c r="BI179" s="102"/>
      <x:c r="BJ179" s="102"/>
      <x:c r="BK179" s="102"/>
      <x:c r="BL179" s="102"/>
      <x:c r="BM179" s="102"/>
      <x:c r="BN179" s="102"/>
      <x:c r="BO179" s="102"/>
      <x:c r="BP179" s="102"/>
      <x:c r="BQ179" s="109" t="str">
        <x:f t="shared" si="66"/>
        <x:v>FAILED</x:v>
      </x:c>
      <x:c r="BR179" s="115"/>
      <x:c r="BS179" s="115"/>
      <x:c r="BT179" s="107"/>
      <x:c r="BU179" s="107"/>
      <x:c r="BV179" s="107"/>
      <x:c r="BW179" s="107"/>
      <x:c r="BX179" s="107"/>
      <x:c r="BY179" s="109" t="str">
        <x:f t="shared" si="67"/>
        <x:v>FAILED</x:v>
      </x:c>
      <x:c r="BZ179" s="115"/>
      <x:c r="CA179" s="115"/>
      <x:c r="CB179" s="107"/>
      <x:c r="CC179" s="107"/>
      <x:c r="CD179" s="107"/>
      <x:c r="CE179" s="107"/>
      <x:c r="CF179" s="107"/>
      <x:c r="CG179" s="109" t="str">
        <x:f t="shared" si="68"/>
        <x:v>FAILED</x:v>
      </x:c>
      <x:c r="CH179" s="117"/>
    </x:row>
    <x:row r="180">
      <x:c r="A180" s="102" t="str">
        <x:f>IF(RECORD!A182="","",RECORD!A182)</x:f>
      </x:c>
      <x:c r="B180" s="102" t="str">
        <x:f>IF(RECORD!B182="","",RECORD!B182)</x:f>
      </x:c>
      <x:c r="C180" s="103" t="str">
        <x:f>IF(RECORD!C182="","",RECORD!C182)</x:f>
      </x:c>
      <x:c r="D180" s="104" t="str">
        <x:f t="array" ref="D180">IF(C180&lt;&gt;"",IF(F$7="SUMMER","N/A",_xlfn.IFS(D$10="TLA",RECORD!GO182,F$10="LECTURE","",TRUE(),"")),"")</x:f>
      </x:c>
      <x:c r="E180" s="105" t="str">
        <x:f t="shared" si="46"/>
      </x:c>
      <x:c r="F180" s="104" t="str">
        <x:f t="array" ref="F180">IF(C180&lt;&gt;"",IF(F$7="SUMMER","N/A",_xlfn.IFS(F$10="AT",RECORD!GI182,F$10="LECTURE",GRADES!AP180,TRUE(),"")),"")</x:f>
      </x:c>
      <x:c r="G180" s="106" t="str">
        <x:f t="shared" si="47"/>
      </x:c>
      <x:c r="H180" s="107" t="str">
        <x:f t="array" ref="H180">IF(C180&lt;&gt;"",IF(F$7="SUMMER","N/A",_xlfn.IFS(H$10="EXAM",RECORD!GJ182,H$10="OUTPUT",RECORD!GK182,H$10="LAB",BP180,TRUE(),"")),"")</x:f>
      </x:c>
      <x:c r="I180" s="106" t="str">
        <x:f t="shared" si="48"/>
      </x:c>
      <x:c r="J180" s="108" t="str">
        <x:f t="shared" si="49"/>
      </x:c>
      <x:c r="K180" s="109" t="str">
        <x:f t="shared" si="50"/>
      </x:c>
      <x:c r="L180" s="110" t="str">
        <x:f t="array" ref="L180">IF(C180&lt;&gt;"",_xlfn.IFS(L$10="TLA",RECORD!GY182,N$10="LECTURE","",TRUE(),""),"")</x:f>
      </x:c>
      <x:c r="M180" s="105" t="str">
        <x:f t="shared" si="51"/>
      </x:c>
      <x:c r="N180" s="104" t="str">
        <x:f t="array" ref="N180">IF(C180&lt;&gt;"",_xlfn.IFS(N$10="AT",RECORD!GS182,N$10="LECTURE",AX180,TRUE(),""),"")</x:f>
      </x:c>
      <x:c r="O180" s="106" t="str">
        <x:f t="shared" si="52"/>
      </x:c>
      <x:c r="P180" s="107" t="str">
        <x:f t="array" ref="P180">IF(C180&lt;&gt;"",_xlfn.IFS(P$10="EXAM",RECORD!GT182,P$10="OUTPUT",RECORD!GU182,P$10="LAB",BX180,TRUE(),""),"")</x:f>
      </x:c>
      <x:c r="Q180" s="106" t="str">
        <x:f t="shared" si="53"/>
      </x:c>
      <x:c r="R180" s="108" t="str">
        <x:f t="shared" si="54"/>
      </x:c>
      <x:c r="S180" s="109" t="str">
        <x:f t="shared" si="55"/>
      </x:c>
      <x:c r="T180" s="110" t="str">
        <x:f t="array" ref="T180">IF(C180&lt;&gt;"",_xlfn.IFS(T$10="TLA",RECORD!HI182,V$10="LECTURE","",TRUE(),""),"")</x:f>
      </x:c>
      <x:c r="U180" s="105" t="str">
        <x:f t="shared" si="56"/>
      </x:c>
      <x:c r="V180" s="104" t="str">
        <x:f t="array" ref="V180">IF(C180&lt;&gt;"",_xlfn.IFS(V$10="AT",RECORD!HC182,V$10="LECTURE",BF180,TRUE(),""),"")</x:f>
      </x:c>
      <x:c r="W180" s="106" t="str">
        <x:f t="shared" si="57"/>
      </x:c>
      <x:c r="X180" s="107" t="str">
        <x:f t="array" ref="X180">IF(C180&lt;&gt;"",_xlfn.IFS(X$10="EXAM",RECORD!HD182,X$10="OUTPUT",RECORD!HE182,X$10="LAB",CF180,TRUE(),""),"")</x:f>
      </x:c>
      <x:c r="Y180" s="106" t="str">
        <x:f t="shared" si="58"/>
      </x:c>
      <x:c r="Z180" s="108" t="str">
        <x:f t="shared" si="59"/>
      </x:c>
      <x:c r="AA180" s="109" t="str">
        <x:f t="shared" si="60"/>
      </x:c>
      <x:c r="AB180" s="111" t="str">
        <x:f t="shared" si="61"/>
      </x:c>
      <x:c r="AC180" s="109" t="str">
        <x:f t="shared" si="62"/>
      </x:c>
      <x:c r="AD180" s="112"/>
      <x:c r="AE180" s="102"/>
      <x:c r="AF180" s="113"/>
      <x:c r="AG180" s="112"/>
      <x:c r="AH180" s="103"/>
      <x:c r="AI180" s="114"/>
      <x:c r="AJ180" s="102"/>
      <x:c r="AK180" s="102"/>
      <x:c r="AL180" s="102"/>
      <x:c r="AM180" s="102"/>
      <x:c r="AN180" s="102"/>
      <x:c r="AO180" s="102"/>
      <x:c r="AP180" s="102"/>
      <x:c r="AQ180" s="109" t="str">
        <x:f t="shared" si="63"/>
        <x:v>FAILED</x:v>
      </x:c>
      <x:c r="AR180" s="115"/>
      <x:c r="AS180" s="115"/>
      <x:c r="AT180" s="107"/>
      <x:c r="AU180" s="107"/>
      <x:c r="AV180" s="107"/>
      <x:c r="AW180" s="107"/>
      <x:c r="AX180" s="107"/>
      <x:c r="AY180" s="109" t="str">
        <x:f t="shared" si="64"/>
        <x:v>FAILED</x:v>
      </x:c>
      <x:c r="AZ180" s="115"/>
      <x:c r="BA180" s="115"/>
      <x:c r="BB180" s="107"/>
      <x:c r="BC180" s="107"/>
      <x:c r="BD180" s="107"/>
      <x:c r="BE180" s="107"/>
      <x:c r="BF180" s="107"/>
      <x:c r="BG180" s="109" t="str">
        <x:f t="shared" si="65"/>
        <x:v>FAILED</x:v>
      </x:c>
      <x:c r="BH180" s="117"/>
      <x:c r="BI180" s="102"/>
      <x:c r="BJ180" s="102"/>
      <x:c r="BK180" s="102"/>
      <x:c r="BL180" s="102"/>
      <x:c r="BM180" s="102"/>
      <x:c r="BN180" s="102"/>
      <x:c r="BO180" s="102"/>
      <x:c r="BP180" s="102"/>
      <x:c r="BQ180" s="109" t="str">
        <x:f t="shared" si="66"/>
        <x:v>FAILED</x:v>
      </x:c>
      <x:c r="BR180" s="115"/>
      <x:c r="BS180" s="115"/>
      <x:c r="BT180" s="107"/>
      <x:c r="BU180" s="107"/>
      <x:c r="BV180" s="107"/>
      <x:c r="BW180" s="107"/>
      <x:c r="BX180" s="107"/>
      <x:c r="BY180" s="109" t="str">
        <x:f t="shared" si="67"/>
        <x:v>FAILED</x:v>
      </x:c>
      <x:c r="BZ180" s="115"/>
      <x:c r="CA180" s="115"/>
      <x:c r="CB180" s="107"/>
      <x:c r="CC180" s="107"/>
      <x:c r="CD180" s="107"/>
      <x:c r="CE180" s="107"/>
      <x:c r="CF180" s="107"/>
      <x:c r="CG180" s="109" t="str">
        <x:f t="shared" si="68"/>
        <x:v>FAILED</x:v>
      </x:c>
      <x:c r="CH180" s="117"/>
    </x:row>
    <x:row r="181">
      <x:c r="A181" s="102" t="str">
        <x:f>IF(RECORD!A183="","",RECORD!A183)</x:f>
      </x:c>
      <x:c r="B181" s="102" t="str">
        <x:f>IF(RECORD!B183="","",RECORD!B183)</x:f>
      </x:c>
      <x:c r="C181" s="103" t="str">
        <x:f>IF(RECORD!C183="","",RECORD!C183)</x:f>
      </x:c>
      <x:c r="D181" s="104" t="str">
        <x:f t="array" ref="D181">IF(C181&lt;&gt;"",IF(F$7="SUMMER","N/A",_xlfn.IFS(D$10="TLA",RECORD!GO183,F$10="LECTURE","",TRUE(),"")),"")</x:f>
      </x:c>
      <x:c r="E181" s="105" t="str">
        <x:f t="shared" si="46"/>
      </x:c>
      <x:c r="F181" s="104" t="str">
        <x:f t="array" ref="F181">IF(C181&lt;&gt;"",IF(F$7="SUMMER","N/A",_xlfn.IFS(F$10="AT",RECORD!GI183,F$10="LECTURE",GRADES!AP181,TRUE(),"")),"")</x:f>
      </x:c>
      <x:c r="G181" s="106" t="str">
        <x:f t="shared" si="47"/>
      </x:c>
      <x:c r="H181" s="107" t="str">
        <x:f t="array" ref="H181">IF(C181&lt;&gt;"",IF(F$7="SUMMER","N/A",_xlfn.IFS(H$10="EXAM",RECORD!GJ183,H$10="OUTPUT",RECORD!GK183,H$10="LAB",BP181,TRUE(),"")),"")</x:f>
      </x:c>
      <x:c r="I181" s="106" t="str">
        <x:f t="shared" si="48"/>
      </x:c>
      <x:c r="J181" s="108" t="str">
        <x:f t="shared" si="49"/>
      </x:c>
      <x:c r="K181" s="109" t="str">
        <x:f t="shared" si="50"/>
      </x:c>
      <x:c r="L181" s="110" t="str">
        <x:f t="array" ref="L181">IF(C181&lt;&gt;"",_xlfn.IFS(L$10="TLA",RECORD!GY183,N$10="LECTURE","",TRUE(),""),"")</x:f>
      </x:c>
      <x:c r="M181" s="105" t="str">
        <x:f t="shared" si="51"/>
      </x:c>
      <x:c r="N181" s="104" t="str">
        <x:f t="array" ref="N181">IF(C181&lt;&gt;"",_xlfn.IFS(N$10="AT",RECORD!GS183,N$10="LECTURE",AX181,TRUE(),""),"")</x:f>
      </x:c>
      <x:c r="O181" s="106" t="str">
        <x:f t="shared" si="52"/>
      </x:c>
      <x:c r="P181" s="107" t="str">
        <x:f t="array" ref="P181">IF(C181&lt;&gt;"",_xlfn.IFS(P$10="EXAM",RECORD!GT183,P$10="OUTPUT",RECORD!GU183,P$10="LAB",BX181,TRUE(),""),"")</x:f>
      </x:c>
      <x:c r="Q181" s="106" t="str">
        <x:f t="shared" si="53"/>
      </x:c>
      <x:c r="R181" s="108" t="str">
        <x:f t="shared" si="54"/>
      </x:c>
      <x:c r="S181" s="109" t="str">
        <x:f t="shared" si="55"/>
      </x:c>
      <x:c r="T181" s="110" t="str">
        <x:f t="array" ref="T181">IF(C181&lt;&gt;"",_xlfn.IFS(T$10="TLA",RECORD!HI183,V$10="LECTURE","",TRUE(),""),"")</x:f>
      </x:c>
      <x:c r="U181" s="105" t="str">
        <x:f t="shared" si="56"/>
      </x:c>
      <x:c r="V181" s="104" t="str">
        <x:f t="array" ref="V181">IF(C181&lt;&gt;"",_xlfn.IFS(V$10="AT",RECORD!HC183,V$10="LECTURE",BF181,TRUE(),""),"")</x:f>
      </x:c>
      <x:c r="W181" s="106" t="str">
        <x:f t="shared" si="57"/>
      </x:c>
      <x:c r="X181" s="107" t="str">
        <x:f t="array" ref="X181">IF(C181&lt;&gt;"",_xlfn.IFS(X$10="EXAM",RECORD!HD183,X$10="OUTPUT",RECORD!HE183,X$10="LAB",CF181,TRUE(),""),"")</x:f>
      </x:c>
      <x:c r="Y181" s="106" t="str">
        <x:f t="shared" si="58"/>
      </x:c>
      <x:c r="Z181" s="108" t="str">
        <x:f t="shared" si="59"/>
      </x:c>
      <x:c r="AA181" s="109" t="str">
        <x:f t="shared" si="60"/>
      </x:c>
      <x:c r="AB181" s="111" t="str">
        <x:f t="shared" si="61"/>
      </x:c>
      <x:c r="AC181" s="109" t="str">
        <x:f t="shared" si="62"/>
      </x:c>
      <x:c r="AD181" s="112"/>
      <x:c r="AE181" s="102"/>
      <x:c r="AF181" s="113"/>
      <x:c r="AG181" s="112"/>
      <x:c r="AH181" s="103"/>
      <x:c r="AI181" s="114"/>
      <x:c r="AJ181" s="102"/>
      <x:c r="AK181" s="102"/>
      <x:c r="AL181" s="102"/>
      <x:c r="AM181" s="102"/>
      <x:c r="AN181" s="102"/>
      <x:c r="AO181" s="102"/>
      <x:c r="AP181" s="102"/>
      <x:c r="AQ181" s="109" t="str">
        <x:f t="shared" si="63"/>
        <x:v>FAILED</x:v>
      </x:c>
      <x:c r="AR181" s="115"/>
      <x:c r="AS181" s="115"/>
      <x:c r="AT181" s="107"/>
      <x:c r="AU181" s="107"/>
      <x:c r="AV181" s="107"/>
      <x:c r="AW181" s="107"/>
      <x:c r="AX181" s="107"/>
      <x:c r="AY181" s="109" t="str">
        <x:f t="shared" si="64"/>
        <x:v>FAILED</x:v>
      </x:c>
      <x:c r="AZ181" s="115"/>
      <x:c r="BA181" s="115"/>
      <x:c r="BB181" s="107"/>
      <x:c r="BC181" s="107"/>
      <x:c r="BD181" s="107"/>
      <x:c r="BE181" s="107"/>
      <x:c r="BF181" s="107"/>
      <x:c r="BG181" s="109" t="str">
        <x:f t="shared" si="65"/>
        <x:v>FAILED</x:v>
      </x:c>
      <x:c r="BH181" s="117"/>
      <x:c r="BI181" s="102"/>
      <x:c r="BJ181" s="102"/>
      <x:c r="BK181" s="102"/>
      <x:c r="BL181" s="102"/>
      <x:c r="BM181" s="102"/>
      <x:c r="BN181" s="102"/>
      <x:c r="BO181" s="102"/>
      <x:c r="BP181" s="102"/>
      <x:c r="BQ181" s="109" t="str">
        <x:f t="shared" si="66"/>
        <x:v>FAILED</x:v>
      </x:c>
      <x:c r="BR181" s="115"/>
      <x:c r="BS181" s="115"/>
      <x:c r="BT181" s="107"/>
      <x:c r="BU181" s="107"/>
      <x:c r="BV181" s="107"/>
      <x:c r="BW181" s="107"/>
      <x:c r="BX181" s="107"/>
      <x:c r="BY181" s="109" t="str">
        <x:f t="shared" si="67"/>
        <x:v>FAILED</x:v>
      </x:c>
      <x:c r="BZ181" s="115"/>
      <x:c r="CA181" s="115"/>
      <x:c r="CB181" s="107"/>
      <x:c r="CC181" s="107"/>
      <x:c r="CD181" s="107"/>
      <x:c r="CE181" s="107"/>
      <x:c r="CF181" s="107"/>
      <x:c r="CG181" s="109" t="str">
        <x:f t="shared" si="68"/>
        <x:v>FAILED</x:v>
      </x:c>
      <x:c r="CH181" s="117"/>
    </x:row>
    <x:row r="182">
      <x:c r="A182" s="102" t="str">
        <x:f>IF(RECORD!A184="","",RECORD!A184)</x:f>
      </x:c>
      <x:c r="B182" s="102" t="str">
        <x:f>IF(RECORD!B184="","",RECORD!B184)</x:f>
      </x:c>
      <x:c r="C182" s="103" t="str">
        <x:f>IF(RECORD!C184="","",RECORD!C184)</x:f>
      </x:c>
      <x:c r="D182" s="104" t="str">
        <x:f t="array" ref="D182">IF(C182&lt;&gt;"",IF(F$7="SUMMER","N/A",_xlfn.IFS(D$10="TLA",RECORD!GO184,F$10="LECTURE","",TRUE(),"")),"")</x:f>
      </x:c>
      <x:c r="E182" s="105" t="str">
        <x:f t="shared" si="46"/>
      </x:c>
      <x:c r="F182" s="104" t="str">
        <x:f t="array" ref="F182">IF(C182&lt;&gt;"",IF(F$7="SUMMER","N/A",_xlfn.IFS(F$10="AT",RECORD!GI184,F$10="LECTURE",GRADES!AP182,TRUE(),"")),"")</x:f>
      </x:c>
      <x:c r="G182" s="106" t="str">
        <x:f t="shared" si="47"/>
      </x:c>
      <x:c r="H182" s="107" t="str">
        <x:f t="array" ref="H182">IF(C182&lt;&gt;"",IF(F$7="SUMMER","N/A",_xlfn.IFS(H$10="EXAM",RECORD!GJ184,H$10="OUTPUT",RECORD!GK184,H$10="LAB",BP182,TRUE(),"")),"")</x:f>
      </x:c>
      <x:c r="I182" s="106" t="str">
        <x:f t="shared" si="48"/>
      </x:c>
      <x:c r="J182" s="108" t="str">
        <x:f t="shared" si="49"/>
      </x:c>
      <x:c r="K182" s="109" t="str">
        <x:f t="shared" si="50"/>
      </x:c>
      <x:c r="L182" s="110" t="str">
        <x:f t="array" ref="L182">IF(C182&lt;&gt;"",_xlfn.IFS(L$10="TLA",RECORD!GY184,N$10="LECTURE","",TRUE(),""),"")</x:f>
      </x:c>
      <x:c r="M182" s="105" t="str">
        <x:f t="shared" si="51"/>
      </x:c>
      <x:c r="N182" s="104" t="str">
        <x:f t="array" ref="N182">IF(C182&lt;&gt;"",_xlfn.IFS(N$10="AT",RECORD!GS184,N$10="LECTURE",AX182,TRUE(),""),"")</x:f>
      </x:c>
      <x:c r="O182" s="106" t="str">
        <x:f t="shared" si="52"/>
      </x:c>
      <x:c r="P182" s="107" t="str">
        <x:f t="array" ref="P182">IF(C182&lt;&gt;"",_xlfn.IFS(P$10="EXAM",RECORD!GT184,P$10="OUTPUT",RECORD!GU184,P$10="LAB",BX182,TRUE(),""),"")</x:f>
      </x:c>
      <x:c r="Q182" s="106" t="str">
        <x:f t="shared" si="53"/>
      </x:c>
      <x:c r="R182" s="108" t="str">
        <x:f t="shared" si="54"/>
      </x:c>
      <x:c r="S182" s="109" t="str">
        <x:f t="shared" si="55"/>
      </x:c>
      <x:c r="T182" s="110" t="str">
        <x:f t="array" ref="T182">IF(C182&lt;&gt;"",_xlfn.IFS(T$10="TLA",RECORD!HI184,V$10="LECTURE","",TRUE(),""),"")</x:f>
      </x:c>
      <x:c r="U182" s="105" t="str">
        <x:f t="shared" si="56"/>
      </x:c>
      <x:c r="V182" s="104" t="str">
        <x:f t="array" ref="V182">IF(C182&lt;&gt;"",_xlfn.IFS(V$10="AT",RECORD!HC184,V$10="LECTURE",BF182,TRUE(),""),"")</x:f>
      </x:c>
      <x:c r="W182" s="106" t="str">
        <x:f t="shared" si="57"/>
      </x:c>
      <x:c r="X182" s="107" t="str">
        <x:f t="array" ref="X182">IF(C182&lt;&gt;"",_xlfn.IFS(X$10="EXAM",RECORD!HD184,X$10="OUTPUT",RECORD!HE184,X$10="LAB",CF182,TRUE(),""),"")</x:f>
      </x:c>
      <x:c r="Y182" s="106" t="str">
        <x:f t="shared" si="58"/>
      </x:c>
      <x:c r="Z182" s="108" t="str">
        <x:f t="shared" si="59"/>
      </x:c>
      <x:c r="AA182" s="109" t="str">
        <x:f t="shared" si="60"/>
      </x:c>
      <x:c r="AB182" s="111" t="str">
        <x:f t="shared" si="61"/>
      </x:c>
      <x:c r="AC182" s="109" t="str">
        <x:f t="shared" si="62"/>
      </x:c>
      <x:c r="AD182" s="112"/>
      <x:c r="AE182" s="102"/>
      <x:c r="AF182" s="113"/>
      <x:c r="AG182" s="112"/>
      <x:c r="AH182" s="103"/>
      <x:c r="AI182" s="114"/>
      <x:c r="AJ182" s="102"/>
      <x:c r="AK182" s="102"/>
      <x:c r="AL182" s="102"/>
      <x:c r="AM182" s="102"/>
      <x:c r="AN182" s="102"/>
      <x:c r="AO182" s="102"/>
      <x:c r="AP182" s="102"/>
      <x:c r="AQ182" s="109" t="str">
        <x:f t="shared" si="63"/>
        <x:v>FAILED</x:v>
      </x:c>
      <x:c r="AR182" s="115"/>
      <x:c r="AS182" s="115"/>
      <x:c r="AT182" s="107"/>
      <x:c r="AU182" s="107"/>
      <x:c r="AV182" s="107"/>
      <x:c r="AW182" s="107"/>
      <x:c r="AX182" s="107"/>
      <x:c r="AY182" s="109" t="str">
        <x:f t="shared" si="64"/>
        <x:v>FAILED</x:v>
      </x:c>
      <x:c r="AZ182" s="115"/>
      <x:c r="BA182" s="115"/>
      <x:c r="BB182" s="107"/>
      <x:c r="BC182" s="107"/>
      <x:c r="BD182" s="107"/>
      <x:c r="BE182" s="107"/>
      <x:c r="BF182" s="107"/>
      <x:c r="BG182" s="109" t="str">
        <x:f t="shared" si="65"/>
        <x:v>FAILED</x:v>
      </x:c>
      <x:c r="BH182" s="117"/>
      <x:c r="BI182" s="102"/>
      <x:c r="BJ182" s="102"/>
      <x:c r="BK182" s="102"/>
      <x:c r="BL182" s="102"/>
      <x:c r="BM182" s="102"/>
      <x:c r="BN182" s="102"/>
      <x:c r="BO182" s="102"/>
      <x:c r="BP182" s="102"/>
      <x:c r="BQ182" s="109" t="str">
        <x:f t="shared" si="66"/>
        <x:v>FAILED</x:v>
      </x:c>
      <x:c r="BR182" s="115"/>
      <x:c r="BS182" s="115"/>
      <x:c r="BT182" s="107"/>
      <x:c r="BU182" s="107"/>
      <x:c r="BV182" s="107"/>
      <x:c r="BW182" s="107"/>
      <x:c r="BX182" s="107"/>
      <x:c r="BY182" s="109" t="str">
        <x:f t="shared" si="67"/>
        <x:v>FAILED</x:v>
      </x:c>
      <x:c r="BZ182" s="115"/>
      <x:c r="CA182" s="115"/>
      <x:c r="CB182" s="107"/>
      <x:c r="CC182" s="107"/>
      <x:c r="CD182" s="107"/>
      <x:c r="CE182" s="107"/>
      <x:c r="CF182" s="107"/>
      <x:c r="CG182" s="109" t="str">
        <x:f t="shared" si="68"/>
        <x:v>FAILED</x:v>
      </x:c>
      <x:c r="CH182" s="117"/>
    </x:row>
    <x:row r="183">
      <x:c r="A183" s="102" t="str">
        <x:f>IF(RECORD!A185="","",RECORD!A185)</x:f>
      </x:c>
      <x:c r="B183" s="102" t="str">
        <x:f>IF(RECORD!B185="","",RECORD!B185)</x:f>
      </x:c>
      <x:c r="C183" s="103" t="str">
        <x:f>IF(RECORD!C185="","",RECORD!C185)</x:f>
      </x:c>
      <x:c r="D183" s="104" t="str">
        <x:f t="array" ref="D183">IF(C183&lt;&gt;"",IF(F$7="SUMMER","N/A",_xlfn.IFS(D$10="TLA",RECORD!GO185,F$10="LECTURE","",TRUE(),"")),"")</x:f>
      </x:c>
      <x:c r="E183" s="105" t="str">
        <x:f t="shared" si="46"/>
      </x:c>
      <x:c r="F183" s="104" t="str">
        <x:f t="array" ref="F183">IF(C183&lt;&gt;"",IF(F$7="SUMMER","N/A",_xlfn.IFS(F$10="AT",RECORD!GI185,F$10="LECTURE",GRADES!AP183,TRUE(),"")),"")</x:f>
      </x:c>
      <x:c r="G183" s="106" t="str">
        <x:f t="shared" si="47"/>
      </x:c>
      <x:c r="H183" s="107" t="str">
        <x:f t="array" ref="H183">IF(C183&lt;&gt;"",IF(F$7="SUMMER","N/A",_xlfn.IFS(H$10="EXAM",RECORD!GJ185,H$10="OUTPUT",RECORD!GK185,H$10="LAB",BP183,TRUE(),"")),"")</x:f>
      </x:c>
      <x:c r="I183" s="106" t="str">
        <x:f t="shared" si="48"/>
      </x:c>
      <x:c r="J183" s="108" t="str">
        <x:f t="shared" si="49"/>
      </x:c>
      <x:c r="K183" s="109" t="str">
        <x:f t="shared" si="50"/>
      </x:c>
      <x:c r="L183" s="110" t="str">
        <x:f t="array" ref="L183">IF(C183&lt;&gt;"",_xlfn.IFS(L$10="TLA",RECORD!GY185,N$10="LECTURE","",TRUE(),""),"")</x:f>
      </x:c>
      <x:c r="M183" s="105" t="str">
        <x:f t="shared" si="51"/>
      </x:c>
      <x:c r="N183" s="104" t="str">
        <x:f t="array" ref="N183">IF(C183&lt;&gt;"",_xlfn.IFS(N$10="AT",RECORD!GS185,N$10="LECTURE",AX183,TRUE(),""),"")</x:f>
      </x:c>
      <x:c r="O183" s="106" t="str">
        <x:f t="shared" si="52"/>
      </x:c>
      <x:c r="P183" s="107" t="str">
        <x:f t="array" ref="P183">IF(C183&lt;&gt;"",_xlfn.IFS(P$10="EXAM",RECORD!GT185,P$10="OUTPUT",RECORD!GU185,P$10="LAB",BX183,TRUE(),""),"")</x:f>
      </x:c>
      <x:c r="Q183" s="106" t="str">
        <x:f t="shared" si="53"/>
      </x:c>
      <x:c r="R183" s="108" t="str">
        <x:f t="shared" si="54"/>
      </x:c>
      <x:c r="S183" s="109" t="str">
        <x:f t="shared" si="55"/>
      </x:c>
      <x:c r="T183" s="110" t="str">
        <x:f t="array" ref="T183">IF(C183&lt;&gt;"",_xlfn.IFS(T$10="TLA",RECORD!HI185,V$10="LECTURE","",TRUE(),""),"")</x:f>
      </x:c>
      <x:c r="U183" s="105" t="str">
        <x:f t="shared" si="56"/>
      </x:c>
      <x:c r="V183" s="104" t="str">
        <x:f t="array" ref="V183">IF(C183&lt;&gt;"",_xlfn.IFS(V$10="AT",RECORD!HC185,V$10="LECTURE",BF183,TRUE(),""),"")</x:f>
      </x:c>
      <x:c r="W183" s="106" t="str">
        <x:f t="shared" si="57"/>
      </x:c>
      <x:c r="X183" s="107" t="str">
        <x:f t="array" ref="X183">IF(C183&lt;&gt;"",_xlfn.IFS(X$10="EXAM",RECORD!HD185,X$10="OUTPUT",RECORD!HE185,X$10="LAB",CF183,TRUE(),""),"")</x:f>
      </x:c>
      <x:c r="Y183" s="106" t="str">
        <x:f t="shared" si="58"/>
      </x:c>
      <x:c r="Z183" s="108" t="str">
        <x:f t="shared" si="59"/>
      </x:c>
      <x:c r="AA183" s="109" t="str">
        <x:f t="shared" si="60"/>
      </x:c>
      <x:c r="AB183" s="111" t="str">
        <x:f t="shared" si="61"/>
      </x:c>
      <x:c r="AC183" s="109" t="str">
        <x:f t="shared" si="62"/>
      </x:c>
      <x:c r="AD183" s="112"/>
      <x:c r="AE183" s="102"/>
      <x:c r="AF183" s="113"/>
      <x:c r="AG183" s="112"/>
      <x:c r="AH183" s="103"/>
      <x:c r="AI183" s="114"/>
      <x:c r="AJ183" s="102"/>
      <x:c r="AK183" s="102"/>
      <x:c r="AL183" s="102"/>
      <x:c r="AM183" s="102"/>
      <x:c r="AN183" s="102"/>
      <x:c r="AO183" s="102"/>
      <x:c r="AP183" s="102"/>
      <x:c r="AQ183" s="109" t="str">
        <x:f t="shared" si="63"/>
        <x:v>FAILED</x:v>
      </x:c>
      <x:c r="AR183" s="115"/>
      <x:c r="AS183" s="115"/>
      <x:c r="AT183" s="107"/>
      <x:c r="AU183" s="107"/>
      <x:c r="AV183" s="107"/>
      <x:c r="AW183" s="107"/>
      <x:c r="AX183" s="107"/>
      <x:c r="AY183" s="109" t="str">
        <x:f t="shared" si="64"/>
        <x:v>FAILED</x:v>
      </x:c>
      <x:c r="AZ183" s="115"/>
      <x:c r="BA183" s="115"/>
      <x:c r="BB183" s="107"/>
      <x:c r="BC183" s="107"/>
      <x:c r="BD183" s="107"/>
      <x:c r="BE183" s="107"/>
      <x:c r="BF183" s="107"/>
      <x:c r="BG183" s="109" t="str">
        <x:f t="shared" si="65"/>
        <x:v>FAILED</x:v>
      </x:c>
      <x:c r="BH183" s="117"/>
      <x:c r="BI183" s="102"/>
      <x:c r="BJ183" s="102"/>
      <x:c r="BK183" s="102"/>
      <x:c r="BL183" s="102"/>
      <x:c r="BM183" s="102"/>
      <x:c r="BN183" s="102"/>
      <x:c r="BO183" s="102"/>
      <x:c r="BP183" s="102"/>
      <x:c r="BQ183" s="109" t="str">
        <x:f t="shared" si="66"/>
        <x:v>FAILED</x:v>
      </x:c>
      <x:c r="BR183" s="115"/>
      <x:c r="BS183" s="115"/>
      <x:c r="BT183" s="107"/>
      <x:c r="BU183" s="107"/>
      <x:c r="BV183" s="107"/>
      <x:c r="BW183" s="107"/>
      <x:c r="BX183" s="107"/>
      <x:c r="BY183" s="109" t="str">
        <x:f t="shared" si="67"/>
        <x:v>FAILED</x:v>
      </x:c>
      <x:c r="BZ183" s="115"/>
      <x:c r="CA183" s="115"/>
      <x:c r="CB183" s="107"/>
      <x:c r="CC183" s="107"/>
      <x:c r="CD183" s="107"/>
      <x:c r="CE183" s="107"/>
      <x:c r="CF183" s="107"/>
      <x:c r="CG183" s="109" t="str">
        <x:f t="shared" si="68"/>
        <x:v>FAILED</x:v>
      </x:c>
      <x:c r="CH183" s="117"/>
    </x:row>
    <x:row r="184">
      <x:c r="A184" s="102" t="str">
        <x:f>IF(RECORD!A186="","",RECORD!A186)</x:f>
      </x:c>
      <x:c r="B184" s="102" t="str">
        <x:f>IF(RECORD!B186="","",RECORD!B186)</x:f>
      </x:c>
      <x:c r="C184" s="103" t="str">
        <x:f>IF(RECORD!C186="","",RECORD!C186)</x:f>
      </x:c>
      <x:c r="D184" s="104" t="str">
        <x:f t="array" ref="D184">IF(C184&lt;&gt;"",IF(F$7="SUMMER","N/A",_xlfn.IFS(D$10="TLA",RECORD!GO186,F$10="LECTURE","",TRUE(),"")),"")</x:f>
      </x:c>
      <x:c r="E184" s="105" t="str">
        <x:f t="shared" si="46"/>
      </x:c>
      <x:c r="F184" s="104" t="str">
        <x:f t="array" ref="F184">IF(C184&lt;&gt;"",IF(F$7="SUMMER","N/A",_xlfn.IFS(F$10="AT",RECORD!GI186,F$10="LECTURE",GRADES!AP184,TRUE(),"")),"")</x:f>
      </x:c>
      <x:c r="G184" s="106" t="str">
        <x:f t="shared" si="47"/>
      </x:c>
      <x:c r="H184" s="107" t="str">
        <x:f t="array" ref="H184">IF(C184&lt;&gt;"",IF(F$7="SUMMER","N/A",_xlfn.IFS(H$10="EXAM",RECORD!GJ186,H$10="OUTPUT",RECORD!GK186,H$10="LAB",BP184,TRUE(),"")),"")</x:f>
      </x:c>
      <x:c r="I184" s="106" t="str">
        <x:f t="shared" si="48"/>
      </x:c>
      <x:c r="J184" s="108" t="str">
        <x:f t="shared" si="49"/>
      </x:c>
      <x:c r="K184" s="109" t="str">
        <x:f t="shared" si="50"/>
      </x:c>
      <x:c r="L184" s="110" t="str">
        <x:f t="array" ref="L184">IF(C184&lt;&gt;"",_xlfn.IFS(L$10="TLA",RECORD!GY186,N$10="LECTURE","",TRUE(),""),"")</x:f>
      </x:c>
      <x:c r="M184" s="105" t="str">
        <x:f t="shared" si="51"/>
      </x:c>
      <x:c r="N184" s="104" t="str">
        <x:f t="array" ref="N184">IF(C184&lt;&gt;"",_xlfn.IFS(N$10="AT",RECORD!GS186,N$10="LECTURE",AX184,TRUE(),""),"")</x:f>
      </x:c>
      <x:c r="O184" s="106" t="str">
        <x:f t="shared" si="52"/>
      </x:c>
      <x:c r="P184" s="107" t="str">
        <x:f t="array" ref="P184">IF(C184&lt;&gt;"",_xlfn.IFS(P$10="EXAM",RECORD!GT186,P$10="OUTPUT",RECORD!GU186,P$10="LAB",BX184,TRUE(),""),"")</x:f>
      </x:c>
      <x:c r="Q184" s="106" t="str">
        <x:f t="shared" si="53"/>
      </x:c>
      <x:c r="R184" s="108" t="str">
        <x:f t="shared" si="54"/>
      </x:c>
      <x:c r="S184" s="109" t="str">
        <x:f t="shared" si="55"/>
      </x:c>
      <x:c r="T184" s="110" t="str">
        <x:f t="array" ref="T184">IF(C184&lt;&gt;"",_xlfn.IFS(T$10="TLA",RECORD!HI186,V$10="LECTURE","",TRUE(),""),"")</x:f>
      </x:c>
      <x:c r="U184" s="105" t="str">
        <x:f t="shared" si="56"/>
      </x:c>
      <x:c r="V184" s="104" t="str">
        <x:f t="array" ref="V184">IF(C184&lt;&gt;"",_xlfn.IFS(V$10="AT",RECORD!HC186,V$10="LECTURE",BF184,TRUE(),""),"")</x:f>
      </x:c>
      <x:c r="W184" s="106" t="str">
        <x:f t="shared" si="57"/>
      </x:c>
      <x:c r="X184" s="107" t="str">
        <x:f t="array" ref="X184">IF(C184&lt;&gt;"",_xlfn.IFS(X$10="EXAM",RECORD!HD186,X$10="OUTPUT",RECORD!HE186,X$10="LAB",CF184,TRUE(),""),"")</x:f>
      </x:c>
      <x:c r="Y184" s="106" t="str">
        <x:f t="shared" si="58"/>
      </x:c>
      <x:c r="Z184" s="108" t="str">
        <x:f t="shared" si="59"/>
      </x:c>
      <x:c r="AA184" s="109" t="str">
        <x:f t="shared" si="60"/>
      </x:c>
      <x:c r="AB184" s="111" t="str">
        <x:f t="shared" si="61"/>
      </x:c>
      <x:c r="AC184" s="109" t="str">
        <x:f t="shared" si="62"/>
      </x:c>
      <x:c r="AD184" s="112"/>
      <x:c r="AE184" s="102"/>
      <x:c r="AF184" s="113"/>
      <x:c r="AG184" s="112"/>
      <x:c r="AH184" s="103"/>
      <x:c r="AI184" s="114"/>
      <x:c r="AJ184" s="102"/>
      <x:c r="AK184" s="102"/>
      <x:c r="AL184" s="102"/>
      <x:c r="AM184" s="102"/>
      <x:c r="AN184" s="102"/>
      <x:c r="AO184" s="102"/>
      <x:c r="AP184" s="102"/>
      <x:c r="AQ184" s="109" t="str">
        <x:f t="shared" si="63"/>
        <x:v>FAILED</x:v>
      </x:c>
      <x:c r="AR184" s="115"/>
      <x:c r="AS184" s="115"/>
      <x:c r="AT184" s="107"/>
      <x:c r="AU184" s="107"/>
      <x:c r="AV184" s="107"/>
      <x:c r="AW184" s="107"/>
      <x:c r="AX184" s="107"/>
      <x:c r="AY184" s="109" t="str">
        <x:f t="shared" si="64"/>
        <x:v>FAILED</x:v>
      </x:c>
      <x:c r="AZ184" s="115"/>
      <x:c r="BA184" s="115"/>
      <x:c r="BB184" s="107"/>
      <x:c r="BC184" s="107"/>
      <x:c r="BD184" s="107"/>
      <x:c r="BE184" s="107"/>
      <x:c r="BF184" s="107"/>
      <x:c r="BG184" s="109" t="str">
        <x:f t="shared" si="65"/>
        <x:v>FAILED</x:v>
      </x:c>
      <x:c r="BH184" s="117"/>
      <x:c r="BI184" s="102"/>
      <x:c r="BJ184" s="102"/>
      <x:c r="BK184" s="102"/>
      <x:c r="BL184" s="102"/>
      <x:c r="BM184" s="102"/>
      <x:c r="BN184" s="102"/>
      <x:c r="BO184" s="102"/>
      <x:c r="BP184" s="102"/>
      <x:c r="BQ184" s="109" t="str">
        <x:f t="shared" si="66"/>
        <x:v>FAILED</x:v>
      </x:c>
      <x:c r="BR184" s="115"/>
      <x:c r="BS184" s="115"/>
      <x:c r="BT184" s="107"/>
      <x:c r="BU184" s="107"/>
      <x:c r="BV184" s="107"/>
      <x:c r="BW184" s="107"/>
      <x:c r="BX184" s="107"/>
      <x:c r="BY184" s="109" t="str">
        <x:f t="shared" si="67"/>
        <x:v>FAILED</x:v>
      </x:c>
      <x:c r="BZ184" s="115"/>
      <x:c r="CA184" s="115"/>
      <x:c r="CB184" s="107"/>
      <x:c r="CC184" s="107"/>
      <x:c r="CD184" s="107"/>
      <x:c r="CE184" s="107"/>
      <x:c r="CF184" s="107"/>
      <x:c r="CG184" s="109" t="str">
        <x:f t="shared" si="68"/>
        <x:v>FAILED</x:v>
      </x:c>
      <x:c r="CH184" s="117"/>
    </x:row>
    <x:row r="185">
      <x:c r="A185" s="102" t="str">
        <x:f>IF(RECORD!A187="","",RECORD!A187)</x:f>
      </x:c>
      <x:c r="B185" s="102" t="str">
        <x:f>IF(RECORD!B187="","",RECORD!B187)</x:f>
      </x:c>
      <x:c r="C185" s="103" t="str">
        <x:f>IF(RECORD!C187="","",RECORD!C187)</x:f>
      </x:c>
      <x:c r="D185" s="104" t="str">
        <x:f t="array" ref="D185">IF(C185&lt;&gt;"",IF(F$7="SUMMER","N/A",_xlfn.IFS(D$10="TLA",RECORD!GO187,F$10="LECTURE","",TRUE(),"")),"")</x:f>
      </x:c>
      <x:c r="E185" s="105" t="str">
        <x:f t="shared" si="46"/>
      </x:c>
      <x:c r="F185" s="104" t="str">
        <x:f t="array" ref="F185">IF(C185&lt;&gt;"",IF(F$7="SUMMER","N/A",_xlfn.IFS(F$10="AT",RECORD!GI187,F$10="LECTURE",GRADES!AP185,TRUE(),"")),"")</x:f>
      </x:c>
      <x:c r="G185" s="106" t="str">
        <x:f t="shared" si="47"/>
      </x:c>
      <x:c r="H185" s="107" t="str">
        <x:f t="array" ref="H185">IF(C185&lt;&gt;"",IF(F$7="SUMMER","N/A",_xlfn.IFS(H$10="EXAM",RECORD!GJ187,H$10="OUTPUT",RECORD!GK187,H$10="LAB",BP185,TRUE(),"")),"")</x:f>
      </x:c>
      <x:c r="I185" s="106" t="str">
        <x:f t="shared" si="48"/>
      </x:c>
      <x:c r="J185" s="108" t="str">
        <x:f t="shared" si="49"/>
      </x:c>
      <x:c r="K185" s="109" t="str">
        <x:f t="shared" si="50"/>
      </x:c>
      <x:c r="L185" s="110" t="str">
        <x:f t="array" ref="L185">IF(C185&lt;&gt;"",_xlfn.IFS(L$10="TLA",RECORD!GY187,N$10="LECTURE","",TRUE(),""),"")</x:f>
      </x:c>
      <x:c r="M185" s="105" t="str">
        <x:f t="shared" si="51"/>
      </x:c>
      <x:c r="N185" s="104" t="str">
        <x:f t="array" ref="N185">IF(C185&lt;&gt;"",_xlfn.IFS(N$10="AT",RECORD!GS187,N$10="LECTURE",AX185,TRUE(),""),"")</x:f>
      </x:c>
      <x:c r="O185" s="106" t="str">
        <x:f t="shared" si="52"/>
      </x:c>
      <x:c r="P185" s="107" t="str">
        <x:f t="array" ref="P185">IF(C185&lt;&gt;"",_xlfn.IFS(P$10="EXAM",RECORD!GT187,P$10="OUTPUT",RECORD!GU187,P$10="LAB",BX185,TRUE(),""),"")</x:f>
      </x:c>
      <x:c r="Q185" s="106" t="str">
        <x:f t="shared" si="53"/>
      </x:c>
      <x:c r="R185" s="108" t="str">
        <x:f t="shared" si="54"/>
      </x:c>
      <x:c r="S185" s="109" t="str">
        <x:f t="shared" si="55"/>
      </x:c>
      <x:c r="T185" s="110" t="str">
        <x:f t="array" ref="T185">IF(C185&lt;&gt;"",_xlfn.IFS(T$10="TLA",RECORD!HI187,V$10="LECTURE","",TRUE(),""),"")</x:f>
      </x:c>
      <x:c r="U185" s="105" t="str">
        <x:f t="shared" si="56"/>
      </x:c>
      <x:c r="V185" s="104" t="str">
        <x:f t="array" ref="V185">IF(C185&lt;&gt;"",_xlfn.IFS(V$10="AT",RECORD!HC187,V$10="LECTURE",BF185,TRUE(),""),"")</x:f>
      </x:c>
      <x:c r="W185" s="106" t="str">
        <x:f t="shared" si="57"/>
      </x:c>
      <x:c r="X185" s="107" t="str">
        <x:f t="array" ref="X185">IF(C185&lt;&gt;"",_xlfn.IFS(X$10="EXAM",RECORD!HD187,X$10="OUTPUT",RECORD!HE187,X$10="LAB",CF185,TRUE(),""),"")</x:f>
      </x:c>
      <x:c r="Y185" s="106" t="str">
        <x:f t="shared" si="58"/>
      </x:c>
      <x:c r="Z185" s="108" t="str">
        <x:f t="shared" si="59"/>
      </x:c>
      <x:c r="AA185" s="109" t="str">
        <x:f t="shared" si="60"/>
      </x:c>
      <x:c r="AB185" s="111" t="str">
        <x:f t="shared" si="61"/>
      </x:c>
      <x:c r="AC185" s="109" t="str">
        <x:f t="shared" si="62"/>
      </x:c>
      <x:c r="AD185" s="112"/>
      <x:c r="AE185" s="102"/>
      <x:c r="AF185" s="113"/>
      <x:c r="AG185" s="112"/>
      <x:c r="AH185" s="103"/>
      <x:c r="AI185" s="114"/>
      <x:c r="AJ185" s="102"/>
      <x:c r="AK185" s="102"/>
      <x:c r="AL185" s="102"/>
      <x:c r="AM185" s="102"/>
      <x:c r="AN185" s="102"/>
      <x:c r="AO185" s="102"/>
      <x:c r="AP185" s="102"/>
      <x:c r="AQ185" s="109" t="str">
        <x:f t="shared" si="63"/>
        <x:v>FAILED</x:v>
      </x:c>
      <x:c r="AR185" s="115"/>
      <x:c r="AS185" s="115"/>
      <x:c r="AT185" s="107"/>
      <x:c r="AU185" s="107"/>
      <x:c r="AV185" s="107"/>
      <x:c r="AW185" s="107"/>
      <x:c r="AX185" s="107"/>
      <x:c r="AY185" s="109" t="str">
        <x:f t="shared" si="64"/>
        <x:v>FAILED</x:v>
      </x:c>
      <x:c r="AZ185" s="115"/>
      <x:c r="BA185" s="115"/>
      <x:c r="BB185" s="107"/>
      <x:c r="BC185" s="107"/>
      <x:c r="BD185" s="107"/>
      <x:c r="BE185" s="107"/>
      <x:c r="BF185" s="107"/>
      <x:c r="BG185" s="109" t="str">
        <x:f t="shared" si="65"/>
        <x:v>FAILED</x:v>
      </x:c>
      <x:c r="BH185" s="117"/>
      <x:c r="BI185" s="102"/>
      <x:c r="BJ185" s="102"/>
      <x:c r="BK185" s="102"/>
      <x:c r="BL185" s="102"/>
      <x:c r="BM185" s="102"/>
      <x:c r="BN185" s="102"/>
      <x:c r="BO185" s="102"/>
      <x:c r="BP185" s="102"/>
      <x:c r="BQ185" s="109" t="str">
        <x:f t="shared" si="66"/>
        <x:v>FAILED</x:v>
      </x:c>
      <x:c r="BR185" s="115"/>
      <x:c r="BS185" s="115"/>
      <x:c r="BT185" s="107"/>
      <x:c r="BU185" s="107"/>
      <x:c r="BV185" s="107"/>
      <x:c r="BW185" s="107"/>
      <x:c r="BX185" s="107"/>
      <x:c r="BY185" s="109" t="str">
        <x:f t="shared" si="67"/>
        <x:v>FAILED</x:v>
      </x:c>
      <x:c r="BZ185" s="115"/>
      <x:c r="CA185" s="115"/>
      <x:c r="CB185" s="107"/>
      <x:c r="CC185" s="107"/>
      <x:c r="CD185" s="107"/>
      <x:c r="CE185" s="107"/>
      <x:c r="CF185" s="107"/>
      <x:c r="CG185" s="109" t="str">
        <x:f t="shared" si="68"/>
        <x:v>FAILED</x:v>
      </x:c>
      <x:c r="CH185" s="117"/>
    </x:row>
    <x:row r="186">
      <x:c r="A186" s="102" t="str">
        <x:f>IF(RECORD!A188="","",RECORD!A188)</x:f>
      </x:c>
      <x:c r="B186" s="102" t="str">
        <x:f>IF(RECORD!B188="","",RECORD!B188)</x:f>
      </x:c>
      <x:c r="C186" s="103" t="str">
        <x:f>IF(RECORD!C188="","",RECORD!C188)</x:f>
      </x:c>
      <x:c r="D186" s="104" t="str">
        <x:f t="array" ref="D186">IF(C186&lt;&gt;"",IF(F$7="SUMMER","N/A",_xlfn.IFS(D$10="TLA",RECORD!GO188,F$10="LECTURE","",TRUE(),"")),"")</x:f>
      </x:c>
      <x:c r="E186" s="105" t="str">
        <x:f t="shared" si="46"/>
      </x:c>
      <x:c r="F186" s="104" t="str">
        <x:f t="array" ref="F186">IF(C186&lt;&gt;"",IF(F$7="SUMMER","N/A",_xlfn.IFS(F$10="AT",RECORD!GI188,F$10="LECTURE",GRADES!AP186,TRUE(),"")),"")</x:f>
      </x:c>
      <x:c r="G186" s="106" t="str">
        <x:f t="shared" si="47"/>
      </x:c>
      <x:c r="H186" s="107" t="str">
        <x:f t="array" ref="H186">IF(C186&lt;&gt;"",IF(F$7="SUMMER","N/A",_xlfn.IFS(H$10="EXAM",RECORD!GJ188,H$10="OUTPUT",RECORD!GK188,H$10="LAB",BP186,TRUE(),"")),"")</x:f>
      </x:c>
      <x:c r="I186" s="106" t="str">
        <x:f t="shared" si="48"/>
      </x:c>
      <x:c r="J186" s="108" t="str">
        <x:f t="shared" si="49"/>
      </x:c>
      <x:c r="K186" s="109" t="str">
        <x:f t="shared" si="50"/>
      </x:c>
      <x:c r="L186" s="110" t="str">
        <x:f t="array" ref="L186">IF(C186&lt;&gt;"",_xlfn.IFS(L$10="TLA",RECORD!GY188,N$10="LECTURE","",TRUE(),""),"")</x:f>
      </x:c>
      <x:c r="M186" s="105" t="str">
        <x:f t="shared" si="51"/>
      </x:c>
      <x:c r="N186" s="104" t="str">
        <x:f t="array" ref="N186">IF(C186&lt;&gt;"",_xlfn.IFS(N$10="AT",RECORD!GS188,N$10="LECTURE",AX186,TRUE(),""),"")</x:f>
      </x:c>
      <x:c r="O186" s="106" t="str">
        <x:f t="shared" si="52"/>
      </x:c>
      <x:c r="P186" s="107" t="str">
        <x:f t="array" ref="P186">IF(C186&lt;&gt;"",_xlfn.IFS(P$10="EXAM",RECORD!GT188,P$10="OUTPUT",RECORD!GU188,P$10="LAB",BX186,TRUE(),""),"")</x:f>
      </x:c>
      <x:c r="Q186" s="106" t="str">
        <x:f t="shared" si="53"/>
      </x:c>
      <x:c r="R186" s="108" t="str">
        <x:f t="shared" si="54"/>
      </x:c>
      <x:c r="S186" s="109" t="str">
        <x:f t="shared" si="55"/>
      </x:c>
      <x:c r="T186" s="110" t="str">
        <x:f t="array" ref="T186">IF(C186&lt;&gt;"",_xlfn.IFS(T$10="TLA",RECORD!HI188,V$10="LECTURE","",TRUE(),""),"")</x:f>
      </x:c>
      <x:c r="U186" s="105" t="str">
        <x:f t="shared" si="56"/>
      </x:c>
      <x:c r="V186" s="104" t="str">
        <x:f t="array" ref="V186">IF(C186&lt;&gt;"",_xlfn.IFS(V$10="AT",RECORD!HC188,V$10="LECTURE",BF186,TRUE(),""),"")</x:f>
      </x:c>
      <x:c r="W186" s="106" t="str">
        <x:f t="shared" si="57"/>
      </x:c>
      <x:c r="X186" s="107" t="str">
        <x:f t="array" ref="X186">IF(C186&lt;&gt;"",_xlfn.IFS(X$10="EXAM",RECORD!HD188,X$10="OUTPUT",RECORD!HE188,X$10="LAB",CF186,TRUE(),""),"")</x:f>
      </x:c>
      <x:c r="Y186" s="106" t="str">
        <x:f t="shared" si="58"/>
      </x:c>
      <x:c r="Z186" s="108" t="str">
        <x:f t="shared" si="59"/>
      </x:c>
      <x:c r="AA186" s="109" t="str">
        <x:f t="shared" si="60"/>
      </x:c>
      <x:c r="AB186" s="111" t="str">
        <x:f t="shared" si="61"/>
      </x:c>
      <x:c r="AC186" s="109" t="str">
        <x:f t="shared" si="62"/>
      </x:c>
      <x:c r="AD186" s="112"/>
      <x:c r="AE186" s="102"/>
      <x:c r="AF186" s="113"/>
      <x:c r="AG186" s="112"/>
      <x:c r="AH186" s="103"/>
      <x:c r="AI186" s="114"/>
      <x:c r="AJ186" s="102"/>
      <x:c r="AK186" s="102"/>
      <x:c r="AL186" s="102"/>
      <x:c r="AM186" s="102"/>
      <x:c r="AN186" s="102"/>
      <x:c r="AO186" s="102"/>
      <x:c r="AP186" s="102"/>
      <x:c r="AQ186" s="109" t="str">
        <x:f t="shared" si="63"/>
        <x:v>FAILED</x:v>
      </x:c>
      <x:c r="AR186" s="115"/>
      <x:c r="AS186" s="115"/>
      <x:c r="AT186" s="107"/>
      <x:c r="AU186" s="107"/>
      <x:c r="AV186" s="107"/>
      <x:c r="AW186" s="107"/>
      <x:c r="AX186" s="107"/>
      <x:c r="AY186" s="109" t="str">
        <x:f t="shared" si="64"/>
        <x:v>FAILED</x:v>
      </x:c>
      <x:c r="AZ186" s="115"/>
      <x:c r="BA186" s="115"/>
      <x:c r="BB186" s="107"/>
      <x:c r="BC186" s="107"/>
      <x:c r="BD186" s="107"/>
      <x:c r="BE186" s="107"/>
      <x:c r="BF186" s="107"/>
      <x:c r="BG186" s="109" t="str">
        <x:f t="shared" si="65"/>
        <x:v>FAILED</x:v>
      </x:c>
      <x:c r="BH186" s="117"/>
      <x:c r="BI186" s="102"/>
      <x:c r="BJ186" s="102"/>
      <x:c r="BK186" s="102"/>
      <x:c r="BL186" s="102"/>
      <x:c r="BM186" s="102"/>
      <x:c r="BN186" s="102"/>
      <x:c r="BO186" s="102"/>
      <x:c r="BP186" s="102"/>
      <x:c r="BQ186" s="109" t="str">
        <x:f t="shared" si="66"/>
        <x:v>FAILED</x:v>
      </x:c>
      <x:c r="BR186" s="115"/>
      <x:c r="BS186" s="115"/>
      <x:c r="BT186" s="107"/>
      <x:c r="BU186" s="107"/>
      <x:c r="BV186" s="107"/>
      <x:c r="BW186" s="107"/>
      <x:c r="BX186" s="107"/>
      <x:c r="BY186" s="109" t="str">
        <x:f t="shared" si="67"/>
        <x:v>FAILED</x:v>
      </x:c>
      <x:c r="BZ186" s="115"/>
      <x:c r="CA186" s="115"/>
      <x:c r="CB186" s="107"/>
      <x:c r="CC186" s="107"/>
      <x:c r="CD186" s="107"/>
      <x:c r="CE186" s="107"/>
      <x:c r="CF186" s="107"/>
      <x:c r="CG186" s="109" t="str">
        <x:f t="shared" si="68"/>
        <x:v>FAILED</x:v>
      </x:c>
      <x:c r="CH186" s="117"/>
    </x:row>
    <x:row r="187">
      <x:c r="A187" s="102" t="str">
        <x:f>IF(RECORD!A189="","",RECORD!A189)</x:f>
      </x:c>
      <x:c r="B187" s="102" t="str">
        <x:f>IF(RECORD!B189="","",RECORD!B189)</x:f>
      </x:c>
      <x:c r="C187" s="103" t="str">
        <x:f>IF(RECORD!C189="","",RECORD!C189)</x:f>
      </x:c>
      <x:c r="D187" s="104" t="str">
        <x:f t="array" ref="D187">IF(C187&lt;&gt;"",IF(F$7="SUMMER","N/A",_xlfn.IFS(D$10="TLA",RECORD!GO189,F$10="LECTURE","",TRUE(),"")),"")</x:f>
      </x:c>
      <x:c r="E187" s="105" t="str">
        <x:f t="shared" si="46"/>
      </x:c>
      <x:c r="F187" s="104" t="str">
        <x:f t="array" ref="F187">IF(C187&lt;&gt;"",IF(F$7="SUMMER","N/A",_xlfn.IFS(F$10="AT",RECORD!GI189,F$10="LECTURE",GRADES!AP187,TRUE(),"")),"")</x:f>
      </x:c>
      <x:c r="G187" s="106" t="str">
        <x:f t="shared" si="47"/>
      </x:c>
      <x:c r="H187" s="107" t="str">
        <x:f t="array" ref="H187">IF(C187&lt;&gt;"",IF(F$7="SUMMER","N/A",_xlfn.IFS(H$10="EXAM",RECORD!GJ189,H$10="OUTPUT",RECORD!GK189,H$10="LAB",BP187,TRUE(),"")),"")</x:f>
      </x:c>
      <x:c r="I187" s="106" t="str">
        <x:f t="shared" si="48"/>
      </x:c>
      <x:c r="J187" s="108" t="str">
        <x:f t="shared" si="49"/>
      </x:c>
      <x:c r="K187" s="109" t="str">
        <x:f t="shared" si="50"/>
      </x:c>
      <x:c r="L187" s="110" t="str">
        <x:f t="array" ref="L187">IF(C187&lt;&gt;"",_xlfn.IFS(L$10="TLA",RECORD!GY189,N$10="LECTURE","",TRUE(),""),"")</x:f>
      </x:c>
      <x:c r="M187" s="105" t="str">
        <x:f t="shared" si="51"/>
      </x:c>
      <x:c r="N187" s="104" t="str">
        <x:f t="array" ref="N187">IF(C187&lt;&gt;"",_xlfn.IFS(N$10="AT",RECORD!GS189,N$10="LECTURE",AX187,TRUE(),""),"")</x:f>
      </x:c>
      <x:c r="O187" s="106" t="str">
        <x:f t="shared" si="52"/>
      </x:c>
      <x:c r="P187" s="107" t="str">
        <x:f t="array" ref="P187">IF(C187&lt;&gt;"",_xlfn.IFS(P$10="EXAM",RECORD!GT189,P$10="OUTPUT",RECORD!GU189,P$10="LAB",BX187,TRUE(),""),"")</x:f>
      </x:c>
      <x:c r="Q187" s="106" t="str">
        <x:f t="shared" si="53"/>
      </x:c>
      <x:c r="R187" s="108" t="str">
        <x:f t="shared" si="54"/>
      </x:c>
      <x:c r="S187" s="109" t="str">
        <x:f t="shared" si="55"/>
      </x:c>
      <x:c r="T187" s="110" t="str">
        <x:f t="array" ref="T187">IF(C187&lt;&gt;"",_xlfn.IFS(T$10="TLA",RECORD!HI189,V$10="LECTURE","",TRUE(),""),"")</x:f>
      </x:c>
      <x:c r="U187" s="105" t="str">
        <x:f t="shared" si="56"/>
      </x:c>
      <x:c r="V187" s="104" t="str">
        <x:f t="array" ref="V187">IF(C187&lt;&gt;"",_xlfn.IFS(V$10="AT",RECORD!HC189,V$10="LECTURE",BF187,TRUE(),""),"")</x:f>
      </x:c>
      <x:c r="W187" s="106" t="str">
        <x:f t="shared" si="57"/>
      </x:c>
      <x:c r="X187" s="107" t="str">
        <x:f t="array" ref="X187">IF(C187&lt;&gt;"",_xlfn.IFS(X$10="EXAM",RECORD!HD189,X$10="OUTPUT",RECORD!HE189,X$10="LAB",CF187,TRUE(),""),"")</x:f>
      </x:c>
      <x:c r="Y187" s="106" t="str">
        <x:f t="shared" si="58"/>
      </x:c>
      <x:c r="Z187" s="108" t="str">
        <x:f t="shared" si="59"/>
      </x:c>
      <x:c r="AA187" s="109" t="str">
        <x:f t="shared" si="60"/>
      </x:c>
      <x:c r="AB187" s="111" t="str">
        <x:f t="shared" si="61"/>
      </x:c>
      <x:c r="AC187" s="109" t="str">
        <x:f t="shared" si="62"/>
      </x:c>
      <x:c r="AD187" s="112"/>
      <x:c r="AE187" s="102"/>
      <x:c r="AF187" s="113"/>
      <x:c r="AG187" s="112"/>
      <x:c r="AH187" s="103"/>
      <x:c r="AI187" s="114"/>
      <x:c r="AJ187" s="102"/>
      <x:c r="AK187" s="102"/>
      <x:c r="AL187" s="102"/>
      <x:c r="AM187" s="102"/>
      <x:c r="AN187" s="102"/>
      <x:c r="AO187" s="102"/>
      <x:c r="AP187" s="102"/>
      <x:c r="AQ187" s="109" t="str">
        <x:f t="shared" si="63"/>
        <x:v>FAILED</x:v>
      </x:c>
      <x:c r="AR187" s="115"/>
      <x:c r="AS187" s="115"/>
      <x:c r="AT187" s="107"/>
      <x:c r="AU187" s="107"/>
      <x:c r="AV187" s="107"/>
      <x:c r="AW187" s="107"/>
      <x:c r="AX187" s="107"/>
      <x:c r="AY187" s="109" t="str">
        <x:f t="shared" si="64"/>
        <x:v>FAILED</x:v>
      </x:c>
      <x:c r="AZ187" s="115"/>
      <x:c r="BA187" s="115"/>
      <x:c r="BB187" s="107"/>
      <x:c r="BC187" s="107"/>
      <x:c r="BD187" s="107"/>
      <x:c r="BE187" s="107"/>
      <x:c r="BF187" s="107"/>
      <x:c r="BG187" s="109" t="str">
        <x:f t="shared" si="65"/>
        <x:v>FAILED</x:v>
      </x:c>
      <x:c r="BH187" s="117"/>
      <x:c r="BI187" s="102"/>
      <x:c r="BJ187" s="102"/>
      <x:c r="BK187" s="102"/>
      <x:c r="BL187" s="102"/>
      <x:c r="BM187" s="102"/>
      <x:c r="BN187" s="102"/>
      <x:c r="BO187" s="102"/>
      <x:c r="BP187" s="102"/>
      <x:c r="BQ187" s="109" t="str">
        <x:f t="shared" si="66"/>
        <x:v>FAILED</x:v>
      </x:c>
      <x:c r="BR187" s="115"/>
      <x:c r="BS187" s="115"/>
      <x:c r="BT187" s="107"/>
      <x:c r="BU187" s="107"/>
      <x:c r="BV187" s="107"/>
      <x:c r="BW187" s="107"/>
      <x:c r="BX187" s="107"/>
      <x:c r="BY187" s="109" t="str">
        <x:f t="shared" si="67"/>
        <x:v>FAILED</x:v>
      </x:c>
      <x:c r="BZ187" s="115"/>
      <x:c r="CA187" s="115"/>
      <x:c r="CB187" s="107"/>
      <x:c r="CC187" s="107"/>
      <x:c r="CD187" s="107"/>
      <x:c r="CE187" s="107"/>
      <x:c r="CF187" s="107"/>
      <x:c r="CG187" s="109" t="str">
        <x:f t="shared" si="68"/>
        <x:v>FAILED</x:v>
      </x:c>
      <x:c r="CH187" s="117"/>
    </x:row>
    <x:row r="188">
      <x:c r="A188" s="102" t="str">
        <x:f>IF(RECORD!A190="","",RECORD!A190)</x:f>
      </x:c>
      <x:c r="B188" s="102" t="str">
        <x:f>IF(RECORD!B190="","",RECORD!B190)</x:f>
      </x:c>
      <x:c r="C188" s="103" t="str">
        <x:f>IF(RECORD!C190="","",RECORD!C190)</x:f>
      </x:c>
      <x:c r="D188" s="104" t="str">
        <x:f t="array" ref="D188">IF(C188&lt;&gt;"",IF(F$7="SUMMER","N/A",_xlfn.IFS(D$10="TLA",RECORD!GO190,F$10="LECTURE","",TRUE(),"")),"")</x:f>
      </x:c>
      <x:c r="E188" s="105" t="str">
        <x:f t="shared" si="46"/>
      </x:c>
      <x:c r="F188" s="104" t="str">
        <x:f t="array" ref="F188">IF(C188&lt;&gt;"",IF(F$7="SUMMER","N/A",_xlfn.IFS(F$10="AT",RECORD!GI190,F$10="LECTURE",GRADES!AP188,TRUE(),"")),"")</x:f>
      </x:c>
      <x:c r="G188" s="106" t="str">
        <x:f t="shared" si="47"/>
      </x:c>
      <x:c r="H188" s="107" t="str">
        <x:f t="array" ref="H188">IF(C188&lt;&gt;"",IF(F$7="SUMMER","N/A",_xlfn.IFS(H$10="EXAM",RECORD!GJ190,H$10="OUTPUT",RECORD!GK190,H$10="LAB",BP188,TRUE(),"")),"")</x:f>
      </x:c>
      <x:c r="I188" s="106" t="str">
        <x:f t="shared" si="48"/>
      </x:c>
      <x:c r="J188" s="108" t="str">
        <x:f t="shared" si="49"/>
      </x:c>
      <x:c r="K188" s="109" t="str">
        <x:f t="shared" si="50"/>
      </x:c>
      <x:c r="L188" s="110" t="str">
        <x:f t="array" ref="L188">IF(C188&lt;&gt;"",_xlfn.IFS(L$10="TLA",RECORD!GY190,N$10="LECTURE","",TRUE(),""),"")</x:f>
      </x:c>
      <x:c r="M188" s="105" t="str">
        <x:f t="shared" si="51"/>
      </x:c>
      <x:c r="N188" s="104" t="str">
        <x:f t="array" ref="N188">IF(C188&lt;&gt;"",_xlfn.IFS(N$10="AT",RECORD!GS190,N$10="LECTURE",AX188,TRUE(),""),"")</x:f>
      </x:c>
      <x:c r="O188" s="106" t="str">
        <x:f t="shared" si="52"/>
      </x:c>
      <x:c r="P188" s="107" t="str">
        <x:f t="array" ref="P188">IF(C188&lt;&gt;"",_xlfn.IFS(P$10="EXAM",RECORD!GT190,P$10="OUTPUT",RECORD!GU190,P$10="LAB",BX188,TRUE(),""),"")</x:f>
      </x:c>
      <x:c r="Q188" s="106" t="str">
        <x:f t="shared" si="53"/>
      </x:c>
      <x:c r="R188" s="108" t="str">
        <x:f t="shared" si="54"/>
      </x:c>
      <x:c r="S188" s="109" t="str">
        <x:f t="shared" si="55"/>
      </x:c>
      <x:c r="T188" s="110" t="str">
        <x:f t="array" ref="T188">IF(C188&lt;&gt;"",_xlfn.IFS(T$10="TLA",RECORD!HI190,V$10="LECTURE","",TRUE(),""),"")</x:f>
      </x:c>
      <x:c r="U188" s="105" t="str">
        <x:f t="shared" si="56"/>
      </x:c>
      <x:c r="V188" s="104" t="str">
        <x:f t="array" ref="V188">IF(C188&lt;&gt;"",_xlfn.IFS(V$10="AT",RECORD!HC190,V$10="LECTURE",BF188,TRUE(),""),"")</x:f>
      </x:c>
      <x:c r="W188" s="106" t="str">
        <x:f t="shared" si="57"/>
      </x:c>
      <x:c r="X188" s="107" t="str">
        <x:f t="array" ref="X188">IF(C188&lt;&gt;"",_xlfn.IFS(X$10="EXAM",RECORD!HD190,X$10="OUTPUT",RECORD!HE190,X$10="LAB",CF188,TRUE(),""),"")</x:f>
      </x:c>
      <x:c r="Y188" s="106" t="str">
        <x:f t="shared" si="58"/>
      </x:c>
      <x:c r="Z188" s="108" t="str">
        <x:f t="shared" si="59"/>
      </x:c>
      <x:c r="AA188" s="109" t="str">
        <x:f t="shared" si="60"/>
      </x:c>
      <x:c r="AB188" s="111" t="str">
        <x:f t="shared" si="61"/>
      </x:c>
      <x:c r="AC188" s="109" t="str">
        <x:f t="shared" si="62"/>
      </x:c>
      <x:c r="AD188" s="112"/>
      <x:c r="AE188" s="102"/>
      <x:c r="AF188" s="113"/>
      <x:c r="AG188" s="112"/>
      <x:c r="AH188" s="103"/>
      <x:c r="AI188" s="114"/>
      <x:c r="AJ188" s="102"/>
      <x:c r="AK188" s="102"/>
      <x:c r="AL188" s="102"/>
      <x:c r="AM188" s="102"/>
      <x:c r="AN188" s="102"/>
      <x:c r="AO188" s="102"/>
      <x:c r="AP188" s="102"/>
      <x:c r="AQ188" s="109" t="str">
        <x:f t="shared" si="63"/>
        <x:v>FAILED</x:v>
      </x:c>
      <x:c r="AR188" s="115"/>
      <x:c r="AS188" s="115"/>
      <x:c r="AT188" s="107"/>
      <x:c r="AU188" s="107"/>
      <x:c r="AV188" s="107"/>
      <x:c r="AW188" s="107"/>
      <x:c r="AX188" s="107"/>
      <x:c r="AY188" s="109" t="str">
        <x:f t="shared" si="64"/>
        <x:v>FAILED</x:v>
      </x:c>
      <x:c r="AZ188" s="115"/>
      <x:c r="BA188" s="115"/>
      <x:c r="BB188" s="107"/>
      <x:c r="BC188" s="107"/>
      <x:c r="BD188" s="107"/>
      <x:c r="BE188" s="107"/>
      <x:c r="BF188" s="107"/>
      <x:c r="BG188" s="109" t="str">
        <x:f t="shared" si="65"/>
        <x:v>FAILED</x:v>
      </x:c>
      <x:c r="BH188" s="117"/>
      <x:c r="BI188" s="102"/>
      <x:c r="BJ188" s="102"/>
      <x:c r="BK188" s="102"/>
      <x:c r="BL188" s="102"/>
      <x:c r="BM188" s="102"/>
      <x:c r="BN188" s="102"/>
      <x:c r="BO188" s="102"/>
      <x:c r="BP188" s="102"/>
      <x:c r="BQ188" s="109" t="str">
        <x:f t="shared" si="66"/>
        <x:v>FAILED</x:v>
      </x:c>
      <x:c r="BR188" s="115"/>
      <x:c r="BS188" s="115"/>
      <x:c r="BT188" s="107"/>
      <x:c r="BU188" s="107"/>
      <x:c r="BV188" s="107"/>
      <x:c r="BW188" s="107"/>
      <x:c r="BX188" s="107"/>
      <x:c r="BY188" s="109" t="str">
        <x:f t="shared" si="67"/>
        <x:v>FAILED</x:v>
      </x:c>
      <x:c r="BZ188" s="115"/>
      <x:c r="CA188" s="115"/>
      <x:c r="CB188" s="107"/>
      <x:c r="CC188" s="107"/>
      <x:c r="CD188" s="107"/>
      <x:c r="CE188" s="107"/>
      <x:c r="CF188" s="107"/>
      <x:c r="CG188" s="109" t="str">
        <x:f t="shared" si="68"/>
        <x:v>FAILED</x:v>
      </x:c>
      <x:c r="CH188" s="117"/>
    </x:row>
    <x:row r="189">
      <x:c r="A189" s="102" t="str">
        <x:f>IF(RECORD!A191="","",RECORD!A191)</x:f>
      </x:c>
      <x:c r="B189" s="102" t="str">
        <x:f>IF(RECORD!B191="","",RECORD!B191)</x:f>
      </x:c>
      <x:c r="C189" s="103" t="str">
        <x:f>IF(RECORD!C191="","",RECORD!C191)</x:f>
      </x:c>
      <x:c r="D189" s="104" t="str">
        <x:f t="array" ref="D189">IF(C189&lt;&gt;"",IF(F$7="SUMMER","N/A",_xlfn.IFS(D$10="TLA",RECORD!GO191,F$10="LECTURE","",TRUE(),"")),"")</x:f>
      </x:c>
      <x:c r="E189" s="105" t="str">
        <x:f t="shared" si="46"/>
      </x:c>
      <x:c r="F189" s="104" t="str">
        <x:f t="array" ref="F189">IF(C189&lt;&gt;"",IF(F$7="SUMMER","N/A",_xlfn.IFS(F$10="AT",RECORD!GI191,F$10="LECTURE",GRADES!AP189,TRUE(),"")),"")</x:f>
      </x:c>
      <x:c r="G189" s="106" t="str">
        <x:f t="shared" si="47"/>
      </x:c>
      <x:c r="H189" s="107" t="str">
        <x:f t="array" ref="H189">IF(C189&lt;&gt;"",IF(F$7="SUMMER","N/A",_xlfn.IFS(H$10="EXAM",RECORD!GJ191,H$10="OUTPUT",RECORD!GK191,H$10="LAB",BP189,TRUE(),"")),"")</x:f>
      </x:c>
      <x:c r="I189" s="106" t="str">
        <x:f t="shared" si="48"/>
      </x:c>
      <x:c r="J189" s="108" t="str">
        <x:f t="shared" si="49"/>
      </x:c>
      <x:c r="K189" s="109" t="str">
        <x:f t="shared" si="50"/>
      </x:c>
      <x:c r="L189" s="110" t="str">
        <x:f t="array" ref="L189">IF(C189&lt;&gt;"",_xlfn.IFS(L$10="TLA",RECORD!GY191,N$10="LECTURE","",TRUE(),""),"")</x:f>
      </x:c>
      <x:c r="M189" s="105" t="str">
        <x:f t="shared" si="51"/>
      </x:c>
      <x:c r="N189" s="104" t="str">
        <x:f t="array" ref="N189">IF(C189&lt;&gt;"",_xlfn.IFS(N$10="AT",RECORD!GS191,N$10="LECTURE",AX189,TRUE(),""),"")</x:f>
      </x:c>
      <x:c r="O189" s="106" t="str">
        <x:f t="shared" si="52"/>
      </x:c>
      <x:c r="P189" s="107" t="str">
        <x:f t="array" ref="P189">IF(C189&lt;&gt;"",_xlfn.IFS(P$10="EXAM",RECORD!GT191,P$10="OUTPUT",RECORD!GU191,P$10="LAB",BX189,TRUE(),""),"")</x:f>
      </x:c>
      <x:c r="Q189" s="106" t="str">
        <x:f t="shared" si="53"/>
      </x:c>
      <x:c r="R189" s="108" t="str">
        <x:f t="shared" si="54"/>
      </x:c>
      <x:c r="S189" s="109" t="str">
        <x:f t="shared" si="55"/>
      </x:c>
      <x:c r="T189" s="110" t="str">
        <x:f t="array" ref="T189">IF(C189&lt;&gt;"",_xlfn.IFS(T$10="TLA",RECORD!HI191,V$10="LECTURE","",TRUE(),""),"")</x:f>
      </x:c>
      <x:c r="U189" s="105" t="str">
        <x:f t="shared" si="56"/>
      </x:c>
      <x:c r="V189" s="104" t="str">
        <x:f t="array" ref="V189">IF(C189&lt;&gt;"",_xlfn.IFS(V$10="AT",RECORD!HC191,V$10="LECTURE",BF189,TRUE(),""),"")</x:f>
      </x:c>
      <x:c r="W189" s="106" t="str">
        <x:f t="shared" si="57"/>
      </x:c>
      <x:c r="X189" s="107" t="str">
        <x:f t="array" ref="X189">IF(C189&lt;&gt;"",_xlfn.IFS(X$10="EXAM",RECORD!HD191,X$10="OUTPUT",RECORD!HE191,X$10="LAB",CF189,TRUE(),""),"")</x:f>
      </x:c>
      <x:c r="Y189" s="106" t="str">
        <x:f t="shared" si="58"/>
      </x:c>
      <x:c r="Z189" s="108" t="str">
        <x:f t="shared" si="59"/>
      </x:c>
      <x:c r="AA189" s="109" t="str">
        <x:f t="shared" si="60"/>
      </x:c>
      <x:c r="AB189" s="111" t="str">
        <x:f t="shared" si="61"/>
      </x:c>
      <x:c r="AC189" s="109" t="str">
        <x:f t="shared" si="62"/>
      </x:c>
      <x:c r="AD189" s="112"/>
      <x:c r="AE189" s="102"/>
      <x:c r="AF189" s="113"/>
      <x:c r="AG189" s="112"/>
      <x:c r="AH189" s="103"/>
      <x:c r="AI189" s="114"/>
      <x:c r="AJ189" s="102"/>
      <x:c r="AK189" s="102"/>
      <x:c r="AL189" s="102"/>
      <x:c r="AM189" s="102"/>
      <x:c r="AN189" s="102"/>
      <x:c r="AO189" s="102"/>
      <x:c r="AP189" s="102"/>
      <x:c r="AQ189" s="109" t="str">
        <x:f t="shared" si="63"/>
        <x:v>FAILED</x:v>
      </x:c>
      <x:c r="AR189" s="115"/>
      <x:c r="AS189" s="115"/>
      <x:c r="AT189" s="107"/>
      <x:c r="AU189" s="107"/>
      <x:c r="AV189" s="107"/>
      <x:c r="AW189" s="107"/>
      <x:c r="AX189" s="107"/>
      <x:c r="AY189" s="109" t="str">
        <x:f t="shared" si="64"/>
        <x:v>FAILED</x:v>
      </x:c>
      <x:c r="AZ189" s="115"/>
      <x:c r="BA189" s="115"/>
      <x:c r="BB189" s="107"/>
      <x:c r="BC189" s="107"/>
      <x:c r="BD189" s="107"/>
      <x:c r="BE189" s="107"/>
      <x:c r="BF189" s="107"/>
      <x:c r="BG189" s="109" t="str">
        <x:f t="shared" si="65"/>
        <x:v>FAILED</x:v>
      </x:c>
      <x:c r="BH189" s="117"/>
      <x:c r="BI189" s="102"/>
      <x:c r="BJ189" s="102"/>
      <x:c r="BK189" s="102"/>
      <x:c r="BL189" s="102"/>
      <x:c r="BM189" s="102"/>
      <x:c r="BN189" s="102"/>
      <x:c r="BO189" s="102"/>
      <x:c r="BP189" s="102"/>
      <x:c r="BQ189" s="109" t="str">
        <x:f t="shared" si="66"/>
        <x:v>FAILED</x:v>
      </x:c>
      <x:c r="BR189" s="115"/>
      <x:c r="BS189" s="115"/>
      <x:c r="BT189" s="107"/>
      <x:c r="BU189" s="107"/>
      <x:c r="BV189" s="107"/>
      <x:c r="BW189" s="107"/>
      <x:c r="BX189" s="107"/>
      <x:c r="BY189" s="109" t="str">
        <x:f t="shared" si="67"/>
        <x:v>FAILED</x:v>
      </x:c>
      <x:c r="BZ189" s="115"/>
      <x:c r="CA189" s="115"/>
      <x:c r="CB189" s="107"/>
      <x:c r="CC189" s="107"/>
      <x:c r="CD189" s="107"/>
      <x:c r="CE189" s="107"/>
      <x:c r="CF189" s="107"/>
      <x:c r="CG189" s="109" t="str">
        <x:f t="shared" si="68"/>
        <x:v>FAILED</x:v>
      </x:c>
      <x:c r="CH189" s="117"/>
    </x:row>
    <x:row r="190">
      <x:c r="A190" s="102" t="str">
        <x:f>IF(RECORD!A192="","",RECORD!A192)</x:f>
      </x:c>
      <x:c r="B190" s="102" t="str">
        <x:f>IF(RECORD!B192="","",RECORD!B192)</x:f>
      </x:c>
      <x:c r="C190" s="103" t="str">
        <x:f>IF(RECORD!C192="","",RECORD!C192)</x:f>
      </x:c>
      <x:c r="D190" s="104" t="str">
        <x:f t="array" ref="D190">IF(C190&lt;&gt;"",IF(F$7="SUMMER","N/A",_xlfn.IFS(D$10="TLA",RECORD!GO192,F$10="LECTURE","",TRUE(),"")),"")</x:f>
      </x:c>
      <x:c r="E190" s="105" t="str">
        <x:f t="shared" si="46"/>
      </x:c>
      <x:c r="F190" s="104" t="str">
        <x:f t="array" ref="F190">IF(C190&lt;&gt;"",IF(F$7="SUMMER","N/A",_xlfn.IFS(F$10="AT",RECORD!GI192,F$10="LECTURE",GRADES!AP190,TRUE(),"")),"")</x:f>
      </x:c>
      <x:c r="G190" s="106" t="str">
        <x:f t="shared" si="47"/>
      </x:c>
      <x:c r="H190" s="107" t="str">
        <x:f t="array" ref="H190">IF(C190&lt;&gt;"",IF(F$7="SUMMER","N/A",_xlfn.IFS(H$10="EXAM",RECORD!GJ192,H$10="OUTPUT",RECORD!GK192,H$10="LAB",BP190,TRUE(),"")),"")</x:f>
      </x:c>
      <x:c r="I190" s="106" t="str">
        <x:f t="shared" si="48"/>
      </x:c>
      <x:c r="J190" s="108" t="str">
        <x:f t="shared" si="49"/>
      </x:c>
      <x:c r="K190" s="109" t="str">
        <x:f t="shared" si="50"/>
      </x:c>
      <x:c r="L190" s="110" t="str">
        <x:f t="array" ref="L190">IF(C190&lt;&gt;"",_xlfn.IFS(L$10="TLA",RECORD!GY192,N$10="LECTURE","",TRUE(),""),"")</x:f>
      </x:c>
      <x:c r="M190" s="105" t="str">
        <x:f t="shared" si="51"/>
      </x:c>
      <x:c r="N190" s="104" t="str">
        <x:f t="array" ref="N190">IF(C190&lt;&gt;"",_xlfn.IFS(N$10="AT",RECORD!GS192,N$10="LECTURE",AX190,TRUE(),""),"")</x:f>
      </x:c>
      <x:c r="O190" s="106" t="str">
        <x:f t="shared" si="52"/>
      </x:c>
      <x:c r="P190" s="107" t="str">
        <x:f t="array" ref="P190">IF(C190&lt;&gt;"",_xlfn.IFS(P$10="EXAM",RECORD!GT192,P$10="OUTPUT",RECORD!GU192,P$10="LAB",BX190,TRUE(),""),"")</x:f>
      </x:c>
      <x:c r="Q190" s="106" t="str">
        <x:f t="shared" si="53"/>
      </x:c>
      <x:c r="R190" s="108" t="str">
        <x:f t="shared" si="54"/>
      </x:c>
      <x:c r="S190" s="109" t="str">
        <x:f t="shared" si="55"/>
      </x:c>
      <x:c r="T190" s="110" t="str">
        <x:f t="array" ref="T190">IF(C190&lt;&gt;"",_xlfn.IFS(T$10="TLA",RECORD!HI192,V$10="LECTURE","",TRUE(),""),"")</x:f>
      </x:c>
      <x:c r="U190" s="105" t="str">
        <x:f t="shared" si="56"/>
      </x:c>
      <x:c r="V190" s="104" t="str">
        <x:f t="array" ref="V190">IF(C190&lt;&gt;"",_xlfn.IFS(V$10="AT",RECORD!HC192,V$10="LECTURE",BF190,TRUE(),""),"")</x:f>
      </x:c>
      <x:c r="W190" s="106" t="str">
        <x:f t="shared" si="57"/>
      </x:c>
      <x:c r="X190" s="107" t="str">
        <x:f t="array" ref="X190">IF(C190&lt;&gt;"",_xlfn.IFS(X$10="EXAM",RECORD!HD192,X$10="OUTPUT",RECORD!HE192,X$10="LAB",CF190,TRUE(),""),"")</x:f>
      </x:c>
      <x:c r="Y190" s="106" t="str">
        <x:f t="shared" si="58"/>
      </x:c>
      <x:c r="Z190" s="108" t="str">
        <x:f t="shared" si="59"/>
      </x:c>
      <x:c r="AA190" s="109" t="str">
        <x:f t="shared" si="60"/>
      </x:c>
      <x:c r="AB190" s="111" t="str">
        <x:f t="shared" si="61"/>
      </x:c>
      <x:c r="AC190" s="109" t="str">
        <x:f t="shared" si="62"/>
      </x:c>
      <x:c r="AD190" s="112"/>
      <x:c r="AE190" s="102"/>
      <x:c r="AF190" s="113"/>
      <x:c r="AG190" s="112"/>
      <x:c r="AH190" s="103"/>
      <x:c r="AI190" s="114"/>
      <x:c r="AJ190" s="102"/>
      <x:c r="AK190" s="102"/>
      <x:c r="AL190" s="102"/>
      <x:c r="AM190" s="102"/>
      <x:c r="AN190" s="102"/>
      <x:c r="AO190" s="102"/>
      <x:c r="AP190" s="102"/>
      <x:c r="AQ190" s="109" t="str">
        <x:f t="shared" si="63"/>
        <x:v>FAILED</x:v>
      </x:c>
      <x:c r="AR190" s="115"/>
      <x:c r="AS190" s="115"/>
      <x:c r="AT190" s="107"/>
      <x:c r="AU190" s="107"/>
      <x:c r="AV190" s="107"/>
      <x:c r="AW190" s="107"/>
      <x:c r="AX190" s="107"/>
      <x:c r="AY190" s="109" t="str">
        <x:f t="shared" si="64"/>
        <x:v>FAILED</x:v>
      </x:c>
      <x:c r="AZ190" s="115"/>
      <x:c r="BA190" s="115"/>
      <x:c r="BB190" s="107"/>
      <x:c r="BC190" s="107"/>
      <x:c r="BD190" s="107"/>
      <x:c r="BE190" s="107"/>
      <x:c r="BF190" s="107"/>
      <x:c r="BG190" s="109" t="str">
        <x:f t="shared" si="65"/>
        <x:v>FAILED</x:v>
      </x:c>
      <x:c r="BH190" s="117"/>
      <x:c r="BI190" s="102"/>
      <x:c r="BJ190" s="102"/>
      <x:c r="BK190" s="102"/>
      <x:c r="BL190" s="102"/>
      <x:c r="BM190" s="102"/>
      <x:c r="BN190" s="102"/>
      <x:c r="BO190" s="102"/>
      <x:c r="BP190" s="102"/>
      <x:c r="BQ190" s="109" t="str">
        <x:f t="shared" si="66"/>
        <x:v>FAILED</x:v>
      </x:c>
      <x:c r="BR190" s="115"/>
      <x:c r="BS190" s="115"/>
      <x:c r="BT190" s="107"/>
      <x:c r="BU190" s="107"/>
      <x:c r="BV190" s="107"/>
      <x:c r="BW190" s="107"/>
      <x:c r="BX190" s="107"/>
      <x:c r="BY190" s="109" t="str">
        <x:f t="shared" si="67"/>
        <x:v>FAILED</x:v>
      </x:c>
      <x:c r="BZ190" s="115"/>
      <x:c r="CA190" s="115"/>
      <x:c r="CB190" s="107"/>
      <x:c r="CC190" s="107"/>
      <x:c r="CD190" s="107"/>
      <x:c r="CE190" s="107"/>
      <x:c r="CF190" s="107"/>
      <x:c r="CG190" s="109" t="str">
        <x:f t="shared" si="68"/>
        <x:v>FAILED</x:v>
      </x:c>
      <x:c r="CH190" s="117"/>
    </x:row>
    <x:row r="191">
      <x:c r="A191" s="102" t="str">
        <x:f>IF(RECORD!A193="","",RECORD!A193)</x:f>
      </x:c>
      <x:c r="B191" s="102" t="str">
        <x:f>IF(RECORD!B193="","",RECORD!B193)</x:f>
      </x:c>
      <x:c r="C191" s="103" t="str">
        <x:f>IF(RECORD!C193="","",RECORD!C193)</x:f>
      </x:c>
      <x:c r="D191" s="104" t="str">
        <x:f t="array" ref="D191">IF(C191&lt;&gt;"",IF(F$7="SUMMER","N/A",_xlfn.IFS(D$10="TLA",RECORD!GO193,F$10="LECTURE","",TRUE(),"")),"")</x:f>
      </x:c>
      <x:c r="E191" s="105" t="str">
        <x:f t="shared" si="46"/>
      </x:c>
      <x:c r="F191" s="104" t="str">
        <x:f t="array" ref="F191">IF(C191&lt;&gt;"",IF(F$7="SUMMER","N/A",_xlfn.IFS(F$10="AT",RECORD!GI193,F$10="LECTURE",GRADES!AP191,TRUE(),"")),"")</x:f>
      </x:c>
      <x:c r="G191" s="106" t="str">
        <x:f t="shared" si="47"/>
      </x:c>
      <x:c r="H191" s="107" t="str">
        <x:f t="array" ref="H191">IF(C191&lt;&gt;"",IF(F$7="SUMMER","N/A",_xlfn.IFS(H$10="EXAM",RECORD!GJ193,H$10="OUTPUT",RECORD!GK193,H$10="LAB",BP191,TRUE(),"")),"")</x:f>
      </x:c>
      <x:c r="I191" s="106" t="str">
        <x:f t="shared" si="48"/>
      </x:c>
      <x:c r="J191" s="108" t="str">
        <x:f t="shared" si="49"/>
      </x:c>
      <x:c r="K191" s="109" t="str">
        <x:f t="shared" si="50"/>
      </x:c>
      <x:c r="L191" s="110" t="str">
        <x:f t="array" ref="L191">IF(C191&lt;&gt;"",_xlfn.IFS(L$10="TLA",RECORD!GY193,N$10="LECTURE","",TRUE(),""),"")</x:f>
      </x:c>
      <x:c r="M191" s="105" t="str">
        <x:f t="shared" si="51"/>
      </x:c>
      <x:c r="N191" s="104" t="str">
        <x:f t="array" ref="N191">IF(C191&lt;&gt;"",_xlfn.IFS(N$10="AT",RECORD!GS193,N$10="LECTURE",AX191,TRUE(),""),"")</x:f>
      </x:c>
      <x:c r="O191" s="106" t="str">
        <x:f t="shared" si="52"/>
      </x:c>
      <x:c r="P191" s="107" t="str">
        <x:f t="array" ref="P191">IF(C191&lt;&gt;"",_xlfn.IFS(P$10="EXAM",RECORD!GT193,P$10="OUTPUT",RECORD!GU193,P$10="LAB",BX191,TRUE(),""),"")</x:f>
      </x:c>
      <x:c r="Q191" s="106" t="str">
        <x:f t="shared" si="53"/>
      </x:c>
      <x:c r="R191" s="108" t="str">
        <x:f t="shared" si="54"/>
      </x:c>
      <x:c r="S191" s="109" t="str">
        <x:f t="shared" si="55"/>
      </x:c>
      <x:c r="T191" s="110" t="str">
        <x:f t="array" ref="T191">IF(C191&lt;&gt;"",_xlfn.IFS(T$10="TLA",RECORD!HI193,V$10="LECTURE","",TRUE(),""),"")</x:f>
      </x:c>
      <x:c r="U191" s="105" t="str">
        <x:f t="shared" si="56"/>
      </x:c>
      <x:c r="V191" s="104" t="str">
        <x:f t="array" ref="V191">IF(C191&lt;&gt;"",_xlfn.IFS(V$10="AT",RECORD!HC193,V$10="LECTURE",BF191,TRUE(),""),"")</x:f>
      </x:c>
      <x:c r="W191" s="106" t="str">
        <x:f t="shared" si="57"/>
      </x:c>
      <x:c r="X191" s="107" t="str">
        <x:f t="array" ref="X191">IF(C191&lt;&gt;"",_xlfn.IFS(X$10="EXAM",RECORD!HD193,X$10="OUTPUT",RECORD!HE193,X$10="LAB",CF191,TRUE(),""),"")</x:f>
      </x:c>
      <x:c r="Y191" s="106" t="str">
        <x:f t="shared" si="58"/>
      </x:c>
      <x:c r="Z191" s="108" t="str">
        <x:f t="shared" si="59"/>
      </x:c>
      <x:c r="AA191" s="109" t="str">
        <x:f t="shared" si="60"/>
      </x:c>
      <x:c r="AB191" s="111" t="str">
        <x:f t="shared" si="61"/>
      </x:c>
      <x:c r="AC191" s="109" t="str">
        <x:f t="shared" si="62"/>
      </x:c>
      <x:c r="AD191" s="112"/>
      <x:c r="AE191" s="102"/>
      <x:c r="AF191" s="113"/>
      <x:c r="AG191" s="112"/>
      <x:c r="AH191" s="103"/>
      <x:c r="AI191" s="114"/>
      <x:c r="AJ191" s="102"/>
      <x:c r="AK191" s="102"/>
      <x:c r="AL191" s="102"/>
      <x:c r="AM191" s="102"/>
      <x:c r="AN191" s="102"/>
      <x:c r="AO191" s="102"/>
      <x:c r="AP191" s="102"/>
      <x:c r="AQ191" s="109" t="str">
        <x:f t="shared" si="63"/>
        <x:v>FAILED</x:v>
      </x:c>
      <x:c r="AR191" s="115"/>
      <x:c r="AS191" s="115"/>
      <x:c r="AT191" s="107"/>
      <x:c r="AU191" s="107"/>
      <x:c r="AV191" s="107"/>
      <x:c r="AW191" s="107"/>
      <x:c r="AX191" s="107"/>
      <x:c r="AY191" s="109" t="str">
        <x:f t="shared" si="64"/>
        <x:v>FAILED</x:v>
      </x:c>
      <x:c r="AZ191" s="115"/>
      <x:c r="BA191" s="115"/>
      <x:c r="BB191" s="107"/>
      <x:c r="BC191" s="107"/>
      <x:c r="BD191" s="107"/>
      <x:c r="BE191" s="107"/>
      <x:c r="BF191" s="107"/>
      <x:c r="BG191" s="109" t="str">
        <x:f t="shared" si="65"/>
        <x:v>FAILED</x:v>
      </x:c>
      <x:c r="BH191" s="117"/>
      <x:c r="BI191" s="102"/>
      <x:c r="BJ191" s="102"/>
      <x:c r="BK191" s="102"/>
      <x:c r="BL191" s="102"/>
      <x:c r="BM191" s="102"/>
      <x:c r="BN191" s="102"/>
      <x:c r="BO191" s="102"/>
      <x:c r="BP191" s="102"/>
      <x:c r="BQ191" s="109" t="str">
        <x:f t="shared" si="66"/>
        <x:v>FAILED</x:v>
      </x:c>
      <x:c r="BR191" s="115"/>
      <x:c r="BS191" s="115"/>
      <x:c r="BT191" s="107"/>
      <x:c r="BU191" s="107"/>
      <x:c r="BV191" s="107"/>
      <x:c r="BW191" s="107"/>
      <x:c r="BX191" s="107"/>
      <x:c r="BY191" s="109" t="str">
        <x:f t="shared" si="67"/>
        <x:v>FAILED</x:v>
      </x:c>
      <x:c r="BZ191" s="115"/>
      <x:c r="CA191" s="115"/>
      <x:c r="CB191" s="107"/>
      <x:c r="CC191" s="107"/>
      <x:c r="CD191" s="107"/>
      <x:c r="CE191" s="107"/>
      <x:c r="CF191" s="107"/>
      <x:c r="CG191" s="109" t="str">
        <x:f t="shared" si="68"/>
        <x:v>FAILED</x:v>
      </x:c>
      <x:c r="CH191" s="117"/>
    </x:row>
    <x:row r="192">
      <x:c r="A192" s="102" t="str">
        <x:f>IF(RECORD!A194="","",RECORD!A194)</x:f>
      </x:c>
      <x:c r="B192" s="102" t="str">
        <x:f>IF(RECORD!B194="","",RECORD!B194)</x:f>
      </x:c>
      <x:c r="C192" s="103" t="str">
        <x:f>IF(RECORD!C194="","",RECORD!C194)</x:f>
      </x:c>
      <x:c r="D192" s="104" t="str">
        <x:f t="array" ref="D192">IF(C192&lt;&gt;"",IF(F$7="SUMMER","N/A",_xlfn.IFS(D$10="TLA",RECORD!GO194,F$10="LECTURE","",TRUE(),"")),"")</x:f>
      </x:c>
      <x:c r="E192" s="105" t="str">
        <x:f t="shared" si="46"/>
      </x:c>
      <x:c r="F192" s="104" t="str">
        <x:f t="array" ref="F192">IF(C192&lt;&gt;"",IF(F$7="SUMMER","N/A",_xlfn.IFS(F$10="AT",RECORD!GI194,F$10="LECTURE",GRADES!AP192,TRUE(),"")),"")</x:f>
      </x:c>
      <x:c r="G192" s="106" t="str">
        <x:f t="shared" si="47"/>
      </x:c>
      <x:c r="H192" s="107" t="str">
        <x:f t="array" ref="H192">IF(C192&lt;&gt;"",IF(F$7="SUMMER","N/A",_xlfn.IFS(H$10="EXAM",RECORD!GJ194,H$10="OUTPUT",RECORD!GK194,H$10="LAB",BP192,TRUE(),"")),"")</x:f>
      </x:c>
      <x:c r="I192" s="106" t="str">
        <x:f t="shared" si="48"/>
      </x:c>
      <x:c r="J192" s="108" t="str">
        <x:f t="shared" si="49"/>
      </x:c>
      <x:c r="K192" s="109" t="str">
        <x:f t="shared" si="50"/>
      </x:c>
      <x:c r="L192" s="110" t="str">
        <x:f t="array" ref="L192">IF(C192&lt;&gt;"",_xlfn.IFS(L$10="TLA",RECORD!GY194,N$10="LECTURE","",TRUE(),""),"")</x:f>
      </x:c>
      <x:c r="M192" s="105" t="str">
        <x:f t="shared" si="51"/>
      </x:c>
      <x:c r="N192" s="104" t="str">
        <x:f t="array" ref="N192">IF(C192&lt;&gt;"",_xlfn.IFS(N$10="AT",RECORD!GS194,N$10="LECTURE",AX192,TRUE(),""),"")</x:f>
      </x:c>
      <x:c r="O192" s="106" t="str">
        <x:f t="shared" si="52"/>
      </x:c>
      <x:c r="P192" s="107" t="str">
        <x:f t="array" ref="P192">IF(C192&lt;&gt;"",_xlfn.IFS(P$10="EXAM",RECORD!GT194,P$10="OUTPUT",RECORD!GU194,P$10="LAB",BX192,TRUE(),""),"")</x:f>
      </x:c>
      <x:c r="Q192" s="106" t="str">
        <x:f t="shared" si="53"/>
      </x:c>
      <x:c r="R192" s="108" t="str">
        <x:f t="shared" si="54"/>
      </x:c>
      <x:c r="S192" s="109" t="str">
        <x:f t="shared" si="55"/>
      </x:c>
      <x:c r="T192" s="110" t="str">
        <x:f t="array" ref="T192">IF(C192&lt;&gt;"",_xlfn.IFS(T$10="TLA",RECORD!HI194,V$10="LECTURE","",TRUE(),""),"")</x:f>
      </x:c>
      <x:c r="U192" s="105" t="str">
        <x:f t="shared" si="56"/>
      </x:c>
      <x:c r="V192" s="104" t="str">
        <x:f t="array" ref="V192">IF(C192&lt;&gt;"",_xlfn.IFS(V$10="AT",RECORD!HC194,V$10="LECTURE",BF192,TRUE(),""),"")</x:f>
      </x:c>
      <x:c r="W192" s="106" t="str">
        <x:f t="shared" si="57"/>
      </x:c>
      <x:c r="X192" s="107" t="str">
        <x:f t="array" ref="X192">IF(C192&lt;&gt;"",_xlfn.IFS(X$10="EXAM",RECORD!HD194,X$10="OUTPUT",RECORD!HE194,X$10="LAB",CF192,TRUE(),""),"")</x:f>
      </x:c>
      <x:c r="Y192" s="106" t="str">
        <x:f t="shared" si="58"/>
      </x:c>
      <x:c r="Z192" s="108" t="str">
        <x:f t="shared" si="59"/>
      </x:c>
      <x:c r="AA192" s="109" t="str">
        <x:f t="shared" si="60"/>
      </x:c>
      <x:c r="AB192" s="111" t="str">
        <x:f t="shared" si="61"/>
      </x:c>
      <x:c r="AC192" s="109" t="str">
        <x:f t="shared" si="62"/>
      </x:c>
      <x:c r="AD192" s="112"/>
      <x:c r="AE192" s="102"/>
      <x:c r="AF192" s="113"/>
      <x:c r="AG192" s="112"/>
      <x:c r="AH192" s="103"/>
      <x:c r="AI192" s="114"/>
      <x:c r="AJ192" s="102"/>
      <x:c r="AK192" s="102"/>
      <x:c r="AL192" s="102"/>
      <x:c r="AM192" s="102"/>
      <x:c r="AN192" s="102"/>
      <x:c r="AO192" s="102"/>
      <x:c r="AP192" s="102"/>
      <x:c r="AQ192" s="109" t="str">
        <x:f t="shared" si="63"/>
        <x:v>FAILED</x:v>
      </x:c>
      <x:c r="AR192" s="115"/>
      <x:c r="AS192" s="115"/>
      <x:c r="AT192" s="107"/>
      <x:c r="AU192" s="107"/>
      <x:c r="AV192" s="107"/>
      <x:c r="AW192" s="107"/>
      <x:c r="AX192" s="107"/>
      <x:c r="AY192" s="109" t="str">
        <x:f t="shared" si="64"/>
        <x:v>FAILED</x:v>
      </x:c>
      <x:c r="AZ192" s="115"/>
      <x:c r="BA192" s="115"/>
      <x:c r="BB192" s="107"/>
      <x:c r="BC192" s="107"/>
      <x:c r="BD192" s="107"/>
      <x:c r="BE192" s="107"/>
      <x:c r="BF192" s="107"/>
      <x:c r="BG192" s="109" t="str">
        <x:f t="shared" si="65"/>
        <x:v>FAILED</x:v>
      </x:c>
      <x:c r="BH192" s="117"/>
      <x:c r="BI192" s="102"/>
      <x:c r="BJ192" s="102"/>
      <x:c r="BK192" s="102"/>
      <x:c r="BL192" s="102"/>
      <x:c r="BM192" s="102"/>
      <x:c r="BN192" s="102"/>
      <x:c r="BO192" s="102"/>
      <x:c r="BP192" s="102"/>
      <x:c r="BQ192" s="109" t="str">
        <x:f t="shared" si="66"/>
        <x:v>FAILED</x:v>
      </x:c>
      <x:c r="BR192" s="115"/>
      <x:c r="BS192" s="115"/>
      <x:c r="BT192" s="107"/>
      <x:c r="BU192" s="107"/>
      <x:c r="BV192" s="107"/>
      <x:c r="BW192" s="107"/>
      <x:c r="BX192" s="107"/>
      <x:c r="BY192" s="109" t="str">
        <x:f t="shared" si="67"/>
        <x:v>FAILED</x:v>
      </x:c>
      <x:c r="BZ192" s="115"/>
      <x:c r="CA192" s="115"/>
      <x:c r="CB192" s="107"/>
      <x:c r="CC192" s="107"/>
      <x:c r="CD192" s="107"/>
      <x:c r="CE192" s="107"/>
      <x:c r="CF192" s="107"/>
      <x:c r="CG192" s="109" t="str">
        <x:f t="shared" si="68"/>
        <x:v>FAILED</x:v>
      </x:c>
      <x:c r="CH192" s="117"/>
    </x:row>
    <x:row r="193">
      <x:c r="A193" s="102" t="str">
        <x:f>IF(RECORD!A195="","",RECORD!A195)</x:f>
      </x:c>
      <x:c r="B193" s="102" t="str">
        <x:f>IF(RECORD!B195="","",RECORD!B195)</x:f>
      </x:c>
      <x:c r="C193" s="103" t="str">
        <x:f>IF(RECORD!C195="","",RECORD!C195)</x:f>
      </x:c>
      <x:c r="D193" s="104" t="str">
        <x:f t="array" ref="D193">IF(C193&lt;&gt;"",IF(F$7="SUMMER","N/A",_xlfn.IFS(D$10="TLA",RECORD!GO195,F$10="LECTURE","",TRUE(),"")),"")</x:f>
      </x:c>
      <x:c r="E193" s="105" t="str">
        <x:f t="shared" si="46"/>
      </x:c>
      <x:c r="F193" s="104" t="str">
        <x:f t="array" ref="F193">IF(C193&lt;&gt;"",IF(F$7="SUMMER","N/A",_xlfn.IFS(F$10="AT",RECORD!GI195,F$10="LECTURE",GRADES!AP193,TRUE(),"")),"")</x:f>
      </x:c>
      <x:c r="G193" s="106" t="str">
        <x:f t="shared" si="47"/>
      </x:c>
      <x:c r="H193" s="107" t="str">
        <x:f t="array" ref="H193">IF(C193&lt;&gt;"",IF(F$7="SUMMER","N/A",_xlfn.IFS(H$10="EXAM",RECORD!GJ195,H$10="OUTPUT",RECORD!GK195,H$10="LAB",BP193,TRUE(),"")),"")</x:f>
      </x:c>
      <x:c r="I193" s="106" t="str">
        <x:f t="shared" si="48"/>
      </x:c>
      <x:c r="J193" s="108" t="str">
        <x:f t="shared" si="49"/>
      </x:c>
      <x:c r="K193" s="109" t="str">
        <x:f t="shared" si="50"/>
      </x:c>
      <x:c r="L193" s="110" t="str">
        <x:f t="array" ref="L193">IF(C193&lt;&gt;"",_xlfn.IFS(L$10="TLA",RECORD!GY195,N$10="LECTURE","",TRUE(),""),"")</x:f>
      </x:c>
      <x:c r="M193" s="105" t="str">
        <x:f t="shared" si="51"/>
      </x:c>
      <x:c r="N193" s="104" t="str">
        <x:f t="array" ref="N193">IF(C193&lt;&gt;"",_xlfn.IFS(N$10="AT",RECORD!GS195,N$10="LECTURE",AX193,TRUE(),""),"")</x:f>
      </x:c>
      <x:c r="O193" s="106" t="str">
        <x:f t="shared" si="52"/>
      </x:c>
      <x:c r="P193" s="107" t="str">
        <x:f t="array" ref="P193">IF(C193&lt;&gt;"",_xlfn.IFS(P$10="EXAM",RECORD!GT195,P$10="OUTPUT",RECORD!GU195,P$10="LAB",BX193,TRUE(),""),"")</x:f>
      </x:c>
      <x:c r="Q193" s="106" t="str">
        <x:f t="shared" si="53"/>
      </x:c>
      <x:c r="R193" s="108" t="str">
        <x:f t="shared" si="54"/>
      </x:c>
      <x:c r="S193" s="109" t="str">
        <x:f t="shared" si="55"/>
      </x:c>
      <x:c r="T193" s="110" t="str">
        <x:f t="array" ref="T193">IF(C193&lt;&gt;"",_xlfn.IFS(T$10="TLA",RECORD!HI195,V$10="LECTURE","",TRUE(),""),"")</x:f>
      </x:c>
      <x:c r="U193" s="105" t="str">
        <x:f t="shared" si="56"/>
      </x:c>
      <x:c r="V193" s="104" t="str">
        <x:f t="array" ref="V193">IF(C193&lt;&gt;"",_xlfn.IFS(V$10="AT",RECORD!HC195,V$10="LECTURE",BF193,TRUE(),""),"")</x:f>
      </x:c>
      <x:c r="W193" s="106" t="str">
        <x:f t="shared" si="57"/>
      </x:c>
      <x:c r="X193" s="107" t="str">
        <x:f t="array" ref="X193">IF(C193&lt;&gt;"",_xlfn.IFS(X$10="EXAM",RECORD!HD195,X$10="OUTPUT",RECORD!HE195,X$10="LAB",CF193,TRUE(),""),"")</x:f>
      </x:c>
      <x:c r="Y193" s="106" t="str">
        <x:f t="shared" si="58"/>
      </x:c>
      <x:c r="Z193" s="108" t="str">
        <x:f t="shared" si="59"/>
      </x:c>
      <x:c r="AA193" s="109" t="str">
        <x:f t="shared" si="60"/>
      </x:c>
      <x:c r="AB193" s="111" t="str">
        <x:f t="shared" si="61"/>
      </x:c>
      <x:c r="AC193" s="109" t="str">
        <x:f t="shared" si="62"/>
      </x:c>
      <x:c r="AD193" s="112"/>
      <x:c r="AE193" s="102"/>
      <x:c r="AF193" s="113"/>
      <x:c r="AG193" s="112"/>
      <x:c r="AH193" s="103"/>
      <x:c r="AI193" s="114"/>
      <x:c r="AJ193" s="102"/>
      <x:c r="AK193" s="102"/>
      <x:c r="AL193" s="102"/>
      <x:c r="AM193" s="102"/>
      <x:c r="AN193" s="102"/>
      <x:c r="AO193" s="102"/>
      <x:c r="AP193" s="102"/>
      <x:c r="AQ193" s="109" t="str">
        <x:f t="shared" si="63"/>
        <x:v>FAILED</x:v>
      </x:c>
      <x:c r="AR193" s="115"/>
      <x:c r="AS193" s="115"/>
      <x:c r="AT193" s="107"/>
      <x:c r="AU193" s="107"/>
      <x:c r="AV193" s="107"/>
      <x:c r="AW193" s="107"/>
      <x:c r="AX193" s="107"/>
      <x:c r="AY193" s="109" t="str">
        <x:f t="shared" si="64"/>
        <x:v>FAILED</x:v>
      </x:c>
      <x:c r="AZ193" s="115"/>
      <x:c r="BA193" s="115"/>
      <x:c r="BB193" s="107"/>
      <x:c r="BC193" s="107"/>
      <x:c r="BD193" s="107"/>
      <x:c r="BE193" s="107"/>
      <x:c r="BF193" s="107"/>
      <x:c r="BG193" s="109" t="str">
        <x:f t="shared" si="65"/>
        <x:v>FAILED</x:v>
      </x:c>
      <x:c r="BH193" s="117"/>
      <x:c r="BI193" s="102"/>
      <x:c r="BJ193" s="102"/>
      <x:c r="BK193" s="102"/>
      <x:c r="BL193" s="102"/>
      <x:c r="BM193" s="102"/>
      <x:c r="BN193" s="102"/>
      <x:c r="BO193" s="102"/>
      <x:c r="BP193" s="102"/>
      <x:c r="BQ193" s="109" t="str">
        <x:f t="shared" si="66"/>
        <x:v>FAILED</x:v>
      </x:c>
      <x:c r="BR193" s="115"/>
      <x:c r="BS193" s="115"/>
      <x:c r="BT193" s="107"/>
      <x:c r="BU193" s="107"/>
      <x:c r="BV193" s="107"/>
      <x:c r="BW193" s="107"/>
      <x:c r="BX193" s="107"/>
      <x:c r="BY193" s="109" t="str">
        <x:f t="shared" si="67"/>
        <x:v>FAILED</x:v>
      </x:c>
      <x:c r="BZ193" s="115"/>
      <x:c r="CA193" s="115"/>
      <x:c r="CB193" s="107"/>
      <x:c r="CC193" s="107"/>
      <x:c r="CD193" s="107"/>
      <x:c r="CE193" s="107"/>
      <x:c r="CF193" s="107"/>
      <x:c r="CG193" s="109" t="str">
        <x:f t="shared" si="68"/>
        <x:v>FAILED</x:v>
      </x:c>
      <x:c r="CH193" s="117"/>
    </x:row>
    <x:row r="194">
      <x:c r="A194" s="102" t="str">
        <x:f>IF(RECORD!A196="","",RECORD!A196)</x:f>
      </x:c>
      <x:c r="B194" s="102" t="str">
        <x:f>IF(RECORD!B196="","",RECORD!B196)</x:f>
      </x:c>
      <x:c r="C194" s="103" t="str">
        <x:f>IF(RECORD!C196="","",RECORD!C196)</x:f>
      </x:c>
      <x:c r="D194" s="104" t="str">
        <x:f t="array" ref="D194">IF(C194&lt;&gt;"",IF(F$7="SUMMER","N/A",_xlfn.IFS(D$10="TLA",RECORD!GO196,F$10="LECTURE","",TRUE(),"")),"")</x:f>
      </x:c>
      <x:c r="E194" s="105" t="str">
        <x:f t="shared" si="46"/>
      </x:c>
      <x:c r="F194" s="104" t="str">
        <x:f t="array" ref="F194">IF(C194&lt;&gt;"",IF(F$7="SUMMER","N/A",_xlfn.IFS(F$10="AT",RECORD!GI196,F$10="LECTURE",GRADES!AP194,TRUE(),"")),"")</x:f>
      </x:c>
      <x:c r="G194" s="106" t="str">
        <x:f t="shared" si="47"/>
      </x:c>
      <x:c r="H194" s="107" t="str">
        <x:f t="array" ref="H194">IF(C194&lt;&gt;"",IF(F$7="SUMMER","N/A",_xlfn.IFS(H$10="EXAM",RECORD!GJ196,H$10="OUTPUT",RECORD!GK196,H$10="LAB",BP194,TRUE(),"")),"")</x:f>
      </x:c>
      <x:c r="I194" s="106" t="str">
        <x:f t="shared" si="48"/>
      </x:c>
      <x:c r="J194" s="108" t="str">
        <x:f t="shared" si="49"/>
      </x:c>
      <x:c r="K194" s="109" t="str">
        <x:f t="shared" si="50"/>
      </x:c>
      <x:c r="L194" s="110" t="str">
        <x:f t="array" ref="L194">IF(C194&lt;&gt;"",_xlfn.IFS(L$10="TLA",RECORD!GY196,N$10="LECTURE","",TRUE(),""),"")</x:f>
      </x:c>
      <x:c r="M194" s="105" t="str">
        <x:f t="shared" si="51"/>
      </x:c>
      <x:c r="N194" s="104" t="str">
        <x:f t="array" ref="N194">IF(C194&lt;&gt;"",_xlfn.IFS(N$10="AT",RECORD!GS196,N$10="LECTURE",AX194,TRUE(),""),"")</x:f>
      </x:c>
      <x:c r="O194" s="106" t="str">
        <x:f t="shared" si="52"/>
      </x:c>
      <x:c r="P194" s="107" t="str">
        <x:f t="array" ref="P194">IF(C194&lt;&gt;"",_xlfn.IFS(P$10="EXAM",RECORD!GT196,P$10="OUTPUT",RECORD!GU196,P$10="LAB",BX194,TRUE(),""),"")</x:f>
      </x:c>
      <x:c r="Q194" s="106" t="str">
        <x:f t="shared" si="53"/>
      </x:c>
      <x:c r="R194" s="108" t="str">
        <x:f t="shared" si="54"/>
      </x:c>
      <x:c r="S194" s="109" t="str">
        <x:f t="shared" si="55"/>
      </x:c>
      <x:c r="T194" s="110" t="str">
        <x:f t="array" ref="T194">IF(C194&lt;&gt;"",_xlfn.IFS(T$10="TLA",RECORD!HI196,V$10="LECTURE","",TRUE(),""),"")</x:f>
      </x:c>
      <x:c r="U194" s="105" t="str">
        <x:f t="shared" si="56"/>
      </x:c>
      <x:c r="V194" s="104" t="str">
        <x:f t="array" ref="V194">IF(C194&lt;&gt;"",_xlfn.IFS(V$10="AT",RECORD!HC196,V$10="LECTURE",BF194,TRUE(),""),"")</x:f>
      </x:c>
      <x:c r="W194" s="106" t="str">
        <x:f t="shared" si="57"/>
      </x:c>
      <x:c r="X194" s="107" t="str">
        <x:f t="array" ref="X194">IF(C194&lt;&gt;"",_xlfn.IFS(X$10="EXAM",RECORD!HD196,X$10="OUTPUT",RECORD!HE196,X$10="LAB",CF194,TRUE(),""),"")</x:f>
      </x:c>
      <x:c r="Y194" s="106" t="str">
        <x:f t="shared" si="58"/>
      </x:c>
      <x:c r="Z194" s="108" t="str">
        <x:f t="shared" si="59"/>
      </x:c>
      <x:c r="AA194" s="109" t="str">
        <x:f t="shared" si="60"/>
      </x:c>
      <x:c r="AB194" s="111" t="str">
        <x:f t="shared" si="61"/>
      </x:c>
      <x:c r="AC194" s="109" t="str">
        <x:f t="shared" si="62"/>
      </x:c>
      <x:c r="AD194" s="112"/>
      <x:c r="AE194" s="102"/>
      <x:c r="AF194" s="113"/>
      <x:c r="AG194" s="112"/>
      <x:c r="AH194" s="103"/>
      <x:c r="AI194" s="114"/>
      <x:c r="AJ194" s="102"/>
      <x:c r="AK194" s="102"/>
      <x:c r="AL194" s="102"/>
      <x:c r="AM194" s="102"/>
      <x:c r="AN194" s="102"/>
      <x:c r="AO194" s="102"/>
      <x:c r="AP194" s="102"/>
      <x:c r="AQ194" s="109" t="str">
        <x:f t="shared" si="63"/>
        <x:v>FAILED</x:v>
      </x:c>
      <x:c r="AR194" s="115"/>
      <x:c r="AS194" s="115"/>
      <x:c r="AT194" s="107"/>
      <x:c r="AU194" s="107"/>
      <x:c r="AV194" s="107"/>
      <x:c r="AW194" s="107"/>
      <x:c r="AX194" s="107"/>
      <x:c r="AY194" s="109" t="str">
        <x:f t="shared" si="64"/>
        <x:v>FAILED</x:v>
      </x:c>
      <x:c r="AZ194" s="115"/>
      <x:c r="BA194" s="115"/>
      <x:c r="BB194" s="107"/>
      <x:c r="BC194" s="107"/>
      <x:c r="BD194" s="107"/>
      <x:c r="BE194" s="107"/>
      <x:c r="BF194" s="107"/>
      <x:c r="BG194" s="109" t="str">
        <x:f t="shared" si="65"/>
        <x:v>FAILED</x:v>
      </x:c>
      <x:c r="BH194" s="117"/>
      <x:c r="BI194" s="102"/>
      <x:c r="BJ194" s="102"/>
      <x:c r="BK194" s="102"/>
      <x:c r="BL194" s="102"/>
      <x:c r="BM194" s="102"/>
      <x:c r="BN194" s="102"/>
      <x:c r="BO194" s="102"/>
      <x:c r="BP194" s="102"/>
      <x:c r="BQ194" s="109" t="str">
        <x:f t="shared" si="66"/>
        <x:v>FAILED</x:v>
      </x:c>
      <x:c r="BR194" s="115"/>
      <x:c r="BS194" s="115"/>
      <x:c r="BT194" s="107"/>
      <x:c r="BU194" s="107"/>
      <x:c r="BV194" s="107"/>
      <x:c r="BW194" s="107"/>
      <x:c r="BX194" s="107"/>
      <x:c r="BY194" s="109" t="str">
        <x:f t="shared" si="67"/>
        <x:v>FAILED</x:v>
      </x:c>
      <x:c r="BZ194" s="115"/>
      <x:c r="CA194" s="115"/>
      <x:c r="CB194" s="107"/>
      <x:c r="CC194" s="107"/>
      <x:c r="CD194" s="107"/>
      <x:c r="CE194" s="107"/>
      <x:c r="CF194" s="107"/>
      <x:c r="CG194" s="109" t="str">
        <x:f t="shared" si="68"/>
        <x:v>FAILED</x:v>
      </x:c>
      <x:c r="CH194" s="117"/>
    </x:row>
    <x:row r="195">
      <x:c r="A195" s="102" t="str">
        <x:f>IF(RECORD!A197="","",RECORD!A197)</x:f>
      </x:c>
      <x:c r="B195" s="102" t="str">
        <x:f>IF(RECORD!B197="","",RECORD!B197)</x:f>
      </x:c>
      <x:c r="C195" s="103" t="str">
        <x:f>IF(RECORD!C197="","",RECORD!C197)</x:f>
      </x:c>
      <x:c r="D195" s="104" t="str">
        <x:f t="array" ref="D195">IF(C195&lt;&gt;"",IF(F$7="SUMMER","N/A",_xlfn.IFS(D$10="TLA",RECORD!GO197,F$10="LECTURE","",TRUE(),"")),"")</x:f>
      </x:c>
      <x:c r="E195" s="105" t="str">
        <x:f t="shared" si="46"/>
      </x:c>
      <x:c r="F195" s="104" t="str">
        <x:f t="array" ref="F195">IF(C195&lt;&gt;"",IF(F$7="SUMMER","N/A",_xlfn.IFS(F$10="AT",RECORD!GI197,F$10="LECTURE",GRADES!AP195,TRUE(),"")),"")</x:f>
      </x:c>
      <x:c r="G195" s="106" t="str">
        <x:f t="shared" si="47"/>
      </x:c>
      <x:c r="H195" s="107" t="str">
        <x:f t="array" ref="H195">IF(C195&lt;&gt;"",IF(F$7="SUMMER","N/A",_xlfn.IFS(H$10="EXAM",RECORD!GJ197,H$10="OUTPUT",RECORD!GK197,H$10="LAB",BP195,TRUE(),"")),"")</x:f>
      </x:c>
      <x:c r="I195" s="106" t="str">
        <x:f t="shared" si="48"/>
      </x:c>
      <x:c r="J195" s="108" t="str">
        <x:f t="shared" si="49"/>
      </x:c>
      <x:c r="K195" s="109" t="str">
        <x:f t="shared" si="50"/>
      </x:c>
      <x:c r="L195" s="110" t="str">
        <x:f t="array" ref="L195">IF(C195&lt;&gt;"",_xlfn.IFS(L$10="TLA",RECORD!GY197,N$10="LECTURE","",TRUE(),""),"")</x:f>
      </x:c>
      <x:c r="M195" s="105" t="str">
        <x:f t="shared" si="51"/>
      </x:c>
      <x:c r="N195" s="104" t="str">
        <x:f t="array" ref="N195">IF(C195&lt;&gt;"",_xlfn.IFS(N$10="AT",RECORD!GS197,N$10="LECTURE",AX195,TRUE(),""),"")</x:f>
      </x:c>
      <x:c r="O195" s="106" t="str">
        <x:f t="shared" si="52"/>
      </x:c>
      <x:c r="P195" s="107" t="str">
        <x:f t="array" ref="P195">IF(C195&lt;&gt;"",_xlfn.IFS(P$10="EXAM",RECORD!GT197,P$10="OUTPUT",RECORD!GU197,P$10="LAB",BX195,TRUE(),""),"")</x:f>
      </x:c>
      <x:c r="Q195" s="106" t="str">
        <x:f t="shared" si="53"/>
      </x:c>
      <x:c r="R195" s="108" t="str">
        <x:f t="shared" si="54"/>
      </x:c>
      <x:c r="S195" s="109" t="str">
        <x:f t="shared" si="55"/>
      </x:c>
      <x:c r="T195" s="110" t="str">
        <x:f t="array" ref="T195">IF(C195&lt;&gt;"",_xlfn.IFS(T$10="TLA",RECORD!HI197,V$10="LECTURE","",TRUE(),""),"")</x:f>
      </x:c>
      <x:c r="U195" s="105" t="str">
        <x:f t="shared" si="56"/>
      </x:c>
      <x:c r="V195" s="104" t="str">
        <x:f t="array" ref="V195">IF(C195&lt;&gt;"",_xlfn.IFS(V$10="AT",RECORD!HC197,V$10="LECTURE",BF195,TRUE(),""),"")</x:f>
      </x:c>
      <x:c r="W195" s="106" t="str">
        <x:f t="shared" si="57"/>
      </x:c>
      <x:c r="X195" s="107" t="str">
        <x:f t="array" ref="X195">IF(C195&lt;&gt;"",_xlfn.IFS(X$10="EXAM",RECORD!HD197,X$10="OUTPUT",RECORD!HE197,X$10="LAB",CF195,TRUE(),""),"")</x:f>
      </x:c>
      <x:c r="Y195" s="106" t="str">
        <x:f t="shared" si="58"/>
      </x:c>
      <x:c r="Z195" s="108" t="str">
        <x:f t="shared" si="59"/>
      </x:c>
      <x:c r="AA195" s="109" t="str">
        <x:f t="shared" si="60"/>
      </x:c>
      <x:c r="AB195" s="111" t="str">
        <x:f t="shared" si="61"/>
      </x:c>
      <x:c r="AC195" s="109" t="str">
        <x:f t="shared" si="62"/>
      </x:c>
      <x:c r="AD195" s="112"/>
      <x:c r="AE195" s="102"/>
      <x:c r="AF195" s="113"/>
      <x:c r="AG195" s="112"/>
      <x:c r="AH195" s="103"/>
      <x:c r="AI195" s="114"/>
      <x:c r="AJ195" s="102"/>
      <x:c r="AK195" s="102"/>
      <x:c r="AL195" s="102"/>
      <x:c r="AM195" s="102"/>
      <x:c r="AN195" s="102"/>
      <x:c r="AO195" s="102"/>
      <x:c r="AP195" s="102"/>
      <x:c r="AQ195" s="109" t="str">
        <x:f t="shared" si="63"/>
        <x:v>FAILED</x:v>
      </x:c>
      <x:c r="AR195" s="115"/>
      <x:c r="AS195" s="115"/>
      <x:c r="AT195" s="107"/>
      <x:c r="AU195" s="107"/>
      <x:c r="AV195" s="107"/>
      <x:c r="AW195" s="107"/>
      <x:c r="AX195" s="107"/>
      <x:c r="AY195" s="109" t="str">
        <x:f t="shared" si="64"/>
        <x:v>FAILED</x:v>
      </x:c>
      <x:c r="AZ195" s="115"/>
      <x:c r="BA195" s="115"/>
      <x:c r="BB195" s="107"/>
      <x:c r="BC195" s="107"/>
      <x:c r="BD195" s="107"/>
      <x:c r="BE195" s="107"/>
      <x:c r="BF195" s="107"/>
      <x:c r="BG195" s="109" t="str">
        <x:f t="shared" si="65"/>
        <x:v>FAILED</x:v>
      </x:c>
      <x:c r="BH195" s="117"/>
      <x:c r="BI195" s="102"/>
      <x:c r="BJ195" s="102"/>
      <x:c r="BK195" s="102"/>
      <x:c r="BL195" s="102"/>
      <x:c r="BM195" s="102"/>
      <x:c r="BN195" s="102"/>
      <x:c r="BO195" s="102"/>
      <x:c r="BP195" s="102"/>
      <x:c r="BQ195" s="109" t="str">
        <x:f t="shared" si="66"/>
        <x:v>FAILED</x:v>
      </x:c>
      <x:c r="BR195" s="115"/>
      <x:c r="BS195" s="115"/>
      <x:c r="BT195" s="107"/>
      <x:c r="BU195" s="107"/>
      <x:c r="BV195" s="107"/>
      <x:c r="BW195" s="107"/>
      <x:c r="BX195" s="107"/>
      <x:c r="BY195" s="109" t="str">
        <x:f t="shared" si="67"/>
        <x:v>FAILED</x:v>
      </x:c>
      <x:c r="BZ195" s="115"/>
      <x:c r="CA195" s="115"/>
      <x:c r="CB195" s="107"/>
      <x:c r="CC195" s="107"/>
      <x:c r="CD195" s="107"/>
      <x:c r="CE195" s="107"/>
      <x:c r="CF195" s="107"/>
      <x:c r="CG195" s="109" t="str">
        <x:f t="shared" si="68"/>
        <x:v>FAILED</x:v>
      </x:c>
      <x:c r="CH195" s="117"/>
    </x:row>
    <x:row r="196">
      <x:c r="A196" s="102" t="str">
        <x:f>IF(RECORD!A198="","",RECORD!A198)</x:f>
      </x:c>
      <x:c r="B196" s="102" t="str">
        <x:f>IF(RECORD!B198="","",RECORD!B198)</x:f>
      </x:c>
      <x:c r="C196" s="103" t="str">
        <x:f>IF(RECORD!C198="","",RECORD!C198)</x:f>
      </x:c>
      <x:c r="D196" s="104" t="str">
        <x:f t="array" ref="D196">IF(C196&lt;&gt;"",IF(F$7="SUMMER","N/A",_xlfn.IFS(D$10="TLA",RECORD!GO198,F$10="LECTURE","",TRUE(),"")),"")</x:f>
      </x:c>
      <x:c r="E196" s="105" t="str">
        <x:f t="shared" si="46"/>
      </x:c>
      <x:c r="F196" s="104" t="str">
        <x:f t="array" ref="F196">IF(C196&lt;&gt;"",IF(F$7="SUMMER","N/A",_xlfn.IFS(F$10="AT",RECORD!GI198,F$10="LECTURE",GRADES!AP196,TRUE(),"")),"")</x:f>
      </x:c>
      <x:c r="G196" s="106" t="str">
        <x:f t="shared" si="47"/>
      </x:c>
      <x:c r="H196" s="107" t="str">
        <x:f t="array" ref="H196">IF(C196&lt;&gt;"",IF(F$7="SUMMER","N/A",_xlfn.IFS(H$10="EXAM",RECORD!GJ198,H$10="OUTPUT",RECORD!GK198,H$10="LAB",BP196,TRUE(),"")),"")</x:f>
      </x:c>
      <x:c r="I196" s="106" t="str">
        <x:f t="shared" si="48"/>
      </x:c>
      <x:c r="J196" s="108" t="str">
        <x:f t="shared" si="49"/>
      </x:c>
      <x:c r="K196" s="109" t="str">
        <x:f t="shared" si="50"/>
      </x:c>
      <x:c r="L196" s="110" t="str">
        <x:f t="array" ref="L196">IF(C196&lt;&gt;"",_xlfn.IFS(L$10="TLA",RECORD!GY198,N$10="LECTURE","",TRUE(),""),"")</x:f>
      </x:c>
      <x:c r="M196" s="105" t="str">
        <x:f t="shared" si="51"/>
      </x:c>
      <x:c r="N196" s="104" t="str">
        <x:f t="array" ref="N196">IF(C196&lt;&gt;"",_xlfn.IFS(N$10="AT",RECORD!GS198,N$10="LECTURE",AX196,TRUE(),""),"")</x:f>
      </x:c>
      <x:c r="O196" s="106" t="str">
        <x:f t="shared" si="52"/>
      </x:c>
      <x:c r="P196" s="107" t="str">
        <x:f t="array" ref="P196">IF(C196&lt;&gt;"",_xlfn.IFS(P$10="EXAM",RECORD!GT198,P$10="OUTPUT",RECORD!GU198,P$10="LAB",BX196,TRUE(),""),"")</x:f>
      </x:c>
      <x:c r="Q196" s="106" t="str">
        <x:f t="shared" si="53"/>
      </x:c>
      <x:c r="R196" s="108" t="str">
        <x:f t="shared" si="54"/>
      </x:c>
      <x:c r="S196" s="109" t="str">
        <x:f t="shared" si="55"/>
      </x:c>
      <x:c r="T196" s="110" t="str">
        <x:f t="array" ref="T196">IF(C196&lt;&gt;"",_xlfn.IFS(T$10="TLA",RECORD!HI198,V$10="LECTURE","",TRUE(),""),"")</x:f>
      </x:c>
      <x:c r="U196" s="105" t="str">
        <x:f t="shared" si="56"/>
      </x:c>
      <x:c r="V196" s="104" t="str">
        <x:f t="array" ref="V196">IF(C196&lt;&gt;"",_xlfn.IFS(V$10="AT",RECORD!HC198,V$10="LECTURE",BF196,TRUE(),""),"")</x:f>
      </x:c>
      <x:c r="W196" s="106" t="str">
        <x:f t="shared" si="57"/>
      </x:c>
      <x:c r="X196" s="107" t="str">
        <x:f t="array" ref="X196">IF(C196&lt;&gt;"",_xlfn.IFS(X$10="EXAM",RECORD!HD198,X$10="OUTPUT",RECORD!HE198,X$10="LAB",CF196,TRUE(),""),"")</x:f>
      </x:c>
      <x:c r="Y196" s="106" t="str">
        <x:f t="shared" si="58"/>
      </x:c>
      <x:c r="Z196" s="108" t="str">
        <x:f t="shared" si="59"/>
      </x:c>
      <x:c r="AA196" s="109" t="str">
        <x:f t="shared" si="60"/>
      </x:c>
      <x:c r="AB196" s="111" t="str">
        <x:f t="shared" si="61"/>
      </x:c>
      <x:c r="AC196" s="109" t="str">
        <x:f t="shared" si="62"/>
      </x:c>
      <x:c r="AD196" s="112"/>
      <x:c r="AE196" s="102"/>
      <x:c r="AF196" s="113"/>
      <x:c r="AG196" s="112"/>
      <x:c r="AH196" s="103"/>
      <x:c r="AI196" s="114"/>
      <x:c r="AJ196" s="102"/>
      <x:c r="AK196" s="102"/>
      <x:c r="AL196" s="102"/>
      <x:c r="AM196" s="102"/>
      <x:c r="AN196" s="102"/>
      <x:c r="AO196" s="102"/>
      <x:c r="AP196" s="102"/>
      <x:c r="AQ196" s="109" t="str">
        <x:f t="shared" si="63"/>
        <x:v>FAILED</x:v>
      </x:c>
      <x:c r="AR196" s="115"/>
      <x:c r="AS196" s="115"/>
      <x:c r="AT196" s="107"/>
      <x:c r="AU196" s="107"/>
      <x:c r="AV196" s="107"/>
      <x:c r="AW196" s="107"/>
      <x:c r="AX196" s="107"/>
      <x:c r="AY196" s="109" t="str">
        <x:f t="shared" si="64"/>
        <x:v>FAILED</x:v>
      </x:c>
      <x:c r="AZ196" s="115"/>
      <x:c r="BA196" s="115"/>
      <x:c r="BB196" s="107"/>
      <x:c r="BC196" s="107"/>
      <x:c r="BD196" s="107"/>
      <x:c r="BE196" s="107"/>
      <x:c r="BF196" s="107"/>
      <x:c r="BG196" s="109" t="str">
        <x:f t="shared" si="65"/>
        <x:v>FAILED</x:v>
      </x:c>
      <x:c r="BH196" s="117"/>
      <x:c r="BI196" s="102"/>
      <x:c r="BJ196" s="102"/>
      <x:c r="BK196" s="102"/>
      <x:c r="BL196" s="102"/>
      <x:c r="BM196" s="102"/>
      <x:c r="BN196" s="102"/>
      <x:c r="BO196" s="102"/>
      <x:c r="BP196" s="102"/>
      <x:c r="BQ196" s="109" t="str">
        <x:f t="shared" si="66"/>
        <x:v>FAILED</x:v>
      </x:c>
      <x:c r="BR196" s="115"/>
      <x:c r="BS196" s="115"/>
      <x:c r="BT196" s="107"/>
      <x:c r="BU196" s="107"/>
      <x:c r="BV196" s="107"/>
      <x:c r="BW196" s="107"/>
      <x:c r="BX196" s="107"/>
      <x:c r="BY196" s="109" t="str">
        <x:f t="shared" si="67"/>
        <x:v>FAILED</x:v>
      </x:c>
      <x:c r="BZ196" s="115"/>
      <x:c r="CA196" s="115"/>
      <x:c r="CB196" s="107"/>
      <x:c r="CC196" s="107"/>
      <x:c r="CD196" s="107"/>
      <x:c r="CE196" s="107"/>
      <x:c r="CF196" s="107"/>
      <x:c r="CG196" s="109" t="str">
        <x:f t="shared" si="68"/>
        <x:v>FAILED</x:v>
      </x:c>
      <x:c r="CH196" s="117"/>
    </x:row>
    <x:row r="197">
      <x:c r="A197" s="102" t="str">
        <x:f>IF(RECORD!A199="","",RECORD!A199)</x:f>
      </x:c>
      <x:c r="B197" s="102" t="str">
        <x:f>IF(RECORD!B199="","",RECORD!B199)</x:f>
      </x:c>
      <x:c r="C197" s="103" t="str">
        <x:f>IF(RECORD!C199="","",RECORD!C199)</x:f>
      </x:c>
      <x:c r="D197" s="104" t="str">
        <x:f t="array" ref="D197">IF(C197&lt;&gt;"",IF(F$7="SUMMER","N/A",_xlfn.IFS(D$10="TLA",RECORD!GO199,F$10="LECTURE","",TRUE(),"")),"")</x:f>
      </x:c>
      <x:c r="E197" s="105" t="str">
        <x:f t="shared" si="46"/>
      </x:c>
      <x:c r="F197" s="104" t="str">
        <x:f t="array" ref="F197">IF(C197&lt;&gt;"",IF(F$7="SUMMER","N/A",_xlfn.IFS(F$10="AT",RECORD!GI199,F$10="LECTURE",GRADES!AP197,TRUE(),"")),"")</x:f>
      </x:c>
      <x:c r="G197" s="106" t="str">
        <x:f t="shared" si="47"/>
      </x:c>
      <x:c r="H197" s="107" t="str">
        <x:f t="array" ref="H197">IF(C197&lt;&gt;"",IF(F$7="SUMMER","N/A",_xlfn.IFS(H$10="EXAM",RECORD!GJ199,H$10="OUTPUT",RECORD!GK199,H$10="LAB",BP197,TRUE(),"")),"")</x:f>
      </x:c>
      <x:c r="I197" s="106" t="str">
        <x:f t="shared" si="48"/>
      </x:c>
      <x:c r="J197" s="108" t="str">
        <x:f t="shared" si="49"/>
      </x:c>
      <x:c r="K197" s="109" t="str">
        <x:f t="shared" si="50"/>
      </x:c>
      <x:c r="L197" s="110" t="str">
        <x:f t="array" ref="L197">IF(C197&lt;&gt;"",_xlfn.IFS(L$10="TLA",RECORD!GY199,N$10="LECTURE","",TRUE(),""),"")</x:f>
      </x:c>
      <x:c r="M197" s="105" t="str">
        <x:f t="shared" si="51"/>
      </x:c>
      <x:c r="N197" s="104" t="str">
        <x:f t="array" ref="N197">IF(C197&lt;&gt;"",_xlfn.IFS(N$10="AT",RECORD!GS199,N$10="LECTURE",AX197,TRUE(),""),"")</x:f>
      </x:c>
      <x:c r="O197" s="106" t="str">
        <x:f t="shared" si="52"/>
      </x:c>
      <x:c r="P197" s="107" t="str">
        <x:f t="array" ref="P197">IF(C197&lt;&gt;"",_xlfn.IFS(P$10="EXAM",RECORD!GT199,P$10="OUTPUT",RECORD!GU199,P$10="LAB",BX197,TRUE(),""),"")</x:f>
      </x:c>
      <x:c r="Q197" s="106" t="str">
        <x:f t="shared" si="53"/>
      </x:c>
      <x:c r="R197" s="108" t="str">
        <x:f t="shared" si="54"/>
      </x:c>
      <x:c r="S197" s="109" t="str">
        <x:f t="shared" si="55"/>
      </x:c>
      <x:c r="T197" s="110" t="str">
        <x:f t="array" ref="T197">IF(C197&lt;&gt;"",_xlfn.IFS(T$10="TLA",RECORD!HI199,V$10="LECTURE","",TRUE(),""),"")</x:f>
      </x:c>
      <x:c r="U197" s="105" t="str">
        <x:f t="shared" si="56"/>
      </x:c>
      <x:c r="V197" s="104" t="str">
        <x:f t="array" ref="V197">IF(C197&lt;&gt;"",_xlfn.IFS(V$10="AT",RECORD!HC199,V$10="LECTURE",BF197,TRUE(),""),"")</x:f>
      </x:c>
      <x:c r="W197" s="106" t="str">
        <x:f t="shared" si="57"/>
      </x:c>
      <x:c r="X197" s="107" t="str">
        <x:f t="array" ref="X197">IF(C197&lt;&gt;"",_xlfn.IFS(X$10="EXAM",RECORD!HD199,X$10="OUTPUT",RECORD!HE199,X$10="LAB",CF197,TRUE(),""),"")</x:f>
      </x:c>
      <x:c r="Y197" s="106" t="str">
        <x:f t="shared" si="58"/>
      </x:c>
      <x:c r="Z197" s="108" t="str">
        <x:f t="shared" si="59"/>
      </x:c>
      <x:c r="AA197" s="109" t="str">
        <x:f t="shared" si="60"/>
      </x:c>
      <x:c r="AB197" s="111" t="str">
        <x:f t="shared" si="61"/>
      </x:c>
      <x:c r="AC197" s="109" t="str">
        <x:f t="shared" si="62"/>
      </x:c>
      <x:c r="AD197" s="112"/>
      <x:c r="AE197" s="102"/>
      <x:c r="AF197" s="113"/>
      <x:c r="AG197" s="112"/>
      <x:c r="AH197" s="103"/>
      <x:c r="AI197" s="114"/>
      <x:c r="AJ197" s="102"/>
      <x:c r="AK197" s="102"/>
      <x:c r="AL197" s="102"/>
      <x:c r="AM197" s="102"/>
      <x:c r="AN197" s="102"/>
      <x:c r="AO197" s="102"/>
      <x:c r="AP197" s="102"/>
      <x:c r="AQ197" s="109" t="str">
        <x:f t="shared" si="63"/>
        <x:v>FAILED</x:v>
      </x:c>
      <x:c r="AR197" s="115"/>
      <x:c r="AS197" s="115"/>
      <x:c r="AT197" s="107"/>
      <x:c r="AU197" s="107"/>
      <x:c r="AV197" s="107"/>
      <x:c r="AW197" s="107"/>
      <x:c r="AX197" s="107"/>
      <x:c r="AY197" s="109" t="str">
        <x:f t="shared" si="64"/>
        <x:v>FAILED</x:v>
      </x:c>
      <x:c r="AZ197" s="115"/>
      <x:c r="BA197" s="115"/>
      <x:c r="BB197" s="107"/>
      <x:c r="BC197" s="107"/>
      <x:c r="BD197" s="107"/>
      <x:c r="BE197" s="107"/>
      <x:c r="BF197" s="107"/>
      <x:c r="BG197" s="109" t="str">
        <x:f t="shared" si="65"/>
        <x:v>FAILED</x:v>
      </x:c>
      <x:c r="BH197" s="117"/>
      <x:c r="BI197" s="102"/>
      <x:c r="BJ197" s="102"/>
      <x:c r="BK197" s="102"/>
      <x:c r="BL197" s="102"/>
      <x:c r="BM197" s="102"/>
      <x:c r="BN197" s="102"/>
      <x:c r="BO197" s="102"/>
      <x:c r="BP197" s="102"/>
      <x:c r="BQ197" s="109" t="str">
        <x:f t="shared" si="66"/>
        <x:v>FAILED</x:v>
      </x:c>
      <x:c r="BR197" s="115"/>
      <x:c r="BS197" s="115"/>
      <x:c r="BT197" s="107"/>
      <x:c r="BU197" s="107"/>
      <x:c r="BV197" s="107"/>
      <x:c r="BW197" s="107"/>
      <x:c r="BX197" s="107"/>
      <x:c r="BY197" s="109" t="str">
        <x:f t="shared" si="67"/>
        <x:v>FAILED</x:v>
      </x:c>
      <x:c r="BZ197" s="115"/>
      <x:c r="CA197" s="115"/>
      <x:c r="CB197" s="107"/>
      <x:c r="CC197" s="107"/>
      <x:c r="CD197" s="107"/>
      <x:c r="CE197" s="107"/>
      <x:c r="CF197" s="107"/>
      <x:c r="CG197" s="109" t="str">
        <x:f t="shared" si="68"/>
        <x:v>FAILED</x:v>
      </x:c>
      <x:c r="CH197" s="117"/>
    </x:row>
    <x:row r="198">
      <x:c r="A198" s="102" t="str">
        <x:f>IF(RECORD!A200="","",RECORD!A200)</x:f>
      </x:c>
      <x:c r="B198" s="102" t="str">
        <x:f>IF(RECORD!B200="","",RECORD!B200)</x:f>
      </x:c>
      <x:c r="C198" s="103" t="str">
        <x:f>IF(RECORD!C200="","",RECORD!C200)</x:f>
      </x:c>
      <x:c r="D198" s="104" t="str">
        <x:f t="array" ref="D198">IF(C198&lt;&gt;"",IF(F$7="SUMMER","N/A",_xlfn.IFS(D$10="TLA",RECORD!GO200,F$10="LECTURE","",TRUE(),"")),"")</x:f>
      </x:c>
      <x:c r="E198" s="105" t="str">
        <x:f t="shared" si="46"/>
      </x:c>
      <x:c r="F198" s="104" t="str">
        <x:f t="array" ref="F198">IF(C198&lt;&gt;"",IF(F$7="SUMMER","N/A",_xlfn.IFS(F$10="AT",RECORD!GI200,F$10="LECTURE",GRADES!AP198,TRUE(),"")),"")</x:f>
      </x:c>
      <x:c r="G198" s="106" t="str">
        <x:f t="shared" si="47"/>
      </x:c>
      <x:c r="H198" s="107" t="str">
        <x:f t="array" ref="H198">IF(C198&lt;&gt;"",IF(F$7="SUMMER","N/A",_xlfn.IFS(H$10="EXAM",RECORD!GJ200,H$10="OUTPUT",RECORD!GK200,H$10="LAB",BP198,TRUE(),"")),"")</x:f>
      </x:c>
      <x:c r="I198" s="106" t="str">
        <x:f t="shared" si="48"/>
      </x:c>
      <x:c r="J198" s="108" t="str">
        <x:f t="shared" si="49"/>
      </x:c>
      <x:c r="K198" s="109" t="str">
        <x:f t="shared" si="50"/>
      </x:c>
      <x:c r="L198" s="110" t="str">
        <x:f t="array" ref="L198">IF(C198&lt;&gt;"",_xlfn.IFS(L$10="TLA",RECORD!GY200,N$10="LECTURE","",TRUE(),""),"")</x:f>
      </x:c>
      <x:c r="M198" s="105" t="str">
        <x:f t="shared" si="51"/>
      </x:c>
      <x:c r="N198" s="104" t="str">
        <x:f t="array" ref="N198">IF(C198&lt;&gt;"",_xlfn.IFS(N$10="AT",RECORD!GS200,N$10="LECTURE",AX198,TRUE(),""),"")</x:f>
      </x:c>
      <x:c r="O198" s="106" t="str">
        <x:f t="shared" si="52"/>
      </x:c>
      <x:c r="P198" s="107" t="str">
        <x:f t="array" ref="P198">IF(C198&lt;&gt;"",_xlfn.IFS(P$10="EXAM",RECORD!GT200,P$10="OUTPUT",RECORD!GU200,P$10="LAB",BX198,TRUE(),""),"")</x:f>
      </x:c>
      <x:c r="Q198" s="106" t="str">
        <x:f t="shared" si="53"/>
      </x:c>
      <x:c r="R198" s="108" t="str">
        <x:f t="shared" si="54"/>
      </x:c>
      <x:c r="S198" s="109" t="str">
        <x:f t="shared" si="55"/>
      </x:c>
      <x:c r="T198" s="110" t="str">
        <x:f t="array" ref="T198">IF(C198&lt;&gt;"",_xlfn.IFS(T$10="TLA",RECORD!HI200,V$10="LECTURE","",TRUE(),""),"")</x:f>
      </x:c>
      <x:c r="U198" s="105" t="str">
        <x:f t="shared" si="56"/>
      </x:c>
      <x:c r="V198" s="104" t="str">
        <x:f t="array" ref="V198">IF(C198&lt;&gt;"",_xlfn.IFS(V$10="AT",RECORD!HC200,V$10="LECTURE",BF198,TRUE(),""),"")</x:f>
      </x:c>
      <x:c r="W198" s="106" t="str">
        <x:f t="shared" si="57"/>
      </x:c>
      <x:c r="X198" s="107" t="str">
        <x:f t="array" ref="X198">IF(C198&lt;&gt;"",_xlfn.IFS(X$10="EXAM",RECORD!HD200,X$10="OUTPUT",RECORD!HE200,X$10="LAB",CF198,TRUE(),""),"")</x:f>
      </x:c>
      <x:c r="Y198" s="106" t="str">
        <x:f t="shared" si="58"/>
      </x:c>
      <x:c r="Z198" s="108" t="str">
        <x:f t="shared" si="59"/>
      </x:c>
      <x:c r="AA198" s="109" t="str">
        <x:f t="shared" si="60"/>
      </x:c>
      <x:c r="AB198" s="111" t="str">
        <x:f t="shared" si="61"/>
      </x:c>
      <x:c r="AC198" s="109" t="str">
        <x:f t="shared" si="62"/>
      </x:c>
      <x:c r="AD198" s="112"/>
      <x:c r="AE198" s="102"/>
      <x:c r="AF198" s="113"/>
      <x:c r="AG198" s="112"/>
      <x:c r="AH198" s="103"/>
      <x:c r="AI198" s="114"/>
      <x:c r="AJ198" s="102"/>
      <x:c r="AK198" s="102"/>
      <x:c r="AL198" s="102"/>
      <x:c r="AM198" s="102"/>
      <x:c r="AN198" s="102"/>
      <x:c r="AO198" s="102"/>
      <x:c r="AP198" s="102"/>
      <x:c r="AQ198" s="109" t="str">
        <x:f t="shared" si="63"/>
        <x:v>FAILED</x:v>
      </x:c>
      <x:c r="AR198" s="115"/>
      <x:c r="AS198" s="115"/>
      <x:c r="AT198" s="107"/>
      <x:c r="AU198" s="107"/>
      <x:c r="AV198" s="107"/>
      <x:c r="AW198" s="107"/>
      <x:c r="AX198" s="107"/>
      <x:c r="AY198" s="109" t="str">
        <x:f t="shared" si="64"/>
        <x:v>FAILED</x:v>
      </x:c>
      <x:c r="AZ198" s="115"/>
      <x:c r="BA198" s="115"/>
      <x:c r="BB198" s="107"/>
      <x:c r="BC198" s="107"/>
      <x:c r="BD198" s="107"/>
      <x:c r="BE198" s="107"/>
      <x:c r="BF198" s="107"/>
      <x:c r="BG198" s="109" t="str">
        <x:f t="shared" si="65"/>
        <x:v>FAILED</x:v>
      </x:c>
      <x:c r="BH198" s="117"/>
      <x:c r="BI198" s="102"/>
      <x:c r="BJ198" s="102"/>
      <x:c r="BK198" s="102"/>
      <x:c r="BL198" s="102"/>
      <x:c r="BM198" s="102"/>
      <x:c r="BN198" s="102"/>
      <x:c r="BO198" s="102"/>
      <x:c r="BP198" s="102"/>
      <x:c r="BQ198" s="109" t="str">
        <x:f t="shared" si="66"/>
        <x:v>FAILED</x:v>
      </x:c>
      <x:c r="BR198" s="115"/>
      <x:c r="BS198" s="115"/>
      <x:c r="BT198" s="107"/>
      <x:c r="BU198" s="107"/>
      <x:c r="BV198" s="107"/>
      <x:c r="BW198" s="107"/>
      <x:c r="BX198" s="107"/>
      <x:c r="BY198" s="109" t="str">
        <x:f t="shared" si="67"/>
        <x:v>FAILED</x:v>
      </x:c>
      <x:c r="BZ198" s="115"/>
      <x:c r="CA198" s="115"/>
      <x:c r="CB198" s="107"/>
      <x:c r="CC198" s="107"/>
      <x:c r="CD198" s="107"/>
      <x:c r="CE198" s="107"/>
      <x:c r="CF198" s="107"/>
      <x:c r="CG198" s="109" t="str">
        <x:f t="shared" si="68"/>
        <x:v>FAILED</x:v>
      </x:c>
      <x:c r="CH198" s="117"/>
    </x:row>
    <x:row r="199">
      <x:c r="A199" s="102" t="str">
        <x:f>IF(RECORD!A201="","",RECORD!A201)</x:f>
      </x:c>
      <x:c r="B199" s="102" t="str">
        <x:f>IF(RECORD!B201="","",RECORD!B201)</x:f>
      </x:c>
      <x:c r="C199" s="103" t="str">
        <x:f>IF(RECORD!C201="","",RECORD!C201)</x:f>
      </x:c>
      <x:c r="D199" s="104" t="str">
        <x:f t="array" ref="D199">IF(C199&lt;&gt;"",IF(F$7="SUMMER","N/A",_xlfn.IFS(D$10="TLA",RECORD!GO201,F$10="LECTURE","",TRUE(),"")),"")</x:f>
      </x:c>
      <x:c r="E199" s="105" t="str">
        <x:f t="shared" si="46"/>
      </x:c>
      <x:c r="F199" s="104" t="str">
        <x:f t="array" ref="F199">IF(C199&lt;&gt;"",IF(F$7="SUMMER","N/A",_xlfn.IFS(F$10="AT",RECORD!GI201,F$10="LECTURE",GRADES!AP199,TRUE(),"")),"")</x:f>
      </x:c>
      <x:c r="G199" s="106" t="str">
        <x:f t="shared" si="47"/>
      </x:c>
      <x:c r="H199" s="107" t="str">
        <x:f t="array" ref="H199">IF(C199&lt;&gt;"",IF(F$7="SUMMER","N/A",_xlfn.IFS(H$10="EXAM",RECORD!GJ201,H$10="OUTPUT",RECORD!GK201,H$10="LAB",BP199,TRUE(),"")),"")</x:f>
      </x:c>
      <x:c r="I199" s="106" t="str">
        <x:f t="shared" si="48"/>
      </x:c>
      <x:c r="J199" s="108" t="str">
        <x:f t="shared" si="49"/>
      </x:c>
      <x:c r="K199" s="109" t="str">
        <x:f t="shared" si="50"/>
      </x:c>
      <x:c r="L199" s="110" t="str">
        <x:f t="array" ref="L199">IF(C199&lt;&gt;"",_xlfn.IFS(L$10="TLA",RECORD!GY201,N$10="LECTURE","",TRUE(),""),"")</x:f>
      </x:c>
      <x:c r="M199" s="105" t="str">
        <x:f t="shared" si="51"/>
      </x:c>
      <x:c r="N199" s="104" t="str">
        <x:f t="array" ref="N199">IF(C199&lt;&gt;"",_xlfn.IFS(N$10="AT",RECORD!GS201,N$10="LECTURE",AX199,TRUE(),""),"")</x:f>
      </x:c>
      <x:c r="O199" s="106" t="str">
        <x:f t="shared" si="52"/>
      </x:c>
      <x:c r="P199" s="107" t="str">
        <x:f t="array" ref="P199">IF(C199&lt;&gt;"",_xlfn.IFS(P$10="EXAM",RECORD!GT201,P$10="OUTPUT",RECORD!GU201,P$10="LAB",BX199,TRUE(),""),"")</x:f>
      </x:c>
      <x:c r="Q199" s="106" t="str">
        <x:f t="shared" si="53"/>
      </x:c>
      <x:c r="R199" s="108" t="str">
        <x:f t="shared" si="54"/>
      </x:c>
      <x:c r="S199" s="109" t="str">
        <x:f t="shared" si="55"/>
      </x:c>
      <x:c r="T199" s="110" t="str">
        <x:f t="array" ref="T199">IF(C199&lt;&gt;"",_xlfn.IFS(T$10="TLA",RECORD!HI201,V$10="LECTURE","",TRUE(),""),"")</x:f>
      </x:c>
      <x:c r="U199" s="105" t="str">
        <x:f t="shared" si="56"/>
      </x:c>
      <x:c r="V199" s="104" t="str">
        <x:f t="array" ref="V199">IF(C199&lt;&gt;"",_xlfn.IFS(V$10="AT",RECORD!HC201,V$10="LECTURE",BF199,TRUE(),""),"")</x:f>
      </x:c>
      <x:c r="W199" s="106" t="str">
        <x:f t="shared" si="57"/>
      </x:c>
      <x:c r="X199" s="107" t="str">
        <x:f t="array" ref="X199">IF(C199&lt;&gt;"",_xlfn.IFS(X$10="EXAM",RECORD!HD201,X$10="OUTPUT",RECORD!HE201,X$10="LAB",CF199,TRUE(),""),"")</x:f>
      </x:c>
      <x:c r="Y199" s="106" t="str">
        <x:f t="shared" si="58"/>
      </x:c>
      <x:c r="Z199" s="108" t="str">
        <x:f t="shared" si="59"/>
      </x:c>
      <x:c r="AA199" s="109" t="str">
        <x:f t="shared" si="60"/>
      </x:c>
      <x:c r="AB199" s="111" t="str">
        <x:f t="shared" si="61"/>
      </x:c>
      <x:c r="AC199" s="109" t="str">
        <x:f t="shared" si="62"/>
      </x:c>
      <x:c r="AD199" s="112"/>
      <x:c r="AE199" s="102"/>
      <x:c r="AF199" s="113"/>
      <x:c r="AG199" s="112"/>
      <x:c r="AH199" s="103"/>
      <x:c r="AI199" s="114"/>
      <x:c r="AJ199" s="102"/>
      <x:c r="AK199" s="102"/>
      <x:c r="AL199" s="102"/>
      <x:c r="AM199" s="102"/>
      <x:c r="AN199" s="102"/>
      <x:c r="AO199" s="102"/>
      <x:c r="AP199" s="102"/>
      <x:c r="AQ199" s="109" t="str">
        <x:f t="shared" si="63"/>
        <x:v>FAILED</x:v>
      </x:c>
      <x:c r="AR199" s="115"/>
      <x:c r="AS199" s="115"/>
      <x:c r="AT199" s="107"/>
      <x:c r="AU199" s="107"/>
      <x:c r="AV199" s="107"/>
      <x:c r="AW199" s="107"/>
      <x:c r="AX199" s="107"/>
      <x:c r="AY199" s="109" t="str">
        <x:f t="shared" si="64"/>
        <x:v>FAILED</x:v>
      </x:c>
      <x:c r="AZ199" s="115"/>
      <x:c r="BA199" s="115"/>
      <x:c r="BB199" s="107"/>
      <x:c r="BC199" s="107"/>
      <x:c r="BD199" s="107"/>
      <x:c r="BE199" s="107"/>
      <x:c r="BF199" s="107"/>
      <x:c r="BG199" s="109" t="str">
        <x:f t="shared" si="65"/>
        <x:v>FAILED</x:v>
      </x:c>
      <x:c r="BH199" s="117"/>
      <x:c r="BI199" s="102"/>
      <x:c r="BJ199" s="102"/>
      <x:c r="BK199" s="102"/>
      <x:c r="BL199" s="102"/>
      <x:c r="BM199" s="102"/>
      <x:c r="BN199" s="102"/>
      <x:c r="BO199" s="102"/>
      <x:c r="BP199" s="102"/>
      <x:c r="BQ199" s="109" t="str">
        <x:f t="shared" si="66"/>
        <x:v>FAILED</x:v>
      </x:c>
      <x:c r="BR199" s="115"/>
      <x:c r="BS199" s="115"/>
      <x:c r="BT199" s="107"/>
      <x:c r="BU199" s="107"/>
      <x:c r="BV199" s="107"/>
      <x:c r="BW199" s="107"/>
      <x:c r="BX199" s="107"/>
      <x:c r="BY199" s="109" t="str">
        <x:f t="shared" si="67"/>
        <x:v>FAILED</x:v>
      </x:c>
      <x:c r="BZ199" s="115"/>
      <x:c r="CA199" s="115"/>
      <x:c r="CB199" s="107"/>
      <x:c r="CC199" s="107"/>
      <x:c r="CD199" s="107"/>
      <x:c r="CE199" s="107"/>
      <x:c r="CF199" s="107"/>
      <x:c r="CG199" s="109" t="str">
        <x:f t="shared" si="68"/>
        <x:v>FAILED</x:v>
      </x:c>
      <x:c r="CH199" s="117"/>
    </x:row>
    <x:row r="200">
      <x:c r="A200" s="102" t="str">
        <x:f>IF(RECORD!A202="","",RECORD!A202)</x:f>
      </x:c>
      <x:c r="B200" s="102" t="str">
        <x:f>IF(RECORD!B202="","",RECORD!B202)</x:f>
      </x:c>
      <x:c r="C200" s="103" t="str">
        <x:f>IF(RECORD!C202="","",RECORD!C202)</x:f>
      </x:c>
      <x:c r="D200" s="104" t="str">
        <x:f t="array" ref="D200">IF(C200&lt;&gt;"",IF(F$7="SUMMER","N/A",_xlfn.IFS(D$10="TLA",RECORD!GO202,F$10="LECTURE","",TRUE(),"")),"")</x:f>
      </x:c>
      <x:c r="E200" s="105" t="str">
        <x:f t="shared" si="46"/>
      </x:c>
      <x:c r="F200" s="104" t="str">
        <x:f t="array" ref="F200">IF(C200&lt;&gt;"",IF(F$7="SUMMER","N/A",_xlfn.IFS(F$10="AT",RECORD!GI202,F$10="LECTURE",GRADES!AP200,TRUE(),"")),"")</x:f>
      </x:c>
      <x:c r="G200" s="106" t="str">
        <x:f t="shared" si="47"/>
      </x:c>
      <x:c r="H200" s="107" t="str">
        <x:f t="array" ref="H200">IF(C200&lt;&gt;"",IF(F$7="SUMMER","N/A",_xlfn.IFS(H$10="EXAM",RECORD!GJ202,H$10="OUTPUT",RECORD!GK202,H$10="LAB",BP200,TRUE(),"")),"")</x:f>
      </x:c>
      <x:c r="I200" s="106" t="str">
        <x:f t="shared" si="48"/>
      </x:c>
      <x:c r="J200" s="108" t="str">
        <x:f t="shared" si="49"/>
      </x:c>
      <x:c r="K200" s="109" t="str">
        <x:f t="shared" si="50"/>
      </x:c>
      <x:c r="L200" s="110" t="str">
        <x:f t="array" ref="L200">IF(C200&lt;&gt;"",_xlfn.IFS(L$10="TLA",RECORD!GY202,N$10="LECTURE","",TRUE(),""),"")</x:f>
      </x:c>
      <x:c r="M200" s="105" t="str">
        <x:f t="shared" si="51"/>
      </x:c>
      <x:c r="N200" s="104" t="str">
        <x:f t="array" ref="N200">IF(C200&lt;&gt;"",_xlfn.IFS(N$10="AT",RECORD!GS202,N$10="LECTURE",AX200,TRUE(),""),"")</x:f>
      </x:c>
      <x:c r="O200" s="106" t="str">
        <x:f t="shared" si="52"/>
      </x:c>
      <x:c r="P200" s="107" t="str">
        <x:f t="array" ref="P200">IF(C200&lt;&gt;"",_xlfn.IFS(P$10="EXAM",RECORD!GT202,P$10="OUTPUT",RECORD!GU202,P$10="LAB",BX200,TRUE(),""),"")</x:f>
      </x:c>
      <x:c r="Q200" s="106" t="str">
        <x:f t="shared" si="53"/>
      </x:c>
      <x:c r="R200" s="108" t="str">
        <x:f t="shared" si="54"/>
      </x:c>
      <x:c r="S200" s="109" t="str">
        <x:f t="shared" si="55"/>
      </x:c>
      <x:c r="T200" s="110" t="str">
        <x:f t="array" ref="T200">IF(C200&lt;&gt;"",_xlfn.IFS(T$10="TLA",RECORD!HI202,V$10="LECTURE","",TRUE(),""),"")</x:f>
      </x:c>
      <x:c r="U200" s="105" t="str">
        <x:f t="shared" si="56"/>
      </x:c>
      <x:c r="V200" s="104" t="str">
        <x:f t="array" ref="V200">IF(C200&lt;&gt;"",_xlfn.IFS(V$10="AT",RECORD!HC202,V$10="LECTURE",BF200,TRUE(),""),"")</x:f>
      </x:c>
      <x:c r="W200" s="106" t="str">
        <x:f t="shared" si="57"/>
      </x:c>
      <x:c r="X200" s="107" t="str">
        <x:f t="array" ref="X200">IF(C200&lt;&gt;"",_xlfn.IFS(X$10="EXAM",RECORD!HD202,X$10="OUTPUT",RECORD!HE202,X$10="LAB",CF200,TRUE(),""),"")</x:f>
      </x:c>
      <x:c r="Y200" s="106" t="str">
        <x:f t="shared" si="58"/>
      </x:c>
      <x:c r="Z200" s="108" t="str">
        <x:f t="shared" si="59"/>
      </x:c>
      <x:c r="AA200" s="109" t="str">
        <x:f t="shared" si="60"/>
      </x:c>
      <x:c r="AB200" s="111" t="str">
        <x:f t="shared" si="61"/>
      </x:c>
      <x:c r="AC200" s="109" t="str">
        <x:f t="shared" si="62"/>
      </x:c>
      <x:c r="AD200" s="112"/>
      <x:c r="AE200" s="102"/>
      <x:c r="AF200" s="113"/>
      <x:c r="AG200" s="112"/>
      <x:c r="AH200" s="103"/>
      <x:c r="AI200" s="114"/>
      <x:c r="AJ200" s="102"/>
      <x:c r="AK200" s="102"/>
      <x:c r="AL200" s="102"/>
      <x:c r="AM200" s="102"/>
      <x:c r="AN200" s="102"/>
      <x:c r="AO200" s="102"/>
      <x:c r="AP200" s="102"/>
      <x:c r="AQ200" s="109" t="str">
        <x:f t="shared" si="63"/>
        <x:v>FAILED</x:v>
      </x:c>
      <x:c r="AR200" s="115"/>
      <x:c r="AS200" s="115"/>
      <x:c r="AT200" s="107"/>
      <x:c r="AU200" s="107"/>
      <x:c r="AV200" s="107"/>
      <x:c r="AW200" s="107"/>
      <x:c r="AX200" s="107"/>
      <x:c r="AY200" s="109" t="str">
        <x:f t="shared" si="64"/>
        <x:v>FAILED</x:v>
      </x:c>
      <x:c r="AZ200" s="115"/>
      <x:c r="BA200" s="115"/>
      <x:c r="BB200" s="107"/>
      <x:c r="BC200" s="107"/>
      <x:c r="BD200" s="107"/>
      <x:c r="BE200" s="107"/>
      <x:c r="BF200" s="107"/>
      <x:c r="BG200" s="109" t="str">
        <x:f t="shared" si="65"/>
        <x:v>FAILED</x:v>
      </x:c>
      <x:c r="BH200" s="117"/>
      <x:c r="BI200" s="102"/>
      <x:c r="BJ200" s="102"/>
      <x:c r="BK200" s="102"/>
      <x:c r="BL200" s="102"/>
      <x:c r="BM200" s="102"/>
      <x:c r="BN200" s="102"/>
      <x:c r="BO200" s="102"/>
      <x:c r="BP200" s="102"/>
      <x:c r="BQ200" s="109" t="str">
        <x:f t="shared" si="66"/>
        <x:v>FAILED</x:v>
      </x:c>
      <x:c r="BR200" s="115"/>
      <x:c r="BS200" s="115"/>
      <x:c r="BT200" s="107"/>
      <x:c r="BU200" s="107"/>
      <x:c r="BV200" s="107"/>
      <x:c r="BW200" s="107"/>
      <x:c r="BX200" s="107"/>
      <x:c r="BY200" s="109" t="str">
        <x:f t="shared" si="67"/>
        <x:v>FAILED</x:v>
      </x:c>
      <x:c r="BZ200" s="115"/>
      <x:c r="CA200" s="115"/>
      <x:c r="CB200" s="107"/>
      <x:c r="CC200" s="107"/>
      <x:c r="CD200" s="107"/>
      <x:c r="CE200" s="107"/>
      <x:c r="CF200" s="107"/>
      <x:c r="CG200" s="109" t="str">
        <x:f t="shared" si="68"/>
        <x:v>FAILED</x:v>
      </x:c>
      <x:c r="CH200" s="117"/>
    </x:row>
    <x:row r="201">
      <x:c r="A201" s="102" t="str">
        <x:f>IF(RECORD!A203="","",RECORD!A203)</x:f>
      </x:c>
      <x:c r="B201" s="102" t="str">
        <x:f>IF(RECORD!B203="","",RECORD!B203)</x:f>
      </x:c>
      <x:c r="C201" s="103" t="str">
        <x:f>IF(RECORD!C203="","",RECORD!C203)</x:f>
      </x:c>
      <x:c r="D201" s="104" t="str">
        <x:f t="array" ref="D201">IF(C201&lt;&gt;"",IF(F$7="SUMMER","N/A",_xlfn.IFS(D$10="TLA",RECORD!GO203,F$10="LECTURE","",TRUE(),"")),"")</x:f>
      </x:c>
      <x:c r="E201" s="105" t="str">
        <x:f t="shared" si="46"/>
      </x:c>
      <x:c r="F201" s="104" t="str">
        <x:f t="array" ref="F201">IF(C201&lt;&gt;"",IF(F$7="SUMMER","N/A",_xlfn.IFS(F$10="AT",RECORD!GI203,F$10="LECTURE",GRADES!AP201,TRUE(),"")),"")</x:f>
      </x:c>
      <x:c r="G201" s="106" t="str">
        <x:f t="shared" si="47"/>
      </x:c>
      <x:c r="H201" s="107" t="str">
        <x:f t="array" ref="H201">IF(C201&lt;&gt;"",IF(F$7="SUMMER","N/A",_xlfn.IFS(H$10="EXAM",RECORD!GJ203,H$10="OUTPUT",RECORD!GK203,H$10="LAB",BP201,TRUE(),"")),"")</x:f>
      </x:c>
      <x:c r="I201" s="106" t="str">
        <x:f t="shared" si="48"/>
      </x:c>
      <x:c r="J201" s="108" t="str">
        <x:f t="shared" si="49"/>
      </x:c>
      <x:c r="K201" s="109" t="str">
        <x:f t="shared" si="50"/>
      </x:c>
      <x:c r="L201" s="110" t="str">
        <x:f t="array" ref="L201">IF(C201&lt;&gt;"",_xlfn.IFS(L$10="TLA",RECORD!GY203,N$10="LECTURE","",TRUE(),""),"")</x:f>
      </x:c>
      <x:c r="M201" s="105" t="str">
        <x:f t="shared" si="51"/>
      </x:c>
      <x:c r="N201" s="104" t="str">
        <x:f t="array" ref="N201">IF(C201&lt;&gt;"",_xlfn.IFS(N$10="AT",RECORD!GS203,N$10="LECTURE",AX201,TRUE(),""),"")</x:f>
      </x:c>
      <x:c r="O201" s="106" t="str">
        <x:f t="shared" si="52"/>
      </x:c>
      <x:c r="P201" s="107" t="str">
        <x:f t="array" ref="P201">IF(C201&lt;&gt;"",_xlfn.IFS(P$10="EXAM",RECORD!GT203,P$10="OUTPUT",RECORD!GU203,P$10="LAB",BX201,TRUE(),""),"")</x:f>
      </x:c>
      <x:c r="Q201" s="106" t="str">
        <x:f t="shared" si="53"/>
      </x:c>
      <x:c r="R201" s="108" t="str">
        <x:f t="shared" si="54"/>
      </x:c>
      <x:c r="S201" s="109" t="str">
        <x:f t="shared" si="55"/>
      </x:c>
      <x:c r="T201" s="110" t="str">
        <x:f t="array" ref="T201">IF(C201&lt;&gt;"",_xlfn.IFS(T$10="TLA",RECORD!HI203,V$10="LECTURE","",TRUE(),""),"")</x:f>
      </x:c>
      <x:c r="U201" s="105" t="str">
        <x:f t="shared" si="56"/>
      </x:c>
      <x:c r="V201" s="104" t="str">
        <x:f t="array" ref="V201">IF(C201&lt;&gt;"",_xlfn.IFS(V$10="AT",RECORD!HC203,V$10="LECTURE",BF201,TRUE(),""),"")</x:f>
      </x:c>
      <x:c r="W201" s="106" t="str">
        <x:f t="shared" si="57"/>
      </x:c>
      <x:c r="X201" s="107" t="str">
        <x:f t="array" ref="X201">IF(C201&lt;&gt;"",_xlfn.IFS(X$10="EXAM",RECORD!HD203,X$10="OUTPUT",RECORD!HE203,X$10="LAB",CF201,TRUE(),""),"")</x:f>
      </x:c>
      <x:c r="Y201" s="106" t="str">
        <x:f t="shared" si="58"/>
      </x:c>
      <x:c r="Z201" s="108" t="str">
        <x:f t="shared" si="59"/>
      </x:c>
      <x:c r="AA201" s="109" t="str">
        <x:f t="shared" si="60"/>
      </x:c>
      <x:c r="AB201" s="111" t="str">
        <x:f t="shared" si="61"/>
      </x:c>
      <x:c r="AC201" s="109" t="str">
        <x:f t="shared" si="62"/>
      </x:c>
      <x:c r="AD201" s="112"/>
      <x:c r="AE201" s="102"/>
      <x:c r="AF201" s="113"/>
      <x:c r="AG201" s="112"/>
      <x:c r="AH201" s="103"/>
      <x:c r="AI201" s="114"/>
      <x:c r="AJ201" s="102"/>
      <x:c r="AK201" s="102"/>
      <x:c r="AL201" s="102"/>
      <x:c r="AM201" s="102"/>
      <x:c r="AN201" s="102"/>
      <x:c r="AO201" s="102"/>
      <x:c r="AP201" s="102"/>
      <x:c r="AQ201" s="109" t="str">
        <x:f t="shared" si="63"/>
        <x:v>FAILED</x:v>
      </x:c>
      <x:c r="AR201" s="115"/>
      <x:c r="AS201" s="115"/>
      <x:c r="AT201" s="107"/>
      <x:c r="AU201" s="107"/>
      <x:c r="AV201" s="107"/>
      <x:c r="AW201" s="107"/>
      <x:c r="AX201" s="107"/>
      <x:c r="AY201" s="109" t="str">
        <x:f t="shared" si="64"/>
        <x:v>FAILED</x:v>
      </x:c>
      <x:c r="AZ201" s="115"/>
      <x:c r="BA201" s="115"/>
      <x:c r="BB201" s="107"/>
      <x:c r="BC201" s="107"/>
      <x:c r="BD201" s="107"/>
      <x:c r="BE201" s="107"/>
      <x:c r="BF201" s="107"/>
      <x:c r="BG201" s="109" t="str">
        <x:f t="shared" si="65"/>
        <x:v>FAILED</x:v>
      </x:c>
      <x:c r="BH201" s="117"/>
      <x:c r="BI201" s="102"/>
      <x:c r="BJ201" s="102"/>
      <x:c r="BK201" s="102"/>
      <x:c r="BL201" s="102"/>
      <x:c r="BM201" s="102"/>
      <x:c r="BN201" s="102"/>
      <x:c r="BO201" s="102"/>
      <x:c r="BP201" s="102"/>
      <x:c r="BQ201" s="109" t="str">
        <x:f t="shared" si="66"/>
        <x:v>FAILED</x:v>
      </x:c>
      <x:c r="BR201" s="115"/>
      <x:c r="BS201" s="115"/>
      <x:c r="BT201" s="107"/>
      <x:c r="BU201" s="107"/>
      <x:c r="BV201" s="107"/>
      <x:c r="BW201" s="107"/>
      <x:c r="BX201" s="107"/>
      <x:c r="BY201" s="109" t="str">
        <x:f t="shared" si="67"/>
        <x:v>FAILED</x:v>
      </x:c>
      <x:c r="BZ201" s="115"/>
      <x:c r="CA201" s="115"/>
      <x:c r="CB201" s="107"/>
      <x:c r="CC201" s="107"/>
      <x:c r="CD201" s="107"/>
      <x:c r="CE201" s="107"/>
      <x:c r="CF201" s="107"/>
      <x:c r="CG201" s="109" t="str">
        <x:f t="shared" si="68"/>
        <x:v>FAILED</x:v>
      </x:c>
      <x:c r="CH201" s="117"/>
    </x:row>
    <x:row r="202">
      <x:c r="A202" s="102" t="str">
        <x:f>IF(RECORD!A204="","",RECORD!A204)</x:f>
      </x:c>
      <x:c r="B202" s="102" t="str">
        <x:f>IF(RECORD!B204="","",RECORD!B204)</x:f>
      </x:c>
      <x:c r="C202" s="103" t="str">
        <x:f>IF(RECORD!C204="","",RECORD!C204)</x:f>
      </x:c>
      <x:c r="D202" s="104" t="str">
        <x:f t="array" ref="D202">IF(C202&lt;&gt;"",IF(F$7="SUMMER","N/A",_xlfn.IFS(D$10="TLA",RECORD!GO204,F$10="LECTURE","",TRUE(),"")),"")</x:f>
      </x:c>
      <x:c r="E202" s="105" t="str">
        <x:f t="shared" si="46"/>
      </x:c>
      <x:c r="F202" s="104" t="str">
        <x:f t="array" ref="F202">IF(C202&lt;&gt;"",IF(F$7="SUMMER","N/A",_xlfn.IFS(F$10="AT",RECORD!GI204,F$10="LECTURE",GRADES!AP202,TRUE(),"")),"")</x:f>
      </x:c>
      <x:c r="G202" s="106" t="str">
        <x:f t="shared" si="47"/>
      </x:c>
      <x:c r="H202" s="107" t="str">
        <x:f t="array" ref="H202">IF(C202&lt;&gt;"",IF(F$7="SUMMER","N/A",_xlfn.IFS(H$10="EXAM",RECORD!GJ204,H$10="OUTPUT",RECORD!GK204,H$10="LAB",BP202,TRUE(),"")),"")</x:f>
      </x:c>
      <x:c r="I202" s="106" t="str">
        <x:f t="shared" si="48"/>
      </x:c>
      <x:c r="J202" s="108" t="str">
        <x:f t="shared" si="49"/>
      </x:c>
      <x:c r="K202" s="109" t="str">
        <x:f t="shared" si="50"/>
      </x:c>
      <x:c r="L202" s="110" t="str">
        <x:f t="array" ref="L202">IF(C202&lt;&gt;"",_xlfn.IFS(L$10="TLA",RECORD!GY204,N$10="LECTURE","",TRUE(),""),"")</x:f>
      </x:c>
      <x:c r="M202" s="105" t="str">
        <x:f t="shared" si="51"/>
      </x:c>
      <x:c r="N202" s="104" t="str">
        <x:f t="array" ref="N202">IF(C202&lt;&gt;"",_xlfn.IFS(N$10="AT",RECORD!GS204,N$10="LECTURE",AX202,TRUE(),""),"")</x:f>
      </x:c>
      <x:c r="O202" s="106" t="str">
        <x:f t="shared" si="52"/>
      </x:c>
      <x:c r="P202" s="107" t="str">
        <x:f t="array" ref="P202">IF(C202&lt;&gt;"",_xlfn.IFS(P$10="EXAM",RECORD!GT204,P$10="OUTPUT",RECORD!GU204,P$10="LAB",BX202,TRUE(),""),"")</x:f>
      </x:c>
      <x:c r="Q202" s="106" t="str">
        <x:f t="shared" si="53"/>
      </x:c>
      <x:c r="R202" s="108" t="str">
        <x:f t="shared" si="54"/>
      </x:c>
      <x:c r="S202" s="109" t="str">
        <x:f t="shared" si="55"/>
      </x:c>
      <x:c r="T202" s="110" t="str">
        <x:f t="array" ref="T202">IF(C202&lt;&gt;"",_xlfn.IFS(T$10="TLA",RECORD!HI204,V$10="LECTURE","",TRUE(),""),"")</x:f>
      </x:c>
      <x:c r="U202" s="105" t="str">
        <x:f t="shared" si="56"/>
      </x:c>
      <x:c r="V202" s="104" t="str">
        <x:f t="array" ref="V202">IF(C202&lt;&gt;"",_xlfn.IFS(V$10="AT",RECORD!HC204,V$10="LECTURE",BF202,TRUE(),""),"")</x:f>
      </x:c>
      <x:c r="W202" s="106" t="str">
        <x:f t="shared" si="57"/>
      </x:c>
      <x:c r="X202" s="107" t="str">
        <x:f t="array" ref="X202">IF(C202&lt;&gt;"",_xlfn.IFS(X$10="EXAM",RECORD!HD204,X$10="OUTPUT",RECORD!HE204,X$10="LAB",CF202,TRUE(),""),"")</x:f>
      </x:c>
      <x:c r="Y202" s="106" t="str">
        <x:f t="shared" si="58"/>
      </x:c>
      <x:c r="Z202" s="108" t="str">
        <x:f t="shared" si="59"/>
      </x:c>
      <x:c r="AA202" s="109" t="str">
        <x:f t="shared" si="60"/>
      </x:c>
      <x:c r="AB202" s="111" t="str">
        <x:f t="shared" si="61"/>
      </x:c>
      <x:c r="AC202" s="109" t="str">
        <x:f t="shared" si="62"/>
      </x:c>
      <x:c r="AD202" s="112"/>
      <x:c r="AE202" s="102"/>
      <x:c r="AF202" s="113"/>
      <x:c r="AG202" s="112"/>
      <x:c r="AH202" s="103"/>
      <x:c r="AI202" s="114"/>
      <x:c r="AJ202" s="102"/>
      <x:c r="AK202" s="102"/>
      <x:c r="AL202" s="102"/>
      <x:c r="AM202" s="102"/>
      <x:c r="AN202" s="102"/>
      <x:c r="AO202" s="102"/>
      <x:c r="AP202" s="102"/>
      <x:c r="AQ202" s="109" t="str">
        <x:f t="shared" si="63"/>
        <x:v>FAILED</x:v>
      </x:c>
      <x:c r="AR202" s="115"/>
      <x:c r="AS202" s="115"/>
      <x:c r="AT202" s="107"/>
      <x:c r="AU202" s="107"/>
      <x:c r="AV202" s="107"/>
      <x:c r="AW202" s="107"/>
      <x:c r="AX202" s="107"/>
      <x:c r="AY202" s="109" t="str">
        <x:f t="shared" si="64"/>
        <x:v>FAILED</x:v>
      </x:c>
      <x:c r="AZ202" s="115"/>
      <x:c r="BA202" s="115"/>
      <x:c r="BB202" s="107"/>
      <x:c r="BC202" s="107"/>
      <x:c r="BD202" s="107"/>
      <x:c r="BE202" s="107"/>
      <x:c r="BF202" s="107"/>
      <x:c r="BG202" s="109" t="str">
        <x:f t="shared" si="65"/>
        <x:v>FAILED</x:v>
      </x:c>
      <x:c r="BH202" s="117"/>
      <x:c r="BI202" s="102"/>
      <x:c r="BJ202" s="102"/>
      <x:c r="BK202" s="102"/>
      <x:c r="BL202" s="102"/>
      <x:c r="BM202" s="102"/>
      <x:c r="BN202" s="102"/>
      <x:c r="BO202" s="102"/>
      <x:c r="BP202" s="102"/>
      <x:c r="BQ202" s="109" t="str">
        <x:f t="shared" si="66"/>
        <x:v>FAILED</x:v>
      </x:c>
      <x:c r="BR202" s="115"/>
      <x:c r="BS202" s="115"/>
      <x:c r="BT202" s="107"/>
      <x:c r="BU202" s="107"/>
      <x:c r="BV202" s="107"/>
      <x:c r="BW202" s="107"/>
      <x:c r="BX202" s="107"/>
      <x:c r="BY202" s="109" t="str">
        <x:f t="shared" si="67"/>
        <x:v>FAILED</x:v>
      </x:c>
      <x:c r="BZ202" s="115"/>
      <x:c r="CA202" s="115"/>
      <x:c r="CB202" s="107"/>
      <x:c r="CC202" s="107"/>
      <x:c r="CD202" s="107"/>
      <x:c r="CE202" s="107"/>
      <x:c r="CF202" s="107"/>
      <x:c r="CG202" s="109" t="str">
        <x:f t="shared" si="68"/>
        <x:v>FAILED</x:v>
      </x:c>
      <x:c r="CH202" s="117"/>
    </x:row>
    <x:row r="203">
      <x:c r="A203" s="102" t="str">
        <x:f>IF(RECORD!A205="","",RECORD!A205)</x:f>
      </x:c>
      <x:c r="B203" s="102" t="str">
        <x:f>IF(RECORD!B205="","",RECORD!B205)</x:f>
      </x:c>
      <x:c r="C203" s="103" t="str">
        <x:f>IF(RECORD!C205="","",RECORD!C205)</x:f>
      </x:c>
      <x:c r="D203" s="104" t="str">
        <x:f t="array" ref="D203">IF(C203&lt;&gt;"",IF(F$7="SUMMER","N/A",_xlfn.IFS(D$10="TLA",RECORD!GO205,F$10="LECTURE","",TRUE(),"")),"")</x:f>
      </x:c>
      <x:c r="E203" s="105" t="str">
        <x:f t="shared" si="46"/>
      </x:c>
      <x:c r="F203" s="104" t="str">
        <x:f t="array" ref="F203">IF(C203&lt;&gt;"",IF(F$7="SUMMER","N/A",_xlfn.IFS(F$10="AT",RECORD!GI205,F$10="LECTURE",GRADES!AP203,TRUE(),"")),"")</x:f>
      </x:c>
      <x:c r="G203" s="106" t="str">
        <x:f t="shared" si="47"/>
      </x:c>
      <x:c r="H203" s="107" t="str">
        <x:f t="array" ref="H203">IF(C203&lt;&gt;"",IF(F$7="SUMMER","N/A",_xlfn.IFS(H$10="EXAM",RECORD!GJ205,H$10="OUTPUT",RECORD!GK205,H$10="LAB",BP203,TRUE(),"")),"")</x:f>
      </x:c>
      <x:c r="I203" s="106" t="str">
        <x:f t="shared" si="48"/>
      </x:c>
      <x:c r="J203" s="108" t="str">
        <x:f t="shared" si="49"/>
      </x:c>
      <x:c r="K203" s="109" t="str">
        <x:f t="shared" si="50"/>
      </x:c>
      <x:c r="L203" s="110" t="str">
        <x:f t="array" ref="L203">IF(C203&lt;&gt;"",_xlfn.IFS(L$10="TLA",RECORD!GY205,N$10="LECTURE","",TRUE(),""),"")</x:f>
      </x:c>
      <x:c r="M203" s="105" t="str">
        <x:f t="shared" si="51"/>
      </x:c>
      <x:c r="N203" s="104" t="str">
        <x:f t="array" ref="N203">IF(C203&lt;&gt;"",_xlfn.IFS(N$10="AT",RECORD!GS205,N$10="LECTURE",AX203,TRUE(),""),"")</x:f>
      </x:c>
      <x:c r="O203" s="106" t="str">
        <x:f t="shared" si="52"/>
      </x:c>
      <x:c r="P203" s="107" t="str">
        <x:f t="array" ref="P203">IF(C203&lt;&gt;"",_xlfn.IFS(P$10="EXAM",RECORD!GT205,P$10="OUTPUT",RECORD!GU205,P$10="LAB",BX203,TRUE(),""),"")</x:f>
      </x:c>
      <x:c r="Q203" s="106" t="str">
        <x:f t="shared" si="53"/>
      </x:c>
      <x:c r="R203" s="108" t="str">
        <x:f t="shared" si="54"/>
      </x:c>
      <x:c r="S203" s="109" t="str">
        <x:f t="shared" si="55"/>
      </x:c>
      <x:c r="T203" s="110" t="str">
        <x:f t="array" ref="T203">IF(C203&lt;&gt;"",_xlfn.IFS(T$10="TLA",RECORD!HI205,V$10="LECTURE","",TRUE(),""),"")</x:f>
      </x:c>
      <x:c r="U203" s="105" t="str">
        <x:f t="shared" si="56"/>
      </x:c>
      <x:c r="V203" s="104" t="str">
        <x:f t="array" ref="V203">IF(C203&lt;&gt;"",_xlfn.IFS(V$10="AT",RECORD!HC205,V$10="LECTURE",BF203,TRUE(),""),"")</x:f>
      </x:c>
      <x:c r="W203" s="106" t="str">
        <x:f t="shared" si="57"/>
      </x:c>
      <x:c r="X203" s="107" t="str">
        <x:f t="array" ref="X203">IF(C203&lt;&gt;"",_xlfn.IFS(X$10="EXAM",RECORD!HD205,X$10="OUTPUT",RECORD!HE205,X$10="LAB",CF203,TRUE(),""),"")</x:f>
      </x:c>
      <x:c r="Y203" s="106" t="str">
        <x:f t="shared" si="58"/>
      </x:c>
      <x:c r="Z203" s="108" t="str">
        <x:f t="shared" si="59"/>
      </x:c>
      <x:c r="AA203" s="109" t="str">
        <x:f t="shared" si="60"/>
      </x:c>
      <x:c r="AB203" s="111" t="str">
        <x:f t="shared" si="61"/>
      </x:c>
      <x:c r="AC203" s="109" t="str">
        <x:f t="shared" si="62"/>
      </x:c>
      <x:c r="AD203" s="112"/>
      <x:c r="AE203" s="102"/>
      <x:c r="AF203" s="113"/>
      <x:c r="AG203" s="112"/>
      <x:c r="AH203" s="103"/>
      <x:c r="AI203" s="114"/>
      <x:c r="AJ203" s="102"/>
      <x:c r="AK203" s="102"/>
      <x:c r="AL203" s="102"/>
      <x:c r="AM203" s="102"/>
      <x:c r="AN203" s="102"/>
      <x:c r="AO203" s="102"/>
      <x:c r="AP203" s="102"/>
      <x:c r="AQ203" s="109" t="str">
        <x:f t="shared" si="63"/>
        <x:v>FAILED</x:v>
      </x:c>
      <x:c r="AR203" s="115"/>
      <x:c r="AS203" s="115"/>
      <x:c r="AT203" s="107"/>
      <x:c r="AU203" s="107"/>
      <x:c r="AV203" s="107"/>
      <x:c r="AW203" s="107"/>
      <x:c r="AX203" s="107"/>
      <x:c r="AY203" s="109" t="str">
        <x:f t="shared" si="64"/>
        <x:v>FAILED</x:v>
      </x:c>
      <x:c r="AZ203" s="115"/>
      <x:c r="BA203" s="115"/>
      <x:c r="BB203" s="107"/>
      <x:c r="BC203" s="107"/>
      <x:c r="BD203" s="107"/>
      <x:c r="BE203" s="107"/>
      <x:c r="BF203" s="107"/>
      <x:c r="BG203" s="109" t="str">
        <x:f t="shared" si="65"/>
        <x:v>FAILED</x:v>
      </x:c>
      <x:c r="BH203" s="117"/>
      <x:c r="BI203" s="102"/>
      <x:c r="BJ203" s="102"/>
      <x:c r="BK203" s="102"/>
      <x:c r="BL203" s="102"/>
      <x:c r="BM203" s="102"/>
      <x:c r="BN203" s="102"/>
      <x:c r="BO203" s="102"/>
      <x:c r="BP203" s="102"/>
      <x:c r="BQ203" s="109" t="str">
        <x:f t="shared" si="66"/>
        <x:v>FAILED</x:v>
      </x:c>
      <x:c r="BR203" s="115"/>
      <x:c r="BS203" s="115"/>
      <x:c r="BT203" s="107"/>
      <x:c r="BU203" s="107"/>
      <x:c r="BV203" s="107"/>
      <x:c r="BW203" s="107"/>
      <x:c r="BX203" s="107"/>
      <x:c r="BY203" s="109" t="str">
        <x:f t="shared" si="67"/>
        <x:v>FAILED</x:v>
      </x:c>
      <x:c r="BZ203" s="115"/>
      <x:c r="CA203" s="115"/>
      <x:c r="CB203" s="107"/>
      <x:c r="CC203" s="107"/>
      <x:c r="CD203" s="107"/>
      <x:c r="CE203" s="107"/>
      <x:c r="CF203" s="107"/>
      <x:c r="CG203" s="109" t="str">
        <x:f t="shared" si="68"/>
        <x:v>FAILED</x:v>
      </x:c>
      <x:c r="CH203" s="117"/>
    </x:row>
    <x:row r="204">
      <x:c r="A204" s="102" t="str">
        <x:f>IF(RECORD!A206="","",RECORD!A206)</x:f>
      </x:c>
      <x:c r="B204" s="102" t="str">
        <x:f>IF(RECORD!B206="","",RECORD!B206)</x:f>
      </x:c>
      <x:c r="C204" s="103" t="str">
        <x:f>IF(RECORD!C206="","",RECORD!C206)</x:f>
      </x:c>
      <x:c r="D204" s="104" t="str">
        <x:f t="array" ref="D204">IF(C204&lt;&gt;"",IF(F$7="SUMMER","N/A",_xlfn.IFS(D$10="TLA",RECORD!GO206,F$10="LECTURE","",TRUE(),"")),"")</x:f>
      </x:c>
      <x:c r="E204" s="105" t="str">
        <x:f t="shared" ref="E204:E267" si="69">IF(C204&lt;&gt;"",IFERROR((((((D204/D$11)*F$6)+G$6)*E$11)/100),""),"")</x:f>
      </x:c>
      <x:c r="F204" s="104" t="str">
        <x:f t="array" ref="F204">IF(C204&lt;&gt;"",IF(F$7="SUMMER","N/A",_xlfn.IFS(F$10="AT",RECORD!GI206,F$10="LECTURE",GRADES!AP204,TRUE(),"")),"")</x:f>
      </x:c>
      <x:c r="G204" s="106" t="str">
        <x:f t="shared" ref="G204:G267" si="70">IF(C204&lt;&gt;"",IFERROR((((((F204/F$11)*F$6)+G$6)*G$11)/100),""),"")</x:f>
      </x:c>
      <x:c r="H204" s="107" t="str">
        <x:f t="array" ref="H204">IF(C204&lt;&gt;"",IF(F$7="SUMMER","N/A",_xlfn.IFS(H$10="EXAM",RECORD!GJ206,H$10="OUTPUT",RECORD!GK206,H$10="LAB",BP204,TRUE(),"")),"")</x:f>
      </x:c>
      <x:c r="I204" s="106" t="str">
        <x:f t="shared" ref="I204:I267" si="71">IF(C204&lt;&gt;"",IFERROR((((((H204/H$11)*F$6)+G$6)*I$11)/100),""),"")</x:f>
      </x:c>
      <x:c r="J204" s="108" t="str">
        <x:f t="shared" ref="J204:J267" si="72">IF(C204&lt;&gt;"",IFERROR(IF(F$7="SUMMER", "N/A", SUM(E204,G204,I204)),""),"")</x:f>
      </x:c>
      <x:c r="K204" s="109" t="str">
        <x:f t="shared" ref="K204:K267" si="73">IF(C204&lt;&gt;"",IF(F199="SUMMER","N/A", IF(J204&gt;74,"PASSED","FAILED")),"")</x:f>
      </x:c>
      <x:c r="L204" s="110" t="str">
        <x:f t="array" ref="L204">IF(C204&lt;&gt;"",_xlfn.IFS(L$10="TLA",RECORD!GY206,N$10="LECTURE","",TRUE(),""),"")</x:f>
      </x:c>
      <x:c r="M204" s="105" t="str">
        <x:f t="shared" ref="M204:M267" si="74">IF(C204&lt;&gt;"",IFERROR((((((L204/L$11)*F$6)+G$6)*M$11)/100),""),"")</x:f>
      </x:c>
      <x:c r="N204" s="104" t="str">
        <x:f t="array" ref="N204">IF(C204&lt;&gt;"",_xlfn.IFS(N$10="AT",RECORD!GS206,N$10="LECTURE",AX204,TRUE(),""),"")</x:f>
      </x:c>
      <x:c r="O204" s="106" t="str">
        <x:f t="shared" ref="O204:O267" si="75">IF(C204&lt;&gt;"",IFERROR((((((N204/N$11)*F$6)+G$6)*O$11)/100),""),"")</x:f>
      </x:c>
      <x:c r="P204" s="107" t="str">
        <x:f t="array" ref="P204">IF(C204&lt;&gt;"",_xlfn.IFS(P$10="EXAM",RECORD!GT206,P$10="OUTPUT",RECORD!GU206,P$10="LAB",BX204,TRUE(),""),"")</x:f>
      </x:c>
      <x:c r="Q204" s="106" t="str">
        <x:f t="shared" ref="Q204:Q267" si="76">IF(C204&lt;&gt;"",IFERROR((((((P204/P$11)*F$6)+G$6)*Q$11)/100),""),"")</x:f>
      </x:c>
      <x:c r="R204" s="108" t="str">
        <x:f t="shared" ref="R204:R267" si="77">IF(C204&lt;&gt;"",IFERROR(IF(F$7="SUMMER", "N/A", SUM(M204,O204,Q204)),""),"")</x:f>
      </x:c>
      <x:c r="S204" s="109" t="str">
        <x:f t="shared" ref="S204:S267" si="78">IF(C204&lt;&gt;"",IF(R204&gt;74,"PASSED","FAILED"),"")</x:f>
      </x:c>
      <x:c r="T204" s="110" t="str">
        <x:f t="array" ref="T204">IF(C204&lt;&gt;"",_xlfn.IFS(T$10="TLA",RECORD!HI206,V$10="LECTURE","",TRUE(),""),"")</x:f>
      </x:c>
      <x:c r="U204" s="105" t="str">
        <x:f t="shared" ref="U204:U267" si="79">IF(C204&lt;&gt;"",IFERROR((((((T204/T$11)*F$6)+G$6)*U$11)/100),""),"")</x:f>
      </x:c>
      <x:c r="V204" s="104" t="str">
        <x:f t="array" ref="V204">IF(C204&lt;&gt;"",_xlfn.IFS(V$10="AT",RECORD!HC206,V$10="LECTURE",BF204,TRUE(),""),"")</x:f>
      </x:c>
      <x:c r="W204" s="106" t="str">
        <x:f t="shared" ref="W204:W267" si="80">IF(C204&lt;&gt;"",IFERROR((((((V204/V$11)*F$6)+G$6)*W$11)/100),""),"")</x:f>
      </x:c>
      <x:c r="X204" s="107" t="str">
        <x:f t="array" ref="X204">IF(C204&lt;&gt;"",_xlfn.IFS(X$10="EXAM",RECORD!HD206,X$10="OUTPUT",RECORD!HE206,X$10="LAB",CF204,TRUE(),""),"")</x:f>
      </x:c>
      <x:c r="Y204" s="106" t="str">
        <x:f t="shared" ref="Y204:Y267" si="81">IF(C204&lt;&gt;"",IFERROR((((((X204/X$11)*F$6)+G$6)*Y$11)/100),""),"")</x:f>
      </x:c>
      <x:c r="Z204" s="108" t="str">
        <x:f t="shared" ref="Z204:Z267" si="82">IF(C204&lt;&gt;"",IFERROR(IF(N$7="SUMMER", "N/A", SUM(U204,W204,Y204)),""),"")</x:f>
      </x:c>
      <x:c r="AA204" s="109" t="str">
        <x:f t="shared" ref="AA204:AA267" si="83">IF(C204&lt;&gt;"",IF(Z204&gt;74,"PASSED","FAILED"),"")</x:f>
      </x:c>
      <x:c r="AB204" s="111" t="n">
        <x:f t="shared" ref="AB204:AB267" si="84">IFERROR(IF(F$7="SUMMER", ((R204+Z204)/2), (J204+R204+Z204)/3),"")</x:f>
        <x:v>0</x:v>
      </x:c>
      <x:c r="AC204" s="109" t="str">
        <x:f t="shared" ref="AC204:AC267" si="85">IF(C204&lt;&gt;"",IF(AB204&gt;74,"PASSED","FAILED"),"")</x:f>
      </x:c>
      <x:c r="AD204" s="112"/>
      <x:c r="AE204" s="102"/>
      <x:c r="AF204" s="113"/>
      <x:c r="AG204" s="112"/>
      <x:c r="AH204" s="103"/>
      <x:c r="AI204" s="114"/>
      <x:c r="AJ204" s="102"/>
      <x:c r="AK204" s="102"/>
      <x:c r="AL204" s="102"/>
      <x:c r="AM204" s="102"/>
      <x:c r="AN204" s="102"/>
      <x:c r="AO204" s="102"/>
      <x:c r="AP204" s="102"/>
      <x:c r="AQ204" s="109" t="str">
        <x:f t="shared" ref="AQ204:AQ267" si="86">IF(AP204&gt;74,"PASSED","FAILED")</x:f>
        <x:v>FAILED</x:v>
      </x:c>
      <x:c r="AR204" s="115"/>
      <x:c r="AS204" s="115"/>
      <x:c r="AT204" s="107"/>
      <x:c r="AU204" s="107"/>
      <x:c r="AV204" s="107"/>
      <x:c r="AW204" s="107"/>
      <x:c r="AX204" s="107"/>
      <x:c r="AY204" s="109" t="str">
        <x:f t="shared" ref="AY204:AY267" si="87">IF(AX204&gt;74,"PASSED","FAILED")</x:f>
        <x:v>FAILED</x:v>
      </x:c>
      <x:c r="AZ204" s="115"/>
      <x:c r="BA204" s="115"/>
      <x:c r="BB204" s="107"/>
      <x:c r="BC204" s="107"/>
      <x:c r="BD204" s="107"/>
      <x:c r="BE204" s="107"/>
      <x:c r="BF204" s="107"/>
      <x:c r="BG204" s="109" t="str">
        <x:f t="shared" ref="BG204:BG267" si="88">IF(BF204&gt;74,"PASSED","FAILED")</x:f>
        <x:v>FAILED</x:v>
      </x:c>
      <x:c r="BH204" s="117"/>
      <x:c r="BI204" s="102"/>
      <x:c r="BJ204" s="102"/>
      <x:c r="BK204" s="102"/>
      <x:c r="BL204" s="102"/>
      <x:c r="BM204" s="102"/>
      <x:c r="BN204" s="102"/>
      <x:c r="BO204" s="102"/>
      <x:c r="BP204" s="102"/>
      <x:c r="BQ204" s="109" t="str">
        <x:f t="shared" ref="BQ204:BQ267" si="89">IF(BP204&gt;74,"PASSED","FAILED")</x:f>
        <x:v>FAILED</x:v>
      </x:c>
      <x:c r="BR204" s="115"/>
      <x:c r="BS204" s="115"/>
      <x:c r="BT204" s="107"/>
      <x:c r="BU204" s="107"/>
      <x:c r="BV204" s="107"/>
      <x:c r="BW204" s="107"/>
      <x:c r="BX204" s="107"/>
      <x:c r="BY204" s="109" t="str">
        <x:f t="shared" ref="BY204:BY267" si="90">IF(BX204&gt;74,"PASSED","FAILED")</x:f>
        <x:v>FAILED</x:v>
      </x:c>
      <x:c r="BZ204" s="115"/>
      <x:c r="CA204" s="115"/>
      <x:c r="CB204" s="107"/>
      <x:c r="CC204" s="107"/>
      <x:c r="CD204" s="107"/>
      <x:c r="CE204" s="107"/>
      <x:c r="CF204" s="107"/>
      <x:c r="CG204" s="109" t="str">
        <x:f t="shared" ref="CG204:CG267" si="91">IF(CF204&gt;74,"PASSED","FAILED")</x:f>
        <x:v>FAILED</x:v>
      </x:c>
      <x:c r="CH204" s="117"/>
    </x:row>
    <x:row r="205">
      <x:c r="A205" s="102" t="str">
        <x:f>IF(RECORD!A207="","",RECORD!A207)</x:f>
      </x:c>
      <x:c r="B205" s="102" t="str">
        <x:f>IF(RECORD!B207="","",RECORD!B207)</x:f>
      </x:c>
      <x:c r="C205" s="103" t="str">
        <x:f>IF(RECORD!C207="","",RECORD!C207)</x:f>
      </x:c>
      <x:c r="D205" s="104" t="str">
        <x:f t="array" ref="D205">IF(C205&lt;&gt;"",IF(F$7="SUMMER","N/A",_xlfn.IFS(D$10="TLA",RECORD!GO207,F$10="LECTURE","",TRUE(),"")),"")</x:f>
      </x:c>
      <x:c r="E205" s="105" t="str">
        <x:f t="shared" si="69"/>
      </x:c>
      <x:c r="F205" s="104" t="str">
        <x:f t="array" ref="F205">IF(C205&lt;&gt;"",IF(F$7="SUMMER","N/A",_xlfn.IFS(F$10="AT",RECORD!GI207,F$10="LECTURE",GRADES!AP205,TRUE(),"")),"")</x:f>
      </x:c>
      <x:c r="G205" s="106" t="str">
        <x:f t="shared" si="70"/>
      </x:c>
      <x:c r="H205" s="107" t="str">
        <x:f t="array" ref="H205">IF(C205&lt;&gt;"",IF(F$7="SUMMER","N/A",_xlfn.IFS(H$10="EXAM",RECORD!GJ207,H$10="OUTPUT",RECORD!GK207,H$10="LAB",BP205,TRUE(),"")),"")</x:f>
      </x:c>
      <x:c r="I205" s="106" t="str">
        <x:f t="shared" si="71"/>
      </x:c>
      <x:c r="J205" s="108" t="str">
        <x:f t="shared" si="72"/>
      </x:c>
      <x:c r="K205" s="109" t="str">
        <x:f t="shared" si="73"/>
      </x:c>
      <x:c r="L205" s="110" t="str">
        <x:f t="array" ref="L205">IF(C205&lt;&gt;"",_xlfn.IFS(L$10="TLA",RECORD!GY207,N$10="LECTURE","",TRUE(),""),"")</x:f>
      </x:c>
      <x:c r="M205" s="105" t="str">
        <x:f t="shared" si="74"/>
      </x:c>
      <x:c r="N205" s="104" t="str">
        <x:f t="array" ref="N205">IF(C205&lt;&gt;"",_xlfn.IFS(N$10="AT",RECORD!GS207,N$10="LECTURE",AX205,TRUE(),""),"")</x:f>
      </x:c>
      <x:c r="O205" s="106" t="str">
        <x:f t="shared" si="75"/>
      </x:c>
      <x:c r="P205" s="107" t="str">
        <x:f t="array" ref="P205">IF(C205&lt;&gt;"",_xlfn.IFS(P$10="EXAM",RECORD!GT207,P$10="OUTPUT",RECORD!GU207,P$10="LAB",BX205,TRUE(),""),"")</x:f>
      </x:c>
      <x:c r="Q205" s="106" t="str">
        <x:f t="shared" si="76"/>
      </x:c>
      <x:c r="R205" s="108" t="str">
        <x:f t="shared" si="77"/>
      </x:c>
      <x:c r="S205" s="109" t="str">
        <x:f t="shared" si="78"/>
      </x:c>
      <x:c r="T205" s="110" t="str">
        <x:f t="array" ref="T205">IF(C205&lt;&gt;"",_xlfn.IFS(T$10="TLA",RECORD!HI207,V$10="LECTURE","",TRUE(),""),"")</x:f>
      </x:c>
      <x:c r="U205" s="105" t="str">
        <x:f t="shared" si="79"/>
      </x:c>
      <x:c r="V205" s="104" t="str">
        <x:f t="array" ref="V205">IF(C205&lt;&gt;"",_xlfn.IFS(V$10="AT",RECORD!HC207,V$10="LECTURE",BF205,TRUE(),""),"")</x:f>
      </x:c>
      <x:c r="W205" s="106" t="str">
        <x:f t="shared" si="80"/>
      </x:c>
      <x:c r="X205" s="107" t="str">
        <x:f t="array" ref="X205">IF(C205&lt;&gt;"",_xlfn.IFS(X$10="EXAM",RECORD!HD207,X$10="OUTPUT",RECORD!HE207,X$10="LAB",CF205,TRUE(),""),"")</x:f>
      </x:c>
      <x:c r="Y205" s="106" t="str">
        <x:f t="shared" si="81"/>
      </x:c>
      <x:c r="Z205" s="108" t="str">
        <x:f t="shared" si="82"/>
      </x:c>
      <x:c r="AA205" s="109" t="str">
        <x:f t="shared" si="83"/>
      </x:c>
      <x:c r="AB205" s="111" t="str">
        <x:f t="shared" si="84"/>
      </x:c>
      <x:c r="AC205" s="109" t="str">
        <x:f t="shared" si="85"/>
      </x:c>
      <x:c r="AD205" s="112"/>
      <x:c r="AE205" s="102"/>
      <x:c r="AF205" s="113"/>
      <x:c r="AG205" s="112"/>
      <x:c r="AH205" s="103"/>
      <x:c r="AI205" s="114"/>
      <x:c r="AJ205" s="102"/>
      <x:c r="AK205" s="102"/>
      <x:c r="AL205" s="102"/>
      <x:c r="AM205" s="102"/>
      <x:c r="AN205" s="102"/>
      <x:c r="AO205" s="102"/>
      <x:c r="AP205" s="102"/>
      <x:c r="AQ205" s="109" t="str">
        <x:f t="shared" si="86"/>
        <x:v>FAILED</x:v>
      </x:c>
      <x:c r="AR205" s="115"/>
      <x:c r="AS205" s="115"/>
      <x:c r="AT205" s="107"/>
      <x:c r="AU205" s="107"/>
      <x:c r="AV205" s="107"/>
      <x:c r="AW205" s="107"/>
      <x:c r="AX205" s="107"/>
      <x:c r="AY205" s="109" t="str">
        <x:f t="shared" si="87"/>
        <x:v>FAILED</x:v>
      </x:c>
      <x:c r="AZ205" s="115"/>
      <x:c r="BA205" s="115"/>
      <x:c r="BB205" s="107"/>
      <x:c r="BC205" s="107"/>
      <x:c r="BD205" s="107"/>
      <x:c r="BE205" s="107"/>
      <x:c r="BF205" s="107"/>
      <x:c r="BG205" s="109" t="str">
        <x:f t="shared" si="88"/>
        <x:v>FAILED</x:v>
      </x:c>
      <x:c r="BH205" s="117"/>
      <x:c r="BI205" s="102"/>
      <x:c r="BJ205" s="102"/>
      <x:c r="BK205" s="102"/>
      <x:c r="BL205" s="102"/>
      <x:c r="BM205" s="102"/>
      <x:c r="BN205" s="102"/>
      <x:c r="BO205" s="102"/>
      <x:c r="BP205" s="102"/>
      <x:c r="BQ205" s="109" t="str">
        <x:f t="shared" si="89"/>
        <x:v>FAILED</x:v>
      </x:c>
      <x:c r="BR205" s="115"/>
      <x:c r="BS205" s="115"/>
      <x:c r="BT205" s="107"/>
      <x:c r="BU205" s="107"/>
      <x:c r="BV205" s="107"/>
      <x:c r="BW205" s="107"/>
      <x:c r="BX205" s="107"/>
      <x:c r="BY205" s="109" t="str">
        <x:f t="shared" si="90"/>
        <x:v>FAILED</x:v>
      </x:c>
      <x:c r="BZ205" s="115"/>
      <x:c r="CA205" s="115"/>
      <x:c r="CB205" s="107"/>
      <x:c r="CC205" s="107"/>
      <x:c r="CD205" s="107"/>
      <x:c r="CE205" s="107"/>
      <x:c r="CF205" s="107"/>
      <x:c r="CG205" s="109" t="str">
        <x:f t="shared" si="91"/>
        <x:v>FAILED</x:v>
      </x:c>
      <x:c r="CH205" s="117"/>
    </x:row>
    <x:row r="206">
      <x:c r="A206" s="102" t="str">
        <x:f>IF(RECORD!A208="","",RECORD!A208)</x:f>
      </x:c>
      <x:c r="B206" s="102" t="str">
        <x:f>IF(RECORD!B208="","",RECORD!B208)</x:f>
      </x:c>
      <x:c r="C206" s="103" t="str">
        <x:f>IF(RECORD!C208="","",RECORD!C208)</x:f>
      </x:c>
      <x:c r="D206" s="104" t="str">
        <x:f t="array" ref="D206">IF(C206&lt;&gt;"",IF(F$7="SUMMER","N/A",_xlfn.IFS(D$10="TLA",RECORD!GO208,F$10="LECTURE","",TRUE(),"")),"")</x:f>
      </x:c>
      <x:c r="E206" s="105" t="str">
        <x:f t="shared" si="69"/>
      </x:c>
      <x:c r="F206" s="104" t="str">
        <x:f t="array" ref="F206">IF(C206&lt;&gt;"",IF(F$7="SUMMER","N/A",_xlfn.IFS(F$10="AT",RECORD!GI208,F$10="LECTURE",GRADES!AP206,TRUE(),"")),"")</x:f>
      </x:c>
      <x:c r="G206" s="106" t="str">
        <x:f t="shared" si="70"/>
      </x:c>
      <x:c r="H206" s="107" t="str">
        <x:f t="array" ref="H206">IF(C206&lt;&gt;"",IF(F$7="SUMMER","N/A",_xlfn.IFS(H$10="EXAM",RECORD!GJ208,H$10="OUTPUT",RECORD!GK208,H$10="LAB",BP206,TRUE(),"")),"")</x:f>
      </x:c>
      <x:c r="I206" s="106" t="str">
        <x:f t="shared" si="71"/>
      </x:c>
      <x:c r="J206" s="108" t="str">
        <x:f t="shared" si="72"/>
      </x:c>
      <x:c r="K206" s="109" t="str">
        <x:f t="shared" si="73"/>
      </x:c>
      <x:c r="L206" s="110" t="str">
        <x:f t="array" ref="L206">IF(C206&lt;&gt;"",_xlfn.IFS(L$10="TLA",RECORD!GY208,N$10="LECTURE","",TRUE(),""),"")</x:f>
      </x:c>
      <x:c r="M206" s="105" t="str">
        <x:f t="shared" si="74"/>
      </x:c>
      <x:c r="N206" s="104" t="str">
        <x:f t="array" ref="N206">IF(C206&lt;&gt;"",_xlfn.IFS(N$10="AT",RECORD!GS208,N$10="LECTURE",AX206,TRUE(),""),"")</x:f>
      </x:c>
      <x:c r="O206" s="106" t="str">
        <x:f t="shared" si="75"/>
      </x:c>
      <x:c r="P206" s="107" t="str">
        <x:f t="array" ref="P206">IF(C206&lt;&gt;"",_xlfn.IFS(P$10="EXAM",RECORD!GT208,P$10="OUTPUT",RECORD!GU208,P$10="LAB",BX206,TRUE(),""),"")</x:f>
      </x:c>
      <x:c r="Q206" s="106" t="str">
        <x:f t="shared" si="76"/>
      </x:c>
      <x:c r="R206" s="108" t="str">
        <x:f t="shared" si="77"/>
      </x:c>
      <x:c r="S206" s="109" t="str">
        <x:f t="shared" si="78"/>
      </x:c>
      <x:c r="T206" s="110" t="str">
        <x:f t="array" ref="T206">IF(C206&lt;&gt;"",_xlfn.IFS(T$10="TLA",RECORD!HI208,V$10="LECTURE","",TRUE(),""),"")</x:f>
      </x:c>
      <x:c r="U206" s="105" t="str">
        <x:f t="shared" si="79"/>
      </x:c>
      <x:c r="V206" s="104" t="str">
        <x:f t="array" ref="V206">IF(C206&lt;&gt;"",_xlfn.IFS(V$10="AT",RECORD!HC208,V$10="LECTURE",BF206,TRUE(),""),"")</x:f>
      </x:c>
      <x:c r="W206" s="106" t="str">
        <x:f t="shared" si="80"/>
      </x:c>
      <x:c r="X206" s="107" t="str">
        <x:f t="array" ref="X206">IF(C206&lt;&gt;"",_xlfn.IFS(X$10="EXAM",RECORD!HD208,X$10="OUTPUT",RECORD!HE208,X$10="LAB",CF206,TRUE(),""),"")</x:f>
      </x:c>
      <x:c r="Y206" s="106" t="str">
        <x:f t="shared" si="81"/>
      </x:c>
      <x:c r="Z206" s="108" t="str">
        <x:f t="shared" si="82"/>
      </x:c>
      <x:c r="AA206" s="109" t="str">
        <x:f t="shared" si="83"/>
      </x:c>
      <x:c r="AB206" s="111" t="str">
        <x:f t="shared" si="84"/>
      </x:c>
      <x:c r="AC206" s="109" t="str">
        <x:f t="shared" si="85"/>
      </x:c>
      <x:c r="AD206" s="112"/>
      <x:c r="AE206" s="102"/>
      <x:c r="AF206" s="113"/>
      <x:c r="AG206" s="112"/>
      <x:c r="AH206" s="103"/>
      <x:c r="AI206" s="114"/>
      <x:c r="AJ206" s="102"/>
      <x:c r="AK206" s="102"/>
      <x:c r="AL206" s="102"/>
      <x:c r="AM206" s="102"/>
      <x:c r="AN206" s="102"/>
      <x:c r="AO206" s="102"/>
      <x:c r="AP206" s="102"/>
      <x:c r="AQ206" s="109" t="str">
        <x:f t="shared" si="86"/>
        <x:v>FAILED</x:v>
      </x:c>
      <x:c r="AR206" s="115"/>
      <x:c r="AS206" s="115"/>
      <x:c r="AT206" s="107"/>
      <x:c r="AU206" s="107"/>
      <x:c r="AV206" s="107"/>
      <x:c r="AW206" s="107"/>
      <x:c r="AX206" s="107"/>
      <x:c r="AY206" s="109" t="str">
        <x:f t="shared" si="87"/>
        <x:v>FAILED</x:v>
      </x:c>
      <x:c r="AZ206" s="115"/>
      <x:c r="BA206" s="115"/>
      <x:c r="BB206" s="107"/>
      <x:c r="BC206" s="107"/>
      <x:c r="BD206" s="107"/>
      <x:c r="BE206" s="107"/>
      <x:c r="BF206" s="107"/>
      <x:c r="BG206" s="109" t="str">
        <x:f t="shared" si="88"/>
        <x:v>FAILED</x:v>
      </x:c>
      <x:c r="BH206" s="117"/>
      <x:c r="BI206" s="102"/>
      <x:c r="BJ206" s="102"/>
      <x:c r="BK206" s="102"/>
      <x:c r="BL206" s="102"/>
      <x:c r="BM206" s="102"/>
      <x:c r="BN206" s="102"/>
      <x:c r="BO206" s="102"/>
      <x:c r="BP206" s="102"/>
      <x:c r="BQ206" s="109" t="str">
        <x:f t="shared" si="89"/>
        <x:v>FAILED</x:v>
      </x:c>
      <x:c r="BR206" s="115"/>
      <x:c r="BS206" s="115"/>
      <x:c r="BT206" s="107"/>
      <x:c r="BU206" s="107"/>
      <x:c r="BV206" s="107"/>
      <x:c r="BW206" s="107"/>
      <x:c r="BX206" s="107"/>
      <x:c r="BY206" s="109" t="str">
        <x:f t="shared" si="90"/>
        <x:v>FAILED</x:v>
      </x:c>
      <x:c r="BZ206" s="115"/>
      <x:c r="CA206" s="115"/>
      <x:c r="CB206" s="107"/>
      <x:c r="CC206" s="107"/>
      <x:c r="CD206" s="107"/>
      <x:c r="CE206" s="107"/>
      <x:c r="CF206" s="107"/>
      <x:c r="CG206" s="109" t="str">
        <x:f t="shared" si="91"/>
        <x:v>FAILED</x:v>
      </x:c>
      <x:c r="CH206" s="117"/>
    </x:row>
    <x:row r="207">
      <x:c r="A207" s="102" t="str">
        <x:f>IF(RECORD!A209="","",RECORD!A209)</x:f>
      </x:c>
      <x:c r="B207" s="102" t="str">
        <x:f>IF(RECORD!B209="","",RECORD!B209)</x:f>
      </x:c>
      <x:c r="C207" s="103" t="str">
        <x:f>IF(RECORD!C209="","",RECORD!C209)</x:f>
      </x:c>
      <x:c r="D207" s="104" t="str">
        <x:f t="array" ref="D207">IF(C207&lt;&gt;"",IF(F$7="SUMMER","N/A",_xlfn.IFS(D$10="TLA",RECORD!GO209,F$10="LECTURE","",TRUE(),"")),"")</x:f>
      </x:c>
      <x:c r="E207" s="105" t="str">
        <x:f t="shared" si="69"/>
      </x:c>
      <x:c r="F207" s="104" t="str">
        <x:f t="array" ref="F207">IF(C207&lt;&gt;"",IF(F$7="SUMMER","N/A",_xlfn.IFS(F$10="AT",RECORD!GI209,F$10="LECTURE",GRADES!AP207,TRUE(),"")),"")</x:f>
      </x:c>
      <x:c r="G207" s="106" t="str">
        <x:f t="shared" si="70"/>
      </x:c>
      <x:c r="H207" s="107" t="str">
        <x:f t="array" ref="H207">IF(C207&lt;&gt;"",IF(F$7="SUMMER","N/A",_xlfn.IFS(H$10="EXAM",RECORD!GJ209,H$10="OUTPUT",RECORD!GK209,H$10="LAB",BP207,TRUE(),"")),"")</x:f>
      </x:c>
      <x:c r="I207" s="106" t="str">
        <x:f t="shared" si="71"/>
      </x:c>
      <x:c r="J207" s="108" t="str">
        <x:f t="shared" si="72"/>
      </x:c>
      <x:c r="K207" s="109" t="str">
        <x:f t="shared" si="73"/>
      </x:c>
      <x:c r="L207" s="110" t="str">
        <x:f t="array" ref="L207">IF(C207&lt;&gt;"",_xlfn.IFS(L$10="TLA",RECORD!GY209,N$10="LECTURE","",TRUE(),""),"")</x:f>
      </x:c>
      <x:c r="M207" s="105" t="str">
        <x:f t="shared" si="74"/>
      </x:c>
      <x:c r="N207" s="104" t="str">
        <x:f t="array" ref="N207">IF(C207&lt;&gt;"",_xlfn.IFS(N$10="AT",RECORD!GS209,N$10="LECTURE",AX207,TRUE(),""),"")</x:f>
      </x:c>
      <x:c r="O207" s="106" t="str">
        <x:f t="shared" si="75"/>
      </x:c>
      <x:c r="P207" s="107" t="str">
        <x:f t="array" ref="P207">IF(C207&lt;&gt;"",_xlfn.IFS(P$10="EXAM",RECORD!GT209,P$10="OUTPUT",RECORD!GU209,P$10="LAB",BX207,TRUE(),""),"")</x:f>
      </x:c>
      <x:c r="Q207" s="106" t="str">
        <x:f t="shared" si="76"/>
      </x:c>
      <x:c r="R207" s="108" t="str">
        <x:f t="shared" si="77"/>
      </x:c>
      <x:c r="S207" s="109" t="str">
        <x:f t="shared" si="78"/>
      </x:c>
      <x:c r="T207" s="110" t="str">
        <x:f t="array" ref="T207">IF(C207&lt;&gt;"",_xlfn.IFS(T$10="TLA",RECORD!HI209,V$10="LECTURE","",TRUE(),""),"")</x:f>
      </x:c>
      <x:c r="U207" s="105" t="str">
        <x:f t="shared" si="79"/>
      </x:c>
      <x:c r="V207" s="104" t="str">
        <x:f t="array" ref="V207">IF(C207&lt;&gt;"",_xlfn.IFS(V$10="AT",RECORD!HC209,V$10="LECTURE",BF207,TRUE(),""),"")</x:f>
      </x:c>
      <x:c r="W207" s="106" t="str">
        <x:f t="shared" si="80"/>
      </x:c>
      <x:c r="X207" s="107" t="str">
        <x:f t="array" ref="X207">IF(C207&lt;&gt;"",_xlfn.IFS(X$10="EXAM",RECORD!HD209,X$10="OUTPUT",RECORD!HE209,X$10="LAB",CF207,TRUE(),""),"")</x:f>
      </x:c>
      <x:c r="Y207" s="106" t="str">
        <x:f t="shared" si="81"/>
      </x:c>
      <x:c r="Z207" s="108" t="str">
        <x:f t="shared" si="82"/>
      </x:c>
      <x:c r="AA207" s="109" t="str">
        <x:f t="shared" si="83"/>
      </x:c>
      <x:c r="AB207" s="111" t="str">
        <x:f t="shared" si="84"/>
      </x:c>
      <x:c r="AC207" s="109" t="str">
        <x:f t="shared" si="85"/>
      </x:c>
      <x:c r="AD207" s="112"/>
      <x:c r="AE207" s="102"/>
      <x:c r="AF207" s="113"/>
      <x:c r="AG207" s="112"/>
      <x:c r="AH207" s="103"/>
      <x:c r="AI207" s="114"/>
      <x:c r="AJ207" s="102"/>
      <x:c r="AK207" s="102"/>
      <x:c r="AL207" s="102"/>
      <x:c r="AM207" s="102"/>
      <x:c r="AN207" s="102"/>
      <x:c r="AO207" s="102"/>
      <x:c r="AP207" s="102"/>
      <x:c r="AQ207" s="109" t="str">
        <x:f t="shared" si="86"/>
        <x:v>FAILED</x:v>
      </x:c>
      <x:c r="AR207" s="115"/>
      <x:c r="AS207" s="115"/>
      <x:c r="AT207" s="107"/>
      <x:c r="AU207" s="107"/>
      <x:c r="AV207" s="107"/>
      <x:c r="AW207" s="107"/>
      <x:c r="AX207" s="107"/>
      <x:c r="AY207" s="109" t="str">
        <x:f t="shared" si="87"/>
        <x:v>FAILED</x:v>
      </x:c>
      <x:c r="AZ207" s="115"/>
      <x:c r="BA207" s="115"/>
      <x:c r="BB207" s="107"/>
      <x:c r="BC207" s="107"/>
      <x:c r="BD207" s="107"/>
      <x:c r="BE207" s="107"/>
      <x:c r="BF207" s="107"/>
      <x:c r="BG207" s="109" t="str">
        <x:f t="shared" si="88"/>
        <x:v>FAILED</x:v>
      </x:c>
      <x:c r="BH207" s="117"/>
      <x:c r="BI207" s="102"/>
      <x:c r="BJ207" s="102"/>
      <x:c r="BK207" s="102"/>
      <x:c r="BL207" s="102"/>
      <x:c r="BM207" s="102"/>
      <x:c r="BN207" s="102"/>
      <x:c r="BO207" s="102"/>
      <x:c r="BP207" s="102"/>
      <x:c r="BQ207" s="109" t="str">
        <x:f t="shared" si="89"/>
        <x:v>FAILED</x:v>
      </x:c>
      <x:c r="BR207" s="115"/>
      <x:c r="BS207" s="115"/>
      <x:c r="BT207" s="107"/>
      <x:c r="BU207" s="107"/>
      <x:c r="BV207" s="107"/>
      <x:c r="BW207" s="107"/>
      <x:c r="BX207" s="107"/>
      <x:c r="BY207" s="109" t="str">
        <x:f t="shared" si="90"/>
        <x:v>FAILED</x:v>
      </x:c>
      <x:c r="BZ207" s="115"/>
      <x:c r="CA207" s="115"/>
      <x:c r="CB207" s="107"/>
      <x:c r="CC207" s="107"/>
      <x:c r="CD207" s="107"/>
      <x:c r="CE207" s="107"/>
      <x:c r="CF207" s="107"/>
      <x:c r="CG207" s="109" t="str">
        <x:f t="shared" si="91"/>
        <x:v>FAILED</x:v>
      </x:c>
      <x:c r="CH207" s="117"/>
    </x:row>
    <x:row r="208">
      <x:c r="A208" s="102" t="str">
        <x:f>IF(RECORD!A210="","",RECORD!A210)</x:f>
      </x:c>
      <x:c r="B208" s="102" t="str">
        <x:f>IF(RECORD!B210="","",RECORD!B210)</x:f>
      </x:c>
      <x:c r="C208" s="103" t="str">
        <x:f>IF(RECORD!C210="","",RECORD!C210)</x:f>
      </x:c>
      <x:c r="D208" s="104" t="str">
        <x:f t="array" ref="D208">IF(C208&lt;&gt;"",IF(F$7="SUMMER","N/A",_xlfn.IFS(D$10="TLA",RECORD!GO210,F$10="LECTURE","",TRUE(),"")),"")</x:f>
      </x:c>
      <x:c r="E208" s="105" t="str">
        <x:f t="shared" si="69"/>
      </x:c>
      <x:c r="F208" s="104" t="str">
        <x:f t="array" ref="F208">IF(C208&lt;&gt;"",IF(F$7="SUMMER","N/A",_xlfn.IFS(F$10="AT",RECORD!GI210,F$10="LECTURE",GRADES!AP208,TRUE(),"")),"")</x:f>
      </x:c>
      <x:c r="G208" s="106" t="str">
        <x:f t="shared" si="70"/>
      </x:c>
      <x:c r="H208" s="107" t="str">
        <x:f t="array" ref="H208">IF(C208&lt;&gt;"",IF(F$7="SUMMER","N/A",_xlfn.IFS(H$10="EXAM",RECORD!GJ210,H$10="OUTPUT",RECORD!GK210,H$10="LAB",BP208,TRUE(),"")),"")</x:f>
      </x:c>
      <x:c r="I208" s="106" t="str">
        <x:f t="shared" si="71"/>
      </x:c>
      <x:c r="J208" s="108" t="str">
        <x:f t="shared" si="72"/>
      </x:c>
      <x:c r="K208" s="109" t="str">
        <x:f t="shared" si="73"/>
      </x:c>
      <x:c r="L208" s="110" t="str">
        <x:f t="array" ref="L208">IF(C208&lt;&gt;"",_xlfn.IFS(L$10="TLA",RECORD!GY210,N$10="LECTURE","",TRUE(),""),"")</x:f>
      </x:c>
      <x:c r="M208" s="105" t="str">
        <x:f t="shared" si="74"/>
      </x:c>
      <x:c r="N208" s="104" t="str">
        <x:f t="array" ref="N208">IF(C208&lt;&gt;"",_xlfn.IFS(N$10="AT",RECORD!GS210,N$10="LECTURE",AX208,TRUE(),""),"")</x:f>
      </x:c>
      <x:c r="O208" s="106" t="str">
        <x:f t="shared" si="75"/>
      </x:c>
      <x:c r="P208" s="107" t="str">
        <x:f t="array" ref="P208">IF(C208&lt;&gt;"",_xlfn.IFS(P$10="EXAM",RECORD!GT210,P$10="OUTPUT",RECORD!GU210,P$10="LAB",BX208,TRUE(),""),"")</x:f>
      </x:c>
      <x:c r="Q208" s="106" t="str">
        <x:f t="shared" si="76"/>
      </x:c>
      <x:c r="R208" s="108" t="str">
        <x:f t="shared" si="77"/>
      </x:c>
      <x:c r="S208" s="109" t="str">
        <x:f t="shared" si="78"/>
      </x:c>
      <x:c r="T208" s="110" t="str">
        <x:f t="array" ref="T208">IF(C208&lt;&gt;"",_xlfn.IFS(T$10="TLA",RECORD!HI210,V$10="LECTURE","",TRUE(),""),"")</x:f>
      </x:c>
      <x:c r="U208" s="105" t="str">
        <x:f t="shared" si="79"/>
      </x:c>
      <x:c r="V208" s="104" t="str">
        <x:f t="array" ref="V208">IF(C208&lt;&gt;"",_xlfn.IFS(V$10="AT",RECORD!HC210,V$10="LECTURE",BF208,TRUE(),""),"")</x:f>
      </x:c>
      <x:c r="W208" s="106" t="str">
        <x:f t="shared" si="80"/>
      </x:c>
      <x:c r="X208" s="107" t="str">
        <x:f t="array" ref="X208">IF(C208&lt;&gt;"",_xlfn.IFS(X$10="EXAM",RECORD!HD210,X$10="OUTPUT",RECORD!HE210,X$10="LAB",CF208,TRUE(),""),"")</x:f>
      </x:c>
      <x:c r="Y208" s="106" t="str">
        <x:f t="shared" si="81"/>
      </x:c>
      <x:c r="Z208" s="108" t="str">
        <x:f t="shared" si="82"/>
      </x:c>
      <x:c r="AA208" s="109" t="str">
        <x:f t="shared" si="83"/>
      </x:c>
      <x:c r="AB208" s="111" t="str">
        <x:f t="shared" si="84"/>
      </x:c>
      <x:c r="AC208" s="109" t="str">
        <x:f t="shared" si="85"/>
      </x:c>
      <x:c r="AD208" s="112"/>
      <x:c r="AE208" s="102"/>
      <x:c r="AF208" s="113"/>
      <x:c r="AG208" s="112"/>
      <x:c r="AH208" s="103"/>
      <x:c r="AI208" s="114"/>
      <x:c r="AJ208" s="102"/>
      <x:c r="AK208" s="102"/>
      <x:c r="AL208" s="102"/>
      <x:c r="AM208" s="102"/>
      <x:c r="AN208" s="102"/>
      <x:c r="AO208" s="102"/>
      <x:c r="AP208" s="102"/>
      <x:c r="AQ208" s="109" t="str">
        <x:f t="shared" si="86"/>
        <x:v>FAILED</x:v>
      </x:c>
      <x:c r="AR208" s="115"/>
      <x:c r="AS208" s="115"/>
      <x:c r="AT208" s="107"/>
      <x:c r="AU208" s="107"/>
      <x:c r="AV208" s="107"/>
      <x:c r="AW208" s="107"/>
      <x:c r="AX208" s="107"/>
      <x:c r="AY208" s="109" t="str">
        <x:f t="shared" si="87"/>
        <x:v>FAILED</x:v>
      </x:c>
      <x:c r="AZ208" s="115"/>
      <x:c r="BA208" s="115"/>
      <x:c r="BB208" s="107"/>
      <x:c r="BC208" s="107"/>
      <x:c r="BD208" s="107"/>
      <x:c r="BE208" s="107"/>
      <x:c r="BF208" s="107"/>
      <x:c r="BG208" s="109" t="str">
        <x:f t="shared" si="88"/>
        <x:v>FAILED</x:v>
      </x:c>
      <x:c r="BH208" s="117"/>
      <x:c r="BI208" s="102"/>
      <x:c r="BJ208" s="102"/>
      <x:c r="BK208" s="102"/>
      <x:c r="BL208" s="102"/>
      <x:c r="BM208" s="102"/>
      <x:c r="BN208" s="102"/>
      <x:c r="BO208" s="102"/>
      <x:c r="BP208" s="102"/>
      <x:c r="BQ208" s="109" t="str">
        <x:f t="shared" si="89"/>
        <x:v>FAILED</x:v>
      </x:c>
      <x:c r="BR208" s="115"/>
      <x:c r="BS208" s="115"/>
      <x:c r="BT208" s="107"/>
      <x:c r="BU208" s="107"/>
      <x:c r="BV208" s="107"/>
      <x:c r="BW208" s="107"/>
      <x:c r="BX208" s="107"/>
      <x:c r="BY208" s="109" t="str">
        <x:f t="shared" si="90"/>
        <x:v>FAILED</x:v>
      </x:c>
      <x:c r="BZ208" s="115"/>
      <x:c r="CA208" s="115"/>
      <x:c r="CB208" s="107"/>
      <x:c r="CC208" s="107"/>
      <x:c r="CD208" s="107"/>
      <x:c r="CE208" s="107"/>
      <x:c r="CF208" s="107"/>
      <x:c r="CG208" s="109" t="str">
        <x:f t="shared" si="91"/>
        <x:v>FAILED</x:v>
      </x:c>
      <x:c r="CH208" s="117"/>
    </x:row>
    <x:row r="209">
      <x:c r="A209" s="102" t="str">
        <x:f>IF(RECORD!A211="","",RECORD!A211)</x:f>
      </x:c>
      <x:c r="B209" s="102" t="str">
        <x:f>IF(RECORD!B211="","",RECORD!B211)</x:f>
      </x:c>
      <x:c r="C209" s="103" t="str">
        <x:f>IF(RECORD!C211="","",RECORD!C211)</x:f>
      </x:c>
      <x:c r="D209" s="104" t="str">
        <x:f t="array" ref="D209">IF(C209&lt;&gt;"",IF(F$7="SUMMER","N/A",_xlfn.IFS(D$10="TLA",RECORD!GO211,F$10="LECTURE","",TRUE(),"")),"")</x:f>
      </x:c>
      <x:c r="E209" s="105" t="str">
        <x:f t="shared" si="69"/>
      </x:c>
      <x:c r="F209" s="104" t="str">
        <x:f t="array" ref="F209">IF(C209&lt;&gt;"",IF(F$7="SUMMER","N/A",_xlfn.IFS(F$10="AT",RECORD!GI211,F$10="LECTURE",GRADES!AP209,TRUE(),"")),"")</x:f>
      </x:c>
      <x:c r="G209" s="106" t="str">
        <x:f t="shared" si="70"/>
      </x:c>
      <x:c r="H209" s="107" t="str">
        <x:f t="array" ref="H209">IF(C209&lt;&gt;"",IF(F$7="SUMMER","N/A",_xlfn.IFS(H$10="EXAM",RECORD!GJ211,H$10="OUTPUT",RECORD!GK211,H$10="LAB",BP209,TRUE(),"")),"")</x:f>
      </x:c>
      <x:c r="I209" s="106" t="str">
        <x:f t="shared" si="71"/>
      </x:c>
      <x:c r="J209" s="108" t="str">
        <x:f t="shared" si="72"/>
      </x:c>
      <x:c r="K209" s="109" t="str">
        <x:f t="shared" si="73"/>
      </x:c>
      <x:c r="L209" s="110" t="str">
        <x:f t="array" ref="L209">IF(C209&lt;&gt;"",_xlfn.IFS(L$10="TLA",RECORD!GY211,N$10="LECTURE","",TRUE(),""),"")</x:f>
      </x:c>
      <x:c r="M209" s="105" t="str">
        <x:f t="shared" si="74"/>
      </x:c>
      <x:c r="N209" s="104" t="str">
        <x:f t="array" ref="N209">IF(C209&lt;&gt;"",_xlfn.IFS(N$10="AT",RECORD!GS211,N$10="LECTURE",AX209,TRUE(),""),"")</x:f>
      </x:c>
      <x:c r="O209" s="106" t="str">
        <x:f t="shared" si="75"/>
      </x:c>
      <x:c r="P209" s="107" t="str">
        <x:f t="array" ref="P209">IF(C209&lt;&gt;"",_xlfn.IFS(P$10="EXAM",RECORD!GT211,P$10="OUTPUT",RECORD!GU211,P$10="LAB",BX209,TRUE(),""),"")</x:f>
      </x:c>
      <x:c r="Q209" s="106" t="str">
        <x:f t="shared" si="76"/>
      </x:c>
      <x:c r="R209" s="108" t="str">
        <x:f t="shared" si="77"/>
      </x:c>
      <x:c r="S209" s="109" t="str">
        <x:f t="shared" si="78"/>
      </x:c>
      <x:c r="T209" s="110" t="str">
        <x:f t="array" ref="T209">IF(C209&lt;&gt;"",_xlfn.IFS(T$10="TLA",RECORD!HI211,V$10="LECTURE","",TRUE(),""),"")</x:f>
      </x:c>
      <x:c r="U209" s="105" t="str">
        <x:f t="shared" si="79"/>
      </x:c>
      <x:c r="V209" s="104" t="str">
        <x:f t="array" ref="V209">IF(C209&lt;&gt;"",_xlfn.IFS(V$10="AT",RECORD!HC211,V$10="LECTURE",BF209,TRUE(),""),"")</x:f>
      </x:c>
      <x:c r="W209" s="106" t="str">
        <x:f t="shared" si="80"/>
      </x:c>
      <x:c r="X209" s="107" t="str">
        <x:f t="array" ref="X209">IF(C209&lt;&gt;"",_xlfn.IFS(X$10="EXAM",RECORD!HD211,X$10="OUTPUT",RECORD!HE211,X$10="LAB",CF209,TRUE(),""),"")</x:f>
      </x:c>
      <x:c r="Y209" s="106" t="str">
        <x:f t="shared" si="81"/>
      </x:c>
      <x:c r="Z209" s="108" t="str">
        <x:f t="shared" si="82"/>
      </x:c>
      <x:c r="AA209" s="109" t="str">
        <x:f t="shared" si="83"/>
      </x:c>
      <x:c r="AB209" s="111" t="str">
        <x:f t="shared" si="84"/>
      </x:c>
      <x:c r="AC209" s="109" t="str">
        <x:f t="shared" si="85"/>
      </x:c>
      <x:c r="AD209" s="112"/>
      <x:c r="AE209" s="102"/>
      <x:c r="AF209" s="113"/>
      <x:c r="AG209" s="112"/>
      <x:c r="AH209" s="103"/>
      <x:c r="AI209" s="114"/>
      <x:c r="AJ209" s="102"/>
      <x:c r="AK209" s="102"/>
      <x:c r="AL209" s="102"/>
      <x:c r="AM209" s="102"/>
      <x:c r="AN209" s="102"/>
      <x:c r="AO209" s="102"/>
      <x:c r="AP209" s="102"/>
      <x:c r="AQ209" s="109" t="str">
        <x:f t="shared" si="86"/>
        <x:v>FAILED</x:v>
      </x:c>
      <x:c r="AR209" s="115"/>
      <x:c r="AS209" s="115"/>
      <x:c r="AT209" s="107"/>
      <x:c r="AU209" s="107"/>
      <x:c r="AV209" s="107"/>
      <x:c r="AW209" s="107"/>
      <x:c r="AX209" s="107"/>
      <x:c r="AY209" s="109" t="str">
        <x:f t="shared" si="87"/>
        <x:v>FAILED</x:v>
      </x:c>
      <x:c r="AZ209" s="115"/>
      <x:c r="BA209" s="115"/>
      <x:c r="BB209" s="107"/>
      <x:c r="BC209" s="107"/>
      <x:c r="BD209" s="107"/>
      <x:c r="BE209" s="107"/>
      <x:c r="BF209" s="107"/>
      <x:c r="BG209" s="109" t="str">
        <x:f t="shared" si="88"/>
        <x:v>FAILED</x:v>
      </x:c>
      <x:c r="BH209" s="117"/>
      <x:c r="BI209" s="102"/>
      <x:c r="BJ209" s="102"/>
      <x:c r="BK209" s="102"/>
      <x:c r="BL209" s="102"/>
      <x:c r="BM209" s="102"/>
      <x:c r="BN209" s="102"/>
      <x:c r="BO209" s="102"/>
      <x:c r="BP209" s="102"/>
      <x:c r="BQ209" s="109" t="str">
        <x:f t="shared" si="89"/>
        <x:v>FAILED</x:v>
      </x:c>
      <x:c r="BR209" s="115"/>
      <x:c r="BS209" s="115"/>
      <x:c r="BT209" s="107"/>
      <x:c r="BU209" s="107"/>
      <x:c r="BV209" s="107"/>
      <x:c r="BW209" s="107"/>
      <x:c r="BX209" s="107"/>
      <x:c r="BY209" s="109" t="str">
        <x:f t="shared" si="90"/>
        <x:v>FAILED</x:v>
      </x:c>
      <x:c r="BZ209" s="115"/>
      <x:c r="CA209" s="115"/>
      <x:c r="CB209" s="107"/>
      <x:c r="CC209" s="107"/>
      <x:c r="CD209" s="107"/>
      <x:c r="CE209" s="107"/>
      <x:c r="CF209" s="107"/>
      <x:c r="CG209" s="109" t="str">
        <x:f t="shared" si="91"/>
        <x:v>FAILED</x:v>
      </x:c>
      <x:c r="CH209" s="117"/>
    </x:row>
    <x:row r="210">
      <x:c r="A210" s="102" t="str">
        <x:f>IF(RECORD!A212="","",RECORD!A212)</x:f>
      </x:c>
      <x:c r="B210" s="102" t="str">
        <x:f>IF(RECORD!B212="","",RECORD!B212)</x:f>
      </x:c>
      <x:c r="C210" s="103" t="str">
        <x:f>IF(RECORD!C212="","",RECORD!C212)</x:f>
      </x:c>
      <x:c r="D210" s="104" t="str">
        <x:f t="array" ref="D210">IF(C210&lt;&gt;"",IF(F$7="SUMMER","N/A",_xlfn.IFS(D$10="TLA",RECORD!GO212,F$10="LECTURE","",TRUE(),"")),"")</x:f>
      </x:c>
      <x:c r="E210" s="105" t="str">
        <x:f t="shared" si="69"/>
      </x:c>
      <x:c r="F210" s="104" t="str">
        <x:f t="array" ref="F210">IF(C210&lt;&gt;"",IF(F$7="SUMMER","N/A",_xlfn.IFS(F$10="AT",RECORD!GI212,F$10="LECTURE",GRADES!AP210,TRUE(),"")),"")</x:f>
      </x:c>
      <x:c r="G210" s="106" t="str">
        <x:f t="shared" si="70"/>
      </x:c>
      <x:c r="H210" s="107" t="str">
        <x:f t="array" ref="H210">IF(C210&lt;&gt;"",IF(F$7="SUMMER","N/A",_xlfn.IFS(H$10="EXAM",RECORD!GJ212,H$10="OUTPUT",RECORD!GK212,H$10="LAB",BP210,TRUE(),"")),"")</x:f>
      </x:c>
      <x:c r="I210" s="106" t="str">
        <x:f t="shared" si="71"/>
      </x:c>
      <x:c r="J210" s="108" t="str">
        <x:f t="shared" si="72"/>
      </x:c>
      <x:c r="K210" s="109" t="str">
        <x:f t="shared" si="73"/>
      </x:c>
      <x:c r="L210" s="110" t="str">
        <x:f t="array" ref="L210">IF(C210&lt;&gt;"",_xlfn.IFS(L$10="TLA",RECORD!GY212,N$10="LECTURE","",TRUE(),""),"")</x:f>
      </x:c>
      <x:c r="M210" s="105" t="str">
        <x:f t="shared" si="74"/>
      </x:c>
      <x:c r="N210" s="104" t="str">
        <x:f t="array" ref="N210">IF(C210&lt;&gt;"",_xlfn.IFS(N$10="AT",RECORD!GS212,N$10="LECTURE",AX210,TRUE(),""),"")</x:f>
      </x:c>
      <x:c r="O210" s="106" t="str">
        <x:f t="shared" si="75"/>
      </x:c>
      <x:c r="P210" s="107" t="str">
        <x:f t="array" ref="P210">IF(C210&lt;&gt;"",_xlfn.IFS(P$10="EXAM",RECORD!GT212,P$10="OUTPUT",RECORD!GU212,P$10="LAB",BX210,TRUE(),""),"")</x:f>
      </x:c>
      <x:c r="Q210" s="106" t="str">
        <x:f t="shared" si="76"/>
      </x:c>
      <x:c r="R210" s="108" t="str">
        <x:f t="shared" si="77"/>
      </x:c>
      <x:c r="S210" s="109" t="str">
        <x:f t="shared" si="78"/>
      </x:c>
      <x:c r="T210" s="110" t="str">
        <x:f t="array" ref="T210">IF(C210&lt;&gt;"",_xlfn.IFS(T$10="TLA",RECORD!HI212,V$10="LECTURE","",TRUE(),""),"")</x:f>
      </x:c>
      <x:c r="U210" s="105" t="str">
        <x:f t="shared" si="79"/>
      </x:c>
      <x:c r="V210" s="104" t="str">
        <x:f t="array" ref="V210">IF(C210&lt;&gt;"",_xlfn.IFS(V$10="AT",RECORD!HC212,V$10="LECTURE",BF210,TRUE(),""),"")</x:f>
      </x:c>
      <x:c r="W210" s="106" t="str">
        <x:f t="shared" si="80"/>
      </x:c>
      <x:c r="X210" s="107" t="str">
        <x:f t="array" ref="X210">IF(C210&lt;&gt;"",_xlfn.IFS(X$10="EXAM",RECORD!HD212,X$10="OUTPUT",RECORD!HE212,X$10="LAB",CF210,TRUE(),""),"")</x:f>
      </x:c>
      <x:c r="Y210" s="106" t="str">
        <x:f t="shared" si="81"/>
      </x:c>
      <x:c r="Z210" s="108" t="str">
        <x:f t="shared" si="82"/>
      </x:c>
      <x:c r="AA210" s="109" t="str">
        <x:f t="shared" si="83"/>
      </x:c>
      <x:c r="AB210" s="111" t="str">
        <x:f t="shared" si="84"/>
      </x:c>
      <x:c r="AC210" s="109" t="str">
        <x:f t="shared" si="85"/>
      </x:c>
      <x:c r="AD210" s="112"/>
      <x:c r="AE210" s="102"/>
      <x:c r="AF210" s="113"/>
      <x:c r="AG210" s="112"/>
      <x:c r="AH210" s="103"/>
      <x:c r="AI210" s="114"/>
      <x:c r="AJ210" s="102"/>
      <x:c r="AK210" s="102"/>
      <x:c r="AL210" s="102"/>
      <x:c r="AM210" s="102"/>
      <x:c r="AN210" s="102"/>
      <x:c r="AO210" s="102"/>
      <x:c r="AP210" s="102"/>
      <x:c r="AQ210" s="109" t="str">
        <x:f t="shared" si="86"/>
        <x:v>FAILED</x:v>
      </x:c>
      <x:c r="AR210" s="115"/>
      <x:c r="AS210" s="115"/>
      <x:c r="AT210" s="107"/>
      <x:c r="AU210" s="107"/>
      <x:c r="AV210" s="107"/>
      <x:c r="AW210" s="107"/>
      <x:c r="AX210" s="107"/>
      <x:c r="AY210" s="109" t="str">
        <x:f t="shared" si="87"/>
        <x:v>FAILED</x:v>
      </x:c>
      <x:c r="AZ210" s="115"/>
      <x:c r="BA210" s="115"/>
      <x:c r="BB210" s="107"/>
      <x:c r="BC210" s="107"/>
      <x:c r="BD210" s="107"/>
      <x:c r="BE210" s="107"/>
      <x:c r="BF210" s="107"/>
      <x:c r="BG210" s="109" t="str">
        <x:f t="shared" si="88"/>
        <x:v>FAILED</x:v>
      </x:c>
      <x:c r="BH210" s="117"/>
      <x:c r="BI210" s="102"/>
      <x:c r="BJ210" s="102"/>
      <x:c r="BK210" s="102"/>
      <x:c r="BL210" s="102"/>
      <x:c r="BM210" s="102"/>
      <x:c r="BN210" s="102"/>
      <x:c r="BO210" s="102"/>
      <x:c r="BP210" s="102"/>
      <x:c r="BQ210" s="109" t="str">
        <x:f t="shared" si="89"/>
        <x:v>FAILED</x:v>
      </x:c>
      <x:c r="BR210" s="115"/>
      <x:c r="BS210" s="115"/>
      <x:c r="BT210" s="107"/>
      <x:c r="BU210" s="107"/>
      <x:c r="BV210" s="107"/>
      <x:c r="BW210" s="107"/>
      <x:c r="BX210" s="107"/>
      <x:c r="BY210" s="109" t="str">
        <x:f t="shared" si="90"/>
        <x:v>FAILED</x:v>
      </x:c>
      <x:c r="BZ210" s="115"/>
      <x:c r="CA210" s="115"/>
      <x:c r="CB210" s="107"/>
      <x:c r="CC210" s="107"/>
      <x:c r="CD210" s="107"/>
      <x:c r="CE210" s="107"/>
      <x:c r="CF210" s="107"/>
      <x:c r="CG210" s="109" t="str">
        <x:f t="shared" si="91"/>
        <x:v>FAILED</x:v>
      </x:c>
      <x:c r="CH210" s="117"/>
    </x:row>
    <x:row r="211">
      <x:c r="A211" s="102" t="str">
        <x:f>IF(RECORD!A213="","",RECORD!A213)</x:f>
      </x:c>
      <x:c r="B211" s="102" t="str">
        <x:f>IF(RECORD!B213="","",RECORD!B213)</x:f>
      </x:c>
      <x:c r="C211" s="103" t="str">
        <x:f>IF(RECORD!C213="","",RECORD!C213)</x:f>
      </x:c>
      <x:c r="D211" s="104" t="str">
        <x:f t="array" ref="D211">IF(C211&lt;&gt;"",IF(F$7="SUMMER","N/A",_xlfn.IFS(D$10="TLA",RECORD!GO213,F$10="LECTURE","",TRUE(),"")),"")</x:f>
      </x:c>
      <x:c r="E211" s="105" t="str">
        <x:f t="shared" si="69"/>
      </x:c>
      <x:c r="F211" s="104" t="str">
        <x:f t="array" ref="F211">IF(C211&lt;&gt;"",IF(F$7="SUMMER","N/A",_xlfn.IFS(F$10="AT",RECORD!GI213,F$10="LECTURE",GRADES!AP211,TRUE(),"")),"")</x:f>
      </x:c>
      <x:c r="G211" s="106" t="str">
        <x:f t="shared" si="70"/>
      </x:c>
      <x:c r="H211" s="107" t="str">
        <x:f t="array" ref="H211">IF(C211&lt;&gt;"",IF(F$7="SUMMER","N/A",_xlfn.IFS(H$10="EXAM",RECORD!GJ213,H$10="OUTPUT",RECORD!GK213,H$10="LAB",BP211,TRUE(),"")),"")</x:f>
      </x:c>
      <x:c r="I211" s="106" t="str">
        <x:f t="shared" si="71"/>
      </x:c>
      <x:c r="J211" s="108" t="str">
        <x:f t="shared" si="72"/>
      </x:c>
      <x:c r="K211" s="109" t="str">
        <x:f t="shared" si="73"/>
      </x:c>
      <x:c r="L211" s="110" t="str">
        <x:f t="array" ref="L211">IF(C211&lt;&gt;"",_xlfn.IFS(L$10="TLA",RECORD!GY213,N$10="LECTURE","",TRUE(),""),"")</x:f>
      </x:c>
      <x:c r="M211" s="105" t="str">
        <x:f t="shared" si="74"/>
      </x:c>
      <x:c r="N211" s="104" t="str">
        <x:f t="array" ref="N211">IF(C211&lt;&gt;"",_xlfn.IFS(N$10="AT",RECORD!GS213,N$10="LECTURE",AX211,TRUE(),""),"")</x:f>
      </x:c>
      <x:c r="O211" s="106" t="str">
        <x:f t="shared" si="75"/>
      </x:c>
      <x:c r="P211" s="107" t="str">
        <x:f t="array" ref="P211">IF(C211&lt;&gt;"",_xlfn.IFS(P$10="EXAM",RECORD!GT213,P$10="OUTPUT",RECORD!GU213,P$10="LAB",BX211,TRUE(),""),"")</x:f>
      </x:c>
      <x:c r="Q211" s="106" t="str">
        <x:f t="shared" si="76"/>
      </x:c>
      <x:c r="R211" s="108" t="str">
        <x:f t="shared" si="77"/>
      </x:c>
      <x:c r="S211" s="109" t="str">
        <x:f t="shared" si="78"/>
      </x:c>
      <x:c r="T211" s="110" t="str">
        <x:f t="array" ref="T211">IF(C211&lt;&gt;"",_xlfn.IFS(T$10="TLA",RECORD!HI213,V$10="LECTURE","",TRUE(),""),"")</x:f>
      </x:c>
      <x:c r="U211" s="105" t="str">
        <x:f t="shared" si="79"/>
      </x:c>
      <x:c r="V211" s="104" t="str">
        <x:f t="array" ref="V211">IF(C211&lt;&gt;"",_xlfn.IFS(V$10="AT",RECORD!HC213,V$10="LECTURE",BF211,TRUE(),""),"")</x:f>
      </x:c>
      <x:c r="W211" s="106" t="str">
        <x:f t="shared" si="80"/>
      </x:c>
      <x:c r="X211" s="107" t="str">
        <x:f t="array" ref="X211">IF(C211&lt;&gt;"",_xlfn.IFS(X$10="EXAM",RECORD!HD213,X$10="OUTPUT",RECORD!HE213,X$10="LAB",CF211,TRUE(),""),"")</x:f>
      </x:c>
      <x:c r="Y211" s="106" t="str">
        <x:f t="shared" si="81"/>
      </x:c>
      <x:c r="Z211" s="108" t="str">
        <x:f t="shared" si="82"/>
      </x:c>
      <x:c r="AA211" s="109" t="str">
        <x:f t="shared" si="83"/>
      </x:c>
      <x:c r="AB211" s="111" t="str">
        <x:f t="shared" si="84"/>
      </x:c>
      <x:c r="AC211" s="109" t="str">
        <x:f t="shared" si="85"/>
      </x:c>
      <x:c r="AD211" s="112"/>
      <x:c r="AE211" s="102"/>
      <x:c r="AF211" s="113"/>
      <x:c r="AG211" s="112"/>
      <x:c r="AH211" s="103"/>
      <x:c r="AI211" s="114"/>
      <x:c r="AJ211" s="102"/>
      <x:c r="AK211" s="102"/>
      <x:c r="AL211" s="102"/>
      <x:c r="AM211" s="102"/>
      <x:c r="AN211" s="102"/>
      <x:c r="AO211" s="102"/>
      <x:c r="AP211" s="102"/>
      <x:c r="AQ211" s="109" t="str">
        <x:f t="shared" si="86"/>
        <x:v>FAILED</x:v>
      </x:c>
      <x:c r="AR211" s="115"/>
      <x:c r="AS211" s="115"/>
      <x:c r="AT211" s="107"/>
      <x:c r="AU211" s="107"/>
      <x:c r="AV211" s="107"/>
      <x:c r="AW211" s="107"/>
      <x:c r="AX211" s="107"/>
      <x:c r="AY211" s="109" t="str">
        <x:f t="shared" si="87"/>
        <x:v>FAILED</x:v>
      </x:c>
      <x:c r="AZ211" s="115"/>
      <x:c r="BA211" s="115"/>
      <x:c r="BB211" s="107"/>
      <x:c r="BC211" s="107"/>
      <x:c r="BD211" s="107"/>
      <x:c r="BE211" s="107"/>
      <x:c r="BF211" s="107"/>
      <x:c r="BG211" s="109" t="str">
        <x:f t="shared" si="88"/>
        <x:v>FAILED</x:v>
      </x:c>
      <x:c r="BH211" s="117"/>
      <x:c r="BI211" s="102"/>
      <x:c r="BJ211" s="102"/>
      <x:c r="BK211" s="102"/>
      <x:c r="BL211" s="102"/>
      <x:c r="BM211" s="102"/>
      <x:c r="BN211" s="102"/>
      <x:c r="BO211" s="102"/>
      <x:c r="BP211" s="102"/>
      <x:c r="BQ211" s="109" t="str">
        <x:f t="shared" si="89"/>
        <x:v>FAILED</x:v>
      </x:c>
      <x:c r="BR211" s="115"/>
      <x:c r="BS211" s="115"/>
      <x:c r="BT211" s="107"/>
      <x:c r="BU211" s="107"/>
      <x:c r="BV211" s="107"/>
      <x:c r="BW211" s="107"/>
      <x:c r="BX211" s="107"/>
      <x:c r="BY211" s="109" t="str">
        <x:f t="shared" si="90"/>
        <x:v>FAILED</x:v>
      </x:c>
      <x:c r="BZ211" s="115"/>
      <x:c r="CA211" s="115"/>
      <x:c r="CB211" s="107"/>
      <x:c r="CC211" s="107"/>
      <x:c r="CD211" s="107"/>
      <x:c r="CE211" s="107"/>
      <x:c r="CF211" s="107"/>
      <x:c r="CG211" s="109" t="str">
        <x:f t="shared" si="91"/>
        <x:v>FAILED</x:v>
      </x:c>
      <x:c r="CH211" s="117"/>
    </x:row>
    <x:row r="212">
      <x:c r="A212" s="102" t="str">
        <x:f>IF(RECORD!A214="","",RECORD!A214)</x:f>
      </x:c>
      <x:c r="B212" s="102" t="str">
        <x:f>IF(RECORD!B214="","",RECORD!B214)</x:f>
      </x:c>
      <x:c r="C212" s="103" t="str">
        <x:f>IF(RECORD!C214="","",RECORD!C214)</x:f>
      </x:c>
      <x:c r="D212" s="104" t="str">
        <x:f t="array" ref="D212">IF(C212&lt;&gt;"",IF(F$7="SUMMER","N/A",_xlfn.IFS(D$10="TLA",RECORD!GO214,F$10="LECTURE","",TRUE(),"")),"")</x:f>
      </x:c>
      <x:c r="E212" s="105" t="str">
        <x:f t="shared" si="69"/>
      </x:c>
      <x:c r="F212" s="104" t="str">
        <x:f t="array" ref="F212">IF(C212&lt;&gt;"",IF(F$7="SUMMER","N/A",_xlfn.IFS(F$10="AT",RECORD!GI214,F$10="LECTURE",GRADES!AP212,TRUE(),"")),"")</x:f>
      </x:c>
      <x:c r="G212" s="106" t="str">
        <x:f t="shared" si="70"/>
      </x:c>
      <x:c r="H212" s="107" t="str">
        <x:f t="array" ref="H212">IF(C212&lt;&gt;"",IF(F$7="SUMMER","N/A",_xlfn.IFS(H$10="EXAM",RECORD!GJ214,H$10="OUTPUT",RECORD!GK214,H$10="LAB",BP212,TRUE(),"")),"")</x:f>
      </x:c>
      <x:c r="I212" s="106" t="str">
        <x:f t="shared" si="71"/>
      </x:c>
      <x:c r="J212" s="108" t="str">
        <x:f t="shared" si="72"/>
      </x:c>
      <x:c r="K212" s="109" t="str">
        <x:f t="shared" si="73"/>
      </x:c>
      <x:c r="L212" s="110" t="str">
        <x:f t="array" ref="L212">IF(C212&lt;&gt;"",_xlfn.IFS(L$10="TLA",RECORD!GY214,N$10="LECTURE","",TRUE(),""),"")</x:f>
      </x:c>
      <x:c r="M212" s="105" t="str">
        <x:f t="shared" si="74"/>
      </x:c>
      <x:c r="N212" s="104" t="str">
        <x:f t="array" ref="N212">IF(C212&lt;&gt;"",_xlfn.IFS(N$10="AT",RECORD!GS214,N$10="LECTURE",AX212,TRUE(),""),"")</x:f>
      </x:c>
      <x:c r="O212" s="106" t="str">
        <x:f t="shared" si="75"/>
      </x:c>
      <x:c r="P212" s="107" t="str">
        <x:f t="array" ref="P212">IF(C212&lt;&gt;"",_xlfn.IFS(P$10="EXAM",RECORD!GT214,P$10="OUTPUT",RECORD!GU214,P$10="LAB",BX212,TRUE(),""),"")</x:f>
      </x:c>
      <x:c r="Q212" s="106" t="str">
        <x:f t="shared" si="76"/>
      </x:c>
      <x:c r="R212" s="108" t="str">
        <x:f t="shared" si="77"/>
      </x:c>
      <x:c r="S212" s="109" t="str">
        <x:f t="shared" si="78"/>
      </x:c>
      <x:c r="T212" s="110" t="str">
        <x:f t="array" ref="T212">IF(C212&lt;&gt;"",_xlfn.IFS(T$10="TLA",RECORD!HI214,V$10="LECTURE","",TRUE(),""),"")</x:f>
      </x:c>
      <x:c r="U212" s="105" t="str">
        <x:f t="shared" si="79"/>
      </x:c>
      <x:c r="V212" s="104" t="str">
        <x:f t="array" ref="V212">IF(C212&lt;&gt;"",_xlfn.IFS(V$10="AT",RECORD!HC214,V$10="LECTURE",BF212,TRUE(),""),"")</x:f>
      </x:c>
      <x:c r="W212" s="106" t="str">
        <x:f t="shared" si="80"/>
      </x:c>
      <x:c r="X212" s="107" t="str">
        <x:f t="array" ref="X212">IF(C212&lt;&gt;"",_xlfn.IFS(X$10="EXAM",RECORD!HD214,X$10="OUTPUT",RECORD!HE214,X$10="LAB",CF212,TRUE(),""),"")</x:f>
      </x:c>
      <x:c r="Y212" s="106" t="str">
        <x:f t="shared" si="81"/>
      </x:c>
      <x:c r="Z212" s="108" t="str">
        <x:f t="shared" si="82"/>
      </x:c>
      <x:c r="AA212" s="109" t="str">
        <x:f t="shared" si="83"/>
      </x:c>
      <x:c r="AB212" s="111" t="str">
        <x:f t="shared" si="84"/>
      </x:c>
      <x:c r="AC212" s="109" t="str">
        <x:f t="shared" si="85"/>
      </x:c>
      <x:c r="AD212" s="112"/>
      <x:c r="AE212" s="102"/>
      <x:c r="AF212" s="113"/>
      <x:c r="AG212" s="112"/>
      <x:c r="AH212" s="103"/>
      <x:c r="AI212" s="114"/>
      <x:c r="AJ212" s="102"/>
      <x:c r="AK212" s="102"/>
      <x:c r="AL212" s="102"/>
      <x:c r="AM212" s="102"/>
      <x:c r="AN212" s="102"/>
      <x:c r="AO212" s="102"/>
      <x:c r="AP212" s="102"/>
      <x:c r="AQ212" s="109" t="str">
        <x:f t="shared" si="86"/>
        <x:v>FAILED</x:v>
      </x:c>
      <x:c r="AR212" s="115"/>
      <x:c r="AS212" s="115"/>
      <x:c r="AT212" s="107"/>
      <x:c r="AU212" s="107"/>
      <x:c r="AV212" s="107"/>
      <x:c r="AW212" s="107"/>
      <x:c r="AX212" s="107"/>
      <x:c r="AY212" s="109" t="str">
        <x:f t="shared" si="87"/>
        <x:v>FAILED</x:v>
      </x:c>
      <x:c r="AZ212" s="115"/>
      <x:c r="BA212" s="115"/>
      <x:c r="BB212" s="107"/>
      <x:c r="BC212" s="107"/>
      <x:c r="BD212" s="107"/>
      <x:c r="BE212" s="107"/>
      <x:c r="BF212" s="107"/>
      <x:c r="BG212" s="109" t="str">
        <x:f t="shared" si="88"/>
        <x:v>FAILED</x:v>
      </x:c>
      <x:c r="BH212" s="117"/>
      <x:c r="BI212" s="102"/>
      <x:c r="BJ212" s="102"/>
      <x:c r="BK212" s="102"/>
      <x:c r="BL212" s="102"/>
      <x:c r="BM212" s="102"/>
      <x:c r="BN212" s="102"/>
      <x:c r="BO212" s="102"/>
      <x:c r="BP212" s="102"/>
      <x:c r="BQ212" s="109" t="str">
        <x:f t="shared" si="89"/>
        <x:v>FAILED</x:v>
      </x:c>
      <x:c r="BR212" s="115"/>
      <x:c r="BS212" s="115"/>
      <x:c r="BT212" s="107"/>
      <x:c r="BU212" s="107"/>
      <x:c r="BV212" s="107"/>
      <x:c r="BW212" s="107"/>
      <x:c r="BX212" s="107"/>
      <x:c r="BY212" s="109" t="str">
        <x:f t="shared" si="90"/>
        <x:v>FAILED</x:v>
      </x:c>
      <x:c r="BZ212" s="115"/>
      <x:c r="CA212" s="115"/>
      <x:c r="CB212" s="107"/>
      <x:c r="CC212" s="107"/>
      <x:c r="CD212" s="107"/>
      <x:c r="CE212" s="107"/>
      <x:c r="CF212" s="107"/>
      <x:c r="CG212" s="109" t="str">
        <x:f t="shared" si="91"/>
        <x:v>FAILED</x:v>
      </x:c>
      <x:c r="CH212" s="117"/>
    </x:row>
    <x:row r="213">
      <x:c r="A213" s="102" t="str">
        <x:f>IF(RECORD!A215="","",RECORD!A215)</x:f>
      </x:c>
      <x:c r="B213" s="102" t="str">
        <x:f>IF(RECORD!B215="","",RECORD!B215)</x:f>
      </x:c>
      <x:c r="C213" s="103" t="str">
        <x:f>IF(RECORD!C215="","",RECORD!C215)</x:f>
      </x:c>
      <x:c r="D213" s="104" t="str">
        <x:f t="array" ref="D213">IF(C213&lt;&gt;"",IF(F$7="SUMMER","N/A",_xlfn.IFS(D$10="TLA",RECORD!GO215,F$10="LECTURE","",TRUE(),"")),"")</x:f>
      </x:c>
      <x:c r="E213" s="105" t="str">
        <x:f t="shared" si="69"/>
      </x:c>
      <x:c r="F213" s="104" t="str">
        <x:f t="array" ref="F213">IF(C213&lt;&gt;"",IF(F$7="SUMMER","N/A",_xlfn.IFS(F$10="AT",RECORD!GI215,F$10="LECTURE",GRADES!AP213,TRUE(),"")),"")</x:f>
      </x:c>
      <x:c r="G213" s="106" t="str">
        <x:f t="shared" si="70"/>
      </x:c>
      <x:c r="H213" s="107" t="str">
        <x:f t="array" ref="H213">IF(C213&lt;&gt;"",IF(F$7="SUMMER","N/A",_xlfn.IFS(H$10="EXAM",RECORD!GJ215,H$10="OUTPUT",RECORD!GK215,H$10="LAB",BP213,TRUE(),"")),"")</x:f>
      </x:c>
      <x:c r="I213" s="106" t="str">
        <x:f t="shared" si="71"/>
      </x:c>
      <x:c r="J213" s="108" t="str">
        <x:f t="shared" si="72"/>
      </x:c>
      <x:c r="K213" s="109" t="str">
        <x:f t="shared" si="73"/>
      </x:c>
      <x:c r="L213" s="110" t="str">
        <x:f t="array" ref="L213">IF(C213&lt;&gt;"",_xlfn.IFS(L$10="TLA",RECORD!GY215,N$10="LECTURE","",TRUE(),""),"")</x:f>
      </x:c>
      <x:c r="M213" s="105" t="str">
        <x:f t="shared" si="74"/>
      </x:c>
      <x:c r="N213" s="104" t="str">
        <x:f t="array" ref="N213">IF(C213&lt;&gt;"",_xlfn.IFS(N$10="AT",RECORD!GS215,N$10="LECTURE",AX213,TRUE(),""),"")</x:f>
      </x:c>
      <x:c r="O213" s="106" t="str">
        <x:f t="shared" si="75"/>
      </x:c>
      <x:c r="P213" s="107" t="str">
        <x:f t="array" ref="P213">IF(C213&lt;&gt;"",_xlfn.IFS(P$10="EXAM",RECORD!GT215,P$10="OUTPUT",RECORD!GU215,P$10="LAB",BX213,TRUE(),""),"")</x:f>
      </x:c>
      <x:c r="Q213" s="106" t="str">
        <x:f t="shared" si="76"/>
      </x:c>
      <x:c r="R213" s="108" t="str">
        <x:f t="shared" si="77"/>
      </x:c>
      <x:c r="S213" s="109" t="str">
        <x:f t="shared" si="78"/>
      </x:c>
      <x:c r="T213" s="110" t="str">
        <x:f t="array" ref="T213">IF(C213&lt;&gt;"",_xlfn.IFS(T$10="TLA",RECORD!HI215,V$10="LECTURE","",TRUE(),""),"")</x:f>
      </x:c>
      <x:c r="U213" s="105" t="str">
        <x:f t="shared" si="79"/>
      </x:c>
      <x:c r="V213" s="104" t="str">
        <x:f t="array" ref="V213">IF(C213&lt;&gt;"",_xlfn.IFS(V$10="AT",RECORD!HC215,V$10="LECTURE",BF213,TRUE(),""),"")</x:f>
      </x:c>
      <x:c r="W213" s="106" t="str">
        <x:f t="shared" si="80"/>
      </x:c>
      <x:c r="X213" s="107" t="str">
        <x:f t="array" ref="X213">IF(C213&lt;&gt;"",_xlfn.IFS(X$10="EXAM",RECORD!HD215,X$10="OUTPUT",RECORD!HE215,X$10="LAB",CF213,TRUE(),""),"")</x:f>
      </x:c>
      <x:c r="Y213" s="106" t="str">
        <x:f t="shared" si="81"/>
      </x:c>
      <x:c r="Z213" s="108" t="str">
        <x:f t="shared" si="82"/>
      </x:c>
      <x:c r="AA213" s="109" t="str">
        <x:f t="shared" si="83"/>
      </x:c>
      <x:c r="AB213" s="111" t="str">
        <x:f t="shared" si="84"/>
      </x:c>
      <x:c r="AC213" s="109" t="str">
        <x:f t="shared" si="85"/>
      </x:c>
      <x:c r="AD213" s="112"/>
      <x:c r="AE213" s="102"/>
      <x:c r="AF213" s="113"/>
      <x:c r="AG213" s="112"/>
      <x:c r="AH213" s="103"/>
      <x:c r="AI213" s="114"/>
      <x:c r="AJ213" s="102"/>
      <x:c r="AK213" s="102"/>
      <x:c r="AL213" s="102"/>
      <x:c r="AM213" s="102"/>
      <x:c r="AN213" s="102"/>
      <x:c r="AO213" s="102"/>
      <x:c r="AP213" s="102"/>
      <x:c r="AQ213" s="109" t="str">
        <x:f t="shared" si="86"/>
        <x:v>FAILED</x:v>
      </x:c>
      <x:c r="AR213" s="115"/>
      <x:c r="AS213" s="115"/>
      <x:c r="AT213" s="107"/>
      <x:c r="AU213" s="107"/>
      <x:c r="AV213" s="107"/>
      <x:c r="AW213" s="107"/>
      <x:c r="AX213" s="107"/>
      <x:c r="AY213" s="109" t="str">
        <x:f t="shared" si="87"/>
        <x:v>FAILED</x:v>
      </x:c>
      <x:c r="AZ213" s="115"/>
      <x:c r="BA213" s="115"/>
      <x:c r="BB213" s="107"/>
      <x:c r="BC213" s="107"/>
      <x:c r="BD213" s="107"/>
      <x:c r="BE213" s="107"/>
      <x:c r="BF213" s="107"/>
      <x:c r="BG213" s="109" t="str">
        <x:f t="shared" si="88"/>
        <x:v>FAILED</x:v>
      </x:c>
      <x:c r="BH213" s="117"/>
      <x:c r="BI213" s="102"/>
      <x:c r="BJ213" s="102"/>
      <x:c r="BK213" s="102"/>
      <x:c r="BL213" s="102"/>
      <x:c r="BM213" s="102"/>
      <x:c r="BN213" s="102"/>
      <x:c r="BO213" s="102"/>
      <x:c r="BP213" s="102"/>
      <x:c r="BQ213" s="109" t="str">
        <x:f t="shared" si="89"/>
        <x:v>FAILED</x:v>
      </x:c>
      <x:c r="BR213" s="115"/>
      <x:c r="BS213" s="115"/>
      <x:c r="BT213" s="107"/>
      <x:c r="BU213" s="107"/>
      <x:c r="BV213" s="107"/>
      <x:c r="BW213" s="107"/>
      <x:c r="BX213" s="107"/>
      <x:c r="BY213" s="109" t="str">
        <x:f t="shared" si="90"/>
        <x:v>FAILED</x:v>
      </x:c>
      <x:c r="BZ213" s="115"/>
      <x:c r="CA213" s="115"/>
      <x:c r="CB213" s="107"/>
      <x:c r="CC213" s="107"/>
      <x:c r="CD213" s="107"/>
      <x:c r="CE213" s="107"/>
      <x:c r="CF213" s="107"/>
      <x:c r="CG213" s="109" t="str">
        <x:f t="shared" si="91"/>
        <x:v>FAILED</x:v>
      </x:c>
      <x:c r="CH213" s="117"/>
    </x:row>
    <x:row r="214">
      <x:c r="A214" s="102" t="str">
        <x:f>IF(RECORD!A216="","",RECORD!A216)</x:f>
      </x:c>
      <x:c r="B214" s="102" t="str">
        <x:f>IF(RECORD!B216="","",RECORD!B216)</x:f>
      </x:c>
      <x:c r="C214" s="103" t="str">
        <x:f>IF(RECORD!C216="","",RECORD!C216)</x:f>
      </x:c>
      <x:c r="D214" s="104" t="str">
        <x:f t="array" ref="D214">IF(C214&lt;&gt;"",IF(F$7="SUMMER","N/A",_xlfn.IFS(D$10="TLA",RECORD!GO216,F$10="LECTURE","",TRUE(),"")),"")</x:f>
      </x:c>
      <x:c r="E214" s="105" t="str">
        <x:f t="shared" si="69"/>
      </x:c>
      <x:c r="F214" s="104" t="str">
        <x:f t="array" ref="F214">IF(C214&lt;&gt;"",IF(F$7="SUMMER","N/A",_xlfn.IFS(F$10="AT",RECORD!GI216,F$10="LECTURE",GRADES!AP214,TRUE(),"")),"")</x:f>
      </x:c>
      <x:c r="G214" s="106" t="str">
        <x:f t="shared" si="70"/>
      </x:c>
      <x:c r="H214" s="107" t="str">
        <x:f t="array" ref="H214">IF(C214&lt;&gt;"",IF(F$7="SUMMER","N/A",_xlfn.IFS(H$10="EXAM",RECORD!GJ216,H$10="OUTPUT",RECORD!GK216,H$10="LAB",BP214,TRUE(),"")),"")</x:f>
      </x:c>
      <x:c r="I214" s="106" t="str">
        <x:f t="shared" si="71"/>
      </x:c>
      <x:c r="J214" s="108" t="str">
        <x:f t="shared" si="72"/>
      </x:c>
      <x:c r="K214" s="109" t="str">
        <x:f t="shared" si="73"/>
      </x:c>
      <x:c r="L214" s="110" t="str">
        <x:f t="array" ref="L214">IF(C214&lt;&gt;"",_xlfn.IFS(L$10="TLA",RECORD!GY216,N$10="LECTURE","",TRUE(),""),"")</x:f>
      </x:c>
      <x:c r="M214" s="105" t="str">
        <x:f t="shared" si="74"/>
      </x:c>
      <x:c r="N214" s="104" t="str">
        <x:f t="array" ref="N214">IF(C214&lt;&gt;"",_xlfn.IFS(N$10="AT",RECORD!GS216,N$10="LECTURE",AX214,TRUE(),""),"")</x:f>
      </x:c>
      <x:c r="O214" s="106" t="str">
        <x:f t="shared" si="75"/>
      </x:c>
      <x:c r="P214" s="107" t="str">
        <x:f t="array" ref="P214">IF(C214&lt;&gt;"",_xlfn.IFS(P$10="EXAM",RECORD!GT216,P$10="OUTPUT",RECORD!GU216,P$10="LAB",BX214,TRUE(),""),"")</x:f>
      </x:c>
      <x:c r="Q214" s="106" t="str">
        <x:f t="shared" si="76"/>
      </x:c>
      <x:c r="R214" s="108" t="str">
        <x:f t="shared" si="77"/>
      </x:c>
      <x:c r="S214" s="109" t="str">
        <x:f t="shared" si="78"/>
      </x:c>
      <x:c r="T214" s="110" t="str">
        <x:f t="array" ref="T214">IF(C214&lt;&gt;"",_xlfn.IFS(T$10="TLA",RECORD!HI216,V$10="LECTURE","",TRUE(),""),"")</x:f>
      </x:c>
      <x:c r="U214" s="105" t="str">
        <x:f t="shared" si="79"/>
      </x:c>
      <x:c r="V214" s="104" t="str">
        <x:f t="array" ref="V214">IF(C214&lt;&gt;"",_xlfn.IFS(V$10="AT",RECORD!HC216,V$10="LECTURE",BF214,TRUE(),""),"")</x:f>
      </x:c>
      <x:c r="W214" s="106" t="str">
        <x:f t="shared" si="80"/>
      </x:c>
      <x:c r="X214" s="107" t="str">
        <x:f t="array" ref="X214">IF(C214&lt;&gt;"",_xlfn.IFS(X$10="EXAM",RECORD!HD216,X$10="OUTPUT",RECORD!HE216,X$10="LAB",CF214,TRUE(),""),"")</x:f>
      </x:c>
      <x:c r="Y214" s="106" t="str">
        <x:f t="shared" si="81"/>
      </x:c>
      <x:c r="Z214" s="108" t="str">
        <x:f t="shared" si="82"/>
      </x:c>
      <x:c r="AA214" s="109" t="str">
        <x:f t="shared" si="83"/>
      </x:c>
      <x:c r="AB214" s="111" t="str">
        <x:f t="shared" si="84"/>
      </x:c>
      <x:c r="AC214" s="109" t="str">
        <x:f t="shared" si="85"/>
      </x:c>
      <x:c r="AD214" s="112"/>
      <x:c r="AE214" s="102"/>
      <x:c r="AF214" s="113"/>
      <x:c r="AG214" s="112"/>
      <x:c r="AH214" s="103"/>
      <x:c r="AI214" s="114"/>
      <x:c r="AJ214" s="102"/>
      <x:c r="AK214" s="102"/>
      <x:c r="AL214" s="102"/>
      <x:c r="AM214" s="102"/>
      <x:c r="AN214" s="102"/>
      <x:c r="AO214" s="102"/>
      <x:c r="AP214" s="102"/>
      <x:c r="AQ214" s="109" t="str">
        <x:f t="shared" si="86"/>
        <x:v>FAILED</x:v>
      </x:c>
      <x:c r="AR214" s="115"/>
      <x:c r="AS214" s="115"/>
      <x:c r="AT214" s="107"/>
      <x:c r="AU214" s="107"/>
      <x:c r="AV214" s="107"/>
      <x:c r="AW214" s="107"/>
      <x:c r="AX214" s="107"/>
      <x:c r="AY214" s="109" t="str">
        <x:f t="shared" si="87"/>
        <x:v>FAILED</x:v>
      </x:c>
      <x:c r="AZ214" s="115"/>
      <x:c r="BA214" s="115"/>
      <x:c r="BB214" s="107"/>
      <x:c r="BC214" s="107"/>
      <x:c r="BD214" s="107"/>
      <x:c r="BE214" s="107"/>
      <x:c r="BF214" s="107"/>
      <x:c r="BG214" s="109" t="str">
        <x:f t="shared" si="88"/>
        <x:v>FAILED</x:v>
      </x:c>
      <x:c r="BH214" s="117"/>
      <x:c r="BI214" s="102"/>
      <x:c r="BJ214" s="102"/>
      <x:c r="BK214" s="102"/>
      <x:c r="BL214" s="102"/>
      <x:c r="BM214" s="102"/>
      <x:c r="BN214" s="102"/>
      <x:c r="BO214" s="102"/>
      <x:c r="BP214" s="102"/>
      <x:c r="BQ214" s="109" t="str">
        <x:f t="shared" si="89"/>
        <x:v>FAILED</x:v>
      </x:c>
      <x:c r="BR214" s="115"/>
      <x:c r="BS214" s="115"/>
      <x:c r="BT214" s="107"/>
      <x:c r="BU214" s="107"/>
      <x:c r="BV214" s="107"/>
      <x:c r="BW214" s="107"/>
      <x:c r="BX214" s="107"/>
      <x:c r="BY214" s="109" t="str">
        <x:f t="shared" si="90"/>
        <x:v>FAILED</x:v>
      </x:c>
      <x:c r="BZ214" s="115"/>
      <x:c r="CA214" s="115"/>
      <x:c r="CB214" s="107"/>
      <x:c r="CC214" s="107"/>
      <x:c r="CD214" s="107"/>
      <x:c r="CE214" s="107"/>
      <x:c r="CF214" s="107"/>
      <x:c r="CG214" s="109" t="str">
        <x:f t="shared" si="91"/>
        <x:v>FAILED</x:v>
      </x:c>
      <x:c r="CH214" s="117"/>
    </x:row>
    <x:row r="215">
      <x:c r="A215" s="102" t="str">
        <x:f>IF(RECORD!A217="","",RECORD!A217)</x:f>
      </x:c>
      <x:c r="B215" s="102" t="str">
        <x:f>IF(RECORD!B217="","",RECORD!B217)</x:f>
      </x:c>
      <x:c r="C215" s="103" t="str">
        <x:f>IF(RECORD!C217="","",RECORD!C217)</x:f>
      </x:c>
      <x:c r="D215" s="104" t="str">
        <x:f t="array" ref="D215">IF(C215&lt;&gt;"",IF(F$7="SUMMER","N/A",_xlfn.IFS(D$10="TLA",RECORD!GO217,F$10="LECTURE","",TRUE(),"")),"")</x:f>
      </x:c>
      <x:c r="E215" s="105" t="str">
        <x:f t="shared" si="69"/>
      </x:c>
      <x:c r="F215" s="104" t="str">
        <x:f t="array" ref="F215">IF(C215&lt;&gt;"",IF(F$7="SUMMER","N/A",_xlfn.IFS(F$10="AT",RECORD!GI217,F$10="LECTURE",GRADES!AP215,TRUE(),"")),"")</x:f>
      </x:c>
      <x:c r="G215" s="106" t="str">
        <x:f t="shared" si="70"/>
      </x:c>
      <x:c r="H215" s="107" t="str">
        <x:f t="array" ref="H215">IF(C215&lt;&gt;"",IF(F$7="SUMMER","N/A",_xlfn.IFS(H$10="EXAM",RECORD!GJ217,H$10="OUTPUT",RECORD!GK217,H$10="LAB",BP215,TRUE(),"")),"")</x:f>
      </x:c>
      <x:c r="I215" s="106" t="str">
        <x:f t="shared" si="71"/>
      </x:c>
      <x:c r="J215" s="108" t="str">
        <x:f t="shared" si="72"/>
      </x:c>
      <x:c r="K215" s="109" t="str">
        <x:f t="shared" si="73"/>
      </x:c>
      <x:c r="L215" s="110" t="str">
        <x:f t="array" ref="L215">IF(C215&lt;&gt;"",_xlfn.IFS(L$10="TLA",RECORD!GY217,N$10="LECTURE","",TRUE(),""),"")</x:f>
      </x:c>
      <x:c r="M215" s="105" t="str">
        <x:f t="shared" si="74"/>
      </x:c>
      <x:c r="N215" s="104" t="str">
        <x:f t="array" ref="N215">IF(C215&lt;&gt;"",_xlfn.IFS(N$10="AT",RECORD!GS217,N$10="LECTURE",AX215,TRUE(),""),"")</x:f>
      </x:c>
      <x:c r="O215" s="106" t="str">
        <x:f t="shared" si="75"/>
      </x:c>
      <x:c r="P215" s="107" t="str">
        <x:f t="array" ref="P215">IF(C215&lt;&gt;"",_xlfn.IFS(P$10="EXAM",RECORD!GT217,P$10="OUTPUT",RECORD!GU217,P$10="LAB",BX215,TRUE(),""),"")</x:f>
      </x:c>
      <x:c r="Q215" s="106" t="str">
        <x:f t="shared" si="76"/>
      </x:c>
      <x:c r="R215" s="108" t="str">
        <x:f t="shared" si="77"/>
      </x:c>
      <x:c r="S215" s="109" t="str">
        <x:f t="shared" si="78"/>
      </x:c>
      <x:c r="T215" s="110" t="str">
        <x:f t="array" ref="T215">IF(C215&lt;&gt;"",_xlfn.IFS(T$10="TLA",RECORD!HI217,V$10="LECTURE","",TRUE(),""),"")</x:f>
      </x:c>
      <x:c r="U215" s="105" t="str">
        <x:f t="shared" si="79"/>
      </x:c>
      <x:c r="V215" s="104" t="str">
        <x:f t="array" ref="V215">IF(C215&lt;&gt;"",_xlfn.IFS(V$10="AT",RECORD!HC217,V$10="LECTURE",BF215,TRUE(),""),"")</x:f>
      </x:c>
      <x:c r="W215" s="106" t="str">
        <x:f t="shared" si="80"/>
      </x:c>
      <x:c r="X215" s="107" t="str">
        <x:f t="array" ref="X215">IF(C215&lt;&gt;"",_xlfn.IFS(X$10="EXAM",RECORD!HD217,X$10="OUTPUT",RECORD!HE217,X$10="LAB",CF215,TRUE(),""),"")</x:f>
      </x:c>
      <x:c r="Y215" s="106" t="str">
        <x:f t="shared" si="81"/>
      </x:c>
      <x:c r="Z215" s="108" t="str">
        <x:f t="shared" si="82"/>
      </x:c>
      <x:c r="AA215" s="109" t="str">
        <x:f t="shared" si="83"/>
      </x:c>
      <x:c r="AB215" s="111" t="str">
        <x:f t="shared" si="84"/>
      </x:c>
      <x:c r="AC215" s="109" t="str">
        <x:f t="shared" si="85"/>
      </x:c>
      <x:c r="AD215" s="112"/>
      <x:c r="AE215" s="102"/>
      <x:c r="AF215" s="113"/>
      <x:c r="AG215" s="112"/>
      <x:c r="AH215" s="103"/>
      <x:c r="AI215" s="114"/>
      <x:c r="AJ215" s="102"/>
      <x:c r="AK215" s="102"/>
      <x:c r="AL215" s="102"/>
      <x:c r="AM215" s="102"/>
      <x:c r="AN215" s="102"/>
      <x:c r="AO215" s="102"/>
      <x:c r="AP215" s="102"/>
      <x:c r="AQ215" s="109" t="str">
        <x:f t="shared" si="86"/>
        <x:v>FAILED</x:v>
      </x:c>
      <x:c r="AR215" s="115"/>
      <x:c r="AS215" s="115"/>
      <x:c r="AT215" s="107"/>
      <x:c r="AU215" s="107"/>
      <x:c r="AV215" s="107"/>
      <x:c r="AW215" s="107"/>
      <x:c r="AX215" s="107"/>
      <x:c r="AY215" s="109" t="str">
        <x:f t="shared" si="87"/>
        <x:v>FAILED</x:v>
      </x:c>
      <x:c r="AZ215" s="115"/>
      <x:c r="BA215" s="115"/>
      <x:c r="BB215" s="107"/>
      <x:c r="BC215" s="107"/>
      <x:c r="BD215" s="107"/>
      <x:c r="BE215" s="107"/>
      <x:c r="BF215" s="107"/>
      <x:c r="BG215" s="109" t="str">
        <x:f t="shared" si="88"/>
        <x:v>FAILED</x:v>
      </x:c>
      <x:c r="BH215" s="117"/>
      <x:c r="BI215" s="102"/>
      <x:c r="BJ215" s="102"/>
      <x:c r="BK215" s="102"/>
      <x:c r="BL215" s="102"/>
      <x:c r="BM215" s="102"/>
      <x:c r="BN215" s="102"/>
      <x:c r="BO215" s="102"/>
      <x:c r="BP215" s="102"/>
      <x:c r="BQ215" s="109" t="str">
        <x:f t="shared" si="89"/>
        <x:v>FAILED</x:v>
      </x:c>
      <x:c r="BR215" s="115"/>
      <x:c r="BS215" s="115"/>
      <x:c r="BT215" s="107"/>
      <x:c r="BU215" s="107"/>
      <x:c r="BV215" s="107"/>
      <x:c r="BW215" s="107"/>
      <x:c r="BX215" s="107"/>
      <x:c r="BY215" s="109" t="str">
        <x:f t="shared" si="90"/>
        <x:v>FAILED</x:v>
      </x:c>
      <x:c r="BZ215" s="115"/>
      <x:c r="CA215" s="115"/>
      <x:c r="CB215" s="107"/>
      <x:c r="CC215" s="107"/>
      <x:c r="CD215" s="107"/>
      <x:c r="CE215" s="107"/>
      <x:c r="CF215" s="107"/>
      <x:c r="CG215" s="109" t="str">
        <x:f t="shared" si="91"/>
        <x:v>FAILED</x:v>
      </x:c>
      <x:c r="CH215" s="117"/>
    </x:row>
    <x:row r="216">
      <x:c r="A216" s="102" t="str">
        <x:f>IF(RECORD!A218="","",RECORD!A218)</x:f>
      </x:c>
      <x:c r="B216" s="102" t="str">
        <x:f>IF(RECORD!B218="","",RECORD!B218)</x:f>
      </x:c>
      <x:c r="C216" s="103" t="str">
        <x:f>IF(RECORD!C218="","",RECORD!C218)</x:f>
      </x:c>
      <x:c r="D216" s="104" t="str">
        <x:f t="array" ref="D216">IF(C216&lt;&gt;"",IF(F$7="SUMMER","N/A",_xlfn.IFS(D$10="TLA",RECORD!GO218,F$10="LECTURE","",TRUE(),"")),"")</x:f>
      </x:c>
      <x:c r="E216" s="105" t="str">
        <x:f t="shared" si="69"/>
      </x:c>
      <x:c r="F216" s="104" t="str">
        <x:f t="array" ref="F216">IF(C216&lt;&gt;"",IF(F$7="SUMMER","N/A",_xlfn.IFS(F$10="AT",RECORD!GI218,F$10="LECTURE",GRADES!AP216,TRUE(),"")),"")</x:f>
      </x:c>
      <x:c r="G216" s="106" t="str">
        <x:f t="shared" si="70"/>
      </x:c>
      <x:c r="H216" s="107" t="str">
        <x:f t="array" ref="H216">IF(C216&lt;&gt;"",IF(F$7="SUMMER","N/A",_xlfn.IFS(H$10="EXAM",RECORD!GJ218,H$10="OUTPUT",RECORD!GK218,H$10="LAB",BP216,TRUE(),"")),"")</x:f>
      </x:c>
      <x:c r="I216" s="106" t="str">
        <x:f t="shared" si="71"/>
      </x:c>
      <x:c r="J216" s="108" t="str">
        <x:f t="shared" si="72"/>
      </x:c>
      <x:c r="K216" s="109" t="str">
        <x:f t="shared" si="73"/>
      </x:c>
      <x:c r="L216" s="110" t="str">
        <x:f t="array" ref="L216">IF(C216&lt;&gt;"",_xlfn.IFS(L$10="TLA",RECORD!GY218,N$10="LECTURE","",TRUE(),""),"")</x:f>
      </x:c>
      <x:c r="M216" s="105" t="str">
        <x:f t="shared" si="74"/>
      </x:c>
      <x:c r="N216" s="104" t="str">
        <x:f t="array" ref="N216">IF(C216&lt;&gt;"",_xlfn.IFS(N$10="AT",RECORD!GS218,N$10="LECTURE",AX216,TRUE(),""),"")</x:f>
      </x:c>
      <x:c r="O216" s="106" t="str">
        <x:f t="shared" si="75"/>
      </x:c>
      <x:c r="P216" s="107" t="str">
        <x:f t="array" ref="P216">IF(C216&lt;&gt;"",_xlfn.IFS(P$10="EXAM",RECORD!GT218,P$10="OUTPUT",RECORD!GU218,P$10="LAB",BX216,TRUE(),""),"")</x:f>
      </x:c>
      <x:c r="Q216" s="106" t="str">
        <x:f t="shared" si="76"/>
      </x:c>
      <x:c r="R216" s="108" t="str">
        <x:f t="shared" si="77"/>
      </x:c>
      <x:c r="S216" s="109" t="str">
        <x:f t="shared" si="78"/>
      </x:c>
      <x:c r="T216" s="110" t="str">
        <x:f t="array" ref="T216">IF(C216&lt;&gt;"",_xlfn.IFS(T$10="TLA",RECORD!HI218,V$10="LECTURE","",TRUE(),""),"")</x:f>
      </x:c>
      <x:c r="U216" s="105" t="str">
        <x:f t="shared" si="79"/>
      </x:c>
      <x:c r="V216" s="104" t="str">
        <x:f t="array" ref="V216">IF(C216&lt;&gt;"",_xlfn.IFS(V$10="AT",RECORD!HC218,V$10="LECTURE",BF216,TRUE(),""),"")</x:f>
      </x:c>
      <x:c r="W216" s="106" t="str">
        <x:f t="shared" si="80"/>
      </x:c>
      <x:c r="X216" s="107" t="str">
        <x:f t="array" ref="X216">IF(C216&lt;&gt;"",_xlfn.IFS(X$10="EXAM",RECORD!HD218,X$10="OUTPUT",RECORD!HE218,X$10="LAB",CF216,TRUE(),""),"")</x:f>
      </x:c>
      <x:c r="Y216" s="106" t="str">
        <x:f t="shared" si="81"/>
      </x:c>
      <x:c r="Z216" s="108" t="str">
        <x:f t="shared" si="82"/>
      </x:c>
      <x:c r="AA216" s="109" t="str">
        <x:f t="shared" si="83"/>
      </x:c>
      <x:c r="AB216" s="111" t="str">
        <x:f t="shared" si="84"/>
      </x:c>
      <x:c r="AC216" s="109" t="str">
        <x:f t="shared" si="85"/>
      </x:c>
      <x:c r="AD216" s="112"/>
      <x:c r="AE216" s="102"/>
      <x:c r="AF216" s="113"/>
      <x:c r="AG216" s="112"/>
      <x:c r="AH216" s="103"/>
      <x:c r="AI216" s="114"/>
      <x:c r="AJ216" s="102"/>
      <x:c r="AK216" s="102"/>
      <x:c r="AL216" s="102"/>
      <x:c r="AM216" s="102"/>
      <x:c r="AN216" s="102"/>
      <x:c r="AO216" s="102"/>
      <x:c r="AP216" s="102"/>
      <x:c r="AQ216" s="109" t="str">
        <x:f t="shared" si="86"/>
        <x:v>FAILED</x:v>
      </x:c>
      <x:c r="AR216" s="115"/>
      <x:c r="AS216" s="115"/>
      <x:c r="AT216" s="107"/>
      <x:c r="AU216" s="107"/>
      <x:c r="AV216" s="107"/>
      <x:c r="AW216" s="107"/>
      <x:c r="AX216" s="107"/>
      <x:c r="AY216" s="109" t="str">
        <x:f t="shared" si="87"/>
        <x:v>FAILED</x:v>
      </x:c>
      <x:c r="AZ216" s="115"/>
      <x:c r="BA216" s="115"/>
      <x:c r="BB216" s="107"/>
      <x:c r="BC216" s="107"/>
      <x:c r="BD216" s="107"/>
      <x:c r="BE216" s="107"/>
      <x:c r="BF216" s="107"/>
      <x:c r="BG216" s="109" t="str">
        <x:f t="shared" si="88"/>
        <x:v>FAILED</x:v>
      </x:c>
      <x:c r="BH216" s="117"/>
      <x:c r="BI216" s="102"/>
      <x:c r="BJ216" s="102"/>
      <x:c r="BK216" s="102"/>
      <x:c r="BL216" s="102"/>
      <x:c r="BM216" s="102"/>
      <x:c r="BN216" s="102"/>
      <x:c r="BO216" s="102"/>
      <x:c r="BP216" s="102"/>
      <x:c r="BQ216" s="109" t="str">
        <x:f t="shared" si="89"/>
        <x:v>FAILED</x:v>
      </x:c>
      <x:c r="BR216" s="115"/>
      <x:c r="BS216" s="115"/>
      <x:c r="BT216" s="107"/>
      <x:c r="BU216" s="107"/>
      <x:c r="BV216" s="107"/>
      <x:c r="BW216" s="107"/>
      <x:c r="BX216" s="107"/>
      <x:c r="BY216" s="109" t="str">
        <x:f t="shared" si="90"/>
        <x:v>FAILED</x:v>
      </x:c>
      <x:c r="BZ216" s="115"/>
      <x:c r="CA216" s="115"/>
      <x:c r="CB216" s="107"/>
      <x:c r="CC216" s="107"/>
      <x:c r="CD216" s="107"/>
      <x:c r="CE216" s="107"/>
      <x:c r="CF216" s="107"/>
      <x:c r="CG216" s="109" t="str">
        <x:f t="shared" si="91"/>
        <x:v>FAILED</x:v>
      </x:c>
      <x:c r="CH216" s="117"/>
    </x:row>
    <x:row r="217">
      <x:c r="A217" s="102" t="str">
        <x:f>IF(RECORD!A219="","",RECORD!A219)</x:f>
      </x:c>
      <x:c r="B217" s="102" t="str">
        <x:f>IF(RECORD!B219="","",RECORD!B219)</x:f>
      </x:c>
      <x:c r="C217" s="103" t="str">
        <x:f>IF(RECORD!C219="","",RECORD!C219)</x:f>
      </x:c>
      <x:c r="D217" s="104" t="str">
        <x:f t="array" ref="D217">IF(C217&lt;&gt;"",IF(F$7="SUMMER","N/A",_xlfn.IFS(D$10="TLA",RECORD!GO219,F$10="LECTURE","",TRUE(),"")),"")</x:f>
      </x:c>
      <x:c r="E217" s="105" t="str">
        <x:f t="shared" si="69"/>
      </x:c>
      <x:c r="F217" s="104" t="str">
        <x:f t="array" ref="F217">IF(C217&lt;&gt;"",IF(F$7="SUMMER","N/A",_xlfn.IFS(F$10="AT",RECORD!GI219,F$10="LECTURE",GRADES!AP217,TRUE(),"")),"")</x:f>
      </x:c>
      <x:c r="G217" s="106" t="str">
        <x:f t="shared" si="70"/>
      </x:c>
      <x:c r="H217" s="107" t="str">
        <x:f t="array" ref="H217">IF(C217&lt;&gt;"",IF(F$7="SUMMER","N/A",_xlfn.IFS(H$10="EXAM",RECORD!GJ219,H$10="OUTPUT",RECORD!GK219,H$10="LAB",BP217,TRUE(),"")),"")</x:f>
      </x:c>
      <x:c r="I217" s="106" t="str">
        <x:f t="shared" si="71"/>
      </x:c>
      <x:c r="J217" s="108" t="str">
        <x:f t="shared" si="72"/>
      </x:c>
      <x:c r="K217" s="109" t="str">
        <x:f t="shared" si="73"/>
      </x:c>
      <x:c r="L217" s="110" t="str">
        <x:f t="array" ref="L217">IF(C217&lt;&gt;"",_xlfn.IFS(L$10="TLA",RECORD!GY219,N$10="LECTURE","",TRUE(),""),"")</x:f>
      </x:c>
      <x:c r="M217" s="105" t="str">
        <x:f t="shared" si="74"/>
      </x:c>
      <x:c r="N217" s="104" t="str">
        <x:f t="array" ref="N217">IF(C217&lt;&gt;"",_xlfn.IFS(N$10="AT",RECORD!GS219,N$10="LECTURE",AX217,TRUE(),""),"")</x:f>
      </x:c>
      <x:c r="O217" s="106" t="str">
        <x:f t="shared" si="75"/>
      </x:c>
      <x:c r="P217" s="107" t="str">
        <x:f t="array" ref="P217">IF(C217&lt;&gt;"",_xlfn.IFS(P$10="EXAM",RECORD!GT219,P$10="OUTPUT",RECORD!GU219,P$10="LAB",BX217,TRUE(),""),"")</x:f>
      </x:c>
      <x:c r="Q217" s="106" t="str">
        <x:f t="shared" si="76"/>
      </x:c>
      <x:c r="R217" s="108" t="str">
        <x:f t="shared" si="77"/>
      </x:c>
      <x:c r="S217" s="109" t="str">
        <x:f t="shared" si="78"/>
      </x:c>
      <x:c r="T217" s="110" t="str">
        <x:f t="array" ref="T217">IF(C217&lt;&gt;"",_xlfn.IFS(T$10="TLA",RECORD!HI219,V$10="LECTURE","",TRUE(),""),"")</x:f>
      </x:c>
      <x:c r="U217" s="105" t="str">
        <x:f t="shared" si="79"/>
      </x:c>
      <x:c r="V217" s="104" t="str">
        <x:f t="array" ref="V217">IF(C217&lt;&gt;"",_xlfn.IFS(V$10="AT",RECORD!HC219,V$10="LECTURE",BF217,TRUE(),""),"")</x:f>
      </x:c>
      <x:c r="W217" s="106" t="str">
        <x:f t="shared" si="80"/>
      </x:c>
      <x:c r="X217" s="107" t="str">
        <x:f t="array" ref="X217">IF(C217&lt;&gt;"",_xlfn.IFS(X$10="EXAM",RECORD!HD219,X$10="OUTPUT",RECORD!HE219,X$10="LAB",CF217,TRUE(),""),"")</x:f>
      </x:c>
      <x:c r="Y217" s="106" t="str">
        <x:f t="shared" si="81"/>
      </x:c>
      <x:c r="Z217" s="108" t="str">
        <x:f t="shared" si="82"/>
      </x:c>
      <x:c r="AA217" s="109" t="str">
        <x:f t="shared" si="83"/>
      </x:c>
      <x:c r="AB217" s="111" t="str">
        <x:f t="shared" si="84"/>
      </x:c>
      <x:c r="AC217" s="109" t="str">
        <x:f t="shared" si="85"/>
      </x:c>
      <x:c r="AD217" s="112"/>
      <x:c r="AE217" s="102"/>
      <x:c r="AF217" s="113"/>
      <x:c r="AG217" s="112"/>
      <x:c r="AH217" s="103"/>
      <x:c r="AI217" s="114"/>
      <x:c r="AJ217" s="102"/>
      <x:c r="AK217" s="102"/>
      <x:c r="AL217" s="102"/>
      <x:c r="AM217" s="102"/>
      <x:c r="AN217" s="102"/>
      <x:c r="AO217" s="102"/>
      <x:c r="AP217" s="102"/>
      <x:c r="AQ217" s="109" t="str">
        <x:f t="shared" si="86"/>
        <x:v>FAILED</x:v>
      </x:c>
      <x:c r="AR217" s="115"/>
      <x:c r="AS217" s="115"/>
      <x:c r="AT217" s="107"/>
      <x:c r="AU217" s="107"/>
      <x:c r="AV217" s="107"/>
      <x:c r="AW217" s="107"/>
      <x:c r="AX217" s="107"/>
      <x:c r="AY217" s="109" t="str">
        <x:f t="shared" si="87"/>
        <x:v>FAILED</x:v>
      </x:c>
      <x:c r="AZ217" s="115"/>
      <x:c r="BA217" s="115"/>
      <x:c r="BB217" s="107"/>
      <x:c r="BC217" s="107"/>
      <x:c r="BD217" s="107"/>
      <x:c r="BE217" s="107"/>
      <x:c r="BF217" s="107"/>
      <x:c r="BG217" s="109" t="str">
        <x:f t="shared" si="88"/>
        <x:v>FAILED</x:v>
      </x:c>
      <x:c r="BH217" s="117"/>
      <x:c r="BI217" s="102"/>
      <x:c r="BJ217" s="102"/>
      <x:c r="BK217" s="102"/>
      <x:c r="BL217" s="102"/>
      <x:c r="BM217" s="102"/>
      <x:c r="BN217" s="102"/>
      <x:c r="BO217" s="102"/>
      <x:c r="BP217" s="102"/>
      <x:c r="BQ217" s="109" t="str">
        <x:f t="shared" si="89"/>
        <x:v>FAILED</x:v>
      </x:c>
      <x:c r="BR217" s="115"/>
      <x:c r="BS217" s="115"/>
      <x:c r="BT217" s="107"/>
      <x:c r="BU217" s="107"/>
      <x:c r="BV217" s="107"/>
      <x:c r="BW217" s="107"/>
      <x:c r="BX217" s="107"/>
      <x:c r="BY217" s="109" t="str">
        <x:f t="shared" si="90"/>
        <x:v>FAILED</x:v>
      </x:c>
      <x:c r="BZ217" s="115"/>
      <x:c r="CA217" s="115"/>
      <x:c r="CB217" s="107"/>
      <x:c r="CC217" s="107"/>
      <x:c r="CD217" s="107"/>
      <x:c r="CE217" s="107"/>
      <x:c r="CF217" s="107"/>
      <x:c r="CG217" s="109" t="str">
        <x:f t="shared" si="91"/>
        <x:v>FAILED</x:v>
      </x:c>
      <x:c r="CH217" s="117"/>
    </x:row>
    <x:row r="218">
      <x:c r="A218" s="102" t="str">
        <x:f>IF(RECORD!A220="","",RECORD!A220)</x:f>
      </x:c>
      <x:c r="B218" s="102" t="str">
        <x:f>IF(RECORD!B220="","",RECORD!B220)</x:f>
      </x:c>
      <x:c r="C218" s="103" t="str">
        <x:f>IF(RECORD!C220="","",RECORD!C220)</x:f>
      </x:c>
      <x:c r="D218" s="104" t="str">
        <x:f t="array" ref="D218">IF(C218&lt;&gt;"",IF(F$7="SUMMER","N/A",_xlfn.IFS(D$10="TLA",RECORD!GO220,F$10="LECTURE","",TRUE(),"")),"")</x:f>
      </x:c>
      <x:c r="E218" s="105" t="str">
        <x:f t="shared" si="69"/>
      </x:c>
      <x:c r="F218" s="104" t="str">
        <x:f t="array" ref="F218">IF(C218&lt;&gt;"",IF(F$7="SUMMER","N/A",_xlfn.IFS(F$10="AT",RECORD!GI220,F$10="LECTURE",GRADES!AP218,TRUE(),"")),"")</x:f>
      </x:c>
      <x:c r="G218" s="106" t="str">
        <x:f t="shared" si="70"/>
      </x:c>
      <x:c r="H218" s="107" t="str">
        <x:f t="array" ref="H218">IF(C218&lt;&gt;"",IF(F$7="SUMMER","N/A",_xlfn.IFS(H$10="EXAM",RECORD!GJ220,H$10="OUTPUT",RECORD!GK220,H$10="LAB",BP218,TRUE(),"")),"")</x:f>
      </x:c>
      <x:c r="I218" s="106" t="str">
        <x:f t="shared" si="71"/>
      </x:c>
      <x:c r="J218" s="108" t="str">
        <x:f t="shared" si="72"/>
      </x:c>
      <x:c r="K218" s="109" t="str">
        <x:f t="shared" si="73"/>
      </x:c>
      <x:c r="L218" s="110" t="str">
        <x:f t="array" ref="L218">IF(C218&lt;&gt;"",_xlfn.IFS(L$10="TLA",RECORD!GY220,N$10="LECTURE","",TRUE(),""),"")</x:f>
      </x:c>
      <x:c r="M218" s="105" t="str">
        <x:f t="shared" si="74"/>
      </x:c>
      <x:c r="N218" s="104" t="str">
        <x:f t="array" ref="N218">IF(C218&lt;&gt;"",_xlfn.IFS(N$10="AT",RECORD!GS220,N$10="LECTURE",AX218,TRUE(),""),"")</x:f>
      </x:c>
      <x:c r="O218" s="106" t="str">
        <x:f t="shared" si="75"/>
      </x:c>
      <x:c r="P218" s="107" t="str">
        <x:f t="array" ref="P218">IF(C218&lt;&gt;"",_xlfn.IFS(P$10="EXAM",RECORD!GT220,P$10="OUTPUT",RECORD!GU220,P$10="LAB",BX218,TRUE(),""),"")</x:f>
      </x:c>
      <x:c r="Q218" s="106" t="str">
        <x:f t="shared" si="76"/>
      </x:c>
      <x:c r="R218" s="108" t="str">
        <x:f t="shared" si="77"/>
      </x:c>
      <x:c r="S218" s="109" t="str">
        <x:f t="shared" si="78"/>
      </x:c>
      <x:c r="T218" s="110" t="str">
        <x:f t="array" ref="T218">IF(C218&lt;&gt;"",_xlfn.IFS(T$10="TLA",RECORD!HI220,V$10="LECTURE","",TRUE(),""),"")</x:f>
      </x:c>
      <x:c r="U218" s="105" t="str">
        <x:f t="shared" si="79"/>
      </x:c>
      <x:c r="V218" s="104" t="str">
        <x:f t="array" ref="V218">IF(C218&lt;&gt;"",_xlfn.IFS(V$10="AT",RECORD!HC220,V$10="LECTURE",BF218,TRUE(),""),"")</x:f>
      </x:c>
      <x:c r="W218" s="106" t="str">
        <x:f t="shared" si="80"/>
      </x:c>
      <x:c r="X218" s="107" t="str">
        <x:f t="array" ref="X218">IF(C218&lt;&gt;"",_xlfn.IFS(X$10="EXAM",RECORD!HD220,X$10="OUTPUT",RECORD!HE220,X$10="LAB",CF218,TRUE(),""),"")</x:f>
      </x:c>
      <x:c r="Y218" s="106" t="str">
        <x:f t="shared" si="81"/>
      </x:c>
      <x:c r="Z218" s="108" t="str">
        <x:f t="shared" si="82"/>
      </x:c>
      <x:c r="AA218" s="109" t="str">
        <x:f t="shared" si="83"/>
      </x:c>
      <x:c r="AB218" s="111" t="str">
        <x:f t="shared" si="84"/>
      </x:c>
      <x:c r="AC218" s="109" t="str">
        <x:f t="shared" si="85"/>
      </x:c>
      <x:c r="AD218" s="112"/>
      <x:c r="AE218" s="102"/>
      <x:c r="AF218" s="113"/>
      <x:c r="AG218" s="112"/>
      <x:c r="AH218" s="103"/>
      <x:c r="AI218" s="114"/>
      <x:c r="AJ218" s="102"/>
      <x:c r="AK218" s="102"/>
      <x:c r="AL218" s="102"/>
      <x:c r="AM218" s="102"/>
      <x:c r="AN218" s="102"/>
      <x:c r="AO218" s="102"/>
      <x:c r="AP218" s="102"/>
      <x:c r="AQ218" s="109" t="str">
        <x:f t="shared" si="86"/>
        <x:v>FAILED</x:v>
      </x:c>
      <x:c r="AR218" s="115"/>
      <x:c r="AS218" s="115"/>
      <x:c r="AT218" s="107"/>
      <x:c r="AU218" s="107"/>
      <x:c r="AV218" s="107"/>
      <x:c r="AW218" s="107"/>
      <x:c r="AX218" s="107"/>
      <x:c r="AY218" s="109" t="str">
        <x:f t="shared" si="87"/>
        <x:v>FAILED</x:v>
      </x:c>
      <x:c r="AZ218" s="115"/>
      <x:c r="BA218" s="115"/>
      <x:c r="BB218" s="107"/>
      <x:c r="BC218" s="107"/>
      <x:c r="BD218" s="107"/>
      <x:c r="BE218" s="107"/>
      <x:c r="BF218" s="107"/>
      <x:c r="BG218" s="109" t="str">
        <x:f t="shared" si="88"/>
        <x:v>FAILED</x:v>
      </x:c>
      <x:c r="BH218" s="117"/>
      <x:c r="BI218" s="102"/>
      <x:c r="BJ218" s="102"/>
      <x:c r="BK218" s="102"/>
      <x:c r="BL218" s="102"/>
      <x:c r="BM218" s="102"/>
      <x:c r="BN218" s="102"/>
      <x:c r="BO218" s="102"/>
      <x:c r="BP218" s="102"/>
      <x:c r="BQ218" s="109" t="str">
        <x:f t="shared" si="89"/>
        <x:v>FAILED</x:v>
      </x:c>
      <x:c r="BR218" s="115"/>
      <x:c r="BS218" s="115"/>
      <x:c r="BT218" s="107"/>
      <x:c r="BU218" s="107"/>
      <x:c r="BV218" s="107"/>
      <x:c r="BW218" s="107"/>
      <x:c r="BX218" s="107"/>
      <x:c r="BY218" s="109" t="str">
        <x:f t="shared" si="90"/>
        <x:v>FAILED</x:v>
      </x:c>
      <x:c r="BZ218" s="115"/>
      <x:c r="CA218" s="115"/>
      <x:c r="CB218" s="107"/>
      <x:c r="CC218" s="107"/>
      <x:c r="CD218" s="107"/>
      <x:c r="CE218" s="107"/>
      <x:c r="CF218" s="107"/>
      <x:c r="CG218" s="109" t="str">
        <x:f t="shared" si="91"/>
        <x:v>FAILED</x:v>
      </x:c>
      <x:c r="CH218" s="117"/>
    </x:row>
    <x:row r="219">
      <x:c r="A219" s="102" t="str">
        <x:f>IF(RECORD!A221="","",RECORD!A221)</x:f>
      </x:c>
      <x:c r="B219" s="102" t="str">
        <x:f>IF(RECORD!B221="","",RECORD!B221)</x:f>
      </x:c>
      <x:c r="C219" s="103" t="str">
        <x:f>IF(RECORD!C221="","",RECORD!C221)</x:f>
      </x:c>
      <x:c r="D219" s="104" t="str">
        <x:f t="array" ref="D219">IF(C219&lt;&gt;"",IF(F$7="SUMMER","N/A",_xlfn.IFS(D$10="TLA",RECORD!GO221,F$10="LECTURE","",TRUE(),"")),"")</x:f>
      </x:c>
      <x:c r="E219" s="105" t="str">
        <x:f t="shared" si="69"/>
      </x:c>
      <x:c r="F219" s="104" t="str">
        <x:f t="array" ref="F219">IF(C219&lt;&gt;"",IF(F$7="SUMMER","N/A",_xlfn.IFS(F$10="AT",RECORD!GI221,F$10="LECTURE",GRADES!AP219,TRUE(),"")),"")</x:f>
      </x:c>
      <x:c r="G219" s="106" t="str">
        <x:f t="shared" si="70"/>
      </x:c>
      <x:c r="H219" s="107" t="str">
        <x:f t="array" ref="H219">IF(C219&lt;&gt;"",IF(F$7="SUMMER","N/A",_xlfn.IFS(H$10="EXAM",RECORD!GJ221,H$10="OUTPUT",RECORD!GK221,H$10="LAB",BP219,TRUE(),"")),"")</x:f>
      </x:c>
      <x:c r="I219" s="106" t="str">
        <x:f t="shared" si="71"/>
      </x:c>
      <x:c r="J219" s="108" t="str">
        <x:f t="shared" si="72"/>
      </x:c>
      <x:c r="K219" s="109" t="str">
        <x:f t="shared" si="73"/>
      </x:c>
      <x:c r="L219" s="110" t="str">
        <x:f t="array" ref="L219">IF(C219&lt;&gt;"",_xlfn.IFS(L$10="TLA",RECORD!GY221,N$10="LECTURE","",TRUE(),""),"")</x:f>
      </x:c>
      <x:c r="M219" s="105" t="str">
        <x:f t="shared" si="74"/>
      </x:c>
      <x:c r="N219" s="104" t="str">
        <x:f t="array" ref="N219">IF(C219&lt;&gt;"",_xlfn.IFS(N$10="AT",RECORD!GS221,N$10="LECTURE",AX219,TRUE(),""),"")</x:f>
      </x:c>
      <x:c r="O219" s="106" t="str">
        <x:f t="shared" si="75"/>
      </x:c>
      <x:c r="P219" s="107" t="str">
        <x:f t="array" ref="P219">IF(C219&lt;&gt;"",_xlfn.IFS(P$10="EXAM",RECORD!GT221,P$10="OUTPUT",RECORD!GU221,P$10="LAB",BX219,TRUE(),""),"")</x:f>
      </x:c>
      <x:c r="Q219" s="106" t="str">
        <x:f t="shared" si="76"/>
      </x:c>
      <x:c r="R219" s="108" t="str">
        <x:f t="shared" si="77"/>
      </x:c>
      <x:c r="S219" s="109" t="str">
        <x:f t="shared" si="78"/>
      </x:c>
      <x:c r="T219" s="110" t="str">
        <x:f t="array" ref="T219">IF(C219&lt;&gt;"",_xlfn.IFS(T$10="TLA",RECORD!HI221,V$10="LECTURE","",TRUE(),""),"")</x:f>
      </x:c>
      <x:c r="U219" s="105" t="str">
        <x:f t="shared" si="79"/>
      </x:c>
      <x:c r="V219" s="104" t="str">
        <x:f t="array" ref="V219">IF(C219&lt;&gt;"",_xlfn.IFS(V$10="AT",RECORD!HC221,V$10="LECTURE",BF219,TRUE(),""),"")</x:f>
      </x:c>
      <x:c r="W219" s="106" t="str">
        <x:f t="shared" si="80"/>
      </x:c>
      <x:c r="X219" s="107" t="str">
        <x:f t="array" ref="X219">IF(C219&lt;&gt;"",_xlfn.IFS(X$10="EXAM",RECORD!HD221,X$10="OUTPUT",RECORD!HE221,X$10="LAB",CF219,TRUE(),""),"")</x:f>
      </x:c>
      <x:c r="Y219" s="106" t="str">
        <x:f t="shared" si="81"/>
      </x:c>
      <x:c r="Z219" s="108" t="str">
        <x:f t="shared" si="82"/>
      </x:c>
      <x:c r="AA219" s="109" t="str">
        <x:f t="shared" si="83"/>
      </x:c>
      <x:c r="AB219" s="111" t="str">
        <x:f t="shared" si="84"/>
      </x:c>
      <x:c r="AC219" s="109" t="str">
        <x:f t="shared" si="85"/>
      </x:c>
      <x:c r="AD219" s="112"/>
      <x:c r="AE219" s="102"/>
      <x:c r="AF219" s="113"/>
      <x:c r="AG219" s="112"/>
      <x:c r="AH219" s="103"/>
      <x:c r="AI219" s="114"/>
      <x:c r="AJ219" s="102"/>
      <x:c r="AK219" s="102"/>
      <x:c r="AL219" s="102"/>
      <x:c r="AM219" s="102"/>
      <x:c r="AN219" s="102"/>
      <x:c r="AO219" s="102"/>
      <x:c r="AP219" s="102"/>
      <x:c r="AQ219" s="109" t="str">
        <x:f t="shared" si="86"/>
        <x:v>FAILED</x:v>
      </x:c>
      <x:c r="AR219" s="115"/>
      <x:c r="AS219" s="115"/>
      <x:c r="AT219" s="107"/>
      <x:c r="AU219" s="107"/>
      <x:c r="AV219" s="107"/>
      <x:c r="AW219" s="107"/>
      <x:c r="AX219" s="107"/>
      <x:c r="AY219" s="109" t="str">
        <x:f t="shared" si="87"/>
        <x:v>FAILED</x:v>
      </x:c>
      <x:c r="AZ219" s="115"/>
      <x:c r="BA219" s="115"/>
      <x:c r="BB219" s="107"/>
      <x:c r="BC219" s="107"/>
      <x:c r="BD219" s="107"/>
      <x:c r="BE219" s="107"/>
      <x:c r="BF219" s="107"/>
      <x:c r="BG219" s="109" t="str">
        <x:f t="shared" si="88"/>
        <x:v>FAILED</x:v>
      </x:c>
      <x:c r="BH219" s="117"/>
      <x:c r="BI219" s="102"/>
      <x:c r="BJ219" s="102"/>
      <x:c r="BK219" s="102"/>
      <x:c r="BL219" s="102"/>
      <x:c r="BM219" s="102"/>
      <x:c r="BN219" s="102"/>
      <x:c r="BO219" s="102"/>
      <x:c r="BP219" s="102"/>
      <x:c r="BQ219" s="109" t="str">
        <x:f t="shared" si="89"/>
        <x:v>FAILED</x:v>
      </x:c>
      <x:c r="BR219" s="115"/>
      <x:c r="BS219" s="115"/>
      <x:c r="BT219" s="107"/>
      <x:c r="BU219" s="107"/>
      <x:c r="BV219" s="107"/>
      <x:c r="BW219" s="107"/>
      <x:c r="BX219" s="107"/>
      <x:c r="BY219" s="109" t="str">
        <x:f t="shared" si="90"/>
        <x:v>FAILED</x:v>
      </x:c>
      <x:c r="BZ219" s="115"/>
      <x:c r="CA219" s="115"/>
      <x:c r="CB219" s="107"/>
      <x:c r="CC219" s="107"/>
      <x:c r="CD219" s="107"/>
      <x:c r="CE219" s="107"/>
      <x:c r="CF219" s="107"/>
      <x:c r="CG219" s="109" t="str">
        <x:f t="shared" si="91"/>
        <x:v>FAILED</x:v>
      </x:c>
      <x:c r="CH219" s="117"/>
    </x:row>
    <x:row r="220">
      <x:c r="A220" s="102" t="str">
        <x:f>IF(RECORD!A222="","",RECORD!A222)</x:f>
      </x:c>
      <x:c r="B220" s="102" t="str">
        <x:f>IF(RECORD!B222="","",RECORD!B222)</x:f>
      </x:c>
      <x:c r="C220" s="103" t="str">
        <x:f>IF(RECORD!C222="","",RECORD!C222)</x:f>
      </x:c>
      <x:c r="D220" s="104" t="str">
        <x:f t="array" ref="D220">IF(C220&lt;&gt;"",IF(F$7="SUMMER","N/A",_xlfn.IFS(D$10="TLA",RECORD!GO222,F$10="LECTURE","",TRUE(),"")),"")</x:f>
      </x:c>
      <x:c r="E220" s="105" t="str">
        <x:f t="shared" si="69"/>
      </x:c>
      <x:c r="F220" s="104" t="str">
        <x:f t="array" ref="F220">IF(C220&lt;&gt;"",IF(F$7="SUMMER","N/A",_xlfn.IFS(F$10="AT",RECORD!GI222,F$10="LECTURE",GRADES!AP220,TRUE(),"")),"")</x:f>
      </x:c>
      <x:c r="G220" s="106" t="str">
        <x:f t="shared" si="70"/>
      </x:c>
      <x:c r="H220" s="107" t="str">
        <x:f t="array" ref="H220">IF(C220&lt;&gt;"",IF(F$7="SUMMER","N/A",_xlfn.IFS(H$10="EXAM",RECORD!GJ222,H$10="OUTPUT",RECORD!GK222,H$10="LAB",BP220,TRUE(),"")),"")</x:f>
      </x:c>
      <x:c r="I220" s="106" t="str">
        <x:f t="shared" si="71"/>
      </x:c>
      <x:c r="J220" s="108" t="str">
        <x:f t="shared" si="72"/>
      </x:c>
      <x:c r="K220" s="109" t="str">
        <x:f t="shared" si="73"/>
      </x:c>
      <x:c r="L220" s="110" t="str">
        <x:f t="array" ref="L220">IF(C220&lt;&gt;"",_xlfn.IFS(L$10="TLA",RECORD!GY222,N$10="LECTURE","",TRUE(),""),"")</x:f>
      </x:c>
      <x:c r="M220" s="105" t="str">
        <x:f t="shared" si="74"/>
      </x:c>
      <x:c r="N220" s="104" t="str">
        <x:f t="array" ref="N220">IF(C220&lt;&gt;"",_xlfn.IFS(N$10="AT",RECORD!GS222,N$10="LECTURE",AX220,TRUE(),""),"")</x:f>
      </x:c>
      <x:c r="O220" s="106" t="str">
        <x:f t="shared" si="75"/>
      </x:c>
      <x:c r="P220" s="107" t="str">
        <x:f t="array" ref="P220">IF(C220&lt;&gt;"",_xlfn.IFS(P$10="EXAM",RECORD!GT222,P$10="OUTPUT",RECORD!GU222,P$10="LAB",BX220,TRUE(),""),"")</x:f>
      </x:c>
      <x:c r="Q220" s="106" t="str">
        <x:f t="shared" si="76"/>
      </x:c>
      <x:c r="R220" s="108" t="str">
        <x:f t="shared" si="77"/>
      </x:c>
      <x:c r="S220" s="109" t="str">
        <x:f t="shared" si="78"/>
      </x:c>
      <x:c r="T220" s="110" t="str">
        <x:f t="array" ref="T220">IF(C220&lt;&gt;"",_xlfn.IFS(T$10="TLA",RECORD!HI222,V$10="LECTURE","",TRUE(),""),"")</x:f>
      </x:c>
      <x:c r="U220" s="105" t="str">
        <x:f t="shared" si="79"/>
      </x:c>
      <x:c r="V220" s="104" t="str">
        <x:f t="array" ref="V220">IF(C220&lt;&gt;"",_xlfn.IFS(V$10="AT",RECORD!HC222,V$10="LECTURE",BF220,TRUE(),""),"")</x:f>
      </x:c>
      <x:c r="W220" s="106" t="str">
        <x:f t="shared" si="80"/>
      </x:c>
      <x:c r="X220" s="107" t="str">
        <x:f t="array" ref="X220">IF(C220&lt;&gt;"",_xlfn.IFS(X$10="EXAM",RECORD!HD222,X$10="OUTPUT",RECORD!HE222,X$10="LAB",CF220,TRUE(),""),"")</x:f>
      </x:c>
      <x:c r="Y220" s="106" t="str">
        <x:f t="shared" si="81"/>
      </x:c>
      <x:c r="Z220" s="108" t="str">
        <x:f t="shared" si="82"/>
      </x:c>
      <x:c r="AA220" s="109" t="str">
        <x:f t="shared" si="83"/>
      </x:c>
      <x:c r="AB220" s="111" t="str">
        <x:f t="shared" si="84"/>
      </x:c>
      <x:c r="AC220" s="109" t="str">
        <x:f t="shared" si="85"/>
      </x:c>
      <x:c r="AD220" s="112"/>
      <x:c r="AE220" s="102"/>
      <x:c r="AF220" s="113"/>
      <x:c r="AG220" s="112"/>
      <x:c r="AH220" s="103"/>
      <x:c r="AI220" s="114"/>
      <x:c r="AJ220" s="102"/>
      <x:c r="AK220" s="102"/>
      <x:c r="AL220" s="102"/>
      <x:c r="AM220" s="102"/>
      <x:c r="AN220" s="102"/>
      <x:c r="AO220" s="102"/>
      <x:c r="AP220" s="102"/>
      <x:c r="AQ220" s="109" t="str">
        <x:f t="shared" si="86"/>
        <x:v>FAILED</x:v>
      </x:c>
      <x:c r="AR220" s="115"/>
      <x:c r="AS220" s="115"/>
      <x:c r="AT220" s="107"/>
      <x:c r="AU220" s="107"/>
      <x:c r="AV220" s="107"/>
      <x:c r="AW220" s="107"/>
      <x:c r="AX220" s="107"/>
      <x:c r="AY220" s="109" t="str">
        <x:f t="shared" si="87"/>
        <x:v>FAILED</x:v>
      </x:c>
      <x:c r="AZ220" s="115"/>
      <x:c r="BA220" s="115"/>
      <x:c r="BB220" s="107"/>
      <x:c r="BC220" s="107"/>
      <x:c r="BD220" s="107"/>
      <x:c r="BE220" s="107"/>
      <x:c r="BF220" s="107"/>
      <x:c r="BG220" s="109" t="str">
        <x:f t="shared" si="88"/>
        <x:v>FAILED</x:v>
      </x:c>
      <x:c r="BH220" s="117"/>
      <x:c r="BI220" s="102"/>
      <x:c r="BJ220" s="102"/>
      <x:c r="BK220" s="102"/>
      <x:c r="BL220" s="102"/>
      <x:c r="BM220" s="102"/>
      <x:c r="BN220" s="102"/>
      <x:c r="BO220" s="102"/>
      <x:c r="BP220" s="102"/>
      <x:c r="BQ220" s="109" t="str">
        <x:f t="shared" si="89"/>
        <x:v>FAILED</x:v>
      </x:c>
      <x:c r="BR220" s="115"/>
      <x:c r="BS220" s="115"/>
      <x:c r="BT220" s="107"/>
      <x:c r="BU220" s="107"/>
      <x:c r="BV220" s="107"/>
      <x:c r="BW220" s="107"/>
      <x:c r="BX220" s="107"/>
      <x:c r="BY220" s="109" t="str">
        <x:f t="shared" si="90"/>
        <x:v>FAILED</x:v>
      </x:c>
      <x:c r="BZ220" s="115"/>
      <x:c r="CA220" s="115"/>
      <x:c r="CB220" s="107"/>
      <x:c r="CC220" s="107"/>
      <x:c r="CD220" s="107"/>
      <x:c r="CE220" s="107"/>
      <x:c r="CF220" s="107"/>
      <x:c r="CG220" s="109" t="str">
        <x:f t="shared" si="91"/>
        <x:v>FAILED</x:v>
      </x:c>
      <x:c r="CH220" s="117"/>
    </x:row>
    <x:row r="221">
      <x:c r="A221" s="102" t="str">
        <x:f>IF(RECORD!A223="","",RECORD!A223)</x:f>
      </x:c>
      <x:c r="B221" s="102" t="str">
        <x:f>IF(RECORD!B223="","",RECORD!B223)</x:f>
      </x:c>
      <x:c r="C221" s="103" t="str">
        <x:f>IF(RECORD!C223="","",RECORD!C223)</x:f>
      </x:c>
      <x:c r="D221" s="104" t="str">
        <x:f t="array" ref="D221">IF(C221&lt;&gt;"",IF(F$7="SUMMER","N/A",_xlfn.IFS(D$10="TLA",RECORD!GO223,F$10="LECTURE","",TRUE(),"")),"")</x:f>
      </x:c>
      <x:c r="E221" s="105" t="str">
        <x:f t="shared" si="69"/>
      </x:c>
      <x:c r="F221" s="104" t="str">
        <x:f t="array" ref="F221">IF(C221&lt;&gt;"",IF(F$7="SUMMER","N/A",_xlfn.IFS(F$10="AT",RECORD!GI223,F$10="LECTURE",GRADES!AP221,TRUE(),"")),"")</x:f>
      </x:c>
      <x:c r="G221" s="106" t="str">
        <x:f t="shared" si="70"/>
      </x:c>
      <x:c r="H221" s="107" t="str">
        <x:f t="array" ref="H221">IF(C221&lt;&gt;"",IF(F$7="SUMMER","N/A",_xlfn.IFS(H$10="EXAM",RECORD!GJ223,H$10="OUTPUT",RECORD!GK223,H$10="LAB",BP221,TRUE(),"")),"")</x:f>
      </x:c>
      <x:c r="I221" s="106" t="str">
        <x:f t="shared" si="71"/>
      </x:c>
      <x:c r="J221" s="108" t="str">
        <x:f t="shared" si="72"/>
      </x:c>
      <x:c r="K221" s="109" t="str">
        <x:f t="shared" si="73"/>
      </x:c>
      <x:c r="L221" s="110" t="str">
        <x:f t="array" ref="L221">IF(C221&lt;&gt;"",_xlfn.IFS(L$10="TLA",RECORD!GY223,N$10="LECTURE","",TRUE(),""),"")</x:f>
      </x:c>
      <x:c r="M221" s="105" t="str">
        <x:f t="shared" si="74"/>
      </x:c>
      <x:c r="N221" s="104" t="str">
        <x:f t="array" ref="N221">IF(C221&lt;&gt;"",_xlfn.IFS(N$10="AT",RECORD!GS223,N$10="LECTURE",AX221,TRUE(),""),"")</x:f>
      </x:c>
      <x:c r="O221" s="106" t="str">
        <x:f t="shared" si="75"/>
      </x:c>
      <x:c r="P221" s="107" t="str">
        <x:f t="array" ref="P221">IF(C221&lt;&gt;"",_xlfn.IFS(P$10="EXAM",RECORD!GT223,P$10="OUTPUT",RECORD!GU223,P$10="LAB",BX221,TRUE(),""),"")</x:f>
      </x:c>
      <x:c r="Q221" s="106" t="str">
        <x:f t="shared" si="76"/>
      </x:c>
      <x:c r="R221" s="108" t="str">
        <x:f t="shared" si="77"/>
      </x:c>
      <x:c r="S221" s="109" t="str">
        <x:f t="shared" si="78"/>
      </x:c>
      <x:c r="T221" s="110" t="str">
        <x:f t="array" ref="T221">IF(C221&lt;&gt;"",_xlfn.IFS(T$10="TLA",RECORD!HI223,V$10="LECTURE","",TRUE(),""),"")</x:f>
      </x:c>
      <x:c r="U221" s="105" t="str">
        <x:f t="shared" si="79"/>
      </x:c>
      <x:c r="V221" s="104" t="str">
        <x:f t="array" ref="V221">IF(C221&lt;&gt;"",_xlfn.IFS(V$10="AT",RECORD!HC223,V$10="LECTURE",BF221,TRUE(),""),"")</x:f>
      </x:c>
      <x:c r="W221" s="106" t="str">
        <x:f t="shared" si="80"/>
      </x:c>
      <x:c r="X221" s="107" t="str">
        <x:f t="array" ref="X221">IF(C221&lt;&gt;"",_xlfn.IFS(X$10="EXAM",RECORD!HD223,X$10="OUTPUT",RECORD!HE223,X$10="LAB",CF221,TRUE(),""),"")</x:f>
      </x:c>
      <x:c r="Y221" s="106" t="str">
        <x:f t="shared" si="81"/>
      </x:c>
      <x:c r="Z221" s="108" t="str">
        <x:f t="shared" si="82"/>
      </x:c>
      <x:c r="AA221" s="109" t="str">
        <x:f t="shared" si="83"/>
      </x:c>
      <x:c r="AB221" s="111" t="str">
        <x:f t="shared" si="84"/>
      </x:c>
      <x:c r="AC221" s="109" t="str">
        <x:f t="shared" si="85"/>
      </x:c>
      <x:c r="AD221" s="112"/>
      <x:c r="AE221" s="102"/>
      <x:c r="AF221" s="113"/>
      <x:c r="AG221" s="112"/>
      <x:c r="AH221" s="103"/>
      <x:c r="AI221" s="114"/>
      <x:c r="AJ221" s="102"/>
      <x:c r="AK221" s="102"/>
      <x:c r="AL221" s="102"/>
      <x:c r="AM221" s="102"/>
      <x:c r="AN221" s="102"/>
      <x:c r="AO221" s="102"/>
      <x:c r="AP221" s="102"/>
      <x:c r="AQ221" s="109" t="str">
        <x:f t="shared" si="86"/>
        <x:v>FAILED</x:v>
      </x:c>
      <x:c r="AR221" s="115"/>
      <x:c r="AS221" s="115"/>
      <x:c r="AT221" s="107"/>
      <x:c r="AU221" s="107"/>
      <x:c r="AV221" s="107"/>
      <x:c r="AW221" s="107"/>
      <x:c r="AX221" s="107"/>
      <x:c r="AY221" s="109" t="str">
        <x:f t="shared" si="87"/>
        <x:v>FAILED</x:v>
      </x:c>
      <x:c r="AZ221" s="115"/>
      <x:c r="BA221" s="115"/>
      <x:c r="BB221" s="107"/>
      <x:c r="BC221" s="107"/>
      <x:c r="BD221" s="107"/>
      <x:c r="BE221" s="107"/>
      <x:c r="BF221" s="107"/>
      <x:c r="BG221" s="109" t="str">
        <x:f t="shared" si="88"/>
        <x:v>FAILED</x:v>
      </x:c>
      <x:c r="BH221" s="117"/>
      <x:c r="BI221" s="102"/>
      <x:c r="BJ221" s="102"/>
      <x:c r="BK221" s="102"/>
      <x:c r="BL221" s="102"/>
      <x:c r="BM221" s="102"/>
      <x:c r="BN221" s="102"/>
      <x:c r="BO221" s="102"/>
      <x:c r="BP221" s="102"/>
      <x:c r="BQ221" s="109" t="str">
        <x:f t="shared" si="89"/>
        <x:v>FAILED</x:v>
      </x:c>
      <x:c r="BR221" s="115"/>
      <x:c r="BS221" s="115"/>
      <x:c r="BT221" s="107"/>
      <x:c r="BU221" s="107"/>
      <x:c r="BV221" s="107"/>
      <x:c r="BW221" s="107"/>
      <x:c r="BX221" s="107"/>
      <x:c r="BY221" s="109" t="str">
        <x:f t="shared" si="90"/>
        <x:v>FAILED</x:v>
      </x:c>
      <x:c r="BZ221" s="115"/>
      <x:c r="CA221" s="115"/>
      <x:c r="CB221" s="107"/>
      <x:c r="CC221" s="107"/>
      <x:c r="CD221" s="107"/>
      <x:c r="CE221" s="107"/>
      <x:c r="CF221" s="107"/>
      <x:c r="CG221" s="109" t="str">
        <x:f t="shared" si="91"/>
        <x:v>FAILED</x:v>
      </x:c>
      <x:c r="CH221" s="117"/>
    </x:row>
    <x:row r="222">
      <x:c r="A222" s="102" t="str">
        <x:f>IF(RECORD!A224="","",RECORD!A224)</x:f>
      </x:c>
      <x:c r="B222" s="102" t="str">
        <x:f>IF(RECORD!B224="","",RECORD!B224)</x:f>
      </x:c>
      <x:c r="C222" s="103" t="str">
        <x:f>IF(RECORD!C224="","",RECORD!C224)</x:f>
      </x:c>
      <x:c r="D222" s="104" t="str">
        <x:f t="array" ref="D222">IF(C222&lt;&gt;"",IF(F$7="SUMMER","N/A",_xlfn.IFS(D$10="TLA",RECORD!GO224,F$10="LECTURE","",TRUE(),"")),"")</x:f>
      </x:c>
      <x:c r="E222" s="105" t="str">
        <x:f t="shared" si="69"/>
      </x:c>
      <x:c r="F222" s="104" t="str">
        <x:f t="array" ref="F222">IF(C222&lt;&gt;"",IF(F$7="SUMMER","N/A",_xlfn.IFS(F$10="AT",RECORD!GI224,F$10="LECTURE",GRADES!AP222,TRUE(),"")),"")</x:f>
      </x:c>
      <x:c r="G222" s="106" t="str">
        <x:f t="shared" si="70"/>
      </x:c>
      <x:c r="H222" s="107" t="str">
        <x:f t="array" ref="H222">IF(C222&lt;&gt;"",IF(F$7="SUMMER","N/A",_xlfn.IFS(H$10="EXAM",RECORD!GJ224,H$10="OUTPUT",RECORD!GK224,H$10="LAB",BP222,TRUE(),"")),"")</x:f>
      </x:c>
      <x:c r="I222" s="106" t="str">
        <x:f t="shared" si="71"/>
      </x:c>
      <x:c r="J222" s="108" t="str">
        <x:f t="shared" si="72"/>
      </x:c>
      <x:c r="K222" s="109" t="str">
        <x:f t="shared" si="73"/>
      </x:c>
      <x:c r="L222" s="110" t="str">
        <x:f t="array" ref="L222">IF(C222&lt;&gt;"",_xlfn.IFS(L$10="TLA",RECORD!GY224,N$10="LECTURE","",TRUE(),""),"")</x:f>
      </x:c>
      <x:c r="M222" s="105" t="str">
        <x:f t="shared" si="74"/>
      </x:c>
      <x:c r="N222" s="104" t="str">
        <x:f t="array" ref="N222">IF(C222&lt;&gt;"",_xlfn.IFS(N$10="AT",RECORD!GS224,N$10="LECTURE",AX222,TRUE(),""),"")</x:f>
      </x:c>
      <x:c r="O222" s="106" t="str">
        <x:f t="shared" si="75"/>
      </x:c>
      <x:c r="P222" s="107" t="str">
        <x:f t="array" ref="P222">IF(C222&lt;&gt;"",_xlfn.IFS(P$10="EXAM",RECORD!GT224,P$10="OUTPUT",RECORD!GU224,P$10="LAB",BX222,TRUE(),""),"")</x:f>
      </x:c>
      <x:c r="Q222" s="106" t="str">
        <x:f t="shared" si="76"/>
      </x:c>
      <x:c r="R222" s="108" t="str">
        <x:f t="shared" si="77"/>
      </x:c>
      <x:c r="S222" s="109" t="str">
        <x:f t="shared" si="78"/>
      </x:c>
      <x:c r="T222" s="110" t="str">
        <x:f t="array" ref="T222">IF(C222&lt;&gt;"",_xlfn.IFS(T$10="TLA",RECORD!HI224,V$10="LECTURE","",TRUE(),""),"")</x:f>
      </x:c>
      <x:c r="U222" s="105" t="str">
        <x:f t="shared" si="79"/>
      </x:c>
      <x:c r="V222" s="104" t="str">
        <x:f t="array" ref="V222">IF(C222&lt;&gt;"",_xlfn.IFS(V$10="AT",RECORD!HC224,V$10="LECTURE",BF222,TRUE(),""),"")</x:f>
      </x:c>
      <x:c r="W222" s="106" t="str">
        <x:f t="shared" si="80"/>
      </x:c>
      <x:c r="X222" s="107" t="str">
        <x:f t="array" ref="X222">IF(C222&lt;&gt;"",_xlfn.IFS(X$10="EXAM",RECORD!HD224,X$10="OUTPUT",RECORD!HE224,X$10="LAB",CF222,TRUE(),""),"")</x:f>
      </x:c>
      <x:c r="Y222" s="106" t="str">
        <x:f t="shared" si="81"/>
      </x:c>
      <x:c r="Z222" s="108" t="str">
        <x:f t="shared" si="82"/>
      </x:c>
      <x:c r="AA222" s="109" t="str">
        <x:f t="shared" si="83"/>
      </x:c>
      <x:c r="AB222" s="111" t="str">
        <x:f t="shared" si="84"/>
      </x:c>
      <x:c r="AC222" s="109" t="str">
        <x:f t="shared" si="85"/>
      </x:c>
      <x:c r="AD222" s="112"/>
      <x:c r="AE222" s="102"/>
      <x:c r="AF222" s="113"/>
      <x:c r="AG222" s="112"/>
      <x:c r="AH222" s="103"/>
      <x:c r="AI222" s="114"/>
      <x:c r="AJ222" s="102"/>
      <x:c r="AK222" s="102"/>
      <x:c r="AL222" s="102"/>
      <x:c r="AM222" s="102"/>
      <x:c r="AN222" s="102"/>
      <x:c r="AO222" s="102"/>
      <x:c r="AP222" s="102"/>
      <x:c r="AQ222" s="109" t="str">
        <x:f t="shared" si="86"/>
        <x:v>FAILED</x:v>
      </x:c>
      <x:c r="AR222" s="115"/>
      <x:c r="AS222" s="115"/>
      <x:c r="AT222" s="107"/>
      <x:c r="AU222" s="107"/>
      <x:c r="AV222" s="107"/>
      <x:c r="AW222" s="107"/>
      <x:c r="AX222" s="107"/>
      <x:c r="AY222" s="109" t="str">
        <x:f t="shared" si="87"/>
        <x:v>FAILED</x:v>
      </x:c>
      <x:c r="AZ222" s="115"/>
      <x:c r="BA222" s="115"/>
      <x:c r="BB222" s="107"/>
      <x:c r="BC222" s="107"/>
      <x:c r="BD222" s="107"/>
      <x:c r="BE222" s="107"/>
      <x:c r="BF222" s="107"/>
      <x:c r="BG222" s="109" t="str">
        <x:f t="shared" si="88"/>
        <x:v>FAILED</x:v>
      </x:c>
      <x:c r="BH222" s="117"/>
      <x:c r="BI222" s="102"/>
      <x:c r="BJ222" s="102"/>
      <x:c r="BK222" s="102"/>
      <x:c r="BL222" s="102"/>
      <x:c r="BM222" s="102"/>
      <x:c r="BN222" s="102"/>
      <x:c r="BO222" s="102"/>
      <x:c r="BP222" s="102"/>
      <x:c r="BQ222" s="109" t="str">
        <x:f t="shared" si="89"/>
        <x:v>FAILED</x:v>
      </x:c>
      <x:c r="BR222" s="115"/>
      <x:c r="BS222" s="115"/>
      <x:c r="BT222" s="107"/>
      <x:c r="BU222" s="107"/>
      <x:c r="BV222" s="107"/>
      <x:c r="BW222" s="107"/>
      <x:c r="BX222" s="107"/>
      <x:c r="BY222" s="109" t="str">
        <x:f t="shared" si="90"/>
        <x:v>FAILED</x:v>
      </x:c>
      <x:c r="BZ222" s="115"/>
      <x:c r="CA222" s="115"/>
      <x:c r="CB222" s="107"/>
      <x:c r="CC222" s="107"/>
      <x:c r="CD222" s="107"/>
      <x:c r="CE222" s="107"/>
      <x:c r="CF222" s="107"/>
      <x:c r="CG222" s="109" t="str">
        <x:f t="shared" si="91"/>
        <x:v>FAILED</x:v>
      </x:c>
      <x:c r="CH222" s="117"/>
    </x:row>
    <x:row r="223">
      <x:c r="A223" s="102" t="str">
        <x:f>IF(RECORD!A225="","",RECORD!A225)</x:f>
      </x:c>
      <x:c r="B223" s="102" t="str">
        <x:f>IF(RECORD!B225="","",RECORD!B225)</x:f>
      </x:c>
      <x:c r="C223" s="103" t="str">
        <x:f>IF(RECORD!C225="","",RECORD!C225)</x:f>
      </x:c>
      <x:c r="D223" s="104" t="str">
        <x:f t="array" ref="D223">IF(C223&lt;&gt;"",IF(F$7="SUMMER","N/A",_xlfn.IFS(D$10="TLA",RECORD!GO225,F$10="LECTURE","",TRUE(),"")),"")</x:f>
      </x:c>
      <x:c r="E223" s="105" t="str">
        <x:f t="shared" si="69"/>
      </x:c>
      <x:c r="F223" s="104" t="str">
        <x:f t="array" ref="F223">IF(C223&lt;&gt;"",IF(F$7="SUMMER","N/A",_xlfn.IFS(F$10="AT",RECORD!GI225,F$10="LECTURE",GRADES!AP223,TRUE(),"")),"")</x:f>
      </x:c>
      <x:c r="G223" s="106" t="str">
        <x:f t="shared" si="70"/>
      </x:c>
      <x:c r="H223" s="107" t="str">
        <x:f t="array" ref="H223">IF(C223&lt;&gt;"",IF(F$7="SUMMER","N/A",_xlfn.IFS(H$10="EXAM",RECORD!GJ225,H$10="OUTPUT",RECORD!GK225,H$10="LAB",BP223,TRUE(),"")),"")</x:f>
      </x:c>
      <x:c r="I223" s="106" t="str">
        <x:f t="shared" si="71"/>
      </x:c>
      <x:c r="J223" s="108" t="str">
        <x:f t="shared" si="72"/>
      </x:c>
      <x:c r="K223" s="109" t="str">
        <x:f t="shared" si="73"/>
      </x:c>
      <x:c r="L223" s="110" t="str">
        <x:f t="array" ref="L223">IF(C223&lt;&gt;"",_xlfn.IFS(L$10="TLA",RECORD!GY225,N$10="LECTURE","",TRUE(),""),"")</x:f>
      </x:c>
      <x:c r="M223" s="105" t="str">
        <x:f t="shared" si="74"/>
      </x:c>
      <x:c r="N223" s="104" t="str">
        <x:f t="array" ref="N223">IF(C223&lt;&gt;"",_xlfn.IFS(N$10="AT",RECORD!GS225,N$10="LECTURE",AX223,TRUE(),""),"")</x:f>
      </x:c>
      <x:c r="O223" s="106" t="str">
        <x:f t="shared" si="75"/>
      </x:c>
      <x:c r="P223" s="107" t="str">
        <x:f t="array" ref="P223">IF(C223&lt;&gt;"",_xlfn.IFS(P$10="EXAM",RECORD!GT225,P$10="OUTPUT",RECORD!GU225,P$10="LAB",BX223,TRUE(),""),"")</x:f>
      </x:c>
      <x:c r="Q223" s="106" t="str">
        <x:f t="shared" si="76"/>
      </x:c>
      <x:c r="R223" s="108" t="str">
        <x:f t="shared" si="77"/>
      </x:c>
      <x:c r="S223" s="109" t="str">
        <x:f t="shared" si="78"/>
      </x:c>
      <x:c r="T223" s="110" t="str">
        <x:f t="array" ref="T223">IF(C223&lt;&gt;"",_xlfn.IFS(T$10="TLA",RECORD!HI225,V$10="LECTURE","",TRUE(),""),"")</x:f>
      </x:c>
      <x:c r="U223" s="105" t="str">
        <x:f t="shared" si="79"/>
      </x:c>
      <x:c r="V223" s="104" t="str">
        <x:f t="array" ref="V223">IF(C223&lt;&gt;"",_xlfn.IFS(V$10="AT",RECORD!HC225,V$10="LECTURE",BF223,TRUE(),""),"")</x:f>
      </x:c>
      <x:c r="W223" s="106" t="str">
        <x:f t="shared" si="80"/>
      </x:c>
      <x:c r="X223" s="107" t="str">
        <x:f t="array" ref="X223">IF(C223&lt;&gt;"",_xlfn.IFS(X$10="EXAM",RECORD!HD225,X$10="OUTPUT",RECORD!HE225,X$10="LAB",CF223,TRUE(),""),"")</x:f>
      </x:c>
      <x:c r="Y223" s="106" t="str">
        <x:f t="shared" si="81"/>
      </x:c>
      <x:c r="Z223" s="108" t="str">
        <x:f t="shared" si="82"/>
      </x:c>
      <x:c r="AA223" s="109" t="str">
        <x:f t="shared" si="83"/>
      </x:c>
      <x:c r="AB223" s="111" t="str">
        <x:f t="shared" si="84"/>
      </x:c>
      <x:c r="AC223" s="109" t="str">
        <x:f t="shared" si="85"/>
      </x:c>
      <x:c r="AD223" s="112"/>
      <x:c r="AE223" s="102"/>
      <x:c r="AF223" s="113"/>
      <x:c r="AG223" s="112"/>
      <x:c r="AH223" s="103"/>
      <x:c r="AI223" s="114"/>
      <x:c r="AJ223" s="102"/>
      <x:c r="AK223" s="102"/>
      <x:c r="AL223" s="102"/>
      <x:c r="AM223" s="102"/>
      <x:c r="AN223" s="102"/>
      <x:c r="AO223" s="102"/>
      <x:c r="AP223" s="102"/>
      <x:c r="AQ223" s="109" t="str">
        <x:f t="shared" si="86"/>
        <x:v>FAILED</x:v>
      </x:c>
      <x:c r="AR223" s="115"/>
      <x:c r="AS223" s="115"/>
      <x:c r="AT223" s="107"/>
      <x:c r="AU223" s="107"/>
      <x:c r="AV223" s="107"/>
      <x:c r="AW223" s="107"/>
      <x:c r="AX223" s="107"/>
      <x:c r="AY223" s="109" t="str">
        <x:f t="shared" si="87"/>
        <x:v>FAILED</x:v>
      </x:c>
      <x:c r="AZ223" s="115"/>
      <x:c r="BA223" s="115"/>
      <x:c r="BB223" s="107"/>
      <x:c r="BC223" s="107"/>
      <x:c r="BD223" s="107"/>
      <x:c r="BE223" s="107"/>
      <x:c r="BF223" s="107"/>
      <x:c r="BG223" s="109" t="str">
        <x:f t="shared" si="88"/>
        <x:v>FAILED</x:v>
      </x:c>
      <x:c r="BH223" s="117"/>
      <x:c r="BI223" s="102"/>
      <x:c r="BJ223" s="102"/>
      <x:c r="BK223" s="102"/>
      <x:c r="BL223" s="102"/>
      <x:c r="BM223" s="102"/>
      <x:c r="BN223" s="102"/>
      <x:c r="BO223" s="102"/>
      <x:c r="BP223" s="102"/>
      <x:c r="BQ223" s="109" t="str">
        <x:f t="shared" si="89"/>
        <x:v>FAILED</x:v>
      </x:c>
      <x:c r="BR223" s="115"/>
      <x:c r="BS223" s="115"/>
      <x:c r="BT223" s="107"/>
      <x:c r="BU223" s="107"/>
      <x:c r="BV223" s="107"/>
      <x:c r="BW223" s="107"/>
      <x:c r="BX223" s="107"/>
      <x:c r="BY223" s="109" t="str">
        <x:f t="shared" si="90"/>
        <x:v>FAILED</x:v>
      </x:c>
      <x:c r="BZ223" s="115"/>
      <x:c r="CA223" s="115"/>
      <x:c r="CB223" s="107"/>
      <x:c r="CC223" s="107"/>
      <x:c r="CD223" s="107"/>
      <x:c r="CE223" s="107"/>
      <x:c r="CF223" s="107"/>
      <x:c r="CG223" s="109" t="str">
        <x:f t="shared" si="91"/>
        <x:v>FAILED</x:v>
      </x:c>
      <x:c r="CH223" s="117"/>
    </x:row>
    <x:row r="224">
      <x:c r="A224" s="102" t="str">
        <x:f>IF(RECORD!A226="","",RECORD!A226)</x:f>
      </x:c>
      <x:c r="B224" s="102" t="str">
        <x:f>IF(RECORD!B226="","",RECORD!B226)</x:f>
      </x:c>
      <x:c r="C224" s="103" t="str">
        <x:f>IF(RECORD!C226="","",RECORD!C226)</x:f>
      </x:c>
      <x:c r="D224" s="104" t="str">
        <x:f t="array" ref="D224">IF(C224&lt;&gt;"",IF(F$7="SUMMER","N/A",_xlfn.IFS(D$10="TLA",RECORD!GO226,F$10="LECTURE","",TRUE(),"")),"")</x:f>
      </x:c>
      <x:c r="E224" s="105" t="str">
        <x:f t="shared" si="69"/>
      </x:c>
      <x:c r="F224" s="104" t="str">
        <x:f t="array" ref="F224">IF(C224&lt;&gt;"",IF(F$7="SUMMER","N/A",_xlfn.IFS(F$10="AT",RECORD!GI226,F$10="LECTURE",GRADES!AP224,TRUE(),"")),"")</x:f>
      </x:c>
      <x:c r="G224" s="106" t="str">
        <x:f t="shared" si="70"/>
      </x:c>
      <x:c r="H224" s="107" t="str">
        <x:f t="array" ref="H224">IF(C224&lt;&gt;"",IF(F$7="SUMMER","N/A",_xlfn.IFS(H$10="EXAM",RECORD!GJ226,H$10="OUTPUT",RECORD!GK226,H$10="LAB",BP224,TRUE(),"")),"")</x:f>
      </x:c>
      <x:c r="I224" s="106" t="str">
        <x:f t="shared" si="71"/>
      </x:c>
      <x:c r="J224" s="108" t="str">
        <x:f t="shared" si="72"/>
      </x:c>
      <x:c r="K224" s="109" t="str">
        <x:f t="shared" si="73"/>
      </x:c>
      <x:c r="L224" s="110" t="str">
        <x:f t="array" ref="L224">IF(C224&lt;&gt;"",_xlfn.IFS(L$10="TLA",RECORD!GY226,N$10="LECTURE","",TRUE(),""),"")</x:f>
      </x:c>
      <x:c r="M224" s="105" t="str">
        <x:f t="shared" si="74"/>
      </x:c>
      <x:c r="N224" s="104" t="str">
        <x:f t="array" ref="N224">IF(C224&lt;&gt;"",_xlfn.IFS(N$10="AT",RECORD!GS226,N$10="LECTURE",AX224,TRUE(),""),"")</x:f>
      </x:c>
      <x:c r="O224" s="106" t="str">
        <x:f t="shared" si="75"/>
      </x:c>
      <x:c r="P224" s="107" t="str">
        <x:f t="array" ref="P224">IF(C224&lt;&gt;"",_xlfn.IFS(P$10="EXAM",RECORD!GT226,P$10="OUTPUT",RECORD!GU226,P$10="LAB",BX224,TRUE(),""),"")</x:f>
      </x:c>
      <x:c r="Q224" s="106" t="str">
        <x:f t="shared" si="76"/>
      </x:c>
      <x:c r="R224" s="108" t="str">
        <x:f t="shared" si="77"/>
      </x:c>
      <x:c r="S224" s="109" t="str">
        <x:f t="shared" si="78"/>
      </x:c>
      <x:c r="T224" s="110" t="str">
        <x:f t="array" ref="T224">IF(C224&lt;&gt;"",_xlfn.IFS(T$10="TLA",RECORD!HI226,V$10="LECTURE","",TRUE(),""),"")</x:f>
      </x:c>
      <x:c r="U224" s="105" t="str">
        <x:f t="shared" si="79"/>
      </x:c>
      <x:c r="V224" s="104" t="str">
        <x:f t="array" ref="V224">IF(C224&lt;&gt;"",_xlfn.IFS(V$10="AT",RECORD!HC226,V$10="LECTURE",BF224,TRUE(),""),"")</x:f>
      </x:c>
      <x:c r="W224" s="106" t="str">
        <x:f t="shared" si="80"/>
      </x:c>
      <x:c r="X224" s="107" t="str">
        <x:f t="array" ref="X224">IF(C224&lt;&gt;"",_xlfn.IFS(X$10="EXAM",RECORD!HD226,X$10="OUTPUT",RECORD!HE226,X$10="LAB",CF224,TRUE(),""),"")</x:f>
      </x:c>
      <x:c r="Y224" s="106" t="str">
        <x:f t="shared" si="81"/>
      </x:c>
      <x:c r="Z224" s="108" t="str">
        <x:f t="shared" si="82"/>
      </x:c>
      <x:c r="AA224" s="109" t="str">
        <x:f t="shared" si="83"/>
      </x:c>
      <x:c r="AB224" s="111" t="str">
        <x:f t="shared" si="84"/>
      </x:c>
      <x:c r="AC224" s="109" t="str">
        <x:f t="shared" si="85"/>
      </x:c>
      <x:c r="AD224" s="112"/>
      <x:c r="AE224" s="102"/>
      <x:c r="AF224" s="113"/>
      <x:c r="AG224" s="112"/>
      <x:c r="AH224" s="103"/>
      <x:c r="AI224" s="114"/>
      <x:c r="AJ224" s="102"/>
      <x:c r="AK224" s="102"/>
      <x:c r="AL224" s="102"/>
      <x:c r="AM224" s="102"/>
      <x:c r="AN224" s="102"/>
      <x:c r="AO224" s="102"/>
      <x:c r="AP224" s="102"/>
      <x:c r="AQ224" s="109" t="str">
        <x:f t="shared" si="86"/>
        <x:v>FAILED</x:v>
      </x:c>
      <x:c r="AR224" s="115"/>
      <x:c r="AS224" s="115"/>
      <x:c r="AT224" s="107"/>
      <x:c r="AU224" s="107"/>
      <x:c r="AV224" s="107"/>
      <x:c r="AW224" s="107"/>
      <x:c r="AX224" s="107"/>
      <x:c r="AY224" s="109" t="str">
        <x:f t="shared" si="87"/>
        <x:v>FAILED</x:v>
      </x:c>
      <x:c r="AZ224" s="115"/>
      <x:c r="BA224" s="115"/>
      <x:c r="BB224" s="107"/>
      <x:c r="BC224" s="107"/>
      <x:c r="BD224" s="107"/>
      <x:c r="BE224" s="107"/>
      <x:c r="BF224" s="107"/>
      <x:c r="BG224" s="109" t="str">
        <x:f t="shared" si="88"/>
        <x:v>FAILED</x:v>
      </x:c>
      <x:c r="BH224" s="117"/>
      <x:c r="BI224" s="102"/>
      <x:c r="BJ224" s="102"/>
      <x:c r="BK224" s="102"/>
      <x:c r="BL224" s="102"/>
      <x:c r="BM224" s="102"/>
      <x:c r="BN224" s="102"/>
      <x:c r="BO224" s="102"/>
      <x:c r="BP224" s="102"/>
      <x:c r="BQ224" s="109" t="str">
        <x:f t="shared" si="89"/>
        <x:v>FAILED</x:v>
      </x:c>
      <x:c r="BR224" s="115"/>
      <x:c r="BS224" s="115"/>
      <x:c r="BT224" s="107"/>
      <x:c r="BU224" s="107"/>
      <x:c r="BV224" s="107"/>
      <x:c r="BW224" s="107"/>
      <x:c r="BX224" s="107"/>
      <x:c r="BY224" s="109" t="str">
        <x:f t="shared" si="90"/>
        <x:v>FAILED</x:v>
      </x:c>
      <x:c r="BZ224" s="115"/>
      <x:c r="CA224" s="115"/>
      <x:c r="CB224" s="107"/>
      <x:c r="CC224" s="107"/>
      <x:c r="CD224" s="107"/>
      <x:c r="CE224" s="107"/>
      <x:c r="CF224" s="107"/>
      <x:c r="CG224" s="109" t="str">
        <x:f t="shared" si="91"/>
        <x:v>FAILED</x:v>
      </x:c>
      <x:c r="CH224" s="117"/>
    </x:row>
    <x:row r="225">
      <x:c r="A225" s="102" t="str">
        <x:f>IF(RECORD!A227="","",RECORD!A227)</x:f>
      </x:c>
      <x:c r="B225" s="102" t="str">
        <x:f>IF(RECORD!B227="","",RECORD!B227)</x:f>
      </x:c>
      <x:c r="C225" s="103" t="str">
        <x:f>IF(RECORD!C227="","",RECORD!C227)</x:f>
      </x:c>
      <x:c r="D225" s="104" t="str">
        <x:f t="array" ref="D225">IF(C225&lt;&gt;"",IF(F$7="SUMMER","N/A",_xlfn.IFS(D$10="TLA",RECORD!GO227,F$10="LECTURE","",TRUE(),"")),"")</x:f>
      </x:c>
      <x:c r="E225" s="105" t="str">
        <x:f t="shared" si="69"/>
      </x:c>
      <x:c r="F225" s="104" t="str">
        <x:f t="array" ref="F225">IF(C225&lt;&gt;"",IF(F$7="SUMMER","N/A",_xlfn.IFS(F$10="AT",RECORD!GI227,F$10="LECTURE",GRADES!AP225,TRUE(),"")),"")</x:f>
      </x:c>
      <x:c r="G225" s="106" t="str">
        <x:f t="shared" si="70"/>
      </x:c>
      <x:c r="H225" s="107" t="str">
        <x:f t="array" ref="H225">IF(C225&lt;&gt;"",IF(F$7="SUMMER","N/A",_xlfn.IFS(H$10="EXAM",RECORD!GJ227,H$10="OUTPUT",RECORD!GK227,H$10="LAB",BP225,TRUE(),"")),"")</x:f>
      </x:c>
      <x:c r="I225" s="106" t="str">
        <x:f t="shared" si="71"/>
      </x:c>
      <x:c r="J225" s="108" t="str">
        <x:f t="shared" si="72"/>
      </x:c>
      <x:c r="K225" s="109" t="str">
        <x:f t="shared" si="73"/>
      </x:c>
      <x:c r="L225" s="110" t="str">
        <x:f t="array" ref="L225">IF(C225&lt;&gt;"",_xlfn.IFS(L$10="TLA",RECORD!GY227,N$10="LECTURE","",TRUE(),""),"")</x:f>
      </x:c>
      <x:c r="M225" s="105" t="str">
        <x:f t="shared" si="74"/>
      </x:c>
      <x:c r="N225" s="104" t="str">
        <x:f t="array" ref="N225">IF(C225&lt;&gt;"",_xlfn.IFS(N$10="AT",RECORD!GS227,N$10="LECTURE",AX225,TRUE(),""),"")</x:f>
      </x:c>
      <x:c r="O225" s="106" t="str">
        <x:f t="shared" si="75"/>
      </x:c>
      <x:c r="P225" s="107" t="str">
        <x:f t="array" ref="P225">IF(C225&lt;&gt;"",_xlfn.IFS(P$10="EXAM",RECORD!GT227,P$10="OUTPUT",RECORD!GU227,P$10="LAB",BX225,TRUE(),""),"")</x:f>
      </x:c>
      <x:c r="Q225" s="106" t="str">
        <x:f t="shared" si="76"/>
      </x:c>
      <x:c r="R225" s="108" t="str">
        <x:f t="shared" si="77"/>
      </x:c>
      <x:c r="S225" s="109" t="str">
        <x:f t="shared" si="78"/>
      </x:c>
      <x:c r="T225" s="110" t="str">
        <x:f t="array" ref="T225">IF(C225&lt;&gt;"",_xlfn.IFS(T$10="TLA",RECORD!HI227,V$10="LECTURE","",TRUE(),""),"")</x:f>
      </x:c>
      <x:c r="U225" s="105" t="str">
        <x:f t="shared" si="79"/>
      </x:c>
      <x:c r="V225" s="104" t="str">
        <x:f t="array" ref="V225">IF(C225&lt;&gt;"",_xlfn.IFS(V$10="AT",RECORD!HC227,V$10="LECTURE",BF225,TRUE(),""),"")</x:f>
      </x:c>
      <x:c r="W225" s="106" t="str">
        <x:f t="shared" si="80"/>
      </x:c>
      <x:c r="X225" s="107" t="str">
        <x:f t="array" ref="X225">IF(C225&lt;&gt;"",_xlfn.IFS(X$10="EXAM",RECORD!HD227,X$10="OUTPUT",RECORD!HE227,X$10="LAB",CF225,TRUE(),""),"")</x:f>
      </x:c>
      <x:c r="Y225" s="106" t="str">
        <x:f t="shared" si="81"/>
      </x:c>
      <x:c r="Z225" s="108" t="str">
        <x:f t="shared" si="82"/>
      </x:c>
      <x:c r="AA225" s="109" t="str">
        <x:f t="shared" si="83"/>
      </x:c>
      <x:c r="AB225" s="111" t="str">
        <x:f t="shared" si="84"/>
      </x:c>
      <x:c r="AC225" s="109" t="str">
        <x:f t="shared" si="85"/>
      </x:c>
      <x:c r="AD225" s="112"/>
      <x:c r="AE225" s="102"/>
      <x:c r="AF225" s="113"/>
      <x:c r="AG225" s="112"/>
      <x:c r="AH225" s="103"/>
      <x:c r="AI225" s="114"/>
      <x:c r="AJ225" s="102"/>
      <x:c r="AK225" s="102"/>
      <x:c r="AL225" s="102"/>
      <x:c r="AM225" s="102"/>
      <x:c r="AN225" s="102"/>
      <x:c r="AO225" s="102"/>
      <x:c r="AP225" s="102"/>
      <x:c r="AQ225" s="109" t="str">
        <x:f t="shared" si="86"/>
        <x:v>FAILED</x:v>
      </x:c>
      <x:c r="AR225" s="115"/>
      <x:c r="AS225" s="115"/>
      <x:c r="AT225" s="107"/>
      <x:c r="AU225" s="107"/>
      <x:c r="AV225" s="107"/>
      <x:c r="AW225" s="107"/>
      <x:c r="AX225" s="107"/>
      <x:c r="AY225" s="109" t="str">
        <x:f t="shared" si="87"/>
        <x:v>FAILED</x:v>
      </x:c>
      <x:c r="AZ225" s="115"/>
      <x:c r="BA225" s="115"/>
      <x:c r="BB225" s="107"/>
      <x:c r="BC225" s="107"/>
      <x:c r="BD225" s="107"/>
      <x:c r="BE225" s="107"/>
      <x:c r="BF225" s="107"/>
      <x:c r="BG225" s="109" t="str">
        <x:f t="shared" si="88"/>
        <x:v>FAILED</x:v>
      </x:c>
      <x:c r="BH225" s="117"/>
      <x:c r="BI225" s="102"/>
      <x:c r="BJ225" s="102"/>
      <x:c r="BK225" s="102"/>
      <x:c r="BL225" s="102"/>
      <x:c r="BM225" s="102"/>
      <x:c r="BN225" s="102"/>
      <x:c r="BO225" s="102"/>
      <x:c r="BP225" s="102"/>
      <x:c r="BQ225" s="109" t="str">
        <x:f t="shared" si="89"/>
        <x:v>FAILED</x:v>
      </x:c>
      <x:c r="BR225" s="115"/>
      <x:c r="BS225" s="115"/>
      <x:c r="BT225" s="107"/>
      <x:c r="BU225" s="107"/>
      <x:c r="BV225" s="107"/>
      <x:c r="BW225" s="107"/>
      <x:c r="BX225" s="107"/>
      <x:c r="BY225" s="109" t="str">
        <x:f t="shared" si="90"/>
        <x:v>FAILED</x:v>
      </x:c>
      <x:c r="BZ225" s="115"/>
      <x:c r="CA225" s="115"/>
      <x:c r="CB225" s="107"/>
      <x:c r="CC225" s="107"/>
      <x:c r="CD225" s="107"/>
      <x:c r="CE225" s="107"/>
      <x:c r="CF225" s="107"/>
      <x:c r="CG225" s="109" t="str">
        <x:f t="shared" si="91"/>
        <x:v>FAILED</x:v>
      </x:c>
      <x:c r="CH225" s="117"/>
    </x:row>
    <x:row r="226">
      <x:c r="A226" s="102" t="str">
        <x:f>IF(RECORD!A228="","",RECORD!A228)</x:f>
      </x:c>
      <x:c r="B226" s="102" t="str">
        <x:f>IF(RECORD!B228="","",RECORD!B228)</x:f>
      </x:c>
      <x:c r="C226" s="103" t="str">
        <x:f>IF(RECORD!C228="","",RECORD!C228)</x:f>
      </x:c>
      <x:c r="D226" s="104" t="str">
        <x:f t="array" ref="D226">IF(C226&lt;&gt;"",IF(F$7="SUMMER","N/A",_xlfn.IFS(D$10="TLA",RECORD!GO228,F$10="LECTURE","",TRUE(),"")),"")</x:f>
      </x:c>
      <x:c r="E226" s="105" t="str">
        <x:f t="shared" si="69"/>
      </x:c>
      <x:c r="F226" s="104" t="str">
        <x:f t="array" ref="F226">IF(C226&lt;&gt;"",IF(F$7="SUMMER","N/A",_xlfn.IFS(F$10="AT",RECORD!GI228,F$10="LECTURE",GRADES!AP226,TRUE(),"")),"")</x:f>
      </x:c>
      <x:c r="G226" s="106" t="str">
        <x:f t="shared" si="70"/>
      </x:c>
      <x:c r="H226" s="107" t="str">
        <x:f t="array" ref="H226">IF(C226&lt;&gt;"",IF(F$7="SUMMER","N/A",_xlfn.IFS(H$10="EXAM",RECORD!GJ228,H$10="OUTPUT",RECORD!GK228,H$10="LAB",BP226,TRUE(),"")),"")</x:f>
      </x:c>
      <x:c r="I226" s="106" t="str">
        <x:f t="shared" si="71"/>
      </x:c>
      <x:c r="J226" s="108" t="str">
        <x:f t="shared" si="72"/>
      </x:c>
      <x:c r="K226" s="109" t="str">
        <x:f t="shared" si="73"/>
      </x:c>
      <x:c r="L226" s="110" t="str">
        <x:f t="array" ref="L226">IF(C226&lt;&gt;"",_xlfn.IFS(L$10="TLA",RECORD!GY228,N$10="LECTURE","",TRUE(),""),"")</x:f>
      </x:c>
      <x:c r="M226" s="105" t="str">
        <x:f t="shared" si="74"/>
      </x:c>
      <x:c r="N226" s="104" t="str">
        <x:f t="array" ref="N226">IF(C226&lt;&gt;"",_xlfn.IFS(N$10="AT",RECORD!GS228,N$10="LECTURE",AX226,TRUE(),""),"")</x:f>
      </x:c>
      <x:c r="O226" s="106" t="str">
        <x:f t="shared" si="75"/>
      </x:c>
      <x:c r="P226" s="107" t="str">
        <x:f t="array" ref="P226">IF(C226&lt;&gt;"",_xlfn.IFS(P$10="EXAM",RECORD!GT228,P$10="OUTPUT",RECORD!GU228,P$10="LAB",BX226,TRUE(),""),"")</x:f>
      </x:c>
      <x:c r="Q226" s="106" t="str">
        <x:f t="shared" si="76"/>
      </x:c>
      <x:c r="R226" s="108" t="str">
        <x:f t="shared" si="77"/>
      </x:c>
      <x:c r="S226" s="109" t="str">
        <x:f t="shared" si="78"/>
      </x:c>
      <x:c r="T226" s="110" t="str">
        <x:f t="array" ref="T226">IF(C226&lt;&gt;"",_xlfn.IFS(T$10="TLA",RECORD!HI228,V$10="LECTURE","",TRUE(),""),"")</x:f>
      </x:c>
      <x:c r="U226" s="105" t="str">
        <x:f t="shared" si="79"/>
      </x:c>
      <x:c r="V226" s="104" t="str">
        <x:f t="array" ref="V226">IF(C226&lt;&gt;"",_xlfn.IFS(V$10="AT",RECORD!HC228,V$10="LECTURE",BF226,TRUE(),""),"")</x:f>
      </x:c>
      <x:c r="W226" s="106" t="str">
        <x:f t="shared" si="80"/>
      </x:c>
      <x:c r="X226" s="107" t="str">
        <x:f t="array" ref="X226">IF(C226&lt;&gt;"",_xlfn.IFS(X$10="EXAM",RECORD!HD228,X$10="OUTPUT",RECORD!HE228,X$10="LAB",CF226,TRUE(),""),"")</x:f>
      </x:c>
      <x:c r="Y226" s="106" t="str">
        <x:f t="shared" si="81"/>
      </x:c>
      <x:c r="Z226" s="108" t="str">
        <x:f t="shared" si="82"/>
      </x:c>
      <x:c r="AA226" s="109" t="str">
        <x:f t="shared" si="83"/>
      </x:c>
      <x:c r="AB226" s="111" t="str">
        <x:f t="shared" si="84"/>
      </x:c>
      <x:c r="AC226" s="109" t="str">
        <x:f t="shared" si="85"/>
      </x:c>
      <x:c r="AD226" s="112"/>
      <x:c r="AE226" s="102"/>
      <x:c r="AF226" s="113"/>
      <x:c r="AG226" s="112"/>
      <x:c r="AH226" s="103"/>
      <x:c r="AI226" s="114"/>
      <x:c r="AJ226" s="102"/>
      <x:c r="AK226" s="102"/>
      <x:c r="AL226" s="102"/>
      <x:c r="AM226" s="102"/>
      <x:c r="AN226" s="102"/>
      <x:c r="AO226" s="102"/>
      <x:c r="AP226" s="102"/>
      <x:c r="AQ226" s="109" t="str">
        <x:f t="shared" si="86"/>
        <x:v>FAILED</x:v>
      </x:c>
      <x:c r="AR226" s="115"/>
      <x:c r="AS226" s="115"/>
      <x:c r="AT226" s="107"/>
      <x:c r="AU226" s="107"/>
      <x:c r="AV226" s="107"/>
      <x:c r="AW226" s="107"/>
      <x:c r="AX226" s="107"/>
      <x:c r="AY226" s="109" t="str">
        <x:f t="shared" si="87"/>
        <x:v>FAILED</x:v>
      </x:c>
      <x:c r="AZ226" s="115"/>
      <x:c r="BA226" s="115"/>
      <x:c r="BB226" s="107"/>
      <x:c r="BC226" s="107"/>
      <x:c r="BD226" s="107"/>
      <x:c r="BE226" s="107"/>
      <x:c r="BF226" s="107"/>
      <x:c r="BG226" s="109" t="str">
        <x:f t="shared" si="88"/>
        <x:v>FAILED</x:v>
      </x:c>
      <x:c r="BH226" s="117"/>
      <x:c r="BI226" s="102"/>
      <x:c r="BJ226" s="102"/>
      <x:c r="BK226" s="102"/>
      <x:c r="BL226" s="102"/>
      <x:c r="BM226" s="102"/>
      <x:c r="BN226" s="102"/>
      <x:c r="BO226" s="102"/>
      <x:c r="BP226" s="102"/>
      <x:c r="BQ226" s="109" t="str">
        <x:f t="shared" si="89"/>
        <x:v>FAILED</x:v>
      </x:c>
      <x:c r="BR226" s="115"/>
      <x:c r="BS226" s="115"/>
      <x:c r="BT226" s="107"/>
      <x:c r="BU226" s="107"/>
      <x:c r="BV226" s="107"/>
      <x:c r="BW226" s="107"/>
      <x:c r="BX226" s="107"/>
      <x:c r="BY226" s="109" t="str">
        <x:f t="shared" si="90"/>
        <x:v>FAILED</x:v>
      </x:c>
      <x:c r="BZ226" s="115"/>
      <x:c r="CA226" s="115"/>
      <x:c r="CB226" s="107"/>
      <x:c r="CC226" s="107"/>
      <x:c r="CD226" s="107"/>
      <x:c r="CE226" s="107"/>
      <x:c r="CF226" s="107"/>
      <x:c r="CG226" s="109" t="str">
        <x:f t="shared" si="91"/>
        <x:v>FAILED</x:v>
      </x:c>
      <x:c r="CH226" s="117"/>
    </x:row>
    <x:row r="227">
      <x:c r="A227" s="102" t="str">
        <x:f>IF(RECORD!A229="","",RECORD!A229)</x:f>
      </x:c>
      <x:c r="B227" s="102" t="str">
        <x:f>IF(RECORD!B229="","",RECORD!B229)</x:f>
      </x:c>
      <x:c r="C227" s="103" t="str">
        <x:f>IF(RECORD!C229="","",RECORD!C229)</x:f>
      </x:c>
      <x:c r="D227" s="104" t="str">
        <x:f t="array" ref="D227">IF(C227&lt;&gt;"",IF(F$7="SUMMER","N/A",_xlfn.IFS(D$10="TLA",RECORD!GO229,F$10="LECTURE","",TRUE(),"")),"")</x:f>
      </x:c>
      <x:c r="E227" s="105" t="str">
        <x:f t="shared" si="69"/>
      </x:c>
      <x:c r="F227" s="104" t="str">
        <x:f t="array" ref="F227">IF(C227&lt;&gt;"",IF(F$7="SUMMER","N/A",_xlfn.IFS(F$10="AT",RECORD!GI229,F$10="LECTURE",GRADES!AP227,TRUE(),"")),"")</x:f>
      </x:c>
      <x:c r="G227" s="106" t="str">
        <x:f t="shared" si="70"/>
      </x:c>
      <x:c r="H227" s="107" t="str">
        <x:f t="array" ref="H227">IF(C227&lt;&gt;"",IF(F$7="SUMMER","N/A",_xlfn.IFS(H$10="EXAM",RECORD!GJ229,H$10="OUTPUT",RECORD!GK229,H$10="LAB",BP227,TRUE(),"")),"")</x:f>
      </x:c>
      <x:c r="I227" s="106" t="str">
        <x:f t="shared" si="71"/>
      </x:c>
      <x:c r="J227" s="108" t="str">
        <x:f t="shared" si="72"/>
      </x:c>
      <x:c r="K227" s="109" t="str">
        <x:f t="shared" si="73"/>
      </x:c>
      <x:c r="L227" s="110" t="str">
        <x:f t="array" ref="L227">IF(C227&lt;&gt;"",_xlfn.IFS(L$10="TLA",RECORD!GY229,N$10="LECTURE","",TRUE(),""),"")</x:f>
      </x:c>
      <x:c r="M227" s="105" t="str">
        <x:f t="shared" si="74"/>
      </x:c>
      <x:c r="N227" s="104" t="str">
        <x:f t="array" ref="N227">IF(C227&lt;&gt;"",_xlfn.IFS(N$10="AT",RECORD!GS229,N$10="LECTURE",AX227,TRUE(),""),"")</x:f>
      </x:c>
      <x:c r="O227" s="106" t="str">
        <x:f t="shared" si="75"/>
      </x:c>
      <x:c r="P227" s="107" t="str">
        <x:f t="array" ref="P227">IF(C227&lt;&gt;"",_xlfn.IFS(P$10="EXAM",RECORD!GT229,P$10="OUTPUT",RECORD!GU229,P$10="LAB",BX227,TRUE(),""),"")</x:f>
      </x:c>
      <x:c r="Q227" s="106" t="str">
        <x:f t="shared" si="76"/>
      </x:c>
      <x:c r="R227" s="108" t="str">
        <x:f t="shared" si="77"/>
      </x:c>
      <x:c r="S227" s="109" t="str">
        <x:f t="shared" si="78"/>
      </x:c>
      <x:c r="T227" s="110" t="str">
        <x:f t="array" ref="T227">IF(C227&lt;&gt;"",_xlfn.IFS(T$10="TLA",RECORD!HI229,V$10="LECTURE","",TRUE(),""),"")</x:f>
      </x:c>
      <x:c r="U227" s="105" t="str">
        <x:f t="shared" si="79"/>
      </x:c>
      <x:c r="V227" s="104" t="str">
        <x:f t="array" ref="V227">IF(C227&lt;&gt;"",_xlfn.IFS(V$10="AT",RECORD!HC229,V$10="LECTURE",BF227,TRUE(),""),"")</x:f>
      </x:c>
      <x:c r="W227" s="106" t="str">
        <x:f t="shared" si="80"/>
      </x:c>
      <x:c r="X227" s="107" t="str">
        <x:f t="array" ref="X227">IF(C227&lt;&gt;"",_xlfn.IFS(X$10="EXAM",RECORD!HD229,X$10="OUTPUT",RECORD!HE229,X$10="LAB",CF227,TRUE(),""),"")</x:f>
      </x:c>
      <x:c r="Y227" s="106" t="str">
        <x:f t="shared" si="81"/>
      </x:c>
      <x:c r="Z227" s="108" t="str">
        <x:f t="shared" si="82"/>
      </x:c>
      <x:c r="AA227" s="109" t="str">
        <x:f t="shared" si="83"/>
      </x:c>
      <x:c r="AB227" s="111" t="str">
        <x:f t="shared" si="84"/>
      </x:c>
      <x:c r="AC227" s="109" t="str">
        <x:f t="shared" si="85"/>
      </x:c>
      <x:c r="AD227" s="112"/>
      <x:c r="AE227" s="102"/>
      <x:c r="AF227" s="113"/>
      <x:c r="AG227" s="112"/>
      <x:c r="AH227" s="103"/>
      <x:c r="AI227" s="114"/>
      <x:c r="AJ227" s="102"/>
      <x:c r="AK227" s="102"/>
      <x:c r="AL227" s="102"/>
      <x:c r="AM227" s="102"/>
      <x:c r="AN227" s="102"/>
      <x:c r="AO227" s="102"/>
      <x:c r="AP227" s="102"/>
      <x:c r="AQ227" s="109" t="str">
        <x:f t="shared" si="86"/>
        <x:v>FAILED</x:v>
      </x:c>
      <x:c r="AR227" s="115"/>
      <x:c r="AS227" s="115"/>
      <x:c r="AT227" s="107"/>
      <x:c r="AU227" s="107"/>
      <x:c r="AV227" s="107"/>
      <x:c r="AW227" s="107"/>
      <x:c r="AX227" s="107"/>
      <x:c r="AY227" s="109" t="str">
        <x:f t="shared" si="87"/>
        <x:v>FAILED</x:v>
      </x:c>
      <x:c r="AZ227" s="115"/>
      <x:c r="BA227" s="115"/>
      <x:c r="BB227" s="107"/>
      <x:c r="BC227" s="107"/>
      <x:c r="BD227" s="107"/>
      <x:c r="BE227" s="107"/>
      <x:c r="BF227" s="107"/>
      <x:c r="BG227" s="109" t="str">
        <x:f t="shared" si="88"/>
        <x:v>FAILED</x:v>
      </x:c>
      <x:c r="BH227" s="117"/>
      <x:c r="BI227" s="102"/>
      <x:c r="BJ227" s="102"/>
      <x:c r="BK227" s="102"/>
      <x:c r="BL227" s="102"/>
      <x:c r="BM227" s="102"/>
      <x:c r="BN227" s="102"/>
      <x:c r="BO227" s="102"/>
      <x:c r="BP227" s="102"/>
      <x:c r="BQ227" s="109" t="str">
        <x:f t="shared" si="89"/>
        <x:v>FAILED</x:v>
      </x:c>
      <x:c r="BR227" s="115"/>
      <x:c r="BS227" s="115"/>
      <x:c r="BT227" s="107"/>
      <x:c r="BU227" s="107"/>
      <x:c r="BV227" s="107"/>
      <x:c r="BW227" s="107"/>
      <x:c r="BX227" s="107"/>
      <x:c r="BY227" s="109" t="str">
        <x:f t="shared" si="90"/>
        <x:v>FAILED</x:v>
      </x:c>
      <x:c r="BZ227" s="115"/>
      <x:c r="CA227" s="115"/>
      <x:c r="CB227" s="107"/>
      <x:c r="CC227" s="107"/>
      <x:c r="CD227" s="107"/>
      <x:c r="CE227" s="107"/>
      <x:c r="CF227" s="107"/>
      <x:c r="CG227" s="109" t="str">
        <x:f t="shared" si="91"/>
        <x:v>FAILED</x:v>
      </x:c>
      <x:c r="CH227" s="117"/>
    </x:row>
    <x:row r="228">
      <x:c r="A228" s="102" t="str">
        <x:f>IF(RECORD!A230="","",RECORD!A230)</x:f>
      </x:c>
      <x:c r="B228" s="102" t="str">
        <x:f>IF(RECORD!B230="","",RECORD!B230)</x:f>
      </x:c>
      <x:c r="C228" s="103" t="str">
        <x:f>IF(RECORD!C230="","",RECORD!C230)</x:f>
      </x:c>
      <x:c r="D228" s="104" t="str">
        <x:f t="array" ref="D228">IF(C228&lt;&gt;"",IF(F$7="SUMMER","N/A",_xlfn.IFS(D$10="TLA",RECORD!GO230,F$10="LECTURE","",TRUE(),"")),"")</x:f>
      </x:c>
      <x:c r="E228" s="105" t="str">
        <x:f t="shared" si="69"/>
      </x:c>
      <x:c r="F228" s="104" t="str">
        <x:f t="array" ref="F228">IF(C228&lt;&gt;"",IF(F$7="SUMMER","N/A",_xlfn.IFS(F$10="AT",RECORD!GI230,F$10="LECTURE",GRADES!AP228,TRUE(),"")),"")</x:f>
      </x:c>
      <x:c r="G228" s="106" t="str">
        <x:f t="shared" si="70"/>
      </x:c>
      <x:c r="H228" s="107" t="str">
        <x:f t="array" ref="H228">IF(C228&lt;&gt;"",IF(F$7="SUMMER","N/A",_xlfn.IFS(H$10="EXAM",RECORD!GJ230,H$10="OUTPUT",RECORD!GK230,H$10="LAB",BP228,TRUE(),"")),"")</x:f>
      </x:c>
      <x:c r="I228" s="106" t="str">
        <x:f t="shared" si="71"/>
      </x:c>
      <x:c r="J228" s="108" t="str">
        <x:f t="shared" si="72"/>
      </x:c>
      <x:c r="K228" s="109" t="str">
        <x:f t="shared" si="73"/>
      </x:c>
      <x:c r="L228" s="110" t="str">
        <x:f t="array" ref="L228">IF(C228&lt;&gt;"",_xlfn.IFS(L$10="TLA",RECORD!GY230,N$10="LECTURE","",TRUE(),""),"")</x:f>
      </x:c>
      <x:c r="M228" s="105" t="str">
        <x:f t="shared" si="74"/>
      </x:c>
      <x:c r="N228" s="104" t="str">
        <x:f t="array" ref="N228">IF(C228&lt;&gt;"",_xlfn.IFS(N$10="AT",RECORD!GS230,N$10="LECTURE",AX228,TRUE(),""),"")</x:f>
      </x:c>
      <x:c r="O228" s="106" t="str">
        <x:f t="shared" si="75"/>
      </x:c>
      <x:c r="P228" s="107" t="str">
        <x:f t="array" ref="P228">IF(C228&lt;&gt;"",_xlfn.IFS(P$10="EXAM",RECORD!GT230,P$10="OUTPUT",RECORD!GU230,P$10="LAB",BX228,TRUE(),""),"")</x:f>
      </x:c>
      <x:c r="Q228" s="106" t="str">
        <x:f t="shared" si="76"/>
      </x:c>
      <x:c r="R228" s="108" t="str">
        <x:f t="shared" si="77"/>
      </x:c>
      <x:c r="S228" s="109" t="str">
        <x:f t="shared" si="78"/>
      </x:c>
      <x:c r="T228" s="110" t="str">
        <x:f t="array" ref="T228">IF(C228&lt;&gt;"",_xlfn.IFS(T$10="TLA",RECORD!HI230,V$10="LECTURE","",TRUE(),""),"")</x:f>
      </x:c>
      <x:c r="U228" s="105" t="str">
        <x:f t="shared" si="79"/>
      </x:c>
      <x:c r="V228" s="104" t="str">
        <x:f t="array" ref="V228">IF(C228&lt;&gt;"",_xlfn.IFS(V$10="AT",RECORD!HC230,V$10="LECTURE",BF228,TRUE(),""),"")</x:f>
      </x:c>
      <x:c r="W228" s="106" t="str">
        <x:f t="shared" si="80"/>
      </x:c>
      <x:c r="X228" s="107" t="str">
        <x:f t="array" ref="X228">IF(C228&lt;&gt;"",_xlfn.IFS(X$10="EXAM",RECORD!HD230,X$10="OUTPUT",RECORD!HE230,X$10="LAB",CF228,TRUE(),""),"")</x:f>
      </x:c>
      <x:c r="Y228" s="106" t="str">
        <x:f t="shared" si="81"/>
      </x:c>
      <x:c r="Z228" s="108" t="str">
        <x:f t="shared" si="82"/>
      </x:c>
      <x:c r="AA228" s="109" t="str">
        <x:f t="shared" si="83"/>
      </x:c>
      <x:c r="AB228" s="111" t="str">
        <x:f t="shared" si="84"/>
      </x:c>
      <x:c r="AC228" s="109" t="str">
        <x:f t="shared" si="85"/>
      </x:c>
      <x:c r="AD228" s="112"/>
      <x:c r="AE228" s="102"/>
      <x:c r="AF228" s="113"/>
      <x:c r="AG228" s="112"/>
      <x:c r="AH228" s="103"/>
      <x:c r="AI228" s="114"/>
      <x:c r="AJ228" s="102"/>
      <x:c r="AK228" s="102"/>
      <x:c r="AL228" s="102"/>
      <x:c r="AM228" s="102"/>
      <x:c r="AN228" s="102"/>
      <x:c r="AO228" s="102"/>
      <x:c r="AP228" s="102"/>
      <x:c r="AQ228" s="109" t="str">
        <x:f t="shared" si="86"/>
        <x:v>FAILED</x:v>
      </x:c>
      <x:c r="AR228" s="115"/>
      <x:c r="AS228" s="115"/>
      <x:c r="AT228" s="107"/>
      <x:c r="AU228" s="107"/>
      <x:c r="AV228" s="107"/>
      <x:c r="AW228" s="107"/>
      <x:c r="AX228" s="107"/>
      <x:c r="AY228" s="109" t="str">
        <x:f t="shared" si="87"/>
        <x:v>FAILED</x:v>
      </x:c>
      <x:c r="AZ228" s="115"/>
      <x:c r="BA228" s="115"/>
      <x:c r="BB228" s="107"/>
      <x:c r="BC228" s="107"/>
      <x:c r="BD228" s="107"/>
      <x:c r="BE228" s="107"/>
      <x:c r="BF228" s="107"/>
      <x:c r="BG228" s="109" t="str">
        <x:f t="shared" si="88"/>
        <x:v>FAILED</x:v>
      </x:c>
      <x:c r="BH228" s="117"/>
      <x:c r="BI228" s="102"/>
      <x:c r="BJ228" s="102"/>
      <x:c r="BK228" s="102"/>
      <x:c r="BL228" s="102"/>
      <x:c r="BM228" s="102"/>
      <x:c r="BN228" s="102"/>
      <x:c r="BO228" s="102"/>
      <x:c r="BP228" s="102"/>
      <x:c r="BQ228" s="109" t="str">
        <x:f t="shared" si="89"/>
        <x:v>FAILED</x:v>
      </x:c>
      <x:c r="BR228" s="115"/>
      <x:c r="BS228" s="115"/>
      <x:c r="BT228" s="107"/>
      <x:c r="BU228" s="107"/>
      <x:c r="BV228" s="107"/>
      <x:c r="BW228" s="107"/>
      <x:c r="BX228" s="107"/>
      <x:c r="BY228" s="109" t="str">
        <x:f t="shared" si="90"/>
        <x:v>FAILED</x:v>
      </x:c>
      <x:c r="BZ228" s="115"/>
      <x:c r="CA228" s="115"/>
      <x:c r="CB228" s="107"/>
      <x:c r="CC228" s="107"/>
      <x:c r="CD228" s="107"/>
      <x:c r="CE228" s="107"/>
      <x:c r="CF228" s="107"/>
      <x:c r="CG228" s="109" t="str">
        <x:f t="shared" si="91"/>
        <x:v>FAILED</x:v>
      </x:c>
      <x:c r="CH228" s="117"/>
    </x:row>
    <x:row r="229">
      <x:c r="A229" s="102" t="str">
        <x:f>IF(RECORD!A231="","",RECORD!A231)</x:f>
      </x:c>
      <x:c r="B229" s="102" t="str">
        <x:f>IF(RECORD!B231="","",RECORD!B231)</x:f>
      </x:c>
      <x:c r="C229" s="103" t="str">
        <x:f>IF(RECORD!C231="","",RECORD!C231)</x:f>
      </x:c>
      <x:c r="D229" s="104" t="str">
        <x:f t="array" ref="D229">IF(C229&lt;&gt;"",IF(F$7="SUMMER","N/A",_xlfn.IFS(D$10="TLA",RECORD!GO231,F$10="LECTURE","",TRUE(),"")),"")</x:f>
      </x:c>
      <x:c r="E229" s="105" t="str">
        <x:f t="shared" si="69"/>
      </x:c>
      <x:c r="F229" s="104" t="str">
        <x:f t="array" ref="F229">IF(C229&lt;&gt;"",IF(F$7="SUMMER","N/A",_xlfn.IFS(F$10="AT",RECORD!GI231,F$10="LECTURE",GRADES!AP229,TRUE(),"")),"")</x:f>
      </x:c>
      <x:c r="G229" s="106" t="str">
        <x:f t="shared" si="70"/>
      </x:c>
      <x:c r="H229" s="107" t="str">
        <x:f t="array" ref="H229">IF(C229&lt;&gt;"",IF(F$7="SUMMER","N/A",_xlfn.IFS(H$10="EXAM",RECORD!GJ231,H$10="OUTPUT",RECORD!GK231,H$10="LAB",BP229,TRUE(),"")),"")</x:f>
      </x:c>
      <x:c r="I229" s="106" t="str">
        <x:f t="shared" si="71"/>
      </x:c>
      <x:c r="J229" s="108" t="str">
        <x:f t="shared" si="72"/>
      </x:c>
      <x:c r="K229" s="109" t="str">
        <x:f t="shared" si="73"/>
      </x:c>
      <x:c r="L229" s="110" t="str">
        <x:f t="array" ref="L229">IF(C229&lt;&gt;"",_xlfn.IFS(L$10="TLA",RECORD!GY231,N$10="LECTURE","",TRUE(),""),"")</x:f>
      </x:c>
      <x:c r="M229" s="105" t="str">
        <x:f t="shared" si="74"/>
      </x:c>
      <x:c r="N229" s="104" t="str">
        <x:f t="array" ref="N229">IF(C229&lt;&gt;"",_xlfn.IFS(N$10="AT",RECORD!GS231,N$10="LECTURE",AX229,TRUE(),""),"")</x:f>
      </x:c>
      <x:c r="O229" s="106" t="str">
        <x:f t="shared" si="75"/>
      </x:c>
      <x:c r="P229" s="107" t="str">
        <x:f t="array" ref="P229">IF(C229&lt;&gt;"",_xlfn.IFS(P$10="EXAM",RECORD!GT231,P$10="OUTPUT",RECORD!GU231,P$10="LAB",BX229,TRUE(),""),"")</x:f>
      </x:c>
      <x:c r="Q229" s="106" t="str">
        <x:f t="shared" si="76"/>
      </x:c>
      <x:c r="R229" s="108" t="str">
        <x:f t="shared" si="77"/>
      </x:c>
      <x:c r="S229" s="109" t="str">
        <x:f t="shared" si="78"/>
      </x:c>
      <x:c r="T229" s="110" t="str">
        <x:f t="array" ref="T229">IF(C229&lt;&gt;"",_xlfn.IFS(T$10="TLA",RECORD!HI231,V$10="LECTURE","",TRUE(),""),"")</x:f>
      </x:c>
      <x:c r="U229" s="105" t="str">
        <x:f t="shared" si="79"/>
      </x:c>
      <x:c r="V229" s="104" t="str">
        <x:f t="array" ref="V229">IF(C229&lt;&gt;"",_xlfn.IFS(V$10="AT",RECORD!HC231,V$10="LECTURE",BF229,TRUE(),""),"")</x:f>
      </x:c>
      <x:c r="W229" s="106" t="str">
        <x:f t="shared" si="80"/>
      </x:c>
      <x:c r="X229" s="107" t="str">
        <x:f t="array" ref="X229">IF(C229&lt;&gt;"",_xlfn.IFS(X$10="EXAM",RECORD!HD231,X$10="OUTPUT",RECORD!HE231,X$10="LAB",CF229,TRUE(),""),"")</x:f>
      </x:c>
      <x:c r="Y229" s="106" t="str">
        <x:f t="shared" si="81"/>
      </x:c>
      <x:c r="Z229" s="108" t="str">
        <x:f t="shared" si="82"/>
      </x:c>
      <x:c r="AA229" s="109" t="str">
        <x:f t="shared" si="83"/>
      </x:c>
      <x:c r="AB229" s="111" t="str">
        <x:f t="shared" si="84"/>
      </x:c>
      <x:c r="AC229" s="109" t="str">
        <x:f t="shared" si="85"/>
      </x:c>
      <x:c r="AD229" s="112"/>
      <x:c r="AE229" s="102"/>
      <x:c r="AF229" s="113"/>
      <x:c r="AG229" s="112"/>
      <x:c r="AH229" s="103"/>
      <x:c r="AI229" s="114"/>
      <x:c r="AJ229" s="102"/>
      <x:c r="AK229" s="102"/>
      <x:c r="AL229" s="102"/>
      <x:c r="AM229" s="102"/>
      <x:c r="AN229" s="102"/>
      <x:c r="AO229" s="102"/>
      <x:c r="AP229" s="102"/>
      <x:c r="AQ229" s="109" t="str">
        <x:f t="shared" si="86"/>
        <x:v>FAILED</x:v>
      </x:c>
      <x:c r="AR229" s="115"/>
      <x:c r="AS229" s="115"/>
      <x:c r="AT229" s="107"/>
      <x:c r="AU229" s="107"/>
      <x:c r="AV229" s="107"/>
      <x:c r="AW229" s="107"/>
      <x:c r="AX229" s="107"/>
      <x:c r="AY229" s="109" t="str">
        <x:f t="shared" si="87"/>
        <x:v>FAILED</x:v>
      </x:c>
      <x:c r="AZ229" s="115"/>
      <x:c r="BA229" s="115"/>
      <x:c r="BB229" s="107"/>
      <x:c r="BC229" s="107"/>
      <x:c r="BD229" s="107"/>
      <x:c r="BE229" s="107"/>
      <x:c r="BF229" s="107"/>
      <x:c r="BG229" s="109" t="str">
        <x:f t="shared" si="88"/>
        <x:v>FAILED</x:v>
      </x:c>
      <x:c r="BH229" s="117"/>
      <x:c r="BI229" s="102"/>
      <x:c r="BJ229" s="102"/>
      <x:c r="BK229" s="102"/>
      <x:c r="BL229" s="102"/>
      <x:c r="BM229" s="102"/>
      <x:c r="BN229" s="102"/>
      <x:c r="BO229" s="102"/>
      <x:c r="BP229" s="102"/>
      <x:c r="BQ229" s="109" t="str">
        <x:f t="shared" si="89"/>
        <x:v>FAILED</x:v>
      </x:c>
      <x:c r="BR229" s="115"/>
      <x:c r="BS229" s="115"/>
      <x:c r="BT229" s="107"/>
      <x:c r="BU229" s="107"/>
      <x:c r="BV229" s="107"/>
      <x:c r="BW229" s="107"/>
      <x:c r="BX229" s="107"/>
      <x:c r="BY229" s="109" t="str">
        <x:f t="shared" si="90"/>
        <x:v>FAILED</x:v>
      </x:c>
      <x:c r="BZ229" s="115"/>
      <x:c r="CA229" s="115"/>
      <x:c r="CB229" s="107"/>
      <x:c r="CC229" s="107"/>
      <x:c r="CD229" s="107"/>
      <x:c r="CE229" s="107"/>
      <x:c r="CF229" s="107"/>
      <x:c r="CG229" s="109" t="str">
        <x:f t="shared" si="91"/>
        <x:v>FAILED</x:v>
      </x:c>
      <x:c r="CH229" s="117"/>
    </x:row>
    <x:row r="230">
      <x:c r="A230" s="102" t="str">
        <x:f>IF(RECORD!A232="","",RECORD!A232)</x:f>
      </x:c>
      <x:c r="B230" s="102" t="str">
        <x:f>IF(RECORD!B232="","",RECORD!B232)</x:f>
      </x:c>
      <x:c r="C230" s="103" t="str">
        <x:f>IF(RECORD!C232="","",RECORD!C232)</x:f>
      </x:c>
      <x:c r="D230" s="104" t="str">
        <x:f t="array" ref="D230">IF(C230&lt;&gt;"",IF(F$7="SUMMER","N/A",_xlfn.IFS(D$10="TLA",RECORD!GO232,F$10="LECTURE","",TRUE(),"")),"")</x:f>
      </x:c>
      <x:c r="E230" s="105" t="str">
        <x:f t="shared" si="69"/>
      </x:c>
      <x:c r="F230" s="104" t="str">
        <x:f t="array" ref="F230">IF(C230&lt;&gt;"",IF(F$7="SUMMER","N/A",_xlfn.IFS(F$10="AT",RECORD!GI232,F$10="LECTURE",GRADES!AP230,TRUE(),"")),"")</x:f>
      </x:c>
      <x:c r="G230" s="106" t="str">
        <x:f t="shared" si="70"/>
      </x:c>
      <x:c r="H230" s="107" t="str">
        <x:f t="array" ref="H230">IF(C230&lt;&gt;"",IF(F$7="SUMMER","N/A",_xlfn.IFS(H$10="EXAM",RECORD!GJ232,H$10="OUTPUT",RECORD!GK232,H$10="LAB",BP230,TRUE(),"")),"")</x:f>
      </x:c>
      <x:c r="I230" s="106" t="str">
        <x:f t="shared" si="71"/>
      </x:c>
      <x:c r="J230" s="108" t="str">
        <x:f t="shared" si="72"/>
      </x:c>
      <x:c r="K230" s="109" t="str">
        <x:f t="shared" si="73"/>
      </x:c>
      <x:c r="L230" s="110" t="str">
        <x:f t="array" ref="L230">IF(C230&lt;&gt;"",_xlfn.IFS(L$10="TLA",RECORD!GY232,N$10="LECTURE","",TRUE(),""),"")</x:f>
      </x:c>
      <x:c r="M230" s="105" t="str">
        <x:f t="shared" si="74"/>
      </x:c>
      <x:c r="N230" s="104" t="str">
        <x:f t="array" ref="N230">IF(C230&lt;&gt;"",_xlfn.IFS(N$10="AT",RECORD!GS232,N$10="LECTURE",AX230,TRUE(),""),"")</x:f>
      </x:c>
      <x:c r="O230" s="106" t="str">
        <x:f t="shared" si="75"/>
      </x:c>
      <x:c r="P230" s="107" t="str">
        <x:f t="array" ref="P230">IF(C230&lt;&gt;"",_xlfn.IFS(P$10="EXAM",RECORD!GT232,P$10="OUTPUT",RECORD!GU232,P$10="LAB",BX230,TRUE(),""),"")</x:f>
      </x:c>
      <x:c r="Q230" s="106" t="str">
        <x:f t="shared" si="76"/>
      </x:c>
      <x:c r="R230" s="108" t="str">
        <x:f t="shared" si="77"/>
      </x:c>
      <x:c r="S230" s="109" t="str">
        <x:f t="shared" si="78"/>
      </x:c>
      <x:c r="T230" s="110" t="str">
        <x:f t="array" ref="T230">IF(C230&lt;&gt;"",_xlfn.IFS(T$10="TLA",RECORD!HI232,V$10="LECTURE","",TRUE(),""),"")</x:f>
      </x:c>
      <x:c r="U230" s="105" t="str">
        <x:f t="shared" si="79"/>
      </x:c>
      <x:c r="V230" s="104" t="str">
        <x:f t="array" ref="V230">IF(C230&lt;&gt;"",_xlfn.IFS(V$10="AT",RECORD!HC232,V$10="LECTURE",BF230,TRUE(),""),"")</x:f>
      </x:c>
      <x:c r="W230" s="106" t="str">
        <x:f t="shared" si="80"/>
      </x:c>
      <x:c r="X230" s="107" t="str">
        <x:f t="array" ref="X230">IF(C230&lt;&gt;"",_xlfn.IFS(X$10="EXAM",RECORD!HD232,X$10="OUTPUT",RECORD!HE232,X$10="LAB",CF230,TRUE(),""),"")</x:f>
      </x:c>
      <x:c r="Y230" s="106" t="str">
        <x:f t="shared" si="81"/>
      </x:c>
      <x:c r="Z230" s="108" t="str">
        <x:f t="shared" si="82"/>
      </x:c>
      <x:c r="AA230" s="109" t="str">
        <x:f t="shared" si="83"/>
      </x:c>
      <x:c r="AB230" s="111" t="str">
        <x:f t="shared" si="84"/>
      </x:c>
      <x:c r="AC230" s="109" t="str">
        <x:f t="shared" si="85"/>
      </x:c>
      <x:c r="AD230" s="112"/>
      <x:c r="AE230" s="102"/>
      <x:c r="AF230" s="113"/>
      <x:c r="AG230" s="112"/>
      <x:c r="AH230" s="103"/>
      <x:c r="AI230" s="114"/>
      <x:c r="AJ230" s="102"/>
      <x:c r="AK230" s="102"/>
      <x:c r="AL230" s="102"/>
      <x:c r="AM230" s="102"/>
      <x:c r="AN230" s="102"/>
      <x:c r="AO230" s="102"/>
      <x:c r="AP230" s="102"/>
      <x:c r="AQ230" s="109" t="str">
        <x:f t="shared" si="86"/>
        <x:v>FAILED</x:v>
      </x:c>
      <x:c r="AR230" s="115"/>
      <x:c r="AS230" s="115"/>
      <x:c r="AT230" s="107"/>
      <x:c r="AU230" s="107"/>
      <x:c r="AV230" s="107"/>
      <x:c r="AW230" s="107"/>
      <x:c r="AX230" s="107"/>
      <x:c r="AY230" s="109" t="str">
        <x:f t="shared" si="87"/>
        <x:v>FAILED</x:v>
      </x:c>
      <x:c r="AZ230" s="115"/>
      <x:c r="BA230" s="115"/>
      <x:c r="BB230" s="107"/>
      <x:c r="BC230" s="107"/>
      <x:c r="BD230" s="107"/>
      <x:c r="BE230" s="107"/>
      <x:c r="BF230" s="107"/>
      <x:c r="BG230" s="109" t="str">
        <x:f t="shared" si="88"/>
        <x:v>FAILED</x:v>
      </x:c>
      <x:c r="BH230" s="117"/>
      <x:c r="BI230" s="102"/>
      <x:c r="BJ230" s="102"/>
      <x:c r="BK230" s="102"/>
      <x:c r="BL230" s="102"/>
      <x:c r="BM230" s="102"/>
      <x:c r="BN230" s="102"/>
      <x:c r="BO230" s="102"/>
      <x:c r="BP230" s="102"/>
      <x:c r="BQ230" s="109" t="str">
        <x:f t="shared" si="89"/>
        <x:v>FAILED</x:v>
      </x:c>
      <x:c r="BR230" s="115"/>
      <x:c r="BS230" s="115"/>
      <x:c r="BT230" s="107"/>
      <x:c r="BU230" s="107"/>
      <x:c r="BV230" s="107"/>
      <x:c r="BW230" s="107"/>
      <x:c r="BX230" s="107"/>
      <x:c r="BY230" s="109" t="str">
        <x:f t="shared" si="90"/>
        <x:v>FAILED</x:v>
      </x:c>
      <x:c r="BZ230" s="115"/>
      <x:c r="CA230" s="115"/>
      <x:c r="CB230" s="107"/>
      <x:c r="CC230" s="107"/>
      <x:c r="CD230" s="107"/>
      <x:c r="CE230" s="107"/>
      <x:c r="CF230" s="107"/>
      <x:c r="CG230" s="109" t="str">
        <x:f t="shared" si="91"/>
        <x:v>FAILED</x:v>
      </x:c>
      <x:c r="CH230" s="117"/>
    </x:row>
    <x:row r="231">
      <x:c r="A231" s="102" t="str">
        <x:f>IF(RECORD!A233="","",RECORD!A233)</x:f>
      </x:c>
      <x:c r="B231" s="102" t="str">
        <x:f>IF(RECORD!B233="","",RECORD!B233)</x:f>
      </x:c>
      <x:c r="C231" s="103" t="str">
        <x:f>IF(RECORD!C233="","",RECORD!C233)</x:f>
      </x:c>
      <x:c r="D231" s="104" t="str">
        <x:f t="array" ref="D231">IF(C231&lt;&gt;"",IF(F$7="SUMMER","N/A",_xlfn.IFS(D$10="TLA",RECORD!GO233,F$10="LECTURE","",TRUE(),"")),"")</x:f>
      </x:c>
      <x:c r="E231" s="105" t="str">
        <x:f t="shared" si="69"/>
      </x:c>
      <x:c r="F231" s="104" t="str">
        <x:f t="array" ref="F231">IF(C231&lt;&gt;"",IF(F$7="SUMMER","N/A",_xlfn.IFS(F$10="AT",RECORD!GI233,F$10="LECTURE",GRADES!AP231,TRUE(),"")),"")</x:f>
      </x:c>
      <x:c r="G231" s="106" t="str">
        <x:f t="shared" si="70"/>
      </x:c>
      <x:c r="H231" s="107" t="str">
        <x:f t="array" ref="H231">IF(C231&lt;&gt;"",IF(F$7="SUMMER","N/A",_xlfn.IFS(H$10="EXAM",RECORD!GJ233,H$10="OUTPUT",RECORD!GK233,H$10="LAB",BP231,TRUE(),"")),"")</x:f>
      </x:c>
      <x:c r="I231" s="106" t="str">
        <x:f t="shared" si="71"/>
      </x:c>
      <x:c r="J231" s="108" t="str">
        <x:f t="shared" si="72"/>
      </x:c>
      <x:c r="K231" s="109" t="str">
        <x:f t="shared" si="73"/>
      </x:c>
      <x:c r="L231" s="110" t="str">
        <x:f t="array" ref="L231">IF(C231&lt;&gt;"",_xlfn.IFS(L$10="TLA",RECORD!GY233,N$10="LECTURE","",TRUE(),""),"")</x:f>
      </x:c>
      <x:c r="M231" s="105" t="str">
        <x:f t="shared" si="74"/>
      </x:c>
      <x:c r="N231" s="104" t="str">
        <x:f t="array" ref="N231">IF(C231&lt;&gt;"",_xlfn.IFS(N$10="AT",RECORD!GS233,N$10="LECTURE",AX231,TRUE(),""),"")</x:f>
      </x:c>
      <x:c r="O231" s="106" t="str">
        <x:f t="shared" si="75"/>
      </x:c>
      <x:c r="P231" s="107" t="str">
        <x:f t="array" ref="P231">IF(C231&lt;&gt;"",_xlfn.IFS(P$10="EXAM",RECORD!GT233,P$10="OUTPUT",RECORD!GU233,P$10="LAB",BX231,TRUE(),""),"")</x:f>
      </x:c>
      <x:c r="Q231" s="106" t="str">
        <x:f t="shared" si="76"/>
      </x:c>
      <x:c r="R231" s="108" t="str">
        <x:f t="shared" si="77"/>
      </x:c>
      <x:c r="S231" s="109" t="str">
        <x:f t="shared" si="78"/>
      </x:c>
      <x:c r="T231" s="110" t="str">
        <x:f t="array" ref="T231">IF(C231&lt;&gt;"",_xlfn.IFS(T$10="TLA",RECORD!HI233,V$10="LECTURE","",TRUE(),""),"")</x:f>
      </x:c>
      <x:c r="U231" s="105" t="str">
        <x:f t="shared" si="79"/>
      </x:c>
      <x:c r="V231" s="104" t="str">
        <x:f t="array" ref="V231">IF(C231&lt;&gt;"",_xlfn.IFS(V$10="AT",RECORD!HC233,V$10="LECTURE",BF231,TRUE(),""),"")</x:f>
      </x:c>
      <x:c r="W231" s="106" t="str">
        <x:f t="shared" si="80"/>
      </x:c>
      <x:c r="X231" s="107" t="str">
        <x:f t="array" ref="X231">IF(C231&lt;&gt;"",_xlfn.IFS(X$10="EXAM",RECORD!HD233,X$10="OUTPUT",RECORD!HE233,X$10="LAB",CF231,TRUE(),""),"")</x:f>
      </x:c>
      <x:c r="Y231" s="106" t="str">
        <x:f t="shared" si="81"/>
      </x:c>
      <x:c r="Z231" s="108" t="str">
        <x:f t="shared" si="82"/>
      </x:c>
      <x:c r="AA231" s="109" t="str">
        <x:f t="shared" si="83"/>
      </x:c>
      <x:c r="AB231" s="111" t="str">
        <x:f t="shared" si="84"/>
      </x:c>
      <x:c r="AC231" s="109" t="str">
        <x:f t="shared" si="85"/>
      </x:c>
      <x:c r="AD231" s="112"/>
      <x:c r="AE231" s="102"/>
      <x:c r="AF231" s="113"/>
      <x:c r="AG231" s="112"/>
      <x:c r="AH231" s="103"/>
      <x:c r="AI231" s="114"/>
      <x:c r="AJ231" s="102"/>
      <x:c r="AK231" s="102"/>
      <x:c r="AL231" s="102"/>
      <x:c r="AM231" s="102"/>
      <x:c r="AN231" s="102"/>
      <x:c r="AO231" s="102"/>
      <x:c r="AP231" s="102"/>
      <x:c r="AQ231" s="109" t="str">
        <x:f t="shared" si="86"/>
        <x:v>FAILED</x:v>
      </x:c>
      <x:c r="AR231" s="115"/>
      <x:c r="AS231" s="115"/>
      <x:c r="AT231" s="107"/>
      <x:c r="AU231" s="107"/>
      <x:c r="AV231" s="107"/>
      <x:c r="AW231" s="107"/>
      <x:c r="AX231" s="107"/>
      <x:c r="AY231" s="109" t="str">
        <x:f t="shared" si="87"/>
        <x:v>FAILED</x:v>
      </x:c>
      <x:c r="AZ231" s="115"/>
      <x:c r="BA231" s="115"/>
      <x:c r="BB231" s="107"/>
      <x:c r="BC231" s="107"/>
      <x:c r="BD231" s="107"/>
      <x:c r="BE231" s="107"/>
      <x:c r="BF231" s="107"/>
      <x:c r="BG231" s="109" t="str">
        <x:f t="shared" si="88"/>
        <x:v>FAILED</x:v>
      </x:c>
      <x:c r="BH231" s="117"/>
      <x:c r="BI231" s="102"/>
      <x:c r="BJ231" s="102"/>
      <x:c r="BK231" s="102"/>
      <x:c r="BL231" s="102"/>
      <x:c r="BM231" s="102"/>
      <x:c r="BN231" s="102"/>
      <x:c r="BO231" s="102"/>
      <x:c r="BP231" s="102"/>
      <x:c r="BQ231" s="109" t="str">
        <x:f t="shared" si="89"/>
        <x:v>FAILED</x:v>
      </x:c>
      <x:c r="BR231" s="115"/>
      <x:c r="BS231" s="115"/>
      <x:c r="BT231" s="107"/>
      <x:c r="BU231" s="107"/>
      <x:c r="BV231" s="107"/>
      <x:c r="BW231" s="107"/>
      <x:c r="BX231" s="107"/>
      <x:c r="BY231" s="109" t="str">
        <x:f t="shared" si="90"/>
        <x:v>FAILED</x:v>
      </x:c>
      <x:c r="BZ231" s="115"/>
      <x:c r="CA231" s="115"/>
      <x:c r="CB231" s="107"/>
      <x:c r="CC231" s="107"/>
      <x:c r="CD231" s="107"/>
      <x:c r="CE231" s="107"/>
      <x:c r="CF231" s="107"/>
      <x:c r="CG231" s="109" t="str">
        <x:f t="shared" si="91"/>
        <x:v>FAILED</x:v>
      </x:c>
      <x:c r="CH231" s="117"/>
    </x:row>
    <x:row r="232">
      <x:c r="A232" s="102" t="str">
        <x:f>IF(RECORD!A234="","",RECORD!A234)</x:f>
      </x:c>
      <x:c r="B232" s="102" t="str">
        <x:f>IF(RECORD!B234="","",RECORD!B234)</x:f>
      </x:c>
      <x:c r="C232" s="103" t="str">
        <x:f>IF(RECORD!C234="","",RECORD!C234)</x:f>
      </x:c>
      <x:c r="D232" s="104" t="str">
        <x:f t="array" ref="D232">IF(C232&lt;&gt;"",IF(F$7="SUMMER","N/A",_xlfn.IFS(D$10="TLA",RECORD!GO234,F$10="LECTURE","",TRUE(),"")),"")</x:f>
      </x:c>
      <x:c r="E232" s="105" t="str">
        <x:f t="shared" si="69"/>
      </x:c>
      <x:c r="F232" s="104" t="str">
        <x:f t="array" ref="F232">IF(C232&lt;&gt;"",IF(F$7="SUMMER","N/A",_xlfn.IFS(F$10="AT",RECORD!GI234,F$10="LECTURE",GRADES!AP232,TRUE(),"")),"")</x:f>
      </x:c>
      <x:c r="G232" s="106" t="str">
        <x:f t="shared" si="70"/>
      </x:c>
      <x:c r="H232" s="107" t="str">
        <x:f t="array" ref="H232">IF(C232&lt;&gt;"",IF(F$7="SUMMER","N/A",_xlfn.IFS(H$10="EXAM",RECORD!GJ234,H$10="OUTPUT",RECORD!GK234,H$10="LAB",BP232,TRUE(),"")),"")</x:f>
      </x:c>
      <x:c r="I232" s="106" t="str">
        <x:f t="shared" si="71"/>
      </x:c>
      <x:c r="J232" s="108" t="str">
        <x:f t="shared" si="72"/>
      </x:c>
      <x:c r="K232" s="109" t="str">
        <x:f t="shared" si="73"/>
      </x:c>
      <x:c r="L232" s="110" t="str">
        <x:f t="array" ref="L232">IF(C232&lt;&gt;"",_xlfn.IFS(L$10="TLA",RECORD!GY234,N$10="LECTURE","",TRUE(),""),"")</x:f>
      </x:c>
      <x:c r="M232" s="105" t="str">
        <x:f t="shared" si="74"/>
      </x:c>
      <x:c r="N232" s="104" t="str">
        <x:f t="array" ref="N232">IF(C232&lt;&gt;"",_xlfn.IFS(N$10="AT",RECORD!GS234,N$10="LECTURE",AX232,TRUE(),""),"")</x:f>
      </x:c>
      <x:c r="O232" s="106" t="str">
        <x:f t="shared" si="75"/>
      </x:c>
      <x:c r="P232" s="107" t="str">
        <x:f t="array" ref="P232">IF(C232&lt;&gt;"",_xlfn.IFS(P$10="EXAM",RECORD!GT234,P$10="OUTPUT",RECORD!GU234,P$10="LAB",BX232,TRUE(),""),"")</x:f>
      </x:c>
      <x:c r="Q232" s="106" t="str">
        <x:f t="shared" si="76"/>
      </x:c>
      <x:c r="R232" s="108" t="str">
        <x:f t="shared" si="77"/>
      </x:c>
      <x:c r="S232" s="109" t="str">
        <x:f t="shared" si="78"/>
      </x:c>
      <x:c r="T232" s="110" t="str">
        <x:f t="array" ref="T232">IF(C232&lt;&gt;"",_xlfn.IFS(T$10="TLA",RECORD!HI234,V$10="LECTURE","",TRUE(),""),"")</x:f>
      </x:c>
      <x:c r="U232" s="105" t="str">
        <x:f t="shared" si="79"/>
      </x:c>
      <x:c r="V232" s="104" t="str">
        <x:f t="array" ref="V232">IF(C232&lt;&gt;"",_xlfn.IFS(V$10="AT",RECORD!HC234,V$10="LECTURE",BF232,TRUE(),""),"")</x:f>
      </x:c>
      <x:c r="W232" s="106" t="str">
        <x:f t="shared" si="80"/>
      </x:c>
      <x:c r="X232" s="107" t="str">
        <x:f t="array" ref="X232">IF(C232&lt;&gt;"",_xlfn.IFS(X$10="EXAM",RECORD!HD234,X$10="OUTPUT",RECORD!HE234,X$10="LAB",CF232,TRUE(),""),"")</x:f>
      </x:c>
      <x:c r="Y232" s="106" t="str">
        <x:f t="shared" si="81"/>
      </x:c>
      <x:c r="Z232" s="108" t="str">
        <x:f t="shared" si="82"/>
      </x:c>
      <x:c r="AA232" s="109" t="str">
        <x:f t="shared" si="83"/>
      </x:c>
      <x:c r="AB232" s="111" t="str">
        <x:f t="shared" si="84"/>
      </x:c>
      <x:c r="AC232" s="109" t="str">
        <x:f t="shared" si="85"/>
      </x:c>
      <x:c r="AD232" s="112"/>
      <x:c r="AE232" s="102"/>
      <x:c r="AF232" s="113"/>
      <x:c r="AG232" s="112"/>
      <x:c r="AH232" s="103"/>
      <x:c r="AI232" s="114"/>
      <x:c r="AJ232" s="102"/>
      <x:c r="AK232" s="102"/>
      <x:c r="AL232" s="102"/>
      <x:c r="AM232" s="102"/>
      <x:c r="AN232" s="102"/>
      <x:c r="AO232" s="102"/>
      <x:c r="AP232" s="102"/>
      <x:c r="AQ232" s="109" t="str">
        <x:f t="shared" si="86"/>
        <x:v>FAILED</x:v>
      </x:c>
      <x:c r="AR232" s="115"/>
      <x:c r="AS232" s="115"/>
      <x:c r="AT232" s="107"/>
      <x:c r="AU232" s="107"/>
      <x:c r="AV232" s="107"/>
      <x:c r="AW232" s="107"/>
      <x:c r="AX232" s="107"/>
      <x:c r="AY232" s="109" t="str">
        <x:f t="shared" si="87"/>
        <x:v>FAILED</x:v>
      </x:c>
      <x:c r="AZ232" s="115"/>
      <x:c r="BA232" s="115"/>
      <x:c r="BB232" s="107"/>
      <x:c r="BC232" s="107"/>
      <x:c r="BD232" s="107"/>
      <x:c r="BE232" s="107"/>
      <x:c r="BF232" s="107"/>
      <x:c r="BG232" s="109" t="str">
        <x:f t="shared" si="88"/>
        <x:v>FAILED</x:v>
      </x:c>
      <x:c r="BH232" s="117"/>
      <x:c r="BI232" s="102"/>
      <x:c r="BJ232" s="102"/>
      <x:c r="BK232" s="102"/>
      <x:c r="BL232" s="102"/>
      <x:c r="BM232" s="102"/>
      <x:c r="BN232" s="102"/>
      <x:c r="BO232" s="102"/>
      <x:c r="BP232" s="102"/>
      <x:c r="BQ232" s="109" t="str">
        <x:f t="shared" si="89"/>
        <x:v>FAILED</x:v>
      </x:c>
      <x:c r="BR232" s="115"/>
      <x:c r="BS232" s="115"/>
      <x:c r="BT232" s="107"/>
      <x:c r="BU232" s="107"/>
      <x:c r="BV232" s="107"/>
      <x:c r="BW232" s="107"/>
      <x:c r="BX232" s="107"/>
      <x:c r="BY232" s="109" t="str">
        <x:f t="shared" si="90"/>
        <x:v>FAILED</x:v>
      </x:c>
      <x:c r="BZ232" s="115"/>
      <x:c r="CA232" s="115"/>
      <x:c r="CB232" s="107"/>
      <x:c r="CC232" s="107"/>
      <x:c r="CD232" s="107"/>
      <x:c r="CE232" s="107"/>
      <x:c r="CF232" s="107"/>
      <x:c r="CG232" s="109" t="str">
        <x:f t="shared" si="91"/>
        <x:v>FAILED</x:v>
      </x:c>
      <x:c r="CH232" s="117"/>
    </x:row>
    <x:row r="233">
      <x:c r="A233" s="102" t="str">
        <x:f>IF(RECORD!A235="","",RECORD!A235)</x:f>
      </x:c>
      <x:c r="B233" s="102" t="str">
        <x:f>IF(RECORD!B235="","",RECORD!B235)</x:f>
      </x:c>
      <x:c r="C233" s="103" t="str">
        <x:f>IF(RECORD!C235="","",RECORD!C235)</x:f>
      </x:c>
      <x:c r="D233" s="104" t="str">
        <x:f t="array" ref="D233">IF(C233&lt;&gt;"",IF(F$7="SUMMER","N/A",_xlfn.IFS(D$10="TLA",RECORD!GO235,F$10="LECTURE","",TRUE(),"")),"")</x:f>
      </x:c>
      <x:c r="E233" s="105" t="str">
        <x:f t="shared" si="69"/>
      </x:c>
      <x:c r="F233" s="104" t="str">
        <x:f t="array" ref="F233">IF(C233&lt;&gt;"",IF(F$7="SUMMER","N/A",_xlfn.IFS(F$10="AT",RECORD!GI235,F$10="LECTURE",GRADES!AP233,TRUE(),"")),"")</x:f>
      </x:c>
      <x:c r="G233" s="106" t="str">
        <x:f t="shared" si="70"/>
      </x:c>
      <x:c r="H233" s="107" t="str">
        <x:f t="array" ref="H233">IF(C233&lt;&gt;"",IF(F$7="SUMMER","N/A",_xlfn.IFS(H$10="EXAM",RECORD!GJ235,H$10="OUTPUT",RECORD!GK235,H$10="LAB",BP233,TRUE(),"")),"")</x:f>
      </x:c>
      <x:c r="I233" s="106" t="str">
        <x:f t="shared" si="71"/>
      </x:c>
      <x:c r="J233" s="108" t="str">
        <x:f t="shared" si="72"/>
      </x:c>
      <x:c r="K233" s="109" t="str">
        <x:f t="shared" si="73"/>
      </x:c>
      <x:c r="L233" s="110" t="str">
        <x:f t="array" ref="L233">IF(C233&lt;&gt;"",_xlfn.IFS(L$10="TLA",RECORD!GY235,N$10="LECTURE","",TRUE(),""),"")</x:f>
      </x:c>
      <x:c r="M233" s="105" t="str">
        <x:f t="shared" si="74"/>
      </x:c>
      <x:c r="N233" s="104" t="str">
        <x:f t="array" ref="N233">IF(C233&lt;&gt;"",_xlfn.IFS(N$10="AT",RECORD!GS235,N$10="LECTURE",AX233,TRUE(),""),"")</x:f>
      </x:c>
      <x:c r="O233" s="106" t="str">
        <x:f t="shared" si="75"/>
      </x:c>
      <x:c r="P233" s="107" t="str">
        <x:f t="array" ref="P233">IF(C233&lt;&gt;"",_xlfn.IFS(P$10="EXAM",RECORD!GT235,P$10="OUTPUT",RECORD!GU235,P$10="LAB",BX233,TRUE(),""),"")</x:f>
      </x:c>
      <x:c r="Q233" s="106" t="str">
        <x:f t="shared" si="76"/>
      </x:c>
      <x:c r="R233" s="108" t="str">
        <x:f t="shared" si="77"/>
      </x:c>
      <x:c r="S233" s="109" t="str">
        <x:f t="shared" si="78"/>
      </x:c>
      <x:c r="T233" s="110" t="str">
        <x:f t="array" ref="T233">IF(C233&lt;&gt;"",_xlfn.IFS(T$10="TLA",RECORD!HI235,V$10="LECTURE","",TRUE(),""),"")</x:f>
      </x:c>
      <x:c r="U233" s="105" t="str">
        <x:f t="shared" si="79"/>
      </x:c>
      <x:c r="V233" s="104" t="str">
        <x:f t="array" ref="V233">IF(C233&lt;&gt;"",_xlfn.IFS(V$10="AT",RECORD!HC235,V$10="LECTURE",BF233,TRUE(),""),"")</x:f>
      </x:c>
      <x:c r="W233" s="106" t="str">
        <x:f t="shared" si="80"/>
      </x:c>
      <x:c r="X233" s="107" t="str">
        <x:f t="array" ref="X233">IF(C233&lt;&gt;"",_xlfn.IFS(X$10="EXAM",RECORD!HD235,X$10="OUTPUT",RECORD!HE235,X$10="LAB",CF233,TRUE(),""),"")</x:f>
      </x:c>
      <x:c r="Y233" s="106" t="str">
        <x:f t="shared" si="81"/>
      </x:c>
      <x:c r="Z233" s="108" t="str">
        <x:f t="shared" si="82"/>
      </x:c>
      <x:c r="AA233" s="109" t="str">
        <x:f t="shared" si="83"/>
      </x:c>
      <x:c r="AB233" s="111" t="str">
        <x:f t="shared" si="84"/>
      </x:c>
      <x:c r="AC233" s="109" t="str">
        <x:f t="shared" si="85"/>
      </x:c>
      <x:c r="AD233" s="112"/>
      <x:c r="AE233" s="102"/>
      <x:c r="AF233" s="113"/>
      <x:c r="AG233" s="112"/>
      <x:c r="AH233" s="103"/>
      <x:c r="AI233" s="114"/>
      <x:c r="AJ233" s="102"/>
      <x:c r="AK233" s="102"/>
      <x:c r="AL233" s="102"/>
      <x:c r="AM233" s="102"/>
      <x:c r="AN233" s="102"/>
      <x:c r="AO233" s="102"/>
      <x:c r="AP233" s="102"/>
      <x:c r="AQ233" s="109" t="str">
        <x:f t="shared" si="86"/>
        <x:v>FAILED</x:v>
      </x:c>
      <x:c r="AR233" s="115"/>
      <x:c r="AS233" s="115"/>
      <x:c r="AT233" s="107"/>
      <x:c r="AU233" s="107"/>
      <x:c r="AV233" s="107"/>
      <x:c r="AW233" s="107"/>
      <x:c r="AX233" s="107"/>
      <x:c r="AY233" s="109" t="str">
        <x:f t="shared" si="87"/>
        <x:v>FAILED</x:v>
      </x:c>
      <x:c r="AZ233" s="115"/>
      <x:c r="BA233" s="115"/>
      <x:c r="BB233" s="107"/>
      <x:c r="BC233" s="107"/>
      <x:c r="BD233" s="107"/>
      <x:c r="BE233" s="107"/>
      <x:c r="BF233" s="107"/>
      <x:c r="BG233" s="109" t="str">
        <x:f t="shared" si="88"/>
        <x:v>FAILED</x:v>
      </x:c>
      <x:c r="BH233" s="117"/>
      <x:c r="BI233" s="102"/>
      <x:c r="BJ233" s="102"/>
      <x:c r="BK233" s="102"/>
      <x:c r="BL233" s="102"/>
      <x:c r="BM233" s="102"/>
      <x:c r="BN233" s="102"/>
      <x:c r="BO233" s="102"/>
      <x:c r="BP233" s="102"/>
      <x:c r="BQ233" s="109" t="str">
        <x:f t="shared" si="89"/>
        <x:v>FAILED</x:v>
      </x:c>
      <x:c r="BR233" s="115"/>
      <x:c r="BS233" s="115"/>
      <x:c r="BT233" s="107"/>
      <x:c r="BU233" s="107"/>
      <x:c r="BV233" s="107"/>
      <x:c r="BW233" s="107"/>
      <x:c r="BX233" s="107"/>
      <x:c r="BY233" s="109" t="str">
        <x:f t="shared" si="90"/>
        <x:v>FAILED</x:v>
      </x:c>
      <x:c r="BZ233" s="115"/>
      <x:c r="CA233" s="115"/>
      <x:c r="CB233" s="107"/>
      <x:c r="CC233" s="107"/>
      <x:c r="CD233" s="107"/>
      <x:c r="CE233" s="107"/>
      <x:c r="CF233" s="107"/>
      <x:c r="CG233" s="109" t="str">
        <x:f t="shared" si="91"/>
        <x:v>FAILED</x:v>
      </x:c>
      <x:c r="CH233" s="117"/>
    </x:row>
    <x:row r="234">
      <x:c r="A234" s="102" t="str">
        <x:f>IF(RECORD!A236="","",RECORD!A236)</x:f>
      </x:c>
      <x:c r="B234" s="102" t="str">
        <x:f>IF(RECORD!B236="","",RECORD!B236)</x:f>
      </x:c>
      <x:c r="C234" s="103" t="str">
        <x:f>IF(RECORD!C236="","",RECORD!C236)</x:f>
      </x:c>
      <x:c r="D234" s="104" t="str">
        <x:f t="array" ref="D234">IF(C234&lt;&gt;"",IF(F$7="SUMMER","N/A",_xlfn.IFS(D$10="TLA",RECORD!GO236,F$10="LECTURE","",TRUE(),"")),"")</x:f>
      </x:c>
      <x:c r="E234" s="105" t="str">
        <x:f t="shared" si="69"/>
      </x:c>
      <x:c r="F234" s="104" t="str">
        <x:f t="array" ref="F234">IF(C234&lt;&gt;"",IF(F$7="SUMMER","N/A",_xlfn.IFS(F$10="AT",RECORD!GI236,F$10="LECTURE",GRADES!AP234,TRUE(),"")),"")</x:f>
      </x:c>
      <x:c r="G234" s="106" t="str">
        <x:f t="shared" si="70"/>
      </x:c>
      <x:c r="H234" s="107" t="str">
        <x:f t="array" ref="H234">IF(C234&lt;&gt;"",IF(F$7="SUMMER","N/A",_xlfn.IFS(H$10="EXAM",RECORD!GJ236,H$10="OUTPUT",RECORD!GK236,H$10="LAB",BP234,TRUE(),"")),"")</x:f>
      </x:c>
      <x:c r="I234" s="106" t="str">
        <x:f t="shared" si="71"/>
      </x:c>
      <x:c r="J234" s="108" t="str">
        <x:f t="shared" si="72"/>
      </x:c>
      <x:c r="K234" s="109" t="str">
        <x:f t="shared" si="73"/>
      </x:c>
      <x:c r="L234" s="110" t="str">
        <x:f t="array" ref="L234">IF(C234&lt;&gt;"",_xlfn.IFS(L$10="TLA",RECORD!GY236,N$10="LECTURE","",TRUE(),""),"")</x:f>
      </x:c>
      <x:c r="M234" s="105" t="str">
        <x:f t="shared" si="74"/>
      </x:c>
      <x:c r="N234" s="104" t="str">
        <x:f t="array" ref="N234">IF(C234&lt;&gt;"",_xlfn.IFS(N$10="AT",RECORD!GS236,N$10="LECTURE",AX234,TRUE(),""),"")</x:f>
      </x:c>
      <x:c r="O234" s="106" t="str">
        <x:f t="shared" si="75"/>
      </x:c>
      <x:c r="P234" s="107" t="str">
        <x:f t="array" ref="P234">IF(C234&lt;&gt;"",_xlfn.IFS(P$10="EXAM",RECORD!GT236,P$10="OUTPUT",RECORD!GU236,P$10="LAB",BX234,TRUE(),""),"")</x:f>
      </x:c>
      <x:c r="Q234" s="106" t="str">
        <x:f t="shared" si="76"/>
      </x:c>
      <x:c r="R234" s="108" t="str">
        <x:f t="shared" si="77"/>
      </x:c>
      <x:c r="S234" s="109" t="str">
        <x:f t="shared" si="78"/>
      </x:c>
      <x:c r="T234" s="110" t="str">
        <x:f t="array" ref="T234">IF(C234&lt;&gt;"",_xlfn.IFS(T$10="TLA",RECORD!HI236,V$10="LECTURE","",TRUE(),""),"")</x:f>
      </x:c>
      <x:c r="U234" s="105" t="str">
        <x:f t="shared" si="79"/>
      </x:c>
      <x:c r="V234" s="104" t="str">
        <x:f t="array" ref="V234">IF(C234&lt;&gt;"",_xlfn.IFS(V$10="AT",RECORD!HC236,V$10="LECTURE",BF234,TRUE(),""),"")</x:f>
      </x:c>
      <x:c r="W234" s="106" t="str">
        <x:f t="shared" si="80"/>
      </x:c>
      <x:c r="X234" s="107" t="str">
        <x:f t="array" ref="X234">IF(C234&lt;&gt;"",_xlfn.IFS(X$10="EXAM",RECORD!HD236,X$10="OUTPUT",RECORD!HE236,X$10="LAB",CF234,TRUE(),""),"")</x:f>
      </x:c>
      <x:c r="Y234" s="106" t="str">
        <x:f t="shared" si="81"/>
      </x:c>
      <x:c r="Z234" s="108" t="str">
        <x:f t="shared" si="82"/>
      </x:c>
      <x:c r="AA234" s="109" t="str">
        <x:f t="shared" si="83"/>
      </x:c>
      <x:c r="AB234" s="111" t="str">
        <x:f t="shared" si="84"/>
      </x:c>
      <x:c r="AC234" s="109" t="str">
        <x:f t="shared" si="85"/>
      </x:c>
      <x:c r="AD234" s="112"/>
      <x:c r="AE234" s="102"/>
      <x:c r="AF234" s="113"/>
      <x:c r="AG234" s="112"/>
      <x:c r="AH234" s="103"/>
      <x:c r="AI234" s="114"/>
      <x:c r="AJ234" s="102"/>
      <x:c r="AK234" s="102"/>
      <x:c r="AL234" s="102"/>
      <x:c r="AM234" s="102"/>
      <x:c r="AN234" s="102"/>
      <x:c r="AO234" s="102"/>
      <x:c r="AP234" s="102"/>
      <x:c r="AQ234" s="109" t="str">
        <x:f t="shared" si="86"/>
        <x:v>FAILED</x:v>
      </x:c>
      <x:c r="AR234" s="115"/>
      <x:c r="AS234" s="115"/>
      <x:c r="AT234" s="107"/>
      <x:c r="AU234" s="107"/>
      <x:c r="AV234" s="107"/>
      <x:c r="AW234" s="107"/>
      <x:c r="AX234" s="107"/>
      <x:c r="AY234" s="109" t="str">
        <x:f t="shared" si="87"/>
        <x:v>FAILED</x:v>
      </x:c>
      <x:c r="AZ234" s="115"/>
      <x:c r="BA234" s="115"/>
      <x:c r="BB234" s="107"/>
      <x:c r="BC234" s="107"/>
      <x:c r="BD234" s="107"/>
      <x:c r="BE234" s="107"/>
      <x:c r="BF234" s="107"/>
      <x:c r="BG234" s="109" t="str">
        <x:f t="shared" si="88"/>
        <x:v>FAILED</x:v>
      </x:c>
      <x:c r="BH234" s="117"/>
      <x:c r="BI234" s="102"/>
      <x:c r="BJ234" s="102"/>
      <x:c r="BK234" s="102"/>
      <x:c r="BL234" s="102"/>
      <x:c r="BM234" s="102"/>
      <x:c r="BN234" s="102"/>
      <x:c r="BO234" s="102"/>
      <x:c r="BP234" s="102"/>
      <x:c r="BQ234" s="109" t="str">
        <x:f t="shared" si="89"/>
        <x:v>FAILED</x:v>
      </x:c>
      <x:c r="BR234" s="115"/>
      <x:c r="BS234" s="115"/>
      <x:c r="BT234" s="107"/>
      <x:c r="BU234" s="107"/>
      <x:c r="BV234" s="107"/>
      <x:c r="BW234" s="107"/>
      <x:c r="BX234" s="107"/>
      <x:c r="BY234" s="109" t="str">
        <x:f t="shared" si="90"/>
        <x:v>FAILED</x:v>
      </x:c>
      <x:c r="BZ234" s="115"/>
      <x:c r="CA234" s="115"/>
      <x:c r="CB234" s="107"/>
      <x:c r="CC234" s="107"/>
      <x:c r="CD234" s="107"/>
      <x:c r="CE234" s="107"/>
      <x:c r="CF234" s="107"/>
      <x:c r="CG234" s="109" t="str">
        <x:f t="shared" si="91"/>
        <x:v>FAILED</x:v>
      </x:c>
      <x:c r="CH234" s="117"/>
    </x:row>
    <x:row r="235">
      <x:c r="A235" s="102" t="str">
        <x:f>IF(RECORD!A237="","",RECORD!A237)</x:f>
      </x:c>
      <x:c r="B235" s="102" t="str">
        <x:f>IF(RECORD!B237="","",RECORD!B237)</x:f>
      </x:c>
      <x:c r="C235" s="103" t="str">
        <x:f>IF(RECORD!C237="","",RECORD!C237)</x:f>
      </x:c>
      <x:c r="D235" s="104" t="str">
        <x:f t="array" ref="D235">IF(C235&lt;&gt;"",IF(F$7="SUMMER","N/A",_xlfn.IFS(D$10="TLA",RECORD!GO237,F$10="LECTURE","",TRUE(),"")),"")</x:f>
      </x:c>
      <x:c r="E235" s="105" t="str">
        <x:f t="shared" si="69"/>
      </x:c>
      <x:c r="F235" s="104" t="str">
        <x:f t="array" ref="F235">IF(C235&lt;&gt;"",IF(F$7="SUMMER","N/A",_xlfn.IFS(F$10="AT",RECORD!GI237,F$10="LECTURE",GRADES!AP235,TRUE(),"")),"")</x:f>
      </x:c>
      <x:c r="G235" s="106" t="str">
        <x:f t="shared" si="70"/>
      </x:c>
      <x:c r="H235" s="107" t="str">
        <x:f t="array" ref="H235">IF(C235&lt;&gt;"",IF(F$7="SUMMER","N/A",_xlfn.IFS(H$10="EXAM",RECORD!GJ237,H$10="OUTPUT",RECORD!GK237,H$10="LAB",BP235,TRUE(),"")),"")</x:f>
      </x:c>
      <x:c r="I235" s="106" t="str">
        <x:f t="shared" si="71"/>
      </x:c>
      <x:c r="J235" s="108" t="str">
        <x:f t="shared" si="72"/>
      </x:c>
      <x:c r="K235" s="109" t="str">
        <x:f t="shared" si="73"/>
      </x:c>
      <x:c r="L235" s="110" t="str">
        <x:f t="array" ref="L235">IF(C235&lt;&gt;"",_xlfn.IFS(L$10="TLA",RECORD!GY237,N$10="LECTURE","",TRUE(),""),"")</x:f>
      </x:c>
      <x:c r="M235" s="105" t="str">
        <x:f t="shared" si="74"/>
      </x:c>
      <x:c r="N235" s="104" t="str">
        <x:f t="array" ref="N235">IF(C235&lt;&gt;"",_xlfn.IFS(N$10="AT",RECORD!GS237,N$10="LECTURE",AX235,TRUE(),""),"")</x:f>
      </x:c>
      <x:c r="O235" s="106" t="str">
        <x:f t="shared" si="75"/>
      </x:c>
      <x:c r="P235" s="107" t="str">
        <x:f t="array" ref="P235">IF(C235&lt;&gt;"",_xlfn.IFS(P$10="EXAM",RECORD!GT237,P$10="OUTPUT",RECORD!GU237,P$10="LAB",BX235,TRUE(),""),"")</x:f>
      </x:c>
      <x:c r="Q235" s="106" t="str">
        <x:f t="shared" si="76"/>
      </x:c>
      <x:c r="R235" s="108" t="str">
        <x:f t="shared" si="77"/>
      </x:c>
      <x:c r="S235" s="109" t="str">
        <x:f t="shared" si="78"/>
      </x:c>
      <x:c r="T235" s="110" t="str">
        <x:f t="array" ref="T235">IF(C235&lt;&gt;"",_xlfn.IFS(T$10="TLA",RECORD!HI237,V$10="LECTURE","",TRUE(),""),"")</x:f>
      </x:c>
      <x:c r="U235" s="105" t="str">
        <x:f t="shared" si="79"/>
      </x:c>
      <x:c r="V235" s="104" t="str">
        <x:f t="array" ref="V235">IF(C235&lt;&gt;"",_xlfn.IFS(V$10="AT",RECORD!HC237,V$10="LECTURE",BF235,TRUE(),""),"")</x:f>
      </x:c>
      <x:c r="W235" s="106" t="str">
        <x:f t="shared" si="80"/>
      </x:c>
      <x:c r="X235" s="107" t="str">
        <x:f t="array" ref="X235">IF(C235&lt;&gt;"",_xlfn.IFS(X$10="EXAM",RECORD!HD237,X$10="OUTPUT",RECORD!HE237,X$10="LAB",CF235,TRUE(),""),"")</x:f>
      </x:c>
      <x:c r="Y235" s="106" t="str">
        <x:f t="shared" si="81"/>
      </x:c>
      <x:c r="Z235" s="108" t="str">
        <x:f t="shared" si="82"/>
      </x:c>
      <x:c r="AA235" s="109" t="str">
        <x:f t="shared" si="83"/>
      </x:c>
      <x:c r="AB235" s="111" t="str">
        <x:f t="shared" si="84"/>
      </x:c>
      <x:c r="AC235" s="109" t="str">
        <x:f t="shared" si="85"/>
      </x:c>
      <x:c r="AD235" s="112"/>
      <x:c r="AE235" s="102"/>
      <x:c r="AF235" s="113"/>
      <x:c r="AG235" s="112"/>
      <x:c r="AH235" s="103"/>
      <x:c r="AI235" s="114"/>
      <x:c r="AJ235" s="102"/>
      <x:c r="AK235" s="102"/>
      <x:c r="AL235" s="102"/>
      <x:c r="AM235" s="102"/>
      <x:c r="AN235" s="102"/>
      <x:c r="AO235" s="102"/>
      <x:c r="AP235" s="102"/>
      <x:c r="AQ235" s="109" t="str">
        <x:f t="shared" si="86"/>
        <x:v>FAILED</x:v>
      </x:c>
      <x:c r="AR235" s="115"/>
      <x:c r="AS235" s="115"/>
      <x:c r="AT235" s="107"/>
      <x:c r="AU235" s="107"/>
      <x:c r="AV235" s="107"/>
      <x:c r="AW235" s="107"/>
      <x:c r="AX235" s="107"/>
      <x:c r="AY235" s="109" t="str">
        <x:f t="shared" si="87"/>
        <x:v>FAILED</x:v>
      </x:c>
      <x:c r="AZ235" s="115"/>
      <x:c r="BA235" s="115"/>
      <x:c r="BB235" s="107"/>
      <x:c r="BC235" s="107"/>
      <x:c r="BD235" s="107"/>
      <x:c r="BE235" s="107"/>
      <x:c r="BF235" s="107"/>
      <x:c r="BG235" s="109" t="str">
        <x:f t="shared" si="88"/>
        <x:v>FAILED</x:v>
      </x:c>
      <x:c r="BH235" s="117"/>
      <x:c r="BI235" s="102"/>
      <x:c r="BJ235" s="102"/>
      <x:c r="BK235" s="102"/>
      <x:c r="BL235" s="102"/>
      <x:c r="BM235" s="102"/>
      <x:c r="BN235" s="102"/>
      <x:c r="BO235" s="102"/>
      <x:c r="BP235" s="102"/>
      <x:c r="BQ235" s="109" t="str">
        <x:f t="shared" si="89"/>
        <x:v>FAILED</x:v>
      </x:c>
      <x:c r="BR235" s="115"/>
      <x:c r="BS235" s="115"/>
      <x:c r="BT235" s="107"/>
      <x:c r="BU235" s="107"/>
      <x:c r="BV235" s="107"/>
      <x:c r="BW235" s="107"/>
      <x:c r="BX235" s="107"/>
      <x:c r="BY235" s="109" t="str">
        <x:f t="shared" si="90"/>
        <x:v>FAILED</x:v>
      </x:c>
      <x:c r="BZ235" s="115"/>
      <x:c r="CA235" s="115"/>
      <x:c r="CB235" s="107"/>
      <x:c r="CC235" s="107"/>
      <x:c r="CD235" s="107"/>
      <x:c r="CE235" s="107"/>
      <x:c r="CF235" s="107"/>
      <x:c r="CG235" s="109" t="str">
        <x:f t="shared" si="91"/>
        <x:v>FAILED</x:v>
      </x:c>
      <x:c r="CH235" s="117"/>
    </x:row>
    <x:row r="236">
      <x:c r="A236" s="102" t="str">
        <x:f>IF(RECORD!A238="","",RECORD!A238)</x:f>
      </x:c>
      <x:c r="B236" s="102" t="str">
        <x:f>IF(RECORD!B238="","",RECORD!B238)</x:f>
      </x:c>
      <x:c r="C236" s="103" t="str">
        <x:f>IF(RECORD!C238="","",RECORD!C238)</x:f>
      </x:c>
      <x:c r="D236" s="104" t="str">
        <x:f t="array" ref="D236">IF(C236&lt;&gt;"",IF(F$7="SUMMER","N/A",_xlfn.IFS(D$10="TLA",RECORD!GO238,F$10="LECTURE","",TRUE(),"")),"")</x:f>
      </x:c>
      <x:c r="E236" s="105" t="str">
        <x:f t="shared" si="69"/>
      </x:c>
      <x:c r="F236" s="104" t="str">
        <x:f t="array" ref="F236">IF(C236&lt;&gt;"",IF(F$7="SUMMER","N/A",_xlfn.IFS(F$10="AT",RECORD!GI238,F$10="LECTURE",GRADES!AP236,TRUE(),"")),"")</x:f>
      </x:c>
      <x:c r="G236" s="106" t="str">
        <x:f t="shared" si="70"/>
      </x:c>
      <x:c r="H236" s="107" t="str">
        <x:f t="array" ref="H236">IF(C236&lt;&gt;"",IF(F$7="SUMMER","N/A",_xlfn.IFS(H$10="EXAM",RECORD!GJ238,H$10="OUTPUT",RECORD!GK238,H$10="LAB",BP236,TRUE(),"")),"")</x:f>
      </x:c>
      <x:c r="I236" s="106" t="str">
        <x:f t="shared" si="71"/>
      </x:c>
      <x:c r="J236" s="108" t="str">
        <x:f t="shared" si="72"/>
      </x:c>
      <x:c r="K236" s="109" t="str">
        <x:f t="shared" si="73"/>
      </x:c>
      <x:c r="L236" s="110" t="str">
        <x:f t="array" ref="L236">IF(C236&lt;&gt;"",_xlfn.IFS(L$10="TLA",RECORD!GY238,N$10="LECTURE","",TRUE(),""),"")</x:f>
      </x:c>
      <x:c r="M236" s="105" t="str">
        <x:f t="shared" si="74"/>
      </x:c>
      <x:c r="N236" s="104" t="str">
        <x:f t="array" ref="N236">IF(C236&lt;&gt;"",_xlfn.IFS(N$10="AT",RECORD!GS238,N$10="LECTURE",AX236,TRUE(),""),"")</x:f>
      </x:c>
      <x:c r="O236" s="106" t="str">
        <x:f t="shared" si="75"/>
      </x:c>
      <x:c r="P236" s="107" t="str">
        <x:f t="array" ref="P236">IF(C236&lt;&gt;"",_xlfn.IFS(P$10="EXAM",RECORD!GT238,P$10="OUTPUT",RECORD!GU238,P$10="LAB",BX236,TRUE(),""),"")</x:f>
      </x:c>
      <x:c r="Q236" s="106" t="str">
        <x:f t="shared" si="76"/>
      </x:c>
      <x:c r="R236" s="108" t="str">
        <x:f t="shared" si="77"/>
      </x:c>
      <x:c r="S236" s="109" t="str">
        <x:f t="shared" si="78"/>
      </x:c>
      <x:c r="T236" s="110" t="str">
        <x:f t="array" ref="T236">IF(C236&lt;&gt;"",_xlfn.IFS(T$10="TLA",RECORD!HI238,V$10="LECTURE","",TRUE(),""),"")</x:f>
      </x:c>
      <x:c r="U236" s="105" t="str">
        <x:f t="shared" si="79"/>
      </x:c>
      <x:c r="V236" s="104" t="str">
        <x:f t="array" ref="V236">IF(C236&lt;&gt;"",_xlfn.IFS(V$10="AT",RECORD!HC238,V$10="LECTURE",BF236,TRUE(),""),"")</x:f>
      </x:c>
      <x:c r="W236" s="106" t="str">
        <x:f t="shared" si="80"/>
      </x:c>
      <x:c r="X236" s="107" t="str">
        <x:f t="array" ref="X236">IF(C236&lt;&gt;"",_xlfn.IFS(X$10="EXAM",RECORD!HD238,X$10="OUTPUT",RECORD!HE238,X$10="LAB",CF236,TRUE(),""),"")</x:f>
      </x:c>
      <x:c r="Y236" s="106" t="str">
        <x:f t="shared" si="81"/>
      </x:c>
      <x:c r="Z236" s="108" t="str">
        <x:f t="shared" si="82"/>
      </x:c>
      <x:c r="AA236" s="109" t="str">
        <x:f t="shared" si="83"/>
      </x:c>
      <x:c r="AB236" s="111" t="str">
        <x:f t="shared" si="84"/>
      </x:c>
      <x:c r="AC236" s="109" t="str">
        <x:f t="shared" si="85"/>
      </x:c>
      <x:c r="AD236" s="112"/>
      <x:c r="AE236" s="102"/>
      <x:c r="AF236" s="113"/>
      <x:c r="AG236" s="112"/>
      <x:c r="AH236" s="103"/>
      <x:c r="AI236" s="114"/>
      <x:c r="AJ236" s="102"/>
      <x:c r="AK236" s="102"/>
      <x:c r="AL236" s="102"/>
      <x:c r="AM236" s="102"/>
      <x:c r="AN236" s="102"/>
      <x:c r="AO236" s="102"/>
      <x:c r="AP236" s="102"/>
      <x:c r="AQ236" s="109" t="str">
        <x:f t="shared" si="86"/>
        <x:v>FAILED</x:v>
      </x:c>
      <x:c r="AR236" s="115"/>
      <x:c r="AS236" s="115"/>
      <x:c r="AT236" s="107"/>
      <x:c r="AU236" s="107"/>
      <x:c r="AV236" s="107"/>
      <x:c r="AW236" s="107"/>
      <x:c r="AX236" s="107"/>
      <x:c r="AY236" s="109" t="str">
        <x:f t="shared" si="87"/>
        <x:v>FAILED</x:v>
      </x:c>
      <x:c r="AZ236" s="115"/>
      <x:c r="BA236" s="115"/>
      <x:c r="BB236" s="107"/>
      <x:c r="BC236" s="107"/>
      <x:c r="BD236" s="107"/>
      <x:c r="BE236" s="107"/>
      <x:c r="BF236" s="107"/>
      <x:c r="BG236" s="109" t="str">
        <x:f t="shared" si="88"/>
        <x:v>FAILED</x:v>
      </x:c>
      <x:c r="BH236" s="117"/>
      <x:c r="BI236" s="102"/>
      <x:c r="BJ236" s="102"/>
      <x:c r="BK236" s="102"/>
      <x:c r="BL236" s="102"/>
      <x:c r="BM236" s="102"/>
      <x:c r="BN236" s="102"/>
      <x:c r="BO236" s="102"/>
      <x:c r="BP236" s="102"/>
      <x:c r="BQ236" s="109" t="str">
        <x:f t="shared" si="89"/>
        <x:v>FAILED</x:v>
      </x:c>
      <x:c r="BR236" s="115"/>
      <x:c r="BS236" s="115"/>
      <x:c r="BT236" s="107"/>
      <x:c r="BU236" s="107"/>
      <x:c r="BV236" s="107"/>
      <x:c r="BW236" s="107"/>
      <x:c r="BX236" s="107"/>
      <x:c r="BY236" s="109" t="str">
        <x:f t="shared" si="90"/>
        <x:v>FAILED</x:v>
      </x:c>
      <x:c r="BZ236" s="115"/>
      <x:c r="CA236" s="115"/>
      <x:c r="CB236" s="107"/>
      <x:c r="CC236" s="107"/>
      <x:c r="CD236" s="107"/>
      <x:c r="CE236" s="107"/>
      <x:c r="CF236" s="107"/>
      <x:c r="CG236" s="109" t="str">
        <x:f t="shared" si="91"/>
        <x:v>FAILED</x:v>
      </x:c>
      <x:c r="CH236" s="117"/>
    </x:row>
    <x:row r="237">
      <x:c r="A237" s="102" t="str">
        <x:f>IF(RECORD!A239="","",RECORD!A239)</x:f>
      </x:c>
      <x:c r="B237" s="102" t="str">
        <x:f>IF(RECORD!B239="","",RECORD!B239)</x:f>
      </x:c>
      <x:c r="C237" s="103" t="str">
        <x:f>IF(RECORD!C239="","",RECORD!C239)</x:f>
      </x:c>
      <x:c r="D237" s="104" t="str">
        <x:f t="array" ref="D237">IF(C237&lt;&gt;"",IF(F$7="SUMMER","N/A",_xlfn.IFS(D$10="TLA",RECORD!GO239,F$10="LECTURE","",TRUE(),"")),"")</x:f>
      </x:c>
      <x:c r="E237" s="105" t="str">
        <x:f t="shared" si="69"/>
      </x:c>
      <x:c r="F237" s="104" t="str">
        <x:f t="array" ref="F237">IF(C237&lt;&gt;"",IF(F$7="SUMMER","N/A",_xlfn.IFS(F$10="AT",RECORD!GI239,F$10="LECTURE",GRADES!AP237,TRUE(),"")),"")</x:f>
      </x:c>
      <x:c r="G237" s="106" t="str">
        <x:f t="shared" si="70"/>
      </x:c>
      <x:c r="H237" s="107" t="str">
        <x:f t="array" ref="H237">IF(C237&lt;&gt;"",IF(F$7="SUMMER","N/A",_xlfn.IFS(H$10="EXAM",RECORD!GJ239,H$10="OUTPUT",RECORD!GK239,H$10="LAB",BP237,TRUE(),"")),"")</x:f>
      </x:c>
      <x:c r="I237" s="106" t="str">
        <x:f t="shared" si="71"/>
      </x:c>
      <x:c r="J237" s="108" t="str">
        <x:f t="shared" si="72"/>
      </x:c>
      <x:c r="K237" s="109" t="str">
        <x:f t="shared" si="73"/>
      </x:c>
      <x:c r="L237" s="110" t="str">
        <x:f t="array" ref="L237">IF(C237&lt;&gt;"",_xlfn.IFS(L$10="TLA",RECORD!GY239,N$10="LECTURE","",TRUE(),""),"")</x:f>
      </x:c>
      <x:c r="M237" s="105" t="str">
        <x:f t="shared" si="74"/>
      </x:c>
      <x:c r="N237" s="104" t="str">
        <x:f t="array" ref="N237">IF(C237&lt;&gt;"",_xlfn.IFS(N$10="AT",RECORD!GS239,N$10="LECTURE",AX237,TRUE(),""),"")</x:f>
      </x:c>
      <x:c r="O237" s="106" t="str">
        <x:f t="shared" si="75"/>
      </x:c>
      <x:c r="P237" s="107" t="str">
        <x:f t="array" ref="P237">IF(C237&lt;&gt;"",_xlfn.IFS(P$10="EXAM",RECORD!GT239,P$10="OUTPUT",RECORD!GU239,P$10="LAB",BX237,TRUE(),""),"")</x:f>
      </x:c>
      <x:c r="Q237" s="106" t="str">
        <x:f t="shared" si="76"/>
      </x:c>
      <x:c r="R237" s="108" t="str">
        <x:f t="shared" si="77"/>
      </x:c>
      <x:c r="S237" s="109" t="str">
        <x:f t="shared" si="78"/>
      </x:c>
      <x:c r="T237" s="110" t="str">
        <x:f t="array" ref="T237">IF(C237&lt;&gt;"",_xlfn.IFS(T$10="TLA",RECORD!HI239,V$10="LECTURE","",TRUE(),""),"")</x:f>
      </x:c>
      <x:c r="U237" s="105" t="str">
        <x:f t="shared" si="79"/>
      </x:c>
      <x:c r="V237" s="104" t="str">
        <x:f t="array" ref="V237">IF(C237&lt;&gt;"",_xlfn.IFS(V$10="AT",RECORD!HC239,V$10="LECTURE",BF237,TRUE(),""),"")</x:f>
      </x:c>
      <x:c r="W237" s="106" t="str">
        <x:f t="shared" si="80"/>
      </x:c>
      <x:c r="X237" s="107" t="str">
        <x:f t="array" ref="X237">IF(C237&lt;&gt;"",_xlfn.IFS(X$10="EXAM",RECORD!HD239,X$10="OUTPUT",RECORD!HE239,X$10="LAB",CF237,TRUE(),""),"")</x:f>
      </x:c>
      <x:c r="Y237" s="106" t="str">
        <x:f t="shared" si="81"/>
      </x:c>
      <x:c r="Z237" s="108" t="str">
        <x:f t="shared" si="82"/>
      </x:c>
      <x:c r="AA237" s="109" t="str">
        <x:f t="shared" si="83"/>
      </x:c>
      <x:c r="AB237" s="111" t="str">
        <x:f t="shared" si="84"/>
      </x:c>
      <x:c r="AC237" s="109" t="str">
        <x:f t="shared" si="85"/>
      </x:c>
      <x:c r="AD237" s="112"/>
      <x:c r="AE237" s="102"/>
      <x:c r="AF237" s="113"/>
      <x:c r="AG237" s="112"/>
      <x:c r="AH237" s="103"/>
      <x:c r="AI237" s="114"/>
      <x:c r="AJ237" s="102"/>
      <x:c r="AK237" s="102"/>
      <x:c r="AL237" s="102"/>
      <x:c r="AM237" s="102"/>
      <x:c r="AN237" s="102"/>
      <x:c r="AO237" s="102"/>
      <x:c r="AP237" s="102"/>
      <x:c r="AQ237" s="109" t="str">
        <x:f t="shared" si="86"/>
        <x:v>FAILED</x:v>
      </x:c>
      <x:c r="AR237" s="115"/>
      <x:c r="AS237" s="115"/>
      <x:c r="AT237" s="107"/>
      <x:c r="AU237" s="107"/>
      <x:c r="AV237" s="107"/>
      <x:c r="AW237" s="107"/>
      <x:c r="AX237" s="107"/>
      <x:c r="AY237" s="109" t="str">
        <x:f t="shared" si="87"/>
        <x:v>FAILED</x:v>
      </x:c>
      <x:c r="AZ237" s="115"/>
      <x:c r="BA237" s="115"/>
      <x:c r="BB237" s="107"/>
      <x:c r="BC237" s="107"/>
      <x:c r="BD237" s="107"/>
      <x:c r="BE237" s="107"/>
      <x:c r="BF237" s="107"/>
      <x:c r="BG237" s="109" t="str">
        <x:f t="shared" si="88"/>
        <x:v>FAILED</x:v>
      </x:c>
      <x:c r="BH237" s="117"/>
      <x:c r="BI237" s="102"/>
      <x:c r="BJ237" s="102"/>
      <x:c r="BK237" s="102"/>
      <x:c r="BL237" s="102"/>
      <x:c r="BM237" s="102"/>
      <x:c r="BN237" s="102"/>
      <x:c r="BO237" s="102"/>
      <x:c r="BP237" s="102"/>
      <x:c r="BQ237" s="109" t="str">
        <x:f t="shared" si="89"/>
        <x:v>FAILED</x:v>
      </x:c>
      <x:c r="BR237" s="115"/>
      <x:c r="BS237" s="115"/>
      <x:c r="BT237" s="107"/>
      <x:c r="BU237" s="107"/>
      <x:c r="BV237" s="107"/>
      <x:c r="BW237" s="107"/>
      <x:c r="BX237" s="107"/>
      <x:c r="BY237" s="109" t="str">
        <x:f t="shared" si="90"/>
        <x:v>FAILED</x:v>
      </x:c>
      <x:c r="BZ237" s="115"/>
      <x:c r="CA237" s="115"/>
      <x:c r="CB237" s="107"/>
      <x:c r="CC237" s="107"/>
      <x:c r="CD237" s="107"/>
      <x:c r="CE237" s="107"/>
      <x:c r="CF237" s="107"/>
      <x:c r="CG237" s="109" t="str">
        <x:f t="shared" si="91"/>
        <x:v>FAILED</x:v>
      </x:c>
      <x:c r="CH237" s="117"/>
    </x:row>
    <x:row r="238">
      <x:c r="A238" s="102" t="str">
        <x:f>IF(RECORD!A240="","",RECORD!A240)</x:f>
      </x:c>
      <x:c r="B238" s="102" t="str">
        <x:f>IF(RECORD!B240="","",RECORD!B240)</x:f>
      </x:c>
      <x:c r="C238" s="103" t="str">
        <x:f>IF(RECORD!C240="","",RECORD!C240)</x:f>
      </x:c>
      <x:c r="D238" s="104" t="str">
        <x:f t="array" ref="D238">IF(C238&lt;&gt;"",IF(F$7="SUMMER","N/A",_xlfn.IFS(D$10="TLA",RECORD!GO240,F$10="LECTURE","",TRUE(),"")),"")</x:f>
      </x:c>
      <x:c r="E238" s="105" t="str">
        <x:f t="shared" si="69"/>
      </x:c>
      <x:c r="F238" s="104" t="str">
        <x:f t="array" ref="F238">IF(C238&lt;&gt;"",IF(F$7="SUMMER","N/A",_xlfn.IFS(F$10="AT",RECORD!GI240,F$10="LECTURE",GRADES!AP238,TRUE(),"")),"")</x:f>
      </x:c>
      <x:c r="G238" s="106" t="str">
        <x:f t="shared" si="70"/>
      </x:c>
      <x:c r="H238" s="107" t="str">
        <x:f t="array" ref="H238">IF(C238&lt;&gt;"",IF(F$7="SUMMER","N/A",_xlfn.IFS(H$10="EXAM",RECORD!GJ240,H$10="OUTPUT",RECORD!GK240,H$10="LAB",BP238,TRUE(),"")),"")</x:f>
      </x:c>
      <x:c r="I238" s="106" t="str">
        <x:f t="shared" si="71"/>
      </x:c>
      <x:c r="J238" s="108" t="str">
        <x:f t="shared" si="72"/>
      </x:c>
      <x:c r="K238" s="109" t="str">
        <x:f t="shared" si="73"/>
      </x:c>
      <x:c r="L238" s="110" t="str">
        <x:f t="array" ref="L238">IF(C238&lt;&gt;"",_xlfn.IFS(L$10="TLA",RECORD!GY240,N$10="LECTURE","",TRUE(),""),"")</x:f>
      </x:c>
      <x:c r="M238" s="105" t="str">
        <x:f t="shared" si="74"/>
      </x:c>
      <x:c r="N238" s="104" t="str">
        <x:f t="array" ref="N238">IF(C238&lt;&gt;"",_xlfn.IFS(N$10="AT",RECORD!GS240,N$10="LECTURE",AX238,TRUE(),""),"")</x:f>
      </x:c>
      <x:c r="O238" s="106" t="str">
        <x:f t="shared" si="75"/>
      </x:c>
      <x:c r="P238" s="107" t="str">
        <x:f t="array" ref="P238">IF(C238&lt;&gt;"",_xlfn.IFS(P$10="EXAM",RECORD!GT240,P$10="OUTPUT",RECORD!GU240,P$10="LAB",BX238,TRUE(),""),"")</x:f>
      </x:c>
      <x:c r="Q238" s="106" t="str">
        <x:f t="shared" si="76"/>
      </x:c>
      <x:c r="R238" s="108" t="str">
        <x:f t="shared" si="77"/>
      </x:c>
      <x:c r="S238" s="109" t="str">
        <x:f t="shared" si="78"/>
      </x:c>
      <x:c r="T238" s="110" t="str">
        <x:f t="array" ref="T238">IF(C238&lt;&gt;"",_xlfn.IFS(T$10="TLA",RECORD!HI240,V$10="LECTURE","",TRUE(),""),"")</x:f>
      </x:c>
      <x:c r="U238" s="105" t="str">
        <x:f t="shared" si="79"/>
      </x:c>
      <x:c r="V238" s="104" t="str">
        <x:f t="array" ref="V238">IF(C238&lt;&gt;"",_xlfn.IFS(V$10="AT",RECORD!HC240,V$10="LECTURE",BF238,TRUE(),""),"")</x:f>
      </x:c>
      <x:c r="W238" s="106" t="str">
        <x:f t="shared" si="80"/>
      </x:c>
      <x:c r="X238" s="107" t="str">
        <x:f t="array" ref="X238">IF(C238&lt;&gt;"",_xlfn.IFS(X$10="EXAM",RECORD!HD240,X$10="OUTPUT",RECORD!HE240,X$10="LAB",CF238,TRUE(),""),"")</x:f>
      </x:c>
      <x:c r="Y238" s="106" t="str">
        <x:f t="shared" si="81"/>
      </x:c>
      <x:c r="Z238" s="108" t="str">
        <x:f t="shared" si="82"/>
      </x:c>
      <x:c r="AA238" s="109" t="str">
        <x:f t="shared" si="83"/>
      </x:c>
      <x:c r="AB238" s="111" t="str">
        <x:f t="shared" si="84"/>
      </x:c>
      <x:c r="AC238" s="109" t="str">
        <x:f t="shared" si="85"/>
      </x:c>
      <x:c r="AD238" s="112"/>
      <x:c r="AE238" s="102"/>
      <x:c r="AF238" s="113"/>
      <x:c r="AG238" s="112"/>
      <x:c r="AH238" s="103"/>
      <x:c r="AI238" s="114"/>
      <x:c r="AJ238" s="102"/>
      <x:c r="AK238" s="102"/>
      <x:c r="AL238" s="102"/>
      <x:c r="AM238" s="102"/>
      <x:c r="AN238" s="102"/>
      <x:c r="AO238" s="102"/>
      <x:c r="AP238" s="102"/>
      <x:c r="AQ238" s="109" t="str">
        <x:f t="shared" si="86"/>
        <x:v>FAILED</x:v>
      </x:c>
      <x:c r="AR238" s="115"/>
      <x:c r="AS238" s="115"/>
      <x:c r="AT238" s="107"/>
      <x:c r="AU238" s="107"/>
      <x:c r="AV238" s="107"/>
      <x:c r="AW238" s="107"/>
      <x:c r="AX238" s="107"/>
      <x:c r="AY238" s="109" t="str">
        <x:f t="shared" si="87"/>
        <x:v>FAILED</x:v>
      </x:c>
      <x:c r="AZ238" s="115"/>
      <x:c r="BA238" s="115"/>
      <x:c r="BB238" s="107"/>
      <x:c r="BC238" s="107"/>
      <x:c r="BD238" s="107"/>
      <x:c r="BE238" s="107"/>
      <x:c r="BF238" s="107"/>
      <x:c r="BG238" s="109" t="str">
        <x:f t="shared" si="88"/>
        <x:v>FAILED</x:v>
      </x:c>
      <x:c r="BH238" s="117"/>
      <x:c r="BI238" s="102"/>
      <x:c r="BJ238" s="102"/>
      <x:c r="BK238" s="102"/>
      <x:c r="BL238" s="102"/>
      <x:c r="BM238" s="102"/>
      <x:c r="BN238" s="102"/>
      <x:c r="BO238" s="102"/>
      <x:c r="BP238" s="102"/>
      <x:c r="BQ238" s="109" t="str">
        <x:f t="shared" si="89"/>
        <x:v>FAILED</x:v>
      </x:c>
      <x:c r="BR238" s="115"/>
      <x:c r="BS238" s="115"/>
      <x:c r="BT238" s="107"/>
      <x:c r="BU238" s="107"/>
      <x:c r="BV238" s="107"/>
      <x:c r="BW238" s="107"/>
      <x:c r="BX238" s="107"/>
      <x:c r="BY238" s="109" t="str">
        <x:f t="shared" si="90"/>
        <x:v>FAILED</x:v>
      </x:c>
      <x:c r="BZ238" s="115"/>
      <x:c r="CA238" s="115"/>
      <x:c r="CB238" s="107"/>
      <x:c r="CC238" s="107"/>
      <x:c r="CD238" s="107"/>
      <x:c r="CE238" s="107"/>
      <x:c r="CF238" s="107"/>
      <x:c r="CG238" s="109" t="str">
        <x:f t="shared" si="91"/>
        <x:v>FAILED</x:v>
      </x:c>
      <x:c r="CH238" s="117"/>
    </x:row>
    <x:row r="239">
      <x:c r="A239" s="102" t="str">
        <x:f>IF(RECORD!A241="","",RECORD!A241)</x:f>
      </x:c>
      <x:c r="B239" s="102" t="str">
        <x:f>IF(RECORD!B241="","",RECORD!B241)</x:f>
      </x:c>
      <x:c r="C239" s="103" t="str">
        <x:f>IF(RECORD!C241="","",RECORD!C241)</x:f>
      </x:c>
      <x:c r="D239" s="104" t="str">
        <x:f t="array" ref="D239">IF(C239&lt;&gt;"",IF(F$7="SUMMER","N/A",_xlfn.IFS(D$10="TLA",RECORD!GO241,F$10="LECTURE","",TRUE(),"")),"")</x:f>
      </x:c>
      <x:c r="E239" s="105" t="str">
        <x:f t="shared" si="69"/>
      </x:c>
      <x:c r="F239" s="104" t="str">
        <x:f t="array" ref="F239">IF(C239&lt;&gt;"",IF(F$7="SUMMER","N/A",_xlfn.IFS(F$10="AT",RECORD!GI241,F$10="LECTURE",GRADES!AP239,TRUE(),"")),"")</x:f>
      </x:c>
      <x:c r="G239" s="106" t="str">
        <x:f t="shared" si="70"/>
      </x:c>
      <x:c r="H239" s="107" t="str">
        <x:f t="array" ref="H239">IF(C239&lt;&gt;"",IF(F$7="SUMMER","N/A",_xlfn.IFS(H$10="EXAM",RECORD!GJ241,H$10="OUTPUT",RECORD!GK241,H$10="LAB",BP239,TRUE(),"")),"")</x:f>
      </x:c>
      <x:c r="I239" s="106" t="str">
        <x:f t="shared" si="71"/>
      </x:c>
      <x:c r="J239" s="108" t="str">
        <x:f t="shared" si="72"/>
      </x:c>
      <x:c r="K239" s="109" t="str">
        <x:f t="shared" si="73"/>
      </x:c>
      <x:c r="L239" s="110" t="str">
        <x:f t="array" ref="L239">IF(C239&lt;&gt;"",_xlfn.IFS(L$10="TLA",RECORD!GY241,N$10="LECTURE","",TRUE(),""),"")</x:f>
      </x:c>
      <x:c r="M239" s="105" t="str">
        <x:f t="shared" si="74"/>
      </x:c>
      <x:c r="N239" s="104" t="str">
        <x:f t="array" ref="N239">IF(C239&lt;&gt;"",_xlfn.IFS(N$10="AT",RECORD!GS241,N$10="LECTURE",AX239,TRUE(),""),"")</x:f>
      </x:c>
      <x:c r="O239" s="106" t="str">
        <x:f t="shared" si="75"/>
      </x:c>
      <x:c r="P239" s="107" t="str">
        <x:f t="array" ref="P239">IF(C239&lt;&gt;"",_xlfn.IFS(P$10="EXAM",RECORD!GT241,P$10="OUTPUT",RECORD!GU241,P$10="LAB",BX239,TRUE(),""),"")</x:f>
      </x:c>
      <x:c r="Q239" s="106" t="str">
        <x:f t="shared" si="76"/>
      </x:c>
      <x:c r="R239" s="108" t="str">
        <x:f t="shared" si="77"/>
      </x:c>
      <x:c r="S239" s="109" t="str">
        <x:f t="shared" si="78"/>
      </x:c>
      <x:c r="T239" s="110" t="str">
        <x:f t="array" ref="T239">IF(C239&lt;&gt;"",_xlfn.IFS(T$10="TLA",RECORD!HI241,V$10="LECTURE","",TRUE(),""),"")</x:f>
      </x:c>
      <x:c r="U239" s="105" t="str">
        <x:f t="shared" si="79"/>
      </x:c>
      <x:c r="V239" s="104" t="str">
        <x:f t="array" ref="V239">IF(C239&lt;&gt;"",_xlfn.IFS(V$10="AT",RECORD!HC241,V$10="LECTURE",BF239,TRUE(),""),"")</x:f>
      </x:c>
      <x:c r="W239" s="106" t="str">
        <x:f t="shared" si="80"/>
      </x:c>
      <x:c r="X239" s="107" t="str">
        <x:f t="array" ref="X239">IF(C239&lt;&gt;"",_xlfn.IFS(X$10="EXAM",RECORD!HD241,X$10="OUTPUT",RECORD!HE241,X$10="LAB",CF239,TRUE(),""),"")</x:f>
      </x:c>
      <x:c r="Y239" s="106" t="str">
        <x:f t="shared" si="81"/>
      </x:c>
      <x:c r="Z239" s="108" t="str">
        <x:f t="shared" si="82"/>
      </x:c>
      <x:c r="AA239" s="109" t="str">
        <x:f t="shared" si="83"/>
      </x:c>
      <x:c r="AB239" s="111" t="str">
        <x:f t="shared" si="84"/>
      </x:c>
      <x:c r="AC239" s="109" t="str">
        <x:f t="shared" si="85"/>
      </x:c>
      <x:c r="AD239" s="112"/>
      <x:c r="AE239" s="102"/>
      <x:c r="AF239" s="113"/>
      <x:c r="AG239" s="112"/>
      <x:c r="AH239" s="103"/>
      <x:c r="AI239" s="114"/>
      <x:c r="AJ239" s="102"/>
      <x:c r="AK239" s="102"/>
      <x:c r="AL239" s="102"/>
      <x:c r="AM239" s="102"/>
      <x:c r="AN239" s="102"/>
      <x:c r="AO239" s="102"/>
      <x:c r="AP239" s="102"/>
      <x:c r="AQ239" s="109" t="str">
        <x:f t="shared" si="86"/>
        <x:v>FAILED</x:v>
      </x:c>
      <x:c r="AR239" s="115"/>
      <x:c r="AS239" s="115"/>
      <x:c r="AT239" s="107"/>
      <x:c r="AU239" s="107"/>
      <x:c r="AV239" s="107"/>
      <x:c r="AW239" s="107"/>
      <x:c r="AX239" s="107"/>
      <x:c r="AY239" s="109" t="str">
        <x:f t="shared" si="87"/>
        <x:v>FAILED</x:v>
      </x:c>
      <x:c r="AZ239" s="115"/>
      <x:c r="BA239" s="115"/>
      <x:c r="BB239" s="107"/>
      <x:c r="BC239" s="107"/>
      <x:c r="BD239" s="107"/>
      <x:c r="BE239" s="107"/>
      <x:c r="BF239" s="107"/>
      <x:c r="BG239" s="109" t="str">
        <x:f t="shared" si="88"/>
        <x:v>FAILED</x:v>
      </x:c>
      <x:c r="BH239" s="117"/>
      <x:c r="BI239" s="102"/>
      <x:c r="BJ239" s="102"/>
      <x:c r="BK239" s="102"/>
      <x:c r="BL239" s="102"/>
      <x:c r="BM239" s="102"/>
      <x:c r="BN239" s="102"/>
      <x:c r="BO239" s="102"/>
      <x:c r="BP239" s="102"/>
      <x:c r="BQ239" s="109" t="str">
        <x:f t="shared" si="89"/>
        <x:v>FAILED</x:v>
      </x:c>
      <x:c r="BR239" s="115"/>
      <x:c r="BS239" s="115"/>
      <x:c r="BT239" s="107"/>
      <x:c r="BU239" s="107"/>
      <x:c r="BV239" s="107"/>
      <x:c r="BW239" s="107"/>
      <x:c r="BX239" s="107"/>
      <x:c r="BY239" s="109" t="str">
        <x:f t="shared" si="90"/>
        <x:v>FAILED</x:v>
      </x:c>
      <x:c r="BZ239" s="115"/>
      <x:c r="CA239" s="115"/>
      <x:c r="CB239" s="107"/>
      <x:c r="CC239" s="107"/>
      <x:c r="CD239" s="107"/>
      <x:c r="CE239" s="107"/>
      <x:c r="CF239" s="107"/>
      <x:c r="CG239" s="109" t="str">
        <x:f t="shared" si="91"/>
        <x:v>FAILED</x:v>
      </x:c>
      <x:c r="CH239" s="117"/>
    </x:row>
    <x:row r="240">
      <x:c r="A240" s="102" t="str">
        <x:f>IF(RECORD!A242="","",RECORD!A242)</x:f>
      </x:c>
      <x:c r="B240" s="102" t="str">
        <x:f>IF(RECORD!B242="","",RECORD!B242)</x:f>
      </x:c>
      <x:c r="C240" s="103" t="str">
        <x:f>IF(RECORD!C242="","",RECORD!C242)</x:f>
      </x:c>
      <x:c r="D240" s="104" t="str">
        <x:f t="array" ref="D240">IF(C240&lt;&gt;"",IF(F$7="SUMMER","N/A",_xlfn.IFS(D$10="TLA",RECORD!GO242,F$10="LECTURE","",TRUE(),"")),"")</x:f>
      </x:c>
      <x:c r="E240" s="105" t="str">
        <x:f t="shared" si="69"/>
      </x:c>
      <x:c r="F240" s="104" t="str">
        <x:f t="array" ref="F240">IF(C240&lt;&gt;"",IF(F$7="SUMMER","N/A",_xlfn.IFS(F$10="AT",RECORD!GI242,F$10="LECTURE",GRADES!AP240,TRUE(),"")),"")</x:f>
      </x:c>
      <x:c r="G240" s="106" t="str">
        <x:f t="shared" si="70"/>
      </x:c>
      <x:c r="H240" s="107" t="str">
        <x:f t="array" ref="H240">IF(C240&lt;&gt;"",IF(F$7="SUMMER","N/A",_xlfn.IFS(H$10="EXAM",RECORD!GJ242,H$10="OUTPUT",RECORD!GK242,H$10="LAB",BP240,TRUE(),"")),"")</x:f>
      </x:c>
      <x:c r="I240" s="106" t="str">
        <x:f t="shared" si="71"/>
      </x:c>
      <x:c r="J240" s="108" t="str">
        <x:f t="shared" si="72"/>
      </x:c>
      <x:c r="K240" s="109" t="str">
        <x:f t="shared" si="73"/>
      </x:c>
      <x:c r="L240" s="110" t="str">
        <x:f t="array" ref="L240">IF(C240&lt;&gt;"",_xlfn.IFS(L$10="TLA",RECORD!GY242,N$10="LECTURE","",TRUE(),""),"")</x:f>
      </x:c>
      <x:c r="M240" s="105" t="str">
        <x:f t="shared" si="74"/>
      </x:c>
      <x:c r="N240" s="104" t="str">
        <x:f t="array" ref="N240">IF(C240&lt;&gt;"",_xlfn.IFS(N$10="AT",RECORD!GS242,N$10="LECTURE",AX240,TRUE(),""),"")</x:f>
      </x:c>
      <x:c r="O240" s="106" t="str">
        <x:f t="shared" si="75"/>
      </x:c>
      <x:c r="P240" s="107" t="str">
        <x:f t="array" ref="P240">IF(C240&lt;&gt;"",_xlfn.IFS(P$10="EXAM",RECORD!GT242,P$10="OUTPUT",RECORD!GU242,P$10="LAB",BX240,TRUE(),""),"")</x:f>
      </x:c>
      <x:c r="Q240" s="106" t="str">
        <x:f t="shared" si="76"/>
      </x:c>
      <x:c r="R240" s="108" t="str">
        <x:f t="shared" si="77"/>
      </x:c>
      <x:c r="S240" s="109" t="str">
        <x:f t="shared" si="78"/>
      </x:c>
      <x:c r="T240" s="110" t="str">
        <x:f t="array" ref="T240">IF(C240&lt;&gt;"",_xlfn.IFS(T$10="TLA",RECORD!HI242,V$10="LECTURE","",TRUE(),""),"")</x:f>
      </x:c>
      <x:c r="U240" s="105" t="str">
        <x:f t="shared" si="79"/>
      </x:c>
      <x:c r="V240" s="104" t="str">
        <x:f t="array" ref="V240">IF(C240&lt;&gt;"",_xlfn.IFS(V$10="AT",RECORD!HC242,V$10="LECTURE",BF240,TRUE(),""),"")</x:f>
      </x:c>
      <x:c r="W240" s="106" t="str">
        <x:f t="shared" si="80"/>
      </x:c>
      <x:c r="X240" s="107" t="str">
        <x:f t="array" ref="X240">IF(C240&lt;&gt;"",_xlfn.IFS(X$10="EXAM",RECORD!HD242,X$10="OUTPUT",RECORD!HE242,X$10="LAB",CF240,TRUE(),""),"")</x:f>
      </x:c>
      <x:c r="Y240" s="106" t="str">
        <x:f t="shared" si="81"/>
      </x:c>
      <x:c r="Z240" s="108" t="str">
        <x:f t="shared" si="82"/>
      </x:c>
      <x:c r="AA240" s="109" t="str">
        <x:f t="shared" si="83"/>
      </x:c>
      <x:c r="AB240" s="111" t="str">
        <x:f t="shared" si="84"/>
      </x:c>
      <x:c r="AC240" s="109" t="str">
        <x:f t="shared" si="85"/>
      </x:c>
      <x:c r="AD240" s="112"/>
      <x:c r="AE240" s="102"/>
      <x:c r="AF240" s="113"/>
      <x:c r="AG240" s="112"/>
      <x:c r="AH240" s="103"/>
      <x:c r="AI240" s="114"/>
      <x:c r="AJ240" s="102"/>
      <x:c r="AK240" s="102"/>
      <x:c r="AL240" s="102"/>
      <x:c r="AM240" s="102"/>
      <x:c r="AN240" s="102"/>
      <x:c r="AO240" s="102"/>
      <x:c r="AP240" s="102"/>
      <x:c r="AQ240" s="109" t="str">
        <x:f t="shared" si="86"/>
        <x:v>FAILED</x:v>
      </x:c>
      <x:c r="AR240" s="115"/>
      <x:c r="AS240" s="115"/>
      <x:c r="AT240" s="107"/>
      <x:c r="AU240" s="107"/>
      <x:c r="AV240" s="107"/>
      <x:c r="AW240" s="107"/>
      <x:c r="AX240" s="107"/>
      <x:c r="AY240" s="109" t="str">
        <x:f t="shared" si="87"/>
        <x:v>FAILED</x:v>
      </x:c>
      <x:c r="AZ240" s="115"/>
      <x:c r="BA240" s="115"/>
      <x:c r="BB240" s="107"/>
      <x:c r="BC240" s="107"/>
      <x:c r="BD240" s="107"/>
      <x:c r="BE240" s="107"/>
      <x:c r="BF240" s="107"/>
      <x:c r="BG240" s="109" t="str">
        <x:f t="shared" si="88"/>
        <x:v>FAILED</x:v>
      </x:c>
      <x:c r="BH240" s="117"/>
      <x:c r="BI240" s="102"/>
      <x:c r="BJ240" s="102"/>
      <x:c r="BK240" s="102"/>
      <x:c r="BL240" s="102"/>
      <x:c r="BM240" s="102"/>
      <x:c r="BN240" s="102"/>
      <x:c r="BO240" s="102"/>
      <x:c r="BP240" s="102"/>
      <x:c r="BQ240" s="109" t="str">
        <x:f t="shared" si="89"/>
        <x:v>FAILED</x:v>
      </x:c>
      <x:c r="BR240" s="115"/>
      <x:c r="BS240" s="115"/>
      <x:c r="BT240" s="107"/>
      <x:c r="BU240" s="107"/>
      <x:c r="BV240" s="107"/>
      <x:c r="BW240" s="107"/>
      <x:c r="BX240" s="107"/>
      <x:c r="BY240" s="109" t="str">
        <x:f t="shared" si="90"/>
        <x:v>FAILED</x:v>
      </x:c>
      <x:c r="BZ240" s="115"/>
      <x:c r="CA240" s="115"/>
      <x:c r="CB240" s="107"/>
      <x:c r="CC240" s="107"/>
      <x:c r="CD240" s="107"/>
      <x:c r="CE240" s="107"/>
      <x:c r="CF240" s="107"/>
      <x:c r="CG240" s="109" t="str">
        <x:f t="shared" si="91"/>
        <x:v>FAILED</x:v>
      </x:c>
      <x:c r="CH240" s="117"/>
    </x:row>
    <x:row r="241">
      <x:c r="A241" s="102" t="str">
        <x:f>IF(RECORD!A243="","",RECORD!A243)</x:f>
      </x:c>
      <x:c r="B241" s="102" t="str">
        <x:f>IF(RECORD!B243="","",RECORD!B243)</x:f>
      </x:c>
      <x:c r="C241" s="103" t="str">
        <x:f>IF(RECORD!C243="","",RECORD!C243)</x:f>
      </x:c>
      <x:c r="D241" s="104" t="str">
        <x:f t="array" ref="D241">IF(C241&lt;&gt;"",IF(F$7="SUMMER","N/A",_xlfn.IFS(D$10="TLA",RECORD!GO243,F$10="LECTURE","",TRUE(),"")),"")</x:f>
      </x:c>
      <x:c r="E241" s="105" t="str">
        <x:f t="shared" si="69"/>
      </x:c>
      <x:c r="F241" s="104" t="str">
        <x:f t="array" ref="F241">IF(C241&lt;&gt;"",IF(F$7="SUMMER","N/A",_xlfn.IFS(F$10="AT",RECORD!GI243,F$10="LECTURE",GRADES!AP241,TRUE(),"")),"")</x:f>
      </x:c>
      <x:c r="G241" s="106" t="str">
        <x:f t="shared" si="70"/>
      </x:c>
      <x:c r="H241" s="107" t="str">
        <x:f t="array" ref="H241">IF(C241&lt;&gt;"",IF(F$7="SUMMER","N/A",_xlfn.IFS(H$10="EXAM",RECORD!GJ243,H$10="OUTPUT",RECORD!GK243,H$10="LAB",BP241,TRUE(),"")),"")</x:f>
      </x:c>
      <x:c r="I241" s="106" t="str">
        <x:f t="shared" si="71"/>
      </x:c>
      <x:c r="J241" s="108" t="str">
        <x:f t="shared" si="72"/>
      </x:c>
      <x:c r="K241" s="109" t="str">
        <x:f t="shared" si="73"/>
      </x:c>
      <x:c r="L241" s="110" t="str">
        <x:f t="array" ref="L241">IF(C241&lt;&gt;"",_xlfn.IFS(L$10="TLA",RECORD!GY243,N$10="LECTURE","",TRUE(),""),"")</x:f>
      </x:c>
      <x:c r="M241" s="105" t="str">
        <x:f t="shared" si="74"/>
      </x:c>
      <x:c r="N241" s="104" t="str">
        <x:f t="array" ref="N241">IF(C241&lt;&gt;"",_xlfn.IFS(N$10="AT",RECORD!GS243,N$10="LECTURE",AX241,TRUE(),""),"")</x:f>
      </x:c>
      <x:c r="O241" s="106" t="str">
        <x:f t="shared" si="75"/>
      </x:c>
      <x:c r="P241" s="107" t="str">
        <x:f t="array" ref="P241">IF(C241&lt;&gt;"",_xlfn.IFS(P$10="EXAM",RECORD!GT243,P$10="OUTPUT",RECORD!GU243,P$10="LAB",BX241,TRUE(),""),"")</x:f>
      </x:c>
      <x:c r="Q241" s="106" t="str">
        <x:f t="shared" si="76"/>
      </x:c>
      <x:c r="R241" s="108" t="str">
        <x:f t="shared" si="77"/>
      </x:c>
      <x:c r="S241" s="109" t="str">
        <x:f t="shared" si="78"/>
      </x:c>
      <x:c r="T241" s="110" t="str">
        <x:f t="array" ref="T241">IF(C241&lt;&gt;"",_xlfn.IFS(T$10="TLA",RECORD!HI243,V$10="LECTURE","",TRUE(),""),"")</x:f>
      </x:c>
      <x:c r="U241" s="105" t="str">
        <x:f t="shared" si="79"/>
      </x:c>
      <x:c r="V241" s="104" t="str">
        <x:f t="array" ref="V241">IF(C241&lt;&gt;"",_xlfn.IFS(V$10="AT",RECORD!HC243,V$10="LECTURE",BF241,TRUE(),""),"")</x:f>
      </x:c>
      <x:c r="W241" s="106" t="str">
        <x:f t="shared" si="80"/>
      </x:c>
      <x:c r="X241" s="107" t="str">
        <x:f t="array" ref="X241">IF(C241&lt;&gt;"",_xlfn.IFS(X$10="EXAM",RECORD!HD243,X$10="OUTPUT",RECORD!HE243,X$10="LAB",CF241,TRUE(),""),"")</x:f>
      </x:c>
      <x:c r="Y241" s="106" t="str">
        <x:f t="shared" si="81"/>
      </x:c>
      <x:c r="Z241" s="108" t="str">
        <x:f t="shared" si="82"/>
      </x:c>
      <x:c r="AA241" s="109" t="str">
        <x:f t="shared" si="83"/>
      </x:c>
      <x:c r="AB241" s="111" t="str">
        <x:f t="shared" si="84"/>
      </x:c>
      <x:c r="AC241" s="109" t="str">
        <x:f t="shared" si="85"/>
      </x:c>
      <x:c r="AD241" s="112"/>
      <x:c r="AE241" s="102"/>
      <x:c r="AF241" s="113"/>
      <x:c r="AG241" s="112"/>
      <x:c r="AH241" s="103"/>
      <x:c r="AI241" s="114"/>
      <x:c r="AJ241" s="102"/>
      <x:c r="AK241" s="102"/>
      <x:c r="AL241" s="102"/>
      <x:c r="AM241" s="102"/>
      <x:c r="AN241" s="102"/>
      <x:c r="AO241" s="102"/>
      <x:c r="AP241" s="102"/>
      <x:c r="AQ241" s="109" t="str">
        <x:f t="shared" si="86"/>
        <x:v>FAILED</x:v>
      </x:c>
      <x:c r="AR241" s="115"/>
      <x:c r="AS241" s="115"/>
      <x:c r="AT241" s="107"/>
      <x:c r="AU241" s="107"/>
      <x:c r="AV241" s="107"/>
      <x:c r="AW241" s="107"/>
      <x:c r="AX241" s="107"/>
      <x:c r="AY241" s="109" t="str">
        <x:f t="shared" si="87"/>
        <x:v>FAILED</x:v>
      </x:c>
      <x:c r="AZ241" s="115"/>
      <x:c r="BA241" s="115"/>
      <x:c r="BB241" s="107"/>
      <x:c r="BC241" s="107"/>
      <x:c r="BD241" s="107"/>
      <x:c r="BE241" s="107"/>
      <x:c r="BF241" s="107"/>
      <x:c r="BG241" s="109" t="str">
        <x:f t="shared" si="88"/>
        <x:v>FAILED</x:v>
      </x:c>
      <x:c r="BH241" s="117"/>
      <x:c r="BI241" s="102"/>
      <x:c r="BJ241" s="102"/>
      <x:c r="BK241" s="102"/>
      <x:c r="BL241" s="102"/>
      <x:c r="BM241" s="102"/>
      <x:c r="BN241" s="102"/>
      <x:c r="BO241" s="102"/>
      <x:c r="BP241" s="102"/>
      <x:c r="BQ241" s="109" t="str">
        <x:f t="shared" si="89"/>
        <x:v>FAILED</x:v>
      </x:c>
      <x:c r="BR241" s="115"/>
      <x:c r="BS241" s="115"/>
      <x:c r="BT241" s="107"/>
      <x:c r="BU241" s="107"/>
      <x:c r="BV241" s="107"/>
      <x:c r="BW241" s="107"/>
      <x:c r="BX241" s="107"/>
      <x:c r="BY241" s="109" t="str">
        <x:f t="shared" si="90"/>
        <x:v>FAILED</x:v>
      </x:c>
      <x:c r="BZ241" s="115"/>
      <x:c r="CA241" s="115"/>
      <x:c r="CB241" s="107"/>
      <x:c r="CC241" s="107"/>
      <x:c r="CD241" s="107"/>
      <x:c r="CE241" s="107"/>
      <x:c r="CF241" s="107"/>
      <x:c r="CG241" s="109" t="str">
        <x:f t="shared" si="91"/>
        <x:v>FAILED</x:v>
      </x:c>
      <x:c r="CH241" s="117"/>
    </x:row>
    <x:row r="242">
      <x:c r="A242" s="102" t="str">
        <x:f>IF(RECORD!A244="","",RECORD!A244)</x:f>
      </x:c>
      <x:c r="B242" s="102" t="str">
        <x:f>IF(RECORD!B244="","",RECORD!B244)</x:f>
      </x:c>
      <x:c r="C242" s="103" t="str">
        <x:f>IF(RECORD!C244="","",RECORD!C244)</x:f>
      </x:c>
      <x:c r="D242" s="104" t="str">
        <x:f t="array" ref="D242">IF(C242&lt;&gt;"",IF(F$7="SUMMER","N/A",_xlfn.IFS(D$10="TLA",RECORD!GO244,F$10="LECTURE","",TRUE(),"")),"")</x:f>
      </x:c>
      <x:c r="E242" s="105" t="str">
        <x:f t="shared" si="69"/>
      </x:c>
      <x:c r="F242" s="104" t="str">
        <x:f t="array" ref="F242">IF(C242&lt;&gt;"",IF(F$7="SUMMER","N/A",_xlfn.IFS(F$10="AT",RECORD!GI244,F$10="LECTURE",GRADES!AP242,TRUE(),"")),"")</x:f>
      </x:c>
      <x:c r="G242" s="106" t="str">
        <x:f t="shared" si="70"/>
      </x:c>
      <x:c r="H242" s="107" t="str">
        <x:f t="array" ref="H242">IF(C242&lt;&gt;"",IF(F$7="SUMMER","N/A",_xlfn.IFS(H$10="EXAM",RECORD!GJ244,H$10="OUTPUT",RECORD!GK244,H$10="LAB",BP242,TRUE(),"")),"")</x:f>
      </x:c>
      <x:c r="I242" s="106" t="str">
        <x:f t="shared" si="71"/>
      </x:c>
      <x:c r="J242" s="108" t="str">
        <x:f t="shared" si="72"/>
      </x:c>
      <x:c r="K242" s="109" t="str">
        <x:f t="shared" si="73"/>
      </x:c>
      <x:c r="L242" s="110" t="str">
        <x:f t="array" ref="L242">IF(C242&lt;&gt;"",_xlfn.IFS(L$10="TLA",RECORD!GY244,N$10="LECTURE","",TRUE(),""),"")</x:f>
      </x:c>
      <x:c r="M242" s="105" t="str">
        <x:f t="shared" si="74"/>
      </x:c>
      <x:c r="N242" s="104" t="str">
        <x:f t="array" ref="N242">IF(C242&lt;&gt;"",_xlfn.IFS(N$10="AT",RECORD!GS244,N$10="LECTURE",AX242,TRUE(),""),"")</x:f>
      </x:c>
      <x:c r="O242" s="106" t="str">
        <x:f t="shared" si="75"/>
      </x:c>
      <x:c r="P242" s="107" t="str">
        <x:f t="array" ref="P242">IF(C242&lt;&gt;"",_xlfn.IFS(P$10="EXAM",RECORD!GT244,P$10="OUTPUT",RECORD!GU244,P$10="LAB",BX242,TRUE(),""),"")</x:f>
      </x:c>
      <x:c r="Q242" s="106" t="str">
        <x:f t="shared" si="76"/>
      </x:c>
      <x:c r="R242" s="108" t="str">
        <x:f t="shared" si="77"/>
      </x:c>
      <x:c r="S242" s="109" t="str">
        <x:f t="shared" si="78"/>
      </x:c>
      <x:c r="T242" s="110" t="str">
        <x:f t="array" ref="T242">IF(C242&lt;&gt;"",_xlfn.IFS(T$10="TLA",RECORD!HI244,V$10="LECTURE","",TRUE(),""),"")</x:f>
      </x:c>
      <x:c r="U242" s="105" t="str">
        <x:f t="shared" si="79"/>
      </x:c>
      <x:c r="V242" s="104" t="str">
        <x:f t="array" ref="V242">IF(C242&lt;&gt;"",_xlfn.IFS(V$10="AT",RECORD!HC244,V$10="LECTURE",BF242,TRUE(),""),"")</x:f>
      </x:c>
      <x:c r="W242" s="106" t="str">
        <x:f t="shared" si="80"/>
      </x:c>
      <x:c r="X242" s="107" t="str">
        <x:f t="array" ref="X242">IF(C242&lt;&gt;"",_xlfn.IFS(X$10="EXAM",RECORD!HD244,X$10="OUTPUT",RECORD!HE244,X$10="LAB",CF242,TRUE(),""),"")</x:f>
      </x:c>
      <x:c r="Y242" s="106" t="str">
        <x:f t="shared" si="81"/>
      </x:c>
      <x:c r="Z242" s="108" t="str">
        <x:f t="shared" si="82"/>
      </x:c>
      <x:c r="AA242" s="109" t="str">
        <x:f t="shared" si="83"/>
      </x:c>
      <x:c r="AB242" s="111" t="str">
        <x:f t="shared" si="84"/>
      </x:c>
      <x:c r="AC242" s="109" t="str">
        <x:f t="shared" si="85"/>
      </x:c>
      <x:c r="AD242" s="112"/>
      <x:c r="AE242" s="102"/>
      <x:c r="AF242" s="113"/>
      <x:c r="AG242" s="112"/>
      <x:c r="AH242" s="103"/>
      <x:c r="AI242" s="114"/>
      <x:c r="AJ242" s="102"/>
      <x:c r="AK242" s="102"/>
      <x:c r="AL242" s="102"/>
      <x:c r="AM242" s="102"/>
      <x:c r="AN242" s="102"/>
      <x:c r="AO242" s="102"/>
      <x:c r="AP242" s="102"/>
      <x:c r="AQ242" s="109" t="str">
        <x:f t="shared" si="86"/>
        <x:v>FAILED</x:v>
      </x:c>
      <x:c r="AR242" s="115"/>
      <x:c r="AS242" s="115"/>
      <x:c r="AT242" s="107"/>
      <x:c r="AU242" s="107"/>
      <x:c r="AV242" s="107"/>
      <x:c r="AW242" s="107"/>
      <x:c r="AX242" s="107"/>
      <x:c r="AY242" s="109" t="str">
        <x:f t="shared" si="87"/>
        <x:v>FAILED</x:v>
      </x:c>
      <x:c r="AZ242" s="115"/>
      <x:c r="BA242" s="115"/>
      <x:c r="BB242" s="107"/>
      <x:c r="BC242" s="107"/>
      <x:c r="BD242" s="107"/>
      <x:c r="BE242" s="107"/>
      <x:c r="BF242" s="107"/>
      <x:c r="BG242" s="109" t="str">
        <x:f t="shared" si="88"/>
        <x:v>FAILED</x:v>
      </x:c>
      <x:c r="BH242" s="117"/>
      <x:c r="BI242" s="102"/>
      <x:c r="BJ242" s="102"/>
      <x:c r="BK242" s="102"/>
      <x:c r="BL242" s="102"/>
      <x:c r="BM242" s="102"/>
      <x:c r="BN242" s="102"/>
      <x:c r="BO242" s="102"/>
      <x:c r="BP242" s="102"/>
      <x:c r="BQ242" s="109" t="str">
        <x:f t="shared" si="89"/>
        <x:v>FAILED</x:v>
      </x:c>
      <x:c r="BR242" s="115"/>
      <x:c r="BS242" s="115"/>
      <x:c r="BT242" s="107"/>
      <x:c r="BU242" s="107"/>
      <x:c r="BV242" s="107"/>
      <x:c r="BW242" s="107"/>
      <x:c r="BX242" s="107"/>
      <x:c r="BY242" s="109" t="str">
        <x:f t="shared" si="90"/>
        <x:v>FAILED</x:v>
      </x:c>
      <x:c r="BZ242" s="115"/>
      <x:c r="CA242" s="115"/>
      <x:c r="CB242" s="107"/>
      <x:c r="CC242" s="107"/>
      <x:c r="CD242" s="107"/>
      <x:c r="CE242" s="107"/>
      <x:c r="CF242" s="107"/>
      <x:c r="CG242" s="109" t="str">
        <x:f t="shared" si="91"/>
        <x:v>FAILED</x:v>
      </x:c>
      <x:c r="CH242" s="117"/>
    </x:row>
    <x:row r="243">
      <x:c r="A243" s="102" t="str">
        <x:f>IF(RECORD!A245="","",RECORD!A245)</x:f>
      </x:c>
      <x:c r="B243" s="102" t="str">
        <x:f>IF(RECORD!B245="","",RECORD!B245)</x:f>
      </x:c>
      <x:c r="C243" s="103" t="str">
        <x:f>IF(RECORD!C245="","",RECORD!C245)</x:f>
      </x:c>
      <x:c r="D243" s="104" t="str">
        <x:f t="array" ref="D243">IF(C243&lt;&gt;"",IF(F$7="SUMMER","N/A",_xlfn.IFS(D$10="TLA",RECORD!GO245,F$10="LECTURE","",TRUE(),"")),"")</x:f>
      </x:c>
      <x:c r="E243" s="105" t="str">
        <x:f t="shared" si="69"/>
      </x:c>
      <x:c r="F243" s="104" t="str">
        <x:f t="array" ref="F243">IF(C243&lt;&gt;"",IF(F$7="SUMMER","N/A",_xlfn.IFS(F$10="AT",RECORD!GI245,F$10="LECTURE",GRADES!AP243,TRUE(),"")),"")</x:f>
      </x:c>
      <x:c r="G243" s="106" t="str">
        <x:f t="shared" si="70"/>
      </x:c>
      <x:c r="H243" s="107" t="str">
        <x:f t="array" ref="H243">IF(C243&lt;&gt;"",IF(F$7="SUMMER","N/A",_xlfn.IFS(H$10="EXAM",RECORD!GJ245,H$10="OUTPUT",RECORD!GK245,H$10="LAB",BP243,TRUE(),"")),"")</x:f>
      </x:c>
      <x:c r="I243" s="106" t="str">
        <x:f t="shared" si="71"/>
      </x:c>
      <x:c r="J243" s="108" t="str">
        <x:f t="shared" si="72"/>
      </x:c>
      <x:c r="K243" s="109" t="str">
        <x:f t="shared" si="73"/>
      </x:c>
      <x:c r="L243" s="110" t="str">
        <x:f t="array" ref="L243">IF(C243&lt;&gt;"",_xlfn.IFS(L$10="TLA",RECORD!GY245,N$10="LECTURE","",TRUE(),""),"")</x:f>
      </x:c>
      <x:c r="M243" s="105" t="str">
        <x:f t="shared" si="74"/>
      </x:c>
      <x:c r="N243" s="104" t="str">
        <x:f t="array" ref="N243">IF(C243&lt;&gt;"",_xlfn.IFS(N$10="AT",RECORD!GS245,N$10="LECTURE",AX243,TRUE(),""),"")</x:f>
      </x:c>
      <x:c r="O243" s="106" t="str">
        <x:f t="shared" si="75"/>
      </x:c>
      <x:c r="P243" s="107" t="str">
        <x:f t="array" ref="P243">IF(C243&lt;&gt;"",_xlfn.IFS(P$10="EXAM",RECORD!GT245,P$10="OUTPUT",RECORD!GU245,P$10="LAB",BX243,TRUE(),""),"")</x:f>
      </x:c>
      <x:c r="Q243" s="106" t="str">
        <x:f t="shared" si="76"/>
      </x:c>
      <x:c r="R243" s="108" t="str">
        <x:f t="shared" si="77"/>
      </x:c>
      <x:c r="S243" s="109" t="str">
        <x:f t="shared" si="78"/>
      </x:c>
      <x:c r="T243" s="110" t="str">
        <x:f t="array" ref="T243">IF(C243&lt;&gt;"",_xlfn.IFS(T$10="TLA",RECORD!HI245,V$10="LECTURE","",TRUE(),""),"")</x:f>
      </x:c>
      <x:c r="U243" s="105" t="str">
        <x:f t="shared" si="79"/>
      </x:c>
      <x:c r="V243" s="104" t="str">
        <x:f t="array" ref="V243">IF(C243&lt;&gt;"",_xlfn.IFS(V$10="AT",RECORD!HC245,V$10="LECTURE",BF243,TRUE(),""),"")</x:f>
      </x:c>
      <x:c r="W243" s="106" t="str">
        <x:f t="shared" si="80"/>
      </x:c>
      <x:c r="X243" s="107" t="str">
        <x:f t="array" ref="X243">IF(C243&lt;&gt;"",_xlfn.IFS(X$10="EXAM",RECORD!HD245,X$10="OUTPUT",RECORD!HE245,X$10="LAB",CF243,TRUE(),""),"")</x:f>
      </x:c>
      <x:c r="Y243" s="106" t="str">
        <x:f t="shared" si="81"/>
      </x:c>
      <x:c r="Z243" s="108" t="str">
        <x:f t="shared" si="82"/>
      </x:c>
      <x:c r="AA243" s="109" t="str">
        <x:f t="shared" si="83"/>
      </x:c>
      <x:c r="AB243" s="111" t="str">
        <x:f t="shared" si="84"/>
      </x:c>
      <x:c r="AC243" s="109" t="str">
        <x:f t="shared" si="85"/>
      </x:c>
      <x:c r="AD243" s="112"/>
      <x:c r="AE243" s="102"/>
      <x:c r="AF243" s="113"/>
      <x:c r="AG243" s="112"/>
      <x:c r="AH243" s="103"/>
      <x:c r="AI243" s="114"/>
      <x:c r="AJ243" s="102"/>
      <x:c r="AK243" s="102"/>
      <x:c r="AL243" s="102"/>
      <x:c r="AM243" s="102"/>
      <x:c r="AN243" s="102"/>
      <x:c r="AO243" s="102"/>
      <x:c r="AP243" s="102"/>
      <x:c r="AQ243" s="109" t="str">
        <x:f t="shared" si="86"/>
        <x:v>FAILED</x:v>
      </x:c>
      <x:c r="AR243" s="115"/>
      <x:c r="AS243" s="115"/>
      <x:c r="AT243" s="107"/>
      <x:c r="AU243" s="107"/>
      <x:c r="AV243" s="107"/>
      <x:c r="AW243" s="107"/>
      <x:c r="AX243" s="107"/>
      <x:c r="AY243" s="109" t="str">
        <x:f t="shared" si="87"/>
        <x:v>FAILED</x:v>
      </x:c>
      <x:c r="AZ243" s="115"/>
      <x:c r="BA243" s="115"/>
      <x:c r="BB243" s="107"/>
      <x:c r="BC243" s="107"/>
      <x:c r="BD243" s="107"/>
      <x:c r="BE243" s="107"/>
      <x:c r="BF243" s="107"/>
      <x:c r="BG243" s="109" t="str">
        <x:f t="shared" si="88"/>
        <x:v>FAILED</x:v>
      </x:c>
      <x:c r="BH243" s="117"/>
      <x:c r="BI243" s="102"/>
      <x:c r="BJ243" s="102"/>
      <x:c r="BK243" s="102"/>
      <x:c r="BL243" s="102"/>
      <x:c r="BM243" s="102"/>
      <x:c r="BN243" s="102"/>
      <x:c r="BO243" s="102"/>
      <x:c r="BP243" s="102"/>
      <x:c r="BQ243" s="109" t="str">
        <x:f t="shared" si="89"/>
        <x:v>FAILED</x:v>
      </x:c>
      <x:c r="BR243" s="115"/>
      <x:c r="BS243" s="115"/>
      <x:c r="BT243" s="107"/>
      <x:c r="BU243" s="107"/>
      <x:c r="BV243" s="107"/>
      <x:c r="BW243" s="107"/>
      <x:c r="BX243" s="107"/>
      <x:c r="BY243" s="109" t="str">
        <x:f t="shared" si="90"/>
        <x:v>FAILED</x:v>
      </x:c>
      <x:c r="BZ243" s="115"/>
      <x:c r="CA243" s="115"/>
      <x:c r="CB243" s="107"/>
      <x:c r="CC243" s="107"/>
      <x:c r="CD243" s="107"/>
      <x:c r="CE243" s="107"/>
      <x:c r="CF243" s="107"/>
      <x:c r="CG243" s="109" t="str">
        <x:f t="shared" si="91"/>
        <x:v>FAILED</x:v>
      </x:c>
      <x:c r="CH243" s="117"/>
    </x:row>
    <x:row r="244">
      <x:c r="A244" s="102" t="str">
        <x:f>IF(RECORD!A246="","",RECORD!A246)</x:f>
      </x:c>
      <x:c r="B244" s="102" t="str">
        <x:f>IF(RECORD!B246="","",RECORD!B246)</x:f>
      </x:c>
      <x:c r="C244" s="103" t="str">
        <x:f>IF(RECORD!C246="","",RECORD!C246)</x:f>
      </x:c>
      <x:c r="D244" s="104" t="str">
        <x:f t="array" ref="D244">IF(C244&lt;&gt;"",IF(F$7="SUMMER","N/A",_xlfn.IFS(D$10="TLA",RECORD!GO246,F$10="LECTURE","",TRUE(),"")),"")</x:f>
      </x:c>
      <x:c r="E244" s="105" t="str">
        <x:f t="shared" si="69"/>
      </x:c>
      <x:c r="F244" s="104" t="str">
        <x:f t="array" ref="F244">IF(C244&lt;&gt;"",IF(F$7="SUMMER","N/A",_xlfn.IFS(F$10="AT",RECORD!GI246,F$10="LECTURE",GRADES!AP244,TRUE(),"")),"")</x:f>
      </x:c>
      <x:c r="G244" s="106" t="str">
        <x:f t="shared" si="70"/>
      </x:c>
      <x:c r="H244" s="107" t="str">
        <x:f t="array" ref="H244">IF(C244&lt;&gt;"",IF(F$7="SUMMER","N/A",_xlfn.IFS(H$10="EXAM",RECORD!GJ246,H$10="OUTPUT",RECORD!GK246,H$10="LAB",BP244,TRUE(),"")),"")</x:f>
      </x:c>
      <x:c r="I244" s="106" t="str">
        <x:f t="shared" si="71"/>
      </x:c>
      <x:c r="J244" s="108" t="str">
        <x:f t="shared" si="72"/>
      </x:c>
      <x:c r="K244" s="109" t="str">
        <x:f t="shared" si="73"/>
      </x:c>
      <x:c r="L244" s="110" t="str">
        <x:f t="array" ref="L244">IF(C244&lt;&gt;"",_xlfn.IFS(L$10="TLA",RECORD!GY246,N$10="LECTURE","",TRUE(),""),"")</x:f>
      </x:c>
      <x:c r="M244" s="105" t="str">
        <x:f t="shared" si="74"/>
      </x:c>
      <x:c r="N244" s="104" t="str">
        <x:f t="array" ref="N244">IF(C244&lt;&gt;"",_xlfn.IFS(N$10="AT",RECORD!GS246,N$10="LECTURE",AX244,TRUE(),""),"")</x:f>
      </x:c>
      <x:c r="O244" s="106" t="str">
        <x:f t="shared" si="75"/>
      </x:c>
      <x:c r="P244" s="107" t="str">
        <x:f t="array" ref="P244">IF(C244&lt;&gt;"",_xlfn.IFS(P$10="EXAM",RECORD!GT246,P$10="OUTPUT",RECORD!GU246,P$10="LAB",BX244,TRUE(),""),"")</x:f>
      </x:c>
      <x:c r="Q244" s="106" t="str">
        <x:f t="shared" si="76"/>
      </x:c>
      <x:c r="R244" s="108" t="str">
        <x:f t="shared" si="77"/>
      </x:c>
      <x:c r="S244" s="109" t="str">
        <x:f t="shared" si="78"/>
      </x:c>
      <x:c r="T244" s="110" t="str">
        <x:f t="array" ref="T244">IF(C244&lt;&gt;"",_xlfn.IFS(T$10="TLA",RECORD!HI246,V$10="LECTURE","",TRUE(),""),"")</x:f>
      </x:c>
      <x:c r="U244" s="105" t="str">
        <x:f t="shared" si="79"/>
      </x:c>
      <x:c r="V244" s="104" t="str">
        <x:f t="array" ref="V244">IF(C244&lt;&gt;"",_xlfn.IFS(V$10="AT",RECORD!HC246,V$10="LECTURE",BF244,TRUE(),""),"")</x:f>
      </x:c>
      <x:c r="W244" s="106" t="str">
        <x:f t="shared" si="80"/>
      </x:c>
      <x:c r="X244" s="107" t="str">
        <x:f t="array" ref="X244">IF(C244&lt;&gt;"",_xlfn.IFS(X$10="EXAM",RECORD!HD246,X$10="OUTPUT",RECORD!HE246,X$10="LAB",CF244,TRUE(),""),"")</x:f>
      </x:c>
      <x:c r="Y244" s="106" t="str">
        <x:f t="shared" si="81"/>
      </x:c>
      <x:c r="Z244" s="108" t="str">
        <x:f t="shared" si="82"/>
      </x:c>
      <x:c r="AA244" s="109" t="str">
        <x:f t="shared" si="83"/>
      </x:c>
      <x:c r="AB244" s="111" t="str">
        <x:f t="shared" si="84"/>
      </x:c>
      <x:c r="AC244" s="109" t="str">
        <x:f t="shared" si="85"/>
      </x:c>
      <x:c r="AD244" s="112"/>
      <x:c r="AE244" s="102"/>
      <x:c r="AF244" s="113"/>
      <x:c r="AG244" s="112"/>
      <x:c r="AH244" s="103"/>
      <x:c r="AI244" s="114"/>
      <x:c r="AJ244" s="102"/>
      <x:c r="AK244" s="102"/>
      <x:c r="AL244" s="102"/>
      <x:c r="AM244" s="102"/>
      <x:c r="AN244" s="102"/>
      <x:c r="AO244" s="102"/>
      <x:c r="AP244" s="102"/>
      <x:c r="AQ244" s="109" t="str">
        <x:f t="shared" si="86"/>
        <x:v>FAILED</x:v>
      </x:c>
      <x:c r="AR244" s="115"/>
      <x:c r="AS244" s="115"/>
      <x:c r="AT244" s="107"/>
      <x:c r="AU244" s="107"/>
      <x:c r="AV244" s="107"/>
      <x:c r="AW244" s="107"/>
      <x:c r="AX244" s="107"/>
      <x:c r="AY244" s="109" t="str">
        <x:f t="shared" si="87"/>
        <x:v>FAILED</x:v>
      </x:c>
      <x:c r="AZ244" s="115"/>
      <x:c r="BA244" s="115"/>
      <x:c r="BB244" s="107"/>
      <x:c r="BC244" s="107"/>
      <x:c r="BD244" s="107"/>
      <x:c r="BE244" s="107"/>
      <x:c r="BF244" s="107"/>
      <x:c r="BG244" s="109" t="str">
        <x:f t="shared" si="88"/>
        <x:v>FAILED</x:v>
      </x:c>
      <x:c r="BH244" s="117"/>
      <x:c r="BI244" s="102"/>
      <x:c r="BJ244" s="102"/>
      <x:c r="BK244" s="102"/>
      <x:c r="BL244" s="102"/>
      <x:c r="BM244" s="102"/>
      <x:c r="BN244" s="102"/>
      <x:c r="BO244" s="102"/>
      <x:c r="BP244" s="102"/>
      <x:c r="BQ244" s="109" t="str">
        <x:f t="shared" si="89"/>
        <x:v>FAILED</x:v>
      </x:c>
      <x:c r="BR244" s="115"/>
      <x:c r="BS244" s="115"/>
      <x:c r="BT244" s="107"/>
      <x:c r="BU244" s="107"/>
      <x:c r="BV244" s="107"/>
      <x:c r="BW244" s="107"/>
      <x:c r="BX244" s="107"/>
      <x:c r="BY244" s="109" t="str">
        <x:f t="shared" si="90"/>
        <x:v>FAILED</x:v>
      </x:c>
      <x:c r="BZ244" s="115"/>
      <x:c r="CA244" s="115"/>
      <x:c r="CB244" s="107"/>
      <x:c r="CC244" s="107"/>
      <x:c r="CD244" s="107"/>
      <x:c r="CE244" s="107"/>
      <x:c r="CF244" s="107"/>
      <x:c r="CG244" s="109" t="str">
        <x:f t="shared" si="91"/>
        <x:v>FAILED</x:v>
      </x:c>
      <x:c r="CH244" s="117"/>
    </x:row>
    <x:row r="245">
      <x:c r="A245" s="102" t="str">
        <x:f>IF(RECORD!A247="","",RECORD!A247)</x:f>
      </x:c>
      <x:c r="B245" s="102" t="str">
        <x:f>IF(RECORD!B247="","",RECORD!B247)</x:f>
      </x:c>
      <x:c r="C245" s="103" t="str">
        <x:f>IF(RECORD!C247="","",RECORD!C247)</x:f>
      </x:c>
      <x:c r="D245" s="104" t="str">
        <x:f t="array" ref="D245">IF(C245&lt;&gt;"",IF(F$7="SUMMER","N/A",_xlfn.IFS(D$10="TLA",RECORD!GO247,F$10="LECTURE","",TRUE(),"")),"")</x:f>
      </x:c>
      <x:c r="E245" s="105" t="str">
        <x:f t="shared" si="69"/>
      </x:c>
      <x:c r="F245" s="104" t="str">
        <x:f t="array" ref="F245">IF(C245&lt;&gt;"",IF(F$7="SUMMER","N/A",_xlfn.IFS(F$10="AT",RECORD!GI247,F$10="LECTURE",GRADES!AP245,TRUE(),"")),"")</x:f>
      </x:c>
      <x:c r="G245" s="106" t="str">
        <x:f t="shared" si="70"/>
      </x:c>
      <x:c r="H245" s="107" t="str">
        <x:f t="array" ref="H245">IF(C245&lt;&gt;"",IF(F$7="SUMMER","N/A",_xlfn.IFS(H$10="EXAM",RECORD!GJ247,H$10="OUTPUT",RECORD!GK247,H$10="LAB",BP245,TRUE(),"")),"")</x:f>
      </x:c>
      <x:c r="I245" s="106" t="str">
        <x:f t="shared" si="71"/>
      </x:c>
      <x:c r="J245" s="108" t="str">
        <x:f t="shared" si="72"/>
      </x:c>
      <x:c r="K245" s="109" t="str">
        <x:f t="shared" si="73"/>
      </x:c>
      <x:c r="L245" s="110" t="str">
        <x:f t="array" ref="L245">IF(C245&lt;&gt;"",_xlfn.IFS(L$10="TLA",RECORD!GY247,N$10="LECTURE","",TRUE(),""),"")</x:f>
      </x:c>
      <x:c r="M245" s="105" t="str">
        <x:f t="shared" si="74"/>
      </x:c>
      <x:c r="N245" s="104" t="str">
        <x:f t="array" ref="N245">IF(C245&lt;&gt;"",_xlfn.IFS(N$10="AT",RECORD!GS247,N$10="LECTURE",AX245,TRUE(),""),"")</x:f>
      </x:c>
      <x:c r="O245" s="106" t="str">
        <x:f t="shared" si="75"/>
      </x:c>
      <x:c r="P245" s="107" t="str">
        <x:f t="array" ref="P245">IF(C245&lt;&gt;"",_xlfn.IFS(P$10="EXAM",RECORD!GT247,P$10="OUTPUT",RECORD!GU247,P$10="LAB",BX245,TRUE(),""),"")</x:f>
      </x:c>
      <x:c r="Q245" s="106" t="str">
        <x:f t="shared" si="76"/>
      </x:c>
      <x:c r="R245" s="108" t="str">
        <x:f t="shared" si="77"/>
      </x:c>
      <x:c r="S245" s="109" t="str">
        <x:f t="shared" si="78"/>
      </x:c>
      <x:c r="T245" s="110" t="str">
        <x:f t="array" ref="T245">IF(C245&lt;&gt;"",_xlfn.IFS(T$10="TLA",RECORD!HI247,V$10="LECTURE","",TRUE(),""),"")</x:f>
      </x:c>
      <x:c r="U245" s="105" t="str">
        <x:f t="shared" si="79"/>
      </x:c>
      <x:c r="V245" s="104" t="str">
        <x:f t="array" ref="V245">IF(C245&lt;&gt;"",_xlfn.IFS(V$10="AT",RECORD!HC247,V$10="LECTURE",BF245,TRUE(),""),"")</x:f>
      </x:c>
      <x:c r="W245" s="106" t="str">
        <x:f t="shared" si="80"/>
      </x:c>
      <x:c r="X245" s="107" t="str">
        <x:f t="array" ref="X245">IF(C245&lt;&gt;"",_xlfn.IFS(X$10="EXAM",RECORD!HD247,X$10="OUTPUT",RECORD!HE247,X$10="LAB",CF245,TRUE(),""),"")</x:f>
      </x:c>
      <x:c r="Y245" s="106" t="str">
        <x:f t="shared" si="81"/>
      </x:c>
      <x:c r="Z245" s="108" t="str">
        <x:f t="shared" si="82"/>
      </x:c>
      <x:c r="AA245" s="109" t="str">
        <x:f t="shared" si="83"/>
      </x:c>
      <x:c r="AB245" s="111" t="str">
        <x:f t="shared" si="84"/>
      </x:c>
      <x:c r="AC245" s="109" t="str">
        <x:f t="shared" si="85"/>
      </x:c>
      <x:c r="AD245" s="112"/>
      <x:c r="AE245" s="102"/>
      <x:c r="AF245" s="113"/>
      <x:c r="AG245" s="112"/>
      <x:c r="AH245" s="103"/>
      <x:c r="AI245" s="114"/>
      <x:c r="AJ245" s="102"/>
      <x:c r="AK245" s="102"/>
      <x:c r="AL245" s="102"/>
      <x:c r="AM245" s="102"/>
      <x:c r="AN245" s="102"/>
      <x:c r="AO245" s="102"/>
      <x:c r="AP245" s="102"/>
      <x:c r="AQ245" s="109" t="str">
        <x:f t="shared" si="86"/>
        <x:v>FAILED</x:v>
      </x:c>
      <x:c r="AR245" s="115"/>
      <x:c r="AS245" s="115"/>
      <x:c r="AT245" s="107"/>
      <x:c r="AU245" s="107"/>
      <x:c r="AV245" s="107"/>
      <x:c r="AW245" s="107"/>
      <x:c r="AX245" s="107"/>
      <x:c r="AY245" s="109" t="str">
        <x:f t="shared" si="87"/>
        <x:v>FAILED</x:v>
      </x:c>
      <x:c r="AZ245" s="115"/>
      <x:c r="BA245" s="115"/>
      <x:c r="BB245" s="107"/>
      <x:c r="BC245" s="107"/>
      <x:c r="BD245" s="107"/>
      <x:c r="BE245" s="107"/>
      <x:c r="BF245" s="107"/>
      <x:c r="BG245" s="109" t="str">
        <x:f t="shared" si="88"/>
        <x:v>FAILED</x:v>
      </x:c>
      <x:c r="BH245" s="117"/>
      <x:c r="BI245" s="102"/>
      <x:c r="BJ245" s="102"/>
      <x:c r="BK245" s="102"/>
      <x:c r="BL245" s="102"/>
      <x:c r="BM245" s="102"/>
      <x:c r="BN245" s="102"/>
      <x:c r="BO245" s="102"/>
      <x:c r="BP245" s="102"/>
      <x:c r="BQ245" s="109" t="str">
        <x:f t="shared" si="89"/>
        <x:v>FAILED</x:v>
      </x:c>
      <x:c r="BR245" s="115"/>
      <x:c r="BS245" s="115"/>
      <x:c r="BT245" s="107"/>
      <x:c r="BU245" s="107"/>
      <x:c r="BV245" s="107"/>
      <x:c r="BW245" s="107"/>
      <x:c r="BX245" s="107"/>
      <x:c r="BY245" s="109" t="str">
        <x:f t="shared" si="90"/>
        <x:v>FAILED</x:v>
      </x:c>
      <x:c r="BZ245" s="115"/>
      <x:c r="CA245" s="115"/>
      <x:c r="CB245" s="107"/>
      <x:c r="CC245" s="107"/>
      <x:c r="CD245" s="107"/>
      <x:c r="CE245" s="107"/>
      <x:c r="CF245" s="107"/>
      <x:c r="CG245" s="109" t="str">
        <x:f t="shared" si="91"/>
        <x:v>FAILED</x:v>
      </x:c>
      <x:c r="CH245" s="117"/>
    </x:row>
    <x:row r="246">
      <x:c r="A246" s="102" t="str">
        <x:f>IF(RECORD!A248="","",RECORD!A248)</x:f>
      </x:c>
      <x:c r="B246" s="102" t="str">
        <x:f>IF(RECORD!B248="","",RECORD!B248)</x:f>
      </x:c>
      <x:c r="C246" s="103" t="str">
        <x:f>IF(RECORD!C248="","",RECORD!C248)</x:f>
      </x:c>
      <x:c r="D246" s="104" t="str">
        <x:f t="array" ref="D246">IF(C246&lt;&gt;"",IF(F$7="SUMMER","N/A",_xlfn.IFS(D$10="TLA",RECORD!GO248,F$10="LECTURE","",TRUE(),"")),"")</x:f>
      </x:c>
      <x:c r="E246" s="105" t="str">
        <x:f t="shared" si="69"/>
      </x:c>
      <x:c r="F246" s="104" t="str">
        <x:f t="array" ref="F246">IF(C246&lt;&gt;"",IF(F$7="SUMMER","N/A",_xlfn.IFS(F$10="AT",RECORD!GI248,F$10="LECTURE",GRADES!AP246,TRUE(),"")),"")</x:f>
      </x:c>
      <x:c r="G246" s="106" t="str">
        <x:f t="shared" si="70"/>
      </x:c>
      <x:c r="H246" s="107" t="str">
        <x:f t="array" ref="H246">IF(C246&lt;&gt;"",IF(F$7="SUMMER","N/A",_xlfn.IFS(H$10="EXAM",RECORD!GJ248,H$10="OUTPUT",RECORD!GK248,H$10="LAB",BP246,TRUE(),"")),"")</x:f>
      </x:c>
      <x:c r="I246" s="106" t="str">
        <x:f t="shared" si="71"/>
      </x:c>
      <x:c r="J246" s="108" t="str">
        <x:f t="shared" si="72"/>
      </x:c>
      <x:c r="K246" s="109" t="str">
        <x:f t="shared" si="73"/>
      </x:c>
      <x:c r="L246" s="110" t="str">
        <x:f t="array" ref="L246">IF(C246&lt;&gt;"",_xlfn.IFS(L$10="TLA",RECORD!GY248,N$10="LECTURE","",TRUE(),""),"")</x:f>
      </x:c>
      <x:c r="M246" s="105" t="str">
        <x:f t="shared" si="74"/>
      </x:c>
      <x:c r="N246" s="104" t="str">
        <x:f t="array" ref="N246">IF(C246&lt;&gt;"",_xlfn.IFS(N$10="AT",RECORD!GS248,N$10="LECTURE",AX246,TRUE(),""),"")</x:f>
      </x:c>
      <x:c r="O246" s="106" t="str">
        <x:f t="shared" si="75"/>
      </x:c>
      <x:c r="P246" s="107" t="str">
        <x:f t="array" ref="P246">IF(C246&lt;&gt;"",_xlfn.IFS(P$10="EXAM",RECORD!GT248,P$10="OUTPUT",RECORD!GU248,P$10="LAB",BX246,TRUE(),""),"")</x:f>
      </x:c>
      <x:c r="Q246" s="106" t="str">
        <x:f t="shared" si="76"/>
      </x:c>
      <x:c r="R246" s="108" t="str">
        <x:f t="shared" si="77"/>
      </x:c>
      <x:c r="S246" s="109" t="str">
        <x:f t="shared" si="78"/>
      </x:c>
      <x:c r="T246" s="110" t="str">
        <x:f t="array" ref="T246">IF(C246&lt;&gt;"",_xlfn.IFS(T$10="TLA",RECORD!HI248,V$10="LECTURE","",TRUE(),""),"")</x:f>
      </x:c>
      <x:c r="U246" s="105" t="str">
        <x:f t="shared" si="79"/>
      </x:c>
      <x:c r="V246" s="104" t="str">
        <x:f t="array" ref="V246">IF(C246&lt;&gt;"",_xlfn.IFS(V$10="AT",RECORD!HC248,V$10="LECTURE",BF246,TRUE(),""),"")</x:f>
      </x:c>
      <x:c r="W246" s="106" t="str">
        <x:f t="shared" si="80"/>
      </x:c>
      <x:c r="X246" s="107" t="str">
        <x:f t="array" ref="X246">IF(C246&lt;&gt;"",_xlfn.IFS(X$10="EXAM",RECORD!HD248,X$10="OUTPUT",RECORD!HE248,X$10="LAB",CF246,TRUE(),""),"")</x:f>
      </x:c>
      <x:c r="Y246" s="106" t="str">
        <x:f t="shared" si="81"/>
      </x:c>
      <x:c r="Z246" s="108" t="str">
        <x:f t="shared" si="82"/>
      </x:c>
      <x:c r="AA246" s="109" t="str">
        <x:f t="shared" si="83"/>
      </x:c>
      <x:c r="AB246" s="111" t="str">
        <x:f t="shared" si="84"/>
      </x:c>
      <x:c r="AC246" s="109" t="str">
        <x:f t="shared" si="85"/>
      </x:c>
      <x:c r="AD246" s="112"/>
      <x:c r="AE246" s="102"/>
      <x:c r="AF246" s="113"/>
      <x:c r="AG246" s="112"/>
      <x:c r="AH246" s="103"/>
      <x:c r="AI246" s="114"/>
      <x:c r="AJ246" s="102"/>
      <x:c r="AK246" s="102"/>
      <x:c r="AL246" s="102"/>
      <x:c r="AM246" s="102"/>
      <x:c r="AN246" s="102"/>
      <x:c r="AO246" s="102"/>
      <x:c r="AP246" s="102"/>
      <x:c r="AQ246" s="109" t="str">
        <x:f t="shared" si="86"/>
        <x:v>FAILED</x:v>
      </x:c>
      <x:c r="AR246" s="115"/>
      <x:c r="AS246" s="115"/>
      <x:c r="AT246" s="107"/>
      <x:c r="AU246" s="107"/>
      <x:c r="AV246" s="107"/>
      <x:c r="AW246" s="107"/>
      <x:c r="AX246" s="107"/>
      <x:c r="AY246" s="109" t="str">
        <x:f t="shared" si="87"/>
        <x:v>FAILED</x:v>
      </x:c>
      <x:c r="AZ246" s="115"/>
      <x:c r="BA246" s="115"/>
      <x:c r="BB246" s="107"/>
      <x:c r="BC246" s="107"/>
      <x:c r="BD246" s="107"/>
      <x:c r="BE246" s="107"/>
      <x:c r="BF246" s="107"/>
      <x:c r="BG246" s="109" t="str">
        <x:f t="shared" si="88"/>
        <x:v>FAILED</x:v>
      </x:c>
      <x:c r="BH246" s="117"/>
      <x:c r="BI246" s="102"/>
      <x:c r="BJ246" s="102"/>
      <x:c r="BK246" s="102"/>
      <x:c r="BL246" s="102"/>
      <x:c r="BM246" s="102"/>
      <x:c r="BN246" s="102"/>
      <x:c r="BO246" s="102"/>
      <x:c r="BP246" s="102"/>
      <x:c r="BQ246" s="109" t="str">
        <x:f t="shared" si="89"/>
        <x:v>FAILED</x:v>
      </x:c>
      <x:c r="BR246" s="115"/>
      <x:c r="BS246" s="115"/>
      <x:c r="BT246" s="107"/>
      <x:c r="BU246" s="107"/>
      <x:c r="BV246" s="107"/>
      <x:c r="BW246" s="107"/>
      <x:c r="BX246" s="107"/>
      <x:c r="BY246" s="109" t="str">
        <x:f t="shared" si="90"/>
        <x:v>FAILED</x:v>
      </x:c>
      <x:c r="BZ246" s="115"/>
      <x:c r="CA246" s="115"/>
      <x:c r="CB246" s="107"/>
      <x:c r="CC246" s="107"/>
      <x:c r="CD246" s="107"/>
      <x:c r="CE246" s="107"/>
      <x:c r="CF246" s="107"/>
      <x:c r="CG246" s="109" t="str">
        <x:f t="shared" si="91"/>
        <x:v>FAILED</x:v>
      </x:c>
      <x:c r="CH246" s="117"/>
    </x:row>
    <x:row r="247">
      <x:c r="A247" s="102" t="str">
        <x:f>IF(RECORD!A249="","",RECORD!A249)</x:f>
      </x:c>
      <x:c r="B247" s="102" t="str">
        <x:f>IF(RECORD!B249="","",RECORD!B249)</x:f>
      </x:c>
      <x:c r="C247" s="103" t="str">
        <x:f>IF(RECORD!C249="","",RECORD!C249)</x:f>
      </x:c>
      <x:c r="D247" s="104" t="str">
        <x:f t="array" ref="D247">IF(C247&lt;&gt;"",IF(F$7="SUMMER","N/A",_xlfn.IFS(D$10="TLA",RECORD!GO249,F$10="LECTURE","",TRUE(),"")),"")</x:f>
      </x:c>
      <x:c r="E247" s="105" t="str">
        <x:f t="shared" si="69"/>
      </x:c>
      <x:c r="F247" s="104" t="str">
        <x:f t="array" ref="F247">IF(C247&lt;&gt;"",IF(F$7="SUMMER","N/A",_xlfn.IFS(F$10="AT",RECORD!GI249,F$10="LECTURE",GRADES!AP247,TRUE(),"")),"")</x:f>
      </x:c>
      <x:c r="G247" s="106" t="str">
        <x:f t="shared" si="70"/>
      </x:c>
      <x:c r="H247" s="107" t="str">
        <x:f t="array" ref="H247">IF(C247&lt;&gt;"",IF(F$7="SUMMER","N/A",_xlfn.IFS(H$10="EXAM",RECORD!GJ249,H$10="OUTPUT",RECORD!GK249,H$10="LAB",BP247,TRUE(),"")),"")</x:f>
      </x:c>
      <x:c r="I247" s="106" t="str">
        <x:f t="shared" si="71"/>
      </x:c>
      <x:c r="J247" s="108" t="str">
        <x:f t="shared" si="72"/>
      </x:c>
      <x:c r="K247" s="109" t="str">
        <x:f t="shared" si="73"/>
      </x:c>
      <x:c r="L247" s="110" t="str">
        <x:f t="array" ref="L247">IF(C247&lt;&gt;"",_xlfn.IFS(L$10="TLA",RECORD!GY249,N$10="LECTURE","",TRUE(),""),"")</x:f>
      </x:c>
      <x:c r="M247" s="105" t="str">
        <x:f t="shared" si="74"/>
      </x:c>
      <x:c r="N247" s="104" t="str">
        <x:f t="array" ref="N247">IF(C247&lt;&gt;"",_xlfn.IFS(N$10="AT",RECORD!GS249,N$10="LECTURE",AX247,TRUE(),""),"")</x:f>
      </x:c>
      <x:c r="O247" s="106" t="str">
        <x:f t="shared" si="75"/>
      </x:c>
      <x:c r="P247" s="107" t="str">
        <x:f t="array" ref="P247">IF(C247&lt;&gt;"",_xlfn.IFS(P$10="EXAM",RECORD!GT249,P$10="OUTPUT",RECORD!GU249,P$10="LAB",BX247,TRUE(),""),"")</x:f>
      </x:c>
      <x:c r="Q247" s="106" t="str">
        <x:f t="shared" si="76"/>
      </x:c>
      <x:c r="R247" s="108" t="str">
        <x:f t="shared" si="77"/>
      </x:c>
      <x:c r="S247" s="109" t="str">
        <x:f t="shared" si="78"/>
      </x:c>
      <x:c r="T247" s="110" t="str">
        <x:f t="array" ref="T247">IF(C247&lt;&gt;"",_xlfn.IFS(T$10="TLA",RECORD!HI249,V$10="LECTURE","",TRUE(),""),"")</x:f>
      </x:c>
      <x:c r="U247" s="105" t="str">
        <x:f t="shared" si="79"/>
      </x:c>
      <x:c r="V247" s="104" t="str">
        <x:f t="array" ref="V247">IF(C247&lt;&gt;"",_xlfn.IFS(V$10="AT",RECORD!HC249,V$10="LECTURE",BF247,TRUE(),""),"")</x:f>
      </x:c>
      <x:c r="W247" s="106" t="str">
        <x:f t="shared" si="80"/>
      </x:c>
      <x:c r="X247" s="107" t="str">
        <x:f t="array" ref="X247">IF(C247&lt;&gt;"",_xlfn.IFS(X$10="EXAM",RECORD!HD249,X$10="OUTPUT",RECORD!HE249,X$10="LAB",CF247,TRUE(),""),"")</x:f>
      </x:c>
      <x:c r="Y247" s="106" t="str">
        <x:f t="shared" si="81"/>
      </x:c>
      <x:c r="Z247" s="108" t="str">
        <x:f t="shared" si="82"/>
      </x:c>
      <x:c r="AA247" s="109" t="str">
        <x:f t="shared" si="83"/>
      </x:c>
      <x:c r="AB247" s="111" t="str">
        <x:f t="shared" si="84"/>
      </x:c>
      <x:c r="AC247" s="109" t="str">
        <x:f t="shared" si="85"/>
      </x:c>
      <x:c r="AD247" s="112"/>
      <x:c r="AE247" s="102"/>
      <x:c r="AF247" s="113"/>
      <x:c r="AG247" s="112"/>
      <x:c r="AH247" s="103"/>
      <x:c r="AI247" s="114"/>
      <x:c r="AJ247" s="102"/>
      <x:c r="AK247" s="102"/>
      <x:c r="AL247" s="102"/>
      <x:c r="AM247" s="102"/>
      <x:c r="AN247" s="102"/>
      <x:c r="AO247" s="102"/>
      <x:c r="AP247" s="102"/>
      <x:c r="AQ247" s="109" t="str">
        <x:f t="shared" si="86"/>
        <x:v>FAILED</x:v>
      </x:c>
      <x:c r="AR247" s="115"/>
      <x:c r="AS247" s="115"/>
      <x:c r="AT247" s="107"/>
      <x:c r="AU247" s="107"/>
      <x:c r="AV247" s="107"/>
      <x:c r="AW247" s="107"/>
      <x:c r="AX247" s="107"/>
      <x:c r="AY247" s="109" t="str">
        <x:f t="shared" si="87"/>
        <x:v>FAILED</x:v>
      </x:c>
      <x:c r="AZ247" s="115"/>
      <x:c r="BA247" s="115"/>
      <x:c r="BB247" s="107"/>
      <x:c r="BC247" s="107"/>
      <x:c r="BD247" s="107"/>
      <x:c r="BE247" s="107"/>
      <x:c r="BF247" s="107"/>
      <x:c r="BG247" s="109" t="str">
        <x:f t="shared" si="88"/>
        <x:v>FAILED</x:v>
      </x:c>
      <x:c r="BH247" s="117"/>
      <x:c r="BI247" s="102"/>
      <x:c r="BJ247" s="102"/>
      <x:c r="BK247" s="102"/>
      <x:c r="BL247" s="102"/>
      <x:c r="BM247" s="102"/>
      <x:c r="BN247" s="102"/>
      <x:c r="BO247" s="102"/>
      <x:c r="BP247" s="102"/>
      <x:c r="BQ247" s="109" t="str">
        <x:f t="shared" si="89"/>
        <x:v>FAILED</x:v>
      </x:c>
      <x:c r="BR247" s="115"/>
      <x:c r="BS247" s="115"/>
      <x:c r="BT247" s="107"/>
      <x:c r="BU247" s="107"/>
      <x:c r="BV247" s="107"/>
      <x:c r="BW247" s="107"/>
      <x:c r="BX247" s="107"/>
      <x:c r="BY247" s="109" t="str">
        <x:f t="shared" si="90"/>
        <x:v>FAILED</x:v>
      </x:c>
      <x:c r="BZ247" s="115"/>
      <x:c r="CA247" s="115"/>
      <x:c r="CB247" s="107"/>
      <x:c r="CC247" s="107"/>
      <x:c r="CD247" s="107"/>
      <x:c r="CE247" s="107"/>
      <x:c r="CF247" s="107"/>
      <x:c r="CG247" s="109" t="str">
        <x:f t="shared" si="91"/>
        <x:v>FAILED</x:v>
      </x:c>
      <x:c r="CH247" s="117"/>
    </x:row>
    <x:row r="248">
      <x:c r="A248" s="102" t="str">
        <x:f>IF(RECORD!A250="","",RECORD!A250)</x:f>
      </x:c>
      <x:c r="B248" s="102" t="str">
        <x:f>IF(RECORD!B250="","",RECORD!B250)</x:f>
      </x:c>
      <x:c r="C248" s="103" t="str">
        <x:f>IF(RECORD!C250="","",RECORD!C250)</x:f>
      </x:c>
      <x:c r="D248" s="104" t="str">
        <x:f t="array" ref="D248">IF(C248&lt;&gt;"",IF(F$7="SUMMER","N/A",_xlfn.IFS(D$10="TLA",RECORD!GO250,F$10="LECTURE","",TRUE(),"")),"")</x:f>
      </x:c>
      <x:c r="E248" s="105" t="str">
        <x:f t="shared" si="69"/>
      </x:c>
      <x:c r="F248" s="104" t="str">
        <x:f t="array" ref="F248">IF(C248&lt;&gt;"",IF(F$7="SUMMER","N/A",_xlfn.IFS(F$10="AT",RECORD!GI250,F$10="LECTURE",GRADES!AP248,TRUE(),"")),"")</x:f>
      </x:c>
      <x:c r="G248" s="106" t="str">
        <x:f t="shared" si="70"/>
      </x:c>
      <x:c r="H248" s="107" t="str">
        <x:f t="array" ref="H248">IF(C248&lt;&gt;"",IF(F$7="SUMMER","N/A",_xlfn.IFS(H$10="EXAM",RECORD!GJ250,H$10="OUTPUT",RECORD!GK250,H$10="LAB",BP248,TRUE(),"")),"")</x:f>
      </x:c>
      <x:c r="I248" s="106" t="str">
        <x:f t="shared" si="71"/>
      </x:c>
      <x:c r="J248" s="108" t="str">
        <x:f t="shared" si="72"/>
      </x:c>
      <x:c r="K248" s="109" t="str">
        <x:f t="shared" si="73"/>
      </x:c>
      <x:c r="L248" s="110" t="str">
        <x:f t="array" ref="L248">IF(C248&lt;&gt;"",_xlfn.IFS(L$10="TLA",RECORD!GY250,N$10="LECTURE","",TRUE(),""),"")</x:f>
      </x:c>
      <x:c r="M248" s="105" t="str">
        <x:f t="shared" si="74"/>
      </x:c>
      <x:c r="N248" s="104" t="str">
        <x:f t="array" ref="N248">IF(C248&lt;&gt;"",_xlfn.IFS(N$10="AT",RECORD!GS250,N$10="LECTURE",AX248,TRUE(),""),"")</x:f>
      </x:c>
      <x:c r="O248" s="106" t="str">
        <x:f t="shared" si="75"/>
      </x:c>
      <x:c r="P248" s="107" t="str">
        <x:f t="array" ref="P248">IF(C248&lt;&gt;"",_xlfn.IFS(P$10="EXAM",RECORD!GT250,P$10="OUTPUT",RECORD!GU250,P$10="LAB",BX248,TRUE(),""),"")</x:f>
      </x:c>
      <x:c r="Q248" s="106" t="str">
        <x:f t="shared" si="76"/>
      </x:c>
      <x:c r="R248" s="108" t="str">
        <x:f t="shared" si="77"/>
      </x:c>
      <x:c r="S248" s="109" t="str">
        <x:f t="shared" si="78"/>
      </x:c>
      <x:c r="T248" s="110" t="str">
        <x:f t="array" ref="T248">IF(C248&lt;&gt;"",_xlfn.IFS(T$10="TLA",RECORD!HI250,V$10="LECTURE","",TRUE(),""),"")</x:f>
      </x:c>
      <x:c r="U248" s="105" t="str">
        <x:f t="shared" si="79"/>
      </x:c>
      <x:c r="V248" s="104" t="str">
        <x:f t="array" ref="V248">IF(C248&lt;&gt;"",_xlfn.IFS(V$10="AT",RECORD!HC250,V$10="LECTURE",BF248,TRUE(),""),"")</x:f>
      </x:c>
      <x:c r="W248" s="106" t="str">
        <x:f t="shared" si="80"/>
      </x:c>
      <x:c r="X248" s="107" t="str">
        <x:f t="array" ref="X248">IF(C248&lt;&gt;"",_xlfn.IFS(X$10="EXAM",RECORD!HD250,X$10="OUTPUT",RECORD!HE250,X$10="LAB",CF248,TRUE(),""),"")</x:f>
      </x:c>
      <x:c r="Y248" s="106" t="str">
        <x:f t="shared" si="81"/>
      </x:c>
      <x:c r="Z248" s="108" t="str">
        <x:f t="shared" si="82"/>
      </x:c>
      <x:c r="AA248" s="109" t="str">
        <x:f t="shared" si="83"/>
      </x:c>
      <x:c r="AB248" s="111" t="str">
        <x:f t="shared" si="84"/>
      </x:c>
      <x:c r="AC248" s="109" t="str">
        <x:f t="shared" si="85"/>
      </x:c>
      <x:c r="AD248" s="112"/>
      <x:c r="AE248" s="102"/>
      <x:c r="AF248" s="113"/>
      <x:c r="AG248" s="112"/>
      <x:c r="AH248" s="103"/>
      <x:c r="AI248" s="114"/>
      <x:c r="AJ248" s="102"/>
      <x:c r="AK248" s="102"/>
      <x:c r="AL248" s="102"/>
      <x:c r="AM248" s="102"/>
      <x:c r="AN248" s="102"/>
      <x:c r="AO248" s="102"/>
      <x:c r="AP248" s="102"/>
      <x:c r="AQ248" s="109" t="str">
        <x:f t="shared" si="86"/>
        <x:v>FAILED</x:v>
      </x:c>
      <x:c r="AR248" s="115"/>
      <x:c r="AS248" s="115"/>
      <x:c r="AT248" s="107"/>
      <x:c r="AU248" s="107"/>
      <x:c r="AV248" s="107"/>
      <x:c r="AW248" s="107"/>
      <x:c r="AX248" s="107"/>
      <x:c r="AY248" s="109" t="str">
        <x:f t="shared" si="87"/>
        <x:v>FAILED</x:v>
      </x:c>
      <x:c r="AZ248" s="115"/>
      <x:c r="BA248" s="115"/>
      <x:c r="BB248" s="107"/>
      <x:c r="BC248" s="107"/>
      <x:c r="BD248" s="107"/>
      <x:c r="BE248" s="107"/>
      <x:c r="BF248" s="107"/>
      <x:c r="BG248" s="109" t="str">
        <x:f t="shared" si="88"/>
        <x:v>FAILED</x:v>
      </x:c>
      <x:c r="BH248" s="117"/>
      <x:c r="BI248" s="102"/>
      <x:c r="BJ248" s="102"/>
      <x:c r="BK248" s="102"/>
      <x:c r="BL248" s="102"/>
      <x:c r="BM248" s="102"/>
      <x:c r="BN248" s="102"/>
      <x:c r="BO248" s="102"/>
      <x:c r="BP248" s="102"/>
      <x:c r="BQ248" s="109" t="str">
        <x:f t="shared" si="89"/>
        <x:v>FAILED</x:v>
      </x:c>
      <x:c r="BR248" s="115"/>
      <x:c r="BS248" s="115"/>
      <x:c r="BT248" s="107"/>
      <x:c r="BU248" s="107"/>
      <x:c r="BV248" s="107"/>
      <x:c r="BW248" s="107"/>
      <x:c r="BX248" s="107"/>
      <x:c r="BY248" s="109" t="str">
        <x:f t="shared" si="90"/>
        <x:v>FAILED</x:v>
      </x:c>
      <x:c r="BZ248" s="115"/>
      <x:c r="CA248" s="115"/>
      <x:c r="CB248" s="107"/>
      <x:c r="CC248" s="107"/>
      <x:c r="CD248" s="107"/>
      <x:c r="CE248" s="107"/>
      <x:c r="CF248" s="107"/>
      <x:c r="CG248" s="109" t="str">
        <x:f t="shared" si="91"/>
        <x:v>FAILED</x:v>
      </x:c>
      <x:c r="CH248" s="117"/>
    </x:row>
    <x:row r="249">
      <x:c r="A249" s="102" t="str">
        <x:f>IF(RECORD!A251="","",RECORD!A251)</x:f>
      </x:c>
      <x:c r="B249" s="102" t="str">
        <x:f>IF(RECORD!B251="","",RECORD!B251)</x:f>
      </x:c>
      <x:c r="C249" s="103" t="str">
        <x:f>IF(RECORD!C251="","",RECORD!C251)</x:f>
      </x:c>
      <x:c r="D249" s="104" t="str">
        <x:f t="array" ref="D249">IF(C249&lt;&gt;"",IF(F$7="SUMMER","N/A",_xlfn.IFS(D$10="TLA",RECORD!GO251,F$10="LECTURE","",TRUE(),"")),"")</x:f>
      </x:c>
      <x:c r="E249" s="105" t="str">
        <x:f t="shared" si="69"/>
      </x:c>
      <x:c r="F249" s="104" t="str">
        <x:f t="array" ref="F249">IF(C249&lt;&gt;"",IF(F$7="SUMMER","N/A",_xlfn.IFS(F$10="AT",RECORD!GI251,F$10="LECTURE",GRADES!AP249,TRUE(),"")),"")</x:f>
      </x:c>
      <x:c r="G249" s="106" t="str">
        <x:f t="shared" si="70"/>
      </x:c>
      <x:c r="H249" s="107" t="str">
        <x:f t="array" ref="H249">IF(C249&lt;&gt;"",IF(F$7="SUMMER","N/A",_xlfn.IFS(H$10="EXAM",RECORD!GJ251,H$10="OUTPUT",RECORD!GK251,H$10="LAB",BP249,TRUE(),"")),"")</x:f>
      </x:c>
      <x:c r="I249" s="106" t="str">
        <x:f t="shared" si="71"/>
      </x:c>
      <x:c r="J249" s="108" t="str">
        <x:f t="shared" si="72"/>
      </x:c>
      <x:c r="K249" s="109" t="str">
        <x:f t="shared" si="73"/>
      </x:c>
      <x:c r="L249" s="110" t="str">
        <x:f t="array" ref="L249">IF(C249&lt;&gt;"",_xlfn.IFS(L$10="TLA",RECORD!GY251,N$10="LECTURE","",TRUE(),""),"")</x:f>
      </x:c>
      <x:c r="M249" s="105" t="str">
        <x:f t="shared" si="74"/>
      </x:c>
      <x:c r="N249" s="104" t="str">
        <x:f t="array" ref="N249">IF(C249&lt;&gt;"",_xlfn.IFS(N$10="AT",RECORD!GS251,N$10="LECTURE",AX249,TRUE(),""),"")</x:f>
      </x:c>
      <x:c r="O249" s="106" t="str">
        <x:f t="shared" si="75"/>
      </x:c>
      <x:c r="P249" s="107" t="str">
        <x:f t="array" ref="P249">IF(C249&lt;&gt;"",_xlfn.IFS(P$10="EXAM",RECORD!GT251,P$10="OUTPUT",RECORD!GU251,P$10="LAB",BX249,TRUE(),""),"")</x:f>
      </x:c>
      <x:c r="Q249" s="106" t="str">
        <x:f t="shared" si="76"/>
      </x:c>
      <x:c r="R249" s="108" t="str">
        <x:f t="shared" si="77"/>
      </x:c>
      <x:c r="S249" s="109" t="str">
        <x:f t="shared" si="78"/>
      </x:c>
      <x:c r="T249" s="110" t="str">
        <x:f t="array" ref="T249">IF(C249&lt;&gt;"",_xlfn.IFS(T$10="TLA",RECORD!HI251,V$10="LECTURE","",TRUE(),""),"")</x:f>
      </x:c>
      <x:c r="U249" s="105" t="str">
        <x:f t="shared" si="79"/>
      </x:c>
      <x:c r="V249" s="104" t="str">
        <x:f t="array" ref="V249">IF(C249&lt;&gt;"",_xlfn.IFS(V$10="AT",RECORD!HC251,V$10="LECTURE",BF249,TRUE(),""),"")</x:f>
      </x:c>
      <x:c r="W249" s="106" t="str">
        <x:f t="shared" si="80"/>
      </x:c>
      <x:c r="X249" s="107" t="str">
        <x:f t="array" ref="X249">IF(C249&lt;&gt;"",_xlfn.IFS(X$10="EXAM",RECORD!HD251,X$10="OUTPUT",RECORD!HE251,X$10="LAB",CF249,TRUE(),""),"")</x:f>
      </x:c>
      <x:c r="Y249" s="106" t="str">
        <x:f t="shared" si="81"/>
      </x:c>
      <x:c r="Z249" s="108" t="str">
        <x:f t="shared" si="82"/>
      </x:c>
      <x:c r="AA249" s="109" t="str">
        <x:f t="shared" si="83"/>
      </x:c>
      <x:c r="AB249" s="111" t="str">
        <x:f t="shared" si="84"/>
      </x:c>
      <x:c r="AC249" s="109" t="str">
        <x:f t="shared" si="85"/>
      </x:c>
      <x:c r="AD249" s="112"/>
      <x:c r="AE249" s="102"/>
      <x:c r="AF249" s="113"/>
      <x:c r="AG249" s="112"/>
      <x:c r="AH249" s="103"/>
      <x:c r="AI249" s="114"/>
      <x:c r="AJ249" s="102"/>
      <x:c r="AK249" s="102"/>
      <x:c r="AL249" s="102"/>
      <x:c r="AM249" s="102"/>
      <x:c r="AN249" s="102"/>
      <x:c r="AO249" s="102"/>
      <x:c r="AP249" s="102"/>
      <x:c r="AQ249" s="109" t="str">
        <x:f t="shared" si="86"/>
        <x:v>FAILED</x:v>
      </x:c>
      <x:c r="AR249" s="115"/>
      <x:c r="AS249" s="115"/>
      <x:c r="AT249" s="107"/>
      <x:c r="AU249" s="107"/>
      <x:c r="AV249" s="107"/>
      <x:c r="AW249" s="107"/>
      <x:c r="AX249" s="107"/>
      <x:c r="AY249" s="109" t="str">
        <x:f t="shared" si="87"/>
        <x:v>FAILED</x:v>
      </x:c>
      <x:c r="AZ249" s="115"/>
      <x:c r="BA249" s="115"/>
      <x:c r="BB249" s="107"/>
      <x:c r="BC249" s="107"/>
      <x:c r="BD249" s="107"/>
      <x:c r="BE249" s="107"/>
      <x:c r="BF249" s="107"/>
      <x:c r="BG249" s="109" t="str">
        <x:f t="shared" si="88"/>
        <x:v>FAILED</x:v>
      </x:c>
      <x:c r="BH249" s="117"/>
      <x:c r="BI249" s="102"/>
      <x:c r="BJ249" s="102"/>
      <x:c r="BK249" s="102"/>
      <x:c r="BL249" s="102"/>
      <x:c r="BM249" s="102"/>
      <x:c r="BN249" s="102"/>
      <x:c r="BO249" s="102"/>
      <x:c r="BP249" s="102"/>
      <x:c r="BQ249" s="109" t="str">
        <x:f t="shared" si="89"/>
        <x:v>FAILED</x:v>
      </x:c>
      <x:c r="BR249" s="115"/>
      <x:c r="BS249" s="115"/>
      <x:c r="BT249" s="107"/>
      <x:c r="BU249" s="107"/>
      <x:c r="BV249" s="107"/>
      <x:c r="BW249" s="107"/>
      <x:c r="BX249" s="107"/>
      <x:c r="BY249" s="109" t="str">
        <x:f t="shared" si="90"/>
        <x:v>FAILED</x:v>
      </x:c>
      <x:c r="BZ249" s="115"/>
      <x:c r="CA249" s="115"/>
      <x:c r="CB249" s="107"/>
      <x:c r="CC249" s="107"/>
      <x:c r="CD249" s="107"/>
      <x:c r="CE249" s="107"/>
      <x:c r="CF249" s="107"/>
      <x:c r="CG249" s="109" t="str">
        <x:f t="shared" si="91"/>
        <x:v>FAILED</x:v>
      </x:c>
      <x:c r="CH249" s="117"/>
    </x:row>
    <x:row r="250">
      <x:c r="A250" s="102" t="str">
        <x:f>IF(RECORD!A252="","",RECORD!A252)</x:f>
      </x:c>
      <x:c r="B250" s="102" t="str">
        <x:f>IF(RECORD!B252="","",RECORD!B252)</x:f>
      </x:c>
      <x:c r="C250" s="103" t="str">
        <x:f>IF(RECORD!C252="","",RECORD!C252)</x:f>
      </x:c>
      <x:c r="D250" s="104" t="str">
        <x:f t="array" ref="D250">IF(C250&lt;&gt;"",IF(F$7="SUMMER","N/A",_xlfn.IFS(D$10="TLA",RECORD!GO252,F$10="LECTURE","",TRUE(),"")),"")</x:f>
      </x:c>
      <x:c r="E250" s="105" t="str">
        <x:f t="shared" si="69"/>
      </x:c>
      <x:c r="F250" s="104" t="str">
        <x:f t="array" ref="F250">IF(C250&lt;&gt;"",IF(F$7="SUMMER","N/A",_xlfn.IFS(F$10="AT",RECORD!GI252,F$10="LECTURE",GRADES!AP250,TRUE(),"")),"")</x:f>
      </x:c>
      <x:c r="G250" s="106" t="str">
        <x:f t="shared" si="70"/>
      </x:c>
      <x:c r="H250" s="107" t="str">
        <x:f t="array" ref="H250">IF(C250&lt;&gt;"",IF(F$7="SUMMER","N/A",_xlfn.IFS(H$10="EXAM",RECORD!GJ252,H$10="OUTPUT",RECORD!GK252,H$10="LAB",BP250,TRUE(),"")),"")</x:f>
      </x:c>
      <x:c r="I250" s="106" t="str">
        <x:f t="shared" si="71"/>
      </x:c>
      <x:c r="J250" s="108" t="str">
        <x:f t="shared" si="72"/>
      </x:c>
      <x:c r="K250" s="109" t="str">
        <x:f t="shared" si="73"/>
      </x:c>
      <x:c r="L250" s="110" t="str">
        <x:f t="array" ref="L250">IF(C250&lt;&gt;"",_xlfn.IFS(L$10="TLA",RECORD!GY252,N$10="LECTURE","",TRUE(),""),"")</x:f>
      </x:c>
      <x:c r="M250" s="105" t="str">
        <x:f t="shared" si="74"/>
      </x:c>
      <x:c r="N250" s="104" t="str">
        <x:f t="array" ref="N250">IF(C250&lt;&gt;"",_xlfn.IFS(N$10="AT",RECORD!GS252,N$10="LECTURE",AX250,TRUE(),""),"")</x:f>
      </x:c>
      <x:c r="O250" s="106" t="str">
        <x:f t="shared" si="75"/>
      </x:c>
      <x:c r="P250" s="107" t="str">
        <x:f t="array" ref="P250">IF(C250&lt;&gt;"",_xlfn.IFS(P$10="EXAM",RECORD!GT252,P$10="OUTPUT",RECORD!GU252,P$10="LAB",BX250,TRUE(),""),"")</x:f>
      </x:c>
      <x:c r="Q250" s="106" t="str">
        <x:f t="shared" si="76"/>
      </x:c>
      <x:c r="R250" s="108" t="str">
        <x:f t="shared" si="77"/>
      </x:c>
      <x:c r="S250" s="109" t="str">
        <x:f t="shared" si="78"/>
      </x:c>
      <x:c r="T250" s="110" t="str">
        <x:f t="array" ref="T250">IF(C250&lt;&gt;"",_xlfn.IFS(T$10="TLA",RECORD!HI252,V$10="LECTURE","",TRUE(),""),"")</x:f>
      </x:c>
      <x:c r="U250" s="105" t="str">
        <x:f t="shared" si="79"/>
      </x:c>
      <x:c r="V250" s="104" t="str">
        <x:f t="array" ref="V250">IF(C250&lt;&gt;"",_xlfn.IFS(V$10="AT",RECORD!HC252,V$10="LECTURE",BF250,TRUE(),""),"")</x:f>
      </x:c>
      <x:c r="W250" s="106" t="str">
        <x:f t="shared" si="80"/>
      </x:c>
      <x:c r="X250" s="107" t="str">
        <x:f t="array" ref="X250">IF(C250&lt;&gt;"",_xlfn.IFS(X$10="EXAM",RECORD!HD252,X$10="OUTPUT",RECORD!HE252,X$10="LAB",CF250,TRUE(),""),"")</x:f>
      </x:c>
      <x:c r="Y250" s="106" t="str">
        <x:f t="shared" si="81"/>
      </x:c>
      <x:c r="Z250" s="108" t="str">
        <x:f t="shared" si="82"/>
      </x:c>
      <x:c r="AA250" s="109" t="str">
        <x:f t="shared" si="83"/>
      </x:c>
      <x:c r="AB250" s="111" t="str">
        <x:f t="shared" si="84"/>
      </x:c>
      <x:c r="AC250" s="109" t="str">
        <x:f t="shared" si="85"/>
      </x:c>
      <x:c r="AD250" s="112"/>
      <x:c r="AE250" s="102"/>
      <x:c r="AF250" s="113"/>
      <x:c r="AG250" s="112"/>
      <x:c r="AH250" s="103"/>
      <x:c r="AI250" s="114"/>
      <x:c r="AJ250" s="102"/>
      <x:c r="AK250" s="102"/>
      <x:c r="AL250" s="102"/>
      <x:c r="AM250" s="102"/>
      <x:c r="AN250" s="102"/>
      <x:c r="AO250" s="102"/>
      <x:c r="AP250" s="102"/>
      <x:c r="AQ250" s="109" t="str">
        <x:f t="shared" si="86"/>
        <x:v>FAILED</x:v>
      </x:c>
      <x:c r="AR250" s="115"/>
      <x:c r="AS250" s="115"/>
      <x:c r="AT250" s="107"/>
      <x:c r="AU250" s="107"/>
      <x:c r="AV250" s="107"/>
      <x:c r="AW250" s="107"/>
      <x:c r="AX250" s="107"/>
      <x:c r="AY250" s="109" t="str">
        <x:f t="shared" si="87"/>
        <x:v>FAILED</x:v>
      </x:c>
      <x:c r="AZ250" s="115"/>
      <x:c r="BA250" s="115"/>
      <x:c r="BB250" s="107"/>
      <x:c r="BC250" s="107"/>
      <x:c r="BD250" s="107"/>
      <x:c r="BE250" s="107"/>
      <x:c r="BF250" s="107"/>
      <x:c r="BG250" s="109" t="str">
        <x:f t="shared" si="88"/>
        <x:v>FAILED</x:v>
      </x:c>
      <x:c r="BH250" s="117"/>
      <x:c r="BI250" s="102"/>
      <x:c r="BJ250" s="102"/>
      <x:c r="BK250" s="102"/>
      <x:c r="BL250" s="102"/>
      <x:c r="BM250" s="102"/>
      <x:c r="BN250" s="102"/>
      <x:c r="BO250" s="102"/>
      <x:c r="BP250" s="102"/>
      <x:c r="BQ250" s="109" t="str">
        <x:f t="shared" si="89"/>
        <x:v>FAILED</x:v>
      </x:c>
      <x:c r="BR250" s="115"/>
      <x:c r="BS250" s="115"/>
      <x:c r="BT250" s="107"/>
      <x:c r="BU250" s="107"/>
      <x:c r="BV250" s="107"/>
      <x:c r="BW250" s="107"/>
      <x:c r="BX250" s="107"/>
      <x:c r="BY250" s="109" t="str">
        <x:f t="shared" si="90"/>
        <x:v>FAILED</x:v>
      </x:c>
      <x:c r="BZ250" s="115"/>
      <x:c r="CA250" s="115"/>
      <x:c r="CB250" s="107"/>
      <x:c r="CC250" s="107"/>
      <x:c r="CD250" s="107"/>
      <x:c r="CE250" s="107"/>
      <x:c r="CF250" s="107"/>
      <x:c r="CG250" s="109" t="str">
        <x:f t="shared" si="91"/>
        <x:v>FAILED</x:v>
      </x:c>
      <x:c r="CH250" s="117"/>
    </x:row>
    <x:row r="251">
      <x:c r="A251" s="102" t="str">
        <x:f>IF(RECORD!A253="","",RECORD!A253)</x:f>
      </x:c>
      <x:c r="B251" s="102" t="str">
        <x:f>IF(RECORD!B253="","",RECORD!B253)</x:f>
      </x:c>
      <x:c r="C251" s="103" t="str">
        <x:f>IF(RECORD!C253="","",RECORD!C253)</x:f>
      </x:c>
      <x:c r="D251" s="104" t="str">
        <x:f t="array" ref="D251">IF(C251&lt;&gt;"",IF(F$7="SUMMER","N/A",_xlfn.IFS(D$10="TLA",RECORD!GO253,F$10="LECTURE","",TRUE(),"")),"")</x:f>
      </x:c>
      <x:c r="E251" s="105" t="str">
        <x:f t="shared" si="69"/>
      </x:c>
      <x:c r="F251" s="104" t="str">
        <x:f t="array" ref="F251">IF(C251&lt;&gt;"",IF(F$7="SUMMER","N/A",_xlfn.IFS(F$10="AT",RECORD!GI253,F$10="LECTURE",GRADES!AP251,TRUE(),"")),"")</x:f>
      </x:c>
      <x:c r="G251" s="106" t="str">
        <x:f t="shared" si="70"/>
      </x:c>
      <x:c r="H251" s="107" t="str">
        <x:f t="array" ref="H251">IF(C251&lt;&gt;"",IF(F$7="SUMMER","N/A",_xlfn.IFS(H$10="EXAM",RECORD!GJ253,H$10="OUTPUT",RECORD!GK253,H$10="LAB",BP251,TRUE(),"")),"")</x:f>
      </x:c>
      <x:c r="I251" s="106" t="str">
        <x:f t="shared" si="71"/>
      </x:c>
      <x:c r="J251" s="108" t="str">
        <x:f t="shared" si="72"/>
      </x:c>
      <x:c r="K251" s="109" t="str">
        <x:f t="shared" si="73"/>
      </x:c>
      <x:c r="L251" s="110" t="str">
        <x:f t="array" ref="L251">IF(C251&lt;&gt;"",_xlfn.IFS(L$10="TLA",RECORD!GY253,N$10="LECTURE","",TRUE(),""),"")</x:f>
      </x:c>
      <x:c r="M251" s="105" t="str">
        <x:f t="shared" si="74"/>
      </x:c>
      <x:c r="N251" s="104" t="str">
        <x:f t="array" ref="N251">IF(C251&lt;&gt;"",_xlfn.IFS(N$10="AT",RECORD!GS253,N$10="LECTURE",AX251,TRUE(),""),"")</x:f>
      </x:c>
      <x:c r="O251" s="106" t="str">
        <x:f t="shared" si="75"/>
      </x:c>
      <x:c r="P251" s="107" t="str">
        <x:f t="array" ref="P251">IF(C251&lt;&gt;"",_xlfn.IFS(P$10="EXAM",RECORD!GT253,P$10="OUTPUT",RECORD!GU253,P$10="LAB",BX251,TRUE(),""),"")</x:f>
      </x:c>
      <x:c r="Q251" s="106" t="str">
        <x:f t="shared" si="76"/>
      </x:c>
      <x:c r="R251" s="108" t="str">
        <x:f t="shared" si="77"/>
      </x:c>
      <x:c r="S251" s="109" t="str">
        <x:f t="shared" si="78"/>
      </x:c>
      <x:c r="T251" s="110" t="str">
        <x:f t="array" ref="T251">IF(C251&lt;&gt;"",_xlfn.IFS(T$10="TLA",RECORD!HI253,V$10="LECTURE","",TRUE(),""),"")</x:f>
      </x:c>
      <x:c r="U251" s="105" t="str">
        <x:f t="shared" si="79"/>
      </x:c>
      <x:c r="V251" s="104" t="str">
        <x:f t="array" ref="V251">IF(C251&lt;&gt;"",_xlfn.IFS(V$10="AT",RECORD!HC253,V$10="LECTURE",BF251,TRUE(),""),"")</x:f>
      </x:c>
      <x:c r="W251" s="106" t="str">
        <x:f t="shared" si="80"/>
      </x:c>
      <x:c r="X251" s="107" t="str">
        <x:f t="array" ref="X251">IF(C251&lt;&gt;"",_xlfn.IFS(X$10="EXAM",RECORD!HD253,X$10="OUTPUT",RECORD!HE253,X$10="LAB",CF251,TRUE(),""),"")</x:f>
      </x:c>
      <x:c r="Y251" s="106" t="str">
        <x:f t="shared" si="81"/>
      </x:c>
      <x:c r="Z251" s="108" t="str">
        <x:f t="shared" si="82"/>
      </x:c>
      <x:c r="AA251" s="109" t="str">
        <x:f t="shared" si="83"/>
      </x:c>
      <x:c r="AB251" s="111" t="str">
        <x:f t="shared" si="84"/>
      </x:c>
      <x:c r="AC251" s="109" t="str">
        <x:f t="shared" si="85"/>
      </x:c>
      <x:c r="AD251" s="112"/>
      <x:c r="AE251" s="102"/>
      <x:c r="AF251" s="113"/>
      <x:c r="AG251" s="112"/>
      <x:c r="AH251" s="103"/>
      <x:c r="AI251" s="114"/>
      <x:c r="AJ251" s="102"/>
      <x:c r="AK251" s="102"/>
      <x:c r="AL251" s="102"/>
      <x:c r="AM251" s="102"/>
      <x:c r="AN251" s="102"/>
      <x:c r="AO251" s="102"/>
      <x:c r="AP251" s="102"/>
      <x:c r="AQ251" s="109" t="str">
        <x:f t="shared" si="86"/>
        <x:v>FAILED</x:v>
      </x:c>
      <x:c r="AR251" s="115"/>
      <x:c r="AS251" s="115"/>
      <x:c r="AT251" s="107"/>
      <x:c r="AU251" s="107"/>
      <x:c r="AV251" s="107"/>
      <x:c r="AW251" s="107"/>
      <x:c r="AX251" s="107"/>
      <x:c r="AY251" s="109" t="str">
        <x:f t="shared" si="87"/>
        <x:v>FAILED</x:v>
      </x:c>
      <x:c r="AZ251" s="115"/>
      <x:c r="BA251" s="115"/>
      <x:c r="BB251" s="107"/>
      <x:c r="BC251" s="107"/>
      <x:c r="BD251" s="107"/>
      <x:c r="BE251" s="107"/>
      <x:c r="BF251" s="107"/>
      <x:c r="BG251" s="109" t="str">
        <x:f t="shared" si="88"/>
        <x:v>FAILED</x:v>
      </x:c>
      <x:c r="BH251" s="117"/>
      <x:c r="BI251" s="102"/>
      <x:c r="BJ251" s="102"/>
      <x:c r="BK251" s="102"/>
      <x:c r="BL251" s="102"/>
      <x:c r="BM251" s="102"/>
      <x:c r="BN251" s="102"/>
      <x:c r="BO251" s="102"/>
      <x:c r="BP251" s="102"/>
      <x:c r="BQ251" s="109" t="str">
        <x:f t="shared" si="89"/>
        <x:v>FAILED</x:v>
      </x:c>
      <x:c r="BR251" s="115"/>
      <x:c r="BS251" s="115"/>
      <x:c r="BT251" s="107"/>
      <x:c r="BU251" s="107"/>
      <x:c r="BV251" s="107"/>
      <x:c r="BW251" s="107"/>
      <x:c r="BX251" s="107"/>
      <x:c r="BY251" s="109" t="str">
        <x:f t="shared" si="90"/>
        <x:v>FAILED</x:v>
      </x:c>
      <x:c r="BZ251" s="115"/>
      <x:c r="CA251" s="115"/>
      <x:c r="CB251" s="107"/>
      <x:c r="CC251" s="107"/>
      <x:c r="CD251" s="107"/>
      <x:c r="CE251" s="107"/>
      <x:c r="CF251" s="107"/>
      <x:c r="CG251" s="109" t="str">
        <x:f t="shared" si="91"/>
        <x:v>FAILED</x:v>
      </x:c>
      <x:c r="CH251" s="117"/>
    </x:row>
    <x:row r="252">
      <x:c r="A252" s="102" t="str">
        <x:f>IF(RECORD!A254="","",RECORD!A254)</x:f>
      </x:c>
      <x:c r="B252" s="102" t="str">
        <x:f>IF(RECORD!B254="","",RECORD!B254)</x:f>
      </x:c>
      <x:c r="C252" s="103" t="str">
        <x:f>IF(RECORD!C254="","",RECORD!C254)</x:f>
      </x:c>
      <x:c r="D252" s="104" t="str">
        <x:f t="array" ref="D252">IF(C252&lt;&gt;"",IF(F$7="SUMMER","N/A",_xlfn.IFS(D$10="TLA",RECORD!GO254,F$10="LECTURE","",TRUE(),"")),"")</x:f>
      </x:c>
      <x:c r="E252" s="105" t="str">
        <x:f t="shared" si="69"/>
      </x:c>
      <x:c r="F252" s="104" t="str">
        <x:f t="array" ref="F252">IF(C252&lt;&gt;"",IF(F$7="SUMMER","N/A",_xlfn.IFS(F$10="AT",RECORD!GI254,F$10="LECTURE",GRADES!AP252,TRUE(),"")),"")</x:f>
      </x:c>
      <x:c r="G252" s="106" t="str">
        <x:f t="shared" si="70"/>
      </x:c>
      <x:c r="H252" s="107" t="str">
        <x:f t="array" ref="H252">IF(C252&lt;&gt;"",IF(F$7="SUMMER","N/A",_xlfn.IFS(H$10="EXAM",RECORD!GJ254,H$10="OUTPUT",RECORD!GK254,H$10="LAB",BP252,TRUE(),"")),"")</x:f>
      </x:c>
      <x:c r="I252" s="106" t="str">
        <x:f t="shared" si="71"/>
      </x:c>
      <x:c r="J252" s="108" t="str">
        <x:f t="shared" si="72"/>
      </x:c>
      <x:c r="K252" s="109" t="str">
        <x:f t="shared" si="73"/>
      </x:c>
      <x:c r="L252" s="110" t="str">
        <x:f t="array" ref="L252">IF(C252&lt;&gt;"",_xlfn.IFS(L$10="TLA",RECORD!GY254,N$10="LECTURE","",TRUE(),""),"")</x:f>
      </x:c>
      <x:c r="M252" s="105" t="str">
        <x:f t="shared" si="74"/>
      </x:c>
      <x:c r="N252" s="104" t="str">
        <x:f t="array" ref="N252">IF(C252&lt;&gt;"",_xlfn.IFS(N$10="AT",RECORD!GS254,N$10="LECTURE",AX252,TRUE(),""),"")</x:f>
      </x:c>
      <x:c r="O252" s="106" t="str">
        <x:f t="shared" si="75"/>
      </x:c>
      <x:c r="P252" s="107" t="str">
        <x:f t="array" ref="P252">IF(C252&lt;&gt;"",_xlfn.IFS(P$10="EXAM",RECORD!GT254,P$10="OUTPUT",RECORD!GU254,P$10="LAB",BX252,TRUE(),""),"")</x:f>
      </x:c>
      <x:c r="Q252" s="106" t="str">
        <x:f t="shared" si="76"/>
      </x:c>
      <x:c r="R252" s="108" t="str">
        <x:f t="shared" si="77"/>
      </x:c>
      <x:c r="S252" s="109" t="str">
        <x:f t="shared" si="78"/>
      </x:c>
      <x:c r="T252" s="110" t="str">
        <x:f t="array" ref="T252">IF(C252&lt;&gt;"",_xlfn.IFS(T$10="TLA",RECORD!HI254,V$10="LECTURE","",TRUE(),""),"")</x:f>
      </x:c>
      <x:c r="U252" s="105" t="str">
        <x:f t="shared" si="79"/>
      </x:c>
      <x:c r="V252" s="104" t="str">
        <x:f t="array" ref="V252">IF(C252&lt;&gt;"",_xlfn.IFS(V$10="AT",RECORD!HC254,V$10="LECTURE",BF252,TRUE(),""),"")</x:f>
      </x:c>
      <x:c r="W252" s="106" t="str">
        <x:f t="shared" si="80"/>
      </x:c>
      <x:c r="X252" s="107" t="str">
        <x:f t="array" ref="X252">IF(C252&lt;&gt;"",_xlfn.IFS(X$10="EXAM",RECORD!HD254,X$10="OUTPUT",RECORD!HE254,X$10="LAB",CF252,TRUE(),""),"")</x:f>
      </x:c>
      <x:c r="Y252" s="106" t="str">
        <x:f t="shared" si="81"/>
      </x:c>
      <x:c r="Z252" s="108" t="str">
        <x:f t="shared" si="82"/>
      </x:c>
      <x:c r="AA252" s="109" t="str">
        <x:f t="shared" si="83"/>
      </x:c>
      <x:c r="AB252" s="111" t="str">
        <x:f t="shared" si="84"/>
      </x:c>
      <x:c r="AC252" s="109" t="str">
        <x:f t="shared" si="85"/>
      </x:c>
      <x:c r="AD252" s="112"/>
      <x:c r="AE252" s="102"/>
      <x:c r="AF252" s="113"/>
      <x:c r="AG252" s="112"/>
      <x:c r="AH252" s="103"/>
      <x:c r="AI252" s="114"/>
      <x:c r="AJ252" s="102"/>
      <x:c r="AK252" s="102"/>
      <x:c r="AL252" s="102"/>
      <x:c r="AM252" s="102"/>
      <x:c r="AN252" s="102"/>
      <x:c r="AO252" s="102"/>
      <x:c r="AP252" s="102"/>
      <x:c r="AQ252" s="109" t="str">
        <x:f t="shared" si="86"/>
        <x:v>FAILED</x:v>
      </x:c>
      <x:c r="AR252" s="115"/>
      <x:c r="AS252" s="115"/>
      <x:c r="AT252" s="107"/>
      <x:c r="AU252" s="107"/>
      <x:c r="AV252" s="107"/>
      <x:c r="AW252" s="107"/>
      <x:c r="AX252" s="107"/>
      <x:c r="AY252" s="109" t="str">
        <x:f t="shared" si="87"/>
        <x:v>FAILED</x:v>
      </x:c>
      <x:c r="AZ252" s="115"/>
      <x:c r="BA252" s="115"/>
      <x:c r="BB252" s="107"/>
      <x:c r="BC252" s="107"/>
      <x:c r="BD252" s="107"/>
      <x:c r="BE252" s="107"/>
      <x:c r="BF252" s="107"/>
      <x:c r="BG252" s="109" t="str">
        <x:f t="shared" si="88"/>
        <x:v>FAILED</x:v>
      </x:c>
      <x:c r="BH252" s="117"/>
      <x:c r="BI252" s="102"/>
      <x:c r="BJ252" s="102"/>
      <x:c r="BK252" s="102"/>
      <x:c r="BL252" s="102"/>
      <x:c r="BM252" s="102"/>
      <x:c r="BN252" s="102"/>
      <x:c r="BO252" s="102"/>
      <x:c r="BP252" s="102"/>
      <x:c r="BQ252" s="109" t="str">
        <x:f t="shared" si="89"/>
        <x:v>FAILED</x:v>
      </x:c>
      <x:c r="BR252" s="115"/>
      <x:c r="BS252" s="115"/>
      <x:c r="BT252" s="107"/>
      <x:c r="BU252" s="107"/>
      <x:c r="BV252" s="107"/>
      <x:c r="BW252" s="107"/>
      <x:c r="BX252" s="107"/>
      <x:c r="BY252" s="109" t="str">
        <x:f t="shared" si="90"/>
        <x:v>FAILED</x:v>
      </x:c>
      <x:c r="BZ252" s="115"/>
      <x:c r="CA252" s="115"/>
      <x:c r="CB252" s="107"/>
      <x:c r="CC252" s="107"/>
      <x:c r="CD252" s="107"/>
      <x:c r="CE252" s="107"/>
      <x:c r="CF252" s="107"/>
      <x:c r="CG252" s="109" t="str">
        <x:f t="shared" si="91"/>
        <x:v>FAILED</x:v>
      </x:c>
      <x:c r="CH252" s="117"/>
    </x:row>
    <x:row r="253">
      <x:c r="A253" s="102" t="str">
        <x:f>IF(RECORD!A255="","",RECORD!A255)</x:f>
      </x:c>
      <x:c r="B253" s="102" t="str">
        <x:f>IF(RECORD!B255="","",RECORD!B255)</x:f>
      </x:c>
      <x:c r="C253" s="103" t="str">
        <x:f>IF(RECORD!C255="","",RECORD!C255)</x:f>
      </x:c>
      <x:c r="D253" s="104" t="str">
        <x:f t="array" ref="D253">IF(C253&lt;&gt;"",IF(F$7="SUMMER","N/A",_xlfn.IFS(D$10="TLA",RECORD!GO255,F$10="LECTURE","",TRUE(),"")),"")</x:f>
      </x:c>
      <x:c r="E253" s="105" t="str">
        <x:f t="shared" si="69"/>
      </x:c>
      <x:c r="F253" s="104" t="str">
        <x:f t="array" ref="F253">IF(C253&lt;&gt;"",IF(F$7="SUMMER","N/A",_xlfn.IFS(F$10="AT",RECORD!GI255,F$10="LECTURE",GRADES!AP253,TRUE(),"")),"")</x:f>
      </x:c>
      <x:c r="G253" s="106" t="str">
        <x:f t="shared" si="70"/>
      </x:c>
      <x:c r="H253" s="107" t="str">
        <x:f t="array" ref="H253">IF(C253&lt;&gt;"",IF(F$7="SUMMER","N/A",_xlfn.IFS(H$10="EXAM",RECORD!GJ255,H$10="OUTPUT",RECORD!GK255,H$10="LAB",BP253,TRUE(),"")),"")</x:f>
      </x:c>
      <x:c r="I253" s="106" t="str">
        <x:f t="shared" si="71"/>
      </x:c>
      <x:c r="J253" s="108" t="str">
        <x:f t="shared" si="72"/>
      </x:c>
      <x:c r="K253" s="109" t="str">
        <x:f t="shared" si="73"/>
      </x:c>
      <x:c r="L253" s="110" t="str">
        <x:f t="array" ref="L253">IF(C253&lt;&gt;"",_xlfn.IFS(L$10="TLA",RECORD!GY255,N$10="LECTURE","",TRUE(),""),"")</x:f>
      </x:c>
      <x:c r="M253" s="105" t="str">
        <x:f t="shared" si="74"/>
      </x:c>
      <x:c r="N253" s="104" t="str">
        <x:f t="array" ref="N253">IF(C253&lt;&gt;"",_xlfn.IFS(N$10="AT",RECORD!GS255,N$10="LECTURE",AX253,TRUE(),""),"")</x:f>
      </x:c>
      <x:c r="O253" s="106" t="str">
        <x:f t="shared" si="75"/>
      </x:c>
      <x:c r="P253" s="107" t="str">
        <x:f t="array" ref="P253">IF(C253&lt;&gt;"",_xlfn.IFS(P$10="EXAM",RECORD!GT255,P$10="OUTPUT",RECORD!GU255,P$10="LAB",BX253,TRUE(),""),"")</x:f>
      </x:c>
      <x:c r="Q253" s="106" t="str">
        <x:f t="shared" si="76"/>
      </x:c>
      <x:c r="R253" s="108" t="str">
        <x:f t="shared" si="77"/>
      </x:c>
      <x:c r="S253" s="109" t="str">
        <x:f t="shared" si="78"/>
      </x:c>
      <x:c r="T253" s="110" t="str">
        <x:f t="array" ref="T253">IF(C253&lt;&gt;"",_xlfn.IFS(T$10="TLA",RECORD!HI255,V$10="LECTURE","",TRUE(),""),"")</x:f>
      </x:c>
      <x:c r="U253" s="105" t="str">
        <x:f t="shared" si="79"/>
      </x:c>
      <x:c r="V253" s="104" t="str">
        <x:f t="array" ref="V253">IF(C253&lt;&gt;"",_xlfn.IFS(V$10="AT",RECORD!HC255,V$10="LECTURE",BF253,TRUE(),""),"")</x:f>
      </x:c>
      <x:c r="W253" s="106" t="str">
        <x:f t="shared" si="80"/>
      </x:c>
      <x:c r="X253" s="107" t="str">
        <x:f t="array" ref="X253">IF(C253&lt;&gt;"",_xlfn.IFS(X$10="EXAM",RECORD!HD255,X$10="OUTPUT",RECORD!HE255,X$10="LAB",CF253,TRUE(),""),"")</x:f>
      </x:c>
      <x:c r="Y253" s="106" t="str">
        <x:f t="shared" si="81"/>
      </x:c>
      <x:c r="Z253" s="108" t="str">
        <x:f t="shared" si="82"/>
      </x:c>
      <x:c r="AA253" s="109" t="str">
        <x:f t="shared" si="83"/>
      </x:c>
      <x:c r="AB253" s="111" t="str">
        <x:f t="shared" si="84"/>
      </x:c>
      <x:c r="AC253" s="109" t="str">
        <x:f t="shared" si="85"/>
      </x:c>
      <x:c r="AD253" s="112"/>
      <x:c r="AE253" s="102"/>
      <x:c r="AF253" s="113"/>
      <x:c r="AG253" s="112"/>
      <x:c r="AH253" s="103"/>
      <x:c r="AI253" s="114"/>
      <x:c r="AJ253" s="102"/>
      <x:c r="AK253" s="102"/>
      <x:c r="AL253" s="102"/>
      <x:c r="AM253" s="102"/>
      <x:c r="AN253" s="102"/>
      <x:c r="AO253" s="102"/>
      <x:c r="AP253" s="102"/>
      <x:c r="AQ253" s="109" t="str">
        <x:f t="shared" si="86"/>
        <x:v>FAILED</x:v>
      </x:c>
      <x:c r="AR253" s="115"/>
      <x:c r="AS253" s="115"/>
      <x:c r="AT253" s="107"/>
      <x:c r="AU253" s="107"/>
      <x:c r="AV253" s="107"/>
      <x:c r="AW253" s="107"/>
      <x:c r="AX253" s="107"/>
      <x:c r="AY253" s="109" t="str">
        <x:f t="shared" si="87"/>
        <x:v>FAILED</x:v>
      </x:c>
      <x:c r="AZ253" s="115"/>
      <x:c r="BA253" s="115"/>
      <x:c r="BB253" s="107"/>
      <x:c r="BC253" s="107"/>
      <x:c r="BD253" s="107"/>
      <x:c r="BE253" s="107"/>
      <x:c r="BF253" s="107"/>
      <x:c r="BG253" s="109" t="str">
        <x:f t="shared" si="88"/>
        <x:v>FAILED</x:v>
      </x:c>
      <x:c r="BH253" s="117"/>
      <x:c r="BI253" s="102"/>
      <x:c r="BJ253" s="102"/>
      <x:c r="BK253" s="102"/>
      <x:c r="BL253" s="102"/>
      <x:c r="BM253" s="102"/>
      <x:c r="BN253" s="102"/>
      <x:c r="BO253" s="102"/>
      <x:c r="BP253" s="102"/>
      <x:c r="BQ253" s="109" t="str">
        <x:f t="shared" si="89"/>
        <x:v>FAILED</x:v>
      </x:c>
      <x:c r="BR253" s="115"/>
      <x:c r="BS253" s="115"/>
      <x:c r="BT253" s="107"/>
      <x:c r="BU253" s="107"/>
      <x:c r="BV253" s="107"/>
      <x:c r="BW253" s="107"/>
      <x:c r="BX253" s="107"/>
      <x:c r="BY253" s="109" t="str">
        <x:f t="shared" si="90"/>
        <x:v>FAILED</x:v>
      </x:c>
      <x:c r="BZ253" s="115"/>
      <x:c r="CA253" s="115"/>
      <x:c r="CB253" s="107"/>
      <x:c r="CC253" s="107"/>
      <x:c r="CD253" s="107"/>
      <x:c r="CE253" s="107"/>
      <x:c r="CF253" s="107"/>
      <x:c r="CG253" s="109" t="str">
        <x:f t="shared" si="91"/>
        <x:v>FAILED</x:v>
      </x:c>
      <x:c r="CH253" s="117"/>
    </x:row>
    <x:row r="254">
      <x:c r="A254" s="102" t="str">
        <x:f>IF(RECORD!A256="","",RECORD!A256)</x:f>
      </x:c>
      <x:c r="B254" s="102" t="str">
        <x:f>IF(RECORD!B256="","",RECORD!B256)</x:f>
      </x:c>
      <x:c r="C254" s="103" t="str">
        <x:f>IF(RECORD!C256="","",RECORD!C256)</x:f>
      </x:c>
      <x:c r="D254" s="104" t="str">
        <x:f t="array" ref="D254">IF(C254&lt;&gt;"",IF(F$7="SUMMER","N/A",_xlfn.IFS(D$10="TLA",RECORD!GO256,F$10="LECTURE","",TRUE(),"")),"")</x:f>
      </x:c>
      <x:c r="E254" s="105" t="str">
        <x:f t="shared" si="69"/>
      </x:c>
      <x:c r="F254" s="104" t="str">
        <x:f t="array" ref="F254">IF(C254&lt;&gt;"",IF(F$7="SUMMER","N/A",_xlfn.IFS(F$10="AT",RECORD!GI256,F$10="LECTURE",GRADES!AP254,TRUE(),"")),"")</x:f>
      </x:c>
      <x:c r="G254" s="106" t="str">
        <x:f t="shared" si="70"/>
      </x:c>
      <x:c r="H254" s="107" t="str">
        <x:f t="array" ref="H254">IF(C254&lt;&gt;"",IF(F$7="SUMMER","N/A",_xlfn.IFS(H$10="EXAM",RECORD!GJ256,H$10="OUTPUT",RECORD!GK256,H$10="LAB",BP254,TRUE(),"")),"")</x:f>
      </x:c>
      <x:c r="I254" s="106" t="str">
        <x:f t="shared" si="71"/>
      </x:c>
      <x:c r="J254" s="108" t="str">
        <x:f t="shared" si="72"/>
      </x:c>
      <x:c r="K254" s="109" t="str">
        <x:f t="shared" si="73"/>
      </x:c>
      <x:c r="L254" s="110" t="str">
        <x:f t="array" ref="L254">IF(C254&lt;&gt;"",_xlfn.IFS(L$10="TLA",RECORD!GY256,N$10="LECTURE","",TRUE(),""),"")</x:f>
      </x:c>
      <x:c r="M254" s="105" t="str">
        <x:f t="shared" si="74"/>
      </x:c>
      <x:c r="N254" s="104" t="str">
        <x:f t="array" ref="N254">IF(C254&lt;&gt;"",_xlfn.IFS(N$10="AT",RECORD!GS256,N$10="LECTURE",AX254,TRUE(),""),"")</x:f>
      </x:c>
      <x:c r="O254" s="106" t="str">
        <x:f t="shared" si="75"/>
      </x:c>
      <x:c r="P254" s="107" t="str">
        <x:f t="array" ref="P254">IF(C254&lt;&gt;"",_xlfn.IFS(P$10="EXAM",RECORD!GT256,P$10="OUTPUT",RECORD!GU256,P$10="LAB",BX254,TRUE(),""),"")</x:f>
      </x:c>
      <x:c r="Q254" s="106" t="str">
        <x:f t="shared" si="76"/>
      </x:c>
      <x:c r="R254" s="108" t="str">
        <x:f t="shared" si="77"/>
      </x:c>
      <x:c r="S254" s="109" t="str">
        <x:f t="shared" si="78"/>
      </x:c>
      <x:c r="T254" s="110" t="str">
        <x:f t="array" ref="T254">IF(C254&lt;&gt;"",_xlfn.IFS(T$10="TLA",RECORD!HI256,V$10="LECTURE","",TRUE(),""),"")</x:f>
      </x:c>
      <x:c r="U254" s="105" t="str">
        <x:f t="shared" si="79"/>
      </x:c>
      <x:c r="V254" s="104" t="str">
        <x:f t="array" ref="V254">IF(C254&lt;&gt;"",_xlfn.IFS(V$10="AT",RECORD!HC256,V$10="LECTURE",BF254,TRUE(),""),"")</x:f>
      </x:c>
      <x:c r="W254" s="106" t="str">
        <x:f t="shared" si="80"/>
      </x:c>
      <x:c r="X254" s="107" t="str">
        <x:f t="array" ref="X254">IF(C254&lt;&gt;"",_xlfn.IFS(X$10="EXAM",RECORD!HD256,X$10="OUTPUT",RECORD!HE256,X$10="LAB",CF254,TRUE(),""),"")</x:f>
      </x:c>
      <x:c r="Y254" s="106" t="str">
        <x:f t="shared" si="81"/>
      </x:c>
      <x:c r="Z254" s="108" t="str">
        <x:f t="shared" si="82"/>
      </x:c>
      <x:c r="AA254" s="109" t="str">
        <x:f t="shared" si="83"/>
      </x:c>
      <x:c r="AB254" s="111" t="str">
        <x:f t="shared" si="84"/>
      </x:c>
      <x:c r="AC254" s="109" t="str">
        <x:f t="shared" si="85"/>
      </x:c>
      <x:c r="AD254" s="112"/>
      <x:c r="AE254" s="102"/>
      <x:c r="AF254" s="113"/>
      <x:c r="AG254" s="112"/>
      <x:c r="AH254" s="103"/>
      <x:c r="AI254" s="114"/>
      <x:c r="AJ254" s="102"/>
      <x:c r="AK254" s="102"/>
      <x:c r="AL254" s="102"/>
      <x:c r="AM254" s="102"/>
      <x:c r="AN254" s="102"/>
      <x:c r="AO254" s="102"/>
      <x:c r="AP254" s="102"/>
      <x:c r="AQ254" s="109" t="str">
        <x:f t="shared" si="86"/>
        <x:v>FAILED</x:v>
      </x:c>
      <x:c r="AR254" s="115"/>
      <x:c r="AS254" s="115"/>
      <x:c r="AT254" s="107"/>
      <x:c r="AU254" s="107"/>
      <x:c r="AV254" s="107"/>
      <x:c r="AW254" s="107"/>
      <x:c r="AX254" s="107"/>
      <x:c r="AY254" s="109" t="str">
        <x:f t="shared" si="87"/>
        <x:v>FAILED</x:v>
      </x:c>
      <x:c r="AZ254" s="115"/>
      <x:c r="BA254" s="115"/>
      <x:c r="BB254" s="107"/>
      <x:c r="BC254" s="107"/>
      <x:c r="BD254" s="107"/>
      <x:c r="BE254" s="107"/>
      <x:c r="BF254" s="107"/>
      <x:c r="BG254" s="109" t="str">
        <x:f t="shared" si="88"/>
        <x:v>FAILED</x:v>
      </x:c>
      <x:c r="BH254" s="117"/>
      <x:c r="BI254" s="102"/>
      <x:c r="BJ254" s="102"/>
      <x:c r="BK254" s="102"/>
      <x:c r="BL254" s="102"/>
      <x:c r="BM254" s="102"/>
      <x:c r="BN254" s="102"/>
      <x:c r="BO254" s="102"/>
      <x:c r="BP254" s="102"/>
      <x:c r="BQ254" s="109" t="str">
        <x:f t="shared" si="89"/>
        <x:v>FAILED</x:v>
      </x:c>
      <x:c r="BR254" s="115"/>
      <x:c r="BS254" s="115"/>
      <x:c r="BT254" s="107"/>
      <x:c r="BU254" s="107"/>
      <x:c r="BV254" s="107"/>
      <x:c r="BW254" s="107"/>
      <x:c r="BX254" s="107"/>
      <x:c r="BY254" s="109" t="str">
        <x:f t="shared" si="90"/>
        <x:v>FAILED</x:v>
      </x:c>
      <x:c r="BZ254" s="115"/>
      <x:c r="CA254" s="115"/>
      <x:c r="CB254" s="107"/>
      <x:c r="CC254" s="107"/>
      <x:c r="CD254" s="107"/>
      <x:c r="CE254" s="107"/>
      <x:c r="CF254" s="107"/>
      <x:c r="CG254" s="109" t="str">
        <x:f t="shared" si="91"/>
        <x:v>FAILED</x:v>
      </x:c>
      <x:c r="CH254" s="117"/>
    </x:row>
    <x:row r="255">
      <x:c r="A255" s="102" t="str">
        <x:f>IF(RECORD!A257="","",RECORD!A257)</x:f>
      </x:c>
      <x:c r="B255" s="102" t="str">
        <x:f>IF(RECORD!B257="","",RECORD!B257)</x:f>
      </x:c>
      <x:c r="C255" s="103" t="str">
        <x:f>IF(RECORD!C257="","",RECORD!C257)</x:f>
      </x:c>
      <x:c r="D255" s="104" t="str">
        <x:f t="array" ref="D255">IF(C255&lt;&gt;"",IF(F$7="SUMMER","N/A",_xlfn.IFS(D$10="TLA",RECORD!GO257,F$10="LECTURE","",TRUE(),"")),"")</x:f>
      </x:c>
      <x:c r="E255" s="105" t="str">
        <x:f t="shared" si="69"/>
      </x:c>
      <x:c r="F255" s="104" t="str">
        <x:f t="array" ref="F255">IF(C255&lt;&gt;"",IF(F$7="SUMMER","N/A",_xlfn.IFS(F$10="AT",RECORD!GI257,F$10="LECTURE",GRADES!AP255,TRUE(),"")),"")</x:f>
      </x:c>
      <x:c r="G255" s="106" t="str">
        <x:f t="shared" si="70"/>
      </x:c>
      <x:c r="H255" s="107" t="str">
        <x:f t="array" ref="H255">IF(C255&lt;&gt;"",IF(F$7="SUMMER","N/A",_xlfn.IFS(H$10="EXAM",RECORD!GJ257,H$10="OUTPUT",RECORD!GK257,H$10="LAB",BP255,TRUE(),"")),"")</x:f>
      </x:c>
      <x:c r="I255" s="106" t="str">
        <x:f t="shared" si="71"/>
      </x:c>
      <x:c r="J255" s="108" t="str">
        <x:f t="shared" si="72"/>
      </x:c>
      <x:c r="K255" s="109" t="str">
        <x:f t="shared" si="73"/>
      </x:c>
      <x:c r="L255" s="110" t="str">
        <x:f t="array" ref="L255">IF(C255&lt;&gt;"",_xlfn.IFS(L$10="TLA",RECORD!GY257,N$10="LECTURE","",TRUE(),""),"")</x:f>
      </x:c>
      <x:c r="M255" s="105" t="str">
        <x:f t="shared" si="74"/>
      </x:c>
      <x:c r="N255" s="104" t="str">
        <x:f t="array" ref="N255">IF(C255&lt;&gt;"",_xlfn.IFS(N$10="AT",RECORD!GS257,N$10="LECTURE",AX255,TRUE(),""),"")</x:f>
      </x:c>
      <x:c r="O255" s="106" t="str">
        <x:f t="shared" si="75"/>
      </x:c>
      <x:c r="P255" s="107" t="str">
        <x:f t="array" ref="P255">IF(C255&lt;&gt;"",_xlfn.IFS(P$10="EXAM",RECORD!GT257,P$10="OUTPUT",RECORD!GU257,P$10="LAB",BX255,TRUE(),""),"")</x:f>
      </x:c>
      <x:c r="Q255" s="106" t="str">
        <x:f t="shared" si="76"/>
      </x:c>
      <x:c r="R255" s="108" t="str">
        <x:f t="shared" si="77"/>
      </x:c>
      <x:c r="S255" s="109" t="str">
        <x:f t="shared" si="78"/>
      </x:c>
      <x:c r="T255" s="110" t="str">
        <x:f t="array" ref="T255">IF(C255&lt;&gt;"",_xlfn.IFS(T$10="TLA",RECORD!HI257,V$10="LECTURE","",TRUE(),""),"")</x:f>
      </x:c>
      <x:c r="U255" s="105" t="str">
        <x:f t="shared" si="79"/>
      </x:c>
      <x:c r="V255" s="104" t="str">
        <x:f t="array" ref="V255">IF(C255&lt;&gt;"",_xlfn.IFS(V$10="AT",RECORD!HC257,V$10="LECTURE",BF255,TRUE(),""),"")</x:f>
      </x:c>
      <x:c r="W255" s="106" t="str">
        <x:f t="shared" si="80"/>
      </x:c>
      <x:c r="X255" s="107" t="str">
        <x:f t="array" ref="X255">IF(C255&lt;&gt;"",_xlfn.IFS(X$10="EXAM",RECORD!HD257,X$10="OUTPUT",RECORD!HE257,X$10="LAB",CF255,TRUE(),""),"")</x:f>
      </x:c>
      <x:c r="Y255" s="106" t="str">
        <x:f t="shared" si="81"/>
      </x:c>
      <x:c r="Z255" s="108" t="str">
        <x:f t="shared" si="82"/>
      </x:c>
      <x:c r="AA255" s="109" t="str">
        <x:f t="shared" si="83"/>
      </x:c>
      <x:c r="AB255" s="111" t="str">
        <x:f t="shared" si="84"/>
      </x:c>
      <x:c r="AC255" s="109" t="str">
        <x:f t="shared" si="85"/>
      </x:c>
      <x:c r="AQ255" s="109" t="str">
        <x:f t="shared" si="86"/>
        <x:v>FAILED</x:v>
      </x:c>
      <x:c r="AR255" s="115"/>
      <x:c r="AS255" s="115"/>
      <x:c r="AT255" s="107"/>
      <x:c r="AU255" s="107"/>
      <x:c r="AV255" s="107"/>
      <x:c r="AW255" s="107"/>
      <x:c r="AX255" s="107"/>
      <x:c r="AY255" s="109" t="str">
        <x:f t="shared" si="87"/>
        <x:v>FAILED</x:v>
      </x:c>
      <x:c r="AZ255" s="115"/>
      <x:c r="BA255" s="115"/>
      <x:c r="BB255" s="107"/>
      <x:c r="BC255" s="107"/>
      <x:c r="BD255" s="107"/>
      <x:c r="BE255" s="107"/>
      <x:c r="BF255" s="107"/>
      <x:c r="BG255" s="109" t="str">
        <x:f t="shared" si="88"/>
        <x:v>FAILED</x:v>
      </x:c>
      <x:c r="BQ255" s="109" t="str">
        <x:f t="shared" si="89"/>
        <x:v>FAILED</x:v>
      </x:c>
      <x:c r="BR255" s="115"/>
      <x:c r="BS255" s="115"/>
      <x:c r="BT255" s="107"/>
      <x:c r="BU255" s="107"/>
      <x:c r="BV255" s="107"/>
      <x:c r="BW255" s="107"/>
      <x:c r="BX255" s="107"/>
      <x:c r="BY255" s="109" t="str">
        <x:f t="shared" si="90"/>
        <x:v>FAILED</x:v>
      </x:c>
      <x:c r="BZ255" s="115"/>
      <x:c r="CA255" s="115"/>
      <x:c r="CB255" s="107"/>
      <x:c r="CC255" s="107"/>
      <x:c r="CD255" s="107"/>
      <x:c r="CE255" s="107"/>
      <x:c r="CF255" s="107"/>
      <x:c r="CG255" s="109" t="str">
        <x:f t="shared" si="91"/>
        <x:v>FAILED</x:v>
      </x:c>
    </x:row>
    <x:row r="256">
      <x:c r="A256" s="102" t="str">
        <x:f>IF(RECORD!A258="","",RECORD!A258)</x:f>
      </x:c>
      <x:c r="B256" s="102" t="str">
        <x:f>IF(RECORD!B258="","",RECORD!B258)</x:f>
      </x:c>
      <x:c r="C256" s="103" t="str">
        <x:f>IF(RECORD!C258="","",RECORD!C258)</x:f>
      </x:c>
      <x:c r="D256" s="104" t="str">
        <x:f t="array" ref="D256">IF(C256&lt;&gt;"",IF(F$7="SUMMER","N/A",_xlfn.IFS(D$10="TLA",RECORD!GO258,F$10="LECTURE","",TRUE(),"")),"")</x:f>
      </x:c>
      <x:c r="E256" s="105" t="str">
        <x:f t="shared" si="69"/>
      </x:c>
      <x:c r="F256" s="104" t="str">
        <x:f t="array" ref="F256">IF(C256&lt;&gt;"",IF(F$7="SUMMER","N/A",_xlfn.IFS(F$10="AT",RECORD!GI258,F$10="LECTURE",GRADES!AP256,TRUE(),"")),"")</x:f>
      </x:c>
      <x:c r="G256" s="106" t="str">
        <x:f t="shared" si="70"/>
      </x:c>
      <x:c r="H256" s="107" t="str">
        <x:f t="array" ref="H256">IF(C256&lt;&gt;"",IF(F$7="SUMMER","N/A",_xlfn.IFS(H$10="EXAM",RECORD!GJ258,H$10="OUTPUT",RECORD!GK258,H$10="LAB",BP256,TRUE(),"")),"")</x:f>
      </x:c>
      <x:c r="I256" s="106" t="str">
        <x:f t="shared" si="71"/>
      </x:c>
      <x:c r="J256" s="108" t="str">
        <x:f t="shared" si="72"/>
      </x:c>
      <x:c r="K256" s="109" t="str">
        <x:f t="shared" si="73"/>
      </x:c>
      <x:c r="L256" s="110" t="str">
        <x:f t="array" ref="L256">IF(C256&lt;&gt;"",_xlfn.IFS(L$10="TLA",RECORD!GY258,N$10="LECTURE","",TRUE(),""),"")</x:f>
      </x:c>
      <x:c r="M256" s="105" t="str">
        <x:f t="shared" si="74"/>
      </x:c>
      <x:c r="N256" s="104" t="str">
        <x:f t="array" ref="N256">IF(C256&lt;&gt;"",_xlfn.IFS(N$10="AT",RECORD!GS258,N$10="LECTURE",AX256,TRUE(),""),"")</x:f>
      </x:c>
      <x:c r="O256" s="106" t="str">
        <x:f t="shared" si="75"/>
      </x:c>
      <x:c r="P256" s="107" t="str">
        <x:f t="array" ref="P256">IF(C256&lt;&gt;"",_xlfn.IFS(P$10="EXAM",RECORD!GT258,P$10="OUTPUT",RECORD!GU258,P$10="LAB",BX256,TRUE(),""),"")</x:f>
      </x:c>
      <x:c r="Q256" s="106" t="str">
        <x:f t="shared" si="76"/>
      </x:c>
      <x:c r="R256" s="108" t="str">
        <x:f t="shared" si="77"/>
      </x:c>
      <x:c r="S256" s="109" t="str">
        <x:f t="shared" si="78"/>
      </x:c>
      <x:c r="T256" s="110" t="str">
        <x:f t="array" ref="T256">IF(C256&lt;&gt;"",_xlfn.IFS(T$10="TLA",RECORD!HI258,V$10="LECTURE","",TRUE(),""),"")</x:f>
      </x:c>
      <x:c r="U256" s="105" t="str">
        <x:f t="shared" si="79"/>
      </x:c>
      <x:c r="V256" s="104" t="str">
        <x:f t="array" ref="V256">IF(C256&lt;&gt;"",_xlfn.IFS(V$10="AT",RECORD!HC258,V$10="LECTURE",BF256,TRUE(),""),"")</x:f>
      </x:c>
      <x:c r="W256" s="106" t="str">
        <x:f t="shared" si="80"/>
      </x:c>
      <x:c r="X256" s="107" t="str">
        <x:f t="array" ref="X256">IF(C256&lt;&gt;"",_xlfn.IFS(X$10="EXAM",RECORD!HD258,X$10="OUTPUT",RECORD!HE258,X$10="LAB",CF256,TRUE(),""),"")</x:f>
      </x:c>
      <x:c r="Y256" s="106" t="str">
        <x:f t="shared" si="81"/>
      </x:c>
      <x:c r="Z256" s="108" t="str">
        <x:f t="shared" si="82"/>
      </x:c>
      <x:c r="AA256" s="109" t="str">
        <x:f t="shared" si="83"/>
      </x:c>
      <x:c r="AB256" s="111" t="str">
        <x:f t="shared" si="84"/>
      </x:c>
      <x:c r="AC256" s="109" t="str">
        <x:f t="shared" si="85"/>
      </x:c>
      <x:c r="AQ256" s="109" t="str">
        <x:f t="shared" si="86"/>
        <x:v>FAILED</x:v>
      </x:c>
      <x:c r="AR256" s="115"/>
      <x:c r="AS256" s="115"/>
      <x:c r="AT256" s="107"/>
      <x:c r="AU256" s="107"/>
      <x:c r="AV256" s="107"/>
      <x:c r="AW256" s="107"/>
      <x:c r="AX256" s="107"/>
      <x:c r="AY256" s="109" t="str">
        <x:f t="shared" si="87"/>
        <x:v>FAILED</x:v>
      </x:c>
      <x:c r="AZ256" s="115"/>
      <x:c r="BA256" s="115"/>
      <x:c r="BB256" s="107"/>
      <x:c r="BC256" s="107"/>
      <x:c r="BD256" s="107"/>
      <x:c r="BE256" s="107"/>
      <x:c r="BF256" s="107"/>
      <x:c r="BG256" s="109" t="str">
        <x:f t="shared" si="88"/>
        <x:v>FAILED</x:v>
      </x:c>
      <x:c r="BQ256" s="109" t="str">
        <x:f t="shared" si="89"/>
        <x:v>FAILED</x:v>
      </x:c>
      <x:c r="BR256" s="115"/>
      <x:c r="BS256" s="115"/>
      <x:c r="BT256" s="107"/>
      <x:c r="BU256" s="107"/>
      <x:c r="BV256" s="107"/>
      <x:c r="BW256" s="107"/>
      <x:c r="BX256" s="107"/>
      <x:c r="BY256" s="109" t="str">
        <x:f t="shared" si="90"/>
        <x:v>FAILED</x:v>
      </x:c>
      <x:c r="BZ256" s="115"/>
      <x:c r="CA256" s="115"/>
      <x:c r="CB256" s="107"/>
      <x:c r="CC256" s="107"/>
      <x:c r="CD256" s="107"/>
      <x:c r="CE256" s="107"/>
      <x:c r="CF256" s="107"/>
      <x:c r="CG256" s="109" t="str">
        <x:f t="shared" si="91"/>
        <x:v>FAILED</x:v>
      </x:c>
    </x:row>
    <x:row r="257">
      <x:c r="A257" s="102" t="str">
        <x:f>IF(RECORD!A259="","",RECORD!A259)</x:f>
      </x:c>
      <x:c r="B257" s="102" t="str">
        <x:f>IF(RECORD!B259="","",RECORD!B259)</x:f>
      </x:c>
      <x:c r="C257" s="103" t="str">
        <x:f>IF(RECORD!C259="","",RECORD!C259)</x:f>
      </x:c>
      <x:c r="D257" s="104" t="str">
        <x:f t="array" ref="D257">IF(C257&lt;&gt;"",IF(F$7="SUMMER","N/A",_xlfn.IFS(D$10="TLA",RECORD!GO259,F$10="LECTURE","",TRUE(),"")),"")</x:f>
      </x:c>
      <x:c r="E257" s="105" t="str">
        <x:f t="shared" si="69"/>
      </x:c>
      <x:c r="F257" s="104" t="str">
        <x:f t="array" ref="F257">IF(C257&lt;&gt;"",IF(F$7="SUMMER","N/A",_xlfn.IFS(F$10="AT",RECORD!GI259,F$10="LECTURE",GRADES!AP257,TRUE(),"")),"")</x:f>
      </x:c>
      <x:c r="G257" s="106" t="str">
        <x:f t="shared" si="70"/>
      </x:c>
      <x:c r="H257" s="107" t="str">
        <x:f t="array" ref="H257">IF(C257&lt;&gt;"",IF(F$7="SUMMER","N/A",_xlfn.IFS(H$10="EXAM",RECORD!GJ259,H$10="OUTPUT",RECORD!GK259,H$10="LAB",BP257,TRUE(),"")),"")</x:f>
      </x:c>
      <x:c r="I257" s="106" t="str">
        <x:f t="shared" si="71"/>
      </x:c>
      <x:c r="J257" s="108" t="str">
        <x:f t="shared" si="72"/>
      </x:c>
      <x:c r="K257" s="109" t="str">
        <x:f t="shared" si="73"/>
      </x:c>
      <x:c r="L257" s="110" t="str">
        <x:f t="array" ref="L257">IF(C257&lt;&gt;"",_xlfn.IFS(L$10="TLA",RECORD!GY259,N$10="LECTURE","",TRUE(),""),"")</x:f>
      </x:c>
      <x:c r="M257" s="105" t="str">
        <x:f t="shared" si="74"/>
      </x:c>
      <x:c r="N257" s="104" t="str">
        <x:f t="array" ref="N257">IF(C257&lt;&gt;"",_xlfn.IFS(N$10="AT",RECORD!GS259,N$10="LECTURE",AX257,TRUE(),""),"")</x:f>
      </x:c>
      <x:c r="O257" s="106" t="str">
        <x:f t="shared" si="75"/>
      </x:c>
      <x:c r="P257" s="107" t="str">
        <x:f t="array" ref="P257">IF(C257&lt;&gt;"",_xlfn.IFS(P$10="EXAM",RECORD!GT259,P$10="OUTPUT",RECORD!GU259,P$10="LAB",BX257,TRUE(),""),"")</x:f>
      </x:c>
      <x:c r="Q257" s="106" t="str">
        <x:f t="shared" si="76"/>
      </x:c>
      <x:c r="R257" s="108" t="str">
        <x:f t="shared" si="77"/>
      </x:c>
      <x:c r="S257" s="109" t="str">
        <x:f t="shared" si="78"/>
      </x:c>
      <x:c r="T257" s="110" t="str">
        <x:f t="array" ref="T257">IF(C257&lt;&gt;"",_xlfn.IFS(T$10="TLA",RECORD!HI259,V$10="LECTURE","",TRUE(),""),"")</x:f>
      </x:c>
      <x:c r="U257" s="105" t="str">
        <x:f t="shared" si="79"/>
      </x:c>
      <x:c r="V257" s="104" t="str">
        <x:f t="array" ref="V257">IF(C257&lt;&gt;"",_xlfn.IFS(V$10="AT",RECORD!HC259,V$10="LECTURE",BF257,TRUE(),""),"")</x:f>
      </x:c>
      <x:c r="W257" s="106" t="str">
        <x:f t="shared" si="80"/>
      </x:c>
      <x:c r="X257" s="107" t="str">
        <x:f t="array" ref="X257">IF(C257&lt;&gt;"",_xlfn.IFS(X$10="EXAM",RECORD!HD259,X$10="OUTPUT",RECORD!HE259,X$10="LAB",CF257,TRUE(),""),"")</x:f>
      </x:c>
      <x:c r="Y257" s="106" t="str">
        <x:f t="shared" si="81"/>
      </x:c>
      <x:c r="Z257" s="108" t="str">
        <x:f t="shared" si="82"/>
      </x:c>
      <x:c r="AA257" s="109" t="str">
        <x:f t="shared" si="83"/>
      </x:c>
      <x:c r="AB257" s="111" t="str">
        <x:f t="shared" si="84"/>
      </x:c>
      <x:c r="AC257" s="109" t="str">
        <x:f t="shared" si="85"/>
      </x:c>
      <x:c r="AQ257" s="109" t="str">
        <x:f t="shared" si="86"/>
        <x:v>FAILED</x:v>
      </x:c>
      <x:c r="AR257" s="115"/>
      <x:c r="AS257" s="115"/>
      <x:c r="AT257" s="107"/>
      <x:c r="AU257" s="107"/>
      <x:c r="AV257" s="107"/>
      <x:c r="AW257" s="107"/>
      <x:c r="AX257" s="107"/>
      <x:c r="AY257" s="109" t="str">
        <x:f t="shared" si="87"/>
        <x:v>FAILED</x:v>
      </x:c>
      <x:c r="AZ257" s="115"/>
      <x:c r="BA257" s="115"/>
      <x:c r="BB257" s="107"/>
      <x:c r="BC257" s="107"/>
      <x:c r="BD257" s="107"/>
      <x:c r="BE257" s="107"/>
      <x:c r="BF257" s="107"/>
      <x:c r="BG257" s="109" t="str">
        <x:f t="shared" si="88"/>
        <x:v>FAILED</x:v>
      </x:c>
      <x:c r="BQ257" s="109" t="str">
        <x:f t="shared" si="89"/>
        <x:v>FAILED</x:v>
      </x:c>
      <x:c r="BR257" s="115"/>
      <x:c r="BS257" s="115"/>
      <x:c r="BT257" s="107"/>
      <x:c r="BU257" s="107"/>
      <x:c r="BV257" s="107"/>
      <x:c r="BW257" s="107"/>
      <x:c r="BX257" s="107"/>
      <x:c r="BY257" s="109" t="str">
        <x:f t="shared" si="90"/>
        <x:v>FAILED</x:v>
      </x:c>
      <x:c r="BZ257" s="115"/>
      <x:c r="CA257" s="115"/>
      <x:c r="CB257" s="107"/>
      <x:c r="CC257" s="107"/>
      <x:c r="CD257" s="107"/>
      <x:c r="CE257" s="107"/>
      <x:c r="CF257" s="107"/>
      <x:c r="CG257" s="109" t="str">
        <x:f t="shared" si="91"/>
        <x:v>FAILED</x:v>
      </x:c>
    </x:row>
    <x:row r="258">
      <x:c r="A258" s="102" t="str">
        <x:f>IF(RECORD!A260="","",RECORD!A260)</x:f>
      </x:c>
      <x:c r="B258" s="102" t="str">
        <x:f>IF(RECORD!B260="","",RECORD!B260)</x:f>
      </x:c>
      <x:c r="C258" s="103" t="str">
        <x:f>IF(RECORD!C260="","",RECORD!C260)</x:f>
      </x:c>
      <x:c r="D258" s="104" t="str">
        <x:f t="array" ref="D258">IF(C258&lt;&gt;"",IF(F$7="SUMMER","N/A",_xlfn.IFS(D$10="TLA",RECORD!GO260,F$10="LECTURE","",TRUE(),"")),"")</x:f>
      </x:c>
      <x:c r="E258" s="105" t="str">
        <x:f t="shared" si="69"/>
      </x:c>
      <x:c r="F258" s="104" t="str">
        <x:f t="array" ref="F258">IF(C258&lt;&gt;"",IF(F$7="SUMMER","N/A",_xlfn.IFS(F$10="AT",RECORD!GI260,F$10="LECTURE",GRADES!AP258,TRUE(),"")),"")</x:f>
      </x:c>
      <x:c r="G258" s="106" t="str">
        <x:f t="shared" si="70"/>
      </x:c>
      <x:c r="H258" s="107" t="str">
        <x:f t="array" ref="H258">IF(C258&lt;&gt;"",IF(F$7="SUMMER","N/A",_xlfn.IFS(H$10="EXAM",RECORD!GJ260,H$10="OUTPUT",RECORD!GK260,H$10="LAB",BP258,TRUE(),"")),"")</x:f>
      </x:c>
      <x:c r="I258" s="106" t="str">
        <x:f t="shared" si="71"/>
      </x:c>
      <x:c r="J258" s="108" t="str">
        <x:f t="shared" si="72"/>
      </x:c>
      <x:c r="K258" s="109" t="str">
        <x:f t="shared" si="73"/>
      </x:c>
      <x:c r="L258" s="110" t="str">
        <x:f t="array" ref="L258">IF(C258&lt;&gt;"",_xlfn.IFS(L$10="TLA",RECORD!GY260,N$10="LECTURE","",TRUE(),""),"")</x:f>
      </x:c>
      <x:c r="M258" s="105" t="str">
        <x:f t="shared" si="74"/>
      </x:c>
      <x:c r="N258" s="104" t="str">
        <x:f t="array" ref="N258">IF(C258&lt;&gt;"",_xlfn.IFS(N$10="AT",RECORD!GS260,N$10="LECTURE",AX258,TRUE(),""),"")</x:f>
      </x:c>
      <x:c r="O258" s="106" t="str">
        <x:f t="shared" si="75"/>
      </x:c>
      <x:c r="P258" s="107" t="str">
        <x:f t="array" ref="P258">IF(C258&lt;&gt;"",_xlfn.IFS(P$10="EXAM",RECORD!GT260,P$10="OUTPUT",RECORD!GU260,P$10="LAB",BX258,TRUE(),""),"")</x:f>
      </x:c>
      <x:c r="Q258" s="106" t="str">
        <x:f t="shared" si="76"/>
      </x:c>
      <x:c r="R258" s="108" t="str">
        <x:f t="shared" si="77"/>
      </x:c>
      <x:c r="S258" s="109" t="str">
        <x:f t="shared" si="78"/>
      </x:c>
      <x:c r="T258" s="110" t="str">
        <x:f t="array" ref="T258">IF(C258&lt;&gt;"",_xlfn.IFS(T$10="TLA",RECORD!HI260,V$10="LECTURE","",TRUE(),""),"")</x:f>
      </x:c>
      <x:c r="U258" s="105" t="str">
        <x:f t="shared" si="79"/>
      </x:c>
      <x:c r="V258" s="104" t="str">
        <x:f t="array" ref="V258">IF(C258&lt;&gt;"",_xlfn.IFS(V$10="AT",RECORD!HC260,V$10="LECTURE",BF258,TRUE(),""),"")</x:f>
      </x:c>
      <x:c r="W258" s="106" t="str">
        <x:f t="shared" si="80"/>
      </x:c>
      <x:c r="X258" s="107" t="str">
        <x:f t="array" ref="X258">IF(C258&lt;&gt;"",_xlfn.IFS(X$10="EXAM",RECORD!HD260,X$10="OUTPUT",RECORD!HE260,X$10="LAB",CF258,TRUE(),""),"")</x:f>
      </x:c>
      <x:c r="Y258" s="106" t="str">
        <x:f t="shared" si="81"/>
      </x:c>
      <x:c r="Z258" s="108" t="str">
        <x:f t="shared" si="82"/>
      </x:c>
      <x:c r="AA258" s="109" t="str">
        <x:f t="shared" si="83"/>
      </x:c>
      <x:c r="AB258" s="111" t="str">
        <x:f t="shared" si="84"/>
      </x:c>
      <x:c r="AC258" s="109" t="str">
        <x:f t="shared" si="85"/>
      </x:c>
      <x:c r="AQ258" s="109" t="str">
        <x:f t="shared" si="86"/>
        <x:v>FAILED</x:v>
      </x:c>
      <x:c r="AR258" s="115"/>
      <x:c r="AS258" s="115"/>
      <x:c r="AT258" s="107"/>
      <x:c r="AU258" s="107"/>
      <x:c r="AV258" s="107"/>
      <x:c r="AW258" s="107"/>
      <x:c r="AX258" s="107"/>
      <x:c r="AY258" s="109" t="str">
        <x:f t="shared" si="87"/>
        <x:v>FAILED</x:v>
      </x:c>
      <x:c r="AZ258" s="115"/>
      <x:c r="BA258" s="115"/>
      <x:c r="BB258" s="107"/>
      <x:c r="BC258" s="107"/>
      <x:c r="BD258" s="107"/>
      <x:c r="BE258" s="107"/>
      <x:c r="BF258" s="107"/>
      <x:c r="BG258" s="109" t="str">
        <x:f t="shared" si="88"/>
        <x:v>FAILED</x:v>
      </x:c>
      <x:c r="BQ258" s="109" t="str">
        <x:f t="shared" si="89"/>
        <x:v>FAILED</x:v>
      </x:c>
      <x:c r="BR258" s="115"/>
      <x:c r="BS258" s="115"/>
      <x:c r="BT258" s="107"/>
      <x:c r="BU258" s="107"/>
      <x:c r="BV258" s="107"/>
      <x:c r="BW258" s="107"/>
      <x:c r="BX258" s="107"/>
      <x:c r="BY258" s="109" t="str">
        <x:f t="shared" si="90"/>
        <x:v>FAILED</x:v>
      </x:c>
      <x:c r="BZ258" s="115"/>
      <x:c r="CA258" s="115"/>
      <x:c r="CB258" s="107"/>
      <x:c r="CC258" s="107"/>
      <x:c r="CD258" s="107"/>
      <x:c r="CE258" s="107"/>
      <x:c r="CF258" s="107"/>
      <x:c r="CG258" s="109" t="str">
        <x:f t="shared" si="91"/>
        <x:v>FAILED</x:v>
      </x:c>
    </x:row>
    <x:row r="259">
      <x:c r="A259" s="102" t="str">
        <x:f>IF(RECORD!A261="","",RECORD!A261)</x:f>
      </x:c>
      <x:c r="B259" s="102" t="str">
        <x:f>IF(RECORD!B261="","",RECORD!B261)</x:f>
      </x:c>
      <x:c r="C259" s="103" t="str">
        <x:f>IF(RECORD!C261="","",RECORD!C261)</x:f>
      </x:c>
      <x:c r="D259" s="104" t="str">
        <x:f t="array" ref="D259">IF(C259&lt;&gt;"",IF(F$7="SUMMER","N/A",_xlfn.IFS(D$10="TLA",RECORD!GO261,F$10="LECTURE","",TRUE(),"")),"")</x:f>
      </x:c>
      <x:c r="E259" s="105" t="str">
        <x:f t="shared" si="69"/>
      </x:c>
      <x:c r="F259" s="104" t="str">
        <x:f t="array" ref="F259">IF(C259&lt;&gt;"",IF(F$7="SUMMER","N/A",_xlfn.IFS(F$10="AT",RECORD!GI261,F$10="LECTURE",GRADES!AP259,TRUE(),"")),"")</x:f>
      </x:c>
      <x:c r="G259" s="106" t="str">
        <x:f t="shared" si="70"/>
      </x:c>
      <x:c r="H259" s="107" t="str">
        <x:f t="array" ref="H259">IF(C259&lt;&gt;"",IF(F$7="SUMMER","N/A",_xlfn.IFS(H$10="EXAM",RECORD!GJ261,H$10="OUTPUT",RECORD!GK261,H$10="LAB",BP259,TRUE(),"")),"")</x:f>
      </x:c>
      <x:c r="I259" s="106" t="str">
        <x:f t="shared" si="71"/>
      </x:c>
      <x:c r="J259" s="108" t="str">
        <x:f t="shared" si="72"/>
      </x:c>
      <x:c r="K259" s="109" t="str">
        <x:f t="shared" si="73"/>
      </x:c>
      <x:c r="L259" s="110" t="str">
        <x:f t="array" ref="L259">IF(C259&lt;&gt;"",_xlfn.IFS(L$10="TLA",RECORD!GY261,N$10="LECTURE","",TRUE(),""),"")</x:f>
      </x:c>
      <x:c r="M259" s="105" t="str">
        <x:f t="shared" si="74"/>
      </x:c>
      <x:c r="N259" s="104" t="str">
        <x:f t="array" ref="N259">IF(C259&lt;&gt;"",_xlfn.IFS(N$10="AT",RECORD!GS261,N$10="LECTURE",AX259,TRUE(),""),"")</x:f>
      </x:c>
      <x:c r="O259" s="106" t="str">
        <x:f t="shared" si="75"/>
      </x:c>
      <x:c r="P259" s="107" t="str">
        <x:f t="array" ref="P259">IF(C259&lt;&gt;"",_xlfn.IFS(P$10="EXAM",RECORD!GT261,P$10="OUTPUT",RECORD!GU261,P$10="LAB",BX259,TRUE(),""),"")</x:f>
      </x:c>
      <x:c r="Q259" s="106" t="str">
        <x:f t="shared" si="76"/>
      </x:c>
      <x:c r="R259" s="108" t="str">
        <x:f t="shared" si="77"/>
      </x:c>
      <x:c r="S259" s="109" t="str">
        <x:f t="shared" si="78"/>
      </x:c>
      <x:c r="T259" s="110" t="str">
        <x:f t="array" ref="T259">IF(C259&lt;&gt;"",_xlfn.IFS(T$10="TLA",RECORD!HI261,V$10="LECTURE","",TRUE(),""),"")</x:f>
      </x:c>
      <x:c r="U259" s="105" t="str">
        <x:f t="shared" si="79"/>
      </x:c>
      <x:c r="V259" s="104" t="str">
        <x:f t="array" ref="V259">IF(C259&lt;&gt;"",_xlfn.IFS(V$10="AT",RECORD!HC261,V$10="LECTURE",BF259,TRUE(),""),"")</x:f>
      </x:c>
      <x:c r="W259" s="106" t="str">
        <x:f t="shared" si="80"/>
      </x:c>
      <x:c r="X259" s="107" t="str">
        <x:f t="array" ref="X259">IF(C259&lt;&gt;"",_xlfn.IFS(X$10="EXAM",RECORD!HD261,X$10="OUTPUT",RECORD!HE261,X$10="LAB",CF259,TRUE(),""),"")</x:f>
      </x:c>
      <x:c r="Y259" s="106" t="str">
        <x:f t="shared" si="81"/>
      </x:c>
      <x:c r="Z259" s="108" t="str">
        <x:f t="shared" si="82"/>
      </x:c>
      <x:c r="AA259" s="109" t="str">
        <x:f t="shared" si="83"/>
      </x:c>
      <x:c r="AB259" s="111" t="str">
        <x:f t="shared" si="84"/>
      </x:c>
      <x:c r="AC259" s="109" t="str">
        <x:f t="shared" si="85"/>
      </x:c>
      <x:c r="AQ259" s="109" t="str">
        <x:f t="shared" si="86"/>
        <x:v>FAILED</x:v>
      </x:c>
      <x:c r="AR259" s="115"/>
      <x:c r="AS259" s="115"/>
      <x:c r="AT259" s="107"/>
      <x:c r="AU259" s="107"/>
      <x:c r="AV259" s="107"/>
      <x:c r="AW259" s="107"/>
      <x:c r="AX259" s="107"/>
      <x:c r="AY259" s="109" t="str">
        <x:f t="shared" si="87"/>
        <x:v>FAILED</x:v>
      </x:c>
      <x:c r="AZ259" s="115"/>
      <x:c r="BA259" s="115"/>
      <x:c r="BB259" s="107"/>
      <x:c r="BC259" s="107"/>
      <x:c r="BD259" s="107"/>
      <x:c r="BE259" s="107"/>
      <x:c r="BF259" s="107"/>
      <x:c r="BG259" s="109" t="str">
        <x:f t="shared" si="88"/>
        <x:v>FAILED</x:v>
      </x:c>
      <x:c r="BQ259" s="109" t="str">
        <x:f t="shared" si="89"/>
        <x:v>FAILED</x:v>
      </x:c>
      <x:c r="BR259" s="115"/>
      <x:c r="BS259" s="115"/>
      <x:c r="BT259" s="107"/>
      <x:c r="BU259" s="107"/>
      <x:c r="BV259" s="107"/>
      <x:c r="BW259" s="107"/>
      <x:c r="BX259" s="107"/>
      <x:c r="BY259" s="109" t="str">
        <x:f t="shared" si="90"/>
        <x:v>FAILED</x:v>
      </x:c>
      <x:c r="BZ259" s="115"/>
      <x:c r="CA259" s="115"/>
      <x:c r="CB259" s="107"/>
      <x:c r="CC259" s="107"/>
      <x:c r="CD259" s="107"/>
      <x:c r="CE259" s="107"/>
      <x:c r="CF259" s="107"/>
      <x:c r="CG259" s="109" t="str">
        <x:f t="shared" si="91"/>
        <x:v>FAILED</x:v>
      </x:c>
    </x:row>
    <x:row r="260">
      <x:c r="A260" s="102" t="str">
        <x:f>IF(RECORD!A262="","",RECORD!A262)</x:f>
      </x:c>
      <x:c r="B260" s="102" t="str">
        <x:f>IF(RECORD!B262="","",RECORD!B262)</x:f>
      </x:c>
      <x:c r="C260" s="103" t="str">
        <x:f>IF(RECORD!C262="","",RECORD!C262)</x:f>
      </x:c>
      <x:c r="D260" s="104" t="str">
        <x:f t="array" ref="D260">IF(C260&lt;&gt;"",IF(F$7="SUMMER","N/A",_xlfn.IFS(D$10="TLA",RECORD!GO262,F$10="LECTURE","",TRUE(),"")),"")</x:f>
      </x:c>
      <x:c r="E260" s="105" t="str">
        <x:f t="shared" si="69"/>
      </x:c>
      <x:c r="F260" s="104" t="str">
        <x:f t="array" ref="F260">IF(C260&lt;&gt;"",IF(F$7="SUMMER","N/A",_xlfn.IFS(F$10="AT",RECORD!GI262,F$10="LECTURE",GRADES!AP260,TRUE(),"")),"")</x:f>
      </x:c>
      <x:c r="G260" s="106" t="str">
        <x:f t="shared" si="70"/>
      </x:c>
      <x:c r="H260" s="107" t="str">
        <x:f t="array" ref="H260">IF(C260&lt;&gt;"",IF(F$7="SUMMER","N/A",_xlfn.IFS(H$10="EXAM",RECORD!GJ262,H$10="OUTPUT",RECORD!GK262,H$10="LAB",BP260,TRUE(),"")),"")</x:f>
      </x:c>
      <x:c r="I260" s="106" t="str">
        <x:f t="shared" si="71"/>
      </x:c>
      <x:c r="J260" s="108" t="str">
        <x:f t="shared" si="72"/>
      </x:c>
      <x:c r="K260" s="109" t="str">
        <x:f t="shared" si="73"/>
      </x:c>
      <x:c r="L260" s="110" t="str">
        <x:f t="array" ref="L260">IF(C260&lt;&gt;"",_xlfn.IFS(L$10="TLA",RECORD!GY262,N$10="LECTURE","",TRUE(),""),"")</x:f>
      </x:c>
      <x:c r="M260" s="105" t="str">
        <x:f t="shared" si="74"/>
      </x:c>
      <x:c r="N260" s="104" t="str">
        <x:f t="array" ref="N260">IF(C260&lt;&gt;"",_xlfn.IFS(N$10="AT",RECORD!GS262,N$10="LECTURE",AX260,TRUE(),""),"")</x:f>
      </x:c>
      <x:c r="O260" s="106" t="str">
        <x:f t="shared" si="75"/>
      </x:c>
      <x:c r="P260" s="107" t="str">
        <x:f t="array" ref="P260">IF(C260&lt;&gt;"",_xlfn.IFS(P$10="EXAM",RECORD!GT262,P$10="OUTPUT",RECORD!GU262,P$10="LAB",BX260,TRUE(),""),"")</x:f>
      </x:c>
      <x:c r="Q260" s="106" t="str">
        <x:f t="shared" si="76"/>
      </x:c>
      <x:c r="R260" s="108" t="str">
        <x:f t="shared" si="77"/>
      </x:c>
      <x:c r="S260" s="109" t="str">
        <x:f t="shared" si="78"/>
      </x:c>
      <x:c r="T260" s="110" t="str">
        <x:f t="array" ref="T260">IF(C260&lt;&gt;"",_xlfn.IFS(T$10="TLA",RECORD!HI262,V$10="LECTURE","",TRUE(),""),"")</x:f>
      </x:c>
      <x:c r="U260" s="105" t="str">
        <x:f t="shared" si="79"/>
      </x:c>
      <x:c r="V260" s="104" t="str">
        <x:f t="array" ref="V260">IF(C260&lt;&gt;"",_xlfn.IFS(V$10="AT",RECORD!HC262,V$10="LECTURE",BF260,TRUE(),""),"")</x:f>
      </x:c>
      <x:c r="W260" s="106" t="str">
        <x:f t="shared" si="80"/>
      </x:c>
      <x:c r="X260" s="107" t="str">
        <x:f t="array" ref="X260">IF(C260&lt;&gt;"",_xlfn.IFS(X$10="EXAM",RECORD!HD262,X$10="OUTPUT",RECORD!HE262,X$10="LAB",CF260,TRUE(),""),"")</x:f>
      </x:c>
      <x:c r="Y260" s="106" t="str">
        <x:f t="shared" si="81"/>
      </x:c>
      <x:c r="Z260" s="108" t="str">
        <x:f t="shared" si="82"/>
      </x:c>
      <x:c r="AA260" s="109" t="str">
        <x:f t="shared" si="83"/>
      </x:c>
      <x:c r="AB260" s="111" t="str">
        <x:f t="shared" si="84"/>
      </x:c>
      <x:c r="AC260" s="109" t="str">
        <x:f t="shared" si="85"/>
      </x:c>
      <x:c r="AQ260" s="109" t="str">
        <x:f t="shared" si="86"/>
        <x:v>FAILED</x:v>
      </x:c>
      <x:c r="AR260" s="115"/>
      <x:c r="AS260" s="115"/>
      <x:c r="AT260" s="107"/>
      <x:c r="AU260" s="107"/>
      <x:c r="AV260" s="107"/>
      <x:c r="AW260" s="107"/>
      <x:c r="AX260" s="107"/>
      <x:c r="AY260" s="109" t="str">
        <x:f t="shared" si="87"/>
        <x:v>FAILED</x:v>
      </x:c>
      <x:c r="AZ260" s="115"/>
      <x:c r="BA260" s="115"/>
      <x:c r="BB260" s="107"/>
      <x:c r="BC260" s="107"/>
      <x:c r="BD260" s="107"/>
      <x:c r="BE260" s="107"/>
      <x:c r="BF260" s="107"/>
      <x:c r="BG260" s="109" t="str">
        <x:f t="shared" si="88"/>
        <x:v>FAILED</x:v>
      </x:c>
      <x:c r="BQ260" s="109" t="str">
        <x:f t="shared" si="89"/>
        <x:v>FAILED</x:v>
      </x:c>
      <x:c r="BR260" s="115"/>
      <x:c r="BS260" s="115"/>
      <x:c r="BT260" s="107"/>
      <x:c r="BU260" s="107"/>
      <x:c r="BV260" s="107"/>
      <x:c r="BW260" s="107"/>
      <x:c r="BX260" s="107"/>
      <x:c r="BY260" s="109" t="str">
        <x:f t="shared" si="90"/>
        <x:v>FAILED</x:v>
      </x:c>
      <x:c r="BZ260" s="115"/>
      <x:c r="CA260" s="115"/>
      <x:c r="CB260" s="107"/>
      <x:c r="CC260" s="107"/>
      <x:c r="CD260" s="107"/>
      <x:c r="CE260" s="107"/>
      <x:c r="CF260" s="107"/>
      <x:c r="CG260" s="109" t="str">
        <x:f t="shared" si="91"/>
        <x:v>FAILED</x:v>
      </x:c>
    </x:row>
    <x:row r="261">
      <x:c r="A261" s="102" t="str">
        <x:f>IF(RECORD!A263="","",RECORD!A263)</x:f>
      </x:c>
      <x:c r="B261" s="102" t="str">
        <x:f>IF(RECORD!B263="","",RECORD!B263)</x:f>
      </x:c>
      <x:c r="C261" s="103" t="str">
        <x:f>IF(RECORD!C263="","",RECORD!C263)</x:f>
      </x:c>
      <x:c r="D261" s="104" t="str">
        <x:f t="array" ref="D261">IF(C261&lt;&gt;"",IF(F$7="SUMMER","N/A",_xlfn.IFS(D$10="TLA",RECORD!GO263,F$10="LECTURE","",TRUE(),"")),"")</x:f>
      </x:c>
      <x:c r="E261" s="105" t="str">
        <x:f t="shared" si="69"/>
      </x:c>
      <x:c r="F261" s="104" t="str">
        <x:f t="array" ref="F261">IF(C261&lt;&gt;"",IF(F$7="SUMMER","N/A",_xlfn.IFS(F$10="AT",RECORD!GI263,F$10="LECTURE",GRADES!AP261,TRUE(),"")),"")</x:f>
      </x:c>
      <x:c r="G261" s="106" t="str">
        <x:f t="shared" si="70"/>
      </x:c>
      <x:c r="H261" s="107" t="str">
        <x:f t="array" ref="H261">IF(C261&lt;&gt;"",IF(F$7="SUMMER","N/A",_xlfn.IFS(H$10="EXAM",RECORD!GJ263,H$10="OUTPUT",RECORD!GK263,H$10="LAB",BP261,TRUE(),"")),"")</x:f>
      </x:c>
      <x:c r="I261" s="106" t="str">
        <x:f t="shared" si="71"/>
      </x:c>
      <x:c r="J261" s="108" t="str">
        <x:f t="shared" si="72"/>
      </x:c>
      <x:c r="K261" s="109" t="str">
        <x:f t="shared" si="73"/>
      </x:c>
      <x:c r="L261" s="110" t="str">
        <x:f t="array" ref="L261">IF(C261&lt;&gt;"",_xlfn.IFS(L$10="TLA",RECORD!GY263,N$10="LECTURE","",TRUE(),""),"")</x:f>
      </x:c>
      <x:c r="M261" s="105" t="str">
        <x:f t="shared" si="74"/>
      </x:c>
      <x:c r="N261" s="104" t="str">
        <x:f t="array" ref="N261">IF(C261&lt;&gt;"",_xlfn.IFS(N$10="AT",RECORD!GS263,N$10="LECTURE",AX261,TRUE(),""),"")</x:f>
      </x:c>
      <x:c r="O261" s="106" t="str">
        <x:f t="shared" si="75"/>
      </x:c>
      <x:c r="P261" s="107" t="str">
        <x:f t="array" ref="P261">IF(C261&lt;&gt;"",_xlfn.IFS(P$10="EXAM",RECORD!GT263,P$10="OUTPUT",RECORD!GU263,P$10="LAB",BX261,TRUE(),""),"")</x:f>
      </x:c>
      <x:c r="Q261" s="106" t="str">
        <x:f t="shared" si="76"/>
      </x:c>
      <x:c r="R261" s="108" t="str">
        <x:f t="shared" si="77"/>
      </x:c>
      <x:c r="S261" s="109" t="str">
        <x:f t="shared" si="78"/>
      </x:c>
      <x:c r="T261" s="110" t="str">
        <x:f t="array" ref="T261">IF(C261&lt;&gt;"",_xlfn.IFS(T$10="TLA",RECORD!HI263,V$10="LECTURE","",TRUE(),""),"")</x:f>
      </x:c>
      <x:c r="U261" s="105" t="str">
        <x:f t="shared" si="79"/>
      </x:c>
      <x:c r="V261" s="104" t="str">
        <x:f t="array" ref="V261">IF(C261&lt;&gt;"",_xlfn.IFS(V$10="AT",RECORD!HC263,V$10="LECTURE",BF261,TRUE(),""),"")</x:f>
      </x:c>
      <x:c r="W261" s="106" t="str">
        <x:f t="shared" si="80"/>
      </x:c>
      <x:c r="X261" s="107" t="str">
        <x:f t="array" ref="X261">IF(C261&lt;&gt;"",_xlfn.IFS(X$10="EXAM",RECORD!HD263,X$10="OUTPUT",RECORD!HE263,X$10="LAB",CF261,TRUE(),""),"")</x:f>
      </x:c>
      <x:c r="Y261" s="106" t="str">
        <x:f t="shared" si="81"/>
      </x:c>
      <x:c r="Z261" s="108" t="str">
        <x:f t="shared" si="82"/>
      </x:c>
      <x:c r="AA261" s="109" t="str">
        <x:f t="shared" si="83"/>
      </x:c>
      <x:c r="AB261" s="111" t="str">
        <x:f t="shared" si="84"/>
      </x:c>
      <x:c r="AC261" s="109" t="str">
        <x:f t="shared" si="85"/>
      </x:c>
      <x:c r="AQ261" s="109" t="str">
        <x:f t="shared" si="86"/>
        <x:v>FAILED</x:v>
      </x:c>
      <x:c r="AR261" s="115"/>
      <x:c r="AS261" s="115"/>
      <x:c r="AT261" s="107"/>
      <x:c r="AU261" s="107"/>
      <x:c r="AV261" s="107"/>
      <x:c r="AW261" s="107"/>
      <x:c r="AX261" s="107"/>
      <x:c r="AY261" s="109" t="str">
        <x:f t="shared" si="87"/>
        <x:v>FAILED</x:v>
      </x:c>
      <x:c r="AZ261" s="115"/>
      <x:c r="BA261" s="115"/>
      <x:c r="BB261" s="107"/>
      <x:c r="BC261" s="107"/>
      <x:c r="BD261" s="107"/>
      <x:c r="BE261" s="107"/>
      <x:c r="BF261" s="107"/>
      <x:c r="BG261" s="109" t="str">
        <x:f t="shared" si="88"/>
        <x:v>FAILED</x:v>
      </x:c>
      <x:c r="BQ261" s="109" t="str">
        <x:f t="shared" si="89"/>
        <x:v>FAILED</x:v>
      </x:c>
      <x:c r="BR261" s="115"/>
      <x:c r="BS261" s="115"/>
      <x:c r="BT261" s="107"/>
      <x:c r="BU261" s="107"/>
      <x:c r="BV261" s="107"/>
      <x:c r="BW261" s="107"/>
      <x:c r="BX261" s="107"/>
      <x:c r="BY261" s="109" t="str">
        <x:f t="shared" si="90"/>
        <x:v>FAILED</x:v>
      </x:c>
      <x:c r="BZ261" s="115"/>
      <x:c r="CA261" s="115"/>
      <x:c r="CB261" s="107"/>
      <x:c r="CC261" s="107"/>
      <x:c r="CD261" s="107"/>
      <x:c r="CE261" s="107"/>
      <x:c r="CF261" s="107"/>
      <x:c r="CG261" s="109" t="str">
        <x:f t="shared" si="91"/>
        <x:v>FAILED</x:v>
      </x:c>
    </x:row>
    <x:row r="262">
      <x:c r="A262" s="102" t="str">
        <x:f>IF(RECORD!A264="","",RECORD!A264)</x:f>
      </x:c>
      <x:c r="B262" s="102" t="str">
        <x:f>IF(RECORD!B264="","",RECORD!B264)</x:f>
      </x:c>
      <x:c r="C262" s="103" t="str">
        <x:f>IF(RECORD!C264="","",RECORD!C264)</x:f>
      </x:c>
      <x:c r="D262" s="104" t="str">
        <x:f t="array" ref="D262">IF(C262&lt;&gt;"",IF(F$7="SUMMER","N/A",_xlfn.IFS(D$10="TLA",RECORD!GO264,F$10="LECTURE","",TRUE(),"")),"")</x:f>
      </x:c>
      <x:c r="E262" s="105" t="str">
        <x:f t="shared" si="69"/>
      </x:c>
      <x:c r="F262" s="104" t="str">
        <x:f t="array" ref="F262">IF(C262&lt;&gt;"",IF(F$7="SUMMER","N/A",_xlfn.IFS(F$10="AT",RECORD!GI264,F$10="LECTURE",GRADES!AP262,TRUE(),"")),"")</x:f>
      </x:c>
      <x:c r="G262" s="106" t="str">
        <x:f t="shared" si="70"/>
      </x:c>
      <x:c r="H262" s="107" t="str">
        <x:f t="array" ref="H262">IF(C262&lt;&gt;"",IF(F$7="SUMMER","N/A",_xlfn.IFS(H$10="EXAM",RECORD!GJ264,H$10="OUTPUT",RECORD!GK264,H$10="LAB",BP262,TRUE(),"")),"")</x:f>
      </x:c>
      <x:c r="I262" s="106" t="str">
        <x:f t="shared" si="71"/>
      </x:c>
      <x:c r="J262" s="108" t="str">
        <x:f t="shared" si="72"/>
      </x:c>
      <x:c r="K262" s="109" t="str">
        <x:f t="shared" si="73"/>
      </x:c>
      <x:c r="L262" s="110" t="str">
        <x:f t="array" ref="L262">IF(C262&lt;&gt;"",_xlfn.IFS(L$10="TLA",RECORD!GY264,N$10="LECTURE","",TRUE(),""),"")</x:f>
      </x:c>
      <x:c r="M262" s="105" t="str">
        <x:f t="shared" si="74"/>
      </x:c>
      <x:c r="N262" s="104" t="str">
        <x:f t="array" ref="N262">IF(C262&lt;&gt;"",_xlfn.IFS(N$10="AT",RECORD!GS264,N$10="LECTURE",AX262,TRUE(),""),"")</x:f>
      </x:c>
      <x:c r="O262" s="106" t="str">
        <x:f t="shared" si="75"/>
      </x:c>
      <x:c r="P262" s="107" t="str">
        <x:f t="array" ref="P262">IF(C262&lt;&gt;"",_xlfn.IFS(P$10="EXAM",RECORD!GT264,P$10="OUTPUT",RECORD!GU264,P$10="LAB",BX262,TRUE(),""),"")</x:f>
      </x:c>
      <x:c r="Q262" s="106" t="str">
        <x:f t="shared" si="76"/>
      </x:c>
      <x:c r="R262" s="108" t="str">
        <x:f t="shared" si="77"/>
      </x:c>
      <x:c r="S262" s="109" t="str">
        <x:f t="shared" si="78"/>
      </x:c>
      <x:c r="T262" s="110" t="str">
        <x:f t="array" ref="T262">IF(C262&lt;&gt;"",_xlfn.IFS(T$10="TLA",RECORD!HI264,V$10="LECTURE","",TRUE(),""),"")</x:f>
      </x:c>
      <x:c r="U262" s="105" t="str">
        <x:f t="shared" si="79"/>
      </x:c>
      <x:c r="V262" s="104" t="str">
        <x:f t="array" ref="V262">IF(C262&lt;&gt;"",_xlfn.IFS(V$10="AT",RECORD!HC264,V$10="LECTURE",BF262,TRUE(),""),"")</x:f>
      </x:c>
      <x:c r="W262" s="106" t="str">
        <x:f t="shared" si="80"/>
      </x:c>
      <x:c r="X262" s="107" t="str">
        <x:f t="array" ref="X262">IF(C262&lt;&gt;"",_xlfn.IFS(X$10="EXAM",RECORD!HD264,X$10="OUTPUT",RECORD!HE264,X$10="LAB",CF262,TRUE(),""),"")</x:f>
      </x:c>
      <x:c r="Y262" s="106" t="str">
        <x:f t="shared" si="81"/>
      </x:c>
      <x:c r="Z262" s="108" t="str">
        <x:f t="shared" si="82"/>
      </x:c>
      <x:c r="AA262" s="109" t="str">
        <x:f t="shared" si="83"/>
      </x:c>
      <x:c r="AB262" s="111" t="str">
        <x:f t="shared" si="84"/>
      </x:c>
      <x:c r="AC262" s="109" t="str">
        <x:f t="shared" si="85"/>
      </x:c>
      <x:c r="AQ262" s="109" t="str">
        <x:f t="shared" si="86"/>
        <x:v>FAILED</x:v>
      </x:c>
      <x:c r="AR262" s="115"/>
      <x:c r="AS262" s="115"/>
      <x:c r="AT262" s="107"/>
      <x:c r="AU262" s="107"/>
      <x:c r="AV262" s="107"/>
      <x:c r="AW262" s="107"/>
      <x:c r="AX262" s="107"/>
      <x:c r="AY262" s="109" t="str">
        <x:f t="shared" si="87"/>
        <x:v>FAILED</x:v>
      </x:c>
      <x:c r="AZ262" s="115"/>
      <x:c r="BA262" s="115"/>
      <x:c r="BB262" s="107"/>
      <x:c r="BC262" s="107"/>
      <x:c r="BD262" s="107"/>
      <x:c r="BE262" s="107"/>
      <x:c r="BF262" s="107"/>
      <x:c r="BG262" s="109" t="str">
        <x:f t="shared" si="88"/>
        <x:v>FAILED</x:v>
      </x:c>
      <x:c r="BQ262" s="109" t="str">
        <x:f t="shared" si="89"/>
        <x:v>FAILED</x:v>
      </x:c>
      <x:c r="BR262" s="115"/>
      <x:c r="BS262" s="115"/>
      <x:c r="BT262" s="107"/>
      <x:c r="BU262" s="107"/>
      <x:c r="BV262" s="107"/>
      <x:c r="BW262" s="107"/>
      <x:c r="BX262" s="107"/>
      <x:c r="BY262" s="109" t="str">
        <x:f t="shared" si="90"/>
        <x:v>FAILED</x:v>
      </x:c>
      <x:c r="BZ262" s="115"/>
      <x:c r="CA262" s="115"/>
      <x:c r="CB262" s="107"/>
      <x:c r="CC262" s="107"/>
      <x:c r="CD262" s="107"/>
      <x:c r="CE262" s="107"/>
      <x:c r="CF262" s="107"/>
      <x:c r="CG262" s="109" t="str">
        <x:f t="shared" si="91"/>
        <x:v>FAILED</x:v>
      </x:c>
    </x:row>
    <x:row r="263">
      <x:c r="A263" s="102" t="str">
        <x:f>IF(RECORD!A265="","",RECORD!A265)</x:f>
      </x:c>
      <x:c r="B263" s="102" t="str">
        <x:f>IF(RECORD!B265="","",RECORD!B265)</x:f>
      </x:c>
      <x:c r="C263" s="103" t="str">
        <x:f>IF(RECORD!C265="","",RECORD!C265)</x:f>
      </x:c>
      <x:c r="D263" s="104" t="str">
        <x:f t="array" ref="D263">IF(C263&lt;&gt;"",IF(F$7="SUMMER","N/A",_xlfn.IFS(D$10="TLA",RECORD!GO265,F$10="LECTURE","",TRUE(),"")),"")</x:f>
      </x:c>
      <x:c r="E263" s="105" t="str">
        <x:f t="shared" si="69"/>
      </x:c>
      <x:c r="F263" s="104" t="str">
        <x:f t="array" ref="F263">IF(C263&lt;&gt;"",IF(F$7="SUMMER","N/A",_xlfn.IFS(F$10="AT",RECORD!GI265,F$10="LECTURE",GRADES!AP263,TRUE(),"")),"")</x:f>
      </x:c>
      <x:c r="G263" s="106" t="str">
        <x:f t="shared" si="70"/>
      </x:c>
      <x:c r="H263" s="107" t="str">
        <x:f t="array" ref="H263">IF(C263&lt;&gt;"",IF(F$7="SUMMER","N/A",_xlfn.IFS(H$10="EXAM",RECORD!GJ265,H$10="OUTPUT",RECORD!GK265,H$10="LAB",BP263,TRUE(),"")),"")</x:f>
      </x:c>
      <x:c r="I263" s="106" t="str">
        <x:f t="shared" si="71"/>
      </x:c>
      <x:c r="J263" s="108" t="str">
        <x:f t="shared" si="72"/>
      </x:c>
      <x:c r="K263" s="109" t="str">
        <x:f t="shared" si="73"/>
      </x:c>
      <x:c r="L263" s="110" t="str">
        <x:f t="array" ref="L263">IF(C263&lt;&gt;"",_xlfn.IFS(L$10="TLA",RECORD!GY265,N$10="LECTURE","",TRUE(),""),"")</x:f>
      </x:c>
      <x:c r="M263" s="105" t="str">
        <x:f t="shared" si="74"/>
      </x:c>
      <x:c r="N263" s="104" t="str">
        <x:f t="array" ref="N263">IF(C263&lt;&gt;"",_xlfn.IFS(N$10="AT",RECORD!GS265,N$10="LECTURE",AX263,TRUE(),""),"")</x:f>
      </x:c>
      <x:c r="O263" s="106" t="str">
        <x:f t="shared" si="75"/>
      </x:c>
      <x:c r="P263" s="107" t="str">
        <x:f t="array" ref="P263">IF(C263&lt;&gt;"",_xlfn.IFS(P$10="EXAM",RECORD!GT265,P$10="OUTPUT",RECORD!GU265,P$10="LAB",BX263,TRUE(),""),"")</x:f>
      </x:c>
      <x:c r="Q263" s="106" t="str">
        <x:f t="shared" si="76"/>
      </x:c>
      <x:c r="R263" s="108" t="str">
        <x:f t="shared" si="77"/>
      </x:c>
      <x:c r="S263" s="109" t="str">
        <x:f t="shared" si="78"/>
      </x:c>
      <x:c r="T263" s="110" t="str">
        <x:f t="array" ref="T263">IF(C263&lt;&gt;"",_xlfn.IFS(T$10="TLA",RECORD!HI265,V$10="LECTURE","",TRUE(),""),"")</x:f>
      </x:c>
      <x:c r="U263" s="105" t="str">
        <x:f t="shared" si="79"/>
      </x:c>
      <x:c r="V263" s="104" t="str">
        <x:f t="array" ref="V263">IF(C263&lt;&gt;"",_xlfn.IFS(V$10="AT",RECORD!HC265,V$10="LECTURE",BF263,TRUE(),""),"")</x:f>
      </x:c>
      <x:c r="W263" s="106" t="str">
        <x:f t="shared" si="80"/>
      </x:c>
      <x:c r="X263" s="107" t="str">
        <x:f t="array" ref="X263">IF(C263&lt;&gt;"",_xlfn.IFS(X$10="EXAM",RECORD!HD265,X$10="OUTPUT",RECORD!HE265,X$10="LAB",CF263,TRUE(),""),"")</x:f>
      </x:c>
      <x:c r="Y263" s="106" t="str">
        <x:f t="shared" si="81"/>
      </x:c>
      <x:c r="Z263" s="108" t="str">
        <x:f t="shared" si="82"/>
      </x:c>
      <x:c r="AA263" s="109" t="str">
        <x:f t="shared" si="83"/>
      </x:c>
      <x:c r="AB263" s="111" t="str">
        <x:f t="shared" si="84"/>
      </x:c>
      <x:c r="AC263" s="109" t="str">
        <x:f t="shared" si="85"/>
      </x:c>
      <x:c r="AQ263" s="109" t="str">
        <x:f t="shared" si="86"/>
        <x:v>FAILED</x:v>
      </x:c>
      <x:c r="AR263" s="115"/>
      <x:c r="AS263" s="115"/>
      <x:c r="AT263" s="107"/>
      <x:c r="AU263" s="107"/>
      <x:c r="AV263" s="107"/>
      <x:c r="AW263" s="107"/>
      <x:c r="AX263" s="107"/>
      <x:c r="AY263" s="109" t="str">
        <x:f t="shared" si="87"/>
        <x:v>FAILED</x:v>
      </x:c>
      <x:c r="AZ263" s="115"/>
      <x:c r="BA263" s="115"/>
      <x:c r="BB263" s="107"/>
      <x:c r="BC263" s="107"/>
      <x:c r="BD263" s="107"/>
      <x:c r="BE263" s="107"/>
      <x:c r="BF263" s="107"/>
      <x:c r="BG263" s="109" t="str">
        <x:f t="shared" si="88"/>
        <x:v>FAILED</x:v>
      </x:c>
      <x:c r="BQ263" s="109" t="str">
        <x:f t="shared" si="89"/>
        <x:v>FAILED</x:v>
      </x:c>
      <x:c r="BR263" s="115"/>
      <x:c r="BS263" s="115"/>
      <x:c r="BT263" s="107"/>
      <x:c r="BU263" s="107"/>
      <x:c r="BV263" s="107"/>
      <x:c r="BW263" s="107"/>
      <x:c r="BX263" s="107"/>
      <x:c r="BY263" s="109" t="str">
        <x:f t="shared" si="90"/>
        <x:v>FAILED</x:v>
      </x:c>
      <x:c r="BZ263" s="115"/>
      <x:c r="CA263" s="115"/>
      <x:c r="CB263" s="107"/>
      <x:c r="CC263" s="107"/>
      <x:c r="CD263" s="107"/>
      <x:c r="CE263" s="107"/>
      <x:c r="CF263" s="107"/>
      <x:c r="CG263" s="109" t="str">
        <x:f t="shared" si="91"/>
        <x:v>FAILED</x:v>
      </x:c>
    </x:row>
    <x:row r="264">
      <x:c r="A264" s="102" t="str">
        <x:f>IF(RECORD!A266="","",RECORD!A266)</x:f>
      </x:c>
      <x:c r="B264" s="102" t="str">
        <x:f>IF(RECORD!B266="","",RECORD!B266)</x:f>
      </x:c>
      <x:c r="C264" s="103" t="str">
        <x:f>IF(RECORD!C266="","",RECORD!C266)</x:f>
      </x:c>
      <x:c r="D264" s="104" t="str">
        <x:f t="array" ref="D264">IF(C264&lt;&gt;"",IF(F$7="SUMMER","N/A",_xlfn.IFS(D$10="TLA",RECORD!GO266,F$10="LECTURE","",TRUE(),"")),"")</x:f>
      </x:c>
      <x:c r="E264" s="105" t="str">
        <x:f t="shared" si="69"/>
      </x:c>
      <x:c r="F264" s="104" t="str">
        <x:f t="array" ref="F264">IF(C264&lt;&gt;"",IF(F$7="SUMMER","N/A",_xlfn.IFS(F$10="AT",RECORD!GI266,F$10="LECTURE",GRADES!AP264,TRUE(),"")),"")</x:f>
      </x:c>
      <x:c r="G264" s="106" t="str">
        <x:f t="shared" si="70"/>
      </x:c>
      <x:c r="H264" s="107" t="str">
        <x:f t="array" ref="H264">IF(C264&lt;&gt;"",IF(F$7="SUMMER","N/A",_xlfn.IFS(H$10="EXAM",RECORD!GJ266,H$10="OUTPUT",RECORD!GK266,H$10="LAB",BP264,TRUE(),"")),"")</x:f>
      </x:c>
      <x:c r="I264" s="106" t="str">
        <x:f t="shared" si="71"/>
      </x:c>
      <x:c r="J264" s="108" t="str">
        <x:f t="shared" si="72"/>
      </x:c>
      <x:c r="K264" s="109" t="str">
        <x:f t="shared" si="73"/>
      </x:c>
      <x:c r="L264" s="110" t="str">
        <x:f t="array" ref="L264">IF(C264&lt;&gt;"",_xlfn.IFS(L$10="TLA",RECORD!GY266,N$10="LECTURE","",TRUE(),""),"")</x:f>
      </x:c>
      <x:c r="M264" s="105" t="str">
        <x:f t="shared" si="74"/>
      </x:c>
      <x:c r="N264" s="104" t="str">
        <x:f t="array" ref="N264">IF(C264&lt;&gt;"",_xlfn.IFS(N$10="AT",RECORD!GS266,N$10="LECTURE",AX264,TRUE(),""),"")</x:f>
      </x:c>
      <x:c r="O264" s="106" t="str">
        <x:f t="shared" si="75"/>
      </x:c>
      <x:c r="P264" s="107" t="str">
        <x:f t="array" ref="P264">IF(C264&lt;&gt;"",_xlfn.IFS(P$10="EXAM",RECORD!GT266,P$10="OUTPUT",RECORD!GU266,P$10="LAB",BX264,TRUE(),""),"")</x:f>
      </x:c>
      <x:c r="Q264" s="106" t="str">
        <x:f t="shared" si="76"/>
      </x:c>
      <x:c r="R264" s="108" t="str">
        <x:f t="shared" si="77"/>
      </x:c>
      <x:c r="S264" s="109" t="str">
        <x:f t="shared" si="78"/>
      </x:c>
      <x:c r="T264" s="110" t="str">
        <x:f t="array" ref="T264">IF(C264&lt;&gt;"",_xlfn.IFS(T$10="TLA",RECORD!HI266,V$10="LECTURE","",TRUE(),""),"")</x:f>
      </x:c>
      <x:c r="U264" s="105" t="str">
        <x:f t="shared" si="79"/>
      </x:c>
      <x:c r="V264" s="104" t="str">
        <x:f t="array" ref="V264">IF(C264&lt;&gt;"",_xlfn.IFS(V$10="AT",RECORD!HC266,V$10="LECTURE",BF264,TRUE(),""),"")</x:f>
      </x:c>
      <x:c r="W264" s="106" t="str">
        <x:f t="shared" si="80"/>
      </x:c>
      <x:c r="X264" s="107" t="str">
        <x:f t="array" ref="X264">IF(C264&lt;&gt;"",_xlfn.IFS(X$10="EXAM",RECORD!HD266,X$10="OUTPUT",RECORD!HE266,X$10="LAB",CF264,TRUE(),""),"")</x:f>
      </x:c>
      <x:c r="Y264" s="106" t="str">
        <x:f t="shared" si="81"/>
      </x:c>
      <x:c r="Z264" s="108" t="str">
        <x:f t="shared" si="82"/>
      </x:c>
      <x:c r="AA264" s="109" t="str">
        <x:f t="shared" si="83"/>
      </x:c>
      <x:c r="AB264" s="111" t="str">
        <x:f t="shared" si="84"/>
      </x:c>
      <x:c r="AC264" s="109" t="str">
        <x:f t="shared" si="85"/>
      </x:c>
      <x:c r="AQ264" s="109" t="str">
        <x:f t="shared" si="86"/>
        <x:v>FAILED</x:v>
      </x:c>
      <x:c r="AR264" s="115"/>
      <x:c r="AS264" s="115"/>
      <x:c r="AT264" s="107"/>
      <x:c r="AU264" s="107"/>
      <x:c r="AV264" s="107"/>
      <x:c r="AW264" s="107"/>
      <x:c r="AX264" s="107"/>
      <x:c r="AY264" s="109" t="str">
        <x:f t="shared" si="87"/>
        <x:v>FAILED</x:v>
      </x:c>
      <x:c r="AZ264" s="115"/>
      <x:c r="BA264" s="115"/>
      <x:c r="BB264" s="107"/>
      <x:c r="BC264" s="107"/>
      <x:c r="BD264" s="107"/>
      <x:c r="BE264" s="107"/>
      <x:c r="BF264" s="107"/>
      <x:c r="BG264" s="109" t="str">
        <x:f t="shared" si="88"/>
        <x:v>FAILED</x:v>
      </x:c>
      <x:c r="BQ264" s="109" t="str">
        <x:f t="shared" si="89"/>
        <x:v>FAILED</x:v>
      </x:c>
      <x:c r="BR264" s="115"/>
      <x:c r="BS264" s="115"/>
      <x:c r="BT264" s="107"/>
      <x:c r="BU264" s="107"/>
      <x:c r="BV264" s="107"/>
      <x:c r="BW264" s="107"/>
      <x:c r="BX264" s="107"/>
      <x:c r="BY264" s="109" t="str">
        <x:f t="shared" si="90"/>
        <x:v>FAILED</x:v>
      </x:c>
      <x:c r="BZ264" s="115"/>
      <x:c r="CA264" s="115"/>
      <x:c r="CB264" s="107"/>
      <x:c r="CC264" s="107"/>
      <x:c r="CD264" s="107"/>
      <x:c r="CE264" s="107"/>
      <x:c r="CF264" s="107"/>
      <x:c r="CG264" s="109" t="str">
        <x:f t="shared" si="91"/>
        <x:v>FAILED</x:v>
      </x:c>
    </x:row>
    <x:row r="265">
      <x:c r="A265" s="102" t="str">
        <x:f>IF(RECORD!A267="","",RECORD!A267)</x:f>
      </x:c>
      <x:c r="B265" s="102" t="str">
        <x:f>IF(RECORD!B267="","",RECORD!B267)</x:f>
      </x:c>
      <x:c r="C265" s="103" t="str">
        <x:f>IF(RECORD!C267="","",RECORD!C267)</x:f>
      </x:c>
      <x:c r="D265" s="104" t="str">
        <x:f t="array" ref="D265">IF(C265&lt;&gt;"",IF(F$7="SUMMER","N/A",_xlfn.IFS(D$10="TLA",RECORD!GO267,F$10="LECTURE","",TRUE(),"")),"")</x:f>
      </x:c>
      <x:c r="E265" s="105" t="str">
        <x:f t="shared" si="69"/>
      </x:c>
      <x:c r="F265" s="104" t="str">
        <x:f t="array" ref="F265">IF(C265&lt;&gt;"",IF(F$7="SUMMER","N/A",_xlfn.IFS(F$10="AT",RECORD!GI267,F$10="LECTURE",GRADES!AP265,TRUE(),"")),"")</x:f>
      </x:c>
      <x:c r="G265" s="106" t="str">
        <x:f t="shared" si="70"/>
      </x:c>
      <x:c r="H265" s="107" t="str">
        <x:f t="array" ref="H265">IF(C265&lt;&gt;"",IF(F$7="SUMMER","N/A",_xlfn.IFS(H$10="EXAM",RECORD!GJ267,H$10="OUTPUT",RECORD!GK267,H$10="LAB",BP265,TRUE(),"")),"")</x:f>
      </x:c>
      <x:c r="I265" s="106" t="str">
        <x:f t="shared" si="71"/>
      </x:c>
      <x:c r="J265" s="108" t="str">
        <x:f t="shared" si="72"/>
      </x:c>
      <x:c r="K265" s="109" t="str">
        <x:f t="shared" si="73"/>
      </x:c>
      <x:c r="L265" s="110" t="str">
        <x:f t="array" ref="L265">IF(C265&lt;&gt;"",_xlfn.IFS(L$10="TLA",RECORD!GY267,N$10="LECTURE","",TRUE(),""),"")</x:f>
      </x:c>
      <x:c r="M265" s="105" t="str">
        <x:f t="shared" si="74"/>
      </x:c>
      <x:c r="N265" s="104" t="str">
        <x:f t="array" ref="N265">IF(C265&lt;&gt;"",_xlfn.IFS(N$10="AT",RECORD!GS267,N$10="LECTURE",AX265,TRUE(),""),"")</x:f>
      </x:c>
      <x:c r="O265" s="106" t="str">
        <x:f t="shared" si="75"/>
      </x:c>
      <x:c r="P265" s="107" t="str">
        <x:f t="array" ref="P265">IF(C265&lt;&gt;"",_xlfn.IFS(P$10="EXAM",RECORD!GT267,P$10="OUTPUT",RECORD!GU267,P$10="LAB",BX265,TRUE(),""),"")</x:f>
      </x:c>
      <x:c r="Q265" s="106" t="str">
        <x:f t="shared" si="76"/>
      </x:c>
      <x:c r="R265" s="108" t="str">
        <x:f t="shared" si="77"/>
      </x:c>
      <x:c r="S265" s="109" t="str">
        <x:f t="shared" si="78"/>
      </x:c>
      <x:c r="T265" s="110" t="str">
        <x:f t="array" ref="T265">IF(C265&lt;&gt;"",_xlfn.IFS(T$10="TLA",RECORD!HI267,V$10="LECTURE","",TRUE(),""),"")</x:f>
      </x:c>
      <x:c r="U265" s="105" t="str">
        <x:f t="shared" si="79"/>
      </x:c>
      <x:c r="V265" s="104" t="str">
        <x:f t="array" ref="V265">IF(C265&lt;&gt;"",_xlfn.IFS(V$10="AT",RECORD!HC267,V$10="LECTURE",BF265,TRUE(),""),"")</x:f>
      </x:c>
      <x:c r="W265" s="106" t="str">
        <x:f t="shared" si="80"/>
      </x:c>
      <x:c r="X265" s="107" t="str">
        <x:f t="array" ref="X265">IF(C265&lt;&gt;"",_xlfn.IFS(X$10="EXAM",RECORD!HD267,X$10="OUTPUT",RECORD!HE267,X$10="LAB",CF265,TRUE(),""),"")</x:f>
      </x:c>
      <x:c r="Y265" s="106" t="str">
        <x:f t="shared" si="81"/>
      </x:c>
      <x:c r="Z265" s="108" t="str">
        <x:f t="shared" si="82"/>
      </x:c>
      <x:c r="AA265" s="109" t="str">
        <x:f t="shared" si="83"/>
      </x:c>
      <x:c r="AB265" s="111" t="str">
        <x:f t="shared" si="84"/>
      </x:c>
      <x:c r="AC265" s="109" t="str">
        <x:f t="shared" si="85"/>
      </x:c>
      <x:c r="AQ265" s="109" t="str">
        <x:f t="shared" si="86"/>
        <x:v>FAILED</x:v>
      </x:c>
      <x:c r="AR265" s="115"/>
      <x:c r="AS265" s="115"/>
      <x:c r="AT265" s="107"/>
      <x:c r="AU265" s="107"/>
      <x:c r="AV265" s="107"/>
      <x:c r="AW265" s="107"/>
      <x:c r="AX265" s="107"/>
      <x:c r="AY265" s="109" t="str">
        <x:f t="shared" si="87"/>
        <x:v>FAILED</x:v>
      </x:c>
      <x:c r="AZ265" s="115"/>
      <x:c r="BA265" s="115"/>
      <x:c r="BB265" s="107"/>
      <x:c r="BC265" s="107"/>
      <x:c r="BD265" s="107"/>
      <x:c r="BE265" s="107"/>
      <x:c r="BF265" s="107"/>
      <x:c r="BG265" s="109" t="str">
        <x:f t="shared" si="88"/>
        <x:v>FAILED</x:v>
      </x:c>
      <x:c r="BQ265" s="109" t="str">
        <x:f t="shared" si="89"/>
        <x:v>FAILED</x:v>
      </x:c>
      <x:c r="BR265" s="115"/>
      <x:c r="BS265" s="115"/>
      <x:c r="BT265" s="107"/>
      <x:c r="BU265" s="107"/>
      <x:c r="BV265" s="107"/>
      <x:c r="BW265" s="107"/>
      <x:c r="BX265" s="107"/>
      <x:c r="BY265" s="109" t="str">
        <x:f t="shared" si="90"/>
        <x:v>FAILED</x:v>
      </x:c>
      <x:c r="BZ265" s="115"/>
      <x:c r="CA265" s="115"/>
      <x:c r="CB265" s="107"/>
      <x:c r="CC265" s="107"/>
      <x:c r="CD265" s="107"/>
      <x:c r="CE265" s="107"/>
      <x:c r="CF265" s="107"/>
      <x:c r="CG265" s="109" t="str">
        <x:f t="shared" si="91"/>
        <x:v>FAILED</x:v>
      </x:c>
    </x:row>
    <x:row r="266">
      <x:c r="A266" s="102" t="str">
        <x:f>IF(RECORD!A268="","",RECORD!A268)</x:f>
      </x:c>
      <x:c r="B266" s="102" t="str">
        <x:f>IF(RECORD!B268="","",RECORD!B268)</x:f>
      </x:c>
      <x:c r="C266" s="103" t="str">
        <x:f>IF(RECORD!C268="","",RECORD!C268)</x:f>
      </x:c>
      <x:c r="D266" s="104" t="str">
        <x:f t="array" ref="D266">IF(C266&lt;&gt;"",IF(F$7="SUMMER","N/A",_xlfn.IFS(D$10="TLA",RECORD!GO268,F$10="LECTURE","",TRUE(),"")),"")</x:f>
      </x:c>
      <x:c r="E266" s="105" t="str">
        <x:f t="shared" si="69"/>
      </x:c>
      <x:c r="F266" s="104" t="str">
        <x:f t="array" ref="F266">IF(C266&lt;&gt;"",IF(F$7="SUMMER","N/A",_xlfn.IFS(F$10="AT",RECORD!GI268,F$10="LECTURE",GRADES!AP266,TRUE(),"")),"")</x:f>
      </x:c>
      <x:c r="G266" s="106" t="str">
        <x:f t="shared" si="70"/>
      </x:c>
      <x:c r="H266" s="107" t="str">
        <x:f t="array" ref="H266">IF(C266&lt;&gt;"",IF(F$7="SUMMER","N/A",_xlfn.IFS(H$10="EXAM",RECORD!GJ268,H$10="OUTPUT",RECORD!GK268,H$10="LAB",BP266,TRUE(),"")),"")</x:f>
      </x:c>
      <x:c r="I266" s="106" t="str">
        <x:f t="shared" si="71"/>
      </x:c>
      <x:c r="J266" s="108" t="str">
        <x:f t="shared" si="72"/>
      </x:c>
      <x:c r="K266" s="109" t="str">
        <x:f t="shared" si="73"/>
      </x:c>
      <x:c r="L266" s="110" t="str">
        <x:f t="array" ref="L266">IF(C266&lt;&gt;"",_xlfn.IFS(L$10="TLA",RECORD!GY268,N$10="LECTURE","",TRUE(),""),"")</x:f>
      </x:c>
      <x:c r="M266" s="105" t="str">
        <x:f t="shared" si="74"/>
      </x:c>
      <x:c r="N266" s="104" t="str">
        <x:f t="array" ref="N266">IF(C266&lt;&gt;"",_xlfn.IFS(N$10="AT",RECORD!GS268,N$10="LECTURE",AX266,TRUE(),""),"")</x:f>
      </x:c>
      <x:c r="O266" s="106" t="str">
        <x:f t="shared" si="75"/>
      </x:c>
      <x:c r="P266" s="107" t="str">
        <x:f t="array" ref="P266">IF(C266&lt;&gt;"",_xlfn.IFS(P$10="EXAM",RECORD!GT268,P$10="OUTPUT",RECORD!GU268,P$10="LAB",BX266,TRUE(),""),"")</x:f>
      </x:c>
      <x:c r="Q266" s="106" t="str">
        <x:f t="shared" si="76"/>
      </x:c>
      <x:c r="R266" s="108" t="str">
        <x:f t="shared" si="77"/>
      </x:c>
      <x:c r="S266" s="109" t="str">
        <x:f t="shared" si="78"/>
      </x:c>
      <x:c r="T266" s="110" t="str">
        <x:f t="array" ref="T266">IF(C266&lt;&gt;"",_xlfn.IFS(T$10="TLA",RECORD!HI268,V$10="LECTURE","",TRUE(),""),"")</x:f>
      </x:c>
      <x:c r="U266" s="105" t="str">
        <x:f t="shared" si="79"/>
      </x:c>
      <x:c r="V266" s="104" t="str">
        <x:f t="array" ref="V266">IF(C266&lt;&gt;"",_xlfn.IFS(V$10="AT",RECORD!HC268,V$10="LECTURE",BF266,TRUE(),""),"")</x:f>
      </x:c>
      <x:c r="W266" s="106" t="str">
        <x:f t="shared" si="80"/>
      </x:c>
      <x:c r="X266" s="107" t="str">
        <x:f t="array" ref="X266">IF(C266&lt;&gt;"",_xlfn.IFS(X$10="EXAM",RECORD!HD268,X$10="OUTPUT",RECORD!HE268,X$10="LAB",CF266,TRUE(),""),"")</x:f>
      </x:c>
      <x:c r="Y266" s="106" t="str">
        <x:f t="shared" si="81"/>
      </x:c>
      <x:c r="Z266" s="108" t="str">
        <x:f t="shared" si="82"/>
      </x:c>
      <x:c r="AA266" s="109" t="str">
        <x:f t="shared" si="83"/>
      </x:c>
      <x:c r="AB266" s="111" t="str">
        <x:f t="shared" si="84"/>
      </x:c>
      <x:c r="AC266" s="109" t="str">
        <x:f t="shared" si="85"/>
      </x:c>
      <x:c r="AQ266" s="109" t="str">
        <x:f t="shared" si="86"/>
        <x:v>FAILED</x:v>
      </x:c>
      <x:c r="AR266" s="115"/>
      <x:c r="AS266" s="115"/>
      <x:c r="AT266" s="107"/>
      <x:c r="AU266" s="107"/>
      <x:c r="AV266" s="107"/>
      <x:c r="AW266" s="107"/>
      <x:c r="AX266" s="107"/>
      <x:c r="AY266" s="109" t="str">
        <x:f t="shared" si="87"/>
        <x:v>FAILED</x:v>
      </x:c>
      <x:c r="AZ266" s="115"/>
      <x:c r="BA266" s="115"/>
      <x:c r="BB266" s="107"/>
      <x:c r="BC266" s="107"/>
      <x:c r="BD266" s="107"/>
      <x:c r="BE266" s="107"/>
      <x:c r="BF266" s="107"/>
      <x:c r="BG266" s="109" t="str">
        <x:f t="shared" si="88"/>
        <x:v>FAILED</x:v>
      </x:c>
      <x:c r="BQ266" s="109" t="str">
        <x:f t="shared" si="89"/>
        <x:v>FAILED</x:v>
      </x:c>
      <x:c r="BR266" s="115"/>
      <x:c r="BS266" s="115"/>
      <x:c r="BT266" s="107"/>
      <x:c r="BU266" s="107"/>
      <x:c r="BV266" s="107"/>
      <x:c r="BW266" s="107"/>
      <x:c r="BX266" s="107"/>
      <x:c r="BY266" s="109" t="str">
        <x:f t="shared" si="90"/>
        <x:v>FAILED</x:v>
      </x:c>
      <x:c r="BZ266" s="115"/>
      <x:c r="CA266" s="115"/>
      <x:c r="CB266" s="107"/>
      <x:c r="CC266" s="107"/>
      <x:c r="CD266" s="107"/>
      <x:c r="CE266" s="107"/>
      <x:c r="CF266" s="107"/>
      <x:c r="CG266" s="109" t="str">
        <x:f t="shared" si="91"/>
        <x:v>FAILED</x:v>
      </x:c>
    </x:row>
    <x:row r="267">
      <x:c r="A267" s="102" t="str">
        <x:f>IF(RECORD!A269="","",RECORD!A269)</x:f>
      </x:c>
      <x:c r="B267" s="102" t="str">
        <x:f>IF(RECORD!B269="","",RECORD!B269)</x:f>
      </x:c>
      <x:c r="C267" s="103" t="str">
        <x:f>IF(RECORD!C269="","",RECORD!C269)</x:f>
      </x:c>
      <x:c r="D267" s="104" t="str">
        <x:f t="array" ref="D267">IF(C267&lt;&gt;"",IF(F$7="SUMMER","N/A",_xlfn.IFS(D$10="TLA",RECORD!GO269,F$10="LECTURE","",TRUE(),"")),"")</x:f>
      </x:c>
      <x:c r="E267" s="105" t="str">
        <x:f t="shared" si="69"/>
      </x:c>
      <x:c r="F267" s="104" t="str">
        <x:f t="array" ref="F267">IF(C267&lt;&gt;"",IF(F$7="SUMMER","N/A",_xlfn.IFS(F$10="AT",RECORD!GI269,F$10="LECTURE",GRADES!AP267,TRUE(),"")),"")</x:f>
      </x:c>
      <x:c r="G267" s="106" t="str">
        <x:f t="shared" si="70"/>
      </x:c>
      <x:c r="H267" s="107" t="str">
        <x:f t="array" ref="H267">IF(C267&lt;&gt;"",IF(F$7="SUMMER","N/A",_xlfn.IFS(H$10="EXAM",RECORD!GJ269,H$10="OUTPUT",RECORD!GK269,H$10="LAB",BP267,TRUE(),"")),"")</x:f>
      </x:c>
      <x:c r="I267" s="106" t="str">
        <x:f t="shared" si="71"/>
      </x:c>
      <x:c r="J267" s="108" t="str">
        <x:f t="shared" si="72"/>
      </x:c>
      <x:c r="K267" s="109" t="str">
        <x:f t="shared" si="73"/>
      </x:c>
      <x:c r="L267" s="110" t="str">
        <x:f t="array" ref="L267">IF(C267&lt;&gt;"",_xlfn.IFS(L$10="TLA",RECORD!GY269,N$10="LECTURE","",TRUE(),""),"")</x:f>
      </x:c>
      <x:c r="M267" s="105" t="str">
        <x:f t="shared" si="74"/>
      </x:c>
      <x:c r="N267" s="104" t="str">
        <x:f t="array" ref="N267">IF(C267&lt;&gt;"",_xlfn.IFS(N$10="AT",RECORD!GS269,N$10="LECTURE",AX267,TRUE(),""),"")</x:f>
      </x:c>
      <x:c r="O267" s="106" t="str">
        <x:f t="shared" si="75"/>
      </x:c>
      <x:c r="P267" s="107" t="str">
        <x:f t="array" ref="P267">IF(C267&lt;&gt;"",_xlfn.IFS(P$10="EXAM",RECORD!GT269,P$10="OUTPUT",RECORD!GU269,P$10="LAB",BX267,TRUE(),""),"")</x:f>
      </x:c>
      <x:c r="Q267" s="106" t="str">
        <x:f t="shared" si="76"/>
      </x:c>
      <x:c r="R267" s="108" t="str">
        <x:f t="shared" si="77"/>
      </x:c>
      <x:c r="S267" s="109" t="str">
        <x:f t="shared" si="78"/>
      </x:c>
      <x:c r="T267" s="110" t="str">
        <x:f t="array" ref="T267">IF(C267&lt;&gt;"",_xlfn.IFS(T$10="TLA",RECORD!HI269,V$10="LECTURE","",TRUE(),""),"")</x:f>
      </x:c>
      <x:c r="U267" s="105" t="str">
        <x:f t="shared" si="79"/>
      </x:c>
      <x:c r="V267" s="104" t="str">
        <x:f t="array" ref="V267">IF(C267&lt;&gt;"",_xlfn.IFS(V$10="AT",RECORD!HC269,V$10="LECTURE",BF267,TRUE(),""),"")</x:f>
      </x:c>
      <x:c r="W267" s="106" t="str">
        <x:f t="shared" si="80"/>
      </x:c>
      <x:c r="X267" s="107" t="str">
        <x:f t="array" ref="X267">IF(C267&lt;&gt;"",_xlfn.IFS(X$10="EXAM",RECORD!HD269,X$10="OUTPUT",RECORD!HE269,X$10="LAB",CF267,TRUE(),""),"")</x:f>
      </x:c>
      <x:c r="Y267" s="106" t="str">
        <x:f t="shared" si="81"/>
      </x:c>
      <x:c r="Z267" s="108" t="str">
        <x:f t="shared" si="82"/>
      </x:c>
      <x:c r="AA267" s="109" t="str">
        <x:f t="shared" si="83"/>
      </x:c>
      <x:c r="AB267" s="111" t="str">
        <x:f t="shared" si="84"/>
      </x:c>
      <x:c r="AC267" s="109" t="str">
        <x:f t="shared" si="85"/>
      </x:c>
      <x:c r="AQ267" s="109" t="str">
        <x:f t="shared" si="86"/>
        <x:v>FAILED</x:v>
      </x:c>
      <x:c r="AR267" s="115"/>
      <x:c r="AS267" s="115"/>
      <x:c r="AT267" s="107"/>
      <x:c r="AU267" s="107"/>
      <x:c r="AV267" s="107"/>
      <x:c r="AW267" s="107"/>
      <x:c r="AX267" s="107"/>
      <x:c r="AY267" s="109" t="str">
        <x:f t="shared" si="87"/>
        <x:v>FAILED</x:v>
      </x:c>
      <x:c r="AZ267" s="115"/>
      <x:c r="BA267" s="115"/>
      <x:c r="BB267" s="107"/>
      <x:c r="BC267" s="107"/>
      <x:c r="BD267" s="107"/>
      <x:c r="BE267" s="107"/>
      <x:c r="BF267" s="107"/>
      <x:c r="BG267" s="109" t="str">
        <x:f t="shared" si="88"/>
        <x:v>FAILED</x:v>
      </x:c>
      <x:c r="BQ267" s="109" t="str">
        <x:f t="shared" si="89"/>
        <x:v>FAILED</x:v>
      </x:c>
      <x:c r="BR267" s="115"/>
      <x:c r="BS267" s="115"/>
      <x:c r="BT267" s="107"/>
      <x:c r="BU267" s="107"/>
      <x:c r="BV267" s="107"/>
      <x:c r="BW267" s="107"/>
      <x:c r="BX267" s="107"/>
      <x:c r="BY267" s="109" t="str">
        <x:f t="shared" si="90"/>
        <x:v>FAILED</x:v>
      </x:c>
      <x:c r="BZ267" s="115"/>
      <x:c r="CA267" s="115"/>
      <x:c r="CB267" s="107"/>
      <x:c r="CC267" s="107"/>
      <x:c r="CD267" s="107"/>
      <x:c r="CE267" s="107"/>
      <x:c r="CF267" s="107"/>
      <x:c r="CG267" s="109" t="str">
        <x:f t="shared" si="91"/>
        <x:v>FAILED</x:v>
      </x:c>
    </x:row>
    <x:row r="268">
      <x:c r="A268" s="102" t="str">
        <x:f>IF(RECORD!A270="","",RECORD!A270)</x:f>
      </x:c>
      <x:c r="B268" s="102" t="str">
        <x:f>IF(RECORD!B270="","",RECORD!B270)</x:f>
      </x:c>
      <x:c r="C268" s="103" t="str">
        <x:f>IF(RECORD!C270="","",RECORD!C270)</x:f>
      </x:c>
      <x:c r="D268" s="104" t="str">
        <x:f t="array" ref="D268">IF(C268&lt;&gt;"",IF(F$7="SUMMER","N/A",_xlfn.IFS(D$10="TLA",RECORD!GO270,F$10="LECTURE","",TRUE(),"")),"")</x:f>
      </x:c>
      <x:c r="E268" s="105" t="str">
        <x:f t="shared" ref="E268:E331" si="92">IF(C268&lt;&gt;"",IFERROR((((((D268/D$11)*F$6)+G$6)*E$11)/100),""),"")</x:f>
      </x:c>
      <x:c r="F268" s="104" t="str">
        <x:f t="array" ref="F268">IF(C268&lt;&gt;"",IF(F$7="SUMMER","N/A",_xlfn.IFS(F$10="AT",RECORD!GI270,F$10="LECTURE",GRADES!AP268,TRUE(),"")),"")</x:f>
      </x:c>
      <x:c r="G268" s="106" t="str">
        <x:f t="shared" ref="G268:G331" si="93">IF(C268&lt;&gt;"",IFERROR((((((F268/F$11)*F$6)+G$6)*G$11)/100),""),"")</x:f>
      </x:c>
      <x:c r="H268" s="107" t="str">
        <x:f t="array" ref="H268">IF(C268&lt;&gt;"",IF(F$7="SUMMER","N/A",_xlfn.IFS(H$10="EXAM",RECORD!GJ270,H$10="OUTPUT",RECORD!GK270,H$10="LAB",BP268,TRUE(),"")),"")</x:f>
      </x:c>
      <x:c r="I268" s="106" t="str">
        <x:f t="shared" ref="I268:I331" si="94">IF(C268&lt;&gt;"",IFERROR((((((H268/H$11)*F$6)+G$6)*I$11)/100),""),"")</x:f>
      </x:c>
      <x:c r="J268" s="108" t="str">
        <x:f t="shared" ref="J268:J331" si="95">IF(C268&lt;&gt;"",IFERROR(IF(F$7="SUMMER", "N/A", SUM(E268,G268,I268)),""),"")</x:f>
      </x:c>
      <x:c r="K268" s="109" t="str">
        <x:f t="shared" ref="K268:K331" si="96">IF(C268&lt;&gt;"",IF(F263="SUMMER","N/A", IF(J268&gt;74,"PASSED","FAILED")),"")</x:f>
      </x:c>
      <x:c r="L268" s="110" t="str">
        <x:f t="array" ref="L268">IF(C268&lt;&gt;"",_xlfn.IFS(L$10="TLA",RECORD!GY270,N$10="LECTURE","",TRUE(),""),"")</x:f>
      </x:c>
      <x:c r="M268" s="105" t="str">
        <x:f t="shared" ref="M268:M331" si="97">IF(C268&lt;&gt;"",IFERROR((((((L268/L$11)*F$6)+G$6)*M$11)/100),""),"")</x:f>
      </x:c>
      <x:c r="N268" s="104" t="str">
        <x:f t="array" ref="N268">IF(C268&lt;&gt;"",_xlfn.IFS(N$10="AT",RECORD!GS270,N$10="LECTURE",AX268,TRUE(),""),"")</x:f>
      </x:c>
      <x:c r="O268" s="106" t="str">
        <x:f t="shared" ref="O268:O331" si="98">IF(C268&lt;&gt;"",IFERROR((((((N268/N$11)*F$6)+G$6)*O$11)/100),""),"")</x:f>
      </x:c>
      <x:c r="P268" s="107" t="str">
        <x:f t="array" ref="P268">IF(C268&lt;&gt;"",_xlfn.IFS(P$10="EXAM",RECORD!GT270,P$10="OUTPUT",RECORD!GU270,P$10="LAB",BX268,TRUE(),""),"")</x:f>
      </x:c>
      <x:c r="Q268" s="106" t="str">
        <x:f t="shared" ref="Q268:Q331" si="99">IF(C268&lt;&gt;"",IFERROR((((((P268/P$11)*F$6)+G$6)*Q$11)/100),""),"")</x:f>
      </x:c>
      <x:c r="R268" s="108" t="str">
        <x:f t="shared" ref="R268:R331" si="100">IF(C268&lt;&gt;"",IFERROR(IF(F$7="SUMMER", "N/A", SUM(M268,O268,Q268)),""),"")</x:f>
      </x:c>
      <x:c r="S268" s="109" t="str">
        <x:f t="shared" ref="S268:S331" si="101">IF(C268&lt;&gt;"",IF(R268&gt;74,"PASSED","FAILED"),"")</x:f>
      </x:c>
      <x:c r="T268" s="110" t="str">
        <x:f t="array" ref="T268">IF(C268&lt;&gt;"",_xlfn.IFS(T$10="TLA",RECORD!HI270,V$10="LECTURE","",TRUE(),""),"")</x:f>
      </x:c>
      <x:c r="U268" s="105" t="str">
        <x:f t="shared" ref="U268:U331" si="102">IF(C268&lt;&gt;"",IFERROR((((((T268/T$11)*F$6)+G$6)*U$11)/100),""),"")</x:f>
      </x:c>
      <x:c r="V268" s="104" t="str">
        <x:f t="array" ref="V268">IF(C268&lt;&gt;"",_xlfn.IFS(V$10="AT",RECORD!HC270,V$10="LECTURE",BF268,TRUE(),""),"")</x:f>
      </x:c>
      <x:c r="W268" s="106" t="str">
        <x:f t="shared" ref="W268:W331" si="103">IF(C268&lt;&gt;"",IFERROR((((((V268/V$11)*F$6)+G$6)*W$11)/100),""),"")</x:f>
      </x:c>
      <x:c r="X268" s="107" t="str">
        <x:f t="array" ref="X268">IF(C268&lt;&gt;"",_xlfn.IFS(X$10="EXAM",RECORD!HD270,X$10="OUTPUT",RECORD!HE270,X$10="LAB",CF268,TRUE(),""),"")</x:f>
      </x:c>
      <x:c r="Y268" s="106" t="str">
        <x:f t="shared" ref="Y268:Y331" si="104">IF(C268&lt;&gt;"",IFERROR((((((X268/X$11)*F$6)+G$6)*Y$11)/100),""),"")</x:f>
      </x:c>
      <x:c r="Z268" s="108" t="str">
        <x:f t="shared" ref="Z268:Z331" si="105">IF(C268&lt;&gt;"",IFERROR(IF(N$7="SUMMER", "N/A", SUM(U268,W268,Y268)),""),"")</x:f>
      </x:c>
      <x:c r="AA268" s="109" t="str">
        <x:f t="shared" ref="AA268:AA331" si="106">IF(C268&lt;&gt;"",IF(Z268&gt;74,"PASSED","FAILED"),"")</x:f>
      </x:c>
      <x:c r="AB268" s="111" t="n">
        <x:f t="shared" ref="AB268:AB331" si="107">IFERROR(IF(F$7="SUMMER", ((R268+Z268)/2), (J268+R268+Z268)/3),"")</x:f>
        <x:v>0</x:v>
      </x:c>
      <x:c r="AC268" s="109" t="str">
        <x:f t="shared" ref="AC268:AC331" si="108">IF(C268&lt;&gt;"",IF(AB268&gt;74,"PASSED","FAILED"),"")</x:f>
      </x:c>
      <x:c r="AQ268" s="109" t="str">
        <x:f t="shared" ref="AQ268:AQ331" si="109">IF(AP268&gt;74,"PASSED","FAILED")</x:f>
        <x:v>FAILED</x:v>
      </x:c>
      <x:c r="AR268" s="115"/>
      <x:c r="AS268" s="115"/>
      <x:c r="AT268" s="107"/>
      <x:c r="AU268" s="107"/>
      <x:c r="AV268" s="107"/>
      <x:c r="AW268" s="107"/>
      <x:c r="AX268" s="107"/>
      <x:c r="AY268" s="109" t="str">
        <x:f t="shared" ref="AY268:AY331" si="110">IF(AX268&gt;74,"PASSED","FAILED")</x:f>
        <x:v>FAILED</x:v>
      </x:c>
      <x:c r="AZ268" s="115"/>
      <x:c r="BA268" s="115"/>
      <x:c r="BB268" s="107"/>
      <x:c r="BC268" s="107"/>
      <x:c r="BD268" s="107"/>
      <x:c r="BE268" s="107"/>
      <x:c r="BF268" s="107"/>
      <x:c r="BG268" s="109" t="str">
        <x:f t="shared" ref="BG268:BG331" si="111">IF(BF268&gt;74,"PASSED","FAILED")</x:f>
        <x:v>FAILED</x:v>
      </x:c>
      <x:c r="BQ268" s="109" t="str">
        <x:f t="shared" ref="BQ268:BQ331" si="112">IF(BP268&gt;74,"PASSED","FAILED")</x:f>
        <x:v>FAILED</x:v>
      </x:c>
      <x:c r="BR268" s="115"/>
      <x:c r="BS268" s="115"/>
      <x:c r="BT268" s="107"/>
      <x:c r="BU268" s="107"/>
      <x:c r="BV268" s="107"/>
      <x:c r="BW268" s="107"/>
      <x:c r="BX268" s="107"/>
      <x:c r="BY268" s="109" t="str">
        <x:f t="shared" ref="BY268:BY331" si="113">IF(BX268&gt;74,"PASSED","FAILED")</x:f>
        <x:v>FAILED</x:v>
      </x:c>
      <x:c r="BZ268" s="115"/>
      <x:c r="CA268" s="115"/>
      <x:c r="CB268" s="107"/>
      <x:c r="CC268" s="107"/>
      <x:c r="CD268" s="107"/>
      <x:c r="CE268" s="107"/>
      <x:c r="CF268" s="107"/>
      <x:c r="CG268" s="109" t="str">
        <x:f t="shared" ref="CG268:CG331" si="114">IF(CF268&gt;74,"PASSED","FAILED")</x:f>
        <x:v>FAILED</x:v>
      </x:c>
    </x:row>
    <x:row r="269">
      <x:c r="A269" s="102" t="str">
        <x:f>IF(RECORD!A271="","",RECORD!A271)</x:f>
      </x:c>
      <x:c r="B269" s="102" t="str">
        <x:f>IF(RECORD!B271="","",RECORD!B271)</x:f>
      </x:c>
      <x:c r="C269" s="103" t="str">
        <x:f>IF(RECORD!C271="","",RECORD!C271)</x:f>
      </x:c>
      <x:c r="D269" s="104" t="str">
        <x:f t="array" ref="D269">IF(C269&lt;&gt;"",IF(F$7="SUMMER","N/A",_xlfn.IFS(D$10="TLA",RECORD!GO271,F$10="LECTURE","",TRUE(),"")),"")</x:f>
      </x:c>
      <x:c r="E269" s="105" t="str">
        <x:f t="shared" si="92"/>
      </x:c>
      <x:c r="F269" s="104" t="str">
        <x:f t="array" ref="F269">IF(C269&lt;&gt;"",IF(F$7="SUMMER","N/A",_xlfn.IFS(F$10="AT",RECORD!GI271,F$10="LECTURE",GRADES!AP269,TRUE(),"")),"")</x:f>
      </x:c>
      <x:c r="G269" s="106" t="str">
        <x:f t="shared" si="93"/>
      </x:c>
      <x:c r="H269" s="107" t="str">
        <x:f t="array" ref="H269">IF(C269&lt;&gt;"",IF(F$7="SUMMER","N/A",_xlfn.IFS(H$10="EXAM",RECORD!GJ271,H$10="OUTPUT",RECORD!GK271,H$10="LAB",BP269,TRUE(),"")),"")</x:f>
      </x:c>
      <x:c r="I269" s="106" t="str">
        <x:f t="shared" si="94"/>
      </x:c>
      <x:c r="J269" s="108" t="str">
        <x:f t="shared" si="95"/>
      </x:c>
      <x:c r="K269" s="109" t="str">
        <x:f t="shared" si="96"/>
      </x:c>
      <x:c r="L269" s="110" t="str">
        <x:f t="array" ref="L269">IF(C269&lt;&gt;"",_xlfn.IFS(L$10="TLA",RECORD!GY271,N$10="LECTURE","",TRUE(),""),"")</x:f>
      </x:c>
      <x:c r="M269" s="105" t="str">
        <x:f t="shared" si="97"/>
      </x:c>
      <x:c r="N269" s="104" t="str">
        <x:f t="array" ref="N269">IF(C269&lt;&gt;"",_xlfn.IFS(N$10="AT",RECORD!GS271,N$10="LECTURE",AX269,TRUE(),""),"")</x:f>
      </x:c>
      <x:c r="O269" s="106" t="str">
        <x:f t="shared" si="98"/>
      </x:c>
      <x:c r="P269" s="107" t="str">
        <x:f t="array" ref="P269">IF(C269&lt;&gt;"",_xlfn.IFS(P$10="EXAM",RECORD!GT271,P$10="OUTPUT",RECORD!GU271,P$10="LAB",BX269,TRUE(),""),"")</x:f>
      </x:c>
      <x:c r="Q269" s="106" t="str">
        <x:f t="shared" si="99"/>
      </x:c>
      <x:c r="R269" s="108" t="str">
        <x:f t="shared" si="100"/>
      </x:c>
      <x:c r="S269" s="109" t="str">
        <x:f t="shared" si="101"/>
      </x:c>
      <x:c r="T269" s="110" t="str">
        <x:f t="array" ref="T269">IF(C269&lt;&gt;"",_xlfn.IFS(T$10="TLA",RECORD!HI271,V$10="LECTURE","",TRUE(),""),"")</x:f>
      </x:c>
      <x:c r="U269" s="105" t="str">
        <x:f t="shared" si="102"/>
      </x:c>
      <x:c r="V269" s="104" t="str">
        <x:f t="array" ref="V269">IF(C269&lt;&gt;"",_xlfn.IFS(V$10="AT",RECORD!HC271,V$10="LECTURE",BF269,TRUE(),""),"")</x:f>
      </x:c>
      <x:c r="W269" s="106" t="str">
        <x:f t="shared" si="103"/>
      </x:c>
      <x:c r="X269" s="107" t="str">
        <x:f t="array" ref="X269">IF(C269&lt;&gt;"",_xlfn.IFS(X$10="EXAM",RECORD!HD271,X$10="OUTPUT",RECORD!HE271,X$10="LAB",CF269,TRUE(),""),"")</x:f>
      </x:c>
      <x:c r="Y269" s="106" t="str">
        <x:f t="shared" si="104"/>
      </x:c>
      <x:c r="Z269" s="108" t="str">
        <x:f t="shared" si="105"/>
      </x:c>
      <x:c r="AA269" s="109" t="str">
        <x:f t="shared" si="106"/>
      </x:c>
      <x:c r="AB269" s="111" t="str">
        <x:f t="shared" si="107"/>
      </x:c>
      <x:c r="AC269" s="109" t="str">
        <x:f t="shared" si="108"/>
      </x:c>
      <x:c r="AQ269" s="109" t="str">
        <x:f t="shared" si="109"/>
        <x:v>FAILED</x:v>
      </x:c>
      <x:c r="AR269" s="115"/>
      <x:c r="AS269" s="115"/>
      <x:c r="AT269" s="107"/>
      <x:c r="AU269" s="107"/>
      <x:c r="AV269" s="107"/>
      <x:c r="AW269" s="107"/>
      <x:c r="AX269" s="107"/>
      <x:c r="AY269" s="109" t="str">
        <x:f t="shared" si="110"/>
        <x:v>FAILED</x:v>
      </x:c>
      <x:c r="AZ269" s="115"/>
      <x:c r="BA269" s="115"/>
      <x:c r="BB269" s="107"/>
      <x:c r="BC269" s="107"/>
      <x:c r="BD269" s="107"/>
      <x:c r="BE269" s="107"/>
      <x:c r="BF269" s="107"/>
      <x:c r="BG269" s="109" t="str">
        <x:f t="shared" si="111"/>
        <x:v>FAILED</x:v>
      </x:c>
      <x:c r="BQ269" s="109" t="str">
        <x:f t="shared" si="112"/>
        <x:v>FAILED</x:v>
      </x:c>
      <x:c r="BR269" s="115"/>
      <x:c r="BS269" s="115"/>
      <x:c r="BT269" s="107"/>
      <x:c r="BU269" s="107"/>
      <x:c r="BV269" s="107"/>
      <x:c r="BW269" s="107"/>
      <x:c r="BX269" s="107"/>
      <x:c r="BY269" s="109" t="str">
        <x:f t="shared" si="113"/>
        <x:v>FAILED</x:v>
      </x:c>
      <x:c r="BZ269" s="115"/>
      <x:c r="CA269" s="115"/>
      <x:c r="CB269" s="107"/>
      <x:c r="CC269" s="107"/>
      <x:c r="CD269" s="107"/>
      <x:c r="CE269" s="107"/>
      <x:c r="CF269" s="107"/>
      <x:c r="CG269" s="109" t="str">
        <x:f t="shared" si="114"/>
        <x:v>FAILED</x:v>
      </x:c>
    </x:row>
    <x:row r="270">
      <x:c r="A270" s="102" t="str">
        <x:f>IF(RECORD!A272="","",RECORD!A272)</x:f>
      </x:c>
      <x:c r="B270" s="102" t="str">
        <x:f>IF(RECORD!B272="","",RECORD!B272)</x:f>
      </x:c>
      <x:c r="C270" s="103" t="str">
        <x:f>IF(RECORD!C272="","",RECORD!C272)</x:f>
      </x:c>
      <x:c r="D270" s="104" t="str">
        <x:f t="array" ref="D270">IF(C270&lt;&gt;"",IF(F$7="SUMMER","N/A",_xlfn.IFS(D$10="TLA",RECORD!GO272,F$10="LECTURE","",TRUE(),"")),"")</x:f>
      </x:c>
      <x:c r="E270" s="105" t="str">
        <x:f t="shared" si="92"/>
      </x:c>
      <x:c r="F270" s="104" t="str">
        <x:f t="array" ref="F270">IF(C270&lt;&gt;"",IF(F$7="SUMMER","N/A",_xlfn.IFS(F$10="AT",RECORD!GI272,F$10="LECTURE",GRADES!AP270,TRUE(),"")),"")</x:f>
      </x:c>
      <x:c r="G270" s="106" t="str">
        <x:f t="shared" si="93"/>
      </x:c>
      <x:c r="H270" s="107" t="str">
        <x:f t="array" ref="H270">IF(C270&lt;&gt;"",IF(F$7="SUMMER","N/A",_xlfn.IFS(H$10="EXAM",RECORD!GJ272,H$10="OUTPUT",RECORD!GK272,H$10="LAB",BP270,TRUE(),"")),"")</x:f>
      </x:c>
      <x:c r="I270" s="106" t="str">
        <x:f t="shared" si="94"/>
      </x:c>
      <x:c r="J270" s="108" t="str">
        <x:f t="shared" si="95"/>
      </x:c>
      <x:c r="K270" s="109" t="str">
        <x:f t="shared" si="96"/>
      </x:c>
      <x:c r="L270" s="110" t="str">
        <x:f t="array" ref="L270">IF(C270&lt;&gt;"",_xlfn.IFS(L$10="TLA",RECORD!GY272,N$10="LECTURE","",TRUE(),""),"")</x:f>
      </x:c>
      <x:c r="M270" s="105" t="str">
        <x:f t="shared" si="97"/>
      </x:c>
      <x:c r="N270" s="104" t="str">
        <x:f t="array" ref="N270">IF(C270&lt;&gt;"",_xlfn.IFS(N$10="AT",RECORD!GS272,N$10="LECTURE",AX270,TRUE(),""),"")</x:f>
      </x:c>
      <x:c r="O270" s="106" t="str">
        <x:f t="shared" si="98"/>
      </x:c>
      <x:c r="P270" s="107" t="str">
        <x:f t="array" ref="P270">IF(C270&lt;&gt;"",_xlfn.IFS(P$10="EXAM",RECORD!GT272,P$10="OUTPUT",RECORD!GU272,P$10="LAB",BX270,TRUE(),""),"")</x:f>
      </x:c>
      <x:c r="Q270" s="106" t="str">
        <x:f t="shared" si="99"/>
      </x:c>
      <x:c r="R270" s="108" t="str">
        <x:f t="shared" si="100"/>
      </x:c>
      <x:c r="S270" s="109" t="str">
        <x:f t="shared" si="101"/>
      </x:c>
      <x:c r="T270" s="110" t="str">
        <x:f t="array" ref="T270">IF(C270&lt;&gt;"",_xlfn.IFS(T$10="TLA",RECORD!HI272,V$10="LECTURE","",TRUE(),""),"")</x:f>
      </x:c>
      <x:c r="U270" s="105" t="str">
        <x:f t="shared" si="102"/>
      </x:c>
      <x:c r="V270" s="104" t="str">
        <x:f t="array" ref="V270">IF(C270&lt;&gt;"",_xlfn.IFS(V$10="AT",RECORD!HC272,V$10="LECTURE",BF270,TRUE(),""),"")</x:f>
      </x:c>
      <x:c r="W270" s="106" t="str">
        <x:f t="shared" si="103"/>
      </x:c>
      <x:c r="X270" s="107" t="str">
        <x:f t="array" ref="X270">IF(C270&lt;&gt;"",_xlfn.IFS(X$10="EXAM",RECORD!HD272,X$10="OUTPUT",RECORD!HE272,X$10="LAB",CF270,TRUE(),""),"")</x:f>
      </x:c>
      <x:c r="Y270" s="106" t="str">
        <x:f t="shared" si="104"/>
      </x:c>
      <x:c r="Z270" s="108" t="str">
        <x:f t="shared" si="105"/>
      </x:c>
      <x:c r="AA270" s="109" t="str">
        <x:f t="shared" si="106"/>
      </x:c>
      <x:c r="AB270" s="111" t="str">
        <x:f t="shared" si="107"/>
      </x:c>
      <x:c r="AC270" s="109" t="str">
        <x:f t="shared" si="108"/>
      </x:c>
      <x:c r="AQ270" s="109" t="str">
        <x:f t="shared" si="109"/>
        <x:v>FAILED</x:v>
      </x:c>
      <x:c r="AR270" s="115"/>
      <x:c r="AS270" s="115"/>
      <x:c r="AT270" s="107"/>
      <x:c r="AU270" s="107"/>
      <x:c r="AV270" s="107"/>
      <x:c r="AW270" s="107"/>
      <x:c r="AX270" s="107"/>
      <x:c r="AY270" s="109" t="str">
        <x:f t="shared" si="110"/>
        <x:v>FAILED</x:v>
      </x:c>
      <x:c r="AZ270" s="115"/>
      <x:c r="BA270" s="115"/>
      <x:c r="BB270" s="107"/>
      <x:c r="BC270" s="107"/>
      <x:c r="BD270" s="107"/>
      <x:c r="BE270" s="107"/>
      <x:c r="BF270" s="107"/>
      <x:c r="BG270" s="109" t="str">
        <x:f t="shared" si="111"/>
        <x:v>FAILED</x:v>
      </x:c>
      <x:c r="BQ270" s="109" t="str">
        <x:f t="shared" si="112"/>
        <x:v>FAILED</x:v>
      </x:c>
      <x:c r="BR270" s="115"/>
      <x:c r="BS270" s="115"/>
      <x:c r="BT270" s="107"/>
      <x:c r="BU270" s="107"/>
      <x:c r="BV270" s="107"/>
      <x:c r="BW270" s="107"/>
      <x:c r="BX270" s="107"/>
      <x:c r="BY270" s="109" t="str">
        <x:f t="shared" si="113"/>
        <x:v>FAILED</x:v>
      </x:c>
      <x:c r="BZ270" s="115"/>
      <x:c r="CA270" s="115"/>
      <x:c r="CB270" s="107"/>
      <x:c r="CC270" s="107"/>
      <x:c r="CD270" s="107"/>
      <x:c r="CE270" s="107"/>
      <x:c r="CF270" s="107"/>
      <x:c r="CG270" s="109" t="str">
        <x:f t="shared" si="114"/>
        <x:v>FAILED</x:v>
      </x:c>
    </x:row>
    <x:row r="271">
      <x:c r="A271" s="102" t="str">
        <x:f>IF(RECORD!A273="","",RECORD!A273)</x:f>
      </x:c>
      <x:c r="B271" s="102" t="str">
        <x:f>IF(RECORD!B273="","",RECORD!B273)</x:f>
      </x:c>
      <x:c r="C271" s="103" t="str">
        <x:f>IF(RECORD!C273="","",RECORD!C273)</x:f>
      </x:c>
      <x:c r="D271" s="104" t="str">
        <x:f t="array" ref="D271">IF(C271&lt;&gt;"",IF(F$7="SUMMER","N/A",_xlfn.IFS(D$10="TLA",RECORD!GO273,F$10="LECTURE","",TRUE(),"")),"")</x:f>
      </x:c>
      <x:c r="E271" s="105" t="str">
        <x:f t="shared" si="92"/>
      </x:c>
      <x:c r="F271" s="104" t="str">
        <x:f t="array" ref="F271">IF(C271&lt;&gt;"",IF(F$7="SUMMER","N/A",_xlfn.IFS(F$10="AT",RECORD!GI273,F$10="LECTURE",GRADES!AP271,TRUE(),"")),"")</x:f>
      </x:c>
      <x:c r="G271" s="106" t="str">
        <x:f t="shared" si="93"/>
      </x:c>
      <x:c r="H271" s="107" t="str">
        <x:f t="array" ref="H271">IF(C271&lt;&gt;"",IF(F$7="SUMMER","N/A",_xlfn.IFS(H$10="EXAM",RECORD!GJ273,H$10="OUTPUT",RECORD!GK273,H$10="LAB",BP271,TRUE(),"")),"")</x:f>
      </x:c>
      <x:c r="I271" s="106" t="str">
        <x:f t="shared" si="94"/>
      </x:c>
      <x:c r="J271" s="108" t="str">
        <x:f t="shared" si="95"/>
      </x:c>
      <x:c r="K271" s="109" t="str">
        <x:f t="shared" si="96"/>
      </x:c>
      <x:c r="L271" s="110" t="str">
        <x:f t="array" ref="L271">IF(C271&lt;&gt;"",_xlfn.IFS(L$10="TLA",RECORD!GY273,N$10="LECTURE","",TRUE(),""),"")</x:f>
      </x:c>
      <x:c r="M271" s="105" t="str">
        <x:f t="shared" si="97"/>
      </x:c>
      <x:c r="N271" s="104" t="str">
        <x:f t="array" ref="N271">IF(C271&lt;&gt;"",_xlfn.IFS(N$10="AT",RECORD!GS273,N$10="LECTURE",AX271,TRUE(),""),"")</x:f>
      </x:c>
      <x:c r="O271" s="106" t="str">
        <x:f t="shared" si="98"/>
      </x:c>
      <x:c r="P271" s="107" t="str">
        <x:f t="array" ref="P271">IF(C271&lt;&gt;"",_xlfn.IFS(P$10="EXAM",RECORD!GT273,P$10="OUTPUT",RECORD!GU273,P$10="LAB",BX271,TRUE(),""),"")</x:f>
      </x:c>
      <x:c r="Q271" s="106" t="str">
        <x:f t="shared" si="99"/>
      </x:c>
      <x:c r="R271" s="108" t="str">
        <x:f t="shared" si="100"/>
      </x:c>
      <x:c r="S271" s="109" t="str">
        <x:f t="shared" si="101"/>
      </x:c>
      <x:c r="T271" s="110" t="str">
        <x:f t="array" ref="T271">IF(C271&lt;&gt;"",_xlfn.IFS(T$10="TLA",RECORD!HI273,V$10="LECTURE","",TRUE(),""),"")</x:f>
      </x:c>
      <x:c r="U271" s="105" t="str">
        <x:f t="shared" si="102"/>
      </x:c>
      <x:c r="V271" s="104" t="str">
        <x:f t="array" ref="V271">IF(C271&lt;&gt;"",_xlfn.IFS(V$10="AT",RECORD!HC273,V$10="LECTURE",BF271,TRUE(),""),"")</x:f>
      </x:c>
      <x:c r="W271" s="106" t="str">
        <x:f t="shared" si="103"/>
      </x:c>
      <x:c r="X271" s="107" t="str">
        <x:f t="array" ref="X271">IF(C271&lt;&gt;"",_xlfn.IFS(X$10="EXAM",RECORD!HD273,X$10="OUTPUT",RECORD!HE273,X$10="LAB",CF271,TRUE(),""),"")</x:f>
      </x:c>
      <x:c r="Y271" s="106" t="str">
        <x:f t="shared" si="104"/>
      </x:c>
      <x:c r="Z271" s="108" t="str">
        <x:f t="shared" si="105"/>
      </x:c>
      <x:c r="AA271" s="109" t="str">
        <x:f t="shared" si="106"/>
      </x:c>
      <x:c r="AB271" s="111" t="str">
        <x:f t="shared" si="107"/>
      </x:c>
      <x:c r="AC271" s="109" t="str">
        <x:f t="shared" si="108"/>
      </x:c>
      <x:c r="AQ271" s="109" t="str">
        <x:f t="shared" si="109"/>
        <x:v>FAILED</x:v>
      </x:c>
      <x:c r="AR271" s="115"/>
      <x:c r="AS271" s="115"/>
      <x:c r="AT271" s="107"/>
      <x:c r="AU271" s="107"/>
      <x:c r="AV271" s="107"/>
      <x:c r="AW271" s="107"/>
      <x:c r="AX271" s="107"/>
      <x:c r="AY271" s="109" t="str">
        <x:f t="shared" si="110"/>
        <x:v>FAILED</x:v>
      </x:c>
      <x:c r="AZ271" s="115"/>
      <x:c r="BA271" s="115"/>
      <x:c r="BB271" s="107"/>
      <x:c r="BC271" s="107"/>
      <x:c r="BD271" s="107"/>
      <x:c r="BE271" s="107"/>
      <x:c r="BF271" s="107"/>
      <x:c r="BG271" s="109" t="str">
        <x:f t="shared" si="111"/>
        <x:v>FAILED</x:v>
      </x:c>
      <x:c r="BQ271" s="109" t="str">
        <x:f t="shared" si="112"/>
        <x:v>FAILED</x:v>
      </x:c>
      <x:c r="BR271" s="115"/>
      <x:c r="BS271" s="115"/>
      <x:c r="BT271" s="107"/>
      <x:c r="BU271" s="107"/>
      <x:c r="BV271" s="107"/>
      <x:c r="BW271" s="107"/>
      <x:c r="BX271" s="107"/>
      <x:c r="BY271" s="109" t="str">
        <x:f t="shared" si="113"/>
        <x:v>FAILED</x:v>
      </x:c>
      <x:c r="BZ271" s="115"/>
      <x:c r="CA271" s="115"/>
      <x:c r="CB271" s="107"/>
      <x:c r="CC271" s="107"/>
      <x:c r="CD271" s="107"/>
      <x:c r="CE271" s="107"/>
      <x:c r="CF271" s="107"/>
      <x:c r="CG271" s="109" t="str">
        <x:f t="shared" si="114"/>
        <x:v>FAILED</x:v>
      </x:c>
    </x:row>
    <x:row r="272">
      <x:c r="A272" s="102" t="str">
        <x:f>IF(RECORD!A274="","",RECORD!A274)</x:f>
      </x:c>
      <x:c r="B272" s="102" t="str">
        <x:f>IF(RECORD!B274="","",RECORD!B274)</x:f>
      </x:c>
      <x:c r="C272" s="103" t="str">
        <x:f>IF(RECORD!C274="","",RECORD!C274)</x:f>
      </x:c>
      <x:c r="D272" s="104" t="str">
        <x:f t="array" ref="D272">IF(C272&lt;&gt;"",IF(F$7="SUMMER","N/A",_xlfn.IFS(D$10="TLA",RECORD!GO274,F$10="LECTURE","",TRUE(),"")),"")</x:f>
      </x:c>
      <x:c r="E272" s="105" t="str">
        <x:f t="shared" si="92"/>
      </x:c>
      <x:c r="F272" s="104" t="str">
        <x:f t="array" ref="F272">IF(C272&lt;&gt;"",IF(F$7="SUMMER","N/A",_xlfn.IFS(F$10="AT",RECORD!GI274,F$10="LECTURE",GRADES!AP272,TRUE(),"")),"")</x:f>
      </x:c>
      <x:c r="G272" s="106" t="str">
        <x:f t="shared" si="93"/>
      </x:c>
      <x:c r="H272" s="107" t="str">
        <x:f t="array" ref="H272">IF(C272&lt;&gt;"",IF(F$7="SUMMER","N/A",_xlfn.IFS(H$10="EXAM",RECORD!GJ274,H$10="OUTPUT",RECORD!GK274,H$10="LAB",BP272,TRUE(),"")),"")</x:f>
      </x:c>
      <x:c r="I272" s="106" t="str">
        <x:f t="shared" si="94"/>
      </x:c>
      <x:c r="J272" s="108" t="str">
        <x:f t="shared" si="95"/>
      </x:c>
      <x:c r="K272" s="109" t="str">
        <x:f t="shared" si="96"/>
      </x:c>
      <x:c r="L272" s="110" t="str">
        <x:f t="array" ref="L272">IF(C272&lt;&gt;"",_xlfn.IFS(L$10="TLA",RECORD!GY274,N$10="LECTURE","",TRUE(),""),"")</x:f>
      </x:c>
      <x:c r="M272" s="105" t="str">
        <x:f t="shared" si="97"/>
      </x:c>
      <x:c r="N272" s="104" t="str">
        <x:f t="array" ref="N272">IF(C272&lt;&gt;"",_xlfn.IFS(N$10="AT",RECORD!GS274,N$10="LECTURE",AX272,TRUE(),""),"")</x:f>
      </x:c>
      <x:c r="O272" s="106" t="str">
        <x:f t="shared" si="98"/>
      </x:c>
      <x:c r="P272" s="107" t="str">
        <x:f t="array" ref="P272">IF(C272&lt;&gt;"",_xlfn.IFS(P$10="EXAM",RECORD!GT274,P$10="OUTPUT",RECORD!GU274,P$10="LAB",BX272,TRUE(),""),"")</x:f>
      </x:c>
      <x:c r="Q272" s="106" t="str">
        <x:f t="shared" si="99"/>
      </x:c>
      <x:c r="R272" s="108" t="str">
        <x:f t="shared" si="100"/>
      </x:c>
      <x:c r="S272" s="109" t="str">
        <x:f t="shared" si="101"/>
      </x:c>
      <x:c r="T272" s="110" t="str">
        <x:f t="array" ref="T272">IF(C272&lt;&gt;"",_xlfn.IFS(T$10="TLA",RECORD!HI274,V$10="LECTURE","",TRUE(),""),"")</x:f>
      </x:c>
      <x:c r="U272" s="105" t="str">
        <x:f t="shared" si="102"/>
      </x:c>
      <x:c r="V272" s="104" t="str">
        <x:f t="array" ref="V272">IF(C272&lt;&gt;"",_xlfn.IFS(V$10="AT",RECORD!HC274,V$10="LECTURE",BF272,TRUE(),""),"")</x:f>
      </x:c>
      <x:c r="W272" s="106" t="str">
        <x:f t="shared" si="103"/>
      </x:c>
      <x:c r="X272" s="107" t="str">
        <x:f t="array" ref="X272">IF(C272&lt;&gt;"",_xlfn.IFS(X$10="EXAM",RECORD!HD274,X$10="OUTPUT",RECORD!HE274,X$10="LAB",CF272,TRUE(),""),"")</x:f>
      </x:c>
      <x:c r="Y272" s="106" t="str">
        <x:f t="shared" si="104"/>
      </x:c>
      <x:c r="Z272" s="108" t="str">
        <x:f t="shared" si="105"/>
      </x:c>
      <x:c r="AA272" s="109" t="str">
        <x:f t="shared" si="106"/>
      </x:c>
      <x:c r="AB272" s="111" t="str">
        <x:f t="shared" si="107"/>
      </x:c>
      <x:c r="AC272" s="109" t="str">
        <x:f t="shared" si="108"/>
      </x:c>
      <x:c r="AQ272" s="109" t="str">
        <x:f t="shared" si="109"/>
        <x:v>FAILED</x:v>
      </x:c>
      <x:c r="AR272" s="115"/>
      <x:c r="AS272" s="115"/>
      <x:c r="AT272" s="107"/>
      <x:c r="AU272" s="107"/>
      <x:c r="AV272" s="107"/>
      <x:c r="AW272" s="107"/>
      <x:c r="AX272" s="107"/>
      <x:c r="AY272" s="109" t="str">
        <x:f t="shared" si="110"/>
        <x:v>FAILED</x:v>
      </x:c>
      <x:c r="AZ272" s="115"/>
      <x:c r="BA272" s="115"/>
      <x:c r="BB272" s="107"/>
      <x:c r="BC272" s="107"/>
      <x:c r="BD272" s="107"/>
      <x:c r="BE272" s="107"/>
      <x:c r="BF272" s="107"/>
      <x:c r="BG272" s="109" t="str">
        <x:f t="shared" si="111"/>
        <x:v>FAILED</x:v>
      </x:c>
      <x:c r="BQ272" s="109" t="str">
        <x:f t="shared" si="112"/>
        <x:v>FAILED</x:v>
      </x:c>
      <x:c r="BR272" s="115"/>
      <x:c r="BS272" s="115"/>
      <x:c r="BT272" s="107"/>
      <x:c r="BU272" s="107"/>
      <x:c r="BV272" s="107"/>
      <x:c r="BW272" s="107"/>
      <x:c r="BX272" s="107"/>
      <x:c r="BY272" s="109" t="str">
        <x:f t="shared" si="113"/>
        <x:v>FAILED</x:v>
      </x:c>
      <x:c r="BZ272" s="115"/>
      <x:c r="CA272" s="115"/>
      <x:c r="CB272" s="107"/>
      <x:c r="CC272" s="107"/>
      <x:c r="CD272" s="107"/>
      <x:c r="CE272" s="107"/>
      <x:c r="CF272" s="107"/>
      <x:c r="CG272" s="109" t="str">
        <x:f t="shared" si="114"/>
        <x:v>FAILED</x:v>
      </x:c>
    </x:row>
    <x:row r="273">
      <x:c r="A273" s="102" t="str">
        <x:f>IF(RECORD!A275="","",RECORD!A275)</x:f>
      </x:c>
      <x:c r="B273" s="102" t="str">
        <x:f>IF(RECORD!B275="","",RECORD!B275)</x:f>
      </x:c>
      <x:c r="C273" s="103" t="str">
        <x:f>IF(RECORD!C275="","",RECORD!C275)</x:f>
      </x:c>
      <x:c r="D273" s="104" t="str">
        <x:f t="array" ref="D273">IF(C273&lt;&gt;"",IF(F$7="SUMMER","N/A",_xlfn.IFS(D$10="TLA",RECORD!GO275,F$10="LECTURE","",TRUE(),"")),"")</x:f>
      </x:c>
      <x:c r="E273" s="105" t="str">
        <x:f t="shared" si="92"/>
      </x:c>
      <x:c r="F273" s="104" t="str">
        <x:f t="array" ref="F273">IF(C273&lt;&gt;"",IF(F$7="SUMMER","N/A",_xlfn.IFS(F$10="AT",RECORD!GI275,F$10="LECTURE",GRADES!AP273,TRUE(),"")),"")</x:f>
      </x:c>
      <x:c r="G273" s="106" t="str">
        <x:f t="shared" si="93"/>
      </x:c>
      <x:c r="H273" s="107" t="str">
        <x:f t="array" ref="H273">IF(C273&lt;&gt;"",IF(F$7="SUMMER","N/A",_xlfn.IFS(H$10="EXAM",RECORD!GJ275,H$10="OUTPUT",RECORD!GK275,H$10="LAB",BP273,TRUE(),"")),"")</x:f>
      </x:c>
      <x:c r="I273" s="106" t="str">
        <x:f t="shared" si="94"/>
      </x:c>
      <x:c r="J273" s="108" t="str">
        <x:f t="shared" si="95"/>
      </x:c>
      <x:c r="K273" s="109" t="str">
        <x:f t="shared" si="96"/>
      </x:c>
      <x:c r="L273" s="110" t="str">
        <x:f t="array" ref="L273">IF(C273&lt;&gt;"",_xlfn.IFS(L$10="TLA",RECORD!GY275,N$10="LECTURE","",TRUE(),""),"")</x:f>
      </x:c>
      <x:c r="M273" s="105" t="str">
        <x:f t="shared" si="97"/>
      </x:c>
      <x:c r="N273" s="104" t="str">
        <x:f t="array" ref="N273">IF(C273&lt;&gt;"",_xlfn.IFS(N$10="AT",RECORD!GS275,N$10="LECTURE",AX273,TRUE(),""),"")</x:f>
      </x:c>
      <x:c r="O273" s="106" t="str">
        <x:f t="shared" si="98"/>
      </x:c>
      <x:c r="P273" s="107" t="str">
        <x:f t="array" ref="P273">IF(C273&lt;&gt;"",_xlfn.IFS(P$10="EXAM",RECORD!GT275,P$10="OUTPUT",RECORD!GU275,P$10="LAB",BX273,TRUE(),""),"")</x:f>
      </x:c>
      <x:c r="Q273" s="106" t="str">
        <x:f t="shared" si="99"/>
      </x:c>
      <x:c r="R273" s="108" t="str">
        <x:f t="shared" si="100"/>
      </x:c>
      <x:c r="S273" s="109" t="str">
        <x:f t="shared" si="101"/>
      </x:c>
      <x:c r="T273" s="110" t="str">
        <x:f t="array" ref="T273">IF(C273&lt;&gt;"",_xlfn.IFS(T$10="TLA",RECORD!HI275,V$10="LECTURE","",TRUE(),""),"")</x:f>
      </x:c>
      <x:c r="U273" s="105" t="str">
        <x:f t="shared" si="102"/>
      </x:c>
      <x:c r="V273" s="104" t="str">
        <x:f t="array" ref="V273">IF(C273&lt;&gt;"",_xlfn.IFS(V$10="AT",RECORD!HC275,V$10="LECTURE",BF273,TRUE(),""),"")</x:f>
      </x:c>
      <x:c r="W273" s="106" t="str">
        <x:f t="shared" si="103"/>
      </x:c>
      <x:c r="X273" s="107" t="str">
        <x:f t="array" ref="X273">IF(C273&lt;&gt;"",_xlfn.IFS(X$10="EXAM",RECORD!HD275,X$10="OUTPUT",RECORD!HE275,X$10="LAB",CF273,TRUE(),""),"")</x:f>
      </x:c>
      <x:c r="Y273" s="106" t="str">
        <x:f t="shared" si="104"/>
      </x:c>
      <x:c r="Z273" s="108" t="str">
        <x:f t="shared" si="105"/>
      </x:c>
      <x:c r="AA273" s="109" t="str">
        <x:f t="shared" si="106"/>
      </x:c>
      <x:c r="AB273" s="111" t="str">
        <x:f t="shared" si="107"/>
      </x:c>
      <x:c r="AC273" s="109" t="str">
        <x:f t="shared" si="108"/>
      </x:c>
      <x:c r="AQ273" s="109" t="str">
        <x:f t="shared" si="109"/>
        <x:v>FAILED</x:v>
      </x:c>
      <x:c r="AR273" s="115"/>
      <x:c r="AS273" s="115"/>
      <x:c r="AT273" s="107"/>
      <x:c r="AU273" s="107"/>
      <x:c r="AV273" s="107"/>
      <x:c r="AW273" s="107"/>
      <x:c r="AX273" s="107"/>
      <x:c r="AY273" s="109" t="str">
        <x:f t="shared" si="110"/>
        <x:v>FAILED</x:v>
      </x:c>
      <x:c r="AZ273" s="115"/>
      <x:c r="BA273" s="115"/>
      <x:c r="BB273" s="107"/>
      <x:c r="BC273" s="107"/>
      <x:c r="BD273" s="107"/>
      <x:c r="BE273" s="107"/>
      <x:c r="BF273" s="107"/>
      <x:c r="BG273" s="109" t="str">
        <x:f t="shared" si="111"/>
        <x:v>FAILED</x:v>
      </x:c>
      <x:c r="BQ273" s="109" t="str">
        <x:f t="shared" si="112"/>
        <x:v>FAILED</x:v>
      </x:c>
      <x:c r="BR273" s="115"/>
      <x:c r="BS273" s="115"/>
      <x:c r="BT273" s="107"/>
      <x:c r="BU273" s="107"/>
      <x:c r="BV273" s="107"/>
      <x:c r="BW273" s="107"/>
      <x:c r="BX273" s="107"/>
      <x:c r="BY273" s="109" t="str">
        <x:f t="shared" si="113"/>
        <x:v>FAILED</x:v>
      </x:c>
      <x:c r="BZ273" s="115"/>
      <x:c r="CA273" s="115"/>
      <x:c r="CB273" s="107"/>
      <x:c r="CC273" s="107"/>
      <x:c r="CD273" s="107"/>
      <x:c r="CE273" s="107"/>
      <x:c r="CF273" s="107"/>
      <x:c r="CG273" s="109" t="str">
        <x:f t="shared" si="114"/>
        <x:v>FAILED</x:v>
      </x:c>
    </x:row>
    <x:row r="274">
      <x:c r="A274" s="102" t="str">
        <x:f>IF(RECORD!A276="","",RECORD!A276)</x:f>
      </x:c>
      <x:c r="B274" s="102" t="str">
        <x:f>IF(RECORD!B276="","",RECORD!B276)</x:f>
      </x:c>
      <x:c r="C274" s="103" t="str">
        <x:f>IF(RECORD!C276="","",RECORD!C276)</x:f>
      </x:c>
      <x:c r="D274" s="104" t="str">
        <x:f t="array" ref="D274">IF(C274&lt;&gt;"",IF(F$7="SUMMER","N/A",_xlfn.IFS(D$10="TLA",RECORD!GO276,F$10="LECTURE","",TRUE(),"")),"")</x:f>
      </x:c>
      <x:c r="E274" s="105" t="str">
        <x:f t="shared" si="92"/>
      </x:c>
      <x:c r="F274" s="104" t="str">
        <x:f t="array" ref="F274">IF(C274&lt;&gt;"",IF(F$7="SUMMER","N/A",_xlfn.IFS(F$10="AT",RECORD!GI276,F$10="LECTURE",GRADES!AP274,TRUE(),"")),"")</x:f>
      </x:c>
      <x:c r="G274" s="106" t="str">
        <x:f t="shared" si="93"/>
      </x:c>
      <x:c r="H274" s="107" t="str">
        <x:f t="array" ref="H274">IF(C274&lt;&gt;"",IF(F$7="SUMMER","N/A",_xlfn.IFS(H$10="EXAM",RECORD!GJ276,H$10="OUTPUT",RECORD!GK276,H$10="LAB",BP274,TRUE(),"")),"")</x:f>
      </x:c>
      <x:c r="I274" s="106" t="str">
        <x:f t="shared" si="94"/>
      </x:c>
      <x:c r="J274" s="108" t="str">
        <x:f t="shared" si="95"/>
      </x:c>
      <x:c r="K274" s="109" t="str">
        <x:f t="shared" si="96"/>
      </x:c>
      <x:c r="L274" s="110" t="str">
        <x:f t="array" ref="L274">IF(C274&lt;&gt;"",_xlfn.IFS(L$10="TLA",RECORD!GY276,N$10="LECTURE","",TRUE(),""),"")</x:f>
      </x:c>
      <x:c r="M274" s="105" t="str">
        <x:f t="shared" si="97"/>
      </x:c>
      <x:c r="N274" s="104" t="str">
        <x:f t="array" ref="N274">IF(C274&lt;&gt;"",_xlfn.IFS(N$10="AT",RECORD!GS276,N$10="LECTURE",AX274,TRUE(),""),"")</x:f>
      </x:c>
      <x:c r="O274" s="106" t="str">
        <x:f t="shared" si="98"/>
      </x:c>
      <x:c r="P274" s="107" t="str">
        <x:f t="array" ref="P274">IF(C274&lt;&gt;"",_xlfn.IFS(P$10="EXAM",RECORD!GT276,P$10="OUTPUT",RECORD!GU276,P$10="LAB",BX274,TRUE(),""),"")</x:f>
      </x:c>
      <x:c r="Q274" s="106" t="str">
        <x:f t="shared" si="99"/>
      </x:c>
      <x:c r="R274" s="108" t="str">
        <x:f t="shared" si="100"/>
      </x:c>
      <x:c r="S274" s="109" t="str">
        <x:f t="shared" si="101"/>
      </x:c>
      <x:c r="T274" s="110" t="str">
        <x:f t="array" ref="T274">IF(C274&lt;&gt;"",_xlfn.IFS(T$10="TLA",RECORD!HI276,V$10="LECTURE","",TRUE(),""),"")</x:f>
      </x:c>
      <x:c r="U274" s="105" t="str">
        <x:f t="shared" si="102"/>
      </x:c>
      <x:c r="V274" s="104" t="str">
        <x:f t="array" ref="V274">IF(C274&lt;&gt;"",_xlfn.IFS(V$10="AT",RECORD!HC276,V$10="LECTURE",BF274,TRUE(),""),"")</x:f>
      </x:c>
      <x:c r="W274" s="106" t="str">
        <x:f t="shared" si="103"/>
      </x:c>
      <x:c r="X274" s="107" t="str">
        <x:f t="array" ref="X274">IF(C274&lt;&gt;"",_xlfn.IFS(X$10="EXAM",RECORD!HD276,X$10="OUTPUT",RECORD!HE276,X$10="LAB",CF274,TRUE(),""),"")</x:f>
      </x:c>
      <x:c r="Y274" s="106" t="str">
        <x:f t="shared" si="104"/>
      </x:c>
      <x:c r="Z274" s="108" t="str">
        <x:f t="shared" si="105"/>
      </x:c>
      <x:c r="AA274" s="109" t="str">
        <x:f t="shared" si="106"/>
      </x:c>
      <x:c r="AB274" s="111" t="str">
        <x:f t="shared" si="107"/>
      </x:c>
      <x:c r="AC274" s="109" t="str">
        <x:f t="shared" si="108"/>
      </x:c>
      <x:c r="AQ274" s="109" t="str">
        <x:f t="shared" si="109"/>
        <x:v>FAILED</x:v>
      </x:c>
      <x:c r="AR274" s="115"/>
      <x:c r="AS274" s="115"/>
      <x:c r="AT274" s="107"/>
      <x:c r="AU274" s="107"/>
      <x:c r="AV274" s="107"/>
      <x:c r="AW274" s="107"/>
      <x:c r="AX274" s="107"/>
      <x:c r="AY274" s="109" t="str">
        <x:f t="shared" si="110"/>
        <x:v>FAILED</x:v>
      </x:c>
      <x:c r="AZ274" s="115"/>
      <x:c r="BA274" s="115"/>
      <x:c r="BB274" s="107"/>
      <x:c r="BC274" s="107"/>
      <x:c r="BD274" s="107"/>
      <x:c r="BE274" s="107"/>
      <x:c r="BF274" s="107"/>
      <x:c r="BG274" s="109" t="str">
        <x:f t="shared" si="111"/>
        <x:v>FAILED</x:v>
      </x:c>
      <x:c r="BQ274" s="109" t="str">
        <x:f t="shared" si="112"/>
        <x:v>FAILED</x:v>
      </x:c>
      <x:c r="BR274" s="115"/>
      <x:c r="BS274" s="115"/>
      <x:c r="BT274" s="107"/>
      <x:c r="BU274" s="107"/>
      <x:c r="BV274" s="107"/>
      <x:c r="BW274" s="107"/>
      <x:c r="BX274" s="107"/>
      <x:c r="BY274" s="109" t="str">
        <x:f t="shared" si="113"/>
        <x:v>FAILED</x:v>
      </x:c>
      <x:c r="BZ274" s="115"/>
      <x:c r="CA274" s="115"/>
      <x:c r="CB274" s="107"/>
      <x:c r="CC274" s="107"/>
      <x:c r="CD274" s="107"/>
      <x:c r="CE274" s="107"/>
      <x:c r="CF274" s="107"/>
      <x:c r="CG274" s="109" t="str">
        <x:f t="shared" si="114"/>
        <x:v>FAILED</x:v>
      </x:c>
    </x:row>
    <x:row r="275">
      <x:c r="A275" s="102" t="str">
        <x:f>IF(RECORD!A277="","",RECORD!A277)</x:f>
      </x:c>
      <x:c r="B275" s="102" t="str">
        <x:f>IF(RECORD!B277="","",RECORD!B277)</x:f>
      </x:c>
      <x:c r="C275" s="103" t="str">
        <x:f>IF(RECORD!C277="","",RECORD!C277)</x:f>
      </x:c>
      <x:c r="D275" s="104" t="str">
        <x:f t="array" ref="D275">IF(C275&lt;&gt;"",IF(F$7="SUMMER","N/A",_xlfn.IFS(D$10="TLA",RECORD!GO277,F$10="LECTURE","",TRUE(),"")),"")</x:f>
      </x:c>
      <x:c r="E275" s="105" t="str">
        <x:f t="shared" si="92"/>
      </x:c>
      <x:c r="F275" s="104" t="str">
        <x:f t="array" ref="F275">IF(C275&lt;&gt;"",IF(F$7="SUMMER","N/A",_xlfn.IFS(F$10="AT",RECORD!GI277,F$10="LECTURE",GRADES!AP275,TRUE(),"")),"")</x:f>
      </x:c>
      <x:c r="G275" s="106" t="str">
        <x:f t="shared" si="93"/>
      </x:c>
      <x:c r="H275" s="107" t="str">
        <x:f t="array" ref="H275">IF(C275&lt;&gt;"",IF(F$7="SUMMER","N/A",_xlfn.IFS(H$10="EXAM",RECORD!GJ277,H$10="OUTPUT",RECORD!GK277,H$10="LAB",BP275,TRUE(),"")),"")</x:f>
      </x:c>
      <x:c r="I275" s="106" t="str">
        <x:f t="shared" si="94"/>
      </x:c>
      <x:c r="J275" s="108" t="str">
        <x:f t="shared" si="95"/>
      </x:c>
      <x:c r="K275" s="109" t="str">
        <x:f t="shared" si="96"/>
      </x:c>
      <x:c r="L275" s="110" t="str">
        <x:f t="array" ref="L275">IF(C275&lt;&gt;"",_xlfn.IFS(L$10="TLA",RECORD!GY277,N$10="LECTURE","",TRUE(),""),"")</x:f>
      </x:c>
      <x:c r="M275" s="105" t="str">
        <x:f t="shared" si="97"/>
      </x:c>
      <x:c r="N275" s="104" t="str">
        <x:f t="array" ref="N275">IF(C275&lt;&gt;"",_xlfn.IFS(N$10="AT",RECORD!GS277,N$10="LECTURE",AX275,TRUE(),""),"")</x:f>
      </x:c>
      <x:c r="O275" s="106" t="str">
        <x:f t="shared" si="98"/>
      </x:c>
      <x:c r="P275" s="107" t="str">
        <x:f t="array" ref="P275">IF(C275&lt;&gt;"",_xlfn.IFS(P$10="EXAM",RECORD!GT277,P$10="OUTPUT",RECORD!GU277,P$10="LAB",BX275,TRUE(),""),"")</x:f>
      </x:c>
      <x:c r="Q275" s="106" t="str">
        <x:f t="shared" si="99"/>
      </x:c>
      <x:c r="R275" s="108" t="str">
        <x:f t="shared" si="100"/>
      </x:c>
      <x:c r="S275" s="109" t="str">
        <x:f t="shared" si="101"/>
      </x:c>
      <x:c r="T275" s="110" t="str">
        <x:f t="array" ref="T275">IF(C275&lt;&gt;"",_xlfn.IFS(T$10="TLA",RECORD!HI277,V$10="LECTURE","",TRUE(),""),"")</x:f>
      </x:c>
      <x:c r="U275" s="105" t="str">
        <x:f t="shared" si="102"/>
      </x:c>
      <x:c r="V275" s="104" t="str">
        <x:f t="array" ref="V275">IF(C275&lt;&gt;"",_xlfn.IFS(V$10="AT",RECORD!HC277,V$10="LECTURE",BF275,TRUE(),""),"")</x:f>
      </x:c>
      <x:c r="W275" s="106" t="str">
        <x:f t="shared" si="103"/>
      </x:c>
      <x:c r="X275" s="107" t="str">
        <x:f t="array" ref="X275">IF(C275&lt;&gt;"",_xlfn.IFS(X$10="EXAM",RECORD!HD277,X$10="OUTPUT",RECORD!HE277,X$10="LAB",CF275,TRUE(),""),"")</x:f>
      </x:c>
      <x:c r="Y275" s="106" t="str">
        <x:f t="shared" si="104"/>
      </x:c>
      <x:c r="Z275" s="108" t="str">
        <x:f t="shared" si="105"/>
      </x:c>
      <x:c r="AA275" s="109" t="str">
        <x:f t="shared" si="106"/>
      </x:c>
      <x:c r="AB275" s="111" t="str">
        <x:f t="shared" si="107"/>
      </x:c>
      <x:c r="AC275" s="109" t="str">
        <x:f t="shared" si="108"/>
      </x:c>
      <x:c r="AQ275" s="109" t="str">
        <x:f t="shared" si="109"/>
        <x:v>FAILED</x:v>
      </x:c>
      <x:c r="AR275" s="115"/>
      <x:c r="AS275" s="115"/>
      <x:c r="AT275" s="107"/>
      <x:c r="AU275" s="107"/>
      <x:c r="AV275" s="107"/>
      <x:c r="AW275" s="107"/>
      <x:c r="AX275" s="107"/>
      <x:c r="AY275" s="109" t="str">
        <x:f t="shared" si="110"/>
        <x:v>FAILED</x:v>
      </x:c>
      <x:c r="AZ275" s="115"/>
      <x:c r="BA275" s="115"/>
      <x:c r="BB275" s="107"/>
      <x:c r="BC275" s="107"/>
      <x:c r="BD275" s="107"/>
      <x:c r="BE275" s="107"/>
      <x:c r="BF275" s="107"/>
      <x:c r="BG275" s="109" t="str">
        <x:f t="shared" si="111"/>
        <x:v>FAILED</x:v>
      </x:c>
      <x:c r="BQ275" s="109" t="str">
        <x:f t="shared" si="112"/>
        <x:v>FAILED</x:v>
      </x:c>
      <x:c r="BR275" s="115"/>
      <x:c r="BS275" s="115"/>
      <x:c r="BT275" s="107"/>
      <x:c r="BU275" s="107"/>
      <x:c r="BV275" s="107"/>
      <x:c r="BW275" s="107"/>
      <x:c r="BX275" s="107"/>
      <x:c r="BY275" s="109" t="str">
        <x:f t="shared" si="113"/>
        <x:v>FAILED</x:v>
      </x:c>
      <x:c r="BZ275" s="115"/>
      <x:c r="CA275" s="115"/>
      <x:c r="CB275" s="107"/>
      <x:c r="CC275" s="107"/>
      <x:c r="CD275" s="107"/>
      <x:c r="CE275" s="107"/>
      <x:c r="CF275" s="107"/>
      <x:c r="CG275" s="109" t="str">
        <x:f t="shared" si="114"/>
        <x:v>FAILED</x:v>
      </x:c>
    </x:row>
    <x:row r="276">
      <x:c r="A276" s="102" t="str">
        <x:f>IF(RECORD!A278="","",RECORD!A278)</x:f>
      </x:c>
      <x:c r="B276" s="102" t="str">
        <x:f>IF(RECORD!B278="","",RECORD!B278)</x:f>
      </x:c>
      <x:c r="C276" s="103" t="str">
        <x:f>IF(RECORD!C278="","",RECORD!C278)</x:f>
      </x:c>
      <x:c r="D276" s="104" t="str">
        <x:f t="array" ref="D276">IF(C276&lt;&gt;"",IF(F$7="SUMMER","N/A",_xlfn.IFS(D$10="TLA",RECORD!GO278,F$10="LECTURE","",TRUE(),"")),"")</x:f>
      </x:c>
      <x:c r="E276" s="105" t="str">
        <x:f t="shared" si="92"/>
      </x:c>
      <x:c r="F276" s="104" t="str">
        <x:f t="array" ref="F276">IF(C276&lt;&gt;"",IF(F$7="SUMMER","N/A",_xlfn.IFS(F$10="AT",RECORD!GI278,F$10="LECTURE",GRADES!AP276,TRUE(),"")),"")</x:f>
      </x:c>
      <x:c r="G276" s="106" t="str">
        <x:f t="shared" si="93"/>
      </x:c>
      <x:c r="H276" s="107" t="str">
        <x:f t="array" ref="H276">IF(C276&lt;&gt;"",IF(F$7="SUMMER","N/A",_xlfn.IFS(H$10="EXAM",RECORD!GJ278,H$10="OUTPUT",RECORD!GK278,H$10="LAB",BP276,TRUE(),"")),"")</x:f>
      </x:c>
      <x:c r="I276" s="106" t="str">
        <x:f t="shared" si="94"/>
      </x:c>
      <x:c r="J276" s="108" t="str">
        <x:f t="shared" si="95"/>
      </x:c>
      <x:c r="K276" s="109" t="str">
        <x:f t="shared" si="96"/>
      </x:c>
      <x:c r="L276" s="110" t="str">
        <x:f t="array" ref="L276">IF(C276&lt;&gt;"",_xlfn.IFS(L$10="TLA",RECORD!GY278,N$10="LECTURE","",TRUE(),""),"")</x:f>
      </x:c>
      <x:c r="M276" s="105" t="str">
        <x:f t="shared" si="97"/>
      </x:c>
      <x:c r="N276" s="104" t="str">
        <x:f t="array" ref="N276">IF(C276&lt;&gt;"",_xlfn.IFS(N$10="AT",RECORD!GS278,N$10="LECTURE",AX276,TRUE(),""),"")</x:f>
      </x:c>
      <x:c r="O276" s="106" t="str">
        <x:f t="shared" si="98"/>
      </x:c>
      <x:c r="P276" s="107" t="str">
        <x:f t="array" ref="P276">IF(C276&lt;&gt;"",_xlfn.IFS(P$10="EXAM",RECORD!GT278,P$10="OUTPUT",RECORD!GU278,P$10="LAB",BX276,TRUE(),""),"")</x:f>
      </x:c>
      <x:c r="Q276" s="106" t="str">
        <x:f t="shared" si="99"/>
      </x:c>
      <x:c r="R276" s="108" t="str">
        <x:f t="shared" si="100"/>
      </x:c>
      <x:c r="S276" s="109" t="str">
        <x:f t="shared" si="101"/>
      </x:c>
      <x:c r="T276" s="110" t="str">
        <x:f t="array" ref="T276">IF(C276&lt;&gt;"",_xlfn.IFS(T$10="TLA",RECORD!HI278,V$10="LECTURE","",TRUE(),""),"")</x:f>
      </x:c>
      <x:c r="U276" s="105" t="str">
        <x:f t="shared" si="102"/>
      </x:c>
      <x:c r="V276" s="104" t="str">
        <x:f t="array" ref="V276">IF(C276&lt;&gt;"",_xlfn.IFS(V$10="AT",RECORD!HC278,V$10="LECTURE",BF276,TRUE(),""),"")</x:f>
      </x:c>
      <x:c r="W276" s="106" t="str">
        <x:f t="shared" si="103"/>
      </x:c>
      <x:c r="X276" s="107" t="str">
        <x:f t="array" ref="X276">IF(C276&lt;&gt;"",_xlfn.IFS(X$10="EXAM",RECORD!HD278,X$10="OUTPUT",RECORD!HE278,X$10="LAB",CF276,TRUE(),""),"")</x:f>
      </x:c>
      <x:c r="Y276" s="106" t="str">
        <x:f t="shared" si="104"/>
      </x:c>
      <x:c r="Z276" s="108" t="str">
        <x:f t="shared" si="105"/>
      </x:c>
      <x:c r="AA276" s="109" t="str">
        <x:f t="shared" si="106"/>
      </x:c>
      <x:c r="AB276" s="111" t="str">
        <x:f t="shared" si="107"/>
      </x:c>
      <x:c r="AC276" s="109" t="str">
        <x:f t="shared" si="108"/>
      </x:c>
      <x:c r="AQ276" s="109" t="str">
        <x:f t="shared" si="109"/>
        <x:v>FAILED</x:v>
      </x:c>
      <x:c r="AR276" s="115"/>
      <x:c r="AS276" s="115"/>
      <x:c r="AT276" s="107"/>
      <x:c r="AU276" s="107"/>
      <x:c r="AV276" s="107"/>
      <x:c r="AW276" s="107"/>
      <x:c r="AX276" s="107"/>
      <x:c r="AY276" s="109" t="str">
        <x:f t="shared" si="110"/>
        <x:v>FAILED</x:v>
      </x:c>
      <x:c r="AZ276" s="115"/>
      <x:c r="BA276" s="115"/>
      <x:c r="BB276" s="107"/>
      <x:c r="BC276" s="107"/>
      <x:c r="BD276" s="107"/>
      <x:c r="BE276" s="107"/>
      <x:c r="BF276" s="107"/>
      <x:c r="BG276" s="109" t="str">
        <x:f t="shared" si="111"/>
        <x:v>FAILED</x:v>
      </x:c>
      <x:c r="BQ276" s="109" t="str">
        <x:f t="shared" si="112"/>
        <x:v>FAILED</x:v>
      </x:c>
      <x:c r="BR276" s="115"/>
      <x:c r="BS276" s="115"/>
      <x:c r="BT276" s="107"/>
      <x:c r="BU276" s="107"/>
      <x:c r="BV276" s="107"/>
      <x:c r="BW276" s="107"/>
      <x:c r="BX276" s="107"/>
      <x:c r="BY276" s="109" t="str">
        <x:f t="shared" si="113"/>
        <x:v>FAILED</x:v>
      </x:c>
      <x:c r="BZ276" s="115"/>
      <x:c r="CA276" s="115"/>
      <x:c r="CB276" s="107"/>
      <x:c r="CC276" s="107"/>
      <x:c r="CD276" s="107"/>
      <x:c r="CE276" s="107"/>
      <x:c r="CF276" s="107"/>
      <x:c r="CG276" s="109" t="str">
        <x:f t="shared" si="114"/>
        <x:v>FAILED</x:v>
      </x:c>
    </x:row>
    <x:row r="277">
      <x:c r="A277" s="102" t="str">
        <x:f>IF(RECORD!A279="","",RECORD!A279)</x:f>
      </x:c>
      <x:c r="B277" s="102" t="str">
        <x:f>IF(RECORD!B279="","",RECORD!B279)</x:f>
      </x:c>
      <x:c r="C277" s="103" t="str">
        <x:f>IF(RECORD!C279="","",RECORD!C279)</x:f>
      </x:c>
      <x:c r="D277" s="104" t="str">
        <x:f t="array" ref="D277">IF(C277&lt;&gt;"",IF(F$7="SUMMER","N/A",_xlfn.IFS(D$10="TLA",RECORD!GO279,F$10="LECTURE","",TRUE(),"")),"")</x:f>
      </x:c>
      <x:c r="E277" s="105" t="str">
        <x:f t="shared" si="92"/>
      </x:c>
      <x:c r="F277" s="104" t="str">
        <x:f t="array" ref="F277">IF(C277&lt;&gt;"",IF(F$7="SUMMER","N/A",_xlfn.IFS(F$10="AT",RECORD!GI279,F$10="LECTURE",GRADES!AP277,TRUE(),"")),"")</x:f>
      </x:c>
      <x:c r="G277" s="106" t="str">
        <x:f t="shared" si="93"/>
      </x:c>
      <x:c r="H277" s="107" t="str">
        <x:f t="array" ref="H277">IF(C277&lt;&gt;"",IF(F$7="SUMMER","N/A",_xlfn.IFS(H$10="EXAM",RECORD!GJ279,H$10="OUTPUT",RECORD!GK279,H$10="LAB",BP277,TRUE(),"")),"")</x:f>
      </x:c>
      <x:c r="I277" s="106" t="str">
        <x:f t="shared" si="94"/>
      </x:c>
      <x:c r="J277" s="108" t="str">
        <x:f t="shared" si="95"/>
      </x:c>
      <x:c r="K277" s="109" t="str">
        <x:f t="shared" si="96"/>
      </x:c>
      <x:c r="L277" s="110" t="str">
        <x:f t="array" ref="L277">IF(C277&lt;&gt;"",_xlfn.IFS(L$10="TLA",RECORD!GY279,N$10="LECTURE","",TRUE(),""),"")</x:f>
      </x:c>
      <x:c r="M277" s="105" t="str">
        <x:f t="shared" si="97"/>
      </x:c>
      <x:c r="N277" s="104" t="str">
        <x:f t="array" ref="N277">IF(C277&lt;&gt;"",_xlfn.IFS(N$10="AT",RECORD!GS279,N$10="LECTURE",AX277,TRUE(),""),"")</x:f>
      </x:c>
      <x:c r="O277" s="106" t="str">
        <x:f t="shared" si="98"/>
      </x:c>
      <x:c r="P277" s="107" t="str">
        <x:f t="array" ref="P277">IF(C277&lt;&gt;"",_xlfn.IFS(P$10="EXAM",RECORD!GT279,P$10="OUTPUT",RECORD!GU279,P$10="LAB",BX277,TRUE(),""),"")</x:f>
      </x:c>
      <x:c r="Q277" s="106" t="str">
        <x:f t="shared" si="99"/>
      </x:c>
      <x:c r="R277" s="108" t="str">
        <x:f t="shared" si="100"/>
      </x:c>
      <x:c r="S277" s="109" t="str">
        <x:f t="shared" si="101"/>
      </x:c>
      <x:c r="T277" s="110" t="str">
        <x:f t="array" ref="T277">IF(C277&lt;&gt;"",_xlfn.IFS(T$10="TLA",RECORD!HI279,V$10="LECTURE","",TRUE(),""),"")</x:f>
      </x:c>
      <x:c r="U277" s="105" t="str">
        <x:f t="shared" si="102"/>
      </x:c>
      <x:c r="V277" s="104" t="str">
        <x:f t="array" ref="V277">IF(C277&lt;&gt;"",_xlfn.IFS(V$10="AT",RECORD!HC279,V$10="LECTURE",BF277,TRUE(),""),"")</x:f>
      </x:c>
      <x:c r="W277" s="106" t="str">
        <x:f t="shared" si="103"/>
      </x:c>
      <x:c r="X277" s="107" t="str">
        <x:f t="array" ref="X277">IF(C277&lt;&gt;"",_xlfn.IFS(X$10="EXAM",RECORD!HD279,X$10="OUTPUT",RECORD!HE279,X$10="LAB",CF277,TRUE(),""),"")</x:f>
      </x:c>
      <x:c r="Y277" s="106" t="str">
        <x:f t="shared" si="104"/>
      </x:c>
      <x:c r="Z277" s="108" t="str">
        <x:f t="shared" si="105"/>
      </x:c>
      <x:c r="AA277" s="109" t="str">
        <x:f t="shared" si="106"/>
      </x:c>
      <x:c r="AB277" s="111" t="str">
        <x:f t="shared" si="107"/>
      </x:c>
      <x:c r="AC277" s="109" t="str">
        <x:f t="shared" si="108"/>
      </x:c>
      <x:c r="AQ277" s="109" t="str">
        <x:f t="shared" si="109"/>
        <x:v>FAILED</x:v>
      </x:c>
      <x:c r="AR277" s="115"/>
      <x:c r="AS277" s="115"/>
      <x:c r="AT277" s="107"/>
      <x:c r="AU277" s="107"/>
      <x:c r="AV277" s="107"/>
      <x:c r="AW277" s="107"/>
      <x:c r="AX277" s="107"/>
      <x:c r="AY277" s="109" t="str">
        <x:f t="shared" si="110"/>
        <x:v>FAILED</x:v>
      </x:c>
      <x:c r="AZ277" s="115"/>
      <x:c r="BA277" s="115"/>
      <x:c r="BB277" s="107"/>
      <x:c r="BC277" s="107"/>
      <x:c r="BD277" s="107"/>
      <x:c r="BE277" s="107"/>
      <x:c r="BF277" s="107"/>
      <x:c r="BG277" s="109" t="str">
        <x:f t="shared" si="111"/>
        <x:v>FAILED</x:v>
      </x:c>
      <x:c r="BQ277" s="109" t="str">
        <x:f t="shared" si="112"/>
        <x:v>FAILED</x:v>
      </x:c>
      <x:c r="BR277" s="115"/>
      <x:c r="BS277" s="115"/>
      <x:c r="BT277" s="107"/>
      <x:c r="BU277" s="107"/>
      <x:c r="BV277" s="107"/>
      <x:c r="BW277" s="107"/>
      <x:c r="BX277" s="107"/>
      <x:c r="BY277" s="109" t="str">
        <x:f t="shared" si="113"/>
        <x:v>FAILED</x:v>
      </x:c>
      <x:c r="BZ277" s="115"/>
      <x:c r="CA277" s="115"/>
      <x:c r="CB277" s="107"/>
      <x:c r="CC277" s="107"/>
      <x:c r="CD277" s="107"/>
      <x:c r="CE277" s="107"/>
      <x:c r="CF277" s="107"/>
      <x:c r="CG277" s="109" t="str">
        <x:f t="shared" si="114"/>
        <x:v>FAILED</x:v>
      </x:c>
    </x:row>
    <x:row r="278">
      <x:c r="A278" s="102" t="str">
        <x:f>IF(RECORD!A280="","",RECORD!A280)</x:f>
      </x:c>
      <x:c r="B278" s="102" t="str">
        <x:f>IF(RECORD!B280="","",RECORD!B280)</x:f>
      </x:c>
      <x:c r="C278" s="103" t="str">
        <x:f>IF(RECORD!C280="","",RECORD!C280)</x:f>
      </x:c>
      <x:c r="D278" s="104" t="str">
        <x:f t="array" ref="D278">IF(C278&lt;&gt;"",IF(F$7="SUMMER","N/A",_xlfn.IFS(D$10="TLA",RECORD!GO280,F$10="LECTURE","",TRUE(),"")),"")</x:f>
      </x:c>
      <x:c r="E278" s="105" t="str">
        <x:f t="shared" si="92"/>
      </x:c>
      <x:c r="F278" s="104" t="str">
        <x:f t="array" ref="F278">IF(C278&lt;&gt;"",IF(F$7="SUMMER","N/A",_xlfn.IFS(F$10="AT",RECORD!GI280,F$10="LECTURE",GRADES!AP278,TRUE(),"")),"")</x:f>
      </x:c>
      <x:c r="G278" s="106" t="str">
        <x:f t="shared" si="93"/>
      </x:c>
      <x:c r="H278" s="107" t="str">
        <x:f t="array" ref="H278">IF(C278&lt;&gt;"",IF(F$7="SUMMER","N/A",_xlfn.IFS(H$10="EXAM",RECORD!GJ280,H$10="OUTPUT",RECORD!GK280,H$10="LAB",BP278,TRUE(),"")),"")</x:f>
      </x:c>
      <x:c r="I278" s="106" t="str">
        <x:f t="shared" si="94"/>
      </x:c>
      <x:c r="J278" s="108" t="str">
        <x:f t="shared" si="95"/>
      </x:c>
      <x:c r="K278" s="109" t="str">
        <x:f t="shared" si="96"/>
      </x:c>
      <x:c r="L278" s="110" t="str">
        <x:f t="array" ref="L278">IF(C278&lt;&gt;"",_xlfn.IFS(L$10="TLA",RECORD!GY280,N$10="LECTURE","",TRUE(),""),"")</x:f>
      </x:c>
      <x:c r="M278" s="105" t="str">
        <x:f t="shared" si="97"/>
      </x:c>
      <x:c r="N278" s="104" t="str">
        <x:f t="array" ref="N278">IF(C278&lt;&gt;"",_xlfn.IFS(N$10="AT",RECORD!GS280,N$10="LECTURE",AX278,TRUE(),""),"")</x:f>
      </x:c>
      <x:c r="O278" s="106" t="str">
        <x:f t="shared" si="98"/>
      </x:c>
      <x:c r="P278" s="107" t="str">
        <x:f t="array" ref="P278">IF(C278&lt;&gt;"",_xlfn.IFS(P$10="EXAM",RECORD!GT280,P$10="OUTPUT",RECORD!GU280,P$10="LAB",BX278,TRUE(),""),"")</x:f>
      </x:c>
      <x:c r="Q278" s="106" t="str">
        <x:f t="shared" si="99"/>
      </x:c>
      <x:c r="R278" s="108" t="str">
        <x:f t="shared" si="100"/>
      </x:c>
      <x:c r="S278" s="109" t="str">
        <x:f t="shared" si="101"/>
      </x:c>
      <x:c r="T278" s="110" t="str">
        <x:f t="array" ref="T278">IF(C278&lt;&gt;"",_xlfn.IFS(T$10="TLA",RECORD!HI280,V$10="LECTURE","",TRUE(),""),"")</x:f>
      </x:c>
      <x:c r="U278" s="105" t="str">
        <x:f t="shared" si="102"/>
      </x:c>
      <x:c r="V278" s="104" t="str">
        <x:f t="array" ref="V278">IF(C278&lt;&gt;"",_xlfn.IFS(V$10="AT",RECORD!HC280,V$10="LECTURE",BF278,TRUE(),""),"")</x:f>
      </x:c>
      <x:c r="W278" s="106" t="str">
        <x:f t="shared" si="103"/>
      </x:c>
      <x:c r="X278" s="107" t="str">
        <x:f t="array" ref="X278">IF(C278&lt;&gt;"",_xlfn.IFS(X$10="EXAM",RECORD!HD280,X$10="OUTPUT",RECORD!HE280,X$10="LAB",CF278,TRUE(),""),"")</x:f>
      </x:c>
      <x:c r="Y278" s="106" t="str">
        <x:f t="shared" si="104"/>
      </x:c>
      <x:c r="Z278" s="108" t="str">
        <x:f t="shared" si="105"/>
      </x:c>
      <x:c r="AA278" s="109" t="str">
        <x:f t="shared" si="106"/>
      </x:c>
      <x:c r="AB278" s="111" t="str">
        <x:f t="shared" si="107"/>
      </x:c>
      <x:c r="AC278" s="109" t="str">
        <x:f t="shared" si="108"/>
      </x:c>
      <x:c r="AQ278" s="109" t="str">
        <x:f t="shared" si="109"/>
        <x:v>FAILED</x:v>
      </x:c>
      <x:c r="AR278" s="115"/>
      <x:c r="AS278" s="115"/>
      <x:c r="AT278" s="107"/>
      <x:c r="AU278" s="107"/>
      <x:c r="AV278" s="107"/>
      <x:c r="AW278" s="107"/>
      <x:c r="AX278" s="107"/>
      <x:c r="AY278" s="109" t="str">
        <x:f t="shared" si="110"/>
        <x:v>FAILED</x:v>
      </x:c>
      <x:c r="AZ278" s="115"/>
      <x:c r="BA278" s="115"/>
      <x:c r="BB278" s="107"/>
      <x:c r="BC278" s="107"/>
      <x:c r="BD278" s="107"/>
      <x:c r="BE278" s="107"/>
      <x:c r="BF278" s="107"/>
      <x:c r="BG278" s="109" t="str">
        <x:f t="shared" si="111"/>
        <x:v>FAILED</x:v>
      </x:c>
      <x:c r="BQ278" s="109" t="str">
        <x:f t="shared" si="112"/>
        <x:v>FAILED</x:v>
      </x:c>
      <x:c r="BR278" s="115"/>
      <x:c r="BS278" s="115"/>
      <x:c r="BT278" s="107"/>
      <x:c r="BU278" s="107"/>
      <x:c r="BV278" s="107"/>
      <x:c r="BW278" s="107"/>
      <x:c r="BX278" s="107"/>
      <x:c r="BY278" s="109" t="str">
        <x:f t="shared" si="113"/>
        <x:v>FAILED</x:v>
      </x:c>
      <x:c r="BZ278" s="115"/>
      <x:c r="CA278" s="115"/>
      <x:c r="CB278" s="107"/>
      <x:c r="CC278" s="107"/>
      <x:c r="CD278" s="107"/>
      <x:c r="CE278" s="107"/>
      <x:c r="CF278" s="107"/>
      <x:c r="CG278" s="109" t="str">
        <x:f t="shared" si="114"/>
        <x:v>FAILED</x:v>
      </x:c>
    </x:row>
    <x:row r="279">
      <x:c r="A279" s="102" t="str">
        <x:f>IF(RECORD!A281="","",RECORD!A281)</x:f>
      </x:c>
      <x:c r="B279" s="102" t="str">
        <x:f>IF(RECORD!B281="","",RECORD!B281)</x:f>
      </x:c>
      <x:c r="C279" s="103" t="str">
        <x:f>IF(RECORD!C281="","",RECORD!C281)</x:f>
      </x:c>
      <x:c r="D279" s="104" t="str">
        <x:f t="array" ref="D279">IF(C279&lt;&gt;"",IF(F$7="SUMMER","N/A",_xlfn.IFS(D$10="TLA",RECORD!GO281,F$10="LECTURE","",TRUE(),"")),"")</x:f>
      </x:c>
      <x:c r="E279" s="105" t="str">
        <x:f t="shared" si="92"/>
      </x:c>
      <x:c r="F279" s="104" t="str">
        <x:f t="array" ref="F279">IF(C279&lt;&gt;"",IF(F$7="SUMMER","N/A",_xlfn.IFS(F$10="AT",RECORD!GI281,F$10="LECTURE",GRADES!AP279,TRUE(),"")),"")</x:f>
      </x:c>
      <x:c r="G279" s="106" t="str">
        <x:f t="shared" si="93"/>
      </x:c>
      <x:c r="H279" s="107" t="str">
        <x:f t="array" ref="H279">IF(C279&lt;&gt;"",IF(F$7="SUMMER","N/A",_xlfn.IFS(H$10="EXAM",RECORD!GJ281,H$10="OUTPUT",RECORD!GK281,H$10="LAB",BP279,TRUE(),"")),"")</x:f>
      </x:c>
      <x:c r="I279" s="106" t="str">
        <x:f t="shared" si="94"/>
      </x:c>
      <x:c r="J279" s="108" t="str">
        <x:f t="shared" si="95"/>
      </x:c>
      <x:c r="K279" s="109" t="str">
        <x:f t="shared" si="96"/>
      </x:c>
      <x:c r="L279" s="110" t="str">
        <x:f t="array" ref="L279">IF(C279&lt;&gt;"",_xlfn.IFS(L$10="TLA",RECORD!GY281,N$10="LECTURE","",TRUE(),""),"")</x:f>
      </x:c>
      <x:c r="M279" s="105" t="str">
        <x:f t="shared" si="97"/>
      </x:c>
      <x:c r="N279" s="104" t="str">
        <x:f t="array" ref="N279">IF(C279&lt;&gt;"",_xlfn.IFS(N$10="AT",RECORD!GS281,N$10="LECTURE",AX279,TRUE(),""),"")</x:f>
      </x:c>
      <x:c r="O279" s="106" t="str">
        <x:f t="shared" si="98"/>
      </x:c>
      <x:c r="P279" s="107" t="str">
        <x:f t="array" ref="P279">IF(C279&lt;&gt;"",_xlfn.IFS(P$10="EXAM",RECORD!GT281,P$10="OUTPUT",RECORD!GU281,P$10="LAB",BX279,TRUE(),""),"")</x:f>
      </x:c>
      <x:c r="Q279" s="106" t="str">
        <x:f t="shared" si="99"/>
      </x:c>
      <x:c r="R279" s="108" t="str">
        <x:f t="shared" si="100"/>
      </x:c>
      <x:c r="S279" s="109" t="str">
        <x:f t="shared" si="101"/>
      </x:c>
      <x:c r="T279" s="110" t="str">
        <x:f t="array" ref="T279">IF(C279&lt;&gt;"",_xlfn.IFS(T$10="TLA",RECORD!HI281,V$10="LECTURE","",TRUE(),""),"")</x:f>
      </x:c>
      <x:c r="U279" s="105" t="str">
        <x:f t="shared" si="102"/>
      </x:c>
      <x:c r="V279" s="104" t="str">
        <x:f t="array" ref="V279">IF(C279&lt;&gt;"",_xlfn.IFS(V$10="AT",RECORD!HC281,V$10="LECTURE",BF279,TRUE(),""),"")</x:f>
      </x:c>
      <x:c r="W279" s="106" t="str">
        <x:f t="shared" si="103"/>
      </x:c>
      <x:c r="X279" s="107" t="str">
        <x:f t="array" ref="X279">IF(C279&lt;&gt;"",_xlfn.IFS(X$10="EXAM",RECORD!HD281,X$10="OUTPUT",RECORD!HE281,X$10="LAB",CF279,TRUE(),""),"")</x:f>
      </x:c>
      <x:c r="Y279" s="106" t="str">
        <x:f t="shared" si="104"/>
      </x:c>
      <x:c r="Z279" s="108" t="str">
        <x:f t="shared" si="105"/>
      </x:c>
      <x:c r="AA279" s="109" t="str">
        <x:f t="shared" si="106"/>
      </x:c>
      <x:c r="AB279" s="111" t="str">
        <x:f t="shared" si="107"/>
      </x:c>
      <x:c r="AC279" s="109" t="str">
        <x:f t="shared" si="108"/>
      </x:c>
      <x:c r="AQ279" s="109" t="str">
        <x:f t="shared" si="109"/>
        <x:v>FAILED</x:v>
      </x:c>
      <x:c r="AR279" s="115"/>
      <x:c r="AS279" s="115"/>
      <x:c r="AT279" s="107"/>
      <x:c r="AU279" s="107"/>
      <x:c r="AV279" s="107"/>
      <x:c r="AW279" s="107"/>
      <x:c r="AX279" s="107"/>
      <x:c r="AY279" s="109" t="str">
        <x:f t="shared" si="110"/>
        <x:v>FAILED</x:v>
      </x:c>
      <x:c r="AZ279" s="115"/>
      <x:c r="BA279" s="115"/>
      <x:c r="BB279" s="107"/>
      <x:c r="BC279" s="107"/>
      <x:c r="BD279" s="107"/>
      <x:c r="BE279" s="107"/>
      <x:c r="BF279" s="107"/>
      <x:c r="BG279" s="109" t="str">
        <x:f t="shared" si="111"/>
        <x:v>FAILED</x:v>
      </x:c>
      <x:c r="BQ279" s="109" t="str">
        <x:f t="shared" si="112"/>
        <x:v>FAILED</x:v>
      </x:c>
      <x:c r="BR279" s="115"/>
      <x:c r="BS279" s="115"/>
      <x:c r="BT279" s="107"/>
      <x:c r="BU279" s="107"/>
      <x:c r="BV279" s="107"/>
      <x:c r="BW279" s="107"/>
      <x:c r="BX279" s="107"/>
      <x:c r="BY279" s="109" t="str">
        <x:f t="shared" si="113"/>
        <x:v>FAILED</x:v>
      </x:c>
      <x:c r="BZ279" s="115"/>
      <x:c r="CA279" s="115"/>
      <x:c r="CB279" s="107"/>
      <x:c r="CC279" s="107"/>
      <x:c r="CD279" s="107"/>
      <x:c r="CE279" s="107"/>
      <x:c r="CF279" s="107"/>
      <x:c r="CG279" s="109" t="str">
        <x:f t="shared" si="114"/>
        <x:v>FAILED</x:v>
      </x:c>
    </x:row>
    <x:row r="280">
      <x:c r="A280" s="102" t="str">
        <x:f>IF(RECORD!A282="","",RECORD!A282)</x:f>
      </x:c>
      <x:c r="B280" s="102" t="str">
        <x:f>IF(RECORD!B282="","",RECORD!B282)</x:f>
      </x:c>
      <x:c r="C280" s="103" t="str">
        <x:f>IF(RECORD!C282="","",RECORD!C282)</x:f>
      </x:c>
      <x:c r="D280" s="104" t="str">
        <x:f t="array" ref="D280">IF(C280&lt;&gt;"",IF(F$7="SUMMER","N/A",_xlfn.IFS(D$10="TLA",RECORD!GO282,F$10="LECTURE","",TRUE(),"")),"")</x:f>
      </x:c>
      <x:c r="E280" s="105" t="str">
        <x:f t="shared" si="92"/>
      </x:c>
      <x:c r="F280" s="104" t="str">
        <x:f t="array" ref="F280">IF(C280&lt;&gt;"",IF(F$7="SUMMER","N/A",_xlfn.IFS(F$10="AT",RECORD!GI282,F$10="LECTURE",GRADES!AP280,TRUE(),"")),"")</x:f>
      </x:c>
      <x:c r="G280" s="106" t="str">
        <x:f t="shared" si="93"/>
      </x:c>
      <x:c r="H280" s="107" t="str">
        <x:f t="array" ref="H280">IF(C280&lt;&gt;"",IF(F$7="SUMMER","N/A",_xlfn.IFS(H$10="EXAM",RECORD!GJ282,H$10="OUTPUT",RECORD!GK282,H$10="LAB",BP280,TRUE(),"")),"")</x:f>
      </x:c>
      <x:c r="I280" s="106" t="str">
        <x:f t="shared" si="94"/>
      </x:c>
      <x:c r="J280" s="108" t="str">
        <x:f t="shared" si="95"/>
      </x:c>
      <x:c r="K280" s="109" t="str">
        <x:f t="shared" si="96"/>
      </x:c>
      <x:c r="L280" s="110" t="str">
        <x:f t="array" ref="L280">IF(C280&lt;&gt;"",_xlfn.IFS(L$10="TLA",RECORD!GY282,N$10="LECTURE","",TRUE(),""),"")</x:f>
      </x:c>
      <x:c r="M280" s="105" t="str">
        <x:f t="shared" si="97"/>
      </x:c>
      <x:c r="N280" s="104" t="str">
        <x:f t="array" ref="N280">IF(C280&lt;&gt;"",_xlfn.IFS(N$10="AT",RECORD!GS282,N$10="LECTURE",AX280,TRUE(),""),"")</x:f>
      </x:c>
      <x:c r="O280" s="106" t="str">
        <x:f t="shared" si="98"/>
      </x:c>
      <x:c r="P280" s="107" t="str">
        <x:f t="array" ref="P280">IF(C280&lt;&gt;"",_xlfn.IFS(P$10="EXAM",RECORD!GT282,P$10="OUTPUT",RECORD!GU282,P$10="LAB",BX280,TRUE(),""),"")</x:f>
      </x:c>
      <x:c r="Q280" s="106" t="str">
        <x:f t="shared" si="99"/>
      </x:c>
      <x:c r="R280" s="108" t="str">
        <x:f t="shared" si="100"/>
      </x:c>
      <x:c r="S280" s="109" t="str">
        <x:f t="shared" si="101"/>
      </x:c>
      <x:c r="T280" s="110" t="str">
        <x:f t="array" ref="T280">IF(C280&lt;&gt;"",_xlfn.IFS(T$10="TLA",RECORD!HI282,V$10="LECTURE","",TRUE(),""),"")</x:f>
      </x:c>
      <x:c r="U280" s="105" t="str">
        <x:f t="shared" si="102"/>
      </x:c>
      <x:c r="V280" s="104" t="str">
        <x:f t="array" ref="V280">IF(C280&lt;&gt;"",_xlfn.IFS(V$10="AT",RECORD!HC282,V$10="LECTURE",BF280,TRUE(),""),"")</x:f>
      </x:c>
      <x:c r="W280" s="106" t="str">
        <x:f t="shared" si="103"/>
      </x:c>
      <x:c r="X280" s="107" t="str">
        <x:f t="array" ref="X280">IF(C280&lt;&gt;"",_xlfn.IFS(X$10="EXAM",RECORD!HD282,X$10="OUTPUT",RECORD!HE282,X$10="LAB",CF280,TRUE(),""),"")</x:f>
      </x:c>
      <x:c r="Y280" s="106" t="str">
        <x:f t="shared" si="104"/>
      </x:c>
      <x:c r="Z280" s="108" t="str">
        <x:f t="shared" si="105"/>
      </x:c>
      <x:c r="AA280" s="109" t="str">
        <x:f t="shared" si="106"/>
      </x:c>
      <x:c r="AB280" s="111" t="str">
        <x:f t="shared" si="107"/>
      </x:c>
      <x:c r="AC280" s="109" t="str">
        <x:f t="shared" si="108"/>
      </x:c>
      <x:c r="AQ280" s="109" t="str">
        <x:f t="shared" si="109"/>
        <x:v>FAILED</x:v>
      </x:c>
      <x:c r="AR280" s="115"/>
      <x:c r="AS280" s="115"/>
      <x:c r="AT280" s="107"/>
      <x:c r="AU280" s="107"/>
      <x:c r="AV280" s="107"/>
      <x:c r="AW280" s="107"/>
      <x:c r="AX280" s="107"/>
      <x:c r="AY280" s="109" t="str">
        <x:f t="shared" si="110"/>
        <x:v>FAILED</x:v>
      </x:c>
      <x:c r="AZ280" s="115"/>
      <x:c r="BA280" s="115"/>
      <x:c r="BB280" s="107"/>
      <x:c r="BC280" s="107"/>
      <x:c r="BD280" s="107"/>
      <x:c r="BE280" s="107"/>
      <x:c r="BF280" s="107"/>
      <x:c r="BG280" s="109" t="str">
        <x:f t="shared" si="111"/>
        <x:v>FAILED</x:v>
      </x:c>
      <x:c r="BQ280" s="109" t="str">
        <x:f t="shared" si="112"/>
        <x:v>FAILED</x:v>
      </x:c>
      <x:c r="BR280" s="115"/>
      <x:c r="BS280" s="115"/>
      <x:c r="BT280" s="107"/>
      <x:c r="BU280" s="107"/>
      <x:c r="BV280" s="107"/>
      <x:c r="BW280" s="107"/>
      <x:c r="BX280" s="107"/>
      <x:c r="BY280" s="109" t="str">
        <x:f t="shared" si="113"/>
        <x:v>FAILED</x:v>
      </x:c>
      <x:c r="BZ280" s="115"/>
      <x:c r="CA280" s="115"/>
      <x:c r="CB280" s="107"/>
      <x:c r="CC280" s="107"/>
      <x:c r="CD280" s="107"/>
      <x:c r="CE280" s="107"/>
      <x:c r="CF280" s="107"/>
      <x:c r="CG280" s="109" t="str">
        <x:f t="shared" si="114"/>
        <x:v>FAILED</x:v>
      </x:c>
    </x:row>
    <x:row r="281">
      <x:c r="A281" s="102" t="str">
        <x:f>IF(RECORD!A283="","",RECORD!A283)</x:f>
      </x:c>
      <x:c r="B281" s="102" t="str">
        <x:f>IF(RECORD!B283="","",RECORD!B283)</x:f>
      </x:c>
      <x:c r="C281" s="103" t="str">
        <x:f>IF(RECORD!C283="","",RECORD!C283)</x:f>
      </x:c>
      <x:c r="D281" s="104" t="str">
        <x:f t="array" ref="D281">IF(C281&lt;&gt;"",IF(F$7="SUMMER","N/A",_xlfn.IFS(D$10="TLA",RECORD!GO283,F$10="LECTURE","",TRUE(),"")),"")</x:f>
      </x:c>
      <x:c r="E281" s="105" t="str">
        <x:f t="shared" si="92"/>
      </x:c>
      <x:c r="F281" s="104" t="str">
        <x:f t="array" ref="F281">IF(C281&lt;&gt;"",IF(F$7="SUMMER","N/A",_xlfn.IFS(F$10="AT",RECORD!GI283,F$10="LECTURE",GRADES!AP281,TRUE(),"")),"")</x:f>
      </x:c>
      <x:c r="G281" s="106" t="str">
        <x:f t="shared" si="93"/>
      </x:c>
      <x:c r="H281" s="107" t="str">
        <x:f t="array" ref="H281">IF(C281&lt;&gt;"",IF(F$7="SUMMER","N/A",_xlfn.IFS(H$10="EXAM",RECORD!GJ283,H$10="OUTPUT",RECORD!GK283,H$10="LAB",BP281,TRUE(),"")),"")</x:f>
      </x:c>
      <x:c r="I281" s="106" t="str">
        <x:f t="shared" si="94"/>
      </x:c>
      <x:c r="J281" s="108" t="str">
        <x:f t="shared" si="95"/>
      </x:c>
      <x:c r="K281" s="109" t="str">
        <x:f t="shared" si="96"/>
      </x:c>
      <x:c r="L281" s="110" t="str">
        <x:f t="array" ref="L281">IF(C281&lt;&gt;"",_xlfn.IFS(L$10="TLA",RECORD!GY283,N$10="LECTURE","",TRUE(),""),"")</x:f>
      </x:c>
      <x:c r="M281" s="105" t="str">
        <x:f t="shared" si="97"/>
      </x:c>
      <x:c r="N281" s="104" t="str">
        <x:f t="array" ref="N281">IF(C281&lt;&gt;"",_xlfn.IFS(N$10="AT",RECORD!GS283,N$10="LECTURE",AX281,TRUE(),""),"")</x:f>
      </x:c>
      <x:c r="O281" s="106" t="str">
        <x:f t="shared" si="98"/>
      </x:c>
      <x:c r="P281" s="107" t="str">
        <x:f t="array" ref="P281">IF(C281&lt;&gt;"",_xlfn.IFS(P$10="EXAM",RECORD!GT283,P$10="OUTPUT",RECORD!GU283,P$10="LAB",BX281,TRUE(),""),"")</x:f>
      </x:c>
      <x:c r="Q281" s="106" t="str">
        <x:f t="shared" si="99"/>
      </x:c>
      <x:c r="R281" s="108" t="str">
        <x:f t="shared" si="100"/>
      </x:c>
      <x:c r="S281" s="109" t="str">
        <x:f t="shared" si="101"/>
      </x:c>
      <x:c r="T281" s="110" t="str">
        <x:f t="array" ref="T281">IF(C281&lt;&gt;"",_xlfn.IFS(T$10="TLA",RECORD!HI283,V$10="LECTURE","",TRUE(),""),"")</x:f>
      </x:c>
      <x:c r="U281" s="105" t="str">
        <x:f t="shared" si="102"/>
      </x:c>
      <x:c r="V281" s="104" t="str">
        <x:f t="array" ref="V281">IF(C281&lt;&gt;"",_xlfn.IFS(V$10="AT",RECORD!HC283,V$10="LECTURE",BF281,TRUE(),""),"")</x:f>
      </x:c>
      <x:c r="W281" s="106" t="str">
        <x:f t="shared" si="103"/>
      </x:c>
      <x:c r="X281" s="107" t="str">
        <x:f t="array" ref="X281">IF(C281&lt;&gt;"",_xlfn.IFS(X$10="EXAM",RECORD!HD283,X$10="OUTPUT",RECORD!HE283,X$10="LAB",CF281,TRUE(),""),"")</x:f>
      </x:c>
      <x:c r="Y281" s="106" t="str">
        <x:f t="shared" si="104"/>
      </x:c>
      <x:c r="Z281" s="108" t="str">
        <x:f t="shared" si="105"/>
      </x:c>
      <x:c r="AA281" s="109" t="str">
        <x:f t="shared" si="106"/>
      </x:c>
      <x:c r="AB281" s="111" t="str">
        <x:f t="shared" si="107"/>
      </x:c>
      <x:c r="AC281" s="109" t="str">
        <x:f t="shared" si="108"/>
      </x:c>
      <x:c r="AQ281" s="109" t="str">
        <x:f t="shared" si="109"/>
        <x:v>FAILED</x:v>
      </x:c>
      <x:c r="AR281" s="115"/>
      <x:c r="AS281" s="115"/>
      <x:c r="AT281" s="107"/>
      <x:c r="AU281" s="107"/>
      <x:c r="AV281" s="107"/>
      <x:c r="AW281" s="107"/>
      <x:c r="AX281" s="107"/>
      <x:c r="AY281" s="109" t="str">
        <x:f t="shared" si="110"/>
        <x:v>FAILED</x:v>
      </x:c>
      <x:c r="AZ281" s="115"/>
      <x:c r="BA281" s="115"/>
      <x:c r="BB281" s="107"/>
      <x:c r="BC281" s="107"/>
      <x:c r="BD281" s="107"/>
      <x:c r="BE281" s="107"/>
      <x:c r="BF281" s="107"/>
      <x:c r="BG281" s="109" t="str">
        <x:f t="shared" si="111"/>
        <x:v>FAILED</x:v>
      </x:c>
      <x:c r="BQ281" s="109" t="str">
        <x:f t="shared" si="112"/>
        <x:v>FAILED</x:v>
      </x:c>
      <x:c r="BR281" s="115"/>
      <x:c r="BS281" s="115"/>
      <x:c r="BT281" s="107"/>
      <x:c r="BU281" s="107"/>
      <x:c r="BV281" s="107"/>
      <x:c r="BW281" s="107"/>
      <x:c r="BX281" s="107"/>
      <x:c r="BY281" s="109" t="str">
        <x:f t="shared" si="113"/>
        <x:v>FAILED</x:v>
      </x:c>
      <x:c r="BZ281" s="115"/>
      <x:c r="CA281" s="115"/>
      <x:c r="CB281" s="107"/>
      <x:c r="CC281" s="107"/>
      <x:c r="CD281" s="107"/>
      <x:c r="CE281" s="107"/>
      <x:c r="CF281" s="107"/>
      <x:c r="CG281" s="109" t="str">
        <x:f t="shared" si="114"/>
        <x:v>FAILED</x:v>
      </x:c>
    </x:row>
    <x:row r="282">
      <x:c r="A282" s="102" t="str">
        <x:f>IF(RECORD!A284="","",RECORD!A284)</x:f>
      </x:c>
      <x:c r="B282" s="102" t="str">
        <x:f>IF(RECORD!B284="","",RECORD!B284)</x:f>
      </x:c>
      <x:c r="C282" s="103" t="str">
        <x:f>IF(RECORD!C284="","",RECORD!C284)</x:f>
      </x:c>
      <x:c r="D282" s="104" t="str">
        <x:f t="array" ref="D282">IF(C282&lt;&gt;"",IF(F$7="SUMMER","N/A",_xlfn.IFS(D$10="TLA",RECORD!GO284,F$10="LECTURE","",TRUE(),"")),"")</x:f>
      </x:c>
      <x:c r="E282" s="105" t="str">
        <x:f t="shared" si="92"/>
      </x:c>
      <x:c r="F282" s="104" t="str">
        <x:f t="array" ref="F282">IF(C282&lt;&gt;"",IF(F$7="SUMMER","N/A",_xlfn.IFS(F$10="AT",RECORD!GI284,F$10="LECTURE",GRADES!AP282,TRUE(),"")),"")</x:f>
      </x:c>
      <x:c r="G282" s="106" t="str">
        <x:f t="shared" si="93"/>
      </x:c>
      <x:c r="H282" s="107" t="str">
        <x:f t="array" ref="H282">IF(C282&lt;&gt;"",IF(F$7="SUMMER","N/A",_xlfn.IFS(H$10="EXAM",RECORD!GJ284,H$10="OUTPUT",RECORD!GK284,H$10="LAB",BP282,TRUE(),"")),"")</x:f>
      </x:c>
      <x:c r="I282" s="106" t="str">
        <x:f t="shared" si="94"/>
      </x:c>
      <x:c r="J282" s="108" t="str">
        <x:f t="shared" si="95"/>
      </x:c>
      <x:c r="K282" s="109" t="str">
        <x:f t="shared" si="96"/>
      </x:c>
      <x:c r="L282" s="110" t="str">
        <x:f t="array" ref="L282">IF(C282&lt;&gt;"",_xlfn.IFS(L$10="TLA",RECORD!GY284,N$10="LECTURE","",TRUE(),""),"")</x:f>
      </x:c>
      <x:c r="M282" s="105" t="str">
        <x:f t="shared" si="97"/>
      </x:c>
      <x:c r="N282" s="104" t="str">
        <x:f t="array" ref="N282">IF(C282&lt;&gt;"",_xlfn.IFS(N$10="AT",RECORD!GS284,N$10="LECTURE",AX282,TRUE(),""),"")</x:f>
      </x:c>
      <x:c r="O282" s="106" t="str">
        <x:f t="shared" si="98"/>
      </x:c>
      <x:c r="P282" s="107" t="str">
        <x:f t="array" ref="P282">IF(C282&lt;&gt;"",_xlfn.IFS(P$10="EXAM",RECORD!GT284,P$10="OUTPUT",RECORD!GU284,P$10="LAB",BX282,TRUE(),""),"")</x:f>
      </x:c>
      <x:c r="Q282" s="106" t="str">
        <x:f t="shared" si="99"/>
      </x:c>
      <x:c r="R282" s="108" t="str">
        <x:f t="shared" si="100"/>
      </x:c>
      <x:c r="S282" s="109" t="str">
        <x:f t="shared" si="101"/>
      </x:c>
      <x:c r="T282" s="110" t="str">
        <x:f t="array" ref="T282">IF(C282&lt;&gt;"",_xlfn.IFS(T$10="TLA",RECORD!HI284,V$10="LECTURE","",TRUE(),""),"")</x:f>
      </x:c>
      <x:c r="U282" s="105" t="str">
        <x:f t="shared" si="102"/>
      </x:c>
      <x:c r="V282" s="104" t="str">
        <x:f t="array" ref="V282">IF(C282&lt;&gt;"",_xlfn.IFS(V$10="AT",RECORD!HC284,V$10="LECTURE",BF282,TRUE(),""),"")</x:f>
      </x:c>
      <x:c r="W282" s="106" t="str">
        <x:f t="shared" si="103"/>
      </x:c>
      <x:c r="X282" s="107" t="str">
        <x:f t="array" ref="X282">IF(C282&lt;&gt;"",_xlfn.IFS(X$10="EXAM",RECORD!HD284,X$10="OUTPUT",RECORD!HE284,X$10="LAB",CF282,TRUE(),""),"")</x:f>
      </x:c>
      <x:c r="Y282" s="106" t="str">
        <x:f t="shared" si="104"/>
      </x:c>
      <x:c r="Z282" s="108" t="str">
        <x:f t="shared" si="105"/>
      </x:c>
      <x:c r="AA282" s="109" t="str">
        <x:f t="shared" si="106"/>
      </x:c>
      <x:c r="AB282" s="111" t="str">
        <x:f t="shared" si="107"/>
      </x:c>
      <x:c r="AC282" s="109" t="str">
        <x:f t="shared" si="108"/>
      </x:c>
      <x:c r="AQ282" s="109" t="str">
        <x:f t="shared" si="109"/>
        <x:v>FAILED</x:v>
      </x:c>
      <x:c r="AR282" s="115"/>
      <x:c r="AS282" s="115"/>
      <x:c r="AT282" s="107"/>
      <x:c r="AU282" s="107"/>
      <x:c r="AV282" s="107"/>
      <x:c r="AW282" s="107"/>
      <x:c r="AX282" s="107"/>
      <x:c r="AY282" s="109" t="str">
        <x:f t="shared" si="110"/>
        <x:v>FAILED</x:v>
      </x:c>
      <x:c r="AZ282" s="115"/>
      <x:c r="BA282" s="115"/>
      <x:c r="BB282" s="107"/>
      <x:c r="BC282" s="107"/>
      <x:c r="BD282" s="107"/>
      <x:c r="BE282" s="107"/>
      <x:c r="BF282" s="107"/>
      <x:c r="BG282" s="109" t="str">
        <x:f t="shared" si="111"/>
        <x:v>FAILED</x:v>
      </x:c>
      <x:c r="BQ282" s="109" t="str">
        <x:f t="shared" si="112"/>
        <x:v>FAILED</x:v>
      </x:c>
      <x:c r="BR282" s="115"/>
      <x:c r="BS282" s="115"/>
      <x:c r="BT282" s="107"/>
      <x:c r="BU282" s="107"/>
      <x:c r="BV282" s="107"/>
      <x:c r="BW282" s="107"/>
      <x:c r="BX282" s="107"/>
      <x:c r="BY282" s="109" t="str">
        <x:f t="shared" si="113"/>
        <x:v>FAILED</x:v>
      </x:c>
      <x:c r="BZ282" s="115"/>
      <x:c r="CA282" s="115"/>
      <x:c r="CB282" s="107"/>
      <x:c r="CC282" s="107"/>
      <x:c r="CD282" s="107"/>
      <x:c r="CE282" s="107"/>
      <x:c r="CF282" s="107"/>
      <x:c r="CG282" s="109" t="str">
        <x:f t="shared" si="114"/>
        <x:v>FAILED</x:v>
      </x:c>
    </x:row>
    <x:row r="283">
      <x:c r="A283" s="102" t="str">
        <x:f>IF(RECORD!A285="","",RECORD!A285)</x:f>
      </x:c>
      <x:c r="B283" s="102" t="str">
        <x:f>IF(RECORD!B285="","",RECORD!B285)</x:f>
      </x:c>
      <x:c r="C283" s="103" t="str">
        <x:f>IF(RECORD!C285="","",RECORD!C285)</x:f>
      </x:c>
      <x:c r="D283" s="104" t="str">
        <x:f t="array" ref="D283">IF(C283&lt;&gt;"",IF(F$7="SUMMER","N/A",_xlfn.IFS(D$10="TLA",RECORD!GO285,F$10="LECTURE","",TRUE(),"")),"")</x:f>
      </x:c>
      <x:c r="E283" s="105" t="str">
        <x:f t="shared" si="92"/>
      </x:c>
      <x:c r="F283" s="104" t="str">
        <x:f t="array" ref="F283">IF(C283&lt;&gt;"",IF(F$7="SUMMER","N/A",_xlfn.IFS(F$10="AT",RECORD!GI285,F$10="LECTURE",GRADES!AP283,TRUE(),"")),"")</x:f>
      </x:c>
      <x:c r="G283" s="106" t="str">
        <x:f t="shared" si="93"/>
      </x:c>
      <x:c r="H283" s="107" t="str">
        <x:f t="array" ref="H283">IF(C283&lt;&gt;"",IF(F$7="SUMMER","N/A",_xlfn.IFS(H$10="EXAM",RECORD!GJ285,H$10="OUTPUT",RECORD!GK285,H$10="LAB",BP283,TRUE(),"")),"")</x:f>
      </x:c>
      <x:c r="I283" s="106" t="str">
        <x:f t="shared" si="94"/>
      </x:c>
      <x:c r="J283" s="108" t="str">
        <x:f t="shared" si="95"/>
      </x:c>
      <x:c r="K283" s="109" t="str">
        <x:f t="shared" si="96"/>
      </x:c>
      <x:c r="L283" s="110" t="str">
        <x:f t="array" ref="L283">IF(C283&lt;&gt;"",_xlfn.IFS(L$10="TLA",RECORD!GY285,N$10="LECTURE","",TRUE(),""),"")</x:f>
      </x:c>
      <x:c r="M283" s="105" t="str">
        <x:f t="shared" si="97"/>
      </x:c>
      <x:c r="N283" s="104" t="str">
        <x:f t="array" ref="N283">IF(C283&lt;&gt;"",_xlfn.IFS(N$10="AT",RECORD!GS285,N$10="LECTURE",AX283,TRUE(),""),"")</x:f>
      </x:c>
      <x:c r="O283" s="106" t="str">
        <x:f t="shared" si="98"/>
      </x:c>
      <x:c r="P283" s="107" t="str">
        <x:f t="array" ref="P283">IF(C283&lt;&gt;"",_xlfn.IFS(P$10="EXAM",RECORD!GT285,P$10="OUTPUT",RECORD!GU285,P$10="LAB",BX283,TRUE(),""),"")</x:f>
      </x:c>
      <x:c r="Q283" s="106" t="str">
        <x:f t="shared" si="99"/>
      </x:c>
      <x:c r="R283" s="108" t="str">
        <x:f t="shared" si="100"/>
      </x:c>
      <x:c r="S283" s="109" t="str">
        <x:f t="shared" si="101"/>
      </x:c>
      <x:c r="T283" s="110" t="str">
        <x:f t="array" ref="T283">IF(C283&lt;&gt;"",_xlfn.IFS(T$10="TLA",RECORD!HI285,V$10="LECTURE","",TRUE(),""),"")</x:f>
      </x:c>
      <x:c r="U283" s="105" t="str">
        <x:f t="shared" si="102"/>
      </x:c>
      <x:c r="V283" s="104" t="str">
        <x:f t="array" ref="V283">IF(C283&lt;&gt;"",_xlfn.IFS(V$10="AT",RECORD!HC285,V$10="LECTURE",BF283,TRUE(),""),"")</x:f>
      </x:c>
      <x:c r="W283" s="106" t="str">
        <x:f t="shared" si="103"/>
      </x:c>
      <x:c r="X283" s="107" t="str">
        <x:f t="array" ref="X283">IF(C283&lt;&gt;"",_xlfn.IFS(X$10="EXAM",RECORD!HD285,X$10="OUTPUT",RECORD!HE285,X$10="LAB",CF283,TRUE(),""),"")</x:f>
      </x:c>
      <x:c r="Y283" s="106" t="str">
        <x:f t="shared" si="104"/>
      </x:c>
      <x:c r="Z283" s="108" t="str">
        <x:f t="shared" si="105"/>
      </x:c>
      <x:c r="AA283" s="109" t="str">
        <x:f t="shared" si="106"/>
      </x:c>
      <x:c r="AB283" s="111" t="str">
        <x:f t="shared" si="107"/>
      </x:c>
      <x:c r="AC283" s="109" t="str">
        <x:f t="shared" si="108"/>
      </x:c>
      <x:c r="AQ283" s="109" t="str">
        <x:f t="shared" si="109"/>
        <x:v>FAILED</x:v>
      </x:c>
      <x:c r="AR283" s="115"/>
      <x:c r="AS283" s="115"/>
      <x:c r="AT283" s="107"/>
      <x:c r="AU283" s="107"/>
      <x:c r="AV283" s="107"/>
      <x:c r="AW283" s="107"/>
      <x:c r="AX283" s="107"/>
      <x:c r="AY283" s="109" t="str">
        <x:f t="shared" si="110"/>
        <x:v>FAILED</x:v>
      </x:c>
      <x:c r="AZ283" s="115"/>
      <x:c r="BA283" s="115"/>
      <x:c r="BB283" s="107"/>
      <x:c r="BC283" s="107"/>
      <x:c r="BD283" s="107"/>
      <x:c r="BE283" s="107"/>
      <x:c r="BF283" s="107"/>
      <x:c r="BG283" s="109" t="str">
        <x:f t="shared" si="111"/>
        <x:v>FAILED</x:v>
      </x:c>
      <x:c r="BQ283" s="109" t="str">
        <x:f t="shared" si="112"/>
        <x:v>FAILED</x:v>
      </x:c>
      <x:c r="BR283" s="115"/>
      <x:c r="BS283" s="115"/>
      <x:c r="BT283" s="107"/>
      <x:c r="BU283" s="107"/>
      <x:c r="BV283" s="107"/>
      <x:c r="BW283" s="107"/>
      <x:c r="BX283" s="107"/>
      <x:c r="BY283" s="109" t="str">
        <x:f t="shared" si="113"/>
        <x:v>FAILED</x:v>
      </x:c>
      <x:c r="BZ283" s="115"/>
      <x:c r="CA283" s="115"/>
      <x:c r="CB283" s="107"/>
      <x:c r="CC283" s="107"/>
      <x:c r="CD283" s="107"/>
      <x:c r="CE283" s="107"/>
      <x:c r="CF283" s="107"/>
      <x:c r="CG283" s="109" t="str">
        <x:f t="shared" si="114"/>
        <x:v>FAILED</x:v>
      </x:c>
    </x:row>
    <x:row r="284">
      <x:c r="A284" s="102" t="str">
        <x:f>IF(RECORD!A286="","",RECORD!A286)</x:f>
      </x:c>
      <x:c r="B284" s="102" t="str">
        <x:f>IF(RECORD!B286="","",RECORD!B286)</x:f>
      </x:c>
      <x:c r="C284" s="103" t="str">
        <x:f>IF(RECORD!C286="","",RECORD!C286)</x:f>
      </x:c>
      <x:c r="D284" s="104" t="str">
        <x:f t="array" ref="D284">IF(C284&lt;&gt;"",IF(F$7="SUMMER","N/A",_xlfn.IFS(D$10="TLA",RECORD!GO286,F$10="LECTURE","",TRUE(),"")),"")</x:f>
      </x:c>
      <x:c r="E284" s="105" t="str">
        <x:f t="shared" si="92"/>
      </x:c>
      <x:c r="F284" s="104" t="str">
        <x:f t="array" ref="F284">IF(C284&lt;&gt;"",IF(F$7="SUMMER","N/A",_xlfn.IFS(F$10="AT",RECORD!GI286,F$10="LECTURE",GRADES!AP284,TRUE(),"")),"")</x:f>
      </x:c>
      <x:c r="G284" s="106" t="str">
        <x:f t="shared" si="93"/>
      </x:c>
      <x:c r="H284" s="107" t="str">
        <x:f t="array" ref="H284">IF(C284&lt;&gt;"",IF(F$7="SUMMER","N/A",_xlfn.IFS(H$10="EXAM",RECORD!GJ286,H$10="OUTPUT",RECORD!GK286,H$10="LAB",BP284,TRUE(),"")),"")</x:f>
      </x:c>
      <x:c r="I284" s="106" t="str">
        <x:f t="shared" si="94"/>
      </x:c>
      <x:c r="J284" s="108" t="str">
        <x:f t="shared" si="95"/>
      </x:c>
      <x:c r="K284" s="109" t="str">
        <x:f t="shared" si="96"/>
      </x:c>
      <x:c r="L284" s="110" t="str">
        <x:f t="array" ref="L284">IF(C284&lt;&gt;"",_xlfn.IFS(L$10="TLA",RECORD!GY286,N$10="LECTURE","",TRUE(),""),"")</x:f>
      </x:c>
      <x:c r="M284" s="105" t="str">
        <x:f t="shared" si="97"/>
      </x:c>
      <x:c r="N284" s="104" t="str">
        <x:f t="array" ref="N284">IF(C284&lt;&gt;"",_xlfn.IFS(N$10="AT",RECORD!GS286,N$10="LECTURE",AX284,TRUE(),""),"")</x:f>
      </x:c>
      <x:c r="O284" s="106" t="str">
        <x:f t="shared" si="98"/>
      </x:c>
      <x:c r="P284" s="107" t="str">
        <x:f t="array" ref="P284">IF(C284&lt;&gt;"",_xlfn.IFS(P$10="EXAM",RECORD!GT286,P$10="OUTPUT",RECORD!GU286,P$10="LAB",BX284,TRUE(),""),"")</x:f>
      </x:c>
      <x:c r="Q284" s="106" t="str">
        <x:f t="shared" si="99"/>
      </x:c>
      <x:c r="R284" s="108" t="str">
        <x:f t="shared" si="100"/>
      </x:c>
      <x:c r="S284" s="109" t="str">
        <x:f t="shared" si="101"/>
      </x:c>
      <x:c r="T284" s="110" t="str">
        <x:f t="array" ref="T284">IF(C284&lt;&gt;"",_xlfn.IFS(T$10="TLA",RECORD!HI286,V$10="LECTURE","",TRUE(),""),"")</x:f>
      </x:c>
      <x:c r="U284" s="105" t="str">
        <x:f t="shared" si="102"/>
      </x:c>
      <x:c r="V284" s="104" t="str">
        <x:f t="array" ref="V284">IF(C284&lt;&gt;"",_xlfn.IFS(V$10="AT",RECORD!HC286,V$10="LECTURE",BF284,TRUE(),""),"")</x:f>
      </x:c>
      <x:c r="W284" s="106" t="str">
        <x:f t="shared" si="103"/>
      </x:c>
      <x:c r="X284" s="107" t="str">
        <x:f t="array" ref="X284">IF(C284&lt;&gt;"",_xlfn.IFS(X$10="EXAM",RECORD!HD286,X$10="OUTPUT",RECORD!HE286,X$10="LAB",CF284,TRUE(),""),"")</x:f>
      </x:c>
      <x:c r="Y284" s="106" t="str">
        <x:f t="shared" si="104"/>
      </x:c>
      <x:c r="Z284" s="108" t="str">
        <x:f t="shared" si="105"/>
      </x:c>
      <x:c r="AA284" s="109" t="str">
        <x:f t="shared" si="106"/>
      </x:c>
      <x:c r="AB284" s="111" t="str">
        <x:f t="shared" si="107"/>
      </x:c>
      <x:c r="AC284" s="109" t="str">
        <x:f t="shared" si="108"/>
      </x:c>
      <x:c r="AQ284" s="109" t="str">
        <x:f t="shared" si="109"/>
        <x:v>FAILED</x:v>
      </x:c>
      <x:c r="AR284" s="115"/>
      <x:c r="AS284" s="115"/>
      <x:c r="AT284" s="107"/>
      <x:c r="AU284" s="107"/>
      <x:c r="AV284" s="107"/>
      <x:c r="AW284" s="107"/>
      <x:c r="AX284" s="107"/>
      <x:c r="AY284" s="109" t="str">
        <x:f t="shared" si="110"/>
        <x:v>FAILED</x:v>
      </x:c>
      <x:c r="AZ284" s="115"/>
      <x:c r="BA284" s="115"/>
      <x:c r="BB284" s="107"/>
      <x:c r="BC284" s="107"/>
      <x:c r="BD284" s="107"/>
      <x:c r="BE284" s="107"/>
      <x:c r="BF284" s="107"/>
      <x:c r="BG284" s="109" t="str">
        <x:f t="shared" si="111"/>
        <x:v>FAILED</x:v>
      </x:c>
      <x:c r="BQ284" s="109" t="str">
        <x:f t="shared" si="112"/>
        <x:v>FAILED</x:v>
      </x:c>
      <x:c r="BR284" s="115"/>
      <x:c r="BS284" s="115"/>
      <x:c r="BT284" s="107"/>
      <x:c r="BU284" s="107"/>
      <x:c r="BV284" s="107"/>
      <x:c r="BW284" s="107"/>
      <x:c r="BX284" s="107"/>
      <x:c r="BY284" s="109" t="str">
        <x:f t="shared" si="113"/>
        <x:v>FAILED</x:v>
      </x:c>
      <x:c r="BZ284" s="115"/>
      <x:c r="CA284" s="115"/>
      <x:c r="CB284" s="107"/>
      <x:c r="CC284" s="107"/>
      <x:c r="CD284" s="107"/>
      <x:c r="CE284" s="107"/>
      <x:c r="CF284" s="107"/>
      <x:c r="CG284" s="109" t="str">
        <x:f t="shared" si="114"/>
        <x:v>FAILED</x:v>
      </x:c>
    </x:row>
    <x:row r="285">
      <x:c r="A285" s="102" t="str">
        <x:f>IF(RECORD!A287="","",RECORD!A287)</x:f>
      </x:c>
      <x:c r="B285" s="102" t="str">
        <x:f>IF(RECORD!B287="","",RECORD!B287)</x:f>
      </x:c>
      <x:c r="C285" s="103" t="str">
        <x:f>IF(RECORD!C287="","",RECORD!C287)</x:f>
      </x:c>
      <x:c r="D285" s="104" t="str">
        <x:f t="array" ref="D285">IF(C285&lt;&gt;"",IF(F$7="SUMMER","N/A",_xlfn.IFS(D$10="TLA",RECORD!GO287,F$10="LECTURE","",TRUE(),"")),"")</x:f>
      </x:c>
      <x:c r="E285" s="105" t="str">
        <x:f t="shared" si="92"/>
      </x:c>
      <x:c r="F285" s="104" t="str">
        <x:f t="array" ref="F285">IF(C285&lt;&gt;"",IF(F$7="SUMMER","N/A",_xlfn.IFS(F$10="AT",RECORD!GI287,F$10="LECTURE",GRADES!AP285,TRUE(),"")),"")</x:f>
      </x:c>
      <x:c r="G285" s="106" t="str">
        <x:f t="shared" si="93"/>
      </x:c>
      <x:c r="H285" s="107" t="str">
        <x:f t="array" ref="H285">IF(C285&lt;&gt;"",IF(F$7="SUMMER","N/A",_xlfn.IFS(H$10="EXAM",RECORD!GJ287,H$10="OUTPUT",RECORD!GK287,H$10="LAB",BP285,TRUE(),"")),"")</x:f>
      </x:c>
      <x:c r="I285" s="106" t="str">
        <x:f t="shared" si="94"/>
      </x:c>
      <x:c r="J285" s="108" t="str">
        <x:f t="shared" si="95"/>
      </x:c>
      <x:c r="K285" s="109" t="str">
        <x:f t="shared" si="96"/>
      </x:c>
      <x:c r="L285" s="110" t="str">
        <x:f t="array" ref="L285">IF(C285&lt;&gt;"",_xlfn.IFS(L$10="TLA",RECORD!GY287,N$10="LECTURE","",TRUE(),""),"")</x:f>
      </x:c>
      <x:c r="M285" s="105" t="str">
        <x:f t="shared" si="97"/>
      </x:c>
      <x:c r="N285" s="104" t="str">
        <x:f t="array" ref="N285">IF(C285&lt;&gt;"",_xlfn.IFS(N$10="AT",RECORD!GS287,N$10="LECTURE",AX285,TRUE(),""),"")</x:f>
      </x:c>
      <x:c r="O285" s="106" t="str">
        <x:f t="shared" si="98"/>
      </x:c>
      <x:c r="P285" s="107" t="str">
        <x:f t="array" ref="P285">IF(C285&lt;&gt;"",_xlfn.IFS(P$10="EXAM",RECORD!GT287,P$10="OUTPUT",RECORD!GU287,P$10="LAB",BX285,TRUE(),""),"")</x:f>
      </x:c>
      <x:c r="Q285" s="106" t="str">
        <x:f t="shared" si="99"/>
      </x:c>
      <x:c r="R285" s="108" t="str">
        <x:f t="shared" si="100"/>
      </x:c>
      <x:c r="S285" s="109" t="str">
        <x:f t="shared" si="101"/>
      </x:c>
      <x:c r="T285" s="110" t="str">
        <x:f t="array" ref="T285">IF(C285&lt;&gt;"",_xlfn.IFS(T$10="TLA",RECORD!HI287,V$10="LECTURE","",TRUE(),""),"")</x:f>
      </x:c>
      <x:c r="U285" s="105" t="str">
        <x:f t="shared" si="102"/>
      </x:c>
      <x:c r="V285" s="104" t="str">
        <x:f t="array" ref="V285">IF(C285&lt;&gt;"",_xlfn.IFS(V$10="AT",RECORD!HC287,V$10="LECTURE",BF285,TRUE(),""),"")</x:f>
      </x:c>
      <x:c r="W285" s="106" t="str">
        <x:f t="shared" si="103"/>
      </x:c>
      <x:c r="X285" s="107" t="str">
        <x:f t="array" ref="X285">IF(C285&lt;&gt;"",_xlfn.IFS(X$10="EXAM",RECORD!HD287,X$10="OUTPUT",RECORD!HE287,X$10="LAB",CF285,TRUE(),""),"")</x:f>
      </x:c>
      <x:c r="Y285" s="106" t="str">
        <x:f t="shared" si="104"/>
      </x:c>
      <x:c r="Z285" s="108" t="str">
        <x:f t="shared" si="105"/>
      </x:c>
      <x:c r="AA285" s="109" t="str">
        <x:f t="shared" si="106"/>
      </x:c>
      <x:c r="AB285" s="111" t="str">
        <x:f t="shared" si="107"/>
      </x:c>
      <x:c r="AC285" s="109" t="str">
        <x:f t="shared" si="108"/>
      </x:c>
      <x:c r="AQ285" s="109" t="str">
        <x:f t="shared" si="109"/>
        <x:v>FAILED</x:v>
      </x:c>
      <x:c r="AR285" s="115"/>
      <x:c r="AS285" s="115"/>
      <x:c r="AT285" s="107"/>
      <x:c r="AU285" s="107"/>
      <x:c r="AV285" s="107"/>
      <x:c r="AW285" s="107"/>
      <x:c r="AX285" s="107"/>
      <x:c r="AY285" s="109" t="str">
        <x:f t="shared" si="110"/>
        <x:v>FAILED</x:v>
      </x:c>
      <x:c r="AZ285" s="115"/>
      <x:c r="BA285" s="115"/>
      <x:c r="BB285" s="107"/>
      <x:c r="BC285" s="107"/>
      <x:c r="BD285" s="107"/>
      <x:c r="BE285" s="107"/>
      <x:c r="BF285" s="107"/>
      <x:c r="BG285" s="109" t="str">
        <x:f t="shared" si="111"/>
        <x:v>FAILED</x:v>
      </x:c>
      <x:c r="BQ285" s="109" t="str">
        <x:f t="shared" si="112"/>
        <x:v>FAILED</x:v>
      </x:c>
      <x:c r="BR285" s="115"/>
      <x:c r="BS285" s="115"/>
      <x:c r="BT285" s="107"/>
      <x:c r="BU285" s="107"/>
      <x:c r="BV285" s="107"/>
      <x:c r="BW285" s="107"/>
      <x:c r="BX285" s="107"/>
      <x:c r="BY285" s="109" t="str">
        <x:f t="shared" si="113"/>
        <x:v>FAILED</x:v>
      </x:c>
      <x:c r="BZ285" s="115"/>
      <x:c r="CA285" s="115"/>
      <x:c r="CB285" s="107"/>
      <x:c r="CC285" s="107"/>
      <x:c r="CD285" s="107"/>
      <x:c r="CE285" s="107"/>
      <x:c r="CF285" s="107"/>
      <x:c r="CG285" s="109" t="str">
        <x:f t="shared" si="114"/>
        <x:v>FAILED</x:v>
      </x:c>
    </x:row>
    <x:row r="286">
      <x:c r="A286" s="102" t="str">
        <x:f>IF(RECORD!A288="","",RECORD!A288)</x:f>
      </x:c>
      <x:c r="B286" s="102" t="str">
        <x:f>IF(RECORD!B288="","",RECORD!B288)</x:f>
      </x:c>
      <x:c r="C286" s="103" t="str">
        <x:f>IF(RECORD!C288="","",RECORD!C288)</x:f>
      </x:c>
      <x:c r="D286" s="104" t="str">
        <x:f t="array" ref="D286">IF(C286&lt;&gt;"",IF(F$7="SUMMER","N/A",_xlfn.IFS(D$10="TLA",RECORD!GO288,F$10="LECTURE","",TRUE(),"")),"")</x:f>
      </x:c>
      <x:c r="E286" s="105" t="str">
        <x:f t="shared" si="92"/>
      </x:c>
      <x:c r="F286" s="104" t="str">
        <x:f t="array" ref="F286">IF(C286&lt;&gt;"",IF(F$7="SUMMER","N/A",_xlfn.IFS(F$10="AT",RECORD!GI288,F$10="LECTURE",GRADES!AP286,TRUE(),"")),"")</x:f>
      </x:c>
      <x:c r="G286" s="106" t="str">
        <x:f t="shared" si="93"/>
      </x:c>
      <x:c r="H286" s="107" t="str">
        <x:f t="array" ref="H286">IF(C286&lt;&gt;"",IF(F$7="SUMMER","N/A",_xlfn.IFS(H$10="EXAM",RECORD!GJ288,H$10="OUTPUT",RECORD!GK288,H$10="LAB",BP286,TRUE(),"")),"")</x:f>
      </x:c>
      <x:c r="I286" s="106" t="str">
        <x:f t="shared" si="94"/>
      </x:c>
      <x:c r="J286" s="108" t="str">
        <x:f t="shared" si="95"/>
      </x:c>
      <x:c r="K286" s="109" t="str">
        <x:f t="shared" si="96"/>
      </x:c>
      <x:c r="L286" s="110" t="str">
        <x:f t="array" ref="L286">IF(C286&lt;&gt;"",_xlfn.IFS(L$10="TLA",RECORD!GY288,N$10="LECTURE","",TRUE(),""),"")</x:f>
      </x:c>
      <x:c r="M286" s="105" t="str">
        <x:f t="shared" si="97"/>
      </x:c>
      <x:c r="N286" s="104" t="str">
        <x:f t="array" ref="N286">IF(C286&lt;&gt;"",_xlfn.IFS(N$10="AT",RECORD!GS288,N$10="LECTURE",AX286,TRUE(),""),"")</x:f>
      </x:c>
      <x:c r="O286" s="106" t="str">
        <x:f t="shared" si="98"/>
      </x:c>
      <x:c r="P286" s="107" t="str">
        <x:f t="array" ref="P286">IF(C286&lt;&gt;"",_xlfn.IFS(P$10="EXAM",RECORD!GT288,P$10="OUTPUT",RECORD!GU288,P$10="LAB",BX286,TRUE(),""),"")</x:f>
      </x:c>
      <x:c r="Q286" s="106" t="str">
        <x:f t="shared" si="99"/>
      </x:c>
      <x:c r="R286" s="108" t="str">
        <x:f t="shared" si="100"/>
      </x:c>
      <x:c r="S286" s="109" t="str">
        <x:f t="shared" si="101"/>
      </x:c>
      <x:c r="T286" s="110" t="str">
        <x:f t="array" ref="T286">IF(C286&lt;&gt;"",_xlfn.IFS(T$10="TLA",RECORD!HI288,V$10="LECTURE","",TRUE(),""),"")</x:f>
      </x:c>
      <x:c r="U286" s="105" t="str">
        <x:f t="shared" si="102"/>
      </x:c>
      <x:c r="V286" s="104" t="str">
        <x:f t="array" ref="V286">IF(C286&lt;&gt;"",_xlfn.IFS(V$10="AT",RECORD!HC288,V$10="LECTURE",BF286,TRUE(),""),"")</x:f>
      </x:c>
      <x:c r="W286" s="106" t="str">
        <x:f t="shared" si="103"/>
      </x:c>
      <x:c r="X286" s="107" t="str">
        <x:f t="array" ref="X286">IF(C286&lt;&gt;"",_xlfn.IFS(X$10="EXAM",RECORD!HD288,X$10="OUTPUT",RECORD!HE288,X$10="LAB",CF286,TRUE(),""),"")</x:f>
      </x:c>
      <x:c r="Y286" s="106" t="str">
        <x:f t="shared" si="104"/>
      </x:c>
      <x:c r="Z286" s="108" t="str">
        <x:f t="shared" si="105"/>
      </x:c>
      <x:c r="AA286" s="109" t="str">
        <x:f t="shared" si="106"/>
      </x:c>
      <x:c r="AB286" s="111" t="str">
        <x:f t="shared" si="107"/>
      </x:c>
      <x:c r="AC286" s="109" t="str">
        <x:f t="shared" si="108"/>
      </x:c>
      <x:c r="AQ286" s="109" t="str">
        <x:f t="shared" si="109"/>
        <x:v>FAILED</x:v>
      </x:c>
      <x:c r="AR286" s="115"/>
      <x:c r="AS286" s="115"/>
      <x:c r="AT286" s="107"/>
      <x:c r="AU286" s="107"/>
      <x:c r="AV286" s="107"/>
      <x:c r="AW286" s="107"/>
      <x:c r="AX286" s="107"/>
      <x:c r="AY286" s="109" t="str">
        <x:f t="shared" si="110"/>
        <x:v>FAILED</x:v>
      </x:c>
      <x:c r="AZ286" s="115"/>
      <x:c r="BA286" s="115"/>
      <x:c r="BB286" s="107"/>
      <x:c r="BC286" s="107"/>
      <x:c r="BD286" s="107"/>
      <x:c r="BE286" s="107"/>
      <x:c r="BF286" s="107"/>
      <x:c r="BG286" s="109" t="str">
        <x:f t="shared" si="111"/>
        <x:v>FAILED</x:v>
      </x:c>
      <x:c r="BQ286" s="109" t="str">
        <x:f t="shared" si="112"/>
        <x:v>FAILED</x:v>
      </x:c>
      <x:c r="BR286" s="115"/>
      <x:c r="BS286" s="115"/>
      <x:c r="BT286" s="107"/>
      <x:c r="BU286" s="107"/>
      <x:c r="BV286" s="107"/>
      <x:c r="BW286" s="107"/>
      <x:c r="BX286" s="107"/>
      <x:c r="BY286" s="109" t="str">
        <x:f t="shared" si="113"/>
        <x:v>FAILED</x:v>
      </x:c>
      <x:c r="BZ286" s="115"/>
      <x:c r="CA286" s="115"/>
      <x:c r="CB286" s="107"/>
      <x:c r="CC286" s="107"/>
      <x:c r="CD286" s="107"/>
      <x:c r="CE286" s="107"/>
      <x:c r="CF286" s="107"/>
      <x:c r="CG286" s="109" t="str">
        <x:f t="shared" si="114"/>
        <x:v>FAILED</x:v>
      </x:c>
    </x:row>
    <x:row r="287">
      <x:c r="A287" s="102" t="str">
        <x:f>IF(RECORD!A289="","",RECORD!A289)</x:f>
      </x:c>
      <x:c r="B287" s="102" t="str">
        <x:f>IF(RECORD!B289="","",RECORD!B289)</x:f>
      </x:c>
      <x:c r="C287" s="103" t="str">
        <x:f>IF(RECORD!C289="","",RECORD!C289)</x:f>
      </x:c>
      <x:c r="D287" s="104" t="str">
        <x:f t="array" ref="D287">IF(C287&lt;&gt;"",IF(F$7="SUMMER","N/A",_xlfn.IFS(D$10="TLA",RECORD!GO289,F$10="LECTURE","",TRUE(),"")),"")</x:f>
      </x:c>
      <x:c r="E287" s="105" t="str">
        <x:f t="shared" si="92"/>
      </x:c>
      <x:c r="F287" s="104" t="str">
        <x:f t="array" ref="F287">IF(C287&lt;&gt;"",IF(F$7="SUMMER","N/A",_xlfn.IFS(F$10="AT",RECORD!GI289,F$10="LECTURE",GRADES!AP287,TRUE(),"")),"")</x:f>
      </x:c>
      <x:c r="G287" s="106" t="str">
        <x:f t="shared" si="93"/>
      </x:c>
      <x:c r="H287" s="107" t="str">
        <x:f t="array" ref="H287">IF(C287&lt;&gt;"",IF(F$7="SUMMER","N/A",_xlfn.IFS(H$10="EXAM",RECORD!GJ289,H$10="OUTPUT",RECORD!GK289,H$10="LAB",BP287,TRUE(),"")),"")</x:f>
      </x:c>
      <x:c r="I287" s="106" t="str">
        <x:f t="shared" si="94"/>
      </x:c>
      <x:c r="J287" s="108" t="str">
        <x:f t="shared" si="95"/>
      </x:c>
      <x:c r="K287" s="109" t="str">
        <x:f t="shared" si="96"/>
      </x:c>
      <x:c r="L287" s="110" t="str">
        <x:f t="array" ref="L287">IF(C287&lt;&gt;"",_xlfn.IFS(L$10="TLA",RECORD!GY289,N$10="LECTURE","",TRUE(),""),"")</x:f>
      </x:c>
      <x:c r="M287" s="105" t="str">
        <x:f t="shared" si="97"/>
      </x:c>
      <x:c r="N287" s="104" t="str">
        <x:f t="array" ref="N287">IF(C287&lt;&gt;"",_xlfn.IFS(N$10="AT",RECORD!GS289,N$10="LECTURE",AX287,TRUE(),""),"")</x:f>
      </x:c>
      <x:c r="O287" s="106" t="str">
        <x:f t="shared" si="98"/>
      </x:c>
      <x:c r="P287" s="107" t="str">
        <x:f t="array" ref="P287">IF(C287&lt;&gt;"",_xlfn.IFS(P$10="EXAM",RECORD!GT289,P$10="OUTPUT",RECORD!GU289,P$10="LAB",BX287,TRUE(),""),"")</x:f>
      </x:c>
      <x:c r="Q287" s="106" t="str">
        <x:f t="shared" si="99"/>
      </x:c>
      <x:c r="R287" s="108" t="str">
        <x:f t="shared" si="100"/>
      </x:c>
      <x:c r="S287" s="109" t="str">
        <x:f t="shared" si="101"/>
      </x:c>
      <x:c r="T287" s="110" t="str">
        <x:f t="array" ref="T287">IF(C287&lt;&gt;"",_xlfn.IFS(T$10="TLA",RECORD!HI289,V$10="LECTURE","",TRUE(),""),"")</x:f>
      </x:c>
      <x:c r="U287" s="105" t="str">
        <x:f t="shared" si="102"/>
      </x:c>
      <x:c r="V287" s="104" t="str">
        <x:f t="array" ref="V287">IF(C287&lt;&gt;"",_xlfn.IFS(V$10="AT",RECORD!HC289,V$10="LECTURE",BF287,TRUE(),""),"")</x:f>
      </x:c>
      <x:c r="W287" s="106" t="str">
        <x:f t="shared" si="103"/>
      </x:c>
      <x:c r="X287" s="107" t="str">
        <x:f t="array" ref="X287">IF(C287&lt;&gt;"",_xlfn.IFS(X$10="EXAM",RECORD!HD289,X$10="OUTPUT",RECORD!HE289,X$10="LAB",CF287,TRUE(),""),"")</x:f>
      </x:c>
      <x:c r="Y287" s="106" t="str">
        <x:f t="shared" si="104"/>
      </x:c>
      <x:c r="Z287" s="108" t="str">
        <x:f t="shared" si="105"/>
      </x:c>
      <x:c r="AA287" s="109" t="str">
        <x:f t="shared" si="106"/>
      </x:c>
      <x:c r="AB287" s="111" t="str">
        <x:f t="shared" si="107"/>
      </x:c>
      <x:c r="AC287" s="109" t="str">
        <x:f t="shared" si="108"/>
      </x:c>
      <x:c r="AQ287" s="109" t="str">
        <x:f t="shared" si="109"/>
        <x:v>FAILED</x:v>
      </x:c>
      <x:c r="AR287" s="115"/>
      <x:c r="AS287" s="115"/>
      <x:c r="AT287" s="107"/>
      <x:c r="AU287" s="107"/>
      <x:c r="AV287" s="107"/>
      <x:c r="AW287" s="107"/>
      <x:c r="AX287" s="107"/>
      <x:c r="AY287" s="109" t="str">
        <x:f t="shared" si="110"/>
        <x:v>FAILED</x:v>
      </x:c>
      <x:c r="AZ287" s="115"/>
      <x:c r="BA287" s="115"/>
      <x:c r="BB287" s="107"/>
      <x:c r="BC287" s="107"/>
      <x:c r="BD287" s="107"/>
      <x:c r="BE287" s="107"/>
      <x:c r="BF287" s="107"/>
      <x:c r="BG287" s="109" t="str">
        <x:f t="shared" si="111"/>
        <x:v>FAILED</x:v>
      </x:c>
      <x:c r="BQ287" s="109" t="str">
        <x:f t="shared" si="112"/>
        <x:v>FAILED</x:v>
      </x:c>
      <x:c r="BR287" s="115"/>
      <x:c r="BS287" s="115"/>
      <x:c r="BT287" s="107"/>
      <x:c r="BU287" s="107"/>
      <x:c r="BV287" s="107"/>
      <x:c r="BW287" s="107"/>
      <x:c r="BX287" s="107"/>
      <x:c r="BY287" s="109" t="str">
        <x:f t="shared" si="113"/>
        <x:v>FAILED</x:v>
      </x:c>
      <x:c r="BZ287" s="115"/>
      <x:c r="CA287" s="115"/>
      <x:c r="CB287" s="107"/>
      <x:c r="CC287" s="107"/>
      <x:c r="CD287" s="107"/>
      <x:c r="CE287" s="107"/>
      <x:c r="CF287" s="107"/>
      <x:c r="CG287" s="109" t="str">
        <x:f t="shared" si="114"/>
        <x:v>FAILED</x:v>
      </x:c>
    </x:row>
    <x:row r="288">
      <x:c r="A288" s="102" t="str">
        <x:f>IF(RECORD!A290="","",RECORD!A290)</x:f>
      </x:c>
      <x:c r="B288" s="102" t="str">
        <x:f>IF(RECORD!B290="","",RECORD!B290)</x:f>
      </x:c>
      <x:c r="C288" s="103" t="str">
        <x:f>IF(RECORD!C290="","",RECORD!C290)</x:f>
      </x:c>
      <x:c r="D288" s="104" t="str">
        <x:f t="array" ref="D288">IF(C288&lt;&gt;"",IF(F$7="SUMMER","N/A",_xlfn.IFS(D$10="TLA",RECORD!GO290,F$10="LECTURE","",TRUE(),"")),"")</x:f>
      </x:c>
      <x:c r="E288" s="105" t="str">
        <x:f t="shared" si="92"/>
      </x:c>
      <x:c r="F288" s="104" t="str">
        <x:f t="array" ref="F288">IF(C288&lt;&gt;"",IF(F$7="SUMMER","N/A",_xlfn.IFS(F$10="AT",RECORD!GI290,F$10="LECTURE",GRADES!AP288,TRUE(),"")),"")</x:f>
      </x:c>
      <x:c r="G288" s="106" t="str">
        <x:f t="shared" si="93"/>
      </x:c>
      <x:c r="H288" s="107" t="str">
        <x:f t="array" ref="H288">IF(C288&lt;&gt;"",IF(F$7="SUMMER","N/A",_xlfn.IFS(H$10="EXAM",RECORD!GJ290,H$10="OUTPUT",RECORD!GK290,H$10="LAB",BP288,TRUE(),"")),"")</x:f>
      </x:c>
      <x:c r="I288" s="106" t="str">
        <x:f t="shared" si="94"/>
      </x:c>
      <x:c r="J288" s="108" t="str">
        <x:f t="shared" si="95"/>
      </x:c>
      <x:c r="K288" s="109" t="str">
        <x:f t="shared" si="96"/>
      </x:c>
      <x:c r="L288" s="110" t="str">
        <x:f t="array" ref="L288">IF(C288&lt;&gt;"",_xlfn.IFS(L$10="TLA",RECORD!GY290,N$10="LECTURE","",TRUE(),""),"")</x:f>
      </x:c>
      <x:c r="M288" s="105" t="str">
        <x:f t="shared" si="97"/>
      </x:c>
      <x:c r="N288" s="104" t="str">
        <x:f t="array" ref="N288">IF(C288&lt;&gt;"",_xlfn.IFS(N$10="AT",RECORD!GS290,N$10="LECTURE",AX288,TRUE(),""),"")</x:f>
      </x:c>
      <x:c r="O288" s="106" t="str">
        <x:f t="shared" si="98"/>
      </x:c>
      <x:c r="P288" s="107" t="str">
        <x:f t="array" ref="P288">IF(C288&lt;&gt;"",_xlfn.IFS(P$10="EXAM",RECORD!GT290,P$10="OUTPUT",RECORD!GU290,P$10="LAB",BX288,TRUE(),""),"")</x:f>
      </x:c>
      <x:c r="Q288" s="106" t="str">
        <x:f t="shared" si="99"/>
      </x:c>
      <x:c r="R288" s="108" t="str">
        <x:f t="shared" si="100"/>
      </x:c>
      <x:c r="S288" s="109" t="str">
        <x:f t="shared" si="101"/>
      </x:c>
      <x:c r="T288" s="110" t="str">
        <x:f t="array" ref="T288">IF(C288&lt;&gt;"",_xlfn.IFS(T$10="TLA",RECORD!HI290,V$10="LECTURE","",TRUE(),""),"")</x:f>
      </x:c>
      <x:c r="U288" s="105" t="str">
        <x:f t="shared" si="102"/>
      </x:c>
      <x:c r="V288" s="104" t="str">
        <x:f t="array" ref="V288">IF(C288&lt;&gt;"",_xlfn.IFS(V$10="AT",RECORD!HC290,V$10="LECTURE",BF288,TRUE(),""),"")</x:f>
      </x:c>
      <x:c r="W288" s="106" t="str">
        <x:f t="shared" si="103"/>
      </x:c>
      <x:c r="X288" s="107" t="str">
        <x:f t="array" ref="X288">IF(C288&lt;&gt;"",_xlfn.IFS(X$10="EXAM",RECORD!HD290,X$10="OUTPUT",RECORD!HE290,X$10="LAB",CF288,TRUE(),""),"")</x:f>
      </x:c>
      <x:c r="Y288" s="106" t="str">
        <x:f t="shared" si="104"/>
      </x:c>
      <x:c r="Z288" s="108" t="str">
        <x:f t="shared" si="105"/>
      </x:c>
      <x:c r="AA288" s="109" t="str">
        <x:f t="shared" si="106"/>
      </x:c>
      <x:c r="AB288" s="111" t="str">
        <x:f t="shared" si="107"/>
      </x:c>
      <x:c r="AC288" s="109" t="str">
        <x:f t="shared" si="108"/>
      </x:c>
      <x:c r="AQ288" s="109" t="str">
        <x:f t="shared" si="109"/>
        <x:v>FAILED</x:v>
      </x:c>
      <x:c r="AR288" s="115"/>
      <x:c r="AS288" s="115"/>
      <x:c r="AT288" s="107"/>
      <x:c r="AU288" s="107"/>
      <x:c r="AV288" s="107"/>
      <x:c r="AW288" s="107"/>
      <x:c r="AX288" s="107"/>
      <x:c r="AY288" s="109" t="str">
        <x:f t="shared" si="110"/>
        <x:v>FAILED</x:v>
      </x:c>
      <x:c r="AZ288" s="115"/>
      <x:c r="BA288" s="115"/>
      <x:c r="BB288" s="107"/>
      <x:c r="BC288" s="107"/>
      <x:c r="BD288" s="107"/>
      <x:c r="BE288" s="107"/>
      <x:c r="BF288" s="107"/>
      <x:c r="BG288" s="109" t="str">
        <x:f t="shared" si="111"/>
        <x:v>FAILED</x:v>
      </x:c>
      <x:c r="BQ288" s="109" t="str">
        <x:f t="shared" si="112"/>
        <x:v>FAILED</x:v>
      </x:c>
      <x:c r="BR288" s="115"/>
      <x:c r="BS288" s="115"/>
      <x:c r="BT288" s="107"/>
      <x:c r="BU288" s="107"/>
      <x:c r="BV288" s="107"/>
      <x:c r="BW288" s="107"/>
      <x:c r="BX288" s="107"/>
      <x:c r="BY288" s="109" t="str">
        <x:f t="shared" si="113"/>
        <x:v>FAILED</x:v>
      </x:c>
      <x:c r="BZ288" s="115"/>
      <x:c r="CA288" s="115"/>
      <x:c r="CB288" s="107"/>
      <x:c r="CC288" s="107"/>
      <x:c r="CD288" s="107"/>
      <x:c r="CE288" s="107"/>
      <x:c r="CF288" s="107"/>
      <x:c r="CG288" s="109" t="str">
        <x:f t="shared" si="114"/>
        <x:v>FAILED</x:v>
      </x:c>
    </x:row>
    <x:row r="289">
      <x:c r="A289" s="102" t="str">
        <x:f>IF(RECORD!A291="","",RECORD!A291)</x:f>
      </x:c>
      <x:c r="B289" s="102" t="str">
        <x:f>IF(RECORD!B291="","",RECORD!B291)</x:f>
      </x:c>
      <x:c r="C289" s="103" t="str">
        <x:f>IF(RECORD!C291="","",RECORD!C291)</x:f>
      </x:c>
      <x:c r="D289" s="104" t="str">
        <x:f t="array" ref="D289">IF(C289&lt;&gt;"",IF(F$7="SUMMER","N/A",_xlfn.IFS(D$10="TLA",RECORD!GO291,F$10="LECTURE","",TRUE(),"")),"")</x:f>
      </x:c>
      <x:c r="E289" s="105" t="str">
        <x:f t="shared" si="92"/>
      </x:c>
      <x:c r="F289" s="104" t="str">
        <x:f t="array" ref="F289">IF(C289&lt;&gt;"",IF(F$7="SUMMER","N/A",_xlfn.IFS(F$10="AT",RECORD!GI291,F$10="LECTURE",GRADES!AP289,TRUE(),"")),"")</x:f>
      </x:c>
      <x:c r="G289" s="106" t="str">
        <x:f t="shared" si="93"/>
      </x:c>
      <x:c r="H289" s="107" t="str">
        <x:f t="array" ref="H289">IF(C289&lt;&gt;"",IF(F$7="SUMMER","N/A",_xlfn.IFS(H$10="EXAM",RECORD!GJ291,H$10="OUTPUT",RECORD!GK291,H$10="LAB",BP289,TRUE(),"")),"")</x:f>
      </x:c>
      <x:c r="I289" s="106" t="str">
        <x:f t="shared" si="94"/>
      </x:c>
      <x:c r="J289" s="108" t="str">
        <x:f t="shared" si="95"/>
      </x:c>
      <x:c r="K289" s="109" t="str">
        <x:f t="shared" si="96"/>
      </x:c>
      <x:c r="L289" s="110" t="str">
        <x:f t="array" ref="L289">IF(C289&lt;&gt;"",_xlfn.IFS(L$10="TLA",RECORD!GY291,N$10="LECTURE","",TRUE(),""),"")</x:f>
      </x:c>
      <x:c r="M289" s="105" t="str">
        <x:f t="shared" si="97"/>
      </x:c>
      <x:c r="N289" s="104" t="str">
        <x:f t="array" ref="N289">IF(C289&lt;&gt;"",_xlfn.IFS(N$10="AT",RECORD!GS291,N$10="LECTURE",AX289,TRUE(),""),"")</x:f>
      </x:c>
      <x:c r="O289" s="106" t="str">
        <x:f t="shared" si="98"/>
      </x:c>
      <x:c r="P289" s="107" t="str">
        <x:f t="array" ref="P289">IF(C289&lt;&gt;"",_xlfn.IFS(P$10="EXAM",RECORD!GT291,P$10="OUTPUT",RECORD!GU291,P$10="LAB",BX289,TRUE(),""),"")</x:f>
      </x:c>
      <x:c r="Q289" s="106" t="str">
        <x:f t="shared" si="99"/>
      </x:c>
      <x:c r="R289" s="108" t="str">
        <x:f t="shared" si="100"/>
      </x:c>
      <x:c r="S289" s="109" t="str">
        <x:f t="shared" si="101"/>
      </x:c>
      <x:c r="T289" s="110" t="str">
        <x:f t="array" ref="T289">IF(C289&lt;&gt;"",_xlfn.IFS(T$10="TLA",RECORD!HI291,V$10="LECTURE","",TRUE(),""),"")</x:f>
      </x:c>
      <x:c r="U289" s="105" t="str">
        <x:f t="shared" si="102"/>
      </x:c>
      <x:c r="V289" s="104" t="str">
        <x:f t="array" ref="V289">IF(C289&lt;&gt;"",_xlfn.IFS(V$10="AT",RECORD!HC291,V$10="LECTURE",BF289,TRUE(),""),"")</x:f>
      </x:c>
      <x:c r="W289" s="106" t="str">
        <x:f t="shared" si="103"/>
      </x:c>
      <x:c r="X289" s="107" t="str">
        <x:f t="array" ref="X289">IF(C289&lt;&gt;"",_xlfn.IFS(X$10="EXAM",RECORD!HD291,X$10="OUTPUT",RECORD!HE291,X$10="LAB",CF289,TRUE(),""),"")</x:f>
      </x:c>
      <x:c r="Y289" s="106" t="str">
        <x:f t="shared" si="104"/>
      </x:c>
      <x:c r="Z289" s="108" t="str">
        <x:f t="shared" si="105"/>
      </x:c>
      <x:c r="AA289" s="109" t="str">
        <x:f t="shared" si="106"/>
      </x:c>
      <x:c r="AB289" s="111" t="str">
        <x:f t="shared" si="107"/>
      </x:c>
      <x:c r="AC289" s="109" t="str">
        <x:f t="shared" si="108"/>
      </x:c>
      <x:c r="AQ289" s="109" t="str">
        <x:f t="shared" si="109"/>
        <x:v>FAILED</x:v>
      </x:c>
      <x:c r="AR289" s="115"/>
      <x:c r="AS289" s="115"/>
      <x:c r="AT289" s="107"/>
      <x:c r="AU289" s="107"/>
      <x:c r="AV289" s="107"/>
      <x:c r="AW289" s="107"/>
      <x:c r="AX289" s="107"/>
      <x:c r="AY289" s="109" t="str">
        <x:f t="shared" si="110"/>
        <x:v>FAILED</x:v>
      </x:c>
      <x:c r="AZ289" s="115"/>
      <x:c r="BA289" s="115"/>
      <x:c r="BB289" s="107"/>
      <x:c r="BC289" s="107"/>
      <x:c r="BD289" s="107"/>
      <x:c r="BE289" s="107"/>
      <x:c r="BF289" s="107"/>
      <x:c r="BG289" s="109" t="str">
        <x:f t="shared" si="111"/>
        <x:v>FAILED</x:v>
      </x:c>
      <x:c r="BQ289" s="109" t="str">
        <x:f t="shared" si="112"/>
        <x:v>FAILED</x:v>
      </x:c>
      <x:c r="BR289" s="115"/>
      <x:c r="BS289" s="115"/>
      <x:c r="BT289" s="107"/>
      <x:c r="BU289" s="107"/>
      <x:c r="BV289" s="107"/>
      <x:c r="BW289" s="107"/>
      <x:c r="BX289" s="107"/>
      <x:c r="BY289" s="109" t="str">
        <x:f t="shared" si="113"/>
        <x:v>FAILED</x:v>
      </x:c>
      <x:c r="BZ289" s="115"/>
      <x:c r="CA289" s="115"/>
      <x:c r="CB289" s="107"/>
      <x:c r="CC289" s="107"/>
      <x:c r="CD289" s="107"/>
      <x:c r="CE289" s="107"/>
      <x:c r="CF289" s="107"/>
      <x:c r="CG289" s="109" t="str">
        <x:f t="shared" si="114"/>
        <x:v>FAILED</x:v>
      </x:c>
    </x:row>
    <x:row r="290">
      <x:c r="A290" s="102" t="str">
        <x:f>IF(RECORD!A292="","",RECORD!A292)</x:f>
      </x:c>
      <x:c r="B290" s="102" t="str">
        <x:f>IF(RECORD!B292="","",RECORD!B292)</x:f>
      </x:c>
      <x:c r="C290" s="103" t="str">
        <x:f>IF(RECORD!C292="","",RECORD!C292)</x:f>
      </x:c>
      <x:c r="D290" s="104" t="str">
        <x:f t="array" ref="D290">IF(C290&lt;&gt;"",IF(F$7="SUMMER","N/A",_xlfn.IFS(D$10="TLA",RECORD!GO292,F$10="LECTURE","",TRUE(),"")),"")</x:f>
      </x:c>
      <x:c r="E290" s="105" t="str">
        <x:f t="shared" si="92"/>
      </x:c>
      <x:c r="F290" s="104" t="str">
        <x:f t="array" ref="F290">IF(C290&lt;&gt;"",IF(F$7="SUMMER","N/A",_xlfn.IFS(F$10="AT",RECORD!GI292,F$10="LECTURE",GRADES!AP290,TRUE(),"")),"")</x:f>
      </x:c>
      <x:c r="G290" s="106" t="str">
        <x:f t="shared" si="93"/>
      </x:c>
      <x:c r="H290" s="107" t="str">
        <x:f t="array" ref="H290">IF(C290&lt;&gt;"",IF(F$7="SUMMER","N/A",_xlfn.IFS(H$10="EXAM",RECORD!GJ292,H$10="OUTPUT",RECORD!GK292,H$10="LAB",BP290,TRUE(),"")),"")</x:f>
      </x:c>
      <x:c r="I290" s="106" t="str">
        <x:f t="shared" si="94"/>
      </x:c>
      <x:c r="J290" s="108" t="str">
        <x:f t="shared" si="95"/>
      </x:c>
      <x:c r="K290" s="109" t="str">
        <x:f t="shared" si="96"/>
      </x:c>
      <x:c r="L290" s="110" t="str">
        <x:f t="array" ref="L290">IF(C290&lt;&gt;"",_xlfn.IFS(L$10="TLA",RECORD!GY292,N$10="LECTURE","",TRUE(),""),"")</x:f>
      </x:c>
      <x:c r="M290" s="105" t="str">
        <x:f t="shared" si="97"/>
      </x:c>
      <x:c r="N290" s="104" t="str">
        <x:f t="array" ref="N290">IF(C290&lt;&gt;"",_xlfn.IFS(N$10="AT",RECORD!GS292,N$10="LECTURE",AX290,TRUE(),""),"")</x:f>
      </x:c>
      <x:c r="O290" s="106" t="str">
        <x:f t="shared" si="98"/>
      </x:c>
      <x:c r="P290" s="107" t="str">
        <x:f t="array" ref="P290">IF(C290&lt;&gt;"",_xlfn.IFS(P$10="EXAM",RECORD!GT292,P$10="OUTPUT",RECORD!GU292,P$10="LAB",BX290,TRUE(),""),"")</x:f>
      </x:c>
      <x:c r="Q290" s="106" t="str">
        <x:f t="shared" si="99"/>
      </x:c>
      <x:c r="R290" s="108" t="str">
        <x:f t="shared" si="100"/>
      </x:c>
      <x:c r="S290" s="109" t="str">
        <x:f t="shared" si="101"/>
      </x:c>
      <x:c r="T290" s="110" t="str">
        <x:f t="array" ref="T290">IF(C290&lt;&gt;"",_xlfn.IFS(T$10="TLA",RECORD!HI292,V$10="LECTURE","",TRUE(),""),"")</x:f>
      </x:c>
      <x:c r="U290" s="105" t="str">
        <x:f t="shared" si="102"/>
      </x:c>
      <x:c r="V290" s="104" t="str">
        <x:f t="array" ref="V290">IF(C290&lt;&gt;"",_xlfn.IFS(V$10="AT",RECORD!HC292,V$10="LECTURE",BF290,TRUE(),""),"")</x:f>
      </x:c>
      <x:c r="W290" s="106" t="str">
        <x:f t="shared" si="103"/>
      </x:c>
      <x:c r="X290" s="107" t="str">
        <x:f t="array" ref="X290">IF(C290&lt;&gt;"",_xlfn.IFS(X$10="EXAM",RECORD!HD292,X$10="OUTPUT",RECORD!HE292,X$10="LAB",CF290,TRUE(),""),"")</x:f>
      </x:c>
      <x:c r="Y290" s="106" t="str">
        <x:f t="shared" si="104"/>
      </x:c>
      <x:c r="Z290" s="108" t="str">
        <x:f t="shared" si="105"/>
      </x:c>
      <x:c r="AA290" s="109" t="str">
        <x:f t="shared" si="106"/>
      </x:c>
      <x:c r="AB290" s="111" t="str">
        <x:f t="shared" si="107"/>
      </x:c>
      <x:c r="AC290" s="109" t="str">
        <x:f t="shared" si="108"/>
      </x:c>
      <x:c r="AQ290" s="109" t="str">
        <x:f t="shared" si="109"/>
        <x:v>FAILED</x:v>
      </x:c>
      <x:c r="AR290" s="115"/>
      <x:c r="AS290" s="115"/>
      <x:c r="AT290" s="107"/>
      <x:c r="AU290" s="107"/>
      <x:c r="AV290" s="107"/>
      <x:c r="AW290" s="107"/>
      <x:c r="AX290" s="107"/>
      <x:c r="AY290" s="109" t="str">
        <x:f t="shared" si="110"/>
        <x:v>FAILED</x:v>
      </x:c>
      <x:c r="AZ290" s="115"/>
      <x:c r="BA290" s="115"/>
      <x:c r="BB290" s="107"/>
      <x:c r="BC290" s="107"/>
      <x:c r="BD290" s="107"/>
      <x:c r="BE290" s="107"/>
      <x:c r="BF290" s="107"/>
      <x:c r="BG290" s="109" t="str">
        <x:f t="shared" si="111"/>
        <x:v>FAILED</x:v>
      </x:c>
      <x:c r="BQ290" s="109" t="str">
        <x:f t="shared" si="112"/>
        <x:v>FAILED</x:v>
      </x:c>
      <x:c r="BR290" s="115"/>
      <x:c r="BS290" s="115"/>
      <x:c r="BT290" s="107"/>
      <x:c r="BU290" s="107"/>
      <x:c r="BV290" s="107"/>
      <x:c r="BW290" s="107"/>
      <x:c r="BX290" s="107"/>
      <x:c r="BY290" s="109" t="str">
        <x:f t="shared" si="113"/>
        <x:v>FAILED</x:v>
      </x:c>
      <x:c r="BZ290" s="115"/>
      <x:c r="CA290" s="115"/>
      <x:c r="CB290" s="107"/>
      <x:c r="CC290" s="107"/>
      <x:c r="CD290" s="107"/>
      <x:c r="CE290" s="107"/>
      <x:c r="CF290" s="107"/>
      <x:c r="CG290" s="109" t="str">
        <x:f t="shared" si="114"/>
        <x:v>FAILED</x:v>
      </x:c>
    </x:row>
    <x:row r="291">
      <x:c r="A291" s="102" t="str">
        <x:f>IF(RECORD!A293="","",RECORD!A293)</x:f>
      </x:c>
      <x:c r="B291" s="102" t="str">
        <x:f>IF(RECORD!B293="","",RECORD!B293)</x:f>
      </x:c>
      <x:c r="C291" s="103" t="str">
        <x:f>IF(RECORD!C293="","",RECORD!C293)</x:f>
      </x:c>
      <x:c r="D291" s="104" t="str">
        <x:f t="array" ref="D291">IF(C291&lt;&gt;"",IF(F$7="SUMMER","N/A",_xlfn.IFS(D$10="TLA",RECORD!GO293,F$10="LECTURE","",TRUE(),"")),"")</x:f>
      </x:c>
      <x:c r="E291" s="105" t="str">
        <x:f t="shared" si="92"/>
      </x:c>
      <x:c r="F291" s="104" t="str">
        <x:f t="array" ref="F291">IF(C291&lt;&gt;"",IF(F$7="SUMMER","N/A",_xlfn.IFS(F$10="AT",RECORD!GI293,F$10="LECTURE",GRADES!AP291,TRUE(),"")),"")</x:f>
      </x:c>
      <x:c r="G291" s="106" t="str">
        <x:f t="shared" si="93"/>
      </x:c>
      <x:c r="H291" s="107" t="str">
        <x:f t="array" ref="H291">IF(C291&lt;&gt;"",IF(F$7="SUMMER","N/A",_xlfn.IFS(H$10="EXAM",RECORD!GJ293,H$10="OUTPUT",RECORD!GK293,H$10="LAB",BP291,TRUE(),"")),"")</x:f>
      </x:c>
      <x:c r="I291" s="106" t="str">
        <x:f t="shared" si="94"/>
      </x:c>
      <x:c r="J291" s="108" t="str">
        <x:f t="shared" si="95"/>
      </x:c>
      <x:c r="K291" s="109" t="str">
        <x:f t="shared" si="96"/>
      </x:c>
      <x:c r="L291" s="110" t="str">
        <x:f t="array" ref="L291">IF(C291&lt;&gt;"",_xlfn.IFS(L$10="TLA",RECORD!GY293,N$10="LECTURE","",TRUE(),""),"")</x:f>
      </x:c>
      <x:c r="M291" s="105" t="str">
        <x:f t="shared" si="97"/>
      </x:c>
      <x:c r="N291" s="104" t="str">
        <x:f t="array" ref="N291">IF(C291&lt;&gt;"",_xlfn.IFS(N$10="AT",RECORD!GS293,N$10="LECTURE",AX291,TRUE(),""),"")</x:f>
      </x:c>
      <x:c r="O291" s="106" t="str">
        <x:f t="shared" si="98"/>
      </x:c>
      <x:c r="P291" s="107" t="str">
        <x:f t="array" ref="P291">IF(C291&lt;&gt;"",_xlfn.IFS(P$10="EXAM",RECORD!GT293,P$10="OUTPUT",RECORD!GU293,P$10="LAB",BX291,TRUE(),""),"")</x:f>
      </x:c>
      <x:c r="Q291" s="106" t="str">
        <x:f t="shared" si="99"/>
      </x:c>
      <x:c r="R291" s="108" t="str">
        <x:f t="shared" si="100"/>
      </x:c>
      <x:c r="S291" s="109" t="str">
        <x:f t="shared" si="101"/>
      </x:c>
      <x:c r="T291" s="110" t="str">
        <x:f t="array" ref="T291">IF(C291&lt;&gt;"",_xlfn.IFS(T$10="TLA",RECORD!HI293,V$10="LECTURE","",TRUE(),""),"")</x:f>
      </x:c>
      <x:c r="U291" s="105" t="str">
        <x:f t="shared" si="102"/>
      </x:c>
      <x:c r="V291" s="104" t="str">
        <x:f t="array" ref="V291">IF(C291&lt;&gt;"",_xlfn.IFS(V$10="AT",RECORD!HC293,V$10="LECTURE",BF291,TRUE(),""),"")</x:f>
      </x:c>
      <x:c r="W291" s="106" t="str">
        <x:f t="shared" si="103"/>
      </x:c>
      <x:c r="X291" s="107" t="str">
        <x:f t="array" ref="X291">IF(C291&lt;&gt;"",_xlfn.IFS(X$10="EXAM",RECORD!HD293,X$10="OUTPUT",RECORD!HE293,X$10="LAB",CF291,TRUE(),""),"")</x:f>
      </x:c>
      <x:c r="Y291" s="106" t="str">
        <x:f t="shared" si="104"/>
      </x:c>
      <x:c r="Z291" s="108" t="str">
        <x:f t="shared" si="105"/>
      </x:c>
      <x:c r="AA291" s="109" t="str">
        <x:f t="shared" si="106"/>
      </x:c>
      <x:c r="AB291" s="111" t="str">
        <x:f t="shared" si="107"/>
      </x:c>
      <x:c r="AC291" s="109" t="str">
        <x:f t="shared" si="108"/>
      </x:c>
      <x:c r="AQ291" s="109" t="str">
        <x:f t="shared" si="109"/>
        <x:v>FAILED</x:v>
      </x:c>
      <x:c r="AR291" s="115"/>
      <x:c r="AS291" s="115"/>
      <x:c r="AT291" s="107"/>
      <x:c r="AU291" s="107"/>
      <x:c r="AV291" s="107"/>
      <x:c r="AW291" s="107"/>
      <x:c r="AX291" s="107"/>
      <x:c r="AY291" s="109" t="str">
        <x:f t="shared" si="110"/>
        <x:v>FAILED</x:v>
      </x:c>
      <x:c r="AZ291" s="115"/>
      <x:c r="BA291" s="115"/>
      <x:c r="BB291" s="107"/>
      <x:c r="BC291" s="107"/>
      <x:c r="BD291" s="107"/>
      <x:c r="BE291" s="107"/>
      <x:c r="BF291" s="107"/>
      <x:c r="BG291" s="109" t="str">
        <x:f t="shared" si="111"/>
        <x:v>FAILED</x:v>
      </x:c>
      <x:c r="BQ291" s="109" t="str">
        <x:f t="shared" si="112"/>
        <x:v>FAILED</x:v>
      </x:c>
      <x:c r="BR291" s="115"/>
      <x:c r="BS291" s="115"/>
      <x:c r="BT291" s="107"/>
      <x:c r="BU291" s="107"/>
      <x:c r="BV291" s="107"/>
      <x:c r="BW291" s="107"/>
      <x:c r="BX291" s="107"/>
      <x:c r="BY291" s="109" t="str">
        <x:f t="shared" si="113"/>
        <x:v>FAILED</x:v>
      </x:c>
      <x:c r="BZ291" s="115"/>
      <x:c r="CA291" s="115"/>
      <x:c r="CB291" s="107"/>
      <x:c r="CC291" s="107"/>
      <x:c r="CD291" s="107"/>
      <x:c r="CE291" s="107"/>
      <x:c r="CF291" s="107"/>
      <x:c r="CG291" s="109" t="str">
        <x:f t="shared" si="114"/>
        <x:v>FAILED</x:v>
      </x:c>
    </x:row>
    <x:row r="292">
      <x:c r="A292" s="102" t="str">
        <x:f>IF(RECORD!A294="","",RECORD!A294)</x:f>
      </x:c>
      <x:c r="B292" s="102" t="str">
        <x:f>IF(RECORD!B294="","",RECORD!B294)</x:f>
      </x:c>
      <x:c r="C292" s="103" t="str">
        <x:f>IF(RECORD!C294="","",RECORD!C294)</x:f>
      </x:c>
      <x:c r="D292" s="104" t="str">
        <x:f t="array" ref="D292">IF(C292&lt;&gt;"",IF(F$7="SUMMER","N/A",_xlfn.IFS(D$10="TLA",RECORD!GO294,F$10="LECTURE","",TRUE(),"")),"")</x:f>
      </x:c>
      <x:c r="E292" s="105" t="str">
        <x:f t="shared" si="92"/>
      </x:c>
      <x:c r="F292" s="104" t="str">
        <x:f t="array" ref="F292">IF(C292&lt;&gt;"",IF(F$7="SUMMER","N/A",_xlfn.IFS(F$10="AT",RECORD!GI294,F$10="LECTURE",GRADES!AP292,TRUE(),"")),"")</x:f>
      </x:c>
      <x:c r="G292" s="106" t="str">
        <x:f t="shared" si="93"/>
      </x:c>
      <x:c r="H292" s="107" t="str">
        <x:f t="array" ref="H292">IF(C292&lt;&gt;"",IF(F$7="SUMMER","N/A",_xlfn.IFS(H$10="EXAM",RECORD!GJ294,H$10="OUTPUT",RECORD!GK294,H$10="LAB",BP292,TRUE(),"")),"")</x:f>
      </x:c>
      <x:c r="I292" s="106" t="str">
        <x:f t="shared" si="94"/>
      </x:c>
      <x:c r="J292" s="108" t="str">
        <x:f t="shared" si="95"/>
      </x:c>
      <x:c r="K292" s="109" t="str">
        <x:f t="shared" si="96"/>
      </x:c>
      <x:c r="L292" s="110" t="str">
        <x:f t="array" ref="L292">IF(C292&lt;&gt;"",_xlfn.IFS(L$10="TLA",RECORD!GY294,N$10="LECTURE","",TRUE(),""),"")</x:f>
      </x:c>
      <x:c r="M292" s="105" t="str">
        <x:f t="shared" si="97"/>
      </x:c>
      <x:c r="N292" s="104" t="str">
        <x:f t="array" ref="N292">IF(C292&lt;&gt;"",_xlfn.IFS(N$10="AT",RECORD!GS294,N$10="LECTURE",AX292,TRUE(),""),"")</x:f>
      </x:c>
      <x:c r="O292" s="106" t="str">
        <x:f t="shared" si="98"/>
      </x:c>
      <x:c r="P292" s="107" t="str">
        <x:f t="array" ref="P292">IF(C292&lt;&gt;"",_xlfn.IFS(P$10="EXAM",RECORD!GT294,P$10="OUTPUT",RECORD!GU294,P$10="LAB",BX292,TRUE(),""),"")</x:f>
      </x:c>
      <x:c r="Q292" s="106" t="str">
        <x:f t="shared" si="99"/>
      </x:c>
      <x:c r="R292" s="108" t="str">
        <x:f t="shared" si="100"/>
      </x:c>
      <x:c r="S292" s="109" t="str">
        <x:f t="shared" si="101"/>
      </x:c>
      <x:c r="T292" s="110" t="str">
        <x:f t="array" ref="T292">IF(C292&lt;&gt;"",_xlfn.IFS(T$10="TLA",RECORD!HI294,V$10="LECTURE","",TRUE(),""),"")</x:f>
      </x:c>
      <x:c r="U292" s="105" t="str">
        <x:f t="shared" si="102"/>
      </x:c>
      <x:c r="V292" s="104" t="str">
        <x:f t="array" ref="V292">IF(C292&lt;&gt;"",_xlfn.IFS(V$10="AT",RECORD!HC294,V$10="LECTURE",BF292,TRUE(),""),"")</x:f>
      </x:c>
      <x:c r="W292" s="106" t="str">
        <x:f t="shared" si="103"/>
      </x:c>
      <x:c r="X292" s="107" t="str">
        <x:f t="array" ref="X292">IF(C292&lt;&gt;"",_xlfn.IFS(X$10="EXAM",RECORD!HD294,X$10="OUTPUT",RECORD!HE294,X$10="LAB",CF292,TRUE(),""),"")</x:f>
      </x:c>
      <x:c r="Y292" s="106" t="str">
        <x:f t="shared" si="104"/>
      </x:c>
      <x:c r="Z292" s="108" t="str">
        <x:f t="shared" si="105"/>
      </x:c>
      <x:c r="AA292" s="109" t="str">
        <x:f t="shared" si="106"/>
      </x:c>
      <x:c r="AB292" s="111" t="str">
        <x:f t="shared" si="107"/>
      </x:c>
      <x:c r="AC292" s="109" t="str">
        <x:f t="shared" si="108"/>
      </x:c>
      <x:c r="AQ292" s="109" t="str">
        <x:f t="shared" si="109"/>
        <x:v>FAILED</x:v>
      </x:c>
      <x:c r="AR292" s="115"/>
      <x:c r="AS292" s="115"/>
      <x:c r="AT292" s="107"/>
      <x:c r="AU292" s="107"/>
      <x:c r="AV292" s="107"/>
      <x:c r="AW292" s="107"/>
      <x:c r="AX292" s="107"/>
      <x:c r="AY292" s="109" t="str">
        <x:f t="shared" si="110"/>
        <x:v>FAILED</x:v>
      </x:c>
      <x:c r="AZ292" s="115"/>
      <x:c r="BA292" s="115"/>
      <x:c r="BB292" s="107"/>
      <x:c r="BC292" s="107"/>
      <x:c r="BD292" s="107"/>
      <x:c r="BE292" s="107"/>
      <x:c r="BF292" s="107"/>
      <x:c r="BG292" s="109" t="str">
        <x:f t="shared" si="111"/>
        <x:v>FAILED</x:v>
      </x:c>
      <x:c r="BQ292" s="109" t="str">
        <x:f t="shared" si="112"/>
        <x:v>FAILED</x:v>
      </x:c>
      <x:c r="BR292" s="115"/>
      <x:c r="BS292" s="115"/>
      <x:c r="BT292" s="107"/>
      <x:c r="BU292" s="107"/>
      <x:c r="BV292" s="107"/>
      <x:c r="BW292" s="107"/>
      <x:c r="BX292" s="107"/>
      <x:c r="BY292" s="109" t="str">
        <x:f t="shared" si="113"/>
        <x:v>FAILED</x:v>
      </x:c>
      <x:c r="BZ292" s="115"/>
      <x:c r="CA292" s="115"/>
      <x:c r="CB292" s="107"/>
      <x:c r="CC292" s="107"/>
      <x:c r="CD292" s="107"/>
      <x:c r="CE292" s="107"/>
      <x:c r="CF292" s="107"/>
      <x:c r="CG292" s="109" t="str">
        <x:f t="shared" si="114"/>
        <x:v>FAILED</x:v>
      </x:c>
    </x:row>
    <x:row r="293">
      <x:c r="A293" s="102" t="str">
        <x:f>IF(RECORD!A295="","",RECORD!A295)</x:f>
      </x:c>
      <x:c r="B293" s="102" t="str">
        <x:f>IF(RECORD!B295="","",RECORD!B295)</x:f>
      </x:c>
      <x:c r="C293" s="103" t="str">
        <x:f>IF(RECORD!C295="","",RECORD!C295)</x:f>
      </x:c>
      <x:c r="D293" s="104" t="str">
        <x:f t="array" ref="D293">IF(C293&lt;&gt;"",IF(F$7="SUMMER","N/A",_xlfn.IFS(D$10="TLA",RECORD!GO295,F$10="LECTURE","",TRUE(),"")),"")</x:f>
      </x:c>
      <x:c r="E293" s="105" t="str">
        <x:f t="shared" si="92"/>
      </x:c>
      <x:c r="F293" s="104" t="str">
        <x:f t="array" ref="F293">IF(C293&lt;&gt;"",IF(F$7="SUMMER","N/A",_xlfn.IFS(F$10="AT",RECORD!GI295,F$10="LECTURE",GRADES!AP293,TRUE(),"")),"")</x:f>
      </x:c>
      <x:c r="G293" s="106" t="str">
        <x:f t="shared" si="93"/>
      </x:c>
      <x:c r="H293" s="107" t="str">
        <x:f t="array" ref="H293">IF(C293&lt;&gt;"",IF(F$7="SUMMER","N/A",_xlfn.IFS(H$10="EXAM",RECORD!GJ295,H$10="OUTPUT",RECORD!GK295,H$10="LAB",BP293,TRUE(),"")),"")</x:f>
      </x:c>
      <x:c r="I293" s="106" t="str">
        <x:f t="shared" si="94"/>
      </x:c>
      <x:c r="J293" s="108" t="str">
        <x:f t="shared" si="95"/>
      </x:c>
      <x:c r="K293" s="109" t="str">
        <x:f t="shared" si="96"/>
      </x:c>
      <x:c r="L293" s="110" t="str">
        <x:f t="array" ref="L293">IF(C293&lt;&gt;"",_xlfn.IFS(L$10="TLA",RECORD!GY295,N$10="LECTURE","",TRUE(),""),"")</x:f>
      </x:c>
      <x:c r="M293" s="105" t="str">
        <x:f t="shared" si="97"/>
      </x:c>
      <x:c r="N293" s="104" t="str">
        <x:f t="array" ref="N293">IF(C293&lt;&gt;"",_xlfn.IFS(N$10="AT",RECORD!GS295,N$10="LECTURE",AX293,TRUE(),""),"")</x:f>
      </x:c>
      <x:c r="O293" s="106" t="str">
        <x:f t="shared" si="98"/>
      </x:c>
      <x:c r="P293" s="107" t="str">
        <x:f t="array" ref="P293">IF(C293&lt;&gt;"",_xlfn.IFS(P$10="EXAM",RECORD!GT295,P$10="OUTPUT",RECORD!GU295,P$10="LAB",BX293,TRUE(),""),"")</x:f>
      </x:c>
      <x:c r="Q293" s="106" t="str">
        <x:f t="shared" si="99"/>
      </x:c>
      <x:c r="R293" s="108" t="str">
        <x:f t="shared" si="100"/>
      </x:c>
      <x:c r="S293" s="109" t="str">
        <x:f t="shared" si="101"/>
      </x:c>
      <x:c r="T293" s="110" t="str">
        <x:f t="array" ref="T293">IF(C293&lt;&gt;"",_xlfn.IFS(T$10="TLA",RECORD!HI295,V$10="LECTURE","",TRUE(),""),"")</x:f>
      </x:c>
      <x:c r="U293" s="105" t="str">
        <x:f t="shared" si="102"/>
      </x:c>
      <x:c r="V293" s="104" t="str">
        <x:f t="array" ref="V293">IF(C293&lt;&gt;"",_xlfn.IFS(V$10="AT",RECORD!HC295,V$10="LECTURE",BF293,TRUE(),""),"")</x:f>
      </x:c>
      <x:c r="W293" s="106" t="str">
        <x:f t="shared" si="103"/>
      </x:c>
      <x:c r="X293" s="107" t="str">
        <x:f t="array" ref="X293">IF(C293&lt;&gt;"",_xlfn.IFS(X$10="EXAM",RECORD!HD295,X$10="OUTPUT",RECORD!HE295,X$10="LAB",CF293,TRUE(),""),"")</x:f>
      </x:c>
      <x:c r="Y293" s="106" t="str">
        <x:f t="shared" si="104"/>
      </x:c>
      <x:c r="Z293" s="108" t="str">
        <x:f t="shared" si="105"/>
      </x:c>
      <x:c r="AA293" s="109" t="str">
        <x:f t="shared" si="106"/>
      </x:c>
      <x:c r="AB293" s="111" t="str">
        <x:f t="shared" si="107"/>
      </x:c>
      <x:c r="AC293" s="109" t="str">
        <x:f t="shared" si="108"/>
      </x:c>
      <x:c r="AQ293" s="109" t="str">
        <x:f t="shared" si="109"/>
        <x:v>FAILED</x:v>
      </x:c>
      <x:c r="AR293" s="115"/>
      <x:c r="AS293" s="115"/>
      <x:c r="AT293" s="107"/>
      <x:c r="AU293" s="107"/>
      <x:c r="AV293" s="107"/>
      <x:c r="AW293" s="107"/>
      <x:c r="AX293" s="107"/>
      <x:c r="AY293" s="109" t="str">
        <x:f t="shared" si="110"/>
        <x:v>FAILED</x:v>
      </x:c>
      <x:c r="AZ293" s="115"/>
      <x:c r="BA293" s="115"/>
      <x:c r="BB293" s="107"/>
      <x:c r="BC293" s="107"/>
      <x:c r="BD293" s="107"/>
      <x:c r="BE293" s="107"/>
      <x:c r="BF293" s="107"/>
      <x:c r="BG293" s="109" t="str">
        <x:f t="shared" si="111"/>
        <x:v>FAILED</x:v>
      </x:c>
      <x:c r="BQ293" s="109" t="str">
        <x:f t="shared" si="112"/>
        <x:v>FAILED</x:v>
      </x:c>
      <x:c r="BR293" s="115"/>
      <x:c r="BS293" s="115"/>
      <x:c r="BT293" s="107"/>
      <x:c r="BU293" s="107"/>
      <x:c r="BV293" s="107"/>
      <x:c r="BW293" s="107"/>
      <x:c r="BX293" s="107"/>
      <x:c r="BY293" s="109" t="str">
        <x:f t="shared" si="113"/>
        <x:v>FAILED</x:v>
      </x:c>
      <x:c r="BZ293" s="115"/>
      <x:c r="CA293" s="115"/>
      <x:c r="CB293" s="107"/>
      <x:c r="CC293" s="107"/>
      <x:c r="CD293" s="107"/>
      <x:c r="CE293" s="107"/>
      <x:c r="CF293" s="107"/>
      <x:c r="CG293" s="109" t="str">
        <x:f t="shared" si="114"/>
        <x:v>FAILED</x:v>
      </x:c>
    </x:row>
    <x:row r="294">
      <x:c r="A294" s="102" t="str">
        <x:f>IF(RECORD!A296="","",RECORD!A296)</x:f>
      </x:c>
      <x:c r="B294" s="102" t="str">
        <x:f>IF(RECORD!B296="","",RECORD!B296)</x:f>
      </x:c>
      <x:c r="C294" s="103" t="str">
        <x:f>IF(RECORD!C296="","",RECORD!C296)</x:f>
      </x:c>
      <x:c r="D294" s="104" t="str">
        <x:f t="array" ref="D294">IF(C294&lt;&gt;"",IF(F$7="SUMMER","N/A",_xlfn.IFS(D$10="TLA",RECORD!GO296,F$10="LECTURE","",TRUE(),"")),"")</x:f>
      </x:c>
      <x:c r="E294" s="105" t="str">
        <x:f t="shared" si="92"/>
      </x:c>
      <x:c r="F294" s="104" t="str">
        <x:f t="array" ref="F294">IF(C294&lt;&gt;"",IF(F$7="SUMMER","N/A",_xlfn.IFS(F$10="AT",RECORD!GI296,F$10="LECTURE",GRADES!AP294,TRUE(),"")),"")</x:f>
      </x:c>
      <x:c r="G294" s="106" t="str">
        <x:f t="shared" si="93"/>
      </x:c>
      <x:c r="H294" s="107" t="str">
        <x:f t="array" ref="H294">IF(C294&lt;&gt;"",IF(F$7="SUMMER","N/A",_xlfn.IFS(H$10="EXAM",RECORD!GJ296,H$10="OUTPUT",RECORD!GK296,H$10="LAB",BP294,TRUE(),"")),"")</x:f>
      </x:c>
      <x:c r="I294" s="106" t="str">
        <x:f t="shared" si="94"/>
      </x:c>
      <x:c r="J294" s="108" t="str">
        <x:f t="shared" si="95"/>
      </x:c>
      <x:c r="K294" s="109" t="str">
        <x:f t="shared" si="96"/>
      </x:c>
      <x:c r="L294" s="110" t="str">
        <x:f t="array" ref="L294">IF(C294&lt;&gt;"",_xlfn.IFS(L$10="TLA",RECORD!GY296,N$10="LECTURE","",TRUE(),""),"")</x:f>
      </x:c>
      <x:c r="M294" s="105" t="str">
        <x:f t="shared" si="97"/>
      </x:c>
      <x:c r="N294" s="104" t="str">
        <x:f t="array" ref="N294">IF(C294&lt;&gt;"",_xlfn.IFS(N$10="AT",RECORD!GS296,N$10="LECTURE",AX294,TRUE(),""),"")</x:f>
      </x:c>
      <x:c r="O294" s="106" t="str">
        <x:f t="shared" si="98"/>
      </x:c>
      <x:c r="P294" s="107" t="str">
        <x:f t="array" ref="P294">IF(C294&lt;&gt;"",_xlfn.IFS(P$10="EXAM",RECORD!GT296,P$10="OUTPUT",RECORD!GU296,P$10="LAB",BX294,TRUE(),""),"")</x:f>
      </x:c>
      <x:c r="Q294" s="106" t="str">
        <x:f t="shared" si="99"/>
      </x:c>
      <x:c r="R294" s="108" t="str">
        <x:f t="shared" si="100"/>
      </x:c>
      <x:c r="S294" s="109" t="str">
        <x:f t="shared" si="101"/>
      </x:c>
      <x:c r="T294" s="110" t="str">
        <x:f t="array" ref="T294">IF(C294&lt;&gt;"",_xlfn.IFS(T$10="TLA",RECORD!HI296,V$10="LECTURE","",TRUE(),""),"")</x:f>
      </x:c>
      <x:c r="U294" s="105" t="str">
        <x:f t="shared" si="102"/>
      </x:c>
      <x:c r="V294" s="104" t="str">
        <x:f t="array" ref="V294">IF(C294&lt;&gt;"",_xlfn.IFS(V$10="AT",RECORD!HC296,V$10="LECTURE",BF294,TRUE(),""),"")</x:f>
      </x:c>
      <x:c r="W294" s="106" t="str">
        <x:f t="shared" si="103"/>
      </x:c>
      <x:c r="X294" s="107" t="str">
        <x:f t="array" ref="X294">IF(C294&lt;&gt;"",_xlfn.IFS(X$10="EXAM",RECORD!HD296,X$10="OUTPUT",RECORD!HE296,X$10="LAB",CF294,TRUE(),""),"")</x:f>
      </x:c>
      <x:c r="Y294" s="106" t="str">
        <x:f t="shared" si="104"/>
      </x:c>
      <x:c r="Z294" s="108" t="str">
        <x:f t="shared" si="105"/>
      </x:c>
      <x:c r="AA294" s="109" t="str">
        <x:f t="shared" si="106"/>
      </x:c>
      <x:c r="AB294" s="111" t="str">
        <x:f t="shared" si="107"/>
      </x:c>
      <x:c r="AC294" s="109" t="str">
        <x:f t="shared" si="108"/>
      </x:c>
      <x:c r="AQ294" s="109" t="str">
        <x:f t="shared" si="109"/>
        <x:v>FAILED</x:v>
      </x:c>
      <x:c r="AR294" s="115"/>
      <x:c r="AS294" s="115"/>
      <x:c r="AT294" s="107"/>
      <x:c r="AU294" s="107"/>
      <x:c r="AV294" s="107"/>
      <x:c r="AW294" s="107"/>
      <x:c r="AX294" s="107"/>
      <x:c r="AY294" s="109" t="str">
        <x:f t="shared" si="110"/>
        <x:v>FAILED</x:v>
      </x:c>
      <x:c r="AZ294" s="115"/>
      <x:c r="BA294" s="115"/>
      <x:c r="BB294" s="107"/>
      <x:c r="BC294" s="107"/>
      <x:c r="BD294" s="107"/>
      <x:c r="BE294" s="107"/>
      <x:c r="BF294" s="107"/>
      <x:c r="BG294" s="109" t="str">
        <x:f t="shared" si="111"/>
        <x:v>FAILED</x:v>
      </x:c>
      <x:c r="BQ294" s="109" t="str">
        <x:f t="shared" si="112"/>
        <x:v>FAILED</x:v>
      </x:c>
      <x:c r="BR294" s="115"/>
      <x:c r="BS294" s="115"/>
      <x:c r="BT294" s="107"/>
      <x:c r="BU294" s="107"/>
      <x:c r="BV294" s="107"/>
      <x:c r="BW294" s="107"/>
      <x:c r="BX294" s="107"/>
      <x:c r="BY294" s="109" t="str">
        <x:f t="shared" si="113"/>
        <x:v>FAILED</x:v>
      </x:c>
      <x:c r="BZ294" s="115"/>
      <x:c r="CA294" s="115"/>
      <x:c r="CB294" s="107"/>
      <x:c r="CC294" s="107"/>
      <x:c r="CD294" s="107"/>
      <x:c r="CE294" s="107"/>
      <x:c r="CF294" s="107"/>
      <x:c r="CG294" s="109" t="str">
        <x:f t="shared" si="114"/>
        <x:v>FAILED</x:v>
      </x:c>
    </x:row>
    <x:row r="295">
      <x:c r="A295" s="102" t="str">
        <x:f>IF(RECORD!A297="","",RECORD!A297)</x:f>
      </x:c>
      <x:c r="B295" s="102" t="str">
        <x:f>IF(RECORD!B297="","",RECORD!B297)</x:f>
      </x:c>
      <x:c r="C295" s="103" t="str">
        <x:f>IF(RECORD!C297="","",RECORD!C297)</x:f>
      </x:c>
      <x:c r="D295" s="104" t="str">
        <x:f t="array" ref="D295">IF(C295&lt;&gt;"",IF(F$7="SUMMER","N/A",_xlfn.IFS(D$10="TLA",RECORD!GO297,F$10="LECTURE","",TRUE(),"")),"")</x:f>
      </x:c>
      <x:c r="E295" s="105" t="str">
        <x:f t="shared" si="92"/>
      </x:c>
      <x:c r="F295" s="104" t="str">
        <x:f t="array" ref="F295">IF(C295&lt;&gt;"",IF(F$7="SUMMER","N/A",_xlfn.IFS(F$10="AT",RECORD!GI297,F$10="LECTURE",GRADES!AP295,TRUE(),"")),"")</x:f>
      </x:c>
      <x:c r="G295" s="106" t="str">
        <x:f t="shared" si="93"/>
      </x:c>
      <x:c r="H295" s="107" t="str">
        <x:f t="array" ref="H295">IF(C295&lt;&gt;"",IF(F$7="SUMMER","N/A",_xlfn.IFS(H$10="EXAM",RECORD!GJ297,H$10="OUTPUT",RECORD!GK297,H$10="LAB",BP295,TRUE(),"")),"")</x:f>
      </x:c>
      <x:c r="I295" s="106" t="str">
        <x:f t="shared" si="94"/>
      </x:c>
      <x:c r="J295" s="108" t="str">
        <x:f t="shared" si="95"/>
      </x:c>
      <x:c r="K295" s="109" t="str">
        <x:f t="shared" si="96"/>
      </x:c>
      <x:c r="L295" s="110" t="str">
        <x:f t="array" ref="L295">IF(C295&lt;&gt;"",_xlfn.IFS(L$10="TLA",RECORD!GY297,N$10="LECTURE","",TRUE(),""),"")</x:f>
      </x:c>
      <x:c r="M295" s="105" t="str">
        <x:f t="shared" si="97"/>
      </x:c>
      <x:c r="N295" s="104" t="str">
        <x:f t="array" ref="N295">IF(C295&lt;&gt;"",_xlfn.IFS(N$10="AT",RECORD!GS297,N$10="LECTURE",AX295,TRUE(),""),"")</x:f>
      </x:c>
      <x:c r="O295" s="106" t="str">
        <x:f t="shared" si="98"/>
      </x:c>
      <x:c r="P295" s="107" t="str">
        <x:f t="array" ref="P295">IF(C295&lt;&gt;"",_xlfn.IFS(P$10="EXAM",RECORD!GT297,P$10="OUTPUT",RECORD!GU297,P$10="LAB",BX295,TRUE(),""),"")</x:f>
      </x:c>
      <x:c r="Q295" s="106" t="str">
        <x:f t="shared" si="99"/>
      </x:c>
      <x:c r="R295" s="108" t="str">
        <x:f t="shared" si="100"/>
      </x:c>
      <x:c r="S295" s="109" t="str">
        <x:f t="shared" si="101"/>
      </x:c>
      <x:c r="T295" s="110" t="str">
        <x:f t="array" ref="T295">IF(C295&lt;&gt;"",_xlfn.IFS(T$10="TLA",RECORD!HI297,V$10="LECTURE","",TRUE(),""),"")</x:f>
      </x:c>
      <x:c r="U295" s="105" t="str">
        <x:f t="shared" si="102"/>
      </x:c>
      <x:c r="V295" s="104" t="str">
        <x:f t="array" ref="V295">IF(C295&lt;&gt;"",_xlfn.IFS(V$10="AT",RECORD!HC297,V$10="LECTURE",BF295,TRUE(),""),"")</x:f>
      </x:c>
      <x:c r="W295" s="106" t="str">
        <x:f t="shared" si="103"/>
      </x:c>
      <x:c r="X295" s="107" t="str">
        <x:f t="array" ref="X295">IF(C295&lt;&gt;"",_xlfn.IFS(X$10="EXAM",RECORD!HD297,X$10="OUTPUT",RECORD!HE297,X$10="LAB",CF295,TRUE(),""),"")</x:f>
      </x:c>
      <x:c r="Y295" s="106" t="str">
        <x:f t="shared" si="104"/>
      </x:c>
      <x:c r="Z295" s="108" t="str">
        <x:f t="shared" si="105"/>
      </x:c>
      <x:c r="AA295" s="109" t="str">
        <x:f t="shared" si="106"/>
      </x:c>
      <x:c r="AB295" s="111" t="str">
        <x:f t="shared" si="107"/>
      </x:c>
      <x:c r="AC295" s="109" t="str">
        <x:f t="shared" si="108"/>
      </x:c>
      <x:c r="AQ295" s="109" t="str">
        <x:f t="shared" si="109"/>
        <x:v>FAILED</x:v>
      </x:c>
      <x:c r="AR295" s="115"/>
      <x:c r="AS295" s="115"/>
      <x:c r="AT295" s="107"/>
      <x:c r="AU295" s="107"/>
      <x:c r="AV295" s="107"/>
      <x:c r="AW295" s="107"/>
      <x:c r="AX295" s="107"/>
      <x:c r="AY295" s="109" t="str">
        <x:f t="shared" si="110"/>
        <x:v>FAILED</x:v>
      </x:c>
      <x:c r="AZ295" s="115"/>
      <x:c r="BA295" s="115"/>
      <x:c r="BB295" s="107"/>
      <x:c r="BC295" s="107"/>
      <x:c r="BD295" s="107"/>
      <x:c r="BE295" s="107"/>
      <x:c r="BF295" s="107"/>
      <x:c r="BG295" s="109" t="str">
        <x:f t="shared" si="111"/>
        <x:v>FAILED</x:v>
      </x:c>
      <x:c r="BQ295" s="109" t="str">
        <x:f t="shared" si="112"/>
        <x:v>FAILED</x:v>
      </x:c>
      <x:c r="BR295" s="115"/>
      <x:c r="BS295" s="115"/>
      <x:c r="BT295" s="107"/>
      <x:c r="BU295" s="107"/>
      <x:c r="BV295" s="107"/>
      <x:c r="BW295" s="107"/>
      <x:c r="BX295" s="107"/>
      <x:c r="BY295" s="109" t="str">
        <x:f t="shared" si="113"/>
        <x:v>FAILED</x:v>
      </x:c>
      <x:c r="BZ295" s="115"/>
      <x:c r="CA295" s="115"/>
      <x:c r="CB295" s="107"/>
      <x:c r="CC295" s="107"/>
      <x:c r="CD295" s="107"/>
      <x:c r="CE295" s="107"/>
      <x:c r="CF295" s="107"/>
      <x:c r="CG295" s="109" t="str">
        <x:f t="shared" si="114"/>
        <x:v>FAILED</x:v>
      </x:c>
    </x:row>
    <x:row r="296">
      <x:c r="A296" s="102" t="str">
        <x:f>IF(RECORD!A298="","",RECORD!A298)</x:f>
      </x:c>
      <x:c r="B296" s="102" t="str">
        <x:f>IF(RECORD!B298="","",RECORD!B298)</x:f>
      </x:c>
      <x:c r="C296" s="103" t="str">
        <x:f>IF(RECORD!C298="","",RECORD!C298)</x:f>
      </x:c>
      <x:c r="D296" s="104" t="str">
        <x:f t="array" ref="D296">IF(C296&lt;&gt;"",IF(F$7="SUMMER","N/A",_xlfn.IFS(D$10="TLA",RECORD!GO298,F$10="LECTURE","",TRUE(),"")),"")</x:f>
      </x:c>
      <x:c r="E296" s="105" t="str">
        <x:f t="shared" si="92"/>
      </x:c>
      <x:c r="F296" s="104" t="str">
        <x:f t="array" ref="F296">IF(C296&lt;&gt;"",IF(F$7="SUMMER","N/A",_xlfn.IFS(F$10="AT",RECORD!GI298,F$10="LECTURE",GRADES!AP296,TRUE(),"")),"")</x:f>
      </x:c>
      <x:c r="G296" s="106" t="str">
        <x:f t="shared" si="93"/>
      </x:c>
      <x:c r="H296" s="107" t="str">
        <x:f t="array" ref="H296">IF(C296&lt;&gt;"",IF(F$7="SUMMER","N/A",_xlfn.IFS(H$10="EXAM",RECORD!GJ298,H$10="OUTPUT",RECORD!GK298,H$10="LAB",BP296,TRUE(),"")),"")</x:f>
      </x:c>
      <x:c r="I296" s="106" t="str">
        <x:f t="shared" si="94"/>
      </x:c>
      <x:c r="J296" s="108" t="str">
        <x:f t="shared" si="95"/>
      </x:c>
      <x:c r="K296" s="109" t="str">
        <x:f t="shared" si="96"/>
      </x:c>
      <x:c r="L296" s="110" t="str">
        <x:f t="array" ref="L296">IF(C296&lt;&gt;"",_xlfn.IFS(L$10="TLA",RECORD!GY298,N$10="LECTURE","",TRUE(),""),"")</x:f>
      </x:c>
      <x:c r="M296" s="105" t="str">
        <x:f t="shared" si="97"/>
      </x:c>
      <x:c r="N296" s="104" t="str">
        <x:f t="array" ref="N296">IF(C296&lt;&gt;"",_xlfn.IFS(N$10="AT",RECORD!GS298,N$10="LECTURE",AX296,TRUE(),""),"")</x:f>
      </x:c>
      <x:c r="O296" s="106" t="str">
        <x:f t="shared" si="98"/>
      </x:c>
      <x:c r="P296" s="107" t="str">
        <x:f t="array" ref="P296">IF(C296&lt;&gt;"",_xlfn.IFS(P$10="EXAM",RECORD!GT298,P$10="OUTPUT",RECORD!GU298,P$10="LAB",BX296,TRUE(),""),"")</x:f>
      </x:c>
      <x:c r="Q296" s="106" t="str">
        <x:f t="shared" si="99"/>
      </x:c>
      <x:c r="R296" s="108" t="str">
        <x:f t="shared" si="100"/>
      </x:c>
      <x:c r="S296" s="109" t="str">
        <x:f t="shared" si="101"/>
      </x:c>
      <x:c r="T296" s="110" t="str">
        <x:f t="array" ref="T296">IF(C296&lt;&gt;"",_xlfn.IFS(T$10="TLA",RECORD!HI298,V$10="LECTURE","",TRUE(),""),"")</x:f>
      </x:c>
      <x:c r="U296" s="105" t="str">
        <x:f t="shared" si="102"/>
      </x:c>
      <x:c r="V296" s="104" t="str">
        <x:f t="array" ref="V296">IF(C296&lt;&gt;"",_xlfn.IFS(V$10="AT",RECORD!HC298,V$10="LECTURE",BF296,TRUE(),""),"")</x:f>
      </x:c>
      <x:c r="W296" s="106" t="str">
        <x:f t="shared" si="103"/>
      </x:c>
      <x:c r="X296" s="107" t="str">
        <x:f t="array" ref="X296">IF(C296&lt;&gt;"",_xlfn.IFS(X$10="EXAM",RECORD!HD298,X$10="OUTPUT",RECORD!HE298,X$10="LAB",CF296,TRUE(),""),"")</x:f>
      </x:c>
      <x:c r="Y296" s="106" t="str">
        <x:f t="shared" si="104"/>
      </x:c>
      <x:c r="Z296" s="108" t="str">
        <x:f t="shared" si="105"/>
      </x:c>
      <x:c r="AA296" s="109" t="str">
        <x:f t="shared" si="106"/>
      </x:c>
      <x:c r="AB296" s="111" t="str">
        <x:f t="shared" si="107"/>
      </x:c>
      <x:c r="AC296" s="109" t="str">
        <x:f t="shared" si="108"/>
      </x:c>
      <x:c r="AQ296" s="109" t="str">
        <x:f t="shared" si="109"/>
        <x:v>FAILED</x:v>
      </x:c>
      <x:c r="AR296" s="115"/>
      <x:c r="AS296" s="115"/>
      <x:c r="AT296" s="107"/>
      <x:c r="AU296" s="107"/>
      <x:c r="AV296" s="107"/>
      <x:c r="AW296" s="107"/>
      <x:c r="AX296" s="107"/>
      <x:c r="AY296" s="109" t="str">
        <x:f t="shared" si="110"/>
        <x:v>FAILED</x:v>
      </x:c>
      <x:c r="AZ296" s="115"/>
      <x:c r="BA296" s="115"/>
      <x:c r="BB296" s="107"/>
      <x:c r="BC296" s="107"/>
      <x:c r="BD296" s="107"/>
      <x:c r="BE296" s="107"/>
      <x:c r="BF296" s="107"/>
      <x:c r="BG296" s="109" t="str">
        <x:f t="shared" si="111"/>
        <x:v>FAILED</x:v>
      </x:c>
      <x:c r="BQ296" s="109" t="str">
        <x:f t="shared" si="112"/>
        <x:v>FAILED</x:v>
      </x:c>
      <x:c r="BR296" s="115"/>
      <x:c r="BS296" s="115"/>
      <x:c r="BT296" s="107"/>
      <x:c r="BU296" s="107"/>
      <x:c r="BV296" s="107"/>
      <x:c r="BW296" s="107"/>
      <x:c r="BX296" s="107"/>
      <x:c r="BY296" s="109" t="str">
        <x:f t="shared" si="113"/>
        <x:v>FAILED</x:v>
      </x:c>
      <x:c r="BZ296" s="115"/>
      <x:c r="CA296" s="115"/>
      <x:c r="CB296" s="107"/>
      <x:c r="CC296" s="107"/>
      <x:c r="CD296" s="107"/>
      <x:c r="CE296" s="107"/>
      <x:c r="CF296" s="107"/>
      <x:c r="CG296" s="109" t="str">
        <x:f t="shared" si="114"/>
        <x:v>FAILED</x:v>
      </x:c>
    </x:row>
    <x:row r="297">
      <x:c r="A297" s="102" t="str">
        <x:f>IF(RECORD!A299="","",RECORD!A299)</x:f>
      </x:c>
      <x:c r="B297" s="102" t="str">
        <x:f>IF(RECORD!B299="","",RECORD!B299)</x:f>
      </x:c>
      <x:c r="C297" s="103" t="str">
        <x:f>IF(RECORD!C299="","",RECORD!C299)</x:f>
      </x:c>
      <x:c r="D297" s="104" t="str">
        <x:f t="array" ref="D297">IF(C297&lt;&gt;"",IF(F$7="SUMMER","N/A",_xlfn.IFS(D$10="TLA",RECORD!GO299,F$10="LECTURE","",TRUE(),"")),"")</x:f>
      </x:c>
      <x:c r="E297" s="105" t="str">
        <x:f t="shared" si="92"/>
      </x:c>
      <x:c r="F297" s="104" t="str">
        <x:f t="array" ref="F297">IF(C297&lt;&gt;"",IF(F$7="SUMMER","N/A",_xlfn.IFS(F$10="AT",RECORD!GI299,F$10="LECTURE",GRADES!AP297,TRUE(),"")),"")</x:f>
      </x:c>
      <x:c r="G297" s="106" t="str">
        <x:f t="shared" si="93"/>
      </x:c>
      <x:c r="H297" s="107" t="str">
        <x:f t="array" ref="H297">IF(C297&lt;&gt;"",IF(F$7="SUMMER","N/A",_xlfn.IFS(H$10="EXAM",RECORD!GJ299,H$10="OUTPUT",RECORD!GK299,H$10="LAB",BP297,TRUE(),"")),"")</x:f>
      </x:c>
      <x:c r="I297" s="106" t="str">
        <x:f t="shared" si="94"/>
      </x:c>
      <x:c r="J297" s="108" t="str">
        <x:f t="shared" si="95"/>
      </x:c>
      <x:c r="K297" s="109" t="str">
        <x:f t="shared" si="96"/>
      </x:c>
      <x:c r="L297" s="110" t="str">
        <x:f t="array" ref="L297">IF(C297&lt;&gt;"",_xlfn.IFS(L$10="TLA",RECORD!GY299,N$10="LECTURE","",TRUE(),""),"")</x:f>
      </x:c>
      <x:c r="M297" s="105" t="str">
        <x:f t="shared" si="97"/>
      </x:c>
      <x:c r="N297" s="104" t="str">
        <x:f t="array" ref="N297">IF(C297&lt;&gt;"",_xlfn.IFS(N$10="AT",RECORD!GS299,N$10="LECTURE",AX297,TRUE(),""),"")</x:f>
      </x:c>
      <x:c r="O297" s="106" t="str">
        <x:f t="shared" si="98"/>
      </x:c>
      <x:c r="P297" s="107" t="str">
        <x:f t="array" ref="P297">IF(C297&lt;&gt;"",_xlfn.IFS(P$10="EXAM",RECORD!GT299,P$10="OUTPUT",RECORD!GU299,P$10="LAB",BX297,TRUE(),""),"")</x:f>
      </x:c>
      <x:c r="Q297" s="106" t="str">
        <x:f t="shared" si="99"/>
      </x:c>
      <x:c r="R297" s="108" t="str">
        <x:f t="shared" si="100"/>
      </x:c>
      <x:c r="S297" s="109" t="str">
        <x:f t="shared" si="101"/>
      </x:c>
      <x:c r="T297" s="110" t="str">
        <x:f t="array" ref="T297">IF(C297&lt;&gt;"",_xlfn.IFS(T$10="TLA",RECORD!HI299,V$10="LECTURE","",TRUE(),""),"")</x:f>
      </x:c>
      <x:c r="U297" s="105" t="str">
        <x:f t="shared" si="102"/>
      </x:c>
      <x:c r="V297" s="104" t="str">
        <x:f t="array" ref="V297">IF(C297&lt;&gt;"",_xlfn.IFS(V$10="AT",RECORD!HC299,V$10="LECTURE",BF297,TRUE(),""),"")</x:f>
      </x:c>
      <x:c r="W297" s="106" t="str">
        <x:f t="shared" si="103"/>
      </x:c>
      <x:c r="X297" s="107" t="str">
        <x:f t="array" ref="X297">IF(C297&lt;&gt;"",_xlfn.IFS(X$10="EXAM",RECORD!HD299,X$10="OUTPUT",RECORD!HE299,X$10="LAB",CF297,TRUE(),""),"")</x:f>
      </x:c>
      <x:c r="Y297" s="106" t="str">
        <x:f t="shared" si="104"/>
      </x:c>
      <x:c r="Z297" s="108" t="str">
        <x:f t="shared" si="105"/>
      </x:c>
      <x:c r="AA297" s="109" t="str">
        <x:f t="shared" si="106"/>
      </x:c>
      <x:c r="AB297" s="111" t="str">
        <x:f t="shared" si="107"/>
      </x:c>
      <x:c r="AC297" s="109" t="str">
        <x:f t="shared" si="108"/>
      </x:c>
      <x:c r="AQ297" s="109" t="str">
        <x:f t="shared" si="109"/>
        <x:v>FAILED</x:v>
      </x:c>
      <x:c r="AR297" s="115"/>
      <x:c r="AS297" s="115"/>
      <x:c r="AT297" s="107"/>
      <x:c r="AU297" s="107"/>
      <x:c r="AV297" s="107"/>
      <x:c r="AW297" s="107"/>
      <x:c r="AX297" s="107"/>
      <x:c r="AY297" s="109" t="str">
        <x:f t="shared" si="110"/>
        <x:v>FAILED</x:v>
      </x:c>
      <x:c r="AZ297" s="115"/>
      <x:c r="BA297" s="115"/>
      <x:c r="BB297" s="107"/>
      <x:c r="BC297" s="107"/>
      <x:c r="BD297" s="107"/>
      <x:c r="BE297" s="107"/>
      <x:c r="BF297" s="107"/>
      <x:c r="BG297" s="109" t="str">
        <x:f t="shared" si="111"/>
        <x:v>FAILED</x:v>
      </x:c>
      <x:c r="BQ297" s="109" t="str">
        <x:f t="shared" si="112"/>
        <x:v>FAILED</x:v>
      </x:c>
      <x:c r="BR297" s="115"/>
      <x:c r="BS297" s="115"/>
      <x:c r="BT297" s="107"/>
      <x:c r="BU297" s="107"/>
      <x:c r="BV297" s="107"/>
      <x:c r="BW297" s="107"/>
      <x:c r="BX297" s="107"/>
      <x:c r="BY297" s="109" t="str">
        <x:f t="shared" si="113"/>
        <x:v>FAILED</x:v>
      </x:c>
      <x:c r="BZ297" s="115"/>
      <x:c r="CA297" s="115"/>
      <x:c r="CB297" s="107"/>
      <x:c r="CC297" s="107"/>
      <x:c r="CD297" s="107"/>
      <x:c r="CE297" s="107"/>
      <x:c r="CF297" s="107"/>
      <x:c r="CG297" s="109" t="str">
        <x:f t="shared" si="114"/>
        <x:v>FAILED</x:v>
      </x:c>
    </x:row>
    <x:row r="298">
      <x:c r="A298" s="102" t="str">
        <x:f>IF(RECORD!A300="","",RECORD!A300)</x:f>
      </x:c>
      <x:c r="B298" s="102" t="str">
        <x:f>IF(RECORD!B300="","",RECORD!B300)</x:f>
      </x:c>
      <x:c r="C298" s="103" t="str">
        <x:f>IF(RECORD!C300="","",RECORD!C300)</x:f>
      </x:c>
      <x:c r="D298" s="104" t="str">
        <x:f t="array" ref="D298">IF(C298&lt;&gt;"",IF(F$7="SUMMER","N/A",_xlfn.IFS(D$10="TLA",RECORD!GO300,F$10="LECTURE","",TRUE(),"")),"")</x:f>
      </x:c>
      <x:c r="E298" s="105" t="str">
        <x:f t="shared" si="92"/>
      </x:c>
      <x:c r="F298" s="104" t="str">
        <x:f t="array" ref="F298">IF(C298&lt;&gt;"",IF(F$7="SUMMER","N/A",_xlfn.IFS(F$10="AT",RECORD!GI300,F$10="LECTURE",GRADES!AP298,TRUE(),"")),"")</x:f>
      </x:c>
      <x:c r="G298" s="106" t="str">
        <x:f t="shared" si="93"/>
      </x:c>
      <x:c r="H298" s="107" t="str">
        <x:f t="array" ref="H298">IF(C298&lt;&gt;"",IF(F$7="SUMMER","N/A",_xlfn.IFS(H$10="EXAM",RECORD!GJ300,H$10="OUTPUT",RECORD!GK300,H$10="LAB",BP298,TRUE(),"")),"")</x:f>
      </x:c>
      <x:c r="I298" s="106" t="str">
        <x:f t="shared" si="94"/>
      </x:c>
      <x:c r="J298" s="108" t="str">
        <x:f t="shared" si="95"/>
      </x:c>
      <x:c r="K298" s="109" t="str">
        <x:f t="shared" si="96"/>
      </x:c>
      <x:c r="L298" s="110" t="str">
        <x:f t="array" ref="L298">IF(C298&lt;&gt;"",_xlfn.IFS(L$10="TLA",RECORD!GY300,N$10="LECTURE","",TRUE(),""),"")</x:f>
      </x:c>
      <x:c r="M298" s="105" t="str">
        <x:f t="shared" si="97"/>
      </x:c>
      <x:c r="N298" s="104" t="str">
        <x:f t="array" ref="N298">IF(C298&lt;&gt;"",_xlfn.IFS(N$10="AT",RECORD!GS300,N$10="LECTURE",AX298,TRUE(),""),"")</x:f>
      </x:c>
      <x:c r="O298" s="106" t="str">
        <x:f t="shared" si="98"/>
      </x:c>
      <x:c r="P298" s="107" t="str">
        <x:f t="array" ref="P298">IF(C298&lt;&gt;"",_xlfn.IFS(P$10="EXAM",RECORD!GT300,P$10="OUTPUT",RECORD!GU300,P$10="LAB",BX298,TRUE(),""),"")</x:f>
      </x:c>
      <x:c r="Q298" s="106" t="str">
        <x:f t="shared" si="99"/>
      </x:c>
      <x:c r="R298" s="108" t="str">
        <x:f t="shared" si="100"/>
      </x:c>
      <x:c r="S298" s="109" t="str">
        <x:f t="shared" si="101"/>
      </x:c>
      <x:c r="T298" s="110" t="str">
        <x:f t="array" ref="T298">IF(C298&lt;&gt;"",_xlfn.IFS(T$10="TLA",RECORD!HI300,V$10="LECTURE","",TRUE(),""),"")</x:f>
      </x:c>
      <x:c r="U298" s="105" t="str">
        <x:f t="shared" si="102"/>
      </x:c>
      <x:c r="V298" s="104" t="str">
        <x:f t="array" ref="V298">IF(C298&lt;&gt;"",_xlfn.IFS(V$10="AT",RECORD!HC300,V$10="LECTURE",BF298,TRUE(),""),"")</x:f>
      </x:c>
      <x:c r="W298" s="106" t="str">
        <x:f t="shared" si="103"/>
      </x:c>
      <x:c r="X298" s="107" t="str">
        <x:f t="array" ref="X298">IF(C298&lt;&gt;"",_xlfn.IFS(X$10="EXAM",RECORD!HD300,X$10="OUTPUT",RECORD!HE300,X$10="LAB",CF298,TRUE(),""),"")</x:f>
      </x:c>
      <x:c r="Y298" s="106" t="str">
        <x:f t="shared" si="104"/>
      </x:c>
      <x:c r="Z298" s="108" t="str">
        <x:f t="shared" si="105"/>
      </x:c>
      <x:c r="AA298" s="109" t="str">
        <x:f t="shared" si="106"/>
      </x:c>
      <x:c r="AB298" s="111" t="str">
        <x:f t="shared" si="107"/>
      </x:c>
      <x:c r="AC298" s="109" t="str">
        <x:f t="shared" si="108"/>
      </x:c>
      <x:c r="AQ298" s="109" t="str">
        <x:f t="shared" si="109"/>
        <x:v>FAILED</x:v>
      </x:c>
      <x:c r="AR298" s="115"/>
      <x:c r="AS298" s="115"/>
      <x:c r="AT298" s="107"/>
      <x:c r="AU298" s="107"/>
      <x:c r="AV298" s="107"/>
      <x:c r="AW298" s="107"/>
      <x:c r="AX298" s="107"/>
      <x:c r="AY298" s="109" t="str">
        <x:f t="shared" si="110"/>
        <x:v>FAILED</x:v>
      </x:c>
      <x:c r="AZ298" s="115"/>
      <x:c r="BA298" s="115"/>
      <x:c r="BB298" s="107"/>
      <x:c r="BC298" s="107"/>
      <x:c r="BD298" s="107"/>
      <x:c r="BE298" s="107"/>
      <x:c r="BF298" s="107"/>
      <x:c r="BG298" s="109" t="str">
        <x:f t="shared" si="111"/>
        <x:v>FAILED</x:v>
      </x:c>
      <x:c r="BQ298" s="109" t="str">
        <x:f t="shared" si="112"/>
        <x:v>FAILED</x:v>
      </x:c>
      <x:c r="BR298" s="115"/>
      <x:c r="BS298" s="115"/>
      <x:c r="BT298" s="107"/>
      <x:c r="BU298" s="107"/>
      <x:c r="BV298" s="107"/>
      <x:c r="BW298" s="107"/>
      <x:c r="BX298" s="107"/>
      <x:c r="BY298" s="109" t="str">
        <x:f t="shared" si="113"/>
        <x:v>FAILED</x:v>
      </x:c>
      <x:c r="BZ298" s="115"/>
      <x:c r="CA298" s="115"/>
      <x:c r="CB298" s="107"/>
      <x:c r="CC298" s="107"/>
      <x:c r="CD298" s="107"/>
      <x:c r="CE298" s="107"/>
      <x:c r="CF298" s="107"/>
      <x:c r="CG298" s="109" t="str">
        <x:f t="shared" si="114"/>
        <x:v>FAILED</x:v>
      </x:c>
    </x:row>
    <x:row r="299">
      <x:c r="A299" s="102" t="str">
        <x:f>IF(RECORD!A301="","",RECORD!A301)</x:f>
      </x:c>
      <x:c r="B299" s="102" t="str">
        <x:f>IF(RECORD!B301="","",RECORD!B301)</x:f>
      </x:c>
      <x:c r="C299" s="103" t="str">
        <x:f>IF(RECORD!C301="","",RECORD!C301)</x:f>
      </x:c>
      <x:c r="D299" s="104" t="str">
        <x:f t="array" ref="D299">IF(C299&lt;&gt;"",IF(F$7="SUMMER","N/A",_xlfn.IFS(D$10="TLA",RECORD!GO301,F$10="LECTURE","",TRUE(),"")),"")</x:f>
      </x:c>
      <x:c r="E299" s="105" t="str">
        <x:f t="shared" si="92"/>
      </x:c>
      <x:c r="F299" s="104" t="str">
        <x:f t="array" ref="F299">IF(C299&lt;&gt;"",IF(F$7="SUMMER","N/A",_xlfn.IFS(F$10="AT",RECORD!GI301,F$10="LECTURE",GRADES!AP299,TRUE(),"")),"")</x:f>
      </x:c>
      <x:c r="G299" s="106" t="str">
        <x:f t="shared" si="93"/>
      </x:c>
      <x:c r="H299" s="107" t="str">
        <x:f t="array" ref="H299">IF(C299&lt;&gt;"",IF(F$7="SUMMER","N/A",_xlfn.IFS(H$10="EXAM",RECORD!GJ301,H$10="OUTPUT",RECORD!GK301,H$10="LAB",BP299,TRUE(),"")),"")</x:f>
      </x:c>
      <x:c r="I299" s="106" t="str">
        <x:f t="shared" si="94"/>
      </x:c>
      <x:c r="J299" s="108" t="str">
        <x:f t="shared" si="95"/>
      </x:c>
      <x:c r="K299" s="109" t="str">
        <x:f t="shared" si="96"/>
      </x:c>
      <x:c r="L299" s="110" t="str">
        <x:f t="array" ref="L299">IF(C299&lt;&gt;"",_xlfn.IFS(L$10="TLA",RECORD!GY301,N$10="LECTURE","",TRUE(),""),"")</x:f>
      </x:c>
      <x:c r="M299" s="105" t="str">
        <x:f t="shared" si="97"/>
      </x:c>
      <x:c r="N299" s="104" t="str">
        <x:f t="array" ref="N299">IF(C299&lt;&gt;"",_xlfn.IFS(N$10="AT",RECORD!GS301,N$10="LECTURE",AX299,TRUE(),""),"")</x:f>
      </x:c>
      <x:c r="O299" s="106" t="str">
        <x:f t="shared" si="98"/>
      </x:c>
      <x:c r="P299" s="107" t="str">
        <x:f t="array" ref="P299">IF(C299&lt;&gt;"",_xlfn.IFS(P$10="EXAM",RECORD!GT301,P$10="OUTPUT",RECORD!GU301,P$10="LAB",BX299,TRUE(),""),"")</x:f>
      </x:c>
      <x:c r="Q299" s="106" t="str">
        <x:f t="shared" si="99"/>
      </x:c>
      <x:c r="R299" s="108" t="str">
        <x:f t="shared" si="100"/>
      </x:c>
      <x:c r="S299" s="109" t="str">
        <x:f t="shared" si="101"/>
      </x:c>
      <x:c r="T299" s="110" t="str">
        <x:f t="array" ref="T299">IF(C299&lt;&gt;"",_xlfn.IFS(T$10="TLA",RECORD!HI301,V$10="LECTURE","",TRUE(),""),"")</x:f>
      </x:c>
      <x:c r="U299" s="105" t="str">
        <x:f t="shared" si="102"/>
      </x:c>
      <x:c r="V299" s="104" t="str">
        <x:f t="array" ref="V299">IF(C299&lt;&gt;"",_xlfn.IFS(V$10="AT",RECORD!HC301,V$10="LECTURE",BF299,TRUE(),""),"")</x:f>
      </x:c>
      <x:c r="W299" s="106" t="str">
        <x:f t="shared" si="103"/>
      </x:c>
      <x:c r="X299" s="107" t="str">
        <x:f t="array" ref="X299">IF(C299&lt;&gt;"",_xlfn.IFS(X$10="EXAM",RECORD!HD301,X$10="OUTPUT",RECORD!HE301,X$10="LAB",CF299,TRUE(),""),"")</x:f>
      </x:c>
      <x:c r="Y299" s="106" t="str">
        <x:f t="shared" si="104"/>
      </x:c>
      <x:c r="Z299" s="108" t="str">
        <x:f t="shared" si="105"/>
      </x:c>
      <x:c r="AA299" s="109" t="str">
        <x:f t="shared" si="106"/>
      </x:c>
      <x:c r="AB299" s="111" t="str">
        <x:f t="shared" si="107"/>
      </x:c>
      <x:c r="AC299" s="109" t="str">
        <x:f t="shared" si="108"/>
      </x:c>
      <x:c r="AQ299" s="109" t="str">
        <x:f t="shared" si="109"/>
        <x:v>FAILED</x:v>
      </x:c>
      <x:c r="AR299" s="115"/>
      <x:c r="AS299" s="115"/>
      <x:c r="AT299" s="107"/>
      <x:c r="AU299" s="107"/>
      <x:c r="AV299" s="107"/>
      <x:c r="AW299" s="107"/>
      <x:c r="AX299" s="107"/>
      <x:c r="AY299" s="109" t="str">
        <x:f t="shared" si="110"/>
        <x:v>FAILED</x:v>
      </x:c>
      <x:c r="AZ299" s="115"/>
      <x:c r="BA299" s="115"/>
      <x:c r="BB299" s="107"/>
      <x:c r="BC299" s="107"/>
      <x:c r="BD299" s="107"/>
      <x:c r="BE299" s="107"/>
      <x:c r="BF299" s="107"/>
      <x:c r="BG299" s="109" t="str">
        <x:f t="shared" si="111"/>
        <x:v>FAILED</x:v>
      </x:c>
      <x:c r="BQ299" s="109" t="str">
        <x:f t="shared" si="112"/>
        <x:v>FAILED</x:v>
      </x:c>
      <x:c r="BR299" s="115"/>
      <x:c r="BS299" s="115"/>
      <x:c r="BT299" s="107"/>
      <x:c r="BU299" s="107"/>
      <x:c r="BV299" s="107"/>
      <x:c r="BW299" s="107"/>
      <x:c r="BX299" s="107"/>
      <x:c r="BY299" s="109" t="str">
        <x:f t="shared" si="113"/>
        <x:v>FAILED</x:v>
      </x:c>
      <x:c r="BZ299" s="115"/>
      <x:c r="CA299" s="115"/>
      <x:c r="CB299" s="107"/>
      <x:c r="CC299" s="107"/>
      <x:c r="CD299" s="107"/>
      <x:c r="CE299" s="107"/>
      <x:c r="CF299" s="107"/>
      <x:c r="CG299" s="109" t="str">
        <x:f t="shared" si="114"/>
        <x:v>FAILED</x:v>
      </x:c>
    </x:row>
    <x:row r="300">
      <x:c r="A300" s="102" t="str">
        <x:f>IF(RECORD!A302="","",RECORD!A302)</x:f>
      </x:c>
      <x:c r="B300" s="102" t="str">
        <x:f>IF(RECORD!B302="","",RECORD!B302)</x:f>
      </x:c>
      <x:c r="C300" s="103" t="str">
        <x:f>IF(RECORD!C302="","",RECORD!C302)</x:f>
      </x:c>
      <x:c r="D300" s="104" t="str">
        <x:f t="array" ref="D300">IF(C300&lt;&gt;"",IF(F$7="SUMMER","N/A",_xlfn.IFS(D$10="TLA",RECORD!GO302,F$10="LECTURE","",TRUE(),"")),"")</x:f>
      </x:c>
      <x:c r="E300" s="105" t="str">
        <x:f t="shared" si="92"/>
      </x:c>
      <x:c r="F300" s="104" t="str">
        <x:f t="array" ref="F300">IF(C300&lt;&gt;"",IF(F$7="SUMMER","N/A",_xlfn.IFS(F$10="AT",RECORD!GI302,F$10="LECTURE",GRADES!AP300,TRUE(),"")),"")</x:f>
      </x:c>
      <x:c r="G300" s="106" t="str">
        <x:f t="shared" si="93"/>
      </x:c>
      <x:c r="H300" s="107" t="str">
        <x:f t="array" ref="H300">IF(C300&lt;&gt;"",IF(F$7="SUMMER","N/A",_xlfn.IFS(H$10="EXAM",RECORD!GJ302,H$10="OUTPUT",RECORD!GK302,H$10="LAB",BP300,TRUE(),"")),"")</x:f>
      </x:c>
      <x:c r="I300" s="106" t="str">
        <x:f t="shared" si="94"/>
      </x:c>
      <x:c r="J300" s="108" t="str">
        <x:f t="shared" si="95"/>
      </x:c>
      <x:c r="K300" s="109" t="str">
        <x:f t="shared" si="96"/>
      </x:c>
      <x:c r="L300" s="110" t="str">
        <x:f t="array" ref="L300">IF(C300&lt;&gt;"",_xlfn.IFS(L$10="TLA",RECORD!GY302,N$10="LECTURE","",TRUE(),""),"")</x:f>
      </x:c>
      <x:c r="M300" s="105" t="str">
        <x:f t="shared" si="97"/>
      </x:c>
      <x:c r="N300" s="104" t="str">
        <x:f t="array" ref="N300">IF(C300&lt;&gt;"",_xlfn.IFS(N$10="AT",RECORD!GS302,N$10="LECTURE",AX300,TRUE(),""),"")</x:f>
      </x:c>
      <x:c r="O300" s="106" t="str">
        <x:f t="shared" si="98"/>
      </x:c>
      <x:c r="P300" s="107" t="str">
        <x:f t="array" ref="P300">IF(C300&lt;&gt;"",_xlfn.IFS(P$10="EXAM",RECORD!GT302,P$10="OUTPUT",RECORD!GU302,P$10="LAB",BX300,TRUE(),""),"")</x:f>
      </x:c>
      <x:c r="Q300" s="106" t="str">
        <x:f t="shared" si="99"/>
      </x:c>
      <x:c r="R300" s="108" t="str">
        <x:f t="shared" si="100"/>
      </x:c>
      <x:c r="S300" s="109" t="str">
        <x:f t="shared" si="101"/>
      </x:c>
      <x:c r="T300" s="110" t="str">
        <x:f t="array" ref="T300">IF(C300&lt;&gt;"",_xlfn.IFS(T$10="TLA",RECORD!HI302,V$10="LECTURE","",TRUE(),""),"")</x:f>
      </x:c>
      <x:c r="U300" s="105" t="str">
        <x:f t="shared" si="102"/>
      </x:c>
      <x:c r="V300" s="104" t="str">
        <x:f t="array" ref="V300">IF(C300&lt;&gt;"",_xlfn.IFS(V$10="AT",RECORD!HC302,V$10="LECTURE",BF300,TRUE(),""),"")</x:f>
      </x:c>
      <x:c r="W300" s="106" t="str">
        <x:f t="shared" si="103"/>
      </x:c>
      <x:c r="X300" s="107" t="str">
        <x:f t="array" ref="X300">IF(C300&lt;&gt;"",_xlfn.IFS(X$10="EXAM",RECORD!HD302,X$10="OUTPUT",RECORD!HE302,X$10="LAB",CF300,TRUE(),""),"")</x:f>
      </x:c>
      <x:c r="Y300" s="106" t="str">
        <x:f t="shared" si="104"/>
      </x:c>
      <x:c r="Z300" s="108" t="str">
        <x:f t="shared" si="105"/>
      </x:c>
      <x:c r="AA300" s="109" t="str">
        <x:f t="shared" si="106"/>
      </x:c>
      <x:c r="AB300" s="111" t="str">
        <x:f t="shared" si="107"/>
      </x:c>
      <x:c r="AC300" s="109" t="str">
        <x:f t="shared" si="108"/>
      </x:c>
      <x:c r="AQ300" s="109" t="str">
        <x:f t="shared" si="109"/>
        <x:v>FAILED</x:v>
      </x:c>
      <x:c r="AR300" s="115"/>
      <x:c r="AS300" s="115"/>
      <x:c r="AT300" s="107"/>
      <x:c r="AU300" s="107"/>
      <x:c r="AV300" s="107"/>
      <x:c r="AW300" s="107"/>
      <x:c r="AX300" s="107"/>
      <x:c r="AY300" s="109" t="str">
        <x:f t="shared" si="110"/>
        <x:v>FAILED</x:v>
      </x:c>
      <x:c r="AZ300" s="115"/>
      <x:c r="BA300" s="115"/>
      <x:c r="BB300" s="107"/>
      <x:c r="BC300" s="107"/>
      <x:c r="BD300" s="107"/>
      <x:c r="BE300" s="107"/>
      <x:c r="BF300" s="107"/>
      <x:c r="BG300" s="109" t="str">
        <x:f t="shared" si="111"/>
        <x:v>FAILED</x:v>
      </x:c>
      <x:c r="BQ300" s="109" t="str">
        <x:f t="shared" si="112"/>
        <x:v>FAILED</x:v>
      </x:c>
      <x:c r="BR300" s="115"/>
      <x:c r="BS300" s="115"/>
      <x:c r="BT300" s="107"/>
      <x:c r="BU300" s="107"/>
      <x:c r="BV300" s="107"/>
      <x:c r="BW300" s="107"/>
      <x:c r="BX300" s="107"/>
      <x:c r="BY300" s="109" t="str">
        <x:f t="shared" si="113"/>
        <x:v>FAILED</x:v>
      </x:c>
      <x:c r="BZ300" s="115"/>
      <x:c r="CA300" s="115"/>
      <x:c r="CB300" s="107"/>
      <x:c r="CC300" s="107"/>
      <x:c r="CD300" s="107"/>
      <x:c r="CE300" s="107"/>
      <x:c r="CF300" s="107"/>
      <x:c r="CG300" s="109" t="str">
        <x:f t="shared" si="114"/>
        <x:v>FAILED</x:v>
      </x:c>
    </x:row>
    <x:row r="301">
      <x:c r="A301" s="102" t="str">
        <x:f>IF(RECORD!A303="","",RECORD!A303)</x:f>
      </x:c>
      <x:c r="B301" s="102" t="str">
        <x:f>IF(RECORD!B303="","",RECORD!B303)</x:f>
      </x:c>
      <x:c r="C301" s="103" t="str">
        <x:f>IF(RECORD!C303="","",RECORD!C303)</x:f>
      </x:c>
      <x:c r="D301" s="104" t="str">
        <x:f t="array" ref="D301">IF(C301&lt;&gt;"",IF(F$7="SUMMER","N/A",_xlfn.IFS(D$10="TLA",RECORD!GO303,F$10="LECTURE","",TRUE(),"")),"")</x:f>
      </x:c>
      <x:c r="E301" s="105" t="str">
        <x:f t="shared" si="92"/>
      </x:c>
      <x:c r="F301" s="104" t="str">
        <x:f t="array" ref="F301">IF(C301&lt;&gt;"",IF(F$7="SUMMER","N/A",_xlfn.IFS(F$10="AT",RECORD!GI303,F$10="LECTURE",GRADES!AP301,TRUE(),"")),"")</x:f>
      </x:c>
      <x:c r="G301" s="106" t="str">
        <x:f t="shared" si="93"/>
      </x:c>
      <x:c r="H301" s="107" t="str">
        <x:f t="array" ref="H301">IF(C301&lt;&gt;"",IF(F$7="SUMMER","N/A",_xlfn.IFS(H$10="EXAM",RECORD!GJ303,H$10="OUTPUT",RECORD!GK303,H$10="LAB",BP301,TRUE(),"")),"")</x:f>
      </x:c>
      <x:c r="I301" s="106" t="str">
        <x:f t="shared" si="94"/>
      </x:c>
      <x:c r="J301" s="108" t="str">
        <x:f t="shared" si="95"/>
      </x:c>
      <x:c r="K301" s="109" t="str">
        <x:f t="shared" si="96"/>
      </x:c>
      <x:c r="L301" s="110" t="str">
        <x:f t="array" ref="L301">IF(C301&lt;&gt;"",_xlfn.IFS(L$10="TLA",RECORD!GY303,N$10="LECTURE","",TRUE(),""),"")</x:f>
      </x:c>
      <x:c r="M301" s="105" t="str">
        <x:f t="shared" si="97"/>
      </x:c>
      <x:c r="N301" s="104" t="str">
        <x:f t="array" ref="N301">IF(C301&lt;&gt;"",_xlfn.IFS(N$10="AT",RECORD!GS303,N$10="LECTURE",AX301,TRUE(),""),"")</x:f>
      </x:c>
      <x:c r="O301" s="106" t="str">
        <x:f t="shared" si="98"/>
      </x:c>
      <x:c r="P301" s="107" t="str">
        <x:f t="array" ref="P301">IF(C301&lt;&gt;"",_xlfn.IFS(P$10="EXAM",RECORD!GT303,P$10="OUTPUT",RECORD!GU303,P$10="LAB",BX301,TRUE(),""),"")</x:f>
      </x:c>
      <x:c r="Q301" s="106" t="str">
        <x:f t="shared" si="99"/>
      </x:c>
      <x:c r="R301" s="108" t="str">
        <x:f t="shared" si="100"/>
      </x:c>
      <x:c r="S301" s="109" t="str">
        <x:f t="shared" si="101"/>
      </x:c>
      <x:c r="T301" s="110" t="str">
        <x:f t="array" ref="T301">IF(C301&lt;&gt;"",_xlfn.IFS(T$10="TLA",RECORD!HI303,V$10="LECTURE","",TRUE(),""),"")</x:f>
      </x:c>
      <x:c r="U301" s="105" t="str">
        <x:f t="shared" si="102"/>
      </x:c>
      <x:c r="V301" s="104" t="str">
        <x:f t="array" ref="V301">IF(C301&lt;&gt;"",_xlfn.IFS(V$10="AT",RECORD!HC303,V$10="LECTURE",BF301,TRUE(),""),"")</x:f>
      </x:c>
      <x:c r="W301" s="106" t="str">
        <x:f t="shared" si="103"/>
      </x:c>
      <x:c r="X301" s="107" t="str">
        <x:f t="array" ref="X301">IF(C301&lt;&gt;"",_xlfn.IFS(X$10="EXAM",RECORD!HD303,X$10="OUTPUT",RECORD!HE303,X$10="LAB",CF301,TRUE(),""),"")</x:f>
      </x:c>
      <x:c r="Y301" s="106" t="str">
        <x:f t="shared" si="104"/>
      </x:c>
      <x:c r="Z301" s="108" t="str">
        <x:f t="shared" si="105"/>
      </x:c>
      <x:c r="AA301" s="109" t="str">
        <x:f t="shared" si="106"/>
      </x:c>
      <x:c r="AB301" s="111" t="str">
        <x:f t="shared" si="107"/>
      </x:c>
      <x:c r="AC301" s="109" t="str">
        <x:f t="shared" si="108"/>
      </x:c>
      <x:c r="AQ301" s="109" t="str">
        <x:f t="shared" si="109"/>
        <x:v>FAILED</x:v>
      </x:c>
      <x:c r="AR301" s="115"/>
      <x:c r="AS301" s="115"/>
      <x:c r="AT301" s="107"/>
      <x:c r="AU301" s="107"/>
      <x:c r="AV301" s="107"/>
      <x:c r="AW301" s="107"/>
      <x:c r="AX301" s="107"/>
      <x:c r="AY301" s="109" t="str">
        <x:f t="shared" si="110"/>
        <x:v>FAILED</x:v>
      </x:c>
      <x:c r="AZ301" s="115"/>
      <x:c r="BA301" s="115"/>
      <x:c r="BB301" s="107"/>
      <x:c r="BC301" s="107"/>
      <x:c r="BD301" s="107"/>
      <x:c r="BE301" s="107"/>
      <x:c r="BF301" s="107"/>
      <x:c r="BG301" s="109" t="str">
        <x:f t="shared" si="111"/>
        <x:v>FAILED</x:v>
      </x:c>
      <x:c r="BQ301" s="109" t="str">
        <x:f t="shared" si="112"/>
        <x:v>FAILED</x:v>
      </x:c>
      <x:c r="BR301" s="115"/>
      <x:c r="BS301" s="115"/>
      <x:c r="BT301" s="107"/>
      <x:c r="BU301" s="107"/>
      <x:c r="BV301" s="107"/>
      <x:c r="BW301" s="107"/>
      <x:c r="BX301" s="107"/>
      <x:c r="BY301" s="109" t="str">
        <x:f t="shared" si="113"/>
        <x:v>FAILED</x:v>
      </x:c>
      <x:c r="BZ301" s="115"/>
      <x:c r="CA301" s="115"/>
      <x:c r="CB301" s="107"/>
      <x:c r="CC301" s="107"/>
      <x:c r="CD301" s="107"/>
      <x:c r="CE301" s="107"/>
      <x:c r="CF301" s="107"/>
      <x:c r="CG301" s="109" t="str">
        <x:f t="shared" si="114"/>
        <x:v>FAILED</x:v>
      </x:c>
    </x:row>
    <x:row r="302">
      <x:c r="A302" s="102" t="str">
        <x:f>IF(RECORD!A304="","",RECORD!A304)</x:f>
      </x:c>
      <x:c r="B302" s="102" t="str">
        <x:f>IF(RECORD!B304="","",RECORD!B304)</x:f>
      </x:c>
      <x:c r="C302" s="103" t="str">
        <x:f>IF(RECORD!C304="","",RECORD!C304)</x:f>
      </x:c>
      <x:c r="D302" s="104" t="str">
        <x:f t="array" ref="D302">IF(C302&lt;&gt;"",IF(F$7="SUMMER","N/A",_xlfn.IFS(D$10="TLA",RECORD!GO304,F$10="LECTURE","",TRUE(),"")),"")</x:f>
      </x:c>
      <x:c r="E302" s="105" t="str">
        <x:f t="shared" si="92"/>
      </x:c>
      <x:c r="F302" s="104" t="str">
        <x:f t="array" ref="F302">IF(C302&lt;&gt;"",IF(F$7="SUMMER","N/A",_xlfn.IFS(F$10="AT",RECORD!GI304,F$10="LECTURE",GRADES!AP302,TRUE(),"")),"")</x:f>
      </x:c>
      <x:c r="G302" s="106" t="str">
        <x:f t="shared" si="93"/>
      </x:c>
      <x:c r="H302" s="107" t="str">
        <x:f t="array" ref="H302">IF(C302&lt;&gt;"",IF(F$7="SUMMER","N/A",_xlfn.IFS(H$10="EXAM",RECORD!GJ304,H$10="OUTPUT",RECORD!GK304,H$10="LAB",BP302,TRUE(),"")),"")</x:f>
      </x:c>
      <x:c r="I302" s="106" t="str">
        <x:f t="shared" si="94"/>
      </x:c>
      <x:c r="J302" s="108" t="str">
        <x:f t="shared" si="95"/>
      </x:c>
      <x:c r="K302" s="109" t="str">
        <x:f t="shared" si="96"/>
      </x:c>
      <x:c r="L302" s="110" t="str">
        <x:f t="array" ref="L302">IF(C302&lt;&gt;"",_xlfn.IFS(L$10="TLA",RECORD!GY304,N$10="LECTURE","",TRUE(),""),"")</x:f>
      </x:c>
      <x:c r="M302" s="105" t="str">
        <x:f t="shared" si="97"/>
      </x:c>
      <x:c r="N302" s="104" t="str">
        <x:f t="array" ref="N302">IF(C302&lt;&gt;"",_xlfn.IFS(N$10="AT",RECORD!GS304,N$10="LECTURE",AX302,TRUE(),""),"")</x:f>
      </x:c>
      <x:c r="O302" s="106" t="str">
        <x:f t="shared" si="98"/>
      </x:c>
      <x:c r="P302" s="107" t="str">
        <x:f t="array" ref="P302">IF(C302&lt;&gt;"",_xlfn.IFS(P$10="EXAM",RECORD!GT304,P$10="OUTPUT",RECORD!GU304,P$10="LAB",BX302,TRUE(),""),"")</x:f>
      </x:c>
      <x:c r="Q302" s="106" t="str">
        <x:f t="shared" si="99"/>
      </x:c>
      <x:c r="R302" s="108" t="str">
        <x:f t="shared" si="100"/>
      </x:c>
      <x:c r="S302" s="109" t="str">
        <x:f t="shared" si="101"/>
      </x:c>
      <x:c r="T302" s="110" t="str">
        <x:f t="array" ref="T302">IF(C302&lt;&gt;"",_xlfn.IFS(T$10="TLA",RECORD!HI304,V$10="LECTURE","",TRUE(),""),"")</x:f>
      </x:c>
      <x:c r="U302" s="105" t="str">
        <x:f t="shared" si="102"/>
      </x:c>
      <x:c r="V302" s="104" t="str">
        <x:f t="array" ref="V302">IF(C302&lt;&gt;"",_xlfn.IFS(V$10="AT",RECORD!HC304,V$10="LECTURE",BF302,TRUE(),""),"")</x:f>
      </x:c>
      <x:c r="W302" s="106" t="str">
        <x:f t="shared" si="103"/>
      </x:c>
      <x:c r="X302" s="107" t="str">
        <x:f t="array" ref="X302">IF(C302&lt;&gt;"",_xlfn.IFS(X$10="EXAM",RECORD!HD304,X$10="OUTPUT",RECORD!HE304,X$10="LAB",CF302,TRUE(),""),"")</x:f>
      </x:c>
      <x:c r="Y302" s="106" t="str">
        <x:f t="shared" si="104"/>
      </x:c>
      <x:c r="Z302" s="108" t="str">
        <x:f t="shared" si="105"/>
      </x:c>
      <x:c r="AA302" s="109" t="str">
        <x:f t="shared" si="106"/>
      </x:c>
      <x:c r="AB302" s="111" t="str">
        <x:f t="shared" si="107"/>
      </x:c>
      <x:c r="AC302" s="109" t="str">
        <x:f t="shared" si="108"/>
      </x:c>
      <x:c r="AQ302" s="109" t="str">
        <x:f t="shared" si="109"/>
        <x:v>FAILED</x:v>
      </x:c>
      <x:c r="AR302" s="115"/>
      <x:c r="AS302" s="115"/>
      <x:c r="AT302" s="107"/>
      <x:c r="AU302" s="107"/>
      <x:c r="AV302" s="107"/>
      <x:c r="AW302" s="107"/>
      <x:c r="AX302" s="107"/>
      <x:c r="AY302" s="109" t="str">
        <x:f t="shared" si="110"/>
        <x:v>FAILED</x:v>
      </x:c>
      <x:c r="AZ302" s="115"/>
      <x:c r="BA302" s="115"/>
      <x:c r="BB302" s="107"/>
      <x:c r="BC302" s="107"/>
      <x:c r="BD302" s="107"/>
      <x:c r="BE302" s="107"/>
      <x:c r="BF302" s="107"/>
      <x:c r="BG302" s="109" t="str">
        <x:f t="shared" si="111"/>
        <x:v>FAILED</x:v>
      </x:c>
      <x:c r="BQ302" s="109" t="str">
        <x:f t="shared" si="112"/>
        <x:v>FAILED</x:v>
      </x:c>
      <x:c r="BR302" s="115"/>
      <x:c r="BS302" s="115"/>
      <x:c r="BT302" s="107"/>
      <x:c r="BU302" s="107"/>
      <x:c r="BV302" s="107"/>
      <x:c r="BW302" s="107"/>
      <x:c r="BX302" s="107"/>
      <x:c r="BY302" s="109" t="str">
        <x:f t="shared" si="113"/>
        <x:v>FAILED</x:v>
      </x:c>
      <x:c r="BZ302" s="115"/>
      <x:c r="CA302" s="115"/>
      <x:c r="CB302" s="107"/>
      <x:c r="CC302" s="107"/>
      <x:c r="CD302" s="107"/>
      <x:c r="CE302" s="107"/>
      <x:c r="CF302" s="107"/>
      <x:c r="CG302" s="109" t="str">
        <x:f t="shared" si="114"/>
        <x:v>FAILED</x:v>
      </x:c>
    </x:row>
    <x:row r="303">
      <x:c r="A303" s="102" t="str">
        <x:f>IF(RECORD!A305="","",RECORD!A305)</x:f>
      </x:c>
      <x:c r="B303" s="102" t="str">
        <x:f>IF(RECORD!B305="","",RECORD!B305)</x:f>
      </x:c>
      <x:c r="C303" s="103" t="str">
        <x:f>IF(RECORD!C305="","",RECORD!C305)</x:f>
      </x:c>
      <x:c r="D303" s="104" t="str">
        <x:f t="array" ref="D303">IF(C303&lt;&gt;"",IF(F$7="SUMMER","N/A",_xlfn.IFS(D$10="TLA",RECORD!GO305,F$10="LECTURE","",TRUE(),"")),"")</x:f>
      </x:c>
      <x:c r="E303" s="105" t="str">
        <x:f t="shared" si="92"/>
      </x:c>
      <x:c r="F303" s="104" t="str">
        <x:f t="array" ref="F303">IF(C303&lt;&gt;"",IF(F$7="SUMMER","N/A",_xlfn.IFS(F$10="AT",RECORD!GI305,F$10="LECTURE",GRADES!AP303,TRUE(),"")),"")</x:f>
      </x:c>
      <x:c r="G303" s="106" t="str">
        <x:f t="shared" si="93"/>
      </x:c>
      <x:c r="H303" s="107" t="str">
        <x:f t="array" ref="H303">IF(C303&lt;&gt;"",IF(F$7="SUMMER","N/A",_xlfn.IFS(H$10="EXAM",RECORD!GJ305,H$10="OUTPUT",RECORD!GK305,H$10="LAB",BP303,TRUE(),"")),"")</x:f>
      </x:c>
      <x:c r="I303" s="106" t="str">
        <x:f t="shared" si="94"/>
      </x:c>
      <x:c r="J303" s="108" t="str">
        <x:f t="shared" si="95"/>
      </x:c>
      <x:c r="K303" s="109" t="str">
        <x:f t="shared" si="96"/>
      </x:c>
      <x:c r="L303" s="110" t="str">
        <x:f t="array" ref="L303">IF(C303&lt;&gt;"",_xlfn.IFS(L$10="TLA",RECORD!GY305,N$10="LECTURE","",TRUE(),""),"")</x:f>
      </x:c>
      <x:c r="M303" s="105" t="str">
        <x:f t="shared" si="97"/>
      </x:c>
      <x:c r="N303" s="104" t="str">
        <x:f t="array" ref="N303">IF(C303&lt;&gt;"",_xlfn.IFS(N$10="AT",RECORD!GS305,N$10="LECTURE",AX303,TRUE(),""),"")</x:f>
      </x:c>
      <x:c r="O303" s="106" t="str">
        <x:f t="shared" si="98"/>
      </x:c>
      <x:c r="P303" s="107" t="str">
        <x:f t="array" ref="P303">IF(C303&lt;&gt;"",_xlfn.IFS(P$10="EXAM",RECORD!GT305,P$10="OUTPUT",RECORD!GU305,P$10="LAB",BX303,TRUE(),""),"")</x:f>
      </x:c>
      <x:c r="Q303" s="106" t="str">
        <x:f t="shared" si="99"/>
      </x:c>
      <x:c r="R303" s="108" t="str">
        <x:f t="shared" si="100"/>
      </x:c>
      <x:c r="S303" s="109" t="str">
        <x:f t="shared" si="101"/>
      </x:c>
      <x:c r="T303" s="110" t="str">
        <x:f t="array" ref="T303">IF(C303&lt;&gt;"",_xlfn.IFS(T$10="TLA",RECORD!HI305,V$10="LECTURE","",TRUE(),""),"")</x:f>
      </x:c>
      <x:c r="U303" s="105" t="str">
        <x:f t="shared" si="102"/>
      </x:c>
      <x:c r="V303" s="104" t="str">
        <x:f t="array" ref="V303">IF(C303&lt;&gt;"",_xlfn.IFS(V$10="AT",RECORD!HC305,V$10="LECTURE",BF303,TRUE(),""),"")</x:f>
      </x:c>
      <x:c r="W303" s="106" t="str">
        <x:f t="shared" si="103"/>
      </x:c>
      <x:c r="X303" s="107" t="str">
        <x:f t="array" ref="X303">IF(C303&lt;&gt;"",_xlfn.IFS(X$10="EXAM",RECORD!HD305,X$10="OUTPUT",RECORD!HE305,X$10="LAB",CF303,TRUE(),""),"")</x:f>
      </x:c>
      <x:c r="Y303" s="106" t="str">
        <x:f t="shared" si="104"/>
      </x:c>
      <x:c r="Z303" s="108" t="str">
        <x:f t="shared" si="105"/>
      </x:c>
      <x:c r="AA303" s="109" t="str">
        <x:f t="shared" si="106"/>
      </x:c>
      <x:c r="AB303" s="111" t="str">
        <x:f t="shared" si="107"/>
      </x:c>
      <x:c r="AC303" s="109" t="str">
        <x:f t="shared" si="108"/>
      </x:c>
      <x:c r="AQ303" s="109" t="str">
        <x:f t="shared" si="109"/>
        <x:v>FAILED</x:v>
      </x:c>
      <x:c r="AR303" s="115"/>
      <x:c r="AS303" s="115"/>
      <x:c r="AT303" s="107"/>
      <x:c r="AU303" s="107"/>
      <x:c r="AV303" s="107"/>
      <x:c r="AW303" s="107"/>
      <x:c r="AX303" s="107"/>
      <x:c r="AY303" s="109" t="str">
        <x:f t="shared" si="110"/>
        <x:v>FAILED</x:v>
      </x:c>
      <x:c r="AZ303" s="115"/>
      <x:c r="BA303" s="115"/>
      <x:c r="BB303" s="107"/>
      <x:c r="BC303" s="107"/>
      <x:c r="BD303" s="107"/>
      <x:c r="BE303" s="107"/>
      <x:c r="BF303" s="107"/>
      <x:c r="BG303" s="109" t="str">
        <x:f t="shared" si="111"/>
        <x:v>FAILED</x:v>
      </x:c>
      <x:c r="BQ303" s="109" t="str">
        <x:f t="shared" si="112"/>
        <x:v>FAILED</x:v>
      </x:c>
      <x:c r="BR303" s="115"/>
      <x:c r="BS303" s="115"/>
      <x:c r="BT303" s="107"/>
      <x:c r="BU303" s="107"/>
      <x:c r="BV303" s="107"/>
      <x:c r="BW303" s="107"/>
      <x:c r="BX303" s="107"/>
      <x:c r="BY303" s="109" t="str">
        <x:f t="shared" si="113"/>
        <x:v>FAILED</x:v>
      </x:c>
      <x:c r="BZ303" s="115"/>
      <x:c r="CA303" s="115"/>
      <x:c r="CB303" s="107"/>
      <x:c r="CC303" s="107"/>
      <x:c r="CD303" s="107"/>
      <x:c r="CE303" s="107"/>
      <x:c r="CF303" s="107"/>
      <x:c r="CG303" s="109" t="str">
        <x:f t="shared" si="114"/>
        <x:v>FAILED</x:v>
      </x:c>
    </x:row>
    <x:row r="304">
      <x:c r="A304" s="102" t="str">
        <x:f>IF(RECORD!A306="","",RECORD!A306)</x:f>
      </x:c>
      <x:c r="B304" s="102" t="str">
        <x:f>IF(RECORD!B306="","",RECORD!B306)</x:f>
      </x:c>
      <x:c r="C304" s="103" t="str">
        <x:f>IF(RECORD!C306="","",RECORD!C306)</x:f>
      </x:c>
      <x:c r="D304" s="104" t="str">
        <x:f t="array" ref="D304">IF(C304&lt;&gt;"",IF(F$7="SUMMER","N/A",_xlfn.IFS(D$10="TLA",RECORD!GO306,F$10="LECTURE","",TRUE(),"")),"")</x:f>
      </x:c>
      <x:c r="E304" s="105" t="str">
        <x:f t="shared" si="92"/>
      </x:c>
      <x:c r="F304" s="104" t="str">
        <x:f t="array" ref="F304">IF(C304&lt;&gt;"",IF(F$7="SUMMER","N/A",_xlfn.IFS(F$10="AT",RECORD!GI306,F$10="LECTURE",GRADES!AP304,TRUE(),"")),"")</x:f>
      </x:c>
      <x:c r="G304" s="106" t="str">
        <x:f t="shared" si="93"/>
      </x:c>
      <x:c r="H304" s="107" t="str">
        <x:f t="array" ref="H304">IF(C304&lt;&gt;"",IF(F$7="SUMMER","N/A",_xlfn.IFS(H$10="EXAM",RECORD!GJ306,H$10="OUTPUT",RECORD!GK306,H$10="LAB",BP304,TRUE(),"")),"")</x:f>
      </x:c>
      <x:c r="I304" s="106" t="str">
        <x:f t="shared" si="94"/>
      </x:c>
      <x:c r="J304" s="108" t="str">
        <x:f t="shared" si="95"/>
      </x:c>
      <x:c r="K304" s="109" t="str">
        <x:f t="shared" si="96"/>
      </x:c>
      <x:c r="L304" s="110" t="str">
        <x:f t="array" ref="L304">IF(C304&lt;&gt;"",_xlfn.IFS(L$10="TLA",RECORD!GY306,N$10="LECTURE","",TRUE(),""),"")</x:f>
      </x:c>
      <x:c r="M304" s="105" t="str">
        <x:f t="shared" si="97"/>
      </x:c>
      <x:c r="N304" s="104" t="str">
        <x:f t="array" ref="N304">IF(C304&lt;&gt;"",_xlfn.IFS(N$10="AT",RECORD!GS306,N$10="LECTURE",AX304,TRUE(),""),"")</x:f>
      </x:c>
      <x:c r="O304" s="106" t="str">
        <x:f t="shared" si="98"/>
      </x:c>
      <x:c r="P304" s="107" t="str">
        <x:f t="array" ref="P304">IF(C304&lt;&gt;"",_xlfn.IFS(P$10="EXAM",RECORD!GT306,P$10="OUTPUT",RECORD!GU306,P$10="LAB",BX304,TRUE(),""),"")</x:f>
      </x:c>
      <x:c r="Q304" s="106" t="str">
        <x:f t="shared" si="99"/>
      </x:c>
      <x:c r="R304" s="108" t="str">
        <x:f t="shared" si="100"/>
      </x:c>
      <x:c r="S304" s="109" t="str">
        <x:f t="shared" si="101"/>
      </x:c>
      <x:c r="T304" s="110" t="str">
        <x:f t="array" ref="T304">IF(C304&lt;&gt;"",_xlfn.IFS(T$10="TLA",RECORD!HI306,V$10="LECTURE","",TRUE(),""),"")</x:f>
      </x:c>
      <x:c r="U304" s="105" t="str">
        <x:f t="shared" si="102"/>
      </x:c>
      <x:c r="V304" s="104" t="str">
        <x:f t="array" ref="V304">IF(C304&lt;&gt;"",_xlfn.IFS(V$10="AT",RECORD!HC306,V$10="LECTURE",BF304,TRUE(),""),"")</x:f>
      </x:c>
      <x:c r="W304" s="106" t="str">
        <x:f t="shared" si="103"/>
      </x:c>
      <x:c r="X304" s="107" t="str">
        <x:f t="array" ref="X304">IF(C304&lt;&gt;"",_xlfn.IFS(X$10="EXAM",RECORD!HD306,X$10="OUTPUT",RECORD!HE306,X$10="LAB",CF304,TRUE(),""),"")</x:f>
      </x:c>
      <x:c r="Y304" s="106" t="str">
        <x:f t="shared" si="104"/>
      </x:c>
      <x:c r="Z304" s="108" t="str">
        <x:f t="shared" si="105"/>
      </x:c>
      <x:c r="AA304" s="109" t="str">
        <x:f t="shared" si="106"/>
      </x:c>
      <x:c r="AB304" s="111" t="str">
        <x:f t="shared" si="107"/>
      </x:c>
      <x:c r="AC304" s="109" t="str">
        <x:f t="shared" si="108"/>
      </x:c>
      <x:c r="AQ304" s="109" t="str">
        <x:f t="shared" si="109"/>
        <x:v>FAILED</x:v>
      </x:c>
      <x:c r="AR304" s="115"/>
      <x:c r="AS304" s="115"/>
      <x:c r="AT304" s="107"/>
      <x:c r="AU304" s="107"/>
      <x:c r="AV304" s="107"/>
      <x:c r="AW304" s="107"/>
      <x:c r="AX304" s="107"/>
      <x:c r="AY304" s="109" t="str">
        <x:f t="shared" si="110"/>
        <x:v>FAILED</x:v>
      </x:c>
      <x:c r="AZ304" s="115"/>
      <x:c r="BA304" s="115"/>
      <x:c r="BB304" s="107"/>
      <x:c r="BC304" s="107"/>
      <x:c r="BD304" s="107"/>
      <x:c r="BE304" s="107"/>
      <x:c r="BF304" s="107"/>
      <x:c r="BG304" s="109" t="str">
        <x:f t="shared" si="111"/>
        <x:v>FAILED</x:v>
      </x:c>
      <x:c r="BQ304" s="109" t="str">
        <x:f t="shared" si="112"/>
        <x:v>FAILED</x:v>
      </x:c>
      <x:c r="BR304" s="115"/>
      <x:c r="BS304" s="115"/>
      <x:c r="BT304" s="107"/>
      <x:c r="BU304" s="107"/>
      <x:c r="BV304" s="107"/>
      <x:c r="BW304" s="107"/>
      <x:c r="BX304" s="107"/>
      <x:c r="BY304" s="109" t="str">
        <x:f t="shared" si="113"/>
        <x:v>FAILED</x:v>
      </x:c>
      <x:c r="BZ304" s="115"/>
      <x:c r="CA304" s="115"/>
      <x:c r="CB304" s="107"/>
      <x:c r="CC304" s="107"/>
      <x:c r="CD304" s="107"/>
      <x:c r="CE304" s="107"/>
      <x:c r="CF304" s="107"/>
      <x:c r="CG304" s="109" t="str">
        <x:f t="shared" si="114"/>
        <x:v>FAILED</x:v>
      </x:c>
    </x:row>
    <x:row r="305">
      <x:c r="A305" s="102" t="str">
        <x:f>IF(RECORD!A307="","",RECORD!A307)</x:f>
      </x:c>
      <x:c r="B305" s="102" t="str">
        <x:f>IF(RECORD!B307="","",RECORD!B307)</x:f>
      </x:c>
      <x:c r="C305" s="103" t="str">
        <x:f>IF(RECORD!C307="","",RECORD!C307)</x:f>
      </x:c>
      <x:c r="D305" s="104" t="str">
        <x:f t="array" ref="D305">IF(C305&lt;&gt;"",IF(F$7="SUMMER","N/A",_xlfn.IFS(D$10="TLA",RECORD!GO307,F$10="LECTURE","",TRUE(),"")),"")</x:f>
      </x:c>
      <x:c r="E305" s="105" t="str">
        <x:f t="shared" si="92"/>
      </x:c>
      <x:c r="F305" s="104" t="str">
        <x:f t="array" ref="F305">IF(C305&lt;&gt;"",IF(F$7="SUMMER","N/A",_xlfn.IFS(F$10="AT",RECORD!GI307,F$10="LECTURE",GRADES!AP305,TRUE(),"")),"")</x:f>
      </x:c>
      <x:c r="G305" s="106" t="str">
        <x:f t="shared" si="93"/>
      </x:c>
      <x:c r="H305" s="107" t="str">
        <x:f t="array" ref="H305">IF(C305&lt;&gt;"",IF(F$7="SUMMER","N/A",_xlfn.IFS(H$10="EXAM",RECORD!GJ307,H$10="OUTPUT",RECORD!GK307,H$10="LAB",BP305,TRUE(),"")),"")</x:f>
      </x:c>
      <x:c r="I305" s="106" t="str">
        <x:f t="shared" si="94"/>
      </x:c>
      <x:c r="J305" s="108" t="str">
        <x:f t="shared" si="95"/>
      </x:c>
      <x:c r="K305" s="109" t="str">
        <x:f t="shared" si="96"/>
      </x:c>
      <x:c r="L305" s="110" t="str">
        <x:f t="array" ref="L305">IF(C305&lt;&gt;"",_xlfn.IFS(L$10="TLA",RECORD!GY307,N$10="LECTURE","",TRUE(),""),"")</x:f>
      </x:c>
      <x:c r="M305" s="105" t="str">
        <x:f t="shared" si="97"/>
      </x:c>
      <x:c r="N305" s="104" t="str">
        <x:f t="array" ref="N305">IF(C305&lt;&gt;"",_xlfn.IFS(N$10="AT",RECORD!GS307,N$10="LECTURE",AX305,TRUE(),""),"")</x:f>
      </x:c>
      <x:c r="O305" s="106" t="str">
        <x:f t="shared" si="98"/>
      </x:c>
      <x:c r="P305" s="107" t="str">
        <x:f t="array" ref="P305">IF(C305&lt;&gt;"",_xlfn.IFS(P$10="EXAM",RECORD!GT307,P$10="OUTPUT",RECORD!GU307,P$10="LAB",BX305,TRUE(),""),"")</x:f>
      </x:c>
      <x:c r="Q305" s="106" t="str">
        <x:f t="shared" si="99"/>
      </x:c>
      <x:c r="R305" s="108" t="str">
        <x:f t="shared" si="100"/>
      </x:c>
      <x:c r="S305" s="109" t="str">
        <x:f t="shared" si="101"/>
      </x:c>
      <x:c r="T305" s="110" t="str">
        <x:f t="array" ref="T305">IF(C305&lt;&gt;"",_xlfn.IFS(T$10="TLA",RECORD!HI307,V$10="LECTURE","",TRUE(),""),"")</x:f>
      </x:c>
      <x:c r="U305" s="105" t="str">
        <x:f t="shared" si="102"/>
      </x:c>
      <x:c r="V305" s="104" t="str">
        <x:f t="array" ref="V305">IF(C305&lt;&gt;"",_xlfn.IFS(V$10="AT",RECORD!HC307,V$10="LECTURE",BF305,TRUE(),""),"")</x:f>
      </x:c>
      <x:c r="W305" s="106" t="str">
        <x:f t="shared" si="103"/>
      </x:c>
      <x:c r="X305" s="107" t="str">
        <x:f t="array" ref="X305">IF(C305&lt;&gt;"",_xlfn.IFS(X$10="EXAM",RECORD!HD307,X$10="OUTPUT",RECORD!HE307,X$10="LAB",CF305,TRUE(),""),"")</x:f>
      </x:c>
      <x:c r="Y305" s="106" t="str">
        <x:f t="shared" si="104"/>
      </x:c>
      <x:c r="Z305" s="108" t="str">
        <x:f t="shared" si="105"/>
      </x:c>
      <x:c r="AA305" s="109" t="str">
        <x:f t="shared" si="106"/>
      </x:c>
      <x:c r="AB305" s="111" t="str">
        <x:f t="shared" si="107"/>
      </x:c>
      <x:c r="AC305" s="109" t="str">
        <x:f t="shared" si="108"/>
      </x:c>
      <x:c r="AQ305" s="109" t="str">
        <x:f t="shared" si="109"/>
        <x:v>FAILED</x:v>
      </x:c>
      <x:c r="AR305" s="115"/>
      <x:c r="AS305" s="115"/>
      <x:c r="AT305" s="107"/>
      <x:c r="AU305" s="107"/>
      <x:c r="AV305" s="107"/>
      <x:c r="AW305" s="107"/>
      <x:c r="AX305" s="107"/>
      <x:c r="AY305" s="109" t="str">
        <x:f t="shared" si="110"/>
        <x:v>FAILED</x:v>
      </x:c>
      <x:c r="AZ305" s="115"/>
      <x:c r="BA305" s="115"/>
      <x:c r="BB305" s="107"/>
      <x:c r="BC305" s="107"/>
      <x:c r="BD305" s="107"/>
      <x:c r="BE305" s="107"/>
      <x:c r="BF305" s="107"/>
      <x:c r="BG305" s="109" t="str">
        <x:f t="shared" si="111"/>
        <x:v>FAILED</x:v>
      </x:c>
      <x:c r="BQ305" s="109" t="str">
        <x:f t="shared" si="112"/>
        <x:v>FAILED</x:v>
      </x:c>
      <x:c r="BR305" s="115"/>
      <x:c r="BS305" s="115"/>
      <x:c r="BT305" s="107"/>
      <x:c r="BU305" s="107"/>
      <x:c r="BV305" s="107"/>
      <x:c r="BW305" s="107"/>
      <x:c r="BX305" s="107"/>
      <x:c r="BY305" s="109" t="str">
        <x:f t="shared" si="113"/>
        <x:v>FAILED</x:v>
      </x:c>
      <x:c r="BZ305" s="115"/>
      <x:c r="CA305" s="115"/>
      <x:c r="CB305" s="107"/>
      <x:c r="CC305" s="107"/>
      <x:c r="CD305" s="107"/>
      <x:c r="CE305" s="107"/>
      <x:c r="CF305" s="107"/>
      <x:c r="CG305" s="109" t="str">
        <x:f t="shared" si="114"/>
        <x:v>FAILED</x:v>
      </x:c>
    </x:row>
    <x:row r="306">
      <x:c r="A306" s="102" t="str">
        <x:f>IF(RECORD!A308="","",RECORD!A308)</x:f>
      </x:c>
      <x:c r="B306" s="102" t="str">
        <x:f>IF(RECORD!B308="","",RECORD!B308)</x:f>
      </x:c>
      <x:c r="C306" s="103" t="str">
        <x:f>IF(RECORD!C308="","",RECORD!C308)</x:f>
      </x:c>
      <x:c r="D306" s="104" t="str">
        <x:f t="array" ref="D306">IF(C306&lt;&gt;"",IF(F$7="SUMMER","N/A",_xlfn.IFS(D$10="TLA",RECORD!GO308,F$10="LECTURE","",TRUE(),"")),"")</x:f>
      </x:c>
      <x:c r="E306" s="105" t="str">
        <x:f t="shared" si="92"/>
      </x:c>
      <x:c r="F306" s="104" t="str">
        <x:f t="array" ref="F306">IF(C306&lt;&gt;"",IF(F$7="SUMMER","N/A",_xlfn.IFS(F$10="AT",RECORD!GI308,F$10="LECTURE",GRADES!AP306,TRUE(),"")),"")</x:f>
      </x:c>
      <x:c r="G306" s="106" t="str">
        <x:f t="shared" si="93"/>
      </x:c>
      <x:c r="H306" s="107" t="str">
        <x:f t="array" ref="H306">IF(C306&lt;&gt;"",IF(F$7="SUMMER","N/A",_xlfn.IFS(H$10="EXAM",RECORD!GJ308,H$10="OUTPUT",RECORD!GK308,H$10="LAB",BP306,TRUE(),"")),"")</x:f>
      </x:c>
      <x:c r="I306" s="106" t="str">
        <x:f t="shared" si="94"/>
      </x:c>
      <x:c r="J306" s="108" t="str">
        <x:f t="shared" si="95"/>
      </x:c>
      <x:c r="K306" s="109" t="str">
        <x:f t="shared" si="96"/>
      </x:c>
      <x:c r="L306" s="110" t="str">
        <x:f t="array" ref="L306">IF(C306&lt;&gt;"",_xlfn.IFS(L$10="TLA",RECORD!GY308,N$10="LECTURE","",TRUE(),""),"")</x:f>
      </x:c>
      <x:c r="M306" s="105" t="str">
        <x:f t="shared" si="97"/>
      </x:c>
      <x:c r="N306" s="104" t="str">
        <x:f t="array" ref="N306">IF(C306&lt;&gt;"",_xlfn.IFS(N$10="AT",RECORD!GS308,N$10="LECTURE",AX306,TRUE(),""),"")</x:f>
      </x:c>
      <x:c r="O306" s="106" t="str">
        <x:f t="shared" si="98"/>
      </x:c>
      <x:c r="P306" s="107" t="str">
        <x:f t="array" ref="P306">IF(C306&lt;&gt;"",_xlfn.IFS(P$10="EXAM",RECORD!GT308,P$10="OUTPUT",RECORD!GU308,P$10="LAB",BX306,TRUE(),""),"")</x:f>
      </x:c>
      <x:c r="Q306" s="106" t="str">
        <x:f t="shared" si="99"/>
      </x:c>
      <x:c r="R306" s="108" t="str">
        <x:f t="shared" si="100"/>
      </x:c>
      <x:c r="S306" s="109" t="str">
        <x:f t="shared" si="101"/>
      </x:c>
      <x:c r="T306" s="110" t="str">
        <x:f t="array" ref="T306">IF(C306&lt;&gt;"",_xlfn.IFS(T$10="TLA",RECORD!HI308,V$10="LECTURE","",TRUE(),""),"")</x:f>
      </x:c>
      <x:c r="U306" s="105" t="str">
        <x:f t="shared" si="102"/>
      </x:c>
      <x:c r="V306" s="104" t="str">
        <x:f t="array" ref="V306">IF(C306&lt;&gt;"",_xlfn.IFS(V$10="AT",RECORD!HC308,V$10="LECTURE",BF306,TRUE(),""),"")</x:f>
      </x:c>
      <x:c r="W306" s="106" t="str">
        <x:f t="shared" si="103"/>
      </x:c>
      <x:c r="X306" s="107" t="str">
        <x:f t="array" ref="X306">IF(C306&lt;&gt;"",_xlfn.IFS(X$10="EXAM",RECORD!HD308,X$10="OUTPUT",RECORD!HE308,X$10="LAB",CF306,TRUE(),""),"")</x:f>
      </x:c>
      <x:c r="Y306" s="106" t="str">
        <x:f t="shared" si="104"/>
      </x:c>
      <x:c r="Z306" s="108" t="str">
        <x:f t="shared" si="105"/>
      </x:c>
      <x:c r="AA306" s="109" t="str">
        <x:f t="shared" si="106"/>
      </x:c>
      <x:c r="AB306" s="111" t="str">
        <x:f t="shared" si="107"/>
      </x:c>
      <x:c r="AC306" s="109" t="str">
        <x:f t="shared" si="108"/>
      </x:c>
      <x:c r="AQ306" s="109" t="str">
        <x:f t="shared" si="109"/>
        <x:v>FAILED</x:v>
      </x:c>
      <x:c r="AR306" s="115"/>
      <x:c r="AS306" s="115"/>
      <x:c r="AT306" s="107"/>
      <x:c r="AU306" s="107"/>
      <x:c r="AV306" s="107"/>
      <x:c r="AW306" s="107"/>
      <x:c r="AX306" s="107"/>
      <x:c r="AY306" s="109" t="str">
        <x:f t="shared" si="110"/>
        <x:v>FAILED</x:v>
      </x:c>
      <x:c r="AZ306" s="115"/>
      <x:c r="BA306" s="115"/>
      <x:c r="BB306" s="107"/>
      <x:c r="BC306" s="107"/>
      <x:c r="BD306" s="107"/>
      <x:c r="BE306" s="107"/>
      <x:c r="BF306" s="107"/>
      <x:c r="BG306" s="109" t="str">
        <x:f t="shared" si="111"/>
        <x:v>FAILED</x:v>
      </x:c>
      <x:c r="BQ306" s="109" t="str">
        <x:f t="shared" si="112"/>
        <x:v>FAILED</x:v>
      </x:c>
      <x:c r="BR306" s="115"/>
      <x:c r="BS306" s="115"/>
      <x:c r="BT306" s="107"/>
      <x:c r="BU306" s="107"/>
      <x:c r="BV306" s="107"/>
      <x:c r="BW306" s="107"/>
      <x:c r="BX306" s="107"/>
      <x:c r="BY306" s="109" t="str">
        <x:f t="shared" si="113"/>
        <x:v>FAILED</x:v>
      </x:c>
      <x:c r="BZ306" s="115"/>
      <x:c r="CA306" s="115"/>
      <x:c r="CB306" s="107"/>
      <x:c r="CC306" s="107"/>
      <x:c r="CD306" s="107"/>
      <x:c r="CE306" s="107"/>
      <x:c r="CF306" s="107"/>
      <x:c r="CG306" s="109" t="str">
        <x:f t="shared" si="114"/>
        <x:v>FAILED</x:v>
      </x:c>
    </x:row>
    <x:row r="307">
      <x:c r="A307" s="102" t="str">
        <x:f>IF(RECORD!A309="","",RECORD!A309)</x:f>
      </x:c>
      <x:c r="B307" s="102" t="str">
        <x:f>IF(RECORD!B309="","",RECORD!B309)</x:f>
      </x:c>
      <x:c r="C307" s="103" t="str">
        <x:f>IF(RECORD!C309="","",RECORD!C309)</x:f>
      </x:c>
      <x:c r="D307" s="104" t="str">
        <x:f t="array" ref="D307">IF(C307&lt;&gt;"",IF(F$7="SUMMER","N/A",_xlfn.IFS(D$10="TLA",RECORD!GO309,F$10="LECTURE","",TRUE(),"")),"")</x:f>
      </x:c>
      <x:c r="E307" s="105" t="str">
        <x:f t="shared" si="92"/>
      </x:c>
      <x:c r="F307" s="104" t="str">
        <x:f t="array" ref="F307">IF(C307&lt;&gt;"",IF(F$7="SUMMER","N/A",_xlfn.IFS(F$10="AT",RECORD!GI309,F$10="LECTURE",GRADES!AP307,TRUE(),"")),"")</x:f>
      </x:c>
      <x:c r="G307" s="106" t="str">
        <x:f t="shared" si="93"/>
      </x:c>
      <x:c r="H307" s="107" t="str">
        <x:f t="array" ref="H307">IF(C307&lt;&gt;"",IF(F$7="SUMMER","N/A",_xlfn.IFS(H$10="EXAM",RECORD!GJ309,H$10="OUTPUT",RECORD!GK309,H$10="LAB",BP307,TRUE(),"")),"")</x:f>
      </x:c>
      <x:c r="I307" s="106" t="str">
        <x:f t="shared" si="94"/>
      </x:c>
      <x:c r="J307" s="108" t="str">
        <x:f t="shared" si="95"/>
      </x:c>
      <x:c r="K307" s="109" t="str">
        <x:f t="shared" si="96"/>
      </x:c>
      <x:c r="L307" s="110" t="str">
        <x:f t="array" ref="L307">IF(C307&lt;&gt;"",_xlfn.IFS(L$10="TLA",RECORD!GY309,N$10="LECTURE","",TRUE(),""),"")</x:f>
      </x:c>
      <x:c r="M307" s="105" t="str">
        <x:f t="shared" si="97"/>
      </x:c>
      <x:c r="N307" s="104" t="str">
        <x:f t="array" ref="N307">IF(C307&lt;&gt;"",_xlfn.IFS(N$10="AT",RECORD!GS309,N$10="LECTURE",AX307,TRUE(),""),"")</x:f>
      </x:c>
      <x:c r="O307" s="106" t="str">
        <x:f t="shared" si="98"/>
      </x:c>
      <x:c r="P307" s="107" t="str">
        <x:f t="array" ref="P307">IF(C307&lt;&gt;"",_xlfn.IFS(P$10="EXAM",RECORD!GT309,P$10="OUTPUT",RECORD!GU309,P$10="LAB",BX307,TRUE(),""),"")</x:f>
      </x:c>
      <x:c r="Q307" s="106" t="str">
        <x:f t="shared" si="99"/>
      </x:c>
      <x:c r="R307" s="108" t="str">
        <x:f t="shared" si="100"/>
      </x:c>
      <x:c r="S307" s="109" t="str">
        <x:f t="shared" si="101"/>
      </x:c>
      <x:c r="T307" s="110" t="str">
        <x:f t="array" ref="T307">IF(C307&lt;&gt;"",_xlfn.IFS(T$10="TLA",RECORD!HI309,V$10="LECTURE","",TRUE(),""),"")</x:f>
      </x:c>
      <x:c r="U307" s="105" t="str">
        <x:f t="shared" si="102"/>
      </x:c>
      <x:c r="V307" s="104" t="str">
        <x:f t="array" ref="V307">IF(C307&lt;&gt;"",_xlfn.IFS(V$10="AT",RECORD!HC309,V$10="LECTURE",BF307,TRUE(),""),"")</x:f>
      </x:c>
      <x:c r="W307" s="106" t="str">
        <x:f t="shared" si="103"/>
      </x:c>
      <x:c r="X307" s="107" t="str">
        <x:f t="array" ref="X307">IF(C307&lt;&gt;"",_xlfn.IFS(X$10="EXAM",RECORD!HD309,X$10="OUTPUT",RECORD!HE309,X$10="LAB",CF307,TRUE(),""),"")</x:f>
      </x:c>
      <x:c r="Y307" s="106" t="str">
        <x:f t="shared" si="104"/>
      </x:c>
      <x:c r="Z307" s="108" t="str">
        <x:f t="shared" si="105"/>
      </x:c>
      <x:c r="AA307" s="109" t="str">
        <x:f t="shared" si="106"/>
      </x:c>
      <x:c r="AB307" s="111" t="str">
        <x:f t="shared" si="107"/>
      </x:c>
      <x:c r="AC307" s="109" t="str">
        <x:f t="shared" si="108"/>
      </x:c>
      <x:c r="AQ307" s="109" t="str">
        <x:f t="shared" si="109"/>
        <x:v>FAILED</x:v>
      </x:c>
      <x:c r="AR307" s="115"/>
      <x:c r="AS307" s="115"/>
      <x:c r="AT307" s="107"/>
      <x:c r="AU307" s="107"/>
      <x:c r="AV307" s="107"/>
      <x:c r="AW307" s="107"/>
      <x:c r="AX307" s="107"/>
      <x:c r="AY307" s="109" t="str">
        <x:f t="shared" si="110"/>
        <x:v>FAILED</x:v>
      </x:c>
      <x:c r="AZ307" s="115"/>
      <x:c r="BA307" s="115"/>
      <x:c r="BB307" s="107"/>
      <x:c r="BC307" s="107"/>
      <x:c r="BD307" s="107"/>
      <x:c r="BE307" s="107"/>
      <x:c r="BF307" s="107"/>
      <x:c r="BG307" s="109" t="str">
        <x:f t="shared" si="111"/>
        <x:v>FAILED</x:v>
      </x:c>
      <x:c r="BQ307" s="109" t="str">
        <x:f t="shared" si="112"/>
        <x:v>FAILED</x:v>
      </x:c>
      <x:c r="BR307" s="115"/>
      <x:c r="BS307" s="115"/>
      <x:c r="BT307" s="107"/>
      <x:c r="BU307" s="107"/>
      <x:c r="BV307" s="107"/>
      <x:c r="BW307" s="107"/>
      <x:c r="BX307" s="107"/>
      <x:c r="BY307" s="109" t="str">
        <x:f t="shared" si="113"/>
        <x:v>FAILED</x:v>
      </x:c>
      <x:c r="BZ307" s="115"/>
      <x:c r="CA307" s="115"/>
      <x:c r="CB307" s="107"/>
      <x:c r="CC307" s="107"/>
      <x:c r="CD307" s="107"/>
      <x:c r="CE307" s="107"/>
      <x:c r="CF307" s="107"/>
      <x:c r="CG307" s="109" t="str">
        <x:f t="shared" si="114"/>
        <x:v>FAILED</x:v>
      </x:c>
    </x:row>
    <x:row r="308">
      <x:c r="A308" s="102" t="str">
        <x:f>IF(RECORD!A310="","",RECORD!A310)</x:f>
      </x:c>
      <x:c r="B308" s="102" t="str">
        <x:f>IF(RECORD!B310="","",RECORD!B310)</x:f>
      </x:c>
      <x:c r="C308" s="103" t="str">
        <x:f>IF(RECORD!C310="","",RECORD!C310)</x:f>
      </x:c>
      <x:c r="D308" s="104" t="str">
        <x:f t="array" ref="D308">IF(C308&lt;&gt;"",IF(F$7="SUMMER","N/A",_xlfn.IFS(D$10="TLA",RECORD!GO310,F$10="LECTURE","",TRUE(),"")),"")</x:f>
      </x:c>
      <x:c r="E308" s="105" t="str">
        <x:f t="shared" si="92"/>
      </x:c>
      <x:c r="F308" s="104" t="str">
        <x:f t="array" ref="F308">IF(C308&lt;&gt;"",IF(F$7="SUMMER","N/A",_xlfn.IFS(F$10="AT",RECORD!GI310,F$10="LECTURE",GRADES!AP308,TRUE(),"")),"")</x:f>
      </x:c>
      <x:c r="G308" s="106" t="str">
        <x:f t="shared" si="93"/>
      </x:c>
      <x:c r="H308" s="107" t="str">
        <x:f t="array" ref="H308">IF(C308&lt;&gt;"",IF(F$7="SUMMER","N/A",_xlfn.IFS(H$10="EXAM",RECORD!GJ310,H$10="OUTPUT",RECORD!GK310,H$10="LAB",BP308,TRUE(),"")),"")</x:f>
      </x:c>
      <x:c r="I308" s="106" t="str">
        <x:f t="shared" si="94"/>
      </x:c>
      <x:c r="J308" s="108" t="str">
        <x:f t="shared" si="95"/>
      </x:c>
      <x:c r="K308" s="109" t="str">
        <x:f t="shared" si="96"/>
      </x:c>
      <x:c r="L308" s="110" t="str">
        <x:f t="array" ref="L308">IF(C308&lt;&gt;"",_xlfn.IFS(L$10="TLA",RECORD!GY310,N$10="LECTURE","",TRUE(),""),"")</x:f>
      </x:c>
      <x:c r="M308" s="105" t="str">
        <x:f t="shared" si="97"/>
      </x:c>
      <x:c r="N308" s="104" t="str">
        <x:f t="array" ref="N308">IF(C308&lt;&gt;"",_xlfn.IFS(N$10="AT",RECORD!GS310,N$10="LECTURE",AX308,TRUE(),""),"")</x:f>
      </x:c>
      <x:c r="O308" s="106" t="str">
        <x:f t="shared" si="98"/>
      </x:c>
      <x:c r="P308" s="107" t="str">
        <x:f t="array" ref="P308">IF(C308&lt;&gt;"",_xlfn.IFS(P$10="EXAM",RECORD!GT310,P$10="OUTPUT",RECORD!GU310,P$10="LAB",BX308,TRUE(),""),"")</x:f>
      </x:c>
      <x:c r="Q308" s="106" t="str">
        <x:f t="shared" si="99"/>
      </x:c>
      <x:c r="R308" s="108" t="str">
        <x:f t="shared" si="100"/>
      </x:c>
      <x:c r="S308" s="109" t="str">
        <x:f t="shared" si="101"/>
      </x:c>
      <x:c r="T308" s="110" t="str">
        <x:f t="array" ref="T308">IF(C308&lt;&gt;"",_xlfn.IFS(T$10="TLA",RECORD!HI310,V$10="LECTURE","",TRUE(),""),"")</x:f>
      </x:c>
      <x:c r="U308" s="105" t="str">
        <x:f t="shared" si="102"/>
      </x:c>
      <x:c r="V308" s="104" t="str">
        <x:f t="array" ref="V308">IF(C308&lt;&gt;"",_xlfn.IFS(V$10="AT",RECORD!HC310,V$10="LECTURE",BF308,TRUE(),""),"")</x:f>
      </x:c>
      <x:c r="W308" s="106" t="str">
        <x:f t="shared" si="103"/>
      </x:c>
      <x:c r="X308" s="107" t="str">
        <x:f t="array" ref="X308">IF(C308&lt;&gt;"",_xlfn.IFS(X$10="EXAM",RECORD!HD310,X$10="OUTPUT",RECORD!HE310,X$10="LAB",CF308,TRUE(),""),"")</x:f>
      </x:c>
      <x:c r="Y308" s="106" t="str">
        <x:f t="shared" si="104"/>
      </x:c>
      <x:c r="Z308" s="108" t="str">
        <x:f t="shared" si="105"/>
      </x:c>
      <x:c r="AA308" s="109" t="str">
        <x:f t="shared" si="106"/>
      </x:c>
      <x:c r="AB308" s="111" t="str">
        <x:f t="shared" si="107"/>
      </x:c>
      <x:c r="AC308" s="109" t="str">
        <x:f t="shared" si="108"/>
      </x:c>
      <x:c r="AQ308" s="109" t="str">
        <x:f t="shared" si="109"/>
        <x:v>FAILED</x:v>
      </x:c>
      <x:c r="AR308" s="115"/>
      <x:c r="AS308" s="115"/>
      <x:c r="AT308" s="107"/>
      <x:c r="AU308" s="107"/>
      <x:c r="AV308" s="107"/>
      <x:c r="AW308" s="107"/>
      <x:c r="AX308" s="107"/>
      <x:c r="AY308" s="109" t="str">
        <x:f t="shared" si="110"/>
        <x:v>FAILED</x:v>
      </x:c>
      <x:c r="AZ308" s="115"/>
      <x:c r="BA308" s="115"/>
      <x:c r="BB308" s="107"/>
      <x:c r="BC308" s="107"/>
      <x:c r="BD308" s="107"/>
      <x:c r="BE308" s="107"/>
      <x:c r="BF308" s="107"/>
      <x:c r="BG308" s="109" t="str">
        <x:f t="shared" si="111"/>
        <x:v>FAILED</x:v>
      </x:c>
      <x:c r="BQ308" s="109" t="str">
        <x:f t="shared" si="112"/>
        <x:v>FAILED</x:v>
      </x:c>
      <x:c r="BR308" s="115"/>
      <x:c r="BS308" s="115"/>
      <x:c r="BT308" s="107"/>
      <x:c r="BU308" s="107"/>
      <x:c r="BV308" s="107"/>
      <x:c r="BW308" s="107"/>
      <x:c r="BX308" s="107"/>
      <x:c r="BY308" s="109" t="str">
        <x:f t="shared" si="113"/>
        <x:v>FAILED</x:v>
      </x:c>
      <x:c r="BZ308" s="115"/>
      <x:c r="CA308" s="115"/>
      <x:c r="CB308" s="107"/>
      <x:c r="CC308" s="107"/>
      <x:c r="CD308" s="107"/>
      <x:c r="CE308" s="107"/>
      <x:c r="CF308" s="107"/>
      <x:c r="CG308" s="109" t="str">
        <x:f t="shared" si="114"/>
        <x:v>FAILED</x:v>
      </x:c>
    </x:row>
    <x:row r="309">
      <x:c r="A309" s="102" t="str">
        <x:f>IF(RECORD!A311="","",RECORD!A311)</x:f>
      </x:c>
      <x:c r="B309" s="102" t="str">
        <x:f>IF(RECORD!B311="","",RECORD!B311)</x:f>
      </x:c>
      <x:c r="C309" s="103" t="str">
        <x:f>IF(RECORD!C311="","",RECORD!C311)</x:f>
      </x:c>
      <x:c r="D309" s="104" t="str">
        <x:f t="array" ref="D309">IF(C309&lt;&gt;"",IF(F$7="SUMMER","N/A",_xlfn.IFS(D$10="TLA",RECORD!GO311,F$10="LECTURE","",TRUE(),"")),"")</x:f>
      </x:c>
      <x:c r="E309" s="105" t="str">
        <x:f t="shared" si="92"/>
      </x:c>
      <x:c r="F309" s="104" t="str">
        <x:f t="array" ref="F309">IF(C309&lt;&gt;"",IF(F$7="SUMMER","N/A",_xlfn.IFS(F$10="AT",RECORD!GI311,F$10="LECTURE",GRADES!AP309,TRUE(),"")),"")</x:f>
      </x:c>
      <x:c r="G309" s="106" t="str">
        <x:f t="shared" si="93"/>
      </x:c>
      <x:c r="H309" s="107" t="str">
        <x:f t="array" ref="H309">IF(C309&lt;&gt;"",IF(F$7="SUMMER","N/A",_xlfn.IFS(H$10="EXAM",RECORD!GJ311,H$10="OUTPUT",RECORD!GK311,H$10="LAB",BP309,TRUE(),"")),"")</x:f>
      </x:c>
      <x:c r="I309" s="106" t="str">
        <x:f t="shared" si="94"/>
      </x:c>
      <x:c r="J309" s="108" t="str">
        <x:f t="shared" si="95"/>
      </x:c>
      <x:c r="K309" s="109" t="str">
        <x:f t="shared" si="96"/>
      </x:c>
      <x:c r="L309" s="110" t="str">
        <x:f t="array" ref="L309">IF(C309&lt;&gt;"",_xlfn.IFS(L$10="TLA",RECORD!GY311,N$10="LECTURE","",TRUE(),""),"")</x:f>
      </x:c>
      <x:c r="M309" s="105" t="str">
        <x:f t="shared" si="97"/>
      </x:c>
      <x:c r="N309" s="104" t="str">
        <x:f t="array" ref="N309">IF(C309&lt;&gt;"",_xlfn.IFS(N$10="AT",RECORD!GS311,N$10="LECTURE",AX309,TRUE(),""),"")</x:f>
      </x:c>
      <x:c r="O309" s="106" t="str">
        <x:f t="shared" si="98"/>
      </x:c>
      <x:c r="P309" s="107" t="str">
        <x:f t="array" ref="P309">IF(C309&lt;&gt;"",_xlfn.IFS(P$10="EXAM",RECORD!GT311,P$10="OUTPUT",RECORD!GU311,P$10="LAB",BX309,TRUE(),""),"")</x:f>
      </x:c>
      <x:c r="Q309" s="106" t="str">
        <x:f t="shared" si="99"/>
      </x:c>
      <x:c r="R309" s="108" t="str">
        <x:f t="shared" si="100"/>
      </x:c>
      <x:c r="S309" s="109" t="str">
        <x:f t="shared" si="101"/>
      </x:c>
      <x:c r="T309" s="110" t="str">
        <x:f t="array" ref="T309">IF(C309&lt;&gt;"",_xlfn.IFS(T$10="TLA",RECORD!HI311,V$10="LECTURE","",TRUE(),""),"")</x:f>
      </x:c>
      <x:c r="U309" s="105" t="str">
        <x:f t="shared" si="102"/>
      </x:c>
      <x:c r="V309" s="104" t="str">
        <x:f t="array" ref="V309">IF(C309&lt;&gt;"",_xlfn.IFS(V$10="AT",RECORD!HC311,V$10="LECTURE",BF309,TRUE(),""),"")</x:f>
      </x:c>
      <x:c r="W309" s="106" t="str">
        <x:f t="shared" si="103"/>
      </x:c>
      <x:c r="X309" s="107" t="str">
        <x:f t="array" ref="X309">IF(C309&lt;&gt;"",_xlfn.IFS(X$10="EXAM",RECORD!HD311,X$10="OUTPUT",RECORD!HE311,X$10="LAB",CF309,TRUE(),""),"")</x:f>
      </x:c>
      <x:c r="Y309" s="106" t="str">
        <x:f t="shared" si="104"/>
      </x:c>
      <x:c r="Z309" s="108" t="str">
        <x:f t="shared" si="105"/>
      </x:c>
      <x:c r="AA309" s="109" t="str">
        <x:f t="shared" si="106"/>
      </x:c>
      <x:c r="AB309" s="111" t="str">
        <x:f t="shared" si="107"/>
      </x:c>
      <x:c r="AC309" s="109" t="str">
        <x:f t="shared" si="108"/>
      </x:c>
      <x:c r="AQ309" s="109" t="str">
        <x:f t="shared" si="109"/>
        <x:v>FAILED</x:v>
      </x:c>
      <x:c r="AR309" s="115"/>
      <x:c r="AS309" s="115"/>
      <x:c r="AT309" s="107"/>
      <x:c r="AU309" s="107"/>
      <x:c r="AV309" s="107"/>
      <x:c r="AW309" s="107"/>
      <x:c r="AX309" s="107"/>
      <x:c r="AY309" s="109" t="str">
        <x:f t="shared" si="110"/>
        <x:v>FAILED</x:v>
      </x:c>
      <x:c r="AZ309" s="115"/>
      <x:c r="BA309" s="115"/>
      <x:c r="BB309" s="107"/>
      <x:c r="BC309" s="107"/>
      <x:c r="BD309" s="107"/>
      <x:c r="BE309" s="107"/>
      <x:c r="BF309" s="107"/>
      <x:c r="BG309" s="109" t="str">
        <x:f t="shared" si="111"/>
        <x:v>FAILED</x:v>
      </x:c>
      <x:c r="BQ309" s="109" t="str">
        <x:f t="shared" si="112"/>
        <x:v>FAILED</x:v>
      </x:c>
      <x:c r="BR309" s="115"/>
      <x:c r="BS309" s="115"/>
      <x:c r="BT309" s="107"/>
      <x:c r="BU309" s="107"/>
      <x:c r="BV309" s="107"/>
      <x:c r="BW309" s="107"/>
      <x:c r="BX309" s="107"/>
      <x:c r="BY309" s="109" t="str">
        <x:f t="shared" si="113"/>
        <x:v>FAILED</x:v>
      </x:c>
      <x:c r="BZ309" s="115"/>
      <x:c r="CA309" s="115"/>
      <x:c r="CB309" s="107"/>
      <x:c r="CC309" s="107"/>
      <x:c r="CD309" s="107"/>
      <x:c r="CE309" s="107"/>
      <x:c r="CF309" s="107"/>
      <x:c r="CG309" s="109" t="str">
        <x:f t="shared" si="114"/>
        <x:v>FAILED</x:v>
      </x:c>
    </x:row>
    <x:row r="310">
      <x:c r="A310" s="102" t="str">
        <x:f>IF(RECORD!A312="","",RECORD!A312)</x:f>
      </x:c>
      <x:c r="B310" s="102" t="str">
        <x:f>IF(RECORD!B312="","",RECORD!B312)</x:f>
      </x:c>
      <x:c r="C310" s="103" t="str">
        <x:f>IF(RECORD!C312="","",RECORD!C312)</x:f>
      </x:c>
      <x:c r="D310" s="104" t="str">
        <x:f t="array" ref="D310">IF(C310&lt;&gt;"",IF(F$7="SUMMER","N/A",_xlfn.IFS(D$10="TLA",RECORD!GO312,F$10="LECTURE","",TRUE(),"")),"")</x:f>
      </x:c>
      <x:c r="E310" s="105" t="str">
        <x:f t="shared" si="92"/>
      </x:c>
      <x:c r="F310" s="104" t="str">
        <x:f t="array" ref="F310">IF(C310&lt;&gt;"",IF(F$7="SUMMER","N/A",_xlfn.IFS(F$10="AT",RECORD!GI312,F$10="LECTURE",GRADES!AP310,TRUE(),"")),"")</x:f>
      </x:c>
      <x:c r="G310" s="106" t="str">
        <x:f t="shared" si="93"/>
      </x:c>
      <x:c r="H310" s="107" t="str">
        <x:f t="array" ref="H310">IF(C310&lt;&gt;"",IF(F$7="SUMMER","N/A",_xlfn.IFS(H$10="EXAM",RECORD!GJ312,H$10="OUTPUT",RECORD!GK312,H$10="LAB",BP310,TRUE(),"")),"")</x:f>
      </x:c>
      <x:c r="I310" s="106" t="str">
        <x:f t="shared" si="94"/>
      </x:c>
      <x:c r="J310" s="108" t="str">
        <x:f t="shared" si="95"/>
      </x:c>
      <x:c r="K310" s="109" t="str">
        <x:f t="shared" si="96"/>
      </x:c>
      <x:c r="L310" s="110" t="str">
        <x:f t="array" ref="L310">IF(C310&lt;&gt;"",_xlfn.IFS(L$10="TLA",RECORD!GY312,N$10="LECTURE","",TRUE(),""),"")</x:f>
      </x:c>
      <x:c r="M310" s="105" t="str">
        <x:f t="shared" si="97"/>
      </x:c>
      <x:c r="N310" s="104" t="str">
        <x:f t="array" ref="N310">IF(C310&lt;&gt;"",_xlfn.IFS(N$10="AT",RECORD!GS312,N$10="LECTURE",AX310,TRUE(),""),"")</x:f>
      </x:c>
      <x:c r="O310" s="106" t="str">
        <x:f t="shared" si="98"/>
      </x:c>
      <x:c r="P310" s="107" t="str">
        <x:f t="array" ref="P310">IF(C310&lt;&gt;"",_xlfn.IFS(P$10="EXAM",RECORD!GT312,P$10="OUTPUT",RECORD!GU312,P$10="LAB",BX310,TRUE(),""),"")</x:f>
      </x:c>
      <x:c r="Q310" s="106" t="str">
        <x:f t="shared" si="99"/>
      </x:c>
      <x:c r="R310" s="108" t="str">
        <x:f t="shared" si="100"/>
      </x:c>
      <x:c r="S310" s="109" t="str">
        <x:f t="shared" si="101"/>
      </x:c>
      <x:c r="T310" s="110" t="str">
        <x:f t="array" ref="T310">IF(C310&lt;&gt;"",_xlfn.IFS(T$10="TLA",RECORD!HI312,V$10="LECTURE","",TRUE(),""),"")</x:f>
      </x:c>
      <x:c r="U310" s="105" t="str">
        <x:f t="shared" si="102"/>
      </x:c>
      <x:c r="V310" s="104" t="str">
        <x:f t="array" ref="V310">IF(C310&lt;&gt;"",_xlfn.IFS(V$10="AT",RECORD!HC312,V$10="LECTURE",BF310,TRUE(),""),"")</x:f>
      </x:c>
      <x:c r="W310" s="106" t="str">
        <x:f t="shared" si="103"/>
      </x:c>
      <x:c r="X310" s="107" t="str">
        <x:f t="array" ref="X310">IF(C310&lt;&gt;"",_xlfn.IFS(X$10="EXAM",RECORD!HD312,X$10="OUTPUT",RECORD!HE312,X$10="LAB",CF310,TRUE(),""),"")</x:f>
      </x:c>
      <x:c r="Y310" s="106" t="str">
        <x:f t="shared" si="104"/>
      </x:c>
      <x:c r="Z310" s="108" t="str">
        <x:f t="shared" si="105"/>
      </x:c>
      <x:c r="AA310" s="109" t="str">
        <x:f t="shared" si="106"/>
      </x:c>
      <x:c r="AB310" s="111" t="str">
        <x:f t="shared" si="107"/>
      </x:c>
      <x:c r="AC310" s="109" t="str">
        <x:f t="shared" si="108"/>
      </x:c>
      <x:c r="AQ310" s="109" t="str">
        <x:f t="shared" si="109"/>
        <x:v>FAILED</x:v>
      </x:c>
      <x:c r="AR310" s="115"/>
      <x:c r="AS310" s="115"/>
      <x:c r="AT310" s="107"/>
      <x:c r="AU310" s="107"/>
      <x:c r="AV310" s="107"/>
      <x:c r="AW310" s="107"/>
      <x:c r="AX310" s="107"/>
      <x:c r="AY310" s="109" t="str">
        <x:f t="shared" si="110"/>
        <x:v>FAILED</x:v>
      </x:c>
      <x:c r="AZ310" s="115"/>
      <x:c r="BA310" s="115"/>
      <x:c r="BB310" s="107"/>
      <x:c r="BC310" s="107"/>
      <x:c r="BD310" s="107"/>
      <x:c r="BE310" s="107"/>
      <x:c r="BF310" s="107"/>
      <x:c r="BG310" s="109" t="str">
        <x:f t="shared" si="111"/>
        <x:v>FAILED</x:v>
      </x:c>
      <x:c r="BQ310" s="109" t="str">
        <x:f t="shared" si="112"/>
        <x:v>FAILED</x:v>
      </x:c>
      <x:c r="BR310" s="115"/>
      <x:c r="BS310" s="115"/>
      <x:c r="BT310" s="107"/>
      <x:c r="BU310" s="107"/>
      <x:c r="BV310" s="107"/>
      <x:c r="BW310" s="107"/>
      <x:c r="BX310" s="107"/>
      <x:c r="BY310" s="109" t="str">
        <x:f t="shared" si="113"/>
        <x:v>FAILED</x:v>
      </x:c>
      <x:c r="BZ310" s="115"/>
      <x:c r="CA310" s="115"/>
      <x:c r="CB310" s="107"/>
      <x:c r="CC310" s="107"/>
      <x:c r="CD310" s="107"/>
      <x:c r="CE310" s="107"/>
      <x:c r="CF310" s="107"/>
      <x:c r="CG310" s="109" t="str">
        <x:f t="shared" si="114"/>
        <x:v>FAILED</x:v>
      </x:c>
    </x:row>
    <x:row r="311">
      <x:c r="A311" s="102" t="str">
        <x:f>IF(RECORD!A313="","",RECORD!A313)</x:f>
      </x:c>
      <x:c r="B311" s="102" t="str">
        <x:f>IF(RECORD!B313="","",RECORD!B313)</x:f>
      </x:c>
      <x:c r="C311" s="103" t="str">
        <x:f>IF(RECORD!C313="","",RECORD!C313)</x:f>
      </x:c>
      <x:c r="D311" s="104" t="str">
        <x:f t="array" ref="D311">IF(C311&lt;&gt;"",IF(F$7="SUMMER","N/A",_xlfn.IFS(D$10="TLA",RECORD!GO313,F$10="LECTURE","",TRUE(),"")),"")</x:f>
      </x:c>
      <x:c r="E311" s="105" t="str">
        <x:f t="shared" si="92"/>
      </x:c>
      <x:c r="F311" s="104" t="str">
        <x:f t="array" ref="F311">IF(C311&lt;&gt;"",IF(F$7="SUMMER","N/A",_xlfn.IFS(F$10="AT",RECORD!GI313,F$10="LECTURE",GRADES!AP311,TRUE(),"")),"")</x:f>
      </x:c>
      <x:c r="G311" s="106" t="str">
        <x:f t="shared" si="93"/>
      </x:c>
      <x:c r="H311" s="107" t="str">
        <x:f t="array" ref="H311">IF(C311&lt;&gt;"",IF(F$7="SUMMER","N/A",_xlfn.IFS(H$10="EXAM",RECORD!GJ313,H$10="OUTPUT",RECORD!GK313,H$10="LAB",BP311,TRUE(),"")),"")</x:f>
      </x:c>
      <x:c r="I311" s="106" t="str">
        <x:f t="shared" si="94"/>
      </x:c>
      <x:c r="J311" s="108" t="str">
        <x:f t="shared" si="95"/>
      </x:c>
      <x:c r="K311" s="109" t="str">
        <x:f t="shared" si="96"/>
      </x:c>
      <x:c r="L311" s="110" t="str">
        <x:f t="array" ref="L311">IF(C311&lt;&gt;"",_xlfn.IFS(L$10="TLA",RECORD!GY313,N$10="LECTURE","",TRUE(),""),"")</x:f>
      </x:c>
      <x:c r="M311" s="105" t="str">
        <x:f t="shared" si="97"/>
      </x:c>
      <x:c r="N311" s="104" t="str">
        <x:f t="array" ref="N311">IF(C311&lt;&gt;"",_xlfn.IFS(N$10="AT",RECORD!GS313,N$10="LECTURE",AX311,TRUE(),""),"")</x:f>
      </x:c>
      <x:c r="O311" s="106" t="str">
        <x:f t="shared" si="98"/>
      </x:c>
      <x:c r="P311" s="107" t="str">
        <x:f t="array" ref="P311">IF(C311&lt;&gt;"",_xlfn.IFS(P$10="EXAM",RECORD!GT313,P$10="OUTPUT",RECORD!GU313,P$10="LAB",BX311,TRUE(),""),"")</x:f>
      </x:c>
      <x:c r="Q311" s="106" t="str">
        <x:f t="shared" si="99"/>
      </x:c>
      <x:c r="R311" s="108" t="str">
        <x:f t="shared" si="100"/>
      </x:c>
      <x:c r="S311" s="109" t="str">
        <x:f t="shared" si="101"/>
      </x:c>
      <x:c r="T311" s="110" t="str">
        <x:f t="array" ref="T311">IF(C311&lt;&gt;"",_xlfn.IFS(T$10="TLA",RECORD!HI313,V$10="LECTURE","",TRUE(),""),"")</x:f>
      </x:c>
      <x:c r="U311" s="105" t="str">
        <x:f t="shared" si="102"/>
      </x:c>
      <x:c r="V311" s="104" t="str">
        <x:f t="array" ref="V311">IF(C311&lt;&gt;"",_xlfn.IFS(V$10="AT",RECORD!HC313,V$10="LECTURE",BF311,TRUE(),""),"")</x:f>
      </x:c>
      <x:c r="W311" s="106" t="str">
        <x:f t="shared" si="103"/>
      </x:c>
      <x:c r="X311" s="107" t="str">
        <x:f t="array" ref="X311">IF(C311&lt;&gt;"",_xlfn.IFS(X$10="EXAM",RECORD!HD313,X$10="OUTPUT",RECORD!HE313,X$10="LAB",CF311,TRUE(),""),"")</x:f>
      </x:c>
      <x:c r="Y311" s="106" t="str">
        <x:f t="shared" si="104"/>
      </x:c>
      <x:c r="Z311" s="108" t="str">
        <x:f t="shared" si="105"/>
      </x:c>
      <x:c r="AA311" s="109" t="str">
        <x:f t="shared" si="106"/>
      </x:c>
      <x:c r="AB311" s="111" t="str">
        <x:f t="shared" si="107"/>
      </x:c>
      <x:c r="AC311" s="109" t="str">
        <x:f t="shared" si="108"/>
      </x:c>
      <x:c r="AQ311" s="109" t="str">
        <x:f t="shared" si="109"/>
        <x:v>FAILED</x:v>
      </x:c>
      <x:c r="AR311" s="115"/>
      <x:c r="AS311" s="115"/>
      <x:c r="AT311" s="107"/>
      <x:c r="AU311" s="107"/>
      <x:c r="AV311" s="107"/>
      <x:c r="AW311" s="107"/>
      <x:c r="AX311" s="107"/>
      <x:c r="AY311" s="109" t="str">
        <x:f t="shared" si="110"/>
        <x:v>FAILED</x:v>
      </x:c>
      <x:c r="AZ311" s="115"/>
      <x:c r="BA311" s="115"/>
      <x:c r="BB311" s="107"/>
      <x:c r="BC311" s="107"/>
      <x:c r="BD311" s="107"/>
      <x:c r="BE311" s="107"/>
      <x:c r="BF311" s="107"/>
      <x:c r="BG311" s="109" t="str">
        <x:f t="shared" si="111"/>
        <x:v>FAILED</x:v>
      </x:c>
      <x:c r="BQ311" s="109" t="str">
        <x:f t="shared" si="112"/>
        <x:v>FAILED</x:v>
      </x:c>
      <x:c r="BR311" s="115"/>
      <x:c r="BS311" s="115"/>
      <x:c r="BT311" s="107"/>
      <x:c r="BU311" s="107"/>
      <x:c r="BV311" s="107"/>
      <x:c r="BW311" s="107"/>
      <x:c r="BX311" s="107"/>
      <x:c r="BY311" s="109" t="str">
        <x:f t="shared" si="113"/>
        <x:v>FAILED</x:v>
      </x:c>
      <x:c r="BZ311" s="115"/>
      <x:c r="CA311" s="115"/>
      <x:c r="CB311" s="107"/>
      <x:c r="CC311" s="107"/>
      <x:c r="CD311" s="107"/>
      <x:c r="CE311" s="107"/>
      <x:c r="CF311" s="107"/>
      <x:c r="CG311" s="109" t="str">
        <x:f t="shared" si="114"/>
        <x:v>FAILED</x:v>
      </x:c>
    </x:row>
    <x:row r="312">
      <x:c r="A312" s="102" t="str">
        <x:f>IF(RECORD!A314="","",RECORD!A314)</x:f>
      </x:c>
      <x:c r="B312" s="102" t="str">
        <x:f>IF(RECORD!B314="","",RECORD!B314)</x:f>
      </x:c>
      <x:c r="C312" s="103" t="str">
        <x:f>IF(RECORD!C314="","",RECORD!C314)</x:f>
      </x:c>
      <x:c r="D312" s="104" t="str">
        <x:f t="array" ref="D312">IF(C312&lt;&gt;"",IF(F$7="SUMMER","N/A",_xlfn.IFS(D$10="TLA",RECORD!GO314,F$10="LECTURE","",TRUE(),"")),"")</x:f>
      </x:c>
      <x:c r="E312" s="105" t="str">
        <x:f t="shared" si="92"/>
      </x:c>
      <x:c r="F312" s="104" t="str">
        <x:f t="array" ref="F312">IF(C312&lt;&gt;"",IF(F$7="SUMMER","N/A",_xlfn.IFS(F$10="AT",RECORD!GI314,F$10="LECTURE",GRADES!AP312,TRUE(),"")),"")</x:f>
      </x:c>
      <x:c r="G312" s="106" t="str">
        <x:f t="shared" si="93"/>
      </x:c>
      <x:c r="H312" s="107" t="str">
        <x:f t="array" ref="H312">IF(C312&lt;&gt;"",IF(F$7="SUMMER","N/A",_xlfn.IFS(H$10="EXAM",RECORD!GJ314,H$10="OUTPUT",RECORD!GK314,H$10="LAB",BP312,TRUE(),"")),"")</x:f>
      </x:c>
      <x:c r="I312" s="106" t="str">
        <x:f t="shared" si="94"/>
      </x:c>
      <x:c r="J312" s="108" t="str">
        <x:f t="shared" si="95"/>
      </x:c>
      <x:c r="K312" s="109" t="str">
        <x:f t="shared" si="96"/>
      </x:c>
      <x:c r="L312" s="110" t="str">
        <x:f t="array" ref="L312">IF(C312&lt;&gt;"",_xlfn.IFS(L$10="TLA",RECORD!GY314,N$10="LECTURE","",TRUE(),""),"")</x:f>
      </x:c>
      <x:c r="M312" s="105" t="str">
        <x:f t="shared" si="97"/>
      </x:c>
      <x:c r="N312" s="104" t="str">
        <x:f t="array" ref="N312">IF(C312&lt;&gt;"",_xlfn.IFS(N$10="AT",RECORD!GS314,N$10="LECTURE",AX312,TRUE(),""),"")</x:f>
      </x:c>
      <x:c r="O312" s="106" t="str">
        <x:f t="shared" si="98"/>
      </x:c>
      <x:c r="P312" s="107" t="str">
        <x:f t="array" ref="P312">IF(C312&lt;&gt;"",_xlfn.IFS(P$10="EXAM",RECORD!GT314,P$10="OUTPUT",RECORD!GU314,P$10="LAB",BX312,TRUE(),""),"")</x:f>
      </x:c>
      <x:c r="Q312" s="106" t="str">
        <x:f t="shared" si="99"/>
      </x:c>
      <x:c r="R312" s="108" t="str">
        <x:f t="shared" si="100"/>
      </x:c>
      <x:c r="S312" s="109" t="str">
        <x:f t="shared" si="101"/>
      </x:c>
      <x:c r="T312" s="110" t="str">
        <x:f t="array" ref="T312">IF(C312&lt;&gt;"",_xlfn.IFS(T$10="TLA",RECORD!HI314,V$10="LECTURE","",TRUE(),""),"")</x:f>
      </x:c>
      <x:c r="U312" s="105" t="str">
        <x:f t="shared" si="102"/>
      </x:c>
      <x:c r="V312" s="104" t="str">
        <x:f t="array" ref="V312">IF(C312&lt;&gt;"",_xlfn.IFS(V$10="AT",RECORD!HC314,V$10="LECTURE",BF312,TRUE(),""),"")</x:f>
      </x:c>
      <x:c r="W312" s="106" t="str">
        <x:f t="shared" si="103"/>
      </x:c>
      <x:c r="X312" s="107" t="str">
        <x:f t="array" ref="X312">IF(C312&lt;&gt;"",_xlfn.IFS(X$10="EXAM",RECORD!HD314,X$10="OUTPUT",RECORD!HE314,X$10="LAB",CF312,TRUE(),""),"")</x:f>
      </x:c>
      <x:c r="Y312" s="106" t="str">
        <x:f t="shared" si="104"/>
      </x:c>
      <x:c r="Z312" s="108" t="str">
        <x:f t="shared" si="105"/>
      </x:c>
      <x:c r="AA312" s="109" t="str">
        <x:f t="shared" si="106"/>
      </x:c>
      <x:c r="AB312" s="111" t="str">
        <x:f t="shared" si="107"/>
      </x:c>
      <x:c r="AC312" s="109" t="str">
        <x:f t="shared" si="108"/>
      </x:c>
      <x:c r="AQ312" s="109" t="str">
        <x:f t="shared" si="109"/>
        <x:v>FAILED</x:v>
      </x:c>
      <x:c r="AR312" s="115"/>
      <x:c r="AS312" s="115"/>
      <x:c r="AT312" s="107"/>
      <x:c r="AU312" s="107"/>
      <x:c r="AV312" s="107"/>
      <x:c r="AW312" s="107"/>
      <x:c r="AX312" s="107"/>
      <x:c r="AY312" s="109" t="str">
        <x:f t="shared" si="110"/>
        <x:v>FAILED</x:v>
      </x:c>
      <x:c r="AZ312" s="115"/>
      <x:c r="BA312" s="115"/>
      <x:c r="BB312" s="107"/>
      <x:c r="BC312" s="107"/>
      <x:c r="BD312" s="107"/>
      <x:c r="BE312" s="107"/>
      <x:c r="BF312" s="107"/>
      <x:c r="BG312" s="109" t="str">
        <x:f t="shared" si="111"/>
        <x:v>FAILED</x:v>
      </x:c>
      <x:c r="BQ312" s="109" t="str">
        <x:f t="shared" si="112"/>
        <x:v>FAILED</x:v>
      </x:c>
      <x:c r="BR312" s="115"/>
      <x:c r="BS312" s="115"/>
      <x:c r="BT312" s="107"/>
      <x:c r="BU312" s="107"/>
      <x:c r="BV312" s="107"/>
      <x:c r="BW312" s="107"/>
      <x:c r="BX312" s="107"/>
      <x:c r="BY312" s="109" t="str">
        <x:f t="shared" si="113"/>
        <x:v>FAILED</x:v>
      </x:c>
      <x:c r="BZ312" s="115"/>
      <x:c r="CA312" s="115"/>
      <x:c r="CB312" s="107"/>
      <x:c r="CC312" s="107"/>
      <x:c r="CD312" s="107"/>
      <x:c r="CE312" s="107"/>
      <x:c r="CF312" s="107"/>
      <x:c r="CG312" s="109" t="str">
        <x:f t="shared" si="114"/>
        <x:v>FAILED</x:v>
      </x:c>
    </x:row>
    <x:row r="313">
      <x:c r="A313" s="102" t="str">
        <x:f>IF(RECORD!A315="","",RECORD!A315)</x:f>
      </x:c>
      <x:c r="B313" s="102" t="str">
        <x:f>IF(RECORD!B315="","",RECORD!B315)</x:f>
      </x:c>
      <x:c r="C313" s="103" t="str">
        <x:f>IF(RECORD!C315="","",RECORD!C315)</x:f>
      </x:c>
      <x:c r="D313" s="104" t="str">
        <x:f t="array" ref="D313">IF(C313&lt;&gt;"",IF(F$7="SUMMER","N/A",_xlfn.IFS(D$10="TLA",RECORD!GO315,F$10="LECTURE","",TRUE(),"")),"")</x:f>
      </x:c>
      <x:c r="E313" s="105" t="str">
        <x:f t="shared" si="92"/>
      </x:c>
      <x:c r="F313" s="104" t="str">
        <x:f t="array" ref="F313">IF(C313&lt;&gt;"",IF(F$7="SUMMER","N/A",_xlfn.IFS(F$10="AT",RECORD!GI315,F$10="LECTURE",GRADES!AP313,TRUE(),"")),"")</x:f>
      </x:c>
      <x:c r="G313" s="106" t="str">
        <x:f t="shared" si="93"/>
      </x:c>
      <x:c r="H313" s="107" t="str">
        <x:f t="array" ref="H313">IF(C313&lt;&gt;"",IF(F$7="SUMMER","N/A",_xlfn.IFS(H$10="EXAM",RECORD!GJ315,H$10="OUTPUT",RECORD!GK315,H$10="LAB",BP313,TRUE(),"")),"")</x:f>
      </x:c>
      <x:c r="I313" s="106" t="str">
        <x:f t="shared" si="94"/>
      </x:c>
      <x:c r="J313" s="108" t="str">
        <x:f t="shared" si="95"/>
      </x:c>
      <x:c r="K313" s="109" t="str">
        <x:f t="shared" si="96"/>
      </x:c>
      <x:c r="L313" s="110" t="str">
        <x:f t="array" ref="L313">IF(C313&lt;&gt;"",_xlfn.IFS(L$10="TLA",RECORD!GY315,N$10="LECTURE","",TRUE(),""),"")</x:f>
      </x:c>
      <x:c r="M313" s="105" t="str">
        <x:f t="shared" si="97"/>
      </x:c>
      <x:c r="N313" s="104" t="str">
        <x:f t="array" ref="N313">IF(C313&lt;&gt;"",_xlfn.IFS(N$10="AT",RECORD!GS315,N$10="LECTURE",AX313,TRUE(),""),"")</x:f>
      </x:c>
      <x:c r="O313" s="106" t="str">
        <x:f t="shared" si="98"/>
      </x:c>
      <x:c r="P313" s="107" t="str">
        <x:f t="array" ref="P313">IF(C313&lt;&gt;"",_xlfn.IFS(P$10="EXAM",RECORD!GT315,P$10="OUTPUT",RECORD!GU315,P$10="LAB",BX313,TRUE(),""),"")</x:f>
      </x:c>
      <x:c r="Q313" s="106" t="str">
        <x:f t="shared" si="99"/>
      </x:c>
      <x:c r="R313" s="108" t="str">
        <x:f t="shared" si="100"/>
      </x:c>
      <x:c r="S313" s="109" t="str">
        <x:f t="shared" si="101"/>
      </x:c>
      <x:c r="T313" s="110" t="str">
        <x:f t="array" ref="T313">IF(C313&lt;&gt;"",_xlfn.IFS(T$10="TLA",RECORD!HI315,V$10="LECTURE","",TRUE(),""),"")</x:f>
      </x:c>
      <x:c r="U313" s="105" t="str">
        <x:f t="shared" si="102"/>
      </x:c>
      <x:c r="V313" s="104" t="str">
        <x:f t="array" ref="V313">IF(C313&lt;&gt;"",_xlfn.IFS(V$10="AT",RECORD!HC315,V$10="LECTURE",BF313,TRUE(),""),"")</x:f>
      </x:c>
      <x:c r="W313" s="106" t="str">
        <x:f t="shared" si="103"/>
      </x:c>
      <x:c r="X313" s="107" t="str">
        <x:f t="array" ref="X313">IF(C313&lt;&gt;"",_xlfn.IFS(X$10="EXAM",RECORD!HD315,X$10="OUTPUT",RECORD!HE315,X$10="LAB",CF313,TRUE(),""),"")</x:f>
      </x:c>
      <x:c r="Y313" s="106" t="str">
        <x:f t="shared" si="104"/>
      </x:c>
      <x:c r="Z313" s="108" t="str">
        <x:f t="shared" si="105"/>
      </x:c>
      <x:c r="AA313" s="109" t="str">
        <x:f t="shared" si="106"/>
      </x:c>
      <x:c r="AB313" s="111" t="str">
        <x:f t="shared" si="107"/>
      </x:c>
      <x:c r="AC313" s="109" t="str">
        <x:f t="shared" si="108"/>
      </x:c>
      <x:c r="AQ313" s="109" t="str">
        <x:f t="shared" si="109"/>
        <x:v>FAILED</x:v>
      </x:c>
      <x:c r="AR313" s="115"/>
      <x:c r="AS313" s="115"/>
      <x:c r="AT313" s="107"/>
      <x:c r="AU313" s="107"/>
      <x:c r="AV313" s="107"/>
      <x:c r="AW313" s="107"/>
      <x:c r="AX313" s="107"/>
      <x:c r="AY313" s="109" t="str">
        <x:f t="shared" si="110"/>
        <x:v>FAILED</x:v>
      </x:c>
      <x:c r="AZ313" s="115"/>
      <x:c r="BA313" s="115"/>
      <x:c r="BB313" s="107"/>
      <x:c r="BC313" s="107"/>
      <x:c r="BD313" s="107"/>
      <x:c r="BE313" s="107"/>
      <x:c r="BF313" s="107"/>
      <x:c r="BG313" s="109" t="str">
        <x:f t="shared" si="111"/>
        <x:v>FAILED</x:v>
      </x:c>
      <x:c r="BQ313" s="109" t="str">
        <x:f t="shared" si="112"/>
        <x:v>FAILED</x:v>
      </x:c>
      <x:c r="BR313" s="115"/>
      <x:c r="BS313" s="115"/>
      <x:c r="BT313" s="107"/>
      <x:c r="BU313" s="107"/>
      <x:c r="BV313" s="107"/>
      <x:c r="BW313" s="107"/>
      <x:c r="BX313" s="107"/>
      <x:c r="BY313" s="109" t="str">
        <x:f t="shared" si="113"/>
        <x:v>FAILED</x:v>
      </x:c>
      <x:c r="BZ313" s="115"/>
      <x:c r="CA313" s="115"/>
      <x:c r="CB313" s="107"/>
      <x:c r="CC313" s="107"/>
      <x:c r="CD313" s="107"/>
      <x:c r="CE313" s="107"/>
      <x:c r="CF313" s="107"/>
      <x:c r="CG313" s="109" t="str">
        <x:f t="shared" si="114"/>
        <x:v>FAILED</x:v>
      </x:c>
    </x:row>
    <x:row r="314">
      <x:c r="A314" s="102" t="str">
        <x:f>IF(RECORD!A316="","",RECORD!A316)</x:f>
      </x:c>
      <x:c r="B314" s="102" t="str">
        <x:f>IF(RECORD!B316="","",RECORD!B316)</x:f>
      </x:c>
      <x:c r="C314" s="103" t="str">
        <x:f>IF(RECORD!C316="","",RECORD!C316)</x:f>
      </x:c>
      <x:c r="D314" s="104" t="str">
        <x:f t="array" ref="D314">IF(C314&lt;&gt;"",IF(F$7="SUMMER","N/A",_xlfn.IFS(D$10="TLA",RECORD!GO316,F$10="LECTURE","",TRUE(),"")),"")</x:f>
      </x:c>
      <x:c r="E314" s="105" t="str">
        <x:f t="shared" si="92"/>
      </x:c>
      <x:c r="F314" s="104" t="str">
        <x:f t="array" ref="F314">IF(C314&lt;&gt;"",IF(F$7="SUMMER","N/A",_xlfn.IFS(F$10="AT",RECORD!GI316,F$10="LECTURE",GRADES!AP314,TRUE(),"")),"")</x:f>
      </x:c>
      <x:c r="G314" s="106" t="str">
        <x:f t="shared" si="93"/>
      </x:c>
      <x:c r="H314" s="107" t="str">
        <x:f t="array" ref="H314">IF(C314&lt;&gt;"",IF(F$7="SUMMER","N/A",_xlfn.IFS(H$10="EXAM",RECORD!GJ316,H$10="OUTPUT",RECORD!GK316,H$10="LAB",BP314,TRUE(),"")),"")</x:f>
      </x:c>
      <x:c r="I314" s="106" t="str">
        <x:f t="shared" si="94"/>
      </x:c>
      <x:c r="J314" s="108" t="str">
        <x:f t="shared" si="95"/>
      </x:c>
      <x:c r="K314" s="109" t="str">
        <x:f t="shared" si="96"/>
      </x:c>
      <x:c r="L314" s="110" t="str">
        <x:f t="array" ref="L314">IF(C314&lt;&gt;"",_xlfn.IFS(L$10="TLA",RECORD!GY316,N$10="LECTURE","",TRUE(),""),"")</x:f>
      </x:c>
      <x:c r="M314" s="105" t="str">
        <x:f t="shared" si="97"/>
      </x:c>
      <x:c r="N314" s="104" t="str">
        <x:f t="array" ref="N314">IF(C314&lt;&gt;"",_xlfn.IFS(N$10="AT",RECORD!GS316,N$10="LECTURE",AX314,TRUE(),""),"")</x:f>
      </x:c>
      <x:c r="O314" s="106" t="str">
        <x:f t="shared" si="98"/>
      </x:c>
      <x:c r="P314" s="107" t="str">
        <x:f t="array" ref="P314">IF(C314&lt;&gt;"",_xlfn.IFS(P$10="EXAM",RECORD!GT316,P$10="OUTPUT",RECORD!GU316,P$10="LAB",BX314,TRUE(),""),"")</x:f>
      </x:c>
      <x:c r="Q314" s="106" t="str">
        <x:f t="shared" si="99"/>
      </x:c>
      <x:c r="R314" s="108" t="str">
        <x:f t="shared" si="100"/>
      </x:c>
      <x:c r="S314" s="109" t="str">
        <x:f t="shared" si="101"/>
      </x:c>
      <x:c r="T314" s="110" t="str">
        <x:f t="array" ref="T314">IF(C314&lt;&gt;"",_xlfn.IFS(T$10="TLA",RECORD!HI316,V$10="LECTURE","",TRUE(),""),"")</x:f>
      </x:c>
      <x:c r="U314" s="105" t="str">
        <x:f t="shared" si="102"/>
      </x:c>
      <x:c r="V314" s="104" t="str">
        <x:f t="array" ref="V314">IF(C314&lt;&gt;"",_xlfn.IFS(V$10="AT",RECORD!HC316,V$10="LECTURE",BF314,TRUE(),""),"")</x:f>
      </x:c>
      <x:c r="W314" s="106" t="str">
        <x:f t="shared" si="103"/>
      </x:c>
      <x:c r="X314" s="107" t="str">
        <x:f t="array" ref="X314">IF(C314&lt;&gt;"",_xlfn.IFS(X$10="EXAM",RECORD!HD316,X$10="OUTPUT",RECORD!HE316,X$10="LAB",CF314,TRUE(),""),"")</x:f>
      </x:c>
      <x:c r="Y314" s="106" t="str">
        <x:f t="shared" si="104"/>
      </x:c>
      <x:c r="Z314" s="108" t="str">
        <x:f t="shared" si="105"/>
      </x:c>
      <x:c r="AA314" s="109" t="str">
        <x:f t="shared" si="106"/>
      </x:c>
      <x:c r="AB314" s="111" t="str">
        <x:f t="shared" si="107"/>
      </x:c>
      <x:c r="AC314" s="109" t="str">
        <x:f t="shared" si="108"/>
      </x:c>
      <x:c r="AQ314" s="109" t="str">
        <x:f t="shared" si="109"/>
        <x:v>FAILED</x:v>
      </x:c>
      <x:c r="AR314" s="115"/>
      <x:c r="AS314" s="115"/>
      <x:c r="AT314" s="107"/>
      <x:c r="AU314" s="107"/>
      <x:c r="AV314" s="107"/>
      <x:c r="AW314" s="107"/>
      <x:c r="AX314" s="107"/>
      <x:c r="AY314" s="109" t="str">
        <x:f t="shared" si="110"/>
        <x:v>FAILED</x:v>
      </x:c>
      <x:c r="AZ314" s="115"/>
      <x:c r="BA314" s="115"/>
      <x:c r="BB314" s="107"/>
      <x:c r="BC314" s="107"/>
      <x:c r="BD314" s="107"/>
      <x:c r="BE314" s="107"/>
      <x:c r="BF314" s="107"/>
      <x:c r="BG314" s="109" t="str">
        <x:f t="shared" si="111"/>
        <x:v>FAILED</x:v>
      </x:c>
      <x:c r="BQ314" s="109" t="str">
        <x:f t="shared" si="112"/>
        <x:v>FAILED</x:v>
      </x:c>
      <x:c r="BR314" s="115"/>
      <x:c r="BS314" s="115"/>
      <x:c r="BT314" s="107"/>
      <x:c r="BU314" s="107"/>
      <x:c r="BV314" s="107"/>
      <x:c r="BW314" s="107"/>
      <x:c r="BX314" s="107"/>
      <x:c r="BY314" s="109" t="str">
        <x:f t="shared" si="113"/>
        <x:v>FAILED</x:v>
      </x:c>
      <x:c r="BZ314" s="115"/>
      <x:c r="CA314" s="115"/>
      <x:c r="CB314" s="107"/>
      <x:c r="CC314" s="107"/>
      <x:c r="CD314" s="107"/>
      <x:c r="CE314" s="107"/>
      <x:c r="CF314" s="107"/>
      <x:c r="CG314" s="109" t="str">
        <x:f t="shared" si="114"/>
        <x:v>FAILED</x:v>
      </x:c>
    </x:row>
    <x:row r="315">
      <x:c r="A315" s="102" t="str">
        <x:f>IF(RECORD!A317="","",RECORD!A317)</x:f>
      </x:c>
      <x:c r="B315" s="102" t="str">
        <x:f>IF(RECORD!B317="","",RECORD!B317)</x:f>
      </x:c>
      <x:c r="C315" s="103" t="str">
        <x:f>IF(RECORD!C317="","",RECORD!C317)</x:f>
      </x:c>
      <x:c r="D315" s="104" t="str">
        <x:f t="array" ref="D315">IF(C315&lt;&gt;"",IF(F$7="SUMMER","N/A",_xlfn.IFS(D$10="TLA",RECORD!GO317,F$10="LECTURE","",TRUE(),"")),"")</x:f>
      </x:c>
      <x:c r="E315" s="105" t="str">
        <x:f t="shared" si="92"/>
      </x:c>
      <x:c r="F315" s="104" t="str">
        <x:f t="array" ref="F315">IF(C315&lt;&gt;"",IF(F$7="SUMMER","N/A",_xlfn.IFS(F$10="AT",RECORD!GI317,F$10="LECTURE",GRADES!AP315,TRUE(),"")),"")</x:f>
      </x:c>
      <x:c r="G315" s="106" t="str">
        <x:f t="shared" si="93"/>
      </x:c>
      <x:c r="H315" s="107" t="str">
        <x:f t="array" ref="H315">IF(C315&lt;&gt;"",IF(F$7="SUMMER","N/A",_xlfn.IFS(H$10="EXAM",RECORD!GJ317,H$10="OUTPUT",RECORD!GK317,H$10="LAB",BP315,TRUE(),"")),"")</x:f>
      </x:c>
      <x:c r="I315" s="106" t="str">
        <x:f t="shared" si="94"/>
      </x:c>
      <x:c r="J315" s="108" t="str">
        <x:f t="shared" si="95"/>
      </x:c>
      <x:c r="K315" s="109" t="str">
        <x:f t="shared" si="96"/>
      </x:c>
      <x:c r="L315" s="110" t="str">
        <x:f t="array" ref="L315">IF(C315&lt;&gt;"",_xlfn.IFS(L$10="TLA",RECORD!GY317,N$10="LECTURE","",TRUE(),""),"")</x:f>
      </x:c>
      <x:c r="M315" s="105" t="str">
        <x:f t="shared" si="97"/>
      </x:c>
      <x:c r="N315" s="104" t="str">
        <x:f t="array" ref="N315">IF(C315&lt;&gt;"",_xlfn.IFS(N$10="AT",RECORD!GS317,N$10="LECTURE",AX315,TRUE(),""),"")</x:f>
      </x:c>
      <x:c r="O315" s="106" t="str">
        <x:f t="shared" si="98"/>
      </x:c>
      <x:c r="P315" s="107" t="str">
        <x:f t="array" ref="P315">IF(C315&lt;&gt;"",_xlfn.IFS(P$10="EXAM",RECORD!GT317,P$10="OUTPUT",RECORD!GU317,P$10="LAB",BX315,TRUE(),""),"")</x:f>
      </x:c>
      <x:c r="Q315" s="106" t="str">
        <x:f t="shared" si="99"/>
      </x:c>
      <x:c r="R315" s="108" t="str">
        <x:f t="shared" si="100"/>
      </x:c>
      <x:c r="S315" s="109" t="str">
        <x:f t="shared" si="101"/>
      </x:c>
      <x:c r="T315" s="110" t="str">
        <x:f t="array" ref="T315">IF(C315&lt;&gt;"",_xlfn.IFS(T$10="TLA",RECORD!HI317,V$10="LECTURE","",TRUE(),""),"")</x:f>
      </x:c>
      <x:c r="U315" s="105" t="str">
        <x:f t="shared" si="102"/>
      </x:c>
      <x:c r="V315" s="104" t="str">
        <x:f t="array" ref="V315">IF(C315&lt;&gt;"",_xlfn.IFS(V$10="AT",RECORD!HC317,V$10="LECTURE",BF315,TRUE(),""),"")</x:f>
      </x:c>
      <x:c r="W315" s="106" t="str">
        <x:f t="shared" si="103"/>
      </x:c>
      <x:c r="X315" s="107" t="str">
        <x:f t="array" ref="X315">IF(C315&lt;&gt;"",_xlfn.IFS(X$10="EXAM",RECORD!HD317,X$10="OUTPUT",RECORD!HE317,X$10="LAB",CF315,TRUE(),""),"")</x:f>
      </x:c>
      <x:c r="Y315" s="106" t="str">
        <x:f t="shared" si="104"/>
      </x:c>
      <x:c r="Z315" s="108" t="str">
        <x:f t="shared" si="105"/>
      </x:c>
      <x:c r="AA315" s="109" t="str">
        <x:f t="shared" si="106"/>
      </x:c>
      <x:c r="AB315" s="111" t="str">
        <x:f t="shared" si="107"/>
      </x:c>
      <x:c r="AC315" s="109" t="str">
        <x:f t="shared" si="108"/>
      </x:c>
      <x:c r="AQ315" s="109" t="str">
        <x:f t="shared" si="109"/>
        <x:v>FAILED</x:v>
      </x:c>
      <x:c r="AR315" s="115"/>
      <x:c r="AS315" s="115"/>
      <x:c r="AT315" s="107"/>
      <x:c r="AU315" s="107"/>
      <x:c r="AV315" s="107"/>
      <x:c r="AW315" s="107"/>
      <x:c r="AX315" s="107"/>
      <x:c r="AY315" s="109" t="str">
        <x:f t="shared" si="110"/>
        <x:v>FAILED</x:v>
      </x:c>
      <x:c r="AZ315" s="115"/>
      <x:c r="BA315" s="115"/>
      <x:c r="BB315" s="107"/>
      <x:c r="BC315" s="107"/>
      <x:c r="BD315" s="107"/>
      <x:c r="BE315" s="107"/>
      <x:c r="BF315" s="107"/>
      <x:c r="BG315" s="109" t="str">
        <x:f t="shared" si="111"/>
        <x:v>FAILED</x:v>
      </x:c>
      <x:c r="BQ315" s="109" t="str">
        <x:f t="shared" si="112"/>
        <x:v>FAILED</x:v>
      </x:c>
      <x:c r="BR315" s="115"/>
      <x:c r="BS315" s="115"/>
      <x:c r="BT315" s="107"/>
      <x:c r="BU315" s="107"/>
      <x:c r="BV315" s="107"/>
      <x:c r="BW315" s="107"/>
      <x:c r="BX315" s="107"/>
      <x:c r="BY315" s="109" t="str">
        <x:f t="shared" si="113"/>
        <x:v>FAILED</x:v>
      </x:c>
      <x:c r="BZ315" s="115"/>
      <x:c r="CA315" s="115"/>
      <x:c r="CB315" s="107"/>
      <x:c r="CC315" s="107"/>
      <x:c r="CD315" s="107"/>
      <x:c r="CE315" s="107"/>
      <x:c r="CF315" s="107"/>
      <x:c r="CG315" s="109" t="str">
        <x:f t="shared" si="114"/>
        <x:v>FAILED</x:v>
      </x:c>
    </x:row>
    <x:row r="316">
      <x:c r="A316" s="102" t="str">
        <x:f>IF(RECORD!A318="","",RECORD!A318)</x:f>
      </x:c>
      <x:c r="B316" s="102" t="str">
        <x:f>IF(RECORD!B318="","",RECORD!B318)</x:f>
      </x:c>
      <x:c r="C316" s="103" t="str">
        <x:f>IF(RECORD!C318="","",RECORD!C318)</x:f>
      </x:c>
      <x:c r="D316" s="104" t="str">
        <x:f t="array" ref="D316">IF(C316&lt;&gt;"",IF(F$7="SUMMER","N/A",_xlfn.IFS(D$10="TLA",RECORD!GO318,F$10="LECTURE","",TRUE(),"")),"")</x:f>
      </x:c>
      <x:c r="E316" s="105" t="str">
        <x:f t="shared" si="92"/>
      </x:c>
      <x:c r="F316" s="104" t="str">
        <x:f t="array" ref="F316">IF(C316&lt;&gt;"",IF(F$7="SUMMER","N/A",_xlfn.IFS(F$10="AT",RECORD!GI318,F$10="LECTURE",GRADES!AP316,TRUE(),"")),"")</x:f>
      </x:c>
      <x:c r="G316" s="106" t="str">
        <x:f t="shared" si="93"/>
      </x:c>
      <x:c r="H316" s="107" t="str">
        <x:f t="array" ref="H316">IF(C316&lt;&gt;"",IF(F$7="SUMMER","N/A",_xlfn.IFS(H$10="EXAM",RECORD!GJ318,H$10="OUTPUT",RECORD!GK318,H$10="LAB",BP316,TRUE(),"")),"")</x:f>
      </x:c>
      <x:c r="I316" s="106" t="str">
        <x:f t="shared" si="94"/>
      </x:c>
      <x:c r="J316" s="108" t="str">
        <x:f t="shared" si="95"/>
      </x:c>
      <x:c r="K316" s="109" t="str">
        <x:f t="shared" si="96"/>
      </x:c>
      <x:c r="L316" s="110" t="str">
        <x:f t="array" ref="L316">IF(C316&lt;&gt;"",_xlfn.IFS(L$10="TLA",RECORD!GY318,N$10="LECTURE","",TRUE(),""),"")</x:f>
      </x:c>
      <x:c r="M316" s="105" t="str">
        <x:f t="shared" si="97"/>
      </x:c>
      <x:c r="N316" s="104" t="str">
        <x:f t="array" ref="N316">IF(C316&lt;&gt;"",_xlfn.IFS(N$10="AT",RECORD!GS318,N$10="LECTURE",AX316,TRUE(),""),"")</x:f>
      </x:c>
      <x:c r="O316" s="106" t="str">
        <x:f t="shared" si="98"/>
      </x:c>
      <x:c r="P316" s="107" t="str">
        <x:f t="array" ref="P316">IF(C316&lt;&gt;"",_xlfn.IFS(P$10="EXAM",RECORD!GT318,P$10="OUTPUT",RECORD!GU318,P$10="LAB",BX316,TRUE(),""),"")</x:f>
      </x:c>
      <x:c r="Q316" s="106" t="str">
        <x:f t="shared" si="99"/>
      </x:c>
      <x:c r="R316" s="108" t="str">
        <x:f t="shared" si="100"/>
      </x:c>
      <x:c r="S316" s="109" t="str">
        <x:f t="shared" si="101"/>
      </x:c>
      <x:c r="T316" s="110" t="str">
        <x:f t="array" ref="T316">IF(C316&lt;&gt;"",_xlfn.IFS(T$10="TLA",RECORD!HI318,V$10="LECTURE","",TRUE(),""),"")</x:f>
      </x:c>
      <x:c r="U316" s="105" t="str">
        <x:f t="shared" si="102"/>
      </x:c>
      <x:c r="V316" s="104" t="str">
        <x:f t="array" ref="V316">IF(C316&lt;&gt;"",_xlfn.IFS(V$10="AT",RECORD!HC318,V$10="LECTURE",BF316,TRUE(),""),"")</x:f>
      </x:c>
      <x:c r="W316" s="106" t="str">
        <x:f t="shared" si="103"/>
      </x:c>
      <x:c r="X316" s="107" t="str">
        <x:f t="array" ref="X316">IF(C316&lt;&gt;"",_xlfn.IFS(X$10="EXAM",RECORD!HD318,X$10="OUTPUT",RECORD!HE318,X$10="LAB",CF316,TRUE(),""),"")</x:f>
      </x:c>
      <x:c r="Y316" s="106" t="str">
        <x:f t="shared" si="104"/>
      </x:c>
      <x:c r="Z316" s="108" t="str">
        <x:f t="shared" si="105"/>
      </x:c>
      <x:c r="AA316" s="109" t="str">
        <x:f t="shared" si="106"/>
      </x:c>
      <x:c r="AB316" s="111" t="str">
        <x:f t="shared" si="107"/>
      </x:c>
      <x:c r="AC316" s="109" t="str">
        <x:f t="shared" si="108"/>
      </x:c>
      <x:c r="AQ316" s="109" t="str">
        <x:f t="shared" si="109"/>
        <x:v>FAILED</x:v>
      </x:c>
      <x:c r="AR316" s="115"/>
      <x:c r="AS316" s="115"/>
      <x:c r="AT316" s="107"/>
      <x:c r="AU316" s="107"/>
      <x:c r="AV316" s="107"/>
      <x:c r="AW316" s="107"/>
      <x:c r="AX316" s="107"/>
      <x:c r="AY316" s="109" t="str">
        <x:f t="shared" si="110"/>
        <x:v>FAILED</x:v>
      </x:c>
      <x:c r="AZ316" s="115"/>
      <x:c r="BA316" s="115"/>
      <x:c r="BB316" s="107"/>
      <x:c r="BC316" s="107"/>
      <x:c r="BD316" s="107"/>
      <x:c r="BE316" s="107"/>
      <x:c r="BF316" s="107"/>
      <x:c r="BG316" s="109" t="str">
        <x:f t="shared" si="111"/>
        <x:v>FAILED</x:v>
      </x:c>
      <x:c r="BQ316" s="109" t="str">
        <x:f t="shared" si="112"/>
        <x:v>FAILED</x:v>
      </x:c>
      <x:c r="BR316" s="115"/>
      <x:c r="BS316" s="115"/>
      <x:c r="BT316" s="107"/>
      <x:c r="BU316" s="107"/>
      <x:c r="BV316" s="107"/>
      <x:c r="BW316" s="107"/>
      <x:c r="BX316" s="107"/>
      <x:c r="BY316" s="109" t="str">
        <x:f t="shared" si="113"/>
        <x:v>FAILED</x:v>
      </x:c>
      <x:c r="BZ316" s="115"/>
      <x:c r="CA316" s="115"/>
      <x:c r="CB316" s="107"/>
      <x:c r="CC316" s="107"/>
      <x:c r="CD316" s="107"/>
      <x:c r="CE316" s="107"/>
      <x:c r="CF316" s="107"/>
      <x:c r="CG316" s="109" t="str">
        <x:f t="shared" si="114"/>
        <x:v>FAILED</x:v>
      </x:c>
    </x:row>
    <x:row r="317">
      <x:c r="A317" s="102" t="str">
        <x:f>IF(RECORD!A319="","",RECORD!A319)</x:f>
      </x:c>
      <x:c r="B317" s="102" t="str">
        <x:f>IF(RECORD!B319="","",RECORD!B319)</x:f>
      </x:c>
      <x:c r="C317" s="103" t="str">
        <x:f>IF(RECORD!C319="","",RECORD!C319)</x:f>
      </x:c>
      <x:c r="D317" s="104" t="str">
        <x:f t="array" ref="D317">IF(C317&lt;&gt;"",IF(F$7="SUMMER","N/A",_xlfn.IFS(D$10="TLA",RECORD!GO319,F$10="LECTURE","",TRUE(),"")),"")</x:f>
      </x:c>
      <x:c r="E317" s="105" t="str">
        <x:f t="shared" si="92"/>
      </x:c>
      <x:c r="F317" s="104" t="str">
        <x:f t="array" ref="F317">IF(C317&lt;&gt;"",IF(F$7="SUMMER","N/A",_xlfn.IFS(F$10="AT",RECORD!GI319,F$10="LECTURE",GRADES!AP317,TRUE(),"")),"")</x:f>
      </x:c>
      <x:c r="G317" s="106" t="str">
        <x:f t="shared" si="93"/>
      </x:c>
      <x:c r="H317" s="107" t="str">
        <x:f t="array" ref="H317">IF(C317&lt;&gt;"",IF(F$7="SUMMER","N/A",_xlfn.IFS(H$10="EXAM",RECORD!GJ319,H$10="OUTPUT",RECORD!GK319,H$10="LAB",BP317,TRUE(),"")),"")</x:f>
      </x:c>
      <x:c r="I317" s="106" t="str">
        <x:f t="shared" si="94"/>
      </x:c>
      <x:c r="J317" s="108" t="str">
        <x:f t="shared" si="95"/>
      </x:c>
      <x:c r="K317" s="109" t="str">
        <x:f t="shared" si="96"/>
      </x:c>
      <x:c r="L317" s="110" t="str">
        <x:f t="array" ref="L317">IF(C317&lt;&gt;"",_xlfn.IFS(L$10="TLA",RECORD!GY319,N$10="LECTURE","",TRUE(),""),"")</x:f>
      </x:c>
      <x:c r="M317" s="105" t="str">
        <x:f t="shared" si="97"/>
      </x:c>
      <x:c r="N317" s="104" t="str">
        <x:f t="array" ref="N317">IF(C317&lt;&gt;"",_xlfn.IFS(N$10="AT",RECORD!GS319,N$10="LECTURE",AX317,TRUE(),""),"")</x:f>
      </x:c>
      <x:c r="O317" s="106" t="str">
        <x:f t="shared" si="98"/>
      </x:c>
      <x:c r="P317" s="107" t="str">
        <x:f t="array" ref="P317">IF(C317&lt;&gt;"",_xlfn.IFS(P$10="EXAM",RECORD!GT319,P$10="OUTPUT",RECORD!GU319,P$10="LAB",BX317,TRUE(),""),"")</x:f>
      </x:c>
      <x:c r="Q317" s="106" t="str">
        <x:f t="shared" si="99"/>
      </x:c>
      <x:c r="R317" s="108" t="str">
        <x:f t="shared" si="100"/>
      </x:c>
      <x:c r="S317" s="109" t="str">
        <x:f t="shared" si="101"/>
      </x:c>
      <x:c r="T317" s="110" t="str">
        <x:f t="array" ref="T317">IF(C317&lt;&gt;"",_xlfn.IFS(T$10="TLA",RECORD!HI319,V$10="LECTURE","",TRUE(),""),"")</x:f>
      </x:c>
      <x:c r="U317" s="105" t="str">
        <x:f t="shared" si="102"/>
      </x:c>
      <x:c r="V317" s="104" t="str">
        <x:f t="array" ref="V317">IF(C317&lt;&gt;"",_xlfn.IFS(V$10="AT",RECORD!HC319,V$10="LECTURE",BF317,TRUE(),""),"")</x:f>
      </x:c>
      <x:c r="W317" s="106" t="str">
        <x:f t="shared" si="103"/>
      </x:c>
      <x:c r="X317" s="107" t="str">
        <x:f t="array" ref="X317">IF(C317&lt;&gt;"",_xlfn.IFS(X$10="EXAM",RECORD!HD319,X$10="OUTPUT",RECORD!HE319,X$10="LAB",CF317,TRUE(),""),"")</x:f>
      </x:c>
      <x:c r="Y317" s="106" t="str">
        <x:f t="shared" si="104"/>
      </x:c>
      <x:c r="Z317" s="108" t="str">
        <x:f t="shared" si="105"/>
      </x:c>
      <x:c r="AA317" s="109" t="str">
        <x:f t="shared" si="106"/>
      </x:c>
      <x:c r="AB317" s="111" t="str">
        <x:f t="shared" si="107"/>
      </x:c>
      <x:c r="AC317" s="109" t="str">
        <x:f t="shared" si="108"/>
      </x:c>
      <x:c r="AQ317" s="109" t="str">
        <x:f t="shared" si="109"/>
        <x:v>FAILED</x:v>
      </x:c>
      <x:c r="AR317" s="115"/>
      <x:c r="AS317" s="115"/>
      <x:c r="AT317" s="107"/>
      <x:c r="AU317" s="107"/>
      <x:c r="AV317" s="107"/>
      <x:c r="AW317" s="107"/>
      <x:c r="AX317" s="107"/>
      <x:c r="AY317" s="109" t="str">
        <x:f t="shared" si="110"/>
        <x:v>FAILED</x:v>
      </x:c>
      <x:c r="AZ317" s="115"/>
      <x:c r="BA317" s="115"/>
      <x:c r="BB317" s="107"/>
      <x:c r="BC317" s="107"/>
      <x:c r="BD317" s="107"/>
      <x:c r="BE317" s="107"/>
      <x:c r="BF317" s="107"/>
      <x:c r="BG317" s="109" t="str">
        <x:f t="shared" si="111"/>
        <x:v>FAILED</x:v>
      </x:c>
      <x:c r="BQ317" s="109" t="str">
        <x:f t="shared" si="112"/>
        <x:v>FAILED</x:v>
      </x:c>
      <x:c r="BR317" s="115"/>
      <x:c r="BS317" s="115"/>
      <x:c r="BT317" s="107"/>
      <x:c r="BU317" s="107"/>
      <x:c r="BV317" s="107"/>
      <x:c r="BW317" s="107"/>
      <x:c r="BX317" s="107"/>
      <x:c r="BY317" s="109" t="str">
        <x:f t="shared" si="113"/>
        <x:v>FAILED</x:v>
      </x:c>
      <x:c r="BZ317" s="115"/>
      <x:c r="CA317" s="115"/>
      <x:c r="CB317" s="107"/>
      <x:c r="CC317" s="107"/>
      <x:c r="CD317" s="107"/>
      <x:c r="CE317" s="107"/>
      <x:c r="CF317" s="107"/>
      <x:c r="CG317" s="109" t="str">
        <x:f t="shared" si="114"/>
        <x:v>FAILED</x:v>
      </x:c>
    </x:row>
    <x:row r="318">
      <x:c r="A318" s="102" t="str">
        <x:f>IF(RECORD!A320="","",RECORD!A320)</x:f>
      </x:c>
      <x:c r="B318" s="102" t="str">
        <x:f>IF(RECORD!B320="","",RECORD!B320)</x:f>
      </x:c>
      <x:c r="C318" s="103" t="str">
        <x:f>IF(RECORD!C320="","",RECORD!C320)</x:f>
      </x:c>
      <x:c r="D318" s="104" t="str">
        <x:f t="array" ref="D318">IF(C318&lt;&gt;"",IF(F$7="SUMMER","N/A",_xlfn.IFS(D$10="TLA",RECORD!GO320,F$10="LECTURE","",TRUE(),"")),"")</x:f>
      </x:c>
      <x:c r="E318" s="105" t="str">
        <x:f t="shared" si="92"/>
      </x:c>
      <x:c r="F318" s="104" t="str">
        <x:f t="array" ref="F318">IF(C318&lt;&gt;"",IF(F$7="SUMMER","N/A",_xlfn.IFS(F$10="AT",RECORD!GI320,F$10="LECTURE",GRADES!AP318,TRUE(),"")),"")</x:f>
      </x:c>
      <x:c r="G318" s="106" t="str">
        <x:f t="shared" si="93"/>
      </x:c>
      <x:c r="H318" s="107" t="str">
        <x:f t="array" ref="H318">IF(C318&lt;&gt;"",IF(F$7="SUMMER","N/A",_xlfn.IFS(H$10="EXAM",RECORD!GJ320,H$10="OUTPUT",RECORD!GK320,H$10="LAB",BP318,TRUE(),"")),"")</x:f>
      </x:c>
      <x:c r="I318" s="106" t="str">
        <x:f t="shared" si="94"/>
      </x:c>
      <x:c r="J318" s="108" t="str">
        <x:f t="shared" si="95"/>
      </x:c>
      <x:c r="K318" s="109" t="str">
        <x:f t="shared" si="96"/>
      </x:c>
      <x:c r="L318" s="110" t="str">
        <x:f t="array" ref="L318">IF(C318&lt;&gt;"",_xlfn.IFS(L$10="TLA",RECORD!GY320,N$10="LECTURE","",TRUE(),""),"")</x:f>
      </x:c>
      <x:c r="M318" s="105" t="str">
        <x:f t="shared" si="97"/>
      </x:c>
      <x:c r="N318" s="104" t="str">
        <x:f t="array" ref="N318">IF(C318&lt;&gt;"",_xlfn.IFS(N$10="AT",RECORD!GS320,N$10="LECTURE",AX318,TRUE(),""),"")</x:f>
      </x:c>
      <x:c r="O318" s="106" t="str">
        <x:f t="shared" si="98"/>
      </x:c>
      <x:c r="P318" s="107" t="str">
        <x:f t="array" ref="P318">IF(C318&lt;&gt;"",_xlfn.IFS(P$10="EXAM",RECORD!GT320,P$10="OUTPUT",RECORD!GU320,P$10="LAB",BX318,TRUE(),""),"")</x:f>
      </x:c>
      <x:c r="Q318" s="106" t="str">
        <x:f t="shared" si="99"/>
      </x:c>
      <x:c r="R318" s="108" t="str">
        <x:f t="shared" si="100"/>
      </x:c>
      <x:c r="S318" s="109" t="str">
        <x:f t="shared" si="101"/>
      </x:c>
      <x:c r="T318" s="110" t="str">
        <x:f t="array" ref="T318">IF(C318&lt;&gt;"",_xlfn.IFS(T$10="TLA",RECORD!HI320,V$10="LECTURE","",TRUE(),""),"")</x:f>
      </x:c>
      <x:c r="U318" s="105" t="str">
        <x:f t="shared" si="102"/>
      </x:c>
      <x:c r="V318" s="104" t="str">
        <x:f t="array" ref="V318">IF(C318&lt;&gt;"",_xlfn.IFS(V$10="AT",RECORD!HC320,V$10="LECTURE",BF318,TRUE(),""),"")</x:f>
      </x:c>
      <x:c r="W318" s="106" t="str">
        <x:f t="shared" si="103"/>
      </x:c>
      <x:c r="X318" s="107" t="str">
        <x:f t="array" ref="X318">IF(C318&lt;&gt;"",_xlfn.IFS(X$10="EXAM",RECORD!HD320,X$10="OUTPUT",RECORD!HE320,X$10="LAB",CF318,TRUE(),""),"")</x:f>
      </x:c>
      <x:c r="Y318" s="106" t="str">
        <x:f t="shared" si="104"/>
      </x:c>
      <x:c r="Z318" s="108" t="str">
        <x:f t="shared" si="105"/>
      </x:c>
      <x:c r="AA318" s="109" t="str">
        <x:f t="shared" si="106"/>
      </x:c>
      <x:c r="AB318" s="111" t="str">
        <x:f t="shared" si="107"/>
      </x:c>
      <x:c r="AC318" s="109" t="str">
        <x:f t="shared" si="108"/>
      </x:c>
      <x:c r="AQ318" s="109" t="str">
        <x:f t="shared" si="109"/>
        <x:v>FAILED</x:v>
      </x:c>
      <x:c r="AR318" s="115"/>
      <x:c r="AS318" s="115"/>
      <x:c r="AT318" s="107"/>
      <x:c r="AU318" s="107"/>
      <x:c r="AV318" s="107"/>
      <x:c r="AW318" s="107"/>
      <x:c r="AX318" s="107"/>
      <x:c r="AY318" s="109" t="str">
        <x:f t="shared" si="110"/>
        <x:v>FAILED</x:v>
      </x:c>
      <x:c r="AZ318" s="115"/>
      <x:c r="BA318" s="115"/>
      <x:c r="BB318" s="107"/>
      <x:c r="BC318" s="107"/>
      <x:c r="BD318" s="107"/>
      <x:c r="BE318" s="107"/>
      <x:c r="BF318" s="107"/>
      <x:c r="BG318" s="109" t="str">
        <x:f t="shared" si="111"/>
        <x:v>FAILED</x:v>
      </x:c>
      <x:c r="BQ318" s="109" t="str">
        <x:f t="shared" si="112"/>
        <x:v>FAILED</x:v>
      </x:c>
      <x:c r="BR318" s="115"/>
      <x:c r="BS318" s="115"/>
      <x:c r="BT318" s="107"/>
      <x:c r="BU318" s="107"/>
      <x:c r="BV318" s="107"/>
      <x:c r="BW318" s="107"/>
      <x:c r="BX318" s="107"/>
      <x:c r="BY318" s="109" t="str">
        <x:f t="shared" si="113"/>
        <x:v>FAILED</x:v>
      </x:c>
      <x:c r="BZ318" s="115"/>
      <x:c r="CA318" s="115"/>
      <x:c r="CB318" s="107"/>
      <x:c r="CC318" s="107"/>
      <x:c r="CD318" s="107"/>
      <x:c r="CE318" s="107"/>
      <x:c r="CF318" s="107"/>
      <x:c r="CG318" s="109" t="str">
        <x:f t="shared" si="114"/>
        <x:v>FAILED</x:v>
      </x:c>
    </x:row>
    <x:row r="319">
      <x:c r="A319" s="102" t="str">
        <x:f>IF(RECORD!A321="","",RECORD!A321)</x:f>
      </x:c>
      <x:c r="B319" s="102" t="str">
        <x:f>IF(RECORD!B321="","",RECORD!B321)</x:f>
      </x:c>
      <x:c r="C319" s="103" t="str">
        <x:f>IF(RECORD!C321="","",RECORD!C321)</x:f>
      </x:c>
      <x:c r="D319" s="104" t="str">
        <x:f t="array" ref="D319">IF(C319&lt;&gt;"",IF(F$7="SUMMER","N/A",_xlfn.IFS(D$10="TLA",RECORD!GO321,F$10="LECTURE","",TRUE(),"")),"")</x:f>
      </x:c>
      <x:c r="E319" s="105" t="str">
        <x:f t="shared" si="92"/>
      </x:c>
      <x:c r="F319" s="104" t="str">
        <x:f t="array" ref="F319">IF(C319&lt;&gt;"",IF(F$7="SUMMER","N/A",_xlfn.IFS(F$10="AT",RECORD!GI321,F$10="LECTURE",GRADES!AP319,TRUE(),"")),"")</x:f>
      </x:c>
      <x:c r="G319" s="106" t="str">
        <x:f t="shared" si="93"/>
      </x:c>
      <x:c r="H319" s="107" t="str">
        <x:f t="array" ref="H319">IF(C319&lt;&gt;"",IF(F$7="SUMMER","N/A",_xlfn.IFS(H$10="EXAM",RECORD!GJ321,H$10="OUTPUT",RECORD!GK321,H$10="LAB",BP319,TRUE(),"")),"")</x:f>
      </x:c>
      <x:c r="I319" s="106" t="str">
        <x:f t="shared" si="94"/>
      </x:c>
      <x:c r="J319" s="108" t="str">
        <x:f t="shared" si="95"/>
      </x:c>
      <x:c r="K319" s="109" t="str">
        <x:f t="shared" si="96"/>
      </x:c>
      <x:c r="L319" s="110" t="str">
        <x:f t="array" ref="L319">IF(C319&lt;&gt;"",_xlfn.IFS(L$10="TLA",RECORD!GY321,N$10="LECTURE","",TRUE(),""),"")</x:f>
      </x:c>
      <x:c r="M319" s="105" t="str">
        <x:f t="shared" si="97"/>
      </x:c>
      <x:c r="N319" s="104" t="str">
        <x:f t="array" ref="N319">IF(C319&lt;&gt;"",_xlfn.IFS(N$10="AT",RECORD!GS321,N$10="LECTURE",AX319,TRUE(),""),"")</x:f>
      </x:c>
      <x:c r="O319" s="106" t="str">
        <x:f t="shared" si="98"/>
      </x:c>
      <x:c r="P319" s="107" t="str">
        <x:f t="array" ref="P319">IF(C319&lt;&gt;"",_xlfn.IFS(P$10="EXAM",RECORD!GT321,P$10="OUTPUT",RECORD!GU321,P$10="LAB",BX319,TRUE(),""),"")</x:f>
      </x:c>
      <x:c r="Q319" s="106" t="str">
        <x:f t="shared" si="99"/>
      </x:c>
      <x:c r="R319" s="108" t="str">
        <x:f t="shared" si="100"/>
      </x:c>
      <x:c r="S319" s="109" t="str">
        <x:f t="shared" si="101"/>
      </x:c>
      <x:c r="T319" s="110" t="str">
        <x:f t="array" ref="T319">IF(C319&lt;&gt;"",_xlfn.IFS(T$10="TLA",RECORD!HI321,V$10="LECTURE","",TRUE(),""),"")</x:f>
      </x:c>
      <x:c r="U319" s="105" t="str">
        <x:f t="shared" si="102"/>
      </x:c>
      <x:c r="V319" s="104" t="str">
        <x:f t="array" ref="V319">IF(C319&lt;&gt;"",_xlfn.IFS(V$10="AT",RECORD!HC321,V$10="LECTURE",BF319,TRUE(),""),"")</x:f>
      </x:c>
      <x:c r="W319" s="106" t="str">
        <x:f t="shared" si="103"/>
      </x:c>
      <x:c r="X319" s="107" t="str">
        <x:f t="array" ref="X319">IF(C319&lt;&gt;"",_xlfn.IFS(X$10="EXAM",RECORD!HD321,X$10="OUTPUT",RECORD!HE321,X$10="LAB",CF319,TRUE(),""),"")</x:f>
      </x:c>
      <x:c r="Y319" s="106" t="str">
        <x:f t="shared" si="104"/>
      </x:c>
      <x:c r="Z319" s="108" t="str">
        <x:f t="shared" si="105"/>
      </x:c>
      <x:c r="AA319" s="109" t="str">
        <x:f t="shared" si="106"/>
      </x:c>
      <x:c r="AB319" s="111" t="str">
        <x:f t="shared" si="107"/>
      </x:c>
      <x:c r="AC319" s="109" t="str">
        <x:f t="shared" si="108"/>
      </x:c>
      <x:c r="AQ319" s="109" t="str">
        <x:f t="shared" si="109"/>
        <x:v>FAILED</x:v>
      </x:c>
      <x:c r="AR319" s="115"/>
      <x:c r="AS319" s="115"/>
      <x:c r="AT319" s="107"/>
      <x:c r="AU319" s="107"/>
      <x:c r="AV319" s="107"/>
      <x:c r="AW319" s="107"/>
      <x:c r="AX319" s="107"/>
      <x:c r="AY319" s="109" t="str">
        <x:f t="shared" si="110"/>
        <x:v>FAILED</x:v>
      </x:c>
      <x:c r="AZ319" s="115"/>
      <x:c r="BA319" s="115"/>
      <x:c r="BB319" s="107"/>
      <x:c r="BC319" s="107"/>
      <x:c r="BD319" s="107"/>
      <x:c r="BE319" s="107"/>
      <x:c r="BF319" s="107"/>
      <x:c r="BG319" s="109" t="str">
        <x:f t="shared" si="111"/>
        <x:v>FAILED</x:v>
      </x:c>
      <x:c r="BQ319" s="109" t="str">
        <x:f t="shared" si="112"/>
        <x:v>FAILED</x:v>
      </x:c>
      <x:c r="BR319" s="115"/>
      <x:c r="BS319" s="115"/>
      <x:c r="BT319" s="107"/>
      <x:c r="BU319" s="107"/>
      <x:c r="BV319" s="107"/>
      <x:c r="BW319" s="107"/>
      <x:c r="BX319" s="107"/>
      <x:c r="BY319" s="109" t="str">
        <x:f t="shared" si="113"/>
        <x:v>FAILED</x:v>
      </x:c>
      <x:c r="BZ319" s="115"/>
      <x:c r="CA319" s="115"/>
      <x:c r="CB319" s="107"/>
      <x:c r="CC319" s="107"/>
      <x:c r="CD319" s="107"/>
      <x:c r="CE319" s="107"/>
      <x:c r="CF319" s="107"/>
      <x:c r="CG319" s="109" t="str">
        <x:f t="shared" si="114"/>
        <x:v>FAILED</x:v>
      </x:c>
    </x:row>
    <x:row r="320">
      <x:c r="A320" s="102" t="str">
        <x:f>IF(RECORD!A322="","",RECORD!A322)</x:f>
      </x:c>
      <x:c r="B320" s="102" t="str">
        <x:f>IF(RECORD!B322="","",RECORD!B322)</x:f>
      </x:c>
      <x:c r="C320" s="103" t="str">
        <x:f>IF(RECORD!C322="","",RECORD!C322)</x:f>
      </x:c>
      <x:c r="D320" s="104" t="str">
        <x:f t="array" ref="D320">IF(C320&lt;&gt;"",IF(F$7="SUMMER","N/A",_xlfn.IFS(D$10="TLA",RECORD!GO322,F$10="LECTURE","",TRUE(),"")),"")</x:f>
      </x:c>
      <x:c r="E320" s="105" t="str">
        <x:f t="shared" si="92"/>
      </x:c>
      <x:c r="F320" s="104" t="str">
        <x:f t="array" ref="F320">IF(C320&lt;&gt;"",IF(F$7="SUMMER","N/A",_xlfn.IFS(F$10="AT",RECORD!GI322,F$10="LECTURE",GRADES!AP320,TRUE(),"")),"")</x:f>
      </x:c>
      <x:c r="G320" s="106" t="str">
        <x:f t="shared" si="93"/>
      </x:c>
      <x:c r="H320" s="107" t="str">
        <x:f t="array" ref="H320">IF(C320&lt;&gt;"",IF(F$7="SUMMER","N/A",_xlfn.IFS(H$10="EXAM",RECORD!GJ322,H$10="OUTPUT",RECORD!GK322,H$10="LAB",BP320,TRUE(),"")),"")</x:f>
      </x:c>
      <x:c r="I320" s="106" t="str">
        <x:f t="shared" si="94"/>
      </x:c>
      <x:c r="J320" s="108" t="str">
        <x:f t="shared" si="95"/>
      </x:c>
      <x:c r="K320" s="109" t="str">
        <x:f t="shared" si="96"/>
      </x:c>
      <x:c r="L320" s="110" t="str">
        <x:f t="array" ref="L320">IF(C320&lt;&gt;"",_xlfn.IFS(L$10="TLA",RECORD!GY322,N$10="LECTURE","",TRUE(),""),"")</x:f>
      </x:c>
      <x:c r="M320" s="105" t="str">
        <x:f t="shared" si="97"/>
      </x:c>
      <x:c r="N320" s="104" t="str">
        <x:f t="array" ref="N320">IF(C320&lt;&gt;"",_xlfn.IFS(N$10="AT",RECORD!GS322,N$10="LECTURE",AX320,TRUE(),""),"")</x:f>
      </x:c>
      <x:c r="O320" s="106" t="str">
        <x:f t="shared" si="98"/>
      </x:c>
      <x:c r="P320" s="107" t="str">
        <x:f t="array" ref="P320">IF(C320&lt;&gt;"",_xlfn.IFS(P$10="EXAM",RECORD!GT322,P$10="OUTPUT",RECORD!GU322,P$10="LAB",BX320,TRUE(),""),"")</x:f>
      </x:c>
      <x:c r="Q320" s="106" t="str">
        <x:f t="shared" si="99"/>
      </x:c>
      <x:c r="R320" s="108" t="str">
        <x:f t="shared" si="100"/>
      </x:c>
      <x:c r="S320" s="109" t="str">
        <x:f t="shared" si="101"/>
      </x:c>
      <x:c r="T320" s="110" t="str">
        <x:f t="array" ref="T320">IF(C320&lt;&gt;"",_xlfn.IFS(T$10="TLA",RECORD!HI322,V$10="LECTURE","",TRUE(),""),"")</x:f>
      </x:c>
      <x:c r="U320" s="105" t="str">
        <x:f t="shared" si="102"/>
      </x:c>
      <x:c r="V320" s="104" t="str">
        <x:f t="array" ref="V320">IF(C320&lt;&gt;"",_xlfn.IFS(V$10="AT",RECORD!HC322,V$10="LECTURE",BF320,TRUE(),""),"")</x:f>
      </x:c>
      <x:c r="W320" s="106" t="str">
        <x:f t="shared" si="103"/>
      </x:c>
      <x:c r="X320" s="107" t="str">
        <x:f t="array" ref="X320">IF(C320&lt;&gt;"",_xlfn.IFS(X$10="EXAM",RECORD!HD322,X$10="OUTPUT",RECORD!HE322,X$10="LAB",CF320,TRUE(),""),"")</x:f>
      </x:c>
      <x:c r="Y320" s="106" t="str">
        <x:f t="shared" si="104"/>
      </x:c>
      <x:c r="Z320" s="108" t="str">
        <x:f t="shared" si="105"/>
      </x:c>
      <x:c r="AA320" s="109" t="str">
        <x:f t="shared" si="106"/>
      </x:c>
      <x:c r="AB320" s="111" t="str">
        <x:f t="shared" si="107"/>
      </x:c>
      <x:c r="AC320" s="109" t="str">
        <x:f t="shared" si="108"/>
      </x:c>
      <x:c r="AQ320" s="109" t="str">
        <x:f t="shared" si="109"/>
        <x:v>FAILED</x:v>
      </x:c>
      <x:c r="AR320" s="115"/>
      <x:c r="AS320" s="115"/>
      <x:c r="AT320" s="107"/>
      <x:c r="AU320" s="107"/>
      <x:c r="AV320" s="107"/>
      <x:c r="AW320" s="107"/>
      <x:c r="AX320" s="107"/>
      <x:c r="AY320" s="109" t="str">
        <x:f t="shared" si="110"/>
        <x:v>FAILED</x:v>
      </x:c>
      <x:c r="AZ320" s="115"/>
      <x:c r="BA320" s="115"/>
      <x:c r="BB320" s="107"/>
      <x:c r="BC320" s="107"/>
      <x:c r="BD320" s="107"/>
      <x:c r="BE320" s="107"/>
      <x:c r="BF320" s="107"/>
      <x:c r="BG320" s="109" t="str">
        <x:f t="shared" si="111"/>
        <x:v>FAILED</x:v>
      </x:c>
      <x:c r="BQ320" s="109" t="str">
        <x:f t="shared" si="112"/>
        <x:v>FAILED</x:v>
      </x:c>
      <x:c r="BR320" s="115"/>
      <x:c r="BS320" s="115"/>
      <x:c r="BT320" s="107"/>
      <x:c r="BU320" s="107"/>
      <x:c r="BV320" s="107"/>
      <x:c r="BW320" s="107"/>
      <x:c r="BX320" s="107"/>
      <x:c r="BY320" s="109" t="str">
        <x:f t="shared" si="113"/>
        <x:v>FAILED</x:v>
      </x:c>
      <x:c r="BZ320" s="115"/>
      <x:c r="CA320" s="115"/>
      <x:c r="CB320" s="107"/>
      <x:c r="CC320" s="107"/>
      <x:c r="CD320" s="107"/>
      <x:c r="CE320" s="107"/>
      <x:c r="CF320" s="107"/>
      <x:c r="CG320" s="109" t="str">
        <x:f t="shared" si="114"/>
        <x:v>FAILED</x:v>
      </x:c>
    </x:row>
    <x:row r="321">
      <x:c r="A321" s="102" t="str">
        <x:f>IF(RECORD!A323="","",RECORD!A323)</x:f>
      </x:c>
      <x:c r="B321" s="102" t="str">
        <x:f>IF(RECORD!B323="","",RECORD!B323)</x:f>
      </x:c>
      <x:c r="C321" s="103" t="str">
        <x:f>IF(RECORD!C323="","",RECORD!C323)</x:f>
      </x:c>
      <x:c r="D321" s="104" t="str">
        <x:f t="array" ref="D321">IF(C321&lt;&gt;"",IF(F$7="SUMMER","N/A",_xlfn.IFS(D$10="TLA",RECORD!GO323,F$10="LECTURE","",TRUE(),"")),"")</x:f>
      </x:c>
      <x:c r="E321" s="105" t="str">
        <x:f t="shared" si="92"/>
      </x:c>
      <x:c r="F321" s="104" t="str">
        <x:f t="array" ref="F321">IF(C321&lt;&gt;"",IF(F$7="SUMMER","N/A",_xlfn.IFS(F$10="AT",RECORD!GI323,F$10="LECTURE",GRADES!AP321,TRUE(),"")),"")</x:f>
      </x:c>
      <x:c r="G321" s="106" t="str">
        <x:f t="shared" si="93"/>
      </x:c>
      <x:c r="H321" s="107" t="str">
        <x:f t="array" ref="H321">IF(C321&lt;&gt;"",IF(F$7="SUMMER","N/A",_xlfn.IFS(H$10="EXAM",RECORD!GJ323,H$10="OUTPUT",RECORD!GK323,H$10="LAB",BP321,TRUE(),"")),"")</x:f>
      </x:c>
      <x:c r="I321" s="106" t="str">
        <x:f t="shared" si="94"/>
      </x:c>
      <x:c r="J321" s="108" t="str">
        <x:f t="shared" si="95"/>
      </x:c>
      <x:c r="K321" s="109" t="str">
        <x:f t="shared" si="96"/>
      </x:c>
      <x:c r="L321" s="110" t="str">
        <x:f t="array" ref="L321">IF(C321&lt;&gt;"",_xlfn.IFS(L$10="TLA",RECORD!GY323,N$10="LECTURE","",TRUE(),""),"")</x:f>
      </x:c>
      <x:c r="M321" s="105" t="str">
        <x:f t="shared" si="97"/>
      </x:c>
      <x:c r="N321" s="104" t="str">
        <x:f t="array" ref="N321">IF(C321&lt;&gt;"",_xlfn.IFS(N$10="AT",RECORD!GS323,N$10="LECTURE",AX321,TRUE(),""),"")</x:f>
      </x:c>
      <x:c r="O321" s="106" t="str">
        <x:f t="shared" si="98"/>
      </x:c>
      <x:c r="P321" s="107" t="str">
        <x:f t="array" ref="P321">IF(C321&lt;&gt;"",_xlfn.IFS(P$10="EXAM",RECORD!GT323,P$10="OUTPUT",RECORD!GU323,P$10="LAB",BX321,TRUE(),""),"")</x:f>
      </x:c>
      <x:c r="Q321" s="106" t="str">
        <x:f t="shared" si="99"/>
      </x:c>
      <x:c r="R321" s="108" t="str">
        <x:f t="shared" si="100"/>
      </x:c>
      <x:c r="S321" s="109" t="str">
        <x:f t="shared" si="101"/>
      </x:c>
      <x:c r="T321" s="110" t="str">
        <x:f t="array" ref="T321">IF(C321&lt;&gt;"",_xlfn.IFS(T$10="TLA",RECORD!HI323,V$10="LECTURE","",TRUE(),""),"")</x:f>
      </x:c>
      <x:c r="U321" s="105" t="str">
        <x:f t="shared" si="102"/>
      </x:c>
      <x:c r="V321" s="104" t="str">
        <x:f t="array" ref="V321">IF(C321&lt;&gt;"",_xlfn.IFS(V$10="AT",RECORD!HC323,V$10="LECTURE",BF321,TRUE(),""),"")</x:f>
      </x:c>
      <x:c r="W321" s="106" t="str">
        <x:f t="shared" si="103"/>
      </x:c>
      <x:c r="X321" s="107" t="str">
        <x:f t="array" ref="X321">IF(C321&lt;&gt;"",_xlfn.IFS(X$10="EXAM",RECORD!HD323,X$10="OUTPUT",RECORD!HE323,X$10="LAB",CF321,TRUE(),""),"")</x:f>
      </x:c>
      <x:c r="Y321" s="106" t="str">
        <x:f t="shared" si="104"/>
      </x:c>
      <x:c r="Z321" s="108" t="str">
        <x:f t="shared" si="105"/>
      </x:c>
      <x:c r="AA321" s="109" t="str">
        <x:f t="shared" si="106"/>
      </x:c>
      <x:c r="AB321" s="111" t="str">
        <x:f t="shared" si="107"/>
      </x:c>
      <x:c r="AC321" s="109" t="str">
        <x:f t="shared" si="108"/>
      </x:c>
      <x:c r="AQ321" s="109" t="str">
        <x:f t="shared" si="109"/>
        <x:v>FAILED</x:v>
      </x:c>
      <x:c r="AR321" s="115"/>
      <x:c r="AS321" s="115"/>
      <x:c r="AT321" s="107"/>
      <x:c r="AU321" s="107"/>
      <x:c r="AV321" s="107"/>
      <x:c r="AW321" s="107"/>
      <x:c r="AX321" s="107"/>
      <x:c r="AY321" s="109" t="str">
        <x:f t="shared" si="110"/>
        <x:v>FAILED</x:v>
      </x:c>
      <x:c r="AZ321" s="115"/>
      <x:c r="BA321" s="115"/>
      <x:c r="BB321" s="107"/>
      <x:c r="BC321" s="107"/>
      <x:c r="BD321" s="107"/>
      <x:c r="BE321" s="107"/>
      <x:c r="BF321" s="107"/>
      <x:c r="BG321" s="109" t="str">
        <x:f t="shared" si="111"/>
        <x:v>FAILED</x:v>
      </x:c>
      <x:c r="BQ321" s="109" t="str">
        <x:f t="shared" si="112"/>
        <x:v>FAILED</x:v>
      </x:c>
      <x:c r="BR321" s="115"/>
      <x:c r="BS321" s="115"/>
      <x:c r="BT321" s="107"/>
      <x:c r="BU321" s="107"/>
      <x:c r="BV321" s="107"/>
      <x:c r="BW321" s="107"/>
      <x:c r="BX321" s="107"/>
      <x:c r="BY321" s="109" t="str">
        <x:f t="shared" si="113"/>
        <x:v>FAILED</x:v>
      </x:c>
      <x:c r="BZ321" s="115"/>
      <x:c r="CA321" s="115"/>
      <x:c r="CB321" s="107"/>
      <x:c r="CC321" s="107"/>
      <x:c r="CD321" s="107"/>
      <x:c r="CE321" s="107"/>
      <x:c r="CF321" s="107"/>
      <x:c r="CG321" s="109" t="str">
        <x:f t="shared" si="114"/>
        <x:v>FAILED</x:v>
      </x:c>
    </x:row>
    <x:row r="322">
      <x:c r="A322" s="102" t="str">
        <x:f>IF(RECORD!A324="","",RECORD!A324)</x:f>
      </x:c>
      <x:c r="B322" s="102" t="str">
        <x:f>IF(RECORD!B324="","",RECORD!B324)</x:f>
      </x:c>
      <x:c r="C322" s="103" t="str">
        <x:f>IF(RECORD!C324="","",RECORD!C324)</x:f>
      </x:c>
      <x:c r="D322" s="104" t="str">
        <x:f t="array" ref="D322">IF(C322&lt;&gt;"",IF(F$7="SUMMER","N/A",_xlfn.IFS(D$10="TLA",RECORD!GO324,F$10="LECTURE","",TRUE(),"")),"")</x:f>
      </x:c>
      <x:c r="E322" s="105" t="str">
        <x:f t="shared" si="92"/>
      </x:c>
      <x:c r="F322" s="104" t="str">
        <x:f t="array" ref="F322">IF(C322&lt;&gt;"",IF(F$7="SUMMER","N/A",_xlfn.IFS(F$10="AT",RECORD!GI324,F$10="LECTURE",GRADES!AP322,TRUE(),"")),"")</x:f>
      </x:c>
      <x:c r="G322" s="106" t="str">
        <x:f t="shared" si="93"/>
      </x:c>
      <x:c r="H322" s="107" t="str">
        <x:f t="array" ref="H322">IF(C322&lt;&gt;"",IF(F$7="SUMMER","N/A",_xlfn.IFS(H$10="EXAM",RECORD!GJ324,H$10="OUTPUT",RECORD!GK324,H$10="LAB",BP322,TRUE(),"")),"")</x:f>
      </x:c>
      <x:c r="I322" s="106" t="str">
        <x:f t="shared" si="94"/>
      </x:c>
      <x:c r="J322" s="108" t="str">
        <x:f t="shared" si="95"/>
      </x:c>
      <x:c r="K322" s="109" t="str">
        <x:f t="shared" si="96"/>
      </x:c>
      <x:c r="L322" s="110" t="str">
        <x:f t="array" ref="L322">IF(C322&lt;&gt;"",_xlfn.IFS(L$10="TLA",RECORD!GY324,N$10="LECTURE","",TRUE(),""),"")</x:f>
      </x:c>
      <x:c r="M322" s="105" t="str">
        <x:f t="shared" si="97"/>
      </x:c>
      <x:c r="N322" s="104" t="str">
        <x:f t="array" ref="N322">IF(C322&lt;&gt;"",_xlfn.IFS(N$10="AT",RECORD!GS324,N$10="LECTURE",AX322,TRUE(),""),"")</x:f>
      </x:c>
      <x:c r="O322" s="106" t="str">
        <x:f t="shared" si="98"/>
      </x:c>
      <x:c r="P322" s="107" t="str">
        <x:f t="array" ref="P322">IF(C322&lt;&gt;"",_xlfn.IFS(P$10="EXAM",RECORD!GT324,P$10="OUTPUT",RECORD!GU324,P$10="LAB",BX322,TRUE(),""),"")</x:f>
      </x:c>
      <x:c r="Q322" s="106" t="str">
        <x:f t="shared" si="99"/>
      </x:c>
      <x:c r="R322" s="108" t="str">
        <x:f t="shared" si="100"/>
      </x:c>
      <x:c r="S322" s="109" t="str">
        <x:f t="shared" si="101"/>
      </x:c>
      <x:c r="T322" s="110" t="str">
        <x:f t="array" ref="T322">IF(C322&lt;&gt;"",_xlfn.IFS(T$10="TLA",RECORD!HI324,V$10="LECTURE","",TRUE(),""),"")</x:f>
      </x:c>
      <x:c r="U322" s="105" t="str">
        <x:f t="shared" si="102"/>
      </x:c>
      <x:c r="V322" s="104" t="str">
        <x:f t="array" ref="V322">IF(C322&lt;&gt;"",_xlfn.IFS(V$10="AT",RECORD!HC324,V$10="LECTURE",BF322,TRUE(),""),"")</x:f>
      </x:c>
      <x:c r="W322" s="106" t="str">
        <x:f t="shared" si="103"/>
      </x:c>
      <x:c r="X322" s="107" t="str">
        <x:f t="array" ref="X322">IF(C322&lt;&gt;"",_xlfn.IFS(X$10="EXAM",RECORD!HD324,X$10="OUTPUT",RECORD!HE324,X$10="LAB",CF322,TRUE(),""),"")</x:f>
      </x:c>
      <x:c r="Y322" s="106" t="str">
        <x:f t="shared" si="104"/>
      </x:c>
      <x:c r="Z322" s="108" t="str">
        <x:f t="shared" si="105"/>
      </x:c>
      <x:c r="AA322" s="109" t="str">
        <x:f t="shared" si="106"/>
      </x:c>
      <x:c r="AB322" s="111" t="str">
        <x:f t="shared" si="107"/>
      </x:c>
      <x:c r="AC322" s="109" t="str">
        <x:f t="shared" si="108"/>
      </x:c>
      <x:c r="AQ322" s="109" t="str">
        <x:f t="shared" si="109"/>
        <x:v>FAILED</x:v>
      </x:c>
      <x:c r="AR322" s="115"/>
      <x:c r="AS322" s="115"/>
      <x:c r="AT322" s="107"/>
      <x:c r="AU322" s="107"/>
      <x:c r="AV322" s="107"/>
      <x:c r="AW322" s="107"/>
      <x:c r="AX322" s="107"/>
      <x:c r="AY322" s="109" t="str">
        <x:f t="shared" si="110"/>
        <x:v>FAILED</x:v>
      </x:c>
      <x:c r="AZ322" s="115"/>
      <x:c r="BA322" s="115"/>
      <x:c r="BB322" s="107"/>
      <x:c r="BC322" s="107"/>
      <x:c r="BD322" s="107"/>
      <x:c r="BE322" s="107"/>
      <x:c r="BF322" s="107"/>
      <x:c r="BG322" s="109" t="str">
        <x:f t="shared" si="111"/>
        <x:v>FAILED</x:v>
      </x:c>
      <x:c r="BQ322" s="109" t="str">
        <x:f t="shared" si="112"/>
        <x:v>FAILED</x:v>
      </x:c>
      <x:c r="BR322" s="115"/>
      <x:c r="BS322" s="115"/>
      <x:c r="BT322" s="107"/>
      <x:c r="BU322" s="107"/>
      <x:c r="BV322" s="107"/>
      <x:c r="BW322" s="107"/>
      <x:c r="BX322" s="107"/>
      <x:c r="BY322" s="109" t="str">
        <x:f t="shared" si="113"/>
        <x:v>FAILED</x:v>
      </x:c>
      <x:c r="BZ322" s="115"/>
      <x:c r="CA322" s="115"/>
      <x:c r="CB322" s="107"/>
      <x:c r="CC322" s="107"/>
      <x:c r="CD322" s="107"/>
      <x:c r="CE322" s="107"/>
      <x:c r="CF322" s="107"/>
      <x:c r="CG322" s="109" t="str">
        <x:f t="shared" si="114"/>
        <x:v>FAILED</x:v>
      </x:c>
    </x:row>
    <x:row r="323">
      <x:c r="A323" s="102" t="str">
        <x:f>IF(RECORD!A325="","",RECORD!A325)</x:f>
      </x:c>
      <x:c r="B323" s="102" t="str">
        <x:f>IF(RECORD!B325="","",RECORD!B325)</x:f>
      </x:c>
      <x:c r="C323" s="103" t="str">
        <x:f>IF(RECORD!C325="","",RECORD!C325)</x:f>
      </x:c>
      <x:c r="D323" s="104" t="str">
        <x:f t="array" ref="D323">IF(C323&lt;&gt;"",IF(F$7="SUMMER","N/A",_xlfn.IFS(D$10="TLA",RECORD!GO325,F$10="LECTURE","",TRUE(),"")),"")</x:f>
      </x:c>
      <x:c r="E323" s="105" t="str">
        <x:f t="shared" si="92"/>
      </x:c>
      <x:c r="F323" s="104" t="str">
        <x:f t="array" ref="F323">IF(C323&lt;&gt;"",IF(F$7="SUMMER","N/A",_xlfn.IFS(F$10="AT",RECORD!GI325,F$10="LECTURE",GRADES!AP323,TRUE(),"")),"")</x:f>
      </x:c>
      <x:c r="G323" s="106" t="str">
        <x:f t="shared" si="93"/>
      </x:c>
      <x:c r="H323" s="107" t="str">
        <x:f t="array" ref="H323">IF(C323&lt;&gt;"",IF(F$7="SUMMER","N/A",_xlfn.IFS(H$10="EXAM",RECORD!GJ325,H$10="OUTPUT",RECORD!GK325,H$10="LAB",BP323,TRUE(),"")),"")</x:f>
      </x:c>
      <x:c r="I323" s="106" t="str">
        <x:f t="shared" si="94"/>
      </x:c>
      <x:c r="J323" s="108" t="str">
        <x:f t="shared" si="95"/>
      </x:c>
      <x:c r="K323" s="109" t="str">
        <x:f t="shared" si="96"/>
      </x:c>
      <x:c r="L323" s="110" t="str">
        <x:f t="array" ref="L323">IF(C323&lt;&gt;"",_xlfn.IFS(L$10="TLA",RECORD!GY325,N$10="LECTURE","",TRUE(),""),"")</x:f>
      </x:c>
      <x:c r="M323" s="105" t="str">
        <x:f t="shared" si="97"/>
      </x:c>
      <x:c r="N323" s="104" t="str">
        <x:f t="array" ref="N323">IF(C323&lt;&gt;"",_xlfn.IFS(N$10="AT",RECORD!GS325,N$10="LECTURE",AX323,TRUE(),""),"")</x:f>
      </x:c>
      <x:c r="O323" s="106" t="str">
        <x:f t="shared" si="98"/>
      </x:c>
      <x:c r="P323" s="107" t="str">
        <x:f t="array" ref="P323">IF(C323&lt;&gt;"",_xlfn.IFS(P$10="EXAM",RECORD!GT325,P$10="OUTPUT",RECORD!GU325,P$10="LAB",BX323,TRUE(),""),"")</x:f>
      </x:c>
      <x:c r="Q323" s="106" t="str">
        <x:f t="shared" si="99"/>
      </x:c>
      <x:c r="R323" s="108" t="str">
        <x:f t="shared" si="100"/>
      </x:c>
      <x:c r="S323" s="109" t="str">
        <x:f t="shared" si="101"/>
      </x:c>
      <x:c r="T323" s="110" t="str">
        <x:f t="array" ref="T323">IF(C323&lt;&gt;"",_xlfn.IFS(T$10="TLA",RECORD!HI325,V$10="LECTURE","",TRUE(),""),"")</x:f>
      </x:c>
      <x:c r="U323" s="105" t="str">
        <x:f t="shared" si="102"/>
      </x:c>
      <x:c r="V323" s="104" t="str">
        <x:f t="array" ref="V323">IF(C323&lt;&gt;"",_xlfn.IFS(V$10="AT",RECORD!HC325,V$10="LECTURE",BF323,TRUE(),""),"")</x:f>
      </x:c>
      <x:c r="W323" s="106" t="str">
        <x:f t="shared" si="103"/>
      </x:c>
      <x:c r="X323" s="107" t="str">
        <x:f t="array" ref="X323">IF(C323&lt;&gt;"",_xlfn.IFS(X$10="EXAM",RECORD!HD325,X$10="OUTPUT",RECORD!HE325,X$10="LAB",CF323,TRUE(),""),"")</x:f>
      </x:c>
      <x:c r="Y323" s="106" t="str">
        <x:f t="shared" si="104"/>
      </x:c>
      <x:c r="Z323" s="108" t="str">
        <x:f t="shared" si="105"/>
      </x:c>
      <x:c r="AA323" s="109" t="str">
        <x:f t="shared" si="106"/>
      </x:c>
      <x:c r="AB323" s="111" t="str">
        <x:f t="shared" si="107"/>
      </x:c>
      <x:c r="AC323" s="109" t="str">
        <x:f t="shared" si="108"/>
      </x:c>
      <x:c r="AQ323" s="109" t="str">
        <x:f t="shared" si="109"/>
        <x:v>FAILED</x:v>
      </x:c>
      <x:c r="AR323" s="115"/>
      <x:c r="AS323" s="115"/>
      <x:c r="AT323" s="107"/>
      <x:c r="AU323" s="107"/>
      <x:c r="AV323" s="107"/>
      <x:c r="AW323" s="107"/>
      <x:c r="AX323" s="107"/>
      <x:c r="AY323" s="109" t="str">
        <x:f t="shared" si="110"/>
        <x:v>FAILED</x:v>
      </x:c>
      <x:c r="AZ323" s="115"/>
      <x:c r="BA323" s="115"/>
      <x:c r="BB323" s="107"/>
      <x:c r="BC323" s="107"/>
      <x:c r="BD323" s="107"/>
      <x:c r="BE323" s="107"/>
      <x:c r="BF323" s="107"/>
      <x:c r="BG323" s="109" t="str">
        <x:f t="shared" si="111"/>
        <x:v>FAILED</x:v>
      </x:c>
      <x:c r="BQ323" s="109" t="str">
        <x:f t="shared" si="112"/>
        <x:v>FAILED</x:v>
      </x:c>
      <x:c r="BR323" s="115"/>
      <x:c r="BS323" s="115"/>
      <x:c r="BT323" s="107"/>
      <x:c r="BU323" s="107"/>
      <x:c r="BV323" s="107"/>
      <x:c r="BW323" s="107"/>
      <x:c r="BX323" s="107"/>
      <x:c r="BY323" s="109" t="str">
        <x:f t="shared" si="113"/>
        <x:v>FAILED</x:v>
      </x:c>
      <x:c r="BZ323" s="115"/>
      <x:c r="CA323" s="115"/>
      <x:c r="CB323" s="107"/>
      <x:c r="CC323" s="107"/>
      <x:c r="CD323" s="107"/>
      <x:c r="CE323" s="107"/>
      <x:c r="CF323" s="107"/>
      <x:c r="CG323" s="109" t="str">
        <x:f t="shared" si="114"/>
        <x:v>FAILED</x:v>
      </x:c>
    </x:row>
    <x:row r="324">
      <x:c r="A324" s="102" t="str">
        <x:f>IF(RECORD!A326="","",RECORD!A326)</x:f>
      </x:c>
      <x:c r="B324" s="102" t="str">
        <x:f>IF(RECORD!B326="","",RECORD!B326)</x:f>
      </x:c>
      <x:c r="C324" s="103" t="str">
        <x:f>IF(RECORD!C326="","",RECORD!C326)</x:f>
      </x:c>
      <x:c r="D324" s="104" t="str">
        <x:f t="array" ref="D324">IF(C324&lt;&gt;"",IF(F$7="SUMMER","N/A",_xlfn.IFS(D$10="TLA",RECORD!GO326,F$10="LECTURE","",TRUE(),"")),"")</x:f>
      </x:c>
      <x:c r="E324" s="105" t="str">
        <x:f t="shared" si="92"/>
      </x:c>
      <x:c r="F324" s="104" t="str">
        <x:f t="array" ref="F324">IF(C324&lt;&gt;"",IF(F$7="SUMMER","N/A",_xlfn.IFS(F$10="AT",RECORD!GI326,F$10="LECTURE",GRADES!AP324,TRUE(),"")),"")</x:f>
      </x:c>
      <x:c r="G324" s="106" t="str">
        <x:f t="shared" si="93"/>
      </x:c>
      <x:c r="H324" s="107" t="str">
        <x:f t="array" ref="H324">IF(C324&lt;&gt;"",IF(F$7="SUMMER","N/A",_xlfn.IFS(H$10="EXAM",RECORD!GJ326,H$10="OUTPUT",RECORD!GK326,H$10="LAB",BP324,TRUE(),"")),"")</x:f>
      </x:c>
      <x:c r="I324" s="106" t="str">
        <x:f t="shared" si="94"/>
      </x:c>
      <x:c r="J324" s="108" t="str">
        <x:f t="shared" si="95"/>
      </x:c>
      <x:c r="K324" s="109" t="str">
        <x:f t="shared" si="96"/>
      </x:c>
      <x:c r="L324" s="110" t="str">
        <x:f t="array" ref="L324">IF(C324&lt;&gt;"",_xlfn.IFS(L$10="TLA",RECORD!GY326,N$10="LECTURE","",TRUE(),""),"")</x:f>
      </x:c>
      <x:c r="M324" s="105" t="str">
        <x:f t="shared" si="97"/>
      </x:c>
      <x:c r="N324" s="104" t="str">
        <x:f t="array" ref="N324">IF(C324&lt;&gt;"",_xlfn.IFS(N$10="AT",RECORD!GS326,N$10="LECTURE",AX324,TRUE(),""),"")</x:f>
      </x:c>
      <x:c r="O324" s="106" t="str">
        <x:f t="shared" si="98"/>
      </x:c>
      <x:c r="P324" s="107" t="str">
        <x:f t="array" ref="P324">IF(C324&lt;&gt;"",_xlfn.IFS(P$10="EXAM",RECORD!GT326,P$10="OUTPUT",RECORD!GU326,P$10="LAB",BX324,TRUE(),""),"")</x:f>
      </x:c>
      <x:c r="Q324" s="106" t="str">
        <x:f t="shared" si="99"/>
      </x:c>
      <x:c r="R324" s="108" t="str">
        <x:f t="shared" si="100"/>
      </x:c>
      <x:c r="S324" s="109" t="str">
        <x:f t="shared" si="101"/>
      </x:c>
      <x:c r="T324" s="110" t="str">
        <x:f t="array" ref="T324">IF(C324&lt;&gt;"",_xlfn.IFS(T$10="TLA",RECORD!HI326,V$10="LECTURE","",TRUE(),""),"")</x:f>
      </x:c>
      <x:c r="U324" s="105" t="str">
        <x:f t="shared" si="102"/>
      </x:c>
      <x:c r="V324" s="104" t="str">
        <x:f t="array" ref="V324">IF(C324&lt;&gt;"",_xlfn.IFS(V$10="AT",RECORD!HC326,V$10="LECTURE",BF324,TRUE(),""),"")</x:f>
      </x:c>
      <x:c r="W324" s="106" t="str">
        <x:f t="shared" si="103"/>
      </x:c>
      <x:c r="X324" s="107" t="str">
        <x:f t="array" ref="X324">IF(C324&lt;&gt;"",_xlfn.IFS(X$10="EXAM",RECORD!HD326,X$10="OUTPUT",RECORD!HE326,X$10="LAB",CF324,TRUE(),""),"")</x:f>
      </x:c>
      <x:c r="Y324" s="106" t="str">
        <x:f t="shared" si="104"/>
      </x:c>
      <x:c r="Z324" s="108" t="str">
        <x:f t="shared" si="105"/>
      </x:c>
      <x:c r="AA324" s="109" t="str">
        <x:f t="shared" si="106"/>
      </x:c>
      <x:c r="AB324" s="111" t="str">
        <x:f t="shared" si="107"/>
      </x:c>
      <x:c r="AC324" s="109" t="str">
        <x:f t="shared" si="108"/>
      </x:c>
      <x:c r="AQ324" s="109" t="str">
        <x:f t="shared" si="109"/>
        <x:v>FAILED</x:v>
      </x:c>
      <x:c r="AR324" s="115"/>
      <x:c r="AS324" s="115"/>
      <x:c r="AT324" s="107"/>
      <x:c r="AU324" s="107"/>
      <x:c r="AV324" s="107"/>
      <x:c r="AW324" s="107"/>
      <x:c r="AX324" s="107"/>
      <x:c r="AY324" s="109" t="str">
        <x:f t="shared" si="110"/>
        <x:v>FAILED</x:v>
      </x:c>
      <x:c r="AZ324" s="115"/>
      <x:c r="BA324" s="115"/>
      <x:c r="BB324" s="107"/>
      <x:c r="BC324" s="107"/>
      <x:c r="BD324" s="107"/>
      <x:c r="BE324" s="107"/>
      <x:c r="BF324" s="107"/>
      <x:c r="BG324" s="109" t="str">
        <x:f t="shared" si="111"/>
        <x:v>FAILED</x:v>
      </x:c>
      <x:c r="BQ324" s="109" t="str">
        <x:f t="shared" si="112"/>
        <x:v>FAILED</x:v>
      </x:c>
      <x:c r="BR324" s="115"/>
      <x:c r="BS324" s="115"/>
      <x:c r="BT324" s="107"/>
      <x:c r="BU324" s="107"/>
      <x:c r="BV324" s="107"/>
      <x:c r="BW324" s="107"/>
      <x:c r="BX324" s="107"/>
      <x:c r="BY324" s="109" t="str">
        <x:f t="shared" si="113"/>
        <x:v>FAILED</x:v>
      </x:c>
      <x:c r="BZ324" s="115"/>
      <x:c r="CA324" s="115"/>
      <x:c r="CB324" s="107"/>
      <x:c r="CC324" s="107"/>
      <x:c r="CD324" s="107"/>
      <x:c r="CE324" s="107"/>
      <x:c r="CF324" s="107"/>
      <x:c r="CG324" s="109" t="str">
        <x:f t="shared" si="114"/>
        <x:v>FAILED</x:v>
      </x:c>
    </x:row>
    <x:row r="325">
      <x:c r="A325" s="102" t="str">
        <x:f>IF(RECORD!A327="","",RECORD!A327)</x:f>
      </x:c>
      <x:c r="B325" s="102" t="str">
        <x:f>IF(RECORD!B327="","",RECORD!B327)</x:f>
      </x:c>
      <x:c r="C325" s="103" t="str">
        <x:f>IF(RECORD!C327="","",RECORD!C327)</x:f>
      </x:c>
      <x:c r="D325" s="104" t="str">
        <x:f t="array" ref="D325">IF(C325&lt;&gt;"",IF(F$7="SUMMER","N/A",_xlfn.IFS(D$10="TLA",RECORD!GO327,F$10="LECTURE","",TRUE(),"")),"")</x:f>
      </x:c>
      <x:c r="E325" s="105" t="str">
        <x:f t="shared" si="92"/>
      </x:c>
      <x:c r="F325" s="104" t="str">
        <x:f t="array" ref="F325">IF(C325&lt;&gt;"",IF(F$7="SUMMER","N/A",_xlfn.IFS(F$10="AT",RECORD!GI327,F$10="LECTURE",GRADES!AP325,TRUE(),"")),"")</x:f>
      </x:c>
      <x:c r="G325" s="106" t="str">
        <x:f t="shared" si="93"/>
      </x:c>
      <x:c r="H325" s="107" t="str">
        <x:f t="array" ref="H325">IF(C325&lt;&gt;"",IF(F$7="SUMMER","N/A",_xlfn.IFS(H$10="EXAM",RECORD!GJ327,H$10="OUTPUT",RECORD!GK327,H$10="LAB",BP325,TRUE(),"")),"")</x:f>
      </x:c>
      <x:c r="I325" s="106" t="str">
        <x:f t="shared" si="94"/>
      </x:c>
      <x:c r="J325" s="108" t="str">
        <x:f t="shared" si="95"/>
      </x:c>
      <x:c r="K325" s="109" t="str">
        <x:f t="shared" si="96"/>
      </x:c>
      <x:c r="L325" s="110" t="str">
        <x:f t="array" ref="L325">IF(C325&lt;&gt;"",_xlfn.IFS(L$10="TLA",RECORD!GY327,N$10="LECTURE","",TRUE(),""),"")</x:f>
      </x:c>
      <x:c r="M325" s="105" t="str">
        <x:f t="shared" si="97"/>
      </x:c>
      <x:c r="N325" s="104" t="str">
        <x:f t="array" ref="N325">IF(C325&lt;&gt;"",_xlfn.IFS(N$10="AT",RECORD!GS327,N$10="LECTURE",AX325,TRUE(),""),"")</x:f>
      </x:c>
      <x:c r="O325" s="106" t="str">
        <x:f t="shared" si="98"/>
      </x:c>
      <x:c r="P325" s="107" t="str">
        <x:f t="array" ref="P325">IF(C325&lt;&gt;"",_xlfn.IFS(P$10="EXAM",RECORD!GT327,P$10="OUTPUT",RECORD!GU327,P$10="LAB",BX325,TRUE(),""),"")</x:f>
      </x:c>
      <x:c r="Q325" s="106" t="str">
        <x:f t="shared" si="99"/>
      </x:c>
      <x:c r="R325" s="108" t="str">
        <x:f t="shared" si="100"/>
      </x:c>
      <x:c r="S325" s="109" t="str">
        <x:f t="shared" si="101"/>
      </x:c>
      <x:c r="T325" s="110" t="str">
        <x:f t="array" ref="T325">IF(C325&lt;&gt;"",_xlfn.IFS(T$10="TLA",RECORD!HI327,V$10="LECTURE","",TRUE(),""),"")</x:f>
      </x:c>
      <x:c r="U325" s="105" t="str">
        <x:f t="shared" si="102"/>
      </x:c>
      <x:c r="V325" s="104" t="str">
        <x:f t="array" ref="V325">IF(C325&lt;&gt;"",_xlfn.IFS(V$10="AT",RECORD!HC327,V$10="LECTURE",BF325,TRUE(),""),"")</x:f>
      </x:c>
      <x:c r="W325" s="106" t="str">
        <x:f t="shared" si="103"/>
      </x:c>
      <x:c r="X325" s="107" t="str">
        <x:f t="array" ref="X325">IF(C325&lt;&gt;"",_xlfn.IFS(X$10="EXAM",RECORD!HD327,X$10="OUTPUT",RECORD!HE327,X$10="LAB",CF325,TRUE(),""),"")</x:f>
      </x:c>
      <x:c r="Y325" s="106" t="str">
        <x:f t="shared" si="104"/>
      </x:c>
      <x:c r="Z325" s="108" t="str">
        <x:f t="shared" si="105"/>
      </x:c>
      <x:c r="AA325" s="109" t="str">
        <x:f t="shared" si="106"/>
      </x:c>
      <x:c r="AB325" s="111" t="str">
        <x:f t="shared" si="107"/>
      </x:c>
      <x:c r="AC325" s="109" t="str">
        <x:f t="shared" si="108"/>
      </x:c>
      <x:c r="AQ325" s="109" t="str">
        <x:f t="shared" si="109"/>
        <x:v>FAILED</x:v>
      </x:c>
      <x:c r="AR325" s="115"/>
      <x:c r="AS325" s="115"/>
      <x:c r="AT325" s="107"/>
      <x:c r="AU325" s="107"/>
      <x:c r="AV325" s="107"/>
      <x:c r="AW325" s="107"/>
      <x:c r="AX325" s="107"/>
      <x:c r="AY325" s="109" t="str">
        <x:f t="shared" si="110"/>
        <x:v>FAILED</x:v>
      </x:c>
      <x:c r="AZ325" s="115"/>
      <x:c r="BA325" s="115"/>
      <x:c r="BB325" s="107"/>
      <x:c r="BC325" s="107"/>
      <x:c r="BD325" s="107"/>
      <x:c r="BE325" s="107"/>
      <x:c r="BF325" s="107"/>
      <x:c r="BG325" s="109" t="str">
        <x:f t="shared" si="111"/>
        <x:v>FAILED</x:v>
      </x:c>
      <x:c r="BQ325" s="109" t="str">
        <x:f t="shared" si="112"/>
        <x:v>FAILED</x:v>
      </x:c>
      <x:c r="BR325" s="115"/>
      <x:c r="BS325" s="115"/>
      <x:c r="BT325" s="107"/>
      <x:c r="BU325" s="107"/>
      <x:c r="BV325" s="107"/>
      <x:c r="BW325" s="107"/>
      <x:c r="BX325" s="107"/>
      <x:c r="BY325" s="109" t="str">
        <x:f t="shared" si="113"/>
        <x:v>FAILED</x:v>
      </x:c>
      <x:c r="BZ325" s="115"/>
      <x:c r="CA325" s="115"/>
      <x:c r="CB325" s="107"/>
      <x:c r="CC325" s="107"/>
      <x:c r="CD325" s="107"/>
      <x:c r="CE325" s="107"/>
      <x:c r="CF325" s="107"/>
      <x:c r="CG325" s="109" t="str">
        <x:f t="shared" si="114"/>
        <x:v>FAILED</x:v>
      </x:c>
    </x:row>
    <x:row r="326">
      <x:c r="A326" s="102" t="str">
        <x:f>IF(RECORD!A328="","",RECORD!A328)</x:f>
      </x:c>
      <x:c r="B326" s="102" t="str">
        <x:f>IF(RECORD!B328="","",RECORD!B328)</x:f>
      </x:c>
      <x:c r="C326" s="103" t="str">
        <x:f>IF(RECORD!C328="","",RECORD!C328)</x:f>
      </x:c>
      <x:c r="D326" s="104" t="str">
        <x:f t="array" ref="D326">IF(C326&lt;&gt;"",IF(F$7="SUMMER","N/A",_xlfn.IFS(D$10="TLA",RECORD!GO328,F$10="LECTURE","",TRUE(),"")),"")</x:f>
      </x:c>
      <x:c r="E326" s="105" t="str">
        <x:f t="shared" si="92"/>
      </x:c>
      <x:c r="F326" s="104" t="str">
        <x:f t="array" ref="F326">IF(C326&lt;&gt;"",IF(F$7="SUMMER","N/A",_xlfn.IFS(F$10="AT",RECORD!GI328,F$10="LECTURE",GRADES!AP326,TRUE(),"")),"")</x:f>
      </x:c>
      <x:c r="G326" s="106" t="str">
        <x:f t="shared" si="93"/>
      </x:c>
      <x:c r="H326" s="107" t="str">
        <x:f t="array" ref="H326">IF(C326&lt;&gt;"",IF(F$7="SUMMER","N/A",_xlfn.IFS(H$10="EXAM",RECORD!GJ328,H$10="OUTPUT",RECORD!GK328,H$10="LAB",BP326,TRUE(),"")),"")</x:f>
      </x:c>
      <x:c r="I326" s="106" t="str">
        <x:f t="shared" si="94"/>
      </x:c>
      <x:c r="J326" s="108" t="str">
        <x:f t="shared" si="95"/>
      </x:c>
      <x:c r="K326" s="109" t="str">
        <x:f t="shared" si="96"/>
      </x:c>
      <x:c r="L326" s="110" t="str">
        <x:f t="array" ref="L326">IF(C326&lt;&gt;"",_xlfn.IFS(L$10="TLA",RECORD!GY328,N$10="LECTURE","",TRUE(),""),"")</x:f>
      </x:c>
      <x:c r="M326" s="105" t="str">
        <x:f t="shared" si="97"/>
      </x:c>
      <x:c r="N326" s="104" t="str">
        <x:f t="array" ref="N326">IF(C326&lt;&gt;"",_xlfn.IFS(N$10="AT",RECORD!GS328,N$10="LECTURE",AX326,TRUE(),""),"")</x:f>
      </x:c>
      <x:c r="O326" s="106" t="str">
        <x:f t="shared" si="98"/>
      </x:c>
      <x:c r="P326" s="107" t="str">
        <x:f t="array" ref="P326">IF(C326&lt;&gt;"",_xlfn.IFS(P$10="EXAM",RECORD!GT328,P$10="OUTPUT",RECORD!GU328,P$10="LAB",BX326,TRUE(),""),"")</x:f>
      </x:c>
      <x:c r="Q326" s="106" t="str">
        <x:f t="shared" si="99"/>
      </x:c>
      <x:c r="R326" s="108" t="str">
        <x:f t="shared" si="100"/>
      </x:c>
      <x:c r="S326" s="109" t="str">
        <x:f t="shared" si="101"/>
      </x:c>
      <x:c r="T326" s="110" t="str">
        <x:f t="array" ref="T326">IF(C326&lt;&gt;"",_xlfn.IFS(T$10="TLA",RECORD!HI328,V$10="LECTURE","",TRUE(),""),"")</x:f>
      </x:c>
      <x:c r="U326" s="105" t="str">
        <x:f t="shared" si="102"/>
      </x:c>
      <x:c r="V326" s="104" t="str">
        <x:f t="array" ref="V326">IF(C326&lt;&gt;"",_xlfn.IFS(V$10="AT",RECORD!HC328,V$10="LECTURE",BF326,TRUE(),""),"")</x:f>
      </x:c>
      <x:c r="W326" s="106" t="str">
        <x:f t="shared" si="103"/>
      </x:c>
      <x:c r="X326" s="107" t="str">
        <x:f t="array" ref="X326">IF(C326&lt;&gt;"",_xlfn.IFS(X$10="EXAM",RECORD!HD328,X$10="OUTPUT",RECORD!HE328,X$10="LAB",CF326,TRUE(),""),"")</x:f>
      </x:c>
      <x:c r="Y326" s="106" t="str">
        <x:f t="shared" si="104"/>
      </x:c>
      <x:c r="Z326" s="108" t="str">
        <x:f t="shared" si="105"/>
      </x:c>
      <x:c r="AA326" s="109" t="str">
        <x:f t="shared" si="106"/>
      </x:c>
      <x:c r="AB326" s="111" t="str">
        <x:f t="shared" si="107"/>
      </x:c>
      <x:c r="AC326" s="109" t="str">
        <x:f t="shared" si="108"/>
      </x:c>
      <x:c r="AQ326" s="109" t="str">
        <x:f t="shared" si="109"/>
        <x:v>FAILED</x:v>
      </x:c>
      <x:c r="AR326" s="115"/>
      <x:c r="AS326" s="115"/>
      <x:c r="AT326" s="107"/>
      <x:c r="AU326" s="107"/>
      <x:c r="AV326" s="107"/>
      <x:c r="AW326" s="107"/>
      <x:c r="AX326" s="107"/>
      <x:c r="AY326" s="109" t="str">
        <x:f t="shared" si="110"/>
        <x:v>FAILED</x:v>
      </x:c>
      <x:c r="AZ326" s="115"/>
      <x:c r="BA326" s="115"/>
      <x:c r="BB326" s="107"/>
      <x:c r="BC326" s="107"/>
      <x:c r="BD326" s="107"/>
      <x:c r="BE326" s="107"/>
      <x:c r="BF326" s="107"/>
      <x:c r="BG326" s="109" t="str">
        <x:f t="shared" si="111"/>
        <x:v>FAILED</x:v>
      </x:c>
      <x:c r="BQ326" s="109" t="str">
        <x:f t="shared" si="112"/>
        <x:v>FAILED</x:v>
      </x:c>
      <x:c r="BR326" s="115"/>
      <x:c r="BS326" s="115"/>
      <x:c r="BT326" s="107"/>
      <x:c r="BU326" s="107"/>
      <x:c r="BV326" s="107"/>
      <x:c r="BW326" s="107"/>
      <x:c r="BX326" s="107"/>
      <x:c r="BY326" s="109" t="str">
        <x:f t="shared" si="113"/>
        <x:v>FAILED</x:v>
      </x:c>
      <x:c r="BZ326" s="115"/>
      <x:c r="CA326" s="115"/>
      <x:c r="CB326" s="107"/>
      <x:c r="CC326" s="107"/>
      <x:c r="CD326" s="107"/>
      <x:c r="CE326" s="107"/>
      <x:c r="CF326" s="107"/>
      <x:c r="CG326" s="109" t="str">
        <x:f t="shared" si="114"/>
        <x:v>FAILED</x:v>
      </x:c>
    </x:row>
    <x:row r="327">
      <x:c r="A327" s="102" t="str">
        <x:f>IF(RECORD!A329="","",RECORD!A329)</x:f>
      </x:c>
      <x:c r="B327" s="102" t="str">
        <x:f>IF(RECORD!B329="","",RECORD!B329)</x:f>
      </x:c>
      <x:c r="C327" s="103" t="str">
        <x:f>IF(RECORD!C329="","",RECORD!C329)</x:f>
      </x:c>
      <x:c r="D327" s="104" t="str">
        <x:f t="array" ref="D327">IF(C327&lt;&gt;"",IF(F$7="SUMMER","N/A",_xlfn.IFS(D$10="TLA",RECORD!GO329,F$10="LECTURE","",TRUE(),"")),"")</x:f>
      </x:c>
      <x:c r="E327" s="105" t="str">
        <x:f t="shared" si="92"/>
      </x:c>
      <x:c r="F327" s="104" t="str">
        <x:f t="array" ref="F327">IF(C327&lt;&gt;"",IF(F$7="SUMMER","N/A",_xlfn.IFS(F$10="AT",RECORD!GI329,F$10="LECTURE",GRADES!AP327,TRUE(),"")),"")</x:f>
      </x:c>
      <x:c r="G327" s="106" t="str">
        <x:f t="shared" si="93"/>
      </x:c>
      <x:c r="H327" s="107" t="str">
        <x:f t="array" ref="H327">IF(C327&lt;&gt;"",IF(F$7="SUMMER","N/A",_xlfn.IFS(H$10="EXAM",RECORD!GJ329,H$10="OUTPUT",RECORD!GK329,H$10="LAB",BP327,TRUE(),"")),"")</x:f>
      </x:c>
      <x:c r="I327" s="106" t="str">
        <x:f t="shared" si="94"/>
      </x:c>
      <x:c r="J327" s="108" t="str">
        <x:f t="shared" si="95"/>
      </x:c>
      <x:c r="K327" s="109" t="str">
        <x:f t="shared" si="96"/>
      </x:c>
      <x:c r="L327" s="110" t="str">
        <x:f t="array" ref="L327">IF(C327&lt;&gt;"",_xlfn.IFS(L$10="TLA",RECORD!GY329,N$10="LECTURE","",TRUE(),""),"")</x:f>
      </x:c>
      <x:c r="M327" s="105" t="str">
        <x:f t="shared" si="97"/>
      </x:c>
      <x:c r="N327" s="104" t="str">
        <x:f t="array" ref="N327">IF(C327&lt;&gt;"",_xlfn.IFS(N$10="AT",RECORD!GS329,N$10="LECTURE",AX327,TRUE(),""),"")</x:f>
      </x:c>
      <x:c r="O327" s="106" t="str">
        <x:f t="shared" si="98"/>
      </x:c>
      <x:c r="P327" s="107" t="str">
        <x:f t="array" ref="P327">IF(C327&lt;&gt;"",_xlfn.IFS(P$10="EXAM",RECORD!GT329,P$10="OUTPUT",RECORD!GU329,P$10="LAB",BX327,TRUE(),""),"")</x:f>
      </x:c>
      <x:c r="Q327" s="106" t="str">
        <x:f t="shared" si="99"/>
      </x:c>
      <x:c r="R327" s="108" t="str">
        <x:f t="shared" si="100"/>
      </x:c>
      <x:c r="S327" s="109" t="str">
        <x:f t="shared" si="101"/>
      </x:c>
      <x:c r="T327" s="110" t="str">
        <x:f t="array" ref="T327">IF(C327&lt;&gt;"",_xlfn.IFS(T$10="TLA",RECORD!HI329,V$10="LECTURE","",TRUE(),""),"")</x:f>
      </x:c>
      <x:c r="U327" s="105" t="str">
        <x:f t="shared" si="102"/>
      </x:c>
      <x:c r="V327" s="104" t="str">
        <x:f t="array" ref="V327">IF(C327&lt;&gt;"",_xlfn.IFS(V$10="AT",RECORD!HC329,V$10="LECTURE",BF327,TRUE(),""),"")</x:f>
      </x:c>
      <x:c r="W327" s="106" t="str">
        <x:f t="shared" si="103"/>
      </x:c>
      <x:c r="X327" s="107" t="str">
        <x:f t="array" ref="X327">IF(C327&lt;&gt;"",_xlfn.IFS(X$10="EXAM",RECORD!HD329,X$10="OUTPUT",RECORD!HE329,X$10="LAB",CF327,TRUE(),""),"")</x:f>
      </x:c>
      <x:c r="Y327" s="106" t="str">
        <x:f t="shared" si="104"/>
      </x:c>
      <x:c r="Z327" s="108" t="str">
        <x:f t="shared" si="105"/>
      </x:c>
      <x:c r="AA327" s="109" t="str">
        <x:f t="shared" si="106"/>
      </x:c>
      <x:c r="AB327" s="111" t="str">
        <x:f t="shared" si="107"/>
      </x:c>
      <x:c r="AC327" s="109" t="str">
        <x:f t="shared" si="108"/>
      </x:c>
      <x:c r="AQ327" s="109" t="str">
        <x:f t="shared" si="109"/>
        <x:v>FAILED</x:v>
      </x:c>
      <x:c r="AR327" s="115"/>
      <x:c r="AS327" s="115"/>
      <x:c r="AT327" s="107"/>
      <x:c r="AU327" s="107"/>
      <x:c r="AV327" s="107"/>
      <x:c r="AW327" s="107"/>
      <x:c r="AX327" s="107"/>
      <x:c r="AY327" s="109" t="str">
        <x:f t="shared" si="110"/>
        <x:v>FAILED</x:v>
      </x:c>
      <x:c r="AZ327" s="115"/>
      <x:c r="BA327" s="115"/>
      <x:c r="BB327" s="107"/>
      <x:c r="BC327" s="107"/>
      <x:c r="BD327" s="107"/>
      <x:c r="BE327" s="107"/>
      <x:c r="BF327" s="107"/>
      <x:c r="BG327" s="109" t="str">
        <x:f t="shared" si="111"/>
        <x:v>FAILED</x:v>
      </x:c>
      <x:c r="BQ327" s="109" t="str">
        <x:f t="shared" si="112"/>
        <x:v>FAILED</x:v>
      </x:c>
      <x:c r="BR327" s="115"/>
      <x:c r="BS327" s="115"/>
      <x:c r="BT327" s="107"/>
      <x:c r="BU327" s="107"/>
      <x:c r="BV327" s="107"/>
      <x:c r="BW327" s="107"/>
      <x:c r="BX327" s="107"/>
      <x:c r="BY327" s="109" t="str">
        <x:f t="shared" si="113"/>
        <x:v>FAILED</x:v>
      </x:c>
      <x:c r="BZ327" s="115"/>
      <x:c r="CA327" s="115"/>
      <x:c r="CB327" s="107"/>
      <x:c r="CC327" s="107"/>
      <x:c r="CD327" s="107"/>
      <x:c r="CE327" s="107"/>
      <x:c r="CF327" s="107"/>
      <x:c r="CG327" s="109" t="str">
        <x:f t="shared" si="114"/>
        <x:v>FAILED</x:v>
      </x:c>
    </x:row>
    <x:row r="328">
      <x:c r="A328" s="102" t="str">
        <x:f>IF(RECORD!A330="","",RECORD!A330)</x:f>
      </x:c>
      <x:c r="B328" s="102" t="str">
        <x:f>IF(RECORD!B330="","",RECORD!B330)</x:f>
      </x:c>
      <x:c r="C328" s="103" t="str">
        <x:f>IF(RECORD!C330="","",RECORD!C330)</x:f>
      </x:c>
      <x:c r="D328" s="104" t="str">
        <x:f t="array" ref="D328">IF(C328&lt;&gt;"",IF(F$7="SUMMER","N/A",_xlfn.IFS(D$10="TLA",RECORD!GO330,F$10="LECTURE","",TRUE(),"")),"")</x:f>
      </x:c>
      <x:c r="E328" s="105" t="str">
        <x:f t="shared" si="92"/>
      </x:c>
      <x:c r="F328" s="104" t="str">
        <x:f t="array" ref="F328">IF(C328&lt;&gt;"",IF(F$7="SUMMER","N/A",_xlfn.IFS(F$10="AT",RECORD!GI330,F$10="LECTURE",GRADES!AP328,TRUE(),"")),"")</x:f>
      </x:c>
      <x:c r="G328" s="106" t="str">
        <x:f t="shared" si="93"/>
      </x:c>
      <x:c r="H328" s="107" t="str">
        <x:f t="array" ref="H328">IF(C328&lt;&gt;"",IF(F$7="SUMMER","N/A",_xlfn.IFS(H$10="EXAM",RECORD!GJ330,H$10="OUTPUT",RECORD!GK330,H$10="LAB",BP328,TRUE(),"")),"")</x:f>
      </x:c>
      <x:c r="I328" s="106" t="str">
        <x:f t="shared" si="94"/>
      </x:c>
      <x:c r="J328" s="108" t="str">
        <x:f t="shared" si="95"/>
      </x:c>
      <x:c r="K328" s="109" t="str">
        <x:f t="shared" si="96"/>
      </x:c>
      <x:c r="L328" s="110" t="str">
        <x:f t="array" ref="L328">IF(C328&lt;&gt;"",_xlfn.IFS(L$10="TLA",RECORD!GY330,N$10="LECTURE","",TRUE(),""),"")</x:f>
      </x:c>
      <x:c r="M328" s="105" t="str">
        <x:f t="shared" si="97"/>
      </x:c>
      <x:c r="N328" s="104" t="str">
        <x:f t="array" ref="N328">IF(C328&lt;&gt;"",_xlfn.IFS(N$10="AT",RECORD!GS330,N$10="LECTURE",AX328,TRUE(),""),"")</x:f>
      </x:c>
      <x:c r="O328" s="106" t="str">
        <x:f t="shared" si="98"/>
      </x:c>
      <x:c r="P328" s="107" t="str">
        <x:f t="array" ref="P328">IF(C328&lt;&gt;"",_xlfn.IFS(P$10="EXAM",RECORD!GT330,P$10="OUTPUT",RECORD!GU330,P$10="LAB",BX328,TRUE(),""),"")</x:f>
      </x:c>
      <x:c r="Q328" s="106" t="str">
        <x:f t="shared" si="99"/>
      </x:c>
      <x:c r="R328" s="108" t="str">
        <x:f t="shared" si="100"/>
      </x:c>
      <x:c r="S328" s="109" t="str">
        <x:f t="shared" si="101"/>
      </x:c>
      <x:c r="T328" s="110" t="str">
        <x:f t="array" ref="T328">IF(C328&lt;&gt;"",_xlfn.IFS(T$10="TLA",RECORD!HI330,V$10="LECTURE","",TRUE(),""),"")</x:f>
      </x:c>
      <x:c r="U328" s="105" t="str">
        <x:f t="shared" si="102"/>
      </x:c>
      <x:c r="V328" s="104" t="str">
        <x:f t="array" ref="V328">IF(C328&lt;&gt;"",_xlfn.IFS(V$10="AT",RECORD!HC330,V$10="LECTURE",BF328,TRUE(),""),"")</x:f>
      </x:c>
      <x:c r="W328" s="106" t="str">
        <x:f t="shared" si="103"/>
      </x:c>
      <x:c r="X328" s="107" t="str">
        <x:f t="array" ref="X328">IF(C328&lt;&gt;"",_xlfn.IFS(X$10="EXAM",RECORD!HD330,X$10="OUTPUT",RECORD!HE330,X$10="LAB",CF328,TRUE(),""),"")</x:f>
      </x:c>
      <x:c r="Y328" s="106" t="str">
        <x:f t="shared" si="104"/>
      </x:c>
      <x:c r="Z328" s="108" t="str">
        <x:f t="shared" si="105"/>
      </x:c>
      <x:c r="AA328" s="109" t="str">
        <x:f t="shared" si="106"/>
      </x:c>
      <x:c r="AB328" s="111" t="str">
        <x:f t="shared" si="107"/>
      </x:c>
      <x:c r="AC328" s="109" t="str">
        <x:f t="shared" si="108"/>
      </x:c>
      <x:c r="AQ328" s="109" t="str">
        <x:f t="shared" si="109"/>
        <x:v>FAILED</x:v>
      </x:c>
      <x:c r="AR328" s="115"/>
      <x:c r="AS328" s="115"/>
      <x:c r="AT328" s="107"/>
      <x:c r="AU328" s="107"/>
      <x:c r="AV328" s="107"/>
      <x:c r="AW328" s="107"/>
      <x:c r="AX328" s="107"/>
      <x:c r="AY328" s="109" t="str">
        <x:f t="shared" si="110"/>
        <x:v>FAILED</x:v>
      </x:c>
      <x:c r="AZ328" s="115"/>
      <x:c r="BA328" s="115"/>
      <x:c r="BB328" s="107"/>
      <x:c r="BC328" s="107"/>
      <x:c r="BD328" s="107"/>
      <x:c r="BE328" s="107"/>
      <x:c r="BF328" s="107"/>
      <x:c r="BG328" s="109" t="str">
        <x:f t="shared" si="111"/>
        <x:v>FAILED</x:v>
      </x:c>
      <x:c r="BQ328" s="109" t="str">
        <x:f t="shared" si="112"/>
        <x:v>FAILED</x:v>
      </x:c>
      <x:c r="BR328" s="115"/>
      <x:c r="BS328" s="115"/>
      <x:c r="BT328" s="107"/>
      <x:c r="BU328" s="107"/>
      <x:c r="BV328" s="107"/>
      <x:c r="BW328" s="107"/>
      <x:c r="BX328" s="107"/>
      <x:c r="BY328" s="109" t="str">
        <x:f t="shared" si="113"/>
        <x:v>FAILED</x:v>
      </x:c>
      <x:c r="BZ328" s="115"/>
      <x:c r="CA328" s="115"/>
      <x:c r="CB328" s="107"/>
      <x:c r="CC328" s="107"/>
      <x:c r="CD328" s="107"/>
      <x:c r="CE328" s="107"/>
      <x:c r="CF328" s="107"/>
      <x:c r="CG328" s="109" t="str">
        <x:f t="shared" si="114"/>
        <x:v>FAILED</x:v>
      </x:c>
    </x:row>
    <x:row r="329">
      <x:c r="A329" s="102" t="str">
        <x:f>IF(RECORD!A331="","",RECORD!A331)</x:f>
      </x:c>
      <x:c r="B329" s="102" t="str">
        <x:f>IF(RECORD!B331="","",RECORD!B331)</x:f>
      </x:c>
      <x:c r="C329" s="103" t="str">
        <x:f>IF(RECORD!C331="","",RECORD!C331)</x:f>
      </x:c>
      <x:c r="D329" s="104" t="str">
        <x:f t="array" ref="D329">IF(C329&lt;&gt;"",IF(F$7="SUMMER","N/A",_xlfn.IFS(D$10="TLA",RECORD!GO331,F$10="LECTURE","",TRUE(),"")),"")</x:f>
      </x:c>
      <x:c r="E329" s="105" t="str">
        <x:f t="shared" si="92"/>
      </x:c>
      <x:c r="F329" s="104" t="str">
        <x:f t="array" ref="F329">IF(C329&lt;&gt;"",IF(F$7="SUMMER","N/A",_xlfn.IFS(F$10="AT",RECORD!GI331,F$10="LECTURE",GRADES!AP329,TRUE(),"")),"")</x:f>
      </x:c>
      <x:c r="G329" s="106" t="str">
        <x:f t="shared" si="93"/>
      </x:c>
      <x:c r="H329" s="107" t="str">
        <x:f t="array" ref="H329">IF(C329&lt;&gt;"",IF(F$7="SUMMER","N/A",_xlfn.IFS(H$10="EXAM",RECORD!GJ331,H$10="OUTPUT",RECORD!GK331,H$10="LAB",BP329,TRUE(),"")),"")</x:f>
      </x:c>
      <x:c r="I329" s="106" t="str">
        <x:f t="shared" si="94"/>
      </x:c>
      <x:c r="J329" s="108" t="str">
        <x:f t="shared" si="95"/>
      </x:c>
      <x:c r="K329" s="109" t="str">
        <x:f t="shared" si="96"/>
      </x:c>
      <x:c r="L329" s="110" t="str">
        <x:f t="array" ref="L329">IF(C329&lt;&gt;"",_xlfn.IFS(L$10="TLA",RECORD!GY331,N$10="LECTURE","",TRUE(),""),"")</x:f>
      </x:c>
      <x:c r="M329" s="105" t="str">
        <x:f t="shared" si="97"/>
      </x:c>
      <x:c r="N329" s="104" t="str">
        <x:f t="array" ref="N329">IF(C329&lt;&gt;"",_xlfn.IFS(N$10="AT",RECORD!GS331,N$10="LECTURE",AX329,TRUE(),""),"")</x:f>
      </x:c>
      <x:c r="O329" s="106" t="str">
        <x:f t="shared" si="98"/>
      </x:c>
      <x:c r="P329" s="107" t="str">
        <x:f t="array" ref="P329">IF(C329&lt;&gt;"",_xlfn.IFS(P$10="EXAM",RECORD!GT331,P$10="OUTPUT",RECORD!GU331,P$10="LAB",BX329,TRUE(),""),"")</x:f>
      </x:c>
      <x:c r="Q329" s="106" t="str">
        <x:f t="shared" si="99"/>
      </x:c>
      <x:c r="R329" s="108" t="str">
        <x:f t="shared" si="100"/>
      </x:c>
      <x:c r="S329" s="109" t="str">
        <x:f t="shared" si="101"/>
      </x:c>
      <x:c r="T329" s="110" t="str">
        <x:f t="array" ref="T329">IF(C329&lt;&gt;"",_xlfn.IFS(T$10="TLA",RECORD!HI331,V$10="LECTURE","",TRUE(),""),"")</x:f>
      </x:c>
      <x:c r="U329" s="105" t="str">
        <x:f t="shared" si="102"/>
      </x:c>
      <x:c r="V329" s="104" t="str">
        <x:f t="array" ref="V329">IF(C329&lt;&gt;"",_xlfn.IFS(V$10="AT",RECORD!HC331,V$10="LECTURE",BF329,TRUE(),""),"")</x:f>
      </x:c>
      <x:c r="W329" s="106" t="str">
        <x:f t="shared" si="103"/>
      </x:c>
      <x:c r="X329" s="107" t="str">
        <x:f t="array" ref="X329">IF(C329&lt;&gt;"",_xlfn.IFS(X$10="EXAM",RECORD!HD331,X$10="OUTPUT",RECORD!HE331,X$10="LAB",CF329,TRUE(),""),"")</x:f>
      </x:c>
      <x:c r="Y329" s="106" t="str">
        <x:f t="shared" si="104"/>
      </x:c>
      <x:c r="Z329" s="108" t="str">
        <x:f t="shared" si="105"/>
      </x:c>
      <x:c r="AA329" s="109" t="str">
        <x:f t="shared" si="106"/>
      </x:c>
      <x:c r="AB329" s="111" t="str">
        <x:f t="shared" si="107"/>
      </x:c>
      <x:c r="AC329" s="109" t="str">
        <x:f t="shared" si="108"/>
      </x:c>
      <x:c r="AQ329" s="109" t="str">
        <x:f t="shared" si="109"/>
        <x:v>FAILED</x:v>
      </x:c>
      <x:c r="AR329" s="115"/>
      <x:c r="AS329" s="115"/>
      <x:c r="AT329" s="107"/>
      <x:c r="AU329" s="107"/>
      <x:c r="AV329" s="107"/>
      <x:c r="AW329" s="107"/>
      <x:c r="AX329" s="107"/>
      <x:c r="AY329" s="109" t="str">
        <x:f t="shared" si="110"/>
        <x:v>FAILED</x:v>
      </x:c>
      <x:c r="AZ329" s="115"/>
      <x:c r="BA329" s="115"/>
      <x:c r="BB329" s="107"/>
      <x:c r="BC329" s="107"/>
      <x:c r="BD329" s="107"/>
      <x:c r="BE329" s="107"/>
      <x:c r="BF329" s="107"/>
      <x:c r="BG329" s="109" t="str">
        <x:f t="shared" si="111"/>
        <x:v>FAILED</x:v>
      </x:c>
      <x:c r="BQ329" s="109" t="str">
        <x:f t="shared" si="112"/>
        <x:v>FAILED</x:v>
      </x:c>
      <x:c r="BR329" s="115"/>
      <x:c r="BS329" s="115"/>
      <x:c r="BT329" s="107"/>
      <x:c r="BU329" s="107"/>
      <x:c r="BV329" s="107"/>
      <x:c r="BW329" s="107"/>
      <x:c r="BX329" s="107"/>
      <x:c r="BY329" s="109" t="str">
        <x:f t="shared" si="113"/>
        <x:v>FAILED</x:v>
      </x:c>
      <x:c r="BZ329" s="115"/>
      <x:c r="CA329" s="115"/>
      <x:c r="CB329" s="107"/>
      <x:c r="CC329" s="107"/>
      <x:c r="CD329" s="107"/>
      <x:c r="CE329" s="107"/>
      <x:c r="CF329" s="107"/>
      <x:c r="CG329" s="109" t="str">
        <x:f t="shared" si="114"/>
        <x:v>FAILED</x:v>
      </x:c>
    </x:row>
    <x:row r="330">
      <x:c r="A330" s="102" t="str">
        <x:f>IF(RECORD!A332="","",RECORD!A332)</x:f>
      </x:c>
      <x:c r="B330" s="102" t="str">
        <x:f>IF(RECORD!B332="","",RECORD!B332)</x:f>
      </x:c>
      <x:c r="C330" s="103" t="str">
        <x:f>IF(RECORD!C332="","",RECORD!C332)</x:f>
      </x:c>
      <x:c r="D330" s="104" t="str">
        <x:f t="array" ref="D330">IF(C330&lt;&gt;"",IF(F$7="SUMMER","N/A",_xlfn.IFS(D$10="TLA",RECORD!GO332,F$10="LECTURE","",TRUE(),"")),"")</x:f>
      </x:c>
      <x:c r="E330" s="105" t="str">
        <x:f t="shared" si="92"/>
      </x:c>
      <x:c r="F330" s="104" t="str">
        <x:f t="array" ref="F330">IF(C330&lt;&gt;"",IF(F$7="SUMMER","N/A",_xlfn.IFS(F$10="AT",RECORD!GI332,F$10="LECTURE",GRADES!AP330,TRUE(),"")),"")</x:f>
      </x:c>
      <x:c r="G330" s="106" t="str">
        <x:f t="shared" si="93"/>
      </x:c>
      <x:c r="H330" s="107" t="str">
        <x:f t="array" ref="H330">IF(C330&lt;&gt;"",IF(F$7="SUMMER","N/A",_xlfn.IFS(H$10="EXAM",RECORD!GJ332,H$10="OUTPUT",RECORD!GK332,H$10="LAB",BP330,TRUE(),"")),"")</x:f>
      </x:c>
      <x:c r="I330" s="106" t="str">
        <x:f t="shared" si="94"/>
      </x:c>
      <x:c r="J330" s="108" t="str">
        <x:f t="shared" si="95"/>
      </x:c>
      <x:c r="K330" s="109" t="str">
        <x:f t="shared" si="96"/>
      </x:c>
      <x:c r="L330" s="110" t="str">
        <x:f t="array" ref="L330">IF(C330&lt;&gt;"",_xlfn.IFS(L$10="TLA",RECORD!GY332,N$10="LECTURE","",TRUE(),""),"")</x:f>
      </x:c>
      <x:c r="M330" s="105" t="str">
        <x:f t="shared" si="97"/>
      </x:c>
      <x:c r="N330" s="104" t="str">
        <x:f t="array" ref="N330">IF(C330&lt;&gt;"",_xlfn.IFS(N$10="AT",RECORD!GS332,N$10="LECTURE",AX330,TRUE(),""),"")</x:f>
      </x:c>
      <x:c r="O330" s="106" t="str">
        <x:f t="shared" si="98"/>
      </x:c>
      <x:c r="P330" s="107" t="str">
        <x:f t="array" ref="P330">IF(C330&lt;&gt;"",_xlfn.IFS(P$10="EXAM",RECORD!GT332,P$10="OUTPUT",RECORD!GU332,P$10="LAB",BX330,TRUE(),""),"")</x:f>
      </x:c>
      <x:c r="Q330" s="106" t="str">
        <x:f t="shared" si="99"/>
      </x:c>
      <x:c r="R330" s="108" t="str">
        <x:f t="shared" si="100"/>
      </x:c>
      <x:c r="S330" s="109" t="str">
        <x:f t="shared" si="101"/>
      </x:c>
      <x:c r="T330" s="110" t="str">
        <x:f t="array" ref="T330">IF(C330&lt;&gt;"",_xlfn.IFS(T$10="TLA",RECORD!HI332,V$10="LECTURE","",TRUE(),""),"")</x:f>
      </x:c>
      <x:c r="U330" s="105" t="str">
        <x:f t="shared" si="102"/>
      </x:c>
      <x:c r="V330" s="104" t="str">
        <x:f t="array" ref="V330">IF(C330&lt;&gt;"",_xlfn.IFS(V$10="AT",RECORD!HC332,V$10="LECTURE",BF330,TRUE(),""),"")</x:f>
      </x:c>
      <x:c r="W330" s="106" t="str">
        <x:f t="shared" si="103"/>
      </x:c>
      <x:c r="X330" s="107" t="str">
        <x:f t="array" ref="X330">IF(C330&lt;&gt;"",_xlfn.IFS(X$10="EXAM",RECORD!HD332,X$10="OUTPUT",RECORD!HE332,X$10="LAB",CF330,TRUE(),""),"")</x:f>
      </x:c>
      <x:c r="Y330" s="106" t="str">
        <x:f t="shared" si="104"/>
      </x:c>
      <x:c r="Z330" s="108" t="str">
        <x:f t="shared" si="105"/>
      </x:c>
      <x:c r="AA330" s="109" t="str">
        <x:f t="shared" si="106"/>
      </x:c>
      <x:c r="AB330" s="111" t="str">
        <x:f t="shared" si="107"/>
      </x:c>
      <x:c r="AC330" s="109" t="str">
        <x:f t="shared" si="108"/>
      </x:c>
      <x:c r="AQ330" s="109" t="str">
        <x:f t="shared" si="109"/>
        <x:v>FAILED</x:v>
      </x:c>
      <x:c r="AR330" s="115"/>
      <x:c r="AS330" s="115"/>
      <x:c r="AT330" s="107"/>
      <x:c r="AU330" s="107"/>
      <x:c r="AV330" s="107"/>
      <x:c r="AW330" s="107"/>
      <x:c r="AX330" s="107"/>
      <x:c r="AY330" s="109" t="str">
        <x:f t="shared" si="110"/>
        <x:v>FAILED</x:v>
      </x:c>
      <x:c r="AZ330" s="115"/>
      <x:c r="BA330" s="115"/>
      <x:c r="BB330" s="107"/>
      <x:c r="BC330" s="107"/>
      <x:c r="BD330" s="107"/>
      <x:c r="BE330" s="107"/>
      <x:c r="BF330" s="107"/>
      <x:c r="BG330" s="109" t="str">
        <x:f t="shared" si="111"/>
        <x:v>FAILED</x:v>
      </x:c>
      <x:c r="BQ330" s="109" t="str">
        <x:f t="shared" si="112"/>
        <x:v>FAILED</x:v>
      </x:c>
      <x:c r="BR330" s="115"/>
      <x:c r="BS330" s="115"/>
      <x:c r="BT330" s="107"/>
      <x:c r="BU330" s="107"/>
      <x:c r="BV330" s="107"/>
      <x:c r="BW330" s="107"/>
      <x:c r="BX330" s="107"/>
      <x:c r="BY330" s="109" t="str">
        <x:f t="shared" si="113"/>
        <x:v>FAILED</x:v>
      </x:c>
      <x:c r="BZ330" s="115"/>
      <x:c r="CA330" s="115"/>
      <x:c r="CB330" s="107"/>
      <x:c r="CC330" s="107"/>
      <x:c r="CD330" s="107"/>
      <x:c r="CE330" s="107"/>
      <x:c r="CF330" s="107"/>
      <x:c r="CG330" s="109" t="str">
        <x:f t="shared" si="114"/>
        <x:v>FAILED</x:v>
      </x:c>
    </x:row>
    <x:row r="331">
      <x:c r="A331" s="102" t="str">
        <x:f>IF(RECORD!A333="","",RECORD!A333)</x:f>
      </x:c>
      <x:c r="B331" s="102" t="str">
        <x:f>IF(RECORD!B333="","",RECORD!B333)</x:f>
      </x:c>
      <x:c r="C331" s="103" t="str">
        <x:f>IF(RECORD!C333="","",RECORD!C333)</x:f>
      </x:c>
      <x:c r="D331" s="104" t="str">
        <x:f t="array" ref="D331">IF(C331&lt;&gt;"",IF(F$7="SUMMER","N/A",_xlfn.IFS(D$10="TLA",RECORD!GO333,F$10="LECTURE","",TRUE(),"")),"")</x:f>
      </x:c>
      <x:c r="E331" s="105" t="str">
        <x:f t="shared" si="92"/>
      </x:c>
      <x:c r="F331" s="104" t="str">
        <x:f t="array" ref="F331">IF(C331&lt;&gt;"",IF(F$7="SUMMER","N/A",_xlfn.IFS(F$10="AT",RECORD!GI333,F$10="LECTURE",GRADES!AP331,TRUE(),"")),"")</x:f>
      </x:c>
      <x:c r="G331" s="106" t="str">
        <x:f t="shared" si="93"/>
      </x:c>
      <x:c r="H331" s="107" t="str">
        <x:f t="array" ref="H331">IF(C331&lt;&gt;"",IF(F$7="SUMMER","N/A",_xlfn.IFS(H$10="EXAM",RECORD!GJ333,H$10="OUTPUT",RECORD!GK333,H$10="LAB",BP331,TRUE(),"")),"")</x:f>
      </x:c>
      <x:c r="I331" s="106" t="str">
        <x:f t="shared" si="94"/>
      </x:c>
      <x:c r="J331" s="108" t="str">
        <x:f t="shared" si="95"/>
      </x:c>
      <x:c r="K331" s="109" t="str">
        <x:f t="shared" si="96"/>
      </x:c>
      <x:c r="L331" s="110" t="str">
        <x:f t="array" ref="L331">IF(C331&lt;&gt;"",_xlfn.IFS(L$10="TLA",RECORD!GY333,N$10="LECTURE","",TRUE(),""),"")</x:f>
      </x:c>
      <x:c r="M331" s="105" t="str">
        <x:f t="shared" si="97"/>
      </x:c>
      <x:c r="N331" s="104" t="str">
        <x:f t="array" ref="N331">IF(C331&lt;&gt;"",_xlfn.IFS(N$10="AT",RECORD!GS333,N$10="LECTURE",AX331,TRUE(),""),"")</x:f>
      </x:c>
      <x:c r="O331" s="106" t="str">
        <x:f t="shared" si="98"/>
      </x:c>
      <x:c r="P331" s="107" t="str">
        <x:f t="array" ref="P331">IF(C331&lt;&gt;"",_xlfn.IFS(P$10="EXAM",RECORD!GT333,P$10="OUTPUT",RECORD!GU333,P$10="LAB",BX331,TRUE(),""),"")</x:f>
      </x:c>
      <x:c r="Q331" s="106" t="str">
        <x:f t="shared" si="99"/>
      </x:c>
      <x:c r="R331" s="108" t="str">
        <x:f t="shared" si="100"/>
      </x:c>
      <x:c r="S331" s="109" t="str">
        <x:f t="shared" si="101"/>
      </x:c>
      <x:c r="T331" s="110" t="str">
        <x:f t="array" ref="T331">IF(C331&lt;&gt;"",_xlfn.IFS(T$10="TLA",RECORD!HI333,V$10="LECTURE","",TRUE(),""),"")</x:f>
      </x:c>
      <x:c r="U331" s="105" t="str">
        <x:f t="shared" si="102"/>
      </x:c>
      <x:c r="V331" s="104" t="str">
        <x:f t="array" ref="V331">IF(C331&lt;&gt;"",_xlfn.IFS(V$10="AT",RECORD!HC333,V$10="LECTURE",BF331,TRUE(),""),"")</x:f>
      </x:c>
      <x:c r="W331" s="106" t="str">
        <x:f t="shared" si="103"/>
      </x:c>
      <x:c r="X331" s="107" t="str">
        <x:f t="array" ref="X331">IF(C331&lt;&gt;"",_xlfn.IFS(X$10="EXAM",RECORD!HD333,X$10="OUTPUT",RECORD!HE333,X$10="LAB",CF331,TRUE(),""),"")</x:f>
      </x:c>
      <x:c r="Y331" s="106" t="str">
        <x:f t="shared" si="104"/>
      </x:c>
      <x:c r="Z331" s="108" t="str">
        <x:f t="shared" si="105"/>
      </x:c>
      <x:c r="AA331" s="109" t="str">
        <x:f t="shared" si="106"/>
      </x:c>
      <x:c r="AB331" s="111" t="str">
        <x:f t="shared" si="107"/>
      </x:c>
      <x:c r="AC331" s="109" t="str">
        <x:f t="shared" si="108"/>
      </x:c>
      <x:c r="AQ331" s="109" t="str">
        <x:f t="shared" si="109"/>
        <x:v>FAILED</x:v>
      </x:c>
      <x:c r="AR331" s="115"/>
      <x:c r="AS331" s="115"/>
      <x:c r="AT331" s="107"/>
      <x:c r="AU331" s="107"/>
      <x:c r="AV331" s="107"/>
      <x:c r="AW331" s="107"/>
      <x:c r="AX331" s="107"/>
      <x:c r="AY331" s="109" t="str">
        <x:f t="shared" si="110"/>
        <x:v>FAILED</x:v>
      </x:c>
      <x:c r="AZ331" s="115"/>
      <x:c r="BA331" s="115"/>
      <x:c r="BB331" s="107"/>
      <x:c r="BC331" s="107"/>
      <x:c r="BD331" s="107"/>
      <x:c r="BE331" s="107"/>
      <x:c r="BF331" s="107"/>
      <x:c r="BG331" s="109" t="str">
        <x:f t="shared" si="111"/>
        <x:v>FAILED</x:v>
      </x:c>
      <x:c r="BQ331" s="109" t="str">
        <x:f t="shared" si="112"/>
        <x:v>FAILED</x:v>
      </x:c>
      <x:c r="BR331" s="115"/>
      <x:c r="BS331" s="115"/>
      <x:c r="BT331" s="107"/>
      <x:c r="BU331" s="107"/>
      <x:c r="BV331" s="107"/>
      <x:c r="BW331" s="107"/>
      <x:c r="BX331" s="107"/>
      <x:c r="BY331" s="109" t="str">
        <x:f t="shared" si="113"/>
        <x:v>FAILED</x:v>
      </x:c>
      <x:c r="BZ331" s="115"/>
      <x:c r="CA331" s="115"/>
      <x:c r="CB331" s="107"/>
      <x:c r="CC331" s="107"/>
      <x:c r="CD331" s="107"/>
      <x:c r="CE331" s="107"/>
      <x:c r="CF331" s="107"/>
      <x:c r="CG331" s="109" t="str">
        <x:f t="shared" si="114"/>
        <x:v>FAILED</x:v>
      </x:c>
    </x:row>
    <x:row r="332">
      <x:c r="A332" s="102" t="str">
        <x:f>IF(RECORD!A334="","",RECORD!A334)</x:f>
      </x:c>
      <x:c r="B332" s="102" t="str">
        <x:f>IF(RECORD!B334="","",RECORD!B334)</x:f>
      </x:c>
      <x:c r="C332" s="103" t="str">
        <x:f>IF(RECORD!C334="","",RECORD!C334)</x:f>
      </x:c>
      <x:c r="D332" s="104" t="str">
        <x:f t="array" ref="D332">IF(C332&lt;&gt;"",IF(F$7="SUMMER","N/A",_xlfn.IFS(D$10="TLA",RECORD!GO334,F$10="LECTURE","",TRUE(),"")),"")</x:f>
      </x:c>
      <x:c r="E332" s="105" t="str">
        <x:f t="shared" ref="E332:E395" si="115">IF(C332&lt;&gt;"",IFERROR((((((D332/D$11)*F$6)+G$6)*E$11)/100),""),"")</x:f>
      </x:c>
      <x:c r="F332" s="104" t="str">
        <x:f t="array" ref="F332">IF(C332&lt;&gt;"",IF(F$7="SUMMER","N/A",_xlfn.IFS(F$10="AT",RECORD!GI334,F$10="LECTURE",GRADES!AP332,TRUE(),"")),"")</x:f>
      </x:c>
      <x:c r="G332" s="106" t="str">
        <x:f t="shared" ref="G332:G395" si="116">IF(C332&lt;&gt;"",IFERROR((((((F332/F$11)*F$6)+G$6)*G$11)/100),""),"")</x:f>
      </x:c>
      <x:c r="H332" s="107" t="str">
        <x:f t="array" ref="H332">IF(C332&lt;&gt;"",IF(F$7="SUMMER","N/A",_xlfn.IFS(H$10="EXAM",RECORD!GJ334,H$10="OUTPUT",RECORD!GK334,H$10="LAB",BP332,TRUE(),"")),"")</x:f>
      </x:c>
      <x:c r="I332" s="106" t="str">
        <x:f t="shared" ref="I332:I395" si="117">IF(C332&lt;&gt;"",IFERROR((((((H332/H$11)*F$6)+G$6)*I$11)/100),""),"")</x:f>
      </x:c>
      <x:c r="J332" s="108" t="str">
        <x:f t="shared" ref="J332:J395" si="118">IF(C332&lt;&gt;"",IFERROR(IF(F$7="SUMMER", "N/A", SUM(E332,G332,I332)),""),"")</x:f>
      </x:c>
      <x:c r="K332" s="109" t="str">
        <x:f t="shared" ref="K332:K395" si="119">IF(C332&lt;&gt;"",IF(F327="SUMMER","N/A", IF(J332&gt;74,"PASSED","FAILED")),"")</x:f>
      </x:c>
      <x:c r="L332" s="110" t="str">
        <x:f t="array" ref="L332">IF(C332&lt;&gt;"",_xlfn.IFS(L$10="TLA",RECORD!GY334,N$10="LECTURE","",TRUE(),""),"")</x:f>
      </x:c>
      <x:c r="M332" s="105" t="str">
        <x:f t="shared" ref="M332:M395" si="120">IF(C332&lt;&gt;"",IFERROR((((((L332/L$11)*F$6)+G$6)*M$11)/100),""),"")</x:f>
      </x:c>
      <x:c r="N332" s="104" t="str">
        <x:f t="array" ref="N332">IF(C332&lt;&gt;"",_xlfn.IFS(N$10="AT",RECORD!GS334,N$10="LECTURE",AX332,TRUE(),""),"")</x:f>
      </x:c>
      <x:c r="O332" s="106" t="str">
        <x:f t="shared" ref="O332:O395" si="121">IF(C332&lt;&gt;"",IFERROR((((((N332/N$11)*F$6)+G$6)*O$11)/100),""),"")</x:f>
      </x:c>
      <x:c r="P332" s="107" t="str">
        <x:f t="array" ref="P332">IF(C332&lt;&gt;"",_xlfn.IFS(P$10="EXAM",RECORD!GT334,P$10="OUTPUT",RECORD!GU334,P$10="LAB",BX332,TRUE(),""),"")</x:f>
      </x:c>
      <x:c r="Q332" s="106" t="str">
        <x:f t="shared" ref="Q332:Q395" si="122">IF(C332&lt;&gt;"",IFERROR((((((P332/P$11)*F$6)+G$6)*Q$11)/100),""),"")</x:f>
      </x:c>
      <x:c r="R332" s="108" t="str">
        <x:f t="shared" ref="R332:R395" si="123">IF(C332&lt;&gt;"",IFERROR(IF(F$7="SUMMER", "N/A", SUM(M332,O332,Q332)),""),"")</x:f>
      </x:c>
      <x:c r="S332" s="109" t="str">
        <x:f t="shared" ref="S332:S395" si="124">IF(C332&lt;&gt;"",IF(R332&gt;74,"PASSED","FAILED"),"")</x:f>
      </x:c>
      <x:c r="T332" s="110" t="str">
        <x:f t="array" ref="T332">IF(C332&lt;&gt;"",_xlfn.IFS(T$10="TLA",RECORD!HI334,V$10="LECTURE","",TRUE(),""),"")</x:f>
      </x:c>
      <x:c r="U332" s="105" t="str">
        <x:f t="shared" ref="U332:U395" si="125">IF(C332&lt;&gt;"",IFERROR((((((T332/T$11)*F$6)+G$6)*U$11)/100),""),"")</x:f>
      </x:c>
      <x:c r="V332" s="104" t="str">
        <x:f t="array" ref="V332">IF(C332&lt;&gt;"",_xlfn.IFS(V$10="AT",RECORD!HC334,V$10="LECTURE",BF332,TRUE(),""),"")</x:f>
      </x:c>
      <x:c r="W332" s="106" t="str">
        <x:f t="shared" ref="W332:W395" si="126">IF(C332&lt;&gt;"",IFERROR((((((V332/V$11)*F$6)+G$6)*W$11)/100),""),"")</x:f>
      </x:c>
      <x:c r="X332" s="107" t="str">
        <x:f t="array" ref="X332">IF(C332&lt;&gt;"",_xlfn.IFS(X$10="EXAM",RECORD!HD334,X$10="OUTPUT",RECORD!HE334,X$10="LAB",CF332,TRUE(),""),"")</x:f>
      </x:c>
      <x:c r="Y332" s="106" t="str">
        <x:f t="shared" ref="Y332:Y395" si="127">IF(C332&lt;&gt;"",IFERROR((((((X332/X$11)*F$6)+G$6)*Y$11)/100),""),"")</x:f>
      </x:c>
      <x:c r="Z332" s="108" t="str">
        <x:f t="shared" ref="Z332:Z395" si="128">IF(C332&lt;&gt;"",IFERROR(IF(N$7="SUMMER", "N/A", SUM(U332,W332,Y332)),""),"")</x:f>
      </x:c>
      <x:c r="AA332" s="109" t="str">
        <x:f t="shared" ref="AA332:AA395" si="129">IF(C332&lt;&gt;"",IF(Z332&gt;74,"PASSED","FAILED"),"")</x:f>
      </x:c>
      <x:c r="AB332" s="111" t="n">
        <x:f t="shared" ref="AB332:AB395" si="130">IFERROR(IF(F$7="SUMMER", ((R332+Z332)/2), (J332+R332+Z332)/3),"")</x:f>
        <x:v>0</x:v>
      </x:c>
      <x:c r="AC332" s="109" t="str">
        <x:f t="shared" ref="AC332:AC395" si="131">IF(C332&lt;&gt;"",IF(AB332&gt;74,"PASSED","FAILED"),"")</x:f>
      </x:c>
      <x:c r="AQ332" s="109" t="str">
        <x:f t="shared" ref="AQ332:AQ395" si="132">IF(AP332&gt;74,"PASSED","FAILED")</x:f>
        <x:v>FAILED</x:v>
      </x:c>
      <x:c r="AR332" s="115"/>
      <x:c r="AS332" s="115"/>
      <x:c r="AT332" s="107"/>
      <x:c r="AU332" s="107"/>
      <x:c r="AV332" s="107"/>
      <x:c r="AW332" s="107"/>
      <x:c r="AX332" s="107"/>
      <x:c r="AY332" s="109" t="str">
        <x:f t="shared" ref="AY332:AY395" si="133">IF(AX332&gt;74,"PASSED","FAILED")</x:f>
        <x:v>FAILED</x:v>
      </x:c>
      <x:c r="AZ332" s="115"/>
      <x:c r="BA332" s="115"/>
      <x:c r="BB332" s="107"/>
      <x:c r="BC332" s="107"/>
      <x:c r="BD332" s="107"/>
      <x:c r="BE332" s="107"/>
      <x:c r="BF332" s="107"/>
      <x:c r="BG332" s="109" t="str">
        <x:f t="shared" ref="BG332:BG395" si="134">IF(BF332&gt;74,"PASSED","FAILED")</x:f>
        <x:v>FAILED</x:v>
      </x:c>
      <x:c r="BQ332" s="109" t="str">
        <x:f t="shared" ref="BQ332:BQ395" si="135">IF(BP332&gt;74,"PASSED","FAILED")</x:f>
        <x:v>FAILED</x:v>
      </x:c>
      <x:c r="BR332" s="115"/>
      <x:c r="BS332" s="115"/>
      <x:c r="BT332" s="107"/>
      <x:c r="BU332" s="107"/>
      <x:c r="BV332" s="107"/>
      <x:c r="BW332" s="107"/>
      <x:c r="BX332" s="107"/>
      <x:c r="BY332" s="109" t="str">
        <x:f t="shared" ref="BY332:BY395" si="136">IF(BX332&gt;74,"PASSED","FAILED")</x:f>
        <x:v>FAILED</x:v>
      </x:c>
      <x:c r="BZ332" s="115"/>
      <x:c r="CA332" s="115"/>
      <x:c r="CB332" s="107"/>
      <x:c r="CC332" s="107"/>
      <x:c r="CD332" s="107"/>
      <x:c r="CE332" s="107"/>
      <x:c r="CF332" s="107"/>
      <x:c r="CG332" s="109" t="str">
        <x:f t="shared" ref="CG332:CG395" si="137">IF(CF332&gt;74,"PASSED","FAILED")</x:f>
        <x:v>FAILED</x:v>
      </x:c>
    </x:row>
    <x:row r="333">
      <x:c r="A333" s="102" t="str">
        <x:f>IF(RECORD!A335="","",RECORD!A335)</x:f>
      </x:c>
      <x:c r="B333" s="102" t="str">
        <x:f>IF(RECORD!B335="","",RECORD!B335)</x:f>
      </x:c>
      <x:c r="C333" s="103" t="str">
        <x:f>IF(RECORD!C335="","",RECORD!C335)</x:f>
      </x:c>
      <x:c r="D333" s="104" t="str">
        <x:f t="array" ref="D333">IF(C333&lt;&gt;"",IF(F$7="SUMMER","N/A",_xlfn.IFS(D$10="TLA",RECORD!GO335,F$10="LECTURE","",TRUE(),"")),"")</x:f>
      </x:c>
      <x:c r="E333" s="105" t="str">
        <x:f t="shared" si="115"/>
      </x:c>
      <x:c r="F333" s="104" t="str">
        <x:f t="array" ref="F333">IF(C333&lt;&gt;"",IF(F$7="SUMMER","N/A",_xlfn.IFS(F$10="AT",RECORD!GI335,F$10="LECTURE",GRADES!AP333,TRUE(),"")),"")</x:f>
      </x:c>
      <x:c r="G333" s="106" t="str">
        <x:f t="shared" si="116"/>
      </x:c>
      <x:c r="H333" s="107" t="str">
        <x:f t="array" ref="H333">IF(C333&lt;&gt;"",IF(F$7="SUMMER","N/A",_xlfn.IFS(H$10="EXAM",RECORD!GJ335,H$10="OUTPUT",RECORD!GK335,H$10="LAB",BP333,TRUE(),"")),"")</x:f>
      </x:c>
      <x:c r="I333" s="106" t="str">
        <x:f t="shared" si="117"/>
      </x:c>
      <x:c r="J333" s="108" t="str">
        <x:f t="shared" si="118"/>
      </x:c>
      <x:c r="K333" s="109" t="str">
        <x:f t="shared" si="119"/>
      </x:c>
      <x:c r="L333" s="110" t="str">
        <x:f t="array" ref="L333">IF(C333&lt;&gt;"",_xlfn.IFS(L$10="TLA",RECORD!GY335,N$10="LECTURE","",TRUE(),""),"")</x:f>
      </x:c>
      <x:c r="M333" s="105" t="str">
        <x:f t="shared" si="120"/>
      </x:c>
      <x:c r="N333" s="104" t="str">
        <x:f t="array" ref="N333">IF(C333&lt;&gt;"",_xlfn.IFS(N$10="AT",RECORD!GS335,N$10="LECTURE",AX333,TRUE(),""),"")</x:f>
      </x:c>
      <x:c r="O333" s="106" t="str">
        <x:f t="shared" si="121"/>
      </x:c>
      <x:c r="P333" s="107" t="str">
        <x:f t="array" ref="P333">IF(C333&lt;&gt;"",_xlfn.IFS(P$10="EXAM",RECORD!GT335,P$10="OUTPUT",RECORD!GU335,P$10="LAB",BX333,TRUE(),""),"")</x:f>
      </x:c>
      <x:c r="Q333" s="106" t="str">
        <x:f t="shared" si="122"/>
      </x:c>
      <x:c r="R333" s="108" t="str">
        <x:f t="shared" si="123"/>
      </x:c>
      <x:c r="S333" s="109" t="str">
        <x:f t="shared" si="124"/>
      </x:c>
      <x:c r="T333" s="110" t="str">
        <x:f t="array" ref="T333">IF(C333&lt;&gt;"",_xlfn.IFS(T$10="TLA",RECORD!HI335,V$10="LECTURE","",TRUE(),""),"")</x:f>
      </x:c>
      <x:c r="U333" s="105" t="str">
        <x:f t="shared" si="125"/>
      </x:c>
      <x:c r="V333" s="104" t="str">
        <x:f t="array" ref="V333">IF(C333&lt;&gt;"",_xlfn.IFS(V$10="AT",RECORD!HC335,V$10="LECTURE",BF333,TRUE(),""),"")</x:f>
      </x:c>
      <x:c r="W333" s="106" t="str">
        <x:f t="shared" si="126"/>
      </x:c>
      <x:c r="X333" s="107" t="str">
        <x:f t="array" ref="X333">IF(C333&lt;&gt;"",_xlfn.IFS(X$10="EXAM",RECORD!HD335,X$10="OUTPUT",RECORD!HE335,X$10="LAB",CF333,TRUE(),""),"")</x:f>
      </x:c>
      <x:c r="Y333" s="106" t="str">
        <x:f t="shared" si="127"/>
      </x:c>
      <x:c r="Z333" s="108" t="str">
        <x:f t="shared" si="128"/>
      </x:c>
      <x:c r="AA333" s="109" t="str">
        <x:f t="shared" si="129"/>
      </x:c>
      <x:c r="AB333" s="111" t="str">
        <x:f t="shared" si="130"/>
      </x:c>
      <x:c r="AC333" s="109" t="str">
        <x:f t="shared" si="131"/>
      </x:c>
      <x:c r="AQ333" s="109" t="str">
        <x:f t="shared" si="132"/>
        <x:v>FAILED</x:v>
      </x:c>
      <x:c r="AR333" s="115"/>
      <x:c r="AS333" s="115"/>
      <x:c r="AT333" s="107"/>
      <x:c r="AU333" s="107"/>
      <x:c r="AV333" s="107"/>
      <x:c r="AW333" s="107"/>
      <x:c r="AX333" s="107"/>
      <x:c r="AY333" s="109" t="str">
        <x:f t="shared" si="133"/>
        <x:v>FAILED</x:v>
      </x:c>
      <x:c r="AZ333" s="115"/>
      <x:c r="BA333" s="115"/>
      <x:c r="BB333" s="107"/>
      <x:c r="BC333" s="107"/>
      <x:c r="BD333" s="107"/>
      <x:c r="BE333" s="107"/>
      <x:c r="BF333" s="107"/>
      <x:c r="BG333" s="109" t="str">
        <x:f t="shared" si="134"/>
        <x:v>FAILED</x:v>
      </x:c>
      <x:c r="BQ333" s="109" t="str">
        <x:f t="shared" si="135"/>
        <x:v>FAILED</x:v>
      </x:c>
      <x:c r="BR333" s="115"/>
      <x:c r="BS333" s="115"/>
      <x:c r="BT333" s="107"/>
      <x:c r="BU333" s="107"/>
      <x:c r="BV333" s="107"/>
      <x:c r="BW333" s="107"/>
      <x:c r="BX333" s="107"/>
      <x:c r="BY333" s="109" t="str">
        <x:f t="shared" si="136"/>
        <x:v>FAILED</x:v>
      </x:c>
      <x:c r="BZ333" s="115"/>
      <x:c r="CA333" s="115"/>
      <x:c r="CB333" s="107"/>
      <x:c r="CC333" s="107"/>
      <x:c r="CD333" s="107"/>
      <x:c r="CE333" s="107"/>
      <x:c r="CF333" s="107"/>
      <x:c r="CG333" s="109" t="str">
        <x:f t="shared" si="137"/>
        <x:v>FAILED</x:v>
      </x:c>
    </x:row>
    <x:row r="334">
      <x:c r="A334" s="102" t="str">
        <x:f>IF(RECORD!A336="","",RECORD!A336)</x:f>
      </x:c>
      <x:c r="B334" s="102" t="str">
        <x:f>IF(RECORD!B336="","",RECORD!B336)</x:f>
      </x:c>
      <x:c r="C334" s="103" t="str">
        <x:f>IF(RECORD!C336="","",RECORD!C336)</x:f>
      </x:c>
      <x:c r="D334" s="104" t="str">
        <x:f t="array" ref="D334">IF(C334&lt;&gt;"",IF(F$7="SUMMER","N/A",_xlfn.IFS(D$10="TLA",RECORD!GO336,F$10="LECTURE","",TRUE(),"")),"")</x:f>
      </x:c>
      <x:c r="E334" s="105" t="str">
        <x:f t="shared" si="115"/>
      </x:c>
      <x:c r="F334" s="104" t="str">
        <x:f t="array" ref="F334">IF(C334&lt;&gt;"",IF(F$7="SUMMER","N/A",_xlfn.IFS(F$10="AT",RECORD!GI336,F$10="LECTURE",GRADES!AP334,TRUE(),"")),"")</x:f>
      </x:c>
      <x:c r="G334" s="106" t="str">
        <x:f t="shared" si="116"/>
      </x:c>
      <x:c r="H334" s="107" t="str">
        <x:f t="array" ref="H334">IF(C334&lt;&gt;"",IF(F$7="SUMMER","N/A",_xlfn.IFS(H$10="EXAM",RECORD!GJ336,H$10="OUTPUT",RECORD!GK336,H$10="LAB",BP334,TRUE(),"")),"")</x:f>
      </x:c>
      <x:c r="I334" s="106" t="str">
        <x:f t="shared" si="117"/>
      </x:c>
      <x:c r="J334" s="108" t="str">
        <x:f t="shared" si="118"/>
      </x:c>
      <x:c r="K334" s="109" t="str">
        <x:f t="shared" si="119"/>
      </x:c>
      <x:c r="L334" s="110" t="str">
        <x:f t="array" ref="L334">IF(C334&lt;&gt;"",_xlfn.IFS(L$10="TLA",RECORD!GY336,N$10="LECTURE","",TRUE(),""),"")</x:f>
      </x:c>
      <x:c r="M334" s="105" t="str">
        <x:f t="shared" si="120"/>
      </x:c>
      <x:c r="N334" s="104" t="str">
        <x:f t="array" ref="N334">IF(C334&lt;&gt;"",_xlfn.IFS(N$10="AT",RECORD!GS336,N$10="LECTURE",AX334,TRUE(),""),"")</x:f>
      </x:c>
      <x:c r="O334" s="106" t="str">
        <x:f t="shared" si="121"/>
      </x:c>
      <x:c r="P334" s="107" t="str">
        <x:f t="array" ref="P334">IF(C334&lt;&gt;"",_xlfn.IFS(P$10="EXAM",RECORD!GT336,P$10="OUTPUT",RECORD!GU336,P$10="LAB",BX334,TRUE(),""),"")</x:f>
      </x:c>
      <x:c r="Q334" s="106" t="str">
        <x:f t="shared" si="122"/>
      </x:c>
      <x:c r="R334" s="108" t="str">
        <x:f t="shared" si="123"/>
      </x:c>
      <x:c r="S334" s="109" t="str">
        <x:f t="shared" si="124"/>
      </x:c>
      <x:c r="T334" s="110" t="str">
        <x:f t="array" ref="T334">IF(C334&lt;&gt;"",_xlfn.IFS(T$10="TLA",RECORD!HI336,V$10="LECTURE","",TRUE(),""),"")</x:f>
      </x:c>
      <x:c r="U334" s="105" t="str">
        <x:f t="shared" si="125"/>
      </x:c>
      <x:c r="V334" s="104" t="str">
        <x:f t="array" ref="V334">IF(C334&lt;&gt;"",_xlfn.IFS(V$10="AT",RECORD!HC336,V$10="LECTURE",BF334,TRUE(),""),"")</x:f>
      </x:c>
      <x:c r="W334" s="106" t="str">
        <x:f t="shared" si="126"/>
      </x:c>
      <x:c r="X334" s="107" t="str">
        <x:f t="array" ref="X334">IF(C334&lt;&gt;"",_xlfn.IFS(X$10="EXAM",RECORD!HD336,X$10="OUTPUT",RECORD!HE336,X$10="LAB",CF334,TRUE(),""),"")</x:f>
      </x:c>
      <x:c r="Y334" s="106" t="str">
        <x:f t="shared" si="127"/>
      </x:c>
      <x:c r="Z334" s="108" t="str">
        <x:f t="shared" si="128"/>
      </x:c>
      <x:c r="AA334" s="109" t="str">
        <x:f t="shared" si="129"/>
      </x:c>
      <x:c r="AB334" s="111" t="str">
        <x:f t="shared" si="130"/>
      </x:c>
      <x:c r="AC334" s="109" t="str">
        <x:f t="shared" si="131"/>
      </x:c>
      <x:c r="AQ334" s="109" t="str">
        <x:f t="shared" si="132"/>
        <x:v>FAILED</x:v>
      </x:c>
      <x:c r="AR334" s="115"/>
      <x:c r="AS334" s="115"/>
      <x:c r="AT334" s="107"/>
      <x:c r="AU334" s="107"/>
      <x:c r="AV334" s="107"/>
      <x:c r="AW334" s="107"/>
      <x:c r="AX334" s="107"/>
      <x:c r="AY334" s="109" t="str">
        <x:f t="shared" si="133"/>
        <x:v>FAILED</x:v>
      </x:c>
      <x:c r="AZ334" s="115"/>
      <x:c r="BA334" s="115"/>
      <x:c r="BB334" s="107"/>
      <x:c r="BC334" s="107"/>
      <x:c r="BD334" s="107"/>
      <x:c r="BE334" s="107"/>
      <x:c r="BF334" s="107"/>
      <x:c r="BG334" s="109" t="str">
        <x:f t="shared" si="134"/>
        <x:v>FAILED</x:v>
      </x:c>
      <x:c r="BQ334" s="109" t="str">
        <x:f t="shared" si="135"/>
        <x:v>FAILED</x:v>
      </x:c>
      <x:c r="BR334" s="115"/>
      <x:c r="BS334" s="115"/>
      <x:c r="BT334" s="107"/>
      <x:c r="BU334" s="107"/>
      <x:c r="BV334" s="107"/>
      <x:c r="BW334" s="107"/>
      <x:c r="BX334" s="107"/>
      <x:c r="BY334" s="109" t="str">
        <x:f t="shared" si="136"/>
        <x:v>FAILED</x:v>
      </x:c>
      <x:c r="BZ334" s="115"/>
      <x:c r="CA334" s="115"/>
      <x:c r="CB334" s="107"/>
      <x:c r="CC334" s="107"/>
      <x:c r="CD334" s="107"/>
      <x:c r="CE334" s="107"/>
      <x:c r="CF334" s="107"/>
      <x:c r="CG334" s="109" t="str">
        <x:f t="shared" si="137"/>
        <x:v>FAILED</x:v>
      </x:c>
    </x:row>
    <x:row r="335">
      <x:c r="A335" s="102" t="str">
        <x:f>IF(RECORD!A337="","",RECORD!A337)</x:f>
      </x:c>
      <x:c r="B335" s="102" t="str">
        <x:f>IF(RECORD!B337="","",RECORD!B337)</x:f>
      </x:c>
      <x:c r="C335" s="103" t="str">
        <x:f>IF(RECORD!C337="","",RECORD!C337)</x:f>
      </x:c>
      <x:c r="D335" s="104" t="str">
        <x:f t="array" ref="D335">IF(C335&lt;&gt;"",IF(F$7="SUMMER","N/A",_xlfn.IFS(D$10="TLA",RECORD!GO337,F$10="LECTURE","",TRUE(),"")),"")</x:f>
      </x:c>
      <x:c r="E335" s="105" t="str">
        <x:f t="shared" si="115"/>
      </x:c>
      <x:c r="F335" s="104" t="str">
        <x:f t="array" ref="F335">IF(C335&lt;&gt;"",IF(F$7="SUMMER","N/A",_xlfn.IFS(F$10="AT",RECORD!GI337,F$10="LECTURE",GRADES!AP335,TRUE(),"")),"")</x:f>
      </x:c>
      <x:c r="G335" s="106" t="str">
        <x:f t="shared" si="116"/>
      </x:c>
      <x:c r="H335" s="107" t="str">
        <x:f t="array" ref="H335">IF(C335&lt;&gt;"",IF(F$7="SUMMER","N/A",_xlfn.IFS(H$10="EXAM",RECORD!GJ337,H$10="OUTPUT",RECORD!GK337,H$10="LAB",BP335,TRUE(),"")),"")</x:f>
      </x:c>
      <x:c r="I335" s="106" t="str">
        <x:f t="shared" si="117"/>
      </x:c>
      <x:c r="J335" s="108" t="str">
        <x:f t="shared" si="118"/>
      </x:c>
      <x:c r="K335" s="109" t="str">
        <x:f t="shared" si="119"/>
      </x:c>
      <x:c r="L335" s="110" t="str">
        <x:f t="array" ref="L335">IF(C335&lt;&gt;"",_xlfn.IFS(L$10="TLA",RECORD!GY337,N$10="LECTURE","",TRUE(),""),"")</x:f>
      </x:c>
      <x:c r="M335" s="105" t="str">
        <x:f t="shared" si="120"/>
      </x:c>
      <x:c r="N335" s="104" t="str">
        <x:f t="array" ref="N335">IF(C335&lt;&gt;"",_xlfn.IFS(N$10="AT",RECORD!GS337,N$10="LECTURE",AX335,TRUE(),""),"")</x:f>
      </x:c>
      <x:c r="O335" s="106" t="str">
        <x:f t="shared" si="121"/>
      </x:c>
      <x:c r="P335" s="107" t="str">
        <x:f t="array" ref="P335">IF(C335&lt;&gt;"",_xlfn.IFS(P$10="EXAM",RECORD!GT337,P$10="OUTPUT",RECORD!GU337,P$10="LAB",BX335,TRUE(),""),"")</x:f>
      </x:c>
      <x:c r="Q335" s="106" t="str">
        <x:f t="shared" si="122"/>
      </x:c>
      <x:c r="R335" s="108" t="str">
        <x:f t="shared" si="123"/>
      </x:c>
      <x:c r="S335" s="109" t="str">
        <x:f t="shared" si="124"/>
      </x:c>
      <x:c r="T335" s="110" t="str">
        <x:f t="array" ref="T335">IF(C335&lt;&gt;"",_xlfn.IFS(T$10="TLA",RECORD!HI337,V$10="LECTURE","",TRUE(),""),"")</x:f>
      </x:c>
      <x:c r="U335" s="105" t="str">
        <x:f t="shared" si="125"/>
      </x:c>
      <x:c r="V335" s="104" t="str">
        <x:f t="array" ref="V335">IF(C335&lt;&gt;"",_xlfn.IFS(V$10="AT",RECORD!HC337,V$10="LECTURE",BF335,TRUE(),""),"")</x:f>
      </x:c>
      <x:c r="W335" s="106" t="str">
        <x:f t="shared" si="126"/>
      </x:c>
      <x:c r="X335" s="107" t="str">
        <x:f t="array" ref="X335">IF(C335&lt;&gt;"",_xlfn.IFS(X$10="EXAM",RECORD!HD337,X$10="OUTPUT",RECORD!HE337,X$10="LAB",CF335,TRUE(),""),"")</x:f>
      </x:c>
      <x:c r="Y335" s="106" t="str">
        <x:f t="shared" si="127"/>
      </x:c>
      <x:c r="Z335" s="108" t="str">
        <x:f t="shared" si="128"/>
      </x:c>
      <x:c r="AA335" s="109" t="str">
        <x:f t="shared" si="129"/>
      </x:c>
      <x:c r="AB335" s="111" t="str">
        <x:f t="shared" si="130"/>
      </x:c>
      <x:c r="AC335" s="109" t="str">
        <x:f t="shared" si="131"/>
      </x:c>
      <x:c r="AQ335" s="109" t="str">
        <x:f t="shared" si="132"/>
        <x:v>FAILED</x:v>
      </x:c>
      <x:c r="AR335" s="115"/>
      <x:c r="AS335" s="115"/>
      <x:c r="AT335" s="107"/>
      <x:c r="AU335" s="107"/>
      <x:c r="AV335" s="107"/>
      <x:c r="AW335" s="107"/>
      <x:c r="AX335" s="107"/>
      <x:c r="AY335" s="109" t="str">
        <x:f t="shared" si="133"/>
        <x:v>FAILED</x:v>
      </x:c>
      <x:c r="AZ335" s="115"/>
      <x:c r="BA335" s="115"/>
      <x:c r="BB335" s="107"/>
      <x:c r="BC335" s="107"/>
      <x:c r="BD335" s="107"/>
      <x:c r="BE335" s="107"/>
      <x:c r="BF335" s="107"/>
      <x:c r="BG335" s="109" t="str">
        <x:f t="shared" si="134"/>
        <x:v>FAILED</x:v>
      </x:c>
      <x:c r="BQ335" s="109" t="str">
        <x:f t="shared" si="135"/>
        <x:v>FAILED</x:v>
      </x:c>
      <x:c r="BR335" s="115"/>
      <x:c r="BS335" s="115"/>
      <x:c r="BT335" s="107"/>
      <x:c r="BU335" s="107"/>
      <x:c r="BV335" s="107"/>
      <x:c r="BW335" s="107"/>
      <x:c r="BX335" s="107"/>
      <x:c r="BY335" s="109" t="str">
        <x:f t="shared" si="136"/>
        <x:v>FAILED</x:v>
      </x:c>
      <x:c r="BZ335" s="115"/>
      <x:c r="CA335" s="115"/>
      <x:c r="CB335" s="107"/>
      <x:c r="CC335" s="107"/>
      <x:c r="CD335" s="107"/>
      <x:c r="CE335" s="107"/>
      <x:c r="CF335" s="107"/>
      <x:c r="CG335" s="109" t="str">
        <x:f t="shared" si="137"/>
        <x:v>FAILED</x:v>
      </x:c>
    </x:row>
    <x:row r="336">
      <x:c r="A336" s="102" t="str">
        <x:f>IF(RECORD!A338="","",RECORD!A338)</x:f>
      </x:c>
      <x:c r="B336" s="102" t="str">
        <x:f>IF(RECORD!B338="","",RECORD!B338)</x:f>
      </x:c>
      <x:c r="C336" s="103" t="str">
        <x:f>IF(RECORD!C338="","",RECORD!C338)</x:f>
      </x:c>
      <x:c r="D336" s="104" t="str">
        <x:f t="array" ref="D336">IF(C336&lt;&gt;"",IF(F$7="SUMMER","N/A",_xlfn.IFS(D$10="TLA",RECORD!GO338,F$10="LECTURE","",TRUE(),"")),"")</x:f>
      </x:c>
      <x:c r="E336" s="105" t="str">
        <x:f t="shared" si="115"/>
      </x:c>
      <x:c r="F336" s="104" t="str">
        <x:f t="array" ref="F336">IF(C336&lt;&gt;"",IF(F$7="SUMMER","N/A",_xlfn.IFS(F$10="AT",RECORD!GI338,F$10="LECTURE",GRADES!AP336,TRUE(),"")),"")</x:f>
      </x:c>
      <x:c r="G336" s="106" t="str">
        <x:f t="shared" si="116"/>
      </x:c>
      <x:c r="H336" s="107" t="str">
        <x:f t="array" ref="H336">IF(C336&lt;&gt;"",IF(F$7="SUMMER","N/A",_xlfn.IFS(H$10="EXAM",RECORD!GJ338,H$10="OUTPUT",RECORD!GK338,H$10="LAB",BP336,TRUE(),"")),"")</x:f>
      </x:c>
      <x:c r="I336" s="106" t="str">
        <x:f t="shared" si="117"/>
      </x:c>
      <x:c r="J336" s="108" t="str">
        <x:f t="shared" si="118"/>
      </x:c>
      <x:c r="K336" s="109" t="str">
        <x:f t="shared" si="119"/>
      </x:c>
      <x:c r="L336" s="110" t="str">
        <x:f t="array" ref="L336">IF(C336&lt;&gt;"",_xlfn.IFS(L$10="TLA",RECORD!GY338,N$10="LECTURE","",TRUE(),""),"")</x:f>
      </x:c>
      <x:c r="M336" s="105" t="str">
        <x:f t="shared" si="120"/>
      </x:c>
      <x:c r="N336" s="104" t="str">
        <x:f t="array" ref="N336">IF(C336&lt;&gt;"",_xlfn.IFS(N$10="AT",RECORD!GS338,N$10="LECTURE",AX336,TRUE(),""),"")</x:f>
      </x:c>
      <x:c r="O336" s="106" t="str">
        <x:f t="shared" si="121"/>
      </x:c>
      <x:c r="P336" s="107" t="str">
        <x:f t="array" ref="P336">IF(C336&lt;&gt;"",_xlfn.IFS(P$10="EXAM",RECORD!GT338,P$10="OUTPUT",RECORD!GU338,P$10="LAB",BX336,TRUE(),""),"")</x:f>
      </x:c>
      <x:c r="Q336" s="106" t="str">
        <x:f t="shared" si="122"/>
      </x:c>
      <x:c r="R336" s="108" t="str">
        <x:f t="shared" si="123"/>
      </x:c>
      <x:c r="S336" s="109" t="str">
        <x:f t="shared" si="124"/>
      </x:c>
      <x:c r="T336" s="110" t="str">
        <x:f t="array" ref="T336">IF(C336&lt;&gt;"",_xlfn.IFS(T$10="TLA",RECORD!HI338,V$10="LECTURE","",TRUE(),""),"")</x:f>
      </x:c>
      <x:c r="U336" s="105" t="str">
        <x:f t="shared" si="125"/>
      </x:c>
      <x:c r="V336" s="104" t="str">
        <x:f t="array" ref="V336">IF(C336&lt;&gt;"",_xlfn.IFS(V$10="AT",RECORD!HC338,V$10="LECTURE",BF336,TRUE(),""),"")</x:f>
      </x:c>
      <x:c r="W336" s="106" t="str">
        <x:f t="shared" si="126"/>
      </x:c>
      <x:c r="X336" s="107" t="str">
        <x:f t="array" ref="X336">IF(C336&lt;&gt;"",_xlfn.IFS(X$10="EXAM",RECORD!HD338,X$10="OUTPUT",RECORD!HE338,X$10="LAB",CF336,TRUE(),""),"")</x:f>
      </x:c>
      <x:c r="Y336" s="106" t="str">
        <x:f t="shared" si="127"/>
      </x:c>
      <x:c r="Z336" s="108" t="str">
        <x:f t="shared" si="128"/>
      </x:c>
      <x:c r="AA336" s="109" t="str">
        <x:f t="shared" si="129"/>
      </x:c>
      <x:c r="AB336" s="111" t="str">
        <x:f t="shared" si="130"/>
      </x:c>
      <x:c r="AC336" s="109" t="str">
        <x:f t="shared" si="131"/>
      </x:c>
      <x:c r="AQ336" s="109" t="str">
        <x:f t="shared" si="132"/>
        <x:v>FAILED</x:v>
      </x:c>
      <x:c r="AR336" s="115"/>
      <x:c r="AS336" s="115"/>
      <x:c r="AT336" s="107"/>
      <x:c r="AU336" s="107"/>
      <x:c r="AV336" s="107"/>
      <x:c r="AW336" s="107"/>
      <x:c r="AX336" s="107"/>
      <x:c r="AY336" s="109" t="str">
        <x:f t="shared" si="133"/>
        <x:v>FAILED</x:v>
      </x:c>
      <x:c r="AZ336" s="115"/>
      <x:c r="BA336" s="115"/>
      <x:c r="BB336" s="107"/>
      <x:c r="BC336" s="107"/>
      <x:c r="BD336" s="107"/>
      <x:c r="BE336" s="107"/>
      <x:c r="BF336" s="107"/>
      <x:c r="BG336" s="109" t="str">
        <x:f t="shared" si="134"/>
        <x:v>FAILED</x:v>
      </x:c>
      <x:c r="BQ336" s="109" t="str">
        <x:f t="shared" si="135"/>
        <x:v>FAILED</x:v>
      </x:c>
      <x:c r="BR336" s="115"/>
      <x:c r="BS336" s="115"/>
      <x:c r="BT336" s="107"/>
      <x:c r="BU336" s="107"/>
      <x:c r="BV336" s="107"/>
      <x:c r="BW336" s="107"/>
      <x:c r="BX336" s="107"/>
      <x:c r="BY336" s="109" t="str">
        <x:f t="shared" si="136"/>
        <x:v>FAILED</x:v>
      </x:c>
      <x:c r="BZ336" s="115"/>
      <x:c r="CA336" s="115"/>
      <x:c r="CB336" s="107"/>
      <x:c r="CC336" s="107"/>
      <x:c r="CD336" s="107"/>
      <x:c r="CE336" s="107"/>
      <x:c r="CF336" s="107"/>
      <x:c r="CG336" s="109" t="str">
        <x:f t="shared" si="137"/>
        <x:v>FAILED</x:v>
      </x:c>
    </x:row>
    <x:row r="337">
      <x:c r="A337" s="102" t="str">
        <x:f>IF(RECORD!A339="","",RECORD!A339)</x:f>
      </x:c>
      <x:c r="B337" s="102" t="str">
        <x:f>IF(RECORD!B339="","",RECORD!B339)</x:f>
      </x:c>
      <x:c r="C337" s="103" t="str">
        <x:f>IF(RECORD!C339="","",RECORD!C339)</x:f>
      </x:c>
      <x:c r="D337" s="104" t="str">
        <x:f t="array" ref="D337">IF(C337&lt;&gt;"",IF(F$7="SUMMER","N/A",_xlfn.IFS(D$10="TLA",RECORD!GO339,F$10="LECTURE","",TRUE(),"")),"")</x:f>
      </x:c>
      <x:c r="E337" s="105" t="str">
        <x:f t="shared" si="115"/>
      </x:c>
      <x:c r="F337" s="104" t="str">
        <x:f t="array" ref="F337">IF(C337&lt;&gt;"",IF(F$7="SUMMER","N/A",_xlfn.IFS(F$10="AT",RECORD!GI339,F$10="LECTURE",GRADES!AP337,TRUE(),"")),"")</x:f>
      </x:c>
      <x:c r="G337" s="106" t="str">
        <x:f t="shared" si="116"/>
      </x:c>
      <x:c r="H337" s="107" t="str">
        <x:f t="array" ref="H337">IF(C337&lt;&gt;"",IF(F$7="SUMMER","N/A",_xlfn.IFS(H$10="EXAM",RECORD!GJ339,H$10="OUTPUT",RECORD!GK339,H$10="LAB",BP337,TRUE(),"")),"")</x:f>
      </x:c>
      <x:c r="I337" s="106" t="str">
        <x:f t="shared" si="117"/>
      </x:c>
      <x:c r="J337" s="108" t="str">
        <x:f t="shared" si="118"/>
      </x:c>
      <x:c r="K337" s="109" t="str">
        <x:f t="shared" si="119"/>
      </x:c>
      <x:c r="L337" s="110" t="str">
        <x:f t="array" ref="L337">IF(C337&lt;&gt;"",_xlfn.IFS(L$10="TLA",RECORD!GY339,N$10="LECTURE","",TRUE(),""),"")</x:f>
      </x:c>
      <x:c r="M337" s="105" t="str">
        <x:f t="shared" si="120"/>
      </x:c>
      <x:c r="N337" s="104" t="str">
        <x:f t="array" ref="N337">IF(C337&lt;&gt;"",_xlfn.IFS(N$10="AT",RECORD!GS339,N$10="LECTURE",AX337,TRUE(),""),"")</x:f>
      </x:c>
      <x:c r="O337" s="106" t="str">
        <x:f t="shared" si="121"/>
      </x:c>
      <x:c r="P337" s="107" t="str">
        <x:f t="array" ref="P337">IF(C337&lt;&gt;"",_xlfn.IFS(P$10="EXAM",RECORD!GT339,P$10="OUTPUT",RECORD!GU339,P$10="LAB",BX337,TRUE(),""),"")</x:f>
      </x:c>
      <x:c r="Q337" s="106" t="str">
        <x:f t="shared" si="122"/>
      </x:c>
      <x:c r="R337" s="108" t="str">
        <x:f t="shared" si="123"/>
      </x:c>
      <x:c r="S337" s="109" t="str">
        <x:f t="shared" si="124"/>
      </x:c>
      <x:c r="T337" s="110" t="str">
        <x:f t="array" ref="T337">IF(C337&lt;&gt;"",_xlfn.IFS(T$10="TLA",RECORD!HI339,V$10="LECTURE","",TRUE(),""),"")</x:f>
      </x:c>
      <x:c r="U337" s="105" t="str">
        <x:f t="shared" si="125"/>
      </x:c>
      <x:c r="V337" s="104" t="str">
        <x:f t="array" ref="V337">IF(C337&lt;&gt;"",_xlfn.IFS(V$10="AT",RECORD!HC339,V$10="LECTURE",BF337,TRUE(),""),"")</x:f>
      </x:c>
      <x:c r="W337" s="106" t="str">
        <x:f t="shared" si="126"/>
      </x:c>
      <x:c r="X337" s="107" t="str">
        <x:f t="array" ref="X337">IF(C337&lt;&gt;"",_xlfn.IFS(X$10="EXAM",RECORD!HD339,X$10="OUTPUT",RECORD!HE339,X$10="LAB",CF337,TRUE(),""),"")</x:f>
      </x:c>
      <x:c r="Y337" s="106" t="str">
        <x:f t="shared" si="127"/>
      </x:c>
      <x:c r="Z337" s="108" t="str">
        <x:f t="shared" si="128"/>
      </x:c>
      <x:c r="AA337" s="109" t="str">
        <x:f t="shared" si="129"/>
      </x:c>
      <x:c r="AB337" s="111" t="str">
        <x:f t="shared" si="130"/>
      </x:c>
      <x:c r="AC337" s="109" t="str">
        <x:f t="shared" si="131"/>
      </x:c>
      <x:c r="AQ337" s="109" t="str">
        <x:f t="shared" si="132"/>
        <x:v>FAILED</x:v>
      </x:c>
      <x:c r="AR337" s="115"/>
      <x:c r="AS337" s="115"/>
      <x:c r="AT337" s="107"/>
      <x:c r="AU337" s="107"/>
      <x:c r="AV337" s="107"/>
      <x:c r="AW337" s="107"/>
      <x:c r="AX337" s="107"/>
      <x:c r="AY337" s="109" t="str">
        <x:f t="shared" si="133"/>
        <x:v>FAILED</x:v>
      </x:c>
      <x:c r="AZ337" s="115"/>
      <x:c r="BA337" s="115"/>
      <x:c r="BB337" s="107"/>
      <x:c r="BC337" s="107"/>
      <x:c r="BD337" s="107"/>
      <x:c r="BE337" s="107"/>
      <x:c r="BF337" s="107"/>
      <x:c r="BG337" s="109" t="str">
        <x:f t="shared" si="134"/>
        <x:v>FAILED</x:v>
      </x:c>
      <x:c r="BQ337" s="109" t="str">
        <x:f t="shared" si="135"/>
        <x:v>FAILED</x:v>
      </x:c>
      <x:c r="BR337" s="115"/>
      <x:c r="BS337" s="115"/>
      <x:c r="BT337" s="107"/>
      <x:c r="BU337" s="107"/>
      <x:c r="BV337" s="107"/>
      <x:c r="BW337" s="107"/>
      <x:c r="BX337" s="107"/>
      <x:c r="BY337" s="109" t="str">
        <x:f t="shared" si="136"/>
        <x:v>FAILED</x:v>
      </x:c>
      <x:c r="BZ337" s="115"/>
      <x:c r="CA337" s="115"/>
      <x:c r="CB337" s="107"/>
      <x:c r="CC337" s="107"/>
      <x:c r="CD337" s="107"/>
      <x:c r="CE337" s="107"/>
      <x:c r="CF337" s="107"/>
      <x:c r="CG337" s="109" t="str">
        <x:f t="shared" si="137"/>
        <x:v>FAILED</x:v>
      </x:c>
    </x:row>
    <x:row r="338">
      <x:c r="A338" s="102" t="str">
        <x:f>IF(RECORD!A340="","",RECORD!A340)</x:f>
      </x:c>
      <x:c r="B338" s="102" t="str">
        <x:f>IF(RECORD!B340="","",RECORD!B340)</x:f>
      </x:c>
      <x:c r="C338" s="103" t="str">
        <x:f>IF(RECORD!C340="","",RECORD!C340)</x:f>
      </x:c>
      <x:c r="D338" s="104" t="str">
        <x:f t="array" ref="D338">IF(C338&lt;&gt;"",IF(F$7="SUMMER","N/A",_xlfn.IFS(D$10="TLA",RECORD!GO340,F$10="LECTURE","",TRUE(),"")),"")</x:f>
      </x:c>
      <x:c r="E338" s="105" t="str">
        <x:f t="shared" si="115"/>
      </x:c>
      <x:c r="F338" s="104" t="str">
        <x:f t="array" ref="F338">IF(C338&lt;&gt;"",IF(F$7="SUMMER","N/A",_xlfn.IFS(F$10="AT",RECORD!GI340,F$10="LECTURE",GRADES!AP338,TRUE(),"")),"")</x:f>
      </x:c>
      <x:c r="G338" s="106" t="str">
        <x:f t="shared" si="116"/>
      </x:c>
      <x:c r="H338" s="107" t="str">
        <x:f t="array" ref="H338">IF(C338&lt;&gt;"",IF(F$7="SUMMER","N/A",_xlfn.IFS(H$10="EXAM",RECORD!GJ340,H$10="OUTPUT",RECORD!GK340,H$10="LAB",BP338,TRUE(),"")),"")</x:f>
      </x:c>
      <x:c r="I338" s="106" t="str">
        <x:f t="shared" si="117"/>
      </x:c>
      <x:c r="J338" s="108" t="str">
        <x:f t="shared" si="118"/>
      </x:c>
      <x:c r="K338" s="109" t="str">
        <x:f t="shared" si="119"/>
      </x:c>
      <x:c r="L338" s="110" t="str">
        <x:f t="array" ref="L338">IF(C338&lt;&gt;"",_xlfn.IFS(L$10="TLA",RECORD!GY340,N$10="LECTURE","",TRUE(),""),"")</x:f>
      </x:c>
      <x:c r="M338" s="105" t="str">
        <x:f t="shared" si="120"/>
      </x:c>
      <x:c r="N338" s="104" t="str">
        <x:f t="array" ref="N338">IF(C338&lt;&gt;"",_xlfn.IFS(N$10="AT",RECORD!GS340,N$10="LECTURE",AX338,TRUE(),""),"")</x:f>
      </x:c>
      <x:c r="O338" s="106" t="str">
        <x:f t="shared" si="121"/>
      </x:c>
      <x:c r="P338" s="107" t="str">
        <x:f t="array" ref="P338">IF(C338&lt;&gt;"",_xlfn.IFS(P$10="EXAM",RECORD!GT340,P$10="OUTPUT",RECORD!GU340,P$10="LAB",BX338,TRUE(),""),"")</x:f>
      </x:c>
      <x:c r="Q338" s="106" t="str">
        <x:f t="shared" si="122"/>
      </x:c>
      <x:c r="R338" s="108" t="str">
        <x:f t="shared" si="123"/>
      </x:c>
      <x:c r="S338" s="109" t="str">
        <x:f t="shared" si="124"/>
      </x:c>
      <x:c r="T338" s="110" t="str">
        <x:f t="array" ref="T338">IF(C338&lt;&gt;"",_xlfn.IFS(T$10="TLA",RECORD!HI340,V$10="LECTURE","",TRUE(),""),"")</x:f>
      </x:c>
      <x:c r="U338" s="105" t="str">
        <x:f t="shared" si="125"/>
      </x:c>
      <x:c r="V338" s="104" t="str">
        <x:f t="array" ref="V338">IF(C338&lt;&gt;"",_xlfn.IFS(V$10="AT",RECORD!HC340,V$10="LECTURE",BF338,TRUE(),""),"")</x:f>
      </x:c>
      <x:c r="W338" s="106" t="str">
        <x:f t="shared" si="126"/>
      </x:c>
      <x:c r="X338" s="107" t="str">
        <x:f t="array" ref="X338">IF(C338&lt;&gt;"",_xlfn.IFS(X$10="EXAM",RECORD!HD340,X$10="OUTPUT",RECORD!HE340,X$10="LAB",CF338,TRUE(),""),"")</x:f>
      </x:c>
      <x:c r="Y338" s="106" t="str">
        <x:f t="shared" si="127"/>
      </x:c>
      <x:c r="Z338" s="108" t="str">
        <x:f t="shared" si="128"/>
      </x:c>
      <x:c r="AA338" s="109" t="str">
        <x:f t="shared" si="129"/>
      </x:c>
      <x:c r="AB338" s="111" t="str">
        <x:f t="shared" si="130"/>
      </x:c>
      <x:c r="AC338" s="109" t="str">
        <x:f t="shared" si="131"/>
      </x:c>
      <x:c r="AQ338" s="109" t="str">
        <x:f t="shared" si="132"/>
        <x:v>FAILED</x:v>
      </x:c>
      <x:c r="AR338" s="115"/>
      <x:c r="AS338" s="115"/>
      <x:c r="AT338" s="107"/>
      <x:c r="AU338" s="107"/>
      <x:c r="AV338" s="107"/>
      <x:c r="AW338" s="107"/>
      <x:c r="AX338" s="107"/>
      <x:c r="AY338" s="109" t="str">
        <x:f t="shared" si="133"/>
        <x:v>FAILED</x:v>
      </x:c>
      <x:c r="AZ338" s="115"/>
      <x:c r="BA338" s="115"/>
      <x:c r="BB338" s="107"/>
      <x:c r="BC338" s="107"/>
      <x:c r="BD338" s="107"/>
      <x:c r="BE338" s="107"/>
      <x:c r="BF338" s="107"/>
      <x:c r="BG338" s="109" t="str">
        <x:f t="shared" si="134"/>
        <x:v>FAILED</x:v>
      </x:c>
      <x:c r="BQ338" s="109" t="str">
        <x:f t="shared" si="135"/>
        <x:v>FAILED</x:v>
      </x:c>
      <x:c r="BR338" s="115"/>
      <x:c r="BS338" s="115"/>
      <x:c r="BT338" s="107"/>
      <x:c r="BU338" s="107"/>
      <x:c r="BV338" s="107"/>
      <x:c r="BW338" s="107"/>
      <x:c r="BX338" s="107"/>
      <x:c r="BY338" s="109" t="str">
        <x:f t="shared" si="136"/>
        <x:v>FAILED</x:v>
      </x:c>
      <x:c r="BZ338" s="115"/>
      <x:c r="CA338" s="115"/>
      <x:c r="CB338" s="107"/>
      <x:c r="CC338" s="107"/>
      <x:c r="CD338" s="107"/>
      <x:c r="CE338" s="107"/>
      <x:c r="CF338" s="107"/>
      <x:c r="CG338" s="109" t="str">
        <x:f t="shared" si="137"/>
        <x:v>FAILED</x:v>
      </x:c>
    </x:row>
    <x:row r="339">
      <x:c r="A339" s="102" t="str">
        <x:f>IF(RECORD!A341="","",RECORD!A341)</x:f>
      </x:c>
      <x:c r="B339" s="102" t="str">
        <x:f>IF(RECORD!B341="","",RECORD!B341)</x:f>
      </x:c>
      <x:c r="C339" s="103" t="str">
        <x:f>IF(RECORD!C341="","",RECORD!C341)</x:f>
      </x:c>
      <x:c r="D339" s="104" t="str">
        <x:f t="array" ref="D339">IF(C339&lt;&gt;"",IF(F$7="SUMMER","N/A",_xlfn.IFS(D$10="TLA",RECORD!GO341,F$10="LECTURE","",TRUE(),"")),"")</x:f>
      </x:c>
      <x:c r="E339" s="105" t="str">
        <x:f t="shared" si="115"/>
      </x:c>
      <x:c r="F339" s="104" t="str">
        <x:f t="array" ref="F339">IF(C339&lt;&gt;"",IF(F$7="SUMMER","N/A",_xlfn.IFS(F$10="AT",RECORD!GI341,F$10="LECTURE",GRADES!AP339,TRUE(),"")),"")</x:f>
      </x:c>
      <x:c r="G339" s="106" t="str">
        <x:f t="shared" si="116"/>
      </x:c>
      <x:c r="H339" s="107" t="str">
        <x:f t="array" ref="H339">IF(C339&lt;&gt;"",IF(F$7="SUMMER","N/A",_xlfn.IFS(H$10="EXAM",RECORD!GJ341,H$10="OUTPUT",RECORD!GK341,H$10="LAB",BP339,TRUE(),"")),"")</x:f>
      </x:c>
      <x:c r="I339" s="106" t="str">
        <x:f t="shared" si="117"/>
      </x:c>
      <x:c r="J339" s="108" t="str">
        <x:f t="shared" si="118"/>
      </x:c>
      <x:c r="K339" s="109" t="str">
        <x:f t="shared" si="119"/>
      </x:c>
      <x:c r="L339" s="110" t="str">
        <x:f t="array" ref="L339">IF(C339&lt;&gt;"",_xlfn.IFS(L$10="TLA",RECORD!GY341,N$10="LECTURE","",TRUE(),""),"")</x:f>
      </x:c>
      <x:c r="M339" s="105" t="str">
        <x:f t="shared" si="120"/>
      </x:c>
      <x:c r="N339" s="104" t="str">
        <x:f t="array" ref="N339">IF(C339&lt;&gt;"",_xlfn.IFS(N$10="AT",RECORD!GS341,N$10="LECTURE",AX339,TRUE(),""),"")</x:f>
      </x:c>
      <x:c r="O339" s="106" t="str">
        <x:f t="shared" si="121"/>
      </x:c>
      <x:c r="P339" s="107" t="str">
        <x:f t="array" ref="P339">IF(C339&lt;&gt;"",_xlfn.IFS(P$10="EXAM",RECORD!GT341,P$10="OUTPUT",RECORD!GU341,P$10="LAB",BX339,TRUE(),""),"")</x:f>
      </x:c>
      <x:c r="Q339" s="106" t="str">
        <x:f t="shared" si="122"/>
      </x:c>
      <x:c r="R339" s="108" t="str">
        <x:f t="shared" si="123"/>
      </x:c>
      <x:c r="S339" s="109" t="str">
        <x:f t="shared" si="124"/>
      </x:c>
      <x:c r="T339" s="110" t="str">
        <x:f t="array" ref="T339">IF(C339&lt;&gt;"",_xlfn.IFS(T$10="TLA",RECORD!HI341,V$10="LECTURE","",TRUE(),""),"")</x:f>
      </x:c>
      <x:c r="U339" s="105" t="str">
        <x:f t="shared" si="125"/>
      </x:c>
      <x:c r="V339" s="104" t="str">
        <x:f t="array" ref="V339">IF(C339&lt;&gt;"",_xlfn.IFS(V$10="AT",RECORD!HC341,V$10="LECTURE",BF339,TRUE(),""),"")</x:f>
      </x:c>
      <x:c r="W339" s="106" t="str">
        <x:f t="shared" si="126"/>
      </x:c>
      <x:c r="X339" s="107" t="str">
        <x:f t="array" ref="X339">IF(C339&lt;&gt;"",_xlfn.IFS(X$10="EXAM",RECORD!HD341,X$10="OUTPUT",RECORD!HE341,X$10="LAB",CF339,TRUE(),""),"")</x:f>
      </x:c>
      <x:c r="Y339" s="106" t="str">
        <x:f t="shared" si="127"/>
      </x:c>
      <x:c r="Z339" s="108" t="str">
        <x:f t="shared" si="128"/>
      </x:c>
      <x:c r="AA339" s="109" t="str">
        <x:f t="shared" si="129"/>
      </x:c>
      <x:c r="AB339" s="111" t="str">
        <x:f t="shared" si="130"/>
      </x:c>
      <x:c r="AC339" s="109" t="str">
        <x:f t="shared" si="131"/>
      </x:c>
      <x:c r="AQ339" s="109" t="str">
        <x:f t="shared" si="132"/>
        <x:v>FAILED</x:v>
      </x:c>
      <x:c r="AR339" s="115"/>
      <x:c r="AS339" s="115"/>
      <x:c r="AT339" s="107"/>
      <x:c r="AU339" s="107"/>
      <x:c r="AV339" s="107"/>
      <x:c r="AW339" s="107"/>
      <x:c r="AX339" s="107"/>
      <x:c r="AY339" s="109" t="str">
        <x:f t="shared" si="133"/>
        <x:v>FAILED</x:v>
      </x:c>
      <x:c r="AZ339" s="115"/>
      <x:c r="BA339" s="115"/>
      <x:c r="BB339" s="107"/>
      <x:c r="BC339" s="107"/>
      <x:c r="BD339" s="107"/>
      <x:c r="BE339" s="107"/>
      <x:c r="BF339" s="107"/>
      <x:c r="BG339" s="109" t="str">
        <x:f t="shared" si="134"/>
        <x:v>FAILED</x:v>
      </x:c>
      <x:c r="BQ339" s="109" t="str">
        <x:f t="shared" si="135"/>
        <x:v>FAILED</x:v>
      </x:c>
      <x:c r="BR339" s="115"/>
      <x:c r="BS339" s="115"/>
      <x:c r="BT339" s="107"/>
      <x:c r="BU339" s="107"/>
      <x:c r="BV339" s="107"/>
      <x:c r="BW339" s="107"/>
      <x:c r="BX339" s="107"/>
      <x:c r="BY339" s="109" t="str">
        <x:f t="shared" si="136"/>
        <x:v>FAILED</x:v>
      </x:c>
      <x:c r="BZ339" s="115"/>
      <x:c r="CA339" s="115"/>
      <x:c r="CB339" s="107"/>
      <x:c r="CC339" s="107"/>
      <x:c r="CD339" s="107"/>
      <x:c r="CE339" s="107"/>
      <x:c r="CF339" s="107"/>
      <x:c r="CG339" s="109" t="str">
        <x:f t="shared" si="137"/>
        <x:v>FAILED</x:v>
      </x:c>
    </x:row>
    <x:row r="340">
      <x:c r="A340" s="102" t="str">
        <x:f>IF(RECORD!A342="","",RECORD!A342)</x:f>
      </x:c>
      <x:c r="B340" s="102" t="str">
        <x:f>IF(RECORD!B342="","",RECORD!B342)</x:f>
      </x:c>
      <x:c r="C340" s="103" t="str">
        <x:f>IF(RECORD!C342="","",RECORD!C342)</x:f>
      </x:c>
      <x:c r="D340" s="104" t="str">
        <x:f t="array" ref="D340">IF(C340&lt;&gt;"",IF(F$7="SUMMER","N/A",_xlfn.IFS(D$10="TLA",RECORD!GO342,F$10="LECTURE","",TRUE(),"")),"")</x:f>
      </x:c>
      <x:c r="E340" s="105" t="str">
        <x:f t="shared" si="115"/>
      </x:c>
      <x:c r="F340" s="104" t="str">
        <x:f t="array" ref="F340">IF(C340&lt;&gt;"",IF(F$7="SUMMER","N/A",_xlfn.IFS(F$10="AT",RECORD!GI342,F$10="LECTURE",GRADES!AP340,TRUE(),"")),"")</x:f>
      </x:c>
      <x:c r="G340" s="106" t="str">
        <x:f t="shared" si="116"/>
      </x:c>
      <x:c r="H340" s="107" t="str">
        <x:f t="array" ref="H340">IF(C340&lt;&gt;"",IF(F$7="SUMMER","N/A",_xlfn.IFS(H$10="EXAM",RECORD!GJ342,H$10="OUTPUT",RECORD!GK342,H$10="LAB",BP340,TRUE(),"")),"")</x:f>
      </x:c>
      <x:c r="I340" s="106" t="str">
        <x:f t="shared" si="117"/>
      </x:c>
      <x:c r="J340" s="108" t="str">
        <x:f t="shared" si="118"/>
      </x:c>
      <x:c r="K340" s="109" t="str">
        <x:f t="shared" si="119"/>
      </x:c>
      <x:c r="L340" s="110" t="str">
        <x:f t="array" ref="L340">IF(C340&lt;&gt;"",_xlfn.IFS(L$10="TLA",RECORD!GY342,N$10="LECTURE","",TRUE(),""),"")</x:f>
      </x:c>
      <x:c r="M340" s="105" t="str">
        <x:f t="shared" si="120"/>
      </x:c>
      <x:c r="N340" s="104" t="str">
        <x:f t="array" ref="N340">IF(C340&lt;&gt;"",_xlfn.IFS(N$10="AT",RECORD!GS342,N$10="LECTURE",AX340,TRUE(),""),"")</x:f>
      </x:c>
      <x:c r="O340" s="106" t="str">
        <x:f t="shared" si="121"/>
      </x:c>
      <x:c r="P340" s="107" t="str">
        <x:f t="array" ref="P340">IF(C340&lt;&gt;"",_xlfn.IFS(P$10="EXAM",RECORD!GT342,P$10="OUTPUT",RECORD!GU342,P$10="LAB",BX340,TRUE(),""),"")</x:f>
      </x:c>
      <x:c r="Q340" s="106" t="str">
        <x:f t="shared" si="122"/>
      </x:c>
      <x:c r="R340" s="108" t="str">
        <x:f t="shared" si="123"/>
      </x:c>
      <x:c r="S340" s="109" t="str">
        <x:f t="shared" si="124"/>
      </x:c>
      <x:c r="T340" s="110" t="str">
        <x:f t="array" ref="T340">IF(C340&lt;&gt;"",_xlfn.IFS(T$10="TLA",RECORD!HI342,V$10="LECTURE","",TRUE(),""),"")</x:f>
      </x:c>
      <x:c r="U340" s="105" t="str">
        <x:f t="shared" si="125"/>
      </x:c>
      <x:c r="V340" s="104" t="str">
        <x:f t="array" ref="V340">IF(C340&lt;&gt;"",_xlfn.IFS(V$10="AT",RECORD!HC342,V$10="LECTURE",BF340,TRUE(),""),"")</x:f>
      </x:c>
      <x:c r="W340" s="106" t="str">
        <x:f t="shared" si="126"/>
      </x:c>
      <x:c r="X340" s="107" t="str">
        <x:f t="array" ref="X340">IF(C340&lt;&gt;"",_xlfn.IFS(X$10="EXAM",RECORD!HD342,X$10="OUTPUT",RECORD!HE342,X$10="LAB",CF340,TRUE(),""),"")</x:f>
      </x:c>
      <x:c r="Y340" s="106" t="str">
        <x:f t="shared" si="127"/>
      </x:c>
      <x:c r="Z340" s="108" t="str">
        <x:f t="shared" si="128"/>
      </x:c>
      <x:c r="AA340" s="109" t="str">
        <x:f t="shared" si="129"/>
      </x:c>
      <x:c r="AB340" s="111" t="str">
        <x:f t="shared" si="130"/>
      </x:c>
      <x:c r="AC340" s="109" t="str">
        <x:f t="shared" si="131"/>
      </x:c>
      <x:c r="AQ340" s="109" t="str">
        <x:f t="shared" si="132"/>
        <x:v>FAILED</x:v>
      </x:c>
      <x:c r="AR340" s="115"/>
      <x:c r="AS340" s="115"/>
      <x:c r="AT340" s="107"/>
      <x:c r="AU340" s="107"/>
      <x:c r="AV340" s="107"/>
      <x:c r="AW340" s="107"/>
      <x:c r="AX340" s="107"/>
      <x:c r="AY340" s="109" t="str">
        <x:f t="shared" si="133"/>
        <x:v>FAILED</x:v>
      </x:c>
      <x:c r="AZ340" s="115"/>
      <x:c r="BA340" s="115"/>
      <x:c r="BB340" s="107"/>
      <x:c r="BC340" s="107"/>
      <x:c r="BD340" s="107"/>
      <x:c r="BE340" s="107"/>
      <x:c r="BF340" s="107"/>
      <x:c r="BG340" s="109" t="str">
        <x:f t="shared" si="134"/>
        <x:v>FAILED</x:v>
      </x:c>
      <x:c r="BQ340" s="109" t="str">
        <x:f t="shared" si="135"/>
        <x:v>FAILED</x:v>
      </x:c>
      <x:c r="BR340" s="115"/>
      <x:c r="BS340" s="115"/>
      <x:c r="BT340" s="107"/>
      <x:c r="BU340" s="107"/>
      <x:c r="BV340" s="107"/>
      <x:c r="BW340" s="107"/>
      <x:c r="BX340" s="107"/>
      <x:c r="BY340" s="109" t="str">
        <x:f t="shared" si="136"/>
        <x:v>FAILED</x:v>
      </x:c>
      <x:c r="BZ340" s="115"/>
      <x:c r="CA340" s="115"/>
      <x:c r="CB340" s="107"/>
      <x:c r="CC340" s="107"/>
      <x:c r="CD340" s="107"/>
      <x:c r="CE340" s="107"/>
      <x:c r="CF340" s="107"/>
      <x:c r="CG340" s="109" t="str">
        <x:f t="shared" si="137"/>
        <x:v>FAILED</x:v>
      </x:c>
    </x:row>
    <x:row r="341">
      <x:c r="A341" s="102" t="str">
        <x:f>IF(RECORD!A343="","",RECORD!A343)</x:f>
      </x:c>
      <x:c r="B341" s="102" t="str">
        <x:f>IF(RECORD!B343="","",RECORD!B343)</x:f>
      </x:c>
      <x:c r="C341" s="103" t="str">
        <x:f>IF(RECORD!C343="","",RECORD!C343)</x:f>
      </x:c>
      <x:c r="D341" s="104" t="str">
        <x:f t="array" ref="D341">IF(C341&lt;&gt;"",IF(F$7="SUMMER","N/A",_xlfn.IFS(D$10="TLA",RECORD!GO343,F$10="LECTURE","",TRUE(),"")),"")</x:f>
      </x:c>
      <x:c r="E341" s="105" t="str">
        <x:f t="shared" si="115"/>
      </x:c>
      <x:c r="F341" s="104" t="str">
        <x:f t="array" ref="F341">IF(C341&lt;&gt;"",IF(F$7="SUMMER","N/A",_xlfn.IFS(F$10="AT",RECORD!GI343,F$10="LECTURE",GRADES!AP341,TRUE(),"")),"")</x:f>
      </x:c>
      <x:c r="G341" s="106" t="str">
        <x:f t="shared" si="116"/>
      </x:c>
      <x:c r="H341" s="107" t="str">
        <x:f t="array" ref="H341">IF(C341&lt;&gt;"",IF(F$7="SUMMER","N/A",_xlfn.IFS(H$10="EXAM",RECORD!GJ343,H$10="OUTPUT",RECORD!GK343,H$10="LAB",BP341,TRUE(),"")),"")</x:f>
      </x:c>
      <x:c r="I341" s="106" t="str">
        <x:f t="shared" si="117"/>
      </x:c>
      <x:c r="J341" s="108" t="str">
        <x:f t="shared" si="118"/>
      </x:c>
      <x:c r="K341" s="109" t="str">
        <x:f t="shared" si="119"/>
      </x:c>
      <x:c r="L341" s="110" t="str">
        <x:f t="array" ref="L341">IF(C341&lt;&gt;"",_xlfn.IFS(L$10="TLA",RECORD!GY343,N$10="LECTURE","",TRUE(),""),"")</x:f>
      </x:c>
      <x:c r="M341" s="105" t="str">
        <x:f t="shared" si="120"/>
      </x:c>
      <x:c r="N341" s="104" t="str">
        <x:f t="array" ref="N341">IF(C341&lt;&gt;"",_xlfn.IFS(N$10="AT",RECORD!GS343,N$10="LECTURE",AX341,TRUE(),""),"")</x:f>
      </x:c>
      <x:c r="O341" s="106" t="str">
        <x:f t="shared" si="121"/>
      </x:c>
      <x:c r="P341" s="107" t="str">
        <x:f t="array" ref="P341">IF(C341&lt;&gt;"",_xlfn.IFS(P$10="EXAM",RECORD!GT343,P$10="OUTPUT",RECORD!GU343,P$10="LAB",BX341,TRUE(),""),"")</x:f>
      </x:c>
      <x:c r="Q341" s="106" t="str">
        <x:f t="shared" si="122"/>
      </x:c>
      <x:c r="R341" s="108" t="str">
        <x:f t="shared" si="123"/>
      </x:c>
      <x:c r="S341" s="109" t="str">
        <x:f t="shared" si="124"/>
      </x:c>
      <x:c r="T341" s="110" t="str">
        <x:f t="array" ref="T341">IF(C341&lt;&gt;"",_xlfn.IFS(T$10="TLA",RECORD!HI343,V$10="LECTURE","",TRUE(),""),"")</x:f>
      </x:c>
      <x:c r="U341" s="105" t="str">
        <x:f t="shared" si="125"/>
      </x:c>
      <x:c r="V341" s="104" t="str">
        <x:f t="array" ref="V341">IF(C341&lt;&gt;"",_xlfn.IFS(V$10="AT",RECORD!HC343,V$10="LECTURE",BF341,TRUE(),""),"")</x:f>
      </x:c>
      <x:c r="W341" s="106" t="str">
        <x:f t="shared" si="126"/>
      </x:c>
      <x:c r="X341" s="107" t="str">
        <x:f t="array" ref="X341">IF(C341&lt;&gt;"",_xlfn.IFS(X$10="EXAM",RECORD!HD343,X$10="OUTPUT",RECORD!HE343,X$10="LAB",CF341,TRUE(),""),"")</x:f>
      </x:c>
      <x:c r="Y341" s="106" t="str">
        <x:f t="shared" si="127"/>
      </x:c>
      <x:c r="Z341" s="108" t="str">
        <x:f t="shared" si="128"/>
      </x:c>
      <x:c r="AA341" s="109" t="str">
        <x:f t="shared" si="129"/>
      </x:c>
      <x:c r="AB341" s="111" t="str">
        <x:f t="shared" si="130"/>
      </x:c>
      <x:c r="AC341" s="109" t="str">
        <x:f t="shared" si="131"/>
      </x:c>
      <x:c r="AQ341" s="109" t="str">
        <x:f t="shared" si="132"/>
        <x:v>FAILED</x:v>
      </x:c>
      <x:c r="AR341" s="115"/>
      <x:c r="AS341" s="115"/>
      <x:c r="AT341" s="107"/>
      <x:c r="AU341" s="107"/>
      <x:c r="AV341" s="107"/>
      <x:c r="AW341" s="107"/>
      <x:c r="AX341" s="107"/>
      <x:c r="AY341" s="109" t="str">
        <x:f t="shared" si="133"/>
        <x:v>FAILED</x:v>
      </x:c>
      <x:c r="AZ341" s="115"/>
      <x:c r="BA341" s="115"/>
      <x:c r="BB341" s="107"/>
      <x:c r="BC341" s="107"/>
      <x:c r="BD341" s="107"/>
      <x:c r="BE341" s="107"/>
      <x:c r="BF341" s="107"/>
      <x:c r="BG341" s="109" t="str">
        <x:f t="shared" si="134"/>
        <x:v>FAILED</x:v>
      </x:c>
      <x:c r="BQ341" s="109" t="str">
        <x:f t="shared" si="135"/>
        <x:v>FAILED</x:v>
      </x:c>
      <x:c r="BR341" s="115"/>
      <x:c r="BS341" s="115"/>
      <x:c r="BT341" s="107"/>
      <x:c r="BU341" s="107"/>
      <x:c r="BV341" s="107"/>
      <x:c r="BW341" s="107"/>
      <x:c r="BX341" s="107"/>
      <x:c r="BY341" s="109" t="str">
        <x:f t="shared" si="136"/>
        <x:v>FAILED</x:v>
      </x:c>
      <x:c r="BZ341" s="115"/>
      <x:c r="CA341" s="115"/>
      <x:c r="CB341" s="107"/>
      <x:c r="CC341" s="107"/>
      <x:c r="CD341" s="107"/>
      <x:c r="CE341" s="107"/>
      <x:c r="CF341" s="107"/>
      <x:c r="CG341" s="109" t="str">
        <x:f t="shared" si="137"/>
        <x:v>FAILED</x:v>
      </x:c>
    </x:row>
    <x:row r="342">
      <x:c r="A342" s="102" t="str">
        <x:f>IF(RECORD!A344="","",RECORD!A344)</x:f>
      </x:c>
      <x:c r="B342" s="102" t="str">
        <x:f>IF(RECORD!B344="","",RECORD!B344)</x:f>
      </x:c>
      <x:c r="C342" s="103" t="str">
        <x:f>IF(RECORD!C344="","",RECORD!C344)</x:f>
      </x:c>
      <x:c r="D342" s="104" t="str">
        <x:f t="array" ref="D342">IF(C342&lt;&gt;"",IF(F$7="SUMMER","N/A",_xlfn.IFS(D$10="TLA",RECORD!GO344,F$10="LECTURE","",TRUE(),"")),"")</x:f>
      </x:c>
      <x:c r="E342" s="105" t="str">
        <x:f t="shared" si="115"/>
      </x:c>
      <x:c r="F342" s="104" t="str">
        <x:f t="array" ref="F342">IF(C342&lt;&gt;"",IF(F$7="SUMMER","N/A",_xlfn.IFS(F$10="AT",RECORD!GI344,F$10="LECTURE",GRADES!AP342,TRUE(),"")),"")</x:f>
      </x:c>
      <x:c r="G342" s="106" t="str">
        <x:f t="shared" si="116"/>
      </x:c>
      <x:c r="H342" s="107" t="str">
        <x:f t="array" ref="H342">IF(C342&lt;&gt;"",IF(F$7="SUMMER","N/A",_xlfn.IFS(H$10="EXAM",RECORD!GJ344,H$10="OUTPUT",RECORD!GK344,H$10="LAB",BP342,TRUE(),"")),"")</x:f>
      </x:c>
      <x:c r="I342" s="106" t="str">
        <x:f t="shared" si="117"/>
      </x:c>
      <x:c r="J342" s="108" t="str">
        <x:f t="shared" si="118"/>
      </x:c>
      <x:c r="K342" s="109" t="str">
        <x:f t="shared" si="119"/>
      </x:c>
      <x:c r="L342" s="110" t="str">
        <x:f t="array" ref="L342">IF(C342&lt;&gt;"",_xlfn.IFS(L$10="TLA",RECORD!GY344,N$10="LECTURE","",TRUE(),""),"")</x:f>
      </x:c>
      <x:c r="M342" s="105" t="str">
        <x:f t="shared" si="120"/>
      </x:c>
      <x:c r="N342" s="104" t="str">
        <x:f t="array" ref="N342">IF(C342&lt;&gt;"",_xlfn.IFS(N$10="AT",RECORD!GS344,N$10="LECTURE",AX342,TRUE(),""),"")</x:f>
      </x:c>
      <x:c r="O342" s="106" t="str">
        <x:f t="shared" si="121"/>
      </x:c>
      <x:c r="P342" s="107" t="str">
        <x:f t="array" ref="P342">IF(C342&lt;&gt;"",_xlfn.IFS(P$10="EXAM",RECORD!GT344,P$10="OUTPUT",RECORD!GU344,P$10="LAB",BX342,TRUE(),""),"")</x:f>
      </x:c>
      <x:c r="Q342" s="106" t="str">
        <x:f t="shared" si="122"/>
      </x:c>
      <x:c r="R342" s="108" t="str">
        <x:f t="shared" si="123"/>
      </x:c>
      <x:c r="S342" s="109" t="str">
        <x:f t="shared" si="124"/>
      </x:c>
      <x:c r="T342" s="110" t="str">
        <x:f t="array" ref="T342">IF(C342&lt;&gt;"",_xlfn.IFS(T$10="TLA",RECORD!HI344,V$10="LECTURE","",TRUE(),""),"")</x:f>
      </x:c>
      <x:c r="U342" s="105" t="str">
        <x:f t="shared" si="125"/>
      </x:c>
      <x:c r="V342" s="104" t="str">
        <x:f t="array" ref="V342">IF(C342&lt;&gt;"",_xlfn.IFS(V$10="AT",RECORD!HC344,V$10="LECTURE",BF342,TRUE(),""),"")</x:f>
      </x:c>
      <x:c r="W342" s="106" t="str">
        <x:f t="shared" si="126"/>
      </x:c>
      <x:c r="X342" s="107" t="str">
        <x:f t="array" ref="X342">IF(C342&lt;&gt;"",_xlfn.IFS(X$10="EXAM",RECORD!HD344,X$10="OUTPUT",RECORD!HE344,X$10="LAB",CF342,TRUE(),""),"")</x:f>
      </x:c>
      <x:c r="Y342" s="106" t="str">
        <x:f t="shared" si="127"/>
      </x:c>
      <x:c r="Z342" s="108" t="str">
        <x:f t="shared" si="128"/>
      </x:c>
      <x:c r="AA342" s="109" t="str">
        <x:f t="shared" si="129"/>
      </x:c>
      <x:c r="AB342" s="111" t="str">
        <x:f t="shared" si="130"/>
      </x:c>
      <x:c r="AC342" s="109" t="str">
        <x:f t="shared" si="131"/>
      </x:c>
      <x:c r="AQ342" s="109" t="str">
        <x:f t="shared" si="132"/>
        <x:v>FAILED</x:v>
      </x:c>
      <x:c r="AR342" s="115"/>
      <x:c r="AS342" s="115"/>
      <x:c r="AT342" s="107"/>
      <x:c r="AU342" s="107"/>
      <x:c r="AV342" s="107"/>
      <x:c r="AW342" s="107"/>
      <x:c r="AX342" s="107"/>
      <x:c r="AY342" s="109" t="str">
        <x:f t="shared" si="133"/>
        <x:v>FAILED</x:v>
      </x:c>
      <x:c r="AZ342" s="115"/>
      <x:c r="BA342" s="115"/>
      <x:c r="BB342" s="107"/>
      <x:c r="BC342" s="107"/>
      <x:c r="BD342" s="107"/>
      <x:c r="BE342" s="107"/>
      <x:c r="BF342" s="107"/>
      <x:c r="BG342" s="109" t="str">
        <x:f t="shared" si="134"/>
        <x:v>FAILED</x:v>
      </x:c>
      <x:c r="BQ342" s="109" t="str">
        <x:f t="shared" si="135"/>
        <x:v>FAILED</x:v>
      </x:c>
      <x:c r="BR342" s="115"/>
      <x:c r="BS342" s="115"/>
      <x:c r="BT342" s="107"/>
      <x:c r="BU342" s="107"/>
      <x:c r="BV342" s="107"/>
      <x:c r="BW342" s="107"/>
      <x:c r="BX342" s="107"/>
      <x:c r="BY342" s="109" t="str">
        <x:f t="shared" si="136"/>
        <x:v>FAILED</x:v>
      </x:c>
      <x:c r="BZ342" s="115"/>
      <x:c r="CA342" s="115"/>
      <x:c r="CB342" s="107"/>
      <x:c r="CC342" s="107"/>
      <x:c r="CD342" s="107"/>
      <x:c r="CE342" s="107"/>
      <x:c r="CF342" s="107"/>
      <x:c r="CG342" s="109" t="str">
        <x:f t="shared" si="137"/>
        <x:v>FAILED</x:v>
      </x:c>
    </x:row>
    <x:row r="343">
      <x:c r="A343" s="102" t="str">
        <x:f>IF(RECORD!A345="","",RECORD!A345)</x:f>
      </x:c>
      <x:c r="B343" s="102" t="str">
        <x:f>IF(RECORD!B345="","",RECORD!B345)</x:f>
      </x:c>
      <x:c r="C343" s="103" t="str">
        <x:f>IF(RECORD!C345="","",RECORD!C345)</x:f>
      </x:c>
      <x:c r="D343" s="104" t="str">
        <x:f t="array" ref="D343">IF(C343&lt;&gt;"",IF(F$7="SUMMER","N/A",_xlfn.IFS(D$10="TLA",RECORD!GO345,F$10="LECTURE","",TRUE(),"")),"")</x:f>
      </x:c>
      <x:c r="E343" s="105" t="str">
        <x:f t="shared" si="115"/>
      </x:c>
      <x:c r="F343" s="104" t="str">
        <x:f t="array" ref="F343">IF(C343&lt;&gt;"",IF(F$7="SUMMER","N/A",_xlfn.IFS(F$10="AT",RECORD!GI345,F$10="LECTURE",GRADES!AP343,TRUE(),"")),"")</x:f>
      </x:c>
      <x:c r="G343" s="106" t="str">
        <x:f t="shared" si="116"/>
      </x:c>
      <x:c r="H343" s="107" t="str">
        <x:f t="array" ref="H343">IF(C343&lt;&gt;"",IF(F$7="SUMMER","N/A",_xlfn.IFS(H$10="EXAM",RECORD!GJ345,H$10="OUTPUT",RECORD!GK345,H$10="LAB",BP343,TRUE(),"")),"")</x:f>
      </x:c>
      <x:c r="I343" s="106" t="str">
        <x:f t="shared" si="117"/>
      </x:c>
      <x:c r="J343" s="108" t="str">
        <x:f t="shared" si="118"/>
      </x:c>
      <x:c r="K343" s="109" t="str">
        <x:f t="shared" si="119"/>
      </x:c>
      <x:c r="L343" s="110" t="str">
        <x:f t="array" ref="L343">IF(C343&lt;&gt;"",_xlfn.IFS(L$10="TLA",RECORD!GY345,N$10="LECTURE","",TRUE(),""),"")</x:f>
      </x:c>
      <x:c r="M343" s="105" t="str">
        <x:f t="shared" si="120"/>
      </x:c>
      <x:c r="N343" s="104" t="str">
        <x:f t="array" ref="N343">IF(C343&lt;&gt;"",_xlfn.IFS(N$10="AT",RECORD!GS345,N$10="LECTURE",AX343,TRUE(),""),"")</x:f>
      </x:c>
      <x:c r="O343" s="106" t="str">
        <x:f t="shared" si="121"/>
      </x:c>
      <x:c r="P343" s="107" t="str">
        <x:f t="array" ref="P343">IF(C343&lt;&gt;"",_xlfn.IFS(P$10="EXAM",RECORD!GT345,P$10="OUTPUT",RECORD!GU345,P$10="LAB",BX343,TRUE(),""),"")</x:f>
      </x:c>
      <x:c r="Q343" s="106" t="str">
        <x:f t="shared" si="122"/>
      </x:c>
      <x:c r="R343" s="108" t="str">
        <x:f t="shared" si="123"/>
      </x:c>
      <x:c r="S343" s="109" t="str">
        <x:f t="shared" si="124"/>
      </x:c>
      <x:c r="T343" s="110" t="str">
        <x:f t="array" ref="T343">IF(C343&lt;&gt;"",_xlfn.IFS(T$10="TLA",RECORD!HI345,V$10="LECTURE","",TRUE(),""),"")</x:f>
      </x:c>
      <x:c r="U343" s="105" t="str">
        <x:f t="shared" si="125"/>
      </x:c>
      <x:c r="V343" s="104" t="str">
        <x:f t="array" ref="V343">IF(C343&lt;&gt;"",_xlfn.IFS(V$10="AT",RECORD!HC345,V$10="LECTURE",BF343,TRUE(),""),"")</x:f>
      </x:c>
      <x:c r="W343" s="106" t="str">
        <x:f t="shared" si="126"/>
      </x:c>
      <x:c r="X343" s="107" t="str">
        <x:f t="array" ref="X343">IF(C343&lt;&gt;"",_xlfn.IFS(X$10="EXAM",RECORD!HD345,X$10="OUTPUT",RECORD!HE345,X$10="LAB",CF343,TRUE(),""),"")</x:f>
      </x:c>
      <x:c r="Y343" s="106" t="str">
        <x:f t="shared" si="127"/>
      </x:c>
      <x:c r="Z343" s="108" t="str">
        <x:f t="shared" si="128"/>
      </x:c>
      <x:c r="AA343" s="109" t="str">
        <x:f t="shared" si="129"/>
      </x:c>
      <x:c r="AB343" s="111" t="str">
        <x:f t="shared" si="130"/>
      </x:c>
      <x:c r="AC343" s="109" t="str">
        <x:f t="shared" si="131"/>
      </x:c>
      <x:c r="AQ343" s="109" t="str">
        <x:f t="shared" si="132"/>
        <x:v>FAILED</x:v>
      </x:c>
      <x:c r="AR343" s="115"/>
      <x:c r="AS343" s="115"/>
      <x:c r="AT343" s="107"/>
      <x:c r="AU343" s="107"/>
      <x:c r="AV343" s="107"/>
      <x:c r="AW343" s="107"/>
      <x:c r="AX343" s="107"/>
      <x:c r="AY343" s="109" t="str">
        <x:f t="shared" si="133"/>
        <x:v>FAILED</x:v>
      </x:c>
      <x:c r="AZ343" s="115"/>
      <x:c r="BA343" s="115"/>
      <x:c r="BB343" s="107"/>
      <x:c r="BC343" s="107"/>
      <x:c r="BD343" s="107"/>
      <x:c r="BE343" s="107"/>
      <x:c r="BF343" s="107"/>
      <x:c r="BG343" s="109" t="str">
        <x:f t="shared" si="134"/>
        <x:v>FAILED</x:v>
      </x:c>
      <x:c r="BQ343" s="109" t="str">
        <x:f t="shared" si="135"/>
        <x:v>FAILED</x:v>
      </x:c>
      <x:c r="BR343" s="115"/>
      <x:c r="BS343" s="115"/>
      <x:c r="BT343" s="107"/>
      <x:c r="BU343" s="107"/>
      <x:c r="BV343" s="107"/>
      <x:c r="BW343" s="107"/>
      <x:c r="BX343" s="107"/>
      <x:c r="BY343" s="109" t="str">
        <x:f t="shared" si="136"/>
        <x:v>FAILED</x:v>
      </x:c>
      <x:c r="BZ343" s="115"/>
      <x:c r="CA343" s="115"/>
      <x:c r="CB343" s="107"/>
      <x:c r="CC343" s="107"/>
      <x:c r="CD343" s="107"/>
      <x:c r="CE343" s="107"/>
      <x:c r="CF343" s="107"/>
      <x:c r="CG343" s="109" t="str">
        <x:f t="shared" si="137"/>
        <x:v>FAILED</x:v>
      </x:c>
    </x:row>
    <x:row r="344">
      <x:c r="A344" s="102" t="str">
        <x:f>IF(RECORD!A346="","",RECORD!A346)</x:f>
      </x:c>
      <x:c r="B344" s="102" t="str">
        <x:f>IF(RECORD!B346="","",RECORD!B346)</x:f>
      </x:c>
      <x:c r="C344" s="103" t="str">
        <x:f>IF(RECORD!C346="","",RECORD!C346)</x:f>
      </x:c>
      <x:c r="D344" s="104" t="str">
        <x:f t="array" ref="D344">IF(C344&lt;&gt;"",IF(F$7="SUMMER","N/A",_xlfn.IFS(D$10="TLA",RECORD!GO346,F$10="LECTURE","",TRUE(),"")),"")</x:f>
      </x:c>
      <x:c r="E344" s="105" t="str">
        <x:f t="shared" si="115"/>
      </x:c>
      <x:c r="F344" s="104" t="str">
        <x:f t="array" ref="F344">IF(C344&lt;&gt;"",IF(F$7="SUMMER","N/A",_xlfn.IFS(F$10="AT",RECORD!GI346,F$10="LECTURE",GRADES!AP344,TRUE(),"")),"")</x:f>
      </x:c>
      <x:c r="G344" s="106" t="str">
        <x:f t="shared" si="116"/>
      </x:c>
      <x:c r="H344" s="107" t="str">
        <x:f t="array" ref="H344">IF(C344&lt;&gt;"",IF(F$7="SUMMER","N/A",_xlfn.IFS(H$10="EXAM",RECORD!GJ346,H$10="OUTPUT",RECORD!GK346,H$10="LAB",BP344,TRUE(),"")),"")</x:f>
      </x:c>
      <x:c r="I344" s="106" t="str">
        <x:f t="shared" si="117"/>
      </x:c>
      <x:c r="J344" s="108" t="str">
        <x:f t="shared" si="118"/>
      </x:c>
      <x:c r="K344" s="109" t="str">
        <x:f t="shared" si="119"/>
      </x:c>
      <x:c r="L344" s="110" t="str">
        <x:f t="array" ref="L344">IF(C344&lt;&gt;"",_xlfn.IFS(L$10="TLA",RECORD!GY346,N$10="LECTURE","",TRUE(),""),"")</x:f>
      </x:c>
      <x:c r="M344" s="105" t="str">
        <x:f t="shared" si="120"/>
      </x:c>
      <x:c r="N344" s="104" t="str">
        <x:f t="array" ref="N344">IF(C344&lt;&gt;"",_xlfn.IFS(N$10="AT",RECORD!GS346,N$10="LECTURE",AX344,TRUE(),""),"")</x:f>
      </x:c>
      <x:c r="O344" s="106" t="str">
        <x:f t="shared" si="121"/>
      </x:c>
      <x:c r="P344" s="107" t="str">
        <x:f t="array" ref="P344">IF(C344&lt;&gt;"",_xlfn.IFS(P$10="EXAM",RECORD!GT346,P$10="OUTPUT",RECORD!GU346,P$10="LAB",BX344,TRUE(),""),"")</x:f>
      </x:c>
      <x:c r="Q344" s="106" t="str">
        <x:f t="shared" si="122"/>
      </x:c>
      <x:c r="R344" s="108" t="str">
        <x:f t="shared" si="123"/>
      </x:c>
      <x:c r="S344" s="109" t="str">
        <x:f t="shared" si="124"/>
      </x:c>
      <x:c r="T344" s="110" t="str">
        <x:f t="array" ref="T344">IF(C344&lt;&gt;"",_xlfn.IFS(T$10="TLA",RECORD!HI346,V$10="LECTURE","",TRUE(),""),"")</x:f>
      </x:c>
      <x:c r="U344" s="105" t="str">
        <x:f t="shared" si="125"/>
      </x:c>
      <x:c r="V344" s="104" t="str">
        <x:f t="array" ref="V344">IF(C344&lt;&gt;"",_xlfn.IFS(V$10="AT",RECORD!HC346,V$10="LECTURE",BF344,TRUE(),""),"")</x:f>
      </x:c>
      <x:c r="W344" s="106" t="str">
        <x:f t="shared" si="126"/>
      </x:c>
      <x:c r="X344" s="107" t="str">
        <x:f t="array" ref="X344">IF(C344&lt;&gt;"",_xlfn.IFS(X$10="EXAM",RECORD!HD346,X$10="OUTPUT",RECORD!HE346,X$10="LAB",CF344,TRUE(),""),"")</x:f>
      </x:c>
      <x:c r="Y344" s="106" t="str">
        <x:f t="shared" si="127"/>
      </x:c>
      <x:c r="Z344" s="108" t="str">
        <x:f t="shared" si="128"/>
      </x:c>
      <x:c r="AA344" s="109" t="str">
        <x:f t="shared" si="129"/>
      </x:c>
      <x:c r="AB344" s="111" t="str">
        <x:f t="shared" si="130"/>
      </x:c>
      <x:c r="AC344" s="109" t="str">
        <x:f t="shared" si="131"/>
      </x:c>
      <x:c r="AQ344" s="109" t="str">
        <x:f t="shared" si="132"/>
        <x:v>FAILED</x:v>
      </x:c>
      <x:c r="AR344" s="115"/>
      <x:c r="AS344" s="115"/>
      <x:c r="AT344" s="107"/>
      <x:c r="AU344" s="107"/>
      <x:c r="AV344" s="107"/>
      <x:c r="AW344" s="107"/>
      <x:c r="AX344" s="107"/>
      <x:c r="AY344" s="109" t="str">
        <x:f t="shared" si="133"/>
        <x:v>FAILED</x:v>
      </x:c>
      <x:c r="AZ344" s="115"/>
      <x:c r="BA344" s="115"/>
      <x:c r="BB344" s="107"/>
      <x:c r="BC344" s="107"/>
      <x:c r="BD344" s="107"/>
      <x:c r="BE344" s="107"/>
      <x:c r="BF344" s="107"/>
      <x:c r="BG344" s="109" t="str">
        <x:f t="shared" si="134"/>
        <x:v>FAILED</x:v>
      </x:c>
      <x:c r="BQ344" s="109" t="str">
        <x:f t="shared" si="135"/>
        <x:v>FAILED</x:v>
      </x:c>
      <x:c r="BR344" s="115"/>
      <x:c r="BS344" s="115"/>
      <x:c r="BT344" s="107"/>
      <x:c r="BU344" s="107"/>
      <x:c r="BV344" s="107"/>
      <x:c r="BW344" s="107"/>
      <x:c r="BX344" s="107"/>
      <x:c r="BY344" s="109" t="str">
        <x:f t="shared" si="136"/>
        <x:v>FAILED</x:v>
      </x:c>
      <x:c r="BZ344" s="115"/>
      <x:c r="CA344" s="115"/>
      <x:c r="CB344" s="107"/>
      <x:c r="CC344" s="107"/>
      <x:c r="CD344" s="107"/>
      <x:c r="CE344" s="107"/>
      <x:c r="CF344" s="107"/>
      <x:c r="CG344" s="109" t="str">
        <x:f t="shared" si="137"/>
        <x:v>FAILED</x:v>
      </x:c>
    </x:row>
    <x:row r="345">
      <x:c r="A345" s="102" t="str">
        <x:f>IF(RECORD!A347="","",RECORD!A347)</x:f>
      </x:c>
      <x:c r="B345" s="102" t="str">
        <x:f>IF(RECORD!B347="","",RECORD!B347)</x:f>
      </x:c>
      <x:c r="C345" s="103" t="str">
        <x:f>IF(RECORD!C347="","",RECORD!C347)</x:f>
      </x:c>
      <x:c r="D345" s="104" t="str">
        <x:f t="array" ref="D345">IF(C345&lt;&gt;"",IF(F$7="SUMMER","N/A",_xlfn.IFS(D$10="TLA",RECORD!GO347,F$10="LECTURE","",TRUE(),"")),"")</x:f>
      </x:c>
      <x:c r="E345" s="105" t="str">
        <x:f t="shared" si="115"/>
      </x:c>
      <x:c r="F345" s="104" t="str">
        <x:f t="array" ref="F345">IF(C345&lt;&gt;"",IF(F$7="SUMMER","N/A",_xlfn.IFS(F$10="AT",RECORD!GI347,F$10="LECTURE",GRADES!AP345,TRUE(),"")),"")</x:f>
      </x:c>
      <x:c r="G345" s="106" t="str">
        <x:f t="shared" si="116"/>
      </x:c>
      <x:c r="H345" s="107" t="str">
        <x:f t="array" ref="H345">IF(C345&lt;&gt;"",IF(F$7="SUMMER","N/A",_xlfn.IFS(H$10="EXAM",RECORD!GJ347,H$10="OUTPUT",RECORD!GK347,H$10="LAB",BP345,TRUE(),"")),"")</x:f>
      </x:c>
      <x:c r="I345" s="106" t="str">
        <x:f t="shared" si="117"/>
      </x:c>
      <x:c r="J345" s="108" t="str">
        <x:f t="shared" si="118"/>
      </x:c>
      <x:c r="K345" s="109" t="str">
        <x:f t="shared" si="119"/>
      </x:c>
      <x:c r="L345" s="110" t="str">
        <x:f t="array" ref="L345">IF(C345&lt;&gt;"",_xlfn.IFS(L$10="TLA",RECORD!GY347,N$10="LECTURE","",TRUE(),""),"")</x:f>
      </x:c>
      <x:c r="M345" s="105" t="str">
        <x:f t="shared" si="120"/>
      </x:c>
      <x:c r="N345" s="104" t="str">
        <x:f t="array" ref="N345">IF(C345&lt;&gt;"",_xlfn.IFS(N$10="AT",RECORD!GS347,N$10="LECTURE",AX345,TRUE(),""),"")</x:f>
      </x:c>
      <x:c r="O345" s="106" t="str">
        <x:f t="shared" si="121"/>
      </x:c>
      <x:c r="P345" s="107" t="str">
        <x:f t="array" ref="P345">IF(C345&lt;&gt;"",_xlfn.IFS(P$10="EXAM",RECORD!GT347,P$10="OUTPUT",RECORD!GU347,P$10="LAB",BX345,TRUE(),""),"")</x:f>
      </x:c>
      <x:c r="Q345" s="106" t="str">
        <x:f t="shared" si="122"/>
      </x:c>
      <x:c r="R345" s="108" t="str">
        <x:f t="shared" si="123"/>
      </x:c>
      <x:c r="S345" s="109" t="str">
        <x:f t="shared" si="124"/>
      </x:c>
      <x:c r="T345" s="110" t="str">
        <x:f t="array" ref="T345">IF(C345&lt;&gt;"",_xlfn.IFS(T$10="TLA",RECORD!HI347,V$10="LECTURE","",TRUE(),""),"")</x:f>
      </x:c>
      <x:c r="U345" s="105" t="str">
        <x:f t="shared" si="125"/>
      </x:c>
      <x:c r="V345" s="104" t="str">
        <x:f t="array" ref="V345">IF(C345&lt;&gt;"",_xlfn.IFS(V$10="AT",RECORD!HC347,V$10="LECTURE",BF345,TRUE(),""),"")</x:f>
      </x:c>
      <x:c r="W345" s="106" t="str">
        <x:f t="shared" si="126"/>
      </x:c>
      <x:c r="X345" s="107" t="str">
        <x:f t="array" ref="X345">IF(C345&lt;&gt;"",_xlfn.IFS(X$10="EXAM",RECORD!HD347,X$10="OUTPUT",RECORD!HE347,X$10="LAB",CF345,TRUE(),""),"")</x:f>
      </x:c>
      <x:c r="Y345" s="106" t="str">
        <x:f t="shared" si="127"/>
      </x:c>
      <x:c r="Z345" s="108" t="str">
        <x:f t="shared" si="128"/>
      </x:c>
      <x:c r="AA345" s="109" t="str">
        <x:f t="shared" si="129"/>
      </x:c>
      <x:c r="AB345" s="111" t="str">
        <x:f t="shared" si="130"/>
      </x:c>
      <x:c r="AC345" s="109" t="str">
        <x:f t="shared" si="131"/>
      </x:c>
      <x:c r="AQ345" s="109" t="str">
        <x:f t="shared" si="132"/>
        <x:v>FAILED</x:v>
      </x:c>
      <x:c r="AR345" s="115"/>
      <x:c r="AS345" s="115"/>
      <x:c r="AT345" s="107"/>
      <x:c r="AU345" s="107"/>
      <x:c r="AV345" s="107"/>
      <x:c r="AW345" s="107"/>
      <x:c r="AX345" s="107"/>
      <x:c r="AY345" s="109" t="str">
        <x:f t="shared" si="133"/>
        <x:v>FAILED</x:v>
      </x:c>
      <x:c r="AZ345" s="115"/>
      <x:c r="BA345" s="115"/>
      <x:c r="BB345" s="107"/>
      <x:c r="BC345" s="107"/>
      <x:c r="BD345" s="107"/>
      <x:c r="BE345" s="107"/>
      <x:c r="BF345" s="107"/>
      <x:c r="BG345" s="109" t="str">
        <x:f t="shared" si="134"/>
        <x:v>FAILED</x:v>
      </x:c>
      <x:c r="BQ345" s="109" t="str">
        <x:f t="shared" si="135"/>
        <x:v>FAILED</x:v>
      </x:c>
      <x:c r="BR345" s="115"/>
      <x:c r="BS345" s="115"/>
      <x:c r="BT345" s="107"/>
      <x:c r="BU345" s="107"/>
      <x:c r="BV345" s="107"/>
      <x:c r="BW345" s="107"/>
      <x:c r="BX345" s="107"/>
      <x:c r="BY345" s="109" t="str">
        <x:f t="shared" si="136"/>
        <x:v>FAILED</x:v>
      </x:c>
      <x:c r="BZ345" s="115"/>
      <x:c r="CA345" s="115"/>
      <x:c r="CB345" s="107"/>
      <x:c r="CC345" s="107"/>
      <x:c r="CD345" s="107"/>
      <x:c r="CE345" s="107"/>
      <x:c r="CF345" s="107"/>
      <x:c r="CG345" s="109" t="str">
        <x:f t="shared" si="137"/>
        <x:v>FAILED</x:v>
      </x:c>
    </x:row>
    <x:row r="346">
      <x:c r="A346" s="102" t="str">
        <x:f>IF(RECORD!A348="","",RECORD!A348)</x:f>
      </x:c>
      <x:c r="B346" s="102" t="str">
        <x:f>IF(RECORD!B348="","",RECORD!B348)</x:f>
      </x:c>
      <x:c r="C346" s="103" t="str">
        <x:f>IF(RECORD!C348="","",RECORD!C348)</x:f>
      </x:c>
      <x:c r="D346" s="104" t="str">
        <x:f t="array" ref="D346">IF(C346&lt;&gt;"",IF(F$7="SUMMER","N/A",_xlfn.IFS(D$10="TLA",RECORD!GO348,F$10="LECTURE","",TRUE(),"")),"")</x:f>
      </x:c>
      <x:c r="E346" s="105" t="str">
        <x:f t="shared" si="115"/>
      </x:c>
      <x:c r="F346" s="104" t="str">
        <x:f t="array" ref="F346">IF(C346&lt;&gt;"",IF(F$7="SUMMER","N/A",_xlfn.IFS(F$10="AT",RECORD!GI348,F$10="LECTURE",GRADES!AP346,TRUE(),"")),"")</x:f>
      </x:c>
      <x:c r="G346" s="106" t="str">
        <x:f t="shared" si="116"/>
      </x:c>
      <x:c r="H346" s="107" t="str">
        <x:f t="array" ref="H346">IF(C346&lt;&gt;"",IF(F$7="SUMMER","N/A",_xlfn.IFS(H$10="EXAM",RECORD!GJ348,H$10="OUTPUT",RECORD!GK348,H$10="LAB",BP346,TRUE(),"")),"")</x:f>
      </x:c>
      <x:c r="I346" s="106" t="str">
        <x:f t="shared" si="117"/>
      </x:c>
      <x:c r="J346" s="108" t="str">
        <x:f t="shared" si="118"/>
      </x:c>
      <x:c r="K346" s="109" t="str">
        <x:f t="shared" si="119"/>
      </x:c>
      <x:c r="L346" s="110" t="str">
        <x:f t="array" ref="L346">IF(C346&lt;&gt;"",_xlfn.IFS(L$10="TLA",RECORD!GY348,N$10="LECTURE","",TRUE(),""),"")</x:f>
      </x:c>
      <x:c r="M346" s="105" t="str">
        <x:f t="shared" si="120"/>
      </x:c>
      <x:c r="N346" s="104" t="str">
        <x:f t="array" ref="N346">IF(C346&lt;&gt;"",_xlfn.IFS(N$10="AT",RECORD!GS348,N$10="LECTURE",AX346,TRUE(),""),"")</x:f>
      </x:c>
      <x:c r="O346" s="106" t="str">
        <x:f t="shared" si="121"/>
      </x:c>
      <x:c r="P346" s="107" t="str">
        <x:f t="array" ref="P346">IF(C346&lt;&gt;"",_xlfn.IFS(P$10="EXAM",RECORD!GT348,P$10="OUTPUT",RECORD!GU348,P$10="LAB",BX346,TRUE(),""),"")</x:f>
      </x:c>
      <x:c r="Q346" s="106" t="str">
        <x:f t="shared" si="122"/>
      </x:c>
      <x:c r="R346" s="108" t="str">
        <x:f t="shared" si="123"/>
      </x:c>
      <x:c r="S346" s="109" t="str">
        <x:f t="shared" si="124"/>
      </x:c>
      <x:c r="T346" s="110" t="str">
        <x:f t="array" ref="T346">IF(C346&lt;&gt;"",_xlfn.IFS(T$10="TLA",RECORD!HI348,V$10="LECTURE","",TRUE(),""),"")</x:f>
      </x:c>
      <x:c r="U346" s="105" t="str">
        <x:f t="shared" si="125"/>
      </x:c>
      <x:c r="V346" s="104" t="str">
        <x:f t="array" ref="V346">IF(C346&lt;&gt;"",_xlfn.IFS(V$10="AT",RECORD!HC348,V$10="LECTURE",BF346,TRUE(),""),"")</x:f>
      </x:c>
      <x:c r="W346" s="106" t="str">
        <x:f t="shared" si="126"/>
      </x:c>
      <x:c r="X346" s="107" t="str">
        <x:f t="array" ref="X346">IF(C346&lt;&gt;"",_xlfn.IFS(X$10="EXAM",RECORD!HD348,X$10="OUTPUT",RECORD!HE348,X$10="LAB",CF346,TRUE(),""),"")</x:f>
      </x:c>
      <x:c r="Y346" s="106" t="str">
        <x:f t="shared" si="127"/>
      </x:c>
      <x:c r="Z346" s="108" t="str">
        <x:f t="shared" si="128"/>
      </x:c>
      <x:c r="AA346" s="109" t="str">
        <x:f t="shared" si="129"/>
      </x:c>
      <x:c r="AB346" s="111" t="str">
        <x:f t="shared" si="130"/>
      </x:c>
      <x:c r="AC346" s="109" t="str">
        <x:f t="shared" si="131"/>
      </x:c>
      <x:c r="AQ346" s="109" t="str">
        <x:f t="shared" si="132"/>
        <x:v>FAILED</x:v>
      </x:c>
      <x:c r="AR346" s="115"/>
      <x:c r="AS346" s="115"/>
      <x:c r="AT346" s="107"/>
      <x:c r="AU346" s="107"/>
      <x:c r="AV346" s="107"/>
      <x:c r="AW346" s="107"/>
      <x:c r="AX346" s="107"/>
      <x:c r="AY346" s="109" t="str">
        <x:f t="shared" si="133"/>
        <x:v>FAILED</x:v>
      </x:c>
      <x:c r="AZ346" s="115"/>
      <x:c r="BA346" s="115"/>
      <x:c r="BB346" s="107"/>
      <x:c r="BC346" s="107"/>
      <x:c r="BD346" s="107"/>
      <x:c r="BE346" s="107"/>
      <x:c r="BF346" s="107"/>
      <x:c r="BG346" s="109" t="str">
        <x:f t="shared" si="134"/>
        <x:v>FAILED</x:v>
      </x:c>
      <x:c r="BQ346" s="109" t="str">
        <x:f t="shared" si="135"/>
        <x:v>FAILED</x:v>
      </x:c>
      <x:c r="BR346" s="115"/>
      <x:c r="BS346" s="115"/>
      <x:c r="BT346" s="107"/>
      <x:c r="BU346" s="107"/>
      <x:c r="BV346" s="107"/>
      <x:c r="BW346" s="107"/>
      <x:c r="BX346" s="107"/>
      <x:c r="BY346" s="109" t="str">
        <x:f t="shared" si="136"/>
        <x:v>FAILED</x:v>
      </x:c>
      <x:c r="BZ346" s="115"/>
      <x:c r="CA346" s="115"/>
      <x:c r="CB346" s="107"/>
      <x:c r="CC346" s="107"/>
      <x:c r="CD346" s="107"/>
      <x:c r="CE346" s="107"/>
      <x:c r="CF346" s="107"/>
      <x:c r="CG346" s="109" t="str">
        <x:f t="shared" si="137"/>
        <x:v>FAILED</x:v>
      </x:c>
    </x:row>
    <x:row r="347">
      <x:c r="A347" s="102" t="str">
        <x:f>IF(RECORD!A349="","",RECORD!A349)</x:f>
      </x:c>
      <x:c r="B347" s="102" t="str">
        <x:f>IF(RECORD!B349="","",RECORD!B349)</x:f>
      </x:c>
      <x:c r="C347" s="103" t="str">
        <x:f>IF(RECORD!C349="","",RECORD!C349)</x:f>
      </x:c>
      <x:c r="D347" s="104" t="str">
        <x:f t="array" ref="D347">IF(C347&lt;&gt;"",IF(F$7="SUMMER","N/A",_xlfn.IFS(D$10="TLA",RECORD!GO349,F$10="LECTURE","",TRUE(),"")),"")</x:f>
      </x:c>
      <x:c r="E347" s="105" t="str">
        <x:f t="shared" si="115"/>
      </x:c>
      <x:c r="F347" s="104" t="str">
        <x:f t="array" ref="F347">IF(C347&lt;&gt;"",IF(F$7="SUMMER","N/A",_xlfn.IFS(F$10="AT",RECORD!GI349,F$10="LECTURE",GRADES!AP347,TRUE(),"")),"")</x:f>
      </x:c>
      <x:c r="G347" s="106" t="str">
        <x:f t="shared" si="116"/>
      </x:c>
      <x:c r="H347" s="107" t="str">
        <x:f t="array" ref="H347">IF(C347&lt;&gt;"",IF(F$7="SUMMER","N/A",_xlfn.IFS(H$10="EXAM",RECORD!GJ349,H$10="OUTPUT",RECORD!GK349,H$10="LAB",BP347,TRUE(),"")),"")</x:f>
      </x:c>
      <x:c r="I347" s="106" t="str">
        <x:f t="shared" si="117"/>
      </x:c>
      <x:c r="J347" s="108" t="str">
        <x:f t="shared" si="118"/>
      </x:c>
      <x:c r="K347" s="109" t="str">
        <x:f t="shared" si="119"/>
      </x:c>
      <x:c r="L347" s="110" t="str">
        <x:f t="array" ref="L347">IF(C347&lt;&gt;"",_xlfn.IFS(L$10="TLA",RECORD!GY349,N$10="LECTURE","",TRUE(),""),"")</x:f>
      </x:c>
      <x:c r="M347" s="105" t="str">
        <x:f t="shared" si="120"/>
      </x:c>
      <x:c r="N347" s="104" t="str">
        <x:f t="array" ref="N347">IF(C347&lt;&gt;"",_xlfn.IFS(N$10="AT",RECORD!GS349,N$10="LECTURE",AX347,TRUE(),""),"")</x:f>
      </x:c>
      <x:c r="O347" s="106" t="str">
        <x:f t="shared" si="121"/>
      </x:c>
      <x:c r="P347" s="107" t="str">
        <x:f t="array" ref="P347">IF(C347&lt;&gt;"",_xlfn.IFS(P$10="EXAM",RECORD!GT349,P$10="OUTPUT",RECORD!GU349,P$10="LAB",BX347,TRUE(),""),"")</x:f>
      </x:c>
      <x:c r="Q347" s="106" t="str">
        <x:f t="shared" si="122"/>
      </x:c>
      <x:c r="R347" s="108" t="str">
        <x:f t="shared" si="123"/>
      </x:c>
      <x:c r="S347" s="109" t="str">
        <x:f t="shared" si="124"/>
      </x:c>
      <x:c r="T347" s="110" t="str">
        <x:f t="array" ref="T347">IF(C347&lt;&gt;"",_xlfn.IFS(T$10="TLA",RECORD!HI349,V$10="LECTURE","",TRUE(),""),"")</x:f>
      </x:c>
      <x:c r="U347" s="105" t="str">
        <x:f t="shared" si="125"/>
      </x:c>
      <x:c r="V347" s="104" t="str">
        <x:f t="array" ref="V347">IF(C347&lt;&gt;"",_xlfn.IFS(V$10="AT",RECORD!HC349,V$10="LECTURE",BF347,TRUE(),""),"")</x:f>
      </x:c>
      <x:c r="W347" s="106" t="str">
        <x:f t="shared" si="126"/>
      </x:c>
      <x:c r="X347" s="107" t="str">
        <x:f t="array" ref="X347">IF(C347&lt;&gt;"",_xlfn.IFS(X$10="EXAM",RECORD!HD349,X$10="OUTPUT",RECORD!HE349,X$10="LAB",CF347,TRUE(),""),"")</x:f>
      </x:c>
      <x:c r="Y347" s="106" t="str">
        <x:f t="shared" si="127"/>
      </x:c>
      <x:c r="Z347" s="108" t="str">
        <x:f t="shared" si="128"/>
      </x:c>
      <x:c r="AA347" s="109" t="str">
        <x:f t="shared" si="129"/>
      </x:c>
      <x:c r="AB347" s="111" t="str">
        <x:f t="shared" si="130"/>
      </x:c>
      <x:c r="AC347" s="109" t="str">
        <x:f t="shared" si="131"/>
      </x:c>
      <x:c r="AQ347" s="109" t="str">
        <x:f t="shared" si="132"/>
        <x:v>FAILED</x:v>
      </x:c>
      <x:c r="AR347" s="115"/>
      <x:c r="AS347" s="115"/>
      <x:c r="AT347" s="107"/>
      <x:c r="AU347" s="107"/>
      <x:c r="AV347" s="107"/>
      <x:c r="AW347" s="107"/>
      <x:c r="AX347" s="107"/>
      <x:c r="AY347" s="109" t="str">
        <x:f t="shared" si="133"/>
        <x:v>FAILED</x:v>
      </x:c>
      <x:c r="AZ347" s="115"/>
      <x:c r="BA347" s="115"/>
      <x:c r="BB347" s="107"/>
      <x:c r="BC347" s="107"/>
      <x:c r="BD347" s="107"/>
      <x:c r="BE347" s="107"/>
      <x:c r="BF347" s="107"/>
      <x:c r="BG347" s="109" t="str">
        <x:f t="shared" si="134"/>
        <x:v>FAILED</x:v>
      </x:c>
      <x:c r="BQ347" s="109" t="str">
        <x:f t="shared" si="135"/>
        <x:v>FAILED</x:v>
      </x:c>
      <x:c r="BR347" s="115"/>
      <x:c r="BS347" s="115"/>
      <x:c r="BT347" s="107"/>
      <x:c r="BU347" s="107"/>
      <x:c r="BV347" s="107"/>
      <x:c r="BW347" s="107"/>
      <x:c r="BX347" s="107"/>
      <x:c r="BY347" s="109" t="str">
        <x:f t="shared" si="136"/>
        <x:v>FAILED</x:v>
      </x:c>
      <x:c r="BZ347" s="115"/>
      <x:c r="CA347" s="115"/>
      <x:c r="CB347" s="107"/>
      <x:c r="CC347" s="107"/>
      <x:c r="CD347" s="107"/>
      <x:c r="CE347" s="107"/>
      <x:c r="CF347" s="107"/>
      <x:c r="CG347" s="109" t="str">
        <x:f t="shared" si="137"/>
        <x:v>FAILED</x:v>
      </x:c>
    </x:row>
    <x:row r="348">
      <x:c r="A348" s="102" t="str">
        <x:f>IF(RECORD!A350="","",RECORD!A350)</x:f>
      </x:c>
      <x:c r="B348" s="102" t="str">
        <x:f>IF(RECORD!B350="","",RECORD!B350)</x:f>
      </x:c>
      <x:c r="C348" s="103" t="str">
        <x:f>IF(RECORD!C350="","",RECORD!C350)</x:f>
      </x:c>
      <x:c r="D348" s="104" t="str">
        <x:f t="array" ref="D348">IF(C348&lt;&gt;"",IF(F$7="SUMMER","N/A",_xlfn.IFS(D$10="TLA",RECORD!GO350,F$10="LECTURE","",TRUE(),"")),"")</x:f>
      </x:c>
      <x:c r="E348" s="105" t="str">
        <x:f t="shared" si="115"/>
      </x:c>
      <x:c r="F348" s="104" t="str">
        <x:f t="array" ref="F348">IF(C348&lt;&gt;"",IF(F$7="SUMMER","N/A",_xlfn.IFS(F$10="AT",RECORD!GI350,F$10="LECTURE",GRADES!AP348,TRUE(),"")),"")</x:f>
      </x:c>
      <x:c r="G348" s="106" t="str">
        <x:f t="shared" si="116"/>
      </x:c>
      <x:c r="H348" s="107" t="str">
        <x:f t="array" ref="H348">IF(C348&lt;&gt;"",IF(F$7="SUMMER","N/A",_xlfn.IFS(H$10="EXAM",RECORD!GJ350,H$10="OUTPUT",RECORD!GK350,H$10="LAB",BP348,TRUE(),"")),"")</x:f>
      </x:c>
      <x:c r="I348" s="106" t="str">
        <x:f t="shared" si="117"/>
      </x:c>
      <x:c r="J348" s="108" t="str">
        <x:f t="shared" si="118"/>
      </x:c>
      <x:c r="K348" s="109" t="str">
        <x:f t="shared" si="119"/>
      </x:c>
      <x:c r="L348" s="110" t="str">
        <x:f t="array" ref="L348">IF(C348&lt;&gt;"",_xlfn.IFS(L$10="TLA",RECORD!GY350,N$10="LECTURE","",TRUE(),""),"")</x:f>
      </x:c>
      <x:c r="M348" s="105" t="str">
        <x:f t="shared" si="120"/>
      </x:c>
      <x:c r="N348" s="104" t="str">
        <x:f t="array" ref="N348">IF(C348&lt;&gt;"",_xlfn.IFS(N$10="AT",RECORD!GS350,N$10="LECTURE",AX348,TRUE(),""),"")</x:f>
      </x:c>
      <x:c r="O348" s="106" t="str">
        <x:f t="shared" si="121"/>
      </x:c>
      <x:c r="P348" s="107" t="str">
        <x:f t="array" ref="P348">IF(C348&lt;&gt;"",_xlfn.IFS(P$10="EXAM",RECORD!GT350,P$10="OUTPUT",RECORD!GU350,P$10="LAB",BX348,TRUE(),""),"")</x:f>
      </x:c>
      <x:c r="Q348" s="106" t="str">
        <x:f t="shared" si="122"/>
      </x:c>
      <x:c r="R348" s="108" t="str">
        <x:f t="shared" si="123"/>
      </x:c>
      <x:c r="S348" s="109" t="str">
        <x:f t="shared" si="124"/>
      </x:c>
      <x:c r="T348" s="110" t="str">
        <x:f t="array" ref="T348">IF(C348&lt;&gt;"",_xlfn.IFS(T$10="TLA",RECORD!HI350,V$10="LECTURE","",TRUE(),""),"")</x:f>
      </x:c>
      <x:c r="U348" s="105" t="str">
        <x:f t="shared" si="125"/>
      </x:c>
      <x:c r="V348" s="104" t="str">
        <x:f t="array" ref="V348">IF(C348&lt;&gt;"",_xlfn.IFS(V$10="AT",RECORD!HC350,V$10="LECTURE",BF348,TRUE(),""),"")</x:f>
      </x:c>
      <x:c r="W348" s="106" t="str">
        <x:f t="shared" si="126"/>
      </x:c>
      <x:c r="X348" s="107" t="str">
        <x:f t="array" ref="X348">IF(C348&lt;&gt;"",_xlfn.IFS(X$10="EXAM",RECORD!HD350,X$10="OUTPUT",RECORD!HE350,X$10="LAB",CF348,TRUE(),""),"")</x:f>
      </x:c>
      <x:c r="Y348" s="106" t="str">
        <x:f t="shared" si="127"/>
      </x:c>
      <x:c r="Z348" s="108" t="str">
        <x:f t="shared" si="128"/>
      </x:c>
      <x:c r="AA348" s="109" t="str">
        <x:f t="shared" si="129"/>
      </x:c>
      <x:c r="AB348" s="111" t="str">
        <x:f t="shared" si="130"/>
      </x:c>
      <x:c r="AC348" s="109" t="str">
        <x:f t="shared" si="131"/>
      </x:c>
      <x:c r="AQ348" s="109" t="str">
        <x:f t="shared" si="132"/>
        <x:v>FAILED</x:v>
      </x:c>
      <x:c r="AR348" s="115"/>
      <x:c r="AS348" s="115"/>
      <x:c r="AT348" s="107"/>
      <x:c r="AU348" s="107"/>
      <x:c r="AV348" s="107"/>
      <x:c r="AW348" s="107"/>
      <x:c r="AX348" s="107"/>
      <x:c r="AY348" s="109" t="str">
        <x:f t="shared" si="133"/>
        <x:v>FAILED</x:v>
      </x:c>
      <x:c r="AZ348" s="115"/>
      <x:c r="BA348" s="115"/>
      <x:c r="BB348" s="107"/>
      <x:c r="BC348" s="107"/>
      <x:c r="BD348" s="107"/>
      <x:c r="BE348" s="107"/>
      <x:c r="BF348" s="107"/>
      <x:c r="BG348" s="109" t="str">
        <x:f t="shared" si="134"/>
        <x:v>FAILED</x:v>
      </x:c>
      <x:c r="BQ348" s="109" t="str">
        <x:f t="shared" si="135"/>
        <x:v>FAILED</x:v>
      </x:c>
      <x:c r="BR348" s="115"/>
      <x:c r="BS348" s="115"/>
      <x:c r="BT348" s="107"/>
      <x:c r="BU348" s="107"/>
      <x:c r="BV348" s="107"/>
      <x:c r="BW348" s="107"/>
      <x:c r="BX348" s="107"/>
      <x:c r="BY348" s="109" t="str">
        <x:f t="shared" si="136"/>
        <x:v>FAILED</x:v>
      </x:c>
      <x:c r="BZ348" s="115"/>
      <x:c r="CA348" s="115"/>
      <x:c r="CB348" s="107"/>
      <x:c r="CC348" s="107"/>
      <x:c r="CD348" s="107"/>
      <x:c r="CE348" s="107"/>
      <x:c r="CF348" s="107"/>
      <x:c r="CG348" s="109" t="str">
        <x:f t="shared" si="137"/>
        <x:v>FAILED</x:v>
      </x:c>
    </x:row>
    <x:row r="349">
      <x:c r="A349" s="102" t="str">
        <x:f>IF(RECORD!A351="","",RECORD!A351)</x:f>
      </x:c>
      <x:c r="B349" s="102" t="str">
        <x:f>IF(RECORD!B351="","",RECORD!B351)</x:f>
      </x:c>
      <x:c r="C349" s="103" t="str">
        <x:f>IF(RECORD!C351="","",RECORD!C351)</x:f>
      </x:c>
      <x:c r="D349" s="104" t="str">
        <x:f t="array" ref="D349">IF(C349&lt;&gt;"",IF(F$7="SUMMER","N/A",_xlfn.IFS(D$10="TLA",RECORD!GO351,F$10="LECTURE","",TRUE(),"")),"")</x:f>
      </x:c>
      <x:c r="E349" s="105" t="str">
        <x:f t="shared" si="115"/>
      </x:c>
      <x:c r="F349" s="104" t="str">
        <x:f t="array" ref="F349">IF(C349&lt;&gt;"",IF(F$7="SUMMER","N/A",_xlfn.IFS(F$10="AT",RECORD!GI351,F$10="LECTURE",GRADES!AP349,TRUE(),"")),"")</x:f>
      </x:c>
      <x:c r="G349" s="106" t="str">
        <x:f t="shared" si="116"/>
      </x:c>
      <x:c r="H349" s="107" t="str">
        <x:f t="array" ref="H349">IF(C349&lt;&gt;"",IF(F$7="SUMMER","N/A",_xlfn.IFS(H$10="EXAM",RECORD!GJ351,H$10="OUTPUT",RECORD!GK351,H$10="LAB",BP349,TRUE(),"")),"")</x:f>
      </x:c>
      <x:c r="I349" s="106" t="str">
        <x:f t="shared" si="117"/>
      </x:c>
      <x:c r="J349" s="108" t="str">
        <x:f t="shared" si="118"/>
      </x:c>
      <x:c r="K349" s="109" t="str">
        <x:f t="shared" si="119"/>
      </x:c>
      <x:c r="L349" s="110" t="str">
        <x:f t="array" ref="L349">IF(C349&lt;&gt;"",_xlfn.IFS(L$10="TLA",RECORD!GY351,N$10="LECTURE","",TRUE(),""),"")</x:f>
      </x:c>
      <x:c r="M349" s="105" t="str">
        <x:f t="shared" si="120"/>
      </x:c>
      <x:c r="N349" s="104" t="str">
        <x:f t="array" ref="N349">IF(C349&lt;&gt;"",_xlfn.IFS(N$10="AT",RECORD!GS351,N$10="LECTURE",AX349,TRUE(),""),"")</x:f>
      </x:c>
      <x:c r="O349" s="106" t="str">
        <x:f t="shared" si="121"/>
      </x:c>
      <x:c r="P349" s="107" t="str">
        <x:f t="array" ref="P349">IF(C349&lt;&gt;"",_xlfn.IFS(P$10="EXAM",RECORD!GT351,P$10="OUTPUT",RECORD!GU351,P$10="LAB",BX349,TRUE(),""),"")</x:f>
      </x:c>
      <x:c r="Q349" s="106" t="str">
        <x:f t="shared" si="122"/>
      </x:c>
      <x:c r="R349" s="108" t="str">
        <x:f t="shared" si="123"/>
      </x:c>
      <x:c r="S349" s="109" t="str">
        <x:f t="shared" si="124"/>
      </x:c>
      <x:c r="T349" s="110" t="str">
        <x:f t="array" ref="T349">IF(C349&lt;&gt;"",_xlfn.IFS(T$10="TLA",RECORD!HI351,V$10="LECTURE","",TRUE(),""),"")</x:f>
      </x:c>
      <x:c r="U349" s="105" t="str">
        <x:f t="shared" si="125"/>
      </x:c>
      <x:c r="V349" s="104" t="str">
        <x:f t="array" ref="V349">IF(C349&lt;&gt;"",_xlfn.IFS(V$10="AT",RECORD!HC351,V$10="LECTURE",BF349,TRUE(),""),"")</x:f>
      </x:c>
      <x:c r="W349" s="106" t="str">
        <x:f t="shared" si="126"/>
      </x:c>
      <x:c r="X349" s="107" t="str">
        <x:f t="array" ref="X349">IF(C349&lt;&gt;"",_xlfn.IFS(X$10="EXAM",RECORD!HD351,X$10="OUTPUT",RECORD!HE351,X$10="LAB",CF349,TRUE(),""),"")</x:f>
      </x:c>
      <x:c r="Y349" s="106" t="str">
        <x:f t="shared" si="127"/>
      </x:c>
      <x:c r="Z349" s="108" t="str">
        <x:f t="shared" si="128"/>
      </x:c>
      <x:c r="AA349" s="109" t="str">
        <x:f t="shared" si="129"/>
      </x:c>
      <x:c r="AB349" s="111" t="str">
        <x:f t="shared" si="130"/>
      </x:c>
      <x:c r="AC349" s="109" t="str">
        <x:f t="shared" si="131"/>
      </x:c>
      <x:c r="AQ349" s="109" t="str">
        <x:f t="shared" si="132"/>
        <x:v>FAILED</x:v>
      </x:c>
      <x:c r="AR349" s="115"/>
      <x:c r="AS349" s="115"/>
      <x:c r="AT349" s="107"/>
      <x:c r="AU349" s="107"/>
      <x:c r="AV349" s="107"/>
      <x:c r="AW349" s="107"/>
      <x:c r="AX349" s="107"/>
      <x:c r="AY349" s="109" t="str">
        <x:f t="shared" si="133"/>
        <x:v>FAILED</x:v>
      </x:c>
      <x:c r="AZ349" s="115"/>
      <x:c r="BA349" s="115"/>
      <x:c r="BB349" s="107"/>
      <x:c r="BC349" s="107"/>
      <x:c r="BD349" s="107"/>
      <x:c r="BE349" s="107"/>
      <x:c r="BF349" s="107"/>
      <x:c r="BG349" s="109" t="str">
        <x:f t="shared" si="134"/>
        <x:v>FAILED</x:v>
      </x:c>
      <x:c r="BQ349" s="109" t="str">
        <x:f t="shared" si="135"/>
        <x:v>FAILED</x:v>
      </x:c>
      <x:c r="BR349" s="115"/>
      <x:c r="BS349" s="115"/>
      <x:c r="BT349" s="107"/>
      <x:c r="BU349" s="107"/>
      <x:c r="BV349" s="107"/>
      <x:c r="BW349" s="107"/>
      <x:c r="BX349" s="107"/>
      <x:c r="BY349" s="109" t="str">
        <x:f t="shared" si="136"/>
        <x:v>FAILED</x:v>
      </x:c>
      <x:c r="BZ349" s="115"/>
      <x:c r="CA349" s="115"/>
      <x:c r="CB349" s="107"/>
      <x:c r="CC349" s="107"/>
      <x:c r="CD349" s="107"/>
      <x:c r="CE349" s="107"/>
      <x:c r="CF349" s="107"/>
      <x:c r="CG349" s="109" t="str">
        <x:f t="shared" si="137"/>
        <x:v>FAILED</x:v>
      </x:c>
    </x:row>
    <x:row r="350">
      <x:c r="A350" s="102" t="str">
        <x:f>IF(RECORD!A352="","",RECORD!A352)</x:f>
      </x:c>
      <x:c r="B350" s="102" t="str">
        <x:f>IF(RECORD!B352="","",RECORD!B352)</x:f>
      </x:c>
      <x:c r="C350" s="103" t="str">
        <x:f>IF(RECORD!C352="","",RECORD!C352)</x:f>
      </x:c>
      <x:c r="D350" s="104" t="str">
        <x:f t="array" ref="D350">IF(C350&lt;&gt;"",IF(F$7="SUMMER","N/A",_xlfn.IFS(D$10="TLA",RECORD!GO352,F$10="LECTURE","",TRUE(),"")),"")</x:f>
      </x:c>
      <x:c r="E350" s="105" t="str">
        <x:f t="shared" si="115"/>
      </x:c>
      <x:c r="F350" s="104" t="str">
        <x:f t="array" ref="F350">IF(C350&lt;&gt;"",IF(F$7="SUMMER","N/A",_xlfn.IFS(F$10="AT",RECORD!GI352,F$10="LECTURE",GRADES!AP350,TRUE(),"")),"")</x:f>
      </x:c>
      <x:c r="G350" s="106" t="str">
        <x:f t="shared" si="116"/>
      </x:c>
      <x:c r="H350" s="107" t="str">
        <x:f t="array" ref="H350">IF(C350&lt;&gt;"",IF(F$7="SUMMER","N/A",_xlfn.IFS(H$10="EXAM",RECORD!GJ352,H$10="OUTPUT",RECORD!GK352,H$10="LAB",BP350,TRUE(),"")),"")</x:f>
      </x:c>
      <x:c r="I350" s="106" t="str">
        <x:f t="shared" si="117"/>
      </x:c>
      <x:c r="J350" s="108" t="str">
        <x:f t="shared" si="118"/>
      </x:c>
      <x:c r="K350" s="109" t="str">
        <x:f t="shared" si="119"/>
      </x:c>
      <x:c r="L350" s="110" t="str">
        <x:f t="array" ref="L350">IF(C350&lt;&gt;"",_xlfn.IFS(L$10="TLA",RECORD!GY352,N$10="LECTURE","",TRUE(),""),"")</x:f>
      </x:c>
      <x:c r="M350" s="105" t="str">
        <x:f t="shared" si="120"/>
      </x:c>
      <x:c r="N350" s="104" t="str">
        <x:f t="array" ref="N350">IF(C350&lt;&gt;"",_xlfn.IFS(N$10="AT",RECORD!GS352,N$10="LECTURE",AX350,TRUE(),""),"")</x:f>
      </x:c>
      <x:c r="O350" s="106" t="str">
        <x:f t="shared" si="121"/>
      </x:c>
      <x:c r="P350" s="107" t="str">
        <x:f t="array" ref="P350">IF(C350&lt;&gt;"",_xlfn.IFS(P$10="EXAM",RECORD!GT352,P$10="OUTPUT",RECORD!GU352,P$10="LAB",BX350,TRUE(),""),"")</x:f>
      </x:c>
      <x:c r="Q350" s="106" t="str">
        <x:f t="shared" si="122"/>
      </x:c>
      <x:c r="R350" s="108" t="str">
        <x:f t="shared" si="123"/>
      </x:c>
      <x:c r="S350" s="109" t="str">
        <x:f t="shared" si="124"/>
      </x:c>
      <x:c r="T350" s="110" t="str">
        <x:f t="array" ref="T350">IF(C350&lt;&gt;"",_xlfn.IFS(T$10="TLA",RECORD!HI352,V$10="LECTURE","",TRUE(),""),"")</x:f>
      </x:c>
      <x:c r="U350" s="105" t="str">
        <x:f t="shared" si="125"/>
      </x:c>
      <x:c r="V350" s="104" t="str">
        <x:f t="array" ref="V350">IF(C350&lt;&gt;"",_xlfn.IFS(V$10="AT",RECORD!HC352,V$10="LECTURE",BF350,TRUE(),""),"")</x:f>
      </x:c>
      <x:c r="W350" s="106" t="str">
        <x:f t="shared" si="126"/>
      </x:c>
      <x:c r="X350" s="107" t="str">
        <x:f t="array" ref="X350">IF(C350&lt;&gt;"",_xlfn.IFS(X$10="EXAM",RECORD!HD352,X$10="OUTPUT",RECORD!HE352,X$10="LAB",CF350,TRUE(),""),"")</x:f>
      </x:c>
      <x:c r="Y350" s="106" t="str">
        <x:f t="shared" si="127"/>
      </x:c>
      <x:c r="Z350" s="108" t="str">
        <x:f t="shared" si="128"/>
      </x:c>
      <x:c r="AA350" s="109" t="str">
        <x:f t="shared" si="129"/>
      </x:c>
      <x:c r="AB350" s="111" t="str">
        <x:f t="shared" si="130"/>
      </x:c>
      <x:c r="AC350" s="109" t="str">
        <x:f t="shared" si="131"/>
      </x:c>
      <x:c r="AQ350" s="109" t="str">
        <x:f t="shared" si="132"/>
        <x:v>FAILED</x:v>
      </x:c>
      <x:c r="AR350" s="115"/>
      <x:c r="AS350" s="115"/>
      <x:c r="AT350" s="107"/>
      <x:c r="AU350" s="107"/>
      <x:c r="AV350" s="107"/>
      <x:c r="AW350" s="107"/>
      <x:c r="AX350" s="107"/>
      <x:c r="AY350" s="109" t="str">
        <x:f t="shared" si="133"/>
        <x:v>FAILED</x:v>
      </x:c>
      <x:c r="AZ350" s="115"/>
      <x:c r="BA350" s="115"/>
      <x:c r="BB350" s="107"/>
      <x:c r="BC350" s="107"/>
      <x:c r="BD350" s="107"/>
      <x:c r="BE350" s="107"/>
      <x:c r="BF350" s="107"/>
      <x:c r="BG350" s="109" t="str">
        <x:f t="shared" si="134"/>
        <x:v>FAILED</x:v>
      </x:c>
      <x:c r="BQ350" s="109" t="str">
        <x:f t="shared" si="135"/>
        <x:v>FAILED</x:v>
      </x:c>
      <x:c r="BR350" s="115"/>
      <x:c r="BS350" s="115"/>
      <x:c r="BT350" s="107"/>
      <x:c r="BU350" s="107"/>
      <x:c r="BV350" s="107"/>
      <x:c r="BW350" s="107"/>
      <x:c r="BX350" s="107"/>
      <x:c r="BY350" s="109" t="str">
        <x:f t="shared" si="136"/>
        <x:v>FAILED</x:v>
      </x:c>
      <x:c r="BZ350" s="115"/>
      <x:c r="CA350" s="115"/>
      <x:c r="CB350" s="107"/>
      <x:c r="CC350" s="107"/>
      <x:c r="CD350" s="107"/>
      <x:c r="CE350" s="107"/>
      <x:c r="CF350" s="107"/>
      <x:c r="CG350" s="109" t="str">
        <x:f t="shared" si="137"/>
        <x:v>FAILED</x:v>
      </x:c>
    </x:row>
    <x:row r="351">
      <x:c r="A351" s="102" t="str">
        <x:f>IF(RECORD!A353="","",RECORD!A353)</x:f>
      </x:c>
      <x:c r="B351" s="102" t="str">
        <x:f>IF(RECORD!B353="","",RECORD!B353)</x:f>
      </x:c>
      <x:c r="C351" s="103" t="str">
        <x:f>IF(RECORD!C353="","",RECORD!C353)</x:f>
      </x:c>
      <x:c r="D351" s="104" t="str">
        <x:f t="array" ref="D351">IF(C351&lt;&gt;"",IF(F$7="SUMMER","N/A",_xlfn.IFS(D$10="TLA",RECORD!GO353,F$10="LECTURE","",TRUE(),"")),"")</x:f>
      </x:c>
      <x:c r="E351" s="105" t="str">
        <x:f t="shared" si="115"/>
      </x:c>
      <x:c r="F351" s="104" t="str">
        <x:f t="array" ref="F351">IF(C351&lt;&gt;"",IF(F$7="SUMMER","N/A",_xlfn.IFS(F$10="AT",RECORD!GI353,F$10="LECTURE",GRADES!AP351,TRUE(),"")),"")</x:f>
      </x:c>
      <x:c r="G351" s="106" t="str">
        <x:f t="shared" si="116"/>
      </x:c>
      <x:c r="H351" s="107" t="str">
        <x:f t="array" ref="H351">IF(C351&lt;&gt;"",IF(F$7="SUMMER","N/A",_xlfn.IFS(H$10="EXAM",RECORD!GJ353,H$10="OUTPUT",RECORD!GK353,H$10="LAB",BP351,TRUE(),"")),"")</x:f>
      </x:c>
      <x:c r="I351" s="106" t="str">
        <x:f t="shared" si="117"/>
      </x:c>
      <x:c r="J351" s="108" t="str">
        <x:f t="shared" si="118"/>
      </x:c>
      <x:c r="K351" s="109" t="str">
        <x:f t="shared" si="119"/>
      </x:c>
      <x:c r="L351" s="110" t="str">
        <x:f t="array" ref="L351">IF(C351&lt;&gt;"",_xlfn.IFS(L$10="TLA",RECORD!GY353,N$10="LECTURE","",TRUE(),""),"")</x:f>
      </x:c>
      <x:c r="M351" s="105" t="str">
        <x:f t="shared" si="120"/>
      </x:c>
      <x:c r="N351" s="104" t="str">
        <x:f t="array" ref="N351">IF(C351&lt;&gt;"",_xlfn.IFS(N$10="AT",RECORD!GS353,N$10="LECTURE",AX351,TRUE(),""),"")</x:f>
      </x:c>
      <x:c r="O351" s="106" t="str">
        <x:f t="shared" si="121"/>
      </x:c>
      <x:c r="P351" s="107" t="str">
        <x:f t="array" ref="P351">IF(C351&lt;&gt;"",_xlfn.IFS(P$10="EXAM",RECORD!GT353,P$10="OUTPUT",RECORD!GU353,P$10="LAB",BX351,TRUE(),""),"")</x:f>
      </x:c>
      <x:c r="Q351" s="106" t="str">
        <x:f t="shared" si="122"/>
      </x:c>
      <x:c r="R351" s="108" t="str">
        <x:f t="shared" si="123"/>
      </x:c>
      <x:c r="S351" s="109" t="str">
        <x:f t="shared" si="124"/>
      </x:c>
      <x:c r="T351" s="110" t="str">
        <x:f t="array" ref="T351">IF(C351&lt;&gt;"",_xlfn.IFS(T$10="TLA",RECORD!HI353,V$10="LECTURE","",TRUE(),""),"")</x:f>
      </x:c>
      <x:c r="U351" s="105" t="str">
        <x:f t="shared" si="125"/>
      </x:c>
      <x:c r="V351" s="104" t="str">
        <x:f t="array" ref="V351">IF(C351&lt;&gt;"",_xlfn.IFS(V$10="AT",RECORD!HC353,V$10="LECTURE",BF351,TRUE(),""),"")</x:f>
      </x:c>
      <x:c r="W351" s="106" t="str">
        <x:f t="shared" si="126"/>
      </x:c>
      <x:c r="X351" s="107" t="str">
        <x:f t="array" ref="X351">IF(C351&lt;&gt;"",_xlfn.IFS(X$10="EXAM",RECORD!HD353,X$10="OUTPUT",RECORD!HE353,X$10="LAB",CF351,TRUE(),""),"")</x:f>
      </x:c>
      <x:c r="Y351" s="106" t="str">
        <x:f t="shared" si="127"/>
      </x:c>
      <x:c r="Z351" s="108" t="str">
        <x:f t="shared" si="128"/>
      </x:c>
      <x:c r="AA351" s="109" t="str">
        <x:f t="shared" si="129"/>
      </x:c>
      <x:c r="AB351" s="111" t="str">
        <x:f t="shared" si="130"/>
      </x:c>
      <x:c r="AC351" s="109" t="str">
        <x:f t="shared" si="131"/>
      </x:c>
      <x:c r="AQ351" s="109" t="str">
        <x:f t="shared" si="132"/>
        <x:v>FAILED</x:v>
      </x:c>
      <x:c r="AR351" s="115"/>
      <x:c r="AS351" s="115"/>
      <x:c r="AT351" s="107"/>
      <x:c r="AU351" s="107"/>
      <x:c r="AV351" s="107"/>
      <x:c r="AW351" s="107"/>
      <x:c r="AX351" s="107"/>
      <x:c r="AY351" s="109" t="str">
        <x:f t="shared" si="133"/>
        <x:v>FAILED</x:v>
      </x:c>
      <x:c r="AZ351" s="115"/>
      <x:c r="BA351" s="115"/>
      <x:c r="BB351" s="107"/>
      <x:c r="BC351" s="107"/>
      <x:c r="BD351" s="107"/>
      <x:c r="BE351" s="107"/>
      <x:c r="BF351" s="107"/>
      <x:c r="BG351" s="109" t="str">
        <x:f t="shared" si="134"/>
        <x:v>FAILED</x:v>
      </x:c>
      <x:c r="BQ351" s="109" t="str">
        <x:f t="shared" si="135"/>
        <x:v>FAILED</x:v>
      </x:c>
      <x:c r="BR351" s="115"/>
      <x:c r="BS351" s="115"/>
      <x:c r="BT351" s="107"/>
      <x:c r="BU351" s="107"/>
      <x:c r="BV351" s="107"/>
      <x:c r="BW351" s="107"/>
      <x:c r="BX351" s="107"/>
      <x:c r="BY351" s="109" t="str">
        <x:f t="shared" si="136"/>
        <x:v>FAILED</x:v>
      </x:c>
      <x:c r="BZ351" s="115"/>
      <x:c r="CA351" s="115"/>
      <x:c r="CB351" s="107"/>
      <x:c r="CC351" s="107"/>
      <x:c r="CD351" s="107"/>
      <x:c r="CE351" s="107"/>
      <x:c r="CF351" s="107"/>
      <x:c r="CG351" s="109" t="str">
        <x:f t="shared" si="137"/>
        <x:v>FAILED</x:v>
      </x:c>
    </x:row>
    <x:row r="352">
      <x:c r="A352" s="102" t="str">
        <x:f>IF(RECORD!A354="","",RECORD!A354)</x:f>
      </x:c>
      <x:c r="B352" s="102" t="str">
        <x:f>IF(RECORD!B354="","",RECORD!B354)</x:f>
      </x:c>
      <x:c r="C352" s="103" t="str">
        <x:f>IF(RECORD!C354="","",RECORD!C354)</x:f>
      </x:c>
      <x:c r="D352" s="104" t="str">
        <x:f t="array" ref="D352">IF(C352&lt;&gt;"",IF(F$7="SUMMER","N/A",_xlfn.IFS(D$10="TLA",RECORD!GO354,F$10="LECTURE","",TRUE(),"")),"")</x:f>
      </x:c>
      <x:c r="E352" s="105" t="str">
        <x:f t="shared" si="115"/>
      </x:c>
      <x:c r="F352" s="104" t="str">
        <x:f t="array" ref="F352">IF(C352&lt;&gt;"",IF(F$7="SUMMER","N/A",_xlfn.IFS(F$10="AT",RECORD!GI354,F$10="LECTURE",GRADES!AP352,TRUE(),"")),"")</x:f>
      </x:c>
      <x:c r="G352" s="106" t="str">
        <x:f t="shared" si="116"/>
      </x:c>
      <x:c r="H352" s="107" t="str">
        <x:f t="array" ref="H352">IF(C352&lt;&gt;"",IF(F$7="SUMMER","N/A",_xlfn.IFS(H$10="EXAM",RECORD!GJ354,H$10="OUTPUT",RECORD!GK354,H$10="LAB",BP352,TRUE(),"")),"")</x:f>
      </x:c>
      <x:c r="I352" s="106" t="str">
        <x:f t="shared" si="117"/>
      </x:c>
      <x:c r="J352" s="108" t="str">
        <x:f t="shared" si="118"/>
      </x:c>
      <x:c r="K352" s="109" t="str">
        <x:f t="shared" si="119"/>
      </x:c>
      <x:c r="L352" s="110" t="str">
        <x:f t="array" ref="L352">IF(C352&lt;&gt;"",_xlfn.IFS(L$10="TLA",RECORD!GY354,N$10="LECTURE","",TRUE(),""),"")</x:f>
      </x:c>
      <x:c r="M352" s="105" t="str">
        <x:f t="shared" si="120"/>
      </x:c>
      <x:c r="N352" s="104" t="str">
        <x:f t="array" ref="N352">IF(C352&lt;&gt;"",_xlfn.IFS(N$10="AT",RECORD!GS354,N$10="LECTURE",AX352,TRUE(),""),"")</x:f>
      </x:c>
      <x:c r="O352" s="106" t="str">
        <x:f t="shared" si="121"/>
      </x:c>
      <x:c r="P352" s="107" t="str">
        <x:f t="array" ref="P352">IF(C352&lt;&gt;"",_xlfn.IFS(P$10="EXAM",RECORD!GT354,P$10="OUTPUT",RECORD!GU354,P$10="LAB",BX352,TRUE(),""),"")</x:f>
      </x:c>
      <x:c r="Q352" s="106" t="str">
        <x:f t="shared" si="122"/>
      </x:c>
      <x:c r="R352" s="108" t="str">
        <x:f t="shared" si="123"/>
      </x:c>
      <x:c r="S352" s="109" t="str">
        <x:f t="shared" si="124"/>
      </x:c>
      <x:c r="T352" s="110" t="str">
        <x:f t="array" ref="T352">IF(C352&lt;&gt;"",_xlfn.IFS(T$10="TLA",RECORD!HI354,V$10="LECTURE","",TRUE(),""),"")</x:f>
      </x:c>
      <x:c r="U352" s="105" t="str">
        <x:f t="shared" si="125"/>
      </x:c>
      <x:c r="V352" s="104" t="str">
        <x:f t="array" ref="V352">IF(C352&lt;&gt;"",_xlfn.IFS(V$10="AT",RECORD!HC354,V$10="LECTURE",BF352,TRUE(),""),"")</x:f>
      </x:c>
      <x:c r="W352" s="106" t="str">
        <x:f t="shared" si="126"/>
      </x:c>
      <x:c r="X352" s="107" t="str">
        <x:f t="array" ref="X352">IF(C352&lt;&gt;"",_xlfn.IFS(X$10="EXAM",RECORD!HD354,X$10="OUTPUT",RECORD!HE354,X$10="LAB",CF352,TRUE(),""),"")</x:f>
      </x:c>
      <x:c r="Y352" s="106" t="str">
        <x:f t="shared" si="127"/>
      </x:c>
      <x:c r="Z352" s="108" t="str">
        <x:f t="shared" si="128"/>
      </x:c>
      <x:c r="AA352" s="109" t="str">
        <x:f t="shared" si="129"/>
      </x:c>
      <x:c r="AB352" s="111" t="str">
        <x:f t="shared" si="130"/>
      </x:c>
      <x:c r="AC352" s="109" t="str">
        <x:f t="shared" si="131"/>
      </x:c>
      <x:c r="AQ352" s="109" t="str">
        <x:f t="shared" si="132"/>
        <x:v>FAILED</x:v>
      </x:c>
      <x:c r="AR352" s="115"/>
      <x:c r="AS352" s="115"/>
      <x:c r="AT352" s="107"/>
      <x:c r="AU352" s="107"/>
      <x:c r="AV352" s="107"/>
      <x:c r="AW352" s="107"/>
      <x:c r="AX352" s="107"/>
      <x:c r="AY352" s="109" t="str">
        <x:f t="shared" si="133"/>
        <x:v>FAILED</x:v>
      </x:c>
      <x:c r="AZ352" s="115"/>
      <x:c r="BA352" s="115"/>
      <x:c r="BB352" s="107"/>
      <x:c r="BC352" s="107"/>
      <x:c r="BD352" s="107"/>
      <x:c r="BE352" s="107"/>
      <x:c r="BF352" s="107"/>
      <x:c r="BG352" s="109" t="str">
        <x:f t="shared" si="134"/>
        <x:v>FAILED</x:v>
      </x:c>
      <x:c r="BQ352" s="109" t="str">
        <x:f t="shared" si="135"/>
        <x:v>FAILED</x:v>
      </x:c>
      <x:c r="BR352" s="115"/>
      <x:c r="BS352" s="115"/>
      <x:c r="BT352" s="107"/>
      <x:c r="BU352" s="107"/>
      <x:c r="BV352" s="107"/>
      <x:c r="BW352" s="107"/>
      <x:c r="BX352" s="107"/>
      <x:c r="BY352" s="109" t="str">
        <x:f t="shared" si="136"/>
        <x:v>FAILED</x:v>
      </x:c>
      <x:c r="BZ352" s="115"/>
      <x:c r="CA352" s="115"/>
      <x:c r="CB352" s="107"/>
      <x:c r="CC352" s="107"/>
      <x:c r="CD352" s="107"/>
      <x:c r="CE352" s="107"/>
      <x:c r="CF352" s="107"/>
      <x:c r="CG352" s="109" t="str">
        <x:f t="shared" si="137"/>
        <x:v>FAILED</x:v>
      </x:c>
    </x:row>
    <x:row r="353">
      <x:c r="A353" s="102" t="str">
        <x:f>IF(RECORD!A355="","",RECORD!A355)</x:f>
      </x:c>
      <x:c r="B353" s="102" t="str">
        <x:f>IF(RECORD!B355="","",RECORD!B355)</x:f>
      </x:c>
      <x:c r="C353" s="103" t="str">
        <x:f>IF(RECORD!C355="","",RECORD!C355)</x:f>
      </x:c>
      <x:c r="D353" s="104" t="str">
        <x:f t="array" ref="D353">IF(C353&lt;&gt;"",IF(F$7="SUMMER","N/A",_xlfn.IFS(D$10="TLA",RECORD!GO355,F$10="LECTURE","",TRUE(),"")),"")</x:f>
      </x:c>
      <x:c r="E353" s="105" t="str">
        <x:f t="shared" si="115"/>
      </x:c>
      <x:c r="F353" s="104" t="str">
        <x:f t="array" ref="F353">IF(C353&lt;&gt;"",IF(F$7="SUMMER","N/A",_xlfn.IFS(F$10="AT",RECORD!GI355,F$10="LECTURE",GRADES!AP353,TRUE(),"")),"")</x:f>
      </x:c>
      <x:c r="G353" s="106" t="str">
        <x:f t="shared" si="116"/>
      </x:c>
      <x:c r="H353" s="107" t="str">
        <x:f t="array" ref="H353">IF(C353&lt;&gt;"",IF(F$7="SUMMER","N/A",_xlfn.IFS(H$10="EXAM",RECORD!GJ355,H$10="OUTPUT",RECORD!GK355,H$10="LAB",BP353,TRUE(),"")),"")</x:f>
      </x:c>
      <x:c r="I353" s="106" t="str">
        <x:f t="shared" si="117"/>
      </x:c>
      <x:c r="J353" s="108" t="str">
        <x:f t="shared" si="118"/>
      </x:c>
      <x:c r="K353" s="109" t="str">
        <x:f t="shared" si="119"/>
      </x:c>
      <x:c r="L353" s="110" t="str">
        <x:f t="array" ref="L353">IF(C353&lt;&gt;"",_xlfn.IFS(L$10="TLA",RECORD!GY355,N$10="LECTURE","",TRUE(),""),"")</x:f>
      </x:c>
      <x:c r="M353" s="105" t="str">
        <x:f t="shared" si="120"/>
      </x:c>
      <x:c r="N353" s="104" t="str">
        <x:f t="array" ref="N353">IF(C353&lt;&gt;"",_xlfn.IFS(N$10="AT",RECORD!GS355,N$10="LECTURE",AX353,TRUE(),""),"")</x:f>
      </x:c>
      <x:c r="O353" s="106" t="str">
        <x:f t="shared" si="121"/>
      </x:c>
      <x:c r="P353" s="107" t="str">
        <x:f t="array" ref="P353">IF(C353&lt;&gt;"",_xlfn.IFS(P$10="EXAM",RECORD!GT355,P$10="OUTPUT",RECORD!GU355,P$10="LAB",BX353,TRUE(),""),"")</x:f>
      </x:c>
      <x:c r="Q353" s="106" t="str">
        <x:f t="shared" si="122"/>
      </x:c>
      <x:c r="R353" s="108" t="str">
        <x:f t="shared" si="123"/>
      </x:c>
      <x:c r="S353" s="109" t="str">
        <x:f t="shared" si="124"/>
      </x:c>
      <x:c r="T353" s="110" t="str">
        <x:f t="array" ref="T353">IF(C353&lt;&gt;"",_xlfn.IFS(T$10="TLA",RECORD!HI355,V$10="LECTURE","",TRUE(),""),"")</x:f>
      </x:c>
      <x:c r="U353" s="105" t="str">
        <x:f t="shared" si="125"/>
      </x:c>
      <x:c r="V353" s="104" t="str">
        <x:f t="array" ref="V353">IF(C353&lt;&gt;"",_xlfn.IFS(V$10="AT",RECORD!HC355,V$10="LECTURE",BF353,TRUE(),""),"")</x:f>
      </x:c>
      <x:c r="W353" s="106" t="str">
        <x:f t="shared" si="126"/>
      </x:c>
      <x:c r="X353" s="107" t="str">
        <x:f t="array" ref="X353">IF(C353&lt;&gt;"",_xlfn.IFS(X$10="EXAM",RECORD!HD355,X$10="OUTPUT",RECORD!HE355,X$10="LAB",CF353,TRUE(),""),"")</x:f>
      </x:c>
      <x:c r="Y353" s="106" t="str">
        <x:f t="shared" si="127"/>
      </x:c>
      <x:c r="Z353" s="108" t="str">
        <x:f t="shared" si="128"/>
      </x:c>
      <x:c r="AA353" s="109" t="str">
        <x:f t="shared" si="129"/>
      </x:c>
      <x:c r="AB353" s="111" t="str">
        <x:f t="shared" si="130"/>
      </x:c>
      <x:c r="AC353" s="109" t="str">
        <x:f t="shared" si="131"/>
      </x:c>
      <x:c r="AQ353" s="109" t="str">
        <x:f t="shared" si="132"/>
        <x:v>FAILED</x:v>
      </x:c>
      <x:c r="AR353" s="115"/>
      <x:c r="AS353" s="115"/>
      <x:c r="AT353" s="107"/>
      <x:c r="AU353" s="107"/>
      <x:c r="AV353" s="107"/>
      <x:c r="AW353" s="107"/>
      <x:c r="AX353" s="107"/>
      <x:c r="AY353" s="109" t="str">
        <x:f t="shared" si="133"/>
        <x:v>FAILED</x:v>
      </x:c>
      <x:c r="AZ353" s="115"/>
      <x:c r="BA353" s="115"/>
      <x:c r="BB353" s="107"/>
      <x:c r="BC353" s="107"/>
      <x:c r="BD353" s="107"/>
      <x:c r="BE353" s="107"/>
      <x:c r="BF353" s="107"/>
      <x:c r="BG353" s="109" t="str">
        <x:f t="shared" si="134"/>
        <x:v>FAILED</x:v>
      </x:c>
      <x:c r="BQ353" s="109" t="str">
        <x:f t="shared" si="135"/>
        <x:v>FAILED</x:v>
      </x:c>
      <x:c r="BR353" s="115"/>
      <x:c r="BS353" s="115"/>
      <x:c r="BT353" s="107"/>
      <x:c r="BU353" s="107"/>
      <x:c r="BV353" s="107"/>
      <x:c r="BW353" s="107"/>
      <x:c r="BX353" s="107"/>
      <x:c r="BY353" s="109" t="str">
        <x:f t="shared" si="136"/>
        <x:v>FAILED</x:v>
      </x:c>
      <x:c r="BZ353" s="115"/>
      <x:c r="CA353" s="115"/>
      <x:c r="CB353" s="107"/>
      <x:c r="CC353" s="107"/>
      <x:c r="CD353" s="107"/>
      <x:c r="CE353" s="107"/>
      <x:c r="CF353" s="107"/>
      <x:c r="CG353" s="109" t="str">
        <x:f t="shared" si="137"/>
        <x:v>FAILED</x:v>
      </x:c>
    </x:row>
    <x:row r="354">
      <x:c r="A354" s="102" t="str">
        <x:f>IF(RECORD!A356="","",RECORD!A356)</x:f>
      </x:c>
      <x:c r="B354" s="102" t="str">
        <x:f>IF(RECORD!B356="","",RECORD!B356)</x:f>
      </x:c>
      <x:c r="C354" s="103" t="str">
        <x:f>IF(RECORD!C356="","",RECORD!C356)</x:f>
      </x:c>
      <x:c r="D354" s="104" t="str">
        <x:f t="array" ref="D354">IF(C354&lt;&gt;"",IF(F$7="SUMMER","N/A",_xlfn.IFS(D$10="TLA",RECORD!GO356,F$10="LECTURE","",TRUE(),"")),"")</x:f>
      </x:c>
      <x:c r="E354" s="105" t="str">
        <x:f t="shared" si="115"/>
      </x:c>
      <x:c r="F354" s="104" t="str">
        <x:f t="array" ref="F354">IF(C354&lt;&gt;"",IF(F$7="SUMMER","N/A",_xlfn.IFS(F$10="AT",RECORD!GI356,F$10="LECTURE",GRADES!AP354,TRUE(),"")),"")</x:f>
      </x:c>
      <x:c r="G354" s="106" t="str">
        <x:f t="shared" si="116"/>
      </x:c>
      <x:c r="H354" s="107" t="str">
        <x:f t="array" ref="H354">IF(C354&lt;&gt;"",IF(F$7="SUMMER","N/A",_xlfn.IFS(H$10="EXAM",RECORD!GJ356,H$10="OUTPUT",RECORD!GK356,H$10="LAB",BP354,TRUE(),"")),"")</x:f>
      </x:c>
      <x:c r="I354" s="106" t="str">
        <x:f t="shared" si="117"/>
      </x:c>
      <x:c r="J354" s="108" t="str">
        <x:f t="shared" si="118"/>
      </x:c>
      <x:c r="K354" s="109" t="str">
        <x:f t="shared" si="119"/>
      </x:c>
      <x:c r="L354" s="110" t="str">
        <x:f t="array" ref="L354">IF(C354&lt;&gt;"",_xlfn.IFS(L$10="TLA",RECORD!GY356,N$10="LECTURE","",TRUE(),""),"")</x:f>
      </x:c>
      <x:c r="M354" s="105" t="str">
        <x:f t="shared" si="120"/>
      </x:c>
      <x:c r="N354" s="104" t="str">
        <x:f t="array" ref="N354">IF(C354&lt;&gt;"",_xlfn.IFS(N$10="AT",RECORD!GS356,N$10="LECTURE",AX354,TRUE(),""),"")</x:f>
      </x:c>
      <x:c r="O354" s="106" t="str">
        <x:f t="shared" si="121"/>
      </x:c>
      <x:c r="P354" s="107" t="str">
        <x:f t="array" ref="P354">IF(C354&lt;&gt;"",_xlfn.IFS(P$10="EXAM",RECORD!GT356,P$10="OUTPUT",RECORD!GU356,P$10="LAB",BX354,TRUE(),""),"")</x:f>
      </x:c>
      <x:c r="Q354" s="106" t="str">
        <x:f t="shared" si="122"/>
      </x:c>
      <x:c r="R354" s="108" t="str">
        <x:f t="shared" si="123"/>
      </x:c>
      <x:c r="S354" s="109" t="str">
        <x:f t="shared" si="124"/>
      </x:c>
      <x:c r="T354" s="110" t="str">
        <x:f t="array" ref="T354">IF(C354&lt;&gt;"",_xlfn.IFS(T$10="TLA",RECORD!HI356,V$10="LECTURE","",TRUE(),""),"")</x:f>
      </x:c>
      <x:c r="U354" s="105" t="str">
        <x:f t="shared" si="125"/>
      </x:c>
      <x:c r="V354" s="104" t="str">
        <x:f t="array" ref="V354">IF(C354&lt;&gt;"",_xlfn.IFS(V$10="AT",RECORD!HC356,V$10="LECTURE",BF354,TRUE(),""),"")</x:f>
      </x:c>
      <x:c r="W354" s="106" t="str">
        <x:f t="shared" si="126"/>
      </x:c>
      <x:c r="X354" s="107" t="str">
        <x:f t="array" ref="X354">IF(C354&lt;&gt;"",_xlfn.IFS(X$10="EXAM",RECORD!HD356,X$10="OUTPUT",RECORD!HE356,X$10="LAB",CF354,TRUE(),""),"")</x:f>
      </x:c>
      <x:c r="Y354" s="106" t="str">
        <x:f t="shared" si="127"/>
      </x:c>
      <x:c r="Z354" s="108" t="str">
        <x:f t="shared" si="128"/>
      </x:c>
      <x:c r="AA354" s="109" t="str">
        <x:f t="shared" si="129"/>
      </x:c>
      <x:c r="AB354" s="111" t="str">
        <x:f t="shared" si="130"/>
      </x:c>
      <x:c r="AC354" s="109" t="str">
        <x:f t="shared" si="131"/>
      </x:c>
      <x:c r="AQ354" s="109" t="str">
        <x:f t="shared" si="132"/>
        <x:v>FAILED</x:v>
      </x:c>
      <x:c r="AR354" s="115"/>
      <x:c r="AS354" s="115"/>
      <x:c r="AT354" s="107"/>
      <x:c r="AU354" s="107"/>
      <x:c r="AV354" s="107"/>
      <x:c r="AW354" s="107"/>
      <x:c r="AX354" s="107"/>
      <x:c r="AY354" s="109" t="str">
        <x:f t="shared" si="133"/>
        <x:v>FAILED</x:v>
      </x:c>
      <x:c r="AZ354" s="115"/>
      <x:c r="BA354" s="115"/>
      <x:c r="BB354" s="107"/>
      <x:c r="BC354" s="107"/>
      <x:c r="BD354" s="107"/>
      <x:c r="BE354" s="107"/>
      <x:c r="BF354" s="107"/>
      <x:c r="BG354" s="109" t="str">
        <x:f t="shared" si="134"/>
        <x:v>FAILED</x:v>
      </x:c>
      <x:c r="BQ354" s="109" t="str">
        <x:f t="shared" si="135"/>
        <x:v>FAILED</x:v>
      </x:c>
      <x:c r="BR354" s="115"/>
      <x:c r="BS354" s="115"/>
      <x:c r="BT354" s="107"/>
      <x:c r="BU354" s="107"/>
      <x:c r="BV354" s="107"/>
      <x:c r="BW354" s="107"/>
      <x:c r="BX354" s="107"/>
      <x:c r="BY354" s="109" t="str">
        <x:f t="shared" si="136"/>
        <x:v>FAILED</x:v>
      </x:c>
      <x:c r="BZ354" s="115"/>
      <x:c r="CA354" s="115"/>
      <x:c r="CB354" s="107"/>
      <x:c r="CC354" s="107"/>
      <x:c r="CD354" s="107"/>
      <x:c r="CE354" s="107"/>
      <x:c r="CF354" s="107"/>
      <x:c r="CG354" s="109" t="str">
        <x:f t="shared" si="137"/>
        <x:v>FAILED</x:v>
      </x:c>
    </x:row>
    <x:row r="355">
      <x:c r="A355" s="102" t="str">
        <x:f>IF(RECORD!A357="","",RECORD!A357)</x:f>
      </x:c>
      <x:c r="B355" s="102" t="str">
        <x:f>IF(RECORD!B357="","",RECORD!B357)</x:f>
      </x:c>
      <x:c r="C355" s="103" t="str">
        <x:f>IF(RECORD!C357="","",RECORD!C357)</x:f>
      </x:c>
      <x:c r="D355" s="104" t="str">
        <x:f t="array" ref="D355">IF(C355&lt;&gt;"",IF(F$7="SUMMER","N/A",_xlfn.IFS(D$10="TLA",RECORD!GO357,F$10="LECTURE","",TRUE(),"")),"")</x:f>
      </x:c>
      <x:c r="E355" s="105" t="str">
        <x:f t="shared" si="115"/>
      </x:c>
      <x:c r="F355" s="104" t="str">
        <x:f t="array" ref="F355">IF(C355&lt;&gt;"",IF(F$7="SUMMER","N/A",_xlfn.IFS(F$10="AT",RECORD!GI357,F$10="LECTURE",GRADES!AP355,TRUE(),"")),"")</x:f>
      </x:c>
      <x:c r="G355" s="106" t="str">
        <x:f t="shared" si="116"/>
      </x:c>
      <x:c r="H355" s="107" t="str">
        <x:f t="array" ref="H355">IF(C355&lt;&gt;"",IF(F$7="SUMMER","N/A",_xlfn.IFS(H$10="EXAM",RECORD!GJ357,H$10="OUTPUT",RECORD!GK357,H$10="LAB",BP355,TRUE(),"")),"")</x:f>
      </x:c>
      <x:c r="I355" s="106" t="str">
        <x:f t="shared" si="117"/>
      </x:c>
      <x:c r="J355" s="108" t="str">
        <x:f t="shared" si="118"/>
      </x:c>
      <x:c r="K355" s="109" t="str">
        <x:f t="shared" si="119"/>
      </x:c>
      <x:c r="L355" s="110" t="str">
        <x:f t="array" ref="L355">IF(C355&lt;&gt;"",_xlfn.IFS(L$10="TLA",RECORD!GY357,N$10="LECTURE","",TRUE(),""),"")</x:f>
      </x:c>
      <x:c r="M355" s="105" t="str">
        <x:f t="shared" si="120"/>
      </x:c>
      <x:c r="N355" s="104" t="str">
        <x:f t="array" ref="N355">IF(C355&lt;&gt;"",_xlfn.IFS(N$10="AT",RECORD!GS357,N$10="LECTURE",AX355,TRUE(),""),"")</x:f>
      </x:c>
      <x:c r="O355" s="106" t="str">
        <x:f t="shared" si="121"/>
      </x:c>
      <x:c r="P355" s="107" t="str">
        <x:f t="array" ref="P355">IF(C355&lt;&gt;"",_xlfn.IFS(P$10="EXAM",RECORD!GT357,P$10="OUTPUT",RECORD!GU357,P$10="LAB",BX355,TRUE(),""),"")</x:f>
      </x:c>
      <x:c r="Q355" s="106" t="str">
        <x:f t="shared" si="122"/>
      </x:c>
      <x:c r="R355" s="108" t="str">
        <x:f t="shared" si="123"/>
      </x:c>
      <x:c r="S355" s="109" t="str">
        <x:f t="shared" si="124"/>
      </x:c>
      <x:c r="T355" s="110" t="str">
        <x:f t="array" ref="T355">IF(C355&lt;&gt;"",_xlfn.IFS(T$10="TLA",RECORD!HI357,V$10="LECTURE","",TRUE(),""),"")</x:f>
      </x:c>
      <x:c r="U355" s="105" t="str">
        <x:f t="shared" si="125"/>
      </x:c>
      <x:c r="V355" s="104" t="str">
        <x:f t="array" ref="V355">IF(C355&lt;&gt;"",_xlfn.IFS(V$10="AT",RECORD!HC357,V$10="LECTURE",BF355,TRUE(),""),"")</x:f>
      </x:c>
      <x:c r="W355" s="106" t="str">
        <x:f t="shared" si="126"/>
      </x:c>
      <x:c r="X355" s="107" t="str">
        <x:f t="array" ref="X355">IF(C355&lt;&gt;"",_xlfn.IFS(X$10="EXAM",RECORD!HD357,X$10="OUTPUT",RECORD!HE357,X$10="LAB",CF355,TRUE(),""),"")</x:f>
      </x:c>
      <x:c r="Y355" s="106" t="str">
        <x:f t="shared" si="127"/>
      </x:c>
      <x:c r="Z355" s="108" t="str">
        <x:f t="shared" si="128"/>
      </x:c>
      <x:c r="AA355" s="109" t="str">
        <x:f t="shared" si="129"/>
      </x:c>
      <x:c r="AB355" s="111" t="str">
        <x:f t="shared" si="130"/>
      </x:c>
      <x:c r="AC355" s="109" t="str">
        <x:f t="shared" si="131"/>
      </x:c>
      <x:c r="AQ355" s="109" t="str">
        <x:f t="shared" si="132"/>
        <x:v>FAILED</x:v>
      </x:c>
      <x:c r="AR355" s="115"/>
      <x:c r="AS355" s="115"/>
      <x:c r="AT355" s="107"/>
      <x:c r="AU355" s="107"/>
      <x:c r="AV355" s="107"/>
      <x:c r="AW355" s="107"/>
      <x:c r="AX355" s="107"/>
      <x:c r="AY355" s="109" t="str">
        <x:f t="shared" si="133"/>
        <x:v>FAILED</x:v>
      </x:c>
      <x:c r="AZ355" s="115"/>
      <x:c r="BA355" s="115"/>
      <x:c r="BB355" s="107"/>
      <x:c r="BC355" s="107"/>
      <x:c r="BD355" s="107"/>
      <x:c r="BE355" s="107"/>
      <x:c r="BF355" s="107"/>
      <x:c r="BG355" s="109" t="str">
        <x:f t="shared" si="134"/>
        <x:v>FAILED</x:v>
      </x:c>
      <x:c r="BQ355" s="109" t="str">
        <x:f t="shared" si="135"/>
        <x:v>FAILED</x:v>
      </x:c>
      <x:c r="BR355" s="115"/>
      <x:c r="BS355" s="115"/>
      <x:c r="BT355" s="107"/>
      <x:c r="BU355" s="107"/>
      <x:c r="BV355" s="107"/>
      <x:c r="BW355" s="107"/>
      <x:c r="BX355" s="107"/>
      <x:c r="BY355" s="109" t="str">
        <x:f t="shared" si="136"/>
        <x:v>FAILED</x:v>
      </x:c>
      <x:c r="BZ355" s="115"/>
      <x:c r="CA355" s="115"/>
      <x:c r="CB355" s="107"/>
      <x:c r="CC355" s="107"/>
      <x:c r="CD355" s="107"/>
      <x:c r="CE355" s="107"/>
      <x:c r="CF355" s="107"/>
      <x:c r="CG355" s="109" t="str">
        <x:f t="shared" si="137"/>
        <x:v>FAILED</x:v>
      </x:c>
    </x:row>
    <x:row r="356">
      <x:c r="A356" s="102" t="str">
        <x:f>IF(RECORD!A358="","",RECORD!A358)</x:f>
      </x:c>
      <x:c r="B356" s="102" t="str">
        <x:f>IF(RECORD!B358="","",RECORD!B358)</x:f>
      </x:c>
      <x:c r="C356" s="103" t="str">
        <x:f>IF(RECORD!C358="","",RECORD!C358)</x:f>
      </x:c>
      <x:c r="D356" s="104" t="str">
        <x:f t="array" ref="D356">IF(C356&lt;&gt;"",IF(F$7="SUMMER","N/A",_xlfn.IFS(D$10="TLA",RECORD!GO358,F$10="LECTURE","",TRUE(),"")),"")</x:f>
      </x:c>
      <x:c r="E356" s="105" t="str">
        <x:f t="shared" si="115"/>
      </x:c>
      <x:c r="F356" s="104" t="str">
        <x:f t="array" ref="F356">IF(C356&lt;&gt;"",IF(F$7="SUMMER","N/A",_xlfn.IFS(F$10="AT",RECORD!GI358,F$10="LECTURE",GRADES!AP356,TRUE(),"")),"")</x:f>
      </x:c>
      <x:c r="G356" s="106" t="str">
        <x:f t="shared" si="116"/>
      </x:c>
      <x:c r="H356" s="107" t="str">
        <x:f t="array" ref="H356">IF(C356&lt;&gt;"",IF(F$7="SUMMER","N/A",_xlfn.IFS(H$10="EXAM",RECORD!GJ358,H$10="OUTPUT",RECORD!GK358,H$10="LAB",BP356,TRUE(),"")),"")</x:f>
      </x:c>
      <x:c r="I356" s="106" t="str">
        <x:f t="shared" si="117"/>
      </x:c>
      <x:c r="J356" s="108" t="str">
        <x:f t="shared" si="118"/>
      </x:c>
      <x:c r="K356" s="109" t="str">
        <x:f t="shared" si="119"/>
      </x:c>
      <x:c r="L356" s="110" t="str">
        <x:f t="array" ref="L356">IF(C356&lt;&gt;"",_xlfn.IFS(L$10="TLA",RECORD!GY358,N$10="LECTURE","",TRUE(),""),"")</x:f>
      </x:c>
      <x:c r="M356" s="105" t="str">
        <x:f t="shared" si="120"/>
      </x:c>
      <x:c r="N356" s="104" t="str">
        <x:f t="array" ref="N356">IF(C356&lt;&gt;"",_xlfn.IFS(N$10="AT",RECORD!GS358,N$10="LECTURE",AX356,TRUE(),""),"")</x:f>
      </x:c>
      <x:c r="O356" s="106" t="str">
        <x:f t="shared" si="121"/>
      </x:c>
      <x:c r="P356" s="107" t="str">
        <x:f t="array" ref="P356">IF(C356&lt;&gt;"",_xlfn.IFS(P$10="EXAM",RECORD!GT358,P$10="OUTPUT",RECORD!GU358,P$10="LAB",BX356,TRUE(),""),"")</x:f>
      </x:c>
      <x:c r="Q356" s="106" t="str">
        <x:f t="shared" si="122"/>
      </x:c>
      <x:c r="R356" s="108" t="str">
        <x:f t="shared" si="123"/>
      </x:c>
      <x:c r="S356" s="109" t="str">
        <x:f t="shared" si="124"/>
      </x:c>
      <x:c r="T356" s="110" t="str">
        <x:f t="array" ref="T356">IF(C356&lt;&gt;"",_xlfn.IFS(T$10="TLA",RECORD!HI358,V$10="LECTURE","",TRUE(),""),"")</x:f>
      </x:c>
      <x:c r="U356" s="105" t="str">
        <x:f t="shared" si="125"/>
      </x:c>
      <x:c r="V356" s="104" t="str">
        <x:f t="array" ref="V356">IF(C356&lt;&gt;"",_xlfn.IFS(V$10="AT",RECORD!HC358,V$10="LECTURE",BF356,TRUE(),""),"")</x:f>
      </x:c>
      <x:c r="W356" s="106" t="str">
        <x:f t="shared" si="126"/>
      </x:c>
      <x:c r="X356" s="107" t="str">
        <x:f t="array" ref="X356">IF(C356&lt;&gt;"",_xlfn.IFS(X$10="EXAM",RECORD!HD358,X$10="OUTPUT",RECORD!HE358,X$10="LAB",CF356,TRUE(),""),"")</x:f>
      </x:c>
      <x:c r="Y356" s="106" t="str">
        <x:f t="shared" si="127"/>
      </x:c>
      <x:c r="Z356" s="108" t="str">
        <x:f t="shared" si="128"/>
      </x:c>
      <x:c r="AA356" s="109" t="str">
        <x:f t="shared" si="129"/>
      </x:c>
      <x:c r="AB356" s="111" t="str">
        <x:f t="shared" si="130"/>
      </x:c>
      <x:c r="AC356" s="109" t="str">
        <x:f t="shared" si="131"/>
      </x:c>
      <x:c r="AQ356" s="109" t="str">
        <x:f t="shared" si="132"/>
        <x:v>FAILED</x:v>
      </x:c>
      <x:c r="AR356" s="115"/>
      <x:c r="AS356" s="115"/>
      <x:c r="AT356" s="107"/>
      <x:c r="AU356" s="107"/>
      <x:c r="AV356" s="107"/>
      <x:c r="AW356" s="107"/>
      <x:c r="AX356" s="107"/>
      <x:c r="AY356" s="109" t="str">
        <x:f t="shared" si="133"/>
        <x:v>FAILED</x:v>
      </x:c>
      <x:c r="AZ356" s="115"/>
      <x:c r="BA356" s="115"/>
      <x:c r="BB356" s="107"/>
      <x:c r="BC356" s="107"/>
      <x:c r="BD356" s="107"/>
      <x:c r="BE356" s="107"/>
      <x:c r="BF356" s="107"/>
      <x:c r="BG356" s="109" t="str">
        <x:f t="shared" si="134"/>
        <x:v>FAILED</x:v>
      </x:c>
      <x:c r="BQ356" s="109" t="str">
        <x:f t="shared" si="135"/>
        <x:v>FAILED</x:v>
      </x:c>
      <x:c r="BR356" s="115"/>
      <x:c r="BS356" s="115"/>
      <x:c r="BT356" s="107"/>
      <x:c r="BU356" s="107"/>
      <x:c r="BV356" s="107"/>
      <x:c r="BW356" s="107"/>
      <x:c r="BX356" s="107"/>
      <x:c r="BY356" s="109" t="str">
        <x:f t="shared" si="136"/>
        <x:v>FAILED</x:v>
      </x:c>
      <x:c r="BZ356" s="115"/>
      <x:c r="CA356" s="115"/>
      <x:c r="CB356" s="107"/>
      <x:c r="CC356" s="107"/>
      <x:c r="CD356" s="107"/>
      <x:c r="CE356" s="107"/>
      <x:c r="CF356" s="107"/>
      <x:c r="CG356" s="109" t="str">
        <x:f t="shared" si="137"/>
        <x:v>FAILED</x:v>
      </x:c>
    </x:row>
    <x:row r="357">
      <x:c r="A357" s="102" t="str">
        <x:f>IF(RECORD!A359="","",RECORD!A359)</x:f>
      </x:c>
      <x:c r="B357" s="102" t="str">
        <x:f>IF(RECORD!B359="","",RECORD!B359)</x:f>
      </x:c>
      <x:c r="C357" s="103" t="str">
        <x:f>IF(RECORD!C359="","",RECORD!C359)</x:f>
      </x:c>
      <x:c r="D357" s="104" t="str">
        <x:f t="array" ref="D357">IF(C357&lt;&gt;"",IF(F$7="SUMMER","N/A",_xlfn.IFS(D$10="TLA",RECORD!GO359,F$10="LECTURE","",TRUE(),"")),"")</x:f>
      </x:c>
      <x:c r="E357" s="105" t="str">
        <x:f t="shared" si="115"/>
      </x:c>
      <x:c r="F357" s="104" t="str">
        <x:f t="array" ref="F357">IF(C357&lt;&gt;"",IF(F$7="SUMMER","N/A",_xlfn.IFS(F$10="AT",RECORD!GI359,F$10="LECTURE",GRADES!AP357,TRUE(),"")),"")</x:f>
      </x:c>
      <x:c r="G357" s="106" t="str">
        <x:f t="shared" si="116"/>
      </x:c>
      <x:c r="H357" s="107" t="str">
        <x:f t="array" ref="H357">IF(C357&lt;&gt;"",IF(F$7="SUMMER","N/A",_xlfn.IFS(H$10="EXAM",RECORD!GJ359,H$10="OUTPUT",RECORD!GK359,H$10="LAB",BP357,TRUE(),"")),"")</x:f>
      </x:c>
      <x:c r="I357" s="106" t="str">
        <x:f t="shared" si="117"/>
      </x:c>
      <x:c r="J357" s="108" t="str">
        <x:f t="shared" si="118"/>
      </x:c>
      <x:c r="K357" s="109" t="str">
        <x:f t="shared" si="119"/>
      </x:c>
      <x:c r="L357" s="110" t="str">
        <x:f t="array" ref="L357">IF(C357&lt;&gt;"",_xlfn.IFS(L$10="TLA",RECORD!GY359,N$10="LECTURE","",TRUE(),""),"")</x:f>
      </x:c>
      <x:c r="M357" s="105" t="str">
        <x:f t="shared" si="120"/>
      </x:c>
      <x:c r="N357" s="104" t="str">
        <x:f t="array" ref="N357">IF(C357&lt;&gt;"",_xlfn.IFS(N$10="AT",RECORD!GS359,N$10="LECTURE",AX357,TRUE(),""),"")</x:f>
      </x:c>
      <x:c r="O357" s="106" t="str">
        <x:f t="shared" si="121"/>
      </x:c>
      <x:c r="P357" s="107" t="str">
        <x:f t="array" ref="P357">IF(C357&lt;&gt;"",_xlfn.IFS(P$10="EXAM",RECORD!GT359,P$10="OUTPUT",RECORD!GU359,P$10="LAB",BX357,TRUE(),""),"")</x:f>
      </x:c>
      <x:c r="Q357" s="106" t="str">
        <x:f t="shared" si="122"/>
      </x:c>
      <x:c r="R357" s="108" t="str">
        <x:f t="shared" si="123"/>
      </x:c>
      <x:c r="S357" s="109" t="str">
        <x:f t="shared" si="124"/>
      </x:c>
      <x:c r="T357" s="110" t="str">
        <x:f t="array" ref="T357">IF(C357&lt;&gt;"",_xlfn.IFS(T$10="TLA",RECORD!HI359,V$10="LECTURE","",TRUE(),""),"")</x:f>
      </x:c>
      <x:c r="U357" s="105" t="str">
        <x:f t="shared" si="125"/>
      </x:c>
      <x:c r="V357" s="104" t="str">
        <x:f t="array" ref="V357">IF(C357&lt;&gt;"",_xlfn.IFS(V$10="AT",RECORD!HC359,V$10="LECTURE",BF357,TRUE(),""),"")</x:f>
      </x:c>
      <x:c r="W357" s="106" t="str">
        <x:f t="shared" si="126"/>
      </x:c>
      <x:c r="X357" s="107" t="str">
        <x:f t="array" ref="X357">IF(C357&lt;&gt;"",_xlfn.IFS(X$10="EXAM",RECORD!HD359,X$10="OUTPUT",RECORD!HE359,X$10="LAB",CF357,TRUE(),""),"")</x:f>
      </x:c>
      <x:c r="Y357" s="106" t="str">
        <x:f t="shared" si="127"/>
      </x:c>
      <x:c r="Z357" s="108" t="str">
        <x:f t="shared" si="128"/>
      </x:c>
      <x:c r="AA357" s="109" t="str">
        <x:f t="shared" si="129"/>
      </x:c>
      <x:c r="AB357" s="111" t="str">
        <x:f t="shared" si="130"/>
      </x:c>
      <x:c r="AC357" s="109" t="str">
        <x:f t="shared" si="131"/>
      </x:c>
      <x:c r="AQ357" s="109" t="str">
        <x:f t="shared" si="132"/>
        <x:v>FAILED</x:v>
      </x:c>
      <x:c r="AR357" s="115"/>
      <x:c r="AS357" s="115"/>
      <x:c r="AT357" s="107"/>
      <x:c r="AU357" s="107"/>
      <x:c r="AV357" s="107"/>
      <x:c r="AW357" s="107"/>
      <x:c r="AX357" s="107"/>
      <x:c r="AY357" s="109" t="str">
        <x:f t="shared" si="133"/>
        <x:v>FAILED</x:v>
      </x:c>
      <x:c r="AZ357" s="115"/>
      <x:c r="BA357" s="115"/>
      <x:c r="BB357" s="107"/>
      <x:c r="BC357" s="107"/>
      <x:c r="BD357" s="107"/>
      <x:c r="BE357" s="107"/>
      <x:c r="BF357" s="107"/>
      <x:c r="BG357" s="109" t="str">
        <x:f t="shared" si="134"/>
        <x:v>FAILED</x:v>
      </x:c>
      <x:c r="BQ357" s="109" t="str">
        <x:f t="shared" si="135"/>
        <x:v>FAILED</x:v>
      </x:c>
      <x:c r="BR357" s="115"/>
      <x:c r="BS357" s="115"/>
      <x:c r="BT357" s="107"/>
      <x:c r="BU357" s="107"/>
      <x:c r="BV357" s="107"/>
      <x:c r="BW357" s="107"/>
      <x:c r="BX357" s="107"/>
      <x:c r="BY357" s="109" t="str">
        <x:f t="shared" si="136"/>
        <x:v>FAILED</x:v>
      </x:c>
      <x:c r="BZ357" s="115"/>
      <x:c r="CA357" s="115"/>
      <x:c r="CB357" s="107"/>
      <x:c r="CC357" s="107"/>
      <x:c r="CD357" s="107"/>
      <x:c r="CE357" s="107"/>
      <x:c r="CF357" s="107"/>
      <x:c r="CG357" s="109" t="str">
        <x:f t="shared" si="137"/>
        <x:v>FAILED</x:v>
      </x:c>
    </x:row>
    <x:row r="358">
      <x:c r="A358" s="102" t="str">
        <x:f>IF(RECORD!A360="","",RECORD!A360)</x:f>
      </x:c>
      <x:c r="B358" s="102" t="str">
        <x:f>IF(RECORD!B360="","",RECORD!B360)</x:f>
      </x:c>
      <x:c r="C358" s="103" t="str">
        <x:f>IF(RECORD!C360="","",RECORD!C360)</x:f>
      </x:c>
      <x:c r="D358" s="104" t="str">
        <x:f t="array" ref="D358">IF(C358&lt;&gt;"",IF(F$7="SUMMER","N/A",_xlfn.IFS(D$10="TLA",RECORD!GO360,F$10="LECTURE","",TRUE(),"")),"")</x:f>
      </x:c>
      <x:c r="E358" s="105" t="str">
        <x:f t="shared" si="115"/>
      </x:c>
      <x:c r="F358" s="104" t="str">
        <x:f t="array" ref="F358">IF(C358&lt;&gt;"",IF(F$7="SUMMER","N/A",_xlfn.IFS(F$10="AT",RECORD!GI360,F$10="LECTURE",GRADES!AP358,TRUE(),"")),"")</x:f>
      </x:c>
      <x:c r="G358" s="106" t="str">
        <x:f t="shared" si="116"/>
      </x:c>
      <x:c r="H358" s="107" t="str">
        <x:f t="array" ref="H358">IF(C358&lt;&gt;"",IF(F$7="SUMMER","N/A",_xlfn.IFS(H$10="EXAM",RECORD!GJ360,H$10="OUTPUT",RECORD!GK360,H$10="LAB",BP358,TRUE(),"")),"")</x:f>
      </x:c>
      <x:c r="I358" s="106" t="str">
        <x:f t="shared" si="117"/>
      </x:c>
      <x:c r="J358" s="108" t="str">
        <x:f t="shared" si="118"/>
      </x:c>
      <x:c r="K358" s="109" t="str">
        <x:f t="shared" si="119"/>
      </x:c>
      <x:c r="L358" s="110" t="str">
        <x:f t="array" ref="L358">IF(C358&lt;&gt;"",_xlfn.IFS(L$10="TLA",RECORD!GY360,N$10="LECTURE","",TRUE(),""),"")</x:f>
      </x:c>
      <x:c r="M358" s="105" t="str">
        <x:f t="shared" si="120"/>
      </x:c>
      <x:c r="N358" s="104" t="str">
        <x:f t="array" ref="N358">IF(C358&lt;&gt;"",_xlfn.IFS(N$10="AT",RECORD!GS360,N$10="LECTURE",AX358,TRUE(),""),"")</x:f>
      </x:c>
      <x:c r="O358" s="106" t="str">
        <x:f t="shared" si="121"/>
      </x:c>
      <x:c r="P358" s="107" t="str">
        <x:f t="array" ref="P358">IF(C358&lt;&gt;"",_xlfn.IFS(P$10="EXAM",RECORD!GT360,P$10="OUTPUT",RECORD!GU360,P$10="LAB",BX358,TRUE(),""),"")</x:f>
      </x:c>
      <x:c r="Q358" s="106" t="str">
        <x:f t="shared" si="122"/>
      </x:c>
      <x:c r="R358" s="108" t="str">
        <x:f t="shared" si="123"/>
      </x:c>
      <x:c r="S358" s="109" t="str">
        <x:f t="shared" si="124"/>
      </x:c>
      <x:c r="T358" s="110" t="str">
        <x:f t="array" ref="T358">IF(C358&lt;&gt;"",_xlfn.IFS(T$10="TLA",RECORD!HI360,V$10="LECTURE","",TRUE(),""),"")</x:f>
      </x:c>
      <x:c r="U358" s="105" t="str">
        <x:f t="shared" si="125"/>
      </x:c>
      <x:c r="V358" s="104" t="str">
        <x:f t="array" ref="V358">IF(C358&lt;&gt;"",_xlfn.IFS(V$10="AT",RECORD!HC360,V$10="LECTURE",BF358,TRUE(),""),"")</x:f>
      </x:c>
      <x:c r="W358" s="106" t="str">
        <x:f t="shared" si="126"/>
      </x:c>
      <x:c r="X358" s="107" t="str">
        <x:f t="array" ref="X358">IF(C358&lt;&gt;"",_xlfn.IFS(X$10="EXAM",RECORD!HD360,X$10="OUTPUT",RECORD!HE360,X$10="LAB",CF358,TRUE(),""),"")</x:f>
      </x:c>
      <x:c r="Y358" s="106" t="str">
        <x:f t="shared" si="127"/>
      </x:c>
      <x:c r="Z358" s="108" t="str">
        <x:f t="shared" si="128"/>
      </x:c>
      <x:c r="AA358" s="109" t="str">
        <x:f t="shared" si="129"/>
      </x:c>
      <x:c r="AB358" s="111" t="str">
        <x:f t="shared" si="130"/>
      </x:c>
      <x:c r="AC358" s="109" t="str">
        <x:f t="shared" si="131"/>
      </x:c>
      <x:c r="AQ358" s="109" t="str">
        <x:f t="shared" si="132"/>
        <x:v>FAILED</x:v>
      </x:c>
      <x:c r="AR358" s="115"/>
      <x:c r="AS358" s="115"/>
      <x:c r="AT358" s="107"/>
      <x:c r="AU358" s="107"/>
      <x:c r="AV358" s="107"/>
      <x:c r="AW358" s="107"/>
      <x:c r="AX358" s="107"/>
      <x:c r="AY358" s="109" t="str">
        <x:f t="shared" si="133"/>
        <x:v>FAILED</x:v>
      </x:c>
      <x:c r="AZ358" s="115"/>
      <x:c r="BA358" s="115"/>
      <x:c r="BB358" s="107"/>
      <x:c r="BC358" s="107"/>
      <x:c r="BD358" s="107"/>
      <x:c r="BE358" s="107"/>
      <x:c r="BF358" s="107"/>
      <x:c r="BG358" s="109" t="str">
        <x:f t="shared" si="134"/>
        <x:v>FAILED</x:v>
      </x:c>
      <x:c r="BQ358" s="109" t="str">
        <x:f t="shared" si="135"/>
        <x:v>FAILED</x:v>
      </x:c>
      <x:c r="BR358" s="115"/>
      <x:c r="BS358" s="115"/>
      <x:c r="BT358" s="107"/>
      <x:c r="BU358" s="107"/>
      <x:c r="BV358" s="107"/>
      <x:c r="BW358" s="107"/>
      <x:c r="BX358" s="107"/>
      <x:c r="BY358" s="109" t="str">
        <x:f t="shared" si="136"/>
        <x:v>FAILED</x:v>
      </x:c>
      <x:c r="BZ358" s="115"/>
      <x:c r="CA358" s="115"/>
      <x:c r="CB358" s="107"/>
      <x:c r="CC358" s="107"/>
      <x:c r="CD358" s="107"/>
      <x:c r="CE358" s="107"/>
      <x:c r="CF358" s="107"/>
      <x:c r="CG358" s="109" t="str">
        <x:f t="shared" si="137"/>
        <x:v>FAILED</x:v>
      </x:c>
    </x:row>
    <x:row r="359">
      <x:c r="A359" s="102" t="str">
        <x:f>IF(RECORD!A361="","",RECORD!A361)</x:f>
      </x:c>
      <x:c r="B359" s="102" t="str">
        <x:f>IF(RECORD!B361="","",RECORD!B361)</x:f>
      </x:c>
      <x:c r="C359" s="103" t="str">
        <x:f>IF(RECORD!C361="","",RECORD!C361)</x:f>
      </x:c>
      <x:c r="D359" s="104" t="str">
        <x:f t="array" ref="D359">IF(C359&lt;&gt;"",IF(F$7="SUMMER","N/A",_xlfn.IFS(D$10="TLA",RECORD!GO361,F$10="LECTURE","",TRUE(),"")),"")</x:f>
      </x:c>
      <x:c r="E359" s="105" t="str">
        <x:f t="shared" si="115"/>
      </x:c>
      <x:c r="F359" s="104" t="str">
        <x:f t="array" ref="F359">IF(C359&lt;&gt;"",IF(F$7="SUMMER","N/A",_xlfn.IFS(F$10="AT",RECORD!GI361,F$10="LECTURE",GRADES!AP359,TRUE(),"")),"")</x:f>
      </x:c>
      <x:c r="G359" s="106" t="str">
        <x:f t="shared" si="116"/>
      </x:c>
      <x:c r="H359" s="107" t="str">
        <x:f t="array" ref="H359">IF(C359&lt;&gt;"",IF(F$7="SUMMER","N/A",_xlfn.IFS(H$10="EXAM",RECORD!GJ361,H$10="OUTPUT",RECORD!GK361,H$10="LAB",BP359,TRUE(),"")),"")</x:f>
      </x:c>
      <x:c r="I359" s="106" t="str">
        <x:f t="shared" si="117"/>
      </x:c>
      <x:c r="J359" s="108" t="str">
        <x:f t="shared" si="118"/>
      </x:c>
      <x:c r="K359" s="109" t="str">
        <x:f t="shared" si="119"/>
      </x:c>
      <x:c r="L359" s="110" t="str">
        <x:f t="array" ref="L359">IF(C359&lt;&gt;"",_xlfn.IFS(L$10="TLA",RECORD!GY361,N$10="LECTURE","",TRUE(),""),"")</x:f>
      </x:c>
      <x:c r="M359" s="105" t="str">
        <x:f t="shared" si="120"/>
      </x:c>
      <x:c r="N359" s="104" t="str">
        <x:f t="array" ref="N359">IF(C359&lt;&gt;"",_xlfn.IFS(N$10="AT",RECORD!GS361,N$10="LECTURE",AX359,TRUE(),""),"")</x:f>
      </x:c>
      <x:c r="O359" s="106" t="str">
        <x:f t="shared" si="121"/>
      </x:c>
      <x:c r="P359" s="107" t="str">
        <x:f t="array" ref="P359">IF(C359&lt;&gt;"",_xlfn.IFS(P$10="EXAM",RECORD!GT361,P$10="OUTPUT",RECORD!GU361,P$10="LAB",BX359,TRUE(),""),"")</x:f>
      </x:c>
      <x:c r="Q359" s="106" t="str">
        <x:f t="shared" si="122"/>
      </x:c>
      <x:c r="R359" s="108" t="str">
        <x:f t="shared" si="123"/>
      </x:c>
      <x:c r="S359" s="109" t="str">
        <x:f t="shared" si="124"/>
      </x:c>
      <x:c r="T359" s="110" t="str">
        <x:f t="array" ref="T359">IF(C359&lt;&gt;"",_xlfn.IFS(T$10="TLA",RECORD!HI361,V$10="LECTURE","",TRUE(),""),"")</x:f>
      </x:c>
      <x:c r="U359" s="105" t="str">
        <x:f t="shared" si="125"/>
      </x:c>
      <x:c r="V359" s="104" t="str">
        <x:f t="array" ref="V359">IF(C359&lt;&gt;"",_xlfn.IFS(V$10="AT",RECORD!HC361,V$10="LECTURE",BF359,TRUE(),""),"")</x:f>
      </x:c>
      <x:c r="W359" s="106" t="str">
        <x:f t="shared" si="126"/>
      </x:c>
      <x:c r="X359" s="107" t="str">
        <x:f t="array" ref="X359">IF(C359&lt;&gt;"",_xlfn.IFS(X$10="EXAM",RECORD!HD361,X$10="OUTPUT",RECORD!HE361,X$10="LAB",CF359,TRUE(),""),"")</x:f>
      </x:c>
      <x:c r="Y359" s="106" t="str">
        <x:f t="shared" si="127"/>
      </x:c>
      <x:c r="Z359" s="108" t="str">
        <x:f t="shared" si="128"/>
      </x:c>
      <x:c r="AA359" s="109" t="str">
        <x:f t="shared" si="129"/>
      </x:c>
      <x:c r="AB359" s="111" t="str">
        <x:f t="shared" si="130"/>
      </x:c>
      <x:c r="AC359" s="109" t="str">
        <x:f t="shared" si="131"/>
      </x:c>
      <x:c r="AQ359" s="109" t="str">
        <x:f t="shared" si="132"/>
        <x:v>FAILED</x:v>
      </x:c>
      <x:c r="AR359" s="115"/>
      <x:c r="AS359" s="115"/>
      <x:c r="AT359" s="107"/>
      <x:c r="AU359" s="107"/>
      <x:c r="AV359" s="107"/>
      <x:c r="AW359" s="107"/>
      <x:c r="AX359" s="107"/>
      <x:c r="AY359" s="109" t="str">
        <x:f t="shared" si="133"/>
        <x:v>FAILED</x:v>
      </x:c>
      <x:c r="AZ359" s="115"/>
      <x:c r="BA359" s="115"/>
      <x:c r="BB359" s="107"/>
      <x:c r="BC359" s="107"/>
      <x:c r="BD359" s="107"/>
      <x:c r="BE359" s="107"/>
      <x:c r="BF359" s="107"/>
      <x:c r="BG359" s="109" t="str">
        <x:f t="shared" si="134"/>
        <x:v>FAILED</x:v>
      </x:c>
      <x:c r="BQ359" s="109" t="str">
        <x:f t="shared" si="135"/>
        <x:v>FAILED</x:v>
      </x:c>
      <x:c r="BR359" s="115"/>
      <x:c r="BS359" s="115"/>
      <x:c r="BT359" s="107"/>
      <x:c r="BU359" s="107"/>
      <x:c r="BV359" s="107"/>
      <x:c r="BW359" s="107"/>
      <x:c r="BX359" s="107"/>
      <x:c r="BY359" s="109" t="str">
        <x:f t="shared" si="136"/>
        <x:v>FAILED</x:v>
      </x:c>
      <x:c r="BZ359" s="115"/>
      <x:c r="CA359" s="115"/>
      <x:c r="CB359" s="107"/>
      <x:c r="CC359" s="107"/>
      <x:c r="CD359" s="107"/>
      <x:c r="CE359" s="107"/>
      <x:c r="CF359" s="107"/>
      <x:c r="CG359" s="109" t="str">
        <x:f t="shared" si="137"/>
        <x:v>FAILED</x:v>
      </x:c>
    </x:row>
    <x:row r="360">
      <x:c r="A360" s="102" t="str">
        <x:f>IF(RECORD!A362="","",RECORD!A362)</x:f>
      </x:c>
      <x:c r="B360" s="102" t="str">
        <x:f>IF(RECORD!B362="","",RECORD!B362)</x:f>
      </x:c>
      <x:c r="C360" s="103" t="str">
        <x:f>IF(RECORD!C362="","",RECORD!C362)</x:f>
      </x:c>
      <x:c r="D360" s="104" t="str">
        <x:f t="array" ref="D360">IF(C360&lt;&gt;"",IF(F$7="SUMMER","N/A",_xlfn.IFS(D$10="TLA",RECORD!GO362,F$10="LECTURE","",TRUE(),"")),"")</x:f>
      </x:c>
      <x:c r="E360" s="105" t="str">
        <x:f t="shared" si="115"/>
      </x:c>
      <x:c r="F360" s="104" t="str">
        <x:f t="array" ref="F360">IF(C360&lt;&gt;"",IF(F$7="SUMMER","N/A",_xlfn.IFS(F$10="AT",RECORD!GI362,F$10="LECTURE",GRADES!AP360,TRUE(),"")),"")</x:f>
      </x:c>
      <x:c r="G360" s="106" t="str">
        <x:f t="shared" si="116"/>
      </x:c>
      <x:c r="H360" s="107" t="str">
        <x:f t="array" ref="H360">IF(C360&lt;&gt;"",IF(F$7="SUMMER","N/A",_xlfn.IFS(H$10="EXAM",RECORD!GJ362,H$10="OUTPUT",RECORD!GK362,H$10="LAB",BP360,TRUE(),"")),"")</x:f>
      </x:c>
      <x:c r="I360" s="106" t="str">
        <x:f t="shared" si="117"/>
      </x:c>
      <x:c r="J360" s="108" t="str">
        <x:f t="shared" si="118"/>
      </x:c>
      <x:c r="K360" s="109" t="str">
        <x:f t="shared" si="119"/>
      </x:c>
      <x:c r="L360" s="110" t="str">
        <x:f t="array" ref="L360">IF(C360&lt;&gt;"",_xlfn.IFS(L$10="TLA",RECORD!GY362,N$10="LECTURE","",TRUE(),""),"")</x:f>
      </x:c>
      <x:c r="M360" s="105" t="str">
        <x:f t="shared" si="120"/>
      </x:c>
      <x:c r="N360" s="104" t="str">
        <x:f t="array" ref="N360">IF(C360&lt;&gt;"",_xlfn.IFS(N$10="AT",RECORD!GS362,N$10="LECTURE",AX360,TRUE(),""),"")</x:f>
      </x:c>
      <x:c r="O360" s="106" t="str">
        <x:f t="shared" si="121"/>
      </x:c>
      <x:c r="P360" s="107" t="str">
        <x:f t="array" ref="P360">IF(C360&lt;&gt;"",_xlfn.IFS(P$10="EXAM",RECORD!GT362,P$10="OUTPUT",RECORD!GU362,P$10="LAB",BX360,TRUE(),""),"")</x:f>
      </x:c>
      <x:c r="Q360" s="106" t="str">
        <x:f t="shared" si="122"/>
      </x:c>
      <x:c r="R360" s="108" t="str">
        <x:f t="shared" si="123"/>
      </x:c>
      <x:c r="S360" s="109" t="str">
        <x:f t="shared" si="124"/>
      </x:c>
      <x:c r="T360" s="110" t="str">
        <x:f t="array" ref="T360">IF(C360&lt;&gt;"",_xlfn.IFS(T$10="TLA",RECORD!HI362,V$10="LECTURE","",TRUE(),""),"")</x:f>
      </x:c>
      <x:c r="U360" s="105" t="str">
        <x:f t="shared" si="125"/>
      </x:c>
      <x:c r="V360" s="104" t="str">
        <x:f t="array" ref="V360">IF(C360&lt;&gt;"",_xlfn.IFS(V$10="AT",RECORD!HC362,V$10="LECTURE",BF360,TRUE(),""),"")</x:f>
      </x:c>
      <x:c r="W360" s="106" t="str">
        <x:f t="shared" si="126"/>
      </x:c>
      <x:c r="X360" s="107" t="str">
        <x:f t="array" ref="X360">IF(C360&lt;&gt;"",_xlfn.IFS(X$10="EXAM",RECORD!HD362,X$10="OUTPUT",RECORD!HE362,X$10="LAB",CF360,TRUE(),""),"")</x:f>
      </x:c>
      <x:c r="Y360" s="106" t="str">
        <x:f t="shared" si="127"/>
      </x:c>
      <x:c r="Z360" s="108" t="str">
        <x:f t="shared" si="128"/>
      </x:c>
      <x:c r="AA360" s="109" t="str">
        <x:f t="shared" si="129"/>
      </x:c>
      <x:c r="AB360" s="111" t="str">
        <x:f t="shared" si="130"/>
      </x:c>
      <x:c r="AC360" s="109" t="str">
        <x:f t="shared" si="131"/>
      </x:c>
      <x:c r="AQ360" s="109" t="str">
        <x:f t="shared" si="132"/>
        <x:v>FAILED</x:v>
      </x:c>
      <x:c r="AR360" s="115"/>
      <x:c r="AS360" s="115"/>
      <x:c r="AT360" s="107"/>
      <x:c r="AU360" s="107"/>
      <x:c r="AV360" s="107"/>
      <x:c r="AW360" s="107"/>
      <x:c r="AX360" s="107"/>
      <x:c r="AY360" s="109" t="str">
        <x:f t="shared" si="133"/>
        <x:v>FAILED</x:v>
      </x:c>
      <x:c r="AZ360" s="115"/>
      <x:c r="BA360" s="115"/>
      <x:c r="BB360" s="107"/>
      <x:c r="BC360" s="107"/>
      <x:c r="BD360" s="107"/>
      <x:c r="BE360" s="107"/>
      <x:c r="BF360" s="107"/>
      <x:c r="BG360" s="109" t="str">
        <x:f t="shared" si="134"/>
        <x:v>FAILED</x:v>
      </x:c>
      <x:c r="BQ360" s="109" t="str">
        <x:f t="shared" si="135"/>
        <x:v>FAILED</x:v>
      </x:c>
      <x:c r="BR360" s="115"/>
      <x:c r="BS360" s="115"/>
      <x:c r="BT360" s="107"/>
      <x:c r="BU360" s="107"/>
      <x:c r="BV360" s="107"/>
      <x:c r="BW360" s="107"/>
      <x:c r="BX360" s="107"/>
      <x:c r="BY360" s="109" t="str">
        <x:f t="shared" si="136"/>
        <x:v>FAILED</x:v>
      </x:c>
      <x:c r="BZ360" s="115"/>
      <x:c r="CA360" s="115"/>
      <x:c r="CB360" s="107"/>
      <x:c r="CC360" s="107"/>
      <x:c r="CD360" s="107"/>
      <x:c r="CE360" s="107"/>
      <x:c r="CF360" s="107"/>
      <x:c r="CG360" s="109" t="str">
        <x:f t="shared" si="137"/>
        <x:v>FAILED</x:v>
      </x:c>
    </x:row>
    <x:row r="361">
      <x:c r="A361" s="102" t="str">
        <x:f>IF(RECORD!A363="","",RECORD!A363)</x:f>
      </x:c>
      <x:c r="B361" s="102" t="str">
        <x:f>IF(RECORD!B363="","",RECORD!B363)</x:f>
      </x:c>
      <x:c r="C361" s="103" t="str">
        <x:f>IF(RECORD!C363="","",RECORD!C363)</x:f>
      </x:c>
      <x:c r="D361" s="104" t="str">
        <x:f t="array" ref="D361">IF(C361&lt;&gt;"",IF(F$7="SUMMER","N/A",_xlfn.IFS(D$10="TLA",RECORD!GO363,F$10="LECTURE","",TRUE(),"")),"")</x:f>
      </x:c>
      <x:c r="E361" s="105" t="str">
        <x:f t="shared" si="115"/>
      </x:c>
      <x:c r="F361" s="104" t="str">
        <x:f t="array" ref="F361">IF(C361&lt;&gt;"",IF(F$7="SUMMER","N/A",_xlfn.IFS(F$10="AT",RECORD!GI363,F$10="LECTURE",GRADES!AP361,TRUE(),"")),"")</x:f>
      </x:c>
      <x:c r="G361" s="106" t="str">
        <x:f t="shared" si="116"/>
      </x:c>
      <x:c r="H361" s="107" t="str">
        <x:f t="array" ref="H361">IF(C361&lt;&gt;"",IF(F$7="SUMMER","N/A",_xlfn.IFS(H$10="EXAM",RECORD!GJ363,H$10="OUTPUT",RECORD!GK363,H$10="LAB",BP361,TRUE(),"")),"")</x:f>
      </x:c>
      <x:c r="I361" s="106" t="str">
        <x:f t="shared" si="117"/>
      </x:c>
      <x:c r="J361" s="108" t="str">
        <x:f t="shared" si="118"/>
      </x:c>
      <x:c r="K361" s="109" t="str">
        <x:f t="shared" si="119"/>
      </x:c>
      <x:c r="L361" s="110" t="str">
        <x:f t="array" ref="L361">IF(C361&lt;&gt;"",_xlfn.IFS(L$10="TLA",RECORD!GY363,N$10="LECTURE","",TRUE(),""),"")</x:f>
      </x:c>
      <x:c r="M361" s="105" t="str">
        <x:f t="shared" si="120"/>
      </x:c>
      <x:c r="N361" s="104" t="str">
        <x:f t="array" ref="N361">IF(C361&lt;&gt;"",_xlfn.IFS(N$10="AT",RECORD!GS363,N$10="LECTURE",AX361,TRUE(),""),"")</x:f>
      </x:c>
      <x:c r="O361" s="106" t="str">
        <x:f t="shared" si="121"/>
      </x:c>
      <x:c r="P361" s="107" t="str">
        <x:f t="array" ref="P361">IF(C361&lt;&gt;"",_xlfn.IFS(P$10="EXAM",RECORD!GT363,P$10="OUTPUT",RECORD!GU363,P$10="LAB",BX361,TRUE(),""),"")</x:f>
      </x:c>
      <x:c r="Q361" s="106" t="str">
        <x:f t="shared" si="122"/>
      </x:c>
      <x:c r="R361" s="108" t="str">
        <x:f t="shared" si="123"/>
      </x:c>
      <x:c r="S361" s="109" t="str">
        <x:f t="shared" si="124"/>
      </x:c>
      <x:c r="T361" s="110" t="str">
        <x:f t="array" ref="T361">IF(C361&lt;&gt;"",_xlfn.IFS(T$10="TLA",RECORD!HI363,V$10="LECTURE","",TRUE(),""),"")</x:f>
      </x:c>
      <x:c r="U361" s="105" t="str">
        <x:f t="shared" si="125"/>
      </x:c>
      <x:c r="V361" s="104" t="str">
        <x:f t="array" ref="V361">IF(C361&lt;&gt;"",_xlfn.IFS(V$10="AT",RECORD!HC363,V$10="LECTURE",BF361,TRUE(),""),"")</x:f>
      </x:c>
      <x:c r="W361" s="106" t="str">
        <x:f t="shared" si="126"/>
      </x:c>
      <x:c r="X361" s="107" t="str">
        <x:f t="array" ref="X361">IF(C361&lt;&gt;"",_xlfn.IFS(X$10="EXAM",RECORD!HD363,X$10="OUTPUT",RECORD!HE363,X$10="LAB",CF361,TRUE(),""),"")</x:f>
      </x:c>
      <x:c r="Y361" s="106" t="str">
        <x:f t="shared" si="127"/>
      </x:c>
      <x:c r="Z361" s="108" t="str">
        <x:f t="shared" si="128"/>
      </x:c>
      <x:c r="AA361" s="109" t="str">
        <x:f t="shared" si="129"/>
      </x:c>
      <x:c r="AB361" s="111" t="str">
        <x:f t="shared" si="130"/>
      </x:c>
      <x:c r="AC361" s="109" t="str">
        <x:f t="shared" si="131"/>
      </x:c>
      <x:c r="AQ361" s="109" t="str">
        <x:f t="shared" si="132"/>
        <x:v>FAILED</x:v>
      </x:c>
      <x:c r="AR361" s="115"/>
      <x:c r="AS361" s="115"/>
      <x:c r="AT361" s="107"/>
      <x:c r="AU361" s="107"/>
      <x:c r="AV361" s="107"/>
      <x:c r="AW361" s="107"/>
      <x:c r="AX361" s="107"/>
      <x:c r="AY361" s="109" t="str">
        <x:f t="shared" si="133"/>
        <x:v>FAILED</x:v>
      </x:c>
      <x:c r="AZ361" s="115"/>
      <x:c r="BA361" s="115"/>
      <x:c r="BB361" s="107"/>
      <x:c r="BC361" s="107"/>
      <x:c r="BD361" s="107"/>
      <x:c r="BE361" s="107"/>
      <x:c r="BF361" s="107"/>
      <x:c r="BG361" s="109" t="str">
        <x:f t="shared" si="134"/>
        <x:v>FAILED</x:v>
      </x:c>
      <x:c r="BQ361" s="109" t="str">
        <x:f t="shared" si="135"/>
        <x:v>FAILED</x:v>
      </x:c>
      <x:c r="BR361" s="115"/>
      <x:c r="BS361" s="115"/>
      <x:c r="BT361" s="107"/>
      <x:c r="BU361" s="107"/>
      <x:c r="BV361" s="107"/>
      <x:c r="BW361" s="107"/>
      <x:c r="BX361" s="107"/>
      <x:c r="BY361" s="109" t="str">
        <x:f t="shared" si="136"/>
        <x:v>FAILED</x:v>
      </x:c>
      <x:c r="BZ361" s="115"/>
      <x:c r="CA361" s="115"/>
      <x:c r="CB361" s="107"/>
      <x:c r="CC361" s="107"/>
      <x:c r="CD361" s="107"/>
      <x:c r="CE361" s="107"/>
      <x:c r="CF361" s="107"/>
      <x:c r="CG361" s="109" t="str">
        <x:f t="shared" si="137"/>
        <x:v>FAILED</x:v>
      </x:c>
    </x:row>
    <x:row r="362">
      <x:c r="A362" s="102" t="str">
        <x:f>IF(RECORD!A364="","",RECORD!A364)</x:f>
      </x:c>
      <x:c r="B362" s="102" t="str">
        <x:f>IF(RECORD!B364="","",RECORD!B364)</x:f>
      </x:c>
      <x:c r="C362" s="103" t="str">
        <x:f>IF(RECORD!C364="","",RECORD!C364)</x:f>
      </x:c>
      <x:c r="D362" s="104" t="str">
        <x:f t="array" ref="D362">IF(C362&lt;&gt;"",IF(F$7="SUMMER","N/A",_xlfn.IFS(D$10="TLA",RECORD!GO364,F$10="LECTURE","",TRUE(),"")),"")</x:f>
      </x:c>
      <x:c r="E362" s="105" t="str">
        <x:f t="shared" si="115"/>
      </x:c>
      <x:c r="F362" s="104" t="str">
        <x:f t="array" ref="F362">IF(C362&lt;&gt;"",IF(F$7="SUMMER","N/A",_xlfn.IFS(F$10="AT",RECORD!GI364,F$10="LECTURE",GRADES!AP362,TRUE(),"")),"")</x:f>
      </x:c>
      <x:c r="G362" s="106" t="str">
        <x:f t="shared" si="116"/>
      </x:c>
      <x:c r="H362" s="107" t="str">
        <x:f t="array" ref="H362">IF(C362&lt;&gt;"",IF(F$7="SUMMER","N/A",_xlfn.IFS(H$10="EXAM",RECORD!GJ364,H$10="OUTPUT",RECORD!GK364,H$10="LAB",BP362,TRUE(),"")),"")</x:f>
      </x:c>
      <x:c r="I362" s="106" t="str">
        <x:f t="shared" si="117"/>
      </x:c>
      <x:c r="J362" s="108" t="str">
        <x:f t="shared" si="118"/>
      </x:c>
      <x:c r="K362" s="109" t="str">
        <x:f t="shared" si="119"/>
      </x:c>
      <x:c r="L362" s="110" t="str">
        <x:f t="array" ref="L362">IF(C362&lt;&gt;"",_xlfn.IFS(L$10="TLA",RECORD!GY364,N$10="LECTURE","",TRUE(),""),"")</x:f>
      </x:c>
      <x:c r="M362" s="105" t="str">
        <x:f t="shared" si="120"/>
      </x:c>
      <x:c r="N362" s="104" t="str">
        <x:f t="array" ref="N362">IF(C362&lt;&gt;"",_xlfn.IFS(N$10="AT",RECORD!GS364,N$10="LECTURE",AX362,TRUE(),""),"")</x:f>
      </x:c>
      <x:c r="O362" s="106" t="str">
        <x:f t="shared" si="121"/>
      </x:c>
      <x:c r="P362" s="107" t="str">
        <x:f t="array" ref="P362">IF(C362&lt;&gt;"",_xlfn.IFS(P$10="EXAM",RECORD!GT364,P$10="OUTPUT",RECORD!GU364,P$10="LAB",BX362,TRUE(),""),"")</x:f>
      </x:c>
      <x:c r="Q362" s="106" t="str">
        <x:f t="shared" si="122"/>
      </x:c>
      <x:c r="R362" s="108" t="str">
        <x:f t="shared" si="123"/>
      </x:c>
      <x:c r="S362" s="109" t="str">
        <x:f t="shared" si="124"/>
      </x:c>
      <x:c r="T362" s="110" t="str">
        <x:f t="array" ref="T362">IF(C362&lt;&gt;"",_xlfn.IFS(T$10="TLA",RECORD!HI364,V$10="LECTURE","",TRUE(),""),"")</x:f>
      </x:c>
      <x:c r="U362" s="105" t="str">
        <x:f t="shared" si="125"/>
      </x:c>
      <x:c r="V362" s="104" t="str">
        <x:f t="array" ref="V362">IF(C362&lt;&gt;"",_xlfn.IFS(V$10="AT",RECORD!HC364,V$10="LECTURE",BF362,TRUE(),""),"")</x:f>
      </x:c>
      <x:c r="W362" s="106" t="str">
        <x:f t="shared" si="126"/>
      </x:c>
      <x:c r="X362" s="107" t="str">
        <x:f t="array" ref="X362">IF(C362&lt;&gt;"",_xlfn.IFS(X$10="EXAM",RECORD!HD364,X$10="OUTPUT",RECORD!HE364,X$10="LAB",CF362,TRUE(),""),"")</x:f>
      </x:c>
      <x:c r="Y362" s="106" t="str">
        <x:f t="shared" si="127"/>
      </x:c>
      <x:c r="Z362" s="108" t="str">
        <x:f t="shared" si="128"/>
      </x:c>
      <x:c r="AA362" s="109" t="str">
        <x:f t="shared" si="129"/>
      </x:c>
      <x:c r="AB362" s="111" t="str">
        <x:f t="shared" si="130"/>
      </x:c>
      <x:c r="AC362" s="109" t="str">
        <x:f t="shared" si="131"/>
      </x:c>
      <x:c r="AQ362" s="109" t="str">
        <x:f t="shared" si="132"/>
        <x:v>FAILED</x:v>
      </x:c>
      <x:c r="AR362" s="115"/>
      <x:c r="AS362" s="115"/>
      <x:c r="AT362" s="107"/>
      <x:c r="AU362" s="107"/>
      <x:c r="AV362" s="107"/>
      <x:c r="AW362" s="107"/>
      <x:c r="AX362" s="107"/>
      <x:c r="AY362" s="109" t="str">
        <x:f t="shared" si="133"/>
        <x:v>FAILED</x:v>
      </x:c>
      <x:c r="AZ362" s="115"/>
      <x:c r="BA362" s="115"/>
      <x:c r="BB362" s="107"/>
      <x:c r="BC362" s="107"/>
      <x:c r="BD362" s="107"/>
      <x:c r="BE362" s="107"/>
      <x:c r="BF362" s="107"/>
      <x:c r="BG362" s="109" t="str">
        <x:f t="shared" si="134"/>
        <x:v>FAILED</x:v>
      </x:c>
      <x:c r="BQ362" s="109" t="str">
        <x:f t="shared" si="135"/>
        <x:v>FAILED</x:v>
      </x:c>
      <x:c r="BR362" s="115"/>
      <x:c r="BS362" s="115"/>
      <x:c r="BT362" s="107"/>
      <x:c r="BU362" s="107"/>
      <x:c r="BV362" s="107"/>
      <x:c r="BW362" s="107"/>
      <x:c r="BX362" s="107"/>
      <x:c r="BY362" s="109" t="str">
        <x:f t="shared" si="136"/>
        <x:v>FAILED</x:v>
      </x:c>
      <x:c r="BZ362" s="115"/>
      <x:c r="CA362" s="115"/>
      <x:c r="CB362" s="107"/>
      <x:c r="CC362" s="107"/>
      <x:c r="CD362" s="107"/>
      <x:c r="CE362" s="107"/>
      <x:c r="CF362" s="107"/>
      <x:c r="CG362" s="109" t="str">
        <x:f t="shared" si="137"/>
        <x:v>FAILED</x:v>
      </x:c>
    </x:row>
    <x:row r="363">
      <x:c r="A363" s="102" t="str">
        <x:f>IF(RECORD!A365="","",RECORD!A365)</x:f>
      </x:c>
      <x:c r="B363" s="102" t="str">
        <x:f>IF(RECORD!B365="","",RECORD!B365)</x:f>
      </x:c>
      <x:c r="C363" s="103" t="str">
        <x:f>IF(RECORD!C365="","",RECORD!C365)</x:f>
      </x:c>
      <x:c r="D363" s="104" t="str">
        <x:f t="array" ref="D363">IF(C363&lt;&gt;"",IF(F$7="SUMMER","N/A",_xlfn.IFS(D$10="TLA",RECORD!GO365,F$10="LECTURE","",TRUE(),"")),"")</x:f>
      </x:c>
      <x:c r="E363" s="105" t="str">
        <x:f t="shared" si="115"/>
      </x:c>
      <x:c r="F363" s="104" t="str">
        <x:f t="array" ref="F363">IF(C363&lt;&gt;"",IF(F$7="SUMMER","N/A",_xlfn.IFS(F$10="AT",RECORD!GI365,F$10="LECTURE",GRADES!AP363,TRUE(),"")),"")</x:f>
      </x:c>
      <x:c r="G363" s="106" t="str">
        <x:f t="shared" si="116"/>
      </x:c>
      <x:c r="H363" s="107" t="str">
        <x:f t="array" ref="H363">IF(C363&lt;&gt;"",IF(F$7="SUMMER","N/A",_xlfn.IFS(H$10="EXAM",RECORD!GJ365,H$10="OUTPUT",RECORD!GK365,H$10="LAB",BP363,TRUE(),"")),"")</x:f>
      </x:c>
      <x:c r="I363" s="106" t="str">
        <x:f t="shared" si="117"/>
      </x:c>
      <x:c r="J363" s="108" t="str">
        <x:f t="shared" si="118"/>
      </x:c>
      <x:c r="K363" s="109" t="str">
        <x:f t="shared" si="119"/>
      </x:c>
      <x:c r="L363" s="110" t="str">
        <x:f t="array" ref="L363">IF(C363&lt;&gt;"",_xlfn.IFS(L$10="TLA",RECORD!GY365,N$10="LECTURE","",TRUE(),""),"")</x:f>
      </x:c>
      <x:c r="M363" s="105" t="str">
        <x:f t="shared" si="120"/>
      </x:c>
      <x:c r="N363" s="104" t="str">
        <x:f t="array" ref="N363">IF(C363&lt;&gt;"",_xlfn.IFS(N$10="AT",RECORD!GS365,N$10="LECTURE",AX363,TRUE(),""),"")</x:f>
      </x:c>
      <x:c r="O363" s="106" t="str">
        <x:f t="shared" si="121"/>
      </x:c>
      <x:c r="P363" s="107" t="str">
        <x:f t="array" ref="P363">IF(C363&lt;&gt;"",_xlfn.IFS(P$10="EXAM",RECORD!GT365,P$10="OUTPUT",RECORD!GU365,P$10="LAB",BX363,TRUE(),""),"")</x:f>
      </x:c>
      <x:c r="Q363" s="106" t="str">
        <x:f t="shared" si="122"/>
      </x:c>
      <x:c r="R363" s="108" t="str">
        <x:f t="shared" si="123"/>
      </x:c>
      <x:c r="S363" s="109" t="str">
        <x:f t="shared" si="124"/>
      </x:c>
      <x:c r="T363" s="110" t="str">
        <x:f t="array" ref="T363">IF(C363&lt;&gt;"",_xlfn.IFS(T$10="TLA",RECORD!HI365,V$10="LECTURE","",TRUE(),""),"")</x:f>
      </x:c>
      <x:c r="U363" s="105" t="str">
        <x:f t="shared" si="125"/>
      </x:c>
      <x:c r="V363" s="104" t="str">
        <x:f t="array" ref="V363">IF(C363&lt;&gt;"",_xlfn.IFS(V$10="AT",RECORD!HC365,V$10="LECTURE",BF363,TRUE(),""),"")</x:f>
      </x:c>
      <x:c r="W363" s="106" t="str">
        <x:f t="shared" si="126"/>
      </x:c>
      <x:c r="X363" s="107" t="str">
        <x:f t="array" ref="X363">IF(C363&lt;&gt;"",_xlfn.IFS(X$10="EXAM",RECORD!HD365,X$10="OUTPUT",RECORD!HE365,X$10="LAB",CF363,TRUE(),""),"")</x:f>
      </x:c>
      <x:c r="Y363" s="106" t="str">
        <x:f t="shared" si="127"/>
      </x:c>
      <x:c r="Z363" s="108" t="str">
        <x:f t="shared" si="128"/>
      </x:c>
      <x:c r="AA363" s="109" t="str">
        <x:f t="shared" si="129"/>
      </x:c>
      <x:c r="AB363" s="111" t="str">
        <x:f t="shared" si="130"/>
      </x:c>
      <x:c r="AC363" s="109" t="str">
        <x:f t="shared" si="131"/>
      </x:c>
      <x:c r="AQ363" s="109" t="str">
        <x:f t="shared" si="132"/>
        <x:v>FAILED</x:v>
      </x:c>
      <x:c r="AR363" s="115"/>
      <x:c r="AS363" s="115"/>
      <x:c r="AT363" s="107"/>
      <x:c r="AU363" s="107"/>
      <x:c r="AV363" s="107"/>
      <x:c r="AW363" s="107"/>
      <x:c r="AX363" s="107"/>
      <x:c r="AY363" s="109" t="str">
        <x:f t="shared" si="133"/>
        <x:v>FAILED</x:v>
      </x:c>
      <x:c r="AZ363" s="115"/>
      <x:c r="BA363" s="115"/>
      <x:c r="BB363" s="107"/>
      <x:c r="BC363" s="107"/>
      <x:c r="BD363" s="107"/>
      <x:c r="BE363" s="107"/>
      <x:c r="BF363" s="107"/>
      <x:c r="BG363" s="109" t="str">
        <x:f t="shared" si="134"/>
        <x:v>FAILED</x:v>
      </x:c>
      <x:c r="BQ363" s="109" t="str">
        <x:f t="shared" si="135"/>
        <x:v>FAILED</x:v>
      </x:c>
      <x:c r="BR363" s="115"/>
      <x:c r="BS363" s="115"/>
      <x:c r="BT363" s="107"/>
      <x:c r="BU363" s="107"/>
      <x:c r="BV363" s="107"/>
      <x:c r="BW363" s="107"/>
      <x:c r="BX363" s="107"/>
      <x:c r="BY363" s="109" t="str">
        <x:f t="shared" si="136"/>
        <x:v>FAILED</x:v>
      </x:c>
      <x:c r="BZ363" s="115"/>
      <x:c r="CA363" s="115"/>
      <x:c r="CB363" s="107"/>
      <x:c r="CC363" s="107"/>
      <x:c r="CD363" s="107"/>
      <x:c r="CE363" s="107"/>
      <x:c r="CF363" s="107"/>
      <x:c r="CG363" s="109" t="str">
        <x:f t="shared" si="137"/>
        <x:v>FAILED</x:v>
      </x:c>
    </x:row>
    <x:row r="364">
      <x:c r="A364" s="102" t="str">
        <x:f>IF(RECORD!A366="","",RECORD!A366)</x:f>
      </x:c>
      <x:c r="B364" s="102" t="str">
        <x:f>IF(RECORD!B366="","",RECORD!B366)</x:f>
      </x:c>
      <x:c r="C364" s="103" t="str">
        <x:f>IF(RECORD!C366="","",RECORD!C366)</x:f>
      </x:c>
      <x:c r="D364" s="104" t="str">
        <x:f t="array" ref="D364">IF(C364&lt;&gt;"",IF(F$7="SUMMER","N/A",_xlfn.IFS(D$10="TLA",RECORD!GO366,F$10="LECTURE","",TRUE(),"")),"")</x:f>
      </x:c>
      <x:c r="E364" s="105" t="str">
        <x:f t="shared" si="115"/>
      </x:c>
      <x:c r="F364" s="104" t="str">
        <x:f t="array" ref="F364">IF(C364&lt;&gt;"",IF(F$7="SUMMER","N/A",_xlfn.IFS(F$10="AT",RECORD!GI366,F$10="LECTURE",GRADES!AP364,TRUE(),"")),"")</x:f>
      </x:c>
      <x:c r="G364" s="106" t="str">
        <x:f t="shared" si="116"/>
      </x:c>
      <x:c r="H364" s="107" t="str">
        <x:f t="array" ref="H364">IF(C364&lt;&gt;"",IF(F$7="SUMMER","N/A",_xlfn.IFS(H$10="EXAM",RECORD!GJ366,H$10="OUTPUT",RECORD!GK366,H$10="LAB",BP364,TRUE(),"")),"")</x:f>
      </x:c>
      <x:c r="I364" s="106" t="str">
        <x:f t="shared" si="117"/>
      </x:c>
      <x:c r="J364" s="108" t="str">
        <x:f t="shared" si="118"/>
      </x:c>
      <x:c r="K364" s="109" t="str">
        <x:f t="shared" si="119"/>
      </x:c>
      <x:c r="L364" s="110" t="str">
        <x:f t="array" ref="L364">IF(C364&lt;&gt;"",_xlfn.IFS(L$10="TLA",RECORD!GY366,N$10="LECTURE","",TRUE(),""),"")</x:f>
      </x:c>
      <x:c r="M364" s="105" t="str">
        <x:f t="shared" si="120"/>
      </x:c>
      <x:c r="N364" s="104" t="str">
        <x:f t="array" ref="N364">IF(C364&lt;&gt;"",_xlfn.IFS(N$10="AT",RECORD!GS366,N$10="LECTURE",AX364,TRUE(),""),"")</x:f>
      </x:c>
      <x:c r="O364" s="106" t="str">
        <x:f t="shared" si="121"/>
      </x:c>
      <x:c r="P364" s="107" t="str">
        <x:f t="array" ref="P364">IF(C364&lt;&gt;"",_xlfn.IFS(P$10="EXAM",RECORD!GT366,P$10="OUTPUT",RECORD!GU366,P$10="LAB",BX364,TRUE(),""),"")</x:f>
      </x:c>
      <x:c r="Q364" s="106" t="str">
        <x:f t="shared" si="122"/>
      </x:c>
      <x:c r="R364" s="108" t="str">
        <x:f t="shared" si="123"/>
      </x:c>
      <x:c r="S364" s="109" t="str">
        <x:f t="shared" si="124"/>
      </x:c>
      <x:c r="T364" s="110" t="str">
        <x:f t="array" ref="T364">IF(C364&lt;&gt;"",_xlfn.IFS(T$10="TLA",RECORD!HI366,V$10="LECTURE","",TRUE(),""),"")</x:f>
      </x:c>
      <x:c r="U364" s="105" t="str">
        <x:f t="shared" si="125"/>
      </x:c>
      <x:c r="V364" s="104" t="str">
        <x:f t="array" ref="V364">IF(C364&lt;&gt;"",_xlfn.IFS(V$10="AT",RECORD!HC366,V$10="LECTURE",BF364,TRUE(),""),"")</x:f>
      </x:c>
      <x:c r="W364" s="106" t="str">
        <x:f t="shared" si="126"/>
      </x:c>
      <x:c r="X364" s="107" t="str">
        <x:f t="array" ref="X364">IF(C364&lt;&gt;"",_xlfn.IFS(X$10="EXAM",RECORD!HD366,X$10="OUTPUT",RECORD!HE366,X$10="LAB",CF364,TRUE(),""),"")</x:f>
      </x:c>
      <x:c r="Y364" s="106" t="str">
        <x:f t="shared" si="127"/>
      </x:c>
      <x:c r="Z364" s="108" t="str">
        <x:f t="shared" si="128"/>
      </x:c>
      <x:c r="AA364" s="109" t="str">
        <x:f t="shared" si="129"/>
      </x:c>
      <x:c r="AB364" s="111" t="str">
        <x:f t="shared" si="130"/>
      </x:c>
      <x:c r="AC364" s="109" t="str">
        <x:f t="shared" si="131"/>
      </x:c>
      <x:c r="AQ364" s="109" t="str">
        <x:f t="shared" si="132"/>
        <x:v>FAILED</x:v>
      </x:c>
      <x:c r="AR364" s="115"/>
      <x:c r="AS364" s="115"/>
      <x:c r="AT364" s="107"/>
      <x:c r="AU364" s="107"/>
      <x:c r="AV364" s="107"/>
      <x:c r="AW364" s="107"/>
      <x:c r="AX364" s="107"/>
      <x:c r="AY364" s="109" t="str">
        <x:f t="shared" si="133"/>
        <x:v>FAILED</x:v>
      </x:c>
      <x:c r="AZ364" s="115"/>
      <x:c r="BA364" s="115"/>
      <x:c r="BB364" s="107"/>
      <x:c r="BC364" s="107"/>
      <x:c r="BD364" s="107"/>
      <x:c r="BE364" s="107"/>
      <x:c r="BF364" s="107"/>
      <x:c r="BG364" s="109" t="str">
        <x:f t="shared" si="134"/>
        <x:v>FAILED</x:v>
      </x:c>
      <x:c r="BQ364" s="109" t="str">
        <x:f t="shared" si="135"/>
        <x:v>FAILED</x:v>
      </x:c>
      <x:c r="BR364" s="115"/>
      <x:c r="BS364" s="115"/>
      <x:c r="BT364" s="107"/>
      <x:c r="BU364" s="107"/>
      <x:c r="BV364" s="107"/>
      <x:c r="BW364" s="107"/>
      <x:c r="BX364" s="107"/>
      <x:c r="BY364" s="109" t="str">
        <x:f t="shared" si="136"/>
        <x:v>FAILED</x:v>
      </x:c>
      <x:c r="BZ364" s="115"/>
      <x:c r="CA364" s="115"/>
      <x:c r="CB364" s="107"/>
      <x:c r="CC364" s="107"/>
      <x:c r="CD364" s="107"/>
      <x:c r="CE364" s="107"/>
      <x:c r="CF364" s="107"/>
      <x:c r="CG364" s="109" t="str">
        <x:f t="shared" si="137"/>
        <x:v>FAILED</x:v>
      </x:c>
    </x:row>
    <x:row r="365">
      <x:c r="A365" s="102" t="str">
        <x:f>IF(RECORD!A367="","",RECORD!A367)</x:f>
      </x:c>
      <x:c r="B365" s="102" t="str">
        <x:f>IF(RECORD!B367="","",RECORD!B367)</x:f>
      </x:c>
      <x:c r="C365" s="103" t="str">
        <x:f>IF(RECORD!C367="","",RECORD!C367)</x:f>
      </x:c>
      <x:c r="D365" s="104" t="str">
        <x:f t="array" ref="D365">IF(C365&lt;&gt;"",IF(F$7="SUMMER","N/A",_xlfn.IFS(D$10="TLA",RECORD!GO367,F$10="LECTURE","",TRUE(),"")),"")</x:f>
      </x:c>
      <x:c r="E365" s="105" t="str">
        <x:f t="shared" si="115"/>
      </x:c>
      <x:c r="F365" s="104" t="str">
        <x:f t="array" ref="F365">IF(C365&lt;&gt;"",IF(F$7="SUMMER","N/A",_xlfn.IFS(F$10="AT",RECORD!GI367,F$10="LECTURE",GRADES!AP365,TRUE(),"")),"")</x:f>
      </x:c>
      <x:c r="G365" s="106" t="str">
        <x:f t="shared" si="116"/>
      </x:c>
      <x:c r="H365" s="107" t="str">
        <x:f t="array" ref="H365">IF(C365&lt;&gt;"",IF(F$7="SUMMER","N/A",_xlfn.IFS(H$10="EXAM",RECORD!GJ367,H$10="OUTPUT",RECORD!GK367,H$10="LAB",BP365,TRUE(),"")),"")</x:f>
      </x:c>
      <x:c r="I365" s="106" t="str">
        <x:f t="shared" si="117"/>
      </x:c>
      <x:c r="J365" s="108" t="str">
        <x:f t="shared" si="118"/>
      </x:c>
      <x:c r="K365" s="109" t="str">
        <x:f t="shared" si="119"/>
      </x:c>
      <x:c r="L365" s="110" t="str">
        <x:f t="array" ref="L365">IF(C365&lt;&gt;"",_xlfn.IFS(L$10="TLA",RECORD!GY367,N$10="LECTURE","",TRUE(),""),"")</x:f>
      </x:c>
      <x:c r="M365" s="105" t="str">
        <x:f t="shared" si="120"/>
      </x:c>
      <x:c r="N365" s="104" t="str">
        <x:f t="array" ref="N365">IF(C365&lt;&gt;"",_xlfn.IFS(N$10="AT",RECORD!GS367,N$10="LECTURE",AX365,TRUE(),""),"")</x:f>
      </x:c>
      <x:c r="O365" s="106" t="str">
        <x:f t="shared" si="121"/>
      </x:c>
      <x:c r="P365" s="107" t="str">
        <x:f t="array" ref="P365">IF(C365&lt;&gt;"",_xlfn.IFS(P$10="EXAM",RECORD!GT367,P$10="OUTPUT",RECORD!GU367,P$10="LAB",BX365,TRUE(),""),"")</x:f>
      </x:c>
      <x:c r="Q365" s="106" t="str">
        <x:f t="shared" si="122"/>
      </x:c>
      <x:c r="R365" s="108" t="str">
        <x:f t="shared" si="123"/>
      </x:c>
      <x:c r="S365" s="109" t="str">
        <x:f t="shared" si="124"/>
      </x:c>
      <x:c r="T365" s="110" t="str">
        <x:f t="array" ref="T365">IF(C365&lt;&gt;"",_xlfn.IFS(T$10="TLA",RECORD!HI367,V$10="LECTURE","",TRUE(),""),"")</x:f>
      </x:c>
      <x:c r="U365" s="105" t="str">
        <x:f t="shared" si="125"/>
      </x:c>
      <x:c r="V365" s="104" t="str">
        <x:f t="array" ref="V365">IF(C365&lt;&gt;"",_xlfn.IFS(V$10="AT",RECORD!HC367,V$10="LECTURE",BF365,TRUE(),""),"")</x:f>
      </x:c>
      <x:c r="W365" s="106" t="str">
        <x:f t="shared" si="126"/>
      </x:c>
      <x:c r="X365" s="107" t="str">
        <x:f t="array" ref="X365">IF(C365&lt;&gt;"",_xlfn.IFS(X$10="EXAM",RECORD!HD367,X$10="OUTPUT",RECORD!HE367,X$10="LAB",CF365,TRUE(),""),"")</x:f>
      </x:c>
      <x:c r="Y365" s="106" t="str">
        <x:f t="shared" si="127"/>
      </x:c>
      <x:c r="Z365" s="108" t="str">
        <x:f t="shared" si="128"/>
      </x:c>
      <x:c r="AA365" s="109" t="str">
        <x:f t="shared" si="129"/>
      </x:c>
      <x:c r="AB365" s="111" t="str">
        <x:f t="shared" si="130"/>
      </x:c>
      <x:c r="AC365" s="109" t="str">
        <x:f t="shared" si="131"/>
      </x:c>
      <x:c r="AQ365" s="109" t="str">
        <x:f t="shared" si="132"/>
        <x:v>FAILED</x:v>
      </x:c>
      <x:c r="AR365" s="115"/>
      <x:c r="AS365" s="115"/>
      <x:c r="AT365" s="107"/>
      <x:c r="AU365" s="107"/>
      <x:c r="AV365" s="107"/>
      <x:c r="AW365" s="107"/>
      <x:c r="AX365" s="107"/>
      <x:c r="AY365" s="109" t="str">
        <x:f t="shared" si="133"/>
        <x:v>FAILED</x:v>
      </x:c>
      <x:c r="AZ365" s="115"/>
      <x:c r="BA365" s="115"/>
      <x:c r="BB365" s="107"/>
      <x:c r="BC365" s="107"/>
      <x:c r="BD365" s="107"/>
      <x:c r="BE365" s="107"/>
      <x:c r="BF365" s="107"/>
      <x:c r="BG365" s="109" t="str">
        <x:f t="shared" si="134"/>
        <x:v>FAILED</x:v>
      </x:c>
      <x:c r="BQ365" s="109" t="str">
        <x:f t="shared" si="135"/>
        <x:v>FAILED</x:v>
      </x:c>
      <x:c r="BR365" s="115"/>
      <x:c r="BS365" s="115"/>
      <x:c r="BT365" s="107"/>
      <x:c r="BU365" s="107"/>
      <x:c r="BV365" s="107"/>
      <x:c r="BW365" s="107"/>
      <x:c r="BX365" s="107"/>
      <x:c r="BY365" s="109" t="str">
        <x:f t="shared" si="136"/>
        <x:v>FAILED</x:v>
      </x:c>
      <x:c r="BZ365" s="115"/>
      <x:c r="CA365" s="115"/>
      <x:c r="CB365" s="107"/>
      <x:c r="CC365" s="107"/>
      <x:c r="CD365" s="107"/>
      <x:c r="CE365" s="107"/>
      <x:c r="CF365" s="107"/>
      <x:c r="CG365" s="109" t="str">
        <x:f t="shared" si="137"/>
        <x:v>FAILED</x:v>
      </x:c>
    </x:row>
    <x:row r="366">
      <x:c r="A366" s="102" t="str">
        <x:f>IF(RECORD!A368="","",RECORD!A368)</x:f>
      </x:c>
      <x:c r="B366" s="102" t="str">
        <x:f>IF(RECORD!B368="","",RECORD!B368)</x:f>
      </x:c>
      <x:c r="C366" s="103" t="str">
        <x:f>IF(RECORD!C368="","",RECORD!C368)</x:f>
      </x:c>
      <x:c r="D366" s="104" t="str">
        <x:f t="array" ref="D366">IF(C366&lt;&gt;"",IF(F$7="SUMMER","N/A",_xlfn.IFS(D$10="TLA",RECORD!GO368,F$10="LECTURE","",TRUE(),"")),"")</x:f>
      </x:c>
      <x:c r="E366" s="105" t="str">
        <x:f t="shared" si="115"/>
      </x:c>
      <x:c r="F366" s="104" t="str">
        <x:f t="array" ref="F366">IF(C366&lt;&gt;"",IF(F$7="SUMMER","N/A",_xlfn.IFS(F$10="AT",RECORD!GI368,F$10="LECTURE",GRADES!AP366,TRUE(),"")),"")</x:f>
      </x:c>
      <x:c r="G366" s="106" t="str">
        <x:f t="shared" si="116"/>
      </x:c>
      <x:c r="H366" s="107" t="str">
        <x:f t="array" ref="H366">IF(C366&lt;&gt;"",IF(F$7="SUMMER","N/A",_xlfn.IFS(H$10="EXAM",RECORD!GJ368,H$10="OUTPUT",RECORD!GK368,H$10="LAB",BP366,TRUE(),"")),"")</x:f>
      </x:c>
      <x:c r="I366" s="106" t="str">
        <x:f t="shared" si="117"/>
      </x:c>
      <x:c r="J366" s="108" t="str">
        <x:f t="shared" si="118"/>
      </x:c>
      <x:c r="K366" s="109" t="str">
        <x:f t="shared" si="119"/>
      </x:c>
      <x:c r="L366" s="110" t="str">
        <x:f t="array" ref="L366">IF(C366&lt;&gt;"",_xlfn.IFS(L$10="TLA",RECORD!GY368,N$10="LECTURE","",TRUE(),""),"")</x:f>
      </x:c>
      <x:c r="M366" s="105" t="str">
        <x:f t="shared" si="120"/>
      </x:c>
      <x:c r="N366" s="104" t="str">
        <x:f t="array" ref="N366">IF(C366&lt;&gt;"",_xlfn.IFS(N$10="AT",RECORD!GS368,N$10="LECTURE",AX366,TRUE(),""),"")</x:f>
      </x:c>
      <x:c r="O366" s="106" t="str">
        <x:f t="shared" si="121"/>
      </x:c>
      <x:c r="P366" s="107" t="str">
        <x:f t="array" ref="P366">IF(C366&lt;&gt;"",_xlfn.IFS(P$10="EXAM",RECORD!GT368,P$10="OUTPUT",RECORD!GU368,P$10="LAB",BX366,TRUE(),""),"")</x:f>
      </x:c>
      <x:c r="Q366" s="106" t="str">
        <x:f t="shared" si="122"/>
      </x:c>
      <x:c r="R366" s="108" t="str">
        <x:f t="shared" si="123"/>
      </x:c>
      <x:c r="S366" s="109" t="str">
        <x:f t="shared" si="124"/>
      </x:c>
      <x:c r="T366" s="110" t="str">
        <x:f t="array" ref="T366">IF(C366&lt;&gt;"",_xlfn.IFS(T$10="TLA",RECORD!HI368,V$10="LECTURE","",TRUE(),""),"")</x:f>
      </x:c>
      <x:c r="U366" s="105" t="str">
        <x:f t="shared" si="125"/>
      </x:c>
      <x:c r="V366" s="104" t="str">
        <x:f t="array" ref="V366">IF(C366&lt;&gt;"",_xlfn.IFS(V$10="AT",RECORD!HC368,V$10="LECTURE",BF366,TRUE(),""),"")</x:f>
      </x:c>
      <x:c r="W366" s="106" t="str">
        <x:f t="shared" si="126"/>
      </x:c>
      <x:c r="X366" s="107" t="str">
        <x:f t="array" ref="X366">IF(C366&lt;&gt;"",_xlfn.IFS(X$10="EXAM",RECORD!HD368,X$10="OUTPUT",RECORD!HE368,X$10="LAB",CF366,TRUE(),""),"")</x:f>
      </x:c>
      <x:c r="Y366" s="106" t="str">
        <x:f t="shared" si="127"/>
      </x:c>
      <x:c r="Z366" s="108" t="str">
        <x:f t="shared" si="128"/>
      </x:c>
      <x:c r="AA366" s="109" t="str">
        <x:f t="shared" si="129"/>
      </x:c>
      <x:c r="AB366" s="111" t="str">
        <x:f t="shared" si="130"/>
      </x:c>
      <x:c r="AC366" s="109" t="str">
        <x:f t="shared" si="131"/>
      </x:c>
      <x:c r="AQ366" s="109" t="str">
        <x:f t="shared" si="132"/>
        <x:v>FAILED</x:v>
      </x:c>
      <x:c r="AR366" s="115"/>
      <x:c r="AS366" s="115"/>
      <x:c r="AT366" s="107"/>
      <x:c r="AU366" s="107"/>
      <x:c r="AV366" s="107"/>
      <x:c r="AW366" s="107"/>
      <x:c r="AX366" s="107"/>
      <x:c r="AY366" s="109" t="str">
        <x:f t="shared" si="133"/>
        <x:v>FAILED</x:v>
      </x:c>
      <x:c r="AZ366" s="115"/>
      <x:c r="BA366" s="115"/>
      <x:c r="BB366" s="107"/>
      <x:c r="BC366" s="107"/>
      <x:c r="BD366" s="107"/>
      <x:c r="BE366" s="107"/>
      <x:c r="BF366" s="107"/>
      <x:c r="BG366" s="109" t="str">
        <x:f t="shared" si="134"/>
        <x:v>FAILED</x:v>
      </x:c>
      <x:c r="BQ366" s="109" t="str">
        <x:f t="shared" si="135"/>
        <x:v>FAILED</x:v>
      </x:c>
      <x:c r="BR366" s="115"/>
      <x:c r="BS366" s="115"/>
      <x:c r="BT366" s="107"/>
      <x:c r="BU366" s="107"/>
      <x:c r="BV366" s="107"/>
      <x:c r="BW366" s="107"/>
      <x:c r="BX366" s="107"/>
      <x:c r="BY366" s="109" t="str">
        <x:f t="shared" si="136"/>
        <x:v>FAILED</x:v>
      </x:c>
      <x:c r="BZ366" s="115"/>
      <x:c r="CA366" s="115"/>
      <x:c r="CB366" s="107"/>
      <x:c r="CC366" s="107"/>
      <x:c r="CD366" s="107"/>
      <x:c r="CE366" s="107"/>
      <x:c r="CF366" s="107"/>
      <x:c r="CG366" s="109" t="str">
        <x:f t="shared" si="137"/>
        <x:v>FAILED</x:v>
      </x:c>
    </x:row>
    <x:row r="367">
      <x:c r="A367" s="102" t="str">
        <x:f>IF(RECORD!A369="","",RECORD!A369)</x:f>
      </x:c>
      <x:c r="B367" s="102" t="str">
        <x:f>IF(RECORD!B369="","",RECORD!B369)</x:f>
      </x:c>
      <x:c r="C367" s="103" t="str">
        <x:f>IF(RECORD!C369="","",RECORD!C369)</x:f>
      </x:c>
      <x:c r="D367" s="104" t="str">
        <x:f t="array" ref="D367">IF(C367&lt;&gt;"",IF(F$7="SUMMER","N/A",_xlfn.IFS(D$10="TLA",RECORD!GO369,F$10="LECTURE","",TRUE(),"")),"")</x:f>
      </x:c>
      <x:c r="E367" s="105" t="str">
        <x:f t="shared" si="115"/>
      </x:c>
      <x:c r="F367" s="104" t="str">
        <x:f t="array" ref="F367">IF(C367&lt;&gt;"",IF(F$7="SUMMER","N/A",_xlfn.IFS(F$10="AT",RECORD!GI369,F$10="LECTURE",GRADES!AP367,TRUE(),"")),"")</x:f>
      </x:c>
      <x:c r="G367" s="106" t="str">
        <x:f t="shared" si="116"/>
      </x:c>
      <x:c r="H367" s="107" t="str">
        <x:f t="array" ref="H367">IF(C367&lt;&gt;"",IF(F$7="SUMMER","N/A",_xlfn.IFS(H$10="EXAM",RECORD!GJ369,H$10="OUTPUT",RECORD!GK369,H$10="LAB",BP367,TRUE(),"")),"")</x:f>
      </x:c>
      <x:c r="I367" s="106" t="str">
        <x:f t="shared" si="117"/>
      </x:c>
      <x:c r="J367" s="108" t="str">
        <x:f t="shared" si="118"/>
      </x:c>
      <x:c r="K367" s="109" t="str">
        <x:f t="shared" si="119"/>
      </x:c>
      <x:c r="L367" s="110" t="str">
        <x:f t="array" ref="L367">IF(C367&lt;&gt;"",_xlfn.IFS(L$10="TLA",RECORD!GY369,N$10="LECTURE","",TRUE(),""),"")</x:f>
      </x:c>
      <x:c r="M367" s="105" t="str">
        <x:f t="shared" si="120"/>
      </x:c>
      <x:c r="N367" s="104" t="str">
        <x:f t="array" ref="N367">IF(C367&lt;&gt;"",_xlfn.IFS(N$10="AT",RECORD!GS369,N$10="LECTURE",AX367,TRUE(),""),"")</x:f>
      </x:c>
      <x:c r="O367" s="106" t="str">
        <x:f t="shared" si="121"/>
      </x:c>
      <x:c r="P367" s="107" t="str">
        <x:f t="array" ref="P367">IF(C367&lt;&gt;"",_xlfn.IFS(P$10="EXAM",RECORD!GT369,P$10="OUTPUT",RECORD!GU369,P$10="LAB",BX367,TRUE(),""),"")</x:f>
      </x:c>
      <x:c r="Q367" s="106" t="str">
        <x:f t="shared" si="122"/>
      </x:c>
      <x:c r="R367" s="108" t="str">
        <x:f t="shared" si="123"/>
      </x:c>
      <x:c r="S367" s="109" t="str">
        <x:f t="shared" si="124"/>
      </x:c>
      <x:c r="T367" s="110" t="str">
        <x:f t="array" ref="T367">IF(C367&lt;&gt;"",_xlfn.IFS(T$10="TLA",RECORD!HI369,V$10="LECTURE","",TRUE(),""),"")</x:f>
      </x:c>
      <x:c r="U367" s="105" t="str">
        <x:f t="shared" si="125"/>
      </x:c>
      <x:c r="V367" s="104" t="str">
        <x:f t="array" ref="V367">IF(C367&lt;&gt;"",_xlfn.IFS(V$10="AT",RECORD!HC369,V$10="LECTURE",BF367,TRUE(),""),"")</x:f>
      </x:c>
      <x:c r="W367" s="106" t="str">
        <x:f t="shared" si="126"/>
      </x:c>
      <x:c r="X367" s="107" t="str">
        <x:f t="array" ref="X367">IF(C367&lt;&gt;"",_xlfn.IFS(X$10="EXAM",RECORD!HD369,X$10="OUTPUT",RECORD!HE369,X$10="LAB",CF367,TRUE(),""),"")</x:f>
      </x:c>
      <x:c r="Y367" s="106" t="str">
        <x:f t="shared" si="127"/>
      </x:c>
      <x:c r="Z367" s="108" t="str">
        <x:f t="shared" si="128"/>
      </x:c>
      <x:c r="AA367" s="109" t="str">
        <x:f t="shared" si="129"/>
      </x:c>
      <x:c r="AB367" s="111" t="str">
        <x:f t="shared" si="130"/>
      </x:c>
      <x:c r="AC367" s="109" t="str">
        <x:f t="shared" si="131"/>
      </x:c>
      <x:c r="AQ367" s="109" t="str">
        <x:f t="shared" si="132"/>
        <x:v>FAILED</x:v>
      </x:c>
      <x:c r="AR367" s="115"/>
      <x:c r="AS367" s="115"/>
      <x:c r="AT367" s="107"/>
      <x:c r="AU367" s="107"/>
      <x:c r="AV367" s="107"/>
      <x:c r="AW367" s="107"/>
      <x:c r="AX367" s="107"/>
      <x:c r="AY367" s="109" t="str">
        <x:f t="shared" si="133"/>
        <x:v>FAILED</x:v>
      </x:c>
      <x:c r="AZ367" s="115"/>
      <x:c r="BA367" s="115"/>
      <x:c r="BB367" s="107"/>
      <x:c r="BC367" s="107"/>
      <x:c r="BD367" s="107"/>
      <x:c r="BE367" s="107"/>
      <x:c r="BF367" s="107"/>
      <x:c r="BG367" s="109" t="str">
        <x:f t="shared" si="134"/>
        <x:v>FAILED</x:v>
      </x:c>
      <x:c r="BQ367" s="109" t="str">
        <x:f t="shared" si="135"/>
        <x:v>FAILED</x:v>
      </x:c>
      <x:c r="BR367" s="115"/>
      <x:c r="BS367" s="115"/>
      <x:c r="BT367" s="107"/>
      <x:c r="BU367" s="107"/>
      <x:c r="BV367" s="107"/>
      <x:c r="BW367" s="107"/>
      <x:c r="BX367" s="107"/>
      <x:c r="BY367" s="109" t="str">
        <x:f t="shared" si="136"/>
        <x:v>FAILED</x:v>
      </x:c>
      <x:c r="BZ367" s="115"/>
      <x:c r="CA367" s="115"/>
      <x:c r="CB367" s="107"/>
      <x:c r="CC367" s="107"/>
      <x:c r="CD367" s="107"/>
      <x:c r="CE367" s="107"/>
      <x:c r="CF367" s="107"/>
      <x:c r="CG367" s="109" t="str">
        <x:f t="shared" si="137"/>
        <x:v>FAILED</x:v>
      </x:c>
    </x:row>
    <x:row r="368">
      <x:c r="A368" s="102" t="str">
        <x:f>IF(RECORD!A370="","",RECORD!A370)</x:f>
      </x:c>
      <x:c r="B368" s="102" t="str">
        <x:f>IF(RECORD!B370="","",RECORD!B370)</x:f>
      </x:c>
      <x:c r="C368" s="103" t="str">
        <x:f>IF(RECORD!C370="","",RECORD!C370)</x:f>
      </x:c>
      <x:c r="D368" s="104" t="str">
        <x:f t="array" ref="D368">IF(C368&lt;&gt;"",IF(F$7="SUMMER","N/A",_xlfn.IFS(D$10="TLA",RECORD!GO370,F$10="LECTURE","",TRUE(),"")),"")</x:f>
      </x:c>
      <x:c r="E368" s="105" t="str">
        <x:f t="shared" si="115"/>
      </x:c>
      <x:c r="F368" s="104" t="str">
        <x:f t="array" ref="F368">IF(C368&lt;&gt;"",IF(F$7="SUMMER","N/A",_xlfn.IFS(F$10="AT",RECORD!GI370,F$10="LECTURE",GRADES!AP368,TRUE(),"")),"")</x:f>
      </x:c>
      <x:c r="G368" s="106" t="str">
        <x:f t="shared" si="116"/>
      </x:c>
      <x:c r="H368" s="107" t="str">
        <x:f t="array" ref="H368">IF(C368&lt;&gt;"",IF(F$7="SUMMER","N/A",_xlfn.IFS(H$10="EXAM",RECORD!GJ370,H$10="OUTPUT",RECORD!GK370,H$10="LAB",BP368,TRUE(),"")),"")</x:f>
      </x:c>
      <x:c r="I368" s="106" t="str">
        <x:f t="shared" si="117"/>
      </x:c>
      <x:c r="J368" s="108" t="str">
        <x:f t="shared" si="118"/>
      </x:c>
      <x:c r="K368" s="109" t="str">
        <x:f t="shared" si="119"/>
      </x:c>
      <x:c r="L368" s="110" t="str">
        <x:f t="array" ref="L368">IF(C368&lt;&gt;"",_xlfn.IFS(L$10="TLA",RECORD!GY370,N$10="LECTURE","",TRUE(),""),"")</x:f>
      </x:c>
      <x:c r="M368" s="105" t="str">
        <x:f t="shared" si="120"/>
      </x:c>
      <x:c r="N368" s="104" t="str">
        <x:f t="array" ref="N368">IF(C368&lt;&gt;"",_xlfn.IFS(N$10="AT",RECORD!GS370,N$10="LECTURE",AX368,TRUE(),""),"")</x:f>
      </x:c>
      <x:c r="O368" s="106" t="str">
        <x:f t="shared" si="121"/>
      </x:c>
      <x:c r="P368" s="107" t="str">
        <x:f t="array" ref="P368">IF(C368&lt;&gt;"",_xlfn.IFS(P$10="EXAM",RECORD!GT370,P$10="OUTPUT",RECORD!GU370,P$10="LAB",BX368,TRUE(),""),"")</x:f>
      </x:c>
      <x:c r="Q368" s="106" t="str">
        <x:f t="shared" si="122"/>
      </x:c>
      <x:c r="R368" s="108" t="str">
        <x:f t="shared" si="123"/>
      </x:c>
      <x:c r="S368" s="109" t="str">
        <x:f t="shared" si="124"/>
      </x:c>
      <x:c r="T368" s="110" t="str">
        <x:f t="array" ref="T368">IF(C368&lt;&gt;"",_xlfn.IFS(T$10="TLA",RECORD!HI370,V$10="LECTURE","",TRUE(),""),"")</x:f>
      </x:c>
      <x:c r="U368" s="105" t="str">
        <x:f t="shared" si="125"/>
      </x:c>
      <x:c r="V368" s="104" t="str">
        <x:f t="array" ref="V368">IF(C368&lt;&gt;"",_xlfn.IFS(V$10="AT",RECORD!HC370,V$10="LECTURE",BF368,TRUE(),""),"")</x:f>
      </x:c>
      <x:c r="W368" s="106" t="str">
        <x:f t="shared" si="126"/>
      </x:c>
      <x:c r="X368" s="107" t="str">
        <x:f t="array" ref="X368">IF(C368&lt;&gt;"",_xlfn.IFS(X$10="EXAM",RECORD!HD370,X$10="OUTPUT",RECORD!HE370,X$10="LAB",CF368,TRUE(),""),"")</x:f>
      </x:c>
      <x:c r="Y368" s="106" t="str">
        <x:f t="shared" si="127"/>
      </x:c>
      <x:c r="Z368" s="108" t="str">
        <x:f t="shared" si="128"/>
      </x:c>
      <x:c r="AA368" s="109" t="str">
        <x:f t="shared" si="129"/>
      </x:c>
      <x:c r="AB368" s="111" t="str">
        <x:f t="shared" si="130"/>
      </x:c>
      <x:c r="AC368" s="109" t="str">
        <x:f t="shared" si="131"/>
      </x:c>
      <x:c r="AQ368" s="109" t="str">
        <x:f t="shared" si="132"/>
        <x:v>FAILED</x:v>
      </x:c>
      <x:c r="AR368" s="115"/>
      <x:c r="AS368" s="115"/>
      <x:c r="AT368" s="107"/>
      <x:c r="AU368" s="107"/>
      <x:c r="AV368" s="107"/>
      <x:c r="AW368" s="107"/>
      <x:c r="AX368" s="107"/>
      <x:c r="AY368" s="109" t="str">
        <x:f t="shared" si="133"/>
        <x:v>FAILED</x:v>
      </x:c>
      <x:c r="AZ368" s="115"/>
      <x:c r="BA368" s="115"/>
      <x:c r="BB368" s="107"/>
      <x:c r="BC368" s="107"/>
      <x:c r="BD368" s="107"/>
      <x:c r="BE368" s="107"/>
      <x:c r="BF368" s="107"/>
      <x:c r="BG368" s="109" t="str">
        <x:f t="shared" si="134"/>
        <x:v>FAILED</x:v>
      </x:c>
      <x:c r="BQ368" s="109" t="str">
        <x:f t="shared" si="135"/>
        <x:v>FAILED</x:v>
      </x:c>
      <x:c r="BR368" s="115"/>
      <x:c r="BS368" s="115"/>
      <x:c r="BT368" s="107"/>
      <x:c r="BU368" s="107"/>
      <x:c r="BV368" s="107"/>
      <x:c r="BW368" s="107"/>
      <x:c r="BX368" s="107"/>
      <x:c r="BY368" s="109" t="str">
        <x:f t="shared" si="136"/>
        <x:v>FAILED</x:v>
      </x:c>
      <x:c r="BZ368" s="115"/>
      <x:c r="CA368" s="115"/>
      <x:c r="CB368" s="107"/>
      <x:c r="CC368" s="107"/>
      <x:c r="CD368" s="107"/>
      <x:c r="CE368" s="107"/>
      <x:c r="CF368" s="107"/>
      <x:c r="CG368" s="109" t="str">
        <x:f t="shared" si="137"/>
        <x:v>FAILED</x:v>
      </x:c>
    </x:row>
    <x:row r="369">
      <x:c r="A369" s="102" t="str">
        <x:f>IF(RECORD!A371="","",RECORD!A371)</x:f>
      </x:c>
      <x:c r="B369" s="102" t="str">
        <x:f>IF(RECORD!B371="","",RECORD!B371)</x:f>
      </x:c>
      <x:c r="C369" s="103" t="str">
        <x:f>IF(RECORD!C371="","",RECORD!C371)</x:f>
      </x:c>
      <x:c r="D369" s="104" t="str">
        <x:f t="array" ref="D369">IF(C369&lt;&gt;"",IF(F$7="SUMMER","N/A",_xlfn.IFS(D$10="TLA",RECORD!GO371,F$10="LECTURE","",TRUE(),"")),"")</x:f>
      </x:c>
      <x:c r="E369" s="105" t="str">
        <x:f t="shared" si="115"/>
      </x:c>
      <x:c r="F369" s="104" t="str">
        <x:f t="array" ref="F369">IF(C369&lt;&gt;"",IF(F$7="SUMMER","N/A",_xlfn.IFS(F$10="AT",RECORD!GI371,F$10="LECTURE",GRADES!AP369,TRUE(),"")),"")</x:f>
      </x:c>
      <x:c r="G369" s="106" t="str">
        <x:f t="shared" si="116"/>
      </x:c>
      <x:c r="H369" s="107" t="str">
        <x:f t="array" ref="H369">IF(C369&lt;&gt;"",IF(F$7="SUMMER","N/A",_xlfn.IFS(H$10="EXAM",RECORD!GJ371,H$10="OUTPUT",RECORD!GK371,H$10="LAB",BP369,TRUE(),"")),"")</x:f>
      </x:c>
      <x:c r="I369" s="106" t="str">
        <x:f t="shared" si="117"/>
      </x:c>
      <x:c r="J369" s="108" t="str">
        <x:f t="shared" si="118"/>
      </x:c>
      <x:c r="K369" s="109" t="str">
        <x:f t="shared" si="119"/>
      </x:c>
      <x:c r="L369" s="110" t="str">
        <x:f t="array" ref="L369">IF(C369&lt;&gt;"",_xlfn.IFS(L$10="TLA",RECORD!GY371,N$10="LECTURE","",TRUE(),""),"")</x:f>
      </x:c>
      <x:c r="M369" s="105" t="str">
        <x:f t="shared" si="120"/>
      </x:c>
      <x:c r="N369" s="104" t="str">
        <x:f t="array" ref="N369">IF(C369&lt;&gt;"",_xlfn.IFS(N$10="AT",RECORD!GS371,N$10="LECTURE",AX369,TRUE(),""),"")</x:f>
      </x:c>
      <x:c r="O369" s="106" t="str">
        <x:f t="shared" si="121"/>
      </x:c>
      <x:c r="P369" s="107" t="str">
        <x:f t="array" ref="P369">IF(C369&lt;&gt;"",_xlfn.IFS(P$10="EXAM",RECORD!GT371,P$10="OUTPUT",RECORD!GU371,P$10="LAB",BX369,TRUE(),""),"")</x:f>
      </x:c>
      <x:c r="Q369" s="106" t="str">
        <x:f t="shared" si="122"/>
      </x:c>
      <x:c r="R369" s="108" t="str">
        <x:f t="shared" si="123"/>
      </x:c>
      <x:c r="S369" s="109" t="str">
        <x:f t="shared" si="124"/>
      </x:c>
      <x:c r="T369" s="110" t="str">
        <x:f t="array" ref="T369">IF(C369&lt;&gt;"",_xlfn.IFS(T$10="TLA",RECORD!HI371,V$10="LECTURE","",TRUE(),""),"")</x:f>
      </x:c>
      <x:c r="U369" s="105" t="str">
        <x:f t="shared" si="125"/>
      </x:c>
      <x:c r="V369" s="104" t="str">
        <x:f t="array" ref="V369">IF(C369&lt;&gt;"",_xlfn.IFS(V$10="AT",RECORD!HC371,V$10="LECTURE",BF369,TRUE(),""),"")</x:f>
      </x:c>
      <x:c r="W369" s="106" t="str">
        <x:f t="shared" si="126"/>
      </x:c>
      <x:c r="X369" s="107" t="str">
        <x:f t="array" ref="X369">IF(C369&lt;&gt;"",_xlfn.IFS(X$10="EXAM",RECORD!HD371,X$10="OUTPUT",RECORD!HE371,X$10="LAB",CF369,TRUE(),""),"")</x:f>
      </x:c>
      <x:c r="Y369" s="106" t="str">
        <x:f t="shared" si="127"/>
      </x:c>
      <x:c r="Z369" s="108" t="str">
        <x:f t="shared" si="128"/>
      </x:c>
      <x:c r="AA369" s="109" t="str">
        <x:f t="shared" si="129"/>
      </x:c>
      <x:c r="AB369" s="111" t="str">
        <x:f t="shared" si="130"/>
      </x:c>
      <x:c r="AC369" s="109" t="str">
        <x:f t="shared" si="131"/>
      </x:c>
      <x:c r="AQ369" s="109" t="str">
        <x:f t="shared" si="132"/>
        <x:v>FAILED</x:v>
      </x:c>
      <x:c r="AR369" s="115"/>
      <x:c r="AS369" s="115"/>
      <x:c r="AT369" s="107"/>
      <x:c r="AU369" s="107"/>
      <x:c r="AV369" s="107"/>
      <x:c r="AW369" s="107"/>
      <x:c r="AX369" s="107"/>
      <x:c r="AY369" s="109" t="str">
        <x:f t="shared" si="133"/>
        <x:v>FAILED</x:v>
      </x:c>
      <x:c r="AZ369" s="115"/>
      <x:c r="BA369" s="115"/>
      <x:c r="BB369" s="107"/>
      <x:c r="BC369" s="107"/>
      <x:c r="BD369" s="107"/>
      <x:c r="BE369" s="107"/>
      <x:c r="BF369" s="107"/>
      <x:c r="BG369" s="109" t="str">
        <x:f t="shared" si="134"/>
        <x:v>FAILED</x:v>
      </x:c>
      <x:c r="BQ369" s="109" t="str">
        <x:f t="shared" si="135"/>
        <x:v>FAILED</x:v>
      </x:c>
      <x:c r="BR369" s="115"/>
      <x:c r="BS369" s="115"/>
      <x:c r="BT369" s="107"/>
      <x:c r="BU369" s="107"/>
      <x:c r="BV369" s="107"/>
      <x:c r="BW369" s="107"/>
      <x:c r="BX369" s="107"/>
      <x:c r="BY369" s="109" t="str">
        <x:f t="shared" si="136"/>
        <x:v>FAILED</x:v>
      </x:c>
      <x:c r="BZ369" s="115"/>
      <x:c r="CA369" s="115"/>
      <x:c r="CB369" s="107"/>
      <x:c r="CC369" s="107"/>
      <x:c r="CD369" s="107"/>
      <x:c r="CE369" s="107"/>
      <x:c r="CF369" s="107"/>
      <x:c r="CG369" s="109" t="str">
        <x:f t="shared" si="137"/>
        <x:v>FAILED</x:v>
      </x:c>
    </x:row>
    <x:row r="370">
      <x:c r="A370" s="102" t="str">
        <x:f>IF(RECORD!A372="","",RECORD!A372)</x:f>
      </x:c>
      <x:c r="B370" s="102" t="str">
        <x:f>IF(RECORD!B372="","",RECORD!B372)</x:f>
      </x:c>
      <x:c r="C370" s="103" t="str">
        <x:f>IF(RECORD!C372="","",RECORD!C372)</x:f>
      </x:c>
      <x:c r="D370" s="104" t="str">
        <x:f t="array" ref="D370">IF(C370&lt;&gt;"",IF(F$7="SUMMER","N/A",_xlfn.IFS(D$10="TLA",RECORD!GO372,F$10="LECTURE","",TRUE(),"")),"")</x:f>
      </x:c>
      <x:c r="E370" s="105" t="str">
        <x:f t="shared" si="115"/>
      </x:c>
      <x:c r="F370" s="104" t="str">
        <x:f t="array" ref="F370">IF(C370&lt;&gt;"",IF(F$7="SUMMER","N/A",_xlfn.IFS(F$10="AT",RECORD!GI372,F$10="LECTURE",GRADES!AP370,TRUE(),"")),"")</x:f>
      </x:c>
      <x:c r="G370" s="106" t="str">
        <x:f t="shared" si="116"/>
      </x:c>
      <x:c r="H370" s="107" t="str">
        <x:f t="array" ref="H370">IF(C370&lt;&gt;"",IF(F$7="SUMMER","N/A",_xlfn.IFS(H$10="EXAM",RECORD!GJ372,H$10="OUTPUT",RECORD!GK372,H$10="LAB",BP370,TRUE(),"")),"")</x:f>
      </x:c>
      <x:c r="I370" s="106" t="str">
        <x:f t="shared" si="117"/>
      </x:c>
      <x:c r="J370" s="108" t="str">
        <x:f t="shared" si="118"/>
      </x:c>
      <x:c r="K370" s="109" t="str">
        <x:f t="shared" si="119"/>
      </x:c>
      <x:c r="L370" s="110" t="str">
        <x:f t="array" ref="L370">IF(C370&lt;&gt;"",_xlfn.IFS(L$10="TLA",RECORD!GY372,N$10="LECTURE","",TRUE(),""),"")</x:f>
      </x:c>
      <x:c r="M370" s="105" t="str">
        <x:f t="shared" si="120"/>
      </x:c>
      <x:c r="N370" s="104" t="str">
        <x:f t="array" ref="N370">IF(C370&lt;&gt;"",_xlfn.IFS(N$10="AT",RECORD!GS372,N$10="LECTURE",AX370,TRUE(),""),"")</x:f>
      </x:c>
      <x:c r="O370" s="106" t="str">
        <x:f t="shared" si="121"/>
      </x:c>
      <x:c r="P370" s="107" t="str">
        <x:f t="array" ref="P370">IF(C370&lt;&gt;"",_xlfn.IFS(P$10="EXAM",RECORD!GT372,P$10="OUTPUT",RECORD!GU372,P$10="LAB",BX370,TRUE(),""),"")</x:f>
      </x:c>
      <x:c r="Q370" s="106" t="str">
        <x:f t="shared" si="122"/>
      </x:c>
      <x:c r="R370" s="108" t="str">
        <x:f t="shared" si="123"/>
      </x:c>
      <x:c r="S370" s="109" t="str">
        <x:f t="shared" si="124"/>
      </x:c>
      <x:c r="T370" s="110" t="str">
        <x:f t="array" ref="T370">IF(C370&lt;&gt;"",_xlfn.IFS(T$10="TLA",RECORD!HI372,V$10="LECTURE","",TRUE(),""),"")</x:f>
      </x:c>
      <x:c r="U370" s="105" t="str">
        <x:f t="shared" si="125"/>
      </x:c>
      <x:c r="V370" s="104" t="str">
        <x:f t="array" ref="V370">IF(C370&lt;&gt;"",_xlfn.IFS(V$10="AT",RECORD!HC372,V$10="LECTURE",BF370,TRUE(),""),"")</x:f>
      </x:c>
      <x:c r="W370" s="106" t="str">
        <x:f t="shared" si="126"/>
      </x:c>
      <x:c r="X370" s="107" t="str">
        <x:f t="array" ref="X370">IF(C370&lt;&gt;"",_xlfn.IFS(X$10="EXAM",RECORD!HD372,X$10="OUTPUT",RECORD!HE372,X$10="LAB",CF370,TRUE(),""),"")</x:f>
      </x:c>
      <x:c r="Y370" s="106" t="str">
        <x:f t="shared" si="127"/>
      </x:c>
      <x:c r="Z370" s="108" t="str">
        <x:f t="shared" si="128"/>
      </x:c>
      <x:c r="AA370" s="109" t="str">
        <x:f t="shared" si="129"/>
      </x:c>
      <x:c r="AB370" s="111" t="str">
        <x:f t="shared" si="130"/>
      </x:c>
      <x:c r="AC370" s="109" t="str">
        <x:f t="shared" si="131"/>
      </x:c>
      <x:c r="AQ370" s="109" t="str">
        <x:f t="shared" si="132"/>
        <x:v>FAILED</x:v>
      </x:c>
      <x:c r="AR370" s="115"/>
      <x:c r="AS370" s="115"/>
      <x:c r="AT370" s="107"/>
      <x:c r="AU370" s="107"/>
      <x:c r="AV370" s="107"/>
      <x:c r="AW370" s="107"/>
      <x:c r="AX370" s="107"/>
      <x:c r="AY370" s="109" t="str">
        <x:f t="shared" si="133"/>
        <x:v>FAILED</x:v>
      </x:c>
      <x:c r="AZ370" s="115"/>
      <x:c r="BA370" s="115"/>
      <x:c r="BB370" s="107"/>
      <x:c r="BC370" s="107"/>
      <x:c r="BD370" s="107"/>
      <x:c r="BE370" s="107"/>
      <x:c r="BF370" s="107"/>
      <x:c r="BG370" s="109" t="str">
        <x:f t="shared" si="134"/>
        <x:v>FAILED</x:v>
      </x:c>
      <x:c r="BQ370" s="109" t="str">
        <x:f t="shared" si="135"/>
        <x:v>FAILED</x:v>
      </x:c>
      <x:c r="BR370" s="115"/>
      <x:c r="BS370" s="115"/>
      <x:c r="BT370" s="107"/>
      <x:c r="BU370" s="107"/>
      <x:c r="BV370" s="107"/>
      <x:c r="BW370" s="107"/>
      <x:c r="BX370" s="107"/>
      <x:c r="BY370" s="109" t="str">
        <x:f t="shared" si="136"/>
        <x:v>FAILED</x:v>
      </x:c>
      <x:c r="BZ370" s="115"/>
      <x:c r="CA370" s="115"/>
      <x:c r="CB370" s="107"/>
      <x:c r="CC370" s="107"/>
      <x:c r="CD370" s="107"/>
      <x:c r="CE370" s="107"/>
      <x:c r="CF370" s="107"/>
      <x:c r="CG370" s="109" t="str">
        <x:f t="shared" si="137"/>
        <x:v>FAILED</x:v>
      </x:c>
    </x:row>
    <x:row r="371">
      <x:c r="A371" s="102" t="str">
        <x:f>IF(RECORD!A373="","",RECORD!A373)</x:f>
      </x:c>
      <x:c r="B371" s="102" t="str">
        <x:f>IF(RECORD!B373="","",RECORD!B373)</x:f>
      </x:c>
      <x:c r="C371" s="103" t="str">
        <x:f>IF(RECORD!C373="","",RECORD!C373)</x:f>
      </x:c>
      <x:c r="D371" s="104" t="str">
        <x:f t="array" ref="D371">IF(C371&lt;&gt;"",IF(F$7="SUMMER","N/A",_xlfn.IFS(D$10="TLA",RECORD!GO373,F$10="LECTURE","",TRUE(),"")),"")</x:f>
      </x:c>
      <x:c r="E371" s="105" t="str">
        <x:f t="shared" si="115"/>
      </x:c>
      <x:c r="F371" s="104" t="str">
        <x:f t="array" ref="F371">IF(C371&lt;&gt;"",IF(F$7="SUMMER","N/A",_xlfn.IFS(F$10="AT",RECORD!GI373,F$10="LECTURE",GRADES!AP371,TRUE(),"")),"")</x:f>
      </x:c>
      <x:c r="G371" s="106" t="str">
        <x:f t="shared" si="116"/>
      </x:c>
      <x:c r="H371" s="107" t="str">
        <x:f t="array" ref="H371">IF(C371&lt;&gt;"",IF(F$7="SUMMER","N/A",_xlfn.IFS(H$10="EXAM",RECORD!GJ373,H$10="OUTPUT",RECORD!GK373,H$10="LAB",BP371,TRUE(),"")),"")</x:f>
      </x:c>
      <x:c r="I371" s="106" t="str">
        <x:f t="shared" si="117"/>
      </x:c>
      <x:c r="J371" s="108" t="str">
        <x:f t="shared" si="118"/>
      </x:c>
      <x:c r="K371" s="109" t="str">
        <x:f t="shared" si="119"/>
      </x:c>
      <x:c r="L371" s="110" t="str">
        <x:f t="array" ref="L371">IF(C371&lt;&gt;"",_xlfn.IFS(L$10="TLA",RECORD!GY373,N$10="LECTURE","",TRUE(),""),"")</x:f>
      </x:c>
      <x:c r="M371" s="105" t="str">
        <x:f t="shared" si="120"/>
      </x:c>
      <x:c r="N371" s="104" t="str">
        <x:f t="array" ref="N371">IF(C371&lt;&gt;"",_xlfn.IFS(N$10="AT",RECORD!GS373,N$10="LECTURE",AX371,TRUE(),""),"")</x:f>
      </x:c>
      <x:c r="O371" s="106" t="str">
        <x:f t="shared" si="121"/>
      </x:c>
      <x:c r="P371" s="107" t="str">
        <x:f t="array" ref="P371">IF(C371&lt;&gt;"",_xlfn.IFS(P$10="EXAM",RECORD!GT373,P$10="OUTPUT",RECORD!GU373,P$10="LAB",BX371,TRUE(),""),"")</x:f>
      </x:c>
      <x:c r="Q371" s="106" t="str">
        <x:f t="shared" si="122"/>
      </x:c>
      <x:c r="R371" s="108" t="str">
        <x:f t="shared" si="123"/>
      </x:c>
      <x:c r="S371" s="109" t="str">
        <x:f t="shared" si="124"/>
      </x:c>
      <x:c r="T371" s="110" t="str">
        <x:f t="array" ref="T371">IF(C371&lt;&gt;"",_xlfn.IFS(T$10="TLA",RECORD!HI373,V$10="LECTURE","",TRUE(),""),"")</x:f>
      </x:c>
      <x:c r="U371" s="105" t="str">
        <x:f t="shared" si="125"/>
      </x:c>
      <x:c r="V371" s="104" t="str">
        <x:f t="array" ref="V371">IF(C371&lt;&gt;"",_xlfn.IFS(V$10="AT",RECORD!HC373,V$10="LECTURE",BF371,TRUE(),""),"")</x:f>
      </x:c>
      <x:c r="W371" s="106" t="str">
        <x:f t="shared" si="126"/>
      </x:c>
      <x:c r="X371" s="107" t="str">
        <x:f t="array" ref="X371">IF(C371&lt;&gt;"",_xlfn.IFS(X$10="EXAM",RECORD!HD373,X$10="OUTPUT",RECORD!HE373,X$10="LAB",CF371,TRUE(),""),"")</x:f>
      </x:c>
      <x:c r="Y371" s="106" t="str">
        <x:f t="shared" si="127"/>
      </x:c>
      <x:c r="Z371" s="108" t="str">
        <x:f t="shared" si="128"/>
      </x:c>
      <x:c r="AA371" s="109" t="str">
        <x:f t="shared" si="129"/>
      </x:c>
      <x:c r="AB371" s="111" t="str">
        <x:f t="shared" si="130"/>
      </x:c>
      <x:c r="AC371" s="109" t="str">
        <x:f t="shared" si="131"/>
      </x:c>
      <x:c r="AQ371" s="109" t="str">
        <x:f t="shared" si="132"/>
        <x:v>FAILED</x:v>
      </x:c>
      <x:c r="AR371" s="115"/>
      <x:c r="AS371" s="115"/>
      <x:c r="AT371" s="107"/>
      <x:c r="AU371" s="107"/>
      <x:c r="AV371" s="107"/>
      <x:c r="AW371" s="107"/>
      <x:c r="AX371" s="107"/>
      <x:c r="AY371" s="109" t="str">
        <x:f t="shared" si="133"/>
        <x:v>FAILED</x:v>
      </x:c>
      <x:c r="AZ371" s="115"/>
      <x:c r="BA371" s="115"/>
      <x:c r="BB371" s="107"/>
      <x:c r="BC371" s="107"/>
      <x:c r="BD371" s="107"/>
      <x:c r="BE371" s="107"/>
      <x:c r="BF371" s="107"/>
      <x:c r="BG371" s="109" t="str">
        <x:f t="shared" si="134"/>
        <x:v>FAILED</x:v>
      </x:c>
      <x:c r="BQ371" s="109" t="str">
        <x:f t="shared" si="135"/>
        <x:v>FAILED</x:v>
      </x:c>
      <x:c r="BR371" s="115"/>
      <x:c r="BS371" s="115"/>
      <x:c r="BT371" s="107"/>
      <x:c r="BU371" s="107"/>
      <x:c r="BV371" s="107"/>
      <x:c r="BW371" s="107"/>
      <x:c r="BX371" s="107"/>
      <x:c r="BY371" s="109" t="str">
        <x:f t="shared" si="136"/>
        <x:v>FAILED</x:v>
      </x:c>
      <x:c r="BZ371" s="115"/>
      <x:c r="CA371" s="115"/>
      <x:c r="CB371" s="107"/>
      <x:c r="CC371" s="107"/>
      <x:c r="CD371" s="107"/>
      <x:c r="CE371" s="107"/>
      <x:c r="CF371" s="107"/>
      <x:c r="CG371" s="109" t="str">
        <x:f t="shared" si="137"/>
        <x:v>FAILED</x:v>
      </x:c>
    </x:row>
    <x:row r="372">
      <x:c r="A372" s="102" t="str">
        <x:f>IF(RECORD!A374="","",RECORD!A374)</x:f>
      </x:c>
      <x:c r="B372" s="102" t="str">
        <x:f>IF(RECORD!B374="","",RECORD!B374)</x:f>
      </x:c>
      <x:c r="C372" s="103" t="str">
        <x:f>IF(RECORD!C374="","",RECORD!C374)</x:f>
      </x:c>
      <x:c r="D372" s="104" t="str">
        <x:f t="array" ref="D372">IF(C372&lt;&gt;"",IF(F$7="SUMMER","N/A",_xlfn.IFS(D$10="TLA",RECORD!GO374,F$10="LECTURE","",TRUE(),"")),"")</x:f>
      </x:c>
      <x:c r="E372" s="105" t="str">
        <x:f t="shared" si="115"/>
      </x:c>
      <x:c r="F372" s="104" t="str">
        <x:f t="array" ref="F372">IF(C372&lt;&gt;"",IF(F$7="SUMMER","N/A",_xlfn.IFS(F$10="AT",RECORD!GI374,F$10="LECTURE",GRADES!AP372,TRUE(),"")),"")</x:f>
      </x:c>
      <x:c r="G372" s="106" t="str">
        <x:f t="shared" si="116"/>
      </x:c>
      <x:c r="H372" s="107" t="str">
        <x:f t="array" ref="H372">IF(C372&lt;&gt;"",IF(F$7="SUMMER","N/A",_xlfn.IFS(H$10="EXAM",RECORD!GJ374,H$10="OUTPUT",RECORD!GK374,H$10="LAB",BP372,TRUE(),"")),"")</x:f>
      </x:c>
      <x:c r="I372" s="106" t="str">
        <x:f t="shared" si="117"/>
      </x:c>
      <x:c r="J372" s="108" t="str">
        <x:f t="shared" si="118"/>
      </x:c>
      <x:c r="K372" s="109" t="str">
        <x:f t="shared" si="119"/>
      </x:c>
      <x:c r="L372" s="110" t="str">
        <x:f t="array" ref="L372">IF(C372&lt;&gt;"",_xlfn.IFS(L$10="TLA",RECORD!GY374,N$10="LECTURE","",TRUE(),""),"")</x:f>
      </x:c>
      <x:c r="M372" s="105" t="str">
        <x:f t="shared" si="120"/>
      </x:c>
      <x:c r="N372" s="104" t="str">
        <x:f t="array" ref="N372">IF(C372&lt;&gt;"",_xlfn.IFS(N$10="AT",RECORD!GS374,N$10="LECTURE",AX372,TRUE(),""),"")</x:f>
      </x:c>
      <x:c r="O372" s="106" t="str">
        <x:f t="shared" si="121"/>
      </x:c>
      <x:c r="P372" s="107" t="str">
        <x:f t="array" ref="P372">IF(C372&lt;&gt;"",_xlfn.IFS(P$10="EXAM",RECORD!GT374,P$10="OUTPUT",RECORD!GU374,P$10="LAB",BX372,TRUE(),""),"")</x:f>
      </x:c>
      <x:c r="Q372" s="106" t="str">
        <x:f t="shared" si="122"/>
      </x:c>
      <x:c r="R372" s="108" t="str">
        <x:f t="shared" si="123"/>
      </x:c>
      <x:c r="S372" s="109" t="str">
        <x:f t="shared" si="124"/>
      </x:c>
      <x:c r="T372" s="110" t="str">
        <x:f t="array" ref="T372">IF(C372&lt;&gt;"",_xlfn.IFS(T$10="TLA",RECORD!HI374,V$10="LECTURE","",TRUE(),""),"")</x:f>
      </x:c>
      <x:c r="U372" s="105" t="str">
        <x:f t="shared" si="125"/>
      </x:c>
      <x:c r="V372" s="104" t="str">
        <x:f t="array" ref="V372">IF(C372&lt;&gt;"",_xlfn.IFS(V$10="AT",RECORD!HC374,V$10="LECTURE",BF372,TRUE(),""),"")</x:f>
      </x:c>
      <x:c r="W372" s="106" t="str">
        <x:f t="shared" si="126"/>
      </x:c>
      <x:c r="X372" s="107" t="str">
        <x:f t="array" ref="X372">IF(C372&lt;&gt;"",_xlfn.IFS(X$10="EXAM",RECORD!HD374,X$10="OUTPUT",RECORD!HE374,X$10="LAB",CF372,TRUE(),""),"")</x:f>
      </x:c>
      <x:c r="Y372" s="106" t="str">
        <x:f t="shared" si="127"/>
      </x:c>
      <x:c r="Z372" s="108" t="str">
        <x:f t="shared" si="128"/>
      </x:c>
      <x:c r="AA372" s="109" t="str">
        <x:f t="shared" si="129"/>
      </x:c>
      <x:c r="AB372" s="111" t="str">
        <x:f t="shared" si="130"/>
      </x:c>
      <x:c r="AC372" s="109" t="str">
        <x:f t="shared" si="131"/>
      </x:c>
      <x:c r="AQ372" s="109" t="str">
        <x:f t="shared" si="132"/>
        <x:v>FAILED</x:v>
      </x:c>
      <x:c r="AR372" s="115"/>
      <x:c r="AS372" s="115"/>
      <x:c r="AT372" s="107"/>
      <x:c r="AU372" s="107"/>
      <x:c r="AV372" s="107"/>
      <x:c r="AW372" s="107"/>
      <x:c r="AX372" s="107"/>
      <x:c r="AY372" s="109" t="str">
        <x:f t="shared" si="133"/>
        <x:v>FAILED</x:v>
      </x:c>
      <x:c r="AZ372" s="115"/>
      <x:c r="BA372" s="115"/>
      <x:c r="BB372" s="107"/>
      <x:c r="BC372" s="107"/>
      <x:c r="BD372" s="107"/>
      <x:c r="BE372" s="107"/>
      <x:c r="BF372" s="107"/>
      <x:c r="BG372" s="109" t="str">
        <x:f t="shared" si="134"/>
        <x:v>FAILED</x:v>
      </x:c>
      <x:c r="BQ372" s="109" t="str">
        <x:f t="shared" si="135"/>
        <x:v>FAILED</x:v>
      </x:c>
      <x:c r="BR372" s="115"/>
      <x:c r="BS372" s="115"/>
      <x:c r="BT372" s="107"/>
      <x:c r="BU372" s="107"/>
      <x:c r="BV372" s="107"/>
      <x:c r="BW372" s="107"/>
      <x:c r="BX372" s="107"/>
      <x:c r="BY372" s="109" t="str">
        <x:f t="shared" si="136"/>
        <x:v>FAILED</x:v>
      </x:c>
      <x:c r="BZ372" s="115"/>
      <x:c r="CA372" s="115"/>
      <x:c r="CB372" s="107"/>
      <x:c r="CC372" s="107"/>
      <x:c r="CD372" s="107"/>
      <x:c r="CE372" s="107"/>
      <x:c r="CF372" s="107"/>
      <x:c r="CG372" s="109" t="str">
        <x:f t="shared" si="137"/>
        <x:v>FAILED</x:v>
      </x:c>
    </x:row>
    <x:row r="373">
      <x:c r="A373" s="102" t="str">
        <x:f>IF(RECORD!A375="","",RECORD!A375)</x:f>
      </x:c>
      <x:c r="B373" s="102" t="str">
        <x:f>IF(RECORD!B375="","",RECORD!B375)</x:f>
      </x:c>
      <x:c r="C373" s="103" t="str">
        <x:f>IF(RECORD!C375="","",RECORD!C375)</x:f>
      </x:c>
      <x:c r="D373" s="104" t="str">
        <x:f t="array" ref="D373">IF(C373&lt;&gt;"",IF(F$7="SUMMER","N/A",_xlfn.IFS(D$10="TLA",RECORD!GO375,F$10="LECTURE","",TRUE(),"")),"")</x:f>
      </x:c>
      <x:c r="E373" s="105" t="str">
        <x:f t="shared" si="115"/>
      </x:c>
      <x:c r="F373" s="104" t="str">
        <x:f t="array" ref="F373">IF(C373&lt;&gt;"",IF(F$7="SUMMER","N/A",_xlfn.IFS(F$10="AT",RECORD!GI375,F$10="LECTURE",GRADES!AP373,TRUE(),"")),"")</x:f>
      </x:c>
      <x:c r="G373" s="106" t="str">
        <x:f t="shared" si="116"/>
      </x:c>
      <x:c r="H373" s="107" t="str">
        <x:f t="array" ref="H373">IF(C373&lt;&gt;"",IF(F$7="SUMMER","N/A",_xlfn.IFS(H$10="EXAM",RECORD!GJ375,H$10="OUTPUT",RECORD!GK375,H$10="LAB",BP373,TRUE(),"")),"")</x:f>
      </x:c>
      <x:c r="I373" s="106" t="str">
        <x:f t="shared" si="117"/>
      </x:c>
      <x:c r="J373" s="108" t="str">
        <x:f t="shared" si="118"/>
      </x:c>
      <x:c r="K373" s="109" t="str">
        <x:f t="shared" si="119"/>
      </x:c>
      <x:c r="L373" s="110" t="str">
        <x:f t="array" ref="L373">IF(C373&lt;&gt;"",_xlfn.IFS(L$10="TLA",RECORD!GY375,N$10="LECTURE","",TRUE(),""),"")</x:f>
      </x:c>
      <x:c r="M373" s="105" t="str">
        <x:f t="shared" si="120"/>
      </x:c>
      <x:c r="N373" s="104" t="str">
        <x:f t="array" ref="N373">IF(C373&lt;&gt;"",_xlfn.IFS(N$10="AT",RECORD!GS375,N$10="LECTURE",AX373,TRUE(),""),"")</x:f>
      </x:c>
      <x:c r="O373" s="106" t="str">
        <x:f t="shared" si="121"/>
      </x:c>
      <x:c r="P373" s="107" t="str">
        <x:f t="array" ref="P373">IF(C373&lt;&gt;"",_xlfn.IFS(P$10="EXAM",RECORD!GT375,P$10="OUTPUT",RECORD!GU375,P$10="LAB",BX373,TRUE(),""),"")</x:f>
      </x:c>
      <x:c r="Q373" s="106" t="str">
        <x:f t="shared" si="122"/>
      </x:c>
      <x:c r="R373" s="108" t="str">
        <x:f t="shared" si="123"/>
      </x:c>
      <x:c r="S373" s="109" t="str">
        <x:f t="shared" si="124"/>
      </x:c>
      <x:c r="T373" s="110" t="str">
        <x:f t="array" ref="T373">IF(C373&lt;&gt;"",_xlfn.IFS(T$10="TLA",RECORD!HI375,V$10="LECTURE","",TRUE(),""),"")</x:f>
      </x:c>
      <x:c r="U373" s="105" t="str">
        <x:f t="shared" si="125"/>
      </x:c>
      <x:c r="V373" s="104" t="str">
        <x:f t="array" ref="V373">IF(C373&lt;&gt;"",_xlfn.IFS(V$10="AT",RECORD!HC375,V$10="LECTURE",BF373,TRUE(),""),"")</x:f>
      </x:c>
      <x:c r="W373" s="106" t="str">
        <x:f t="shared" si="126"/>
      </x:c>
      <x:c r="X373" s="107" t="str">
        <x:f t="array" ref="X373">IF(C373&lt;&gt;"",_xlfn.IFS(X$10="EXAM",RECORD!HD375,X$10="OUTPUT",RECORD!HE375,X$10="LAB",CF373,TRUE(),""),"")</x:f>
      </x:c>
      <x:c r="Y373" s="106" t="str">
        <x:f t="shared" si="127"/>
      </x:c>
      <x:c r="Z373" s="108" t="str">
        <x:f t="shared" si="128"/>
      </x:c>
      <x:c r="AA373" s="109" t="str">
        <x:f t="shared" si="129"/>
      </x:c>
      <x:c r="AB373" s="111" t="str">
        <x:f t="shared" si="130"/>
      </x:c>
      <x:c r="AC373" s="109" t="str">
        <x:f t="shared" si="131"/>
      </x:c>
      <x:c r="AQ373" s="109" t="str">
        <x:f t="shared" si="132"/>
        <x:v>FAILED</x:v>
      </x:c>
      <x:c r="AR373" s="115"/>
      <x:c r="AS373" s="115"/>
      <x:c r="AT373" s="107"/>
      <x:c r="AU373" s="107"/>
      <x:c r="AV373" s="107"/>
      <x:c r="AW373" s="107"/>
      <x:c r="AX373" s="107"/>
      <x:c r="AY373" s="109" t="str">
        <x:f t="shared" si="133"/>
        <x:v>FAILED</x:v>
      </x:c>
      <x:c r="AZ373" s="115"/>
      <x:c r="BA373" s="115"/>
      <x:c r="BB373" s="107"/>
      <x:c r="BC373" s="107"/>
      <x:c r="BD373" s="107"/>
      <x:c r="BE373" s="107"/>
      <x:c r="BF373" s="107"/>
      <x:c r="BG373" s="109" t="str">
        <x:f t="shared" si="134"/>
        <x:v>FAILED</x:v>
      </x:c>
      <x:c r="BQ373" s="109" t="str">
        <x:f t="shared" si="135"/>
        <x:v>FAILED</x:v>
      </x:c>
      <x:c r="BR373" s="115"/>
      <x:c r="BS373" s="115"/>
      <x:c r="BT373" s="107"/>
      <x:c r="BU373" s="107"/>
      <x:c r="BV373" s="107"/>
      <x:c r="BW373" s="107"/>
      <x:c r="BX373" s="107"/>
      <x:c r="BY373" s="109" t="str">
        <x:f t="shared" si="136"/>
        <x:v>FAILED</x:v>
      </x:c>
      <x:c r="BZ373" s="115"/>
      <x:c r="CA373" s="115"/>
      <x:c r="CB373" s="107"/>
      <x:c r="CC373" s="107"/>
      <x:c r="CD373" s="107"/>
      <x:c r="CE373" s="107"/>
      <x:c r="CF373" s="107"/>
      <x:c r="CG373" s="109" t="str">
        <x:f t="shared" si="137"/>
        <x:v>FAILED</x:v>
      </x:c>
    </x:row>
    <x:row r="374">
      <x:c r="A374" s="102" t="str">
        <x:f>IF(RECORD!A376="","",RECORD!A376)</x:f>
      </x:c>
      <x:c r="B374" s="102" t="str">
        <x:f>IF(RECORD!B376="","",RECORD!B376)</x:f>
      </x:c>
      <x:c r="C374" s="103" t="str">
        <x:f>IF(RECORD!C376="","",RECORD!C376)</x:f>
      </x:c>
      <x:c r="D374" s="104" t="str">
        <x:f t="array" ref="D374">IF(C374&lt;&gt;"",IF(F$7="SUMMER","N/A",_xlfn.IFS(D$10="TLA",RECORD!GO376,F$10="LECTURE","",TRUE(),"")),"")</x:f>
      </x:c>
      <x:c r="E374" s="105" t="str">
        <x:f t="shared" si="115"/>
      </x:c>
      <x:c r="F374" s="104" t="str">
        <x:f t="array" ref="F374">IF(C374&lt;&gt;"",IF(F$7="SUMMER","N/A",_xlfn.IFS(F$10="AT",RECORD!GI376,F$10="LECTURE",GRADES!AP374,TRUE(),"")),"")</x:f>
      </x:c>
      <x:c r="G374" s="106" t="str">
        <x:f t="shared" si="116"/>
      </x:c>
      <x:c r="H374" s="107" t="str">
        <x:f t="array" ref="H374">IF(C374&lt;&gt;"",IF(F$7="SUMMER","N/A",_xlfn.IFS(H$10="EXAM",RECORD!GJ376,H$10="OUTPUT",RECORD!GK376,H$10="LAB",BP374,TRUE(),"")),"")</x:f>
      </x:c>
      <x:c r="I374" s="106" t="str">
        <x:f t="shared" si="117"/>
      </x:c>
      <x:c r="J374" s="108" t="str">
        <x:f t="shared" si="118"/>
      </x:c>
      <x:c r="K374" s="109" t="str">
        <x:f t="shared" si="119"/>
      </x:c>
      <x:c r="L374" s="110" t="str">
        <x:f t="array" ref="L374">IF(C374&lt;&gt;"",_xlfn.IFS(L$10="TLA",RECORD!GY376,N$10="LECTURE","",TRUE(),""),"")</x:f>
      </x:c>
      <x:c r="M374" s="105" t="str">
        <x:f t="shared" si="120"/>
      </x:c>
      <x:c r="N374" s="104" t="str">
        <x:f t="array" ref="N374">IF(C374&lt;&gt;"",_xlfn.IFS(N$10="AT",RECORD!GS376,N$10="LECTURE",AX374,TRUE(),""),"")</x:f>
      </x:c>
      <x:c r="O374" s="106" t="str">
        <x:f t="shared" si="121"/>
      </x:c>
      <x:c r="P374" s="107" t="str">
        <x:f t="array" ref="P374">IF(C374&lt;&gt;"",_xlfn.IFS(P$10="EXAM",RECORD!GT376,P$10="OUTPUT",RECORD!GU376,P$10="LAB",BX374,TRUE(),""),"")</x:f>
      </x:c>
      <x:c r="Q374" s="106" t="str">
        <x:f t="shared" si="122"/>
      </x:c>
      <x:c r="R374" s="108" t="str">
        <x:f t="shared" si="123"/>
      </x:c>
      <x:c r="S374" s="109" t="str">
        <x:f t="shared" si="124"/>
      </x:c>
      <x:c r="T374" s="110" t="str">
        <x:f t="array" ref="T374">IF(C374&lt;&gt;"",_xlfn.IFS(T$10="TLA",RECORD!HI376,V$10="LECTURE","",TRUE(),""),"")</x:f>
      </x:c>
      <x:c r="U374" s="105" t="str">
        <x:f t="shared" si="125"/>
      </x:c>
      <x:c r="V374" s="104" t="str">
        <x:f t="array" ref="V374">IF(C374&lt;&gt;"",_xlfn.IFS(V$10="AT",RECORD!HC376,V$10="LECTURE",BF374,TRUE(),""),"")</x:f>
      </x:c>
      <x:c r="W374" s="106" t="str">
        <x:f t="shared" si="126"/>
      </x:c>
      <x:c r="X374" s="107" t="str">
        <x:f t="array" ref="X374">IF(C374&lt;&gt;"",_xlfn.IFS(X$10="EXAM",RECORD!HD376,X$10="OUTPUT",RECORD!HE376,X$10="LAB",CF374,TRUE(),""),"")</x:f>
      </x:c>
      <x:c r="Y374" s="106" t="str">
        <x:f t="shared" si="127"/>
      </x:c>
      <x:c r="Z374" s="108" t="str">
        <x:f t="shared" si="128"/>
      </x:c>
      <x:c r="AA374" s="109" t="str">
        <x:f t="shared" si="129"/>
      </x:c>
      <x:c r="AB374" s="111" t="str">
        <x:f t="shared" si="130"/>
      </x:c>
      <x:c r="AC374" s="109" t="str">
        <x:f t="shared" si="131"/>
      </x:c>
      <x:c r="AQ374" s="109" t="str">
        <x:f t="shared" si="132"/>
        <x:v>FAILED</x:v>
      </x:c>
      <x:c r="AR374" s="115"/>
      <x:c r="AS374" s="115"/>
      <x:c r="AT374" s="107"/>
      <x:c r="AU374" s="107"/>
      <x:c r="AV374" s="107"/>
      <x:c r="AW374" s="107"/>
      <x:c r="AX374" s="107"/>
      <x:c r="AY374" s="109" t="str">
        <x:f t="shared" si="133"/>
        <x:v>FAILED</x:v>
      </x:c>
      <x:c r="AZ374" s="115"/>
      <x:c r="BA374" s="115"/>
      <x:c r="BB374" s="107"/>
      <x:c r="BC374" s="107"/>
      <x:c r="BD374" s="107"/>
      <x:c r="BE374" s="107"/>
      <x:c r="BF374" s="107"/>
      <x:c r="BG374" s="109" t="str">
        <x:f t="shared" si="134"/>
        <x:v>FAILED</x:v>
      </x:c>
      <x:c r="BQ374" s="109" t="str">
        <x:f t="shared" si="135"/>
        <x:v>FAILED</x:v>
      </x:c>
      <x:c r="BR374" s="115"/>
      <x:c r="BS374" s="115"/>
      <x:c r="BT374" s="107"/>
      <x:c r="BU374" s="107"/>
      <x:c r="BV374" s="107"/>
      <x:c r="BW374" s="107"/>
      <x:c r="BX374" s="107"/>
      <x:c r="BY374" s="109" t="str">
        <x:f t="shared" si="136"/>
        <x:v>FAILED</x:v>
      </x:c>
      <x:c r="BZ374" s="115"/>
      <x:c r="CA374" s="115"/>
      <x:c r="CB374" s="107"/>
      <x:c r="CC374" s="107"/>
      <x:c r="CD374" s="107"/>
      <x:c r="CE374" s="107"/>
      <x:c r="CF374" s="107"/>
      <x:c r="CG374" s="109" t="str">
        <x:f t="shared" si="137"/>
        <x:v>FAILED</x:v>
      </x:c>
    </x:row>
    <x:row r="375">
      <x:c r="A375" s="102" t="str">
        <x:f>IF(RECORD!A377="","",RECORD!A377)</x:f>
      </x:c>
      <x:c r="B375" s="102" t="str">
        <x:f>IF(RECORD!B377="","",RECORD!B377)</x:f>
      </x:c>
      <x:c r="C375" s="103" t="str">
        <x:f>IF(RECORD!C377="","",RECORD!C377)</x:f>
      </x:c>
      <x:c r="D375" s="104" t="str">
        <x:f t="array" ref="D375">IF(C375&lt;&gt;"",IF(F$7="SUMMER","N/A",_xlfn.IFS(D$10="TLA",RECORD!GO377,F$10="LECTURE","",TRUE(),"")),"")</x:f>
      </x:c>
      <x:c r="E375" s="105" t="str">
        <x:f t="shared" si="115"/>
      </x:c>
      <x:c r="F375" s="104" t="str">
        <x:f t="array" ref="F375">IF(C375&lt;&gt;"",IF(F$7="SUMMER","N/A",_xlfn.IFS(F$10="AT",RECORD!GI377,F$10="LECTURE",GRADES!AP375,TRUE(),"")),"")</x:f>
      </x:c>
      <x:c r="G375" s="106" t="str">
        <x:f t="shared" si="116"/>
      </x:c>
      <x:c r="H375" s="107" t="str">
        <x:f t="array" ref="H375">IF(C375&lt;&gt;"",IF(F$7="SUMMER","N/A",_xlfn.IFS(H$10="EXAM",RECORD!GJ377,H$10="OUTPUT",RECORD!GK377,H$10="LAB",BP375,TRUE(),"")),"")</x:f>
      </x:c>
      <x:c r="I375" s="106" t="str">
        <x:f t="shared" si="117"/>
      </x:c>
      <x:c r="J375" s="108" t="str">
        <x:f t="shared" si="118"/>
      </x:c>
      <x:c r="K375" s="109" t="str">
        <x:f t="shared" si="119"/>
      </x:c>
      <x:c r="L375" s="110" t="str">
        <x:f t="array" ref="L375">IF(C375&lt;&gt;"",_xlfn.IFS(L$10="TLA",RECORD!GY377,N$10="LECTURE","",TRUE(),""),"")</x:f>
      </x:c>
      <x:c r="M375" s="105" t="str">
        <x:f t="shared" si="120"/>
      </x:c>
      <x:c r="N375" s="104" t="str">
        <x:f t="array" ref="N375">IF(C375&lt;&gt;"",_xlfn.IFS(N$10="AT",RECORD!GS377,N$10="LECTURE",AX375,TRUE(),""),"")</x:f>
      </x:c>
      <x:c r="O375" s="106" t="str">
        <x:f t="shared" si="121"/>
      </x:c>
      <x:c r="P375" s="107" t="str">
        <x:f t="array" ref="P375">IF(C375&lt;&gt;"",_xlfn.IFS(P$10="EXAM",RECORD!GT377,P$10="OUTPUT",RECORD!GU377,P$10="LAB",BX375,TRUE(),""),"")</x:f>
      </x:c>
      <x:c r="Q375" s="106" t="str">
        <x:f t="shared" si="122"/>
      </x:c>
      <x:c r="R375" s="108" t="str">
        <x:f t="shared" si="123"/>
      </x:c>
      <x:c r="S375" s="109" t="str">
        <x:f t="shared" si="124"/>
      </x:c>
      <x:c r="T375" s="110" t="str">
        <x:f t="array" ref="T375">IF(C375&lt;&gt;"",_xlfn.IFS(T$10="TLA",RECORD!HI377,V$10="LECTURE","",TRUE(),""),"")</x:f>
      </x:c>
      <x:c r="U375" s="105" t="str">
        <x:f t="shared" si="125"/>
      </x:c>
      <x:c r="V375" s="104" t="str">
        <x:f t="array" ref="V375">IF(C375&lt;&gt;"",_xlfn.IFS(V$10="AT",RECORD!HC377,V$10="LECTURE",BF375,TRUE(),""),"")</x:f>
      </x:c>
      <x:c r="W375" s="106" t="str">
        <x:f t="shared" si="126"/>
      </x:c>
      <x:c r="X375" s="107" t="str">
        <x:f t="array" ref="X375">IF(C375&lt;&gt;"",_xlfn.IFS(X$10="EXAM",RECORD!HD377,X$10="OUTPUT",RECORD!HE377,X$10="LAB",CF375,TRUE(),""),"")</x:f>
      </x:c>
      <x:c r="Y375" s="106" t="str">
        <x:f t="shared" si="127"/>
      </x:c>
      <x:c r="Z375" s="108" t="str">
        <x:f t="shared" si="128"/>
      </x:c>
      <x:c r="AA375" s="109" t="str">
        <x:f t="shared" si="129"/>
      </x:c>
      <x:c r="AB375" s="111" t="str">
        <x:f t="shared" si="130"/>
      </x:c>
      <x:c r="AC375" s="109" t="str">
        <x:f t="shared" si="131"/>
      </x:c>
      <x:c r="AQ375" s="109" t="str">
        <x:f t="shared" si="132"/>
        <x:v>FAILED</x:v>
      </x:c>
      <x:c r="AR375" s="115"/>
      <x:c r="AS375" s="115"/>
      <x:c r="AT375" s="107"/>
      <x:c r="AU375" s="107"/>
      <x:c r="AV375" s="107"/>
      <x:c r="AW375" s="107"/>
      <x:c r="AX375" s="107"/>
      <x:c r="AY375" s="109" t="str">
        <x:f t="shared" si="133"/>
        <x:v>FAILED</x:v>
      </x:c>
      <x:c r="AZ375" s="115"/>
      <x:c r="BA375" s="115"/>
      <x:c r="BB375" s="107"/>
      <x:c r="BC375" s="107"/>
      <x:c r="BD375" s="107"/>
      <x:c r="BE375" s="107"/>
      <x:c r="BF375" s="107"/>
      <x:c r="BG375" s="109" t="str">
        <x:f t="shared" si="134"/>
        <x:v>FAILED</x:v>
      </x:c>
      <x:c r="BQ375" s="109" t="str">
        <x:f t="shared" si="135"/>
        <x:v>FAILED</x:v>
      </x:c>
      <x:c r="BR375" s="115"/>
      <x:c r="BS375" s="115"/>
      <x:c r="BT375" s="107"/>
      <x:c r="BU375" s="107"/>
      <x:c r="BV375" s="107"/>
      <x:c r="BW375" s="107"/>
      <x:c r="BX375" s="107"/>
      <x:c r="BY375" s="109" t="str">
        <x:f t="shared" si="136"/>
        <x:v>FAILED</x:v>
      </x:c>
      <x:c r="BZ375" s="115"/>
      <x:c r="CA375" s="115"/>
      <x:c r="CB375" s="107"/>
      <x:c r="CC375" s="107"/>
      <x:c r="CD375" s="107"/>
      <x:c r="CE375" s="107"/>
      <x:c r="CF375" s="107"/>
      <x:c r="CG375" s="109" t="str">
        <x:f t="shared" si="137"/>
        <x:v>FAILED</x:v>
      </x:c>
    </x:row>
    <x:row r="376">
      <x:c r="A376" s="102" t="str">
        <x:f>IF(RECORD!A378="","",RECORD!A378)</x:f>
      </x:c>
      <x:c r="B376" s="102" t="str">
        <x:f>IF(RECORD!B378="","",RECORD!B378)</x:f>
      </x:c>
      <x:c r="C376" s="103" t="str">
        <x:f>IF(RECORD!C378="","",RECORD!C378)</x:f>
      </x:c>
      <x:c r="D376" s="104" t="str">
        <x:f t="array" ref="D376">IF(C376&lt;&gt;"",IF(F$7="SUMMER","N/A",_xlfn.IFS(D$10="TLA",RECORD!GO378,F$10="LECTURE","",TRUE(),"")),"")</x:f>
      </x:c>
      <x:c r="E376" s="105" t="str">
        <x:f t="shared" si="115"/>
      </x:c>
      <x:c r="F376" s="104" t="str">
        <x:f t="array" ref="F376">IF(C376&lt;&gt;"",IF(F$7="SUMMER","N/A",_xlfn.IFS(F$10="AT",RECORD!GI378,F$10="LECTURE",GRADES!AP376,TRUE(),"")),"")</x:f>
      </x:c>
      <x:c r="G376" s="106" t="str">
        <x:f t="shared" si="116"/>
      </x:c>
      <x:c r="H376" s="107" t="str">
        <x:f t="array" ref="H376">IF(C376&lt;&gt;"",IF(F$7="SUMMER","N/A",_xlfn.IFS(H$10="EXAM",RECORD!GJ378,H$10="OUTPUT",RECORD!GK378,H$10="LAB",BP376,TRUE(),"")),"")</x:f>
      </x:c>
      <x:c r="I376" s="106" t="str">
        <x:f t="shared" si="117"/>
      </x:c>
      <x:c r="J376" s="108" t="str">
        <x:f t="shared" si="118"/>
      </x:c>
      <x:c r="K376" s="109" t="str">
        <x:f t="shared" si="119"/>
      </x:c>
      <x:c r="L376" s="110" t="str">
        <x:f t="array" ref="L376">IF(C376&lt;&gt;"",_xlfn.IFS(L$10="TLA",RECORD!GY378,N$10="LECTURE","",TRUE(),""),"")</x:f>
      </x:c>
      <x:c r="M376" s="105" t="str">
        <x:f t="shared" si="120"/>
      </x:c>
      <x:c r="N376" s="104" t="str">
        <x:f t="array" ref="N376">IF(C376&lt;&gt;"",_xlfn.IFS(N$10="AT",RECORD!GS378,N$10="LECTURE",AX376,TRUE(),""),"")</x:f>
      </x:c>
      <x:c r="O376" s="106" t="str">
        <x:f t="shared" si="121"/>
      </x:c>
      <x:c r="P376" s="107" t="str">
        <x:f t="array" ref="P376">IF(C376&lt;&gt;"",_xlfn.IFS(P$10="EXAM",RECORD!GT378,P$10="OUTPUT",RECORD!GU378,P$10="LAB",BX376,TRUE(),""),"")</x:f>
      </x:c>
      <x:c r="Q376" s="106" t="str">
        <x:f t="shared" si="122"/>
      </x:c>
      <x:c r="R376" s="108" t="str">
        <x:f t="shared" si="123"/>
      </x:c>
      <x:c r="S376" s="109" t="str">
        <x:f t="shared" si="124"/>
      </x:c>
      <x:c r="T376" s="110" t="str">
        <x:f t="array" ref="T376">IF(C376&lt;&gt;"",_xlfn.IFS(T$10="TLA",RECORD!HI378,V$10="LECTURE","",TRUE(),""),"")</x:f>
      </x:c>
      <x:c r="U376" s="105" t="str">
        <x:f t="shared" si="125"/>
      </x:c>
      <x:c r="V376" s="104" t="str">
        <x:f t="array" ref="V376">IF(C376&lt;&gt;"",_xlfn.IFS(V$10="AT",RECORD!HC378,V$10="LECTURE",BF376,TRUE(),""),"")</x:f>
      </x:c>
      <x:c r="W376" s="106" t="str">
        <x:f t="shared" si="126"/>
      </x:c>
      <x:c r="X376" s="107" t="str">
        <x:f t="array" ref="X376">IF(C376&lt;&gt;"",_xlfn.IFS(X$10="EXAM",RECORD!HD378,X$10="OUTPUT",RECORD!HE378,X$10="LAB",CF376,TRUE(),""),"")</x:f>
      </x:c>
      <x:c r="Y376" s="106" t="str">
        <x:f t="shared" si="127"/>
      </x:c>
      <x:c r="Z376" s="108" t="str">
        <x:f t="shared" si="128"/>
      </x:c>
      <x:c r="AA376" s="109" t="str">
        <x:f t="shared" si="129"/>
      </x:c>
      <x:c r="AB376" s="111" t="str">
        <x:f t="shared" si="130"/>
      </x:c>
      <x:c r="AC376" s="109" t="str">
        <x:f t="shared" si="131"/>
      </x:c>
      <x:c r="AQ376" s="109" t="str">
        <x:f t="shared" si="132"/>
        <x:v>FAILED</x:v>
      </x:c>
      <x:c r="AR376" s="115"/>
      <x:c r="AS376" s="115"/>
      <x:c r="AT376" s="107"/>
      <x:c r="AU376" s="107"/>
      <x:c r="AV376" s="107"/>
      <x:c r="AW376" s="107"/>
      <x:c r="AX376" s="107"/>
      <x:c r="AY376" s="109" t="str">
        <x:f t="shared" si="133"/>
        <x:v>FAILED</x:v>
      </x:c>
      <x:c r="AZ376" s="115"/>
      <x:c r="BA376" s="115"/>
      <x:c r="BB376" s="107"/>
      <x:c r="BC376" s="107"/>
      <x:c r="BD376" s="107"/>
      <x:c r="BE376" s="107"/>
      <x:c r="BF376" s="107"/>
      <x:c r="BG376" s="109" t="str">
        <x:f t="shared" si="134"/>
        <x:v>FAILED</x:v>
      </x:c>
      <x:c r="BQ376" s="109" t="str">
        <x:f t="shared" si="135"/>
        <x:v>FAILED</x:v>
      </x:c>
      <x:c r="BR376" s="115"/>
      <x:c r="BS376" s="115"/>
      <x:c r="BT376" s="107"/>
      <x:c r="BU376" s="107"/>
      <x:c r="BV376" s="107"/>
      <x:c r="BW376" s="107"/>
      <x:c r="BX376" s="107"/>
      <x:c r="BY376" s="109" t="str">
        <x:f t="shared" si="136"/>
        <x:v>FAILED</x:v>
      </x:c>
      <x:c r="BZ376" s="115"/>
      <x:c r="CA376" s="115"/>
      <x:c r="CB376" s="107"/>
      <x:c r="CC376" s="107"/>
      <x:c r="CD376" s="107"/>
      <x:c r="CE376" s="107"/>
      <x:c r="CF376" s="107"/>
      <x:c r="CG376" s="109" t="str">
        <x:f t="shared" si="137"/>
        <x:v>FAILED</x:v>
      </x:c>
    </x:row>
    <x:row r="377">
      <x:c r="A377" s="102" t="str">
        <x:f>IF(RECORD!A379="","",RECORD!A379)</x:f>
      </x:c>
      <x:c r="B377" s="102" t="str">
        <x:f>IF(RECORD!B379="","",RECORD!B379)</x:f>
      </x:c>
      <x:c r="C377" s="103" t="str">
        <x:f>IF(RECORD!C379="","",RECORD!C379)</x:f>
      </x:c>
      <x:c r="D377" s="104" t="str">
        <x:f t="array" ref="D377">IF(C377&lt;&gt;"",IF(F$7="SUMMER","N/A",_xlfn.IFS(D$10="TLA",RECORD!GO379,F$10="LECTURE","",TRUE(),"")),"")</x:f>
      </x:c>
      <x:c r="E377" s="105" t="str">
        <x:f t="shared" si="115"/>
      </x:c>
      <x:c r="F377" s="104" t="str">
        <x:f t="array" ref="F377">IF(C377&lt;&gt;"",IF(F$7="SUMMER","N/A",_xlfn.IFS(F$10="AT",RECORD!GI379,F$10="LECTURE",GRADES!AP377,TRUE(),"")),"")</x:f>
      </x:c>
      <x:c r="G377" s="106" t="str">
        <x:f t="shared" si="116"/>
      </x:c>
      <x:c r="H377" s="107" t="str">
        <x:f t="array" ref="H377">IF(C377&lt;&gt;"",IF(F$7="SUMMER","N/A",_xlfn.IFS(H$10="EXAM",RECORD!GJ379,H$10="OUTPUT",RECORD!GK379,H$10="LAB",BP377,TRUE(),"")),"")</x:f>
      </x:c>
      <x:c r="I377" s="106" t="str">
        <x:f t="shared" si="117"/>
      </x:c>
      <x:c r="J377" s="108" t="str">
        <x:f t="shared" si="118"/>
      </x:c>
      <x:c r="K377" s="109" t="str">
        <x:f t="shared" si="119"/>
      </x:c>
      <x:c r="L377" s="110" t="str">
        <x:f t="array" ref="L377">IF(C377&lt;&gt;"",_xlfn.IFS(L$10="TLA",RECORD!GY379,N$10="LECTURE","",TRUE(),""),"")</x:f>
      </x:c>
      <x:c r="M377" s="105" t="str">
        <x:f t="shared" si="120"/>
      </x:c>
      <x:c r="N377" s="104" t="str">
        <x:f t="array" ref="N377">IF(C377&lt;&gt;"",_xlfn.IFS(N$10="AT",RECORD!GS379,N$10="LECTURE",AX377,TRUE(),""),"")</x:f>
      </x:c>
      <x:c r="O377" s="106" t="str">
        <x:f t="shared" si="121"/>
      </x:c>
      <x:c r="P377" s="107" t="str">
        <x:f t="array" ref="P377">IF(C377&lt;&gt;"",_xlfn.IFS(P$10="EXAM",RECORD!GT379,P$10="OUTPUT",RECORD!GU379,P$10="LAB",BX377,TRUE(),""),"")</x:f>
      </x:c>
      <x:c r="Q377" s="106" t="str">
        <x:f t="shared" si="122"/>
      </x:c>
      <x:c r="R377" s="108" t="str">
        <x:f t="shared" si="123"/>
      </x:c>
      <x:c r="S377" s="109" t="str">
        <x:f t="shared" si="124"/>
      </x:c>
      <x:c r="T377" s="110" t="str">
        <x:f t="array" ref="T377">IF(C377&lt;&gt;"",_xlfn.IFS(T$10="TLA",RECORD!HI379,V$10="LECTURE","",TRUE(),""),"")</x:f>
      </x:c>
      <x:c r="U377" s="105" t="str">
        <x:f t="shared" si="125"/>
      </x:c>
      <x:c r="V377" s="104" t="str">
        <x:f t="array" ref="V377">IF(C377&lt;&gt;"",_xlfn.IFS(V$10="AT",RECORD!HC379,V$10="LECTURE",BF377,TRUE(),""),"")</x:f>
      </x:c>
      <x:c r="W377" s="106" t="str">
        <x:f t="shared" si="126"/>
      </x:c>
      <x:c r="X377" s="107" t="str">
        <x:f t="array" ref="X377">IF(C377&lt;&gt;"",_xlfn.IFS(X$10="EXAM",RECORD!HD379,X$10="OUTPUT",RECORD!HE379,X$10="LAB",CF377,TRUE(),""),"")</x:f>
      </x:c>
      <x:c r="Y377" s="106" t="str">
        <x:f t="shared" si="127"/>
      </x:c>
      <x:c r="Z377" s="108" t="str">
        <x:f t="shared" si="128"/>
      </x:c>
      <x:c r="AA377" s="109" t="str">
        <x:f t="shared" si="129"/>
      </x:c>
      <x:c r="AB377" s="111" t="str">
        <x:f t="shared" si="130"/>
      </x:c>
      <x:c r="AC377" s="109" t="str">
        <x:f t="shared" si="131"/>
      </x:c>
      <x:c r="AQ377" s="109" t="str">
        <x:f t="shared" si="132"/>
        <x:v>FAILED</x:v>
      </x:c>
      <x:c r="AR377" s="115"/>
      <x:c r="AS377" s="115"/>
      <x:c r="AT377" s="107"/>
      <x:c r="AU377" s="107"/>
      <x:c r="AV377" s="107"/>
      <x:c r="AW377" s="107"/>
      <x:c r="AX377" s="107"/>
      <x:c r="AY377" s="109" t="str">
        <x:f t="shared" si="133"/>
        <x:v>FAILED</x:v>
      </x:c>
      <x:c r="AZ377" s="115"/>
      <x:c r="BA377" s="115"/>
      <x:c r="BB377" s="107"/>
      <x:c r="BC377" s="107"/>
      <x:c r="BD377" s="107"/>
      <x:c r="BE377" s="107"/>
      <x:c r="BF377" s="107"/>
      <x:c r="BG377" s="109" t="str">
        <x:f t="shared" si="134"/>
        <x:v>FAILED</x:v>
      </x:c>
      <x:c r="BQ377" s="109" t="str">
        <x:f t="shared" si="135"/>
        <x:v>FAILED</x:v>
      </x:c>
      <x:c r="BR377" s="115"/>
      <x:c r="BS377" s="115"/>
      <x:c r="BT377" s="107"/>
      <x:c r="BU377" s="107"/>
      <x:c r="BV377" s="107"/>
      <x:c r="BW377" s="107"/>
      <x:c r="BX377" s="107"/>
      <x:c r="BY377" s="109" t="str">
        <x:f t="shared" si="136"/>
        <x:v>FAILED</x:v>
      </x:c>
      <x:c r="BZ377" s="115"/>
      <x:c r="CA377" s="115"/>
      <x:c r="CB377" s="107"/>
      <x:c r="CC377" s="107"/>
      <x:c r="CD377" s="107"/>
      <x:c r="CE377" s="107"/>
      <x:c r="CF377" s="107"/>
      <x:c r="CG377" s="109" t="str">
        <x:f t="shared" si="137"/>
        <x:v>FAILED</x:v>
      </x:c>
    </x:row>
    <x:row r="378">
      <x:c r="A378" s="102" t="str">
        <x:f>IF(RECORD!A380="","",RECORD!A380)</x:f>
      </x:c>
      <x:c r="B378" s="102" t="str">
        <x:f>IF(RECORD!B380="","",RECORD!B380)</x:f>
      </x:c>
      <x:c r="C378" s="103" t="str">
        <x:f>IF(RECORD!C380="","",RECORD!C380)</x:f>
      </x:c>
      <x:c r="D378" s="104" t="str">
        <x:f t="array" ref="D378">IF(C378&lt;&gt;"",IF(F$7="SUMMER","N/A",_xlfn.IFS(D$10="TLA",RECORD!GO380,F$10="LECTURE","",TRUE(),"")),"")</x:f>
      </x:c>
      <x:c r="E378" s="105" t="str">
        <x:f t="shared" si="115"/>
      </x:c>
      <x:c r="F378" s="104" t="str">
        <x:f t="array" ref="F378">IF(C378&lt;&gt;"",IF(F$7="SUMMER","N/A",_xlfn.IFS(F$10="AT",RECORD!GI380,F$10="LECTURE",GRADES!AP378,TRUE(),"")),"")</x:f>
      </x:c>
      <x:c r="G378" s="106" t="str">
        <x:f t="shared" si="116"/>
      </x:c>
      <x:c r="H378" s="107" t="str">
        <x:f t="array" ref="H378">IF(C378&lt;&gt;"",IF(F$7="SUMMER","N/A",_xlfn.IFS(H$10="EXAM",RECORD!GJ380,H$10="OUTPUT",RECORD!GK380,H$10="LAB",BP378,TRUE(),"")),"")</x:f>
      </x:c>
      <x:c r="I378" s="106" t="str">
        <x:f t="shared" si="117"/>
      </x:c>
      <x:c r="J378" s="108" t="str">
        <x:f t="shared" si="118"/>
      </x:c>
      <x:c r="K378" s="109" t="str">
        <x:f t="shared" si="119"/>
      </x:c>
      <x:c r="L378" s="110" t="str">
        <x:f t="array" ref="L378">IF(C378&lt;&gt;"",_xlfn.IFS(L$10="TLA",RECORD!GY380,N$10="LECTURE","",TRUE(),""),"")</x:f>
      </x:c>
      <x:c r="M378" s="105" t="str">
        <x:f t="shared" si="120"/>
      </x:c>
      <x:c r="N378" s="104" t="str">
        <x:f t="array" ref="N378">IF(C378&lt;&gt;"",_xlfn.IFS(N$10="AT",RECORD!GS380,N$10="LECTURE",AX378,TRUE(),""),"")</x:f>
      </x:c>
      <x:c r="O378" s="106" t="str">
        <x:f t="shared" si="121"/>
      </x:c>
      <x:c r="P378" s="107" t="str">
        <x:f t="array" ref="P378">IF(C378&lt;&gt;"",_xlfn.IFS(P$10="EXAM",RECORD!GT380,P$10="OUTPUT",RECORD!GU380,P$10="LAB",BX378,TRUE(),""),"")</x:f>
      </x:c>
      <x:c r="Q378" s="106" t="str">
        <x:f t="shared" si="122"/>
      </x:c>
      <x:c r="R378" s="108" t="str">
        <x:f t="shared" si="123"/>
      </x:c>
      <x:c r="S378" s="109" t="str">
        <x:f t="shared" si="124"/>
      </x:c>
      <x:c r="T378" s="110" t="str">
        <x:f t="array" ref="T378">IF(C378&lt;&gt;"",_xlfn.IFS(T$10="TLA",RECORD!HI380,V$10="LECTURE","",TRUE(),""),"")</x:f>
      </x:c>
      <x:c r="U378" s="105" t="str">
        <x:f t="shared" si="125"/>
      </x:c>
      <x:c r="V378" s="104" t="str">
        <x:f t="array" ref="V378">IF(C378&lt;&gt;"",_xlfn.IFS(V$10="AT",RECORD!HC380,V$10="LECTURE",BF378,TRUE(),""),"")</x:f>
      </x:c>
      <x:c r="W378" s="106" t="str">
        <x:f t="shared" si="126"/>
      </x:c>
      <x:c r="X378" s="107" t="str">
        <x:f t="array" ref="X378">IF(C378&lt;&gt;"",_xlfn.IFS(X$10="EXAM",RECORD!HD380,X$10="OUTPUT",RECORD!HE380,X$10="LAB",CF378,TRUE(),""),"")</x:f>
      </x:c>
      <x:c r="Y378" s="106" t="str">
        <x:f t="shared" si="127"/>
      </x:c>
      <x:c r="Z378" s="108" t="str">
        <x:f t="shared" si="128"/>
      </x:c>
      <x:c r="AA378" s="109" t="str">
        <x:f t="shared" si="129"/>
      </x:c>
      <x:c r="AB378" s="111" t="str">
        <x:f t="shared" si="130"/>
      </x:c>
      <x:c r="AC378" s="109" t="str">
        <x:f t="shared" si="131"/>
      </x:c>
      <x:c r="AQ378" s="109" t="str">
        <x:f t="shared" si="132"/>
        <x:v>FAILED</x:v>
      </x:c>
      <x:c r="AR378" s="115"/>
      <x:c r="AS378" s="115"/>
      <x:c r="AT378" s="107"/>
      <x:c r="AU378" s="107"/>
      <x:c r="AV378" s="107"/>
      <x:c r="AW378" s="107"/>
      <x:c r="AX378" s="107"/>
      <x:c r="AY378" s="109" t="str">
        <x:f t="shared" si="133"/>
        <x:v>FAILED</x:v>
      </x:c>
      <x:c r="AZ378" s="115"/>
      <x:c r="BA378" s="115"/>
      <x:c r="BB378" s="107"/>
      <x:c r="BC378" s="107"/>
      <x:c r="BD378" s="107"/>
      <x:c r="BE378" s="107"/>
      <x:c r="BF378" s="107"/>
      <x:c r="BG378" s="109" t="str">
        <x:f t="shared" si="134"/>
        <x:v>FAILED</x:v>
      </x:c>
      <x:c r="BQ378" s="109" t="str">
        <x:f t="shared" si="135"/>
        <x:v>FAILED</x:v>
      </x:c>
      <x:c r="BR378" s="115"/>
      <x:c r="BS378" s="115"/>
      <x:c r="BT378" s="107"/>
      <x:c r="BU378" s="107"/>
      <x:c r="BV378" s="107"/>
      <x:c r="BW378" s="107"/>
      <x:c r="BX378" s="107"/>
      <x:c r="BY378" s="109" t="str">
        <x:f t="shared" si="136"/>
        <x:v>FAILED</x:v>
      </x:c>
      <x:c r="BZ378" s="115"/>
      <x:c r="CA378" s="115"/>
      <x:c r="CB378" s="107"/>
      <x:c r="CC378" s="107"/>
      <x:c r="CD378" s="107"/>
      <x:c r="CE378" s="107"/>
      <x:c r="CF378" s="107"/>
      <x:c r="CG378" s="109" t="str">
        <x:f t="shared" si="137"/>
        <x:v>FAILED</x:v>
      </x:c>
    </x:row>
    <x:row r="379">
      <x:c r="A379" s="102" t="str">
        <x:f>IF(RECORD!A381="","",RECORD!A381)</x:f>
      </x:c>
      <x:c r="B379" s="102" t="str">
        <x:f>IF(RECORD!B381="","",RECORD!B381)</x:f>
      </x:c>
      <x:c r="C379" s="103" t="str">
        <x:f>IF(RECORD!C381="","",RECORD!C381)</x:f>
      </x:c>
      <x:c r="D379" s="104" t="str">
        <x:f t="array" ref="D379">IF(C379&lt;&gt;"",IF(F$7="SUMMER","N/A",_xlfn.IFS(D$10="TLA",RECORD!GO381,F$10="LECTURE","",TRUE(),"")),"")</x:f>
      </x:c>
      <x:c r="E379" s="105" t="str">
        <x:f t="shared" si="115"/>
      </x:c>
      <x:c r="F379" s="104" t="str">
        <x:f t="array" ref="F379">IF(C379&lt;&gt;"",IF(F$7="SUMMER","N/A",_xlfn.IFS(F$10="AT",RECORD!GI381,F$10="LECTURE",GRADES!AP379,TRUE(),"")),"")</x:f>
      </x:c>
      <x:c r="G379" s="106" t="str">
        <x:f t="shared" si="116"/>
      </x:c>
      <x:c r="H379" s="107" t="str">
        <x:f t="array" ref="H379">IF(C379&lt;&gt;"",IF(F$7="SUMMER","N/A",_xlfn.IFS(H$10="EXAM",RECORD!GJ381,H$10="OUTPUT",RECORD!GK381,H$10="LAB",BP379,TRUE(),"")),"")</x:f>
      </x:c>
      <x:c r="I379" s="106" t="str">
        <x:f t="shared" si="117"/>
      </x:c>
      <x:c r="J379" s="108" t="str">
        <x:f t="shared" si="118"/>
      </x:c>
      <x:c r="K379" s="109" t="str">
        <x:f t="shared" si="119"/>
      </x:c>
      <x:c r="L379" s="110" t="str">
        <x:f t="array" ref="L379">IF(C379&lt;&gt;"",_xlfn.IFS(L$10="TLA",RECORD!GY381,N$10="LECTURE","",TRUE(),""),"")</x:f>
      </x:c>
      <x:c r="M379" s="105" t="str">
        <x:f t="shared" si="120"/>
      </x:c>
      <x:c r="N379" s="104" t="str">
        <x:f t="array" ref="N379">IF(C379&lt;&gt;"",_xlfn.IFS(N$10="AT",RECORD!GS381,N$10="LECTURE",AX379,TRUE(),""),"")</x:f>
      </x:c>
      <x:c r="O379" s="106" t="str">
        <x:f t="shared" si="121"/>
      </x:c>
      <x:c r="P379" s="107" t="str">
        <x:f t="array" ref="P379">IF(C379&lt;&gt;"",_xlfn.IFS(P$10="EXAM",RECORD!GT381,P$10="OUTPUT",RECORD!GU381,P$10="LAB",BX379,TRUE(),""),"")</x:f>
      </x:c>
      <x:c r="Q379" s="106" t="str">
        <x:f t="shared" si="122"/>
      </x:c>
      <x:c r="R379" s="108" t="str">
        <x:f t="shared" si="123"/>
      </x:c>
      <x:c r="S379" s="109" t="str">
        <x:f t="shared" si="124"/>
      </x:c>
      <x:c r="T379" s="110" t="str">
        <x:f t="array" ref="T379">IF(C379&lt;&gt;"",_xlfn.IFS(T$10="TLA",RECORD!HI381,V$10="LECTURE","",TRUE(),""),"")</x:f>
      </x:c>
      <x:c r="U379" s="105" t="str">
        <x:f t="shared" si="125"/>
      </x:c>
      <x:c r="V379" s="104" t="str">
        <x:f t="array" ref="V379">IF(C379&lt;&gt;"",_xlfn.IFS(V$10="AT",RECORD!HC381,V$10="LECTURE",BF379,TRUE(),""),"")</x:f>
      </x:c>
      <x:c r="W379" s="106" t="str">
        <x:f t="shared" si="126"/>
      </x:c>
      <x:c r="X379" s="107" t="str">
        <x:f t="array" ref="X379">IF(C379&lt;&gt;"",_xlfn.IFS(X$10="EXAM",RECORD!HD381,X$10="OUTPUT",RECORD!HE381,X$10="LAB",CF379,TRUE(),""),"")</x:f>
      </x:c>
      <x:c r="Y379" s="106" t="str">
        <x:f t="shared" si="127"/>
      </x:c>
      <x:c r="Z379" s="108" t="str">
        <x:f t="shared" si="128"/>
      </x:c>
      <x:c r="AA379" s="109" t="str">
        <x:f t="shared" si="129"/>
      </x:c>
      <x:c r="AB379" s="111" t="str">
        <x:f t="shared" si="130"/>
      </x:c>
      <x:c r="AC379" s="109" t="str">
        <x:f t="shared" si="131"/>
      </x:c>
      <x:c r="AQ379" s="109" t="str">
        <x:f t="shared" si="132"/>
        <x:v>FAILED</x:v>
      </x:c>
      <x:c r="AR379" s="115"/>
      <x:c r="AS379" s="115"/>
      <x:c r="AT379" s="107"/>
      <x:c r="AU379" s="107"/>
      <x:c r="AV379" s="107"/>
      <x:c r="AW379" s="107"/>
      <x:c r="AX379" s="107"/>
      <x:c r="AY379" s="109" t="str">
        <x:f t="shared" si="133"/>
        <x:v>FAILED</x:v>
      </x:c>
      <x:c r="AZ379" s="115"/>
      <x:c r="BA379" s="115"/>
      <x:c r="BB379" s="107"/>
      <x:c r="BC379" s="107"/>
      <x:c r="BD379" s="107"/>
      <x:c r="BE379" s="107"/>
      <x:c r="BF379" s="107"/>
      <x:c r="BG379" s="109" t="str">
        <x:f t="shared" si="134"/>
        <x:v>FAILED</x:v>
      </x:c>
      <x:c r="BQ379" s="109" t="str">
        <x:f t="shared" si="135"/>
        <x:v>FAILED</x:v>
      </x:c>
      <x:c r="BR379" s="115"/>
      <x:c r="BS379" s="115"/>
      <x:c r="BT379" s="107"/>
      <x:c r="BU379" s="107"/>
      <x:c r="BV379" s="107"/>
      <x:c r="BW379" s="107"/>
      <x:c r="BX379" s="107"/>
      <x:c r="BY379" s="109" t="str">
        <x:f t="shared" si="136"/>
        <x:v>FAILED</x:v>
      </x:c>
      <x:c r="BZ379" s="115"/>
      <x:c r="CA379" s="115"/>
      <x:c r="CB379" s="107"/>
      <x:c r="CC379" s="107"/>
      <x:c r="CD379" s="107"/>
      <x:c r="CE379" s="107"/>
      <x:c r="CF379" s="107"/>
      <x:c r="CG379" s="109" t="str">
        <x:f t="shared" si="137"/>
        <x:v>FAILED</x:v>
      </x:c>
    </x:row>
    <x:row r="380">
      <x:c r="A380" s="102" t="str">
        <x:f>IF(RECORD!A382="","",RECORD!A382)</x:f>
      </x:c>
      <x:c r="B380" s="102" t="str">
        <x:f>IF(RECORD!B382="","",RECORD!B382)</x:f>
      </x:c>
      <x:c r="C380" s="103" t="str">
        <x:f>IF(RECORD!C382="","",RECORD!C382)</x:f>
      </x:c>
      <x:c r="D380" s="104" t="str">
        <x:f t="array" ref="D380">IF(C380&lt;&gt;"",IF(F$7="SUMMER","N/A",_xlfn.IFS(D$10="TLA",RECORD!GO382,F$10="LECTURE","",TRUE(),"")),"")</x:f>
      </x:c>
      <x:c r="E380" s="105" t="str">
        <x:f t="shared" si="115"/>
      </x:c>
      <x:c r="F380" s="104" t="str">
        <x:f t="array" ref="F380">IF(C380&lt;&gt;"",IF(F$7="SUMMER","N/A",_xlfn.IFS(F$10="AT",RECORD!GI382,F$10="LECTURE",GRADES!AP380,TRUE(),"")),"")</x:f>
      </x:c>
      <x:c r="G380" s="106" t="str">
        <x:f t="shared" si="116"/>
      </x:c>
      <x:c r="H380" s="107" t="str">
        <x:f t="array" ref="H380">IF(C380&lt;&gt;"",IF(F$7="SUMMER","N/A",_xlfn.IFS(H$10="EXAM",RECORD!GJ382,H$10="OUTPUT",RECORD!GK382,H$10="LAB",BP380,TRUE(),"")),"")</x:f>
      </x:c>
      <x:c r="I380" s="106" t="str">
        <x:f t="shared" si="117"/>
      </x:c>
      <x:c r="J380" s="108" t="str">
        <x:f t="shared" si="118"/>
      </x:c>
      <x:c r="K380" s="109" t="str">
        <x:f t="shared" si="119"/>
      </x:c>
      <x:c r="L380" s="110" t="str">
        <x:f t="array" ref="L380">IF(C380&lt;&gt;"",_xlfn.IFS(L$10="TLA",RECORD!GY382,N$10="LECTURE","",TRUE(),""),"")</x:f>
      </x:c>
      <x:c r="M380" s="105" t="str">
        <x:f t="shared" si="120"/>
      </x:c>
      <x:c r="N380" s="104" t="str">
        <x:f t="array" ref="N380">IF(C380&lt;&gt;"",_xlfn.IFS(N$10="AT",RECORD!GS382,N$10="LECTURE",AX380,TRUE(),""),"")</x:f>
      </x:c>
      <x:c r="O380" s="106" t="str">
        <x:f t="shared" si="121"/>
      </x:c>
      <x:c r="P380" s="107" t="str">
        <x:f t="array" ref="P380">IF(C380&lt;&gt;"",_xlfn.IFS(P$10="EXAM",RECORD!GT382,P$10="OUTPUT",RECORD!GU382,P$10="LAB",BX380,TRUE(),""),"")</x:f>
      </x:c>
      <x:c r="Q380" s="106" t="str">
        <x:f t="shared" si="122"/>
      </x:c>
      <x:c r="R380" s="108" t="str">
        <x:f t="shared" si="123"/>
      </x:c>
      <x:c r="S380" s="109" t="str">
        <x:f t="shared" si="124"/>
      </x:c>
      <x:c r="T380" s="110" t="str">
        <x:f t="array" ref="T380">IF(C380&lt;&gt;"",_xlfn.IFS(T$10="TLA",RECORD!HI382,V$10="LECTURE","",TRUE(),""),"")</x:f>
      </x:c>
      <x:c r="U380" s="105" t="str">
        <x:f t="shared" si="125"/>
      </x:c>
      <x:c r="V380" s="104" t="str">
        <x:f t="array" ref="V380">IF(C380&lt;&gt;"",_xlfn.IFS(V$10="AT",RECORD!HC382,V$10="LECTURE",BF380,TRUE(),""),"")</x:f>
      </x:c>
      <x:c r="W380" s="106" t="str">
        <x:f t="shared" si="126"/>
      </x:c>
      <x:c r="X380" s="107" t="str">
        <x:f t="array" ref="X380">IF(C380&lt;&gt;"",_xlfn.IFS(X$10="EXAM",RECORD!HD382,X$10="OUTPUT",RECORD!HE382,X$10="LAB",CF380,TRUE(),""),"")</x:f>
      </x:c>
      <x:c r="Y380" s="106" t="str">
        <x:f t="shared" si="127"/>
      </x:c>
      <x:c r="Z380" s="108" t="str">
        <x:f t="shared" si="128"/>
      </x:c>
      <x:c r="AA380" s="109" t="str">
        <x:f t="shared" si="129"/>
      </x:c>
      <x:c r="AB380" s="111" t="str">
        <x:f t="shared" si="130"/>
      </x:c>
      <x:c r="AC380" s="109" t="str">
        <x:f t="shared" si="131"/>
      </x:c>
      <x:c r="AQ380" s="109" t="str">
        <x:f t="shared" si="132"/>
        <x:v>FAILED</x:v>
      </x:c>
      <x:c r="AR380" s="115"/>
      <x:c r="AS380" s="115"/>
      <x:c r="AT380" s="107"/>
      <x:c r="AU380" s="107"/>
      <x:c r="AV380" s="107"/>
      <x:c r="AW380" s="107"/>
      <x:c r="AX380" s="107"/>
      <x:c r="AY380" s="109" t="str">
        <x:f t="shared" si="133"/>
        <x:v>FAILED</x:v>
      </x:c>
      <x:c r="AZ380" s="115"/>
      <x:c r="BA380" s="115"/>
      <x:c r="BB380" s="107"/>
      <x:c r="BC380" s="107"/>
      <x:c r="BD380" s="107"/>
      <x:c r="BE380" s="107"/>
      <x:c r="BF380" s="107"/>
      <x:c r="BG380" s="109" t="str">
        <x:f t="shared" si="134"/>
        <x:v>FAILED</x:v>
      </x:c>
      <x:c r="BQ380" s="109" t="str">
        <x:f t="shared" si="135"/>
        <x:v>FAILED</x:v>
      </x:c>
      <x:c r="BR380" s="115"/>
      <x:c r="BS380" s="115"/>
      <x:c r="BT380" s="107"/>
      <x:c r="BU380" s="107"/>
      <x:c r="BV380" s="107"/>
      <x:c r="BW380" s="107"/>
      <x:c r="BX380" s="107"/>
      <x:c r="BY380" s="109" t="str">
        <x:f t="shared" si="136"/>
        <x:v>FAILED</x:v>
      </x:c>
      <x:c r="BZ380" s="115"/>
      <x:c r="CA380" s="115"/>
      <x:c r="CB380" s="107"/>
      <x:c r="CC380" s="107"/>
      <x:c r="CD380" s="107"/>
      <x:c r="CE380" s="107"/>
      <x:c r="CF380" s="107"/>
      <x:c r="CG380" s="109" t="str">
        <x:f t="shared" si="137"/>
        <x:v>FAILED</x:v>
      </x:c>
    </x:row>
    <x:row r="381">
      <x:c r="A381" s="102" t="str">
        <x:f>IF(RECORD!A383="","",RECORD!A383)</x:f>
      </x:c>
      <x:c r="B381" s="102" t="str">
        <x:f>IF(RECORD!B383="","",RECORD!B383)</x:f>
      </x:c>
      <x:c r="C381" s="103" t="str">
        <x:f>IF(RECORD!C383="","",RECORD!C383)</x:f>
      </x:c>
      <x:c r="D381" s="104" t="str">
        <x:f t="array" ref="D381">IF(C381&lt;&gt;"",IF(F$7="SUMMER","N/A",_xlfn.IFS(D$10="TLA",RECORD!GO383,F$10="LECTURE","",TRUE(),"")),"")</x:f>
      </x:c>
      <x:c r="E381" s="105" t="str">
        <x:f t="shared" si="115"/>
      </x:c>
      <x:c r="F381" s="104" t="str">
        <x:f t="array" ref="F381">IF(C381&lt;&gt;"",IF(F$7="SUMMER","N/A",_xlfn.IFS(F$10="AT",RECORD!GI383,F$10="LECTURE",GRADES!AP381,TRUE(),"")),"")</x:f>
      </x:c>
      <x:c r="G381" s="106" t="str">
        <x:f t="shared" si="116"/>
      </x:c>
      <x:c r="H381" s="107" t="str">
        <x:f t="array" ref="H381">IF(C381&lt;&gt;"",IF(F$7="SUMMER","N/A",_xlfn.IFS(H$10="EXAM",RECORD!GJ383,H$10="OUTPUT",RECORD!GK383,H$10="LAB",BP381,TRUE(),"")),"")</x:f>
      </x:c>
      <x:c r="I381" s="106" t="str">
        <x:f t="shared" si="117"/>
      </x:c>
      <x:c r="J381" s="108" t="str">
        <x:f t="shared" si="118"/>
      </x:c>
      <x:c r="K381" s="109" t="str">
        <x:f t="shared" si="119"/>
      </x:c>
      <x:c r="L381" s="110" t="str">
        <x:f t="array" ref="L381">IF(C381&lt;&gt;"",_xlfn.IFS(L$10="TLA",RECORD!GY383,N$10="LECTURE","",TRUE(),""),"")</x:f>
      </x:c>
      <x:c r="M381" s="105" t="str">
        <x:f t="shared" si="120"/>
      </x:c>
      <x:c r="N381" s="104" t="str">
        <x:f t="array" ref="N381">IF(C381&lt;&gt;"",_xlfn.IFS(N$10="AT",RECORD!GS383,N$10="LECTURE",AX381,TRUE(),""),"")</x:f>
      </x:c>
      <x:c r="O381" s="106" t="str">
        <x:f t="shared" si="121"/>
      </x:c>
      <x:c r="P381" s="107" t="str">
        <x:f t="array" ref="P381">IF(C381&lt;&gt;"",_xlfn.IFS(P$10="EXAM",RECORD!GT383,P$10="OUTPUT",RECORD!GU383,P$10="LAB",BX381,TRUE(),""),"")</x:f>
      </x:c>
      <x:c r="Q381" s="106" t="str">
        <x:f t="shared" si="122"/>
      </x:c>
      <x:c r="R381" s="108" t="str">
        <x:f t="shared" si="123"/>
      </x:c>
      <x:c r="S381" s="109" t="str">
        <x:f t="shared" si="124"/>
      </x:c>
      <x:c r="T381" s="110" t="str">
        <x:f t="array" ref="T381">IF(C381&lt;&gt;"",_xlfn.IFS(T$10="TLA",RECORD!HI383,V$10="LECTURE","",TRUE(),""),"")</x:f>
      </x:c>
      <x:c r="U381" s="105" t="str">
        <x:f t="shared" si="125"/>
      </x:c>
      <x:c r="V381" s="104" t="str">
        <x:f t="array" ref="V381">IF(C381&lt;&gt;"",_xlfn.IFS(V$10="AT",RECORD!HC383,V$10="LECTURE",BF381,TRUE(),""),"")</x:f>
      </x:c>
      <x:c r="W381" s="106" t="str">
        <x:f t="shared" si="126"/>
      </x:c>
      <x:c r="X381" s="107" t="str">
        <x:f t="array" ref="X381">IF(C381&lt;&gt;"",_xlfn.IFS(X$10="EXAM",RECORD!HD383,X$10="OUTPUT",RECORD!HE383,X$10="LAB",CF381,TRUE(),""),"")</x:f>
      </x:c>
      <x:c r="Y381" s="106" t="str">
        <x:f t="shared" si="127"/>
      </x:c>
      <x:c r="Z381" s="108" t="str">
        <x:f t="shared" si="128"/>
      </x:c>
      <x:c r="AA381" s="109" t="str">
        <x:f t="shared" si="129"/>
      </x:c>
      <x:c r="AB381" s="111" t="str">
        <x:f t="shared" si="130"/>
      </x:c>
      <x:c r="AC381" s="109" t="str">
        <x:f t="shared" si="131"/>
      </x:c>
      <x:c r="AQ381" s="109" t="str">
        <x:f t="shared" si="132"/>
        <x:v>FAILED</x:v>
      </x:c>
      <x:c r="AR381" s="115"/>
      <x:c r="AS381" s="115"/>
      <x:c r="AT381" s="107"/>
      <x:c r="AU381" s="107"/>
      <x:c r="AV381" s="107"/>
      <x:c r="AW381" s="107"/>
      <x:c r="AX381" s="107"/>
      <x:c r="AY381" s="109" t="str">
        <x:f t="shared" si="133"/>
        <x:v>FAILED</x:v>
      </x:c>
      <x:c r="AZ381" s="115"/>
      <x:c r="BA381" s="115"/>
      <x:c r="BB381" s="107"/>
      <x:c r="BC381" s="107"/>
      <x:c r="BD381" s="107"/>
      <x:c r="BE381" s="107"/>
      <x:c r="BF381" s="107"/>
      <x:c r="BG381" s="109" t="str">
        <x:f t="shared" si="134"/>
        <x:v>FAILED</x:v>
      </x:c>
      <x:c r="BQ381" s="109" t="str">
        <x:f t="shared" si="135"/>
        <x:v>FAILED</x:v>
      </x:c>
      <x:c r="BR381" s="115"/>
      <x:c r="BS381" s="115"/>
      <x:c r="BT381" s="107"/>
      <x:c r="BU381" s="107"/>
      <x:c r="BV381" s="107"/>
      <x:c r="BW381" s="107"/>
      <x:c r="BX381" s="107"/>
      <x:c r="BY381" s="109" t="str">
        <x:f t="shared" si="136"/>
        <x:v>FAILED</x:v>
      </x:c>
      <x:c r="BZ381" s="115"/>
      <x:c r="CA381" s="115"/>
      <x:c r="CB381" s="107"/>
      <x:c r="CC381" s="107"/>
      <x:c r="CD381" s="107"/>
      <x:c r="CE381" s="107"/>
      <x:c r="CF381" s="107"/>
      <x:c r="CG381" s="109" t="str">
        <x:f t="shared" si="137"/>
        <x:v>FAILED</x:v>
      </x:c>
    </x:row>
    <x:row r="382">
      <x:c r="A382" s="102" t="str">
        <x:f>IF(RECORD!A384="","",RECORD!A384)</x:f>
      </x:c>
      <x:c r="B382" s="102" t="str">
        <x:f>IF(RECORD!B384="","",RECORD!B384)</x:f>
      </x:c>
      <x:c r="C382" s="103" t="str">
        <x:f>IF(RECORD!C384="","",RECORD!C384)</x:f>
      </x:c>
      <x:c r="D382" s="104" t="str">
        <x:f t="array" ref="D382">IF(C382&lt;&gt;"",IF(F$7="SUMMER","N/A",_xlfn.IFS(D$10="TLA",RECORD!GO384,F$10="LECTURE","",TRUE(),"")),"")</x:f>
      </x:c>
      <x:c r="E382" s="105" t="str">
        <x:f t="shared" si="115"/>
      </x:c>
      <x:c r="F382" s="104" t="str">
        <x:f t="array" ref="F382">IF(C382&lt;&gt;"",IF(F$7="SUMMER","N/A",_xlfn.IFS(F$10="AT",RECORD!GI384,F$10="LECTURE",GRADES!AP382,TRUE(),"")),"")</x:f>
      </x:c>
      <x:c r="G382" s="106" t="str">
        <x:f t="shared" si="116"/>
      </x:c>
      <x:c r="H382" s="107" t="str">
        <x:f t="array" ref="H382">IF(C382&lt;&gt;"",IF(F$7="SUMMER","N/A",_xlfn.IFS(H$10="EXAM",RECORD!GJ384,H$10="OUTPUT",RECORD!GK384,H$10="LAB",BP382,TRUE(),"")),"")</x:f>
      </x:c>
      <x:c r="I382" s="106" t="str">
        <x:f t="shared" si="117"/>
      </x:c>
      <x:c r="J382" s="108" t="str">
        <x:f t="shared" si="118"/>
      </x:c>
      <x:c r="K382" s="109" t="str">
        <x:f t="shared" si="119"/>
      </x:c>
      <x:c r="L382" s="110" t="str">
        <x:f t="array" ref="L382">IF(C382&lt;&gt;"",_xlfn.IFS(L$10="TLA",RECORD!GY384,N$10="LECTURE","",TRUE(),""),"")</x:f>
      </x:c>
      <x:c r="M382" s="105" t="str">
        <x:f t="shared" si="120"/>
      </x:c>
      <x:c r="N382" s="104" t="str">
        <x:f t="array" ref="N382">IF(C382&lt;&gt;"",_xlfn.IFS(N$10="AT",RECORD!GS384,N$10="LECTURE",AX382,TRUE(),""),"")</x:f>
      </x:c>
      <x:c r="O382" s="106" t="str">
        <x:f t="shared" si="121"/>
      </x:c>
      <x:c r="P382" s="107" t="str">
        <x:f t="array" ref="P382">IF(C382&lt;&gt;"",_xlfn.IFS(P$10="EXAM",RECORD!GT384,P$10="OUTPUT",RECORD!GU384,P$10="LAB",BX382,TRUE(),""),"")</x:f>
      </x:c>
      <x:c r="Q382" s="106" t="str">
        <x:f t="shared" si="122"/>
      </x:c>
      <x:c r="R382" s="108" t="str">
        <x:f t="shared" si="123"/>
      </x:c>
      <x:c r="S382" s="109" t="str">
        <x:f t="shared" si="124"/>
      </x:c>
      <x:c r="T382" s="110" t="str">
        <x:f t="array" ref="T382">IF(C382&lt;&gt;"",_xlfn.IFS(T$10="TLA",RECORD!HI384,V$10="LECTURE","",TRUE(),""),"")</x:f>
      </x:c>
      <x:c r="U382" s="105" t="str">
        <x:f t="shared" si="125"/>
      </x:c>
      <x:c r="V382" s="104" t="str">
        <x:f t="array" ref="V382">IF(C382&lt;&gt;"",_xlfn.IFS(V$10="AT",RECORD!HC384,V$10="LECTURE",BF382,TRUE(),""),"")</x:f>
      </x:c>
      <x:c r="W382" s="106" t="str">
        <x:f t="shared" si="126"/>
      </x:c>
      <x:c r="X382" s="107" t="str">
        <x:f t="array" ref="X382">IF(C382&lt;&gt;"",_xlfn.IFS(X$10="EXAM",RECORD!HD384,X$10="OUTPUT",RECORD!HE384,X$10="LAB",CF382,TRUE(),""),"")</x:f>
      </x:c>
      <x:c r="Y382" s="106" t="str">
        <x:f t="shared" si="127"/>
      </x:c>
      <x:c r="Z382" s="108" t="str">
        <x:f t="shared" si="128"/>
      </x:c>
      <x:c r="AA382" s="109" t="str">
        <x:f t="shared" si="129"/>
      </x:c>
      <x:c r="AB382" s="111" t="str">
        <x:f t="shared" si="130"/>
      </x:c>
      <x:c r="AC382" s="109" t="str">
        <x:f t="shared" si="131"/>
      </x:c>
      <x:c r="AQ382" s="109" t="str">
        <x:f t="shared" si="132"/>
        <x:v>FAILED</x:v>
      </x:c>
      <x:c r="AR382" s="115"/>
      <x:c r="AS382" s="115"/>
      <x:c r="AT382" s="107"/>
      <x:c r="AU382" s="107"/>
      <x:c r="AV382" s="107"/>
      <x:c r="AW382" s="107"/>
      <x:c r="AX382" s="107"/>
      <x:c r="AY382" s="109" t="str">
        <x:f t="shared" si="133"/>
        <x:v>FAILED</x:v>
      </x:c>
      <x:c r="AZ382" s="115"/>
      <x:c r="BA382" s="115"/>
      <x:c r="BB382" s="107"/>
      <x:c r="BC382" s="107"/>
      <x:c r="BD382" s="107"/>
      <x:c r="BE382" s="107"/>
      <x:c r="BF382" s="107"/>
      <x:c r="BG382" s="109" t="str">
        <x:f t="shared" si="134"/>
        <x:v>FAILED</x:v>
      </x:c>
      <x:c r="BQ382" s="109" t="str">
        <x:f t="shared" si="135"/>
        <x:v>FAILED</x:v>
      </x:c>
      <x:c r="BR382" s="115"/>
      <x:c r="BS382" s="115"/>
      <x:c r="BT382" s="107"/>
      <x:c r="BU382" s="107"/>
      <x:c r="BV382" s="107"/>
      <x:c r="BW382" s="107"/>
      <x:c r="BX382" s="107"/>
      <x:c r="BY382" s="109" t="str">
        <x:f t="shared" si="136"/>
        <x:v>FAILED</x:v>
      </x:c>
      <x:c r="BZ382" s="115"/>
      <x:c r="CA382" s="115"/>
      <x:c r="CB382" s="107"/>
      <x:c r="CC382" s="107"/>
      <x:c r="CD382" s="107"/>
      <x:c r="CE382" s="107"/>
      <x:c r="CF382" s="107"/>
      <x:c r="CG382" s="109" t="str">
        <x:f t="shared" si="137"/>
        <x:v>FAILED</x:v>
      </x:c>
    </x:row>
    <x:row r="383">
      <x:c r="A383" s="102" t="str">
        <x:f>IF(RECORD!A385="","",RECORD!A385)</x:f>
      </x:c>
      <x:c r="B383" s="102" t="str">
        <x:f>IF(RECORD!B385="","",RECORD!B385)</x:f>
      </x:c>
      <x:c r="C383" s="103" t="str">
        <x:f>IF(RECORD!C385="","",RECORD!C385)</x:f>
      </x:c>
      <x:c r="D383" s="104" t="str">
        <x:f t="array" ref="D383">IF(C383&lt;&gt;"",IF(F$7="SUMMER","N/A",_xlfn.IFS(D$10="TLA",RECORD!GO385,F$10="LECTURE","",TRUE(),"")),"")</x:f>
      </x:c>
      <x:c r="E383" s="105" t="str">
        <x:f t="shared" si="115"/>
      </x:c>
      <x:c r="F383" s="104" t="str">
        <x:f t="array" ref="F383">IF(C383&lt;&gt;"",IF(F$7="SUMMER","N/A",_xlfn.IFS(F$10="AT",RECORD!GI385,F$10="LECTURE",GRADES!AP383,TRUE(),"")),"")</x:f>
      </x:c>
      <x:c r="G383" s="106" t="str">
        <x:f t="shared" si="116"/>
      </x:c>
      <x:c r="H383" s="107" t="str">
        <x:f t="array" ref="H383">IF(C383&lt;&gt;"",IF(F$7="SUMMER","N/A",_xlfn.IFS(H$10="EXAM",RECORD!GJ385,H$10="OUTPUT",RECORD!GK385,H$10="LAB",BP383,TRUE(),"")),"")</x:f>
      </x:c>
      <x:c r="I383" s="106" t="str">
        <x:f t="shared" si="117"/>
      </x:c>
      <x:c r="J383" s="108" t="str">
        <x:f t="shared" si="118"/>
      </x:c>
      <x:c r="K383" s="109" t="str">
        <x:f t="shared" si="119"/>
      </x:c>
      <x:c r="L383" s="110" t="str">
        <x:f t="array" ref="L383">IF(C383&lt;&gt;"",_xlfn.IFS(L$10="TLA",RECORD!GY385,N$10="LECTURE","",TRUE(),""),"")</x:f>
      </x:c>
      <x:c r="M383" s="105" t="str">
        <x:f t="shared" si="120"/>
      </x:c>
      <x:c r="N383" s="104" t="str">
        <x:f t="array" ref="N383">IF(C383&lt;&gt;"",_xlfn.IFS(N$10="AT",RECORD!GS385,N$10="LECTURE",AX383,TRUE(),""),"")</x:f>
      </x:c>
      <x:c r="O383" s="106" t="str">
        <x:f t="shared" si="121"/>
      </x:c>
      <x:c r="P383" s="107" t="str">
        <x:f t="array" ref="P383">IF(C383&lt;&gt;"",_xlfn.IFS(P$10="EXAM",RECORD!GT385,P$10="OUTPUT",RECORD!GU385,P$10="LAB",BX383,TRUE(),""),"")</x:f>
      </x:c>
      <x:c r="Q383" s="106" t="str">
        <x:f t="shared" si="122"/>
      </x:c>
      <x:c r="R383" s="108" t="str">
        <x:f t="shared" si="123"/>
      </x:c>
      <x:c r="S383" s="109" t="str">
        <x:f t="shared" si="124"/>
      </x:c>
      <x:c r="T383" s="110" t="str">
        <x:f t="array" ref="T383">IF(C383&lt;&gt;"",_xlfn.IFS(T$10="TLA",RECORD!HI385,V$10="LECTURE","",TRUE(),""),"")</x:f>
      </x:c>
      <x:c r="U383" s="105" t="str">
        <x:f t="shared" si="125"/>
      </x:c>
      <x:c r="V383" s="104" t="str">
        <x:f t="array" ref="V383">IF(C383&lt;&gt;"",_xlfn.IFS(V$10="AT",RECORD!HC385,V$10="LECTURE",BF383,TRUE(),""),"")</x:f>
      </x:c>
      <x:c r="W383" s="106" t="str">
        <x:f t="shared" si="126"/>
      </x:c>
      <x:c r="X383" s="107" t="str">
        <x:f t="array" ref="X383">IF(C383&lt;&gt;"",_xlfn.IFS(X$10="EXAM",RECORD!HD385,X$10="OUTPUT",RECORD!HE385,X$10="LAB",CF383,TRUE(),""),"")</x:f>
      </x:c>
      <x:c r="Y383" s="106" t="str">
        <x:f t="shared" si="127"/>
      </x:c>
      <x:c r="Z383" s="108" t="str">
        <x:f t="shared" si="128"/>
      </x:c>
      <x:c r="AA383" s="109" t="str">
        <x:f t="shared" si="129"/>
      </x:c>
      <x:c r="AB383" s="111" t="str">
        <x:f t="shared" si="130"/>
      </x:c>
      <x:c r="AC383" s="109" t="str">
        <x:f t="shared" si="131"/>
      </x:c>
      <x:c r="AQ383" s="109" t="str">
        <x:f t="shared" si="132"/>
        <x:v>FAILED</x:v>
      </x:c>
      <x:c r="AR383" s="115"/>
      <x:c r="AS383" s="115"/>
      <x:c r="AT383" s="107"/>
      <x:c r="AU383" s="107"/>
      <x:c r="AV383" s="107"/>
      <x:c r="AW383" s="107"/>
      <x:c r="AX383" s="107"/>
      <x:c r="AY383" s="109" t="str">
        <x:f t="shared" si="133"/>
        <x:v>FAILED</x:v>
      </x:c>
      <x:c r="AZ383" s="115"/>
      <x:c r="BA383" s="115"/>
      <x:c r="BB383" s="107"/>
      <x:c r="BC383" s="107"/>
      <x:c r="BD383" s="107"/>
      <x:c r="BE383" s="107"/>
      <x:c r="BF383" s="107"/>
      <x:c r="BG383" s="109" t="str">
        <x:f t="shared" si="134"/>
        <x:v>FAILED</x:v>
      </x:c>
      <x:c r="BQ383" s="109" t="str">
        <x:f t="shared" si="135"/>
        <x:v>FAILED</x:v>
      </x:c>
      <x:c r="BR383" s="115"/>
      <x:c r="BS383" s="115"/>
      <x:c r="BT383" s="107"/>
      <x:c r="BU383" s="107"/>
      <x:c r="BV383" s="107"/>
      <x:c r="BW383" s="107"/>
      <x:c r="BX383" s="107"/>
      <x:c r="BY383" s="109" t="str">
        <x:f t="shared" si="136"/>
        <x:v>FAILED</x:v>
      </x:c>
      <x:c r="BZ383" s="115"/>
      <x:c r="CA383" s="115"/>
      <x:c r="CB383" s="107"/>
      <x:c r="CC383" s="107"/>
      <x:c r="CD383" s="107"/>
      <x:c r="CE383" s="107"/>
      <x:c r="CF383" s="107"/>
      <x:c r="CG383" s="109" t="str">
        <x:f t="shared" si="137"/>
        <x:v>FAILED</x:v>
      </x:c>
    </x:row>
    <x:row r="384">
      <x:c r="A384" s="102" t="str">
        <x:f>IF(RECORD!A386="","",RECORD!A386)</x:f>
      </x:c>
      <x:c r="B384" s="102" t="str">
        <x:f>IF(RECORD!B386="","",RECORD!B386)</x:f>
      </x:c>
      <x:c r="C384" s="103" t="str">
        <x:f>IF(RECORD!C386="","",RECORD!C386)</x:f>
      </x:c>
      <x:c r="D384" s="104" t="str">
        <x:f t="array" ref="D384">IF(C384&lt;&gt;"",IF(F$7="SUMMER","N/A",_xlfn.IFS(D$10="TLA",RECORD!GO386,F$10="LECTURE","",TRUE(),"")),"")</x:f>
      </x:c>
      <x:c r="E384" s="105" t="str">
        <x:f t="shared" si="115"/>
      </x:c>
      <x:c r="F384" s="104" t="str">
        <x:f t="array" ref="F384">IF(C384&lt;&gt;"",IF(F$7="SUMMER","N/A",_xlfn.IFS(F$10="AT",RECORD!GI386,F$10="LECTURE",GRADES!AP384,TRUE(),"")),"")</x:f>
      </x:c>
      <x:c r="G384" s="106" t="str">
        <x:f t="shared" si="116"/>
      </x:c>
      <x:c r="H384" s="107" t="str">
        <x:f t="array" ref="H384">IF(C384&lt;&gt;"",IF(F$7="SUMMER","N/A",_xlfn.IFS(H$10="EXAM",RECORD!GJ386,H$10="OUTPUT",RECORD!GK386,H$10="LAB",BP384,TRUE(),"")),"")</x:f>
      </x:c>
      <x:c r="I384" s="106" t="str">
        <x:f t="shared" si="117"/>
      </x:c>
      <x:c r="J384" s="108" t="str">
        <x:f t="shared" si="118"/>
      </x:c>
      <x:c r="K384" s="109" t="str">
        <x:f t="shared" si="119"/>
      </x:c>
      <x:c r="L384" s="110" t="str">
        <x:f t="array" ref="L384">IF(C384&lt;&gt;"",_xlfn.IFS(L$10="TLA",RECORD!GY386,N$10="LECTURE","",TRUE(),""),"")</x:f>
      </x:c>
      <x:c r="M384" s="105" t="str">
        <x:f t="shared" si="120"/>
      </x:c>
      <x:c r="N384" s="104" t="str">
        <x:f t="array" ref="N384">IF(C384&lt;&gt;"",_xlfn.IFS(N$10="AT",RECORD!GS386,N$10="LECTURE",AX384,TRUE(),""),"")</x:f>
      </x:c>
      <x:c r="O384" s="106" t="str">
        <x:f t="shared" si="121"/>
      </x:c>
      <x:c r="P384" s="107" t="str">
        <x:f t="array" ref="P384">IF(C384&lt;&gt;"",_xlfn.IFS(P$10="EXAM",RECORD!GT386,P$10="OUTPUT",RECORD!GU386,P$10="LAB",BX384,TRUE(),""),"")</x:f>
      </x:c>
      <x:c r="Q384" s="106" t="str">
        <x:f t="shared" si="122"/>
      </x:c>
      <x:c r="R384" s="108" t="str">
        <x:f t="shared" si="123"/>
      </x:c>
      <x:c r="S384" s="109" t="str">
        <x:f t="shared" si="124"/>
      </x:c>
      <x:c r="T384" s="110" t="str">
        <x:f t="array" ref="T384">IF(C384&lt;&gt;"",_xlfn.IFS(T$10="TLA",RECORD!HI386,V$10="LECTURE","",TRUE(),""),"")</x:f>
      </x:c>
      <x:c r="U384" s="105" t="str">
        <x:f t="shared" si="125"/>
      </x:c>
      <x:c r="V384" s="104" t="str">
        <x:f t="array" ref="V384">IF(C384&lt;&gt;"",_xlfn.IFS(V$10="AT",RECORD!HC386,V$10="LECTURE",BF384,TRUE(),""),"")</x:f>
      </x:c>
      <x:c r="W384" s="106" t="str">
        <x:f t="shared" si="126"/>
      </x:c>
      <x:c r="X384" s="107" t="str">
        <x:f t="array" ref="X384">IF(C384&lt;&gt;"",_xlfn.IFS(X$10="EXAM",RECORD!HD386,X$10="OUTPUT",RECORD!HE386,X$10="LAB",CF384,TRUE(),""),"")</x:f>
      </x:c>
      <x:c r="Y384" s="106" t="str">
        <x:f t="shared" si="127"/>
      </x:c>
      <x:c r="Z384" s="108" t="str">
        <x:f t="shared" si="128"/>
      </x:c>
      <x:c r="AA384" s="109" t="str">
        <x:f t="shared" si="129"/>
      </x:c>
      <x:c r="AB384" s="111" t="str">
        <x:f t="shared" si="130"/>
      </x:c>
      <x:c r="AC384" s="109" t="str">
        <x:f t="shared" si="131"/>
      </x:c>
      <x:c r="AQ384" s="109" t="str">
        <x:f t="shared" si="132"/>
        <x:v>FAILED</x:v>
      </x:c>
      <x:c r="AR384" s="115"/>
      <x:c r="AS384" s="115"/>
      <x:c r="AT384" s="107"/>
      <x:c r="AU384" s="107"/>
      <x:c r="AV384" s="107"/>
      <x:c r="AW384" s="107"/>
      <x:c r="AX384" s="107"/>
      <x:c r="AY384" s="109" t="str">
        <x:f t="shared" si="133"/>
        <x:v>FAILED</x:v>
      </x:c>
      <x:c r="AZ384" s="115"/>
      <x:c r="BA384" s="115"/>
      <x:c r="BB384" s="107"/>
      <x:c r="BC384" s="107"/>
      <x:c r="BD384" s="107"/>
      <x:c r="BE384" s="107"/>
      <x:c r="BF384" s="107"/>
      <x:c r="BG384" s="109" t="str">
        <x:f t="shared" si="134"/>
        <x:v>FAILED</x:v>
      </x:c>
      <x:c r="BQ384" s="109" t="str">
        <x:f t="shared" si="135"/>
        <x:v>FAILED</x:v>
      </x:c>
      <x:c r="BR384" s="115"/>
      <x:c r="BS384" s="115"/>
      <x:c r="BT384" s="107"/>
      <x:c r="BU384" s="107"/>
      <x:c r="BV384" s="107"/>
      <x:c r="BW384" s="107"/>
      <x:c r="BX384" s="107"/>
      <x:c r="BY384" s="109" t="str">
        <x:f t="shared" si="136"/>
        <x:v>FAILED</x:v>
      </x:c>
      <x:c r="BZ384" s="115"/>
      <x:c r="CA384" s="115"/>
      <x:c r="CB384" s="107"/>
      <x:c r="CC384" s="107"/>
      <x:c r="CD384" s="107"/>
      <x:c r="CE384" s="107"/>
      <x:c r="CF384" s="107"/>
      <x:c r="CG384" s="109" t="str">
        <x:f t="shared" si="137"/>
        <x:v>FAILED</x:v>
      </x:c>
    </x:row>
    <x:row r="385">
      <x:c r="A385" s="102" t="str">
        <x:f>IF(RECORD!A387="","",RECORD!A387)</x:f>
      </x:c>
      <x:c r="B385" s="102" t="str">
        <x:f>IF(RECORD!B387="","",RECORD!B387)</x:f>
      </x:c>
      <x:c r="C385" s="103" t="str">
        <x:f>IF(RECORD!C387="","",RECORD!C387)</x:f>
      </x:c>
      <x:c r="D385" s="104" t="str">
        <x:f t="array" ref="D385">IF(C385&lt;&gt;"",IF(F$7="SUMMER","N/A",_xlfn.IFS(D$10="TLA",RECORD!GO387,F$10="LECTURE","",TRUE(),"")),"")</x:f>
      </x:c>
      <x:c r="E385" s="105" t="str">
        <x:f t="shared" si="115"/>
      </x:c>
      <x:c r="F385" s="104" t="str">
        <x:f t="array" ref="F385">IF(C385&lt;&gt;"",IF(F$7="SUMMER","N/A",_xlfn.IFS(F$10="AT",RECORD!GI387,F$10="LECTURE",GRADES!AP385,TRUE(),"")),"")</x:f>
      </x:c>
      <x:c r="G385" s="106" t="str">
        <x:f t="shared" si="116"/>
      </x:c>
      <x:c r="H385" s="107" t="str">
        <x:f t="array" ref="H385">IF(C385&lt;&gt;"",IF(F$7="SUMMER","N/A",_xlfn.IFS(H$10="EXAM",RECORD!GJ387,H$10="OUTPUT",RECORD!GK387,H$10="LAB",BP385,TRUE(),"")),"")</x:f>
      </x:c>
      <x:c r="I385" s="106" t="str">
        <x:f t="shared" si="117"/>
      </x:c>
      <x:c r="J385" s="108" t="str">
        <x:f t="shared" si="118"/>
      </x:c>
      <x:c r="K385" s="109" t="str">
        <x:f t="shared" si="119"/>
      </x:c>
      <x:c r="L385" s="110" t="str">
        <x:f t="array" ref="L385">IF(C385&lt;&gt;"",_xlfn.IFS(L$10="TLA",RECORD!GY387,N$10="LECTURE","",TRUE(),""),"")</x:f>
      </x:c>
      <x:c r="M385" s="105" t="str">
        <x:f t="shared" si="120"/>
      </x:c>
      <x:c r="N385" s="104" t="str">
        <x:f t="array" ref="N385">IF(C385&lt;&gt;"",_xlfn.IFS(N$10="AT",RECORD!GS387,N$10="LECTURE",AX385,TRUE(),""),"")</x:f>
      </x:c>
      <x:c r="O385" s="106" t="str">
        <x:f t="shared" si="121"/>
      </x:c>
      <x:c r="P385" s="107" t="str">
        <x:f t="array" ref="P385">IF(C385&lt;&gt;"",_xlfn.IFS(P$10="EXAM",RECORD!GT387,P$10="OUTPUT",RECORD!GU387,P$10="LAB",BX385,TRUE(),""),"")</x:f>
      </x:c>
      <x:c r="Q385" s="106" t="str">
        <x:f t="shared" si="122"/>
      </x:c>
      <x:c r="R385" s="108" t="str">
        <x:f t="shared" si="123"/>
      </x:c>
      <x:c r="S385" s="109" t="str">
        <x:f t="shared" si="124"/>
      </x:c>
      <x:c r="T385" s="110" t="str">
        <x:f t="array" ref="T385">IF(C385&lt;&gt;"",_xlfn.IFS(T$10="TLA",RECORD!HI387,V$10="LECTURE","",TRUE(),""),"")</x:f>
      </x:c>
      <x:c r="U385" s="105" t="str">
        <x:f t="shared" si="125"/>
      </x:c>
      <x:c r="V385" s="104" t="str">
        <x:f t="array" ref="V385">IF(C385&lt;&gt;"",_xlfn.IFS(V$10="AT",RECORD!HC387,V$10="LECTURE",BF385,TRUE(),""),"")</x:f>
      </x:c>
      <x:c r="W385" s="106" t="str">
        <x:f t="shared" si="126"/>
      </x:c>
      <x:c r="X385" s="107" t="str">
        <x:f t="array" ref="X385">IF(C385&lt;&gt;"",_xlfn.IFS(X$10="EXAM",RECORD!HD387,X$10="OUTPUT",RECORD!HE387,X$10="LAB",CF385,TRUE(),""),"")</x:f>
      </x:c>
      <x:c r="Y385" s="106" t="str">
        <x:f t="shared" si="127"/>
      </x:c>
      <x:c r="Z385" s="108" t="str">
        <x:f t="shared" si="128"/>
      </x:c>
      <x:c r="AA385" s="109" t="str">
        <x:f t="shared" si="129"/>
      </x:c>
      <x:c r="AB385" s="111" t="str">
        <x:f t="shared" si="130"/>
      </x:c>
      <x:c r="AC385" s="109" t="str">
        <x:f t="shared" si="131"/>
      </x:c>
      <x:c r="AQ385" s="109" t="str">
        <x:f t="shared" si="132"/>
        <x:v>FAILED</x:v>
      </x:c>
      <x:c r="AR385" s="115"/>
      <x:c r="AS385" s="115"/>
      <x:c r="AT385" s="107"/>
      <x:c r="AU385" s="107"/>
      <x:c r="AV385" s="107"/>
      <x:c r="AW385" s="107"/>
      <x:c r="AX385" s="107"/>
      <x:c r="AY385" s="109" t="str">
        <x:f t="shared" si="133"/>
        <x:v>FAILED</x:v>
      </x:c>
      <x:c r="AZ385" s="115"/>
      <x:c r="BA385" s="115"/>
      <x:c r="BB385" s="107"/>
      <x:c r="BC385" s="107"/>
      <x:c r="BD385" s="107"/>
      <x:c r="BE385" s="107"/>
      <x:c r="BF385" s="107"/>
      <x:c r="BG385" s="109" t="str">
        <x:f t="shared" si="134"/>
        <x:v>FAILED</x:v>
      </x:c>
      <x:c r="BQ385" s="109" t="str">
        <x:f t="shared" si="135"/>
        <x:v>FAILED</x:v>
      </x:c>
      <x:c r="BR385" s="115"/>
      <x:c r="BS385" s="115"/>
      <x:c r="BT385" s="107"/>
      <x:c r="BU385" s="107"/>
      <x:c r="BV385" s="107"/>
      <x:c r="BW385" s="107"/>
      <x:c r="BX385" s="107"/>
      <x:c r="BY385" s="109" t="str">
        <x:f t="shared" si="136"/>
        <x:v>FAILED</x:v>
      </x:c>
      <x:c r="BZ385" s="115"/>
      <x:c r="CA385" s="115"/>
      <x:c r="CB385" s="107"/>
      <x:c r="CC385" s="107"/>
      <x:c r="CD385" s="107"/>
      <x:c r="CE385" s="107"/>
      <x:c r="CF385" s="107"/>
      <x:c r="CG385" s="109" t="str">
        <x:f t="shared" si="137"/>
        <x:v>FAILED</x:v>
      </x:c>
    </x:row>
    <x:row r="386">
      <x:c r="A386" s="102" t="str">
        <x:f>IF(RECORD!A388="","",RECORD!A388)</x:f>
      </x:c>
      <x:c r="B386" s="102" t="str">
        <x:f>IF(RECORD!B388="","",RECORD!B388)</x:f>
      </x:c>
      <x:c r="C386" s="103" t="str">
        <x:f>IF(RECORD!C388="","",RECORD!C388)</x:f>
      </x:c>
      <x:c r="D386" s="104" t="str">
        <x:f t="array" ref="D386">IF(C386&lt;&gt;"",IF(F$7="SUMMER","N/A",_xlfn.IFS(D$10="TLA",RECORD!GO388,F$10="LECTURE","",TRUE(),"")),"")</x:f>
      </x:c>
      <x:c r="E386" s="105" t="str">
        <x:f t="shared" si="115"/>
      </x:c>
      <x:c r="F386" s="104" t="str">
        <x:f t="array" ref="F386">IF(C386&lt;&gt;"",IF(F$7="SUMMER","N/A",_xlfn.IFS(F$10="AT",RECORD!GI388,F$10="LECTURE",GRADES!AP386,TRUE(),"")),"")</x:f>
      </x:c>
      <x:c r="G386" s="106" t="str">
        <x:f t="shared" si="116"/>
      </x:c>
      <x:c r="H386" s="107" t="str">
        <x:f t="array" ref="H386">IF(C386&lt;&gt;"",IF(F$7="SUMMER","N/A",_xlfn.IFS(H$10="EXAM",RECORD!GJ388,H$10="OUTPUT",RECORD!GK388,H$10="LAB",BP386,TRUE(),"")),"")</x:f>
      </x:c>
      <x:c r="I386" s="106" t="str">
        <x:f t="shared" si="117"/>
      </x:c>
      <x:c r="J386" s="108" t="str">
        <x:f t="shared" si="118"/>
      </x:c>
      <x:c r="K386" s="109" t="str">
        <x:f t="shared" si="119"/>
      </x:c>
      <x:c r="L386" s="110" t="str">
        <x:f t="array" ref="L386">IF(C386&lt;&gt;"",_xlfn.IFS(L$10="TLA",RECORD!GY388,N$10="LECTURE","",TRUE(),""),"")</x:f>
      </x:c>
      <x:c r="M386" s="105" t="str">
        <x:f t="shared" si="120"/>
      </x:c>
      <x:c r="N386" s="104" t="str">
        <x:f t="array" ref="N386">IF(C386&lt;&gt;"",_xlfn.IFS(N$10="AT",RECORD!GS388,N$10="LECTURE",AX386,TRUE(),""),"")</x:f>
      </x:c>
      <x:c r="O386" s="106" t="str">
        <x:f t="shared" si="121"/>
      </x:c>
      <x:c r="P386" s="107" t="str">
        <x:f t="array" ref="P386">IF(C386&lt;&gt;"",_xlfn.IFS(P$10="EXAM",RECORD!GT388,P$10="OUTPUT",RECORD!GU388,P$10="LAB",BX386,TRUE(),""),"")</x:f>
      </x:c>
      <x:c r="Q386" s="106" t="str">
        <x:f t="shared" si="122"/>
      </x:c>
      <x:c r="R386" s="108" t="str">
        <x:f t="shared" si="123"/>
      </x:c>
      <x:c r="S386" s="109" t="str">
        <x:f t="shared" si="124"/>
      </x:c>
      <x:c r="T386" s="110" t="str">
        <x:f t="array" ref="T386">IF(C386&lt;&gt;"",_xlfn.IFS(T$10="TLA",RECORD!HI388,V$10="LECTURE","",TRUE(),""),"")</x:f>
      </x:c>
      <x:c r="U386" s="105" t="str">
        <x:f t="shared" si="125"/>
      </x:c>
      <x:c r="V386" s="104" t="str">
        <x:f t="array" ref="V386">IF(C386&lt;&gt;"",_xlfn.IFS(V$10="AT",RECORD!HC388,V$10="LECTURE",BF386,TRUE(),""),"")</x:f>
      </x:c>
      <x:c r="W386" s="106" t="str">
        <x:f t="shared" si="126"/>
      </x:c>
      <x:c r="X386" s="107" t="str">
        <x:f t="array" ref="X386">IF(C386&lt;&gt;"",_xlfn.IFS(X$10="EXAM",RECORD!HD388,X$10="OUTPUT",RECORD!HE388,X$10="LAB",CF386,TRUE(),""),"")</x:f>
      </x:c>
      <x:c r="Y386" s="106" t="str">
        <x:f t="shared" si="127"/>
      </x:c>
      <x:c r="Z386" s="108" t="str">
        <x:f t="shared" si="128"/>
      </x:c>
      <x:c r="AA386" s="109" t="str">
        <x:f t="shared" si="129"/>
      </x:c>
      <x:c r="AB386" s="111" t="str">
        <x:f t="shared" si="130"/>
      </x:c>
      <x:c r="AC386" s="109" t="str">
        <x:f t="shared" si="131"/>
      </x:c>
      <x:c r="AQ386" s="109" t="str">
        <x:f t="shared" si="132"/>
        <x:v>FAILED</x:v>
      </x:c>
      <x:c r="AR386" s="115"/>
      <x:c r="AS386" s="115"/>
      <x:c r="AT386" s="107"/>
      <x:c r="AU386" s="107"/>
      <x:c r="AV386" s="107"/>
      <x:c r="AW386" s="107"/>
      <x:c r="AX386" s="107"/>
      <x:c r="AY386" s="109" t="str">
        <x:f t="shared" si="133"/>
        <x:v>FAILED</x:v>
      </x:c>
      <x:c r="AZ386" s="115"/>
      <x:c r="BA386" s="115"/>
      <x:c r="BB386" s="107"/>
      <x:c r="BC386" s="107"/>
      <x:c r="BD386" s="107"/>
      <x:c r="BE386" s="107"/>
      <x:c r="BF386" s="107"/>
      <x:c r="BG386" s="109" t="str">
        <x:f t="shared" si="134"/>
        <x:v>FAILED</x:v>
      </x:c>
      <x:c r="BQ386" s="109" t="str">
        <x:f t="shared" si="135"/>
        <x:v>FAILED</x:v>
      </x:c>
      <x:c r="BR386" s="115"/>
      <x:c r="BS386" s="115"/>
      <x:c r="BT386" s="107"/>
      <x:c r="BU386" s="107"/>
      <x:c r="BV386" s="107"/>
      <x:c r="BW386" s="107"/>
      <x:c r="BX386" s="107"/>
      <x:c r="BY386" s="109" t="str">
        <x:f t="shared" si="136"/>
        <x:v>FAILED</x:v>
      </x:c>
      <x:c r="BZ386" s="115"/>
      <x:c r="CA386" s="115"/>
      <x:c r="CB386" s="107"/>
      <x:c r="CC386" s="107"/>
      <x:c r="CD386" s="107"/>
      <x:c r="CE386" s="107"/>
      <x:c r="CF386" s="107"/>
      <x:c r="CG386" s="109" t="str">
        <x:f t="shared" si="137"/>
        <x:v>FAILED</x:v>
      </x:c>
    </x:row>
    <x:row r="387">
      <x:c r="A387" s="102" t="str">
        <x:f>IF(RECORD!A389="","",RECORD!A389)</x:f>
      </x:c>
      <x:c r="B387" s="102" t="str">
        <x:f>IF(RECORD!B389="","",RECORD!B389)</x:f>
      </x:c>
      <x:c r="C387" s="103" t="str">
        <x:f>IF(RECORD!C389="","",RECORD!C389)</x:f>
      </x:c>
      <x:c r="D387" s="104" t="str">
        <x:f t="array" ref="D387">IF(C387&lt;&gt;"",IF(F$7="SUMMER","N/A",_xlfn.IFS(D$10="TLA",RECORD!GO389,F$10="LECTURE","",TRUE(),"")),"")</x:f>
      </x:c>
      <x:c r="E387" s="105" t="str">
        <x:f t="shared" si="115"/>
      </x:c>
      <x:c r="F387" s="104" t="str">
        <x:f t="array" ref="F387">IF(C387&lt;&gt;"",IF(F$7="SUMMER","N/A",_xlfn.IFS(F$10="AT",RECORD!GI389,F$10="LECTURE",GRADES!AP387,TRUE(),"")),"")</x:f>
      </x:c>
      <x:c r="G387" s="106" t="str">
        <x:f t="shared" si="116"/>
      </x:c>
      <x:c r="H387" s="107" t="str">
        <x:f t="array" ref="H387">IF(C387&lt;&gt;"",IF(F$7="SUMMER","N/A",_xlfn.IFS(H$10="EXAM",RECORD!GJ389,H$10="OUTPUT",RECORD!GK389,H$10="LAB",BP387,TRUE(),"")),"")</x:f>
      </x:c>
      <x:c r="I387" s="106" t="str">
        <x:f t="shared" si="117"/>
      </x:c>
      <x:c r="J387" s="108" t="str">
        <x:f t="shared" si="118"/>
      </x:c>
      <x:c r="K387" s="109" t="str">
        <x:f t="shared" si="119"/>
      </x:c>
      <x:c r="L387" s="110" t="str">
        <x:f t="array" ref="L387">IF(C387&lt;&gt;"",_xlfn.IFS(L$10="TLA",RECORD!GY389,N$10="LECTURE","",TRUE(),""),"")</x:f>
      </x:c>
      <x:c r="M387" s="105" t="str">
        <x:f t="shared" si="120"/>
      </x:c>
      <x:c r="N387" s="104" t="str">
        <x:f t="array" ref="N387">IF(C387&lt;&gt;"",_xlfn.IFS(N$10="AT",RECORD!GS389,N$10="LECTURE",AX387,TRUE(),""),"")</x:f>
      </x:c>
      <x:c r="O387" s="106" t="str">
        <x:f t="shared" si="121"/>
      </x:c>
      <x:c r="P387" s="107" t="str">
        <x:f t="array" ref="P387">IF(C387&lt;&gt;"",_xlfn.IFS(P$10="EXAM",RECORD!GT389,P$10="OUTPUT",RECORD!GU389,P$10="LAB",BX387,TRUE(),""),"")</x:f>
      </x:c>
      <x:c r="Q387" s="106" t="str">
        <x:f t="shared" si="122"/>
      </x:c>
      <x:c r="R387" s="108" t="str">
        <x:f t="shared" si="123"/>
      </x:c>
      <x:c r="S387" s="109" t="str">
        <x:f t="shared" si="124"/>
      </x:c>
      <x:c r="T387" s="110" t="str">
        <x:f t="array" ref="T387">IF(C387&lt;&gt;"",_xlfn.IFS(T$10="TLA",RECORD!HI389,V$10="LECTURE","",TRUE(),""),"")</x:f>
      </x:c>
      <x:c r="U387" s="105" t="str">
        <x:f t="shared" si="125"/>
      </x:c>
      <x:c r="V387" s="104" t="str">
        <x:f t="array" ref="V387">IF(C387&lt;&gt;"",_xlfn.IFS(V$10="AT",RECORD!HC389,V$10="LECTURE",BF387,TRUE(),""),"")</x:f>
      </x:c>
      <x:c r="W387" s="106" t="str">
        <x:f t="shared" si="126"/>
      </x:c>
      <x:c r="X387" s="107" t="str">
        <x:f t="array" ref="X387">IF(C387&lt;&gt;"",_xlfn.IFS(X$10="EXAM",RECORD!HD389,X$10="OUTPUT",RECORD!HE389,X$10="LAB",CF387,TRUE(),""),"")</x:f>
      </x:c>
      <x:c r="Y387" s="106" t="str">
        <x:f t="shared" si="127"/>
      </x:c>
      <x:c r="Z387" s="108" t="str">
        <x:f t="shared" si="128"/>
      </x:c>
      <x:c r="AA387" s="109" t="str">
        <x:f t="shared" si="129"/>
      </x:c>
      <x:c r="AB387" s="111" t="str">
        <x:f t="shared" si="130"/>
      </x:c>
      <x:c r="AC387" s="109" t="str">
        <x:f t="shared" si="131"/>
      </x:c>
      <x:c r="AQ387" s="109" t="str">
        <x:f t="shared" si="132"/>
        <x:v>FAILED</x:v>
      </x:c>
      <x:c r="AR387" s="115"/>
      <x:c r="AS387" s="115"/>
      <x:c r="AT387" s="107"/>
      <x:c r="AU387" s="107"/>
      <x:c r="AV387" s="107"/>
      <x:c r="AW387" s="107"/>
      <x:c r="AX387" s="107"/>
      <x:c r="AY387" s="109" t="str">
        <x:f t="shared" si="133"/>
        <x:v>FAILED</x:v>
      </x:c>
      <x:c r="AZ387" s="115"/>
      <x:c r="BA387" s="115"/>
      <x:c r="BB387" s="107"/>
      <x:c r="BC387" s="107"/>
      <x:c r="BD387" s="107"/>
      <x:c r="BE387" s="107"/>
      <x:c r="BF387" s="107"/>
      <x:c r="BG387" s="109" t="str">
        <x:f t="shared" si="134"/>
        <x:v>FAILED</x:v>
      </x:c>
      <x:c r="BQ387" s="109" t="str">
        <x:f t="shared" si="135"/>
        <x:v>FAILED</x:v>
      </x:c>
      <x:c r="BR387" s="115"/>
      <x:c r="BS387" s="115"/>
      <x:c r="BT387" s="107"/>
      <x:c r="BU387" s="107"/>
      <x:c r="BV387" s="107"/>
      <x:c r="BW387" s="107"/>
      <x:c r="BX387" s="107"/>
      <x:c r="BY387" s="109" t="str">
        <x:f t="shared" si="136"/>
        <x:v>FAILED</x:v>
      </x:c>
      <x:c r="BZ387" s="115"/>
      <x:c r="CA387" s="115"/>
      <x:c r="CB387" s="107"/>
      <x:c r="CC387" s="107"/>
      <x:c r="CD387" s="107"/>
      <x:c r="CE387" s="107"/>
      <x:c r="CF387" s="107"/>
      <x:c r="CG387" s="109" t="str">
        <x:f t="shared" si="137"/>
        <x:v>FAILED</x:v>
      </x:c>
    </x:row>
    <x:row r="388">
      <x:c r="A388" s="102" t="str">
        <x:f>IF(RECORD!A390="","",RECORD!A390)</x:f>
      </x:c>
      <x:c r="B388" s="102" t="str">
        <x:f>IF(RECORD!B390="","",RECORD!B390)</x:f>
      </x:c>
      <x:c r="C388" s="103" t="str">
        <x:f>IF(RECORD!C390="","",RECORD!C390)</x:f>
      </x:c>
      <x:c r="D388" s="104" t="str">
        <x:f t="array" ref="D388">IF(C388&lt;&gt;"",IF(F$7="SUMMER","N/A",_xlfn.IFS(D$10="TLA",RECORD!GO390,F$10="LECTURE","",TRUE(),"")),"")</x:f>
      </x:c>
      <x:c r="E388" s="105" t="str">
        <x:f t="shared" si="115"/>
      </x:c>
      <x:c r="F388" s="104" t="str">
        <x:f t="array" ref="F388">IF(C388&lt;&gt;"",IF(F$7="SUMMER","N/A",_xlfn.IFS(F$10="AT",RECORD!GI390,F$10="LECTURE",GRADES!AP388,TRUE(),"")),"")</x:f>
      </x:c>
      <x:c r="G388" s="106" t="str">
        <x:f t="shared" si="116"/>
      </x:c>
      <x:c r="H388" s="107" t="str">
        <x:f t="array" ref="H388">IF(C388&lt;&gt;"",IF(F$7="SUMMER","N/A",_xlfn.IFS(H$10="EXAM",RECORD!GJ390,H$10="OUTPUT",RECORD!GK390,H$10="LAB",BP388,TRUE(),"")),"")</x:f>
      </x:c>
      <x:c r="I388" s="106" t="str">
        <x:f t="shared" si="117"/>
      </x:c>
      <x:c r="J388" s="108" t="str">
        <x:f t="shared" si="118"/>
      </x:c>
      <x:c r="K388" s="109" t="str">
        <x:f t="shared" si="119"/>
      </x:c>
      <x:c r="L388" s="110" t="str">
        <x:f t="array" ref="L388">IF(C388&lt;&gt;"",_xlfn.IFS(L$10="TLA",RECORD!GY390,N$10="LECTURE","",TRUE(),""),"")</x:f>
      </x:c>
      <x:c r="M388" s="105" t="str">
        <x:f t="shared" si="120"/>
      </x:c>
      <x:c r="N388" s="104" t="str">
        <x:f t="array" ref="N388">IF(C388&lt;&gt;"",_xlfn.IFS(N$10="AT",RECORD!GS390,N$10="LECTURE",AX388,TRUE(),""),"")</x:f>
      </x:c>
      <x:c r="O388" s="106" t="str">
        <x:f t="shared" si="121"/>
      </x:c>
      <x:c r="P388" s="107" t="str">
        <x:f t="array" ref="P388">IF(C388&lt;&gt;"",_xlfn.IFS(P$10="EXAM",RECORD!GT390,P$10="OUTPUT",RECORD!GU390,P$10="LAB",BX388,TRUE(),""),"")</x:f>
      </x:c>
      <x:c r="Q388" s="106" t="str">
        <x:f t="shared" si="122"/>
      </x:c>
      <x:c r="R388" s="108" t="str">
        <x:f t="shared" si="123"/>
      </x:c>
      <x:c r="S388" s="109" t="str">
        <x:f t="shared" si="124"/>
      </x:c>
      <x:c r="T388" s="110" t="str">
        <x:f t="array" ref="T388">IF(C388&lt;&gt;"",_xlfn.IFS(T$10="TLA",RECORD!HI390,V$10="LECTURE","",TRUE(),""),"")</x:f>
      </x:c>
      <x:c r="U388" s="105" t="str">
        <x:f t="shared" si="125"/>
      </x:c>
      <x:c r="V388" s="104" t="str">
        <x:f t="array" ref="V388">IF(C388&lt;&gt;"",_xlfn.IFS(V$10="AT",RECORD!HC390,V$10="LECTURE",BF388,TRUE(),""),"")</x:f>
      </x:c>
      <x:c r="W388" s="106" t="str">
        <x:f t="shared" si="126"/>
      </x:c>
      <x:c r="X388" s="107" t="str">
        <x:f t="array" ref="X388">IF(C388&lt;&gt;"",_xlfn.IFS(X$10="EXAM",RECORD!HD390,X$10="OUTPUT",RECORD!HE390,X$10="LAB",CF388,TRUE(),""),"")</x:f>
      </x:c>
      <x:c r="Y388" s="106" t="str">
        <x:f t="shared" si="127"/>
      </x:c>
      <x:c r="Z388" s="108" t="str">
        <x:f t="shared" si="128"/>
      </x:c>
      <x:c r="AA388" s="109" t="str">
        <x:f t="shared" si="129"/>
      </x:c>
      <x:c r="AB388" s="111" t="str">
        <x:f t="shared" si="130"/>
      </x:c>
      <x:c r="AC388" s="109" t="str">
        <x:f t="shared" si="131"/>
      </x:c>
      <x:c r="AQ388" s="109" t="str">
        <x:f t="shared" si="132"/>
        <x:v>FAILED</x:v>
      </x:c>
      <x:c r="AR388" s="115"/>
      <x:c r="AS388" s="115"/>
      <x:c r="AT388" s="107"/>
      <x:c r="AU388" s="107"/>
      <x:c r="AV388" s="107"/>
      <x:c r="AW388" s="107"/>
      <x:c r="AX388" s="107"/>
      <x:c r="AY388" s="109" t="str">
        <x:f t="shared" si="133"/>
        <x:v>FAILED</x:v>
      </x:c>
      <x:c r="AZ388" s="115"/>
      <x:c r="BA388" s="115"/>
      <x:c r="BB388" s="107"/>
      <x:c r="BC388" s="107"/>
      <x:c r="BD388" s="107"/>
      <x:c r="BE388" s="107"/>
      <x:c r="BF388" s="107"/>
      <x:c r="BG388" s="109" t="str">
        <x:f t="shared" si="134"/>
        <x:v>FAILED</x:v>
      </x:c>
      <x:c r="BQ388" s="109" t="str">
        <x:f t="shared" si="135"/>
        <x:v>FAILED</x:v>
      </x:c>
      <x:c r="BR388" s="115"/>
      <x:c r="BS388" s="115"/>
      <x:c r="BT388" s="107"/>
      <x:c r="BU388" s="107"/>
      <x:c r="BV388" s="107"/>
      <x:c r="BW388" s="107"/>
      <x:c r="BX388" s="107"/>
      <x:c r="BY388" s="109" t="str">
        <x:f t="shared" si="136"/>
        <x:v>FAILED</x:v>
      </x:c>
      <x:c r="BZ388" s="115"/>
      <x:c r="CA388" s="115"/>
      <x:c r="CB388" s="107"/>
      <x:c r="CC388" s="107"/>
      <x:c r="CD388" s="107"/>
      <x:c r="CE388" s="107"/>
      <x:c r="CF388" s="107"/>
      <x:c r="CG388" s="109" t="str">
        <x:f t="shared" si="137"/>
        <x:v>FAILED</x:v>
      </x:c>
    </x:row>
    <x:row r="389">
      <x:c r="A389" s="102" t="str">
        <x:f>IF(RECORD!A391="","",RECORD!A391)</x:f>
      </x:c>
      <x:c r="B389" s="102" t="str">
        <x:f>IF(RECORD!B391="","",RECORD!B391)</x:f>
      </x:c>
      <x:c r="C389" s="103" t="str">
        <x:f>IF(RECORD!C391="","",RECORD!C391)</x:f>
      </x:c>
      <x:c r="D389" s="104" t="str">
        <x:f t="array" ref="D389">IF(C389&lt;&gt;"",IF(F$7="SUMMER","N/A",_xlfn.IFS(D$10="TLA",RECORD!GO391,F$10="LECTURE","",TRUE(),"")),"")</x:f>
      </x:c>
      <x:c r="E389" s="105" t="str">
        <x:f t="shared" si="115"/>
      </x:c>
      <x:c r="F389" s="104" t="str">
        <x:f t="array" ref="F389">IF(C389&lt;&gt;"",IF(F$7="SUMMER","N/A",_xlfn.IFS(F$10="AT",RECORD!GI391,F$10="LECTURE",GRADES!AP389,TRUE(),"")),"")</x:f>
      </x:c>
      <x:c r="G389" s="106" t="str">
        <x:f t="shared" si="116"/>
      </x:c>
      <x:c r="H389" s="107" t="str">
        <x:f t="array" ref="H389">IF(C389&lt;&gt;"",IF(F$7="SUMMER","N/A",_xlfn.IFS(H$10="EXAM",RECORD!GJ391,H$10="OUTPUT",RECORD!GK391,H$10="LAB",BP389,TRUE(),"")),"")</x:f>
      </x:c>
      <x:c r="I389" s="106" t="str">
        <x:f t="shared" si="117"/>
      </x:c>
      <x:c r="J389" s="108" t="str">
        <x:f t="shared" si="118"/>
      </x:c>
      <x:c r="K389" s="109" t="str">
        <x:f t="shared" si="119"/>
      </x:c>
      <x:c r="L389" s="110" t="str">
        <x:f t="array" ref="L389">IF(C389&lt;&gt;"",_xlfn.IFS(L$10="TLA",RECORD!GY391,N$10="LECTURE","",TRUE(),""),"")</x:f>
      </x:c>
      <x:c r="M389" s="105" t="str">
        <x:f t="shared" si="120"/>
      </x:c>
      <x:c r="N389" s="104" t="str">
        <x:f t="array" ref="N389">IF(C389&lt;&gt;"",_xlfn.IFS(N$10="AT",RECORD!GS391,N$10="LECTURE",AX389,TRUE(),""),"")</x:f>
      </x:c>
      <x:c r="O389" s="106" t="str">
        <x:f t="shared" si="121"/>
      </x:c>
      <x:c r="P389" s="107" t="str">
        <x:f t="array" ref="P389">IF(C389&lt;&gt;"",_xlfn.IFS(P$10="EXAM",RECORD!GT391,P$10="OUTPUT",RECORD!GU391,P$10="LAB",BX389,TRUE(),""),"")</x:f>
      </x:c>
      <x:c r="Q389" s="106" t="str">
        <x:f t="shared" si="122"/>
      </x:c>
      <x:c r="R389" s="108" t="str">
        <x:f t="shared" si="123"/>
      </x:c>
      <x:c r="S389" s="109" t="str">
        <x:f t="shared" si="124"/>
      </x:c>
      <x:c r="T389" s="110" t="str">
        <x:f t="array" ref="T389">IF(C389&lt;&gt;"",_xlfn.IFS(T$10="TLA",RECORD!HI391,V$10="LECTURE","",TRUE(),""),"")</x:f>
      </x:c>
      <x:c r="U389" s="105" t="str">
        <x:f t="shared" si="125"/>
      </x:c>
      <x:c r="V389" s="104" t="str">
        <x:f t="array" ref="V389">IF(C389&lt;&gt;"",_xlfn.IFS(V$10="AT",RECORD!HC391,V$10="LECTURE",BF389,TRUE(),""),"")</x:f>
      </x:c>
      <x:c r="W389" s="106" t="str">
        <x:f t="shared" si="126"/>
      </x:c>
      <x:c r="X389" s="107" t="str">
        <x:f t="array" ref="X389">IF(C389&lt;&gt;"",_xlfn.IFS(X$10="EXAM",RECORD!HD391,X$10="OUTPUT",RECORD!HE391,X$10="LAB",CF389,TRUE(),""),"")</x:f>
      </x:c>
      <x:c r="Y389" s="106" t="str">
        <x:f t="shared" si="127"/>
      </x:c>
      <x:c r="Z389" s="108" t="str">
        <x:f t="shared" si="128"/>
      </x:c>
      <x:c r="AA389" s="109" t="str">
        <x:f t="shared" si="129"/>
      </x:c>
      <x:c r="AB389" s="111" t="str">
        <x:f t="shared" si="130"/>
      </x:c>
      <x:c r="AC389" s="109" t="str">
        <x:f t="shared" si="131"/>
      </x:c>
      <x:c r="AQ389" s="109" t="str">
        <x:f t="shared" si="132"/>
        <x:v>FAILED</x:v>
      </x:c>
      <x:c r="AR389" s="115"/>
      <x:c r="AS389" s="115"/>
      <x:c r="AT389" s="107"/>
      <x:c r="AU389" s="107"/>
      <x:c r="AV389" s="107"/>
      <x:c r="AW389" s="107"/>
      <x:c r="AX389" s="107"/>
      <x:c r="AY389" s="109" t="str">
        <x:f t="shared" si="133"/>
        <x:v>FAILED</x:v>
      </x:c>
      <x:c r="AZ389" s="115"/>
      <x:c r="BA389" s="115"/>
      <x:c r="BB389" s="107"/>
      <x:c r="BC389" s="107"/>
      <x:c r="BD389" s="107"/>
      <x:c r="BE389" s="107"/>
      <x:c r="BF389" s="107"/>
      <x:c r="BG389" s="109" t="str">
        <x:f t="shared" si="134"/>
        <x:v>FAILED</x:v>
      </x:c>
      <x:c r="BQ389" s="109" t="str">
        <x:f t="shared" si="135"/>
        <x:v>FAILED</x:v>
      </x:c>
      <x:c r="BR389" s="115"/>
      <x:c r="BS389" s="115"/>
      <x:c r="BT389" s="107"/>
      <x:c r="BU389" s="107"/>
      <x:c r="BV389" s="107"/>
      <x:c r="BW389" s="107"/>
      <x:c r="BX389" s="107"/>
      <x:c r="BY389" s="109" t="str">
        <x:f t="shared" si="136"/>
        <x:v>FAILED</x:v>
      </x:c>
      <x:c r="BZ389" s="115"/>
      <x:c r="CA389" s="115"/>
      <x:c r="CB389" s="107"/>
      <x:c r="CC389" s="107"/>
      <x:c r="CD389" s="107"/>
      <x:c r="CE389" s="107"/>
      <x:c r="CF389" s="107"/>
      <x:c r="CG389" s="109" t="str">
        <x:f t="shared" si="137"/>
        <x:v>FAILED</x:v>
      </x:c>
    </x:row>
    <x:row r="390">
      <x:c r="A390" s="102" t="str">
        <x:f>IF(RECORD!A392="","",RECORD!A392)</x:f>
      </x:c>
      <x:c r="B390" s="102" t="str">
        <x:f>IF(RECORD!B392="","",RECORD!B392)</x:f>
      </x:c>
      <x:c r="C390" s="103" t="str">
        <x:f>IF(RECORD!C392="","",RECORD!C392)</x:f>
      </x:c>
      <x:c r="D390" s="104" t="str">
        <x:f t="array" ref="D390">IF(C390&lt;&gt;"",IF(F$7="SUMMER","N/A",_xlfn.IFS(D$10="TLA",RECORD!GO392,F$10="LECTURE","",TRUE(),"")),"")</x:f>
      </x:c>
      <x:c r="E390" s="105" t="str">
        <x:f t="shared" si="115"/>
      </x:c>
      <x:c r="F390" s="104" t="str">
        <x:f t="array" ref="F390">IF(C390&lt;&gt;"",IF(F$7="SUMMER","N/A",_xlfn.IFS(F$10="AT",RECORD!GI392,F$10="LECTURE",GRADES!AP390,TRUE(),"")),"")</x:f>
      </x:c>
      <x:c r="G390" s="106" t="str">
        <x:f t="shared" si="116"/>
      </x:c>
      <x:c r="H390" s="107" t="str">
        <x:f t="array" ref="H390">IF(C390&lt;&gt;"",IF(F$7="SUMMER","N/A",_xlfn.IFS(H$10="EXAM",RECORD!GJ392,H$10="OUTPUT",RECORD!GK392,H$10="LAB",BP390,TRUE(),"")),"")</x:f>
      </x:c>
      <x:c r="I390" s="106" t="str">
        <x:f t="shared" si="117"/>
      </x:c>
      <x:c r="J390" s="108" t="str">
        <x:f t="shared" si="118"/>
      </x:c>
      <x:c r="K390" s="109" t="str">
        <x:f t="shared" si="119"/>
      </x:c>
      <x:c r="L390" s="110" t="str">
        <x:f t="array" ref="L390">IF(C390&lt;&gt;"",_xlfn.IFS(L$10="TLA",RECORD!GY392,N$10="LECTURE","",TRUE(),""),"")</x:f>
      </x:c>
      <x:c r="M390" s="105" t="str">
        <x:f t="shared" si="120"/>
      </x:c>
      <x:c r="N390" s="104" t="str">
        <x:f t="array" ref="N390">IF(C390&lt;&gt;"",_xlfn.IFS(N$10="AT",RECORD!GS392,N$10="LECTURE",AX390,TRUE(),""),"")</x:f>
      </x:c>
      <x:c r="O390" s="106" t="str">
        <x:f t="shared" si="121"/>
      </x:c>
      <x:c r="P390" s="107" t="str">
        <x:f t="array" ref="P390">IF(C390&lt;&gt;"",_xlfn.IFS(P$10="EXAM",RECORD!GT392,P$10="OUTPUT",RECORD!GU392,P$10="LAB",BX390,TRUE(),""),"")</x:f>
      </x:c>
      <x:c r="Q390" s="106" t="str">
        <x:f t="shared" si="122"/>
      </x:c>
      <x:c r="R390" s="108" t="str">
        <x:f t="shared" si="123"/>
      </x:c>
      <x:c r="S390" s="109" t="str">
        <x:f t="shared" si="124"/>
      </x:c>
      <x:c r="T390" s="110" t="str">
        <x:f t="array" ref="T390">IF(C390&lt;&gt;"",_xlfn.IFS(T$10="TLA",RECORD!HI392,V$10="LECTURE","",TRUE(),""),"")</x:f>
      </x:c>
      <x:c r="U390" s="105" t="str">
        <x:f t="shared" si="125"/>
      </x:c>
      <x:c r="V390" s="104" t="str">
        <x:f t="array" ref="V390">IF(C390&lt;&gt;"",_xlfn.IFS(V$10="AT",RECORD!HC392,V$10="LECTURE",BF390,TRUE(),""),"")</x:f>
      </x:c>
      <x:c r="W390" s="106" t="str">
        <x:f t="shared" si="126"/>
      </x:c>
      <x:c r="X390" s="107" t="str">
        <x:f t="array" ref="X390">IF(C390&lt;&gt;"",_xlfn.IFS(X$10="EXAM",RECORD!HD392,X$10="OUTPUT",RECORD!HE392,X$10="LAB",CF390,TRUE(),""),"")</x:f>
      </x:c>
      <x:c r="Y390" s="106" t="str">
        <x:f t="shared" si="127"/>
      </x:c>
      <x:c r="Z390" s="108" t="str">
        <x:f t="shared" si="128"/>
      </x:c>
      <x:c r="AA390" s="109" t="str">
        <x:f t="shared" si="129"/>
      </x:c>
      <x:c r="AB390" s="111" t="str">
        <x:f t="shared" si="130"/>
      </x:c>
      <x:c r="AC390" s="109" t="str">
        <x:f t="shared" si="131"/>
      </x:c>
      <x:c r="AQ390" s="109" t="str">
        <x:f t="shared" si="132"/>
        <x:v>FAILED</x:v>
      </x:c>
      <x:c r="AR390" s="115"/>
      <x:c r="AS390" s="115"/>
      <x:c r="AT390" s="107"/>
      <x:c r="AU390" s="107"/>
      <x:c r="AV390" s="107"/>
      <x:c r="AW390" s="107"/>
      <x:c r="AX390" s="107"/>
      <x:c r="AY390" s="109" t="str">
        <x:f t="shared" si="133"/>
        <x:v>FAILED</x:v>
      </x:c>
      <x:c r="AZ390" s="115"/>
      <x:c r="BA390" s="115"/>
      <x:c r="BB390" s="107"/>
      <x:c r="BC390" s="107"/>
      <x:c r="BD390" s="107"/>
      <x:c r="BE390" s="107"/>
      <x:c r="BF390" s="107"/>
      <x:c r="BG390" s="109" t="str">
        <x:f t="shared" si="134"/>
        <x:v>FAILED</x:v>
      </x:c>
      <x:c r="BQ390" s="109" t="str">
        <x:f t="shared" si="135"/>
        <x:v>FAILED</x:v>
      </x:c>
      <x:c r="BR390" s="115"/>
      <x:c r="BS390" s="115"/>
      <x:c r="BT390" s="107"/>
      <x:c r="BU390" s="107"/>
      <x:c r="BV390" s="107"/>
      <x:c r="BW390" s="107"/>
      <x:c r="BX390" s="107"/>
      <x:c r="BY390" s="109" t="str">
        <x:f t="shared" si="136"/>
        <x:v>FAILED</x:v>
      </x:c>
      <x:c r="BZ390" s="115"/>
      <x:c r="CA390" s="115"/>
      <x:c r="CB390" s="107"/>
      <x:c r="CC390" s="107"/>
      <x:c r="CD390" s="107"/>
      <x:c r="CE390" s="107"/>
      <x:c r="CF390" s="107"/>
      <x:c r="CG390" s="109" t="str">
        <x:f t="shared" si="137"/>
        <x:v>FAILED</x:v>
      </x:c>
    </x:row>
    <x:row r="391">
      <x:c r="A391" s="102" t="str">
        <x:f>IF(RECORD!A393="","",RECORD!A393)</x:f>
      </x:c>
      <x:c r="B391" s="102" t="str">
        <x:f>IF(RECORD!B393="","",RECORD!B393)</x:f>
      </x:c>
      <x:c r="C391" s="103" t="str">
        <x:f>IF(RECORD!C393="","",RECORD!C393)</x:f>
      </x:c>
      <x:c r="D391" s="104" t="str">
        <x:f t="array" ref="D391">IF(C391&lt;&gt;"",IF(F$7="SUMMER","N/A",_xlfn.IFS(D$10="TLA",RECORD!GO393,F$10="LECTURE","",TRUE(),"")),"")</x:f>
      </x:c>
      <x:c r="E391" s="105" t="str">
        <x:f t="shared" si="115"/>
      </x:c>
      <x:c r="F391" s="104" t="str">
        <x:f t="array" ref="F391">IF(C391&lt;&gt;"",IF(F$7="SUMMER","N/A",_xlfn.IFS(F$10="AT",RECORD!GI393,F$10="LECTURE",GRADES!AP391,TRUE(),"")),"")</x:f>
      </x:c>
      <x:c r="G391" s="106" t="str">
        <x:f t="shared" si="116"/>
      </x:c>
      <x:c r="H391" s="107" t="str">
        <x:f t="array" ref="H391">IF(C391&lt;&gt;"",IF(F$7="SUMMER","N/A",_xlfn.IFS(H$10="EXAM",RECORD!GJ393,H$10="OUTPUT",RECORD!GK393,H$10="LAB",BP391,TRUE(),"")),"")</x:f>
      </x:c>
      <x:c r="I391" s="106" t="str">
        <x:f t="shared" si="117"/>
      </x:c>
      <x:c r="J391" s="108" t="str">
        <x:f t="shared" si="118"/>
      </x:c>
      <x:c r="K391" s="109" t="str">
        <x:f t="shared" si="119"/>
      </x:c>
      <x:c r="L391" s="110" t="str">
        <x:f t="array" ref="L391">IF(C391&lt;&gt;"",_xlfn.IFS(L$10="TLA",RECORD!GY393,N$10="LECTURE","",TRUE(),""),"")</x:f>
      </x:c>
      <x:c r="M391" s="105" t="str">
        <x:f t="shared" si="120"/>
      </x:c>
      <x:c r="N391" s="104" t="str">
        <x:f t="array" ref="N391">IF(C391&lt;&gt;"",_xlfn.IFS(N$10="AT",RECORD!GS393,N$10="LECTURE",AX391,TRUE(),""),"")</x:f>
      </x:c>
      <x:c r="O391" s="106" t="str">
        <x:f t="shared" si="121"/>
      </x:c>
      <x:c r="P391" s="107" t="str">
        <x:f t="array" ref="P391">IF(C391&lt;&gt;"",_xlfn.IFS(P$10="EXAM",RECORD!GT393,P$10="OUTPUT",RECORD!GU393,P$10="LAB",BX391,TRUE(),""),"")</x:f>
      </x:c>
      <x:c r="Q391" s="106" t="str">
        <x:f t="shared" si="122"/>
      </x:c>
      <x:c r="R391" s="108" t="str">
        <x:f t="shared" si="123"/>
      </x:c>
      <x:c r="S391" s="109" t="str">
        <x:f t="shared" si="124"/>
      </x:c>
      <x:c r="T391" s="110" t="str">
        <x:f t="array" ref="T391">IF(C391&lt;&gt;"",_xlfn.IFS(T$10="TLA",RECORD!HI393,V$10="LECTURE","",TRUE(),""),"")</x:f>
      </x:c>
      <x:c r="U391" s="105" t="str">
        <x:f t="shared" si="125"/>
      </x:c>
      <x:c r="V391" s="104" t="str">
        <x:f t="array" ref="V391">IF(C391&lt;&gt;"",_xlfn.IFS(V$10="AT",RECORD!HC393,V$10="LECTURE",BF391,TRUE(),""),"")</x:f>
      </x:c>
      <x:c r="W391" s="106" t="str">
        <x:f t="shared" si="126"/>
      </x:c>
      <x:c r="X391" s="107" t="str">
        <x:f t="array" ref="X391">IF(C391&lt;&gt;"",_xlfn.IFS(X$10="EXAM",RECORD!HD393,X$10="OUTPUT",RECORD!HE393,X$10="LAB",CF391,TRUE(),""),"")</x:f>
      </x:c>
      <x:c r="Y391" s="106" t="str">
        <x:f t="shared" si="127"/>
      </x:c>
      <x:c r="Z391" s="108" t="str">
        <x:f t="shared" si="128"/>
      </x:c>
      <x:c r="AA391" s="109" t="str">
        <x:f t="shared" si="129"/>
      </x:c>
      <x:c r="AB391" s="111" t="str">
        <x:f t="shared" si="130"/>
      </x:c>
      <x:c r="AC391" s="109" t="str">
        <x:f t="shared" si="131"/>
      </x:c>
      <x:c r="AQ391" s="109" t="str">
        <x:f t="shared" si="132"/>
        <x:v>FAILED</x:v>
      </x:c>
      <x:c r="AR391" s="115"/>
      <x:c r="AS391" s="115"/>
      <x:c r="AT391" s="107"/>
      <x:c r="AU391" s="107"/>
      <x:c r="AV391" s="107"/>
      <x:c r="AW391" s="107"/>
      <x:c r="AX391" s="107"/>
      <x:c r="AY391" s="109" t="str">
        <x:f t="shared" si="133"/>
        <x:v>FAILED</x:v>
      </x:c>
      <x:c r="AZ391" s="115"/>
      <x:c r="BA391" s="115"/>
      <x:c r="BB391" s="107"/>
      <x:c r="BC391" s="107"/>
      <x:c r="BD391" s="107"/>
      <x:c r="BE391" s="107"/>
      <x:c r="BF391" s="107"/>
      <x:c r="BG391" s="109" t="str">
        <x:f t="shared" si="134"/>
        <x:v>FAILED</x:v>
      </x:c>
      <x:c r="BQ391" s="109" t="str">
        <x:f t="shared" si="135"/>
        <x:v>FAILED</x:v>
      </x:c>
      <x:c r="BR391" s="115"/>
      <x:c r="BS391" s="115"/>
      <x:c r="BT391" s="107"/>
      <x:c r="BU391" s="107"/>
      <x:c r="BV391" s="107"/>
      <x:c r="BW391" s="107"/>
      <x:c r="BX391" s="107"/>
      <x:c r="BY391" s="109" t="str">
        <x:f t="shared" si="136"/>
        <x:v>FAILED</x:v>
      </x:c>
      <x:c r="BZ391" s="115"/>
      <x:c r="CA391" s="115"/>
      <x:c r="CB391" s="107"/>
      <x:c r="CC391" s="107"/>
      <x:c r="CD391" s="107"/>
      <x:c r="CE391" s="107"/>
      <x:c r="CF391" s="107"/>
      <x:c r="CG391" s="109" t="str">
        <x:f t="shared" si="137"/>
        <x:v>FAILED</x:v>
      </x:c>
    </x:row>
    <x:row r="392">
      <x:c r="A392" s="102" t="str">
        <x:f>IF(RECORD!A394="","",RECORD!A394)</x:f>
      </x:c>
      <x:c r="B392" s="102" t="str">
        <x:f>IF(RECORD!B394="","",RECORD!B394)</x:f>
      </x:c>
      <x:c r="C392" s="103" t="str">
        <x:f>IF(RECORD!C394="","",RECORD!C394)</x:f>
      </x:c>
      <x:c r="D392" s="104" t="str">
        <x:f t="array" ref="D392">IF(C392&lt;&gt;"",IF(F$7="SUMMER","N/A",_xlfn.IFS(D$10="TLA",RECORD!GO394,F$10="LECTURE","",TRUE(),"")),"")</x:f>
      </x:c>
      <x:c r="E392" s="105" t="str">
        <x:f t="shared" si="115"/>
      </x:c>
      <x:c r="F392" s="104" t="str">
        <x:f t="array" ref="F392">IF(C392&lt;&gt;"",IF(F$7="SUMMER","N/A",_xlfn.IFS(F$10="AT",RECORD!GI394,F$10="LECTURE",GRADES!AP392,TRUE(),"")),"")</x:f>
      </x:c>
      <x:c r="G392" s="106" t="str">
        <x:f t="shared" si="116"/>
      </x:c>
      <x:c r="H392" s="107" t="str">
        <x:f t="array" ref="H392">IF(C392&lt;&gt;"",IF(F$7="SUMMER","N/A",_xlfn.IFS(H$10="EXAM",RECORD!GJ394,H$10="OUTPUT",RECORD!GK394,H$10="LAB",BP392,TRUE(),"")),"")</x:f>
      </x:c>
      <x:c r="I392" s="106" t="str">
        <x:f t="shared" si="117"/>
      </x:c>
      <x:c r="J392" s="108" t="str">
        <x:f t="shared" si="118"/>
      </x:c>
      <x:c r="K392" s="109" t="str">
        <x:f t="shared" si="119"/>
      </x:c>
      <x:c r="L392" s="110" t="str">
        <x:f t="array" ref="L392">IF(C392&lt;&gt;"",_xlfn.IFS(L$10="TLA",RECORD!GY394,N$10="LECTURE","",TRUE(),""),"")</x:f>
      </x:c>
      <x:c r="M392" s="105" t="str">
        <x:f t="shared" si="120"/>
      </x:c>
      <x:c r="N392" s="104" t="str">
        <x:f t="array" ref="N392">IF(C392&lt;&gt;"",_xlfn.IFS(N$10="AT",RECORD!GS394,N$10="LECTURE",AX392,TRUE(),""),"")</x:f>
      </x:c>
      <x:c r="O392" s="106" t="str">
        <x:f t="shared" si="121"/>
      </x:c>
      <x:c r="P392" s="107" t="str">
        <x:f t="array" ref="P392">IF(C392&lt;&gt;"",_xlfn.IFS(P$10="EXAM",RECORD!GT394,P$10="OUTPUT",RECORD!GU394,P$10="LAB",BX392,TRUE(),""),"")</x:f>
      </x:c>
      <x:c r="Q392" s="106" t="str">
        <x:f t="shared" si="122"/>
      </x:c>
      <x:c r="R392" s="108" t="str">
        <x:f t="shared" si="123"/>
      </x:c>
      <x:c r="S392" s="109" t="str">
        <x:f t="shared" si="124"/>
      </x:c>
      <x:c r="T392" s="110" t="str">
        <x:f t="array" ref="T392">IF(C392&lt;&gt;"",_xlfn.IFS(T$10="TLA",RECORD!HI394,V$10="LECTURE","",TRUE(),""),"")</x:f>
      </x:c>
      <x:c r="U392" s="105" t="str">
        <x:f t="shared" si="125"/>
      </x:c>
      <x:c r="V392" s="104" t="str">
        <x:f t="array" ref="V392">IF(C392&lt;&gt;"",_xlfn.IFS(V$10="AT",RECORD!HC394,V$10="LECTURE",BF392,TRUE(),""),"")</x:f>
      </x:c>
      <x:c r="W392" s="106" t="str">
        <x:f t="shared" si="126"/>
      </x:c>
      <x:c r="X392" s="107" t="str">
        <x:f t="array" ref="X392">IF(C392&lt;&gt;"",_xlfn.IFS(X$10="EXAM",RECORD!HD394,X$10="OUTPUT",RECORD!HE394,X$10="LAB",CF392,TRUE(),""),"")</x:f>
      </x:c>
      <x:c r="Y392" s="106" t="str">
        <x:f t="shared" si="127"/>
      </x:c>
      <x:c r="Z392" s="108" t="str">
        <x:f t="shared" si="128"/>
      </x:c>
      <x:c r="AA392" s="109" t="str">
        <x:f t="shared" si="129"/>
      </x:c>
      <x:c r="AB392" s="111" t="str">
        <x:f t="shared" si="130"/>
      </x:c>
      <x:c r="AC392" s="109" t="str">
        <x:f t="shared" si="131"/>
      </x:c>
      <x:c r="AQ392" s="109" t="str">
        <x:f t="shared" si="132"/>
        <x:v>FAILED</x:v>
      </x:c>
      <x:c r="AR392" s="115"/>
      <x:c r="AS392" s="115"/>
      <x:c r="AT392" s="107"/>
      <x:c r="AU392" s="107"/>
      <x:c r="AV392" s="107"/>
      <x:c r="AW392" s="107"/>
      <x:c r="AX392" s="107"/>
      <x:c r="AY392" s="109" t="str">
        <x:f t="shared" si="133"/>
        <x:v>FAILED</x:v>
      </x:c>
      <x:c r="AZ392" s="115"/>
      <x:c r="BA392" s="115"/>
      <x:c r="BB392" s="107"/>
      <x:c r="BC392" s="107"/>
      <x:c r="BD392" s="107"/>
      <x:c r="BE392" s="107"/>
      <x:c r="BF392" s="107"/>
      <x:c r="BG392" s="109" t="str">
        <x:f t="shared" si="134"/>
        <x:v>FAILED</x:v>
      </x:c>
      <x:c r="BQ392" s="109" t="str">
        <x:f t="shared" si="135"/>
        <x:v>FAILED</x:v>
      </x:c>
      <x:c r="BR392" s="115"/>
      <x:c r="BS392" s="115"/>
      <x:c r="BT392" s="107"/>
      <x:c r="BU392" s="107"/>
      <x:c r="BV392" s="107"/>
      <x:c r="BW392" s="107"/>
      <x:c r="BX392" s="107"/>
      <x:c r="BY392" s="109" t="str">
        <x:f t="shared" si="136"/>
        <x:v>FAILED</x:v>
      </x:c>
      <x:c r="BZ392" s="115"/>
      <x:c r="CA392" s="115"/>
      <x:c r="CB392" s="107"/>
      <x:c r="CC392" s="107"/>
      <x:c r="CD392" s="107"/>
      <x:c r="CE392" s="107"/>
      <x:c r="CF392" s="107"/>
      <x:c r="CG392" s="109" t="str">
        <x:f t="shared" si="137"/>
        <x:v>FAILED</x:v>
      </x:c>
    </x:row>
    <x:row r="393">
      <x:c r="A393" s="102" t="str">
        <x:f>IF(RECORD!A395="","",RECORD!A395)</x:f>
      </x:c>
      <x:c r="B393" s="102" t="str">
        <x:f>IF(RECORD!B395="","",RECORD!B395)</x:f>
      </x:c>
      <x:c r="C393" s="103" t="str">
        <x:f>IF(RECORD!C395="","",RECORD!C395)</x:f>
      </x:c>
      <x:c r="D393" s="104" t="str">
        <x:f t="array" ref="D393">IF(C393&lt;&gt;"",IF(F$7="SUMMER","N/A",_xlfn.IFS(D$10="TLA",RECORD!GO395,F$10="LECTURE","",TRUE(),"")),"")</x:f>
      </x:c>
      <x:c r="E393" s="105" t="str">
        <x:f t="shared" si="115"/>
      </x:c>
      <x:c r="F393" s="104" t="str">
        <x:f t="array" ref="F393">IF(C393&lt;&gt;"",IF(F$7="SUMMER","N/A",_xlfn.IFS(F$10="AT",RECORD!GI395,F$10="LECTURE",GRADES!AP393,TRUE(),"")),"")</x:f>
      </x:c>
      <x:c r="G393" s="106" t="str">
        <x:f t="shared" si="116"/>
      </x:c>
      <x:c r="H393" s="107" t="str">
        <x:f t="array" ref="H393">IF(C393&lt;&gt;"",IF(F$7="SUMMER","N/A",_xlfn.IFS(H$10="EXAM",RECORD!GJ395,H$10="OUTPUT",RECORD!GK395,H$10="LAB",BP393,TRUE(),"")),"")</x:f>
      </x:c>
      <x:c r="I393" s="106" t="str">
        <x:f t="shared" si="117"/>
      </x:c>
      <x:c r="J393" s="108" t="str">
        <x:f t="shared" si="118"/>
      </x:c>
      <x:c r="K393" s="109" t="str">
        <x:f t="shared" si="119"/>
      </x:c>
      <x:c r="L393" s="110" t="str">
        <x:f t="array" ref="L393">IF(C393&lt;&gt;"",_xlfn.IFS(L$10="TLA",RECORD!GY395,N$10="LECTURE","",TRUE(),""),"")</x:f>
      </x:c>
      <x:c r="M393" s="105" t="str">
        <x:f t="shared" si="120"/>
      </x:c>
      <x:c r="N393" s="104" t="str">
        <x:f t="array" ref="N393">IF(C393&lt;&gt;"",_xlfn.IFS(N$10="AT",RECORD!GS395,N$10="LECTURE",AX393,TRUE(),""),"")</x:f>
      </x:c>
      <x:c r="O393" s="106" t="str">
        <x:f t="shared" si="121"/>
      </x:c>
      <x:c r="P393" s="107" t="str">
        <x:f t="array" ref="P393">IF(C393&lt;&gt;"",_xlfn.IFS(P$10="EXAM",RECORD!GT395,P$10="OUTPUT",RECORD!GU395,P$10="LAB",BX393,TRUE(),""),"")</x:f>
      </x:c>
      <x:c r="Q393" s="106" t="str">
        <x:f t="shared" si="122"/>
      </x:c>
      <x:c r="R393" s="108" t="str">
        <x:f t="shared" si="123"/>
      </x:c>
      <x:c r="S393" s="109" t="str">
        <x:f t="shared" si="124"/>
      </x:c>
      <x:c r="T393" s="110" t="str">
        <x:f t="array" ref="T393">IF(C393&lt;&gt;"",_xlfn.IFS(T$10="TLA",RECORD!HI395,V$10="LECTURE","",TRUE(),""),"")</x:f>
      </x:c>
      <x:c r="U393" s="105" t="str">
        <x:f t="shared" si="125"/>
      </x:c>
      <x:c r="V393" s="104" t="str">
        <x:f t="array" ref="V393">IF(C393&lt;&gt;"",_xlfn.IFS(V$10="AT",RECORD!HC395,V$10="LECTURE",BF393,TRUE(),""),"")</x:f>
      </x:c>
      <x:c r="W393" s="106" t="str">
        <x:f t="shared" si="126"/>
      </x:c>
      <x:c r="X393" s="107" t="str">
        <x:f t="array" ref="X393">IF(C393&lt;&gt;"",_xlfn.IFS(X$10="EXAM",RECORD!HD395,X$10="OUTPUT",RECORD!HE395,X$10="LAB",CF393,TRUE(),""),"")</x:f>
      </x:c>
      <x:c r="Y393" s="106" t="str">
        <x:f t="shared" si="127"/>
      </x:c>
      <x:c r="Z393" s="108" t="str">
        <x:f t="shared" si="128"/>
      </x:c>
      <x:c r="AA393" s="109" t="str">
        <x:f t="shared" si="129"/>
      </x:c>
      <x:c r="AB393" s="111" t="str">
        <x:f t="shared" si="130"/>
      </x:c>
      <x:c r="AC393" s="109" t="str">
        <x:f t="shared" si="131"/>
      </x:c>
      <x:c r="AQ393" s="109" t="str">
        <x:f t="shared" si="132"/>
        <x:v>FAILED</x:v>
      </x:c>
      <x:c r="AR393" s="115"/>
      <x:c r="AS393" s="115"/>
      <x:c r="AT393" s="107"/>
      <x:c r="AU393" s="107"/>
      <x:c r="AV393" s="107"/>
      <x:c r="AW393" s="107"/>
      <x:c r="AX393" s="107"/>
      <x:c r="AY393" s="109" t="str">
        <x:f t="shared" si="133"/>
        <x:v>FAILED</x:v>
      </x:c>
      <x:c r="AZ393" s="115"/>
      <x:c r="BA393" s="115"/>
      <x:c r="BB393" s="107"/>
      <x:c r="BC393" s="107"/>
      <x:c r="BD393" s="107"/>
      <x:c r="BE393" s="107"/>
      <x:c r="BF393" s="107"/>
      <x:c r="BG393" s="109" t="str">
        <x:f t="shared" si="134"/>
        <x:v>FAILED</x:v>
      </x:c>
      <x:c r="BQ393" s="109" t="str">
        <x:f t="shared" si="135"/>
        <x:v>FAILED</x:v>
      </x:c>
      <x:c r="BR393" s="115"/>
      <x:c r="BS393" s="115"/>
      <x:c r="BT393" s="107"/>
      <x:c r="BU393" s="107"/>
      <x:c r="BV393" s="107"/>
      <x:c r="BW393" s="107"/>
      <x:c r="BX393" s="107"/>
      <x:c r="BY393" s="109" t="str">
        <x:f t="shared" si="136"/>
        <x:v>FAILED</x:v>
      </x:c>
      <x:c r="BZ393" s="115"/>
      <x:c r="CA393" s="115"/>
      <x:c r="CB393" s="107"/>
      <x:c r="CC393" s="107"/>
      <x:c r="CD393" s="107"/>
      <x:c r="CE393" s="107"/>
      <x:c r="CF393" s="107"/>
      <x:c r="CG393" s="109" t="str">
        <x:f t="shared" si="137"/>
        <x:v>FAILED</x:v>
      </x:c>
    </x:row>
    <x:row r="394">
      <x:c r="A394" s="102" t="str">
        <x:f>IF(RECORD!A396="","",RECORD!A396)</x:f>
      </x:c>
      <x:c r="B394" s="102" t="str">
        <x:f>IF(RECORD!B396="","",RECORD!B396)</x:f>
      </x:c>
      <x:c r="C394" s="103" t="str">
        <x:f>IF(RECORD!C396="","",RECORD!C396)</x:f>
      </x:c>
      <x:c r="D394" s="104" t="str">
        <x:f t="array" ref="D394">IF(C394&lt;&gt;"",IF(F$7="SUMMER","N/A",_xlfn.IFS(D$10="TLA",RECORD!GO396,F$10="LECTURE","",TRUE(),"")),"")</x:f>
      </x:c>
      <x:c r="E394" s="105" t="str">
        <x:f t="shared" si="115"/>
      </x:c>
      <x:c r="F394" s="104" t="str">
        <x:f t="array" ref="F394">IF(C394&lt;&gt;"",IF(F$7="SUMMER","N/A",_xlfn.IFS(F$10="AT",RECORD!GI396,F$10="LECTURE",GRADES!AP394,TRUE(),"")),"")</x:f>
      </x:c>
      <x:c r="G394" s="106" t="str">
        <x:f t="shared" si="116"/>
      </x:c>
      <x:c r="H394" s="107" t="str">
        <x:f t="array" ref="H394">IF(C394&lt;&gt;"",IF(F$7="SUMMER","N/A",_xlfn.IFS(H$10="EXAM",RECORD!GJ396,H$10="OUTPUT",RECORD!GK396,H$10="LAB",BP394,TRUE(),"")),"")</x:f>
      </x:c>
      <x:c r="I394" s="106" t="str">
        <x:f t="shared" si="117"/>
      </x:c>
      <x:c r="J394" s="108" t="str">
        <x:f t="shared" si="118"/>
      </x:c>
      <x:c r="K394" s="109" t="str">
        <x:f t="shared" si="119"/>
      </x:c>
      <x:c r="L394" s="110" t="str">
        <x:f t="array" ref="L394">IF(C394&lt;&gt;"",_xlfn.IFS(L$10="TLA",RECORD!GY396,N$10="LECTURE","",TRUE(),""),"")</x:f>
      </x:c>
      <x:c r="M394" s="105" t="str">
        <x:f t="shared" si="120"/>
      </x:c>
      <x:c r="N394" s="104" t="str">
        <x:f t="array" ref="N394">IF(C394&lt;&gt;"",_xlfn.IFS(N$10="AT",RECORD!GS396,N$10="LECTURE",AX394,TRUE(),""),"")</x:f>
      </x:c>
      <x:c r="O394" s="106" t="str">
        <x:f t="shared" si="121"/>
      </x:c>
      <x:c r="P394" s="107" t="str">
        <x:f t="array" ref="P394">IF(C394&lt;&gt;"",_xlfn.IFS(P$10="EXAM",RECORD!GT396,P$10="OUTPUT",RECORD!GU396,P$10="LAB",BX394,TRUE(),""),"")</x:f>
      </x:c>
      <x:c r="Q394" s="106" t="str">
        <x:f t="shared" si="122"/>
      </x:c>
      <x:c r="R394" s="108" t="str">
        <x:f t="shared" si="123"/>
      </x:c>
      <x:c r="S394" s="109" t="str">
        <x:f t="shared" si="124"/>
      </x:c>
      <x:c r="T394" s="110" t="str">
        <x:f t="array" ref="T394">IF(C394&lt;&gt;"",_xlfn.IFS(T$10="TLA",RECORD!HI396,V$10="LECTURE","",TRUE(),""),"")</x:f>
      </x:c>
      <x:c r="U394" s="105" t="str">
        <x:f t="shared" si="125"/>
      </x:c>
      <x:c r="V394" s="104" t="str">
        <x:f t="array" ref="V394">IF(C394&lt;&gt;"",_xlfn.IFS(V$10="AT",RECORD!HC396,V$10="LECTURE",BF394,TRUE(),""),"")</x:f>
      </x:c>
      <x:c r="W394" s="106" t="str">
        <x:f t="shared" si="126"/>
      </x:c>
      <x:c r="X394" s="107" t="str">
        <x:f t="array" ref="X394">IF(C394&lt;&gt;"",_xlfn.IFS(X$10="EXAM",RECORD!HD396,X$10="OUTPUT",RECORD!HE396,X$10="LAB",CF394,TRUE(),""),"")</x:f>
      </x:c>
      <x:c r="Y394" s="106" t="str">
        <x:f t="shared" si="127"/>
      </x:c>
      <x:c r="Z394" s="108" t="str">
        <x:f t="shared" si="128"/>
      </x:c>
      <x:c r="AA394" s="109" t="str">
        <x:f t="shared" si="129"/>
      </x:c>
      <x:c r="AB394" s="111" t="str">
        <x:f t="shared" si="130"/>
      </x:c>
      <x:c r="AC394" s="109" t="str">
        <x:f t="shared" si="131"/>
      </x:c>
      <x:c r="AQ394" s="109" t="str">
        <x:f t="shared" si="132"/>
        <x:v>FAILED</x:v>
      </x:c>
      <x:c r="AR394" s="115"/>
      <x:c r="AS394" s="115"/>
      <x:c r="AT394" s="107"/>
      <x:c r="AU394" s="107"/>
      <x:c r="AV394" s="107"/>
      <x:c r="AW394" s="107"/>
      <x:c r="AX394" s="107"/>
      <x:c r="AY394" s="109" t="str">
        <x:f t="shared" si="133"/>
        <x:v>FAILED</x:v>
      </x:c>
      <x:c r="AZ394" s="115"/>
      <x:c r="BA394" s="115"/>
      <x:c r="BB394" s="107"/>
      <x:c r="BC394" s="107"/>
      <x:c r="BD394" s="107"/>
      <x:c r="BE394" s="107"/>
      <x:c r="BF394" s="107"/>
      <x:c r="BG394" s="109" t="str">
        <x:f t="shared" si="134"/>
        <x:v>FAILED</x:v>
      </x:c>
      <x:c r="BQ394" s="109" t="str">
        <x:f t="shared" si="135"/>
        <x:v>FAILED</x:v>
      </x:c>
      <x:c r="BR394" s="115"/>
      <x:c r="BS394" s="115"/>
      <x:c r="BT394" s="107"/>
      <x:c r="BU394" s="107"/>
      <x:c r="BV394" s="107"/>
      <x:c r="BW394" s="107"/>
      <x:c r="BX394" s="107"/>
      <x:c r="BY394" s="109" t="str">
        <x:f t="shared" si="136"/>
        <x:v>FAILED</x:v>
      </x:c>
      <x:c r="BZ394" s="115"/>
      <x:c r="CA394" s="115"/>
      <x:c r="CB394" s="107"/>
      <x:c r="CC394" s="107"/>
      <x:c r="CD394" s="107"/>
      <x:c r="CE394" s="107"/>
      <x:c r="CF394" s="107"/>
      <x:c r="CG394" s="109" t="str">
        <x:f t="shared" si="137"/>
        <x:v>FAILED</x:v>
      </x:c>
    </x:row>
    <x:row r="395">
      <x:c r="A395" s="102" t="str">
        <x:f>IF(RECORD!A397="","",RECORD!A397)</x:f>
      </x:c>
      <x:c r="B395" s="102" t="str">
        <x:f>IF(RECORD!B397="","",RECORD!B397)</x:f>
      </x:c>
      <x:c r="C395" s="103" t="str">
        <x:f>IF(RECORD!C397="","",RECORD!C397)</x:f>
      </x:c>
      <x:c r="D395" s="104" t="str">
        <x:f t="array" ref="D395">IF(C395&lt;&gt;"",IF(F$7="SUMMER","N/A",_xlfn.IFS(D$10="TLA",RECORD!GO397,F$10="LECTURE","",TRUE(),"")),"")</x:f>
      </x:c>
      <x:c r="E395" s="105" t="str">
        <x:f t="shared" si="115"/>
      </x:c>
      <x:c r="F395" s="104" t="str">
        <x:f t="array" ref="F395">IF(C395&lt;&gt;"",IF(F$7="SUMMER","N/A",_xlfn.IFS(F$10="AT",RECORD!GI397,F$10="LECTURE",GRADES!AP395,TRUE(),"")),"")</x:f>
      </x:c>
      <x:c r="G395" s="106" t="str">
        <x:f t="shared" si="116"/>
      </x:c>
      <x:c r="H395" s="107" t="str">
        <x:f t="array" ref="H395">IF(C395&lt;&gt;"",IF(F$7="SUMMER","N/A",_xlfn.IFS(H$10="EXAM",RECORD!GJ397,H$10="OUTPUT",RECORD!GK397,H$10="LAB",BP395,TRUE(),"")),"")</x:f>
      </x:c>
      <x:c r="I395" s="106" t="str">
        <x:f t="shared" si="117"/>
      </x:c>
      <x:c r="J395" s="108" t="str">
        <x:f t="shared" si="118"/>
      </x:c>
      <x:c r="K395" s="109" t="str">
        <x:f t="shared" si="119"/>
      </x:c>
      <x:c r="L395" s="110" t="str">
        <x:f t="array" ref="L395">IF(C395&lt;&gt;"",_xlfn.IFS(L$10="TLA",RECORD!GY397,N$10="LECTURE","",TRUE(),""),"")</x:f>
      </x:c>
      <x:c r="M395" s="105" t="str">
        <x:f t="shared" si="120"/>
      </x:c>
      <x:c r="N395" s="104" t="str">
        <x:f t="array" ref="N395">IF(C395&lt;&gt;"",_xlfn.IFS(N$10="AT",RECORD!GS397,N$10="LECTURE",AX395,TRUE(),""),"")</x:f>
      </x:c>
      <x:c r="O395" s="106" t="str">
        <x:f t="shared" si="121"/>
      </x:c>
      <x:c r="P395" s="107" t="str">
        <x:f t="array" ref="P395">IF(C395&lt;&gt;"",_xlfn.IFS(P$10="EXAM",RECORD!GT397,P$10="OUTPUT",RECORD!GU397,P$10="LAB",BX395,TRUE(),""),"")</x:f>
      </x:c>
      <x:c r="Q395" s="106" t="str">
        <x:f t="shared" si="122"/>
      </x:c>
      <x:c r="R395" s="108" t="str">
        <x:f t="shared" si="123"/>
      </x:c>
      <x:c r="S395" s="109" t="str">
        <x:f t="shared" si="124"/>
      </x:c>
      <x:c r="T395" s="110" t="str">
        <x:f t="array" ref="T395">IF(C395&lt;&gt;"",_xlfn.IFS(T$10="TLA",RECORD!HI397,V$10="LECTURE","",TRUE(),""),"")</x:f>
      </x:c>
      <x:c r="U395" s="105" t="str">
        <x:f t="shared" si="125"/>
      </x:c>
      <x:c r="V395" s="104" t="str">
        <x:f t="array" ref="V395">IF(C395&lt;&gt;"",_xlfn.IFS(V$10="AT",RECORD!HC397,V$10="LECTURE",BF395,TRUE(),""),"")</x:f>
      </x:c>
      <x:c r="W395" s="106" t="str">
        <x:f t="shared" si="126"/>
      </x:c>
      <x:c r="X395" s="107" t="str">
        <x:f t="array" ref="X395">IF(C395&lt;&gt;"",_xlfn.IFS(X$10="EXAM",RECORD!HD397,X$10="OUTPUT",RECORD!HE397,X$10="LAB",CF395,TRUE(),""),"")</x:f>
      </x:c>
      <x:c r="Y395" s="106" t="str">
        <x:f t="shared" si="127"/>
      </x:c>
      <x:c r="Z395" s="108" t="str">
        <x:f t="shared" si="128"/>
      </x:c>
      <x:c r="AA395" s="109" t="str">
        <x:f t="shared" si="129"/>
      </x:c>
      <x:c r="AB395" s="111" t="str">
        <x:f t="shared" si="130"/>
      </x:c>
      <x:c r="AC395" s="109" t="str">
        <x:f t="shared" si="131"/>
      </x:c>
      <x:c r="AQ395" s="109" t="str">
        <x:f t="shared" si="132"/>
        <x:v>FAILED</x:v>
      </x:c>
      <x:c r="AR395" s="115"/>
      <x:c r="AS395" s="115"/>
      <x:c r="AT395" s="107"/>
      <x:c r="AU395" s="107"/>
      <x:c r="AV395" s="107"/>
      <x:c r="AW395" s="107"/>
      <x:c r="AX395" s="107"/>
      <x:c r="AY395" s="109" t="str">
        <x:f t="shared" si="133"/>
        <x:v>FAILED</x:v>
      </x:c>
      <x:c r="AZ395" s="115"/>
      <x:c r="BA395" s="115"/>
      <x:c r="BB395" s="107"/>
      <x:c r="BC395" s="107"/>
      <x:c r="BD395" s="107"/>
      <x:c r="BE395" s="107"/>
      <x:c r="BF395" s="107"/>
      <x:c r="BG395" s="109" t="str">
        <x:f t="shared" si="134"/>
        <x:v>FAILED</x:v>
      </x:c>
      <x:c r="BQ395" s="109" t="str">
        <x:f t="shared" si="135"/>
        <x:v>FAILED</x:v>
      </x:c>
      <x:c r="BR395" s="115"/>
      <x:c r="BS395" s="115"/>
      <x:c r="BT395" s="107"/>
      <x:c r="BU395" s="107"/>
      <x:c r="BV395" s="107"/>
      <x:c r="BW395" s="107"/>
      <x:c r="BX395" s="107"/>
      <x:c r="BY395" s="109" t="str">
        <x:f t="shared" si="136"/>
        <x:v>FAILED</x:v>
      </x:c>
      <x:c r="BZ395" s="115"/>
      <x:c r="CA395" s="115"/>
      <x:c r="CB395" s="107"/>
      <x:c r="CC395" s="107"/>
      <x:c r="CD395" s="107"/>
      <x:c r="CE395" s="107"/>
      <x:c r="CF395" s="107"/>
      <x:c r="CG395" s="109" t="str">
        <x:f t="shared" si="137"/>
        <x:v>FAILED</x:v>
      </x:c>
    </x:row>
    <x:row r="396">
      <x:c r="A396" s="102" t="str">
        <x:f>IF(RECORD!A398="","",RECORD!A398)</x:f>
      </x:c>
      <x:c r="B396" s="102" t="str">
        <x:f>IF(RECORD!B398="","",RECORD!B398)</x:f>
      </x:c>
      <x:c r="C396" s="103" t="str">
        <x:f>IF(RECORD!C398="","",RECORD!C398)</x:f>
      </x:c>
      <x:c r="D396" s="104" t="str">
        <x:f t="array" ref="D396">IF(C396&lt;&gt;"",IF(F$7="SUMMER","N/A",_xlfn.IFS(D$10="TLA",RECORD!GO398,F$10="LECTURE","",TRUE(),"")),"")</x:f>
      </x:c>
      <x:c r="E396" s="105" t="str">
        <x:f t="shared" ref="E396:E409" si="138">IF(C396&lt;&gt;"",IFERROR((((((D396/D$11)*F$6)+G$6)*E$11)/100),""),"")</x:f>
      </x:c>
      <x:c r="F396" s="104" t="str">
        <x:f t="array" ref="F396">IF(C396&lt;&gt;"",IF(F$7="SUMMER","N/A",_xlfn.IFS(F$10="AT",RECORD!GI398,F$10="LECTURE",GRADES!AP396,TRUE(),"")),"")</x:f>
      </x:c>
      <x:c r="G396" s="106" t="str">
        <x:f t="shared" ref="G396:G409" si="139">IF(C396&lt;&gt;"",IFERROR((((((F396/F$11)*F$6)+G$6)*G$11)/100),""),"")</x:f>
      </x:c>
      <x:c r="H396" s="107" t="str">
        <x:f t="array" ref="H396">IF(C396&lt;&gt;"",IF(F$7="SUMMER","N/A",_xlfn.IFS(H$10="EXAM",RECORD!GJ398,H$10="OUTPUT",RECORD!GK398,H$10="LAB",BP396,TRUE(),"")),"")</x:f>
      </x:c>
      <x:c r="I396" s="106" t="str">
        <x:f t="shared" ref="I396:I409" si="140">IF(C396&lt;&gt;"",IFERROR((((((H396/H$11)*F$6)+G$6)*I$11)/100),""),"")</x:f>
      </x:c>
      <x:c r="J396" s="108" t="str">
        <x:f t="shared" ref="J396:J409" si="141">IF(C396&lt;&gt;"",IFERROR(IF(F$7="SUMMER", "N/A", SUM(E396,G396,I396)),""),"")</x:f>
      </x:c>
      <x:c r="K396" s="109" t="str">
        <x:f t="shared" ref="K396:K409" si="142">IF(C396&lt;&gt;"",IF(F391="SUMMER","N/A", IF(J396&gt;74,"PASSED","FAILED")),"")</x:f>
      </x:c>
      <x:c r="L396" s="110" t="str">
        <x:f t="array" ref="L396">IF(C396&lt;&gt;"",_xlfn.IFS(L$10="TLA",RECORD!GY398,N$10="LECTURE","",TRUE(),""),"")</x:f>
      </x:c>
      <x:c r="M396" s="105" t="str">
        <x:f t="shared" ref="M396:M409" si="143">IF(C396&lt;&gt;"",IFERROR((((((L396/L$11)*F$6)+G$6)*M$11)/100),""),"")</x:f>
      </x:c>
      <x:c r="N396" s="104" t="str">
        <x:f t="array" ref="N396">IF(C396&lt;&gt;"",_xlfn.IFS(N$10="AT",RECORD!GS398,N$10="LECTURE",AX396,TRUE(),""),"")</x:f>
      </x:c>
      <x:c r="O396" s="106" t="str">
        <x:f t="shared" ref="O396:O409" si="144">IF(C396&lt;&gt;"",IFERROR((((((N396/N$11)*F$6)+G$6)*O$11)/100),""),"")</x:f>
      </x:c>
      <x:c r="P396" s="107" t="str">
        <x:f t="array" ref="P396">IF(C396&lt;&gt;"",_xlfn.IFS(P$10="EXAM",RECORD!GT398,P$10="OUTPUT",RECORD!GU398,P$10="LAB",BX396,TRUE(),""),"")</x:f>
      </x:c>
      <x:c r="Q396" s="106" t="str">
        <x:f t="shared" ref="Q396:Q409" si="145">IF(C396&lt;&gt;"",IFERROR((((((P396/P$11)*F$6)+G$6)*Q$11)/100),""),"")</x:f>
      </x:c>
      <x:c r="R396" s="108" t="str">
        <x:f t="shared" ref="R396:R409" si="146">IF(C396&lt;&gt;"",IFERROR(IF(F$7="SUMMER", "N/A", SUM(M396,O396,Q396)),""),"")</x:f>
      </x:c>
      <x:c r="S396" s="109" t="str">
        <x:f t="shared" ref="S396:S409" si="147">IF(C396&lt;&gt;"",IF(R396&gt;74,"PASSED","FAILED"),"")</x:f>
      </x:c>
      <x:c r="T396" s="110" t="str">
        <x:f t="array" ref="T396">IF(C396&lt;&gt;"",_xlfn.IFS(T$10="TLA",RECORD!HI398,V$10="LECTURE","",TRUE(),""),"")</x:f>
      </x:c>
      <x:c r="U396" s="105" t="str">
        <x:f t="shared" ref="U396:U409" si="148">IF(C396&lt;&gt;"",IFERROR((((((T396/T$11)*F$6)+G$6)*U$11)/100),""),"")</x:f>
      </x:c>
      <x:c r="V396" s="104" t="str">
        <x:f t="array" ref="V396">IF(C396&lt;&gt;"",_xlfn.IFS(V$10="AT",RECORD!HC398,V$10="LECTURE",BF396,TRUE(),""),"")</x:f>
      </x:c>
      <x:c r="W396" s="106" t="str">
        <x:f t="shared" ref="W396:W409" si="149">IF(C396&lt;&gt;"",IFERROR((((((V396/V$11)*F$6)+G$6)*W$11)/100),""),"")</x:f>
      </x:c>
      <x:c r="X396" s="107" t="str">
        <x:f t="array" ref="X396">IF(C396&lt;&gt;"",_xlfn.IFS(X$10="EXAM",RECORD!HD398,X$10="OUTPUT",RECORD!HE398,X$10="LAB",CF396,TRUE(),""),"")</x:f>
      </x:c>
      <x:c r="Y396" s="106" t="str">
        <x:f t="shared" ref="Y396:Y409" si="150">IF(C396&lt;&gt;"",IFERROR((((((X396/X$11)*F$6)+G$6)*Y$11)/100),""),"")</x:f>
      </x:c>
      <x:c r="Z396" s="108" t="str">
        <x:f t="shared" ref="Z396:Z409" si="151">IF(C396&lt;&gt;"",IFERROR(IF(N$7="SUMMER", "N/A", SUM(U396,W396,Y396)),""),"")</x:f>
      </x:c>
      <x:c r="AA396" s="109" t="str">
        <x:f t="shared" ref="AA396:AA409" si="152">IF(C396&lt;&gt;"",IF(Z396&gt;74,"PASSED","FAILED"),"")</x:f>
      </x:c>
      <x:c r="AB396" s="111" t="n">
        <x:f t="shared" ref="AB396:AB409" si="153">IFERROR(IF(F$7="SUMMER", ((R396+Z396)/2), (J396+R396+Z396)/3),"")</x:f>
        <x:v>0</x:v>
      </x:c>
      <x:c r="AC396" s="109" t="str">
        <x:f t="shared" ref="AC396:AC409" si="154">IF(C396&lt;&gt;"",IF(AB396&gt;74,"PASSED","FAILED"),"")</x:f>
      </x:c>
      <x:c r="AQ396" s="109" t="str">
        <x:f t="shared" ref="AQ396:AQ410" si="155">IF(AP396&gt;74,"PASSED","FAILED")</x:f>
        <x:v>FAILED</x:v>
      </x:c>
      <x:c r="AR396" s="115"/>
      <x:c r="AS396" s="115"/>
      <x:c r="AT396" s="107"/>
      <x:c r="AU396" s="107"/>
      <x:c r="AV396" s="107"/>
      <x:c r="AW396" s="107"/>
      <x:c r="AX396" s="107"/>
      <x:c r="AY396" s="109" t="str">
        <x:f t="shared" ref="AY396:AY410" si="156">IF(AX396&gt;74,"PASSED","FAILED")</x:f>
        <x:v>FAILED</x:v>
      </x:c>
      <x:c r="AZ396" s="115"/>
      <x:c r="BA396" s="115"/>
      <x:c r="BB396" s="107"/>
      <x:c r="BC396" s="107"/>
      <x:c r="BD396" s="107"/>
      <x:c r="BE396" s="107"/>
      <x:c r="BF396" s="107"/>
      <x:c r="BG396" s="109" t="str">
        <x:f t="shared" ref="BG396:BG410" si="157">IF(BF396&gt;74,"PASSED","FAILED")</x:f>
        <x:v>FAILED</x:v>
      </x:c>
      <x:c r="BQ396" s="109" t="str">
        <x:f t="shared" ref="BQ396:BQ410" si="158">IF(BP396&gt;74,"PASSED","FAILED")</x:f>
        <x:v>FAILED</x:v>
      </x:c>
      <x:c r="BR396" s="115"/>
      <x:c r="BS396" s="115"/>
      <x:c r="BT396" s="107"/>
      <x:c r="BU396" s="107"/>
      <x:c r="BV396" s="107"/>
      <x:c r="BW396" s="107"/>
      <x:c r="BX396" s="107"/>
      <x:c r="BY396" s="109" t="str">
        <x:f t="shared" ref="BY396:BY410" si="159">IF(BX396&gt;74,"PASSED","FAILED")</x:f>
        <x:v>FAILED</x:v>
      </x:c>
      <x:c r="BZ396" s="115"/>
      <x:c r="CA396" s="115"/>
      <x:c r="CB396" s="107"/>
      <x:c r="CC396" s="107"/>
      <x:c r="CD396" s="107"/>
      <x:c r="CE396" s="107"/>
      <x:c r="CF396" s="107"/>
      <x:c r="CG396" s="109" t="str">
        <x:f t="shared" ref="CG396:CG410" si="160">IF(CF396&gt;74,"PASSED","FAILED")</x:f>
        <x:v>FAILED</x:v>
      </x:c>
    </x:row>
    <x:row r="397">
      <x:c r="A397" s="102" t="str">
        <x:f>IF(RECORD!A399="","",RECORD!A399)</x:f>
      </x:c>
      <x:c r="B397" s="102" t="str">
        <x:f>IF(RECORD!B399="","",RECORD!B399)</x:f>
      </x:c>
      <x:c r="C397" s="103" t="str">
        <x:f>IF(RECORD!C399="","",RECORD!C399)</x:f>
      </x:c>
      <x:c r="D397" s="104" t="str">
        <x:f t="array" ref="D397">IF(C397&lt;&gt;"",IF(F$7="SUMMER","N/A",_xlfn.IFS(D$10="TLA",RECORD!GO399,F$10="LECTURE","",TRUE(),"")),"")</x:f>
      </x:c>
      <x:c r="E397" s="105" t="str">
        <x:f t="shared" si="138"/>
      </x:c>
      <x:c r="F397" s="104" t="str">
        <x:f t="array" ref="F397">IF(C397&lt;&gt;"",IF(F$7="SUMMER","N/A",_xlfn.IFS(F$10="AT",RECORD!GI399,F$10="LECTURE",GRADES!AP397,TRUE(),"")),"")</x:f>
      </x:c>
      <x:c r="G397" s="106" t="str">
        <x:f t="shared" si="139"/>
      </x:c>
      <x:c r="H397" s="107" t="str">
        <x:f t="array" ref="H397">IF(C397&lt;&gt;"",IF(F$7="SUMMER","N/A",_xlfn.IFS(H$10="EXAM",RECORD!GJ399,H$10="OUTPUT",RECORD!GK399,H$10="LAB",BP397,TRUE(),"")),"")</x:f>
      </x:c>
      <x:c r="I397" s="106" t="str">
        <x:f t="shared" si="140"/>
      </x:c>
      <x:c r="J397" s="108" t="str">
        <x:f t="shared" si="141"/>
      </x:c>
      <x:c r="K397" s="109" t="str">
        <x:f t="shared" si="142"/>
      </x:c>
      <x:c r="L397" s="110" t="str">
        <x:f t="array" ref="L397">IF(C397&lt;&gt;"",_xlfn.IFS(L$10="TLA",RECORD!GY399,N$10="LECTURE","",TRUE(),""),"")</x:f>
      </x:c>
      <x:c r="M397" s="105" t="str">
        <x:f t="shared" si="143"/>
      </x:c>
      <x:c r="N397" s="104" t="str">
        <x:f t="array" ref="N397">IF(C397&lt;&gt;"",_xlfn.IFS(N$10="AT",RECORD!GS399,N$10="LECTURE",AX397,TRUE(),""),"")</x:f>
      </x:c>
      <x:c r="O397" s="106" t="str">
        <x:f t="shared" si="144"/>
      </x:c>
      <x:c r="P397" s="107" t="str">
        <x:f t="array" ref="P397">IF(C397&lt;&gt;"",_xlfn.IFS(P$10="EXAM",RECORD!GT399,P$10="OUTPUT",RECORD!GU399,P$10="LAB",BX397,TRUE(),""),"")</x:f>
      </x:c>
      <x:c r="Q397" s="106" t="str">
        <x:f t="shared" si="145"/>
      </x:c>
      <x:c r="R397" s="108" t="str">
        <x:f t="shared" si="146"/>
      </x:c>
      <x:c r="S397" s="109" t="str">
        <x:f t="shared" si="147"/>
      </x:c>
      <x:c r="T397" s="110" t="str">
        <x:f t="array" ref="T397">IF(C397&lt;&gt;"",_xlfn.IFS(T$10="TLA",RECORD!HI399,V$10="LECTURE","",TRUE(),""),"")</x:f>
      </x:c>
      <x:c r="U397" s="105" t="str">
        <x:f t="shared" si="148"/>
      </x:c>
      <x:c r="V397" s="104" t="str">
        <x:f t="array" ref="V397">IF(C397&lt;&gt;"",_xlfn.IFS(V$10="AT",RECORD!HC399,V$10="LECTURE",BF397,TRUE(),""),"")</x:f>
      </x:c>
      <x:c r="W397" s="106" t="str">
        <x:f t="shared" si="149"/>
      </x:c>
      <x:c r="X397" s="107" t="str">
        <x:f t="array" ref="X397">IF(C397&lt;&gt;"",_xlfn.IFS(X$10="EXAM",RECORD!HD399,X$10="OUTPUT",RECORD!HE399,X$10="LAB",CF397,TRUE(),""),"")</x:f>
      </x:c>
      <x:c r="Y397" s="106" t="str">
        <x:f t="shared" si="150"/>
      </x:c>
      <x:c r="Z397" s="108" t="str">
        <x:f t="shared" si="151"/>
      </x:c>
      <x:c r="AA397" s="109" t="str">
        <x:f t="shared" si="152"/>
      </x:c>
      <x:c r="AB397" s="111" t="str">
        <x:f t="shared" si="153"/>
      </x:c>
      <x:c r="AC397" s="109" t="str">
        <x:f t="shared" si="154"/>
      </x:c>
      <x:c r="AQ397" s="109" t="str">
        <x:f t="shared" si="155"/>
        <x:v>FAILED</x:v>
      </x:c>
      <x:c r="AR397" s="115"/>
      <x:c r="AS397" s="115"/>
      <x:c r="AT397" s="107"/>
      <x:c r="AU397" s="107"/>
      <x:c r="AV397" s="107"/>
      <x:c r="AW397" s="107"/>
      <x:c r="AX397" s="107"/>
      <x:c r="AY397" s="109" t="str">
        <x:f t="shared" si="156"/>
        <x:v>FAILED</x:v>
      </x:c>
      <x:c r="AZ397" s="115"/>
      <x:c r="BA397" s="115"/>
      <x:c r="BB397" s="107"/>
      <x:c r="BC397" s="107"/>
      <x:c r="BD397" s="107"/>
      <x:c r="BE397" s="107"/>
      <x:c r="BF397" s="107"/>
      <x:c r="BG397" s="109" t="str">
        <x:f t="shared" si="157"/>
        <x:v>FAILED</x:v>
      </x:c>
      <x:c r="BQ397" s="109" t="str">
        <x:f t="shared" si="158"/>
        <x:v>FAILED</x:v>
      </x:c>
      <x:c r="BR397" s="115"/>
      <x:c r="BS397" s="115"/>
      <x:c r="BT397" s="107"/>
      <x:c r="BU397" s="107"/>
      <x:c r="BV397" s="107"/>
      <x:c r="BW397" s="107"/>
      <x:c r="BX397" s="107"/>
      <x:c r="BY397" s="109" t="str">
        <x:f t="shared" si="159"/>
        <x:v>FAILED</x:v>
      </x:c>
      <x:c r="BZ397" s="115"/>
      <x:c r="CA397" s="115"/>
      <x:c r="CB397" s="107"/>
      <x:c r="CC397" s="107"/>
      <x:c r="CD397" s="107"/>
      <x:c r="CE397" s="107"/>
      <x:c r="CF397" s="107"/>
      <x:c r="CG397" s="109" t="str">
        <x:f t="shared" si="160"/>
        <x:v>FAILED</x:v>
      </x:c>
    </x:row>
    <x:row r="398">
      <x:c r="A398" s="102" t="str">
        <x:f>IF(RECORD!A400="","",RECORD!A400)</x:f>
      </x:c>
      <x:c r="B398" s="102" t="str">
        <x:f>IF(RECORD!B400="","",RECORD!B400)</x:f>
      </x:c>
      <x:c r="C398" s="103" t="str">
        <x:f>IF(RECORD!C400="","",RECORD!C400)</x:f>
      </x:c>
      <x:c r="D398" s="104" t="str">
        <x:f t="array" ref="D398">IF(C398&lt;&gt;"",IF(F$7="SUMMER","N/A",_xlfn.IFS(D$10="TLA",RECORD!GO400,F$10="LECTURE","",TRUE(),"")),"")</x:f>
      </x:c>
      <x:c r="E398" s="105" t="str">
        <x:f t="shared" si="138"/>
      </x:c>
      <x:c r="F398" s="104" t="str">
        <x:f t="array" ref="F398">IF(C398&lt;&gt;"",IF(F$7="SUMMER","N/A",_xlfn.IFS(F$10="AT",RECORD!GI400,F$10="LECTURE",GRADES!AP398,TRUE(),"")),"")</x:f>
      </x:c>
      <x:c r="G398" s="106" t="str">
        <x:f t="shared" si="139"/>
      </x:c>
      <x:c r="H398" s="107" t="str">
        <x:f t="array" ref="H398">IF(C398&lt;&gt;"",IF(F$7="SUMMER","N/A",_xlfn.IFS(H$10="EXAM",RECORD!GJ400,H$10="OUTPUT",RECORD!GK400,H$10="LAB",BP398,TRUE(),"")),"")</x:f>
      </x:c>
      <x:c r="I398" s="106" t="str">
        <x:f t="shared" si="140"/>
      </x:c>
      <x:c r="J398" s="108" t="str">
        <x:f t="shared" si="141"/>
      </x:c>
      <x:c r="K398" s="109" t="str">
        <x:f t="shared" si="142"/>
      </x:c>
      <x:c r="L398" s="110" t="str">
        <x:f t="array" ref="L398">IF(C398&lt;&gt;"",_xlfn.IFS(L$10="TLA",RECORD!GY400,N$10="LECTURE","",TRUE(),""),"")</x:f>
      </x:c>
      <x:c r="M398" s="105" t="str">
        <x:f t="shared" si="143"/>
      </x:c>
      <x:c r="N398" s="104" t="str">
        <x:f t="array" ref="N398">IF(C398&lt;&gt;"",_xlfn.IFS(N$10="AT",RECORD!GS400,N$10="LECTURE",AX398,TRUE(),""),"")</x:f>
      </x:c>
      <x:c r="O398" s="106" t="str">
        <x:f t="shared" si="144"/>
      </x:c>
      <x:c r="P398" s="107" t="str">
        <x:f t="array" ref="P398">IF(C398&lt;&gt;"",_xlfn.IFS(P$10="EXAM",RECORD!GT400,P$10="OUTPUT",RECORD!GU400,P$10="LAB",BX398,TRUE(),""),"")</x:f>
      </x:c>
      <x:c r="Q398" s="106" t="str">
        <x:f t="shared" si="145"/>
      </x:c>
      <x:c r="R398" s="108" t="str">
        <x:f t="shared" si="146"/>
      </x:c>
      <x:c r="S398" s="109" t="str">
        <x:f t="shared" si="147"/>
      </x:c>
      <x:c r="T398" s="110" t="str">
        <x:f t="array" ref="T398">IF(C398&lt;&gt;"",_xlfn.IFS(T$10="TLA",RECORD!HI400,V$10="LECTURE","",TRUE(),""),"")</x:f>
      </x:c>
      <x:c r="U398" s="105" t="str">
        <x:f t="shared" si="148"/>
      </x:c>
      <x:c r="V398" s="104" t="str">
        <x:f t="array" ref="V398">IF(C398&lt;&gt;"",_xlfn.IFS(V$10="AT",RECORD!HC400,V$10="LECTURE",BF398,TRUE(),""),"")</x:f>
      </x:c>
      <x:c r="W398" s="106" t="str">
        <x:f t="shared" si="149"/>
      </x:c>
      <x:c r="X398" s="107" t="str">
        <x:f t="array" ref="X398">IF(C398&lt;&gt;"",_xlfn.IFS(X$10="EXAM",RECORD!HD400,X$10="OUTPUT",RECORD!HE400,X$10="LAB",CF398,TRUE(),""),"")</x:f>
      </x:c>
      <x:c r="Y398" s="106" t="str">
        <x:f t="shared" si="150"/>
      </x:c>
      <x:c r="Z398" s="108" t="str">
        <x:f t="shared" si="151"/>
      </x:c>
      <x:c r="AA398" s="109" t="str">
        <x:f t="shared" si="152"/>
      </x:c>
      <x:c r="AB398" s="111" t="str">
        <x:f t="shared" si="153"/>
      </x:c>
      <x:c r="AC398" s="109" t="str">
        <x:f t="shared" si="154"/>
      </x:c>
      <x:c r="AQ398" s="109" t="str">
        <x:f t="shared" si="155"/>
        <x:v>FAILED</x:v>
      </x:c>
      <x:c r="AR398" s="115"/>
      <x:c r="AS398" s="115"/>
      <x:c r="AT398" s="107"/>
      <x:c r="AU398" s="107"/>
      <x:c r="AV398" s="107"/>
      <x:c r="AW398" s="107"/>
      <x:c r="AX398" s="107"/>
      <x:c r="AY398" s="109" t="str">
        <x:f t="shared" si="156"/>
        <x:v>FAILED</x:v>
      </x:c>
      <x:c r="AZ398" s="115"/>
      <x:c r="BA398" s="115"/>
      <x:c r="BB398" s="107"/>
      <x:c r="BC398" s="107"/>
      <x:c r="BD398" s="107"/>
      <x:c r="BE398" s="107"/>
      <x:c r="BF398" s="107"/>
      <x:c r="BG398" s="109" t="str">
        <x:f t="shared" si="157"/>
        <x:v>FAILED</x:v>
      </x:c>
      <x:c r="BQ398" s="109" t="str">
        <x:f t="shared" si="158"/>
        <x:v>FAILED</x:v>
      </x:c>
      <x:c r="BR398" s="115"/>
      <x:c r="BS398" s="115"/>
      <x:c r="BT398" s="107"/>
      <x:c r="BU398" s="107"/>
      <x:c r="BV398" s="107"/>
      <x:c r="BW398" s="107"/>
      <x:c r="BX398" s="107"/>
      <x:c r="BY398" s="109" t="str">
        <x:f t="shared" si="159"/>
        <x:v>FAILED</x:v>
      </x:c>
      <x:c r="BZ398" s="115"/>
      <x:c r="CA398" s="115"/>
      <x:c r="CB398" s="107"/>
      <x:c r="CC398" s="107"/>
      <x:c r="CD398" s="107"/>
      <x:c r="CE398" s="107"/>
      <x:c r="CF398" s="107"/>
      <x:c r="CG398" s="109" t="str">
        <x:f t="shared" si="160"/>
        <x:v>FAILED</x:v>
      </x:c>
    </x:row>
    <x:row r="399">
      <x:c r="A399" s="102" t="str">
        <x:f>IF(RECORD!A401="","",RECORD!A401)</x:f>
      </x:c>
      <x:c r="B399" s="102" t="str">
        <x:f>IF(RECORD!B401="","",RECORD!B401)</x:f>
      </x:c>
      <x:c r="C399" s="103" t="str">
        <x:f>IF(RECORD!C401="","",RECORD!C401)</x:f>
      </x:c>
      <x:c r="D399" s="104" t="str">
        <x:f t="array" ref="D399">IF(C399&lt;&gt;"",IF(F$7="SUMMER","N/A",_xlfn.IFS(D$10="TLA",RECORD!GO401,F$10="LECTURE","",TRUE(),"")),"")</x:f>
      </x:c>
      <x:c r="E399" s="105" t="str">
        <x:f t="shared" si="138"/>
      </x:c>
      <x:c r="F399" s="104" t="str">
        <x:f t="array" ref="F399">IF(C399&lt;&gt;"",IF(F$7="SUMMER","N/A",_xlfn.IFS(F$10="AT",RECORD!GI401,F$10="LECTURE",GRADES!AP399,TRUE(),"")),"")</x:f>
      </x:c>
      <x:c r="G399" s="106" t="str">
        <x:f t="shared" si="139"/>
      </x:c>
      <x:c r="H399" s="107" t="str">
        <x:f t="array" ref="H399">IF(C399&lt;&gt;"",IF(F$7="SUMMER","N/A",_xlfn.IFS(H$10="EXAM",RECORD!GJ401,H$10="OUTPUT",RECORD!GK401,H$10="LAB",BP399,TRUE(),"")),"")</x:f>
      </x:c>
      <x:c r="I399" s="106" t="str">
        <x:f t="shared" si="140"/>
      </x:c>
      <x:c r="J399" s="108" t="str">
        <x:f t="shared" si="141"/>
      </x:c>
      <x:c r="K399" s="109" t="str">
        <x:f t="shared" si="142"/>
      </x:c>
      <x:c r="L399" s="110" t="str">
        <x:f t="array" ref="L399">IF(C399&lt;&gt;"",_xlfn.IFS(L$10="TLA",RECORD!GY401,N$10="LECTURE","",TRUE(),""),"")</x:f>
      </x:c>
      <x:c r="M399" s="105" t="str">
        <x:f t="shared" si="143"/>
      </x:c>
      <x:c r="N399" s="104" t="str">
        <x:f t="array" ref="N399">IF(C399&lt;&gt;"",_xlfn.IFS(N$10="AT",RECORD!GS401,N$10="LECTURE",AX399,TRUE(),""),"")</x:f>
      </x:c>
      <x:c r="O399" s="106" t="str">
        <x:f t="shared" si="144"/>
      </x:c>
      <x:c r="P399" s="107" t="str">
        <x:f t="array" ref="P399">IF(C399&lt;&gt;"",_xlfn.IFS(P$10="EXAM",RECORD!GT401,P$10="OUTPUT",RECORD!GU401,P$10="LAB",BX399,TRUE(),""),"")</x:f>
      </x:c>
      <x:c r="Q399" s="106" t="str">
        <x:f t="shared" si="145"/>
      </x:c>
      <x:c r="R399" s="108" t="str">
        <x:f t="shared" si="146"/>
      </x:c>
      <x:c r="S399" s="109" t="str">
        <x:f t="shared" si="147"/>
      </x:c>
      <x:c r="T399" s="110" t="str">
        <x:f t="array" ref="T399">IF(C399&lt;&gt;"",_xlfn.IFS(T$10="TLA",RECORD!HI401,V$10="LECTURE","",TRUE(),""),"")</x:f>
      </x:c>
      <x:c r="U399" s="105" t="str">
        <x:f t="shared" si="148"/>
      </x:c>
      <x:c r="V399" s="104" t="str">
        <x:f t="array" ref="V399">IF(C399&lt;&gt;"",_xlfn.IFS(V$10="AT",RECORD!HC401,V$10="LECTURE",BF399,TRUE(),""),"")</x:f>
      </x:c>
      <x:c r="W399" s="106" t="str">
        <x:f t="shared" si="149"/>
      </x:c>
      <x:c r="X399" s="107" t="str">
        <x:f t="array" ref="X399">IF(C399&lt;&gt;"",_xlfn.IFS(X$10="EXAM",RECORD!HD401,X$10="OUTPUT",RECORD!HE401,X$10="LAB",CF399,TRUE(),""),"")</x:f>
      </x:c>
      <x:c r="Y399" s="106" t="str">
        <x:f t="shared" si="150"/>
      </x:c>
      <x:c r="Z399" s="108" t="str">
        <x:f t="shared" si="151"/>
      </x:c>
      <x:c r="AA399" s="109" t="str">
        <x:f t="shared" si="152"/>
      </x:c>
      <x:c r="AB399" s="111" t="str">
        <x:f t="shared" si="153"/>
      </x:c>
      <x:c r="AC399" s="109" t="str">
        <x:f t="shared" si="154"/>
      </x:c>
      <x:c r="AQ399" s="109" t="str">
        <x:f t="shared" si="155"/>
        <x:v>FAILED</x:v>
      </x:c>
      <x:c r="AR399" s="115"/>
      <x:c r="AS399" s="115"/>
      <x:c r="AT399" s="107"/>
      <x:c r="AU399" s="107"/>
      <x:c r="AV399" s="107"/>
      <x:c r="AW399" s="107"/>
      <x:c r="AX399" s="107"/>
      <x:c r="AY399" s="109" t="str">
        <x:f t="shared" si="156"/>
        <x:v>FAILED</x:v>
      </x:c>
      <x:c r="AZ399" s="115"/>
      <x:c r="BA399" s="115"/>
      <x:c r="BB399" s="107"/>
      <x:c r="BC399" s="107"/>
      <x:c r="BD399" s="107"/>
      <x:c r="BE399" s="107"/>
      <x:c r="BF399" s="107"/>
      <x:c r="BG399" s="109" t="str">
        <x:f t="shared" si="157"/>
        <x:v>FAILED</x:v>
      </x:c>
      <x:c r="BQ399" s="109" t="str">
        <x:f t="shared" si="158"/>
        <x:v>FAILED</x:v>
      </x:c>
      <x:c r="BR399" s="115"/>
      <x:c r="BS399" s="115"/>
      <x:c r="BT399" s="107"/>
      <x:c r="BU399" s="107"/>
      <x:c r="BV399" s="107"/>
      <x:c r="BW399" s="107"/>
      <x:c r="BX399" s="107"/>
      <x:c r="BY399" s="109" t="str">
        <x:f t="shared" si="159"/>
        <x:v>FAILED</x:v>
      </x:c>
      <x:c r="BZ399" s="115"/>
      <x:c r="CA399" s="115"/>
      <x:c r="CB399" s="107"/>
      <x:c r="CC399" s="107"/>
      <x:c r="CD399" s="107"/>
      <x:c r="CE399" s="107"/>
      <x:c r="CF399" s="107"/>
      <x:c r="CG399" s="109" t="str">
        <x:f t="shared" si="160"/>
        <x:v>FAILED</x:v>
      </x:c>
    </x:row>
    <x:row r="400">
      <x:c r="A400" s="102" t="str">
        <x:f>IF(RECORD!A402="","",RECORD!A402)</x:f>
      </x:c>
      <x:c r="B400" s="102" t="str">
        <x:f>IF(RECORD!B402="","",RECORD!B402)</x:f>
      </x:c>
      <x:c r="C400" s="103" t="str">
        <x:f>IF(RECORD!C402="","",RECORD!C402)</x:f>
      </x:c>
      <x:c r="D400" s="104" t="str">
        <x:f t="array" ref="D400">IF(C400&lt;&gt;"",IF(F$7="SUMMER","N/A",_xlfn.IFS(D$10="TLA",RECORD!GO402,F$10="LECTURE","",TRUE(),"")),"")</x:f>
      </x:c>
      <x:c r="E400" s="105" t="str">
        <x:f t="shared" si="138"/>
      </x:c>
      <x:c r="F400" s="104" t="str">
        <x:f t="array" ref="F400">IF(C400&lt;&gt;"",IF(F$7="SUMMER","N/A",_xlfn.IFS(F$10="AT",RECORD!GI402,F$10="LECTURE",GRADES!AP400,TRUE(),"")),"")</x:f>
      </x:c>
      <x:c r="G400" s="106" t="str">
        <x:f t="shared" si="139"/>
      </x:c>
      <x:c r="H400" s="107" t="str">
        <x:f t="array" ref="H400">IF(C400&lt;&gt;"",IF(F$7="SUMMER","N/A",_xlfn.IFS(H$10="EXAM",RECORD!GJ402,H$10="OUTPUT",RECORD!GK402,H$10="LAB",BP400,TRUE(),"")),"")</x:f>
      </x:c>
      <x:c r="I400" s="106" t="str">
        <x:f t="shared" si="140"/>
      </x:c>
      <x:c r="J400" s="108" t="str">
        <x:f t="shared" si="141"/>
      </x:c>
      <x:c r="K400" s="109" t="str">
        <x:f t="shared" si="142"/>
      </x:c>
      <x:c r="L400" s="110" t="str">
        <x:f t="array" ref="L400">IF(C400&lt;&gt;"",_xlfn.IFS(L$10="TLA",RECORD!GY402,N$10="LECTURE","",TRUE(),""),"")</x:f>
      </x:c>
      <x:c r="M400" s="105" t="str">
        <x:f t="shared" si="143"/>
      </x:c>
      <x:c r="N400" s="104" t="str">
        <x:f t="array" ref="N400">IF(C400&lt;&gt;"",_xlfn.IFS(N$10="AT",RECORD!GS402,N$10="LECTURE",AX400,TRUE(),""),"")</x:f>
      </x:c>
      <x:c r="O400" s="106" t="str">
        <x:f t="shared" si="144"/>
      </x:c>
      <x:c r="P400" s="107" t="str">
        <x:f t="array" ref="P400">IF(C400&lt;&gt;"",_xlfn.IFS(P$10="EXAM",RECORD!GT402,P$10="OUTPUT",RECORD!GU402,P$10="LAB",BX400,TRUE(),""),"")</x:f>
      </x:c>
      <x:c r="Q400" s="106" t="str">
        <x:f t="shared" si="145"/>
      </x:c>
      <x:c r="R400" s="108" t="str">
        <x:f t="shared" si="146"/>
      </x:c>
      <x:c r="S400" s="109" t="str">
        <x:f t="shared" si="147"/>
      </x:c>
      <x:c r="T400" s="110" t="str">
        <x:f t="array" ref="T400">IF(C400&lt;&gt;"",_xlfn.IFS(T$10="TLA",RECORD!HI402,V$10="LECTURE","",TRUE(),""),"")</x:f>
      </x:c>
      <x:c r="U400" s="105" t="str">
        <x:f t="shared" si="148"/>
      </x:c>
      <x:c r="V400" s="104" t="str">
        <x:f t="array" ref="V400">IF(C400&lt;&gt;"",_xlfn.IFS(V$10="AT",RECORD!HC402,V$10="LECTURE",BF400,TRUE(),""),"")</x:f>
      </x:c>
      <x:c r="W400" s="106" t="str">
        <x:f t="shared" si="149"/>
      </x:c>
      <x:c r="X400" s="107" t="str">
        <x:f t="array" ref="X400">IF(C400&lt;&gt;"",_xlfn.IFS(X$10="EXAM",RECORD!HD402,X$10="OUTPUT",RECORD!HE402,X$10="LAB",CF400,TRUE(),""),"")</x:f>
      </x:c>
      <x:c r="Y400" s="106" t="str">
        <x:f t="shared" si="150"/>
      </x:c>
      <x:c r="Z400" s="108" t="str">
        <x:f t="shared" si="151"/>
      </x:c>
      <x:c r="AA400" s="109" t="str">
        <x:f t="shared" si="152"/>
      </x:c>
      <x:c r="AB400" s="111" t="str">
        <x:f t="shared" si="153"/>
      </x:c>
      <x:c r="AC400" s="109" t="str">
        <x:f t="shared" si="154"/>
      </x:c>
      <x:c r="AQ400" s="109" t="str">
        <x:f t="shared" si="155"/>
        <x:v>FAILED</x:v>
      </x:c>
      <x:c r="AR400" s="115"/>
      <x:c r="AS400" s="115"/>
      <x:c r="AT400" s="107"/>
      <x:c r="AU400" s="107"/>
      <x:c r="AV400" s="107"/>
      <x:c r="AW400" s="107"/>
      <x:c r="AX400" s="107"/>
      <x:c r="AY400" s="109" t="str">
        <x:f t="shared" si="156"/>
        <x:v>FAILED</x:v>
      </x:c>
      <x:c r="AZ400" s="115"/>
      <x:c r="BA400" s="115"/>
      <x:c r="BB400" s="107"/>
      <x:c r="BC400" s="107"/>
      <x:c r="BD400" s="107"/>
      <x:c r="BE400" s="107"/>
      <x:c r="BF400" s="107"/>
      <x:c r="BG400" s="109" t="str">
        <x:f t="shared" si="157"/>
        <x:v>FAILED</x:v>
      </x:c>
      <x:c r="BQ400" s="109" t="str">
        <x:f t="shared" si="158"/>
        <x:v>FAILED</x:v>
      </x:c>
      <x:c r="BR400" s="115"/>
      <x:c r="BS400" s="115"/>
      <x:c r="BT400" s="107"/>
      <x:c r="BU400" s="107"/>
      <x:c r="BV400" s="107"/>
      <x:c r="BW400" s="107"/>
      <x:c r="BX400" s="107"/>
      <x:c r="BY400" s="109" t="str">
        <x:f t="shared" si="159"/>
        <x:v>FAILED</x:v>
      </x:c>
      <x:c r="BZ400" s="115"/>
      <x:c r="CA400" s="115"/>
      <x:c r="CB400" s="107"/>
      <x:c r="CC400" s="107"/>
      <x:c r="CD400" s="107"/>
      <x:c r="CE400" s="107"/>
      <x:c r="CF400" s="107"/>
      <x:c r="CG400" s="109" t="str">
        <x:f t="shared" si="160"/>
        <x:v>FAILED</x:v>
      </x:c>
    </x:row>
    <x:row r="401">
      <x:c r="A401" s="102" t="str">
        <x:f>IF(RECORD!A403="","",RECORD!A403)</x:f>
      </x:c>
      <x:c r="B401" s="102" t="str">
        <x:f>IF(RECORD!B403="","",RECORD!B403)</x:f>
      </x:c>
      <x:c r="C401" s="103" t="str">
        <x:f>IF(RECORD!C403="","",RECORD!C403)</x:f>
      </x:c>
      <x:c r="D401" s="104" t="str">
        <x:f t="array" ref="D401">IF(C401&lt;&gt;"",IF(F$7="SUMMER","N/A",_xlfn.IFS(D$10="TLA",RECORD!GO403,F$10="LECTURE","",TRUE(),"")),"")</x:f>
      </x:c>
      <x:c r="E401" s="105" t="str">
        <x:f t="shared" si="138"/>
      </x:c>
      <x:c r="F401" s="104" t="str">
        <x:f t="array" ref="F401">IF(C401&lt;&gt;"",IF(F$7="SUMMER","N/A",_xlfn.IFS(F$10="AT",RECORD!GI403,F$10="LECTURE",GRADES!AP401,TRUE(),"")),"")</x:f>
      </x:c>
      <x:c r="G401" s="106" t="str">
        <x:f t="shared" si="139"/>
      </x:c>
      <x:c r="H401" s="107" t="str">
        <x:f t="array" ref="H401">IF(C401&lt;&gt;"",IF(F$7="SUMMER","N/A",_xlfn.IFS(H$10="EXAM",RECORD!GJ403,H$10="OUTPUT",RECORD!GK403,H$10="LAB",BP401,TRUE(),"")),"")</x:f>
      </x:c>
      <x:c r="I401" s="106" t="str">
        <x:f t="shared" si="140"/>
      </x:c>
      <x:c r="J401" s="108" t="str">
        <x:f t="shared" si="141"/>
      </x:c>
      <x:c r="K401" s="109" t="str">
        <x:f t="shared" si="142"/>
      </x:c>
      <x:c r="L401" s="110" t="str">
        <x:f t="array" ref="L401">IF(C401&lt;&gt;"",_xlfn.IFS(L$10="TLA",RECORD!GY403,N$10="LECTURE","",TRUE(),""),"")</x:f>
      </x:c>
      <x:c r="M401" s="105" t="str">
        <x:f t="shared" si="143"/>
      </x:c>
      <x:c r="N401" s="104" t="str">
        <x:f t="array" ref="N401">IF(C401&lt;&gt;"",_xlfn.IFS(N$10="AT",RECORD!GS403,N$10="LECTURE",AX401,TRUE(),""),"")</x:f>
      </x:c>
      <x:c r="O401" s="106" t="str">
        <x:f t="shared" si="144"/>
      </x:c>
      <x:c r="P401" s="107" t="str">
        <x:f t="array" ref="P401">IF(C401&lt;&gt;"",_xlfn.IFS(P$10="EXAM",RECORD!GT403,P$10="OUTPUT",RECORD!GU403,P$10="LAB",BX401,TRUE(),""),"")</x:f>
      </x:c>
      <x:c r="Q401" s="106" t="str">
        <x:f t="shared" si="145"/>
      </x:c>
      <x:c r="R401" s="108" t="str">
        <x:f t="shared" si="146"/>
      </x:c>
      <x:c r="S401" s="109" t="str">
        <x:f t="shared" si="147"/>
      </x:c>
      <x:c r="T401" s="110" t="str">
        <x:f t="array" ref="T401">IF(C401&lt;&gt;"",_xlfn.IFS(T$10="TLA",RECORD!HI403,V$10="LECTURE","",TRUE(),""),"")</x:f>
      </x:c>
      <x:c r="U401" s="105" t="str">
        <x:f t="shared" si="148"/>
      </x:c>
      <x:c r="V401" s="104" t="str">
        <x:f t="array" ref="V401">IF(C401&lt;&gt;"",_xlfn.IFS(V$10="AT",RECORD!HC403,V$10="LECTURE",BF401,TRUE(),""),"")</x:f>
      </x:c>
      <x:c r="W401" s="106" t="str">
        <x:f t="shared" si="149"/>
      </x:c>
      <x:c r="X401" s="107" t="str">
        <x:f t="array" ref="X401">IF(C401&lt;&gt;"",_xlfn.IFS(X$10="EXAM",RECORD!HD403,X$10="OUTPUT",RECORD!HE403,X$10="LAB",CF401,TRUE(),""),"")</x:f>
      </x:c>
      <x:c r="Y401" s="106" t="str">
        <x:f t="shared" si="150"/>
      </x:c>
      <x:c r="Z401" s="108" t="str">
        <x:f t="shared" si="151"/>
      </x:c>
      <x:c r="AA401" s="109" t="str">
        <x:f t="shared" si="152"/>
      </x:c>
      <x:c r="AB401" s="111" t="str">
        <x:f t="shared" si="153"/>
      </x:c>
      <x:c r="AC401" s="109" t="str">
        <x:f t="shared" si="154"/>
      </x:c>
      <x:c r="AQ401" s="109" t="str">
        <x:f t="shared" si="155"/>
        <x:v>FAILED</x:v>
      </x:c>
      <x:c r="AR401" s="115"/>
      <x:c r="AS401" s="115"/>
      <x:c r="AT401" s="107"/>
      <x:c r="AU401" s="107"/>
      <x:c r="AV401" s="107"/>
      <x:c r="AW401" s="107"/>
      <x:c r="AX401" s="107"/>
      <x:c r="AY401" s="109" t="str">
        <x:f t="shared" si="156"/>
        <x:v>FAILED</x:v>
      </x:c>
      <x:c r="AZ401" s="115"/>
      <x:c r="BA401" s="115"/>
      <x:c r="BB401" s="107"/>
      <x:c r="BC401" s="107"/>
      <x:c r="BD401" s="107"/>
      <x:c r="BE401" s="107"/>
      <x:c r="BF401" s="107"/>
      <x:c r="BG401" s="109" t="str">
        <x:f t="shared" si="157"/>
        <x:v>FAILED</x:v>
      </x:c>
      <x:c r="BQ401" s="109" t="str">
        <x:f t="shared" si="158"/>
        <x:v>FAILED</x:v>
      </x:c>
      <x:c r="BR401" s="115"/>
      <x:c r="BS401" s="115"/>
      <x:c r="BT401" s="107"/>
      <x:c r="BU401" s="107"/>
      <x:c r="BV401" s="107"/>
      <x:c r="BW401" s="107"/>
      <x:c r="BX401" s="107"/>
      <x:c r="BY401" s="109" t="str">
        <x:f t="shared" si="159"/>
        <x:v>FAILED</x:v>
      </x:c>
      <x:c r="BZ401" s="115"/>
      <x:c r="CA401" s="115"/>
      <x:c r="CB401" s="107"/>
      <x:c r="CC401" s="107"/>
      <x:c r="CD401" s="107"/>
      <x:c r="CE401" s="107"/>
      <x:c r="CF401" s="107"/>
      <x:c r="CG401" s="109" t="str">
        <x:f t="shared" si="160"/>
        <x:v>FAILED</x:v>
      </x:c>
    </x:row>
    <x:row r="402">
      <x:c r="A402" s="102" t="str">
        <x:f>IF(RECORD!A404="","",RECORD!A404)</x:f>
      </x:c>
      <x:c r="B402" s="102" t="str">
        <x:f>IF(RECORD!B404="","",RECORD!B404)</x:f>
      </x:c>
      <x:c r="C402" s="103" t="str">
        <x:f>IF(RECORD!C404="","",RECORD!C404)</x:f>
      </x:c>
      <x:c r="D402" s="104" t="str">
        <x:f t="array" ref="D402">IF(C402&lt;&gt;"",IF(F$7="SUMMER","N/A",_xlfn.IFS(D$10="TLA",RECORD!GO404,F$10="LECTURE","",TRUE(),"")),"")</x:f>
      </x:c>
      <x:c r="E402" s="105" t="str">
        <x:f t="shared" si="138"/>
      </x:c>
      <x:c r="F402" s="104" t="str">
        <x:f t="array" ref="F402">IF(C402&lt;&gt;"",IF(F$7="SUMMER","N/A",_xlfn.IFS(F$10="AT",RECORD!GI404,F$10="LECTURE",GRADES!AP402,TRUE(),"")),"")</x:f>
      </x:c>
      <x:c r="G402" s="106" t="str">
        <x:f t="shared" si="139"/>
      </x:c>
      <x:c r="H402" s="107" t="str">
        <x:f t="array" ref="H402">IF(C402&lt;&gt;"",IF(F$7="SUMMER","N/A",_xlfn.IFS(H$10="EXAM",RECORD!GJ404,H$10="OUTPUT",RECORD!GK404,H$10="LAB",BP402,TRUE(),"")),"")</x:f>
      </x:c>
      <x:c r="I402" s="106" t="str">
        <x:f t="shared" si="140"/>
      </x:c>
      <x:c r="J402" s="108" t="str">
        <x:f t="shared" si="141"/>
      </x:c>
      <x:c r="K402" s="109" t="str">
        <x:f t="shared" si="142"/>
      </x:c>
      <x:c r="L402" s="110" t="str">
        <x:f t="array" ref="L402">IF(C402&lt;&gt;"",_xlfn.IFS(L$10="TLA",RECORD!GY404,N$10="LECTURE","",TRUE(),""),"")</x:f>
      </x:c>
      <x:c r="M402" s="105" t="str">
        <x:f t="shared" si="143"/>
      </x:c>
      <x:c r="N402" s="104" t="str">
        <x:f t="array" ref="N402">IF(C402&lt;&gt;"",_xlfn.IFS(N$10="AT",RECORD!GS404,N$10="LECTURE",AX402,TRUE(),""),"")</x:f>
      </x:c>
      <x:c r="O402" s="106" t="str">
        <x:f t="shared" si="144"/>
      </x:c>
      <x:c r="P402" s="107" t="str">
        <x:f t="array" ref="P402">IF(C402&lt;&gt;"",_xlfn.IFS(P$10="EXAM",RECORD!GT404,P$10="OUTPUT",RECORD!GU404,P$10="LAB",BX402,TRUE(),""),"")</x:f>
      </x:c>
      <x:c r="Q402" s="106" t="str">
        <x:f t="shared" si="145"/>
      </x:c>
      <x:c r="R402" s="108" t="str">
        <x:f t="shared" si="146"/>
      </x:c>
      <x:c r="S402" s="109" t="str">
        <x:f t="shared" si="147"/>
      </x:c>
      <x:c r="T402" s="110" t="str">
        <x:f t="array" ref="T402">IF(C402&lt;&gt;"",_xlfn.IFS(T$10="TLA",RECORD!HI404,V$10="LECTURE","",TRUE(),""),"")</x:f>
      </x:c>
      <x:c r="U402" s="105" t="str">
        <x:f t="shared" si="148"/>
      </x:c>
      <x:c r="V402" s="104" t="str">
        <x:f t="array" ref="V402">IF(C402&lt;&gt;"",_xlfn.IFS(V$10="AT",RECORD!HC404,V$10="LECTURE",BF402,TRUE(),""),"")</x:f>
      </x:c>
      <x:c r="W402" s="106" t="str">
        <x:f t="shared" si="149"/>
      </x:c>
      <x:c r="X402" s="107" t="str">
        <x:f t="array" ref="X402">IF(C402&lt;&gt;"",_xlfn.IFS(X$10="EXAM",RECORD!HD404,X$10="OUTPUT",RECORD!HE404,X$10="LAB",CF402,TRUE(),""),"")</x:f>
      </x:c>
      <x:c r="Y402" s="106" t="str">
        <x:f t="shared" si="150"/>
      </x:c>
      <x:c r="Z402" s="108" t="str">
        <x:f t="shared" si="151"/>
      </x:c>
      <x:c r="AA402" s="109" t="str">
        <x:f t="shared" si="152"/>
      </x:c>
      <x:c r="AB402" s="111" t="str">
        <x:f t="shared" si="153"/>
      </x:c>
      <x:c r="AC402" s="109" t="str">
        <x:f t="shared" si="154"/>
      </x:c>
      <x:c r="AQ402" s="109" t="str">
        <x:f t="shared" si="155"/>
        <x:v>FAILED</x:v>
      </x:c>
      <x:c r="AR402" s="115"/>
      <x:c r="AS402" s="115"/>
      <x:c r="AT402" s="107"/>
      <x:c r="AU402" s="107"/>
      <x:c r="AV402" s="107"/>
      <x:c r="AW402" s="107"/>
      <x:c r="AX402" s="107"/>
      <x:c r="AY402" s="109" t="str">
        <x:f t="shared" si="156"/>
        <x:v>FAILED</x:v>
      </x:c>
      <x:c r="AZ402" s="115"/>
      <x:c r="BA402" s="115"/>
      <x:c r="BB402" s="107"/>
      <x:c r="BC402" s="107"/>
      <x:c r="BD402" s="107"/>
      <x:c r="BE402" s="107"/>
      <x:c r="BF402" s="107"/>
      <x:c r="BG402" s="109" t="str">
        <x:f t="shared" si="157"/>
        <x:v>FAILED</x:v>
      </x:c>
      <x:c r="BQ402" s="109" t="str">
        <x:f t="shared" si="158"/>
        <x:v>FAILED</x:v>
      </x:c>
      <x:c r="BR402" s="115"/>
      <x:c r="BS402" s="115"/>
      <x:c r="BT402" s="107"/>
      <x:c r="BU402" s="107"/>
      <x:c r="BV402" s="107"/>
      <x:c r="BW402" s="107"/>
      <x:c r="BX402" s="107"/>
      <x:c r="BY402" s="109" t="str">
        <x:f t="shared" si="159"/>
        <x:v>FAILED</x:v>
      </x:c>
      <x:c r="BZ402" s="115"/>
      <x:c r="CA402" s="115"/>
      <x:c r="CB402" s="107"/>
      <x:c r="CC402" s="107"/>
      <x:c r="CD402" s="107"/>
      <x:c r="CE402" s="107"/>
      <x:c r="CF402" s="107"/>
      <x:c r="CG402" s="109" t="str">
        <x:f t="shared" si="160"/>
        <x:v>FAILED</x:v>
      </x:c>
    </x:row>
    <x:row r="403">
      <x:c r="A403" s="102" t="str">
        <x:f>IF(RECORD!A405="","",RECORD!A405)</x:f>
      </x:c>
      <x:c r="B403" s="102" t="str">
        <x:f>IF(RECORD!B405="","",RECORD!B405)</x:f>
      </x:c>
      <x:c r="C403" s="103" t="str">
        <x:f>IF(RECORD!C405="","",RECORD!C405)</x:f>
      </x:c>
      <x:c r="D403" s="104" t="str">
        <x:f t="array" ref="D403">IF(C403&lt;&gt;"",IF(F$7="SUMMER","N/A",_xlfn.IFS(D$10="TLA",RECORD!GO405,F$10="LECTURE","",TRUE(),"")),"")</x:f>
      </x:c>
      <x:c r="E403" s="105" t="str">
        <x:f t="shared" si="138"/>
      </x:c>
      <x:c r="F403" s="104" t="str">
        <x:f t="array" ref="F403">IF(C403&lt;&gt;"",IF(F$7="SUMMER","N/A",_xlfn.IFS(F$10="AT",RECORD!GI405,F$10="LECTURE",GRADES!AP403,TRUE(),"")),"")</x:f>
      </x:c>
      <x:c r="G403" s="106" t="str">
        <x:f t="shared" si="139"/>
      </x:c>
      <x:c r="H403" s="107" t="str">
        <x:f t="array" ref="H403">IF(C403&lt;&gt;"",IF(F$7="SUMMER","N/A",_xlfn.IFS(H$10="EXAM",RECORD!GJ405,H$10="OUTPUT",RECORD!GK405,H$10="LAB",BP403,TRUE(),"")),"")</x:f>
      </x:c>
      <x:c r="I403" s="106" t="str">
        <x:f t="shared" si="140"/>
      </x:c>
      <x:c r="J403" s="108" t="str">
        <x:f t="shared" si="141"/>
      </x:c>
      <x:c r="K403" s="109" t="str">
        <x:f t="shared" si="142"/>
      </x:c>
      <x:c r="L403" s="110" t="str">
        <x:f t="array" ref="L403">IF(C403&lt;&gt;"",_xlfn.IFS(L$10="TLA",RECORD!GY405,N$10="LECTURE","",TRUE(),""),"")</x:f>
      </x:c>
      <x:c r="M403" s="105" t="str">
        <x:f t="shared" si="143"/>
      </x:c>
      <x:c r="N403" s="104" t="str">
        <x:f t="array" ref="N403">IF(C403&lt;&gt;"",_xlfn.IFS(N$10="AT",RECORD!GS405,N$10="LECTURE",AX403,TRUE(),""),"")</x:f>
      </x:c>
      <x:c r="O403" s="106" t="str">
        <x:f t="shared" si="144"/>
      </x:c>
      <x:c r="P403" s="107" t="str">
        <x:f t="array" ref="P403">IF(C403&lt;&gt;"",_xlfn.IFS(P$10="EXAM",RECORD!GT405,P$10="OUTPUT",RECORD!GU405,P$10="LAB",BX403,TRUE(),""),"")</x:f>
      </x:c>
      <x:c r="Q403" s="106" t="str">
        <x:f t="shared" si="145"/>
      </x:c>
      <x:c r="R403" s="108" t="str">
        <x:f t="shared" si="146"/>
      </x:c>
      <x:c r="S403" s="109" t="str">
        <x:f t="shared" si="147"/>
      </x:c>
      <x:c r="T403" s="110" t="str">
        <x:f t="array" ref="T403">IF(C403&lt;&gt;"",_xlfn.IFS(T$10="TLA",RECORD!HI405,V$10="LECTURE","",TRUE(),""),"")</x:f>
      </x:c>
      <x:c r="U403" s="105" t="str">
        <x:f t="shared" si="148"/>
      </x:c>
      <x:c r="V403" s="104" t="str">
        <x:f t="array" ref="V403">IF(C403&lt;&gt;"",_xlfn.IFS(V$10="AT",RECORD!HC405,V$10="LECTURE",BF403,TRUE(),""),"")</x:f>
      </x:c>
      <x:c r="W403" s="106" t="str">
        <x:f t="shared" si="149"/>
      </x:c>
      <x:c r="X403" s="107" t="str">
        <x:f t="array" ref="X403">IF(C403&lt;&gt;"",_xlfn.IFS(X$10="EXAM",RECORD!HD405,X$10="OUTPUT",RECORD!HE405,X$10="LAB",CF403,TRUE(),""),"")</x:f>
      </x:c>
      <x:c r="Y403" s="106" t="str">
        <x:f t="shared" si="150"/>
      </x:c>
      <x:c r="Z403" s="108" t="str">
        <x:f t="shared" si="151"/>
      </x:c>
      <x:c r="AA403" s="109" t="str">
        <x:f t="shared" si="152"/>
      </x:c>
      <x:c r="AB403" s="111" t="str">
        <x:f t="shared" si="153"/>
      </x:c>
      <x:c r="AC403" s="109" t="str">
        <x:f t="shared" si="154"/>
      </x:c>
      <x:c r="AQ403" s="109" t="str">
        <x:f t="shared" si="155"/>
        <x:v>FAILED</x:v>
      </x:c>
      <x:c r="AR403" s="115"/>
      <x:c r="AS403" s="115"/>
      <x:c r="AT403" s="107"/>
      <x:c r="AU403" s="107"/>
      <x:c r="AV403" s="107"/>
      <x:c r="AW403" s="107"/>
      <x:c r="AX403" s="107"/>
      <x:c r="AY403" s="109" t="str">
        <x:f t="shared" si="156"/>
        <x:v>FAILED</x:v>
      </x:c>
      <x:c r="AZ403" s="115"/>
      <x:c r="BA403" s="115"/>
      <x:c r="BB403" s="107"/>
      <x:c r="BC403" s="107"/>
      <x:c r="BD403" s="107"/>
      <x:c r="BE403" s="107"/>
      <x:c r="BF403" s="107"/>
      <x:c r="BG403" s="109" t="str">
        <x:f t="shared" si="157"/>
        <x:v>FAILED</x:v>
      </x:c>
      <x:c r="BQ403" s="109" t="str">
        <x:f t="shared" si="158"/>
        <x:v>FAILED</x:v>
      </x:c>
      <x:c r="BR403" s="115"/>
      <x:c r="BS403" s="115"/>
      <x:c r="BT403" s="107"/>
      <x:c r="BU403" s="107"/>
      <x:c r="BV403" s="107"/>
      <x:c r="BW403" s="107"/>
      <x:c r="BX403" s="107"/>
      <x:c r="BY403" s="109" t="str">
        <x:f t="shared" si="159"/>
        <x:v>FAILED</x:v>
      </x:c>
      <x:c r="BZ403" s="115"/>
      <x:c r="CA403" s="115"/>
      <x:c r="CB403" s="107"/>
      <x:c r="CC403" s="107"/>
      <x:c r="CD403" s="107"/>
      <x:c r="CE403" s="107"/>
      <x:c r="CF403" s="107"/>
      <x:c r="CG403" s="109" t="str">
        <x:f t="shared" si="160"/>
        <x:v>FAILED</x:v>
      </x:c>
    </x:row>
    <x:row r="404">
      <x:c r="A404" s="102" t="str">
        <x:f>IF(RECORD!A406="","",RECORD!A406)</x:f>
      </x:c>
      <x:c r="B404" s="102" t="str">
        <x:f>IF(RECORD!B406="","",RECORD!B406)</x:f>
      </x:c>
      <x:c r="C404" s="103" t="str">
        <x:f>IF(RECORD!C406="","",RECORD!C406)</x:f>
      </x:c>
      <x:c r="D404" s="104" t="str">
        <x:f t="array" ref="D404">IF(C404&lt;&gt;"",IF(F$7="SUMMER","N/A",_xlfn.IFS(D$10="TLA",RECORD!GO406,F$10="LECTURE","",TRUE(),"")),"")</x:f>
      </x:c>
      <x:c r="E404" s="105" t="str">
        <x:f t="shared" si="138"/>
      </x:c>
      <x:c r="F404" s="104" t="str">
        <x:f t="array" ref="F404">IF(C404&lt;&gt;"",IF(F$7="SUMMER","N/A",_xlfn.IFS(F$10="AT",RECORD!GI406,F$10="LECTURE",GRADES!AP404,TRUE(),"")),"")</x:f>
      </x:c>
      <x:c r="G404" s="106" t="str">
        <x:f t="shared" si="139"/>
      </x:c>
      <x:c r="H404" s="107" t="str">
        <x:f t="array" ref="H404">IF(C404&lt;&gt;"",IF(F$7="SUMMER","N/A",_xlfn.IFS(H$10="EXAM",RECORD!GJ406,H$10="OUTPUT",RECORD!GK406,H$10="LAB",BP404,TRUE(),"")),"")</x:f>
      </x:c>
      <x:c r="I404" s="106" t="str">
        <x:f t="shared" si="140"/>
      </x:c>
      <x:c r="J404" s="108" t="str">
        <x:f t="shared" si="141"/>
      </x:c>
      <x:c r="K404" s="109" t="str">
        <x:f t="shared" si="142"/>
      </x:c>
      <x:c r="L404" s="110" t="str">
        <x:f t="array" ref="L404">IF(C404&lt;&gt;"",_xlfn.IFS(L$10="TLA",RECORD!GY406,N$10="LECTURE","",TRUE(),""),"")</x:f>
      </x:c>
      <x:c r="M404" s="105" t="str">
        <x:f t="shared" si="143"/>
      </x:c>
      <x:c r="N404" s="104" t="str">
        <x:f t="array" ref="N404">IF(C404&lt;&gt;"",_xlfn.IFS(N$10="AT",RECORD!GS406,N$10="LECTURE",AX404,TRUE(),""),"")</x:f>
      </x:c>
      <x:c r="O404" s="106" t="str">
        <x:f t="shared" si="144"/>
      </x:c>
      <x:c r="P404" s="107" t="str">
        <x:f t="array" ref="P404">IF(C404&lt;&gt;"",_xlfn.IFS(P$10="EXAM",RECORD!GT406,P$10="OUTPUT",RECORD!GU406,P$10="LAB",BX404,TRUE(),""),"")</x:f>
      </x:c>
      <x:c r="Q404" s="106" t="str">
        <x:f t="shared" si="145"/>
      </x:c>
      <x:c r="R404" s="108" t="str">
        <x:f t="shared" si="146"/>
      </x:c>
      <x:c r="S404" s="109" t="str">
        <x:f t="shared" si="147"/>
      </x:c>
      <x:c r="T404" s="110" t="str">
        <x:f t="array" ref="T404">IF(C404&lt;&gt;"",_xlfn.IFS(T$10="TLA",RECORD!HI406,V$10="LECTURE","",TRUE(),""),"")</x:f>
      </x:c>
      <x:c r="U404" s="105" t="str">
        <x:f t="shared" si="148"/>
      </x:c>
      <x:c r="V404" s="104" t="str">
        <x:f t="array" ref="V404">IF(C404&lt;&gt;"",_xlfn.IFS(V$10="AT",RECORD!HC406,V$10="LECTURE",BF404,TRUE(),""),"")</x:f>
      </x:c>
      <x:c r="W404" s="106" t="str">
        <x:f t="shared" si="149"/>
      </x:c>
      <x:c r="X404" s="107" t="str">
        <x:f t="array" ref="X404">IF(C404&lt;&gt;"",_xlfn.IFS(X$10="EXAM",RECORD!HD406,X$10="OUTPUT",RECORD!HE406,X$10="LAB",CF404,TRUE(),""),"")</x:f>
      </x:c>
      <x:c r="Y404" s="106" t="str">
        <x:f t="shared" si="150"/>
      </x:c>
      <x:c r="Z404" s="108" t="str">
        <x:f t="shared" si="151"/>
      </x:c>
      <x:c r="AA404" s="109" t="str">
        <x:f t="shared" si="152"/>
      </x:c>
      <x:c r="AB404" s="111" t="str">
        <x:f t="shared" si="153"/>
      </x:c>
      <x:c r="AC404" s="109" t="str">
        <x:f t="shared" si="154"/>
      </x:c>
      <x:c r="AQ404" s="109" t="str">
        <x:f t="shared" si="155"/>
        <x:v>FAILED</x:v>
      </x:c>
      <x:c r="AR404" s="115"/>
      <x:c r="AS404" s="115"/>
      <x:c r="AT404" s="107"/>
      <x:c r="AU404" s="107"/>
      <x:c r="AV404" s="107"/>
      <x:c r="AW404" s="107"/>
      <x:c r="AX404" s="107"/>
      <x:c r="AY404" s="109" t="str">
        <x:f t="shared" si="156"/>
        <x:v>FAILED</x:v>
      </x:c>
      <x:c r="AZ404" s="115"/>
      <x:c r="BA404" s="115"/>
      <x:c r="BB404" s="107"/>
      <x:c r="BC404" s="107"/>
      <x:c r="BD404" s="107"/>
      <x:c r="BE404" s="107"/>
      <x:c r="BF404" s="107"/>
      <x:c r="BG404" s="109" t="str">
        <x:f t="shared" si="157"/>
        <x:v>FAILED</x:v>
      </x:c>
      <x:c r="BQ404" s="109" t="str">
        <x:f t="shared" si="158"/>
        <x:v>FAILED</x:v>
      </x:c>
      <x:c r="BR404" s="115"/>
      <x:c r="BS404" s="115"/>
      <x:c r="BT404" s="107"/>
      <x:c r="BU404" s="107"/>
      <x:c r="BV404" s="107"/>
      <x:c r="BW404" s="107"/>
      <x:c r="BX404" s="107"/>
      <x:c r="BY404" s="109" t="str">
        <x:f t="shared" si="159"/>
        <x:v>FAILED</x:v>
      </x:c>
      <x:c r="BZ404" s="115"/>
      <x:c r="CA404" s="115"/>
      <x:c r="CB404" s="107"/>
      <x:c r="CC404" s="107"/>
      <x:c r="CD404" s="107"/>
      <x:c r="CE404" s="107"/>
      <x:c r="CF404" s="107"/>
      <x:c r="CG404" s="109" t="str">
        <x:f t="shared" si="160"/>
        <x:v>FAILED</x:v>
      </x:c>
    </x:row>
    <x:row r="405">
      <x:c r="A405" s="102" t="str">
        <x:f>IF(RECORD!A407="","",RECORD!A407)</x:f>
      </x:c>
      <x:c r="B405" s="102" t="str">
        <x:f>IF(RECORD!B407="","",RECORD!B407)</x:f>
      </x:c>
      <x:c r="C405" s="103" t="str">
        <x:f>IF(RECORD!C407="","",RECORD!C407)</x:f>
      </x:c>
      <x:c r="D405" s="104" t="str">
        <x:f t="array" ref="D405">IF(C405&lt;&gt;"",IF(F$7="SUMMER","N/A",_xlfn.IFS(D$10="TLA",RECORD!GO407,F$10="LECTURE","",TRUE(),"")),"")</x:f>
      </x:c>
      <x:c r="E405" s="105" t="str">
        <x:f t="shared" si="138"/>
      </x:c>
      <x:c r="F405" s="104" t="str">
        <x:f t="array" ref="F405">IF(C405&lt;&gt;"",IF(F$7="SUMMER","N/A",_xlfn.IFS(F$10="AT",RECORD!GI407,F$10="LECTURE",GRADES!AP405,TRUE(),"")),"")</x:f>
      </x:c>
      <x:c r="G405" s="106" t="str">
        <x:f t="shared" si="139"/>
      </x:c>
      <x:c r="H405" s="107" t="str">
        <x:f t="array" ref="H405">IF(C405&lt;&gt;"",IF(F$7="SUMMER","N/A",_xlfn.IFS(H$10="EXAM",RECORD!GJ407,H$10="OUTPUT",RECORD!GK407,H$10="LAB",BP405,TRUE(),"")),"")</x:f>
      </x:c>
      <x:c r="I405" s="106" t="str">
        <x:f t="shared" si="140"/>
      </x:c>
      <x:c r="J405" s="108" t="str">
        <x:f t="shared" si="141"/>
      </x:c>
      <x:c r="K405" s="109" t="str">
        <x:f t="shared" si="142"/>
      </x:c>
      <x:c r="L405" s="110" t="str">
        <x:f t="array" ref="L405">IF(C405&lt;&gt;"",_xlfn.IFS(L$10="TLA",RECORD!GY407,N$10="LECTURE","",TRUE(),""),"")</x:f>
      </x:c>
      <x:c r="M405" s="105" t="str">
        <x:f t="shared" si="143"/>
      </x:c>
      <x:c r="N405" s="104" t="str">
        <x:f t="array" ref="N405">IF(C405&lt;&gt;"",_xlfn.IFS(N$10="AT",RECORD!GS407,N$10="LECTURE",AX405,TRUE(),""),"")</x:f>
      </x:c>
      <x:c r="O405" s="106" t="str">
        <x:f t="shared" si="144"/>
      </x:c>
      <x:c r="P405" s="107" t="str">
        <x:f t="array" ref="P405">IF(C405&lt;&gt;"",_xlfn.IFS(P$10="EXAM",RECORD!GT407,P$10="OUTPUT",RECORD!GU407,P$10="LAB",BX405,TRUE(),""),"")</x:f>
      </x:c>
      <x:c r="Q405" s="106" t="str">
        <x:f t="shared" si="145"/>
      </x:c>
      <x:c r="R405" s="108" t="str">
        <x:f t="shared" si="146"/>
      </x:c>
      <x:c r="S405" s="109" t="str">
        <x:f t="shared" si="147"/>
      </x:c>
      <x:c r="T405" s="110" t="str">
        <x:f t="array" ref="T405">IF(C405&lt;&gt;"",_xlfn.IFS(T$10="TLA",RECORD!HI407,V$10="LECTURE","",TRUE(),""),"")</x:f>
      </x:c>
      <x:c r="U405" s="105" t="str">
        <x:f t="shared" si="148"/>
      </x:c>
      <x:c r="V405" s="104" t="str">
        <x:f t="array" ref="V405">IF(C405&lt;&gt;"",_xlfn.IFS(V$10="AT",RECORD!HC407,V$10="LECTURE",BF405,TRUE(),""),"")</x:f>
      </x:c>
      <x:c r="W405" s="106" t="str">
        <x:f t="shared" si="149"/>
      </x:c>
      <x:c r="X405" s="107" t="str">
        <x:f t="array" ref="X405">IF(C405&lt;&gt;"",_xlfn.IFS(X$10="EXAM",RECORD!HD407,X$10="OUTPUT",RECORD!HE407,X$10="LAB",CF405,TRUE(),""),"")</x:f>
      </x:c>
      <x:c r="Y405" s="106" t="str">
        <x:f t="shared" si="150"/>
      </x:c>
      <x:c r="Z405" s="108" t="str">
        <x:f t="shared" si="151"/>
      </x:c>
      <x:c r="AA405" s="109" t="str">
        <x:f t="shared" si="152"/>
      </x:c>
      <x:c r="AB405" s="111" t="str">
        <x:f t="shared" si="153"/>
      </x:c>
      <x:c r="AC405" s="109" t="str">
        <x:f t="shared" si="154"/>
      </x:c>
      <x:c r="AQ405" s="109" t="str">
        <x:f t="shared" si="155"/>
        <x:v>FAILED</x:v>
      </x:c>
      <x:c r="AR405" s="115"/>
      <x:c r="AS405" s="115"/>
      <x:c r="AT405" s="107"/>
      <x:c r="AU405" s="107"/>
      <x:c r="AV405" s="107"/>
      <x:c r="AW405" s="107"/>
      <x:c r="AX405" s="107"/>
      <x:c r="AY405" s="109" t="str">
        <x:f t="shared" si="156"/>
        <x:v>FAILED</x:v>
      </x:c>
      <x:c r="AZ405" s="115"/>
      <x:c r="BA405" s="115"/>
      <x:c r="BB405" s="107"/>
      <x:c r="BC405" s="107"/>
      <x:c r="BD405" s="107"/>
      <x:c r="BE405" s="107"/>
      <x:c r="BF405" s="107"/>
      <x:c r="BG405" s="109" t="str">
        <x:f t="shared" si="157"/>
        <x:v>FAILED</x:v>
      </x:c>
      <x:c r="BQ405" s="109" t="str">
        <x:f t="shared" si="158"/>
        <x:v>FAILED</x:v>
      </x:c>
      <x:c r="BR405" s="115"/>
      <x:c r="BS405" s="115"/>
      <x:c r="BT405" s="107"/>
      <x:c r="BU405" s="107"/>
      <x:c r="BV405" s="107"/>
      <x:c r="BW405" s="107"/>
      <x:c r="BX405" s="107"/>
      <x:c r="BY405" s="109" t="str">
        <x:f t="shared" si="159"/>
        <x:v>FAILED</x:v>
      </x:c>
      <x:c r="BZ405" s="115"/>
      <x:c r="CA405" s="115"/>
      <x:c r="CB405" s="107"/>
      <x:c r="CC405" s="107"/>
      <x:c r="CD405" s="107"/>
      <x:c r="CE405" s="107"/>
      <x:c r="CF405" s="107"/>
      <x:c r="CG405" s="109" t="str">
        <x:f t="shared" si="160"/>
        <x:v>FAILED</x:v>
      </x:c>
    </x:row>
    <x:row r="406">
      <x:c r="A406" s="102" t="str">
        <x:f>IF(RECORD!A408="","",RECORD!A408)</x:f>
      </x:c>
      <x:c r="B406" s="102" t="str">
        <x:f>IF(RECORD!B408="","",RECORD!B408)</x:f>
      </x:c>
      <x:c r="C406" s="103" t="str">
        <x:f>IF(RECORD!C408="","",RECORD!C408)</x:f>
      </x:c>
      <x:c r="D406" s="104" t="str">
        <x:f t="array" ref="D406">IF(C406&lt;&gt;"",IF(F$7="SUMMER","N/A",_xlfn.IFS(D$10="TLA",RECORD!GO408,F$10="LECTURE","",TRUE(),"")),"")</x:f>
      </x:c>
      <x:c r="E406" s="105" t="str">
        <x:f t="shared" si="138"/>
      </x:c>
      <x:c r="F406" s="104" t="str">
        <x:f t="array" ref="F406">IF(C406&lt;&gt;"",IF(F$7="SUMMER","N/A",_xlfn.IFS(F$10="AT",RECORD!GI408,F$10="LECTURE",GRADES!AP406,TRUE(),"")),"")</x:f>
      </x:c>
      <x:c r="G406" s="106" t="str">
        <x:f t="shared" si="139"/>
      </x:c>
      <x:c r="H406" s="107" t="str">
        <x:f t="array" ref="H406">IF(C406&lt;&gt;"",IF(F$7="SUMMER","N/A",_xlfn.IFS(H$10="EXAM",RECORD!GJ408,H$10="OUTPUT",RECORD!GK408,H$10="LAB",BP406,TRUE(),"")),"")</x:f>
      </x:c>
      <x:c r="I406" s="106" t="str">
        <x:f t="shared" si="140"/>
      </x:c>
      <x:c r="J406" s="108" t="str">
        <x:f t="shared" si="141"/>
      </x:c>
      <x:c r="K406" s="109" t="str">
        <x:f t="shared" si="142"/>
      </x:c>
      <x:c r="L406" s="110" t="str">
        <x:f t="array" ref="L406">IF(C406&lt;&gt;"",_xlfn.IFS(L$10="TLA",RECORD!GY408,N$10="LECTURE","",TRUE(),""),"")</x:f>
      </x:c>
      <x:c r="M406" s="105" t="str">
        <x:f t="shared" si="143"/>
      </x:c>
      <x:c r="N406" s="104" t="str">
        <x:f t="array" ref="N406">IF(C406&lt;&gt;"",_xlfn.IFS(N$10="AT",RECORD!GS408,N$10="LECTURE",AX406,TRUE(),""),"")</x:f>
      </x:c>
      <x:c r="O406" s="106" t="str">
        <x:f t="shared" si="144"/>
      </x:c>
      <x:c r="P406" s="107" t="str">
        <x:f t="array" ref="P406">IF(C406&lt;&gt;"",_xlfn.IFS(P$10="EXAM",RECORD!GT408,P$10="OUTPUT",RECORD!GU408,P$10="LAB",BX406,TRUE(),""),"")</x:f>
      </x:c>
      <x:c r="Q406" s="106" t="str">
        <x:f t="shared" si="145"/>
      </x:c>
      <x:c r="R406" s="108" t="str">
        <x:f t="shared" si="146"/>
      </x:c>
      <x:c r="S406" s="109" t="str">
        <x:f t="shared" si="147"/>
      </x:c>
      <x:c r="T406" s="110" t="str">
        <x:f t="array" ref="T406">IF(C406&lt;&gt;"",_xlfn.IFS(T$10="TLA",RECORD!HI408,V$10="LECTURE","",TRUE(),""),"")</x:f>
      </x:c>
      <x:c r="U406" s="105" t="str">
        <x:f t="shared" si="148"/>
      </x:c>
      <x:c r="V406" s="104" t="str">
        <x:f t="array" ref="V406">IF(C406&lt;&gt;"",_xlfn.IFS(V$10="AT",RECORD!HC408,V$10="LECTURE",BF406,TRUE(),""),"")</x:f>
      </x:c>
      <x:c r="W406" s="106" t="str">
        <x:f t="shared" si="149"/>
      </x:c>
      <x:c r="X406" s="107" t="str">
        <x:f t="array" ref="X406">IF(C406&lt;&gt;"",_xlfn.IFS(X$10="EXAM",RECORD!HD408,X$10="OUTPUT",RECORD!HE408,X$10="LAB",CF406,TRUE(),""),"")</x:f>
      </x:c>
      <x:c r="Y406" s="106" t="str">
        <x:f t="shared" si="150"/>
      </x:c>
      <x:c r="Z406" s="108" t="str">
        <x:f t="shared" si="151"/>
      </x:c>
      <x:c r="AA406" s="109" t="str">
        <x:f t="shared" si="152"/>
      </x:c>
      <x:c r="AB406" s="111" t="str">
        <x:f t="shared" si="153"/>
      </x:c>
      <x:c r="AC406" s="109" t="str">
        <x:f t="shared" si="154"/>
      </x:c>
      <x:c r="AQ406" s="109" t="str">
        <x:f t="shared" si="155"/>
        <x:v>FAILED</x:v>
      </x:c>
      <x:c r="AR406" s="115"/>
      <x:c r="AS406" s="115"/>
      <x:c r="AT406" s="107"/>
      <x:c r="AU406" s="107"/>
      <x:c r="AV406" s="107"/>
      <x:c r="AW406" s="107"/>
      <x:c r="AX406" s="107"/>
      <x:c r="AY406" s="109" t="str">
        <x:f t="shared" si="156"/>
        <x:v>FAILED</x:v>
      </x:c>
      <x:c r="AZ406" s="115"/>
      <x:c r="BA406" s="115"/>
      <x:c r="BB406" s="107"/>
      <x:c r="BC406" s="107"/>
      <x:c r="BD406" s="107"/>
      <x:c r="BE406" s="107"/>
      <x:c r="BF406" s="107"/>
      <x:c r="BG406" s="109" t="str">
        <x:f t="shared" si="157"/>
        <x:v>FAILED</x:v>
      </x:c>
      <x:c r="BQ406" s="109" t="str">
        <x:f t="shared" si="158"/>
        <x:v>FAILED</x:v>
      </x:c>
      <x:c r="BR406" s="115"/>
      <x:c r="BS406" s="115"/>
      <x:c r="BT406" s="107"/>
      <x:c r="BU406" s="107"/>
      <x:c r="BV406" s="107"/>
      <x:c r="BW406" s="107"/>
      <x:c r="BX406" s="107"/>
      <x:c r="BY406" s="109" t="str">
        <x:f t="shared" si="159"/>
        <x:v>FAILED</x:v>
      </x:c>
      <x:c r="BZ406" s="115"/>
      <x:c r="CA406" s="115"/>
      <x:c r="CB406" s="107"/>
      <x:c r="CC406" s="107"/>
      <x:c r="CD406" s="107"/>
      <x:c r="CE406" s="107"/>
      <x:c r="CF406" s="107"/>
      <x:c r="CG406" s="109" t="str">
        <x:f t="shared" si="160"/>
        <x:v>FAILED</x:v>
      </x:c>
    </x:row>
    <x:row r="407">
      <x:c r="A407" s="102" t="str">
        <x:f>IF(RECORD!A409="","",RECORD!A409)</x:f>
      </x:c>
      <x:c r="B407" s="102" t="str">
        <x:f>IF(RECORD!B409="","",RECORD!B409)</x:f>
      </x:c>
      <x:c r="C407" s="103" t="str">
        <x:f>IF(RECORD!C409="","",RECORD!C409)</x:f>
      </x:c>
      <x:c r="D407" s="104" t="str">
        <x:f t="array" ref="D407">IF(C407&lt;&gt;"",IF(F$7="SUMMER","N/A",_xlfn.IFS(D$10="TLA",RECORD!GO409,F$10="LECTURE","",TRUE(),"")),"")</x:f>
      </x:c>
      <x:c r="E407" s="105" t="str">
        <x:f t="shared" si="138"/>
      </x:c>
      <x:c r="F407" s="104" t="str">
        <x:f t="array" ref="F407">IF(C407&lt;&gt;"",IF(F$7="SUMMER","N/A",_xlfn.IFS(F$10="AT",RECORD!GI409,F$10="LECTURE",GRADES!AP407,TRUE(),"")),"")</x:f>
      </x:c>
      <x:c r="G407" s="106" t="str">
        <x:f t="shared" si="139"/>
      </x:c>
      <x:c r="H407" s="107" t="str">
        <x:f t="array" ref="H407">IF(C407&lt;&gt;"",IF(F$7="SUMMER","N/A",_xlfn.IFS(H$10="EXAM",RECORD!GJ409,H$10="OUTPUT",RECORD!GK409,H$10="LAB",BP407,TRUE(),"")),"")</x:f>
      </x:c>
      <x:c r="I407" s="106" t="str">
        <x:f t="shared" si="140"/>
      </x:c>
      <x:c r="J407" s="108" t="str">
        <x:f t="shared" si="141"/>
      </x:c>
      <x:c r="K407" s="109" t="str">
        <x:f t="shared" si="142"/>
      </x:c>
      <x:c r="L407" s="110" t="str">
        <x:f t="array" ref="L407">IF(C407&lt;&gt;"",_xlfn.IFS(L$10="TLA",RECORD!GY409,N$10="LECTURE","",TRUE(),""),"")</x:f>
      </x:c>
      <x:c r="M407" s="105" t="str">
        <x:f t="shared" si="143"/>
      </x:c>
      <x:c r="N407" s="104" t="str">
        <x:f t="array" ref="N407">IF(C407&lt;&gt;"",_xlfn.IFS(N$10="AT",RECORD!GS409,N$10="LECTURE",AX407,TRUE(),""),"")</x:f>
      </x:c>
      <x:c r="O407" s="106" t="str">
        <x:f t="shared" si="144"/>
      </x:c>
      <x:c r="P407" s="107" t="str">
        <x:f t="array" ref="P407">IF(C407&lt;&gt;"",_xlfn.IFS(P$10="EXAM",RECORD!GT409,P$10="OUTPUT",RECORD!GU409,P$10="LAB",BX407,TRUE(),""),"")</x:f>
      </x:c>
      <x:c r="Q407" s="106" t="str">
        <x:f t="shared" si="145"/>
      </x:c>
      <x:c r="R407" s="108" t="str">
        <x:f t="shared" si="146"/>
      </x:c>
      <x:c r="S407" s="109" t="str">
        <x:f t="shared" si="147"/>
      </x:c>
      <x:c r="T407" s="110" t="str">
        <x:f t="array" ref="T407">IF(C407&lt;&gt;"",_xlfn.IFS(T$10="TLA",RECORD!HI409,V$10="LECTURE","",TRUE(),""),"")</x:f>
      </x:c>
      <x:c r="U407" s="105" t="str">
        <x:f t="shared" si="148"/>
      </x:c>
      <x:c r="V407" s="104" t="str">
        <x:f t="array" ref="V407">IF(C407&lt;&gt;"",_xlfn.IFS(V$10="AT",RECORD!HC409,V$10="LECTURE",BF407,TRUE(),""),"")</x:f>
      </x:c>
      <x:c r="W407" s="106" t="str">
        <x:f t="shared" si="149"/>
      </x:c>
      <x:c r="X407" s="107" t="str">
        <x:f t="array" ref="X407">IF(C407&lt;&gt;"",_xlfn.IFS(X$10="EXAM",RECORD!HD409,X$10="OUTPUT",RECORD!HE409,X$10="LAB",CF407,TRUE(),""),"")</x:f>
      </x:c>
      <x:c r="Y407" s="106" t="str">
        <x:f t="shared" si="150"/>
      </x:c>
      <x:c r="Z407" s="108" t="str">
        <x:f t="shared" si="151"/>
      </x:c>
      <x:c r="AA407" s="109" t="str">
        <x:f t="shared" si="152"/>
      </x:c>
      <x:c r="AB407" s="111" t="str">
        <x:f t="shared" si="153"/>
      </x:c>
      <x:c r="AC407" s="109" t="str">
        <x:f t="shared" si="154"/>
      </x:c>
      <x:c r="AQ407" s="109" t="str">
        <x:f t="shared" si="155"/>
        <x:v>FAILED</x:v>
      </x:c>
      <x:c r="AR407" s="115"/>
      <x:c r="AS407" s="115"/>
      <x:c r="AT407" s="107"/>
      <x:c r="AU407" s="107"/>
      <x:c r="AV407" s="107"/>
      <x:c r="AW407" s="107"/>
      <x:c r="AX407" s="107"/>
      <x:c r="AY407" s="109" t="str">
        <x:f t="shared" si="156"/>
        <x:v>FAILED</x:v>
      </x:c>
      <x:c r="AZ407" s="115"/>
      <x:c r="BA407" s="115"/>
      <x:c r="BB407" s="107"/>
      <x:c r="BC407" s="107"/>
      <x:c r="BD407" s="107"/>
      <x:c r="BE407" s="107"/>
      <x:c r="BF407" s="107"/>
      <x:c r="BG407" s="109" t="str">
        <x:f t="shared" si="157"/>
        <x:v>FAILED</x:v>
      </x:c>
      <x:c r="BQ407" s="109" t="str">
        <x:f t="shared" si="158"/>
        <x:v>FAILED</x:v>
      </x:c>
      <x:c r="BR407" s="115"/>
      <x:c r="BS407" s="115"/>
      <x:c r="BT407" s="107"/>
      <x:c r="BU407" s="107"/>
      <x:c r="BV407" s="107"/>
      <x:c r="BW407" s="107"/>
      <x:c r="BX407" s="107"/>
      <x:c r="BY407" s="109" t="str">
        <x:f t="shared" si="159"/>
        <x:v>FAILED</x:v>
      </x:c>
      <x:c r="BZ407" s="115"/>
      <x:c r="CA407" s="115"/>
      <x:c r="CB407" s="107"/>
      <x:c r="CC407" s="107"/>
      <x:c r="CD407" s="107"/>
      <x:c r="CE407" s="107"/>
      <x:c r="CF407" s="107"/>
      <x:c r="CG407" s="109" t="str">
        <x:f t="shared" si="160"/>
        <x:v>FAILED</x:v>
      </x:c>
    </x:row>
    <x:row r="408">
      <x:c r="A408" s="102" t="str">
        <x:f>IF(RECORD!A410="","",RECORD!A410)</x:f>
      </x:c>
      <x:c r="B408" s="102" t="str">
        <x:f>IF(RECORD!B410="","",RECORD!B410)</x:f>
      </x:c>
      <x:c r="C408" s="103" t="str">
        <x:f>IF(RECORD!C410="","",RECORD!C410)</x:f>
      </x:c>
      <x:c r="D408" s="104" t="str">
        <x:f t="array" ref="D408">IF(C408&lt;&gt;"",IF(F$7="SUMMER","N/A",_xlfn.IFS(D$10="TLA",RECORD!GO410,F$10="LECTURE","",TRUE(),"")),"")</x:f>
      </x:c>
      <x:c r="E408" s="105" t="str">
        <x:f t="shared" si="138"/>
      </x:c>
      <x:c r="F408" s="104" t="str">
        <x:f t="array" ref="F408">IF(C408&lt;&gt;"",IF(F$7="SUMMER","N/A",_xlfn.IFS(F$10="AT",RECORD!GI410,F$10="LECTURE",GRADES!AP408,TRUE(),"")),"")</x:f>
      </x:c>
      <x:c r="G408" s="106" t="str">
        <x:f t="shared" si="139"/>
      </x:c>
      <x:c r="H408" s="107" t="str">
        <x:f t="array" ref="H408">IF(C408&lt;&gt;"",IF(F$7="SUMMER","N/A",_xlfn.IFS(H$10="EXAM",RECORD!GJ410,H$10="OUTPUT",RECORD!GK410,H$10="LAB",BP408,TRUE(),"")),"")</x:f>
      </x:c>
      <x:c r="I408" s="106" t="str">
        <x:f t="shared" si="140"/>
      </x:c>
      <x:c r="J408" s="108" t="str">
        <x:f t="shared" si="141"/>
      </x:c>
      <x:c r="K408" s="109" t="str">
        <x:f t="shared" si="142"/>
      </x:c>
      <x:c r="L408" s="110" t="str">
        <x:f t="array" ref="L408">IF(C408&lt;&gt;"",_xlfn.IFS(L$10="TLA",RECORD!GY410,N$10="LECTURE","",TRUE(),""),"")</x:f>
      </x:c>
      <x:c r="M408" s="105" t="str">
        <x:f t="shared" si="143"/>
      </x:c>
      <x:c r="N408" s="104" t="str">
        <x:f t="array" ref="N408">IF(C408&lt;&gt;"",_xlfn.IFS(N$10="AT",RECORD!GS410,N$10="LECTURE",AX408,TRUE(),""),"")</x:f>
      </x:c>
      <x:c r="O408" s="106" t="str">
        <x:f t="shared" si="144"/>
      </x:c>
      <x:c r="P408" s="107" t="str">
        <x:f t="array" ref="P408">IF(C408&lt;&gt;"",_xlfn.IFS(P$10="EXAM",RECORD!GT410,P$10="OUTPUT",RECORD!GU410,P$10="LAB",BX408,TRUE(),""),"")</x:f>
      </x:c>
      <x:c r="Q408" s="106" t="str">
        <x:f t="shared" si="145"/>
      </x:c>
      <x:c r="R408" s="108" t="str">
        <x:f t="shared" si="146"/>
      </x:c>
      <x:c r="S408" s="109" t="str">
        <x:f t="shared" si="147"/>
      </x:c>
      <x:c r="T408" s="110" t="str">
        <x:f t="array" ref="T408">IF(C408&lt;&gt;"",_xlfn.IFS(T$10="TLA",RECORD!HI410,V$10="LECTURE","",TRUE(),""),"")</x:f>
      </x:c>
      <x:c r="U408" s="105" t="str">
        <x:f t="shared" si="148"/>
      </x:c>
      <x:c r="V408" s="104" t="str">
        <x:f t="array" ref="V408">IF(C408&lt;&gt;"",_xlfn.IFS(V$10="AT",RECORD!HC410,V$10="LECTURE",BF408,TRUE(),""),"")</x:f>
      </x:c>
      <x:c r="W408" s="106" t="str">
        <x:f t="shared" si="149"/>
      </x:c>
      <x:c r="X408" s="107" t="str">
        <x:f t="array" ref="X408">IF(C408&lt;&gt;"",_xlfn.IFS(X$10="EXAM",RECORD!HD410,X$10="OUTPUT",RECORD!HE410,X$10="LAB",CF408,TRUE(),""),"")</x:f>
      </x:c>
      <x:c r="Y408" s="106" t="str">
        <x:f t="shared" si="150"/>
      </x:c>
      <x:c r="Z408" s="108" t="str">
        <x:f t="shared" si="151"/>
      </x:c>
      <x:c r="AA408" s="109" t="str">
        <x:f t="shared" si="152"/>
      </x:c>
      <x:c r="AB408" s="111" t="str">
        <x:f t="shared" si="153"/>
      </x:c>
      <x:c r="AC408" s="109" t="str">
        <x:f t="shared" si="154"/>
      </x:c>
      <x:c r="AQ408" s="109" t="str">
        <x:f t="shared" si="155"/>
        <x:v>FAILED</x:v>
      </x:c>
      <x:c r="AR408" s="115"/>
      <x:c r="AS408" s="115"/>
      <x:c r="AT408" s="107"/>
      <x:c r="AU408" s="107"/>
      <x:c r="AV408" s="107"/>
      <x:c r="AW408" s="107"/>
      <x:c r="AX408" s="107"/>
      <x:c r="AY408" s="109" t="str">
        <x:f t="shared" si="156"/>
        <x:v>FAILED</x:v>
      </x:c>
      <x:c r="AZ408" s="115"/>
      <x:c r="BA408" s="115"/>
      <x:c r="BB408" s="107"/>
      <x:c r="BC408" s="107"/>
      <x:c r="BD408" s="107"/>
      <x:c r="BE408" s="107"/>
      <x:c r="BF408" s="107"/>
      <x:c r="BG408" s="109" t="str">
        <x:f t="shared" si="157"/>
        <x:v>FAILED</x:v>
      </x:c>
      <x:c r="BQ408" s="109" t="str">
        <x:f t="shared" si="158"/>
        <x:v>FAILED</x:v>
      </x:c>
      <x:c r="BR408" s="115"/>
      <x:c r="BS408" s="115"/>
      <x:c r="BT408" s="107"/>
      <x:c r="BU408" s="107"/>
      <x:c r="BV408" s="107"/>
      <x:c r="BW408" s="107"/>
      <x:c r="BX408" s="107"/>
      <x:c r="BY408" s="109" t="str">
        <x:f t="shared" si="159"/>
        <x:v>FAILED</x:v>
      </x:c>
      <x:c r="BZ408" s="115"/>
      <x:c r="CA408" s="115"/>
      <x:c r="CB408" s="107"/>
      <x:c r="CC408" s="107"/>
      <x:c r="CD408" s="107"/>
      <x:c r="CE408" s="107"/>
      <x:c r="CF408" s="107"/>
      <x:c r="CG408" s="109" t="str">
        <x:f t="shared" si="160"/>
        <x:v>FAILED</x:v>
      </x:c>
    </x:row>
    <x:row r="409">
      <x:c r="A409" s="102" t="str">
        <x:f>IF(RECORD!A411="","",RECORD!A411)</x:f>
      </x:c>
      <x:c r="B409" s="102" t="str">
        <x:f>IF(RECORD!B411="","",RECORD!B411)</x:f>
      </x:c>
      <x:c r="C409" s="103" t="str">
        <x:f>IF(RECORD!C411="","",RECORD!C411)</x:f>
      </x:c>
      <x:c r="D409" s="104" t="str">
        <x:f t="array" ref="D409">IF(C409&lt;&gt;"",IF(F$7="SUMMER","N/A",_xlfn.IFS(D$10="TLA",RECORD!GO411,F$10="LECTURE","",TRUE(),"")),"")</x:f>
      </x:c>
      <x:c r="E409" s="105" t="str">
        <x:f t="shared" si="138"/>
      </x:c>
      <x:c r="F409" s="104" t="str">
        <x:f t="array" ref="F409">IF(C409&lt;&gt;"",IF(F$7="SUMMER","N/A",_xlfn.IFS(F$10="AT",RECORD!GI411,F$10="LECTURE",GRADES!AP409,TRUE(),"")),"")</x:f>
      </x:c>
      <x:c r="G409" s="106" t="str">
        <x:f t="shared" si="139"/>
      </x:c>
      <x:c r="H409" s="107" t="str">
        <x:f t="array" ref="H409">IF(C409&lt;&gt;"",IF(F$7="SUMMER","N/A",_xlfn.IFS(H$10="EXAM",RECORD!GJ411,H$10="OUTPUT",RECORD!GK411,H$10="LAB",BP409,TRUE(),"")),"")</x:f>
      </x:c>
      <x:c r="I409" s="106" t="str">
        <x:f t="shared" si="140"/>
      </x:c>
      <x:c r="J409" s="108" t="str">
        <x:f t="shared" si="141"/>
      </x:c>
      <x:c r="K409" s="109" t="str">
        <x:f t="shared" si="142"/>
      </x:c>
      <x:c r="L409" s="110" t="str">
        <x:f t="array" ref="L409">IF(C409&lt;&gt;"",_xlfn.IFS(L$10="TLA",RECORD!GY411,N$10="LECTURE","",TRUE(),""),"")</x:f>
      </x:c>
      <x:c r="M409" s="105" t="str">
        <x:f t="shared" si="143"/>
      </x:c>
      <x:c r="N409" s="104" t="str">
        <x:f t="array" ref="N409">IF(C409&lt;&gt;"",_xlfn.IFS(N$10="AT",RECORD!GS411,N$10="LECTURE",AX409,TRUE(),""),"")</x:f>
      </x:c>
      <x:c r="O409" s="106" t="str">
        <x:f t="shared" si="144"/>
      </x:c>
      <x:c r="P409" s="107" t="str">
        <x:f t="array" ref="P409">IF(C409&lt;&gt;"",_xlfn.IFS(P$10="EXAM",RECORD!GT411,P$10="OUTPUT",RECORD!GU411,P$10="LAB",BX409,TRUE(),""),"")</x:f>
      </x:c>
      <x:c r="Q409" s="106" t="str">
        <x:f t="shared" si="145"/>
      </x:c>
      <x:c r="R409" s="108" t="str">
        <x:f t="shared" si="146"/>
      </x:c>
      <x:c r="S409" s="109" t="str">
        <x:f t="shared" si="147"/>
      </x:c>
      <x:c r="T409" s="110" t="str">
        <x:f t="array" ref="T409">IF(C409&lt;&gt;"",_xlfn.IFS(T$10="TLA",RECORD!HI411,V$10="LECTURE","",TRUE(),""),"")</x:f>
      </x:c>
      <x:c r="U409" s="105" t="str">
        <x:f t="shared" si="148"/>
      </x:c>
      <x:c r="V409" s="104" t="str">
        <x:f t="array" ref="V409">IF(C409&lt;&gt;"",_xlfn.IFS(V$10="AT",RECORD!HC411,V$10="LECTURE",BF409,TRUE(),""),"")</x:f>
      </x:c>
      <x:c r="W409" s="106" t="str">
        <x:f t="shared" si="149"/>
      </x:c>
      <x:c r="X409" s="107" t="str">
        <x:f t="array" ref="X409">IF(C409&lt;&gt;"",_xlfn.IFS(X$10="EXAM",RECORD!HD411,X$10="OUTPUT",RECORD!HE411,X$10="LAB",CF409,TRUE(),""),"")</x:f>
      </x:c>
      <x:c r="Y409" s="106" t="str">
        <x:f t="shared" si="150"/>
      </x:c>
      <x:c r="Z409" s="108" t="str">
        <x:f t="shared" si="151"/>
      </x:c>
      <x:c r="AA409" s="109" t="str">
        <x:f t="shared" si="152"/>
      </x:c>
      <x:c r="AB409" s="111" t="str">
        <x:f t="shared" si="153"/>
      </x:c>
      <x:c r="AC409" s="109" t="str">
        <x:f t="shared" si="154"/>
      </x:c>
      <x:c r="AQ409" s="109" t="str">
        <x:f t="shared" si="155"/>
        <x:v>FAILED</x:v>
      </x:c>
      <x:c r="AR409" s="115"/>
      <x:c r="AS409" s="115"/>
      <x:c r="AT409" s="107"/>
      <x:c r="AU409" s="107"/>
      <x:c r="AV409" s="107"/>
      <x:c r="AW409" s="107"/>
      <x:c r="AX409" s="107"/>
      <x:c r="AY409" s="109" t="str">
        <x:f t="shared" si="156"/>
        <x:v>FAILED</x:v>
      </x:c>
      <x:c r="AZ409" s="115"/>
      <x:c r="BA409" s="115"/>
      <x:c r="BB409" s="107"/>
      <x:c r="BC409" s="107"/>
      <x:c r="BD409" s="107"/>
      <x:c r="BE409" s="107"/>
      <x:c r="BF409" s="107"/>
      <x:c r="BG409" s="109" t="str">
        <x:f t="shared" si="157"/>
        <x:v>FAILED</x:v>
      </x:c>
      <x:c r="BQ409" s="109" t="str">
        <x:f t="shared" si="158"/>
        <x:v>FAILED</x:v>
      </x:c>
      <x:c r="BR409" s="115"/>
      <x:c r="BS409" s="115"/>
      <x:c r="BT409" s="107"/>
      <x:c r="BU409" s="107"/>
      <x:c r="BV409" s="107"/>
      <x:c r="BW409" s="107"/>
      <x:c r="BX409" s="107"/>
      <x:c r="BY409" s="109" t="str">
        <x:f t="shared" si="159"/>
        <x:v>FAILED</x:v>
      </x:c>
      <x:c r="BZ409" s="115"/>
      <x:c r="CA409" s="115"/>
      <x:c r="CB409" s="107"/>
      <x:c r="CC409" s="107"/>
      <x:c r="CD409" s="107"/>
      <x:c r="CE409" s="107"/>
      <x:c r="CF409" s="107"/>
      <x:c r="CG409" s="109" t="str">
        <x:f t="shared" si="160"/>
        <x:v>FAILED</x:v>
      </x:c>
    </x:row>
    <x:row r="410">
      <x:c r="AQ410" s="109" t="str">
        <x:f t="shared" si="155"/>
        <x:v>FAILED</x:v>
      </x:c>
      <x:c r="AR410" s="115"/>
      <x:c r="AS410" s="115"/>
      <x:c r="AT410" s="107"/>
      <x:c r="AU410" s="107"/>
      <x:c r="AV410" s="107"/>
      <x:c r="AW410" s="107"/>
      <x:c r="AX410" s="107"/>
      <x:c r="AY410" s="109" t="str">
        <x:f t="shared" si="156"/>
        <x:v>FAILED</x:v>
      </x:c>
      <x:c r="AZ410" s="115"/>
      <x:c r="BA410" s="115"/>
      <x:c r="BB410" s="107"/>
      <x:c r="BC410" s="107"/>
      <x:c r="BD410" s="107"/>
      <x:c r="BE410" s="107"/>
      <x:c r="BF410" s="107"/>
      <x:c r="BG410" s="109" t="str">
        <x:f t="shared" si="157"/>
        <x:v>FAILED</x:v>
      </x:c>
      <x:c r="BQ410" s="109" t="str">
        <x:f t="shared" si="158"/>
        <x:v>FAILED</x:v>
      </x:c>
      <x:c r="BR410" s="115"/>
      <x:c r="BS410" s="115"/>
      <x:c r="BT410" s="107"/>
      <x:c r="BU410" s="107"/>
      <x:c r="BV410" s="107"/>
      <x:c r="BW410" s="107"/>
      <x:c r="BX410" s="107"/>
      <x:c r="BY410" s="109" t="str">
        <x:f t="shared" si="159"/>
        <x:v>FAILED</x:v>
      </x:c>
      <x:c r="BZ410" s="115"/>
      <x:c r="CA410" s="115"/>
      <x:c r="CB410" s="107"/>
      <x:c r="CC410" s="107"/>
      <x:c r="CD410" s="107"/>
      <x:c r="CE410" s="107"/>
      <x:c r="CF410" s="107"/>
      <x:c r="CG410" s="109" t="str">
        <x:f t="shared" si="160"/>
        <x:v>FAILED</x:v>
      </x:c>
    </x:row>
  </x:sheetData>
  <x:mergeCells>
    <x:mergeCell ref="A1:S1"/>
    <x:mergeCell ref="A2:S2"/>
    <x:mergeCell ref="E3:G3"/>
    <x:mergeCell ref="H3:J3"/>
    <x:mergeCell ref="K3:L3"/>
    <x:mergeCell ref="F7:G7"/>
    <x:mergeCell ref="AJ8:BH8"/>
    <x:mergeCell ref="BJ8:CH8"/>
    <x:mergeCell ref="A9:A11"/>
    <x:mergeCell ref="B9:B11"/>
    <x:mergeCell ref="C9:C11"/>
    <x:mergeCell ref="D9:K9"/>
    <x:mergeCell ref="L9:S9"/>
    <x:mergeCell ref="T9:AA9"/>
    <x:mergeCell ref="AB9:AB11"/>
    <x:mergeCell ref="AC9:AC11"/>
    <x:mergeCell ref="AJ9:AQ9"/>
    <x:mergeCell ref="AR9:AY9"/>
    <x:mergeCell ref="AZ9:BG9"/>
    <x:mergeCell ref="BH9:BH11"/>
    <x:mergeCell ref="BJ9:BQ9"/>
    <x:mergeCell ref="BR9:BY9"/>
    <x:mergeCell ref="BZ9:CG9"/>
    <x:mergeCell ref="CH9:CH11"/>
    <x:mergeCell ref="J10:J11"/>
    <x:mergeCell ref="K10:K11"/>
    <x:mergeCell ref="R10:R11"/>
    <x:mergeCell ref="S10:S11"/>
    <x:mergeCell ref="Z10:Z11"/>
    <x:mergeCell ref="AA10:AA11"/>
    <x:mergeCell ref="BL10:BL11"/>
  </x:mergeCells>
  <x:conditionalFormatting sqref="K12:L409 S12:T409 AA12:AA409">
    <x:cfRule type="containsText" dxfId="7" priority="3" operator="containsText" text="FAILED">
      <x:formula>NOT(ISERROR(SEARCH("FAILED",K12)))</x:formula>
    </x:cfRule>
  </x:conditionalFormatting>
  <x:conditionalFormatting sqref="AC12:AC409">
    <x:cfRule type="containsText" dxfId="6" priority="2" operator="containsText" text="FAILED">
      <x:formula>NOT(ISERROR(SEARCH("FAILED",AC12)))</x:formula>
    </x:cfRule>
  </x:conditionalFormatting>
  <x:dataValidations count="5">
    <x:dataValidation type="list" allowBlank="1" showInputMessage="1" showErrorMessage="1" sqref="F6">
      <x:formula1>$AG$22:$AG$23</x:formula1>
      <x:formula2>0</x:formula2>
    </x:dataValidation>
    <x:dataValidation type="list" allowBlank="1" showInputMessage="1" showErrorMessage="1" sqref="G6">
      <x:formula1>$AH$22:$AH$23</x:formula1>
      <x:formula2>0</x:formula2>
    </x:dataValidation>
    <x:dataValidation type="list" allowBlank="1" showInputMessage="1" showErrorMessage="1" sqref="F7">
      <x:formula1>$AG$24:$AG$26</x:formula1>
      <x:formula2>0</x:formula2>
    </x:dataValidation>
    <x:dataValidation type="list" allowBlank="1" showInputMessage="1" showErrorMessage="1" sqref="C4">
      <x:formula1>$AH$3:$AH$5</x:formula1>
      <x:formula2>0</x:formula2>
    </x:dataValidation>
    <x:dataValidation type="list" allowBlank="1" showInputMessage="1" showErrorMessage="1" sqref="E5:M5">
      <x:formula1>$AG$3:$AG$19</x:formula1>
      <x:formula2>0</x:formula2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FFC000"/>
  </x:sheetPr>
  <x:sheetViews>
    <x:sheetView showGridLines="0" workbookViewId="0"/>
  </x:sheetViews>
  <x:sheetFormatPr defaultColWidth="12.28515625" defaultRowHeight="15.75"/>
  <x:cols>
    <x:col min="1" max="1" width="20.7109375" style="118" customWidth="1"/>
    <x:col min="2" max="2" width="56.7109375" style="118" customWidth="1"/>
    <x:col min="3" max="10" width="11.7109375" style="118" customWidth="1"/>
    <x:col min="11" max="11" width="14.42578125" style="118" customWidth="1"/>
    <x:col min="12" max="12" width="6.28515625" style="118" customWidth="1"/>
    <x:col min="13" max="14" width="7.28515625" style="118" hidden="1" customWidth="1"/>
    <x:col min="15" max="15" width="9" style="118" hidden="1" customWidth="1"/>
    <x:col min="16" max="16" width="7.140625" style="118" hidden="1" customWidth="1"/>
    <x:col min="17" max="62" width="6.28515625" style="118" hidden="1" customWidth="1"/>
    <x:col min="63" max="63" width="11.7109375" style="118" customWidth="1"/>
    <x:col min="64" max="16384" width="12.28515625" style="118" customWidth="0"/>
  </x:cols>
  <x:sheetData>
    <x:row r="1" ht="42" customHeight="1">
      <x:c r="A1" s="119"/>
      <x:c r="B1" s="240" t="s">
        <x:v>248</x:v>
      </x:c>
      <x:c r="C1" s="240"/>
      <x:c r="D1" s="240"/>
      <x:c r="E1" s="240"/>
      <x:c r="F1" s="240"/>
      <x:c r="G1" s="240"/>
      <x:c r="H1" s="240"/>
      <x:c r="I1" s="240"/>
      <x:c r="J1" s="240"/>
      <x:c r="K1" s="240"/>
      <x:c r="L1" s="240"/>
      <x:c r="N1" s="120"/>
      <x:c r="P1" s="120"/>
      <x:c r="Q1" s="121"/>
      <x:c r="S1" s="120"/>
      <x:c r="U1" s="120"/>
      <x:c r="V1" s="121"/>
      <x:c r="W1" s="122"/>
      <x:c r="X1" s="120"/>
      <x:c r="Y1" s="122"/>
      <x:c r="Z1" s="120"/>
      <x:c r="AA1" s="121"/>
      <x:c r="AB1" s="122"/>
      <x:c r="AC1" s="120"/>
      <x:c r="AD1" s="122"/>
      <x:c r="AE1" s="120"/>
      <x:c r="AF1" s="121"/>
      <x:c r="AG1" s="122"/>
      <x:c r="AH1" s="120"/>
      <x:c r="AI1" s="122"/>
      <x:c r="AJ1" s="120"/>
      <x:c r="AK1" s="121"/>
      <x:c r="AL1" s="122"/>
      <x:c r="AM1" s="120"/>
      <x:c r="AN1" s="122"/>
      <x:c r="AO1" s="120"/>
      <x:c r="AP1" s="121"/>
      <x:c r="AQ1" s="122"/>
      <x:c r="AR1" s="120"/>
      <x:c r="AS1" s="122"/>
      <x:c r="AT1" s="120"/>
      <x:c r="AU1" s="121"/>
      <x:c r="AV1" s="122"/>
      <x:c r="AW1" s="120"/>
      <x:c r="AX1" s="122"/>
      <x:c r="AY1" s="120"/>
      <x:c r="AZ1" s="121"/>
      <x:c r="BA1" s="122"/>
      <x:c r="BB1" s="120"/>
      <x:c r="BC1" s="122"/>
      <x:c r="BD1" s="120"/>
      <x:c r="BE1" s="121"/>
      <x:c r="BF1" s="122"/>
      <x:c r="BG1" s="120"/>
      <x:c r="BH1" s="122"/>
      <x:c r="BI1" s="120"/>
      <x:c r="BJ1" s="121"/>
    </x:row>
    <x:row r="2" ht="15.75" customHeight="1">
      <x:c r="A2" s="119"/>
      <x:c r="B2" s="241" t="s">
        <x:v>249</x:v>
      </x:c>
      <x:c r="C2" s="241"/>
      <x:c r="D2" s="241"/>
      <x:c r="E2" s="241"/>
      <x:c r="F2" s="241"/>
      <x:c r="G2" s="241"/>
      <x:c r="H2" s="241"/>
      <x:c r="I2" s="241"/>
      <x:c r="J2" s="241"/>
      <x:c r="K2" s="241"/>
      <x:c r="L2" s="241"/>
      <x:c r="N2" s="120"/>
      <x:c r="P2" s="123"/>
      <x:c r="Q2" s="124"/>
      <x:c r="R2" s="125"/>
      <x:c r="S2" s="123"/>
      <x:c r="T2" s="125"/>
      <x:c r="U2" s="123"/>
      <x:c r="V2" s="124"/>
      <x:c r="W2" s="126"/>
      <x:c r="X2" s="123"/>
      <x:c r="Y2" s="126"/>
      <x:c r="Z2" s="123"/>
      <x:c r="AA2" s="124"/>
      <x:c r="AB2" s="122"/>
      <x:c r="AC2" s="120"/>
      <x:c r="AD2" s="122"/>
      <x:c r="AE2" s="120"/>
      <x:c r="AF2" s="121"/>
      <x:c r="AG2" s="122"/>
      <x:c r="AH2" s="120"/>
      <x:c r="AI2" s="122"/>
      <x:c r="AJ2" s="120"/>
      <x:c r="AK2" s="121"/>
      <x:c r="AL2" s="122"/>
      <x:c r="AM2" s="120"/>
      <x:c r="AN2" s="122"/>
      <x:c r="AO2" s="120"/>
      <x:c r="AP2" s="121"/>
      <x:c r="AQ2" s="122"/>
      <x:c r="AR2" s="120"/>
      <x:c r="AS2" s="122"/>
      <x:c r="AT2" s="120"/>
      <x:c r="AU2" s="121"/>
      <x:c r="AV2" s="122"/>
      <x:c r="AW2" s="120"/>
      <x:c r="AX2" s="122"/>
      <x:c r="AY2" s="120"/>
      <x:c r="AZ2" s="121"/>
      <x:c r="BA2" s="122"/>
      <x:c r="BB2" s="120"/>
      <x:c r="BC2" s="122"/>
      <x:c r="BD2" s="120"/>
      <x:c r="BE2" s="121"/>
      <x:c r="BF2" s="122"/>
      <x:c r="BG2" s="120"/>
      <x:c r="BH2" s="122"/>
      <x:c r="BI2" s="120"/>
      <x:c r="BJ2" s="121"/>
    </x:row>
    <x:row r="3" s="134" customFormat="1" ht="4.5" customHeight="1">
      <x:c r="A3" s="127"/>
      <x:c r="B3" s="127"/>
      <x:c r="C3" s="127"/>
      <x:c r="D3" s="127"/>
      <x:c r="E3" s="127"/>
      <x:c r="F3" s="127"/>
      <x:c r="G3" s="127"/>
      <x:c r="H3" s="127"/>
      <x:c r="I3" s="127"/>
      <x:c r="J3" s="127"/>
      <x:c r="K3" s="127"/>
      <x:c r="L3" s="127"/>
      <x:c r="M3" s="128"/>
      <x:c r="N3" s="128"/>
      <x:c r="O3" s="128"/>
      <x:c r="P3" s="128"/>
      <x:c r="Q3" s="129"/>
      <x:c r="R3" s="130"/>
      <x:c r="S3" s="130"/>
      <x:c r="T3" s="130"/>
      <x:c r="U3" s="130"/>
      <x:c r="V3" s="131"/>
      <x:c r="W3" s="132"/>
      <x:c r="X3" s="130"/>
      <x:c r="Y3" s="132"/>
      <x:c r="Z3" s="130"/>
      <x:c r="AA3" s="131"/>
      <x:c r="AB3" s="133"/>
      <x:c r="AD3" s="133"/>
      <x:c r="AF3" s="135"/>
      <x:c r="AG3" s="133"/>
      <x:c r="AI3" s="133"/>
      <x:c r="AK3" s="135"/>
      <x:c r="AL3" s="133"/>
      <x:c r="AN3" s="133"/>
      <x:c r="AP3" s="135"/>
      <x:c r="AQ3" s="133"/>
      <x:c r="AS3" s="133"/>
      <x:c r="AU3" s="135"/>
      <x:c r="AV3" s="133"/>
      <x:c r="AX3" s="133"/>
      <x:c r="AZ3" s="135"/>
      <x:c r="BA3" s="133"/>
      <x:c r="BC3" s="133"/>
      <x:c r="BE3" s="135"/>
      <x:c r="BF3" s="133"/>
      <x:c r="BH3" s="133"/>
      <x:c r="BJ3" s="135"/>
    </x:row>
    <x:row r="4" ht="33.75" customHeight="1">
      <x:c r="A4" s="119"/>
      <x:c r="B4" s="242" t="s">
        <x:v>250</x:v>
      </x:c>
      <x:c r="C4" s="242"/>
      <x:c r="D4" s="242"/>
      <x:c r="E4" s="242"/>
      <x:c r="F4" s="242"/>
      <x:c r="G4" s="242"/>
      <x:c r="H4" s="242"/>
      <x:c r="I4" s="242"/>
      <x:c r="J4" s="243" t="s">
        <x:v>251</x:v>
      </x:c>
      <x:c r="K4" s="243"/>
      <x:c r="L4" s="243"/>
      <x:c r="M4" s="125"/>
      <x:c r="N4" s="123"/>
      <x:c r="O4" s="125"/>
      <x:c r="P4" s="123"/>
      <x:c r="Q4" s="124"/>
      <x:c r="R4" s="125"/>
      <x:c r="S4" s="123"/>
      <x:c r="T4" s="125"/>
      <x:c r="U4" s="123"/>
      <x:c r="V4" s="125"/>
      <x:c r="W4" s="125"/>
      <x:c r="X4" s="125"/>
      <x:c r="Y4" s="125"/>
      <x:c r="Z4" s="125"/>
      <x:c r="AA4" s="125"/>
      <x:c r="AB4" s="126"/>
      <x:c r="AC4" s="120"/>
      <x:c r="AD4" s="122"/>
      <x:c r="AE4" s="120"/>
      <x:c r="AF4" s="121"/>
      <x:c r="AG4" s="122"/>
      <x:c r="AH4" s="120"/>
      <x:c r="AI4" s="122"/>
      <x:c r="AJ4" s="120"/>
      <x:c r="AK4" s="121"/>
      <x:c r="AL4" s="122"/>
      <x:c r="AM4" s="120"/>
      <x:c r="AN4" s="122"/>
      <x:c r="AO4" s="120"/>
      <x:c r="AP4" s="121"/>
      <x:c r="AQ4" s="122"/>
      <x:c r="AR4" s="120"/>
      <x:c r="AS4" s="122"/>
      <x:c r="AT4" s="120"/>
      <x:c r="AU4" s="121"/>
      <x:c r="AV4" s="122"/>
      <x:c r="AW4" s="120"/>
      <x:c r="AX4" s="122"/>
      <x:c r="AY4" s="120"/>
      <x:c r="AZ4" s="121"/>
      <x:c r="BA4" s="122"/>
      <x:c r="BB4" s="120"/>
      <x:c r="BC4" s="122"/>
      <x:c r="BD4" s="120"/>
      <x:c r="BE4" s="121"/>
      <x:c r="BF4" s="122"/>
      <x:c r="BG4" s="120"/>
      <x:c r="BH4" s="122"/>
      <x:c r="BI4" s="120"/>
      <x:c r="BJ4" s="121"/>
    </x:row>
    <x:row r="5" ht="15.75" customHeight="1">
      <x:c r="A5" s="136" t="s">
        <x:v>252</x:v>
      </x:c>
      <x:c r="B5" s="137"/>
      <x:c r="C5" s="119"/>
      <x:c r="D5" s="119"/>
      <x:c r="E5" s="119"/>
      <x:c r="F5" s="119"/>
      <x:c r="G5" s="119"/>
      <x:c r="H5" s="119"/>
      <x:c r="I5" s="119"/>
      <x:c r="J5" s="138" t="s">
        <x:v>16</x:v>
      </x:c>
      <x:c r="K5" s="139"/>
      <x:c r="L5" s="140"/>
      <x:c r="M5" s="141" t="s">
        <x:v>253</x:v>
      </x:c>
      <x:c r="N5" s="142"/>
      <x:c r="O5" s="141" t="s">
        <x:v>254</x:v>
      </x:c>
      <x:c r="P5" s="142"/>
      <x:c r="Q5" s="141"/>
      <x:c r="R5" s="141"/>
      <x:c r="S5" s="142"/>
      <x:c r="T5" s="124"/>
      <x:c r="U5" s="120"/>
      <x:c r="V5" s="143" t="s">
        <x:v>133</x:v>
      </x:c>
      <x:c r="W5" s="144">
        <x:v>0.1</x:v>
      </x:c>
      <x:c r="X5" s="144" t="s">
        <x:v>255</x:v>
      </x:c>
      <x:c r="Y5" s="144" t="s">
        <x:v>256</x:v>
      </x:c>
      <x:c r="Z5" s="125"/>
      <x:c r="AA5" s="125"/>
      <x:c r="AB5" s="126"/>
      <x:c r="AC5" s="145"/>
      <x:c r="AD5" s="122"/>
      <x:c r="AE5" s="120"/>
      <x:c r="AF5" s="121"/>
      <x:c r="AG5" s="122"/>
      <x:c r="AH5" s="120"/>
      <x:c r="AI5" s="122"/>
      <x:c r="AJ5" s="120"/>
      <x:c r="AK5" s="121"/>
      <x:c r="AL5" s="122"/>
      <x:c r="AM5" s="120"/>
      <x:c r="AN5" s="122"/>
      <x:c r="AO5" s="120"/>
      <x:c r="AP5" s="121"/>
      <x:c r="AQ5" s="122"/>
      <x:c r="AR5" s="120"/>
      <x:c r="AS5" s="122"/>
      <x:c r="AT5" s="120"/>
      <x:c r="AU5" s="121"/>
      <x:c r="AV5" s="122"/>
      <x:c r="AW5" s="120"/>
      <x:c r="AX5" s="122"/>
      <x:c r="AY5" s="120"/>
      <x:c r="AZ5" s="121"/>
      <x:c r="BA5" s="122"/>
      <x:c r="BB5" s="120"/>
      <x:c r="BC5" s="122"/>
      <x:c r="BD5" s="120"/>
      <x:c r="BE5" s="121"/>
      <x:c r="BF5" s="122"/>
      <x:c r="BG5" s="120"/>
      <x:c r="BH5" s="122"/>
      <x:c r="BI5" s="120"/>
      <x:c r="BJ5" s="121"/>
    </x:row>
    <x:row r="6" ht="15.75" customHeight="1">
      <x:c r="A6" s="136" t="s">
        <x:v>90</x:v>
      </x:c>
      <x:c r="B6" s="146"/>
      <x:c r="C6" s="119"/>
      <x:c r="D6" s="244" t="s">
        <x:v>257</x:v>
      </x:c>
      <x:c r="E6" s="244"/>
      <x:c r="F6" s="244"/>
      <x:c r="G6" s="244"/>
      <x:c r="H6" s="244"/>
      <x:c r="I6" s="119"/>
      <x:c r="J6" s="138" t="s">
        <x:v>17</x:v>
      </x:c>
      <x:c r="K6" s="139"/>
      <x:c r="L6" s="140"/>
      <x:c r="M6" s="147">
        <x:v>0</x:v>
      </x:c>
      <x:c r="N6" s="148"/>
      <x:c r="O6" s="143">
        <x:v>2</x:v>
      </x:c>
      <x:c r="P6" s="149" t="s">
        <x:v>258</x:v>
      </x:c>
      <x:c r="Q6" s="143"/>
      <x:c r="R6" s="143"/>
      <x:c r="S6" s="149"/>
      <x:c r="T6" s="124"/>
      <x:c r="U6" s="120"/>
      <x:c r="V6" s="143" t="s">
        <x:v>134</x:v>
      </x:c>
      <x:c r="W6" s="125">
        <x:v>0.2</x:v>
      </x:c>
      <x:c r="X6" s="125">
        <x:v>80</x:v>
      </x:c>
      <x:c r="Y6" s="125">
        <x:v>60</x:v>
      </x:c>
      <x:c r="Z6" s="125"/>
      <x:c r="AA6" s="125"/>
      <x:c r="AB6" s="126"/>
      <x:c r="AC6" s="145"/>
      <x:c r="AD6" s="122"/>
      <x:c r="AE6" s="120"/>
      <x:c r="AF6" s="121"/>
      <x:c r="AG6" s="122"/>
      <x:c r="AH6" s="120"/>
      <x:c r="AI6" s="122"/>
      <x:c r="AJ6" s="120"/>
      <x:c r="AK6" s="121"/>
      <x:c r="AL6" s="122"/>
      <x:c r="AM6" s="120"/>
      <x:c r="AN6" s="122"/>
      <x:c r="AO6" s="120"/>
      <x:c r="AP6" s="121"/>
      <x:c r="AQ6" s="122"/>
      <x:c r="AR6" s="120"/>
      <x:c r="AS6" s="122"/>
      <x:c r="AT6" s="120"/>
      <x:c r="AU6" s="121"/>
      <x:c r="AV6" s="122"/>
      <x:c r="AW6" s="120"/>
      <x:c r="AX6" s="122"/>
      <x:c r="AY6" s="120"/>
      <x:c r="AZ6" s="121"/>
      <x:c r="BA6" s="122"/>
      <x:c r="BB6" s="120"/>
      <x:c r="BC6" s="122"/>
      <x:c r="BD6" s="120"/>
      <x:c r="BE6" s="121"/>
      <x:c r="BF6" s="122"/>
      <x:c r="BG6" s="120"/>
      <x:c r="BH6" s="122"/>
      <x:c r="BI6" s="120"/>
      <x:c r="BJ6" s="121"/>
    </x:row>
    <x:row r="7" ht="15.75" customHeight="1">
      <x:c r="A7" s="136" t="s">
        <x:v>88</x:v>
      </x:c>
      <x:c r="B7" s="146"/>
      <x:c r="C7" s="119"/>
      <x:c r="D7" s="245"/>
      <x:c r="E7" s="245"/>
      <x:c r="F7" s="246"/>
      <x:c r="G7" s="246"/>
      <x:c r="H7" s="246"/>
      <x:c r="I7" s="119"/>
      <x:c r="J7" s="138" t="s">
        <x:v>18</x:v>
      </x:c>
      <x:c r="K7" s="139"/>
      <x:c r="L7" s="140"/>
      <x:c r="M7" s="147">
        <x:v>2</x:v>
      </x:c>
      <x:c r="N7" s="148"/>
      <x:c r="O7" s="143">
        <x:v>3</x:v>
      </x:c>
      <x:c r="P7" s="150" t="s">
        <x:v>259</x:v>
      </x:c>
      <x:c r="Q7" s="151"/>
      <x:c r="R7" s="151"/>
      <x:c r="S7" s="150"/>
      <x:c r="T7" s="124"/>
      <x:c r="U7" s="120"/>
      <x:c r="V7" s="143" t="s">
        <x:v>135</x:v>
      </x:c>
      <x:c r="W7" s="125">
        <x:v>0.3</x:v>
      </x:c>
      <x:c r="X7" s="125">
        <x:v>20</x:v>
      </x:c>
      <x:c r="Y7" s="125">
        <x:v>40</x:v>
      </x:c>
      <x:c r="Z7" s="125"/>
      <x:c r="AA7" s="125"/>
      <x:c r="AB7" s="126"/>
      <x:c r="AC7" s="145"/>
      <x:c r="AD7" s="122"/>
      <x:c r="AE7" s="120"/>
      <x:c r="AF7" s="121"/>
      <x:c r="AG7" s="122"/>
      <x:c r="AH7" s="120"/>
      <x:c r="AI7" s="122"/>
      <x:c r="AJ7" s="120"/>
      <x:c r="AK7" s="121"/>
      <x:c r="AL7" s="122"/>
      <x:c r="AM7" s="120"/>
      <x:c r="AN7" s="122"/>
      <x:c r="AO7" s="120"/>
      <x:c r="AP7" s="121"/>
      <x:c r="AQ7" s="122"/>
      <x:c r="AR7" s="120"/>
      <x:c r="AS7" s="122"/>
      <x:c r="AT7" s="120"/>
      <x:c r="AU7" s="121"/>
      <x:c r="AV7" s="122"/>
      <x:c r="AW7" s="120"/>
      <x:c r="AX7" s="122"/>
      <x:c r="AY7" s="120"/>
      <x:c r="AZ7" s="121"/>
      <x:c r="BA7" s="122"/>
      <x:c r="BB7" s="120"/>
      <x:c r="BC7" s="122"/>
      <x:c r="BD7" s="120"/>
      <x:c r="BE7" s="121"/>
      <x:c r="BF7" s="122"/>
      <x:c r="BG7" s="120"/>
      <x:c r="BH7" s="122"/>
      <x:c r="BI7" s="120"/>
      <x:c r="BJ7" s="121"/>
    </x:row>
    <x:row r="8" ht="15.75" customHeight="1">
      <x:c r="A8" s="136" t="s">
        <x:v>260</x:v>
      </x:c>
      <x:c r="B8" s="146"/>
      <x:c r="C8" s="119"/>
      <x:c r="D8" s="245"/>
      <x:c r="E8" s="245"/>
      <x:c r="F8" s="246"/>
      <x:c r="G8" s="246"/>
      <x:c r="H8" s="246"/>
      <x:c r="I8" s="119"/>
      <x:c r="J8" s="138" t="s">
        <x:v>19</x:v>
      </x:c>
      <x:c r="K8" s="139"/>
      <x:c r="L8" s="140"/>
      <x:c r="M8" s="147">
        <x:v>3</x:v>
      </x:c>
      <x:c r="N8" s="148"/>
      <x:c r="O8" s="143"/>
      <x:c r="P8" s="149" t="s">
        <x:v>261</x:v>
      </x:c>
      <x:c r="Q8" s="143"/>
      <x:c r="R8" s="143"/>
      <x:c r="S8" s="149"/>
      <x:c r="T8" s="124"/>
      <x:c r="U8" s="120"/>
      <x:c r="V8" s="125"/>
      <x:c r="W8" s="125">
        <x:v>0.4</x:v>
      </x:c>
      <x:c r="X8" s="125"/>
      <x:c r="Y8" s="125"/>
      <x:c r="Z8" s="125"/>
      <x:c r="AA8" s="125"/>
      <x:c r="AB8" s="126"/>
      <x:c r="AC8" s="145"/>
      <x:c r="AD8" s="122"/>
      <x:c r="AE8" s="120"/>
      <x:c r="AF8" s="121"/>
      <x:c r="AG8" s="122"/>
      <x:c r="AH8" s="120"/>
      <x:c r="AI8" s="122"/>
      <x:c r="AJ8" s="120"/>
      <x:c r="AK8" s="121"/>
      <x:c r="AL8" s="122"/>
      <x:c r="AM8" s="120"/>
      <x:c r="AN8" s="122"/>
      <x:c r="AO8" s="120"/>
      <x:c r="AP8" s="121"/>
      <x:c r="AQ8" s="122"/>
      <x:c r="AR8" s="120"/>
      <x:c r="AS8" s="122"/>
      <x:c r="AT8" s="120"/>
      <x:c r="AU8" s="121"/>
      <x:c r="AV8" s="122"/>
      <x:c r="AW8" s="120"/>
      <x:c r="AX8" s="122"/>
      <x:c r="AY8" s="120"/>
      <x:c r="AZ8" s="121"/>
      <x:c r="BA8" s="122"/>
      <x:c r="BB8" s="120"/>
      <x:c r="BC8" s="122"/>
      <x:c r="BD8" s="120"/>
      <x:c r="BE8" s="121"/>
      <x:c r="BF8" s="122"/>
      <x:c r="BG8" s="120"/>
      <x:c r="BH8" s="122"/>
      <x:c r="BI8" s="120"/>
      <x:c r="BJ8" s="121"/>
    </x:row>
    <x:row r="9" ht="15.75" customHeight="1">
      <x:c r="A9" s="136" t="s">
        <x:v>92</x:v>
      </x:c>
      <x:c r="B9" s="146"/>
      <x:c r="C9" s="119"/>
      <x:c r="D9" s="245"/>
      <x:c r="E9" s="245"/>
      <x:c r="F9" s="246"/>
      <x:c r="G9" s="246"/>
      <x:c r="H9" s="246"/>
      <x:c r="I9" s="119"/>
      <x:c r="J9" s="138" t="s">
        <x:v>20</x:v>
      </x:c>
      <x:c r="K9" s="139"/>
      <x:c r="L9" s="140"/>
      <x:c r="N9" s="120"/>
      <x:c r="P9" s="123"/>
      <x:c r="Q9" s="124"/>
      <x:c r="R9" s="125"/>
      <x:c r="S9" s="123"/>
      <x:c r="T9" s="125"/>
      <x:c r="U9" s="123"/>
      <x:c r="V9" s="125"/>
      <x:c r="W9" s="125">
        <x:v>0.5</x:v>
      </x:c>
      <x:c r="X9" s="125"/>
      <x:c r="Y9" s="125"/>
      <x:c r="Z9" s="125"/>
      <x:c r="AA9" s="125"/>
      <x:c r="AB9" s="126"/>
      <x:c r="AC9" s="120"/>
      <x:c r="AD9" s="122"/>
      <x:c r="AE9" s="120"/>
      <x:c r="AF9" s="121"/>
      <x:c r="AG9" s="122"/>
      <x:c r="AH9" s="120"/>
      <x:c r="AI9" s="122"/>
      <x:c r="AJ9" s="120"/>
      <x:c r="AK9" s="121"/>
      <x:c r="AL9" s="122"/>
      <x:c r="AM9" s="120"/>
      <x:c r="AN9" s="122"/>
      <x:c r="AO9" s="120"/>
      <x:c r="AP9" s="121"/>
      <x:c r="AQ9" s="122"/>
      <x:c r="AR9" s="120"/>
      <x:c r="AS9" s="122"/>
      <x:c r="AT9" s="120"/>
      <x:c r="AU9" s="121"/>
      <x:c r="AV9" s="122"/>
      <x:c r="AW9" s="120"/>
      <x:c r="AX9" s="122"/>
      <x:c r="AY9" s="120"/>
      <x:c r="AZ9" s="121"/>
      <x:c r="BA9" s="122"/>
      <x:c r="BB9" s="120"/>
      <x:c r="BC9" s="122"/>
      <x:c r="BD9" s="120"/>
      <x:c r="BE9" s="121"/>
      <x:c r="BF9" s="122"/>
      <x:c r="BG9" s="120"/>
      <x:c r="BH9" s="122"/>
      <x:c r="BI9" s="120"/>
      <x:c r="BJ9" s="121"/>
    </x:row>
    <x:row r="10" ht="15.75" customHeight="1">
      <x:c r="A10" s="136" t="s">
        <x:v>262</x:v>
      </x:c>
      <x:c r="B10" s="152"/>
      <x:c r="C10" s="119"/>
      <x:c r="D10" s="119"/>
      <x:c r="E10" s="119"/>
      <x:c r="F10" s="119"/>
      <x:c r="G10" s="119"/>
      <x:c r="H10" s="119"/>
      <x:c r="I10" s="119"/>
      <x:c r="J10" s="138" t="s">
        <x:v>117</x:v>
      </x:c>
      <x:c r="K10" s="139"/>
      <x:c r="L10" s="140"/>
      <x:c r="N10" s="120"/>
      <x:c r="O10" s="118" t="s">
        <x:v>263</x:v>
      </x:c>
      <x:c r="P10" s="153">
        <x:v>0.6</x:v>
      </x:c>
      <x:c r="Q10" s="121"/>
      <x:c r="S10" s="120"/>
      <x:c r="U10" s="120"/>
      <x:c r="V10" s="125"/>
      <x:c r="W10" s="125">
        <x:v>0.6</x:v>
      </x:c>
      <x:c r="X10" s="125"/>
      <x:c r="Y10" s="125"/>
      <x:c r="Z10" s="125"/>
      <x:c r="AA10" s="125"/>
      <x:c r="AB10" s="126"/>
      <x:c r="AC10" s="120"/>
      <x:c r="AD10" s="122"/>
      <x:c r="AE10" s="120"/>
      <x:c r="AF10" s="121"/>
      <x:c r="AG10" s="122"/>
      <x:c r="AH10" s="120"/>
      <x:c r="AI10" s="122"/>
      <x:c r="AJ10" s="120"/>
      <x:c r="AK10" s="121"/>
      <x:c r="AL10" s="122"/>
      <x:c r="AM10" s="120"/>
      <x:c r="AN10" s="122"/>
      <x:c r="AO10" s="120"/>
      <x:c r="AP10" s="121"/>
      <x:c r="AQ10" s="122"/>
      <x:c r="AR10" s="120"/>
      <x:c r="AS10" s="122"/>
      <x:c r="AT10" s="120"/>
      <x:c r="AU10" s="121"/>
      <x:c r="AV10" s="122"/>
      <x:c r="AW10" s="120"/>
      <x:c r="AX10" s="122"/>
      <x:c r="AY10" s="120"/>
      <x:c r="AZ10" s="121"/>
      <x:c r="BA10" s="122"/>
      <x:c r="BB10" s="120"/>
      <x:c r="BC10" s="122"/>
      <x:c r="BD10" s="120"/>
      <x:c r="BE10" s="121"/>
      <x:c r="BF10" s="122"/>
      <x:c r="BG10" s="120"/>
      <x:c r="BH10" s="122"/>
      <x:c r="BI10" s="120"/>
      <x:c r="BJ10" s="121"/>
    </x:row>
    <x:row r="11" ht="15.75" customHeight="1">
      <x:c r="A11" s="136" t="s">
        <x:v>232</x:v>
      </x:c>
      <x:c r="B11" s="146"/>
      <x:c r="C11" s="119"/>
      <x:c r="D11" s="119"/>
      <x:c r="E11" s="119"/>
      <x:c r="F11" s="119"/>
      <x:c r="G11" s="119"/>
      <x:c r="H11" s="119"/>
      <x:c r="I11" s="119"/>
      <x:c r="J11" s="138" t="s">
        <x:v>118</x:v>
      </x:c>
      <x:c r="K11" s="139"/>
      <x:c r="L11" s="140"/>
      <x:c r="N11" s="120"/>
      <x:c r="P11" s="120"/>
      <x:c r="Q11" s="121"/>
      <x:c r="S11" s="120"/>
      <x:c r="U11" s="120"/>
      <x:c r="V11" s="125"/>
      <x:c r="W11" s="125"/>
      <x:c r="X11" s="125"/>
      <x:c r="Y11" s="125"/>
      <x:c r="Z11" s="125"/>
      <x:c r="AA11" s="125"/>
      <x:c r="AB11" s="126"/>
      <x:c r="AC11" s="120"/>
      <x:c r="AD11" s="122"/>
      <x:c r="AE11" s="120"/>
      <x:c r="AF11" s="121"/>
      <x:c r="AG11" s="122"/>
      <x:c r="AH11" s="120"/>
      <x:c r="AI11" s="122"/>
      <x:c r="AJ11" s="120"/>
      <x:c r="AK11" s="121"/>
      <x:c r="AL11" s="122"/>
      <x:c r="AM11" s="120"/>
      <x:c r="AN11" s="122"/>
      <x:c r="AO11" s="120"/>
      <x:c r="AP11" s="121"/>
      <x:c r="AQ11" s="122"/>
      <x:c r="AR11" s="120"/>
      <x:c r="AS11" s="122"/>
      <x:c r="AT11" s="120"/>
      <x:c r="AU11" s="121"/>
      <x:c r="AV11" s="122"/>
      <x:c r="AW11" s="120"/>
      <x:c r="AX11" s="122"/>
      <x:c r="AY11" s="120"/>
      <x:c r="AZ11" s="121"/>
      <x:c r="BA11" s="122"/>
      <x:c r="BB11" s="120"/>
      <x:c r="BC11" s="122"/>
      <x:c r="BD11" s="120"/>
      <x:c r="BE11" s="121"/>
      <x:c r="BF11" s="122"/>
      <x:c r="BG11" s="120"/>
      <x:c r="BH11" s="122"/>
      <x:c r="BI11" s="120"/>
      <x:c r="BJ11" s="121"/>
    </x:row>
    <x:row r="12" ht="15.75" customHeight="1">
      <x:c r="A12" s="136" t="s">
        <x:v>264</x:v>
      </x:c>
      <x:c r="B12" s="146"/>
      <x:c r="C12" s="119"/>
      <x:c r="D12" s="119"/>
      <x:c r="E12" s="119"/>
      <x:c r="F12" s="119"/>
      <x:c r="G12" s="119"/>
      <x:c r="H12" s="119"/>
      <x:c r="I12" s="119"/>
      <x:c r="J12" s="138" t="s">
        <x:v>119</x:v>
      </x:c>
      <x:c r="K12" s="139"/>
      <x:c r="L12" s="140"/>
      <x:c r="N12" s="120"/>
      <x:c r="P12" s="120"/>
      <x:c r="Q12" s="121"/>
      <x:c r="S12" s="120"/>
      <x:c r="U12" s="120"/>
      <x:c r="V12" s="121"/>
      <x:c r="W12" s="122"/>
      <x:c r="X12" s="120"/>
      <x:c r="Y12" s="122"/>
      <x:c r="Z12" s="120"/>
      <x:c r="AA12" s="121"/>
      <x:c r="AB12" s="122"/>
      <x:c r="AC12" s="120"/>
      <x:c r="AD12" s="122"/>
      <x:c r="AE12" s="120"/>
      <x:c r="AF12" s="121"/>
      <x:c r="AG12" s="122"/>
      <x:c r="AH12" s="120"/>
      <x:c r="AI12" s="122"/>
      <x:c r="AJ12" s="120"/>
      <x:c r="AK12" s="121"/>
      <x:c r="AL12" s="122"/>
      <x:c r="AM12" s="120"/>
      <x:c r="AN12" s="122"/>
      <x:c r="AO12" s="120"/>
      <x:c r="AP12" s="121"/>
      <x:c r="AQ12" s="122"/>
      <x:c r="AR12" s="120"/>
      <x:c r="AS12" s="122"/>
      <x:c r="AT12" s="120"/>
      <x:c r="AU12" s="121"/>
      <x:c r="AV12" s="122"/>
      <x:c r="AW12" s="120"/>
      <x:c r="AX12" s="122"/>
      <x:c r="AY12" s="120"/>
      <x:c r="AZ12" s="121"/>
      <x:c r="BA12" s="122"/>
      <x:c r="BB12" s="120"/>
      <x:c r="BC12" s="122"/>
      <x:c r="BD12" s="120"/>
      <x:c r="BE12" s="121"/>
      <x:c r="BF12" s="122"/>
      <x:c r="BG12" s="120"/>
      <x:c r="BH12" s="122"/>
      <x:c r="BI12" s="120"/>
      <x:c r="BJ12" s="121"/>
    </x:row>
    <x:row r="13" ht="15.75" customHeight="1">
      <x:c r="A13" s="136" t="s">
        <x:v>265</x:v>
      </x:c>
      <x:c r="B13" s="154" t="s">
        <x:v>135</x:v>
      </x:c>
      <x:c r="C13" s="119"/>
      <x:c r="D13" s="119"/>
      <x:c r="E13" s="119"/>
      <x:c r="F13" s="119"/>
      <x:c r="G13" s="119"/>
      <x:c r="H13" s="119"/>
      <x:c r="I13" s="119"/>
      <x:c r="J13" s="138" t="s">
        <x:v>121</x:v>
      </x:c>
      <x:c r="K13" s="139"/>
      <x:c r="L13" s="140"/>
      <x:c r="N13" s="120"/>
      <x:c r="P13" s="120"/>
      <x:c r="Q13" s="121"/>
      <x:c r="S13" s="120"/>
      <x:c r="U13" s="120"/>
      <x:c r="V13" s="121"/>
      <x:c r="W13" s="122"/>
      <x:c r="X13" s="120"/>
      <x:c r="Y13" s="122"/>
      <x:c r="Z13" s="120"/>
      <x:c r="AA13" s="121"/>
      <x:c r="AB13" s="122"/>
      <x:c r="AC13" s="120"/>
      <x:c r="AD13" s="122"/>
      <x:c r="AE13" s="120"/>
      <x:c r="AF13" s="121"/>
      <x:c r="AG13" s="122"/>
      <x:c r="AH13" s="120"/>
      <x:c r="AI13" s="122"/>
      <x:c r="AJ13" s="120"/>
      <x:c r="AK13" s="121"/>
      <x:c r="AL13" s="122"/>
      <x:c r="AM13" s="120"/>
      <x:c r="AN13" s="122"/>
      <x:c r="AO13" s="120"/>
      <x:c r="AP13" s="121"/>
      <x:c r="AQ13" s="122"/>
      <x:c r="AR13" s="120"/>
      <x:c r="AS13" s="122"/>
      <x:c r="AT13" s="120"/>
      <x:c r="AU13" s="121"/>
      <x:c r="AV13" s="122"/>
      <x:c r="AW13" s="120"/>
      <x:c r="AX13" s="122"/>
      <x:c r="AY13" s="120"/>
      <x:c r="AZ13" s="121"/>
      <x:c r="BA13" s="122"/>
      <x:c r="BB13" s="120"/>
      <x:c r="BC13" s="122"/>
      <x:c r="BD13" s="120"/>
      <x:c r="BE13" s="121"/>
      <x:c r="BF13" s="122"/>
      <x:c r="BG13" s="120"/>
      <x:c r="BH13" s="122"/>
      <x:c r="BI13" s="120"/>
      <x:c r="BJ13" s="121"/>
    </x:row>
    <x:row r="14" ht="15.75" customHeight="1">
      <x:c r="A14" s="136" t="s">
        <x:v>266</x:v>
      </x:c>
      <x:c r="B14" s="155" t="n">
        <x:f ca="1">TODAY()</x:f>
        <x:v>46304</x:v>
      </x:c>
      <x:c r="C14" s="119"/>
      <x:c r="D14" s="119"/>
      <x:c r="E14" s="119"/>
      <x:c r="F14" s="119"/>
      <x:c r="G14" s="119"/>
      <x:c r="H14" s="119"/>
      <x:c r="I14" s="119"/>
      <x:c r="J14" s="156" t="s">
        <x:v>123</x:v>
      </x:c>
      <x:c r="K14" s="157"/>
      <x:c r="L14" s="158"/>
      <x:c r="N14" s="120"/>
      <x:c r="P14" s="120"/>
      <x:c r="Q14" s="121"/>
      <x:c r="S14" s="120"/>
      <x:c r="U14" s="120"/>
      <x:c r="V14" s="121"/>
      <x:c r="W14" s="122"/>
      <x:c r="X14" s="120"/>
      <x:c r="Y14" s="122"/>
      <x:c r="Z14" s="120"/>
      <x:c r="AA14" s="121"/>
      <x:c r="AB14" s="122"/>
      <x:c r="AC14" s="120"/>
      <x:c r="AD14" s="122"/>
      <x:c r="AE14" s="120"/>
      <x:c r="AF14" s="121"/>
      <x:c r="AG14" s="122"/>
      <x:c r="AH14" s="120"/>
      <x:c r="AI14" s="122"/>
      <x:c r="AJ14" s="120"/>
      <x:c r="AK14" s="121"/>
      <x:c r="AL14" s="122"/>
      <x:c r="AM14" s="120"/>
      <x:c r="AN14" s="122"/>
      <x:c r="AO14" s="120"/>
      <x:c r="AP14" s="121"/>
      <x:c r="AQ14" s="122"/>
      <x:c r="AR14" s="120"/>
      <x:c r="AS14" s="122"/>
      <x:c r="AT14" s="120"/>
      <x:c r="AU14" s="121"/>
      <x:c r="AV14" s="122"/>
      <x:c r="AW14" s="120"/>
      <x:c r="AX14" s="122"/>
      <x:c r="AY14" s="120"/>
      <x:c r="AZ14" s="121"/>
      <x:c r="BA14" s="122"/>
      <x:c r="BB14" s="120"/>
      <x:c r="BC14" s="122"/>
      <x:c r="BD14" s="120"/>
      <x:c r="BE14" s="121"/>
      <x:c r="BF14" s="122"/>
      <x:c r="BG14" s="120"/>
      <x:c r="BH14" s="122"/>
      <x:c r="BI14" s="120"/>
      <x:c r="BJ14" s="121"/>
    </x:row>
    <x:row r="15" ht="15.75" customHeight="1">
      <x:c r="A15" s="119"/>
      <x:c r="B15" s="119"/>
      <x:c r="C15" s="119"/>
      <x:c r="D15" s="119"/>
      <x:c r="E15" s="119"/>
      <x:c r="F15" s="119"/>
      <x:c r="G15" s="119"/>
      <x:c r="H15" s="119"/>
      <x:c r="I15" s="119"/>
      <x:c r="J15" s="119"/>
      <x:c r="K15" s="119"/>
      <x:c r="L15" s="119"/>
      <x:c r="N15" s="120"/>
      <x:c r="P15" s="120"/>
      <x:c r="Q15" s="121"/>
      <x:c r="S15" s="120"/>
      <x:c r="U15" s="120"/>
      <x:c r="V15" s="121"/>
      <x:c r="W15" s="122"/>
      <x:c r="X15" s="120"/>
      <x:c r="Y15" s="122"/>
      <x:c r="Z15" s="120"/>
      <x:c r="AA15" s="121"/>
      <x:c r="AB15" s="122"/>
      <x:c r="AC15" s="120"/>
      <x:c r="AD15" s="122"/>
      <x:c r="AE15" s="120"/>
      <x:c r="AF15" s="121"/>
      <x:c r="AG15" s="122"/>
      <x:c r="AH15" s="120"/>
      <x:c r="AI15" s="122"/>
      <x:c r="AJ15" s="120"/>
      <x:c r="AK15" s="121"/>
      <x:c r="AL15" s="122"/>
      <x:c r="AM15" s="120"/>
      <x:c r="AN15" s="122"/>
      <x:c r="AO15" s="120"/>
      <x:c r="AP15" s="121"/>
      <x:c r="AQ15" s="122"/>
      <x:c r="AR15" s="120"/>
      <x:c r="AS15" s="122"/>
      <x:c r="AT15" s="120"/>
      <x:c r="AU15" s="121"/>
      <x:c r="AV15" s="122"/>
      <x:c r="AW15" s="120"/>
      <x:c r="AX15" s="122"/>
      <x:c r="AY15" s="120"/>
      <x:c r="AZ15" s="121"/>
      <x:c r="BA15" s="122"/>
      <x:c r="BB15" s="120"/>
      <x:c r="BC15" s="122"/>
      <x:c r="BD15" s="120"/>
      <x:c r="BE15" s="121"/>
      <x:c r="BF15" s="122"/>
      <x:c r="BG15" s="120"/>
      <x:c r="BH15" s="122"/>
      <x:c r="BI15" s="120"/>
      <x:c r="BJ15" s="121"/>
    </x:row>
    <x:row r="16" ht="15.75" customHeight="1">
      <x:c r="A16" s="247" t="s">
        <x:v>267</x:v>
      </x:c>
      <x:c r="B16" s="248" t="s">
        <x:v>268</x:v>
      </x:c>
      <x:c r="C16" s="249" t="str">
        <x:f>IF(B13="Prelim","PRELIM",IF(B13="Midterm","MIDTERM",IF(B13="Final","FINAL","")))</x:f>
        <x:v>FINAL</x:v>
      </x:c>
      <x:c r="D16" s="249"/>
      <x:c r="E16" s="249"/>
      <x:c r="F16" s="249"/>
      <x:c r="G16" s="250" t="s">
        <x:v>269</x:v>
      </x:c>
      <x:c r="H16" s="251" t="str">
        <x:f>IF(B8="LECTURE", "EXAM", "OUTPUT")</x:f>
        <x:v>OUTPUT</x:v>
      </x:c>
      <x:c r="I16" s="250" t="s">
        <x:v>270</x:v>
      </x:c>
      <x:c r="J16" s="252" t="s">
        <x:v>242</x:v>
      </x:c>
      <x:c r="K16" s="253" t="s">
        <x:v>243</x:v>
      </x:c>
      <x:c r="L16" s="253"/>
      <x:c r="N16" s="120"/>
      <x:c r="P16" s="120" t="s">
        <x:v>271</x:v>
      </x:c>
      <x:c r="Q16" s="159" t="str">
        <x:f>IFERROR(Q17/B10,"")</x:f>
      </x:c>
      <x:c r="S16" s="120"/>
      <x:c r="U16" s="120"/>
      <x:c r="V16" s="159" t="str">
        <x:f>IFERROR(V17/B10,"")</x:f>
      </x:c>
      <x:c r="W16" s="122"/>
      <x:c r="X16" s="120"/>
      <x:c r="Y16" s="122"/>
      <x:c r="Z16" s="120"/>
      <x:c r="AA16" s="159" t="str">
        <x:f>IFERROR(AA17/B10,"")</x:f>
      </x:c>
      <x:c r="AB16" s="122"/>
      <x:c r="AC16" s="120"/>
      <x:c r="AD16" s="122"/>
      <x:c r="AE16" s="120"/>
      <x:c r="AF16" s="159" t="str">
        <x:f>IFERROR(AF17/B10,"")</x:f>
      </x:c>
      <x:c r="AG16" s="122"/>
      <x:c r="AH16" s="120"/>
      <x:c r="AI16" s="122"/>
      <x:c r="AJ16" s="120"/>
      <x:c r="AK16" s="159" t="str">
        <x:f>IFERROR(AK17/B10,"")</x:f>
      </x:c>
      <x:c r="AL16" s="122"/>
      <x:c r="AM16" s="120"/>
      <x:c r="AN16" s="122"/>
      <x:c r="AO16" s="120"/>
      <x:c r="AP16" s="159" t="str">
        <x:f>IFERROR(AP17/B10,"")</x:f>
      </x:c>
      <x:c r="AQ16" s="122"/>
      <x:c r="AR16" s="120"/>
      <x:c r="AS16" s="122"/>
      <x:c r="AT16" s="120"/>
      <x:c r="AU16" s="159" t="str">
        <x:f>IFERROR(AU17/B10,"")</x:f>
      </x:c>
      <x:c r="AV16" s="122"/>
      <x:c r="AW16" s="120"/>
      <x:c r="AX16" s="122"/>
      <x:c r="AY16" s="120"/>
      <x:c r="AZ16" s="159" t="str">
        <x:f>IFERROR(AZ17/B10,"")</x:f>
      </x:c>
      <x:c r="BA16" s="122"/>
      <x:c r="BB16" s="120"/>
      <x:c r="BC16" s="122"/>
      <x:c r="BD16" s="120"/>
      <x:c r="BE16" s="159" t="str">
        <x:f>IFERROR(BE17/B10,"")</x:f>
      </x:c>
      <x:c r="BF16" s="122"/>
      <x:c r="BG16" s="120"/>
      <x:c r="BH16" s="122"/>
      <x:c r="BI16" s="120"/>
      <x:c r="BJ16" s="159" t="str">
        <x:f>IFERROR(BJ17/B10,"")</x:f>
      </x:c>
    </x:row>
    <x:row r="17" ht="15.75" customHeight="1">
      <x:c r="A17" s="247"/>
      <x:c r="B17" s="248"/>
      <x:c r="C17" s="249"/>
      <x:c r="D17" s="249"/>
      <x:c r="E17" s="249"/>
      <x:c r="F17" s="249"/>
      <x:c r="G17" s="250"/>
      <x:c r="H17" s="250"/>
      <x:c r="I17" s="250"/>
      <x:c r="J17" s="252"/>
      <x:c r="K17" s="253"/>
      <x:c r="L17" s="253"/>
      <x:c r="N17" s="120"/>
      <x:c r="P17" s="120" t="s">
        <x:v>272</x:v>
      </x:c>
      <x:c r="Q17" s="121" t="n">
        <x:f>COUNTIF(Q20:Q319,"Y")</x:f>
        <x:v>0</x:v>
      </x:c>
      <x:c r="S17" s="120"/>
      <x:c r="U17" s="120"/>
      <x:c r="V17" s="121" t="n">
        <x:f>COUNTIF(V20:V319,"Y")</x:f>
        <x:v>0</x:v>
      </x:c>
      <x:c r="W17" s="122"/>
      <x:c r="X17" s="120"/>
      <x:c r="Y17" s="122"/>
      <x:c r="Z17" s="120"/>
      <x:c r="AA17" s="121" t="n">
        <x:f>COUNTIF(AA20:AA319,"Y")</x:f>
        <x:v>0</x:v>
      </x:c>
      <x:c r="AB17" s="122"/>
      <x:c r="AC17" s="120"/>
      <x:c r="AD17" s="122"/>
      <x:c r="AE17" s="120"/>
      <x:c r="AF17" s="121" t="n">
        <x:f>COUNTIF(AF20:AF319,"Y")</x:f>
        <x:v>0</x:v>
      </x:c>
      <x:c r="AG17" s="122"/>
      <x:c r="AH17" s="120"/>
      <x:c r="AI17" s="122"/>
      <x:c r="AJ17" s="120"/>
      <x:c r="AK17" s="121" t="n">
        <x:f>COUNTIF(AK20:AK319,"Y")</x:f>
        <x:v>0</x:v>
      </x:c>
      <x:c r="AL17" s="122"/>
      <x:c r="AM17" s="120"/>
      <x:c r="AN17" s="122"/>
      <x:c r="AO17" s="120"/>
      <x:c r="AP17" s="121" t="n">
        <x:f>COUNTIF(AP20:AP319,"Y")</x:f>
        <x:v>0</x:v>
      </x:c>
      <x:c r="AQ17" s="122"/>
      <x:c r="AR17" s="120"/>
      <x:c r="AS17" s="122"/>
      <x:c r="AT17" s="120"/>
      <x:c r="AU17" s="121" t="n">
        <x:f>COUNTIF(AU20:AU319,"Y")</x:f>
        <x:v>0</x:v>
      </x:c>
      <x:c r="AV17" s="122"/>
      <x:c r="AW17" s="120"/>
      <x:c r="AX17" s="122"/>
      <x:c r="AY17" s="120"/>
      <x:c r="AZ17" s="121" t="n">
        <x:f>COUNTIF(AZ20:AZ319,"Y")</x:f>
        <x:v>0</x:v>
      </x:c>
      <x:c r="BA17" s="122"/>
      <x:c r="BB17" s="120"/>
      <x:c r="BC17" s="122"/>
      <x:c r="BD17" s="120"/>
      <x:c r="BE17" s="121" t="n">
        <x:f>COUNTIF(BE20:BE319,"Y")</x:f>
        <x:v>0</x:v>
      </x:c>
      <x:c r="BF17" s="122"/>
      <x:c r="BG17" s="120"/>
      <x:c r="BH17" s="122"/>
      <x:c r="BI17" s="120"/>
      <x:c r="BJ17" s="121" t="n">
        <x:f>COUNTIF(BJ20:BJ319,"Y")</x:f>
        <x:v>0</x:v>
      </x:c>
    </x:row>
    <x:row r="18" ht="15.75" customHeight="1">
      <x:c r="A18" s="247"/>
      <x:c r="B18" s="248"/>
      <x:c r="C18" s="160" t="s">
        <x:v>228</x:v>
      </x:c>
      <x:c r="D18" s="254"/>
      <x:c r="E18" s="160" t="s">
        <x:v>139</x:v>
      </x:c>
      <x:c r="F18" s="254"/>
      <x:c r="G18" s="250"/>
      <x:c r="H18" s="250"/>
      <x:c r="I18" s="250"/>
      <x:c r="J18" s="252"/>
      <x:c r="K18" s="253"/>
      <x:c r="L18" s="253"/>
      <x:c r="M18" s="235" t="s">
        <x:v>16</x:v>
      </x:c>
      <x:c r="N18" s="235"/>
      <x:c r="O18" s="235"/>
      <x:c r="P18" s="235"/>
      <x:c r="Q18" s="235"/>
      <x:c r="R18" s="237" t="s">
        <x:v>17</x:v>
      </x:c>
      <x:c r="S18" s="237"/>
      <x:c r="T18" s="237"/>
      <x:c r="U18" s="237"/>
      <x:c r="V18" s="237"/>
      <x:c r="W18" s="235" t="s">
        <x:v>18</x:v>
      </x:c>
      <x:c r="X18" s="235"/>
      <x:c r="Y18" s="235"/>
      <x:c r="Z18" s="235"/>
      <x:c r="AA18" s="235"/>
      <x:c r="AB18" s="237" t="s">
        <x:v>273</x:v>
      </x:c>
      <x:c r="AC18" s="237"/>
      <x:c r="AD18" s="237"/>
      <x:c r="AE18" s="237"/>
      <x:c r="AF18" s="237"/>
      <x:c r="AG18" s="238" t="s">
        <x:v>20</x:v>
      </x:c>
      <x:c r="AH18" s="238"/>
      <x:c r="AI18" s="238"/>
      <x:c r="AJ18" s="238"/>
      <x:c r="AK18" s="238"/>
      <x:c r="AL18" s="239" t="s">
        <x:v>117</x:v>
      </x:c>
      <x:c r="AM18" s="239"/>
      <x:c r="AN18" s="239"/>
      <x:c r="AO18" s="239"/>
      <x:c r="AP18" s="239"/>
      <x:c r="AQ18" s="237" t="s">
        <x:v>118</x:v>
      </x:c>
      <x:c r="AR18" s="237"/>
      <x:c r="AS18" s="237"/>
      <x:c r="AT18" s="237"/>
      <x:c r="AU18" s="237"/>
      <x:c r="AV18" s="239" t="s">
        <x:v>119</x:v>
      </x:c>
      <x:c r="AW18" s="239"/>
      <x:c r="AX18" s="239"/>
      <x:c r="AY18" s="239"/>
      <x:c r="AZ18" s="239"/>
      <x:c r="BA18" s="237" t="s">
        <x:v>121</x:v>
      </x:c>
      <x:c r="BB18" s="237"/>
      <x:c r="BC18" s="237"/>
      <x:c r="BD18" s="237"/>
      <x:c r="BE18" s="237"/>
      <x:c r="BF18" s="235" t="s">
        <x:v>123</x:v>
      </x:c>
      <x:c r="BG18" s="235"/>
      <x:c r="BH18" s="235"/>
      <x:c r="BI18" s="235"/>
      <x:c r="BJ18" s="235"/>
    </x:row>
    <x:row r="19" ht="15.75" customHeight="1">
      <x:c r="A19" s="247"/>
      <x:c r="B19" s="248"/>
      <x:c r="C19" s="161"/>
      <x:c r="D19" s="254"/>
      <x:c r="E19" s="161"/>
      <x:c r="F19" s="254"/>
      <x:c r="G19" s="162"/>
      <x:c r="H19" s="163"/>
      <x:c r="I19" s="164"/>
      <x:c r="J19" s="252"/>
      <x:c r="K19" s="253"/>
      <x:c r="L19" s="253"/>
      <x:c r="M19" s="165" t="s">
        <x:v>274</x:v>
      </x:c>
      <x:c r="N19" s="166" t="s">
        <x:v>275</x:v>
      </x:c>
      <x:c r="O19" s="165" t="s">
        <x:v>276</x:v>
      </x:c>
      <x:c r="P19" s="166" t="s">
        <x:v>277</x:v>
      </x:c>
      <x:c r="Q19" s="167" t="s">
        <x:v>278</x:v>
      </x:c>
      <x:c r="R19" s="165" t="s">
        <x:v>274</x:v>
      </x:c>
      <x:c r="S19" s="166" t="s">
        <x:v>275</x:v>
      </x:c>
      <x:c r="T19" s="165" t="s">
        <x:v>276</x:v>
      </x:c>
      <x:c r="U19" s="166" t="s">
        <x:v>277</x:v>
      </x:c>
      <x:c r="V19" s="165" t="s">
        <x:v>278</x:v>
      </x:c>
      <x:c r="W19" s="168" t="s">
        <x:v>274</x:v>
      </x:c>
      <x:c r="X19" s="166" t="s">
        <x:v>275</x:v>
      </x:c>
      <x:c r="Y19" s="168" t="s">
        <x:v>276</x:v>
      </x:c>
      <x:c r="Z19" s="166" t="s">
        <x:v>277</x:v>
      </x:c>
      <x:c r="AA19" s="167" t="s">
        <x:v>278</x:v>
      </x:c>
      <x:c r="AB19" s="168" t="s">
        <x:v>274</x:v>
      </x:c>
      <x:c r="AC19" s="166" t="s">
        <x:v>275</x:v>
      </x:c>
      <x:c r="AD19" s="168" t="s">
        <x:v>276</x:v>
      </x:c>
      <x:c r="AE19" s="166" t="s">
        <x:v>277</x:v>
      </x:c>
      <x:c r="AF19" s="167" t="s">
        <x:v>278</x:v>
      </x:c>
      <x:c r="AG19" s="168" t="s">
        <x:v>274</x:v>
      </x:c>
      <x:c r="AH19" s="166" t="s">
        <x:v>275</x:v>
      </x:c>
      <x:c r="AI19" s="168" t="s">
        <x:v>276</x:v>
      </x:c>
      <x:c r="AJ19" s="166" t="s">
        <x:v>277</x:v>
      </x:c>
      <x:c r="AK19" s="167" t="s">
        <x:v>278</x:v>
      </x:c>
      <x:c r="AL19" s="168" t="s">
        <x:v>274</x:v>
      </x:c>
      <x:c r="AM19" s="166" t="s">
        <x:v>275</x:v>
      </x:c>
      <x:c r="AN19" s="168" t="s">
        <x:v>276</x:v>
      </x:c>
      <x:c r="AO19" s="166" t="s">
        <x:v>277</x:v>
      </x:c>
      <x:c r="AP19" s="167" t="s">
        <x:v>278</x:v>
      </x:c>
      <x:c r="AQ19" s="168" t="s">
        <x:v>274</x:v>
      </x:c>
      <x:c r="AR19" s="166" t="s">
        <x:v>275</x:v>
      </x:c>
      <x:c r="AS19" s="168" t="s">
        <x:v>276</x:v>
      </x:c>
      <x:c r="AT19" s="166" t="s">
        <x:v>277</x:v>
      </x:c>
      <x:c r="AU19" s="167" t="s">
        <x:v>278</x:v>
      </x:c>
      <x:c r="AV19" s="168" t="s">
        <x:v>274</x:v>
      </x:c>
      <x:c r="AW19" s="166" t="s">
        <x:v>275</x:v>
      </x:c>
      <x:c r="AX19" s="168" t="s">
        <x:v>276</x:v>
      </x:c>
      <x:c r="AY19" s="166" t="s">
        <x:v>277</x:v>
      </x:c>
      <x:c r="AZ19" s="167" t="s">
        <x:v>278</x:v>
      </x:c>
      <x:c r="BA19" s="168" t="s">
        <x:v>274</x:v>
      </x:c>
      <x:c r="BB19" s="166" t="s">
        <x:v>275</x:v>
      </x:c>
      <x:c r="BC19" s="168" t="s">
        <x:v>276</x:v>
      </x:c>
      <x:c r="BD19" s="166" t="s">
        <x:v>277</x:v>
      </x:c>
      <x:c r="BE19" s="167" t="s">
        <x:v>278</x:v>
      </x:c>
      <x:c r="BF19" s="168" t="s">
        <x:v>274</x:v>
      </x:c>
      <x:c r="BG19" s="166" t="s">
        <x:v>275</x:v>
      </x:c>
      <x:c r="BH19" s="168" t="s">
        <x:v>276</x:v>
      </x:c>
      <x:c r="BI19" s="166" t="s">
        <x:v>277</x:v>
      </x:c>
      <x:c r="BJ19" s="167" t="s">
        <x:v>278</x:v>
      </x:c>
    </x:row>
    <x:row r="20" ht="19.5" customHeight="1">
      <x:c r="A20" s="169"/>
      <x:c r="B20" s="170"/>
      <x:c r="C20" s="171"/>
      <x:c r="D20" s="172"/>
      <x:c r="E20" s="171"/>
      <x:c r="F20" s="173"/>
      <x:c r="G20" s="174"/>
      <x:c r="H20" s="175"/>
      <x:c r="I20" s="174"/>
      <x:c r="J20" s="176"/>
      <x:c r="K20" s="236"/>
      <x:c r="L20" s="236"/>
      <x:c r="M20" s="122"/>
      <x:c r="N20" s="177" t="str">
        <x:f t="shared" ref="N20:N83" si="0">IF(B20&lt;&gt;"",IF(M20="","",IF(M20&lt;0.5,1,IF(AND(M20&gt;=0.5,M20&lt;P$10),2,IF(M20&gt;=P$10,3)))),"")</x:f>
      </x:c>
      <x:c r="O20" s="122"/>
      <x:c r="P20" s="177" t="str">
        <x:f t="shared" ref="P20:P83" si="1">IF(B20&lt;&gt;"",IF(O20="","",IF(O20&lt;0.5,1,IF(AND(O20&gt;=0.5,O20&lt;P$10),2,IF(O20&gt;=P$10,3)))),"")</x:f>
      </x:c>
      <x:c r="Q20" s="178" t="str">
        <x:f t="shared" ref="Q20:Q83" si="2">IF(B20 &lt;&gt; "",IFERROR(IF(AVERAGE(M20,O20)&gt;=P$10,"Y","N"),""),"")</x:f>
      </x:c>
      <x:c r="R20" s="122"/>
      <x:c r="S20" s="177" t="str">
        <x:f t="shared" ref="S20:S83" si="3">IF(B20&lt;&gt;"",IF(R20="","",IF(R20&lt;0.5,1,IF(AND(R20&gt;=0.5,R20&lt;P$10),2,IF(R20&gt;=P$10,3)))),"")</x:f>
      </x:c>
      <x:c r="T20" s="122"/>
      <x:c r="U20" s="177" t="str">
        <x:f t="shared" ref="U20:U83" si="4">IF(B20&lt;&gt;"",IF(T20="","",IF(T20&lt;0.5,1,IF(AND(T20&gt;=0.5,T20&lt;P$10),2,IF(T20&gt;=P$10,3)))),"")</x:f>
      </x:c>
      <x:c r="V20" s="178" t="str">
        <x:f t="shared" ref="V20:V83" si="5">IF(B20 &lt;&gt; "",IFERROR(IF(AVERAGE(R20,T20)&gt;=P$10,"Y","N"),""),"")</x:f>
      </x:c>
      <x:c r="W20" s="122"/>
      <x:c r="X20" s="177" t="str">
        <x:f t="shared" ref="X20:X83" si="6">IF(B20&lt;&gt;"",IF(W20="","",IF(W20&lt;0.5,1,IF(AND(W20&gt;=0.5,W20&lt;P$10),2,IF(W20&gt;=P$10,3)))),"")</x:f>
      </x:c>
      <x:c r="Y20" s="122"/>
      <x:c r="Z20" s="177" t="str">
        <x:f t="shared" ref="Z20:Z83" si="7">IF(B20&lt;&gt;"",IF(Y20="","",IF(Y20&lt;0.5,1,IF(AND(Y20&gt;=0.5,Y20&lt;P$10),2,IF(Y20&gt;=P$10,3)))),"")</x:f>
      </x:c>
      <x:c r="AA20" s="178" t="str">
        <x:f t="shared" ref="AA20:AA83" si="8">IF(B20 &lt;&gt; "",IFERROR(IF(AVERAGE(W20,Y20)&gt;=P$10,"Y","N"),""),"")</x:f>
      </x:c>
      <x:c r="AB20" s="122"/>
      <x:c r="AC20" s="177" t="str">
        <x:f t="shared" ref="AC20:AC83" si="9">IF(B20&lt;&gt;"",IF(AB20="","",IF(AB20&lt;0.5,1,IF(AND(AB20&gt;=0.5,AB20&lt;P$10),2,IF(AB20&gt;=P$10,3)))),"")</x:f>
      </x:c>
      <x:c r="AD20" s="122"/>
      <x:c r="AE20" s="177" t="str">
        <x:f t="shared" ref="AE20:AE83" si="10">IF(B20&lt;&gt;"",IF(AD20="","",IF(AD20&lt;0.5,1,IF(AND(AD20&gt;=0.5,AD20&lt;P$10),2,IF(AD20&gt;=P$10,3)))),"")</x:f>
      </x:c>
      <x:c r="AF20" s="178" t="str">
        <x:f t="shared" ref="AF20:AF83" si="11">IF(B20 &lt;&gt; "",IFERROR(IF(AVERAGE(AB20,AD20)&gt;=P$10,"Y","N"),""),"")</x:f>
      </x:c>
      <x:c r="AG20" s="122"/>
      <x:c r="AH20" s="177" t="str">
        <x:f t="shared" ref="AH20:AH83" si="12">IF(B20&lt;&gt;"",IF(AG20="","",IF(AG20&lt;0.5,1,IF(AND(AG20&gt;=0.5,AG20&lt;P$10),2,IF(AG20&gt;=P$10,3)))),"")</x:f>
      </x:c>
      <x:c r="AI20" s="122"/>
      <x:c r="AJ20" s="177" t="str">
        <x:f t="shared" ref="AJ20:AJ83" si="13">IF(B20&lt;&gt;"",IF(AI20="","",IF(AI20&lt;0.5,1,IF(AND(AI20&gt;=0.5,AI20&lt;P$10),2,IF(AI20&gt;=P$10,3)))),"")</x:f>
      </x:c>
      <x:c r="AK20" s="178" t="str">
        <x:f t="shared" ref="AK20:AK83" si="14">IF(B20 &lt;&gt; "",IFERROR(IF(AVERAGE(AG20,AI20)&gt;=P$10,"Y","N"),""),"")</x:f>
      </x:c>
      <x:c r="AL20" s="122"/>
      <x:c r="AM20" s="177" t="str">
        <x:f t="shared" ref="AM20:AM83" si="15">IF(B20&lt;&gt;"",IF(AL20="","",IF(AL20&lt;0.5,1,IF(AND(AL20&gt;=0.5,AL20&lt;P$10),2,IF(AL20&gt;=P$10,3)))),"")</x:f>
      </x:c>
      <x:c r="AN20" s="122"/>
      <x:c r="AO20" s="177" t="str">
        <x:f t="shared" ref="AO20:AO83" si="16">IF(B20&lt;&gt;"",IF(AN20="","",IF(AN20&lt;0.5,1,IF(AND(AN20&gt;=0.5,AN20&lt;P$10),2,IF(AN20&gt;=P$10,3)))),"")</x:f>
      </x:c>
      <x:c r="AP20" s="178" t="str">
        <x:f t="shared" ref="AP20:AP83" si="17">IF(B20 &lt;&gt; "",IFERROR(IF(AVERAGE(AL20,AN20)&gt;=P$10,"Y","N"),""),"")</x:f>
      </x:c>
      <x:c r="AQ20" s="122"/>
      <x:c r="AR20" s="177" t="str">
        <x:f t="shared" ref="AR20:AR83" si="18">IF(B20&lt;&gt;"",IF(AQ20="","",IF(AQ20&lt;0.5,1,IF(AND(AQ20&gt;=0.5,AQ20&lt;P$10),2,IF(AQ20&gt;=P$10,3)))),"")</x:f>
      </x:c>
      <x:c r="AS20" s="122"/>
      <x:c r="AT20" s="177" t="str">
        <x:f t="shared" ref="AT20:AT83" si="19">IF(B20&lt;&gt;"",IF(AS20="","",IF(AS20&lt;0.5,1,IF(AND(AS20&gt;=0.5,AS20&lt;P$10),2,IF(AS20&gt;=P$10,3)))),"")</x:f>
      </x:c>
      <x:c r="AU20" s="178" t="str">
        <x:f t="shared" ref="AU20:AU83" si="20">IF(B20 &lt;&gt; "",IFERROR(IF(AVERAGE(AQ20,AS20)&gt;=P$10,"Y","N"),""),"")</x:f>
      </x:c>
      <x:c r="AV20" s="122"/>
      <x:c r="AW20" s="177" t="str">
        <x:f t="shared" ref="AW20:AW83" si="21">IF(B20&lt;&gt;"",IF(AV20="","",IF(AV20&lt;0.5,1,IF(AND(AV20&gt;=0.5,AV20&lt;P$10),2,IF(AV20&gt;=P$10,3)))),"")</x:f>
      </x:c>
      <x:c r="AX20" s="122"/>
      <x:c r="AY20" s="177" t="str">
        <x:f t="shared" ref="AY20:AY83" si="22">IF(B20&lt;&gt;"",IF(AX20="","",IF(AX20&lt;0.5,1,IF(AND(AX20&gt;=0.5,AX20&lt;P$10),2,IF(AX20&gt;=P$10,3)))),"")</x:f>
      </x:c>
      <x:c r="AZ20" s="178" t="str">
        <x:f t="shared" ref="AZ20:AZ83" si="23">IF(B20 &lt;&gt; "",IFERROR(IF(AVERAGE(AV20,AX20)&gt;=P$10,"Y","N"),""),"")</x:f>
      </x:c>
      <x:c r="BA20" s="122"/>
      <x:c r="BB20" s="177" t="str">
        <x:f t="shared" ref="BB20:BB83" si="24">IF(B20&lt;&gt;"",IF(BA20="","",IF(BA20&lt;0.5,1,IF(AND(BA20&gt;=0.5,BA20&lt;P$10),2,IF(BA20&gt;=P$10,3)))),"")</x:f>
      </x:c>
      <x:c r="BC20" s="122"/>
      <x:c r="BD20" s="177" t="str">
        <x:f t="shared" ref="BD20:BD83" si="25">IF(B20&lt;&gt;"",IF(BC20="","",IF(BC20&lt;0.5,1,IF(AND(BC20&gt;=0.5,BC20&lt;P$10),2,IF(BC20&gt;=P$10,3)))),"")</x:f>
      </x:c>
      <x:c r="BE20" s="178" t="str">
        <x:f t="shared" ref="BE20:BE83" si="26">IF(B20 &lt;&gt; "",IFERROR(IF(AVERAGE(BA20,BC20)&gt;=P$10,"Y","N"),""),"")</x:f>
      </x:c>
      <x:c r="BF20" s="122"/>
      <x:c r="BG20" s="177" t="str">
        <x:f t="shared" ref="BG20:BG83" si="27">IF(B20&lt;&gt;"",IF(BF20="","",IF(BF20&lt;0.5,1,IF(AND(BF20&gt;=0.5,BF20&lt;P$10),2,IF(BF20&gt;=P$10,3)))),"")</x:f>
      </x:c>
      <x:c r="BH20" s="122"/>
      <x:c r="BI20" s="177" t="str">
        <x:f t="shared" ref="BI20:BI83" si="28">IF(B20&lt;&gt;"",IF(BH20="","",IF(BH20&lt;0.5,1,IF(AND(BH20&gt;=0.5,BH20&lt;P$10),2,IF(BH20&gt;=P$10,3)))),"")</x:f>
      </x:c>
      <x:c r="BJ20" s="178" t="str">
        <x:f t="shared" ref="BJ20:BJ83" si="29">IF(B20 &lt;&gt; "",IFERROR(IF(AVERAGE(BF20,BH20)&gt;=P$10,"Y","N"),""),"")</x:f>
      </x:c>
    </x:row>
    <x:row r="21" ht="19.5" customHeight="1">
      <x:c r="A21" s="160"/>
      <x:c r="B21" s="179"/>
      <x:c r="C21" s="171"/>
      <x:c r="D21" s="172"/>
      <x:c r="E21" s="171"/>
      <x:c r="F21" s="173"/>
      <x:c r="G21" s="174"/>
      <x:c r="H21" s="175"/>
      <x:c r="I21" s="174"/>
      <x:c r="J21" s="176"/>
      <x:c r="K21" s="233"/>
      <x:c r="L21" s="233"/>
      <x:c r="M21" s="122"/>
      <x:c r="N21" s="177" t="str">
        <x:f t="shared" si="0"/>
      </x:c>
      <x:c r="O21" s="122"/>
      <x:c r="P21" s="177" t="str">
        <x:f t="shared" si="1"/>
      </x:c>
      <x:c r="Q21" s="178" t="str">
        <x:f t="shared" si="2"/>
      </x:c>
      <x:c r="R21" s="122"/>
      <x:c r="S21" s="177" t="str">
        <x:f t="shared" si="3"/>
      </x:c>
      <x:c r="T21" s="122"/>
      <x:c r="U21" s="177" t="str">
        <x:f t="shared" si="4"/>
      </x:c>
      <x:c r="V21" s="178" t="str">
        <x:f t="shared" si="5"/>
      </x:c>
      <x:c r="W21" s="122"/>
      <x:c r="X21" s="177" t="str">
        <x:f t="shared" si="6"/>
      </x:c>
      <x:c r="Y21" s="122"/>
      <x:c r="Z21" s="177" t="str">
        <x:f t="shared" si="7"/>
      </x:c>
      <x:c r="AA21" s="178" t="str">
        <x:f t="shared" si="8"/>
      </x:c>
      <x:c r="AB21" s="122"/>
      <x:c r="AC21" s="177" t="str">
        <x:f t="shared" si="9"/>
      </x:c>
      <x:c r="AD21" s="122"/>
      <x:c r="AE21" s="177" t="str">
        <x:f t="shared" si="10"/>
      </x:c>
      <x:c r="AF21" s="178" t="str">
        <x:f t="shared" si="11"/>
      </x:c>
      <x:c r="AG21" s="122"/>
      <x:c r="AH21" s="177" t="str">
        <x:f t="shared" si="12"/>
      </x:c>
      <x:c r="AI21" s="122"/>
      <x:c r="AJ21" s="177" t="str">
        <x:f t="shared" si="13"/>
      </x:c>
      <x:c r="AK21" s="178" t="str">
        <x:f t="shared" si="14"/>
      </x:c>
      <x:c r="AL21" s="122"/>
      <x:c r="AM21" s="177" t="str">
        <x:f t="shared" si="15"/>
      </x:c>
      <x:c r="AN21" s="122"/>
      <x:c r="AO21" s="177" t="str">
        <x:f t="shared" si="16"/>
      </x:c>
      <x:c r="AP21" s="178" t="str">
        <x:f t="shared" si="17"/>
      </x:c>
      <x:c r="AQ21" s="122"/>
      <x:c r="AR21" s="177" t="str">
        <x:f t="shared" si="18"/>
      </x:c>
      <x:c r="AS21" s="122"/>
      <x:c r="AT21" s="177" t="str">
        <x:f t="shared" si="19"/>
      </x:c>
      <x:c r="AU21" s="178" t="str">
        <x:f t="shared" si="20"/>
      </x:c>
      <x:c r="AV21" s="122"/>
      <x:c r="AW21" s="177" t="str">
        <x:f t="shared" si="21"/>
      </x:c>
      <x:c r="AX21" s="122"/>
      <x:c r="AY21" s="177" t="str">
        <x:f t="shared" si="22"/>
      </x:c>
      <x:c r="AZ21" s="178" t="str">
        <x:f t="shared" si="23"/>
      </x:c>
      <x:c r="BA21" s="122"/>
      <x:c r="BB21" s="177" t="str">
        <x:f t="shared" si="24"/>
      </x:c>
      <x:c r="BC21" s="122"/>
      <x:c r="BD21" s="177" t="str">
        <x:f t="shared" si="25"/>
      </x:c>
      <x:c r="BE21" s="178" t="str">
        <x:f t="shared" si="26"/>
      </x:c>
      <x:c r="BF21" s="122"/>
      <x:c r="BG21" s="177" t="str">
        <x:f t="shared" si="27"/>
      </x:c>
      <x:c r="BH21" s="122"/>
      <x:c r="BI21" s="177" t="str">
        <x:f t="shared" si="28"/>
      </x:c>
      <x:c r="BJ21" s="178" t="str">
        <x:f t="shared" si="29"/>
      </x:c>
    </x:row>
    <x:row r="22" ht="19.5" customHeight="1">
      <x:c r="A22" s="169"/>
      <x:c r="B22" s="170"/>
      <x:c r="C22" s="171"/>
      <x:c r="D22" s="172"/>
      <x:c r="E22" s="171"/>
      <x:c r="F22" s="173"/>
      <x:c r="G22" s="174"/>
      <x:c r="H22" s="175"/>
      <x:c r="I22" s="174"/>
      <x:c r="J22" s="176"/>
      <x:c r="K22" s="233"/>
      <x:c r="L22" s="233"/>
      <x:c r="M22" s="122"/>
      <x:c r="N22" s="177" t="str">
        <x:f t="shared" si="0"/>
      </x:c>
      <x:c r="O22" s="122"/>
      <x:c r="P22" s="177" t="str">
        <x:f t="shared" si="1"/>
      </x:c>
      <x:c r="Q22" s="178" t="str">
        <x:f t="shared" si="2"/>
      </x:c>
      <x:c r="R22" s="122"/>
      <x:c r="S22" s="177" t="str">
        <x:f t="shared" si="3"/>
      </x:c>
      <x:c r="T22" s="122"/>
      <x:c r="U22" s="177" t="str">
        <x:f t="shared" si="4"/>
      </x:c>
      <x:c r="V22" s="178" t="str">
        <x:f t="shared" si="5"/>
      </x:c>
      <x:c r="W22" s="122"/>
      <x:c r="X22" s="177" t="str">
        <x:f t="shared" si="6"/>
      </x:c>
      <x:c r="Y22" s="122"/>
      <x:c r="Z22" s="177" t="str">
        <x:f t="shared" si="7"/>
      </x:c>
      <x:c r="AA22" s="178" t="str">
        <x:f t="shared" si="8"/>
      </x:c>
      <x:c r="AB22" s="122"/>
      <x:c r="AC22" s="177" t="str">
        <x:f t="shared" si="9"/>
      </x:c>
      <x:c r="AD22" s="122"/>
      <x:c r="AE22" s="177" t="str">
        <x:f t="shared" si="10"/>
      </x:c>
      <x:c r="AF22" s="178" t="str">
        <x:f t="shared" si="11"/>
      </x:c>
      <x:c r="AG22" s="122"/>
      <x:c r="AH22" s="177" t="str">
        <x:f t="shared" si="12"/>
      </x:c>
      <x:c r="AI22" s="122"/>
      <x:c r="AJ22" s="177" t="str">
        <x:f t="shared" si="13"/>
      </x:c>
      <x:c r="AK22" s="178" t="str">
        <x:f t="shared" si="14"/>
      </x:c>
      <x:c r="AL22" s="122"/>
      <x:c r="AM22" s="177" t="str">
        <x:f t="shared" si="15"/>
      </x:c>
      <x:c r="AN22" s="122"/>
      <x:c r="AO22" s="177" t="str">
        <x:f t="shared" si="16"/>
      </x:c>
      <x:c r="AP22" s="178" t="str">
        <x:f t="shared" si="17"/>
      </x:c>
      <x:c r="AQ22" s="122"/>
      <x:c r="AR22" s="177" t="str">
        <x:f t="shared" si="18"/>
      </x:c>
      <x:c r="AS22" s="122"/>
      <x:c r="AT22" s="177" t="str">
        <x:f t="shared" si="19"/>
      </x:c>
      <x:c r="AU22" s="178" t="str">
        <x:f t="shared" si="20"/>
      </x:c>
      <x:c r="AV22" s="122"/>
      <x:c r="AW22" s="177" t="str">
        <x:f t="shared" si="21"/>
      </x:c>
      <x:c r="AX22" s="122"/>
      <x:c r="AY22" s="177" t="str">
        <x:f t="shared" si="22"/>
      </x:c>
      <x:c r="AZ22" s="178" t="str">
        <x:f t="shared" si="23"/>
      </x:c>
      <x:c r="BA22" s="122"/>
      <x:c r="BB22" s="177" t="str">
        <x:f t="shared" si="24"/>
      </x:c>
      <x:c r="BC22" s="122"/>
      <x:c r="BD22" s="177" t="str">
        <x:f t="shared" si="25"/>
      </x:c>
      <x:c r="BE22" s="178" t="str">
        <x:f t="shared" si="26"/>
      </x:c>
      <x:c r="BF22" s="122"/>
      <x:c r="BG22" s="177" t="str">
        <x:f t="shared" si="27"/>
      </x:c>
      <x:c r="BH22" s="122"/>
      <x:c r="BI22" s="177" t="str">
        <x:f t="shared" si="28"/>
      </x:c>
      <x:c r="BJ22" s="178" t="str">
        <x:f t="shared" si="29"/>
      </x:c>
    </x:row>
    <x:row r="23" ht="19.5" customHeight="1">
      <x:c r="A23" s="160"/>
      <x:c r="B23" s="179"/>
      <x:c r="C23" s="171"/>
      <x:c r="D23" s="172"/>
      <x:c r="E23" s="171"/>
      <x:c r="F23" s="173"/>
      <x:c r="G23" s="174"/>
      <x:c r="H23" s="175"/>
      <x:c r="I23" s="174"/>
      <x:c r="J23" s="176"/>
      <x:c r="K23" s="233"/>
      <x:c r="L23" s="233"/>
      <x:c r="M23" s="122"/>
      <x:c r="N23" s="177" t="str">
        <x:f t="shared" si="0"/>
      </x:c>
      <x:c r="O23" s="122"/>
      <x:c r="P23" s="177" t="str">
        <x:f t="shared" si="1"/>
      </x:c>
      <x:c r="Q23" s="178" t="str">
        <x:f t="shared" si="2"/>
      </x:c>
      <x:c r="R23" s="122"/>
      <x:c r="S23" s="177" t="str">
        <x:f t="shared" si="3"/>
      </x:c>
      <x:c r="T23" s="122"/>
      <x:c r="U23" s="177" t="str">
        <x:f t="shared" si="4"/>
      </x:c>
      <x:c r="V23" s="178" t="str">
        <x:f t="shared" si="5"/>
      </x:c>
      <x:c r="W23" s="122"/>
      <x:c r="X23" s="177" t="str">
        <x:f t="shared" si="6"/>
      </x:c>
      <x:c r="Y23" s="122"/>
      <x:c r="Z23" s="177" t="str">
        <x:f t="shared" si="7"/>
      </x:c>
      <x:c r="AA23" s="178" t="str">
        <x:f t="shared" si="8"/>
      </x:c>
      <x:c r="AB23" s="122"/>
      <x:c r="AC23" s="177" t="str">
        <x:f t="shared" si="9"/>
      </x:c>
      <x:c r="AD23" s="122"/>
      <x:c r="AE23" s="177" t="str">
        <x:f t="shared" si="10"/>
      </x:c>
      <x:c r="AF23" s="178" t="str">
        <x:f t="shared" si="11"/>
      </x:c>
      <x:c r="AG23" s="122"/>
      <x:c r="AH23" s="177" t="str">
        <x:f t="shared" si="12"/>
      </x:c>
      <x:c r="AI23" s="122"/>
      <x:c r="AJ23" s="177" t="str">
        <x:f t="shared" si="13"/>
      </x:c>
      <x:c r="AK23" s="178" t="str">
        <x:f t="shared" si="14"/>
      </x:c>
      <x:c r="AL23" s="122"/>
      <x:c r="AM23" s="177" t="str">
        <x:f t="shared" si="15"/>
      </x:c>
      <x:c r="AN23" s="122"/>
      <x:c r="AO23" s="177" t="str">
        <x:f t="shared" si="16"/>
      </x:c>
      <x:c r="AP23" s="178" t="str">
        <x:f t="shared" si="17"/>
      </x:c>
      <x:c r="AQ23" s="122"/>
      <x:c r="AR23" s="177" t="str">
        <x:f t="shared" si="18"/>
      </x:c>
      <x:c r="AS23" s="122"/>
      <x:c r="AT23" s="177" t="str">
        <x:f t="shared" si="19"/>
      </x:c>
      <x:c r="AU23" s="178" t="str">
        <x:f t="shared" si="20"/>
      </x:c>
      <x:c r="AV23" s="122"/>
      <x:c r="AW23" s="177" t="str">
        <x:f t="shared" si="21"/>
      </x:c>
      <x:c r="AX23" s="122"/>
      <x:c r="AY23" s="177" t="str">
        <x:f t="shared" si="22"/>
      </x:c>
      <x:c r="AZ23" s="178" t="str">
        <x:f t="shared" si="23"/>
      </x:c>
      <x:c r="BA23" s="122"/>
      <x:c r="BB23" s="177" t="str">
        <x:f t="shared" si="24"/>
      </x:c>
      <x:c r="BC23" s="122"/>
      <x:c r="BD23" s="177" t="str">
        <x:f t="shared" si="25"/>
      </x:c>
      <x:c r="BE23" s="178" t="str">
        <x:f t="shared" si="26"/>
      </x:c>
      <x:c r="BF23" s="122"/>
      <x:c r="BG23" s="177" t="str">
        <x:f t="shared" si="27"/>
      </x:c>
      <x:c r="BH23" s="122"/>
      <x:c r="BI23" s="177" t="str">
        <x:f t="shared" si="28"/>
      </x:c>
      <x:c r="BJ23" s="178" t="str">
        <x:f t="shared" si="29"/>
      </x:c>
    </x:row>
    <x:row r="24" ht="19.5" customHeight="1">
      <x:c r="A24" s="169"/>
      <x:c r="B24" s="170"/>
      <x:c r="C24" s="171"/>
      <x:c r="D24" s="172"/>
      <x:c r="E24" s="171"/>
      <x:c r="F24" s="173"/>
      <x:c r="G24" s="174"/>
      <x:c r="H24" s="175"/>
      <x:c r="I24" s="174"/>
      <x:c r="J24" s="176"/>
      <x:c r="K24" s="233"/>
      <x:c r="L24" s="233"/>
      <x:c r="M24" s="122"/>
      <x:c r="N24" s="177" t="str">
        <x:f t="shared" si="0"/>
      </x:c>
      <x:c r="O24" s="122"/>
      <x:c r="P24" s="177" t="str">
        <x:f t="shared" si="1"/>
      </x:c>
      <x:c r="Q24" s="178" t="str">
        <x:f t="shared" si="2"/>
      </x:c>
      <x:c r="R24" s="122"/>
      <x:c r="S24" s="177" t="str">
        <x:f t="shared" si="3"/>
      </x:c>
      <x:c r="T24" s="122"/>
      <x:c r="U24" s="177" t="str">
        <x:f t="shared" si="4"/>
      </x:c>
      <x:c r="V24" s="178" t="str">
        <x:f t="shared" si="5"/>
      </x:c>
      <x:c r="W24" s="122"/>
      <x:c r="X24" s="177" t="str">
        <x:f t="shared" si="6"/>
      </x:c>
      <x:c r="Y24" s="122"/>
      <x:c r="Z24" s="177" t="str">
        <x:f t="shared" si="7"/>
      </x:c>
      <x:c r="AA24" s="178" t="str">
        <x:f t="shared" si="8"/>
      </x:c>
      <x:c r="AB24" s="122"/>
      <x:c r="AC24" s="177" t="str">
        <x:f t="shared" si="9"/>
      </x:c>
      <x:c r="AD24" s="122"/>
      <x:c r="AE24" s="177" t="str">
        <x:f t="shared" si="10"/>
      </x:c>
      <x:c r="AF24" s="178" t="str">
        <x:f t="shared" si="11"/>
      </x:c>
      <x:c r="AG24" s="122"/>
      <x:c r="AH24" s="177" t="str">
        <x:f t="shared" si="12"/>
      </x:c>
      <x:c r="AI24" s="122"/>
      <x:c r="AJ24" s="177" t="str">
        <x:f t="shared" si="13"/>
      </x:c>
      <x:c r="AK24" s="178" t="str">
        <x:f t="shared" si="14"/>
      </x:c>
      <x:c r="AL24" s="122"/>
      <x:c r="AM24" s="177" t="str">
        <x:f t="shared" si="15"/>
      </x:c>
      <x:c r="AN24" s="122"/>
      <x:c r="AO24" s="177" t="str">
        <x:f t="shared" si="16"/>
      </x:c>
      <x:c r="AP24" s="178" t="str">
        <x:f t="shared" si="17"/>
      </x:c>
      <x:c r="AQ24" s="122"/>
      <x:c r="AR24" s="177" t="str">
        <x:f t="shared" si="18"/>
      </x:c>
      <x:c r="AS24" s="122"/>
      <x:c r="AT24" s="177" t="str">
        <x:f t="shared" si="19"/>
      </x:c>
      <x:c r="AU24" s="178" t="str">
        <x:f t="shared" si="20"/>
      </x:c>
      <x:c r="AV24" s="122"/>
      <x:c r="AW24" s="177" t="str">
        <x:f t="shared" si="21"/>
      </x:c>
      <x:c r="AX24" s="122"/>
      <x:c r="AY24" s="177" t="str">
        <x:f t="shared" si="22"/>
      </x:c>
      <x:c r="AZ24" s="178" t="str">
        <x:f t="shared" si="23"/>
      </x:c>
      <x:c r="BA24" s="122"/>
      <x:c r="BB24" s="177" t="str">
        <x:f t="shared" si="24"/>
      </x:c>
      <x:c r="BC24" s="122"/>
      <x:c r="BD24" s="177" t="str">
        <x:f t="shared" si="25"/>
      </x:c>
      <x:c r="BE24" s="178" t="str">
        <x:f t="shared" si="26"/>
      </x:c>
      <x:c r="BF24" s="122"/>
      <x:c r="BG24" s="177" t="str">
        <x:f t="shared" si="27"/>
      </x:c>
      <x:c r="BH24" s="122"/>
      <x:c r="BI24" s="177" t="str">
        <x:f t="shared" si="28"/>
      </x:c>
      <x:c r="BJ24" s="178" t="str">
        <x:f t="shared" si="29"/>
      </x:c>
    </x:row>
    <x:row r="25" ht="19.5" customHeight="1">
      <x:c r="A25" s="160"/>
      <x:c r="B25" s="179"/>
      <x:c r="C25" s="171"/>
      <x:c r="D25" s="172"/>
      <x:c r="E25" s="171"/>
      <x:c r="F25" s="173"/>
      <x:c r="G25" s="174"/>
      <x:c r="H25" s="175"/>
      <x:c r="I25" s="174"/>
      <x:c r="J25" s="176"/>
      <x:c r="K25" s="233"/>
      <x:c r="L25" s="233"/>
      <x:c r="M25" s="122"/>
      <x:c r="N25" s="177" t="str">
        <x:f t="shared" si="0"/>
      </x:c>
      <x:c r="O25" s="122"/>
      <x:c r="P25" s="177" t="str">
        <x:f t="shared" si="1"/>
      </x:c>
      <x:c r="Q25" s="178" t="str">
        <x:f t="shared" si="2"/>
      </x:c>
      <x:c r="R25" s="122"/>
      <x:c r="S25" s="177" t="str">
        <x:f t="shared" si="3"/>
      </x:c>
      <x:c r="T25" s="122"/>
      <x:c r="U25" s="177" t="str">
        <x:f t="shared" si="4"/>
      </x:c>
      <x:c r="V25" s="178" t="str">
        <x:f t="shared" si="5"/>
      </x:c>
      <x:c r="W25" s="122"/>
      <x:c r="X25" s="177" t="str">
        <x:f t="shared" si="6"/>
      </x:c>
      <x:c r="Y25" s="122"/>
      <x:c r="Z25" s="177" t="str">
        <x:f t="shared" si="7"/>
      </x:c>
      <x:c r="AA25" s="178" t="str">
        <x:f t="shared" si="8"/>
      </x:c>
      <x:c r="AB25" s="122"/>
      <x:c r="AC25" s="177" t="str">
        <x:f t="shared" si="9"/>
      </x:c>
      <x:c r="AD25" s="122"/>
      <x:c r="AE25" s="177" t="str">
        <x:f t="shared" si="10"/>
      </x:c>
      <x:c r="AF25" s="178" t="str">
        <x:f t="shared" si="11"/>
      </x:c>
      <x:c r="AG25" s="122"/>
      <x:c r="AH25" s="177" t="str">
        <x:f t="shared" si="12"/>
      </x:c>
      <x:c r="AI25" s="122"/>
      <x:c r="AJ25" s="177" t="str">
        <x:f t="shared" si="13"/>
      </x:c>
      <x:c r="AK25" s="178" t="str">
        <x:f t="shared" si="14"/>
      </x:c>
      <x:c r="AL25" s="122"/>
      <x:c r="AM25" s="177" t="str">
        <x:f t="shared" si="15"/>
      </x:c>
      <x:c r="AN25" s="122"/>
      <x:c r="AO25" s="177" t="str">
        <x:f t="shared" si="16"/>
      </x:c>
      <x:c r="AP25" s="178" t="str">
        <x:f t="shared" si="17"/>
      </x:c>
      <x:c r="AQ25" s="122"/>
      <x:c r="AR25" s="177" t="str">
        <x:f t="shared" si="18"/>
      </x:c>
      <x:c r="AS25" s="122"/>
      <x:c r="AT25" s="177" t="str">
        <x:f t="shared" si="19"/>
      </x:c>
      <x:c r="AU25" s="178" t="str">
        <x:f t="shared" si="20"/>
      </x:c>
      <x:c r="AV25" s="122"/>
      <x:c r="AW25" s="177" t="str">
        <x:f t="shared" si="21"/>
      </x:c>
      <x:c r="AX25" s="122"/>
      <x:c r="AY25" s="177" t="str">
        <x:f t="shared" si="22"/>
      </x:c>
      <x:c r="AZ25" s="178" t="str">
        <x:f t="shared" si="23"/>
      </x:c>
      <x:c r="BA25" s="122"/>
      <x:c r="BB25" s="177" t="str">
        <x:f t="shared" si="24"/>
      </x:c>
      <x:c r="BC25" s="122"/>
      <x:c r="BD25" s="177" t="str">
        <x:f t="shared" si="25"/>
      </x:c>
      <x:c r="BE25" s="178" t="str">
        <x:f t="shared" si="26"/>
      </x:c>
      <x:c r="BF25" s="122"/>
      <x:c r="BG25" s="177" t="str">
        <x:f t="shared" si="27"/>
      </x:c>
      <x:c r="BH25" s="122"/>
      <x:c r="BI25" s="177" t="str">
        <x:f t="shared" si="28"/>
      </x:c>
      <x:c r="BJ25" s="178" t="str">
        <x:f t="shared" si="29"/>
      </x:c>
    </x:row>
    <x:row r="26" ht="19.5" customHeight="1">
      <x:c r="A26" s="169"/>
      <x:c r="B26" s="170"/>
      <x:c r="C26" s="171"/>
      <x:c r="D26" s="172"/>
      <x:c r="E26" s="171"/>
      <x:c r="F26" s="173"/>
      <x:c r="G26" s="174"/>
      <x:c r="H26" s="175"/>
      <x:c r="I26" s="174"/>
      <x:c r="J26" s="176"/>
      <x:c r="K26" s="233"/>
      <x:c r="L26" s="233"/>
      <x:c r="M26" s="122"/>
      <x:c r="N26" s="177" t="str">
        <x:f t="shared" si="0"/>
      </x:c>
      <x:c r="O26" s="122"/>
      <x:c r="P26" s="177" t="str">
        <x:f t="shared" si="1"/>
      </x:c>
      <x:c r="Q26" s="178" t="str">
        <x:f t="shared" si="2"/>
      </x:c>
      <x:c r="R26" s="122"/>
      <x:c r="S26" s="177" t="str">
        <x:f t="shared" si="3"/>
      </x:c>
      <x:c r="T26" s="122"/>
      <x:c r="U26" s="177" t="str">
        <x:f t="shared" si="4"/>
      </x:c>
      <x:c r="V26" s="178" t="str">
        <x:f t="shared" si="5"/>
      </x:c>
      <x:c r="W26" s="122"/>
      <x:c r="X26" s="177" t="str">
        <x:f t="shared" si="6"/>
      </x:c>
      <x:c r="Y26" s="122"/>
      <x:c r="Z26" s="177" t="str">
        <x:f t="shared" si="7"/>
      </x:c>
      <x:c r="AA26" s="178" t="str">
        <x:f t="shared" si="8"/>
      </x:c>
      <x:c r="AB26" s="122"/>
      <x:c r="AC26" s="177" t="str">
        <x:f t="shared" si="9"/>
      </x:c>
      <x:c r="AD26" s="122"/>
      <x:c r="AE26" s="177" t="str">
        <x:f t="shared" si="10"/>
      </x:c>
      <x:c r="AF26" s="178" t="str">
        <x:f t="shared" si="11"/>
      </x:c>
      <x:c r="AG26" s="122"/>
      <x:c r="AH26" s="177" t="str">
        <x:f t="shared" si="12"/>
      </x:c>
      <x:c r="AI26" s="122"/>
      <x:c r="AJ26" s="177" t="str">
        <x:f t="shared" si="13"/>
      </x:c>
      <x:c r="AK26" s="178" t="str">
        <x:f t="shared" si="14"/>
      </x:c>
      <x:c r="AL26" s="122"/>
      <x:c r="AM26" s="177" t="str">
        <x:f t="shared" si="15"/>
      </x:c>
      <x:c r="AN26" s="122"/>
      <x:c r="AO26" s="177" t="str">
        <x:f t="shared" si="16"/>
      </x:c>
      <x:c r="AP26" s="178" t="str">
        <x:f t="shared" si="17"/>
      </x:c>
      <x:c r="AQ26" s="122"/>
      <x:c r="AR26" s="177" t="str">
        <x:f t="shared" si="18"/>
      </x:c>
      <x:c r="AS26" s="122"/>
      <x:c r="AT26" s="177" t="str">
        <x:f t="shared" si="19"/>
      </x:c>
      <x:c r="AU26" s="178" t="str">
        <x:f t="shared" si="20"/>
      </x:c>
      <x:c r="AV26" s="122"/>
      <x:c r="AW26" s="177" t="str">
        <x:f t="shared" si="21"/>
      </x:c>
      <x:c r="AX26" s="122"/>
      <x:c r="AY26" s="177" t="str">
        <x:f t="shared" si="22"/>
      </x:c>
      <x:c r="AZ26" s="178" t="str">
        <x:f t="shared" si="23"/>
      </x:c>
      <x:c r="BA26" s="122"/>
      <x:c r="BB26" s="177" t="str">
        <x:f t="shared" si="24"/>
      </x:c>
      <x:c r="BC26" s="122"/>
      <x:c r="BD26" s="177" t="str">
        <x:f t="shared" si="25"/>
      </x:c>
      <x:c r="BE26" s="178" t="str">
        <x:f t="shared" si="26"/>
      </x:c>
      <x:c r="BF26" s="122"/>
      <x:c r="BG26" s="177" t="str">
        <x:f t="shared" si="27"/>
      </x:c>
      <x:c r="BH26" s="122"/>
      <x:c r="BI26" s="177" t="str">
        <x:f t="shared" si="28"/>
      </x:c>
      <x:c r="BJ26" s="178" t="str">
        <x:f t="shared" si="29"/>
      </x:c>
    </x:row>
    <x:row r="27" ht="19.5" customHeight="1">
      <x:c r="A27" s="160"/>
      <x:c r="B27" s="179"/>
      <x:c r="C27" s="171"/>
      <x:c r="D27" s="172"/>
      <x:c r="E27" s="171"/>
      <x:c r="F27" s="173"/>
      <x:c r="G27" s="174"/>
      <x:c r="H27" s="175"/>
      <x:c r="I27" s="174"/>
      <x:c r="J27" s="176"/>
      <x:c r="K27" s="233"/>
      <x:c r="L27" s="233"/>
      <x:c r="M27" s="122"/>
      <x:c r="N27" s="177" t="str">
        <x:f t="shared" si="0"/>
      </x:c>
      <x:c r="O27" s="122"/>
      <x:c r="P27" s="177" t="str">
        <x:f t="shared" si="1"/>
      </x:c>
      <x:c r="Q27" s="178" t="str">
        <x:f t="shared" si="2"/>
      </x:c>
      <x:c r="R27" s="122"/>
      <x:c r="S27" s="177" t="str">
        <x:f t="shared" si="3"/>
      </x:c>
      <x:c r="T27" s="122"/>
      <x:c r="U27" s="177" t="str">
        <x:f t="shared" si="4"/>
      </x:c>
      <x:c r="V27" s="178" t="str">
        <x:f t="shared" si="5"/>
      </x:c>
      <x:c r="W27" s="122"/>
      <x:c r="X27" s="177" t="str">
        <x:f t="shared" si="6"/>
      </x:c>
      <x:c r="Y27" s="122"/>
      <x:c r="Z27" s="177" t="str">
        <x:f t="shared" si="7"/>
      </x:c>
      <x:c r="AA27" s="178" t="str">
        <x:f t="shared" si="8"/>
      </x:c>
      <x:c r="AB27" s="122"/>
      <x:c r="AC27" s="177" t="str">
        <x:f t="shared" si="9"/>
      </x:c>
      <x:c r="AD27" s="122"/>
      <x:c r="AE27" s="177" t="str">
        <x:f t="shared" si="10"/>
      </x:c>
      <x:c r="AF27" s="178" t="str">
        <x:f t="shared" si="11"/>
      </x:c>
      <x:c r="AG27" s="122"/>
      <x:c r="AH27" s="177" t="str">
        <x:f t="shared" si="12"/>
      </x:c>
      <x:c r="AI27" s="122"/>
      <x:c r="AJ27" s="177" t="str">
        <x:f t="shared" si="13"/>
      </x:c>
      <x:c r="AK27" s="178" t="str">
        <x:f t="shared" si="14"/>
      </x:c>
      <x:c r="AL27" s="122"/>
      <x:c r="AM27" s="177" t="str">
        <x:f t="shared" si="15"/>
      </x:c>
      <x:c r="AN27" s="122"/>
      <x:c r="AO27" s="177" t="str">
        <x:f t="shared" si="16"/>
      </x:c>
      <x:c r="AP27" s="178" t="str">
        <x:f t="shared" si="17"/>
      </x:c>
      <x:c r="AQ27" s="122"/>
      <x:c r="AR27" s="177" t="str">
        <x:f t="shared" si="18"/>
      </x:c>
      <x:c r="AS27" s="122"/>
      <x:c r="AT27" s="177" t="str">
        <x:f t="shared" si="19"/>
      </x:c>
      <x:c r="AU27" s="178" t="str">
        <x:f t="shared" si="20"/>
      </x:c>
      <x:c r="AV27" s="122"/>
      <x:c r="AW27" s="177" t="str">
        <x:f t="shared" si="21"/>
      </x:c>
      <x:c r="AX27" s="122"/>
      <x:c r="AY27" s="177" t="str">
        <x:f t="shared" si="22"/>
      </x:c>
      <x:c r="AZ27" s="178" t="str">
        <x:f t="shared" si="23"/>
      </x:c>
      <x:c r="BA27" s="122"/>
      <x:c r="BB27" s="177" t="str">
        <x:f t="shared" si="24"/>
      </x:c>
      <x:c r="BC27" s="122"/>
      <x:c r="BD27" s="177" t="str">
        <x:f t="shared" si="25"/>
      </x:c>
      <x:c r="BE27" s="178" t="str">
        <x:f t="shared" si="26"/>
      </x:c>
      <x:c r="BF27" s="122"/>
      <x:c r="BG27" s="177" t="str">
        <x:f t="shared" si="27"/>
      </x:c>
      <x:c r="BH27" s="122"/>
      <x:c r="BI27" s="177" t="str">
        <x:f t="shared" si="28"/>
      </x:c>
      <x:c r="BJ27" s="178" t="str">
        <x:f t="shared" si="29"/>
      </x:c>
    </x:row>
    <x:row r="28" ht="19.5" customHeight="1">
      <x:c r="A28" s="169"/>
      <x:c r="B28" s="170"/>
      <x:c r="C28" s="171"/>
      <x:c r="D28" s="172"/>
      <x:c r="E28" s="171"/>
      <x:c r="F28" s="173"/>
      <x:c r="G28" s="174"/>
      <x:c r="H28" s="175"/>
      <x:c r="I28" s="174"/>
      <x:c r="J28" s="176"/>
      <x:c r="K28" s="233"/>
      <x:c r="L28" s="233"/>
      <x:c r="M28" s="122"/>
      <x:c r="N28" s="177" t="str">
        <x:f t="shared" si="0"/>
      </x:c>
      <x:c r="O28" s="122"/>
      <x:c r="P28" s="177" t="str">
        <x:f t="shared" si="1"/>
      </x:c>
      <x:c r="Q28" s="178" t="str">
        <x:f t="shared" si="2"/>
      </x:c>
      <x:c r="R28" s="122"/>
      <x:c r="S28" s="177" t="str">
        <x:f t="shared" si="3"/>
      </x:c>
      <x:c r="T28" s="122"/>
      <x:c r="U28" s="177" t="str">
        <x:f t="shared" si="4"/>
      </x:c>
      <x:c r="V28" s="178" t="str">
        <x:f t="shared" si="5"/>
      </x:c>
      <x:c r="W28" s="122"/>
      <x:c r="X28" s="177" t="str">
        <x:f t="shared" si="6"/>
      </x:c>
      <x:c r="Y28" s="122"/>
      <x:c r="Z28" s="177" t="str">
        <x:f t="shared" si="7"/>
      </x:c>
      <x:c r="AA28" s="178" t="str">
        <x:f t="shared" si="8"/>
      </x:c>
      <x:c r="AB28" s="122"/>
      <x:c r="AC28" s="177" t="str">
        <x:f t="shared" si="9"/>
      </x:c>
      <x:c r="AD28" s="122"/>
      <x:c r="AE28" s="177" t="str">
        <x:f t="shared" si="10"/>
      </x:c>
      <x:c r="AF28" s="178" t="str">
        <x:f t="shared" si="11"/>
      </x:c>
      <x:c r="AG28" s="122"/>
      <x:c r="AH28" s="177" t="str">
        <x:f t="shared" si="12"/>
      </x:c>
      <x:c r="AI28" s="122"/>
      <x:c r="AJ28" s="177" t="str">
        <x:f t="shared" si="13"/>
      </x:c>
      <x:c r="AK28" s="178" t="str">
        <x:f t="shared" si="14"/>
      </x:c>
      <x:c r="AL28" s="122"/>
      <x:c r="AM28" s="177" t="str">
        <x:f t="shared" si="15"/>
      </x:c>
      <x:c r="AN28" s="122"/>
      <x:c r="AO28" s="177" t="str">
        <x:f t="shared" si="16"/>
      </x:c>
      <x:c r="AP28" s="178" t="str">
        <x:f t="shared" si="17"/>
      </x:c>
      <x:c r="AQ28" s="122"/>
      <x:c r="AR28" s="177" t="str">
        <x:f t="shared" si="18"/>
      </x:c>
      <x:c r="AS28" s="122"/>
      <x:c r="AT28" s="177" t="str">
        <x:f t="shared" si="19"/>
      </x:c>
      <x:c r="AU28" s="178" t="str">
        <x:f t="shared" si="20"/>
      </x:c>
      <x:c r="AV28" s="122"/>
      <x:c r="AW28" s="177" t="str">
        <x:f t="shared" si="21"/>
      </x:c>
      <x:c r="AX28" s="122"/>
      <x:c r="AY28" s="177" t="str">
        <x:f t="shared" si="22"/>
      </x:c>
      <x:c r="AZ28" s="178" t="str">
        <x:f t="shared" si="23"/>
      </x:c>
      <x:c r="BA28" s="122"/>
      <x:c r="BB28" s="177" t="str">
        <x:f t="shared" si="24"/>
      </x:c>
      <x:c r="BC28" s="122"/>
      <x:c r="BD28" s="177" t="str">
        <x:f t="shared" si="25"/>
      </x:c>
      <x:c r="BE28" s="178" t="str">
        <x:f t="shared" si="26"/>
      </x:c>
      <x:c r="BF28" s="122"/>
      <x:c r="BG28" s="177" t="str">
        <x:f t="shared" si="27"/>
      </x:c>
      <x:c r="BH28" s="122"/>
      <x:c r="BI28" s="177" t="str">
        <x:f t="shared" si="28"/>
      </x:c>
      <x:c r="BJ28" s="178" t="str">
        <x:f t="shared" si="29"/>
      </x:c>
    </x:row>
    <x:row r="29" ht="19.5" customHeight="1">
      <x:c r="A29" s="160"/>
      <x:c r="B29" s="179"/>
      <x:c r="C29" s="171"/>
      <x:c r="D29" s="172"/>
      <x:c r="E29" s="171"/>
      <x:c r="F29" s="173"/>
      <x:c r="G29" s="174"/>
      <x:c r="H29" s="175"/>
      <x:c r="I29" s="174"/>
      <x:c r="J29" s="176"/>
      <x:c r="K29" s="233"/>
      <x:c r="L29" s="233"/>
      <x:c r="M29" s="122"/>
      <x:c r="N29" s="177" t="str">
        <x:f t="shared" si="0"/>
      </x:c>
      <x:c r="O29" s="122"/>
      <x:c r="P29" s="177" t="str">
        <x:f t="shared" si="1"/>
      </x:c>
      <x:c r="Q29" s="178" t="str">
        <x:f t="shared" si="2"/>
      </x:c>
      <x:c r="R29" s="122"/>
      <x:c r="S29" s="177" t="str">
        <x:f t="shared" si="3"/>
      </x:c>
      <x:c r="T29" s="122"/>
      <x:c r="U29" s="177" t="str">
        <x:f t="shared" si="4"/>
      </x:c>
      <x:c r="V29" s="178" t="str">
        <x:f t="shared" si="5"/>
      </x:c>
      <x:c r="W29" s="122"/>
      <x:c r="X29" s="177" t="str">
        <x:f t="shared" si="6"/>
      </x:c>
      <x:c r="Y29" s="122"/>
      <x:c r="Z29" s="177" t="str">
        <x:f t="shared" si="7"/>
      </x:c>
      <x:c r="AA29" s="178" t="str">
        <x:f t="shared" si="8"/>
      </x:c>
      <x:c r="AB29" s="122"/>
      <x:c r="AC29" s="177" t="str">
        <x:f t="shared" si="9"/>
      </x:c>
      <x:c r="AD29" s="122"/>
      <x:c r="AE29" s="177" t="str">
        <x:f t="shared" si="10"/>
      </x:c>
      <x:c r="AF29" s="178" t="str">
        <x:f t="shared" si="11"/>
      </x:c>
      <x:c r="AG29" s="122"/>
      <x:c r="AH29" s="177" t="str">
        <x:f t="shared" si="12"/>
      </x:c>
      <x:c r="AI29" s="122"/>
      <x:c r="AJ29" s="177" t="str">
        <x:f t="shared" si="13"/>
      </x:c>
      <x:c r="AK29" s="178" t="str">
        <x:f t="shared" si="14"/>
      </x:c>
      <x:c r="AL29" s="122"/>
      <x:c r="AM29" s="177" t="str">
        <x:f t="shared" si="15"/>
      </x:c>
      <x:c r="AN29" s="122"/>
      <x:c r="AO29" s="177" t="str">
        <x:f t="shared" si="16"/>
      </x:c>
      <x:c r="AP29" s="178" t="str">
        <x:f t="shared" si="17"/>
      </x:c>
      <x:c r="AQ29" s="122"/>
      <x:c r="AR29" s="177" t="str">
        <x:f t="shared" si="18"/>
      </x:c>
      <x:c r="AS29" s="122"/>
      <x:c r="AT29" s="177" t="str">
        <x:f t="shared" si="19"/>
      </x:c>
      <x:c r="AU29" s="178" t="str">
        <x:f t="shared" si="20"/>
      </x:c>
      <x:c r="AV29" s="122"/>
      <x:c r="AW29" s="177" t="str">
        <x:f t="shared" si="21"/>
      </x:c>
      <x:c r="AX29" s="122"/>
      <x:c r="AY29" s="177" t="str">
        <x:f t="shared" si="22"/>
      </x:c>
      <x:c r="AZ29" s="178" t="str">
        <x:f t="shared" si="23"/>
      </x:c>
      <x:c r="BA29" s="122"/>
      <x:c r="BB29" s="177" t="str">
        <x:f t="shared" si="24"/>
      </x:c>
      <x:c r="BC29" s="122"/>
      <x:c r="BD29" s="177" t="str">
        <x:f t="shared" si="25"/>
      </x:c>
      <x:c r="BE29" s="178" t="str">
        <x:f t="shared" si="26"/>
      </x:c>
      <x:c r="BF29" s="122"/>
      <x:c r="BG29" s="177" t="str">
        <x:f t="shared" si="27"/>
      </x:c>
      <x:c r="BH29" s="122"/>
      <x:c r="BI29" s="177" t="str">
        <x:f t="shared" si="28"/>
      </x:c>
      <x:c r="BJ29" s="178" t="str">
        <x:f t="shared" si="29"/>
      </x:c>
    </x:row>
    <x:row r="30" ht="19.5" customHeight="1">
      <x:c r="A30" s="169"/>
      <x:c r="B30" s="170"/>
      <x:c r="C30" s="171"/>
      <x:c r="D30" s="172"/>
      <x:c r="E30" s="171"/>
      <x:c r="F30" s="173"/>
      <x:c r="G30" s="174"/>
      <x:c r="H30" s="175"/>
      <x:c r="I30" s="174"/>
      <x:c r="J30" s="176"/>
      <x:c r="K30" s="233"/>
      <x:c r="L30" s="233"/>
      <x:c r="M30" s="122"/>
      <x:c r="N30" s="177" t="str">
        <x:f t="shared" si="0"/>
      </x:c>
      <x:c r="O30" s="122"/>
      <x:c r="P30" s="177" t="str">
        <x:f t="shared" si="1"/>
      </x:c>
      <x:c r="Q30" s="178" t="str">
        <x:f t="shared" si="2"/>
      </x:c>
      <x:c r="R30" s="122"/>
      <x:c r="S30" s="177" t="str">
        <x:f t="shared" si="3"/>
      </x:c>
      <x:c r="T30" s="122"/>
      <x:c r="U30" s="177" t="str">
        <x:f t="shared" si="4"/>
      </x:c>
      <x:c r="V30" s="178" t="str">
        <x:f t="shared" si="5"/>
      </x:c>
      <x:c r="W30" s="122"/>
      <x:c r="X30" s="177" t="str">
        <x:f t="shared" si="6"/>
      </x:c>
      <x:c r="Y30" s="122"/>
      <x:c r="Z30" s="177" t="str">
        <x:f t="shared" si="7"/>
      </x:c>
      <x:c r="AA30" s="178" t="str">
        <x:f t="shared" si="8"/>
      </x:c>
      <x:c r="AB30" s="122"/>
      <x:c r="AC30" s="177" t="str">
        <x:f t="shared" si="9"/>
      </x:c>
      <x:c r="AD30" s="122"/>
      <x:c r="AE30" s="177" t="str">
        <x:f t="shared" si="10"/>
      </x:c>
      <x:c r="AF30" s="178" t="str">
        <x:f t="shared" si="11"/>
      </x:c>
      <x:c r="AG30" s="122"/>
      <x:c r="AH30" s="177" t="str">
        <x:f t="shared" si="12"/>
      </x:c>
      <x:c r="AI30" s="122"/>
      <x:c r="AJ30" s="177" t="str">
        <x:f t="shared" si="13"/>
      </x:c>
      <x:c r="AK30" s="178" t="str">
        <x:f t="shared" si="14"/>
      </x:c>
      <x:c r="AL30" s="122"/>
      <x:c r="AM30" s="177" t="str">
        <x:f t="shared" si="15"/>
      </x:c>
      <x:c r="AN30" s="122"/>
      <x:c r="AO30" s="177" t="str">
        <x:f t="shared" si="16"/>
      </x:c>
      <x:c r="AP30" s="178" t="str">
        <x:f t="shared" si="17"/>
      </x:c>
      <x:c r="AQ30" s="122"/>
      <x:c r="AR30" s="177" t="str">
        <x:f t="shared" si="18"/>
      </x:c>
      <x:c r="AS30" s="122"/>
      <x:c r="AT30" s="177" t="str">
        <x:f t="shared" si="19"/>
      </x:c>
      <x:c r="AU30" s="178" t="str">
        <x:f t="shared" si="20"/>
      </x:c>
      <x:c r="AV30" s="122"/>
      <x:c r="AW30" s="177" t="str">
        <x:f t="shared" si="21"/>
      </x:c>
      <x:c r="AX30" s="122"/>
      <x:c r="AY30" s="177" t="str">
        <x:f t="shared" si="22"/>
      </x:c>
      <x:c r="AZ30" s="178" t="str">
        <x:f t="shared" si="23"/>
      </x:c>
      <x:c r="BA30" s="122"/>
      <x:c r="BB30" s="177" t="str">
        <x:f t="shared" si="24"/>
      </x:c>
      <x:c r="BC30" s="122"/>
      <x:c r="BD30" s="177" t="str">
        <x:f t="shared" si="25"/>
      </x:c>
      <x:c r="BE30" s="178" t="str">
        <x:f t="shared" si="26"/>
      </x:c>
      <x:c r="BF30" s="122"/>
      <x:c r="BG30" s="177" t="str">
        <x:f t="shared" si="27"/>
      </x:c>
      <x:c r="BH30" s="122"/>
      <x:c r="BI30" s="177" t="str">
        <x:f t="shared" si="28"/>
      </x:c>
      <x:c r="BJ30" s="178" t="str">
        <x:f t="shared" si="29"/>
      </x:c>
    </x:row>
    <x:row r="31" ht="19.5" customHeight="1">
      <x:c r="A31" s="160"/>
      <x:c r="B31" s="179"/>
      <x:c r="C31" s="171"/>
      <x:c r="D31" s="172"/>
      <x:c r="E31" s="171"/>
      <x:c r="F31" s="173"/>
      <x:c r="G31" s="174"/>
      <x:c r="H31" s="175"/>
      <x:c r="I31" s="174"/>
      <x:c r="J31" s="176"/>
      <x:c r="K31" s="233"/>
      <x:c r="L31" s="233"/>
      <x:c r="M31" s="122"/>
      <x:c r="N31" s="177" t="str">
        <x:f t="shared" si="0"/>
      </x:c>
      <x:c r="O31" s="122"/>
      <x:c r="P31" s="177" t="str">
        <x:f t="shared" si="1"/>
      </x:c>
      <x:c r="Q31" s="178" t="str">
        <x:f t="shared" si="2"/>
      </x:c>
      <x:c r="R31" s="122"/>
      <x:c r="S31" s="177" t="str">
        <x:f t="shared" si="3"/>
      </x:c>
      <x:c r="T31" s="122"/>
      <x:c r="U31" s="177" t="str">
        <x:f t="shared" si="4"/>
      </x:c>
      <x:c r="V31" s="178" t="str">
        <x:f t="shared" si="5"/>
      </x:c>
      <x:c r="W31" s="122"/>
      <x:c r="X31" s="177" t="str">
        <x:f t="shared" si="6"/>
      </x:c>
      <x:c r="Y31" s="122"/>
      <x:c r="Z31" s="177" t="str">
        <x:f t="shared" si="7"/>
      </x:c>
      <x:c r="AA31" s="178" t="str">
        <x:f t="shared" si="8"/>
      </x:c>
      <x:c r="AB31" s="122"/>
      <x:c r="AC31" s="177" t="str">
        <x:f t="shared" si="9"/>
      </x:c>
      <x:c r="AD31" s="122"/>
      <x:c r="AE31" s="177" t="str">
        <x:f t="shared" si="10"/>
      </x:c>
      <x:c r="AF31" s="178" t="str">
        <x:f t="shared" si="11"/>
      </x:c>
      <x:c r="AG31" s="122"/>
      <x:c r="AH31" s="177" t="str">
        <x:f t="shared" si="12"/>
      </x:c>
      <x:c r="AI31" s="122"/>
      <x:c r="AJ31" s="177" t="str">
        <x:f t="shared" si="13"/>
      </x:c>
      <x:c r="AK31" s="178" t="str">
        <x:f t="shared" si="14"/>
      </x:c>
      <x:c r="AL31" s="122"/>
      <x:c r="AM31" s="177" t="str">
        <x:f t="shared" si="15"/>
      </x:c>
      <x:c r="AN31" s="122"/>
      <x:c r="AO31" s="177" t="str">
        <x:f t="shared" si="16"/>
      </x:c>
      <x:c r="AP31" s="178" t="str">
        <x:f t="shared" si="17"/>
      </x:c>
      <x:c r="AQ31" s="122"/>
      <x:c r="AR31" s="177" t="str">
        <x:f t="shared" si="18"/>
      </x:c>
      <x:c r="AS31" s="122"/>
      <x:c r="AT31" s="177" t="str">
        <x:f t="shared" si="19"/>
      </x:c>
      <x:c r="AU31" s="178" t="str">
        <x:f t="shared" si="20"/>
      </x:c>
      <x:c r="AV31" s="122"/>
      <x:c r="AW31" s="177" t="str">
        <x:f t="shared" si="21"/>
      </x:c>
      <x:c r="AX31" s="122"/>
      <x:c r="AY31" s="177" t="str">
        <x:f t="shared" si="22"/>
      </x:c>
      <x:c r="AZ31" s="178" t="str">
        <x:f t="shared" si="23"/>
      </x:c>
      <x:c r="BA31" s="122"/>
      <x:c r="BB31" s="177" t="str">
        <x:f t="shared" si="24"/>
      </x:c>
      <x:c r="BC31" s="122"/>
      <x:c r="BD31" s="177" t="str">
        <x:f t="shared" si="25"/>
      </x:c>
      <x:c r="BE31" s="178" t="str">
        <x:f t="shared" si="26"/>
      </x:c>
      <x:c r="BF31" s="122"/>
      <x:c r="BG31" s="177" t="str">
        <x:f t="shared" si="27"/>
      </x:c>
      <x:c r="BH31" s="122"/>
      <x:c r="BI31" s="177" t="str">
        <x:f t="shared" si="28"/>
      </x:c>
      <x:c r="BJ31" s="178" t="str">
        <x:f t="shared" si="29"/>
      </x:c>
    </x:row>
    <x:row r="32" ht="19.5" customHeight="1">
      <x:c r="A32" s="169"/>
      <x:c r="B32" s="170"/>
      <x:c r="C32" s="171"/>
      <x:c r="D32" s="172"/>
      <x:c r="E32" s="171"/>
      <x:c r="F32" s="173"/>
      <x:c r="G32" s="174"/>
      <x:c r="H32" s="175"/>
      <x:c r="I32" s="174"/>
      <x:c r="J32" s="176"/>
      <x:c r="K32" s="233"/>
      <x:c r="L32" s="233"/>
      <x:c r="M32" s="122"/>
      <x:c r="N32" s="177" t="str">
        <x:f t="shared" si="0"/>
      </x:c>
      <x:c r="O32" s="122"/>
      <x:c r="P32" s="177" t="str">
        <x:f t="shared" si="1"/>
      </x:c>
      <x:c r="Q32" s="178" t="str">
        <x:f t="shared" si="2"/>
      </x:c>
      <x:c r="R32" s="122"/>
      <x:c r="S32" s="177" t="str">
        <x:f t="shared" si="3"/>
      </x:c>
      <x:c r="T32" s="122"/>
      <x:c r="U32" s="177" t="str">
        <x:f t="shared" si="4"/>
      </x:c>
      <x:c r="V32" s="178" t="str">
        <x:f t="shared" si="5"/>
      </x:c>
      <x:c r="W32" s="122"/>
      <x:c r="X32" s="177" t="str">
        <x:f t="shared" si="6"/>
      </x:c>
      <x:c r="Y32" s="122"/>
      <x:c r="Z32" s="177" t="str">
        <x:f t="shared" si="7"/>
      </x:c>
      <x:c r="AA32" s="178" t="str">
        <x:f t="shared" si="8"/>
      </x:c>
      <x:c r="AB32" s="122"/>
      <x:c r="AC32" s="177" t="str">
        <x:f t="shared" si="9"/>
      </x:c>
      <x:c r="AD32" s="122"/>
      <x:c r="AE32" s="177" t="str">
        <x:f t="shared" si="10"/>
      </x:c>
      <x:c r="AF32" s="178" t="str">
        <x:f t="shared" si="11"/>
      </x:c>
      <x:c r="AG32" s="122"/>
      <x:c r="AH32" s="177" t="str">
        <x:f t="shared" si="12"/>
      </x:c>
      <x:c r="AI32" s="122"/>
      <x:c r="AJ32" s="177" t="str">
        <x:f t="shared" si="13"/>
      </x:c>
      <x:c r="AK32" s="178" t="str">
        <x:f t="shared" si="14"/>
      </x:c>
      <x:c r="AL32" s="122"/>
      <x:c r="AM32" s="177" t="str">
        <x:f t="shared" si="15"/>
      </x:c>
      <x:c r="AN32" s="122"/>
      <x:c r="AO32" s="177" t="str">
        <x:f t="shared" si="16"/>
      </x:c>
      <x:c r="AP32" s="178" t="str">
        <x:f t="shared" si="17"/>
      </x:c>
      <x:c r="AQ32" s="122"/>
      <x:c r="AR32" s="177" t="str">
        <x:f t="shared" si="18"/>
      </x:c>
      <x:c r="AS32" s="122"/>
      <x:c r="AT32" s="177" t="str">
        <x:f t="shared" si="19"/>
      </x:c>
      <x:c r="AU32" s="178" t="str">
        <x:f t="shared" si="20"/>
      </x:c>
      <x:c r="AV32" s="122"/>
      <x:c r="AW32" s="177" t="str">
        <x:f t="shared" si="21"/>
      </x:c>
      <x:c r="AX32" s="122"/>
      <x:c r="AY32" s="177" t="str">
        <x:f t="shared" si="22"/>
      </x:c>
      <x:c r="AZ32" s="178" t="str">
        <x:f t="shared" si="23"/>
      </x:c>
      <x:c r="BA32" s="122"/>
      <x:c r="BB32" s="177" t="str">
        <x:f t="shared" si="24"/>
      </x:c>
      <x:c r="BC32" s="122"/>
      <x:c r="BD32" s="177" t="str">
        <x:f t="shared" si="25"/>
      </x:c>
      <x:c r="BE32" s="178" t="str">
        <x:f t="shared" si="26"/>
      </x:c>
      <x:c r="BF32" s="122"/>
      <x:c r="BG32" s="177" t="str">
        <x:f t="shared" si="27"/>
      </x:c>
      <x:c r="BH32" s="122"/>
      <x:c r="BI32" s="177" t="str">
        <x:f t="shared" si="28"/>
      </x:c>
      <x:c r="BJ32" s="178" t="str">
        <x:f t="shared" si="29"/>
      </x:c>
    </x:row>
    <x:row r="33" ht="19.5" customHeight="1">
      <x:c r="A33" s="160"/>
      <x:c r="B33" s="179"/>
      <x:c r="C33" s="171"/>
      <x:c r="D33" s="172"/>
      <x:c r="E33" s="171"/>
      <x:c r="F33" s="173"/>
      <x:c r="G33" s="174"/>
      <x:c r="H33" s="175"/>
      <x:c r="I33" s="174"/>
      <x:c r="J33" s="176"/>
      <x:c r="K33" s="233"/>
      <x:c r="L33" s="233"/>
      <x:c r="M33" s="122"/>
      <x:c r="N33" s="177" t="str">
        <x:f t="shared" si="0"/>
      </x:c>
      <x:c r="O33" s="122"/>
      <x:c r="P33" s="177" t="str">
        <x:f t="shared" si="1"/>
      </x:c>
      <x:c r="Q33" s="178" t="str">
        <x:f t="shared" si="2"/>
      </x:c>
      <x:c r="R33" s="122"/>
      <x:c r="S33" s="177" t="str">
        <x:f t="shared" si="3"/>
      </x:c>
      <x:c r="T33" s="122"/>
      <x:c r="U33" s="177" t="str">
        <x:f t="shared" si="4"/>
      </x:c>
      <x:c r="V33" s="178" t="str">
        <x:f t="shared" si="5"/>
      </x:c>
      <x:c r="W33" s="122"/>
      <x:c r="X33" s="177" t="str">
        <x:f t="shared" si="6"/>
      </x:c>
      <x:c r="Y33" s="122"/>
      <x:c r="Z33" s="177" t="str">
        <x:f t="shared" si="7"/>
      </x:c>
      <x:c r="AA33" s="178" t="str">
        <x:f t="shared" si="8"/>
      </x:c>
      <x:c r="AB33" s="122"/>
      <x:c r="AC33" s="177" t="str">
        <x:f t="shared" si="9"/>
      </x:c>
      <x:c r="AD33" s="122"/>
      <x:c r="AE33" s="177" t="str">
        <x:f t="shared" si="10"/>
      </x:c>
      <x:c r="AF33" s="178" t="str">
        <x:f t="shared" si="11"/>
      </x:c>
      <x:c r="AG33" s="122"/>
      <x:c r="AH33" s="177" t="str">
        <x:f t="shared" si="12"/>
      </x:c>
      <x:c r="AI33" s="122"/>
      <x:c r="AJ33" s="177" t="str">
        <x:f t="shared" si="13"/>
      </x:c>
      <x:c r="AK33" s="178" t="str">
        <x:f t="shared" si="14"/>
      </x:c>
      <x:c r="AL33" s="122"/>
      <x:c r="AM33" s="177" t="str">
        <x:f t="shared" si="15"/>
      </x:c>
      <x:c r="AN33" s="122"/>
      <x:c r="AO33" s="177" t="str">
        <x:f t="shared" si="16"/>
      </x:c>
      <x:c r="AP33" s="178" t="str">
        <x:f t="shared" si="17"/>
      </x:c>
      <x:c r="AQ33" s="122"/>
      <x:c r="AR33" s="177" t="str">
        <x:f t="shared" si="18"/>
      </x:c>
      <x:c r="AS33" s="122"/>
      <x:c r="AT33" s="177" t="str">
        <x:f t="shared" si="19"/>
      </x:c>
      <x:c r="AU33" s="178" t="str">
        <x:f t="shared" si="20"/>
      </x:c>
      <x:c r="AV33" s="122"/>
      <x:c r="AW33" s="177" t="str">
        <x:f t="shared" si="21"/>
      </x:c>
      <x:c r="AX33" s="122"/>
      <x:c r="AY33" s="177" t="str">
        <x:f t="shared" si="22"/>
      </x:c>
      <x:c r="AZ33" s="178" t="str">
        <x:f t="shared" si="23"/>
      </x:c>
      <x:c r="BA33" s="122"/>
      <x:c r="BB33" s="177" t="str">
        <x:f t="shared" si="24"/>
      </x:c>
      <x:c r="BC33" s="122"/>
      <x:c r="BD33" s="177" t="str">
        <x:f t="shared" si="25"/>
      </x:c>
      <x:c r="BE33" s="178" t="str">
        <x:f t="shared" si="26"/>
      </x:c>
      <x:c r="BF33" s="122"/>
      <x:c r="BG33" s="177" t="str">
        <x:f t="shared" si="27"/>
      </x:c>
      <x:c r="BH33" s="122"/>
      <x:c r="BI33" s="177" t="str">
        <x:f t="shared" si="28"/>
      </x:c>
      <x:c r="BJ33" s="178" t="str">
        <x:f t="shared" si="29"/>
      </x:c>
    </x:row>
    <x:row r="34" ht="19.5" customHeight="1">
      <x:c r="A34" s="169"/>
      <x:c r="B34" s="170"/>
      <x:c r="C34" s="171"/>
      <x:c r="D34" s="172"/>
      <x:c r="E34" s="171"/>
      <x:c r="F34" s="173"/>
      <x:c r="G34" s="174"/>
      <x:c r="H34" s="175"/>
      <x:c r="I34" s="174"/>
      <x:c r="J34" s="176"/>
      <x:c r="K34" s="233"/>
      <x:c r="L34" s="233"/>
      <x:c r="M34" s="122"/>
      <x:c r="N34" s="177" t="str">
        <x:f t="shared" si="0"/>
      </x:c>
      <x:c r="O34" s="122"/>
      <x:c r="P34" s="177" t="str">
        <x:f t="shared" si="1"/>
      </x:c>
      <x:c r="Q34" s="178" t="str">
        <x:f t="shared" si="2"/>
      </x:c>
      <x:c r="R34" s="122"/>
      <x:c r="S34" s="177" t="str">
        <x:f t="shared" si="3"/>
      </x:c>
      <x:c r="T34" s="122"/>
      <x:c r="U34" s="177" t="str">
        <x:f t="shared" si="4"/>
      </x:c>
      <x:c r="V34" s="178" t="str">
        <x:f t="shared" si="5"/>
      </x:c>
      <x:c r="W34" s="122"/>
      <x:c r="X34" s="177" t="str">
        <x:f t="shared" si="6"/>
      </x:c>
      <x:c r="Y34" s="122"/>
      <x:c r="Z34" s="177" t="str">
        <x:f t="shared" si="7"/>
      </x:c>
      <x:c r="AA34" s="178" t="str">
        <x:f t="shared" si="8"/>
      </x:c>
      <x:c r="AB34" s="122"/>
      <x:c r="AC34" s="177" t="str">
        <x:f t="shared" si="9"/>
      </x:c>
      <x:c r="AD34" s="122"/>
      <x:c r="AE34" s="177" t="str">
        <x:f t="shared" si="10"/>
      </x:c>
      <x:c r="AF34" s="178" t="str">
        <x:f t="shared" si="11"/>
      </x:c>
      <x:c r="AG34" s="122"/>
      <x:c r="AH34" s="177" t="str">
        <x:f t="shared" si="12"/>
      </x:c>
      <x:c r="AI34" s="122"/>
      <x:c r="AJ34" s="177" t="str">
        <x:f t="shared" si="13"/>
      </x:c>
      <x:c r="AK34" s="178" t="str">
        <x:f t="shared" si="14"/>
      </x:c>
      <x:c r="AL34" s="122"/>
      <x:c r="AM34" s="177" t="str">
        <x:f t="shared" si="15"/>
      </x:c>
      <x:c r="AN34" s="122"/>
      <x:c r="AO34" s="177" t="str">
        <x:f t="shared" si="16"/>
      </x:c>
      <x:c r="AP34" s="178" t="str">
        <x:f t="shared" si="17"/>
      </x:c>
      <x:c r="AQ34" s="122"/>
      <x:c r="AR34" s="177" t="str">
        <x:f t="shared" si="18"/>
      </x:c>
      <x:c r="AS34" s="122"/>
      <x:c r="AT34" s="177" t="str">
        <x:f t="shared" si="19"/>
      </x:c>
      <x:c r="AU34" s="178" t="str">
        <x:f t="shared" si="20"/>
      </x:c>
      <x:c r="AV34" s="122"/>
      <x:c r="AW34" s="177" t="str">
        <x:f t="shared" si="21"/>
      </x:c>
      <x:c r="AX34" s="122"/>
      <x:c r="AY34" s="177" t="str">
        <x:f t="shared" si="22"/>
      </x:c>
      <x:c r="AZ34" s="178" t="str">
        <x:f t="shared" si="23"/>
      </x:c>
      <x:c r="BA34" s="122"/>
      <x:c r="BB34" s="177" t="str">
        <x:f t="shared" si="24"/>
      </x:c>
      <x:c r="BC34" s="122"/>
      <x:c r="BD34" s="177" t="str">
        <x:f t="shared" si="25"/>
      </x:c>
      <x:c r="BE34" s="178" t="str">
        <x:f t="shared" si="26"/>
      </x:c>
      <x:c r="BF34" s="122"/>
      <x:c r="BG34" s="177" t="str">
        <x:f t="shared" si="27"/>
      </x:c>
      <x:c r="BH34" s="122"/>
      <x:c r="BI34" s="177" t="str">
        <x:f t="shared" si="28"/>
      </x:c>
      <x:c r="BJ34" s="178" t="str">
        <x:f t="shared" si="29"/>
      </x:c>
    </x:row>
    <x:row r="35" ht="19.5" customHeight="1">
      <x:c r="A35" s="160"/>
      <x:c r="B35" s="179"/>
      <x:c r="C35" s="171"/>
      <x:c r="D35" s="172"/>
      <x:c r="E35" s="171"/>
      <x:c r="F35" s="173"/>
      <x:c r="G35" s="174"/>
      <x:c r="H35" s="175"/>
      <x:c r="I35" s="174"/>
      <x:c r="J35" s="176"/>
      <x:c r="K35" s="233"/>
      <x:c r="L35" s="233"/>
      <x:c r="M35" s="122"/>
      <x:c r="N35" s="177" t="str">
        <x:f t="shared" si="0"/>
      </x:c>
      <x:c r="O35" s="122"/>
      <x:c r="P35" s="177" t="str">
        <x:f t="shared" si="1"/>
      </x:c>
      <x:c r="Q35" s="178" t="str">
        <x:f t="shared" si="2"/>
      </x:c>
      <x:c r="R35" s="122"/>
      <x:c r="S35" s="177" t="str">
        <x:f t="shared" si="3"/>
      </x:c>
      <x:c r="T35" s="122"/>
      <x:c r="U35" s="177" t="str">
        <x:f t="shared" si="4"/>
      </x:c>
      <x:c r="V35" s="178" t="str">
        <x:f t="shared" si="5"/>
      </x:c>
      <x:c r="W35" s="122"/>
      <x:c r="X35" s="177" t="str">
        <x:f t="shared" si="6"/>
      </x:c>
      <x:c r="Y35" s="122"/>
      <x:c r="Z35" s="177" t="str">
        <x:f t="shared" si="7"/>
      </x:c>
      <x:c r="AA35" s="178" t="str">
        <x:f t="shared" si="8"/>
      </x:c>
      <x:c r="AB35" s="122"/>
      <x:c r="AC35" s="177" t="str">
        <x:f t="shared" si="9"/>
      </x:c>
      <x:c r="AD35" s="122"/>
      <x:c r="AE35" s="177" t="str">
        <x:f t="shared" si="10"/>
      </x:c>
      <x:c r="AF35" s="178" t="str">
        <x:f t="shared" si="11"/>
      </x:c>
      <x:c r="AG35" s="122"/>
      <x:c r="AH35" s="177" t="str">
        <x:f t="shared" si="12"/>
      </x:c>
      <x:c r="AI35" s="122"/>
      <x:c r="AJ35" s="177" t="str">
        <x:f t="shared" si="13"/>
      </x:c>
      <x:c r="AK35" s="178" t="str">
        <x:f t="shared" si="14"/>
      </x:c>
      <x:c r="AL35" s="122"/>
      <x:c r="AM35" s="177" t="str">
        <x:f t="shared" si="15"/>
      </x:c>
      <x:c r="AN35" s="122"/>
      <x:c r="AO35" s="177" t="str">
        <x:f t="shared" si="16"/>
      </x:c>
      <x:c r="AP35" s="178" t="str">
        <x:f t="shared" si="17"/>
      </x:c>
      <x:c r="AQ35" s="122"/>
      <x:c r="AR35" s="177" t="str">
        <x:f t="shared" si="18"/>
      </x:c>
      <x:c r="AS35" s="122"/>
      <x:c r="AT35" s="177" t="str">
        <x:f t="shared" si="19"/>
      </x:c>
      <x:c r="AU35" s="178" t="str">
        <x:f t="shared" si="20"/>
      </x:c>
      <x:c r="AV35" s="122"/>
      <x:c r="AW35" s="177" t="str">
        <x:f t="shared" si="21"/>
      </x:c>
      <x:c r="AX35" s="122"/>
      <x:c r="AY35" s="177" t="str">
        <x:f t="shared" si="22"/>
      </x:c>
      <x:c r="AZ35" s="178" t="str">
        <x:f t="shared" si="23"/>
      </x:c>
      <x:c r="BA35" s="122"/>
      <x:c r="BB35" s="177" t="str">
        <x:f t="shared" si="24"/>
      </x:c>
      <x:c r="BC35" s="122"/>
      <x:c r="BD35" s="177" t="str">
        <x:f t="shared" si="25"/>
      </x:c>
      <x:c r="BE35" s="178" t="str">
        <x:f t="shared" si="26"/>
      </x:c>
      <x:c r="BF35" s="122"/>
      <x:c r="BG35" s="177" t="str">
        <x:f t="shared" si="27"/>
      </x:c>
      <x:c r="BH35" s="122"/>
      <x:c r="BI35" s="177" t="str">
        <x:f t="shared" si="28"/>
      </x:c>
      <x:c r="BJ35" s="178" t="str">
        <x:f t="shared" si="29"/>
      </x:c>
    </x:row>
    <x:row r="36" ht="19.5" customHeight="1">
      <x:c r="A36" s="169"/>
      <x:c r="B36" s="170"/>
      <x:c r="C36" s="171"/>
      <x:c r="D36" s="172"/>
      <x:c r="E36" s="171"/>
      <x:c r="F36" s="173"/>
      <x:c r="G36" s="174"/>
      <x:c r="H36" s="175"/>
      <x:c r="I36" s="174"/>
      <x:c r="J36" s="176"/>
      <x:c r="K36" s="233"/>
      <x:c r="L36" s="233"/>
      <x:c r="M36" s="122"/>
      <x:c r="N36" s="177" t="str">
        <x:f t="shared" si="0"/>
      </x:c>
      <x:c r="O36" s="122"/>
      <x:c r="P36" s="177" t="str">
        <x:f t="shared" si="1"/>
      </x:c>
      <x:c r="Q36" s="178" t="str">
        <x:f t="shared" si="2"/>
      </x:c>
      <x:c r="R36" s="122"/>
      <x:c r="S36" s="177" t="str">
        <x:f t="shared" si="3"/>
      </x:c>
      <x:c r="T36" s="122"/>
      <x:c r="U36" s="177" t="str">
        <x:f t="shared" si="4"/>
      </x:c>
      <x:c r="V36" s="178" t="str">
        <x:f t="shared" si="5"/>
      </x:c>
      <x:c r="W36" s="122"/>
      <x:c r="X36" s="177" t="str">
        <x:f t="shared" si="6"/>
      </x:c>
      <x:c r="Y36" s="122"/>
      <x:c r="Z36" s="177" t="str">
        <x:f t="shared" si="7"/>
      </x:c>
      <x:c r="AA36" s="178" t="str">
        <x:f t="shared" si="8"/>
      </x:c>
      <x:c r="AB36" s="122"/>
      <x:c r="AC36" s="177" t="str">
        <x:f t="shared" si="9"/>
      </x:c>
      <x:c r="AD36" s="122"/>
      <x:c r="AE36" s="177" t="str">
        <x:f t="shared" si="10"/>
      </x:c>
      <x:c r="AF36" s="178" t="str">
        <x:f t="shared" si="11"/>
      </x:c>
      <x:c r="AG36" s="122"/>
      <x:c r="AH36" s="177" t="str">
        <x:f t="shared" si="12"/>
      </x:c>
      <x:c r="AI36" s="122"/>
      <x:c r="AJ36" s="177" t="str">
        <x:f t="shared" si="13"/>
      </x:c>
      <x:c r="AK36" s="178" t="str">
        <x:f t="shared" si="14"/>
      </x:c>
      <x:c r="AL36" s="122"/>
      <x:c r="AM36" s="177" t="str">
        <x:f t="shared" si="15"/>
      </x:c>
      <x:c r="AN36" s="122"/>
      <x:c r="AO36" s="177" t="str">
        <x:f t="shared" si="16"/>
      </x:c>
      <x:c r="AP36" s="178" t="str">
        <x:f t="shared" si="17"/>
      </x:c>
      <x:c r="AQ36" s="122"/>
      <x:c r="AR36" s="177" t="str">
        <x:f t="shared" si="18"/>
      </x:c>
      <x:c r="AS36" s="122"/>
      <x:c r="AT36" s="177" t="str">
        <x:f t="shared" si="19"/>
      </x:c>
      <x:c r="AU36" s="178" t="str">
        <x:f t="shared" si="20"/>
      </x:c>
      <x:c r="AV36" s="122"/>
      <x:c r="AW36" s="177" t="str">
        <x:f t="shared" si="21"/>
      </x:c>
      <x:c r="AX36" s="122"/>
      <x:c r="AY36" s="177" t="str">
        <x:f t="shared" si="22"/>
      </x:c>
      <x:c r="AZ36" s="178" t="str">
        <x:f t="shared" si="23"/>
      </x:c>
      <x:c r="BA36" s="122"/>
      <x:c r="BB36" s="177" t="str">
        <x:f t="shared" si="24"/>
      </x:c>
      <x:c r="BC36" s="122"/>
      <x:c r="BD36" s="177" t="str">
        <x:f t="shared" si="25"/>
      </x:c>
      <x:c r="BE36" s="178" t="str">
        <x:f t="shared" si="26"/>
      </x:c>
      <x:c r="BF36" s="122"/>
      <x:c r="BG36" s="177" t="str">
        <x:f t="shared" si="27"/>
      </x:c>
      <x:c r="BH36" s="122"/>
      <x:c r="BI36" s="177" t="str">
        <x:f t="shared" si="28"/>
      </x:c>
      <x:c r="BJ36" s="178" t="str">
        <x:f t="shared" si="29"/>
      </x:c>
    </x:row>
    <x:row r="37" ht="19.5" customHeight="1">
      <x:c r="A37" s="160"/>
      <x:c r="B37" s="179"/>
      <x:c r="C37" s="171"/>
      <x:c r="D37" s="172"/>
      <x:c r="E37" s="171"/>
      <x:c r="F37" s="173"/>
      <x:c r="G37" s="174"/>
      <x:c r="H37" s="175"/>
      <x:c r="I37" s="174"/>
      <x:c r="J37" s="176"/>
      <x:c r="K37" s="233"/>
      <x:c r="L37" s="233"/>
      <x:c r="M37" s="122"/>
      <x:c r="N37" s="177" t="str">
        <x:f t="shared" si="0"/>
      </x:c>
      <x:c r="O37" s="122"/>
      <x:c r="P37" s="177" t="str">
        <x:f t="shared" si="1"/>
      </x:c>
      <x:c r="Q37" s="178" t="str">
        <x:f t="shared" si="2"/>
      </x:c>
      <x:c r="R37" s="122"/>
      <x:c r="S37" s="177" t="str">
        <x:f t="shared" si="3"/>
      </x:c>
      <x:c r="T37" s="122"/>
      <x:c r="U37" s="177" t="str">
        <x:f t="shared" si="4"/>
      </x:c>
      <x:c r="V37" s="178" t="str">
        <x:f t="shared" si="5"/>
      </x:c>
      <x:c r="W37" s="122"/>
      <x:c r="X37" s="177" t="str">
        <x:f t="shared" si="6"/>
      </x:c>
      <x:c r="Y37" s="122"/>
      <x:c r="Z37" s="177" t="str">
        <x:f t="shared" si="7"/>
      </x:c>
      <x:c r="AA37" s="178" t="str">
        <x:f t="shared" si="8"/>
      </x:c>
      <x:c r="AB37" s="122"/>
      <x:c r="AC37" s="177" t="str">
        <x:f t="shared" si="9"/>
      </x:c>
      <x:c r="AD37" s="122"/>
      <x:c r="AE37" s="177" t="str">
        <x:f t="shared" si="10"/>
      </x:c>
      <x:c r="AF37" s="178" t="str">
        <x:f t="shared" si="11"/>
      </x:c>
      <x:c r="AG37" s="122"/>
      <x:c r="AH37" s="177" t="str">
        <x:f t="shared" si="12"/>
      </x:c>
      <x:c r="AI37" s="122"/>
      <x:c r="AJ37" s="177" t="str">
        <x:f t="shared" si="13"/>
      </x:c>
      <x:c r="AK37" s="178" t="str">
        <x:f t="shared" si="14"/>
      </x:c>
      <x:c r="AL37" s="122"/>
      <x:c r="AM37" s="177" t="str">
        <x:f t="shared" si="15"/>
      </x:c>
      <x:c r="AN37" s="122"/>
      <x:c r="AO37" s="177" t="str">
        <x:f t="shared" si="16"/>
      </x:c>
      <x:c r="AP37" s="178" t="str">
        <x:f t="shared" si="17"/>
      </x:c>
      <x:c r="AQ37" s="122"/>
      <x:c r="AR37" s="177" t="str">
        <x:f t="shared" si="18"/>
      </x:c>
      <x:c r="AS37" s="122"/>
      <x:c r="AT37" s="177" t="str">
        <x:f t="shared" si="19"/>
      </x:c>
      <x:c r="AU37" s="178" t="str">
        <x:f t="shared" si="20"/>
      </x:c>
      <x:c r="AV37" s="122"/>
      <x:c r="AW37" s="177" t="str">
        <x:f t="shared" si="21"/>
      </x:c>
      <x:c r="AX37" s="122"/>
      <x:c r="AY37" s="177" t="str">
        <x:f t="shared" si="22"/>
      </x:c>
      <x:c r="AZ37" s="178" t="str">
        <x:f t="shared" si="23"/>
      </x:c>
      <x:c r="BA37" s="122"/>
      <x:c r="BB37" s="177" t="str">
        <x:f t="shared" si="24"/>
      </x:c>
      <x:c r="BC37" s="122"/>
      <x:c r="BD37" s="177" t="str">
        <x:f t="shared" si="25"/>
      </x:c>
      <x:c r="BE37" s="178" t="str">
        <x:f t="shared" si="26"/>
      </x:c>
      <x:c r="BF37" s="122"/>
      <x:c r="BG37" s="177" t="str">
        <x:f t="shared" si="27"/>
      </x:c>
      <x:c r="BH37" s="122"/>
      <x:c r="BI37" s="177" t="str">
        <x:f t="shared" si="28"/>
      </x:c>
      <x:c r="BJ37" s="178" t="str">
        <x:f t="shared" si="29"/>
      </x:c>
    </x:row>
    <x:row r="38" ht="19.5" customHeight="1">
      <x:c r="A38" s="169"/>
      <x:c r="B38" s="170"/>
      <x:c r="C38" s="171"/>
      <x:c r="D38" s="172"/>
      <x:c r="E38" s="171"/>
      <x:c r="F38" s="173"/>
      <x:c r="G38" s="174"/>
      <x:c r="H38" s="175"/>
      <x:c r="I38" s="174"/>
      <x:c r="J38" s="176"/>
      <x:c r="K38" s="233"/>
      <x:c r="L38" s="233"/>
      <x:c r="M38" s="122"/>
      <x:c r="N38" s="177" t="str">
        <x:f t="shared" si="0"/>
      </x:c>
      <x:c r="O38" s="122"/>
      <x:c r="P38" s="177" t="str">
        <x:f t="shared" si="1"/>
      </x:c>
      <x:c r="Q38" s="178" t="str">
        <x:f t="shared" si="2"/>
      </x:c>
      <x:c r="R38" s="122"/>
      <x:c r="S38" s="177" t="str">
        <x:f t="shared" si="3"/>
      </x:c>
      <x:c r="T38" s="122"/>
      <x:c r="U38" s="177" t="str">
        <x:f t="shared" si="4"/>
      </x:c>
      <x:c r="V38" s="178" t="str">
        <x:f t="shared" si="5"/>
      </x:c>
      <x:c r="W38" s="122"/>
      <x:c r="X38" s="177" t="str">
        <x:f t="shared" si="6"/>
      </x:c>
      <x:c r="Y38" s="122"/>
      <x:c r="Z38" s="177" t="str">
        <x:f t="shared" si="7"/>
      </x:c>
      <x:c r="AA38" s="178" t="str">
        <x:f t="shared" si="8"/>
      </x:c>
      <x:c r="AB38" s="122"/>
      <x:c r="AC38" s="177" t="str">
        <x:f t="shared" si="9"/>
      </x:c>
      <x:c r="AD38" s="122"/>
      <x:c r="AE38" s="177" t="str">
        <x:f t="shared" si="10"/>
      </x:c>
      <x:c r="AF38" s="178" t="str">
        <x:f t="shared" si="11"/>
      </x:c>
      <x:c r="AG38" s="122"/>
      <x:c r="AH38" s="177" t="str">
        <x:f t="shared" si="12"/>
      </x:c>
      <x:c r="AI38" s="122"/>
      <x:c r="AJ38" s="177" t="str">
        <x:f t="shared" si="13"/>
      </x:c>
      <x:c r="AK38" s="178" t="str">
        <x:f t="shared" si="14"/>
      </x:c>
      <x:c r="AL38" s="122"/>
      <x:c r="AM38" s="177" t="str">
        <x:f t="shared" si="15"/>
      </x:c>
      <x:c r="AN38" s="122"/>
      <x:c r="AO38" s="177" t="str">
        <x:f t="shared" si="16"/>
      </x:c>
      <x:c r="AP38" s="178" t="str">
        <x:f t="shared" si="17"/>
      </x:c>
      <x:c r="AQ38" s="122"/>
      <x:c r="AR38" s="177" t="str">
        <x:f t="shared" si="18"/>
      </x:c>
      <x:c r="AS38" s="122"/>
      <x:c r="AT38" s="177" t="str">
        <x:f t="shared" si="19"/>
      </x:c>
      <x:c r="AU38" s="178" t="str">
        <x:f t="shared" si="20"/>
      </x:c>
      <x:c r="AV38" s="122"/>
      <x:c r="AW38" s="177" t="str">
        <x:f t="shared" si="21"/>
      </x:c>
      <x:c r="AX38" s="122"/>
      <x:c r="AY38" s="177" t="str">
        <x:f t="shared" si="22"/>
      </x:c>
      <x:c r="AZ38" s="178" t="str">
        <x:f t="shared" si="23"/>
      </x:c>
      <x:c r="BA38" s="122"/>
      <x:c r="BB38" s="177" t="str">
        <x:f t="shared" si="24"/>
      </x:c>
      <x:c r="BC38" s="122"/>
      <x:c r="BD38" s="177" t="str">
        <x:f t="shared" si="25"/>
      </x:c>
      <x:c r="BE38" s="178" t="str">
        <x:f t="shared" si="26"/>
      </x:c>
      <x:c r="BF38" s="122"/>
      <x:c r="BG38" s="177" t="str">
        <x:f t="shared" si="27"/>
      </x:c>
      <x:c r="BH38" s="122"/>
      <x:c r="BI38" s="177" t="str">
        <x:f t="shared" si="28"/>
      </x:c>
      <x:c r="BJ38" s="178" t="str">
        <x:f t="shared" si="29"/>
      </x:c>
    </x:row>
    <x:row r="39" ht="19.5" customHeight="1">
      <x:c r="A39" s="160"/>
      <x:c r="B39" s="179"/>
      <x:c r="C39" s="171"/>
      <x:c r="D39" s="172"/>
      <x:c r="E39" s="171"/>
      <x:c r="F39" s="173"/>
      <x:c r="G39" s="174"/>
      <x:c r="H39" s="175"/>
      <x:c r="I39" s="174"/>
      <x:c r="J39" s="176"/>
      <x:c r="K39" s="233"/>
      <x:c r="L39" s="233"/>
      <x:c r="M39" s="122"/>
      <x:c r="N39" s="177" t="str">
        <x:f t="shared" si="0"/>
      </x:c>
      <x:c r="O39" s="122"/>
      <x:c r="P39" s="177" t="str">
        <x:f t="shared" si="1"/>
      </x:c>
      <x:c r="Q39" s="178" t="str">
        <x:f t="shared" si="2"/>
      </x:c>
      <x:c r="R39" s="122"/>
      <x:c r="S39" s="177" t="str">
        <x:f t="shared" si="3"/>
      </x:c>
      <x:c r="T39" s="122"/>
      <x:c r="U39" s="177" t="str">
        <x:f t="shared" si="4"/>
      </x:c>
      <x:c r="V39" s="178" t="str">
        <x:f t="shared" si="5"/>
      </x:c>
      <x:c r="W39" s="122"/>
      <x:c r="X39" s="177" t="str">
        <x:f t="shared" si="6"/>
      </x:c>
      <x:c r="Y39" s="122"/>
      <x:c r="Z39" s="177" t="str">
        <x:f t="shared" si="7"/>
      </x:c>
      <x:c r="AA39" s="178" t="str">
        <x:f t="shared" si="8"/>
      </x:c>
      <x:c r="AB39" s="122"/>
      <x:c r="AC39" s="177" t="str">
        <x:f t="shared" si="9"/>
      </x:c>
      <x:c r="AD39" s="122"/>
      <x:c r="AE39" s="177" t="str">
        <x:f t="shared" si="10"/>
      </x:c>
      <x:c r="AF39" s="178" t="str">
        <x:f t="shared" si="11"/>
      </x:c>
      <x:c r="AG39" s="122"/>
      <x:c r="AH39" s="177" t="str">
        <x:f t="shared" si="12"/>
      </x:c>
      <x:c r="AI39" s="122"/>
      <x:c r="AJ39" s="177" t="str">
        <x:f t="shared" si="13"/>
      </x:c>
      <x:c r="AK39" s="178" t="str">
        <x:f t="shared" si="14"/>
      </x:c>
      <x:c r="AL39" s="122"/>
      <x:c r="AM39" s="177" t="str">
        <x:f t="shared" si="15"/>
      </x:c>
      <x:c r="AN39" s="122"/>
      <x:c r="AO39" s="177" t="str">
        <x:f t="shared" si="16"/>
      </x:c>
      <x:c r="AP39" s="178" t="str">
        <x:f t="shared" si="17"/>
      </x:c>
      <x:c r="AQ39" s="122"/>
      <x:c r="AR39" s="177" t="str">
        <x:f t="shared" si="18"/>
      </x:c>
      <x:c r="AS39" s="122"/>
      <x:c r="AT39" s="177" t="str">
        <x:f t="shared" si="19"/>
      </x:c>
      <x:c r="AU39" s="178" t="str">
        <x:f t="shared" si="20"/>
      </x:c>
      <x:c r="AV39" s="122"/>
      <x:c r="AW39" s="177" t="str">
        <x:f t="shared" si="21"/>
      </x:c>
      <x:c r="AX39" s="122"/>
      <x:c r="AY39" s="177" t="str">
        <x:f t="shared" si="22"/>
      </x:c>
      <x:c r="AZ39" s="178" t="str">
        <x:f t="shared" si="23"/>
      </x:c>
      <x:c r="BA39" s="122"/>
      <x:c r="BB39" s="177" t="str">
        <x:f t="shared" si="24"/>
      </x:c>
      <x:c r="BC39" s="122"/>
      <x:c r="BD39" s="177" t="str">
        <x:f t="shared" si="25"/>
      </x:c>
      <x:c r="BE39" s="178" t="str">
        <x:f t="shared" si="26"/>
      </x:c>
      <x:c r="BF39" s="122"/>
      <x:c r="BG39" s="177" t="str">
        <x:f t="shared" si="27"/>
      </x:c>
      <x:c r="BH39" s="122"/>
      <x:c r="BI39" s="177" t="str">
        <x:f t="shared" si="28"/>
      </x:c>
      <x:c r="BJ39" s="178" t="str">
        <x:f t="shared" si="29"/>
      </x:c>
    </x:row>
    <x:row r="40" ht="19.5" customHeight="1">
      <x:c r="A40" s="169"/>
      <x:c r="B40" s="170"/>
      <x:c r="C40" s="171"/>
      <x:c r="D40" s="172"/>
      <x:c r="E40" s="171"/>
      <x:c r="F40" s="173"/>
      <x:c r="G40" s="174"/>
      <x:c r="H40" s="175"/>
      <x:c r="I40" s="174"/>
      <x:c r="J40" s="176"/>
      <x:c r="K40" s="233"/>
      <x:c r="L40" s="233"/>
      <x:c r="M40" s="122"/>
      <x:c r="N40" s="177" t="str">
        <x:f t="shared" si="0"/>
      </x:c>
      <x:c r="O40" s="122"/>
      <x:c r="P40" s="177" t="str">
        <x:f t="shared" si="1"/>
      </x:c>
      <x:c r="Q40" s="178" t="str">
        <x:f t="shared" si="2"/>
      </x:c>
      <x:c r="R40" s="122"/>
      <x:c r="S40" s="177" t="str">
        <x:f t="shared" si="3"/>
      </x:c>
      <x:c r="T40" s="122"/>
      <x:c r="U40" s="177" t="str">
        <x:f t="shared" si="4"/>
      </x:c>
      <x:c r="V40" s="178" t="str">
        <x:f t="shared" si="5"/>
      </x:c>
      <x:c r="W40" s="122"/>
      <x:c r="X40" s="177" t="str">
        <x:f t="shared" si="6"/>
      </x:c>
      <x:c r="Y40" s="122"/>
      <x:c r="Z40" s="177" t="str">
        <x:f t="shared" si="7"/>
      </x:c>
      <x:c r="AA40" s="178" t="str">
        <x:f t="shared" si="8"/>
      </x:c>
      <x:c r="AB40" s="122"/>
      <x:c r="AC40" s="177" t="str">
        <x:f t="shared" si="9"/>
      </x:c>
      <x:c r="AD40" s="122"/>
      <x:c r="AE40" s="177" t="str">
        <x:f t="shared" si="10"/>
      </x:c>
      <x:c r="AF40" s="178" t="str">
        <x:f t="shared" si="11"/>
      </x:c>
      <x:c r="AG40" s="122"/>
      <x:c r="AH40" s="177" t="str">
        <x:f t="shared" si="12"/>
      </x:c>
      <x:c r="AI40" s="122"/>
      <x:c r="AJ40" s="177" t="str">
        <x:f t="shared" si="13"/>
      </x:c>
      <x:c r="AK40" s="178" t="str">
        <x:f t="shared" si="14"/>
      </x:c>
      <x:c r="AL40" s="122"/>
      <x:c r="AM40" s="177" t="str">
        <x:f t="shared" si="15"/>
      </x:c>
      <x:c r="AN40" s="122"/>
      <x:c r="AO40" s="177" t="str">
        <x:f t="shared" si="16"/>
      </x:c>
      <x:c r="AP40" s="178" t="str">
        <x:f t="shared" si="17"/>
      </x:c>
      <x:c r="AQ40" s="122"/>
      <x:c r="AR40" s="177" t="str">
        <x:f t="shared" si="18"/>
      </x:c>
      <x:c r="AS40" s="122"/>
      <x:c r="AT40" s="177" t="str">
        <x:f t="shared" si="19"/>
      </x:c>
      <x:c r="AU40" s="178" t="str">
        <x:f t="shared" si="20"/>
      </x:c>
      <x:c r="AV40" s="122"/>
      <x:c r="AW40" s="177" t="str">
        <x:f t="shared" si="21"/>
      </x:c>
      <x:c r="AX40" s="122"/>
      <x:c r="AY40" s="177" t="str">
        <x:f t="shared" si="22"/>
      </x:c>
      <x:c r="AZ40" s="178" t="str">
        <x:f t="shared" si="23"/>
      </x:c>
      <x:c r="BA40" s="122"/>
      <x:c r="BB40" s="177" t="str">
        <x:f t="shared" si="24"/>
      </x:c>
      <x:c r="BC40" s="122"/>
      <x:c r="BD40" s="177" t="str">
        <x:f t="shared" si="25"/>
      </x:c>
      <x:c r="BE40" s="178" t="str">
        <x:f t="shared" si="26"/>
      </x:c>
      <x:c r="BF40" s="122"/>
      <x:c r="BG40" s="177" t="str">
        <x:f t="shared" si="27"/>
      </x:c>
      <x:c r="BH40" s="122"/>
      <x:c r="BI40" s="177" t="str">
        <x:f t="shared" si="28"/>
      </x:c>
      <x:c r="BJ40" s="178" t="str">
        <x:f t="shared" si="29"/>
      </x:c>
    </x:row>
    <x:row r="41" ht="19.5" customHeight="1">
      <x:c r="A41" s="160"/>
      <x:c r="B41" s="179"/>
      <x:c r="C41" s="171"/>
      <x:c r="D41" s="172"/>
      <x:c r="E41" s="171"/>
      <x:c r="F41" s="173"/>
      <x:c r="G41" s="174"/>
      <x:c r="H41" s="175"/>
      <x:c r="I41" s="174"/>
      <x:c r="J41" s="176"/>
      <x:c r="K41" s="233"/>
      <x:c r="L41" s="233"/>
      <x:c r="M41" s="122"/>
      <x:c r="N41" s="177" t="str">
        <x:f t="shared" si="0"/>
      </x:c>
      <x:c r="O41" s="122"/>
      <x:c r="P41" s="177" t="str">
        <x:f t="shared" si="1"/>
      </x:c>
      <x:c r="Q41" s="178" t="str">
        <x:f t="shared" si="2"/>
      </x:c>
      <x:c r="R41" s="122"/>
      <x:c r="S41" s="177" t="str">
        <x:f t="shared" si="3"/>
      </x:c>
      <x:c r="T41" s="122"/>
      <x:c r="U41" s="177" t="str">
        <x:f t="shared" si="4"/>
      </x:c>
      <x:c r="V41" s="178" t="str">
        <x:f t="shared" si="5"/>
      </x:c>
      <x:c r="W41" s="122"/>
      <x:c r="X41" s="177" t="str">
        <x:f t="shared" si="6"/>
      </x:c>
      <x:c r="Y41" s="122"/>
      <x:c r="Z41" s="177" t="str">
        <x:f t="shared" si="7"/>
      </x:c>
      <x:c r="AA41" s="178" t="str">
        <x:f t="shared" si="8"/>
      </x:c>
      <x:c r="AB41" s="122"/>
      <x:c r="AC41" s="177" t="str">
        <x:f t="shared" si="9"/>
      </x:c>
      <x:c r="AD41" s="122"/>
      <x:c r="AE41" s="177" t="str">
        <x:f t="shared" si="10"/>
      </x:c>
      <x:c r="AF41" s="178" t="str">
        <x:f t="shared" si="11"/>
      </x:c>
      <x:c r="AG41" s="122"/>
      <x:c r="AH41" s="177" t="str">
        <x:f t="shared" si="12"/>
      </x:c>
      <x:c r="AI41" s="122"/>
      <x:c r="AJ41" s="177" t="str">
        <x:f t="shared" si="13"/>
      </x:c>
      <x:c r="AK41" s="178" t="str">
        <x:f t="shared" si="14"/>
      </x:c>
      <x:c r="AL41" s="122"/>
      <x:c r="AM41" s="177" t="str">
        <x:f t="shared" si="15"/>
      </x:c>
      <x:c r="AN41" s="122"/>
      <x:c r="AO41" s="177" t="str">
        <x:f t="shared" si="16"/>
      </x:c>
      <x:c r="AP41" s="178" t="str">
        <x:f t="shared" si="17"/>
      </x:c>
      <x:c r="AQ41" s="122"/>
      <x:c r="AR41" s="177" t="str">
        <x:f t="shared" si="18"/>
      </x:c>
      <x:c r="AS41" s="122"/>
      <x:c r="AT41" s="177" t="str">
        <x:f t="shared" si="19"/>
      </x:c>
      <x:c r="AU41" s="178" t="str">
        <x:f t="shared" si="20"/>
      </x:c>
      <x:c r="AV41" s="122"/>
      <x:c r="AW41" s="177" t="str">
        <x:f t="shared" si="21"/>
      </x:c>
      <x:c r="AX41" s="122"/>
      <x:c r="AY41" s="177" t="str">
        <x:f t="shared" si="22"/>
      </x:c>
      <x:c r="AZ41" s="178" t="str">
        <x:f t="shared" si="23"/>
      </x:c>
      <x:c r="BA41" s="122"/>
      <x:c r="BB41" s="177" t="str">
        <x:f t="shared" si="24"/>
      </x:c>
      <x:c r="BC41" s="122"/>
      <x:c r="BD41" s="177" t="str">
        <x:f t="shared" si="25"/>
      </x:c>
      <x:c r="BE41" s="178" t="str">
        <x:f t="shared" si="26"/>
      </x:c>
      <x:c r="BF41" s="122"/>
      <x:c r="BG41" s="177" t="str">
        <x:f t="shared" si="27"/>
      </x:c>
      <x:c r="BH41" s="122"/>
      <x:c r="BI41" s="177" t="str">
        <x:f t="shared" si="28"/>
      </x:c>
      <x:c r="BJ41" s="178" t="str">
        <x:f t="shared" si="29"/>
      </x:c>
    </x:row>
    <x:row r="42" ht="19.5" customHeight="1">
      <x:c r="A42" s="169"/>
      <x:c r="B42" s="170"/>
      <x:c r="C42" s="171"/>
      <x:c r="D42" s="172"/>
      <x:c r="E42" s="171"/>
      <x:c r="F42" s="173"/>
      <x:c r="G42" s="174"/>
      <x:c r="H42" s="175"/>
      <x:c r="I42" s="174"/>
      <x:c r="J42" s="176"/>
      <x:c r="K42" s="233"/>
      <x:c r="L42" s="233"/>
      <x:c r="M42" s="122"/>
      <x:c r="N42" s="177" t="str">
        <x:f t="shared" si="0"/>
      </x:c>
      <x:c r="O42" s="122"/>
      <x:c r="P42" s="177" t="str">
        <x:f t="shared" si="1"/>
      </x:c>
      <x:c r="Q42" s="178" t="str">
        <x:f t="shared" si="2"/>
      </x:c>
      <x:c r="R42" s="122"/>
      <x:c r="S42" s="177" t="str">
        <x:f t="shared" si="3"/>
      </x:c>
      <x:c r="T42" s="122"/>
      <x:c r="U42" s="177" t="str">
        <x:f t="shared" si="4"/>
      </x:c>
      <x:c r="V42" s="178" t="str">
        <x:f t="shared" si="5"/>
      </x:c>
      <x:c r="W42" s="122"/>
      <x:c r="X42" s="177" t="str">
        <x:f t="shared" si="6"/>
      </x:c>
      <x:c r="Y42" s="122"/>
      <x:c r="Z42" s="177" t="str">
        <x:f t="shared" si="7"/>
      </x:c>
      <x:c r="AA42" s="178" t="str">
        <x:f t="shared" si="8"/>
      </x:c>
      <x:c r="AB42" s="122"/>
      <x:c r="AC42" s="177" t="str">
        <x:f t="shared" si="9"/>
      </x:c>
      <x:c r="AD42" s="122"/>
      <x:c r="AE42" s="177" t="str">
        <x:f t="shared" si="10"/>
      </x:c>
      <x:c r="AF42" s="178" t="str">
        <x:f t="shared" si="11"/>
      </x:c>
      <x:c r="AG42" s="122"/>
      <x:c r="AH42" s="177" t="str">
        <x:f t="shared" si="12"/>
      </x:c>
      <x:c r="AI42" s="122"/>
      <x:c r="AJ42" s="177" t="str">
        <x:f t="shared" si="13"/>
      </x:c>
      <x:c r="AK42" s="178" t="str">
        <x:f t="shared" si="14"/>
      </x:c>
      <x:c r="AL42" s="122"/>
      <x:c r="AM42" s="177" t="str">
        <x:f t="shared" si="15"/>
      </x:c>
      <x:c r="AN42" s="122"/>
      <x:c r="AO42" s="177" t="str">
        <x:f t="shared" si="16"/>
      </x:c>
      <x:c r="AP42" s="178" t="str">
        <x:f t="shared" si="17"/>
      </x:c>
      <x:c r="AQ42" s="122"/>
      <x:c r="AR42" s="177" t="str">
        <x:f t="shared" si="18"/>
      </x:c>
      <x:c r="AS42" s="122"/>
      <x:c r="AT42" s="177" t="str">
        <x:f t="shared" si="19"/>
      </x:c>
      <x:c r="AU42" s="178" t="str">
        <x:f t="shared" si="20"/>
      </x:c>
      <x:c r="AV42" s="122"/>
      <x:c r="AW42" s="177" t="str">
        <x:f t="shared" si="21"/>
      </x:c>
      <x:c r="AX42" s="122"/>
      <x:c r="AY42" s="177" t="str">
        <x:f t="shared" si="22"/>
      </x:c>
      <x:c r="AZ42" s="178" t="str">
        <x:f t="shared" si="23"/>
      </x:c>
      <x:c r="BA42" s="122"/>
      <x:c r="BB42" s="177" t="str">
        <x:f t="shared" si="24"/>
      </x:c>
      <x:c r="BC42" s="122"/>
      <x:c r="BD42" s="177" t="str">
        <x:f t="shared" si="25"/>
      </x:c>
      <x:c r="BE42" s="178" t="str">
        <x:f t="shared" si="26"/>
      </x:c>
      <x:c r="BF42" s="122"/>
      <x:c r="BG42" s="177" t="str">
        <x:f t="shared" si="27"/>
      </x:c>
      <x:c r="BH42" s="122"/>
      <x:c r="BI42" s="177" t="str">
        <x:f t="shared" si="28"/>
      </x:c>
      <x:c r="BJ42" s="178" t="str">
        <x:f t="shared" si="29"/>
      </x:c>
    </x:row>
    <x:row r="43" ht="19.5" customHeight="1">
      <x:c r="A43" s="160"/>
      <x:c r="B43" s="179"/>
      <x:c r="C43" s="171"/>
      <x:c r="D43" s="172"/>
      <x:c r="E43" s="171"/>
      <x:c r="F43" s="173"/>
      <x:c r="G43" s="174"/>
      <x:c r="H43" s="175"/>
      <x:c r="I43" s="174"/>
      <x:c r="J43" s="176"/>
      <x:c r="K43" s="233"/>
      <x:c r="L43" s="233"/>
      <x:c r="M43" s="122"/>
      <x:c r="N43" s="177" t="str">
        <x:f t="shared" si="0"/>
      </x:c>
      <x:c r="O43" s="122"/>
      <x:c r="P43" s="177" t="str">
        <x:f t="shared" si="1"/>
      </x:c>
      <x:c r="Q43" s="178" t="str">
        <x:f t="shared" si="2"/>
      </x:c>
      <x:c r="R43" s="122"/>
      <x:c r="S43" s="177" t="str">
        <x:f t="shared" si="3"/>
      </x:c>
      <x:c r="T43" s="122"/>
      <x:c r="U43" s="177" t="str">
        <x:f t="shared" si="4"/>
      </x:c>
      <x:c r="V43" s="178" t="str">
        <x:f t="shared" si="5"/>
      </x:c>
      <x:c r="W43" s="122"/>
      <x:c r="X43" s="177" t="str">
        <x:f t="shared" si="6"/>
      </x:c>
      <x:c r="Y43" s="122"/>
      <x:c r="Z43" s="177" t="str">
        <x:f t="shared" si="7"/>
      </x:c>
      <x:c r="AA43" s="178" t="str">
        <x:f t="shared" si="8"/>
      </x:c>
      <x:c r="AB43" s="122"/>
      <x:c r="AC43" s="177" t="str">
        <x:f t="shared" si="9"/>
      </x:c>
      <x:c r="AD43" s="122"/>
      <x:c r="AE43" s="177" t="str">
        <x:f t="shared" si="10"/>
      </x:c>
      <x:c r="AF43" s="178" t="str">
        <x:f t="shared" si="11"/>
      </x:c>
      <x:c r="AG43" s="122"/>
      <x:c r="AH43" s="177" t="str">
        <x:f t="shared" si="12"/>
      </x:c>
      <x:c r="AI43" s="122"/>
      <x:c r="AJ43" s="177" t="str">
        <x:f t="shared" si="13"/>
      </x:c>
      <x:c r="AK43" s="178" t="str">
        <x:f t="shared" si="14"/>
      </x:c>
      <x:c r="AL43" s="122"/>
      <x:c r="AM43" s="177" t="str">
        <x:f t="shared" si="15"/>
      </x:c>
      <x:c r="AN43" s="122"/>
      <x:c r="AO43" s="177" t="str">
        <x:f t="shared" si="16"/>
      </x:c>
      <x:c r="AP43" s="178" t="str">
        <x:f t="shared" si="17"/>
      </x:c>
      <x:c r="AQ43" s="122"/>
      <x:c r="AR43" s="177" t="str">
        <x:f t="shared" si="18"/>
      </x:c>
      <x:c r="AS43" s="122"/>
      <x:c r="AT43" s="177" t="str">
        <x:f t="shared" si="19"/>
      </x:c>
      <x:c r="AU43" s="178" t="str">
        <x:f t="shared" si="20"/>
      </x:c>
      <x:c r="AV43" s="122"/>
      <x:c r="AW43" s="177" t="str">
        <x:f t="shared" si="21"/>
      </x:c>
      <x:c r="AX43" s="122"/>
      <x:c r="AY43" s="177" t="str">
        <x:f t="shared" si="22"/>
      </x:c>
      <x:c r="AZ43" s="178" t="str">
        <x:f t="shared" si="23"/>
      </x:c>
      <x:c r="BA43" s="122"/>
      <x:c r="BB43" s="177" t="str">
        <x:f t="shared" si="24"/>
      </x:c>
      <x:c r="BC43" s="122"/>
      <x:c r="BD43" s="177" t="str">
        <x:f t="shared" si="25"/>
      </x:c>
      <x:c r="BE43" s="178" t="str">
        <x:f t="shared" si="26"/>
      </x:c>
      <x:c r="BF43" s="122"/>
      <x:c r="BG43" s="177" t="str">
        <x:f t="shared" si="27"/>
      </x:c>
      <x:c r="BH43" s="122"/>
      <x:c r="BI43" s="177" t="str">
        <x:f t="shared" si="28"/>
      </x:c>
      <x:c r="BJ43" s="178" t="str">
        <x:f t="shared" si="29"/>
      </x:c>
    </x:row>
    <x:row r="44" ht="19.5" customHeight="1">
      <x:c r="A44" s="169"/>
      <x:c r="B44" s="170"/>
      <x:c r="C44" s="171"/>
      <x:c r="D44" s="172"/>
      <x:c r="E44" s="171"/>
      <x:c r="F44" s="173"/>
      <x:c r="G44" s="174"/>
      <x:c r="H44" s="175"/>
      <x:c r="I44" s="174"/>
      <x:c r="J44" s="176"/>
      <x:c r="K44" s="233"/>
      <x:c r="L44" s="233"/>
      <x:c r="M44" s="122"/>
      <x:c r="N44" s="177" t="str">
        <x:f t="shared" si="0"/>
      </x:c>
      <x:c r="O44" s="122"/>
      <x:c r="P44" s="177" t="str">
        <x:f t="shared" si="1"/>
      </x:c>
      <x:c r="Q44" s="178" t="str">
        <x:f t="shared" si="2"/>
      </x:c>
      <x:c r="R44" s="122"/>
      <x:c r="S44" s="177" t="str">
        <x:f t="shared" si="3"/>
      </x:c>
      <x:c r="T44" s="122"/>
      <x:c r="U44" s="177" t="str">
        <x:f t="shared" si="4"/>
      </x:c>
      <x:c r="V44" s="178" t="str">
        <x:f t="shared" si="5"/>
      </x:c>
      <x:c r="W44" s="122"/>
      <x:c r="X44" s="177" t="str">
        <x:f t="shared" si="6"/>
      </x:c>
      <x:c r="Y44" s="122"/>
      <x:c r="Z44" s="177" t="str">
        <x:f t="shared" si="7"/>
      </x:c>
      <x:c r="AA44" s="178" t="str">
        <x:f t="shared" si="8"/>
      </x:c>
      <x:c r="AB44" s="122"/>
      <x:c r="AC44" s="177" t="str">
        <x:f t="shared" si="9"/>
      </x:c>
      <x:c r="AD44" s="122"/>
      <x:c r="AE44" s="177" t="str">
        <x:f t="shared" si="10"/>
      </x:c>
      <x:c r="AF44" s="178" t="str">
        <x:f t="shared" si="11"/>
      </x:c>
      <x:c r="AG44" s="122"/>
      <x:c r="AH44" s="177" t="str">
        <x:f t="shared" si="12"/>
      </x:c>
      <x:c r="AI44" s="122"/>
      <x:c r="AJ44" s="177" t="str">
        <x:f t="shared" si="13"/>
      </x:c>
      <x:c r="AK44" s="178" t="str">
        <x:f t="shared" si="14"/>
      </x:c>
      <x:c r="AL44" s="122"/>
      <x:c r="AM44" s="177" t="str">
        <x:f t="shared" si="15"/>
      </x:c>
      <x:c r="AN44" s="122"/>
      <x:c r="AO44" s="177" t="str">
        <x:f t="shared" si="16"/>
      </x:c>
      <x:c r="AP44" s="178" t="str">
        <x:f t="shared" si="17"/>
      </x:c>
      <x:c r="AQ44" s="122"/>
      <x:c r="AR44" s="177" t="str">
        <x:f t="shared" si="18"/>
      </x:c>
      <x:c r="AS44" s="122"/>
      <x:c r="AT44" s="177" t="str">
        <x:f t="shared" si="19"/>
      </x:c>
      <x:c r="AU44" s="178" t="str">
        <x:f t="shared" si="20"/>
      </x:c>
      <x:c r="AV44" s="122"/>
      <x:c r="AW44" s="177" t="str">
        <x:f t="shared" si="21"/>
      </x:c>
      <x:c r="AX44" s="122"/>
      <x:c r="AY44" s="177" t="str">
        <x:f t="shared" si="22"/>
      </x:c>
      <x:c r="AZ44" s="178" t="str">
        <x:f t="shared" si="23"/>
      </x:c>
      <x:c r="BA44" s="122"/>
      <x:c r="BB44" s="177" t="str">
        <x:f t="shared" si="24"/>
      </x:c>
      <x:c r="BC44" s="122"/>
      <x:c r="BD44" s="177" t="str">
        <x:f t="shared" si="25"/>
      </x:c>
      <x:c r="BE44" s="178" t="str">
        <x:f t="shared" si="26"/>
      </x:c>
      <x:c r="BF44" s="122"/>
      <x:c r="BG44" s="177" t="str">
        <x:f t="shared" si="27"/>
      </x:c>
      <x:c r="BH44" s="122"/>
      <x:c r="BI44" s="177" t="str">
        <x:f t="shared" si="28"/>
      </x:c>
      <x:c r="BJ44" s="178" t="str">
        <x:f t="shared" si="29"/>
      </x:c>
    </x:row>
    <x:row r="45" ht="19.5" customHeight="1">
      <x:c r="A45" s="160"/>
      <x:c r="B45" s="170"/>
      <x:c r="C45" s="171"/>
      <x:c r="D45" s="172"/>
      <x:c r="E45" s="171"/>
      <x:c r="F45" s="173"/>
      <x:c r="G45" s="174"/>
      <x:c r="H45" s="175"/>
      <x:c r="I45" s="174"/>
      <x:c r="J45" s="176"/>
      <x:c r="K45" s="233"/>
      <x:c r="L45" s="233"/>
      <x:c r="M45" s="122"/>
      <x:c r="N45" s="177" t="str">
        <x:f t="shared" si="0"/>
      </x:c>
      <x:c r="O45" s="122"/>
      <x:c r="P45" s="177" t="str">
        <x:f t="shared" si="1"/>
      </x:c>
      <x:c r="Q45" s="178" t="str">
        <x:f t="shared" si="2"/>
      </x:c>
      <x:c r="R45" s="122"/>
      <x:c r="S45" s="177" t="str">
        <x:f t="shared" si="3"/>
      </x:c>
      <x:c r="T45" s="122"/>
      <x:c r="U45" s="177" t="str">
        <x:f t="shared" si="4"/>
      </x:c>
      <x:c r="V45" s="178" t="str">
        <x:f t="shared" si="5"/>
      </x:c>
      <x:c r="W45" s="122"/>
      <x:c r="X45" s="177" t="str">
        <x:f t="shared" si="6"/>
      </x:c>
      <x:c r="Y45" s="122"/>
      <x:c r="Z45" s="177" t="str">
        <x:f t="shared" si="7"/>
      </x:c>
      <x:c r="AA45" s="178" t="str">
        <x:f t="shared" si="8"/>
      </x:c>
      <x:c r="AB45" s="122"/>
      <x:c r="AC45" s="177" t="str">
        <x:f t="shared" si="9"/>
      </x:c>
      <x:c r="AD45" s="122"/>
      <x:c r="AE45" s="177" t="str">
        <x:f t="shared" si="10"/>
      </x:c>
      <x:c r="AF45" s="178" t="str">
        <x:f t="shared" si="11"/>
      </x:c>
      <x:c r="AG45" s="122"/>
      <x:c r="AH45" s="177" t="str">
        <x:f t="shared" si="12"/>
      </x:c>
      <x:c r="AI45" s="122"/>
      <x:c r="AJ45" s="177" t="str">
        <x:f t="shared" si="13"/>
      </x:c>
      <x:c r="AK45" s="178" t="str">
        <x:f t="shared" si="14"/>
      </x:c>
      <x:c r="AL45" s="122"/>
      <x:c r="AM45" s="177" t="str">
        <x:f t="shared" si="15"/>
      </x:c>
      <x:c r="AN45" s="122"/>
      <x:c r="AO45" s="177" t="str">
        <x:f t="shared" si="16"/>
      </x:c>
      <x:c r="AP45" s="178" t="str">
        <x:f t="shared" si="17"/>
      </x:c>
      <x:c r="AQ45" s="122"/>
      <x:c r="AR45" s="177" t="str">
        <x:f t="shared" si="18"/>
      </x:c>
      <x:c r="AS45" s="122"/>
      <x:c r="AT45" s="177" t="str">
        <x:f t="shared" si="19"/>
      </x:c>
      <x:c r="AU45" s="178" t="str">
        <x:f t="shared" si="20"/>
      </x:c>
      <x:c r="AV45" s="122"/>
      <x:c r="AW45" s="177" t="str">
        <x:f t="shared" si="21"/>
      </x:c>
      <x:c r="AX45" s="122"/>
      <x:c r="AY45" s="177" t="str">
        <x:f t="shared" si="22"/>
      </x:c>
      <x:c r="AZ45" s="178" t="str">
        <x:f t="shared" si="23"/>
      </x:c>
      <x:c r="BA45" s="122"/>
      <x:c r="BB45" s="177" t="str">
        <x:f t="shared" si="24"/>
      </x:c>
      <x:c r="BC45" s="122"/>
      <x:c r="BD45" s="177" t="str">
        <x:f t="shared" si="25"/>
      </x:c>
      <x:c r="BE45" s="178" t="str">
        <x:f t="shared" si="26"/>
      </x:c>
      <x:c r="BF45" s="122"/>
      <x:c r="BG45" s="177" t="str">
        <x:f t="shared" si="27"/>
      </x:c>
      <x:c r="BH45" s="122"/>
      <x:c r="BI45" s="177" t="str">
        <x:f t="shared" si="28"/>
      </x:c>
      <x:c r="BJ45" s="178" t="str">
        <x:f t="shared" si="29"/>
      </x:c>
    </x:row>
    <x:row r="46" ht="19.5" customHeight="1">
      <x:c r="A46" s="169"/>
      <x:c r="B46" s="170"/>
      <x:c r="C46" s="171"/>
      <x:c r="D46" s="172"/>
      <x:c r="E46" s="171"/>
      <x:c r="F46" s="173"/>
      <x:c r="G46" s="174"/>
      <x:c r="H46" s="175"/>
      <x:c r="I46" s="174"/>
      <x:c r="J46" s="176"/>
      <x:c r="K46" s="233"/>
      <x:c r="L46" s="233"/>
      <x:c r="M46" s="122"/>
      <x:c r="N46" s="177" t="str">
        <x:f t="shared" si="0"/>
      </x:c>
      <x:c r="O46" s="122"/>
      <x:c r="P46" s="177" t="str">
        <x:f t="shared" si="1"/>
      </x:c>
      <x:c r="Q46" s="178" t="str">
        <x:f t="shared" si="2"/>
      </x:c>
      <x:c r="R46" s="122"/>
      <x:c r="S46" s="177" t="str">
        <x:f t="shared" si="3"/>
      </x:c>
      <x:c r="T46" s="122"/>
      <x:c r="U46" s="177" t="str">
        <x:f t="shared" si="4"/>
      </x:c>
      <x:c r="V46" s="178" t="str">
        <x:f t="shared" si="5"/>
      </x:c>
      <x:c r="W46" s="122"/>
      <x:c r="X46" s="177" t="str">
        <x:f t="shared" si="6"/>
      </x:c>
      <x:c r="Y46" s="122"/>
      <x:c r="Z46" s="177" t="str">
        <x:f t="shared" si="7"/>
      </x:c>
      <x:c r="AA46" s="178" t="str">
        <x:f t="shared" si="8"/>
      </x:c>
      <x:c r="AB46" s="122"/>
      <x:c r="AC46" s="177" t="str">
        <x:f t="shared" si="9"/>
      </x:c>
      <x:c r="AD46" s="122"/>
      <x:c r="AE46" s="177" t="str">
        <x:f t="shared" si="10"/>
      </x:c>
      <x:c r="AF46" s="178" t="str">
        <x:f t="shared" si="11"/>
      </x:c>
      <x:c r="AG46" s="122"/>
      <x:c r="AH46" s="177" t="str">
        <x:f t="shared" si="12"/>
      </x:c>
      <x:c r="AI46" s="122"/>
      <x:c r="AJ46" s="177" t="str">
        <x:f t="shared" si="13"/>
      </x:c>
      <x:c r="AK46" s="178" t="str">
        <x:f t="shared" si="14"/>
      </x:c>
      <x:c r="AL46" s="122"/>
      <x:c r="AM46" s="177" t="str">
        <x:f t="shared" si="15"/>
      </x:c>
      <x:c r="AN46" s="122"/>
      <x:c r="AO46" s="177" t="str">
        <x:f t="shared" si="16"/>
      </x:c>
      <x:c r="AP46" s="178" t="str">
        <x:f t="shared" si="17"/>
      </x:c>
      <x:c r="AQ46" s="122"/>
      <x:c r="AR46" s="177" t="str">
        <x:f t="shared" si="18"/>
      </x:c>
      <x:c r="AS46" s="122"/>
      <x:c r="AT46" s="177" t="str">
        <x:f t="shared" si="19"/>
      </x:c>
      <x:c r="AU46" s="178" t="str">
        <x:f t="shared" si="20"/>
      </x:c>
      <x:c r="AV46" s="122"/>
      <x:c r="AW46" s="177" t="str">
        <x:f t="shared" si="21"/>
      </x:c>
      <x:c r="AX46" s="122"/>
      <x:c r="AY46" s="177" t="str">
        <x:f t="shared" si="22"/>
      </x:c>
      <x:c r="AZ46" s="178" t="str">
        <x:f t="shared" si="23"/>
      </x:c>
      <x:c r="BA46" s="122"/>
      <x:c r="BB46" s="177" t="str">
        <x:f t="shared" si="24"/>
      </x:c>
      <x:c r="BC46" s="122"/>
      <x:c r="BD46" s="177" t="str">
        <x:f t="shared" si="25"/>
      </x:c>
      <x:c r="BE46" s="178" t="str">
        <x:f t="shared" si="26"/>
      </x:c>
      <x:c r="BF46" s="122"/>
      <x:c r="BG46" s="177" t="str">
        <x:f t="shared" si="27"/>
      </x:c>
      <x:c r="BH46" s="122"/>
      <x:c r="BI46" s="177" t="str">
        <x:f t="shared" si="28"/>
      </x:c>
      <x:c r="BJ46" s="178" t="str">
        <x:f t="shared" si="29"/>
      </x:c>
    </x:row>
    <x:row r="47" ht="19.5" customHeight="1">
      <x:c r="A47" s="160"/>
      <x:c r="B47" s="179"/>
      <x:c r="C47" s="171"/>
      <x:c r="D47" s="172"/>
      <x:c r="E47" s="171"/>
      <x:c r="F47" s="173"/>
      <x:c r="G47" s="174"/>
      <x:c r="H47" s="175"/>
      <x:c r="I47" s="174"/>
      <x:c r="J47" s="176"/>
      <x:c r="K47" s="233"/>
      <x:c r="L47" s="233"/>
      <x:c r="M47" s="122"/>
      <x:c r="N47" s="177" t="str">
        <x:f t="shared" si="0"/>
      </x:c>
      <x:c r="O47" s="122"/>
      <x:c r="P47" s="177" t="str">
        <x:f t="shared" si="1"/>
      </x:c>
      <x:c r="Q47" s="178" t="str">
        <x:f t="shared" si="2"/>
      </x:c>
      <x:c r="R47" s="122"/>
      <x:c r="S47" s="177" t="str">
        <x:f t="shared" si="3"/>
      </x:c>
      <x:c r="T47" s="122"/>
      <x:c r="U47" s="177" t="str">
        <x:f t="shared" si="4"/>
      </x:c>
      <x:c r="V47" s="178" t="str">
        <x:f t="shared" si="5"/>
      </x:c>
      <x:c r="W47" s="122"/>
      <x:c r="X47" s="177" t="str">
        <x:f t="shared" si="6"/>
      </x:c>
      <x:c r="Y47" s="122"/>
      <x:c r="Z47" s="177" t="str">
        <x:f t="shared" si="7"/>
      </x:c>
      <x:c r="AA47" s="178" t="str">
        <x:f t="shared" si="8"/>
      </x:c>
      <x:c r="AB47" s="122"/>
      <x:c r="AC47" s="177" t="str">
        <x:f t="shared" si="9"/>
      </x:c>
      <x:c r="AD47" s="122"/>
      <x:c r="AE47" s="177" t="str">
        <x:f t="shared" si="10"/>
      </x:c>
      <x:c r="AF47" s="178" t="str">
        <x:f t="shared" si="11"/>
      </x:c>
      <x:c r="AG47" s="122"/>
      <x:c r="AH47" s="177" t="str">
        <x:f t="shared" si="12"/>
      </x:c>
      <x:c r="AI47" s="122"/>
      <x:c r="AJ47" s="177" t="str">
        <x:f t="shared" si="13"/>
      </x:c>
      <x:c r="AK47" s="178" t="str">
        <x:f t="shared" si="14"/>
      </x:c>
      <x:c r="AL47" s="122"/>
      <x:c r="AM47" s="177" t="str">
        <x:f t="shared" si="15"/>
      </x:c>
      <x:c r="AN47" s="122"/>
      <x:c r="AO47" s="177" t="str">
        <x:f t="shared" si="16"/>
      </x:c>
      <x:c r="AP47" s="178" t="str">
        <x:f t="shared" si="17"/>
      </x:c>
      <x:c r="AQ47" s="122"/>
      <x:c r="AR47" s="177" t="str">
        <x:f t="shared" si="18"/>
      </x:c>
      <x:c r="AS47" s="122"/>
      <x:c r="AT47" s="177" t="str">
        <x:f t="shared" si="19"/>
      </x:c>
      <x:c r="AU47" s="178" t="str">
        <x:f t="shared" si="20"/>
      </x:c>
      <x:c r="AV47" s="122"/>
      <x:c r="AW47" s="177" t="str">
        <x:f t="shared" si="21"/>
      </x:c>
      <x:c r="AX47" s="122"/>
      <x:c r="AY47" s="177" t="str">
        <x:f t="shared" si="22"/>
      </x:c>
      <x:c r="AZ47" s="178" t="str">
        <x:f t="shared" si="23"/>
      </x:c>
      <x:c r="BA47" s="122"/>
      <x:c r="BB47" s="177" t="str">
        <x:f t="shared" si="24"/>
      </x:c>
      <x:c r="BC47" s="122"/>
      <x:c r="BD47" s="177" t="str">
        <x:f t="shared" si="25"/>
      </x:c>
      <x:c r="BE47" s="178" t="str">
        <x:f t="shared" si="26"/>
      </x:c>
      <x:c r="BF47" s="122"/>
      <x:c r="BG47" s="177" t="str">
        <x:f t="shared" si="27"/>
      </x:c>
      <x:c r="BH47" s="122"/>
      <x:c r="BI47" s="177" t="str">
        <x:f t="shared" si="28"/>
      </x:c>
      <x:c r="BJ47" s="178" t="str">
        <x:f t="shared" si="29"/>
      </x:c>
    </x:row>
    <x:row r="48" ht="19.5" customHeight="1">
      <x:c r="A48" s="169"/>
      <x:c r="B48" s="170"/>
      <x:c r="C48" s="171"/>
      <x:c r="D48" s="172"/>
      <x:c r="E48" s="171"/>
      <x:c r="F48" s="173"/>
      <x:c r="G48" s="174"/>
      <x:c r="H48" s="175"/>
      <x:c r="I48" s="174"/>
      <x:c r="J48" s="176"/>
      <x:c r="K48" s="233"/>
      <x:c r="L48" s="233"/>
      <x:c r="M48" s="122"/>
      <x:c r="N48" s="177" t="str">
        <x:f t="shared" si="0"/>
      </x:c>
      <x:c r="O48" s="122"/>
      <x:c r="P48" s="177" t="str">
        <x:f t="shared" si="1"/>
      </x:c>
      <x:c r="Q48" s="178" t="str">
        <x:f t="shared" si="2"/>
      </x:c>
      <x:c r="R48" s="122"/>
      <x:c r="S48" s="177" t="str">
        <x:f t="shared" si="3"/>
      </x:c>
      <x:c r="T48" s="122"/>
      <x:c r="U48" s="177" t="str">
        <x:f t="shared" si="4"/>
      </x:c>
      <x:c r="V48" s="178" t="str">
        <x:f t="shared" si="5"/>
      </x:c>
      <x:c r="W48" s="122"/>
      <x:c r="X48" s="177" t="str">
        <x:f t="shared" si="6"/>
      </x:c>
      <x:c r="Y48" s="122"/>
      <x:c r="Z48" s="177" t="str">
        <x:f t="shared" si="7"/>
      </x:c>
      <x:c r="AA48" s="178" t="str">
        <x:f t="shared" si="8"/>
      </x:c>
      <x:c r="AB48" s="122"/>
      <x:c r="AC48" s="177" t="str">
        <x:f t="shared" si="9"/>
      </x:c>
      <x:c r="AD48" s="122"/>
      <x:c r="AE48" s="177" t="str">
        <x:f t="shared" si="10"/>
      </x:c>
      <x:c r="AF48" s="178" t="str">
        <x:f t="shared" si="11"/>
      </x:c>
      <x:c r="AG48" s="122"/>
      <x:c r="AH48" s="177" t="str">
        <x:f t="shared" si="12"/>
      </x:c>
      <x:c r="AI48" s="122"/>
      <x:c r="AJ48" s="177" t="str">
        <x:f t="shared" si="13"/>
      </x:c>
      <x:c r="AK48" s="178" t="str">
        <x:f t="shared" si="14"/>
      </x:c>
      <x:c r="AL48" s="122"/>
      <x:c r="AM48" s="177" t="str">
        <x:f t="shared" si="15"/>
      </x:c>
      <x:c r="AN48" s="122"/>
      <x:c r="AO48" s="177" t="str">
        <x:f t="shared" si="16"/>
      </x:c>
      <x:c r="AP48" s="178" t="str">
        <x:f t="shared" si="17"/>
      </x:c>
      <x:c r="AQ48" s="122"/>
      <x:c r="AR48" s="177" t="str">
        <x:f t="shared" si="18"/>
      </x:c>
      <x:c r="AS48" s="122"/>
      <x:c r="AT48" s="177" t="str">
        <x:f t="shared" si="19"/>
      </x:c>
      <x:c r="AU48" s="178" t="str">
        <x:f t="shared" si="20"/>
      </x:c>
      <x:c r="AV48" s="122"/>
      <x:c r="AW48" s="177" t="str">
        <x:f t="shared" si="21"/>
      </x:c>
      <x:c r="AX48" s="122"/>
      <x:c r="AY48" s="177" t="str">
        <x:f t="shared" si="22"/>
      </x:c>
      <x:c r="AZ48" s="178" t="str">
        <x:f t="shared" si="23"/>
      </x:c>
      <x:c r="BA48" s="122"/>
      <x:c r="BB48" s="177" t="str">
        <x:f t="shared" si="24"/>
      </x:c>
      <x:c r="BC48" s="122"/>
      <x:c r="BD48" s="177" t="str">
        <x:f t="shared" si="25"/>
      </x:c>
      <x:c r="BE48" s="178" t="str">
        <x:f t="shared" si="26"/>
      </x:c>
      <x:c r="BF48" s="122"/>
      <x:c r="BG48" s="177" t="str">
        <x:f t="shared" si="27"/>
      </x:c>
      <x:c r="BH48" s="122"/>
      <x:c r="BI48" s="177" t="str">
        <x:f t="shared" si="28"/>
      </x:c>
      <x:c r="BJ48" s="178" t="str">
        <x:f t="shared" si="29"/>
      </x:c>
    </x:row>
    <x:row r="49" ht="19.5" customHeight="1">
      <x:c r="A49" s="160"/>
      <x:c r="B49" s="179"/>
      <x:c r="C49" s="171"/>
      <x:c r="D49" s="172"/>
      <x:c r="E49" s="171"/>
      <x:c r="F49" s="173"/>
      <x:c r="G49" s="174"/>
      <x:c r="H49" s="175"/>
      <x:c r="I49" s="174"/>
      <x:c r="J49" s="176"/>
      <x:c r="K49" s="233"/>
      <x:c r="L49" s="233"/>
      <x:c r="M49" s="122"/>
      <x:c r="N49" s="177" t="str">
        <x:f t="shared" si="0"/>
      </x:c>
      <x:c r="O49" s="122"/>
      <x:c r="P49" s="177" t="str">
        <x:f t="shared" si="1"/>
      </x:c>
      <x:c r="Q49" s="178" t="str">
        <x:f t="shared" si="2"/>
      </x:c>
      <x:c r="R49" s="122"/>
      <x:c r="S49" s="177" t="str">
        <x:f t="shared" si="3"/>
      </x:c>
      <x:c r="T49" s="122"/>
      <x:c r="U49" s="177" t="str">
        <x:f t="shared" si="4"/>
      </x:c>
      <x:c r="V49" s="178" t="str">
        <x:f t="shared" si="5"/>
      </x:c>
      <x:c r="W49" s="122"/>
      <x:c r="X49" s="177" t="str">
        <x:f t="shared" si="6"/>
      </x:c>
      <x:c r="Y49" s="122"/>
      <x:c r="Z49" s="177" t="str">
        <x:f t="shared" si="7"/>
      </x:c>
      <x:c r="AA49" s="178" t="str">
        <x:f t="shared" si="8"/>
      </x:c>
      <x:c r="AB49" s="122"/>
      <x:c r="AC49" s="177" t="str">
        <x:f t="shared" si="9"/>
      </x:c>
      <x:c r="AD49" s="122"/>
      <x:c r="AE49" s="177" t="str">
        <x:f t="shared" si="10"/>
      </x:c>
      <x:c r="AF49" s="178" t="str">
        <x:f t="shared" si="11"/>
      </x:c>
      <x:c r="AG49" s="122"/>
      <x:c r="AH49" s="177" t="str">
        <x:f t="shared" si="12"/>
      </x:c>
      <x:c r="AI49" s="122"/>
      <x:c r="AJ49" s="177" t="str">
        <x:f t="shared" si="13"/>
      </x:c>
      <x:c r="AK49" s="178" t="str">
        <x:f t="shared" si="14"/>
      </x:c>
      <x:c r="AL49" s="122"/>
      <x:c r="AM49" s="177" t="str">
        <x:f t="shared" si="15"/>
      </x:c>
      <x:c r="AN49" s="122"/>
      <x:c r="AO49" s="177" t="str">
        <x:f t="shared" si="16"/>
      </x:c>
      <x:c r="AP49" s="178" t="str">
        <x:f t="shared" si="17"/>
      </x:c>
      <x:c r="AQ49" s="122"/>
      <x:c r="AR49" s="177" t="str">
        <x:f t="shared" si="18"/>
      </x:c>
      <x:c r="AS49" s="122"/>
      <x:c r="AT49" s="177" t="str">
        <x:f t="shared" si="19"/>
      </x:c>
      <x:c r="AU49" s="178" t="str">
        <x:f t="shared" si="20"/>
      </x:c>
      <x:c r="AV49" s="122"/>
      <x:c r="AW49" s="177" t="str">
        <x:f t="shared" si="21"/>
      </x:c>
      <x:c r="AX49" s="122"/>
      <x:c r="AY49" s="177" t="str">
        <x:f t="shared" si="22"/>
      </x:c>
      <x:c r="AZ49" s="178" t="str">
        <x:f t="shared" si="23"/>
      </x:c>
      <x:c r="BA49" s="122"/>
      <x:c r="BB49" s="177" t="str">
        <x:f t="shared" si="24"/>
      </x:c>
      <x:c r="BC49" s="122"/>
      <x:c r="BD49" s="177" t="str">
        <x:f t="shared" si="25"/>
      </x:c>
      <x:c r="BE49" s="178" t="str">
        <x:f t="shared" si="26"/>
      </x:c>
      <x:c r="BF49" s="122"/>
      <x:c r="BG49" s="177" t="str">
        <x:f t="shared" si="27"/>
      </x:c>
      <x:c r="BH49" s="122"/>
      <x:c r="BI49" s="177" t="str">
        <x:f t="shared" si="28"/>
      </x:c>
      <x:c r="BJ49" s="178" t="str">
        <x:f t="shared" si="29"/>
      </x:c>
    </x:row>
    <x:row r="50" ht="19.5" customHeight="1">
      <x:c r="A50" s="169"/>
      <x:c r="B50" s="170"/>
      <x:c r="C50" s="171"/>
      <x:c r="D50" s="172"/>
      <x:c r="E50" s="171"/>
      <x:c r="F50" s="173"/>
      <x:c r="G50" s="174"/>
      <x:c r="H50" s="175"/>
      <x:c r="I50" s="174"/>
      <x:c r="J50" s="176"/>
      <x:c r="K50" s="233"/>
      <x:c r="L50" s="233"/>
      <x:c r="M50" s="122"/>
      <x:c r="N50" s="177" t="str">
        <x:f t="shared" si="0"/>
      </x:c>
      <x:c r="O50" s="122"/>
      <x:c r="P50" s="177" t="str">
        <x:f t="shared" si="1"/>
      </x:c>
      <x:c r="Q50" s="178" t="str">
        <x:f t="shared" si="2"/>
      </x:c>
      <x:c r="R50" s="122"/>
      <x:c r="S50" s="177" t="str">
        <x:f t="shared" si="3"/>
      </x:c>
      <x:c r="T50" s="122"/>
      <x:c r="U50" s="177" t="str">
        <x:f t="shared" si="4"/>
      </x:c>
      <x:c r="V50" s="178" t="str">
        <x:f t="shared" si="5"/>
      </x:c>
      <x:c r="W50" s="122"/>
      <x:c r="X50" s="177" t="str">
        <x:f t="shared" si="6"/>
      </x:c>
      <x:c r="Y50" s="122"/>
      <x:c r="Z50" s="177" t="str">
        <x:f t="shared" si="7"/>
      </x:c>
      <x:c r="AA50" s="178" t="str">
        <x:f t="shared" si="8"/>
      </x:c>
      <x:c r="AB50" s="122"/>
      <x:c r="AC50" s="177" t="str">
        <x:f t="shared" si="9"/>
      </x:c>
      <x:c r="AD50" s="122"/>
      <x:c r="AE50" s="177" t="str">
        <x:f t="shared" si="10"/>
      </x:c>
      <x:c r="AF50" s="178" t="str">
        <x:f t="shared" si="11"/>
      </x:c>
      <x:c r="AG50" s="122"/>
      <x:c r="AH50" s="177" t="str">
        <x:f t="shared" si="12"/>
      </x:c>
      <x:c r="AI50" s="122"/>
      <x:c r="AJ50" s="177" t="str">
        <x:f t="shared" si="13"/>
      </x:c>
      <x:c r="AK50" s="178" t="str">
        <x:f t="shared" si="14"/>
      </x:c>
      <x:c r="AL50" s="122"/>
      <x:c r="AM50" s="177" t="str">
        <x:f t="shared" si="15"/>
      </x:c>
      <x:c r="AN50" s="122"/>
      <x:c r="AO50" s="177" t="str">
        <x:f t="shared" si="16"/>
      </x:c>
      <x:c r="AP50" s="178" t="str">
        <x:f t="shared" si="17"/>
      </x:c>
      <x:c r="AQ50" s="122"/>
      <x:c r="AR50" s="177" t="str">
        <x:f t="shared" si="18"/>
      </x:c>
      <x:c r="AS50" s="122"/>
      <x:c r="AT50" s="177" t="str">
        <x:f t="shared" si="19"/>
      </x:c>
      <x:c r="AU50" s="178" t="str">
        <x:f t="shared" si="20"/>
      </x:c>
      <x:c r="AV50" s="122"/>
      <x:c r="AW50" s="177" t="str">
        <x:f t="shared" si="21"/>
      </x:c>
      <x:c r="AX50" s="122"/>
      <x:c r="AY50" s="177" t="str">
        <x:f t="shared" si="22"/>
      </x:c>
      <x:c r="AZ50" s="178" t="str">
        <x:f t="shared" si="23"/>
      </x:c>
      <x:c r="BA50" s="122"/>
      <x:c r="BB50" s="177" t="str">
        <x:f t="shared" si="24"/>
      </x:c>
      <x:c r="BC50" s="122"/>
      <x:c r="BD50" s="177" t="str">
        <x:f t="shared" si="25"/>
      </x:c>
      <x:c r="BE50" s="178" t="str">
        <x:f t="shared" si="26"/>
      </x:c>
      <x:c r="BF50" s="122"/>
      <x:c r="BG50" s="177" t="str">
        <x:f t="shared" si="27"/>
      </x:c>
      <x:c r="BH50" s="122"/>
      <x:c r="BI50" s="177" t="str">
        <x:f t="shared" si="28"/>
      </x:c>
      <x:c r="BJ50" s="178" t="str">
        <x:f t="shared" si="29"/>
      </x:c>
    </x:row>
    <x:row r="51" ht="19.5" customHeight="1">
      <x:c r="A51" s="160"/>
      <x:c r="B51" s="179"/>
      <x:c r="C51" s="171"/>
      <x:c r="D51" s="172"/>
      <x:c r="E51" s="171"/>
      <x:c r="F51" s="173"/>
      <x:c r="G51" s="174"/>
      <x:c r="H51" s="175"/>
      <x:c r="I51" s="174"/>
      <x:c r="J51" s="176"/>
      <x:c r="K51" s="233"/>
      <x:c r="L51" s="233"/>
      <x:c r="M51" s="122"/>
      <x:c r="N51" s="177" t="str">
        <x:f t="shared" si="0"/>
      </x:c>
      <x:c r="O51" s="122"/>
      <x:c r="P51" s="177" t="str">
        <x:f t="shared" si="1"/>
      </x:c>
      <x:c r="Q51" s="178" t="str">
        <x:f t="shared" si="2"/>
      </x:c>
      <x:c r="R51" s="122"/>
      <x:c r="S51" s="177" t="str">
        <x:f t="shared" si="3"/>
      </x:c>
      <x:c r="T51" s="122"/>
      <x:c r="U51" s="177" t="str">
        <x:f t="shared" si="4"/>
      </x:c>
      <x:c r="V51" s="178" t="str">
        <x:f t="shared" si="5"/>
      </x:c>
      <x:c r="W51" s="122"/>
      <x:c r="X51" s="177" t="str">
        <x:f t="shared" si="6"/>
      </x:c>
      <x:c r="Y51" s="122"/>
      <x:c r="Z51" s="177" t="str">
        <x:f t="shared" si="7"/>
      </x:c>
      <x:c r="AA51" s="178" t="str">
        <x:f t="shared" si="8"/>
      </x:c>
      <x:c r="AB51" s="122"/>
      <x:c r="AC51" s="177" t="str">
        <x:f t="shared" si="9"/>
      </x:c>
      <x:c r="AD51" s="122"/>
      <x:c r="AE51" s="177" t="str">
        <x:f t="shared" si="10"/>
      </x:c>
      <x:c r="AF51" s="178" t="str">
        <x:f t="shared" si="11"/>
      </x:c>
      <x:c r="AG51" s="122"/>
      <x:c r="AH51" s="177" t="str">
        <x:f t="shared" si="12"/>
      </x:c>
      <x:c r="AI51" s="122"/>
      <x:c r="AJ51" s="177" t="str">
        <x:f t="shared" si="13"/>
      </x:c>
      <x:c r="AK51" s="178" t="str">
        <x:f t="shared" si="14"/>
      </x:c>
      <x:c r="AL51" s="122"/>
      <x:c r="AM51" s="177" t="str">
        <x:f t="shared" si="15"/>
      </x:c>
      <x:c r="AN51" s="122"/>
      <x:c r="AO51" s="177" t="str">
        <x:f t="shared" si="16"/>
      </x:c>
      <x:c r="AP51" s="178" t="str">
        <x:f t="shared" si="17"/>
      </x:c>
      <x:c r="AQ51" s="122"/>
      <x:c r="AR51" s="177" t="str">
        <x:f t="shared" si="18"/>
      </x:c>
      <x:c r="AS51" s="122"/>
      <x:c r="AT51" s="177" t="str">
        <x:f t="shared" si="19"/>
      </x:c>
      <x:c r="AU51" s="178" t="str">
        <x:f t="shared" si="20"/>
      </x:c>
      <x:c r="AV51" s="122"/>
      <x:c r="AW51" s="177" t="str">
        <x:f t="shared" si="21"/>
      </x:c>
      <x:c r="AX51" s="122"/>
      <x:c r="AY51" s="177" t="str">
        <x:f t="shared" si="22"/>
      </x:c>
      <x:c r="AZ51" s="178" t="str">
        <x:f t="shared" si="23"/>
      </x:c>
      <x:c r="BA51" s="122"/>
      <x:c r="BB51" s="177" t="str">
        <x:f t="shared" si="24"/>
      </x:c>
      <x:c r="BC51" s="122"/>
      <x:c r="BD51" s="177" t="str">
        <x:f t="shared" si="25"/>
      </x:c>
      <x:c r="BE51" s="178" t="str">
        <x:f t="shared" si="26"/>
      </x:c>
      <x:c r="BF51" s="122"/>
      <x:c r="BG51" s="177" t="str">
        <x:f t="shared" si="27"/>
      </x:c>
      <x:c r="BH51" s="122"/>
      <x:c r="BI51" s="177" t="str">
        <x:f t="shared" si="28"/>
      </x:c>
      <x:c r="BJ51" s="178" t="str">
        <x:f t="shared" si="29"/>
      </x:c>
    </x:row>
    <x:row r="52" ht="19.5" customHeight="1">
      <x:c r="A52" s="169"/>
      <x:c r="B52" s="170"/>
      <x:c r="C52" s="171"/>
      <x:c r="D52" s="172"/>
      <x:c r="E52" s="171"/>
      <x:c r="F52" s="173"/>
      <x:c r="G52" s="174"/>
      <x:c r="H52" s="175"/>
      <x:c r="I52" s="174"/>
      <x:c r="J52" s="176"/>
      <x:c r="K52" s="233"/>
      <x:c r="L52" s="233"/>
      <x:c r="M52" s="122"/>
      <x:c r="N52" s="177" t="str">
        <x:f t="shared" si="0"/>
      </x:c>
      <x:c r="O52" s="122"/>
      <x:c r="P52" s="177" t="str">
        <x:f t="shared" si="1"/>
      </x:c>
      <x:c r="Q52" s="178" t="str">
        <x:f t="shared" si="2"/>
      </x:c>
      <x:c r="R52" s="122"/>
      <x:c r="S52" s="177" t="str">
        <x:f t="shared" si="3"/>
      </x:c>
      <x:c r="T52" s="122"/>
      <x:c r="U52" s="177" t="str">
        <x:f t="shared" si="4"/>
      </x:c>
      <x:c r="V52" s="178" t="str">
        <x:f t="shared" si="5"/>
      </x:c>
      <x:c r="W52" s="122"/>
      <x:c r="X52" s="177" t="str">
        <x:f t="shared" si="6"/>
      </x:c>
      <x:c r="Y52" s="122"/>
      <x:c r="Z52" s="177" t="str">
        <x:f t="shared" si="7"/>
      </x:c>
      <x:c r="AA52" s="178" t="str">
        <x:f t="shared" si="8"/>
      </x:c>
      <x:c r="AB52" s="122"/>
      <x:c r="AC52" s="177" t="str">
        <x:f t="shared" si="9"/>
      </x:c>
      <x:c r="AD52" s="122"/>
      <x:c r="AE52" s="177" t="str">
        <x:f t="shared" si="10"/>
      </x:c>
      <x:c r="AF52" s="178" t="str">
        <x:f t="shared" si="11"/>
      </x:c>
      <x:c r="AG52" s="122"/>
      <x:c r="AH52" s="177" t="str">
        <x:f t="shared" si="12"/>
      </x:c>
      <x:c r="AI52" s="122"/>
      <x:c r="AJ52" s="177" t="str">
        <x:f t="shared" si="13"/>
      </x:c>
      <x:c r="AK52" s="178" t="str">
        <x:f t="shared" si="14"/>
      </x:c>
      <x:c r="AL52" s="122"/>
      <x:c r="AM52" s="177" t="str">
        <x:f t="shared" si="15"/>
      </x:c>
      <x:c r="AN52" s="122"/>
      <x:c r="AO52" s="177" t="str">
        <x:f t="shared" si="16"/>
      </x:c>
      <x:c r="AP52" s="178" t="str">
        <x:f t="shared" si="17"/>
      </x:c>
      <x:c r="AQ52" s="122"/>
      <x:c r="AR52" s="177" t="str">
        <x:f t="shared" si="18"/>
      </x:c>
      <x:c r="AS52" s="122"/>
      <x:c r="AT52" s="177" t="str">
        <x:f t="shared" si="19"/>
      </x:c>
      <x:c r="AU52" s="178" t="str">
        <x:f t="shared" si="20"/>
      </x:c>
      <x:c r="AV52" s="122"/>
      <x:c r="AW52" s="177" t="str">
        <x:f t="shared" si="21"/>
      </x:c>
      <x:c r="AX52" s="122"/>
      <x:c r="AY52" s="177" t="str">
        <x:f t="shared" si="22"/>
      </x:c>
      <x:c r="AZ52" s="178" t="str">
        <x:f t="shared" si="23"/>
      </x:c>
      <x:c r="BA52" s="122"/>
      <x:c r="BB52" s="177" t="str">
        <x:f t="shared" si="24"/>
      </x:c>
      <x:c r="BC52" s="122"/>
      <x:c r="BD52" s="177" t="str">
        <x:f t="shared" si="25"/>
      </x:c>
      <x:c r="BE52" s="178" t="str">
        <x:f t="shared" si="26"/>
      </x:c>
      <x:c r="BF52" s="122"/>
      <x:c r="BG52" s="177" t="str">
        <x:f t="shared" si="27"/>
      </x:c>
      <x:c r="BH52" s="122"/>
      <x:c r="BI52" s="177" t="str">
        <x:f t="shared" si="28"/>
      </x:c>
      <x:c r="BJ52" s="178" t="str">
        <x:f t="shared" si="29"/>
      </x:c>
    </x:row>
    <x:row r="53" ht="19.5" customHeight="1">
      <x:c r="A53" s="160"/>
      <x:c r="B53" s="179"/>
      <x:c r="C53" s="171"/>
      <x:c r="D53" s="172"/>
      <x:c r="E53" s="171"/>
      <x:c r="F53" s="173"/>
      <x:c r="G53" s="174"/>
      <x:c r="H53" s="175"/>
      <x:c r="I53" s="174"/>
      <x:c r="J53" s="176"/>
      <x:c r="K53" s="233"/>
      <x:c r="L53" s="233"/>
      <x:c r="M53" s="122"/>
      <x:c r="N53" s="177" t="str">
        <x:f t="shared" si="0"/>
      </x:c>
      <x:c r="O53" s="122"/>
      <x:c r="P53" s="177" t="str">
        <x:f t="shared" si="1"/>
      </x:c>
      <x:c r="Q53" s="178" t="str">
        <x:f t="shared" si="2"/>
      </x:c>
      <x:c r="R53" s="122"/>
      <x:c r="S53" s="177" t="str">
        <x:f t="shared" si="3"/>
      </x:c>
      <x:c r="T53" s="122"/>
      <x:c r="U53" s="177" t="str">
        <x:f t="shared" si="4"/>
      </x:c>
      <x:c r="V53" s="178" t="str">
        <x:f t="shared" si="5"/>
      </x:c>
      <x:c r="W53" s="122"/>
      <x:c r="X53" s="177" t="str">
        <x:f t="shared" si="6"/>
      </x:c>
      <x:c r="Y53" s="122"/>
      <x:c r="Z53" s="177" t="str">
        <x:f t="shared" si="7"/>
      </x:c>
      <x:c r="AA53" s="178" t="str">
        <x:f t="shared" si="8"/>
      </x:c>
      <x:c r="AB53" s="122"/>
      <x:c r="AC53" s="177" t="str">
        <x:f t="shared" si="9"/>
      </x:c>
      <x:c r="AD53" s="122"/>
      <x:c r="AE53" s="177" t="str">
        <x:f t="shared" si="10"/>
      </x:c>
      <x:c r="AF53" s="178" t="str">
        <x:f t="shared" si="11"/>
      </x:c>
      <x:c r="AG53" s="122"/>
      <x:c r="AH53" s="177" t="str">
        <x:f t="shared" si="12"/>
      </x:c>
      <x:c r="AI53" s="122"/>
      <x:c r="AJ53" s="177" t="str">
        <x:f t="shared" si="13"/>
      </x:c>
      <x:c r="AK53" s="178" t="str">
        <x:f t="shared" si="14"/>
      </x:c>
      <x:c r="AL53" s="122"/>
      <x:c r="AM53" s="177" t="str">
        <x:f t="shared" si="15"/>
      </x:c>
      <x:c r="AN53" s="122"/>
      <x:c r="AO53" s="177" t="str">
        <x:f t="shared" si="16"/>
      </x:c>
      <x:c r="AP53" s="178" t="str">
        <x:f t="shared" si="17"/>
      </x:c>
      <x:c r="AQ53" s="122"/>
      <x:c r="AR53" s="177" t="str">
        <x:f t="shared" si="18"/>
      </x:c>
      <x:c r="AS53" s="122"/>
      <x:c r="AT53" s="177" t="str">
        <x:f t="shared" si="19"/>
      </x:c>
      <x:c r="AU53" s="178" t="str">
        <x:f t="shared" si="20"/>
      </x:c>
      <x:c r="AV53" s="122"/>
      <x:c r="AW53" s="177" t="str">
        <x:f t="shared" si="21"/>
      </x:c>
      <x:c r="AX53" s="122"/>
      <x:c r="AY53" s="177" t="str">
        <x:f t="shared" si="22"/>
      </x:c>
      <x:c r="AZ53" s="178" t="str">
        <x:f t="shared" si="23"/>
      </x:c>
      <x:c r="BA53" s="122"/>
      <x:c r="BB53" s="177" t="str">
        <x:f t="shared" si="24"/>
      </x:c>
      <x:c r="BC53" s="122"/>
      <x:c r="BD53" s="177" t="str">
        <x:f t="shared" si="25"/>
      </x:c>
      <x:c r="BE53" s="178" t="str">
        <x:f t="shared" si="26"/>
      </x:c>
      <x:c r="BF53" s="122"/>
      <x:c r="BG53" s="177" t="str">
        <x:f t="shared" si="27"/>
      </x:c>
      <x:c r="BH53" s="122"/>
      <x:c r="BI53" s="177" t="str">
        <x:f t="shared" si="28"/>
      </x:c>
      <x:c r="BJ53" s="178" t="str">
        <x:f t="shared" si="29"/>
      </x:c>
    </x:row>
    <x:row r="54" ht="19.5" customHeight="1">
      <x:c r="A54" s="169"/>
      <x:c r="B54" s="170"/>
      <x:c r="C54" s="171"/>
      <x:c r="D54" s="172"/>
      <x:c r="E54" s="171"/>
      <x:c r="F54" s="173"/>
      <x:c r="G54" s="174"/>
      <x:c r="H54" s="175"/>
      <x:c r="I54" s="174"/>
      <x:c r="J54" s="176"/>
      <x:c r="K54" s="233"/>
      <x:c r="L54" s="233"/>
      <x:c r="M54" s="122"/>
      <x:c r="N54" s="177" t="str">
        <x:f t="shared" si="0"/>
      </x:c>
      <x:c r="O54" s="122"/>
      <x:c r="P54" s="177" t="str">
        <x:f t="shared" si="1"/>
      </x:c>
      <x:c r="Q54" s="178" t="str">
        <x:f t="shared" si="2"/>
      </x:c>
      <x:c r="R54" s="122"/>
      <x:c r="S54" s="177" t="str">
        <x:f t="shared" si="3"/>
      </x:c>
      <x:c r="T54" s="122"/>
      <x:c r="U54" s="177" t="str">
        <x:f t="shared" si="4"/>
      </x:c>
      <x:c r="V54" s="178" t="str">
        <x:f t="shared" si="5"/>
      </x:c>
      <x:c r="W54" s="122"/>
      <x:c r="X54" s="177" t="str">
        <x:f t="shared" si="6"/>
      </x:c>
      <x:c r="Y54" s="122"/>
      <x:c r="Z54" s="177" t="str">
        <x:f t="shared" si="7"/>
      </x:c>
      <x:c r="AA54" s="178" t="str">
        <x:f t="shared" si="8"/>
      </x:c>
      <x:c r="AB54" s="122"/>
      <x:c r="AC54" s="177" t="str">
        <x:f t="shared" si="9"/>
      </x:c>
      <x:c r="AD54" s="122"/>
      <x:c r="AE54" s="177" t="str">
        <x:f t="shared" si="10"/>
      </x:c>
      <x:c r="AF54" s="178" t="str">
        <x:f t="shared" si="11"/>
      </x:c>
      <x:c r="AG54" s="122"/>
      <x:c r="AH54" s="177" t="str">
        <x:f t="shared" si="12"/>
      </x:c>
      <x:c r="AI54" s="122"/>
      <x:c r="AJ54" s="177" t="str">
        <x:f t="shared" si="13"/>
      </x:c>
      <x:c r="AK54" s="178" t="str">
        <x:f t="shared" si="14"/>
      </x:c>
      <x:c r="AL54" s="122"/>
      <x:c r="AM54" s="177" t="str">
        <x:f t="shared" si="15"/>
      </x:c>
      <x:c r="AN54" s="122"/>
      <x:c r="AO54" s="177" t="str">
        <x:f t="shared" si="16"/>
      </x:c>
      <x:c r="AP54" s="178" t="str">
        <x:f t="shared" si="17"/>
      </x:c>
      <x:c r="AQ54" s="122"/>
      <x:c r="AR54" s="177" t="str">
        <x:f t="shared" si="18"/>
      </x:c>
      <x:c r="AS54" s="122"/>
      <x:c r="AT54" s="177" t="str">
        <x:f t="shared" si="19"/>
      </x:c>
      <x:c r="AU54" s="178" t="str">
        <x:f t="shared" si="20"/>
      </x:c>
      <x:c r="AV54" s="122"/>
      <x:c r="AW54" s="177" t="str">
        <x:f t="shared" si="21"/>
      </x:c>
      <x:c r="AX54" s="122"/>
      <x:c r="AY54" s="177" t="str">
        <x:f t="shared" si="22"/>
      </x:c>
      <x:c r="AZ54" s="178" t="str">
        <x:f t="shared" si="23"/>
      </x:c>
      <x:c r="BA54" s="122"/>
      <x:c r="BB54" s="177" t="str">
        <x:f t="shared" si="24"/>
      </x:c>
      <x:c r="BC54" s="122"/>
      <x:c r="BD54" s="177" t="str">
        <x:f t="shared" si="25"/>
      </x:c>
      <x:c r="BE54" s="178" t="str">
        <x:f t="shared" si="26"/>
      </x:c>
      <x:c r="BF54" s="122"/>
      <x:c r="BG54" s="177" t="str">
        <x:f t="shared" si="27"/>
      </x:c>
      <x:c r="BH54" s="122"/>
      <x:c r="BI54" s="177" t="str">
        <x:f t="shared" si="28"/>
      </x:c>
      <x:c r="BJ54" s="178" t="str">
        <x:f t="shared" si="29"/>
      </x:c>
    </x:row>
    <x:row r="55" ht="19.5" customHeight="1">
      <x:c r="A55" s="160"/>
      <x:c r="B55" s="179"/>
      <x:c r="C55" s="171"/>
      <x:c r="D55" s="172"/>
      <x:c r="E55" s="171"/>
      <x:c r="F55" s="173"/>
      <x:c r="G55" s="174"/>
      <x:c r="H55" s="175"/>
      <x:c r="I55" s="174"/>
      <x:c r="J55" s="176"/>
      <x:c r="K55" s="233"/>
      <x:c r="L55" s="233"/>
      <x:c r="M55" s="122"/>
      <x:c r="N55" s="177" t="str">
        <x:f t="shared" si="0"/>
      </x:c>
      <x:c r="O55" s="122"/>
      <x:c r="P55" s="177" t="str">
        <x:f t="shared" si="1"/>
      </x:c>
      <x:c r="Q55" s="178" t="str">
        <x:f t="shared" si="2"/>
      </x:c>
      <x:c r="R55" s="122"/>
      <x:c r="S55" s="177" t="str">
        <x:f t="shared" si="3"/>
      </x:c>
      <x:c r="T55" s="122"/>
      <x:c r="U55" s="177" t="str">
        <x:f t="shared" si="4"/>
      </x:c>
      <x:c r="V55" s="178" t="str">
        <x:f t="shared" si="5"/>
      </x:c>
      <x:c r="W55" s="122"/>
      <x:c r="X55" s="177" t="str">
        <x:f t="shared" si="6"/>
      </x:c>
      <x:c r="Y55" s="122"/>
      <x:c r="Z55" s="177" t="str">
        <x:f t="shared" si="7"/>
      </x:c>
      <x:c r="AA55" s="178" t="str">
        <x:f t="shared" si="8"/>
      </x:c>
      <x:c r="AB55" s="122"/>
      <x:c r="AC55" s="177" t="str">
        <x:f t="shared" si="9"/>
      </x:c>
      <x:c r="AD55" s="122"/>
      <x:c r="AE55" s="177" t="str">
        <x:f t="shared" si="10"/>
      </x:c>
      <x:c r="AF55" s="178" t="str">
        <x:f t="shared" si="11"/>
      </x:c>
      <x:c r="AG55" s="122"/>
      <x:c r="AH55" s="177" t="str">
        <x:f t="shared" si="12"/>
      </x:c>
      <x:c r="AI55" s="122"/>
      <x:c r="AJ55" s="177" t="str">
        <x:f t="shared" si="13"/>
      </x:c>
      <x:c r="AK55" s="178" t="str">
        <x:f t="shared" si="14"/>
      </x:c>
      <x:c r="AL55" s="122"/>
      <x:c r="AM55" s="177" t="str">
        <x:f t="shared" si="15"/>
      </x:c>
      <x:c r="AN55" s="122"/>
      <x:c r="AO55" s="177" t="str">
        <x:f t="shared" si="16"/>
      </x:c>
      <x:c r="AP55" s="178" t="str">
        <x:f t="shared" si="17"/>
      </x:c>
      <x:c r="AQ55" s="122"/>
      <x:c r="AR55" s="177" t="str">
        <x:f t="shared" si="18"/>
      </x:c>
      <x:c r="AS55" s="122"/>
      <x:c r="AT55" s="177" t="str">
        <x:f t="shared" si="19"/>
      </x:c>
      <x:c r="AU55" s="178" t="str">
        <x:f t="shared" si="20"/>
      </x:c>
      <x:c r="AV55" s="122"/>
      <x:c r="AW55" s="177" t="str">
        <x:f t="shared" si="21"/>
      </x:c>
      <x:c r="AX55" s="122"/>
      <x:c r="AY55" s="177" t="str">
        <x:f t="shared" si="22"/>
      </x:c>
      <x:c r="AZ55" s="178" t="str">
        <x:f t="shared" si="23"/>
      </x:c>
      <x:c r="BA55" s="122"/>
      <x:c r="BB55" s="177" t="str">
        <x:f t="shared" si="24"/>
      </x:c>
      <x:c r="BC55" s="122"/>
      <x:c r="BD55" s="177" t="str">
        <x:f t="shared" si="25"/>
      </x:c>
      <x:c r="BE55" s="178" t="str">
        <x:f t="shared" si="26"/>
      </x:c>
      <x:c r="BF55" s="122"/>
      <x:c r="BG55" s="177" t="str">
        <x:f t="shared" si="27"/>
      </x:c>
      <x:c r="BH55" s="122"/>
      <x:c r="BI55" s="177" t="str">
        <x:f t="shared" si="28"/>
      </x:c>
      <x:c r="BJ55" s="178" t="str">
        <x:f t="shared" si="29"/>
      </x:c>
    </x:row>
    <x:row r="56" ht="19.5" customHeight="1">
      <x:c r="A56" s="169"/>
      <x:c r="B56" s="170"/>
      <x:c r="C56" s="171"/>
      <x:c r="D56" s="172"/>
      <x:c r="E56" s="171"/>
      <x:c r="F56" s="173"/>
      <x:c r="G56" s="174"/>
      <x:c r="H56" s="175"/>
      <x:c r="I56" s="174"/>
      <x:c r="J56" s="176"/>
      <x:c r="K56" s="233"/>
      <x:c r="L56" s="233"/>
      <x:c r="M56" s="122"/>
      <x:c r="N56" s="177" t="str">
        <x:f t="shared" si="0"/>
      </x:c>
      <x:c r="O56" s="122"/>
      <x:c r="P56" s="177" t="str">
        <x:f t="shared" si="1"/>
      </x:c>
      <x:c r="Q56" s="178" t="str">
        <x:f t="shared" si="2"/>
      </x:c>
      <x:c r="R56" s="122"/>
      <x:c r="S56" s="177" t="str">
        <x:f t="shared" si="3"/>
      </x:c>
      <x:c r="T56" s="122"/>
      <x:c r="U56" s="177" t="str">
        <x:f t="shared" si="4"/>
      </x:c>
      <x:c r="V56" s="178" t="str">
        <x:f t="shared" si="5"/>
      </x:c>
      <x:c r="W56" s="122"/>
      <x:c r="X56" s="177" t="str">
        <x:f t="shared" si="6"/>
      </x:c>
      <x:c r="Y56" s="122"/>
      <x:c r="Z56" s="177" t="str">
        <x:f t="shared" si="7"/>
      </x:c>
      <x:c r="AA56" s="178" t="str">
        <x:f t="shared" si="8"/>
      </x:c>
      <x:c r="AB56" s="122"/>
      <x:c r="AC56" s="177" t="str">
        <x:f t="shared" si="9"/>
      </x:c>
      <x:c r="AD56" s="122"/>
      <x:c r="AE56" s="177" t="str">
        <x:f t="shared" si="10"/>
      </x:c>
      <x:c r="AF56" s="178" t="str">
        <x:f t="shared" si="11"/>
      </x:c>
      <x:c r="AG56" s="122"/>
      <x:c r="AH56" s="177" t="str">
        <x:f t="shared" si="12"/>
      </x:c>
      <x:c r="AI56" s="122"/>
      <x:c r="AJ56" s="177" t="str">
        <x:f t="shared" si="13"/>
      </x:c>
      <x:c r="AK56" s="178" t="str">
        <x:f t="shared" si="14"/>
      </x:c>
      <x:c r="AL56" s="122"/>
      <x:c r="AM56" s="177" t="str">
        <x:f t="shared" si="15"/>
      </x:c>
      <x:c r="AN56" s="122"/>
      <x:c r="AO56" s="177" t="str">
        <x:f t="shared" si="16"/>
      </x:c>
      <x:c r="AP56" s="178" t="str">
        <x:f t="shared" si="17"/>
      </x:c>
      <x:c r="AQ56" s="122"/>
      <x:c r="AR56" s="177" t="str">
        <x:f t="shared" si="18"/>
      </x:c>
      <x:c r="AS56" s="122"/>
      <x:c r="AT56" s="177" t="str">
        <x:f t="shared" si="19"/>
      </x:c>
      <x:c r="AU56" s="178" t="str">
        <x:f t="shared" si="20"/>
      </x:c>
      <x:c r="AV56" s="122"/>
      <x:c r="AW56" s="177" t="str">
        <x:f t="shared" si="21"/>
      </x:c>
      <x:c r="AX56" s="122"/>
      <x:c r="AY56" s="177" t="str">
        <x:f t="shared" si="22"/>
      </x:c>
      <x:c r="AZ56" s="178" t="str">
        <x:f t="shared" si="23"/>
      </x:c>
      <x:c r="BA56" s="122"/>
      <x:c r="BB56" s="177" t="str">
        <x:f t="shared" si="24"/>
      </x:c>
      <x:c r="BC56" s="122"/>
      <x:c r="BD56" s="177" t="str">
        <x:f t="shared" si="25"/>
      </x:c>
      <x:c r="BE56" s="178" t="str">
        <x:f t="shared" si="26"/>
      </x:c>
      <x:c r="BF56" s="122"/>
      <x:c r="BG56" s="177" t="str">
        <x:f t="shared" si="27"/>
      </x:c>
      <x:c r="BH56" s="122"/>
      <x:c r="BI56" s="177" t="str">
        <x:f t="shared" si="28"/>
      </x:c>
      <x:c r="BJ56" s="178" t="str">
        <x:f t="shared" si="29"/>
      </x:c>
    </x:row>
    <x:row r="57" ht="19.5" customHeight="1">
      <x:c r="A57" s="160"/>
      <x:c r="B57" s="179"/>
      <x:c r="C57" s="171"/>
      <x:c r="D57" s="172"/>
      <x:c r="E57" s="171"/>
      <x:c r="F57" s="173"/>
      <x:c r="G57" s="174"/>
      <x:c r="H57" s="175"/>
      <x:c r="I57" s="174"/>
      <x:c r="J57" s="176"/>
      <x:c r="K57" s="233"/>
      <x:c r="L57" s="233"/>
      <x:c r="M57" s="122"/>
      <x:c r="N57" s="177" t="str">
        <x:f t="shared" si="0"/>
      </x:c>
      <x:c r="O57" s="122"/>
      <x:c r="P57" s="177" t="str">
        <x:f t="shared" si="1"/>
      </x:c>
      <x:c r="Q57" s="178" t="str">
        <x:f t="shared" si="2"/>
      </x:c>
      <x:c r="R57" s="122"/>
      <x:c r="S57" s="177" t="str">
        <x:f t="shared" si="3"/>
      </x:c>
      <x:c r="T57" s="122"/>
      <x:c r="U57" s="177" t="str">
        <x:f t="shared" si="4"/>
      </x:c>
      <x:c r="V57" s="178" t="str">
        <x:f t="shared" si="5"/>
      </x:c>
      <x:c r="W57" s="122"/>
      <x:c r="X57" s="177" t="str">
        <x:f t="shared" si="6"/>
      </x:c>
      <x:c r="Y57" s="122"/>
      <x:c r="Z57" s="177" t="str">
        <x:f t="shared" si="7"/>
      </x:c>
      <x:c r="AA57" s="178" t="str">
        <x:f t="shared" si="8"/>
      </x:c>
      <x:c r="AB57" s="122"/>
      <x:c r="AC57" s="177" t="str">
        <x:f t="shared" si="9"/>
      </x:c>
      <x:c r="AD57" s="122"/>
      <x:c r="AE57" s="177" t="str">
        <x:f t="shared" si="10"/>
      </x:c>
      <x:c r="AF57" s="178" t="str">
        <x:f t="shared" si="11"/>
      </x:c>
      <x:c r="AG57" s="122"/>
      <x:c r="AH57" s="177" t="str">
        <x:f t="shared" si="12"/>
      </x:c>
      <x:c r="AI57" s="122"/>
      <x:c r="AJ57" s="177" t="str">
        <x:f t="shared" si="13"/>
      </x:c>
      <x:c r="AK57" s="178" t="str">
        <x:f t="shared" si="14"/>
      </x:c>
      <x:c r="AL57" s="122"/>
      <x:c r="AM57" s="177" t="str">
        <x:f t="shared" si="15"/>
      </x:c>
      <x:c r="AN57" s="122"/>
      <x:c r="AO57" s="177" t="str">
        <x:f t="shared" si="16"/>
      </x:c>
      <x:c r="AP57" s="178" t="str">
        <x:f t="shared" si="17"/>
      </x:c>
      <x:c r="AQ57" s="122"/>
      <x:c r="AR57" s="177" t="str">
        <x:f t="shared" si="18"/>
      </x:c>
      <x:c r="AS57" s="122"/>
      <x:c r="AT57" s="177" t="str">
        <x:f t="shared" si="19"/>
      </x:c>
      <x:c r="AU57" s="178" t="str">
        <x:f t="shared" si="20"/>
      </x:c>
      <x:c r="AV57" s="122"/>
      <x:c r="AW57" s="177" t="str">
        <x:f t="shared" si="21"/>
      </x:c>
      <x:c r="AX57" s="122"/>
      <x:c r="AY57" s="177" t="str">
        <x:f t="shared" si="22"/>
      </x:c>
      <x:c r="AZ57" s="178" t="str">
        <x:f t="shared" si="23"/>
      </x:c>
      <x:c r="BA57" s="122"/>
      <x:c r="BB57" s="177" t="str">
        <x:f t="shared" si="24"/>
      </x:c>
      <x:c r="BC57" s="122"/>
      <x:c r="BD57" s="177" t="str">
        <x:f t="shared" si="25"/>
      </x:c>
      <x:c r="BE57" s="178" t="str">
        <x:f t="shared" si="26"/>
      </x:c>
      <x:c r="BF57" s="122"/>
      <x:c r="BG57" s="177" t="str">
        <x:f t="shared" si="27"/>
      </x:c>
      <x:c r="BH57" s="122"/>
      <x:c r="BI57" s="177" t="str">
        <x:f t="shared" si="28"/>
      </x:c>
      <x:c r="BJ57" s="178" t="str">
        <x:f t="shared" si="29"/>
      </x:c>
    </x:row>
    <x:row r="58" ht="19.5" customHeight="1">
      <x:c r="A58" s="169"/>
      <x:c r="B58" s="170"/>
      <x:c r="C58" s="171"/>
      <x:c r="D58" s="172"/>
      <x:c r="E58" s="171"/>
      <x:c r="F58" s="173"/>
      <x:c r="G58" s="174"/>
      <x:c r="H58" s="175"/>
      <x:c r="I58" s="174"/>
      <x:c r="J58" s="176"/>
      <x:c r="K58" s="233"/>
      <x:c r="L58" s="233"/>
      <x:c r="M58" s="122"/>
      <x:c r="N58" s="177" t="str">
        <x:f t="shared" si="0"/>
      </x:c>
      <x:c r="O58" s="122"/>
      <x:c r="P58" s="177" t="str">
        <x:f t="shared" si="1"/>
      </x:c>
      <x:c r="Q58" s="178" t="str">
        <x:f t="shared" si="2"/>
      </x:c>
      <x:c r="R58" s="122"/>
      <x:c r="S58" s="177" t="str">
        <x:f t="shared" si="3"/>
      </x:c>
      <x:c r="T58" s="122"/>
      <x:c r="U58" s="177" t="str">
        <x:f t="shared" si="4"/>
      </x:c>
      <x:c r="V58" s="178" t="str">
        <x:f t="shared" si="5"/>
      </x:c>
      <x:c r="W58" s="122"/>
      <x:c r="X58" s="177" t="str">
        <x:f t="shared" si="6"/>
      </x:c>
      <x:c r="Y58" s="122"/>
      <x:c r="Z58" s="177" t="str">
        <x:f t="shared" si="7"/>
      </x:c>
      <x:c r="AA58" s="178" t="str">
        <x:f t="shared" si="8"/>
      </x:c>
      <x:c r="AB58" s="122"/>
      <x:c r="AC58" s="177" t="str">
        <x:f t="shared" si="9"/>
      </x:c>
      <x:c r="AD58" s="122"/>
      <x:c r="AE58" s="177" t="str">
        <x:f t="shared" si="10"/>
      </x:c>
      <x:c r="AF58" s="178" t="str">
        <x:f t="shared" si="11"/>
      </x:c>
      <x:c r="AG58" s="122"/>
      <x:c r="AH58" s="177" t="str">
        <x:f t="shared" si="12"/>
      </x:c>
      <x:c r="AI58" s="122"/>
      <x:c r="AJ58" s="177" t="str">
        <x:f t="shared" si="13"/>
      </x:c>
      <x:c r="AK58" s="178" t="str">
        <x:f t="shared" si="14"/>
      </x:c>
      <x:c r="AL58" s="122"/>
      <x:c r="AM58" s="177" t="str">
        <x:f t="shared" si="15"/>
      </x:c>
      <x:c r="AN58" s="122"/>
      <x:c r="AO58" s="177" t="str">
        <x:f t="shared" si="16"/>
      </x:c>
      <x:c r="AP58" s="178" t="str">
        <x:f t="shared" si="17"/>
      </x:c>
      <x:c r="AQ58" s="122"/>
      <x:c r="AR58" s="177" t="str">
        <x:f t="shared" si="18"/>
      </x:c>
      <x:c r="AS58" s="122"/>
      <x:c r="AT58" s="177" t="str">
        <x:f t="shared" si="19"/>
      </x:c>
      <x:c r="AU58" s="178" t="str">
        <x:f t="shared" si="20"/>
      </x:c>
      <x:c r="AV58" s="122"/>
      <x:c r="AW58" s="177" t="str">
        <x:f t="shared" si="21"/>
      </x:c>
      <x:c r="AX58" s="122"/>
      <x:c r="AY58" s="177" t="str">
        <x:f t="shared" si="22"/>
      </x:c>
      <x:c r="AZ58" s="178" t="str">
        <x:f t="shared" si="23"/>
      </x:c>
      <x:c r="BA58" s="122"/>
      <x:c r="BB58" s="177" t="str">
        <x:f t="shared" si="24"/>
      </x:c>
      <x:c r="BC58" s="122"/>
      <x:c r="BD58" s="177" t="str">
        <x:f t="shared" si="25"/>
      </x:c>
      <x:c r="BE58" s="178" t="str">
        <x:f t="shared" si="26"/>
      </x:c>
      <x:c r="BF58" s="122"/>
      <x:c r="BG58" s="177" t="str">
        <x:f t="shared" si="27"/>
      </x:c>
      <x:c r="BH58" s="122"/>
      <x:c r="BI58" s="177" t="str">
        <x:f t="shared" si="28"/>
      </x:c>
      <x:c r="BJ58" s="178" t="str">
        <x:f t="shared" si="29"/>
      </x:c>
    </x:row>
    <x:row r="59" ht="19.5" customHeight="1">
      <x:c r="A59" s="160"/>
      <x:c r="B59" s="179"/>
      <x:c r="C59" s="171"/>
      <x:c r="D59" s="172"/>
      <x:c r="E59" s="171"/>
      <x:c r="F59" s="173"/>
      <x:c r="G59" s="174"/>
      <x:c r="H59" s="175"/>
      <x:c r="I59" s="174"/>
      <x:c r="J59" s="176"/>
      <x:c r="K59" s="233"/>
      <x:c r="L59" s="233"/>
      <x:c r="M59" s="122"/>
      <x:c r="N59" s="177" t="str">
        <x:f t="shared" si="0"/>
      </x:c>
      <x:c r="O59" s="122"/>
      <x:c r="P59" s="177" t="str">
        <x:f t="shared" si="1"/>
      </x:c>
      <x:c r="Q59" s="178" t="str">
        <x:f t="shared" si="2"/>
      </x:c>
      <x:c r="R59" s="122"/>
      <x:c r="S59" s="177" t="str">
        <x:f t="shared" si="3"/>
      </x:c>
      <x:c r="T59" s="122"/>
      <x:c r="U59" s="177" t="str">
        <x:f t="shared" si="4"/>
      </x:c>
      <x:c r="V59" s="178" t="str">
        <x:f t="shared" si="5"/>
      </x:c>
      <x:c r="W59" s="122"/>
      <x:c r="X59" s="177" t="str">
        <x:f t="shared" si="6"/>
      </x:c>
      <x:c r="Y59" s="122"/>
      <x:c r="Z59" s="177" t="str">
        <x:f t="shared" si="7"/>
      </x:c>
      <x:c r="AA59" s="178" t="str">
        <x:f t="shared" si="8"/>
      </x:c>
      <x:c r="AB59" s="122"/>
      <x:c r="AC59" s="177" t="str">
        <x:f t="shared" si="9"/>
      </x:c>
      <x:c r="AD59" s="122"/>
      <x:c r="AE59" s="177" t="str">
        <x:f t="shared" si="10"/>
      </x:c>
      <x:c r="AF59" s="178" t="str">
        <x:f t="shared" si="11"/>
      </x:c>
      <x:c r="AG59" s="122"/>
      <x:c r="AH59" s="177" t="str">
        <x:f t="shared" si="12"/>
      </x:c>
      <x:c r="AI59" s="122"/>
      <x:c r="AJ59" s="177" t="str">
        <x:f t="shared" si="13"/>
      </x:c>
      <x:c r="AK59" s="178" t="str">
        <x:f t="shared" si="14"/>
      </x:c>
      <x:c r="AL59" s="122"/>
      <x:c r="AM59" s="177" t="str">
        <x:f t="shared" si="15"/>
      </x:c>
      <x:c r="AN59" s="122"/>
      <x:c r="AO59" s="177" t="str">
        <x:f t="shared" si="16"/>
      </x:c>
      <x:c r="AP59" s="178" t="str">
        <x:f t="shared" si="17"/>
      </x:c>
      <x:c r="AQ59" s="122"/>
      <x:c r="AR59" s="177" t="str">
        <x:f t="shared" si="18"/>
      </x:c>
      <x:c r="AS59" s="122"/>
      <x:c r="AT59" s="177" t="str">
        <x:f t="shared" si="19"/>
      </x:c>
      <x:c r="AU59" s="178" t="str">
        <x:f t="shared" si="20"/>
      </x:c>
      <x:c r="AV59" s="122"/>
      <x:c r="AW59" s="177" t="str">
        <x:f t="shared" si="21"/>
      </x:c>
      <x:c r="AX59" s="122"/>
      <x:c r="AY59" s="177" t="str">
        <x:f t="shared" si="22"/>
      </x:c>
      <x:c r="AZ59" s="178" t="str">
        <x:f t="shared" si="23"/>
      </x:c>
      <x:c r="BA59" s="122"/>
      <x:c r="BB59" s="177" t="str">
        <x:f t="shared" si="24"/>
      </x:c>
      <x:c r="BC59" s="122"/>
      <x:c r="BD59" s="177" t="str">
        <x:f t="shared" si="25"/>
      </x:c>
      <x:c r="BE59" s="178" t="str">
        <x:f t="shared" si="26"/>
      </x:c>
      <x:c r="BF59" s="122"/>
      <x:c r="BG59" s="177" t="str">
        <x:f t="shared" si="27"/>
      </x:c>
      <x:c r="BH59" s="122"/>
      <x:c r="BI59" s="177" t="str">
        <x:f t="shared" si="28"/>
      </x:c>
      <x:c r="BJ59" s="178" t="str">
        <x:f t="shared" si="29"/>
      </x:c>
    </x:row>
    <x:row r="60" ht="19.5" customHeight="1">
      <x:c r="A60" s="169"/>
      <x:c r="B60" s="170"/>
      <x:c r="C60" s="171"/>
      <x:c r="D60" s="172"/>
      <x:c r="E60" s="171"/>
      <x:c r="F60" s="173"/>
      <x:c r="G60" s="174"/>
      <x:c r="H60" s="175"/>
      <x:c r="I60" s="174"/>
      <x:c r="J60" s="176"/>
      <x:c r="K60" s="233"/>
      <x:c r="L60" s="233"/>
      <x:c r="M60" s="122"/>
      <x:c r="N60" s="177" t="str">
        <x:f t="shared" si="0"/>
      </x:c>
      <x:c r="O60" s="122"/>
      <x:c r="P60" s="177" t="str">
        <x:f t="shared" si="1"/>
      </x:c>
      <x:c r="Q60" s="178" t="str">
        <x:f t="shared" si="2"/>
      </x:c>
      <x:c r="R60" s="122"/>
      <x:c r="S60" s="177" t="str">
        <x:f t="shared" si="3"/>
      </x:c>
      <x:c r="T60" s="122"/>
      <x:c r="U60" s="177" t="str">
        <x:f t="shared" si="4"/>
      </x:c>
      <x:c r="V60" s="178" t="str">
        <x:f t="shared" si="5"/>
      </x:c>
      <x:c r="W60" s="122"/>
      <x:c r="X60" s="177" t="str">
        <x:f t="shared" si="6"/>
      </x:c>
      <x:c r="Y60" s="122"/>
      <x:c r="Z60" s="177" t="str">
        <x:f t="shared" si="7"/>
      </x:c>
      <x:c r="AA60" s="178" t="str">
        <x:f t="shared" si="8"/>
      </x:c>
      <x:c r="AB60" s="122"/>
      <x:c r="AC60" s="177" t="str">
        <x:f t="shared" si="9"/>
      </x:c>
      <x:c r="AD60" s="122"/>
      <x:c r="AE60" s="177" t="str">
        <x:f t="shared" si="10"/>
      </x:c>
      <x:c r="AF60" s="178" t="str">
        <x:f t="shared" si="11"/>
      </x:c>
      <x:c r="AG60" s="122"/>
      <x:c r="AH60" s="177" t="str">
        <x:f t="shared" si="12"/>
      </x:c>
      <x:c r="AI60" s="122"/>
      <x:c r="AJ60" s="177" t="str">
        <x:f t="shared" si="13"/>
      </x:c>
      <x:c r="AK60" s="178" t="str">
        <x:f t="shared" si="14"/>
      </x:c>
      <x:c r="AL60" s="122"/>
      <x:c r="AM60" s="177" t="str">
        <x:f t="shared" si="15"/>
      </x:c>
      <x:c r="AN60" s="122"/>
      <x:c r="AO60" s="177" t="str">
        <x:f t="shared" si="16"/>
      </x:c>
      <x:c r="AP60" s="178" t="str">
        <x:f t="shared" si="17"/>
      </x:c>
      <x:c r="AQ60" s="122"/>
      <x:c r="AR60" s="177" t="str">
        <x:f t="shared" si="18"/>
      </x:c>
      <x:c r="AS60" s="122"/>
      <x:c r="AT60" s="177" t="str">
        <x:f t="shared" si="19"/>
      </x:c>
      <x:c r="AU60" s="178" t="str">
        <x:f t="shared" si="20"/>
      </x:c>
      <x:c r="AV60" s="122"/>
      <x:c r="AW60" s="177" t="str">
        <x:f t="shared" si="21"/>
      </x:c>
      <x:c r="AX60" s="122"/>
      <x:c r="AY60" s="177" t="str">
        <x:f t="shared" si="22"/>
      </x:c>
      <x:c r="AZ60" s="178" t="str">
        <x:f t="shared" si="23"/>
      </x:c>
      <x:c r="BA60" s="122"/>
      <x:c r="BB60" s="177" t="str">
        <x:f t="shared" si="24"/>
      </x:c>
      <x:c r="BC60" s="122"/>
      <x:c r="BD60" s="177" t="str">
        <x:f t="shared" si="25"/>
      </x:c>
      <x:c r="BE60" s="178" t="str">
        <x:f t="shared" si="26"/>
      </x:c>
      <x:c r="BF60" s="122"/>
      <x:c r="BG60" s="177" t="str">
        <x:f t="shared" si="27"/>
      </x:c>
      <x:c r="BH60" s="122"/>
      <x:c r="BI60" s="177" t="str">
        <x:f t="shared" si="28"/>
      </x:c>
      <x:c r="BJ60" s="178" t="str">
        <x:f t="shared" si="29"/>
      </x:c>
    </x:row>
    <x:row r="61" ht="19.5" customHeight="1">
      <x:c r="A61" s="160"/>
      <x:c r="B61" s="179"/>
      <x:c r="C61" s="171"/>
      <x:c r="D61" s="172"/>
      <x:c r="E61" s="171"/>
      <x:c r="F61" s="173"/>
      <x:c r="G61" s="174"/>
      <x:c r="H61" s="175"/>
      <x:c r="I61" s="174"/>
      <x:c r="J61" s="176"/>
      <x:c r="K61" s="233"/>
      <x:c r="L61" s="233"/>
      <x:c r="M61" s="122"/>
      <x:c r="N61" s="177" t="str">
        <x:f t="shared" si="0"/>
      </x:c>
      <x:c r="O61" s="122"/>
      <x:c r="P61" s="177" t="str">
        <x:f t="shared" si="1"/>
      </x:c>
      <x:c r="Q61" s="178" t="str">
        <x:f t="shared" si="2"/>
      </x:c>
      <x:c r="R61" s="122"/>
      <x:c r="S61" s="177" t="str">
        <x:f t="shared" si="3"/>
      </x:c>
      <x:c r="T61" s="122"/>
      <x:c r="U61" s="177" t="str">
        <x:f t="shared" si="4"/>
      </x:c>
      <x:c r="V61" s="178" t="str">
        <x:f t="shared" si="5"/>
      </x:c>
      <x:c r="W61" s="122"/>
      <x:c r="X61" s="177" t="str">
        <x:f t="shared" si="6"/>
      </x:c>
      <x:c r="Y61" s="122"/>
      <x:c r="Z61" s="177" t="str">
        <x:f t="shared" si="7"/>
      </x:c>
      <x:c r="AA61" s="178" t="str">
        <x:f t="shared" si="8"/>
      </x:c>
      <x:c r="AB61" s="122"/>
      <x:c r="AC61" s="177" t="str">
        <x:f t="shared" si="9"/>
      </x:c>
      <x:c r="AD61" s="122"/>
      <x:c r="AE61" s="177" t="str">
        <x:f t="shared" si="10"/>
      </x:c>
      <x:c r="AF61" s="178" t="str">
        <x:f t="shared" si="11"/>
      </x:c>
      <x:c r="AG61" s="122"/>
      <x:c r="AH61" s="177" t="str">
        <x:f t="shared" si="12"/>
      </x:c>
      <x:c r="AI61" s="122"/>
      <x:c r="AJ61" s="177" t="str">
        <x:f t="shared" si="13"/>
      </x:c>
      <x:c r="AK61" s="178" t="str">
        <x:f t="shared" si="14"/>
      </x:c>
      <x:c r="AL61" s="122"/>
      <x:c r="AM61" s="177" t="str">
        <x:f t="shared" si="15"/>
      </x:c>
      <x:c r="AN61" s="122"/>
      <x:c r="AO61" s="177" t="str">
        <x:f t="shared" si="16"/>
      </x:c>
      <x:c r="AP61" s="178" t="str">
        <x:f t="shared" si="17"/>
      </x:c>
      <x:c r="AQ61" s="122"/>
      <x:c r="AR61" s="177" t="str">
        <x:f t="shared" si="18"/>
      </x:c>
      <x:c r="AS61" s="122"/>
      <x:c r="AT61" s="177" t="str">
        <x:f t="shared" si="19"/>
      </x:c>
      <x:c r="AU61" s="178" t="str">
        <x:f t="shared" si="20"/>
      </x:c>
      <x:c r="AV61" s="122"/>
      <x:c r="AW61" s="177" t="str">
        <x:f t="shared" si="21"/>
      </x:c>
      <x:c r="AX61" s="122"/>
      <x:c r="AY61" s="177" t="str">
        <x:f t="shared" si="22"/>
      </x:c>
      <x:c r="AZ61" s="178" t="str">
        <x:f t="shared" si="23"/>
      </x:c>
      <x:c r="BA61" s="122"/>
      <x:c r="BB61" s="177" t="str">
        <x:f t="shared" si="24"/>
      </x:c>
      <x:c r="BC61" s="122"/>
      <x:c r="BD61" s="177" t="str">
        <x:f t="shared" si="25"/>
      </x:c>
      <x:c r="BE61" s="178" t="str">
        <x:f t="shared" si="26"/>
      </x:c>
      <x:c r="BF61" s="122"/>
      <x:c r="BG61" s="177" t="str">
        <x:f t="shared" si="27"/>
      </x:c>
      <x:c r="BH61" s="122"/>
      <x:c r="BI61" s="177" t="str">
        <x:f t="shared" si="28"/>
      </x:c>
      <x:c r="BJ61" s="178" t="str">
        <x:f t="shared" si="29"/>
      </x:c>
    </x:row>
    <x:row r="62" ht="19.5" hidden="1" customHeight="1">
      <x:c r="A62" s="169"/>
      <x:c r="B62" s="170"/>
      <x:c r="C62" s="171"/>
      <x:c r="D62" s="172"/>
      <x:c r="E62" s="171"/>
      <x:c r="F62" s="173"/>
      <x:c r="G62" s="174"/>
      <x:c r="H62" s="175"/>
      <x:c r="I62" s="174"/>
      <x:c r="J62" s="176"/>
      <x:c r="K62" s="233"/>
      <x:c r="L62" s="233"/>
      <x:c r="M62" s="122"/>
      <x:c r="N62" s="177" t="str">
        <x:f t="shared" si="0"/>
      </x:c>
      <x:c r="O62" s="122"/>
      <x:c r="P62" s="177" t="str">
        <x:f t="shared" si="1"/>
      </x:c>
      <x:c r="Q62" s="178" t="str">
        <x:f t="shared" si="2"/>
      </x:c>
      <x:c r="R62" s="122"/>
      <x:c r="S62" s="177" t="str">
        <x:f t="shared" si="3"/>
      </x:c>
      <x:c r="T62" s="122"/>
      <x:c r="U62" s="177" t="str">
        <x:f t="shared" si="4"/>
      </x:c>
      <x:c r="V62" s="178" t="str">
        <x:f t="shared" si="5"/>
      </x:c>
      <x:c r="W62" s="122"/>
      <x:c r="X62" s="177" t="str">
        <x:f t="shared" si="6"/>
      </x:c>
      <x:c r="Y62" s="122"/>
      <x:c r="Z62" s="177" t="str">
        <x:f t="shared" si="7"/>
      </x:c>
      <x:c r="AA62" s="178" t="str">
        <x:f t="shared" si="8"/>
      </x:c>
      <x:c r="AB62" s="122"/>
      <x:c r="AC62" s="177" t="str">
        <x:f t="shared" si="9"/>
      </x:c>
      <x:c r="AD62" s="122"/>
      <x:c r="AE62" s="177" t="str">
        <x:f t="shared" si="10"/>
      </x:c>
      <x:c r="AF62" s="178" t="str">
        <x:f t="shared" si="11"/>
      </x:c>
      <x:c r="AG62" s="122"/>
      <x:c r="AH62" s="177" t="str">
        <x:f t="shared" si="12"/>
      </x:c>
      <x:c r="AI62" s="122"/>
      <x:c r="AJ62" s="177" t="str">
        <x:f t="shared" si="13"/>
      </x:c>
      <x:c r="AK62" s="178" t="str">
        <x:f t="shared" si="14"/>
      </x:c>
      <x:c r="AL62" s="122"/>
      <x:c r="AM62" s="177" t="str">
        <x:f t="shared" si="15"/>
      </x:c>
      <x:c r="AN62" s="122"/>
      <x:c r="AO62" s="177" t="str">
        <x:f t="shared" si="16"/>
      </x:c>
      <x:c r="AP62" s="178" t="str">
        <x:f t="shared" si="17"/>
      </x:c>
      <x:c r="AQ62" s="122"/>
      <x:c r="AR62" s="177" t="str">
        <x:f t="shared" si="18"/>
      </x:c>
      <x:c r="AS62" s="122"/>
      <x:c r="AT62" s="177" t="str">
        <x:f t="shared" si="19"/>
      </x:c>
      <x:c r="AU62" s="178" t="str">
        <x:f t="shared" si="20"/>
      </x:c>
      <x:c r="AV62" s="122"/>
      <x:c r="AW62" s="177" t="str">
        <x:f t="shared" si="21"/>
      </x:c>
      <x:c r="AX62" s="122"/>
      <x:c r="AY62" s="177" t="str">
        <x:f t="shared" si="22"/>
      </x:c>
      <x:c r="AZ62" s="178" t="str">
        <x:f t="shared" si="23"/>
      </x:c>
      <x:c r="BA62" s="122"/>
      <x:c r="BB62" s="177" t="str">
        <x:f t="shared" si="24"/>
      </x:c>
      <x:c r="BC62" s="122"/>
      <x:c r="BD62" s="177" t="str">
        <x:f t="shared" si="25"/>
      </x:c>
      <x:c r="BE62" s="178" t="str">
        <x:f t="shared" si="26"/>
      </x:c>
      <x:c r="BF62" s="122"/>
      <x:c r="BG62" s="177" t="str">
        <x:f t="shared" si="27"/>
      </x:c>
      <x:c r="BH62" s="122"/>
      <x:c r="BI62" s="177" t="str">
        <x:f t="shared" si="28"/>
      </x:c>
      <x:c r="BJ62" s="178" t="str">
        <x:f t="shared" si="29"/>
      </x:c>
    </x:row>
    <x:row r="63" ht="19.5" hidden="1" customHeight="1">
      <x:c r="A63" s="160"/>
      <x:c r="B63" s="179"/>
      <x:c r="C63" s="171"/>
      <x:c r="D63" s="172"/>
      <x:c r="E63" s="171"/>
      <x:c r="F63" s="173"/>
      <x:c r="G63" s="174"/>
      <x:c r="H63" s="175"/>
      <x:c r="I63" s="174"/>
      <x:c r="J63" s="176"/>
      <x:c r="K63" s="233"/>
      <x:c r="L63" s="233"/>
      <x:c r="M63" s="122"/>
      <x:c r="N63" s="177" t="str">
        <x:f t="shared" si="0"/>
      </x:c>
      <x:c r="O63" s="122"/>
      <x:c r="P63" s="177" t="str">
        <x:f t="shared" si="1"/>
      </x:c>
      <x:c r="Q63" s="178" t="str">
        <x:f t="shared" si="2"/>
      </x:c>
      <x:c r="R63" s="122"/>
      <x:c r="S63" s="177" t="str">
        <x:f t="shared" si="3"/>
      </x:c>
      <x:c r="T63" s="122"/>
      <x:c r="U63" s="177" t="str">
        <x:f t="shared" si="4"/>
      </x:c>
      <x:c r="V63" s="178" t="str">
        <x:f t="shared" si="5"/>
      </x:c>
      <x:c r="W63" s="122"/>
      <x:c r="X63" s="177" t="str">
        <x:f t="shared" si="6"/>
      </x:c>
      <x:c r="Y63" s="122"/>
      <x:c r="Z63" s="177" t="str">
        <x:f t="shared" si="7"/>
      </x:c>
      <x:c r="AA63" s="178" t="str">
        <x:f t="shared" si="8"/>
      </x:c>
      <x:c r="AB63" s="122"/>
      <x:c r="AC63" s="177" t="str">
        <x:f t="shared" si="9"/>
      </x:c>
      <x:c r="AD63" s="122"/>
      <x:c r="AE63" s="177" t="str">
        <x:f t="shared" si="10"/>
      </x:c>
      <x:c r="AF63" s="178" t="str">
        <x:f t="shared" si="11"/>
      </x:c>
      <x:c r="AG63" s="122"/>
      <x:c r="AH63" s="177" t="str">
        <x:f t="shared" si="12"/>
      </x:c>
      <x:c r="AI63" s="122"/>
      <x:c r="AJ63" s="177" t="str">
        <x:f t="shared" si="13"/>
      </x:c>
      <x:c r="AK63" s="178" t="str">
        <x:f t="shared" si="14"/>
      </x:c>
      <x:c r="AL63" s="122"/>
      <x:c r="AM63" s="177" t="str">
        <x:f t="shared" si="15"/>
      </x:c>
      <x:c r="AN63" s="122"/>
      <x:c r="AO63" s="177" t="str">
        <x:f t="shared" si="16"/>
      </x:c>
      <x:c r="AP63" s="178" t="str">
        <x:f t="shared" si="17"/>
      </x:c>
      <x:c r="AQ63" s="122"/>
      <x:c r="AR63" s="177" t="str">
        <x:f t="shared" si="18"/>
      </x:c>
      <x:c r="AS63" s="122"/>
      <x:c r="AT63" s="177" t="str">
        <x:f t="shared" si="19"/>
      </x:c>
      <x:c r="AU63" s="178" t="str">
        <x:f t="shared" si="20"/>
      </x:c>
      <x:c r="AV63" s="122"/>
      <x:c r="AW63" s="177" t="str">
        <x:f t="shared" si="21"/>
      </x:c>
      <x:c r="AX63" s="122"/>
      <x:c r="AY63" s="177" t="str">
        <x:f t="shared" si="22"/>
      </x:c>
      <x:c r="AZ63" s="178" t="str">
        <x:f t="shared" si="23"/>
      </x:c>
      <x:c r="BA63" s="122"/>
      <x:c r="BB63" s="177" t="str">
        <x:f t="shared" si="24"/>
      </x:c>
      <x:c r="BC63" s="122"/>
      <x:c r="BD63" s="177" t="str">
        <x:f t="shared" si="25"/>
      </x:c>
      <x:c r="BE63" s="178" t="str">
        <x:f t="shared" si="26"/>
      </x:c>
      <x:c r="BF63" s="122"/>
      <x:c r="BG63" s="177" t="str">
        <x:f t="shared" si="27"/>
      </x:c>
      <x:c r="BH63" s="122"/>
      <x:c r="BI63" s="177" t="str">
        <x:f t="shared" si="28"/>
      </x:c>
      <x:c r="BJ63" s="178" t="str">
        <x:f t="shared" si="29"/>
      </x:c>
    </x:row>
    <x:row r="64" ht="19.5" hidden="1" customHeight="1">
      <x:c r="A64" s="169"/>
      <x:c r="B64" s="170"/>
      <x:c r="C64" s="171"/>
      <x:c r="D64" s="172"/>
      <x:c r="E64" s="171"/>
      <x:c r="F64" s="173"/>
      <x:c r="G64" s="174"/>
      <x:c r="H64" s="175"/>
      <x:c r="I64" s="174"/>
      <x:c r="J64" s="176"/>
      <x:c r="K64" s="233"/>
      <x:c r="L64" s="233"/>
      <x:c r="M64" s="122"/>
      <x:c r="N64" s="177" t="str">
        <x:f t="shared" si="0"/>
      </x:c>
      <x:c r="O64" s="122"/>
      <x:c r="P64" s="177" t="str">
        <x:f t="shared" si="1"/>
      </x:c>
      <x:c r="Q64" s="178" t="str">
        <x:f t="shared" si="2"/>
      </x:c>
      <x:c r="R64" s="122"/>
      <x:c r="S64" s="177" t="str">
        <x:f t="shared" si="3"/>
      </x:c>
      <x:c r="T64" s="122"/>
      <x:c r="U64" s="177" t="str">
        <x:f t="shared" si="4"/>
      </x:c>
      <x:c r="V64" s="178" t="str">
        <x:f t="shared" si="5"/>
      </x:c>
      <x:c r="W64" s="122"/>
      <x:c r="X64" s="177" t="str">
        <x:f t="shared" si="6"/>
      </x:c>
      <x:c r="Y64" s="122"/>
      <x:c r="Z64" s="177" t="str">
        <x:f t="shared" si="7"/>
      </x:c>
      <x:c r="AA64" s="178" t="str">
        <x:f t="shared" si="8"/>
      </x:c>
      <x:c r="AB64" s="122"/>
      <x:c r="AC64" s="177" t="str">
        <x:f t="shared" si="9"/>
      </x:c>
      <x:c r="AD64" s="122"/>
      <x:c r="AE64" s="177" t="str">
        <x:f t="shared" si="10"/>
      </x:c>
      <x:c r="AF64" s="178" t="str">
        <x:f t="shared" si="11"/>
      </x:c>
      <x:c r="AG64" s="122"/>
      <x:c r="AH64" s="177" t="str">
        <x:f t="shared" si="12"/>
      </x:c>
      <x:c r="AI64" s="122"/>
      <x:c r="AJ64" s="177" t="str">
        <x:f t="shared" si="13"/>
      </x:c>
      <x:c r="AK64" s="178" t="str">
        <x:f t="shared" si="14"/>
      </x:c>
      <x:c r="AL64" s="122"/>
      <x:c r="AM64" s="177" t="str">
        <x:f t="shared" si="15"/>
      </x:c>
      <x:c r="AN64" s="122"/>
      <x:c r="AO64" s="177" t="str">
        <x:f t="shared" si="16"/>
      </x:c>
      <x:c r="AP64" s="178" t="str">
        <x:f t="shared" si="17"/>
      </x:c>
      <x:c r="AQ64" s="122"/>
      <x:c r="AR64" s="177" t="str">
        <x:f t="shared" si="18"/>
      </x:c>
      <x:c r="AS64" s="122"/>
      <x:c r="AT64" s="177" t="str">
        <x:f t="shared" si="19"/>
      </x:c>
      <x:c r="AU64" s="178" t="str">
        <x:f t="shared" si="20"/>
      </x:c>
      <x:c r="AV64" s="122"/>
      <x:c r="AW64" s="177" t="str">
        <x:f t="shared" si="21"/>
      </x:c>
      <x:c r="AX64" s="122"/>
      <x:c r="AY64" s="177" t="str">
        <x:f t="shared" si="22"/>
      </x:c>
      <x:c r="AZ64" s="178" t="str">
        <x:f t="shared" si="23"/>
      </x:c>
      <x:c r="BA64" s="122"/>
      <x:c r="BB64" s="177" t="str">
        <x:f t="shared" si="24"/>
      </x:c>
      <x:c r="BC64" s="122"/>
      <x:c r="BD64" s="177" t="str">
        <x:f t="shared" si="25"/>
      </x:c>
      <x:c r="BE64" s="178" t="str">
        <x:f t="shared" si="26"/>
      </x:c>
      <x:c r="BF64" s="122"/>
      <x:c r="BG64" s="177" t="str">
        <x:f t="shared" si="27"/>
      </x:c>
      <x:c r="BH64" s="122"/>
      <x:c r="BI64" s="177" t="str">
        <x:f t="shared" si="28"/>
      </x:c>
      <x:c r="BJ64" s="178" t="str">
        <x:f t="shared" si="29"/>
      </x:c>
    </x:row>
    <x:row r="65" ht="19.5" hidden="1" customHeight="1">
      <x:c r="A65" s="160"/>
      <x:c r="B65" s="179"/>
      <x:c r="C65" s="171"/>
      <x:c r="D65" s="172"/>
      <x:c r="E65" s="171"/>
      <x:c r="F65" s="173"/>
      <x:c r="G65" s="174"/>
      <x:c r="H65" s="175"/>
      <x:c r="I65" s="174"/>
      <x:c r="J65" s="176"/>
      <x:c r="K65" s="233"/>
      <x:c r="L65" s="233"/>
      <x:c r="M65" s="122"/>
      <x:c r="N65" s="177" t="str">
        <x:f t="shared" si="0"/>
      </x:c>
      <x:c r="O65" s="122"/>
      <x:c r="P65" s="177" t="str">
        <x:f t="shared" si="1"/>
      </x:c>
      <x:c r="Q65" s="178" t="str">
        <x:f t="shared" si="2"/>
      </x:c>
      <x:c r="R65" s="122"/>
      <x:c r="S65" s="177" t="str">
        <x:f t="shared" si="3"/>
      </x:c>
      <x:c r="T65" s="122"/>
      <x:c r="U65" s="177" t="str">
        <x:f t="shared" si="4"/>
      </x:c>
      <x:c r="V65" s="178" t="str">
        <x:f t="shared" si="5"/>
      </x:c>
      <x:c r="W65" s="122"/>
      <x:c r="X65" s="177" t="str">
        <x:f t="shared" si="6"/>
      </x:c>
      <x:c r="Y65" s="122"/>
      <x:c r="Z65" s="177" t="str">
        <x:f t="shared" si="7"/>
      </x:c>
      <x:c r="AA65" s="178" t="str">
        <x:f t="shared" si="8"/>
      </x:c>
      <x:c r="AB65" s="122"/>
      <x:c r="AC65" s="177" t="str">
        <x:f t="shared" si="9"/>
      </x:c>
      <x:c r="AD65" s="122"/>
      <x:c r="AE65" s="177" t="str">
        <x:f t="shared" si="10"/>
      </x:c>
      <x:c r="AF65" s="178" t="str">
        <x:f t="shared" si="11"/>
      </x:c>
      <x:c r="AG65" s="122"/>
      <x:c r="AH65" s="177" t="str">
        <x:f t="shared" si="12"/>
      </x:c>
      <x:c r="AI65" s="122"/>
      <x:c r="AJ65" s="177" t="str">
        <x:f t="shared" si="13"/>
      </x:c>
      <x:c r="AK65" s="178" t="str">
        <x:f t="shared" si="14"/>
      </x:c>
      <x:c r="AL65" s="122"/>
      <x:c r="AM65" s="177" t="str">
        <x:f t="shared" si="15"/>
      </x:c>
      <x:c r="AN65" s="122"/>
      <x:c r="AO65" s="177" t="str">
        <x:f t="shared" si="16"/>
      </x:c>
      <x:c r="AP65" s="178" t="str">
        <x:f t="shared" si="17"/>
      </x:c>
      <x:c r="AQ65" s="122"/>
      <x:c r="AR65" s="177" t="str">
        <x:f t="shared" si="18"/>
      </x:c>
      <x:c r="AS65" s="122"/>
      <x:c r="AT65" s="177" t="str">
        <x:f t="shared" si="19"/>
      </x:c>
      <x:c r="AU65" s="178" t="str">
        <x:f t="shared" si="20"/>
      </x:c>
      <x:c r="AV65" s="122"/>
      <x:c r="AW65" s="177" t="str">
        <x:f t="shared" si="21"/>
      </x:c>
      <x:c r="AX65" s="122"/>
      <x:c r="AY65" s="177" t="str">
        <x:f t="shared" si="22"/>
      </x:c>
      <x:c r="AZ65" s="178" t="str">
        <x:f t="shared" si="23"/>
      </x:c>
      <x:c r="BA65" s="122"/>
      <x:c r="BB65" s="177" t="str">
        <x:f t="shared" si="24"/>
      </x:c>
      <x:c r="BC65" s="122"/>
      <x:c r="BD65" s="177" t="str">
        <x:f t="shared" si="25"/>
      </x:c>
      <x:c r="BE65" s="178" t="str">
        <x:f t="shared" si="26"/>
      </x:c>
      <x:c r="BF65" s="122"/>
      <x:c r="BG65" s="177" t="str">
        <x:f t="shared" si="27"/>
      </x:c>
      <x:c r="BH65" s="122"/>
      <x:c r="BI65" s="177" t="str">
        <x:f t="shared" si="28"/>
      </x:c>
      <x:c r="BJ65" s="178" t="str">
        <x:f t="shared" si="29"/>
      </x:c>
    </x:row>
    <x:row r="66" ht="19.5" hidden="1" customHeight="1">
      <x:c r="A66" s="169"/>
      <x:c r="B66" s="170"/>
      <x:c r="C66" s="171"/>
      <x:c r="D66" s="172"/>
      <x:c r="E66" s="171"/>
      <x:c r="F66" s="173"/>
      <x:c r="G66" s="174"/>
      <x:c r="H66" s="175"/>
      <x:c r="I66" s="174"/>
      <x:c r="J66" s="176"/>
      <x:c r="K66" s="233"/>
      <x:c r="L66" s="233"/>
      <x:c r="M66" s="122"/>
      <x:c r="N66" s="177" t="str">
        <x:f t="shared" si="0"/>
      </x:c>
      <x:c r="O66" s="122"/>
      <x:c r="P66" s="177" t="str">
        <x:f t="shared" si="1"/>
      </x:c>
      <x:c r="Q66" s="178" t="str">
        <x:f t="shared" si="2"/>
      </x:c>
      <x:c r="R66" s="122"/>
      <x:c r="S66" s="177" t="str">
        <x:f t="shared" si="3"/>
      </x:c>
      <x:c r="T66" s="122"/>
      <x:c r="U66" s="177" t="str">
        <x:f t="shared" si="4"/>
      </x:c>
      <x:c r="V66" s="178" t="str">
        <x:f t="shared" si="5"/>
      </x:c>
      <x:c r="W66" s="122"/>
      <x:c r="X66" s="177" t="str">
        <x:f t="shared" si="6"/>
      </x:c>
      <x:c r="Y66" s="122"/>
      <x:c r="Z66" s="177" t="str">
        <x:f t="shared" si="7"/>
      </x:c>
      <x:c r="AA66" s="178" t="str">
        <x:f t="shared" si="8"/>
      </x:c>
      <x:c r="AB66" s="122"/>
      <x:c r="AC66" s="177" t="str">
        <x:f t="shared" si="9"/>
      </x:c>
      <x:c r="AD66" s="122"/>
      <x:c r="AE66" s="177" t="str">
        <x:f t="shared" si="10"/>
      </x:c>
      <x:c r="AF66" s="178" t="str">
        <x:f t="shared" si="11"/>
      </x:c>
      <x:c r="AG66" s="122"/>
      <x:c r="AH66" s="177" t="str">
        <x:f t="shared" si="12"/>
      </x:c>
      <x:c r="AI66" s="122"/>
      <x:c r="AJ66" s="177" t="str">
        <x:f t="shared" si="13"/>
      </x:c>
      <x:c r="AK66" s="178" t="str">
        <x:f t="shared" si="14"/>
      </x:c>
      <x:c r="AL66" s="122"/>
      <x:c r="AM66" s="177" t="str">
        <x:f t="shared" si="15"/>
      </x:c>
      <x:c r="AN66" s="122"/>
      <x:c r="AO66" s="177" t="str">
        <x:f t="shared" si="16"/>
      </x:c>
      <x:c r="AP66" s="178" t="str">
        <x:f t="shared" si="17"/>
      </x:c>
      <x:c r="AQ66" s="122"/>
      <x:c r="AR66" s="177" t="str">
        <x:f t="shared" si="18"/>
      </x:c>
      <x:c r="AS66" s="122"/>
      <x:c r="AT66" s="177" t="str">
        <x:f t="shared" si="19"/>
      </x:c>
      <x:c r="AU66" s="178" t="str">
        <x:f t="shared" si="20"/>
      </x:c>
      <x:c r="AV66" s="122"/>
      <x:c r="AW66" s="177" t="str">
        <x:f t="shared" si="21"/>
      </x:c>
      <x:c r="AX66" s="122"/>
      <x:c r="AY66" s="177" t="str">
        <x:f t="shared" si="22"/>
      </x:c>
      <x:c r="AZ66" s="178" t="str">
        <x:f t="shared" si="23"/>
      </x:c>
      <x:c r="BA66" s="122"/>
      <x:c r="BB66" s="177" t="str">
        <x:f t="shared" si="24"/>
      </x:c>
      <x:c r="BC66" s="122"/>
      <x:c r="BD66" s="177" t="str">
        <x:f t="shared" si="25"/>
      </x:c>
      <x:c r="BE66" s="178" t="str">
        <x:f t="shared" si="26"/>
      </x:c>
      <x:c r="BF66" s="122"/>
      <x:c r="BG66" s="177" t="str">
        <x:f t="shared" si="27"/>
      </x:c>
      <x:c r="BH66" s="122"/>
      <x:c r="BI66" s="177" t="str">
        <x:f t="shared" si="28"/>
      </x:c>
      <x:c r="BJ66" s="178" t="str">
        <x:f t="shared" si="29"/>
      </x:c>
    </x:row>
    <x:row r="67" ht="19.5" hidden="1" customHeight="1">
      <x:c r="A67" s="160"/>
      <x:c r="B67" s="179"/>
      <x:c r="C67" s="171"/>
      <x:c r="D67" s="172"/>
      <x:c r="E67" s="171"/>
      <x:c r="F67" s="173"/>
      <x:c r="G67" s="174"/>
      <x:c r="H67" s="175"/>
      <x:c r="I67" s="174"/>
      <x:c r="J67" s="176"/>
      <x:c r="K67" s="233"/>
      <x:c r="L67" s="233"/>
      <x:c r="M67" s="122"/>
      <x:c r="N67" s="177" t="str">
        <x:f t="shared" si="0"/>
      </x:c>
      <x:c r="O67" s="122"/>
      <x:c r="P67" s="177" t="str">
        <x:f t="shared" si="1"/>
      </x:c>
      <x:c r="Q67" s="178" t="str">
        <x:f t="shared" si="2"/>
      </x:c>
      <x:c r="R67" s="122"/>
      <x:c r="S67" s="177" t="str">
        <x:f t="shared" si="3"/>
      </x:c>
      <x:c r="T67" s="122"/>
      <x:c r="U67" s="177" t="str">
        <x:f t="shared" si="4"/>
      </x:c>
      <x:c r="V67" s="178" t="str">
        <x:f t="shared" si="5"/>
      </x:c>
      <x:c r="W67" s="122"/>
      <x:c r="X67" s="177" t="str">
        <x:f t="shared" si="6"/>
      </x:c>
      <x:c r="Y67" s="122"/>
      <x:c r="Z67" s="177" t="str">
        <x:f t="shared" si="7"/>
      </x:c>
      <x:c r="AA67" s="178" t="str">
        <x:f t="shared" si="8"/>
      </x:c>
      <x:c r="AB67" s="122"/>
      <x:c r="AC67" s="177" t="str">
        <x:f t="shared" si="9"/>
      </x:c>
      <x:c r="AD67" s="122"/>
      <x:c r="AE67" s="177" t="str">
        <x:f t="shared" si="10"/>
      </x:c>
      <x:c r="AF67" s="178" t="str">
        <x:f t="shared" si="11"/>
      </x:c>
      <x:c r="AG67" s="122"/>
      <x:c r="AH67" s="177" t="str">
        <x:f t="shared" si="12"/>
      </x:c>
      <x:c r="AI67" s="122"/>
      <x:c r="AJ67" s="177" t="str">
        <x:f t="shared" si="13"/>
      </x:c>
      <x:c r="AK67" s="178" t="str">
        <x:f t="shared" si="14"/>
      </x:c>
      <x:c r="AL67" s="122"/>
      <x:c r="AM67" s="177" t="str">
        <x:f t="shared" si="15"/>
      </x:c>
      <x:c r="AN67" s="122"/>
      <x:c r="AO67" s="177" t="str">
        <x:f t="shared" si="16"/>
      </x:c>
      <x:c r="AP67" s="178" t="str">
        <x:f t="shared" si="17"/>
      </x:c>
      <x:c r="AQ67" s="122"/>
      <x:c r="AR67" s="177" t="str">
        <x:f t="shared" si="18"/>
      </x:c>
      <x:c r="AS67" s="122"/>
      <x:c r="AT67" s="177" t="str">
        <x:f t="shared" si="19"/>
      </x:c>
      <x:c r="AU67" s="178" t="str">
        <x:f t="shared" si="20"/>
      </x:c>
      <x:c r="AV67" s="122"/>
      <x:c r="AW67" s="177" t="str">
        <x:f t="shared" si="21"/>
      </x:c>
      <x:c r="AX67" s="122"/>
      <x:c r="AY67" s="177" t="str">
        <x:f t="shared" si="22"/>
      </x:c>
      <x:c r="AZ67" s="178" t="str">
        <x:f t="shared" si="23"/>
      </x:c>
      <x:c r="BA67" s="122"/>
      <x:c r="BB67" s="177" t="str">
        <x:f t="shared" si="24"/>
      </x:c>
      <x:c r="BC67" s="122"/>
      <x:c r="BD67" s="177" t="str">
        <x:f t="shared" si="25"/>
      </x:c>
      <x:c r="BE67" s="178" t="str">
        <x:f t="shared" si="26"/>
      </x:c>
      <x:c r="BF67" s="122"/>
      <x:c r="BG67" s="177" t="str">
        <x:f t="shared" si="27"/>
      </x:c>
      <x:c r="BH67" s="122"/>
      <x:c r="BI67" s="177" t="str">
        <x:f t="shared" si="28"/>
      </x:c>
      <x:c r="BJ67" s="178" t="str">
        <x:f t="shared" si="29"/>
      </x:c>
    </x:row>
    <x:row r="68" ht="19.5" hidden="1" customHeight="1">
      <x:c r="A68" s="169"/>
      <x:c r="B68" s="170"/>
      <x:c r="C68" s="171"/>
      <x:c r="D68" s="172"/>
      <x:c r="E68" s="171"/>
      <x:c r="F68" s="173"/>
      <x:c r="G68" s="174"/>
      <x:c r="H68" s="175"/>
      <x:c r="I68" s="174"/>
      <x:c r="J68" s="176"/>
      <x:c r="K68" s="233"/>
      <x:c r="L68" s="233"/>
      <x:c r="M68" s="122"/>
      <x:c r="N68" s="177" t="str">
        <x:f t="shared" si="0"/>
      </x:c>
      <x:c r="O68" s="122"/>
      <x:c r="P68" s="177" t="str">
        <x:f t="shared" si="1"/>
      </x:c>
      <x:c r="Q68" s="178" t="str">
        <x:f t="shared" si="2"/>
      </x:c>
      <x:c r="R68" s="122"/>
      <x:c r="S68" s="177" t="str">
        <x:f t="shared" si="3"/>
      </x:c>
      <x:c r="T68" s="122"/>
      <x:c r="U68" s="177" t="str">
        <x:f t="shared" si="4"/>
      </x:c>
      <x:c r="V68" s="178" t="str">
        <x:f t="shared" si="5"/>
      </x:c>
      <x:c r="W68" s="122"/>
      <x:c r="X68" s="177" t="str">
        <x:f t="shared" si="6"/>
      </x:c>
      <x:c r="Y68" s="122"/>
      <x:c r="Z68" s="177" t="str">
        <x:f t="shared" si="7"/>
      </x:c>
      <x:c r="AA68" s="178" t="str">
        <x:f t="shared" si="8"/>
      </x:c>
      <x:c r="AB68" s="122"/>
      <x:c r="AC68" s="177" t="str">
        <x:f t="shared" si="9"/>
      </x:c>
      <x:c r="AD68" s="122"/>
      <x:c r="AE68" s="177" t="str">
        <x:f t="shared" si="10"/>
      </x:c>
      <x:c r="AF68" s="178" t="str">
        <x:f t="shared" si="11"/>
      </x:c>
      <x:c r="AG68" s="122"/>
      <x:c r="AH68" s="177" t="str">
        <x:f t="shared" si="12"/>
      </x:c>
      <x:c r="AI68" s="122"/>
      <x:c r="AJ68" s="177" t="str">
        <x:f t="shared" si="13"/>
      </x:c>
      <x:c r="AK68" s="178" t="str">
        <x:f t="shared" si="14"/>
      </x:c>
      <x:c r="AL68" s="122"/>
      <x:c r="AM68" s="177" t="str">
        <x:f t="shared" si="15"/>
      </x:c>
      <x:c r="AN68" s="122"/>
      <x:c r="AO68" s="177" t="str">
        <x:f t="shared" si="16"/>
      </x:c>
      <x:c r="AP68" s="178" t="str">
        <x:f t="shared" si="17"/>
      </x:c>
      <x:c r="AQ68" s="122"/>
      <x:c r="AR68" s="177" t="str">
        <x:f t="shared" si="18"/>
      </x:c>
      <x:c r="AS68" s="122"/>
      <x:c r="AT68" s="177" t="str">
        <x:f t="shared" si="19"/>
      </x:c>
      <x:c r="AU68" s="178" t="str">
        <x:f t="shared" si="20"/>
      </x:c>
      <x:c r="AV68" s="122"/>
      <x:c r="AW68" s="177" t="str">
        <x:f t="shared" si="21"/>
      </x:c>
      <x:c r="AX68" s="122"/>
      <x:c r="AY68" s="177" t="str">
        <x:f t="shared" si="22"/>
      </x:c>
      <x:c r="AZ68" s="178" t="str">
        <x:f t="shared" si="23"/>
      </x:c>
      <x:c r="BA68" s="122"/>
      <x:c r="BB68" s="177" t="str">
        <x:f t="shared" si="24"/>
      </x:c>
      <x:c r="BC68" s="122"/>
      <x:c r="BD68" s="177" t="str">
        <x:f t="shared" si="25"/>
      </x:c>
      <x:c r="BE68" s="178" t="str">
        <x:f t="shared" si="26"/>
      </x:c>
      <x:c r="BF68" s="122"/>
      <x:c r="BG68" s="177" t="str">
        <x:f t="shared" si="27"/>
      </x:c>
      <x:c r="BH68" s="122"/>
      <x:c r="BI68" s="177" t="str">
        <x:f t="shared" si="28"/>
      </x:c>
      <x:c r="BJ68" s="178" t="str">
        <x:f t="shared" si="29"/>
      </x:c>
    </x:row>
    <x:row r="69" ht="19.5" hidden="1" customHeight="1">
      <x:c r="A69" s="160"/>
      <x:c r="B69" s="179"/>
      <x:c r="C69" s="171"/>
      <x:c r="D69" s="172"/>
      <x:c r="E69" s="171"/>
      <x:c r="F69" s="173"/>
      <x:c r="G69" s="174"/>
      <x:c r="H69" s="175"/>
      <x:c r="I69" s="174"/>
      <x:c r="J69" s="176"/>
      <x:c r="K69" s="233"/>
      <x:c r="L69" s="233"/>
      <x:c r="M69" s="122"/>
      <x:c r="N69" s="177" t="str">
        <x:f t="shared" si="0"/>
      </x:c>
      <x:c r="O69" s="122"/>
      <x:c r="P69" s="177" t="str">
        <x:f t="shared" si="1"/>
      </x:c>
      <x:c r="Q69" s="178" t="str">
        <x:f t="shared" si="2"/>
      </x:c>
      <x:c r="R69" s="122"/>
      <x:c r="S69" s="177" t="str">
        <x:f t="shared" si="3"/>
      </x:c>
      <x:c r="T69" s="122"/>
      <x:c r="U69" s="177" t="str">
        <x:f t="shared" si="4"/>
      </x:c>
      <x:c r="V69" s="178" t="str">
        <x:f t="shared" si="5"/>
      </x:c>
      <x:c r="W69" s="122"/>
      <x:c r="X69" s="177" t="str">
        <x:f t="shared" si="6"/>
      </x:c>
      <x:c r="Y69" s="122"/>
      <x:c r="Z69" s="177" t="str">
        <x:f t="shared" si="7"/>
      </x:c>
      <x:c r="AA69" s="178" t="str">
        <x:f t="shared" si="8"/>
      </x:c>
      <x:c r="AB69" s="122"/>
      <x:c r="AC69" s="177" t="str">
        <x:f t="shared" si="9"/>
      </x:c>
      <x:c r="AD69" s="122"/>
      <x:c r="AE69" s="177" t="str">
        <x:f t="shared" si="10"/>
      </x:c>
      <x:c r="AF69" s="178" t="str">
        <x:f t="shared" si="11"/>
      </x:c>
      <x:c r="AG69" s="122"/>
      <x:c r="AH69" s="177" t="str">
        <x:f t="shared" si="12"/>
      </x:c>
      <x:c r="AI69" s="122"/>
      <x:c r="AJ69" s="177" t="str">
        <x:f t="shared" si="13"/>
      </x:c>
      <x:c r="AK69" s="178" t="str">
        <x:f t="shared" si="14"/>
      </x:c>
      <x:c r="AL69" s="122"/>
      <x:c r="AM69" s="177" t="str">
        <x:f t="shared" si="15"/>
      </x:c>
      <x:c r="AN69" s="122"/>
      <x:c r="AO69" s="177" t="str">
        <x:f t="shared" si="16"/>
      </x:c>
      <x:c r="AP69" s="178" t="str">
        <x:f t="shared" si="17"/>
      </x:c>
      <x:c r="AQ69" s="122"/>
      <x:c r="AR69" s="177" t="str">
        <x:f t="shared" si="18"/>
      </x:c>
      <x:c r="AS69" s="122"/>
      <x:c r="AT69" s="177" t="str">
        <x:f t="shared" si="19"/>
      </x:c>
      <x:c r="AU69" s="178" t="str">
        <x:f t="shared" si="20"/>
      </x:c>
      <x:c r="AV69" s="122"/>
      <x:c r="AW69" s="177" t="str">
        <x:f t="shared" si="21"/>
      </x:c>
      <x:c r="AX69" s="122"/>
      <x:c r="AY69" s="177" t="str">
        <x:f t="shared" si="22"/>
      </x:c>
      <x:c r="AZ69" s="178" t="str">
        <x:f t="shared" si="23"/>
      </x:c>
      <x:c r="BA69" s="122"/>
      <x:c r="BB69" s="177" t="str">
        <x:f t="shared" si="24"/>
      </x:c>
      <x:c r="BC69" s="122"/>
      <x:c r="BD69" s="177" t="str">
        <x:f t="shared" si="25"/>
      </x:c>
      <x:c r="BE69" s="178" t="str">
        <x:f t="shared" si="26"/>
      </x:c>
      <x:c r="BF69" s="122"/>
      <x:c r="BG69" s="177" t="str">
        <x:f t="shared" si="27"/>
      </x:c>
      <x:c r="BH69" s="122"/>
      <x:c r="BI69" s="177" t="str">
        <x:f t="shared" si="28"/>
      </x:c>
      <x:c r="BJ69" s="178" t="str">
        <x:f t="shared" si="29"/>
      </x:c>
    </x:row>
    <x:row r="70" ht="19.5" hidden="1" customHeight="1">
      <x:c r="A70" s="169"/>
      <x:c r="B70" s="170"/>
      <x:c r="C70" s="171"/>
      <x:c r="D70" s="172"/>
      <x:c r="E70" s="171"/>
      <x:c r="F70" s="173"/>
      <x:c r="G70" s="174"/>
      <x:c r="H70" s="175"/>
      <x:c r="I70" s="174"/>
      <x:c r="J70" s="176"/>
      <x:c r="K70" s="233"/>
      <x:c r="L70" s="233"/>
      <x:c r="M70" s="122"/>
      <x:c r="N70" s="177" t="str">
        <x:f t="shared" si="0"/>
      </x:c>
      <x:c r="O70" s="122"/>
      <x:c r="P70" s="177" t="str">
        <x:f t="shared" si="1"/>
      </x:c>
      <x:c r="Q70" s="178" t="str">
        <x:f t="shared" si="2"/>
      </x:c>
      <x:c r="R70" s="122"/>
      <x:c r="S70" s="177" t="str">
        <x:f t="shared" si="3"/>
      </x:c>
      <x:c r="T70" s="122"/>
      <x:c r="U70" s="177" t="str">
        <x:f t="shared" si="4"/>
      </x:c>
      <x:c r="V70" s="178" t="str">
        <x:f t="shared" si="5"/>
      </x:c>
      <x:c r="W70" s="122"/>
      <x:c r="X70" s="177" t="str">
        <x:f t="shared" si="6"/>
      </x:c>
      <x:c r="Y70" s="122"/>
      <x:c r="Z70" s="177" t="str">
        <x:f t="shared" si="7"/>
      </x:c>
      <x:c r="AA70" s="178" t="str">
        <x:f t="shared" si="8"/>
      </x:c>
      <x:c r="AB70" s="122"/>
      <x:c r="AC70" s="177" t="str">
        <x:f t="shared" si="9"/>
      </x:c>
      <x:c r="AD70" s="122"/>
      <x:c r="AE70" s="177" t="str">
        <x:f t="shared" si="10"/>
      </x:c>
      <x:c r="AF70" s="178" t="str">
        <x:f t="shared" si="11"/>
      </x:c>
      <x:c r="AG70" s="122"/>
      <x:c r="AH70" s="177" t="str">
        <x:f t="shared" si="12"/>
      </x:c>
      <x:c r="AI70" s="122"/>
      <x:c r="AJ70" s="177" t="str">
        <x:f t="shared" si="13"/>
      </x:c>
      <x:c r="AK70" s="178" t="str">
        <x:f t="shared" si="14"/>
      </x:c>
      <x:c r="AL70" s="122"/>
      <x:c r="AM70" s="177" t="str">
        <x:f t="shared" si="15"/>
      </x:c>
      <x:c r="AN70" s="122"/>
      <x:c r="AO70" s="177" t="str">
        <x:f t="shared" si="16"/>
      </x:c>
      <x:c r="AP70" s="178" t="str">
        <x:f t="shared" si="17"/>
      </x:c>
      <x:c r="AQ70" s="122"/>
      <x:c r="AR70" s="177" t="str">
        <x:f t="shared" si="18"/>
      </x:c>
      <x:c r="AS70" s="122"/>
      <x:c r="AT70" s="177" t="str">
        <x:f t="shared" si="19"/>
      </x:c>
      <x:c r="AU70" s="178" t="str">
        <x:f t="shared" si="20"/>
      </x:c>
      <x:c r="AV70" s="122"/>
      <x:c r="AW70" s="177" t="str">
        <x:f t="shared" si="21"/>
      </x:c>
      <x:c r="AX70" s="122"/>
      <x:c r="AY70" s="177" t="str">
        <x:f t="shared" si="22"/>
      </x:c>
      <x:c r="AZ70" s="178" t="str">
        <x:f t="shared" si="23"/>
      </x:c>
      <x:c r="BA70" s="122"/>
      <x:c r="BB70" s="177" t="str">
        <x:f t="shared" si="24"/>
      </x:c>
      <x:c r="BC70" s="122"/>
      <x:c r="BD70" s="177" t="str">
        <x:f t="shared" si="25"/>
      </x:c>
      <x:c r="BE70" s="178" t="str">
        <x:f t="shared" si="26"/>
      </x:c>
      <x:c r="BF70" s="122"/>
      <x:c r="BG70" s="177" t="str">
        <x:f t="shared" si="27"/>
      </x:c>
      <x:c r="BH70" s="122"/>
      <x:c r="BI70" s="177" t="str">
        <x:f t="shared" si="28"/>
      </x:c>
      <x:c r="BJ70" s="178" t="str">
        <x:f t="shared" si="29"/>
      </x:c>
    </x:row>
    <x:row r="71" ht="19.5" hidden="1" customHeight="1">
      <x:c r="A71" s="160"/>
      <x:c r="B71" s="179"/>
      <x:c r="C71" s="171"/>
      <x:c r="D71" s="172"/>
      <x:c r="E71" s="171"/>
      <x:c r="F71" s="173"/>
      <x:c r="G71" s="174"/>
      <x:c r="H71" s="175"/>
      <x:c r="I71" s="174"/>
      <x:c r="J71" s="176"/>
      <x:c r="K71" s="233"/>
      <x:c r="L71" s="233"/>
      <x:c r="M71" s="122"/>
      <x:c r="N71" s="177" t="str">
        <x:f t="shared" si="0"/>
      </x:c>
      <x:c r="O71" s="122"/>
      <x:c r="P71" s="177" t="str">
        <x:f t="shared" si="1"/>
      </x:c>
      <x:c r="Q71" s="178" t="str">
        <x:f t="shared" si="2"/>
      </x:c>
      <x:c r="R71" s="122"/>
      <x:c r="S71" s="177" t="str">
        <x:f t="shared" si="3"/>
      </x:c>
      <x:c r="T71" s="122"/>
      <x:c r="U71" s="177" t="str">
        <x:f t="shared" si="4"/>
      </x:c>
      <x:c r="V71" s="178" t="str">
        <x:f t="shared" si="5"/>
      </x:c>
      <x:c r="W71" s="122"/>
      <x:c r="X71" s="177" t="str">
        <x:f t="shared" si="6"/>
      </x:c>
      <x:c r="Y71" s="122"/>
      <x:c r="Z71" s="177" t="str">
        <x:f t="shared" si="7"/>
      </x:c>
      <x:c r="AA71" s="178" t="str">
        <x:f t="shared" si="8"/>
      </x:c>
      <x:c r="AB71" s="122"/>
      <x:c r="AC71" s="177" t="str">
        <x:f t="shared" si="9"/>
      </x:c>
      <x:c r="AD71" s="122"/>
      <x:c r="AE71" s="177" t="str">
        <x:f t="shared" si="10"/>
      </x:c>
      <x:c r="AF71" s="178" t="str">
        <x:f t="shared" si="11"/>
      </x:c>
      <x:c r="AG71" s="122"/>
      <x:c r="AH71" s="177" t="str">
        <x:f t="shared" si="12"/>
      </x:c>
      <x:c r="AI71" s="122"/>
      <x:c r="AJ71" s="177" t="str">
        <x:f t="shared" si="13"/>
      </x:c>
      <x:c r="AK71" s="178" t="str">
        <x:f t="shared" si="14"/>
      </x:c>
      <x:c r="AL71" s="122"/>
      <x:c r="AM71" s="177" t="str">
        <x:f t="shared" si="15"/>
      </x:c>
      <x:c r="AN71" s="122"/>
      <x:c r="AO71" s="177" t="str">
        <x:f t="shared" si="16"/>
      </x:c>
      <x:c r="AP71" s="178" t="str">
        <x:f t="shared" si="17"/>
      </x:c>
      <x:c r="AQ71" s="122"/>
      <x:c r="AR71" s="177" t="str">
        <x:f t="shared" si="18"/>
      </x:c>
      <x:c r="AS71" s="122"/>
      <x:c r="AT71" s="177" t="str">
        <x:f t="shared" si="19"/>
      </x:c>
      <x:c r="AU71" s="178" t="str">
        <x:f t="shared" si="20"/>
      </x:c>
      <x:c r="AV71" s="122"/>
      <x:c r="AW71" s="177" t="str">
        <x:f t="shared" si="21"/>
      </x:c>
      <x:c r="AX71" s="122"/>
      <x:c r="AY71" s="177" t="str">
        <x:f t="shared" si="22"/>
      </x:c>
      <x:c r="AZ71" s="178" t="str">
        <x:f t="shared" si="23"/>
      </x:c>
      <x:c r="BA71" s="122"/>
      <x:c r="BB71" s="177" t="str">
        <x:f t="shared" si="24"/>
      </x:c>
      <x:c r="BC71" s="122"/>
      <x:c r="BD71" s="177" t="str">
        <x:f t="shared" si="25"/>
      </x:c>
      <x:c r="BE71" s="178" t="str">
        <x:f t="shared" si="26"/>
      </x:c>
      <x:c r="BF71" s="122"/>
      <x:c r="BG71" s="177" t="str">
        <x:f t="shared" si="27"/>
      </x:c>
      <x:c r="BH71" s="122"/>
      <x:c r="BI71" s="177" t="str">
        <x:f t="shared" si="28"/>
      </x:c>
      <x:c r="BJ71" s="178" t="str">
        <x:f t="shared" si="29"/>
      </x:c>
    </x:row>
    <x:row r="72" ht="19.5" hidden="1" customHeight="1">
      <x:c r="A72" s="169"/>
      <x:c r="B72" s="170"/>
      <x:c r="C72" s="171"/>
      <x:c r="D72" s="172"/>
      <x:c r="E72" s="171"/>
      <x:c r="F72" s="173"/>
      <x:c r="G72" s="174"/>
      <x:c r="H72" s="175"/>
      <x:c r="I72" s="174"/>
      <x:c r="J72" s="176"/>
      <x:c r="K72" s="233"/>
      <x:c r="L72" s="233"/>
      <x:c r="M72" s="122"/>
      <x:c r="N72" s="177" t="str">
        <x:f t="shared" si="0"/>
      </x:c>
      <x:c r="O72" s="122"/>
      <x:c r="P72" s="177" t="str">
        <x:f t="shared" si="1"/>
      </x:c>
      <x:c r="Q72" s="178" t="str">
        <x:f t="shared" si="2"/>
      </x:c>
      <x:c r="R72" s="122"/>
      <x:c r="S72" s="177" t="str">
        <x:f t="shared" si="3"/>
      </x:c>
      <x:c r="T72" s="122"/>
      <x:c r="U72" s="177" t="str">
        <x:f t="shared" si="4"/>
      </x:c>
      <x:c r="V72" s="178" t="str">
        <x:f t="shared" si="5"/>
      </x:c>
      <x:c r="W72" s="122"/>
      <x:c r="X72" s="177" t="str">
        <x:f t="shared" si="6"/>
      </x:c>
      <x:c r="Y72" s="122"/>
      <x:c r="Z72" s="177" t="str">
        <x:f t="shared" si="7"/>
      </x:c>
      <x:c r="AA72" s="178" t="str">
        <x:f t="shared" si="8"/>
      </x:c>
      <x:c r="AB72" s="122"/>
      <x:c r="AC72" s="177" t="str">
        <x:f t="shared" si="9"/>
      </x:c>
      <x:c r="AD72" s="122"/>
      <x:c r="AE72" s="177" t="str">
        <x:f t="shared" si="10"/>
      </x:c>
      <x:c r="AF72" s="178" t="str">
        <x:f t="shared" si="11"/>
      </x:c>
      <x:c r="AG72" s="122"/>
      <x:c r="AH72" s="177" t="str">
        <x:f t="shared" si="12"/>
      </x:c>
      <x:c r="AI72" s="122"/>
      <x:c r="AJ72" s="177" t="str">
        <x:f t="shared" si="13"/>
      </x:c>
      <x:c r="AK72" s="178" t="str">
        <x:f t="shared" si="14"/>
      </x:c>
      <x:c r="AL72" s="122"/>
      <x:c r="AM72" s="177" t="str">
        <x:f t="shared" si="15"/>
      </x:c>
      <x:c r="AN72" s="122"/>
      <x:c r="AO72" s="177" t="str">
        <x:f t="shared" si="16"/>
      </x:c>
      <x:c r="AP72" s="178" t="str">
        <x:f t="shared" si="17"/>
      </x:c>
      <x:c r="AQ72" s="122"/>
      <x:c r="AR72" s="177" t="str">
        <x:f t="shared" si="18"/>
      </x:c>
      <x:c r="AS72" s="122"/>
      <x:c r="AT72" s="177" t="str">
        <x:f t="shared" si="19"/>
      </x:c>
      <x:c r="AU72" s="178" t="str">
        <x:f t="shared" si="20"/>
      </x:c>
      <x:c r="AV72" s="122"/>
      <x:c r="AW72" s="177" t="str">
        <x:f t="shared" si="21"/>
      </x:c>
      <x:c r="AX72" s="122"/>
      <x:c r="AY72" s="177" t="str">
        <x:f t="shared" si="22"/>
      </x:c>
      <x:c r="AZ72" s="178" t="str">
        <x:f t="shared" si="23"/>
      </x:c>
      <x:c r="BA72" s="122"/>
      <x:c r="BB72" s="177" t="str">
        <x:f t="shared" si="24"/>
      </x:c>
      <x:c r="BC72" s="122"/>
      <x:c r="BD72" s="177" t="str">
        <x:f t="shared" si="25"/>
      </x:c>
      <x:c r="BE72" s="178" t="str">
        <x:f t="shared" si="26"/>
      </x:c>
      <x:c r="BF72" s="122"/>
      <x:c r="BG72" s="177" t="str">
        <x:f t="shared" si="27"/>
      </x:c>
      <x:c r="BH72" s="122"/>
      <x:c r="BI72" s="177" t="str">
        <x:f t="shared" si="28"/>
      </x:c>
      <x:c r="BJ72" s="178" t="str">
        <x:f t="shared" si="29"/>
      </x:c>
    </x:row>
    <x:row r="73" ht="19.5" hidden="1" customHeight="1">
      <x:c r="A73" s="160"/>
      <x:c r="B73" s="179"/>
      <x:c r="C73" s="171"/>
      <x:c r="D73" s="172"/>
      <x:c r="E73" s="171"/>
      <x:c r="F73" s="173"/>
      <x:c r="G73" s="174"/>
      <x:c r="H73" s="175"/>
      <x:c r="I73" s="174"/>
      <x:c r="J73" s="176"/>
      <x:c r="K73" s="233"/>
      <x:c r="L73" s="233"/>
      <x:c r="M73" s="122"/>
      <x:c r="N73" s="177" t="str">
        <x:f t="shared" si="0"/>
      </x:c>
      <x:c r="O73" s="122"/>
      <x:c r="P73" s="177" t="str">
        <x:f t="shared" si="1"/>
      </x:c>
      <x:c r="Q73" s="178" t="str">
        <x:f t="shared" si="2"/>
      </x:c>
      <x:c r="R73" s="122"/>
      <x:c r="S73" s="177" t="str">
        <x:f t="shared" si="3"/>
      </x:c>
      <x:c r="T73" s="122"/>
      <x:c r="U73" s="177" t="str">
        <x:f t="shared" si="4"/>
      </x:c>
      <x:c r="V73" s="178" t="str">
        <x:f t="shared" si="5"/>
      </x:c>
      <x:c r="W73" s="122"/>
      <x:c r="X73" s="177" t="str">
        <x:f t="shared" si="6"/>
      </x:c>
      <x:c r="Y73" s="122"/>
      <x:c r="Z73" s="177" t="str">
        <x:f t="shared" si="7"/>
      </x:c>
      <x:c r="AA73" s="178" t="str">
        <x:f t="shared" si="8"/>
      </x:c>
      <x:c r="AB73" s="122"/>
      <x:c r="AC73" s="177" t="str">
        <x:f t="shared" si="9"/>
      </x:c>
      <x:c r="AD73" s="122"/>
      <x:c r="AE73" s="177" t="str">
        <x:f t="shared" si="10"/>
      </x:c>
      <x:c r="AF73" s="178" t="str">
        <x:f t="shared" si="11"/>
      </x:c>
      <x:c r="AG73" s="122"/>
      <x:c r="AH73" s="177" t="str">
        <x:f t="shared" si="12"/>
      </x:c>
      <x:c r="AI73" s="122"/>
      <x:c r="AJ73" s="177" t="str">
        <x:f t="shared" si="13"/>
      </x:c>
      <x:c r="AK73" s="178" t="str">
        <x:f t="shared" si="14"/>
      </x:c>
      <x:c r="AL73" s="122"/>
      <x:c r="AM73" s="177" t="str">
        <x:f t="shared" si="15"/>
      </x:c>
      <x:c r="AN73" s="122"/>
      <x:c r="AO73" s="177" t="str">
        <x:f t="shared" si="16"/>
      </x:c>
      <x:c r="AP73" s="178" t="str">
        <x:f t="shared" si="17"/>
      </x:c>
      <x:c r="AQ73" s="122"/>
      <x:c r="AR73" s="177" t="str">
        <x:f t="shared" si="18"/>
      </x:c>
      <x:c r="AS73" s="122"/>
      <x:c r="AT73" s="177" t="str">
        <x:f t="shared" si="19"/>
      </x:c>
      <x:c r="AU73" s="178" t="str">
        <x:f t="shared" si="20"/>
      </x:c>
      <x:c r="AV73" s="122"/>
      <x:c r="AW73" s="177" t="str">
        <x:f t="shared" si="21"/>
      </x:c>
      <x:c r="AX73" s="122"/>
      <x:c r="AY73" s="177" t="str">
        <x:f t="shared" si="22"/>
      </x:c>
      <x:c r="AZ73" s="178" t="str">
        <x:f t="shared" si="23"/>
      </x:c>
      <x:c r="BA73" s="122"/>
      <x:c r="BB73" s="177" t="str">
        <x:f t="shared" si="24"/>
      </x:c>
      <x:c r="BC73" s="122"/>
      <x:c r="BD73" s="177" t="str">
        <x:f t="shared" si="25"/>
      </x:c>
      <x:c r="BE73" s="178" t="str">
        <x:f t="shared" si="26"/>
      </x:c>
      <x:c r="BF73" s="122"/>
      <x:c r="BG73" s="177" t="str">
        <x:f t="shared" si="27"/>
      </x:c>
      <x:c r="BH73" s="122"/>
      <x:c r="BI73" s="177" t="str">
        <x:f t="shared" si="28"/>
      </x:c>
      <x:c r="BJ73" s="178" t="str">
        <x:f t="shared" si="29"/>
      </x:c>
    </x:row>
    <x:row r="74" ht="19.5" hidden="1" customHeight="1">
      <x:c r="A74" s="169"/>
      <x:c r="B74" s="170"/>
      <x:c r="C74" s="171"/>
      <x:c r="D74" s="172"/>
      <x:c r="E74" s="171"/>
      <x:c r="F74" s="173"/>
      <x:c r="G74" s="174"/>
      <x:c r="H74" s="175"/>
      <x:c r="I74" s="174"/>
      <x:c r="J74" s="176"/>
      <x:c r="K74" s="233"/>
      <x:c r="L74" s="233"/>
      <x:c r="M74" s="122"/>
      <x:c r="N74" s="177" t="str">
        <x:f t="shared" si="0"/>
      </x:c>
      <x:c r="O74" s="122"/>
      <x:c r="P74" s="177" t="str">
        <x:f t="shared" si="1"/>
      </x:c>
      <x:c r="Q74" s="178" t="str">
        <x:f t="shared" si="2"/>
      </x:c>
      <x:c r="R74" s="122"/>
      <x:c r="S74" s="177" t="str">
        <x:f t="shared" si="3"/>
      </x:c>
      <x:c r="T74" s="122"/>
      <x:c r="U74" s="177" t="str">
        <x:f t="shared" si="4"/>
      </x:c>
      <x:c r="V74" s="178" t="str">
        <x:f t="shared" si="5"/>
      </x:c>
      <x:c r="W74" s="122"/>
      <x:c r="X74" s="177" t="str">
        <x:f t="shared" si="6"/>
      </x:c>
      <x:c r="Y74" s="122"/>
      <x:c r="Z74" s="177" t="str">
        <x:f t="shared" si="7"/>
      </x:c>
      <x:c r="AA74" s="178" t="str">
        <x:f t="shared" si="8"/>
      </x:c>
      <x:c r="AB74" s="122"/>
      <x:c r="AC74" s="177" t="str">
        <x:f t="shared" si="9"/>
      </x:c>
      <x:c r="AD74" s="122"/>
      <x:c r="AE74" s="177" t="str">
        <x:f t="shared" si="10"/>
      </x:c>
      <x:c r="AF74" s="178" t="str">
        <x:f t="shared" si="11"/>
      </x:c>
      <x:c r="AG74" s="122"/>
      <x:c r="AH74" s="177" t="str">
        <x:f t="shared" si="12"/>
      </x:c>
      <x:c r="AI74" s="122"/>
      <x:c r="AJ74" s="177" t="str">
        <x:f t="shared" si="13"/>
      </x:c>
      <x:c r="AK74" s="178" t="str">
        <x:f t="shared" si="14"/>
      </x:c>
      <x:c r="AL74" s="122"/>
      <x:c r="AM74" s="177" t="str">
        <x:f t="shared" si="15"/>
      </x:c>
      <x:c r="AN74" s="122"/>
      <x:c r="AO74" s="177" t="str">
        <x:f t="shared" si="16"/>
      </x:c>
      <x:c r="AP74" s="178" t="str">
        <x:f t="shared" si="17"/>
      </x:c>
      <x:c r="AQ74" s="122"/>
      <x:c r="AR74" s="177" t="str">
        <x:f t="shared" si="18"/>
      </x:c>
      <x:c r="AS74" s="122"/>
      <x:c r="AT74" s="177" t="str">
        <x:f t="shared" si="19"/>
      </x:c>
      <x:c r="AU74" s="178" t="str">
        <x:f t="shared" si="20"/>
      </x:c>
      <x:c r="AV74" s="122"/>
      <x:c r="AW74" s="177" t="str">
        <x:f t="shared" si="21"/>
      </x:c>
      <x:c r="AX74" s="122"/>
      <x:c r="AY74" s="177" t="str">
        <x:f t="shared" si="22"/>
      </x:c>
      <x:c r="AZ74" s="178" t="str">
        <x:f t="shared" si="23"/>
      </x:c>
      <x:c r="BA74" s="122"/>
      <x:c r="BB74" s="177" t="str">
        <x:f t="shared" si="24"/>
      </x:c>
      <x:c r="BC74" s="122"/>
      <x:c r="BD74" s="177" t="str">
        <x:f t="shared" si="25"/>
      </x:c>
      <x:c r="BE74" s="178" t="str">
        <x:f t="shared" si="26"/>
      </x:c>
      <x:c r="BF74" s="122"/>
      <x:c r="BG74" s="177" t="str">
        <x:f t="shared" si="27"/>
      </x:c>
      <x:c r="BH74" s="122"/>
      <x:c r="BI74" s="177" t="str">
        <x:f t="shared" si="28"/>
      </x:c>
      <x:c r="BJ74" s="178" t="str">
        <x:f t="shared" si="29"/>
      </x:c>
    </x:row>
    <x:row r="75" ht="19.5" hidden="1" customHeight="1">
      <x:c r="A75" s="160"/>
      <x:c r="B75" s="179"/>
      <x:c r="C75" s="171"/>
      <x:c r="D75" s="172"/>
      <x:c r="E75" s="171"/>
      <x:c r="F75" s="173"/>
      <x:c r="G75" s="174"/>
      <x:c r="H75" s="175"/>
      <x:c r="I75" s="174"/>
      <x:c r="J75" s="176"/>
      <x:c r="K75" s="233"/>
      <x:c r="L75" s="233"/>
      <x:c r="M75" s="122"/>
      <x:c r="N75" s="177" t="str">
        <x:f t="shared" si="0"/>
      </x:c>
      <x:c r="O75" s="122"/>
      <x:c r="P75" s="177" t="str">
        <x:f t="shared" si="1"/>
      </x:c>
      <x:c r="Q75" s="178" t="str">
        <x:f t="shared" si="2"/>
      </x:c>
      <x:c r="R75" s="122"/>
      <x:c r="S75" s="177" t="str">
        <x:f t="shared" si="3"/>
      </x:c>
      <x:c r="T75" s="122"/>
      <x:c r="U75" s="177" t="str">
        <x:f t="shared" si="4"/>
      </x:c>
      <x:c r="V75" s="178" t="str">
        <x:f t="shared" si="5"/>
      </x:c>
      <x:c r="W75" s="122"/>
      <x:c r="X75" s="177" t="str">
        <x:f t="shared" si="6"/>
      </x:c>
      <x:c r="Y75" s="122"/>
      <x:c r="Z75" s="177" t="str">
        <x:f t="shared" si="7"/>
      </x:c>
      <x:c r="AA75" s="178" t="str">
        <x:f t="shared" si="8"/>
      </x:c>
      <x:c r="AB75" s="122"/>
      <x:c r="AC75" s="177" t="str">
        <x:f t="shared" si="9"/>
      </x:c>
      <x:c r="AD75" s="122"/>
      <x:c r="AE75" s="177" t="str">
        <x:f t="shared" si="10"/>
      </x:c>
      <x:c r="AF75" s="178" t="str">
        <x:f t="shared" si="11"/>
      </x:c>
      <x:c r="AG75" s="122"/>
      <x:c r="AH75" s="177" t="str">
        <x:f t="shared" si="12"/>
      </x:c>
      <x:c r="AI75" s="122"/>
      <x:c r="AJ75" s="177" t="str">
        <x:f t="shared" si="13"/>
      </x:c>
      <x:c r="AK75" s="178" t="str">
        <x:f t="shared" si="14"/>
      </x:c>
      <x:c r="AL75" s="122"/>
      <x:c r="AM75" s="177" t="str">
        <x:f t="shared" si="15"/>
      </x:c>
      <x:c r="AN75" s="122"/>
      <x:c r="AO75" s="177" t="str">
        <x:f t="shared" si="16"/>
      </x:c>
      <x:c r="AP75" s="178" t="str">
        <x:f t="shared" si="17"/>
      </x:c>
      <x:c r="AQ75" s="122"/>
      <x:c r="AR75" s="177" t="str">
        <x:f t="shared" si="18"/>
      </x:c>
      <x:c r="AS75" s="122"/>
      <x:c r="AT75" s="177" t="str">
        <x:f t="shared" si="19"/>
      </x:c>
      <x:c r="AU75" s="178" t="str">
        <x:f t="shared" si="20"/>
      </x:c>
      <x:c r="AV75" s="122"/>
      <x:c r="AW75" s="177" t="str">
        <x:f t="shared" si="21"/>
      </x:c>
      <x:c r="AX75" s="122"/>
      <x:c r="AY75" s="177" t="str">
        <x:f t="shared" si="22"/>
      </x:c>
      <x:c r="AZ75" s="178" t="str">
        <x:f t="shared" si="23"/>
      </x:c>
      <x:c r="BA75" s="122"/>
      <x:c r="BB75" s="177" t="str">
        <x:f t="shared" si="24"/>
      </x:c>
      <x:c r="BC75" s="122"/>
      <x:c r="BD75" s="177" t="str">
        <x:f t="shared" si="25"/>
      </x:c>
      <x:c r="BE75" s="178" t="str">
        <x:f t="shared" si="26"/>
      </x:c>
      <x:c r="BF75" s="122"/>
      <x:c r="BG75" s="177" t="str">
        <x:f t="shared" si="27"/>
      </x:c>
      <x:c r="BH75" s="122"/>
      <x:c r="BI75" s="177" t="str">
        <x:f t="shared" si="28"/>
      </x:c>
      <x:c r="BJ75" s="178" t="str">
        <x:f t="shared" si="29"/>
      </x:c>
    </x:row>
    <x:row r="76" ht="19.5" hidden="1" customHeight="1">
      <x:c r="A76" s="169"/>
      <x:c r="B76" s="170"/>
      <x:c r="C76" s="171"/>
      <x:c r="D76" s="172"/>
      <x:c r="E76" s="171"/>
      <x:c r="F76" s="173"/>
      <x:c r="G76" s="174"/>
      <x:c r="H76" s="175"/>
      <x:c r="I76" s="174"/>
      <x:c r="J76" s="176"/>
      <x:c r="K76" s="233"/>
      <x:c r="L76" s="233"/>
      <x:c r="M76" s="122"/>
      <x:c r="N76" s="177" t="str">
        <x:f t="shared" si="0"/>
      </x:c>
      <x:c r="O76" s="122"/>
      <x:c r="P76" s="177" t="str">
        <x:f t="shared" si="1"/>
      </x:c>
      <x:c r="Q76" s="178" t="str">
        <x:f t="shared" si="2"/>
      </x:c>
      <x:c r="R76" s="122"/>
      <x:c r="S76" s="177" t="str">
        <x:f t="shared" si="3"/>
      </x:c>
      <x:c r="T76" s="122"/>
      <x:c r="U76" s="177" t="str">
        <x:f t="shared" si="4"/>
      </x:c>
      <x:c r="V76" s="178" t="str">
        <x:f t="shared" si="5"/>
      </x:c>
      <x:c r="W76" s="122"/>
      <x:c r="X76" s="177" t="str">
        <x:f t="shared" si="6"/>
      </x:c>
      <x:c r="Y76" s="122"/>
      <x:c r="Z76" s="177" t="str">
        <x:f t="shared" si="7"/>
      </x:c>
      <x:c r="AA76" s="178" t="str">
        <x:f t="shared" si="8"/>
      </x:c>
      <x:c r="AB76" s="122"/>
      <x:c r="AC76" s="177" t="str">
        <x:f t="shared" si="9"/>
      </x:c>
      <x:c r="AD76" s="122"/>
      <x:c r="AE76" s="177" t="str">
        <x:f t="shared" si="10"/>
      </x:c>
      <x:c r="AF76" s="178" t="str">
        <x:f t="shared" si="11"/>
      </x:c>
      <x:c r="AG76" s="122"/>
      <x:c r="AH76" s="177" t="str">
        <x:f t="shared" si="12"/>
      </x:c>
      <x:c r="AI76" s="122"/>
      <x:c r="AJ76" s="177" t="str">
        <x:f t="shared" si="13"/>
      </x:c>
      <x:c r="AK76" s="178" t="str">
        <x:f t="shared" si="14"/>
      </x:c>
      <x:c r="AL76" s="122"/>
      <x:c r="AM76" s="177" t="str">
        <x:f t="shared" si="15"/>
      </x:c>
      <x:c r="AN76" s="122"/>
      <x:c r="AO76" s="177" t="str">
        <x:f t="shared" si="16"/>
      </x:c>
      <x:c r="AP76" s="178" t="str">
        <x:f t="shared" si="17"/>
      </x:c>
      <x:c r="AQ76" s="122"/>
      <x:c r="AR76" s="177" t="str">
        <x:f t="shared" si="18"/>
      </x:c>
      <x:c r="AS76" s="122"/>
      <x:c r="AT76" s="177" t="str">
        <x:f t="shared" si="19"/>
      </x:c>
      <x:c r="AU76" s="178" t="str">
        <x:f t="shared" si="20"/>
      </x:c>
      <x:c r="AV76" s="122"/>
      <x:c r="AW76" s="177" t="str">
        <x:f t="shared" si="21"/>
      </x:c>
      <x:c r="AX76" s="122"/>
      <x:c r="AY76" s="177" t="str">
        <x:f t="shared" si="22"/>
      </x:c>
      <x:c r="AZ76" s="178" t="str">
        <x:f t="shared" si="23"/>
      </x:c>
      <x:c r="BA76" s="122"/>
      <x:c r="BB76" s="177" t="str">
        <x:f t="shared" si="24"/>
      </x:c>
      <x:c r="BC76" s="122"/>
      <x:c r="BD76" s="177" t="str">
        <x:f t="shared" si="25"/>
      </x:c>
      <x:c r="BE76" s="178" t="str">
        <x:f t="shared" si="26"/>
      </x:c>
      <x:c r="BF76" s="122"/>
      <x:c r="BG76" s="177" t="str">
        <x:f t="shared" si="27"/>
      </x:c>
      <x:c r="BH76" s="122"/>
      <x:c r="BI76" s="177" t="str">
        <x:f t="shared" si="28"/>
      </x:c>
      <x:c r="BJ76" s="178" t="str">
        <x:f t="shared" si="29"/>
      </x:c>
    </x:row>
    <x:row r="77" ht="19.5" hidden="1" customHeight="1">
      <x:c r="A77" s="160"/>
      <x:c r="B77" s="179"/>
      <x:c r="C77" s="171"/>
      <x:c r="D77" s="172"/>
      <x:c r="E77" s="171"/>
      <x:c r="F77" s="173"/>
      <x:c r="G77" s="174"/>
      <x:c r="H77" s="175"/>
      <x:c r="I77" s="174"/>
      <x:c r="J77" s="176"/>
      <x:c r="K77" s="233"/>
      <x:c r="L77" s="233"/>
      <x:c r="M77" s="122"/>
      <x:c r="N77" s="177" t="str">
        <x:f t="shared" si="0"/>
      </x:c>
      <x:c r="O77" s="122"/>
      <x:c r="P77" s="177" t="str">
        <x:f t="shared" si="1"/>
      </x:c>
      <x:c r="Q77" s="178" t="str">
        <x:f t="shared" si="2"/>
      </x:c>
      <x:c r="R77" s="122"/>
      <x:c r="S77" s="177" t="str">
        <x:f t="shared" si="3"/>
      </x:c>
      <x:c r="T77" s="122"/>
      <x:c r="U77" s="177" t="str">
        <x:f t="shared" si="4"/>
      </x:c>
      <x:c r="V77" s="178" t="str">
        <x:f t="shared" si="5"/>
      </x:c>
      <x:c r="W77" s="122"/>
      <x:c r="X77" s="177" t="str">
        <x:f t="shared" si="6"/>
      </x:c>
      <x:c r="Y77" s="122"/>
      <x:c r="Z77" s="177" t="str">
        <x:f t="shared" si="7"/>
      </x:c>
      <x:c r="AA77" s="178" t="str">
        <x:f t="shared" si="8"/>
      </x:c>
      <x:c r="AB77" s="122"/>
      <x:c r="AC77" s="177" t="str">
        <x:f t="shared" si="9"/>
      </x:c>
      <x:c r="AD77" s="122"/>
      <x:c r="AE77" s="177" t="str">
        <x:f t="shared" si="10"/>
      </x:c>
      <x:c r="AF77" s="178" t="str">
        <x:f t="shared" si="11"/>
      </x:c>
      <x:c r="AG77" s="122"/>
      <x:c r="AH77" s="177" t="str">
        <x:f t="shared" si="12"/>
      </x:c>
      <x:c r="AI77" s="122"/>
      <x:c r="AJ77" s="177" t="str">
        <x:f t="shared" si="13"/>
      </x:c>
      <x:c r="AK77" s="178" t="str">
        <x:f t="shared" si="14"/>
      </x:c>
      <x:c r="AL77" s="122"/>
      <x:c r="AM77" s="177" t="str">
        <x:f t="shared" si="15"/>
      </x:c>
      <x:c r="AN77" s="122"/>
      <x:c r="AO77" s="177" t="str">
        <x:f t="shared" si="16"/>
      </x:c>
      <x:c r="AP77" s="178" t="str">
        <x:f t="shared" si="17"/>
      </x:c>
      <x:c r="AQ77" s="122"/>
      <x:c r="AR77" s="177" t="str">
        <x:f t="shared" si="18"/>
      </x:c>
      <x:c r="AS77" s="122"/>
      <x:c r="AT77" s="177" t="str">
        <x:f t="shared" si="19"/>
      </x:c>
      <x:c r="AU77" s="178" t="str">
        <x:f t="shared" si="20"/>
      </x:c>
      <x:c r="AV77" s="122"/>
      <x:c r="AW77" s="177" t="str">
        <x:f t="shared" si="21"/>
      </x:c>
      <x:c r="AX77" s="122"/>
      <x:c r="AY77" s="177" t="str">
        <x:f t="shared" si="22"/>
      </x:c>
      <x:c r="AZ77" s="178" t="str">
        <x:f t="shared" si="23"/>
      </x:c>
      <x:c r="BA77" s="122"/>
      <x:c r="BB77" s="177" t="str">
        <x:f t="shared" si="24"/>
      </x:c>
      <x:c r="BC77" s="122"/>
      <x:c r="BD77" s="177" t="str">
        <x:f t="shared" si="25"/>
      </x:c>
      <x:c r="BE77" s="178" t="str">
        <x:f t="shared" si="26"/>
      </x:c>
      <x:c r="BF77" s="122"/>
      <x:c r="BG77" s="177" t="str">
        <x:f t="shared" si="27"/>
      </x:c>
      <x:c r="BH77" s="122"/>
      <x:c r="BI77" s="177" t="str">
        <x:f t="shared" si="28"/>
      </x:c>
      <x:c r="BJ77" s="178" t="str">
        <x:f t="shared" si="29"/>
      </x:c>
    </x:row>
    <x:row r="78" ht="19.5" hidden="1" customHeight="1">
      <x:c r="A78" s="169"/>
      <x:c r="B78" s="170"/>
      <x:c r="C78" s="171"/>
      <x:c r="D78" s="172"/>
      <x:c r="E78" s="171"/>
      <x:c r="F78" s="173"/>
      <x:c r="G78" s="174"/>
      <x:c r="H78" s="175"/>
      <x:c r="I78" s="174"/>
      <x:c r="J78" s="176"/>
      <x:c r="K78" s="233"/>
      <x:c r="L78" s="233"/>
      <x:c r="M78" s="122"/>
      <x:c r="N78" s="177" t="str">
        <x:f t="shared" si="0"/>
      </x:c>
      <x:c r="O78" s="122"/>
      <x:c r="P78" s="177" t="str">
        <x:f t="shared" si="1"/>
      </x:c>
      <x:c r="Q78" s="178" t="str">
        <x:f t="shared" si="2"/>
      </x:c>
      <x:c r="R78" s="122"/>
      <x:c r="S78" s="177" t="str">
        <x:f t="shared" si="3"/>
      </x:c>
      <x:c r="T78" s="122"/>
      <x:c r="U78" s="177" t="str">
        <x:f t="shared" si="4"/>
      </x:c>
      <x:c r="V78" s="178" t="str">
        <x:f t="shared" si="5"/>
      </x:c>
      <x:c r="W78" s="122"/>
      <x:c r="X78" s="177" t="str">
        <x:f t="shared" si="6"/>
      </x:c>
      <x:c r="Y78" s="122"/>
      <x:c r="Z78" s="177" t="str">
        <x:f t="shared" si="7"/>
      </x:c>
      <x:c r="AA78" s="178" t="str">
        <x:f t="shared" si="8"/>
      </x:c>
      <x:c r="AB78" s="122"/>
      <x:c r="AC78" s="177" t="str">
        <x:f t="shared" si="9"/>
      </x:c>
      <x:c r="AD78" s="122"/>
      <x:c r="AE78" s="177" t="str">
        <x:f t="shared" si="10"/>
      </x:c>
      <x:c r="AF78" s="178" t="str">
        <x:f t="shared" si="11"/>
      </x:c>
      <x:c r="AG78" s="122"/>
      <x:c r="AH78" s="177" t="str">
        <x:f t="shared" si="12"/>
      </x:c>
      <x:c r="AI78" s="122"/>
      <x:c r="AJ78" s="177" t="str">
        <x:f t="shared" si="13"/>
      </x:c>
      <x:c r="AK78" s="178" t="str">
        <x:f t="shared" si="14"/>
      </x:c>
      <x:c r="AL78" s="122"/>
      <x:c r="AM78" s="177" t="str">
        <x:f t="shared" si="15"/>
      </x:c>
      <x:c r="AN78" s="122"/>
      <x:c r="AO78" s="177" t="str">
        <x:f t="shared" si="16"/>
      </x:c>
      <x:c r="AP78" s="178" t="str">
        <x:f t="shared" si="17"/>
      </x:c>
      <x:c r="AQ78" s="122"/>
      <x:c r="AR78" s="177" t="str">
        <x:f t="shared" si="18"/>
      </x:c>
      <x:c r="AS78" s="122"/>
      <x:c r="AT78" s="177" t="str">
        <x:f t="shared" si="19"/>
      </x:c>
      <x:c r="AU78" s="178" t="str">
        <x:f t="shared" si="20"/>
      </x:c>
      <x:c r="AV78" s="122"/>
      <x:c r="AW78" s="177" t="str">
        <x:f t="shared" si="21"/>
      </x:c>
      <x:c r="AX78" s="122"/>
      <x:c r="AY78" s="177" t="str">
        <x:f t="shared" si="22"/>
      </x:c>
      <x:c r="AZ78" s="178" t="str">
        <x:f t="shared" si="23"/>
      </x:c>
      <x:c r="BA78" s="122"/>
      <x:c r="BB78" s="177" t="str">
        <x:f t="shared" si="24"/>
      </x:c>
      <x:c r="BC78" s="122"/>
      <x:c r="BD78" s="177" t="str">
        <x:f t="shared" si="25"/>
      </x:c>
      <x:c r="BE78" s="178" t="str">
        <x:f t="shared" si="26"/>
      </x:c>
      <x:c r="BF78" s="122"/>
      <x:c r="BG78" s="177" t="str">
        <x:f t="shared" si="27"/>
      </x:c>
      <x:c r="BH78" s="122"/>
      <x:c r="BI78" s="177" t="str">
        <x:f t="shared" si="28"/>
      </x:c>
      <x:c r="BJ78" s="178" t="str">
        <x:f t="shared" si="29"/>
      </x:c>
    </x:row>
    <x:row r="79" ht="19.5" hidden="1" customHeight="1">
      <x:c r="A79" s="160"/>
      <x:c r="B79" s="179"/>
      <x:c r="C79" s="171"/>
      <x:c r="D79" s="172"/>
      <x:c r="E79" s="171"/>
      <x:c r="F79" s="173"/>
      <x:c r="G79" s="174"/>
      <x:c r="H79" s="175"/>
      <x:c r="I79" s="174"/>
      <x:c r="J79" s="176"/>
      <x:c r="K79" s="233"/>
      <x:c r="L79" s="233"/>
      <x:c r="M79" s="122"/>
      <x:c r="N79" s="177" t="str">
        <x:f t="shared" si="0"/>
      </x:c>
      <x:c r="O79" s="122"/>
      <x:c r="P79" s="177" t="str">
        <x:f t="shared" si="1"/>
      </x:c>
      <x:c r="Q79" s="178" t="str">
        <x:f t="shared" si="2"/>
      </x:c>
      <x:c r="R79" s="122"/>
      <x:c r="S79" s="177" t="str">
        <x:f t="shared" si="3"/>
      </x:c>
      <x:c r="T79" s="122"/>
      <x:c r="U79" s="177" t="str">
        <x:f t="shared" si="4"/>
      </x:c>
      <x:c r="V79" s="178" t="str">
        <x:f t="shared" si="5"/>
      </x:c>
      <x:c r="W79" s="122"/>
      <x:c r="X79" s="177" t="str">
        <x:f t="shared" si="6"/>
      </x:c>
      <x:c r="Y79" s="122"/>
      <x:c r="Z79" s="177" t="str">
        <x:f t="shared" si="7"/>
      </x:c>
      <x:c r="AA79" s="178" t="str">
        <x:f t="shared" si="8"/>
      </x:c>
      <x:c r="AB79" s="122"/>
      <x:c r="AC79" s="177" t="str">
        <x:f t="shared" si="9"/>
      </x:c>
      <x:c r="AD79" s="122"/>
      <x:c r="AE79" s="177" t="str">
        <x:f t="shared" si="10"/>
      </x:c>
      <x:c r="AF79" s="178" t="str">
        <x:f t="shared" si="11"/>
      </x:c>
      <x:c r="AG79" s="122"/>
      <x:c r="AH79" s="177" t="str">
        <x:f t="shared" si="12"/>
      </x:c>
      <x:c r="AI79" s="122"/>
      <x:c r="AJ79" s="177" t="str">
        <x:f t="shared" si="13"/>
      </x:c>
      <x:c r="AK79" s="178" t="str">
        <x:f t="shared" si="14"/>
      </x:c>
      <x:c r="AL79" s="122"/>
      <x:c r="AM79" s="177" t="str">
        <x:f t="shared" si="15"/>
      </x:c>
      <x:c r="AN79" s="122"/>
      <x:c r="AO79" s="177" t="str">
        <x:f t="shared" si="16"/>
      </x:c>
      <x:c r="AP79" s="178" t="str">
        <x:f t="shared" si="17"/>
      </x:c>
      <x:c r="AQ79" s="122"/>
      <x:c r="AR79" s="177" t="str">
        <x:f t="shared" si="18"/>
      </x:c>
      <x:c r="AS79" s="122"/>
      <x:c r="AT79" s="177" t="str">
        <x:f t="shared" si="19"/>
      </x:c>
      <x:c r="AU79" s="178" t="str">
        <x:f t="shared" si="20"/>
      </x:c>
      <x:c r="AV79" s="122"/>
      <x:c r="AW79" s="177" t="str">
        <x:f t="shared" si="21"/>
      </x:c>
      <x:c r="AX79" s="122"/>
      <x:c r="AY79" s="177" t="str">
        <x:f t="shared" si="22"/>
      </x:c>
      <x:c r="AZ79" s="178" t="str">
        <x:f t="shared" si="23"/>
      </x:c>
      <x:c r="BA79" s="122"/>
      <x:c r="BB79" s="177" t="str">
        <x:f t="shared" si="24"/>
      </x:c>
      <x:c r="BC79" s="122"/>
      <x:c r="BD79" s="177" t="str">
        <x:f t="shared" si="25"/>
      </x:c>
      <x:c r="BE79" s="178" t="str">
        <x:f t="shared" si="26"/>
      </x:c>
      <x:c r="BF79" s="122"/>
      <x:c r="BG79" s="177" t="str">
        <x:f t="shared" si="27"/>
      </x:c>
      <x:c r="BH79" s="122"/>
      <x:c r="BI79" s="177" t="str">
        <x:f t="shared" si="28"/>
      </x:c>
      <x:c r="BJ79" s="178" t="str">
        <x:f t="shared" si="29"/>
      </x:c>
    </x:row>
    <x:row r="80" ht="19.5" hidden="1" customHeight="1">
      <x:c r="A80" s="169"/>
      <x:c r="B80" s="170"/>
      <x:c r="C80" s="171"/>
      <x:c r="D80" s="172"/>
      <x:c r="E80" s="171"/>
      <x:c r="F80" s="173"/>
      <x:c r="G80" s="174"/>
      <x:c r="H80" s="175"/>
      <x:c r="I80" s="174"/>
      <x:c r="J80" s="176"/>
      <x:c r="K80" s="233"/>
      <x:c r="L80" s="233"/>
      <x:c r="M80" s="122"/>
      <x:c r="N80" s="177" t="str">
        <x:f t="shared" si="0"/>
      </x:c>
      <x:c r="O80" s="122"/>
      <x:c r="P80" s="177" t="str">
        <x:f t="shared" si="1"/>
      </x:c>
      <x:c r="Q80" s="178" t="str">
        <x:f t="shared" si="2"/>
      </x:c>
      <x:c r="R80" s="122"/>
      <x:c r="S80" s="177" t="str">
        <x:f t="shared" si="3"/>
      </x:c>
      <x:c r="T80" s="122"/>
      <x:c r="U80" s="177" t="str">
        <x:f t="shared" si="4"/>
      </x:c>
      <x:c r="V80" s="178" t="str">
        <x:f t="shared" si="5"/>
      </x:c>
      <x:c r="W80" s="122"/>
      <x:c r="X80" s="177" t="str">
        <x:f t="shared" si="6"/>
      </x:c>
      <x:c r="Y80" s="122"/>
      <x:c r="Z80" s="177" t="str">
        <x:f t="shared" si="7"/>
      </x:c>
      <x:c r="AA80" s="178" t="str">
        <x:f t="shared" si="8"/>
      </x:c>
      <x:c r="AB80" s="122"/>
      <x:c r="AC80" s="177" t="str">
        <x:f t="shared" si="9"/>
      </x:c>
      <x:c r="AD80" s="122"/>
      <x:c r="AE80" s="177" t="str">
        <x:f t="shared" si="10"/>
      </x:c>
      <x:c r="AF80" s="178" t="str">
        <x:f t="shared" si="11"/>
      </x:c>
      <x:c r="AG80" s="122"/>
      <x:c r="AH80" s="177" t="str">
        <x:f t="shared" si="12"/>
      </x:c>
      <x:c r="AI80" s="122"/>
      <x:c r="AJ80" s="177" t="str">
        <x:f t="shared" si="13"/>
      </x:c>
      <x:c r="AK80" s="178" t="str">
        <x:f t="shared" si="14"/>
      </x:c>
      <x:c r="AL80" s="122"/>
      <x:c r="AM80" s="177" t="str">
        <x:f t="shared" si="15"/>
      </x:c>
      <x:c r="AN80" s="122"/>
      <x:c r="AO80" s="177" t="str">
        <x:f t="shared" si="16"/>
      </x:c>
      <x:c r="AP80" s="178" t="str">
        <x:f t="shared" si="17"/>
      </x:c>
      <x:c r="AQ80" s="122"/>
      <x:c r="AR80" s="177" t="str">
        <x:f t="shared" si="18"/>
      </x:c>
      <x:c r="AS80" s="122"/>
      <x:c r="AT80" s="177" t="str">
        <x:f t="shared" si="19"/>
      </x:c>
      <x:c r="AU80" s="178" t="str">
        <x:f t="shared" si="20"/>
      </x:c>
      <x:c r="AV80" s="122"/>
      <x:c r="AW80" s="177" t="str">
        <x:f t="shared" si="21"/>
      </x:c>
      <x:c r="AX80" s="122"/>
      <x:c r="AY80" s="177" t="str">
        <x:f t="shared" si="22"/>
      </x:c>
      <x:c r="AZ80" s="178" t="str">
        <x:f t="shared" si="23"/>
      </x:c>
      <x:c r="BA80" s="122"/>
      <x:c r="BB80" s="177" t="str">
        <x:f t="shared" si="24"/>
      </x:c>
      <x:c r="BC80" s="122"/>
      <x:c r="BD80" s="177" t="str">
        <x:f t="shared" si="25"/>
      </x:c>
      <x:c r="BE80" s="178" t="str">
        <x:f t="shared" si="26"/>
      </x:c>
      <x:c r="BF80" s="122"/>
      <x:c r="BG80" s="177" t="str">
        <x:f t="shared" si="27"/>
      </x:c>
      <x:c r="BH80" s="122"/>
      <x:c r="BI80" s="177" t="str">
        <x:f t="shared" si="28"/>
      </x:c>
      <x:c r="BJ80" s="178" t="str">
        <x:f t="shared" si="29"/>
      </x:c>
    </x:row>
    <x:row r="81" ht="19.5" hidden="1" customHeight="1">
      <x:c r="A81" s="160"/>
      <x:c r="B81" s="179"/>
      <x:c r="C81" s="171"/>
      <x:c r="D81" s="172"/>
      <x:c r="E81" s="171"/>
      <x:c r="F81" s="173"/>
      <x:c r="G81" s="174"/>
      <x:c r="H81" s="175"/>
      <x:c r="I81" s="174"/>
      <x:c r="J81" s="176"/>
      <x:c r="K81" s="233"/>
      <x:c r="L81" s="233"/>
      <x:c r="M81" s="122"/>
      <x:c r="N81" s="177" t="str">
        <x:f t="shared" si="0"/>
      </x:c>
      <x:c r="O81" s="122"/>
      <x:c r="P81" s="177" t="str">
        <x:f t="shared" si="1"/>
      </x:c>
      <x:c r="Q81" s="178" t="str">
        <x:f t="shared" si="2"/>
      </x:c>
      <x:c r="R81" s="122"/>
      <x:c r="S81" s="177" t="str">
        <x:f t="shared" si="3"/>
      </x:c>
      <x:c r="T81" s="122"/>
      <x:c r="U81" s="177" t="str">
        <x:f t="shared" si="4"/>
      </x:c>
      <x:c r="V81" s="178" t="str">
        <x:f t="shared" si="5"/>
      </x:c>
      <x:c r="W81" s="122"/>
      <x:c r="X81" s="177" t="str">
        <x:f t="shared" si="6"/>
      </x:c>
      <x:c r="Y81" s="122"/>
      <x:c r="Z81" s="177" t="str">
        <x:f t="shared" si="7"/>
      </x:c>
      <x:c r="AA81" s="178" t="str">
        <x:f t="shared" si="8"/>
      </x:c>
      <x:c r="AB81" s="122"/>
      <x:c r="AC81" s="177" t="str">
        <x:f t="shared" si="9"/>
      </x:c>
      <x:c r="AD81" s="122"/>
      <x:c r="AE81" s="177" t="str">
        <x:f t="shared" si="10"/>
      </x:c>
      <x:c r="AF81" s="178" t="str">
        <x:f t="shared" si="11"/>
      </x:c>
      <x:c r="AG81" s="122"/>
      <x:c r="AH81" s="177" t="str">
        <x:f t="shared" si="12"/>
      </x:c>
      <x:c r="AI81" s="122"/>
      <x:c r="AJ81" s="177" t="str">
        <x:f t="shared" si="13"/>
      </x:c>
      <x:c r="AK81" s="178" t="str">
        <x:f t="shared" si="14"/>
      </x:c>
      <x:c r="AL81" s="122"/>
      <x:c r="AM81" s="177" t="str">
        <x:f t="shared" si="15"/>
      </x:c>
      <x:c r="AN81" s="122"/>
      <x:c r="AO81" s="177" t="str">
        <x:f t="shared" si="16"/>
      </x:c>
      <x:c r="AP81" s="178" t="str">
        <x:f t="shared" si="17"/>
      </x:c>
      <x:c r="AQ81" s="122"/>
      <x:c r="AR81" s="177" t="str">
        <x:f t="shared" si="18"/>
      </x:c>
      <x:c r="AS81" s="122"/>
      <x:c r="AT81" s="177" t="str">
        <x:f t="shared" si="19"/>
      </x:c>
      <x:c r="AU81" s="178" t="str">
        <x:f t="shared" si="20"/>
      </x:c>
      <x:c r="AV81" s="122"/>
      <x:c r="AW81" s="177" t="str">
        <x:f t="shared" si="21"/>
      </x:c>
      <x:c r="AX81" s="122"/>
      <x:c r="AY81" s="177" t="str">
        <x:f t="shared" si="22"/>
      </x:c>
      <x:c r="AZ81" s="178" t="str">
        <x:f t="shared" si="23"/>
      </x:c>
      <x:c r="BA81" s="122"/>
      <x:c r="BB81" s="177" t="str">
        <x:f t="shared" si="24"/>
      </x:c>
      <x:c r="BC81" s="122"/>
      <x:c r="BD81" s="177" t="str">
        <x:f t="shared" si="25"/>
      </x:c>
      <x:c r="BE81" s="178" t="str">
        <x:f t="shared" si="26"/>
      </x:c>
      <x:c r="BF81" s="122"/>
      <x:c r="BG81" s="177" t="str">
        <x:f t="shared" si="27"/>
      </x:c>
      <x:c r="BH81" s="122"/>
      <x:c r="BI81" s="177" t="str">
        <x:f t="shared" si="28"/>
      </x:c>
      <x:c r="BJ81" s="178" t="str">
        <x:f t="shared" si="29"/>
      </x:c>
    </x:row>
    <x:row r="82" ht="19.5" hidden="1" customHeight="1">
      <x:c r="A82" s="169"/>
      <x:c r="B82" s="170"/>
      <x:c r="C82" s="171"/>
      <x:c r="D82" s="172"/>
      <x:c r="E82" s="171"/>
      <x:c r="F82" s="173"/>
      <x:c r="G82" s="174"/>
      <x:c r="H82" s="175"/>
      <x:c r="I82" s="174"/>
      <x:c r="J82" s="176"/>
      <x:c r="K82" s="233"/>
      <x:c r="L82" s="233"/>
      <x:c r="M82" s="122"/>
      <x:c r="N82" s="177" t="str">
        <x:f t="shared" si="0"/>
      </x:c>
      <x:c r="O82" s="122"/>
      <x:c r="P82" s="177" t="str">
        <x:f t="shared" si="1"/>
      </x:c>
      <x:c r="Q82" s="178" t="str">
        <x:f t="shared" si="2"/>
      </x:c>
      <x:c r="R82" s="122"/>
      <x:c r="S82" s="177" t="str">
        <x:f t="shared" si="3"/>
      </x:c>
      <x:c r="T82" s="122"/>
      <x:c r="U82" s="177" t="str">
        <x:f t="shared" si="4"/>
      </x:c>
      <x:c r="V82" s="178" t="str">
        <x:f t="shared" si="5"/>
      </x:c>
      <x:c r="W82" s="122"/>
      <x:c r="X82" s="177" t="str">
        <x:f t="shared" si="6"/>
      </x:c>
      <x:c r="Y82" s="122"/>
      <x:c r="Z82" s="177" t="str">
        <x:f t="shared" si="7"/>
      </x:c>
      <x:c r="AA82" s="178" t="str">
        <x:f t="shared" si="8"/>
      </x:c>
      <x:c r="AB82" s="122"/>
      <x:c r="AC82" s="177" t="str">
        <x:f t="shared" si="9"/>
      </x:c>
      <x:c r="AD82" s="122"/>
      <x:c r="AE82" s="177" t="str">
        <x:f t="shared" si="10"/>
      </x:c>
      <x:c r="AF82" s="178" t="str">
        <x:f t="shared" si="11"/>
      </x:c>
      <x:c r="AG82" s="122"/>
      <x:c r="AH82" s="177" t="str">
        <x:f t="shared" si="12"/>
      </x:c>
      <x:c r="AI82" s="122"/>
      <x:c r="AJ82" s="177" t="str">
        <x:f t="shared" si="13"/>
      </x:c>
      <x:c r="AK82" s="178" t="str">
        <x:f t="shared" si="14"/>
      </x:c>
      <x:c r="AL82" s="122"/>
      <x:c r="AM82" s="177" t="str">
        <x:f t="shared" si="15"/>
      </x:c>
      <x:c r="AN82" s="122"/>
      <x:c r="AO82" s="177" t="str">
        <x:f t="shared" si="16"/>
      </x:c>
      <x:c r="AP82" s="178" t="str">
        <x:f t="shared" si="17"/>
      </x:c>
      <x:c r="AQ82" s="122"/>
      <x:c r="AR82" s="177" t="str">
        <x:f t="shared" si="18"/>
      </x:c>
      <x:c r="AS82" s="122"/>
      <x:c r="AT82" s="177" t="str">
        <x:f t="shared" si="19"/>
      </x:c>
      <x:c r="AU82" s="178" t="str">
        <x:f t="shared" si="20"/>
      </x:c>
      <x:c r="AV82" s="122"/>
      <x:c r="AW82" s="177" t="str">
        <x:f t="shared" si="21"/>
      </x:c>
      <x:c r="AX82" s="122"/>
      <x:c r="AY82" s="177" t="str">
        <x:f t="shared" si="22"/>
      </x:c>
      <x:c r="AZ82" s="178" t="str">
        <x:f t="shared" si="23"/>
      </x:c>
      <x:c r="BA82" s="122"/>
      <x:c r="BB82" s="177" t="str">
        <x:f t="shared" si="24"/>
      </x:c>
      <x:c r="BC82" s="122"/>
      <x:c r="BD82" s="177" t="str">
        <x:f t="shared" si="25"/>
      </x:c>
      <x:c r="BE82" s="178" t="str">
        <x:f t="shared" si="26"/>
      </x:c>
      <x:c r="BF82" s="122"/>
      <x:c r="BG82" s="177" t="str">
        <x:f t="shared" si="27"/>
      </x:c>
      <x:c r="BH82" s="122"/>
      <x:c r="BI82" s="177" t="str">
        <x:f t="shared" si="28"/>
      </x:c>
      <x:c r="BJ82" s="178" t="str">
        <x:f t="shared" si="29"/>
      </x:c>
    </x:row>
    <x:row r="83" ht="19.5" hidden="1" customHeight="1">
      <x:c r="A83" s="160"/>
      <x:c r="B83" s="179"/>
      <x:c r="C83" s="171"/>
      <x:c r="D83" s="172"/>
      <x:c r="E83" s="171"/>
      <x:c r="F83" s="173"/>
      <x:c r="G83" s="174"/>
      <x:c r="H83" s="175"/>
      <x:c r="I83" s="174"/>
      <x:c r="J83" s="176"/>
      <x:c r="K83" s="233"/>
      <x:c r="L83" s="233"/>
      <x:c r="M83" s="122"/>
      <x:c r="N83" s="177" t="str">
        <x:f t="shared" si="0"/>
      </x:c>
      <x:c r="O83" s="122"/>
      <x:c r="P83" s="177" t="str">
        <x:f t="shared" si="1"/>
      </x:c>
      <x:c r="Q83" s="178" t="str">
        <x:f t="shared" si="2"/>
      </x:c>
      <x:c r="R83" s="122"/>
      <x:c r="S83" s="177" t="str">
        <x:f t="shared" si="3"/>
      </x:c>
      <x:c r="T83" s="122"/>
      <x:c r="U83" s="177" t="str">
        <x:f t="shared" si="4"/>
      </x:c>
      <x:c r="V83" s="178" t="str">
        <x:f t="shared" si="5"/>
      </x:c>
      <x:c r="W83" s="122"/>
      <x:c r="X83" s="177" t="str">
        <x:f t="shared" si="6"/>
      </x:c>
      <x:c r="Y83" s="122"/>
      <x:c r="Z83" s="177" t="str">
        <x:f t="shared" si="7"/>
      </x:c>
      <x:c r="AA83" s="178" t="str">
        <x:f t="shared" si="8"/>
      </x:c>
      <x:c r="AB83" s="122"/>
      <x:c r="AC83" s="177" t="str">
        <x:f t="shared" si="9"/>
      </x:c>
      <x:c r="AD83" s="122"/>
      <x:c r="AE83" s="177" t="str">
        <x:f t="shared" si="10"/>
      </x:c>
      <x:c r="AF83" s="178" t="str">
        <x:f t="shared" si="11"/>
      </x:c>
      <x:c r="AG83" s="122"/>
      <x:c r="AH83" s="177" t="str">
        <x:f t="shared" si="12"/>
      </x:c>
      <x:c r="AI83" s="122"/>
      <x:c r="AJ83" s="177" t="str">
        <x:f t="shared" si="13"/>
      </x:c>
      <x:c r="AK83" s="178" t="str">
        <x:f t="shared" si="14"/>
      </x:c>
      <x:c r="AL83" s="122"/>
      <x:c r="AM83" s="177" t="str">
        <x:f t="shared" si="15"/>
      </x:c>
      <x:c r="AN83" s="122"/>
      <x:c r="AO83" s="177" t="str">
        <x:f t="shared" si="16"/>
      </x:c>
      <x:c r="AP83" s="178" t="str">
        <x:f t="shared" si="17"/>
      </x:c>
      <x:c r="AQ83" s="122"/>
      <x:c r="AR83" s="177" t="str">
        <x:f t="shared" si="18"/>
      </x:c>
      <x:c r="AS83" s="122"/>
      <x:c r="AT83" s="177" t="str">
        <x:f t="shared" si="19"/>
      </x:c>
      <x:c r="AU83" s="178" t="str">
        <x:f t="shared" si="20"/>
      </x:c>
      <x:c r="AV83" s="122"/>
      <x:c r="AW83" s="177" t="str">
        <x:f t="shared" si="21"/>
      </x:c>
      <x:c r="AX83" s="122"/>
      <x:c r="AY83" s="177" t="str">
        <x:f t="shared" si="22"/>
      </x:c>
      <x:c r="AZ83" s="178" t="str">
        <x:f t="shared" si="23"/>
      </x:c>
      <x:c r="BA83" s="122"/>
      <x:c r="BB83" s="177" t="str">
        <x:f t="shared" si="24"/>
      </x:c>
      <x:c r="BC83" s="122"/>
      <x:c r="BD83" s="177" t="str">
        <x:f t="shared" si="25"/>
      </x:c>
      <x:c r="BE83" s="178" t="str">
        <x:f t="shared" si="26"/>
      </x:c>
      <x:c r="BF83" s="122"/>
      <x:c r="BG83" s="177" t="str">
        <x:f t="shared" si="27"/>
      </x:c>
      <x:c r="BH83" s="122"/>
      <x:c r="BI83" s="177" t="str">
        <x:f t="shared" si="28"/>
      </x:c>
      <x:c r="BJ83" s="178" t="str">
        <x:f t="shared" si="29"/>
      </x:c>
    </x:row>
    <x:row r="84" ht="19.5" hidden="1" customHeight="1">
      <x:c r="A84" s="169"/>
      <x:c r="B84" s="170"/>
      <x:c r="C84" s="171"/>
      <x:c r="D84" s="172"/>
      <x:c r="E84" s="171"/>
      <x:c r="F84" s="173"/>
      <x:c r="G84" s="174"/>
      <x:c r="H84" s="175"/>
      <x:c r="I84" s="174"/>
      <x:c r="J84" s="176"/>
      <x:c r="K84" s="233"/>
      <x:c r="L84" s="233"/>
      <x:c r="M84" s="122"/>
      <x:c r="N84" s="177" t="str">
        <x:f t="shared" ref="N84:N147" si="30">IF(B84&lt;&gt;"",IF(M84="","",IF(M84&lt;0.5,1,IF(AND(M84&gt;=0.5,M84&lt;P$10),2,IF(M84&gt;=P$10,3)))),"")</x:f>
      </x:c>
      <x:c r="O84" s="122"/>
      <x:c r="P84" s="177" t="str">
        <x:f t="shared" ref="P84:P147" si="31">IF(B84&lt;&gt;"",IF(O84="","",IF(O84&lt;0.5,1,IF(AND(O84&gt;=0.5,O84&lt;P$10),2,IF(O84&gt;=P$10,3)))),"")</x:f>
      </x:c>
      <x:c r="Q84" s="178" t="str">
        <x:f t="shared" ref="Q84:Q147" si="32">IF(B84 &lt;&gt; "",IFERROR(IF(AVERAGE(M84,O84)&gt;=P$10,"Y","N"),""),"")</x:f>
      </x:c>
      <x:c r="R84" s="122"/>
      <x:c r="S84" s="177" t="str">
        <x:f t="shared" ref="S84:S147" si="33">IF(B84&lt;&gt;"",IF(R84="","",IF(R84&lt;0.5,1,IF(AND(R84&gt;=0.5,R84&lt;P$10),2,IF(R84&gt;=P$10,3)))),"")</x:f>
      </x:c>
      <x:c r="T84" s="122"/>
      <x:c r="U84" s="177" t="str">
        <x:f t="shared" ref="U84:U147" si="34">IF(B84&lt;&gt;"",IF(T84="","",IF(T84&lt;0.5,1,IF(AND(T84&gt;=0.5,T84&lt;P$10),2,IF(T84&gt;=P$10,3)))),"")</x:f>
      </x:c>
      <x:c r="V84" s="178" t="str">
        <x:f t="shared" ref="V84:V147" si="35">IF(B84 &lt;&gt; "",IFERROR(IF(AVERAGE(R84,T84)&gt;=P$10,"Y","N"),""),"")</x:f>
      </x:c>
      <x:c r="W84" s="122"/>
      <x:c r="X84" s="177" t="str">
        <x:f t="shared" ref="X84:X147" si="36">IF(B84&lt;&gt;"",IF(W84="","",IF(W84&lt;0.5,1,IF(AND(W84&gt;=0.5,W84&lt;P$10),2,IF(W84&gt;=P$10,3)))),"")</x:f>
      </x:c>
      <x:c r="Y84" s="122"/>
      <x:c r="Z84" s="177" t="str">
        <x:f t="shared" ref="Z84:Z147" si="37">IF(B84&lt;&gt;"",IF(Y84="","",IF(Y84&lt;0.5,1,IF(AND(Y84&gt;=0.5,Y84&lt;P$10),2,IF(Y84&gt;=P$10,3)))),"")</x:f>
      </x:c>
      <x:c r="AA84" s="178" t="str">
        <x:f t="shared" ref="AA84:AA147" si="38">IF(B84 &lt;&gt; "",IFERROR(IF(AVERAGE(W84,Y84)&gt;=P$10,"Y","N"),""),"")</x:f>
      </x:c>
      <x:c r="AB84" s="122"/>
      <x:c r="AC84" s="177" t="str">
        <x:f t="shared" ref="AC84:AC147" si="39">IF(B84&lt;&gt;"",IF(AB84="","",IF(AB84&lt;0.5,1,IF(AND(AB84&gt;=0.5,AB84&lt;P$10),2,IF(AB84&gt;=P$10,3)))),"")</x:f>
      </x:c>
      <x:c r="AD84" s="122"/>
      <x:c r="AE84" s="177" t="str">
        <x:f t="shared" ref="AE84:AE147" si="40">IF(B84&lt;&gt;"",IF(AD84="","",IF(AD84&lt;0.5,1,IF(AND(AD84&gt;=0.5,AD84&lt;P$10),2,IF(AD84&gt;=P$10,3)))),"")</x:f>
      </x:c>
      <x:c r="AF84" s="178" t="str">
        <x:f t="shared" ref="AF84:AF147" si="41">IF(B84 &lt;&gt; "",IFERROR(IF(AVERAGE(AB84,AD84)&gt;=P$10,"Y","N"),""),"")</x:f>
      </x:c>
      <x:c r="AG84" s="122"/>
      <x:c r="AH84" s="177" t="str">
        <x:f t="shared" ref="AH84:AH147" si="42">IF(B84&lt;&gt;"",IF(AG84="","",IF(AG84&lt;0.5,1,IF(AND(AG84&gt;=0.5,AG84&lt;P$10),2,IF(AG84&gt;=P$10,3)))),"")</x:f>
      </x:c>
      <x:c r="AI84" s="122"/>
      <x:c r="AJ84" s="177" t="str">
        <x:f t="shared" ref="AJ84:AJ147" si="43">IF(B84&lt;&gt;"",IF(AI84="","",IF(AI84&lt;0.5,1,IF(AND(AI84&gt;=0.5,AI84&lt;P$10),2,IF(AI84&gt;=P$10,3)))),"")</x:f>
      </x:c>
      <x:c r="AK84" s="178" t="str">
        <x:f t="shared" ref="AK84:AK147" si="44">IF(B84 &lt;&gt; "",IFERROR(IF(AVERAGE(AG84,AI84)&gt;=P$10,"Y","N"),""),"")</x:f>
      </x:c>
      <x:c r="AL84" s="122"/>
      <x:c r="AM84" s="177" t="str">
        <x:f t="shared" ref="AM84:AM147" si="45">IF(B84&lt;&gt;"",IF(AL84="","",IF(AL84&lt;0.5,1,IF(AND(AL84&gt;=0.5,AL84&lt;P$10),2,IF(AL84&gt;=P$10,3)))),"")</x:f>
      </x:c>
      <x:c r="AN84" s="122"/>
      <x:c r="AO84" s="177" t="str">
        <x:f t="shared" ref="AO84:AO147" si="46">IF(B84&lt;&gt;"",IF(AN84="","",IF(AN84&lt;0.5,1,IF(AND(AN84&gt;=0.5,AN84&lt;P$10),2,IF(AN84&gt;=P$10,3)))),"")</x:f>
      </x:c>
      <x:c r="AP84" s="178" t="str">
        <x:f t="shared" ref="AP84:AP147" si="47">IF(B84 &lt;&gt; "",IFERROR(IF(AVERAGE(AL84,AN84)&gt;=P$10,"Y","N"),""),"")</x:f>
      </x:c>
      <x:c r="AQ84" s="122"/>
      <x:c r="AR84" s="177" t="str">
        <x:f t="shared" ref="AR84:AR147" si="48">IF(B84&lt;&gt;"",IF(AQ84="","",IF(AQ84&lt;0.5,1,IF(AND(AQ84&gt;=0.5,AQ84&lt;P$10),2,IF(AQ84&gt;=P$10,3)))),"")</x:f>
      </x:c>
      <x:c r="AS84" s="122"/>
      <x:c r="AT84" s="177" t="str">
        <x:f t="shared" ref="AT84:AT147" si="49">IF(B84&lt;&gt;"",IF(AS84="","",IF(AS84&lt;0.5,1,IF(AND(AS84&gt;=0.5,AS84&lt;P$10),2,IF(AS84&gt;=P$10,3)))),"")</x:f>
      </x:c>
      <x:c r="AU84" s="178" t="str">
        <x:f t="shared" ref="AU84:AU147" si="50">IF(B84 &lt;&gt; "",IFERROR(IF(AVERAGE(AQ84,AS84)&gt;=P$10,"Y","N"),""),"")</x:f>
      </x:c>
      <x:c r="AV84" s="122"/>
      <x:c r="AW84" s="177" t="str">
        <x:f t="shared" ref="AW84:AW147" si="51">IF(B84&lt;&gt;"",IF(AV84="","",IF(AV84&lt;0.5,1,IF(AND(AV84&gt;=0.5,AV84&lt;P$10),2,IF(AV84&gt;=P$10,3)))),"")</x:f>
      </x:c>
      <x:c r="AX84" s="122"/>
      <x:c r="AY84" s="177" t="str">
        <x:f t="shared" ref="AY84:AY147" si="52">IF(B84&lt;&gt;"",IF(AX84="","",IF(AX84&lt;0.5,1,IF(AND(AX84&gt;=0.5,AX84&lt;P$10),2,IF(AX84&gt;=P$10,3)))),"")</x:f>
      </x:c>
      <x:c r="AZ84" s="178" t="str">
        <x:f t="shared" ref="AZ84:AZ147" si="53">IF(B84 &lt;&gt; "",IFERROR(IF(AVERAGE(AV84,AX84)&gt;=P$10,"Y","N"),""),"")</x:f>
      </x:c>
      <x:c r="BA84" s="122"/>
      <x:c r="BB84" s="177" t="str">
        <x:f t="shared" ref="BB84:BB147" si="54">IF(B84&lt;&gt;"",IF(BA84="","",IF(BA84&lt;0.5,1,IF(AND(BA84&gt;=0.5,BA84&lt;P$10),2,IF(BA84&gt;=P$10,3)))),"")</x:f>
      </x:c>
      <x:c r="BC84" s="122"/>
      <x:c r="BD84" s="177" t="str">
        <x:f t="shared" ref="BD84:BD147" si="55">IF(B84&lt;&gt;"",IF(BC84="","",IF(BC84&lt;0.5,1,IF(AND(BC84&gt;=0.5,BC84&lt;P$10),2,IF(BC84&gt;=P$10,3)))),"")</x:f>
      </x:c>
      <x:c r="BE84" s="178" t="str">
        <x:f t="shared" ref="BE84:BE147" si="56">IF(B84 &lt;&gt; "",IFERROR(IF(AVERAGE(BA84,BC84)&gt;=P$10,"Y","N"),""),"")</x:f>
      </x:c>
      <x:c r="BF84" s="122"/>
      <x:c r="BG84" s="177" t="str">
        <x:f t="shared" ref="BG84:BG147" si="57">IF(B84&lt;&gt;"",IF(BF84="","",IF(BF84&lt;0.5,1,IF(AND(BF84&gt;=0.5,BF84&lt;P$10),2,IF(BF84&gt;=P$10,3)))),"")</x:f>
      </x:c>
      <x:c r="BH84" s="122"/>
      <x:c r="BI84" s="177" t="str">
        <x:f t="shared" ref="BI84:BI147" si="58">IF(B84&lt;&gt;"",IF(BH84="","",IF(BH84&lt;0.5,1,IF(AND(BH84&gt;=0.5,BH84&lt;P$10),2,IF(BH84&gt;=P$10,3)))),"")</x:f>
      </x:c>
      <x:c r="BJ84" s="178" t="str">
        <x:f t="shared" ref="BJ84:BJ147" si="59">IF(B84 &lt;&gt; "",IFERROR(IF(AVERAGE(BF84,BH84)&gt;=P$10,"Y","N"),""),"")</x:f>
      </x:c>
    </x:row>
    <x:row r="85" ht="19.5" hidden="1" customHeight="1">
      <x:c r="A85" s="160"/>
      <x:c r="B85" s="179"/>
      <x:c r="C85" s="171"/>
      <x:c r="D85" s="172"/>
      <x:c r="E85" s="171"/>
      <x:c r="F85" s="173"/>
      <x:c r="G85" s="174"/>
      <x:c r="H85" s="175"/>
      <x:c r="I85" s="174"/>
      <x:c r="J85" s="176"/>
      <x:c r="K85" s="233"/>
      <x:c r="L85" s="233"/>
      <x:c r="M85" s="122"/>
      <x:c r="N85" s="177" t="str">
        <x:f t="shared" si="30"/>
      </x:c>
      <x:c r="O85" s="122"/>
      <x:c r="P85" s="177" t="str">
        <x:f t="shared" si="31"/>
      </x:c>
      <x:c r="Q85" s="178" t="str">
        <x:f t="shared" si="32"/>
      </x:c>
      <x:c r="R85" s="122"/>
      <x:c r="S85" s="177" t="str">
        <x:f t="shared" si="33"/>
      </x:c>
      <x:c r="T85" s="122"/>
      <x:c r="U85" s="177" t="str">
        <x:f t="shared" si="34"/>
      </x:c>
      <x:c r="V85" s="178" t="str">
        <x:f t="shared" si="35"/>
      </x:c>
      <x:c r="W85" s="122"/>
      <x:c r="X85" s="177" t="str">
        <x:f t="shared" si="36"/>
      </x:c>
      <x:c r="Y85" s="122"/>
      <x:c r="Z85" s="177" t="str">
        <x:f t="shared" si="37"/>
      </x:c>
      <x:c r="AA85" s="178" t="str">
        <x:f t="shared" si="38"/>
      </x:c>
      <x:c r="AB85" s="122"/>
      <x:c r="AC85" s="177" t="str">
        <x:f t="shared" si="39"/>
      </x:c>
      <x:c r="AD85" s="122"/>
      <x:c r="AE85" s="177" t="str">
        <x:f t="shared" si="40"/>
      </x:c>
      <x:c r="AF85" s="178" t="str">
        <x:f t="shared" si="41"/>
      </x:c>
      <x:c r="AG85" s="122"/>
      <x:c r="AH85" s="177" t="str">
        <x:f t="shared" si="42"/>
      </x:c>
      <x:c r="AI85" s="122"/>
      <x:c r="AJ85" s="177" t="str">
        <x:f t="shared" si="43"/>
      </x:c>
      <x:c r="AK85" s="178" t="str">
        <x:f t="shared" si="44"/>
      </x:c>
      <x:c r="AL85" s="122"/>
      <x:c r="AM85" s="177" t="str">
        <x:f t="shared" si="45"/>
      </x:c>
      <x:c r="AN85" s="122"/>
      <x:c r="AO85" s="177" t="str">
        <x:f t="shared" si="46"/>
      </x:c>
      <x:c r="AP85" s="178" t="str">
        <x:f t="shared" si="47"/>
      </x:c>
      <x:c r="AQ85" s="122"/>
      <x:c r="AR85" s="177" t="str">
        <x:f t="shared" si="48"/>
      </x:c>
      <x:c r="AS85" s="122"/>
      <x:c r="AT85" s="177" t="str">
        <x:f t="shared" si="49"/>
      </x:c>
      <x:c r="AU85" s="178" t="str">
        <x:f t="shared" si="50"/>
      </x:c>
      <x:c r="AV85" s="122"/>
      <x:c r="AW85" s="177" t="str">
        <x:f t="shared" si="51"/>
      </x:c>
      <x:c r="AX85" s="122"/>
      <x:c r="AY85" s="177" t="str">
        <x:f t="shared" si="52"/>
      </x:c>
      <x:c r="AZ85" s="178" t="str">
        <x:f t="shared" si="53"/>
      </x:c>
      <x:c r="BA85" s="122"/>
      <x:c r="BB85" s="177" t="str">
        <x:f t="shared" si="54"/>
      </x:c>
      <x:c r="BC85" s="122"/>
      <x:c r="BD85" s="177" t="str">
        <x:f t="shared" si="55"/>
      </x:c>
      <x:c r="BE85" s="178" t="str">
        <x:f t="shared" si="56"/>
      </x:c>
      <x:c r="BF85" s="122"/>
      <x:c r="BG85" s="177" t="str">
        <x:f t="shared" si="57"/>
      </x:c>
      <x:c r="BH85" s="122"/>
      <x:c r="BI85" s="177" t="str">
        <x:f t="shared" si="58"/>
      </x:c>
      <x:c r="BJ85" s="178" t="str">
        <x:f t="shared" si="59"/>
      </x:c>
    </x:row>
    <x:row r="86" ht="19.5" hidden="1" customHeight="1">
      <x:c r="A86" s="169"/>
      <x:c r="B86" s="170"/>
      <x:c r="C86" s="171"/>
      <x:c r="D86" s="172"/>
      <x:c r="E86" s="171"/>
      <x:c r="F86" s="173"/>
      <x:c r="G86" s="174"/>
      <x:c r="H86" s="175"/>
      <x:c r="I86" s="174"/>
      <x:c r="J86" s="176"/>
      <x:c r="K86" s="233"/>
      <x:c r="L86" s="233"/>
      <x:c r="M86" s="122"/>
      <x:c r="N86" s="177" t="str">
        <x:f t="shared" si="30"/>
      </x:c>
      <x:c r="O86" s="122"/>
      <x:c r="P86" s="177" t="str">
        <x:f t="shared" si="31"/>
      </x:c>
      <x:c r="Q86" s="178" t="str">
        <x:f t="shared" si="32"/>
      </x:c>
      <x:c r="R86" s="122"/>
      <x:c r="S86" s="177" t="str">
        <x:f t="shared" si="33"/>
      </x:c>
      <x:c r="T86" s="122"/>
      <x:c r="U86" s="177" t="str">
        <x:f t="shared" si="34"/>
      </x:c>
      <x:c r="V86" s="178" t="str">
        <x:f t="shared" si="35"/>
      </x:c>
      <x:c r="W86" s="122"/>
      <x:c r="X86" s="177" t="str">
        <x:f t="shared" si="36"/>
      </x:c>
      <x:c r="Y86" s="122"/>
      <x:c r="Z86" s="177" t="str">
        <x:f t="shared" si="37"/>
      </x:c>
      <x:c r="AA86" s="178" t="str">
        <x:f t="shared" si="38"/>
      </x:c>
      <x:c r="AB86" s="122"/>
      <x:c r="AC86" s="177" t="str">
        <x:f t="shared" si="39"/>
      </x:c>
      <x:c r="AD86" s="122"/>
      <x:c r="AE86" s="177" t="str">
        <x:f t="shared" si="40"/>
      </x:c>
      <x:c r="AF86" s="178" t="str">
        <x:f t="shared" si="41"/>
      </x:c>
      <x:c r="AG86" s="122"/>
      <x:c r="AH86" s="177" t="str">
        <x:f t="shared" si="42"/>
      </x:c>
      <x:c r="AI86" s="122"/>
      <x:c r="AJ86" s="177" t="str">
        <x:f t="shared" si="43"/>
      </x:c>
      <x:c r="AK86" s="178" t="str">
        <x:f t="shared" si="44"/>
      </x:c>
      <x:c r="AL86" s="122"/>
      <x:c r="AM86" s="177" t="str">
        <x:f t="shared" si="45"/>
      </x:c>
      <x:c r="AN86" s="122"/>
      <x:c r="AO86" s="177" t="str">
        <x:f t="shared" si="46"/>
      </x:c>
      <x:c r="AP86" s="178" t="str">
        <x:f t="shared" si="47"/>
      </x:c>
      <x:c r="AQ86" s="122"/>
      <x:c r="AR86" s="177" t="str">
        <x:f t="shared" si="48"/>
      </x:c>
      <x:c r="AS86" s="122"/>
      <x:c r="AT86" s="177" t="str">
        <x:f t="shared" si="49"/>
      </x:c>
      <x:c r="AU86" s="178" t="str">
        <x:f t="shared" si="50"/>
      </x:c>
      <x:c r="AV86" s="122"/>
      <x:c r="AW86" s="177" t="str">
        <x:f t="shared" si="51"/>
      </x:c>
      <x:c r="AX86" s="122"/>
      <x:c r="AY86" s="177" t="str">
        <x:f t="shared" si="52"/>
      </x:c>
      <x:c r="AZ86" s="178" t="str">
        <x:f t="shared" si="53"/>
      </x:c>
      <x:c r="BA86" s="122"/>
      <x:c r="BB86" s="177" t="str">
        <x:f t="shared" si="54"/>
      </x:c>
      <x:c r="BC86" s="122"/>
      <x:c r="BD86" s="177" t="str">
        <x:f t="shared" si="55"/>
      </x:c>
      <x:c r="BE86" s="178" t="str">
        <x:f t="shared" si="56"/>
      </x:c>
      <x:c r="BF86" s="122"/>
      <x:c r="BG86" s="177" t="str">
        <x:f t="shared" si="57"/>
      </x:c>
      <x:c r="BH86" s="122"/>
      <x:c r="BI86" s="177" t="str">
        <x:f t="shared" si="58"/>
      </x:c>
      <x:c r="BJ86" s="178" t="str">
        <x:f t="shared" si="59"/>
      </x:c>
    </x:row>
    <x:row r="87" ht="19.5" hidden="1" customHeight="1">
      <x:c r="A87" s="160"/>
      <x:c r="B87" s="179"/>
      <x:c r="C87" s="171"/>
      <x:c r="D87" s="172"/>
      <x:c r="E87" s="171"/>
      <x:c r="F87" s="173"/>
      <x:c r="G87" s="174"/>
      <x:c r="H87" s="175"/>
      <x:c r="I87" s="174"/>
      <x:c r="J87" s="176"/>
      <x:c r="K87" s="233"/>
      <x:c r="L87" s="233"/>
      <x:c r="M87" s="122"/>
      <x:c r="N87" s="177" t="str">
        <x:f t="shared" si="30"/>
      </x:c>
      <x:c r="O87" s="122"/>
      <x:c r="P87" s="177" t="str">
        <x:f t="shared" si="31"/>
      </x:c>
      <x:c r="Q87" s="178" t="str">
        <x:f t="shared" si="32"/>
      </x:c>
      <x:c r="R87" s="122"/>
      <x:c r="S87" s="177" t="str">
        <x:f t="shared" si="33"/>
      </x:c>
      <x:c r="T87" s="122"/>
      <x:c r="U87" s="177" t="str">
        <x:f t="shared" si="34"/>
      </x:c>
      <x:c r="V87" s="178" t="str">
        <x:f t="shared" si="35"/>
      </x:c>
      <x:c r="W87" s="122"/>
      <x:c r="X87" s="177" t="str">
        <x:f t="shared" si="36"/>
      </x:c>
      <x:c r="Y87" s="122"/>
      <x:c r="Z87" s="177" t="str">
        <x:f t="shared" si="37"/>
      </x:c>
      <x:c r="AA87" s="178" t="str">
        <x:f t="shared" si="38"/>
      </x:c>
      <x:c r="AB87" s="122"/>
      <x:c r="AC87" s="177" t="str">
        <x:f t="shared" si="39"/>
      </x:c>
      <x:c r="AD87" s="122"/>
      <x:c r="AE87" s="177" t="str">
        <x:f t="shared" si="40"/>
      </x:c>
      <x:c r="AF87" s="178" t="str">
        <x:f t="shared" si="41"/>
      </x:c>
      <x:c r="AG87" s="122"/>
      <x:c r="AH87" s="177" t="str">
        <x:f t="shared" si="42"/>
      </x:c>
      <x:c r="AI87" s="122"/>
      <x:c r="AJ87" s="177" t="str">
        <x:f t="shared" si="43"/>
      </x:c>
      <x:c r="AK87" s="178" t="str">
        <x:f t="shared" si="44"/>
      </x:c>
      <x:c r="AL87" s="122"/>
      <x:c r="AM87" s="177" t="str">
        <x:f t="shared" si="45"/>
      </x:c>
      <x:c r="AN87" s="122"/>
      <x:c r="AO87" s="177" t="str">
        <x:f t="shared" si="46"/>
      </x:c>
      <x:c r="AP87" s="178" t="str">
        <x:f t="shared" si="47"/>
      </x:c>
      <x:c r="AQ87" s="122"/>
      <x:c r="AR87" s="177" t="str">
        <x:f t="shared" si="48"/>
      </x:c>
      <x:c r="AS87" s="122"/>
      <x:c r="AT87" s="177" t="str">
        <x:f t="shared" si="49"/>
      </x:c>
      <x:c r="AU87" s="178" t="str">
        <x:f t="shared" si="50"/>
      </x:c>
      <x:c r="AV87" s="122"/>
      <x:c r="AW87" s="177" t="str">
        <x:f t="shared" si="51"/>
      </x:c>
      <x:c r="AX87" s="122"/>
      <x:c r="AY87" s="177" t="str">
        <x:f t="shared" si="52"/>
      </x:c>
      <x:c r="AZ87" s="178" t="str">
        <x:f t="shared" si="53"/>
      </x:c>
      <x:c r="BA87" s="122"/>
      <x:c r="BB87" s="177" t="str">
        <x:f t="shared" si="54"/>
      </x:c>
      <x:c r="BC87" s="122"/>
      <x:c r="BD87" s="177" t="str">
        <x:f t="shared" si="55"/>
      </x:c>
      <x:c r="BE87" s="178" t="str">
        <x:f t="shared" si="56"/>
      </x:c>
      <x:c r="BF87" s="122"/>
      <x:c r="BG87" s="177" t="str">
        <x:f t="shared" si="57"/>
      </x:c>
      <x:c r="BH87" s="122"/>
      <x:c r="BI87" s="177" t="str">
        <x:f t="shared" si="58"/>
      </x:c>
      <x:c r="BJ87" s="178" t="str">
        <x:f t="shared" si="59"/>
      </x:c>
    </x:row>
    <x:row r="88" ht="19.5" hidden="1" customHeight="1">
      <x:c r="A88" s="169"/>
      <x:c r="B88" s="170"/>
      <x:c r="C88" s="171"/>
      <x:c r="D88" s="172"/>
      <x:c r="E88" s="171"/>
      <x:c r="F88" s="173"/>
      <x:c r="G88" s="174"/>
      <x:c r="H88" s="175"/>
      <x:c r="I88" s="174"/>
      <x:c r="J88" s="176"/>
      <x:c r="K88" s="233"/>
      <x:c r="L88" s="233"/>
      <x:c r="M88" s="122"/>
      <x:c r="N88" s="177" t="str">
        <x:f t="shared" si="30"/>
      </x:c>
      <x:c r="O88" s="122"/>
      <x:c r="P88" s="177" t="str">
        <x:f t="shared" si="31"/>
      </x:c>
      <x:c r="Q88" s="178" t="str">
        <x:f t="shared" si="32"/>
      </x:c>
      <x:c r="R88" s="122"/>
      <x:c r="S88" s="177" t="str">
        <x:f t="shared" si="33"/>
      </x:c>
      <x:c r="T88" s="122"/>
      <x:c r="U88" s="177" t="str">
        <x:f t="shared" si="34"/>
      </x:c>
      <x:c r="V88" s="178" t="str">
        <x:f t="shared" si="35"/>
      </x:c>
      <x:c r="W88" s="122"/>
      <x:c r="X88" s="177" t="str">
        <x:f t="shared" si="36"/>
      </x:c>
      <x:c r="Y88" s="122"/>
      <x:c r="Z88" s="177" t="str">
        <x:f t="shared" si="37"/>
      </x:c>
      <x:c r="AA88" s="178" t="str">
        <x:f t="shared" si="38"/>
      </x:c>
      <x:c r="AB88" s="122"/>
      <x:c r="AC88" s="177" t="str">
        <x:f t="shared" si="39"/>
      </x:c>
      <x:c r="AD88" s="122"/>
      <x:c r="AE88" s="177" t="str">
        <x:f t="shared" si="40"/>
      </x:c>
      <x:c r="AF88" s="178" t="str">
        <x:f t="shared" si="41"/>
      </x:c>
      <x:c r="AG88" s="122"/>
      <x:c r="AH88" s="177" t="str">
        <x:f t="shared" si="42"/>
      </x:c>
      <x:c r="AI88" s="122"/>
      <x:c r="AJ88" s="177" t="str">
        <x:f t="shared" si="43"/>
      </x:c>
      <x:c r="AK88" s="178" t="str">
        <x:f t="shared" si="44"/>
      </x:c>
      <x:c r="AL88" s="122"/>
      <x:c r="AM88" s="177" t="str">
        <x:f t="shared" si="45"/>
      </x:c>
      <x:c r="AN88" s="122"/>
      <x:c r="AO88" s="177" t="str">
        <x:f t="shared" si="46"/>
      </x:c>
      <x:c r="AP88" s="178" t="str">
        <x:f t="shared" si="47"/>
      </x:c>
      <x:c r="AQ88" s="122"/>
      <x:c r="AR88" s="177" t="str">
        <x:f t="shared" si="48"/>
      </x:c>
      <x:c r="AS88" s="122"/>
      <x:c r="AT88" s="177" t="str">
        <x:f t="shared" si="49"/>
      </x:c>
      <x:c r="AU88" s="178" t="str">
        <x:f t="shared" si="50"/>
      </x:c>
      <x:c r="AV88" s="122"/>
      <x:c r="AW88" s="177" t="str">
        <x:f t="shared" si="51"/>
      </x:c>
      <x:c r="AX88" s="122"/>
      <x:c r="AY88" s="177" t="str">
        <x:f t="shared" si="52"/>
      </x:c>
      <x:c r="AZ88" s="178" t="str">
        <x:f t="shared" si="53"/>
      </x:c>
      <x:c r="BA88" s="122"/>
      <x:c r="BB88" s="177" t="str">
        <x:f t="shared" si="54"/>
      </x:c>
      <x:c r="BC88" s="122"/>
      <x:c r="BD88" s="177" t="str">
        <x:f t="shared" si="55"/>
      </x:c>
      <x:c r="BE88" s="178" t="str">
        <x:f t="shared" si="56"/>
      </x:c>
      <x:c r="BF88" s="122"/>
      <x:c r="BG88" s="177" t="str">
        <x:f t="shared" si="57"/>
      </x:c>
      <x:c r="BH88" s="122"/>
      <x:c r="BI88" s="177" t="str">
        <x:f t="shared" si="58"/>
      </x:c>
      <x:c r="BJ88" s="178" t="str">
        <x:f t="shared" si="59"/>
      </x:c>
    </x:row>
    <x:row r="89" ht="19.5" hidden="1" customHeight="1">
      <x:c r="A89" s="160"/>
      <x:c r="B89" s="179"/>
      <x:c r="C89" s="171"/>
      <x:c r="D89" s="172"/>
      <x:c r="E89" s="171"/>
      <x:c r="F89" s="173"/>
      <x:c r="G89" s="174"/>
      <x:c r="H89" s="175"/>
      <x:c r="I89" s="174"/>
      <x:c r="J89" s="176"/>
      <x:c r="K89" s="233"/>
      <x:c r="L89" s="233"/>
      <x:c r="M89" s="122"/>
      <x:c r="N89" s="177" t="str">
        <x:f t="shared" si="30"/>
      </x:c>
      <x:c r="O89" s="122"/>
      <x:c r="P89" s="177" t="str">
        <x:f t="shared" si="31"/>
      </x:c>
      <x:c r="Q89" s="178" t="str">
        <x:f t="shared" si="32"/>
      </x:c>
      <x:c r="R89" s="122"/>
      <x:c r="S89" s="177" t="str">
        <x:f t="shared" si="33"/>
      </x:c>
      <x:c r="T89" s="122"/>
      <x:c r="U89" s="177" t="str">
        <x:f t="shared" si="34"/>
      </x:c>
      <x:c r="V89" s="178" t="str">
        <x:f t="shared" si="35"/>
      </x:c>
      <x:c r="W89" s="122"/>
      <x:c r="X89" s="177" t="str">
        <x:f t="shared" si="36"/>
      </x:c>
      <x:c r="Y89" s="122"/>
      <x:c r="Z89" s="177" t="str">
        <x:f t="shared" si="37"/>
      </x:c>
      <x:c r="AA89" s="178" t="str">
        <x:f t="shared" si="38"/>
      </x:c>
      <x:c r="AB89" s="122"/>
      <x:c r="AC89" s="177" t="str">
        <x:f t="shared" si="39"/>
      </x:c>
      <x:c r="AD89" s="122"/>
      <x:c r="AE89" s="177" t="str">
        <x:f t="shared" si="40"/>
      </x:c>
      <x:c r="AF89" s="178" t="str">
        <x:f t="shared" si="41"/>
      </x:c>
      <x:c r="AG89" s="122"/>
      <x:c r="AH89" s="177" t="str">
        <x:f t="shared" si="42"/>
      </x:c>
      <x:c r="AI89" s="122"/>
      <x:c r="AJ89" s="177" t="str">
        <x:f t="shared" si="43"/>
      </x:c>
      <x:c r="AK89" s="178" t="str">
        <x:f t="shared" si="44"/>
      </x:c>
      <x:c r="AL89" s="122"/>
      <x:c r="AM89" s="177" t="str">
        <x:f t="shared" si="45"/>
      </x:c>
      <x:c r="AN89" s="122"/>
      <x:c r="AO89" s="177" t="str">
        <x:f t="shared" si="46"/>
      </x:c>
      <x:c r="AP89" s="178" t="str">
        <x:f t="shared" si="47"/>
      </x:c>
      <x:c r="AQ89" s="122"/>
      <x:c r="AR89" s="177" t="str">
        <x:f t="shared" si="48"/>
      </x:c>
      <x:c r="AS89" s="122"/>
      <x:c r="AT89" s="177" t="str">
        <x:f t="shared" si="49"/>
      </x:c>
      <x:c r="AU89" s="178" t="str">
        <x:f t="shared" si="50"/>
      </x:c>
      <x:c r="AV89" s="122"/>
      <x:c r="AW89" s="177" t="str">
        <x:f t="shared" si="51"/>
      </x:c>
      <x:c r="AX89" s="122"/>
      <x:c r="AY89" s="177" t="str">
        <x:f t="shared" si="52"/>
      </x:c>
      <x:c r="AZ89" s="178" t="str">
        <x:f t="shared" si="53"/>
      </x:c>
      <x:c r="BA89" s="122"/>
      <x:c r="BB89" s="177" t="str">
        <x:f t="shared" si="54"/>
      </x:c>
      <x:c r="BC89" s="122"/>
      <x:c r="BD89" s="177" t="str">
        <x:f t="shared" si="55"/>
      </x:c>
      <x:c r="BE89" s="178" t="str">
        <x:f t="shared" si="56"/>
      </x:c>
      <x:c r="BF89" s="122"/>
      <x:c r="BG89" s="177" t="str">
        <x:f t="shared" si="57"/>
      </x:c>
      <x:c r="BH89" s="122"/>
      <x:c r="BI89" s="177" t="str">
        <x:f t="shared" si="58"/>
      </x:c>
      <x:c r="BJ89" s="178" t="str">
        <x:f t="shared" si="59"/>
      </x:c>
    </x:row>
    <x:row r="90" ht="19.5" hidden="1" customHeight="1">
      <x:c r="A90" s="169"/>
      <x:c r="B90" s="170"/>
      <x:c r="C90" s="171"/>
      <x:c r="D90" s="172"/>
      <x:c r="E90" s="171"/>
      <x:c r="F90" s="173"/>
      <x:c r="G90" s="174"/>
      <x:c r="H90" s="175"/>
      <x:c r="I90" s="174"/>
      <x:c r="J90" s="176"/>
      <x:c r="K90" s="233"/>
      <x:c r="L90" s="233"/>
      <x:c r="M90" s="122"/>
      <x:c r="N90" s="177" t="str">
        <x:f t="shared" si="30"/>
      </x:c>
      <x:c r="O90" s="122"/>
      <x:c r="P90" s="177" t="str">
        <x:f t="shared" si="31"/>
      </x:c>
      <x:c r="Q90" s="178" t="str">
        <x:f t="shared" si="32"/>
      </x:c>
      <x:c r="R90" s="122"/>
      <x:c r="S90" s="177" t="str">
        <x:f t="shared" si="33"/>
      </x:c>
      <x:c r="T90" s="122"/>
      <x:c r="U90" s="177" t="str">
        <x:f t="shared" si="34"/>
      </x:c>
      <x:c r="V90" s="178" t="str">
        <x:f t="shared" si="35"/>
      </x:c>
      <x:c r="W90" s="122"/>
      <x:c r="X90" s="177" t="str">
        <x:f t="shared" si="36"/>
      </x:c>
      <x:c r="Y90" s="122"/>
      <x:c r="Z90" s="177" t="str">
        <x:f t="shared" si="37"/>
      </x:c>
      <x:c r="AA90" s="178" t="str">
        <x:f t="shared" si="38"/>
      </x:c>
      <x:c r="AB90" s="122"/>
      <x:c r="AC90" s="177" t="str">
        <x:f t="shared" si="39"/>
      </x:c>
      <x:c r="AD90" s="122"/>
      <x:c r="AE90" s="177" t="str">
        <x:f t="shared" si="40"/>
      </x:c>
      <x:c r="AF90" s="178" t="str">
        <x:f t="shared" si="41"/>
      </x:c>
      <x:c r="AG90" s="122"/>
      <x:c r="AH90" s="177" t="str">
        <x:f t="shared" si="42"/>
      </x:c>
      <x:c r="AI90" s="122"/>
      <x:c r="AJ90" s="177" t="str">
        <x:f t="shared" si="43"/>
      </x:c>
      <x:c r="AK90" s="178" t="str">
        <x:f t="shared" si="44"/>
      </x:c>
      <x:c r="AL90" s="122"/>
      <x:c r="AM90" s="177" t="str">
        <x:f t="shared" si="45"/>
      </x:c>
      <x:c r="AN90" s="122"/>
      <x:c r="AO90" s="177" t="str">
        <x:f t="shared" si="46"/>
      </x:c>
      <x:c r="AP90" s="178" t="str">
        <x:f t="shared" si="47"/>
      </x:c>
      <x:c r="AQ90" s="122"/>
      <x:c r="AR90" s="177" t="str">
        <x:f t="shared" si="48"/>
      </x:c>
      <x:c r="AS90" s="122"/>
      <x:c r="AT90" s="177" t="str">
        <x:f t="shared" si="49"/>
      </x:c>
      <x:c r="AU90" s="178" t="str">
        <x:f t="shared" si="50"/>
      </x:c>
      <x:c r="AV90" s="122"/>
      <x:c r="AW90" s="177" t="str">
        <x:f t="shared" si="51"/>
      </x:c>
      <x:c r="AX90" s="122"/>
      <x:c r="AY90" s="177" t="str">
        <x:f t="shared" si="52"/>
      </x:c>
      <x:c r="AZ90" s="178" t="str">
        <x:f t="shared" si="53"/>
      </x:c>
      <x:c r="BA90" s="122"/>
      <x:c r="BB90" s="177" t="str">
        <x:f t="shared" si="54"/>
      </x:c>
      <x:c r="BC90" s="122"/>
      <x:c r="BD90" s="177" t="str">
        <x:f t="shared" si="55"/>
      </x:c>
      <x:c r="BE90" s="178" t="str">
        <x:f t="shared" si="56"/>
      </x:c>
      <x:c r="BF90" s="122"/>
      <x:c r="BG90" s="177" t="str">
        <x:f t="shared" si="57"/>
      </x:c>
      <x:c r="BH90" s="122"/>
      <x:c r="BI90" s="177" t="str">
        <x:f t="shared" si="58"/>
      </x:c>
      <x:c r="BJ90" s="178" t="str">
        <x:f t="shared" si="59"/>
      </x:c>
    </x:row>
    <x:row r="91" ht="19.5" hidden="1" customHeight="1">
      <x:c r="A91" s="160"/>
      <x:c r="B91" s="179"/>
      <x:c r="C91" s="171"/>
      <x:c r="D91" s="172"/>
      <x:c r="E91" s="171"/>
      <x:c r="F91" s="173"/>
      <x:c r="G91" s="174"/>
      <x:c r="H91" s="175"/>
      <x:c r="I91" s="174"/>
      <x:c r="J91" s="176"/>
      <x:c r="K91" s="233"/>
      <x:c r="L91" s="233"/>
      <x:c r="M91" s="122"/>
      <x:c r="N91" s="177" t="str">
        <x:f t="shared" si="30"/>
      </x:c>
      <x:c r="O91" s="122"/>
      <x:c r="P91" s="177" t="str">
        <x:f t="shared" si="31"/>
      </x:c>
      <x:c r="Q91" s="178" t="str">
        <x:f t="shared" si="32"/>
      </x:c>
      <x:c r="R91" s="122"/>
      <x:c r="S91" s="177" t="str">
        <x:f t="shared" si="33"/>
      </x:c>
      <x:c r="T91" s="122"/>
      <x:c r="U91" s="177" t="str">
        <x:f t="shared" si="34"/>
      </x:c>
      <x:c r="V91" s="178" t="str">
        <x:f t="shared" si="35"/>
      </x:c>
      <x:c r="W91" s="122"/>
      <x:c r="X91" s="177" t="str">
        <x:f t="shared" si="36"/>
      </x:c>
      <x:c r="Y91" s="122"/>
      <x:c r="Z91" s="177" t="str">
        <x:f t="shared" si="37"/>
      </x:c>
      <x:c r="AA91" s="178" t="str">
        <x:f t="shared" si="38"/>
      </x:c>
      <x:c r="AB91" s="122"/>
      <x:c r="AC91" s="177" t="str">
        <x:f t="shared" si="39"/>
      </x:c>
      <x:c r="AD91" s="122"/>
      <x:c r="AE91" s="177" t="str">
        <x:f t="shared" si="40"/>
      </x:c>
      <x:c r="AF91" s="178" t="str">
        <x:f t="shared" si="41"/>
      </x:c>
      <x:c r="AG91" s="122"/>
      <x:c r="AH91" s="177" t="str">
        <x:f t="shared" si="42"/>
      </x:c>
      <x:c r="AI91" s="122"/>
      <x:c r="AJ91" s="177" t="str">
        <x:f t="shared" si="43"/>
      </x:c>
      <x:c r="AK91" s="178" t="str">
        <x:f t="shared" si="44"/>
      </x:c>
      <x:c r="AL91" s="122"/>
      <x:c r="AM91" s="177" t="str">
        <x:f t="shared" si="45"/>
      </x:c>
      <x:c r="AN91" s="122"/>
      <x:c r="AO91" s="177" t="str">
        <x:f t="shared" si="46"/>
      </x:c>
      <x:c r="AP91" s="178" t="str">
        <x:f t="shared" si="47"/>
      </x:c>
      <x:c r="AQ91" s="122"/>
      <x:c r="AR91" s="177" t="str">
        <x:f t="shared" si="48"/>
      </x:c>
      <x:c r="AS91" s="122"/>
      <x:c r="AT91" s="177" t="str">
        <x:f t="shared" si="49"/>
      </x:c>
      <x:c r="AU91" s="178" t="str">
        <x:f t="shared" si="50"/>
      </x:c>
      <x:c r="AV91" s="122"/>
      <x:c r="AW91" s="177" t="str">
        <x:f t="shared" si="51"/>
      </x:c>
      <x:c r="AX91" s="122"/>
      <x:c r="AY91" s="177" t="str">
        <x:f t="shared" si="52"/>
      </x:c>
      <x:c r="AZ91" s="178" t="str">
        <x:f t="shared" si="53"/>
      </x:c>
      <x:c r="BA91" s="122"/>
      <x:c r="BB91" s="177" t="str">
        <x:f t="shared" si="54"/>
      </x:c>
      <x:c r="BC91" s="122"/>
      <x:c r="BD91" s="177" t="str">
        <x:f t="shared" si="55"/>
      </x:c>
      <x:c r="BE91" s="178" t="str">
        <x:f t="shared" si="56"/>
      </x:c>
      <x:c r="BF91" s="122"/>
      <x:c r="BG91" s="177" t="str">
        <x:f t="shared" si="57"/>
      </x:c>
      <x:c r="BH91" s="122"/>
      <x:c r="BI91" s="177" t="str">
        <x:f t="shared" si="58"/>
      </x:c>
      <x:c r="BJ91" s="178" t="str">
        <x:f t="shared" si="59"/>
      </x:c>
    </x:row>
    <x:row r="92" ht="19.5" hidden="1" customHeight="1">
      <x:c r="A92" s="169"/>
      <x:c r="B92" s="170"/>
      <x:c r="C92" s="171"/>
      <x:c r="D92" s="172"/>
      <x:c r="E92" s="171"/>
      <x:c r="F92" s="173"/>
      <x:c r="G92" s="174"/>
      <x:c r="H92" s="175"/>
      <x:c r="I92" s="174"/>
      <x:c r="J92" s="176"/>
      <x:c r="K92" s="233"/>
      <x:c r="L92" s="233"/>
      <x:c r="M92" s="122"/>
      <x:c r="N92" s="177" t="str">
        <x:f t="shared" si="30"/>
      </x:c>
      <x:c r="O92" s="122"/>
      <x:c r="P92" s="177" t="str">
        <x:f t="shared" si="31"/>
      </x:c>
      <x:c r="Q92" s="178" t="str">
        <x:f t="shared" si="32"/>
      </x:c>
      <x:c r="R92" s="122"/>
      <x:c r="S92" s="177" t="str">
        <x:f t="shared" si="33"/>
      </x:c>
      <x:c r="T92" s="122"/>
      <x:c r="U92" s="177" t="str">
        <x:f t="shared" si="34"/>
      </x:c>
      <x:c r="V92" s="178" t="str">
        <x:f t="shared" si="35"/>
      </x:c>
      <x:c r="W92" s="122"/>
      <x:c r="X92" s="177" t="str">
        <x:f t="shared" si="36"/>
      </x:c>
      <x:c r="Y92" s="122"/>
      <x:c r="Z92" s="177" t="str">
        <x:f t="shared" si="37"/>
      </x:c>
      <x:c r="AA92" s="178" t="str">
        <x:f t="shared" si="38"/>
      </x:c>
      <x:c r="AB92" s="122"/>
      <x:c r="AC92" s="177" t="str">
        <x:f t="shared" si="39"/>
      </x:c>
      <x:c r="AD92" s="122"/>
      <x:c r="AE92" s="177" t="str">
        <x:f t="shared" si="40"/>
      </x:c>
      <x:c r="AF92" s="178" t="str">
        <x:f t="shared" si="41"/>
      </x:c>
      <x:c r="AG92" s="122"/>
      <x:c r="AH92" s="177" t="str">
        <x:f t="shared" si="42"/>
      </x:c>
      <x:c r="AI92" s="122"/>
      <x:c r="AJ92" s="177" t="str">
        <x:f t="shared" si="43"/>
      </x:c>
      <x:c r="AK92" s="178" t="str">
        <x:f t="shared" si="44"/>
      </x:c>
      <x:c r="AL92" s="122"/>
      <x:c r="AM92" s="177" t="str">
        <x:f t="shared" si="45"/>
      </x:c>
      <x:c r="AN92" s="122"/>
      <x:c r="AO92" s="177" t="str">
        <x:f t="shared" si="46"/>
      </x:c>
      <x:c r="AP92" s="178" t="str">
        <x:f t="shared" si="47"/>
      </x:c>
      <x:c r="AQ92" s="122"/>
      <x:c r="AR92" s="177" t="str">
        <x:f t="shared" si="48"/>
      </x:c>
      <x:c r="AS92" s="122"/>
      <x:c r="AT92" s="177" t="str">
        <x:f t="shared" si="49"/>
      </x:c>
      <x:c r="AU92" s="178" t="str">
        <x:f t="shared" si="50"/>
      </x:c>
      <x:c r="AV92" s="122"/>
      <x:c r="AW92" s="177" t="str">
        <x:f t="shared" si="51"/>
      </x:c>
      <x:c r="AX92" s="122"/>
      <x:c r="AY92" s="177" t="str">
        <x:f t="shared" si="52"/>
      </x:c>
      <x:c r="AZ92" s="178" t="str">
        <x:f t="shared" si="53"/>
      </x:c>
      <x:c r="BA92" s="122"/>
      <x:c r="BB92" s="177" t="str">
        <x:f t="shared" si="54"/>
      </x:c>
      <x:c r="BC92" s="122"/>
      <x:c r="BD92" s="177" t="str">
        <x:f t="shared" si="55"/>
      </x:c>
      <x:c r="BE92" s="178" t="str">
        <x:f t="shared" si="56"/>
      </x:c>
      <x:c r="BF92" s="122"/>
      <x:c r="BG92" s="177" t="str">
        <x:f t="shared" si="57"/>
      </x:c>
      <x:c r="BH92" s="122"/>
      <x:c r="BI92" s="177" t="str">
        <x:f t="shared" si="58"/>
      </x:c>
      <x:c r="BJ92" s="178" t="str">
        <x:f t="shared" si="59"/>
      </x:c>
    </x:row>
    <x:row r="93" ht="19.5" hidden="1" customHeight="1">
      <x:c r="A93" s="160"/>
      <x:c r="B93" s="179"/>
      <x:c r="C93" s="171"/>
      <x:c r="D93" s="172"/>
      <x:c r="E93" s="171"/>
      <x:c r="F93" s="173"/>
      <x:c r="G93" s="174"/>
      <x:c r="H93" s="175"/>
      <x:c r="I93" s="174"/>
      <x:c r="J93" s="176"/>
      <x:c r="K93" s="233"/>
      <x:c r="L93" s="233"/>
      <x:c r="M93" s="122"/>
      <x:c r="N93" s="177" t="str">
        <x:f t="shared" si="30"/>
      </x:c>
      <x:c r="O93" s="122"/>
      <x:c r="P93" s="177" t="str">
        <x:f t="shared" si="31"/>
      </x:c>
      <x:c r="Q93" s="178" t="str">
        <x:f t="shared" si="32"/>
      </x:c>
      <x:c r="R93" s="122"/>
      <x:c r="S93" s="177" t="str">
        <x:f t="shared" si="33"/>
      </x:c>
      <x:c r="T93" s="122"/>
      <x:c r="U93" s="177" t="str">
        <x:f t="shared" si="34"/>
      </x:c>
      <x:c r="V93" s="178" t="str">
        <x:f t="shared" si="35"/>
      </x:c>
      <x:c r="W93" s="122"/>
      <x:c r="X93" s="177" t="str">
        <x:f t="shared" si="36"/>
      </x:c>
      <x:c r="Y93" s="122"/>
      <x:c r="Z93" s="177" t="str">
        <x:f t="shared" si="37"/>
      </x:c>
      <x:c r="AA93" s="178" t="str">
        <x:f t="shared" si="38"/>
      </x:c>
      <x:c r="AB93" s="122"/>
      <x:c r="AC93" s="177" t="str">
        <x:f t="shared" si="39"/>
      </x:c>
      <x:c r="AD93" s="122"/>
      <x:c r="AE93" s="177" t="str">
        <x:f t="shared" si="40"/>
      </x:c>
      <x:c r="AF93" s="178" t="str">
        <x:f t="shared" si="41"/>
      </x:c>
      <x:c r="AG93" s="122"/>
      <x:c r="AH93" s="177" t="str">
        <x:f t="shared" si="42"/>
      </x:c>
      <x:c r="AI93" s="122"/>
      <x:c r="AJ93" s="177" t="str">
        <x:f t="shared" si="43"/>
      </x:c>
      <x:c r="AK93" s="178" t="str">
        <x:f t="shared" si="44"/>
      </x:c>
      <x:c r="AL93" s="122"/>
      <x:c r="AM93" s="177" t="str">
        <x:f t="shared" si="45"/>
      </x:c>
      <x:c r="AN93" s="122"/>
      <x:c r="AO93" s="177" t="str">
        <x:f t="shared" si="46"/>
      </x:c>
      <x:c r="AP93" s="178" t="str">
        <x:f t="shared" si="47"/>
      </x:c>
      <x:c r="AQ93" s="122"/>
      <x:c r="AR93" s="177" t="str">
        <x:f t="shared" si="48"/>
      </x:c>
      <x:c r="AS93" s="122"/>
      <x:c r="AT93" s="177" t="str">
        <x:f t="shared" si="49"/>
      </x:c>
      <x:c r="AU93" s="178" t="str">
        <x:f t="shared" si="50"/>
      </x:c>
      <x:c r="AV93" s="122"/>
      <x:c r="AW93" s="177" t="str">
        <x:f t="shared" si="51"/>
      </x:c>
      <x:c r="AX93" s="122"/>
      <x:c r="AY93" s="177" t="str">
        <x:f t="shared" si="52"/>
      </x:c>
      <x:c r="AZ93" s="178" t="str">
        <x:f t="shared" si="53"/>
      </x:c>
      <x:c r="BA93" s="122"/>
      <x:c r="BB93" s="177" t="str">
        <x:f t="shared" si="54"/>
      </x:c>
      <x:c r="BC93" s="122"/>
      <x:c r="BD93" s="177" t="str">
        <x:f t="shared" si="55"/>
      </x:c>
      <x:c r="BE93" s="178" t="str">
        <x:f t="shared" si="56"/>
      </x:c>
      <x:c r="BF93" s="122"/>
      <x:c r="BG93" s="177" t="str">
        <x:f t="shared" si="57"/>
      </x:c>
      <x:c r="BH93" s="122"/>
      <x:c r="BI93" s="177" t="str">
        <x:f t="shared" si="58"/>
      </x:c>
      <x:c r="BJ93" s="178" t="str">
        <x:f t="shared" si="59"/>
      </x:c>
    </x:row>
    <x:row r="94" ht="19.5" hidden="1" customHeight="1">
      <x:c r="A94" s="169"/>
      <x:c r="B94" s="170"/>
      <x:c r="C94" s="171"/>
      <x:c r="D94" s="172"/>
      <x:c r="E94" s="171"/>
      <x:c r="F94" s="173"/>
      <x:c r="G94" s="174"/>
      <x:c r="H94" s="175"/>
      <x:c r="I94" s="174"/>
      <x:c r="J94" s="176"/>
      <x:c r="K94" s="233"/>
      <x:c r="L94" s="233"/>
      <x:c r="M94" s="122"/>
      <x:c r="N94" s="177" t="str">
        <x:f t="shared" si="30"/>
      </x:c>
      <x:c r="O94" s="122"/>
      <x:c r="P94" s="177" t="str">
        <x:f t="shared" si="31"/>
      </x:c>
      <x:c r="Q94" s="178" t="str">
        <x:f t="shared" si="32"/>
      </x:c>
      <x:c r="R94" s="122"/>
      <x:c r="S94" s="177" t="str">
        <x:f t="shared" si="33"/>
      </x:c>
      <x:c r="T94" s="122"/>
      <x:c r="U94" s="177" t="str">
        <x:f t="shared" si="34"/>
      </x:c>
      <x:c r="V94" s="178" t="str">
        <x:f t="shared" si="35"/>
      </x:c>
      <x:c r="W94" s="122"/>
      <x:c r="X94" s="177" t="str">
        <x:f t="shared" si="36"/>
      </x:c>
      <x:c r="Y94" s="122"/>
      <x:c r="Z94" s="177" t="str">
        <x:f t="shared" si="37"/>
      </x:c>
      <x:c r="AA94" s="178" t="str">
        <x:f t="shared" si="38"/>
      </x:c>
      <x:c r="AB94" s="122"/>
      <x:c r="AC94" s="177" t="str">
        <x:f t="shared" si="39"/>
      </x:c>
      <x:c r="AD94" s="122"/>
      <x:c r="AE94" s="177" t="str">
        <x:f t="shared" si="40"/>
      </x:c>
      <x:c r="AF94" s="178" t="str">
        <x:f t="shared" si="41"/>
      </x:c>
      <x:c r="AG94" s="122"/>
      <x:c r="AH94" s="177" t="str">
        <x:f t="shared" si="42"/>
      </x:c>
      <x:c r="AI94" s="122"/>
      <x:c r="AJ94" s="177" t="str">
        <x:f t="shared" si="43"/>
      </x:c>
      <x:c r="AK94" s="178" t="str">
        <x:f t="shared" si="44"/>
      </x:c>
      <x:c r="AL94" s="122"/>
      <x:c r="AM94" s="177" t="str">
        <x:f t="shared" si="45"/>
      </x:c>
      <x:c r="AN94" s="122"/>
      <x:c r="AO94" s="177" t="str">
        <x:f t="shared" si="46"/>
      </x:c>
      <x:c r="AP94" s="178" t="str">
        <x:f t="shared" si="47"/>
      </x:c>
      <x:c r="AQ94" s="122"/>
      <x:c r="AR94" s="177" t="str">
        <x:f t="shared" si="48"/>
      </x:c>
      <x:c r="AS94" s="122"/>
      <x:c r="AT94" s="177" t="str">
        <x:f t="shared" si="49"/>
      </x:c>
      <x:c r="AU94" s="178" t="str">
        <x:f t="shared" si="50"/>
      </x:c>
      <x:c r="AV94" s="122"/>
      <x:c r="AW94" s="177" t="str">
        <x:f t="shared" si="51"/>
      </x:c>
      <x:c r="AX94" s="122"/>
      <x:c r="AY94" s="177" t="str">
        <x:f t="shared" si="52"/>
      </x:c>
      <x:c r="AZ94" s="178" t="str">
        <x:f t="shared" si="53"/>
      </x:c>
      <x:c r="BA94" s="122"/>
      <x:c r="BB94" s="177" t="str">
        <x:f t="shared" si="54"/>
      </x:c>
      <x:c r="BC94" s="122"/>
      <x:c r="BD94" s="177" t="str">
        <x:f t="shared" si="55"/>
      </x:c>
      <x:c r="BE94" s="178" t="str">
        <x:f t="shared" si="56"/>
      </x:c>
      <x:c r="BF94" s="122"/>
      <x:c r="BG94" s="177" t="str">
        <x:f t="shared" si="57"/>
      </x:c>
      <x:c r="BH94" s="122"/>
      <x:c r="BI94" s="177" t="str">
        <x:f t="shared" si="58"/>
      </x:c>
      <x:c r="BJ94" s="178" t="str">
        <x:f t="shared" si="59"/>
      </x:c>
    </x:row>
    <x:row r="95" ht="19.5" hidden="1" customHeight="1">
      <x:c r="A95" s="160"/>
      <x:c r="B95" s="179"/>
      <x:c r="C95" s="171"/>
      <x:c r="D95" s="172"/>
      <x:c r="E95" s="171"/>
      <x:c r="F95" s="173"/>
      <x:c r="G95" s="174"/>
      <x:c r="H95" s="175"/>
      <x:c r="I95" s="174"/>
      <x:c r="J95" s="176"/>
      <x:c r="K95" s="233"/>
      <x:c r="L95" s="233"/>
      <x:c r="M95" s="122"/>
      <x:c r="N95" s="177" t="str">
        <x:f t="shared" si="30"/>
      </x:c>
      <x:c r="O95" s="122"/>
      <x:c r="P95" s="177" t="str">
        <x:f t="shared" si="31"/>
      </x:c>
      <x:c r="Q95" s="178" t="str">
        <x:f t="shared" si="32"/>
      </x:c>
      <x:c r="R95" s="122"/>
      <x:c r="S95" s="177" t="str">
        <x:f t="shared" si="33"/>
      </x:c>
      <x:c r="T95" s="122"/>
      <x:c r="U95" s="177" t="str">
        <x:f t="shared" si="34"/>
      </x:c>
      <x:c r="V95" s="178" t="str">
        <x:f t="shared" si="35"/>
      </x:c>
      <x:c r="W95" s="122"/>
      <x:c r="X95" s="177" t="str">
        <x:f t="shared" si="36"/>
      </x:c>
      <x:c r="Y95" s="122"/>
      <x:c r="Z95" s="177" t="str">
        <x:f t="shared" si="37"/>
      </x:c>
      <x:c r="AA95" s="178" t="str">
        <x:f t="shared" si="38"/>
      </x:c>
      <x:c r="AB95" s="122"/>
      <x:c r="AC95" s="177" t="str">
        <x:f t="shared" si="39"/>
      </x:c>
      <x:c r="AD95" s="122"/>
      <x:c r="AE95" s="177" t="str">
        <x:f t="shared" si="40"/>
      </x:c>
      <x:c r="AF95" s="178" t="str">
        <x:f t="shared" si="41"/>
      </x:c>
      <x:c r="AG95" s="122"/>
      <x:c r="AH95" s="177" t="str">
        <x:f t="shared" si="42"/>
      </x:c>
      <x:c r="AI95" s="122"/>
      <x:c r="AJ95" s="177" t="str">
        <x:f t="shared" si="43"/>
      </x:c>
      <x:c r="AK95" s="178" t="str">
        <x:f t="shared" si="44"/>
      </x:c>
      <x:c r="AL95" s="122"/>
      <x:c r="AM95" s="177" t="str">
        <x:f t="shared" si="45"/>
      </x:c>
      <x:c r="AN95" s="122"/>
      <x:c r="AO95" s="177" t="str">
        <x:f t="shared" si="46"/>
      </x:c>
      <x:c r="AP95" s="178" t="str">
        <x:f t="shared" si="47"/>
      </x:c>
      <x:c r="AQ95" s="122"/>
      <x:c r="AR95" s="177" t="str">
        <x:f t="shared" si="48"/>
      </x:c>
      <x:c r="AS95" s="122"/>
      <x:c r="AT95" s="177" t="str">
        <x:f t="shared" si="49"/>
      </x:c>
      <x:c r="AU95" s="178" t="str">
        <x:f t="shared" si="50"/>
      </x:c>
      <x:c r="AV95" s="122"/>
      <x:c r="AW95" s="177" t="str">
        <x:f t="shared" si="51"/>
      </x:c>
      <x:c r="AX95" s="122"/>
      <x:c r="AY95" s="177" t="str">
        <x:f t="shared" si="52"/>
      </x:c>
      <x:c r="AZ95" s="178" t="str">
        <x:f t="shared" si="53"/>
      </x:c>
      <x:c r="BA95" s="122"/>
      <x:c r="BB95" s="177" t="str">
        <x:f t="shared" si="54"/>
      </x:c>
      <x:c r="BC95" s="122"/>
      <x:c r="BD95" s="177" t="str">
        <x:f t="shared" si="55"/>
      </x:c>
      <x:c r="BE95" s="178" t="str">
        <x:f t="shared" si="56"/>
      </x:c>
      <x:c r="BF95" s="122"/>
      <x:c r="BG95" s="177" t="str">
        <x:f t="shared" si="57"/>
      </x:c>
      <x:c r="BH95" s="122"/>
      <x:c r="BI95" s="177" t="str">
        <x:f t="shared" si="58"/>
      </x:c>
      <x:c r="BJ95" s="178" t="str">
        <x:f t="shared" si="59"/>
      </x:c>
    </x:row>
    <x:row r="96" ht="19.5" hidden="1" customHeight="1">
      <x:c r="A96" s="169"/>
      <x:c r="B96" s="170"/>
      <x:c r="C96" s="171"/>
      <x:c r="D96" s="172"/>
      <x:c r="E96" s="171"/>
      <x:c r="F96" s="173"/>
      <x:c r="G96" s="174"/>
      <x:c r="H96" s="175"/>
      <x:c r="I96" s="174"/>
      <x:c r="J96" s="176"/>
      <x:c r="K96" s="233"/>
      <x:c r="L96" s="233"/>
      <x:c r="M96" s="122"/>
      <x:c r="N96" s="177" t="str">
        <x:f t="shared" si="30"/>
      </x:c>
      <x:c r="O96" s="122"/>
      <x:c r="P96" s="177" t="str">
        <x:f t="shared" si="31"/>
      </x:c>
      <x:c r="Q96" s="178" t="str">
        <x:f t="shared" si="32"/>
      </x:c>
      <x:c r="R96" s="122"/>
      <x:c r="S96" s="177" t="str">
        <x:f t="shared" si="33"/>
      </x:c>
      <x:c r="T96" s="122"/>
      <x:c r="U96" s="177" t="str">
        <x:f t="shared" si="34"/>
      </x:c>
      <x:c r="V96" s="178" t="str">
        <x:f t="shared" si="35"/>
      </x:c>
      <x:c r="W96" s="122"/>
      <x:c r="X96" s="177" t="str">
        <x:f t="shared" si="36"/>
      </x:c>
      <x:c r="Y96" s="122"/>
      <x:c r="Z96" s="177" t="str">
        <x:f t="shared" si="37"/>
      </x:c>
      <x:c r="AA96" s="178" t="str">
        <x:f t="shared" si="38"/>
      </x:c>
      <x:c r="AB96" s="122"/>
      <x:c r="AC96" s="177" t="str">
        <x:f t="shared" si="39"/>
      </x:c>
      <x:c r="AD96" s="122"/>
      <x:c r="AE96" s="177" t="str">
        <x:f t="shared" si="40"/>
      </x:c>
      <x:c r="AF96" s="178" t="str">
        <x:f t="shared" si="41"/>
      </x:c>
      <x:c r="AG96" s="122"/>
      <x:c r="AH96" s="177" t="str">
        <x:f t="shared" si="42"/>
      </x:c>
      <x:c r="AI96" s="122"/>
      <x:c r="AJ96" s="177" t="str">
        <x:f t="shared" si="43"/>
      </x:c>
      <x:c r="AK96" s="178" t="str">
        <x:f t="shared" si="44"/>
      </x:c>
      <x:c r="AL96" s="122"/>
      <x:c r="AM96" s="177" t="str">
        <x:f t="shared" si="45"/>
      </x:c>
      <x:c r="AN96" s="122"/>
      <x:c r="AO96" s="177" t="str">
        <x:f t="shared" si="46"/>
      </x:c>
      <x:c r="AP96" s="178" t="str">
        <x:f t="shared" si="47"/>
      </x:c>
      <x:c r="AQ96" s="122"/>
      <x:c r="AR96" s="177" t="str">
        <x:f t="shared" si="48"/>
      </x:c>
      <x:c r="AS96" s="122"/>
      <x:c r="AT96" s="177" t="str">
        <x:f t="shared" si="49"/>
      </x:c>
      <x:c r="AU96" s="178" t="str">
        <x:f t="shared" si="50"/>
      </x:c>
      <x:c r="AV96" s="122"/>
      <x:c r="AW96" s="177" t="str">
        <x:f t="shared" si="51"/>
      </x:c>
      <x:c r="AX96" s="122"/>
      <x:c r="AY96" s="177" t="str">
        <x:f t="shared" si="52"/>
      </x:c>
      <x:c r="AZ96" s="178" t="str">
        <x:f t="shared" si="53"/>
      </x:c>
      <x:c r="BA96" s="122"/>
      <x:c r="BB96" s="177" t="str">
        <x:f t="shared" si="54"/>
      </x:c>
      <x:c r="BC96" s="122"/>
      <x:c r="BD96" s="177" t="str">
        <x:f t="shared" si="55"/>
      </x:c>
      <x:c r="BE96" s="178" t="str">
        <x:f t="shared" si="56"/>
      </x:c>
      <x:c r="BF96" s="122"/>
      <x:c r="BG96" s="177" t="str">
        <x:f t="shared" si="57"/>
      </x:c>
      <x:c r="BH96" s="122"/>
      <x:c r="BI96" s="177" t="str">
        <x:f t="shared" si="58"/>
      </x:c>
      <x:c r="BJ96" s="178" t="str">
        <x:f t="shared" si="59"/>
      </x:c>
    </x:row>
    <x:row r="97" ht="19.5" hidden="1" customHeight="1">
      <x:c r="A97" s="160"/>
      <x:c r="B97" s="179"/>
      <x:c r="C97" s="171"/>
      <x:c r="D97" s="172"/>
      <x:c r="E97" s="171"/>
      <x:c r="F97" s="173"/>
      <x:c r="G97" s="174"/>
      <x:c r="H97" s="175"/>
      <x:c r="I97" s="174"/>
      <x:c r="J97" s="176"/>
      <x:c r="K97" s="233"/>
      <x:c r="L97" s="233"/>
      <x:c r="M97" s="122"/>
      <x:c r="N97" s="177" t="str">
        <x:f t="shared" si="30"/>
      </x:c>
      <x:c r="O97" s="122"/>
      <x:c r="P97" s="177" t="str">
        <x:f t="shared" si="31"/>
      </x:c>
      <x:c r="Q97" s="178" t="str">
        <x:f t="shared" si="32"/>
      </x:c>
      <x:c r="R97" s="122"/>
      <x:c r="S97" s="177" t="str">
        <x:f t="shared" si="33"/>
      </x:c>
      <x:c r="T97" s="122"/>
      <x:c r="U97" s="177" t="str">
        <x:f t="shared" si="34"/>
      </x:c>
      <x:c r="V97" s="178" t="str">
        <x:f t="shared" si="35"/>
      </x:c>
      <x:c r="W97" s="122"/>
      <x:c r="X97" s="177" t="str">
        <x:f t="shared" si="36"/>
      </x:c>
      <x:c r="Y97" s="122"/>
      <x:c r="Z97" s="177" t="str">
        <x:f t="shared" si="37"/>
      </x:c>
      <x:c r="AA97" s="178" t="str">
        <x:f t="shared" si="38"/>
      </x:c>
      <x:c r="AB97" s="122"/>
      <x:c r="AC97" s="177" t="str">
        <x:f t="shared" si="39"/>
      </x:c>
      <x:c r="AD97" s="122"/>
      <x:c r="AE97" s="177" t="str">
        <x:f t="shared" si="40"/>
      </x:c>
      <x:c r="AF97" s="178" t="str">
        <x:f t="shared" si="41"/>
      </x:c>
      <x:c r="AG97" s="122"/>
      <x:c r="AH97" s="177" t="str">
        <x:f t="shared" si="42"/>
      </x:c>
      <x:c r="AI97" s="122"/>
      <x:c r="AJ97" s="177" t="str">
        <x:f t="shared" si="43"/>
      </x:c>
      <x:c r="AK97" s="178" t="str">
        <x:f t="shared" si="44"/>
      </x:c>
      <x:c r="AL97" s="122"/>
      <x:c r="AM97" s="177" t="str">
        <x:f t="shared" si="45"/>
      </x:c>
      <x:c r="AN97" s="122"/>
      <x:c r="AO97" s="177" t="str">
        <x:f t="shared" si="46"/>
      </x:c>
      <x:c r="AP97" s="178" t="str">
        <x:f t="shared" si="47"/>
      </x:c>
      <x:c r="AQ97" s="122"/>
      <x:c r="AR97" s="177" t="str">
        <x:f t="shared" si="48"/>
      </x:c>
      <x:c r="AS97" s="122"/>
      <x:c r="AT97" s="177" t="str">
        <x:f t="shared" si="49"/>
      </x:c>
      <x:c r="AU97" s="178" t="str">
        <x:f t="shared" si="50"/>
      </x:c>
      <x:c r="AV97" s="122"/>
      <x:c r="AW97" s="177" t="str">
        <x:f t="shared" si="51"/>
      </x:c>
      <x:c r="AX97" s="122"/>
      <x:c r="AY97" s="177" t="str">
        <x:f t="shared" si="52"/>
      </x:c>
      <x:c r="AZ97" s="178" t="str">
        <x:f t="shared" si="53"/>
      </x:c>
      <x:c r="BA97" s="122"/>
      <x:c r="BB97" s="177" t="str">
        <x:f t="shared" si="54"/>
      </x:c>
      <x:c r="BC97" s="122"/>
      <x:c r="BD97" s="177" t="str">
        <x:f t="shared" si="55"/>
      </x:c>
      <x:c r="BE97" s="178" t="str">
        <x:f t="shared" si="56"/>
      </x:c>
      <x:c r="BF97" s="122"/>
      <x:c r="BG97" s="177" t="str">
        <x:f t="shared" si="57"/>
      </x:c>
      <x:c r="BH97" s="122"/>
      <x:c r="BI97" s="177" t="str">
        <x:f t="shared" si="58"/>
      </x:c>
      <x:c r="BJ97" s="178" t="str">
        <x:f t="shared" si="59"/>
      </x:c>
    </x:row>
    <x:row r="98" ht="19.5" hidden="1" customHeight="1">
      <x:c r="A98" s="169"/>
      <x:c r="B98" s="170"/>
      <x:c r="C98" s="171"/>
      <x:c r="D98" s="172"/>
      <x:c r="E98" s="171"/>
      <x:c r="F98" s="173"/>
      <x:c r="G98" s="174"/>
      <x:c r="H98" s="175"/>
      <x:c r="I98" s="174"/>
      <x:c r="J98" s="176"/>
      <x:c r="K98" s="233"/>
      <x:c r="L98" s="233"/>
      <x:c r="M98" s="122"/>
      <x:c r="N98" s="177" t="str">
        <x:f t="shared" si="30"/>
      </x:c>
      <x:c r="O98" s="122"/>
      <x:c r="P98" s="177" t="str">
        <x:f t="shared" si="31"/>
      </x:c>
      <x:c r="Q98" s="178" t="str">
        <x:f t="shared" si="32"/>
      </x:c>
      <x:c r="R98" s="122"/>
      <x:c r="S98" s="177" t="str">
        <x:f t="shared" si="33"/>
      </x:c>
      <x:c r="T98" s="122"/>
      <x:c r="U98" s="177" t="str">
        <x:f t="shared" si="34"/>
      </x:c>
      <x:c r="V98" s="178" t="str">
        <x:f t="shared" si="35"/>
      </x:c>
      <x:c r="W98" s="122"/>
      <x:c r="X98" s="177" t="str">
        <x:f t="shared" si="36"/>
      </x:c>
      <x:c r="Y98" s="122"/>
      <x:c r="Z98" s="177" t="str">
        <x:f t="shared" si="37"/>
      </x:c>
      <x:c r="AA98" s="178" t="str">
        <x:f t="shared" si="38"/>
      </x:c>
      <x:c r="AB98" s="122"/>
      <x:c r="AC98" s="177" t="str">
        <x:f t="shared" si="39"/>
      </x:c>
      <x:c r="AD98" s="122"/>
      <x:c r="AE98" s="177" t="str">
        <x:f t="shared" si="40"/>
      </x:c>
      <x:c r="AF98" s="178" t="str">
        <x:f t="shared" si="41"/>
      </x:c>
      <x:c r="AG98" s="122"/>
      <x:c r="AH98" s="177" t="str">
        <x:f t="shared" si="42"/>
      </x:c>
      <x:c r="AI98" s="122"/>
      <x:c r="AJ98" s="177" t="str">
        <x:f t="shared" si="43"/>
      </x:c>
      <x:c r="AK98" s="178" t="str">
        <x:f t="shared" si="44"/>
      </x:c>
      <x:c r="AL98" s="122"/>
      <x:c r="AM98" s="177" t="str">
        <x:f t="shared" si="45"/>
      </x:c>
      <x:c r="AN98" s="122"/>
      <x:c r="AO98" s="177" t="str">
        <x:f t="shared" si="46"/>
      </x:c>
      <x:c r="AP98" s="178" t="str">
        <x:f t="shared" si="47"/>
      </x:c>
      <x:c r="AQ98" s="122"/>
      <x:c r="AR98" s="177" t="str">
        <x:f t="shared" si="48"/>
      </x:c>
      <x:c r="AS98" s="122"/>
      <x:c r="AT98" s="177" t="str">
        <x:f t="shared" si="49"/>
      </x:c>
      <x:c r="AU98" s="178" t="str">
        <x:f t="shared" si="50"/>
      </x:c>
      <x:c r="AV98" s="122"/>
      <x:c r="AW98" s="177" t="str">
        <x:f t="shared" si="51"/>
      </x:c>
      <x:c r="AX98" s="122"/>
      <x:c r="AY98" s="177" t="str">
        <x:f t="shared" si="52"/>
      </x:c>
      <x:c r="AZ98" s="178" t="str">
        <x:f t="shared" si="53"/>
      </x:c>
      <x:c r="BA98" s="122"/>
      <x:c r="BB98" s="177" t="str">
        <x:f t="shared" si="54"/>
      </x:c>
      <x:c r="BC98" s="122"/>
      <x:c r="BD98" s="177" t="str">
        <x:f t="shared" si="55"/>
      </x:c>
      <x:c r="BE98" s="178" t="str">
        <x:f t="shared" si="56"/>
      </x:c>
      <x:c r="BF98" s="122"/>
      <x:c r="BG98" s="177" t="str">
        <x:f t="shared" si="57"/>
      </x:c>
      <x:c r="BH98" s="122"/>
      <x:c r="BI98" s="177" t="str">
        <x:f t="shared" si="58"/>
      </x:c>
      <x:c r="BJ98" s="178" t="str">
        <x:f t="shared" si="59"/>
      </x:c>
    </x:row>
    <x:row r="99" ht="19.5" hidden="1" customHeight="1">
      <x:c r="A99" s="160"/>
      <x:c r="B99" s="179"/>
      <x:c r="C99" s="171"/>
      <x:c r="D99" s="172"/>
      <x:c r="E99" s="171"/>
      <x:c r="F99" s="173"/>
      <x:c r="G99" s="174"/>
      <x:c r="H99" s="175"/>
      <x:c r="I99" s="174"/>
      <x:c r="J99" s="176"/>
      <x:c r="K99" s="233"/>
      <x:c r="L99" s="233"/>
      <x:c r="M99" s="122"/>
      <x:c r="N99" s="177" t="str">
        <x:f t="shared" si="30"/>
      </x:c>
      <x:c r="O99" s="122"/>
      <x:c r="P99" s="177" t="str">
        <x:f t="shared" si="31"/>
      </x:c>
      <x:c r="Q99" s="178" t="str">
        <x:f t="shared" si="32"/>
      </x:c>
      <x:c r="R99" s="122"/>
      <x:c r="S99" s="177" t="str">
        <x:f t="shared" si="33"/>
      </x:c>
      <x:c r="T99" s="122"/>
      <x:c r="U99" s="177" t="str">
        <x:f t="shared" si="34"/>
      </x:c>
      <x:c r="V99" s="178" t="str">
        <x:f t="shared" si="35"/>
      </x:c>
      <x:c r="W99" s="122"/>
      <x:c r="X99" s="177" t="str">
        <x:f t="shared" si="36"/>
      </x:c>
      <x:c r="Y99" s="122"/>
      <x:c r="Z99" s="177" t="str">
        <x:f t="shared" si="37"/>
      </x:c>
      <x:c r="AA99" s="178" t="str">
        <x:f t="shared" si="38"/>
      </x:c>
      <x:c r="AB99" s="122"/>
      <x:c r="AC99" s="177" t="str">
        <x:f t="shared" si="39"/>
      </x:c>
      <x:c r="AD99" s="122"/>
      <x:c r="AE99" s="177" t="str">
        <x:f t="shared" si="40"/>
      </x:c>
      <x:c r="AF99" s="178" t="str">
        <x:f t="shared" si="41"/>
      </x:c>
      <x:c r="AG99" s="122"/>
      <x:c r="AH99" s="177" t="str">
        <x:f t="shared" si="42"/>
      </x:c>
      <x:c r="AI99" s="122"/>
      <x:c r="AJ99" s="177" t="str">
        <x:f t="shared" si="43"/>
      </x:c>
      <x:c r="AK99" s="178" t="str">
        <x:f t="shared" si="44"/>
      </x:c>
      <x:c r="AL99" s="122"/>
      <x:c r="AM99" s="177" t="str">
        <x:f t="shared" si="45"/>
      </x:c>
      <x:c r="AN99" s="122"/>
      <x:c r="AO99" s="177" t="str">
        <x:f t="shared" si="46"/>
      </x:c>
      <x:c r="AP99" s="178" t="str">
        <x:f t="shared" si="47"/>
      </x:c>
      <x:c r="AQ99" s="122"/>
      <x:c r="AR99" s="177" t="str">
        <x:f t="shared" si="48"/>
      </x:c>
      <x:c r="AS99" s="122"/>
      <x:c r="AT99" s="177" t="str">
        <x:f t="shared" si="49"/>
      </x:c>
      <x:c r="AU99" s="178" t="str">
        <x:f t="shared" si="50"/>
      </x:c>
      <x:c r="AV99" s="122"/>
      <x:c r="AW99" s="177" t="str">
        <x:f t="shared" si="51"/>
      </x:c>
      <x:c r="AX99" s="122"/>
      <x:c r="AY99" s="177" t="str">
        <x:f t="shared" si="52"/>
      </x:c>
      <x:c r="AZ99" s="178" t="str">
        <x:f t="shared" si="53"/>
      </x:c>
      <x:c r="BA99" s="122"/>
      <x:c r="BB99" s="177" t="str">
        <x:f t="shared" si="54"/>
      </x:c>
      <x:c r="BC99" s="122"/>
      <x:c r="BD99" s="177" t="str">
        <x:f t="shared" si="55"/>
      </x:c>
      <x:c r="BE99" s="178" t="str">
        <x:f t="shared" si="56"/>
      </x:c>
      <x:c r="BF99" s="122"/>
      <x:c r="BG99" s="177" t="str">
        <x:f t="shared" si="57"/>
      </x:c>
      <x:c r="BH99" s="122"/>
      <x:c r="BI99" s="177" t="str">
        <x:f t="shared" si="58"/>
      </x:c>
      <x:c r="BJ99" s="178" t="str">
        <x:f t="shared" si="59"/>
      </x:c>
    </x:row>
    <x:row r="100" ht="19.5" hidden="1" customHeight="1">
      <x:c r="A100" s="169"/>
      <x:c r="B100" s="170"/>
      <x:c r="C100" s="171"/>
      <x:c r="D100" s="172"/>
      <x:c r="E100" s="171"/>
      <x:c r="F100" s="173"/>
      <x:c r="G100" s="174"/>
      <x:c r="H100" s="175"/>
      <x:c r="I100" s="174"/>
      <x:c r="J100" s="176"/>
      <x:c r="K100" s="233"/>
      <x:c r="L100" s="233"/>
      <x:c r="M100" s="122"/>
      <x:c r="N100" s="177" t="str">
        <x:f t="shared" si="30"/>
      </x:c>
      <x:c r="O100" s="122"/>
      <x:c r="P100" s="177" t="str">
        <x:f t="shared" si="31"/>
      </x:c>
      <x:c r="Q100" s="178" t="str">
        <x:f t="shared" si="32"/>
      </x:c>
      <x:c r="R100" s="122"/>
      <x:c r="S100" s="177" t="str">
        <x:f t="shared" si="33"/>
      </x:c>
      <x:c r="T100" s="122"/>
      <x:c r="U100" s="177" t="str">
        <x:f t="shared" si="34"/>
      </x:c>
      <x:c r="V100" s="178" t="str">
        <x:f t="shared" si="35"/>
      </x:c>
      <x:c r="W100" s="122"/>
      <x:c r="X100" s="177" t="str">
        <x:f t="shared" si="36"/>
      </x:c>
      <x:c r="Y100" s="122"/>
      <x:c r="Z100" s="177" t="str">
        <x:f t="shared" si="37"/>
      </x:c>
      <x:c r="AA100" s="178" t="str">
        <x:f t="shared" si="38"/>
      </x:c>
      <x:c r="AB100" s="122"/>
      <x:c r="AC100" s="177" t="str">
        <x:f t="shared" si="39"/>
      </x:c>
      <x:c r="AD100" s="122"/>
      <x:c r="AE100" s="177" t="str">
        <x:f t="shared" si="40"/>
      </x:c>
      <x:c r="AF100" s="178" t="str">
        <x:f t="shared" si="41"/>
      </x:c>
      <x:c r="AG100" s="122"/>
      <x:c r="AH100" s="177" t="str">
        <x:f t="shared" si="42"/>
      </x:c>
      <x:c r="AI100" s="122"/>
      <x:c r="AJ100" s="177" t="str">
        <x:f t="shared" si="43"/>
      </x:c>
      <x:c r="AK100" s="178" t="str">
        <x:f t="shared" si="44"/>
      </x:c>
      <x:c r="AL100" s="122"/>
      <x:c r="AM100" s="177" t="str">
        <x:f t="shared" si="45"/>
      </x:c>
      <x:c r="AN100" s="122"/>
      <x:c r="AO100" s="177" t="str">
        <x:f t="shared" si="46"/>
      </x:c>
      <x:c r="AP100" s="178" t="str">
        <x:f t="shared" si="47"/>
      </x:c>
      <x:c r="AQ100" s="122"/>
      <x:c r="AR100" s="177" t="str">
        <x:f t="shared" si="48"/>
      </x:c>
      <x:c r="AS100" s="122"/>
      <x:c r="AT100" s="177" t="str">
        <x:f t="shared" si="49"/>
      </x:c>
      <x:c r="AU100" s="178" t="str">
        <x:f t="shared" si="50"/>
      </x:c>
      <x:c r="AV100" s="122"/>
      <x:c r="AW100" s="177" t="str">
        <x:f t="shared" si="51"/>
      </x:c>
      <x:c r="AX100" s="122"/>
      <x:c r="AY100" s="177" t="str">
        <x:f t="shared" si="52"/>
      </x:c>
      <x:c r="AZ100" s="178" t="str">
        <x:f t="shared" si="53"/>
      </x:c>
      <x:c r="BA100" s="122"/>
      <x:c r="BB100" s="177" t="str">
        <x:f t="shared" si="54"/>
      </x:c>
      <x:c r="BC100" s="122"/>
      <x:c r="BD100" s="177" t="str">
        <x:f t="shared" si="55"/>
      </x:c>
      <x:c r="BE100" s="178" t="str">
        <x:f t="shared" si="56"/>
      </x:c>
      <x:c r="BF100" s="122"/>
      <x:c r="BG100" s="177" t="str">
        <x:f t="shared" si="57"/>
      </x:c>
      <x:c r="BH100" s="122"/>
      <x:c r="BI100" s="177" t="str">
        <x:f t="shared" si="58"/>
      </x:c>
      <x:c r="BJ100" s="178" t="str">
        <x:f t="shared" si="59"/>
      </x:c>
    </x:row>
    <x:row r="101" ht="19.5" hidden="1" customHeight="1">
      <x:c r="A101" s="160"/>
      <x:c r="B101" s="179"/>
      <x:c r="C101" s="171"/>
      <x:c r="D101" s="172"/>
      <x:c r="E101" s="171"/>
      <x:c r="F101" s="173"/>
      <x:c r="G101" s="174"/>
      <x:c r="H101" s="175"/>
      <x:c r="I101" s="174"/>
      <x:c r="J101" s="176"/>
      <x:c r="K101" s="233"/>
      <x:c r="L101" s="233"/>
      <x:c r="M101" s="122"/>
      <x:c r="N101" s="177" t="str">
        <x:f t="shared" si="30"/>
      </x:c>
      <x:c r="O101" s="122"/>
      <x:c r="P101" s="177" t="str">
        <x:f t="shared" si="31"/>
      </x:c>
      <x:c r="Q101" s="178" t="str">
        <x:f t="shared" si="32"/>
      </x:c>
      <x:c r="R101" s="122"/>
      <x:c r="S101" s="177" t="str">
        <x:f t="shared" si="33"/>
      </x:c>
      <x:c r="T101" s="122"/>
      <x:c r="U101" s="177" t="str">
        <x:f t="shared" si="34"/>
      </x:c>
      <x:c r="V101" s="178" t="str">
        <x:f t="shared" si="35"/>
      </x:c>
      <x:c r="W101" s="122"/>
      <x:c r="X101" s="177" t="str">
        <x:f t="shared" si="36"/>
      </x:c>
      <x:c r="Y101" s="122"/>
      <x:c r="Z101" s="177" t="str">
        <x:f t="shared" si="37"/>
      </x:c>
      <x:c r="AA101" s="178" t="str">
        <x:f t="shared" si="38"/>
      </x:c>
      <x:c r="AB101" s="122"/>
      <x:c r="AC101" s="177" t="str">
        <x:f t="shared" si="39"/>
      </x:c>
      <x:c r="AD101" s="122"/>
      <x:c r="AE101" s="177" t="str">
        <x:f t="shared" si="40"/>
      </x:c>
      <x:c r="AF101" s="178" t="str">
        <x:f t="shared" si="41"/>
      </x:c>
      <x:c r="AG101" s="122"/>
      <x:c r="AH101" s="177" t="str">
        <x:f t="shared" si="42"/>
      </x:c>
      <x:c r="AI101" s="122"/>
      <x:c r="AJ101" s="177" t="str">
        <x:f t="shared" si="43"/>
      </x:c>
      <x:c r="AK101" s="178" t="str">
        <x:f t="shared" si="44"/>
      </x:c>
      <x:c r="AL101" s="122"/>
      <x:c r="AM101" s="177" t="str">
        <x:f t="shared" si="45"/>
      </x:c>
      <x:c r="AN101" s="122"/>
      <x:c r="AO101" s="177" t="str">
        <x:f t="shared" si="46"/>
      </x:c>
      <x:c r="AP101" s="178" t="str">
        <x:f t="shared" si="47"/>
      </x:c>
      <x:c r="AQ101" s="122"/>
      <x:c r="AR101" s="177" t="str">
        <x:f t="shared" si="48"/>
      </x:c>
      <x:c r="AS101" s="122"/>
      <x:c r="AT101" s="177" t="str">
        <x:f t="shared" si="49"/>
      </x:c>
      <x:c r="AU101" s="178" t="str">
        <x:f t="shared" si="50"/>
      </x:c>
      <x:c r="AV101" s="122"/>
      <x:c r="AW101" s="177" t="str">
        <x:f t="shared" si="51"/>
      </x:c>
      <x:c r="AX101" s="122"/>
      <x:c r="AY101" s="177" t="str">
        <x:f t="shared" si="52"/>
      </x:c>
      <x:c r="AZ101" s="178" t="str">
        <x:f t="shared" si="53"/>
      </x:c>
      <x:c r="BA101" s="122"/>
      <x:c r="BB101" s="177" t="str">
        <x:f t="shared" si="54"/>
      </x:c>
      <x:c r="BC101" s="122"/>
      <x:c r="BD101" s="177" t="str">
        <x:f t="shared" si="55"/>
      </x:c>
      <x:c r="BE101" s="178" t="str">
        <x:f t="shared" si="56"/>
      </x:c>
      <x:c r="BF101" s="122"/>
      <x:c r="BG101" s="177" t="str">
        <x:f t="shared" si="57"/>
      </x:c>
      <x:c r="BH101" s="122"/>
      <x:c r="BI101" s="177" t="str">
        <x:f t="shared" si="58"/>
      </x:c>
      <x:c r="BJ101" s="178" t="str">
        <x:f t="shared" si="59"/>
      </x:c>
    </x:row>
    <x:row r="102" ht="19.5" hidden="1" customHeight="1">
      <x:c r="A102" s="169"/>
      <x:c r="B102" s="170"/>
      <x:c r="C102" s="171"/>
      <x:c r="D102" s="172"/>
      <x:c r="E102" s="171"/>
      <x:c r="F102" s="173"/>
      <x:c r="G102" s="174"/>
      <x:c r="H102" s="175"/>
      <x:c r="I102" s="174"/>
      <x:c r="J102" s="176"/>
      <x:c r="K102" s="233"/>
      <x:c r="L102" s="233"/>
      <x:c r="M102" s="122"/>
      <x:c r="N102" s="177" t="str">
        <x:f t="shared" si="30"/>
      </x:c>
      <x:c r="O102" s="122"/>
      <x:c r="P102" s="177" t="str">
        <x:f t="shared" si="31"/>
      </x:c>
      <x:c r="Q102" s="178" t="str">
        <x:f t="shared" si="32"/>
      </x:c>
      <x:c r="R102" s="122"/>
      <x:c r="S102" s="177" t="str">
        <x:f t="shared" si="33"/>
      </x:c>
      <x:c r="T102" s="122"/>
      <x:c r="U102" s="177" t="str">
        <x:f t="shared" si="34"/>
      </x:c>
      <x:c r="V102" s="178" t="str">
        <x:f t="shared" si="35"/>
      </x:c>
      <x:c r="W102" s="122"/>
      <x:c r="X102" s="177" t="str">
        <x:f t="shared" si="36"/>
      </x:c>
      <x:c r="Y102" s="122"/>
      <x:c r="Z102" s="177" t="str">
        <x:f t="shared" si="37"/>
      </x:c>
      <x:c r="AA102" s="178" t="str">
        <x:f t="shared" si="38"/>
      </x:c>
      <x:c r="AB102" s="122"/>
      <x:c r="AC102" s="177" t="str">
        <x:f t="shared" si="39"/>
      </x:c>
      <x:c r="AD102" s="122"/>
      <x:c r="AE102" s="177" t="str">
        <x:f t="shared" si="40"/>
      </x:c>
      <x:c r="AF102" s="178" t="str">
        <x:f t="shared" si="41"/>
      </x:c>
      <x:c r="AG102" s="122"/>
      <x:c r="AH102" s="177" t="str">
        <x:f t="shared" si="42"/>
      </x:c>
      <x:c r="AI102" s="122"/>
      <x:c r="AJ102" s="177" t="str">
        <x:f t="shared" si="43"/>
      </x:c>
      <x:c r="AK102" s="178" t="str">
        <x:f t="shared" si="44"/>
      </x:c>
      <x:c r="AL102" s="122"/>
      <x:c r="AM102" s="177" t="str">
        <x:f t="shared" si="45"/>
      </x:c>
      <x:c r="AN102" s="122"/>
      <x:c r="AO102" s="177" t="str">
        <x:f t="shared" si="46"/>
      </x:c>
      <x:c r="AP102" s="178" t="str">
        <x:f t="shared" si="47"/>
      </x:c>
      <x:c r="AQ102" s="122"/>
      <x:c r="AR102" s="177" t="str">
        <x:f t="shared" si="48"/>
      </x:c>
      <x:c r="AS102" s="122"/>
      <x:c r="AT102" s="177" t="str">
        <x:f t="shared" si="49"/>
      </x:c>
      <x:c r="AU102" s="178" t="str">
        <x:f t="shared" si="50"/>
      </x:c>
      <x:c r="AV102" s="122"/>
      <x:c r="AW102" s="177" t="str">
        <x:f t="shared" si="51"/>
      </x:c>
      <x:c r="AX102" s="122"/>
      <x:c r="AY102" s="177" t="str">
        <x:f t="shared" si="52"/>
      </x:c>
      <x:c r="AZ102" s="178" t="str">
        <x:f t="shared" si="53"/>
      </x:c>
      <x:c r="BA102" s="122"/>
      <x:c r="BB102" s="177" t="str">
        <x:f t="shared" si="54"/>
      </x:c>
      <x:c r="BC102" s="122"/>
      <x:c r="BD102" s="177" t="str">
        <x:f t="shared" si="55"/>
      </x:c>
      <x:c r="BE102" s="178" t="str">
        <x:f t="shared" si="56"/>
      </x:c>
      <x:c r="BF102" s="122"/>
      <x:c r="BG102" s="177" t="str">
        <x:f t="shared" si="57"/>
      </x:c>
      <x:c r="BH102" s="122"/>
      <x:c r="BI102" s="177" t="str">
        <x:f t="shared" si="58"/>
      </x:c>
      <x:c r="BJ102" s="178" t="str">
        <x:f t="shared" si="59"/>
      </x:c>
    </x:row>
    <x:row r="103" ht="19.5" hidden="1" customHeight="1">
      <x:c r="A103" s="160"/>
      <x:c r="B103" s="179"/>
      <x:c r="C103" s="171"/>
      <x:c r="D103" s="172"/>
      <x:c r="E103" s="171"/>
      <x:c r="F103" s="173"/>
      <x:c r="G103" s="174"/>
      <x:c r="H103" s="175"/>
      <x:c r="I103" s="174"/>
      <x:c r="J103" s="176"/>
      <x:c r="K103" s="233"/>
      <x:c r="L103" s="233"/>
      <x:c r="M103" s="122"/>
      <x:c r="N103" s="177" t="str">
        <x:f t="shared" si="30"/>
      </x:c>
      <x:c r="O103" s="122"/>
      <x:c r="P103" s="177" t="str">
        <x:f t="shared" si="31"/>
      </x:c>
      <x:c r="Q103" s="178" t="str">
        <x:f t="shared" si="32"/>
      </x:c>
      <x:c r="R103" s="122"/>
      <x:c r="S103" s="177" t="str">
        <x:f t="shared" si="33"/>
      </x:c>
      <x:c r="T103" s="122"/>
      <x:c r="U103" s="177" t="str">
        <x:f t="shared" si="34"/>
      </x:c>
      <x:c r="V103" s="178" t="str">
        <x:f t="shared" si="35"/>
      </x:c>
      <x:c r="W103" s="122"/>
      <x:c r="X103" s="177" t="str">
        <x:f t="shared" si="36"/>
      </x:c>
      <x:c r="Y103" s="122"/>
      <x:c r="Z103" s="177" t="str">
        <x:f t="shared" si="37"/>
      </x:c>
      <x:c r="AA103" s="178" t="str">
        <x:f t="shared" si="38"/>
      </x:c>
      <x:c r="AB103" s="122"/>
      <x:c r="AC103" s="177" t="str">
        <x:f t="shared" si="39"/>
      </x:c>
      <x:c r="AD103" s="122"/>
      <x:c r="AE103" s="177" t="str">
        <x:f t="shared" si="40"/>
      </x:c>
      <x:c r="AF103" s="178" t="str">
        <x:f t="shared" si="41"/>
      </x:c>
      <x:c r="AG103" s="122"/>
      <x:c r="AH103" s="177" t="str">
        <x:f t="shared" si="42"/>
      </x:c>
      <x:c r="AI103" s="122"/>
      <x:c r="AJ103" s="177" t="str">
        <x:f t="shared" si="43"/>
      </x:c>
      <x:c r="AK103" s="178" t="str">
        <x:f t="shared" si="44"/>
      </x:c>
      <x:c r="AL103" s="122"/>
      <x:c r="AM103" s="177" t="str">
        <x:f t="shared" si="45"/>
      </x:c>
      <x:c r="AN103" s="122"/>
      <x:c r="AO103" s="177" t="str">
        <x:f t="shared" si="46"/>
      </x:c>
      <x:c r="AP103" s="178" t="str">
        <x:f t="shared" si="47"/>
      </x:c>
      <x:c r="AQ103" s="122"/>
      <x:c r="AR103" s="177" t="str">
        <x:f t="shared" si="48"/>
      </x:c>
      <x:c r="AS103" s="122"/>
      <x:c r="AT103" s="177" t="str">
        <x:f t="shared" si="49"/>
      </x:c>
      <x:c r="AU103" s="178" t="str">
        <x:f t="shared" si="50"/>
      </x:c>
      <x:c r="AV103" s="122"/>
      <x:c r="AW103" s="177" t="str">
        <x:f t="shared" si="51"/>
      </x:c>
      <x:c r="AX103" s="122"/>
      <x:c r="AY103" s="177" t="str">
        <x:f t="shared" si="52"/>
      </x:c>
      <x:c r="AZ103" s="178" t="str">
        <x:f t="shared" si="53"/>
      </x:c>
      <x:c r="BA103" s="122"/>
      <x:c r="BB103" s="177" t="str">
        <x:f t="shared" si="54"/>
      </x:c>
      <x:c r="BC103" s="122"/>
      <x:c r="BD103" s="177" t="str">
        <x:f t="shared" si="55"/>
      </x:c>
      <x:c r="BE103" s="178" t="str">
        <x:f t="shared" si="56"/>
      </x:c>
      <x:c r="BF103" s="122"/>
      <x:c r="BG103" s="177" t="str">
        <x:f t="shared" si="57"/>
      </x:c>
      <x:c r="BH103" s="122"/>
      <x:c r="BI103" s="177" t="str">
        <x:f t="shared" si="58"/>
      </x:c>
      <x:c r="BJ103" s="178" t="str">
        <x:f t="shared" si="59"/>
      </x:c>
    </x:row>
    <x:row r="104" ht="19.5" hidden="1" customHeight="1">
      <x:c r="A104" s="169"/>
      <x:c r="B104" s="170"/>
      <x:c r="C104" s="171"/>
      <x:c r="D104" s="172"/>
      <x:c r="E104" s="171"/>
      <x:c r="F104" s="173"/>
      <x:c r="G104" s="174"/>
      <x:c r="H104" s="175"/>
      <x:c r="I104" s="174"/>
      <x:c r="J104" s="176"/>
      <x:c r="K104" s="233"/>
      <x:c r="L104" s="233"/>
      <x:c r="M104" s="122"/>
      <x:c r="N104" s="177" t="str">
        <x:f t="shared" si="30"/>
      </x:c>
      <x:c r="O104" s="122"/>
      <x:c r="P104" s="177" t="str">
        <x:f t="shared" si="31"/>
      </x:c>
      <x:c r="Q104" s="178" t="str">
        <x:f t="shared" si="32"/>
      </x:c>
      <x:c r="R104" s="122"/>
      <x:c r="S104" s="177" t="str">
        <x:f t="shared" si="33"/>
      </x:c>
      <x:c r="T104" s="122"/>
      <x:c r="U104" s="177" t="str">
        <x:f t="shared" si="34"/>
      </x:c>
      <x:c r="V104" s="178" t="str">
        <x:f t="shared" si="35"/>
      </x:c>
      <x:c r="W104" s="122"/>
      <x:c r="X104" s="177" t="str">
        <x:f t="shared" si="36"/>
      </x:c>
      <x:c r="Y104" s="122"/>
      <x:c r="Z104" s="177" t="str">
        <x:f t="shared" si="37"/>
      </x:c>
      <x:c r="AA104" s="178" t="str">
        <x:f t="shared" si="38"/>
      </x:c>
      <x:c r="AB104" s="122"/>
      <x:c r="AC104" s="177" t="str">
        <x:f t="shared" si="39"/>
      </x:c>
      <x:c r="AD104" s="122"/>
      <x:c r="AE104" s="177" t="str">
        <x:f t="shared" si="40"/>
      </x:c>
      <x:c r="AF104" s="178" t="str">
        <x:f t="shared" si="41"/>
      </x:c>
      <x:c r="AG104" s="122"/>
      <x:c r="AH104" s="177" t="str">
        <x:f t="shared" si="42"/>
      </x:c>
      <x:c r="AI104" s="122"/>
      <x:c r="AJ104" s="177" t="str">
        <x:f t="shared" si="43"/>
      </x:c>
      <x:c r="AK104" s="178" t="str">
        <x:f t="shared" si="44"/>
      </x:c>
      <x:c r="AL104" s="122"/>
      <x:c r="AM104" s="177" t="str">
        <x:f t="shared" si="45"/>
      </x:c>
      <x:c r="AN104" s="122"/>
      <x:c r="AO104" s="177" t="str">
        <x:f t="shared" si="46"/>
      </x:c>
      <x:c r="AP104" s="178" t="str">
        <x:f t="shared" si="47"/>
      </x:c>
      <x:c r="AQ104" s="122"/>
      <x:c r="AR104" s="177" t="str">
        <x:f t="shared" si="48"/>
      </x:c>
      <x:c r="AS104" s="122"/>
      <x:c r="AT104" s="177" t="str">
        <x:f t="shared" si="49"/>
      </x:c>
      <x:c r="AU104" s="178" t="str">
        <x:f t="shared" si="50"/>
      </x:c>
      <x:c r="AV104" s="122"/>
      <x:c r="AW104" s="177" t="str">
        <x:f t="shared" si="51"/>
      </x:c>
      <x:c r="AX104" s="122"/>
      <x:c r="AY104" s="177" t="str">
        <x:f t="shared" si="52"/>
      </x:c>
      <x:c r="AZ104" s="178" t="str">
        <x:f t="shared" si="53"/>
      </x:c>
      <x:c r="BA104" s="122"/>
      <x:c r="BB104" s="177" t="str">
        <x:f t="shared" si="54"/>
      </x:c>
      <x:c r="BC104" s="122"/>
      <x:c r="BD104" s="177" t="str">
        <x:f t="shared" si="55"/>
      </x:c>
      <x:c r="BE104" s="178" t="str">
        <x:f t="shared" si="56"/>
      </x:c>
      <x:c r="BF104" s="122"/>
      <x:c r="BG104" s="177" t="str">
        <x:f t="shared" si="57"/>
      </x:c>
      <x:c r="BH104" s="122"/>
      <x:c r="BI104" s="177" t="str">
        <x:f t="shared" si="58"/>
      </x:c>
      <x:c r="BJ104" s="178" t="str">
        <x:f t="shared" si="59"/>
      </x:c>
    </x:row>
    <x:row r="105" ht="19.5" hidden="1" customHeight="1">
      <x:c r="A105" s="160"/>
      <x:c r="B105" s="179"/>
      <x:c r="C105" s="171"/>
      <x:c r="D105" s="172"/>
      <x:c r="E105" s="171"/>
      <x:c r="F105" s="173"/>
      <x:c r="G105" s="174"/>
      <x:c r="H105" s="175"/>
      <x:c r="I105" s="174"/>
      <x:c r="J105" s="176"/>
      <x:c r="K105" s="233"/>
      <x:c r="L105" s="233"/>
      <x:c r="M105" s="122"/>
      <x:c r="N105" s="177" t="str">
        <x:f t="shared" si="30"/>
      </x:c>
      <x:c r="O105" s="122"/>
      <x:c r="P105" s="177" t="str">
        <x:f t="shared" si="31"/>
      </x:c>
      <x:c r="Q105" s="178" t="str">
        <x:f t="shared" si="32"/>
      </x:c>
      <x:c r="R105" s="122"/>
      <x:c r="S105" s="177" t="str">
        <x:f t="shared" si="33"/>
      </x:c>
      <x:c r="T105" s="122"/>
      <x:c r="U105" s="177" t="str">
        <x:f t="shared" si="34"/>
      </x:c>
      <x:c r="V105" s="178" t="str">
        <x:f t="shared" si="35"/>
      </x:c>
      <x:c r="W105" s="122"/>
      <x:c r="X105" s="177" t="str">
        <x:f t="shared" si="36"/>
      </x:c>
      <x:c r="Y105" s="122"/>
      <x:c r="Z105" s="177" t="str">
        <x:f t="shared" si="37"/>
      </x:c>
      <x:c r="AA105" s="178" t="str">
        <x:f t="shared" si="38"/>
      </x:c>
      <x:c r="AB105" s="122"/>
      <x:c r="AC105" s="177" t="str">
        <x:f t="shared" si="39"/>
      </x:c>
      <x:c r="AD105" s="122"/>
      <x:c r="AE105" s="177" t="str">
        <x:f t="shared" si="40"/>
      </x:c>
      <x:c r="AF105" s="178" t="str">
        <x:f t="shared" si="41"/>
      </x:c>
      <x:c r="AG105" s="122"/>
      <x:c r="AH105" s="177" t="str">
        <x:f t="shared" si="42"/>
      </x:c>
      <x:c r="AI105" s="122"/>
      <x:c r="AJ105" s="177" t="str">
        <x:f t="shared" si="43"/>
      </x:c>
      <x:c r="AK105" s="178" t="str">
        <x:f t="shared" si="44"/>
      </x:c>
      <x:c r="AL105" s="122"/>
      <x:c r="AM105" s="177" t="str">
        <x:f t="shared" si="45"/>
      </x:c>
      <x:c r="AN105" s="122"/>
      <x:c r="AO105" s="177" t="str">
        <x:f t="shared" si="46"/>
      </x:c>
      <x:c r="AP105" s="178" t="str">
        <x:f t="shared" si="47"/>
      </x:c>
      <x:c r="AQ105" s="122"/>
      <x:c r="AR105" s="177" t="str">
        <x:f t="shared" si="48"/>
      </x:c>
      <x:c r="AS105" s="122"/>
      <x:c r="AT105" s="177" t="str">
        <x:f t="shared" si="49"/>
      </x:c>
      <x:c r="AU105" s="178" t="str">
        <x:f t="shared" si="50"/>
      </x:c>
      <x:c r="AV105" s="122"/>
      <x:c r="AW105" s="177" t="str">
        <x:f t="shared" si="51"/>
      </x:c>
      <x:c r="AX105" s="122"/>
      <x:c r="AY105" s="177" t="str">
        <x:f t="shared" si="52"/>
      </x:c>
      <x:c r="AZ105" s="178" t="str">
        <x:f t="shared" si="53"/>
      </x:c>
      <x:c r="BA105" s="122"/>
      <x:c r="BB105" s="177" t="str">
        <x:f t="shared" si="54"/>
      </x:c>
      <x:c r="BC105" s="122"/>
      <x:c r="BD105" s="177" t="str">
        <x:f t="shared" si="55"/>
      </x:c>
      <x:c r="BE105" s="178" t="str">
        <x:f t="shared" si="56"/>
      </x:c>
      <x:c r="BF105" s="122"/>
      <x:c r="BG105" s="177" t="str">
        <x:f t="shared" si="57"/>
      </x:c>
      <x:c r="BH105" s="122"/>
      <x:c r="BI105" s="177" t="str">
        <x:f t="shared" si="58"/>
      </x:c>
      <x:c r="BJ105" s="178" t="str">
        <x:f t="shared" si="59"/>
      </x:c>
    </x:row>
    <x:row r="106" ht="19.5" hidden="1" customHeight="1">
      <x:c r="A106" s="169"/>
      <x:c r="B106" s="170"/>
      <x:c r="C106" s="171"/>
      <x:c r="D106" s="172"/>
      <x:c r="E106" s="171"/>
      <x:c r="F106" s="173"/>
      <x:c r="G106" s="174"/>
      <x:c r="H106" s="175"/>
      <x:c r="I106" s="174"/>
      <x:c r="J106" s="176"/>
      <x:c r="K106" s="233"/>
      <x:c r="L106" s="233"/>
      <x:c r="M106" s="122"/>
      <x:c r="N106" s="177" t="str">
        <x:f t="shared" si="30"/>
      </x:c>
      <x:c r="O106" s="122"/>
      <x:c r="P106" s="177" t="str">
        <x:f t="shared" si="31"/>
      </x:c>
      <x:c r="Q106" s="178" t="str">
        <x:f t="shared" si="32"/>
      </x:c>
      <x:c r="R106" s="122"/>
      <x:c r="S106" s="177" t="str">
        <x:f t="shared" si="33"/>
      </x:c>
      <x:c r="T106" s="122"/>
      <x:c r="U106" s="177" t="str">
        <x:f t="shared" si="34"/>
      </x:c>
      <x:c r="V106" s="178" t="str">
        <x:f t="shared" si="35"/>
      </x:c>
      <x:c r="W106" s="122"/>
      <x:c r="X106" s="177" t="str">
        <x:f t="shared" si="36"/>
      </x:c>
      <x:c r="Y106" s="122"/>
      <x:c r="Z106" s="177" t="str">
        <x:f t="shared" si="37"/>
      </x:c>
      <x:c r="AA106" s="178" t="str">
        <x:f t="shared" si="38"/>
      </x:c>
      <x:c r="AB106" s="122"/>
      <x:c r="AC106" s="177" t="str">
        <x:f t="shared" si="39"/>
      </x:c>
      <x:c r="AD106" s="122"/>
      <x:c r="AE106" s="177" t="str">
        <x:f t="shared" si="40"/>
      </x:c>
      <x:c r="AF106" s="178" t="str">
        <x:f t="shared" si="41"/>
      </x:c>
      <x:c r="AG106" s="122"/>
      <x:c r="AH106" s="177" t="str">
        <x:f t="shared" si="42"/>
      </x:c>
      <x:c r="AI106" s="122"/>
      <x:c r="AJ106" s="177" t="str">
        <x:f t="shared" si="43"/>
      </x:c>
      <x:c r="AK106" s="178" t="str">
        <x:f t="shared" si="44"/>
      </x:c>
      <x:c r="AL106" s="122"/>
      <x:c r="AM106" s="177" t="str">
        <x:f t="shared" si="45"/>
      </x:c>
      <x:c r="AN106" s="122"/>
      <x:c r="AO106" s="177" t="str">
        <x:f t="shared" si="46"/>
      </x:c>
      <x:c r="AP106" s="178" t="str">
        <x:f t="shared" si="47"/>
      </x:c>
      <x:c r="AQ106" s="122"/>
      <x:c r="AR106" s="177" t="str">
        <x:f t="shared" si="48"/>
      </x:c>
      <x:c r="AS106" s="122"/>
      <x:c r="AT106" s="177" t="str">
        <x:f t="shared" si="49"/>
      </x:c>
      <x:c r="AU106" s="178" t="str">
        <x:f t="shared" si="50"/>
      </x:c>
      <x:c r="AV106" s="122"/>
      <x:c r="AW106" s="177" t="str">
        <x:f t="shared" si="51"/>
      </x:c>
      <x:c r="AX106" s="122"/>
      <x:c r="AY106" s="177" t="str">
        <x:f t="shared" si="52"/>
      </x:c>
      <x:c r="AZ106" s="178" t="str">
        <x:f t="shared" si="53"/>
      </x:c>
      <x:c r="BA106" s="122"/>
      <x:c r="BB106" s="177" t="str">
        <x:f t="shared" si="54"/>
      </x:c>
      <x:c r="BC106" s="122"/>
      <x:c r="BD106" s="177" t="str">
        <x:f t="shared" si="55"/>
      </x:c>
      <x:c r="BE106" s="178" t="str">
        <x:f t="shared" si="56"/>
      </x:c>
      <x:c r="BF106" s="122"/>
      <x:c r="BG106" s="177" t="str">
        <x:f t="shared" si="57"/>
      </x:c>
      <x:c r="BH106" s="122"/>
      <x:c r="BI106" s="177" t="str">
        <x:f t="shared" si="58"/>
      </x:c>
      <x:c r="BJ106" s="178" t="str">
        <x:f t="shared" si="59"/>
      </x:c>
    </x:row>
    <x:row r="107" ht="19.5" hidden="1" customHeight="1">
      <x:c r="A107" s="160"/>
      <x:c r="B107" s="179"/>
      <x:c r="C107" s="171"/>
      <x:c r="D107" s="172"/>
      <x:c r="E107" s="171"/>
      <x:c r="F107" s="173"/>
      <x:c r="G107" s="174"/>
      <x:c r="H107" s="175"/>
      <x:c r="I107" s="174"/>
      <x:c r="J107" s="176"/>
      <x:c r="K107" s="233"/>
      <x:c r="L107" s="233"/>
      <x:c r="M107" s="122"/>
      <x:c r="N107" s="177" t="str">
        <x:f t="shared" si="30"/>
      </x:c>
      <x:c r="O107" s="122"/>
      <x:c r="P107" s="177" t="str">
        <x:f t="shared" si="31"/>
      </x:c>
      <x:c r="Q107" s="178" t="str">
        <x:f t="shared" si="32"/>
      </x:c>
      <x:c r="R107" s="122"/>
      <x:c r="S107" s="177" t="str">
        <x:f t="shared" si="33"/>
      </x:c>
      <x:c r="T107" s="122"/>
      <x:c r="U107" s="177" t="str">
        <x:f t="shared" si="34"/>
      </x:c>
      <x:c r="V107" s="178" t="str">
        <x:f t="shared" si="35"/>
      </x:c>
      <x:c r="W107" s="122"/>
      <x:c r="X107" s="177" t="str">
        <x:f t="shared" si="36"/>
      </x:c>
      <x:c r="Y107" s="122"/>
      <x:c r="Z107" s="177" t="str">
        <x:f t="shared" si="37"/>
      </x:c>
      <x:c r="AA107" s="178" t="str">
        <x:f t="shared" si="38"/>
      </x:c>
      <x:c r="AB107" s="122"/>
      <x:c r="AC107" s="177" t="str">
        <x:f t="shared" si="39"/>
      </x:c>
      <x:c r="AD107" s="122"/>
      <x:c r="AE107" s="177" t="str">
        <x:f t="shared" si="40"/>
      </x:c>
      <x:c r="AF107" s="178" t="str">
        <x:f t="shared" si="41"/>
      </x:c>
      <x:c r="AG107" s="122"/>
      <x:c r="AH107" s="177" t="str">
        <x:f t="shared" si="42"/>
      </x:c>
      <x:c r="AI107" s="122"/>
      <x:c r="AJ107" s="177" t="str">
        <x:f t="shared" si="43"/>
      </x:c>
      <x:c r="AK107" s="178" t="str">
        <x:f t="shared" si="44"/>
      </x:c>
      <x:c r="AL107" s="122"/>
      <x:c r="AM107" s="177" t="str">
        <x:f t="shared" si="45"/>
      </x:c>
      <x:c r="AN107" s="122"/>
      <x:c r="AO107" s="177" t="str">
        <x:f t="shared" si="46"/>
      </x:c>
      <x:c r="AP107" s="178" t="str">
        <x:f t="shared" si="47"/>
      </x:c>
      <x:c r="AQ107" s="122"/>
      <x:c r="AR107" s="177" t="str">
        <x:f t="shared" si="48"/>
      </x:c>
      <x:c r="AS107" s="122"/>
      <x:c r="AT107" s="177" t="str">
        <x:f t="shared" si="49"/>
      </x:c>
      <x:c r="AU107" s="178" t="str">
        <x:f t="shared" si="50"/>
      </x:c>
      <x:c r="AV107" s="122"/>
      <x:c r="AW107" s="177" t="str">
        <x:f t="shared" si="51"/>
      </x:c>
      <x:c r="AX107" s="122"/>
      <x:c r="AY107" s="177" t="str">
        <x:f t="shared" si="52"/>
      </x:c>
      <x:c r="AZ107" s="178" t="str">
        <x:f t="shared" si="53"/>
      </x:c>
      <x:c r="BA107" s="122"/>
      <x:c r="BB107" s="177" t="str">
        <x:f t="shared" si="54"/>
      </x:c>
      <x:c r="BC107" s="122"/>
      <x:c r="BD107" s="177" t="str">
        <x:f t="shared" si="55"/>
      </x:c>
      <x:c r="BE107" s="178" t="str">
        <x:f t="shared" si="56"/>
      </x:c>
      <x:c r="BF107" s="122"/>
      <x:c r="BG107" s="177" t="str">
        <x:f t="shared" si="57"/>
      </x:c>
      <x:c r="BH107" s="122"/>
      <x:c r="BI107" s="177" t="str">
        <x:f t="shared" si="58"/>
      </x:c>
      <x:c r="BJ107" s="178" t="str">
        <x:f t="shared" si="59"/>
      </x:c>
    </x:row>
    <x:row r="108" ht="19.5" hidden="1" customHeight="1">
      <x:c r="A108" s="169"/>
      <x:c r="B108" s="170"/>
      <x:c r="C108" s="171"/>
      <x:c r="D108" s="172"/>
      <x:c r="E108" s="171"/>
      <x:c r="F108" s="173"/>
      <x:c r="G108" s="174"/>
      <x:c r="H108" s="175"/>
      <x:c r="I108" s="174"/>
      <x:c r="J108" s="176"/>
      <x:c r="K108" s="233"/>
      <x:c r="L108" s="233"/>
      <x:c r="M108" s="122"/>
      <x:c r="N108" s="177" t="str">
        <x:f t="shared" si="30"/>
      </x:c>
      <x:c r="O108" s="122"/>
      <x:c r="P108" s="177" t="str">
        <x:f t="shared" si="31"/>
      </x:c>
      <x:c r="Q108" s="178" t="str">
        <x:f t="shared" si="32"/>
      </x:c>
      <x:c r="R108" s="122"/>
      <x:c r="S108" s="177" t="str">
        <x:f t="shared" si="33"/>
      </x:c>
      <x:c r="T108" s="122"/>
      <x:c r="U108" s="177" t="str">
        <x:f t="shared" si="34"/>
      </x:c>
      <x:c r="V108" s="178" t="str">
        <x:f t="shared" si="35"/>
      </x:c>
      <x:c r="W108" s="122"/>
      <x:c r="X108" s="177" t="str">
        <x:f t="shared" si="36"/>
      </x:c>
      <x:c r="Y108" s="122"/>
      <x:c r="Z108" s="177" t="str">
        <x:f t="shared" si="37"/>
      </x:c>
      <x:c r="AA108" s="178" t="str">
        <x:f t="shared" si="38"/>
      </x:c>
      <x:c r="AB108" s="122"/>
      <x:c r="AC108" s="177" t="str">
        <x:f t="shared" si="39"/>
      </x:c>
      <x:c r="AD108" s="122"/>
      <x:c r="AE108" s="177" t="str">
        <x:f t="shared" si="40"/>
      </x:c>
      <x:c r="AF108" s="178" t="str">
        <x:f t="shared" si="41"/>
      </x:c>
      <x:c r="AG108" s="122"/>
      <x:c r="AH108" s="177" t="str">
        <x:f t="shared" si="42"/>
      </x:c>
      <x:c r="AI108" s="122"/>
      <x:c r="AJ108" s="177" t="str">
        <x:f t="shared" si="43"/>
      </x:c>
      <x:c r="AK108" s="178" t="str">
        <x:f t="shared" si="44"/>
      </x:c>
      <x:c r="AL108" s="122"/>
      <x:c r="AM108" s="177" t="str">
        <x:f t="shared" si="45"/>
      </x:c>
      <x:c r="AN108" s="122"/>
      <x:c r="AO108" s="177" t="str">
        <x:f t="shared" si="46"/>
      </x:c>
      <x:c r="AP108" s="178" t="str">
        <x:f t="shared" si="47"/>
      </x:c>
      <x:c r="AQ108" s="122"/>
      <x:c r="AR108" s="177" t="str">
        <x:f t="shared" si="48"/>
      </x:c>
      <x:c r="AS108" s="122"/>
      <x:c r="AT108" s="177" t="str">
        <x:f t="shared" si="49"/>
      </x:c>
      <x:c r="AU108" s="178" t="str">
        <x:f t="shared" si="50"/>
      </x:c>
      <x:c r="AV108" s="122"/>
      <x:c r="AW108" s="177" t="str">
        <x:f t="shared" si="51"/>
      </x:c>
      <x:c r="AX108" s="122"/>
      <x:c r="AY108" s="177" t="str">
        <x:f t="shared" si="52"/>
      </x:c>
      <x:c r="AZ108" s="178" t="str">
        <x:f t="shared" si="53"/>
      </x:c>
      <x:c r="BA108" s="122"/>
      <x:c r="BB108" s="177" t="str">
        <x:f t="shared" si="54"/>
      </x:c>
      <x:c r="BC108" s="122"/>
      <x:c r="BD108" s="177" t="str">
        <x:f t="shared" si="55"/>
      </x:c>
      <x:c r="BE108" s="178" t="str">
        <x:f t="shared" si="56"/>
      </x:c>
      <x:c r="BF108" s="122"/>
      <x:c r="BG108" s="177" t="str">
        <x:f t="shared" si="57"/>
      </x:c>
      <x:c r="BH108" s="122"/>
      <x:c r="BI108" s="177" t="str">
        <x:f t="shared" si="58"/>
      </x:c>
      <x:c r="BJ108" s="178" t="str">
        <x:f t="shared" si="59"/>
      </x:c>
    </x:row>
    <x:row r="109" ht="19.5" hidden="1" customHeight="1">
      <x:c r="A109" s="160"/>
      <x:c r="B109" s="179"/>
      <x:c r="C109" s="171"/>
      <x:c r="D109" s="172"/>
      <x:c r="E109" s="171"/>
      <x:c r="F109" s="173"/>
      <x:c r="G109" s="174"/>
      <x:c r="H109" s="175"/>
      <x:c r="I109" s="174"/>
      <x:c r="J109" s="176"/>
      <x:c r="K109" s="233"/>
      <x:c r="L109" s="233"/>
      <x:c r="M109" s="122"/>
      <x:c r="N109" s="177" t="str">
        <x:f t="shared" si="30"/>
      </x:c>
      <x:c r="O109" s="122"/>
      <x:c r="P109" s="177" t="str">
        <x:f t="shared" si="31"/>
      </x:c>
      <x:c r="Q109" s="178" t="str">
        <x:f t="shared" si="32"/>
      </x:c>
      <x:c r="R109" s="122"/>
      <x:c r="S109" s="177" t="str">
        <x:f t="shared" si="33"/>
      </x:c>
      <x:c r="T109" s="122"/>
      <x:c r="U109" s="177" t="str">
        <x:f t="shared" si="34"/>
      </x:c>
      <x:c r="V109" s="178" t="str">
        <x:f t="shared" si="35"/>
      </x:c>
      <x:c r="W109" s="122"/>
      <x:c r="X109" s="177" t="str">
        <x:f t="shared" si="36"/>
      </x:c>
      <x:c r="Y109" s="122"/>
      <x:c r="Z109" s="177" t="str">
        <x:f t="shared" si="37"/>
      </x:c>
      <x:c r="AA109" s="178" t="str">
        <x:f t="shared" si="38"/>
      </x:c>
      <x:c r="AB109" s="122"/>
      <x:c r="AC109" s="177" t="str">
        <x:f t="shared" si="39"/>
      </x:c>
      <x:c r="AD109" s="122"/>
      <x:c r="AE109" s="177" t="str">
        <x:f t="shared" si="40"/>
      </x:c>
      <x:c r="AF109" s="178" t="str">
        <x:f t="shared" si="41"/>
      </x:c>
      <x:c r="AG109" s="122"/>
      <x:c r="AH109" s="177" t="str">
        <x:f t="shared" si="42"/>
      </x:c>
      <x:c r="AI109" s="122"/>
      <x:c r="AJ109" s="177" t="str">
        <x:f t="shared" si="43"/>
      </x:c>
      <x:c r="AK109" s="178" t="str">
        <x:f t="shared" si="44"/>
      </x:c>
      <x:c r="AL109" s="122"/>
      <x:c r="AM109" s="177" t="str">
        <x:f t="shared" si="45"/>
      </x:c>
      <x:c r="AN109" s="122"/>
      <x:c r="AO109" s="177" t="str">
        <x:f t="shared" si="46"/>
      </x:c>
      <x:c r="AP109" s="178" t="str">
        <x:f t="shared" si="47"/>
      </x:c>
      <x:c r="AQ109" s="122"/>
      <x:c r="AR109" s="177" t="str">
        <x:f t="shared" si="48"/>
      </x:c>
      <x:c r="AS109" s="122"/>
      <x:c r="AT109" s="177" t="str">
        <x:f t="shared" si="49"/>
      </x:c>
      <x:c r="AU109" s="178" t="str">
        <x:f t="shared" si="50"/>
      </x:c>
      <x:c r="AV109" s="122"/>
      <x:c r="AW109" s="177" t="str">
        <x:f t="shared" si="51"/>
      </x:c>
      <x:c r="AX109" s="122"/>
      <x:c r="AY109" s="177" t="str">
        <x:f t="shared" si="52"/>
      </x:c>
      <x:c r="AZ109" s="178" t="str">
        <x:f t="shared" si="53"/>
      </x:c>
      <x:c r="BA109" s="122"/>
      <x:c r="BB109" s="177" t="str">
        <x:f t="shared" si="54"/>
      </x:c>
      <x:c r="BC109" s="122"/>
      <x:c r="BD109" s="177" t="str">
        <x:f t="shared" si="55"/>
      </x:c>
      <x:c r="BE109" s="178" t="str">
        <x:f t="shared" si="56"/>
      </x:c>
      <x:c r="BF109" s="122"/>
      <x:c r="BG109" s="177" t="str">
        <x:f t="shared" si="57"/>
      </x:c>
      <x:c r="BH109" s="122"/>
      <x:c r="BI109" s="177" t="str">
        <x:f t="shared" si="58"/>
      </x:c>
      <x:c r="BJ109" s="178" t="str">
        <x:f t="shared" si="59"/>
      </x:c>
    </x:row>
    <x:row r="110" ht="19.5" hidden="1" customHeight="1">
      <x:c r="A110" s="169"/>
      <x:c r="B110" s="170"/>
      <x:c r="C110" s="171"/>
      <x:c r="D110" s="172"/>
      <x:c r="E110" s="171"/>
      <x:c r="F110" s="173"/>
      <x:c r="G110" s="174"/>
      <x:c r="H110" s="175"/>
      <x:c r="I110" s="174"/>
      <x:c r="J110" s="176"/>
      <x:c r="K110" s="233"/>
      <x:c r="L110" s="233"/>
      <x:c r="M110" s="122"/>
      <x:c r="N110" s="177" t="str">
        <x:f t="shared" si="30"/>
      </x:c>
      <x:c r="O110" s="122"/>
      <x:c r="P110" s="177" t="str">
        <x:f t="shared" si="31"/>
      </x:c>
      <x:c r="Q110" s="178" t="str">
        <x:f t="shared" si="32"/>
      </x:c>
      <x:c r="R110" s="122"/>
      <x:c r="S110" s="177" t="str">
        <x:f t="shared" si="33"/>
      </x:c>
      <x:c r="T110" s="122"/>
      <x:c r="U110" s="177" t="str">
        <x:f t="shared" si="34"/>
      </x:c>
      <x:c r="V110" s="178" t="str">
        <x:f t="shared" si="35"/>
      </x:c>
      <x:c r="W110" s="122"/>
      <x:c r="X110" s="177" t="str">
        <x:f t="shared" si="36"/>
      </x:c>
      <x:c r="Y110" s="122"/>
      <x:c r="Z110" s="177" t="str">
        <x:f t="shared" si="37"/>
      </x:c>
      <x:c r="AA110" s="178" t="str">
        <x:f t="shared" si="38"/>
      </x:c>
      <x:c r="AB110" s="122"/>
      <x:c r="AC110" s="177" t="str">
        <x:f t="shared" si="39"/>
      </x:c>
      <x:c r="AD110" s="122"/>
      <x:c r="AE110" s="177" t="str">
        <x:f t="shared" si="40"/>
      </x:c>
      <x:c r="AF110" s="178" t="str">
        <x:f t="shared" si="41"/>
      </x:c>
      <x:c r="AG110" s="122"/>
      <x:c r="AH110" s="177" t="str">
        <x:f t="shared" si="42"/>
      </x:c>
      <x:c r="AI110" s="122"/>
      <x:c r="AJ110" s="177" t="str">
        <x:f t="shared" si="43"/>
      </x:c>
      <x:c r="AK110" s="178" t="str">
        <x:f t="shared" si="44"/>
      </x:c>
      <x:c r="AL110" s="122"/>
      <x:c r="AM110" s="177" t="str">
        <x:f t="shared" si="45"/>
      </x:c>
      <x:c r="AN110" s="122"/>
      <x:c r="AO110" s="177" t="str">
        <x:f t="shared" si="46"/>
      </x:c>
      <x:c r="AP110" s="178" t="str">
        <x:f t="shared" si="47"/>
      </x:c>
      <x:c r="AQ110" s="122"/>
      <x:c r="AR110" s="177" t="str">
        <x:f t="shared" si="48"/>
      </x:c>
      <x:c r="AS110" s="122"/>
      <x:c r="AT110" s="177" t="str">
        <x:f t="shared" si="49"/>
      </x:c>
      <x:c r="AU110" s="178" t="str">
        <x:f t="shared" si="50"/>
      </x:c>
      <x:c r="AV110" s="122"/>
      <x:c r="AW110" s="177" t="str">
        <x:f t="shared" si="51"/>
      </x:c>
      <x:c r="AX110" s="122"/>
      <x:c r="AY110" s="177" t="str">
        <x:f t="shared" si="52"/>
      </x:c>
      <x:c r="AZ110" s="178" t="str">
        <x:f t="shared" si="53"/>
      </x:c>
      <x:c r="BA110" s="122"/>
      <x:c r="BB110" s="177" t="str">
        <x:f t="shared" si="54"/>
      </x:c>
      <x:c r="BC110" s="122"/>
      <x:c r="BD110" s="177" t="str">
        <x:f t="shared" si="55"/>
      </x:c>
      <x:c r="BE110" s="178" t="str">
        <x:f t="shared" si="56"/>
      </x:c>
      <x:c r="BF110" s="122"/>
      <x:c r="BG110" s="177" t="str">
        <x:f t="shared" si="57"/>
      </x:c>
      <x:c r="BH110" s="122"/>
      <x:c r="BI110" s="177" t="str">
        <x:f t="shared" si="58"/>
      </x:c>
      <x:c r="BJ110" s="178" t="str">
        <x:f t="shared" si="59"/>
      </x:c>
    </x:row>
    <x:row r="111" ht="19.5" hidden="1" customHeight="1">
      <x:c r="A111" s="160"/>
      <x:c r="B111" s="179"/>
      <x:c r="C111" s="171"/>
      <x:c r="D111" s="172"/>
      <x:c r="E111" s="171"/>
      <x:c r="F111" s="173"/>
      <x:c r="G111" s="174"/>
      <x:c r="H111" s="175"/>
      <x:c r="I111" s="174"/>
      <x:c r="J111" s="176"/>
      <x:c r="K111" s="233"/>
      <x:c r="L111" s="233"/>
      <x:c r="M111" s="122"/>
      <x:c r="N111" s="177" t="str">
        <x:f t="shared" si="30"/>
      </x:c>
      <x:c r="O111" s="122"/>
      <x:c r="P111" s="177" t="str">
        <x:f t="shared" si="31"/>
      </x:c>
      <x:c r="Q111" s="178" t="str">
        <x:f t="shared" si="32"/>
      </x:c>
      <x:c r="R111" s="122"/>
      <x:c r="S111" s="177" t="str">
        <x:f t="shared" si="33"/>
      </x:c>
      <x:c r="T111" s="122"/>
      <x:c r="U111" s="177" t="str">
        <x:f t="shared" si="34"/>
      </x:c>
      <x:c r="V111" s="178" t="str">
        <x:f t="shared" si="35"/>
      </x:c>
      <x:c r="W111" s="122"/>
      <x:c r="X111" s="177" t="str">
        <x:f t="shared" si="36"/>
      </x:c>
      <x:c r="Y111" s="122"/>
      <x:c r="Z111" s="177" t="str">
        <x:f t="shared" si="37"/>
      </x:c>
      <x:c r="AA111" s="178" t="str">
        <x:f t="shared" si="38"/>
      </x:c>
      <x:c r="AB111" s="122"/>
      <x:c r="AC111" s="177" t="str">
        <x:f t="shared" si="39"/>
      </x:c>
      <x:c r="AD111" s="122"/>
      <x:c r="AE111" s="177" t="str">
        <x:f t="shared" si="40"/>
      </x:c>
      <x:c r="AF111" s="178" t="str">
        <x:f t="shared" si="41"/>
      </x:c>
      <x:c r="AG111" s="122"/>
      <x:c r="AH111" s="177" t="str">
        <x:f t="shared" si="42"/>
      </x:c>
      <x:c r="AI111" s="122"/>
      <x:c r="AJ111" s="177" t="str">
        <x:f t="shared" si="43"/>
      </x:c>
      <x:c r="AK111" s="178" t="str">
        <x:f t="shared" si="44"/>
      </x:c>
      <x:c r="AL111" s="122"/>
      <x:c r="AM111" s="177" t="str">
        <x:f t="shared" si="45"/>
      </x:c>
      <x:c r="AN111" s="122"/>
      <x:c r="AO111" s="177" t="str">
        <x:f t="shared" si="46"/>
      </x:c>
      <x:c r="AP111" s="178" t="str">
        <x:f t="shared" si="47"/>
      </x:c>
      <x:c r="AQ111" s="122"/>
      <x:c r="AR111" s="177" t="str">
        <x:f t="shared" si="48"/>
      </x:c>
      <x:c r="AS111" s="122"/>
      <x:c r="AT111" s="177" t="str">
        <x:f t="shared" si="49"/>
      </x:c>
      <x:c r="AU111" s="178" t="str">
        <x:f t="shared" si="50"/>
      </x:c>
      <x:c r="AV111" s="122"/>
      <x:c r="AW111" s="177" t="str">
        <x:f t="shared" si="51"/>
      </x:c>
      <x:c r="AX111" s="122"/>
      <x:c r="AY111" s="177" t="str">
        <x:f t="shared" si="52"/>
      </x:c>
      <x:c r="AZ111" s="178" t="str">
        <x:f t="shared" si="53"/>
      </x:c>
      <x:c r="BA111" s="122"/>
      <x:c r="BB111" s="177" t="str">
        <x:f t="shared" si="54"/>
      </x:c>
      <x:c r="BC111" s="122"/>
      <x:c r="BD111" s="177" t="str">
        <x:f t="shared" si="55"/>
      </x:c>
      <x:c r="BE111" s="178" t="str">
        <x:f t="shared" si="56"/>
      </x:c>
      <x:c r="BF111" s="122"/>
      <x:c r="BG111" s="177" t="str">
        <x:f t="shared" si="57"/>
      </x:c>
      <x:c r="BH111" s="122"/>
      <x:c r="BI111" s="177" t="str">
        <x:f t="shared" si="58"/>
      </x:c>
      <x:c r="BJ111" s="178" t="str">
        <x:f t="shared" si="59"/>
      </x:c>
    </x:row>
    <x:row r="112" ht="19.5" hidden="1" customHeight="1">
      <x:c r="A112" s="169"/>
      <x:c r="B112" s="170"/>
      <x:c r="C112" s="171"/>
      <x:c r="D112" s="172"/>
      <x:c r="E112" s="171"/>
      <x:c r="F112" s="173"/>
      <x:c r="G112" s="174"/>
      <x:c r="H112" s="175"/>
      <x:c r="I112" s="174"/>
      <x:c r="J112" s="176"/>
      <x:c r="K112" s="233"/>
      <x:c r="L112" s="233"/>
      <x:c r="M112" s="122"/>
      <x:c r="N112" s="177" t="str">
        <x:f t="shared" si="30"/>
      </x:c>
      <x:c r="O112" s="122"/>
      <x:c r="P112" s="177" t="str">
        <x:f t="shared" si="31"/>
      </x:c>
      <x:c r="Q112" s="178" t="str">
        <x:f t="shared" si="32"/>
      </x:c>
      <x:c r="R112" s="122"/>
      <x:c r="S112" s="177" t="str">
        <x:f t="shared" si="33"/>
      </x:c>
      <x:c r="T112" s="122"/>
      <x:c r="U112" s="177" t="str">
        <x:f t="shared" si="34"/>
      </x:c>
      <x:c r="V112" s="178" t="str">
        <x:f t="shared" si="35"/>
      </x:c>
      <x:c r="W112" s="122"/>
      <x:c r="X112" s="177" t="str">
        <x:f t="shared" si="36"/>
      </x:c>
      <x:c r="Y112" s="122"/>
      <x:c r="Z112" s="177" t="str">
        <x:f t="shared" si="37"/>
      </x:c>
      <x:c r="AA112" s="178" t="str">
        <x:f t="shared" si="38"/>
      </x:c>
      <x:c r="AB112" s="122"/>
      <x:c r="AC112" s="177" t="str">
        <x:f t="shared" si="39"/>
      </x:c>
      <x:c r="AD112" s="122"/>
      <x:c r="AE112" s="177" t="str">
        <x:f t="shared" si="40"/>
      </x:c>
      <x:c r="AF112" s="178" t="str">
        <x:f t="shared" si="41"/>
      </x:c>
      <x:c r="AG112" s="122"/>
      <x:c r="AH112" s="177" t="str">
        <x:f t="shared" si="42"/>
      </x:c>
      <x:c r="AI112" s="122"/>
      <x:c r="AJ112" s="177" t="str">
        <x:f t="shared" si="43"/>
      </x:c>
      <x:c r="AK112" s="178" t="str">
        <x:f t="shared" si="44"/>
      </x:c>
      <x:c r="AL112" s="122"/>
      <x:c r="AM112" s="177" t="str">
        <x:f t="shared" si="45"/>
      </x:c>
      <x:c r="AN112" s="122"/>
      <x:c r="AO112" s="177" t="str">
        <x:f t="shared" si="46"/>
      </x:c>
      <x:c r="AP112" s="178" t="str">
        <x:f t="shared" si="47"/>
      </x:c>
      <x:c r="AQ112" s="122"/>
      <x:c r="AR112" s="177" t="str">
        <x:f t="shared" si="48"/>
      </x:c>
      <x:c r="AS112" s="122"/>
      <x:c r="AT112" s="177" t="str">
        <x:f t="shared" si="49"/>
      </x:c>
      <x:c r="AU112" s="178" t="str">
        <x:f t="shared" si="50"/>
      </x:c>
      <x:c r="AV112" s="122"/>
      <x:c r="AW112" s="177" t="str">
        <x:f t="shared" si="51"/>
      </x:c>
      <x:c r="AX112" s="122"/>
      <x:c r="AY112" s="177" t="str">
        <x:f t="shared" si="52"/>
      </x:c>
      <x:c r="AZ112" s="178" t="str">
        <x:f t="shared" si="53"/>
      </x:c>
      <x:c r="BA112" s="122"/>
      <x:c r="BB112" s="177" t="str">
        <x:f t="shared" si="54"/>
      </x:c>
      <x:c r="BC112" s="122"/>
      <x:c r="BD112" s="177" t="str">
        <x:f t="shared" si="55"/>
      </x:c>
      <x:c r="BE112" s="178" t="str">
        <x:f t="shared" si="56"/>
      </x:c>
      <x:c r="BF112" s="122"/>
      <x:c r="BG112" s="177" t="str">
        <x:f t="shared" si="57"/>
      </x:c>
      <x:c r="BH112" s="122"/>
      <x:c r="BI112" s="177" t="str">
        <x:f t="shared" si="58"/>
      </x:c>
      <x:c r="BJ112" s="178" t="str">
        <x:f t="shared" si="59"/>
      </x:c>
    </x:row>
    <x:row r="113" ht="19.5" hidden="1" customHeight="1">
      <x:c r="A113" s="160"/>
      <x:c r="B113" s="179"/>
      <x:c r="C113" s="171"/>
      <x:c r="D113" s="172"/>
      <x:c r="E113" s="171"/>
      <x:c r="F113" s="173"/>
      <x:c r="G113" s="174"/>
      <x:c r="H113" s="175"/>
      <x:c r="I113" s="174"/>
      <x:c r="J113" s="176"/>
      <x:c r="K113" s="233"/>
      <x:c r="L113" s="233"/>
      <x:c r="M113" s="122"/>
      <x:c r="N113" s="177" t="str">
        <x:f t="shared" si="30"/>
      </x:c>
      <x:c r="O113" s="122"/>
      <x:c r="P113" s="177" t="str">
        <x:f t="shared" si="31"/>
      </x:c>
      <x:c r="Q113" s="178" t="str">
        <x:f t="shared" si="32"/>
      </x:c>
      <x:c r="R113" s="122"/>
      <x:c r="S113" s="177" t="str">
        <x:f t="shared" si="33"/>
      </x:c>
      <x:c r="T113" s="122"/>
      <x:c r="U113" s="177" t="str">
        <x:f t="shared" si="34"/>
      </x:c>
      <x:c r="V113" s="178" t="str">
        <x:f t="shared" si="35"/>
      </x:c>
      <x:c r="W113" s="122"/>
      <x:c r="X113" s="177" t="str">
        <x:f t="shared" si="36"/>
      </x:c>
      <x:c r="Y113" s="122"/>
      <x:c r="Z113" s="177" t="str">
        <x:f t="shared" si="37"/>
      </x:c>
      <x:c r="AA113" s="178" t="str">
        <x:f t="shared" si="38"/>
      </x:c>
      <x:c r="AB113" s="122"/>
      <x:c r="AC113" s="177" t="str">
        <x:f t="shared" si="39"/>
      </x:c>
      <x:c r="AD113" s="122"/>
      <x:c r="AE113" s="177" t="str">
        <x:f t="shared" si="40"/>
      </x:c>
      <x:c r="AF113" s="178" t="str">
        <x:f t="shared" si="41"/>
      </x:c>
      <x:c r="AG113" s="122"/>
      <x:c r="AH113" s="177" t="str">
        <x:f t="shared" si="42"/>
      </x:c>
      <x:c r="AI113" s="122"/>
      <x:c r="AJ113" s="177" t="str">
        <x:f t="shared" si="43"/>
      </x:c>
      <x:c r="AK113" s="178" t="str">
        <x:f t="shared" si="44"/>
      </x:c>
      <x:c r="AL113" s="122"/>
      <x:c r="AM113" s="177" t="str">
        <x:f t="shared" si="45"/>
      </x:c>
      <x:c r="AN113" s="122"/>
      <x:c r="AO113" s="177" t="str">
        <x:f t="shared" si="46"/>
      </x:c>
      <x:c r="AP113" s="178" t="str">
        <x:f t="shared" si="47"/>
      </x:c>
      <x:c r="AQ113" s="122"/>
      <x:c r="AR113" s="177" t="str">
        <x:f t="shared" si="48"/>
      </x:c>
      <x:c r="AS113" s="122"/>
      <x:c r="AT113" s="177" t="str">
        <x:f t="shared" si="49"/>
      </x:c>
      <x:c r="AU113" s="178" t="str">
        <x:f t="shared" si="50"/>
      </x:c>
      <x:c r="AV113" s="122"/>
      <x:c r="AW113" s="177" t="str">
        <x:f t="shared" si="51"/>
      </x:c>
      <x:c r="AX113" s="122"/>
      <x:c r="AY113" s="177" t="str">
        <x:f t="shared" si="52"/>
      </x:c>
      <x:c r="AZ113" s="178" t="str">
        <x:f t="shared" si="53"/>
      </x:c>
      <x:c r="BA113" s="122"/>
      <x:c r="BB113" s="177" t="str">
        <x:f t="shared" si="54"/>
      </x:c>
      <x:c r="BC113" s="122"/>
      <x:c r="BD113" s="177" t="str">
        <x:f t="shared" si="55"/>
      </x:c>
      <x:c r="BE113" s="178" t="str">
        <x:f t="shared" si="56"/>
      </x:c>
      <x:c r="BF113" s="122"/>
      <x:c r="BG113" s="177" t="str">
        <x:f t="shared" si="57"/>
      </x:c>
      <x:c r="BH113" s="122"/>
      <x:c r="BI113" s="177" t="str">
        <x:f t="shared" si="58"/>
      </x:c>
      <x:c r="BJ113" s="178" t="str">
        <x:f t="shared" si="59"/>
      </x:c>
    </x:row>
    <x:row r="114" ht="19.5" hidden="1" customHeight="1">
      <x:c r="A114" s="169"/>
      <x:c r="B114" s="170"/>
      <x:c r="C114" s="171"/>
      <x:c r="D114" s="172"/>
      <x:c r="E114" s="171"/>
      <x:c r="F114" s="173"/>
      <x:c r="G114" s="174"/>
      <x:c r="H114" s="175"/>
      <x:c r="I114" s="174"/>
      <x:c r="J114" s="176"/>
      <x:c r="K114" s="233"/>
      <x:c r="L114" s="233"/>
      <x:c r="M114" s="122"/>
      <x:c r="N114" s="177" t="str">
        <x:f t="shared" si="30"/>
      </x:c>
      <x:c r="O114" s="122"/>
      <x:c r="P114" s="177" t="str">
        <x:f t="shared" si="31"/>
      </x:c>
      <x:c r="Q114" s="178" t="str">
        <x:f t="shared" si="32"/>
      </x:c>
      <x:c r="R114" s="122"/>
      <x:c r="S114" s="177" t="str">
        <x:f t="shared" si="33"/>
      </x:c>
      <x:c r="T114" s="122"/>
      <x:c r="U114" s="177" t="str">
        <x:f t="shared" si="34"/>
      </x:c>
      <x:c r="V114" s="178" t="str">
        <x:f t="shared" si="35"/>
      </x:c>
      <x:c r="W114" s="122"/>
      <x:c r="X114" s="177" t="str">
        <x:f t="shared" si="36"/>
      </x:c>
      <x:c r="Y114" s="122"/>
      <x:c r="Z114" s="177" t="str">
        <x:f t="shared" si="37"/>
      </x:c>
      <x:c r="AA114" s="178" t="str">
        <x:f t="shared" si="38"/>
      </x:c>
      <x:c r="AB114" s="122"/>
      <x:c r="AC114" s="177" t="str">
        <x:f t="shared" si="39"/>
      </x:c>
      <x:c r="AD114" s="122"/>
      <x:c r="AE114" s="177" t="str">
        <x:f t="shared" si="40"/>
      </x:c>
      <x:c r="AF114" s="178" t="str">
        <x:f t="shared" si="41"/>
      </x:c>
      <x:c r="AG114" s="122"/>
      <x:c r="AH114" s="177" t="str">
        <x:f t="shared" si="42"/>
      </x:c>
      <x:c r="AI114" s="122"/>
      <x:c r="AJ114" s="177" t="str">
        <x:f t="shared" si="43"/>
      </x:c>
      <x:c r="AK114" s="178" t="str">
        <x:f t="shared" si="44"/>
      </x:c>
      <x:c r="AL114" s="122"/>
      <x:c r="AM114" s="177" t="str">
        <x:f t="shared" si="45"/>
      </x:c>
      <x:c r="AN114" s="122"/>
      <x:c r="AO114" s="177" t="str">
        <x:f t="shared" si="46"/>
      </x:c>
      <x:c r="AP114" s="178" t="str">
        <x:f t="shared" si="47"/>
      </x:c>
      <x:c r="AQ114" s="122"/>
      <x:c r="AR114" s="177" t="str">
        <x:f t="shared" si="48"/>
      </x:c>
      <x:c r="AS114" s="122"/>
      <x:c r="AT114" s="177" t="str">
        <x:f t="shared" si="49"/>
      </x:c>
      <x:c r="AU114" s="178" t="str">
        <x:f t="shared" si="50"/>
      </x:c>
      <x:c r="AV114" s="122"/>
      <x:c r="AW114" s="177" t="str">
        <x:f t="shared" si="51"/>
      </x:c>
      <x:c r="AX114" s="122"/>
      <x:c r="AY114" s="177" t="str">
        <x:f t="shared" si="52"/>
      </x:c>
      <x:c r="AZ114" s="178" t="str">
        <x:f t="shared" si="53"/>
      </x:c>
      <x:c r="BA114" s="122"/>
      <x:c r="BB114" s="177" t="str">
        <x:f t="shared" si="54"/>
      </x:c>
      <x:c r="BC114" s="122"/>
      <x:c r="BD114" s="177" t="str">
        <x:f t="shared" si="55"/>
      </x:c>
      <x:c r="BE114" s="178" t="str">
        <x:f t="shared" si="56"/>
      </x:c>
      <x:c r="BF114" s="122"/>
      <x:c r="BG114" s="177" t="str">
        <x:f t="shared" si="57"/>
      </x:c>
      <x:c r="BH114" s="122"/>
      <x:c r="BI114" s="177" t="str">
        <x:f t="shared" si="58"/>
      </x:c>
      <x:c r="BJ114" s="178" t="str">
        <x:f t="shared" si="59"/>
      </x:c>
    </x:row>
    <x:row r="115" ht="19.5" hidden="1" customHeight="1">
      <x:c r="A115" s="160"/>
      <x:c r="B115" s="179"/>
      <x:c r="C115" s="171"/>
      <x:c r="D115" s="172"/>
      <x:c r="E115" s="171"/>
      <x:c r="F115" s="173"/>
      <x:c r="G115" s="174"/>
      <x:c r="H115" s="175"/>
      <x:c r="I115" s="174"/>
      <x:c r="J115" s="176"/>
      <x:c r="K115" s="233"/>
      <x:c r="L115" s="233"/>
      <x:c r="M115" s="122"/>
      <x:c r="N115" s="177" t="str">
        <x:f t="shared" si="30"/>
      </x:c>
      <x:c r="O115" s="122"/>
      <x:c r="P115" s="177" t="str">
        <x:f t="shared" si="31"/>
      </x:c>
      <x:c r="Q115" s="178" t="str">
        <x:f t="shared" si="32"/>
      </x:c>
      <x:c r="R115" s="122"/>
      <x:c r="S115" s="177" t="str">
        <x:f t="shared" si="33"/>
      </x:c>
      <x:c r="T115" s="122"/>
      <x:c r="U115" s="177" t="str">
        <x:f t="shared" si="34"/>
      </x:c>
      <x:c r="V115" s="178" t="str">
        <x:f t="shared" si="35"/>
      </x:c>
      <x:c r="W115" s="122"/>
      <x:c r="X115" s="177" t="str">
        <x:f t="shared" si="36"/>
      </x:c>
      <x:c r="Y115" s="122"/>
      <x:c r="Z115" s="177" t="str">
        <x:f t="shared" si="37"/>
      </x:c>
      <x:c r="AA115" s="178" t="str">
        <x:f t="shared" si="38"/>
      </x:c>
      <x:c r="AB115" s="122"/>
      <x:c r="AC115" s="177" t="str">
        <x:f t="shared" si="39"/>
      </x:c>
      <x:c r="AD115" s="122"/>
      <x:c r="AE115" s="177" t="str">
        <x:f t="shared" si="40"/>
      </x:c>
      <x:c r="AF115" s="178" t="str">
        <x:f t="shared" si="41"/>
      </x:c>
      <x:c r="AG115" s="122"/>
      <x:c r="AH115" s="177" t="str">
        <x:f t="shared" si="42"/>
      </x:c>
      <x:c r="AI115" s="122"/>
      <x:c r="AJ115" s="177" t="str">
        <x:f t="shared" si="43"/>
      </x:c>
      <x:c r="AK115" s="178" t="str">
        <x:f t="shared" si="44"/>
      </x:c>
      <x:c r="AL115" s="122"/>
      <x:c r="AM115" s="177" t="str">
        <x:f t="shared" si="45"/>
      </x:c>
      <x:c r="AN115" s="122"/>
      <x:c r="AO115" s="177" t="str">
        <x:f t="shared" si="46"/>
      </x:c>
      <x:c r="AP115" s="178" t="str">
        <x:f t="shared" si="47"/>
      </x:c>
      <x:c r="AQ115" s="122"/>
      <x:c r="AR115" s="177" t="str">
        <x:f t="shared" si="48"/>
      </x:c>
      <x:c r="AS115" s="122"/>
      <x:c r="AT115" s="177" t="str">
        <x:f t="shared" si="49"/>
      </x:c>
      <x:c r="AU115" s="178" t="str">
        <x:f t="shared" si="50"/>
      </x:c>
      <x:c r="AV115" s="122"/>
      <x:c r="AW115" s="177" t="str">
        <x:f t="shared" si="51"/>
      </x:c>
      <x:c r="AX115" s="122"/>
      <x:c r="AY115" s="177" t="str">
        <x:f t="shared" si="52"/>
      </x:c>
      <x:c r="AZ115" s="178" t="str">
        <x:f t="shared" si="53"/>
      </x:c>
      <x:c r="BA115" s="122"/>
      <x:c r="BB115" s="177" t="str">
        <x:f t="shared" si="54"/>
      </x:c>
      <x:c r="BC115" s="122"/>
      <x:c r="BD115" s="177" t="str">
        <x:f t="shared" si="55"/>
      </x:c>
      <x:c r="BE115" s="178" t="str">
        <x:f t="shared" si="56"/>
      </x:c>
      <x:c r="BF115" s="122"/>
      <x:c r="BG115" s="177" t="str">
        <x:f t="shared" si="57"/>
      </x:c>
      <x:c r="BH115" s="122"/>
      <x:c r="BI115" s="177" t="str">
        <x:f t="shared" si="58"/>
      </x:c>
      <x:c r="BJ115" s="178" t="str">
        <x:f t="shared" si="59"/>
      </x:c>
    </x:row>
    <x:row r="116" ht="19.5" hidden="1" customHeight="1">
      <x:c r="A116" s="169"/>
      <x:c r="B116" s="170"/>
      <x:c r="C116" s="171"/>
      <x:c r="D116" s="172"/>
      <x:c r="E116" s="171"/>
      <x:c r="F116" s="173"/>
      <x:c r="G116" s="174"/>
      <x:c r="H116" s="175"/>
      <x:c r="I116" s="174"/>
      <x:c r="J116" s="176"/>
      <x:c r="K116" s="233"/>
      <x:c r="L116" s="233"/>
      <x:c r="M116" s="122"/>
      <x:c r="N116" s="177" t="str">
        <x:f t="shared" si="30"/>
      </x:c>
      <x:c r="O116" s="122"/>
      <x:c r="P116" s="177" t="str">
        <x:f t="shared" si="31"/>
      </x:c>
      <x:c r="Q116" s="178" t="str">
        <x:f t="shared" si="32"/>
      </x:c>
      <x:c r="R116" s="122"/>
      <x:c r="S116" s="177" t="str">
        <x:f t="shared" si="33"/>
      </x:c>
      <x:c r="T116" s="122"/>
      <x:c r="U116" s="177" t="str">
        <x:f t="shared" si="34"/>
      </x:c>
      <x:c r="V116" s="178" t="str">
        <x:f t="shared" si="35"/>
      </x:c>
      <x:c r="W116" s="122"/>
      <x:c r="X116" s="177" t="str">
        <x:f t="shared" si="36"/>
      </x:c>
      <x:c r="Y116" s="122"/>
      <x:c r="Z116" s="177" t="str">
        <x:f t="shared" si="37"/>
      </x:c>
      <x:c r="AA116" s="178" t="str">
        <x:f t="shared" si="38"/>
      </x:c>
      <x:c r="AB116" s="122"/>
      <x:c r="AC116" s="177" t="str">
        <x:f t="shared" si="39"/>
      </x:c>
      <x:c r="AD116" s="122"/>
      <x:c r="AE116" s="177" t="str">
        <x:f t="shared" si="40"/>
      </x:c>
      <x:c r="AF116" s="178" t="str">
        <x:f t="shared" si="41"/>
      </x:c>
      <x:c r="AG116" s="122"/>
      <x:c r="AH116" s="177" t="str">
        <x:f t="shared" si="42"/>
      </x:c>
      <x:c r="AI116" s="122"/>
      <x:c r="AJ116" s="177" t="str">
        <x:f t="shared" si="43"/>
      </x:c>
      <x:c r="AK116" s="178" t="str">
        <x:f t="shared" si="44"/>
      </x:c>
      <x:c r="AL116" s="122"/>
      <x:c r="AM116" s="177" t="str">
        <x:f t="shared" si="45"/>
      </x:c>
      <x:c r="AN116" s="122"/>
      <x:c r="AO116" s="177" t="str">
        <x:f t="shared" si="46"/>
      </x:c>
      <x:c r="AP116" s="178" t="str">
        <x:f t="shared" si="47"/>
      </x:c>
      <x:c r="AQ116" s="122"/>
      <x:c r="AR116" s="177" t="str">
        <x:f t="shared" si="48"/>
      </x:c>
      <x:c r="AS116" s="122"/>
      <x:c r="AT116" s="177" t="str">
        <x:f t="shared" si="49"/>
      </x:c>
      <x:c r="AU116" s="178" t="str">
        <x:f t="shared" si="50"/>
      </x:c>
      <x:c r="AV116" s="122"/>
      <x:c r="AW116" s="177" t="str">
        <x:f t="shared" si="51"/>
      </x:c>
      <x:c r="AX116" s="122"/>
      <x:c r="AY116" s="177" t="str">
        <x:f t="shared" si="52"/>
      </x:c>
      <x:c r="AZ116" s="178" t="str">
        <x:f t="shared" si="53"/>
      </x:c>
      <x:c r="BA116" s="122"/>
      <x:c r="BB116" s="177" t="str">
        <x:f t="shared" si="54"/>
      </x:c>
      <x:c r="BC116" s="122"/>
      <x:c r="BD116" s="177" t="str">
        <x:f t="shared" si="55"/>
      </x:c>
      <x:c r="BE116" s="178" t="str">
        <x:f t="shared" si="56"/>
      </x:c>
      <x:c r="BF116" s="122"/>
      <x:c r="BG116" s="177" t="str">
        <x:f t="shared" si="57"/>
      </x:c>
      <x:c r="BH116" s="122"/>
      <x:c r="BI116" s="177" t="str">
        <x:f t="shared" si="58"/>
      </x:c>
      <x:c r="BJ116" s="178" t="str">
        <x:f t="shared" si="59"/>
      </x:c>
    </x:row>
    <x:row r="117" ht="19.5" hidden="1" customHeight="1">
      <x:c r="A117" s="160"/>
      <x:c r="B117" s="179"/>
      <x:c r="C117" s="171"/>
      <x:c r="D117" s="172"/>
      <x:c r="E117" s="171"/>
      <x:c r="F117" s="173"/>
      <x:c r="G117" s="174"/>
      <x:c r="H117" s="175"/>
      <x:c r="I117" s="174"/>
      <x:c r="J117" s="176"/>
      <x:c r="K117" s="233"/>
      <x:c r="L117" s="233"/>
      <x:c r="M117" s="122"/>
      <x:c r="N117" s="177" t="str">
        <x:f t="shared" si="30"/>
      </x:c>
      <x:c r="O117" s="122"/>
      <x:c r="P117" s="177" t="str">
        <x:f t="shared" si="31"/>
      </x:c>
      <x:c r="Q117" s="178" t="str">
        <x:f t="shared" si="32"/>
      </x:c>
      <x:c r="R117" s="122"/>
      <x:c r="S117" s="177" t="str">
        <x:f t="shared" si="33"/>
      </x:c>
      <x:c r="T117" s="122"/>
      <x:c r="U117" s="177" t="str">
        <x:f t="shared" si="34"/>
      </x:c>
      <x:c r="V117" s="178" t="str">
        <x:f t="shared" si="35"/>
      </x:c>
      <x:c r="W117" s="122"/>
      <x:c r="X117" s="177" t="str">
        <x:f t="shared" si="36"/>
      </x:c>
      <x:c r="Y117" s="122"/>
      <x:c r="Z117" s="177" t="str">
        <x:f t="shared" si="37"/>
      </x:c>
      <x:c r="AA117" s="178" t="str">
        <x:f t="shared" si="38"/>
      </x:c>
      <x:c r="AB117" s="122"/>
      <x:c r="AC117" s="177" t="str">
        <x:f t="shared" si="39"/>
      </x:c>
      <x:c r="AD117" s="122"/>
      <x:c r="AE117" s="177" t="str">
        <x:f t="shared" si="40"/>
      </x:c>
      <x:c r="AF117" s="178" t="str">
        <x:f t="shared" si="41"/>
      </x:c>
      <x:c r="AG117" s="122"/>
      <x:c r="AH117" s="177" t="str">
        <x:f t="shared" si="42"/>
      </x:c>
      <x:c r="AI117" s="122"/>
      <x:c r="AJ117" s="177" t="str">
        <x:f t="shared" si="43"/>
      </x:c>
      <x:c r="AK117" s="178" t="str">
        <x:f t="shared" si="44"/>
      </x:c>
      <x:c r="AL117" s="122"/>
      <x:c r="AM117" s="177" t="str">
        <x:f t="shared" si="45"/>
      </x:c>
      <x:c r="AN117" s="122"/>
      <x:c r="AO117" s="177" t="str">
        <x:f t="shared" si="46"/>
      </x:c>
      <x:c r="AP117" s="178" t="str">
        <x:f t="shared" si="47"/>
      </x:c>
      <x:c r="AQ117" s="122"/>
      <x:c r="AR117" s="177" t="str">
        <x:f t="shared" si="48"/>
      </x:c>
      <x:c r="AS117" s="122"/>
      <x:c r="AT117" s="177" t="str">
        <x:f t="shared" si="49"/>
      </x:c>
      <x:c r="AU117" s="178" t="str">
        <x:f t="shared" si="50"/>
      </x:c>
      <x:c r="AV117" s="122"/>
      <x:c r="AW117" s="177" t="str">
        <x:f t="shared" si="51"/>
      </x:c>
      <x:c r="AX117" s="122"/>
      <x:c r="AY117" s="177" t="str">
        <x:f t="shared" si="52"/>
      </x:c>
      <x:c r="AZ117" s="178" t="str">
        <x:f t="shared" si="53"/>
      </x:c>
      <x:c r="BA117" s="122"/>
      <x:c r="BB117" s="177" t="str">
        <x:f t="shared" si="54"/>
      </x:c>
      <x:c r="BC117" s="122"/>
      <x:c r="BD117" s="177" t="str">
        <x:f t="shared" si="55"/>
      </x:c>
      <x:c r="BE117" s="178" t="str">
        <x:f t="shared" si="56"/>
      </x:c>
      <x:c r="BF117" s="122"/>
      <x:c r="BG117" s="177" t="str">
        <x:f t="shared" si="57"/>
      </x:c>
      <x:c r="BH117" s="122"/>
      <x:c r="BI117" s="177" t="str">
        <x:f t="shared" si="58"/>
      </x:c>
      <x:c r="BJ117" s="178" t="str">
        <x:f t="shared" si="59"/>
      </x:c>
    </x:row>
    <x:row r="118" ht="19.5" hidden="1" customHeight="1">
      <x:c r="A118" s="169"/>
      <x:c r="B118" s="170"/>
      <x:c r="C118" s="171"/>
      <x:c r="D118" s="172"/>
      <x:c r="E118" s="171"/>
      <x:c r="F118" s="173"/>
      <x:c r="G118" s="174"/>
      <x:c r="H118" s="175"/>
      <x:c r="I118" s="174"/>
      <x:c r="J118" s="176"/>
      <x:c r="K118" s="233"/>
      <x:c r="L118" s="233"/>
      <x:c r="M118" s="122"/>
      <x:c r="N118" s="177" t="str">
        <x:f t="shared" si="30"/>
      </x:c>
      <x:c r="O118" s="122"/>
      <x:c r="P118" s="177" t="str">
        <x:f t="shared" si="31"/>
      </x:c>
      <x:c r="Q118" s="178" t="str">
        <x:f t="shared" si="32"/>
      </x:c>
      <x:c r="R118" s="122"/>
      <x:c r="S118" s="177" t="str">
        <x:f t="shared" si="33"/>
      </x:c>
      <x:c r="T118" s="122"/>
      <x:c r="U118" s="177" t="str">
        <x:f t="shared" si="34"/>
      </x:c>
      <x:c r="V118" s="178" t="str">
        <x:f t="shared" si="35"/>
      </x:c>
      <x:c r="W118" s="122"/>
      <x:c r="X118" s="177" t="str">
        <x:f t="shared" si="36"/>
      </x:c>
      <x:c r="Y118" s="122"/>
      <x:c r="Z118" s="177" t="str">
        <x:f t="shared" si="37"/>
      </x:c>
      <x:c r="AA118" s="178" t="str">
        <x:f t="shared" si="38"/>
      </x:c>
      <x:c r="AB118" s="122"/>
      <x:c r="AC118" s="177" t="str">
        <x:f t="shared" si="39"/>
      </x:c>
      <x:c r="AD118" s="122"/>
      <x:c r="AE118" s="177" t="str">
        <x:f t="shared" si="40"/>
      </x:c>
      <x:c r="AF118" s="178" t="str">
        <x:f t="shared" si="41"/>
      </x:c>
      <x:c r="AG118" s="122"/>
      <x:c r="AH118" s="177" t="str">
        <x:f t="shared" si="42"/>
      </x:c>
      <x:c r="AI118" s="122"/>
      <x:c r="AJ118" s="177" t="str">
        <x:f t="shared" si="43"/>
      </x:c>
      <x:c r="AK118" s="178" t="str">
        <x:f t="shared" si="44"/>
      </x:c>
      <x:c r="AL118" s="122"/>
      <x:c r="AM118" s="177" t="str">
        <x:f t="shared" si="45"/>
      </x:c>
      <x:c r="AN118" s="122"/>
      <x:c r="AO118" s="177" t="str">
        <x:f t="shared" si="46"/>
      </x:c>
      <x:c r="AP118" s="178" t="str">
        <x:f t="shared" si="47"/>
      </x:c>
      <x:c r="AQ118" s="122"/>
      <x:c r="AR118" s="177" t="str">
        <x:f t="shared" si="48"/>
      </x:c>
      <x:c r="AS118" s="122"/>
      <x:c r="AT118" s="177" t="str">
        <x:f t="shared" si="49"/>
      </x:c>
      <x:c r="AU118" s="178" t="str">
        <x:f t="shared" si="50"/>
      </x:c>
      <x:c r="AV118" s="122"/>
      <x:c r="AW118" s="177" t="str">
        <x:f t="shared" si="51"/>
      </x:c>
      <x:c r="AX118" s="122"/>
      <x:c r="AY118" s="177" t="str">
        <x:f t="shared" si="52"/>
      </x:c>
      <x:c r="AZ118" s="178" t="str">
        <x:f t="shared" si="53"/>
      </x:c>
      <x:c r="BA118" s="122"/>
      <x:c r="BB118" s="177" t="str">
        <x:f t="shared" si="54"/>
      </x:c>
      <x:c r="BC118" s="122"/>
      <x:c r="BD118" s="177" t="str">
        <x:f t="shared" si="55"/>
      </x:c>
      <x:c r="BE118" s="178" t="str">
        <x:f t="shared" si="56"/>
      </x:c>
      <x:c r="BF118" s="122"/>
      <x:c r="BG118" s="177" t="str">
        <x:f t="shared" si="57"/>
      </x:c>
      <x:c r="BH118" s="122"/>
      <x:c r="BI118" s="177" t="str">
        <x:f t="shared" si="58"/>
      </x:c>
      <x:c r="BJ118" s="178" t="str">
        <x:f t="shared" si="59"/>
      </x:c>
    </x:row>
    <x:row r="119" ht="19.5" hidden="1" customHeight="1">
      <x:c r="A119" s="160"/>
      <x:c r="B119" s="179"/>
      <x:c r="C119" s="171"/>
      <x:c r="D119" s="172"/>
      <x:c r="E119" s="171"/>
      <x:c r="F119" s="173"/>
      <x:c r="G119" s="174"/>
      <x:c r="H119" s="175"/>
      <x:c r="I119" s="174"/>
      <x:c r="J119" s="176"/>
      <x:c r="K119" s="233"/>
      <x:c r="L119" s="233"/>
      <x:c r="M119" s="122"/>
      <x:c r="N119" s="177" t="str">
        <x:f t="shared" si="30"/>
      </x:c>
      <x:c r="O119" s="122"/>
      <x:c r="P119" s="177" t="str">
        <x:f t="shared" si="31"/>
      </x:c>
      <x:c r="Q119" s="178" t="str">
        <x:f t="shared" si="32"/>
      </x:c>
      <x:c r="R119" s="122"/>
      <x:c r="S119" s="177" t="str">
        <x:f t="shared" si="33"/>
      </x:c>
      <x:c r="T119" s="122"/>
      <x:c r="U119" s="177" t="str">
        <x:f t="shared" si="34"/>
      </x:c>
      <x:c r="V119" s="178" t="str">
        <x:f t="shared" si="35"/>
      </x:c>
      <x:c r="W119" s="122"/>
      <x:c r="X119" s="177" t="str">
        <x:f t="shared" si="36"/>
      </x:c>
      <x:c r="Y119" s="122"/>
      <x:c r="Z119" s="177" t="str">
        <x:f t="shared" si="37"/>
      </x:c>
      <x:c r="AA119" s="178" t="str">
        <x:f t="shared" si="38"/>
      </x:c>
      <x:c r="AB119" s="122"/>
      <x:c r="AC119" s="177" t="str">
        <x:f t="shared" si="39"/>
      </x:c>
      <x:c r="AD119" s="122"/>
      <x:c r="AE119" s="177" t="str">
        <x:f t="shared" si="40"/>
      </x:c>
      <x:c r="AF119" s="178" t="str">
        <x:f t="shared" si="41"/>
      </x:c>
      <x:c r="AG119" s="122"/>
      <x:c r="AH119" s="177" t="str">
        <x:f t="shared" si="42"/>
      </x:c>
      <x:c r="AI119" s="122"/>
      <x:c r="AJ119" s="177" t="str">
        <x:f t="shared" si="43"/>
      </x:c>
      <x:c r="AK119" s="178" t="str">
        <x:f t="shared" si="44"/>
      </x:c>
      <x:c r="AL119" s="122"/>
      <x:c r="AM119" s="177" t="str">
        <x:f t="shared" si="45"/>
      </x:c>
      <x:c r="AN119" s="122"/>
      <x:c r="AO119" s="177" t="str">
        <x:f t="shared" si="46"/>
      </x:c>
      <x:c r="AP119" s="178" t="str">
        <x:f t="shared" si="47"/>
      </x:c>
      <x:c r="AQ119" s="122"/>
      <x:c r="AR119" s="177" t="str">
        <x:f t="shared" si="48"/>
      </x:c>
      <x:c r="AS119" s="122"/>
      <x:c r="AT119" s="177" t="str">
        <x:f t="shared" si="49"/>
      </x:c>
      <x:c r="AU119" s="178" t="str">
        <x:f t="shared" si="50"/>
      </x:c>
      <x:c r="AV119" s="122"/>
      <x:c r="AW119" s="177" t="str">
        <x:f t="shared" si="51"/>
      </x:c>
      <x:c r="AX119" s="122"/>
      <x:c r="AY119" s="177" t="str">
        <x:f t="shared" si="52"/>
      </x:c>
      <x:c r="AZ119" s="178" t="str">
        <x:f t="shared" si="53"/>
      </x:c>
      <x:c r="BA119" s="122"/>
      <x:c r="BB119" s="177" t="str">
        <x:f t="shared" si="54"/>
      </x:c>
      <x:c r="BC119" s="122"/>
      <x:c r="BD119" s="177" t="str">
        <x:f t="shared" si="55"/>
      </x:c>
      <x:c r="BE119" s="178" t="str">
        <x:f t="shared" si="56"/>
      </x:c>
      <x:c r="BF119" s="122"/>
      <x:c r="BG119" s="177" t="str">
        <x:f t="shared" si="57"/>
      </x:c>
      <x:c r="BH119" s="122"/>
      <x:c r="BI119" s="177" t="str">
        <x:f t="shared" si="58"/>
      </x:c>
      <x:c r="BJ119" s="178" t="str">
        <x:f t="shared" si="59"/>
      </x:c>
    </x:row>
    <x:row r="120" ht="19.5" hidden="1" customHeight="1">
      <x:c r="A120" s="169"/>
      <x:c r="B120" s="170"/>
      <x:c r="C120" s="171"/>
      <x:c r="D120" s="172"/>
      <x:c r="E120" s="171"/>
      <x:c r="F120" s="173"/>
      <x:c r="G120" s="174"/>
      <x:c r="H120" s="175"/>
      <x:c r="I120" s="174"/>
      <x:c r="J120" s="176"/>
      <x:c r="K120" s="233"/>
      <x:c r="L120" s="233"/>
      <x:c r="M120" s="122"/>
      <x:c r="N120" s="177" t="str">
        <x:f t="shared" si="30"/>
      </x:c>
      <x:c r="O120" s="122"/>
      <x:c r="P120" s="177" t="str">
        <x:f t="shared" si="31"/>
      </x:c>
      <x:c r="Q120" s="178" t="str">
        <x:f t="shared" si="32"/>
      </x:c>
      <x:c r="R120" s="122"/>
      <x:c r="S120" s="177" t="str">
        <x:f t="shared" si="33"/>
      </x:c>
      <x:c r="T120" s="122"/>
      <x:c r="U120" s="177" t="str">
        <x:f t="shared" si="34"/>
      </x:c>
      <x:c r="V120" s="178" t="str">
        <x:f t="shared" si="35"/>
      </x:c>
      <x:c r="W120" s="122"/>
      <x:c r="X120" s="177" t="str">
        <x:f t="shared" si="36"/>
      </x:c>
      <x:c r="Y120" s="122"/>
      <x:c r="Z120" s="177" t="str">
        <x:f t="shared" si="37"/>
      </x:c>
      <x:c r="AA120" s="178" t="str">
        <x:f t="shared" si="38"/>
      </x:c>
      <x:c r="AB120" s="122"/>
      <x:c r="AC120" s="177" t="str">
        <x:f t="shared" si="39"/>
      </x:c>
      <x:c r="AD120" s="122"/>
      <x:c r="AE120" s="177" t="str">
        <x:f t="shared" si="40"/>
      </x:c>
      <x:c r="AF120" s="178" t="str">
        <x:f t="shared" si="41"/>
      </x:c>
      <x:c r="AG120" s="122"/>
      <x:c r="AH120" s="177" t="str">
        <x:f t="shared" si="42"/>
      </x:c>
      <x:c r="AI120" s="122"/>
      <x:c r="AJ120" s="177" t="str">
        <x:f t="shared" si="43"/>
      </x:c>
      <x:c r="AK120" s="178" t="str">
        <x:f t="shared" si="44"/>
      </x:c>
      <x:c r="AL120" s="122"/>
      <x:c r="AM120" s="177" t="str">
        <x:f t="shared" si="45"/>
      </x:c>
      <x:c r="AN120" s="122"/>
      <x:c r="AO120" s="177" t="str">
        <x:f t="shared" si="46"/>
      </x:c>
      <x:c r="AP120" s="178" t="str">
        <x:f t="shared" si="47"/>
      </x:c>
      <x:c r="AQ120" s="122"/>
      <x:c r="AR120" s="177" t="str">
        <x:f t="shared" si="48"/>
      </x:c>
      <x:c r="AS120" s="122"/>
      <x:c r="AT120" s="177" t="str">
        <x:f t="shared" si="49"/>
      </x:c>
      <x:c r="AU120" s="178" t="str">
        <x:f t="shared" si="50"/>
      </x:c>
      <x:c r="AV120" s="122"/>
      <x:c r="AW120" s="177" t="str">
        <x:f t="shared" si="51"/>
      </x:c>
      <x:c r="AX120" s="122"/>
      <x:c r="AY120" s="177" t="str">
        <x:f t="shared" si="52"/>
      </x:c>
      <x:c r="AZ120" s="178" t="str">
        <x:f t="shared" si="53"/>
      </x:c>
      <x:c r="BA120" s="122"/>
      <x:c r="BB120" s="177" t="str">
        <x:f t="shared" si="54"/>
      </x:c>
      <x:c r="BC120" s="122"/>
      <x:c r="BD120" s="177" t="str">
        <x:f t="shared" si="55"/>
      </x:c>
      <x:c r="BE120" s="178" t="str">
        <x:f t="shared" si="56"/>
      </x:c>
      <x:c r="BF120" s="122"/>
      <x:c r="BG120" s="177" t="str">
        <x:f t="shared" si="57"/>
      </x:c>
      <x:c r="BH120" s="122"/>
      <x:c r="BI120" s="177" t="str">
        <x:f t="shared" si="58"/>
      </x:c>
      <x:c r="BJ120" s="178" t="str">
        <x:f t="shared" si="59"/>
      </x:c>
    </x:row>
    <x:row r="121" ht="19.5" hidden="1" customHeight="1">
      <x:c r="A121" s="160"/>
      <x:c r="B121" s="179"/>
      <x:c r="C121" s="171"/>
      <x:c r="D121" s="172"/>
      <x:c r="E121" s="171"/>
      <x:c r="F121" s="173"/>
      <x:c r="G121" s="174"/>
      <x:c r="H121" s="175"/>
      <x:c r="I121" s="174"/>
      <x:c r="J121" s="176"/>
      <x:c r="K121" s="233"/>
      <x:c r="L121" s="233"/>
      <x:c r="M121" s="122"/>
      <x:c r="N121" s="177" t="str">
        <x:f t="shared" si="30"/>
      </x:c>
      <x:c r="O121" s="122"/>
      <x:c r="P121" s="177" t="str">
        <x:f t="shared" si="31"/>
      </x:c>
      <x:c r="Q121" s="178" t="str">
        <x:f t="shared" si="32"/>
      </x:c>
      <x:c r="R121" s="122"/>
      <x:c r="S121" s="177" t="str">
        <x:f t="shared" si="33"/>
      </x:c>
      <x:c r="T121" s="122"/>
      <x:c r="U121" s="177" t="str">
        <x:f t="shared" si="34"/>
      </x:c>
      <x:c r="V121" s="178" t="str">
        <x:f t="shared" si="35"/>
      </x:c>
      <x:c r="W121" s="122"/>
      <x:c r="X121" s="177" t="str">
        <x:f t="shared" si="36"/>
      </x:c>
      <x:c r="Y121" s="122"/>
      <x:c r="Z121" s="177" t="str">
        <x:f t="shared" si="37"/>
      </x:c>
      <x:c r="AA121" s="178" t="str">
        <x:f t="shared" si="38"/>
      </x:c>
      <x:c r="AB121" s="122"/>
      <x:c r="AC121" s="177" t="str">
        <x:f t="shared" si="39"/>
      </x:c>
      <x:c r="AD121" s="122"/>
      <x:c r="AE121" s="177" t="str">
        <x:f t="shared" si="40"/>
      </x:c>
      <x:c r="AF121" s="178" t="str">
        <x:f t="shared" si="41"/>
      </x:c>
      <x:c r="AG121" s="122"/>
      <x:c r="AH121" s="177" t="str">
        <x:f t="shared" si="42"/>
      </x:c>
      <x:c r="AI121" s="122"/>
      <x:c r="AJ121" s="177" t="str">
        <x:f t="shared" si="43"/>
      </x:c>
      <x:c r="AK121" s="178" t="str">
        <x:f t="shared" si="44"/>
      </x:c>
      <x:c r="AL121" s="122"/>
      <x:c r="AM121" s="177" t="str">
        <x:f t="shared" si="45"/>
      </x:c>
      <x:c r="AN121" s="122"/>
      <x:c r="AO121" s="177" t="str">
        <x:f t="shared" si="46"/>
      </x:c>
      <x:c r="AP121" s="178" t="str">
        <x:f t="shared" si="47"/>
      </x:c>
      <x:c r="AQ121" s="122"/>
      <x:c r="AR121" s="177" t="str">
        <x:f t="shared" si="48"/>
      </x:c>
      <x:c r="AS121" s="122"/>
      <x:c r="AT121" s="177" t="str">
        <x:f t="shared" si="49"/>
      </x:c>
      <x:c r="AU121" s="178" t="str">
        <x:f t="shared" si="50"/>
      </x:c>
      <x:c r="AV121" s="122"/>
      <x:c r="AW121" s="177" t="str">
        <x:f t="shared" si="51"/>
      </x:c>
      <x:c r="AX121" s="122"/>
      <x:c r="AY121" s="177" t="str">
        <x:f t="shared" si="52"/>
      </x:c>
      <x:c r="AZ121" s="178" t="str">
        <x:f t="shared" si="53"/>
      </x:c>
      <x:c r="BA121" s="122"/>
      <x:c r="BB121" s="177" t="str">
        <x:f t="shared" si="54"/>
      </x:c>
      <x:c r="BC121" s="122"/>
      <x:c r="BD121" s="177" t="str">
        <x:f t="shared" si="55"/>
      </x:c>
      <x:c r="BE121" s="178" t="str">
        <x:f t="shared" si="56"/>
      </x:c>
      <x:c r="BF121" s="122"/>
      <x:c r="BG121" s="177" t="str">
        <x:f t="shared" si="57"/>
      </x:c>
      <x:c r="BH121" s="122"/>
      <x:c r="BI121" s="177" t="str">
        <x:f t="shared" si="58"/>
      </x:c>
      <x:c r="BJ121" s="178" t="str">
        <x:f t="shared" si="59"/>
      </x:c>
    </x:row>
    <x:row r="122" ht="19.5" hidden="1" customHeight="1">
      <x:c r="A122" s="169"/>
      <x:c r="B122" s="170"/>
      <x:c r="C122" s="171"/>
      <x:c r="D122" s="172"/>
      <x:c r="E122" s="171"/>
      <x:c r="F122" s="173"/>
      <x:c r="G122" s="174"/>
      <x:c r="H122" s="175"/>
      <x:c r="I122" s="174"/>
      <x:c r="J122" s="176"/>
      <x:c r="K122" s="233"/>
      <x:c r="L122" s="233"/>
      <x:c r="M122" s="122"/>
      <x:c r="N122" s="177" t="str">
        <x:f t="shared" si="30"/>
      </x:c>
      <x:c r="O122" s="122"/>
      <x:c r="P122" s="177" t="str">
        <x:f t="shared" si="31"/>
      </x:c>
      <x:c r="Q122" s="178" t="str">
        <x:f t="shared" si="32"/>
      </x:c>
      <x:c r="R122" s="122"/>
      <x:c r="S122" s="177" t="str">
        <x:f t="shared" si="33"/>
      </x:c>
      <x:c r="T122" s="122"/>
      <x:c r="U122" s="177" t="str">
        <x:f t="shared" si="34"/>
      </x:c>
      <x:c r="V122" s="178" t="str">
        <x:f t="shared" si="35"/>
      </x:c>
      <x:c r="W122" s="122"/>
      <x:c r="X122" s="177" t="str">
        <x:f t="shared" si="36"/>
      </x:c>
      <x:c r="Y122" s="122"/>
      <x:c r="Z122" s="177" t="str">
        <x:f t="shared" si="37"/>
      </x:c>
      <x:c r="AA122" s="178" t="str">
        <x:f t="shared" si="38"/>
      </x:c>
      <x:c r="AB122" s="122"/>
      <x:c r="AC122" s="177" t="str">
        <x:f t="shared" si="39"/>
      </x:c>
      <x:c r="AD122" s="122"/>
      <x:c r="AE122" s="177" t="str">
        <x:f t="shared" si="40"/>
      </x:c>
      <x:c r="AF122" s="178" t="str">
        <x:f t="shared" si="41"/>
      </x:c>
      <x:c r="AG122" s="122"/>
      <x:c r="AH122" s="177" t="str">
        <x:f t="shared" si="42"/>
      </x:c>
      <x:c r="AI122" s="122"/>
      <x:c r="AJ122" s="177" t="str">
        <x:f t="shared" si="43"/>
      </x:c>
      <x:c r="AK122" s="178" t="str">
        <x:f t="shared" si="44"/>
      </x:c>
      <x:c r="AL122" s="122"/>
      <x:c r="AM122" s="177" t="str">
        <x:f t="shared" si="45"/>
      </x:c>
      <x:c r="AN122" s="122"/>
      <x:c r="AO122" s="177" t="str">
        <x:f t="shared" si="46"/>
      </x:c>
      <x:c r="AP122" s="178" t="str">
        <x:f t="shared" si="47"/>
      </x:c>
      <x:c r="AQ122" s="122"/>
      <x:c r="AR122" s="177" t="str">
        <x:f t="shared" si="48"/>
      </x:c>
      <x:c r="AS122" s="122"/>
      <x:c r="AT122" s="177" t="str">
        <x:f t="shared" si="49"/>
      </x:c>
      <x:c r="AU122" s="178" t="str">
        <x:f t="shared" si="50"/>
      </x:c>
      <x:c r="AV122" s="122"/>
      <x:c r="AW122" s="177" t="str">
        <x:f t="shared" si="51"/>
      </x:c>
      <x:c r="AX122" s="122"/>
      <x:c r="AY122" s="177" t="str">
        <x:f t="shared" si="52"/>
      </x:c>
      <x:c r="AZ122" s="178" t="str">
        <x:f t="shared" si="53"/>
      </x:c>
      <x:c r="BA122" s="122"/>
      <x:c r="BB122" s="177" t="str">
        <x:f t="shared" si="54"/>
      </x:c>
      <x:c r="BC122" s="122"/>
      <x:c r="BD122" s="177" t="str">
        <x:f t="shared" si="55"/>
      </x:c>
      <x:c r="BE122" s="178" t="str">
        <x:f t="shared" si="56"/>
      </x:c>
      <x:c r="BF122" s="122"/>
      <x:c r="BG122" s="177" t="str">
        <x:f t="shared" si="57"/>
      </x:c>
      <x:c r="BH122" s="122"/>
      <x:c r="BI122" s="177" t="str">
        <x:f t="shared" si="58"/>
      </x:c>
      <x:c r="BJ122" s="178" t="str">
        <x:f t="shared" si="59"/>
      </x:c>
    </x:row>
    <x:row r="123" ht="19.5" hidden="1" customHeight="1">
      <x:c r="A123" s="160"/>
      <x:c r="B123" s="179"/>
      <x:c r="C123" s="171"/>
      <x:c r="D123" s="172"/>
      <x:c r="E123" s="171"/>
      <x:c r="F123" s="173"/>
      <x:c r="G123" s="174"/>
      <x:c r="H123" s="175"/>
      <x:c r="I123" s="174"/>
      <x:c r="J123" s="176"/>
      <x:c r="K123" s="233"/>
      <x:c r="L123" s="233"/>
      <x:c r="M123" s="122"/>
      <x:c r="N123" s="177" t="str">
        <x:f t="shared" si="30"/>
      </x:c>
      <x:c r="O123" s="122"/>
      <x:c r="P123" s="177" t="str">
        <x:f t="shared" si="31"/>
      </x:c>
      <x:c r="Q123" s="178" t="str">
        <x:f t="shared" si="32"/>
      </x:c>
      <x:c r="R123" s="122"/>
      <x:c r="S123" s="177" t="str">
        <x:f t="shared" si="33"/>
      </x:c>
      <x:c r="T123" s="122"/>
      <x:c r="U123" s="177" t="str">
        <x:f t="shared" si="34"/>
      </x:c>
      <x:c r="V123" s="178" t="str">
        <x:f t="shared" si="35"/>
      </x:c>
      <x:c r="W123" s="122"/>
      <x:c r="X123" s="177" t="str">
        <x:f t="shared" si="36"/>
      </x:c>
      <x:c r="Y123" s="122"/>
      <x:c r="Z123" s="177" t="str">
        <x:f t="shared" si="37"/>
      </x:c>
      <x:c r="AA123" s="178" t="str">
        <x:f t="shared" si="38"/>
      </x:c>
      <x:c r="AB123" s="122"/>
      <x:c r="AC123" s="177" t="str">
        <x:f t="shared" si="39"/>
      </x:c>
      <x:c r="AD123" s="122"/>
      <x:c r="AE123" s="177" t="str">
        <x:f t="shared" si="40"/>
      </x:c>
      <x:c r="AF123" s="178" t="str">
        <x:f t="shared" si="41"/>
      </x:c>
      <x:c r="AG123" s="122"/>
      <x:c r="AH123" s="177" t="str">
        <x:f t="shared" si="42"/>
      </x:c>
      <x:c r="AI123" s="122"/>
      <x:c r="AJ123" s="177" t="str">
        <x:f t="shared" si="43"/>
      </x:c>
      <x:c r="AK123" s="178" t="str">
        <x:f t="shared" si="44"/>
      </x:c>
      <x:c r="AL123" s="122"/>
      <x:c r="AM123" s="177" t="str">
        <x:f t="shared" si="45"/>
      </x:c>
      <x:c r="AN123" s="122"/>
      <x:c r="AO123" s="177" t="str">
        <x:f t="shared" si="46"/>
      </x:c>
      <x:c r="AP123" s="178" t="str">
        <x:f t="shared" si="47"/>
      </x:c>
      <x:c r="AQ123" s="122"/>
      <x:c r="AR123" s="177" t="str">
        <x:f t="shared" si="48"/>
      </x:c>
      <x:c r="AS123" s="122"/>
      <x:c r="AT123" s="177" t="str">
        <x:f t="shared" si="49"/>
      </x:c>
      <x:c r="AU123" s="178" t="str">
        <x:f t="shared" si="50"/>
      </x:c>
      <x:c r="AV123" s="122"/>
      <x:c r="AW123" s="177" t="str">
        <x:f t="shared" si="51"/>
      </x:c>
      <x:c r="AX123" s="122"/>
      <x:c r="AY123" s="177" t="str">
        <x:f t="shared" si="52"/>
      </x:c>
      <x:c r="AZ123" s="178" t="str">
        <x:f t="shared" si="53"/>
      </x:c>
      <x:c r="BA123" s="122"/>
      <x:c r="BB123" s="177" t="str">
        <x:f t="shared" si="54"/>
      </x:c>
      <x:c r="BC123" s="122"/>
      <x:c r="BD123" s="177" t="str">
        <x:f t="shared" si="55"/>
      </x:c>
      <x:c r="BE123" s="178" t="str">
        <x:f t="shared" si="56"/>
      </x:c>
      <x:c r="BF123" s="122"/>
      <x:c r="BG123" s="177" t="str">
        <x:f t="shared" si="57"/>
      </x:c>
      <x:c r="BH123" s="122"/>
      <x:c r="BI123" s="177" t="str">
        <x:f t="shared" si="58"/>
      </x:c>
      <x:c r="BJ123" s="178" t="str">
        <x:f t="shared" si="59"/>
      </x:c>
    </x:row>
    <x:row r="124" ht="19.5" hidden="1" customHeight="1">
      <x:c r="A124" s="169"/>
      <x:c r="B124" s="170"/>
      <x:c r="C124" s="171"/>
      <x:c r="D124" s="172"/>
      <x:c r="E124" s="171"/>
      <x:c r="F124" s="173"/>
      <x:c r="G124" s="174"/>
      <x:c r="H124" s="175"/>
      <x:c r="I124" s="174"/>
      <x:c r="J124" s="176"/>
      <x:c r="K124" s="233"/>
      <x:c r="L124" s="233"/>
      <x:c r="M124" s="122"/>
      <x:c r="N124" s="177" t="str">
        <x:f t="shared" si="30"/>
      </x:c>
      <x:c r="O124" s="122"/>
      <x:c r="P124" s="177" t="str">
        <x:f t="shared" si="31"/>
      </x:c>
      <x:c r="Q124" s="178" t="str">
        <x:f t="shared" si="32"/>
      </x:c>
      <x:c r="R124" s="122"/>
      <x:c r="S124" s="177" t="str">
        <x:f t="shared" si="33"/>
      </x:c>
      <x:c r="T124" s="122"/>
      <x:c r="U124" s="177" t="str">
        <x:f t="shared" si="34"/>
      </x:c>
      <x:c r="V124" s="178" t="str">
        <x:f t="shared" si="35"/>
      </x:c>
      <x:c r="W124" s="122"/>
      <x:c r="X124" s="177" t="str">
        <x:f t="shared" si="36"/>
      </x:c>
      <x:c r="Y124" s="122"/>
      <x:c r="Z124" s="177" t="str">
        <x:f t="shared" si="37"/>
      </x:c>
      <x:c r="AA124" s="178" t="str">
        <x:f t="shared" si="38"/>
      </x:c>
      <x:c r="AB124" s="122"/>
      <x:c r="AC124" s="177" t="str">
        <x:f t="shared" si="39"/>
      </x:c>
      <x:c r="AD124" s="122"/>
      <x:c r="AE124" s="177" t="str">
        <x:f t="shared" si="40"/>
      </x:c>
      <x:c r="AF124" s="178" t="str">
        <x:f t="shared" si="41"/>
      </x:c>
      <x:c r="AG124" s="122"/>
      <x:c r="AH124" s="177" t="str">
        <x:f t="shared" si="42"/>
      </x:c>
      <x:c r="AI124" s="122"/>
      <x:c r="AJ124" s="177" t="str">
        <x:f t="shared" si="43"/>
      </x:c>
      <x:c r="AK124" s="178" t="str">
        <x:f t="shared" si="44"/>
      </x:c>
      <x:c r="AL124" s="122"/>
      <x:c r="AM124" s="177" t="str">
        <x:f t="shared" si="45"/>
      </x:c>
      <x:c r="AN124" s="122"/>
      <x:c r="AO124" s="177" t="str">
        <x:f t="shared" si="46"/>
      </x:c>
      <x:c r="AP124" s="178" t="str">
        <x:f t="shared" si="47"/>
      </x:c>
      <x:c r="AQ124" s="122"/>
      <x:c r="AR124" s="177" t="str">
        <x:f t="shared" si="48"/>
      </x:c>
      <x:c r="AS124" s="122"/>
      <x:c r="AT124" s="177" t="str">
        <x:f t="shared" si="49"/>
      </x:c>
      <x:c r="AU124" s="178" t="str">
        <x:f t="shared" si="50"/>
      </x:c>
      <x:c r="AV124" s="122"/>
      <x:c r="AW124" s="177" t="str">
        <x:f t="shared" si="51"/>
      </x:c>
      <x:c r="AX124" s="122"/>
      <x:c r="AY124" s="177" t="str">
        <x:f t="shared" si="52"/>
      </x:c>
      <x:c r="AZ124" s="178" t="str">
        <x:f t="shared" si="53"/>
      </x:c>
      <x:c r="BA124" s="122"/>
      <x:c r="BB124" s="177" t="str">
        <x:f t="shared" si="54"/>
      </x:c>
      <x:c r="BC124" s="122"/>
      <x:c r="BD124" s="177" t="str">
        <x:f t="shared" si="55"/>
      </x:c>
      <x:c r="BE124" s="178" t="str">
        <x:f t="shared" si="56"/>
      </x:c>
      <x:c r="BF124" s="122"/>
      <x:c r="BG124" s="177" t="str">
        <x:f t="shared" si="57"/>
      </x:c>
      <x:c r="BH124" s="122"/>
      <x:c r="BI124" s="177" t="str">
        <x:f t="shared" si="58"/>
      </x:c>
      <x:c r="BJ124" s="178" t="str">
        <x:f t="shared" si="59"/>
      </x:c>
    </x:row>
    <x:row r="125" ht="19.5" hidden="1" customHeight="1">
      <x:c r="A125" s="160"/>
      <x:c r="B125" s="179"/>
      <x:c r="C125" s="171"/>
      <x:c r="D125" s="172"/>
      <x:c r="E125" s="171"/>
      <x:c r="F125" s="173"/>
      <x:c r="G125" s="174"/>
      <x:c r="H125" s="175"/>
      <x:c r="I125" s="174"/>
      <x:c r="J125" s="176"/>
      <x:c r="K125" s="233"/>
      <x:c r="L125" s="233"/>
      <x:c r="M125" s="122"/>
      <x:c r="N125" s="177" t="str">
        <x:f t="shared" si="30"/>
      </x:c>
      <x:c r="O125" s="122"/>
      <x:c r="P125" s="177" t="str">
        <x:f t="shared" si="31"/>
      </x:c>
      <x:c r="Q125" s="178" t="str">
        <x:f t="shared" si="32"/>
      </x:c>
      <x:c r="R125" s="122"/>
      <x:c r="S125" s="177" t="str">
        <x:f t="shared" si="33"/>
      </x:c>
      <x:c r="T125" s="122"/>
      <x:c r="U125" s="177" t="str">
        <x:f t="shared" si="34"/>
      </x:c>
      <x:c r="V125" s="178" t="str">
        <x:f t="shared" si="35"/>
      </x:c>
      <x:c r="W125" s="122"/>
      <x:c r="X125" s="177" t="str">
        <x:f t="shared" si="36"/>
      </x:c>
      <x:c r="Y125" s="122"/>
      <x:c r="Z125" s="177" t="str">
        <x:f t="shared" si="37"/>
      </x:c>
      <x:c r="AA125" s="178" t="str">
        <x:f t="shared" si="38"/>
      </x:c>
      <x:c r="AB125" s="122"/>
      <x:c r="AC125" s="177" t="str">
        <x:f t="shared" si="39"/>
      </x:c>
      <x:c r="AD125" s="122"/>
      <x:c r="AE125" s="177" t="str">
        <x:f t="shared" si="40"/>
      </x:c>
      <x:c r="AF125" s="178" t="str">
        <x:f t="shared" si="41"/>
      </x:c>
      <x:c r="AG125" s="122"/>
      <x:c r="AH125" s="177" t="str">
        <x:f t="shared" si="42"/>
      </x:c>
      <x:c r="AI125" s="122"/>
      <x:c r="AJ125" s="177" t="str">
        <x:f t="shared" si="43"/>
      </x:c>
      <x:c r="AK125" s="178" t="str">
        <x:f t="shared" si="44"/>
      </x:c>
      <x:c r="AL125" s="122"/>
      <x:c r="AM125" s="177" t="str">
        <x:f t="shared" si="45"/>
      </x:c>
      <x:c r="AN125" s="122"/>
      <x:c r="AO125" s="177" t="str">
        <x:f t="shared" si="46"/>
      </x:c>
      <x:c r="AP125" s="178" t="str">
        <x:f t="shared" si="47"/>
      </x:c>
      <x:c r="AQ125" s="122"/>
      <x:c r="AR125" s="177" t="str">
        <x:f t="shared" si="48"/>
      </x:c>
      <x:c r="AS125" s="122"/>
      <x:c r="AT125" s="177" t="str">
        <x:f t="shared" si="49"/>
      </x:c>
      <x:c r="AU125" s="178" t="str">
        <x:f t="shared" si="50"/>
      </x:c>
      <x:c r="AV125" s="122"/>
      <x:c r="AW125" s="177" t="str">
        <x:f t="shared" si="51"/>
      </x:c>
      <x:c r="AX125" s="122"/>
      <x:c r="AY125" s="177" t="str">
        <x:f t="shared" si="52"/>
      </x:c>
      <x:c r="AZ125" s="178" t="str">
        <x:f t="shared" si="53"/>
      </x:c>
      <x:c r="BA125" s="122"/>
      <x:c r="BB125" s="177" t="str">
        <x:f t="shared" si="54"/>
      </x:c>
      <x:c r="BC125" s="122"/>
      <x:c r="BD125" s="177" t="str">
        <x:f t="shared" si="55"/>
      </x:c>
      <x:c r="BE125" s="178" t="str">
        <x:f t="shared" si="56"/>
      </x:c>
      <x:c r="BF125" s="122"/>
      <x:c r="BG125" s="177" t="str">
        <x:f t="shared" si="57"/>
      </x:c>
      <x:c r="BH125" s="122"/>
      <x:c r="BI125" s="177" t="str">
        <x:f t="shared" si="58"/>
      </x:c>
      <x:c r="BJ125" s="178" t="str">
        <x:f t="shared" si="59"/>
      </x:c>
    </x:row>
    <x:row r="126" ht="19.5" hidden="1" customHeight="1">
      <x:c r="A126" s="169"/>
      <x:c r="B126" s="170"/>
      <x:c r="C126" s="171"/>
      <x:c r="D126" s="172"/>
      <x:c r="E126" s="171"/>
      <x:c r="F126" s="173"/>
      <x:c r="G126" s="174"/>
      <x:c r="H126" s="175"/>
      <x:c r="I126" s="174"/>
      <x:c r="J126" s="176"/>
      <x:c r="K126" s="233"/>
      <x:c r="L126" s="233"/>
      <x:c r="M126" s="122"/>
      <x:c r="N126" s="177" t="str">
        <x:f t="shared" si="30"/>
      </x:c>
      <x:c r="O126" s="122"/>
      <x:c r="P126" s="177" t="str">
        <x:f t="shared" si="31"/>
      </x:c>
      <x:c r="Q126" s="178" t="str">
        <x:f t="shared" si="32"/>
      </x:c>
      <x:c r="R126" s="122"/>
      <x:c r="S126" s="177" t="str">
        <x:f t="shared" si="33"/>
      </x:c>
      <x:c r="T126" s="122"/>
      <x:c r="U126" s="177" t="str">
        <x:f t="shared" si="34"/>
      </x:c>
      <x:c r="V126" s="178" t="str">
        <x:f t="shared" si="35"/>
      </x:c>
      <x:c r="W126" s="122"/>
      <x:c r="X126" s="177" t="str">
        <x:f t="shared" si="36"/>
      </x:c>
      <x:c r="Y126" s="122"/>
      <x:c r="Z126" s="177" t="str">
        <x:f t="shared" si="37"/>
      </x:c>
      <x:c r="AA126" s="178" t="str">
        <x:f t="shared" si="38"/>
      </x:c>
      <x:c r="AB126" s="122"/>
      <x:c r="AC126" s="177" t="str">
        <x:f t="shared" si="39"/>
      </x:c>
      <x:c r="AD126" s="122"/>
      <x:c r="AE126" s="177" t="str">
        <x:f t="shared" si="40"/>
      </x:c>
      <x:c r="AF126" s="178" t="str">
        <x:f t="shared" si="41"/>
      </x:c>
      <x:c r="AG126" s="122"/>
      <x:c r="AH126" s="177" t="str">
        <x:f t="shared" si="42"/>
      </x:c>
      <x:c r="AI126" s="122"/>
      <x:c r="AJ126" s="177" t="str">
        <x:f t="shared" si="43"/>
      </x:c>
      <x:c r="AK126" s="178" t="str">
        <x:f t="shared" si="44"/>
      </x:c>
      <x:c r="AL126" s="122"/>
      <x:c r="AM126" s="177" t="str">
        <x:f t="shared" si="45"/>
      </x:c>
      <x:c r="AN126" s="122"/>
      <x:c r="AO126" s="177" t="str">
        <x:f t="shared" si="46"/>
      </x:c>
      <x:c r="AP126" s="178" t="str">
        <x:f t="shared" si="47"/>
      </x:c>
      <x:c r="AQ126" s="122"/>
      <x:c r="AR126" s="177" t="str">
        <x:f t="shared" si="48"/>
      </x:c>
      <x:c r="AS126" s="122"/>
      <x:c r="AT126" s="177" t="str">
        <x:f t="shared" si="49"/>
      </x:c>
      <x:c r="AU126" s="178" t="str">
        <x:f t="shared" si="50"/>
      </x:c>
      <x:c r="AV126" s="122"/>
      <x:c r="AW126" s="177" t="str">
        <x:f t="shared" si="51"/>
      </x:c>
      <x:c r="AX126" s="122"/>
      <x:c r="AY126" s="177" t="str">
        <x:f t="shared" si="52"/>
      </x:c>
      <x:c r="AZ126" s="178" t="str">
        <x:f t="shared" si="53"/>
      </x:c>
      <x:c r="BA126" s="122"/>
      <x:c r="BB126" s="177" t="str">
        <x:f t="shared" si="54"/>
      </x:c>
      <x:c r="BC126" s="122"/>
      <x:c r="BD126" s="177" t="str">
        <x:f t="shared" si="55"/>
      </x:c>
      <x:c r="BE126" s="178" t="str">
        <x:f t="shared" si="56"/>
      </x:c>
      <x:c r="BF126" s="122"/>
      <x:c r="BG126" s="177" t="str">
        <x:f t="shared" si="57"/>
      </x:c>
      <x:c r="BH126" s="122"/>
      <x:c r="BI126" s="177" t="str">
        <x:f t="shared" si="58"/>
      </x:c>
      <x:c r="BJ126" s="178" t="str">
        <x:f t="shared" si="59"/>
      </x:c>
    </x:row>
    <x:row r="127" ht="19.5" hidden="1" customHeight="1">
      <x:c r="A127" s="160"/>
      <x:c r="B127" s="179"/>
      <x:c r="C127" s="171"/>
      <x:c r="D127" s="172"/>
      <x:c r="E127" s="171"/>
      <x:c r="F127" s="173"/>
      <x:c r="G127" s="174"/>
      <x:c r="H127" s="175"/>
      <x:c r="I127" s="174"/>
      <x:c r="J127" s="176"/>
      <x:c r="K127" s="233"/>
      <x:c r="L127" s="233"/>
      <x:c r="M127" s="122"/>
      <x:c r="N127" s="177" t="str">
        <x:f t="shared" si="30"/>
      </x:c>
      <x:c r="O127" s="122"/>
      <x:c r="P127" s="177" t="str">
        <x:f t="shared" si="31"/>
      </x:c>
      <x:c r="Q127" s="178" t="str">
        <x:f t="shared" si="32"/>
      </x:c>
      <x:c r="R127" s="122"/>
      <x:c r="S127" s="177" t="str">
        <x:f t="shared" si="33"/>
      </x:c>
      <x:c r="T127" s="122"/>
      <x:c r="U127" s="177" t="str">
        <x:f t="shared" si="34"/>
      </x:c>
      <x:c r="V127" s="178" t="str">
        <x:f t="shared" si="35"/>
      </x:c>
      <x:c r="W127" s="122"/>
      <x:c r="X127" s="177" t="str">
        <x:f t="shared" si="36"/>
      </x:c>
      <x:c r="Y127" s="122"/>
      <x:c r="Z127" s="177" t="str">
        <x:f t="shared" si="37"/>
      </x:c>
      <x:c r="AA127" s="178" t="str">
        <x:f t="shared" si="38"/>
      </x:c>
      <x:c r="AB127" s="122"/>
      <x:c r="AC127" s="177" t="str">
        <x:f t="shared" si="39"/>
      </x:c>
      <x:c r="AD127" s="122"/>
      <x:c r="AE127" s="177" t="str">
        <x:f t="shared" si="40"/>
      </x:c>
      <x:c r="AF127" s="178" t="str">
        <x:f t="shared" si="41"/>
      </x:c>
      <x:c r="AG127" s="122"/>
      <x:c r="AH127" s="177" t="str">
        <x:f t="shared" si="42"/>
      </x:c>
      <x:c r="AI127" s="122"/>
      <x:c r="AJ127" s="177" t="str">
        <x:f t="shared" si="43"/>
      </x:c>
      <x:c r="AK127" s="178" t="str">
        <x:f t="shared" si="44"/>
      </x:c>
      <x:c r="AL127" s="122"/>
      <x:c r="AM127" s="177" t="str">
        <x:f t="shared" si="45"/>
      </x:c>
      <x:c r="AN127" s="122"/>
      <x:c r="AO127" s="177" t="str">
        <x:f t="shared" si="46"/>
      </x:c>
      <x:c r="AP127" s="178" t="str">
        <x:f t="shared" si="47"/>
      </x:c>
      <x:c r="AQ127" s="122"/>
      <x:c r="AR127" s="177" t="str">
        <x:f t="shared" si="48"/>
      </x:c>
      <x:c r="AS127" s="122"/>
      <x:c r="AT127" s="177" t="str">
        <x:f t="shared" si="49"/>
      </x:c>
      <x:c r="AU127" s="178" t="str">
        <x:f t="shared" si="50"/>
      </x:c>
      <x:c r="AV127" s="122"/>
      <x:c r="AW127" s="177" t="str">
        <x:f t="shared" si="51"/>
      </x:c>
      <x:c r="AX127" s="122"/>
      <x:c r="AY127" s="177" t="str">
        <x:f t="shared" si="52"/>
      </x:c>
      <x:c r="AZ127" s="178" t="str">
        <x:f t="shared" si="53"/>
      </x:c>
      <x:c r="BA127" s="122"/>
      <x:c r="BB127" s="177" t="str">
        <x:f t="shared" si="54"/>
      </x:c>
      <x:c r="BC127" s="122"/>
      <x:c r="BD127" s="177" t="str">
        <x:f t="shared" si="55"/>
      </x:c>
      <x:c r="BE127" s="178" t="str">
        <x:f t="shared" si="56"/>
      </x:c>
      <x:c r="BF127" s="122"/>
      <x:c r="BG127" s="177" t="str">
        <x:f t="shared" si="57"/>
      </x:c>
      <x:c r="BH127" s="122"/>
      <x:c r="BI127" s="177" t="str">
        <x:f t="shared" si="58"/>
      </x:c>
      <x:c r="BJ127" s="178" t="str">
        <x:f t="shared" si="59"/>
      </x:c>
    </x:row>
    <x:row r="128" ht="19.5" hidden="1" customHeight="1">
      <x:c r="A128" s="169"/>
      <x:c r="B128" s="170"/>
      <x:c r="C128" s="171"/>
      <x:c r="D128" s="172"/>
      <x:c r="E128" s="171"/>
      <x:c r="F128" s="173"/>
      <x:c r="G128" s="174"/>
      <x:c r="H128" s="175"/>
      <x:c r="I128" s="174"/>
      <x:c r="J128" s="176"/>
      <x:c r="K128" s="233"/>
      <x:c r="L128" s="233"/>
      <x:c r="M128" s="122"/>
      <x:c r="N128" s="177" t="str">
        <x:f t="shared" si="30"/>
      </x:c>
      <x:c r="O128" s="122"/>
      <x:c r="P128" s="177" t="str">
        <x:f t="shared" si="31"/>
      </x:c>
      <x:c r="Q128" s="178" t="str">
        <x:f t="shared" si="32"/>
      </x:c>
      <x:c r="R128" s="122"/>
      <x:c r="S128" s="177" t="str">
        <x:f t="shared" si="33"/>
      </x:c>
      <x:c r="T128" s="122"/>
      <x:c r="U128" s="177" t="str">
        <x:f t="shared" si="34"/>
      </x:c>
      <x:c r="V128" s="178" t="str">
        <x:f t="shared" si="35"/>
      </x:c>
      <x:c r="W128" s="122"/>
      <x:c r="X128" s="177" t="str">
        <x:f t="shared" si="36"/>
      </x:c>
      <x:c r="Y128" s="122"/>
      <x:c r="Z128" s="177" t="str">
        <x:f t="shared" si="37"/>
      </x:c>
      <x:c r="AA128" s="178" t="str">
        <x:f t="shared" si="38"/>
      </x:c>
      <x:c r="AB128" s="122"/>
      <x:c r="AC128" s="177" t="str">
        <x:f t="shared" si="39"/>
      </x:c>
      <x:c r="AD128" s="122"/>
      <x:c r="AE128" s="177" t="str">
        <x:f t="shared" si="40"/>
      </x:c>
      <x:c r="AF128" s="178" t="str">
        <x:f t="shared" si="41"/>
      </x:c>
      <x:c r="AG128" s="122"/>
      <x:c r="AH128" s="177" t="str">
        <x:f t="shared" si="42"/>
      </x:c>
      <x:c r="AI128" s="122"/>
      <x:c r="AJ128" s="177" t="str">
        <x:f t="shared" si="43"/>
      </x:c>
      <x:c r="AK128" s="178" t="str">
        <x:f t="shared" si="44"/>
      </x:c>
      <x:c r="AL128" s="122"/>
      <x:c r="AM128" s="177" t="str">
        <x:f t="shared" si="45"/>
      </x:c>
      <x:c r="AN128" s="122"/>
      <x:c r="AO128" s="177" t="str">
        <x:f t="shared" si="46"/>
      </x:c>
      <x:c r="AP128" s="178" t="str">
        <x:f t="shared" si="47"/>
      </x:c>
      <x:c r="AQ128" s="122"/>
      <x:c r="AR128" s="177" t="str">
        <x:f t="shared" si="48"/>
      </x:c>
      <x:c r="AS128" s="122"/>
      <x:c r="AT128" s="177" t="str">
        <x:f t="shared" si="49"/>
      </x:c>
      <x:c r="AU128" s="178" t="str">
        <x:f t="shared" si="50"/>
      </x:c>
      <x:c r="AV128" s="122"/>
      <x:c r="AW128" s="177" t="str">
        <x:f t="shared" si="51"/>
      </x:c>
      <x:c r="AX128" s="122"/>
      <x:c r="AY128" s="177" t="str">
        <x:f t="shared" si="52"/>
      </x:c>
      <x:c r="AZ128" s="178" t="str">
        <x:f t="shared" si="53"/>
      </x:c>
      <x:c r="BA128" s="122"/>
      <x:c r="BB128" s="177" t="str">
        <x:f t="shared" si="54"/>
      </x:c>
      <x:c r="BC128" s="122"/>
      <x:c r="BD128" s="177" t="str">
        <x:f t="shared" si="55"/>
      </x:c>
      <x:c r="BE128" s="178" t="str">
        <x:f t="shared" si="56"/>
      </x:c>
      <x:c r="BF128" s="122"/>
      <x:c r="BG128" s="177" t="str">
        <x:f t="shared" si="57"/>
      </x:c>
      <x:c r="BH128" s="122"/>
      <x:c r="BI128" s="177" t="str">
        <x:f t="shared" si="58"/>
      </x:c>
      <x:c r="BJ128" s="178" t="str">
        <x:f t="shared" si="59"/>
      </x:c>
    </x:row>
    <x:row r="129" ht="19.5" hidden="1" customHeight="1">
      <x:c r="A129" s="160"/>
      <x:c r="B129" s="179"/>
      <x:c r="C129" s="171"/>
      <x:c r="D129" s="172"/>
      <x:c r="E129" s="171"/>
      <x:c r="F129" s="173"/>
      <x:c r="G129" s="174"/>
      <x:c r="H129" s="175"/>
      <x:c r="I129" s="174"/>
      <x:c r="J129" s="176"/>
      <x:c r="K129" s="233"/>
      <x:c r="L129" s="233"/>
      <x:c r="M129" s="122"/>
      <x:c r="N129" s="177" t="str">
        <x:f t="shared" si="30"/>
      </x:c>
      <x:c r="O129" s="122"/>
      <x:c r="P129" s="177" t="str">
        <x:f t="shared" si="31"/>
      </x:c>
      <x:c r="Q129" s="178" t="str">
        <x:f t="shared" si="32"/>
      </x:c>
      <x:c r="R129" s="122"/>
      <x:c r="S129" s="177" t="str">
        <x:f t="shared" si="33"/>
      </x:c>
      <x:c r="T129" s="122"/>
      <x:c r="U129" s="177" t="str">
        <x:f t="shared" si="34"/>
      </x:c>
      <x:c r="V129" s="178" t="str">
        <x:f t="shared" si="35"/>
      </x:c>
      <x:c r="W129" s="122"/>
      <x:c r="X129" s="177" t="str">
        <x:f t="shared" si="36"/>
      </x:c>
      <x:c r="Y129" s="122"/>
      <x:c r="Z129" s="177" t="str">
        <x:f t="shared" si="37"/>
      </x:c>
      <x:c r="AA129" s="178" t="str">
        <x:f t="shared" si="38"/>
      </x:c>
      <x:c r="AB129" s="122"/>
      <x:c r="AC129" s="177" t="str">
        <x:f t="shared" si="39"/>
      </x:c>
      <x:c r="AD129" s="122"/>
      <x:c r="AE129" s="177" t="str">
        <x:f t="shared" si="40"/>
      </x:c>
      <x:c r="AF129" s="178" t="str">
        <x:f t="shared" si="41"/>
      </x:c>
      <x:c r="AG129" s="122"/>
      <x:c r="AH129" s="177" t="str">
        <x:f t="shared" si="42"/>
      </x:c>
      <x:c r="AI129" s="122"/>
      <x:c r="AJ129" s="177" t="str">
        <x:f t="shared" si="43"/>
      </x:c>
      <x:c r="AK129" s="178" t="str">
        <x:f t="shared" si="44"/>
      </x:c>
      <x:c r="AL129" s="122"/>
      <x:c r="AM129" s="177" t="str">
        <x:f t="shared" si="45"/>
      </x:c>
      <x:c r="AN129" s="122"/>
      <x:c r="AO129" s="177" t="str">
        <x:f t="shared" si="46"/>
      </x:c>
      <x:c r="AP129" s="178" t="str">
        <x:f t="shared" si="47"/>
      </x:c>
      <x:c r="AQ129" s="122"/>
      <x:c r="AR129" s="177" t="str">
        <x:f t="shared" si="48"/>
      </x:c>
      <x:c r="AS129" s="122"/>
      <x:c r="AT129" s="177" t="str">
        <x:f t="shared" si="49"/>
      </x:c>
      <x:c r="AU129" s="178" t="str">
        <x:f t="shared" si="50"/>
      </x:c>
      <x:c r="AV129" s="122"/>
      <x:c r="AW129" s="177" t="str">
        <x:f t="shared" si="51"/>
      </x:c>
      <x:c r="AX129" s="122"/>
      <x:c r="AY129" s="177" t="str">
        <x:f t="shared" si="52"/>
      </x:c>
      <x:c r="AZ129" s="178" t="str">
        <x:f t="shared" si="53"/>
      </x:c>
      <x:c r="BA129" s="122"/>
      <x:c r="BB129" s="177" t="str">
        <x:f t="shared" si="54"/>
      </x:c>
      <x:c r="BC129" s="122"/>
      <x:c r="BD129" s="177" t="str">
        <x:f t="shared" si="55"/>
      </x:c>
      <x:c r="BE129" s="178" t="str">
        <x:f t="shared" si="56"/>
      </x:c>
      <x:c r="BF129" s="122"/>
      <x:c r="BG129" s="177" t="str">
        <x:f t="shared" si="57"/>
      </x:c>
      <x:c r="BH129" s="122"/>
      <x:c r="BI129" s="177" t="str">
        <x:f t="shared" si="58"/>
      </x:c>
      <x:c r="BJ129" s="178" t="str">
        <x:f t="shared" si="59"/>
      </x:c>
    </x:row>
    <x:row r="130" ht="19.5" hidden="1" customHeight="1">
      <x:c r="A130" s="169"/>
      <x:c r="B130" s="170"/>
      <x:c r="C130" s="171"/>
      <x:c r="D130" s="172"/>
      <x:c r="E130" s="171"/>
      <x:c r="F130" s="173"/>
      <x:c r="G130" s="174"/>
      <x:c r="H130" s="175"/>
      <x:c r="I130" s="174"/>
      <x:c r="J130" s="176"/>
      <x:c r="K130" s="233"/>
      <x:c r="L130" s="233"/>
      <x:c r="M130" s="122"/>
      <x:c r="N130" s="177" t="str">
        <x:f t="shared" si="30"/>
      </x:c>
      <x:c r="O130" s="122"/>
      <x:c r="P130" s="177" t="str">
        <x:f t="shared" si="31"/>
      </x:c>
      <x:c r="Q130" s="178" t="str">
        <x:f t="shared" si="32"/>
      </x:c>
      <x:c r="R130" s="122"/>
      <x:c r="S130" s="177" t="str">
        <x:f t="shared" si="33"/>
      </x:c>
      <x:c r="T130" s="122"/>
      <x:c r="U130" s="177" t="str">
        <x:f t="shared" si="34"/>
      </x:c>
      <x:c r="V130" s="178" t="str">
        <x:f t="shared" si="35"/>
      </x:c>
      <x:c r="W130" s="122"/>
      <x:c r="X130" s="177" t="str">
        <x:f t="shared" si="36"/>
      </x:c>
      <x:c r="Y130" s="122"/>
      <x:c r="Z130" s="177" t="str">
        <x:f t="shared" si="37"/>
      </x:c>
      <x:c r="AA130" s="178" t="str">
        <x:f t="shared" si="38"/>
      </x:c>
      <x:c r="AB130" s="122"/>
      <x:c r="AC130" s="177" t="str">
        <x:f t="shared" si="39"/>
      </x:c>
      <x:c r="AD130" s="122"/>
      <x:c r="AE130" s="177" t="str">
        <x:f t="shared" si="40"/>
      </x:c>
      <x:c r="AF130" s="178" t="str">
        <x:f t="shared" si="41"/>
      </x:c>
      <x:c r="AG130" s="122"/>
      <x:c r="AH130" s="177" t="str">
        <x:f t="shared" si="42"/>
      </x:c>
      <x:c r="AI130" s="122"/>
      <x:c r="AJ130" s="177" t="str">
        <x:f t="shared" si="43"/>
      </x:c>
      <x:c r="AK130" s="178" t="str">
        <x:f t="shared" si="44"/>
      </x:c>
      <x:c r="AL130" s="122"/>
      <x:c r="AM130" s="177" t="str">
        <x:f t="shared" si="45"/>
      </x:c>
      <x:c r="AN130" s="122"/>
      <x:c r="AO130" s="177" t="str">
        <x:f t="shared" si="46"/>
      </x:c>
      <x:c r="AP130" s="178" t="str">
        <x:f t="shared" si="47"/>
      </x:c>
      <x:c r="AQ130" s="122"/>
      <x:c r="AR130" s="177" t="str">
        <x:f t="shared" si="48"/>
      </x:c>
      <x:c r="AS130" s="122"/>
      <x:c r="AT130" s="177" t="str">
        <x:f t="shared" si="49"/>
      </x:c>
      <x:c r="AU130" s="178" t="str">
        <x:f t="shared" si="50"/>
      </x:c>
      <x:c r="AV130" s="122"/>
      <x:c r="AW130" s="177" t="str">
        <x:f t="shared" si="51"/>
      </x:c>
      <x:c r="AX130" s="122"/>
      <x:c r="AY130" s="177" t="str">
        <x:f t="shared" si="52"/>
      </x:c>
      <x:c r="AZ130" s="178" t="str">
        <x:f t="shared" si="53"/>
      </x:c>
      <x:c r="BA130" s="122"/>
      <x:c r="BB130" s="177" t="str">
        <x:f t="shared" si="54"/>
      </x:c>
      <x:c r="BC130" s="122"/>
      <x:c r="BD130" s="177" t="str">
        <x:f t="shared" si="55"/>
      </x:c>
      <x:c r="BE130" s="178" t="str">
        <x:f t="shared" si="56"/>
      </x:c>
      <x:c r="BF130" s="122"/>
      <x:c r="BG130" s="177" t="str">
        <x:f t="shared" si="57"/>
      </x:c>
      <x:c r="BH130" s="122"/>
      <x:c r="BI130" s="177" t="str">
        <x:f t="shared" si="58"/>
      </x:c>
      <x:c r="BJ130" s="178" t="str">
        <x:f t="shared" si="59"/>
      </x:c>
    </x:row>
    <x:row r="131" ht="19.5" hidden="1" customHeight="1">
      <x:c r="A131" s="160"/>
      <x:c r="B131" s="179"/>
      <x:c r="C131" s="171"/>
      <x:c r="D131" s="172"/>
      <x:c r="E131" s="171"/>
      <x:c r="F131" s="173"/>
      <x:c r="G131" s="174"/>
      <x:c r="H131" s="175"/>
      <x:c r="I131" s="174"/>
      <x:c r="J131" s="176"/>
      <x:c r="K131" s="233"/>
      <x:c r="L131" s="233"/>
      <x:c r="M131" s="122"/>
      <x:c r="N131" s="177" t="str">
        <x:f t="shared" si="30"/>
      </x:c>
      <x:c r="O131" s="122"/>
      <x:c r="P131" s="177" t="str">
        <x:f t="shared" si="31"/>
      </x:c>
      <x:c r="Q131" s="178" t="str">
        <x:f t="shared" si="32"/>
      </x:c>
      <x:c r="R131" s="122"/>
      <x:c r="S131" s="177" t="str">
        <x:f t="shared" si="33"/>
      </x:c>
      <x:c r="T131" s="122"/>
      <x:c r="U131" s="177" t="str">
        <x:f t="shared" si="34"/>
      </x:c>
      <x:c r="V131" s="178" t="str">
        <x:f t="shared" si="35"/>
      </x:c>
      <x:c r="W131" s="122"/>
      <x:c r="X131" s="177" t="str">
        <x:f t="shared" si="36"/>
      </x:c>
      <x:c r="Y131" s="122"/>
      <x:c r="Z131" s="177" t="str">
        <x:f t="shared" si="37"/>
      </x:c>
      <x:c r="AA131" s="178" t="str">
        <x:f t="shared" si="38"/>
      </x:c>
      <x:c r="AB131" s="122"/>
      <x:c r="AC131" s="177" t="str">
        <x:f t="shared" si="39"/>
      </x:c>
      <x:c r="AD131" s="122"/>
      <x:c r="AE131" s="177" t="str">
        <x:f t="shared" si="40"/>
      </x:c>
      <x:c r="AF131" s="178" t="str">
        <x:f t="shared" si="41"/>
      </x:c>
      <x:c r="AG131" s="122"/>
      <x:c r="AH131" s="177" t="str">
        <x:f t="shared" si="42"/>
      </x:c>
      <x:c r="AI131" s="122"/>
      <x:c r="AJ131" s="177" t="str">
        <x:f t="shared" si="43"/>
      </x:c>
      <x:c r="AK131" s="178" t="str">
        <x:f t="shared" si="44"/>
      </x:c>
      <x:c r="AL131" s="122"/>
      <x:c r="AM131" s="177" t="str">
        <x:f t="shared" si="45"/>
      </x:c>
      <x:c r="AN131" s="122"/>
      <x:c r="AO131" s="177" t="str">
        <x:f t="shared" si="46"/>
      </x:c>
      <x:c r="AP131" s="178" t="str">
        <x:f t="shared" si="47"/>
      </x:c>
      <x:c r="AQ131" s="122"/>
      <x:c r="AR131" s="177" t="str">
        <x:f t="shared" si="48"/>
      </x:c>
      <x:c r="AS131" s="122"/>
      <x:c r="AT131" s="177" t="str">
        <x:f t="shared" si="49"/>
      </x:c>
      <x:c r="AU131" s="178" t="str">
        <x:f t="shared" si="50"/>
      </x:c>
      <x:c r="AV131" s="122"/>
      <x:c r="AW131" s="177" t="str">
        <x:f t="shared" si="51"/>
      </x:c>
      <x:c r="AX131" s="122"/>
      <x:c r="AY131" s="177" t="str">
        <x:f t="shared" si="52"/>
      </x:c>
      <x:c r="AZ131" s="178" t="str">
        <x:f t="shared" si="53"/>
      </x:c>
      <x:c r="BA131" s="122"/>
      <x:c r="BB131" s="177" t="str">
        <x:f t="shared" si="54"/>
      </x:c>
      <x:c r="BC131" s="122"/>
      <x:c r="BD131" s="177" t="str">
        <x:f t="shared" si="55"/>
      </x:c>
      <x:c r="BE131" s="178" t="str">
        <x:f t="shared" si="56"/>
      </x:c>
      <x:c r="BF131" s="122"/>
      <x:c r="BG131" s="177" t="str">
        <x:f t="shared" si="57"/>
      </x:c>
      <x:c r="BH131" s="122"/>
      <x:c r="BI131" s="177" t="str">
        <x:f t="shared" si="58"/>
      </x:c>
      <x:c r="BJ131" s="178" t="str">
        <x:f t="shared" si="59"/>
      </x:c>
    </x:row>
    <x:row r="132" ht="19.5" hidden="1" customHeight="1">
      <x:c r="A132" s="169"/>
      <x:c r="B132" s="170"/>
      <x:c r="C132" s="171"/>
      <x:c r="D132" s="172"/>
      <x:c r="E132" s="171"/>
      <x:c r="F132" s="173"/>
      <x:c r="G132" s="174"/>
      <x:c r="H132" s="175"/>
      <x:c r="I132" s="174"/>
      <x:c r="J132" s="176"/>
      <x:c r="K132" s="233"/>
      <x:c r="L132" s="233"/>
      <x:c r="M132" s="122"/>
      <x:c r="N132" s="177" t="str">
        <x:f t="shared" si="30"/>
      </x:c>
      <x:c r="O132" s="122"/>
      <x:c r="P132" s="177" t="str">
        <x:f t="shared" si="31"/>
      </x:c>
      <x:c r="Q132" s="178" t="str">
        <x:f t="shared" si="32"/>
      </x:c>
      <x:c r="R132" s="122"/>
      <x:c r="S132" s="177" t="str">
        <x:f t="shared" si="33"/>
      </x:c>
      <x:c r="T132" s="122"/>
      <x:c r="U132" s="177" t="str">
        <x:f t="shared" si="34"/>
      </x:c>
      <x:c r="V132" s="178" t="str">
        <x:f t="shared" si="35"/>
      </x:c>
      <x:c r="W132" s="122"/>
      <x:c r="X132" s="177" t="str">
        <x:f t="shared" si="36"/>
      </x:c>
      <x:c r="Y132" s="122"/>
      <x:c r="Z132" s="177" t="str">
        <x:f t="shared" si="37"/>
      </x:c>
      <x:c r="AA132" s="178" t="str">
        <x:f t="shared" si="38"/>
      </x:c>
      <x:c r="AB132" s="122"/>
      <x:c r="AC132" s="177" t="str">
        <x:f t="shared" si="39"/>
      </x:c>
      <x:c r="AD132" s="122"/>
      <x:c r="AE132" s="177" t="str">
        <x:f t="shared" si="40"/>
      </x:c>
      <x:c r="AF132" s="178" t="str">
        <x:f t="shared" si="41"/>
      </x:c>
      <x:c r="AG132" s="122"/>
      <x:c r="AH132" s="177" t="str">
        <x:f t="shared" si="42"/>
      </x:c>
      <x:c r="AI132" s="122"/>
      <x:c r="AJ132" s="177" t="str">
        <x:f t="shared" si="43"/>
      </x:c>
      <x:c r="AK132" s="178" t="str">
        <x:f t="shared" si="44"/>
      </x:c>
      <x:c r="AL132" s="122"/>
      <x:c r="AM132" s="177" t="str">
        <x:f t="shared" si="45"/>
      </x:c>
      <x:c r="AN132" s="122"/>
      <x:c r="AO132" s="177" t="str">
        <x:f t="shared" si="46"/>
      </x:c>
      <x:c r="AP132" s="178" t="str">
        <x:f t="shared" si="47"/>
      </x:c>
      <x:c r="AQ132" s="122"/>
      <x:c r="AR132" s="177" t="str">
        <x:f t="shared" si="48"/>
      </x:c>
      <x:c r="AS132" s="122"/>
      <x:c r="AT132" s="177" t="str">
        <x:f t="shared" si="49"/>
      </x:c>
      <x:c r="AU132" s="178" t="str">
        <x:f t="shared" si="50"/>
      </x:c>
      <x:c r="AV132" s="122"/>
      <x:c r="AW132" s="177" t="str">
        <x:f t="shared" si="51"/>
      </x:c>
      <x:c r="AX132" s="122"/>
      <x:c r="AY132" s="177" t="str">
        <x:f t="shared" si="52"/>
      </x:c>
      <x:c r="AZ132" s="178" t="str">
        <x:f t="shared" si="53"/>
      </x:c>
      <x:c r="BA132" s="122"/>
      <x:c r="BB132" s="177" t="str">
        <x:f t="shared" si="54"/>
      </x:c>
      <x:c r="BC132" s="122"/>
      <x:c r="BD132" s="177" t="str">
        <x:f t="shared" si="55"/>
      </x:c>
      <x:c r="BE132" s="178" t="str">
        <x:f t="shared" si="56"/>
      </x:c>
      <x:c r="BF132" s="122"/>
      <x:c r="BG132" s="177" t="str">
        <x:f t="shared" si="57"/>
      </x:c>
      <x:c r="BH132" s="122"/>
      <x:c r="BI132" s="177" t="str">
        <x:f t="shared" si="58"/>
      </x:c>
      <x:c r="BJ132" s="178" t="str">
        <x:f t="shared" si="59"/>
      </x:c>
    </x:row>
    <x:row r="133" ht="19.5" hidden="1" customHeight="1">
      <x:c r="A133" s="160"/>
      <x:c r="B133" s="179"/>
      <x:c r="C133" s="171"/>
      <x:c r="D133" s="172"/>
      <x:c r="E133" s="171"/>
      <x:c r="F133" s="173"/>
      <x:c r="G133" s="174"/>
      <x:c r="H133" s="175"/>
      <x:c r="I133" s="174"/>
      <x:c r="J133" s="176"/>
      <x:c r="K133" s="233"/>
      <x:c r="L133" s="233"/>
      <x:c r="M133" s="122"/>
      <x:c r="N133" s="177" t="str">
        <x:f t="shared" si="30"/>
      </x:c>
      <x:c r="O133" s="122"/>
      <x:c r="P133" s="177" t="str">
        <x:f t="shared" si="31"/>
      </x:c>
      <x:c r="Q133" s="178" t="str">
        <x:f t="shared" si="32"/>
      </x:c>
      <x:c r="R133" s="122"/>
      <x:c r="S133" s="177" t="str">
        <x:f t="shared" si="33"/>
      </x:c>
      <x:c r="T133" s="122"/>
      <x:c r="U133" s="177" t="str">
        <x:f t="shared" si="34"/>
      </x:c>
      <x:c r="V133" s="178" t="str">
        <x:f t="shared" si="35"/>
      </x:c>
      <x:c r="W133" s="122"/>
      <x:c r="X133" s="177" t="str">
        <x:f t="shared" si="36"/>
      </x:c>
      <x:c r="Y133" s="122"/>
      <x:c r="Z133" s="177" t="str">
        <x:f t="shared" si="37"/>
      </x:c>
      <x:c r="AA133" s="178" t="str">
        <x:f t="shared" si="38"/>
      </x:c>
      <x:c r="AB133" s="122"/>
      <x:c r="AC133" s="177" t="str">
        <x:f t="shared" si="39"/>
      </x:c>
      <x:c r="AD133" s="122"/>
      <x:c r="AE133" s="177" t="str">
        <x:f t="shared" si="40"/>
      </x:c>
      <x:c r="AF133" s="178" t="str">
        <x:f t="shared" si="41"/>
      </x:c>
      <x:c r="AG133" s="122"/>
      <x:c r="AH133" s="177" t="str">
        <x:f t="shared" si="42"/>
      </x:c>
      <x:c r="AI133" s="122"/>
      <x:c r="AJ133" s="177" t="str">
        <x:f t="shared" si="43"/>
      </x:c>
      <x:c r="AK133" s="178" t="str">
        <x:f t="shared" si="44"/>
      </x:c>
      <x:c r="AL133" s="122"/>
      <x:c r="AM133" s="177" t="str">
        <x:f t="shared" si="45"/>
      </x:c>
      <x:c r="AN133" s="122"/>
      <x:c r="AO133" s="177" t="str">
        <x:f t="shared" si="46"/>
      </x:c>
      <x:c r="AP133" s="178" t="str">
        <x:f t="shared" si="47"/>
      </x:c>
      <x:c r="AQ133" s="122"/>
      <x:c r="AR133" s="177" t="str">
        <x:f t="shared" si="48"/>
      </x:c>
      <x:c r="AS133" s="122"/>
      <x:c r="AT133" s="177" t="str">
        <x:f t="shared" si="49"/>
      </x:c>
      <x:c r="AU133" s="178" t="str">
        <x:f t="shared" si="50"/>
      </x:c>
      <x:c r="AV133" s="122"/>
      <x:c r="AW133" s="177" t="str">
        <x:f t="shared" si="51"/>
      </x:c>
      <x:c r="AX133" s="122"/>
      <x:c r="AY133" s="177" t="str">
        <x:f t="shared" si="52"/>
      </x:c>
      <x:c r="AZ133" s="178" t="str">
        <x:f t="shared" si="53"/>
      </x:c>
      <x:c r="BA133" s="122"/>
      <x:c r="BB133" s="177" t="str">
        <x:f t="shared" si="54"/>
      </x:c>
      <x:c r="BC133" s="122"/>
      <x:c r="BD133" s="177" t="str">
        <x:f t="shared" si="55"/>
      </x:c>
      <x:c r="BE133" s="178" t="str">
        <x:f t="shared" si="56"/>
      </x:c>
      <x:c r="BF133" s="122"/>
      <x:c r="BG133" s="177" t="str">
        <x:f t="shared" si="57"/>
      </x:c>
      <x:c r="BH133" s="122"/>
      <x:c r="BI133" s="177" t="str">
        <x:f t="shared" si="58"/>
      </x:c>
      <x:c r="BJ133" s="178" t="str">
        <x:f t="shared" si="59"/>
      </x:c>
    </x:row>
    <x:row r="134" ht="19.5" hidden="1" customHeight="1">
      <x:c r="A134" s="169"/>
      <x:c r="B134" s="170"/>
      <x:c r="C134" s="171"/>
      <x:c r="D134" s="172"/>
      <x:c r="E134" s="171"/>
      <x:c r="F134" s="173"/>
      <x:c r="G134" s="174"/>
      <x:c r="H134" s="175"/>
      <x:c r="I134" s="174"/>
      <x:c r="J134" s="176"/>
      <x:c r="K134" s="233"/>
      <x:c r="L134" s="233"/>
      <x:c r="M134" s="122"/>
      <x:c r="N134" s="177" t="str">
        <x:f t="shared" si="30"/>
      </x:c>
      <x:c r="O134" s="122"/>
      <x:c r="P134" s="177" t="str">
        <x:f t="shared" si="31"/>
      </x:c>
      <x:c r="Q134" s="178" t="str">
        <x:f t="shared" si="32"/>
      </x:c>
      <x:c r="R134" s="122"/>
      <x:c r="S134" s="177" t="str">
        <x:f t="shared" si="33"/>
      </x:c>
      <x:c r="T134" s="122"/>
      <x:c r="U134" s="177" t="str">
        <x:f t="shared" si="34"/>
      </x:c>
      <x:c r="V134" s="178" t="str">
        <x:f t="shared" si="35"/>
      </x:c>
      <x:c r="W134" s="122"/>
      <x:c r="X134" s="177" t="str">
        <x:f t="shared" si="36"/>
      </x:c>
      <x:c r="Y134" s="122"/>
      <x:c r="Z134" s="177" t="str">
        <x:f t="shared" si="37"/>
      </x:c>
      <x:c r="AA134" s="178" t="str">
        <x:f t="shared" si="38"/>
      </x:c>
      <x:c r="AB134" s="122"/>
      <x:c r="AC134" s="177" t="str">
        <x:f t="shared" si="39"/>
      </x:c>
      <x:c r="AD134" s="122"/>
      <x:c r="AE134" s="177" t="str">
        <x:f t="shared" si="40"/>
      </x:c>
      <x:c r="AF134" s="178" t="str">
        <x:f t="shared" si="41"/>
      </x:c>
      <x:c r="AG134" s="122"/>
      <x:c r="AH134" s="177" t="str">
        <x:f t="shared" si="42"/>
      </x:c>
      <x:c r="AI134" s="122"/>
      <x:c r="AJ134" s="177" t="str">
        <x:f t="shared" si="43"/>
      </x:c>
      <x:c r="AK134" s="178" t="str">
        <x:f t="shared" si="44"/>
      </x:c>
      <x:c r="AL134" s="122"/>
      <x:c r="AM134" s="177" t="str">
        <x:f t="shared" si="45"/>
      </x:c>
      <x:c r="AN134" s="122"/>
      <x:c r="AO134" s="177" t="str">
        <x:f t="shared" si="46"/>
      </x:c>
      <x:c r="AP134" s="178" t="str">
        <x:f t="shared" si="47"/>
      </x:c>
      <x:c r="AQ134" s="122"/>
      <x:c r="AR134" s="177" t="str">
        <x:f t="shared" si="48"/>
      </x:c>
      <x:c r="AS134" s="122"/>
      <x:c r="AT134" s="177" t="str">
        <x:f t="shared" si="49"/>
      </x:c>
      <x:c r="AU134" s="178" t="str">
        <x:f t="shared" si="50"/>
      </x:c>
      <x:c r="AV134" s="122"/>
      <x:c r="AW134" s="177" t="str">
        <x:f t="shared" si="51"/>
      </x:c>
      <x:c r="AX134" s="122"/>
      <x:c r="AY134" s="177" t="str">
        <x:f t="shared" si="52"/>
      </x:c>
      <x:c r="AZ134" s="178" t="str">
        <x:f t="shared" si="53"/>
      </x:c>
      <x:c r="BA134" s="122"/>
      <x:c r="BB134" s="177" t="str">
        <x:f t="shared" si="54"/>
      </x:c>
      <x:c r="BC134" s="122"/>
      <x:c r="BD134" s="177" t="str">
        <x:f t="shared" si="55"/>
      </x:c>
      <x:c r="BE134" s="178" t="str">
        <x:f t="shared" si="56"/>
      </x:c>
      <x:c r="BF134" s="122"/>
      <x:c r="BG134" s="177" t="str">
        <x:f t="shared" si="57"/>
      </x:c>
      <x:c r="BH134" s="122"/>
      <x:c r="BI134" s="177" t="str">
        <x:f t="shared" si="58"/>
      </x:c>
      <x:c r="BJ134" s="178" t="str">
        <x:f t="shared" si="59"/>
      </x:c>
    </x:row>
    <x:row r="135" ht="19.5" hidden="1" customHeight="1">
      <x:c r="A135" s="160"/>
      <x:c r="B135" s="179"/>
      <x:c r="C135" s="171"/>
      <x:c r="D135" s="172"/>
      <x:c r="E135" s="171"/>
      <x:c r="F135" s="173"/>
      <x:c r="G135" s="174"/>
      <x:c r="H135" s="175"/>
      <x:c r="I135" s="174"/>
      <x:c r="J135" s="176"/>
      <x:c r="K135" s="233"/>
      <x:c r="L135" s="233"/>
      <x:c r="M135" s="122"/>
      <x:c r="N135" s="177" t="str">
        <x:f t="shared" si="30"/>
      </x:c>
      <x:c r="O135" s="122"/>
      <x:c r="P135" s="177" t="str">
        <x:f t="shared" si="31"/>
      </x:c>
      <x:c r="Q135" s="178" t="str">
        <x:f t="shared" si="32"/>
      </x:c>
      <x:c r="R135" s="122"/>
      <x:c r="S135" s="177" t="str">
        <x:f t="shared" si="33"/>
      </x:c>
      <x:c r="T135" s="122"/>
      <x:c r="U135" s="177" t="str">
        <x:f t="shared" si="34"/>
      </x:c>
      <x:c r="V135" s="178" t="str">
        <x:f t="shared" si="35"/>
      </x:c>
      <x:c r="W135" s="122"/>
      <x:c r="X135" s="177" t="str">
        <x:f t="shared" si="36"/>
      </x:c>
      <x:c r="Y135" s="122"/>
      <x:c r="Z135" s="177" t="str">
        <x:f t="shared" si="37"/>
      </x:c>
      <x:c r="AA135" s="178" t="str">
        <x:f t="shared" si="38"/>
      </x:c>
      <x:c r="AB135" s="122"/>
      <x:c r="AC135" s="177" t="str">
        <x:f t="shared" si="39"/>
      </x:c>
      <x:c r="AD135" s="122"/>
      <x:c r="AE135" s="177" t="str">
        <x:f t="shared" si="40"/>
      </x:c>
      <x:c r="AF135" s="178" t="str">
        <x:f t="shared" si="41"/>
      </x:c>
      <x:c r="AG135" s="122"/>
      <x:c r="AH135" s="177" t="str">
        <x:f t="shared" si="42"/>
      </x:c>
      <x:c r="AI135" s="122"/>
      <x:c r="AJ135" s="177" t="str">
        <x:f t="shared" si="43"/>
      </x:c>
      <x:c r="AK135" s="178" t="str">
        <x:f t="shared" si="44"/>
      </x:c>
      <x:c r="AL135" s="122"/>
      <x:c r="AM135" s="177" t="str">
        <x:f t="shared" si="45"/>
      </x:c>
      <x:c r="AN135" s="122"/>
      <x:c r="AO135" s="177" t="str">
        <x:f t="shared" si="46"/>
      </x:c>
      <x:c r="AP135" s="178" t="str">
        <x:f t="shared" si="47"/>
      </x:c>
      <x:c r="AQ135" s="122"/>
      <x:c r="AR135" s="177" t="str">
        <x:f t="shared" si="48"/>
      </x:c>
      <x:c r="AS135" s="122"/>
      <x:c r="AT135" s="177" t="str">
        <x:f t="shared" si="49"/>
      </x:c>
      <x:c r="AU135" s="178" t="str">
        <x:f t="shared" si="50"/>
      </x:c>
      <x:c r="AV135" s="122"/>
      <x:c r="AW135" s="177" t="str">
        <x:f t="shared" si="51"/>
      </x:c>
      <x:c r="AX135" s="122"/>
      <x:c r="AY135" s="177" t="str">
        <x:f t="shared" si="52"/>
      </x:c>
      <x:c r="AZ135" s="178" t="str">
        <x:f t="shared" si="53"/>
      </x:c>
      <x:c r="BA135" s="122"/>
      <x:c r="BB135" s="177" t="str">
        <x:f t="shared" si="54"/>
      </x:c>
      <x:c r="BC135" s="122"/>
      <x:c r="BD135" s="177" t="str">
        <x:f t="shared" si="55"/>
      </x:c>
      <x:c r="BE135" s="178" t="str">
        <x:f t="shared" si="56"/>
      </x:c>
      <x:c r="BF135" s="122"/>
      <x:c r="BG135" s="177" t="str">
        <x:f t="shared" si="57"/>
      </x:c>
      <x:c r="BH135" s="122"/>
      <x:c r="BI135" s="177" t="str">
        <x:f t="shared" si="58"/>
      </x:c>
      <x:c r="BJ135" s="178" t="str">
        <x:f t="shared" si="59"/>
      </x:c>
    </x:row>
    <x:row r="136" ht="19.5" hidden="1" customHeight="1">
      <x:c r="A136" s="169"/>
      <x:c r="B136" s="170"/>
      <x:c r="C136" s="171"/>
      <x:c r="D136" s="172"/>
      <x:c r="E136" s="171"/>
      <x:c r="F136" s="173"/>
      <x:c r="G136" s="174"/>
      <x:c r="H136" s="175"/>
      <x:c r="I136" s="174"/>
      <x:c r="J136" s="176"/>
      <x:c r="K136" s="233"/>
      <x:c r="L136" s="233"/>
      <x:c r="M136" s="122"/>
      <x:c r="N136" s="177" t="str">
        <x:f t="shared" si="30"/>
      </x:c>
      <x:c r="O136" s="122"/>
      <x:c r="P136" s="177" t="str">
        <x:f t="shared" si="31"/>
      </x:c>
      <x:c r="Q136" s="178" t="str">
        <x:f t="shared" si="32"/>
      </x:c>
      <x:c r="R136" s="122"/>
      <x:c r="S136" s="177" t="str">
        <x:f t="shared" si="33"/>
      </x:c>
      <x:c r="T136" s="122"/>
      <x:c r="U136" s="177" t="str">
        <x:f t="shared" si="34"/>
      </x:c>
      <x:c r="V136" s="178" t="str">
        <x:f t="shared" si="35"/>
      </x:c>
      <x:c r="W136" s="122"/>
      <x:c r="X136" s="177" t="str">
        <x:f t="shared" si="36"/>
      </x:c>
      <x:c r="Y136" s="122"/>
      <x:c r="Z136" s="177" t="str">
        <x:f t="shared" si="37"/>
      </x:c>
      <x:c r="AA136" s="178" t="str">
        <x:f t="shared" si="38"/>
      </x:c>
      <x:c r="AB136" s="122"/>
      <x:c r="AC136" s="177" t="str">
        <x:f t="shared" si="39"/>
      </x:c>
      <x:c r="AD136" s="122"/>
      <x:c r="AE136" s="177" t="str">
        <x:f t="shared" si="40"/>
      </x:c>
      <x:c r="AF136" s="178" t="str">
        <x:f t="shared" si="41"/>
      </x:c>
      <x:c r="AG136" s="122"/>
      <x:c r="AH136" s="177" t="str">
        <x:f t="shared" si="42"/>
      </x:c>
      <x:c r="AI136" s="122"/>
      <x:c r="AJ136" s="177" t="str">
        <x:f t="shared" si="43"/>
      </x:c>
      <x:c r="AK136" s="178" t="str">
        <x:f t="shared" si="44"/>
      </x:c>
      <x:c r="AL136" s="122"/>
      <x:c r="AM136" s="177" t="str">
        <x:f t="shared" si="45"/>
      </x:c>
      <x:c r="AN136" s="122"/>
      <x:c r="AO136" s="177" t="str">
        <x:f t="shared" si="46"/>
      </x:c>
      <x:c r="AP136" s="178" t="str">
        <x:f t="shared" si="47"/>
      </x:c>
      <x:c r="AQ136" s="122"/>
      <x:c r="AR136" s="177" t="str">
        <x:f t="shared" si="48"/>
      </x:c>
      <x:c r="AS136" s="122"/>
      <x:c r="AT136" s="177" t="str">
        <x:f t="shared" si="49"/>
      </x:c>
      <x:c r="AU136" s="178" t="str">
        <x:f t="shared" si="50"/>
      </x:c>
      <x:c r="AV136" s="122"/>
      <x:c r="AW136" s="177" t="str">
        <x:f t="shared" si="51"/>
      </x:c>
      <x:c r="AX136" s="122"/>
      <x:c r="AY136" s="177" t="str">
        <x:f t="shared" si="52"/>
      </x:c>
      <x:c r="AZ136" s="178" t="str">
        <x:f t="shared" si="53"/>
      </x:c>
      <x:c r="BA136" s="122"/>
      <x:c r="BB136" s="177" t="str">
        <x:f t="shared" si="54"/>
      </x:c>
      <x:c r="BC136" s="122"/>
      <x:c r="BD136" s="177" t="str">
        <x:f t="shared" si="55"/>
      </x:c>
      <x:c r="BE136" s="178" t="str">
        <x:f t="shared" si="56"/>
      </x:c>
      <x:c r="BF136" s="122"/>
      <x:c r="BG136" s="177" t="str">
        <x:f t="shared" si="57"/>
      </x:c>
      <x:c r="BH136" s="122"/>
      <x:c r="BI136" s="177" t="str">
        <x:f t="shared" si="58"/>
      </x:c>
      <x:c r="BJ136" s="178" t="str">
        <x:f t="shared" si="59"/>
      </x:c>
    </x:row>
    <x:row r="137" ht="19.5" hidden="1" customHeight="1">
      <x:c r="A137" s="160"/>
      <x:c r="B137" s="179"/>
      <x:c r="C137" s="171"/>
      <x:c r="D137" s="172"/>
      <x:c r="E137" s="171"/>
      <x:c r="F137" s="173"/>
      <x:c r="G137" s="174"/>
      <x:c r="H137" s="175"/>
      <x:c r="I137" s="174"/>
      <x:c r="J137" s="176"/>
      <x:c r="K137" s="233"/>
      <x:c r="L137" s="233"/>
      <x:c r="M137" s="122"/>
      <x:c r="N137" s="177" t="str">
        <x:f t="shared" si="30"/>
      </x:c>
      <x:c r="O137" s="122"/>
      <x:c r="P137" s="177" t="str">
        <x:f t="shared" si="31"/>
      </x:c>
      <x:c r="Q137" s="178" t="str">
        <x:f t="shared" si="32"/>
      </x:c>
      <x:c r="R137" s="122"/>
      <x:c r="S137" s="177" t="str">
        <x:f t="shared" si="33"/>
      </x:c>
      <x:c r="T137" s="122"/>
      <x:c r="U137" s="177" t="str">
        <x:f t="shared" si="34"/>
      </x:c>
      <x:c r="V137" s="178" t="str">
        <x:f t="shared" si="35"/>
      </x:c>
      <x:c r="W137" s="122"/>
      <x:c r="X137" s="177" t="str">
        <x:f t="shared" si="36"/>
      </x:c>
      <x:c r="Y137" s="122"/>
      <x:c r="Z137" s="177" t="str">
        <x:f t="shared" si="37"/>
      </x:c>
      <x:c r="AA137" s="178" t="str">
        <x:f t="shared" si="38"/>
      </x:c>
      <x:c r="AB137" s="122"/>
      <x:c r="AC137" s="177" t="str">
        <x:f t="shared" si="39"/>
      </x:c>
      <x:c r="AD137" s="122"/>
      <x:c r="AE137" s="177" t="str">
        <x:f t="shared" si="40"/>
      </x:c>
      <x:c r="AF137" s="178" t="str">
        <x:f t="shared" si="41"/>
      </x:c>
      <x:c r="AG137" s="122"/>
      <x:c r="AH137" s="177" t="str">
        <x:f t="shared" si="42"/>
      </x:c>
      <x:c r="AI137" s="122"/>
      <x:c r="AJ137" s="177" t="str">
        <x:f t="shared" si="43"/>
      </x:c>
      <x:c r="AK137" s="178" t="str">
        <x:f t="shared" si="44"/>
      </x:c>
      <x:c r="AL137" s="122"/>
      <x:c r="AM137" s="177" t="str">
        <x:f t="shared" si="45"/>
      </x:c>
      <x:c r="AN137" s="122"/>
      <x:c r="AO137" s="177" t="str">
        <x:f t="shared" si="46"/>
      </x:c>
      <x:c r="AP137" s="178" t="str">
        <x:f t="shared" si="47"/>
      </x:c>
      <x:c r="AQ137" s="122"/>
      <x:c r="AR137" s="177" t="str">
        <x:f t="shared" si="48"/>
      </x:c>
      <x:c r="AS137" s="122"/>
      <x:c r="AT137" s="177" t="str">
        <x:f t="shared" si="49"/>
      </x:c>
      <x:c r="AU137" s="178" t="str">
        <x:f t="shared" si="50"/>
      </x:c>
      <x:c r="AV137" s="122"/>
      <x:c r="AW137" s="177" t="str">
        <x:f t="shared" si="51"/>
      </x:c>
      <x:c r="AX137" s="122"/>
      <x:c r="AY137" s="177" t="str">
        <x:f t="shared" si="52"/>
      </x:c>
      <x:c r="AZ137" s="178" t="str">
        <x:f t="shared" si="53"/>
      </x:c>
      <x:c r="BA137" s="122"/>
      <x:c r="BB137" s="177" t="str">
        <x:f t="shared" si="54"/>
      </x:c>
      <x:c r="BC137" s="122"/>
      <x:c r="BD137" s="177" t="str">
        <x:f t="shared" si="55"/>
      </x:c>
      <x:c r="BE137" s="178" t="str">
        <x:f t="shared" si="56"/>
      </x:c>
      <x:c r="BF137" s="122"/>
      <x:c r="BG137" s="177" t="str">
        <x:f t="shared" si="57"/>
      </x:c>
      <x:c r="BH137" s="122"/>
      <x:c r="BI137" s="177" t="str">
        <x:f t="shared" si="58"/>
      </x:c>
      <x:c r="BJ137" s="178" t="str">
        <x:f t="shared" si="59"/>
      </x:c>
    </x:row>
    <x:row r="138" ht="19.5" hidden="1" customHeight="1">
      <x:c r="A138" s="169"/>
      <x:c r="B138" s="170"/>
      <x:c r="C138" s="171"/>
      <x:c r="D138" s="172"/>
      <x:c r="E138" s="171"/>
      <x:c r="F138" s="173"/>
      <x:c r="G138" s="174"/>
      <x:c r="H138" s="175"/>
      <x:c r="I138" s="174"/>
      <x:c r="J138" s="176"/>
      <x:c r="K138" s="233"/>
      <x:c r="L138" s="233"/>
      <x:c r="M138" s="122"/>
      <x:c r="N138" s="177" t="str">
        <x:f t="shared" si="30"/>
      </x:c>
      <x:c r="O138" s="122"/>
      <x:c r="P138" s="177" t="str">
        <x:f t="shared" si="31"/>
      </x:c>
      <x:c r="Q138" s="178" t="str">
        <x:f t="shared" si="32"/>
      </x:c>
      <x:c r="R138" s="122"/>
      <x:c r="S138" s="177" t="str">
        <x:f t="shared" si="33"/>
      </x:c>
      <x:c r="T138" s="122"/>
      <x:c r="U138" s="177" t="str">
        <x:f t="shared" si="34"/>
      </x:c>
      <x:c r="V138" s="178" t="str">
        <x:f t="shared" si="35"/>
      </x:c>
      <x:c r="W138" s="122"/>
      <x:c r="X138" s="177" t="str">
        <x:f t="shared" si="36"/>
      </x:c>
      <x:c r="Y138" s="122"/>
      <x:c r="Z138" s="177" t="str">
        <x:f t="shared" si="37"/>
      </x:c>
      <x:c r="AA138" s="178" t="str">
        <x:f t="shared" si="38"/>
      </x:c>
      <x:c r="AB138" s="122"/>
      <x:c r="AC138" s="177" t="str">
        <x:f t="shared" si="39"/>
      </x:c>
      <x:c r="AD138" s="122"/>
      <x:c r="AE138" s="177" t="str">
        <x:f t="shared" si="40"/>
      </x:c>
      <x:c r="AF138" s="178" t="str">
        <x:f t="shared" si="41"/>
      </x:c>
      <x:c r="AG138" s="122"/>
      <x:c r="AH138" s="177" t="str">
        <x:f t="shared" si="42"/>
      </x:c>
      <x:c r="AI138" s="122"/>
      <x:c r="AJ138" s="177" t="str">
        <x:f t="shared" si="43"/>
      </x:c>
      <x:c r="AK138" s="178" t="str">
        <x:f t="shared" si="44"/>
      </x:c>
      <x:c r="AL138" s="122"/>
      <x:c r="AM138" s="177" t="str">
        <x:f t="shared" si="45"/>
      </x:c>
      <x:c r="AN138" s="122"/>
      <x:c r="AO138" s="177" t="str">
        <x:f t="shared" si="46"/>
      </x:c>
      <x:c r="AP138" s="178" t="str">
        <x:f t="shared" si="47"/>
      </x:c>
      <x:c r="AQ138" s="122"/>
      <x:c r="AR138" s="177" t="str">
        <x:f t="shared" si="48"/>
      </x:c>
      <x:c r="AS138" s="122"/>
      <x:c r="AT138" s="177" t="str">
        <x:f t="shared" si="49"/>
      </x:c>
      <x:c r="AU138" s="178" t="str">
        <x:f t="shared" si="50"/>
      </x:c>
      <x:c r="AV138" s="122"/>
      <x:c r="AW138" s="177" t="str">
        <x:f t="shared" si="51"/>
      </x:c>
      <x:c r="AX138" s="122"/>
      <x:c r="AY138" s="177" t="str">
        <x:f t="shared" si="52"/>
      </x:c>
      <x:c r="AZ138" s="178" t="str">
        <x:f t="shared" si="53"/>
      </x:c>
      <x:c r="BA138" s="122"/>
      <x:c r="BB138" s="177" t="str">
        <x:f t="shared" si="54"/>
      </x:c>
      <x:c r="BC138" s="122"/>
      <x:c r="BD138" s="177" t="str">
        <x:f t="shared" si="55"/>
      </x:c>
      <x:c r="BE138" s="178" t="str">
        <x:f t="shared" si="56"/>
      </x:c>
      <x:c r="BF138" s="122"/>
      <x:c r="BG138" s="177" t="str">
        <x:f t="shared" si="57"/>
      </x:c>
      <x:c r="BH138" s="122"/>
      <x:c r="BI138" s="177" t="str">
        <x:f t="shared" si="58"/>
      </x:c>
      <x:c r="BJ138" s="178" t="str">
        <x:f t="shared" si="59"/>
      </x:c>
    </x:row>
    <x:row r="139" ht="19.5" hidden="1" customHeight="1">
      <x:c r="A139" s="160"/>
      <x:c r="B139" s="179"/>
      <x:c r="C139" s="171"/>
      <x:c r="D139" s="172"/>
      <x:c r="E139" s="171"/>
      <x:c r="F139" s="173"/>
      <x:c r="G139" s="174"/>
      <x:c r="H139" s="175"/>
      <x:c r="I139" s="174"/>
      <x:c r="J139" s="176"/>
      <x:c r="K139" s="233"/>
      <x:c r="L139" s="233"/>
      <x:c r="M139" s="122"/>
      <x:c r="N139" s="177" t="str">
        <x:f t="shared" si="30"/>
      </x:c>
      <x:c r="O139" s="122"/>
      <x:c r="P139" s="177" t="str">
        <x:f t="shared" si="31"/>
      </x:c>
      <x:c r="Q139" s="178" t="str">
        <x:f t="shared" si="32"/>
      </x:c>
      <x:c r="R139" s="122"/>
      <x:c r="S139" s="177" t="str">
        <x:f t="shared" si="33"/>
      </x:c>
      <x:c r="T139" s="122"/>
      <x:c r="U139" s="177" t="str">
        <x:f t="shared" si="34"/>
      </x:c>
      <x:c r="V139" s="178" t="str">
        <x:f t="shared" si="35"/>
      </x:c>
      <x:c r="W139" s="122"/>
      <x:c r="X139" s="177" t="str">
        <x:f t="shared" si="36"/>
      </x:c>
      <x:c r="Y139" s="122"/>
      <x:c r="Z139" s="177" t="str">
        <x:f t="shared" si="37"/>
      </x:c>
      <x:c r="AA139" s="178" t="str">
        <x:f t="shared" si="38"/>
      </x:c>
      <x:c r="AB139" s="122"/>
      <x:c r="AC139" s="177" t="str">
        <x:f t="shared" si="39"/>
      </x:c>
      <x:c r="AD139" s="122"/>
      <x:c r="AE139" s="177" t="str">
        <x:f t="shared" si="40"/>
      </x:c>
      <x:c r="AF139" s="178" t="str">
        <x:f t="shared" si="41"/>
      </x:c>
      <x:c r="AG139" s="122"/>
      <x:c r="AH139" s="177" t="str">
        <x:f t="shared" si="42"/>
      </x:c>
      <x:c r="AI139" s="122"/>
      <x:c r="AJ139" s="177" t="str">
        <x:f t="shared" si="43"/>
      </x:c>
      <x:c r="AK139" s="178" t="str">
        <x:f t="shared" si="44"/>
      </x:c>
      <x:c r="AL139" s="122"/>
      <x:c r="AM139" s="177" t="str">
        <x:f t="shared" si="45"/>
      </x:c>
      <x:c r="AN139" s="122"/>
      <x:c r="AO139" s="177" t="str">
        <x:f t="shared" si="46"/>
      </x:c>
      <x:c r="AP139" s="178" t="str">
        <x:f t="shared" si="47"/>
      </x:c>
      <x:c r="AQ139" s="122"/>
      <x:c r="AR139" s="177" t="str">
        <x:f t="shared" si="48"/>
      </x:c>
      <x:c r="AS139" s="122"/>
      <x:c r="AT139" s="177" t="str">
        <x:f t="shared" si="49"/>
      </x:c>
      <x:c r="AU139" s="178" t="str">
        <x:f t="shared" si="50"/>
      </x:c>
      <x:c r="AV139" s="122"/>
      <x:c r="AW139" s="177" t="str">
        <x:f t="shared" si="51"/>
      </x:c>
      <x:c r="AX139" s="122"/>
      <x:c r="AY139" s="177" t="str">
        <x:f t="shared" si="52"/>
      </x:c>
      <x:c r="AZ139" s="178" t="str">
        <x:f t="shared" si="53"/>
      </x:c>
      <x:c r="BA139" s="122"/>
      <x:c r="BB139" s="177" t="str">
        <x:f t="shared" si="54"/>
      </x:c>
      <x:c r="BC139" s="122"/>
      <x:c r="BD139" s="177" t="str">
        <x:f t="shared" si="55"/>
      </x:c>
      <x:c r="BE139" s="178" t="str">
        <x:f t="shared" si="56"/>
      </x:c>
      <x:c r="BF139" s="122"/>
      <x:c r="BG139" s="177" t="str">
        <x:f t="shared" si="57"/>
      </x:c>
      <x:c r="BH139" s="122"/>
      <x:c r="BI139" s="177" t="str">
        <x:f t="shared" si="58"/>
      </x:c>
      <x:c r="BJ139" s="178" t="str">
        <x:f t="shared" si="59"/>
      </x:c>
    </x:row>
    <x:row r="140" ht="19.5" hidden="1" customHeight="1">
      <x:c r="A140" s="169"/>
      <x:c r="B140" s="170"/>
      <x:c r="C140" s="171"/>
      <x:c r="D140" s="172"/>
      <x:c r="E140" s="171"/>
      <x:c r="F140" s="173"/>
      <x:c r="G140" s="174"/>
      <x:c r="H140" s="175"/>
      <x:c r="I140" s="174"/>
      <x:c r="J140" s="176"/>
      <x:c r="K140" s="233"/>
      <x:c r="L140" s="233"/>
      <x:c r="M140" s="122"/>
      <x:c r="N140" s="177" t="str">
        <x:f t="shared" si="30"/>
      </x:c>
      <x:c r="O140" s="122"/>
      <x:c r="P140" s="177" t="str">
        <x:f t="shared" si="31"/>
      </x:c>
      <x:c r="Q140" s="178" t="str">
        <x:f t="shared" si="32"/>
      </x:c>
      <x:c r="R140" s="122"/>
      <x:c r="S140" s="177" t="str">
        <x:f t="shared" si="33"/>
      </x:c>
      <x:c r="T140" s="122"/>
      <x:c r="U140" s="177" t="str">
        <x:f t="shared" si="34"/>
      </x:c>
      <x:c r="V140" s="178" t="str">
        <x:f t="shared" si="35"/>
      </x:c>
      <x:c r="W140" s="122"/>
      <x:c r="X140" s="177" t="str">
        <x:f t="shared" si="36"/>
      </x:c>
      <x:c r="Y140" s="122"/>
      <x:c r="Z140" s="177" t="str">
        <x:f t="shared" si="37"/>
      </x:c>
      <x:c r="AA140" s="178" t="str">
        <x:f t="shared" si="38"/>
      </x:c>
      <x:c r="AB140" s="122"/>
      <x:c r="AC140" s="177" t="str">
        <x:f t="shared" si="39"/>
      </x:c>
      <x:c r="AD140" s="122"/>
      <x:c r="AE140" s="177" t="str">
        <x:f t="shared" si="40"/>
      </x:c>
      <x:c r="AF140" s="178" t="str">
        <x:f t="shared" si="41"/>
      </x:c>
      <x:c r="AG140" s="122"/>
      <x:c r="AH140" s="177" t="str">
        <x:f t="shared" si="42"/>
      </x:c>
      <x:c r="AI140" s="122"/>
      <x:c r="AJ140" s="177" t="str">
        <x:f t="shared" si="43"/>
      </x:c>
      <x:c r="AK140" s="178" t="str">
        <x:f t="shared" si="44"/>
      </x:c>
      <x:c r="AL140" s="122"/>
      <x:c r="AM140" s="177" t="str">
        <x:f t="shared" si="45"/>
      </x:c>
      <x:c r="AN140" s="122"/>
      <x:c r="AO140" s="177" t="str">
        <x:f t="shared" si="46"/>
      </x:c>
      <x:c r="AP140" s="178" t="str">
        <x:f t="shared" si="47"/>
      </x:c>
      <x:c r="AQ140" s="122"/>
      <x:c r="AR140" s="177" t="str">
        <x:f t="shared" si="48"/>
      </x:c>
      <x:c r="AS140" s="122"/>
      <x:c r="AT140" s="177" t="str">
        <x:f t="shared" si="49"/>
      </x:c>
      <x:c r="AU140" s="178" t="str">
        <x:f t="shared" si="50"/>
      </x:c>
      <x:c r="AV140" s="122"/>
      <x:c r="AW140" s="177" t="str">
        <x:f t="shared" si="51"/>
      </x:c>
      <x:c r="AX140" s="122"/>
      <x:c r="AY140" s="177" t="str">
        <x:f t="shared" si="52"/>
      </x:c>
      <x:c r="AZ140" s="178" t="str">
        <x:f t="shared" si="53"/>
      </x:c>
      <x:c r="BA140" s="122"/>
      <x:c r="BB140" s="177" t="str">
        <x:f t="shared" si="54"/>
      </x:c>
      <x:c r="BC140" s="122"/>
      <x:c r="BD140" s="177" t="str">
        <x:f t="shared" si="55"/>
      </x:c>
      <x:c r="BE140" s="178" t="str">
        <x:f t="shared" si="56"/>
      </x:c>
      <x:c r="BF140" s="122"/>
      <x:c r="BG140" s="177" t="str">
        <x:f t="shared" si="57"/>
      </x:c>
      <x:c r="BH140" s="122"/>
      <x:c r="BI140" s="177" t="str">
        <x:f t="shared" si="58"/>
      </x:c>
      <x:c r="BJ140" s="178" t="str">
        <x:f t="shared" si="59"/>
      </x:c>
    </x:row>
    <x:row r="141" ht="19.5" hidden="1" customHeight="1">
      <x:c r="A141" s="160"/>
      <x:c r="B141" s="179"/>
      <x:c r="C141" s="171"/>
      <x:c r="D141" s="172"/>
      <x:c r="E141" s="171"/>
      <x:c r="F141" s="173"/>
      <x:c r="G141" s="174"/>
      <x:c r="H141" s="175"/>
      <x:c r="I141" s="174"/>
      <x:c r="J141" s="176"/>
      <x:c r="K141" s="233"/>
      <x:c r="L141" s="233"/>
      <x:c r="M141" s="122"/>
      <x:c r="N141" s="177" t="str">
        <x:f t="shared" si="30"/>
      </x:c>
      <x:c r="O141" s="122"/>
      <x:c r="P141" s="177" t="str">
        <x:f t="shared" si="31"/>
      </x:c>
      <x:c r="Q141" s="178" t="str">
        <x:f t="shared" si="32"/>
      </x:c>
      <x:c r="R141" s="122"/>
      <x:c r="S141" s="177" t="str">
        <x:f t="shared" si="33"/>
      </x:c>
      <x:c r="T141" s="122"/>
      <x:c r="U141" s="177" t="str">
        <x:f t="shared" si="34"/>
      </x:c>
      <x:c r="V141" s="178" t="str">
        <x:f t="shared" si="35"/>
      </x:c>
      <x:c r="W141" s="122"/>
      <x:c r="X141" s="177" t="str">
        <x:f t="shared" si="36"/>
      </x:c>
      <x:c r="Y141" s="122"/>
      <x:c r="Z141" s="177" t="str">
        <x:f t="shared" si="37"/>
      </x:c>
      <x:c r="AA141" s="178" t="str">
        <x:f t="shared" si="38"/>
      </x:c>
      <x:c r="AB141" s="122"/>
      <x:c r="AC141" s="177" t="str">
        <x:f t="shared" si="39"/>
      </x:c>
      <x:c r="AD141" s="122"/>
      <x:c r="AE141" s="177" t="str">
        <x:f t="shared" si="40"/>
      </x:c>
      <x:c r="AF141" s="178" t="str">
        <x:f t="shared" si="41"/>
      </x:c>
      <x:c r="AG141" s="122"/>
      <x:c r="AH141" s="177" t="str">
        <x:f t="shared" si="42"/>
      </x:c>
      <x:c r="AI141" s="122"/>
      <x:c r="AJ141" s="177" t="str">
        <x:f t="shared" si="43"/>
      </x:c>
      <x:c r="AK141" s="178" t="str">
        <x:f t="shared" si="44"/>
      </x:c>
      <x:c r="AL141" s="122"/>
      <x:c r="AM141" s="177" t="str">
        <x:f t="shared" si="45"/>
      </x:c>
      <x:c r="AN141" s="122"/>
      <x:c r="AO141" s="177" t="str">
        <x:f t="shared" si="46"/>
      </x:c>
      <x:c r="AP141" s="178" t="str">
        <x:f t="shared" si="47"/>
      </x:c>
      <x:c r="AQ141" s="122"/>
      <x:c r="AR141" s="177" t="str">
        <x:f t="shared" si="48"/>
      </x:c>
      <x:c r="AS141" s="122"/>
      <x:c r="AT141" s="177" t="str">
        <x:f t="shared" si="49"/>
      </x:c>
      <x:c r="AU141" s="178" t="str">
        <x:f t="shared" si="50"/>
      </x:c>
      <x:c r="AV141" s="122"/>
      <x:c r="AW141" s="177" t="str">
        <x:f t="shared" si="51"/>
      </x:c>
      <x:c r="AX141" s="122"/>
      <x:c r="AY141" s="177" t="str">
        <x:f t="shared" si="52"/>
      </x:c>
      <x:c r="AZ141" s="178" t="str">
        <x:f t="shared" si="53"/>
      </x:c>
      <x:c r="BA141" s="122"/>
      <x:c r="BB141" s="177" t="str">
        <x:f t="shared" si="54"/>
      </x:c>
      <x:c r="BC141" s="122"/>
      <x:c r="BD141" s="177" t="str">
        <x:f t="shared" si="55"/>
      </x:c>
      <x:c r="BE141" s="178" t="str">
        <x:f t="shared" si="56"/>
      </x:c>
      <x:c r="BF141" s="122"/>
      <x:c r="BG141" s="177" t="str">
        <x:f t="shared" si="57"/>
      </x:c>
      <x:c r="BH141" s="122"/>
      <x:c r="BI141" s="177" t="str">
        <x:f t="shared" si="58"/>
      </x:c>
      <x:c r="BJ141" s="178" t="str">
        <x:f t="shared" si="59"/>
      </x:c>
    </x:row>
    <x:row r="142" ht="19.5" hidden="1" customHeight="1">
      <x:c r="A142" s="169"/>
      <x:c r="B142" s="170"/>
      <x:c r="C142" s="171"/>
      <x:c r="D142" s="172"/>
      <x:c r="E142" s="171"/>
      <x:c r="F142" s="173"/>
      <x:c r="G142" s="174"/>
      <x:c r="H142" s="175"/>
      <x:c r="I142" s="174"/>
      <x:c r="J142" s="176"/>
      <x:c r="K142" s="233"/>
      <x:c r="L142" s="233"/>
      <x:c r="M142" s="122"/>
      <x:c r="N142" s="177" t="str">
        <x:f t="shared" si="30"/>
      </x:c>
      <x:c r="O142" s="122"/>
      <x:c r="P142" s="177" t="str">
        <x:f t="shared" si="31"/>
      </x:c>
      <x:c r="Q142" s="178" t="str">
        <x:f t="shared" si="32"/>
      </x:c>
      <x:c r="R142" s="122"/>
      <x:c r="S142" s="177" t="str">
        <x:f t="shared" si="33"/>
      </x:c>
      <x:c r="T142" s="122"/>
      <x:c r="U142" s="177" t="str">
        <x:f t="shared" si="34"/>
      </x:c>
      <x:c r="V142" s="178" t="str">
        <x:f t="shared" si="35"/>
      </x:c>
      <x:c r="W142" s="122"/>
      <x:c r="X142" s="177" t="str">
        <x:f t="shared" si="36"/>
      </x:c>
      <x:c r="Y142" s="122"/>
      <x:c r="Z142" s="177" t="str">
        <x:f t="shared" si="37"/>
      </x:c>
      <x:c r="AA142" s="178" t="str">
        <x:f t="shared" si="38"/>
      </x:c>
      <x:c r="AB142" s="122"/>
      <x:c r="AC142" s="177" t="str">
        <x:f t="shared" si="39"/>
      </x:c>
      <x:c r="AD142" s="122"/>
      <x:c r="AE142" s="177" t="str">
        <x:f t="shared" si="40"/>
      </x:c>
      <x:c r="AF142" s="178" t="str">
        <x:f t="shared" si="41"/>
      </x:c>
      <x:c r="AG142" s="122"/>
      <x:c r="AH142" s="177" t="str">
        <x:f t="shared" si="42"/>
      </x:c>
      <x:c r="AI142" s="122"/>
      <x:c r="AJ142" s="177" t="str">
        <x:f t="shared" si="43"/>
      </x:c>
      <x:c r="AK142" s="178" t="str">
        <x:f t="shared" si="44"/>
      </x:c>
      <x:c r="AL142" s="122"/>
      <x:c r="AM142" s="177" t="str">
        <x:f t="shared" si="45"/>
      </x:c>
      <x:c r="AN142" s="122"/>
      <x:c r="AO142" s="177" t="str">
        <x:f t="shared" si="46"/>
      </x:c>
      <x:c r="AP142" s="178" t="str">
        <x:f t="shared" si="47"/>
      </x:c>
      <x:c r="AQ142" s="122"/>
      <x:c r="AR142" s="177" t="str">
        <x:f t="shared" si="48"/>
      </x:c>
      <x:c r="AS142" s="122"/>
      <x:c r="AT142" s="177" t="str">
        <x:f t="shared" si="49"/>
      </x:c>
      <x:c r="AU142" s="178" t="str">
        <x:f t="shared" si="50"/>
      </x:c>
      <x:c r="AV142" s="122"/>
      <x:c r="AW142" s="177" t="str">
        <x:f t="shared" si="51"/>
      </x:c>
      <x:c r="AX142" s="122"/>
      <x:c r="AY142" s="177" t="str">
        <x:f t="shared" si="52"/>
      </x:c>
      <x:c r="AZ142" s="178" t="str">
        <x:f t="shared" si="53"/>
      </x:c>
      <x:c r="BA142" s="122"/>
      <x:c r="BB142" s="177" t="str">
        <x:f t="shared" si="54"/>
      </x:c>
      <x:c r="BC142" s="122"/>
      <x:c r="BD142" s="177" t="str">
        <x:f t="shared" si="55"/>
      </x:c>
      <x:c r="BE142" s="178" t="str">
        <x:f t="shared" si="56"/>
      </x:c>
      <x:c r="BF142" s="122"/>
      <x:c r="BG142" s="177" t="str">
        <x:f t="shared" si="57"/>
      </x:c>
      <x:c r="BH142" s="122"/>
      <x:c r="BI142" s="177" t="str">
        <x:f t="shared" si="58"/>
      </x:c>
      <x:c r="BJ142" s="178" t="str">
        <x:f t="shared" si="59"/>
      </x:c>
    </x:row>
    <x:row r="143" ht="19.5" hidden="1" customHeight="1">
      <x:c r="A143" s="160"/>
      <x:c r="B143" s="179"/>
      <x:c r="C143" s="171"/>
      <x:c r="D143" s="172"/>
      <x:c r="E143" s="171"/>
      <x:c r="F143" s="173"/>
      <x:c r="G143" s="174"/>
      <x:c r="H143" s="175"/>
      <x:c r="I143" s="174"/>
      <x:c r="J143" s="176"/>
      <x:c r="K143" s="233"/>
      <x:c r="L143" s="233"/>
      <x:c r="M143" s="122"/>
      <x:c r="N143" s="177" t="str">
        <x:f t="shared" si="30"/>
      </x:c>
      <x:c r="O143" s="122"/>
      <x:c r="P143" s="177" t="str">
        <x:f t="shared" si="31"/>
      </x:c>
      <x:c r="Q143" s="178" t="str">
        <x:f t="shared" si="32"/>
      </x:c>
      <x:c r="R143" s="122"/>
      <x:c r="S143" s="177" t="str">
        <x:f t="shared" si="33"/>
      </x:c>
      <x:c r="T143" s="122"/>
      <x:c r="U143" s="177" t="str">
        <x:f t="shared" si="34"/>
      </x:c>
      <x:c r="V143" s="178" t="str">
        <x:f t="shared" si="35"/>
      </x:c>
      <x:c r="W143" s="122"/>
      <x:c r="X143" s="177" t="str">
        <x:f t="shared" si="36"/>
      </x:c>
      <x:c r="Y143" s="122"/>
      <x:c r="Z143" s="177" t="str">
        <x:f t="shared" si="37"/>
      </x:c>
      <x:c r="AA143" s="178" t="str">
        <x:f t="shared" si="38"/>
      </x:c>
      <x:c r="AB143" s="122"/>
      <x:c r="AC143" s="177" t="str">
        <x:f t="shared" si="39"/>
      </x:c>
      <x:c r="AD143" s="122"/>
      <x:c r="AE143" s="177" t="str">
        <x:f t="shared" si="40"/>
      </x:c>
      <x:c r="AF143" s="178" t="str">
        <x:f t="shared" si="41"/>
      </x:c>
      <x:c r="AG143" s="122"/>
      <x:c r="AH143" s="177" t="str">
        <x:f t="shared" si="42"/>
      </x:c>
      <x:c r="AI143" s="122"/>
      <x:c r="AJ143" s="177" t="str">
        <x:f t="shared" si="43"/>
      </x:c>
      <x:c r="AK143" s="178" t="str">
        <x:f t="shared" si="44"/>
      </x:c>
      <x:c r="AL143" s="122"/>
      <x:c r="AM143" s="177" t="str">
        <x:f t="shared" si="45"/>
      </x:c>
      <x:c r="AN143" s="122"/>
      <x:c r="AO143" s="177" t="str">
        <x:f t="shared" si="46"/>
      </x:c>
      <x:c r="AP143" s="178" t="str">
        <x:f t="shared" si="47"/>
      </x:c>
      <x:c r="AQ143" s="122"/>
      <x:c r="AR143" s="177" t="str">
        <x:f t="shared" si="48"/>
      </x:c>
      <x:c r="AS143" s="122"/>
      <x:c r="AT143" s="177" t="str">
        <x:f t="shared" si="49"/>
      </x:c>
      <x:c r="AU143" s="178" t="str">
        <x:f t="shared" si="50"/>
      </x:c>
      <x:c r="AV143" s="122"/>
      <x:c r="AW143" s="177" t="str">
        <x:f t="shared" si="51"/>
      </x:c>
      <x:c r="AX143" s="122"/>
      <x:c r="AY143" s="177" t="str">
        <x:f t="shared" si="52"/>
      </x:c>
      <x:c r="AZ143" s="178" t="str">
        <x:f t="shared" si="53"/>
      </x:c>
      <x:c r="BA143" s="122"/>
      <x:c r="BB143" s="177" t="str">
        <x:f t="shared" si="54"/>
      </x:c>
      <x:c r="BC143" s="122"/>
      <x:c r="BD143" s="177" t="str">
        <x:f t="shared" si="55"/>
      </x:c>
      <x:c r="BE143" s="178" t="str">
        <x:f t="shared" si="56"/>
      </x:c>
      <x:c r="BF143" s="122"/>
      <x:c r="BG143" s="177" t="str">
        <x:f t="shared" si="57"/>
      </x:c>
      <x:c r="BH143" s="122"/>
      <x:c r="BI143" s="177" t="str">
        <x:f t="shared" si="58"/>
      </x:c>
      <x:c r="BJ143" s="178" t="str">
        <x:f t="shared" si="59"/>
      </x:c>
    </x:row>
    <x:row r="144" ht="19.5" hidden="1" customHeight="1">
      <x:c r="A144" s="169"/>
      <x:c r="B144" s="170"/>
      <x:c r="C144" s="171"/>
      <x:c r="D144" s="172"/>
      <x:c r="E144" s="171"/>
      <x:c r="F144" s="173"/>
      <x:c r="G144" s="174"/>
      <x:c r="H144" s="175"/>
      <x:c r="I144" s="174"/>
      <x:c r="J144" s="176"/>
      <x:c r="K144" s="233"/>
      <x:c r="L144" s="233"/>
      <x:c r="M144" s="122"/>
      <x:c r="N144" s="177" t="str">
        <x:f t="shared" si="30"/>
      </x:c>
      <x:c r="O144" s="122"/>
      <x:c r="P144" s="177" t="str">
        <x:f t="shared" si="31"/>
      </x:c>
      <x:c r="Q144" s="178" t="str">
        <x:f t="shared" si="32"/>
      </x:c>
      <x:c r="R144" s="122"/>
      <x:c r="S144" s="177" t="str">
        <x:f t="shared" si="33"/>
      </x:c>
      <x:c r="T144" s="122"/>
      <x:c r="U144" s="177" t="str">
        <x:f t="shared" si="34"/>
      </x:c>
      <x:c r="V144" s="178" t="str">
        <x:f t="shared" si="35"/>
      </x:c>
      <x:c r="W144" s="122"/>
      <x:c r="X144" s="177" t="str">
        <x:f t="shared" si="36"/>
      </x:c>
      <x:c r="Y144" s="122"/>
      <x:c r="Z144" s="177" t="str">
        <x:f t="shared" si="37"/>
      </x:c>
      <x:c r="AA144" s="178" t="str">
        <x:f t="shared" si="38"/>
      </x:c>
      <x:c r="AB144" s="122"/>
      <x:c r="AC144" s="177" t="str">
        <x:f t="shared" si="39"/>
      </x:c>
      <x:c r="AD144" s="122"/>
      <x:c r="AE144" s="177" t="str">
        <x:f t="shared" si="40"/>
      </x:c>
      <x:c r="AF144" s="178" t="str">
        <x:f t="shared" si="41"/>
      </x:c>
      <x:c r="AG144" s="122"/>
      <x:c r="AH144" s="177" t="str">
        <x:f t="shared" si="42"/>
      </x:c>
      <x:c r="AI144" s="122"/>
      <x:c r="AJ144" s="177" t="str">
        <x:f t="shared" si="43"/>
      </x:c>
      <x:c r="AK144" s="178" t="str">
        <x:f t="shared" si="44"/>
      </x:c>
      <x:c r="AL144" s="122"/>
      <x:c r="AM144" s="177" t="str">
        <x:f t="shared" si="45"/>
      </x:c>
      <x:c r="AN144" s="122"/>
      <x:c r="AO144" s="177" t="str">
        <x:f t="shared" si="46"/>
      </x:c>
      <x:c r="AP144" s="178" t="str">
        <x:f t="shared" si="47"/>
      </x:c>
      <x:c r="AQ144" s="122"/>
      <x:c r="AR144" s="177" t="str">
        <x:f t="shared" si="48"/>
      </x:c>
      <x:c r="AS144" s="122"/>
      <x:c r="AT144" s="177" t="str">
        <x:f t="shared" si="49"/>
      </x:c>
      <x:c r="AU144" s="178" t="str">
        <x:f t="shared" si="50"/>
      </x:c>
      <x:c r="AV144" s="122"/>
      <x:c r="AW144" s="177" t="str">
        <x:f t="shared" si="51"/>
      </x:c>
      <x:c r="AX144" s="122"/>
      <x:c r="AY144" s="177" t="str">
        <x:f t="shared" si="52"/>
      </x:c>
      <x:c r="AZ144" s="178" t="str">
        <x:f t="shared" si="53"/>
      </x:c>
      <x:c r="BA144" s="122"/>
      <x:c r="BB144" s="177" t="str">
        <x:f t="shared" si="54"/>
      </x:c>
      <x:c r="BC144" s="122"/>
      <x:c r="BD144" s="177" t="str">
        <x:f t="shared" si="55"/>
      </x:c>
      <x:c r="BE144" s="178" t="str">
        <x:f t="shared" si="56"/>
      </x:c>
      <x:c r="BF144" s="122"/>
      <x:c r="BG144" s="177" t="str">
        <x:f t="shared" si="57"/>
      </x:c>
      <x:c r="BH144" s="122"/>
      <x:c r="BI144" s="177" t="str">
        <x:f t="shared" si="58"/>
      </x:c>
      <x:c r="BJ144" s="178" t="str">
        <x:f t="shared" si="59"/>
      </x:c>
    </x:row>
    <x:row r="145" ht="19.5" hidden="1" customHeight="1">
      <x:c r="A145" s="160"/>
      <x:c r="B145" s="179"/>
      <x:c r="C145" s="171"/>
      <x:c r="D145" s="172"/>
      <x:c r="E145" s="171"/>
      <x:c r="F145" s="173"/>
      <x:c r="G145" s="174"/>
      <x:c r="H145" s="175"/>
      <x:c r="I145" s="174"/>
      <x:c r="J145" s="176"/>
      <x:c r="K145" s="233"/>
      <x:c r="L145" s="233"/>
      <x:c r="M145" s="122"/>
      <x:c r="N145" s="177" t="str">
        <x:f t="shared" si="30"/>
      </x:c>
      <x:c r="O145" s="122"/>
      <x:c r="P145" s="177" t="str">
        <x:f t="shared" si="31"/>
      </x:c>
      <x:c r="Q145" s="178" t="str">
        <x:f t="shared" si="32"/>
      </x:c>
      <x:c r="R145" s="122"/>
      <x:c r="S145" s="177" t="str">
        <x:f t="shared" si="33"/>
      </x:c>
      <x:c r="T145" s="122"/>
      <x:c r="U145" s="177" t="str">
        <x:f t="shared" si="34"/>
      </x:c>
      <x:c r="V145" s="178" t="str">
        <x:f t="shared" si="35"/>
      </x:c>
      <x:c r="W145" s="122"/>
      <x:c r="X145" s="177" t="str">
        <x:f t="shared" si="36"/>
      </x:c>
      <x:c r="Y145" s="122"/>
      <x:c r="Z145" s="177" t="str">
        <x:f t="shared" si="37"/>
      </x:c>
      <x:c r="AA145" s="178" t="str">
        <x:f t="shared" si="38"/>
      </x:c>
      <x:c r="AB145" s="122"/>
      <x:c r="AC145" s="177" t="str">
        <x:f t="shared" si="39"/>
      </x:c>
      <x:c r="AD145" s="122"/>
      <x:c r="AE145" s="177" t="str">
        <x:f t="shared" si="40"/>
      </x:c>
      <x:c r="AF145" s="178" t="str">
        <x:f t="shared" si="41"/>
      </x:c>
      <x:c r="AG145" s="122"/>
      <x:c r="AH145" s="177" t="str">
        <x:f t="shared" si="42"/>
      </x:c>
      <x:c r="AI145" s="122"/>
      <x:c r="AJ145" s="177" t="str">
        <x:f t="shared" si="43"/>
      </x:c>
      <x:c r="AK145" s="178" t="str">
        <x:f t="shared" si="44"/>
      </x:c>
      <x:c r="AL145" s="122"/>
      <x:c r="AM145" s="177" t="str">
        <x:f t="shared" si="45"/>
      </x:c>
      <x:c r="AN145" s="122"/>
      <x:c r="AO145" s="177" t="str">
        <x:f t="shared" si="46"/>
      </x:c>
      <x:c r="AP145" s="178" t="str">
        <x:f t="shared" si="47"/>
      </x:c>
      <x:c r="AQ145" s="122"/>
      <x:c r="AR145" s="177" t="str">
        <x:f t="shared" si="48"/>
      </x:c>
      <x:c r="AS145" s="122"/>
      <x:c r="AT145" s="177" t="str">
        <x:f t="shared" si="49"/>
      </x:c>
      <x:c r="AU145" s="178" t="str">
        <x:f t="shared" si="50"/>
      </x:c>
      <x:c r="AV145" s="122"/>
      <x:c r="AW145" s="177" t="str">
        <x:f t="shared" si="51"/>
      </x:c>
      <x:c r="AX145" s="122"/>
      <x:c r="AY145" s="177" t="str">
        <x:f t="shared" si="52"/>
      </x:c>
      <x:c r="AZ145" s="178" t="str">
        <x:f t="shared" si="53"/>
      </x:c>
      <x:c r="BA145" s="122"/>
      <x:c r="BB145" s="177" t="str">
        <x:f t="shared" si="54"/>
      </x:c>
      <x:c r="BC145" s="122"/>
      <x:c r="BD145" s="177" t="str">
        <x:f t="shared" si="55"/>
      </x:c>
      <x:c r="BE145" s="178" t="str">
        <x:f t="shared" si="56"/>
      </x:c>
      <x:c r="BF145" s="122"/>
      <x:c r="BG145" s="177" t="str">
        <x:f t="shared" si="57"/>
      </x:c>
      <x:c r="BH145" s="122"/>
      <x:c r="BI145" s="177" t="str">
        <x:f t="shared" si="58"/>
      </x:c>
      <x:c r="BJ145" s="178" t="str">
        <x:f t="shared" si="59"/>
      </x:c>
    </x:row>
    <x:row r="146" ht="19.5" hidden="1" customHeight="1">
      <x:c r="A146" s="169"/>
      <x:c r="B146" s="170"/>
      <x:c r="C146" s="171"/>
      <x:c r="D146" s="172"/>
      <x:c r="E146" s="171"/>
      <x:c r="F146" s="173"/>
      <x:c r="G146" s="174"/>
      <x:c r="H146" s="175"/>
      <x:c r="I146" s="174"/>
      <x:c r="J146" s="176"/>
      <x:c r="K146" s="233"/>
      <x:c r="L146" s="233"/>
      <x:c r="M146" s="122"/>
      <x:c r="N146" s="177" t="str">
        <x:f t="shared" si="30"/>
      </x:c>
      <x:c r="O146" s="122"/>
      <x:c r="P146" s="177" t="str">
        <x:f t="shared" si="31"/>
      </x:c>
      <x:c r="Q146" s="178" t="str">
        <x:f t="shared" si="32"/>
      </x:c>
      <x:c r="R146" s="122"/>
      <x:c r="S146" s="177" t="str">
        <x:f t="shared" si="33"/>
      </x:c>
      <x:c r="T146" s="122"/>
      <x:c r="U146" s="177" t="str">
        <x:f t="shared" si="34"/>
      </x:c>
      <x:c r="V146" s="178" t="str">
        <x:f t="shared" si="35"/>
      </x:c>
      <x:c r="W146" s="122"/>
      <x:c r="X146" s="177" t="str">
        <x:f t="shared" si="36"/>
      </x:c>
      <x:c r="Y146" s="122"/>
      <x:c r="Z146" s="177" t="str">
        <x:f t="shared" si="37"/>
      </x:c>
      <x:c r="AA146" s="178" t="str">
        <x:f t="shared" si="38"/>
      </x:c>
      <x:c r="AB146" s="122"/>
      <x:c r="AC146" s="177" t="str">
        <x:f t="shared" si="39"/>
      </x:c>
      <x:c r="AD146" s="122"/>
      <x:c r="AE146" s="177" t="str">
        <x:f t="shared" si="40"/>
      </x:c>
      <x:c r="AF146" s="178" t="str">
        <x:f t="shared" si="41"/>
      </x:c>
      <x:c r="AG146" s="122"/>
      <x:c r="AH146" s="177" t="str">
        <x:f t="shared" si="42"/>
      </x:c>
      <x:c r="AI146" s="122"/>
      <x:c r="AJ146" s="177" t="str">
        <x:f t="shared" si="43"/>
      </x:c>
      <x:c r="AK146" s="178" t="str">
        <x:f t="shared" si="44"/>
      </x:c>
      <x:c r="AL146" s="122"/>
      <x:c r="AM146" s="177" t="str">
        <x:f t="shared" si="45"/>
      </x:c>
      <x:c r="AN146" s="122"/>
      <x:c r="AO146" s="177" t="str">
        <x:f t="shared" si="46"/>
      </x:c>
      <x:c r="AP146" s="178" t="str">
        <x:f t="shared" si="47"/>
      </x:c>
      <x:c r="AQ146" s="122"/>
      <x:c r="AR146" s="177" t="str">
        <x:f t="shared" si="48"/>
      </x:c>
      <x:c r="AS146" s="122"/>
      <x:c r="AT146" s="177" t="str">
        <x:f t="shared" si="49"/>
      </x:c>
      <x:c r="AU146" s="178" t="str">
        <x:f t="shared" si="50"/>
      </x:c>
      <x:c r="AV146" s="122"/>
      <x:c r="AW146" s="177" t="str">
        <x:f t="shared" si="51"/>
      </x:c>
      <x:c r="AX146" s="122"/>
      <x:c r="AY146" s="177" t="str">
        <x:f t="shared" si="52"/>
      </x:c>
      <x:c r="AZ146" s="178" t="str">
        <x:f t="shared" si="53"/>
      </x:c>
      <x:c r="BA146" s="122"/>
      <x:c r="BB146" s="177" t="str">
        <x:f t="shared" si="54"/>
      </x:c>
      <x:c r="BC146" s="122"/>
      <x:c r="BD146" s="177" t="str">
        <x:f t="shared" si="55"/>
      </x:c>
      <x:c r="BE146" s="178" t="str">
        <x:f t="shared" si="56"/>
      </x:c>
      <x:c r="BF146" s="122"/>
      <x:c r="BG146" s="177" t="str">
        <x:f t="shared" si="57"/>
      </x:c>
      <x:c r="BH146" s="122"/>
      <x:c r="BI146" s="177" t="str">
        <x:f t="shared" si="58"/>
      </x:c>
      <x:c r="BJ146" s="178" t="str">
        <x:f t="shared" si="59"/>
      </x:c>
    </x:row>
    <x:row r="147" ht="19.5" hidden="1" customHeight="1">
      <x:c r="A147" s="160"/>
      <x:c r="B147" s="179"/>
      <x:c r="C147" s="171"/>
      <x:c r="D147" s="172"/>
      <x:c r="E147" s="171"/>
      <x:c r="F147" s="173"/>
      <x:c r="G147" s="174"/>
      <x:c r="H147" s="175"/>
      <x:c r="I147" s="174"/>
      <x:c r="J147" s="176"/>
      <x:c r="K147" s="233"/>
      <x:c r="L147" s="233"/>
      <x:c r="M147" s="122"/>
      <x:c r="N147" s="177" t="str">
        <x:f t="shared" si="30"/>
      </x:c>
      <x:c r="O147" s="122"/>
      <x:c r="P147" s="177" t="str">
        <x:f t="shared" si="31"/>
      </x:c>
      <x:c r="Q147" s="178" t="str">
        <x:f t="shared" si="32"/>
      </x:c>
      <x:c r="R147" s="122"/>
      <x:c r="S147" s="177" t="str">
        <x:f t="shared" si="33"/>
      </x:c>
      <x:c r="T147" s="122"/>
      <x:c r="U147" s="177" t="str">
        <x:f t="shared" si="34"/>
      </x:c>
      <x:c r="V147" s="178" t="str">
        <x:f t="shared" si="35"/>
      </x:c>
      <x:c r="W147" s="122"/>
      <x:c r="X147" s="177" t="str">
        <x:f t="shared" si="36"/>
      </x:c>
      <x:c r="Y147" s="122"/>
      <x:c r="Z147" s="177" t="str">
        <x:f t="shared" si="37"/>
      </x:c>
      <x:c r="AA147" s="178" t="str">
        <x:f t="shared" si="38"/>
      </x:c>
      <x:c r="AB147" s="122"/>
      <x:c r="AC147" s="177" t="str">
        <x:f t="shared" si="39"/>
      </x:c>
      <x:c r="AD147" s="122"/>
      <x:c r="AE147" s="177" t="str">
        <x:f t="shared" si="40"/>
      </x:c>
      <x:c r="AF147" s="178" t="str">
        <x:f t="shared" si="41"/>
      </x:c>
      <x:c r="AG147" s="122"/>
      <x:c r="AH147" s="177" t="str">
        <x:f t="shared" si="42"/>
      </x:c>
      <x:c r="AI147" s="122"/>
      <x:c r="AJ147" s="177" t="str">
        <x:f t="shared" si="43"/>
      </x:c>
      <x:c r="AK147" s="178" t="str">
        <x:f t="shared" si="44"/>
      </x:c>
      <x:c r="AL147" s="122"/>
      <x:c r="AM147" s="177" t="str">
        <x:f t="shared" si="45"/>
      </x:c>
      <x:c r="AN147" s="122"/>
      <x:c r="AO147" s="177" t="str">
        <x:f t="shared" si="46"/>
      </x:c>
      <x:c r="AP147" s="178" t="str">
        <x:f t="shared" si="47"/>
      </x:c>
      <x:c r="AQ147" s="122"/>
      <x:c r="AR147" s="177" t="str">
        <x:f t="shared" si="48"/>
      </x:c>
      <x:c r="AS147" s="122"/>
      <x:c r="AT147" s="177" t="str">
        <x:f t="shared" si="49"/>
      </x:c>
      <x:c r="AU147" s="178" t="str">
        <x:f t="shared" si="50"/>
      </x:c>
      <x:c r="AV147" s="122"/>
      <x:c r="AW147" s="177" t="str">
        <x:f t="shared" si="51"/>
      </x:c>
      <x:c r="AX147" s="122"/>
      <x:c r="AY147" s="177" t="str">
        <x:f t="shared" si="52"/>
      </x:c>
      <x:c r="AZ147" s="178" t="str">
        <x:f t="shared" si="53"/>
      </x:c>
      <x:c r="BA147" s="122"/>
      <x:c r="BB147" s="177" t="str">
        <x:f t="shared" si="54"/>
      </x:c>
      <x:c r="BC147" s="122"/>
      <x:c r="BD147" s="177" t="str">
        <x:f t="shared" si="55"/>
      </x:c>
      <x:c r="BE147" s="178" t="str">
        <x:f t="shared" si="56"/>
      </x:c>
      <x:c r="BF147" s="122"/>
      <x:c r="BG147" s="177" t="str">
        <x:f t="shared" si="57"/>
      </x:c>
      <x:c r="BH147" s="122"/>
      <x:c r="BI147" s="177" t="str">
        <x:f t="shared" si="58"/>
      </x:c>
      <x:c r="BJ147" s="178" t="str">
        <x:f t="shared" si="59"/>
      </x:c>
    </x:row>
    <x:row r="148" ht="19.5" hidden="1" customHeight="1">
      <x:c r="A148" s="169"/>
      <x:c r="B148" s="170"/>
      <x:c r="C148" s="171"/>
      <x:c r="D148" s="172"/>
      <x:c r="E148" s="171"/>
      <x:c r="F148" s="173"/>
      <x:c r="G148" s="174"/>
      <x:c r="H148" s="175"/>
      <x:c r="I148" s="174"/>
      <x:c r="J148" s="176"/>
      <x:c r="K148" s="233"/>
      <x:c r="L148" s="233"/>
      <x:c r="M148" s="122"/>
      <x:c r="N148" s="177" t="str">
        <x:f t="shared" ref="N148:N211" si="60">IF(B148&lt;&gt;"",IF(M148="","",IF(M148&lt;0.5,1,IF(AND(M148&gt;=0.5,M148&lt;P$10),2,IF(M148&gt;=P$10,3)))),"")</x:f>
      </x:c>
      <x:c r="O148" s="122"/>
      <x:c r="P148" s="177" t="str">
        <x:f t="shared" ref="P148:P211" si="61">IF(B148&lt;&gt;"",IF(O148="","",IF(O148&lt;0.5,1,IF(AND(O148&gt;=0.5,O148&lt;P$10),2,IF(O148&gt;=P$10,3)))),"")</x:f>
      </x:c>
      <x:c r="Q148" s="178" t="str">
        <x:f t="shared" ref="Q148:Q211" si="62">IF(B148 &lt;&gt; "",IFERROR(IF(AVERAGE(M148,O148)&gt;=P$10,"Y","N"),""),"")</x:f>
      </x:c>
      <x:c r="R148" s="122"/>
      <x:c r="S148" s="177" t="str">
        <x:f t="shared" ref="S148:S211" si="63">IF(B148&lt;&gt;"",IF(R148="","",IF(R148&lt;0.5,1,IF(AND(R148&gt;=0.5,R148&lt;P$10),2,IF(R148&gt;=P$10,3)))),"")</x:f>
      </x:c>
      <x:c r="T148" s="122"/>
      <x:c r="U148" s="177" t="str">
        <x:f t="shared" ref="U148:U211" si="64">IF(B148&lt;&gt;"",IF(T148="","",IF(T148&lt;0.5,1,IF(AND(T148&gt;=0.5,T148&lt;P$10),2,IF(T148&gt;=P$10,3)))),"")</x:f>
      </x:c>
      <x:c r="V148" s="178" t="str">
        <x:f t="shared" ref="V148:V211" si="65">IF(B148 &lt;&gt; "",IFERROR(IF(AVERAGE(R148,T148)&gt;=P$10,"Y","N"),""),"")</x:f>
      </x:c>
      <x:c r="W148" s="122"/>
      <x:c r="X148" s="177" t="str">
        <x:f t="shared" ref="X148:X211" si="66">IF(B148&lt;&gt;"",IF(W148="","",IF(W148&lt;0.5,1,IF(AND(W148&gt;=0.5,W148&lt;P$10),2,IF(W148&gt;=P$10,3)))),"")</x:f>
      </x:c>
      <x:c r="Y148" s="122"/>
      <x:c r="Z148" s="177" t="str">
        <x:f t="shared" ref="Z148:Z211" si="67">IF(B148&lt;&gt;"",IF(Y148="","",IF(Y148&lt;0.5,1,IF(AND(Y148&gt;=0.5,Y148&lt;P$10),2,IF(Y148&gt;=P$10,3)))),"")</x:f>
      </x:c>
      <x:c r="AA148" s="178" t="str">
        <x:f t="shared" ref="AA148:AA211" si="68">IF(B148 &lt;&gt; "",IFERROR(IF(AVERAGE(W148,Y148)&gt;=P$10,"Y","N"),""),"")</x:f>
      </x:c>
      <x:c r="AB148" s="122"/>
      <x:c r="AC148" s="177" t="str">
        <x:f t="shared" ref="AC148:AC211" si="69">IF(B148&lt;&gt;"",IF(AB148="","",IF(AB148&lt;0.5,1,IF(AND(AB148&gt;=0.5,AB148&lt;P$10),2,IF(AB148&gt;=P$10,3)))),"")</x:f>
      </x:c>
      <x:c r="AD148" s="122"/>
      <x:c r="AE148" s="177" t="str">
        <x:f t="shared" ref="AE148:AE211" si="70">IF(B148&lt;&gt;"",IF(AD148="","",IF(AD148&lt;0.5,1,IF(AND(AD148&gt;=0.5,AD148&lt;P$10),2,IF(AD148&gt;=P$10,3)))),"")</x:f>
      </x:c>
      <x:c r="AF148" s="178" t="str">
        <x:f t="shared" ref="AF148:AF211" si="71">IF(B148 &lt;&gt; "",IFERROR(IF(AVERAGE(AB148,AD148)&gt;=P$10,"Y","N"),""),"")</x:f>
      </x:c>
      <x:c r="AG148" s="122"/>
      <x:c r="AH148" s="177" t="str">
        <x:f t="shared" ref="AH148:AH211" si="72">IF(B148&lt;&gt;"",IF(AG148="","",IF(AG148&lt;0.5,1,IF(AND(AG148&gt;=0.5,AG148&lt;P$10),2,IF(AG148&gt;=P$10,3)))),"")</x:f>
      </x:c>
      <x:c r="AI148" s="122"/>
      <x:c r="AJ148" s="177" t="str">
        <x:f t="shared" ref="AJ148:AJ211" si="73">IF(B148&lt;&gt;"",IF(AI148="","",IF(AI148&lt;0.5,1,IF(AND(AI148&gt;=0.5,AI148&lt;P$10),2,IF(AI148&gt;=P$10,3)))),"")</x:f>
      </x:c>
      <x:c r="AK148" s="178" t="str">
        <x:f t="shared" ref="AK148:AK211" si="74">IF(B148 &lt;&gt; "",IFERROR(IF(AVERAGE(AG148,AI148)&gt;=P$10,"Y","N"),""),"")</x:f>
      </x:c>
      <x:c r="AL148" s="122"/>
      <x:c r="AM148" s="177" t="str">
        <x:f t="shared" ref="AM148:AM211" si="75">IF(B148&lt;&gt;"",IF(AL148="","",IF(AL148&lt;0.5,1,IF(AND(AL148&gt;=0.5,AL148&lt;P$10),2,IF(AL148&gt;=P$10,3)))),"")</x:f>
      </x:c>
      <x:c r="AN148" s="122"/>
      <x:c r="AO148" s="177" t="str">
        <x:f t="shared" ref="AO148:AO211" si="76">IF(B148&lt;&gt;"",IF(AN148="","",IF(AN148&lt;0.5,1,IF(AND(AN148&gt;=0.5,AN148&lt;P$10),2,IF(AN148&gt;=P$10,3)))),"")</x:f>
      </x:c>
      <x:c r="AP148" s="178" t="str">
        <x:f t="shared" ref="AP148:AP211" si="77">IF(B148 &lt;&gt; "",IFERROR(IF(AVERAGE(AL148,AN148)&gt;=P$10,"Y","N"),""),"")</x:f>
      </x:c>
      <x:c r="AQ148" s="122"/>
      <x:c r="AR148" s="177" t="str">
        <x:f t="shared" ref="AR148:AR211" si="78">IF(B148&lt;&gt;"",IF(AQ148="","",IF(AQ148&lt;0.5,1,IF(AND(AQ148&gt;=0.5,AQ148&lt;P$10),2,IF(AQ148&gt;=P$10,3)))),"")</x:f>
      </x:c>
      <x:c r="AS148" s="122"/>
      <x:c r="AT148" s="177" t="str">
        <x:f t="shared" ref="AT148:AT211" si="79">IF(B148&lt;&gt;"",IF(AS148="","",IF(AS148&lt;0.5,1,IF(AND(AS148&gt;=0.5,AS148&lt;P$10),2,IF(AS148&gt;=P$10,3)))),"")</x:f>
      </x:c>
      <x:c r="AU148" s="178" t="str">
        <x:f t="shared" ref="AU148:AU211" si="80">IF(B148 &lt;&gt; "",IFERROR(IF(AVERAGE(AQ148,AS148)&gt;=P$10,"Y","N"),""),"")</x:f>
      </x:c>
      <x:c r="AV148" s="122"/>
      <x:c r="AW148" s="177" t="str">
        <x:f t="shared" ref="AW148:AW211" si="81">IF(B148&lt;&gt;"",IF(AV148="","",IF(AV148&lt;0.5,1,IF(AND(AV148&gt;=0.5,AV148&lt;P$10),2,IF(AV148&gt;=P$10,3)))),"")</x:f>
      </x:c>
      <x:c r="AX148" s="122"/>
      <x:c r="AY148" s="177" t="str">
        <x:f t="shared" ref="AY148:AY211" si="82">IF(B148&lt;&gt;"",IF(AX148="","",IF(AX148&lt;0.5,1,IF(AND(AX148&gt;=0.5,AX148&lt;P$10),2,IF(AX148&gt;=P$10,3)))),"")</x:f>
      </x:c>
      <x:c r="AZ148" s="178" t="str">
        <x:f t="shared" ref="AZ148:AZ211" si="83">IF(B148 &lt;&gt; "",IFERROR(IF(AVERAGE(AV148,AX148)&gt;=P$10,"Y","N"),""),"")</x:f>
      </x:c>
      <x:c r="BA148" s="122"/>
      <x:c r="BB148" s="177" t="str">
        <x:f t="shared" ref="BB148:BB211" si="84">IF(B148&lt;&gt;"",IF(BA148="","",IF(BA148&lt;0.5,1,IF(AND(BA148&gt;=0.5,BA148&lt;P$10),2,IF(BA148&gt;=P$10,3)))),"")</x:f>
      </x:c>
      <x:c r="BC148" s="122"/>
      <x:c r="BD148" s="177" t="str">
        <x:f t="shared" ref="BD148:BD211" si="85">IF(B148&lt;&gt;"",IF(BC148="","",IF(BC148&lt;0.5,1,IF(AND(BC148&gt;=0.5,BC148&lt;P$10),2,IF(BC148&gt;=P$10,3)))),"")</x:f>
      </x:c>
      <x:c r="BE148" s="178" t="str">
        <x:f t="shared" ref="BE148:BE211" si="86">IF(B148 &lt;&gt; "",IFERROR(IF(AVERAGE(BA148,BC148)&gt;=P$10,"Y","N"),""),"")</x:f>
      </x:c>
      <x:c r="BF148" s="122"/>
      <x:c r="BG148" s="177" t="str">
        <x:f t="shared" ref="BG148:BG211" si="87">IF(B148&lt;&gt;"",IF(BF148="","",IF(BF148&lt;0.5,1,IF(AND(BF148&gt;=0.5,BF148&lt;P$10),2,IF(BF148&gt;=P$10,3)))),"")</x:f>
      </x:c>
      <x:c r="BH148" s="122"/>
      <x:c r="BI148" s="177" t="str">
        <x:f t="shared" ref="BI148:BI211" si="88">IF(B148&lt;&gt;"",IF(BH148="","",IF(BH148&lt;0.5,1,IF(AND(BH148&gt;=0.5,BH148&lt;P$10),2,IF(BH148&gt;=P$10,3)))),"")</x:f>
      </x:c>
      <x:c r="BJ148" s="178" t="str">
        <x:f t="shared" ref="BJ148:BJ211" si="89">IF(B148 &lt;&gt; "",IFERROR(IF(AVERAGE(BF148,BH148)&gt;=P$10,"Y","N"),""),"")</x:f>
      </x:c>
    </x:row>
    <x:row r="149" ht="19.5" hidden="1" customHeight="1">
      <x:c r="A149" s="160"/>
      <x:c r="B149" s="179"/>
      <x:c r="C149" s="171"/>
      <x:c r="D149" s="172"/>
      <x:c r="E149" s="171"/>
      <x:c r="F149" s="173"/>
      <x:c r="G149" s="174"/>
      <x:c r="H149" s="175"/>
      <x:c r="I149" s="174"/>
      <x:c r="J149" s="176"/>
      <x:c r="K149" s="233"/>
      <x:c r="L149" s="233"/>
      <x:c r="M149" s="122"/>
      <x:c r="N149" s="177" t="str">
        <x:f t="shared" si="60"/>
      </x:c>
      <x:c r="O149" s="122"/>
      <x:c r="P149" s="177" t="str">
        <x:f t="shared" si="61"/>
      </x:c>
      <x:c r="Q149" s="178" t="str">
        <x:f t="shared" si="62"/>
      </x:c>
      <x:c r="R149" s="122"/>
      <x:c r="S149" s="177" t="str">
        <x:f t="shared" si="63"/>
      </x:c>
      <x:c r="T149" s="122"/>
      <x:c r="U149" s="177" t="str">
        <x:f t="shared" si="64"/>
      </x:c>
      <x:c r="V149" s="178" t="str">
        <x:f t="shared" si="65"/>
      </x:c>
      <x:c r="W149" s="122"/>
      <x:c r="X149" s="177" t="str">
        <x:f t="shared" si="66"/>
      </x:c>
      <x:c r="Y149" s="122"/>
      <x:c r="Z149" s="177" t="str">
        <x:f t="shared" si="67"/>
      </x:c>
      <x:c r="AA149" s="178" t="str">
        <x:f t="shared" si="68"/>
      </x:c>
      <x:c r="AB149" s="122"/>
      <x:c r="AC149" s="177" t="str">
        <x:f t="shared" si="69"/>
      </x:c>
      <x:c r="AD149" s="122"/>
      <x:c r="AE149" s="177" t="str">
        <x:f t="shared" si="70"/>
      </x:c>
      <x:c r="AF149" s="178" t="str">
        <x:f t="shared" si="71"/>
      </x:c>
      <x:c r="AG149" s="122"/>
      <x:c r="AH149" s="177" t="str">
        <x:f t="shared" si="72"/>
      </x:c>
      <x:c r="AI149" s="122"/>
      <x:c r="AJ149" s="177" t="str">
        <x:f t="shared" si="73"/>
      </x:c>
      <x:c r="AK149" s="178" t="str">
        <x:f t="shared" si="74"/>
      </x:c>
      <x:c r="AL149" s="122"/>
      <x:c r="AM149" s="177" t="str">
        <x:f t="shared" si="75"/>
      </x:c>
      <x:c r="AN149" s="122"/>
      <x:c r="AO149" s="177" t="str">
        <x:f t="shared" si="76"/>
      </x:c>
      <x:c r="AP149" s="178" t="str">
        <x:f t="shared" si="77"/>
      </x:c>
      <x:c r="AQ149" s="122"/>
      <x:c r="AR149" s="177" t="str">
        <x:f t="shared" si="78"/>
      </x:c>
      <x:c r="AS149" s="122"/>
      <x:c r="AT149" s="177" t="str">
        <x:f t="shared" si="79"/>
      </x:c>
      <x:c r="AU149" s="178" t="str">
        <x:f t="shared" si="80"/>
      </x:c>
      <x:c r="AV149" s="122"/>
      <x:c r="AW149" s="177" t="str">
        <x:f t="shared" si="81"/>
      </x:c>
      <x:c r="AX149" s="122"/>
      <x:c r="AY149" s="177" t="str">
        <x:f t="shared" si="82"/>
      </x:c>
      <x:c r="AZ149" s="178" t="str">
        <x:f t="shared" si="83"/>
      </x:c>
      <x:c r="BA149" s="122"/>
      <x:c r="BB149" s="177" t="str">
        <x:f t="shared" si="84"/>
      </x:c>
      <x:c r="BC149" s="122"/>
      <x:c r="BD149" s="177" t="str">
        <x:f t="shared" si="85"/>
      </x:c>
      <x:c r="BE149" s="178" t="str">
        <x:f t="shared" si="86"/>
      </x:c>
      <x:c r="BF149" s="122"/>
      <x:c r="BG149" s="177" t="str">
        <x:f t="shared" si="87"/>
      </x:c>
      <x:c r="BH149" s="122"/>
      <x:c r="BI149" s="177" t="str">
        <x:f t="shared" si="88"/>
      </x:c>
      <x:c r="BJ149" s="178" t="str">
        <x:f t="shared" si="89"/>
      </x:c>
    </x:row>
    <x:row r="150" ht="19.5" hidden="1" customHeight="1">
      <x:c r="A150" s="169"/>
      <x:c r="B150" s="170"/>
      <x:c r="C150" s="171"/>
      <x:c r="D150" s="172"/>
      <x:c r="E150" s="171"/>
      <x:c r="F150" s="173"/>
      <x:c r="G150" s="174"/>
      <x:c r="H150" s="175"/>
      <x:c r="I150" s="174"/>
      <x:c r="J150" s="176"/>
      <x:c r="K150" s="233"/>
      <x:c r="L150" s="233"/>
      <x:c r="M150" s="122"/>
      <x:c r="N150" s="177" t="str">
        <x:f t="shared" si="60"/>
      </x:c>
      <x:c r="O150" s="122"/>
      <x:c r="P150" s="177" t="str">
        <x:f t="shared" si="61"/>
      </x:c>
      <x:c r="Q150" s="178" t="str">
        <x:f t="shared" si="62"/>
      </x:c>
      <x:c r="R150" s="122"/>
      <x:c r="S150" s="177" t="str">
        <x:f t="shared" si="63"/>
      </x:c>
      <x:c r="T150" s="122"/>
      <x:c r="U150" s="177" t="str">
        <x:f t="shared" si="64"/>
      </x:c>
      <x:c r="V150" s="178" t="str">
        <x:f t="shared" si="65"/>
      </x:c>
      <x:c r="W150" s="122"/>
      <x:c r="X150" s="177" t="str">
        <x:f t="shared" si="66"/>
      </x:c>
      <x:c r="Y150" s="122"/>
      <x:c r="Z150" s="177" t="str">
        <x:f t="shared" si="67"/>
      </x:c>
      <x:c r="AA150" s="178" t="str">
        <x:f t="shared" si="68"/>
      </x:c>
      <x:c r="AB150" s="122"/>
      <x:c r="AC150" s="177" t="str">
        <x:f t="shared" si="69"/>
      </x:c>
      <x:c r="AD150" s="122"/>
      <x:c r="AE150" s="177" t="str">
        <x:f t="shared" si="70"/>
      </x:c>
      <x:c r="AF150" s="178" t="str">
        <x:f t="shared" si="71"/>
      </x:c>
      <x:c r="AG150" s="122"/>
      <x:c r="AH150" s="177" t="str">
        <x:f t="shared" si="72"/>
      </x:c>
      <x:c r="AI150" s="122"/>
      <x:c r="AJ150" s="177" t="str">
        <x:f t="shared" si="73"/>
      </x:c>
      <x:c r="AK150" s="178" t="str">
        <x:f t="shared" si="74"/>
      </x:c>
      <x:c r="AL150" s="122"/>
      <x:c r="AM150" s="177" t="str">
        <x:f t="shared" si="75"/>
      </x:c>
      <x:c r="AN150" s="122"/>
      <x:c r="AO150" s="177" t="str">
        <x:f t="shared" si="76"/>
      </x:c>
      <x:c r="AP150" s="178" t="str">
        <x:f t="shared" si="77"/>
      </x:c>
      <x:c r="AQ150" s="122"/>
      <x:c r="AR150" s="177" t="str">
        <x:f t="shared" si="78"/>
      </x:c>
      <x:c r="AS150" s="122"/>
      <x:c r="AT150" s="177" t="str">
        <x:f t="shared" si="79"/>
      </x:c>
      <x:c r="AU150" s="178" t="str">
        <x:f t="shared" si="80"/>
      </x:c>
      <x:c r="AV150" s="122"/>
      <x:c r="AW150" s="177" t="str">
        <x:f t="shared" si="81"/>
      </x:c>
      <x:c r="AX150" s="122"/>
      <x:c r="AY150" s="177" t="str">
        <x:f t="shared" si="82"/>
      </x:c>
      <x:c r="AZ150" s="178" t="str">
        <x:f t="shared" si="83"/>
      </x:c>
      <x:c r="BA150" s="122"/>
      <x:c r="BB150" s="177" t="str">
        <x:f t="shared" si="84"/>
      </x:c>
      <x:c r="BC150" s="122"/>
      <x:c r="BD150" s="177" t="str">
        <x:f t="shared" si="85"/>
      </x:c>
      <x:c r="BE150" s="178" t="str">
        <x:f t="shared" si="86"/>
      </x:c>
      <x:c r="BF150" s="122"/>
      <x:c r="BG150" s="177" t="str">
        <x:f t="shared" si="87"/>
      </x:c>
      <x:c r="BH150" s="122"/>
      <x:c r="BI150" s="177" t="str">
        <x:f t="shared" si="88"/>
      </x:c>
      <x:c r="BJ150" s="178" t="str">
        <x:f t="shared" si="89"/>
      </x:c>
    </x:row>
    <x:row r="151" ht="19.5" hidden="1" customHeight="1">
      <x:c r="A151" s="160"/>
      <x:c r="B151" s="179"/>
      <x:c r="C151" s="171"/>
      <x:c r="D151" s="172"/>
      <x:c r="E151" s="171"/>
      <x:c r="F151" s="173"/>
      <x:c r="G151" s="174"/>
      <x:c r="H151" s="175"/>
      <x:c r="I151" s="174"/>
      <x:c r="J151" s="176"/>
      <x:c r="K151" s="233"/>
      <x:c r="L151" s="233"/>
      <x:c r="M151" s="122"/>
      <x:c r="N151" s="177" t="str">
        <x:f t="shared" si="60"/>
      </x:c>
      <x:c r="O151" s="122"/>
      <x:c r="P151" s="177" t="str">
        <x:f t="shared" si="61"/>
      </x:c>
      <x:c r="Q151" s="178" t="str">
        <x:f t="shared" si="62"/>
      </x:c>
      <x:c r="R151" s="122"/>
      <x:c r="S151" s="177" t="str">
        <x:f t="shared" si="63"/>
      </x:c>
      <x:c r="T151" s="122"/>
      <x:c r="U151" s="177" t="str">
        <x:f t="shared" si="64"/>
      </x:c>
      <x:c r="V151" s="178" t="str">
        <x:f t="shared" si="65"/>
      </x:c>
      <x:c r="W151" s="122"/>
      <x:c r="X151" s="177" t="str">
        <x:f t="shared" si="66"/>
      </x:c>
      <x:c r="Y151" s="122"/>
      <x:c r="Z151" s="177" t="str">
        <x:f t="shared" si="67"/>
      </x:c>
      <x:c r="AA151" s="178" t="str">
        <x:f t="shared" si="68"/>
      </x:c>
      <x:c r="AB151" s="122"/>
      <x:c r="AC151" s="177" t="str">
        <x:f t="shared" si="69"/>
      </x:c>
      <x:c r="AD151" s="122"/>
      <x:c r="AE151" s="177" t="str">
        <x:f t="shared" si="70"/>
      </x:c>
      <x:c r="AF151" s="178" t="str">
        <x:f t="shared" si="71"/>
      </x:c>
      <x:c r="AG151" s="122"/>
      <x:c r="AH151" s="177" t="str">
        <x:f t="shared" si="72"/>
      </x:c>
      <x:c r="AI151" s="122"/>
      <x:c r="AJ151" s="177" t="str">
        <x:f t="shared" si="73"/>
      </x:c>
      <x:c r="AK151" s="178" t="str">
        <x:f t="shared" si="74"/>
      </x:c>
      <x:c r="AL151" s="122"/>
      <x:c r="AM151" s="177" t="str">
        <x:f t="shared" si="75"/>
      </x:c>
      <x:c r="AN151" s="122"/>
      <x:c r="AO151" s="177" t="str">
        <x:f t="shared" si="76"/>
      </x:c>
      <x:c r="AP151" s="178" t="str">
        <x:f t="shared" si="77"/>
      </x:c>
      <x:c r="AQ151" s="122"/>
      <x:c r="AR151" s="177" t="str">
        <x:f t="shared" si="78"/>
      </x:c>
      <x:c r="AS151" s="122"/>
      <x:c r="AT151" s="177" t="str">
        <x:f t="shared" si="79"/>
      </x:c>
      <x:c r="AU151" s="178" t="str">
        <x:f t="shared" si="80"/>
      </x:c>
      <x:c r="AV151" s="122"/>
      <x:c r="AW151" s="177" t="str">
        <x:f t="shared" si="81"/>
      </x:c>
      <x:c r="AX151" s="122"/>
      <x:c r="AY151" s="177" t="str">
        <x:f t="shared" si="82"/>
      </x:c>
      <x:c r="AZ151" s="178" t="str">
        <x:f t="shared" si="83"/>
      </x:c>
      <x:c r="BA151" s="122"/>
      <x:c r="BB151" s="177" t="str">
        <x:f t="shared" si="84"/>
      </x:c>
      <x:c r="BC151" s="122"/>
      <x:c r="BD151" s="177" t="str">
        <x:f t="shared" si="85"/>
      </x:c>
      <x:c r="BE151" s="178" t="str">
        <x:f t="shared" si="86"/>
      </x:c>
      <x:c r="BF151" s="122"/>
      <x:c r="BG151" s="177" t="str">
        <x:f t="shared" si="87"/>
      </x:c>
      <x:c r="BH151" s="122"/>
      <x:c r="BI151" s="177" t="str">
        <x:f t="shared" si="88"/>
      </x:c>
      <x:c r="BJ151" s="178" t="str">
        <x:f t="shared" si="89"/>
      </x:c>
    </x:row>
    <x:row r="152" ht="19.5" hidden="1" customHeight="1">
      <x:c r="A152" s="169"/>
      <x:c r="B152" s="170"/>
      <x:c r="C152" s="171"/>
      <x:c r="D152" s="172"/>
      <x:c r="E152" s="171"/>
      <x:c r="F152" s="173"/>
      <x:c r="G152" s="174"/>
      <x:c r="H152" s="175"/>
      <x:c r="I152" s="174"/>
      <x:c r="J152" s="176"/>
      <x:c r="K152" s="233"/>
      <x:c r="L152" s="233"/>
      <x:c r="M152" s="122"/>
      <x:c r="N152" s="177" t="str">
        <x:f t="shared" si="60"/>
      </x:c>
      <x:c r="O152" s="122"/>
      <x:c r="P152" s="177" t="str">
        <x:f t="shared" si="61"/>
      </x:c>
      <x:c r="Q152" s="178" t="str">
        <x:f t="shared" si="62"/>
      </x:c>
      <x:c r="R152" s="122"/>
      <x:c r="S152" s="177" t="str">
        <x:f t="shared" si="63"/>
      </x:c>
      <x:c r="T152" s="122"/>
      <x:c r="U152" s="177" t="str">
        <x:f t="shared" si="64"/>
      </x:c>
      <x:c r="V152" s="178" t="str">
        <x:f t="shared" si="65"/>
      </x:c>
      <x:c r="W152" s="122"/>
      <x:c r="X152" s="177" t="str">
        <x:f t="shared" si="66"/>
      </x:c>
      <x:c r="Y152" s="122"/>
      <x:c r="Z152" s="177" t="str">
        <x:f t="shared" si="67"/>
      </x:c>
      <x:c r="AA152" s="178" t="str">
        <x:f t="shared" si="68"/>
      </x:c>
      <x:c r="AB152" s="122"/>
      <x:c r="AC152" s="177" t="str">
        <x:f t="shared" si="69"/>
      </x:c>
      <x:c r="AD152" s="122"/>
      <x:c r="AE152" s="177" t="str">
        <x:f t="shared" si="70"/>
      </x:c>
      <x:c r="AF152" s="178" t="str">
        <x:f t="shared" si="71"/>
      </x:c>
      <x:c r="AG152" s="122"/>
      <x:c r="AH152" s="177" t="str">
        <x:f t="shared" si="72"/>
      </x:c>
      <x:c r="AI152" s="122"/>
      <x:c r="AJ152" s="177" t="str">
        <x:f t="shared" si="73"/>
      </x:c>
      <x:c r="AK152" s="178" t="str">
        <x:f t="shared" si="74"/>
      </x:c>
      <x:c r="AL152" s="122"/>
      <x:c r="AM152" s="177" t="str">
        <x:f t="shared" si="75"/>
      </x:c>
      <x:c r="AN152" s="122"/>
      <x:c r="AO152" s="177" t="str">
        <x:f t="shared" si="76"/>
      </x:c>
      <x:c r="AP152" s="178" t="str">
        <x:f t="shared" si="77"/>
      </x:c>
      <x:c r="AQ152" s="122"/>
      <x:c r="AR152" s="177" t="str">
        <x:f t="shared" si="78"/>
      </x:c>
      <x:c r="AS152" s="122"/>
      <x:c r="AT152" s="177" t="str">
        <x:f t="shared" si="79"/>
      </x:c>
      <x:c r="AU152" s="178" t="str">
        <x:f t="shared" si="80"/>
      </x:c>
      <x:c r="AV152" s="122"/>
      <x:c r="AW152" s="177" t="str">
        <x:f t="shared" si="81"/>
      </x:c>
      <x:c r="AX152" s="122"/>
      <x:c r="AY152" s="177" t="str">
        <x:f t="shared" si="82"/>
      </x:c>
      <x:c r="AZ152" s="178" t="str">
        <x:f t="shared" si="83"/>
      </x:c>
      <x:c r="BA152" s="122"/>
      <x:c r="BB152" s="177" t="str">
        <x:f t="shared" si="84"/>
      </x:c>
      <x:c r="BC152" s="122"/>
      <x:c r="BD152" s="177" t="str">
        <x:f t="shared" si="85"/>
      </x:c>
      <x:c r="BE152" s="178" t="str">
        <x:f t="shared" si="86"/>
      </x:c>
      <x:c r="BF152" s="122"/>
      <x:c r="BG152" s="177" t="str">
        <x:f t="shared" si="87"/>
      </x:c>
      <x:c r="BH152" s="122"/>
      <x:c r="BI152" s="177" t="str">
        <x:f t="shared" si="88"/>
      </x:c>
      <x:c r="BJ152" s="178" t="str">
        <x:f t="shared" si="89"/>
      </x:c>
    </x:row>
    <x:row r="153" ht="19.5" hidden="1" customHeight="1">
      <x:c r="A153" s="160"/>
      <x:c r="B153" s="179"/>
      <x:c r="C153" s="171"/>
      <x:c r="D153" s="172"/>
      <x:c r="E153" s="171"/>
      <x:c r="F153" s="173"/>
      <x:c r="G153" s="174"/>
      <x:c r="H153" s="175"/>
      <x:c r="I153" s="174"/>
      <x:c r="J153" s="176"/>
      <x:c r="K153" s="233"/>
      <x:c r="L153" s="233"/>
      <x:c r="M153" s="122"/>
      <x:c r="N153" s="177" t="str">
        <x:f t="shared" si="60"/>
      </x:c>
      <x:c r="O153" s="122"/>
      <x:c r="P153" s="177" t="str">
        <x:f t="shared" si="61"/>
      </x:c>
      <x:c r="Q153" s="178" t="str">
        <x:f t="shared" si="62"/>
      </x:c>
      <x:c r="R153" s="122"/>
      <x:c r="S153" s="177" t="str">
        <x:f t="shared" si="63"/>
      </x:c>
      <x:c r="T153" s="122"/>
      <x:c r="U153" s="177" t="str">
        <x:f t="shared" si="64"/>
      </x:c>
      <x:c r="V153" s="178" t="str">
        <x:f t="shared" si="65"/>
      </x:c>
      <x:c r="W153" s="122"/>
      <x:c r="X153" s="177" t="str">
        <x:f t="shared" si="66"/>
      </x:c>
      <x:c r="Y153" s="122"/>
      <x:c r="Z153" s="177" t="str">
        <x:f t="shared" si="67"/>
      </x:c>
      <x:c r="AA153" s="178" t="str">
        <x:f t="shared" si="68"/>
      </x:c>
      <x:c r="AB153" s="122"/>
      <x:c r="AC153" s="177" t="str">
        <x:f t="shared" si="69"/>
      </x:c>
      <x:c r="AD153" s="122"/>
      <x:c r="AE153" s="177" t="str">
        <x:f t="shared" si="70"/>
      </x:c>
      <x:c r="AF153" s="178" t="str">
        <x:f t="shared" si="71"/>
      </x:c>
      <x:c r="AG153" s="122"/>
      <x:c r="AH153" s="177" t="str">
        <x:f t="shared" si="72"/>
      </x:c>
      <x:c r="AI153" s="122"/>
      <x:c r="AJ153" s="177" t="str">
        <x:f t="shared" si="73"/>
      </x:c>
      <x:c r="AK153" s="178" t="str">
        <x:f t="shared" si="74"/>
      </x:c>
      <x:c r="AL153" s="122"/>
      <x:c r="AM153" s="177" t="str">
        <x:f t="shared" si="75"/>
      </x:c>
      <x:c r="AN153" s="122"/>
      <x:c r="AO153" s="177" t="str">
        <x:f t="shared" si="76"/>
      </x:c>
      <x:c r="AP153" s="178" t="str">
        <x:f t="shared" si="77"/>
      </x:c>
      <x:c r="AQ153" s="122"/>
      <x:c r="AR153" s="177" t="str">
        <x:f t="shared" si="78"/>
      </x:c>
      <x:c r="AS153" s="122"/>
      <x:c r="AT153" s="177" t="str">
        <x:f t="shared" si="79"/>
      </x:c>
      <x:c r="AU153" s="178" t="str">
        <x:f t="shared" si="80"/>
      </x:c>
      <x:c r="AV153" s="122"/>
      <x:c r="AW153" s="177" t="str">
        <x:f t="shared" si="81"/>
      </x:c>
      <x:c r="AX153" s="122"/>
      <x:c r="AY153" s="177" t="str">
        <x:f t="shared" si="82"/>
      </x:c>
      <x:c r="AZ153" s="178" t="str">
        <x:f t="shared" si="83"/>
      </x:c>
      <x:c r="BA153" s="122"/>
      <x:c r="BB153" s="177" t="str">
        <x:f t="shared" si="84"/>
      </x:c>
      <x:c r="BC153" s="122"/>
      <x:c r="BD153" s="177" t="str">
        <x:f t="shared" si="85"/>
      </x:c>
      <x:c r="BE153" s="178" t="str">
        <x:f t="shared" si="86"/>
      </x:c>
      <x:c r="BF153" s="122"/>
      <x:c r="BG153" s="177" t="str">
        <x:f t="shared" si="87"/>
      </x:c>
      <x:c r="BH153" s="122"/>
      <x:c r="BI153" s="177" t="str">
        <x:f t="shared" si="88"/>
      </x:c>
      <x:c r="BJ153" s="178" t="str">
        <x:f t="shared" si="89"/>
      </x:c>
    </x:row>
    <x:row r="154" ht="19.5" hidden="1" customHeight="1">
      <x:c r="A154" s="169"/>
      <x:c r="B154" s="170"/>
      <x:c r="C154" s="171"/>
      <x:c r="D154" s="172"/>
      <x:c r="E154" s="171"/>
      <x:c r="F154" s="173"/>
      <x:c r="G154" s="174"/>
      <x:c r="H154" s="175"/>
      <x:c r="I154" s="174"/>
      <x:c r="J154" s="176"/>
      <x:c r="K154" s="233"/>
      <x:c r="L154" s="233"/>
      <x:c r="M154" s="122"/>
      <x:c r="N154" s="177" t="str">
        <x:f t="shared" si="60"/>
      </x:c>
      <x:c r="O154" s="122"/>
      <x:c r="P154" s="177" t="str">
        <x:f t="shared" si="61"/>
      </x:c>
      <x:c r="Q154" s="178" t="str">
        <x:f t="shared" si="62"/>
      </x:c>
      <x:c r="R154" s="122"/>
      <x:c r="S154" s="177" t="str">
        <x:f t="shared" si="63"/>
      </x:c>
      <x:c r="T154" s="122"/>
      <x:c r="U154" s="177" t="str">
        <x:f t="shared" si="64"/>
      </x:c>
      <x:c r="V154" s="178" t="str">
        <x:f t="shared" si="65"/>
      </x:c>
      <x:c r="W154" s="122"/>
      <x:c r="X154" s="177" t="str">
        <x:f t="shared" si="66"/>
      </x:c>
      <x:c r="Y154" s="122"/>
      <x:c r="Z154" s="177" t="str">
        <x:f t="shared" si="67"/>
      </x:c>
      <x:c r="AA154" s="178" t="str">
        <x:f t="shared" si="68"/>
      </x:c>
      <x:c r="AB154" s="122"/>
      <x:c r="AC154" s="177" t="str">
        <x:f t="shared" si="69"/>
      </x:c>
      <x:c r="AD154" s="122"/>
      <x:c r="AE154" s="177" t="str">
        <x:f t="shared" si="70"/>
      </x:c>
      <x:c r="AF154" s="178" t="str">
        <x:f t="shared" si="71"/>
      </x:c>
      <x:c r="AG154" s="122"/>
      <x:c r="AH154" s="177" t="str">
        <x:f t="shared" si="72"/>
      </x:c>
      <x:c r="AI154" s="122"/>
      <x:c r="AJ154" s="177" t="str">
        <x:f t="shared" si="73"/>
      </x:c>
      <x:c r="AK154" s="178" t="str">
        <x:f t="shared" si="74"/>
      </x:c>
      <x:c r="AL154" s="122"/>
      <x:c r="AM154" s="177" t="str">
        <x:f t="shared" si="75"/>
      </x:c>
      <x:c r="AN154" s="122"/>
      <x:c r="AO154" s="177" t="str">
        <x:f t="shared" si="76"/>
      </x:c>
      <x:c r="AP154" s="178" t="str">
        <x:f t="shared" si="77"/>
      </x:c>
      <x:c r="AQ154" s="122"/>
      <x:c r="AR154" s="177" t="str">
        <x:f t="shared" si="78"/>
      </x:c>
      <x:c r="AS154" s="122"/>
      <x:c r="AT154" s="177" t="str">
        <x:f t="shared" si="79"/>
      </x:c>
      <x:c r="AU154" s="178" t="str">
        <x:f t="shared" si="80"/>
      </x:c>
      <x:c r="AV154" s="122"/>
      <x:c r="AW154" s="177" t="str">
        <x:f t="shared" si="81"/>
      </x:c>
      <x:c r="AX154" s="122"/>
      <x:c r="AY154" s="177" t="str">
        <x:f t="shared" si="82"/>
      </x:c>
      <x:c r="AZ154" s="178" t="str">
        <x:f t="shared" si="83"/>
      </x:c>
      <x:c r="BA154" s="122"/>
      <x:c r="BB154" s="177" t="str">
        <x:f t="shared" si="84"/>
      </x:c>
      <x:c r="BC154" s="122"/>
      <x:c r="BD154" s="177" t="str">
        <x:f t="shared" si="85"/>
      </x:c>
      <x:c r="BE154" s="178" t="str">
        <x:f t="shared" si="86"/>
      </x:c>
      <x:c r="BF154" s="122"/>
      <x:c r="BG154" s="177" t="str">
        <x:f t="shared" si="87"/>
      </x:c>
      <x:c r="BH154" s="122"/>
      <x:c r="BI154" s="177" t="str">
        <x:f t="shared" si="88"/>
      </x:c>
      <x:c r="BJ154" s="178" t="str">
        <x:f t="shared" si="89"/>
      </x:c>
    </x:row>
    <x:row r="155" ht="19.5" hidden="1" customHeight="1">
      <x:c r="A155" s="160"/>
      <x:c r="B155" s="179"/>
      <x:c r="C155" s="171"/>
      <x:c r="D155" s="172"/>
      <x:c r="E155" s="171"/>
      <x:c r="F155" s="173"/>
      <x:c r="G155" s="174"/>
      <x:c r="H155" s="175"/>
      <x:c r="I155" s="174"/>
      <x:c r="J155" s="176"/>
      <x:c r="K155" s="233"/>
      <x:c r="L155" s="233"/>
      <x:c r="M155" s="122"/>
      <x:c r="N155" s="177" t="str">
        <x:f t="shared" si="60"/>
      </x:c>
      <x:c r="O155" s="122"/>
      <x:c r="P155" s="177" t="str">
        <x:f t="shared" si="61"/>
      </x:c>
      <x:c r="Q155" s="178" t="str">
        <x:f t="shared" si="62"/>
      </x:c>
      <x:c r="R155" s="122"/>
      <x:c r="S155" s="177" t="str">
        <x:f t="shared" si="63"/>
      </x:c>
      <x:c r="T155" s="122"/>
      <x:c r="U155" s="177" t="str">
        <x:f t="shared" si="64"/>
      </x:c>
      <x:c r="V155" s="178" t="str">
        <x:f t="shared" si="65"/>
      </x:c>
      <x:c r="W155" s="122"/>
      <x:c r="X155" s="177" t="str">
        <x:f t="shared" si="66"/>
      </x:c>
      <x:c r="Y155" s="122"/>
      <x:c r="Z155" s="177" t="str">
        <x:f t="shared" si="67"/>
      </x:c>
      <x:c r="AA155" s="178" t="str">
        <x:f t="shared" si="68"/>
      </x:c>
      <x:c r="AB155" s="122"/>
      <x:c r="AC155" s="177" t="str">
        <x:f t="shared" si="69"/>
      </x:c>
      <x:c r="AD155" s="122"/>
      <x:c r="AE155" s="177" t="str">
        <x:f t="shared" si="70"/>
      </x:c>
      <x:c r="AF155" s="178" t="str">
        <x:f t="shared" si="71"/>
      </x:c>
      <x:c r="AG155" s="122"/>
      <x:c r="AH155" s="177" t="str">
        <x:f t="shared" si="72"/>
      </x:c>
      <x:c r="AI155" s="122"/>
      <x:c r="AJ155" s="177" t="str">
        <x:f t="shared" si="73"/>
      </x:c>
      <x:c r="AK155" s="178" t="str">
        <x:f t="shared" si="74"/>
      </x:c>
      <x:c r="AL155" s="122"/>
      <x:c r="AM155" s="177" t="str">
        <x:f t="shared" si="75"/>
      </x:c>
      <x:c r="AN155" s="122"/>
      <x:c r="AO155" s="177" t="str">
        <x:f t="shared" si="76"/>
      </x:c>
      <x:c r="AP155" s="178" t="str">
        <x:f t="shared" si="77"/>
      </x:c>
      <x:c r="AQ155" s="122"/>
      <x:c r="AR155" s="177" t="str">
        <x:f t="shared" si="78"/>
      </x:c>
      <x:c r="AS155" s="122"/>
      <x:c r="AT155" s="177" t="str">
        <x:f t="shared" si="79"/>
      </x:c>
      <x:c r="AU155" s="178" t="str">
        <x:f t="shared" si="80"/>
      </x:c>
      <x:c r="AV155" s="122"/>
      <x:c r="AW155" s="177" t="str">
        <x:f t="shared" si="81"/>
      </x:c>
      <x:c r="AX155" s="122"/>
      <x:c r="AY155" s="177" t="str">
        <x:f t="shared" si="82"/>
      </x:c>
      <x:c r="AZ155" s="178" t="str">
        <x:f t="shared" si="83"/>
      </x:c>
      <x:c r="BA155" s="122"/>
      <x:c r="BB155" s="177" t="str">
        <x:f t="shared" si="84"/>
      </x:c>
      <x:c r="BC155" s="122"/>
      <x:c r="BD155" s="177" t="str">
        <x:f t="shared" si="85"/>
      </x:c>
      <x:c r="BE155" s="178" t="str">
        <x:f t="shared" si="86"/>
      </x:c>
      <x:c r="BF155" s="122"/>
      <x:c r="BG155" s="177" t="str">
        <x:f t="shared" si="87"/>
      </x:c>
      <x:c r="BH155" s="122"/>
      <x:c r="BI155" s="177" t="str">
        <x:f t="shared" si="88"/>
      </x:c>
      <x:c r="BJ155" s="178" t="str">
        <x:f t="shared" si="89"/>
      </x:c>
    </x:row>
    <x:row r="156" ht="19.5" hidden="1" customHeight="1">
      <x:c r="A156" s="169"/>
      <x:c r="B156" s="170"/>
      <x:c r="C156" s="171"/>
      <x:c r="D156" s="172"/>
      <x:c r="E156" s="171"/>
      <x:c r="F156" s="173"/>
      <x:c r="G156" s="174"/>
      <x:c r="H156" s="175"/>
      <x:c r="I156" s="174"/>
      <x:c r="J156" s="176"/>
      <x:c r="K156" s="233"/>
      <x:c r="L156" s="233"/>
      <x:c r="M156" s="122"/>
      <x:c r="N156" s="177" t="str">
        <x:f t="shared" si="60"/>
      </x:c>
      <x:c r="O156" s="122"/>
      <x:c r="P156" s="177" t="str">
        <x:f t="shared" si="61"/>
      </x:c>
      <x:c r="Q156" s="178" t="str">
        <x:f t="shared" si="62"/>
      </x:c>
      <x:c r="R156" s="122"/>
      <x:c r="S156" s="177" t="str">
        <x:f t="shared" si="63"/>
      </x:c>
      <x:c r="T156" s="122"/>
      <x:c r="U156" s="177" t="str">
        <x:f t="shared" si="64"/>
      </x:c>
      <x:c r="V156" s="178" t="str">
        <x:f t="shared" si="65"/>
      </x:c>
      <x:c r="W156" s="122"/>
      <x:c r="X156" s="177" t="str">
        <x:f t="shared" si="66"/>
      </x:c>
      <x:c r="Y156" s="122"/>
      <x:c r="Z156" s="177" t="str">
        <x:f t="shared" si="67"/>
      </x:c>
      <x:c r="AA156" s="178" t="str">
        <x:f t="shared" si="68"/>
      </x:c>
      <x:c r="AB156" s="122"/>
      <x:c r="AC156" s="177" t="str">
        <x:f t="shared" si="69"/>
      </x:c>
      <x:c r="AD156" s="122"/>
      <x:c r="AE156" s="177" t="str">
        <x:f t="shared" si="70"/>
      </x:c>
      <x:c r="AF156" s="178" t="str">
        <x:f t="shared" si="71"/>
      </x:c>
      <x:c r="AG156" s="122"/>
      <x:c r="AH156" s="177" t="str">
        <x:f t="shared" si="72"/>
      </x:c>
      <x:c r="AI156" s="122"/>
      <x:c r="AJ156" s="177" t="str">
        <x:f t="shared" si="73"/>
      </x:c>
      <x:c r="AK156" s="178" t="str">
        <x:f t="shared" si="74"/>
      </x:c>
      <x:c r="AL156" s="122"/>
      <x:c r="AM156" s="177" t="str">
        <x:f t="shared" si="75"/>
      </x:c>
      <x:c r="AN156" s="122"/>
      <x:c r="AO156" s="177" t="str">
        <x:f t="shared" si="76"/>
      </x:c>
      <x:c r="AP156" s="178" t="str">
        <x:f t="shared" si="77"/>
      </x:c>
      <x:c r="AQ156" s="122"/>
      <x:c r="AR156" s="177" t="str">
        <x:f t="shared" si="78"/>
      </x:c>
      <x:c r="AS156" s="122"/>
      <x:c r="AT156" s="177" t="str">
        <x:f t="shared" si="79"/>
      </x:c>
      <x:c r="AU156" s="178" t="str">
        <x:f t="shared" si="80"/>
      </x:c>
      <x:c r="AV156" s="122"/>
      <x:c r="AW156" s="177" t="str">
        <x:f t="shared" si="81"/>
      </x:c>
      <x:c r="AX156" s="122"/>
      <x:c r="AY156" s="177" t="str">
        <x:f t="shared" si="82"/>
      </x:c>
      <x:c r="AZ156" s="178" t="str">
        <x:f t="shared" si="83"/>
      </x:c>
      <x:c r="BA156" s="122"/>
      <x:c r="BB156" s="177" t="str">
        <x:f t="shared" si="84"/>
      </x:c>
      <x:c r="BC156" s="122"/>
      <x:c r="BD156" s="177" t="str">
        <x:f t="shared" si="85"/>
      </x:c>
      <x:c r="BE156" s="178" t="str">
        <x:f t="shared" si="86"/>
      </x:c>
      <x:c r="BF156" s="122"/>
      <x:c r="BG156" s="177" t="str">
        <x:f t="shared" si="87"/>
      </x:c>
      <x:c r="BH156" s="122"/>
      <x:c r="BI156" s="177" t="str">
        <x:f t="shared" si="88"/>
      </x:c>
      <x:c r="BJ156" s="178" t="str">
        <x:f t="shared" si="89"/>
      </x:c>
    </x:row>
    <x:row r="157" ht="19.5" hidden="1" customHeight="1">
      <x:c r="A157" s="160"/>
      <x:c r="B157" s="179"/>
      <x:c r="C157" s="171"/>
      <x:c r="D157" s="172"/>
      <x:c r="E157" s="171"/>
      <x:c r="F157" s="173"/>
      <x:c r="G157" s="174"/>
      <x:c r="H157" s="175"/>
      <x:c r="I157" s="174"/>
      <x:c r="J157" s="176"/>
      <x:c r="K157" s="233"/>
      <x:c r="L157" s="233"/>
      <x:c r="M157" s="122"/>
      <x:c r="N157" s="177" t="str">
        <x:f t="shared" si="60"/>
      </x:c>
      <x:c r="O157" s="122"/>
      <x:c r="P157" s="177" t="str">
        <x:f t="shared" si="61"/>
      </x:c>
      <x:c r="Q157" s="178" t="str">
        <x:f t="shared" si="62"/>
      </x:c>
      <x:c r="R157" s="122"/>
      <x:c r="S157" s="177" t="str">
        <x:f t="shared" si="63"/>
      </x:c>
      <x:c r="T157" s="122"/>
      <x:c r="U157" s="177" t="str">
        <x:f t="shared" si="64"/>
      </x:c>
      <x:c r="V157" s="178" t="str">
        <x:f t="shared" si="65"/>
      </x:c>
      <x:c r="W157" s="122"/>
      <x:c r="X157" s="177" t="str">
        <x:f t="shared" si="66"/>
      </x:c>
      <x:c r="Y157" s="122"/>
      <x:c r="Z157" s="177" t="str">
        <x:f t="shared" si="67"/>
      </x:c>
      <x:c r="AA157" s="178" t="str">
        <x:f t="shared" si="68"/>
      </x:c>
      <x:c r="AB157" s="122"/>
      <x:c r="AC157" s="177" t="str">
        <x:f t="shared" si="69"/>
      </x:c>
      <x:c r="AD157" s="122"/>
      <x:c r="AE157" s="177" t="str">
        <x:f t="shared" si="70"/>
      </x:c>
      <x:c r="AF157" s="178" t="str">
        <x:f t="shared" si="71"/>
      </x:c>
      <x:c r="AG157" s="122"/>
      <x:c r="AH157" s="177" t="str">
        <x:f t="shared" si="72"/>
      </x:c>
      <x:c r="AI157" s="122"/>
      <x:c r="AJ157" s="177" t="str">
        <x:f t="shared" si="73"/>
      </x:c>
      <x:c r="AK157" s="178" t="str">
        <x:f t="shared" si="74"/>
      </x:c>
      <x:c r="AL157" s="122"/>
      <x:c r="AM157" s="177" t="str">
        <x:f t="shared" si="75"/>
      </x:c>
      <x:c r="AN157" s="122"/>
      <x:c r="AO157" s="177" t="str">
        <x:f t="shared" si="76"/>
      </x:c>
      <x:c r="AP157" s="178" t="str">
        <x:f t="shared" si="77"/>
      </x:c>
      <x:c r="AQ157" s="122"/>
      <x:c r="AR157" s="177" t="str">
        <x:f t="shared" si="78"/>
      </x:c>
      <x:c r="AS157" s="122"/>
      <x:c r="AT157" s="177" t="str">
        <x:f t="shared" si="79"/>
      </x:c>
      <x:c r="AU157" s="178" t="str">
        <x:f t="shared" si="80"/>
      </x:c>
      <x:c r="AV157" s="122"/>
      <x:c r="AW157" s="177" t="str">
        <x:f t="shared" si="81"/>
      </x:c>
      <x:c r="AX157" s="122"/>
      <x:c r="AY157" s="177" t="str">
        <x:f t="shared" si="82"/>
      </x:c>
      <x:c r="AZ157" s="178" t="str">
        <x:f t="shared" si="83"/>
      </x:c>
      <x:c r="BA157" s="122"/>
      <x:c r="BB157" s="177" t="str">
        <x:f t="shared" si="84"/>
      </x:c>
      <x:c r="BC157" s="122"/>
      <x:c r="BD157" s="177" t="str">
        <x:f t="shared" si="85"/>
      </x:c>
      <x:c r="BE157" s="178" t="str">
        <x:f t="shared" si="86"/>
      </x:c>
      <x:c r="BF157" s="122"/>
      <x:c r="BG157" s="177" t="str">
        <x:f t="shared" si="87"/>
      </x:c>
      <x:c r="BH157" s="122"/>
      <x:c r="BI157" s="177" t="str">
        <x:f t="shared" si="88"/>
      </x:c>
      <x:c r="BJ157" s="178" t="str">
        <x:f t="shared" si="89"/>
      </x:c>
    </x:row>
    <x:row r="158" ht="19.5" hidden="1" customHeight="1">
      <x:c r="A158" s="169"/>
      <x:c r="B158" s="170"/>
      <x:c r="C158" s="171"/>
      <x:c r="D158" s="172"/>
      <x:c r="E158" s="171"/>
      <x:c r="F158" s="173"/>
      <x:c r="G158" s="174"/>
      <x:c r="H158" s="175"/>
      <x:c r="I158" s="174"/>
      <x:c r="J158" s="176"/>
      <x:c r="K158" s="233"/>
      <x:c r="L158" s="233"/>
      <x:c r="M158" s="122"/>
      <x:c r="N158" s="177" t="str">
        <x:f t="shared" si="60"/>
      </x:c>
      <x:c r="O158" s="122"/>
      <x:c r="P158" s="177" t="str">
        <x:f t="shared" si="61"/>
      </x:c>
      <x:c r="Q158" s="178" t="str">
        <x:f t="shared" si="62"/>
      </x:c>
      <x:c r="R158" s="122"/>
      <x:c r="S158" s="177" t="str">
        <x:f t="shared" si="63"/>
      </x:c>
      <x:c r="T158" s="122"/>
      <x:c r="U158" s="177" t="str">
        <x:f t="shared" si="64"/>
      </x:c>
      <x:c r="V158" s="178" t="str">
        <x:f t="shared" si="65"/>
      </x:c>
      <x:c r="W158" s="122"/>
      <x:c r="X158" s="177" t="str">
        <x:f t="shared" si="66"/>
      </x:c>
      <x:c r="Y158" s="122"/>
      <x:c r="Z158" s="177" t="str">
        <x:f t="shared" si="67"/>
      </x:c>
      <x:c r="AA158" s="178" t="str">
        <x:f t="shared" si="68"/>
      </x:c>
      <x:c r="AB158" s="122"/>
      <x:c r="AC158" s="177" t="str">
        <x:f t="shared" si="69"/>
      </x:c>
      <x:c r="AD158" s="122"/>
      <x:c r="AE158" s="177" t="str">
        <x:f t="shared" si="70"/>
      </x:c>
      <x:c r="AF158" s="178" t="str">
        <x:f t="shared" si="71"/>
      </x:c>
      <x:c r="AG158" s="122"/>
      <x:c r="AH158" s="177" t="str">
        <x:f t="shared" si="72"/>
      </x:c>
      <x:c r="AI158" s="122"/>
      <x:c r="AJ158" s="177" t="str">
        <x:f t="shared" si="73"/>
      </x:c>
      <x:c r="AK158" s="178" t="str">
        <x:f t="shared" si="74"/>
      </x:c>
      <x:c r="AL158" s="122"/>
      <x:c r="AM158" s="177" t="str">
        <x:f t="shared" si="75"/>
      </x:c>
      <x:c r="AN158" s="122"/>
      <x:c r="AO158" s="177" t="str">
        <x:f t="shared" si="76"/>
      </x:c>
      <x:c r="AP158" s="178" t="str">
        <x:f t="shared" si="77"/>
      </x:c>
      <x:c r="AQ158" s="122"/>
      <x:c r="AR158" s="177" t="str">
        <x:f t="shared" si="78"/>
      </x:c>
      <x:c r="AS158" s="122"/>
      <x:c r="AT158" s="177" t="str">
        <x:f t="shared" si="79"/>
      </x:c>
      <x:c r="AU158" s="178" t="str">
        <x:f t="shared" si="80"/>
      </x:c>
      <x:c r="AV158" s="122"/>
      <x:c r="AW158" s="177" t="str">
        <x:f t="shared" si="81"/>
      </x:c>
      <x:c r="AX158" s="122"/>
      <x:c r="AY158" s="177" t="str">
        <x:f t="shared" si="82"/>
      </x:c>
      <x:c r="AZ158" s="178" t="str">
        <x:f t="shared" si="83"/>
      </x:c>
      <x:c r="BA158" s="122"/>
      <x:c r="BB158" s="177" t="str">
        <x:f t="shared" si="84"/>
      </x:c>
      <x:c r="BC158" s="122"/>
      <x:c r="BD158" s="177" t="str">
        <x:f t="shared" si="85"/>
      </x:c>
      <x:c r="BE158" s="178" t="str">
        <x:f t="shared" si="86"/>
      </x:c>
      <x:c r="BF158" s="122"/>
      <x:c r="BG158" s="177" t="str">
        <x:f t="shared" si="87"/>
      </x:c>
      <x:c r="BH158" s="122"/>
      <x:c r="BI158" s="177" t="str">
        <x:f t="shared" si="88"/>
      </x:c>
      <x:c r="BJ158" s="178" t="str">
        <x:f t="shared" si="89"/>
      </x:c>
    </x:row>
    <x:row r="159" ht="19.5" hidden="1" customHeight="1">
      <x:c r="A159" s="160"/>
      <x:c r="B159" s="179"/>
      <x:c r="C159" s="171"/>
      <x:c r="D159" s="172"/>
      <x:c r="E159" s="171"/>
      <x:c r="F159" s="173"/>
      <x:c r="G159" s="174"/>
      <x:c r="H159" s="175"/>
      <x:c r="I159" s="174"/>
      <x:c r="J159" s="176"/>
      <x:c r="K159" s="233"/>
      <x:c r="L159" s="233"/>
      <x:c r="M159" s="122"/>
      <x:c r="N159" s="177" t="str">
        <x:f t="shared" si="60"/>
      </x:c>
      <x:c r="O159" s="122"/>
      <x:c r="P159" s="177" t="str">
        <x:f t="shared" si="61"/>
      </x:c>
      <x:c r="Q159" s="178" t="str">
        <x:f t="shared" si="62"/>
      </x:c>
      <x:c r="R159" s="122"/>
      <x:c r="S159" s="177" t="str">
        <x:f t="shared" si="63"/>
      </x:c>
      <x:c r="T159" s="122"/>
      <x:c r="U159" s="177" t="str">
        <x:f t="shared" si="64"/>
      </x:c>
      <x:c r="V159" s="178" t="str">
        <x:f t="shared" si="65"/>
      </x:c>
      <x:c r="W159" s="122"/>
      <x:c r="X159" s="177" t="str">
        <x:f t="shared" si="66"/>
      </x:c>
      <x:c r="Y159" s="122"/>
      <x:c r="Z159" s="177" t="str">
        <x:f t="shared" si="67"/>
      </x:c>
      <x:c r="AA159" s="178" t="str">
        <x:f t="shared" si="68"/>
      </x:c>
      <x:c r="AB159" s="122"/>
      <x:c r="AC159" s="177" t="str">
        <x:f t="shared" si="69"/>
      </x:c>
      <x:c r="AD159" s="122"/>
      <x:c r="AE159" s="177" t="str">
        <x:f t="shared" si="70"/>
      </x:c>
      <x:c r="AF159" s="178" t="str">
        <x:f t="shared" si="71"/>
      </x:c>
      <x:c r="AG159" s="122"/>
      <x:c r="AH159" s="177" t="str">
        <x:f t="shared" si="72"/>
      </x:c>
      <x:c r="AI159" s="122"/>
      <x:c r="AJ159" s="177" t="str">
        <x:f t="shared" si="73"/>
      </x:c>
      <x:c r="AK159" s="178" t="str">
        <x:f t="shared" si="74"/>
      </x:c>
      <x:c r="AL159" s="122"/>
      <x:c r="AM159" s="177" t="str">
        <x:f t="shared" si="75"/>
      </x:c>
      <x:c r="AN159" s="122"/>
      <x:c r="AO159" s="177" t="str">
        <x:f t="shared" si="76"/>
      </x:c>
      <x:c r="AP159" s="178" t="str">
        <x:f t="shared" si="77"/>
      </x:c>
      <x:c r="AQ159" s="122"/>
      <x:c r="AR159" s="177" t="str">
        <x:f t="shared" si="78"/>
      </x:c>
      <x:c r="AS159" s="122"/>
      <x:c r="AT159" s="177" t="str">
        <x:f t="shared" si="79"/>
      </x:c>
      <x:c r="AU159" s="178" t="str">
        <x:f t="shared" si="80"/>
      </x:c>
      <x:c r="AV159" s="122"/>
      <x:c r="AW159" s="177" t="str">
        <x:f t="shared" si="81"/>
      </x:c>
      <x:c r="AX159" s="122"/>
      <x:c r="AY159" s="177" t="str">
        <x:f t="shared" si="82"/>
      </x:c>
      <x:c r="AZ159" s="178" t="str">
        <x:f t="shared" si="83"/>
      </x:c>
      <x:c r="BA159" s="122"/>
      <x:c r="BB159" s="177" t="str">
        <x:f t="shared" si="84"/>
      </x:c>
      <x:c r="BC159" s="122"/>
      <x:c r="BD159" s="177" t="str">
        <x:f t="shared" si="85"/>
      </x:c>
      <x:c r="BE159" s="178" t="str">
        <x:f t="shared" si="86"/>
      </x:c>
      <x:c r="BF159" s="122"/>
      <x:c r="BG159" s="177" t="str">
        <x:f t="shared" si="87"/>
      </x:c>
      <x:c r="BH159" s="122"/>
      <x:c r="BI159" s="177" t="str">
        <x:f t="shared" si="88"/>
      </x:c>
      <x:c r="BJ159" s="178" t="str">
        <x:f t="shared" si="89"/>
      </x:c>
    </x:row>
    <x:row r="160" ht="19.5" hidden="1" customHeight="1">
      <x:c r="A160" s="169"/>
      <x:c r="B160" s="170"/>
      <x:c r="C160" s="171"/>
      <x:c r="D160" s="172"/>
      <x:c r="E160" s="171"/>
      <x:c r="F160" s="173"/>
      <x:c r="G160" s="174"/>
      <x:c r="H160" s="175"/>
      <x:c r="I160" s="174"/>
      <x:c r="J160" s="176"/>
      <x:c r="K160" s="233"/>
      <x:c r="L160" s="233"/>
      <x:c r="M160" s="122"/>
      <x:c r="N160" s="177" t="str">
        <x:f t="shared" si="60"/>
      </x:c>
      <x:c r="O160" s="122"/>
      <x:c r="P160" s="177" t="str">
        <x:f t="shared" si="61"/>
      </x:c>
      <x:c r="Q160" s="178" t="str">
        <x:f t="shared" si="62"/>
      </x:c>
      <x:c r="R160" s="122"/>
      <x:c r="S160" s="177" t="str">
        <x:f t="shared" si="63"/>
      </x:c>
      <x:c r="T160" s="122"/>
      <x:c r="U160" s="177" t="str">
        <x:f t="shared" si="64"/>
      </x:c>
      <x:c r="V160" s="178" t="str">
        <x:f t="shared" si="65"/>
      </x:c>
      <x:c r="W160" s="122"/>
      <x:c r="X160" s="177" t="str">
        <x:f t="shared" si="66"/>
      </x:c>
      <x:c r="Y160" s="122"/>
      <x:c r="Z160" s="177" t="str">
        <x:f t="shared" si="67"/>
      </x:c>
      <x:c r="AA160" s="178" t="str">
        <x:f t="shared" si="68"/>
      </x:c>
      <x:c r="AB160" s="122"/>
      <x:c r="AC160" s="177" t="str">
        <x:f t="shared" si="69"/>
      </x:c>
      <x:c r="AD160" s="122"/>
      <x:c r="AE160" s="177" t="str">
        <x:f t="shared" si="70"/>
      </x:c>
      <x:c r="AF160" s="178" t="str">
        <x:f t="shared" si="71"/>
      </x:c>
      <x:c r="AG160" s="122"/>
      <x:c r="AH160" s="177" t="str">
        <x:f t="shared" si="72"/>
      </x:c>
      <x:c r="AI160" s="122"/>
      <x:c r="AJ160" s="177" t="str">
        <x:f t="shared" si="73"/>
      </x:c>
      <x:c r="AK160" s="178" t="str">
        <x:f t="shared" si="74"/>
      </x:c>
      <x:c r="AL160" s="122"/>
      <x:c r="AM160" s="177" t="str">
        <x:f t="shared" si="75"/>
      </x:c>
      <x:c r="AN160" s="122"/>
      <x:c r="AO160" s="177" t="str">
        <x:f t="shared" si="76"/>
      </x:c>
      <x:c r="AP160" s="178" t="str">
        <x:f t="shared" si="77"/>
      </x:c>
      <x:c r="AQ160" s="122"/>
      <x:c r="AR160" s="177" t="str">
        <x:f t="shared" si="78"/>
      </x:c>
      <x:c r="AS160" s="122"/>
      <x:c r="AT160" s="177" t="str">
        <x:f t="shared" si="79"/>
      </x:c>
      <x:c r="AU160" s="178" t="str">
        <x:f t="shared" si="80"/>
      </x:c>
      <x:c r="AV160" s="122"/>
      <x:c r="AW160" s="177" t="str">
        <x:f t="shared" si="81"/>
      </x:c>
      <x:c r="AX160" s="122"/>
      <x:c r="AY160" s="177" t="str">
        <x:f t="shared" si="82"/>
      </x:c>
      <x:c r="AZ160" s="178" t="str">
        <x:f t="shared" si="83"/>
      </x:c>
      <x:c r="BA160" s="122"/>
      <x:c r="BB160" s="177" t="str">
        <x:f t="shared" si="84"/>
      </x:c>
      <x:c r="BC160" s="122"/>
      <x:c r="BD160" s="177" t="str">
        <x:f t="shared" si="85"/>
      </x:c>
      <x:c r="BE160" s="178" t="str">
        <x:f t="shared" si="86"/>
      </x:c>
      <x:c r="BF160" s="122"/>
      <x:c r="BG160" s="177" t="str">
        <x:f t="shared" si="87"/>
      </x:c>
      <x:c r="BH160" s="122"/>
      <x:c r="BI160" s="177" t="str">
        <x:f t="shared" si="88"/>
      </x:c>
      <x:c r="BJ160" s="178" t="str">
        <x:f t="shared" si="89"/>
      </x:c>
    </x:row>
    <x:row r="161" ht="19.5" hidden="1" customHeight="1">
      <x:c r="A161" s="160"/>
      <x:c r="B161" s="179"/>
      <x:c r="C161" s="171"/>
      <x:c r="D161" s="172"/>
      <x:c r="E161" s="171"/>
      <x:c r="F161" s="173"/>
      <x:c r="G161" s="174"/>
      <x:c r="H161" s="175"/>
      <x:c r="I161" s="174"/>
      <x:c r="J161" s="176"/>
      <x:c r="K161" s="233"/>
      <x:c r="L161" s="233"/>
      <x:c r="M161" s="122"/>
      <x:c r="N161" s="177" t="str">
        <x:f t="shared" si="60"/>
      </x:c>
      <x:c r="O161" s="122"/>
      <x:c r="P161" s="177" t="str">
        <x:f t="shared" si="61"/>
      </x:c>
      <x:c r="Q161" s="178" t="str">
        <x:f t="shared" si="62"/>
      </x:c>
      <x:c r="R161" s="122"/>
      <x:c r="S161" s="177" t="str">
        <x:f t="shared" si="63"/>
      </x:c>
      <x:c r="T161" s="122"/>
      <x:c r="U161" s="177" t="str">
        <x:f t="shared" si="64"/>
      </x:c>
      <x:c r="V161" s="178" t="str">
        <x:f t="shared" si="65"/>
      </x:c>
      <x:c r="W161" s="122"/>
      <x:c r="X161" s="177" t="str">
        <x:f t="shared" si="66"/>
      </x:c>
      <x:c r="Y161" s="122"/>
      <x:c r="Z161" s="177" t="str">
        <x:f t="shared" si="67"/>
      </x:c>
      <x:c r="AA161" s="178" t="str">
        <x:f t="shared" si="68"/>
      </x:c>
      <x:c r="AB161" s="122"/>
      <x:c r="AC161" s="177" t="str">
        <x:f t="shared" si="69"/>
      </x:c>
      <x:c r="AD161" s="122"/>
      <x:c r="AE161" s="177" t="str">
        <x:f t="shared" si="70"/>
      </x:c>
      <x:c r="AF161" s="178" t="str">
        <x:f t="shared" si="71"/>
      </x:c>
      <x:c r="AG161" s="122"/>
      <x:c r="AH161" s="177" t="str">
        <x:f t="shared" si="72"/>
      </x:c>
      <x:c r="AI161" s="122"/>
      <x:c r="AJ161" s="177" t="str">
        <x:f t="shared" si="73"/>
      </x:c>
      <x:c r="AK161" s="178" t="str">
        <x:f t="shared" si="74"/>
      </x:c>
      <x:c r="AL161" s="122"/>
      <x:c r="AM161" s="177" t="str">
        <x:f t="shared" si="75"/>
      </x:c>
      <x:c r="AN161" s="122"/>
      <x:c r="AO161" s="177" t="str">
        <x:f t="shared" si="76"/>
      </x:c>
      <x:c r="AP161" s="178" t="str">
        <x:f t="shared" si="77"/>
      </x:c>
      <x:c r="AQ161" s="122"/>
      <x:c r="AR161" s="177" t="str">
        <x:f t="shared" si="78"/>
      </x:c>
      <x:c r="AS161" s="122"/>
      <x:c r="AT161" s="177" t="str">
        <x:f t="shared" si="79"/>
      </x:c>
      <x:c r="AU161" s="178" t="str">
        <x:f t="shared" si="80"/>
      </x:c>
      <x:c r="AV161" s="122"/>
      <x:c r="AW161" s="177" t="str">
        <x:f t="shared" si="81"/>
      </x:c>
      <x:c r="AX161" s="122"/>
      <x:c r="AY161" s="177" t="str">
        <x:f t="shared" si="82"/>
      </x:c>
      <x:c r="AZ161" s="178" t="str">
        <x:f t="shared" si="83"/>
      </x:c>
      <x:c r="BA161" s="122"/>
      <x:c r="BB161" s="177" t="str">
        <x:f t="shared" si="84"/>
      </x:c>
      <x:c r="BC161" s="122"/>
      <x:c r="BD161" s="177" t="str">
        <x:f t="shared" si="85"/>
      </x:c>
      <x:c r="BE161" s="178" t="str">
        <x:f t="shared" si="86"/>
      </x:c>
      <x:c r="BF161" s="122"/>
      <x:c r="BG161" s="177" t="str">
        <x:f t="shared" si="87"/>
      </x:c>
      <x:c r="BH161" s="122"/>
      <x:c r="BI161" s="177" t="str">
        <x:f t="shared" si="88"/>
      </x:c>
      <x:c r="BJ161" s="178" t="str">
        <x:f t="shared" si="89"/>
      </x:c>
    </x:row>
    <x:row r="162" ht="19.5" hidden="1" customHeight="1">
      <x:c r="A162" s="169"/>
      <x:c r="B162" s="170"/>
      <x:c r="C162" s="171"/>
      <x:c r="D162" s="172"/>
      <x:c r="E162" s="171"/>
      <x:c r="F162" s="173"/>
      <x:c r="G162" s="174"/>
      <x:c r="H162" s="175"/>
      <x:c r="I162" s="174"/>
      <x:c r="J162" s="176"/>
      <x:c r="K162" s="233"/>
      <x:c r="L162" s="233"/>
      <x:c r="M162" s="122"/>
      <x:c r="N162" s="177" t="str">
        <x:f t="shared" si="60"/>
      </x:c>
      <x:c r="O162" s="122"/>
      <x:c r="P162" s="177" t="str">
        <x:f t="shared" si="61"/>
      </x:c>
      <x:c r="Q162" s="178" t="str">
        <x:f t="shared" si="62"/>
      </x:c>
      <x:c r="R162" s="122"/>
      <x:c r="S162" s="177" t="str">
        <x:f t="shared" si="63"/>
      </x:c>
      <x:c r="T162" s="122"/>
      <x:c r="U162" s="177" t="str">
        <x:f t="shared" si="64"/>
      </x:c>
      <x:c r="V162" s="178" t="str">
        <x:f t="shared" si="65"/>
      </x:c>
      <x:c r="W162" s="122"/>
      <x:c r="X162" s="177" t="str">
        <x:f t="shared" si="66"/>
      </x:c>
      <x:c r="Y162" s="122"/>
      <x:c r="Z162" s="177" t="str">
        <x:f t="shared" si="67"/>
      </x:c>
      <x:c r="AA162" s="178" t="str">
        <x:f t="shared" si="68"/>
      </x:c>
      <x:c r="AB162" s="122"/>
      <x:c r="AC162" s="177" t="str">
        <x:f t="shared" si="69"/>
      </x:c>
      <x:c r="AD162" s="122"/>
      <x:c r="AE162" s="177" t="str">
        <x:f t="shared" si="70"/>
      </x:c>
      <x:c r="AF162" s="178" t="str">
        <x:f t="shared" si="71"/>
      </x:c>
      <x:c r="AG162" s="122"/>
      <x:c r="AH162" s="177" t="str">
        <x:f t="shared" si="72"/>
      </x:c>
      <x:c r="AI162" s="122"/>
      <x:c r="AJ162" s="177" t="str">
        <x:f t="shared" si="73"/>
      </x:c>
      <x:c r="AK162" s="178" t="str">
        <x:f t="shared" si="74"/>
      </x:c>
      <x:c r="AL162" s="122"/>
      <x:c r="AM162" s="177" t="str">
        <x:f t="shared" si="75"/>
      </x:c>
      <x:c r="AN162" s="122"/>
      <x:c r="AO162" s="177" t="str">
        <x:f t="shared" si="76"/>
      </x:c>
      <x:c r="AP162" s="178" t="str">
        <x:f t="shared" si="77"/>
      </x:c>
      <x:c r="AQ162" s="122"/>
      <x:c r="AR162" s="177" t="str">
        <x:f t="shared" si="78"/>
      </x:c>
      <x:c r="AS162" s="122"/>
      <x:c r="AT162" s="177" t="str">
        <x:f t="shared" si="79"/>
      </x:c>
      <x:c r="AU162" s="178" t="str">
        <x:f t="shared" si="80"/>
      </x:c>
      <x:c r="AV162" s="122"/>
      <x:c r="AW162" s="177" t="str">
        <x:f t="shared" si="81"/>
      </x:c>
      <x:c r="AX162" s="122"/>
      <x:c r="AY162" s="177" t="str">
        <x:f t="shared" si="82"/>
      </x:c>
      <x:c r="AZ162" s="178" t="str">
        <x:f t="shared" si="83"/>
      </x:c>
      <x:c r="BA162" s="122"/>
      <x:c r="BB162" s="177" t="str">
        <x:f t="shared" si="84"/>
      </x:c>
      <x:c r="BC162" s="122"/>
      <x:c r="BD162" s="177" t="str">
        <x:f t="shared" si="85"/>
      </x:c>
      <x:c r="BE162" s="178" t="str">
        <x:f t="shared" si="86"/>
      </x:c>
      <x:c r="BF162" s="122"/>
      <x:c r="BG162" s="177" t="str">
        <x:f t="shared" si="87"/>
      </x:c>
      <x:c r="BH162" s="122"/>
      <x:c r="BI162" s="177" t="str">
        <x:f t="shared" si="88"/>
      </x:c>
      <x:c r="BJ162" s="178" t="str">
        <x:f t="shared" si="89"/>
      </x:c>
    </x:row>
    <x:row r="163" ht="19.5" hidden="1" customHeight="1">
      <x:c r="A163" s="160"/>
      <x:c r="B163" s="179"/>
      <x:c r="C163" s="171"/>
      <x:c r="D163" s="172"/>
      <x:c r="E163" s="171"/>
      <x:c r="F163" s="173"/>
      <x:c r="G163" s="174"/>
      <x:c r="H163" s="175"/>
      <x:c r="I163" s="174"/>
      <x:c r="J163" s="176"/>
      <x:c r="K163" s="233"/>
      <x:c r="L163" s="233"/>
      <x:c r="M163" s="122"/>
      <x:c r="N163" s="177" t="str">
        <x:f t="shared" si="60"/>
      </x:c>
      <x:c r="O163" s="122"/>
      <x:c r="P163" s="177" t="str">
        <x:f t="shared" si="61"/>
      </x:c>
      <x:c r="Q163" s="178" t="str">
        <x:f t="shared" si="62"/>
      </x:c>
      <x:c r="R163" s="122"/>
      <x:c r="S163" s="177" t="str">
        <x:f t="shared" si="63"/>
      </x:c>
      <x:c r="T163" s="122"/>
      <x:c r="U163" s="177" t="str">
        <x:f t="shared" si="64"/>
      </x:c>
      <x:c r="V163" s="178" t="str">
        <x:f t="shared" si="65"/>
      </x:c>
      <x:c r="W163" s="122"/>
      <x:c r="X163" s="177" t="str">
        <x:f t="shared" si="66"/>
      </x:c>
      <x:c r="Y163" s="122"/>
      <x:c r="Z163" s="177" t="str">
        <x:f t="shared" si="67"/>
      </x:c>
      <x:c r="AA163" s="178" t="str">
        <x:f t="shared" si="68"/>
      </x:c>
      <x:c r="AB163" s="122"/>
      <x:c r="AC163" s="177" t="str">
        <x:f t="shared" si="69"/>
      </x:c>
      <x:c r="AD163" s="122"/>
      <x:c r="AE163" s="177" t="str">
        <x:f t="shared" si="70"/>
      </x:c>
      <x:c r="AF163" s="178" t="str">
        <x:f t="shared" si="71"/>
      </x:c>
      <x:c r="AG163" s="122"/>
      <x:c r="AH163" s="177" t="str">
        <x:f t="shared" si="72"/>
      </x:c>
      <x:c r="AI163" s="122"/>
      <x:c r="AJ163" s="177" t="str">
        <x:f t="shared" si="73"/>
      </x:c>
      <x:c r="AK163" s="178" t="str">
        <x:f t="shared" si="74"/>
      </x:c>
      <x:c r="AL163" s="122"/>
      <x:c r="AM163" s="177" t="str">
        <x:f t="shared" si="75"/>
      </x:c>
      <x:c r="AN163" s="122"/>
      <x:c r="AO163" s="177" t="str">
        <x:f t="shared" si="76"/>
      </x:c>
      <x:c r="AP163" s="178" t="str">
        <x:f t="shared" si="77"/>
      </x:c>
      <x:c r="AQ163" s="122"/>
      <x:c r="AR163" s="177" t="str">
        <x:f t="shared" si="78"/>
      </x:c>
      <x:c r="AS163" s="122"/>
      <x:c r="AT163" s="177" t="str">
        <x:f t="shared" si="79"/>
      </x:c>
      <x:c r="AU163" s="178" t="str">
        <x:f t="shared" si="80"/>
      </x:c>
      <x:c r="AV163" s="122"/>
      <x:c r="AW163" s="177" t="str">
        <x:f t="shared" si="81"/>
      </x:c>
      <x:c r="AX163" s="122"/>
      <x:c r="AY163" s="177" t="str">
        <x:f t="shared" si="82"/>
      </x:c>
      <x:c r="AZ163" s="178" t="str">
        <x:f t="shared" si="83"/>
      </x:c>
      <x:c r="BA163" s="122"/>
      <x:c r="BB163" s="177" t="str">
        <x:f t="shared" si="84"/>
      </x:c>
      <x:c r="BC163" s="122"/>
      <x:c r="BD163" s="177" t="str">
        <x:f t="shared" si="85"/>
      </x:c>
      <x:c r="BE163" s="178" t="str">
        <x:f t="shared" si="86"/>
      </x:c>
      <x:c r="BF163" s="122"/>
      <x:c r="BG163" s="177" t="str">
        <x:f t="shared" si="87"/>
      </x:c>
      <x:c r="BH163" s="122"/>
      <x:c r="BI163" s="177" t="str">
        <x:f t="shared" si="88"/>
      </x:c>
      <x:c r="BJ163" s="178" t="str">
        <x:f t="shared" si="89"/>
      </x:c>
    </x:row>
    <x:row r="164" ht="19.5" hidden="1" customHeight="1">
      <x:c r="A164" s="169"/>
      <x:c r="B164" s="170"/>
      <x:c r="C164" s="171"/>
      <x:c r="D164" s="172"/>
      <x:c r="E164" s="171"/>
      <x:c r="F164" s="173"/>
      <x:c r="G164" s="174"/>
      <x:c r="H164" s="175"/>
      <x:c r="I164" s="174"/>
      <x:c r="J164" s="176"/>
      <x:c r="K164" s="233"/>
      <x:c r="L164" s="233"/>
      <x:c r="M164" s="122"/>
      <x:c r="N164" s="177" t="str">
        <x:f t="shared" si="60"/>
      </x:c>
      <x:c r="O164" s="122"/>
      <x:c r="P164" s="177" t="str">
        <x:f t="shared" si="61"/>
      </x:c>
      <x:c r="Q164" s="178" t="str">
        <x:f t="shared" si="62"/>
      </x:c>
      <x:c r="R164" s="122"/>
      <x:c r="S164" s="177" t="str">
        <x:f t="shared" si="63"/>
      </x:c>
      <x:c r="T164" s="122"/>
      <x:c r="U164" s="177" t="str">
        <x:f t="shared" si="64"/>
      </x:c>
      <x:c r="V164" s="178" t="str">
        <x:f t="shared" si="65"/>
      </x:c>
      <x:c r="W164" s="122"/>
      <x:c r="X164" s="177" t="str">
        <x:f t="shared" si="66"/>
      </x:c>
      <x:c r="Y164" s="122"/>
      <x:c r="Z164" s="177" t="str">
        <x:f t="shared" si="67"/>
      </x:c>
      <x:c r="AA164" s="178" t="str">
        <x:f t="shared" si="68"/>
      </x:c>
      <x:c r="AB164" s="122"/>
      <x:c r="AC164" s="177" t="str">
        <x:f t="shared" si="69"/>
      </x:c>
      <x:c r="AD164" s="122"/>
      <x:c r="AE164" s="177" t="str">
        <x:f t="shared" si="70"/>
      </x:c>
      <x:c r="AF164" s="178" t="str">
        <x:f t="shared" si="71"/>
      </x:c>
      <x:c r="AG164" s="122"/>
      <x:c r="AH164" s="177" t="str">
        <x:f t="shared" si="72"/>
      </x:c>
      <x:c r="AI164" s="122"/>
      <x:c r="AJ164" s="177" t="str">
        <x:f t="shared" si="73"/>
      </x:c>
      <x:c r="AK164" s="178" t="str">
        <x:f t="shared" si="74"/>
      </x:c>
      <x:c r="AL164" s="122"/>
      <x:c r="AM164" s="177" t="str">
        <x:f t="shared" si="75"/>
      </x:c>
      <x:c r="AN164" s="122"/>
      <x:c r="AO164" s="177" t="str">
        <x:f t="shared" si="76"/>
      </x:c>
      <x:c r="AP164" s="178" t="str">
        <x:f t="shared" si="77"/>
      </x:c>
      <x:c r="AQ164" s="122"/>
      <x:c r="AR164" s="177" t="str">
        <x:f t="shared" si="78"/>
      </x:c>
      <x:c r="AS164" s="122"/>
      <x:c r="AT164" s="177" t="str">
        <x:f t="shared" si="79"/>
      </x:c>
      <x:c r="AU164" s="178" t="str">
        <x:f t="shared" si="80"/>
      </x:c>
      <x:c r="AV164" s="122"/>
      <x:c r="AW164" s="177" t="str">
        <x:f t="shared" si="81"/>
      </x:c>
      <x:c r="AX164" s="122"/>
      <x:c r="AY164" s="177" t="str">
        <x:f t="shared" si="82"/>
      </x:c>
      <x:c r="AZ164" s="178" t="str">
        <x:f t="shared" si="83"/>
      </x:c>
      <x:c r="BA164" s="122"/>
      <x:c r="BB164" s="177" t="str">
        <x:f t="shared" si="84"/>
      </x:c>
      <x:c r="BC164" s="122"/>
      <x:c r="BD164" s="177" t="str">
        <x:f t="shared" si="85"/>
      </x:c>
      <x:c r="BE164" s="178" t="str">
        <x:f t="shared" si="86"/>
      </x:c>
      <x:c r="BF164" s="122"/>
      <x:c r="BG164" s="177" t="str">
        <x:f t="shared" si="87"/>
      </x:c>
      <x:c r="BH164" s="122"/>
      <x:c r="BI164" s="177" t="str">
        <x:f t="shared" si="88"/>
      </x:c>
      <x:c r="BJ164" s="178" t="str">
        <x:f t="shared" si="89"/>
      </x:c>
    </x:row>
    <x:row r="165" ht="19.5" hidden="1" customHeight="1">
      <x:c r="A165" s="160"/>
      <x:c r="B165" s="179"/>
      <x:c r="C165" s="171"/>
      <x:c r="D165" s="172"/>
      <x:c r="E165" s="171"/>
      <x:c r="F165" s="173"/>
      <x:c r="G165" s="174"/>
      <x:c r="H165" s="175"/>
      <x:c r="I165" s="174"/>
      <x:c r="J165" s="176"/>
      <x:c r="K165" s="233"/>
      <x:c r="L165" s="233"/>
      <x:c r="M165" s="122"/>
      <x:c r="N165" s="177" t="str">
        <x:f t="shared" si="60"/>
      </x:c>
      <x:c r="O165" s="122"/>
      <x:c r="P165" s="177" t="str">
        <x:f t="shared" si="61"/>
      </x:c>
      <x:c r="Q165" s="178" t="str">
        <x:f t="shared" si="62"/>
      </x:c>
      <x:c r="R165" s="122"/>
      <x:c r="S165" s="177" t="str">
        <x:f t="shared" si="63"/>
      </x:c>
      <x:c r="T165" s="122"/>
      <x:c r="U165" s="177" t="str">
        <x:f t="shared" si="64"/>
      </x:c>
      <x:c r="V165" s="178" t="str">
        <x:f t="shared" si="65"/>
      </x:c>
      <x:c r="W165" s="122"/>
      <x:c r="X165" s="177" t="str">
        <x:f t="shared" si="66"/>
      </x:c>
      <x:c r="Y165" s="122"/>
      <x:c r="Z165" s="177" t="str">
        <x:f t="shared" si="67"/>
      </x:c>
      <x:c r="AA165" s="178" t="str">
        <x:f t="shared" si="68"/>
      </x:c>
      <x:c r="AB165" s="122"/>
      <x:c r="AC165" s="177" t="str">
        <x:f t="shared" si="69"/>
      </x:c>
      <x:c r="AD165" s="122"/>
      <x:c r="AE165" s="177" t="str">
        <x:f t="shared" si="70"/>
      </x:c>
      <x:c r="AF165" s="178" t="str">
        <x:f t="shared" si="71"/>
      </x:c>
      <x:c r="AG165" s="122"/>
      <x:c r="AH165" s="177" t="str">
        <x:f t="shared" si="72"/>
      </x:c>
      <x:c r="AI165" s="122"/>
      <x:c r="AJ165" s="177" t="str">
        <x:f t="shared" si="73"/>
      </x:c>
      <x:c r="AK165" s="178" t="str">
        <x:f t="shared" si="74"/>
      </x:c>
      <x:c r="AL165" s="122"/>
      <x:c r="AM165" s="177" t="str">
        <x:f t="shared" si="75"/>
      </x:c>
      <x:c r="AN165" s="122"/>
      <x:c r="AO165" s="177" t="str">
        <x:f t="shared" si="76"/>
      </x:c>
      <x:c r="AP165" s="178" t="str">
        <x:f t="shared" si="77"/>
      </x:c>
      <x:c r="AQ165" s="122"/>
      <x:c r="AR165" s="177" t="str">
        <x:f t="shared" si="78"/>
      </x:c>
      <x:c r="AS165" s="122"/>
      <x:c r="AT165" s="177" t="str">
        <x:f t="shared" si="79"/>
      </x:c>
      <x:c r="AU165" s="178" t="str">
        <x:f t="shared" si="80"/>
      </x:c>
      <x:c r="AV165" s="122"/>
      <x:c r="AW165" s="177" t="str">
        <x:f t="shared" si="81"/>
      </x:c>
      <x:c r="AX165" s="122"/>
      <x:c r="AY165" s="177" t="str">
        <x:f t="shared" si="82"/>
      </x:c>
      <x:c r="AZ165" s="178" t="str">
        <x:f t="shared" si="83"/>
      </x:c>
      <x:c r="BA165" s="122"/>
      <x:c r="BB165" s="177" t="str">
        <x:f t="shared" si="84"/>
      </x:c>
      <x:c r="BC165" s="122"/>
      <x:c r="BD165" s="177" t="str">
        <x:f t="shared" si="85"/>
      </x:c>
      <x:c r="BE165" s="178" t="str">
        <x:f t="shared" si="86"/>
      </x:c>
      <x:c r="BF165" s="122"/>
      <x:c r="BG165" s="177" t="str">
        <x:f t="shared" si="87"/>
      </x:c>
      <x:c r="BH165" s="122"/>
      <x:c r="BI165" s="177" t="str">
        <x:f t="shared" si="88"/>
      </x:c>
      <x:c r="BJ165" s="178" t="str">
        <x:f t="shared" si="89"/>
      </x:c>
    </x:row>
    <x:row r="166" ht="19.5" hidden="1" customHeight="1">
      <x:c r="A166" s="169"/>
      <x:c r="B166" s="170"/>
      <x:c r="C166" s="171"/>
      <x:c r="D166" s="172"/>
      <x:c r="E166" s="171"/>
      <x:c r="F166" s="173"/>
      <x:c r="G166" s="174"/>
      <x:c r="H166" s="175"/>
      <x:c r="I166" s="174"/>
      <x:c r="J166" s="176"/>
      <x:c r="K166" s="233"/>
      <x:c r="L166" s="233"/>
      <x:c r="M166" s="122"/>
      <x:c r="N166" s="177" t="str">
        <x:f t="shared" si="60"/>
      </x:c>
      <x:c r="O166" s="122"/>
      <x:c r="P166" s="177" t="str">
        <x:f t="shared" si="61"/>
      </x:c>
      <x:c r="Q166" s="178" t="str">
        <x:f t="shared" si="62"/>
      </x:c>
      <x:c r="R166" s="122"/>
      <x:c r="S166" s="177" t="str">
        <x:f t="shared" si="63"/>
      </x:c>
      <x:c r="T166" s="122"/>
      <x:c r="U166" s="177" t="str">
        <x:f t="shared" si="64"/>
      </x:c>
      <x:c r="V166" s="178" t="str">
        <x:f t="shared" si="65"/>
      </x:c>
      <x:c r="W166" s="122"/>
      <x:c r="X166" s="177" t="str">
        <x:f t="shared" si="66"/>
      </x:c>
      <x:c r="Y166" s="122"/>
      <x:c r="Z166" s="177" t="str">
        <x:f t="shared" si="67"/>
      </x:c>
      <x:c r="AA166" s="178" t="str">
        <x:f t="shared" si="68"/>
      </x:c>
      <x:c r="AB166" s="122"/>
      <x:c r="AC166" s="177" t="str">
        <x:f t="shared" si="69"/>
      </x:c>
      <x:c r="AD166" s="122"/>
      <x:c r="AE166" s="177" t="str">
        <x:f t="shared" si="70"/>
      </x:c>
      <x:c r="AF166" s="178" t="str">
        <x:f t="shared" si="71"/>
      </x:c>
      <x:c r="AG166" s="122"/>
      <x:c r="AH166" s="177" t="str">
        <x:f t="shared" si="72"/>
      </x:c>
      <x:c r="AI166" s="122"/>
      <x:c r="AJ166" s="177" t="str">
        <x:f t="shared" si="73"/>
      </x:c>
      <x:c r="AK166" s="178" t="str">
        <x:f t="shared" si="74"/>
      </x:c>
      <x:c r="AL166" s="122"/>
      <x:c r="AM166" s="177" t="str">
        <x:f t="shared" si="75"/>
      </x:c>
      <x:c r="AN166" s="122"/>
      <x:c r="AO166" s="177" t="str">
        <x:f t="shared" si="76"/>
      </x:c>
      <x:c r="AP166" s="178" t="str">
        <x:f t="shared" si="77"/>
      </x:c>
      <x:c r="AQ166" s="122"/>
      <x:c r="AR166" s="177" t="str">
        <x:f t="shared" si="78"/>
      </x:c>
      <x:c r="AS166" s="122"/>
      <x:c r="AT166" s="177" t="str">
        <x:f t="shared" si="79"/>
      </x:c>
      <x:c r="AU166" s="178" t="str">
        <x:f t="shared" si="80"/>
      </x:c>
      <x:c r="AV166" s="122"/>
      <x:c r="AW166" s="177" t="str">
        <x:f t="shared" si="81"/>
      </x:c>
      <x:c r="AX166" s="122"/>
      <x:c r="AY166" s="177" t="str">
        <x:f t="shared" si="82"/>
      </x:c>
      <x:c r="AZ166" s="178" t="str">
        <x:f t="shared" si="83"/>
      </x:c>
      <x:c r="BA166" s="122"/>
      <x:c r="BB166" s="177" t="str">
        <x:f t="shared" si="84"/>
      </x:c>
      <x:c r="BC166" s="122"/>
      <x:c r="BD166" s="177" t="str">
        <x:f t="shared" si="85"/>
      </x:c>
      <x:c r="BE166" s="178" t="str">
        <x:f t="shared" si="86"/>
      </x:c>
      <x:c r="BF166" s="122"/>
      <x:c r="BG166" s="177" t="str">
        <x:f t="shared" si="87"/>
      </x:c>
      <x:c r="BH166" s="122"/>
      <x:c r="BI166" s="177" t="str">
        <x:f t="shared" si="88"/>
      </x:c>
      <x:c r="BJ166" s="178" t="str">
        <x:f t="shared" si="89"/>
      </x:c>
    </x:row>
    <x:row r="167" ht="19.5" hidden="1" customHeight="1">
      <x:c r="A167" s="160"/>
      <x:c r="B167" s="179"/>
      <x:c r="C167" s="171"/>
      <x:c r="D167" s="172"/>
      <x:c r="E167" s="171"/>
      <x:c r="F167" s="173"/>
      <x:c r="G167" s="174"/>
      <x:c r="H167" s="175"/>
      <x:c r="I167" s="174"/>
      <x:c r="J167" s="176"/>
      <x:c r="K167" s="233"/>
      <x:c r="L167" s="233"/>
      <x:c r="M167" s="122"/>
      <x:c r="N167" s="177" t="str">
        <x:f t="shared" si="60"/>
      </x:c>
      <x:c r="O167" s="122"/>
      <x:c r="P167" s="177" t="str">
        <x:f t="shared" si="61"/>
      </x:c>
      <x:c r="Q167" s="178" t="str">
        <x:f t="shared" si="62"/>
      </x:c>
      <x:c r="R167" s="122"/>
      <x:c r="S167" s="177" t="str">
        <x:f t="shared" si="63"/>
      </x:c>
      <x:c r="T167" s="122"/>
      <x:c r="U167" s="177" t="str">
        <x:f t="shared" si="64"/>
      </x:c>
      <x:c r="V167" s="178" t="str">
        <x:f t="shared" si="65"/>
      </x:c>
      <x:c r="W167" s="122"/>
      <x:c r="X167" s="177" t="str">
        <x:f t="shared" si="66"/>
      </x:c>
      <x:c r="Y167" s="122"/>
      <x:c r="Z167" s="177" t="str">
        <x:f t="shared" si="67"/>
      </x:c>
      <x:c r="AA167" s="178" t="str">
        <x:f t="shared" si="68"/>
      </x:c>
      <x:c r="AB167" s="122"/>
      <x:c r="AC167" s="177" t="str">
        <x:f t="shared" si="69"/>
      </x:c>
      <x:c r="AD167" s="122"/>
      <x:c r="AE167" s="177" t="str">
        <x:f t="shared" si="70"/>
      </x:c>
      <x:c r="AF167" s="178" t="str">
        <x:f t="shared" si="71"/>
      </x:c>
      <x:c r="AG167" s="122"/>
      <x:c r="AH167" s="177" t="str">
        <x:f t="shared" si="72"/>
      </x:c>
      <x:c r="AI167" s="122"/>
      <x:c r="AJ167" s="177" t="str">
        <x:f t="shared" si="73"/>
      </x:c>
      <x:c r="AK167" s="178" t="str">
        <x:f t="shared" si="74"/>
      </x:c>
      <x:c r="AL167" s="122"/>
      <x:c r="AM167" s="177" t="str">
        <x:f t="shared" si="75"/>
      </x:c>
      <x:c r="AN167" s="122"/>
      <x:c r="AO167" s="177" t="str">
        <x:f t="shared" si="76"/>
      </x:c>
      <x:c r="AP167" s="178" t="str">
        <x:f t="shared" si="77"/>
      </x:c>
      <x:c r="AQ167" s="122"/>
      <x:c r="AR167" s="177" t="str">
        <x:f t="shared" si="78"/>
      </x:c>
      <x:c r="AS167" s="122"/>
      <x:c r="AT167" s="177" t="str">
        <x:f t="shared" si="79"/>
      </x:c>
      <x:c r="AU167" s="178" t="str">
        <x:f t="shared" si="80"/>
      </x:c>
      <x:c r="AV167" s="122"/>
      <x:c r="AW167" s="177" t="str">
        <x:f t="shared" si="81"/>
      </x:c>
      <x:c r="AX167" s="122"/>
      <x:c r="AY167" s="177" t="str">
        <x:f t="shared" si="82"/>
      </x:c>
      <x:c r="AZ167" s="178" t="str">
        <x:f t="shared" si="83"/>
      </x:c>
      <x:c r="BA167" s="122"/>
      <x:c r="BB167" s="177" t="str">
        <x:f t="shared" si="84"/>
      </x:c>
      <x:c r="BC167" s="122"/>
      <x:c r="BD167" s="177" t="str">
        <x:f t="shared" si="85"/>
      </x:c>
      <x:c r="BE167" s="178" t="str">
        <x:f t="shared" si="86"/>
      </x:c>
      <x:c r="BF167" s="122"/>
      <x:c r="BG167" s="177" t="str">
        <x:f t="shared" si="87"/>
      </x:c>
      <x:c r="BH167" s="122"/>
      <x:c r="BI167" s="177" t="str">
        <x:f t="shared" si="88"/>
      </x:c>
      <x:c r="BJ167" s="178" t="str">
        <x:f t="shared" si="89"/>
      </x:c>
    </x:row>
    <x:row r="168" ht="19.5" hidden="1" customHeight="1">
      <x:c r="A168" s="169"/>
      <x:c r="B168" s="170"/>
      <x:c r="C168" s="171"/>
      <x:c r="D168" s="172"/>
      <x:c r="E168" s="171"/>
      <x:c r="F168" s="173"/>
      <x:c r="G168" s="174"/>
      <x:c r="H168" s="175"/>
      <x:c r="I168" s="174"/>
      <x:c r="J168" s="176"/>
      <x:c r="K168" s="233"/>
      <x:c r="L168" s="233"/>
      <x:c r="M168" s="122"/>
      <x:c r="N168" s="177" t="str">
        <x:f t="shared" si="60"/>
      </x:c>
      <x:c r="O168" s="122"/>
      <x:c r="P168" s="177" t="str">
        <x:f t="shared" si="61"/>
      </x:c>
      <x:c r="Q168" s="178" t="str">
        <x:f t="shared" si="62"/>
      </x:c>
      <x:c r="R168" s="122"/>
      <x:c r="S168" s="177" t="str">
        <x:f t="shared" si="63"/>
      </x:c>
      <x:c r="T168" s="122"/>
      <x:c r="U168" s="177" t="str">
        <x:f t="shared" si="64"/>
      </x:c>
      <x:c r="V168" s="178" t="str">
        <x:f t="shared" si="65"/>
      </x:c>
      <x:c r="W168" s="122"/>
      <x:c r="X168" s="177" t="str">
        <x:f t="shared" si="66"/>
      </x:c>
      <x:c r="Y168" s="122"/>
      <x:c r="Z168" s="177" t="str">
        <x:f t="shared" si="67"/>
      </x:c>
      <x:c r="AA168" s="178" t="str">
        <x:f t="shared" si="68"/>
      </x:c>
      <x:c r="AB168" s="122"/>
      <x:c r="AC168" s="177" t="str">
        <x:f t="shared" si="69"/>
      </x:c>
      <x:c r="AD168" s="122"/>
      <x:c r="AE168" s="177" t="str">
        <x:f t="shared" si="70"/>
      </x:c>
      <x:c r="AF168" s="178" t="str">
        <x:f t="shared" si="71"/>
      </x:c>
      <x:c r="AG168" s="122"/>
      <x:c r="AH168" s="177" t="str">
        <x:f t="shared" si="72"/>
      </x:c>
      <x:c r="AI168" s="122"/>
      <x:c r="AJ168" s="177" t="str">
        <x:f t="shared" si="73"/>
      </x:c>
      <x:c r="AK168" s="178" t="str">
        <x:f t="shared" si="74"/>
      </x:c>
      <x:c r="AL168" s="122"/>
      <x:c r="AM168" s="177" t="str">
        <x:f t="shared" si="75"/>
      </x:c>
      <x:c r="AN168" s="122"/>
      <x:c r="AO168" s="177" t="str">
        <x:f t="shared" si="76"/>
      </x:c>
      <x:c r="AP168" s="178" t="str">
        <x:f t="shared" si="77"/>
      </x:c>
      <x:c r="AQ168" s="122"/>
      <x:c r="AR168" s="177" t="str">
        <x:f t="shared" si="78"/>
      </x:c>
      <x:c r="AS168" s="122"/>
      <x:c r="AT168" s="177" t="str">
        <x:f t="shared" si="79"/>
      </x:c>
      <x:c r="AU168" s="178" t="str">
        <x:f t="shared" si="80"/>
      </x:c>
      <x:c r="AV168" s="122"/>
      <x:c r="AW168" s="177" t="str">
        <x:f t="shared" si="81"/>
      </x:c>
      <x:c r="AX168" s="122"/>
      <x:c r="AY168" s="177" t="str">
        <x:f t="shared" si="82"/>
      </x:c>
      <x:c r="AZ168" s="178" t="str">
        <x:f t="shared" si="83"/>
      </x:c>
      <x:c r="BA168" s="122"/>
      <x:c r="BB168" s="177" t="str">
        <x:f t="shared" si="84"/>
      </x:c>
      <x:c r="BC168" s="122"/>
      <x:c r="BD168" s="177" t="str">
        <x:f t="shared" si="85"/>
      </x:c>
      <x:c r="BE168" s="178" t="str">
        <x:f t="shared" si="86"/>
      </x:c>
      <x:c r="BF168" s="122"/>
      <x:c r="BG168" s="177" t="str">
        <x:f t="shared" si="87"/>
      </x:c>
      <x:c r="BH168" s="122"/>
      <x:c r="BI168" s="177" t="str">
        <x:f t="shared" si="88"/>
      </x:c>
      <x:c r="BJ168" s="178" t="str">
        <x:f t="shared" si="89"/>
      </x:c>
    </x:row>
    <x:row r="169" ht="19.5" hidden="1" customHeight="1">
      <x:c r="A169" s="160"/>
      <x:c r="B169" s="179"/>
      <x:c r="C169" s="171"/>
      <x:c r="D169" s="172"/>
      <x:c r="E169" s="171"/>
      <x:c r="F169" s="173"/>
      <x:c r="G169" s="174"/>
      <x:c r="H169" s="175"/>
      <x:c r="I169" s="174"/>
      <x:c r="J169" s="176"/>
      <x:c r="K169" s="233"/>
      <x:c r="L169" s="233"/>
      <x:c r="M169" s="122"/>
      <x:c r="N169" s="177" t="str">
        <x:f t="shared" si="60"/>
      </x:c>
      <x:c r="O169" s="122"/>
      <x:c r="P169" s="177" t="str">
        <x:f t="shared" si="61"/>
      </x:c>
      <x:c r="Q169" s="178" t="str">
        <x:f t="shared" si="62"/>
      </x:c>
      <x:c r="R169" s="122"/>
      <x:c r="S169" s="177" t="str">
        <x:f t="shared" si="63"/>
      </x:c>
      <x:c r="T169" s="122"/>
      <x:c r="U169" s="177" t="str">
        <x:f t="shared" si="64"/>
      </x:c>
      <x:c r="V169" s="178" t="str">
        <x:f t="shared" si="65"/>
      </x:c>
      <x:c r="W169" s="122"/>
      <x:c r="X169" s="177" t="str">
        <x:f t="shared" si="66"/>
      </x:c>
      <x:c r="Y169" s="122"/>
      <x:c r="Z169" s="177" t="str">
        <x:f t="shared" si="67"/>
      </x:c>
      <x:c r="AA169" s="178" t="str">
        <x:f t="shared" si="68"/>
      </x:c>
      <x:c r="AB169" s="122"/>
      <x:c r="AC169" s="177" t="str">
        <x:f t="shared" si="69"/>
      </x:c>
      <x:c r="AD169" s="122"/>
      <x:c r="AE169" s="177" t="str">
        <x:f t="shared" si="70"/>
      </x:c>
      <x:c r="AF169" s="178" t="str">
        <x:f t="shared" si="71"/>
      </x:c>
      <x:c r="AG169" s="122"/>
      <x:c r="AH169" s="177" t="str">
        <x:f t="shared" si="72"/>
      </x:c>
      <x:c r="AI169" s="122"/>
      <x:c r="AJ169" s="177" t="str">
        <x:f t="shared" si="73"/>
      </x:c>
      <x:c r="AK169" s="178" t="str">
        <x:f t="shared" si="74"/>
      </x:c>
      <x:c r="AL169" s="122"/>
      <x:c r="AM169" s="177" t="str">
        <x:f t="shared" si="75"/>
      </x:c>
      <x:c r="AN169" s="122"/>
      <x:c r="AO169" s="177" t="str">
        <x:f t="shared" si="76"/>
      </x:c>
      <x:c r="AP169" s="178" t="str">
        <x:f t="shared" si="77"/>
      </x:c>
      <x:c r="AQ169" s="122"/>
      <x:c r="AR169" s="177" t="str">
        <x:f t="shared" si="78"/>
      </x:c>
      <x:c r="AS169" s="122"/>
      <x:c r="AT169" s="177" t="str">
        <x:f t="shared" si="79"/>
      </x:c>
      <x:c r="AU169" s="178" t="str">
        <x:f t="shared" si="80"/>
      </x:c>
      <x:c r="AV169" s="122"/>
      <x:c r="AW169" s="177" t="str">
        <x:f t="shared" si="81"/>
      </x:c>
      <x:c r="AX169" s="122"/>
      <x:c r="AY169" s="177" t="str">
        <x:f t="shared" si="82"/>
      </x:c>
      <x:c r="AZ169" s="178" t="str">
        <x:f t="shared" si="83"/>
      </x:c>
      <x:c r="BA169" s="122"/>
      <x:c r="BB169" s="177" t="str">
        <x:f t="shared" si="84"/>
      </x:c>
      <x:c r="BC169" s="122"/>
      <x:c r="BD169" s="177" t="str">
        <x:f t="shared" si="85"/>
      </x:c>
      <x:c r="BE169" s="178" t="str">
        <x:f t="shared" si="86"/>
      </x:c>
      <x:c r="BF169" s="122"/>
      <x:c r="BG169" s="177" t="str">
        <x:f t="shared" si="87"/>
      </x:c>
      <x:c r="BH169" s="122"/>
      <x:c r="BI169" s="177" t="str">
        <x:f t="shared" si="88"/>
      </x:c>
      <x:c r="BJ169" s="178" t="str">
        <x:f t="shared" si="89"/>
      </x:c>
    </x:row>
    <x:row r="170" ht="19.5" hidden="1" customHeight="1">
      <x:c r="A170" s="169"/>
      <x:c r="B170" s="170"/>
      <x:c r="C170" s="171"/>
      <x:c r="D170" s="172"/>
      <x:c r="E170" s="171"/>
      <x:c r="F170" s="173"/>
      <x:c r="G170" s="174"/>
      <x:c r="H170" s="175"/>
      <x:c r="I170" s="174"/>
      <x:c r="J170" s="176"/>
      <x:c r="K170" s="233"/>
      <x:c r="L170" s="233"/>
      <x:c r="M170" s="122"/>
      <x:c r="N170" s="177" t="str">
        <x:f t="shared" si="60"/>
      </x:c>
      <x:c r="O170" s="122"/>
      <x:c r="P170" s="177" t="str">
        <x:f t="shared" si="61"/>
      </x:c>
      <x:c r="Q170" s="178" t="str">
        <x:f t="shared" si="62"/>
      </x:c>
      <x:c r="R170" s="122"/>
      <x:c r="S170" s="177" t="str">
        <x:f t="shared" si="63"/>
      </x:c>
      <x:c r="T170" s="122"/>
      <x:c r="U170" s="177" t="str">
        <x:f t="shared" si="64"/>
      </x:c>
      <x:c r="V170" s="178" t="str">
        <x:f t="shared" si="65"/>
      </x:c>
      <x:c r="W170" s="122"/>
      <x:c r="X170" s="177" t="str">
        <x:f t="shared" si="66"/>
      </x:c>
      <x:c r="Y170" s="122"/>
      <x:c r="Z170" s="177" t="str">
        <x:f t="shared" si="67"/>
      </x:c>
      <x:c r="AA170" s="178" t="str">
        <x:f t="shared" si="68"/>
      </x:c>
      <x:c r="AB170" s="122"/>
      <x:c r="AC170" s="177" t="str">
        <x:f t="shared" si="69"/>
      </x:c>
      <x:c r="AD170" s="122"/>
      <x:c r="AE170" s="177" t="str">
        <x:f t="shared" si="70"/>
      </x:c>
      <x:c r="AF170" s="178" t="str">
        <x:f t="shared" si="71"/>
      </x:c>
      <x:c r="AG170" s="122"/>
      <x:c r="AH170" s="177" t="str">
        <x:f t="shared" si="72"/>
      </x:c>
      <x:c r="AI170" s="122"/>
      <x:c r="AJ170" s="177" t="str">
        <x:f t="shared" si="73"/>
      </x:c>
      <x:c r="AK170" s="178" t="str">
        <x:f t="shared" si="74"/>
      </x:c>
      <x:c r="AL170" s="122"/>
      <x:c r="AM170" s="177" t="str">
        <x:f t="shared" si="75"/>
      </x:c>
      <x:c r="AN170" s="122"/>
      <x:c r="AO170" s="177" t="str">
        <x:f t="shared" si="76"/>
      </x:c>
      <x:c r="AP170" s="178" t="str">
        <x:f t="shared" si="77"/>
      </x:c>
      <x:c r="AQ170" s="122"/>
      <x:c r="AR170" s="177" t="str">
        <x:f t="shared" si="78"/>
      </x:c>
      <x:c r="AS170" s="122"/>
      <x:c r="AT170" s="177" t="str">
        <x:f t="shared" si="79"/>
      </x:c>
      <x:c r="AU170" s="178" t="str">
        <x:f t="shared" si="80"/>
      </x:c>
      <x:c r="AV170" s="122"/>
      <x:c r="AW170" s="177" t="str">
        <x:f t="shared" si="81"/>
      </x:c>
      <x:c r="AX170" s="122"/>
      <x:c r="AY170" s="177" t="str">
        <x:f t="shared" si="82"/>
      </x:c>
      <x:c r="AZ170" s="178" t="str">
        <x:f t="shared" si="83"/>
      </x:c>
      <x:c r="BA170" s="122"/>
      <x:c r="BB170" s="177" t="str">
        <x:f t="shared" si="84"/>
      </x:c>
      <x:c r="BC170" s="122"/>
      <x:c r="BD170" s="177" t="str">
        <x:f t="shared" si="85"/>
      </x:c>
      <x:c r="BE170" s="178" t="str">
        <x:f t="shared" si="86"/>
      </x:c>
      <x:c r="BF170" s="122"/>
      <x:c r="BG170" s="177" t="str">
        <x:f t="shared" si="87"/>
      </x:c>
      <x:c r="BH170" s="122"/>
      <x:c r="BI170" s="177" t="str">
        <x:f t="shared" si="88"/>
      </x:c>
      <x:c r="BJ170" s="178" t="str">
        <x:f t="shared" si="89"/>
      </x:c>
    </x:row>
    <x:row r="171" ht="19.5" hidden="1" customHeight="1">
      <x:c r="A171" s="160"/>
      <x:c r="B171" s="179"/>
      <x:c r="C171" s="171"/>
      <x:c r="D171" s="172"/>
      <x:c r="E171" s="171"/>
      <x:c r="F171" s="173"/>
      <x:c r="G171" s="174"/>
      <x:c r="H171" s="175"/>
      <x:c r="I171" s="174"/>
      <x:c r="J171" s="176"/>
      <x:c r="K171" s="233"/>
      <x:c r="L171" s="233"/>
      <x:c r="M171" s="122"/>
      <x:c r="N171" s="177" t="str">
        <x:f t="shared" si="60"/>
      </x:c>
      <x:c r="O171" s="122"/>
      <x:c r="P171" s="177" t="str">
        <x:f t="shared" si="61"/>
      </x:c>
      <x:c r="Q171" s="178" t="str">
        <x:f t="shared" si="62"/>
      </x:c>
      <x:c r="R171" s="122"/>
      <x:c r="S171" s="177" t="str">
        <x:f t="shared" si="63"/>
      </x:c>
      <x:c r="T171" s="122"/>
      <x:c r="U171" s="177" t="str">
        <x:f t="shared" si="64"/>
      </x:c>
      <x:c r="V171" s="178" t="str">
        <x:f t="shared" si="65"/>
      </x:c>
      <x:c r="W171" s="122"/>
      <x:c r="X171" s="177" t="str">
        <x:f t="shared" si="66"/>
      </x:c>
      <x:c r="Y171" s="122"/>
      <x:c r="Z171" s="177" t="str">
        <x:f t="shared" si="67"/>
      </x:c>
      <x:c r="AA171" s="178" t="str">
        <x:f t="shared" si="68"/>
      </x:c>
      <x:c r="AB171" s="122"/>
      <x:c r="AC171" s="177" t="str">
        <x:f t="shared" si="69"/>
      </x:c>
      <x:c r="AD171" s="122"/>
      <x:c r="AE171" s="177" t="str">
        <x:f t="shared" si="70"/>
      </x:c>
      <x:c r="AF171" s="178" t="str">
        <x:f t="shared" si="71"/>
      </x:c>
      <x:c r="AG171" s="122"/>
      <x:c r="AH171" s="177" t="str">
        <x:f t="shared" si="72"/>
      </x:c>
      <x:c r="AI171" s="122"/>
      <x:c r="AJ171" s="177" t="str">
        <x:f t="shared" si="73"/>
      </x:c>
      <x:c r="AK171" s="178" t="str">
        <x:f t="shared" si="74"/>
      </x:c>
      <x:c r="AL171" s="122"/>
      <x:c r="AM171" s="177" t="str">
        <x:f t="shared" si="75"/>
      </x:c>
      <x:c r="AN171" s="122"/>
      <x:c r="AO171" s="177" t="str">
        <x:f t="shared" si="76"/>
      </x:c>
      <x:c r="AP171" s="178" t="str">
        <x:f t="shared" si="77"/>
      </x:c>
      <x:c r="AQ171" s="122"/>
      <x:c r="AR171" s="177" t="str">
        <x:f t="shared" si="78"/>
      </x:c>
      <x:c r="AS171" s="122"/>
      <x:c r="AT171" s="177" t="str">
        <x:f t="shared" si="79"/>
      </x:c>
      <x:c r="AU171" s="178" t="str">
        <x:f t="shared" si="80"/>
      </x:c>
      <x:c r="AV171" s="122"/>
      <x:c r="AW171" s="177" t="str">
        <x:f t="shared" si="81"/>
      </x:c>
      <x:c r="AX171" s="122"/>
      <x:c r="AY171" s="177" t="str">
        <x:f t="shared" si="82"/>
      </x:c>
      <x:c r="AZ171" s="178" t="str">
        <x:f t="shared" si="83"/>
      </x:c>
      <x:c r="BA171" s="122"/>
      <x:c r="BB171" s="177" t="str">
        <x:f t="shared" si="84"/>
      </x:c>
      <x:c r="BC171" s="122"/>
      <x:c r="BD171" s="177" t="str">
        <x:f t="shared" si="85"/>
      </x:c>
      <x:c r="BE171" s="178" t="str">
        <x:f t="shared" si="86"/>
      </x:c>
      <x:c r="BF171" s="122"/>
      <x:c r="BG171" s="177" t="str">
        <x:f t="shared" si="87"/>
      </x:c>
      <x:c r="BH171" s="122"/>
      <x:c r="BI171" s="177" t="str">
        <x:f t="shared" si="88"/>
      </x:c>
      <x:c r="BJ171" s="178" t="str">
        <x:f t="shared" si="89"/>
      </x:c>
    </x:row>
    <x:row r="172" ht="19.5" hidden="1" customHeight="1">
      <x:c r="A172" s="169"/>
      <x:c r="B172" s="170"/>
      <x:c r="C172" s="171"/>
      <x:c r="D172" s="172"/>
      <x:c r="E172" s="171"/>
      <x:c r="F172" s="173"/>
      <x:c r="G172" s="174"/>
      <x:c r="H172" s="175"/>
      <x:c r="I172" s="174"/>
      <x:c r="J172" s="176"/>
      <x:c r="K172" s="233"/>
      <x:c r="L172" s="233"/>
      <x:c r="M172" s="122"/>
      <x:c r="N172" s="177" t="str">
        <x:f t="shared" si="60"/>
      </x:c>
      <x:c r="O172" s="122"/>
      <x:c r="P172" s="177" t="str">
        <x:f t="shared" si="61"/>
      </x:c>
      <x:c r="Q172" s="178" t="str">
        <x:f t="shared" si="62"/>
      </x:c>
      <x:c r="R172" s="122"/>
      <x:c r="S172" s="177" t="str">
        <x:f t="shared" si="63"/>
      </x:c>
      <x:c r="T172" s="122"/>
      <x:c r="U172" s="177" t="str">
        <x:f t="shared" si="64"/>
      </x:c>
      <x:c r="V172" s="178" t="str">
        <x:f t="shared" si="65"/>
      </x:c>
      <x:c r="W172" s="122"/>
      <x:c r="X172" s="177" t="str">
        <x:f t="shared" si="66"/>
      </x:c>
      <x:c r="Y172" s="122"/>
      <x:c r="Z172" s="177" t="str">
        <x:f t="shared" si="67"/>
      </x:c>
      <x:c r="AA172" s="178" t="str">
        <x:f t="shared" si="68"/>
      </x:c>
      <x:c r="AB172" s="122"/>
      <x:c r="AC172" s="177" t="str">
        <x:f t="shared" si="69"/>
      </x:c>
      <x:c r="AD172" s="122"/>
      <x:c r="AE172" s="177" t="str">
        <x:f t="shared" si="70"/>
      </x:c>
      <x:c r="AF172" s="178" t="str">
        <x:f t="shared" si="71"/>
      </x:c>
      <x:c r="AG172" s="122"/>
      <x:c r="AH172" s="177" t="str">
        <x:f t="shared" si="72"/>
      </x:c>
      <x:c r="AI172" s="122"/>
      <x:c r="AJ172" s="177" t="str">
        <x:f t="shared" si="73"/>
      </x:c>
      <x:c r="AK172" s="178" t="str">
        <x:f t="shared" si="74"/>
      </x:c>
      <x:c r="AL172" s="122"/>
      <x:c r="AM172" s="177" t="str">
        <x:f t="shared" si="75"/>
      </x:c>
      <x:c r="AN172" s="122"/>
      <x:c r="AO172" s="177" t="str">
        <x:f t="shared" si="76"/>
      </x:c>
      <x:c r="AP172" s="178" t="str">
        <x:f t="shared" si="77"/>
      </x:c>
      <x:c r="AQ172" s="122"/>
      <x:c r="AR172" s="177" t="str">
        <x:f t="shared" si="78"/>
      </x:c>
      <x:c r="AS172" s="122"/>
      <x:c r="AT172" s="177" t="str">
        <x:f t="shared" si="79"/>
      </x:c>
      <x:c r="AU172" s="178" t="str">
        <x:f t="shared" si="80"/>
      </x:c>
      <x:c r="AV172" s="122"/>
      <x:c r="AW172" s="177" t="str">
        <x:f t="shared" si="81"/>
      </x:c>
      <x:c r="AX172" s="122"/>
      <x:c r="AY172" s="177" t="str">
        <x:f t="shared" si="82"/>
      </x:c>
      <x:c r="AZ172" s="178" t="str">
        <x:f t="shared" si="83"/>
      </x:c>
      <x:c r="BA172" s="122"/>
      <x:c r="BB172" s="177" t="str">
        <x:f t="shared" si="84"/>
      </x:c>
      <x:c r="BC172" s="122"/>
      <x:c r="BD172" s="177" t="str">
        <x:f t="shared" si="85"/>
      </x:c>
      <x:c r="BE172" s="178" t="str">
        <x:f t="shared" si="86"/>
      </x:c>
      <x:c r="BF172" s="122"/>
      <x:c r="BG172" s="177" t="str">
        <x:f t="shared" si="87"/>
      </x:c>
      <x:c r="BH172" s="122"/>
      <x:c r="BI172" s="177" t="str">
        <x:f t="shared" si="88"/>
      </x:c>
      <x:c r="BJ172" s="178" t="str">
        <x:f t="shared" si="89"/>
      </x:c>
    </x:row>
    <x:row r="173" ht="19.5" hidden="1" customHeight="1">
      <x:c r="A173" s="160"/>
      <x:c r="B173" s="179"/>
      <x:c r="C173" s="171"/>
      <x:c r="D173" s="172"/>
      <x:c r="E173" s="171"/>
      <x:c r="F173" s="173"/>
      <x:c r="G173" s="174"/>
      <x:c r="H173" s="175"/>
      <x:c r="I173" s="174"/>
      <x:c r="J173" s="176"/>
      <x:c r="K173" s="233"/>
      <x:c r="L173" s="233"/>
      <x:c r="M173" s="122"/>
      <x:c r="N173" s="177" t="str">
        <x:f t="shared" si="60"/>
      </x:c>
      <x:c r="O173" s="122"/>
      <x:c r="P173" s="177" t="str">
        <x:f t="shared" si="61"/>
      </x:c>
      <x:c r="Q173" s="178" t="str">
        <x:f t="shared" si="62"/>
      </x:c>
      <x:c r="R173" s="122"/>
      <x:c r="S173" s="177" t="str">
        <x:f t="shared" si="63"/>
      </x:c>
      <x:c r="T173" s="122"/>
      <x:c r="U173" s="177" t="str">
        <x:f t="shared" si="64"/>
      </x:c>
      <x:c r="V173" s="178" t="str">
        <x:f t="shared" si="65"/>
      </x:c>
      <x:c r="W173" s="122"/>
      <x:c r="X173" s="177" t="str">
        <x:f t="shared" si="66"/>
      </x:c>
      <x:c r="Y173" s="122"/>
      <x:c r="Z173" s="177" t="str">
        <x:f t="shared" si="67"/>
      </x:c>
      <x:c r="AA173" s="178" t="str">
        <x:f t="shared" si="68"/>
      </x:c>
      <x:c r="AB173" s="122"/>
      <x:c r="AC173" s="177" t="str">
        <x:f t="shared" si="69"/>
      </x:c>
      <x:c r="AD173" s="122"/>
      <x:c r="AE173" s="177" t="str">
        <x:f t="shared" si="70"/>
      </x:c>
      <x:c r="AF173" s="178" t="str">
        <x:f t="shared" si="71"/>
      </x:c>
      <x:c r="AG173" s="122"/>
      <x:c r="AH173" s="177" t="str">
        <x:f t="shared" si="72"/>
      </x:c>
      <x:c r="AI173" s="122"/>
      <x:c r="AJ173" s="177" t="str">
        <x:f t="shared" si="73"/>
      </x:c>
      <x:c r="AK173" s="178" t="str">
        <x:f t="shared" si="74"/>
      </x:c>
      <x:c r="AL173" s="122"/>
      <x:c r="AM173" s="177" t="str">
        <x:f t="shared" si="75"/>
      </x:c>
      <x:c r="AN173" s="122"/>
      <x:c r="AO173" s="177" t="str">
        <x:f t="shared" si="76"/>
      </x:c>
      <x:c r="AP173" s="178" t="str">
        <x:f t="shared" si="77"/>
      </x:c>
      <x:c r="AQ173" s="122"/>
      <x:c r="AR173" s="177" t="str">
        <x:f t="shared" si="78"/>
      </x:c>
      <x:c r="AS173" s="122"/>
      <x:c r="AT173" s="177" t="str">
        <x:f t="shared" si="79"/>
      </x:c>
      <x:c r="AU173" s="178" t="str">
        <x:f t="shared" si="80"/>
      </x:c>
      <x:c r="AV173" s="122"/>
      <x:c r="AW173" s="177" t="str">
        <x:f t="shared" si="81"/>
      </x:c>
      <x:c r="AX173" s="122"/>
      <x:c r="AY173" s="177" t="str">
        <x:f t="shared" si="82"/>
      </x:c>
      <x:c r="AZ173" s="178" t="str">
        <x:f t="shared" si="83"/>
      </x:c>
      <x:c r="BA173" s="122"/>
      <x:c r="BB173" s="177" t="str">
        <x:f t="shared" si="84"/>
      </x:c>
      <x:c r="BC173" s="122"/>
      <x:c r="BD173" s="177" t="str">
        <x:f t="shared" si="85"/>
      </x:c>
      <x:c r="BE173" s="178" t="str">
        <x:f t="shared" si="86"/>
      </x:c>
      <x:c r="BF173" s="122"/>
      <x:c r="BG173" s="177" t="str">
        <x:f t="shared" si="87"/>
      </x:c>
      <x:c r="BH173" s="122"/>
      <x:c r="BI173" s="177" t="str">
        <x:f t="shared" si="88"/>
      </x:c>
      <x:c r="BJ173" s="178" t="str">
        <x:f t="shared" si="89"/>
      </x:c>
    </x:row>
    <x:row r="174" ht="19.5" hidden="1" customHeight="1">
      <x:c r="A174" s="169"/>
      <x:c r="B174" s="170"/>
      <x:c r="C174" s="171"/>
      <x:c r="D174" s="172"/>
      <x:c r="E174" s="171"/>
      <x:c r="F174" s="173"/>
      <x:c r="G174" s="174"/>
      <x:c r="H174" s="175"/>
      <x:c r="I174" s="174"/>
      <x:c r="J174" s="176"/>
      <x:c r="K174" s="233"/>
      <x:c r="L174" s="233"/>
      <x:c r="M174" s="122"/>
      <x:c r="N174" s="177" t="str">
        <x:f t="shared" si="60"/>
      </x:c>
      <x:c r="O174" s="122"/>
      <x:c r="P174" s="177" t="str">
        <x:f t="shared" si="61"/>
      </x:c>
      <x:c r="Q174" s="178" t="str">
        <x:f t="shared" si="62"/>
      </x:c>
      <x:c r="R174" s="122"/>
      <x:c r="S174" s="177" t="str">
        <x:f t="shared" si="63"/>
      </x:c>
      <x:c r="T174" s="122"/>
      <x:c r="U174" s="177" t="str">
        <x:f t="shared" si="64"/>
      </x:c>
      <x:c r="V174" s="178" t="str">
        <x:f t="shared" si="65"/>
      </x:c>
      <x:c r="W174" s="122"/>
      <x:c r="X174" s="177" t="str">
        <x:f t="shared" si="66"/>
      </x:c>
      <x:c r="Y174" s="122"/>
      <x:c r="Z174" s="177" t="str">
        <x:f t="shared" si="67"/>
      </x:c>
      <x:c r="AA174" s="178" t="str">
        <x:f t="shared" si="68"/>
      </x:c>
      <x:c r="AB174" s="122"/>
      <x:c r="AC174" s="177" t="str">
        <x:f t="shared" si="69"/>
      </x:c>
      <x:c r="AD174" s="122"/>
      <x:c r="AE174" s="177" t="str">
        <x:f t="shared" si="70"/>
      </x:c>
      <x:c r="AF174" s="178" t="str">
        <x:f t="shared" si="71"/>
      </x:c>
      <x:c r="AG174" s="122"/>
      <x:c r="AH174" s="177" t="str">
        <x:f t="shared" si="72"/>
      </x:c>
      <x:c r="AI174" s="122"/>
      <x:c r="AJ174" s="177" t="str">
        <x:f t="shared" si="73"/>
      </x:c>
      <x:c r="AK174" s="178" t="str">
        <x:f t="shared" si="74"/>
      </x:c>
      <x:c r="AL174" s="122"/>
      <x:c r="AM174" s="177" t="str">
        <x:f t="shared" si="75"/>
      </x:c>
      <x:c r="AN174" s="122"/>
      <x:c r="AO174" s="177" t="str">
        <x:f t="shared" si="76"/>
      </x:c>
      <x:c r="AP174" s="178" t="str">
        <x:f t="shared" si="77"/>
      </x:c>
      <x:c r="AQ174" s="122"/>
      <x:c r="AR174" s="177" t="str">
        <x:f t="shared" si="78"/>
      </x:c>
      <x:c r="AS174" s="122"/>
      <x:c r="AT174" s="177" t="str">
        <x:f t="shared" si="79"/>
      </x:c>
      <x:c r="AU174" s="178" t="str">
        <x:f t="shared" si="80"/>
      </x:c>
      <x:c r="AV174" s="122"/>
      <x:c r="AW174" s="177" t="str">
        <x:f t="shared" si="81"/>
      </x:c>
      <x:c r="AX174" s="122"/>
      <x:c r="AY174" s="177" t="str">
        <x:f t="shared" si="82"/>
      </x:c>
      <x:c r="AZ174" s="178" t="str">
        <x:f t="shared" si="83"/>
      </x:c>
      <x:c r="BA174" s="122"/>
      <x:c r="BB174" s="177" t="str">
        <x:f t="shared" si="84"/>
      </x:c>
      <x:c r="BC174" s="122"/>
      <x:c r="BD174" s="177" t="str">
        <x:f t="shared" si="85"/>
      </x:c>
      <x:c r="BE174" s="178" t="str">
        <x:f t="shared" si="86"/>
      </x:c>
      <x:c r="BF174" s="122"/>
      <x:c r="BG174" s="177" t="str">
        <x:f t="shared" si="87"/>
      </x:c>
      <x:c r="BH174" s="122"/>
      <x:c r="BI174" s="177" t="str">
        <x:f t="shared" si="88"/>
      </x:c>
      <x:c r="BJ174" s="178" t="str">
        <x:f t="shared" si="89"/>
      </x:c>
    </x:row>
    <x:row r="175" ht="19.5" hidden="1" customHeight="1">
      <x:c r="A175" s="160"/>
      <x:c r="B175" s="179"/>
      <x:c r="C175" s="171"/>
      <x:c r="D175" s="172"/>
      <x:c r="E175" s="171"/>
      <x:c r="F175" s="173"/>
      <x:c r="G175" s="174"/>
      <x:c r="H175" s="175"/>
      <x:c r="I175" s="174"/>
      <x:c r="J175" s="176"/>
      <x:c r="K175" s="233"/>
      <x:c r="L175" s="233"/>
      <x:c r="M175" s="122"/>
      <x:c r="N175" s="177" t="str">
        <x:f t="shared" si="60"/>
      </x:c>
      <x:c r="O175" s="122"/>
      <x:c r="P175" s="177" t="str">
        <x:f t="shared" si="61"/>
      </x:c>
      <x:c r="Q175" s="178" t="str">
        <x:f t="shared" si="62"/>
      </x:c>
      <x:c r="R175" s="122"/>
      <x:c r="S175" s="177" t="str">
        <x:f t="shared" si="63"/>
      </x:c>
      <x:c r="T175" s="122"/>
      <x:c r="U175" s="177" t="str">
        <x:f t="shared" si="64"/>
      </x:c>
      <x:c r="V175" s="178" t="str">
        <x:f t="shared" si="65"/>
      </x:c>
      <x:c r="W175" s="122"/>
      <x:c r="X175" s="177" t="str">
        <x:f t="shared" si="66"/>
      </x:c>
      <x:c r="Y175" s="122"/>
      <x:c r="Z175" s="177" t="str">
        <x:f t="shared" si="67"/>
      </x:c>
      <x:c r="AA175" s="178" t="str">
        <x:f t="shared" si="68"/>
      </x:c>
      <x:c r="AB175" s="122"/>
      <x:c r="AC175" s="177" t="str">
        <x:f t="shared" si="69"/>
      </x:c>
      <x:c r="AD175" s="122"/>
      <x:c r="AE175" s="177" t="str">
        <x:f t="shared" si="70"/>
      </x:c>
      <x:c r="AF175" s="178" t="str">
        <x:f t="shared" si="71"/>
      </x:c>
      <x:c r="AG175" s="122"/>
      <x:c r="AH175" s="177" t="str">
        <x:f t="shared" si="72"/>
      </x:c>
      <x:c r="AI175" s="122"/>
      <x:c r="AJ175" s="177" t="str">
        <x:f t="shared" si="73"/>
      </x:c>
      <x:c r="AK175" s="178" t="str">
        <x:f t="shared" si="74"/>
      </x:c>
      <x:c r="AL175" s="122"/>
      <x:c r="AM175" s="177" t="str">
        <x:f t="shared" si="75"/>
      </x:c>
      <x:c r="AN175" s="122"/>
      <x:c r="AO175" s="177" t="str">
        <x:f t="shared" si="76"/>
      </x:c>
      <x:c r="AP175" s="178" t="str">
        <x:f t="shared" si="77"/>
      </x:c>
      <x:c r="AQ175" s="122"/>
      <x:c r="AR175" s="177" t="str">
        <x:f t="shared" si="78"/>
      </x:c>
      <x:c r="AS175" s="122"/>
      <x:c r="AT175" s="177" t="str">
        <x:f t="shared" si="79"/>
      </x:c>
      <x:c r="AU175" s="178" t="str">
        <x:f t="shared" si="80"/>
      </x:c>
      <x:c r="AV175" s="122"/>
      <x:c r="AW175" s="177" t="str">
        <x:f t="shared" si="81"/>
      </x:c>
      <x:c r="AX175" s="122"/>
      <x:c r="AY175" s="177" t="str">
        <x:f t="shared" si="82"/>
      </x:c>
      <x:c r="AZ175" s="178" t="str">
        <x:f t="shared" si="83"/>
      </x:c>
      <x:c r="BA175" s="122"/>
      <x:c r="BB175" s="177" t="str">
        <x:f t="shared" si="84"/>
      </x:c>
      <x:c r="BC175" s="122"/>
      <x:c r="BD175" s="177" t="str">
        <x:f t="shared" si="85"/>
      </x:c>
      <x:c r="BE175" s="178" t="str">
        <x:f t="shared" si="86"/>
      </x:c>
      <x:c r="BF175" s="122"/>
      <x:c r="BG175" s="177" t="str">
        <x:f t="shared" si="87"/>
      </x:c>
      <x:c r="BH175" s="122"/>
      <x:c r="BI175" s="177" t="str">
        <x:f t="shared" si="88"/>
      </x:c>
      <x:c r="BJ175" s="178" t="str">
        <x:f t="shared" si="89"/>
      </x:c>
    </x:row>
    <x:row r="176" ht="19.5" hidden="1" customHeight="1">
      <x:c r="A176" s="169"/>
      <x:c r="B176" s="170"/>
      <x:c r="C176" s="171"/>
      <x:c r="D176" s="172"/>
      <x:c r="E176" s="171"/>
      <x:c r="F176" s="173"/>
      <x:c r="G176" s="174"/>
      <x:c r="H176" s="175"/>
      <x:c r="I176" s="174"/>
      <x:c r="J176" s="176"/>
      <x:c r="K176" s="233"/>
      <x:c r="L176" s="233"/>
      <x:c r="M176" s="122"/>
      <x:c r="N176" s="177" t="str">
        <x:f t="shared" si="60"/>
      </x:c>
      <x:c r="O176" s="122"/>
      <x:c r="P176" s="177" t="str">
        <x:f t="shared" si="61"/>
      </x:c>
      <x:c r="Q176" s="178" t="str">
        <x:f t="shared" si="62"/>
      </x:c>
      <x:c r="R176" s="122"/>
      <x:c r="S176" s="177" t="str">
        <x:f t="shared" si="63"/>
      </x:c>
      <x:c r="T176" s="122"/>
      <x:c r="U176" s="177" t="str">
        <x:f t="shared" si="64"/>
      </x:c>
      <x:c r="V176" s="178" t="str">
        <x:f t="shared" si="65"/>
      </x:c>
      <x:c r="W176" s="122"/>
      <x:c r="X176" s="177" t="str">
        <x:f t="shared" si="66"/>
      </x:c>
      <x:c r="Y176" s="122"/>
      <x:c r="Z176" s="177" t="str">
        <x:f t="shared" si="67"/>
      </x:c>
      <x:c r="AA176" s="178" t="str">
        <x:f t="shared" si="68"/>
      </x:c>
      <x:c r="AB176" s="122"/>
      <x:c r="AC176" s="177" t="str">
        <x:f t="shared" si="69"/>
      </x:c>
      <x:c r="AD176" s="122"/>
      <x:c r="AE176" s="177" t="str">
        <x:f t="shared" si="70"/>
      </x:c>
      <x:c r="AF176" s="178" t="str">
        <x:f t="shared" si="71"/>
      </x:c>
      <x:c r="AG176" s="122"/>
      <x:c r="AH176" s="177" t="str">
        <x:f t="shared" si="72"/>
      </x:c>
      <x:c r="AI176" s="122"/>
      <x:c r="AJ176" s="177" t="str">
        <x:f t="shared" si="73"/>
      </x:c>
      <x:c r="AK176" s="178" t="str">
        <x:f t="shared" si="74"/>
      </x:c>
      <x:c r="AL176" s="122"/>
      <x:c r="AM176" s="177" t="str">
        <x:f t="shared" si="75"/>
      </x:c>
      <x:c r="AN176" s="122"/>
      <x:c r="AO176" s="177" t="str">
        <x:f t="shared" si="76"/>
      </x:c>
      <x:c r="AP176" s="178" t="str">
        <x:f t="shared" si="77"/>
      </x:c>
      <x:c r="AQ176" s="122"/>
      <x:c r="AR176" s="177" t="str">
        <x:f t="shared" si="78"/>
      </x:c>
      <x:c r="AS176" s="122"/>
      <x:c r="AT176" s="177" t="str">
        <x:f t="shared" si="79"/>
      </x:c>
      <x:c r="AU176" s="178" t="str">
        <x:f t="shared" si="80"/>
      </x:c>
      <x:c r="AV176" s="122"/>
      <x:c r="AW176" s="177" t="str">
        <x:f t="shared" si="81"/>
      </x:c>
      <x:c r="AX176" s="122"/>
      <x:c r="AY176" s="177" t="str">
        <x:f t="shared" si="82"/>
      </x:c>
      <x:c r="AZ176" s="178" t="str">
        <x:f t="shared" si="83"/>
      </x:c>
      <x:c r="BA176" s="122"/>
      <x:c r="BB176" s="177" t="str">
        <x:f t="shared" si="84"/>
      </x:c>
      <x:c r="BC176" s="122"/>
      <x:c r="BD176" s="177" t="str">
        <x:f t="shared" si="85"/>
      </x:c>
      <x:c r="BE176" s="178" t="str">
        <x:f t="shared" si="86"/>
      </x:c>
      <x:c r="BF176" s="122"/>
      <x:c r="BG176" s="177" t="str">
        <x:f t="shared" si="87"/>
      </x:c>
      <x:c r="BH176" s="122"/>
      <x:c r="BI176" s="177" t="str">
        <x:f t="shared" si="88"/>
      </x:c>
      <x:c r="BJ176" s="178" t="str">
        <x:f t="shared" si="89"/>
      </x:c>
    </x:row>
    <x:row r="177" ht="19.5" hidden="1" customHeight="1">
      <x:c r="A177" s="160"/>
      <x:c r="B177" s="179"/>
      <x:c r="C177" s="171"/>
      <x:c r="D177" s="172"/>
      <x:c r="E177" s="171"/>
      <x:c r="F177" s="173"/>
      <x:c r="G177" s="174"/>
      <x:c r="H177" s="175"/>
      <x:c r="I177" s="174"/>
      <x:c r="J177" s="176"/>
      <x:c r="K177" s="233"/>
      <x:c r="L177" s="233"/>
      <x:c r="M177" s="122"/>
      <x:c r="N177" s="177" t="str">
        <x:f t="shared" si="60"/>
      </x:c>
      <x:c r="O177" s="122"/>
      <x:c r="P177" s="177" t="str">
        <x:f t="shared" si="61"/>
      </x:c>
      <x:c r="Q177" s="178" t="str">
        <x:f t="shared" si="62"/>
      </x:c>
      <x:c r="R177" s="122"/>
      <x:c r="S177" s="177" t="str">
        <x:f t="shared" si="63"/>
      </x:c>
      <x:c r="T177" s="122"/>
      <x:c r="U177" s="177" t="str">
        <x:f t="shared" si="64"/>
      </x:c>
      <x:c r="V177" s="178" t="str">
        <x:f t="shared" si="65"/>
      </x:c>
      <x:c r="W177" s="122"/>
      <x:c r="X177" s="177" t="str">
        <x:f t="shared" si="66"/>
      </x:c>
      <x:c r="Y177" s="122"/>
      <x:c r="Z177" s="177" t="str">
        <x:f t="shared" si="67"/>
      </x:c>
      <x:c r="AA177" s="178" t="str">
        <x:f t="shared" si="68"/>
      </x:c>
      <x:c r="AB177" s="122"/>
      <x:c r="AC177" s="177" t="str">
        <x:f t="shared" si="69"/>
      </x:c>
      <x:c r="AD177" s="122"/>
      <x:c r="AE177" s="177" t="str">
        <x:f t="shared" si="70"/>
      </x:c>
      <x:c r="AF177" s="178" t="str">
        <x:f t="shared" si="71"/>
      </x:c>
      <x:c r="AG177" s="122"/>
      <x:c r="AH177" s="177" t="str">
        <x:f t="shared" si="72"/>
      </x:c>
      <x:c r="AI177" s="122"/>
      <x:c r="AJ177" s="177" t="str">
        <x:f t="shared" si="73"/>
      </x:c>
      <x:c r="AK177" s="178" t="str">
        <x:f t="shared" si="74"/>
      </x:c>
      <x:c r="AL177" s="122"/>
      <x:c r="AM177" s="177" t="str">
        <x:f t="shared" si="75"/>
      </x:c>
      <x:c r="AN177" s="122"/>
      <x:c r="AO177" s="177" t="str">
        <x:f t="shared" si="76"/>
      </x:c>
      <x:c r="AP177" s="178" t="str">
        <x:f t="shared" si="77"/>
      </x:c>
      <x:c r="AQ177" s="122"/>
      <x:c r="AR177" s="177" t="str">
        <x:f t="shared" si="78"/>
      </x:c>
      <x:c r="AS177" s="122"/>
      <x:c r="AT177" s="177" t="str">
        <x:f t="shared" si="79"/>
      </x:c>
      <x:c r="AU177" s="178" t="str">
        <x:f t="shared" si="80"/>
      </x:c>
      <x:c r="AV177" s="122"/>
      <x:c r="AW177" s="177" t="str">
        <x:f t="shared" si="81"/>
      </x:c>
      <x:c r="AX177" s="122"/>
      <x:c r="AY177" s="177" t="str">
        <x:f t="shared" si="82"/>
      </x:c>
      <x:c r="AZ177" s="178" t="str">
        <x:f t="shared" si="83"/>
      </x:c>
      <x:c r="BA177" s="122"/>
      <x:c r="BB177" s="177" t="str">
        <x:f t="shared" si="84"/>
      </x:c>
      <x:c r="BC177" s="122"/>
      <x:c r="BD177" s="177" t="str">
        <x:f t="shared" si="85"/>
      </x:c>
      <x:c r="BE177" s="178" t="str">
        <x:f t="shared" si="86"/>
      </x:c>
      <x:c r="BF177" s="122"/>
      <x:c r="BG177" s="177" t="str">
        <x:f t="shared" si="87"/>
      </x:c>
      <x:c r="BH177" s="122"/>
      <x:c r="BI177" s="177" t="str">
        <x:f t="shared" si="88"/>
      </x:c>
      <x:c r="BJ177" s="178" t="str">
        <x:f t="shared" si="89"/>
      </x:c>
    </x:row>
    <x:row r="178" ht="19.5" hidden="1" customHeight="1">
      <x:c r="A178" s="169"/>
      <x:c r="B178" s="170"/>
      <x:c r="C178" s="171"/>
      <x:c r="D178" s="172"/>
      <x:c r="E178" s="171"/>
      <x:c r="F178" s="173"/>
      <x:c r="G178" s="174"/>
      <x:c r="H178" s="175"/>
      <x:c r="I178" s="174"/>
      <x:c r="J178" s="176"/>
      <x:c r="K178" s="233"/>
      <x:c r="L178" s="233"/>
      <x:c r="M178" s="122"/>
      <x:c r="N178" s="177" t="str">
        <x:f t="shared" si="60"/>
      </x:c>
      <x:c r="O178" s="122"/>
      <x:c r="P178" s="177" t="str">
        <x:f t="shared" si="61"/>
      </x:c>
      <x:c r="Q178" s="178" t="str">
        <x:f t="shared" si="62"/>
      </x:c>
      <x:c r="R178" s="122"/>
      <x:c r="S178" s="177" t="str">
        <x:f t="shared" si="63"/>
      </x:c>
      <x:c r="T178" s="122"/>
      <x:c r="U178" s="177" t="str">
        <x:f t="shared" si="64"/>
      </x:c>
      <x:c r="V178" s="178" t="str">
        <x:f t="shared" si="65"/>
      </x:c>
      <x:c r="W178" s="122"/>
      <x:c r="X178" s="177" t="str">
        <x:f t="shared" si="66"/>
      </x:c>
      <x:c r="Y178" s="122"/>
      <x:c r="Z178" s="177" t="str">
        <x:f t="shared" si="67"/>
      </x:c>
      <x:c r="AA178" s="178" t="str">
        <x:f t="shared" si="68"/>
      </x:c>
      <x:c r="AB178" s="122"/>
      <x:c r="AC178" s="177" t="str">
        <x:f t="shared" si="69"/>
      </x:c>
      <x:c r="AD178" s="122"/>
      <x:c r="AE178" s="177" t="str">
        <x:f t="shared" si="70"/>
      </x:c>
      <x:c r="AF178" s="178" t="str">
        <x:f t="shared" si="71"/>
      </x:c>
      <x:c r="AG178" s="122"/>
      <x:c r="AH178" s="177" t="str">
        <x:f t="shared" si="72"/>
      </x:c>
      <x:c r="AI178" s="122"/>
      <x:c r="AJ178" s="177" t="str">
        <x:f t="shared" si="73"/>
      </x:c>
      <x:c r="AK178" s="178" t="str">
        <x:f t="shared" si="74"/>
      </x:c>
      <x:c r="AL178" s="122"/>
      <x:c r="AM178" s="177" t="str">
        <x:f t="shared" si="75"/>
      </x:c>
      <x:c r="AN178" s="122"/>
      <x:c r="AO178" s="177" t="str">
        <x:f t="shared" si="76"/>
      </x:c>
      <x:c r="AP178" s="178" t="str">
        <x:f t="shared" si="77"/>
      </x:c>
      <x:c r="AQ178" s="122"/>
      <x:c r="AR178" s="177" t="str">
        <x:f t="shared" si="78"/>
      </x:c>
      <x:c r="AS178" s="122"/>
      <x:c r="AT178" s="177" t="str">
        <x:f t="shared" si="79"/>
      </x:c>
      <x:c r="AU178" s="178" t="str">
        <x:f t="shared" si="80"/>
      </x:c>
      <x:c r="AV178" s="122"/>
      <x:c r="AW178" s="177" t="str">
        <x:f t="shared" si="81"/>
      </x:c>
      <x:c r="AX178" s="122"/>
      <x:c r="AY178" s="177" t="str">
        <x:f t="shared" si="82"/>
      </x:c>
      <x:c r="AZ178" s="178" t="str">
        <x:f t="shared" si="83"/>
      </x:c>
      <x:c r="BA178" s="122"/>
      <x:c r="BB178" s="177" t="str">
        <x:f t="shared" si="84"/>
      </x:c>
      <x:c r="BC178" s="122"/>
      <x:c r="BD178" s="177" t="str">
        <x:f t="shared" si="85"/>
      </x:c>
      <x:c r="BE178" s="178" t="str">
        <x:f t="shared" si="86"/>
      </x:c>
      <x:c r="BF178" s="122"/>
      <x:c r="BG178" s="177" t="str">
        <x:f t="shared" si="87"/>
      </x:c>
      <x:c r="BH178" s="122"/>
      <x:c r="BI178" s="177" t="str">
        <x:f t="shared" si="88"/>
      </x:c>
      <x:c r="BJ178" s="178" t="str">
        <x:f t="shared" si="89"/>
      </x:c>
    </x:row>
    <x:row r="179" ht="19.5" hidden="1" customHeight="1">
      <x:c r="A179" s="160"/>
      <x:c r="B179" s="179"/>
      <x:c r="C179" s="171"/>
      <x:c r="D179" s="172"/>
      <x:c r="E179" s="171"/>
      <x:c r="F179" s="173"/>
      <x:c r="G179" s="174"/>
      <x:c r="H179" s="175"/>
      <x:c r="I179" s="174"/>
      <x:c r="J179" s="176"/>
      <x:c r="K179" s="233"/>
      <x:c r="L179" s="233"/>
      <x:c r="M179" s="122"/>
      <x:c r="N179" s="177" t="str">
        <x:f t="shared" si="60"/>
      </x:c>
      <x:c r="O179" s="122"/>
      <x:c r="P179" s="177" t="str">
        <x:f t="shared" si="61"/>
      </x:c>
      <x:c r="Q179" s="178" t="str">
        <x:f t="shared" si="62"/>
      </x:c>
      <x:c r="R179" s="122"/>
      <x:c r="S179" s="177" t="str">
        <x:f t="shared" si="63"/>
      </x:c>
      <x:c r="T179" s="122"/>
      <x:c r="U179" s="177" t="str">
        <x:f t="shared" si="64"/>
      </x:c>
      <x:c r="V179" s="178" t="str">
        <x:f t="shared" si="65"/>
      </x:c>
      <x:c r="W179" s="122"/>
      <x:c r="X179" s="177" t="str">
        <x:f t="shared" si="66"/>
      </x:c>
      <x:c r="Y179" s="122"/>
      <x:c r="Z179" s="177" t="str">
        <x:f t="shared" si="67"/>
      </x:c>
      <x:c r="AA179" s="178" t="str">
        <x:f t="shared" si="68"/>
      </x:c>
      <x:c r="AB179" s="122"/>
      <x:c r="AC179" s="177" t="str">
        <x:f t="shared" si="69"/>
      </x:c>
      <x:c r="AD179" s="122"/>
      <x:c r="AE179" s="177" t="str">
        <x:f t="shared" si="70"/>
      </x:c>
      <x:c r="AF179" s="178" t="str">
        <x:f t="shared" si="71"/>
      </x:c>
      <x:c r="AG179" s="122"/>
      <x:c r="AH179" s="177" t="str">
        <x:f t="shared" si="72"/>
      </x:c>
      <x:c r="AI179" s="122"/>
      <x:c r="AJ179" s="177" t="str">
        <x:f t="shared" si="73"/>
      </x:c>
      <x:c r="AK179" s="178" t="str">
        <x:f t="shared" si="74"/>
      </x:c>
      <x:c r="AL179" s="122"/>
      <x:c r="AM179" s="177" t="str">
        <x:f t="shared" si="75"/>
      </x:c>
      <x:c r="AN179" s="122"/>
      <x:c r="AO179" s="177" t="str">
        <x:f t="shared" si="76"/>
      </x:c>
      <x:c r="AP179" s="178" t="str">
        <x:f t="shared" si="77"/>
      </x:c>
      <x:c r="AQ179" s="122"/>
      <x:c r="AR179" s="177" t="str">
        <x:f t="shared" si="78"/>
      </x:c>
      <x:c r="AS179" s="122"/>
      <x:c r="AT179" s="177" t="str">
        <x:f t="shared" si="79"/>
      </x:c>
      <x:c r="AU179" s="178" t="str">
        <x:f t="shared" si="80"/>
      </x:c>
      <x:c r="AV179" s="122"/>
      <x:c r="AW179" s="177" t="str">
        <x:f t="shared" si="81"/>
      </x:c>
      <x:c r="AX179" s="122"/>
      <x:c r="AY179" s="177" t="str">
        <x:f t="shared" si="82"/>
      </x:c>
      <x:c r="AZ179" s="178" t="str">
        <x:f t="shared" si="83"/>
      </x:c>
      <x:c r="BA179" s="122"/>
      <x:c r="BB179" s="177" t="str">
        <x:f t="shared" si="84"/>
      </x:c>
      <x:c r="BC179" s="122"/>
      <x:c r="BD179" s="177" t="str">
        <x:f t="shared" si="85"/>
      </x:c>
      <x:c r="BE179" s="178" t="str">
        <x:f t="shared" si="86"/>
      </x:c>
      <x:c r="BF179" s="122"/>
      <x:c r="BG179" s="177" t="str">
        <x:f t="shared" si="87"/>
      </x:c>
      <x:c r="BH179" s="122"/>
      <x:c r="BI179" s="177" t="str">
        <x:f t="shared" si="88"/>
      </x:c>
      <x:c r="BJ179" s="178" t="str">
        <x:f t="shared" si="89"/>
      </x:c>
    </x:row>
    <x:row r="180" ht="19.5" hidden="1" customHeight="1">
      <x:c r="A180" s="169"/>
      <x:c r="B180" s="170"/>
      <x:c r="C180" s="171"/>
      <x:c r="D180" s="172"/>
      <x:c r="E180" s="171"/>
      <x:c r="F180" s="173"/>
      <x:c r="G180" s="174"/>
      <x:c r="H180" s="175"/>
      <x:c r="I180" s="174"/>
      <x:c r="J180" s="176"/>
      <x:c r="K180" s="233"/>
      <x:c r="L180" s="233"/>
      <x:c r="M180" s="122"/>
      <x:c r="N180" s="177" t="str">
        <x:f t="shared" si="60"/>
      </x:c>
      <x:c r="O180" s="122"/>
      <x:c r="P180" s="177" t="str">
        <x:f t="shared" si="61"/>
      </x:c>
      <x:c r="Q180" s="178" t="str">
        <x:f t="shared" si="62"/>
      </x:c>
      <x:c r="R180" s="122"/>
      <x:c r="S180" s="177" t="str">
        <x:f t="shared" si="63"/>
      </x:c>
      <x:c r="T180" s="122"/>
      <x:c r="U180" s="177" t="str">
        <x:f t="shared" si="64"/>
      </x:c>
      <x:c r="V180" s="178" t="str">
        <x:f t="shared" si="65"/>
      </x:c>
      <x:c r="W180" s="122"/>
      <x:c r="X180" s="177" t="str">
        <x:f t="shared" si="66"/>
      </x:c>
      <x:c r="Y180" s="122"/>
      <x:c r="Z180" s="177" t="str">
        <x:f t="shared" si="67"/>
      </x:c>
      <x:c r="AA180" s="178" t="str">
        <x:f t="shared" si="68"/>
      </x:c>
      <x:c r="AB180" s="122"/>
      <x:c r="AC180" s="177" t="str">
        <x:f t="shared" si="69"/>
      </x:c>
      <x:c r="AD180" s="122"/>
      <x:c r="AE180" s="177" t="str">
        <x:f t="shared" si="70"/>
      </x:c>
      <x:c r="AF180" s="178" t="str">
        <x:f t="shared" si="71"/>
      </x:c>
      <x:c r="AG180" s="122"/>
      <x:c r="AH180" s="177" t="str">
        <x:f t="shared" si="72"/>
      </x:c>
      <x:c r="AI180" s="122"/>
      <x:c r="AJ180" s="177" t="str">
        <x:f t="shared" si="73"/>
      </x:c>
      <x:c r="AK180" s="178" t="str">
        <x:f t="shared" si="74"/>
      </x:c>
      <x:c r="AL180" s="122"/>
      <x:c r="AM180" s="177" t="str">
        <x:f t="shared" si="75"/>
      </x:c>
      <x:c r="AN180" s="122"/>
      <x:c r="AO180" s="177" t="str">
        <x:f t="shared" si="76"/>
      </x:c>
      <x:c r="AP180" s="178" t="str">
        <x:f t="shared" si="77"/>
      </x:c>
      <x:c r="AQ180" s="122"/>
      <x:c r="AR180" s="177" t="str">
        <x:f t="shared" si="78"/>
      </x:c>
      <x:c r="AS180" s="122"/>
      <x:c r="AT180" s="177" t="str">
        <x:f t="shared" si="79"/>
      </x:c>
      <x:c r="AU180" s="178" t="str">
        <x:f t="shared" si="80"/>
      </x:c>
      <x:c r="AV180" s="122"/>
      <x:c r="AW180" s="177" t="str">
        <x:f t="shared" si="81"/>
      </x:c>
      <x:c r="AX180" s="122"/>
      <x:c r="AY180" s="177" t="str">
        <x:f t="shared" si="82"/>
      </x:c>
      <x:c r="AZ180" s="178" t="str">
        <x:f t="shared" si="83"/>
      </x:c>
      <x:c r="BA180" s="122"/>
      <x:c r="BB180" s="177" t="str">
        <x:f t="shared" si="84"/>
      </x:c>
      <x:c r="BC180" s="122"/>
      <x:c r="BD180" s="177" t="str">
        <x:f t="shared" si="85"/>
      </x:c>
      <x:c r="BE180" s="178" t="str">
        <x:f t="shared" si="86"/>
      </x:c>
      <x:c r="BF180" s="122"/>
      <x:c r="BG180" s="177" t="str">
        <x:f t="shared" si="87"/>
      </x:c>
      <x:c r="BH180" s="122"/>
      <x:c r="BI180" s="177" t="str">
        <x:f t="shared" si="88"/>
      </x:c>
      <x:c r="BJ180" s="178" t="str">
        <x:f t="shared" si="89"/>
      </x:c>
    </x:row>
    <x:row r="181" ht="19.5" hidden="1" customHeight="1">
      <x:c r="A181" s="160"/>
      <x:c r="B181" s="179"/>
      <x:c r="C181" s="171"/>
      <x:c r="D181" s="172"/>
      <x:c r="E181" s="171"/>
      <x:c r="F181" s="173"/>
      <x:c r="G181" s="174"/>
      <x:c r="H181" s="175"/>
      <x:c r="I181" s="174"/>
      <x:c r="J181" s="176"/>
      <x:c r="K181" s="233"/>
      <x:c r="L181" s="233"/>
      <x:c r="M181" s="122"/>
      <x:c r="N181" s="177" t="str">
        <x:f t="shared" si="60"/>
      </x:c>
      <x:c r="O181" s="122"/>
      <x:c r="P181" s="177" t="str">
        <x:f t="shared" si="61"/>
      </x:c>
      <x:c r="Q181" s="178" t="str">
        <x:f t="shared" si="62"/>
      </x:c>
      <x:c r="R181" s="122"/>
      <x:c r="S181" s="177" t="str">
        <x:f t="shared" si="63"/>
      </x:c>
      <x:c r="T181" s="122"/>
      <x:c r="U181" s="177" t="str">
        <x:f t="shared" si="64"/>
      </x:c>
      <x:c r="V181" s="178" t="str">
        <x:f t="shared" si="65"/>
      </x:c>
      <x:c r="W181" s="122"/>
      <x:c r="X181" s="177" t="str">
        <x:f t="shared" si="66"/>
      </x:c>
      <x:c r="Y181" s="122"/>
      <x:c r="Z181" s="177" t="str">
        <x:f t="shared" si="67"/>
      </x:c>
      <x:c r="AA181" s="178" t="str">
        <x:f t="shared" si="68"/>
      </x:c>
      <x:c r="AB181" s="122"/>
      <x:c r="AC181" s="177" t="str">
        <x:f t="shared" si="69"/>
      </x:c>
      <x:c r="AD181" s="122"/>
      <x:c r="AE181" s="177" t="str">
        <x:f t="shared" si="70"/>
      </x:c>
      <x:c r="AF181" s="178" t="str">
        <x:f t="shared" si="71"/>
      </x:c>
      <x:c r="AG181" s="122"/>
      <x:c r="AH181" s="177" t="str">
        <x:f t="shared" si="72"/>
      </x:c>
      <x:c r="AI181" s="122"/>
      <x:c r="AJ181" s="177" t="str">
        <x:f t="shared" si="73"/>
      </x:c>
      <x:c r="AK181" s="178" t="str">
        <x:f t="shared" si="74"/>
      </x:c>
      <x:c r="AL181" s="122"/>
      <x:c r="AM181" s="177" t="str">
        <x:f t="shared" si="75"/>
      </x:c>
      <x:c r="AN181" s="122"/>
      <x:c r="AO181" s="177" t="str">
        <x:f t="shared" si="76"/>
      </x:c>
      <x:c r="AP181" s="178" t="str">
        <x:f t="shared" si="77"/>
      </x:c>
      <x:c r="AQ181" s="122"/>
      <x:c r="AR181" s="177" t="str">
        <x:f t="shared" si="78"/>
      </x:c>
      <x:c r="AS181" s="122"/>
      <x:c r="AT181" s="177" t="str">
        <x:f t="shared" si="79"/>
      </x:c>
      <x:c r="AU181" s="178" t="str">
        <x:f t="shared" si="80"/>
      </x:c>
      <x:c r="AV181" s="122"/>
      <x:c r="AW181" s="177" t="str">
        <x:f t="shared" si="81"/>
      </x:c>
      <x:c r="AX181" s="122"/>
      <x:c r="AY181" s="177" t="str">
        <x:f t="shared" si="82"/>
      </x:c>
      <x:c r="AZ181" s="178" t="str">
        <x:f t="shared" si="83"/>
      </x:c>
      <x:c r="BA181" s="122"/>
      <x:c r="BB181" s="177" t="str">
        <x:f t="shared" si="84"/>
      </x:c>
      <x:c r="BC181" s="122"/>
      <x:c r="BD181" s="177" t="str">
        <x:f t="shared" si="85"/>
      </x:c>
      <x:c r="BE181" s="178" t="str">
        <x:f t="shared" si="86"/>
      </x:c>
      <x:c r="BF181" s="122"/>
      <x:c r="BG181" s="177" t="str">
        <x:f t="shared" si="87"/>
      </x:c>
      <x:c r="BH181" s="122"/>
      <x:c r="BI181" s="177" t="str">
        <x:f t="shared" si="88"/>
      </x:c>
      <x:c r="BJ181" s="178" t="str">
        <x:f t="shared" si="89"/>
      </x:c>
    </x:row>
    <x:row r="182" ht="19.5" hidden="1" customHeight="1">
      <x:c r="A182" s="169"/>
      <x:c r="B182" s="170"/>
      <x:c r="C182" s="171"/>
      <x:c r="D182" s="172"/>
      <x:c r="E182" s="171"/>
      <x:c r="F182" s="173"/>
      <x:c r="G182" s="174"/>
      <x:c r="H182" s="175"/>
      <x:c r="I182" s="174"/>
      <x:c r="J182" s="176"/>
      <x:c r="K182" s="233"/>
      <x:c r="L182" s="233"/>
      <x:c r="M182" s="122"/>
      <x:c r="N182" s="177" t="str">
        <x:f t="shared" si="60"/>
      </x:c>
      <x:c r="O182" s="122"/>
      <x:c r="P182" s="177" t="str">
        <x:f t="shared" si="61"/>
      </x:c>
      <x:c r="Q182" s="178" t="str">
        <x:f t="shared" si="62"/>
      </x:c>
      <x:c r="R182" s="122"/>
      <x:c r="S182" s="177" t="str">
        <x:f t="shared" si="63"/>
      </x:c>
      <x:c r="T182" s="122"/>
      <x:c r="U182" s="177" t="str">
        <x:f t="shared" si="64"/>
      </x:c>
      <x:c r="V182" s="178" t="str">
        <x:f t="shared" si="65"/>
      </x:c>
      <x:c r="W182" s="122"/>
      <x:c r="X182" s="177" t="str">
        <x:f t="shared" si="66"/>
      </x:c>
      <x:c r="Y182" s="122"/>
      <x:c r="Z182" s="177" t="str">
        <x:f t="shared" si="67"/>
      </x:c>
      <x:c r="AA182" s="178" t="str">
        <x:f t="shared" si="68"/>
      </x:c>
      <x:c r="AB182" s="122"/>
      <x:c r="AC182" s="177" t="str">
        <x:f t="shared" si="69"/>
      </x:c>
      <x:c r="AD182" s="122"/>
      <x:c r="AE182" s="177" t="str">
        <x:f t="shared" si="70"/>
      </x:c>
      <x:c r="AF182" s="178" t="str">
        <x:f t="shared" si="71"/>
      </x:c>
      <x:c r="AG182" s="122"/>
      <x:c r="AH182" s="177" t="str">
        <x:f t="shared" si="72"/>
      </x:c>
      <x:c r="AI182" s="122"/>
      <x:c r="AJ182" s="177" t="str">
        <x:f t="shared" si="73"/>
      </x:c>
      <x:c r="AK182" s="178" t="str">
        <x:f t="shared" si="74"/>
      </x:c>
      <x:c r="AL182" s="122"/>
      <x:c r="AM182" s="177" t="str">
        <x:f t="shared" si="75"/>
      </x:c>
      <x:c r="AN182" s="122"/>
      <x:c r="AO182" s="177" t="str">
        <x:f t="shared" si="76"/>
      </x:c>
      <x:c r="AP182" s="178" t="str">
        <x:f t="shared" si="77"/>
      </x:c>
      <x:c r="AQ182" s="122"/>
      <x:c r="AR182" s="177" t="str">
        <x:f t="shared" si="78"/>
      </x:c>
      <x:c r="AS182" s="122"/>
      <x:c r="AT182" s="177" t="str">
        <x:f t="shared" si="79"/>
      </x:c>
      <x:c r="AU182" s="178" t="str">
        <x:f t="shared" si="80"/>
      </x:c>
      <x:c r="AV182" s="122"/>
      <x:c r="AW182" s="177" t="str">
        <x:f t="shared" si="81"/>
      </x:c>
      <x:c r="AX182" s="122"/>
      <x:c r="AY182" s="177" t="str">
        <x:f t="shared" si="82"/>
      </x:c>
      <x:c r="AZ182" s="178" t="str">
        <x:f t="shared" si="83"/>
      </x:c>
      <x:c r="BA182" s="122"/>
      <x:c r="BB182" s="177" t="str">
        <x:f t="shared" si="84"/>
      </x:c>
      <x:c r="BC182" s="122"/>
      <x:c r="BD182" s="177" t="str">
        <x:f t="shared" si="85"/>
      </x:c>
      <x:c r="BE182" s="178" t="str">
        <x:f t="shared" si="86"/>
      </x:c>
      <x:c r="BF182" s="122"/>
      <x:c r="BG182" s="177" t="str">
        <x:f t="shared" si="87"/>
      </x:c>
      <x:c r="BH182" s="122"/>
      <x:c r="BI182" s="177" t="str">
        <x:f t="shared" si="88"/>
      </x:c>
      <x:c r="BJ182" s="178" t="str">
        <x:f t="shared" si="89"/>
      </x:c>
    </x:row>
    <x:row r="183" ht="19.5" hidden="1" customHeight="1">
      <x:c r="A183" s="160"/>
      <x:c r="B183" s="179"/>
      <x:c r="C183" s="171"/>
      <x:c r="D183" s="172"/>
      <x:c r="E183" s="171"/>
      <x:c r="F183" s="173"/>
      <x:c r="G183" s="174"/>
      <x:c r="H183" s="175"/>
      <x:c r="I183" s="174"/>
      <x:c r="J183" s="176"/>
      <x:c r="K183" s="233"/>
      <x:c r="L183" s="233"/>
      <x:c r="M183" s="122"/>
      <x:c r="N183" s="177" t="str">
        <x:f t="shared" si="60"/>
      </x:c>
      <x:c r="O183" s="122"/>
      <x:c r="P183" s="177" t="str">
        <x:f t="shared" si="61"/>
      </x:c>
      <x:c r="Q183" s="178" t="str">
        <x:f t="shared" si="62"/>
      </x:c>
      <x:c r="R183" s="122"/>
      <x:c r="S183" s="177" t="str">
        <x:f t="shared" si="63"/>
      </x:c>
      <x:c r="T183" s="122"/>
      <x:c r="U183" s="177" t="str">
        <x:f t="shared" si="64"/>
      </x:c>
      <x:c r="V183" s="178" t="str">
        <x:f t="shared" si="65"/>
      </x:c>
      <x:c r="W183" s="122"/>
      <x:c r="X183" s="177" t="str">
        <x:f t="shared" si="66"/>
      </x:c>
      <x:c r="Y183" s="122"/>
      <x:c r="Z183" s="177" t="str">
        <x:f t="shared" si="67"/>
      </x:c>
      <x:c r="AA183" s="178" t="str">
        <x:f t="shared" si="68"/>
      </x:c>
      <x:c r="AB183" s="122"/>
      <x:c r="AC183" s="177" t="str">
        <x:f t="shared" si="69"/>
      </x:c>
      <x:c r="AD183" s="122"/>
      <x:c r="AE183" s="177" t="str">
        <x:f t="shared" si="70"/>
      </x:c>
      <x:c r="AF183" s="178" t="str">
        <x:f t="shared" si="71"/>
      </x:c>
      <x:c r="AG183" s="122"/>
      <x:c r="AH183" s="177" t="str">
        <x:f t="shared" si="72"/>
      </x:c>
      <x:c r="AI183" s="122"/>
      <x:c r="AJ183" s="177" t="str">
        <x:f t="shared" si="73"/>
      </x:c>
      <x:c r="AK183" s="178" t="str">
        <x:f t="shared" si="74"/>
      </x:c>
      <x:c r="AL183" s="122"/>
      <x:c r="AM183" s="177" t="str">
        <x:f t="shared" si="75"/>
      </x:c>
      <x:c r="AN183" s="122"/>
      <x:c r="AO183" s="177" t="str">
        <x:f t="shared" si="76"/>
      </x:c>
      <x:c r="AP183" s="178" t="str">
        <x:f t="shared" si="77"/>
      </x:c>
      <x:c r="AQ183" s="122"/>
      <x:c r="AR183" s="177" t="str">
        <x:f t="shared" si="78"/>
      </x:c>
      <x:c r="AS183" s="122"/>
      <x:c r="AT183" s="177" t="str">
        <x:f t="shared" si="79"/>
      </x:c>
      <x:c r="AU183" s="178" t="str">
        <x:f t="shared" si="80"/>
      </x:c>
      <x:c r="AV183" s="122"/>
      <x:c r="AW183" s="177" t="str">
        <x:f t="shared" si="81"/>
      </x:c>
      <x:c r="AX183" s="122"/>
      <x:c r="AY183" s="177" t="str">
        <x:f t="shared" si="82"/>
      </x:c>
      <x:c r="AZ183" s="178" t="str">
        <x:f t="shared" si="83"/>
      </x:c>
      <x:c r="BA183" s="122"/>
      <x:c r="BB183" s="177" t="str">
        <x:f t="shared" si="84"/>
      </x:c>
      <x:c r="BC183" s="122"/>
      <x:c r="BD183" s="177" t="str">
        <x:f t="shared" si="85"/>
      </x:c>
      <x:c r="BE183" s="178" t="str">
        <x:f t="shared" si="86"/>
      </x:c>
      <x:c r="BF183" s="122"/>
      <x:c r="BG183" s="177" t="str">
        <x:f t="shared" si="87"/>
      </x:c>
      <x:c r="BH183" s="122"/>
      <x:c r="BI183" s="177" t="str">
        <x:f t="shared" si="88"/>
      </x:c>
      <x:c r="BJ183" s="178" t="str">
        <x:f t="shared" si="89"/>
      </x:c>
    </x:row>
    <x:row r="184" ht="19.5" hidden="1" customHeight="1">
      <x:c r="A184" s="169"/>
      <x:c r="B184" s="170"/>
      <x:c r="C184" s="171"/>
      <x:c r="D184" s="172"/>
      <x:c r="E184" s="171"/>
      <x:c r="F184" s="173"/>
      <x:c r="G184" s="174"/>
      <x:c r="H184" s="175"/>
      <x:c r="I184" s="174"/>
      <x:c r="J184" s="176"/>
      <x:c r="K184" s="233"/>
      <x:c r="L184" s="233"/>
      <x:c r="M184" s="122"/>
      <x:c r="N184" s="177" t="str">
        <x:f t="shared" si="60"/>
      </x:c>
      <x:c r="O184" s="122"/>
      <x:c r="P184" s="177" t="str">
        <x:f t="shared" si="61"/>
      </x:c>
      <x:c r="Q184" s="178" t="str">
        <x:f t="shared" si="62"/>
      </x:c>
      <x:c r="R184" s="122"/>
      <x:c r="S184" s="177" t="str">
        <x:f t="shared" si="63"/>
      </x:c>
      <x:c r="T184" s="122"/>
      <x:c r="U184" s="177" t="str">
        <x:f t="shared" si="64"/>
      </x:c>
      <x:c r="V184" s="178" t="str">
        <x:f t="shared" si="65"/>
      </x:c>
      <x:c r="W184" s="122"/>
      <x:c r="X184" s="177" t="str">
        <x:f t="shared" si="66"/>
      </x:c>
      <x:c r="Y184" s="122"/>
      <x:c r="Z184" s="177" t="str">
        <x:f t="shared" si="67"/>
      </x:c>
      <x:c r="AA184" s="178" t="str">
        <x:f t="shared" si="68"/>
      </x:c>
      <x:c r="AB184" s="122"/>
      <x:c r="AC184" s="177" t="str">
        <x:f t="shared" si="69"/>
      </x:c>
      <x:c r="AD184" s="122"/>
      <x:c r="AE184" s="177" t="str">
        <x:f t="shared" si="70"/>
      </x:c>
      <x:c r="AF184" s="178" t="str">
        <x:f t="shared" si="71"/>
      </x:c>
      <x:c r="AG184" s="122"/>
      <x:c r="AH184" s="177" t="str">
        <x:f t="shared" si="72"/>
      </x:c>
      <x:c r="AI184" s="122"/>
      <x:c r="AJ184" s="177" t="str">
        <x:f t="shared" si="73"/>
      </x:c>
      <x:c r="AK184" s="178" t="str">
        <x:f t="shared" si="74"/>
      </x:c>
      <x:c r="AL184" s="122"/>
      <x:c r="AM184" s="177" t="str">
        <x:f t="shared" si="75"/>
      </x:c>
      <x:c r="AN184" s="122"/>
      <x:c r="AO184" s="177" t="str">
        <x:f t="shared" si="76"/>
      </x:c>
      <x:c r="AP184" s="178" t="str">
        <x:f t="shared" si="77"/>
      </x:c>
      <x:c r="AQ184" s="122"/>
      <x:c r="AR184" s="177" t="str">
        <x:f t="shared" si="78"/>
      </x:c>
      <x:c r="AS184" s="122"/>
      <x:c r="AT184" s="177" t="str">
        <x:f t="shared" si="79"/>
      </x:c>
      <x:c r="AU184" s="178" t="str">
        <x:f t="shared" si="80"/>
      </x:c>
      <x:c r="AV184" s="122"/>
      <x:c r="AW184" s="177" t="str">
        <x:f t="shared" si="81"/>
      </x:c>
      <x:c r="AX184" s="122"/>
      <x:c r="AY184" s="177" t="str">
        <x:f t="shared" si="82"/>
      </x:c>
      <x:c r="AZ184" s="178" t="str">
        <x:f t="shared" si="83"/>
      </x:c>
      <x:c r="BA184" s="122"/>
      <x:c r="BB184" s="177" t="str">
        <x:f t="shared" si="84"/>
      </x:c>
      <x:c r="BC184" s="122"/>
      <x:c r="BD184" s="177" t="str">
        <x:f t="shared" si="85"/>
      </x:c>
      <x:c r="BE184" s="178" t="str">
        <x:f t="shared" si="86"/>
      </x:c>
      <x:c r="BF184" s="122"/>
      <x:c r="BG184" s="177" t="str">
        <x:f t="shared" si="87"/>
      </x:c>
      <x:c r="BH184" s="122"/>
      <x:c r="BI184" s="177" t="str">
        <x:f t="shared" si="88"/>
      </x:c>
      <x:c r="BJ184" s="178" t="str">
        <x:f t="shared" si="89"/>
      </x:c>
    </x:row>
    <x:row r="185" ht="19.5" hidden="1" customHeight="1">
      <x:c r="A185" s="160"/>
      <x:c r="B185" s="179"/>
      <x:c r="C185" s="171"/>
      <x:c r="D185" s="172"/>
      <x:c r="E185" s="171"/>
      <x:c r="F185" s="173"/>
      <x:c r="G185" s="174"/>
      <x:c r="H185" s="175"/>
      <x:c r="I185" s="174"/>
      <x:c r="J185" s="176"/>
      <x:c r="K185" s="233"/>
      <x:c r="L185" s="233"/>
      <x:c r="M185" s="122"/>
      <x:c r="N185" s="177" t="str">
        <x:f t="shared" si="60"/>
      </x:c>
      <x:c r="O185" s="122"/>
      <x:c r="P185" s="177" t="str">
        <x:f t="shared" si="61"/>
      </x:c>
      <x:c r="Q185" s="178" t="str">
        <x:f t="shared" si="62"/>
      </x:c>
      <x:c r="R185" s="122"/>
      <x:c r="S185" s="177" t="str">
        <x:f t="shared" si="63"/>
      </x:c>
      <x:c r="T185" s="122"/>
      <x:c r="U185" s="177" t="str">
        <x:f t="shared" si="64"/>
      </x:c>
      <x:c r="V185" s="178" t="str">
        <x:f t="shared" si="65"/>
      </x:c>
      <x:c r="W185" s="122"/>
      <x:c r="X185" s="177" t="str">
        <x:f t="shared" si="66"/>
      </x:c>
      <x:c r="Y185" s="122"/>
      <x:c r="Z185" s="177" t="str">
        <x:f t="shared" si="67"/>
      </x:c>
      <x:c r="AA185" s="178" t="str">
        <x:f t="shared" si="68"/>
      </x:c>
      <x:c r="AB185" s="122"/>
      <x:c r="AC185" s="177" t="str">
        <x:f t="shared" si="69"/>
      </x:c>
      <x:c r="AD185" s="122"/>
      <x:c r="AE185" s="177" t="str">
        <x:f t="shared" si="70"/>
      </x:c>
      <x:c r="AF185" s="178" t="str">
        <x:f t="shared" si="71"/>
      </x:c>
      <x:c r="AG185" s="122"/>
      <x:c r="AH185" s="177" t="str">
        <x:f t="shared" si="72"/>
      </x:c>
      <x:c r="AI185" s="122"/>
      <x:c r="AJ185" s="177" t="str">
        <x:f t="shared" si="73"/>
      </x:c>
      <x:c r="AK185" s="178" t="str">
        <x:f t="shared" si="74"/>
      </x:c>
      <x:c r="AL185" s="122"/>
      <x:c r="AM185" s="177" t="str">
        <x:f t="shared" si="75"/>
      </x:c>
      <x:c r="AN185" s="122"/>
      <x:c r="AO185" s="177" t="str">
        <x:f t="shared" si="76"/>
      </x:c>
      <x:c r="AP185" s="178" t="str">
        <x:f t="shared" si="77"/>
      </x:c>
      <x:c r="AQ185" s="122"/>
      <x:c r="AR185" s="177" t="str">
        <x:f t="shared" si="78"/>
      </x:c>
      <x:c r="AS185" s="122"/>
      <x:c r="AT185" s="177" t="str">
        <x:f t="shared" si="79"/>
      </x:c>
      <x:c r="AU185" s="178" t="str">
        <x:f t="shared" si="80"/>
      </x:c>
      <x:c r="AV185" s="122"/>
      <x:c r="AW185" s="177" t="str">
        <x:f t="shared" si="81"/>
      </x:c>
      <x:c r="AX185" s="122"/>
      <x:c r="AY185" s="177" t="str">
        <x:f t="shared" si="82"/>
      </x:c>
      <x:c r="AZ185" s="178" t="str">
        <x:f t="shared" si="83"/>
      </x:c>
      <x:c r="BA185" s="122"/>
      <x:c r="BB185" s="177" t="str">
        <x:f t="shared" si="84"/>
      </x:c>
      <x:c r="BC185" s="122"/>
      <x:c r="BD185" s="177" t="str">
        <x:f t="shared" si="85"/>
      </x:c>
      <x:c r="BE185" s="178" t="str">
        <x:f t="shared" si="86"/>
      </x:c>
      <x:c r="BF185" s="122"/>
      <x:c r="BG185" s="177" t="str">
        <x:f t="shared" si="87"/>
      </x:c>
      <x:c r="BH185" s="122"/>
      <x:c r="BI185" s="177" t="str">
        <x:f t="shared" si="88"/>
      </x:c>
      <x:c r="BJ185" s="178" t="str">
        <x:f t="shared" si="89"/>
      </x:c>
    </x:row>
    <x:row r="186" ht="19.5" hidden="1" customHeight="1">
      <x:c r="A186" s="169"/>
      <x:c r="B186" s="170"/>
      <x:c r="C186" s="171"/>
      <x:c r="D186" s="172"/>
      <x:c r="E186" s="171"/>
      <x:c r="F186" s="173"/>
      <x:c r="G186" s="174"/>
      <x:c r="H186" s="175"/>
      <x:c r="I186" s="174"/>
      <x:c r="J186" s="176"/>
      <x:c r="K186" s="233"/>
      <x:c r="L186" s="233"/>
      <x:c r="M186" s="122"/>
      <x:c r="N186" s="177" t="str">
        <x:f t="shared" si="60"/>
      </x:c>
      <x:c r="O186" s="122"/>
      <x:c r="P186" s="177" t="str">
        <x:f t="shared" si="61"/>
      </x:c>
      <x:c r="Q186" s="178" t="str">
        <x:f t="shared" si="62"/>
      </x:c>
      <x:c r="R186" s="122"/>
      <x:c r="S186" s="177" t="str">
        <x:f t="shared" si="63"/>
      </x:c>
      <x:c r="T186" s="122"/>
      <x:c r="U186" s="177" t="str">
        <x:f t="shared" si="64"/>
      </x:c>
      <x:c r="V186" s="178" t="str">
        <x:f t="shared" si="65"/>
      </x:c>
      <x:c r="W186" s="122"/>
      <x:c r="X186" s="177" t="str">
        <x:f t="shared" si="66"/>
      </x:c>
      <x:c r="Y186" s="122"/>
      <x:c r="Z186" s="177" t="str">
        <x:f t="shared" si="67"/>
      </x:c>
      <x:c r="AA186" s="178" t="str">
        <x:f t="shared" si="68"/>
      </x:c>
      <x:c r="AB186" s="122"/>
      <x:c r="AC186" s="177" t="str">
        <x:f t="shared" si="69"/>
      </x:c>
      <x:c r="AD186" s="122"/>
      <x:c r="AE186" s="177" t="str">
        <x:f t="shared" si="70"/>
      </x:c>
      <x:c r="AF186" s="178" t="str">
        <x:f t="shared" si="71"/>
      </x:c>
      <x:c r="AG186" s="122"/>
      <x:c r="AH186" s="177" t="str">
        <x:f t="shared" si="72"/>
      </x:c>
      <x:c r="AI186" s="122"/>
      <x:c r="AJ186" s="177" t="str">
        <x:f t="shared" si="73"/>
      </x:c>
      <x:c r="AK186" s="178" t="str">
        <x:f t="shared" si="74"/>
      </x:c>
      <x:c r="AL186" s="122"/>
      <x:c r="AM186" s="177" t="str">
        <x:f t="shared" si="75"/>
      </x:c>
      <x:c r="AN186" s="122"/>
      <x:c r="AO186" s="177" t="str">
        <x:f t="shared" si="76"/>
      </x:c>
      <x:c r="AP186" s="178" t="str">
        <x:f t="shared" si="77"/>
      </x:c>
      <x:c r="AQ186" s="122"/>
      <x:c r="AR186" s="177" t="str">
        <x:f t="shared" si="78"/>
      </x:c>
      <x:c r="AS186" s="122"/>
      <x:c r="AT186" s="177" t="str">
        <x:f t="shared" si="79"/>
      </x:c>
      <x:c r="AU186" s="178" t="str">
        <x:f t="shared" si="80"/>
      </x:c>
      <x:c r="AV186" s="122"/>
      <x:c r="AW186" s="177" t="str">
        <x:f t="shared" si="81"/>
      </x:c>
      <x:c r="AX186" s="122"/>
      <x:c r="AY186" s="177" t="str">
        <x:f t="shared" si="82"/>
      </x:c>
      <x:c r="AZ186" s="178" t="str">
        <x:f t="shared" si="83"/>
      </x:c>
      <x:c r="BA186" s="122"/>
      <x:c r="BB186" s="177" t="str">
        <x:f t="shared" si="84"/>
      </x:c>
      <x:c r="BC186" s="122"/>
      <x:c r="BD186" s="177" t="str">
        <x:f t="shared" si="85"/>
      </x:c>
      <x:c r="BE186" s="178" t="str">
        <x:f t="shared" si="86"/>
      </x:c>
      <x:c r="BF186" s="122"/>
      <x:c r="BG186" s="177" t="str">
        <x:f t="shared" si="87"/>
      </x:c>
      <x:c r="BH186" s="122"/>
      <x:c r="BI186" s="177" t="str">
        <x:f t="shared" si="88"/>
      </x:c>
      <x:c r="BJ186" s="178" t="str">
        <x:f t="shared" si="89"/>
      </x:c>
    </x:row>
    <x:row r="187" ht="19.5" hidden="1" customHeight="1">
      <x:c r="A187" s="160"/>
      <x:c r="B187" s="179"/>
      <x:c r="C187" s="171"/>
      <x:c r="D187" s="172"/>
      <x:c r="E187" s="171"/>
      <x:c r="F187" s="173"/>
      <x:c r="G187" s="174"/>
      <x:c r="H187" s="175"/>
      <x:c r="I187" s="174"/>
      <x:c r="J187" s="176"/>
      <x:c r="K187" s="233"/>
      <x:c r="L187" s="233"/>
      <x:c r="M187" s="122"/>
      <x:c r="N187" s="177" t="str">
        <x:f t="shared" si="60"/>
      </x:c>
      <x:c r="O187" s="122"/>
      <x:c r="P187" s="177" t="str">
        <x:f t="shared" si="61"/>
      </x:c>
      <x:c r="Q187" s="178" t="str">
        <x:f t="shared" si="62"/>
      </x:c>
      <x:c r="R187" s="122"/>
      <x:c r="S187" s="177" t="str">
        <x:f t="shared" si="63"/>
      </x:c>
      <x:c r="T187" s="122"/>
      <x:c r="U187" s="177" t="str">
        <x:f t="shared" si="64"/>
      </x:c>
      <x:c r="V187" s="178" t="str">
        <x:f t="shared" si="65"/>
      </x:c>
      <x:c r="W187" s="122"/>
      <x:c r="X187" s="177" t="str">
        <x:f t="shared" si="66"/>
      </x:c>
      <x:c r="Y187" s="122"/>
      <x:c r="Z187" s="177" t="str">
        <x:f t="shared" si="67"/>
      </x:c>
      <x:c r="AA187" s="178" t="str">
        <x:f t="shared" si="68"/>
      </x:c>
      <x:c r="AB187" s="122"/>
      <x:c r="AC187" s="177" t="str">
        <x:f t="shared" si="69"/>
      </x:c>
      <x:c r="AD187" s="122"/>
      <x:c r="AE187" s="177" t="str">
        <x:f t="shared" si="70"/>
      </x:c>
      <x:c r="AF187" s="178" t="str">
        <x:f t="shared" si="71"/>
      </x:c>
      <x:c r="AG187" s="122"/>
      <x:c r="AH187" s="177" t="str">
        <x:f t="shared" si="72"/>
      </x:c>
      <x:c r="AI187" s="122"/>
      <x:c r="AJ187" s="177" t="str">
        <x:f t="shared" si="73"/>
      </x:c>
      <x:c r="AK187" s="178" t="str">
        <x:f t="shared" si="74"/>
      </x:c>
      <x:c r="AL187" s="122"/>
      <x:c r="AM187" s="177" t="str">
        <x:f t="shared" si="75"/>
      </x:c>
      <x:c r="AN187" s="122"/>
      <x:c r="AO187" s="177" t="str">
        <x:f t="shared" si="76"/>
      </x:c>
      <x:c r="AP187" s="178" t="str">
        <x:f t="shared" si="77"/>
      </x:c>
      <x:c r="AQ187" s="122"/>
      <x:c r="AR187" s="177" t="str">
        <x:f t="shared" si="78"/>
      </x:c>
      <x:c r="AS187" s="122"/>
      <x:c r="AT187" s="177" t="str">
        <x:f t="shared" si="79"/>
      </x:c>
      <x:c r="AU187" s="178" t="str">
        <x:f t="shared" si="80"/>
      </x:c>
      <x:c r="AV187" s="122"/>
      <x:c r="AW187" s="177" t="str">
        <x:f t="shared" si="81"/>
      </x:c>
      <x:c r="AX187" s="122"/>
      <x:c r="AY187" s="177" t="str">
        <x:f t="shared" si="82"/>
      </x:c>
      <x:c r="AZ187" s="178" t="str">
        <x:f t="shared" si="83"/>
      </x:c>
      <x:c r="BA187" s="122"/>
      <x:c r="BB187" s="177" t="str">
        <x:f t="shared" si="84"/>
      </x:c>
      <x:c r="BC187" s="122"/>
      <x:c r="BD187" s="177" t="str">
        <x:f t="shared" si="85"/>
      </x:c>
      <x:c r="BE187" s="178" t="str">
        <x:f t="shared" si="86"/>
      </x:c>
      <x:c r="BF187" s="122"/>
      <x:c r="BG187" s="177" t="str">
        <x:f t="shared" si="87"/>
      </x:c>
      <x:c r="BH187" s="122"/>
      <x:c r="BI187" s="177" t="str">
        <x:f t="shared" si="88"/>
      </x:c>
      <x:c r="BJ187" s="178" t="str">
        <x:f t="shared" si="89"/>
      </x:c>
    </x:row>
    <x:row r="188" ht="19.5" hidden="1" customHeight="1">
      <x:c r="A188" s="169"/>
      <x:c r="B188" s="170"/>
      <x:c r="C188" s="171"/>
      <x:c r="D188" s="172"/>
      <x:c r="E188" s="171"/>
      <x:c r="F188" s="173"/>
      <x:c r="G188" s="174"/>
      <x:c r="H188" s="175"/>
      <x:c r="I188" s="174"/>
      <x:c r="J188" s="176"/>
      <x:c r="K188" s="233"/>
      <x:c r="L188" s="233"/>
      <x:c r="M188" s="122"/>
      <x:c r="N188" s="177" t="str">
        <x:f t="shared" si="60"/>
      </x:c>
      <x:c r="O188" s="122"/>
      <x:c r="P188" s="177" t="str">
        <x:f t="shared" si="61"/>
      </x:c>
      <x:c r="Q188" s="178" t="str">
        <x:f t="shared" si="62"/>
      </x:c>
      <x:c r="R188" s="122"/>
      <x:c r="S188" s="177" t="str">
        <x:f t="shared" si="63"/>
      </x:c>
      <x:c r="T188" s="122"/>
      <x:c r="U188" s="177" t="str">
        <x:f t="shared" si="64"/>
      </x:c>
      <x:c r="V188" s="178" t="str">
        <x:f t="shared" si="65"/>
      </x:c>
      <x:c r="W188" s="122"/>
      <x:c r="X188" s="177" t="str">
        <x:f t="shared" si="66"/>
      </x:c>
      <x:c r="Y188" s="122"/>
      <x:c r="Z188" s="177" t="str">
        <x:f t="shared" si="67"/>
      </x:c>
      <x:c r="AA188" s="178" t="str">
        <x:f t="shared" si="68"/>
      </x:c>
      <x:c r="AB188" s="122"/>
      <x:c r="AC188" s="177" t="str">
        <x:f t="shared" si="69"/>
      </x:c>
      <x:c r="AD188" s="122"/>
      <x:c r="AE188" s="177" t="str">
        <x:f t="shared" si="70"/>
      </x:c>
      <x:c r="AF188" s="178" t="str">
        <x:f t="shared" si="71"/>
      </x:c>
      <x:c r="AG188" s="122"/>
      <x:c r="AH188" s="177" t="str">
        <x:f t="shared" si="72"/>
      </x:c>
      <x:c r="AI188" s="122"/>
      <x:c r="AJ188" s="177" t="str">
        <x:f t="shared" si="73"/>
      </x:c>
      <x:c r="AK188" s="178" t="str">
        <x:f t="shared" si="74"/>
      </x:c>
      <x:c r="AL188" s="122"/>
      <x:c r="AM188" s="177" t="str">
        <x:f t="shared" si="75"/>
      </x:c>
      <x:c r="AN188" s="122"/>
      <x:c r="AO188" s="177" t="str">
        <x:f t="shared" si="76"/>
      </x:c>
      <x:c r="AP188" s="178" t="str">
        <x:f t="shared" si="77"/>
      </x:c>
      <x:c r="AQ188" s="122"/>
      <x:c r="AR188" s="177" t="str">
        <x:f t="shared" si="78"/>
      </x:c>
      <x:c r="AS188" s="122"/>
      <x:c r="AT188" s="177" t="str">
        <x:f t="shared" si="79"/>
      </x:c>
      <x:c r="AU188" s="178" t="str">
        <x:f t="shared" si="80"/>
      </x:c>
      <x:c r="AV188" s="122"/>
      <x:c r="AW188" s="177" t="str">
        <x:f t="shared" si="81"/>
      </x:c>
      <x:c r="AX188" s="122"/>
      <x:c r="AY188" s="177" t="str">
        <x:f t="shared" si="82"/>
      </x:c>
      <x:c r="AZ188" s="178" t="str">
        <x:f t="shared" si="83"/>
      </x:c>
      <x:c r="BA188" s="122"/>
      <x:c r="BB188" s="177" t="str">
        <x:f t="shared" si="84"/>
      </x:c>
      <x:c r="BC188" s="122"/>
      <x:c r="BD188" s="177" t="str">
        <x:f t="shared" si="85"/>
      </x:c>
      <x:c r="BE188" s="178" t="str">
        <x:f t="shared" si="86"/>
      </x:c>
      <x:c r="BF188" s="122"/>
      <x:c r="BG188" s="177" t="str">
        <x:f t="shared" si="87"/>
      </x:c>
      <x:c r="BH188" s="122"/>
      <x:c r="BI188" s="177" t="str">
        <x:f t="shared" si="88"/>
      </x:c>
      <x:c r="BJ188" s="178" t="str">
        <x:f t="shared" si="89"/>
      </x:c>
    </x:row>
    <x:row r="189" ht="19.5" hidden="1" customHeight="1">
      <x:c r="A189" s="160"/>
      <x:c r="B189" s="179"/>
      <x:c r="C189" s="171"/>
      <x:c r="D189" s="172"/>
      <x:c r="E189" s="171"/>
      <x:c r="F189" s="173"/>
      <x:c r="G189" s="174"/>
      <x:c r="H189" s="175"/>
      <x:c r="I189" s="174"/>
      <x:c r="J189" s="176"/>
      <x:c r="K189" s="233"/>
      <x:c r="L189" s="233"/>
      <x:c r="M189" s="122"/>
      <x:c r="N189" s="177" t="str">
        <x:f t="shared" si="60"/>
      </x:c>
      <x:c r="O189" s="122"/>
      <x:c r="P189" s="177" t="str">
        <x:f t="shared" si="61"/>
      </x:c>
      <x:c r="Q189" s="178" t="str">
        <x:f t="shared" si="62"/>
      </x:c>
      <x:c r="R189" s="122"/>
      <x:c r="S189" s="177" t="str">
        <x:f t="shared" si="63"/>
      </x:c>
      <x:c r="T189" s="122"/>
      <x:c r="U189" s="177" t="str">
        <x:f t="shared" si="64"/>
      </x:c>
      <x:c r="V189" s="178" t="str">
        <x:f t="shared" si="65"/>
      </x:c>
      <x:c r="W189" s="122"/>
      <x:c r="X189" s="177" t="str">
        <x:f t="shared" si="66"/>
      </x:c>
      <x:c r="Y189" s="122"/>
      <x:c r="Z189" s="177" t="str">
        <x:f t="shared" si="67"/>
      </x:c>
      <x:c r="AA189" s="178" t="str">
        <x:f t="shared" si="68"/>
      </x:c>
      <x:c r="AB189" s="122"/>
      <x:c r="AC189" s="177" t="str">
        <x:f t="shared" si="69"/>
      </x:c>
      <x:c r="AD189" s="122"/>
      <x:c r="AE189" s="177" t="str">
        <x:f t="shared" si="70"/>
      </x:c>
      <x:c r="AF189" s="178" t="str">
        <x:f t="shared" si="71"/>
      </x:c>
      <x:c r="AG189" s="122"/>
      <x:c r="AH189" s="177" t="str">
        <x:f t="shared" si="72"/>
      </x:c>
      <x:c r="AI189" s="122"/>
      <x:c r="AJ189" s="177" t="str">
        <x:f t="shared" si="73"/>
      </x:c>
      <x:c r="AK189" s="178" t="str">
        <x:f t="shared" si="74"/>
      </x:c>
      <x:c r="AL189" s="122"/>
      <x:c r="AM189" s="177" t="str">
        <x:f t="shared" si="75"/>
      </x:c>
      <x:c r="AN189" s="122"/>
      <x:c r="AO189" s="177" t="str">
        <x:f t="shared" si="76"/>
      </x:c>
      <x:c r="AP189" s="178" t="str">
        <x:f t="shared" si="77"/>
      </x:c>
      <x:c r="AQ189" s="122"/>
      <x:c r="AR189" s="177" t="str">
        <x:f t="shared" si="78"/>
      </x:c>
      <x:c r="AS189" s="122"/>
      <x:c r="AT189" s="177" t="str">
        <x:f t="shared" si="79"/>
      </x:c>
      <x:c r="AU189" s="178" t="str">
        <x:f t="shared" si="80"/>
      </x:c>
      <x:c r="AV189" s="122"/>
      <x:c r="AW189" s="177" t="str">
        <x:f t="shared" si="81"/>
      </x:c>
      <x:c r="AX189" s="122"/>
      <x:c r="AY189" s="177" t="str">
        <x:f t="shared" si="82"/>
      </x:c>
      <x:c r="AZ189" s="178" t="str">
        <x:f t="shared" si="83"/>
      </x:c>
      <x:c r="BA189" s="122"/>
      <x:c r="BB189" s="177" t="str">
        <x:f t="shared" si="84"/>
      </x:c>
      <x:c r="BC189" s="122"/>
      <x:c r="BD189" s="177" t="str">
        <x:f t="shared" si="85"/>
      </x:c>
      <x:c r="BE189" s="178" t="str">
        <x:f t="shared" si="86"/>
      </x:c>
      <x:c r="BF189" s="122"/>
      <x:c r="BG189" s="177" t="str">
        <x:f t="shared" si="87"/>
      </x:c>
      <x:c r="BH189" s="122"/>
      <x:c r="BI189" s="177" t="str">
        <x:f t="shared" si="88"/>
      </x:c>
      <x:c r="BJ189" s="178" t="str">
        <x:f t="shared" si="89"/>
      </x:c>
    </x:row>
    <x:row r="190" ht="19.5" hidden="1" customHeight="1">
      <x:c r="A190" s="169"/>
      <x:c r="B190" s="170"/>
      <x:c r="C190" s="171"/>
      <x:c r="D190" s="172"/>
      <x:c r="E190" s="171"/>
      <x:c r="F190" s="173"/>
      <x:c r="G190" s="174"/>
      <x:c r="H190" s="175"/>
      <x:c r="I190" s="174"/>
      <x:c r="J190" s="176"/>
      <x:c r="K190" s="233"/>
      <x:c r="L190" s="233"/>
      <x:c r="M190" s="122"/>
      <x:c r="N190" s="177" t="str">
        <x:f t="shared" si="60"/>
      </x:c>
      <x:c r="O190" s="122"/>
      <x:c r="P190" s="177" t="str">
        <x:f t="shared" si="61"/>
      </x:c>
      <x:c r="Q190" s="178" t="str">
        <x:f t="shared" si="62"/>
      </x:c>
      <x:c r="R190" s="122"/>
      <x:c r="S190" s="177" t="str">
        <x:f t="shared" si="63"/>
      </x:c>
      <x:c r="T190" s="122"/>
      <x:c r="U190" s="177" t="str">
        <x:f t="shared" si="64"/>
      </x:c>
      <x:c r="V190" s="178" t="str">
        <x:f t="shared" si="65"/>
      </x:c>
      <x:c r="W190" s="122"/>
      <x:c r="X190" s="177" t="str">
        <x:f t="shared" si="66"/>
      </x:c>
      <x:c r="Y190" s="122"/>
      <x:c r="Z190" s="177" t="str">
        <x:f t="shared" si="67"/>
      </x:c>
      <x:c r="AA190" s="178" t="str">
        <x:f t="shared" si="68"/>
      </x:c>
      <x:c r="AB190" s="122"/>
      <x:c r="AC190" s="177" t="str">
        <x:f t="shared" si="69"/>
      </x:c>
      <x:c r="AD190" s="122"/>
      <x:c r="AE190" s="177" t="str">
        <x:f t="shared" si="70"/>
      </x:c>
      <x:c r="AF190" s="178" t="str">
        <x:f t="shared" si="71"/>
      </x:c>
      <x:c r="AG190" s="122"/>
      <x:c r="AH190" s="177" t="str">
        <x:f t="shared" si="72"/>
      </x:c>
      <x:c r="AI190" s="122"/>
      <x:c r="AJ190" s="177" t="str">
        <x:f t="shared" si="73"/>
      </x:c>
      <x:c r="AK190" s="178" t="str">
        <x:f t="shared" si="74"/>
      </x:c>
      <x:c r="AL190" s="122"/>
      <x:c r="AM190" s="177" t="str">
        <x:f t="shared" si="75"/>
      </x:c>
      <x:c r="AN190" s="122"/>
      <x:c r="AO190" s="177" t="str">
        <x:f t="shared" si="76"/>
      </x:c>
      <x:c r="AP190" s="178" t="str">
        <x:f t="shared" si="77"/>
      </x:c>
      <x:c r="AQ190" s="122"/>
      <x:c r="AR190" s="177" t="str">
        <x:f t="shared" si="78"/>
      </x:c>
      <x:c r="AS190" s="122"/>
      <x:c r="AT190" s="177" t="str">
        <x:f t="shared" si="79"/>
      </x:c>
      <x:c r="AU190" s="178" t="str">
        <x:f t="shared" si="80"/>
      </x:c>
      <x:c r="AV190" s="122"/>
      <x:c r="AW190" s="177" t="str">
        <x:f t="shared" si="81"/>
      </x:c>
      <x:c r="AX190" s="122"/>
      <x:c r="AY190" s="177" t="str">
        <x:f t="shared" si="82"/>
      </x:c>
      <x:c r="AZ190" s="178" t="str">
        <x:f t="shared" si="83"/>
      </x:c>
      <x:c r="BA190" s="122"/>
      <x:c r="BB190" s="177" t="str">
        <x:f t="shared" si="84"/>
      </x:c>
      <x:c r="BC190" s="122"/>
      <x:c r="BD190" s="177" t="str">
        <x:f t="shared" si="85"/>
      </x:c>
      <x:c r="BE190" s="178" t="str">
        <x:f t="shared" si="86"/>
      </x:c>
      <x:c r="BF190" s="122"/>
      <x:c r="BG190" s="177" t="str">
        <x:f t="shared" si="87"/>
      </x:c>
      <x:c r="BH190" s="122"/>
      <x:c r="BI190" s="177" t="str">
        <x:f t="shared" si="88"/>
      </x:c>
      <x:c r="BJ190" s="178" t="str">
        <x:f t="shared" si="89"/>
      </x:c>
    </x:row>
    <x:row r="191" ht="19.5" hidden="1" customHeight="1">
      <x:c r="A191" s="160"/>
      <x:c r="B191" s="179"/>
      <x:c r="C191" s="171"/>
      <x:c r="D191" s="172"/>
      <x:c r="E191" s="171"/>
      <x:c r="F191" s="173"/>
      <x:c r="G191" s="174"/>
      <x:c r="H191" s="175"/>
      <x:c r="I191" s="174"/>
      <x:c r="J191" s="176"/>
      <x:c r="K191" s="233"/>
      <x:c r="L191" s="233"/>
      <x:c r="M191" s="122"/>
      <x:c r="N191" s="177" t="str">
        <x:f t="shared" si="60"/>
      </x:c>
      <x:c r="O191" s="122"/>
      <x:c r="P191" s="177" t="str">
        <x:f t="shared" si="61"/>
      </x:c>
      <x:c r="Q191" s="178" t="str">
        <x:f t="shared" si="62"/>
      </x:c>
      <x:c r="R191" s="122"/>
      <x:c r="S191" s="177" t="str">
        <x:f t="shared" si="63"/>
      </x:c>
      <x:c r="T191" s="122"/>
      <x:c r="U191" s="177" t="str">
        <x:f t="shared" si="64"/>
      </x:c>
      <x:c r="V191" s="178" t="str">
        <x:f t="shared" si="65"/>
      </x:c>
      <x:c r="W191" s="122"/>
      <x:c r="X191" s="177" t="str">
        <x:f t="shared" si="66"/>
      </x:c>
      <x:c r="Y191" s="122"/>
      <x:c r="Z191" s="177" t="str">
        <x:f t="shared" si="67"/>
      </x:c>
      <x:c r="AA191" s="178" t="str">
        <x:f t="shared" si="68"/>
      </x:c>
      <x:c r="AB191" s="122"/>
      <x:c r="AC191" s="177" t="str">
        <x:f t="shared" si="69"/>
      </x:c>
      <x:c r="AD191" s="122"/>
      <x:c r="AE191" s="177" t="str">
        <x:f t="shared" si="70"/>
      </x:c>
      <x:c r="AF191" s="178" t="str">
        <x:f t="shared" si="71"/>
      </x:c>
      <x:c r="AG191" s="122"/>
      <x:c r="AH191" s="177" t="str">
        <x:f t="shared" si="72"/>
      </x:c>
      <x:c r="AI191" s="122"/>
      <x:c r="AJ191" s="177" t="str">
        <x:f t="shared" si="73"/>
      </x:c>
      <x:c r="AK191" s="178" t="str">
        <x:f t="shared" si="74"/>
      </x:c>
      <x:c r="AL191" s="122"/>
      <x:c r="AM191" s="177" t="str">
        <x:f t="shared" si="75"/>
      </x:c>
      <x:c r="AN191" s="122"/>
      <x:c r="AO191" s="177" t="str">
        <x:f t="shared" si="76"/>
      </x:c>
      <x:c r="AP191" s="178" t="str">
        <x:f t="shared" si="77"/>
      </x:c>
      <x:c r="AQ191" s="122"/>
      <x:c r="AR191" s="177" t="str">
        <x:f t="shared" si="78"/>
      </x:c>
      <x:c r="AS191" s="122"/>
      <x:c r="AT191" s="177" t="str">
        <x:f t="shared" si="79"/>
      </x:c>
      <x:c r="AU191" s="178" t="str">
        <x:f t="shared" si="80"/>
      </x:c>
      <x:c r="AV191" s="122"/>
      <x:c r="AW191" s="177" t="str">
        <x:f t="shared" si="81"/>
      </x:c>
      <x:c r="AX191" s="122"/>
      <x:c r="AY191" s="177" t="str">
        <x:f t="shared" si="82"/>
      </x:c>
      <x:c r="AZ191" s="178" t="str">
        <x:f t="shared" si="83"/>
      </x:c>
      <x:c r="BA191" s="122"/>
      <x:c r="BB191" s="177" t="str">
        <x:f t="shared" si="84"/>
      </x:c>
      <x:c r="BC191" s="122"/>
      <x:c r="BD191" s="177" t="str">
        <x:f t="shared" si="85"/>
      </x:c>
      <x:c r="BE191" s="178" t="str">
        <x:f t="shared" si="86"/>
      </x:c>
      <x:c r="BF191" s="122"/>
      <x:c r="BG191" s="177" t="str">
        <x:f t="shared" si="87"/>
      </x:c>
      <x:c r="BH191" s="122"/>
      <x:c r="BI191" s="177" t="str">
        <x:f t="shared" si="88"/>
      </x:c>
      <x:c r="BJ191" s="178" t="str">
        <x:f t="shared" si="89"/>
      </x:c>
    </x:row>
    <x:row r="192" ht="19.5" hidden="1" customHeight="1">
      <x:c r="A192" s="169"/>
      <x:c r="B192" s="170"/>
      <x:c r="C192" s="171"/>
      <x:c r="D192" s="172"/>
      <x:c r="E192" s="171"/>
      <x:c r="F192" s="173"/>
      <x:c r="G192" s="174"/>
      <x:c r="H192" s="175"/>
      <x:c r="I192" s="174"/>
      <x:c r="J192" s="176"/>
      <x:c r="K192" s="233"/>
      <x:c r="L192" s="233"/>
      <x:c r="M192" s="122"/>
      <x:c r="N192" s="177" t="str">
        <x:f t="shared" si="60"/>
      </x:c>
      <x:c r="O192" s="122"/>
      <x:c r="P192" s="177" t="str">
        <x:f t="shared" si="61"/>
      </x:c>
      <x:c r="Q192" s="178" t="str">
        <x:f t="shared" si="62"/>
      </x:c>
      <x:c r="R192" s="122"/>
      <x:c r="S192" s="177" t="str">
        <x:f t="shared" si="63"/>
      </x:c>
      <x:c r="T192" s="122"/>
      <x:c r="U192" s="177" t="str">
        <x:f t="shared" si="64"/>
      </x:c>
      <x:c r="V192" s="178" t="str">
        <x:f t="shared" si="65"/>
      </x:c>
      <x:c r="W192" s="122"/>
      <x:c r="X192" s="177" t="str">
        <x:f t="shared" si="66"/>
      </x:c>
      <x:c r="Y192" s="122"/>
      <x:c r="Z192" s="177" t="str">
        <x:f t="shared" si="67"/>
      </x:c>
      <x:c r="AA192" s="178" t="str">
        <x:f t="shared" si="68"/>
      </x:c>
      <x:c r="AB192" s="122"/>
      <x:c r="AC192" s="177" t="str">
        <x:f t="shared" si="69"/>
      </x:c>
      <x:c r="AD192" s="122"/>
      <x:c r="AE192" s="177" t="str">
        <x:f t="shared" si="70"/>
      </x:c>
      <x:c r="AF192" s="178" t="str">
        <x:f t="shared" si="71"/>
      </x:c>
      <x:c r="AG192" s="122"/>
      <x:c r="AH192" s="177" t="str">
        <x:f t="shared" si="72"/>
      </x:c>
      <x:c r="AI192" s="122"/>
      <x:c r="AJ192" s="177" t="str">
        <x:f t="shared" si="73"/>
      </x:c>
      <x:c r="AK192" s="178" t="str">
        <x:f t="shared" si="74"/>
      </x:c>
      <x:c r="AL192" s="122"/>
      <x:c r="AM192" s="177" t="str">
        <x:f t="shared" si="75"/>
      </x:c>
      <x:c r="AN192" s="122"/>
      <x:c r="AO192" s="177" t="str">
        <x:f t="shared" si="76"/>
      </x:c>
      <x:c r="AP192" s="178" t="str">
        <x:f t="shared" si="77"/>
      </x:c>
      <x:c r="AQ192" s="122"/>
      <x:c r="AR192" s="177" t="str">
        <x:f t="shared" si="78"/>
      </x:c>
      <x:c r="AS192" s="122"/>
      <x:c r="AT192" s="177" t="str">
        <x:f t="shared" si="79"/>
      </x:c>
      <x:c r="AU192" s="178" t="str">
        <x:f t="shared" si="80"/>
      </x:c>
      <x:c r="AV192" s="122"/>
      <x:c r="AW192" s="177" t="str">
        <x:f t="shared" si="81"/>
      </x:c>
      <x:c r="AX192" s="122"/>
      <x:c r="AY192" s="177" t="str">
        <x:f t="shared" si="82"/>
      </x:c>
      <x:c r="AZ192" s="178" t="str">
        <x:f t="shared" si="83"/>
      </x:c>
      <x:c r="BA192" s="122"/>
      <x:c r="BB192" s="177" t="str">
        <x:f t="shared" si="84"/>
      </x:c>
      <x:c r="BC192" s="122"/>
      <x:c r="BD192" s="177" t="str">
        <x:f t="shared" si="85"/>
      </x:c>
      <x:c r="BE192" s="178" t="str">
        <x:f t="shared" si="86"/>
      </x:c>
      <x:c r="BF192" s="122"/>
      <x:c r="BG192" s="177" t="str">
        <x:f t="shared" si="87"/>
      </x:c>
      <x:c r="BH192" s="122"/>
      <x:c r="BI192" s="177" t="str">
        <x:f t="shared" si="88"/>
      </x:c>
      <x:c r="BJ192" s="178" t="str">
        <x:f t="shared" si="89"/>
      </x:c>
    </x:row>
    <x:row r="193" ht="19.5" hidden="1" customHeight="1">
      <x:c r="A193" s="160"/>
      <x:c r="B193" s="179"/>
      <x:c r="C193" s="171"/>
      <x:c r="D193" s="172"/>
      <x:c r="E193" s="171"/>
      <x:c r="F193" s="173"/>
      <x:c r="G193" s="174"/>
      <x:c r="H193" s="175"/>
      <x:c r="I193" s="174"/>
      <x:c r="J193" s="176"/>
      <x:c r="K193" s="233"/>
      <x:c r="L193" s="233"/>
      <x:c r="M193" s="122"/>
      <x:c r="N193" s="177" t="str">
        <x:f t="shared" si="60"/>
      </x:c>
      <x:c r="O193" s="122"/>
      <x:c r="P193" s="177" t="str">
        <x:f t="shared" si="61"/>
      </x:c>
      <x:c r="Q193" s="178" t="str">
        <x:f t="shared" si="62"/>
      </x:c>
      <x:c r="R193" s="122"/>
      <x:c r="S193" s="177" t="str">
        <x:f t="shared" si="63"/>
      </x:c>
      <x:c r="T193" s="122"/>
      <x:c r="U193" s="177" t="str">
        <x:f t="shared" si="64"/>
      </x:c>
      <x:c r="V193" s="178" t="str">
        <x:f t="shared" si="65"/>
      </x:c>
      <x:c r="W193" s="122"/>
      <x:c r="X193" s="177" t="str">
        <x:f t="shared" si="66"/>
      </x:c>
      <x:c r="Y193" s="122"/>
      <x:c r="Z193" s="177" t="str">
        <x:f t="shared" si="67"/>
      </x:c>
      <x:c r="AA193" s="178" t="str">
        <x:f t="shared" si="68"/>
      </x:c>
      <x:c r="AB193" s="122"/>
      <x:c r="AC193" s="177" t="str">
        <x:f t="shared" si="69"/>
      </x:c>
      <x:c r="AD193" s="122"/>
      <x:c r="AE193" s="177" t="str">
        <x:f t="shared" si="70"/>
      </x:c>
      <x:c r="AF193" s="178" t="str">
        <x:f t="shared" si="71"/>
      </x:c>
      <x:c r="AG193" s="122"/>
      <x:c r="AH193" s="177" t="str">
        <x:f t="shared" si="72"/>
      </x:c>
      <x:c r="AI193" s="122"/>
      <x:c r="AJ193" s="177" t="str">
        <x:f t="shared" si="73"/>
      </x:c>
      <x:c r="AK193" s="178" t="str">
        <x:f t="shared" si="74"/>
      </x:c>
      <x:c r="AL193" s="122"/>
      <x:c r="AM193" s="177" t="str">
        <x:f t="shared" si="75"/>
      </x:c>
      <x:c r="AN193" s="122"/>
      <x:c r="AO193" s="177" t="str">
        <x:f t="shared" si="76"/>
      </x:c>
      <x:c r="AP193" s="178" t="str">
        <x:f t="shared" si="77"/>
      </x:c>
      <x:c r="AQ193" s="122"/>
      <x:c r="AR193" s="177" t="str">
        <x:f t="shared" si="78"/>
      </x:c>
      <x:c r="AS193" s="122"/>
      <x:c r="AT193" s="177" t="str">
        <x:f t="shared" si="79"/>
      </x:c>
      <x:c r="AU193" s="178" t="str">
        <x:f t="shared" si="80"/>
      </x:c>
      <x:c r="AV193" s="122"/>
      <x:c r="AW193" s="177" t="str">
        <x:f t="shared" si="81"/>
      </x:c>
      <x:c r="AX193" s="122"/>
      <x:c r="AY193" s="177" t="str">
        <x:f t="shared" si="82"/>
      </x:c>
      <x:c r="AZ193" s="178" t="str">
        <x:f t="shared" si="83"/>
      </x:c>
      <x:c r="BA193" s="122"/>
      <x:c r="BB193" s="177" t="str">
        <x:f t="shared" si="84"/>
      </x:c>
      <x:c r="BC193" s="122"/>
      <x:c r="BD193" s="177" t="str">
        <x:f t="shared" si="85"/>
      </x:c>
      <x:c r="BE193" s="178" t="str">
        <x:f t="shared" si="86"/>
      </x:c>
      <x:c r="BF193" s="122"/>
      <x:c r="BG193" s="177" t="str">
        <x:f t="shared" si="87"/>
      </x:c>
      <x:c r="BH193" s="122"/>
      <x:c r="BI193" s="177" t="str">
        <x:f t="shared" si="88"/>
      </x:c>
      <x:c r="BJ193" s="178" t="str">
        <x:f t="shared" si="89"/>
      </x:c>
    </x:row>
    <x:row r="194" ht="19.5" hidden="1" customHeight="1">
      <x:c r="A194" s="169"/>
      <x:c r="B194" s="170"/>
      <x:c r="C194" s="171"/>
      <x:c r="D194" s="172"/>
      <x:c r="E194" s="171"/>
      <x:c r="F194" s="173"/>
      <x:c r="G194" s="174"/>
      <x:c r="H194" s="175"/>
      <x:c r="I194" s="174"/>
      <x:c r="J194" s="176"/>
      <x:c r="K194" s="233"/>
      <x:c r="L194" s="233"/>
      <x:c r="M194" s="122"/>
      <x:c r="N194" s="177" t="str">
        <x:f t="shared" si="60"/>
      </x:c>
      <x:c r="O194" s="122"/>
      <x:c r="P194" s="177" t="str">
        <x:f t="shared" si="61"/>
      </x:c>
      <x:c r="Q194" s="178" t="str">
        <x:f t="shared" si="62"/>
      </x:c>
      <x:c r="R194" s="122"/>
      <x:c r="S194" s="177" t="str">
        <x:f t="shared" si="63"/>
      </x:c>
      <x:c r="T194" s="122"/>
      <x:c r="U194" s="177" t="str">
        <x:f t="shared" si="64"/>
      </x:c>
      <x:c r="V194" s="178" t="str">
        <x:f t="shared" si="65"/>
      </x:c>
      <x:c r="W194" s="122"/>
      <x:c r="X194" s="177" t="str">
        <x:f t="shared" si="66"/>
      </x:c>
      <x:c r="Y194" s="122"/>
      <x:c r="Z194" s="177" t="str">
        <x:f t="shared" si="67"/>
      </x:c>
      <x:c r="AA194" s="178" t="str">
        <x:f t="shared" si="68"/>
      </x:c>
      <x:c r="AB194" s="122"/>
      <x:c r="AC194" s="177" t="str">
        <x:f t="shared" si="69"/>
      </x:c>
      <x:c r="AD194" s="122"/>
      <x:c r="AE194" s="177" t="str">
        <x:f t="shared" si="70"/>
      </x:c>
      <x:c r="AF194" s="178" t="str">
        <x:f t="shared" si="71"/>
      </x:c>
      <x:c r="AG194" s="122"/>
      <x:c r="AH194" s="177" t="str">
        <x:f t="shared" si="72"/>
      </x:c>
      <x:c r="AI194" s="122"/>
      <x:c r="AJ194" s="177" t="str">
        <x:f t="shared" si="73"/>
      </x:c>
      <x:c r="AK194" s="178" t="str">
        <x:f t="shared" si="74"/>
      </x:c>
      <x:c r="AL194" s="122"/>
      <x:c r="AM194" s="177" t="str">
        <x:f t="shared" si="75"/>
      </x:c>
      <x:c r="AN194" s="122"/>
      <x:c r="AO194" s="177" t="str">
        <x:f t="shared" si="76"/>
      </x:c>
      <x:c r="AP194" s="178" t="str">
        <x:f t="shared" si="77"/>
      </x:c>
      <x:c r="AQ194" s="122"/>
      <x:c r="AR194" s="177" t="str">
        <x:f t="shared" si="78"/>
      </x:c>
      <x:c r="AS194" s="122"/>
      <x:c r="AT194" s="177" t="str">
        <x:f t="shared" si="79"/>
      </x:c>
      <x:c r="AU194" s="178" t="str">
        <x:f t="shared" si="80"/>
      </x:c>
      <x:c r="AV194" s="122"/>
      <x:c r="AW194" s="177" t="str">
        <x:f t="shared" si="81"/>
      </x:c>
      <x:c r="AX194" s="122"/>
      <x:c r="AY194" s="177" t="str">
        <x:f t="shared" si="82"/>
      </x:c>
      <x:c r="AZ194" s="178" t="str">
        <x:f t="shared" si="83"/>
      </x:c>
      <x:c r="BA194" s="122"/>
      <x:c r="BB194" s="177" t="str">
        <x:f t="shared" si="84"/>
      </x:c>
      <x:c r="BC194" s="122"/>
      <x:c r="BD194" s="177" t="str">
        <x:f t="shared" si="85"/>
      </x:c>
      <x:c r="BE194" s="178" t="str">
        <x:f t="shared" si="86"/>
      </x:c>
      <x:c r="BF194" s="122"/>
      <x:c r="BG194" s="177" t="str">
        <x:f t="shared" si="87"/>
      </x:c>
      <x:c r="BH194" s="122"/>
      <x:c r="BI194" s="177" t="str">
        <x:f t="shared" si="88"/>
      </x:c>
      <x:c r="BJ194" s="178" t="str">
        <x:f t="shared" si="89"/>
      </x:c>
    </x:row>
    <x:row r="195" ht="19.5" hidden="1" customHeight="1">
      <x:c r="A195" s="160"/>
      <x:c r="B195" s="179"/>
      <x:c r="C195" s="171"/>
      <x:c r="D195" s="172"/>
      <x:c r="E195" s="171"/>
      <x:c r="F195" s="173"/>
      <x:c r="G195" s="174"/>
      <x:c r="H195" s="175"/>
      <x:c r="I195" s="174"/>
      <x:c r="J195" s="176"/>
      <x:c r="K195" s="233"/>
      <x:c r="L195" s="233"/>
      <x:c r="M195" s="122"/>
      <x:c r="N195" s="177" t="str">
        <x:f t="shared" si="60"/>
      </x:c>
      <x:c r="O195" s="122"/>
      <x:c r="P195" s="177" t="str">
        <x:f t="shared" si="61"/>
      </x:c>
      <x:c r="Q195" s="178" t="str">
        <x:f t="shared" si="62"/>
      </x:c>
      <x:c r="R195" s="122"/>
      <x:c r="S195" s="177" t="str">
        <x:f t="shared" si="63"/>
      </x:c>
      <x:c r="T195" s="122"/>
      <x:c r="U195" s="177" t="str">
        <x:f t="shared" si="64"/>
      </x:c>
      <x:c r="V195" s="178" t="str">
        <x:f t="shared" si="65"/>
      </x:c>
      <x:c r="W195" s="122"/>
      <x:c r="X195" s="177" t="str">
        <x:f t="shared" si="66"/>
      </x:c>
      <x:c r="Y195" s="122"/>
      <x:c r="Z195" s="177" t="str">
        <x:f t="shared" si="67"/>
      </x:c>
      <x:c r="AA195" s="178" t="str">
        <x:f t="shared" si="68"/>
      </x:c>
      <x:c r="AB195" s="122"/>
      <x:c r="AC195" s="177" t="str">
        <x:f t="shared" si="69"/>
      </x:c>
      <x:c r="AD195" s="122"/>
      <x:c r="AE195" s="177" t="str">
        <x:f t="shared" si="70"/>
      </x:c>
      <x:c r="AF195" s="178" t="str">
        <x:f t="shared" si="71"/>
      </x:c>
      <x:c r="AG195" s="122"/>
      <x:c r="AH195" s="177" t="str">
        <x:f t="shared" si="72"/>
      </x:c>
      <x:c r="AI195" s="122"/>
      <x:c r="AJ195" s="177" t="str">
        <x:f t="shared" si="73"/>
      </x:c>
      <x:c r="AK195" s="178" t="str">
        <x:f t="shared" si="74"/>
      </x:c>
      <x:c r="AL195" s="122"/>
      <x:c r="AM195" s="177" t="str">
        <x:f t="shared" si="75"/>
      </x:c>
      <x:c r="AN195" s="122"/>
      <x:c r="AO195" s="177" t="str">
        <x:f t="shared" si="76"/>
      </x:c>
      <x:c r="AP195" s="178" t="str">
        <x:f t="shared" si="77"/>
      </x:c>
      <x:c r="AQ195" s="122"/>
      <x:c r="AR195" s="177" t="str">
        <x:f t="shared" si="78"/>
      </x:c>
      <x:c r="AS195" s="122"/>
      <x:c r="AT195" s="177" t="str">
        <x:f t="shared" si="79"/>
      </x:c>
      <x:c r="AU195" s="178" t="str">
        <x:f t="shared" si="80"/>
      </x:c>
      <x:c r="AV195" s="122"/>
      <x:c r="AW195" s="177" t="str">
        <x:f t="shared" si="81"/>
      </x:c>
      <x:c r="AX195" s="122"/>
      <x:c r="AY195" s="177" t="str">
        <x:f t="shared" si="82"/>
      </x:c>
      <x:c r="AZ195" s="178" t="str">
        <x:f t="shared" si="83"/>
      </x:c>
      <x:c r="BA195" s="122"/>
      <x:c r="BB195" s="177" t="str">
        <x:f t="shared" si="84"/>
      </x:c>
      <x:c r="BC195" s="122"/>
      <x:c r="BD195" s="177" t="str">
        <x:f t="shared" si="85"/>
      </x:c>
      <x:c r="BE195" s="178" t="str">
        <x:f t="shared" si="86"/>
      </x:c>
      <x:c r="BF195" s="122"/>
      <x:c r="BG195" s="177" t="str">
        <x:f t="shared" si="87"/>
      </x:c>
      <x:c r="BH195" s="122"/>
      <x:c r="BI195" s="177" t="str">
        <x:f t="shared" si="88"/>
      </x:c>
      <x:c r="BJ195" s="178" t="str">
        <x:f t="shared" si="89"/>
      </x:c>
    </x:row>
    <x:row r="196" ht="19.5" hidden="1" customHeight="1">
      <x:c r="A196" s="169"/>
      <x:c r="B196" s="170"/>
      <x:c r="C196" s="171"/>
      <x:c r="D196" s="172"/>
      <x:c r="E196" s="171"/>
      <x:c r="F196" s="173"/>
      <x:c r="G196" s="174"/>
      <x:c r="H196" s="175"/>
      <x:c r="I196" s="174"/>
      <x:c r="J196" s="176"/>
      <x:c r="K196" s="233"/>
      <x:c r="L196" s="233"/>
      <x:c r="M196" s="122"/>
      <x:c r="N196" s="177" t="str">
        <x:f t="shared" si="60"/>
      </x:c>
      <x:c r="O196" s="122"/>
      <x:c r="P196" s="177" t="str">
        <x:f t="shared" si="61"/>
      </x:c>
      <x:c r="Q196" s="178" t="str">
        <x:f t="shared" si="62"/>
      </x:c>
      <x:c r="R196" s="122"/>
      <x:c r="S196" s="177" t="str">
        <x:f t="shared" si="63"/>
      </x:c>
      <x:c r="T196" s="122"/>
      <x:c r="U196" s="177" t="str">
        <x:f t="shared" si="64"/>
      </x:c>
      <x:c r="V196" s="178" t="str">
        <x:f t="shared" si="65"/>
      </x:c>
      <x:c r="W196" s="122"/>
      <x:c r="X196" s="177" t="str">
        <x:f t="shared" si="66"/>
      </x:c>
      <x:c r="Y196" s="122"/>
      <x:c r="Z196" s="177" t="str">
        <x:f t="shared" si="67"/>
      </x:c>
      <x:c r="AA196" s="178" t="str">
        <x:f t="shared" si="68"/>
      </x:c>
      <x:c r="AB196" s="122"/>
      <x:c r="AC196" s="177" t="str">
        <x:f t="shared" si="69"/>
      </x:c>
      <x:c r="AD196" s="122"/>
      <x:c r="AE196" s="177" t="str">
        <x:f t="shared" si="70"/>
      </x:c>
      <x:c r="AF196" s="178" t="str">
        <x:f t="shared" si="71"/>
      </x:c>
      <x:c r="AG196" s="122"/>
      <x:c r="AH196" s="177" t="str">
        <x:f t="shared" si="72"/>
      </x:c>
      <x:c r="AI196" s="122"/>
      <x:c r="AJ196" s="177" t="str">
        <x:f t="shared" si="73"/>
      </x:c>
      <x:c r="AK196" s="178" t="str">
        <x:f t="shared" si="74"/>
      </x:c>
      <x:c r="AL196" s="122"/>
      <x:c r="AM196" s="177" t="str">
        <x:f t="shared" si="75"/>
      </x:c>
      <x:c r="AN196" s="122"/>
      <x:c r="AO196" s="177" t="str">
        <x:f t="shared" si="76"/>
      </x:c>
      <x:c r="AP196" s="178" t="str">
        <x:f t="shared" si="77"/>
      </x:c>
      <x:c r="AQ196" s="122"/>
      <x:c r="AR196" s="177" t="str">
        <x:f t="shared" si="78"/>
      </x:c>
      <x:c r="AS196" s="122"/>
      <x:c r="AT196" s="177" t="str">
        <x:f t="shared" si="79"/>
      </x:c>
      <x:c r="AU196" s="178" t="str">
        <x:f t="shared" si="80"/>
      </x:c>
      <x:c r="AV196" s="122"/>
      <x:c r="AW196" s="177" t="str">
        <x:f t="shared" si="81"/>
      </x:c>
      <x:c r="AX196" s="122"/>
      <x:c r="AY196" s="177" t="str">
        <x:f t="shared" si="82"/>
      </x:c>
      <x:c r="AZ196" s="178" t="str">
        <x:f t="shared" si="83"/>
      </x:c>
      <x:c r="BA196" s="122"/>
      <x:c r="BB196" s="177" t="str">
        <x:f t="shared" si="84"/>
      </x:c>
      <x:c r="BC196" s="122"/>
      <x:c r="BD196" s="177" t="str">
        <x:f t="shared" si="85"/>
      </x:c>
      <x:c r="BE196" s="178" t="str">
        <x:f t="shared" si="86"/>
      </x:c>
      <x:c r="BF196" s="122"/>
      <x:c r="BG196" s="177" t="str">
        <x:f t="shared" si="87"/>
      </x:c>
      <x:c r="BH196" s="122"/>
      <x:c r="BI196" s="177" t="str">
        <x:f t="shared" si="88"/>
      </x:c>
      <x:c r="BJ196" s="178" t="str">
        <x:f t="shared" si="89"/>
      </x:c>
    </x:row>
    <x:row r="197" ht="19.5" hidden="1" customHeight="1">
      <x:c r="A197" s="160"/>
      <x:c r="B197" s="179"/>
      <x:c r="C197" s="171"/>
      <x:c r="D197" s="172"/>
      <x:c r="E197" s="171"/>
      <x:c r="F197" s="173"/>
      <x:c r="G197" s="174"/>
      <x:c r="H197" s="175"/>
      <x:c r="I197" s="174"/>
      <x:c r="J197" s="176"/>
      <x:c r="K197" s="233"/>
      <x:c r="L197" s="233"/>
      <x:c r="M197" s="122"/>
      <x:c r="N197" s="177" t="str">
        <x:f t="shared" si="60"/>
      </x:c>
      <x:c r="O197" s="122"/>
      <x:c r="P197" s="177" t="str">
        <x:f t="shared" si="61"/>
      </x:c>
      <x:c r="Q197" s="178" t="str">
        <x:f t="shared" si="62"/>
      </x:c>
      <x:c r="R197" s="122"/>
      <x:c r="S197" s="177" t="str">
        <x:f t="shared" si="63"/>
      </x:c>
      <x:c r="T197" s="122"/>
      <x:c r="U197" s="177" t="str">
        <x:f t="shared" si="64"/>
      </x:c>
      <x:c r="V197" s="178" t="str">
        <x:f t="shared" si="65"/>
      </x:c>
      <x:c r="W197" s="122"/>
      <x:c r="X197" s="177" t="str">
        <x:f t="shared" si="66"/>
      </x:c>
      <x:c r="Y197" s="122"/>
      <x:c r="Z197" s="177" t="str">
        <x:f t="shared" si="67"/>
      </x:c>
      <x:c r="AA197" s="178" t="str">
        <x:f t="shared" si="68"/>
      </x:c>
      <x:c r="AB197" s="122"/>
      <x:c r="AC197" s="177" t="str">
        <x:f t="shared" si="69"/>
      </x:c>
      <x:c r="AD197" s="122"/>
      <x:c r="AE197" s="177" t="str">
        <x:f t="shared" si="70"/>
      </x:c>
      <x:c r="AF197" s="178" t="str">
        <x:f t="shared" si="71"/>
      </x:c>
      <x:c r="AG197" s="122"/>
      <x:c r="AH197" s="177" t="str">
        <x:f t="shared" si="72"/>
      </x:c>
      <x:c r="AI197" s="122"/>
      <x:c r="AJ197" s="177" t="str">
        <x:f t="shared" si="73"/>
      </x:c>
      <x:c r="AK197" s="178" t="str">
        <x:f t="shared" si="74"/>
      </x:c>
      <x:c r="AL197" s="122"/>
      <x:c r="AM197" s="177" t="str">
        <x:f t="shared" si="75"/>
      </x:c>
      <x:c r="AN197" s="122"/>
      <x:c r="AO197" s="177" t="str">
        <x:f t="shared" si="76"/>
      </x:c>
      <x:c r="AP197" s="178" t="str">
        <x:f t="shared" si="77"/>
      </x:c>
      <x:c r="AQ197" s="122"/>
      <x:c r="AR197" s="177" t="str">
        <x:f t="shared" si="78"/>
      </x:c>
      <x:c r="AS197" s="122"/>
      <x:c r="AT197" s="177" t="str">
        <x:f t="shared" si="79"/>
      </x:c>
      <x:c r="AU197" s="178" t="str">
        <x:f t="shared" si="80"/>
      </x:c>
      <x:c r="AV197" s="122"/>
      <x:c r="AW197" s="177" t="str">
        <x:f t="shared" si="81"/>
      </x:c>
      <x:c r="AX197" s="122"/>
      <x:c r="AY197" s="177" t="str">
        <x:f t="shared" si="82"/>
      </x:c>
      <x:c r="AZ197" s="178" t="str">
        <x:f t="shared" si="83"/>
      </x:c>
      <x:c r="BA197" s="122"/>
      <x:c r="BB197" s="177" t="str">
        <x:f t="shared" si="84"/>
      </x:c>
      <x:c r="BC197" s="122"/>
      <x:c r="BD197" s="177" t="str">
        <x:f t="shared" si="85"/>
      </x:c>
      <x:c r="BE197" s="178" t="str">
        <x:f t="shared" si="86"/>
      </x:c>
      <x:c r="BF197" s="122"/>
      <x:c r="BG197" s="177" t="str">
        <x:f t="shared" si="87"/>
      </x:c>
      <x:c r="BH197" s="122"/>
      <x:c r="BI197" s="177" t="str">
        <x:f t="shared" si="88"/>
      </x:c>
      <x:c r="BJ197" s="178" t="str">
        <x:f t="shared" si="89"/>
      </x:c>
    </x:row>
    <x:row r="198" ht="19.5" hidden="1" customHeight="1">
      <x:c r="A198" s="169"/>
      <x:c r="B198" s="170"/>
      <x:c r="C198" s="171"/>
      <x:c r="D198" s="172"/>
      <x:c r="E198" s="171"/>
      <x:c r="F198" s="173"/>
      <x:c r="G198" s="174"/>
      <x:c r="H198" s="175"/>
      <x:c r="I198" s="174"/>
      <x:c r="J198" s="176"/>
      <x:c r="K198" s="233"/>
      <x:c r="L198" s="233"/>
      <x:c r="M198" s="122"/>
      <x:c r="N198" s="177" t="str">
        <x:f t="shared" si="60"/>
      </x:c>
      <x:c r="O198" s="122"/>
      <x:c r="P198" s="177" t="str">
        <x:f t="shared" si="61"/>
      </x:c>
      <x:c r="Q198" s="178" t="str">
        <x:f t="shared" si="62"/>
      </x:c>
      <x:c r="R198" s="122"/>
      <x:c r="S198" s="177" t="str">
        <x:f t="shared" si="63"/>
      </x:c>
      <x:c r="T198" s="122"/>
      <x:c r="U198" s="177" t="str">
        <x:f t="shared" si="64"/>
      </x:c>
      <x:c r="V198" s="178" t="str">
        <x:f t="shared" si="65"/>
      </x:c>
      <x:c r="W198" s="122"/>
      <x:c r="X198" s="177" t="str">
        <x:f t="shared" si="66"/>
      </x:c>
      <x:c r="Y198" s="122"/>
      <x:c r="Z198" s="177" t="str">
        <x:f t="shared" si="67"/>
      </x:c>
      <x:c r="AA198" s="178" t="str">
        <x:f t="shared" si="68"/>
      </x:c>
      <x:c r="AB198" s="122"/>
      <x:c r="AC198" s="177" t="str">
        <x:f t="shared" si="69"/>
      </x:c>
      <x:c r="AD198" s="122"/>
      <x:c r="AE198" s="177" t="str">
        <x:f t="shared" si="70"/>
      </x:c>
      <x:c r="AF198" s="178" t="str">
        <x:f t="shared" si="71"/>
      </x:c>
      <x:c r="AG198" s="122"/>
      <x:c r="AH198" s="177" t="str">
        <x:f t="shared" si="72"/>
      </x:c>
      <x:c r="AI198" s="122"/>
      <x:c r="AJ198" s="177" t="str">
        <x:f t="shared" si="73"/>
      </x:c>
      <x:c r="AK198" s="178" t="str">
        <x:f t="shared" si="74"/>
      </x:c>
      <x:c r="AL198" s="122"/>
      <x:c r="AM198" s="177" t="str">
        <x:f t="shared" si="75"/>
      </x:c>
      <x:c r="AN198" s="122"/>
      <x:c r="AO198" s="177" t="str">
        <x:f t="shared" si="76"/>
      </x:c>
      <x:c r="AP198" s="178" t="str">
        <x:f t="shared" si="77"/>
      </x:c>
      <x:c r="AQ198" s="122"/>
      <x:c r="AR198" s="177" t="str">
        <x:f t="shared" si="78"/>
      </x:c>
      <x:c r="AS198" s="122"/>
      <x:c r="AT198" s="177" t="str">
        <x:f t="shared" si="79"/>
      </x:c>
      <x:c r="AU198" s="178" t="str">
        <x:f t="shared" si="80"/>
      </x:c>
      <x:c r="AV198" s="122"/>
      <x:c r="AW198" s="177" t="str">
        <x:f t="shared" si="81"/>
      </x:c>
      <x:c r="AX198" s="122"/>
      <x:c r="AY198" s="177" t="str">
        <x:f t="shared" si="82"/>
      </x:c>
      <x:c r="AZ198" s="178" t="str">
        <x:f t="shared" si="83"/>
      </x:c>
      <x:c r="BA198" s="122"/>
      <x:c r="BB198" s="177" t="str">
        <x:f t="shared" si="84"/>
      </x:c>
      <x:c r="BC198" s="122"/>
      <x:c r="BD198" s="177" t="str">
        <x:f t="shared" si="85"/>
      </x:c>
      <x:c r="BE198" s="178" t="str">
        <x:f t="shared" si="86"/>
      </x:c>
      <x:c r="BF198" s="122"/>
      <x:c r="BG198" s="177" t="str">
        <x:f t="shared" si="87"/>
      </x:c>
      <x:c r="BH198" s="122"/>
      <x:c r="BI198" s="177" t="str">
        <x:f t="shared" si="88"/>
      </x:c>
      <x:c r="BJ198" s="178" t="str">
        <x:f t="shared" si="89"/>
      </x:c>
    </x:row>
    <x:row r="199" ht="19.5" hidden="1" customHeight="1">
      <x:c r="A199" s="160"/>
      <x:c r="B199" s="179"/>
      <x:c r="C199" s="171"/>
      <x:c r="D199" s="172"/>
      <x:c r="E199" s="171"/>
      <x:c r="F199" s="173"/>
      <x:c r="G199" s="174"/>
      <x:c r="H199" s="175"/>
      <x:c r="I199" s="174"/>
      <x:c r="J199" s="176"/>
      <x:c r="K199" s="233"/>
      <x:c r="L199" s="233"/>
      <x:c r="M199" s="122"/>
      <x:c r="N199" s="177" t="str">
        <x:f t="shared" si="60"/>
      </x:c>
      <x:c r="O199" s="122"/>
      <x:c r="P199" s="177" t="str">
        <x:f t="shared" si="61"/>
      </x:c>
      <x:c r="Q199" s="178" t="str">
        <x:f t="shared" si="62"/>
      </x:c>
      <x:c r="R199" s="122"/>
      <x:c r="S199" s="177" t="str">
        <x:f t="shared" si="63"/>
      </x:c>
      <x:c r="T199" s="122"/>
      <x:c r="U199" s="177" t="str">
        <x:f t="shared" si="64"/>
      </x:c>
      <x:c r="V199" s="178" t="str">
        <x:f t="shared" si="65"/>
      </x:c>
      <x:c r="W199" s="122"/>
      <x:c r="X199" s="177" t="str">
        <x:f t="shared" si="66"/>
      </x:c>
      <x:c r="Y199" s="122"/>
      <x:c r="Z199" s="177" t="str">
        <x:f t="shared" si="67"/>
      </x:c>
      <x:c r="AA199" s="178" t="str">
        <x:f t="shared" si="68"/>
      </x:c>
      <x:c r="AB199" s="122"/>
      <x:c r="AC199" s="177" t="str">
        <x:f t="shared" si="69"/>
      </x:c>
      <x:c r="AD199" s="122"/>
      <x:c r="AE199" s="177" t="str">
        <x:f t="shared" si="70"/>
      </x:c>
      <x:c r="AF199" s="178" t="str">
        <x:f t="shared" si="71"/>
      </x:c>
      <x:c r="AG199" s="122"/>
      <x:c r="AH199" s="177" t="str">
        <x:f t="shared" si="72"/>
      </x:c>
      <x:c r="AI199" s="122"/>
      <x:c r="AJ199" s="177" t="str">
        <x:f t="shared" si="73"/>
      </x:c>
      <x:c r="AK199" s="178" t="str">
        <x:f t="shared" si="74"/>
      </x:c>
      <x:c r="AL199" s="122"/>
      <x:c r="AM199" s="177" t="str">
        <x:f t="shared" si="75"/>
      </x:c>
      <x:c r="AN199" s="122"/>
      <x:c r="AO199" s="177" t="str">
        <x:f t="shared" si="76"/>
      </x:c>
      <x:c r="AP199" s="178" t="str">
        <x:f t="shared" si="77"/>
      </x:c>
      <x:c r="AQ199" s="122"/>
      <x:c r="AR199" s="177" t="str">
        <x:f t="shared" si="78"/>
      </x:c>
      <x:c r="AS199" s="122"/>
      <x:c r="AT199" s="177" t="str">
        <x:f t="shared" si="79"/>
      </x:c>
      <x:c r="AU199" s="178" t="str">
        <x:f t="shared" si="80"/>
      </x:c>
      <x:c r="AV199" s="122"/>
      <x:c r="AW199" s="177" t="str">
        <x:f t="shared" si="81"/>
      </x:c>
      <x:c r="AX199" s="122"/>
      <x:c r="AY199" s="177" t="str">
        <x:f t="shared" si="82"/>
      </x:c>
      <x:c r="AZ199" s="178" t="str">
        <x:f t="shared" si="83"/>
      </x:c>
      <x:c r="BA199" s="122"/>
      <x:c r="BB199" s="177" t="str">
        <x:f t="shared" si="84"/>
      </x:c>
      <x:c r="BC199" s="122"/>
      <x:c r="BD199" s="177" t="str">
        <x:f t="shared" si="85"/>
      </x:c>
      <x:c r="BE199" s="178" t="str">
        <x:f t="shared" si="86"/>
      </x:c>
      <x:c r="BF199" s="122"/>
      <x:c r="BG199" s="177" t="str">
        <x:f t="shared" si="87"/>
      </x:c>
      <x:c r="BH199" s="122"/>
      <x:c r="BI199" s="177" t="str">
        <x:f t="shared" si="88"/>
      </x:c>
      <x:c r="BJ199" s="178" t="str">
        <x:f t="shared" si="89"/>
      </x:c>
    </x:row>
    <x:row r="200" ht="19.5" hidden="1" customHeight="1">
      <x:c r="A200" s="169"/>
      <x:c r="B200" s="170"/>
      <x:c r="C200" s="171"/>
      <x:c r="D200" s="172"/>
      <x:c r="E200" s="171"/>
      <x:c r="F200" s="173"/>
      <x:c r="G200" s="174"/>
      <x:c r="H200" s="175"/>
      <x:c r="I200" s="174"/>
      <x:c r="J200" s="176"/>
      <x:c r="K200" s="233"/>
      <x:c r="L200" s="233"/>
      <x:c r="M200" s="122"/>
      <x:c r="N200" s="177" t="str">
        <x:f t="shared" si="60"/>
      </x:c>
      <x:c r="O200" s="122"/>
      <x:c r="P200" s="177" t="str">
        <x:f t="shared" si="61"/>
      </x:c>
      <x:c r="Q200" s="178" t="str">
        <x:f t="shared" si="62"/>
      </x:c>
      <x:c r="R200" s="122"/>
      <x:c r="S200" s="177" t="str">
        <x:f t="shared" si="63"/>
      </x:c>
      <x:c r="T200" s="122"/>
      <x:c r="U200" s="177" t="str">
        <x:f t="shared" si="64"/>
      </x:c>
      <x:c r="V200" s="178" t="str">
        <x:f t="shared" si="65"/>
      </x:c>
      <x:c r="W200" s="122"/>
      <x:c r="X200" s="177" t="str">
        <x:f t="shared" si="66"/>
      </x:c>
      <x:c r="Y200" s="122"/>
      <x:c r="Z200" s="177" t="str">
        <x:f t="shared" si="67"/>
      </x:c>
      <x:c r="AA200" s="178" t="str">
        <x:f t="shared" si="68"/>
      </x:c>
      <x:c r="AB200" s="122"/>
      <x:c r="AC200" s="177" t="str">
        <x:f t="shared" si="69"/>
      </x:c>
      <x:c r="AD200" s="122"/>
      <x:c r="AE200" s="177" t="str">
        <x:f t="shared" si="70"/>
      </x:c>
      <x:c r="AF200" s="178" t="str">
        <x:f t="shared" si="71"/>
      </x:c>
      <x:c r="AG200" s="122"/>
      <x:c r="AH200" s="177" t="str">
        <x:f t="shared" si="72"/>
      </x:c>
      <x:c r="AI200" s="122"/>
      <x:c r="AJ200" s="177" t="str">
        <x:f t="shared" si="73"/>
      </x:c>
      <x:c r="AK200" s="178" t="str">
        <x:f t="shared" si="74"/>
      </x:c>
      <x:c r="AL200" s="122"/>
      <x:c r="AM200" s="177" t="str">
        <x:f t="shared" si="75"/>
      </x:c>
      <x:c r="AN200" s="122"/>
      <x:c r="AO200" s="177" t="str">
        <x:f t="shared" si="76"/>
      </x:c>
      <x:c r="AP200" s="178" t="str">
        <x:f t="shared" si="77"/>
      </x:c>
      <x:c r="AQ200" s="122"/>
      <x:c r="AR200" s="177" t="str">
        <x:f t="shared" si="78"/>
      </x:c>
      <x:c r="AS200" s="122"/>
      <x:c r="AT200" s="177" t="str">
        <x:f t="shared" si="79"/>
      </x:c>
      <x:c r="AU200" s="178" t="str">
        <x:f t="shared" si="80"/>
      </x:c>
      <x:c r="AV200" s="122"/>
      <x:c r="AW200" s="177" t="str">
        <x:f t="shared" si="81"/>
      </x:c>
      <x:c r="AX200" s="122"/>
      <x:c r="AY200" s="177" t="str">
        <x:f t="shared" si="82"/>
      </x:c>
      <x:c r="AZ200" s="178" t="str">
        <x:f t="shared" si="83"/>
      </x:c>
      <x:c r="BA200" s="122"/>
      <x:c r="BB200" s="177" t="str">
        <x:f t="shared" si="84"/>
      </x:c>
      <x:c r="BC200" s="122"/>
      <x:c r="BD200" s="177" t="str">
        <x:f t="shared" si="85"/>
      </x:c>
      <x:c r="BE200" s="178" t="str">
        <x:f t="shared" si="86"/>
      </x:c>
      <x:c r="BF200" s="122"/>
      <x:c r="BG200" s="177" t="str">
        <x:f t="shared" si="87"/>
      </x:c>
      <x:c r="BH200" s="122"/>
      <x:c r="BI200" s="177" t="str">
        <x:f t="shared" si="88"/>
      </x:c>
      <x:c r="BJ200" s="178" t="str">
        <x:f t="shared" si="89"/>
      </x:c>
    </x:row>
    <x:row r="201" ht="19.5" hidden="1" customHeight="1">
      <x:c r="A201" s="160"/>
      <x:c r="B201" s="179"/>
      <x:c r="C201" s="171"/>
      <x:c r="D201" s="172"/>
      <x:c r="E201" s="171"/>
      <x:c r="F201" s="173"/>
      <x:c r="G201" s="174"/>
      <x:c r="H201" s="175"/>
      <x:c r="I201" s="174"/>
      <x:c r="J201" s="176"/>
      <x:c r="K201" s="233"/>
      <x:c r="L201" s="233"/>
      <x:c r="M201" s="122"/>
      <x:c r="N201" s="177" t="str">
        <x:f t="shared" si="60"/>
      </x:c>
      <x:c r="O201" s="122"/>
      <x:c r="P201" s="177" t="str">
        <x:f t="shared" si="61"/>
      </x:c>
      <x:c r="Q201" s="178" t="str">
        <x:f t="shared" si="62"/>
      </x:c>
      <x:c r="R201" s="122"/>
      <x:c r="S201" s="177" t="str">
        <x:f t="shared" si="63"/>
      </x:c>
      <x:c r="T201" s="122"/>
      <x:c r="U201" s="177" t="str">
        <x:f t="shared" si="64"/>
      </x:c>
      <x:c r="V201" s="178" t="str">
        <x:f t="shared" si="65"/>
      </x:c>
      <x:c r="W201" s="122"/>
      <x:c r="X201" s="177" t="str">
        <x:f t="shared" si="66"/>
      </x:c>
      <x:c r="Y201" s="122"/>
      <x:c r="Z201" s="177" t="str">
        <x:f t="shared" si="67"/>
      </x:c>
      <x:c r="AA201" s="178" t="str">
        <x:f t="shared" si="68"/>
      </x:c>
      <x:c r="AB201" s="122"/>
      <x:c r="AC201" s="177" t="str">
        <x:f t="shared" si="69"/>
      </x:c>
      <x:c r="AD201" s="122"/>
      <x:c r="AE201" s="177" t="str">
        <x:f t="shared" si="70"/>
      </x:c>
      <x:c r="AF201" s="178" t="str">
        <x:f t="shared" si="71"/>
      </x:c>
      <x:c r="AG201" s="122"/>
      <x:c r="AH201" s="177" t="str">
        <x:f t="shared" si="72"/>
      </x:c>
      <x:c r="AI201" s="122"/>
      <x:c r="AJ201" s="177" t="str">
        <x:f t="shared" si="73"/>
      </x:c>
      <x:c r="AK201" s="178" t="str">
        <x:f t="shared" si="74"/>
      </x:c>
      <x:c r="AL201" s="122"/>
      <x:c r="AM201" s="177" t="str">
        <x:f t="shared" si="75"/>
      </x:c>
      <x:c r="AN201" s="122"/>
      <x:c r="AO201" s="177" t="str">
        <x:f t="shared" si="76"/>
      </x:c>
      <x:c r="AP201" s="178" t="str">
        <x:f t="shared" si="77"/>
      </x:c>
      <x:c r="AQ201" s="122"/>
      <x:c r="AR201" s="177" t="str">
        <x:f t="shared" si="78"/>
      </x:c>
      <x:c r="AS201" s="122"/>
      <x:c r="AT201" s="177" t="str">
        <x:f t="shared" si="79"/>
      </x:c>
      <x:c r="AU201" s="178" t="str">
        <x:f t="shared" si="80"/>
      </x:c>
      <x:c r="AV201" s="122"/>
      <x:c r="AW201" s="177" t="str">
        <x:f t="shared" si="81"/>
      </x:c>
      <x:c r="AX201" s="122"/>
      <x:c r="AY201" s="177" t="str">
        <x:f t="shared" si="82"/>
      </x:c>
      <x:c r="AZ201" s="178" t="str">
        <x:f t="shared" si="83"/>
      </x:c>
      <x:c r="BA201" s="122"/>
      <x:c r="BB201" s="177" t="str">
        <x:f t="shared" si="84"/>
      </x:c>
      <x:c r="BC201" s="122"/>
      <x:c r="BD201" s="177" t="str">
        <x:f t="shared" si="85"/>
      </x:c>
      <x:c r="BE201" s="178" t="str">
        <x:f t="shared" si="86"/>
      </x:c>
      <x:c r="BF201" s="122"/>
      <x:c r="BG201" s="177" t="str">
        <x:f t="shared" si="87"/>
      </x:c>
      <x:c r="BH201" s="122"/>
      <x:c r="BI201" s="177" t="str">
        <x:f t="shared" si="88"/>
      </x:c>
      <x:c r="BJ201" s="178" t="str">
        <x:f t="shared" si="89"/>
      </x:c>
    </x:row>
    <x:row r="202" ht="19.5" hidden="1" customHeight="1">
      <x:c r="A202" s="169"/>
      <x:c r="B202" s="170"/>
      <x:c r="C202" s="171"/>
      <x:c r="D202" s="172"/>
      <x:c r="E202" s="171"/>
      <x:c r="F202" s="173"/>
      <x:c r="G202" s="174"/>
      <x:c r="H202" s="175"/>
      <x:c r="I202" s="174"/>
      <x:c r="J202" s="176"/>
      <x:c r="K202" s="233"/>
      <x:c r="L202" s="233"/>
      <x:c r="M202" s="122"/>
      <x:c r="N202" s="177" t="str">
        <x:f t="shared" si="60"/>
      </x:c>
      <x:c r="O202" s="122"/>
      <x:c r="P202" s="177" t="str">
        <x:f t="shared" si="61"/>
      </x:c>
      <x:c r="Q202" s="178" t="str">
        <x:f t="shared" si="62"/>
      </x:c>
      <x:c r="R202" s="122"/>
      <x:c r="S202" s="177" t="str">
        <x:f t="shared" si="63"/>
      </x:c>
      <x:c r="T202" s="122"/>
      <x:c r="U202" s="177" t="str">
        <x:f t="shared" si="64"/>
      </x:c>
      <x:c r="V202" s="178" t="str">
        <x:f t="shared" si="65"/>
      </x:c>
      <x:c r="W202" s="122"/>
      <x:c r="X202" s="177" t="str">
        <x:f t="shared" si="66"/>
      </x:c>
      <x:c r="Y202" s="122"/>
      <x:c r="Z202" s="177" t="str">
        <x:f t="shared" si="67"/>
      </x:c>
      <x:c r="AA202" s="178" t="str">
        <x:f t="shared" si="68"/>
      </x:c>
      <x:c r="AB202" s="122"/>
      <x:c r="AC202" s="177" t="str">
        <x:f t="shared" si="69"/>
      </x:c>
      <x:c r="AD202" s="122"/>
      <x:c r="AE202" s="177" t="str">
        <x:f t="shared" si="70"/>
      </x:c>
      <x:c r="AF202" s="178" t="str">
        <x:f t="shared" si="71"/>
      </x:c>
      <x:c r="AG202" s="122"/>
      <x:c r="AH202" s="177" t="str">
        <x:f t="shared" si="72"/>
      </x:c>
      <x:c r="AI202" s="122"/>
      <x:c r="AJ202" s="177" t="str">
        <x:f t="shared" si="73"/>
      </x:c>
      <x:c r="AK202" s="178" t="str">
        <x:f t="shared" si="74"/>
      </x:c>
      <x:c r="AL202" s="122"/>
      <x:c r="AM202" s="177" t="str">
        <x:f t="shared" si="75"/>
      </x:c>
      <x:c r="AN202" s="122"/>
      <x:c r="AO202" s="177" t="str">
        <x:f t="shared" si="76"/>
      </x:c>
      <x:c r="AP202" s="178" t="str">
        <x:f t="shared" si="77"/>
      </x:c>
      <x:c r="AQ202" s="122"/>
      <x:c r="AR202" s="177" t="str">
        <x:f t="shared" si="78"/>
      </x:c>
      <x:c r="AS202" s="122"/>
      <x:c r="AT202" s="177" t="str">
        <x:f t="shared" si="79"/>
      </x:c>
      <x:c r="AU202" s="178" t="str">
        <x:f t="shared" si="80"/>
      </x:c>
      <x:c r="AV202" s="122"/>
      <x:c r="AW202" s="177" t="str">
        <x:f t="shared" si="81"/>
      </x:c>
      <x:c r="AX202" s="122"/>
      <x:c r="AY202" s="177" t="str">
        <x:f t="shared" si="82"/>
      </x:c>
      <x:c r="AZ202" s="178" t="str">
        <x:f t="shared" si="83"/>
      </x:c>
      <x:c r="BA202" s="122"/>
      <x:c r="BB202" s="177" t="str">
        <x:f t="shared" si="84"/>
      </x:c>
      <x:c r="BC202" s="122"/>
      <x:c r="BD202" s="177" t="str">
        <x:f t="shared" si="85"/>
      </x:c>
      <x:c r="BE202" s="178" t="str">
        <x:f t="shared" si="86"/>
      </x:c>
      <x:c r="BF202" s="122"/>
      <x:c r="BG202" s="177" t="str">
        <x:f t="shared" si="87"/>
      </x:c>
      <x:c r="BH202" s="122"/>
      <x:c r="BI202" s="177" t="str">
        <x:f t="shared" si="88"/>
      </x:c>
      <x:c r="BJ202" s="178" t="str">
        <x:f t="shared" si="89"/>
      </x:c>
    </x:row>
    <x:row r="203" ht="19.5" hidden="1" customHeight="1">
      <x:c r="A203" s="160"/>
      <x:c r="B203" s="179"/>
      <x:c r="C203" s="171"/>
      <x:c r="D203" s="172"/>
      <x:c r="E203" s="171"/>
      <x:c r="F203" s="173"/>
      <x:c r="G203" s="174"/>
      <x:c r="H203" s="175"/>
      <x:c r="I203" s="174"/>
      <x:c r="J203" s="176"/>
      <x:c r="K203" s="233"/>
      <x:c r="L203" s="233"/>
      <x:c r="M203" s="122"/>
      <x:c r="N203" s="177" t="str">
        <x:f t="shared" si="60"/>
      </x:c>
      <x:c r="O203" s="122"/>
      <x:c r="P203" s="177" t="str">
        <x:f t="shared" si="61"/>
      </x:c>
      <x:c r="Q203" s="178" t="str">
        <x:f t="shared" si="62"/>
      </x:c>
      <x:c r="R203" s="122"/>
      <x:c r="S203" s="177" t="str">
        <x:f t="shared" si="63"/>
      </x:c>
      <x:c r="T203" s="122"/>
      <x:c r="U203" s="177" t="str">
        <x:f t="shared" si="64"/>
      </x:c>
      <x:c r="V203" s="178" t="str">
        <x:f t="shared" si="65"/>
      </x:c>
      <x:c r="W203" s="122"/>
      <x:c r="X203" s="177" t="str">
        <x:f t="shared" si="66"/>
      </x:c>
      <x:c r="Y203" s="122"/>
      <x:c r="Z203" s="177" t="str">
        <x:f t="shared" si="67"/>
      </x:c>
      <x:c r="AA203" s="178" t="str">
        <x:f t="shared" si="68"/>
      </x:c>
      <x:c r="AB203" s="122"/>
      <x:c r="AC203" s="177" t="str">
        <x:f t="shared" si="69"/>
      </x:c>
      <x:c r="AD203" s="122"/>
      <x:c r="AE203" s="177" t="str">
        <x:f t="shared" si="70"/>
      </x:c>
      <x:c r="AF203" s="178" t="str">
        <x:f t="shared" si="71"/>
      </x:c>
      <x:c r="AG203" s="122"/>
      <x:c r="AH203" s="177" t="str">
        <x:f t="shared" si="72"/>
      </x:c>
      <x:c r="AI203" s="122"/>
      <x:c r="AJ203" s="177" t="str">
        <x:f t="shared" si="73"/>
      </x:c>
      <x:c r="AK203" s="178" t="str">
        <x:f t="shared" si="74"/>
      </x:c>
      <x:c r="AL203" s="122"/>
      <x:c r="AM203" s="177" t="str">
        <x:f t="shared" si="75"/>
      </x:c>
      <x:c r="AN203" s="122"/>
      <x:c r="AO203" s="177" t="str">
        <x:f t="shared" si="76"/>
      </x:c>
      <x:c r="AP203" s="178" t="str">
        <x:f t="shared" si="77"/>
      </x:c>
      <x:c r="AQ203" s="122"/>
      <x:c r="AR203" s="177" t="str">
        <x:f t="shared" si="78"/>
      </x:c>
      <x:c r="AS203" s="122"/>
      <x:c r="AT203" s="177" t="str">
        <x:f t="shared" si="79"/>
      </x:c>
      <x:c r="AU203" s="178" t="str">
        <x:f t="shared" si="80"/>
      </x:c>
      <x:c r="AV203" s="122"/>
      <x:c r="AW203" s="177" t="str">
        <x:f t="shared" si="81"/>
      </x:c>
      <x:c r="AX203" s="122"/>
      <x:c r="AY203" s="177" t="str">
        <x:f t="shared" si="82"/>
      </x:c>
      <x:c r="AZ203" s="178" t="str">
        <x:f t="shared" si="83"/>
      </x:c>
      <x:c r="BA203" s="122"/>
      <x:c r="BB203" s="177" t="str">
        <x:f t="shared" si="84"/>
      </x:c>
      <x:c r="BC203" s="122"/>
      <x:c r="BD203" s="177" t="str">
        <x:f t="shared" si="85"/>
      </x:c>
      <x:c r="BE203" s="178" t="str">
        <x:f t="shared" si="86"/>
      </x:c>
      <x:c r="BF203" s="122"/>
      <x:c r="BG203" s="177" t="str">
        <x:f t="shared" si="87"/>
      </x:c>
      <x:c r="BH203" s="122"/>
      <x:c r="BI203" s="177" t="str">
        <x:f t="shared" si="88"/>
      </x:c>
      <x:c r="BJ203" s="178" t="str">
        <x:f t="shared" si="89"/>
      </x:c>
    </x:row>
    <x:row r="204" ht="19.5" hidden="1" customHeight="1">
      <x:c r="A204" s="169"/>
      <x:c r="B204" s="170"/>
      <x:c r="C204" s="171"/>
      <x:c r="D204" s="172"/>
      <x:c r="E204" s="171"/>
      <x:c r="F204" s="173"/>
      <x:c r="G204" s="174"/>
      <x:c r="H204" s="175"/>
      <x:c r="I204" s="174"/>
      <x:c r="J204" s="176"/>
      <x:c r="K204" s="233"/>
      <x:c r="L204" s="233"/>
      <x:c r="M204" s="122"/>
      <x:c r="N204" s="177" t="str">
        <x:f t="shared" si="60"/>
      </x:c>
      <x:c r="O204" s="122"/>
      <x:c r="P204" s="177" t="str">
        <x:f t="shared" si="61"/>
      </x:c>
      <x:c r="Q204" s="178" t="str">
        <x:f t="shared" si="62"/>
      </x:c>
      <x:c r="R204" s="122"/>
      <x:c r="S204" s="177" t="str">
        <x:f t="shared" si="63"/>
      </x:c>
      <x:c r="T204" s="122"/>
      <x:c r="U204" s="177" t="str">
        <x:f t="shared" si="64"/>
      </x:c>
      <x:c r="V204" s="178" t="str">
        <x:f t="shared" si="65"/>
      </x:c>
      <x:c r="W204" s="122"/>
      <x:c r="X204" s="177" t="str">
        <x:f t="shared" si="66"/>
      </x:c>
      <x:c r="Y204" s="122"/>
      <x:c r="Z204" s="177" t="str">
        <x:f t="shared" si="67"/>
      </x:c>
      <x:c r="AA204" s="178" t="str">
        <x:f t="shared" si="68"/>
      </x:c>
      <x:c r="AB204" s="122"/>
      <x:c r="AC204" s="177" t="str">
        <x:f t="shared" si="69"/>
      </x:c>
      <x:c r="AD204" s="122"/>
      <x:c r="AE204" s="177" t="str">
        <x:f t="shared" si="70"/>
      </x:c>
      <x:c r="AF204" s="178" t="str">
        <x:f t="shared" si="71"/>
      </x:c>
      <x:c r="AG204" s="122"/>
      <x:c r="AH204" s="177" t="str">
        <x:f t="shared" si="72"/>
      </x:c>
      <x:c r="AI204" s="122"/>
      <x:c r="AJ204" s="177" t="str">
        <x:f t="shared" si="73"/>
      </x:c>
      <x:c r="AK204" s="178" t="str">
        <x:f t="shared" si="74"/>
      </x:c>
      <x:c r="AL204" s="122"/>
      <x:c r="AM204" s="177" t="str">
        <x:f t="shared" si="75"/>
      </x:c>
      <x:c r="AN204" s="122"/>
      <x:c r="AO204" s="177" t="str">
        <x:f t="shared" si="76"/>
      </x:c>
      <x:c r="AP204" s="178" t="str">
        <x:f t="shared" si="77"/>
      </x:c>
      <x:c r="AQ204" s="122"/>
      <x:c r="AR204" s="177" t="str">
        <x:f t="shared" si="78"/>
      </x:c>
      <x:c r="AS204" s="122"/>
      <x:c r="AT204" s="177" t="str">
        <x:f t="shared" si="79"/>
      </x:c>
      <x:c r="AU204" s="178" t="str">
        <x:f t="shared" si="80"/>
      </x:c>
      <x:c r="AV204" s="122"/>
      <x:c r="AW204" s="177" t="str">
        <x:f t="shared" si="81"/>
      </x:c>
      <x:c r="AX204" s="122"/>
      <x:c r="AY204" s="177" t="str">
        <x:f t="shared" si="82"/>
      </x:c>
      <x:c r="AZ204" s="178" t="str">
        <x:f t="shared" si="83"/>
      </x:c>
      <x:c r="BA204" s="122"/>
      <x:c r="BB204" s="177" t="str">
        <x:f t="shared" si="84"/>
      </x:c>
      <x:c r="BC204" s="122"/>
      <x:c r="BD204" s="177" t="str">
        <x:f t="shared" si="85"/>
      </x:c>
      <x:c r="BE204" s="178" t="str">
        <x:f t="shared" si="86"/>
      </x:c>
      <x:c r="BF204" s="122"/>
      <x:c r="BG204" s="177" t="str">
        <x:f t="shared" si="87"/>
      </x:c>
      <x:c r="BH204" s="122"/>
      <x:c r="BI204" s="177" t="str">
        <x:f t="shared" si="88"/>
      </x:c>
      <x:c r="BJ204" s="178" t="str">
        <x:f t="shared" si="89"/>
      </x:c>
    </x:row>
    <x:row r="205" ht="19.5" hidden="1" customHeight="1">
      <x:c r="A205" s="160"/>
      <x:c r="B205" s="179"/>
      <x:c r="C205" s="171"/>
      <x:c r="D205" s="172"/>
      <x:c r="E205" s="171"/>
      <x:c r="F205" s="173"/>
      <x:c r="G205" s="174"/>
      <x:c r="H205" s="175"/>
      <x:c r="I205" s="174"/>
      <x:c r="J205" s="176"/>
      <x:c r="K205" s="233"/>
      <x:c r="L205" s="233"/>
      <x:c r="M205" s="122"/>
      <x:c r="N205" s="177" t="str">
        <x:f t="shared" si="60"/>
      </x:c>
      <x:c r="O205" s="122"/>
      <x:c r="P205" s="177" t="str">
        <x:f t="shared" si="61"/>
      </x:c>
      <x:c r="Q205" s="178" t="str">
        <x:f t="shared" si="62"/>
      </x:c>
      <x:c r="R205" s="122"/>
      <x:c r="S205" s="177" t="str">
        <x:f t="shared" si="63"/>
      </x:c>
      <x:c r="T205" s="122"/>
      <x:c r="U205" s="177" t="str">
        <x:f t="shared" si="64"/>
      </x:c>
      <x:c r="V205" s="178" t="str">
        <x:f t="shared" si="65"/>
      </x:c>
      <x:c r="W205" s="122"/>
      <x:c r="X205" s="177" t="str">
        <x:f t="shared" si="66"/>
      </x:c>
      <x:c r="Y205" s="122"/>
      <x:c r="Z205" s="177" t="str">
        <x:f t="shared" si="67"/>
      </x:c>
      <x:c r="AA205" s="178" t="str">
        <x:f t="shared" si="68"/>
      </x:c>
      <x:c r="AB205" s="122"/>
      <x:c r="AC205" s="177" t="str">
        <x:f t="shared" si="69"/>
      </x:c>
      <x:c r="AD205" s="122"/>
      <x:c r="AE205" s="177" t="str">
        <x:f t="shared" si="70"/>
      </x:c>
      <x:c r="AF205" s="178" t="str">
        <x:f t="shared" si="71"/>
      </x:c>
      <x:c r="AG205" s="122"/>
      <x:c r="AH205" s="177" t="str">
        <x:f t="shared" si="72"/>
      </x:c>
      <x:c r="AI205" s="122"/>
      <x:c r="AJ205" s="177" t="str">
        <x:f t="shared" si="73"/>
      </x:c>
      <x:c r="AK205" s="178" t="str">
        <x:f t="shared" si="74"/>
      </x:c>
      <x:c r="AL205" s="122"/>
      <x:c r="AM205" s="177" t="str">
        <x:f t="shared" si="75"/>
      </x:c>
      <x:c r="AN205" s="122"/>
      <x:c r="AO205" s="177" t="str">
        <x:f t="shared" si="76"/>
      </x:c>
      <x:c r="AP205" s="178" t="str">
        <x:f t="shared" si="77"/>
      </x:c>
      <x:c r="AQ205" s="122"/>
      <x:c r="AR205" s="177" t="str">
        <x:f t="shared" si="78"/>
      </x:c>
      <x:c r="AS205" s="122"/>
      <x:c r="AT205" s="177" t="str">
        <x:f t="shared" si="79"/>
      </x:c>
      <x:c r="AU205" s="178" t="str">
        <x:f t="shared" si="80"/>
      </x:c>
      <x:c r="AV205" s="122"/>
      <x:c r="AW205" s="177" t="str">
        <x:f t="shared" si="81"/>
      </x:c>
      <x:c r="AX205" s="122"/>
      <x:c r="AY205" s="177" t="str">
        <x:f t="shared" si="82"/>
      </x:c>
      <x:c r="AZ205" s="178" t="str">
        <x:f t="shared" si="83"/>
      </x:c>
      <x:c r="BA205" s="122"/>
      <x:c r="BB205" s="177" t="str">
        <x:f t="shared" si="84"/>
      </x:c>
      <x:c r="BC205" s="122"/>
      <x:c r="BD205" s="177" t="str">
        <x:f t="shared" si="85"/>
      </x:c>
      <x:c r="BE205" s="178" t="str">
        <x:f t="shared" si="86"/>
      </x:c>
      <x:c r="BF205" s="122"/>
      <x:c r="BG205" s="177" t="str">
        <x:f t="shared" si="87"/>
      </x:c>
      <x:c r="BH205" s="122"/>
      <x:c r="BI205" s="177" t="str">
        <x:f t="shared" si="88"/>
      </x:c>
      <x:c r="BJ205" s="178" t="str">
        <x:f t="shared" si="89"/>
      </x:c>
    </x:row>
    <x:row r="206" ht="19.5" hidden="1" customHeight="1">
      <x:c r="A206" s="169"/>
      <x:c r="B206" s="170"/>
      <x:c r="C206" s="171"/>
      <x:c r="D206" s="172"/>
      <x:c r="E206" s="171"/>
      <x:c r="F206" s="173"/>
      <x:c r="G206" s="174"/>
      <x:c r="H206" s="175"/>
      <x:c r="I206" s="174"/>
      <x:c r="J206" s="176"/>
      <x:c r="K206" s="233"/>
      <x:c r="L206" s="233"/>
      <x:c r="M206" s="122"/>
      <x:c r="N206" s="177" t="str">
        <x:f t="shared" si="60"/>
      </x:c>
      <x:c r="O206" s="122"/>
      <x:c r="P206" s="177" t="str">
        <x:f t="shared" si="61"/>
      </x:c>
      <x:c r="Q206" s="178" t="str">
        <x:f t="shared" si="62"/>
      </x:c>
      <x:c r="R206" s="122"/>
      <x:c r="S206" s="177" t="str">
        <x:f t="shared" si="63"/>
      </x:c>
      <x:c r="T206" s="122"/>
      <x:c r="U206" s="177" t="str">
        <x:f t="shared" si="64"/>
      </x:c>
      <x:c r="V206" s="178" t="str">
        <x:f t="shared" si="65"/>
      </x:c>
      <x:c r="W206" s="122"/>
      <x:c r="X206" s="177" t="str">
        <x:f t="shared" si="66"/>
      </x:c>
      <x:c r="Y206" s="122"/>
      <x:c r="Z206" s="177" t="str">
        <x:f t="shared" si="67"/>
      </x:c>
      <x:c r="AA206" s="178" t="str">
        <x:f t="shared" si="68"/>
      </x:c>
      <x:c r="AB206" s="122"/>
      <x:c r="AC206" s="177" t="str">
        <x:f t="shared" si="69"/>
      </x:c>
      <x:c r="AD206" s="122"/>
      <x:c r="AE206" s="177" t="str">
        <x:f t="shared" si="70"/>
      </x:c>
      <x:c r="AF206" s="178" t="str">
        <x:f t="shared" si="71"/>
      </x:c>
      <x:c r="AG206" s="122"/>
      <x:c r="AH206" s="177" t="str">
        <x:f t="shared" si="72"/>
      </x:c>
      <x:c r="AI206" s="122"/>
      <x:c r="AJ206" s="177" t="str">
        <x:f t="shared" si="73"/>
      </x:c>
      <x:c r="AK206" s="178" t="str">
        <x:f t="shared" si="74"/>
      </x:c>
      <x:c r="AL206" s="122"/>
      <x:c r="AM206" s="177" t="str">
        <x:f t="shared" si="75"/>
      </x:c>
      <x:c r="AN206" s="122"/>
      <x:c r="AO206" s="177" t="str">
        <x:f t="shared" si="76"/>
      </x:c>
      <x:c r="AP206" s="178" t="str">
        <x:f t="shared" si="77"/>
      </x:c>
      <x:c r="AQ206" s="122"/>
      <x:c r="AR206" s="177" t="str">
        <x:f t="shared" si="78"/>
      </x:c>
      <x:c r="AS206" s="122"/>
      <x:c r="AT206" s="177" t="str">
        <x:f t="shared" si="79"/>
      </x:c>
      <x:c r="AU206" s="178" t="str">
        <x:f t="shared" si="80"/>
      </x:c>
      <x:c r="AV206" s="122"/>
      <x:c r="AW206" s="177" t="str">
        <x:f t="shared" si="81"/>
      </x:c>
      <x:c r="AX206" s="122"/>
      <x:c r="AY206" s="177" t="str">
        <x:f t="shared" si="82"/>
      </x:c>
      <x:c r="AZ206" s="178" t="str">
        <x:f t="shared" si="83"/>
      </x:c>
      <x:c r="BA206" s="122"/>
      <x:c r="BB206" s="177" t="str">
        <x:f t="shared" si="84"/>
      </x:c>
      <x:c r="BC206" s="122"/>
      <x:c r="BD206" s="177" t="str">
        <x:f t="shared" si="85"/>
      </x:c>
      <x:c r="BE206" s="178" t="str">
        <x:f t="shared" si="86"/>
      </x:c>
      <x:c r="BF206" s="122"/>
      <x:c r="BG206" s="177" t="str">
        <x:f t="shared" si="87"/>
      </x:c>
      <x:c r="BH206" s="122"/>
      <x:c r="BI206" s="177" t="str">
        <x:f t="shared" si="88"/>
      </x:c>
      <x:c r="BJ206" s="178" t="str">
        <x:f t="shared" si="89"/>
      </x:c>
    </x:row>
    <x:row r="207" ht="19.5" hidden="1" customHeight="1">
      <x:c r="A207" s="160"/>
      <x:c r="B207" s="179"/>
      <x:c r="C207" s="171"/>
      <x:c r="D207" s="172"/>
      <x:c r="E207" s="171"/>
      <x:c r="F207" s="173"/>
      <x:c r="G207" s="174"/>
      <x:c r="H207" s="175"/>
      <x:c r="I207" s="174"/>
      <x:c r="J207" s="176"/>
      <x:c r="K207" s="233"/>
      <x:c r="L207" s="233"/>
      <x:c r="M207" s="122"/>
      <x:c r="N207" s="177" t="str">
        <x:f t="shared" si="60"/>
      </x:c>
      <x:c r="O207" s="122"/>
      <x:c r="P207" s="177" t="str">
        <x:f t="shared" si="61"/>
      </x:c>
      <x:c r="Q207" s="178" t="str">
        <x:f t="shared" si="62"/>
      </x:c>
      <x:c r="R207" s="122"/>
      <x:c r="S207" s="177" t="str">
        <x:f t="shared" si="63"/>
      </x:c>
      <x:c r="T207" s="122"/>
      <x:c r="U207" s="177" t="str">
        <x:f t="shared" si="64"/>
      </x:c>
      <x:c r="V207" s="178" t="str">
        <x:f t="shared" si="65"/>
      </x:c>
      <x:c r="W207" s="122"/>
      <x:c r="X207" s="177" t="str">
        <x:f t="shared" si="66"/>
      </x:c>
      <x:c r="Y207" s="122"/>
      <x:c r="Z207" s="177" t="str">
        <x:f t="shared" si="67"/>
      </x:c>
      <x:c r="AA207" s="178" t="str">
        <x:f t="shared" si="68"/>
      </x:c>
      <x:c r="AB207" s="122"/>
      <x:c r="AC207" s="177" t="str">
        <x:f t="shared" si="69"/>
      </x:c>
      <x:c r="AD207" s="122"/>
      <x:c r="AE207" s="177" t="str">
        <x:f t="shared" si="70"/>
      </x:c>
      <x:c r="AF207" s="178" t="str">
        <x:f t="shared" si="71"/>
      </x:c>
      <x:c r="AG207" s="122"/>
      <x:c r="AH207" s="177" t="str">
        <x:f t="shared" si="72"/>
      </x:c>
      <x:c r="AI207" s="122"/>
      <x:c r="AJ207" s="177" t="str">
        <x:f t="shared" si="73"/>
      </x:c>
      <x:c r="AK207" s="178" t="str">
        <x:f t="shared" si="74"/>
      </x:c>
      <x:c r="AL207" s="122"/>
      <x:c r="AM207" s="177" t="str">
        <x:f t="shared" si="75"/>
      </x:c>
      <x:c r="AN207" s="122"/>
      <x:c r="AO207" s="177" t="str">
        <x:f t="shared" si="76"/>
      </x:c>
      <x:c r="AP207" s="178" t="str">
        <x:f t="shared" si="77"/>
      </x:c>
      <x:c r="AQ207" s="122"/>
      <x:c r="AR207" s="177" t="str">
        <x:f t="shared" si="78"/>
      </x:c>
      <x:c r="AS207" s="122"/>
      <x:c r="AT207" s="177" t="str">
        <x:f t="shared" si="79"/>
      </x:c>
      <x:c r="AU207" s="178" t="str">
        <x:f t="shared" si="80"/>
      </x:c>
      <x:c r="AV207" s="122"/>
      <x:c r="AW207" s="177" t="str">
        <x:f t="shared" si="81"/>
      </x:c>
      <x:c r="AX207" s="122"/>
      <x:c r="AY207" s="177" t="str">
        <x:f t="shared" si="82"/>
      </x:c>
      <x:c r="AZ207" s="178" t="str">
        <x:f t="shared" si="83"/>
      </x:c>
      <x:c r="BA207" s="122"/>
      <x:c r="BB207" s="177" t="str">
        <x:f t="shared" si="84"/>
      </x:c>
      <x:c r="BC207" s="122"/>
      <x:c r="BD207" s="177" t="str">
        <x:f t="shared" si="85"/>
      </x:c>
      <x:c r="BE207" s="178" t="str">
        <x:f t="shared" si="86"/>
      </x:c>
      <x:c r="BF207" s="122"/>
      <x:c r="BG207" s="177" t="str">
        <x:f t="shared" si="87"/>
      </x:c>
      <x:c r="BH207" s="122"/>
      <x:c r="BI207" s="177" t="str">
        <x:f t="shared" si="88"/>
      </x:c>
      <x:c r="BJ207" s="178" t="str">
        <x:f t="shared" si="89"/>
      </x:c>
    </x:row>
    <x:row r="208" ht="19.5" hidden="1" customHeight="1">
      <x:c r="A208" s="169"/>
      <x:c r="B208" s="170"/>
      <x:c r="C208" s="171"/>
      <x:c r="D208" s="172"/>
      <x:c r="E208" s="171"/>
      <x:c r="F208" s="173"/>
      <x:c r="G208" s="174"/>
      <x:c r="H208" s="175"/>
      <x:c r="I208" s="174"/>
      <x:c r="J208" s="176"/>
      <x:c r="K208" s="233"/>
      <x:c r="L208" s="233"/>
      <x:c r="M208" s="122"/>
      <x:c r="N208" s="177" t="str">
        <x:f t="shared" si="60"/>
      </x:c>
      <x:c r="O208" s="122"/>
      <x:c r="P208" s="177" t="str">
        <x:f t="shared" si="61"/>
      </x:c>
      <x:c r="Q208" s="178" t="str">
        <x:f t="shared" si="62"/>
      </x:c>
      <x:c r="R208" s="122"/>
      <x:c r="S208" s="177" t="str">
        <x:f t="shared" si="63"/>
      </x:c>
      <x:c r="T208" s="122"/>
      <x:c r="U208" s="177" t="str">
        <x:f t="shared" si="64"/>
      </x:c>
      <x:c r="V208" s="178" t="str">
        <x:f t="shared" si="65"/>
      </x:c>
      <x:c r="W208" s="122"/>
      <x:c r="X208" s="177" t="str">
        <x:f t="shared" si="66"/>
      </x:c>
      <x:c r="Y208" s="122"/>
      <x:c r="Z208" s="177" t="str">
        <x:f t="shared" si="67"/>
      </x:c>
      <x:c r="AA208" s="178" t="str">
        <x:f t="shared" si="68"/>
      </x:c>
      <x:c r="AB208" s="122"/>
      <x:c r="AC208" s="177" t="str">
        <x:f t="shared" si="69"/>
      </x:c>
      <x:c r="AD208" s="122"/>
      <x:c r="AE208" s="177" t="str">
        <x:f t="shared" si="70"/>
      </x:c>
      <x:c r="AF208" s="178" t="str">
        <x:f t="shared" si="71"/>
      </x:c>
      <x:c r="AG208" s="122"/>
      <x:c r="AH208" s="177" t="str">
        <x:f t="shared" si="72"/>
      </x:c>
      <x:c r="AI208" s="122"/>
      <x:c r="AJ208" s="177" t="str">
        <x:f t="shared" si="73"/>
      </x:c>
      <x:c r="AK208" s="178" t="str">
        <x:f t="shared" si="74"/>
      </x:c>
      <x:c r="AL208" s="122"/>
      <x:c r="AM208" s="177" t="str">
        <x:f t="shared" si="75"/>
      </x:c>
      <x:c r="AN208" s="122"/>
      <x:c r="AO208" s="177" t="str">
        <x:f t="shared" si="76"/>
      </x:c>
      <x:c r="AP208" s="178" t="str">
        <x:f t="shared" si="77"/>
      </x:c>
      <x:c r="AQ208" s="122"/>
      <x:c r="AR208" s="177" t="str">
        <x:f t="shared" si="78"/>
      </x:c>
      <x:c r="AS208" s="122"/>
      <x:c r="AT208" s="177" t="str">
        <x:f t="shared" si="79"/>
      </x:c>
      <x:c r="AU208" s="178" t="str">
        <x:f t="shared" si="80"/>
      </x:c>
      <x:c r="AV208" s="122"/>
      <x:c r="AW208" s="177" t="str">
        <x:f t="shared" si="81"/>
      </x:c>
      <x:c r="AX208" s="122"/>
      <x:c r="AY208" s="177" t="str">
        <x:f t="shared" si="82"/>
      </x:c>
      <x:c r="AZ208" s="178" t="str">
        <x:f t="shared" si="83"/>
      </x:c>
      <x:c r="BA208" s="122"/>
      <x:c r="BB208" s="177" t="str">
        <x:f t="shared" si="84"/>
      </x:c>
      <x:c r="BC208" s="122"/>
      <x:c r="BD208" s="177" t="str">
        <x:f t="shared" si="85"/>
      </x:c>
      <x:c r="BE208" s="178" t="str">
        <x:f t="shared" si="86"/>
      </x:c>
      <x:c r="BF208" s="122"/>
      <x:c r="BG208" s="177" t="str">
        <x:f t="shared" si="87"/>
      </x:c>
      <x:c r="BH208" s="122"/>
      <x:c r="BI208" s="177" t="str">
        <x:f t="shared" si="88"/>
      </x:c>
      <x:c r="BJ208" s="178" t="str">
        <x:f t="shared" si="89"/>
      </x:c>
    </x:row>
    <x:row r="209" ht="19.5" hidden="1" customHeight="1">
      <x:c r="A209" s="160"/>
      <x:c r="B209" s="179"/>
      <x:c r="C209" s="171"/>
      <x:c r="D209" s="172"/>
      <x:c r="E209" s="171"/>
      <x:c r="F209" s="173"/>
      <x:c r="G209" s="174"/>
      <x:c r="H209" s="175"/>
      <x:c r="I209" s="174"/>
      <x:c r="J209" s="176"/>
      <x:c r="K209" s="233"/>
      <x:c r="L209" s="233"/>
      <x:c r="M209" s="122"/>
      <x:c r="N209" s="177" t="str">
        <x:f t="shared" si="60"/>
      </x:c>
      <x:c r="O209" s="122"/>
      <x:c r="P209" s="177" t="str">
        <x:f t="shared" si="61"/>
      </x:c>
      <x:c r="Q209" s="178" t="str">
        <x:f t="shared" si="62"/>
      </x:c>
      <x:c r="R209" s="122"/>
      <x:c r="S209" s="177" t="str">
        <x:f t="shared" si="63"/>
      </x:c>
      <x:c r="T209" s="122"/>
      <x:c r="U209" s="177" t="str">
        <x:f t="shared" si="64"/>
      </x:c>
      <x:c r="V209" s="178" t="str">
        <x:f t="shared" si="65"/>
      </x:c>
      <x:c r="W209" s="122"/>
      <x:c r="X209" s="177" t="str">
        <x:f t="shared" si="66"/>
      </x:c>
      <x:c r="Y209" s="122"/>
      <x:c r="Z209" s="177" t="str">
        <x:f t="shared" si="67"/>
      </x:c>
      <x:c r="AA209" s="178" t="str">
        <x:f t="shared" si="68"/>
      </x:c>
      <x:c r="AB209" s="122"/>
      <x:c r="AC209" s="177" t="str">
        <x:f t="shared" si="69"/>
      </x:c>
      <x:c r="AD209" s="122"/>
      <x:c r="AE209" s="177" t="str">
        <x:f t="shared" si="70"/>
      </x:c>
      <x:c r="AF209" s="178" t="str">
        <x:f t="shared" si="71"/>
      </x:c>
      <x:c r="AG209" s="122"/>
      <x:c r="AH209" s="177" t="str">
        <x:f t="shared" si="72"/>
      </x:c>
      <x:c r="AI209" s="122"/>
      <x:c r="AJ209" s="177" t="str">
        <x:f t="shared" si="73"/>
      </x:c>
      <x:c r="AK209" s="178" t="str">
        <x:f t="shared" si="74"/>
      </x:c>
      <x:c r="AL209" s="122"/>
      <x:c r="AM209" s="177" t="str">
        <x:f t="shared" si="75"/>
      </x:c>
      <x:c r="AN209" s="122"/>
      <x:c r="AO209" s="177" t="str">
        <x:f t="shared" si="76"/>
      </x:c>
      <x:c r="AP209" s="178" t="str">
        <x:f t="shared" si="77"/>
      </x:c>
      <x:c r="AQ209" s="122"/>
      <x:c r="AR209" s="177" t="str">
        <x:f t="shared" si="78"/>
      </x:c>
      <x:c r="AS209" s="122"/>
      <x:c r="AT209" s="177" t="str">
        <x:f t="shared" si="79"/>
      </x:c>
      <x:c r="AU209" s="178" t="str">
        <x:f t="shared" si="80"/>
      </x:c>
      <x:c r="AV209" s="122"/>
      <x:c r="AW209" s="177" t="str">
        <x:f t="shared" si="81"/>
      </x:c>
      <x:c r="AX209" s="122"/>
      <x:c r="AY209" s="177" t="str">
        <x:f t="shared" si="82"/>
      </x:c>
      <x:c r="AZ209" s="178" t="str">
        <x:f t="shared" si="83"/>
      </x:c>
      <x:c r="BA209" s="122"/>
      <x:c r="BB209" s="177" t="str">
        <x:f t="shared" si="84"/>
      </x:c>
      <x:c r="BC209" s="122"/>
      <x:c r="BD209" s="177" t="str">
        <x:f t="shared" si="85"/>
      </x:c>
      <x:c r="BE209" s="178" t="str">
        <x:f t="shared" si="86"/>
      </x:c>
      <x:c r="BF209" s="122"/>
      <x:c r="BG209" s="177" t="str">
        <x:f t="shared" si="87"/>
      </x:c>
      <x:c r="BH209" s="122"/>
      <x:c r="BI209" s="177" t="str">
        <x:f t="shared" si="88"/>
      </x:c>
      <x:c r="BJ209" s="178" t="str">
        <x:f t="shared" si="89"/>
      </x:c>
    </x:row>
    <x:row r="210" ht="19.5" hidden="1" customHeight="1">
      <x:c r="A210" s="169"/>
      <x:c r="B210" s="170"/>
      <x:c r="C210" s="171"/>
      <x:c r="D210" s="172"/>
      <x:c r="E210" s="171"/>
      <x:c r="F210" s="173"/>
      <x:c r="G210" s="174"/>
      <x:c r="H210" s="175"/>
      <x:c r="I210" s="174"/>
      <x:c r="J210" s="176"/>
      <x:c r="K210" s="233"/>
      <x:c r="L210" s="233"/>
      <x:c r="M210" s="122"/>
      <x:c r="N210" s="177" t="str">
        <x:f t="shared" si="60"/>
      </x:c>
      <x:c r="O210" s="122"/>
      <x:c r="P210" s="177" t="str">
        <x:f t="shared" si="61"/>
      </x:c>
      <x:c r="Q210" s="178" t="str">
        <x:f t="shared" si="62"/>
      </x:c>
      <x:c r="R210" s="122"/>
      <x:c r="S210" s="177" t="str">
        <x:f t="shared" si="63"/>
      </x:c>
      <x:c r="T210" s="122"/>
      <x:c r="U210" s="177" t="str">
        <x:f t="shared" si="64"/>
      </x:c>
      <x:c r="V210" s="178" t="str">
        <x:f t="shared" si="65"/>
      </x:c>
      <x:c r="W210" s="122"/>
      <x:c r="X210" s="177" t="str">
        <x:f t="shared" si="66"/>
      </x:c>
      <x:c r="Y210" s="122"/>
      <x:c r="Z210" s="177" t="str">
        <x:f t="shared" si="67"/>
      </x:c>
      <x:c r="AA210" s="178" t="str">
        <x:f t="shared" si="68"/>
      </x:c>
      <x:c r="AB210" s="122"/>
      <x:c r="AC210" s="177" t="str">
        <x:f t="shared" si="69"/>
      </x:c>
      <x:c r="AD210" s="122"/>
      <x:c r="AE210" s="177" t="str">
        <x:f t="shared" si="70"/>
      </x:c>
      <x:c r="AF210" s="178" t="str">
        <x:f t="shared" si="71"/>
      </x:c>
      <x:c r="AG210" s="122"/>
      <x:c r="AH210" s="177" t="str">
        <x:f t="shared" si="72"/>
      </x:c>
      <x:c r="AI210" s="122"/>
      <x:c r="AJ210" s="177" t="str">
        <x:f t="shared" si="73"/>
      </x:c>
      <x:c r="AK210" s="178" t="str">
        <x:f t="shared" si="74"/>
      </x:c>
      <x:c r="AL210" s="122"/>
      <x:c r="AM210" s="177" t="str">
        <x:f t="shared" si="75"/>
      </x:c>
      <x:c r="AN210" s="122"/>
      <x:c r="AO210" s="177" t="str">
        <x:f t="shared" si="76"/>
      </x:c>
      <x:c r="AP210" s="178" t="str">
        <x:f t="shared" si="77"/>
      </x:c>
      <x:c r="AQ210" s="122"/>
      <x:c r="AR210" s="177" t="str">
        <x:f t="shared" si="78"/>
      </x:c>
      <x:c r="AS210" s="122"/>
      <x:c r="AT210" s="177" t="str">
        <x:f t="shared" si="79"/>
      </x:c>
      <x:c r="AU210" s="178" t="str">
        <x:f t="shared" si="80"/>
      </x:c>
      <x:c r="AV210" s="122"/>
      <x:c r="AW210" s="177" t="str">
        <x:f t="shared" si="81"/>
      </x:c>
      <x:c r="AX210" s="122"/>
      <x:c r="AY210" s="177" t="str">
        <x:f t="shared" si="82"/>
      </x:c>
      <x:c r="AZ210" s="178" t="str">
        <x:f t="shared" si="83"/>
      </x:c>
      <x:c r="BA210" s="122"/>
      <x:c r="BB210" s="177" t="str">
        <x:f t="shared" si="84"/>
      </x:c>
      <x:c r="BC210" s="122"/>
      <x:c r="BD210" s="177" t="str">
        <x:f t="shared" si="85"/>
      </x:c>
      <x:c r="BE210" s="178" t="str">
        <x:f t="shared" si="86"/>
      </x:c>
      <x:c r="BF210" s="122"/>
      <x:c r="BG210" s="177" t="str">
        <x:f t="shared" si="87"/>
      </x:c>
      <x:c r="BH210" s="122"/>
      <x:c r="BI210" s="177" t="str">
        <x:f t="shared" si="88"/>
      </x:c>
      <x:c r="BJ210" s="178" t="str">
        <x:f t="shared" si="89"/>
      </x:c>
    </x:row>
    <x:row r="211" ht="19.5" hidden="1" customHeight="1">
      <x:c r="A211" s="160"/>
      <x:c r="B211" s="179"/>
      <x:c r="C211" s="171"/>
      <x:c r="D211" s="172"/>
      <x:c r="E211" s="171"/>
      <x:c r="F211" s="173"/>
      <x:c r="G211" s="174"/>
      <x:c r="H211" s="175"/>
      <x:c r="I211" s="174"/>
      <x:c r="J211" s="176"/>
      <x:c r="K211" s="233"/>
      <x:c r="L211" s="233"/>
      <x:c r="M211" s="122"/>
      <x:c r="N211" s="177" t="str">
        <x:f t="shared" si="60"/>
      </x:c>
      <x:c r="O211" s="122"/>
      <x:c r="P211" s="177" t="str">
        <x:f t="shared" si="61"/>
      </x:c>
      <x:c r="Q211" s="178" t="str">
        <x:f t="shared" si="62"/>
      </x:c>
      <x:c r="R211" s="122"/>
      <x:c r="S211" s="177" t="str">
        <x:f t="shared" si="63"/>
      </x:c>
      <x:c r="T211" s="122"/>
      <x:c r="U211" s="177" t="str">
        <x:f t="shared" si="64"/>
      </x:c>
      <x:c r="V211" s="178" t="str">
        <x:f t="shared" si="65"/>
      </x:c>
      <x:c r="W211" s="122"/>
      <x:c r="X211" s="177" t="str">
        <x:f t="shared" si="66"/>
      </x:c>
      <x:c r="Y211" s="122"/>
      <x:c r="Z211" s="177" t="str">
        <x:f t="shared" si="67"/>
      </x:c>
      <x:c r="AA211" s="178" t="str">
        <x:f t="shared" si="68"/>
      </x:c>
      <x:c r="AB211" s="122"/>
      <x:c r="AC211" s="177" t="str">
        <x:f t="shared" si="69"/>
      </x:c>
      <x:c r="AD211" s="122"/>
      <x:c r="AE211" s="177" t="str">
        <x:f t="shared" si="70"/>
      </x:c>
      <x:c r="AF211" s="178" t="str">
        <x:f t="shared" si="71"/>
      </x:c>
      <x:c r="AG211" s="122"/>
      <x:c r="AH211" s="177" t="str">
        <x:f t="shared" si="72"/>
      </x:c>
      <x:c r="AI211" s="122"/>
      <x:c r="AJ211" s="177" t="str">
        <x:f t="shared" si="73"/>
      </x:c>
      <x:c r="AK211" s="178" t="str">
        <x:f t="shared" si="74"/>
      </x:c>
      <x:c r="AL211" s="122"/>
      <x:c r="AM211" s="177" t="str">
        <x:f t="shared" si="75"/>
      </x:c>
      <x:c r="AN211" s="122"/>
      <x:c r="AO211" s="177" t="str">
        <x:f t="shared" si="76"/>
      </x:c>
      <x:c r="AP211" s="178" t="str">
        <x:f t="shared" si="77"/>
      </x:c>
      <x:c r="AQ211" s="122"/>
      <x:c r="AR211" s="177" t="str">
        <x:f t="shared" si="78"/>
      </x:c>
      <x:c r="AS211" s="122"/>
      <x:c r="AT211" s="177" t="str">
        <x:f t="shared" si="79"/>
      </x:c>
      <x:c r="AU211" s="178" t="str">
        <x:f t="shared" si="80"/>
      </x:c>
      <x:c r="AV211" s="122"/>
      <x:c r="AW211" s="177" t="str">
        <x:f t="shared" si="81"/>
      </x:c>
      <x:c r="AX211" s="122"/>
      <x:c r="AY211" s="177" t="str">
        <x:f t="shared" si="82"/>
      </x:c>
      <x:c r="AZ211" s="178" t="str">
        <x:f t="shared" si="83"/>
      </x:c>
      <x:c r="BA211" s="122"/>
      <x:c r="BB211" s="177" t="str">
        <x:f t="shared" si="84"/>
      </x:c>
      <x:c r="BC211" s="122"/>
      <x:c r="BD211" s="177" t="str">
        <x:f t="shared" si="85"/>
      </x:c>
      <x:c r="BE211" s="178" t="str">
        <x:f t="shared" si="86"/>
      </x:c>
      <x:c r="BF211" s="122"/>
      <x:c r="BG211" s="177" t="str">
        <x:f t="shared" si="87"/>
      </x:c>
      <x:c r="BH211" s="122"/>
      <x:c r="BI211" s="177" t="str">
        <x:f t="shared" si="88"/>
      </x:c>
      <x:c r="BJ211" s="178" t="str">
        <x:f t="shared" si="89"/>
      </x:c>
    </x:row>
    <x:row r="212" ht="19.5" hidden="1" customHeight="1">
      <x:c r="A212" s="169"/>
      <x:c r="B212" s="170"/>
      <x:c r="C212" s="171"/>
      <x:c r="D212" s="172"/>
      <x:c r="E212" s="171"/>
      <x:c r="F212" s="173"/>
      <x:c r="G212" s="174"/>
      <x:c r="H212" s="175"/>
      <x:c r="I212" s="174"/>
      <x:c r="J212" s="176"/>
      <x:c r="K212" s="233"/>
      <x:c r="L212" s="233"/>
      <x:c r="M212" s="122"/>
      <x:c r="N212" s="177" t="str">
        <x:f t="shared" ref="N212:N275" si="90">IF(B212&lt;&gt;"",IF(M212="","",IF(M212&lt;0.5,1,IF(AND(M212&gt;=0.5,M212&lt;P$10),2,IF(M212&gt;=P$10,3)))),"")</x:f>
      </x:c>
      <x:c r="O212" s="122"/>
      <x:c r="P212" s="177" t="str">
        <x:f t="shared" ref="P212:P275" si="91">IF(B212&lt;&gt;"",IF(O212="","",IF(O212&lt;0.5,1,IF(AND(O212&gt;=0.5,O212&lt;P$10),2,IF(O212&gt;=P$10,3)))),"")</x:f>
      </x:c>
      <x:c r="Q212" s="178" t="str">
        <x:f t="shared" ref="Q212:Q275" si="92">IF(B212 &lt;&gt; "",IFERROR(IF(AVERAGE(M212,O212)&gt;=P$10,"Y","N"),""),"")</x:f>
      </x:c>
      <x:c r="R212" s="122"/>
      <x:c r="S212" s="177" t="str">
        <x:f t="shared" ref="S212:S275" si="93">IF(B212&lt;&gt;"",IF(R212="","",IF(R212&lt;0.5,1,IF(AND(R212&gt;=0.5,R212&lt;P$10),2,IF(R212&gt;=P$10,3)))),"")</x:f>
      </x:c>
      <x:c r="T212" s="122"/>
      <x:c r="U212" s="177" t="str">
        <x:f t="shared" ref="U212:U275" si="94">IF(B212&lt;&gt;"",IF(T212="","",IF(T212&lt;0.5,1,IF(AND(T212&gt;=0.5,T212&lt;P$10),2,IF(T212&gt;=P$10,3)))),"")</x:f>
      </x:c>
      <x:c r="V212" s="178" t="str">
        <x:f t="shared" ref="V212:V275" si="95">IF(B212 &lt;&gt; "",IFERROR(IF(AVERAGE(R212,T212)&gt;=P$10,"Y","N"),""),"")</x:f>
      </x:c>
      <x:c r="W212" s="122"/>
      <x:c r="X212" s="177" t="str">
        <x:f t="shared" ref="X212:X275" si="96">IF(B212&lt;&gt;"",IF(W212="","",IF(W212&lt;0.5,1,IF(AND(W212&gt;=0.5,W212&lt;P$10),2,IF(W212&gt;=P$10,3)))),"")</x:f>
      </x:c>
      <x:c r="Y212" s="122"/>
      <x:c r="Z212" s="177" t="str">
        <x:f t="shared" ref="Z212:Z275" si="97">IF(B212&lt;&gt;"",IF(Y212="","",IF(Y212&lt;0.5,1,IF(AND(Y212&gt;=0.5,Y212&lt;P$10),2,IF(Y212&gt;=P$10,3)))),"")</x:f>
      </x:c>
      <x:c r="AA212" s="178" t="str">
        <x:f t="shared" ref="AA212:AA275" si="98">IF(B212 &lt;&gt; "",IFERROR(IF(AVERAGE(W212,Y212)&gt;=P$10,"Y","N"),""),"")</x:f>
      </x:c>
      <x:c r="AB212" s="122"/>
      <x:c r="AC212" s="177" t="str">
        <x:f t="shared" ref="AC212:AC275" si="99">IF(B212&lt;&gt;"",IF(AB212="","",IF(AB212&lt;0.5,1,IF(AND(AB212&gt;=0.5,AB212&lt;P$10),2,IF(AB212&gt;=P$10,3)))),"")</x:f>
      </x:c>
      <x:c r="AD212" s="122"/>
      <x:c r="AE212" s="177" t="str">
        <x:f t="shared" ref="AE212:AE275" si="100">IF(B212&lt;&gt;"",IF(AD212="","",IF(AD212&lt;0.5,1,IF(AND(AD212&gt;=0.5,AD212&lt;P$10),2,IF(AD212&gt;=P$10,3)))),"")</x:f>
      </x:c>
      <x:c r="AF212" s="178" t="str">
        <x:f t="shared" ref="AF212:AF275" si="101">IF(B212 &lt;&gt; "",IFERROR(IF(AVERAGE(AB212,AD212)&gt;=P$10,"Y","N"),""),"")</x:f>
      </x:c>
      <x:c r="AG212" s="122"/>
      <x:c r="AH212" s="177" t="str">
        <x:f t="shared" ref="AH212:AH275" si="102">IF(B212&lt;&gt;"",IF(AG212="","",IF(AG212&lt;0.5,1,IF(AND(AG212&gt;=0.5,AG212&lt;P$10),2,IF(AG212&gt;=P$10,3)))),"")</x:f>
      </x:c>
      <x:c r="AI212" s="122"/>
      <x:c r="AJ212" s="177" t="str">
        <x:f t="shared" ref="AJ212:AJ275" si="103">IF(B212&lt;&gt;"",IF(AI212="","",IF(AI212&lt;0.5,1,IF(AND(AI212&gt;=0.5,AI212&lt;P$10),2,IF(AI212&gt;=P$10,3)))),"")</x:f>
      </x:c>
      <x:c r="AK212" s="178" t="str">
        <x:f t="shared" ref="AK212:AK275" si="104">IF(B212 &lt;&gt; "",IFERROR(IF(AVERAGE(AG212,AI212)&gt;=P$10,"Y","N"),""),"")</x:f>
      </x:c>
      <x:c r="AL212" s="122"/>
      <x:c r="AM212" s="177" t="str">
        <x:f t="shared" ref="AM212:AM275" si="105">IF(B212&lt;&gt;"",IF(AL212="","",IF(AL212&lt;0.5,1,IF(AND(AL212&gt;=0.5,AL212&lt;P$10),2,IF(AL212&gt;=P$10,3)))),"")</x:f>
      </x:c>
      <x:c r="AN212" s="122"/>
      <x:c r="AO212" s="177" t="str">
        <x:f t="shared" ref="AO212:AO275" si="106">IF(B212&lt;&gt;"",IF(AN212="","",IF(AN212&lt;0.5,1,IF(AND(AN212&gt;=0.5,AN212&lt;P$10),2,IF(AN212&gt;=P$10,3)))),"")</x:f>
      </x:c>
      <x:c r="AP212" s="178" t="str">
        <x:f t="shared" ref="AP212:AP275" si="107">IF(B212 &lt;&gt; "",IFERROR(IF(AVERAGE(AL212,AN212)&gt;=P$10,"Y","N"),""),"")</x:f>
      </x:c>
      <x:c r="AQ212" s="122"/>
      <x:c r="AR212" s="177" t="str">
        <x:f t="shared" ref="AR212:AR275" si="108">IF(B212&lt;&gt;"",IF(AQ212="","",IF(AQ212&lt;0.5,1,IF(AND(AQ212&gt;=0.5,AQ212&lt;P$10),2,IF(AQ212&gt;=P$10,3)))),"")</x:f>
      </x:c>
      <x:c r="AS212" s="122"/>
      <x:c r="AT212" s="177" t="str">
        <x:f t="shared" ref="AT212:AT275" si="109">IF(B212&lt;&gt;"",IF(AS212="","",IF(AS212&lt;0.5,1,IF(AND(AS212&gt;=0.5,AS212&lt;P$10),2,IF(AS212&gt;=P$10,3)))),"")</x:f>
      </x:c>
      <x:c r="AU212" s="178" t="str">
        <x:f t="shared" ref="AU212:AU275" si="110">IF(B212 &lt;&gt; "",IFERROR(IF(AVERAGE(AQ212,AS212)&gt;=P$10,"Y","N"),""),"")</x:f>
      </x:c>
      <x:c r="AV212" s="122"/>
      <x:c r="AW212" s="177" t="str">
        <x:f t="shared" ref="AW212:AW275" si="111">IF(B212&lt;&gt;"",IF(AV212="","",IF(AV212&lt;0.5,1,IF(AND(AV212&gt;=0.5,AV212&lt;P$10),2,IF(AV212&gt;=P$10,3)))),"")</x:f>
      </x:c>
      <x:c r="AX212" s="122"/>
      <x:c r="AY212" s="177" t="str">
        <x:f t="shared" ref="AY212:AY275" si="112">IF(B212&lt;&gt;"",IF(AX212="","",IF(AX212&lt;0.5,1,IF(AND(AX212&gt;=0.5,AX212&lt;P$10),2,IF(AX212&gt;=P$10,3)))),"")</x:f>
      </x:c>
      <x:c r="AZ212" s="178" t="str">
        <x:f t="shared" ref="AZ212:AZ275" si="113">IF(B212 &lt;&gt; "",IFERROR(IF(AVERAGE(AV212,AX212)&gt;=P$10,"Y","N"),""),"")</x:f>
      </x:c>
      <x:c r="BA212" s="122"/>
      <x:c r="BB212" s="177" t="str">
        <x:f t="shared" ref="BB212:BB275" si="114">IF(B212&lt;&gt;"",IF(BA212="","",IF(BA212&lt;0.5,1,IF(AND(BA212&gt;=0.5,BA212&lt;P$10),2,IF(BA212&gt;=P$10,3)))),"")</x:f>
      </x:c>
      <x:c r="BC212" s="122"/>
      <x:c r="BD212" s="177" t="str">
        <x:f t="shared" ref="BD212:BD275" si="115">IF(B212&lt;&gt;"",IF(BC212="","",IF(BC212&lt;0.5,1,IF(AND(BC212&gt;=0.5,BC212&lt;P$10),2,IF(BC212&gt;=P$10,3)))),"")</x:f>
      </x:c>
      <x:c r="BE212" s="178" t="str">
        <x:f t="shared" ref="BE212:BE275" si="116">IF(B212 &lt;&gt; "",IFERROR(IF(AVERAGE(BA212,BC212)&gt;=P$10,"Y","N"),""),"")</x:f>
      </x:c>
      <x:c r="BF212" s="122"/>
      <x:c r="BG212" s="177" t="str">
        <x:f t="shared" ref="BG212:BG275" si="117">IF(B212&lt;&gt;"",IF(BF212="","",IF(BF212&lt;0.5,1,IF(AND(BF212&gt;=0.5,BF212&lt;P$10),2,IF(BF212&gt;=P$10,3)))),"")</x:f>
      </x:c>
      <x:c r="BH212" s="122"/>
      <x:c r="BI212" s="177" t="str">
        <x:f t="shared" ref="BI212:BI275" si="118">IF(B212&lt;&gt;"",IF(BH212="","",IF(BH212&lt;0.5,1,IF(AND(BH212&gt;=0.5,BH212&lt;P$10),2,IF(BH212&gt;=P$10,3)))),"")</x:f>
      </x:c>
      <x:c r="BJ212" s="178" t="str">
        <x:f t="shared" ref="BJ212:BJ275" si="119">IF(B212 &lt;&gt; "",IFERROR(IF(AVERAGE(BF212,BH212)&gt;=P$10,"Y","N"),""),"")</x:f>
      </x:c>
    </x:row>
    <x:row r="213" ht="19.5" hidden="1" customHeight="1">
      <x:c r="A213" s="160"/>
      <x:c r="B213" s="179"/>
      <x:c r="C213" s="171"/>
      <x:c r="D213" s="172"/>
      <x:c r="E213" s="171"/>
      <x:c r="F213" s="173"/>
      <x:c r="G213" s="174"/>
      <x:c r="H213" s="175"/>
      <x:c r="I213" s="174"/>
      <x:c r="J213" s="176"/>
      <x:c r="K213" s="233"/>
      <x:c r="L213" s="233"/>
      <x:c r="M213" s="122"/>
      <x:c r="N213" s="177" t="str">
        <x:f t="shared" si="90"/>
      </x:c>
      <x:c r="O213" s="122"/>
      <x:c r="P213" s="177" t="str">
        <x:f t="shared" si="91"/>
      </x:c>
      <x:c r="Q213" s="178" t="str">
        <x:f t="shared" si="92"/>
      </x:c>
      <x:c r="R213" s="122"/>
      <x:c r="S213" s="177" t="str">
        <x:f t="shared" si="93"/>
      </x:c>
      <x:c r="T213" s="122"/>
      <x:c r="U213" s="177" t="str">
        <x:f t="shared" si="94"/>
      </x:c>
      <x:c r="V213" s="178" t="str">
        <x:f t="shared" si="95"/>
      </x:c>
      <x:c r="W213" s="122"/>
      <x:c r="X213" s="177" t="str">
        <x:f t="shared" si="96"/>
      </x:c>
      <x:c r="Y213" s="122"/>
      <x:c r="Z213" s="177" t="str">
        <x:f t="shared" si="97"/>
      </x:c>
      <x:c r="AA213" s="178" t="str">
        <x:f t="shared" si="98"/>
      </x:c>
      <x:c r="AB213" s="122"/>
      <x:c r="AC213" s="177" t="str">
        <x:f t="shared" si="99"/>
      </x:c>
      <x:c r="AD213" s="122"/>
      <x:c r="AE213" s="177" t="str">
        <x:f t="shared" si="100"/>
      </x:c>
      <x:c r="AF213" s="178" t="str">
        <x:f t="shared" si="101"/>
      </x:c>
      <x:c r="AG213" s="122"/>
      <x:c r="AH213" s="177" t="str">
        <x:f t="shared" si="102"/>
      </x:c>
      <x:c r="AI213" s="122"/>
      <x:c r="AJ213" s="177" t="str">
        <x:f t="shared" si="103"/>
      </x:c>
      <x:c r="AK213" s="178" t="str">
        <x:f t="shared" si="104"/>
      </x:c>
      <x:c r="AL213" s="122"/>
      <x:c r="AM213" s="177" t="str">
        <x:f t="shared" si="105"/>
      </x:c>
      <x:c r="AN213" s="122"/>
      <x:c r="AO213" s="177" t="str">
        <x:f t="shared" si="106"/>
      </x:c>
      <x:c r="AP213" s="178" t="str">
        <x:f t="shared" si="107"/>
      </x:c>
      <x:c r="AQ213" s="122"/>
      <x:c r="AR213" s="177" t="str">
        <x:f t="shared" si="108"/>
      </x:c>
      <x:c r="AS213" s="122"/>
      <x:c r="AT213" s="177" t="str">
        <x:f t="shared" si="109"/>
      </x:c>
      <x:c r="AU213" s="178" t="str">
        <x:f t="shared" si="110"/>
      </x:c>
      <x:c r="AV213" s="122"/>
      <x:c r="AW213" s="177" t="str">
        <x:f t="shared" si="111"/>
      </x:c>
      <x:c r="AX213" s="122"/>
      <x:c r="AY213" s="177" t="str">
        <x:f t="shared" si="112"/>
      </x:c>
      <x:c r="AZ213" s="178" t="str">
        <x:f t="shared" si="113"/>
      </x:c>
      <x:c r="BA213" s="122"/>
      <x:c r="BB213" s="177" t="str">
        <x:f t="shared" si="114"/>
      </x:c>
      <x:c r="BC213" s="122"/>
      <x:c r="BD213" s="177" t="str">
        <x:f t="shared" si="115"/>
      </x:c>
      <x:c r="BE213" s="178" t="str">
        <x:f t="shared" si="116"/>
      </x:c>
      <x:c r="BF213" s="122"/>
      <x:c r="BG213" s="177" t="str">
        <x:f t="shared" si="117"/>
      </x:c>
      <x:c r="BH213" s="122"/>
      <x:c r="BI213" s="177" t="str">
        <x:f t="shared" si="118"/>
      </x:c>
      <x:c r="BJ213" s="178" t="str">
        <x:f t="shared" si="119"/>
      </x:c>
    </x:row>
    <x:row r="214" ht="19.5" hidden="1" customHeight="1">
      <x:c r="A214" s="169"/>
      <x:c r="B214" s="170"/>
      <x:c r="C214" s="171"/>
      <x:c r="D214" s="172"/>
      <x:c r="E214" s="171"/>
      <x:c r="F214" s="173"/>
      <x:c r="G214" s="174"/>
      <x:c r="H214" s="175"/>
      <x:c r="I214" s="174"/>
      <x:c r="J214" s="176"/>
      <x:c r="K214" s="233"/>
      <x:c r="L214" s="233"/>
      <x:c r="M214" s="122"/>
      <x:c r="N214" s="177" t="str">
        <x:f t="shared" si="90"/>
      </x:c>
      <x:c r="O214" s="122"/>
      <x:c r="P214" s="177" t="str">
        <x:f t="shared" si="91"/>
      </x:c>
      <x:c r="Q214" s="178" t="str">
        <x:f t="shared" si="92"/>
      </x:c>
      <x:c r="R214" s="122"/>
      <x:c r="S214" s="177" t="str">
        <x:f t="shared" si="93"/>
      </x:c>
      <x:c r="T214" s="122"/>
      <x:c r="U214" s="177" t="str">
        <x:f t="shared" si="94"/>
      </x:c>
      <x:c r="V214" s="178" t="str">
        <x:f t="shared" si="95"/>
      </x:c>
      <x:c r="W214" s="122"/>
      <x:c r="X214" s="177" t="str">
        <x:f t="shared" si="96"/>
      </x:c>
      <x:c r="Y214" s="122"/>
      <x:c r="Z214" s="177" t="str">
        <x:f t="shared" si="97"/>
      </x:c>
      <x:c r="AA214" s="178" t="str">
        <x:f t="shared" si="98"/>
      </x:c>
      <x:c r="AB214" s="122"/>
      <x:c r="AC214" s="177" t="str">
        <x:f t="shared" si="99"/>
      </x:c>
      <x:c r="AD214" s="122"/>
      <x:c r="AE214" s="177" t="str">
        <x:f t="shared" si="100"/>
      </x:c>
      <x:c r="AF214" s="178" t="str">
        <x:f t="shared" si="101"/>
      </x:c>
      <x:c r="AG214" s="122"/>
      <x:c r="AH214" s="177" t="str">
        <x:f t="shared" si="102"/>
      </x:c>
      <x:c r="AI214" s="122"/>
      <x:c r="AJ214" s="177" t="str">
        <x:f t="shared" si="103"/>
      </x:c>
      <x:c r="AK214" s="178" t="str">
        <x:f t="shared" si="104"/>
      </x:c>
      <x:c r="AL214" s="122"/>
      <x:c r="AM214" s="177" t="str">
        <x:f t="shared" si="105"/>
      </x:c>
      <x:c r="AN214" s="122"/>
      <x:c r="AO214" s="177" t="str">
        <x:f t="shared" si="106"/>
      </x:c>
      <x:c r="AP214" s="178" t="str">
        <x:f t="shared" si="107"/>
      </x:c>
      <x:c r="AQ214" s="122"/>
      <x:c r="AR214" s="177" t="str">
        <x:f t="shared" si="108"/>
      </x:c>
      <x:c r="AS214" s="122"/>
      <x:c r="AT214" s="177" t="str">
        <x:f t="shared" si="109"/>
      </x:c>
      <x:c r="AU214" s="178" t="str">
        <x:f t="shared" si="110"/>
      </x:c>
      <x:c r="AV214" s="122"/>
      <x:c r="AW214" s="177" t="str">
        <x:f t="shared" si="111"/>
      </x:c>
      <x:c r="AX214" s="122"/>
      <x:c r="AY214" s="177" t="str">
        <x:f t="shared" si="112"/>
      </x:c>
      <x:c r="AZ214" s="178" t="str">
        <x:f t="shared" si="113"/>
      </x:c>
      <x:c r="BA214" s="122"/>
      <x:c r="BB214" s="177" t="str">
        <x:f t="shared" si="114"/>
      </x:c>
      <x:c r="BC214" s="122"/>
      <x:c r="BD214" s="177" t="str">
        <x:f t="shared" si="115"/>
      </x:c>
      <x:c r="BE214" s="178" t="str">
        <x:f t="shared" si="116"/>
      </x:c>
      <x:c r="BF214" s="122"/>
      <x:c r="BG214" s="177" t="str">
        <x:f t="shared" si="117"/>
      </x:c>
      <x:c r="BH214" s="122"/>
      <x:c r="BI214" s="177" t="str">
        <x:f t="shared" si="118"/>
      </x:c>
      <x:c r="BJ214" s="178" t="str">
        <x:f t="shared" si="119"/>
      </x:c>
    </x:row>
    <x:row r="215" ht="19.5" hidden="1" customHeight="1">
      <x:c r="A215" s="160"/>
      <x:c r="B215" s="179"/>
      <x:c r="C215" s="171"/>
      <x:c r="D215" s="172"/>
      <x:c r="E215" s="171"/>
      <x:c r="F215" s="173"/>
      <x:c r="G215" s="174"/>
      <x:c r="H215" s="175"/>
      <x:c r="I215" s="174"/>
      <x:c r="J215" s="176"/>
      <x:c r="K215" s="233"/>
      <x:c r="L215" s="233"/>
      <x:c r="M215" s="122"/>
      <x:c r="N215" s="177" t="str">
        <x:f t="shared" si="90"/>
      </x:c>
      <x:c r="O215" s="122"/>
      <x:c r="P215" s="177" t="str">
        <x:f t="shared" si="91"/>
      </x:c>
      <x:c r="Q215" s="178" t="str">
        <x:f t="shared" si="92"/>
      </x:c>
      <x:c r="R215" s="122"/>
      <x:c r="S215" s="177" t="str">
        <x:f t="shared" si="93"/>
      </x:c>
      <x:c r="T215" s="122"/>
      <x:c r="U215" s="177" t="str">
        <x:f t="shared" si="94"/>
      </x:c>
      <x:c r="V215" s="178" t="str">
        <x:f t="shared" si="95"/>
      </x:c>
      <x:c r="W215" s="122"/>
      <x:c r="X215" s="177" t="str">
        <x:f t="shared" si="96"/>
      </x:c>
      <x:c r="Y215" s="122"/>
      <x:c r="Z215" s="177" t="str">
        <x:f t="shared" si="97"/>
      </x:c>
      <x:c r="AA215" s="178" t="str">
        <x:f t="shared" si="98"/>
      </x:c>
      <x:c r="AB215" s="122"/>
      <x:c r="AC215" s="177" t="str">
        <x:f t="shared" si="99"/>
      </x:c>
      <x:c r="AD215" s="122"/>
      <x:c r="AE215" s="177" t="str">
        <x:f t="shared" si="100"/>
      </x:c>
      <x:c r="AF215" s="178" t="str">
        <x:f t="shared" si="101"/>
      </x:c>
      <x:c r="AG215" s="122"/>
      <x:c r="AH215" s="177" t="str">
        <x:f t="shared" si="102"/>
      </x:c>
      <x:c r="AI215" s="122"/>
      <x:c r="AJ215" s="177" t="str">
        <x:f t="shared" si="103"/>
      </x:c>
      <x:c r="AK215" s="178" t="str">
        <x:f t="shared" si="104"/>
      </x:c>
      <x:c r="AL215" s="122"/>
      <x:c r="AM215" s="177" t="str">
        <x:f t="shared" si="105"/>
      </x:c>
      <x:c r="AN215" s="122"/>
      <x:c r="AO215" s="177" t="str">
        <x:f t="shared" si="106"/>
      </x:c>
      <x:c r="AP215" s="178" t="str">
        <x:f t="shared" si="107"/>
      </x:c>
      <x:c r="AQ215" s="122"/>
      <x:c r="AR215" s="177" t="str">
        <x:f t="shared" si="108"/>
      </x:c>
      <x:c r="AS215" s="122"/>
      <x:c r="AT215" s="177" t="str">
        <x:f t="shared" si="109"/>
      </x:c>
      <x:c r="AU215" s="178" t="str">
        <x:f t="shared" si="110"/>
      </x:c>
      <x:c r="AV215" s="122"/>
      <x:c r="AW215" s="177" t="str">
        <x:f t="shared" si="111"/>
      </x:c>
      <x:c r="AX215" s="122"/>
      <x:c r="AY215" s="177" t="str">
        <x:f t="shared" si="112"/>
      </x:c>
      <x:c r="AZ215" s="178" t="str">
        <x:f t="shared" si="113"/>
      </x:c>
      <x:c r="BA215" s="122"/>
      <x:c r="BB215" s="177" t="str">
        <x:f t="shared" si="114"/>
      </x:c>
      <x:c r="BC215" s="122"/>
      <x:c r="BD215" s="177" t="str">
        <x:f t="shared" si="115"/>
      </x:c>
      <x:c r="BE215" s="178" t="str">
        <x:f t="shared" si="116"/>
      </x:c>
      <x:c r="BF215" s="122"/>
      <x:c r="BG215" s="177" t="str">
        <x:f t="shared" si="117"/>
      </x:c>
      <x:c r="BH215" s="122"/>
      <x:c r="BI215" s="177" t="str">
        <x:f t="shared" si="118"/>
      </x:c>
      <x:c r="BJ215" s="178" t="str">
        <x:f t="shared" si="119"/>
      </x:c>
    </x:row>
    <x:row r="216" ht="19.5" hidden="1" customHeight="1">
      <x:c r="A216" s="169"/>
      <x:c r="B216" s="170"/>
      <x:c r="C216" s="171"/>
      <x:c r="D216" s="172"/>
      <x:c r="E216" s="171"/>
      <x:c r="F216" s="173"/>
      <x:c r="G216" s="174"/>
      <x:c r="H216" s="175"/>
      <x:c r="I216" s="174"/>
      <x:c r="J216" s="176"/>
      <x:c r="K216" s="233"/>
      <x:c r="L216" s="233"/>
      <x:c r="M216" s="122"/>
      <x:c r="N216" s="177" t="str">
        <x:f t="shared" si="90"/>
      </x:c>
      <x:c r="O216" s="122"/>
      <x:c r="P216" s="177" t="str">
        <x:f t="shared" si="91"/>
      </x:c>
      <x:c r="Q216" s="178" t="str">
        <x:f t="shared" si="92"/>
      </x:c>
      <x:c r="R216" s="122"/>
      <x:c r="S216" s="177" t="str">
        <x:f t="shared" si="93"/>
      </x:c>
      <x:c r="T216" s="122"/>
      <x:c r="U216" s="177" t="str">
        <x:f t="shared" si="94"/>
      </x:c>
      <x:c r="V216" s="178" t="str">
        <x:f t="shared" si="95"/>
      </x:c>
      <x:c r="W216" s="122"/>
      <x:c r="X216" s="177" t="str">
        <x:f t="shared" si="96"/>
      </x:c>
      <x:c r="Y216" s="122"/>
      <x:c r="Z216" s="177" t="str">
        <x:f t="shared" si="97"/>
      </x:c>
      <x:c r="AA216" s="178" t="str">
        <x:f t="shared" si="98"/>
      </x:c>
      <x:c r="AB216" s="122"/>
      <x:c r="AC216" s="177" t="str">
        <x:f t="shared" si="99"/>
      </x:c>
      <x:c r="AD216" s="122"/>
      <x:c r="AE216" s="177" t="str">
        <x:f t="shared" si="100"/>
      </x:c>
      <x:c r="AF216" s="178" t="str">
        <x:f t="shared" si="101"/>
      </x:c>
      <x:c r="AG216" s="122"/>
      <x:c r="AH216" s="177" t="str">
        <x:f t="shared" si="102"/>
      </x:c>
      <x:c r="AI216" s="122"/>
      <x:c r="AJ216" s="177" t="str">
        <x:f t="shared" si="103"/>
      </x:c>
      <x:c r="AK216" s="178" t="str">
        <x:f t="shared" si="104"/>
      </x:c>
      <x:c r="AL216" s="122"/>
      <x:c r="AM216" s="177" t="str">
        <x:f t="shared" si="105"/>
      </x:c>
      <x:c r="AN216" s="122"/>
      <x:c r="AO216" s="177" t="str">
        <x:f t="shared" si="106"/>
      </x:c>
      <x:c r="AP216" s="178" t="str">
        <x:f t="shared" si="107"/>
      </x:c>
      <x:c r="AQ216" s="122"/>
      <x:c r="AR216" s="177" t="str">
        <x:f t="shared" si="108"/>
      </x:c>
      <x:c r="AS216" s="122"/>
      <x:c r="AT216" s="177" t="str">
        <x:f t="shared" si="109"/>
      </x:c>
      <x:c r="AU216" s="178" t="str">
        <x:f t="shared" si="110"/>
      </x:c>
      <x:c r="AV216" s="122"/>
      <x:c r="AW216" s="177" t="str">
        <x:f t="shared" si="111"/>
      </x:c>
      <x:c r="AX216" s="122"/>
      <x:c r="AY216" s="177" t="str">
        <x:f t="shared" si="112"/>
      </x:c>
      <x:c r="AZ216" s="178" t="str">
        <x:f t="shared" si="113"/>
      </x:c>
      <x:c r="BA216" s="122"/>
      <x:c r="BB216" s="177" t="str">
        <x:f t="shared" si="114"/>
      </x:c>
      <x:c r="BC216" s="122"/>
      <x:c r="BD216" s="177" t="str">
        <x:f t="shared" si="115"/>
      </x:c>
      <x:c r="BE216" s="178" t="str">
        <x:f t="shared" si="116"/>
      </x:c>
      <x:c r="BF216" s="122"/>
      <x:c r="BG216" s="177" t="str">
        <x:f t="shared" si="117"/>
      </x:c>
      <x:c r="BH216" s="122"/>
      <x:c r="BI216" s="177" t="str">
        <x:f t="shared" si="118"/>
      </x:c>
      <x:c r="BJ216" s="178" t="str">
        <x:f t="shared" si="119"/>
      </x:c>
    </x:row>
    <x:row r="217" ht="19.5" hidden="1" customHeight="1">
      <x:c r="A217" s="160"/>
      <x:c r="B217" s="179"/>
      <x:c r="C217" s="171"/>
      <x:c r="D217" s="172"/>
      <x:c r="E217" s="171"/>
      <x:c r="F217" s="173"/>
      <x:c r="G217" s="174"/>
      <x:c r="H217" s="175"/>
      <x:c r="I217" s="174"/>
      <x:c r="J217" s="176"/>
      <x:c r="K217" s="233"/>
      <x:c r="L217" s="233"/>
      <x:c r="M217" s="122"/>
      <x:c r="N217" s="177" t="str">
        <x:f t="shared" si="90"/>
      </x:c>
      <x:c r="O217" s="122"/>
      <x:c r="P217" s="177" t="str">
        <x:f t="shared" si="91"/>
      </x:c>
      <x:c r="Q217" s="178" t="str">
        <x:f t="shared" si="92"/>
      </x:c>
      <x:c r="R217" s="122"/>
      <x:c r="S217" s="177" t="str">
        <x:f t="shared" si="93"/>
      </x:c>
      <x:c r="T217" s="122"/>
      <x:c r="U217" s="177" t="str">
        <x:f t="shared" si="94"/>
      </x:c>
      <x:c r="V217" s="178" t="str">
        <x:f t="shared" si="95"/>
      </x:c>
      <x:c r="W217" s="122"/>
      <x:c r="X217" s="177" t="str">
        <x:f t="shared" si="96"/>
      </x:c>
      <x:c r="Y217" s="122"/>
      <x:c r="Z217" s="177" t="str">
        <x:f t="shared" si="97"/>
      </x:c>
      <x:c r="AA217" s="178" t="str">
        <x:f t="shared" si="98"/>
      </x:c>
      <x:c r="AB217" s="122"/>
      <x:c r="AC217" s="177" t="str">
        <x:f t="shared" si="99"/>
      </x:c>
      <x:c r="AD217" s="122"/>
      <x:c r="AE217" s="177" t="str">
        <x:f t="shared" si="100"/>
      </x:c>
      <x:c r="AF217" s="178" t="str">
        <x:f t="shared" si="101"/>
      </x:c>
      <x:c r="AG217" s="122"/>
      <x:c r="AH217" s="177" t="str">
        <x:f t="shared" si="102"/>
      </x:c>
      <x:c r="AI217" s="122"/>
      <x:c r="AJ217" s="177" t="str">
        <x:f t="shared" si="103"/>
      </x:c>
      <x:c r="AK217" s="178" t="str">
        <x:f t="shared" si="104"/>
      </x:c>
      <x:c r="AL217" s="122"/>
      <x:c r="AM217" s="177" t="str">
        <x:f t="shared" si="105"/>
      </x:c>
      <x:c r="AN217" s="122"/>
      <x:c r="AO217" s="177" t="str">
        <x:f t="shared" si="106"/>
      </x:c>
      <x:c r="AP217" s="178" t="str">
        <x:f t="shared" si="107"/>
      </x:c>
      <x:c r="AQ217" s="122"/>
      <x:c r="AR217" s="177" t="str">
        <x:f t="shared" si="108"/>
      </x:c>
      <x:c r="AS217" s="122"/>
      <x:c r="AT217" s="177" t="str">
        <x:f t="shared" si="109"/>
      </x:c>
      <x:c r="AU217" s="178" t="str">
        <x:f t="shared" si="110"/>
      </x:c>
      <x:c r="AV217" s="122"/>
      <x:c r="AW217" s="177" t="str">
        <x:f t="shared" si="111"/>
      </x:c>
      <x:c r="AX217" s="122"/>
      <x:c r="AY217" s="177" t="str">
        <x:f t="shared" si="112"/>
      </x:c>
      <x:c r="AZ217" s="178" t="str">
        <x:f t="shared" si="113"/>
      </x:c>
      <x:c r="BA217" s="122"/>
      <x:c r="BB217" s="177" t="str">
        <x:f t="shared" si="114"/>
      </x:c>
      <x:c r="BC217" s="122"/>
      <x:c r="BD217" s="177" t="str">
        <x:f t="shared" si="115"/>
      </x:c>
      <x:c r="BE217" s="178" t="str">
        <x:f t="shared" si="116"/>
      </x:c>
      <x:c r="BF217" s="122"/>
      <x:c r="BG217" s="177" t="str">
        <x:f t="shared" si="117"/>
      </x:c>
      <x:c r="BH217" s="122"/>
      <x:c r="BI217" s="177" t="str">
        <x:f t="shared" si="118"/>
      </x:c>
      <x:c r="BJ217" s="178" t="str">
        <x:f t="shared" si="119"/>
      </x:c>
    </x:row>
    <x:row r="218" ht="19.5" hidden="1" customHeight="1">
      <x:c r="A218" s="169"/>
      <x:c r="B218" s="170"/>
      <x:c r="C218" s="171"/>
      <x:c r="D218" s="172"/>
      <x:c r="E218" s="171"/>
      <x:c r="F218" s="173"/>
      <x:c r="G218" s="174"/>
      <x:c r="H218" s="175"/>
      <x:c r="I218" s="174"/>
      <x:c r="J218" s="176"/>
      <x:c r="K218" s="233"/>
      <x:c r="L218" s="233"/>
      <x:c r="M218" s="122"/>
      <x:c r="N218" s="177" t="str">
        <x:f t="shared" si="90"/>
      </x:c>
      <x:c r="O218" s="122"/>
      <x:c r="P218" s="177" t="str">
        <x:f t="shared" si="91"/>
      </x:c>
      <x:c r="Q218" s="178" t="str">
        <x:f t="shared" si="92"/>
      </x:c>
      <x:c r="R218" s="122"/>
      <x:c r="S218" s="177" t="str">
        <x:f t="shared" si="93"/>
      </x:c>
      <x:c r="T218" s="122"/>
      <x:c r="U218" s="177" t="str">
        <x:f t="shared" si="94"/>
      </x:c>
      <x:c r="V218" s="178" t="str">
        <x:f t="shared" si="95"/>
      </x:c>
      <x:c r="W218" s="122"/>
      <x:c r="X218" s="177" t="str">
        <x:f t="shared" si="96"/>
      </x:c>
      <x:c r="Y218" s="122"/>
      <x:c r="Z218" s="177" t="str">
        <x:f t="shared" si="97"/>
      </x:c>
      <x:c r="AA218" s="178" t="str">
        <x:f t="shared" si="98"/>
      </x:c>
      <x:c r="AB218" s="122"/>
      <x:c r="AC218" s="177" t="str">
        <x:f t="shared" si="99"/>
      </x:c>
      <x:c r="AD218" s="122"/>
      <x:c r="AE218" s="177" t="str">
        <x:f t="shared" si="100"/>
      </x:c>
      <x:c r="AF218" s="178" t="str">
        <x:f t="shared" si="101"/>
      </x:c>
      <x:c r="AG218" s="122"/>
      <x:c r="AH218" s="177" t="str">
        <x:f t="shared" si="102"/>
      </x:c>
      <x:c r="AI218" s="122"/>
      <x:c r="AJ218" s="177" t="str">
        <x:f t="shared" si="103"/>
      </x:c>
      <x:c r="AK218" s="178" t="str">
        <x:f t="shared" si="104"/>
      </x:c>
      <x:c r="AL218" s="122"/>
      <x:c r="AM218" s="177" t="str">
        <x:f t="shared" si="105"/>
      </x:c>
      <x:c r="AN218" s="122"/>
      <x:c r="AO218" s="177" t="str">
        <x:f t="shared" si="106"/>
      </x:c>
      <x:c r="AP218" s="178" t="str">
        <x:f t="shared" si="107"/>
      </x:c>
      <x:c r="AQ218" s="122"/>
      <x:c r="AR218" s="177" t="str">
        <x:f t="shared" si="108"/>
      </x:c>
      <x:c r="AS218" s="122"/>
      <x:c r="AT218" s="177" t="str">
        <x:f t="shared" si="109"/>
      </x:c>
      <x:c r="AU218" s="178" t="str">
        <x:f t="shared" si="110"/>
      </x:c>
      <x:c r="AV218" s="122"/>
      <x:c r="AW218" s="177" t="str">
        <x:f t="shared" si="111"/>
      </x:c>
      <x:c r="AX218" s="122"/>
      <x:c r="AY218" s="177" t="str">
        <x:f t="shared" si="112"/>
      </x:c>
      <x:c r="AZ218" s="178" t="str">
        <x:f t="shared" si="113"/>
      </x:c>
      <x:c r="BA218" s="122"/>
      <x:c r="BB218" s="177" t="str">
        <x:f t="shared" si="114"/>
      </x:c>
      <x:c r="BC218" s="122"/>
      <x:c r="BD218" s="177" t="str">
        <x:f t="shared" si="115"/>
      </x:c>
      <x:c r="BE218" s="178" t="str">
        <x:f t="shared" si="116"/>
      </x:c>
      <x:c r="BF218" s="122"/>
      <x:c r="BG218" s="177" t="str">
        <x:f t="shared" si="117"/>
      </x:c>
      <x:c r="BH218" s="122"/>
      <x:c r="BI218" s="177" t="str">
        <x:f t="shared" si="118"/>
      </x:c>
      <x:c r="BJ218" s="178" t="str">
        <x:f t="shared" si="119"/>
      </x:c>
    </x:row>
    <x:row r="219" ht="19.5" hidden="1" customHeight="1">
      <x:c r="A219" s="160"/>
      <x:c r="B219" s="179"/>
      <x:c r="C219" s="171"/>
      <x:c r="D219" s="172"/>
      <x:c r="E219" s="171"/>
      <x:c r="F219" s="173"/>
      <x:c r="G219" s="174"/>
      <x:c r="H219" s="175"/>
      <x:c r="I219" s="174"/>
      <x:c r="J219" s="176"/>
      <x:c r="K219" s="233"/>
      <x:c r="L219" s="233"/>
      <x:c r="M219" s="122"/>
      <x:c r="N219" s="177" t="str">
        <x:f t="shared" si="90"/>
      </x:c>
      <x:c r="O219" s="122"/>
      <x:c r="P219" s="177" t="str">
        <x:f t="shared" si="91"/>
      </x:c>
      <x:c r="Q219" s="178" t="str">
        <x:f t="shared" si="92"/>
      </x:c>
      <x:c r="R219" s="122"/>
      <x:c r="S219" s="177" t="str">
        <x:f t="shared" si="93"/>
      </x:c>
      <x:c r="T219" s="122"/>
      <x:c r="U219" s="177" t="str">
        <x:f t="shared" si="94"/>
      </x:c>
      <x:c r="V219" s="178" t="str">
        <x:f t="shared" si="95"/>
      </x:c>
      <x:c r="W219" s="122"/>
      <x:c r="X219" s="177" t="str">
        <x:f t="shared" si="96"/>
      </x:c>
      <x:c r="Y219" s="122"/>
      <x:c r="Z219" s="177" t="str">
        <x:f t="shared" si="97"/>
      </x:c>
      <x:c r="AA219" s="178" t="str">
        <x:f t="shared" si="98"/>
      </x:c>
      <x:c r="AB219" s="122"/>
      <x:c r="AC219" s="177" t="str">
        <x:f t="shared" si="99"/>
      </x:c>
      <x:c r="AD219" s="122"/>
      <x:c r="AE219" s="177" t="str">
        <x:f t="shared" si="100"/>
      </x:c>
      <x:c r="AF219" s="178" t="str">
        <x:f t="shared" si="101"/>
      </x:c>
      <x:c r="AG219" s="122"/>
      <x:c r="AH219" s="177" t="str">
        <x:f t="shared" si="102"/>
      </x:c>
      <x:c r="AI219" s="122"/>
      <x:c r="AJ219" s="177" t="str">
        <x:f t="shared" si="103"/>
      </x:c>
      <x:c r="AK219" s="178" t="str">
        <x:f t="shared" si="104"/>
      </x:c>
      <x:c r="AL219" s="122"/>
      <x:c r="AM219" s="177" t="str">
        <x:f t="shared" si="105"/>
      </x:c>
      <x:c r="AN219" s="122"/>
      <x:c r="AO219" s="177" t="str">
        <x:f t="shared" si="106"/>
      </x:c>
      <x:c r="AP219" s="178" t="str">
        <x:f t="shared" si="107"/>
      </x:c>
      <x:c r="AQ219" s="122"/>
      <x:c r="AR219" s="177" t="str">
        <x:f t="shared" si="108"/>
      </x:c>
      <x:c r="AS219" s="122"/>
      <x:c r="AT219" s="177" t="str">
        <x:f t="shared" si="109"/>
      </x:c>
      <x:c r="AU219" s="178" t="str">
        <x:f t="shared" si="110"/>
      </x:c>
      <x:c r="AV219" s="122"/>
      <x:c r="AW219" s="177" t="str">
        <x:f t="shared" si="111"/>
      </x:c>
      <x:c r="AX219" s="122"/>
      <x:c r="AY219" s="177" t="str">
        <x:f t="shared" si="112"/>
      </x:c>
      <x:c r="AZ219" s="178" t="str">
        <x:f t="shared" si="113"/>
      </x:c>
      <x:c r="BA219" s="122"/>
      <x:c r="BB219" s="177" t="str">
        <x:f t="shared" si="114"/>
      </x:c>
      <x:c r="BC219" s="122"/>
      <x:c r="BD219" s="177" t="str">
        <x:f t="shared" si="115"/>
      </x:c>
      <x:c r="BE219" s="178" t="str">
        <x:f t="shared" si="116"/>
      </x:c>
      <x:c r="BF219" s="122"/>
      <x:c r="BG219" s="177" t="str">
        <x:f t="shared" si="117"/>
      </x:c>
      <x:c r="BH219" s="122"/>
      <x:c r="BI219" s="177" t="str">
        <x:f t="shared" si="118"/>
      </x:c>
      <x:c r="BJ219" s="178" t="str">
        <x:f t="shared" si="119"/>
      </x:c>
    </x:row>
    <x:row r="220" ht="19.5" hidden="1" customHeight="1">
      <x:c r="A220" s="169"/>
      <x:c r="B220" s="170"/>
      <x:c r="C220" s="171"/>
      <x:c r="D220" s="172"/>
      <x:c r="E220" s="171"/>
      <x:c r="F220" s="173"/>
      <x:c r="G220" s="174"/>
      <x:c r="H220" s="175"/>
      <x:c r="I220" s="174"/>
      <x:c r="J220" s="176"/>
      <x:c r="K220" s="233"/>
      <x:c r="L220" s="233"/>
      <x:c r="M220" s="122"/>
      <x:c r="N220" s="177" t="str">
        <x:f t="shared" si="90"/>
      </x:c>
      <x:c r="O220" s="122"/>
      <x:c r="P220" s="177" t="str">
        <x:f t="shared" si="91"/>
      </x:c>
      <x:c r="Q220" s="178" t="str">
        <x:f t="shared" si="92"/>
      </x:c>
      <x:c r="R220" s="122"/>
      <x:c r="S220" s="177" t="str">
        <x:f t="shared" si="93"/>
      </x:c>
      <x:c r="T220" s="122"/>
      <x:c r="U220" s="177" t="str">
        <x:f t="shared" si="94"/>
      </x:c>
      <x:c r="V220" s="178" t="str">
        <x:f t="shared" si="95"/>
      </x:c>
      <x:c r="W220" s="122"/>
      <x:c r="X220" s="177" t="str">
        <x:f t="shared" si="96"/>
      </x:c>
      <x:c r="Y220" s="122"/>
      <x:c r="Z220" s="177" t="str">
        <x:f t="shared" si="97"/>
      </x:c>
      <x:c r="AA220" s="178" t="str">
        <x:f t="shared" si="98"/>
      </x:c>
      <x:c r="AB220" s="122"/>
      <x:c r="AC220" s="177" t="str">
        <x:f t="shared" si="99"/>
      </x:c>
      <x:c r="AD220" s="122"/>
      <x:c r="AE220" s="177" t="str">
        <x:f t="shared" si="100"/>
      </x:c>
      <x:c r="AF220" s="178" t="str">
        <x:f t="shared" si="101"/>
      </x:c>
      <x:c r="AG220" s="122"/>
      <x:c r="AH220" s="177" t="str">
        <x:f t="shared" si="102"/>
      </x:c>
      <x:c r="AI220" s="122"/>
      <x:c r="AJ220" s="177" t="str">
        <x:f t="shared" si="103"/>
      </x:c>
      <x:c r="AK220" s="178" t="str">
        <x:f t="shared" si="104"/>
      </x:c>
      <x:c r="AL220" s="122"/>
      <x:c r="AM220" s="177" t="str">
        <x:f t="shared" si="105"/>
      </x:c>
      <x:c r="AN220" s="122"/>
      <x:c r="AO220" s="177" t="str">
        <x:f t="shared" si="106"/>
      </x:c>
      <x:c r="AP220" s="178" t="str">
        <x:f t="shared" si="107"/>
      </x:c>
      <x:c r="AQ220" s="122"/>
      <x:c r="AR220" s="177" t="str">
        <x:f t="shared" si="108"/>
      </x:c>
      <x:c r="AS220" s="122"/>
      <x:c r="AT220" s="177" t="str">
        <x:f t="shared" si="109"/>
      </x:c>
      <x:c r="AU220" s="178" t="str">
        <x:f t="shared" si="110"/>
      </x:c>
      <x:c r="AV220" s="122"/>
      <x:c r="AW220" s="177" t="str">
        <x:f t="shared" si="111"/>
      </x:c>
      <x:c r="AX220" s="122"/>
      <x:c r="AY220" s="177" t="str">
        <x:f t="shared" si="112"/>
      </x:c>
      <x:c r="AZ220" s="178" t="str">
        <x:f t="shared" si="113"/>
      </x:c>
      <x:c r="BA220" s="122"/>
      <x:c r="BB220" s="177" t="str">
        <x:f t="shared" si="114"/>
      </x:c>
      <x:c r="BC220" s="122"/>
      <x:c r="BD220" s="177" t="str">
        <x:f t="shared" si="115"/>
      </x:c>
      <x:c r="BE220" s="178" t="str">
        <x:f t="shared" si="116"/>
      </x:c>
      <x:c r="BF220" s="122"/>
      <x:c r="BG220" s="177" t="str">
        <x:f t="shared" si="117"/>
      </x:c>
      <x:c r="BH220" s="122"/>
      <x:c r="BI220" s="177" t="str">
        <x:f t="shared" si="118"/>
      </x:c>
      <x:c r="BJ220" s="178" t="str">
        <x:f t="shared" si="119"/>
      </x:c>
    </x:row>
    <x:row r="221" ht="19.5" hidden="1" customHeight="1">
      <x:c r="A221" s="160"/>
      <x:c r="B221" s="179"/>
      <x:c r="C221" s="171"/>
      <x:c r="D221" s="172"/>
      <x:c r="E221" s="171"/>
      <x:c r="F221" s="173"/>
      <x:c r="G221" s="174"/>
      <x:c r="H221" s="175"/>
      <x:c r="I221" s="174"/>
      <x:c r="J221" s="176"/>
      <x:c r="K221" s="233"/>
      <x:c r="L221" s="233"/>
      <x:c r="M221" s="122"/>
      <x:c r="N221" s="177" t="str">
        <x:f t="shared" si="90"/>
      </x:c>
      <x:c r="O221" s="122"/>
      <x:c r="P221" s="177" t="str">
        <x:f t="shared" si="91"/>
      </x:c>
      <x:c r="Q221" s="178" t="str">
        <x:f t="shared" si="92"/>
      </x:c>
      <x:c r="R221" s="122"/>
      <x:c r="S221" s="177" t="str">
        <x:f t="shared" si="93"/>
      </x:c>
      <x:c r="T221" s="122"/>
      <x:c r="U221" s="177" t="str">
        <x:f t="shared" si="94"/>
      </x:c>
      <x:c r="V221" s="178" t="str">
        <x:f t="shared" si="95"/>
      </x:c>
      <x:c r="W221" s="122"/>
      <x:c r="X221" s="177" t="str">
        <x:f t="shared" si="96"/>
      </x:c>
      <x:c r="Y221" s="122"/>
      <x:c r="Z221" s="177" t="str">
        <x:f t="shared" si="97"/>
      </x:c>
      <x:c r="AA221" s="178" t="str">
        <x:f t="shared" si="98"/>
      </x:c>
      <x:c r="AB221" s="122"/>
      <x:c r="AC221" s="177" t="str">
        <x:f t="shared" si="99"/>
      </x:c>
      <x:c r="AD221" s="122"/>
      <x:c r="AE221" s="177" t="str">
        <x:f t="shared" si="100"/>
      </x:c>
      <x:c r="AF221" s="178" t="str">
        <x:f t="shared" si="101"/>
      </x:c>
      <x:c r="AG221" s="122"/>
      <x:c r="AH221" s="177" t="str">
        <x:f t="shared" si="102"/>
      </x:c>
      <x:c r="AI221" s="122"/>
      <x:c r="AJ221" s="177" t="str">
        <x:f t="shared" si="103"/>
      </x:c>
      <x:c r="AK221" s="178" t="str">
        <x:f t="shared" si="104"/>
      </x:c>
      <x:c r="AL221" s="122"/>
      <x:c r="AM221" s="177" t="str">
        <x:f t="shared" si="105"/>
      </x:c>
      <x:c r="AN221" s="122"/>
      <x:c r="AO221" s="177" t="str">
        <x:f t="shared" si="106"/>
      </x:c>
      <x:c r="AP221" s="178" t="str">
        <x:f t="shared" si="107"/>
      </x:c>
      <x:c r="AQ221" s="122"/>
      <x:c r="AR221" s="177" t="str">
        <x:f t="shared" si="108"/>
      </x:c>
      <x:c r="AS221" s="122"/>
      <x:c r="AT221" s="177" t="str">
        <x:f t="shared" si="109"/>
      </x:c>
      <x:c r="AU221" s="178" t="str">
        <x:f t="shared" si="110"/>
      </x:c>
      <x:c r="AV221" s="122"/>
      <x:c r="AW221" s="177" t="str">
        <x:f t="shared" si="111"/>
      </x:c>
      <x:c r="AX221" s="122"/>
      <x:c r="AY221" s="177" t="str">
        <x:f t="shared" si="112"/>
      </x:c>
      <x:c r="AZ221" s="178" t="str">
        <x:f t="shared" si="113"/>
      </x:c>
      <x:c r="BA221" s="122"/>
      <x:c r="BB221" s="177" t="str">
        <x:f t="shared" si="114"/>
      </x:c>
      <x:c r="BC221" s="122"/>
      <x:c r="BD221" s="177" t="str">
        <x:f t="shared" si="115"/>
      </x:c>
      <x:c r="BE221" s="178" t="str">
        <x:f t="shared" si="116"/>
      </x:c>
      <x:c r="BF221" s="122"/>
      <x:c r="BG221" s="177" t="str">
        <x:f t="shared" si="117"/>
      </x:c>
      <x:c r="BH221" s="122"/>
      <x:c r="BI221" s="177" t="str">
        <x:f t="shared" si="118"/>
      </x:c>
      <x:c r="BJ221" s="178" t="str">
        <x:f t="shared" si="119"/>
      </x:c>
    </x:row>
    <x:row r="222" ht="19.5" hidden="1" customHeight="1">
      <x:c r="A222" s="169"/>
      <x:c r="B222" s="170"/>
      <x:c r="C222" s="171"/>
      <x:c r="D222" s="172"/>
      <x:c r="E222" s="171"/>
      <x:c r="F222" s="173"/>
      <x:c r="G222" s="174"/>
      <x:c r="H222" s="175"/>
      <x:c r="I222" s="174"/>
      <x:c r="J222" s="176"/>
      <x:c r="K222" s="233"/>
      <x:c r="L222" s="233"/>
      <x:c r="M222" s="122"/>
      <x:c r="N222" s="177" t="str">
        <x:f t="shared" si="90"/>
      </x:c>
      <x:c r="O222" s="122"/>
      <x:c r="P222" s="177" t="str">
        <x:f t="shared" si="91"/>
      </x:c>
      <x:c r="Q222" s="178" t="str">
        <x:f t="shared" si="92"/>
      </x:c>
      <x:c r="R222" s="122"/>
      <x:c r="S222" s="177" t="str">
        <x:f t="shared" si="93"/>
      </x:c>
      <x:c r="T222" s="122"/>
      <x:c r="U222" s="177" t="str">
        <x:f t="shared" si="94"/>
      </x:c>
      <x:c r="V222" s="178" t="str">
        <x:f t="shared" si="95"/>
      </x:c>
      <x:c r="W222" s="122"/>
      <x:c r="X222" s="177" t="str">
        <x:f t="shared" si="96"/>
      </x:c>
      <x:c r="Y222" s="122"/>
      <x:c r="Z222" s="177" t="str">
        <x:f t="shared" si="97"/>
      </x:c>
      <x:c r="AA222" s="178" t="str">
        <x:f t="shared" si="98"/>
      </x:c>
      <x:c r="AB222" s="122"/>
      <x:c r="AC222" s="177" t="str">
        <x:f t="shared" si="99"/>
      </x:c>
      <x:c r="AD222" s="122"/>
      <x:c r="AE222" s="177" t="str">
        <x:f t="shared" si="100"/>
      </x:c>
      <x:c r="AF222" s="178" t="str">
        <x:f t="shared" si="101"/>
      </x:c>
      <x:c r="AG222" s="122"/>
      <x:c r="AH222" s="177" t="str">
        <x:f t="shared" si="102"/>
      </x:c>
      <x:c r="AI222" s="122"/>
      <x:c r="AJ222" s="177" t="str">
        <x:f t="shared" si="103"/>
      </x:c>
      <x:c r="AK222" s="178" t="str">
        <x:f t="shared" si="104"/>
      </x:c>
      <x:c r="AL222" s="122"/>
      <x:c r="AM222" s="177" t="str">
        <x:f t="shared" si="105"/>
      </x:c>
      <x:c r="AN222" s="122"/>
      <x:c r="AO222" s="177" t="str">
        <x:f t="shared" si="106"/>
      </x:c>
      <x:c r="AP222" s="178" t="str">
        <x:f t="shared" si="107"/>
      </x:c>
      <x:c r="AQ222" s="122"/>
      <x:c r="AR222" s="177" t="str">
        <x:f t="shared" si="108"/>
      </x:c>
      <x:c r="AS222" s="122"/>
      <x:c r="AT222" s="177" t="str">
        <x:f t="shared" si="109"/>
      </x:c>
      <x:c r="AU222" s="178" t="str">
        <x:f t="shared" si="110"/>
      </x:c>
      <x:c r="AV222" s="122"/>
      <x:c r="AW222" s="177" t="str">
        <x:f t="shared" si="111"/>
      </x:c>
      <x:c r="AX222" s="122"/>
      <x:c r="AY222" s="177" t="str">
        <x:f t="shared" si="112"/>
      </x:c>
      <x:c r="AZ222" s="178" t="str">
        <x:f t="shared" si="113"/>
      </x:c>
      <x:c r="BA222" s="122"/>
      <x:c r="BB222" s="177" t="str">
        <x:f t="shared" si="114"/>
      </x:c>
      <x:c r="BC222" s="122"/>
      <x:c r="BD222" s="177" t="str">
        <x:f t="shared" si="115"/>
      </x:c>
      <x:c r="BE222" s="178" t="str">
        <x:f t="shared" si="116"/>
      </x:c>
      <x:c r="BF222" s="122"/>
      <x:c r="BG222" s="177" t="str">
        <x:f t="shared" si="117"/>
      </x:c>
      <x:c r="BH222" s="122"/>
      <x:c r="BI222" s="177" t="str">
        <x:f t="shared" si="118"/>
      </x:c>
      <x:c r="BJ222" s="178" t="str">
        <x:f t="shared" si="119"/>
      </x:c>
    </x:row>
    <x:row r="223" ht="19.5" hidden="1" customHeight="1">
      <x:c r="A223" s="160"/>
      <x:c r="B223" s="179"/>
      <x:c r="C223" s="171"/>
      <x:c r="D223" s="172"/>
      <x:c r="E223" s="171"/>
      <x:c r="F223" s="173"/>
      <x:c r="G223" s="174"/>
      <x:c r="H223" s="175"/>
      <x:c r="I223" s="174"/>
      <x:c r="J223" s="176"/>
      <x:c r="K223" s="233"/>
      <x:c r="L223" s="233"/>
      <x:c r="M223" s="122"/>
      <x:c r="N223" s="177" t="str">
        <x:f t="shared" si="90"/>
      </x:c>
      <x:c r="O223" s="122"/>
      <x:c r="P223" s="177" t="str">
        <x:f t="shared" si="91"/>
      </x:c>
      <x:c r="Q223" s="178" t="str">
        <x:f t="shared" si="92"/>
      </x:c>
      <x:c r="R223" s="122"/>
      <x:c r="S223" s="177" t="str">
        <x:f t="shared" si="93"/>
      </x:c>
      <x:c r="T223" s="122"/>
      <x:c r="U223" s="177" t="str">
        <x:f t="shared" si="94"/>
      </x:c>
      <x:c r="V223" s="178" t="str">
        <x:f t="shared" si="95"/>
      </x:c>
      <x:c r="W223" s="122"/>
      <x:c r="X223" s="177" t="str">
        <x:f t="shared" si="96"/>
      </x:c>
      <x:c r="Y223" s="122"/>
      <x:c r="Z223" s="177" t="str">
        <x:f t="shared" si="97"/>
      </x:c>
      <x:c r="AA223" s="178" t="str">
        <x:f t="shared" si="98"/>
      </x:c>
      <x:c r="AB223" s="122"/>
      <x:c r="AC223" s="177" t="str">
        <x:f t="shared" si="99"/>
      </x:c>
      <x:c r="AD223" s="122"/>
      <x:c r="AE223" s="177" t="str">
        <x:f t="shared" si="100"/>
      </x:c>
      <x:c r="AF223" s="178" t="str">
        <x:f t="shared" si="101"/>
      </x:c>
      <x:c r="AG223" s="122"/>
      <x:c r="AH223" s="177" t="str">
        <x:f t="shared" si="102"/>
      </x:c>
      <x:c r="AI223" s="122"/>
      <x:c r="AJ223" s="177" t="str">
        <x:f t="shared" si="103"/>
      </x:c>
      <x:c r="AK223" s="178" t="str">
        <x:f t="shared" si="104"/>
      </x:c>
      <x:c r="AL223" s="122"/>
      <x:c r="AM223" s="177" t="str">
        <x:f t="shared" si="105"/>
      </x:c>
      <x:c r="AN223" s="122"/>
      <x:c r="AO223" s="177" t="str">
        <x:f t="shared" si="106"/>
      </x:c>
      <x:c r="AP223" s="178" t="str">
        <x:f t="shared" si="107"/>
      </x:c>
      <x:c r="AQ223" s="122"/>
      <x:c r="AR223" s="177" t="str">
        <x:f t="shared" si="108"/>
      </x:c>
      <x:c r="AS223" s="122"/>
      <x:c r="AT223" s="177" t="str">
        <x:f t="shared" si="109"/>
      </x:c>
      <x:c r="AU223" s="178" t="str">
        <x:f t="shared" si="110"/>
      </x:c>
      <x:c r="AV223" s="122"/>
      <x:c r="AW223" s="177" t="str">
        <x:f t="shared" si="111"/>
      </x:c>
      <x:c r="AX223" s="122"/>
      <x:c r="AY223" s="177" t="str">
        <x:f t="shared" si="112"/>
      </x:c>
      <x:c r="AZ223" s="178" t="str">
        <x:f t="shared" si="113"/>
      </x:c>
      <x:c r="BA223" s="122"/>
      <x:c r="BB223" s="177" t="str">
        <x:f t="shared" si="114"/>
      </x:c>
      <x:c r="BC223" s="122"/>
      <x:c r="BD223" s="177" t="str">
        <x:f t="shared" si="115"/>
      </x:c>
      <x:c r="BE223" s="178" t="str">
        <x:f t="shared" si="116"/>
      </x:c>
      <x:c r="BF223" s="122"/>
      <x:c r="BG223" s="177" t="str">
        <x:f t="shared" si="117"/>
      </x:c>
      <x:c r="BH223" s="122"/>
      <x:c r="BI223" s="177" t="str">
        <x:f t="shared" si="118"/>
      </x:c>
      <x:c r="BJ223" s="178" t="str">
        <x:f t="shared" si="119"/>
      </x:c>
    </x:row>
    <x:row r="224" ht="19.5" hidden="1" customHeight="1">
      <x:c r="A224" s="169"/>
      <x:c r="B224" s="170"/>
      <x:c r="C224" s="171"/>
      <x:c r="D224" s="172"/>
      <x:c r="E224" s="171"/>
      <x:c r="F224" s="173"/>
      <x:c r="G224" s="174"/>
      <x:c r="H224" s="175"/>
      <x:c r="I224" s="174"/>
      <x:c r="J224" s="176"/>
      <x:c r="K224" s="233"/>
      <x:c r="L224" s="233"/>
      <x:c r="M224" s="122"/>
      <x:c r="N224" s="177" t="str">
        <x:f t="shared" si="90"/>
      </x:c>
      <x:c r="O224" s="122"/>
      <x:c r="P224" s="177" t="str">
        <x:f t="shared" si="91"/>
      </x:c>
      <x:c r="Q224" s="178" t="str">
        <x:f t="shared" si="92"/>
      </x:c>
      <x:c r="R224" s="122"/>
      <x:c r="S224" s="177" t="str">
        <x:f t="shared" si="93"/>
      </x:c>
      <x:c r="T224" s="122"/>
      <x:c r="U224" s="177" t="str">
        <x:f t="shared" si="94"/>
      </x:c>
      <x:c r="V224" s="178" t="str">
        <x:f t="shared" si="95"/>
      </x:c>
      <x:c r="W224" s="122"/>
      <x:c r="X224" s="177" t="str">
        <x:f t="shared" si="96"/>
      </x:c>
      <x:c r="Y224" s="122"/>
      <x:c r="Z224" s="177" t="str">
        <x:f t="shared" si="97"/>
      </x:c>
      <x:c r="AA224" s="178" t="str">
        <x:f t="shared" si="98"/>
      </x:c>
      <x:c r="AB224" s="122"/>
      <x:c r="AC224" s="177" t="str">
        <x:f t="shared" si="99"/>
      </x:c>
      <x:c r="AD224" s="122"/>
      <x:c r="AE224" s="177" t="str">
        <x:f t="shared" si="100"/>
      </x:c>
      <x:c r="AF224" s="178" t="str">
        <x:f t="shared" si="101"/>
      </x:c>
      <x:c r="AG224" s="122"/>
      <x:c r="AH224" s="177" t="str">
        <x:f t="shared" si="102"/>
      </x:c>
      <x:c r="AI224" s="122"/>
      <x:c r="AJ224" s="177" t="str">
        <x:f t="shared" si="103"/>
      </x:c>
      <x:c r="AK224" s="178" t="str">
        <x:f t="shared" si="104"/>
      </x:c>
      <x:c r="AL224" s="122"/>
      <x:c r="AM224" s="177" t="str">
        <x:f t="shared" si="105"/>
      </x:c>
      <x:c r="AN224" s="122"/>
      <x:c r="AO224" s="177" t="str">
        <x:f t="shared" si="106"/>
      </x:c>
      <x:c r="AP224" s="178" t="str">
        <x:f t="shared" si="107"/>
      </x:c>
      <x:c r="AQ224" s="122"/>
      <x:c r="AR224" s="177" t="str">
        <x:f t="shared" si="108"/>
      </x:c>
      <x:c r="AS224" s="122"/>
      <x:c r="AT224" s="177" t="str">
        <x:f t="shared" si="109"/>
      </x:c>
      <x:c r="AU224" s="178" t="str">
        <x:f t="shared" si="110"/>
      </x:c>
      <x:c r="AV224" s="122"/>
      <x:c r="AW224" s="177" t="str">
        <x:f t="shared" si="111"/>
      </x:c>
      <x:c r="AX224" s="122"/>
      <x:c r="AY224" s="177" t="str">
        <x:f t="shared" si="112"/>
      </x:c>
      <x:c r="AZ224" s="178" t="str">
        <x:f t="shared" si="113"/>
      </x:c>
      <x:c r="BA224" s="122"/>
      <x:c r="BB224" s="177" t="str">
        <x:f t="shared" si="114"/>
      </x:c>
      <x:c r="BC224" s="122"/>
      <x:c r="BD224" s="177" t="str">
        <x:f t="shared" si="115"/>
      </x:c>
      <x:c r="BE224" s="178" t="str">
        <x:f t="shared" si="116"/>
      </x:c>
      <x:c r="BF224" s="122"/>
      <x:c r="BG224" s="177" t="str">
        <x:f t="shared" si="117"/>
      </x:c>
      <x:c r="BH224" s="122"/>
      <x:c r="BI224" s="177" t="str">
        <x:f t="shared" si="118"/>
      </x:c>
      <x:c r="BJ224" s="178" t="str">
        <x:f t="shared" si="119"/>
      </x:c>
    </x:row>
    <x:row r="225" ht="19.5" hidden="1" customHeight="1">
      <x:c r="A225" s="160"/>
      <x:c r="B225" s="179"/>
      <x:c r="C225" s="171"/>
      <x:c r="D225" s="172"/>
      <x:c r="E225" s="171"/>
      <x:c r="F225" s="173"/>
      <x:c r="G225" s="174"/>
      <x:c r="H225" s="175"/>
      <x:c r="I225" s="174"/>
      <x:c r="J225" s="176"/>
      <x:c r="K225" s="233"/>
      <x:c r="L225" s="233"/>
      <x:c r="M225" s="122"/>
      <x:c r="N225" s="177" t="str">
        <x:f t="shared" si="90"/>
      </x:c>
      <x:c r="O225" s="122"/>
      <x:c r="P225" s="177" t="str">
        <x:f t="shared" si="91"/>
      </x:c>
      <x:c r="Q225" s="178" t="str">
        <x:f t="shared" si="92"/>
      </x:c>
      <x:c r="R225" s="122"/>
      <x:c r="S225" s="177" t="str">
        <x:f t="shared" si="93"/>
      </x:c>
      <x:c r="T225" s="122"/>
      <x:c r="U225" s="177" t="str">
        <x:f t="shared" si="94"/>
      </x:c>
      <x:c r="V225" s="178" t="str">
        <x:f t="shared" si="95"/>
      </x:c>
      <x:c r="W225" s="122"/>
      <x:c r="X225" s="177" t="str">
        <x:f t="shared" si="96"/>
      </x:c>
      <x:c r="Y225" s="122"/>
      <x:c r="Z225" s="177" t="str">
        <x:f t="shared" si="97"/>
      </x:c>
      <x:c r="AA225" s="178" t="str">
        <x:f t="shared" si="98"/>
      </x:c>
      <x:c r="AB225" s="122"/>
      <x:c r="AC225" s="177" t="str">
        <x:f t="shared" si="99"/>
      </x:c>
      <x:c r="AD225" s="122"/>
      <x:c r="AE225" s="177" t="str">
        <x:f t="shared" si="100"/>
      </x:c>
      <x:c r="AF225" s="178" t="str">
        <x:f t="shared" si="101"/>
      </x:c>
      <x:c r="AG225" s="122"/>
      <x:c r="AH225" s="177" t="str">
        <x:f t="shared" si="102"/>
      </x:c>
      <x:c r="AI225" s="122"/>
      <x:c r="AJ225" s="177" t="str">
        <x:f t="shared" si="103"/>
      </x:c>
      <x:c r="AK225" s="178" t="str">
        <x:f t="shared" si="104"/>
      </x:c>
      <x:c r="AL225" s="122"/>
      <x:c r="AM225" s="177" t="str">
        <x:f t="shared" si="105"/>
      </x:c>
      <x:c r="AN225" s="122"/>
      <x:c r="AO225" s="177" t="str">
        <x:f t="shared" si="106"/>
      </x:c>
      <x:c r="AP225" s="178" t="str">
        <x:f t="shared" si="107"/>
      </x:c>
      <x:c r="AQ225" s="122"/>
      <x:c r="AR225" s="177" t="str">
        <x:f t="shared" si="108"/>
      </x:c>
      <x:c r="AS225" s="122"/>
      <x:c r="AT225" s="177" t="str">
        <x:f t="shared" si="109"/>
      </x:c>
      <x:c r="AU225" s="178" t="str">
        <x:f t="shared" si="110"/>
      </x:c>
      <x:c r="AV225" s="122"/>
      <x:c r="AW225" s="177" t="str">
        <x:f t="shared" si="111"/>
      </x:c>
      <x:c r="AX225" s="122"/>
      <x:c r="AY225" s="177" t="str">
        <x:f t="shared" si="112"/>
      </x:c>
      <x:c r="AZ225" s="178" t="str">
        <x:f t="shared" si="113"/>
      </x:c>
      <x:c r="BA225" s="122"/>
      <x:c r="BB225" s="177" t="str">
        <x:f t="shared" si="114"/>
      </x:c>
      <x:c r="BC225" s="122"/>
      <x:c r="BD225" s="177" t="str">
        <x:f t="shared" si="115"/>
      </x:c>
      <x:c r="BE225" s="178" t="str">
        <x:f t="shared" si="116"/>
      </x:c>
      <x:c r="BF225" s="122"/>
      <x:c r="BG225" s="177" t="str">
        <x:f t="shared" si="117"/>
      </x:c>
      <x:c r="BH225" s="122"/>
      <x:c r="BI225" s="177" t="str">
        <x:f t="shared" si="118"/>
      </x:c>
      <x:c r="BJ225" s="178" t="str">
        <x:f t="shared" si="119"/>
      </x:c>
    </x:row>
    <x:row r="226" ht="19.5" hidden="1" customHeight="1">
      <x:c r="A226" s="169"/>
      <x:c r="B226" s="170"/>
      <x:c r="C226" s="171"/>
      <x:c r="D226" s="172"/>
      <x:c r="E226" s="171"/>
      <x:c r="F226" s="173"/>
      <x:c r="G226" s="174"/>
      <x:c r="H226" s="175"/>
      <x:c r="I226" s="174"/>
      <x:c r="J226" s="176"/>
      <x:c r="K226" s="233"/>
      <x:c r="L226" s="233"/>
      <x:c r="M226" s="122"/>
      <x:c r="N226" s="177" t="str">
        <x:f t="shared" si="90"/>
      </x:c>
      <x:c r="O226" s="122"/>
      <x:c r="P226" s="177" t="str">
        <x:f t="shared" si="91"/>
      </x:c>
      <x:c r="Q226" s="178" t="str">
        <x:f t="shared" si="92"/>
      </x:c>
      <x:c r="R226" s="122"/>
      <x:c r="S226" s="177" t="str">
        <x:f t="shared" si="93"/>
      </x:c>
      <x:c r="T226" s="122"/>
      <x:c r="U226" s="177" t="str">
        <x:f t="shared" si="94"/>
      </x:c>
      <x:c r="V226" s="178" t="str">
        <x:f t="shared" si="95"/>
      </x:c>
      <x:c r="W226" s="122"/>
      <x:c r="X226" s="177" t="str">
        <x:f t="shared" si="96"/>
      </x:c>
      <x:c r="Y226" s="122"/>
      <x:c r="Z226" s="177" t="str">
        <x:f t="shared" si="97"/>
      </x:c>
      <x:c r="AA226" s="178" t="str">
        <x:f t="shared" si="98"/>
      </x:c>
      <x:c r="AB226" s="122"/>
      <x:c r="AC226" s="177" t="str">
        <x:f t="shared" si="99"/>
      </x:c>
      <x:c r="AD226" s="122"/>
      <x:c r="AE226" s="177" t="str">
        <x:f t="shared" si="100"/>
      </x:c>
      <x:c r="AF226" s="178" t="str">
        <x:f t="shared" si="101"/>
      </x:c>
      <x:c r="AG226" s="122"/>
      <x:c r="AH226" s="177" t="str">
        <x:f t="shared" si="102"/>
      </x:c>
      <x:c r="AI226" s="122"/>
      <x:c r="AJ226" s="177" t="str">
        <x:f t="shared" si="103"/>
      </x:c>
      <x:c r="AK226" s="178" t="str">
        <x:f t="shared" si="104"/>
      </x:c>
      <x:c r="AL226" s="122"/>
      <x:c r="AM226" s="177" t="str">
        <x:f t="shared" si="105"/>
      </x:c>
      <x:c r="AN226" s="122"/>
      <x:c r="AO226" s="177" t="str">
        <x:f t="shared" si="106"/>
      </x:c>
      <x:c r="AP226" s="178" t="str">
        <x:f t="shared" si="107"/>
      </x:c>
      <x:c r="AQ226" s="122"/>
      <x:c r="AR226" s="177" t="str">
        <x:f t="shared" si="108"/>
      </x:c>
      <x:c r="AS226" s="122"/>
      <x:c r="AT226" s="177" t="str">
        <x:f t="shared" si="109"/>
      </x:c>
      <x:c r="AU226" s="178" t="str">
        <x:f t="shared" si="110"/>
      </x:c>
      <x:c r="AV226" s="122"/>
      <x:c r="AW226" s="177" t="str">
        <x:f t="shared" si="111"/>
      </x:c>
      <x:c r="AX226" s="122"/>
      <x:c r="AY226" s="177" t="str">
        <x:f t="shared" si="112"/>
      </x:c>
      <x:c r="AZ226" s="178" t="str">
        <x:f t="shared" si="113"/>
      </x:c>
      <x:c r="BA226" s="122"/>
      <x:c r="BB226" s="177" t="str">
        <x:f t="shared" si="114"/>
      </x:c>
      <x:c r="BC226" s="122"/>
      <x:c r="BD226" s="177" t="str">
        <x:f t="shared" si="115"/>
      </x:c>
      <x:c r="BE226" s="178" t="str">
        <x:f t="shared" si="116"/>
      </x:c>
      <x:c r="BF226" s="122"/>
      <x:c r="BG226" s="177" t="str">
        <x:f t="shared" si="117"/>
      </x:c>
      <x:c r="BH226" s="122"/>
      <x:c r="BI226" s="177" t="str">
        <x:f t="shared" si="118"/>
      </x:c>
      <x:c r="BJ226" s="178" t="str">
        <x:f t="shared" si="119"/>
      </x:c>
    </x:row>
    <x:row r="227" ht="19.5" hidden="1" customHeight="1">
      <x:c r="A227" s="160"/>
      <x:c r="B227" s="179"/>
      <x:c r="C227" s="171"/>
      <x:c r="D227" s="172"/>
      <x:c r="E227" s="171"/>
      <x:c r="F227" s="173"/>
      <x:c r="G227" s="174"/>
      <x:c r="H227" s="175"/>
      <x:c r="I227" s="174"/>
      <x:c r="J227" s="176"/>
      <x:c r="K227" s="233"/>
      <x:c r="L227" s="233"/>
      <x:c r="M227" s="122"/>
      <x:c r="N227" s="177" t="str">
        <x:f t="shared" si="90"/>
      </x:c>
      <x:c r="O227" s="122"/>
      <x:c r="P227" s="177" t="str">
        <x:f t="shared" si="91"/>
      </x:c>
      <x:c r="Q227" s="178" t="str">
        <x:f t="shared" si="92"/>
      </x:c>
      <x:c r="R227" s="122"/>
      <x:c r="S227" s="177" t="str">
        <x:f t="shared" si="93"/>
      </x:c>
      <x:c r="T227" s="122"/>
      <x:c r="U227" s="177" t="str">
        <x:f t="shared" si="94"/>
      </x:c>
      <x:c r="V227" s="178" t="str">
        <x:f t="shared" si="95"/>
      </x:c>
      <x:c r="W227" s="122"/>
      <x:c r="X227" s="177" t="str">
        <x:f t="shared" si="96"/>
      </x:c>
      <x:c r="Y227" s="122"/>
      <x:c r="Z227" s="177" t="str">
        <x:f t="shared" si="97"/>
      </x:c>
      <x:c r="AA227" s="178" t="str">
        <x:f t="shared" si="98"/>
      </x:c>
      <x:c r="AB227" s="122"/>
      <x:c r="AC227" s="177" t="str">
        <x:f t="shared" si="99"/>
      </x:c>
      <x:c r="AD227" s="122"/>
      <x:c r="AE227" s="177" t="str">
        <x:f t="shared" si="100"/>
      </x:c>
      <x:c r="AF227" s="178" t="str">
        <x:f t="shared" si="101"/>
      </x:c>
      <x:c r="AG227" s="122"/>
      <x:c r="AH227" s="177" t="str">
        <x:f t="shared" si="102"/>
      </x:c>
      <x:c r="AI227" s="122"/>
      <x:c r="AJ227" s="177" t="str">
        <x:f t="shared" si="103"/>
      </x:c>
      <x:c r="AK227" s="178" t="str">
        <x:f t="shared" si="104"/>
      </x:c>
      <x:c r="AL227" s="122"/>
      <x:c r="AM227" s="177" t="str">
        <x:f t="shared" si="105"/>
      </x:c>
      <x:c r="AN227" s="122"/>
      <x:c r="AO227" s="177" t="str">
        <x:f t="shared" si="106"/>
      </x:c>
      <x:c r="AP227" s="178" t="str">
        <x:f t="shared" si="107"/>
      </x:c>
      <x:c r="AQ227" s="122"/>
      <x:c r="AR227" s="177" t="str">
        <x:f t="shared" si="108"/>
      </x:c>
      <x:c r="AS227" s="122"/>
      <x:c r="AT227" s="177" t="str">
        <x:f t="shared" si="109"/>
      </x:c>
      <x:c r="AU227" s="178" t="str">
        <x:f t="shared" si="110"/>
      </x:c>
      <x:c r="AV227" s="122"/>
      <x:c r="AW227" s="177" t="str">
        <x:f t="shared" si="111"/>
      </x:c>
      <x:c r="AX227" s="122"/>
      <x:c r="AY227" s="177" t="str">
        <x:f t="shared" si="112"/>
      </x:c>
      <x:c r="AZ227" s="178" t="str">
        <x:f t="shared" si="113"/>
      </x:c>
      <x:c r="BA227" s="122"/>
      <x:c r="BB227" s="177" t="str">
        <x:f t="shared" si="114"/>
      </x:c>
      <x:c r="BC227" s="122"/>
      <x:c r="BD227" s="177" t="str">
        <x:f t="shared" si="115"/>
      </x:c>
      <x:c r="BE227" s="178" t="str">
        <x:f t="shared" si="116"/>
      </x:c>
      <x:c r="BF227" s="122"/>
      <x:c r="BG227" s="177" t="str">
        <x:f t="shared" si="117"/>
      </x:c>
      <x:c r="BH227" s="122"/>
      <x:c r="BI227" s="177" t="str">
        <x:f t="shared" si="118"/>
      </x:c>
      <x:c r="BJ227" s="178" t="str">
        <x:f t="shared" si="119"/>
      </x:c>
    </x:row>
    <x:row r="228" ht="19.5" hidden="1" customHeight="1">
      <x:c r="A228" s="169"/>
      <x:c r="B228" s="170"/>
      <x:c r="C228" s="171"/>
      <x:c r="D228" s="172"/>
      <x:c r="E228" s="171"/>
      <x:c r="F228" s="173"/>
      <x:c r="G228" s="174"/>
      <x:c r="H228" s="175"/>
      <x:c r="I228" s="174"/>
      <x:c r="J228" s="176"/>
      <x:c r="K228" s="233"/>
      <x:c r="L228" s="233"/>
      <x:c r="M228" s="122"/>
      <x:c r="N228" s="177" t="str">
        <x:f t="shared" si="90"/>
      </x:c>
      <x:c r="O228" s="122"/>
      <x:c r="P228" s="177" t="str">
        <x:f t="shared" si="91"/>
      </x:c>
      <x:c r="Q228" s="178" t="str">
        <x:f t="shared" si="92"/>
      </x:c>
      <x:c r="R228" s="122"/>
      <x:c r="S228" s="177" t="str">
        <x:f t="shared" si="93"/>
      </x:c>
      <x:c r="T228" s="122"/>
      <x:c r="U228" s="177" t="str">
        <x:f t="shared" si="94"/>
      </x:c>
      <x:c r="V228" s="178" t="str">
        <x:f t="shared" si="95"/>
      </x:c>
      <x:c r="W228" s="122"/>
      <x:c r="X228" s="177" t="str">
        <x:f t="shared" si="96"/>
      </x:c>
      <x:c r="Y228" s="122"/>
      <x:c r="Z228" s="177" t="str">
        <x:f t="shared" si="97"/>
      </x:c>
      <x:c r="AA228" s="178" t="str">
        <x:f t="shared" si="98"/>
      </x:c>
      <x:c r="AB228" s="122"/>
      <x:c r="AC228" s="177" t="str">
        <x:f t="shared" si="99"/>
      </x:c>
      <x:c r="AD228" s="122"/>
      <x:c r="AE228" s="177" t="str">
        <x:f t="shared" si="100"/>
      </x:c>
      <x:c r="AF228" s="178" t="str">
        <x:f t="shared" si="101"/>
      </x:c>
      <x:c r="AG228" s="122"/>
      <x:c r="AH228" s="177" t="str">
        <x:f t="shared" si="102"/>
      </x:c>
      <x:c r="AI228" s="122"/>
      <x:c r="AJ228" s="177" t="str">
        <x:f t="shared" si="103"/>
      </x:c>
      <x:c r="AK228" s="178" t="str">
        <x:f t="shared" si="104"/>
      </x:c>
      <x:c r="AL228" s="122"/>
      <x:c r="AM228" s="177" t="str">
        <x:f t="shared" si="105"/>
      </x:c>
      <x:c r="AN228" s="122"/>
      <x:c r="AO228" s="177" t="str">
        <x:f t="shared" si="106"/>
      </x:c>
      <x:c r="AP228" s="178" t="str">
        <x:f t="shared" si="107"/>
      </x:c>
      <x:c r="AQ228" s="122"/>
      <x:c r="AR228" s="177" t="str">
        <x:f t="shared" si="108"/>
      </x:c>
      <x:c r="AS228" s="122"/>
      <x:c r="AT228" s="177" t="str">
        <x:f t="shared" si="109"/>
      </x:c>
      <x:c r="AU228" s="178" t="str">
        <x:f t="shared" si="110"/>
      </x:c>
      <x:c r="AV228" s="122"/>
      <x:c r="AW228" s="177" t="str">
        <x:f t="shared" si="111"/>
      </x:c>
      <x:c r="AX228" s="122"/>
      <x:c r="AY228" s="177" t="str">
        <x:f t="shared" si="112"/>
      </x:c>
      <x:c r="AZ228" s="178" t="str">
        <x:f t="shared" si="113"/>
      </x:c>
      <x:c r="BA228" s="122"/>
      <x:c r="BB228" s="177" t="str">
        <x:f t="shared" si="114"/>
      </x:c>
      <x:c r="BC228" s="122"/>
      <x:c r="BD228" s="177" t="str">
        <x:f t="shared" si="115"/>
      </x:c>
      <x:c r="BE228" s="178" t="str">
        <x:f t="shared" si="116"/>
      </x:c>
      <x:c r="BF228" s="122"/>
      <x:c r="BG228" s="177" t="str">
        <x:f t="shared" si="117"/>
      </x:c>
      <x:c r="BH228" s="122"/>
      <x:c r="BI228" s="177" t="str">
        <x:f t="shared" si="118"/>
      </x:c>
      <x:c r="BJ228" s="178" t="str">
        <x:f t="shared" si="119"/>
      </x:c>
    </x:row>
    <x:row r="229" ht="19.5" hidden="1" customHeight="1">
      <x:c r="A229" s="160"/>
      <x:c r="B229" s="179"/>
      <x:c r="C229" s="171"/>
      <x:c r="D229" s="172"/>
      <x:c r="E229" s="171"/>
      <x:c r="F229" s="173"/>
      <x:c r="G229" s="174"/>
      <x:c r="H229" s="175"/>
      <x:c r="I229" s="174"/>
      <x:c r="J229" s="176"/>
      <x:c r="K229" s="233"/>
      <x:c r="L229" s="233"/>
      <x:c r="M229" s="122"/>
      <x:c r="N229" s="177" t="str">
        <x:f t="shared" si="90"/>
      </x:c>
      <x:c r="O229" s="122"/>
      <x:c r="P229" s="177" t="str">
        <x:f t="shared" si="91"/>
      </x:c>
      <x:c r="Q229" s="178" t="str">
        <x:f t="shared" si="92"/>
      </x:c>
      <x:c r="R229" s="122"/>
      <x:c r="S229" s="177" t="str">
        <x:f t="shared" si="93"/>
      </x:c>
      <x:c r="T229" s="122"/>
      <x:c r="U229" s="177" t="str">
        <x:f t="shared" si="94"/>
      </x:c>
      <x:c r="V229" s="178" t="str">
        <x:f t="shared" si="95"/>
      </x:c>
      <x:c r="W229" s="122"/>
      <x:c r="X229" s="177" t="str">
        <x:f t="shared" si="96"/>
      </x:c>
      <x:c r="Y229" s="122"/>
      <x:c r="Z229" s="177" t="str">
        <x:f t="shared" si="97"/>
      </x:c>
      <x:c r="AA229" s="178" t="str">
        <x:f t="shared" si="98"/>
      </x:c>
      <x:c r="AB229" s="122"/>
      <x:c r="AC229" s="177" t="str">
        <x:f t="shared" si="99"/>
      </x:c>
      <x:c r="AD229" s="122"/>
      <x:c r="AE229" s="177" t="str">
        <x:f t="shared" si="100"/>
      </x:c>
      <x:c r="AF229" s="178" t="str">
        <x:f t="shared" si="101"/>
      </x:c>
      <x:c r="AG229" s="122"/>
      <x:c r="AH229" s="177" t="str">
        <x:f t="shared" si="102"/>
      </x:c>
      <x:c r="AI229" s="122"/>
      <x:c r="AJ229" s="177" t="str">
        <x:f t="shared" si="103"/>
      </x:c>
      <x:c r="AK229" s="178" t="str">
        <x:f t="shared" si="104"/>
      </x:c>
      <x:c r="AL229" s="122"/>
      <x:c r="AM229" s="177" t="str">
        <x:f t="shared" si="105"/>
      </x:c>
      <x:c r="AN229" s="122"/>
      <x:c r="AO229" s="177" t="str">
        <x:f t="shared" si="106"/>
      </x:c>
      <x:c r="AP229" s="178" t="str">
        <x:f t="shared" si="107"/>
      </x:c>
      <x:c r="AQ229" s="122"/>
      <x:c r="AR229" s="177" t="str">
        <x:f t="shared" si="108"/>
      </x:c>
      <x:c r="AS229" s="122"/>
      <x:c r="AT229" s="177" t="str">
        <x:f t="shared" si="109"/>
      </x:c>
      <x:c r="AU229" s="178" t="str">
        <x:f t="shared" si="110"/>
      </x:c>
      <x:c r="AV229" s="122"/>
      <x:c r="AW229" s="177" t="str">
        <x:f t="shared" si="111"/>
      </x:c>
      <x:c r="AX229" s="122"/>
      <x:c r="AY229" s="177" t="str">
        <x:f t="shared" si="112"/>
      </x:c>
      <x:c r="AZ229" s="178" t="str">
        <x:f t="shared" si="113"/>
      </x:c>
      <x:c r="BA229" s="122"/>
      <x:c r="BB229" s="177" t="str">
        <x:f t="shared" si="114"/>
      </x:c>
      <x:c r="BC229" s="122"/>
      <x:c r="BD229" s="177" t="str">
        <x:f t="shared" si="115"/>
      </x:c>
      <x:c r="BE229" s="178" t="str">
        <x:f t="shared" si="116"/>
      </x:c>
      <x:c r="BF229" s="122"/>
      <x:c r="BG229" s="177" t="str">
        <x:f t="shared" si="117"/>
      </x:c>
      <x:c r="BH229" s="122"/>
      <x:c r="BI229" s="177" t="str">
        <x:f t="shared" si="118"/>
      </x:c>
      <x:c r="BJ229" s="178" t="str">
        <x:f t="shared" si="119"/>
      </x:c>
    </x:row>
    <x:row r="230" ht="19.5" hidden="1" customHeight="1">
      <x:c r="A230" s="169"/>
      <x:c r="B230" s="170"/>
      <x:c r="C230" s="171"/>
      <x:c r="D230" s="172"/>
      <x:c r="E230" s="171"/>
      <x:c r="F230" s="173"/>
      <x:c r="G230" s="174"/>
      <x:c r="H230" s="175"/>
      <x:c r="I230" s="174"/>
      <x:c r="J230" s="176"/>
      <x:c r="K230" s="233"/>
      <x:c r="L230" s="233"/>
      <x:c r="M230" s="122"/>
      <x:c r="N230" s="177" t="str">
        <x:f t="shared" si="90"/>
      </x:c>
      <x:c r="O230" s="122"/>
      <x:c r="P230" s="177" t="str">
        <x:f t="shared" si="91"/>
      </x:c>
      <x:c r="Q230" s="178" t="str">
        <x:f t="shared" si="92"/>
      </x:c>
      <x:c r="R230" s="122"/>
      <x:c r="S230" s="177" t="str">
        <x:f t="shared" si="93"/>
      </x:c>
      <x:c r="T230" s="122"/>
      <x:c r="U230" s="177" t="str">
        <x:f t="shared" si="94"/>
      </x:c>
      <x:c r="V230" s="178" t="str">
        <x:f t="shared" si="95"/>
      </x:c>
      <x:c r="W230" s="122"/>
      <x:c r="X230" s="177" t="str">
        <x:f t="shared" si="96"/>
      </x:c>
      <x:c r="Y230" s="122"/>
      <x:c r="Z230" s="177" t="str">
        <x:f t="shared" si="97"/>
      </x:c>
      <x:c r="AA230" s="178" t="str">
        <x:f t="shared" si="98"/>
      </x:c>
      <x:c r="AB230" s="122"/>
      <x:c r="AC230" s="177" t="str">
        <x:f t="shared" si="99"/>
      </x:c>
      <x:c r="AD230" s="122"/>
      <x:c r="AE230" s="177" t="str">
        <x:f t="shared" si="100"/>
      </x:c>
      <x:c r="AF230" s="178" t="str">
        <x:f t="shared" si="101"/>
      </x:c>
      <x:c r="AG230" s="122"/>
      <x:c r="AH230" s="177" t="str">
        <x:f t="shared" si="102"/>
      </x:c>
      <x:c r="AI230" s="122"/>
      <x:c r="AJ230" s="177" t="str">
        <x:f t="shared" si="103"/>
      </x:c>
      <x:c r="AK230" s="178" t="str">
        <x:f t="shared" si="104"/>
      </x:c>
      <x:c r="AL230" s="122"/>
      <x:c r="AM230" s="177" t="str">
        <x:f t="shared" si="105"/>
      </x:c>
      <x:c r="AN230" s="122"/>
      <x:c r="AO230" s="177" t="str">
        <x:f t="shared" si="106"/>
      </x:c>
      <x:c r="AP230" s="178" t="str">
        <x:f t="shared" si="107"/>
      </x:c>
      <x:c r="AQ230" s="122"/>
      <x:c r="AR230" s="177" t="str">
        <x:f t="shared" si="108"/>
      </x:c>
      <x:c r="AS230" s="122"/>
      <x:c r="AT230" s="177" t="str">
        <x:f t="shared" si="109"/>
      </x:c>
      <x:c r="AU230" s="178" t="str">
        <x:f t="shared" si="110"/>
      </x:c>
      <x:c r="AV230" s="122"/>
      <x:c r="AW230" s="177" t="str">
        <x:f t="shared" si="111"/>
      </x:c>
      <x:c r="AX230" s="122"/>
      <x:c r="AY230" s="177" t="str">
        <x:f t="shared" si="112"/>
      </x:c>
      <x:c r="AZ230" s="178" t="str">
        <x:f t="shared" si="113"/>
      </x:c>
      <x:c r="BA230" s="122"/>
      <x:c r="BB230" s="177" t="str">
        <x:f t="shared" si="114"/>
      </x:c>
      <x:c r="BC230" s="122"/>
      <x:c r="BD230" s="177" t="str">
        <x:f t="shared" si="115"/>
      </x:c>
      <x:c r="BE230" s="178" t="str">
        <x:f t="shared" si="116"/>
      </x:c>
      <x:c r="BF230" s="122"/>
      <x:c r="BG230" s="177" t="str">
        <x:f t="shared" si="117"/>
      </x:c>
      <x:c r="BH230" s="122"/>
      <x:c r="BI230" s="177" t="str">
        <x:f t="shared" si="118"/>
      </x:c>
      <x:c r="BJ230" s="178" t="str">
        <x:f t="shared" si="119"/>
      </x:c>
    </x:row>
    <x:row r="231" ht="19.5" hidden="1" customHeight="1">
      <x:c r="A231" s="160"/>
      <x:c r="B231" s="179"/>
      <x:c r="C231" s="171"/>
      <x:c r="D231" s="172"/>
      <x:c r="E231" s="171"/>
      <x:c r="F231" s="173"/>
      <x:c r="G231" s="174"/>
      <x:c r="H231" s="175"/>
      <x:c r="I231" s="174"/>
      <x:c r="J231" s="176"/>
      <x:c r="K231" s="233"/>
      <x:c r="L231" s="233"/>
      <x:c r="M231" s="122"/>
      <x:c r="N231" s="177" t="str">
        <x:f t="shared" si="90"/>
      </x:c>
      <x:c r="O231" s="122"/>
      <x:c r="P231" s="177" t="str">
        <x:f t="shared" si="91"/>
      </x:c>
      <x:c r="Q231" s="178" t="str">
        <x:f t="shared" si="92"/>
      </x:c>
      <x:c r="R231" s="122"/>
      <x:c r="S231" s="177" t="str">
        <x:f t="shared" si="93"/>
      </x:c>
      <x:c r="T231" s="122"/>
      <x:c r="U231" s="177" t="str">
        <x:f t="shared" si="94"/>
      </x:c>
      <x:c r="V231" s="178" t="str">
        <x:f t="shared" si="95"/>
      </x:c>
      <x:c r="W231" s="122"/>
      <x:c r="X231" s="177" t="str">
        <x:f t="shared" si="96"/>
      </x:c>
      <x:c r="Y231" s="122"/>
      <x:c r="Z231" s="177" t="str">
        <x:f t="shared" si="97"/>
      </x:c>
      <x:c r="AA231" s="178" t="str">
        <x:f t="shared" si="98"/>
      </x:c>
      <x:c r="AB231" s="122"/>
      <x:c r="AC231" s="177" t="str">
        <x:f t="shared" si="99"/>
      </x:c>
      <x:c r="AD231" s="122"/>
      <x:c r="AE231" s="177" t="str">
        <x:f t="shared" si="100"/>
      </x:c>
      <x:c r="AF231" s="178" t="str">
        <x:f t="shared" si="101"/>
      </x:c>
      <x:c r="AG231" s="122"/>
      <x:c r="AH231" s="177" t="str">
        <x:f t="shared" si="102"/>
      </x:c>
      <x:c r="AI231" s="122"/>
      <x:c r="AJ231" s="177" t="str">
        <x:f t="shared" si="103"/>
      </x:c>
      <x:c r="AK231" s="178" t="str">
        <x:f t="shared" si="104"/>
      </x:c>
      <x:c r="AL231" s="122"/>
      <x:c r="AM231" s="177" t="str">
        <x:f t="shared" si="105"/>
      </x:c>
      <x:c r="AN231" s="122"/>
      <x:c r="AO231" s="177" t="str">
        <x:f t="shared" si="106"/>
      </x:c>
      <x:c r="AP231" s="178" t="str">
        <x:f t="shared" si="107"/>
      </x:c>
      <x:c r="AQ231" s="122"/>
      <x:c r="AR231" s="177" t="str">
        <x:f t="shared" si="108"/>
      </x:c>
      <x:c r="AS231" s="122"/>
      <x:c r="AT231" s="177" t="str">
        <x:f t="shared" si="109"/>
      </x:c>
      <x:c r="AU231" s="178" t="str">
        <x:f t="shared" si="110"/>
      </x:c>
      <x:c r="AV231" s="122"/>
      <x:c r="AW231" s="177" t="str">
        <x:f t="shared" si="111"/>
      </x:c>
      <x:c r="AX231" s="122"/>
      <x:c r="AY231" s="177" t="str">
        <x:f t="shared" si="112"/>
      </x:c>
      <x:c r="AZ231" s="178" t="str">
        <x:f t="shared" si="113"/>
      </x:c>
      <x:c r="BA231" s="122"/>
      <x:c r="BB231" s="177" t="str">
        <x:f t="shared" si="114"/>
      </x:c>
      <x:c r="BC231" s="122"/>
      <x:c r="BD231" s="177" t="str">
        <x:f t="shared" si="115"/>
      </x:c>
      <x:c r="BE231" s="178" t="str">
        <x:f t="shared" si="116"/>
      </x:c>
      <x:c r="BF231" s="122"/>
      <x:c r="BG231" s="177" t="str">
        <x:f t="shared" si="117"/>
      </x:c>
      <x:c r="BH231" s="122"/>
      <x:c r="BI231" s="177" t="str">
        <x:f t="shared" si="118"/>
      </x:c>
      <x:c r="BJ231" s="178" t="str">
        <x:f t="shared" si="119"/>
      </x:c>
    </x:row>
    <x:row r="232" ht="19.5" hidden="1" customHeight="1">
      <x:c r="A232" s="169"/>
      <x:c r="B232" s="170"/>
      <x:c r="C232" s="171"/>
      <x:c r="D232" s="172"/>
      <x:c r="E232" s="171"/>
      <x:c r="F232" s="173"/>
      <x:c r="G232" s="174"/>
      <x:c r="H232" s="175"/>
      <x:c r="I232" s="174"/>
      <x:c r="J232" s="176"/>
      <x:c r="K232" s="233"/>
      <x:c r="L232" s="233"/>
      <x:c r="M232" s="122"/>
      <x:c r="N232" s="177" t="str">
        <x:f t="shared" si="90"/>
      </x:c>
      <x:c r="O232" s="122"/>
      <x:c r="P232" s="177" t="str">
        <x:f t="shared" si="91"/>
      </x:c>
      <x:c r="Q232" s="178" t="str">
        <x:f t="shared" si="92"/>
      </x:c>
      <x:c r="R232" s="122"/>
      <x:c r="S232" s="177" t="str">
        <x:f t="shared" si="93"/>
      </x:c>
      <x:c r="T232" s="122"/>
      <x:c r="U232" s="177" t="str">
        <x:f t="shared" si="94"/>
      </x:c>
      <x:c r="V232" s="178" t="str">
        <x:f t="shared" si="95"/>
      </x:c>
      <x:c r="W232" s="122"/>
      <x:c r="X232" s="177" t="str">
        <x:f t="shared" si="96"/>
      </x:c>
      <x:c r="Y232" s="122"/>
      <x:c r="Z232" s="177" t="str">
        <x:f t="shared" si="97"/>
      </x:c>
      <x:c r="AA232" s="178" t="str">
        <x:f t="shared" si="98"/>
      </x:c>
      <x:c r="AB232" s="122"/>
      <x:c r="AC232" s="177" t="str">
        <x:f t="shared" si="99"/>
      </x:c>
      <x:c r="AD232" s="122"/>
      <x:c r="AE232" s="177" t="str">
        <x:f t="shared" si="100"/>
      </x:c>
      <x:c r="AF232" s="178" t="str">
        <x:f t="shared" si="101"/>
      </x:c>
      <x:c r="AG232" s="122"/>
      <x:c r="AH232" s="177" t="str">
        <x:f t="shared" si="102"/>
      </x:c>
      <x:c r="AI232" s="122"/>
      <x:c r="AJ232" s="177" t="str">
        <x:f t="shared" si="103"/>
      </x:c>
      <x:c r="AK232" s="178" t="str">
        <x:f t="shared" si="104"/>
      </x:c>
      <x:c r="AL232" s="122"/>
      <x:c r="AM232" s="177" t="str">
        <x:f t="shared" si="105"/>
      </x:c>
      <x:c r="AN232" s="122"/>
      <x:c r="AO232" s="177" t="str">
        <x:f t="shared" si="106"/>
      </x:c>
      <x:c r="AP232" s="178" t="str">
        <x:f t="shared" si="107"/>
      </x:c>
      <x:c r="AQ232" s="122"/>
      <x:c r="AR232" s="177" t="str">
        <x:f t="shared" si="108"/>
      </x:c>
      <x:c r="AS232" s="122"/>
      <x:c r="AT232" s="177" t="str">
        <x:f t="shared" si="109"/>
      </x:c>
      <x:c r="AU232" s="178" t="str">
        <x:f t="shared" si="110"/>
      </x:c>
      <x:c r="AV232" s="122"/>
      <x:c r="AW232" s="177" t="str">
        <x:f t="shared" si="111"/>
      </x:c>
      <x:c r="AX232" s="122"/>
      <x:c r="AY232" s="177" t="str">
        <x:f t="shared" si="112"/>
      </x:c>
      <x:c r="AZ232" s="178" t="str">
        <x:f t="shared" si="113"/>
      </x:c>
      <x:c r="BA232" s="122"/>
      <x:c r="BB232" s="177" t="str">
        <x:f t="shared" si="114"/>
      </x:c>
      <x:c r="BC232" s="122"/>
      <x:c r="BD232" s="177" t="str">
        <x:f t="shared" si="115"/>
      </x:c>
      <x:c r="BE232" s="178" t="str">
        <x:f t="shared" si="116"/>
      </x:c>
      <x:c r="BF232" s="122"/>
      <x:c r="BG232" s="177" t="str">
        <x:f t="shared" si="117"/>
      </x:c>
      <x:c r="BH232" s="122"/>
      <x:c r="BI232" s="177" t="str">
        <x:f t="shared" si="118"/>
      </x:c>
      <x:c r="BJ232" s="178" t="str">
        <x:f t="shared" si="119"/>
      </x:c>
    </x:row>
    <x:row r="233" ht="19.5" hidden="1" customHeight="1">
      <x:c r="A233" s="160"/>
      <x:c r="B233" s="179"/>
      <x:c r="C233" s="171"/>
      <x:c r="D233" s="172"/>
      <x:c r="E233" s="171"/>
      <x:c r="F233" s="173"/>
      <x:c r="G233" s="174"/>
      <x:c r="H233" s="175"/>
      <x:c r="I233" s="174"/>
      <x:c r="J233" s="176"/>
      <x:c r="K233" s="233"/>
      <x:c r="L233" s="233"/>
      <x:c r="M233" s="122"/>
      <x:c r="N233" s="177" t="str">
        <x:f t="shared" si="90"/>
      </x:c>
      <x:c r="O233" s="122"/>
      <x:c r="P233" s="177" t="str">
        <x:f t="shared" si="91"/>
      </x:c>
      <x:c r="Q233" s="178" t="str">
        <x:f t="shared" si="92"/>
      </x:c>
      <x:c r="R233" s="122"/>
      <x:c r="S233" s="177" t="str">
        <x:f t="shared" si="93"/>
      </x:c>
      <x:c r="T233" s="122"/>
      <x:c r="U233" s="177" t="str">
        <x:f t="shared" si="94"/>
      </x:c>
      <x:c r="V233" s="178" t="str">
        <x:f t="shared" si="95"/>
      </x:c>
      <x:c r="W233" s="122"/>
      <x:c r="X233" s="177" t="str">
        <x:f t="shared" si="96"/>
      </x:c>
      <x:c r="Y233" s="122"/>
      <x:c r="Z233" s="177" t="str">
        <x:f t="shared" si="97"/>
      </x:c>
      <x:c r="AA233" s="178" t="str">
        <x:f t="shared" si="98"/>
      </x:c>
      <x:c r="AB233" s="122"/>
      <x:c r="AC233" s="177" t="str">
        <x:f t="shared" si="99"/>
      </x:c>
      <x:c r="AD233" s="122"/>
      <x:c r="AE233" s="177" t="str">
        <x:f t="shared" si="100"/>
      </x:c>
      <x:c r="AF233" s="178" t="str">
        <x:f t="shared" si="101"/>
      </x:c>
      <x:c r="AG233" s="122"/>
      <x:c r="AH233" s="177" t="str">
        <x:f t="shared" si="102"/>
      </x:c>
      <x:c r="AI233" s="122"/>
      <x:c r="AJ233" s="177" t="str">
        <x:f t="shared" si="103"/>
      </x:c>
      <x:c r="AK233" s="178" t="str">
        <x:f t="shared" si="104"/>
      </x:c>
      <x:c r="AL233" s="122"/>
      <x:c r="AM233" s="177" t="str">
        <x:f t="shared" si="105"/>
      </x:c>
      <x:c r="AN233" s="122"/>
      <x:c r="AO233" s="177" t="str">
        <x:f t="shared" si="106"/>
      </x:c>
      <x:c r="AP233" s="178" t="str">
        <x:f t="shared" si="107"/>
      </x:c>
      <x:c r="AQ233" s="122"/>
      <x:c r="AR233" s="177" t="str">
        <x:f t="shared" si="108"/>
      </x:c>
      <x:c r="AS233" s="122"/>
      <x:c r="AT233" s="177" t="str">
        <x:f t="shared" si="109"/>
      </x:c>
      <x:c r="AU233" s="178" t="str">
        <x:f t="shared" si="110"/>
      </x:c>
      <x:c r="AV233" s="122"/>
      <x:c r="AW233" s="177" t="str">
        <x:f t="shared" si="111"/>
      </x:c>
      <x:c r="AX233" s="122"/>
      <x:c r="AY233" s="177" t="str">
        <x:f t="shared" si="112"/>
      </x:c>
      <x:c r="AZ233" s="178" t="str">
        <x:f t="shared" si="113"/>
      </x:c>
      <x:c r="BA233" s="122"/>
      <x:c r="BB233" s="177" t="str">
        <x:f t="shared" si="114"/>
      </x:c>
      <x:c r="BC233" s="122"/>
      <x:c r="BD233" s="177" t="str">
        <x:f t="shared" si="115"/>
      </x:c>
      <x:c r="BE233" s="178" t="str">
        <x:f t="shared" si="116"/>
      </x:c>
      <x:c r="BF233" s="122"/>
      <x:c r="BG233" s="177" t="str">
        <x:f t="shared" si="117"/>
      </x:c>
      <x:c r="BH233" s="122"/>
      <x:c r="BI233" s="177" t="str">
        <x:f t="shared" si="118"/>
      </x:c>
      <x:c r="BJ233" s="178" t="str">
        <x:f t="shared" si="119"/>
      </x:c>
    </x:row>
    <x:row r="234" ht="19.5" hidden="1" customHeight="1">
      <x:c r="A234" s="169"/>
      <x:c r="B234" s="170"/>
      <x:c r="C234" s="171"/>
      <x:c r="D234" s="172"/>
      <x:c r="E234" s="171"/>
      <x:c r="F234" s="173"/>
      <x:c r="G234" s="174"/>
      <x:c r="H234" s="175"/>
      <x:c r="I234" s="174"/>
      <x:c r="J234" s="176"/>
      <x:c r="K234" s="233"/>
      <x:c r="L234" s="233"/>
      <x:c r="M234" s="122"/>
      <x:c r="N234" s="177" t="str">
        <x:f t="shared" si="90"/>
      </x:c>
      <x:c r="O234" s="122"/>
      <x:c r="P234" s="177" t="str">
        <x:f t="shared" si="91"/>
      </x:c>
      <x:c r="Q234" s="178" t="str">
        <x:f t="shared" si="92"/>
      </x:c>
      <x:c r="R234" s="122"/>
      <x:c r="S234" s="177" t="str">
        <x:f t="shared" si="93"/>
      </x:c>
      <x:c r="T234" s="122"/>
      <x:c r="U234" s="177" t="str">
        <x:f t="shared" si="94"/>
      </x:c>
      <x:c r="V234" s="178" t="str">
        <x:f t="shared" si="95"/>
      </x:c>
      <x:c r="W234" s="122"/>
      <x:c r="X234" s="177" t="str">
        <x:f t="shared" si="96"/>
      </x:c>
      <x:c r="Y234" s="122"/>
      <x:c r="Z234" s="177" t="str">
        <x:f t="shared" si="97"/>
      </x:c>
      <x:c r="AA234" s="178" t="str">
        <x:f t="shared" si="98"/>
      </x:c>
      <x:c r="AB234" s="122"/>
      <x:c r="AC234" s="177" t="str">
        <x:f t="shared" si="99"/>
      </x:c>
      <x:c r="AD234" s="122"/>
      <x:c r="AE234" s="177" t="str">
        <x:f t="shared" si="100"/>
      </x:c>
      <x:c r="AF234" s="178" t="str">
        <x:f t="shared" si="101"/>
      </x:c>
      <x:c r="AG234" s="122"/>
      <x:c r="AH234" s="177" t="str">
        <x:f t="shared" si="102"/>
      </x:c>
      <x:c r="AI234" s="122"/>
      <x:c r="AJ234" s="177" t="str">
        <x:f t="shared" si="103"/>
      </x:c>
      <x:c r="AK234" s="178" t="str">
        <x:f t="shared" si="104"/>
      </x:c>
      <x:c r="AL234" s="122"/>
      <x:c r="AM234" s="177" t="str">
        <x:f t="shared" si="105"/>
      </x:c>
      <x:c r="AN234" s="122"/>
      <x:c r="AO234" s="177" t="str">
        <x:f t="shared" si="106"/>
      </x:c>
      <x:c r="AP234" s="178" t="str">
        <x:f t="shared" si="107"/>
      </x:c>
      <x:c r="AQ234" s="122"/>
      <x:c r="AR234" s="177" t="str">
        <x:f t="shared" si="108"/>
      </x:c>
      <x:c r="AS234" s="122"/>
      <x:c r="AT234" s="177" t="str">
        <x:f t="shared" si="109"/>
      </x:c>
      <x:c r="AU234" s="178" t="str">
        <x:f t="shared" si="110"/>
      </x:c>
      <x:c r="AV234" s="122"/>
      <x:c r="AW234" s="177" t="str">
        <x:f t="shared" si="111"/>
      </x:c>
      <x:c r="AX234" s="122"/>
      <x:c r="AY234" s="177" t="str">
        <x:f t="shared" si="112"/>
      </x:c>
      <x:c r="AZ234" s="178" t="str">
        <x:f t="shared" si="113"/>
      </x:c>
      <x:c r="BA234" s="122"/>
      <x:c r="BB234" s="177" t="str">
        <x:f t="shared" si="114"/>
      </x:c>
      <x:c r="BC234" s="122"/>
      <x:c r="BD234" s="177" t="str">
        <x:f t="shared" si="115"/>
      </x:c>
      <x:c r="BE234" s="178" t="str">
        <x:f t="shared" si="116"/>
      </x:c>
      <x:c r="BF234" s="122"/>
      <x:c r="BG234" s="177" t="str">
        <x:f t="shared" si="117"/>
      </x:c>
      <x:c r="BH234" s="122"/>
      <x:c r="BI234" s="177" t="str">
        <x:f t="shared" si="118"/>
      </x:c>
      <x:c r="BJ234" s="178" t="str">
        <x:f t="shared" si="119"/>
      </x:c>
    </x:row>
    <x:row r="235" ht="19.5" hidden="1" customHeight="1">
      <x:c r="A235" s="160"/>
      <x:c r="B235" s="179"/>
      <x:c r="C235" s="171"/>
      <x:c r="D235" s="172"/>
      <x:c r="E235" s="171"/>
      <x:c r="F235" s="173"/>
      <x:c r="G235" s="174"/>
      <x:c r="H235" s="175"/>
      <x:c r="I235" s="174"/>
      <x:c r="J235" s="176"/>
      <x:c r="K235" s="233"/>
      <x:c r="L235" s="233"/>
      <x:c r="M235" s="122"/>
      <x:c r="N235" s="177" t="str">
        <x:f t="shared" si="90"/>
      </x:c>
      <x:c r="O235" s="122"/>
      <x:c r="P235" s="177" t="str">
        <x:f t="shared" si="91"/>
      </x:c>
      <x:c r="Q235" s="178" t="str">
        <x:f t="shared" si="92"/>
      </x:c>
      <x:c r="R235" s="122"/>
      <x:c r="S235" s="177" t="str">
        <x:f t="shared" si="93"/>
      </x:c>
      <x:c r="T235" s="122"/>
      <x:c r="U235" s="177" t="str">
        <x:f t="shared" si="94"/>
      </x:c>
      <x:c r="V235" s="178" t="str">
        <x:f t="shared" si="95"/>
      </x:c>
      <x:c r="W235" s="122"/>
      <x:c r="X235" s="177" t="str">
        <x:f t="shared" si="96"/>
      </x:c>
      <x:c r="Y235" s="122"/>
      <x:c r="Z235" s="177" t="str">
        <x:f t="shared" si="97"/>
      </x:c>
      <x:c r="AA235" s="178" t="str">
        <x:f t="shared" si="98"/>
      </x:c>
      <x:c r="AB235" s="122"/>
      <x:c r="AC235" s="177" t="str">
        <x:f t="shared" si="99"/>
      </x:c>
      <x:c r="AD235" s="122"/>
      <x:c r="AE235" s="177" t="str">
        <x:f t="shared" si="100"/>
      </x:c>
      <x:c r="AF235" s="178" t="str">
        <x:f t="shared" si="101"/>
      </x:c>
      <x:c r="AG235" s="122"/>
      <x:c r="AH235" s="177" t="str">
        <x:f t="shared" si="102"/>
      </x:c>
      <x:c r="AI235" s="122"/>
      <x:c r="AJ235" s="177" t="str">
        <x:f t="shared" si="103"/>
      </x:c>
      <x:c r="AK235" s="178" t="str">
        <x:f t="shared" si="104"/>
      </x:c>
      <x:c r="AL235" s="122"/>
      <x:c r="AM235" s="177" t="str">
        <x:f t="shared" si="105"/>
      </x:c>
      <x:c r="AN235" s="122"/>
      <x:c r="AO235" s="177" t="str">
        <x:f t="shared" si="106"/>
      </x:c>
      <x:c r="AP235" s="178" t="str">
        <x:f t="shared" si="107"/>
      </x:c>
      <x:c r="AQ235" s="122"/>
      <x:c r="AR235" s="177" t="str">
        <x:f t="shared" si="108"/>
      </x:c>
      <x:c r="AS235" s="122"/>
      <x:c r="AT235" s="177" t="str">
        <x:f t="shared" si="109"/>
      </x:c>
      <x:c r="AU235" s="178" t="str">
        <x:f t="shared" si="110"/>
      </x:c>
      <x:c r="AV235" s="122"/>
      <x:c r="AW235" s="177" t="str">
        <x:f t="shared" si="111"/>
      </x:c>
      <x:c r="AX235" s="122"/>
      <x:c r="AY235" s="177" t="str">
        <x:f t="shared" si="112"/>
      </x:c>
      <x:c r="AZ235" s="178" t="str">
        <x:f t="shared" si="113"/>
      </x:c>
      <x:c r="BA235" s="122"/>
      <x:c r="BB235" s="177" t="str">
        <x:f t="shared" si="114"/>
      </x:c>
      <x:c r="BC235" s="122"/>
      <x:c r="BD235" s="177" t="str">
        <x:f t="shared" si="115"/>
      </x:c>
      <x:c r="BE235" s="178" t="str">
        <x:f t="shared" si="116"/>
      </x:c>
      <x:c r="BF235" s="122"/>
      <x:c r="BG235" s="177" t="str">
        <x:f t="shared" si="117"/>
      </x:c>
      <x:c r="BH235" s="122"/>
      <x:c r="BI235" s="177" t="str">
        <x:f t="shared" si="118"/>
      </x:c>
      <x:c r="BJ235" s="178" t="str">
        <x:f t="shared" si="119"/>
      </x:c>
    </x:row>
    <x:row r="236" ht="19.5" hidden="1" customHeight="1">
      <x:c r="A236" s="169"/>
      <x:c r="B236" s="170"/>
      <x:c r="C236" s="171"/>
      <x:c r="D236" s="172"/>
      <x:c r="E236" s="171"/>
      <x:c r="F236" s="173"/>
      <x:c r="G236" s="174"/>
      <x:c r="H236" s="175"/>
      <x:c r="I236" s="174"/>
      <x:c r="J236" s="176"/>
      <x:c r="K236" s="233"/>
      <x:c r="L236" s="233"/>
      <x:c r="M236" s="122"/>
      <x:c r="N236" s="177" t="str">
        <x:f t="shared" si="90"/>
      </x:c>
      <x:c r="O236" s="122"/>
      <x:c r="P236" s="177" t="str">
        <x:f t="shared" si="91"/>
      </x:c>
      <x:c r="Q236" s="178" t="str">
        <x:f t="shared" si="92"/>
      </x:c>
      <x:c r="R236" s="122"/>
      <x:c r="S236" s="177" t="str">
        <x:f t="shared" si="93"/>
      </x:c>
      <x:c r="T236" s="122"/>
      <x:c r="U236" s="177" t="str">
        <x:f t="shared" si="94"/>
      </x:c>
      <x:c r="V236" s="178" t="str">
        <x:f t="shared" si="95"/>
      </x:c>
      <x:c r="W236" s="122"/>
      <x:c r="X236" s="177" t="str">
        <x:f t="shared" si="96"/>
      </x:c>
      <x:c r="Y236" s="122"/>
      <x:c r="Z236" s="177" t="str">
        <x:f t="shared" si="97"/>
      </x:c>
      <x:c r="AA236" s="178" t="str">
        <x:f t="shared" si="98"/>
      </x:c>
      <x:c r="AB236" s="122"/>
      <x:c r="AC236" s="177" t="str">
        <x:f t="shared" si="99"/>
      </x:c>
      <x:c r="AD236" s="122"/>
      <x:c r="AE236" s="177" t="str">
        <x:f t="shared" si="100"/>
      </x:c>
      <x:c r="AF236" s="178" t="str">
        <x:f t="shared" si="101"/>
      </x:c>
      <x:c r="AG236" s="122"/>
      <x:c r="AH236" s="177" t="str">
        <x:f t="shared" si="102"/>
      </x:c>
      <x:c r="AI236" s="122"/>
      <x:c r="AJ236" s="177" t="str">
        <x:f t="shared" si="103"/>
      </x:c>
      <x:c r="AK236" s="178" t="str">
        <x:f t="shared" si="104"/>
      </x:c>
      <x:c r="AL236" s="122"/>
      <x:c r="AM236" s="177" t="str">
        <x:f t="shared" si="105"/>
      </x:c>
      <x:c r="AN236" s="122"/>
      <x:c r="AO236" s="177" t="str">
        <x:f t="shared" si="106"/>
      </x:c>
      <x:c r="AP236" s="178" t="str">
        <x:f t="shared" si="107"/>
      </x:c>
      <x:c r="AQ236" s="122"/>
      <x:c r="AR236" s="177" t="str">
        <x:f t="shared" si="108"/>
      </x:c>
      <x:c r="AS236" s="122"/>
      <x:c r="AT236" s="177" t="str">
        <x:f t="shared" si="109"/>
      </x:c>
      <x:c r="AU236" s="178" t="str">
        <x:f t="shared" si="110"/>
      </x:c>
      <x:c r="AV236" s="122"/>
      <x:c r="AW236" s="177" t="str">
        <x:f t="shared" si="111"/>
      </x:c>
      <x:c r="AX236" s="122"/>
      <x:c r="AY236" s="177" t="str">
        <x:f t="shared" si="112"/>
      </x:c>
      <x:c r="AZ236" s="178" t="str">
        <x:f t="shared" si="113"/>
      </x:c>
      <x:c r="BA236" s="122"/>
      <x:c r="BB236" s="177" t="str">
        <x:f t="shared" si="114"/>
      </x:c>
      <x:c r="BC236" s="122"/>
      <x:c r="BD236" s="177" t="str">
        <x:f t="shared" si="115"/>
      </x:c>
      <x:c r="BE236" s="178" t="str">
        <x:f t="shared" si="116"/>
      </x:c>
      <x:c r="BF236" s="122"/>
      <x:c r="BG236" s="177" t="str">
        <x:f t="shared" si="117"/>
      </x:c>
      <x:c r="BH236" s="122"/>
      <x:c r="BI236" s="177" t="str">
        <x:f t="shared" si="118"/>
      </x:c>
      <x:c r="BJ236" s="178" t="str">
        <x:f t="shared" si="119"/>
      </x:c>
    </x:row>
    <x:row r="237" ht="19.5" hidden="1" customHeight="1">
      <x:c r="A237" s="160"/>
      <x:c r="B237" s="179"/>
      <x:c r="C237" s="171"/>
      <x:c r="D237" s="172"/>
      <x:c r="E237" s="171"/>
      <x:c r="F237" s="173"/>
      <x:c r="G237" s="174"/>
      <x:c r="H237" s="175"/>
      <x:c r="I237" s="174"/>
      <x:c r="J237" s="176"/>
      <x:c r="K237" s="233"/>
      <x:c r="L237" s="233"/>
      <x:c r="M237" s="122"/>
      <x:c r="N237" s="177" t="str">
        <x:f t="shared" si="90"/>
      </x:c>
      <x:c r="O237" s="122"/>
      <x:c r="P237" s="177" t="str">
        <x:f t="shared" si="91"/>
      </x:c>
      <x:c r="Q237" s="178" t="str">
        <x:f t="shared" si="92"/>
      </x:c>
      <x:c r="R237" s="122"/>
      <x:c r="S237" s="177" t="str">
        <x:f t="shared" si="93"/>
      </x:c>
      <x:c r="T237" s="122"/>
      <x:c r="U237" s="177" t="str">
        <x:f t="shared" si="94"/>
      </x:c>
      <x:c r="V237" s="178" t="str">
        <x:f t="shared" si="95"/>
      </x:c>
      <x:c r="W237" s="122"/>
      <x:c r="X237" s="177" t="str">
        <x:f t="shared" si="96"/>
      </x:c>
      <x:c r="Y237" s="122"/>
      <x:c r="Z237" s="177" t="str">
        <x:f t="shared" si="97"/>
      </x:c>
      <x:c r="AA237" s="178" t="str">
        <x:f t="shared" si="98"/>
      </x:c>
      <x:c r="AB237" s="122"/>
      <x:c r="AC237" s="177" t="str">
        <x:f t="shared" si="99"/>
      </x:c>
      <x:c r="AD237" s="122"/>
      <x:c r="AE237" s="177" t="str">
        <x:f t="shared" si="100"/>
      </x:c>
      <x:c r="AF237" s="178" t="str">
        <x:f t="shared" si="101"/>
      </x:c>
      <x:c r="AG237" s="122"/>
      <x:c r="AH237" s="177" t="str">
        <x:f t="shared" si="102"/>
      </x:c>
      <x:c r="AI237" s="122"/>
      <x:c r="AJ237" s="177" t="str">
        <x:f t="shared" si="103"/>
      </x:c>
      <x:c r="AK237" s="178" t="str">
        <x:f t="shared" si="104"/>
      </x:c>
      <x:c r="AL237" s="122"/>
      <x:c r="AM237" s="177" t="str">
        <x:f t="shared" si="105"/>
      </x:c>
      <x:c r="AN237" s="122"/>
      <x:c r="AO237" s="177" t="str">
        <x:f t="shared" si="106"/>
      </x:c>
      <x:c r="AP237" s="178" t="str">
        <x:f t="shared" si="107"/>
      </x:c>
      <x:c r="AQ237" s="122"/>
      <x:c r="AR237" s="177" t="str">
        <x:f t="shared" si="108"/>
      </x:c>
      <x:c r="AS237" s="122"/>
      <x:c r="AT237" s="177" t="str">
        <x:f t="shared" si="109"/>
      </x:c>
      <x:c r="AU237" s="178" t="str">
        <x:f t="shared" si="110"/>
      </x:c>
      <x:c r="AV237" s="122"/>
      <x:c r="AW237" s="177" t="str">
        <x:f t="shared" si="111"/>
      </x:c>
      <x:c r="AX237" s="122"/>
      <x:c r="AY237" s="177" t="str">
        <x:f t="shared" si="112"/>
      </x:c>
      <x:c r="AZ237" s="178" t="str">
        <x:f t="shared" si="113"/>
      </x:c>
      <x:c r="BA237" s="122"/>
      <x:c r="BB237" s="177" t="str">
        <x:f t="shared" si="114"/>
      </x:c>
      <x:c r="BC237" s="122"/>
      <x:c r="BD237" s="177" t="str">
        <x:f t="shared" si="115"/>
      </x:c>
      <x:c r="BE237" s="178" t="str">
        <x:f t="shared" si="116"/>
      </x:c>
      <x:c r="BF237" s="122"/>
      <x:c r="BG237" s="177" t="str">
        <x:f t="shared" si="117"/>
      </x:c>
      <x:c r="BH237" s="122"/>
      <x:c r="BI237" s="177" t="str">
        <x:f t="shared" si="118"/>
      </x:c>
      <x:c r="BJ237" s="178" t="str">
        <x:f t="shared" si="119"/>
      </x:c>
    </x:row>
    <x:row r="238" ht="19.5" hidden="1" customHeight="1">
      <x:c r="A238" s="169"/>
      <x:c r="B238" s="170"/>
      <x:c r="C238" s="171"/>
      <x:c r="D238" s="172"/>
      <x:c r="E238" s="171"/>
      <x:c r="F238" s="173"/>
      <x:c r="G238" s="174"/>
      <x:c r="H238" s="175"/>
      <x:c r="I238" s="174"/>
      <x:c r="J238" s="176"/>
      <x:c r="K238" s="233"/>
      <x:c r="L238" s="233"/>
      <x:c r="M238" s="122"/>
      <x:c r="N238" s="177" t="str">
        <x:f t="shared" si="90"/>
      </x:c>
      <x:c r="O238" s="122"/>
      <x:c r="P238" s="177" t="str">
        <x:f t="shared" si="91"/>
      </x:c>
      <x:c r="Q238" s="178" t="str">
        <x:f t="shared" si="92"/>
      </x:c>
      <x:c r="R238" s="122"/>
      <x:c r="S238" s="177" t="str">
        <x:f t="shared" si="93"/>
      </x:c>
      <x:c r="T238" s="122"/>
      <x:c r="U238" s="177" t="str">
        <x:f t="shared" si="94"/>
      </x:c>
      <x:c r="V238" s="178" t="str">
        <x:f t="shared" si="95"/>
      </x:c>
      <x:c r="W238" s="122"/>
      <x:c r="X238" s="177" t="str">
        <x:f t="shared" si="96"/>
      </x:c>
      <x:c r="Y238" s="122"/>
      <x:c r="Z238" s="177" t="str">
        <x:f t="shared" si="97"/>
      </x:c>
      <x:c r="AA238" s="178" t="str">
        <x:f t="shared" si="98"/>
      </x:c>
      <x:c r="AB238" s="122"/>
      <x:c r="AC238" s="177" t="str">
        <x:f t="shared" si="99"/>
      </x:c>
      <x:c r="AD238" s="122"/>
      <x:c r="AE238" s="177" t="str">
        <x:f t="shared" si="100"/>
      </x:c>
      <x:c r="AF238" s="178" t="str">
        <x:f t="shared" si="101"/>
      </x:c>
      <x:c r="AG238" s="122"/>
      <x:c r="AH238" s="177" t="str">
        <x:f t="shared" si="102"/>
      </x:c>
      <x:c r="AI238" s="122"/>
      <x:c r="AJ238" s="177" t="str">
        <x:f t="shared" si="103"/>
      </x:c>
      <x:c r="AK238" s="178" t="str">
        <x:f t="shared" si="104"/>
      </x:c>
      <x:c r="AL238" s="122"/>
      <x:c r="AM238" s="177" t="str">
        <x:f t="shared" si="105"/>
      </x:c>
      <x:c r="AN238" s="122"/>
      <x:c r="AO238" s="177" t="str">
        <x:f t="shared" si="106"/>
      </x:c>
      <x:c r="AP238" s="178" t="str">
        <x:f t="shared" si="107"/>
      </x:c>
      <x:c r="AQ238" s="122"/>
      <x:c r="AR238" s="177" t="str">
        <x:f t="shared" si="108"/>
      </x:c>
      <x:c r="AS238" s="122"/>
      <x:c r="AT238" s="177" t="str">
        <x:f t="shared" si="109"/>
      </x:c>
      <x:c r="AU238" s="178" t="str">
        <x:f t="shared" si="110"/>
      </x:c>
      <x:c r="AV238" s="122"/>
      <x:c r="AW238" s="177" t="str">
        <x:f t="shared" si="111"/>
      </x:c>
      <x:c r="AX238" s="122"/>
      <x:c r="AY238" s="177" t="str">
        <x:f t="shared" si="112"/>
      </x:c>
      <x:c r="AZ238" s="178" t="str">
        <x:f t="shared" si="113"/>
      </x:c>
      <x:c r="BA238" s="122"/>
      <x:c r="BB238" s="177" t="str">
        <x:f t="shared" si="114"/>
      </x:c>
      <x:c r="BC238" s="122"/>
      <x:c r="BD238" s="177" t="str">
        <x:f t="shared" si="115"/>
      </x:c>
      <x:c r="BE238" s="178" t="str">
        <x:f t="shared" si="116"/>
      </x:c>
      <x:c r="BF238" s="122"/>
      <x:c r="BG238" s="177" t="str">
        <x:f t="shared" si="117"/>
      </x:c>
      <x:c r="BH238" s="122"/>
      <x:c r="BI238" s="177" t="str">
        <x:f t="shared" si="118"/>
      </x:c>
      <x:c r="BJ238" s="178" t="str">
        <x:f t="shared" si="119"/>
      </x:c>
    </x:row>
    <x:row r="239" ht="19.5" hidden="1" customHeight="1">
      <x:c r="A239" s="160"/>
      <x:c r="B239" s="179"/>
      <x:c r="C239" s="171"/>
      <x:c r="D239" s="172"/>
      <x:c r="E239" s="171"/>
      <x:c r="F239" s="173"/>
      <x:c r="G239" s="174"/>
      <x:c r="H239" s="175"/>
      <x:c r="I239" s="174"/>
      <x:c r="J239" s="176"/>
      <x:c r="K239" s="233"/>
      <x:c r="L239" s="233"/>
      <x:c r="M239" s="122"/>
      <x:c r="N239" s="177" t="str">
        <x:f t="shared" si="90"/>
      </x:c>
      <x:c r="O239" s="122"/>
      <x:c r="P239" s="177" t="str">
        <x:f t="shared" si="91"/>
      </x:c>
      <x:c r="Q239" s="178" t="str">
        <x:f t="shared" si="92"/>
      </x:c>
      <x:c r="R239" s="122"/>
      <x:c r="S239" s="177" t="str">
        <x:f t="shared" si="93"/>
      </x:c>
      <x:c r="T239" s="122"/>
      <x:c r="U239" s="177" t="str">
        <x:f t="shared" si="94"/>
      </x:c>
      <x:c r="V239" s="178" t="str">
        <x:f t="shared" si="95"/>
      </x:c>
      <x:c r="W239" s="122"/>
      <x:c r="X239" s="177" t="str">
        <x:f t="shared" si="96"/>
      </x:c>
      <x:c r="Y239" s="122"/>
      <x:c r="Z239" s="177" t="str">
        <x:f t="shared" si="97"/>
      </x:c>
      <x:c r="AA239" s="178" t="str">
        <x:f t="shared" si="98"/>
      </x:c>
      <x:c r="AB239" s="122"/>
      <x:c r="AC239" s="177" t="str">
        <x:f t="shared" si="99"/>
      </x:c>
      <x:c r="AD239" s="122"/>
      <x:c r="AE239" s="177" t="str">
        <x:f t="shared" si="100"/>
      </x:c>
      <x:c r="AF239" s="178" t="str">
        <x:f t="shared" si="101"/>
      </x:c>
      <x:c r="AG239" s="122"/>
      <x:c r="AH239" s="177" t="str">
        <x:f t="shared" si="102"/>
      </x:c>
      <x:c r="AI239" s="122"/>
      <x:c r="AJ239" s="177" t="str">
        <x:f t="shared" si="103"/>
      </x:c>
      <x:c r="AK239" s="178" t="str">
        <x:f t="shared" si="104"/>
      </x:c>
      <x:c r="AL239" s="122"/>
      <x:c r="AM239" s="177" t="str">
        <x:f t="shared" si="105"/>
      </x:c>
      <x:c r="AN239" s="122"/>
      <x:c r="AO239" s="177" t="str">
        <x:f t="shared" si="106"/>
      </x:c>
      <x:c r="AP239" s="178" t="str">
        <x:f t="shared" si="107"/>
      </x:c>
      <x:c r="AQ239" s="122"/>
      <x:c r="AR239" s="177" t="str">
        <x:f t="shared" si="108"/>
      </x:c>
      <x:c r="AS239" s="122"/>
      <x:c r="AT239" s="177" t="str">
        <x:f t="shared" si="109"/>
      </x:c>
      <x:c r="AU239" s="178" t="str">
        <x:f t="shared" si="110"/>
      </x:c>
      <x:c r="AV239" s="122"/>
      <x:c r="AW239" s="177" t="str">
        <x:f t="shared" si="111"/>
      </x:c>
      <x:c r="AX239" s="122"/>
      <x:c r="AY239" s="177" t="str">
        <x:f t="shared" si="112"/>
      </x:c>
      <x:c r="AZ239" s="178" t="str">
        <x:f t="shared" si="113"/>
      </x:c>
      <x:c r="BA239" s="122"/>
      <x:c r="BB239" s="177" t="str">
        <x:f t="shared" si="114"/>
      </x:c>
      <x:c r="BC239" s="122"/>
      <x:c r="BD239" s="177" t="str">
        <x:f t="shared" si="115"/>
      </x:c>
      <x:c r="BE239" s="178" t="str">
        <x:f t="shared" si="116"/>
      </x:c>
      <x:c r="BF239" s="122"/>
      <x:c r="BG239" s="177" t="str">
        <x:f t="shared" si="117"/>
      </x:c>
      <x:c r="BH239" s="122"/>
      <x:c r="BI239" s="177" t="str">
        <x:f t="shared" si="118"/>
      </x:c>
      <x:c r="BJ239" s="178" t="str">
        <x:f t="shared" si="119"/>
      </x:c>
    </x:row>
    <x:row r="240" ht="19.5" hidden="1" customHeight="1">
      <x:c r="A240" s="169"/>
      <x:c r="B240" s="170"/>
      <x:c r="C240" s="171"/>
      <x:c r="D240" s="172"/>
      <x:c r="E240" s="171"/>
      <x:c r="F240" s="173"/>
      <x:c r="G240" s="174"/>
      <x:c r="H240" s="175"/>
      <x:c r="I240" s="174"/>
      <x:c r="J240" s="176"/>
      <x:c r="K240" s="233"/>
      <x:c r="L240" s="233"/>
      <x:c r="M240" s="122"/>
      <x:c r="N240" s="177" t="str">
        <x:f t="shared" si="90"/>
      </x:c>
      <x:c r="O240" s="122"/>
      <x:c r="P240" s="177" t="str">
        <x:f t="shared" si="91"/>
      </x:c>
      <x:c r="Q240" s="178" t="str">
        <x:f t="shared" si="92"/>
      </x:c>
      <x:c r="R240" s="122"/>
      <x:c r="S240" s="177" t="str">
        <x:f t="shared" si="93"/>
      </x:c>
      <x:c r="T240" s="122"/>
      <x:c r="U240" s="177" t="str">
        <x:f t="shared" si="94"/>
      </x:c>
      <x:c r="V240" s="178" t="str">
        <x:f t="shared" si="95"/>
      </x:c>
      <x:c r="W240" s="122"/>
      <x:c r="X240" s="177" t="str">
        <x:f t="shared" si="96"/>
      </x:c>
      <x:c r="Y240" s="122"/>
      <x:c r="Z240" s="177" t="str">
        <x:f t="shared" si="97"/>
      </x:c>
      <x:c r="AA240" s="178" t="str">
        <x:f t="shared" si="98"/>
      </x:c>
      <x:c r="AB240" s="122"/>
      <x:c r="AC240" s="177" t="str">
        <x:f t="shared" si="99"/>
      </x:c>
      <x:c r="AD240" s="122"/>
      <x:c r="AE240" s="177" t="str">
        <x:f t="shared" si="100"/>
      </x:c>
      <x:c r="AF240" s="178" t="str">
        <x:f t="shared" si="101"/>
      </x:c>
      <x:c r="AG240" s="122"/>
      <x:c r="AH240" s="177" t="str">
        <x:f t="shared" si="102"/>
      </x:c>
      <x:c r="AI240" s="122"/>
      <x:c r="AJ240" s="177" t="str">
        <x:f t="shared" si="103"/>
      </x:c>
      <x:c r="AK240" s="178" t="str">
        <x:f t="shared" si="104"/>
      </x:c>
      <x:c r="AL240" s="122"/>
      <x:c r="AM240" s="177" t="str">
        <x:f t="shared" si="105"/>
      </x:c>
      <x:c r="AN240" s="122"/>
      <x:c r="AO240" s="177" t="str">
        <x:f t="shared" si="106"/>
      </x:c>
      <x:c r="AP240" s="178" t="str">
        <x:f t="shared" si="107"/>
      </x:c>
      <x:c r="AQ240" s="122"/>
      <x:c r="AR240" s="177" t="str">
        <x:f t="shared" si="108"/>
      </x:c>
      <x:c r="AS240" s="122"/>
      <x:c r="AT240" s="177" t="str">
        <x:f t="shared" si="109"/>
      </x:c>
      <x:c r="AU240" s="178" t="str">
        <x:f t="shared" si="110"/>
      </x:c>
      <x:c r="AV240" s="122"/>
      <x:c r="AW240" s="177" t="str">
        <x:f t="shared" si="111"/>
      </x:c>
      <x:c r="AX240" s="122"/>
      <x:c r="AY240" s="177" t="str">
        <x:f t="shared" si="112"/>
      </x:c>
      <x:c r="AZ240" s="178" t="str">
        <x:f t="shared" si="113"/>
      </x:c>
      <x:c r="BA240" s="122"/>
      <x:c r="BB240" s="177" t="str">
        <x:f t="shared" si="114"/>
      </x:c>
      <x:c r="BC240" s="122"/>
      <x:c r="BD240" s="177" t="str">
        <x:f t="shared" si="115"/>
      </x:c>
      <x:c r="BE240" s="178" t="str">
        <x:f t="shared" si="116"/>
      </x:c>
      <x:c r="BF240" s="122"/>
      <x:c r="BG240" s="177" t="str">
        <x:f t="shared" si="117"/>
      </x:c>
      <x:c r="BH240" s="122"/>
      <x:c r="BI240" s="177" t="str">
        <x:f t="shared" si="118"/>
      </x:c>
      <x:c r="BJ240" s="178" t="str">
        <x:f t="shared" si="119"/>
      </x:c>
    </x:row>
    <x:row r="241" ht="19.5" hidden="1" customHeight="1">
      <x:c r="A241" s="160"/>
      <x:c r="B241" s="179"/>
      <x:c r="C241" s="171"/>
      <x:c r="D241" s="172"/>
      <x:c r="E241" s="171"/>
      <x:c r="F241" s="173"/>
      <x:c r="G241" s="174"/>
      <x:c r="H241" s="175"/>
      <x:c r="I241" s="174"/>
      <x:c r="J241" s="176"/>
      <x:c r="K241" s="233"/>
      <x:c r="L241" s="233"/>
      <x:c r="M241" s="122"/>
      <x:c r="N241" s="177" t="str">
        <x:f t="shared" si="90"/>
      </x:c>
      <x:c r="O241" s="122"/>
      <x:c r="P241" s="177" t="str">
        <x:f t="shared" si="91"/>
      </x:c>
      <x:c r="Q241" s="178" t="str">
        <x:f t="shared" si="92"/>
      </x:c>
      <x:c r="R241" s="122"/>
      <x:c r="S241" s="177" t="str">
        <x:f t="shared" si="93"/>
      </x:c>
      <x:c r="T241" s="122"/>
      <x:c r="U241" s="177" t="str">
        <x:f t="shared" si="94"/>
      </x:c>
      <x:c r="V241" s="178" t="str">
        <x:f t="shared" si="95"/>
      </x:c>
      <x:c r="W241" s="122"/>
      <x:c r="X241" s="177" t="str">
        <x:f t="shared" si="96"/>
      </x:c>
      <x:c r="Y241" s="122"/>
      <x:c r="Z241" s="177" t="str">
        <x:f t="shared" si="97"/>
      </x:c>
      <x:c r="AA241" s="178" t="str">
        <x:f t="shared" si="98"/>
      </x:c>
      <x:c r="AB241" s="122"/>
      <x:c r="AC241" s="177" t="str">
        <x:f t="shared" si="99"/>
      </x:c>
      <x:c r="AD241" s="122"/>
      <x:c r="AE241" s="177" t="str">
        <x:f t="shared" si="100"/>
      </x:c>
      <x:c r="AF241" s="178" t="str">
        <x:f t="shared" si="101"/>
      </x:c>
      <x:c r="AG241" s="122"/>
      <x:c r="AH241" s="177" t="str">
        <x:f t="shared" si="102"/>
      </x:c>
      <x:c r="AI241" s="122"/>
      <x:c r="AJ241" s="177" t="str">
        <x:f t="shared" si="103"/>
      </x:c>
      <x:c r="AK241" s="178" t="str">
        <x:f t="shared" si="104"/>
      </x:c>
      <x:c r="AL241" s="122"/>
      <x:c r="AM241" s="177" t="str">
        <x:f t="shared" si="105"/>
      </x:c>
      <x:c r="AN241" s="122"/>
      <x:c r="AO241" s="177" t="str">
        <x:f t="shared" si="106"/>
      </x:c>
      <x:c r="AP241" s="178" t="str">
        <x:f t="shared" si="107"/>
      </x:c>
      <x:c r="AQ241" s="122"/>
      <x:c r="AR241" s="177" t="str">
        <x:f t="shared" si="108"/>
      </x:c>
      <x:c r="AS241" s="122"/>
      <x:c r="AT241" s="177" t="str">
        <x:f t="shared" si="109"/>
      </x:c>
      <x:c r="AU241" s="178" t="str">
        <x:f t="shared" si="110"/>
      </x:c>
      <x:c r="AV241" s="122"/>
      <x:c r="AW241" s="177" t="str">
        <x:f t="shared" si="111"/>
      </x:c>
      <x:c r="AX241" s="122"/>
      <x:c r="AY241" s="177" t="str">
        <x:f t="shared" si="112"/>
      </x:c>
      <x:c r="AZ241" s="178" t="str">
        <x:f t="shared" si="113"/>
      </x:c>
      <x:c r="BA241" s="122"/>
      <x:c r="BB241" s="177" t="str">
        <x:f t="shared" si="114"/>
      </x:c>
      <x:c r="BC241" s="122"/>
      <x:c r="BD241" s="177" t="str">
        <x:f t="shared" si="115"/>
      </x:c>
      <x:c r="BE241" s="178" t="str">
        <x:f t="shared" si="116"/>
      </x:c>
      <x:c r="BF241" s="122"/>
      <x:c r="BG241" s="177" t="str">
        <x:f t="shared" si="117"/>
      </x:c>
      <x:c r="BH241" s="122"/>
      <x:c r="BI241" s="177" t="str">
        <x:f t="shared" si="118"/>
      </x:c>
      <x:c r="BJ241" s="178" t="str">
        <x:f t="shared" si="119"/>
      </x:c>
    </x:row>
    <x:row r="242" ht="19.5" hidden="1" customHeight="1">
      <x:c r="A242" s="169"/>
      <x:c r="B242" s="170"/>
      <x:c r="C242" s="171"/>
      <x:c r="D242" s="172"/>
      <x:c r="E242" s="171"/>
      <x:c r="F242" s="173"/>
      <x:c r="G242" s="174"/>
      <x:c r="H242" s="175"/>
      <x:c r="I242" s="174"/>
      <x:c r="J242" s="176"/>
      <x:c r="K242" s="233"/>
      <x:c r="L242" s="233"/>
      <x:c r="M242" s="122"/>
      <x:c r="N242" s="177" t="str">
        <x:f t="shared" si="90"/>
      </x:c>
      <x:c r="O242" s="122"/>
      <x:c r="P242" s="177" t="str">
        <x:f t="shared" si="91"/>
      </x:c>
      <x:c r="Q242" s="178" t="str">
        <x:f t="shared" si="92"/>
      </x:c>
      <x:c r="R242" s="122"/>
      <x:c r="S242" s="177" t="str">
        <x:f t="shared" si="93"/>
      </x:c>
      <x:c r="T242" s="122"/>
      <x:c r="U242" s="177" t="str">
        <x:f t="shared" si="94"/>
      </x:c>
      <x:c r="V242" s="178" t="str">
        <x:f t="shared" si="95"/>
      </x:c>
      <x:c r="W242" s="122"/>
      <x:c r="X242" s="177" t="str">
        <x:f t="shared" si="96"/>
      </x:c>
      <x:c r="Y242" s="122"/>
      <x:c r="Z242" s="177" t="str">
        <x:f t="shared" si="97"/>
      </x:c>
      <x:c r="AA242" s="178" t="str">
        <x:f t="shared" si="98"/>
      </x:c>
      <x:c r="AB242" s="122"/>
      <x:c r="AC242" s="177" t="str">
        <x:f t="shared" si="99"/>
      </x:c>
      <x:c r="AD242" s="122"/>
      <x:c r="AE242" s="177" t="str">
        <x:f t="shared" si="100"/>
      </x:c>
      <x:c r="AF242" s="178" t="str">
        <x:f t="shared" si="101"/>
      </x:c>
      <x:c r="AG242" s="122"/>
      <x:c r="AH242" s="177" t="str">
        <x:f t="shared" si="102"/>
      </x:c>
      <x:c r="AI242" s="122"/>
      <x:c r="AJ242" s="177" t="str">
        <x:f t="shared" si="103"/>
      </x:c>
      <x:c r="AK242" s="178" t="str">
        <x:f t="shared" si="104"/>
      </x:c>
      <x:c r="AL242" s="122"/>
      <x:c r="AM242" s="177" t="str">
        <x:f t="shared" si="105"/>
      </x:c>
      <x:c r="AN242" s="122"/>
      <x:c r="AO242" s="177" t="str">
        <x:f t="shared" si="106"/>
      </x:c>
      <x:c r="AP242" s="178" t="str">
        <x:f t="shared" si="107"/>
      </x:c>
      <x:c r="AQ242" s="122"/>
      <x:c r="AR242" s="177" t="str">
        <x:f t="shared" si="108"/>
      </x:c>
      <x:c r="AS242" s="122"/>
      <x:c r="AT242" s="177" t="str">
        <x:f t="shared" si="109"/>
      </x:c>
      <x:c r="AU242" s="178" t="str">
        <x:f t="shared" si="110"/>
      </x:c>
      <x:c r="AV242" s="122"/>
      <x:c r="AW242" s="177" t="str">
        <x:f t="shared" si="111"/>
      </x:c>
      <x:c r="AX242" s="122"/>
      <x:c r="AY242" s="177" t="str">
        <x:f t="shared" si="112"/>
      </x:c>
      <x:c r="AZ242" s="178" t="str">
        <x:f t="shared" si="113"/>
      </x:c>
      <x:c r="BA242" s="122"/>
      <x:c r="BB242" s="177" t="str">
        <x:f t="shared" si="114"/>
      </x:c>
      <x:c r="BC242" s="122"/>
      <x:c r="BD242" s="177" t="str">
        <x:f t="shared" si="115"/>
      </x:c>
      <x:c r="BE242" s="178" t="str">
        <x:f t="shared" si="116"/>
      </x:c>
      <x:c r="BF242" s="122"/>
      <x:c r="BG242" s="177" t="str">
        <x:f t="shared" si="117"/>
      </x:c>
      <x:c r="BH242" s="122"/>
      <x:c r="BI242" s="177" t="str">
        <x:f t="shared" si="118"/>
      </x:c>
      <x:c r="BJ242" s="178" t="str">
        <x:f t="shared" si="119"/>
      </x:c>
    </x:row>
    <x:row r="243" ht="19.5" hidden="1" customHeight="1">
      <x:c r="A243" s="160"/>
      <x:c r="B243" s="179"/>
      <x:c r="C243" s="171"/>
      <x:c r="D243" s="172"/>
      <x:c r="E243" s="171"/>
      <x:c r="F243" s="173"/>
      <x:c r="G243" s="174"/>
      <x:c r="H243" s="175"/>
      <x:c r="I243" s="174"/>
      <x:c r="J243" s="176"/>
      <x:c r="K243" s="233"/>
      <x:c r="L243" s="233"/>
      <x:c r="M243" s="122"/>
      <x:c r="N243" s="177" t="str">
        <x:f t="shared" si="90"/>
      </x:c>
      <x:c r="O243" s="122"/>
      <x:c r="P243" s="177" t="str">
        <x:f t="shared" si="91"/>
      </x:c>
      <x:c r="Q243" s="178" t="str">
        <x:f t="shared" si="92"/>
      </x:c>
      <x:c r="R243" s="122"/>
      <x:c r="S243" s="177" t="str">
        <x:f t="shared" si="93"/>
      </x:c>
      <x:c r="T243" s="122"/>
      <x:c r="U243" s="177" t="str">
        <x:f t="shared" si="94"/>
      </x:c>
      <x:c r="V243" s="178" t="str">
        <x:f t="shared" si="95"/>
      </x:c>
      <x:c r="W243" s="122"/>
      <x:c r="X243" s="177" t="str">
        <x:f t="shared" si="96"/>
      </x:c>
      <x:c r="Y243" s="122"/>
      <x:c r="Z243" s="177" t="str">
        <x:f t="shared" si="97"/>
      </x:c>
      <x:c r="AA243" s="178" t="str">
        <x:f t="shared" si="98"/>
      </x:c>
      <x:c r="AB243" s="122"/>
      <x:c r="AC243" s="177" t="str">
        <x:f t="shared" si="99"/>
      </x:c>
      <x:c r="AD243" s="122"/>
      <x:c r="AE243" s="177" t="str">
        <x:f t="shared" si="100"/>
      </x:c>
      <x:c r="AF243" s="178" t="str">
        <x:f t="shared" si="101"/>
      </x:c>
      <x:c r="AG243" s="122"/>
      <x:c r="AH243" s="177" t="str">
        <x:f t="shared" si="102"/>
      </x:c>
      <x:c r="AI243" s="122"/>
      <x:c r="AJ243" s="177" t="str">
        <x:f t="shared" si="103"/>
      </x:c>
      <x:c r="AK243" s="178" t="str">
        <x:f t="shared" si="104"/>
      </x:c>
      <x:c r="AL243" s="122"/>
      <x:c r="AM243" s="177" t="str">
        <x:f t="shared" si="105"/>
      </x:c>
      <x:c r="AN243" s="122"/>
      <x:c r="AO243" s="177" t="str">
        <x:f t="shared" si="106"/>
      </x:c>
      <x:c r="AP243" s="178" t="str">
        <x:f t="shared" si="107"/>
      </x:c>
      <x:c r="AQ243" s="122"/>
      <x:c r="AR243" s="177" t="str">
        <x:f t="shared" si="108"/>
      </x:c>
      <x:c r="AS243" s="122"/>
      <x:c r="AT243" s="177" t="str">
        <x:f t="shared" si="109"/>
      </x:c>
      <x:c r="AU243" s="178" t="str">
        <x:f t="shared" si="110"/>
      </x:c>
      <x:c r="AV243" s="122"/>
      <x:c r="AW243" s="177" t="str">
        <x:f t="shared" si="111"/>
      </x:c>
      <x:c r="AX243" s="122"/>
      <x:c r="AY243" s="177" t="str">
        <x:f t="shared" si="112"/>
      </x:c>
      <x:c r="AZ243" s="178" t="str">
        <x:f t="shared" si="113"/>
      </x:c>
      <x:c r="BA243" s="122"/>
      <x:c r="BB243" s="177" t="str">
        <x:f t="shared" si="114"/>
      </x:c>
      <x:c r="BC243" s="122"/>
      <x:c r="BD243" s="177" t="str">
        <x:f t="shared" si="115"/>
      </x:c>
      <x:c r="BE243" s="178" t="str">
        <x:f t="shared" si="116"/>
      </x:c>
      <x:c r="BF243" s="122"/>
      <x:c r="BG243" s="177" t="str">
        <x:f t="shared" si="117"/>
      </x:c>
      <x:c r="BH243" s="122"/>
      <x:c r="BI243" s="177" t="str">
        <x:f t="shared" si="118"/>
      </x:c>
      <x:c r="BJ243" s="178" t="str">
        <x:f t="shared" si="119"/>
      </x:c>
    </x:row>
    <x:row r="244" ht="19.5" hidden="1" customHeight="1">
      <x:c r="A244" s="169"/>
      <x:c r="B244" s="170"/>
      <x:c r="C244" s="171"/>
      <x:c r="D244" s="172"/>
      <x:c r="E244" s="171"/>
      <x:c r="F244" s="173"/>
      <x:c r="G244" s="174"/>
      <x:c r="H244" s="175"/>
      <x:c r="I244" s="174"/>
      <x:c r="J244" s="176"/>
      <x:c r="K244" s="233"/>
      <x:c r="L244" s="233"/>
      <x:c r="M244" s="122"/>
      <x:c r="N244" s="177" t="str">
        <x:f t="shared" si="90"/>
      </x:c>
      <x:c r="O244" s="122"/>
      <x:c r="P244" s="177" t="str">
        <x:f t="shared" si="91"/>
      </x:c>
      <x:c r="Q244" s="178" t="str">
        <x:f t="shared" si="92"/>
      </x:c>
      <x:c r="R244" s="122"/>
      <x:c r="S244" s="177" t="str">
        <x:f t="shared" si="93"/>
      </x:c>
      <x:c r="T244" s="122"/>
      <x:c r="U244" s="177" t="str">
        <x:f t="shared" si="94"/>
      </x:c>
      <x:c r="V244" s="178" t="str">
        <x:f t="shared" si="95"/>
      </x:c>
      <x:c r="W244" s="122"/>
      <x:c r="X244" s="177" t="str">
        <x:f t="shared" si="96"/>
      </x:c>
      <x:c r="Y244" s="122"/>
      <x:c r="Z244" s="177" t="str">
        <x:f t="shared" si="97"/>
      </x:c>
      <x:c r="AA244" s="178" t="str">
        <x:f t="shared" si="98"/>
      </x:c>
      <x:c r="AB244" s="122"/>
      <x:c r="AC244" s="177" t="str">
        <x:f t="shared" si="99"/>
      </x:c>
      <x:c r="AD244" s="122"/>
      <x:c r="AE244" s="177" t="str">
        <x:f t="shared" si="100"/>
      </x:c>
      <x:c r="AF244" s="178" t="str">
        <x:f t="shared" si="101"/>
      </x:c>
      <x:c r="AG244" s="122"/>
      <x:c r="AH244" s="177" t="str">
        <x:f t="shared" si="102"/>
      </x:c>
      <x:c r="AI244" s="122"/>
      <x:c r="AJ244" s="177" t="str">
        <x:f t="shared" si="103"/>
      </x:c>
      <x:c r="AK244" s="178" t="str">
        <x:f t="shared" si="104"/>
      </x:c>
      <x:c r="AL244" s="122"/>
      <x:c r="AM244" s="177" t="str">
        <x:f t="shared" si="105"/>
      </x:c>
      <x:c r="AN244" s="122"/>
      <x:c r="AO244" s="177" t="str">
        <x:f t="shared" si="106"/>
      </x:c>
      <x:c r="AP244" s="178" t="str">
        <x:f t="shared" si="107"/>
      </x:c>
      <x:c r="AQ244" s="122"/>
      <x:c r="AR244" s="177" t="str">
        <x:f t="shared" si="108"/>
      </x:c>
      <x:c r="AS244" s="122"/>
      <x:c r="AT244" s="177" t="str">
        <x:f t="shared" si="109"/>
      </x:c>
      <x:c r="AU244" s="178" t="str">
        <x:f t="shared" si="110"/>
      </x:c>
      <x:c r="AV244" s="122"/>
      <x:c r="AW244" s="177" t="str">
        <x:f t="shared" si="111"/>
      </x:c>
      <x:c r="AX244" s="122"/>
      <x:c r="AY244" s="177" t="str">
        <x:f t="shared" si="112"/>
      </x:c>
      <x:c r="AZ244" s="178" t="str">
        <x:f t="shared" si="113"/>
      </x:c>
      <x:c r="BA244" s="122"/>
      <x:c r="BB244" s="177" t="str">
        <x:f t="shared" si="114"/>
      </x:c>
      <x:c r="BC244" s="122"/>
      <x:c r="BD244" s="177" t="str">
        <x:f t="shared" si="115"/>
      </x:c>
      <x:c r="BE244" s="178" t="str">
        <x:f t="shared" si="116"/>
      </x:c>
      <x:c r="BF244" s="122"/>
      <x:c r="BG244" s="177" t="str">
        <x:f t="shared" si="117"/>
      </x:c>
      <x:c r="BH244" s="122"/>
      <x:c r="BI244" s="177" t="str">
        <x:f t="shared" si="118"/>
      </x:c>
      <x:c r="BJ244" s="178" t="str">
        <x:f t="shared" si="119"/>
      </x:c>
    </x:row>
    <x:row r="245" ht="19.5" hidden="1" customHeight="1">
      <x:c r="A245" s="160"/>
      <x:c r="B245" s="179"/>
      <x:c r="C245" s="171"/>
      <x:c r="D245" s="172"/>
      <x:c r="E245" s="171"/>
      <x:c r="F245" s="173"/>
      <x:c r="G245" s="174"/>
      <x:c r="H245" s="175"/>
      <x:c r="I245" s="174"/>
      <x:c r="J245" s="176"/>
      <x:c r="K245" s="233"/>
      <x:c r="L245" s="233"/>
      <x:c r="M245" s="122"/>
      <x:c r="N245" s="177" t="str">
        <x:f t="shared" si="90"/>
      </x:c>
      <x:c r="O245" s="122"/>
      <x:c r="P245" s="177" t="str">
        <x:f t="shared" si="91"/>
      </x:c>
      <x:c r="Q245" s="178" t="str">
        <x:f t="shared" si="92"/>
      </x:c>
      <x:c r="R245" s="122"/>
      <x:c r="S245" s="177" t="str">
        <x:f t="shared" si="93"/>
      </x:c>
      <x:c r="T245" s="122"/>
      <x:c r="U245" s="177" t="str">
        <x:f t="shared" si="94"/>
      </x:c>
      <x:c r="V245" s="178" t="str">
        <x:f t="shared" si="95"/>
      </x:c>
      <x:c r="W245" s="122"/>
      <x:c r="X245" s="177" t="str">
        <x:f t="shared" si="96"/>
      </x:c>
      <x:c r="Y245" s="122"/>
      <x:c r="Z245" s="177" t="str">
        <x:f t="shared" si="97"/>
      </x:c>
      <x:c r="AA245" s="178" t="str">
        <x:f t="shared" si="98"/>
      </x:c>
      <x:c r="AB245" s="122"/>
      <x:c r="AC245" s="177" t="str">
        <x:f t="shared" si="99"/>
      </x:c>
      <x:c r="AD245" s="122"/>
      <x:c r="AE245" s="177" t="str">
        <x:f t="shared" si="100"/>
      </x:c>
      <x:c r="AF245" s="178" t="str">
        <x:f t="shared" si="101"/>
      </x:c>
      <x:c r="AG245" s="122"/>
      <x:c r="AH245" s="177" t="str">
        <x:f t="shared" si="102"/>
      </x:c>
      <x:c r="AI245" s="122"/>
      <x:c r="AJ245" s="177" t="str">
        <x:f t="shared" si="103"/>
      </x:c>
      <x:c r="AK245" s="178" t="str">
        <x:f t="shared" si="104"/>
      </x:c>
      <x:c r="AL245" s="122"/>
      <x:c r="AM245" s="177" t="str">
        <x:f t="shared" si="105"/>
      </x:c>
      <x:c r="AN245" s="122"/>
      <x:c r="AO245" s="177" t="str">
        <x:f t="shared" si="106"/>
      </x:c>
      <x:c r="AP245" s="178" t="str">
        <x:f t="shared" si="107"/>
      </x:c>
      <x:c r="AQ245" s="122"/>
      <x:c r="AR245" s="177" t="str">
        <x:f t="shared" si="108"/>
      </x:c>
      <x:c r="AS245" s="122"/>
      <x:c r="AT245" s="177" t="str">
        <x:f t="shared" si="109"/>
      </x:c>
      <x:c r="AU245" s="178" t="str">
        <x:f t="shared" si="110"/>
      </x:c>
      <x:c r="AV245" s="122"/>
      <x:c r="AW245" s="177" t="str">
        <x:f t="shared" si="111"/>
      </x:c>
      <x:c r="AX245" s="122"/>
      <x:c r="AY245" s="177" t="str">
        <x:f t="shared" si="112"/>
      </x:c>
      <x:c r="AZ245" s="178" t="str">
        <x:f t="shared" si="113"/>
      </x:c>
      <x:c r="BA245" s="122"/>
      <x:c r="BB245" s="177" t="str">
        <x:f t="shared" si="114"/>
      </x:c>
      <x:c r="BC245" s="122"/>
      <x:c r="BD245" s="177" t="str">
        <x:f t="shared" si="115"/>
      </x:c>
      <x:c r="BE245" s="178" t="str">
        <x:f t="shared" si="116"/>
      </x:c>
      <x:c r="BF245" s="122"/>
      <x:c r="BG245" s="177" t="str">
        <x:f t="shared" si="117"/>
      </x:c>
      <x:c r="BH245" s="122"/>
      <x:c r="BI245" s="177" t="str">
        <x:f t="shared" si="118"/>
      </x:c>
      <x:c r="BJ245" s="178" t="str">
        <x:f t="shared" si="119"/>
      </x:c>
    </x:row>
    <x:row r="246" ht="19.5" hidden="1" customHeight="1">
      <x:c r="A246" s="169"/>
      <x:c r="B246" s="170"/>
      <x:c r="C246" s="171"/>
      <x:c r="D246" s="172"/>
      <x:c r="E246" s="171"/>
      <x:c r="F246" s="173"/>
      <x:c r="G246" s="174"/>
      <x:c r="H246" s="175"/>
      <x:c r="I246" s="174"/>
      <x:c r="J246" s="176"/>
      <x:c r="K246" s="233"/>
      <x:c r="L246" s="233"/>
      <x:c r="M246" s="122"/>
      <x:c r="N246" s="177" t="str">
        <x:f t="shared" si="90"/>
      </x:c>
      <x:c r="O246" s="122"/>
      <x:c r="P246" s="177" t="str">
        <x:f t="shared" si="91"/>
      </x:c>
      <x:c r="Q246" s="178" t="str">
        <x:f t="shared" si="92"/>
      </x:c>
      <x:c r="R246" s="122"/>
      <x:c r="S246" s="177" t="str">
        <x:f t="shared" si="93"/>
      </x:c>
      <x:c r="T246" s="122"/>
      <x:c r="U246" s="177" t="str">
        <x:f t="shared" si="94"/>
      </x:c>
      <x:c r="V246" s="178" t="str">
        <x:f t="shared" si="95"/>
      </x:c>
      <x:c r="W246" s="122"/>
      <x:c r="X246" s="177" t="str">
        <x:f t="shared" si="96"/>
      </x:c>
      <x:c r="Y246" s="122"/>
      <x:c r="Z246" s="177" t="str">
        <x:f t="shared" si="97"/>
      </x:c>
      <x:c r="AA246" s="178" t="str">
        <x:f t="shared" si="98"/>
      </x:c>
      <x:c r="AB246" s="122"/>
      <x:c r="AC246" s="177" t="str">
        <x:f t="shared" si="99"/>
      </x:c>
      <x:c r="AD246" s="122"/>
      <x:c r="AE246" s="177" t="str">
        <x:f t="shared" si="100"/>
      </x:c>
      <x:c r="AF246" s="178" t="str">
        <x:f t="shared" si="101"/>
      </x:c>
      <x:c r="AG246" s="122"/>
      <x:c r="AH246" s="177" t="str">
        <x:f t="shared" si="102"/>
      </x:c>
      <x:c r="AI246" s="122"/>
      <x:c r="AJ246" s="177" t="str">
        <x:f t="shared" si="103"/>
      </x:c>
      <x:c r="AK246" s="178" t="str">
        <x:f t="shared" si="104"/>
      </x:c>
      <x:c r="AL246" s="122"/>
      <x:c r="AM246" s="177" t="str">
        <x:f t="shared" si="105"/>
      </x:c>
      <x:c r="AN246" s="122"/>
      <x:c r="AO246" s="177" t="str">
        <x:f t="shared" si="106"/>
      </x:c>
      <x:c r="AP246" s="178" t="str">
        <x:f t="shared" si="107"/>
      </x:c>
      <x:c r="AQ246" s="122"/>
      <x:c r="AR246" s="177" t="str">
        <x:f t="shared" si="108"/>
      </x:c>
      <x:c r="AS246" s="122"/>
      <x:c r="AT246" s="177" t="str">
        <x:f t="shared" si="109"/>
      </x:c>
      <x:c r="AU246" s="178" t="str">
        <x:f t="shared" si="110"/>
      </x:c>
      <x:c r="AV246" s="122"/>
      <x:c r="AW246" s="177" t="str">
        <x:f t="shared" si="111"/>
      </x:c>
      <x:c r="AX246" s="122"/>
      <x:c r="AY246" s="177" t="str">
        <x:f t="shared" si="112"/>
      </x:c>
      <x:c r="AZ246" s="178" t="str">
        <x:f t="shared" si="113"/>
      </x:c>
      <x:c r="BA246" s="122"/>
      <x:c r="BB246" s="177" t="str">
        <x:f t="shared" si="114"/>
      </x:c>
      <x:c r="BC246" s="122"/>
      <x:c r="BD246" s="177" t="str">
        <x:f t="shared" si="115"/>
      </x:c>
      <x:c r="BE246" s="178" t="str">
        <x:f t="shared" si="116"/>
      </x:c>
      <x:c r="BF246" s="122"/>
      <x:c r="BG246" s="177" t="str">
        <x:f t="shared" si="117"/>
      </x:c>
      <x:c r="BH246" s="122"/>
      <x:c r="BI246" s="177" t="str">
        <x:f t="shared" si="118"/>
      </x:c>
      <x:c r="BJ246" s="178" t="str">
        <x:f t="shared" si="119"/>
      </x:c>
    </x:row>
    <x:row r="247" ht="19.5" hidden="1" customHeight="1">
      <x:c r="A247" s="160"/>
      <x:c r="B247" s="179"/>
      <x:c r="C247" s="171"/>
      <x:c r="D247" s="172"/>
      <x:c r="E247" s="171"/>
      <x:c r="F247" s="173"/>
      <x:c r="G247" s="174"/>
      <x:c r="H247" s="175"/>
      <x:c r="I247" s="174"/>
      <x:c r="J247" s="176"/>
      <x:c r="K247" s="233"/>
      <x:c r="L247" s="233"/>
      <x:c r="M247" s="122"/>
      <x:c r="N247" s="177" t="str">
        <x:f t="shared" si="90"/>
      </x:c>
      <x:c r="O247" s="122"/>
      <x:c r="P247" s="177" t="str">
        <x:f t="shared" si="91"/>
      </x:c>
      <x:c r="Q247" s="178" t="str">
        <x:f t="shared" si="92"/>
      </x:c>
      <x:c r="R247" s="122"/>
      <x:c r="S247" s="177" t="str">
        <x:f t="shared" si="93"/>
      </x:c>
      <x:c r="T247" s="122"/>
      <x:c r="U247" s="177" t="str">
        <x:f t="shared" si="94"/>
      </x:c>
      <x:c r="V247" s="178" t="str">
        <x:f t="shared" si="95"/>
      </x:c>
      <x:c r="W247" s="122"/>
      <x:c r="X247" s="177" t="str">
        <x:f t="shared" si="96"/>
      </x:c>
      <x:c r="Y247" s="122"/>
      <x:c r="Z247" s="177" t="str">
        <x:f t="shared" si="97"/>
      </x:c>
      <x:c r="AA247" s="178" t="str">
        <x:f t="shared" si="98"/>
      </x:c>
      <x:c r="AB247" s="122"/>
      <x:c r="AC247" s="177" t="str">
        <x:f t="shared" si="99"/>
      </x:c>
      <x:c r="AD247" s="122"/>
      <x:c r="AE247" s="177" t="str">
        <x:f t="shared" si="100"/>
      </x:c>
      <x:c r="AF247" s="178" t="str">
        <x:f t="shared" si="101"/>
      </x:c>
      <x:c r="AG247" s="122"/>
      <x:c r="AH247" s="177" t="str">
        <x:f t="shared" si="102"/>
      </x:c>
      <x:c r="AI247" s="122"/>
      <x:c r="AJ247" s="177" t="str">
        <x:f t="shared" si="103"/>
      </x:c>
      <x:c r="AK247" s="178" t="str">
        <x:f t="shared" si="104"/>
      </x:c>
      <x:c r="AL247" s="122"/>
      <x:c r="AM247" s="177" t="str">
        <x:f t="shared" si="105"/>
      </x:c>
      <x:c r="AN247" s="122"/>
      <x:c r="AO247" s="177" t="str">
        <x:f t="shared" si="106"/>
      </x:c>
      <x:c r="AP247" s="178" t="str">
        <x:f t="shared" si="107"/>
      </x:c>
      <x:c r="AQ247" s="122"/>
      <x:c r="AR247" s="177" t="str">
        <x:f t="shared" si="108"/>
      </x:c>
      <x:c r="AS247" s="122"/>
      <x:c r="AT247" s="177" t="str">
        <x:f t="shared" si="109"/>
      </x:c>
      <x:c r="AU247" s="178" t="str">
        <x:f t="shared" si="110"/>
      </x:c>
      <x:c r="AV247" s="122"/>
      <x:c r="AW247" s="177" t="str">
        <x:f t="shared" si="111"/>
      </x:c>
      <x:c r="AX247" s="122"/>
      <x:c r="AY247" s="177" t="str">
        <x:f t="shared" si="112"/>
      </x:c>
      <x:c r="AZ247" s="178" t="str">
        <x:f t="shared" si="113"/>
      </x:c>
      <x:c r="BA247" s="122"/>
      <x:c r="BB247" s="177" t="str">
        <x:f t="shared" si="114"/>
      </x:c>
      <x:c r="BC247" s="122"/>
      <x:c r="BD247" s="177" t="str">
        <x:f t="shared" si="115"/>
      </x:c>
      <x:c r="BE247" s="178" t="str">
        <x:f t="shared" si="116"/>
      </x:c>
      <x:c r="BF247" s="122"/>
      <x:c r="BG247" s="177" t="str">
        <x:f t="shared" si="117"/>
      </x:c>
      <x:c r="BH247" s="122"/>
      <x:c r="BI247" s="177" t="str">
        <x:f t="shared" si="118"/>
      </x:c>
      <x:c r="BJ247" s="178" t="str">
        <x:f t="shared" si="119"/>
      </x:c>
    </x:row>
    <x:row r="248" ht="19.5" hidden="1" customHeight="1">
      <x:c r="A248" s="169"/>
      <x:c r="B248" s="170"/>
      <x:c r="C248" s="171"/>
      <x:c r="D248" s="172"/>
      <x:c r="E248" s="171"/>
      <x:c r="F248" s="173"/>
      <x:c r="G248" s="174"/>
      <x:c r="H248" s="175"/>
      <x:c r="I248" s="174"/>
      <x:c r="J248" s="176"/>
      <x:c r="K248" s="233"/>
      <x:c r="L248" s="233"/>
      <x:c r="M248" s="122"/>
      <x:c r="N248" s="177" t="str">
        <x:f t="shared" si="90"/>
      </x:c>
      <x:c r="O248" s="122"/>
      <x:c r="P248" s="177" t="str">
        <x:f t="shared" si="91"/>
      </x:c>
      <x:c r="Q248" s="178" t="str">
        <x:f t="shared" si="92"/>
      </x:c>
      <x:c r="R248" s="122"/>
      <x:c r="S248" s="177" t="str">
        <x:f t="shared" si="93"/>
      </x:c>
      <x:c r="T248" s="122"/>
      <x:c r="U248" s="177" t="str">
        <x:f t="shared" si="94"/>
      </x:c>
      <x:c r="V248" s="178" t="str">
        <x:f t="shared" si="95"/>
      </x:c>
      <x:c r="W248" s="122"/>
      <x:c r="X248" s="177" t="str">
        <x:f t="shared" si="96"/>
      </x:c>
      <x:c r="Y248" s="122"/>
      <x:c r="Z248" s="177" t="str">
        <x:f t="shared" si="97"/>
      </x:c>
      <x:c r="AA248" s="178" t="str">
        <x:f t="shared" si="98"/>
      </x:c>
      <x:c r="AB248" s="122"/>
      <x:c r="AC248" s="177" t="str">
        <x:f t="shared" si="99"/>
      </x:c>
      <x:c r="AD248" s="122"/>
      <x:c r="AE248" s="177" t="str">
        <x:f t="shared" si="100"/>
      </x:c>
      <x:c r="AF248" s="178" t="str">
        <x:f t="shared" si="101"/>
      </x:c>
      <x:c r="AG248" s="122"/>
      <x:c r="AH248" s="177" t="str">
        <x:f t="shared" si="102"/>
      </x:c>
      <x:c r="AI248" s="122"/>
      <x:c r="AJ248" s="177" t="str">
        <x:f t="shared" si="103"/>
      </x:c>
      <x:c r="AK248" s="178" t="str">
        <x:f t="shared" si="104"/>
      </x:c>
      <x:c r="AL248" s="122"/>
      <x:c r="AM248" s="177" t="str">
        <x:f t="shared" si="105"/>
      </x:c>
      <x:c r="AN248" s="122"/>
      <x:c r="AO248" s="177" t="str">
        <x:f t="shared" si="106"/>
      </x:c>
      <x:c r="AP248" s="178" t="str">
        <x:f t="shared" si="107"/>
      </x:c>
      <x:c r="AQ248" s="122"/>
      <x:c r="AR248" s="177" t="str">
        <x:f t="shared" si="108"/>
      </x:c>
      <x:c r="AS248" s="122"/>
      <x:c r="AT248" s="177" t="str">
        <x:f t="shared" si="109"/>
      </x:c>
      <x:c r="AU248" s="178" t="str">
        <x:f t="shared" si="110"/>
      </x:c>
      <x:c r="AV248" s="122"/>
      <x:c r="AW248" s="177" t="str">
        <x:f t="shared" si="111"/>
      </x:c>
      <x:c r="AX248" s="122"/>
      <x:c r="AY248" s="177" t="str">
        <x:f t="shared" si="112"/>
      </x:c>
      <x:c r="AZ248" s="178" t="str">
        <x:f t="shared" si="113"/>
      </x:c>
      <x:c r="BA248" s="122"/>
      <x:c r="BB248" s="177" t="str">
        <x:f t="shared" si="114"/>
      </x:c>
      <x:c r="BC248" s="122"/>
      <x:c r="BD248" s="177" t="str">
        <x:f t="shared" si="115"/>
      </x:c>
      <x:c r="BE248" s="178" t="str">
        <x:f t="shared" si="116"/>
      </x:c>
      <x:c r="BF248" s="122"/>
      <x:c r="BG248" s="177" t="str">
        <x:f t="shared" si="117"/>
      </x:c>
      <x:c r="BH248" s="122"/>
      <x:c r="BI248" s="177" t="str">
        <x:f t="shared" si="118"/>
      </x:c>
      <x:c r="BJ248" s="178" t="str">
        <x:f t="shared" si="119"/>
      </x:c>
    </x:row>
    <x:row r="249" ht="19.5" hidden="1" customHeight="1">
      <x:c r="A249" s="160"/>
      <x:c r="B249" s="179"/>
      <x:c r="C249" s="171"/>
      <x:c r="D249" s="172"/>
      <x:c r="E249" s="171"/>
      <x:c r="F249" s="173"/>
      <x:c r="G249" s="174"/>
      <x:c r="H249" s="175"/>
      <x:c r="I249" s="174"/>
      <x:c r="J249" s="176"/>
      <x:c r="K249" s="233"/>
      <x:c r="L249" s="233"/>
      <x:c r="M249" s="122"/>
      <x:c r="N249" s="177" t="str">
        <x:f t="shared" si="90"/>
      </x:c>
      <x:c r="O249" s="122"/>
      <x:c r="P249" s="177" t="str">
        <x:f t="shared" si="91"/>
      </x:c>
      <x:c r="Q249" s="178" t="str">
        <x:f t="shared" si="92"/>
      </x:c>
      <x:c r="R249" s="122"/>
      <x:c r="S249" s="177" t="str">
        <x:f t="shared" si="93"/>
      </x:c>
      <x:c r="T249" s="122"/>
      <x:c r="U249" s="177" t="str">
        <x:f t="shared" si="94"/>
      </x:c>
      <x:c r="V249" s="178" t="str">
        <x:f t="shared" si="95"/>
      </x:c>
      <x:c r="W249" s="122"/>
      <x:c r="X249" s="177" t="str">
        <x:f t="shared" si="96"/>
      </x:c>
      <x:c r="Y249" s="122"/>
      <x:c r="Z249" s="177" t="str">
        <x:f t="shared" si="97"/>
      </x:c>
      <x:c r="AA249" s="178" t="str">
        <x:f t="shared" si="98"/>
      </x:c>
      <x:c r="AB249" s="122"/>
      <x:c r="AC249" s="177" t="str">
        <x:f t="shared" si="99"/>
      </x:c>
      <x:c r="AD249" s="122"/>
      <x:c r="AE249" s="177" t="str">
        <x:f t="shared" si="100"/>
      </x:c>
      <x:c r="AF249" s="178" t="str">
        <x:f t="shared" si="101"/>
      </x:c>
      <x:c r="AG249" s="122"/>
      <x:c r="AH249" s="177" t="str">
        <x:f t="shared" si="102"/>
      </x:c>
      <x:c r="AI249" s="122"/>
      <x:c r="AJ249" s="177" t="str">
        <x:f t="shared" si="103"/>
      </x:c>
      <x:c r="AK249" s="178" t="str">
        <x:f t="shared" si="104"/>
      </x:c>
      <x:c r="AL249" s="122"/>
      <x:c r="AM249" s="177" t="str">
        <x:f t="shared" si="105"/>
      </x:c>
      <x:c r="AN249" s="122"/>
      <x:c r="AO249" s="177" t="str">
        <x:f t="shared" si="106"/>
      </x:c>
      <x:c r="AP249" s="178" t="str">
        <x:f t="shared" si="107"/>
      </x:c>
      <x:c r="AQ249" s="122"/>
      <x:c r="AR249" s="177" t="str">
        <x:f t="shared" si="108"/>
      </x:c>
      <x:c r="AS249" s="122"/>
      <x:c r="AT249" s="177" t="str">
        <x:f t="shared" si="109"/>
      </x:c>
      <x:c r="AU249" s="178" t="str">
        <x:f t="shared" si="110"/>
      </x:c>
      <x:c r="AV249" s="122"/>
      <x:c r="AW249" s="177" t="str">
        <x:f t="shared" si="111"/>
      </x:c>
      <x:c r="AX249" s="122"/>
      <x:c r="AY249" s="177" t="str">
        <x:f t="shared" si="112"/>
      </x:c>
      <x:c r="AZ249" s="178" t="str">
        <x:f t="shared" si="113"/>
      </x:c>
      <x:c r="BA249" s="122"/>
      <x:c r="BB249" s="177" t="str">
        <x:f t="shared" si="114"/>
      </x:c>
      <x:c r="BC249" s="122"/>
      <x:c r="BD249" s="177" t="str">
        <x:f t="shared" si="115"/>
      </x:c>
      <x:c r="BE249" s="178" t="str">
        <x:f t="shared" si="116"/>
      </x:c>
      <x:c r="BF249" s="122"/>
      <x:c r="BG249" s="177" t="str">
        <x:f t="shared" si="117"/>
      </x:c>
      <x:c r="BH249" s="122"/>
      <x:c r="BI249" s="177" t="str">
        <x:f t="shared" si="118"/>
      </x:c>
      <x:c r="BJ249" s="178" t="str">
        <x:f t="shared" si="119"/>
      </x:c>
    </x:row>
    <x:row r="250" ht="19.5" hidden="1" customHeight="1">
      <x:c r="A250" s="169"/>
      <x:c r="B250" s="170"/>
      <x:c r="C250" s="171"/>
      <x:c r="D250" s="172"/>
      <x:c r="E250" s="171"/>
      <x:c r="F250" s="173"/>
      <x:c r="G250" s="174"/>
      <x:c r="H250" s="175"/>
      <x:c r="I250" s="174"/>
      <x:c r="J250" s="176"/>
      <x:c r="K250" s="233"/>
      <x:c r="L250" s="233"/>
      <x:c r="M250" s="122"/>
      <x:c r="N250" s="177" t="str">
        <x:f t="shared" si="90"/>
      </x:c>
      <x:c r="O250" s="122"/>
      <x:c r="P250" s="177" t="str">
        <x:f t="shared" si="91"/>
      </x:c>
      <x:c r="Q250" s="178" t="str">
        <x:f t="shared" si="92"/>
      </x:c>
      <x:c r="R250" s="122"/>
      <x:c r="S250" s="177" t="str">
        <x:f t="shared" si="93"/>
      </x:c>
      <x:c r="T250" s="122"/>
      <x:c r="U250" s="177" t="str">
        <x:f t="shared" si="94"/>
      </x:c>
      <x:c r="V250" s="178" t="str">
        <x:f t="shared" si="95"/>
      </x:c>
      <x:c r="W250" s="122"/>
      <x:c r="X250" s="177" t="str">
        <x:f t="shared" si="96"/>
      </x:c>
      <x:c r="Y250" s="122"/>
      <x:c r="Z250" s="177" t="str">
        <x:f t="shared" si="97"/>
      </x:c>
      <x:c r="AA250" s="178" t="str">
        <x:f t="shared" si="98"/>
      </x:c>
      <x:c r="AB250" s="122"/>
      <x:c r="AC250" s="177" t="str">
        <x:f t="shared" si="99"/>
      </x:c>
      <x:c r="AD250" s="122"/>
      <x:c r="AE250" s="177" t="str">
        <x:f t="shared" si="100"/>
      </x:c>
      <x:c r="AF250" s="178" t="str">
        <x:f t="shared" si="101"/>
      </x:c>
      <x:c r="AG250" s="122"/>
      <x:c r="AH250" s="177" t="str">
        <x:f t="shared" si="102"/>
      </x:c>
      <x:c r="AI250" s="122"/>
      <x:c r="AJ250" s="177" t="str">
        <x:f t="shared" si="103"/>
      </x:c>
      <x:c r="AK250" s="178" t="str">
        <x:f t="shared" si="104"/>
      </x:c>
      <x:c r="AL250" s="122"/>
      <x:c r="AM250" s="177" t="str">
        <x:f t="shared" si="105"/>
      </x:c>
      <x:c r="AN250" s="122"/>
      <x:c r="AO250" s="177" t="str">
        <x:f t="shared" si="106"/>
      </x:c>
      <x:c r="AP250" s="178" t="str">
        <x:f t="shared" si="107"/>
      </x:c>
      <x:c r="AQ250" s="122"/>
      <x:c r="AR250" s="177" t="str">
        <x:f t="shared" si="108"/>
      </x:c>
      <x:c r="AS250" s="122"/>
      <x:c r="AT250" s="177" t="str">
        <x:f t="shared" si="109"/>
      </x:c>
      <x:c r="AU250" s="178" t="str">
        <x:f t="shared" si="110"/>
      </x:c>
      <x:c r="AV250" s="122"/>
      <x:c r="AW250" s="177" t="str">
        <x:f t="shared" si="111"/>
      </x:c>
      <x:c r="AX250" s="122"/>
      <x:c r="AY250" s="177" t="str">
        <x:f t="shared" si="112"/>
      </x:c>
      <x:c r="AZ250" s="178" t="str">
        <x:f t="shared" si="113"/>
      </x:c>
      <x:c r="BA250" s="122"/>
      <x:c r="BB250" s="177" t="str">
        <x:f t="shared" si="114"/>
      </x:c>
      <x:c r="BC250" s="122"/>
      <x:c r="BD250" s="177" t="str">
        <x:f t="shared" si="115"/>
      </x:c>
      <x:c r="BE250" s="178" t="str">
        <x:f t="shared" si="116"/>
      </x:c>
      <x:c r="BF250" s="122"/>
      <x:c r="BG250" s="177" t="str">
        <x:f t="shared" si="117"/>
      </x:c>
      <x:c r="BH250" s="122"/>
      <x:c r="BI250" s="177" t="str">
        <x:f t="shared" si="118"/>
      </x:c>
      <x:c r="BJ250" s="178" t="str">
        <x:f t="shared" si="119"/>
      </x:c>
    </x:row>
    <x:row r="251" ht="19.5" hidden="1" customHeight="1">
      <x:c r="A251" s="160"/>
      <x:c r="B251" s="179"/>
      <x:c r="C251" s="171"/>
      <x:c r="D251" s="172"/>
      <x:c r="E251" s="171"/>
      <x:c r="F251" s="173"/>
      <x:c r="G251" s="174"/>
      <x:c r="H251" s="175"/>
      <x:c r="I251" s="174"/>
      <x:c r="J251" s="176"/>
      <x:c r="K251" s="233"/>
      <x:c r="L251" s="233"/>
      <x:c r="M251" s="122"/>
      <x:c r="N251" s="177" t="str">
        <x:f t="shared" si="90"/>
      </x:c>
      <x:c r="O251" s="122"/>
      <x:c r="P251" s="177" t="str">
        <x:f t="shared" si="91"/>
      </x:c>
      <x:c r="Q251" s="178" t="str">
        <x:f t="shared" si="92"/>
      </x:c>
      <x:c r="R251" s="122"/>
      <x:c r="S251" s="177" t="str">
        <x:f t="shared" si="93"/>
      </x:c>
      <x:c r="T251" s="122"/>
      <x:c r="U251" s="177" t="str">
        <x:f t="shared" si="94"/>
      </x:c>
      <x:c r="V251" s="178" t="str">
        <x:f t="shared" si="95"/>
      </x:c>
      <x:c r="W251" s="122"/>
      <x:c r="X251" s="177" t="str">
        <x:f t="shared" si="96"/>
      </x:c>
      <x:c r="Y251" s="122"/>
      <x:c r="Z251" s="177" t="str">
        <x:f t="shared" si="97"/>
      </x:c>
      <x:c r="AA251" s="178" t="str">
        <x:f t="shared" si="98"/>
      </x:c>
      <x:c r="AB251" s="122"/>
      <x:c r="AC251" s="177" t="str">
        <x:f t="shared" si="99"/>
      </x:c>
      <x:c r="AD251" s="122"/>
      <x:c r="AE251" s="177" t="str">
        <x:f t="shared" si="100"/>
      </x:c>
      <x:c r="AF251" s="178" t="str">
        <x:f t="shared" si="101"/>
      </x:c>
      <x:c r="AG251" s="122"/>
      <x:c r="AH251" s="177" t="str">
        <x:f t="shared" si="102"/>
      </x:c>
      <x:c r="AI251" s="122"/>
      <x:c r="AJ251" s="177" t="str">
        <x:f t="shared" si="103"/>
      </x:c>
      <x:c r="AK251" s="178" t="str">
        <x:f t="shared" si="104"/>
      </x:c>
      <x:c r="AL251" s="122"/>
      <x:c r="AM251" s="177" t="str">
        <x:f t="shared" si="105"/>
      </x:c>
      <x:c r="AN251" s="122"/>
      <x:c r="AO251" s="177" t="str">
        <x:f t="shared" si="106"/>
      </x:c>
      <x:c r="AP251" s="178" t="str">
        <x:f t="shared" si="107"/>
      </x:c>
      <x:c r="AQ251" s="122"/>
      <x:c r="AR251" s="177" t="str">
        <x:f t="shared" si="108"/>
      </x:c>
      <x:c r="AS251" s="122"/>
      <x:c r="AT251" s="177" t="str">
        <x:f t="shared" si="109"/>
      </x:c>
      <x:c r="AU251" s="178" t="str">
        <x:f t="shared" si="110"/>
      </x:c>
      <x:c r="AV251" s="122"/>
      <x:c r="AW251" s="177" t="str">
        <x:f t="shared" si="111"/>
      </x:c>
      <x:c r="AX251" s="122"/>
      <x:c r="AY251" s="177" t="str">
        <x:f t="shared" si="112"/>
      </x:c>
      <x:c r="AZ251" s="178" t="str">
        <x:f t="shared" si="113"/>
      </x:c>
      <x:c r="BA251" s="122"/>
      <x:c r="BB251" s="177" t="str">
        <x:f t="shared" si="114"/>
      </x:c>
      <x:c r="BC251" s="122"/>
      <x:c r="BD251" s="177" t="str">
        <x:f t="shared" si="115"/>
      </x:c>
      <x:c r="BE251" s="178" t="str">
        <x:f t="shared" si="116"/>
      </x:c>
      <x:c r="BF251" s="122"/>
      <x:c r="BG251" s="177" t="str">
        <x:f t="shared" si="117"/>
      </x:c>
      <x:c r="BH251" s="122"/>
      <x:c r="BI251" s="177" t="str">
        <x:f t="shared" si="118"/>
      </x:c>
      <x:c r="BJ251" s="178" t="str">
        <x:f t="shared" si="119"/>
      </x:c>
    </x:row>
    <x:row r="252" ht="19.5" hidden="1" customHeight="1">
      <x:c r="A252" s="169"/>
      <x:c r="B252" s="170"/>
      <x:c r="C252" s="171"/>
      <x:c r="D252" s="172"/>
      <x:c r="E252" s="171"/>
      <x:c r="F252" s="173"/>
      <x:c r="G252" s="174"/>
      <x:c r="H252" s="175"/>
      <x:c r="I252" s="174"/>
      <x:c r="J252" s="176"/>
      <x:c r="K252" s="233"/>
      <x:c r="L252" s="233"/>
      <x:c r="M252" s="122"/>
      <x:c r="N252" s="177" t="str">
        <x:f t="shared" si="90"/>
      </x:c>
      <x:c r="O252" s="122"/>
      <x:c r="P252" s="177" t="str">
        <x:f t="shared" si="91"/>
      </x:c>
      <x:c r="Q252" s="178" t="str">
        <x:f t="shared" si="92"/>
      </x:c>
      <x:c r="R252" s="122"/>
      <x:c r="S252" s="177" t="str">
        <x:f t="shared" si="93"/>
      </x:c>
      <x:c r="T252" s="122"/>
      <x:c r="U252" s="177" t="str">
        <x:f t="shared" si="94"/>
      </x:c>
      <x:c r="V252" s="178" t="str">
        <x:f t="shared" si="95"/>
      </x:c>
      <x:c r="W252" s="122"/>
      <x:c r="X252" s="177" t="str">
        <x:f t="shared" si="96"/>
      </x:c>
      <x:c r="Y252" s="122"/>
      <x:c r="Z252" s="177" t="str">
        <x:f t="shared" si="97"/>
      </x:c>
      <x:c r="AA252" s="178" t="str">
        <x:f t="shared" si="98"/>
      </x:c>
      <x:c r="AB252" s="122"/>
      <x:c r="AC252" s="177" t="str">
        <x:f t="shared" si="99"/>
      </x:c>
      <x:c r="AD252" s="122"/>
      <x:c r="AE252" s="177" t="str">
        <x:f t="shared" si="100"/>
      </x:c>
      <x:c r="AF252" s="178" t="str">
        <x:f t="shared" si="101"/>
      </x:c>
      <x:c r="AG252" s="122"/>
      <x:c r="AH252" s="177" t="str">
        <x:f t="shared" si="102"/>
      </x:c>
      <x:c r="AI252" s="122"/>
      <x:c r="AJ252" s="177" t="str">
        <x:f t="shared" si="103"/>
      </x:c>
      <x:c r="AK252" s="178" t="str">
        <x:f t="shared" si="104"/>
      </x:c>
      <x:c r="AL252" s="122"/>
      <x:c r="AM252" s="177" t="str">
        <x:f t="shared" si="105"/>
      </x:c>
      <x:c r="AN252" s="122"/>
      <x:c r="AO252" s="177" t="str">
        <x:f t="shared" si="106"/>
      </x:c>
      <x:c r="AP252" s="178" t="str">
        <x:f t="shared" si="107"/>
      </x:c>
      <x:c r="AQ252" s="122"/>
      <x:c r="AR252" s="177" t="str">
        <x:f t="shared" si="108"/>
      </x:c>
      <x:c r="AS252" s="122"/>
      <x:c r="AT252" s="177" t="str">
        <x:f t="shared" si="109"/>
      </x:c>
      <x:c r="AU252" s="178" t="str">
        <x:f t="shared" si="110"/>
      </x:c>
      <x:c r="AV252" s="122"/>
      <x:c r="AW252" s="177" t="str">
        <x:f t="shared" si="111"/>
      </x:c>
      <x:c r="AX252" s="122"/>
      <x:c r="AY252" s="177" t="str">
        <x:f t="shared" si="112"/>
      </x:c>
      <x:c r="AZ252" s="178" t="str">
        <x:f t="shared" si="113"/>
      </x:c>
      <x:c r="BA252" s="122"/>
      <x:c r="BB252" s="177" t="str">
        <x:f t="shared" si="114"/>
      </x:c>
      <x:c r="BC252" s="122"/>
      <x:c r="BD252" s="177" t="str">
        <x:f t="shared" si="115"/>
      </x:c>
      <x:c r="BE252" s="178" t="str">
        <x:f t="shared" si="116"/>
      </x:c>
      <x:c r="BF252" s="122"/>
      <x:c r="BG252" s="177" t="str">
        <x:f t="shared" si="117"/>
      </x:c>
      <x:c r="BH252" s="122"/>
      <x:c r="BI252" s="177" t="str">
        <x:f t="shared" si="118"/>
      </x:c>
      <x:c r="BJ252" s="178" t="str">
        <x:f t="shared" si="119"/>
      </x:c>
    </x:row>
    <x:row r="253" ht="19.5" hidden="1" customHeight="1">
      <x:c r="A253" s="160"/>
      <x:c r="B253" s="179"/>
      <x:c r="C253" s="171"/>
      <x:c r="D253" s="172"/>
      <x:c r="E253" s="171"/>
      <x:c r="F253" s="173"/>
      <x:c r="G253" s="174"/>
      <x:c r="H253" s="175"/>
      <x:c r="I253" s="174"/>
      <x:c r="J253" s="176"/>
      <x:c r="K253" s="233"/>
      <x:c r="L253" s="233"/>
      <x:c r="M253" s="122"/>
      <x:c r="N253" s="177" t="str">
        <x:f t="shared" si="90"/>
      </x:c>
      <x:c r="O253" s="122"/>
      <x:c r="P253" s="177" t="str">
        <x:f t="shared" si="91"/>
      </x:c>
      <x:c r="Q253" s="178" t="str">
        <x:f t="shared" si="92"/>
      </x:c>
      <x:c r="R253" s="122"/>
      <x:c r="S253" s="177" t="str">
        <x:f t="shared" si="93"/>
      </x:c>
      <x:c r="T253" s="122"/>
      <x:c r="U253" s="177" t="str">
        <x:f t="shared" si="94"/>
      </x:c>
      <x:c r="V253" s="178" t="str">
        <x:f t="shared" si="95"/>
      </x:c>
      <x:c r="W253" s="122"/>
      <x:c r="X253" s="177" t="str">
        <x:f t="shared" si="96"/>
      </x:c>
      <x:c r="Y253" s="122"/>
      <x:c r="Z253" s="177" t="str">
        <x:f t="shared" si="97"/>
      </x:c>
      <x:c r="AA253" s="178" t="str">
        <x:f t="shared" si="98"/>
      </x:c>
      <x:c r="AB253" s="122"/>
      <x:c r="AC253" s="177" t="str">
        <x:f t="shared" si="99"/>
      </x:c>
      <x:c r="AD253" s="122"/>
      <x:c r="AE253" s="177" t="str">
        <x:f t="shared" si="100"/>
      </x:c>
      <x:c r="AF253" s="178" t="str">
        <x:f t="shared" si="101"/>
      </x:c>
      <x:c r="AG253" s="122"/>
      <x:c r="AH253" s="177" t="str">
        <x:f t="shared" si="102"/>
      </x:c>
      <x:c r="AI253" s="122"/>
      <x:c r="AJ253" s="177" t="str">
        <x:f t="shared" si="103"/>
      </x:c>
      <x:c r="AK253" s="178" t="str">
        <x:f t="shared" si="104"/>
      </x:c>
      <x:c r="AL253" s="122"/>
      <x:c r="AM253" s="177" t="str">
        <x:f t="shared" si="105"/>
      </x:c>
      <x:c r="AN253" s="122"/>
      <x:c r="AO253" s="177" t="str">
        <x:f t="shared" si="106"/>
      </x:c>
      <x:c r="AP253" s="178" t="str">
        <x:f t="shared" si="107"/>
      </x:c>
      <x:c r="AQ253" s="122"/>
      <x:c r="AR253" s="177" t="str">
        <x:f t="shared" si="108"/>
      </x:c>
      <x:c r="AS253" s="122"/>
      <x:c r="AT253" s="177" t="str">
        <x:f t="shared" si="109"/>
      </x:c>
      <x:c r="AU253" s="178" t="str">
        <x:f t="shared" si="110"/>
      </x:c>
      <x:c r="AV253" s="122"/>
      <x:c r="AW253" s="177" t="str">
        <x:f t="shared" si="111"/>
      </x:c>
      <x:c r="AX253" s="122"/>
      <x:c r="AY253" s="177" t="str">
        <x:f t="shared" si="112"/>
      </x:c>
      <x:c r="AZ253" s="178" t="str">
        <x:f t="shared" si="113"/>
      </x:c>
      <x:c r="BA253" s="122"/>
      <x:c r="BB253" s="177" t="str">
        <x:f t="shared" si="114"/>
      </x:c>
      <x:c r="BC253" s="122"/>
      <x:c r="BD253" s="177" t="str">
        <x:f t="shared" si="115"/>
      </x:c>
      <x:c r="BE253" s="178" t="str">
        <x:f t="shared" si="116"/>
      </x:c>
      <x:c r="BF253" s="122"/>
      <x:c r="BG253" s="177" t="str">
        <x:f t="shared" si="117"/>
      </x:c>
      <x:c r="BH253" s="122"/>
      <x:c r="BI253" s="177" t="str">
        <x:f t="shared" si="118"/>
      </x:c>
      <x:c r="BJ253" s="178" t="str">
        <x:f t="shared" si="119"/>
      </x:c>
    </x:row>
    <x:row r="254" ht="19.5" hidden="1" customHeight="1">
      <x:c r="A254" s="169"/>
      <x:c r="B254" s="170"/>
      <x:c r="C254" s="171"/>
      <x:c r="D254" s="172"/>
      <x:c r="E254" s="171"/>
      <x:c r="F254" s="173"/>
      <x:c r="G254" s="174"/>
      <x:c r="H254" s="175"/>
      <x:c r="I254" s="174"/>
      <x:c r="J254" s="176"/>
      <x:c r="K254" s="233"/>
      <x:c r="L254" s="233"/>
      <x:c r="M254" s="122"/>
      <x:c r="N254" s="177" t="str">
        <x:f t="shared" si="90"/>
      </x:c>
      <x:c r="O254" s="122"/>
      <x:c r="P254" s="177" t="str">
        <x:f t="shared" si="91"/>
      </x:c>
      <x:c r="Q254" s="178" t="str">
        <x:f t="shared" si="92"/>
      </x:c>
      <x:c r="R254" s="122"/>
      <x:c r="S254" s="177" t="str">
        <x:f t="shared" si="93"/>
      </x:c>
      <x:c r="T254" s="122"/>
      <x:c r="U254" s="177" t="str">
        <x:f t="shared" si="94"/>
      </x:c>
      <x:c r="V254" s="178" t="str">
        <x:f t="shared" si="95"/>
      </x:c>
      <x:c r="W254" s="122"/>
      <x:c r="X254" s="177" t="str">
        <x:f t="shared" si="96"/>
      </x:c>
      <x:c r="Y254" s="122"/>
      <x:c r="Z254" s="177" t="str">
        <x:f t="shared" si="97"/>
      </x:c>
      <x:c r="AA254" s="178" t="str">
        <x:f t="shared" si="98"/>
      </x:c>
      <x:c r="AB254" s="122"/>
      <x:c r="AC254" s="177" t="str">
        <x:f t="shared" si="99"/>
      </x:c>
      <x:c r="AD254" s="122"/>
      <x:c r="AE254" s="177" t="str">
        <x:f t="shared" si="100"/>
      </x:c>
      <x:c r="AF254" s="178" t="str">
        <x:f t="shared" si="101"/>
      </x:c>
      <x:c r="AG254" s="122"/>
      <x:c r="AH254" s="177" t="str">
        <x:f t="shared" si="102"/>
      </x:c>
      <x:c r="AI254" s="122"/>
      <x:c r="AJ254" s="177" t="str">
        <x:f t="shared" si="103"/>
      </x:c>
      <x:c r="AK254" s="178" t="str">
        <x:f t="shared" si="104"/>
      </x:c>
      <x:c r="AL254" s="122"/>
      <x:c r="AM254" s="177" t="str">
        <x:f t="shared" si="105"/>
      </x:c>
      <x:c r="AN254" s="122"/>
      <x:c r="AO254" s="177" t="str">
        <x:f t="shared" si="106"/>
      </x:c>
      <x:c r="AP254" s="178" t="str">
        <x:f t="shared" si="107"/>
      </x:c>
      <x:c r="AQ254" s="122"/>
      <x:c r="AR254" s="177" t="str">
        <x:f t="shared" si="108"/>
      </x:c>
      <x:c r="AS254" s="122"/>
      <x:c r="AT254" s="177" t="str">
        <x:f t="shared" si="109"/>
      </x:c>
      <x:c r="AU254" s="178" t="str">
        <x:f t="shared" si="110"/>
      </x:c>
      <x:c r="AV254" s="122"/>
      <x:c r="AW254" s="177" t="str">
        <x:f t="shared" si="111"/>
      </x:c>
      <x:c r="AX254" s="122"/>
      <x:c r="AY254" s="177" t="str">
        <x:f t="shared" si="112"/>
      </x:c>
      <x:c r="AZ254" s="178" t="str">
        <x:f t="shared" si="113"/>
      </x:c>
      <x:c r="BA254" s="122"/>
      <x:c r="BB254" s="177" t="str">
        <x:f t="shared" si="114"/>
      </x:c>
      <x:c r="BC254" s="122"/>
      <x:c r="BD254" s="177" t="str">
        <x:f t="shared" si="115"/>
      </x:c>
      <x:c r="BE254" s="178" t="str">
        <x:f t="shared" si="116"/>
      </x:c>
      <x:c r="BF254" s="122"/>
      <x:c r="BG254" s="177" t="str">
        <x:f t="shared" si="117"/>
      </x:c>
      <x:c r="BH254" s="122"/>
      <x:c r="BI254" s="177" t="str">
        <x:f t="shared" si="118"/>
      </x:c>
      <x:c r="BJ254" s="178" t="str">
        <x:f t="shared" si="119"/>
      </x:c>
    </x:row>
    <x:row r="255" ht="19.5" hidden="1" customHeight="1">
      <x:c r="A255" s="160"/>
      <x:c r="B255" s="179"/>
      <x:c r="C255" s="171"/>
      <x:c r="D255" s="172"/>
      <x:c r="E255" s="171"/>
      <x:c r="F255" s="173"/>
      <x:c r="G255" s="174"/>
      <x:c r="H255" s="175"/>
      <x:c r="I255" s="174"/>
      <x:c r="J255" s="176"/>
      <x:c r="K255" s="233"/>
      <x:c r="L255" s="233"/>
      <x:c r="M255" s="122"/>
      <x:c r="N255" s="177" t="str">
        <x:f t="shared" si="90"/>
      </x:c>
      <x:c r="O255" s="122"/>
      <x:c r="P255" s="177" t="str">
        <x:f t="shared" si="91"/>
      </x:c>
      <x:c r="Q255" s="178" t="str">
        <x:f t="shared" si="92"/>
      </x:c>
      <x:c r="R255" s="122"/>
      <x:c r="S255" s="177" t="str">
        <x:f t="shared" si="93"/>
      </x:c>
      <x:c r="T255" s="122"/>
      <x:c r="U255" s="177" t="str">
        <x:f t="shared" si="94"/>
      </x:c>
      <x:c r="V255" s="178" t="str">
        <x:f t="shared" si="95"/>
      </x:c>
      <x:c r="W255" s="122"/>
      <x:c r="X255" s="177" t="str">
        <x:f t="shared" si="96"/>
      </x:c>
      <x:c r="Y255" s="122"/>
      <x:c r="Z255" s="177" t="str">
        <x:f t="shared" si="97"/>
      </x:c>
      <x:c r="AA255" s="178" t="str">
        <x:f t="shared" si="98"/>
      </x:c>
      <x:c r="AB255" s="122"/>
      <x:c r="AC255" s="177" t="str">
        <x:f t="shared" si="99"/>
      </x:c>
      <x:c r="AD255" s="122"/>
      <x:c r="AE255" s="177" t="str">
        <x:f t="shared" si="100"/>
      </x:c>
      <x:c r="AF255" s="178" t="str">
        <x:f t="shared" si="101"/>
      </x:c>
      <x:c r="AG255" s="122"/>
      <x:c r="AH255" s="177" t="str">
        <x:f t="shared" si="102"/>
      </x:c>
      <x:c r="AI255" s="122"/>
      <x:c r="AJ255" s="177" t="str">
        <x:f t="shared" si="103"/>
      </x:c>
      <x:c r="AK255" s="178" t="str">
        <x:f t="shared" si="104"/>
      </x:c>
      <x:c r="AL255" s="122"/>
      <x:c r="AM255" s="177" t="str">
        <x:f t="shared" si="105"/>
      </x:c>
      <x:c r="AN255" s="122"/>
      <x:c r="AO255" s="177" t="str">
        <x:f t="shared" si="106"/>
      </x:c>
      <x:c r="AP255" s="178" t="str">
        <x:f t="shared" si="107"/>
      </x:c>
      <x:c r="AQ255" s="122"/>
      <x:c r="AR255" s="177" t="str">
        <x:f t="shared" si="108"/>
      </x:c>
      <x:c r="AS255" s="122"/>
      <x:c r="AT255" s="177" t="str">
        <x:f t="shared" si="109"/>
      </x:c>
      <x:c r="AU255" s="178" t="str">
        <x:f t="shared" si="110"/>
      </x:c>
      <x:c r="AV255" s="122"/>
      <x:c r="AW255" s="177" t="str">
        <x:f t="shared" si="111"/>
      </x:c>
      <x:c r="AX255" s="122"/>
      <x:c r="AY255" s="177" t="str">
        <x:f t="shared" si="112"/>
      </x:c>
      <x:c r="AZ255" s="178" t="str">
        <x:f t="shared" si="113"/>
      </x:c>
      <x:c r="BA255" s="122"/>
      <x:c r="BB255" s="177" t="str">
        <x:f t="shared" si="114"/>
      </x:c>
      <x:c r="BC255" s="122"/>
      <x:c r="BD255" s="177" t="str">
        <x:f t="shared" si="115"/>
      </x:c>
      <x:c r="BE255" s="178" t="str">
        <x:f t="shared" si="116"/>
      </x:c>
      <x:c r="BF255" s="122"/>
      <x:c r="BG255" s="177" t="str">
        <x:f t="shared" si="117"/>
      </x:c>
      <x:c r="BH255" s="122"/>
      <x:c r="BI255" s="177" t="str">
        <x:f t="shared" si="118"/>
      </x:c>
      <x:c r="BJ255" s="178" t="str">
        <x:f t="shared" si="119"/>
      </x:c>
    </x:row>
    <x:row r="256" ht="19.5" hidden="1" customHeight="1">
      <x:c r="A256" s="169"/>
      <x:c r="B256" s="170"/>
      <x:c r="C256" s="171"/>
      <x:c r="D256" s="172"/>
      <x:c r="E256" s="171"/>
      <x:c r="F256" s="173"/>
      <x:c r="G256" s="174"/>
      <x:c r="H256" s="175"/>
      <x:c r="I256" s="174"/>
      <x:c r="J256" s="176"/>
      <x:c r="K256" s="233"/>
      <x:c r="L256" s="233"/>
      <x:c r="M256" s="122"/>
      <x:c r="N256" s="177" t="str">
        <x:f t="shared" si="90"/>
      </x:c>
      <x:c r="O256" s="122"/>
      <x:c r="P256" s="177" t="str">
        <x:f t="shared" si="91"/>
      </x:c>
      <x:c r="Q256" s="178" t="str">
        <x:f t="shared" si="92"/>
      </x:c>
      <x:c r="R256" s="122"/>
      <x:c r="S256" s="177" t="str">
        <x:f t="shared" si="93"/>
      </x:c>
      <x:c r="T256" s="122"/>
      <x:c r="U256" s="177" t="str">
        <x:f t="shared" si="94"/>
      </x:c>
      <x:c r="V256" s="178" t="str">
        <x:f t="shared" si="95"/>
      </x:c>
      <x:c r="W256" s="122"/>
      <x:c r="X256" s="177" t="str">
        <x:f t="shared" si="96"/>
      </x:c>
      <x:c r="Y256" s="122"/>
      <x:c r="Z256" s="177" t="str">
        <x:f t="shared" si="97"/>
      </x:c>
      <x:c r="AA256" s="178" t="str">
        <x:f t="shared" si="98"/>
      </x:c>
      <x:c r="AB256" s="122"/>
      <x:c r="AC256" s="177" t="str">
        <x:f t="shared" si="99"/>
      </x:c>
      <x:c r="AD256" s="122"/>
      <x:c r="AE256" s="177" t="str">
        <x:f t="shared" si="100"/>
      </x:c>
      <x:c r="AF256" s="178" t="str">
        <x:f t="shared" si="101"/>
      </x:c>
      <x:c r="AG256" s="122"/>
      <x:c r="AH256" s="177" t="str">
        <x:f t="shared" si="102"/>
      </x:c>
      <x:c r="AI256" s="122"/>
      <x:c r="AJ256" s="177" t="str">
        <x:f t="shared" si="103"/>
      </x:c>
      <x:c r="AK256" s="178" t="str">
        <x:f t="shared" si="104"/>
      </x:c>
      <x:c r="AL256" s="122"/>
      <x:c r="AM256" s="177" t="str">
        <x:f t="shared" si="105"/>
      </x:c>
      <x:c r="AN256" s="122"/>
      <x:c r="AO256" s="177" t="str">
        <x:f t="shared" si="106"/>
      </x:c>
      <x:c r="AP256" s="178" t="str">
        <x:f t="shared" si="107"/>
      </x:c>
      <x:c r="AQ256" s="122"/>
      <x:c r="AR256" s="177" t="str">
        <x:f t="shared" si="108"/>
      </x:c>
      <x:c r="AS256" s="122"/>
      <x:c r="AT256" s="177" t="str">
        <x:f t="shared" si="109"/>
      </x:c>
      <x:c r="AU256" s="178" t="str">
        <x:f t="shared" si="110"/>
      </x:c>
      <x:c r="AV256" s="122"/>
      <x:c r="AW256" s="177" t="str">
        <x:f t="shared" si="111"/>
      </x:c>
      <x:c r="AX256" s="122"/>
      <x:c r="AY256" s="177" t="str">
        <x:f t="shared" si="112"/>
      </x:c>
      <x:c r="AZ256" s="178" t="str">
        <x:f t="shared" si="113"/>
      </x:c>
      <x:c r="BA256" s="122"/>
      <x:c r="BB256" s="177" t="str">
        <x:f t="shared" si="114"/>
      </x:c>
      <x:c r="BC256" s="122"/>
      <x:c r="BD256" s="177" t="str">
        <x:f t="shared" si="115"/>
      </x:c>
      <x:c r="BE256" s="178" t="str">
        <x:f t="shared" si="116"/>
      </x:c>
      <x:c r="BF256" s="122"/>
      <x:c r="BG256" s="177" t="str">
        <x:f t="shared" si="117"/>
      </x:c>
      <x:c r="BH256" s="122"/>
      <x:c r="BI256" s="177" t="str">
        <x:f t="shared" si="118"/>
      </x:c>
      <x:c r="BJ256" s="178" t="str">
        <x:f t="shared" si="119"/>
      </x:c>
    </x:row>
    <x:row r="257" ht="19.5" hidden="1" customHeight="1">
      <x:c r="A257" s="160"/>
      <x:c r="B257" s="179"/>
      <x:c r="C257" s="171"/>
      <x:c r="D257" s="172"/>
      <x:c r="E257" s="171"/>
      <x:c r="F257" s="173"/>
      <x:c r="G257" s="174"/>
      <x:c r="H257" s="175"/>
      <x:c r="I257" s="174"/>
      <x:c r="J257" s="176"/>
      <x:c r="K257" s="233"/>
      <x:c r="L257" s="233"/>
      <x:c r="M257" s="122"/>
      <x:c r="N257" s="177" t="str">
        <x:f t="shared" si="90"/>
      </x:c>
      <x:c r="O257" s="122"/>
      <x:c r="P257" s="177" t="str">
        <x:f t="shared" si="91"/>
      </x:c>
      <x:c r="Q257" s="178" t="str">
        <x:f t="shared" si="92"/>
      </x:c>
      <x:c r="R257" s="122"/>
      <x:c r="S257" s="177" t="str">
        <x:f t="shared" si="93"/>
      </x:c>
      <x:c r="T257" s="122"/>
      <x:c r="U257" s="177" t="str">
        <x:f t="shared" si="94"/>
      </x:c>
      <x:c r="V257" s="178" t="str">
        <x:f t="shared" si="95"/>
      </x:c>
      <x:c r="W257" s="122"/>
      <x:c r="X257" s="177" t="str">
        <x:f t="shared" si="96"/>
      </x:c>
      <x:c r="Y257" s="122"/>
      <x:c r="Z257" s="177" t="str">
        <x:f t="shared" si="97"/>
      </x:c>
      <x:c r="AA257" s="178" t="str">
        <x:f t="shared" si="98"/>
      </x:c>
      <x:c r="AB257" s="122"/>
      <x:c r="AC257" s="177" t="str">
        <x:f t="shared" si="99"/>
      </x:c>
      <x:c r="AD257" s="122"/>
      <x:c r="AE257" s="177" t="str">
        <x:f t="shared" si="100"/>
      </x:c>
      <x:c r="AF257" s="178" t="str">
        <x:f t="shared" si="101"/>
      </x:c>
      <x:c r="AG257" s="122"/>
      <x:c r="AH257" s="177" t="str">
        <x:f t="shared" si="102"/>
      </x:c>
      <x:c r="AI257" s="122"/>
      <x:c r="AJ257" s="177" t="str">
        <x:f t="shared" si="103"/>
      </x:c>
      <x:c r="AK257" s="178" t="str">
        <x:f t="shared" si="104"/>
      </x:c>
      <x:c r="AL257" s="122"/>
      <x:c r="AM257" s="177" t="str">
        <x:f t="shared" si="105"/>
      </x:c>
      <x:c r="AN257" s="122"/>
      <x:c r="AO257" s="177" t="str">
        <x:f t="shared" si="106"/>
      </x:c>
      <x:c r="AP257" s="178" t="str">
        <x:f t="shared" si="107"/>
      </x:c>
      <x:c r="AQ257" s="122"/>
      <x:c r="AR257" s="177" t="str">
        <x:f t="shared" si="108"/>
      </x:c>
      <x:c r="AS257" s="122"/>
      <x:c r="AT257" s="177" t="str">
        <x:f t="shared" si="109"/>
      </x:c>
      <x:c r="AU257" s="178" t="str">
        <x:f t="shared" si="110"/>
      </x:c>
      <x:c r="AV257" s="122"/>
      <x:c r="AW257" s="177" t="str">
        <x:f t="shared" si="111"/>
      </x:c>
      <x:c r="AX257" s="122"/>
      <x:c r="AY257" s="177" t="str">
        <x:f t="shared" si="112"/>
      </x:c>
      <x:c r="AZ257" s="178" t="str">
        <x:f t="shared" si="113"/>
      </x:c>
      <x:c r="BA257" s="122"/>
      <x:c r="BB257" s="177" t="str">
        <x:f t="shared" si="114"/>
      </x:c>
      <x:c r="BC257" s="122"/>
      <x:c r="BD257" s="177" t="str">
        <x:f t="shared" si="115"/>
      </x:c>
      <x:c r="BE257" s="178" t="str">
        <x:f t="shared" si="116"/>
      </x:c>
      <x:c r="BF257" s="122"/>
      <x:c r="BG257" s="177" t="str">
        <x:f t="shared" si="117"/>
      </x:c>
      <x:c r="BH257" s="122"/>
      <x:c r="BI257" s="177" t="str">
        <x:f t="shared" si="118"/>
      </x:c>
      <x:c r="BJ257" s="178" t="str">
        <x:f t="shared" si="119"/>
      </x:c>
    </x:row>
    <x:row r="258" ht="19.5" hidden="1" customHeight="1">
      <x:c r="A258" s="169"/>
      <x:c r="B258" s="170"/>
      <x:c r="C258" s="171"/>
      <x:c r="D258" s="172"/>
      <x:c r="E258" s="171"/>
      <x:c r="F258" s="173"/>
      <x:c r="G258" s="174"/>
      <x:c r="H258" s="175"/>
      <x:c r="I258" s="174"/>
      <x:c r="J258" s="176"/>
      <x:c r="K258" s="233"/>
      <x:c r="L258" s="233"/>
      <x:c r="M258" s="122"/>
      <x:c r="N258" s="177" t="str">
        <x:f t="shared" si="90"/>
      </x:c>
      <x:c r="O258" s="122"/>
      <x:c r="P258" s="177" t="str">
        <x:f t="shared" si="91"/>
      </x:c>
      <x:c r="Q258" s="178" t="str">
        <x:f t="shared" si="92"/>
      </x:c>
      <x:c r="R258" s="122"/>
      <x:c r="S258" s="177" t="str">
        <x:f t="shared" si="93"/>
      </x:c>
      <x:c r="T258" s="122"/>
      <x:c r="U258" s="177" t="str">
        <x:f t="shared" si="94"/>
      </x:c>
      <x:c r="V258" s="178" t="str">
        <x:f t="shared" si="95"/>
      </x:c>
      <x:c r="W258" s="122"/>
      <x:c r="X258" s="177" t="str">
        <x:f t="shared" si="96"/>
      </x:c>
      <x:c r="Y258" s="122"/>
      <x:c r="Z258" s="177" t="str">
        <x:f t="shared" si="97"/>
      </x:c>
      <x:c r="AA258" s="178" t="str">
        <x:f t="shared" si="98"/>
      </x:c>
      <x:c r="AB258" s="122"/>
      <x:c r="AC258" s="177" t="str">
        <x:f t="shared" si="99"/>
      </x:c>
      <x:c r="AD258" s="122"/>
      <x:c r="AE258" s="177" t="str">
        <x:f t="shared" si="100"/>
      </x:c>
      <x:c r="AF258" s="178" t="str">
        <x:f t="shared" si="101"/>
      </x:c>
      <x:c r="AG258" s="122"/>
      <x:c r="AH258" s="177" t="str">
        <x:f t="shared" si="102"/>
      </x:c>
      <x:c r="AI258" s="122"/>
      <x:c r="AJ258" s="177" t="str">
        <x:f t="shared" si="103"/>
      </x:c>
      <x:c r="AK258" s="178" t="str">
        <x:f t="shared" si="104"/>
      </x:c>
      <x:c r="AL258" s="122"/>
      <x:c r="AM258" s="177" t="str">
        <x:f t="shared" si="105"/>
      </x:c>
      <x:c r="AN258" s="122"/>
      <x:c r="AO258" s="177" t="str">
        <x:f t="shared" si="106"/>
      </x:c>
      <x:c r="AP258" s="178" t="str">
        <x:f t="shared" si="107"/>
      </x:c>
      <x:c r="AQ258" s="122"/>
      <x:c r="AR258" s="177" t="str">
        <x:f t="shared" si="108"/>
      </x:c>
      <x:c r="AS258" s="122"/>
      <x:c r="AT258" s="177" t="str">
        <x:f t="shared" si="109"/>
      </x:c>
      <x:c r="AU258" s="178" t="str">
        <x:f t="shared" si="110"/>
      </x:c>
      <x:c r="AV258" s="122"/>
      <x:c r="AW258" s="177" t="str">
        <x:f t="shared" si="111"/>
      </x:c>
      <x:c r="AX258" s="122"/>
      <x:c r="AY258" s="177" t="str">
        <x:f t="shared" si="112"/>
      </x:c>
      <x:c r="AZ258" s="178" t="str">
        <x:f t="shared" si="113"/>
      </x:c>
      <x:c r="BA258" s="122"/>
      <x:c r="BB258" s="177" t="str">
        <x:f t="shared" si="114"/>
      </x:c>
      <x:c r="BC258" s="122"/>
      <x:c r="BD258" s="177" t="str">
        <x:f t="shared" si="115"/>
      </x:c>
      <x:c r="BE258" s="178" t="str">
        <x:f t="shared" si="116"/>
      </x:c>
      <x:c r="BF258" s="122"/>
      <x:c r="BG258" s="177" t="str">
        <x:f t="shared" si="117"/>
      </x:c>
      <x:c r="BH258" s="122"/>
      <x:c r="BI258" s="177" t="str">
        <x:f t="shared" si="118"/>
      </x:c>
      <x:c r="BJ258" s="178" t="str">
        <x:f t="shared" si="119"/>
      </x:c>
    </x:row>
    <x:row r="259" ht="19.5" hidden="1" customHeight="1">
      <x:c r="A259" s="160"/>
      <x:c r="B259" s="179"/>
      <x:c r="C259" s="171"/>
      <x:c r="D259" s="172"/>
      <x:c r="E259" s="171"/>
      <x:c r="F259" s="173"/>
      <x:c r="G259" s="174"/>
      <x:c r="H259" s="175"/>
      <x:c r="I259" s="174"/>
      <x:c r="J259" s="176"/>
      <x:c r="K259" s="233"/>
      <x:c r="L259" s="233"/>
      <x:c r="M259" s="122"/>
      <x:c r="N259" s="177" t="str">
        <x:f t="shared" si="90"/>
      </x:c>
      <x:c r="O259" s="122"/>
      <x:c r="P259" s="177" t="str">
        <x:f t="shared" si="91"/>
      </x:c>
      <x:c r="Q259" s="178" t="str">
        <x:f t="shared" si="92"/>
      </x:c>
      <x:c r="R259" s="122"/>
      <x:c r="S259" s="177" t="str">
        <x:f t="shared" si="93"/>
      </x:c>
      <x:c r="T259" s="122"/>
      <x:c r="U259" s="177" t="str">
        <x:f t="shared" si="94"/>
      </x:c>
      <x:c r="V259" s="178" t="str">
        <x:f t="shared" si="95"/>
      </x:c>
      <x:c r="W259" s="122"/>
      <x:c r="X259" s="177" t="str">
        <x:f t="shared" si="96"/>
      </x:c>
      <x:c r="Y259" s="122"/>
      <x:c r="Z259" s="177" t="str">
        <x:f t="shared" si="97"/>
      </x:c>
      <x:c r="AA259" s="178" t="str">
        <x:f t="shared" si="98"/>
      </x:c>
      <x:c r="AB259" s="122"/>
      <x:c r="AC259" s="177" t="str">
        <x:f t="shared" si="99"/>
      </x:c>
      <x:c r="AD259" s="122"/>
      <x:c r="AE259" s="177" t="str">
        <x:f t="shared" si="100"/>
      </x:c>
      <x:c r="AF259" s="178" t="str">
        <x:f t="shared" si="101"/>
      </x:c>
      <x:c r="AG259" s="122"/>
      <x:c r="AH259" s="177" t="str">
        <x:f t="shared" si="102"/>
      </x:c>
      <x:c r="AI259" s="122"/>
      <x:c r="AJ259" s="177" t="str">
        <x:f t="shared" si="103"/>
      </x:c>
      <x:c r="AK259" s="178" t="str">
        <x:f t="shared" si="104"/>
      </x:c>
      <x:c r="AL259" s="122"/>
      <x:c r="AM259" s="177" t="str">
        <x:f t="shared" si="105"/>
      </x:c>
      <x:c r="AN259" s="122"/>
      <x:c r="AO259" s="177" t="str">
        <x:f t="shared" si="106"/>
      </x:c>
      <x:c r="AP259" s="178" t="str">
        <x:f t="shared" si="107"/>
      </x:c>
      <x:c r="AQ259" s="122"/>
      <x:c r="AR259" s="177" t="str">
        <x:f t="shared" si="108"/>
      </x:c>
      <x:c r="AS259" s="122"/>
      <x:c r="AT259" s="177" t="str">
        <x:f t="shared" si="109"/>
      </x:c>
      <x:c r="AU259" s="178" t="str">
        <x:f t="shared" si="110"/>
      </x:c>
      <x:c r="AV259" s="122"/>
      <x:c r="AW259" s="177" t="str">
        <x:f t="shared" si="111"/>
      </x:c>
      <x:c r="AX259" s="122"/>
      <x:c r="AY259" s="177" t="str">
        <x:f t="shared" si="112"/>
      </x:c>
      <x:c r="AZ259" s="178" t="str">
        <x:f t="shared" si="113"/>
      </x:c>
      <x:c r="BA259" s="122"/>
      <x:c r="BB259" s="177" t="str">
        <x:f t="shared" si="114"/>
      </x:c>
      <x:c r="BC259" s="122"/>
      <x:c r="BD259" s="177" t="str">
        <x:f t="shared" si="115"/>
      </x:c>
      <x:c r="BE259" s="178" t="str">
        <x:f t="shared" si="116"/>
      </x:c>
      <x:c r="BF259" s="122"/>
      <x:c r="BG259" s="177" t="str">
        <x:f t="shared" si="117"/>
      </x:c>
      <x:c r="BH259" s="122"/>
      <x:c r="BI259" s="177" t="str">
        <x:f t="shared" si="118"/>
      </x:c>
      <x:c r="BJ259" s="178" t="str">
        <x:f t="shared" si="119"/>
      </x:c>
    </x:row>
    <x:row r="260" ht="19.5" hidden="1" customHeight="1">
      <x:c r="A260" s="169"/>
      <x:c r="B260" s="170"/>
      <x:c r="C260" s="171"/>
      <x:c r="D260" s="172"/>
      <x:c r="E260" s="171"/>
      <x:c r="F260" s="173"/>
      <x:c r="G260" s="174"/>
      <x:c r="H260" s="175"/>
      <x:c r="I260" s="174"/>
      <x:c r="J260" s="176"/>
      <x:c r="K260" s="233"/>
      <x:c r="L260" s="233"/>
      <x:c r="M260" s="122"/>
      <x:c r="N260" s="177" t="str">
        <x:f t="shared" si="90"/>
      </x:c>
      <x:c r="O260" s="122"/>
      <x:c r="P260" s="177" t="str">
        <x:f t="shared" si="91"/>
      </x:c>
      <x:c r="Q260" s="178" t="str">
        <x:f t="shared" si="92"/>
      </x:c>
      <x:c r="R260" s="122"/>
      <x:c r="S260" s="177" t="str">
        <x:f t="shared" si="93"/>
      </x:c>
      <x:c r="T260" s="122"/>
      <x:c r="U260" s="177" t="str">
        <x:f t="shared" si="94"/>
      </x:c>
      <x:c r="V260" s="178" t="str">
        <x:f t="shared" si="95"/>
      </x:c>
      <x:c r="W260" s="122"/>
      <x:c r="X260" s="177" t="str">
        <x:f t="shared" si="96"/>
      </x:c>
      <x:c r="Y260" s="122"/>
      <x:c r="Z260" s="177" t="str">
        <x:f t="shared" si="97"/>
      </x:c>
      <x:c r="AA260" s="178" t="str">
        <x:f t="shared" si="98"/>
      </x:c>
      <x:c r="AB260" s="122"/>
      <x:c r="AC260" s="177" t="str">
        <x:f t="shared" si="99"/>
      </x:c>
      <x:c r="AD260" s="122"/>
      <x:c r="AE260" s="177" t="str">
        <x:f t="shared" si="100"/>
      </x:c>
      <x:c r="AF260" s="178" t="str">
        <x:f t="shared" si="101"/>
      </x:c>
      <x:c r="AG260" s="122"/>
      <x:c r="AH260" s="177" t="str">
        <x:f t="shared" si="102"/>
      </x:c>
      <x:c r="AI260" s="122"/>
      <x:c r="AJ260" s="177" t="str">
        <x:f t="shared" si="103"/>
      </x:c>
      <x:c r="AK260" s="178" t="str">
        <x:f t="shared" si="104"/>
      </x:c>
      <x:c r="AL260" s="122"/>
      <x:c r="AM260" s="177" t="str">
        <x:f t="shared" si="105"/>
      </x:c>
      <x:c r="AN260" s="122"/>
      <x:c r="AO260" s="177" t="str">
        <x:f t="shared" si="106"/>
      </x:c>
      <x:c r="AP260" s="178" t="str">
        <x:f t="shared" si="107"/>
      </x:c>
      <x:c r="AQ260" s="122"/>
      <x:c r="AR260" s="177" t="str">
        <x:f t="shared" si="108"/>
      </x:c>
      <x:c r="AS260" s="122"/>
      <x:c r="AT260" s="177" t="str">
        <x:f t="shared" si="109"/>
      </x:c>
      <x:c r="AU260" s="178" t="str">
        <x:f t="shared" si="110"/>
      </x:c>
      <x:c r="AV260" s="122"/>
      <x:c r="AW260" s="177" t="str">
        <x:f t="shared" si="111"/>
      </x:c>
      <x:c r="AX260" s="122"/>
      <x:c r="AY260" s="177" t="str">
        <x:f t="shared" si="112"/>
      </x:c>
      <x:c r="AZ260" s="178" t="str">
        <x:f t="shared" si="113"/>
      </x:c>
      <x:c r="BA260" s="122"/>
      <x:c r="BB260" s="177" t="str">
        <x:f t="shared" si="114"/>
      </x:c>
      <x:c r="BC260" s="122"/>
      <x:c r="BD260" s="177" t="str">
        <x:f t="shared" si="115"/>
      </x:c>
      <x:c r="BE260" s="178" t="str">
        <x:f t="shared" si="116"/>
      </x:c>
      <x:c r="BF260" s="122"/>
      <x:c r="BG260" s="177" t="str">
        <x:f t="shared" si="117"/>
      </x:c>
      <x:c r="BH260" s="122"/>
      <x:c r="BI260" s="177" t="str">
        <x:f t="shared" si="118"/>
      </x:c>
      <x:c r="BJ260" s="178" t="str">
        <x:f t="shared" si="119"/>
      </x:c>
    </x:row>
    <x:row r="261" ht="19.5" hidden="1" customHeight="1">
      <x:c r="A261" s="160"/>
      <x:c r="B261" s="179"/>
      <x:c r="C261" s="171"/>
      <x:c r="D261" s="172"/>
      <x:c r="E261" s="171"/>
      <x:c r="F261" s="173"/>
      <x:c r="G261" s="174"/>
      <x:c r="H261" s="175"/>
      <x:c r="I261" s="174"/>
      <x:c r="J261" s="176"/>
      <x:c r="K261" s="233"/>
      <x:c r="L261" s="233"/>
      <x:c r="M261" s="122"/>
      <x:c r="N261" s="177" t="str">
        <x:f t="shared" si="90"/>
      </x:c>
      <x:c r="O261" s="122"/>
      <x:c r="P261" s="177" t="str">
        <x:f t="shared" si="91"/>
      </x:c>
      <x:c r="Q261" s="178" t="str">
        <x:f t="shared" si="92"/>
      </x:c>
      <x:c r="R261" s="122"/>
      <x:c r="S261" s="177" t="str">
        <x:f t="shared" si="93"/>
      </x:c>
      <x:c r="T261" s="122"/>
      <x:c r="U261" s="177" t="str">
        <x:f t="shared" si="94"/>
      </x:c>
      <x:c r="V261" s="178" t="str">
        <x:f t="shared" si="95"/>
      </x:c>
      <x:c r="W261" s="122"/>
      <x:c r="X261" s="177" t="str">
        <x:f t="shared" si="96"/>
      </x:c>
      <x:c r="Y261" s="122"/>
      <x:c r="Z261" s="177" t="str">
        <x:f t="shared" si="97"/>
      </x:c>
      <x:c r="AA261" s="178" t="str">
        <x:f t="shared" si="98"/>
      </x:c>
      <x:c r="AB261" s="122"/>
      <x:c r="AC261" s="177" t="str">
        <x:f t="shared" si="99"/>
      </x:c>
      <x:c r="AD261" s="122"/>
      <x:c r="AE261" s="177" t="str">
        <x:f t="shared" si="100"/>
      </x:c>
      <x:c r="AF261" s="178" t="str">
        <x:f t="shared" si="101"/>
      </x:c>
      <x:c r="AG261" s="122"/>
      <x:c r="AH261" s="177" t="str">
        <x:f t="shared" si="102"/>
      </x:c>
      <x:c r="AI261" s="122"/>
      <x:c r="AJ261" s="177" t="str">
        <x:f t="shared" si="103"/>
      </x:c>
      <x:c r="AK261" s="178" t="str">
        <x:f t="shared" si="104"/>
      </x:c>
      <x:c r="AL261" s="122"/>
      <x:c r="AM261" s="177" t="str">
        <x:f t="shared" si="105"/>
      </x:c>
      <x:c r="AN261" s="122"/>
      <x:c r="AO261" s="177" t="str">
        <x:f t="shared" si="106"/>
      </x:c>
      <x:c r="AP261" s="178" t="str">
        <x:f t="shared" si="107"/>
      </x:c>
      <x:c r="AQ261" s="122"/>
      <x:c r="AR261" s="177" t="str">
        <x:f t="shared" si="108"/>
      </x:c>
      <x:c r="AS261" s="122"/>
      <x:c r="AT261" s="177" t="str">
        <x:f t="shared" si="109"/>
      </x:c>
      <x:c r="AU261" s="178" t="str">
        <x:f t="shared" si="110"/>
      </x:c>
      <x:c r="AV261" s="122"/>
      <x:c r="AW261" s="177" t="str">
        <x:f t="shared" si="111"/>
      </x:c>
      <x:c r="AX261" s="122"/>
      <x:c r="AY261" s="177" t="str">
        <x:f t="shared" si="112"/>
      </x:c>
      <x:c r="AZ261" s="178" t="str">
        <x:f t="shared" si="113"/>
      </x:c>
      <x:c r="BA261" s="122"/>
      <x:c r="BB261" s="177" t="str">
        <x:f t="shared" si="114"/>
      </x:c>
      <x:c r="BC261" s="122"/>
      <x:c r="BD261" s="177" t="str">
        <x:f t="shared" si="115"/>
      </x:c>
      <x:c r="BE261" s="178" t="str">
        <x:f t="shared" si="116"/>
      </x:c>
      <x:c r="BF261" s="122"/>
      <x:c r="BG261" s="177" t="str">
        <x:f t="shared" si="117"/>
      </x:c>
      <x:c r="BH261" s="122"/>
      <x:c r="BI261" s="177" t="str">
        <x:f t="shared" si="118"/>
      </x:c>
      <x:c r="BJ261" s="178" t="str">
        <x:f t="shared" si="119"/>
      </x:c>
    </x:row>
    <x:row r="262" ht="19.5" hidden="1" customHeight="1">
      <x:c r="A262" s="169"/>
      <x:c r="B262" s="170"/>
      <x:c r="C262" s="171"/>
      <x:c r="D262" s="172"/>
      <x:c r="E262" s="171"/>
      <x:c r="F262" s="173"/>
      <x:c r="G262" s="174"/>
      <x:c r="H262" s="175"/>
      <x:c r="I262" s="174"/>
      <x:c r="J262" s="176"/>
      <x:c r="K262" s="233"/>
      <x:c r="L262" s="233"/>
      <x:c r="M262" s="122"/>
      <x:c r="N262" s="177" t="str">
        <x:f t="shared" si="90"/>
      </x:c>
      <x:c r="O262" s="122"/>
      <x:c r="P262" s="177" t="str">
        <x:f t="shared" si="91"/>
      </x:c>
      <x:c r="Q262" s="178" t="str">
        <x:f t="shared" si="92"/>
      </x:c>
      <x:c r="R262" s="122"/>
      <x:c r="S262" s="177" t="str">
        <x:f t="shared" si="93"/>
      </x:c>
      <x:c r="T262" s="122"/>
      <x:c r="U262" s="177" t="str">
        <x:f t="shared" si="94"/>
      </x:c>
      <x:c r="V262" s="178" t="str">
        <x:f t="shared" si="95"/>
      </x:c>
      <x:c r="W262" s="122"/>
      <x:c r="X262" s="177" t="str">
        <x:f t="shared" si="96"/>
      </x:c>
      <x:c r="Y262" s="122"/>
      <x:c r="Z262" s="177" t="str">
        <x:f t="shared" si="97"/>
      </x:c>
      <x:c r="AA262" s="178" t="str">
        <x:f t="shared" si="98"/>
      </x:c>
      <x:c r="AB262" s="122"/>
      <x:c r="AC262" s="177" t="str">
        <x:f t="shared" si="99"/>
      </x:c>
      <x:c r="AD262" s="122"/>
      <x:c r="AE262" s="177" t="str">
        <x:f t="shared" si="100"/>
      </x:c>
      <x:c r="AF262" s="178" t="str">
        <x:f t="shared" si="101"/>
      </x:c>
      <x:c r="AG262" s="122"/>
      <x:c r="AH262" s="177" t="str">
        <x:f t="shared" si="102"/>
      </x:c>
      <x:c r="AI262" s="122"/>
      <x:c r="AJ262" s="177" t="str">
        <x:f t="shared" si="103"/>
      </x:c>
      <x:c r="AK262" s="178" t="str">
        <x:f t="shared" si="104"/>
      </x:c>
      <x:c r="AL262" s="122"/>
      <x:c r="AM262" s="177" t="str">
        <x:f t="shared" si="105"/>
      </x:c>
      <x:c r="AN262" s="122"/>
      <x:c r="AO262" s="177" t="str">
        <x:f t="shared" si="106"/>
      </x:c>
      <x:c r="AP262" s="178" t="str">
        <x:f t="shared" si="107"/>
      </x:c>
      <x:c r="AQ262" s="122"/>
      <x:c r="AR262" s="177" t="str">
        <x:f t="shared" si="108"/>
      </x:c>
      <x:c r="AS262" s="122"/>
      <x:c r="AT262" s="177" t="str">
        <x:f t="shared" si="109"/>
      </x:c>
      <x:c r="AU262" s="178" t="str">
        <x:f t="shared" si="110"/>
      </x:c>
      <x:c r="AV262" s="122"/>
      <x:c r="AW262" s="177" t="str">
        <x:f t="shared" si="111"/>
      </x:c>
      <x:c r="AX262" s="122"/>
      <x:c r="AY262" s="177" t="str">
        <x:f t="shared" si="112"/>
      </x:c>
      <x:c r="AZ262" s="178" t="str">
        <x:f t="shared" si="113"/>
      </x:c>
      <x:c r="BA262" s="122"/>
      <x:c r="BB262" s="177" t="str">
        <x:f t="shared" si="114"/>
      </x:c>
      <x:c r="BC262" s="122"/>
      <x:c r="BD262" s="177" t="str">
        <x:f t="shared" si="115"/>
      </x:c>
      <x:c r="BE262" s="178" t="str">
        <x:f t="shared" si="116"/>
      </x:c>
      <x:c r="BF262" s="122"/>
      <x:c r="BG262" s="177" t="str">
        <x:f t="shared" si="117"/>
      </x:c>
      <x:c r="BH262" s="122"/>
      <x:c r="BI262" s="177" t="str">
        <x:f t="shared" si="118"/>
      </x:c>
      <x:c r="BJ262" s="178" t="str">
        <x:f t="shared" si="119"/>
      </x:c>
    </x:row>
    <x:row r="263" ht="19.5" hidden="1" customHeight="1">
      <x:c r="A263" s="160"/>
      <x:c r="B263" s="179"/>
      <x:c r="C263" s="171"/>
      <x:c r="D263" s="172"/>
      <x:c r="E263" s="171"/>
      <x:c r="F263" s="173"/>
      <x:c r="G263" s="174"/>
      <x:c r="H263" s="175"/>
      <x:c r="I263" s="174"/>
      <x:c r="J263" s="176"/>
      <x:c r="K263" s="233"/>
      <x:c r="L263" s="233"/>
      <x:c r="M263" s="122"/>
      <x:c r="N263" s="177" t="str">
        <x:f t="shared" si="90"/>
      </x:c>
      <x:c r="O263" s="122"/>
      <x:c r="P263" s="177" t="str">
        <x:f t="shared" si="91"/>
      </x:c>
      <x:c r="Q263" s="178" t="str">
        <x:f t="shared" si="92"/>
      </x:c>
      <x:c r="R263" s="122"/>
      <x:c r="S263" s="177" t="str">
        <x:f t="shared" si="93"/>
      </x:c>
      <x:c r="T263" s="122"/>
      <x:c r="U263" s="177" t="str">
        <x:f t="shared" si="94"/>
      </x:c>
      <x:c r="V263" s="178" t="str">
        <x:f t="shared" si="95"/>
      </x:c>
      <x:c r="W263" s="122"/>
      <x:c r="X263" s="177" t="str">
        <x:f t="shared" si="96"/>
      </x:c>
      <x:c r="Y263" s="122"/>
      <x:c r="Z263" s="177" t="str">
        <x:f t="shared" si="97"/>
      </x:c>
      <x:c r="AA263" s="178" t="str">
        <x:f t="shared" si="98"/>
      </x:c>
      <x:c r="AB263" s="122"/>
      <x:c r="AC263" s="177" t="str">
        <x:f t="shared" si="99"/>
      </x:c>
      <x:c r="AD263" s="122"/>
      <x:c r="AE263" s="177" t="str">
        <x:f t="shared" si="100"/>
      </x:c>
      <x:c r="AF263" s="178" t="str">
        <x:f t="shared" si="101"/>
      </x:c>
      <x:c r="AG263" s="122"/>
      <x:c r="AH263" s="177" t="str">
        <x:f t="shared" si="102"/>
      </x:c>
      <x:c r="AI263" s="122"/>
      <x:c r="AJ263" s="177" t="str">
        <x:f t="shared" si="103"/>
      </x:c>
      <x:c r="AK263" s="178" t="str">
        <x:f t="shared" si="104"/>
      </x:c>
      <x:c r="AL263" s="122"/>
      <x:c r="AM263" s="177" t="str">
        <x:f t="shared" si="105"/>
      </x:c>
      <x:c r="AN263" s="122"/>
      <x:c r="AO263" s="177" t="str">
        <x:f t="shared" si="106"/>
      </x:c>
      <x:c r="AP263" s="178" t="str">
        <x:f t="shared" si="107"/>
      </x:c>
      <x:c r="AQ263" s="122"/>
      <x:c r="AR263" s="177" t="str">
        <x:f t="shared" si="108"/>
      </x:c>
      <x:c r="AS263" s="122"/>
      <x:c r="AT263" s="177" t="str">
        <x:f t="shared" si="109"/>
      </x:c>
      <x:c r="AU263" s="178" t="str">
        <x:f t="shared" si="110"/>
      </x:c>
      <x:c r="AV263" s="122"/>
      <x:c r="AW263" s="177" t="str">
        <x:f t="shared" si="111"/>
      </x:c>
      <x:c r="AX263" s="122"/>
      <x:c r="AY263" s="177" t="str">
        <x:f t="shared" si="112"/>
      </x:c>
      <x:c r="AZ263" s="178" t="str">
        <x:f t="shared" si="113"/>
      </x:c>
      <x:c r="BA263" s="122"/>
      <x:c r="BB263" s="177" t="str">
        <x:f t="shared" si="114"/>
      </x:c>
      <x:c r="BC263" s="122"/>
      <x:c r="BD263" s="177" t="str">
        <x:f t="shared" si="115"/>
      </x:c>
      <x:c r="BE263" s="178" t="str">
        <x:f t="shared" si="116"/>
      </x:c>
      <x:c r="BF263" s="122"/>
      <x:c r="BG263" s="177" t="str">
        <x:f t="shared" si="117"/>
      </x:c>
      <x:c r="BH263" s="122"/>
      <x:c r="BI263" s="177" t="str">
        <x:f t="shared" si="118"/>
      </x:c>
      <x:c r="BJ263" s="178" t="str">
        <x:f t="shared" si="119"/>
      </x:c>
    </x:row>
    <x:row r="264" ht="19.5" hidden="1" customHeight="1">
      <x:c r="A264" s="169"/>
      <x:c r="B264" s="170"/>
      <x:c r="C264" s="171"/>
      <x:c r="D264" s="172"/>
      <x:c r="E264" s="171"/>
      <x:c r="F264" s="173"/>
      <x:c r="G264" s="174"/>
      <x:c r="H264" s="175"/>
      <x:c r="I264" s="174"/>
      <x:c r="J264" s="176"/>
      <x:c r="K264" s="233"/>
      <x:c r="L264" s="233"/>
      <x:c r="M264" s="122"/>
      <x:c r="N264" s="177" t="str">
        <x:f t="shared" si="90"/>
      </x:c>
      <x:c r="O264" s="122"/>
      <x:c r="P264" s="177" t="str">
        <x:f t="shared" si="91"/>
      </x:c>
      <x:c r="Q264" s="178" t="str">
        <x:f t="shared" si="92"/>
      </x:c>
      <x:c r="R264" s="122"/>
      <x:c r="S264" s="177" t="str">
        <x:f t="shared" si="93"/>
      </x:c>
      <x:c r="T264" s="122"/>
      <x:c r="U264" s="177" t="str">
        <x:f t="shared" si="94"/>
      </x:c>
      <x:c r="V264" s="178" t="str">
        <x:f t="shared" si="95"/>
      </x:c>
      <x:c r="W264" s="122"/>
      <x:c r="X264" s="177" t="str">
        <x:f t="shared" si="96"/>
      </x:c>
      <x:c r="Y264" s="122"/>
      <x:c r="Z264" s="177" t="str">
        <x:f t="shared" si="97"/>
      </x:c>
      <x:c r="AA264" s="178" t="str">
        <x:f t="shared" si="98"/>
      </x:c>
      <x:c r="AB264" s="122"/>
      <x:c r="AC264" s="177" t="str">
        <x:f t="shared" si="99"/>
      </x:c>
      <x:c r="AD264" s="122"/>
      <x:c r="AE264" s="177" t="str">
        <x:f t="shared" si="100"/>
      </x:c>
      <x:c r="AF264" s="178" t="str">
        <x:f t="shared" si="101"/>
      </x:c>
      <x:c r="AG264" s="122"/>
      <x:c r="AH264" s="177" t="str">
        <x:f t="shared" si="102"/>
      </x:c>
      <x:c r="AI264" s="122"/>
      <x:c r="AJ264" s="177" t="str">
        <x:f t="shared" si="103"/>
      </x:c>
      <x:c r="AK264" s="178" t="str">
        <x:f t="shared" si="104"/>
      </x:c>
      <x:c r="AL264" s="122"/>
      <x:c r="AM264" s="177" t="str">
        <x:f t="shared" si="105"/>
      </x:c>
      <x:c r="AN264" s="122"/>
      <x:c r="AO264" s="177" t="str">
        <x:f t="shared" si="106"/>
      </x:c>
      <x:c r="AP264" s="178" t="str">
        <x:f t="shared" si="107"/>
      </x:c>
      <x:c r="AQ264" s="122"/>
      <x:c r="AR264" s="177" t="str">
        <x:f t="shared" si="108"/>
      </x:c>
      <x:c r="AS264" s="122"/>
      <x:c r="AT264" s="177" t="str">
        <x:f t="shared" si="109"/>
      </x:c>
      <x:c r="AU264" s="178" t="str">
        <x:f t="shared" si="110"/>
      </x:c>
      <x:c r="AV264" s="122"/>
      <x:c r="AW264" s="177" t="str">
        <x:f t="shared" si="111"/>
      </x:c>
      <x:c r="AX264" s="122"/>
      <x:c r="AY264" s="177" t="str">
        <x:f t="shared" si="112"/>
      </x:c>
      <x:c r="AZ264" s="178" t="str">
        <x:f t="shared" si="113"/>
      </x:c>
      <x:c r="BA264" s="122"/>
      <x:c r="BB264" s="177" t="str">
        <x:f t="shared" si="114"/>
      </x:c>
      <x:c r="BC264" s="122"/>
      <x:c r="BD264" s="177" t="str">
        <x:f t="shared" si="115"/>
      </x:c>
      <x:c r="BE264" s="178" t="str">
        <x:f t="shared" si="116"/>
      </x:c>
      <x:c r="BF264" s="122"/>
      <x:c r="BG264" s="177" t="str">
        <x:f t="shared" si="117"/>
      </x:c>
      <x:c r="BH264" s="122"/>
      <x:c r="BI264" s="177" t="str">
        <x:f t="shared" si="118"/>
      </x:c>
      <x:c r="BJ264" s="178" t="str">
        <x:f t="shared" si="119"/>
      </x:c>
    </x:row>
    <x:row r="265" ht="19.5" hidden="1" customHeight="1">
      <x:c r="A265" s="160"/>
      <x:c r="B265" s="179"/>
      <x:c r="C265" s="171"/>
      <x:c r="D265" s="172"/>
      <x:c r="E265" s="171"/>
      <x:c r="F265" s="173"/>
      <x:c r="G265" s="174"/>
      <x:c r="H265" s="175"/>
      <x:c r="I265" s="174"/>
      <x:c r="J265" s="176"/>
      <x:c r="K265" s="233"/>
      <x:c r="L265" s="233"/>
      <x:c r="M265" s="122"/>
      <x:c r="N265" s="177" t="str">
        <x:f t="shared" si="90"/>
      </x:c>
      <x:c r="O265" s="122"/>
      <x:c r="P265" s="177" t="str">
        <x:f t="shared" si="91"/>
      </x:c>
      <x:c r="Q265" s="178" t="str">
        <x:f t="shared" si="92"/>
      </x:c>
      <x:c r="R265" s="122"/>
      <x:c r="S265" s="177" t="str">
        <x:f t="shared" si="93"/>
      </x:c>
      <x:c r="T265" s="122"/>
      <x:c r="U265" s="177" t="str">
        <x:f t="shared" si="94"/>
      </x:c>
      <x:c r="V265" s="178" t="str">
        <x:f t="shared" si="95"/>
      </x:c>
      <x:c r="W265" s="122"/>
      <x:c r="X265" s="177" t="str">
        <x:f t="shared" si="96"/>
      </x:c>
      <x:c r="Y265" s="122"/>
      <x:c r="Z265" s="177" t="str">
        <x:f t="shared" si="97"/>
      </x:c>
      <x:c r="AA265" s="178" t="str">
        <x:f t="shared" si="98"/>
      </x:c>
      <x:c r="AB265" s="122"/>
      <x:c r="AC265" s="177" t="str">
        <x:f t="shared" si="99"/>
      </x:c>
      <x:c r="AD265" s="122"/>
      <x:c r="AE265" s="177" t="str">
        <x:f t="shared" si="100"/>
      </x:c>
      <x:c r="AF265" s="178" t="str">
        <x:f t="shared" si="101"/>
      </x:c>
      <x:c r="AG265" s="122"/>
      <x:c r="AH265" s="177" t="str">
        <x:f t="shared" si="102"/>
      </x:c>
      <x:c r="AI265" s="122"/>
      <x:c r="AJ265" s="177" t="str">
        <x:f t="shared" si="103"/>
      </x:c>
      <x:c r="AK265" s="178" t="str">
        <x:f t="shared" si="104"/>
      </x:c>
      <x:c r="AL265" s="122"/>
      <x:c r="AM265" s="177" t="str">
        <x:f t="shared" si="105"/>
      </x:c>
      <x:c r="AN265" s="122"/>
      <x:c r="AO265" s="177" t="str">
        <x:f t="shared" si="106"/>
      </x:c>
      <x:c r="AP265" s="178" t="str">
        <x:f t="shared" si="107"/>
      </x:c>
      <x:c r="AQ265" s="122"/>
      <x:c r="AR265" s="177" t="str">
        <x:f t="shared" si="108"/>
      </x:c>
      <x:c r="AS265" s="122"/>
      <x:c r="AT265" s="177" t="str">
        <x:f t="shared" si="109"/>
      </x:c>
      <x:c r="AU265" s="178" t="str">
        <x:f t="shared" si="110"/>
      </x:c>
      <x:c r="AV265" s="122"/>
      <x:c r="AW265" s="177" t="str">
        <x:f t="shared" si="111"/>
      </x:c>
      <x:c r="AX265" s="122"/>
      <x:c r="AY265" s="177" t="str">
        <x:f t="shared" si="112"/>
      </x:c>
      <x:c r="AZ265" s="178" t="str">
        <x:f t="shared" si="113"/>
      </x:c>
      <x:c r="BA265" s="122"/>
      <x:c r="BB265" s="177" t="str">
        <x:f t="shared" si="114"/>
      </x:c>
      <x:c r="BC265" s="122"/>
      <x:c r="BD265" s="177" t="str">
        <x:f t="shared" si="115"/>
      </x:c>
      <x:c r="BE265" s="178" t="str">
        <x:f t="shared" si="116"/>
      </x:c>
      <x:c r="BF265" s="122"/>
      <x:c r="BG265" s="177" t="str">
        <x:f t="shared" si="117"/>
      </x:c>
      <x:c r="BH265" s="122"/>
      <x:c r="BI265" s="177" t="str">
        <x:f t="shared" si="118"/>
      </x:c>
      <x:c r="BJ265" s="178" t="str">
        <x:f t="shared" si="119"/>
      </x:c>
    </x:row>
    <x:row r="266" ht="19.5" hidden="1" customHeight="1">
      <x:c r="A266" s="169"/>
      <x:c r="B266" s="170"/>
      <x:c r="C266" s="171"/>
      <x:c r="D266" s="172"/>
      <x:c r="E266" s="171"/>
      <x:c r="F266" s="173"/>
      <x:c r="G266" s="174"/>
      <x:c r="H266" s="175"/>
      <x:c r="I266" s="174"/>
      <x:c r="J266" s="176"/>
      <x:c r="K266" s="233"/>
      <x:c r="L266" s="233"/>
      <x:c r="M266" s="122"/>
      <x:c r="N266" s="177" t="str">
        <x:f t="shared" si="90"/>
      </x:c>
      <x:c r="O266" s="122"/>
      <x:c r="P266" s="177" t="str">
        <x:f t="shared" si="91"/>
      </x:c>
      <x:c r="Q266" s="178" t="str">
        <x:f t="shared" si="92"/>
      </x:c>
      <x:c r="R266" s="122"/>
      <x:c r="S266" s="177" t="str">
        <x:f t="shared" si="93"/>
      </x:c>
      <x:c r="T266" s="122"/>
      <x:c r="U266" s="177" t="str">
        <x:f t="shared" si="94"/>
      </x:c>
      <x:c r="V266" s="178" t="str">
        <x:f t="shared" si="95"/>
      </x:c>
      <x:c r="W266" s="122"/>
      <x:c r="X266" s="177" t="str">
        <x:f t="shared" si="96"/>
      </x:c>
      <x:c r="Y266" s="122"/>
      <x:c r="Z266" s="177" t="str">
        <x:f t="shared" si="97"/>
      </x:c>
      <x:c r="AA266" s="178" t="str">
        <x:f t="shared" si="98"/>
      </x:c>
      <x:c r="AB266" s="122"/>
      <x:c r="AC266" s="177" t="str">
        <x:f t="shared" si="99"/>
      </x:c>
      <x:c r="AD266" s="122"/>
      <x:c r="AE266" s="177" t="str">
        <x:f t="shared" si="100"/>
      </x:c>
      <x:c r="AF266" s="178" t="str">
        <x:f t="shared" si="101"/>
      </x:c>
      <x:c r="AG266" s="122"/>
      <x:c r="AH266" s="177" t="str">
        <x:f t="shared" si="102"/>
      </x:c>
      <x:c r="AI266" s="122"/>
      <x:c r="AJ266" s="177" t="str">
        <x:f t="shared" si="103"/>
      </x:c>
      <x:c r="AK266" s="178" t="str">
        <x:f t="shared" si="104"/>
      </x:c>
      <x:c r="AL266" s="122"/>
      <x:c r="AM266" s="177" t="str">
        <x:f t="shared" si="105"/>
      </x:c>
      <x:c r="AN266" s="122"/>
      <x:c r="AO266" s="177" t="str">
        <x:f t="shared" si="106"/>
      </x:c>
      <x:c r="AP266" s="178" t="str">
        <x:f t="shared" si="107"/>
      </x:c>
      <x:c r="AQ266" s="122"/>
      <x:c r="AR266" s="177" t="str">
        <x:f t="shared" si="108"/>
      </x:c>
      <x:c r="AS266" s="122"/>
      <x:c r="AT266" s="177" t="str">
        <x:f t="shared" si="109"/>
      </x:c>
      <x:c r="AU266" s="178" t="str">
        <x:f t="shared" si="110"/>
      </x:c>
      <x:c r="AV266" s="122"/>
      <x:c r="AW266" s="177" t="str">
        <x:f t="shared" si="111"/>
      </x:c>
      <x:c r="AX266" s="122"/>
      <x:c r="AY266" s="177" t="str">
        <x:f t="shared" si="112"/>
      </x:c>
      <x:c r="AZ266" s="178" t="str">
        <x:f t="shared" si="113"/>
      </x:c>
      <x:c r="BA266" s="122"/>
      <x:c r="BB266" s="177" t="str">
        <x:f t="shared" si="114"/>
      </x:c>
      <x:c r="BC266" s="122"/>
      <x:c r="BD266" s="177" t="str">
        <x:f t="shared" si="115"/>
      </x:c>
      <x:c r="BE266" s="178" t="str">
        <x:f t="shared" si="116"/>
      </x:c>
      <x:c r="BF266" s="122"/>
      <x:c r="BG266" s="177" t="str">
        <x:f t="shared" si="117"/>
      </x:c>
      <x:c r="BH266" s="122"/>
      <x:c r="BI266" s="177" t="str">
        <x:f t="shared" si="118"/>
      </x:c>
      <x:c r="BJ266" s="178" t="str">
        <x:f t="shared" si="119"/>
      </x:c>
    </x:row>
    <x:row r="267" ht="19.5" hidden="1" customHeight="1">
      <x:c r="A267" s="160"/>
      <x:c r="B267" s="179"/>
      <x:c r="C267" s="171"/>
      <x:c r="D267" s="172"/>
      <x:c r="E267" s="171"/>
      <x:c r="F267" s="173"/>
      <x:c r="G267" s="174"/>
      <x:c r="H267" s="175"/>
      <x:c r="I267" s="174"/>
      <x:c r="J267" s="176"/>
      <x:c r="K267" s="233"/>
      <x:c r="L267" s="233"/>
      <x:c r="M267" s="122"/>
      <x:c r="N267" s="177" t="str">
        <x:f t="shared" si="90"/>
      </x:c>
      <x:c r="O267" s="122"/>
      <x:c r="P267" s="177" t="str">
        <x:f t="shared" si="91"/>
      </x:c>
      <x:c r="Q267" s="178" t="str">
        <x:f t="shared" si="92"/>
      </x:c>
      <x:c r="R267" s="122"/>
      <x:c r="S267" s="177" t="str">
        <x:f t="shared" si="93"/>
      </x:c>
      <x:c r="T267" s="122"/>
      <x:c r="U267" s="177" t="str">
        <x:f t="shared" si="94"/>
      </x:c>
      <x:c r="V267" s="178" t="str">
        <x:f t="shared" si="95"/>
      </x:c>
      <x:c r="W267" s="122"/>
      <x:c r="X267" s="177" t="str">
        <x:f t="shared" si="96"/>
      </x:c>
      <x:c r="Y267" s="122"/>
      <x:c r="Z267" s="177" t="str">
        <x:f t="shared" si="97"/>
      </x:c>
      <x:c r="AA267" s="178" t="str">
        <x:f t="shared" si="98"/>
      </x:c>
      <x:c r="AB267" s="122"/>
      <x:c r="AC267" s="177" t="str">
        <x:f t="shared" si="99"/>
      </x:c>
      <x:c r="AD267" s="122"/>
      <x:c r="AE267" s="177" t="str">
        <x:f t="shared" si="100"/>
      </x:c>
      <x:c r="AF267" s="178" t="str">
        <x:f t="shared" si="101"/>
      </x:c>
      <x:c r="AG267" s="122"/>
      <x:c r="AH267" s="177" t="str">
        <x:f t="shared" si="102"/>
      </x:c>
      <x:c r="AI267" s="122"/>
      <x:c r="AJ267" s="177" t="str">
        <x:f t="shared" si="103"/>
      </x:c>
      <x:c r="AK267" s="178" t="str">
        <x:f t="shared" si="104"/>
      </x:c>
      <x:c r="AL267" s="122"/>
      <x:c r="AM267" s="177" t="str">
        <x:f t="shared" si="105"/>
      </x:c>
      <x:c r="AN267" s="122"/>
      <x:c r="AO267" s="177" t="str">
        <x:f t="shared" si="106"/>
      </x:c>
      <x:c r="AP267" s="178" t="str">
        <x:f t="shared" si="107"/>
      </x:c>
      <x:c r="AQ267" s="122"/>
      <x:c r="AR267" s="177" t="str">
        <x:f t="shared" si="108"/>
      </x:c>
      <x:c r="AS267" s="122"/>
      <x:c r="AT267" s="177" t="str">
        <x:f t="shared" si="109"/>
      </x:c>
      <x:c r="AU267" s="178" t="str">
        <x:f t="shared" si="110"/>
      </x:c>
      <x:c r="AV267" s="122"/>
      <x:c r="AW267" s="177" t="str">
        <x:f t="shared" si="111"/>
      </x:c>
      <x:c r="AX267" s="122"/>
      <x:c r="AY267" s="177" t="str">
        <x:f t="shared" si="112"/>
      </x:c>
      <x:c r="AZ267" s="178" t="str">
        <x:f t="shared" si="113"/>
      </x:c>
      <x:c r="BA267" s="122"/>
      <x:c r="BB267" s="177" t="str">
        <x:f t="shared" si="114"/>
      </x:c>
      <x:c r="BC267" s="122"/>
      <x:c r="BD267" s="177" t="str">
        <x:f t="shared" si="115"/>
      </x:c>
      <x:c r="BE267" s="178" t="str">
        <x:f t="shared" si="116"/>
      </x:c>
      <x:c r="BF267" s="122"/>
      <x:c r="BG267" s="177" t="str">
        <x:f t="shared" si="117"/>
      </x:c>
      <x:c r="BH267" s="122"/>
      <x:c r="BI267" s="177" t="str">
        <x:f t="shared" si="118"/>
      </x:c>
      <x:c r="BJ267" s="178" t="str">
        <x:f t="shared" si="119"/>
      </x:c>
    </x:row>
    <x:row r="268" ht="19.5" hidden="1" customHeight="1">
      <x:c r="A268" s="169"/>
      <x:c r="B268" s="170"/>
      <x:c r="C268" s="171"/>
      <x:c r="D268" s="172"/>
      <x:c r="E268" s="171"/>
      <x:c r="F268" s="173"/>
      <x:c r="G268" s="174"/>
      <x:c r="H268" s="175"/>
      <x:c r="I268" s="174"/>
      <x:c r="J268" s="176"/>
      <x:c r="K268" s="233"/>
      <x:c r="L268" s="233"/>
      <x:c r="M268" s="122"/>
      <x:c r="N268" s="177" t="str">
        <x:f t="shared" si="90"/>
      </x:c>
      <x:c r="O268" s="122"/>
      <x:c r="P268" s="177" t="str">
        <x:f t="shared" si="91"/>
      </x:c>
      <x:c r="Q268" s="178" t="str">
        <x:f t="shared" si="92"/>
      </x:c>
      <x:c r="R268" s="122"/>
      <x:c r="S268" s="177" t="str">
        <x:f t="shared" si="93"/>
      </x:c>
      <x:c r="T268" s="122"/>
      <x:c r="U268" s="177" t="str">
        <x:f t="shared" si="94"/>
      </x:c>
      <x:c r="V268" s="178" t="str">
        <x:f t="shared" si="95"/>
      </x:c>
      <x:c r="W268" s="122"/>
      <x:c r="X268" s="177" t="str">
        <x:f t="shared" si="96"/>
      </x:c>
      <x:c r="Y268" s="122"/>
      <x:c r="Z268" s="177" t="str">
        <x:f t="shared" si="97"/>
      </x:c>
      <x:c r="AA268" s="178" t="str">
        <x:f t="shared" si="98"/>
      </x:c>
      <x:c r="AB268" s="122"/>
      <x:c r="AC268" s="177" t="str">
        <x:f t="shared" si="99"/>
      </x:c>
      <x:c r="AD268" s="122"/>
      <x:c r="AE268" s="177" t="str">
        <x:f t="shared" si="100"/>
      </x:c>
      <x:c r="AF268" s="178" t="str">
        <x:f t="shared" si="101"/>
      </x:c>
      <x:c r="AG268" s="122"/>
      <x:c r="AH268" s="177" t="str">
        <x:f t="shared" si="102"/>
      </x:c>
      <x:c r="AI268" s="122"/>
      <x:c r="AJ268" s="177" t="str">
        <x:f t="shared" si="103"/>
      </x:c>
      <x:c r="AK268" s="178" t="str">
        <x:f t="shared" si="104"/>
      </x:c>
      <x:c r="AL268" s="122"/>
      <x:c r="AM268" s="177" t="str">
        <x:f t="shared" si="105"/>
      </x:c>
      <x:c r="AN268" s="122"/>
      <x:c r="AO268" s="177" t="str">
        <x:f t="shared" si="106"/>
      </x:c>
      <x:c r="AP268" s="178" t="str">
        <x:f t="shared" si="107"/>
      </x:c>
      <x:c r="AQ268" s="122"/>
      <x:c r="AR268" s="177" t="str">
        <x:f t="shared" si="108"/>
      </x:c>
      <x:c r="AS268" s="122"/>
      <x:c r="AT268" s="177" t="str">
        <x:f t="shared" si="109"/>
      </x:c>
      <x:c r="AU268" s="178" t="str">
        <x:f t="shared" si="110"/>
      </x:c>
      <x:c r="AV268" s="122"/>
      <x:c r="AW268" s="177" t="str">
        <x:f t="shared" si="111"/>
      </x:c>
      <x:c r="AX268" s="122"/>
      <x:c r="AY268" s="177" t="str">
        <x:f t="shared" si="112"/>
      </x:c>
      <x:c r="AZ268" s="178" t="str">
        <x:f t="shared" si="113"/>
      </x:c>
      <x:c r="BA268" s="122"/>
      <x:c r="BB268" s="177" t="str">
        <x:f t="shared" si="114"/>
      </x:c>
      <x:c r="BC268" s="122"/>
      <x:c r="BD268" s="177" t="str">
        <x:f t="shared" si="115"/>
      </x:c>
      <x:c r="BE268" s="178" t="str">
        <x:f t="shared" si="116"/>
      </x:c>
      <x:c r="BF268" s="122"/>
      <x:c r="BG268" s="177" t="str">
        <x:f t="shared" si="117"/>
      </x:c>
      <x:c r="BH268" s="122"/>
      <x:c r="BI268" s="177" t="str">
        <x:f t="shared" si="118"/>
      </x:c>
      <x:c r="BJ268" s="178" t="str">
        <x:f t="shared" si="119"/>
      </x:c>
    </x:row>
    <x:row r="269" ht="19.5" hidden="1" customHeight="1">
      <x:c r="A269" s="160"/>
      <x:c r="B269" s="179"/>
      <x:c r="C269" s="171"/>
      <x:c r="D269" s="172"/>
      <x:c r="E269" s="171"/>
      <x:c r="F269" s="173"/>
      <x:c r="G269" s="174"/>
      <x:c r="H269" s="175"/>
      <x:c r="I269" s="174"/>
      <x:c r="J269" s="176"/>
      <x:c r="K269" s="233"/>
      <x:c r="L269" s="233"/>
      <x:c r="M269" s="122"/>
      <x:c r="N269" s="177" t="str">
        <x:f t="shared" si="90"/>
      </x:c>
      <x:c r="O269" s="122"/>
      <x:c r="P269" s="177" t="str">
        <x:f t="shared" si="91"/>
      </x:c>
      <x:c r="Q269" s="178" t="str">
        <x:f t="shared" si="92"/>
      </x:c>
      <x:c r="R269" s="122"/>
      <x:c r="S269" s="177" t="str">
        <x:f t="shared" si="93"/>
      </x:c>
      <x:c r="T269" s="122"/>
      <x:c r="U269" s="177" t="str">
        <x:f t="shared" si="94"/>
      </x:c>
      <x:c r="V269" s="178" t="str">
        <x:f t="shared" si="95"/>
      </x:c>
      <x:c r="W269" s="122"/>
      <x:c r="X269" s="177" t="str">
        <x:f t="shared" si="96"/>
      </x:c>
      <x:c r="Y269" s="122"/>
      <x:c r="Z269" s="177" t="str">
        <x:f t="shared" si="97"/>
      </x:c>
      <x:c r="AA269" s="178" t="str">
        <x:f t="shared" si="98"/>
      </x:c>
      <x:c r="AB269" s="122"/>
      <x:c r="AC269" s="177" t="str">
        <x:f t="shared" si="99"/>
      </x:c>
      <x:c r="AD269" s="122"/>
      <x:c r="AE269" s="177" t="str">
        <x:f t="shared" si="100"/>
      </x:c>
      <x:c r="AF269" s="178" t="str">
        <x:f t="shared" si="101"/>
      </x:c>
      <x:c r="AG269" s="122"/>
      <x:c r="AH269" s="177" t="str">
        <x:f t="shared" si="102"/>
      </x:c>
      <x:c r="AI269" s="122"/>
      <x:c r="AJ269" s="177" t="str">
        <x:f t="shared" si="103"/>
      </x:c>
      <x:c r="AK269" s="178" t="str">
        <x:f t="shared" si="104"/>
      </x:c>
      <x:c r="AL269" s="122"/>
      <x:c r="AM269" s="177" t="str">
        <x:f t="shared" si="105"/>
      </x:c>
      <x:c r="AN269" s="122"/>
      <x:c r="AO269" s="177" t="str">
        <x:f t="shared" si="106"/>
      </x:c>
      <x:c r="AP269" s="178" t="str">
        <x:f t="shared" si="107"/>
      </x:c>
      <x:c r="AQ269" s="122"/>
      <x:c r="AR269" s="177" t="str">
        <x:f t="shared" si="108"/>
      </x:c>
      <x:c r="AS269" s="122"/>
      <x:c r="AT269" s="177" t="str">
        <x:f t="shared" si="109"/>
      </x:c>
      <x:c r="AU269" s="178" t="str">
        <x:f t="shared" si="110"/>
      </x:c>
      <x:c r="AV269" s="122"/>
      <x:c r="AW269" s="177" t="str">
        <x:f t="shared" si="111"/>
      </x:c>
      <x:c r="AX269" s="122"/>
      <x:c r="AY269" s="177" t="str">
        <x:f t="shared" si="112"/>
      </x:c>
      <x:c r="AZ269" s="178" t="str">
        <x:f t="shared" si="113"/>
      </x:c>
      <x:c r="BA269" s="122"/>
      <x:c r="BB269" s="177" t="str">
        <x:f t="shared" si="114"/>
      </x:c>
      <x:c r="BC269" s="122"/>
      <x:c r="BD269" s="177" t="str">
        <x:f t="shared" si="115"/>
      </x:c>
      <x:c r="BE269" s="178" t="str">
        <x:f t="shared" si="116"/>
      </x:c>
      <x:c r="BF269" s="122"/>
      <x:c r="BG269" s="177" t="str">
        <x:f t="shared" si="117"/>
      </x:c>
      <x:c r="BH269" s="122"/>
      <x:c r="BI269" s="177" t="str">
        <x:f t="shared" si="118"/>
      </x:c>
      <x:c r="BJ269" s="178" t="str">
        <x:f t="shared" si="119"/>
      </x:c>
    </x:row>
    <x:row r="270" ht="19.5" hidden="1" customHeight="1">
      <x:c r="A270" s="169"/>
      <x:c r="B270" s="170"/>
      <x:c r="C270" s="171"/>
      <x:c r="D270" s="172"/>
      <x:c r="E270" s="171"/>
      <x:c r="F270" s="173"/>
      <x:c r="G270" s="174"/>
      <x:c r="H270" s="175"/>
      <x:c r="I270" s="174"/>
      <x:c r="J270" s="176"/>
      <x:c r="K270" s="233"/>
      <x:c r="L270" s="233"/>
      <x:c r="M270" s="122"/>
      <x:c r="N270" s="177" t="str">
        <x:f t="shared" si="90"/>
      </x:c>
      <x:c r="O270" s="122"/>
      <x:c r="P270" s="177" t="str">
        <x:f t="shared" si="91"/>
      </x:c>
      <x:c r="Q270" s="178" t="str">
        <x:f t="shared" si="92"/>
      </x:c>
      <x:c r="R270" s="122"/>
      <x:c r="S270" s="177" t="str">
        <x:f t="shared" si="93"/>
      </x:c>
      <x:c r="T270" s="122"/>
      <x:c r="U270" s="177" t="str">
        <x:f t="shared" si="94"/>
      </x:c>
      <x:c r="V270" s="178" t="str">
        <x:f t="shared" si="95"/>
      </x:c>
      <x:c r="W270" s="122"/>
      <x:c r="X270" s="177" t="str">
        <x:f t="shared" si="96"/>
      </x:c>
      <x:c r="Y270" s="122"/>
      <x:c r="Z270" s="177" t="str">
        <x:f t="shared" si="97"/>
      </x:c>
      <x:c r="AA270" s="178" t="str">
        <x:f t="shared" si="98"/>
      </x:c>
      <x:c r="AB270" s="122"/>
      <x:c r="AC270" s="177" t="str">
        <x:f t="shared" si="99"/>
      </x:c>
      <x:c r="AD270" s="122"/>
      <x:c r="AE270" s="177" t="str">
        <x:f t="shared" si="100"/>
      </x:c>
      <x:c r="AF270" s="178" t="str">
        <x:f t="shared" si="101"/>
      </x:c>
      <x:c r="AG270" s="122"/>
      <x:c r="AH270" s="177" t="str">
        <x:f t="shared" si="102"/>
      </x:c>
      <x:c r="AI270" s="122"/>
      <x:c r="AJ270" s="177" t="str">
        <x:f t="shared" si="103"/>
      </x:c>
      <x:c r="AK270" s="178" t="str">
        <x:f t="shared" si="104"/>
      </x:c>
      <x:c r="AL270" s="122"/>
      <x:c r="AM270" s="177" t="str">
        <x:f t="shared" si="105"/>
      </x:c>
      <x:c r="AN270" s="122"/>
      <x:c r="AO270" s="177" t="str">
        <x:f t="shared" si="106"/>
      </x:c>
      <x:c r="AP270" s="178" t="str">
        <x:f t="shared" si="107"/>
      </x:c>
      <x:c r="AQ270" s="122"/>
      <x:c r="AR270" s="177" t="str">
        <x:f t="shared" si="108"/>
      </x:c>
      <x:c r="AS270" s="122"/>
      <x:c r="AT270" s="177" t="str">
        <x:f t="shared" si="109"/>
      </x:c>
      <x:c r="AU270" s="178" t="str">
        <x:f t="shared" si="110"/>
      </x:c>
      <x:c r="AV270" s="122"/>
      <x:c r="AW270" s="177" t="str">
        <x:f t="shared" si="111"/>
      </x:c>
      <x:c r="AX270" s="122"/>
      <x:c r="AY270" s="177" t="str">
        <x:f t="shared" si="112"/>
      </x:c>
      <x:c r="AZ270" s="178" t="str">
        <x:f t="shared" si="113"/>
      </x:c>
      <x:c r="BA270" s="122"/>
      <x:c r="BB270" s="177" t="str">
        <x:f t="shared" si="114"/>
      </x:c>
      <x:c r="BC270" s="122"/>
      <x:c r="BD270" s="177" t="str">
        <x:f t="shared" si="115"/>
      </x:c>
      <x:c r="BE270" s="178" t="str">
        <x:f t="shared" si="116"/>
      </x:c>
      <x:c r="BF270" s="122"/>
      <x:c r="BG270" s="177" t="str">
        <x:f t="shared" si="117"/>
      </x:c>
      <x:c r="BH270" s="122"/>
      <x:c r="BI270" s="177" t="str">
        <x:f t="shared" si="118"/>
      </x:c>
      <x:c r="BJ270" s="178" t="str">
        <x:f t="shared" si="119"/>
      </x:c>
    </x:row>
    <x:row r="271" ht="19.5" hidden="1" customHeight="1">
      <x:c r="A271" s="160"/>
      <x:c r="B271" s="179"/>
      <x:c r="C271" s="171"/>
      <x:c r="D271" s="172"/>
      <x:c r="E271" s="171"/>
      <x:c r="F271" s="173"/>
      <x:c r="G271" s="174"/>
      <x:c r="H271" s="175"/>
      <x:c r="I271" s="174"/>
      <x:c r="J271" s="176"/>
      <x:c r="K271" s="233"/>
      <x:c r="L271" s="233"/>
      <x:c r="M271" s="122"/>
      <x:c r="N271" s="177" t="str">
        <x:f t="shared" si="90"/>
      </x:c>
      <x:c r="O271" s="122"/>
      <x:c r="P271" s="177" t="str">
        <x:f t="shared" si="91"/>
      </x:c>
      <x:c r="Q271" s="178" t="str">
        <x:f t="shared" si="92"/>
      </x:c>
      <x:c r="R271" s="122"/>
      <x:c r="S271" s="177" t="str">
        <x:f t="shared" si="93"/>
      </x:c>
      <x:c r="T271" s="122"/>
      <x:c r="U271" s="177" t="str">
        <x:f t="shared" si="94"/>
      </x:c>
      <x:c r="V271" s="178" t="str">
        <x:f t="shared" si="95"/>
      </x:c>
      <x:c r="W271" s="122"/>
      <x:c r="X271" s="177" t="str">
        <x:f t="shared" si="96"/>
      </x:c>
      <x:c r="Y271" s="122"/>
      <x:c r="Z271" s="177" t="str">
        <x:f t="shared" si="97"/>
      </x:c>
      <x:c r="AA271" s="178" t="str">
        <x:f t="shared" si="98"/>
      </x:c>
      <x:c r="AB271" s="122"/>
      <x:c r="AC271" s="177" t="str">
        <x:f t="shared" si="99"/>
      </x:c>
      <x:c r="AD271" s="122"/>
      <x:c r="AE271" s="177" t="str">
        <x:f t="shared" si="100"/>
      </x:c>
      <x:c r="AF271" s="178" t="str">
        <x:f t="shared" si="101"/>
      </x:c>
      <x:c r="AG271" s="122"/>
      <x:c r="AH271" s="177" t="str">
        <x:f t="shared" si="102"/>
      </x:c>
      <x:c r="AI271" s="122"/>
      <x:c r="AJ271" s="177" t="str">
        <x:f t="shared" si="103"/>
      </x:c>
      <x:c r="AK271" s="178" t="str">
        <x:f t="shared" si="104"/>
      </x:c>
      <x:c r="AL271" s="122"/>
      <x:c r="AM271" s="177" t="str">
        <x:f t="shared" si="105"/>
      </x:c>
      <x:c r="AN271" s="122"/>
      <x:c r="AO271" s="177" t="str">
        <x:f t="shared" si="106"/>
      </x:c>
      <x:c r="AP271" s="178" t="str">
        <x:f t="shared" si="107"/>
      </x:c>
      <x:c r="AQ271" s="122"/>
      <x:c r="AR271" s="177" t="str">
        <x:f t="shared" si="108"/>
      </x:c>
      <x:c r="AS271" s="122"/>
      <x:c r="AT271" s="177" t="str">
        <x:f t="shared" si="109"/>
      </x:c>
      <x:c r="AU271" s="178" t="str">
        <x:f t="shared" si="110"/>
      </x:c>
      <x:c r="AV271" s="122"/>
      <x:c r="AW271" s="177" t="str">
        <x:f t="shared" si="111"/>
      </x:c>
      <x:c r="AX271" s="122"/>
      <x:c r="AY271" s="177" t="str">
        <x:f t="shared" si="112"/>
      </x:c>
      <x:c r="AZ271" s="178" t="str">
        <x:f t="shared" si="113"/>
      </x:c>
      <x:c r="BA271" s="122"/>
      <x:c r="BB271" s="177" t="str">
        <x:f t="shared" si="114"/>
      </x:c>
      <x:c r="BC271" s="122"/>
      <x:c r="BD271" s="177" t="str">
        <x:f t="shared" si="115"/>
      </x:c>
      <x:c r="BE271" s="178" t="str">
        <x:f t="shared" si="116"/>
      </x:c>
      <x:c r="BF271" s="122"/>
      <x:c r="BG271" s="177" t="str">
        <x:f t="shared" si="117"/>
      </x:c>
      <x:c r="BH271" s="122"/>
      <x:c r="BI271" s="177" t="str">
        <x:f t="shared" si="118"/>
      </x:c>
      <x:c r="BJ271" s="178" t="str">
        <x:f t="shared" si="119"/>
      </x:c>
    </x:row>
    <x:row r="272" ht="19.5" hidden="1" customHeight="1">
      <x:c r="A272" s="169"/>
      <x:c r="B272" s="170"/>
      <x:c r="C272" s="171"/>
      <x:c r="D272" s="172"/>
      <x:c r="E272" s="171"/>
      <x:c r="F272" s="173"/>
      <x:c r="G272" s="174"/>
      <x:c r="H272" s="175"/>
      <x:c r="I272" s="174"/>
      <x:c r="J272" s="176"/>
      <x:c r="K272" s="233"/>
      <x:c r="L272" s="233"/>
      <x:c r="M272" s="122"/>
      <x:c r="N272" s="177" t="str">
        <x:f t="shared" si="90"/>
      </x:c>
      <x:c r="O272" s="122"/>
      <x:c r="P272" s="177" t="str">
        <x:f t="shared" si="91"/>
      </x:c>
      <x:c r="Q272" s="178" t="str">
        <x:f t="shared" si="92"/>
      </x:c>
      <x:c r="R272" s="122"/>
      <x:c r="S272" s="177" t="str">
        <x:f t="shared" si="93"/>
      </x:c>
      <x:c r="T272" s="122"/>
      <x:c r="U272" s="177" t="str">
        <x:f t="shared" si="94"/>
      </x:c>
      <x:c r="V272" s="178" t="str">
        <x:f t="shared" si="95"/>
      </x:c>
      <x:c r="W272" s="122"/>
      <x:c r="X272" s="177" t="str">
        <x:f t="shared" si="96"/>
      </x:c>
      <x:c r="Y272" s="122"/>
      <x:c r="Z272" s="177" t="str">
        <x:f t="shared" si="97"/>
      </x:c>
      <x:c r="AA272" s="178" t="str">
        <x:f t="shared" si="98"/>
      </x:c>
      <x:c r="AB272" s="122"/>
      <x:c r="AC272" s="177" t="str">
        <x:f t="shared" si="99"/>
      </x:c>
      <x:c r="AD272" s="122"/>
      <x:c r="AE272" s="177" t="str">
        <x:f t="shared" si="100"/>
      </x:c>
      <x:c r="AF272" s="178" t="str">
        <x:f t="shared" si="101"/>
      </x:c>
      <x:c r="AG272" s="122"/>
      <x:c r="AH272" s="177" t="str">
        <x:f t="shared" si="102"/>
      </x:c>
      <x:c r="AI272" s="122"/>
      <x:c r="AJ272" s="177" t="str">
        <x:f t="shared" si="103"/>
      </x:c>
      <x:c r="AK272" s="178" t="str">
        <x:f t="shared" si="104"/>
      </x:c>
      <x:c r="AL272" s="122"/>
      <x:c r="AM272" s="177" t="str">
        <x:f t="shared" si="105"/>
      </x:c>
      <x:c r="AN272" s="122"/>
      <x:c r="AO272" s="177" t="str">
        <x:f t="shared" si="106"/>
      </x:c>
      <x:c r="AP272" s="178" t="str">
        <x:f t="shared" si="107"/>
      </x:c>
      <x:c r="AQ272" s="122"/>
      <x:c r="AR272" s="177" t="str">
        <x:f t="shared" si="108"/>
      </x:c>
      <x:c r="AS272" s="122"/>
      <x:c r="AT272" s="177" t="str">
        <x:f t="shared" si="109"/>
      </x:c>
      <x:c r="AU272" s="178" t="str">
        <x:f t="shared" si="110"/>
      </x:c>
      <x:c r="AV272" s="122"/>
      <x:c r="AW272" s="177" t="str">
        <x:f t="shared" si="111"/>
      </x:c>
      <x:c r="AX272" s="122"/>
      <x:c r="AY272" s="177" t="str">
        <x:f t="shared" si="112"/>
      </x:c>
      <x:c r="AZ272" s="178" t="str">
        <x:f t="shared" si="113"/>
      </x:c>
      <x:c r="BA272" s="122"/>
      <x:c r="BB272" s="177" t="str">
        <x:f t="shared" si="114"/>
      </x:c>
      <x:c r="BC272" s="122"/>
      <x:c r="BD272" s="177" t="str">
        <x:f t="shared" si="115"/>
      </x:c>
      <x:c r="BE272" s="178" t="str">
        <x:f t="shared" si="116"/>
      </x:c>
      <x:c r="BF272" s="122"/>
      <x:c r="BG272" s="177" t="str">
        <x:f t="shared" si="117"/>
      </x:c>
      <x:c r="BH272" s="122"/>
      <x:c r="BI272" s="177" t="str">
        <x:f t="shared" si="118"/>
      </x:c>
      <x:c r="BJ272" s="178" t="str">
        <x:f t="shared" si="119"/>
      </x:c>
    </x:row>
    <x:row r="273" ht="19.5" hidden="1" customHeight="1">
      <x:c r="A273" s="160"/>
      <x:c r="B273" s="179"/>
      <x:c r="C273" s="171"/>
      <x:c r="D273" s="172"/>
      <x:c r="E273" s="171"/>
      <x:c r="F273" s="173"/>
      <x:c r="G273" s="174"/>
      <x:c r="H273" s="175"/>
      <x:c r="I273" s="174"/>
      <x:c r="J273" s="176"/>
      <x:c r="K273" s="233"/>
      <x:c r="L273" s="233"/>
      <x:c r="M273" s="122"/>
      <x:c r="N273" s="177" t="str">
        <x:f t="shared" si="90"/>
      </x:c>
      <x:c r="O273" s="122"/>
      <x:c r="P273" s="177" t="str">
        <x:f t="shared" si="91"/>
      </x:c>
      <x:c r="Q273" s="178" t="str">
        <x:f t="shared" si="92"/>
      </x:c>
      <x:c r="R273" s="122"/>
      <x:c r="S273" s="177" t="str">
        <x:f t="shared" si="93"/>
      </x:c>
      <x:c r="T273" s="122"/>
      <x:c r="U273" s="177" t="str">
        <x:f t="shared" si="94"/>
      </x:c>
      <x:c r="V273" s="178" t="str">
        <x:f t="shared" si="95"/>
      </x:c>
      <x:c r="W273" s="122"/>
      <x:c r="X273" s="177" t="str">
        <x:f t="shared" si="96"/>
      </x:c>
      <x:c r="Y273" s="122"/>
      <x:c r="Z273" s="177" t="str">
        <x:f t="shared" si="97"/>
      </x:c>
      <x:c r="AA273" s="178" t="str">
        <x:f t="shared" si="98"/>
      </x:c>
      <x:c r="AB273" s="122"/>
      <x:c r="AC273" s="177" t="str">
        <x:f t="shared" si="99"/>
      </x:c>
      <x:c r="AD273" s="122"/>
      <x:c r="AE273" s="177" t="str">
        <x:f t="shared" si="100"/>
      </x:c>
      <x:c r="AF273" s="178" t="str">
        <x:f t="shared" si="101"/>
      </x:c>
      <x:c r="AG273" s="122"/>
      <x:c r="AH273" s="177" t="str">
        <x:f t="shared" si="102"/>
      </x:c>
      <x:c r="AI273" s="122"/>
      <x:c r="AJ273" s="177" t="str">
        <x:f t="shared" si="103"/>
      </x:c>
      <x:c r="AK273" s="178" t="str">
        <x:f t="shared" si="104"/>
      </x:c>
      <x:c r="AL273" s="122"/>
      <x:c r="AM273" s="177" t="str">
        <x:f t="shared" si="105"/>
      </x:c>
      <x:c r="AN273" s="122"/>
      <x:c r="AO273" s="177" t="str">
        <x:f t="shared" si="106"/>
      </x:c>
      <x:c r="AP273" s="178" t="str">
        <x:f t="shared" si="107"/>
      </x:c>
      <x:c r="AQ273" s="122"/>
      <x:c r="AR273" s="177" t="str">
        <x:f t="shared" si="108"/>
      </x:c>
      <x:c r="AS273" s="122"/>
      <x:c r="AT273" s="177" t="str">
        <x:f t="shared" si="109"/>
      </x:c>
      <x:c r="AU273" s="178" t="str">
        <x:f t="shared" si="110"/>
      </x:c>
      <x:c r="AV273" s="122"/>
      <x:c r="AW273" s="177" t="str">
        <x:f t="shared" si="111"/>
      </x:c>
      <x:c r="AX273" s="122"/>
      <x:c r="AY273" s="177" t="str">
        <x:f t="shared" si="112"/>
      </x:c>
      <x:c r="AZ273" s="178" t="str">
        <x:f t="shared" si="113"/>
      </x:c>
      <x:c r="BA273" s="122"/>
      <x:c r="BB273" s="177" t="str">
        <x:f t="shared" si="114"/>
      </x:c>
      <x:c r="BC273" s="122"/>
      <x:c r="BD273" s="177" t="str">
        <x:f t="shared" si="115"/>
      </x:c>
      <x:c r="BE273" s="178" t="str">
        <x:f t="shared" si="116"/>
      </x:c>
      <x:c r="BF273" s="122"/>
      <x:c r="BG273" s="177" t="str">
        <x:f t="shared" si="117"/>
      </x:c>
      <x:c r="BH273" s="122"/>
      <x:c r="BI273" s="177" t="str">
        <x:f t="shared" si="118"/>
      </x:c>
      <x:c r="BJ273" s="178" t="str">
        <x:f t="shared" si="119"/>
      </x:c>
    </x:row>
    <x:row r="274" ht="19.5" hidden="1" customHeight="1">
      <x:c r="A274" s="169"/>
      <x:c r="B274" s="170"/>
      <x:c r="C274" s="171"/>
      <x:c r="D274" s="172"/>
      <x:c r="E274" s="171"/>
      <x:c r="F274" s="173"/>
      <x:c r="G274" s="174"/>
      <x:c r="H274" s="175"/>
      <x:c r="I274" s="174"/>
      <x:c r="J274" s="176"/>
      <x:c r="K274" s="233"/>
      <x:c r="L274" s="233"/>
      <x:c r="M274" s="122"/>
      <x:c r="N274" s="177" t="str">
        <x:f t="shared" si="90"/>
      </x:c>
      <x:c r="O274" s="122"/>
      <x:c r="P274" s="177" t="str">
        <x:f t="shared" si="91"/>
      </x:c>
      <x:c r="Q274" s="178" t="str">
        <x:f t="shared" si="92"/>
      </x:c>
      <x:c r="R274" s="122"/>
      <x:c r="S274" s="177" t="str">
        <x:f t="shared" si="93"/>
      </x:c>
      <x:c r="T274" s="122"/>
      <x:c r="U274" s="177" t="str">
        <x:f t="shared" si="94"/>
      </x:c>
      <x:c r="V274" s="178" t="str">
        <x:f t="shared" si="95"/>
      </x:c>
      <x:c r="W274" s="122"/>
      <x:c r="X274" s="177" t="str">
        <x:f t="shared" si="96"/>
      </x:c>
      <x:c r="Y274" s="122"/>
      <x:c r="Z274" s="177" t="str">
        <x:f t="shared" si="97"/>
      </x:c>
      <x:c r="AA274" s="178" t="str">
        <x:f t="shared" si="98"/>
      </x:c>
      <x:c r="AB274" s="122"/>
      <x:c r="AC274" s="177" t="str">
        <x:f t="shared" si="99"/>
      </x:c>
      <x:c r="AD274" s="122"/>
      <x:c r="AE274" s="177" t="str">
        <x:f t="shared" si="100"/>
      </x:c>
      <x:c r="AF274" s="178" t="str">
        <x:f t="shared" si="101"/>
      </x:c>
      <x:c r="AG274" s="122"/>
      <x:c r="AH274" s="177" t="str">
        <x:f t="shared" si="102"/>
      </x:c>
      <x:c r="AI274" s="122"/>
      <x:c r="AJ274" s="177" t="str">
        <x:f t="shared" si="103"/>
      </x:c>
      <x:c r="AK274" s="178" t="str">
        <x:f t="shared" si="104"/>
      </x:c>
      <x:c r="AL274" s="122"/>
      <x:c r="AM274" s="177" t="str">
        <x:f t="shared" si="105"/>
      </x:c>
      <x:c r="AN274" s="122"/>
      <x:c r="AO274" s="177" t="str">
        <x:f t="shared" si="106"/>
      </x:c>
      <x:c r="AP274" s="178" t="str">
        <x:f t="shared" si="107"/>
      </x:c>
      <x:c r="AQ274" s="122"/>
      <x:c r="AR274" s="177" t="str">
        <x:f t="shared" si="108"/>
      </x:c>
      <x:c r="AS274" s="122"/>
      <x:c r="AT274" s="177" t="str">
        <x:f t="shared" si="109"/>
      </x:c>
      <x:c r="AU274" s="178" t="str">
        <x:f t="shared" si="110"/>
      </x:c>
      <x:c r="AV274" s="122"/>
      <x:c r="AW274" s="177" t="str">
        <x:f t="shared" si="111"/>
      </x:c>
      <x:c r="AX274" s="122"/>
      <x:c r="AY274" s="177" t="str">
        <x:f t="shared" si="112"/>
      </x:c>
      <x:c r="AZ274" s="178" t="str">
        <x:f t="shared" si="113"/>
      </x:c>
      <x:c r="BA274" s="122"/>
      <x:c r="BB274" s="177" t="str">
        <x:f t="shared" si="114"/>
      </x:c>
      <x:c r="BC274" s="122"/>
      <x:c r="BD274" s="177" t="str">
        <x:f t="shared" si="115"/>
      </x:c>
      <x:c r="BE274" s="178" t="str">
        <x:f t="shared" si="116"/>
      </x:c>
      <x:c r="BF274" s="122"/>
      <x:c r="BG274" s="177" t="str">
        <x:f t="shared" si="117"/>
      </x:c>
      <x:c r="BH274" s="122"/>
      <x:c r="BI274" s="177" t="str">
        <x:f t="shared" si="118"/>
      </x:c>
      <x:c r="BJ274" s="178" t="str">
        <x:f t="shared" si="119"/>
      </x:c>
    </x:row>
    <x:row r="275" ht="19.5" hidden="1" customHeight="1">
      <x:c r="A275" s="160"/>
      <x:c r="B275" s="179"/>
      <x:c r="C275" s="171"/>
      <x:c r="D275" s="172"/>
      <x:c r="E275" s="171"/>
      <x:c r="F275" s="173"/>
      <x:c r="G275" s="174"/>
      <x:c r="H275" s="175"/>
      <x:c r="I275" s="174"/>
      <x:c r="J275" s="176"/>
      <x:c r="K275" s="233"/>
      <x:c r="L275" s="233"/>
      <x:c r="M275" s="122"/>
      <x:c r="N275" s="177" t="str">
        <x:f t="shared" si="90"/>
      </x:c>
      <x:c r="O275" s="122"/>
      <x:c r="P275" s="177" t="str">
        <x:f t="shared" si="91"/>
      </x:c>
      <x:c r="Q275" s="178" t="str">
        <x:f t="shared" si="92"/>
      </x:c>
      <x:c r="R275" s="122"/>
      <x:c r="S275" s="177" t="str">
        <x:f t="shared" si="93"/>
      </x:c>
      <x:c r="T275" s="122"/>
      <x:c r="U275" s="177" t="str">
        <x:f t="shared" si="94"/>
      </x:c>
      <x:c r="V275" s="178" t="str">
        <x:f t="shared" si="95"/>
      </x:c>
      <x:c r="W275" s="122"/>
      <x:c r="X275" s="177" t="str">
        <x:f t="shared" si="96"/>
      </x:c>
      <x:c r="Y275" s="122"/>
      <x:c r="Z275" s="177" t="str">
        <x:f t="shared" si="97"/>
      </x:c>
      <x:c r="AA275" s="178" t="str">
        <x:f t="shared" si="98"/>
      </x:c>
      <x:c r="AB275" s="122"/>
      <x:c r="AC275" s="177" t="str">
        <x:f t="shared" si="99"/>
      </x:c>
      <x:c r="AD275" s="122"/>
      <x:c r="AE275" s="177" t="str">
        <x:f t="shared" si="100"/>
      </x:c>
      <x:c r="AF275" s="178" t="str">
        <x:f t="shared" si="101"/>
      </x:c>
      <x:c r="AG275" s="122"/>
      <x:c r="AH275" s="177" t="str">
        <x:f t="shared" si="102"/>
      </x:c>
      <x:c r="AI275" s="122"/>
      <x:c r="AJ275" s="177" t="str">
        <x:f t="shared" si="103"/>
      </x:c>
      <x:c r="AK275" s="178" t="str">
        <x:f t="shared" si="104"/>
      </x:c>
      <x:c r="AL275" s="122"/>
      <x:c r="AM275" s="177" t="str">
        <x:f t="shared" si="105"/>
      </x:c>
      <x:c r="AN275" s="122"/>
      <x:c r="AO275" s="177" t="str">
        <x:f t="shared" si="106"/>
      </x:c>
      <x:c r="AP275" s="178" t="str">
        <x:f t="shared" si="107"/>
      </x:c>
      <x:c r="AQ275" s="122"/>
      <x:c r="AR275" s="177" t="str">
        <x:f t="shared" si="108"/>
      </x:c>
      <x:c r="AS275" s="122"/>
      <x:c r="AT275" s="177" t="str">
        <x:f t="shared" si="109"/>
      </x:c>
      <x:c r="AU275" s="178" t="str">
        <x:f t="shared" si="110"/>
      </x:c>
      <x:c r="AV275" s="122"/>
      <x:c r="AW275" s="177" t="str">
        <x:f t="shared" si="111"/>
      </x:c>
      <x:c r="AX275" s="122"/>
      <x:c r="AY275" s="177" t="str">
        <x:f t="shared" si="112"/>
      </x:c>
      <x:c r="AZ275" s="178" t="str">
        <x:f t="shared" si="113"/>
      </x:c>
      <x:c r="BA275" s="122"/>
      <x:c r="BB275" s="177" t="str">
        <x:f t="shared" si="114"/>
      </x:c>
      <x:c r="BC275" s="122"/>
      <x:c r="BD275" s="177" t="str">
        <x:f t="shared" si="115"/>
      </x:c>
      <x:c r="BE275" s="178" t="str">
        <x:f t="shared" si="116"/>
      </x:c>
      <x:c r="BF275" s="122"/>
      <x:c r="BG275" s="177" t="str">
        <x:f t="shared" si="117"/>
      </x:c>
      <x:c r="BH275" s="122"/>
      <x:c r="BI275" s="177" t="str">
        <x:f t="shared" si="118"/>
      </x:c>
      <x:c r="BJ275" s="178" t="str">
        <x:f t="shared" si="119"/>
      </x:c>
    </x:row>
    <x:row r="276" ht="19.5" hidden="1" customHeight="1">
      <x:c r="A276" s="169"/>
      <x:c r="B276" s="170"/>
      <x:c r="C276" s="171"/>
      <x:c r="D276" s="172"/>
      <x:c r="E276" s="171"/>
      <x:c r="F276" s="173"/>
      <x:c r="G276" s="174"/>
      <x:c r="H276" s="175"/>
      <x:c r="I276" s="174"/>
      <x:c r="J276" s="176"/>
      <x:c r="K276" s="233"/>
      <x:c r="L276" s="233"/>
      <x:c r="M276" s="122"/>
      <x:c r="N276" s="177" t="str">
        <x:f t="shared" ref="N276:N319" si="120">IF(B276&lt;&gt;"",IF(M276="","",IF(M276&lt;0.5,1,IF(AND(M276&gt;=0.5,M276&lt;P$10),2,IF(M276&gt;=P$10,3)))),"")</x:f>
      </x:c>
      <x:c r="O276" s="122"/>
      <x:c r="P276" s="177" t="str">
        <x:f t="shared" ref="P276:P319" si="121">IF(B276&lt;&gt;"",IF(O276="","",IF(O276&lt;0.5,1,IF(AND(O276&gt;=0.5,O276&lt;P$10),2,IF(O276&gt;=P$10,3)))),"")</x:f>
      </x:c>
      <x:c r="Q276" s="178" t="str">
        <x:f t="shared" ref="Q276:Q319" si="122">IF(B276 &lt;&gt; "",IFERROR(IF(AVERAGE(M276,O276)&gt;=P$10,"Y","N"),""),"")</x:f>
      </x:c>
      <x:c r="R276" s="122"/>
      <x:c r="S276" s="177" t="str">
        <x:f t="shared" ref="S276:S319" si="123">IF(B276&lt;&gt;"",IF(R276="","",IF(R276&lt;0.5,1,IF(AND(R276&gt;=0.5,R276&lt;P$10),2,IF(R276&gt;=P$10,3)))),"")</x:f>
      </x:c>
      <x:c r="T276" s="122"/>
      <x:c r="U276" s="177" t="str">
        <x:f t="shared" ref="U276:U319" si="124">IF(B276&lt;&gt;"",IF(T276="","",IF(T276&lt;0.5,1,IF(AND(T276&gt;=0.5,T276&lt;P$10),2,IF(T276&gt;=P$10,3)))),"")</x:f>
      </x:c>
      <x:c r="V276" s="178" t="str">
        <x:f t="shared" ref="V276:V319" si="125">IF(B276 &lt;&gt; "",IFERROR(IF(AVERAGE(R276,T276)&gt;=P$10,"Y","N"),""),"")</x:f>
      </x:c>
      <x:c r="W276" s="122"/>
      <x:c r="X276" s="177" t="str">
        <x:f t="shared" ref="X276:X319" si="126">IF(B276&lt;&gt;"",IF(W276="","",IF(W276&lt;0.5,1,IF(AND(W276&gt;=0.5,W276&lt;P$10),2,IF(W276&gt;=P$10,3)))),"")</x:f>
      </x:c>
      <x:c r="Y276" s="122"/>
      <x:c r="Z276" s="177" t="str">
        <x:f t="shared" ref="Z276:Z319" si="127">IF(B276&lt;&gt;"",IF(Y276="","",IF(Y276&lt;0.5,1,IF(AND(Y276&gt;=0.5,Y276&lt;P$10),2,IF(Y276&gt;=P$10,3)))),"")</x:f>
      </x:c>
      <x:c r="AA276" s="178" t="str">
        <x:f t="shared" ref="AA276:AA319" si="128">IF(B276 &lt;&gt; "",IFERROR(IF(AVERAGE(W276,Y276)&gt;=P$10,"Y","N"),""),"")</x:f>
      </x:c>
      <x:c r="AB276" s="122"/>
      <x:c r="AC276" s="177" t="str">
        <x:f t="shared" ref="AC276:AC319" si="129">IF(B276&lt;&gt;"",IF(AB276="","",IF(AB276&lt;0.5,1,IF(AND(AB276&gt;=0.5,AB276&lt;P$10),2,IF(AB276&gt;=P$10,3)))),"")</x:f>
      </x:c>
      <x:c r="AD276" s="122"/>
      <x:c r="AE276" s="177" t="str">
        <x:f t="shared" ref="AE276:AE319" si="130">IF(B276&lt;&gt;"",IF(AD276="","",IF(AD276&lt;0.5,1,IF(AND(AD276&gt;=0.5,AD276&lt;P$10),2,IF(AD276&gt;=P$10,3)))),"")</x:f>
      </x:c>
      <x:c r="AF276" s="178" t="str">
        <x:f t="shared" ref="AF276:AF319" si="131">IF(B276 &lt;&gt; "",IFERROR(IF(AVERAGE(AB276,AD276)&gt;=P$10,"Y","N"),""),"")</x:f>
      </x:c>
      <x:c r="AG276" s="122"/>
      <x:c r="AH276" s="177" t="str">
        <x:f t="shared" ref="AH276:AH319" si="132">IF(B276&lt;&gt;"",IF(AG276="","",IF(AG276&lt;0.5,1,IF(AND(AG276&gt;=0.5,AG276&lt;P$10),2,IF(AG276&gt;=P$10,3)))),"")</x:f>
      </x:c>
      <x:c r="AI276" s="122"/>
      <x:c r="AJ276" s="177" t="str">
        <x:f t="shared" ref="AJ276:AJ319" si="133">IF(B276&lt;&gt;"",IF(AI276="","",IF(AI276&lt;0.5,1,IF(AND(AI276&gt;=0.5,AI276&lt;P$10),2,IF(AI276&gt;=P$10,3)))),"")</x:f>
      </x:c>
      <x:c r="AK276" s="178" t="str">
        <x:f t="shared" ref="AK276:AK319" si="134">IF(B276 &lt;&gt; "",IFERROR(IF(AVERAGE(AG276,AI276)&gt;=P$10,"Y","N"),""),"")</x:f>
      </x:c>
      <x:c r="AL276" s="122"/>
      <x:c r="AM276" s="177" t="str">
        <x:f t="shared" ref="AM276:AM319" si="135">IF(B276&lt;&gt;"",IF(AL276="","",IF(AL276&lt;0.5,1,IF(AND(AL276&gt;=0.5,AL276&lt;P$10),2,IF(AL276&gt;=P$10,3)))),"")</x:f>
      </x:c>
      <x:c r="AN276" s="122"/>
      <x:c r="AO276" s="177" t="str">
        <x:f t="shared" ref="AO276:AO319" si="136">IF(B276&lt;&gt;"",IF(AN276="","",IF(AN276&lt;0.5,1,IF(AND(AN276&gt;=0.5,AN276&lt;P$10),2,IF(AN276&gt;=P$10,3)))),"")</x:f>
      </x:c>
      <x:c r="AP276" s="178" t="str">
        <x:f t="shared" ref="AP276:AP319" si="137">IF(B276 &lt;&gt; "",IFERROR(IF(AVERAGE(AL276,AN276)&gt;=P$10,"Y","N"),""),"")</x:f>
      </x:c>
      <x:c r="AQ276" s="122"/>
      <x:c r="AR276" s="177" t="str">
        <x:f t="shared" ref="AR276:AR319" si="138">IF(B276&lt;&gt;"",IF(AQ276="","",IF(AQ276&lt;0.5,1,IF(AND(AQ276&gt;=0.5,AQ276&lt;P$10),2,IF(AQ276&gt;=P$10,3)))),"")</x:f>
      </x:c>
      <x:c r="AS276" s="122"/>
      <x:c r="AT276" s="177" t="str">
        <x:f t="shared" ref="AT276:AT319" si="139">IF(B276&lt;&gt;"",IF(AS276="","",IF(AS276&lt;0.5,1,IF(AND(AS276&gt;=0.5,AS276&lt;P$10),2,IF(AS276&gt;=P$10,3)))),"")</x:f>
      </x:c>
      <x:c r="AU276" s="178" t="str">
        <x:f t="shared" ref="AU276:AU319" si="140">IF(B276 &lt;&gt; "",IFERROR(IF(AVERAGE(AQ276,AS276)&gt;=P$10,"Y","N"),""),"")</x:f>
      </x:c>
      <x:c r="AV276" s="122"/>
      <x:c r="AW276" s="177" t="str">
        <x:f t="shared" ref="AW276:AW319" si="141">IF(B276&lt;&gt;"",IF(AV276="","",IF(AV276&lt;0.5,1,IF(AND(AV276&gt;=0.5,AV276&lt;P$10),2,IF(AV276&gt;=P$10,3)))),"")</x:f>
      </x:c>
      <x:c r="AX276" s="122"/>
      <x:c r="AY276" s="177" t="str">
        <x:f t="shared" ref="AY276:AY319" si="142">IF(B276&lt;&gt;"",IF(AX276="","",IF(AX276&lt;0.5,1,IF(AND(AX276&gt;=0.5,AX276&lt;P$10),2,IF(AX276&gt;=P$10,3)))),"")</x:f>
      </x:c>
      <x:c r="AZ276" s="178" t="str">
        <x:f t="shared" ref="AZ276:AZ319" si="143">IF(B276 &lt;&gt; "",IFERROR(IF(AVERAGE(AV276,AX276)&gt;=P$10,"Y","N"),""),"")</x:f>
      </x:c>
      <x:c r="BA276" s="122"/>
      <x:c r="BB276" s="177" t="str">
        <x:f t="shared" ref="BB276:BB319" si="144">IF(B276&lt;&gt;"",IF(BA276="","",IF(BA276&lt;0.5,1,IF(AND(BA276&gt;=0.5,BA276&lt;P$10),2,IF(BA276&gt;=P$10,3)))),"")</x:f>
      </x:c>
      <x:c r="BC276" s="122"/>
      <x:c r="BD276" s="177" t="str">
        <x:f t="shared" ref="BD276:BD319" si="145">IF(B276&lt;&gt;"",IF(BC276="","",IF(BC276&lt;0.5,1,IF(AND(BC276&gt;=0.5,BC276&lt;P$10),2,IF(BC276&gt;=P$10,3)))),"")</x:f>
      </x:c>
      <x:c r="BE276" s="178" t="str">
        <x:f t="shared" ref="BE276:BE319" si="146">IF(B276 &lt;&gt; "",IFERROR(IF(AVERAGE(BA276,BC276)&gt;=P$10,"Y","N"),""),"")</x:f>
      </x:c>
      <x:c r="BF276" s="122"/>
      <x:c r="BG276" s="177" t="str">
        <x:f t="shared" ref="BG276:BG319" si="147">IF(B276&lt;&gt;"",IF(BF276="","",IF(BF276&lt;0.5,1,IF(AND(BF276&gt;=0.5,BF276&lt;P$10),2,IF(BF276&gt;=P$10,3)))),"")</x:f>
      </x:c>
      <x:c r="BH276" s="122"/>
      <x:c r="BI276" s="177" t="str">
        <x:f t="shared" ref="BI276:BI319" si="148">IF(B276&lt;&gt;"",IF(BH276="","",IF(BH276&lt;0.5,1,IF(AND(BH276&gt;=0.5,BH276&lt;P$10),2,IF(BH276&gt;=P$10,3)))),"")</x:f>
      </x:c>
      <x:c r="BJ276" s="178" t="str">
        <x:f t="shared" ref="BJ276:BJ319" si="149">IF(B276 &lt;&gt; "",IFERROR(IF(AVERAGE(BF276,BH276)&gt;=P$10,"Y","N"),""),"")</x:f>
      </x:c>
    </x:row>
    <x:row r="277" ht="19.5" hidden="1" customHeight="1">
      <x:c r="A277" s="160"/>
      <x:c r="B277" s="179"/>
      <x:c r="C277" s="171"/>
      <x:c r="D277" s="172"/>
      <x:c r="E277" s="171"/>
      <x:c r="F277" s="173"/>
      <x:c r="G277" s="174"/>
      <x:c r="H277" s="175"/>
      <x:c r="I277" s="174"/>
      <x:c r="J277" s="176"/>
      <x:c r="K277" s="233"/>
      <x:c r="L277" s="233"/>
      <x:c r="M277" s="122"/>
      <x:c r="N277" s="177" t="str">
        <x:f t="shared" si="120"/>
      </x:c>
      <x:c r="O277" s="122"/>
      <x:c r="P277" s="177" t="str">
        <x:f t="shared" si="121"/>
      </x:c>
      <x:c r="Q277" s="178" t="str">
        <x:f t="shared" si="122"/>
      </x:c>
      <x:c r="R277" s="122"/>
      <x:c r="S277" s="177" t="str">
        <x:f t="shared" si="123"/>
      </x:c>
      <x:c r="T277" s="122"/>
      <x:c r="U277" s="177" t="str">
        <x:f t="shared" si="124"/>
      </x:c>
      <x:c r="V277" s="178" t="str">
        <x:f t="shared" si="125"/>
      </x:c>
      <x:c r="W277" s="122"/>
      <x:c r="X277" s="177" t="str">
        <x:f t="shared" si="126"/>
      </x:c>
      <x:c r="Y277" s="122"/>
      <x:c r="Z277" s="177" t="str">
        <x:f t="shared" si="127"/>
      </x:c>
      <x:c r="AA277" s="178" t="str">
        <x:f t="shared" si="128"/>
      </x:c>
      <x:c r="AB277" s="122"/>
      <x:c r="AC277" s="177" t="str">
        <x:f t="shared" si="129"/>
      </x:c>
      <x:c r="AD277" s="122"/>
      <x:c r="AE277" s="177" t="str">
        <x:f t="shared" si="130"/>
      </x:c>
      <x:c r="AF277" s="178" t="str">
        <x:f t="shared" si="131"/>
      </x:c>
      <x:c r="AG277" s="122"/>
      <x:c r="AH277" s="177" t="str">
        <x:f t="shared" si="132"/>
      </x:c>
      <x:c r="AI277" s="122"/>
      <x:c r="AJ277" s="177" t="str">
        <x:f t="shared" si="133"/>
      </x:c>
      <x:c r="AK277" s="178" t="str">
        <x:f t="shared" si="134"/>
      </x:c>
      <x:c r="AL277" s="122"/>
      <x:c r="AM277" s="177" t="str">
        <x:f t="shared" si="135"/>
      </x:c>
      <x:c r="AN277" s="122"/>
      <x:c r="AO277" s="177" t="str">
        <x:f t="shared" si="136"/>
      </x:c>
      <x:c r="AP277" s="178" t="str">
        <x:f t="shared" si="137"/>
      </x:c>
      <x:c r="AQ277" s="122"/>
      <x:c r="AR277" s="177" t="str">
        <x:f t="shared" si="138"/>
      </x:c>
      <x:c r="AS277" s="122"/>
      <x:c r="AT277" s="177" t="str">
        <x:f t="shared" si="139"/>
      </x:c>
      <x:c r="AU277" s="178" t="str">
        <x:f t="shared" si="140"/>
      </x:c>
      <x:c r="AV277" s="122"/>
      <x:c r="AW277" s="177" t="str">
        <x:f t="shared" si="141"/>
      </x:c>
      <x:c r="AX277" s="122"/>
      <x:c r="AY277" s="177" t="str">
        <x:f t="shared" si="142"/>
      </x:c>
      <x:c r="AZ277" s="178" t="str">
        <x:f t="shared" si="143"/>
      </x:c>
      <x:c r="BA277" s="122"/>
      <x:c r="BB277" s="177" t="str">
        <x:f t="shared" si="144"/>
      </x:c>
      <x:c r="BC277" s="122"/>
      <x:c r="BD277" s="177" t="str">
        <x:f t="shared" si="145"/>
      </x:c>
      <x:c r="BE277" s="178" t="str">
        <x:f t="shared" si="146"/>
      </x:c>
      <x:c r="BF277" s="122"/>
      <x:c r="BG277" s="177" t="str">
        <x:f t="shared" si="147"/>
      </x:c>
      <x:c r="BH277" s="122"/>
      <x:c r="BI277" s="177" t="str">
        <x:f t="shared" si="148"/>
      </x:c>
      <x:c r="BJ277" s="178" t="str">
        <x:f t="shared" si="149"/>
      </x:c>
    </x:row>
    <x:row r="278" ht="19.5" hidden="1" customHeight="1">
      <x:c r="A278" s="169"/>
      <x:c r="B278" s="170"/>
      <x:c r="C278" s="171"/>
      <x:c r="D278" s="172"/>
      <x:c r="E278" s="171"/>
      <x:c r="F278" s="173"/>
      <x:c r="G278" s="174"/>
      <x:c r="H278" s="175"/>
      <x:c r="I278" s="174"/>
      <x:c r="J278" s="176"/>
      <x:c r="K278" s="233"/>
      <x:c r="L278" s="233"/>
      <x:c r="M278" s="122"/>
      <x:c r="N278" s="177" t="str">
        <x:f t="shared" si="120"/>
      </x:c>
      <x:c r="O278" s="122"/>
      <x:c r="P278" s="177" t="str">
        <x:f t="shared" si="121"/>
      </x:c>
      <x:c r="Q278" s="178" t="str">
        <x:f t="shared" si="122"/>
      </x:c>
      <x:c r="R278" s="122"/>
      <x:c r="S278" s="177" t="str">
        <x:f t="shared" si="123"/>
      </x:c>
      <x:c r="T278" s="122"/>
      <x:c r="U278" s="177" t="str">
        <x:f t="shared" si="124"/>
      </x:c>
      <x:c r="V278" s="178" t="str">
        <x:f t="shared" si="125"/>
      </x:c>
      <x:c r="W278" s="122"/>
      <x:c r="X278" s="177" t="str">
        <x:f t="shared" si="126"/>
      </x:c>
      <x:c r="Y278" s="122"/>
      <x:c r="Z278" s="177" t="str">
        <x:f t="shared" si="127"/>
      </x:c>
      <x:c r="AA278" s="178" t="str">
        <x:f t="shared" si="128"/>
      </x:c>
      <x:c r="AB278" s="122"/>
      <x:c r="AC278" s="177" t="str">
        <x:f t="shared" si="129"/>
      </x:c>
      <x:c r="AD278" s="122"/>
      <x:c r="AE278" s="177" t="str">
        <x:f t="shared" si="130"/>
      </x:c>
      <x:c r="AF278" s="178" t="str">
        <x:f t="shared" si="131"/>
      </x:c>
      <x:c r="AG278" s="122"/>
      <x:c r="AH278" s="177" t="str">
        <x:f t="shared" si="132"/>
      </x:c>
      <x:c r="AI278" s="122"/>
      <x:c r="AJ278" s="177" t="str">
        <x:f t="shared" si="133"/>
      </x:c>
      <x:c r="AK278" s="178" t="str">
        <x:f t="shared" si="134"/>
      </x:c>
      <x:c r="AL278" s="122"/>
      <x:c r="AM278" s="177" t="str">
        <x:f t="shared" si="135"/>
      </x:c>
      <x:c r="AN278" s="122"/>
      <x:c r="AO278" s="177" t="str">
        <x:f t="shared" si="136"/>
      </x:c>
      <x:c r="AP278" s="178" t="str">
        <x:f t="shared" si="137"/>
      </x:c>
      <x:c r="AQ278" s="122"/>
      <x:c r="AR278" s="177" t="str">
        <x:f t="shared" si="138"/>
      </x:c>
      <x:c r="AS278" s="122"/>
      <x:c r="AT278" s="177" t="str">
        <x:f t="shared" si="139"/>
      </x:c>
      <x:c r="AU278" s="178" t="str">
        <x:f t="shared" si="140"/>
      </x:c>
      <x:c r="AV278" s="122"/>
      <x:c r="AW278" s="177" t="str">
        <x:f t="shared" si="141"/>
      </x:c>
      <x:c r="AX278" s="122"/>
      <x:c r="AY278" s="177" t="str">
        <x:f t="shared" si="142"/>
      </x:c>
      <x:c r="AZ278" s="178" t="str">
        <x:f t="shared" si="143"/>
      </x:c>
      <x:c r="BA278" s="122"/>
      <x:c r="BB278" s="177" t="str">
        <x:f t="shared" si="144"/>
      </x:c>
      <x:c r="BC278" s="122"/>
      <x:c r="BD278" s="177" t="str">
        <x:f t="shared" si="145"/>
      </x:c>
      <x:c r="BE278" s="178" t="str">
        <x:f t="shared" si="146"/>
      </x:c>
      <x:c r="BF278" s="122"/>
      <x:c r="BG278" s="177" t="str">
        <x:f t="shared" si="147"/>
      </x:c>
      <x:c r="BH278" s="122"/>
      <x:c r="BI278" s="177" t="str">
        <x:f t="shared" si="148"/>
      </x:c>
      <x:c r="BJ278" s="178" t="str">
        <x:f t="shared" si="149"/>
      </x:c>
    </x:row>
    <x:row r="279" ht="19.5" hidden="1" customHeight="1">
      <x:c r="A279" s="160"/>
      <x:c r="B279" s="179"/>
      <x:c r="C279" s="171"/>
      <x:c r="D279" s="172"/>
      <x:c r="E279" s="171"/>
      <x:c r="F279" s="173"/>
      <x:c r="G279" s="174"/>
      <x:c r="H279" s="175"/>
      <x:c r="I279" s="174"/>
      <x:c r="J279" s="176"/>
      <x:c r="K279" s="233"/>
      <x:c r="L279" s="233"/>
      <x:c r="M279" s="122"/>
      <x:c r="N279" s="177" t="str">
        <x:f t="shared" si="120"/>
      </x:c>
      <x:c r="O279" s="122"/>
      <x:c r="P279" s="177" t="str">
        <x:f t="shared" si="121"/>
      </x:c>
      <x:c r="Q279" s="178" t="str">
        <x:f t="shared" si="122"/>
      </x:c>
      <x:c r="R279" s="122"/>
      <x:c r="S279" s="177" t="str">
        <x:f t="shared" si="123"/>
      </x:c>
      <x:c r="T279" s="122"/>
      <x:c r="U279" s="177" t="str">
        <x:f t="shared" si="124"/>
      </x:c>
      <x:c r="V279" s="178" t="str">
        <x:f t="shared" si="125"/>
      </x:c>
      <x:c r="W279" s="122"/>
      <x:c r="X279" s="177" t="str">
        <x:f t="shared" si="126"/>
      </x:c>
      <x:c r="Y279" s="122"/>
      <x:c r="Z279" s="177" t="str">
        <x:f t="shared" si="127"/>
      </x:c>
      <x:c r="AA279" s="178" t="str">
        <x:f t="shared" si="128"/>
      </x:c>
      <x:c r="AB279" s="122"/>
      <x:c r="AC279" s="177" t="str">
        <x:f t="shared" si="129"/>
      </x:c>
      <x:c r="AD279" s="122"/>
      <x:c r="AE279" s="177" t="str">
        <x:f t="shared" si="130"/>
      </x:c>
      <x:c r="AF279" s="178" t="str">
        <x:f t="shared" si="131"/>
      </x:c>
      <x:c r="AG279" s="122"/>
      <x:c r="AH279" s="177" t="str">
        <x:f t="shared" si="132"/>
      </x:c>
      <x:c r="AI279" s="122"/>
      <x:c r="AJ279" s="177" t="str">
        <x:f t="shared" si="133"/>
      </x:c>
      <x:c r="AK279" s="178" t="str">
        <x:f t="shared" si="134"/>
      </x:c>
      <x:c r="AL279" s="122"/>
      <x:c r="AM279" s="177" t="str">
        <x:f t="shared" si="135"/>
      </x:c>
      <x:c r="AN279" s="122"/>
      <x:c r="AO279" s="177" t="str">
        <x:f t="shared" si="136"/>
      </x:c>
      <x:c r="AP279" s="178" t="str">
        <x:f t="shared" si="137"/>
      </x:c>
      <x:c r="AQ279" s="122"/>
      <x:c r="AR279" s="177" t="str">
        <x:f t="shared" si="138"/>
      </x:c>
      <x:c r="AS279" s="122"/>
      <x:c r="AT279" s="177" t="str">
        <x:f t="shared" si="139"/>
      </x:c>
      <x:c r="AU279" s="178" t="str">
        <x:f t="shared" si="140"/>
      </x:c>
      <x:c r="AV279" s="122"/>
      <x:c r="AW279" s="177" t="str">
        <x:f t="shared" si="141"/>
      </x:c>
      <x:c r="AX279" s="122"/>
      <x:c r="AY279" s="177" t="str">
        <x:f t="shared" si="142"/>
      </x:c>
      <x:c r="AZ279" s="178" t="str">
        <x:f t="shared" si="143"/>
      </x:c>
      <x:c r="BA279" s="122"/>
      <x:c r="BB279" s="177" t="str">
        <x:f t="shared" si="144"/>
      </x:c>
      <x:c r="BC279" s="122"/>
      <x:c r="BD279" s="177" t="str">
        <x:f t="shared" si="145"/>
      </x:c>
      <x:c r="BE279" s="178" t="str">
        <x:f t="shared" si="146"/>
      </x:c>
      <x:c r="BF279" s="122"/>
      <x:c r="BG279" s="177" t="str">
        <x:f t="shared" si="147"/>
      </x:c>
      <x:c r="BH279" s="122"/>
      <x:c r="BI279" s="177" t="str">
        <x:f t="shared" si="148"/>
      </x:c>
      <x:c r="BJ279" s="178" t="str">
        <x:f t="shared" si="149"/>
      </x:c>
    </x:row>
    <x:row r="280" ht="19.5" hidden="1" customHeight="1">
      <x:c r="A280" s="169"/>
      <x:c r="B280" s="170"/>
      <x:c r="C280" s="171"/>
      <x:c r="D280" s="172"/>
      <x:c r="E280" s="171"/>
      <x:c r="F280" s="173"/>
      <x:c r="G280" s="174"/>
      <x:c r="H280" s="175"/>
      <x:c r="I280" s="174"/>
      <x:c r="J280" s="176"/>
      <x:c r="K280" s="233"/>
      <x:c r="L280" s="233"/>
      <x:c r="M280" s="122"/>
      <x:c r="N280" s="177" t="str">
        <x:f t="shared" si="120"/>
      </x:c>
      <x:c r="O280" s="122"/>
      <x:c r="P280" s="177" t="str">
        <x:f t="shared" si="121"/>
      </x:c>
      <x:c r="Q280" s="178" t="str">
        <x:f t="shared" si="122"/>
      </x:c>
      <x:c r="R280" s="122"/>
      <x:c r="S280" s="177" t="str">
        <x:f t="shared" si="123"/>
      </x:c>
      <x:c r="T280" s="122"/>
      <x:c r="U280" s="177" t="str">
        <x:f t="shared" si="124"/>
      </x:c>
      <x:c r="V280" s="178" t="str">
        <x:f t="shared" si="125"/>
      </x:c>
      <x:c r="W280" s="122"/>
      <x:c r="X280" s="177" t="str">
        <x:f t="shared" si="126"/>
      </x:c>
      <x:c r="Y280" s="122"/>
      <x:c r="Z280" s="177" t="str">
        <x:f t="shared" si="127"/>
      </x:c>
      <x:c r="AA280" s="178" t="str">
        <x:f t="shared" si="128"/>
      </x:c>
      <x:c r="AB280" s="122"/>
      <x:c r="AC280" s="177" t="str">
        <x:f t="shared" si="129"/>
      </x:c>
      <x:c r="AD280" s="122"/>
      <x:c r="AE280" s="177" t="str">
        <x:f t="shared" si="130"/>
      </x:c>
      <x:c r="AF280" s="178" t="str">
        <x:f t="shared" si="131"/>
      </x:c>
      <x:c r="AG280" s="122"/>
      <x:c r="AH280" s="177" t="str">
        <x:f t="shared" si="132"/>
      </x:c>
      <x:c r="AI280" s="122"/>
      <x:c r="AJ280" s="177" t="str">
        <x:f t="shared" si="133"/>
      </x:c>
      <x:c r="AK280" s="178" t="str">
        <x:f t="shared" si="134"/>
      </x:c>
      <x:c r="AL280" s="122"/>
      <x:c r="AM280" s="177" t="str">
        <x:f t="shared" si="135"/>
      </x:c>
      <x:c r="AN280" s="122"/>
      <x:c r="AO280" s="177" t="str">
        <x:f t="shared" si="136"/>
      </x:c>
      <x:c r="AP280" s="178" t="str">
        <x:f t="shared" si="137"/>
      </x:c>
      <x:c r="AQ280" s="122"/>
      <x:c r="AR280" s="177" t="str">
        <x:f t="shared" si="138"/>
      </x:c>
      <x:c r="AS280" s="122"/>
      <x:c r="AT280" s="177" t="str">
        <x:f t="shared" si="139"/>
      </x:c>
      <x:c r="AU280" s="178" t="str">
        <x:f t="shared" si="140"/>
      </x:c>
      <x:c r="AV280" s="122"/>
      <x:c r="AW280" s="177" t="str">
        <x:f t="shared" si="141"/>
      </x:c>
      <x:c r="AX280" s="122"/>
      <x:c r="AY280" s="177" t="str">
        <x:f t="shared" si="142"/>
      </x:c>
      <x:c r="AZ280" s="178" t="str">
        <x:f t="shared" si="143"/>
      </x:c>
      <x:c r="BA280" s="122"/>
      <x:c r="BB280" s="177" t="str">
        <x:f t="shared" si="144"/>
      </x:c>
      <x:c r="BC280" s="122"/>
      <x:c r="BD280" s="177" t="str">
        <x:f t="shared" si="145"/>
      </x:c>
      <x:c r="BE280" s="178" t="str">
        <x:f t="shared" si="146"/>
      </x:c>
      <x:c r="BF280" s="122"/>
      <x:c r="BG280" s="177" t="str">
        <x:f t="shared" si="147"/>
      </x:c>
      <x:c r="BH280" s="122"/>
      <x:c r="BI280" s="177" t="str">
        <x:f t="shared" si="148"/>
      </x:c>
      <x:c r="BJ280" s="178" t="str">
        <x:f t="shared" si="149"/>
      </x:c>
    </x:row>
    <x:row r="281" ht="19.5" hidden="1" customHeight="1">
      <x:c r="A281" s="160"/>
      <x:c r="B281" s="179"/>
      <x:c r="C281" s="171"/>
      <x:c r="D281" s="172"/>
      <x:c r="E281" s="171"/>
      <x:c r="F281" s="173"/>
      <x:c r="G281" s="174"/>
      <x:c r="H281" s="175"/>
      <x:c r="I281" s="174"/>
      <x:c r="J281" s="176"/>
      <x:c r="K281" s="233"/>
      <x:c r="L281" s="233"/>
      <x:c r="M281" s="122"/>
      <x:c r="N281" s="177" t="str">
        <x:f t="shared" si="120"/>
      </x:c>
      <x:c r="O281" s="122"/>
      <x:c r="P281" s="177" t="str">
        <x:f t="shared" si="121"/>
      </x:c>
      <x:c r="Q281" s="178" t="str">
        <x:f t="shared" si="122"/>
      </x:c>
      <x:c r="R281" s="122"/>
      <x:c r="S281" s="177" t="str">
        <x:f t="shared" si="123"/>
      </x:c>
      <x:c r="T281" s="122"/>
      <x:c r="U281" s="177" t="str">
        <x:f t="shared" si="124"/>
      </x:c>
      <x:c r="V281" s="178" t="str">
        <x:f t="shared" si="125"/>
      </x:c>
      <x:c r="W281" s="122"/>
      <x:c r="X281" s="177" t="str">
        <x:f t="shared" si="126"/>
      </x:c>
      <x:c r="Y281" s="122"/>
      <x:c r="Z281" s="177" t="str">
        <x:f t="shared" si="127"/>
      </x:c>
      <x:c r="AA281" s="178" t="str">
        <x:f t="shared" si="128"/>
      </x:c>
      <x:c r="AB281" s="122"/>
      <x:c r="AC281" s="177" t="str">
        <x:f t="shared" si="129"/>
      </x:c>
      <x:c r="AD281" s="122"/>
      <x:c r="AE281" s="177" t="str">
        <x:f t="shared" si="130"/>
      </x:c>
      <x:c r="AF281" s="178" t="str">
        <x:f t="shared" si="131"/>
      </x:c>
      <x:c r="AG281" s="122"/>
      <x:c r="AH281" s="177" t="str">
        <x:f t="shared" si="132"/>
      </x:c>
      <x:c r="AI281" s="122"/>
      <x:c r="AJ281" s="177" t="str">
        <x:f t="shared" si="133"/>
      </x:c>
      <x:c r="AK281" s="178" t="str">
        <x:f t="shared" si="134"/>
      </x:c>
      <x:c r="AL281" s="122"/>
      <x:c r="AM281" s="177" t="str">
        <x:f t="shared" si="135"/>
      </x:c>
      <x:c r="AN281" s="122"/>
      <x:c r="AO281" s="177" t="str">
        <x:f t="shared" si="136"/>
      </x:c>
      <x:c r="AP281" s="178" t="str">
        <x:f t="shared" si="137"/>
      </x:c>
      <x:c r="AQ281" s="122"/>
      <x:c r="AR281" s="177" t="str">
        <x:f t="shared" si="138"/>
      </x:c>
      <x:c r="AS281" s="122"/>
      <x:c r="AT281" s="177" t="str">
        <x:f t="shared" si="139"/>
      </x:c>
      <x:c r="AU281" s="178" t="str">
        <x:f t="shared" si="140"/>
      </x:c>
      <x:c r="AV281" s="122"/>
      <x:c r="AW281" s="177" t="str">
        <x:f t="shared" si="141"/>
      </x:c>
      <x:c r="AX281" s="122"/>
      <x:c r="AY281" s="177" t="str">
        <x:f t="shared" si="142"/>
      </x:c>
      <x:c r="AZ281" s="178" t="str">
        <x:f t="shared" si="143"/>
      </x:c>
      <x:c r="BA281" s="122"/>
      <x:c r="BB281" s="177" t="str">
        <x:f t="shared" si="144"/>
      </x:c>
      <x:c r="BC281" s="122"/>
      <x:c r="BD281" s="177" t="str">
        <x:f t="shared" si="145"/>
      </x:c>
      <x:c r="BE281" s="178" t="str">
        <x:f t="shared" si="146"/>
      </x:c>
      <x:c r="BF281" s="122"/>
      <x:c r="BG281" s="177" t="str">
        <x:f t="shared" si="147"/>
      </x:c>
      <x:c r="BH281" s="122"/>
      <x:c r="BI281" s="177" t="str">
        <x:f t="shared" si="148"/>
      </x:c>
      <x:c r="BJ281" s="178" t="str">
        <x:f t="shared" si="149"/>
      </x:c>
    </x:row>
    <x:row r="282" ht="19.5" hidden="1" customHeight="1">
      <x:c r="A282" s="169"/>
      <x:c r="B282" s="170"/>
      <x:c r="C282" s="171"/>
      <x:c r="D282" s="172"/>
      <x:c r="E282" s="171"/>
      <x:c r="F282" s="173"/>
      <x:c r="G282" s="174"/>
      <x:c r="H282" s="175"/>
      <x:c r="I282" s="174"/>
      <x:c r="J282" s="176"/>
      <x:c r="K282" s="233"/>
      <x:c r="L282" s="233"/>
      <x:c r="M282" s="122"/>
      <x:c r="N282" s="177" t="str">
        <x:f t="shared" si="120"/>
      </x:c>
      <x:c r="O282" s="122"/>
      <x:c r="P282" s="177" t="str">
        <x:f t="shared" si="121"/>
      </x:c>
      <x:c r="Q282" s="178" t="str">
        <x:f t="shared" si="122"/>
      </x:c>
      <x:c r="R282" s="122"/>
      <x:c r="S282" s="177" t="str">
        <x:f t="shared" si="123"/>
      </x:c>
      <x:c r="T282" s="122"/>
      <x:c r="U282" s="177" t="str">
        <x:f t="shared" si="124"/>
      </x:c>
      <x:c r="V282" s="178" t="str">
        <x:f t="shared" si="125"/>
      </x:c>
      <x:c r="W282" s="122"/>
      <x:c r="X282" s="177" t="str">
        <x:f t="shared" si="126"/>
      </x:c>
      <x:c r="Y282" s="122"/>
      <x:c r="Z282" s="177" t="str">
        <x:f t="shared" si="127"/>
      </x:c>
      <x:c r="AA282" s="178" t="str">
        <x:f t="shared" si="128"/>
      </x:c>
      <x:c r="AB282" s="122"/>
      <x:c r="AC282" s="177" t="str">
        <x:f t="shared" si="129"/>
      </x:c>
      <x:c r="AD282" s="122"/>
      <x:c r="AE282" s="177" t="str">
        <x:f t="shared" si="130"/>
      </x:c>
      <x:c r="AF282" s="178" t="str">
        <x:f t="shared" si="131"/>
      </x:c>
      <x:c r="AG282" s="122"/>
      <x:c r="AH282" s="177" t="str">
        <x:f t="shared" si="132"/>
      </x:c>
      <x:c r="AI282" s="122"/>
      <x:c r="AJ282" s="177" t="str">
        <x:f t="shared" si="133"/>
      </x:c>
      <x:c r="AK282" s="178" t="str">
        <x:f t="shared" si="134"/>
      </x:c>
      <x:c r="AL282" s="122"/>
      <x:c r="AM282" s="177" t="str">
        <x:f t="shared" si="135"/>
      </x:c>
      <x:c r="AN282" s="122"/>
      <x:c r="AO282" s="177" t="str">
        <x:f t="shared" si="136"/>
      </x:c>
      <x:c r="AP282" s="178" t="str">
        <x:f t="shared" si="137"/>
      </x:c>
      <x:c r="AQ282" s="122"/>
      <x:c r="AR282" s="177" t="str">
        <x:f t="shared" si="138"/>
      </x:c>
      <x:c r="AS282" s="122"/>
      <x:c r="AT282" s="177" t="str">
        <x:f t="shared" si="139"/>
      </x:c>
      <x:c r="AU282" s="178" t="str">
        <x:f t="shared" si="140"/>
      </x:c>
      <x:c r="AV282" s="122"/>
      <x:c r="AW282" s="177" t="str">
        <x:f t="shared" si="141"/>
      </x:c>
      <x:c r="AX282" s="122"/>
      <x:c r="AY282" s="177" t="str">
        <x:f t="shared" si="142"/>
      </x:c>
      <x:c r="AZ282" s="178" t="str">
        <x:f t="shared" si="143"/>
      </x:c>
      <x:c r="BA282" s="122"/>
      <x:c r="BB282" s="177" t="str">
        <x:f t="shared" si="144"/>
      </x:c>
      <x:c r="BC282" s="122"/>
      <x:c r="BD282" s="177" t="str">
        <x:f t="shared" si="145"/>
      </x:c>
      <x:c r="BE282" s="178" t="str">
        <x:f t="shared" si="146"/>
      </x:c>
      <x:c r="BF282" s="122"/>
      <x:c r="BG282" s="177" t="str">
        <x:f t="shared" si="147"/>
      </x:c>
      <x:c r="BH282" s="122"/>
      <x:c r="BI282" s="177" t="str">
        <x:f t="shared" si="148"/>
      </x:c>
      <x:c r="BJ282" s="178" t="str">
        <x:f t="shared" si="149"/>
      </x:c>
    </x:row>
    <x:row r="283" ht="19.5" hidden="1" customHeight="1">
      <x:c r="A283" s="160"/>
      <x:c r="B283" s="179"/>
      <x:c r="C283" s="171"/>
      <x:c r="D283" s="172"/>
      <x:c r="E283" s="171"/>
      <x:c r="F283" s="173"/>
      <x:c r="G283" s="174"/>
      <x:c r="H283" s="175"/>
      <x:c r="I283" s="174"/>
      <x:c r="J283" s="176"/>
      <x:c r="K283" s="233"/>
      <x:c r="L283" s="233"/>
      <x:c r="M283" s="122"/>
      <x:c r="N283" s="177" t="str">
        <x:f t="shared" si="120"/>
      </x:c>
      <x:c r="O283" s="122"/>
      <x:c r="P283" s="177" t="str">
        <x:f t="shared" si="121"/>
      </x:c>
      <x:c r="Q283" s="178" t="str">
        <x:f t="shared" si="122"/>
      </x:c>
      <x:c r="R283" s="122"/>
      <x:c r="S283" s="177" t="str">
        <x:f t="shared" si="123"/>
      </x:c>
      <x:c r="T283" s="122"/>
      <x:c r="U283" s="177" t="str">
        <x:f t="shared" si="124"/>
      </x:c>
      <x:c r="V283" s="178" t="str">
        <x:f t="shared" si="125"/>
      </x:c>
      <x:c r="W283" s="122"/>
      <x:c r="X283" s="177" t="str">
        <x:f t="shared" si="126"/>
      </x:c>
      <x:c r="Y283" s="122"/>
      <x:c r="Z283" s="177" t="str">
        <x:f t="shared" si="127"/>
      </x:c>
      <x:c r="AA283" s="178" t="str">
        <x:f t="shared" si="128"/>
      </x:c>
      <x:c r="AB283" s="122"/>
      <x:c r="AC283" s="177" t="str">
        <x:f t="shared" si="129"/>
      </x:c>
      <x:c r="AD283" s="122"/>
      <x:c r="AE283" s="177" t="str">
        <x:f t="shared" si="130"/>
      </x:c>
      <x:c r="AF283" s="178" t="str">
        <x:f t="shared" si="131"/>
      </x:c>
      <x:c r="AG283" s="122"/>
      <x:c r="AH283" s="177" t="str">
        <x:f t="shared" si="132"/>
      </x:c>
      <x:c r="AI283" s="122"/>
      <x:c r="AJ283" s="177" t="str">
        <x:f t="shared" si="133"/>
      </x:c>
      <x:c r="AK283" s="178" t="str">
        <x:f t="shared" si="134"/>
      </x:c>
      <x:c r="AL283" s="122"/>
      <x:c r="AM283" s="177" t="str">
        <x:f t="shared" si="135"/>
      </x:c>
      <x:c r="AN283" s="122"/>
      <x:c r="AO283" s="177" t="str">
        <x:f t="shared" si="136"/>
      </x:c>
      <x:c r="AP283" s="178" t="str">
        <x:f t="shared" si="137"/>
      </x:c>
      <x:c r="AQ283" s="122"/>
      <x:c r="AR283" s="177" t="str">
        <x:f t="shared" si="138"/>
      </x:c>
      <x:c r="AS283" s="122"/>
      <x:c r="AT283" s="177" t="str">
        <x:f t="shared" si="139"/>
      </x:c>
      <x:c r="AU283" s="178" t="str">
        <x:f t="shared" si="140"/>
      </x:c>
      <x:c r="AV283" s="122"/>
      <x:c r="AW283" s="177" t="str">
        <x:f t="shared" si="141"/>
      </x:c>
      <x:c r="AX283" s="122"/>
      <x:c r="AY283" s="177" t="str">
        <x:f t="shared" si="142"/>
      </x:c>
      <x:c r="AZ283" s="178" t="str">
        <x:f t="shared" si="143"/>
      </x:c>
      <x:c r="BA283" s="122"/>
      <x:c r="BB283" s="177" t="str">
        <x:f t="shared" si="144"/>
      </x:c>
      <x:c r="BC283" s="122"/>
      <x:c r="BD283" s="177" t="str">
        <x:f t="shared" si="145"/>
      </x:c>
      <x:c r="BE283" s="178" t="str">
        <x:f t="shared" si="146"/>
      </x:c>
      <x:c r="BF283" s="122"/>
      <x:c r="BG283" s="177" t="str">
        <x:f t="shared" si="147"/>
      </x:c>
      <x:c r="BH283" s="122"/>
      <x:c r="BI283" s="177" t="str">
        <x:f t="shared" si="148"/>
      </x:c>
      <x:c r="BJ283" s="178" t="str">
        <x:f t="shared" si="149"/>
      </x:c>
    </x:row>
    <x:row r="284" ht="19.5" hidden="1" customHeight="1">
      <x:c r="A284" s="169"/>
      <x:c r="B284" s="170"/>
      <x:c r="C284" s="171"/>
      <x:c r="D284" s="172"/>
      <x:c r="E284" s="171"/>
      <x:c r="F284" s="173"/>
      <x:c r="G284" s="174"/>
      <x:c r="H284" s="175"/>
      <x:c r="I284" s="174"/>
      <x:c r="J284" s="176"/>
      <x:c r="K284" s="233"/>
      <x:c r="L284" s="233"/>
      <x:c r="M284" s="122"/>
      <x:c r="N284" s="177" t="str">
        <x:f t="shared" si="120"/>
      </x:c>
      <x:c r="O284" s="122"/>
      <x:c r="P284" s="177" t="str">
        <x:f t="shared" si="121"/>
      </x:c>
      <x:c r="Q284" s="178" t="str">
        <x:f t="shared" si="122"/>
      </x:c>
      <x:c r="R284" s="122"/>
      <x:c r="S284" s="177" t="str">
        <x:f t="shared" si="123"/>
      </x:c>
      <x:c r="T284" s="122"/>
      <x:c r="U284" s="177" t="str">
        <x:f t="shared" si="124"/>
      </x:c>
      <x:c r="V284" s="178" t="str">
        <x:f t="shared" si="125"/>
      </x:c>
      <x:c r="W284" s="122"/>
      <x:c r="X284" s="177" t="str">
        <x:f t="shared" si="126"/>
      </x:c>
      <x:c r="Y284" s="122"/>
      <x:c r="Z284" s="177" t="str">
        <x:f t="shared" si="127"/>
      </x:c>
      <x:c r="AA284" s="178" t="str">
        <x:f t="shared" si="128"/>
      </x:c>
      <x:c r="AB284" s="122"/>
      <x:c r="AC284" s="177" t="str">
        <x:f t="shared" si="129"/>
      </x:c>
      <x:c r="AD284" s="122"/>
      <x:c r="AE284" s="177" t="str">
        <x:f t="shared" si="130"/>
      </x:c>
      <x:c r="AF284" s="178" t="str">
        <x:f t="shared" si="131"/>
      </x:c>
      <x:c r="AG284" s="122"/>
      <x:c r="AH284" s="177" t="str">
        <x:f t="shared" si="132"/>
      </x:c>
      <x:c r="AI284" s="122"/>
      <x:c r="AJ284" s="177" t="str">
        <x:f t="shared" si="133"/>
      </x:c>
      <x:c r="AK284" s="178" t="str">
        <x:f t="shared" si="134"/>
      </x:c>
      <x:c r="AL284" s="122"/>
      <x:c r="AM284" s="177" t="str">
        <x:f t="shared" si="135"/>
      </x:c>
      <x:c r="AN284" s="122"/>
      <x:c r="AO284" s="177" t="str">
        <x:f t="shared" si="136"/>
      </x:c>
      <x:c r="AP284" s="178" t="str">
        <x:f t="shared" si="137"/>
      </x:c>
      <x:c r="AQ284" s="122"/>
      <x:c r="AR284" s="177" t="str">
        <x:f t="shared" si="138"/>
      </x:c>
      <x:c r="AS284" s="122"/>
      <x:c r="AT284" s="177" t="str">
        <x:f t="shared" si="139"/>
      </x:c>
      <x:c r="AU284" s="178" t="str">
        <x:f t="shared" si="140"/>
      </x:c>
      <x:c r="AV284" s="122"/>
      <x:c r="AW284" s="177" t="str">
        <x:f t="shared" si="141"/>
      </x:c>
      <x:c r="AX284" s="122"/>
      <x:c r="AY284" s="177" t="str">
        <x:f t="shared" si="142"/>
      </x:c>
      <x:c r="AZ284" s="178" t="str">
        <x:f t="shared" si="143"/>
      </x:c>
      <x:c r="BA284" s="122"/>
      <x:c r="BB284" s="177" t="str">
        <x:f t="shared" si="144"/>
      </x:c>
      <x:c r="BC284" s="122"/>
      <x:c r="BD284" s="177" t="str">
        <x:f t="shared" si="145"/>
      </x:c>
      <x:c r="BE284" s="178" t="str">
        <x:f t="shared" si="146"/>
      </x:c>
      <x:c r="BF284" s="122"/>
      <x:c r="BG284" s="177" t="str">
        <x:f t="shared" si="147"/>
      </x:c>
      <x:c r="BH284" s="122"/>
      <x:c r="BI284" s="177" t="str">
        <x:f t="shared" si="148"/>
      </x:c>
      <x:c r="BJ284" s="178" t="str">
        <x:f t="shared" si="149"/>
      </x:c>
    </x:row>
    <x:row r="285" ht="19.5" hidden="1" customHeight="1">
      <x:c r="A285" s="160"/>
      <x:c r="B285" s="179"/>
      <x:c r="C285" s="171"/>
      <x:c r="D285" s="172"/>
      <x:c r="E285" s="171"/>
      <x:c r="F285" s="173"/>
      <x:c r="G285" s="174"/>
      <x:c r="H285" s="175"/>
      <x:c r="I285" s="174"/>
      <x:c r="J285" s="176"/>
      <x:c r="K285" s="233"/>
      <x:c r="L285" s="233"/>
      <x:c r="M285" s="122"/>
      <x:c r="N285" s="177" t="str">
        <x:f t="shared" si="120"/>
      </x:c>
      <x:c r="O285" s="122"/>
      <x:c r="P285" s="177" t="str">
        <x:f t="shared" si="121"/>
      </x:c>
      <x:c r="Q285" s="178" t="str">
        <x:f t="shared" si="122"/>
      </x:c>
      <x:c r="R285" s="122"/>
      <x:c r="S285" s="177" t="str">
        <x:f t="shared" si="123"/>
      </x:c>
      <x:c r="T285" s="122"/>
      <x:c r="U285" s="177" t="str">
        <x:f t="shared" si="124"/>
      </x:c>
      <x:c r="V285" s="178" t="str">
        <x:f t="shared" si="125"/>
      </x:c>
      <x:c r="W285" s="122"/>
      <x:c r="X285" s="177" t="str">
        <x:f t="shared" si="126"/>
      </x:c>
      <x:c r="Y285" s="122"/>
      <x:c r="Z285" s="177" t="str">
        <x:f t="shared" si="127"/>
      </x:c>
      <x:c r="AA285" s="178" t="str">
        <x:f t="shared" si="128"/>
      </x:c>
      <x:c r="AB285" s="122"/>
      <x:c r="AC285" s="177" t="str">
        <x:f t="shared" si="129"/>
      </x:c>
      <x:c r="AD285" s="122"/>
      <x:c r="AE285" s="177" t="str">
        <x:f t="shared" si="130"/>
      </x:c>
      <x:c r="AF285" s="178" t="str">
        <x:f t="shared" si="131"/>
      </x:c>
      <x:c r="AG285" s="122"/>
      <x:c r="AH285" s="177" t="str">
        <x:f t="shared" si="132"/>
      </x:c>
      <x:c r="AI285" s="122"/>
      <x:c r="AJ285" s="177" t="str">
        <x:f t="shared" si="133"/>
      </x:c>
      <x:c r="AK285" s="178" t="str">
        <x:f t="shared" si="134"/>
      </x:c>
      <x:c r="AL285" s="122"/>
      <x:c r="AM285" s="177" t="str">
        <x:f t="shared" si="135"/>
      </x:c>
      <x:c r="AN285" s="122"/>
      <x:c r="AO285" s="177" t="str">
        <x:f t="shared" si="136"/>
      </x:c>
      <x:c r="AP285" s="178" t="str">
        <x:f t="shared" si="137"/>
      </x:c>
      <x:c r="AQ285" s="122"/>
      <x:c r="AR285" s="177" t="str">
        <x:f t="shared" si="138"/>
      </x:c>
      <x:c r="AS285" s="122"/>
      <x:c r="AT285" s="177" t="str">
        <x:f t="shared" si="139"/>
      </x:c>
      <x:c r="AU285" s="178" t="str">
        <x:f t="shared" si="140"/>
      </x:c>
      <x:c r="AV285" s="122"/>
      <x:c r="AW285" s="177" t="str">
        <x:f t="shared" si="141"/>
      </x:c>
      <x:c r="AX285" s="122"/>
      <x:c r="AY285" s="177" t="str">
        <x:f t="shared" si="142"/>
      </x:c>
      <x:c r="AZ285" s="178" t="str">
        <x:f t="shared" si="143"/>
      </x:c>
      <x:c r="BA285" s="122"/>
      <x:c r="BB285" s="177" t="str">
        <x:f t="shared" si="144"/>
      </x:c>
      <x:c r="BC285" s="122"/>
      <x:c r="BD285" s="177" t="str">
        <x:f t="shared" si="145"/>
      </x:c>
      <x:c r="BE285" s="178" t="str">
        <x:f t="shared" si="146"/>
      </x:c>
      <x:c r="BF285" s="122"/>
      <x:c r="BG285" s="177" t="str">
        <x:f t="shared" si="147"/>
      </x:c>
      <x:c r="BH285" s="122"/>
      <x:c r="BI285" s="177" t="str">
        <x:f t="shared" si="148"/>
      </x:c>
      <x:c r="BJ285" s="178" t="str">
        <x:f t="shared" si="149"/>
      </x:c>
    </x:row>
    <x:row r="286" ht="19.5" hidden="1" customHeight="1">
      <x:c r="A286" s="169"/>
      <x:c r="B286" s="170"/>
      <x:c r="C286" s="171"/>
      <x:c r="D286" s="172"/>
      <x:c r="E286" s="171"/>
      <x:c r="F286" s="173"/>
      <x:c r="G286" s="174"/>
      <x:c r="H286" s="175"/>
      <x:c r="I286" s="174"/>
      <x:c r="J286" s="176"/>
      <x:c r="K286" s="233"/>
      <x:c r="L286" s="233"/>
      <x:c r="M286" s="122"/>
      <x:c r="N286" s="177" t="str">
        <x:f t="shared" si="120"/>
      </x:c>
      <x:c r="O286" s="122"/>
      <x:c r="P286" s="177" t="str">
        <x:f t="shared" si="121"/>
      </x:c>
      <x:c r="Q286" s="178" t="str">
        <x:f t="shared" si="122"/>
      </x:c>
      <x:c r="R286" s="122"/>
      <x:c r="S286" s="177" t="str">
        <x:f t="shared" si="123"/>
      </x:c>
      <x:c r="T286" s="122"/>
      <x:c r="U286" s="177" t="str">
        <x:f t="shared" si="124"/>
      </x:c>
      <x:c r="V286" s="178" t="str">
        <x:f t="shared" si="125"/>
      </x:c>
      <x:c r="W286" s="122"/>
      <x:c r="X286" s="177" t="str">
        <x:f t="shared" si="126"/>
      </x:c>
      <x:c r="Y286" s="122"/>
      <x:c r="Z286" s="177" t="str">
        <x:f t="shared" si="127"/>
      </x:c>
      <x:c r="AA286" s="178" t="str">
        <x:f t="shared" si="128"/>
      </x:c>
      <x:c r="AB286" s="122"/>
      <x:c r="AC286" s="177" t="str">
        <x:f t="shared" si="129"/>
      </x:c>
      <x:c r="AD286" s="122"/>
      <x:c r="AE286" s="177" t="str">
        <x:f t="shared" si="130"/>
      </x:c>
      <x:c r="AF286" s="178" t="str">
        <x:f t="shared" si="131"/>
      </x:c>
      <x:c r="AG286" s="122"/>
      <x:c r="AH286" s="177" t="str">
        <x:f t="shared" si="132"/>
      </x:c>
      <x:c r="AI286" s="122"/>
      <x:c r="AJ286" s="177" t="str">
        <x:f t="shared" si="133"/>
      </x:c>
      <x:c r="AK286" s="178" t="str">
        <x:f t="shared" si="134"/>
      </x:c>
      <x:c r="AL286" s="122"/>
      <x:c r="AM286" s="177" t="str">
        <x:f t="shared" si="135"/>
      </x:c>
      <x:c r="AN286" s="122"/>
      <x:c r="AO286" s="177" t="str">
        <x:f t="shared" si="136"/>
      </x:c>
      <x:c r="AP286" s="178" t="str">
        <x:f t="shared" si="137"/>
      </x:c>
      <x:c r="AQ286" s="122"/>
      <x:c r="AR286" s="177" t="str">
        <x:f t="shared" si="138"/>
      </x:c>
      <x:c r="AS286" s="122"/>
      <x:c r="AT286" s="177" t="str">
        <x:f t="shared" si="139"/>
      </x:c>
      <x:c r="AU286" s="178" t="str">
        <x:f t="shared" si="140"/>
      </x:c>
      <x:c r="AV286" s="122"/>
      <x:c r="AW286" s="177" t="str">
        <x:f t="shared" si="141"/>
      </x:c>
      <x:c r="AX286" s="122"/>
      <x:c r="AY286" s="177" t="str">
        <x:f t="shared" si="142"/>
      </x:c>
      <x:c r="AZ286" s="178" t="str">
        <x:f t="shared" si="143"/>
      </x:c>
      <x:c r="BA286" s="122"/>
      <x:c r="BB286" s="177" t="str">
        <x:f t="shared" si="144"/>
      </x:c>
      <x:c r="BC286" s="122"/>
      <x:c r="BD286" s="177" t="str">
        <x:f t="shared" si="145"/>
      </x:c>
      <x:c r="BE286" s="178" t="str">
        <x:f t="shared" si="146"/>
      </x:c>
      <x:c r="BF286" s="122"/>
      <x:c r="BG286" s="177" t="str">
        <x:f t="shared" si="147"/>
      </x:c>
      <x:c r="BH286" s="122"/>
      <x:c r="BI286" s="177" t="str">
        <x:f t="shared" si="148"/>
      </x:c>
      <x:c r="BJ286" s="178" t="str">
        <x:f t="shared" si="149"/>
      </x:c>
    </x:row>
    <x:row r="287" ht="19.5" hidden="1" customHeight="1">
      <x:c r="A287" s="160"/>
      <x:c r="B287" s="179"/>
      <x:c r="C287" s="171"/>
      <x:c r="D287" s="172"/>
      <x:c r="E287" s="171"/>
      <x:c r="F287" s="173"/>
      <x:c r="G287" s="174"/>
      <x:c r="H287" s="175"/>
      <x:c r="I287" s="174"/>
      <x:c r="J287" s="176"/>
      <x:c r="K287" s="233"/>
      <x:c r="L287" s="233"/>
      <x:c r="M287" s="122"/>
      <x:c r="N287" s="177" t="str">
        <x:f t="shared" si="120"/>
      </x:c>
      <x:c r="O287" s="122"/>
      <x:c r="P287" s="177" t="str">
        <x:f t="shared" si="121"/>
      </x:c>
      <x:c r="Q287" s="178" t="str">
        <x:f t="shared" si="122"/>
      </x:c>
      <x:c r="R287" s="122"/>
      <x:c r="S287" s="177" t="str">
        <x:f t="shared" si="123"/>
      </x:c>
      <x:c r="T287" s="122"/>
      <x:c r="U287" s="177" t="str">
        <x:f t="shared" si="124"/>
      </x:c>
      <x:c r="V287" s="178" t="str">
        <x:f t="shared" si="125"/>
      </x:c>
      <x:c r="W287" s="122"/>
      <x:c r="X287" s="177" t="str">
        <x:f t="shared" si="126"/>
      </x:c>
      <x:c r="Y287" s="122"/>
      <x:c r="Z287" s="177" t="str">
        <x:f t="shared" si="127"/>
      </x:c>
      <x:c r="AA287" s="178" t="str">
        <x:f t="shared" si="128"/>
      </x:c>
      <x:c r="AB287" s="122"/>
      <x:c r="AC287" s="177" t="str">
        <x:f t="shared" si="129"/>
      </x:c>
      <x:c r="AD287" s="122"/>
      <x:c r="AE287" s="177" t="str">
        <x:f t="shared" si="130"/>
      </x:c>
      <x:c r="AF287" s="178" t="str">
        <x:f t="shared" si="131"/>
      </x:c>
      <x:c r="AG287" s="122"/>
      <x:c r="AH287" s="177" t="str">
        <x:f t="shared" si="132"/>
      </x:c>
      <x:c r="AI287" s="122"/>
      <x:c r="AJ287" s="177" t="str">
        <x:f t="shared" si="133"/>
      </x:c>
      <x:c r="AK287" s="178" t="str">
        <x:f t="shared" si="134"/>
      </x:c>
      <x:c r="AL287" s="122"/>
      <x:c r="AM287" s="177" t="str">
        <x:f t="shared" si="135"/>
      </x:c>
      <x:c r="AN287" s="122"/>
      <x:c r="AO287" s="177" t="str">
        <x:f t="shared" si="136"/>
      </x:c>
      <x:c r="AP287" s="178" t="str">
        <x:f t="shared" si="137"/>
      </x:c>
      <x:c r="AQ287" s="122"/>
      <x:c r="AR287" s="177" t="str">
        <x:f t="shared" si="138"/>
      </x:c>
      <x:c r="AS287" s="122"/>
      <x:c r="AT287" s="177" t="str">
        <x:f t="shared" si="139"/>
      </x:c>
      <x:c r="AU287" s="178" t="str">
        <x:f t="shared" si="140"/>
      </x:c>
      <x:c r="AV287" s="122"/>
      <x:c r="AW287" s="177" t="str">
        <x:f t="shared" si="141"/>
      </x:c>
      <x:c r="AX287" s="122"/>
      <x:c r="AY287" s="177" t="str">
        <x:f t="shared" si="142"/>
      </x:c>
      <x:c r="AZ287" s="178" t="str">
        <x:f t="shared" si="143"/>
      </x:c>
      <x:c r="BA287" s="122"/>
      <x:c r="BB287" s="177" t="str">
        <x:f t="shared" si="144"/>
      </x:c>
      <x:c r="BC287" s="122"/>
      <x:c r="BD287" s="177" t="str">
        <x:f t="shared" si="145"/>
      </x:c>
      <x:c r="BE287" s="178" t="str">
        <x:f t="shared" si="146"/>
      </x:c>
      <x:c r="BF287" s="122"/>
      <x:c r="BG287" s="177" t="str">
        <x:f t="shared" si="147"/>
      </x:c>
      <x:c r="BH287" s="122"/>
      <x:c r="BI287" s="177" t="str">
        <x:f t="shared" si="148"/>
      </x:c>
      <x:c r="BJ287" s="178" t="str">
        <x:f t="shared" si="149"/>
      </x:c>
    </x:row>
    <x:row r="288" ht="19.5" hidden="1" customHeight="1">
      <x:c r="A288" s="169"/>
      <x:c r="B288" s="170"/>
      <x:c r="C288" s="171"/>
      <x:c r="D288" s="172"/>
      <x:c r="E288" s="171"/>
      <x:c r="F288" s="173"/>
      <x:c r="G288" s="174"/>
      <x:c r="H288" s="175"/>
      <x:c r="I288" s="174"/>
      <x:c r="J288" s="176"/>
      <x:c r="K288" s="233"/>
      <x:c r="L288" s="233"/>
      <x:c r="M288" s="122"/>
      <x:c r="N288" s="177" t="str">
        <x:f t="shared" si="120"/>
      </x:c>
      <x:c r="O288" s="122"/>
      <x:c r="P288" s="177" t="str">
        <x:f t="shared" si="121"/>
      </x:c>
      <x:c r="Q288" s="178" t="str">
        <x:f t="shared" si="122"/>
      </x:c>
      <x:c r="R288" s="122"/>
      <x:c r="S288" s="177" t="str">
        <x:f t="shared" si="123"/>
      </x:c>
      <x:c r="T288" s="122"/>
      <x:c r="U288" s="177" t="str">
        <x:f t="shared" si="124"/>
      </x:c>
      <x:c r="V288" s="178" t="str">
        <x:f t="shared" si="125"/>
      </x:c>
      <x:c r="W288" s="122"/>
      <x:c r="X288" s="177" t="str">
        <x:f t="shared" si="126"/>
      </x:c>
      <x:c r="Y288" s="122"/>
      <x:c r="Z288" s="177" t="str">
        <x:f t="shared" si="127"/>
      </x:c>
      <x:c r="AA288" s="178" t="str">
        <x:f t="shared" si="128"/>
      </x:c>
      <x:c r="AB288" s="122"/>
      <x:c r="AC288" s="177" t="str">
        <x:f t="shared" si="129"/>
      </x:c>
      <x:c r="AD288" s="122"/>
      <x:c r="AE288" s="177" t="str">
        <x:f t="shared" si="130"/>
      </x:c>
      <x:c r="AF288" s="178" t="str">
        <x:f t="shared" si="131"/>
      </x:c>
      <x:c r="AG288" s="122"/>
      <x:c r="AH288" s="177" t="str">
        <x:f t="shared" si="132"/>
      </x:c>
      <x:c r="AI288" s="122"/>
      <x:c r="AJ288" s="177" t="str">
        <x:f t="shared" si="133"/>
      </x:c>
      <x:c r="AK288" s="178" t="str">
        <x:f t="shared" si="134"/>
      </x:c>
      <x:c r="AL288" s="122"/>
      <x:c r="AM288" s="177" t="str">
        <x:f t="shared" si="135"/>
      </x:c>
      <x:c r="AN288" s="122"/>
      <x:c r="AO288" s="177" t="str">
        <x:f t="shared" si="136"/>
      </x:c>
      <x:c r="AP288" s="178" t="str">
        <x:f t="shared" si="137"/>
      </x:c>
      <x:c r="AQ288" s="122"/>
      <x:c r="AR288" s="177" t="str">
        <x:f t="shared" si="138"/>
      </x:c>
      <x:c r="AS288" s="122"/>
      <x:c r="AT288" s="177" t="str">
        <x:f t="shared" si="139"/>
      </x:c>
      <x:c r="AU288" s="178" t="str">
        <x:f t="shared" si="140"/>
      </x:c>
      <x:c r="AV288" s="122"/>
      <x:c r="AW288" s="177" t="str">
        <x:f t="shared" si="141"/>
      </x:c>
      <x:c r="AX288" s="122"/>
      <x:c r="AY288" s="177" t="str">
        <x:f t="shared" si="142"/>
      </x:c>
      <x:c r="AZ288" s="178" t="str">
        <x:f t="shared" si="143"/>
      </x:c>
      <x:c r="BA288" s="122"/>
      <x:c r="BB288" s="177" t="str">
        <x:f t="shared" si="144"/>
      </x:c>
      <x:c r="BC288" s="122"/>
      <x:c r="BD288" s="177" t="str">
        <x:f t="shared" si="145"/>
      </x:c>
      <x:c r="BE288" s="178" t="str">
        <x:f t="shared" si="146"/>
      </x:c>
      <x:c r="BF288" s="122"/>
      <x:c r="BG288" s="177" t="str">
        <x:f t="shared" si="147"/>
      </x:c>
      <x:c r="BH288" s="122"/>
      <x:c r="BI288" s="177" t="str">
        <x:f t="shared" si="148"/>
      </x:c>
      <x:c r="BJ288" s="178" t="str">
        <x:f t="shared" si="149"/>
      </x:c>
    </x:row>
    <x:row r="289" ht="19.5" hidden="1" customHeight="1">
      <x:c r="A289" s="160"/>
      <x:c r="B289" s="179"/>
      <x:c r="C289" s="171"/>
      <x:c r="D289" s="172"/>
      <x:c r="E289" s="171"/>
      <x:c r="F289" s="173"/>
      <x:c r="G289" s="174"/>
      <x:c r="H289" s="175"/>
      <x:c r="I289" s="174"/>
      <x:c r="J289" s="176"/>
      <x:c r="K289" s="233"/>
      <x:c r="L289" s="233"/>
      <x:c r="M289" s="122"/>
      <x:c r="N289" s="177" t="str">
        <x:f t="shared" si="120"/>
      </x:c>
      <x:c r="O289" s="122"/>
      <x:c r="P289" s="177" t="str">
        <x:f t="shared" si="121"/>
      </x:c>
      <x:c r="Q289" s="178" t="str">
        <x:f t="shared" si="122"/>
      </x:c>
      <x:c r="R289" s="122"/>
      <x:c r="S289" s="177" t="str">
        <x:f t="shared" si="123"/>
      </x:c>
      <x:c r="T289" s="122"/>
      <x:c r="U289" s="177" t="str">
        <x:f t="shared" si="124"/>
      </x:c>
      <x:c r="V289" s="178" t="str">
        <x:f t="shared" si="125"/>
      </x:c>
      <x:c r="W289" s="122"/>
      <x:c r="X289" s="177" t="str">
        <x:f t="shared" si="126"/>
      </x:c>
      <x:c r="Y289" s="122"/>
      <x:c r="Z289" s="177" t="str">
        <x:f t="shared" si="127"/>
      </x:c>
      <x:c r="AA289" s="178" t="str">
        <x:f t="shared" si="128"/>
      </x:c>
      <x:c r="AB289" s="122"/>
      <x:c r="AC289" s="177" t="str">
        <x:f t="shared" si="129"/>
      </x:c>
      <x:c r="AD289" s="122"/>
      <x:c r="AE289" s="177" t="str">
        <x:f t="shared" si="130"/>
      </x:c>
      <x:c r="AF289" s="178" t="str">
        <x:f t="shared" si="131"/>
      </x:c>
      <x:c r="AG289" s="122"/>
      <x:c r="AH289" s="177" t="str">
        <x:f t="shared" si="132"/>
      </x:c>
      <x:c r="AI289" s="122"/>
      <x:c r="AJ289" s="177" t="str">
        <x:f t="shared" si="133"/>
      </x:c>
      <x:c r="AK289" s="178" t="str">
        <x:f t="shared" si="134"/>
      </x:c>
      <x:c r="AL289" s="122"/>
      <x:c r="AM289" s="177" t="str">
        <x:f t="shared" si="135"/>
      </x:c>
      <x:c r="AN289" s="122"/>
      <x:c r="AO289" s="177" t="str">
        <x:f t="shared" si="136"/>
      </x:c>
      <x:c r="AP289" s="178" t="str">
        <x:f t="shared" si="137"/>
      </x:c>
      <x:c r="AQ289" s="122"/>
      <x:c r="AR289" s="177" t="str">
        <x:f t="shared" si="138"/>
      </x:c>
      <x:c r="AS289" s="122"/>
      <x:c r="AT289" s="177" t="str">
        <x:f t="shared" si="139"/>
      </x:c>
      <x:c r="AU289" s="178" t="str">
        <x:f t="shared" si="140"/>
      </x:c>
      <x:c r="AV289" s="122"/>
      <x:c r="AW289" s="177" t="str">
        <x:f t="shared" si="141"/>
      </x:c>
      <x:c r="AX289" s="122"/>
      <x:c r="AY289" s="177" t="str">
        <x:f t="shared" si="142"/>
      </x:c>
      <x:c r="AZ289" s="178" t="str">
        <x:f t="shared" si="143"/>
      </x:c>
      <x:c r="BA289" s="122"/>
      <x:c r="BB289" s="177" t="str">
        <x:f t="shared" si="144"/>
      </x:c>
      <x:c r="BC289" s="122"/>
      <x:c r="BD289" s="177" t="str">
        <x:f t="shared" si="145"/>
      </x:c>
      <x:c r="BE289" s="178" t="str">
        <x:f t="shared" si="146"/>
      </x:c>
      <x:c r="BF289" s="122"/>
      <x:c r="BG289" s="177" t="str">
        <x:f t="shared" si="147"/>
      </x:c>
      <x:c r="BH289" s="122"/>
      <x:c r="BI289" s="177" t="str">
        <x:f t="shared" si="148"/>
      </x:c>
      <x:c r="BJ289" s="178" t="str">
        <x:f t="shared" si="149"/>
      </x:c>
    </x:row>
    <x:row r="290" ht="19.5" hidden="1" customHeight="1">
      <x:c r="A290" s="169"/>
      <x:c r="B290" s="170"/>
      <x:c r="C290" s="171"/>
      <x:c r="D290" s="172"/>
      <x:c r="E290" s="171"/>
      <x:c r="F290" s="173"/>
      <x:c r="G290" s="174"/>
      <x:c r="H290" s="175"/>
      <x:c r="I290" s="174"/>
      <x:c r="J290" s="176"/>
      <x:c r="K290" s="233"/>
      <x:c r="L290" s="233"/>
      <x:c r="M290" s="122"/>
      <x:c r="N290" s="177" t="str">
        <x:f t="shared" si="120"/>
      </x:c>
      <x:c r="O290" s="122"/>
      <x:c r="P290" s="177" t="str">
        <x:f t="shared" si="121"/>
      </x:c>
      <x:c r="Q290" s="178" t="str">
        <x:f t="shared" si="122"/>
      </x:c>
      <x:c r="R290" s="122"/>
      <x:c r="S290" s="177" t="str">
        <x:f t="shared" si="123"/>
      </x:c>
      <x:c r="T290" s="122"/>
      <x:c r="U290" s="177" t="str">
        <x:f t="shared" si="124"/>
      </x:c>
      <x:c r="V290" s="178" t="str">
        <x:f t="shared" si="125"/>
      </x:c>
      <x:c r="W290" s="122"/>
      <x:c r="X290" s="177" t="str">
        <x:f t="shared" si="126"/>
      </x:c>
      <x:c r="Y290" s="122"/>
      <x:c r="Z290" s="177" t="str">
        <x:f t="shared" si="127"/>
      </x:c>
      <x:c r="AA290" s="178" t="str">
        <x:f t="shared" si="128"/>
      </x:c>
      <x:c r="AB290" s="122"/>
      <x:c r="AC290" s="177" t="str">
        <x:f t="shared" si="129"/>
      </x:c>
      <x:c r="AD290" s="122"/>
      <x:c r="AE290" s="177" t="str">
        <x:f t="shared" si="130"/>
      </x:c>
      <x:c r="AF290" s="178" t="str">
        <x:f t="shared" si="131"/>
      </x:c>
      <x:c r="AG290" s="122"/>
      <x:c r="AH290" s="177" t="str">
        <x:f t="shared" si="132"/>
      </x:c>
      <x:c r="AI290" s="122"/>
      <x:c r="AJ290" s="177" t="str">
        <x:f t="shared" si="133"/>
      </x:c>
      <x:c r="AK290" s="178" t="str">
        <x:f t="shared" si="134"/>
      </x:c>
      <x:c r="AL290" s="122"/>
      <x:c r="AM290" s="177" t="str">
        <x:f t="shared" si="135"/>
      </x:c>
      <x:c r="AN290" s="122"/>
      <x:c r="AO290" s="177" t="str">
        <x:f t="shared" si="136"/>
      </x:c>
      <x:c r="AP290" s="178" t="str">
        <x:f t="shared" si="137"/>
      </x:c>
      <x:c r="AQ290" s="122"/>
      <x:c r="AR290" s="177" t="str">
        <x:f t="shared" si="138"/>
      </x:c>
      <x:c r="AS290" s="122"/>
      <x:c r="AT290" s="177" t="str">
        <x:f t="shared" si="139"/>
      </x:c>
      <x:c r="AU290" s="178" t="str">
        <x:f t="shared" si="140"/>
      </x:c>
      <x:c r="AV290" s="122"/>
      <x:c r="AW290" s="177" t="str">
        <x:f t="shared" si="141"/>
      </x:c>
      <x:c r="AX290" s="122"/>
      <x:c r="AY290" s="177" t="str">
        <x:f t="shared" si="142"/>
      </x:c>
      <x:c r="AZ290" s="178" t="str">
        <x:f t="shared" si="143"/>
      </x:c>
      <x:c r="BA290" s="122"/>
      <x:c r="BB290" s="177" t="str">
        <x:f t="shared" si="144"/>
      </x:c>
      <x:c r="BC290" s="122"/>
      <x:c r="BD290" s="177" t="str">
        <x:f t="shared" si="145"/>
      </x:c>
      <x:c r="BE290" s="178" t="str">
        <x:f t="shared" si="146"/>
      </x:c>
      <x:c r="BF290" s="122"/>
      <x:c r="BG290" s="177" t="str">
        <x:f t="shared" si="147"/>
      </x:c>
      <x:c r="BH290" s="122"/>
      <x:c r="BI290" s="177" t="str">
        <x:f t="shared" si="148"/>
      </x:c>
      <x:c r="BJ290" s="178" t="str">
        <x:f t="shared" si="149"/>
      </x:c>
    </x:row>
    <x:row r="291" ht="19.5" hidden="1" customHeight="1">
      <x:c r="A291" s="160"/>
      <x:c r="B291" s="179"/>
      <x:c r="C291" s="171"/>
      <x:c r="D291" s="172"/>
      <x:c r="E291" s="171"/>
      <x:c r="F291" s="173"/>
      <x:c r="G291" s="174"/>
      <x:c r="H291" s="175"/>
      <x:c r="I291" s="174"/>
      <x:c r="J291" s="176"/>
      <x:c r="K291" s="233"/>
      <x:c r="L291" s="233"/>
      <x:c r="M291" s="122"/>
      <x:c r="N291" s="177" t="str">
        <x:f t="shared" si="120"/>
      </x:c>
      <x:c r="O291" s="122"/>
      <x:c r="P291" s="177" t="str">
        <x:f t="shared" si="121"/>
      </x:c>
      <x:c r="Q291" s="178" t="str">
        <x:f t="shared" si="122"/>
      </x:c>
      <x:c r="R291" s="122"/>
      <x:c r="S291" s="177" t="str">
        <x:f t="shared" si="123"/>
      </x:c>
      <x:c r="T291" s="122"/>
      <x:c r="U291" s="177" t="str">
        <x:f t="shared" si="124"/>
      </x:c>
      <x:c r="V291" s="178" t="str">
        <x:f t="shared" si="125"/>
      </x:c>
      <x:c r="W291" s="122"/>
      <x:c r="X291" s="177" t="str">
        <x:f t="shared" si="126"/>
      </x:c>
      <x:c r="Y291" s="122"/>
      <x:c r="Z291" s="177" t="str">
        <x:f t="shared" si="127"/>
      </x:c>
      <x:c r="AA291" s="178" t="str">
        <x:f t="shared" si="128"/>
      </x:c>
      <x:c r="AB291" s="122"/>
      <x:c r="AC291" s="177" t="str">
        <x:f t="shared" si="129"/>
      </x:c>
      <x:c r="AD291" s="122"/>
      <x:c r="AE291" s="177" t="str">
        <x:f t="shared" si="130"/>
      </x:c>
      <x:c r="AF291" s="178" t="str">
        <x:f t="shared" si="131"/>
      </x:c>
      <x:c r="AG291" s="122"/>
      <x:c r="AH291" s="177" t="str">
        <x:f t="shared" si="132"/>
      </x:c>
      <x:c r="AI291" s="122"/>
      <x:c r="AJ291" s="177" t="str">
        <x:f t="shared" si="133"/>
      </x:c>
      <x:c r="AK291" s="178" t="str">
        <x:f t="shared" si="134"/>
      </x:c>
      <x:c r="AL291" s="122"/>
      <x:c r="AM291" s="177" t="str">
        <x:f t="shared" si="135"/>
      </x:c>
      <x:c r="AN291" s="122"/>
      <x:c r="AO291" s="177" t="str">
        <x:f t="shared" si="136"/>
      </x:c>
      <x:c r="AP291" s="178" t="str">
        <x:f t="shared" si="137"/>
      </x:c>
      <x:c r="AQ291" s="122"/>
      <x:c r="AR291" s="177" t="str">
        <x:f t="shared" si="138"/>
      </x:c>
      <x:c r="AS291" s="122"/>
      <x:c r="AT291" s="177" t="str">
        <x:f t="shared" si="139"/>
      </x:c>
      <x:c r="AU291" s="178" t="str">
        <x:f t="shared" si="140"/>
      </x:c>
      <x:c r="AV291" s="122"/>
      <x:c r="AW291" s="177" t="str">
        <x:f t="shared" si="141"/>
      </x:c>
      <x:c r="AX291" s="122"/>
      <x:c r="AY291" s="177" t="str">
        <x:f t="shared" si="142"/>
      </x:c>
      <x:c r="AZ291" s="178" t="str">
        <x:f t="shared" si="143"/>
      </x:c>
      <x:c r="BA291" s="122"/>
      <x:c r="BB291" s="177" t="str">
        <x:f t="shared" si="144"/>
      </x:c>
      <x:c r="BC291" s="122"/>
      <x:c r="BD291" s="177" t="str">
        <x:f t="shared" si="145"/>
      </x:c>
      <x:c r="BE291" s="178" t="str">
        <x:f t="shared" si="146"/>
      </x:c>
      <x:c r="BF291" s="122"/>
      <x:c r="BG291" s="177" t="str">
        <x:f t="shared" si="147"/>
      </x:c>
      <x:c r="BH291" s="122"/>
      <x:c r="BI291" s="177" t="str">
        <x:f t="shared" si="148"/>
      </x:c>
      <x:c r="BJ291" s="178" t="str">
        <x:f t="shared" si="149"/>
      </x:c>
    </x:row>
    <x:row r="292" ht="19.5" hidden="1" customHeight="1">
      <x:c r="A292" s="169"/>
      <x:c r="B292" s="170"/>
      <x:c r="C292" s="171"/>
      <x:c r="D292" s="172"/>
      <x:c r="E292" s="171"/>
      <x:c r="F292" s="173"/>
      <x:c r="G292" s="174"/>
      <x:c r="H292" s="175"/>
      <x:c r="I292" s="174"/>
      <x:c r="J292" s="176"/>
      <x:c r="K292" s="233"/>
      <x:c r="L292" s="233"/>
      <x:c r="M292" s="122"/>
      <x:c r="N292" s="177" t="str">
        <x:f t="shared" si="120"/>
      </x:c>
      <x:c r="O292" s="122"/>
      <x:c r="P292" s="177" t="str">
        <x:f t="shared" si="121"/>
      </x:c>
      <x:c r="Q292" s="178" t="str">
        <x:f t="shared" si="122"/>
      </x:c>
      <x:c r="R292" s="122"/>
      <x:c r="S292" s="177" t="str">
        <x:f t="shared" si="123"/>
      </x:c>
      <x:c r="T292" s="122"/>
      <x:c r="U292" s="177" t="str">
        <x:f t="shared" si="124"/>
      </x:c>
      <x:c r="V292" s="178" t="str">
        <x:f t="shared" si="125"/>
      </x:c>
      <x:c r="W292" s="122"/>
      <x:c r="X292" s="177" t="str">
        <x:f t="shared" si="126"/>
      </x:c>
      <x:c r="Y292" s="122"/>
      <x:c r="Z292" s="177" t="str">
        <x:f t="shared" si="127"/>
      </x:c>
      <x:c r="AA292" s="178" t="str">
        <x:f t="shared" si="128"/>
      </x:c>
      <x:c r="AB292" s="122"/>
      <x:c r="AC292" s="177" t="str">
        <x:f t="shared" si="129"/>
      </x:c>
      <x:c r="AD292" s="122"/>
      <x:c r="AE292" s="177" t="str">
        <x:f t="shared" si="130"/>
      </x:c>
      <x:c r="AF292" s="178" t="str">
        <x:f t="shared" si="131"/>
      </x:c>
      <x:c r="AG292" s="122"/>
      <x:c r="AH292" s="177" t="str">
        <x:f t="shared" si="132"/>
      </x:c>
      <x:c r="AI292" s="122"/>
      <x:c r="AJ292" s="177" t="str">
        <x:f t="shared" si="133"/>
      </x:c>
      <x:c r="AK292" s="178" t="str">
        <x:f t="shared" si="134"/>
      </x:c>
      <x:c r="AL292" s="122"/>
      <x:c r="AM292" s="177" t="str">
        <x:f t="shared" si="135"/>
      </x:c>
      <x:c r="AN292" s="122"/>
      <x:c r="AO292" s="177" t="str">
        <x:f t="shared" si="136"/>
      </x:c>
      <x:c r="AP292" s="178" t="str">
        <x:f t="shared" si="137"/>
      </x:c>
      <x:c r="AQ292" s="122"/>
      <x:c r="AR292" s="177" t="str">
        <x:f t="shared" si="138"/>
      </x:c>
      <x:c r="AS292" s="122"/>
      <x:c r="AT292" s="177" t="str">
        <x:f t="shared" si="139"/>
      </x:c>
      <x:c r="AU292" s="178" t="str">
        <x:f t="shared" si="140"/>
      </x:c>
      <x:c r="AV292" s="122"/>
      <x:c r="AW292" s="177" t="str">
        <x:f t="shared" si="141"/>
      </x:c>
      <x:c r="AX292" s="122"/>
      <x:c r="AY292" s="177" t="str">
        <x:f t="shared" si="142"/>
      </x:c>
      <x:c r="AZ292" s="178" t="str">
        <x:f t="shared" si="143"/>
      </x:c>
      <x:c r="BA292" s="122"/>
      <x:c r="BB292" s="177" t="str">
        <x:f t="shared" si="144"/>
      </x:c>
      <x:c r="BC292" s="122"/>
      <x:c r="BD292" s="177" t="str">
        <x:f t="shared" si="145"/>
      </x:c>
      <x:c r="BE292" s="178" t="str">
        <x:f t="shared" si="146"/>
      </x:c>
      <x:c r="BF292" s="122"/>
      <x:c r="BG292" s="177" t="str">
        <x:f t="shared" si="147"/>
      </x:c>
      <x:c r="BH292" s="122"/>
      <x:c r="BI292" s="177" t="str">
        <x:f t="shared" si="148"/>
      </x:c>
      <x:c r="BJ292" s="178" t="str">
        <x:f t="shared" si="149"/>
      </x:c>
    </x:row>
    <x:row r="293" ht="19.5" hidden="1" customHeight="1">
      <x:c r="A293" s="160"/>
      <x:c r="B293" s="179"/>
      <x:c r="C293" s="171"/>
      <x:c r="D293" s="172"/>
      <x:c r="E293" s="171"/>
      <x:c r="F293" s="173"/>
      <x:c r="G293" s="174"/>
      <x:c r="H293" s="175"/>
      <x:c r="I293" s="174"/>
      <x:c r="J293" s="176"/>
      <x:c r="K293" s="233"/>
      <x:c r="L293" s="233"/>
      <x:c r="M293" s="122"/>
      <x:c r="N293" s="177" t="str">
        <x:f t="shared" si="120"/>
      </x:c>
      <x:c r="O293" s="122"/>
      <x:c r="P293" s="177" t="str">
        <x:f t="shared" si="121"/>
      </x:c>
      <x:c r="Q293" s="178" t="str">
        <x:f t="shared" si="122"/>
      </x:c>
      <x:c r="R293" s="122"/>
      <x:c r="S293" s="177" t="str">
        <x:f t="shared" si="123"/>
      </x:c>
      <x:c r="T293" s="122"/>
      <x:c r="U293" s="177" t="str">
        <x:f t="shared" si="124"/>
      </x:c>
      <x:c r="V293" s="178" t="str">
        <x:f t="shared" si="125"/>
      </x:c>
      <x:c r="W293" s="122"/>
      <x:c r="X293" s="177" t="str">
        <x:f t="shared" si="126"/>
      </x:c>
      <x:c r="Y293" s="122"/>
      <x:c r="Z293" s="177" t="str">
        <x:f t="shared" si="127"/>
      </x:c>
      <x:c r="AA293" s="178" t="str">
        <x:f t="shared" si="128"/>
      </x:c>
      <x:c r="AB293" s="122"/>
      <x:c r="AC293" s="177" t="str">
        <x:f t="shared" si="129"/>
      </x:c>
      <x:c r="AD293" s="122"/>
      <x:c r="AE293" s="177" t="str">
        <x:f t="shared" si="130"/>
      </x:c>
      <x:c r="AF293" s="178" t="str">
        <x:f t="shared" si="131"/>
      </x:c>
      <x:c r="AG293" s="122"/>
      <x:c r="AH293" s="177" t="str">
        <x:f t="shared" si="132"/>
      </x:c>
      <x:c r="AI293" s="122"/>
      <x:c r="AJ293" s="177" t="str">
        <x:f t="shared" si="133"/>
      </x:c>
      <x:c r="AK293" s="178" t="str">
        <x:f t="shared" si="134"/>
      </x:c>
      <x:c r="AL293" s="122"/>
      <x:c r="AM293" s="177" t="str">
        <x:f t="shared" si="135"/>
      </x:c>
      <x:c r="AN293" s="122"/>
      <x:c r="AO293" s="177" t="str">
        <x:f t="shared" si="136"/>
      </x:c>
      <x:c r="AP293" s="178" t="str">
        <x:f t="shared" si="137"/>
      </x:c>
      <x:c r="AQ293" s="122"/>
      <x:c r="AR293" s="177" t="str">
        <x:f t="shared" si="138"/>
      </x:c>
      <x:c r="AS293" s="122"/>
      <x:c r="AT293" s="177" t="str">
        <x:f t="shared" si="139"/>
      </x:c>
      <x:c r="AU293" s="178" t="str">
        <x:f t="shared" si="140"/>
      </x:c>
      <x:c r="AV293" s="122"/>
      <x:c r="AW293" s="177" t="str">
        <x:f t="shared" si="141"/>
      </x:c>
      <x:c r="AX293" s="122"/>
      <x:c r="AY293" s="177" t="str">
        <x:f t="shared" si="142"/>
      </x:c>
      <x:c r="AZ293" s="178" t="str">
        <x:f t="shared" si="143"/>
      </x:c>
      <x:c r="BA293" s="122"/>
      <x:c r="BB293" s="177" t="str">
        <x:f t="shared" si="144"/>
      </x:c>
      <x:c r="BC293" s="122"/>
      <x:c r="BD293" s="177" t="str">
        <x:f t="shared" si="145"/>
      </x:c>
      <x:c r="BE293" s="178" t="str">
        <x:f t="shared" si="146"/>
      </x:c>
      <x:c r="BF293" s="122"/>
      <x:c r="BG293" s="177" t="str">
        <x:f t="shared" si="147"/>
      </x:c>
      <x:c r="BH293" s="122"/>
      <x:c r="BI293" s="177" t="str">
        <x:f t="shared" si="148"/>
      </x:c>
      <x:c r="BJ293" s="178" t="str">
        <x:f t="shared" si="149"/>
      </x:c>
    </x:row>
    <x:row r="294" ht="19.5" hidden="1" customHeight="1">
      <x:c r="A294" s="169"/>
      <x:c r="B294" s="170"/>
      <x:c r="C294" s="171"/>
      <x:c r="D294" s="172"/>
      <x:c r="E294" s="171"/>
      <x:c r="F294" s="173"/>
      <x:c r="G294" s="174"/>
      <x:c r="H294" s="175"/>
      <x:c r="I294" s="174"/>
      <x:c r="J294" s="176"/>
      <x:c r="K294" s="233"/>
      <x:c r="L294" s="233"/>
      <x:c r="M294" s="122"/>
      <x:c r="N294" s="177" t="str">
        <x:f t="shared" si="120"/>
      </x:c>
      <x:c r="O294" s="122"/>
      <x:c r="P294" s="177" t="str">
        <x:f t="shared" si="121"/>
      </x:c>
      <x:c r="Q294" s="178" t="str">
        <x:f t="shared" si="122"/>
      </x:c>
      <x:c r="R294" s="122"/>
      <x:c r="S294" s="177" t="str">
        <x:f t="shared" si="123"/>
      </x:c>
      <x:c r="T294" s="122"/>
      <x:c r="U294" s="177" t="str">
        <x:f t="shared" si="124"/>
      </x:c>
      <x:c r="V294" s="178" t="str">
        <x:f t="shared" si="125"/>
      </x:c>
      <x:c r="W294" s="122"/>
      <x:c r="X294" s="177" t="str">
        <x:f t="shared" si="126"/>
      </x:c>
      <x:c r="Y294" s="122"/>
      <x:c r="Z294" s="177" t="str">
        <x:f t="shared" si="127"/>
      </x:c>
      <x:c r="AA294" s="178" t="str">
        <x:f t="shared" si="128"/>
      </x:c>
      <x:c r="AB294" s="122"/>
      <x:c r="AC294" s="177" t="str">
        <x:f t="shared" si="129"/>
      </x:c>
      <x:c r="AD294" s="122"/>
      <x:c r="AE294" s="177" t="str">
        <x:f t="shared" si="130"/>
      </x:c>
      <x:c r="AF294" s="178" t="str">
        <x:f t="shared" si="131"/>
      </x:c>
      <x:c r="AG294" s="122"/>
      <x:c r="AH294" s="177" t="str">
        <x:f t="shared" si="132"/>
      </x:c>
      <x:c r="AI294" s="122"/>
      <x:c r="AJ294" s="177" t="str">
        <x:f t="shared" si="133"/>
      </x:c>
      <x:c r="AK294" s="178" t="str">
        <x:f t="shared" si="134"/>
      </x:c>
      <x:c r="AL294" s="122"/>
      <x:c r="AM294" s="177" t="str">
        <x:f t="shared" si="135"/>
      </x:c>
      <x:c r="AN294" s="122"/>
      <x:c r="AO294" s="177" t="str">
        <x:f t="shared" si="136"/>
      </x:c>
      <x:c r="AP294" s="178" t="str">
        <x:f t="shared" si="137"/>
      </x:c>
      <x:c r="AQ294" s="122"/>
      <x:c r="AR294" s="177" t="str">
        <x:f t="shared" si="138"/>
      </x:c>
      <x:c r="AS294" s="122"/>
      <x:c r="AT294" s="177" t="str">
        <x:f t="shared" si="139"/>
      </x:c>
      <x:c r="AU294" s="178" t="str">
        <x:f t="shared" si="140"/>
      </x:c>
      <x:c r="AV294" s="122"/>
      <x:c r="AW294" s="177" t="str">
        <x:f t="shared" si="141"/>
      </x:c>
      <x:c r="AX294" s="122"/>
      <x:c r="AY294" s="177" t="str">
        <x:f t="shared" si="142"/>
      </x:c>
      <x:c r="AZ294" s="178" t="str">
        <x:f t="shared" si="143"/>
      </x:c>
      <x:c r="BA294" s="122"/>
      <x:c r="BB294" s="177" t="str">
        <x:f t="shared" si="144"/>
      </x:c>
      <x:c r="BC294" s="122"/>
      <x:c r="BD294" s="177" t="str">
        <x:f t="shared" si="145"/>
      </x:c>
      <x:c r="BE294" s="178" t="str">
        <x:f t="shared" si="146"/>
      </x:c>
      <x:c r="BF294" s="122"/>
      <x:c r="BG294" s="177" t="str">
        <x:f t="shared" si="147"/>
      </x:c>
      <x:c r="BH294" s="122"/>
      <x:c r="BI294" s="177" t="str">
        <x:f t="shared" si="148"/>
      </x:c>
      <x:c r="BJ294" s="178" t="str">
        <x:f t="shared" si="149"/>
      </x:c>
    </x:row>
    <x:row r="295" ht="19.5" hidden="1" customHeight="1">
      <x:c r="A295" s="160"/>
      <x:c r="B295" s="179"/>
      <x:c r="C295" s="171"/>
      <x:c r="D295" s="172"/>
      <x:c r="E295" s="171"/>
      <x:c r="F295" s="173"/>
      <x:c r="G295" s="174"/>
      <x:c r="H295" s="175"/>
      <x:c r="I295" s="174"/>
      <x:c r="J295" s="176"/>
      <x:c r="K295" s="233"/>
      <x:c r="L295" s="233"/>
      <x:c r="M295" s="122"/>
      <x:c r="N295" s="177" t="str">
        <x:f t="shared" si="120"/>
      </x:c>
      <x:c r="O295" s="122"/>
      <x:c r="P295" s="177" t="str">
        <x:f t="shared" si="121"/>
      </x:c>
      <x:c r="Q295" s="178" t="str">
        <x:f t="shared" si="122"/>
      </x:c>
      <x:c r="R295" s="122"/>
      <x:c r="S295" s="177" t="str">
        <x:f t="shared" si="123"/>
      </x:c>
      <x:c r="T295" s="122"/>
      <x:c r="U295" s="177" t="str">
        <x:f t="shared" si="124"/>
      </x:c>
      <x:c r="V295" s="178" t="str">
        <x:f t="shared" si="125"/>
      </x:c>
      <x:c r="W295" s="122"/>
      <x:c r="X295" s="177" t="str">
        <x:f t="shared" si="126"/>
      </x:c>
      <x:c r="Y295" s="122"/>
      <x:c r="Z295" s="177" t="str">
        <x:f t="shared" si="127"/>
      </x:c>
      <x:c r="AA295" s="178" t="str">
        <x:f t="shared" si="128"/>
      </x:c>
      <x:c r="AB295" s="122"/>
      <x:c r="AC295" s="177" t="str">
        <x:f t="shared" si="129"/>
      </x:c>
      <x:c r="AD295" s="122"/>
      <x:c r="AE295" s="177" t="str">
        <x:f t="shared" si="130"/>
      </x:c>
      <x:c r="AF295" s="178" t="str">
        <x:f t="shared" si="131"/>
      </x:c>
      <x:c r="AG295" s="122"/>
      <x:c r="AH295" s="177" t="str">
        <x:f t="shared" si="132"/>
      </x:c>
      <x:c r="AI295" s="122"/>
      <x:c r="AJ295" s="177" t="str">
        <x:f t="shared" si="133"/>
      </x:c>
      <x:c r="AK295" s="178" t="str">
        <x:f t="shared" si="134"/>
      </x:c>
      <x:c r="AL295" s="122"/>
      <x:c r="AM295" s="177" t="str">
        <x:f t="shared" si="135"/>
      </x:c>
      <x:c r="AN295" s="122"/>
      <x:c r="AO295" s="177" t="str">
        <x:f t="shared" si="136"/>
      </x:c>
      <x:c r="AP295" s="178" t="str">
        <x:f t="shared" si="137"/>
      </x:c>
      <x:c r="AQ295" s="122"/>
      <x:c r="AR295" s="177" t="str">
        <x:f t="shared" si="138"/>
      </x:c>
      <x:c r="AS295" s="122"/>
      <x:c r="AT295" s="177" t="str">
        <x:f t="shared" si="139"/>
      </x:c>
      <x:c r="AU295" s="178" t="str">
        <x:f t="shared" si="140"/>
      </x:c>
      <x:c r="AV295" s="122"/>
      <x:c r="AW295" s="177" t="str">
        <x:f t="shared" si="141"/>
      </x:c>
      <x:c r="AX295" s="122"/>
      <x:c r="AY295" s="177" t="str">
        <x:f t="shared" si="142"/>
      </x:c>
      <x:c r="AZ295" s="178" t="str">
        <x:f t="shared" si="143"/>
      </x:c>
      <x:c r="BA295" s="122"/>
      <x:c r="BB295" s="177" t="str">
        <x:f t="shared" si="144"/>
      </x:c>
      <x:c r="BC295" s="122"/>
      <x:c r="BD295" s="177" t="str">
        <x:f t="shared" si="145"/>
      </x:c>
      <x:c r="BE295" s="178" t="str">
        <x:f t="shared" si="146"/>
      </x:c>
      <x:c r="BF295" s="122"/>
      <x:c r="BG295" s="177" t="str">
        <x:f t="shared" si="147"/>
      </x:c>
      <x:c r="BH295" s="122"/>
      <x:c r="BI295" s="177" t="str">
        <x:f t="shared" si="148"/>
      </x:c>
      <x:c r="BJ295" s="178" t="str">
        <x:f t="shared" si="149"/>
      </x:c>
    </x:row>
    <x:row r="296" ht="19.5" hidden="1" customHeight="1">
      <x:c r="A296" s="169"/>
      <x:c r="B296" s="170"/>
      <x:c r="C296" s="171"/>
      <x:c r="D296" s="172"/>
      <x:c r="E296" s="171"/>
      <x:c r="F296" s="173"/>
      <x:c r="G296" s="174"/>
      <x:c r="H296" s="175"/>
      <x:c r="I296" s="174"/>
      <x:c r="J296" s="176"/>
      <x:c r="K296" s="233"/>
      <x:c r="L296" s="233"/>
      <x:c r="M296" s="122"/>
      <x:c r="N296" s="177" t="str">
        <x:f t="shared" si="120"/>
      </x:c>
      <x:c r="O296" s="122"/>
      <x:c r="P296" s="177" t="str">
        <x:f t="shared" si="121"/>
      </x:c>
      <x:c r="Q296" s="178" t="str">
        <x:f t="shared" si="122"/>
      </x:c>
      <x:c r="R296" s="122"/>
      <x:c r="S296" s="177" t="str">
        <x:f t="shared" si="123"/>
      </x:c>
      <x:c r="T296" s="122"/>
      <x:c r="U296" s="177" t="str">
        <x:f t="shared" si="124"/>
      </x:c>
      <x:c r="V296" s="178" t="str">
        <x:f t="shared" si="125"/>
      </x:c>
      <x:c r="W296" s="122"/>
      <x:c r="X296" s="177" t="str">
        <x:f t="shared" si="126"/>
      </x:c>
      <x:c r="Y296" s="122"/>
      <x:c r="Z296" s="177" t="str">
        <x:f t="shared" si="127"/>
      </x:c>
      <x:c r="AA296" s="178" t="str">
        <x:f t="shared" si="128"/>
      </x:c>
      <x:c r="AB296" s="122"/>
      <x:c r="AC296" s="177" t="str">
        <x:f t="shared" si="129"/>
      </x:c>
      <x:c r="AD296" s="122"/>
      <x:c r="AE296" s="177" t="str">
        <x:f t="shared" si="130"/>
      </x:c>
      <x:c r="AF296" s="178" t="str">
        <x:f t="shared" si="131"/>
      </x:c>
      <x:c r="AG296" s="122"/>
      <x:c r="AH296" s="177" t="str">
        <x:f t="shared" si="132"/>
      </x:c>
      <x:c r="AI296" s="122"/>
      <x:c r="AJ296" s="177" t="str">
        <x:f t="shared" si="133"/>
      </x:c>
      <x:c r="AK296" s="178" t="str">
        <x:f t="shared" si="134"/>
      </x:c>
      <x:c r="AL296" s="122"/>
      <x:c r="AM296" s="177" t="str">
        <x:f t="shared" si="135"/>
      </x:c>
      <x:c r="AN296" s="122"/>
      <x:c r="AO296" s="177" t="str">
        <x:f t="shared" si="136"/>
      </x:c>
      <x:c r="AP296" s="178" t="str">
        <x:f t="shared" si="137"/>
      </x:c>
      <x:c r="AQ296" s="122"/>
      <x:c r="AR296" s="177" t="str">
        <x:f t="shared" si="138"/>
      </x:c>
      <x:c r="AS296" s="122"/>
      <x:c r="AT296" s="177" t="str">
        <x:f t="shared" si="139"/>
      </x:c>
      <x:c r="AU296" s="178" t="str">
        <x:f t="shared" si="140"/>
      </x:c>
      <x:c r="AV296" s="122"/>
      <x:c r="AW296" s="177" t="str">
        <x:f t="shared" si="141"/>
      </x:c>
      <x:c r="AX296" s="122"/>
      <x:c r="AY296" s="177" t="str">
        <x:f t="shared" si="142"/>
      </x:c>
      <x:c r="AZ296" s="178" t="str">
        <x:f t="shared" si="143"/>
      </x:c>
      <x:c r="BA296" s="122"/>
      <x:c r="BB296" s="177" t="str">
        <x:f t="shared" si="144"/>
      </x:c>
      <x:c r="BC296" s="122"/>
      <x:c r="BD296" s="177" t="str">
        <x:f t="shared" si="145"/>
      </x:c>
      <x:c r="BE296" s="178" t="str">
        <x:f t="shared" si="146"/>
      </x:c>
      <x:c r="BF296" s="122"/>
      <x:c r="BG296" s="177" t="str">
        <x:f t="shared" si="147"/>
      </x:c>
      <x:c r="BH296" s="122"/>
      <x:c r="BI296" s="177" t="str">
        <x:f t="shared" si="148"/>
      </x:c>
      <x:c r="BJ296" s="178" t="str">
        <x:f t="shared" si="149"/>
      </x:c>
    </x:row>
    <x:row r="297" ht="19.5" hidden="1" customHeight="1">
      <x:c r="A297" s="160"/>
      <x:c r="B297" s="179"/>
      <x:c r="C297" s="171"/>
      <x:c r="D297" s="172"/>
      <x:c r="E297" s="171"/>
      <x:c r="F297" s="173"/>
      <x:c r="G297" s="174"/>
      <x:c r="H297" s="175"/>
      <x:c r="I297" s="174"/>
      <x:c r="J297" s="176"/>
      <x:c r="K297" s="233"/>
      <x:c r="L297" s="233"/>
      <x:c r="M297" s="122"/>
      <x:c r="N297" s="177" t="str">
        <x:f t="shared" si="120"/>
      </x:c>
      <x:c r="O297" s="122"/>
      <x:c r="P297" s="177" t="str">
        <x:f t="shared" si="121"/>
      </x:c>
      <x:c r="Q297" s="178" t="str">
        <x:f t="shared" si="122"/>
      </x:c>
      <x:c r="R297" s="122"/>
      <x:c r="S297" s="177" t="str">
        <x:f t="shared" si="123"/>
      </x:c>
      <x:c r="T297" s="122"/>
      <x:c r="U297" s="177" t="str">
        <x:f t="shared" si="124"/>
      </x:c>
      <x:c r="V297" s="178" t="str">
        <x:f t="shared" si="125"/>
      </x:c>
      <x:c r="W297" s="122"/>
      <x:c r="X297" s="177" t="str">
        <x:f t="shared" si="126"/>
      </x:c>
      <x:c r="Y297" s="122"/>
      <x:c r="Z297" s="177" t="str">
        <x:f t="shared" si="127"/>
      </x:c>
      <x:c r="AA297" s="178" t="str">
        <x:f t="shared" si="128"/>
      </x:c>
      <x:c r="AB297" s="122"/>
      <x:c r="AC297" s="177" t="str">
        <x:f t="shared" si="129"/>
      </x:c>
      <x:c r="AD297" s="122"/>
      <x:c r="AE297" s="177" t="str">
        <x:f t="shared" si="130"/>
      </x:c>
      <x:c r="AF297" s="178" t="str">
        <x:f t="shared" si="131"/>
      </x:c>
      <x:c r="AG297" s="122"/>
      <x:c r="AH297" s="177" t="str">
        <x:f t="shared" si="132"/>
      </x:c>
      <x:c r="AI297" s="122"/>
      <x:c r="AJ297" s="177" t="str">
        <x:f t="shared" si="133"/>
      </x:c>
      <x:c r="AK297" s="178" t="str">
        <x:f t="shared" si="134"/>
      </x:c>
      <x:c r="AL297" s="122"/>
      <x:c r="AM297" s="177" t="str">
        <x:f t="shared" si="135"/>
      </x:c>
      <x:c r="AN297" s="122"/>
      <x:c r="AO297" s="177" t="str">
        <x:f t="shared" si="136"/>
      </x:c>
      <x:c r="AP297" s="178" t="str">
        <x:f t="shared" si="137"/>
      </x:c>
      <x:c r="AQ297" s="122"/>
      <x:c r="AR297" s="177" t="str">
        <x:f t="shared" si="138"/>
      </x:c>
      <x:c r="AS297" s="122"/>
      <x:c r="AT297" s="177" t="str">
        <x:f t="shared" si="139"/>
      </x:c>
      <x:c r="AU297" s="178" t="str">
        <x:f t="shared" si="140"/>
      </x:c>
      <x:c r="AV297" s="122"/>
      <x:c r="AW297" s="177" t="str">
        <x:f t="shared" si="141"/>
      </x:c>
      <x:c r="AX297" s="122"/>
      <x:c r="AY297" s="177" t="str">
        <x:f t="shared" si="142"/>
      </x:c>
      <x:c r="AZ297" s="178" t="str">
        <x:f t="shared" si="143"/>
      </x:c>
      <x:c r="BA297" s="122"/>
      <x:c r="BB297" s="177" t="str">
        <x:f t="shared" si="144"/>
      </x:c>
      <x:c r="BC297" s="122"/>
      <x:c r="BD297" s="177" t="str">
        <x:f t="shared" si="145"/>
      </x:c>
      <x:c r="BE297" s="178" t="str">
        <x:f t="shared" si="146"/>
      </x:c>
      <x:c r="BF297" s="122"/>
      <x:c r="BG297" s="177" t="str">
        <x:f t="shared" si="147"/>
      </x:c>
      <x:c r="BH297" s="122"/>
      <x:c r="BI297" s="177" t="str">
        <x:f t="shared" si="148"/>
      </x:c>
      <x:c r="BJ297" s="178" t="str">
        <x:f t="shared" si="149"/>
      </x:c>
    </x:row>
    <x:row r="298" ht="19.5" hidden="1" customHeight="1">
      <x:c r="A298" s="169"/>
      <x:c r="B298" s="170"/>
      <x:c r="C298" s="171"/>
      <x:c r="D298" s="172"/>
      <x:c r="E298" s="171"/>
      <x:c r="F298" s="173"/>
      <x:c r="G298" s="174"/>
      <x:c r="H298" s="175"/>
      <x:c r="I298" s="174"/>
      <x:c r="J298" s="176"/>
      <x:c r="K298" s="233"/>
      <x:c r="L298" s="233"/>
      <x:c r="M298" s="122"/>
      <x:c r="N298" s="177" t="str">
        <x:f t="shared" si="120"/>
      </x:c>
      <x:c r="O298" s="122"/>
      <x:c r="P298" s="177" t="str">
        <x:f t="shared" si="121"/>
      </x:c>
      <x:c r="Q298" s="178" t="str">
        <x:f t="shared" si="122"/>
      </x:c>
      <x:c r="R298" s="122"/>
      <x:c r="S298" s="177" t="str">
        <x:f t="shared" si="123"/>
      </x:c>
      <x:c r="T298" s="122"/>
      <x:c r="U298" s="177" t="str">
        <x:f t="shared" si="124"/>
      </x:c>
      <x:c r="V298" s="178" t="str">
        <x:f t="shared" si="125"/>
      </x:c>
      <x:c r="W298" s="122"/>
      <x:c r="X298" s="177" t="str">
        <x:f t="shared" si="126"/>
      </x:c>
      <x:c r="Y298" s="122"/>
      <x:c r="Z298" s="177" t="str">
        <x:f t="shared" si="127"/>
      </x:c>
      <x:c r="AA298" s="178" t="str">
        <x:f t="shared" si="128"/>
      </x:c>
      <x:c r="AB298" s="122"/>
      <x:c r="AC298" s="177" t="str">
        <x:f t="shared" si="129"/>
      </x:c>
      <x:c r="AD298" s="122"/>
      <x:c r="AE298" s="177" t="str">
        <x:f t="shared" si="130"/>
      </x:c>
      <x:c r="AF298" s="178" t="str">
        <x:f t="shared" si="131"/>
      </x:c>
      <x:c r="AG298" s="122"/>
      <x:c r="AH298" s="177" t="str">
        <x:f t="shared" si="132"/>
      </x:c>
      <x:c r="AI298" s="122"/>
      <x:c r="AJ298" s="177" t="str">
        <x:f t="shared" si="133"/>
      </x:c>
      <x:c r="AK298" s="178" t="str">
        <x:f t="shared" si="134"/>
      </x:c>
      <x:c r="AL298" s="122"/>
      <x:c r="AM298" s="177" t="str">
        <x:f t="shared" si="135"/>
      </x:c>
      <x:c r="AN298" s="122"/>
      <x:c r="AO298" s="177" t="str">
        <x:f t="shared" si="136"/>
      </x:c>
      <x:c r="AP298" s="178" t="str">
        <x:f t="shared" si="137"/>
      </x:c>
      <x:c r="AQ298" s="122"/>
      <x:c r="AR298" s="177" t="str">
        <x:f t="shared" si="138"/>
      </x:c>
      <x:c r="AS298" s="122"/>
      <x:c r="AT298" s="177" t="str">
        <x:f t="shared" si="139"/>
      </x:c>
      <x:c r="AU298" s="178" t="str">
        <x:f t="shared" si="140"/>
      </x:c>
      <x:c r="AV298" s="122"/>
      <x:c r="AW298" s="177" t="str">
        <x:f t="shared" si="141"/>
      </x:c>
      <x:c r="AX298" s="122"/>
      <x:c r="AY298" s="177" t="str">
        <x:f t="shared" si="142"/>
      </x:c>
      <x:c r="AZ298" s="178" t="str">
        <x:f t="shared" si="143"/>
      </x:c>
      <x:c r="BA298" s="122"/>
      <x:c r="BB298" s="177" t="str">
        <x:f t="shared" si="144"/>
      </x:c>
      <x:c r="BC298" s="122"/>
      <x:c r="BD298" s="177" t="str">
        <x:f t="shared" si="145"/>
      </x:c>
      <x:c r="BE298" s="178" t="str">
        <x:f t="shared" si="146"/>
      </x:c>
      <x:c r="BF298" s="122"/>
      <x:c r="BG298" s="177" t="str">
        <x:f t="shared" si="147"/>
      </x:c>
      <x:c r="BH298" s="122"/>
      <x:c r="BI298" s="177" t="str">
        <x:f t="shared" si="148"/>
      </x:c>
      <x:c r="BJ298" s="178" t="str">
        <x:f t="shared" si="149"/>
      </x:c>
    </x:row>
    <x:row r="299" ht="19.5" hidden="1" customHeight="1">
      <x:c r="A299" s="160"/>
      <x:c r="B299" s="179"/>
      <x:c r="C299" s="171"/>
      <x:c r="D299" s="172"/>
      <x:c r="E299" s="171"/>
      <x:c r="F299" s="173"/>
      <x:c r="G299" s="174"/>
      <x:c r="H299" s="175"/>
      <x:c r="I299" s="174"/>
      <x:c r="J299" s="176"/>
      <x:c r="K299" s="233"/>
      <x:c r="L299" s="233"/>
      <x:c r="M299" s="122"/>
      <x:c r="N299" s="177" t="str">
        <x:f t="shared" si="120"/>
      </x:c>
      <x:c r="O299" s="122"/>
      <x:c r="P299" s="177" t="str">
        <x:f t="shared" si="121"/>
      </x:c>
      <x:c r="Q299" s="178" t="str">
        <x:f t="shared" si="122"/>
      </x:c>
      <x:c r="R299" s="122"/>
      <x:c r="S299" s="177" t="str">
        <x:f t="shared" si="123"/>
      </x:c>
      <x:c r="T299" s="122"/>
      <x:c r="U299" s="177" t="str">
        <x:f t="shared" si="124"/>
      </x:c>
      <x:c r="V299" s="178" t="str">
        <x:f t="shared" si="125"/>
      </x:c>
      <x:c r="W299" s="122"/>
      <x:c r="X299" s="177" t="str">
        <x:f t="shared" si="126"/>
      </x:c>
      <x:c r="Y299" s="122"/>
      <x:c r="Z299" s="177" t="str">
        <x:f t="shared" si="127"/>
      </x:c>
      <x:c r="AA299" s="178" t="str">
        <x:f t="shared" si="128"/>
      </x:c>
      <x:c r="AB299" s="122"/>
      <x:c r="AC299" s="177" t="str">
        <x:f t="shared" si="129"/>
      </x:c>
      <x:c r="AD299" s="122"/>
      <x:c r="AE299" s="177" t="str">
        <x:f t="shared" si="130"/>
      </x:c>
      <x:c r="AF299" s="178" t="str">
        <x:f t="shared" si="131"/>
      </x:c>
      <x:c r="AG299" s="122"/>
      <x:c r="AH299" s="177" t="str">
        <x:f t="shared" si="132"/>
      </x:c>
      <x:c r="AI299" s="122"/>
      <x:c r="AJ299" s="177" t="str">
        <x:f t="shared" si="133"/>
      </x:c>
      <x:c r="AK299" s="178" t="str">
        <x:f t="shared" si="134"/>
      </x:c>
      <x:c r="AL299" s="122"/>
      <x:c r="AM299" s="177" t="str">
        <x:f t="shared" si="135"/>
      </x:c>
      <x:c r="AN299" s="122"/>
      <x:c r="AO299" s="177" t="str">
        <x:f t="shared" si="136"/>
      </x:c>
      <x:c r="AP299" s="178" t="str">
        <x:f t="shared" si="137"/>
      </x:c>
      <x:c r="AQ299" s="122"/>
      <x:c r="AR299" s="177" t="str">
        <x:f t="shared" si="138"/>
      </x:c>
      <x:c r="AS299" s="122"/>
      <x:c r="AT299" s="177" t="str">
        <x:f t="shared" si="139"/>
      </x:c>
      <x:c r="AU299" s="178" t="str">
        <x:f t="shared" si="140"/>
      </x:c>
      <x:c r="AV299" s="122"/>
      <x:c r="AW299" s="177" t="str">
        <x:f t="shared" si="141"/>
      </x:c>
      <x:c r="AX299" s="122"/>
      <x:c r="AY299" s="177" t="str">
        <x:f t="shared" si="142"/>
      </x:c>
      <x:c r="AZ299" s="178" t="str">
        <x:f t="shared" si="143"/>
      </x:c>
      <x:c r="BA299" s="122"/>
      <x:c r="BB299" s="177" t="str">
        <x:f t="shared" si="144"/>
      </x:c>
      <x:c r="BC299" s="122"/>
      <x:c r="BD299" s="177" t="str">
        <x:f t="shared" si="145"/>
      </x:c>
      <x:c r="BE299" s="178" t="str">
        <x:f t="shared" si="146"/>
      </x:c>
      <x:c r="BF299" s="122"/>
      <x:c r="BG299" s="177" t="str">
        <x:f t="shared" si="147"/>
      </x:c>
      <x:c r="BH299" s="122"/>
      <x:c r="BI299" s="177" t="str">
        <x:f t="shared" si="148"/>
      </x:c>
      <x:c r="BJ299" s="178" t="str">
        <x:f t="shared" si="149"/>
      </x:c>
    </x:row>
    <x:row r="300" ht="19.5" hidden="1" customHeight="1">
      <x:c r="A300" s="169"/>
      <x:c r="B300" s="170"/>
      <x:c r="C300" s="171"/>
      <x:c r="D300" s="172"/>
      <x:c r="E300" s="171"/>
      <x:c r="F300" s="173"/>
      <x:c r="G300" s="174"/>
      <x:c r="H300" s="175"/>
      <x:c r="I300" s="174"/>
      <x:c r="J300" s="176"/>
      <x:c r="K300" s="233"/>
      <x:c r="L300" s="233"/>
      <x:c r="M300" s="122"/>
      <x:c r="N300" s="177" t="str">
        <x:f t="shared" si="120"/>
      </x:c>
      <x:c r="O300" s="122"/>
      <x:c r="P300" s="177" t="str">
        <x:f t="shared" si="121"/>
      </x:c>
      <x:c r="Q300" s="178" t="str">
        <x:f t="shared" si="122"/>
      </x:c>
      <x:c r="R300" s="122"/>
      <x:c r="S300" s="177" t="str">
        <x:f t="shared" si="123"/>
      </x:c>
      <x:c r="T300" s="122"/>
      <x:c r="U300" s="177" t="str">
        <x:f t="shared" si="124"/>
      </x:c>
      <x:c r="V300" s="178" t="str">
        <x:f t="shared" si="125"/>
      </x:c>
      <x:c r="W300" s="122"/>
      <x:c r="X300" s="177" t="str">
        <x:f t="shared" si="126"/>
      </x:c>
      <x:c r="Y300" s="122"/>
      <x:c r="Z300" s="177" t="str">
        <x:f t="shared" si="127"/>
      </x:c>
      <x:c r="AA300" s="178" t="str">
        <x:f t="shared" si="128"/>
      </x:c>
      <x:c r="AB300" s="122"/>
      <x:c r="AC300" s="177" t="str">
        <x:f t="shared" si="129"/>
      </x:c>
      <x:c r="AD300" s="122"/>
      <x:c r="AE300" s="177" t="str">
        <x:f t="shared" si="130"/>
      </x:c>
      <x:c r="AF300" s="178" t="str">
        <x:f t="shared" si="131"/>
      </x:c>
      <x:c r="AG300" s="122"/>
      <x:c r="AH300" s="177" t="str">
        <x:f t="shared" si="132"/>
      </x:c>
      <x:c r="AI300" s="122"/>
      <x:c r="AJ300" s="177" t="str">
        <x:f t="shared" si="133"/>
      </x:c>
      <x:c r="AK300" s="178" t="str">
        <x:f t="shared" si="134"/>
      </x:c>
      <x:c r="AL300" s="122"/>
      <x:c r="AM300" s="177" t="str">
        <x:f t="shared" si="135"/>
      </x:c>
      <x:c r="AN300" s="122"/>
      <x:c r="AO300" s="177" t="str">
        <x:f t="shared" si="136"/>
      </x:c>
      <x:c r="AP300" s="178" t="str">
        <x:f t="shared" si="137"/>
      </x:c>
      <x:c r="AQ300" s="122"/>
      <x:c r="AR300" s="177" t="str">
        <x:f t="shared" si="138"/>
      </x:c>
      <x:c r="AS300" s="122"/>
      <x:c r="AT300" s="177" t="str">
        <x:f t="shared" si="139"/>
      </x:c>
      <x:c r="AU300" s="178" t="str">
        <x:f t="shared" si="140"/>
      </x:c>
      <x:c r="AV300" s="122"/>
      <x:c r="AW300" s="177" t="str">
        <x:f t="shared" si="141"/>
      </x:c>
      <x:c r="AX300" s="122"/>
      <x:c r="AY300" s="177" t="str">
        <x:f t="shared" si="142"/>
      </x:c>
      <x:c r="AZ300" s="178" t="str">
        <x:f t="shared" si="143"/>
      </x:c>
      <x:c r="BA300" s="122"/>
      <x:c r="BB300" s="177" t="str">
        <x:f t="shared" si="144"/>
      </x:c>
      <x:c r="BC300" s="122"/>
      <x:c r="BD300" s="177" t="str">
        <x:f t="shared" si="145"/>
      </x:c>
      <x:c r="BE300" s="178" t="str">
        <x:f t="shared" si="146"/>
      </x:c>
      <x:c r="BF300" s="122"/>
      <x:c r="BG300" s="177" t="str">
        <x:f t="shared" si="147"/>
      </x:c>
      <x:c r="BH300" s="122"/>
      <x:c r="BI300" s="177" t="str">
        <x:f t="shared" si="148"/>
      </x:c>
      <x:c r="BJ300" s="178" t="str">
        <x:f t="shared" si="149"/>
      </x:c>
    </x:row>
    <x:row r="301" ht="19.5" hidden="1" customHeight="1">
      <x:c r="A301" s="160"/>
      <x:c r="B301" s="179"/>
      <x:c r="C301" s="171"/>
      <x:c r="D301" s="172"/>
      <x:c r="E301" s="171"/>
      <x:c r="F301" s="173"/>
      <x:c r="G301" s="174"/>
      <x:c r="H301" s="175"/>
      <x:c r="I301" s="174"/>
      <x:c r="J301" s="176"/>
      <x:c r="K301" s="233"/>
      <x:c r="L301" s="233"/>
      <x:c r="M301" s="122"/>
      <x:c r="N301" s="177" t="str">
        <x:f t="shared" si="120"/>
      </x:c>
      <x:c r="O301" s="122"/>
      <x:c r="P301" s="177" t="str">
        <x:f t="shared" si="121"/>
      </x:c>
      <x:c r="Q301" s="178" t="str">
        <x:f t="shared" si="122"/>
      </x:c>
      <x:c r="R301" s="122"/>
      <x:c r="S301" s="177" t="str">
        <x:f t="shared" si="123"/>
      </x:c>
      <x:c r="T301" s="122"/>
      <x:c r="U301" s="177" t="str">
        <x:f t="shared" si="124"/>
      </x:c>
      <x:c r="V301" s="178" t="str">
        <x:f t="shared" si="125"/>
      </x:c>
      <x:c r="W301" s="122"/>
      <x:c r="X301" s="177" t="str">
        <x:f t="shared" si="126"/>
      </x:c>
      <x:c r="Y301" s="122"/>
      <x:c r="Z301" s="177" t="str">
        <x:f t="shared" si="127"/>
      </x:c>
      <x:c r="AA301" s="178" t="str">
        <x:f t="shared" si="128"/>
      </x:c>
      <x:c r="AB301" s="122"/>
      <x:c r="AC301" s="177" t="str">
        <x:f t="shared" si="129"/>
      </x:c>
      <x:c r="AD301" s="122"/>
      <x:c r="AE301" s="177" t="str">
        <x:f t="shared" si="130"/>
      </x:c>
      <x:c r="AF301" s="178" t="str">
        <x:f t="shared" si="131"/>
      </x:c>
      <x:c r="AG301" s="122"/>
      <x:c r="AH301" s="177" t="str">
        <x:f t="shared" si="132"/>
      </x:c>
      <x:c r="AI301" s="122"/>
      <x:c r="AJ301" s="177" t="str">
        <x:f t="shared" si="133"/>
      </x:c>
      <x:c r="AK301" s="178" t="str">
        <x:f t="shared" si="134"/>
      </x:c>
      <x:c r="AL301" s="122"/>
      <x:c r="AM301" s="177" t="str">
        <x:f t="shared" si="135"/>
      </x:c>
      <x:c r="AN301" s="122"/>
      <x:c r="AO301" s="177" t="str">
        <x:f t="shared" si="136"/>
      </x:c>
      <x:c r="AP301" s="178" t="str">
        <x:f t="shared" si="137"/>
      </x:c>
      <x:c r="AQ301" s="122"/>
      <x:c r="AR301" s="177" t="str">
        <x:f t="shared" si="138"/>
      </x:c>
      <x:c r="AS301" s="122"/>
      <x:c r="AT301" s="177" t="str">
        <x:f t="shared" si="139"/>
      </x:c>
      <x:c r="AU301" s="178" t="str">
        <x:f t="shared" si="140"/>
      </x:c>
      <x:c r="AV301" s="122"/>
      <x:c r="AW301" s="177" t="str">
        <x:f t="shared" si="141"/>
      </x:c>
      <x:c r="AX301" s="122"/>
      <x:c r="AY301" s="177" t="str">
        <x:f t="shared" si="142"/>
      </x:c>
      <x:c r="AZ301" s="178" t="str">
        <x:f t="shared" si="143"/>
      </x:c>
      <x:c r="BA301" s="122"/>
      <x:c r="BB301" s="177" t="str">
        <x:f t="shared" si="144"/>
      </x:c>
      <x:c r="BC301" s="122"/>
      <x:c r="BD301" s="177" t="str">
        <x:f t="shared" si="145"/>
      </x:c>
      <x:c r="BE301" s="178" t="str">
        <x:f t="shared" si="146"/>
      </x:c>
      <x:c r="BF301" s="122"/>
      <x:c r="BG301" s="177" t="str">
        <x:f t="shared" si="147"/>
      </x:c>
      <x:c r="BH301" s="122"/>
      <x:c r="BI301" s="177" t="str">
        <x:f t="shared" si="148"/>
      </x:c>
      <x:c r="BJ301" s="178" t="str">
        <x:f t="shared" si="149"/>
      </x:c>
    </x:row>
    <x:row r="302" ht="19.5" hidden="1" customHeight="1">
      <x:c r="A302" s="169"/>
      <x:c r="B302" s="170"/>
      <x:c r="C302" s="171"/>
      <x:c r="D302" s="172"/>
      <x:c r="E302" s="171"/>
      <x:c r="F302" s="173"/>
      <x:c r="G302" s="174"/>
      <x:c r="H302" s="175"/>
      <x:c r="I302" s="174"/>
      <x:c r="J302" s="176"/>
      <x:c r="K302" s="233"/>
      <x:c r="L302" s="233"/>
      <x:c r="M302" s="122"/>
      <x:c r="N302" s="177" t="str">
        <x:f t="shared" si="120"/>
      </x:c>
      <x:c r="O302" s="122"/>
      <x:c r="P302" s="177" t="str">
        <x:f t="shared" si="121"/>
      </x:c>
      <x:c r="Q302" s="178" t="str">
        <x:f t="shared" si="122"/>
      </x:c>
      <x:c r="R302" s="122"/>
      <x:c r="S302" s="177" t="str">
        <x:f t="shared" si="123"/>
      </x:c>
      <x:c r="T302" s="122"/>
      <x:c r="U302" s="177" t="str">
        <x:f t="shared" si="124"/>
      </x:c>
      <x:c r="V302" s="178" t="str">
        <x:f t="shared" si="125"/>
      </x:c>
      <x:c r="W302" s="122"/>
      <x:c r="X302" s="177" t="str">
        <x:f t="shared" si="126"/>
      </x:c>
      <x:c r="Y302" s="122"/>
      <x:c r="Z302" s="177" t="str">
        <x:f t="shared" si="127"/>
      </x:c>
      <x:c r="AA302" s="178" t="str">
        <x:f t="shared" si="128"/>
      </x:c>
      <x:c r="AB302" s="122"/>
      <x:c r="AC302" s="177" t="str">
        <x:f t="shared" si="129"/>
      </x:c>
      <x:c r="AD302" s="122"/>
      <x:c r="AE302" s="177" t="str">
        <x:f t="shared" si="130"/>
      </x:c>
      <x:c r="AF302" s="178" t="str">
        <x:f t="shared" si="131"/>
      </x:c>
      <x:c r="AG302" s="122"/>
      <x:c r="AH302" s="177" t="str">
        <x:f t="shared" si="132"/>
      </x:c>
      <x:c r="AI302" s="122"/>
      <x:c r="AJ302" s="177" t="str">
        <x:f t="shared" si="133"/>
      </x:c>
      <x:c r="AK302" s="178" t="str">
        <x:f t="shared" si="134"/>
      </x:c>
      <x:c r="AL302" s="122"/>
      <x:c r="AM302" s="177" t="str">
        <x:f t="shared" si="135"/>
      </x:c>
      <x:c r="AN302" s="122"/>
      <x:c r="AO302" s="177" t="str">
        <x:f t="shared" si="136"/>
      </x:c>
      <x:c r="AP302" s="178" t="str">
        <x:f t="shared" si="137"/>
      </x:c>
      <x:c r="AQ302" s="122"/>
      <x:c r="AR302" s="177" t="str">
        <x:f t="shared" si="138"/>
      </x:c>
      <x:c r="AS302" s="122"/>
      <x:c r="AT302" s="177" t="str">
        <x:f t="shared" si="139"/>
      </x:c>
      <x:c r="AU302" s="178" t="str">
        <x:f t="shared" si="140"/>
      </x:c>
      <x:c r="AV302" s="122"/>
      <x:c r="AW302" s="177" t="str">
        <x:f t="shared" si="141"/>
      </x:c>
      <x:c r="AX302" s="122"/>
      <x:c r="AY302" s="177" t="str">
        <x:f t="shared" si="142"/>
      </x:c>
      <x:c r="AZ302" s="178" t="str">
        <x:f t="shared" si="143"/>
      </x:c>
      <x:c r="BA302" s="122"/>
      <x:c r="BB302" s="177" t="str">
        <x:f t="shared" si="144"/>
      </x:c>
      <x:c r="BC302" s="122"/>
      <x:c r="BD302" s="177" t="str">
        <x:f t="shared" si="145"/>
      </x:c>
      <x:c r="BE302" s="178" t="str">
        <x:f t="shared" si="146"/>
      </x:c>
      <x:c r="BF302" s="122"/>
      <x:c r="BG302" s="177" t="str">
        <x:f t="shared" si="147"/>
      </x:c>
      <x:c r="BH302" s="122"/>
      <x:c r="BI302" s="177" t="str">
        <x:f t="shared" si="148"/>
      </x:c>
      <x:c r="BJ302" s="178" t="str">
        <x:f t="shared" si="149"/>
      </x:c>
    </x:row>
    <x:row r="303" ht="19.5" hidden="1" customHeight="1">
      <x:c r="A303" s="160"/>
      <x:c r="B303" s="179"/>
      <x:c r="C303" s="171"/>
      <x:c r="D303" s="172"/>
      <x:c r="E303" s="171"/>
      <x:c r="F303" s="173"/>
      <x:c r="G303" s="174"/>
      <x:c r="H303" s="175"/>
      <x:c r="I303" s="174"/>
      <x:c r="J303" s="176"/>
      <x:c r="K303" s="233"/>
      <x:c r="L303" s="233"/>
      <x:c r="M303" s="122"/>
      <x:c r="N303" s="177" t="str">
        <x:f t="shared" si="120"/>
      </x:c>
      <x:c r="O303" s="122"/>
      <x:c r="P303" s="177" t="str">
        <x:f t="shared" si="121"/>
      </x:c>
      <x:c r="Q303" s="178" t="str">
        <x:f t="shared" si="122"/>
      </x:c>
      <x:c r="R303" s="122"/>
      <x:c r="S303" s="177" t="str">
        <x:f t="shared" si="123"/>
      </x:c>
      <x:c r="T303" s="122"/>
      <x:c r="U303" s="177" t="str">
        <x:f t="shared" si="124"/>
      </x:c>
      <x:c r="V303" s="178" t="str">
        <x:f t="shared" si="125"/>
      </x:c>
      <x:c r="W303" s="122"/>
      <x:c r="X303" s="177" t="str">
        <x:f t="shared" si="126"/>
      </x:c>
      <x:c r="Y303" s="122"/>
      <x:c r="Z303" s="177" t="str">
        <x:f t="shared" si="127"/>
      </x:c>
      <x:c r="AA303" s="178" t="str">
        <x:f t="shared" si="128"/>
      </x:c>
      <x:c r="AB303" s="122"/>
      <x:c r="AC303" s="177" t="str">
        <x:f t="shared" si="129"/>
      </x:c>
      <x:c r="AD303" s="122"/>
      <x:c r="AE303" s="177" t="str">
        <x:f t="shared" si="130"/>
      </x:c>
      <x:c r="AF303" s="178" t="str">
        <x:f t="shared" si="131"/>
      </x:c>
      <x:c r="AG303" s="122"/>
      <x:c r="AH303" s="177" t="str">
        <x:f t="shared" si="132"/>
      </x:c>
      <x:c r="AI303" s="122"/>
      <x:c r="AJ303" s="177" t="str">
        <x:f t="shared" si="133"/>
      </x:c>
      <x:c r="AK303" s="178" t="str">
        <x:f t="shared" si="134"/>
      </x:c>
      <x:c r="AL303" s="122"/>
      <x:c r="AM303" s="177" t="str">
        <x:f t="shared" si="135"/>
      </x:c>
      <x:c r="AN303" s="122"/>
      <x:c r="AO303" s="177" t="str">
        <x:f t="shared" si="136"/>
      </x:c>
      <x:c r="AP303" s="178" t="str">
        <x:f t="shared" si="137"/>
      </x:c>
      <x:c r="AQ303" s="122"/>
      <x:c r="AR303" s="177" t="str">
        <x:f t="shared" si="138"/>
      </x:c>
      <x:c r="AS303" s="122"/>
      <x:c r="AT303" s="177" t="str">
        <x:f t="shared" si="139"/>
      </x:c>
      <x:c r="AU303" s="178" t="str">
        <x:f t="shared" si="140"/>
      </x:c>
      <x:c r="AV303" s="122"/>
      <x:c r="AW303" s="177" t="str">
        <x:f t="shared" si="141"/>
      </x:c>
      <x:c r="AX303" s="122"/>
      <x:c r="AY303" s="177" t="str">
        <x:f t="shared" si="142"/>
      </x:c>
      <x:c r="AZ303" s="178" t="str">
        <x:f t="shared" si="143"/>
      </x:c>
      <x:c r="BA303" s="122"/>
      <x:c r="BB303" s="177" t="str">
        <x:f t="shared" si="144"/>
      </x:c>
      <x:c r="BC303" s="122"/>
      <x:c r="BD303" s="177" t="str">
        <x:f t="shared" si="145"/>
      </x:c>
      <x:c r="BE303" s="178" t="str">
        <x:f t="shared" si="146"/>
      </x:c>
      <x:c r="BF303" s="122"/>
      <x:c r="BG303" s="177" t="str">
        <x:f t="shared" si="147"/>
      </x:c>
      <x:c r="BH303" s="122"/>
      <x:c r="BI303" s="177" t="str">
        <x:f t="shared" si="148"/>
      </x:c>
      <x:c r="BJ303" s="178" t="str">
        <x:f t="shared" si="149"/>
      </x:c>
    </x:row>
    <x:row r="304" ht="19.5" hidden="1" customHeight="1">
      <x:c r="A304" s="169"/>
      <x:c r="B304" s="170"/>
      <x:c r="C304" s="171"/>
      <x:c r="D304" s="172"/>
      <x:c r="E304" s="171"/>
      <x:c r="F304" s="173"/>
      <x:c r="G304" s="174"/>
      <x:c r="H304" s="175"/>
      <x:c r="I304" s="174"/>
      <x:c r="J304" s="176"/>
      <x:c r="K304" s="233"/>
      <x:c r="L304" s="233"/>
      <x:c r="M304" s="122"/>
      <x:c r="N304" s="177" t="str">
        <x:f t="shared" si="120"/>
      </x:c>
      <x:c r="O304" s="122"/>
      <x:c r="P304" s="177" t="str">
        <x:f t="shared" si="121"/>
      </x:c>
      <x:c r="Q304" s="178" t="str">
        <x:f t="shared" si="122"/>
      </x:c>
      <x:c r="R304" s="122"/>
      <x:c r="S304" s="177" t="str">
        <x:f t="shared" si="123"/>
      </x:c>
      <x:c r="T304" s="122"/>
      <x:c r="U304" s="177" t="str">
        <x:f t="shared" si="124"/>
      </x:c>
      <x:c r="V304" s="178" t="str">
        <x:f t="shared" si="125"/>
      </x:c>
      <x:c r="W304" s="122"/>
      <x:c r="X304" s="177" t="str">
        <x:f t="shared" si="126"/>
      </x:c>
      <x:c r="Y304" s="122"/>
      <x:c r="Z304" s="177" t="str">
        <x:f t="shared" si="127"/>
      </x:c>
      <x:c r="AA304" s="178" t="str">
        <x:f t="shared" si="128"/>
      </x:c>
      <x:c r="AB304" s="122"/>
      <x:c r="AC304" s="177" t="str">
        <x:f t="shared" si="129"/>
      </x:c>
      <x:c r="AD304" s="122"/>
      <x:c r="AE304" s="177" t="str">
        <x:f t="shared" si="130"/>
      </x:c>
      <x:c r="AF304" s="178" t="str">
        <x:f t="shared" si="131"/>
      </x:c>
      <x:c r="AG304" s="122"/>
      <x:c r="AH304" s="177" t="str">
        <x:f t="shared" si="132"/>
      </x:c>
      <x:c r="AI304" s="122"/>
      <x:c r="AJ304" s="177" t="str">
        <x:f t="shared" si="133"/>
      </x:c>
      <x:c r="AK304" s="178" t="str">
        <x:f t="shared" si="134"/>
      </x:c>
      <x:c r="AL304" s="122"/>
      <x:c r="AM304" s="177" t="str">
        <x:f t="shared" si="135"/>
      </x:c>
      <x:c r="AN304" s="122"/>
      <x:c r="AO304" s="177" t="str">
        <x:f t="shared" si="136"/>
      </x:c>
      <x:c r="AP304" s="178" t="str">
        <x:f t="shared" si="137"/>
      </x:c>
      <x:c r="AQ304" s="122"/>
      <x:c r="AR304" s="177" t="str">
        <x:f t="shared" si="138"/>
      </x:c>
      <x:c r="AS304" s="122"/>
      <x:c r="AT304" s="177" t="str">
        <x:f t="shared" si="139"/>
      </x:c>
      <x:c r="AU304" s="178" t="str">
        <x:f t="shared" si="140"/>
      </x:c>
      <x:c r="AV304" s="122"/>
      <x:c r="AW304" s="177" t="str">
        <x:f t="shared" si="141"/>
      </x:c>
      <x:c r="AX304" s="122"/>
      <x:c r="AY304" s="177" t="str">
        <x:f t="shared" si="142"/>
      </x:c>
      <x:c r="AZ304" s="178" t="str">
        <x:f t="shared" si="143"/>
      </x:c>
      <x:c r="BA304" s="122"/>
      <x:c r="BB304" s="177" t="str">
        <x:f t="shared" si="144"/>
      </x:c>
      <x:c r="BC304" s="122"/>
      <x:c r="BD304" s="177" t="str">
        <x:f t="shared" si="145"/>
      </x:c>
      <x:c r="BE304" s="178" t="str">
        <x:f t="shared" si="146"/>
      </x:c>
      <x:c r="BF304" s="122"/>
      <x:c r="BG304" s="177" t="str">
        <x:f t="shared" si="147"/>
      </x:c>
      <x:c r="BH304" s="122"/>
      <x:c r="BI304" s="177" t="str">
        <x:f t="shared" si="148"/>
      </x:c>
      <x:c r="BJ304" s="178" t="str">
        <x:f t="shared" si="149"/>
      </x:c>
    </x:row>
    <x:row r="305" ht="19.5" hidden="1" customHeight="1">
      <x:c r="A305" s="160"/>
      <x:c r="B305" s="179"/>
      <x:c r="C305" s="171"/>
      <x:c r="D305" s="172"/>
      <x:c r="E305" s="171"/>
      <x:c r="F305" s="173"/>
      <x:c r="G305" s="174"/>
      <x:c r="H305" s="175"/>
      <x:c r="I305" s="174"/>
      <x:c r="J305" s="176"/>
      <x:c r="K305" s="233"/>
      <x:c r="L305" s="233"/>
      <x:c r="M305" s="122"/>
      <x:c r="N305" s="177" t="str">
        <x:f t="shared" si="120"/>
      </x:c>
      <x:c r="O305" s="122"/>
      <x:c r="P305" s="177" t="str">
        <x:f t="shared" si="121"/>
      </x:c>
      <x:c r="Q305" s="178" t="str">
        <x:f t="shared" si="122"/>
      </x:c>
      <x:c r="R305" s="122"/>
      <x:c r="S305" s="177" t="str">
        <x:f t="shared" si="123"/>
      </x:c>
      <x:c r="T305" s="122"/>
      <x:c r="U305" s="177" t="str">
        <x:f t="shared" si="124"/>
      </x:c>
      <x:c r="V305" s="178" t="str">
        <x:f t="shared" si="125"/>
      </x:c>
      <x:c r="W305" s="122"/>
      <x:c r="X305" s="177" t="str">
        <x:f t="shared" si="126"/>
      </x:c>
      <x:c r="Y305" s="122"/>
      <x:c r="Z305" s="177" t="str">
        <x:f t="shared" si="127"/>
      </x:c>
      <x:c r="AA305" s="178" t="str">
        <x:f t="shared" si="128"/>
      </x:c>
      <x:c r="AB305" s="122"/>
      <x:c r="AC305" s="177" t="str">
        <x:f t="shared" si="129"/>
      </x:c>
      <x:c r="AD305" s="122"/>
      <x:c r="AE305" s="177" t="str">
        <x:f t="shared" si="130"/>
      </x:c>
      <x:c r="AF305" s="178" t="str">
        <x:f t="shared" si="131"/>
      </x:c>
      <x:c r="AG305" s="122"/>
      <x:c r="AH305" s="177" t="str">
        <x:f t="shared" si="132"/>
      </x:c>
      <x:c r="AI305" s="122"/>
      <x:c r="AJ305" s="177" t="str">
        <x:f t="shared" si="133"/>
      </x:c>
      <x:c r="AK305" s="178" t="str">
        <x:f t="shared" si="134"/>
      </x:c>
      <x:c r="AL305" s="122"/>
      <x:c r="AM305" s="177" t="str">
        <x:f t="shared" si="135"/>
      </x:c>
      <x:c r="AN305" s="122"/>
      <x:c r="AO305" s="177" t="str">
        <x:f t="shared" si="136"/>
      </x:c>
      <x:c r="AP305" s="178" t="str">
        <x:f t="shared" si="137"/>
      </x:c>
      <x:c r="AQ305" s="122"/>
      <x:c r="AR305" s="177" t="str">
        <x:f t="shared" si="138"/>
      </x:c>
      <x:c r="AS305" s="122"/>
      <x:c r="AT305" s="177" t="str">
        <x:f t="shared" si="139"/>
      </x:c>
      <x:c r="AU305" s="178" t="str">
        <x:f t="shared" si="140"/>
      </x:c>
      <x:c r="AV305" s="122"/>
      <x:c r="AW305" s="177" t="str">
        <x:f t="shared" si="141"/>
      </x:c>
      <x:c r="AX305" s="122"/>
      <x:c r="AY305" s="177" t="str">
        <x:f t="shared" si="142"/>
      </x:c>
      <x:c r="AZ305" s="178" t="str">
        <x:f t="shared" si="143"/>
      </x:c>
      <x:c r="BA305" s="122"/>
      <x:c r="BB305" s="177" t="str">
        <x:f t="shared" si="144"/>
      </x:c>
      <x:c r="BC305" s="122"/>
      <x:c r="BD305" s="177" t="str">
        <x:f t="shared" si="145"/>
      </x:c>
      <x:c r="BE305" s="178" t="str">
        <x:f t="shared" si="146"/>
      </x:c>
      <x:c r="BF305" s="122"/>
      <x:c r="BG305" s="177" t="str">
        <x:f t="shared" si="147"/>
      </x:c>
      <x:c r="BH305" s="122"/>
      <x:c r="BI305" s="177" t="str">
        <x:f t="shared" si="148"/>
      </x:c>
      <x:c r="BJ305" s="178" t="str">
        <x:f t="shared" si="149"/>
      </x:c>
    </x:row>
    <x:row r="306" ht="19.5" hidden="1" customHeight="1">
      <x:c r="A306" s="169"/>
      <x:c r="B306" s="170"/>
      <x:c r="C306" s="171"/>
      <x:c r="D306" s="172"/>
      <x:c r="E306" s="171"/>
      <x:c r="F306" s="173"/>
      <x:c r="G306" s="174"/>
      <x:c r="H306" s="175"/>
      <x:c r="I306" s="174"/>
      <x:c r="J306" s="176"/>
      <x:c r="K306" s="233"/>
      <x:c r="L306" s="233"/>
      <x:c r="M306" s="122"/>
      <x:c r="N306" s="177" t="str">
        <x:f t="shared" si="120"/>
      </x:c>
      <x:c r="O306" s="122"/>
      <x:c r="P306" s="177" t="str">
        <x:f t="shared" si="121"/>
      </x:c>
      <x:c r="Q306" s="178" t="str">
        <x:f t="shared" si="122"/>
      </x:c>
      <x:c r="R306" s="122"/>
      <x:c r="S306" s="177" t="str">
        <x:f t="shared" si="123"/>
      </x:c>
      <x:c r="T306" s="122"/>
      <x:c r="U306" s="177" t="str">
        <x:f t="shared" si="124"/>
      </x:c>
      <x:c r="V306" s="178" t="str">
        <x:f t="shared" si="125"/>
      </x:c>
      <x:c r="W306" s="122"/>
      <x:c r="X306" s="177" t="str">
        <x:f t="shared" si="126"/>
      </x:c>
      <x:c r="Y306" s="122"/>
      <x:c r="Z306" s="177" t="str">
        <x:f t="shared" si="127"/>
      </x:c>
      <x:c r="AA306" s="178" t="str">
        <x:f t="shared" si="128"/>
      </x:c>
      <x:c r="AB306" s="122"/>
      <x:c r="AC306" s="177" t="str">
        <x:f t="shared" si="129"/>
      </x:c>
      <x:c r="AD306" s="122"/>
      <x:c r="AE306" s="177" t="str">
        <x:f t="shared" si="130"/>
      </x:c>
      <x:c r="AF306" s="178" t="str">
        <x:f t="shared" si="131"/>
      </x:c>
      <x:c r="AG306" s="122"/>
      <x:c r="AH306" s="177" t="str">
        <x:f t="shared" si="132"/>
      </x:c>
      <x:c r="AI306" s="122"/>
      <x:c r="AJ306" s="177" t="str">
        <x:f t="shared" si="133"/>
      </x:c>
      <x:c r="AK306" s="178" t="str">
        <x:f t="shared" si="134"/>
      </x:c>
      <x:c r="AL306" s="122"/>
      <x:c r="AM306" s="177" t="str">
        <x:f t="shared" si="135"/>
      </x:c>
      <x:c r="AN306" s="122"/>
      <x:c r="AO306" s="177" t="str">
        <x:f t="shared" si="136"/>
      </x:c>
      <x:c r="AP306" s="178" t="str">
        <x:f t="shared" si="137"/>
      </x:c>
      <x:c r="AQ306" s="122"/>
      <x:c r="AR306" s="177" t="str">
        <x:f t="shared" si="138"/>
      </x:c>
      <x:c r="AS306" s="122"/>
      <x:c r="AT306" s="177" t="str">
        <x:f t="shared" si="139"/>
      </x:c>
      <x:c r="AU306" s="178" t="str">
        <x:f t="shared" si="140"/>
      </x:c>
      <x:c r="AV306" s="122"/>
      <x:c r="AW306" s="177" t="str">
        <x:f t="shared" si="141"/>
      </x:c>
      <x:c r="AX306" s="122"/>
      <x:c r="AY306" s="177" t="str">
        <x:f t="shared" si="142"/>
      </x:c>
      <x:c r="AZ306" s="178" t="str">
        <x:f t="shared" si="143"/>
      </x:c>
      <x:c r="BA306" s="122"/>
      <x:c r="BB306" s="177" t="str">
        <x:f t="shared" si="144"/>
      </x:c>
      <x:c r="BC306" s="122"/>
      <x:c r="BD306" s="177" t="str">
        <x:f t="shared" si="145"/>
      </x:c>
      <x:c r="BE306" s="178" t="str">
        <x:f t="shared" si="146"/>
      </x:c>
      <x:c r="BF306" s="122"/>
      <x:c r="BG306" s="177" t="str">
        <x:f t="shared" si="147"/>
      </x:c>
      <x:c r="BH306" s="122"/>
      <x:c r="BI306" s="177" t="str">
        <x:f t="shared" si="148"/>
      </x:c>
      <x:c r="BJ306" s="178" t="str">
        <x:f t="shared" si="149"/>
      </x:c>
    </x:row>
    <x:row r="307" ht="19.5" hidden="1" customHeight="1">
      <x:c r="A307" s="160"/>
      <x:c r="B307" s="179"/>
      <x:c r="C307" s="171"/>
      <x:c r="D307" s="172"/>
      <x:c r="E307" s="171"/>
      <x:c r="F307" s="173"/>
      <x:c r="G307" s="174"/>
      <x:c r="H307" s="175"/>
      <x:c r="I307" s="174"/>
      <x:c r="J307" s="176"/>
      <x:c r="K307" s="233"/>
      <x:c r="L307" s="233"/>
      <x:c r="M307" s="122"/>
      <x:c r="N307" s="177" t="str">
        <x:f t="shared" si="120"/>
      </x:c>
      <x:c r="O307" s="122"/>
      <x:c r="P307" s="177" t="str">
        <x:f t="shared" si="121"/>
      </x:c>
      <x:c r="Q307" s="178" t="str">
        <x:f t="shared" si="122"/>
      </x:c>
      <x:c r="R307" s="122"/>
      <x:c r="S307" s="177" t="str">
        <x:f t="shared" si="123"/>
      </x:c>
      <x:c r="T307" s="122"/>
      <x:c r="U307" s="177" t="str">
        <x:f t="shared" si="124"/>
      </x:c>
      <x:c r="V307" s="178" t="str">
        <x:f t="shared" si="125"/>
      </x:c>
      <x:c r="W307" s="122"/>
      <x:c r="X307" s="177" t="str">
        <x:f t="shared" si="126"/>
      </x:c>
      <x:c r="Y307" s="122"/>
      <x:c r="Z307" s="177" t="str">
        <x:f t="shared" si="127"/>
      </x:c>
      <x:c r="AA307" s="178" t="str">
        <x:f t="shared" si="128"/>
      </x:c>
      <x:c r="AB307" s="122"/>
      <x:c r="AC307" s="177" t="str">
        <x:f t="shared" si="129"/>
      </x:c>
      <x:c r="AD307" s="122"/>
      <x:c r="AE307" s="177" t="str">
        <x:f t="shared" si="130"/>
      </x:c>
      <x:c r="AF307" s="178" t="str">
        <x:f t="shared" si="131"/>
      </x:c>
      <x:c r="AG307" s="122"/>
      <x:c r="AH307" s="177" t="str">
        <x:f t="shared" si="132"/>
      </x:c>
      <x:c r="AI307" s="122"/>
      <x:c r="AJ307" s="177" t="str">
        <x:f t="shared" si="133"/>
      </x:c>
      <x:c r="AK307" s="178" t="str">
        <x:f t="shared" si="134"/>
      </x:c>
      <x:c r="AL307" s="122"/>
      <x:c r="AM307" s="177" t="str">
        <x:f t="shared" si="135"/>
      </x:c>
      <x:c r="AN307" s="122"/>
      <x:c r="AO307" s="177" t="str">
        <x:f t="shared" si="136"/>
      </x:c>
      <x:c r="AP307" s="178" t="str">
        <x:f t="shared" si="137"/>
      </x:c>
      <x:c r="AQ307" s="122"/>
      <x:c r="AR307" s="177" t="str">
        <x:f t="shared" si="138"/>
      </x:c>
      <x:c r="AS307" s="122"/>
      <x:c r="AT307" s="177" t="str">
        <x:f t="shared" si="139"/>
      </x:c>
      <x:c r="AU307" s="178" t="str">
        <x:f t="shared" si="140"/>
      </x:c>
      <x:c r="AV307" s="122"/>
      <x:c r="AW307" s="177" t="str">
        <x:f t="shared" si="141"/>
      </x:c>
      <x:c r="AX307" s="122"/>
      <x:c r="AY307" s="177" t="str">
        <x:f t="shared" si="142"/>
      </x:c>
      <x:c r="AZ307" s="178" t="str">
        <x:f t="shared" si="143"/>
      </x:c>
      <x:c r="BA307" s="122"/>
      <x:c r="BB307" s="177" t="str">
        <x:f t="shared" si="144"/>
      </x:c>
      <x:c r="BC307" s="122"/>
      <x:c r="BD307" s="177" t="str">
        <x:f t="shared" si="145"/>
      </x:c>
      <x:c r="BE307" s="178" t="str">
        <x:f t="shared" si="146"/>
      </x:c>
      <x:c r="BF307" s="122"/>
      <x:c r="BG307" s="177" t="str">
        <x:f t="shared" si="147"/>
      </x:c>
      <x:c r="BH307" s="122"/>
      <x:c r="BI307" s="177" t="str">
        <x:f t="shared" si="148"/>
      </x:c>
      <x:c r="BJ307" s="178" t="str">
        <x:f t="shared" si="149"/>
      </x:c>
    </x:row>
    <x:row r="308" ht="19.5" hidden="1" customHeight="1">
      <x:c r="A308" s="169"/>
      <x:c r="B308" s="170"/>
      <x:c r="C308" s="171"/>
      <x:c r="D308" s="172"/>
      <x:c r="E308" s="171"/>
      <x:c r="F308" s="173"/>
      <x:c r="G308" s="174"/>
      <x:c r="H308" s="175"/>
      <x:c r="I308" s="174"/>
      <x:c r="J308" s="176"/>
      <x:c r="K308" s="233"/>
      <x:c r="L308" s="233"/>
      <x:c r="M308" s="122"/>
      <x:c r="N308" s="177" t="str">
        <x:f t="shared" si="120"/>
      </x:c>
      <x:c r="O308" s="122"/>
      <x:c r="P308" s="177" t="str">
        <x:f t="shared" si="121"/>
      </x:c>
      <x:c r="Q308" s="178" t="str">
        <x:f t="shared" si="122"/>
      </x:c>
      <x:c r="R308" s="122"/>
      <x:c r="S308" s="177" t="str">
        <x:f t="shared" si="123"/>
      </x:c>
      <x:c r="T308" s="122"/>
      <x:c r="U308" s="177" t="str">
        <x:f t="shared" si="124"/>
      </x:c>
      <x:c r="V308" s="178" t="str">
        <x:f t="shared" si="125"/>
      </x:c>
      <x:c r="W308" s="122"/>
      <x:c r="X308" s="177" t="str">
        <x:f t="shared" si="126"/>
      </x:c>
      <x:c r="Y308" s="122"/>
      <x:c r="Z308" s="177" t="str">
        <x:f t="shared" si="127"/>
      </x:c>
      <x:c r="AA308" s="178" t="str">
        <x:f t="shared" si="128"/>
      </x:c>
      <x:c r="AB308" s="122"/>
      <x:c r="AC308" s="177" t="str">
        <x:f t="shared" si="129"/>
      </x:c>
      <x:c r="AD308" s="122"/>
      <x:c r="AE308" s="177" t="str">
        <x:f t="shared" si="130"/>
      </x:c>
      <x:c r="AF308" s="178" t="str">
        <x:f t="shared" si="131"/>
      </x:c>
      <x:c r="AG308" s="122"/>
      <x:c r="AH308" s="177" t="str">
        <x:f t="shared" si="132"/>
      </x:c>
      <x:c r="AI308" s="122"/>
      <x:c r="AJ308" s="177" t="str">
        <x:f t="shared" si="133"/>
      </x:c>
      <x:c r="AK308" s="178" t="str">
        <x:f t="shared" si="134"/>
      </x:c>
      <x:c r="AL308" s="122"/>
      <x:c r="AM308" s="177" t="str">
        <x:f t="shared" si="135"/>
      </x:c>
      <x:c r="AN308" s="122"/>
      <x:c r="AO308" s="177" t="str">
        <x:f t="shared" si="136"/>
      </x:c>
      <x:c r="AP308" s="178" t="str">
        <x:f t="shared" si="137"/>
      </x:c>
      <x:c r="AQ308" s="122"/>
      <x:c r="AR308" s="177" t="str">
        <x:f t="shared" si="138"/>
      </x:c>
      <x:c r="AS308" s="122"/>
      <x:c r="AT308" s="177" t="str">
        <x:f t="shared" si="139"/>
      </x:c>
      <x:c r="AU308" s="178" t="str">
        <x:f t="shared" si="140"/>
      </x:c>
      <x:c r="AV308" s="122"/>
      <x:c r="AW308" s="177" t="str">
        <x:f t="shared" si="141"/>
      </x:c>
      <x:c r="AX308" s="122"/>
      <x:c r="AY308" s="177" t="str">
        <x:f t="shared" si="142"/>
      </x:c>
      <x:c r="AZ308" s="178" t="str">
        <x:f t="shared" si="143"/>
      </x:c>
      <x:c r="BA308" s="122"/>
      <x:c r="BB308" s="177" t="str">
        <x:f t="shared" si="144"/>
      </x:c>
      <x:c r="BC308" s="122"/>
      <x:c r="BD308" s="177" t="str">
        <x:f t="shared" si="145"/>
      </x:c>
      <x:c r="BE308" s="178" t="str">
        <x:f t="shared" si="146"/>
      </x:c>
      <x:c r="BF308" s="122"/>
      <x:c r="BG308" s="177" t="str">
        <x:f t="shared" si="147"/>
      </x:c>
      <x:c r="BH308" s="122"/>
      <x:c r="BI308" s="177" t="str">
        <x:f t="shared" si="148"/>
      </x:c>
      <x:c r="BJ308" s="178" t="str">
        <x:f t="shared" si="149"/>
      </x:c>
    </x:row>
    <x:row r="309" ht="19.5" hidden="1" customHeight="1">
      <x:c r="A309" s="160"/>
      <x:c r="B309" s="179"/>
      <x:c r="C309" s="171"/>
      <x:c r="D309" s="172"/>
      <x:c r="E309" s="171"/>
      <x:c r="F309" s="173"/>
      <x:c r="G309" s="174"/>
      <x:c r="H309" s="175"/>
      <x:c r="I309" s="174"/>
      <x:c r="J309" s="176"/>
      <x:c r="K309" s="233"/>
      <x:c r="L309" s="233"/>
      <x:c r="M309" s="122"/>
      <x:c r="N309" s="177" t="str">
        <x:f t="shared" si="120"/>
      </x:c>
      <x:c r="O309" s="122"/>
      <x:c r="P309" s="177" t="str">
        <x:f t="shared" si="121"/>
      </x:c>
      <x:c r="Q309" s="178" t="str">
        <x:f t="shared" si="122"/>
      </x:c>
      <x:c r="R309" s="122"/>
      <x:c r="S309" s="177" t="str">
        <x:f t="shared" si="123"/>
      </x:c>
      <x:c r="T309" s="122"/>
      <x:c r="U309" s="177" t="str">
        <x:f t="shared" si="124"/>
      </x:c>
      <x:c r="V309" s="178" t="str">
        <x:f t="shared" si="125"/>
      </x:c>
      <x:c r="W309" s="122"/>
      <x:c r="X309" s="177" t="str">
        <x:f t="shared" si="126"/>
      </x:c>
      <x:c r="Y309" s="122"/>
      <x:c r="Z309" s="177" t="str">
        <x:f t="shared" si="127"/>
      </x:c>
      <x:c r="AA309" s="178" t="str">
        <x:f t="shared" si="128"/>
      </x:c>
      <x:c r="AB309" s="122"/>
      <x:c r="AC309" s="177" t="str">
        <x:f t="shared" si="129"/>
      </x:c>
      <x:c r="AD309" s="122"/>
      <x:c r="AE309" s="177" t="str">
        <x:f t="shared" si="130"/>
      </x:c>
      <x:c r="AF309" s="178" t="str">
        <x:f t="shared" si="131"/>
      </x:c>
      <x:c r="AG309" s="122"/>
      <x:c r="AH309" s="177" t="str">
        <x:f t="shared" si="132"/>
      </x:c>
      <x:c r="AI309" s="122"/>
      <x:c r="AJ309" s="177" t="str">
        <x:f t="shared" si="133"/>
      </x:c>
      <x:c r="AK309" s="178" t="str">
        <x:f t="shared" si="134"/>
      </x:c>
      <x:c r="AL309" s="122"/>
      <x:c r="AM309" s="177" t="str">
        <x:f t="shared" si="135"/>
      </x:c>
      <x:c r="AN309" s="122"/>
      <x:c r="AO309" s="177" t="str">
        <x:f t="shared" si="136"/>
      </x:c>
      <x:c r="AP309" s="178" t="str">
        <x:f t="shared" si="137"/>
      </x:c>
      <x:c r="AQ309" s="122"/>
      <x:c r="AR309" s="177" t="str">
        <x:f t="shared" si="138"/>
      </x:c>
      <x:c r="AS309" s="122"/>
      <x:c r="AT309" s="177" t="str">
        <x:f t="shared" si="139"/>
      </x:c>
      <x:c r="AU309" s="178" t="str">
        <x:f t="shared" si="140"/>
      </x:c>
      <x:c r="AV309" s="122"/>
      <x:c r="AW309" s="177" t="str">
        <x:f t="shared" si="141"/>
      </x:c>
      <x:c r="AX309" s="122"/>
      <x:c r="AY309" s="177" t="str">
        <x:f t="shared" si="142"/>
      </x:c>
      <x:c r="AZ309" s="178" t="str">
        <x:f t="shared" si="143"/>
      </x:c>
      <x:c r="BA309" s="122"/>
      <x:c r="BB309" s="177" t="str">
        <x:f t="shared" si="144"/>
      </x:c>
      <x:c r="BC309" s="122"/>
      <x:c r="BD309" s="177" t="str">
        <x:f t="shared" si="145"/>
      </x:c>
      <x:c r="BE309" s="178" t="str">
        <x:f t="shared" si="146"/>
      </x:c>
      <x:c r="BF309" s="122"/>
      <x:c r="BG309" s="177" t="str">
        <x:f t="shared" si="147"/>
      </x:c>
      <x:c r="BH309" s="122"/>
      <x:c r="BI309" s="177" t="str">
        <x:f t="shared" si="148"/>
      </x:c>
      <x:c r="BJ309" s="178" t="str">
        <x:f t="shared" si="149"/>
      </x:c>
    </x:row>
    <x:row r="310" ht="19.5" hidden="1" customHeight="1">
      <x:c r="A310" s="169"/>
      <x:c r="B310" s="170"/>
      <x:c r="C310" s="171"/>
      <x:c r="D310" s="172"/>
      <x:c r="E310" s="171"/>
      <x:c r="F310" s="173"/>
      <x:c r="G310" s="174"/>
      <x:c r="H310" s="175"/>
      <x:c r="I310" s="174"/>
      <x:c r="J310" s="176"/>
      <x:c r="K310" s="233"/>
      <x:c r="L310" s="233"/>
      <x:c r="M310" s="122"/>
      <x:c r="N310" s="177" t="str">
        <x:f t="shared" si="120"/>
      </x:c>
      <x:c r="O310" s="122"/>
      <x:c r="P310" s="177" t="str">
        <x:f t="shared" si="121"/>
      </x:c>
      <x:c r="Q310" s="178" t="str">
        <x:f t="shared" si="122"/>
      </x:c>
      <x:c r="R310" s="122"/>
      <x:c r="S310" s="177" t="str">
        <x:f t="shared" si="123"/>
      </x:c>
      <x:c r="T310" s="122"/>
      <x:c r="U310" s="177" t="str">
        <x:f t="shared" si="124"/>
      </x:c>
      <x:c r="V310" s="178" t="str">
        <x:f t="shared" si="125"/>
      </x:c>
      <x:c r="W310" s="122"/>
      <x:c r="X310" s="177" t="str">
        <x:f t="shared" si="126"/>
      </x:c>
      <x:c r="Y310" s="122"/>
      <x:c r="Z310" s="177" t="str">
        <x:f t="shared" si="127"/>
      </x:c>
      <x:c r="AA310" s="178" t="str">
        <x:f t="shared" si="128"/>
      </x:c>
      <x:c r="AB310" s="122"/>
      <x:c r="AC310" s="177" t="str">
        <x:f t="shared" si="129"/>
      </x:c>
      <x:c r="AD310" s="122"/>
      <x:c r="AE310" s="177" t="str">
        <x:f t="shared" si="130"/>
      </x:c>
      <x:c r="AF310" s="178" t="str">
        <x:f t="shared" si="131"/>
      </x:c>
      <x:c r="AG310" s="122"/>
      <x:c r="AH310" s="177" t="str">
        <x:f t="shared" si="132"/>
      </x:c>
      <x:c r="AI310" s="122"/>
      <x:c r="AJ310" s="177" t="str">
        <x:f t="shared" si="133"/>
      </x:c>
      <x:c r="AK310" s="178" t="str">
        <x:f t="shared" si="134"/>
      </x:c>
      <x:c r="AL310" s="122"/>
      <x:c r="AM310" s="177" t="str">
        <x:f t="shared" si="135"/>
      </x:c>
      <x:c r="AN310" s="122"/>
      <x:c r="AO310" s="177" t="str">
        <x:f t="shared" si="136"/>
      </x:c>
      <x:c r="AP310" s="178" t="str">
        <x:f t="shared" si="137"/>
      </x:c>
      <x:c r="AQ310" s="122"/>
      <x:c r="AR310" s="177" t="str">
        <x:f t="shared" si="138"/>
      </x:c>
      <x:c r="AS310" s="122"/>
      <x:c r="AT310" s="177" t="str">
        <x:f t="shared" si="139"/>
      </x:c>
      <x:c r="AU310" s="178" t="str">
        <x:f t="shared" si="140"/>
      </x:c>
      <x:c r="AV310" s="122"/>
      <x:c r="AW310" s="177" t="str">
        <x:f t="shared" si="141"/>
      </x:c>
      <x:c r="AX310" s="122"/>
      <x:c r="AY310" s="177" t="str">
        <x:f t="shared" si="142"/>
      </x:c>
      <x:c r="AZ310" s="178" t="str">
        <x:f t="shared" si="143"/>
      </x:c>
      <x:c r="BA310" s="122"/>
      <x:c r="BB310" s="177" t="str">
        <x:f t="shared" si="144"/>
      </x:c>
      <x:c r="BC310" s="122"/>
      <x:c r="BD310" s="177" t="str">
        <x:f t="shared" si="145"/>
      </x:c>
      <x:c r="BE310" s="178" t="str">
        <x:f t="shared" si="146"/>
      </x:c>
      <x:c r="BF310" s="122"/>
      <x:c r="BG310" s="177" t="str">
        <x:f t="shared" si="147"/>
      </x:c>
      <x:c r="BH310" s="122"/>
      <x:c r="BI310" s="177" t="str">
        <x:f t="shared" si="148"/>
      </x:c>
      <x:c r="BJ310" s="178" t="str">
        <x:f t="shared" si="149"/>
      </x:c>
    </x:row>
    <x:row r="311" ht="19.5" hidden="1" customHeight="1">
      <x:c r="A311" s="160"/>
      <x:c r="B311" s="179"/>
      <x:c r="C311" s="171"/>
      <x:c r="D311" s="172"/>
      <x:c r="E311" s="171"/>
      <x:c r="F311" s="173"/>
      <x:c r="G311" s="174"/>
      <x:c r="H311" s="175"/>
      <x:c r="I311" s="174"/>
      <x:c r="J311" s="176"/>
      <x:c r="K311" s="233"/>
      <x:c r="L311" s="233"/>
      <x:c r="M311" s="122"/>
      <x:c r="N311" s="177" t="str">
        <x:f t="shared" si="120"/>
      </x:c>
      <x:c r="O311" s="122"/>
      <x:c r="P311" s="177" t="str">
        <x:f t="shared" si="121"/>
      </x:c>
      <x:c r="Q311" s="178" t="str">
        <x:f t="shared" si="122"/>
      </x:c>
      <x:c r="R311" s="122"/>
      <x:c r="S311" s="177" t="str">
        <x:f t="shared" si="123"/>
      </x:c>
      <x:c r="T311" s="122"/>
      <x:c r="U311" s="177" t="str">
        <x:f t="shared" si="124"/>
      </x:c>
      <x:c r="V311" s="178" t="str">
        <x:f t="shared" si="125"/>
      </x:c>
      <x:c r="W311" s="122"/>
      <x:c r="X311" s="177" t="str">
        <x:f t="shared" si="126"/>
      </x:c>
      <x:c r="Y311" s="122"/>
      <x:c r="Z311" s="177" t="str">
        <x:f t="shared" si="127"/>
      </x:c>
      <x:c r="AA311" s="178" t="str">
        <x:f t="shared" si="128"/>
      </x:c>
      <x:c r="AB311" s="122"/>
      <x:c r="AC311" s="177" t="str">
        <x:f t="shared" si="129"/>
      </x:c>
      <x:c r="AD311" s="122"/>
      <x:c r="AE311" s="177" t="str">
        <x:f t="shared" si="130"/>
      </x:c>
      <x:c r="AF311" s="178" t="str">
        <x:f t="shared" si="131"/>
      </x:c>
      <x:c r="AG311" s="122"/>
      <x:c r="AH311" s="177" t="str">
        <x:f t="shared" si="132"/>
      </x:c>
      <x:c r="AI311" s="122"/>
      <x:c r="AJ311" s="177" t="str">
        <x:f t="shared" si="133"/>
      </x:c>
      <x:c r="AK311" s="178" t="str">
        <x:f t="shared" si="134"/>
      </x:c>
      <x:c r="AL311" s="122"/>
      <x:c r="AM311" s="177" t="str">
        <x:f t="shared" si="135"/>
      </x:c>
      <x:c r="AN311" s="122"/>
      <x:c r="AO311" s="177" t="str">
        <x:f t="shared" si="136"/>
      </x:c>
      <x:c r="AP311" s="178" t="str">
        <x:f t="shared" si="137"/>
      </x:c>
      <x:c r="AQ311" s="122"/>
      <x:c r="AR311" s="177" t="str">
        <x:f t="shared" si="138"/>
      </x:c>
      <x:c r="AS311" s="122"/>
      <x:c r="AT311" s="177" t="str">
        <x:f t="shared" si="139"/>
      </x:c>
      <x:c r="AU311" s="178" t="str">
        <x:f t="shared" si="140"/>
      </x:c>
      <x:c r="AV311" s="122"/>
      <x:c r="AW311" s="177" t="str">
        <x:f t="shared" si="141"/>
      </x:c>
      <x:c r="AX311" s="122"/>
      <x:c r="AY311" s="177" t="str">
        <x:f t="shared" si="142"/>
      </x:c>
      <x:c r="AZ311" s="178" t="str">
        <x:f t="shared" si="143"/>
      </x:c>
      <x:c r="BA311" s="122"/>
      <x:c r="BB311" s="177" t="str">
        <x:f t="shared" si="144"/>
      </x:c>
      <x:c r="BC311" s="122"/>
      <x:c r="BD311" s="177" t="str">
        <x:f t="shared" si="145"/>
      </x:c>
      <x:c r="BE311" s="178" t="str">
        <x:f t="shared" si="146"/>
      </x:c>
      <x:c r="BF311" s="122"/>
      <x:c r="BG311" s="177" t="str">
        <x:f t="shared" si="147"/>
      </x:c>
      <x:c r="BH311" s="122"/>
      <x:c r="BI311" s="177" t="str">
        <x:f t="shared" si="148"/>
      </x:c>
      <x:c r="BJ311" s="178" t="str">
        <x:f t="shared" si="149"/>
      </x:c>
    </x:row>
    <x:row r="312" ht="19.5" hidden="1" customHeight="1">
      <x:c r="A312" s="169"/>
      <x:c r="B312" s="170"/>
      <x:c r="C312" s="171"/>
      <x:c r="D312" s="172"/>
      <x:c r="E312" s="171"/>
      <x:c r="F312" s="173"/>
      <x:c r="G312" s="174"/>
      <x:c r="H312" s="175"/>
      <x:c r="I312" s="174"/>
      <x:c r="J312" s="176"/>
      <x:c r="K312" s="233"/>
      <x:c r="L312" s="233"/>
      <x:c r="M312" s="122"/>
      <x:c r="N312" s="177" t="str">
        <x:f t="shared" si="120"/>
      </x:c>
      <x:c r="O312" s="122"/>
      <x:c r="P312" s="177" t="str">
        <x:f t="shared" si="121"/>
      </x:c>
      <x:c r="Q312" s="178" t="str">
        <x:f t="shared" si="122"/>
      </x:c>
      <x:c r="R312" s="122"/>
      <x:c r="S312" s="177" t="str">
        <x:f t="shared" si="123"/>
      </x:c>
      <x:c r="T312" s="122"/>
      <x:c r="U312" s="177" t="str">
        <x:f t="shared" si="124"/>
      </x:c>
      <x:c r="V312" s="178" t="str">
        <x:f t="shared" si="125"/>
      </x:c>
      <x:c r="W312" s="122"/>
      <x:c r="X312" s="177" t="str">
        <x:f t="shared" si="126"/>
      </x:c>
      <x:c r="Y312" s="122"/>
      <x:c r="Z312" s="177" t="str">
        <x:f t="shared" si="127"/>
      </x:c>
      <x:c r="AA312" s="178" t="str">
        <x:f t="shared" si="128"/>
      </x:c>
      <x:c r="AB312" s="122"/>
      <x:c r="AC312" s="177" t="str">
        <x:f t="shared" si="129"/>
      </x:c>
      <x:c r="AD312" s="122"/>
      <x:c r="AE312" s="177" t="str">
        <x:f t="shared" si="130"/>
      </x:c>
      <x:c r="AF312" s="178" t="str">
        <x:f t="shared" si="131"/>
      </x:c>
      <x:c r="AG312" s="122"/>
      <x:c r="AH312" s="177" t="str">
        <x:f t="shared" si="132"/>
      </x:c>
      <x:c r="AI312" s="122"/>
      <x:c r="AJ312" s="177" t="str">
        <x:f t="shared" si="133"/>
      </x:c>
      <x:c r="AK312" s="178" t="str">
        <x:f t="shared" si="134"/>
      </x:c>
      <x:c r="AL312" s="122"/>
      <x:c r="AM312" s="177" t="str">
        <x:f t="shared" si="135"/>
      </x:c>
      <x:c r="AN312" s="122"/>
      <x:c r="AO312" s="177" t="str">
        <x:f t="shared" si="136"/>
      </x:c>
      <x:c r="AP312" s="178" t="str">
        <x:f t="shared" si="137"/>
      </x:c>
      <x:c r="AQ312" s="122"/>
      <x:c r="AR312" s="177" t="str">
        <x:f t="shared" si="138"/>
      </x:c>
      <x:c r="AS312" s="122"/>
      <x:c r="AT312" s="177" t="str">
        <x:f t="shared" si="139"/>
      </x:c>
      <x:c r="AU312" s="178" t="str">
        <x:f t="shared" si="140"/>
      </x:c>
      <x:c r="AV312" s="122"/>
      <x:c r="AW312" s="177" t="str">
        <x:f t="shared" si="141"/>
      </x:c>
      <x:c r="AX312" s="122"/>
      <x:c r="AY312" s="177" t="str">
        <x:f t="shared" si="142"/>
      </x:c>
      <x:c r="AZ312" s="178" t="str">
        <x:f t="shared" si="143"/>
      </x:c>
      <x:c r="BA312" s="122"/>
      <x:c r="BB312" s="177" t="str">
        <x:f t="shared" si="144"/>
      </x:c>
      <x:c r="BC312" s="122"/>
      <x:c r="BD312" s="177" t="str">
        <x:f t="shared" si="145"/>
      </x:c>
      <x:c r="BE312" s="178" t="str">
        <x:f t="shared" si="146"/>
      </x:c>
      <x:c r="BF312" s="122"/>
      <x:c r="BG312" s="177" t="str">
        <x:f t="shared" si="147"/>
      </x:c>
      <x:c r="BH312" s="122"/>
      <x:c r="BI312" s="177" t="str">
        <x:f t="shared" si="148"/>
      </x:c>
      <x:c r="BJ312" s="178" t="str">
        <x:f t="shared" si="149"/>
      </x:c>
    </x:row>
    <x:row r="313" ht="19.5" hidden="1" customHeight="1">
      <x:c r="A313" s="160"/>
      <x:c r="B313" s="179"/>
      <x:c r="C313" s="171"/>
      <x:c r="D313" s="172"/>
      <x:c r="E313" s="171"/>
      <x:c r="F313" s="173"/>
      <x:c r="G313" s="174"/>
      <x:c r="H313" s="175"/>
      <x:c r="I313" s="174"/>
      <x:c r="J313" s="176"/>
      <x:c r="K313" s="233"/>
      <x:c r="L313" s="233"/>
      <x:c r="M313" s="122"/>
      <x:c r="N313" s="177" t="str">
        <x:f t="shared" si="120"/>
      </x:c>
      <x:c r="O313" s="122"/>
      <x:c r="P313" s="177" t="str">
        <x:f t="shared" si="121"/>
      </x:c>
      <x:c r="Q313" s="178" t="str">
        <x:f t="shared" si="122"/>
      </x:c>
      <x:c r="R313" s="122"/>
      <x:c r="S313" s="177" t="str">
        <x:f t="shared" si="123"/>
      </x:c>
      <x:c r="T313" s="122"/>
      <x:c r="U313" s="177" t="str">
        <x:f t="shared" si="124"/>
      </x:c>
      <x:c r="V313" s="178" t="str">
        <x:f t="shared" si="125"/>
      </x:c>
      <x:c r="W313" s="122"/>
      <x:c r="X313" s="177" t="str">
        <x:f t="shared" si="126"/>
      </x:c>
      <x:c r="Y313" s="122"/>
      <x:c r="Z313" s="177" t="str">
        <x:f t="shared" si="127"/>
      </x:c>
      <x:c r="AA313" s="178" t="str">
        <x:f t="shared" si="128"/>
      </x:c>
      <x:c r="AB313" s="122"/>
      <x:c r="AC313" s="177" t="str">
        <x:f t="shared" si="129"/>
      </x:c>
      <x:c r="AD313" s="122"/>
      <x:c r="AE313" s="177" t="str">
        <x:f t="shared" si="130"/>
      </x:c>
      <x:c r="AF313" s="178" t="str">
        <x:f t="shared" si="131"/>
      </x:c>
      <x:c r="AG313" s="122"/>
      <x:c r="AH313" s="177" t="str">
        <x:f t="shared" si="132"/>
      </x:c>
      <x:c r="AI313" s="122"/>
      <x:c r="AJ313" s="177" t="str">
        <x:f t="shared" si="133"/>
      </x:c>
      <x:c r="AK313" s="178" t="str">
        <x:f t="shared" si="134"/>
      </x:c>
      <x:c r="AL313" s="122"/>
      <x:c r="AM313" s="177" t="str">
        <x:f t="shared" si="135"/>
      </x:c>
      <x:c r="AN313" s="122"/>
      <x:c r="AO313" s="177" t="str">
        <x:f t="shared" si="136"/>
      </x:c>
      <x:c r="AP313" s="178" t="str">
        <x:f t="shared" si="137"/>
      </x:c>
      <x:c r="AQ313" s="122"/>
      <x:c r="AR313" s="177" t="str">
        <x:f t="shared" si="138"/>
      </x:c>
      <x:c r="AS313" s="122"/>
      <x:c r="AT313" s="177" t="str">
        <x:f t="shared" si="139"/>
      </x:c>
      <x:c r="AU313" s="178" t="str">
        <x:f t="shared" si="140"/>
      </x:c>
      <x:c r="AV313" s="122"/>
      <x:c r="AW313" s="177" t="str">
        <x:f t="shared" si="141"/>
      </x:c>
      <x:c r="AX313" s="122"/>
      <x:c r="AY313" s="177" t="str">
        <x:f t="shared" si="142"/>
      </x:c>
      <x:c r="AZ313" s="178" t="str">
        <x:f t="shared" si="143"/>
      </x:c>
      <x:c r="BA313" s="122"/>
      <x:c r="BB313" s="177" t="str">
        <x:f t="shared" si="144"/>
      </x:c>
      <x:c r="BC313" s="122"/>
      <x:c r="BD313" s="177" t="str">
        <x:f t="shared" si="145"/>
      </x:c>
      <x:c r="BE313" s="178" t="str">
        <x:f t="shared" si="146"/>
      </x:c>
      <x:c r="BF313" s="122"/>
      <x:c r="BG313" s="177" t="str">
        <x:f t="shared" si="147"/>
      </x:c>
      <x:c r="BH313" s="122"/>
      <x:c r="BI313" s="177" t="str">
        <x:f t="shared" si="148"/>
      </x:c>
      <x:c r="BJ313" s="178" t="str">
        <x:f t="shared" si="149"/>
      </x:c>
    </x:row>
    <x:row r="314" ht="19.5" hidden="1" customHeight="1">
      <x:c r="A314" s="169"/>
      <x:c r="B314" s="170"/>
      <x:c r="C314" s="171"/>
      <x:c r="D314" s="172"/>
      <x:c r="E314" s="171"/>
      <x:c r="F314" s="173"/>
      <x:c r="G314" s="174"/>
      <x:c r="H314" s="175"/>
      <x:c r="I314" s="174"/>
      <x:c r="J314" s="176"/>
      <x:c r="K314" s="233"/>
      <x:c r="L314" s="233"/>
      <x:c r="M314" s="122"/>
      <x:c r="N314" s="177" t="str">
        <x:f t="shared" si="120"/>
      </x:c>
      <x:c r="O314" s="122"/>
      <x:c r="P314" s="177" t="str">
        <x:f t="shared" si="121"/>
      </x:c>
      <x:c r="Q314" s="178" t="str">
        <x:f t="shared" si="122"/>
      </x:c>
      <x:c r="R314" s="122"/>
      <x:c r="S314" s="177" t="str">
        <x:f t="shared" si="123"/>
      </x:c>
      <x:c r="T314" s="122"/>
      <x:c r="U314" s="177" t="str">
        <x:f t="shared" si="124"/>
      </x:c>
      <x:c r="V314" s="178" t="str">
        <x:f t="shared" si="125"/>
      </x:c>
      <x:c r="W314" s="122"/>
      <x:c r="X314" s="177" t="str">
        <x:f t="shared" si="126"/>
      </x:c>
      <x:c r="Y314" s="122"/>
      <x:c r="Z314" s="177" t="str">
        <x:f t="shared" si="127"/>
      </x:c>
      <x:c r="AA314" s="178" t="str">
        <x:f t="shared" si="128"/>
      </x:c>
      <x:c r="AB314" s="122"/>
      <x:c r="AC314" s="177" t="str">
        <x:f t="shared" si="129"/>
      </x:c>
      <x:c r="AD314" s="122"/>
      <x:c r="AE314" s="177" t="str">
        <x:f t="shared" si="130"/>
      </x:c>
      <x:c r="AF314" s="178" t="str">
        <x:f t="shared" si="131"/>
      </x:c>
      <x:c r="AG314" s="122"/>
      <x:c r="AH314" s="177" t="str">
        <x:f t="shared" si="132"/>
      </x:c>
      <x:c r="AI314" s="122"/>
      <x:c r="AJ314" s="177" t="str">
        <x:f t="shared" si="133"/>
      </x:c>
      <x:c r="AK314" s="178" t="str">
        <x:f t="shared" si="134"/>
      </x:c>
      <x:c r="AL314" s="122"/>
      <x:c r="AM314" s="177" t="str">
        <x:f t="shared" si="135"/>
      </x:c>
      <x:c r="AN314" s="122"/>
      <x:c r="AO314" s="177" t="str">
        <x:f t="shared" si="136"/>
      </x:c>
      <x:c r="AP314" s="178" t="str">
        <x:f t="shared" si="137"/>
      </x:c>
      <x:c r="AQ314" s="122"/>
      <x:c r="AR314" s="177" t="str">
        <x:f t="shared" si="138"/>
      </x:c>
      <x:c r="AS314" s="122"/>
      <x:c r="AT314" s="177" t="str">
        <x:f t="shared" si="139"/>
      </x:c>
      <x:c r="AU314" s="178" t="str">
        <x:f t="shared" si="140"/>
      </x:c>
      <x:c r="AV314" s="122"/>
      <x:c r="AW314" s="177" t="str">
        <x:f t="shared" si="141"/>
      </x:c>
      <x:c r="AX314" s="122"/>
      <x:c r="AY314" s="177" t="str">
        <x:f t="shared" si="142"/>
      </x:c>
      <x:c r="AZ314" s="178" t="str">
        <x:f t="shared" si="143"/>
      </x:c>
      <x:c r="BA314" s="122"/>
      <x:c r="BB314" s="177" t="str">
        <x:f t="shared" si="144"/>
      </x:c>
      <x:c r="BC314" s="122"/>
      <x:c r="BD314" s="177" t="str">
        <x:f t="shared" si="145"/>
      </x:c>
      <x:c r="BE314" s="178" t="str">
        <x:f t="shared" si="146"/>
      </x:c>
      <x:c r="BF314" s="122"/>
      <x:c r="BG314" s="177" t="str">
        <x:f t="shared" si="147"/>
      </x:c>
      <x:c r="BH314" s="122"/>
      <x:c r="BI314" s="177" t="str">
        <x:f t="shared" si="148"/>
      </x:c>
      <x:c r="BJ314" s="178" t="str">
        <x:f t="shared" si="149"/>
      </x:c>
    </x:row>
    <x:row r="315" ht="19.5" hidden="1" customHeight="1">
      <x:c r="A315" s="160"/>
      <x:c r="B315" s="179"/>
      <x:c r="C315" s="171"/>
      <x:c r="D315" s="172"/>
      <x:c r="E315" s="171"/>
      <x:c r="F315" s="173"/>
      <x:c r="G315" s="174"/>
      <x:c r="H315" s="175"/>
      <x:c r="I315" s="174"/>
      <x:c r="J315" s="176"/>
      <x:c r="K315" s="233"/>
      <x:c r="L315" s="233"/>
      <x:c r="M315" s="122"/>
      <x:c r="N315" s="177" t="str">
        <x:f t="shared" si="120"/>
      </x:c>
      <x:c r="O315" s="122"/>
      <x:c r="P315" s="177" t="str">
        <x:f t="shared" si="121"/>
      </x:c>
      <x:c r="Q315" s="178" t="str">
        <x:f t="shared" si="122"/>
      </x:c>
      <x:c r="R315" s="122"/>
      <x:c r="S315" s="177" t="str">
        <x:f t="shared" si="123"/>
      </x:c>
      <x:c r="T315" s="122"/>
      <x:c r="U315" s="177" t="str">
        <x:f t="shared" si="124"/>
      </x:c>
      <x:c r="V315" s="178" t="str">
        <x:f t="shared" si="125"/>
      </x:c>
      <x:c r="W315" s="122"/>
      <x:c r="X315" s="177" t="str">
        <x:f t="shared" si="126"/>
      </x:c>
      <x:c r="Y315" s="122"/>
      <x:c r="Z315" s="177" t="str">
        <x:f t="shared" si="127"/>
      </x:c>
      <x:c r="AA315" s="178" t="str">
        <x:f t="shared" si="128"/>
      </x:c>
      <x:c r="AB315" s="122"/>
      <x:c r="AC315" s="177" t="str">
        <x:f t="shared" si="129"/>
      </x:c>
      <x:c r="AD315" s="122"/>
      <x:c r="AE315" s="177" t="str">
        <x:f t="shared" si="130"/>
      </x:c>
      <x:c r="AF315" s="178" t="str">
        <x:f t="shared" si="131"/>
      </x:c>
      <x:c r="AG315" s="122"/>
      <x:c r="AH315" s="177" t="str">
        <x:f t="shared" si="132"/>
      </x:c>
      <x:c r="AI315" s="122"/>
      <x:c r="AJ315" s="177" t="str">
        <x:f t="shared" si="133"/>
      </x:c>
      <x:c r="AK315" s="178" t="str">
        <x:f t="shared" si="134"/>
      </x:c>
      <x:c r="AL315" s="122"/>
      <x:c r="AM315" s="177" t="str">
        <x:f t="shared" si="135"/>
      </x:c>
      <x:c r="AN315" s="122"/>
      <x:c r="AO315" s="177" t="str">
        <x:f t="shared" si="136"/>
      </x:c>
      <x:c r="AP315" s="178" t="str">
        <x:f t="shared" si="137"/>
      </x:c>
      <x:c r="AQ315" s="122"/>
      <x:c r="AR315" s="177" t="str">
        <x:f t="shared" si="138"/>
      </x:c>
      <x:c r="AS315" s="122"/>
      <x:c r="AT315" s="177" t="str">
        <x:f t="shared" si="139"/>
      </x:c>
      <x:c r="AU315" s="178" t="str">
        <x:f t="shared" si="140"/>
      </x:c>
      <x:c r="AV315" s="122"/>
      <x:c r="AW315" s="177" t="str">
        <x:f t="shared" si="141"/>
      </x:c>
      <x:c r="AX315" s="122"/>
      <x:c r="AY315" s="177" t="str">
        <x:f t="shared" si="142"/>
      </x:c>
      <x:c r="AZ315" s="178" t="str">
        <x:f t="shared" si="143"/>
      </x:c>
      <x:c r="BA315" s="122"/>
      <x:c r="BB315" s="177" t="str">
        <x:f t="shared" si="144"/>
      </x:c>
      <x:c r="BC315" s="122"/>
      <x:c r="BD315" s="177" t="str">
        <x:f t="shared" si="145"/>
      </x:c>
      <x:c r="BE315" s="178" t="str">
        <x:f t="shared" si="146"/>
      </x:c>
      <x:c r="BF315" s="122"/>
      <x:c r="BG315" s="177" t="str">
        <x:f t="shared" si="147"/>
      </x:c>
      <x:c r="BH315" s="122"/>
      <x:c r="BI315" s="177" t="str">
        <x:f t="shared" si="148"/>
      </x:c>
      <x:c r="BJ315" s="178" t="str">
        <x:f t="shared" si="149"/>
      </x:c>
    </x:row>
    <x:row r="316" ht="19.5" hidden="1" customHeight="1">
      <x:c r="A316" s="169"/>
      <x:c r="B316" s="170"/>
      <x:c r="C316" s="171"/>
      <x:c r="D316" s="172"/>
      <x:c r="E316" s="171"/>
      <x:c r="F316" s="173"/>
      <x:c r="G316" s="174"/>
      <x:c r="H316" s="175"/>
      <x:c r="I316" s="174"/>
      <x:c r="J316" s="176"/>
      <x:c r="K316" s="233"/>
      <x:c r="L316" s="233"/>
      <x:c r="M316" s="122"/>
      <x:c r="N316" s="177" t="str">
        <x:f t="shared" si="120"/>
      </x:c>
      <x:c r="O316" s="122"/>
      <x:c r="P316" s="177" t="str">
        <x:f t="shared" si="121"/>
      </x:c>
      <x:c r="Q316" s="178" t="str">
        <x:f t="shared" si="122"/>
      </x:c>
      <x:c r="R316" s="122"/>
      <x:c r="S316" s="177" t="str">
        <x:f t="shared" si="123"/>
      </x:c>
      <x:c r="T316" s="122"/>
      <x:c r="U316" s="177" t="str">
        <x:f t="shared" si="124"/>
      </x:c>
      <x:c r="V316" s="178" t="str">
        <x:f t="shared" si="125"/>
      </x:c>
      <x:c r="W316" s="122"/>
      <x:c r="X316" s="177" t="str">
        <x:f t="shared" si="126"/>
      </x:c>
      <x:c r="Y316" s="122"/>
      <x:c r="Z316" s="177" t="str">
        <x:f t="shared" si="127"/>
      </x:c>
      <x:c r="AA316" s="178" t="str">
        <x:f t="shared" si="128"/>
      </x:c>
      <x:c r="AB316" s="122"/>
      <x:c r="AC316" s="177" t="str">
        <x:f t="shared" si="129"/>
      </x:c>
      <x:c r="AD316" s="122"/>
      <x:c r="AE316" s="177" t="str">
        <x:f t="shared" si="130"/>
      </x:c>
      <x:c r="AF316" s="178" t="str">
        <x:f t="shared" si="131"/>
      </x:c>
      <x:c r="AG316" s="122"/>
      <x:c r="AH316" s="177" t="str">
        <x:f t="shared" si="132"/>
      </x:c>
      <x:c r="AI316" s="122"/>
      <x:c r="AJ316" s="177" t="str">
        <x:f t="shared" si="133"/>
      </x:c>
      <x:c r="AK316" s="178" t="str">
        <x:f t="shared" si="134"/>
      </x:c>
      <x:c r="AL316" s="122"/>
      <x:c r="AM316" s="177" t="str">
        <x:f t="shared" si="135"/>
      </x:c>
      <x:c r="AN316" s="122"/>
      <x:c r="AO316" s="177" t="str">
        <x:f t="shared" si="136"/>
      </x:c>
      <x:c r="AP316" s="178" t="str">
        <x:f t="shared" si="137"/>
      </x:c>
      <x:c r="AQ316" s="122"/>
      <x:c r="AR316" s="177" t="str">
        <x:f t="shared" si="138"/>
      </x:c>
      <x:c r="AS316" s="122"/>
      <x:c r="AT316" s="177" t="str">
        <x:f t="shared" si="139"/>
      </x:c>
      <x:c r="AU316" s="178" t="str">
        <x:f t="shared" si="140"/>
      </x:c>
      <x:c r="AV316" s="122"/>
      <x:c r="AW316" s="177" t="str">
        <x:f t="shared" si="141"/>
      </x:c>
      <x:c r="AX316" s="122"/>
      <x:c r="AY316" s="177" t="str">
        <x:f t="shared" si="142"/>
      </x:c>
      <x:c r="AZ316" s="178" t="str">
        <x:f t="shared" si="143"/>
      </x:c>
      <x:c r="BA316" s="122"/>
      <x:c r="BB316" s="177" t="str">
        <x:f t="shared" si="144"/>
      </x:c>
      <x:c r="BC316" s="122"/>
      <x:c r="BD316" s="177" t="str">
        <x:f t="shared" si="145"/>
      </x:c>
      <x:c r="BE316" s="178" t="str">
        <x:f t="shared" si="146"/>
      </x:c>
      <x:c r="BF316" s="122"/>
      <x:c r="BG316" s="177" t="str">
        <x:f t="shared" si="147"/>
      </x:c>
      <x:c r="BH316" s="122"/>
      <x:c r="BI316" s="177" t="str">
        <x:f t="shared" si="148"/>
      </x:c>
      <x:c r="BJ316" s="178" t="str">
        <x:f t="shared" si="149"/>
      </x:c>
    </x:row>
    <x:row r="317" ht="19.5" hidden="1" customHeight="1">
      <x:c r="A317" s="160"/>
      <x:c r="B317" s="179"/>
      <x:c r="C317" s="171"/>
      <x:c r="D317" s="172"/>
      <x:c r="E317" s="171"/>
      <x:c r="F317" s="173"/>
      <x:c r="G317" s="174"/>
      <x:c r="H317" s="175"/>
      <x:c r="I317" s="174"/>
      <x:c r="J317" s="176"/>
      <x:c r="K317" s="233"/>
      <x:c r="L317" s="233"/>
      <x:c r="M317" s="122"/>
      <x:c r="N317" s="177" t="str">
        <x:f t="shared" si="120"/>
      </x:c>
      <x:c r="O317" s="122"/>
      <x:c r="P317" s="177" t="str">
        <x:f t="shared" si="121"/>
      </x:c>
      <x:c r="Q317" s="178" t="str">
        <x:f t="shared" si="122"/>
      </x:c>
      <x:c r="R317" s="122"/>
      <x:c r="S317" s="177" t="str">
        <x:f t="shared" si="123"/>
      </x:c>
      <x:c r="T317" s="122"/>
      <x:c r="U317" s="177" t="str">
        <x:f t="shared" si="124"/>
      </x:c>
      <x:c r="V317" s="178" t="str">
        <x:f t="shared" si="125"/>
      </x:c>
      <x:c r="W317" s="122"/>
      <x:c r="X317" s="177" t="str">
        <x:f t="shared" si="126"/>
      </x:c>
      <x:c r="Y317" s="122"/>
      <x:c r="Z317" s="177" t="str">
        <x:f t="shared" si="127"/>
      </x:c>
      <x:c r="AA317" s="178" t="str">
        <x:f t="shared" si="128"/>
      </x:c>
      <x:c r="AB317" s="122"/>
      <x:c r="AC317" s="177" t="str">
        <x:f t="shared" si="129"/>
      </x:c>
      <x:c r="AD317" s="122"/>
      <x:c r="AE317" s="177" t="str">
        <x:f t="shared" si="130"/>
      </x:c>
      <x:c r="AF317" s="178" t="str">
        <x:f t="shared" si="131"/>
      </x:c>
      <x:c r="AG317" s="122"/>
      <x:c r="AH317" s="177" t="str">
        <x:f t="shared" si="132"/>
      </x:c>
      <x:c r="AI317" s="122"/>
      <x:c r="AJ317" s="177" t="str">
        <x:f t="shared" si="133"/>
      </x:c>
      <x:c r="AK317" s="178" t="str">
        <x:f t="shared" si="134"/>
      </x:c>
      <x:c r="AL317" s="122"/>
      <x:c r="AM317" s="177" t="str">
        <x:f t="shared" si="135"/>
      </x:c>
      <x:c r="AN317" s="122"/>
      <x:c r="AO317" s="177" t="str">
        <x:f t="shared" si="136"/>
      </x:c>
      <x:c r="AP317" s="178" t="str">
        <x:f t="shared" si="137"/>
      </x:c>
      <x:c r="AQ317" s="122"/>
      <x:c r="AR317" s="177" t="str">
        <x:f t="shared" si="138"/>
      </x:c>
      <x:c r="AS317" s="122"/>
      <x:c r="AT317" s="177" t="str">
        <x:f t="shared" si="139"/>
      </x:c>
      <x:c r="AU317" s="178" t="str">
        <x:f t="shared" si="140"/>
      </x:c>
      <x:c r="AV317" s="122"/>
      <x:c r="AW317" s="177" t="str">
        <x:f t="shared" si="141"/>
      </x:c>
      <x:c r="AX317" s="122"/>
      <x:c r="AY317" s="177" t="str">
        <x:f t="shared" si="142"/>
      </x:c>
      <x:c r="AZ317" s="178" t="str">
        <x:f t="shared" si="143"/>
      </x:c>
      <x:c r="BA317" s="122"/>
      <x:c r="BB317" s="177" t="str">
        <x:f t="shared" si="144"/>
      </x:c>
      <x:c r="BC317" s="122"/>
      <x:c r="BD317" s="177" t="str">
        <x:f t="shared" si="145"/>
      </x:c>
      <x:c r="BE317" s="178" t="str">
        <x:f t="shared" si="146"/>
      </x:c>
      <x:c r="BF317" s="122"/>
      <x:c r="BG317" s="177" t="str">
        <x:f t="shared" si="147"/>
      </x:c>
      <x:c r="BH317" s="122"/>
      <x:c r="BI317" s="177" t="str">
        <x:f t="shared" si="148"/>
      </x:c>
      <x:c r="BJ317" s="178" t="str">
        <x:f t="shared" si="149"/>
      </x:c>
    </x:row>
    <x:row r="318" ht="19.5" hidden="1" customHeight="1">
      <x:c r="A318" s="169"/>
      <x:c r="B318" s="170"/>
      <x:c r="C318" s="171"/>
      <x:c r="D318" s="172"/>
      <x:c r="E318" s="171"/>
      <x:c r="F318" s="173"/>
      <x:c r="G318" s="174"/>
      <x:c r="H318" s="175"/>
      <x:c r="I318" s="174"/>
      <x:c r="J318" s="176"/>
      <x:c r="K318" s="233"/>
      <x:c r="L318" s="233"/>
      <x:c r="M318" s="122"/>
      <x:c r="N318" s="177" t="str">
        <x:f t="shared" si="120"/>
      </x:c>
      <x:c r="O318" s="122"/>
      <x:c r="P318" s="177" t="str">
        <x:f t="shared" si="121"/>
      </x:c>
      <x:c r="Q318" s="178" t="str">
        <x:f t="shared" si="122"/>
      </x:c>
      <x:c r="R318" s="122"/>
      <x:c r="S318" s="177" t="str">
        <x:f t="shared" si="123"/>
      </x:c>
      <x:c r="T318" s="122"/>
      <x:c r="U318" s="177" t="str">
        <x:f t="shared" si="124"/>
      </x:c>
      <x:c r="V318" s="178" t="str">
        <x:f t="shared" si="125"/>
      </x:c>
      <x:c r="W318" s="122"/>
      <x:c r="X318" s="177" t="str">
        <x:f t="shared" si="126"/>
      </x:c>
      <x:c r="Y318" s="122"/>
      <x:c r="Z318" s="177" t="str">
        <x:f t="shared" si="127"/>
      </x:c>
      <x:c r="AA318" s="178" t="str">
        <x:f t="shared" si="128"/>
      </x:c>
      <x:c r="AB318" s="122"/>
      <x:c r="AC318" s="177" t="str">
        <x:f t="shared" si="129"/>
      </x:c>
      <x:c r="AD318" s="122"/>
      <x:c r="AE318" s="177" t="str">
        <x:f t="shared" si="130"/>
      </x:c>
      <x:c r="AF318" s="178" t="str">
        <x:f t="shared" si="131"/>
      </x:c>
      <x:c r="AG318" s="122"/>
      <x:c r="AH318" s="177" t="str">
        <x:f t="shared" si="132"/>
      </x:c>
      <x:c r="AI318" s="122"/>
      <x:c r="AJ318" s="177" t="str">
        <x:f t="shared" si="133"/>
      </x:c>
      <x:c r="AK318" s="178" t="str">
        <x:f t="shared" si="134"/>
      </x:c>
      <x:c r="AL318" s="122"/>
      <x:c r="AM318" s="177" t="str">
        <x:f t="shared" si="135"/>
      </x:c>
      <x:c r="AN318" s="122"/>
      <x:c r="AO318" s="177" t="str">
        <x:f t="shared" si="136"/>
      </x:c>
      <x:c r="AP318" s="178" t="str">
        <x:f t="shared" si="137"/>
      </x:c>
      <x:c r="AQ318" s="122"/>
      <x:c r="AR318" s="177" t="str">
        <x:f t="shared" si="138"/>
      </x:c>
      <x:c r="AS318" s="122"/>
      <x:c r="AT318" s="177" t="str">
        <x:f t="shared" si="139"/>
      </x:c>
      <x:c r="AU318" s="178" t="str">
        <x:f t="shared" si="140"/>
      </x:c>
      <x:c r="AV318" s="122"/>
      <x:c r="AW318" s="177" t="str">
        <x:f t="shared" si="141"/>
      </x:c>
      <x:c r="AX318" s="122"/>
      <x:c r="AY318" s="177" t="str">
        <x:f t="shared" si="142"/>
      </x:c>
      <x:c r="AZ318" s="178" t="str">
        <x:f t="shared" si="143"/>
      </x:c>
      <x:c r="BA318" s="122"/>
      <x:c r="BB318" s="177" t="str">
        <x:f t="shared" si="144"/>
      </x:c>
      <x:c r="BC318" s="122"/>
      <x:c r="BD318" s="177" t="str">
        <x:f t="shared" si="145"/>
      </x:c>
      <x:c r="BE318" s="178" t="str">
        <x:f t="shared" si="146"/>
      </x:c>
      <x:c r="BF318" s="122"/>
      <x:c r="BG318" s="177" t="str">
        <x:f t="shared" si="147"/>
      </x:c>
      <x:c r="BH318" s="122"/>
      <x:c r="BI318" s="177" t="str">
        <x:f t="shared" si="148"/>
      </x:c>
      <x:c r="BJ318" s="178" t="str">
        <x:f t="shared" si="149"/>
      </x:c>
    </x:row>
    <x:row r="319" ht="19.5" hidden="1" customHeight="1">
      <x:c r="A319" s="160"/>
      <x:c r="B319" s="179"/>
      <x:c r="C319" s="171"/>
      <x:c r="D319" s="172"/>
      <x:c r="E319" s="171"/>
      <x:c r="F319" s="173"/>
      <x:c r="G319" s="174"/>
      <x:c r="H319" s="175"/>
      <x:c r="I319" s="174"/>
      <x:c r="J319" s="176"/>
      <x:c r="K319" s="233"/>
      <x:c r="L319" s="233"/>
      <x:c r="M319" s="180"/>
      <x:c r="N319" s="181" t="str">
        <x:f t="shared" si="120"/>
      </x:c>
      <x:c r="O319" s="180"/>
      <x:c r="P319" s="181" t="str">
        <x:f t="shared" si="121"/>
      </x:c>
      <x:c r="Q319" s="182" t="str">
        <x:f t="shared" si="122"/>
      </x:c>
      <x:c r="R319" s="180"/>
      <x:c r="S319" s="181" t="str">
        <x:f t="shared" si="123"/>
      </x:c>
      <x:c r="T319" s="180"/>
      <x:c r="U319" s="181" t="str">
        <x:f t="shared" si="124"/>
      </x:c>
      <x:c r="V319" s="182" t="str">
        <x:f t="shared" si="125"/>
      </x:c>
      <x:c r="W319" s="180"/>
      <x:c r="X319" s="181" t="str">
        <x:f t="shared" si="126"/>
      </x:c>
      <x:c r="Y319" s="180"/>
      <x:c r="Z319" s="181" t="str">
        <x:f t="shared" si="127"/>
      </x:c>
      <x:c r="AA319" s="182" t="str">
        <x:f t="shared" si="128"/>
      </x:c>
      <x:c r="AB319" s="180"/>
      <x:c r="AC319" s="181" t="str">
        <x:f t="shared" si="129"/>
      </x:c>
      <x:c r="AD319" s="180"/>
      <x:c r="AE319" s="181" t="str">
        <x:f t="shared" si="130"/>
      </x:c>
      <x:c r="AF319" s="182" t="str">
        <x:f t="shared" si="131"/>
      </x:c>
      <x:c r="AG319" s="180"/>
      <x:c r="AH319" s="181" t="str">
        <x:f t="shared" si="132"/>
      </x:c>
      <x:c r="AI319" s="180"/>
      <x:c r="AJ319" s="181" t="str">
        <x:f t="shared" si="133"/>
      </x:c>
      <x:c r="AK319" s="182" t="str">
        <x:f t="shared" si="134"/>
      </x:c>
      <x:c r="AL319" s="180"/>
      <x:c r="AM319" s="181" t="str">
        <x:f t="shared" si="135"/>
      </x:c>
      <x:c r="AN319" s="180"/>
      <x:c r="AO319" s="181" t="str">
        <x:f t="shared" si="136"/>
      </x:c>
      <x:c r="AP319" s="182" t="str">
        <x:f t="shared" si="137"/>
      </x:c>
      <x:c r="AQ319" s="180"/>
      <x:c r="AR319" s="181" t="str">
        <x:f t="shared" si="138"/>
      </x:c>
      <x:c r="AS319" s="180"/>
      <x:c r="AT319" s="181" t="str">
        <x:f t="shared" si="139"/>
      </x:c>
      <x:c r="AU319" s="182" t="str">
        <x:f t="shared" si="140"/>
      </x:c>
      <x:c r="AV319" s="180"/>
      <x:c r="AW319" s="181" t="str">
        <x:f t="shared" si="141"/>
      </x:c>
      <x:c r="AX319" s="180"/>
      <x:c r="AY319" s="181" t="str">
        <x:f t="shared" si="142"/>
      </x:c>
      <x:c r="AZ319" s="182" t="str">
        <x:f t="shared" si="143"/>
      </x:c>
      <x:c r="BA319" s="180"/>
      <x:c r="BB319" s="181" t="str">
        <x:f t="shared" si="144"/>
      </x:c>
      <x:c r="BC319" s="180"/>
      <x:c r="BD319" s="181" t="str">
        <x:f t="shared" si="145"/>
      </x:c>
      <x:c r="BE319" s="182" t="str">
        <x:f t="shared" si="146"/>
      </x:c>
      <x:c r="BF319" s="180"/>
      <x:c r="BG319" s="181" t="str">
        <x:f t="shared" si="147"/>
      </x:c>
      <x:c r="BH319" s="180"/>
      <x:c r="BI319" s="181" t="str">
        <x:f t="shared" si="148"/>
      </x:c>
      <x:c r="BJ319" s="182" t="str">
        <x:f t="shared" si="149"/>
      </x:c>
      <x:c r="BK319" s="183"/>
    </x:row>
    <x:row r="320" ht="19.5" customHeight="1">
      <x:c r="A320" s="119"/>
      <x:c r="B320" s="119"/>
      <x:c r="C320" s="119"/>
      <x:c r="D320" s="119"/>
      <x:c r="E320" s="119"/>
      <x:c r="F320" s="119"/>
      <x:c r="G320" s="119"/>
      <x:c r="H320" s="119"/>
      <x:c r="I320" s="119"/>
      <x:c r="J320" s="119"/>
      <x:c r="K320" s="119"/>
      <x:c r="L320" s="119"/>
      <x:c r="N320" s="120"/>
      <x:c r="P320" s="120"/>
      <x:c r="Q320" s="121"/>
      <x:c r="R320" s="122"/>
      <x:c r="S320" s="177"/>
      <x:c r="T320" s="122"/>
      <x:c r="U320" s="177"/>
      <x:c r="V320" s="178"/>
      <x:c r="W320" s="122"/>
      <x:c r="X320" s="120"/>
      <x:c r="Y320" s="122"/>
      <x:c r="Z320" s="120"/>
      <x:c r="AA320" s="121"/>
      <x:c r="AB320" s="122"/>
      <x:c r="AC320" s="120"/>
      <x:c r="AD320" s="122"/>
      <x:c r="AE320" s="120"/>
      <x:c r="AF320" s="121"/>
      <x:c r="AG320" s="122"/>
      <x:c r="AH320" s="120"/>
      <x:c r="AI320" s="122"/>
      <x:c r="AJ320" s="120"/>
      <x:c r="AK320" s="121"/>
      <x:c r="AL320" s="122"/>
      <x:c r="AM320" s="120"/>
      <x:c r="AN320" s="122"/>
      <x:c r="AO320" s="120"/>
      <x:c r="AP320" s="121"/>
      <x:c r="AQ320" s="122"/>
      <x:c r="AR320" s="120"/>
      <x:c r="AS320" s="122"/>
      <x:c r="AT320" s="120"/>
      <x:c r="AU320" s="121"/>
      <x:c r="AV320" s="122"/>
      <x:c r="AW320" s="120"/>
      <x:c r="AX320" s="122"/>
      <x:c r="AY320" s="120"/>
      <x:c r="AZ320" s="121"/>
      <x:c r="BA320" s="122"/>
      <x:c r="BB320" s="120"/>
      <x:c r="BC320" s="122"/>
      <x:c r="BD320" s="120"/>
      <x:c r="BE320" s="121"/>
      <x:c r="BF320" s="122"/>
      <x:c r="BG320" s="120"/>
      <x:c r="BH320" s="122"/>
      <x:c r="BI320" s="120"/>
      <x:c r="BJ320" s="121"/>
    </x:row>
    <x:row r="321" ht="51" customHeight="1">
      <x:c r="A321" s="119" t="s">
        <x:v>279</x:v>
      </x:c>
      <x:c r="B321" s="184"/>
      <x:c r="C321" s="119"/>
      <x:c r="D321" s="119"/>
      <x:c r="E321" s="119"/>
      <x:c r="F321" s="119"/>
      <x:c r="G321" s="119"/>
      <x:c r="H321" s="119"/>
      <x:c r="I321" s="119"/>
      <x:c r="J321" s="119"/>
      <x:c r="K321" s="119"/>
      <x:c r="L321" s="119"/>
      <x:c r="N321" s="120"/>
      <x:c r="P321" s="120"/>
      <x:c r="Q321" s="121"/>
      <x:c r="S321" s="120"/>
      <x:c r="U321" s="120"/>
      <x:c r="V321" s="121"/>
      <x:c r="W321" s="122"/>
      <x:c r="X321" s="120"/>
      <x:c r="Y321" s="122"/>
      <x:c r="Z321" s="120"/>
      <x:c r="AA321" s="121"/>
      <x:c r="AB321" s="122"/>
      <x:c r="AC321" s="120"/>
      <x:c r="AD321" s="122"/>
      <x:c r="AE321" s="120"/>
      <x:c r="AF321" s="121"/>
      <x:c r="AG321" s="122"/>
      <x:c r="AH321" s="120"/>
      <x:c r="AI321" s="122"/>
      <x:c r="AJ321" s="120"/>
      <x:c r="AK321" s="121"/>
      <x:c r="AL321" s="122"/>
      <x:c r="AM321" s="120"/>
      <x:c r="AN321" s="122"/>
      <x:c r="AO321" s="120"/>
      <x:c r="AP321" s="121"/>
      <x:c r="AQ321" s="122"/>
      <x:c r="AR321" s="120"/>
      <x:c r="AS321" s="122"/>
      <x:c r="AT321" s="120"/>
      <x:c r="AU321" s="121"/>
      <x:c r="AV321" s="122"/>
      <x:c r="AW321" s="120"/>
      <x:c r="AX321" s="122"/>
      <x:c r="AY321" s="120"/>
      <x:c r="AZ321" s="121"/>
      <x:c r="BA321" s="122"/>
      <x:c r="BB321" s="120"/>
      <x:c r="BC321" s="122"/>
      <x:c r="BD321" s="120"/>
      <x:c r="BE321" s="121"/>
      <x:c r="BF321" s="122"/>
      <x:c r="BG321" s="120"/>
      <x:c r="BH321" s="122"/>
      <x:c r="BI321" s="120"/>
      <x:c r="BJ321" s="121"/>
    </x:row>
    <x:row r="322" ht="18" customHeight="1">
      <x:c r="A322" s="119"/>
      <x:c r="B322" s="185" t="s">
        <x:v>280</x:v>
      </x:c>
      <x:c r="C322" s="119"/>
      <x:c r="D322" s="119"/>
      <x:c r="E322" s="119"/>
      <x:c r="F322" s="119"/>
      <x:c r="G322" s="119"/>
      <x:c r="H322" s="119"/>
      <x:c r="I322" s="119"/>
      <x:c r="J322" s="119"/>
      <x:c r="K322" s="119"/>
      <x:c r="L322" s="119"/>
      <x:c r="N322" s="120"/>
      <x:c r="P322" s="120"/>
      <x:c r="Q322" s="121"/>
      <x:c r="S322" s="120"/>
      <x:c r="U322" s="120"/>
      <x:c r="V322" s="121"/>
      <x:c r="W322" s="122"/>
      <x:c r="X322" s="120"/>
      <x:c r="Y322" s="122"/>
      <x:c r="Z322" s="120"/>
      <x:c r="AA322" s="121"/>
      <x:c r="AB322" s="122"/>
      <x:c r="AC322" s="120"/>
      <x:c r="AD322" s="122"/>
      <x:c r="AE322" s="120"/>
      <x:c r="AF322" s="121"/>
      <x:c r="AG322" s="122"/>
      <x:c r="AH322" s="120"/>
      <x:c r="AI322" s="122"/>
      <x:c r="AJ322" s="120"/>
      <x:c r="AK322" s="121"/>
      <x:c r="AL322" s="122"/>
      <x:c r="AM322" s="120"/>
      <x:c r="AN322" s="122"/>
      <x:c r="AO322" s="120"/>
      <x:c r="AP322" s="121"/>
      <x:c r="AQ322" s="122"/>
      <x:c r="AR322" s="120"/>
      <x:c r="AS322" s="122"/>
      <x:c r="AT322" s="120"/>
      <x:c r="AU322" s="121"/>
      <x:c r="AV322" s="122"/>
      <x:c r="AW322" s="120"/>
      <x:c r="AX322" s="122"/>
      <x:c r="AY322" s="120"/>
      <x:c r="AZ322" s="121"/>
      <x:c r="BA322" s="122"/>
      <x:c r="BB322" s="120"/>
      <x:c r="BC322" s="122"/>
      <x:c r="BD322" s="120"/>
      <x:c r="BE322" s="121"/>
      <x:c r="BF322" s="122"/>
      <x:c r="BG322" s="120"/>
      <x:c r="BH322" s="122"/>
      <x:c r="BI322" s="120"/>
      <x:c r="BJ322" s="121"/>
    </x:row>
    <x:row r="323" ht="51" customHeight="1">
      <x:c r="A323" s="119" t="s">
        <x:v>281</x:v>
      </x:c>
      <x:c r="B323" s="184"/>
      <x:c r="C323" s="119"/>
      <x:c r="D323" s="119"/>
      <x:c r="E323" s="119"/>
      <x:c r="F323" s="119"/>
      <x:c r="G323" s="119"/>
      <x:c r="H323" s="119"/>
      <x:c r="I323" s="119"/>
      <x:c r="J323" s="119"/>
      <x:c r="K323" s="119"/>
      <x:c r="L323" s="119"/>
      <x:c r="N323" s="120"/>
      <x:c r="P323" s="120"/>
      <x:c r="Q323" s="121"/>
      <x:c r="S323" s="120"/>
      <x:c r="U323" s="120"/>
      <x:c r="V323" s="121"/>
      <x:c r="W323" s="122"/>
      <x:c r="X323" s="120"/>
      <x:c r="Y323" s="122"/>
      <x:c r="Z323" s="120"/>
      <x:c r="AA323" s="121"/>
      <x:c r="AB323" s="122"/>
      <x:c r="AC323" s="120"/>
      <x:c r="AD323" s="122"/>
      <x:c r="AE323" s="120"/>
      <x:c r="AF323" s="121"/>
      <x:c r="AG323" s="122"/>
      <x:c r="AH323" s="120"/>
      <x:c r="AI323" s="122"/>
      <x:c r="AJ323" s="120"/>
      <x:c r="AK323" s="121"/>
      <x:c r="AL323" s="122"/>
      <x:c r="AM323" s="120"/>
      <x:c r="AN323" s="122"/>
      <x:c r="AO323" s="120"/>
      <x:c r="AP323" s="121"/>
      <x:c r="AQ323" s="122"/>
      <x:c r="AR323" s="120"/>
      <x:c r="AS323" s="122"/>
      <x:c r="AT323" s="120"/>
      <x:c r="AU323" s="121"/>
      <x:c r="AV323" s="122"/>
      <x:c r="AW323" s="120"/>
      <x:c r="AX323" s="122"/>
      <x:c r="AY323" s="120"/>
      <x:c r="AZ323" s="121"/>
      <x:c r="BA323" s="122"/>
      <x:c r="BB323" s="120"/>
      <x:c r="BC323" s="122"/>
      <x:c r="BD323" s="120"/>
      <x:c r="BE323" s="121"/>
      <x:c r="BF323" s="122"/>
      <x:c r="BG323" s="120"/>
      <x:c r="BH323" s="122"/>
      <x:c r="BI323" s="120"/>
      <x:c r="BJ323" s="121"/>
    </x:row>
    <x:row r="324" ht="18.75" customHeight="1">
      <x:c r="A324" s="119"/>
      <x:c r="B324" s="186" t="s">
        <x:v>282</x:v>
      </x:c>
      <x:c r="C324" s="119"/>
      <x:c r="D324" s="119"/>
      <x:c r="E324" s="119"/>
      <x:c r="F324" s="119"/>
      <x:c r="G324" s="119"/>
      <x:c r="H324" s="119"/>
      <x:c r="I324" s="119"/>
      <x:c r="J324" s="119"/>
      <x:c r="K324" s="119"/>
      <x:c r="L324" s="119"/>
      <x:c r="N324" s="120"/>
      <x:c r="O324" s="118" t="s">
        <x:v>173</x:v>
      </x:c>
      <x:c r="P324" s="120"/>
      <x:c r="S324" s="120"/>
      <x:c r="U324" s="120"/>
      <x:c r="V324" s="121"/>
      <x:c r="W324" s="122"/>
      <x:c r="X324" s="120"/>
      <x:c r="Y324" s="122"/>
      <x:c r="Z324" s="120"/>
      <x:c r="AA324" s="121"/>
      <x:c r="AB324" s="122"/>
      <x:c r="AC324" s="120"/>
      <x:c r="AD324" s="122"/>
      <x:c r="AE324" s="120"/>
      <x:c r="AF324" s="121"/>
      <x:c r="AG324" s="122"/>
      <x:c r="AH324" s="120"/>
      <x:c r="AI324" s="122"/>
      <x:c r="AJ324" s="120"/>
      <x:c r="AK324" s="121"/>
      <x:c r="AL324" s="122"/>
      <x:c r="AM324" s="120"/>
      <x:c r="AN324" s="122"/>
      <x:c r="AO324" s="120"/>
      <x:c r="AP324" s="121"/>
      <x:c r="AQ324" s="122"/>
      <x:c r="AR324" s="120"/>
      <x:c r="AS324" s="122"/>
      <x:c r="AT324" s="120"/>
      <x:c r="AU324" s="121"/>
      <x:c r="AV324" s="122"/>
      <x:c r="AW324" s="120"/>
      <x:c r="AX324" s="122"/>
      <x:c r="AY324" s="120"/>
      <x:c r="AZ324" s="121"/>
      <x:c r="BA324" s="122"/>
      <x:c r="BB324" s="120"/>
      <x:c r="BC324" s="122"/>
      <x:c r="BD324" s="120"/>
      <x:c r="BE324" s="121"/>
      <x:c r="BF324" s="122"/>
      <x:c r="BG324" s="120"/>
      <x:c r="BH324" s="122"/>
      <x:c r="BI324" s="120"/>
      <x:c r="BJ324" s="121"/>
    </x:row>
    <x:row r="325" ht="57.75" customHeight="1">
      <x:c r="A325" s="119" t="s">
        <x:v>283</x:v>
      </x:c>
      <x:c r="B325" s="184"/>
      <x:c r="C325" s="119"/>
      <x:c r="D325" s="119"/>
      <x:c r="E325" s="119"/>
      <x:c r="F325" s="119"/>
      <x:c r="G325" s="119"/>
      <x:c r="H325" s="119"/>
      <x:c r="I325" s="119"/>
      <x:c r="J325" s="119"/>
      <x:c r="K325" s="119"/>
      <x:c r="L325" s="119"/>
      <x:c r="N325" s="120"/>
      <x:c r="P325" s="187" t="s">
        <x:v>284</x:v>
      </x:c>
      <x:c r="Q325" s="188" t="s">
        <x:v>285</x:v>
      </x:c>
      <x:c r="S325" s="120"/>
      <x:c r="U325" s="120"/>
      <x:c r="V325" s="121"/>
      <x:c r="W325" s="122"/>
      <x:c r="X325" s="120"/>
      <x:c r="Y325" s="122"/>
      <x:c r="Z325" s="120"/>
      <x:c r="AA325" s="121"/>
      <x:c r="AB325" s="122"/>
      <x:c r="AC325" s="120"/>
      <x:c r="AD325" s="122"/>
      <x:c r="AE325" s="120"/>
      <x:c r="AF325" s="121"/>
      <x:c r="AG325" s="122"/>
      <x:c r="AH325" s="120"/>
      <x:c r="AI325" s="122"/>
      <x:c r="AJ325" s="120"/>
      <x:c r="AK325" s="121"/>
      <x:c r="AL325" s="122"/>
      <x:c r="AM325" s="120"/>
      <x:c r="AN325" s="122"/>
      <x:c r="AO325" s="120"/>
      <x:c r="AP325" s="121"/>
      <x:c r="AQ325" s="122"/>
      <x:c r="AR325" s="120"/>
      <x:c r="AS325" s="122"/>
      <x:c r="AT325" s="120"/>
      <x:c r="AU325" s="121"/>
      <x:c r="AV325" s="122"/>
      <x:c r="AW325" s="120"/>
      <x:c r="AX325" s="122"/>
      <x:c r="AY325" s="120"/>
      <x:c r="AZ325" s="121"/>
      <x:c r="BA325" s="122"/>
      <x:c r="BB325" s="120"/>
      <x:c r="BC325" s="122"/>
      <x:c r="BD325" s="120"/>
      <x:c r="BE325" s="121"/>
      <x:c r="BF325" s="122"/>
      <x:c r="BG325" s="120"/>
      <x:c r="BH325" s="122"/>
      <x:c r="BI325" s="120"/>
      <x:c r="BJ325" s="121"/>
    </x:row>
    <x:row r="326" ht="18.75" customHeight="1">
      <x:c r="A326" s="119"/>
      <x:c r="B326" s="186" t="s">
        <x:v>286</x:v>
      </x:c>
      <x:c r="C326" s="119"/>
      <x:c r="D326" s="119"/>
      <x:c r="E326" s="119"/>
      <x:c r="F326" s="119"/>
      <x:c r="G326" s="119"/>
      <x:c r="H326" s="119"/>
      <x:c r="I326" s="119"/>
      <x:c r="J326" s="119"/>
      <x:c r="K326" s="119"/>
      <x:c r="L326" s="119"/>
      <x:c r="N326" s="120"/>
      <x:c r="O326" s="118" t="s">
        <x:v>16</x:v>
      </x:c>
      <x:c r="P326" s="177" t="str">
        <x:f>IFERROR(AVERAGE(N$20:N$319),"")</x:f>
      </x:c>
      <x:c r="Q326" s="189" t="str">
        <x:f>IFERROR(AVERAGE(P$20:P$319),"")</x:f>
      </x:c>
      <x:c r="S326" s="120"/>
      <x:c r="U326" s="120"/>
      <x:c r="V326" s="121"/>
      <x:c r="W326" s="122"/>
      <x:c r="X326" s="120"/>
      <x:c r="Y326" s="122"/>
      <x:c r="Z326" s="120"/>
      <x:c r="AA326" s="121"/>
      <x:c r="AB326" s="122"/>
      <x:c r="AC326" s="120"/>
      <x:c r="AD326" s="122"/>
      <x:c r="AE326" s="120"/>
      <x:c r="AF326" s="121"/>
      <x:c r="AG326" s="122"/>
      <x:c r="AH326" s="120"/>
      <x:c r="AI326" s="122"/>
      <x:c r="AJ326" s="120"/>
      <x:c r="AK326" s="121"/>
      <x:c r="AL326" s="122"/>
      <x:c r="AM326" s="120"/>
      <x:c r="AN326" s="122"/>
      <x:c r="AO326" s="120"/>
      <x:c r="AP326" s="121"/>
      <x:c r="AQ326" s="122"/>
      <x:c r="AR326" s="120"/>
      <x:c r="AS326" s="122"/>
      <x:c r="AT326" s="120"/>
      <x:c r="AU326" s="121"/>
      <x:c r="AV326" s="122"/>
      <x:c r="AW326" s="120"/>
      <x:c r="AX326" s="122"/>
      <x:c r="AY326" s="120"/>
      <x:c r="AZ326" s="121"/>
      <x:c r="BA326" s="122"/>
      <x:c r="BB326" s="120"/>
      <x:c r="BC326" s="122"/>
      <x:c r="BD326" s="120"/>
      <x:c r="BE326" s="121"/>
      <x:c r="BF326" s="122"/>
      <x:c r="BG326" s="120"/>
      <x:c r="BH326" s="122"/>
      <x:c r="BI326" s="120"/>
      <x:c r="BJ326" s="121"/>
    </x:row>
    <x:row r="327" ht="18.75" customHeight="1">
      <x:c r="A327" s="119"/>
      <x:c r="B327" s="119"/>
      <x:c r="C327" s="119"/>
      <x:c r="D327" s="119"/>
      <x:c r="E327" s="119"/>
      <x:c r="F327" s="119"/>
      <x:c r="G327" s="119"/>
      <x:c r="H327" s="119"/>
      <x:c r="I327" s="119"/>
      <x:c r="J327" s="119"/>
      <x:c r="K327" s="119"/>
      <x:c r="L327" s="119"/>
      <x:c r="N327" s="120"/>
      <x:c r="O327" s="118" t="s">
        <x:v>17</x:v>
      </x:c>
      <x:c r="P327" s="177" t="str">
        <x:f>IFERROR(AVERAGE(S$20:S$319),"")</x:f>
      </x:c>
      <x:c r="Q327" s="189" t="str">
        <x:f>IFERROR(AVERAGE(U$20:U$319),"")</x:f>
      </x:c>
      <x:c r="S327" s="120"/>
      <x:c r="U327" s="120"/>
      <x:c r="V327" s="121"/>
      <x:c r="W327" s="122"/>
      <x:c r="X327" s="120"/>
      <x:c r="Y327" s="122"/>
      <x:c r="Z327" s="120"/>
      <x:c r="AA327" s="121"/>
      <x:c r="AB327" s="122"/>
      <x:c r="AC327" s="120"/>
      <x:c r="AD327" s="122"/>
      <x:c r="AE327" s="120"/>
      <x:c r="AF327" s="121"/>
      <x:c r="AG327" s="122"/>
      <x:c r="AH327" s="120"/>
      <x:c r="AI327" s="122"/>
      <x:c r="AJ327" s="120"/>
      <x:c r="AK327" s="121"/>
      <x:c r="AL327" s="122"/>
      <x:c r="AM327" s="120"/>
      <x:c r="AN327" s="122"/>
      <x:c r="AO327" s="120"/>
      <x:c r="AP327" s="121"/>
      <x:c r="AQ327" s="122"/>
      <x:c r="AR327" s="120"/>
      <x:c r="AS327" s="122"/>
      <x:c r="AT327" s="120"/>
      <x:c r="AU327" s="121"/>
      <x:c r="AV327" s="122"/>
      <x:c r="AW327" s="120"/>
      <x:c r="AX327" s="122"/>
      <x:c r="AY327" s="120"/>
      <x:c r="AZ327" s="121"/>
      <x:c r="BA327" s="122"/>
      <x:c r="BB327" s="120"/>
      <x:c r="BC327" s="122"/>
      <x:c r="BD327" s="120"/>
      <x:c r="BE327" s="121"/>
      <x:c r="BF327" s="122"/>
      <x:c r="BG327" s="120"/>
      <x:c r="BH327" s="122"/>
      <x:c r="BI327" s="120"/>
      <x:c r="BJ327" s="121"/>
    </x:row>
    <x:row r="328" ht="18.75" customHeight="1">
      <x:c r="N328" s="120"/>
      <x:c r="O328" s="118" t="s">
        <x:v>18</x:v>
      </x:c>
      <x:c r="P328" s="177" t="str">
        <x:f>IFERROR(AVERAGE(X$20:X$319),"")</x:f>
      </x:c>
      <x:c r="Q328" s="189" t="str">
        <x:f>IFERROR(AVERAGE(Z$20:Z$319),"")</x:f>
      </x:c>
      <x:c r="S328" s="120"/>
      <x:c r="U328" s="120"/>
      <x:c r="V328" s="121"/>
      <x:c r="W328" s="122"/>
      <x:c r="X328" s="120"/>
      <x:c r="Y328" s="122"/>
      <x:c r="Z328" s="120"/>
      <x:c r="AA328" s="121"/>
      <x:c r="AB328" s="122"/>
      <x:c r="AC328" s="120"/>
      <x:c r="AD328" s="122"/>
      <x:c r="AE328" s="120"/>
      <x:c r="AF328" s="121"/>
      <x:c r="AG328" s="122"/>
      <x:c r="AH328" s="120"/>
      <x:c r="AI328" s="122"/>
      <x:c r="AJ328" s="120"/>
      <x:c r="AK328" s="121"/>
      <x:c r="AL328" s="122"/>
      <x:c r="AM328" s="120"/>
      <x:c r="AN328" s="122"/>
      <x:c r="AO328" s="120"/>
      <x:c r="AP328" s="121"/>
      <x:c r="AQ328" s="122"/>
      <x:c r="AR328" s="120"/>
      <x:c r="AS328" s="122"/>
      <x:c r="AT328" s="120"/>
      <x:c r="AU328" s="121"/>
      <x:c r="AV328" s="122"/>
      <x:c r="AW328" s="120"/>
      <x:c r="AX328" s="122"/>
      <x:c r="AY328" s="120"/>
      <x:c r="AZ328" s="121"/>
      <x:c r="BA328" s="122"/>
      <x:c r="BB328" s="120"/>
      <x:c r="BC328" s="122"/>
      <x:c r="BD328" s="120"/>
      <x:c r="BE328" s="121"/>
      <x:c r="BF328" s="122"/>
      <x:c r="BG328" s="120"/>
      <x:c r="BH328" s="122"/>
      <x:c r="BI328" s="120"/>
      <x:c r="BJ328" s="121"/>
    </x:row>
    <x:row r="329" ht="18.75" customHeight="1">
      <x:c r="N329" s="120"/>
      <x:c r="O329" s="118" t="s">
        <x:v>19</x:v>
      </x:c>
      <x:c r="P329" s="177" t="str">
        <x:f>IFERROR(AVERAGE(AC$20:AC$319),"")</x:f>
      </x:c>
      <x:c r="Q329" s="189" t="str">
        <x:f>IFERROR(AVERAGE(AE$20:AE$319),"")</x:f>
      </x:c>
      <x:c r="S329" s="120"/>
      <x:c r="U329" s="120"/>
      <x:c r="V329" s="121"/>
      <x:c r="W329" s="122"/>
      <x:c r="X329" s="120"/>
      <x:c r="Y329" s="122"/>
      <x:c r="Z329" s="120"/>
      <x:c r="AA329" s="121"/>
      <x:c r="AB329" s="122"/>
      <x:c r="AC329" s="120"/>
      <x:c r="AD329" s="122"/>
      <x:c r="AE329" s="120"/>
      <x:c r="AF329" s="121"/>
      <x:c r="AG329" s="122"/>
      <x:c r="AH329" s="120"/>
      <x:c r="AI329" s="122"/>
      <x:c r="AJ329" s="120"/>
      <x:c r="AK329" s="121"/>
      <x:c r="AL329" s="122"/>
      <x:c r="AM329" s="120"/>
      <x:c r="AN329" s="122"/>
      <x:c r="AO329" s="120"/>
      <x:c r="AP329" s="121"/>
      <x:c r="AQ329" s="122"/>
      <x:c r="AR329" s="120"/>
      <x:c r="AS329" s="122"/>
      <x:c r="AT329" s="120"/>
      <x:c r="AU329" s="121"/>
      <x:c r="AV329" s="122"/>
      <x:c r="AW329" s="120"/>
      <x:c r="AX329" s="122"/>
      <x:c r="AY329" s="120"/>
      <x:c r="AZ329" s="121"/>
      <x:c r="BA329" s="122"/>
      <x:c r="BB329" s="120"/>
      <x:c r="BC329" s="122"/>
      <x:c r="BD329" s="120"/>
      <x:c r="BE329" s="121"/>
      <x:c r="BF329" s="122"/>
      <x:c r="BG329" s="120"/>
      <x:c r="BH329" s="122"/>
      <x:c r="BI329" s="120"/>
      <x:c r="BJ329" s="121"/>
    </x:row>
    <x:row r="330" ht="18.75" customHeight="1">
      <x:c r="N330" s="120"/>
      <x:c r="O330" s="118" t="s">
        <x:v>20</x:v>
      </x:c>
      <x:c r="P330" s="177" t="str">
        <x:f>IFERROR(AVERAGE(AH$20:AH$319),"")</x:f>
      </x:c>
      <x:c r="Q330" s="189" t="str">
        <x:f>IFERROR(AVERAGE(AJ$20:AJ$319),"")</x:f>
      </x:c>
      <x:c r="S330" s="120"/>
      <x:c r="U330" s="120"/>
      <x:c r="V330" s="121"/>
      <x:c r="W330" s="122"/>
      <x:c r="X330" s="120"/>
      <x:c r="Y330" s="122"/>
      <x:c r="Z330" s="120"/>
      <x:c r="AA330" s="121"/>
      <x:c r="AB330" s="122"/>
      <x:c r="AC330" s="120"/>
      <x:c r="AD330" s="122"/>
      <x:c r="AE330" s="120"/>
      <x:c r="AF330" s="121"/>
      <x:c r="AG330" s="122"/>
      <x:c r="AH330" s="120"/>
      <x:c r="AI330" s="122"/>
      <x:c r="AJ330" s="120"/>
      <x:c r="AK330" s="121"/>
      <x:c r="AL330" s="122"/>
      <x:c r="AM330" s="120"/>
      <x:c r="AN330" s="122"/>
      <x:c r="AO330" s="120"/>
      <x:c r="AP330" s="121"/>
      <x:c r="AQ330" s="122"/>
      <x:c r="AR330" s="120"/>
      <x:c r="AS330" s="122"/>
      <x:c r="AT330" s="120"/>
      <x:c r="AU330" s="121"/>
      <x:c r="AV330" s="122"/>
      <x:c r="AW330" s="120"/>
      <x:c r="AX330" s="122"/>
      <x:c r="AY330" s="120"/>
      <x:c r="AZ330" s="121"/>
      <x:c r="BA330" s="122"/>
      <x:c r="BB330" s="120"/>
      <x:c r="BC330" s="122"/>
      <x:c r="BD330" s="120"/>
      <x:c r="BE330" s="121"/>
      <x:c r="BF330" s="122"/>
      <x:c r="BG330" s="120"/>
      <x:c r="BH330" s="122"/>
      <x:c r="BI330" s="120"/>
      <x:c r="BJ330" s="121"/>
    </x:row>
    <x:row r="331" ht="18.75" customHeight="1">
      <x:c r="N331" s="120"/>
      <x:c r="O331" s="118" t="s">
        <x:v>117</x:v>
      </x:c>
      <x:c r="P331" s="177" t="str">
        <x:f>IFERROR(AVERAGE(AM$20:AM$319),"")</x:f>
      </x:c>
      <x:c r="Q331" s="189" t="str">
        <x:f>IFERROR(AVERAGE(AO$20:AO$319),"")</x:f>
      </x:c>
      <x:c r="S331" s="120"/>
      <x:c r="U331" s="120"/>
      <x:c r="V331" s="121"/>
      <x:c r="W331" s="122"/>
      <x:c r="X331" s="120"/>
      <x:c r="Y331" s="122"/>
      <x:c r="Z331" s="120"/>
      <x:c r="AA331" s="121"/>
      <x:c r="AB331" s="122"/>
      <x:c r="AC331" s="120"/>
      <x:c r="AD331" s="122"/>
      <x:c r="AE331" s="120"/>
      <x:c r="AF331" s="121"/>
      <x:c r="AG331" s="122"/>
      <x:c r="AH331" s="120"/>
      <x:c r="AI331" s="122"/>
      <x:c r="AJ331" s="120"/>
      <x:c r="AK331" s="121"/>
      <x:c r="AL331" s="122"/>
      <x:c r="AM331" s="120"/>
      <x:c r="AN331" s="122"/>
      <x:c r="AO331" s="120"/>
      <x:c r="AP331" s="121"/>
      <x:c r="AQ331" s="122"/>
      <x:c r="AR331" s="120"/>
      <x:c r="AS331" s="122"/>
      <x:c r="AT331" s="120"/>
      <x:c r="AU331" s="121"/>
      <x:c r="AV331" s="122"/>
      <x:c r="AW331" s="120"/>
      <x:c r="AX331" s="122"/>
      <x:c r="AY331" s="120"/>
      <x:c r="AZ331" s="121"/>
      <x:c r="BA331" s="122"/>
      <x:c r="BB331" s="120"/>
      <x:c r="BC331" s="122"/>
      <x:c r="BD331" s="120"/>
      <x:c r="BE331" s="121"/>
      <x:c r="BF331" s="122"/>
      <x:c r="BG331" s="120"/>
      <x:c r="BH331" s="122"/>
      <x:c r="BI331" s="120"/>
      <x:c r="BJ331" s="121"/>
    </x:row>
    <x:row r="332" ht="18.75" customHeight="1">
      <x:c r="N332" s="120"/>
      <x:c r="O332" s="118" t="s">
        <x:v>118</x:v>
      </x:c>
      <x:c r="P332" s="177" t="str">
        <x:f>IFERROR(AVERAGE(AR$20:AR$319),"")</x:f>
      </x:c>
      <x:c r="Q332" s="189" t="str">
        <x:f>IFERROR(AVERAGE(AT$20:AT$319),"")</x:f>
      </x:c>
      <x:c r="S332" s="120"/>
      <x:c r="U332" s="120"/>
      <x:c r="V332" s="121"/>
      <x:c r="W332" s="122"/>
      <x:c r="X332" s="120"/>
      <x:c r="Y332" s="122"/>
      <x:c r="Z332" s="120"/>
      <x:c r="AA332" s="121"/>
      <x:c r="AB332" s="122"/>
      <x:c r="AC332" s="120"/>
      <x:c r="AD332" s="122"/>
      <x:c r="AE332" s="120"/>
      <x:c r="AF332" s="121"/>
      <x:c r="AG332" s="122"/>
      <x:c r="AH332" s="120"/>
      <x:c r="AI332" s="122"/>
      <x:c r="AJ332" s="120"/>
      <x:c r="AK332" s="121"/>
      <x:c r="AL332" s="122"/>
      <x:c r="AM332" s="120"/>
      <x:c r="AN332" s="122"/>
      <x:c r="AO332" s="120"/>
      <x:c r="AP332" s="121"/>
      <x:c r="AQ332" s="122"/>
      <x:c r="AR332" s="120"/>
      <x:c r="AS332" s="122"/>
      <x:c r="AT332" s="120"/>
      <x:c r="AU332" s="121"/>
      <x:c r="AV332" s="122"/>
      <x:c r="AW332" s="120"/>
      <x:c r="AX332" s="122"/>
      <x:c r="AY332" s="120"/>
      <x:c r="AZ332" s="121"/>
      <x:c r="BA332" s="122"/>
      <x:c r="BB332" s="120"/>
      <x:c r="BC332" s="122"/>
      <x:c r="BD332" s="120"/>
      <x:c r="BE332" s="121"/>
      <x:c r="BF332" s="122"/>
      <x:c r="BG332" s="120"/>
      <x:c r="BH332" s="122"/>
      <x:c r="BI332" s="120"/>
      <x:c r="BJ332" s="121"/>
    </x:row>
    <x:row r="333" ht="18.75" customHeight="1">
      <x:c r="N333" s="120"/>
      <x:c r="O333" s="118" t="s">
        <x:v>119</x:v>
      </x:c>
      <x:c r="P333" s="177" t="str">
        <x:f>IFERROR(AVERAGE(AW$20:AW$319),"")</x:f>
      </x:c>
      <x:c r="Q333" s="189" t="str">
        <x:f>IFERROR(AVERAGE(AY$20:AY$319),"")</x:f>
      </x:c>
      <x:c r="S333" s="120"/>
      <x:c r="U333" s="120"/>
      <x:c r="V333" s="121"/>
      <x:c r="W333" s="122"/>
      <x:c r="X333" s="120"/>
      <x:c r="Y333" s="122"/>
      <x:c r="Z333" s="120"/>
      <x:c r="AA333" s="121"/>
      <x:c r="AB333" s="122"/>
      <x:c r="AC333" s="120"/>
      <x:c r="AD333" s="122"/>
      <x:c r="AE333" s="120"/>
      <x:c r="AF333" s="121"/>
      <x:c r="AG333" s="122"/>
      <x:c r="AH333" s="120"/>
      <x:c r="AI333" s="122"/>
      <x:c r="AJ333" s="120"/>
      <x:c r="AK333" s="121"/>
      <x:c r="AL333" s="122"/>
      <x:c r="AM333" s="120"/>
      <x:c r="AN333" s="122"/>
      <x:c r="AO333" s="120"/>
      <x:c r="AP333" s="121"/>
      <x:c r="AQ333" s="122"/>
      <x:c r="AR333" s="120"/>
      <x:c r="AS333" s="122"/>
      <x:c r="AT333" s="120"/>
      <x:c r="AU333" s="121"/>
      <x:c r="AV333" s="122"/>
      <x:c r="AW333" s="120"/>
      <x:c r="AX333" s="122"/>
      <x:c r="AY333" s="120"/>
      <x:c r="AZ333" s="121"/>
      <x:c r="BA333" s="122"/>
      <x:c r="BB333" s="120"/>
      <x:c r="BC333" s="122"/>
      <x:c r="BD333" s="120"/>
      <x:c r="BE333" s="121"/>
      <x:c r="BF333" s="122"/>
      <x:c r="BG333" s="120"/>
      <x:c r="BH333" s="122"/>
      <x:c r="BI333" s="120"/>
      <x:c r="BJ333" s="121"/>
    </x:row>
    <x:row r="334" ht="15.75" customHeight="1">
      <x:c r="N334" s="120"/>
      <x:c r="O334" s="118" t="s">
        <x:v>121</x:v>
      </x:c>
      <x:c r="P334" s="177" t="str">
        <x:f>IFERROR(AVERAGE(BB$20:BB$319),"")</x:f>
      </x:c>
      <x:c r="Q334" s="189" t="str">
        <x:f>IFERROR(AVERAGE(BD$20:BD$319),"")</x:f>
      </x:c>
      <x:c r="S334" s="120"/>
      <x:c r="U334" s="120"/>
      <x:c r="V334" s="121"/>
      <x:c r="W334" s="122"/>
      <x:c r="X334" s="120"/>
      <x:c r="Y334" s="122"/>
      <x:c r="Z334" s="120"/>
      <x:c r="AA334" s="121"/>
      <x:c r="AB334" s="122"/>
      <x:c r="AC334" s="120"/>
      <x:c r="AD334" s="122"/>
      <x:c r="AE334" s="120"/>
      <x:c r="AF334" s="121"/>
      <x:c r="AG334" s="122"/>
      <x:c r="AH334" s="120"/>
      <x:c r="AI334" s="122"/>
      <x:c r="AJ334" s="120"/>
      <x:c r="AK334" s="121"/>
      <x:c r="AL334" s="122"/>
      <x:c r="AM334" s="120"/>
      <x:c r="AN334" s="122"/>
      <x:c r="AO334" s="120"/>
      <x:c r="AP334" s="121"/>
      <x:c r="AQ334" s="122"/>
      <x:c r="AR334" s="120"/>
      <x:c r="AS334" s="122"/>
      <x:c r="AT334" s="120"/>
      <x:c r="AU334" s="121"/>
      <x:c r="AV334" s="122"/>
      <x:c r="AW334" s="120"/>
      <x:c r="AX334" s="122"/>
      <x:c r="AY334" s="120"/>
      <x:c r="AZ334" s="121"/>
      <x:c r="BA334" s="122"/>
      <x:c r="BB334" s="120"/>
      <x:c r="BC334" s="122"/>
      <x:c r="BD334" s="120"/>
      <x:c r="BE334" s="121"/>
      <x:c r="BF334" s="122"/>
      <x:c r="BG334" s="120"/>
      <x:c r="BH334" s="122"/>
      <x:c r="BI334" s="120"/>
      <x:c r="BJ334" s="121"/>
    </x:row>
    <x:row r="335" ht="15.75" customHeight="1">
      <x:c r="N335" s="120"/>
      <x:c r="O335" s="118" t="s">
        <x:v>123</x:v>
      </x:c>
      <x:c r="P335" s="177" t="str">
        <x:f>IFERROR(AVERAGE(BG$20:BG$319),"")</x:f>
      </x:c>
      <x:c r="Q335" s="189" t="str">
        <x:f>IFERROR(AVERAGE(BI$20:BI$319),"")</x:f>
      </x:c>
      <x:c r="S335" s="120"/>
      <x:c r="U335" s="120"/>
      <x:c r="V335" s="121"/>
      <x:c r="W335" s="122"/>
      <x:c r="X335" s="120"/>
      <x:c r="Y335" s="122"/>
      <x:c r="Z335" s="120"/>
      <x:c r="AA335" s="121"/>
      <x:c r="AB335" s="122"/>
      <x:c r="AC335" s="120"/>
      <x:c r="AD335" s="122"/>
      <x:c r="AE335" s="120"/>
      <x:c r="AF335" s="121"/>
      <x:c r="AG335" s="122"/>
      <x:c r="AH335" s="120"/>
      <x:c r="AI335" s="122"/>
      <x:c r="AJ335" s="120"/>
      <x:c r="AK335" s="121"/>
      <x:c r="AL335" s="122"/>
      <x:c r="AM335" s="120"/>
      <x:c r="AN335" s="122"/>
      <x:c r="AO335" s="120"/>
      <x:c r="AP335" s="121"/>
      <x:c r="AQ335" s="122"/>
      <x:c r="AR335" s="120"/>
      <x:c r="AS335" s="122"/>
      <x:c r="AT335" s="120"/>
      <x:c r="AU335" s="121"/>
      <x:c r="AV335" s="122"/>
      <x:c r="AW335" s="120"/>
      <x:c r="AX335" s="122"/>
      <x:c r="AY335" s="120"/>
      <x:c r="AZ335" s="121"/>
      <x:c r="BA335" s="122"/>
      <x:c r="BB335" s="120"/>
      <x:c r="BC335" s="122"/>
      <x:c r="BD335" s="120"/>
      <x:c r="BE335" s="121"/>
      <x:c r="BF335" s="122"/>
      <x:c r="BG335" s="120"/>
      <x:c r="BH335" s="122"/>
      <x:c r="BI335" s="120"/>
      <x:c r="BJ335" s="121"/>
    </x:row>
    <x:row r="336" ht="15.75" customHeight="1">
      <x:c r="N336" s="120"/>
      <x:c r="O336" s="125" t="s">
        <x:v>287</x:v>
      </x:c>
      <x:c r="P336" s="190" t="e">
        <x:f>AVERAGE(P326:P335)</x:f>
        <x:v>#DIV/0!</x:v>
      </x:c>
      <x:c r="Q336" s="191" t="e">
        <x:f>AVERAGE(Q326:Q335)</x:f>
        <x:v>#DIV/0!</x:v>
      </x:c>
      <x:c r="S336" s="120"/>
      <x:c r="U336" s="120"/>
      <x:c r="V336" s="121"/>
      <x:c r="W336" s="122"/>
      <x:c r="X336" s="120"/>
      <x:c r="Y336" s="122"/>
      <x:c r="Z336" s="120"/>
      <x:c r="AA336" s="121"/>
      <x:c r="AB336" s="122"/>
      <x:c r="AC336" s="120"/>
      <x:c r="AD336" s="122"/>
      <x:c r="AE336" s="120"/>
      <x:c r="AF336" s="121"/>
      <x:c r="AG336" s="122"/>
      <x:c r="AH336" s="120"/>
      <x:c r="AI336" s="122"/>
      <x:c r="AJ336" s="120"/>
      <x:c r="AK336" s="121"/>
      <x:c r="AL336" s="122"/>
      <x:c r="AM336" s="120"/>
      <x:c r="AN336" s="122"/>
      <x:c r="AO336" s="120"/>
      <x:c r="AP336" s="121"/>
      <x:c r="AQ336" s="122"/>
      <x:c r="AR336" s="120"/>
      <x:c r="AS336" s="122"/>
      <x:c r="AT336" s="120"/>
      <x:c r="AU336" s="121"/>
      <x:c r="AV336" s="122"/>
      <x:c r="AW336" s="120"/>
      <x:c r="AX336" s="122"/>
      <x:c r="AY336" s="120"/>
      <x:c r="AZ336" s="121"/>
      <x:c r="BA336" s="122"/>
      <x:c r="BB336" s="120"/>
      <x:c r="BC336" s="122"/>
      <x:c r="BD336" s="120"/>
      <x:c r="BE336" s="121"/>
      <x:c r="BF336" s="122"/>
      <x:c r="BG336" s="120"/>
      <x:c r="BH336" s="122"/>
      <x:c r="BI336" s="120"/>
      <x:c r="BJ336" s="121"/>
    </x:row>
    <x:row r="337" ht="15.75" customHeight="1">
      <x:c r="N337" s="120"/>
      <x:c r="O337" s="118" t="s">
        <x:v>241</x:v>
      </x:c>
      <x:c r="P337" s="153" t="n">
        <x:f>G19</x:f>
        <x:v>0</x:v>
      </x:c>
      <x:c r="Q337" s="122" t="n">
        <x:f>I19</x:f>
        <x:v>0</x:v>
      </x:c>
      <x:c r="S337" s="120"/>
      <x:c r="U337" s="120"/>
      <x:c r="V337" s="121"/>
      <x:c r="W337" s="122"/>
      <x:c r="X337" s="120"/>
      <x:c r="Y337" s="122"/>
      <x:c r="Z337" s="120"/>
      <x:c r="AA337" s="121"/>
      <x:c r="AB337" s="122"/>
      <x:c r="AC337" s="120"/>
      <x:c r="AD337" s="122"/>
      <x:c r="AE337" s="120"/>
      <x:c r="AF337" s="121"/>
      <x:c r="AG337" s="122"/>
      <x:c r="AH337" s="120"/>
      <x:c r="AI337" s="122"/>
      <x:c r="AJ337" s="120"/>
      <x:c r="AK337" s="121"/>
      <x:c r="AL337" s="122"/>
      <x:c r="AM337" s="120"/>
      <x:c r="AN337" s="122"/>
      <x:c r="AO337" s="120"/>
      <x:c r="AP337" s="121"/>
      <x:c r="AQ337" s="122"/>
      <x:c r="AR337" s="120"/>
      <x:c r="AS337" s="122"/>
      <x:c r="AT337" s="120"/>
      <x:c r="AU337" s="121"/>
      <x:c r="AV337" s="122"/>
      <x:c r="AW337" s="120"/>
      <x:c r="AX337" s="122"/>
      <x:c r="AY337" s="120"/>
      <x:c r="AZ337" s="121"/>
      <x:c r="BA337" s="122"/>
      <x:c r="BB337" s="120"/>
      <x:c r="BC337" s="122"/>
      <x:c r="BD337" s="120"/>
      <x:c r="BE337" s="121"/>
      <x:c r="BF337" s="122"/>
      <x:c r="BG337" s="120"/>
      <x:c r="BH337" s="122"/>
      <x:c r="BI337" s="120"/>
      <x:c r="BJ337" s="121"/>
    </x:row>
    <x:row r="338" ht="15.75" customHeight="1">
      <x:c r="N338" s="120"/>
      <x:c r="O338" s="125" t="s">
        <x:v>288</x:v>
      </x:c>
      <x:c r="P338" s="192" t="e">
        <x:f>P336*P337</x:f>
        <x:v>#DIV/0!</x:v>
      </x:c>
      <x:c r="Q338" s="193" t="e">
        <x:f>Q336*Q337</x:f>
        <x:v>#DIV/0!</x:v>
      </x:c>
      <x:c r="S338" s="120"/>
      <x:c r="U338" s="120"/>
      <x:c r="V338" s="121"/>
      <x:c r="W338" s="122"/>
      <x:c r="X338" s="120"/>
      <x:c r="Y338" s="122"/>
      <x:c r="Z338" s="120"/>
      <x:c r="AA338" s="121"/>
      <x:c r="AB338" s="122"/>
      <x:c r="AC338" s="120"/>
      <x:c r="AD338" s="122"/>
      <x:c r="AE338" s="120"/>
      <x:c r="AF338" s="121"/>
      <x:c r="AG338" s="122"/>
      <x:c r="AH338" s="120"/>
      <x:c r="AI338" s="122"/>
      <x:c r="AJ338" s="120"/>
      <x:c r="AK338" s="121"/>
      <x:c r="AL338" s="122"/>
      <x:c r="AM338" s="120"/>
      <x:c r="AN338" s="122"/>
      <x:c r="AO338" s="120"/>
      <x:c r="AP338" s="121"/>
      <x:c r="AQ338" s="122"/>
      <x:c r="AR338" s="120"/>
      <x:c r="AS338" s="122"/>
      <x:c r="AT338" s="120"/>
      <x:c r="AU338" s="121"/>
      <x:c r="AV338" s="122"/>
      <x:c r="AW338" s="120"/>
      <x:c r="AX338" s="122"/>
      <x:c r="AY338" s="120"/>
      <x:c r="AZ338" s="121"/>
      <x:c r="BA338" s="122"/>
      <x:c r="BB338" s="120"/>
      <x:c r="BC338" s="122"/>
      <x:c r="BD338" s="120"/>
      <x:c r="BE338" s="121"/>
      <x:c r="BF338" s="122"/>
      <x:c r="BG338" s="120"/>
      <x:c r="BH338" s="122"/>
      <x:c r="BI338" s="120"/>
      <x:c r="BJ338" s="121"/>
    </x:row>
    <x:row r="339" ht="15.75" customHeight="1">
      <x:c r="N339" s="120"/>
      <x:c r="O339" s="118" t="s">
        <x:v>289</x:v>
      </x:c>
      <x:c r="P339" s="234" t="e">
        <x:f>P338+Q338</x:f>
        <x:v>#DIV/0!</x:v>
      </x:c>
      <x:c r="Q339" s="234"/>
      <x:c r="S339" s="120"/>
      <x:c r="U339" s="120"/>
      <x:c r="V339" s="121"/>
      <x:c r="W339" s="122"/>
      <x:c r="X339" s="120"/>
      <x:c r="Y339" s="122"/>
      <x:c r="Z339" s="120"/>
      <x:c r="AA339" s="121"/>
      <x:c r="AB339" s="122"/>
      <x:c r="AC339" s="120"/>
      <x:c r="AD339" s="122"/>
      <x:c r="AE339" s="120"/>
      <x:c r="AF339" s="121"/>
      <x:c r="AG339" s="122"/>
      <x:c r="AH339" s="120"/>
      <x:c r="AI339" s="122"/>
      <x:c r="AJ339" s="120"/>
      <x:c r="AK339" s="121"/>
      <x:c r="AL339" s="122"/>
      <x:c r="AM339" s="120"/>
      <x:c r="AN339" s="122"/>
      <x:c r="AO339" s="120"/>
      <x:c r="AP339" s="121"/>
      <x:c r="AQ339" s="122"/>
      <x:c r="AR339" s="120"/>
      <x:c r="AS339" s="122"/>
      <x:c r="AT339" s="120"/>
      <x:c r="AU339" s="121"/>
      <x:c r="AV339" s="122"/>
      <x:c r="AW339" s="120"/>
      <x:c r="AX339" s="122"/>
      <x:c r="AY339" s="120"/>
      <x:c r="AZ339" s="121"/>
      <x:c r="BA339" s="122"/>
      <x:c r="BB339" s="120"/>
      <x:c r="BC339" s="122"/>
      <x:c r="BD339" s="120"/>
      <x:c r="BE339" s="121"/>
      <x:c r="BF339" s="122"/>
      <x:c r="BG339" s="120"/>
      <x:c r="BH339" s="122"/>
      <x:c r="BI339" s="120"/>
      <x:c r="BJ339" s="121"/>
    </x:row>
    <x:row r="340" ht="15.75" customHeight="1">
      <x:c r="N340" s="120"/>
      <x:c r="P340" s="120"/>
      <x:c r="Q340" s="121"/>
      <x:c r="S340" s="120"/>
      <x:c r="U340" s="120"/>
      <x:c r="V340" s="121"/>
      <x:c r="W340" s="122"/>
      <x:c r="X340" s="120"/>
      <x:c r="Y340" s="122"/>
      <x:c r="Z340" s="120"/>
      <x:c r="AA340" s="121"/>
      <x:c r="AB340" s="122"/>
      <x:c r="AC340" s="120"/>
      <x:c r="AD340" s="122"/>
      <x:c r="AE340" s="120"/>
      <x:c r="AF340" s="121"/>
      <x:c r="AG340" s="122"/>
      <x:c r="AH340" s="120"/>
      <x:c r="AI340" s="122"/>
      <x:c r="AJ340" s="120"/>
      <x:c r="AK340" s="121"/>
      <x:c r="AL340" s="122"/>
      <x:c r="AM340" s="120"/>
      <x:c r="AN340" s="122"/>
      <x:c r="AO340" s="120"/>
      <x:c r="AP340" s="121"/>
      <x:c r="AQ340" s="122"/>
      <x:c r="AR340" s="120"/>
      <x:c r="AS340" s="122"/>
      <x:c r="AT340" s="120"/>
      <x:c r="AU340" s="121"/>
      <x:c r="AV340" s="122"/>
      <x:c r="AW340" s="120"/>
      <x:c r="AX340" s="122"/>
      <x:c r="AY340" s="120"/>
      <x:c r="AZ340" s="121"/>
      <x:c r="BA340" s="122"/>
      <x:c r="BB340" s="120"/>
      <x:c r="BC340" s="122"/>
      <x:c r="BD340" s="120"/>
      <x:c r="BE340" s="121"/>
      <x:c r="BF340" s="122"/>
      <x:c r="BG340" s="120"/>
      <x:c r="BH340" s="122"/>
      <x:c r="BI340" s="120"/>
      <x:c r="BJ340" s="121"/>
    </x:row>
    <x:row r="341" ht="15.75" customHeight="1">
      <x:c r="N341" s="120"/>
      <x:c r="P341" s="120"/>
      <x:c r="Q341" s="121"/>
      <x:c r="S341" s="120"/>
      <x:c r="U341" s="120"/>
      <x:c r="V341" s="121"/>
      <x:c r="W341" s="122"/>
      <x:c r="X341" s="120"/>
      <x:c r="Y341" s="122"/>
      <x:c r="Z341" s="120"/>
      <x:c r="AA341" s="121"/>
      <x:c r="AB341" s="122"/>
      <x:c r="AC341" s="120"/>
      <x:c r="AD341" s="122"/>
      <x:c r="AE341" s="120"/>
      <x:c r="AF341" s="121"/>
      <x:c r="AG341" s="122"/>
      <x:c r="AH341" s="120"/>
      <x:c r="AI341" s="122"/>
      <x:c r="AJ341" s="120"/>
      <x:c r="AK341" s="121"/>
      <x:c r="AL341" s="122"/>
      <x:c r="AM341" s="120"/>
      <x:c r="AN341" s="122"/>
      <x:c r="AO341" s="120"/>
      <x:c r="AP341" s="121"/>
      <x:c r="AQ341" s="122"/>
      <x:c r="AR341" s="120"/>
      <x:c r="AS341" s="122"/>
      <x:c r="AT341" s="120"/>
      <x:c r="AU341" s="121"/>
      <x:c r="AV341" s="122"/>
      <x:c r="AW341" s="120"/>
      <x:c r="AX341" s="122"/>
      <x:c r="AY341" s="120"/>
      <x:c r="AZ341" s="121"/>
      <x:c r="BA341" s="122"/>
      <x:c r="BB341" s="120"/>
      <x:c r="BC341" s="122"/>
      <x:c r="BD341" s="120"/>
      <x:c r="BE341" s="121"/>
      <x:c r="BF341" s="122"/>
      <x:c r="BG341" s="120"/>
      <x:c r="BH341" s="122"/>
      <x:c r="BI341" s="120"/>
      <x:c r="BJ341" s="121"/>
    </x:row>
    <x:row r="342" ht="15.75" customHeight="1">
      <x:c r="N342" s="120"/>
      <x:c r="P342" s="120"/>
      <x:c r="Q342" s="121"/>
      <x:c r="S342" s="120"/>
      <x:c r="U342" s="120"/>
      <x:c r="V342" s="121"/>
      <x:c r="W342" s="122"/>
      <x:c r="X342" s="120"/>
      <x:c r="Y342" s="122"/>
      <x:c r="Z342" s="120"/>
      <x:c r="AA342" s="121"/>
      <x:c r="AB342" s="122"/>
      <x:c r="AC342" s="120"/>
      <x:c r="AD342" s="122"/>
      <x:c r="AE342" s="120"/>
      <x:c r="AF342" s="121"/>
      <x:c r="AG342" s="122"/>
      <x:c r="AH342" s="120"/>
      <x:c r="AI342" s="122"/>
      <x:c r="AJ342" s="120"/>
      <x:c r="AK342" s="121"/>
      <x:c r="AL342" s="122"/>
      <x:c r="AM342" s="120"/>
      <x:c r="AN342" s="122"/>
      <x:c r="AO342" s="120"/>
      <x:c r="AP342" s="121"/>
      <x:c r="AQ342" s="122"/>
      <x:c r="AR342" s="120"/>
      <x:c r="AS342" s="122"/>
      <x:c r="AT342" s="120"/>
      <x:c r="AU342" s="121"/>
      <x:c r="AV342" s="122"/>
      <x:c r="AW342" s="120"/>
      <x:c r="AX342" s="122"/>
      <x:c r="AY342" s="120"/>
      <x:c r="AZ342" s="121"/>
      <x:c r="BA342" s="122"/>
      <x:c r="BB342" s="120"/>
      <x:c r="BC342" s="122"/>
      <x:c r="BD342" s="120"/>
      <x:c r="BE342" s="121"/>
      <x:c r="BF342" s="122"/>
      <x:c r="BG342" s="120"/>
      <x:c r="BH342" s="122"/>
      <x:c r="BI342" s="120"/>
      <x:c r="BJ342" s="121"/>
    </x:row>
    <x:row r="343" ht="15.75" customHeight="1">
      <x:c r="N343" s="120"/>
      <x:c r="P343" s="120"/>
      <x:c r="Q343" s="121"/>
      <x:c r="S343" s="120"/>
      <x:c r="U343" s="120"/>
      <x:c r="V343" s="121"/>
      <x:c r="W343" s="122"/>
      <x:c r="X343" s="120"/>
      <x:c r="Y343" s="122"/>
      <x:c r="Z343" s="120"/>
      <x:c r="AA343" s="121"/>
      <x:c r="AB343" s="122"/>
      <x:c r="AC343" s="120"/>
      <x:c r="AD343" s="122"/>
      <x:c r="AE343" s="120"/>
      <x:c r="AF343" s="121"/>
      <x:c r="AG343" s="122"/>
      <x:c r="AH343" s="120"/>
      <x:c r="AI343" s="122"/>
      <x:c r="AJ343" s="120"/>
      <x:c r="AK343" s="121"/>
      <x:c r="AL343" s="122"/>
      <x:c r="AM343" s="120"/>
      <x:c r="AN343" s="122"/>
      <x:c r="AO343" s="120"/>
      <x:c r="AP343" s="121"/>
      <x:c r="AQ343" s="122"/>
      <x:c r="AR343" s="120"/>
      <x:c r="AS343" s="122"/>
      <x:c r="AT343" s="120"/>
      <x:c r="AU343" s="121"/>
      <x:c r="AV343" s="122"/>
      <x:c r="AW343" s="120"/>
      <x:c r="AX343" s="122"/>
      <x:c r="AY343" s="120"/>
      <x:c r="AZ343" s="121"/>
      <x:c r="BA343" s="122"/>
      <x:c r="BB343" s="120"/>
      <x:c r="BC343" s="122"/>
      <x:c r="BD343" s="120"/>
      <x:c r="BE343" s="121"/>
      <x:c r="BF343" s="122"/>
      <x:c r="BG343" s="120"/>
      <x:c r="BH343" s="122"/>
      <x:c r="BI343" s="120"/>
      <x:c r="BJ343" s="121"/>
    </x:row>
    <x:row r="344" ht="15.75" customHeight="1">
      <x:c r="N344" s="120"/>
      <x:c r="P344" s="120"/>
      <x:c r="Q344" s="121"/>
      <x:c r="S344" s="120"/>
      <x:c r="U344" s="120"/>
      <x:c r="V344" s="121"/>
      <x:c r="W344" s="122"/>
      <x:c r="X344" s="120"/>
      <x:c r="Y344" s="122"/>
      <x:c r="Z344" s="120"/>
      <x:c r="AA344" s="121"/>
      <x:c r="AB344" s="122"/>
      <x:c r="AC344" s="120"/>
      <x:c r="AD344" s="122"/>
      <x:c r="AE344" s="120"/>
      <x:c r="AF344" s="121"/>
      <x:c r="AG344" s="122"/>
      <x:c r="AH344" s="120"/>
      <x:c r="AI344" s="122"/>
      <x:c r="AJ344" s="120"/>
      <x:c r="AK344" s="121"/>
      <x:c r="AL344" s="122"/>
      <x:c r="AM344" s="120"/>
      <x:c r="AN344" s="122"/>
      <x:c r="AO344" s="120"/>
      <x:c r="AP344" s="121"/>
      <x:c r="AQ344" s="122"/>
      <x:c r="AR344" s="120"/>
      <x:c r="AS344" s="122"/>
      <x:c r="AT344" s="120"/>
      <x:c r="AU344" s="121"/>
      <x:c r="AV344" s="122"/>
      <x:c r="AW344" s="120"/>
      <x:c r="AX344" s="122"/>
      <x:c r="AY344" s="120"/>
      <x:c r="AZ344" s="121"/>
      <x:c r="BA344" s="122"/>
      <x:c r="BB344" s="120"/>
      <x:c r="BC344" s="122"/>
      <x:c r="BD344" s="120"/>
      <x:c r="BE344" s="121"/>
      <x:c r="BF344" s="122"/>
      <x:c r="BG344" s="120"/>
      <x:c r="BH344" s="122"/>
      <x:c r="BI344" s="120"/>
      <x:c r="BJ344" s="121"/>
    </x:row>
    <x:row r="345" ht="15.75" customHeight="1">
      <x:c r="N345" s="120"/>
      <x:c r="P345" s="120"/>
      <x:c r="Q345" s="121"/>
      <x:c r="S345" s="120"/>
      <x:c r="U345" s="120"/>
      <x:c r="V345" s="121"/>
      <x:c r="W345" s="122"/>
      <x:c r="X345" s="120"/>
      <x:c r="Y345" s="122"/>
      <x:c r="Z345" s="120"/>
      <x:c r="AA345" s="121"/>
      <x:c r="AB345" s="122"/>
      <x:c r="AC345" s="120"/>
      <x:c r="AD345" s="122"/>
      <x:c r="AE345" s="120"/>
      <x:c r="AF345" s="121"/>
      <x:c r="AG345" s="122"/>
      <x:c r="AH345" s="120"/>
      <x:c r="AI345" s="122"/>
      <x:c r="AJ345" s="120"/>
      <x:c r="AK345" s="121"/>
      <x:c r="AL345" s="122"/>
      <x:c r="AM345" s="120"/>
      <x:c r="AN345" s="122"/>
      <x:c r="AO345" s="120"/>
      <x:c r="AP345" s="121"/>
      <x:c r="AQ345" s="122"/>
      <x:c r="AR345" s="120"/>
      <x:c r="AS345" s="122"/>
      <x:c r="AT345" s="120"/>
      <x:c r="AU345" s="121"/>
      <x:c r="AV345" s="122"/>
      <x:c r="AW345" s="120"/>
      <x:c r="AX345" s="122"/>
      <x:c r="AY345" s="120"/>
      <x:c r="AZ345" s="121"/>
      <x:c r="BA345" s="122"/>
      <x:c r="BB345" s="120"/>
      <x:c r="BC345" s="122"/>
      <x:c r="BD345" s="120"/>
      <x:c r="BE345" s="121"/>
      <x:c r="BF345" s="122"/>
      <x:c r="BG345" s="120"/>
      <x:c r="BH345" s="122"/>
      <x:c r="BI345" s="120"/>
      <x:c r="BJ345" s="121"/>
    </x:row>
    <x:row r="346" ht="15.75" customHeight="1">
      <x:c r="N346" s="120"/>
      <x:c r="P346" s="120"/>
      <x:c r="Q346" s="121"/>
      <x:c r="S346" s="120"/>
      <x:c r="U346" s="120"/>
      <x:c r="V346" s="121"/>
      <x:c r="W346" s="122"/>
      <x:c r="X346" s="120"/>
      <x:c r="Y346" s="122"/>
      <x:c r="Z346" s="120"/>
      <x:c r="AA346" s="121"/>
      <x:c r="AB346" s="122"/>
      <x:c r="AC346" s="120"/>
      <x:c r="AD346" s="122"/>
      <x:c r="AE346" s="120"/>
      <x:c r="AF346" s="121"/>
      <x:c r="AG346" s="122"/>
      <x:c r="AH346" s="120"/>
      <x:c r="AI346" s="122"/>
      <x:c r="AJ346" s="120"/>
      <x:c r="AK346" s="121"/>
      <x:c r="AL346" s="122"/>
      <x:c r="AM346" s="120"/>
      <x:c r="AN346" s="122"/>
      <x:c r="AO346" s="120"/>
      <x:c r="AP346" s="121"/>
      <x:c r="AQ346" s="122"/>
      <x:c r="AR346" s="120"/>
      <x:c r="AS346" s="122"/>
      <x:c r="AT346" s="120"/>
      <x:c r="AU346" s="121"/>
      <x:c r="AV346" s="122"/>
      <x:c r="AW346" s="120"/>
      <x:c r="AX346" s="122"/>
      <x:c r="AY346" s="120"/>
      <x:c r="AZ346" s="121"/>
      <x:c r="BA346" s="122"/>
      <x:c r="BB346" s="120"/>
      <x:c r="BC346" s="122"/>
      <x:c r="BD346" s="120"/>
      <x:c r="BE346" s="121"/>
      <x:c r="BF346" s="122"/>
      <x:c r="BG346" s="120"/>
      <x:c r="BH346" s="122"/>
      <x:c r="BI346" s="120"/>
      <x:c r="BJ346" s="121"/>
    </x:row>
    <x:row r="347" ht="15.75" customHeight="1">
      <x:c r="N347" s="120"/>
      <x:c r="P347" s="120"/>
      <x:c r="Q347" s="121"/>
      <x:c r="S347" s="120"/>
      <x:c r="U347" s="120"/>
      <x:c r="V347" s="121"/>
      <x:c r="W347" s="122"/>
      <x:c r="X347" s="120"/>
      <x:c r="Y347" s="122"/>
      <x:c r="Z347" s="120"/>
      <x:c r="AA347" s="121"/>
      <x:c r="AB347" s="122"/>
      <x:c r="AC347" s="120"/>
      <x:c r="AD347" s="122"/>
      <x:c r="AE347" s="120"/>
      <x:c r="AF347" s="121"/>
      <x:c r="AG347" s="122"/>
      <x:c r="AH347" s="120"/>
      <x:c r="AI347" s="122"/>
      <x:c r="AJ347" s="120"/>
      <x:c r="AK347" s="121"/>
      <x:c r="AL347" s="122"/>
      <x:c r="AM347" s="120"/>
      <x:c r="AN347" s="122"/>
      <x:c r="AO347" s="120"/>
      <x:c r="AP347" s="121"/>
      <x:c r="AQ347" s="122"/>
      <x:c r="AR347" s="120"/>
      <x:c r="AS347" s="122"/>
      <x:c r="AT347" s="120"/>
      <x:c r="AU347" s="121"/>
      <x:c r="AV347" s="122"/>
      <x:c r="AW347" s="120"/>
      <x:c r="AX347" s="122"/>
      <x:c r="AY347" s="120"/>
      <x:c r="AZ347" s="121"/>
      <x:c r="BA347" s="122"/>
      <x:c r="BB347" s="120"/>
      <x:c r="BC347" s="122"/>
      <x:c r="BD347" s="120"/>
      <x:c r="BE347" s="121"/>
      <x:c r="BF347" s="122"/>
      <x:c r="BG347" s="120"/>
      <x:c r="BH347" s="122"/>
      <x:c r="BI347" s="120"/>
      <x:c r="BJ347" s="121"/>
    </x:row>
    <x:row r="348" ht="15.75" customHeight="1">
      <x:c r="N348" s="120"/>
      <x:c r="P348" s="120"/>
      <x:c r="Q348" s="121"/>
      <x:c r="S348" s="120"/>
      <x:c r="U348" s="120"/>
      <x:c r="V348" s="121"/>
      <x:c r="W348" s="122"/>
      <x:c r="X348" s="120"/>
      <x:c r="Y348" s="122"/>
      <x:c r="Z348" s="120"/>
      <x:c r="AA348" s="121"/>
      <x:c r="AB348" s="122"/>
      <x:c r="AC348" s="120"/>
      <x:c r="AD348" s="122"/>
      <x:c r="AE348" s="120"/>
      <x:c r="AF348" s="121"/>
      <x:c r="AG348" s="122"/>
      <x:c r="AH348" s="120"/>
      <x:c r="AI348" s="122"/>
      <x:c r="AJ348" s="120"/>
      <x:c r="AK348" s="121"/>
      <x:c r="AL348" s="122"/>
      <x:c r="AM348" s="120"/>
      <x:c r="AN348" s="122"/>
      <x:c r="AO348" s="120"/>
      <x:c r="AP348" s="121"/>
      <x:c r="AQ348" s="122"/>
      <x:c r="AR348" s="120"/>
      <x:c r="AS348" s="122"/>
      <x:c r="AT348" s="120"/>
      <x:c r="AU348" s="121"/>
      <x:c r="AV348" s="122"/>
      <x:c r="AW348" s="120"/>
      <x:c r="AX348" s="122"/>
      <x:c r="AY348" s="120"/>
      <x:c r="AZ348" s="121"/>
      <x:c r="BA348" s="122"/>
      <x:c r="BB348" s="120"/>
      <x:c r="BC348" s="122"/>
      <x:c r="BD348" s="120"/>
      <x:c r="BE348" s="121"/>
      <x:c r="BF348" s="122"/>
      <x:c r="BG348" s="120"/>
      <x:c r="BH348" s="122"/>
      <x:c r="BI348" s="120"/>
      <x:c r="BJ348" s="121"/>
    </x:row>
    <x:row r="349" ht="15.75" customHeight="1">
      <x:c r="N349" s="120"/>
      <x:c r="P349" s="120"/>
      <x:c r="Q349" s="121"/>
      <x:c r="S349" s="120"/>
      <x:c r="U349" s="120"/>
      <x:c r="V349" s="121"/>
      <x:c r="W349" s="122"/>
      <x:c r="X349" s="120"/>
      <x:c r="Y349" s="122"/>
      <x:c r="Z349" s="120"/>
      <x:c r="AA349" s="121"/>
      <x:c r="AB349" s="122"/>
      <x:c r="AC349" s="120"/>
      <x:c r="AD349" s="122"/>
      <x:c r="AE349" s="120"/>
      <x:c r="AF349" s="121"/>
      <x:c r="AG349" s="122"/>
      <x:c r="AH349" s="120"/>
      <x:c r="AI349" s="122"/>
      <x:c r="AJ349" s="120"/>
      <x:c r="AK349" s="121"/>
      <x:c r="AL349" s="122"/>
      <x:c r="AM349" s="120"/>
      <x:c r="AN349" s="122"/>
      <x:c r="AO349" s="120"/>
      <x:c r="AP349" s="121"/>
      <x:c r="AQ349" s="122"/>
      <x:c r="AR349" s="120"/>
      <x:c r="AS349" s="122"/>
      <x:c r="AT349" s="120"/>
      <x:c r="AU349" s="121"/>
      <x:c r="AV349" s="122"/>
      <x:c r="AW349" s="120"/>
      <x:c r="AX349" s="122"/>
      <x:c r="AY349" s="120"/>
      <x:c r="AZ349" s="121"/>
      <x:c r="BA349" s="122"/>
      <x:c r="BB349" s="120"/>
      <x:c r="BC349" s="122"/>
      <x:c r="BD349" s="120"/>
      <x:c r="BE349" s="121"/>
      <x:c r="BF349" s="122"/>
      <x:c r="BG349" s="120"/>
      <x:c r="BH349" s="122"/>
      <x:c r="BI349" s="120"/>
      <x:c r="BJ349" s="121"/>
    </x:row>
    <x:row r="350" ht="15.75" customHeight="1">
      <x:c r="N350" s="120"/>
      <x:c r="P350" s="120"/>
      <x:c r="Q350" s="121"/>
      <x:c r="S350" s="120"/>
      <x:c r="U350" s="120"/>
      <x:c r="V350" s="121"/>
      <x:c r="W350" s="122"/>
      <x:c r="X350" s="120"/>
      <x:c r="Y350" s="122"/>
      <x:c r="Z350" s="120"/>
      <x:c r="AA350" s="121"/>
      <x:c r="AB350" s="122"/>
      <x:c r="AC350" s="120"/>
      <x:c r="AD350" s="122"/>
      <x:c r="AE350" s="120"/>
      <x:c r="AF350" s="121"/>
      <x:c r="AG350" s="122"/>
      <x:c r="AH350" s="120"/>
      <x:c r="AI350" s="122"/>
      <x:c r="AJ350" s="120"/>
      <x:c r="AK350" s="121"/>
      <x:c r="AL350" s="122"/>
      <x:c r="AM350" s="120"/>
      <x:c r="AN350" s="122"/>
      <x:c r="AO350" s="120"/>
      <x:c r="AP350" s="121"/>
      <x:c r="AQ350" s="122"/>
      <x:c r="AR350" s="120"/>
      <x:c r="AS350" s="122"/>
      <x:c r="AT350" s="120"/>
      <x:c r="AU350" s="121"/>
      <x:c r="AV350" s="122"/>
      <x:c r="AW350" s="120"/>
      <x:c r="AX350" s="122"/>
      <x:c r="AY350" s="120"/>
      <x:c r="AZ350" s="121"/>
      <x:c r="BA350" s="122"/>
      <x:c r="BB350" s="120"/>
      <x:c r="BC350" s="122"/>
      <x:c r="BD350" s="120"/>
      <x:c r="BE350" s="121"/>
      <x:c r="BF350" s="122"/>
      <x:c r="BG350" s="120"/>
      <x:c r="BH350" s="122"/>
      <x:c r="BI350" s="120"/>
      <x:c r="BJ350" s="121"/>
    </x:row>
    <x:row r="351" ht="15.75" customHeight="1">
      <x:c r="N351" s="120"/>
      <x:c r="P351" s="120"/>
      <x:c r="Q351" s="121"/>
      <x:c r="S351" s="120"/>
      <x:c r="U351" s="120"/>
      <x:c r="V351" s="121"/>
      <x:c r="W351" s="122"/>
      <x:c r="X351" s="120"/>
      <x:c r="Y351" s="122"/>
      <x:c r="Z351" s="120"/>
      <x:c r="AA351" s="121"/>
      <x:c r="AB351" s="122"/>
      <x:c r="AC351" s="120"/>
      <x:c r="AD351" s="122"/>
      <x:c r="AE351" s="120"/>
      <x:c r="AF351" s="121"/>
      <x:c r="AG351" s="122"/>
      <x:c r="AH351" s="120"/>
      <x:c r="AI351" s="122"/>
      <x:c r="AJ351" s="120"/>
      <x:c r="AK351" s="121"/>
      <x:c r="AL351" s="122"/>
      <x:c r="AM351" s="120"/>
      <x:c r="AN351" s="122"/>
      <x:c r="AO351" s="120"/>
      <x:c r="AP351" s="121"/>
      <x:c r="AQ351" s="122"/>
      <x:c r="AR351" s="120"/>
      <x:c r="AS351" s="122"/>
      <x:c r="AT351" s="120"/>
      <x:c r="AU351" s="121"/>
      <x:c r="AV351" s="122"/>
      <x:c r="AW351" s="120"/>
      <x:c r="AX351" s="122"/>
      <x:c r="AY351" s="120"/>
      <x:c r="AZ351" s="121"/>
      <x:c r="BA351" s="122"/>
      <x:c r="BB351" s="120"/>
      <x:c r="BC351" s="122"/>
      <x:c r="BD351" s="120"/>
      <x:c r="BE351" s="121"/>
      <x:c r="BF351" s="122"/>
      <x:c r="BG351" s="120"/>
      <x:c r="BH351" s="122"/>
      <x:c r="BI351" s="120"/>
      <x:c r="BJ351" s="121"/>
    </x:row>
    <x:row r="352" ht="15.75" customHeight="1">
      <x:c r="N352" s="120"/>
      <x:c r="P352" s="120"/>
      <x:c r="Q352" s="121"/>
      <x:c r="S352" s="120"/>
      <x:c r="U352" s="120"/>
      <x:c r="V352" s="121"/>
      <x:c r="W352" s="122"/>
      <x:c r="X352" s="120"/>
      <x:c r="Y352" s="122"/>
      <x:c r="Z352" s="120"/>
      <x:c r="AA352" s="121"/>
      <x:c r="AB352" s="122"/>
      <x:c r="AC352" s="120"/>
      <x:c r="AD352" s="122"/>
      <x:c r="AE352" s="120"/>
      <x:c r="AF352" s="121"/>
      <x:c r="AG352" s="122"/>
      <x:c r="AH352" s="120"/>
      <x:c r="AI352" s="122"/>
      <x:c r="AJ352" s="120"/>
      <x:c r="AK352" s="121"/>
      <x:c r="AL352" s="122"/>
      <x:c r="AM352" s="120"/>
      <x:c r="AN352" s="122"/>
      <x:c r="AO352" s="120"/>
      <x:c r="AP352" s="121"/>
      <x:c r="AQ352" s="122"/>
      <x:c r="AR352" s="120"/>
      <x:c r="AS352" s="122"/>
      <x:c r="AT352" s="120"/>
      <x:c r="AU352" s="121"/>
      <x:c r="AV352" s="122"/>
      <x:c r="AW352" s="120"/>
      <x:c r="AX352" s="122"/>
      <x:c r="AY352" s="120"/>
      <x:c r="AZ352" s="121"/>
      <x:c r="BA352" s="122"/>
      <x:c r="BB352" s="120"/>
      <x:c r="BC352" s="122"/>
      <x:c r="BD352" s="120"/>
      <x:c r="BE352" s="121"/>
      <x:c r="BF352" s="122"/>
      <x:c r="BG352" s="120"/>
      <x:c r="BH352" s="122"/>
      <x:c r="BI352" s="120"/>
      <x:c r="BJ352" s="121"/>
    </x:row>
    <x:row r="353" ht="15.75" customHeight="1">
      <x:c r="N353" s="120"/>
      <x:c r="P353" s="120"/>
      <x:c r="Q353" s="121"/>
      <x:c r="S353" s="120"/>
      <x:c r="U353" s="120"/>
      <x:c r="V353" s="121"/>
      <x:c r="W353" s="122"/>
      <x:c r="X353" s="120"/>
      <x:c r="Y353" s="122"/>
      <x:c r="Z353" s="120"/>
      <x:c r="AA353" s="121"/>
      <x:c r="AB353" s="122"/>
      <x:c r="AC353" s="120"/>
      <x:c r="AD353" s="122"/>
      <x:c r="AE353" s="120"/>
      <x:c r="AF353" s="121"/>
      <x:c r="AG353" s="122"/>
      <x:c r="AH353" s="120"/>
      <x:c r="AI353" s="122"/>
      <x:c r="AJ353" s="120"/>
      <x:c r="AK353" s="121"/>
      <x:c r="AL353" s="122"/>
      <x:c r="AM353" s="120"/>
      <x:c r="AN353" s="122"/>
      <x:c r="AO353" s="120"/>
      <x:c r="AP353" s="121"/>
      <x:c r="AQ353" s="122"/>
      <x:c r="AR353" s="120"/>
      <x:c r="AS353" s="122"/>
      <x:c r="AT353" s="120"/>
      <x:c r="AU353" s="121"/>
      <x:c r="AV353" s="122"/>
      <x:c r="AW353" s="120"/>
      <x:c r="AX353" s="122"/>
      <x:c r="AY353" s="120"/>
      <x:c r="AZ353" s="121"/>
      <x:c r="BA353" s="122"/>
      <x:c r="BB353" s="120"/>
      <x:c r="BC353" s="122"/>
      <x:c r="BD353" s="120"/>
      <x:c r="BE353" s="121"/>
      <x:c r="BF353" s="122"/>
      <x:c r="BG353" s="120"/>
      <x:c r="BH353" s="122"/>
      <x:c r="BI353" s="120"/>
      <x:c r="BJ353" s="121"/>
    </x:row>
    <x:row r="354" ht="15.75" customHeight="1">
      <x:c r="N354" s="120"/>
      <x:c r="P354" s="120"/>
      <x:c r="Q354" s="121"/>
      <x:c r="S354" s="120"/>
      <x:c r="U354" s="120"/>
      <x:c r="V354" s="121"/>
      <x:c r="W354" s="122"/>
      <x:c r="X354" s="120"/>
      <x:c r="Y354" s="122"/>
      <x:c r="Z354" s="120"/>
      <x:c r="AA354" s="121"/>
      <x:c r="AB354" s="122"/>
      <x:c r="AC354" s="120"/>
      <x:c r="AD354" s="122"/>
      <x:c r="AE354" s="120"/>
      <x:c r="AF354" s="121"/>
      <x:c r="AG354" s="122"/>
      <x:c r="AH354" s="120"/>
      <x:c r="AI354" s="122"/>
      <x:c r="AJ354" s="120"/>
      <x:c r="AK354" s="121"/>
      <x:c r="AL354" s="122"/>
      <x:c r="AM354" s="120"/>
      <x:c r="AN354" s="122"/>
      <x:c r="AO354" s="120"/>
      <x:c r="AP354" s="121"/>
      <x:c r="AQ354" s="122"/>
      <x:c r="AR354" s="120"/>
      <x:c r="AS354" s="122"/>
      <x:c r="AT354" s="120"/>
      <x:c r="AU354" s="121"/>
      <x:c r="AV354" s="122"/>
      <x:c r="AW354" s="120"/>
      <x:c r="AX354" s="122"/>
      <x:c r="AY354" s="120"/>
      <x:c r="AZ354" s="121"/>
      <x:c r="BA354" s="122"/>
      <x:c r="BB354" s="120"/>
      <x:c r="BC354" s="122"/>
      <x:c r="BD354" s="120"/>
      <x:c r="BE354" s="121"/>
      <x:c r="BF354" s="122"/>
      <x:c r="BG354" s="120"/>
      <x:c r="BH354" s="122"/>
      <x:c r="BI354" s="120"/>
      <x:c r="BJ354" s="121"/>
    </x:row>
    <x:row r="355" ht="15.75" customHeight="1">
      <x:c r="N355" s="120"/>
      <x:c r="P355" s="120"/>
      <x:c r="Q355" s="121"/>
      <x:c r="S355" s="120"/>
      <x:c r="U355" s="120"/>
      <x:c r="V355" s="121"/>
      <x:c r="W355" s="122"/>
      <x:c r="X355" s="120"/>
      <x:c r="Y355" s="122"/>
      <x:c r="Z355" s="120"/>
      <x:c r="AA355" s="121"/>
      <x:c r="AB355" s="122"/>
      <x:c r="AC355" s="120"/>
      <x:c r="AD355" s="122"/>
      <x:c r="AE355" s="120"/>
      <x:c r="AF355" s="121"/>
      <x:c r="AG355" s="122"/>
      <x:c r="AH355" s="120"/>
      <x:c r="AI355" s="122"/>
      <x:c r="AJ355" s="120"/>
      <x:c r="AK355" s="121"/>
      <x:c r="AL355" s="122"/>
      <x:c r="AM355" s="120"/>
      <x:c r="AN355" s="122"/>
      <x:c r="AO355" s="120"/>
      <x:c r="AP355" s="121"/>
      <x:c r="AQ355" s="122"/>
      <x:c r="AR355" s="120"/>
      <x:c r="AS355" s="122"/>
      <x:c r="AT355" s="120"/>
      <x:c r="AU355" s="121"/>
      <x:c r="AV355" s="122"/>
      <x:c r="AW355" s="120"/>
      <x:c r="AX355" s="122"/>
      <x:c r="AY355" s="120"/>
      <x:c r="AZ355" s="121"/>
      <x:c r="BA355" s="122"/>
      <x:c r="BB355" s="120"/>
      <x:c r="BC355" s="122"/>
      <x:c r="BD355" s="120"/>
      <x:c r="BE355" s="121"/>
      <x:c r="BF355" s="122"/>
      <x:c r="BG355" s="120"/>
      <x:c r="BH355" s="122"/>
      <x:c r="BI355" s="120"/>
      <x:c r="BJ355" s="121"/>
    </x:row>
    <x:row r="356" ht="15.75" customHeight="1">
      <x:c r="N356" s="120"/>
      <x:c r="P356" s="120"/>
      <x:c r="Q356" s="121"/>
      <x:c r="S356" s="120"/>
      <x:c r="U356" s="120"/>
      <x:c r="V356" s="121"/>
      <x:c r="W356" s="122"/>
      <x:c r="X356" s="120"/>
      <x:c r="Y356" s="122"/>
      <x:c r="Z356" s="120"/>
      <x:c r="AA356" s="121"/>
      <x:c r="AB356" s="122"/>
      <x:c r="AC356" s="120"/>
      <x:c r="AD356" s="122"/>
      <x:c r="AE356" s="120"/>
      <x:c r="AF356" s="121"/>
      <x:c r="AG356" s="122"/>
      <x:c r="AH356" s="120"/>
      <x:c r="AI356" s="122"/>
      <x:c r="AJ356" s="120"/>
      <x:c r="AK356" s="121"/>
      <x:c r="AL356" s="122"/>
      <x:c r="AM356" s="120"/>
      <x:c r="AN356" s="122"/>
      <x:c r="AO356" s="120"/>
      <x:c r="AP356" s="121"/>
      <x:c r="AQ356" s="122"/>
      <x:c r="AR356" s="120"/>
      <x:c r="AS356" s="122"/>
      <x:c r="AT356" s="120"/>
      <x:c r="AU356" s="121"/>
      <x:c r="AV356" s="122"/>
      <x:c r="AW356" s="120"/>
      <x:c r="AX356" s="122"/>
      <x:c r="AY356" s="120"/>
      <x:c r="AZ356" s="121"/>
      <x:c r="BA356" s="122"/>
      <x:c r="BB356" s="120"/>
      <x:c r="BC356" s="122"/>
      <x:c r="BD356" s="120"/>
      <x:c r="BE356" s="121"/>
      <x:c r="BF356" s="122"/>
      <x:c r="BG356" s="120"/>
      <x:c r="BH356" s="122"/>
      <x:c r="BI356" s="120"/>
      <x:c r="BJ356" s="121"/>
    </x:row>
    <x:row r="357" ht="15.75" customHeight="1">
      <x:c r="N357" s="120"/>
      <x:c r="P357" s="120"/>
      <x:c r="Q357" s="121"/>
      <x:c r="S357" s="120"/>
      <x:c r="U357" s="120"/>
      <x:c r="V357" s="121"/>
      <x:c r="W357" s="122"/>
      <x:c r="X357" s="120"/>
      <x:c r="Y357" s="122"/>
      <x:c r="Z357" s="120"/>
      <x:c r="AA357" s="121"/>
      <x:c r="AB357" s="122"/>
      <x:c r="AC357" s="120"/>
      <x:c r="AD357" s="122"/>
      <x:c r="AE357" s="120"/>
      <x:c r="AF357" s="121"/>
      <x:c r="AG357" s="122"/>
      <x:c r="AH357" s="120"/>
      <x:c r="AI357" s="122"/>
      <x:c r="AJ357" s="120"/>
      <x:c r="AK357" s="121"/>
      <x:c r="AL357" s="122"/>
      <x:c r="AM357" s="120"/>
      <x:c r="AN357" s="122"/>
      <x:c r="AO357" s="120"/>
      <x:c r="AP357" s="121"/>
      <x:c r="AQ357" s="122"/>
      <x:c r="AR357" s="120"/>
      <x:c r="AS357" s="122"/>
      <x:c r="AT357" s="120"/>
      <x:c r="AU357" s="121"/>
      <x:c r="AV357" s="122"/>
      <x:c r="AW357" s="120"/>
      <x:c r="AX357" s="122"/>
      <x:c r="AY357" s="120"/>
      <x:c r="AZ357" s="121"/>
      <x:c r="BA357" s="122"/>
      <x:c r="BB357" s="120"/>
      <x:c r="BC357" s="122"/>
      <x:c r="BD357" s="120"/>
      <x:c r="BE357" s="121"/>
      <x:c r="BF357" s="122"/>
      <x:c r="BG357" s="120"/>
      <x:c r="BH357" s="122"/>
      <x:c r="BI357" s="120"/>
      <x:c r="BJ357" s="121"/>
    </x:row>
    <x:row r="358" ht="15.75" customHeight="1">
      <x:c r="N358" s="120"/>
      <x:c r="P358" s="120"/>
      <x:c r="Q358" s="121"/>
      <x:c r="S358" s="120"/>
      <x:c r="U358" s="120"/>
      <x:c r="V358" s="121"/>
      <x:c r="W358" s="122"/>
      <x:c r="X358" s="120"/>
      <x:c r="Y358" s="122"/>
      <x:c r="Z358" s="120"/>
      <x:c r="AA358" s="121"/>
      <x:c r="AB358" s="122"/>
      <x:c r="AC358" s="120"/>
      <x:c r="AD358" s="122"/>
      <x:c r="AE358" s="120"/>
      <x:c r="AF358" s="121"/>
      <x:c r="AG358" s="122"/>
      <x:c r="AH358" s="120"/>
      <x:c r="AI358" s="122"/>
      <x:c r="AJ358" s="120"/>
      <x:c r="AK358" s="121"/>
      <x:c r="AL358" s="122"/>
      <x:c r="AM358" s="120"/>
      <x:c r="AN358" s="122"/>
      <x:c r="AO358" s="120"/>
      <x:c r="AP358" s="121"/>
      <x:c r="AQ358" s="122"/>
      <x:c r="AR358" s="120"/>
      <x:c r="AS358" s="122"/>
      <x:c r="AT358" s="120"/>
      <x:c r="AU358" s="121"/>
      <x:c r="AV358" s="122"/>
      <x:c r="AW358" s="120"/>
      <x:c r="AX358" s="122"/>
      <x:c r="AY358" s="120"/>
      <x:c r="AZ358" s="121"/>
      <x:c r="BA358" s="122"/>
      <x:c r="BB358" s="120"/>
      <x:c r="BC358" s="122"/>
      <x:c r="BD358" s="120"/>
      <x:c r="BE358" s="121"/>
      <x:c r="BF358" s="122"/>
      <x:c r="BG358" s="120"/>
      <x:c r="BH358" s="122"/>
      <x:c r="BI358" s="120"/>
      <x:c r="BJ358" s="121"/>
    </x:row>
    <x:row r="359" ht="15.75" customHeight="1">
      <x:c r="N359" s="120"/>
      <x:c r="P359" s="120"/>
      <x:c r="Q359" s="121"/>
      <x:c r="S359" s="120"/>
      <x:c r="U359" s="120"/>
      <x:c r="V359" s="121"/>
      <x:c r="W359" s="122"/>
      <x:c r="X359" s="120"/>
      <x:c r="Y359" s="122"/>
      <x:c r="Z359" s="120"/>
      <x:c r="AA359" s="121"/>
      <x:c r="AB359" s="122"/>
      <x:c r="AC359" s="120"/>
      <x:c r="AD359" s="122"/>
      <x:c r="AE359" s="120"/>
      <x:c r="AF359" s="121"/>
      <x:c r="AG359" s="122"/>
      <x:c r="AH359" s="120"/>
      <x:c r="AI359" s="122"/>
      <x:c r="AJ359" s="120"/>
      <x:c r="AK359" s="121"/>
      <x:c r="AL359" s="122"/>
      <x:c r="AM359" s="120"/>
      <x:c r="AN359" s="122"/>
      <x:c r="AO359" s="120"/>
      <x:c r="AP359" s="121"/>
      <x:c r="AQ359" s="122"/>
      <x:c r="AR359" s="120"/>
      <x:c r="AS359" s="122"/>
      <x:c r="AT359" s="120"/>
      <x:c r="AU359" s="121"/>
      <x:c r="AV359" s="122"/>
      <x:c r="AW359" s="120"/>
      <x:c r="AX359" s="122"/>
      <x:c r="AY359" s="120"/>
      <x:c r="AZ359" s="121"/>
      <x:c r="BA359" s="122"/>
      <x:c r="BB359" s="120"/>
      <x:c r="BC359" s="122"/>
      <x:c r="BD359" s="120"/>
      <x:c r="BE359" s="121"/>
      <x:c r="BF359" s="122"/>
      <x:c r="BG359" s="120"/>
      <x:c r="BH359" s="122"/>
      <x:c r="BI359" s="120"/>
      <x:c r="BJ359" s="121"/>
    </x:row>
    <x:row r="360" ht="15.75" customHeight="1">
      <x:c r="N360" s="120"/>
      <x:c r="P360" s="120"/>
      <x:c r="Q360" s="121"/>
      <x:c r="S360" s="120"/>
      <x:c r="U360" s="120"/>
      <x:c r="V360" s="121"/>
      <x:c r="W360" s="122"/>
      <x:c r="X360" s="120"/>
      <x:c r="Y360" s="122"/>
      <x:c r="Z360" s="120"/>
      <x:c r="AA360" s="121"/>
      <x:c r="AB360" s="122"/>
      <x:c r="AC360" s="120"/>
      <x:c r="AD360" s="122"/>
      <x:c r="AE360" s="120"/>
      <x:c r="AF360" s="121"/>
      <x:c r="AG360" s="122"/>
      <x:c r="AH360" s="120"/>
      <x:c r="AI360" s="122"/>
      <x:c r="AJ360" s="120"/>
      <x:c r="AK360" s="121"/>
      <x:c r="AL360" s="122"/>
      <x:c r="AM360" s="120"/>
      <x:c r="AN360" s="122"/>
      <x:c r="AO360" s="120"/>
      <x:c r="AP360" s="121"/>
      <x:c r="AQ360" s="122"/>
      <x:c r="AR360" s="120"/>
      <x:c r="AS360" s="122"/>
      <x:c r="AT360" s="120"/>
      <x:c r="AU360" s="121"/>
      <x:c r="AV360" s="122"/>
      <x:c r="AW360" s="120"/>
      <x:c r="AX360" s="122"/>
      <x:c r="AY360" s="120"/>
      <x:c r="AZ360" s="121"/>
      <x:c r="BA360" s="122"/>
      <x:c r="BB360" s="120"/>
      <x:c r="BC360" s="122"/>
      <x:c r="BD360" s="120"/>
      <x:c r="BE360" s="121"/>
      <x:c r="BF360" s="122"/>
      <x:c r="BG360" s="120"/>
      <x:c r="BH360" s="122"/>
      <x:c r="BI360" s="120"/>
      <x:c r="BJ360" s="121"/>
    </x:row>
    <x:row r="361" ht="15.75" customHeight="1">
      <x:c r="N361" s="120"/>
      <x:c r="P361" s="120"/>
      <x:c r="Q361" s="121"/>
      <x:c r="S361" s="120"/>
      <x:c r="U361" s="120"/>
      <x:c r="V361" s="121"/>
      <x:c r="W361" s="122"/>
      <x:c r="X361" s="120"/>
      <x:c r="Y361" s="122"/>
      <x:c r="Z361" s="120"/>
      <x:c r="AA361" s="121"/>
      <x:c r="AB361" s="122"/>
      <x:c r="AC361" s="120"/>
      <x:c r="AD361" s="122"/>
      <x:c r="AE361" s="120"/>
      <x:c r="AF361" s="121"/>
      <x:c r="AG361" s="122"/>
      <x:c r="AH361" s="120"/>
      <x:c r="AI361" s="122"/>
      <x:c r="AJ361" s="120"/>
      <x:c r="AK361" s="121"/>
      <x:c r="AL361" s="122"/>
      <x:c r="AM361" s="120"/>
      <x:c r="AN361" s="122"/>
      <x:c r="AO361" s="120"/>
      <x:c r="AP361" s="121"/>
      <x:c r="AQ361" s="122"/>
      <x:c r="AR361" s="120"/>
      <x:c r="AS361" s="122"/>
      <x:c r="AT361" s="120"/>
      <x:c r="AU361" s="121"/>
      <x:c r="AV361" s="122"/>
      <x:c r="AW361" s="120"/>
      <x:c r="AX361" s="122"/>
      <x:c r="AY361" s="120"/>
      <x:c r="AZ361" s="121"/>
      <x:c r="BA361" s="122"/>
      <x:c r="BB361" s="120"/>
      <x:c r="BC361" s="122"/>
      <x:c r="BD361" s="120"/>
      <x:c r="BE361" s="121"/>
      <x:c r="BF361" s="122"/>
      <x:c r="BG361" s="120"/>
      <x:c r="BH361" s="122"/>
      <x:c r="BI361" s="120"/>
      <x:c r="BJ361" s="121"/>
    </x:row>
    <x:row r="362" ht="15.75" customHeight="1">
      <x:c r="N362" s="120"/>
      <x:c r="P362" s="120"/>
      <x:c r="Q362" s="121"/>
      <x:c r="S362" s="120"/>
      <x:c r="U362" s="120"/>
      <x:c r="V362" s="121"/>
      <x:c r="W362" s="122"/>
      <x:c r="X362" s="120"/>
      <x:c r="Y362" s="122"/>
      <x:c r="Z362" s="120"/>
      <x:c r="AA362" s="121"/>
      <x:c r="AB362" s="122"/>
      <x:c r="AC362" s="120"/>
      <x:c r="AD362" s="122"/>
      <x:c r="AE362" s="120"/>
      <x:c r="AF362" s="121"/>
      <x:c r="AG362" s="122"/>
      <x:c r="AH362" s="120"/>
      <x:c r="AI362" s="122"/>
      <x:c r="AJ362" s="120"/>
      <x:c r="AK362" s="121"/>
      <x:c r="AL362" s="122"/>
      <x:c r="AM362" s="120"/>
      <x:c r="AN362" s="122"/>
      <x:c r="AO362" s="120"/>
      <x:c r="AP362" s="121"/>
      <x:c r="AQ362" s="122"/>
      <x:c r="AR362" s="120"/>
      <x:c r="AS362" s="122"/>
      <x:c r="AT362" s="120"/>
      <x:c r="AU362" s="121"/>
      <x:c r="AV362" s="122"/>
      <x:c r="AW362" s="120"/>
      <x:c r="AX362" s="122"/>
      <x:c r="AY362" s="120"/>
      <x:c r="AZ362" s="121"/>
      <x:c r="BA362" s="122"/>
      <x:c r="BB362" s="120"/>
      <x:c r="BC362" s="122"/>
      <x:c r="BD362" s="120"/>
      <x:c r="BE362" s="121"/>
      <x:c r="BF362" s="122"/>
      <x:c r="BG362" s="120"/>
      <x:c r="BH362" s="122"/>
      <x:c r="BI362" s="120"/>
      <x:c r="BJ362" s="121"/>
    </x:row>
    <x:row r="363" ht="15.75" customHeight="1">
      <x:c r="N363" s="120"/>
      <x:c r="P363" s="120"/>
      <x:c r="Q363" s="121"/>
      <x:c r="S363" s="120"/>
      <x:c r="U363" s="120"/>
      <x:c r="V363" s="121"/>
      <x:c r="W363" s="122"/>
      <x:c r="X363" s="120"/>
      <x:c r="Y363" s="122"/>
      <x:c r="Z363" s="120"/>
      <x:c r="AA363" s="121"/>
      <x:c r="AB363" s="122"/>
      <x:c r="AC363" s="120"/>
      <x:c r="AD363" s="122"/>
      <x:c r="AE363" s="120"/>
      <x:c r="AF363" s="121"/>
      <x:c r="AG363" s="122"/>
      <x:c r="AH363" s="120"/>
      <x:c r="AI363" s="122"/>
      <x:c r="AJ363" s="120"/>
      <x:c r="AK363" s="121"/>
      <x:c r="AL363" s="122"/>
      <x:c r="AM363" s="120"/>
      <x:c r="AN363" s="122"/>
      <x:c r="AO363" s="120"/>
      <x:c r="AP363" s="121"/>
      <x:c r="AQ363" s="122"/>
      <x:c r="AR363" s="120"/>
      <x:c r="AS363" s="122"/>
      <x:c r="AT363" s="120"/>
      <x:c r="AU363" s="121"/>
      <x:c r="AV363" s="122"/>
      <x:c r="AW363" s="120"/>
      <x:c r="AX363" s="122"/>
      <x:c r="AY363" s="120"/>
      <x:c r="AZ363" s="121"/>
      <x:c r="BA363" s="122"/>
      <x:c r="BB363" s="120"/>
      <x:c r="BC363" s="122"/>
      <x:c r="BD363" s="120"/>
      <x:c r="BE363" s="121"/>
      <x:c r="BF363" s="122"/>
      <x:c r="BG363" s="120"/>
      <x:c r="BH363" s="122"/>
      <x:c r="BI363" s="120"/>
      <x:c r="BJ363" s="121"/>
    </x:row>
    <x:row r="364" ht="15.75" customHeight="1">
      <x:c r="N364" s="120"/>
      <x:c r="P364" s="120"/>
      <x:c r="Q364" s="121"/>
      <x:c r="S364" s="120"/>
      <x:c r="U364" s="120"/>
      <x:c r="V364" s="121"/>
      <x:c r="W364" s="122"/>
      <x:c r="X364" s="120"/>
      <x:c r="Y364" s="122"/>
      <x:c r="Z364" s="120"/>
      <x:c r="AA364" s="121"/>
      <x:c r="AB364" s="122"/>
      <x:c r="AC364" s="120"/>
      <x:c r="AD364" s="122"/>
      <x:c r="AE364" s="120"/>
      <x:c r="AF364" s="121"/>
      <x:c r="AG364" s="122"/>
      <x:c r="AH364" s="120"/>
      <x:c r="AI364" s="122"/>
      <x:c r="AJ364" s="120"/>
      <x:c r="AK364" s="121"/>
      <x:c r="AL364" s="122"/>
      <x:c r="AM364" s="120"/>
      <x:c r="AN364" s="122"/>
      <x:c r="AO364" s="120"/>
      <x:c r="AP364" s="121"/>
      <x:c r="AQ364" s="122"/>
      <x:c r="AR364" s="120"/>
      <x:c r="AS364" s="122"/>
      <x:c r="AT364" s="120"/>
      <x:c r="AU364" s="121"/>
      <x:c r="AV364" s="122"/>
      <x:c r="AW364" s="120"/>
      <x:c r="AX364" s="122"/>
      <x:c r="AY364" s="120"/>
      <x:c r="AZ364" s="121"/>
      <x:c r="BA364" s="122"/>
      <x:c r="BB364" s="120"/>
      <x:c r="BC364" s="122"/>
      <x:c r="BD364" s="120"/>
      <x:c r="BE364" s="121"/>
      <x:c r="BF364" s="122"/>
      <x:c r="BG364" s="120"/>
      <x:c r="BH364" s="122"/>
      <x:c r="BI364" s="120"/>
      <x:c r="BJ364" s="121"/>
    </x:row>
    <x:row r="365" ht="15.75" customHeight="1">
      <x:c r="N365" s="120"/>
      <x:c r="P365" s="120"/>
      <x:c r="Q365" s="121"/>
      <x:c r="S365" s="120"/>
      <x:c r="U365" s="120"/>
      <x:c r="V365" s="121"/>
      <x:c r="W365" s="122"/>
      <x:c r="X365" s="120"/>
      <x:c r="Y365" s="122"/>
      <x:c r="Z365" s="120"/>
      <x:c r="AA365" s="121"/>
      <x:c r="AB365" s="122"/>
      <x:c r="AC365" s="120"/>
      <x:c r="AD365" s="122"/>
      <x:c r="AE365" s="120"/>
      <x:c r="AF365" s="121"/>
      <x:c r="AG365" s="122"/>
      <x:c r="AH365" s="120"/>
      <x:c r="AI365" s="122"/>
      <x:c r="AJ365" s="120"/>
      <x:c r="AK365" s="121"/>
      <x:c r="AL365" s="122"/>
      <x:c r="AM365" s="120"/>
      <x:c r="AN365" s="122"/>
      <x:c r="AO365" s="120"/>
      <x:c r="AP365" s="121"/>
      <x:c r="AQ365" s="122"/>
      <x:c r="AR365" s="120"/>
      <x:c r="AS365" s="122"/>
      <x:c r="AT365" s="120"/>
      <x:c r="AU365" s="121"/>
      <x:c r="AV365" s="122"/>
      <x:c r="AW365" s="120"/>
      <x:c r="AX365" s="122"/>
      <x:c r="AY365" s="120"/>
      <x:c r="AZ365" s="121"/>
      <x:c r="BA365" s="122"/>
      <x:c r="BB365" s="120"/>
      <x:c r="BC365" s="122"/>
      <x:c r="BD365" s="120"/>
      <x:c r="BE365" s="121"/>
      <x:c r="BF365" s="122"/>
      <x:c r="BG365" s="120"/>
      <x:c r="BH365" s="122"/>
      <x:c r="BI365" s="120"/>
      <x:c r="BJ365" s="121"/>
    </x:row>
    <x:row r="366" ht="15.75" customHeight="1">
      <x:c r="N366" s="120"/>
      <x:c r="P366" s="120"/>
      <x:c r="Q366" s="121"/>
      <x:c r="S366" s="120"/>
      <x:c r="U366" s="120"/>
      <x:c r="V366" s="121"/>
      <x:c r="W366" s="122"/>
      <x:c r="X366" s="120"/>
      <x:c r="Y366" s="122"/>
      <x:c r="Z366" s="120"/>
      <x:c r="AA366" s="121"/>
      <x:c r="AB366" s="122"/>
      <x:c r="AC366" s="120"/>
      <x:c r="AD366" s="122"/>
      <x:c r="AE366" s="120"/>
      <x:c r="AF366" s="121"/>
      <x:c r="AG366" s="122"/>
      <x:c r="AH366" s="120"/>
      <x:c r="AI366" s="122"/>
      <x:c r="AJ366" s="120"/>
      <x:c r="AK366" s="121"/>
      <x:c r="AL366" s="122"/>
      <x:c r="AM366" s="120"/>
      <x:c r="AN366" s="122"/>
      <x:c r="AO366" s="120"/>
      <x:c r="AP366" s="121"/>
      <x:c r="AQ366" s="122"/>
      <x:c r="AR366" s="120"/>
      <x:c r="AS366" s="122"/>
      <x:c r="AT366" s="120"/>
      <x:c r="AU366" s="121"/>
      <x:c r="AV366" s="122"/>
      <x:c r="AW366" s="120"/>
      <x:c r="AX366" s="122"/>
      <x:c r="AY366" s="120"/>
      <x:c r="AZ366" s="121"/>
      <x:c r="BA366" s="122"/>
      <x:c r="BB366" s="120"/>
      <x:c r="BC366" s="122"/>
      <x:c r="BD366" s="120"/>
      <x:c r="BE366" s="121"/>
      <x:c r="BF366" s="122"/>
      <x:c r="BG366" s="120"/>
      <x:c r="BH366" s="122"/>
      <x:c r="BI366" s="120"/>
      <x:c r="BJ366" s="121"/>
    </x:row>
    <x:row r="367" ht="15.75" customHeight="1">
      <x:c r="N367" s="120"/>
      <x:c r="P367" s="120"/>
      <x:c r="Q367" s="121"/>
      <x:c r="S367" s="120"/>
      <x:c r="U367" s="120"/>
      <x:c r="V367" s="121"/>
      <x:c r="W367" s="122"/>
      <x:c r="X367" s="120"/>
      <x:c r="Y367" s="122"/>
      <x:c r="Z367" s="120"/>
      <x:c r="AA367" s="121"/>
      <x:c r="AB367" s="122"/>
      <x:c r="AC367" s="120"/>
      <x:c r="AD367" s="122"/>
      <x:c r="AE367" s="120"/>
      <x:c r="AF367" s="121"/>
      <x:c r="AG367" s="122"/>
      <x:c r="AH367" s="120"/>
      <x:c r="AI367" s="122"/>
      <x:c r="AJ367" s="120"/>
      <x:c r="AK367" s="121"/>
      <x:c r="AL367" s="122"/>
      <x:c r="AM367" s="120"/>
      <x:c r="AN367" s="122"/>
      <x:c r="AO367" s="120"/>
      <x:c r="AP367" s="121"/>
      <x:c r="AQ367" s="122"/>
      <x:c r="AR367" s="120"/>
      <x:c r="AS367" s="122"/>
      <x:c r="AT367" s="120"/>
      <x:c r="AU367" s="121"/>
      <x:c r="AV367" s="122"/>
      <x:c r="AW367" s="120"/>
      <x:c r="AX367" s="122"/>
      <x:c r="AY367" s="120"/>
      <x:c r="AZ367" s="121"/>
      <x:c r="BA367" s="122"/>
      <x:c r="BB367" s="120"/>
      <x:c r="BC367" s="122"/>
      <x:c r="BD367" s="120"/>
      <x:c r="BE367" s="121"/>
      <x:c r="BF367" s="122"/>
      <x:c r="BG367" s="120"/>
      <x:c r="BH367" s="122"/>
      <x:c r="BI367" s="120"/>
      <x:c r="BJ367" s="121"/>
    </x:row>
    <x:row r="368" ht="15.75" customHeight="1">
      <x:c r="N368" s="120"/>
      <x:c r="P368" s="120"/>
      <x:c r="Q368" s="121"/>
      <x:c r="S368" s="120"/>
      <x:c r="U368" s="120"/>
      <x:c r="V368" s="121"/>
      <x:c r="W368" s="122"/>
      <x:c r="X368" s="120"/>
      <x:c r="Y368" s="122"/>
      <x:c r="Z368" s="120"/>
      <x:c r="AA368" s="121"/>
      <x:c r="AB368" s="122"/>
      <x:c r="AC368" s="120"/>
      <x:c r="AD368" s="122"/>
      <x:c r="AE368" s="120"/>
      <x:c r="AF368" s="121"/>
      <x:c r="AG368" s="122"/>
      <x:c r="AH368" s="120"/>
      <x:c r="AI368" s="122"/>
      <x:c r="AJ368" s="120"/>
      <x:c r="AK368" s="121"/>
      <x:c r="AL368" s="122"/>
      <x:c r="AM368" s="120"/>
      <x:c r="AN368" s="122"/>
      <x:c r="AO368" s="120"/>
      <x:c r="AP368" s="121"/>
      <x:c r="AQ368" s="122"/>
      <x:c r="AR368" s="120"/>
      <x:c r="AS368" s="122"/>
      <x:c r="AT368" s="120"/>
      <x:c r="AU368" s="121"/>
      <x:c r="AV368" s="122"/>
      <x:c r="AW368" s="120"/>
      <x:c r="AX368" s="122"/>
      <x:c r="AY368" s="120"/>
      <x:c r="AZ368" s="121"/>
      <x:c r="BA368" s="122"/>
      <x:c r="BB368" s="120"/>
      <x:c r="BC368" s="122"/>
      <x:c r="BD368" s="120"/>
      <x:c r="BE368" s="121"/>
      <x:c r="BF368" s="122"/>
      <x:c r="BG368" s="120"/>
      <x:c r="BH368" s="122"/>
      <x:c r="BI368" s="120"/>
      <x:c r="BJ368" s="121"/>
    </x:row>
    <x:row r="369" ht="15.75" customHeight="1">
      <x:c r="N369" s="120"/>
      <x:c r="P369" s="120"/>
      <x:c r="Q369" s="121"/>
      <x:c r="S369" s="120"/>
      <x:c r="U369" s="120"/>
      <x:c r="V369" s="121"/>
      <x:c r="W369" s="122"/>
      <x:c r="X369" s="120"/>
      <x:c r="Y369" s="122"/>
      <x:c r="Z369" s="120"/>
      <x:c r="AA369" s="121"/>
      <x:c r="AB369" s="122"/>
      <x:c r="AC369" s="120"/>
      <x:c r="AD369" s="122"/>
      <x:c r="AE369" s="120"/>
      <x:c r="AF369" s="121"/>
      <x:c r="AG369" s="122"/>
      <x:c r="AH369" s="120"/>
      <x:c r="AI369" s="122"/>
      <x:c r="AJ369" s="120"/>
      <x:c r="AK369" s="121"/>
      <x:c r="AL369" s="122"/>
      <x:c r="AM369" s="120"/>
      <x:c r="AN369" s="122"/>
      <x:c r="AO369" s="120"/>
      <x:c r="AP369" s="121"/>
      <x:c r="AQ369" s="122"/>
      <x:c r="AR369" s="120"/>
      <x:c r="AS369" s="122"/>
      <x:c r="AT369" s="120"/>
      <x:c r="AU369" s="121"/>
      <x:c r="AV369" s="122"/>
      <x:c r="AW369" s="120"/>
      <x:c r="AX369" s="122"/>
      <x:c r="AY369" s="120"/>
      <x:c r="AZ369" s="121"/>
      <x:c r="BA369" s="122"/>
      <x:c r="BB369" s="120"/>
      <x:c r="BC369" s="122"/>
      <x:c r="BD369" s="120"/>
      <x:c r="BE369" s="121"/>
      <x:c r="BF369" s="122"/>
      <x:c r="BG369" s="120"/>
      <x:c r="BH369" s="122"/>
      <x:c r="BI369" s="120"/>
      <x:c r="BJ369" s="121"/>
    </x:row>
    <x:row r="370" ht="15.75" customHeight="1">
      <x:c r="N370" s="120"/>
      <x:c r="P370" s="120"/>
      <x:c r="Q370" s="121"/>
      <x:c r="S370" s="120"/>
      <x:c r="U370" s="120"/>
      <x:c r="V370" s="121"/>
      <x:c r="W370" s="122"/>
      <x:c r="X370" s="120"/>
      <x:c r="Y370" s="122"/>
      <x:c r="Z370" s="120"/>
      <x:c r="AA370" s="121"/>
      <x:c r="AB370" s="122"/>
      <x:c r="AC370" s="120"/>
      <x:c r="AD370" s="122"/>
      <x:c r="AE370" s="120"/>
      <x:c r="AF370" s="121"/>
      <x:c r="AG370" s="122"/>
      <x:c r="AH370" s="120"/>
      <x:c r="AI370" s="122"/>
      <x:c r="AJ370" s="120"/>
      <x:c r="AK370" s="121"/>
      <x:c r="AL370" s="122"/>
      <x:c r="AM370" s="120"/>
      <x:c r="AN370" s="122"/>
      <x:c r="AO370" s="120"/>
      <x:c r="AP370" s="121"/>
      <x:c r="AQ370" s="122"/>
      <x:c r="AR370" s="120"/>
      <x:c r="AS370" s="122"/>
      <x:c r="AT370" s="120"/>
      <x:c r="AU370" s="121"/>
      <x:c r="AV370" s="122"/>
      <x:c r="AW370" s="120"/>
      <x:c r="AX370" s="122"/>
      <x:c r="AY370" s="120"/>
      <x:c r="AZ370" s="121"/>
      <x:c r="BA370" s="122"/>
      <x:c r="BB370" s="120"/>
      <x:c r="BC370" s="122"/>
      <x:c r="BD370" s="120"/>
      <x:c r="BE370" s="121"/>
      <x:c r="BF370" s="122"/>
      <x:c r="BG370" s="120"/>
      <x:c r="BH370" s="122"/>
      <x:c r="BI370" s="120"/>
      <x:c r="BJ370" s="121"/>
    </x:row>
    <x:row r="371" ht="15.75" customHeight="1">
      <x:c r="N371" s="120"/>
      <x:c r="P371" s="120"/>
      <x:c r="Q371" s="121"/>
      <x:c r="S371" s="120"/>
      <x:c r="U371" s="120"/>
      <x:c r="V371" s="121"/>
      <x:c r="W371" s="122"/>
      <x:c r="X371" s="120"/>
      <x:c r="Y371" s="122"/>
      <x:c r="Z371" s="120"/>
      <x:c r="AA371" s="121"/>
      <x:c r="AB371" s="122"/>
      <x:c r="AC371" s="120"/>
      <x:c r="AD371" s="122"/>
      <x:c r="AE371" s="120"/>
      <x:c r="AF371" s="121"/>
      <x:c r="AG371" s="122"/>
      <x:c r="AH371" s="120"/>
      <x:c r="AI371" s="122"/>
      <x:c r="AJ371" s="120"/>
      <x:c r="AK371" s="121"/>
      <x:c r="AL371" s="122"/>
      <x:c r="AM371" s="120"/>
      <x:c r="AN371" s="122"/>
      <x:c r="AO371" s="120"/>
      <x:c r="AP371" s="121"/>
      <x:c r="AQ371" s="122"/>
      <x:c r="AR371" s="120"/>
      <x:c r="AS371" s="122"/>
      <x:c r="AT371" s="120"/>
      <x:c r="AU371" s="121"/>
      <x:c r="AV371" s="122"/>
      <x:c r="AW371" s="120"/>
      <x:c r="AX371" s="122"/>
      <x:c r="AY371" s="120"/>
      <x:c r="AZ371" s="121"/>
      <x:c r="BA371" s="122"/>
      <x:c r="BB371" s="120"/>
      <x:c r="BC371" s="122"/>
      <x:c r="BD371" s="120"/>
      <x:c r="BE371" s="121"/>
      <x:c r="BF371" s="122"/>
      <x:c r="BG371" s="120"/>
      <x:c r="BH371" s="122"/>
      <x:c r="BI371" s="120"/>
      <x:c r="BJ371" s="121"/>
    </x:row>
    <x:row r="372" ht="15.75" customHeight="1">
      <x:c r="N372" s="120"/>
      <x:c r="P372" s="120"/>
      <x:c r="Q372" s="121"/>
      <x:c r="S372" s="120"/>
      <x:c r="U372" s="120"/>
      <x:c r="V372" s="121"/>
      <x:c r="W372" s="122"/>
      <x:c r="X372" s="120"/>
      <x:c r="Y372" s="122"/>
      <x:c r="Z372" s="120"/>
      <x:c r="AA372" s="121"/>
      <x:c r="AB372" s="122"/>
      <x:c r="AC372" s="120"/>
      <x:c r="AD372" s="122"/>
      <x:c r="AE372" s="120"/>
      <x:c r="AF372" s="121"/>
      <x:c r="AG372" s="122"/>
      <x:c r="AH372" s="120"/>
      <x:c r="AI372" s="122"/>
      <x:c r="AJ372" s="120"/>
      <x:c r="AK372" s="121"/>
      <x:c r="AL372" s="122"/>
      <x:c r="AM372" s="120"/>
      <x:c r="AN372" s="122"/>
      <x:c r="AO372" s="120"/>
      <x:c r="AP372" s="121"/>
      <x:c r="AQ372" s="122"/>
      <x:c r="AR372" s="120"/>
      <x:c r="AS372" s="122"/>
      <x:c r="AT372" s="120"/>
      <x:c r="AU372" s="121"/>
      <x:c r="AV372" s="122"/>
      <x:c r="AW372" s="120"/>
      <x:c r="AX372" s="122"/>
      <x:c r="AY372" s="120"/>
      <x:c r="AZ372" s="121"/>
      <x:c r="BA372" s="122"/>
      <x:c r="BB372" s="120"/>
      <x:c r="BC372" s="122"/>
      <x:c r="BD372" s="120"/>
      <x:c r="BE372" s="121"/>
      <x:c r="BF372" s="122"/>
      <x:c r="BG372" s="120"/>
      <x:c r="BH372" s="122"/>
      <x:c r="BI372" s="120"/>
      <x:c r="BJ372" s="121"/>
    </x:row>
    <x:row r="373" ht="15.75" customHeight="1">
      <x:c r="N373" s="120"/>
      <x:c r="P373" s="120"/>
      <x:c r="Q373" s="121"/>
      <x:c r="S373" s="120"/>
      <x:c r="U373" s="120"/>
      <x:c r="V373" s="121"/>
      <x:c r="W373" s="122"/>
      <x:c r="X373" s="120"/>
      <x:c r="Y373" s="122"/>
      <x:c r="Z373" s="120"/>
      <x:c r="AA373" s="121"/>
      <x:c r="AB373" s="122"/>
      <x:c r="AC373" s="120"/>
      <x:c r="AD373" s="122"/>
      <x:c r="AE373" s="120"/>
      <x:c r="AF373" s="121"/>
      <x:c r="AG373" s="122"/>
      <x:c r="AH373" s="120"/>
      <x:c r="AI373" s="122"/>
      <x:c r="AJ373" s="120"/>
      <x:c r="AK373" s="121"/>
      <x:c r="AL373" s="122"/>
      <x:c r="AM373" s="120"/>
      <x:c r="AN373" s="122"/>
      <x:c r="AO373" s="120"/>
      <x:c r="AP373" s="121"/>
      <x:c r="AQ373" s="122"/>
      <x:c r="AR373" s="120"/>
      <x:c r="AS373" s="122"/>
      <x:c r="AT373" s="120"/>
      <x:c r="AU373" s="121"/>
      <x:c r="AV373" s="122"/>
      <x:c r="AW373" s="120"/>
      <x:c r="AX373" s="122"/>
      <x:c r="AY373" s="120"/>
      <x:c r="AZ373" s="121"/>
      <x:c r="BA373" s="122"/>
      <x:c r="BB373" s="120"/>
      <x:c r="BC373" s="122"/>
      <x:c r="BD373" s="120"/>
      <x:c r="BE373" s="121"/>
      <x:c r="BF373" s="122"/>
      <x:c r="BG373" s="120"/>
      <x:c r="BH373" s="122"/>
      <x:c r="BI373" s="120"/>
      <x:c r="BJ373" s="121"/>
    </x:row>
    <x:row r="374" ht="15.75" customHeight="1">
      <x:c r="N374" s="120"/>
      <x:c r="P374" s="120"/>
      <x:c r="Q374" s="121"/>
      <x:c r="S374" s="120"/>
      <x:c r="U374" s="120"/>
      <x:c r="V374" s="121"/>
      <x:c r="W374" s="122"/>
      <x:c r="X374" s="120"/>
      <x:c r="Y374" s="122"/>
      <x:c r="Z374" s="120"/>
      <x:c r="AA374" s="121"/>
      <x:c r="AB374" s="122"/>
      <x:c r="AC374" s="120"/>
      <x:c r="AD374" s="122"/>
      <x:c r="AE374" s="120"/>
      <x:c r="AF374" s="121"/>
      <x:c r="AG374" s="122"/>
      <x:c r="AH374" s="120"/>
      <x:c r="AI374" s="122"/>
      <x:c r="AJ374" s="120"/>
      <x:c r="AK374" s="121"/>
      <x:c r="AL374" s="122"/>
      <x:c r="AM374" s="120"/>
      <x:c r="AN374" s="122"/>
      <x:c r="AO374" s="120"/>
      <x:c r="AP374" s="121"/>
      <x:c r="AQ374" s="122"/>
      <x:c r="AR374" s="120"/>
      <x:c r="AS374" s="122"/>
      <x:c r="AT374" s="120"/>
      <x:c r="AU374" s="121"/>
      <x:c r="AV374" s="122"/>
      <x:c r="AW374" s="120"/>
      <x:c r="AX374" s="122"/>
      <x:c r="AY374" s="120"/>
      <x:c r="AZ374" s="121"/>
      <x:c r="BA374" s="122"/>
      <x:c r="BB374" s="120"/>
      <x:c r="BC374" s="122"/>
      <x:c r="BD374" s="120"/>
      <x:c r="BE374" s="121"/>
      <x:c r="BF374" s="122"/>
      <x:c r="BG374" s="120"/>
      <x:c r="BH374" s="122"/>
      <x:c r="BI374" s="120"/>
      <x:c r="BJ374" s="121"/>
    </x:row>
    <x:row r="375" ht="15.75" customHeight="1">
      <x:c r="N375" s="120"/>
      <x:c r="P375" s="120"/>
      <x:c r="Q375" s="121"/>
      <x:c r="S375" s="120"/>
      <x:c r="U375" s="120"/>
      <x:c r="V375" s="121"/>
      <x:c r="W375" s="122"/>
      <x:c r="X375" s="120"/>
      <x:c r="Y375" s="122"/>
      <x:c r="Z375" s="120"/>
      <x:c r="AA375" s="121"/>
      <x:c r="AB375" s="122"/>
      <x:c r="AC375" s="120"/>
      <x:c r="AD375" s="122"/>
      <x:c r="AE375" s="120"/>
      <x:c r="AF375" s="121"/>
      <x:c r="AG375" s="122"/>
      <x:c r="AH375" s="120"/>
      <x:c r="AI375" s="122"/>
      <x:c r="AJ375" s="120"/>
      <x:c r="AK375" s="121"/>
      <x:c r="AL375" s="122"/>
      <x:c r="AM375" s="120"/>
      <x:c r="AN375" s="122"/>
      <x:c r="AO375" s="120"/>
      <x:c r="AP375" s="121"/>
      <x:c r="AQ375" s="122"/>
      <x:c r="AR375" s="120"/>
      <x:c r="AS375" s="122"/>
      <x:c r="AT375" s="120"/>
      <x:c r="AU375" s="121"/>
      <x:c r="AV375" s="122"/>
      <x:c r="AW375" s="120"/>
      <x:c r="AX375" s="122"/>
      <x:c r="AY375" s="120"/>
      <x:c r="AZ375" s="121"/>
      <x:c r="BA375" s="122"/>
      <x:c r="BB375" s="120"/>
      <x:c r="BC375" s="122"/>
      <x:c r="BD375" s="120"/>
      <x:c r="BE375" s="121"/>
      <x:c r="BF375" s="122"/>
      <x:c r="BG375" s="120"/>
      <x:c r="BH375" s="122"/>
      <x:c r="BI375" s="120"/>
      <x:c r="BJ375" s="121"/>
    </x:row>
    <x:row r="376" ht="15.75" customHeight="1">
      <x:c r="N376" s="120"/>
      <x:c r="P376" s="120"/>
      <x:c r="Q376" s="121"/>
      <x:c r="S376" s="120"/>
      <x:c r="U376" s="120"/>
      <x:c r="V376" s="121"/>
      <x:c r="W376" s="122"/>
      <x:c r="X376" s="120"/>
      <x:c r="Y376" s="122"/>
      <x:c r="Z376" s="120"/>
      <x:c r="AA376" s="121"/>
      <x:c r="AB376" s="122"/>
      <x:c r="AC376" s="120"/>
      <x:c r="AD376" s="122"/>
      <x:c r="AE376" s="120"/>
      <x:c r="AF376" s="121"/>
      <x:c r="AG376" s="122"/>
      <x:c r="AH376" s="120"/>
      <x:c r="AI376" s="122"/>
      <x:c r="AJ376" s="120"/>
      <x:c r="AK376" s="121"/>
      <x:c r="AL376" s="122"/>
      <x:c r="AM376" s="120"/>
      <x:c r="AN376" s="122"/>
      <x:c r="AO376" s="120"/>
      <x:c r="AP376" s="121"/>
      <x:c r="AQ376" s="122"/>
      <x:c r="AR376" s="120"/>
      <x:c r="AS376" s="122"/>
      <x:c r="AT376" s="120"/>
      <x:c r="AU376" s="121"/>
      <x:c r="AV376" s="122"/>
      <x:c r="AW376" s="120"/>
      <x:c r="AX376" s="122"/>
      <x:c r="AY376" s="120"/>
      <x:c r="AZ376" s="121"/>
      <x:c r="BA376" s="122"/>
      <x:c r="BB376" s="120"/>
      <x:c r="BC376" s="122"/>
      <x:c r="BD376" s="120"/>
      <x:c r="BE376" s="121"/>
      <x:c r="BF376" s="122"/>
      <x:c r="BG376" s="120"/>
      <x:c r="BH376" s="122"/>
      <x:c r="BI376" s="120"/>
      <x:c r="BJ376" s="121"/>
    </x:row>
    <x:row r="377" ht="15.75" customHeight="1">
      <x:c r="N377" s="120"/>
      <x:c r="P377" s="120"/>
      <x:c r="Q377" s="121"/>
      <x:c r="S377" s="120"/>
      <x:c r="U377" s="120"/>
      <x:c r="V377" s="121"/>
      <x:c r="W377" s="122"/>
      <x:c r="X377" s="120"/>
      <x:c r="Y377" s="122"/>
      <x:c r="Z377" s="120"/>
      <x:c r="AA377" s="121"/>
      <x:c r="AB377" s="122"/>
      <x:c r="AC377" s="120"/>
      <x:c r="AD377" s="122"/>
      <x:c r="AE377" s="120"/>
      <x:c r="AF377" s="121"/>
      <x:c r="AG377" s="122"/>
      <x:c r="AH377" s="120"/>
      <x:c r="AI377" s="122"/>
      <x:c r="AJ377" s="120"/>
      <x:c r="AK377" s="121"/>
      <x:c r="AL377" s="122"/>
      <x:c r="AM377" s="120"/>
      <x:c r="AN377" s="122"/>
      <x:c r="AO377" s="120"/>
      <x:c r="AP377" s="121"/>
      <x:c r="AQ377" s="122"/>
      <x:c r="AR377" s="120"/>
      <x:c r="AS377" s="122"/>
      <x:c r="AT377" s="120"/>
      <x:c r="AU377" s="121"/>
      <x:c r="AV377" s="122"/>
      <x:c r="AW377" s="120"/>
      <x:c r="AX377" s="122"/>
      <x:c r="AY377" s="120"/>
      <x:c r="AZ377" s="121"/>
      <x:c r="BA377" s="122"/>
      <x:c r="BB377" s="120"/>
      <x:c r="BC377" s="122"/>
      <x:c r="BD377" s="120"/>
      <x:c r="BE377" s="121"/>
      <x:c r="BF377" s="122"/>
      <x:c r="BG377" s="120"/>
      <x:c r="BH377" s="122"/>
      <x:c r="BI377" s="120"/>
      <x:c r="BJ377" s="121"/>
    </x:row>
    <x:row r="378" ht="15.75" customHeight="1">
      <x:c r="N378" s="120"/>
      <x:c r="P378" s="120"/>
      <x:c r="Q378" s="121"/>
      <x:c r="S378" s="120"/>
      <x:c r="U378" s="120"/>
      <x:c r="V378" s="121"/>
      <x:c r="W378" s="122"/>
      <x:c r="X378" s="120"/>
      <x:c r="Y378" s="122"/>
      <x:c r="Z378" s="120"/>
      <x:c r="AA378" s="121"/>
      <x:c r="AB378" s="122"/>
      <x:c r="AC378" s="120"/>
      <x:c r="AD378" s="122"/>
      <x:c r="AE378" s="120"/>
      <x:c r="AF378" s="121"/>
      <x:c r="AG378" s="122"/>
      <x:c r="AH378" s="120"/>
      <x:c r="AI378" s="122"/>
      <x:c r="AJ378" s="120"/>
      <x:c r="AK378" s="121"/>
      <x:c r="AL378" s="122"/>
      <x:c r="AM378" s="120"/>
      <x:c r="AN378" s="122"/>
      <x:c r="AO378" s="120"/>
      <x:c r="AP378" s="121"/>
      <x:c r="AQ378" s="122"/>
      <x:c r="AR378" s="120"/>
      <x:c r="AS378" s="122"/>
      <x:c r="AT378" s="120"/>
      <x:c r="AU378" s="121"/>
      <x:c r="AV378" s="122"/>
      <x:c r="AW378" s="120"/>
      <x:c r="AX378" s="122"/>
      <x:c r="AY378" s="120"/>
      <x:c r="AZ378" s="121"/>
      <x:c r="BA378" s="122"/>
      <x:c r="BB378" s="120"/>
      <x:c r="BC378" s="122"/>
      <x:c r="BD378" s="120"/>
      <x:c r="BE378" s="121"/>
      <x:c r="BF378" s="122"/>
      <x:c r="BG378" s="120"/>
      <x:c r="BH378" s="122"/>
      <x:c r="BI378" s="120"/>
      <x:c r="BJ378" s="121"/>
    </x:row>
    <x:row r="379" ht="15.75" customHeight="1">
      <x:c r="N379" s="120"/>
      <x:c r="P379" s="120"/>
      <x:c r="Q379" s="121"/>
      <x:c r="S379" s="120"/>
      <x:c r="U379" s="120"/>
      <x:c r="V379" s="121"/>
      <x:c r="W379" s="122"/>
      <x:c r="X379" s="120"/>
      <x:c r="Y379" s="122"/>
      <x:c r="Z379" s="120"/>
      <x:c r="AA379" s="121"/>
      <x:c r="AB379" s="122"/>
      <x:c r="AC379" s="120"/>
      <x:c r="AD379" s="122"/>
      <x:c r="AE379" s="120"/>
      <x:c r="AF379" s="121"/>
      <x:c r="AG379" s="122"/>
      <x:c r="AH379" s="120"/>
      <x:c r="AI379" s="122"/>
      <x:c r="AJ379" s="120"/>
      <x:c r="AK379" s="121"/>
      <x:c r="AL379" s="122"/>
      <x:c r="AM379" s="120"/>
      <x:c r="AN379" s="122"/>
      <x:c r="AO379" s="120"/>
      <x:c r="AP379" s="121"/>
      <x:c r="AQ379" s="122"/>
      <x:c r="AR379" s="120"/>
      <x:c r="AS379" s="122"/>
      <x:c r="AT379" s="120"/>
      <x:c r="AU379" s="121"/>
      <x:c r="AV379" s="122"/>
      <x:c r="AW379" s="120"/>
      <x:c r="AX379" s="122"/>
      <x:c r="AY379" s="120"/>
      <x:c r="AZ379" s="121"/>
      <x:c r="BA379" s="122"/>
      <x:c r="BB379" s="120"/>
      <x:c r="BC379" s="122"/>
      <x:c r="BD379" s="120"/>
      <x:c r="BE379" s="121"/>
      <x:c r="BF379" s="122"/>
      <x:c r="BG379" s="120"/>
      <x:c r="BH379" s="122"/>
      <x:c r="BI379" s="120"/>
      <x:c r="BJ379" s="121"/>
    </x:row>
    <x:row r="380" ht="15.75" customHeight="1">
      <x:c r="N380" s="120"/>
      <x:c r="P380" s="120"/>
      <x:c r="Q380" s="121"/>
      <x:c r="S380" s="120"/>
      <x:c r="U380" s="120"/>
      <x:c r="V380" s="121"/>
      <x:c r="W380" s="122"/>
      <x:c r="X380" s="120"/>
      <x:c r="Y380" s="122"/>
      <x:c r="Z380" s="120"/>
      <x:c r="AA380" s="121"/>
      <x:c r="AB380" s="122"/>
      <x:c r="AC380" s="120"/>
      <x:c r="AD380" s="122"/>
      <x:c r="AE380" s="120"/>
      <x:c r="AF380" s="121"/>
      <x:c r="AG380" s="122"/>
      <x:c r="AH380" s="120"/>
      <x:c r="AI380" s="122"/>
      <x:c r="AJ380" s="120"/>
      <x:c r="AK380" s="121"/>
      <x:c r="AL380" s="122"/>
      <x:c r="AM380" s="120"/>
      <x:c r="AN380" s="122"/>
      <x:c r="AO380" s="120"/>
      <x:c r="AP380" s="121"/>
      <x:c r="AQ380" s="122"/>
      <x:c r="AR380" s="120"/>
      <x:c r="AS380" s="122"/>
      <x:c r="AT380" s="120"/>
      <x:c r="AU380" s="121"/>
      <x:c r="AV380" s="122"/>
      <x:c r="AW380" s="120"/>
      <x:c r="AX380" s="122"/>
      <x:c r="AY380" s="120"/>
      <x:c r="AZ380" s="121"/>
      <x:c r="BA380" s="122"/>
      <x:c r="BB380" s="120"/>
      <x:c r="BC380" s="122"/>
      <x:c r="BD380" s="120"/>
      <x:c r="BE380" s="121"/>
      <x:c r="BF380" s="122"/>
      <x:c r="BG380" s="120"/>
      <x:c r="BH380" s="122"/>
      <x:c r="BI380" s="120"/>
      <x:c r="BJ380" s="121"/>
    </x:row>
    <x:row r="381" ht="15.75" customHeight="1">
      <x:c r="N381" s="120"/>
      <x:c r="P381" s="120"/>
      <x:c r="Q381" s="121"/>
      <x:c r="S381" s="120"/>
      <x:c r="U381" s="120"/>
      <x:c r="V381" s="121"/>
      <x:c r="W381" s="122"/>
      <x:c r="X381" s="120"/>
      <x:c r="Y381" s="122"/>
      <x:c r="Z381" s="120"/>
      <x:c r="AA381" s="121"/>
      <x:c r="AB381" s="122"/>
      <x:c r="AC381" s="120"/>
      <x:c r="AD381" s="122"/>
      <x:c r="AE381" s="120"/>
      <x:c r="AF381" s="121"/>
      <x:c r="AG381" s="122"/>
      <x:c r="AH381" s="120"/>
      <x:c r="AI381" s="122"/>
      <x:c r="AJ381" s="120"/>
      <x:c r="AK381" s="121"/>
      <x:c r="AL381" s="122"/>
      <x:c r="AM381" s="120"/>
      <x:c r="AN381" s="122"/>
      <x:c r="AO381" s="120"/>
      <x:c r="AP381" s="121"/>
      <x:c r="AQ381" s="122"/>
      <x:c r="AR381" s="120"/>
      <x:c r="AS381" s="122"/>
      <x:c r="AT381" s="120"/>
      <x:c r="AU381" s="121"/>
      <x:c r="AV381" s="122"/>
      <x:c r="AW381" s="120"/>
      <x:c r="AX381" s="122"/>
      <x:c r="AY381" s="120"/>
      <x:c r="AZ381" s="121"/>
      <x:c r="BA381" s="122"/>
      <x:c r="BB381" s="120"/>
      <x:c r="BC381" s="122"/>
      <x:c r="BD381" s="120"/>
      <x:c r="BE381" s="121"/>
      <x:c r="BF381" s="122"/>
      <x:c r="BG381" s="120"/>
      <x:c r="BH381" s="122"/>
      <x:c r="BI381" s="120"/>
      <x:c r="BJ381" s="121"/>
    </x:row>
    <x:row r="382" ht="15.75" customHeight="1">
      <x:c r="N382" s="120"/>
      <x:c r="P382" s="120"/>
      <x:c r="Q382" s="121"/>
      <x:c r="S382" s="120"/>
      <x:c r="U382" s="120"/>
      <x:c r="V382" s="121"/>
      <x:c r="W382" s="122"/>
      <x:c r="X382" s="120"/>
      <x:c r="Y382" s="122"/>
      <x:c r="Z382" s="120"/>
      <x:c r="AA382" s="121"/>
      <x:c r="AB382" s="122"/>
      <x:c r="AC382" s="120"/>
      <x:c r="AD382" s="122"/>
      <x:c r="AE382" s="120"/>
      <x:c r="AF382" s="121"/>
      <x:c r="AG382" s="122"/>
      <x:c r="AH382" s="120"/>
      <x:c r="AI382" s="122"/>
      <x:c r="AJ382" s="120"/>
      <x:c r="AK382" s="121"/>
      <x:c r="AL382" s="122"/>
      <x:c r="AM382" s="120"/>
      <x:c r="AN382" s="122"/>
      <x:c r="AO382" s="120"/>
      <x:c r="AP382" s="121"/>
      <x:c r="AQ382" s="122"/>
      <x:c r="AR382" s="120"/>
      <x:c r="AS382" s="122"/>
      <x:c r="AT382" s="120"/>
      <x:c r="AU382" s="121"/>
      <x:c r="AV382" s="122"/>
      <x:c r="AW382" s="120"/>
      <x:c r="AX382" s="122"/>
      <x:c r="AY382" s="120"/>
      <x:c r="AZ382" s="121"/>
      <x:c r="BA382" s="122"/>
      <x:c r="BB382" s="120"/>
      <x:c r="BC382" s="122"/>
      <x:c r="BD382" s="120"/>
      <x:c r="BE382" s="121"/>
      <x:c r="BF382" s="122"/>
      <x:c r="BG382" s="120"/>
      <x:c r="BH382" s="122"/>
      <x:c r="BI382" s="120"/>
      <x:c r="BJ382" s="121"/>
    </x:row>
    <x:row r="383" ht="15.75" customHeight="1">
      <x:c r="N383" s="120"/>
      <x:c r="P383" s="120"/>
      <x:c r="Q383" s="121"/>
      <x:c r="S383" s="120"/>
      <x:c r="U383" s="120"/>
      <x:c r="V383" s="121"/>
      <x:c r="W383" s="122"/>
      <x:c r="X383" s="120"/>
      <x:c r="Y383" s="122"/>
      <x:c r="Z383" s="120"/>
      <x:c r="AA383" s="121"/>
      <x:c r="AB383" s="122"/>
      <x:c r="AC383" s="120"/>
      <x:c r="AD383" s="122"/>
      <x:c r="AE383" s="120"/>
      <x:c r="AF383" s="121"/>
      <x:c r="AG383" s="122"/>
      <x:c r="AH383" s="120"/>
      <x:c r="AI383" s="122"/>
      <x:c r="AJ383" s="120"/>
      <x:c r="AK383" s="121"/>
      <x:c r="AL383" s="122"/>
      <x:c r="AM383" s="120"/>
      <x:c r="AN383" s="122"/>
      <x:c r="AO383" s="120"/>
      <x:c r="AP383" s="121"/>
      <x:c r="AQ383" s="122"/>
      <x:c r="AR383" s="120"/>
      <x:c r="AS383" s="122"/>
      <x:c r="AT383" s="120"/>
      <x:c r="AU383" s="121"/>
      <x:c r="AV383" s="122"/>
      <x:c r="AW383" s="120"/>
      <x:c r="AX383" s="122"/>
      <x:c r="AY383" s="120"/>
      <x:c r="AZ383" s="121"/>
      <x:c r="BA383" s="122"/>
      <x:c r="BB383" s="120"/>
      <x:c r="BC383" s="122"/>
      <x:c r="BD383" s="120"/>
      <x:c r="BE383" s="121"/>
      <x:c r="BF383" s="122"/>
      <x:c r="BG383" s="120"/>
      <x:c r="BH383" s="122"/>
      <x:c r="BI383" s="120"/>
      <x:c r="BJ383" s="121"/>
    </x:row>
    <x:row r="384" ht="15.75" customHeight="1">
      <x:c r="N384" s="120"/>
      <x:c r="P384" s="120"/>
      <x:c r="Q384" s="121"/>
      <x:c r="S384" s="120"/>
      <x:c r="U384" s="120"/>
      <x:c r="V384" s="121"/>
      <x:c r="W384" s="122"/>
      <x:c r="X384" s="120"/>
      <x:c r="Y384" s="122"/>
      <x:c r="Z384" s="120"/>
      <x:c r="AA384" s="121"/>
      <x:c r="AB384" s="122"/>
      <x:c r="AC384" s="120"/>
      <x:c r="AD384" s="122"/>
      <x:c r="AE384" s="120"/>
      <x:c r="AF384" s="121"/>
      <x:c r="AG384" s="122"/>
      <x:c r="AH384" s="120"/>
      <x:c r="AI384" s="122"/>
      <x:c r="AJ384" s="120"/>
      <x:c r="AK384" s="121"/>
      <x:c r="AL384" s="122"/>
      <x:c r="AM384" s="120"/>
      <x:c r="AN384" s="122"/>
      <x:c r="AO384" s="120"/>
      <x:c r="AP384" s="121"/>
      <x:c r="AQ384" s="122"/>
      <x:c r="AR384" s="120"/>
      <x:c r="AS384" s="122"/>
      <x:c r="AT384" s="120"/>
      <x:c r="AU384" s="121"/>
      <x:c r="AV384" s="122"/>
      <x:c r="AW384" s="120"/>
      <x:c r="AX384" s="122"/>
      <x:c r="AY384" s="120"/>
      <x:c r="AZ384" s="121"/>
      <x:c r="BA384" s="122"/>
      <x:c r="BB384" s="120"/>
      <x:c r="BC384" s="122"/>
      <x:c r="BD384" s="120"/>
      <x:c r="BE384" s="121"/>
      <x:c r="BF384" s="122"/>
      <x:c r="BG384" s="120"/>
      <x:c r="BH384" s="122"/>
      <x:c r="BI384" s="120"/>
      <x:c r="BJ384" s="121"/>
    </x:row>
    <x:row r="385" ht="15.75" customHeight="1">
      <x:c r="N385" s="120"/>
      <x:c r="P385" s="120"/>
      <x:c r="Q385" s="121"/>
      <x:c r="S385" s="120"/>
      <x:c r="U385" s="120"/>
      <x:c r="V385" s="121"/>
      <x:c r="W385" s="122"/>
      <x:c r="X385" s="120"/>
      <x:c r="Y385" s="122"/>
      <x:c r="Z385" s="120"/>
      <x:c r="AA385" s="121"/>
      <x:c r="AB385" s="122"/>
      <x:c r="AC385" s="120"/>
      <x:c r="AD385" s="122"/>
      <x:c r="AE385" s="120"/>
      <x:c r="AF385" s="121"/>
      <x:c r="AG385" s="122"/>
      <x:c r="AH385" s="120"/>
      <x:c r="AI385" s="122"/>
      <x:c r="AJ385" s="120"/>
      <x:c r="AK385" s="121"/>
      <x:c r="AL385" s="122"/>
      <x:c r="AM385" s="120"/>
      <x:c r="AN385" s="122"/>
      <x:c r="AO385" s="120"/>
      <x:c r="AP385" s="121"/>
      <x:c r="AQ385" s="122"/>
      <x:c r="AR385" s="120"/>
      <x:c r="AS385" s="122"/>
      <x:c r="AT385" s="120"/>
      <x:c r="AU385" s="121"/>
      <x:c r="AV385" s="122"/>
      <x:c r="AW385" s="120"/>
      <x:c r="AX385" s="122"/>
      <x:c r="AY385" s="120"/>
      <x:c r="AZ385" s="121"/>
      <x:c r="BA385" s="122"/>
      <x:c r="BB385" s="120"/>
      <x:c r="BC385" s="122"/>
      <x:c r="BD385" s="120"/>
      <x:c r="BE385" s="121"/>
      <x:c r="BF385" s="122"/>
      <x:c r="BG385" s="120"/>
      <x:c r="BH385" s="122"/>
      <x:c r="BI385" s="120"/>
      <x:c r="BJ385" s="121"/>
    </x:row>
    <x:row r="386" ht="15.75" customHeight="1">
      <x:c r="N386" s="120"/>
      <x:c r="P386" s="120"/>
      <x:c r="Q386" s="121"/>
      <x:c r="S386" s="120"/>
      <x:c r="U386" s="120"/>
      <x:c r="V386" s="121"/>
      <x:c r="W386" s="122"/>
      <x:c r="X386" s="120"/>
      <x:c r="Y386" s="122"/>
      <x:c r="Z386" s="120"/>
      <x:c r="AA386" s="121"/>
      <x:c r="AB386" s="122"/>
      <x:c r="AC386" s="120"/>
      <x:c r="AD386" s="122"/>
      <x:c r="AE386" s="120"/>
      <x:c r="AF386" s="121"/>
      <x:c r="AG386" s="122"/>
      <x:c r="AH386" s="120"/>
      <x:c r="AI386" s="122"/>
      <x:c r="AJ386" s="120"/>
      <x:c r="AK386" s="121"/>
      <x:c r="AL386" s="122"/>
      <x:c r="AM386" s="120"/>
      <x:c r="AN386" s="122"/>
      <x:c r="AO386" s="120"/>
      <x:c r="AP386" s="121"/>
      <x:c r="AQ386" s="122"/>
      <x:c r="AR386" s="120"/>
      <x:c r="AS386" s="122"/>
      <x:c r="AT386" s="120"/>
      <x:c r="AU386" s="121"/>
      <x:c r="AV386" s="122"/>
      <x:c r="AW386" s="120"/>
      <x:c r="AX386" s="122"/>
      <x:c r="AY386" s="120"/>
      <x:c r="AZ386" s="121"/>
      <x:c r="BA386" s="122"/>
      <x:c r="BB386" s="120"/>
      <x:c r="BC386" s="122"/>
      <x:c r="BD386" s="120"/>
      <x:c r="BE386" s="121"/>
      <x:c r="BF386" s="122"/>
      <x:c r="BG386" s="120"/>
      <x:c r="BH386" s="122"/>
      <x:c r="BI386" s="120"/>
      <x:c r="BJ386" s="121"/>
    </x:row>
    <x:row r="387" ht="15.75" customHeight="1">
      <x:c r="N387" s="120"/>
      <x:c r="P387" s="120"/>
      <x:c r="Q387" s="121"/>
      <x:c r="S387" s="120"/>
      <x:c r="U387" s="120"/>
      <x:c r="V387" s="121"/>
      <x:c r="W387" s="122"/>
      <x:c r="X387" s="120"/>
      <x:c r="Y387" s="122"/>
      <x:c r="Z387" s="120"/>
      <x:c r="AA387" s="121"/>
      <x:c r="AB387" s="122"/>
      <x:c r="AC387" s="120"/>
      <x:c r="AD387" s="122"/>
      <x:c r="AE387" s="120"/>
      <x:c r="AF387" s="121"/>
      <x:c r="AG387" s="122"/>
      <x:c r="AH387" s="120"/>
      <x:c r="AI387" s="122"/>
      <x:c r="AJ387" s="120"/>
      <x:c r="AK387" s="121"/>
      <x:c r="AL387" s="122"/>
      <x:c r="AM387" s="120"/>
      <x:c r="AN387" s="122"/>
      <x:c r="AO387" s="120"/>
      <x:c r="AP387" s="121"/>
      <x:c r="AQ387" s="122"/>
      <x:c r="AR387" s="120"/>
      <x:c r="AS387" s="122"/>
      <x:c r="AT387" s="120"/>
      <x:c r="AU387" s="121"/>
      <x:c r="AV387" s="122"/>
      <x:c r="AW387" s="120"/>
      <x:c r="AX387" s="122"/>
      <x:c r="AY387" s="120"/>
      <x:c r="AZ387" s="121"/>
      <x:c r="BA387" s="122"/>
      <x:c r="BB387" s="120"/>
      <x:c r="BC387" s="122"/>
      <x:c r="BD387" s="120"/>
      <x:c r="BE387" s="121"/>
      <x:c r="BF387" s="122"/>
      <x:c r="BG387" s="120"/>
      <x:c r="BH387" s="122"/>
      <x:c r="BI387" s="120"/>
      <x:c r="BJ387" s="121"/>
    </x:row>
    <x:row r="388" ht="15.75" customHeight="1">
      <x:c r="N388" s="120"/>
      <x:c r="P388" s="120"/>
      <x:c r="Q388" s="121"/>
      <x:c r="S388" s="120"/>
      <x:c r="U388" s="120"/>
      <x:c r="V388" s="121"/>
      <x:c r="W388" s="122"/>
      <x:c r="X388" s="120"/>
      <x:c r="Y388" s="122"/>
      <x:c r="Z388" s="120"/>
      <x:c r="AA388" s="121"/>
      <x:c r="AB388" s="122"/>
      <x:c r="AC388" s="120"/>
      <x:c r="AD388" s="122"/>
      <x:c r="AE388" s="120"/>
      <x:c r="AF388" s="121"/>
      <x:c r="AG388" s="122"/>
      <x:c r="AH388" s="120"/>
      <x:c r="AI388" s="122"/>
      <x:c r="AJ388" s="120"/>
      <x:c r="AK388" s="121"/>
      <x:c r="AL388" s="122"/>
      <x:c r="AM388" s="120"/>
      <x:c r="AN388" s="122"/>
      <x:c r="AO388" s="120"/>
      <x:c r="AP388" s="121"/>
      <x:c r="AQ388" s="122"/>
      <x:c r="AR388" s="120"/>
      <x:c r="AS388" s="122"/>
      <x:c r="AT388" s="120"/>
      <x:c r="AU388" s="121"/>
      <x:c r="AV388" s="122"/>
      <x:c r="AW388" s="120"/>
      <x:c r="AX388" s="122"/>
      <x:c r="AY388" s="120"/>
      <x:c r="AZ388" s="121"/>
      <x:c r="BA388" s="122"/>
      <x:c r="BB388" s="120"/>
      <x:c r="BC388" s="122"/>
      <x:c r="BD388" s="120"/>
      <x:c r="BE388" s="121"/>
      <x:c r="BF388" s="122"/>
      <x:c r="BG388" s="120"/>
      <x:c r="BH388" s="122"/>
      <x:c r="BI388" s="120"/>
      <x:c r="BJ388" s="121"/>
    </x:row>
    <x:row r="389" ht="15.75" customHeight="1">
      <x:c r="N389" s="120"/>
      <x:c r="P389" s="120"/>
      <x:c r="Q389" s="121"/>
      <x:c r="S389" s="120"/>
      <x:c r="U389" s="120"/>
      <x:c r="V389" s="121"/>
      <x:c r="W389" s="122"/>
      <x:c r="X389" s="120"/>
      <x:c r="Y389" s="122"/>
      <x:c r="Z389" s="120"/>
      <x:c r="AA389" s="121"/>
      <x:c r="AB389" s="122"/>
      <x:c r="AC389" s="120"/>
      <x:c r="AD389" s="122"/>
      <x:c r="AE389" s="120"/>
      <x:c r="AF389" s="121"/>
      <x:c r="AG389" s="122"/>
      <x:c r="AH389" s="120"/>
      <x:c r="AI389" s="122"/>
      <x:c r="AJ389" s="120"/>
      <x:c r="AK389" s="121"/>
      <x:c r="AL389" s="122"/>
      <x:c r="AM389" s="120"/>
      <x:c r="AN389" s="122"/>
      <x:c r="AO389" s="120"/>
      <x:c r="AP389" s="121"/>
      <x:c r="AQ389" s="122"/>
      <x:c r="AR389" s="120"/>
      <x:c r="AS389" s="122"/>
      <x:c r="AT389" s="120"/>
      <x:c r="AU389" s="121"/>
      <x:c r="AV389" s="122"/>
      <x:c r="AW389" s="120"/>
      <x:c r="AX389" s="122"/>
      <x:c r="AY389" s="120"/>
      <x:c r="AZ389" s="121"/>
      <x:c r="BA389" s="122"/>
      <x:c r="BB389" s="120"/>
      <x:c r="BC389" s="122"/>
      <x:c r="BD389" s="120"/>
      <x:c r="BE389" s="121"/>
      <x:c r="BF389" s="122"/>
      <x:c r="BG389" s="120"/>
      <x:c r="BH389" s="122"/>
      <x:c r="BI389" s="120"/>
      <x:c r="BJ389" s="121"/>
    </x:row>
    <x:row r="390" ht="15.75" customHeight="1">
      <x:c r="N390" s="120"/>
      <x:c r="P390" s="120"/>
      <x:c r="Q390" s="121"/>
      <x:c r="S390" s="120"/>
      <x:c r="U390" s="120"/>
      <x:c r="V390" s="121"/>
      <x:c r="W390" s="122"/>
      <x:c r="X390" s="120"/>
      <x:c r="Y390" s="122"/>
      <x:c r="Z390" s="120"/>
      <x:c r="AA390" s="121"/>
      <x:c r="AB390" s="122"/>
      <x:c r="AC390" s="120"/>
      <x:c r="AD390" s="122"/>
      <x:c r="AE390" s="120"/>
      <x:c r="AF390" s="121"/>
      <x:c r="AG390" s="122"/>
      <x:c r="AH390" s="120"/>
      <x:c r="AI390" s="122"/>
      <x:c r="AJ390" s="120"/>
      <x:c r="AK390" s="121"/>
      <x:c r="AL390" s="122"/>
      <x:c r="AM390" s="120"/>
      <x:c r="AN390" s="122"/>
      <x:c r="AO390" s="120"/>
      <x:c r="AP390" s="121"/>
      <x:c r="AQ390" s="122"/>
      <x:c r="AR390" s="120"/>
      <x:c r="AS390" s="122"/>
      <x:c r="AT390" s="120"/>
      <x:c r="AU390" s="121"/>
      <x:c r="AV390" s="122"/>
      <x:c r="AW390" s="120"/>
      <x:c r="AX390" s="122"/>
      <x:c r="AY390" s="120"/>
      <x:c r="AZ390" s="121"/>
      <x:c r="BA390" s="122"/>
      <x:c r="BB390" s="120"/>
      <x:c r="BC390" s="122"/>
      <x:c r="BD390" s="120"/>
      <x:c r="BE390" s="121"/>
      <x:c r="BF390" s="122"/>
      <x:c r="BG390" s="120"/>
      <x:c r="BH390" s="122"/>
      <x:c r="BI390" s="120"/>
      <x:c r="BJ390" s="121"/>
    </x:row>
    <x:row r="391" ht="15.75" customHeight="1">
      <x:c r="N391" s="120"/>
      <x:c r="P391" s="120"/>
      <x:c r="Q391" s="121"/>
      <x:c r="S391" s="120"/>
      <x:c r="U391" s="120"/>
      <x:c r="V391" s="121"/>
      <x:c r="W391" s="122"/>
      <x:c r="X391" s="120"/>
      <x:c r="Y391" s="122"/>
      <x:c r="Z391" s="120"/>
      <x:c r="AA391" s="121"/>
      <x:c r="AB391" s="122"/>
      <x:c r="AC391" s="120"/>
      <x:c r="AD391" s="122"/>
      <x:c r="AE391" s="120"/>
      <x:c r="AF391" s="121"/>
      <x:c r="AG391" s="122"/>
      <x:c r="AH391" s="120"/>
      <x:c r="AI391" s="122"/>
      <x:c r="AJ391" s="120"/>
      <x:c r="AK391" s="121"/>
      <x:c r="AL391" s="122"/>
      <x:c r="AM391" s="120"/>
      <x:c r="AN391" s="122"/>
      <x:c r="AO391" s="120"/>
      <x:c r="AP391" s="121"/>
      <x:c r="AQ391" s="122"/>
      <x:c r="AR391" s="120"/>
      <x:c r="AS391" s="122"/>
      <x:c r="AT391" s="120"/>
      <x:c r="AU391" s="121"/>
      <x:c r="AV391" s="122"/>
      <x:c r="AW391" s="120"/>
      <x:c r="AX391" s="122"/>
      <x:c r="AY391" s="120"/>
      <x:c r="AZ391" s="121"/>
      <x:c r="BA391" s="122"/>
      <x:c r="BB391" s="120"/>
      <x:c r="BC391" s="122"/>
      <x:c r="BD391" s="120"/>
      <x:c r="BE391" s="121"/>
      <x:c r="BF391" s="122"/>
      <x:c r="BG391" s="120"/>
      <x:c r="BH391" s="122"/>
      <x:c r="BI391" s="120"/>
      <x:c r="BJ391" s="121"/>
    </x:row>
    <x:row r="392" ht="15.75" customHeight="1">
      <x:c r="N392" s="120"/>
      <x:c r="P392" s="120"/>
      <x:c r="Q392" s="121"/>
      <x:c r="S392" s="120"/>
      <x:c r="U392" s="120"/>
      <x:c r="V392" s="121"/>
      <x:c r="W392" s="122"/>
      <x:c r="X392" s="120"/>
      <x:c r="Y392" s="122"/>
      <x:c r="Z392" s="120"/>
      <x:c r="AA392" s="121"/>
      <x:c r="AB392" s="122"/>
      <x:c r="AC392" s="120"/>
      <x:c r="AD392" s="122"/>
      <x:c r="AE392" s="120"/>
      <x:c r="AF392" s="121"/>
      <x:c r="AG392" s="122"/>
      <x:c r="AH392" s="120"/>
      <x:c r="AI392" s="122"/>
      <x:c r="AJ392" s="120"/>
      <x:c r="AK392" s="121"/>
      <x:c r="AL392" s="122"/>
      <x:c r="AM392" s="120"/>
      <x:c r="AN392" s="122"/>
      <x:c r="AO392" s="120"/>
      <x:c r="AP392" s="121"/>
      <x:c r="AQ392" s="122"/>
      <x:c r="AR392" s="120"/>
      <x:c r="AS392" s="122"/>
      <x:c r="AT392" s="120"/>
      <x:c r="AU392" s="121"/>
      <x:c r="AV392" s="122"/>
      <x:c r="AW392" s="120"/>
      <x:c r="AX392" s="122"/>
      <x:c r="AY392" s="120"/>
      <x:c r="AZ392" s="121"/>
      <x:c r="BA392" s="122"/>
      <x:c r="BB392" s="120"/>
      <x:c r="BC392" s="122"/>
      <x:c r="BD392" s="120"/>
      <x:c r="BE392" s="121"/>
      <x:c r="BF392" s="122"/>
      <x:c r="BG392" s="120"/>
      <x:c r="BH392" s="122"/>
      <x:c r="BI392" s="120"/>
      <x:c r="BJ392" s="121"/>
    </x:row>
    <x:row r="393" ht="15.75" customHeight="1">
      <x:c r="N393" s="120"/>
      <x:c r="P393" s="120"/>
      <x:c r="Q393" s="121"/>
      <x:c r="S393" s="120"/>
      <x:c r="U393" s="120"/>
      <x:c r="V393" s="121"/>
      <x:c r="W393" s="122"/>
      <x:c r="X393" s="120"/>
      <x:c r="Y393" s="122"/>
      <x:c r="Z393" s="120"/>
      <x:c r="AA393" s="121"/>
      <x:c r="AB393" s="122"/>
      <x:c r="AC393" s="120"/>
      <x:c r="AD393" s="122"/>
      <x:c r="AE393" s="120"/>
      <x:c r="AF393" s="121"/>
      <x:c r="AG393" s="122"/>
      <x:c r="AH393" s="120"/>
      <x:c r="AI393" s="122"/>
      <x:c r="AJ393" s="120"/>
      <x:c r="AK393" s="121"/>
      <x:c r="AL393" s="122"/>
      <x:c r="AM393" s="120"/>
      <x:c r="AN393" s="122"/>
      <x:c r="AO393" s="120"/>
      <x:c r="AP393" s="121"/>
      <x:c r="AQ393" s="122"/>
      <x:c r="AR393" s="120"/>
      <x:c r="AS393" s="122"/>
      <x:c r="AT393" s="120"/>
      <x:c r="AU393" s="121"/>
      <x:c r="AV393" s="122"/>
      <x:c r="AW393" s="120"/>
      <x:c r="AX393" s="122"/>
      <x:c r="AY393" s="120"/>
      <x:c r="AZ393" s="121"/>
      <x:c r="BA393" s="122"/>
      <x:c r="BB393" s="120"/>
      <x:c r="BC393" s="122"/>
      <x:c r="BD393" s="120"/>
      <x:c r="BE393" s="121"/>
      <x:c r="BF393" s="122"/>
      <x:c r="BG393" s="120"/>
      <x:c r="BH393" s="122"/>
      <x:c r="BI393" s="120"/>
      <x:c r="BJ393" s="121"/>
    </x:row>
    <x:row r="394" ht="15.75" customHeight="1">
      <x:c r="N394" s="120"/>
      <x:c r="P394" s="120"/>
      <x:c r="Q394" s="121"/>
      <x:c r="S394" s="120"/>
      <x:c r="U394" s="120"/>
      <x:c r="V394" s="121"/>
      <x:c r="W394" s="122"/>
      <x:c r="X394" s="120"/>
      <x:c r="Y394" s="122"/>
      <x:c r="Z394" s="120"/>
      <x:c r="AA394" s="121"/>
      <x:c r="AB394" s="122"/>
      <x:c r="AC394" s="120"/>
      <x:c r="AD394" s="122"/>
      <x:c r="AE394" s="120"/>
      <x:c r="AF394" s="121"/>
      <x:c r="AG394" s="122"/>
      <x:c r="AH394" s="120"/>
      <x:c r="AI394" s="122"/>
      <x:c r="AJ394" s="120"/>
      <x:c r="AK394" s="121"/>
      <x:c r="AL394" s="122"/>
      <x:c r="AM394" s="120"/>
      <x:c r="AN394" s="122"/>
      <x:c r="AO394" s="120"/>
      <x:c r="AP394" s="121"/>
      <x:c r="AQ394" s="122"/>
      <x:c r="AR394" s="120"/>
      <x:c r="AS394" s="122"/>
      <x:c r="AT394" s="120"/>
      <x:c r="AU394" s="121"/>
      <x:c r="AV394" s="122"/>
      <x:c r="AW394" s="120"/>
      <x:c r="AX394" s="122"/>
      <x:c r="AY394" s="120"/>
      <x:c r="AZ394" s="121"/>
      <x:c r="BA394" s="122"/>
      <x:c r="BB394" s="120"/>
      <x:c r="BC394" s="122"/>
      <x:c r="BD394" s="120"/>
      <x:c r="BE394" s="121"/>
      <x:c r="BF394" s="122"/>
      <x:c r="BG394" s="120"/>
      <x:c r="BH394" s="122"/>
      <x:c r="BI394" s="120"/>
      <x:c r="BJ394" s="121"/>
    </x:row>
    <x:row r="395" ht="15.75" customHeight="1">
      <x:c r="N395" s="120"/>
      <x:c r="P395" s="120"/>
      <x:c r="Q395" s="121"/>
      <x:c r="S395" s="120"/>
      <x:c r="U395" s="120"/>
      <x:c r="V395" s="121"/>
      <x:c r="W395" s="122"/>
      <x:c r="X395" s="120"/>
      <x:c r="Y395" s="122"/>
      <x:c r="Z395" s="120"/>
      <x:c r="AA395" s="121"/>
      <x:c r="AB395" s="122"/>
      <x:c r="AC395" s="120"/>
      <x:c r="AD395" s="122"/>
      <x:c r="AE395" s="120"/>
      <x:c r="AF395" s="121"/>
      <x:c r="AG395" s="122"/>
      <x:c r="AH395" s="120"/>
      <x:c r="AI395" s="122"/>
      <x:c r="AJ395" s="120"/>
      <x:c r="AK395" s="121"/>
      <x:c r="AL395" s="122"/>
      <x:c r="AM395" s="120"/>
      <x:c r="AN395" s="122"/>
      <x:c r="AO395" s="120"/>
      <x:c r="AP395" s="121"/>
      <x:c r="AQ395" s="122"/>
      <x:c r="AR395" s="120"/>
      <x:c r="AS395" s="122"/>
      <x:c r="AT395" s="120"/>
      <x:c r="AU395" s="121"/>
      <x:c r="AV395" s="122"/>
      <x:c r="AW395" s="120"/>
      <x:c r="AX395" s="122"/>
      <x:c r="AY395" s="120"/>
      <x:c r="AZ395" s="121"/>
      <x:c r="BA395" s="122"/>
      <x:c r="BB395" s="120"/>
      <x:c r="BC395" s="122"/>
      <x:c r="BD395" s="120"/>
      <x:c r="BE395" s="121"/>
      <x:c r="BF395" s="122"/>
      <x:c r="BG395" s="120"/>
      <x:c r="BH395" s="122"/>
      <x:c r="BI395" s="120"/>
      <x:c r="BJ395" s="121"/>
    </x:row>
    <x:row r="396" ht="15.75" customHeight="1">
      <x:c r="N396" s="120"/>
      <x:c r="P396" s="120"/>
      <x:c r="Q396" s="121"/>
      <x:c r="S396" s="120"/>
      <x:c r="U396" s="120"/>
      <x:c r="V396" s="121"/>
      <x:c r="W396" s="122"/>
      <x:c r="X396" s="120"/>
      <x:c r="Y396" s="122"/>
      <x:c r="Z396" s="120"/>
      <x:c r="AA396" s="121"/>
      <x:c r="AB396" s="122"/>
      <x:c r="AC396" s="120"/>
      <x:c r="AD396" s="122"/>
      <x:c r="AE396" s="120"/>
      <x:c r="AF396" s="121"/>
      <x:c r="AG396" s="122"/>
      <x:c r="AH396" s="120"/>
      <x:c r="AI396" s="122"/>
      <x:c r="AJ396" s="120"/>
      <x:c r="AK396" s="121"/>
      <x:c r="AL396" s="122"/>
      <x:c r="AM396" s="120"/>
      <x:c r="AN396" s="122"/>
      <x:c r="AO396" s="120"/>
      <x:c r="AP396" s="121"/>
      <x:c r="AQ396" s="122"/>
      <x:c r="AR396" s="120"/>
      <x:c r="AS396" s="122"/>
      <x:c r="AT396" s="120"/>
      <x:c r="AU396" s="121"/>
      <x:c r="AV396" s="122"/>
      <x:c r="AW396" s="120"/>
      <x:c r="AX396" s="122"/>
      <x:c r="AY396" s="120"/>
      <x:c r="AZ396" s="121"/>
      <x:c r="BA396" s="122"/>
      <x:c r="BB396" s="120"/>
      <x:c r="BC396" s="122"/>
      <x:c r="BD396" s="120"/>
      <x:c r="BE396" s="121"/>
      <x:c r="BF396" s="122"/>
      <x:c r="BG396" s="120"/>
      <x:c r="BH396" s="122"/>
      <x:c r="BI396" s="120"/>
      <x:c r="BJ396" s="121"/>
    </x:row>
    <x:row r="397" ht="15.75" customHeight="1">
      <x:c r="N397" s="120"/>
      <x:c r="P397" s="120"/>
      <x:c r="Q397" s="121"/>
      <x:c r="S397" s="120"/>
      <x:c r="U397" s="120"/>
      <x:c r="V397" s="121"/>
      <x:c r="W397" s="122"/>
      <x:c r="X397" s="120"/>
      <x:c r="Y397" s="122"/>
      <x:c r="Z397" s="120"/>
      <x:c r="AA397" s="121"/>
      <x:c r="AB397" s="122"/>
      <x:c r="AC397" s="120"/>
      <x:c r="AD397" s="122"/>
      <x:c r="AE397" s="120"/>
      <x:c r="AF397" s="121"/>
      <x:c r="AG397" s="122"/>
      <x:c r="AH397" s="120"/>
      <x:c r="AI397" s="122"/>
      <x:c r="AJ397" s="120"/>
      <x:c r="AK397" s="121"/>
      <x:c r="AL397" s="122"/>
      <x:c r="AM397" s="120"/>
      <x:c r="AN397" s="122"/>
      <x:c r="AO397" s="120"/>
      <x:c r="AP397" s="121"/>
      <x:c r="AQ397" s="122"/>
      <x:c r="AR397" s="120"/>
      <x:c r="AS397" s="122"/>
      <x:c r="AT397" s="120"/>
      <x:c r="AU397" s="121"/>
      <x:c r="AV397" s="122"/>
      <x:c r="AW397" s="120"/>
      <x:c r="AX397" s="122"/>
      <x:c r="AY397" s="120"/>
      <x:c r="AZ397" s="121"/>
      <x:c r="BA397" s="122"/>
      <x:c r="BB397" s="120"/>
      <x:c r="BC397" s="122"/>
      <x:c r="BD397" s="120"/>
      <x:c r="BE397" s="121"/>
      <x:c r="BF397" s="122"/>
      <x:c r="BG397" s="120"/>
      <x:c r="BH397" s="122"/>
      <x:c r="BI397" s="120"/>
      <x:c r="BJ397" s="121"/>
    </x:row>
    <x:row r="398" ht="15.75" customHeight="1">
      <x:c r="N398" s="120"/>
      <x:c r="P398" s="120"/>
      <x:c r="Q398" s="121"/>
      <x:c r="S398" s="120"/>
      <x:c r="U398" s="120"/>
      <x:c r="V398" s="121"/>
      <x:c r="W398" s="122"/>
      <x:c r="X398" s="120"/>
      <x:c r="Y398" s="122"/>
      <x:c r="Z398" s="120"/>
      <x:c r="AA398" s="121"/>
      <x:c r="AB398" s="122"/>
      <x:c r="AC398" s="120"/>
      <x:c r="AD398" s="122"/>
      <x:c r="AE398" s="120"/>
      <x:c r="AF398" s="121"/>
      <x:c r="AG398" s="122"/>
      <x:c r="AH398" s="120"/>
      <x:c r="AI398" s="122"/>
      <x:c r="AJ398" s="120"/>
      <x:c r="AK398" s="121"/>
      <x:c r="AL398" s="122"/>
      <x:c r="AM398" s="120"/>
      <x:c r="AN398" s="122"/>
      <x:c r="AO398" s="120"/>
      <x:c r="AP398" s="121"/>
      <x:c r="AQ398" s="122"/>
      <x:c r="AR398" s="120"/>
      <x:c r="AS398" s="122"/>
      <x:c r="AT398" s="120"/>
      <x:c r="AU398" s="121"/>
      <x:c r="AV398" s="122"/>
      <x:c r="AW398" s="120"/>
      <x:c r="AX398" s="122"/>
      <x:c r="AY398" s="120"/>
      <x:c r="AZ398" s="121"/>
      <x:c r="BA398" s="122"/>
      <x:c r="BB398" s="120"/>
      <x:c r="BC398" s="122"/>
      <x:c r="BD398" s="120"/>
      <x:c r="BE398" s="121"/>
      <x:c r="BF398" s="122"/>
      <x:c r="BG398" s="120"/>
      <x:c r="BH398" s="122"/>
      <x:c r="BI398" s="120"/>
      <x:c r="BJ398" s="121"/>
    </x:row>
    <x:row r="399" ht="15.75" customHeight="1">
      <x:c r="N399" s="120"/>
      <x:c r="P399" s="120"/>
      <x:c r="Q399" s="121"/>
      <x:c r="S399" s="120"/>
      <x:c r="U399" s="120"/>
      <x:c r="V399" s="121"/>
      <x:c r="W399" s="122"/>
      <x:c r="X399" s="120"/>
      <x:c r="Y399" s="122"/>
      <x:c r="Z399" s="120"/>
      <x:c r="AA399" s="121"/>
      <x:c r="AB399" s="122"/>
      <x:c r="AC399" s="120"/>
      <x:c r="AD399" s="122"/>
      <x:c r="AE399" s="120"/>
      <x:c r="AF399" s="121"/>
      <x:c r="AG399" s="122"/>
      <x:c r="AH399" s="120"/>
      <x:c r="AI399" s="122"/>
      <x:c r="AJ399" s="120"/>
      <x:c r="AK399" s="121"/>
      <x:c r="AL399" s="122"/>
      <x:c r="AM399" s="120"/>
      <x:c r="AN399" s="122"/>
      <x:c r="AO399" s="120"/>
      <x:c r="AP399" s="121"/>
      <x:c r="AQ399" s="122"/>
      <x:c r="AR399" s="120"/>
      <x:c r="AS399" s="122"/>
      <x:c r="AT399" s="120"/>
      <x:c r="AU399" s="121"/>
      <x:c r="AV399" s="122"/>
      <x:c r="AW399" s="120"/>
      <x:c r="AX399" s="122"/>
      <x:c r="AY399" s="120"/>
      <x:c r="AZ399" s="121"/>
      <x:c r="BA399" s="122"/>
      <x:c r="BB399" s="120"/>
      <x:c r="BC399" s="122"/>
      <x:c r="BD399" s="120"/>
      <x:c r="BE399" s="121"/>
      <x:c r="BF399" s="122"/>
      <x:c r="BG399" s="120"/>
      <x:c r="BH399" s="122"/>
      <x:c r="BI399" s="120"/>
      <x:c r="BJ399" s="121"/>
    </x:row>
    <x:row r="400" ht="15.75" customHeight="1">
      <x:c r="N400" s="120"/>
      <x:c r="P400" s="120"/>
      <x:c r="Q400" s="121"/>
      <x:c r="S400" s="120"/>
      <x:c r="U400" s="120"/>
      <x:c r="V400" s="121"/>
      <x:c r="W400" s="122"/>
      <x:c r="X400" s="120"/>
      <x:c r="Y400" s="122"/>
      <x:c r="Z400" s="120"/>
      <x:c r="AA400" s="121"/>
      <x:c r="AB400" s="122"/>
      <x:c r="AC400" s="120"/>
      <x:c r="AD400" s="122"/>
      <x:c r="AE400" s="120"/>
      <x:c r="AF400" s="121"/>
      <x:c r="AG400" s="122"/>
      <x:c r="AH400" s="120"/>
      <x:c r="AI400" s="122"/>
      <x:c r="AJ400" s="120"/>
      <x:c r="AK400" s="121"/>
      <x:c r="AL400" s="122"/>
      <x:c r="AM400" s="120"/>
      <x:c r="AN400" s="122"/>
      <x:c r="AO400" s="120"/>
      <x:c r="AP400" s="121"/>
      <x:c r="AQ400" s="122"/>
      <x:c r="AR400" s="120"/>
      <x:c r="AS400" s="122"/>
      <x:c r="AT400" s="120"/>
      <x:c r="AU400" s="121"/>
      <x:c r="AV400" s="122"/>
      <x:c r="AW400" s="120"/>
      <x:c r="AX400" s="122"/>
      <x:c r="AY400" s="120"/>
      <x:c r="AZ400" s="121"/>
      <x:c r="BA400" s="122"/>
      <x:c r="BB400" s="120"/>
      <x:c r="BC400" s="122"/>
      <x:c r="BD400" s="120"/>
      <x:c r="BE400" s="121"/>
      <x:c r="BF400" s="122"/>
      <x:c r="BG400" s="120"/>
      <x:c r="BH400" s="122"/>
      <x:c r="BI400" s="120"/>
      <x:c r="BJ400" s="121"/>
    </x:row>
    <x:row r="401" ht="15.75" customHeight="1">
      <x:c r="N401" s="120"/>
      <x:c r="P401" s="120"/>
      <x:c r="Q401" s="121"/>
      <x:c r="S401" s="120"/>
      <x:c r="U401" s="120"/>
      <x:c r="V401" s="121"/>
      <x:c r="W401" s="122"/>
      <x:c r="X401" s="120"/>
      <x:c r="Y401" s="122"/>
      <x:c r="Z401" s="120"/>
      <x:c r="AA401" s="121"/>
      <x:c r="AB401" s="122"/>
      <x:c r="AC401" s="120"/>
      <x:c r="AD401" s="122"/>
      <x:c r="AE401" s="120"/>
      <x:c r="AF401" s="121"/>
      <x:c r="AG401" s="122"/>
      <x:c r="AH401" s="120"/>
      <x:c r="AI401" s="122"/>
      <x:c r="AJ401" s="120"/>
      <x:c r="AK401" s="121"/>
      <x:c r="AL401" s="122"/>
      <x:c r="AM401" s="120"/>
      <x:c r="AN401" s="122"/>
      <x:c r="AO401" s="120"/>
      <x:c r="AP401" s="121"/>
      <x:c r="AQ401" s="122"/>
      <x:c r="AR401" s="120"/>
      <x:c r="AS401" s="122"/>
      <x:c r="AT401" s="120"/>
      <x:c r="AU401" s="121"/>
      <x:c r="AV401" s="122"/>
      <x:c r="AW401" s="120"/>
      <x:c r="AX401" s="122"/>
      <x:c r="AY401" s="120"/>
      <x:c r="AZ401" s="121"/>
      <x:c r="BA401" s="122"/>
      <x:c r="BB401" s="120"/>
      <x:c r="BC401" s="122"/>
      <x:c r="BD401" s="120"/>
      <x:c r="BE401" s="121"/>
      <x:c r="BF401" s="122"/>
      <x:c r="BG401" s="120"/>
      <x:c r="BH401" s="122"/>
      <x:c r="BI401" s="120"/>
      <x:c r="BJ401" s="121"/>
    </x:row>
    <x:row r="402" ht="15.75" customHeight="1">
      <x:c r="N402" s="120"/>
      <x:c r="P402" s="120"/>
      <x:c r="Q402" s="121"/>
      <x:c r="S402" s="120"/>
      <x:c r="U402" s="120"/>
      <x:c r="V402" s="121"/>
      <x:c r="W402" s="122"/>
      <x:c r="X402" s="120"/>
      <x:c r="Y402" s="122"/>
      <x:c r="Z402" s="120"/>
      <x:c r="AA402" s="121"/>
      <x:c r="AB402" s="122"/>
      <x:c r="AC402" s="120"/>
      <x:c r="AD402" s="122"/>
      <x:c r="AE402" s="120"/>
      <x:c r="AF402" s="121"/>
      <x:c r="AG402" s="122"/>
      <x:c r="AH402" s="120"/>
      <x:c r="AI402" s="122"/>
      <x:c r="AJ402" s="120"/>
      <x:c r="AK402" s="121"/>
      <x:c r="AL402" s="122"/>
      <x:c r="AM402" s="120"/>
      <x:c r="AN402" s="122"/>
      <x:c r="AO402" s="120"/>
      <x:c r="AP402" s="121"/>
      <x:c r="AQ402" s="122"/>
      <x:c r="AR402" s="120"/>
      <x:c r="AS402" s="122"/>
      <x:c r="AT402" s="120"/>
      <x:c r="AU402" s="121"/>
      <x:c r="AV402" s="122"/>
      <x:c r="AW402" s="120"/>
      <x:c r="AX402" s="122"/>
      <x:c r="AY402" s="120"/>
      <x:c r="AZ402" s="121"/>
      <x:c r="BA402" s="122"/>
      <x:c r="BB402" s="120"/>
      <x:c r="BC402" s="122"/>
      <x:c r="BD402" s="120"/>
      <x:c r="BE402" s="121"/>
      <x:c r="BF402" s="122"/>
      <x:c r="BG402" s="120"/>
      <x:c r="BH402" s="122"/>
      <x:c r="BI402" s="120"/>
      <x:c r="BJ402" s="121"/>
    </x:row>
    <x:row r="403" ht="15.75" customHeight="1">
      <x:c r="N403" s="120"/>
      <x:c r="P403" s="120"/>
      <x:c r="Q403" s="121"/>
      <x:c r="S403" s="120"/>
      <x:c r="U403" s="120"/>
      <x:c r="V403" s="121"/>
      <x:c r="W403" s="122"/>
      <x:c r="X403" s="120"/>
      <x:c r="Y403" s="122"/>
      <x:c r="Z403" s="120"/>
      <x:c r="AA403" s="121"/>
      <x:c r="AB403" s="122"/>
      <x:c r="AC403" s="120"/>
      <x:c r="AD403" s="122"/>
      <x:c r="AE403" s="120"/>
      <x:c r="AF403" s="121"/>
      <x:c r="AG403" s="122"/>
      <x:c r="AH403" s="120"/>
      <x:c r="AI403" s="122"/>
      <x:c r="AJ403" s="120"/>
      <x:c r="AK403" s="121"/>
      <x:c r="AL403" s="122"/>
      <x:c r="AM403" s="120"/>
      <x:c r="AN403" s="122"/>
      <x:c r="AO403" s="120"/>
      <x:c r="AP403" s="121"/>
      <x:c r="AQ403" s="122"/>
      <x:c r="AR403" s="120"/>
      <x:c r="AS403" s="122"/>
      <x:c r="AT403" s="120"/>
      <x:c r="AU403" s="121"/>
      <x:c r="AV403" s="122"/>
      <x:c r="AW403" s="120"/>
      <x:c r="AX403" s="122"/>
      <x:c r="AY403" s="120"/>
      <x:c r="AZ403" s="121"/>
      <x:c r="BA403" s="122"/>
      <x:c r="BB403" s="120"/>
      <x:c r="BC403" s="122"/>
      <x:c r="BD403" s="120"/>
      <x:c r="BE403" s="121"/>
      <x:c r="BF403" s="122"/>
      <x:c r="BG403" s="120"/>
      <x:c r="BH403" s="122"/>
      <x:c r="BI403" s="120"/>
      <x:c r="BJ403" s="121"/>
    </x:row>
    <x:row r="404" ht="15.75" customHeight="1">
      <x:c r="N404" s="120"/>
      <x:c r="P404" s="120"/>
      <x:c r="Q404" s="121"/>
      <x:c r="S404" s="120"/>
      <x:c r="U404" s="120"/>
      <x:c r="V404" s="121"/>
      <x:c r="W404" s="122"/>
      <x:c r="X404" s="120"/>
      <x:c r="Y404" s="122"/>
      <x:c r="Z404" s="120"/>
      <x:c r="AA404" s="121"/>
      <x:c r="AB404" s="122"/>
      <x:c r="AC404" s="120"/>
      <x:c r="AD404" s="122"/>
      <x:c r="AE404" s="120"/>
      <x:c r="AF404" s="121"/>
      <x:c r="AG404" s="122"/>
      <x:c r="AH404" s="120"/>
      <x:c r="AI404" s="122"/>
      <x:c r="AJ404" s="120"/>
      <x:c r="AK404" s="121"/>
      <x:c r="AL404" s="122"/>
      <x:c r="AM404" s="120"/>
      <x:c r="AN404" s="122"/>
      <x:c r="AO404" s="120"/>
      <x:c r="AP404" s="121"/>
      <x:c r="AQ404" s="122"/>
      <x:c r="AR404" s="120"/>
      <x:c r="AS404" s="122"/>
      <x:c r="AT404" s="120"/>
      <x:c r="AU404" s="121"/>
      <x:c r="AV404" s="122"/>
      <x:c r="AW404" s="120"/>
      <x:c r="AX404" s="122"/>
      <x:c r="AY404" s="120"/>
      <x:c r="AZ404" s="121"/>
      <x:c r="BA404" s="122"/>
      <x:c r="BB404" s="120"/>
      <x:c r="BC404" s="122"/>
      <x:c r="BD404" s="120"/>
      <x:c r="BE404" s="121"/>
      <x:c r="BF404" s="122"/>
      <x:c r="BG404" s="120"/>
      <x:c r="BH404" s="122"/>
      <x:c r="BI404" s="120"/>
      <x:c r="BJ404" s="121"/>
    </x:row>
    <x:row r="405" ht="15.75" customHeight="1">
      <x:c r="N405" s="120"/>
      <x:c r="P405" s="120"/>
      <x:c r="Q405" s="121"/>
      <x:c r="S405" s="120"/>
      <x:c r="U405" s="120"/>
      <x:c r="V405" s="121"/>
      <x:c r="W405" s="122"/>
      <x:c r="X405" s="120"/>
      <x:c r="Y405" s="122"/>
      <x:c r="Z405" s="120"/>
      <x:c r="AA405" s="121"/>
      <x:c r="AB405" s="122"/>
      <x:c r="AC405" s="120"/>
      <x:c r="AD405" s="122"/>
      <x:c r="AE405" s="120"/>
      <x:c r="AF405" s="121"/>
      <x:c r="AG405" s="122"/>
      <x:c r="AH405" s="120"/>
      <x:c r="AI405" s="122"/>
      <x:c r="AJ405" s="120"/>
      <x:c r="AK405" s="121"/>
      <x:c r="AL405" s="122"/>
      <x:c r="AM405" s="120"/>
      <x:c r="AN405" s="122"/>
      <x:c r="AO405" s="120"/>
      <x:c r="AP405" s="121"/>
      <x:c r="AQ405" s="122"/>
      <x:c r="AR405" s="120"/>
      <x:c r="AS405" s="122"/>
      <x:c r="AT405" s="120"/>
      <x:c r="AU405" s="121"/>
      <x:c r="AV405" s="122"/>
      <x:c r="AW405" s="120"/>
      <x:c r="AX405" s="122"/>
      <x:c r="AY405" s="120"/>
      <x:c r="AZ405" s="121"/>
      <x:c r="BA405" s="122"/>
      <x:c r="BB405" s="120"/>
      <x:c r="BC405" s="122"/>
      <x:c r="BD405" s="120"/>
      <x:c r="BE405" s="121"/>
      <x:c r="BF405" s="122"/>
      <x:c r="BG405" s="120"/>
      <x:c r="BH405" s="122"/>
      <x:c r="BI405" s="120"/>
      <x:c r="BJ405" s="121"/>
    </x:row>
    <x:row r="406" ht="15.75" customHeight="1">
      <x:c r="N406" s="120"/>
      <x:c r="P406" s="120"/>
      <x:c r="Q406" s="121"/>
      <x:c r="S406" s="120"/>
      <x:c r="U406" s="120"/>
      <x:c r="V406" s="121"/>
      <x:c r="W406" s="122"/>
      <x:c r="X406" s="120"/>
      <x:c r="Y406" s="122"/>
      <x:c r="Z406" s="120"/>
      <x:c r="AA406" s="121"/>
      <x:c r="AB406" s="122"/>
      <x:c r="AC406" s="120"/>
      <x:c r="AD406" s="122"/>
      <x:c r="AE406" s="120"/>
      <x:c r="AF406" s="121"/>
      <x:c r="AG406" s="122"/>
      <x:c r="AH406" s="120"/>
      <x:c r="AI406" s="122"/>
      <x:c r="AJ406" s="120"/>
      <x:c r="AK406" s="121"/>
      <x:c r="AL406" s="122"/>
      <x:c r="AM406" s="120"/>
      <x:c r="AN406" s="122"/>
      <x:c r="AO406" s="120"/>
      <x:c r="AP406" s="121"/>
      <x:c r="AQ406" s="122"/>
      <x:c r="AR406" s="120"/>
      <x:c r="AS406" s="122"/>
      <x:c r="AT406" s="120"/>
      <x:c r="AU406" s="121"/>
      <x:c r="AV406" s="122"/>
      <x:c r="AW406" s="120"/>
      <x:c r="AX406" s="122"/>
      <x:c r="AY406" s="120"/>
      <x:c r="AZ406" s="121"/>
      <x:c r="BA406" s="122"/>
      <x:c r="BB406" s="120"/>
      <x:c r="BC406" s="122"/>
      <x:c r="BD406" s="120"/>
      <x:c r="BE406" s="121"/>
      <x:c r="BF406" s="122"/>
      <x:c r="BG406" s="120"/>
      <x:c r="BH406" s="122"/>
      <x:c r="BI406" s="120"/>
      <x:c r="BJ406" s="121"/>
    </x:row>
    <x:row r="407" ht="15.75" customHeight="1">
      <x:c r="N407" s="120"/>
      <x:c r="P407" s="120"/>
      <x:c r="Q407" s="121"/>
      <x:c r="S407" s="120"/>
      <x:c r="U407" s="120"/>
      <x:c r="V407" s="121"/>
      <x:c r="W407" s="122"/>
      <x:c r="X407" s="120"/>
      <x:c r="Y407" s="122"/>
      <x:c r="Z407" s="120"/>
      <x:c r="AA407" s="121"/>
      <x:c r="AB407" s="122"/>
      <x:c r="AC407" s="120"/>
      <x:c r="AD407" s="122"/>
      <x:c r="AE407" s="120"/>
      <x:c r="AF407" s="121"/>
      <x:c r="AG407" s="122"/>
      <x:c r="AH407" s="120"/>
      <x:c r="AI407" s="122"/>
      <x:c r="AJ407" s="120"/>
      <x:c r="AK407" s="121"/>
      <x:c r="AL407" s="122"/>
      <x:c r="AM407" s="120"/>
      <x:c r="AN407" s="122"/>
      <x:c r="AO407" s="120"/>
      <x:c r="AP407" s="121"/>
      <x:c r="AQ407" s="122"/>
      <x:c r="AR407" s="120"/>
      <x:c r="AS407" s="122"/>
      <x:c r="AT407" s="120"/>
      <x:c r="AU407" s="121"/>
      <x:c r="AV407" s="122"/>
      <x:c r="AW407" s="120"/>
      <x:c r="AX407" s="122"/>
      <x:c r="AY407" s="120"/>
      <x:c r="AZ407" s="121"/>
      <x:c r="BA407" s="122"/>
      <x:c r="BB407" s="120"/>
      <x:c r="BC407" s="122"/>
      <x:c r="BD407" s="120"/>
      <x:c r="BE407" s="121"/>
      <x:c r="BF407" s="122"/>
      <x:c r="BG407" s="120"/>
      <x:c r="BH407" s="122"/>
      <x:c r="BI407" s="120"/>
      <x:c r="BJ407" s="121"/>
    </x:row>
    <x:row r="408" ht="15.75" customHeight="1">
      <x:c r="N408" s="120"/>
      <x:c r="P408" s="120"/>
      <x:c r="Q408" s="121"/>
      <x:c r="S408" s="120"/>
      <x:c r="U408" s="120"/>
      <x:c r="V408" s="121"/>
      <x:c r="W408" s="122"/>
      <x:c r="X408" s="120"/>
      <x:c r="Y408" s="122"/>
      <x:c r="Z408" s="120"/>
      <x:c r="AA408" s="121"/>
      <x:c r="AB408" s="122"/>
      <x:c r="AC408" s="120"/>
      <x:c r="AD408" s="122"/>
      <x:c r="AE408" s="120"/>
      <x:c r="AF408" s="121"/>
      <x:c r="AG408" s="122"/>
      <x:c r="AH408" s="120"/>
      <x:c r="AI408" s="122"/>
      <x:c r="AJ408" s="120"/>
      <x:c r="AK408" s="121"/>
      <x:c r="AL408" s="122"/>
      <x:c r="AM408" s="120"/>
      <x:c r="AN408" s="122"/>
      <x:c r="AO408" s="120"/>
      <x:c r="AP408" s="121"/>
      <x:c r="AQ408" s="122"/>
      <x:c r="AR408" s="120"/>
      <x:c r="AS408" s="122"/>
      <x:c r="AT408" s="120"/>
      <x:c r="AU408" s="121"/>
      <x:c r="AV408" s="122"/>
      <x:c r="AW408" s="120"/>
      <x:c r="AX408" s="122"/>
      <x:c r="AY408" s="120"/>
      <x:c r="AZ408" s="121"/>
      <x:c r="BA408" s="122"/>
      <x:c r="BB408" s="120"/>
      <x:c r="BC408" s="122"/>
      <x:c r="BD408" s="120"/>
      <x:c r="BE408" s="121"/>
      <x:c r="BF408" s="122"/>
      <x:c r="BG408" s="120"/>
      <x:c r="BH408" s="122"/>
      <x:c r="BI408" s="120"/>
      <x:c r="BJ408" s="121"/>
    </x:row>
    <x:row r="409" ht="15.75" customHeight="1">
      <x:c r="N409" s="120"/>
      <x:c r="P409" s="120"/>
      <x:c r="Q409" s="121"/>
      <x:c r="S409" s="120"/>
      <x:c r="U409" s="120"/>
      <x:c r="V409" s="121"/>
      <x:c r="W409" s="122"/>
      <x:c r="X409" s="120"/>
      <x:c r="Y409" s="122"/>
      <x:c r="Z409" s="120"/>
      <x:c r="AA409" s="121"/>
      <x:c r="AB409" s="122"/>
      <x:c r="AC409" s="120"/>
      <x:c r="AD409" s="122"/>
      <x:c r="AE409" s="120"/>
      <x:c r="AF409" s="121"/>
      <x:c r="AG409" s="122"/>
      <x:c r="AH409" s="120"/>
      <x:c r="AI409" s="122"/>
      <x:c r="AJ409" s="120"/>
      <x:c r="AK409" s="121"/>
      <x:c r="AL409" s="122"/>
      <x:c r="AM409" s="120"/>
      <x:c r="AN409" s="122"/>
      <x:c r="AO409" s="120"/>
      <x:c r="AP409" s="121"/>
      <x:c r="AQ409" s="122"/>
      <x:c r="AR409" s="120"/>
      <x:c r="AS409" s="122"/>
      <x:c r="AT409" s="120"/>
      <x:c r="AU409" s="121"/>
      <x:c r="AV409" s="122"/>
      <x:c r="AW409" s="120"/>
      <x:c r="AX409" s="122"/>
      <x:c r="AY409" s="120"/>
      <x:c r="AZ409" s="121"/>
      <x:c r="BA409" s="122"/>
      <x:c r="BB409" s="120"/>
      <x:c r="BC409" s="122"/>
      <x:c r="BD409" s="120"/>
      <x:c r="BE409" s="121"/>
      <x:c r="BF409" s="122"/>
      <x:c r="BG409" s="120"/>
      <x:c r="BH409" s="122"/>
      <x:c r="BI409" s="120"/>
      <x:c r="BJ409" s="121"/>
    </x:row>
    <x:row r="410" ht="15.75" customHeight="1">
      <x:c r="N410" s="120"/>
      <x:c r="P410" s="120"/>
      <x:c r="Q410" s="121"/>
      <x:c r="S410" s="120"/>
      <x:c r="U410" s="120"/>
      <x:c r="V410" s="121"/>
      <x:c r="W410" s="122"/>
      <x:c r="X410" s="120"/>
      <x:c r="Y410" s="122"/>
      <x:c r="Z410" s="120"/>
      <x:c r="AA410" s="121"/>
      <x:c r="AB410" s="122"/>
      <x:c r="AC410" s="120"/>
      <x:c r="AD410" s="122"/>
      <x:c r="AE410" s="120"/>
      <x:c r="AF410" s="121"/>
      <x:c r="AG410" s="122"/>
      <x:c r="AH410" s="120"/>
      <x:c r="AI410" s="122"/>
      <x:c r="AJ410" s="120"/>
      <x:c r="AK410" s="121"/>
      <x:c r="AL410" s="122"/>
      <x:c r="AM410" s="120"/>
      <x:c r="AN410" s="122"/>
      <x:c r="AO410" s="120"/>
      <x:c r="AP410" s="121"/>
      <x:c r="AQ410" s="122"/>
      <x:c r="AR410" s="120"/>
      <x:c r="AS410" s="122"/>
      <x:c r="AT410" s="120"/>
      <x:c r="AU410" s="121"/>
      <x:c r="AV410" s="122"/>
      <x:c r="AW410" s="120"/>
      <x:c r="AX410" s="122"/>
      <x:c r="AY410" s="120"/>
      <x:c r="AZ410" s="121"/>
      <x:c r="BA410" s="122"/>
      <x:c r="BB410" s="120"/>
      <x:c r="BC410" s="122"/>
      <x:c r="BD410" s="120"/>
      <x:c r="BE410" s="121"/>
      <x:c r="BF410" s="122"/>
      <x:c r="BG410" s="120"/>
      <x:c r="BH410" s="122"/>
      <x:c r="BI410" s="120"/>
      <x:c r="BJ410" s="121"/>
    </x:row>
    <x:row r="411" ht="15.75" customHeight="1">
      <x:c r="N411" s="120"/>
      <x:c r="P411" s="120"/>
      <x:c r="Q411" s="121"/>
      <x:c r="S411" s="120"/>
      <x:c r="U411" s="120"/>
      <x:c r="V411" s="121"/>
      <x:c r="W411" s="122"/>
      <x:c r="X411" s="120"/>
      <x:c r="Y411" s="122"/>
      <x:c r="Z411" s="120"/>
      <x:c r="AA411" s="121"/>
      <x:c r="AB411" s="122"/>
      <x:c r="AC411" s="120"/>
      <x:c r="AD411" s="122"/>
      <x:c r="AE411" s="120"/>
      <x:c r="AF411" s="121"/>
      <x:c r="AG411" s="122"/>
      <x:c r="AH411" s="120"/>
      <x:c r="AI411" s="122"/>
      <x:c r="AJ411" s="120"/>
      <x:c r="AK411" s="121"/>
      <x:c r="AL411" s="122"/>
      <x:c r="AM411" s="120"/>
      <x:c r="AN411" s="122"/>
      <x:c r="AO411" s="120"/>
      <x:c r="AP411" s="121"/>
      <x:c r="AQ411" s="122"/>
      <x:c r="AR411" s="120"/>
      <x:c r="AS411" s="122"/>
      <x:c r="AT411" s="120"/>
      <x:c r="AU411" s="121"/>
      <x:c r="AV411" s="122"/>
      <x:c r="AW411" s="120"/>
      <x:c r="AX411" s="122"/>
      <x:c r="AY411" s="120"/>
      <x:c r="AZ411" s="121"/>
      <x:c r="BA411" s="122"/>
      <x:c r="BB411" s="120"/>
      <x:c r="BC411" s="122"/>
      <x:c r="BD411" s="120"/>
      <x:c r="BE411" s="121"/>
      <x:c r="BF411" s="122"/>
      <x:c r="BG411" s="120"/>
      <x:c r="BH411" s="122"/>
      <x:c r="BI411" s="120"/>
      <x:c r="BJ411" s="121"/>
    </x:row>
    <x:row r="412" ht="15.75" customHeight="1">
      <x:c r="N412" s="120"/>
      <x:c r="P412" s="120"/>
      <x:c r="Q412" s="121"/>
      <x:c r="S412" s="120"/>
      <x:c r="U412" s="120"/>
      <x:c r="V412" s="121"/>
      <x:c r="W412" s="122"/>
      <x:c r="X412" s="120"/>
      <x:c r="Y412" s="122"/>
      <x:c r="Z412" s="120"/>
      <x:c r="AA412" s="121"/>
      <x:c r="AB412" s="122"/>
      <x:c r="AC412" s="120"/>
      <x:c r="AD412" s="122"/>
      <x:c r="AE412" s="120"/>
      <x:c r="AF412" s="121"/>
      <x:c r="AG412" s="122"/>
      <x:c r="AH412" s="120"/>
      <x:c r="AI412" s="122"/>
      <x:c r="AJ412" s="120"/>
      <x:c r="AK412" s="121"/>
      <x:c r="AL412" s="122"/>
      <x:c r="AM412" s="120"/>
      <x:c r="AN412" s="122"/>
      <x:c r="AO412" s="120"/>
      <x:c r="AP412" s="121"/>
      <x:c r="AQ412" s="122"/>
      <x:c r="AR412" s="120"/>
      <x:c r="AS412" s="122"/>
      <x:c r="AT412" s="120"/>
      <x:c r="AU412" s="121"/>
      <x:c r="AV412" s="122"/>
      <x:c r="AW412" s="120"/>
      <x:c r="AX412" s="122"/>
      <x:c r="AY412" s="120"/>
      <x:c r="AZ412" s="121"/>
      <x:c r="BA412" s="122"/>
      <x:c r="BB412" s="120"/>
      <x:c r="BC412" s="122"/>
      <x:c r="BD412" s="120"/>
      <x:c r="BE412" s="121"/>
      <x:c r="BF412" s="122"/>
      <x:c r="BG412" s="120"/>
      <x:c r="BH412" s="122"/>
      <x:c r="BI412" s="120"/>
      <x:c r="BJ412" s="121"/>
    </x:row>
    <x:row r="413" ht="15.75" customHeight="1">
      <x:c r="N413" s="120"/>
      <x:c r="P413" s="120"/>
      <x:c r="Q413" s="121"/>
      <x:c r="S413" s="120"/>
      <x:c r="U413" s="120"/>
      <x:c r="V413" s="121"/>
      <x:c r="W413" s="122"/>
      <x:c r="X413" s="120"/>
      <x:c r="Y413" s="122"/>
      <x:c r="Z413" s="120"/>
      <x:c r="AA413" s="121"/>
      <x:c r="AB413" s="122"/>
      <x:c r="AC413" s="120"/>
      <x:c r="AD413" s="122"/>
      <x:c r="AE413" s="120"/>
      <x:c r="AF413" s="121"/>
      <x:c r="AG413" s="122"/>
      <x:c r="AH413" s="120"/>
      <x:c r="AI413" s="122"/>
      <x:c r="AJ413" s="120"/>
      <x:c r="AK413" s="121"/>
      <x:c r="AL413" s="122"/>
      <x:c r="AM413" s="120"/>
      <x:c r="AN413" s="122"/>
      <x:c r="AO413" s="120"/>
      <x:c r="AP413" s="121"/>
      <x:c r="AQ413" s="122"/>
      <x:c r="AR413" s="120"/>
      <x:c r="AS413" s="122"/>
      <x:c r="AT413" s="120"/>
      <x:c r="AU413" s="121"/>
      <x:c r="AV413" s="122"/>
      <x:c r="AW413" s="120"/>
      <x:c r="AX413" s="122"/>
      <x:c r="AY413" s="120"/>
      <x:c r="AZ413" s="121"/>
      <x:c r="BA413" s="122"/>
      <x:c r="BB413" s="120"/>
      <x:c r="BC413" s="122"/>
      <x:c r="BD413" s="120"/>
      <x:c r="BE413" s="121"/>
      <x:c r="BF413" s="122"/>
      <x:c r="BG413" s="120"/>
      <x:c r="BH413" s="122"/>
      <x:c r="BI413" s="120"/>
      <x:c r="BJ413" s="121"/>
    </x:row>
    <x:row r="414" ht="15.75" customHeight="1">
      <x:c r="N414" s="120"/>
      <x:c r="P414" s="120"/>
      <x:c r="Q414" s="121"/>
      <x:c r="S414" s="120"/>
      <x:c r="U414" s="120"/>
      <x:c r="V414" s="121"/>
      <x:c r="W414" s="122"/>
      <x:c r="X414" s="120"/>
      <x:c r="Y414" s="122"/>
      <x:c r="Z414" s="120"/>
      <x:c r="AA414" s="121"/>
      <x:c r="AB414" s="122"/>
      <x:c r="AC414" s="120"/>
      <x:c r="AD414" s="122"/>
      <x:c r="AE414" s="120"/>
      <x:c r="AF414" s="121"/>
      <x:c r="AG414" s="122"/>
      <x:c r="AH414" s="120"/>
      <x:c r="AI414" s="122"/>
      <x:c r="AJ414" s="120"/>
      <x:c r="AK414" s="121"/>
      <x:c r="AL414" s="122"/>
      <x:c r="AM414" s="120"/>
      <x:c r="AN414" s="122"/>
      <x:c r="AO414" s="120"/>
      <x:c r="AP414" s="121"/>
      <x:c r="AQ414" s="122"/>
      <x:c r="AR414" s="120"/>
      <x:c r="AS414" s="122"/>
      <x:c r="AT414" s="120"/>
      <x:c r="AU414" s="121"/>
      <x:c r="AV414" s="122"/>
      <x:c r="AW414" s="120"/>
      <x:c r="AX414" s="122"/>
      <x:c r="AY414" s="120"/>
      <x:c r="AZ414" s="121"/>
      <x:c r="BA414" s="122"/>
      <x:c r="BB414" s="120"/>
      <x:c r="BC414" s="122"/>
      <x:c r="BD414" s="120"/>
      <x:c r="BE414" s="121"/>
      <x:c r="BF414" s="122"/>
      <x:c r="BG414" s="120"/>
      <x:c r="BH414" s="122"/>
      <x:c r="BI414" s="120"/>
      <x:c r="BJ414" s="121"/>
    </x:row>
    <x:row r="415" ht="15.75" customHeight="1">
      <x:c r="N415" s="120"/>
      <x:c r="P415" s="120"/>
      <x:c r="Q415" s="121"/>
      <x:c r="S415" s="120"/>
      <x:c r="U415" s="120"/>
      <x:c r="V415" s="121"/>
      <x:c r="W415" s="122"/>
      <x:c r="X415" s="120"/>
      <x:c r="Y415" s="122"/>
      <x:c r="Z415" s="120"/>
      <x:c r="AA415" s="121"/>
      <x:c r="AB415" s="122"/>
      <x:c r="AC415" s="120"/>
      <x:c r="AD415" s="122"/>
      <x:c r="AE415" s="120"/>
      <x:c r="AF415" s="121"/>
      <x:c r="AG415" s="122"/>
      <x:c r="AH415" s="120"/>
      <x:c r="AI415" s="122"/>
      <x:c r="AJ415" s="120"/>
      <x:c r="AK415" s="121"/>
      <x:c r="AL415" s="122"/>
      <x:c r="AM415" s="120"/>
      <x:c r="AN415" s="122"/>
      <x:c r="AO415" s="120"/>
      <x:c r="AP415" s="121"/>
      <x:c r="AQ415" s="122"/>
      <x:c r="AR415" s="120"/>
      <x:c r="AS415" s="122"/>
      <x:c r="AT415" s="120"/>
      <x:c r="AU415" s="121"/>
      <x:c r="AV415" s="122"/>
      <x:c r="AW415" s="120"/>
      <x:c r="AX415" s="122"/>
      <x:c r="AY415" s="120"/>
      <x:c r="AZ415" s="121"/>
      <x:c r="BA415" s="122"/>
      <x:c r="BB415" s="120"/>
      <x:c r="BC415" s="122"/>
      <x:c r="BD415" s="120"/>
      <x:c r="BE415" s="121"/>
      <x:c r="BF415" s="122"/>
      <x:c r="BG415" s="120"/>
      <x:c r="BH415" s="122"/>
      <x:c r="BI415" s="120"/>
      <x:c r="BJ415" s="121"/>
    </x:row>
    <x:row r="416" ht="15.75" customHeight="1">
      <x:c r="N416" s="120"/>
      <x:c r="P416" s="120"/>
      <x:c r="Q416" s="121"/>
      <x:c r="S416" s="120"/>
      <x:c r="U416" s="120"/>
      <x:c r="V416" s="121"/>
      <x:c r="W416" s="122"/>
      <x:c r="X416" s="120"/>
      <x:c r="Y416" s="122"/>
      <x:c r="Z416" s="120"/>
      <x:c r="AA416" s="121"/>
      <x:c r="AB416" s="122"/>
      <x:c r="AC416" s="120"/>
      <x:c r="AD416" s="122"/>
      <x:c r="AE416" s="120"/>
      <x:c r="AF416" s="121"/>
      <x:c r="AG416" s="122"/>
      <x:c r="AH416" s="120"/>
      <x:c r="AI416" s="122"/>
      <x:c r="AJ416" s="120"/>
      <x:c r="AK416" s="121"/>
      <x:c r="AL416" s="122"/>
      <x:c r="AM416" s="120"/>
      <x:c r="AN416" s="122"/>
      <x:c r="AO416" s="120"/>
      <x:c r="AP416" s="121"/>
      <x:c r="AQ416" s="122"/>
      <x:c r="AR416" s="120"/>
      <x:c r="AS416" s="122"/>
      <x:c r="AT416" s="120"/>
      <x:c r="AU416" s="121"/>
      <x:c r="AV416" s="122"/>
      <x:c r="AW416" s="120"/>
      <x:c r="AX416" s="122"/>
      <x:c r="AY416" s="120"/>
      <x:c r="AZ416" s="121"/>
      <x:c r="BA416" s="122"/>
      <x:c r="BB416" s="120"/>
      <x:c r="BC416" s="122"/>
      <x:c r="BD416" s="120"/>
      <x:c r="BE416" s="121"/>
      <x:c r="BF416" s="122"/>
      <x:c r="BG416" s="120"/>
      <x:c r="BH416" s="122"/>
      <x:c r="BI416" s="120"/>
      <x:c r="BJ416" s="121"/>
    </x:row>
    <x:row r="417" ht="15.75" customHeight="1">
      <x:c r="N417" s="120"/>
      <x:c r="P417" s="120"/>
      <x:c r="Q417" s="121"/>
      <x:c r="S417" s="120"/>
      <x:c r="U417" s="120"/>
      <x:c r="V417" s="121"/>
      <x:c r="W417" s="122"/>
      <x:c r="X417" s="120"/>
      <x:c r="Y417" s="122"/>
      <x:c r="Z417" s="120"/>
      <x:c r="AA417" s="121"/>
      <x:c r="AB417" s="122"/>
      <x:c r="AC417" s="120"/>
      <x:c r="AD417" s="122"/>
      <x:c r="AE417" s="120"/>
      <x:c r="AF417" s="121"/>
      <x:c r="AG417" s="122"/>
      <x:c r="AH417" s="120"/>
      <x:c r="AI417" s="122"/>
      <x:c r="AJ417" s="120"/>
      <x:c r="AK417" s="121"/>
      <x:c r="AL417" s="122"/>
      <x:c r="AM417" s="120"/>
      <x:c r="AN417" s="122"/>
      <x:c r="AO417" s="120"/>
      <x:c r="AP417" s="121"/>
      <x:c r="AQ417" s="122"/>
      <x:c r="AR417" s="120"/>
      <x:c r="AS417" s="122"/>
      <x:c r="AT417" s="120"/>
      <x:c r="AU417" s="121"/>
      <x:c r="AV417" s="122"/>
      <x:c r="AW417" s="120"/>
      <x:c r="AX417" s="122"/>
      <x:c r="AY417" s="120"/>
      <x:c r="AZ417" s="121"/>
      <x:c r="BA417" s="122"/>
      <x:c r="BB417" s="120"/>
      <x:c r="BC417" s="122"/>
      <x:c r="BD417" s="120"/>
      <x:c r="BE417" s="121"/>
      <x:c r="BF417" s="122"/>
      <x:c r="BG417" s="120"/>
      <x:c r="BH417" s="122"/>
      <x:c r="BI417" s="120"/>
      <x:c r="BJ417" s="121"/>
    </x:row>
    <x:row r="418" ht="15.75" customHeight="1">
      <x:c r="N418" s="120"/>
      <x:c r="P418" s="120"/>
      <x:c r="Q418" s="121"/>
      <x:c r="S418" s="120"/>
      <x:c r="U418" s="120"/>
      <x:c r="V418" s="121"/>
      <x:c r="W418" s="122"/>
      <x:c r="X418" s="120"/>
      <x:c r="Y418" s="122"/>
      <x:c r="Z418" s="120"/>
      <x:c r="AA418" s="121"/>
      <x:c r="AB418" s="122"/>
      <x:c r="AC418" s="120"/>
      <x:c r="AD418" s="122"/>
      <x:c r="AE418" s="120"/>
      <x:c r="AF418" s="121"/>
      <x:c r="AG418" s="122"/>
      <x:c r="AH418" s="120"/>
      <x:c r="AI418" s="122"/>
      <x:c r="AJ418" s="120"/>
      <x:c r="AK418" s="121"/>
      <x:c r="AL418" s="122"/>
      <x:c r="AM418" s="120"/>
      <x:c r="AN418" s="122"/>
      <x:c r="AO418" s="120"/>
      <x:c r="AP418" s="121"/>
      <x:c r="AQ418" s="122"/>
      <x:c r="AR418" s="120"/>
      <x:c r="AS418" s="122"/>
      <x:c r="AT418" s="120"/>
      <x:c r="AU418" s="121"/>
      <x:c r="AV418" s="122"/>
      <x:c r="AW418" s="120"/>
      <x:c r="AX418" s="122"/>
      <x:c r="AY418" s="120"/>
      <x:c r="AZ418" s="121"/>
      <x:c r="BA418" s="122"/>
      <x:c r="BB418" s="120"/>
      <x:c r="BC418" s="122"/>
      <x:c r="BD418" s="120"/>
      <x:c r="BE418" s="121"/>
      <x:c r="BF418" s="122"/>
      <x:c r="BG418" s="120"/>
      <x:c r="BH418" s="122"/>
      <x:c r="BI418" s="120"/>
      <x:c r="BJ418" s="121"/>
    </x:row>
    <x:row r="419" ht="15.75" customHeight="1">
      <x:c r="N419" s="120"/>
      <x:c r="P419" s="120"/>
      <x:c r="Q419" s="121"/>
      <x:c r="S419" s="120"/>
      <x:c r="U419" s="120"/>
      <x:c r="V419" s="121"/>
      <x:c r="W419" s="122"/>
      <x:c r="X419" s="120"/>
      <x:c r="Y419" s="122"/>
      <x:c r="Z419" s="120"/>
      <x:c r="AA419" s="121"/>
      <x:c r="AB419" s="122"/>
      <x:c r="AC419" s="120"/>
      <x:c r="AD419" s="122"/>
      <x:c r="AE419" s="120"/>
      <x:c r="AF419" s="121"/>
      <x:c r="AG419" s="122"/>
      <x:c r="AH419" s="120"/>
      <x:c r="AI419" s="122"/>
      <x:c r="AJ419" s="120"/>
      <x:c r="AK419" s="121"/>
      <x:c r="AL419" s="122"/>
      <x:c r="AM419" s="120"/>
      <x:c r="AN419" s="122"/>
      <x:c r="AO419" s="120"/>
      <x:c r="AP419" s="121"/>
      <x:c r="AQ419" s="122"/>
      <x:c r="AR419" s="120"/>
      <x:c r="AS419" s="122"/>
      <x:c r="AT419" s="120"/>
      <x:c r="AU419" s="121"/>
      <x:c r="AV419" s="122"/>
      <x:c r="AW419" s="120"/>
      <x:c r="AX419" s="122"/>
      <x:c r="AY419" s="120"/>
      <x:c r="AZ419" s="121"/>
      <x:c r="BA419" s="122"/>
      <x:c r="BB419" s="120"/>
      <x:c r="BC419" s="122"/>
      <x:c r="BD419" s="120"/>
      <x:c r="BE419" s="121"/>
      <x:c r="BF419" s="122"/>
      <x:c r="BG419" s="120"/>
      <x:c r="BH419" s="122"/>
      <x:c r="BI419" s="120"/>
      <x:c r="BJ419" s="121"/>
    </x:row>
    <x:row r="420" ht="15.75" customHeight="1">
      <x:c r="N420" s="120"/>
      <x:c r="P420" s="120"/>
      <x:c r="Q420" s="121"/>
      <x:c r="S420" s="120"/>
      <x:c r="U420" s="120"/>
      <x:c r="V420" s="121"/>
      <x:c r="W420" s="122"/>
      <x:c r="X420" s="120"/>
      <x:c r="Y420" s="122"/>
      <x:c r="Z420" s="120"/>
      <x:c r="AA420" s="121"/>
      <x:c r="AB420" s="122"/>
      <x:c r="AC420" s="120"/>
      <x:c r="AD420" s="122"/>
      <x:c r="AE420" s="120"/>
      <x:c r="AF420" s="121"/>
      <x:c r="AG420" s="122"/>
      <x:c r="AH420" s="120"/>
      <x:c r="AI420" s="122"/>
      <x:c r="AJ420" s="120"/>
      <x:c r="AK420" s="121"/>
      <x:c r="AL420" s="122"/>
      <x:c r="AM420" s="120"/>
      <x:c r="AN420" s="122"/>
      <x:c r="AO420" s="120"/>
      <x:c r="AP420" s="121"/>
      <x:c r="AQ420" s="122"/>
      <x:c r="AR420" s="120"/>
      <x:c r="AS420" s="122"/>
      <x:c r="AT420" s="120"/>
      <x:c r="AU420" s="121"/>
      <x:c r="AV420" s="122"/>
      <x:c r="AW420" s="120"/>
      <x:c r="AX420" s="122"/>
      <x:c r="AY420" s="120"/>
      <x:c r="AZ420" s="121"/>
      <x:c r="BA420" s="122"/>
      <x:c r="BB420" s="120"/>
      <x:c r="BC420" s="122"/>
      <x:c r="BD420" s="120"/>
      <x:c r="BE420" s="121"/>
      <x:c r="BF420" s="122"/>
      <x:c r="BG420" s="120"/>
      <x:c r="BH420" s="122"/>
      <x:c r="BI420" s="120"/>
      <x:c r="BJ420" s="121"/>
    </x:row>
    <x:row r="421" ht="15.75" customHeight="1">
      <x:c r="N421" s="120"/>
      <x:c r="P421" s="120"/>
      <x:c r="Q421" s="121"/>
      <x:c r="S421" s="120"/>
      <x:c r="U421" s="120"/>
      <x:c r="V421" s="121"/>
      <x:c r="W421" s="122"/>
      <x:c r="X421" s="120"/>
      <x:c r="Y421" s="122"/>
      <x:c r="Z421" s="120"/>
      <x:c r="AA421" s="121"/>
      <x:c r="AB421" s="122"/>
      <x:c r="AC421" s="120"/>
      <x:c r="AD421" s="122"/>
      <x:c r="AE421" s="120"/>
      <x:c r="AF421" s="121"/>
      <x:c r="AG421" s="122"/>
      <x:c r="AH421" s="120"/>
      <x:c r="AI421" s="122"/>
      <x:c r="AJ421" s="120"/>
      <x:c r="AK421" s="121"/>
      <x:c r="AL421" s="122"/>
      <x:c r="AM421" s="120"/>
      <x:c r="AN421" s="122"/>
      <x:c r="AO421" s="120"/>
      <x:c r="AP421" s="121"/>
      <x:c r="AQ421" s="122"/>
      <x:c r="AR421" s="120"/>
      <x:c r="AS421" s="122"/>
      <x:c r="AT421" s="120"/>
      <x:c r="AU421" s="121"/>
      <x:c r="AV421" s="122"/>
      <x:c r="AW421" s="120"/>
      <x:c r="AX421" s="122"/>
      <x:c r="AY421" s="120"/>
      <x:c r="AZ421" s="121"/>
      <x:c r="BA421" s="122"/>
      <x:c r="BB421" s="120"/>
      <x:c r="BC421" s="122"/>
      <x:c r="BD421" s="120"/>
      <x:c r="BE421" s="121"/>
      <x:c r="BF421" s="122"/>
      <x:c r="BG421" s="120"/>
      <x:c r="BH421" s="122"/>
      <x:c r="BI421" s="120"/>
      <x:c r="BJ421" s="121"/>
    </x:row>
    <x:row r="422" ht="15.75" customHeight="1">
      <x:c r="N422" s="120"/>
      <x:c r="P422" s="120"/>
      <x:c r="Q422" s="121"/>
      <x:c r="S422" s="120"/>
      <x:c r="U422" s="120"/>
      <x:c r="V422" s="121"/>
      <x:c r="W422" s="122"/>
      <x:c r="X422" s="120"/>
      <x:c r="Y422" s="122"/>
      <x:c r="Z422" s="120"/>
      <x:c r="AA422" s="121"/>
      <x:c r="AB422" s="122"/>
      <x:c r="AC422" s="120"/>
      <x:c r="AD422" s="122"/>
      <x:c r="AE422" s="120"/>
      <x:c r="AF422" s="121"/>
      <x:c r="AG422" s="122"/>
      <x:c r="AH422" s="120"/>
      <x:c r="AI422" s="122"/>
      <x:c r="AJ422" s="120"/>
      <x:c r="AK422" s="121"/>
      <x:c r="AL422" s="122"/>
      <x:c r="AM422" s="120"/>
      <x:c r="AN422" s="122"/>
      <x:c r="AO422" s="120"/>
      <x:c r="AP422" s="121"/>
      <x:c r="AQ422" s="122"/>
      <x:c r="AR422" s="120"/>
      <x:c r="AS422" s="122"/>
      <x:c r="AT422" s="120"/>
      <x:c r="AU422" s="121"/>
      <x:c r="AV422" s="122"/>
      <x:c r="AW422" s="120"/>
      <x:c r="AX422" s="122"/>
      <x:c r="AY422" s="120"/>
      <x:c r="AZ422" s="121"/>
      <x:c r="BA422" s="122"/>
      <x:c r="BB422" s="120"/>
      <x:c r="BC422" s="122"/>
      <x:c r="BD422" s="120"/>
      <x:c r="BE422" s="121"/>
      <x:c r="BF422" s="122"/>
      <x:c r="BG422" s="120"/>
      <x:c r="BH422" s="122"/>
      <x:c r="BI422" s="120"/>
      <x:c r="BJ422" s="121"/>
    </x:row>
    <x:row r="423" ht="15.75" customHeight="1">
      <x:c r="N423" s="120"/>
      <x:c r="P423" s="120"/>
      <x:c r="Q423" s="121"/>
      <x:c r="S423" s="120"/>
      <x:c r="U423" s="120"/>
      <x:c r="V423" s="121"/>
      <x:c r="W423" s="122"/>
      <x:c r="X423" s="120"/>
      <x:c r="Y423" s="122"/>
      <x:c r="Z423" s="120"/>
      <x:c r="AA423" s="121"/>
      <x:c r="AB423" s="122"/>
      <x:c r="AC423" s="120"/>
      <x:c r="AD423" s="122"/>
      <x:c r="AE423" s="120"/>
      <x:c r="AF423" s="121"/>
      <x:c r="AG423" s="122"/>
      <x:c r="AH423" s="120"/>
      <x:c r="AI423" s="122"/>
      <x:c r="AJ423" s="120"/>
      <x:c r="AK423" s="121"/>
      <x:c r="AL423" s="122"/>
      <x:c r="AM423" s="120"/>
      <x:c r="AN423" s="122"/>
      <x:c r="AO423" s="120"/>
      <x:c r="AP423" s="121"/>
      <x:c r="AQ423" s="122"/>
      <x:c r="AR423" s="120"/>
      <x:c r="AS423" s="122"/>
      <x:c r="AT423" s="120"/>
      <x:c r="AU423" s="121"/>
      <x:c r="AV423" s="122"/>
      <x:c r="AW423" s="120"/>
      <x:c r="AX423" s="122"/>
      <x:c r="AY423" s="120"/>
      <x:c r="AZ423" s="121"/>
      <x:c r="BA423" s="122"/>
      <x:c r="BB423" s="120"/>
      <x:c r="BC423" s="122"/>
      <x:c r="BD423" s="120"/>
      <x:c r="BE423" s="121"/>
      <x:c r="BF423" s="122"/>
      <x:c r="BG423" s="120"/>
      <x:c r="BH423" s="122"/>
      <x:c r="BI423" s="120"/>
      <x:c r="BJ423" s="121"/>
    </x:row>
    <x:row r="424" ht="15.75" customHeight="1">
      <x:c r="N424" s="120"/>
      <x:c r="P424" s="120"/>
      <x:c r="Q424" s="121"/>
      <x:c r="S424" s="120"/>
      <x:c r="U424" s="120"/>
      <x:c r="V424" s="121"/>
      <x:c r="W424" s="122"/>
      <x:c r="X424" s="120"/>
      <x:c r="Y424" s="122"/>
      <x:c r="Z424" s="120"/>
      <x:c r="AA424" s="121"/>
      <x:c r="AB424" s="122"/>
      <x:c r="AC424" s="120"/>
      <x:c r="AD424" s="122"/>
      <x:c r="AE424" s="120"/>
      <x:c r="AF424" s="121"/>
      <x:c r="AG424" s="122"/>
      <x:c r="AH424" s="120"/>
      <x:c r="AI424" s="122"/>
      <x:c r="AJ424" s="120"/>
      <x:c r="AK424" s="121"/>
      <x:c r="AL424" s="122"/>
      <x:c r="AM424" s="120"/>
      <x:c r="AN424" s="122"/>
      <x:c r="AO424" s="120"/>
      <x:c r="AP424" s="121"/>
      <x:c r="AQ424" s="122"/>
      <x:c r="AR424" s="120"/>
      <x:c r="AS424" s="122"/>
      <x:c r="AT424" s="120"/>
      <x:c r="AU424" s="121"/>
      <x:c r="AV424" s="122"/>
      <x:c r="AW424" s="120"/>
      <x:c r="AX424" s="122"/>
      <x:c r="AY424" s="120"/>
      <x:c r="AZ424" s="121"/>
      <x:c r="BA424" s="122"/>
      <x:c r="BB424" s="120"/>
      <x:c r="BC424" s="122"/>
      <x:c r="BD424" s="120"/>
      <x:c r="BE424" s="121"/>
      <x:c r="BF424" s="122"/>
      <x:c r="BG424" s="120"/>
      <x:c r="BH424" s="122"/>
      <x:c r="BI424" s="120"/>
      <x:c r="BJ424" s="121"/>
    </x:row>
    <x:row r="425" ht="15.75" customHeight="1">
      <x:c r="N425" s="120"/>
      <x:c r="P425" s="120"/>
      <x:c r="Q425" s="121"/>
      <x:c r="S425" s="120"/>
      <x:c r="U425" s="120"/>
      <x:c r="V425" s="121"/>
      <x:c r="W425" s="122"/>
      <x:c r="X425" s="120"/>
      <x:c r="Y425" s="122"/>
      <x:c r="Z425" s="120"/>
      <x:c r="AA425" s="121"/>
      <x:c r="AB425" s="122"/>
      <x:c r="AC425" s="120"/>
      <x:c r="AD425" s="122"/>
      <x:c r="AE425" s="120"/>
      <x:c r="AF425" s="121"/>
      <x:c r="AG425" s="122"/>
      <x:c r="AH425" s="120"/>
      <x:c r="AI425" s="122"/>
      <x:c r="AJ425" s="120"/>
      <x:c r="AK425" s="121"/>
      <x:c r="AL425" s="122"/>
      <x:c r="AM425" s="120"/>
      <x:c r="AN425" s="122"/>
      <x:c r="AO425" s="120"/>
      <x:c r="AP425" s="121"/>
      <x:c r="AQ425" s="122"/>
      <x:c r="AR425" s="120"/>
      <x:c r="AS425" s="122"/>
      <x:c r="AT425" s="120"/>
      <x:c r="AU425" s="121"/>
      <x:c r="AV425" s="122"/>
      <x:c r="AW425" s="120"/>
      <x:c r="AX425" s="122"/>
      <x:c r="AY425" s="120"/>
      <x:c r="AZ425" s="121"/>
      <x:c r="BA425" s="122"/>
      <x:c r="BB425" s="120"/>
      <x:c r="BC425" s="122"/>
      <x:c r="BD425" s="120"/>
      <x:c r="BE425" s="121"/>
      <x:c r="BF425" s="122"/>
      <x:c r="BG425" s="120"/>
      <x:c r="BH425" s="122"/>
      <x:c r="BI425" s="120"/>
      <x:c r="BJ425" s="121"/>
    </x:row>
    <x:row r="426" ht="15.75" customHeight="1">
      <x:c r="N426" s="120"/>
      <x:c r="P426" s="120"/>
      <x:c r="Q426" s="121"/>
      <x:c r="S426" s="120"/>
      <x:c r="U426" s="120"/>
      <x:c r="V426" s="121"/>
      <x:c r="W426" s="122"/>
      <x:c r="X426" s="120"/>
      <x:c r="Y426" s="122"/>
      <x:c r="Z426" s="120"/>
      <x:c r="AA426" s="121"/>
      <x:c r="AB426" s="122"/>
      <x:c r="AC426" s="120"/>
      <x:c r="AD426" s="122"/>
      <x:c r="AE426" s="120"/>
      <x:c r="AF426" s="121"/>
      <x:c r="AG426" s="122"/>
      <x:c r="AH426" s="120"/>
      <x:c r="AI426" s="122"/>
      <x:c r="AJ426" s="120"/>
      <x:c r="AK426" s="121"/>
      <x:c r="AL426" s="122"/>
      <x:c r="AM426" s="120"/>
      <x:c r="AN426" s="122"/>
      <x:c r="AO426" s="120"/>
      <x:c r="AP426" s="121"/>
      <x:c r="AQ426" s="122"/>
      <x:c r="AR426" s="120"/>
      <x:c r="AS426" s="122"/>
      <x:c r="AT426" s="120"/>
      <x:c r="AU426" s="121"/>
      <x:c r="AV426" s="122"/>
      <x:c r="AW426" s="120"/>
      <x:c r="AX426" s="122"/>
      <x:c r="AY426" s="120"/>
      <x:c r="AZ426" s="121"/>
      <x:c r="BA426" s="122"/>
      <x:c r="BB426" s="120"/>
      <x:c r="BC426" s="122"/>
      <x:c r="BD426" s="120"/>
      <x:c r="BE426" s="121"/>
      <x:c r="BF426" s="122"/>
      <x:c r="BG426" s="120"/>
      <x:c r="BH426" s="122"/>
      <x:c r="BI426" s="120"/>
      <x:c r="BJ426" s="121"/>
    </x:row>
    <x:row r="427" ht="15.75" customHeight="1">
      <x:c r="N427" s="120"/>
      <x:c r="P427" s="120"/>
      <x:c r="Q427" s="121"/>
      <x:c r="S427" s="120"/>
      <x:c r="U427" s="120"/>
      <x:c r="V427" s="121"/>
      <x:c r="W427" s="122"/>
      <x:c r="X427" s="120"/>
      <x:c r="Y427" s="122"/>
      <x:c r="Z427" s="120"/>
      <x:c r="AA427" s="121"/>
      <x:c r="AB427" s="122"/>
      <x:c r="AC427" s="120"/>
      <x:c r="AD427" s="122"/>
      <x:c r="AE427" s="120"/>
      <x:c r="AF427" s="121"/>
      <x:c r="AG427" s="122"/>
      <x:c r="AH427" s="120"/>
      <x:c r="AI427" s="122"/>
      <x:c r="AJ427" s="120"/>
      <x:c r="AK427" s="121"/>
      <x:c r="AL427" s="122"/>
      <x:c r="AM427" s="120"/>
      <x:c r="AN427" s="122"/>
      <x:c r="AO427" s="120"/>
      <x:c r="AP427" s="121"/>
      <x:c r="AQ427" s="122"/>
      <x:c r="AR427" s="120"/>
      <x:c r="AS427" s="122"/>
      <x:c r="AT427" s="120"/>
      <x:c r="AU427" s="121"/>
      <x:c r="AV427" s="122"/>
      <x:c r="AW427" s="120"/>
      <x:c r="AX427" s="122"/>
      <x:c r="AY427" s="120"/>
      <x:c r="AZ427" s="121"/>
      <x:c r="BA427" s="122"/>
      <x:c r="BB427" s="120"/>
      <x:c r="BC427" s="122"/>
      <x:c r="BD427" s="120"/>
      <x:c r="BE427" s="121"/>
      <x:c r="BF427" s="122"/>
      <x:c r="BG427" s="120"/>
      <x:c r="BH427" s="122"/>
      <x:c r="BI427" s="120"/>
      <x:c r="BJ427" s="121"/>
    </x:row>
    <x:row r="428" ht="15.75" customHeight="1">
      <x:c r="N428" s="120"/>
      <x:c r="P428" s="120"/>
      <x:c r="Q428" s="121"/>
      <x:c r="S428" s="120"/>
      <x:c r="U428" s="120"/>
      <x:c r="V428" s="121"/>
      <x:c r="W428" s="122"/>
      <x:c r="X428" s="120"/>
      <x:c r="Y428" s="122"/>
      <x:c r="Z428" s="120"/>
      <x:c r="AA428" s="121"/>
      <x:c r="AB428" s="122"/>
      <x:c r="AC428" s="120"/>
      <x:c r="AD428" s="122"/>
      <x:c r="AE428" s="120"/>
      <x:c r="AF428" s="121"/>
      <x:c r="AG428" s="122"/>
      <x:c r="AH428" s="120"/>
      <x:c r="AI428" s="122"/>
      <x:c r="AJ428" s="120"/>
      <x:c r="AK428" s="121"/>
      <x:c r="AL428" s="122"/>
      <x:c r="AM428" s="120"/>
      <x:c r="AN428" s="122"/>
      <x:c r="AO428" s="120"/>
      <x:c r="AP428" s="121"/>
      <x:c r="AQ428" s="122"/>
      <x:c r="AR428" s="120"/>
      <x:c r="AS428" s="122"/>
      <x:c r="AT428" s="120"/>
      <x:c r="AU428" s="121"/>
      <x:c r="AV428" s="122"/>
      <x:c r="AW428" s="120"/>
      <x:c r="AX428" s="122"/>
      <x:c r="AY428" s="120"/>
      <x:c r="AZ428" s="121"/>
      <x:c r="BA428" s="122"/>
      <x:c r="BB428" s="120"/>
      <x:c r="BC428" s="122"/>
      <x:c r="BD428" s="120"/>
      <x:c r="BE428" s="121"/>
      <x:c r="BF428" s="122"/>
      <x:c r="BG428" s="120"/>
      <x:c r="BH428" s="122"/>
      <x:c r="BI428" s="120"/>
      <x:c r="BJ428" s="121"/>
    </x:row>
    <x:row r="429" ht="15.75" customHeight="1">
      <x:c r="N429" s="120"/>
      <x:c r="P429" s="120"/>
      <x:c r="Q429" s="121"/>
      <x:c r="S429" s="120"/>
      <x:c r="U429" s="120"/>
      <x:c r="V429" s="121"/>
      <x:c r="W429" s="122"/>
      <x:c r="X429" s="120"/>
      <x:c r="Y429" s="122"/>
      <x:c r="Z429" s="120"/>
      <x:c r="AA429" s="121"/>
      <x:c r="AB429" s="122"/>
      <x:c r="AC429" s="120"/>
      <x:c r="AD429" s="122"/>
      <x:c r="AE429" s="120"/>
      <x:c r="AF429" s="121"/>
      <x:c r="AG429" s="122"/>
      <x:c r="AH429" s="120"/>
      <x:c r="AI429" s="122"/>
      <x:c r="AJ429" s="120"/>
      <x:c r="AK429" s="121"/>
      <x:c r="AL429" s="122"/>
      <x:c r="AM429" s="120"/>
      <x:c r="AN429" s="122"/>
      <x:c r="AO429" s="120"/>
      <x:c r="AP429" s="121"/>
      <x:c r="AQ429" s="122"/>
      <x:c r="AR429" s="120"/>
      <x:c r="AS429" s="122"/>
      <x:c r="AT429" s="120"/>
      <x:c r="AU429" s="121"/>
      <x:c r="AV429" s="122"/>
      <x:c r="AW429" s="120"/>
      <x:c r="AX429" s="122"/>
      <x:c r="AY429" s="120"/>
      <x:c r="AZ429" s="121"/>
      <x:c r="BA429" s="122"/>
      <x:c r="BB429" s="120"/>
      <x:c r="BC429" s="122"/>
      <x:c r="BD429" s="120"/>
      <x:c r="BE429" s="121"/>
      <x:c r="BF429" s="122"/>
      <x:c r="BG429" s="120"/>
      <x:c r="BH429" s="122"/>
      <x:c r="BI429" s="120"/>
      <x:c r="BJ429" s="121"/>
    </x:row>
    <x:row r="430" ht="15.75" customHeight="1">
      <x:c r="N430" s="120"/>
      <x:c r="P430" s="120"/>
      <x:c r="Q430" s="121"/>
      <x:c r="S430" s="120"/>
      <x:c r="U430" s="120"/>
      <x:c r="V430" s="121"/>
      <x:c r="W430" s="122"/>
      <x:c r="X430" s="120"/>
      <x:c r="Y430" s="122"/>
      <x:c r="Z430" s="120"/>
      <x:c r="AA430" s="121"/>
      <x:c r="AB430" s="122"/>
      <x:c r="AC430" s="120"/>
      <x:c r="AD430" s="122"/>
      <x:c r="AE430" s="120"/>
      <x:c r="AF430" s="121"/>
      <x:c r="AG430" s="122"/>
      <x:c r="AH430" s="120"/>
      <x:c r="AI430" s="122"/>
      <x:c r="AJ430" s="120"/>
      <x:c r="AK430" s="121"/>
      <x:c r="AL430" s="122"/>
      <x:c r="AM430" s="120"/>
      <x:c r="AN430" s="122"/>
      <x:c r="AO430" s="120"/>
      <x:c r="AP430" s="121"/>
      <x:c r="AQ430" s="122"/>
      <x:c r="AR430" s="120"/>
      <x:c r="AS430" s="122"/>
      <x:c r="AT430" s="120"/>
      <x:c r="AU430" s="121"/>
      <x:c r="AV430" s="122"/>
      <x:c r="AW430" s="120"/>
      <x:c r="AX430" s="122"/>
      <x:c r="AY430" s="120"/>
      <x:c r="AZ430" s="121"/>
      <x:c r="BA430" s="122"/>
      <x:c r="BB430" s="120"/>
      <x:c r="BC430" s="122"/>
      <x:c r="BD430" s="120"/>
      <x:c r="BE430" s="121"/>
      <x:c r="BF430" s="122"/>
      <x:c r="BG430" s="120"/>
      <x:c r="BH430" s="122"/>
      <x:c r="BI430" s="120"/>
      <x:c r="BJ430" s="121"/>
    </x:row>
    <x:row r="431" ht="15.75" customHeight="1">
      <x:c r="N431" s="120"/>
      <x:c r="P431" s="120"/>
      <x:c r="Q431" s="121"/>
      <x:c r="S431" s="120"/>
      <x:c r="U431" s="120"/>
      <x:c r="V431" s="121"/>
      <x:c r="W431" s="122"/>
      <x:c r="X431" s="120"/>
      <x:c r="Y431" s="122"/>
      <x:c r="Z431" s="120"/>
      <x:c r="AA431" s="121"/>
      <x:c r="AB431" s="122"/>
      <x:c r="AC431" s="120"/>
      <x:c r="AD431" s="122"/>
      <x:c r="AE431" s="120"/>
      <x:c r="AF431" s="121"/>
      <x:c r="AG431" s="122"/>
      <x:c r="AH431" s="120"/>
      <x:c r="AI431" s="122"/>
      <x:c r="AJ431" s="120"/>
      <x:c r="AK431" s="121"/>
      <x:c r="AL431" s="122"/>
      <x:c r="AM431" s="120"/>
      <x:c r="AN431" s="122"/>
      <x:c r="AO431" s="120"/>
      <x:c r="AP431" s="121"/>
      <x:c r="AQ431" s="122"/>
      <x:c r="AR431" s="120"/>
      <x:c r="AS431" s="122"/>
      <x:c r="AT431" s="120"/>
      <x:c r="AU431" s="121"/>
      <x:c r="AV431" s="122"/>
      <x:c r="AW431" s="120"/>
      <x:c r="AX431" s="122"/>
      <x:c r="AY431" s="120"/>
      <x:c r="AZ431" s="121"/>
      <x:c r="BA431" s="122"/>
      <x:c r="BB431" s="120"/>
      <x:c r="BC431" s="122"/>
      <x:c r="BD431" s="120"/>
      <x:c r="BE431" s="121"/>
      <x:c r="BF431" s="122"/>
      <x:c r="BG431" s="120"/>
      <x:c r="BH431" s="122"/>
      <x:c r="BI431" s="120"/>
      <x:c r="BJ431" s="121"/>
    </x:row>
    <x:row r="432" ht="15.75" customHeight="1">
      <x:c r="N432" s="120"/>
      <x:c r="P432" s="120"/>
      <x:c r="Q432" s="121"/>
      <x:c r="S432" s="120"/>
      <x:c r="U432" s="120"/>
      <x:c r="V432" s="121"/>
      <x:c r="W432" s="122"/>
      <x:c r="X432" s="120"/>
      <x:c r="Y432" s="122"/>
      <x:c r="Z432" s="120"/>
      <x:c r="AA432" s="121"/>
      <x:c r="AB432" s="122"/>
      <x:c r="AC432" s="120"/>
      <x:c r="AD432" s="122"/>
      <x:c r="AE432" s="120"/>
      <x:c r="AF432" s="121"/>
      <x:c r="AG432" s="122"/>
      <x:c r="AH432" s="120"/>
      <x:c r="AI432" s="122"/>
      <x:c r="AJ432" s="120"/>
      <x:c r="AK432" s="121"/>
      <x:c r="AL432" s="122"/>
      <x:c r="AM432" s="120"/>
      <x:c r="AN432" s="122"/>
      <x:c r="AO432" s="120"/>
      <x:c r="AP432" s="121"/>
      <x:c r="AQ432" s="122"/>
      <x:c r="AR432" s="120"/>
      <x:c r="AS432" s="122"/>
      <x:c r="AT432" s="120"/>
      <x:c r="AU432" s="121"/>
      <x:c r="AV432" s="122"/>
      <x:c r="AW432" s="120"/>
      <x:c r="AX432" s="122"/>
      <x:c r="AY432" s="120"/>
      <x:c r="AZ432" s="121"/>
      <x:c r="BA432" s="122"/>
      <x:c r="BB432" s="120"/>
      <x:c r="BC432" s="122"/>
      <x:c r="BD432" s="120"/>
      <x:c r="BE432" s="121"/>
      <x:c r="BF432" s="122"/>
      <x:c r="BG432" s="120"/>
      <x:c r="BH432" s="122"/>
      <x:c r="BI432" s="120"/>
      <x:c r="BJ432" s="121"/>
    </x:row>
    <x:row r="433" ht="15.75" customHeight="1">
      <x:c r="N433" s="120"/>
      <x:c r="P433" s="120"/>
      <x:c r="Q433" s="121"/>
      <x:c r="S433" s="120"/>
      <x:c r="U433" s="120"/>
      <x:c r="V433" s="121"/>
      <x:c r="W433" s="122"/>
      <x:c r="X433" s="120"/>
      <x:c r="Y433" s="122"/>
      <x:c r="Z433" s="120"/>
      <x:c r="AA433" s="121"/>
      <x:c r="AB433" s="122"/>
      <x:c r="AC433" s="120"/>
      <x:c r="AD433" s="122"/>
      <x:c r="AE433" s="120"/>
      <x:c r="AF433" s="121"/>
      <x:c r="AG433" s="122"/>
      <x:c r="AH433" s="120"/>
      <x:c r="AI433" s="122"/>
      <x:c r="AJ433" s="120"/>
      <x:c r="AK433" s="121"/>
      <x:c r="AL433" s="122"/>
      <x:c r="AM433" s="120"/>
      <x:c r="AN433" s="122"/>
      <x:c r="AO433" s="120"/>
      <x:c r="AP433" s="121"/>
      <x:c r="AQ433" s="122"/>
      <x:c r="AR433" s="120"/>
      <x:c r="AS433" s="122"/>
      <x:c r="AT433" s="120"/>
      <x:c r="AU433" s="121"/>
      <x:c r="AV433" s="122"/>
      <x:c r="AW433" s="120"/>
      <x:c r="AX433" s="122"/>
      <x:c r="AY433" s="120"/>
      <x:c r="AZ433" s="121"/>
      <x:c r="BA433" s="122"/>
      <x:c r="BB433" s="120"/>
      <x:c r="BC433" s="122"/>
      <x:c r="BD433" s="120"/>
      <x:c r="BE433" s="121"/>
      <x:c r="BF433" s="122"/>
      <x:c r="BG433" s="120"/>
      <x:c r="BH433" s="122"/>
      <x:c r="BI433" s="120"/>
      <x:c r="BJ433" s="121"/>
    </x:row>
    <x:row r="434" ht="15.75" customHeight="1">
      <x:c r="N434" s="120"/>
      <x:c r="P434" s="120"/>
      <x:c r="Q434" s="121"/>
      <x:c r="S434" s="120"/>
      <x:c r="U434" s="120"/>
      <x:c r="V434" s="121"/>
      <x:c r="W434" s="122"/>
      <x:c r="X434" s="120"/>
      <x:c r="Y434" s="122"/>
      <x:c r="Z434" s="120"/>
      <x:c r="AA434" s="121"/>
      <x:c r="AB434" s="122"/>
      <x:c r="AC434" s="120"/>
      <x:c r="AD434" s="122"/>
      <x:c r="AE434" s="120"/>
      <x:c r="AF434" s="121"/>
      <x:c r="AG434" s="122"/>
      <x:c r="AH434" s="120"/>
      <x:c r="AI434" s="122"/>
      <x:c r="AJ434" s="120"/>
      <x:c r="AK434" s="121"/>
      <x:c r="AL434" s="122"/>
      <x:c r="AM434" s="120"/>
      <x:c r="AN434" s="122"/>
      <x:c r="AO434" s="120"/>
      <x:c r="AP434" s="121"/>
      <x:c r="AQ434" s="122"/>
      <x:c r="AR434" s="120"/>
      <x:c r="AS434" s="122"/>
      <x:c r="AT434" s="120"/>
      <x:c r="AU434" s="121"/>
      <x:c r="AV434" s="122"/>
      <x:c r="AW434" s="120"/>
      <x:c r="AX434" s="122"/>
      <x:c r="AY434" s="120"/>
      <x:c r="AZ434" s="121"/>
      <x:c r="BA434" s="122"/>
      <x:c r="BB434" s="120"/>
      <x:c r="BC434" s="122"/>
      <x:c r="BD434" s="120"/>
      <x:c r="BE434" s="121"/>
      <x:c r="BF434" s="122"/>
      <x:c r="BG434" s="120"/>
      <x:c r="BH434" s="122"/>
      <x:c r="BI434" s="120"/>
      <x:c r="BJ434" s="121"/>
    </x:row>
    <x:row r="435" ht="15.75" customHeight="1">
      <x:c r="N435" s="120"/>
      <x:c r="P435" s="120"/>
      <x:c r="Q435" s="121"/>
      <x:c r="S435" s="120"/>
      <x:c r="U435" s="120"/>
      <x:c r="V435" s="121"/>
      <x:c r="W435" s="122"/>
      <x:c r="X435" s="120"/>
      <x:c r="Y435" s="122"/>
      <x:c r="Z435" s="120"/>
      <x:c r="AA435" s="121"/>
      <x:c r="AB435" s="122"/>
      <x:c r="AC435" s="120"/>
      <x:c r="AD435" s="122"/>
      <x:c r="AE435" s="120"/>
      <x:c r="AF435" s="121"/>
      <x:c r="AG435" s="122"/>
      <x:c r="AH435" s="120"/>
      <x:c r="AI435" s="122"/>
      <x:c r="AJ435" s="120"/>
      <x:c r="AK435" s="121"/>
      <x:c r="AL435" s="122"/>
      <x:c r="AM435" s="120"/>
      <x:c r="AN435" s="122"/>
      <x:c r="AO435" s="120"/>
      <x:c r="AP435" s="121"/>
      <x:c r="AQ435" s="122"/>
      <x:c r="AR435" s="120"/>
      <x:c r="AS435" s="122"/>
      <x:c r="AT435" s="120"/>
      <x:c r="AU435" s="121"/>
      <x:c r="AV435" s="122"/>
      <x:c r="AW435" s="120"/>
      <x:c r="AX435" s="122"/>
      <x:c r="AY435" s="120"/>
      <x:c r="AZ435" s="121"/>
      <x:c r="BA435" s="122"/>
      <x:c r="BB435" s="120"/>
      <x:c r="BC435" s="122"/>
      <x:c r="BD435" s="120"/>
      <x:c r="BE435" s="121"/>
      <x:c r="BF435" s="122"/>
      <x:c r="BG435" s="120"/>
      <x:c r="BH435" s="122"/>
      <x:c r="BI435" s="120"/>
      <x:c r="BJ435" s="121"/>
    </x:row>
    <x:row r="436" ht="15.75" customHeight="1">
      <x:c r="N436" s="120"/>
      <x:c r="P436" s="120"/>
      <x:c r="Q436" s="121"/>
      <x:c r="S436" s="120"/>
      <x:c r="U436" s="120"/>
      <x:c r="V436" s="121"/>
      <x:c r="W436" s="122"/>
      <x:c r="X436" s="120"/>
      <x:c r="Y436" s="122"/>
      <x:c r="Z436" s="120"/>
      <x:c r="AA436" s="121"/>
      <x:c r="AB436" s="122"/>
      <x:c r="AC436" s="120"/>
      <x:c r="AD436" s="122"/>
      <x:c r="AE436" s="120"/>
      <x:c r="AF436" s="121"/>
      <x:c r="AG436" s="122"/>
      <x:c r="AH436" s="120"/>
      <x:c r="AI436" s="122"/>
      <x:c r="AJ436" s="120"/>
      <x:c r="AK436" s="121"/>
      <x:c r="AL436" s="122"/>
      <x:c r="AM436" s="120"/>
      <x:c r="AN436" s="122"/>
      <x:c r="AO436" s="120"/>
      <x:c r="AP436" s="121"/>
      <x:c r="AQ436" s="122"/>
      <x:c r="AR436" s="120"/>
      <x:c r="AS436" s="122"/>
      <x:c r="AT436" s="120"/>
      <x:c r="AU436" s="121"/>
      <x:c r="AV436" s="122"/>
      <x:c r="AW436" s="120"/>
      <x:c r="AX436" s="122"/>
      <x:c r="AY436" s="120"/>
      <x:c r="AZ436" s="121"/>
      <x:c r="BA436" s="122"/>
      <x:c r="BB436" s="120"/>
      <x:c r="BC436" s="122"/>
      <x:c r="BD436" s="120"/>
      <x:c r="BE436" s="121"/>
      <x:c r="BF436" s="122"/>
      <x:c r="BG436" s="120"/>
      <x:c r="BH436" s="122"/>
      <x:c r="BI436" s="120"/>
      <x:c r="BJ436" s="121"/>
    </x:row>
    <x:row r="437" ht="15.75" customHeight="1">
      <x:c r="N437" s="120"/>
      <x:c r="P437" s="120"/>
      <x:c r="Q437" s="121"/>
      <x:c r="S437" s="120"/>
      <x:c r="U437" s="120"/>
      <x:c r="V437" s="121"/>
      <x:c r="W437" s="122"/>
      <x:c r="X437" s="120"/>
      <x:c r="Y437" s="122"/>
      <x:c r="Z437" s="120"/>
      <x:c r="AA437" s="121"/>
      <x:c r="AB437" s="122"/>
      <x:c r="AC437" s="120"/>
      <x:c r="AD437" s="122"/>
      <x:c r="AE437" s="120"/>
      <x:c r="AF437" s="121"/>
      <x:c r="AG437" s="122"/>
      <x:c r="AH437" s="120"/>
      <x:c r="AI437" s="122"/>
      <x:c r="AJ437" s="120"/>
      <x:c r="AK437" s="121"/>
      <x:c r="AL437" s="122"/>
      <x:c r="AM437" s="120"/>
      <x:c r="AN437" s="122"/>
      <x:c r="AO437" s="120"/>
      <x:c r="AP437" s="121"/>
      <x:c r="AQ437" s="122"/>
      <x:c r="AR437" s="120"/>
      <x:c r="AS437" s="122"/>
      <x:c r="AT437" s="120"/>
      <x:c r="AU437" s="121"/>
      <x:c r="AV437" s="122"/>
      <x:c r="AW437" s="120"/>
      <x:c r="AX437" s="122"/>
      <x:c r="AY437" s="120"/>
      <x:c r="AZ437" s="121"/>
      <x:c r="BA437" s="122"/>
      <x:c r="BB437" s="120"/>
      <x:c r="BC437" s="122"/>
      <x:c r="BD437" s="120"/>
      <x:c r="BE437" s="121"/>
      <x:c r="BF437" s="122"/>
      <x:c r="BG437" s="120"/>
      <x:c r="BH437" s="122"/>
      <x:c r="BI437" s="120"/>
      <x:c r="BJ437" s="121"/>
    </x:row>
    <x:row r="438" ht="15.75" customHeight="1">
      <x:c r="N438" s="120"/>
      <x:c r="P438" s="120"/>
      <x:c r="Q438" s="121"/>
      <x:c r="S438" s="120"/>
      <x:c r="U438" s="120"/>
      <x:c r="V438" s="121"/>
      <x:c r="W438" s="122"/>
      <x:c r="X438" s="120"/>
      <x:c r="Y438" s="122"/>
      <x:c r="Z438" s="120"/>
      <x:c r="AA438" s="121"/>
      <x:c r="AB438" s="122"/>
      <x:c r="AC438" s="120"/>
      <x:c r="AD438" s="122"/>
      <x:c r="AE438" s="120"/>
      <x:c r="AF438" s="121"/>
      <x:c r="AG438" s="122"/>
      <x:c r="AH438" s="120"/>
      <x:c r="AI438" s="122"/>
      <x:c r="AJ438" s="120"/>
      <x:c r="AK438" s="121"/>
      <x:c r="AL438" s="122"/>
      <x:c r="AM438" s="120"/>
      <x:c r="AN438" s="122"/>
      <x:c r="AO438" s="120"/>
      <x:c r="AP438" s="121"/>
      <x:c r="AQ438" s="122"/>
      <x:c r="AR438" s="120"/>
      <x:c r="AS438" s="122"/>
      <x:c r="AT438" s="120"/>
      <x:c r="AU438" s="121"/>
      <x:c r="AV438" s="122"/>
      <x:c r="AW438" s="120"/>
      <x:c r="AX438" s="122"/>
      <x:c r="AY438" s="120"/>
      <x:c r="AZ438" s="121"/>
      <x:c r="BA438" s="122"/>
      <x:c r="BB438" s="120"/>
      <x:c r="BC438" s="122"/>
      <x:c r="BD438" s="120"/>
      <x:c r="BE438" s="121"/>
      <x:c r="BF438" s="122"/>
      <x:c r="BG438" s="120"/>
      <x:c r="BH438" s="122"/>
      <x:c r="BI438" s="120"/>
      <x:c r="BJ438" s="121"/>
    </x:row>
    <x:row r="439" ht="15.75" customHeight="1">
      <x:c r="N439" s="120"/>
      <x:c r="P439" s="120"/>
      <x:c r="Q439" s="121"/>
      <x:c r="S439" s="120"/>
      <x:c r="U439" s="120"/>
      <x:c r="V439" s="121"/>
      <x:c r="W439" s="122"/>
      <x:c r="X439" s="120"/>
      <x:c r="Y439" s="122"/>
      <x:c r="Z439" s="120"/>
      <x:c r="AA439" s="121"/>
      <x:c r="AB439" s="122"/>
      <x:c r="AC439" s="120"/>
      <x:c r="AD439" s="122"/>
      <x:c r="AE439" s="120"/>
      <x:c r="AF439" s="121"/>
      <x:c r="AG439" s="122"/>
      <x:c r="AH439" s="120"/>
      <x:c r="AI439" s="122"/>
      <x:c r="AJ439" s="120"/>
      <x:c r="AK439" s="121"/>
      <x:c r="AL439" s="122"/>
      <x:c r="AM439" s="120"/>
      <x:c r="AN439" s="122"/>
      <x:c r="AO439" s="120"/>
      <x:c r="AP439" s="121"/>
      <x:c r="AQ439" s="122"/>
      <x:c r="AR439" s="120"/>
      <x:c r="AS439" s="122"/>
      <x:c r="AT439" s="120"/>
      <x:c r="AU439" s="121"/>
      <x:c r="AV439" s="122"/>
      <x:c r="AW439" s="120"/>
      <x:c r="AX439" s="122"/>
      <x:c r="AY439" s="120"/>
      <x:c r="AZ439" s="121"/>
      <x:c r="BA439" s="122"/>
      <x:c r="BB439" s="120"/>
      <x:c r="BC439" s="122"/>
      <x:c r="BD439" s="120"/>
      <x:c r="BE439" s="121"/>
      <x:c r="BF439" s="122"/>
      <x:c r="BG439" s="120"/>
      <x:c r="BH439" s="122"/>
      <x:c r="BI439" s="120"/>
      <x:c r="BJ439" s="121"/>
    </x:row>
    <x:row r="440" ht="15.75" customHeight="1">
      <x:c r="N440" s="120"/>
      <x:c r="P440" s="120"/>
      <x:c r="Q440" s="121"/>
      <x:c r="S440" s="120"/>
      <x:c r="U440" s="120"/>
      <x:c r="V440" s="121"/>
      <x:c r="W440" s="122"/>
      <x:c r="X440" s="120"/>
      <x:c r="Y440" s="122"/>
      <x:c r="Z440" s="120"/>
      <x:c r="AA440" s="121"/>
      <x:c r="AB440" s="122"/>
      <x:c r="AC440" s="120"/>
      <x:c r="AD440" s="122"/>
      <x:c r="AE440" s="120"/>
      <x:c r="AF440" s="121"/>
      <x:c r="AG440" s="122"/>
      <x:c r="AH440" s="120"/>
      <x:c r="AI440" s="122"/>
      <x:c r="AJ440" s="120"/>
      <x:c r="AK440" s="121"/>
      <x:c r="AL440" s="122"/>
      <x:c r="AM440" s="120"/>
      <x:c r="AN440" s="122"/>
      <x:c r="AO440" s="120"/>
      <x:c r="AP440" s="121"/>
      <x:c r="AQ440" s="122"/>
      <x:c r="AR440" s="120"/>
      <x:c r="AS440" s="122"/>
      <x:c r="AT440" s="120"/>
      <x:c r="AU440" s="121"/>
      <x:c r="AV440" s="122"/>
      <x:c r="AW440" s="120"/>
      <x:c r="AX440" s="122"/>
      <x:c r="AY440" s="120"/>
      <x:c r="AZ440" s="121"/>
      <x:c r="BA440" s="122"/>
      <x:c r="BB440" s="120"/>
      <x:c r="BC440" s="122"/>
      <x:c r="BD440" s="120"/>
      <x:c r="BE440" s="121"/>
      <x:c r="BF440" s="122"/>
      <x:c r="BG440" s="120"/>
      <x:c r="BH440" s="122"/>
      <x:c r="BI440" s="120"/>
      <x:c r="BJ440" s="121"/>
    </x:row>
    <x:row r="441" ht="15.75" customHeight="1">
      <x:c r="N441" s="120"/>
      <x:c r="P441" s="120"/>
      <x:c r="Q441" s="121"/>
      <x:c r="S441" s="120"/>
      <x:c r="U441" s="120"/>
      <x:c r="V441" s="121"/>
      <x:c r="W441" s="122"/>
      <x:c r="X441" s="120"/>
      <x:c r="Y441" s="122"/>
      <x:c r="Z441" s="120"/>
      <x:c r="AA441" s="121"/>
      <x:c r="AB441" s="122"/>
      <x:c r="AC441" s="120"/>
      <x:c r="AD441" s="122"/>
      <x:c r="AE441" s="120"/>
      <x:c r="AF441" s="121"/>
      <x:c r="AG441" s="122"/>
      <x:c r="AH441" s="120"/>
      <x:c r="AI441" s="122"/>
      <x:c r="AJ441" s="120"/>
      <x:c r="AK441" s="121"/>
      <x:c r="AL441" s="122"/>
      <x:c r="AM441" s="120"/>
      <x:c r="AN441" s="122"/>
      <x:c r="AO441" s="120"/>
      <x:c r="AP441" s="121"/>
      <x:c r="AQ441" s="122"/>
      <x:c r="AR441" s="120"/>
      <x:c r="AS441" s="122"/>
      <x:c r="AT441" s="120"/>
      <x:c r="AU441" s="121"/>
      <x:c r="AV441" s="122"/>
      <x:c r="AW441" s="120"/>
      <x:c r="AX441" s="122"/>
      <x:c r="AY441" s="120"/>
      <x:c r="AZ441" s="121"/>
      <x:c r="BA441" s="122"/>
      <x:c r="BB441" s="120"/>
      <x:c r="BC441" s="122"/>
      <x:c r="BD441" s="120"/>
      <x:c r="BE441" s="121"/>
      <x:c r="BF441" s="122"/>
      <x:c r="BG441" s="120"/>
      <x:c r="BH441" s="122"/>
      <x:c r="BI441" s="120"/>
      <x:c r="BJ441" s="121"/>
    </x:row>
    <x:row r="442" ht="15.75" customHeight="1">
      <x:c r="N442" s="120"/>
      <x:c r="P442" s="120"/>
      <x:c r="Q442" s="121"/>
      <x:c r="S442" s="120"/>
      <x:c r="U442" s="120"/>
      <x:c r="V442" s="121"/>
      <x:c r="W442" s="122"/>
      <x:c r="X442" s="120"/>
      <x:c r="Y442" s="122"/>
      <x:c r="Z442" s="120"/>
      <x:c r="AA442" s="121"/>
      <x:c r="AB442" s="122"/>
      <x:c r="AC442" s="120"/>
      <x:c r="AD442" s="122"/>
      <x:c r="AE442" s="120"/>
      <x:c r="AF442" s="121"/>
      <x:c r="AG442" s="122"/>
      <x:c r="AH442" s="120"/>
      <x:c r="AI442" s="122"/>
      <x:c r="AJ442" s="120"/>
      <x:c r="AK442" s="121"/>
      <x:c r="AL442" s="122"/>
      <x:c r="AM442" s="120"/>
      <x:c r="AN442" s="122"/>
      <x:c r="AO442" s="120"/>
      <x:c r="AP442" s="121"/>
      <x:c r="AQ442" s="122"/>
      <x:c r="AR442" s="120"/>
      <x:c r="AS442" s="122"/>
      <x:c r="AT442" s="120"/>
      <x:c r="AU442" s="121"/>
      <x:c r="AV442" s="122"/>
      <x:c r="AW442" s="120"/>
      <x:c r="AX442" s="122"/>
      <x:c r="AY442" s="120"/>
      <x:c r="AZ442" s="121"/>
      <x:c r="BA442" s="122"/>
      <x:c r="BB442" s="120"/>
      <x:c r="BC442" s="122"/>
      <x:c r="BD442" s="120"/>
      <x:c r="BE442" s="121"/>
      <x:c r="BF442" s="122"/>
      <x:c r="BG442" s="120"/>
      <x:c r="BH442" s="122"/>
      <x:c r="BI442" s="120"/>
      <x:c r="BJ442" s="121"/>
    </x:row>
    <x:row r="443" ht="15.75" customHeight="1">
      <x:c r="N443" s="120"/>
      <x:c r="P443" s="120"/>
      <x:c r="Q443" s="121"/>
      <x:c r="S443" s="120"/>
      <x:c r="U443" s="120"/>
      <x:c r="V443" s="121"/>
      <x:c r="W443" s="122"/>
      <x:c r="X443" s="120"/>
      <x:c r="Y443" s="122"/>
      <x:c r="Z443" s="120"/>
      <x:c r="AA443" s="121"/>
      <x:c r="AB443" s="122"/>
      <x:c r="AC443" s="120"/>
      <x:c r="AD443" s="122"/>
      <x:c r="AE443" s="120"/>
      <x:c r="AF443" s="121"/>
      <x:c r="AG443" s="122"/>
      <x:c r="AH443" s="120"/>
      <x:c r="AI443" s="122"/>
      <x:c r="AJ443" s="120"/>
      <x:c r="AK443" s="121"/>
      <x:c r="AL443" s="122"/>
      <x:c r="AM443" s="120"/>
      <x:c r="AN443" s="122"/>
      <x:c r="AO443" s="120"/>
      <x:c r="AP443" s="121"/>
      <x:c r="AQ443" s="122"/>
      <x:c r="AR443" s="120"/>
      <x:c r="AS443" s="122"/>
      <x:c r="AT443" s="120"/>
      <x:c r="AU443" s="121"/>
      <x:c r="AV443" s="122"/>
      <x:c r="AW443" s="120"/>
      <x:c r="AX443" s="122"/>
      <x:c r="AY443" s="120"/>
      <x:c r="AZ443" s="121"/>
      <x:c r="BA443" s="122"/>
      <x:c r="BB443" s="120"/>
      <x:c r="BC443" s="122"/>
      <x:c r="BD443" s="120"/>
      <x:c r="BE443" s="121"/>
      <x:c r="BF443" s="122"/>
      <x:c r="BG443" s="120"/>
      <x:c r="BH443" s="122"/>
      <x:c r="BI443" s="120"/>
      <x:c r="BJ443" s="121"/>
    </x:row>
    <x:row r="444" ht="15.75" customHeight="1">
      <x:c r="N444" s="120"/>
      <x:c r="P444" s="120"/>
      <x:c r="Q444" s="121"/>
      <x:c r="S444" s="120"/>
      <x:c r="U444" s="120"/>
      <x:c r="V444" s="121"/>
      <x:c r="W444" s="122"/>
      <x:c r="X444" s="120"/>
      <x:c r="Y444" s="122"/>
      <x:c r="Z444" s="120"/>
      <x:c r="AA444" s="121"/>
      <x:c r="AB444" s="122"/>
      <x:c r="AC444" s="120"/>
      <x:c r="AD444" s="122"/>
      <x:c r="AE444" s="120"/>
      <x:c r="AF444" s="121"/>
      <x:c r="AG444" s="122"/>
      <x:c r="AH444" s="120"/>
      <x:c r="AI444" s="122"/>
      <x:c r="AJ444" s="120"/>
      <x:c r="AK444" s="121"/>
      <x:c r="AL444" s="122"/>
      <x:c r="AM444" s="120"/>
      <x:c r="AN444" s="122"/>
      <x:c r="AO444" s="120"/>
      <x:c r="AP444" s="121"/>
      <x:c r="AQ444" s="122"/>
      <x:c r="AR444" s="120"/>
      <x:c r="AS444" s="122"/>
      <x:c r="AT444" s="120"/>
      <x:c r="AU444" s="121"/>
      <x:c r="AV444" s="122"/>
      <x:c r="AW444" s="120"/>
      <x:c r="AX444" s="122"/>
      <x:c r="AY444" s="120"/>
      <x:c r="AZ444" s="121"/>
      <x:c r="BA444" s="122"/>
      <x:c r="BB444" s="120"/>
      <x:c r="BC444" s="122"/>
      <x:c r="BD444" s="120"/>
      <x:c r="BE444" s="121"/>
      <x:c r="BF444" s="122"/>
      <x:c r="BG444" s="120"/>
      <x:c r="BH444" s="122"/>
      <x:c r="BI444" s="120"/>
      <x:c r="BJ444" s="121"/>
    </x:row>
    <x:row r="445" ht="15.75" customHeight="1">
      <x:c r="N445" s="120"/>
      <x:c r="P445" s="120"/>
      <x:c r="Q445" s="121"/>
      <x:c r="S445" s="120"/>
      <x:c r="U445" s="120"/>
      <x:c r="V445" s="121"/>
      <x:c r="W445" s="122"/>
      <x:c r="X445" s="120"/>
      <x:c r="Y445" s="122"/>
      <x:c r="Z445" s="120"/>
      <x:c r="AA445" s="121"/>
      <x:c r="AB445" s="122"/>
      <x:c r="AC445" s="120"/>
      <x:c r="AD445" s="122"/>
      <x:c r="AE445" s="120"/>
      <x:c r="AF445" s="121"/>
      <x:c r="AG445" s="122"/>
      <x:c r="AH445" s="120"/>
      <x:c r="AI445" s="122"/>
      <x:c r="AJ445" s="120"/>
      <x:c r="AK445" s="121"/>
      <x:c r="AL445" s="122"/>
      <x:c r="AM445" s="120"/>
      <x:c r="AN445" s="122"/>
      <x:c r="AO445" s="120"/>
      <x:c r="AP445" s="121"/>
      <x:c r="AQ445" s="122"/>
      <x:c r="AR445" s="120"/>
      <x:c r="AS445" s="122"/>
      <x:c r="AT445" s="120"/>
      <x:c r="AU445" s="121"/>
      <x:c r="AV445" s="122"/>
      <x:c r="AW445" s="120"/>
      <x:c r="AX445" s="122"/>
      <x:c r="AY445" s="120"/>
      <x:c r="AZ445" s="121"/>
      <x:c r="BA445" s="122"/>
      <x:c r="BB445" s="120"/>
      <x:c r="BC445" s="122"/>
      <x:c r="BD445" s="120"/>
      <x:c r="BE445" s="121"/>
      <x:c r="BF445" s="122"/>
      <x:c r="BG445" s="120"/>
      <x:c r="BH445" s="122"/>
      <x:c r="BI445" s="120"/>
      <x:c r="BJ445" s="121"/>
    </x:row>
    <x:row r="446" ht="15.75" customHeight="1">
      <x:c r="N446" s="120"/>
      <x:c r="P446" s="120"/>
      <x:c r="Q446" s="121"/>
      <x:c r="S446" s="120"/>
      <x:c r="U446" s="120"/>
      <x:c r="V446" s="121"/>
      <x:c r="W446" s="122"/>
      <x:c r="X446" s="120"/>
      <x:c r="Y446" s="122"/>
      <x:c r="Z446" s="120"/>
      <x:c r="AA446" s="121"/>
      <x:c r="AB446" s="122"/>
      <x:c r="AC446" s="120"/>
      <x:c r="AD446" s="122"/>
      <x:c r="AE446" s="120"/>
      <x:c r="AF446" s="121"/>
      <x:c r="AG446" s="122"/>
      <x:c r="AH446" s="120"/>
      <x:c r="AI446" s="122"/>
      <x:c r="AJ446" s="120"/>
      <x:c r="AK446" s="121"/>
      <x:c r="AL446" s="122"/>
      <x:c r="AM446" s="120"/>
      <x:c r="AN446" s="122"/>
      <x:c r="AO446" s="120"/>
      <x:c r="AP446" s="121"/>
      <x:c r="AQ446" s="122"/>
      <x:c r="AR446" s="120"/>
      <x:c r="AS446" s="122"/>
      <x:c r="AT446" s="120"/>
      <x:c r="AU446" s="121"/>
      <x:c r="AV446" s="122"/>
      <x:c r="AW446" s="120"/>
      <x:c r="AX446" s="122"/>
      <x:c r="AY446" s="120"/>
      <x:c r="AZ446" s="121"/>
      <x:c r="BA446" s="122"/>
      <x:c r="BB446" s="120"/>
      <x:c r="BC446" s="122"/>
      <x:c r="BD446" s="120"/>
      <x:c r="BE446" s="121"/>
      <x:c r="BF446" s="122"/>
      <x:c r="BG446" s="120"/>
      <x:c r="BH446" s="122"/>
      <x:c r="BI446" s="120"/>
      <x:c r="BJ446" s="121"/>
    </x:row>
    <x:row r="447" ht="15.75" customHeight="1">
      <x:c r="N447" s="120"/>
      <x:c r="P447" s="120"/>
      <x:c r="Q447" s="121"/>
      <x:c r="S447" s="120"/>
      <x:c r="U447" s="120"/>
      <x:c r="V447" s="121"/>
      <x:c r="W447" s="122"/>
      <x:c r="X447" s="120"/>
      <x:c r="Y447" s="122"/>
      <x:c r="Z447" s="120"/>
      <x:c r="AA447" s="121"/>
      <x:c r="AB447" s="122"/>
      <x:c r="AC447" s="120"/>
      <x:c r="AD447" s="122"/>
      <x:c r="AE447" s="120"/>
      <x:c r="AF447" s="121"/>
      <x:c r="AG447" s="122"/>
      <x:c r="AH447" s="120"/>
      <x:c r="AI447" s="122"/>
      <x:c r="AJ447" s="120"/>
      <x:c r="AK447" s="121"/>
      <x:c r="AL447" s="122"/>
      <x:c r="AM447" s="120"/>
      <x:c r="AN447" s="122"/>
      <x:c r="AO447" s="120"/>
      <x:c r="AP447" s="121"/>
      <x:c r="AQ447" s="122"/>
      <x:c r="AR447" s="120"/>
      <x:c r="AS447" s="122"/>
      <x:c r="AT447" s="120"/>
      <x:c r="AU447" s="121"/>
      <x:c r="AV447" s="122"/>
      <x:c r="AW447" s="120"/>
      <x:c r="AX447" s="122"/>
      <x:c r="AY447" s="120"/>
      <x:c r="AZ447" s="121"/>
      <x:c r="BA447" s="122"/>
      <x:c r="BB447" s="120"/>
      <x:c r="BC447" s="122"/>
      <x:c r="BD447" s="120"/>
      <x:c r="BE447" s="121"/>
      <x:c r="BF447" s="122"/>
      <x:c r="BG447" s="120"/>
      <x:c r="BH447" s="122"/>
      <x:c r="BI447" s="120"/>
      <x:c r="BJ447" s="121"/>
    </x:row>
    <x:row r="448" ht="15.75" customHeight="1">
      <x:c r="N448" s="120"/>
      <x:c r="P448" s="120"/>
      <x:c r="Q448" s="121"/>
      <x:c r="S448" s="120"/>
      <x:c r="U448" s="120"/>
      <x:c r="V448" s="121"/>
      <x:c r="W448" s="122"/>
      <x:c r="X448" s="120"/>
      <x:c r="Y448" s="122"/>
      <x:c r="Z448" s="120"/>
      <x:c r="AA448" s="121"/>
      <x:c r="AB448" s="122"/>
      <x:c r="AC448" s="120"/>
      <x:c r="AD448" s="122"/>
      <x:c r="AE448" s="120"/>
      <x:c r="AF448" s="121"/>
      <x:c r="AG448" s="122"/>
      <x:c r="AH448" s="120"/>
      <x:c r="AI448" s="122"/>
      <x:c r="AJ448" s="120"/>
      <x:c r="AK448" s="121"/>
      <x:c r="AL448" s="122"/>
      <x:c r="AM448" s="120"/>
      <x:c r="AN448" s="122"/>
      <x:c r="AO448" s="120"/>
      <x:c r="AP448" s="121"/>
      <x:c r="AQ448" s="122"/>
      <x:c r="AR448" s="120"/>
      <x:c r="AS448" s="122"/>
      <x:c r="AT448" s="120"/>
      <x:c r="AU448" s="121"/>
      <x:c r="AV448" s="122"/>
      <x:c r="AW448" s="120"/>
      <x:c r="AX448" s="122"/>
      <x:c r="AY448" s="120"/>
      <x:c r="AZ448" s="121"/>
      <x:c r="BA448" s="122"/>
      <x:c r="BB448" s="120"/>
      <x:c r="BC448" s="122"/>
      <x:c r="BD448" s="120"/>
      <x:c r="BE448" s="121"/>
      <x:c r="BF448" s="122"/>
      <x:c r="BG448" s="120"/>
      <x:c r="BH448" s="122"/>
      <x:c r="BI448" s="120"/>
      <x:c r="BJ448" s="121"/>
    </x:row>
    <x:row r="449" ht="15.75" customHeight="1">
      <x:c r="N449" s="120"/>
      <x:c r="P449" s="120"/>
      <x:c r="Q449" s="121"/>
      <x:c r="S449" s="120"/>
      <x:c r="U449" s="120"/>
      <x:c r="V449" s="121"/>
      <x:c r="W449" s="122"/>
      <x:c r="X449" s="120"/>
      <x:c r="Y449" s="122"/>
      <x:c r="Z449" s="120"/>
      <x:c r="AA449" s="121"/>
      <x:c r="AB449" s="122"/>
      <x:c r="AC449" s="120"/>
      <x:c r="AD449" s="122"/>
      <x:c r="AE449" s="120"/>
      <x:c r="AF449" s="121"/>
      <x:c r="AG449" s="122"/>
      <x:c r="AH449" s="120"/>
      <x:c r="AI449" s="122"/>
      <x:c r="AJ449" s="120"/>
      <x:c r="AK449" s="121"/>
      <x:c r="AL449" s="122"/>
      <x:c r="AM449" s="120"/>
      <x:c r="AN449" s="122"/>
      <x:c r="AO449" s="120"/>
      <x:c r="AP449" s="121"/>
      <x:c r="AQ449" s="122"/>
      <x:c r="AR449" s="120"/>
      <x:c r="AS449" s="122"/>
      <x:c r="AT449" s="120"/>
      <x:c r="AU449" s="121"/>
      <x:c r="AV449" s="122"/>
      <x:c r="AW449" s="120"/>
      <x:c r="AX449" s="122"/>
      <x:c r="AY449" s="120"/>
      <x:c r="AZ449" s="121"/>
      <x:c r="BA449" s="122"/>
      <x:c r="BB449" s="120"/>
      <x:c r="BC449" s="122"/>
      <x:c r="BD449" s="120"/>
      <x:c r="BE449" s="121"/>
      <x:c r="BF449" s="122"/>
      <x:c r="BG449" s="120"/>
      <x:c r="BH449" s="122"/>
      <x:c r="BI449" s="120"/>
      <x:c r="BJ449" s="121"/>
    </x:row>
    <x:row r="450" ht="15.75" customHeight="1">
      <x:c r="N450" s="120"/>
      <x:c r="P450" s="120"/>
      <x:c r="Q450" s="121"/>
      <x:c r="S450" s="120"/>
      <x:c r="U450" s="120"/>
      <x:c r="V450" s="121"/>
      <x:c r="W450" s="122"/>
      <x:c r="X450" s="120"/>
      <x:c r="Y450" s="122"/>
      <x:c r="Z450" s="120"/>
      <x:c r="AA450" s="121"/>
      <x:c r="AB450" s="122"/>
      <x:c r="AC450" s="120"/>
      <x:c r="AD450" s="122"/>
      <x:c r="AE450" s="120"/>
      <x:c r="AF450" s="121"/>
      <x:c r="AG450" s="122"/>
      <x:c r="AH450" s="120"/>
      <x:c r="AI450" s="122"/>
      <x:c r="AJ450" s="120"/>
      <x:c r="AK450" s="121"/>
      <x:c r="AL450" s="122"/>
      <x:c r="AM450" s="120"/>
      <x:c r="AN450" s="122"/>
      <x:c r="AO450" s="120"/>
      <x:c r="AP450" s="121"/>
      <x:c r="AQ450" s="122"/>
      <x:c r="AR450" s="120"/>
      <x:c r="AS450" s="122"/>
      <x:c r="AT450" s="120"/>
      <x:c r="AU450" s="121"/>
      <x:c r="AV450" s="122"/>
      <x:c r="AW450" s="120"/>
      <x:c r="AX450" s="122"/>
      <x:c r="AY450" s="120"/>
      <x:c r="AZ450" s="121"/>
      <x:c r="BA450" s="122"/>
      <x:c r="BB450" s="120"/>
      <x:c r="BC450" s="122"/>
      <x:c r="BD450" s="120"/>
      <x:c r="BE450" s="121"/>
      <x:c r="BF450" s="122"/>
      <x:c r="BG450" s="120"/>
      <x:c r="BH450" s="122"/>
      <x:c r="BI450" s="120"/>
      <x:c r="BJ450" s="121"/>
    </x:row>
    <x:row r="451" ht="15.75" customHeight="1">
      <x:c r="N451" s="120"/>
      <x:c r="P451" s="120"/>
      <x:c r="Q451" s="121"/>
      <x:c r="S451" s="120"/>
      <x:c r="U451" s="120"/>
      <x:c r="V451" s="121"/>
      <x:c r="W451" s="122"/>
      <x:c r="X451" s="120"/>
      <x:c r="Y451" s="122"/>
      <x:c r="Z451" s="120"/>
      <x:c r="AA451" s="121"/>
      <x:c r="AB451" s="122"/>
      <x:c r="AC451" s="120"/>
      <x:c r="AD451" s="122"/>
      <x:c r="AE451" s="120"/>
      <x:c r="AF451" s="121"/>
      <x:c r="AG451" s="122"/>
      <x:c r="AH451" s="120"/>
      <x:c r="AI451" s="122"/>
      <x:c r="AJ451" s="120"/>
      <x:c r="AK451" s="121"/>
      <x:c r="AL451" s="122"/>
      <x:c r="AM451" s="120"/>
      <x:c r="AN451" s="122"/>
      <x:c r="AO451" s="120"/>
      <x:c r="AP451" s="121"/>
      <x:c r="AQ451" s="122"/>
      <x:c r="AR451" s="120"/>
      <x:c r="AS451" s="122"/>
      <x:c r="AT451" s="120"/>
      <x:c r="AU451" s="121"/>
      <x:c r="AV451" s="122"/>
      <x:c r="AW451" s="120"/>
      <x:c r="AX451" s="122"/>
      <x:c r="AY451" s="120"/>
      <x:c r="AZ451" s="121"/>
      <x:c r="BA451" s="122"/>
      <x:c r="BB451" s="120"/>
      <x:c r="BC451" s="122"/>
      <x:c r="BD451" s="120"/>
      <x:c r="BE451" s="121"/>
      <x:c r="BF451" s="122"/>
      <x:c r="BG451" s="120"/>
      <x:c r="BH451" s="122"/>
      <x:c r="BI451" s="120"/>
      <x:c r="BJ451" s="121"/>
    </x:row>
    <x:row r="452" ht="15.75" customHeight="1">
      <x:c r="N452" s="120"/>
      <x:c r="P452" s="120"/>
      <x:c r="Q452" s="121"/>
      <x:c r="S452" s="120"/>
      <x:c r="U452" s="120"/>
      <x:c r="V452" s="121"/>
      <x:c r="W452" s="122"/>
      <x:c r="X452" s="120"/>
      <x:c r="Y452" s="122"/>
      <x:c r="Z452" s="120"/>
      <x:c r="AA452" s="121"/>
      <x:c r="AB452" s="122"/>
      <x:c r="AC452" s="120"/>
      <x:c r="AD452" s="122"/>
      <x:c r="AE452" s="120"/>
      <x:c r="AF452" s="121"/>
      <x:c r="AG452" s="122"/>
      <x:c r="AH452" s="120"/>
      <x:c r="AI452" s="122"/>
      <x:c r="AJ452" s="120"/>
      <x:c r="AK452" s="121"/>
      <x:c r="AL452" s="122"/>
      <x:c r="AM452" s="120"/>
      <x:c r="AN452" s="122"/>
      <x:c r="AO452" s="120"/>
      <x:c r="AP452" s="121"/>
      <x:c r="AQ452" s="122"/>
      <x:c r="AR452" s="120"/>
      <x:c r="AS452" s="122"/>
      <x:c r="AT452" s="120"/>
      <x:c r="AU452" s="121"/>
      <x:c r="AV452" s="122"/>
      <x:c r="AW452" s="120"/>
      <x:c r="AX452" s="122"/>
      <x:c r="AY452" s="120"/>
      <x:c r="AZ452" s="121"/>
      <x:c r="BA452" s="122"/>
      <x:c r="BB452" s="120"/>
      <x:c r="BC452" s="122"/>
      <x:c r="BD452" s="120"/>
      <x:c r="BE452" s="121"/>
      <x:c r="BF452" s="122"/>
      <x:c r="BG452" s="120"/>
      <x:c r="BH452" s="122"/>
      <x:c r="BI452" s="120"/>
      <x:c r="BJ452" s="121"/>
    </x:row>
    <x:row r="453" ht="15.75" customHeight="1">
      <x:c r="N453" s="120"/>
      <x:c r="P453" s="120"/>
      <x:c r="Q453" s="121"/>
      <x:c r="S453" s="120"/>
      <x:c r="U453" s="120"/>
      <x:c r="V453" s="121"/>
      <x:c r="W453" s="122"/>
      <x:c r="X453" s="120"/>
      <x:c r="Y453" s="122"/>
      <x:c r="Z453" s="120"/>
      <x:c r="AA453" s="121"/>
      <x:c r="AB453" s="122"/>
      <x:c r="AC453" s="120"/>
      <x:c r="AD453" s="122"/>
      <x:c r="AE453" s="120"/>
      <x:c r="AF453" s="121"/>
      <x:c r="AG453" s="122"/>
      <x:c r="AH453" s="120"/>
      <x:c r="AI453" s="122"/>
      <x:c r="AJ453" s="120"/>
      <x:c r="AK453" s="121"/>
      <x:c r="AL453" s="122"/>
      <x:c r="AM453" s="120"/>
      <x:c r="AN453" s="122"/>
      <x:c r="AO453" s="120"/>
      <x:c r="AP453" s="121"/>
      <x:c r="AQ453" s="122"/>
      <x:c r="AR453" s="120"/>
      <x:c r="AS453" s="122"/>
      <x:c r="AT453" s="120"/>
      <x:c r="AU453" s="121"/>
      <x:c r="AV453" s="122"/>
      <x:c r="AW453" s="120"/>
      <x:c r="AX453" s="122"/>
      <x:c r="AY453" s="120"/>
      <x:c r="AZ453" s="121"/>
      <x:c r="BA453" s="122"/>
      <x:c r="BB453" s="120"/>
      <x:c r="BC453" s="122"/>
      <x:c r="BD453" s="120"/>
      <x:c r="BE453" s="121"/>
      <x:c r="BF453" s="122"/>
      <x:c r="BG453" s="120"/>
      <x:c r="BH453" s="122"/>
      <x:c r="BI453" s="120"/>
      <x:c r="BJ453" s="121"/>
    </x:row>
    <x:row r="454" ht="15.75" customHeight="1">
      <x:c r="N454" s="120"/>
      <x:c r="P454" s="120"/>
      <x:c r="Q454" s="121"/>
      <x:c r="S454" s="120"/>
      <x:c r="U454" s="120"/>
      <x:c r="V454" s="121"/>
      <x:c r="W454" s="122"/>
      <x:c r="X454" s="120"/>
      <x:c r="Y454" s="122"/>
      <x:c r="Z454" s="120"/>
      <x:c r="AA454" s="121"/>
      <x:c r="AB454" s="122"/>
      <x:c r="AC454" s="120"/>
      <x:c r="AD454" s="122"/>
      <x:c r="AE454" s="120"/>
      <x:c r="AF454" s="121"/>
      <x:c r="AG454" s="122"/>
      <x:c r="AH454" s="120"/>
      <x:c r="AI454" s="122"/>
      <x:c r="AJ454" s="120"/>
      <x:c r="AK454" s="121"/>
      <x:c r="AL454" s="122"/>
      <x:c r="AM454" s="120"/>
      <x:c r="AN454" s="122"/>
      <x:c r="AO454" s="120"/>
      <x:c r="AP454" s="121"/>
      <x:c r="AQ454" s="122"/>
      <x:c r="AR454" s="120"/>
      <x:c r="AS454" s="122"/>
      <x:c r="AT454" s="120"/>
      <x:c r="AU454" s="121"/>
      <x:c r="AV454" s="122"/>
      <x:c r="AW454" s="120"/>
      <x:c r="AX454" s="122"/>
      <x:c r="AY454" s="120"/>
      <x:c r="AZ454" s="121"/>
      <x:c r="BA454" s="122"/>
      <x:c r="BB454" s="120"/>
      <x:c r="BC454" s="122"/>
      <x:c r="BD454" s="120"/>
      <x:c r="BE454" s="121"/>
      <x:c r="BF454" s="122"/>
      <x:c r="BG454" s="120"/>
      <x:c r="BH454" s="122"/>
      <x:c r="BI454" s="120"/>
      <x:c r="BJ454" s="121"/>
    </x:row>
    <x:row r="455" ht="15.75" customHeight="1">
      <x:c r="N455" s="120"/>
      <x:c r="P455" s="120"/>
      <x:c r="Q455" s="121"/>
      <x:c r="S455" s="120"/>
      <x:c r="U455" s="120"/>
      <x:c r="V455" s="121"/>
      <x:c r="W455" s="122"/>
      <x:c r="X455" s="120"/>
      <x:c r="Y455" s="122"/>
      <x:c r="Z455" s="120"/>
      <x:c r="AA455" s="121"/>
      <x:c r="AB455" s="122"/>
      <x:c r="AC455" s="120"/>
      <x:c r="AD455" s="122"/>
      <x:c r="AE455" s="120"/>
      <x:c r="AF455" s="121"/>
      <x:c r="AG455" s="122"/>
      <x:c r="AH455" s="120"/>
      <x:c r="AI455" s="122"/>
      <x:c r="AJ455" s="120"/>
      <x:c r="AK455" s="121"/>
      <x:c r="AL455" s="122"/>
      <x:c r="AM455" s="120"/>
      <x:c r="AN455" s="122"/>
      <x:c r="AO455" s="120"/>
      <x:c r="AP455" s="121"/>
      <x:c r="AQ455" s="122"/>
      <x:c r="AR455" s="120"/>
      <x:c r="AS455" s="122"/>
      <x:c r="AT455" s="120"/>
      <x:c r="AU455" s="121"/>
      <x:c r="AV455" s="122"/>
      <x:c r="AW455" s="120"/>
      <x:c r="AX455" s="122"/>
      <x:c r="AY455" s="120"/>
      <x:c r="AZ455" s="121"/>
      <x:c r="BA455" s="122"/>
      <x:c r="BB455" s="120"/>
      <x:c r="BC455" s="122"/>
      <x:c r="BD455" s="120"/>
      <x:c r="BE455" s="121"/>
      <x:c r="BF455" s="122"/>
      <x:c r="BG455" s="120"/>
      <x:c r="BH455" s="122"/>
      <x:c r="BI455" s="120"/>
      <x:c r="BJ455" s="121"/>
    </x:row>
    <x:row r="456" ht="15.75" customHeight="1">
      <x:c r="N456" s="120"/>
      <x:c r="P456" s="120"/>
      <x:c r="Q456" s="121"/>
      <x:c r="S456" s="120"/>
      <x:c r="U456" s="120"/>
      <x:c r="V456" s="121"/>
      <x:c r="W456" s="122"/>
      <x:c r="X456" s="120"/>
      <x:c r="Y456" s="122"/>
      <x:c r="Z456" s="120"/>
      <x:c r="AA456" s="121"/>
      <x:c r="AB456" s="122"/>
      <x:c r="AC456" s="120"/>
      <x:c r="AD456" s="122"/>
      <x:c r="AE456" s="120"/>
      <x:c r="AF456" s="121"/>
      <x:c r="AG456" s="122"/>
      <x:c r="AH456" s="120"/>
      <x:c r="AI456" s="122"/>
      <x:c r="AJ456" s="120"/>
      <x:c r="AK456" s="121"/>
      <x:c r="AL456" s="122"/>
      <x:c r="AM456" s="120"/>
      <x:c r="AN456" s="122"/>
      <x:c r="AO456" s="120"/>
      <x:c r="AP456" s="121"/>
      <x:c r="AQ456" s="122"/>
      <x:c r="AR456" s="120"/>
      <x:c r="AS456" s="122"/>
      <x:c r="AT456" s="120"/>
      <x:c r="AU456" s="121"/>
      <x:c r="AV456" s="122"/>
      <x:c r="AW456" s="120"/>
      <x:c r="AX456" s="122"/>
      <x:c r="AY456" s="120"/>
      <x:c r="AZ456" s="121"/>
      <x:c r="BA456" s="122"/>
      <x:c r="BB456" s="120"/>
      <x:c r="BC456" s="122"/>
      <x:c r="BD456" s="120"/>
      <x:c r="BE456" s="121"/>
      <x:c r="BF456" s="122"/>
      <x:c r="BG456" s="120"/>
      <x:c r="BH456" s="122"/>
      <x:c r="BI456" s="120"/>
      <x:c r="BJ456" s="121"/>
    </x:row>
    <x:row r="457" ht="15.75" customHeight="1">
      <x:c r="N457" s="120"/>
      <x:c r="P457" s="120"/>
      <x:c r="Q457" s="121"/>
      <x:c r="S457" s="120"/>
      <x:c r="U457" s="120"/>
      <x:c r="V457" s="121"/>
      <x:c r="W457" s="122"/>
      <x:c r="X457" s="120"/>
      <x:c r="Y457" s="122"/>
      <x:c r="Z457" s="120"/>
      <x:c r="AA457" s="121"/>
      <x:c r="AB457" s="122"/>
      <x:c r="AC457" s="120"/>
      <x:c r="AD457" s="122"/>
      <x:c r="AE457" s="120"/>
      <x:c r="AF457" s="121"/>
      <x:c r="AG457" s="122"/>
      <x:c r="AH457" s="120"/>
      <x:c r="AI457" s="122"/>
      <x:c r="AJ457" s="120"/>
      <x:c r="AK457" s="121"/>
      <x:c r="AL457" s="122"/>
      <x:c r="AM457" s="120"/>
      <x:c r="AN457" s="122"/>
      <x:c r="AO457" s="120"/>
      <x:c r="AP457" s="121"/>
      <x:c r="AQ457" s="122"/>
      <x:c r="AR457" s="120"/>
      <x:c r="AS457" s="122"/>
      <x:c r="AT457" s="120"/>
      <x:c r="AU457" s="121"/>
      <x:c r="AV457" s="122"/>
      <x:c r="AW457" s="120"/>
      <x:c r="AX457" s="122"/>
      <x:c r="AY457" s="120"/>
      <x:c r="AZ457" s="121"/>
      <x:c r="BA457" s="122"/>
      <x:c r="BB457" s="120"/>
      <x:c r="BC457" s="122"/>
      <x:c r="BD457" s="120"/>
      <x:c r="BE457" s="121"/>
      <x:c r="BF457" s="122"/>
      <x:c r="BG457" s="120"/>
      <x:c r="BH457" s="122"/>
      <x:c r="BI457" s="120"/>
      <x:c r="BJ457" s="121"/>
    </x:row>
    <x:row r="458" ht="15.75" customHeight="1">
      <x:c r="N458" s="120"/>
      <x:c r="P458" s="120"/>
      <x:c r="Q458" s="121"/>
      <x:c r="S458" s="120"/>
      <x:c r="U458" s="120"/>
      <x:c r="V458" s="121"/>
      <x:c r="W458" s="122"/>
      <x:c r="X458" s="120"/>
      <x:c r="Y458" s="122"/>
      <x:c r="Z458" s="120"/>
      <x:c r="AA458" s="121"/>
      <x:c r="AB458" s="122"/>
      <x:c r="AC458" s="120"/>
      <x:c r="AD458" s="122"/>
      <x:c r="AE458" s="120"/>
      <x:c r="AF458" s="121"/>
      <x:c r="AG458" s="122"/>
      <x:c r="AH458" s="120"/>
      <x:c r="AI458" s="122"/>
      <x:c r="AJ458" s="120"/>
      <x:c r="AK458" s="121"/>
      <x:c r="AL458" s="122"/>
      <x:c r="AM458" s="120"/>
      <x:c r="AN458" s="122"/>
      <x:c r="AO458" s="120"/>
      <x:c r="AP458" s="121"/>
      <x:c r="AQ458" s="122"/>
      <x:c r="AR458" s="120"/>
      <x:c r="AS458" s="122"/>
      <x:c r="AT458" s="120"/>
      <x:c r="AU458" s="121"/>
      <x:c r="AV458" s="122"/>
      <x:c r="AW458" s="120"/>
      <x:c r="AX458" s="122"/>
      <x:c r="AY458" s="120"/>
      <x:c r="AZ458" s="121"/>
      <x:c r="BA458" s="122"/>
      <x:c r="BB458" s="120"/>
      <x:c r="BC458" s="122"/>
      <x:c r="BD458" s="120"/>
      <x:c r="BE458" s="121"/>
      <x:c r="BF458" s="122"/>
      <x:c r="BG458" s="120"/>
      <x:c r="BH458" s="122"/>
      <x:c r="BI458" s="120"/>
      <x:c r="BJ458" s="121"/>
    </x:row>
    <x:row r="459" ht="15.75" customHeight="1">
      <x:c r="N459" s="120"/>
      <x:c r="P459" s="120"/>
      <x:c r="Q459" s="121"/>
      <x:c r="S459" s="120"/>
      <x:c r="U459" s="120"/>
      <x:c r="V459" s="121"/>
      <x:c r="W459" s="122"/>
      <x:c r="X459" s="120"/>
      <x:c r="Y459" s="122"/>
      <x:c r="Z459" s="120"/>
      <x:c r="AA459" s="121"/>
      <x:c r="AB459" s="122"/>
      <x:c r="AC459" s="120"/>
      <x:c r="AD459" s="122"/>
      <x:c r="AE459" s="120"/>
      <x:c r="AF459" s="121"/>
      <x:c r="AG459" s="122"/>
      <x:c r="AH459" s="120"/>
      <x:c r="AI459" s="122"/>
      <x:c r="AJ459" s="120"/>
      <x:c r="AK459" s="121"/>
      <x:c r="AL459" s="122"/>
      <x:c r="AM459" s="120"/>
      <x:c r="AN459" s="122"/>
      <x:c r="AO459" s="120"/>
      <x:c r="AP459" s="121"/>
      <x:c r="AQ459" s="122"/>
      <x:c r="AR459" s="120"/>
      <x:c r="AS459" s="122"/>
      <x:c r="AT459" s="120"/>
      <x:c r="AU459" s="121"/>
      <x:c r="AV459" s="122"/>
      <x:c r="AW459" s="120"/>
      <x:c r="AX459" s="122"/>
      <x:c r="AY459" s="120"/>
      <x:c r="AZ459" s="121"/>
      <x:c r="BA459" s="122"/>
      <x:c r="BB459" s="120"/>
      <x:c r="BC459" s="122"/>
      <x:c r="BD459" s="120"/>
      <x:c r="BE459" s="121"/>
      <x:c r="BF459" s="122"/>
      <x:c r="BG459" s="120"/>
      <x:c r="BH459" s="122"/>
      <x:c r="BI459" s="120"/>
      <x:c r="BJ459" s="121"/>
    </x:row>
    <x:row r="460" ht="15.75" customHeight="1">
      <x:c r="N460" s="120"/>
      <x:c r="P460" s="120"/>
      <x:c r="Q460" s="121"/>
      <x:c r="S460" s="120"/>
      <x:c r="U460" s="120"/>
      <x:c r="V460" s="121"/>
      <x:c r="W460" s="122"/>
      <x:c r="X460" s="120"/>
      <x:c r="Y460" s="122"/>
      <x:c r="Z460" s="120"/>
      <x:c r="AA460" s="121"/>
      <x:c r="AB460" s="122"/>
      <x:c r="AC460" s="120"/>
      <x:c r="AD460" s="122"/>
      <x:c r="AE460" s="120"/>
      <x:c r="AF460" s="121"/>
      <x:c r="AG460" s="122"/>
      <x:c r="AH460" s="120"/>
      <x:c r="AI460" s="122"/>
      <x:c r="AJ460" s="120"/>
      <x:c r="AK460" s="121"/>
      <x:c r="AL460" s="122"/>
      <x:c r="AM460" s="120"/>
      <x:c r="AN460" s="122"/>
      <x:c r="AO460" s="120"/>
      <x:c r="AP460" s="121"/>
      <x:c r="AQ460" s="122"/>
      <x:c r="AR460" s="120"/>
      <x:c r="AS460" s="122"/>
      <x:c r="AT460" s="120"/>
      <x:c r="AU460" s="121"/>
      <x:c r="AV460" s="122"/>
      <x:c r="AW460" s="120"/>
      <x:c r="AX460" s="122"/>
      <x:c r="AY460" s="120"/>
      <x:c r="AZ460" s="121"/>
      <x:c r="BA460" s="122"/>
      <x:c r="BB460" s="120"/>
      <x:c r="BC460" s="122"/>
      <x:c r="BD460" s="120"/>
      <x:c r="BE460" s="121"/>
      <x:c r="BF460" s="122"/>
      <x:c r="BG460" s="120"/>
      <x:c r="BH460" s="122"/>
      <x:c r="BI460" s="120"/>
      <x:c r="BJ460" s="121"/>
    </x:row>
    <x:row r="461" ht="15.75" customHeight="1">
      <x:c r="N461" s="120"/>
      <x:c r="P461" s="120"/>
      <x:c r="Q461" s="121"/>
      <x:c r="S461" s="120"/>
      <x:c r="U461" s="120"/>
      <x:c r="V461" s="121"/>
      <x:c r="W461" s="122"/>
      <x:c r="X461" s="120"/>
      <x:c r="Y461" s="122"/>
      <x:c r="Z461" s="120"/>
      <x:c r="AA461" s="121"/>
      <x:c r="AB461" s="122"/>
      <x:c r="AC461" s="120"/>
      <x:c r="AD461" s="122"/>
      <x:c r="AE461" s="120"/>
      <x:c r="AF461" s="121"/>
      <x:c r="AG461" s="122"/>
      <x:c r="AH461" s="120"/>
      <x:c r="AI461" s="122"/>
      <x:c r="AJ461" s="120"/>
      <x:c r="AK461" s="121"/>
      <x:c r="AL461" s="122"/>
      <x:c r="AM461" s="120"/>
      <x:c r="AN461" s="122"/>
      <x:c r="AO461" s="120"/>
      <x:c r="AP461" s="121"/>
      <x:c r="AQ461" s="122"/>
      <x:c r="AR461" s="120"/>
      <x:c r="AS461" s="122"/>
      <x:c r="AT461" s="120"/>
      <x:c r="AU461" s="121"/>
      <x:c r="AV461" s="122"/>
      <x:c r="AW461" s="120"/>
      <x:c r="AX461" s="122"/>
      <x:c r="AY461" s="120"/>
      <x:c r="AZ461" s="121"/>
      <x:c r="BA461" s="122"/>
      <x:c r="BB461" s="120"/>
      <x:c r="BC461" s="122"/>
      <x:c r="BD461" s="120"/>
      <x:c r="BE461" s="121"/>
      <x:c r="BF461" s="122"/>
      <x:c r="BG461" s="120"/>
      <x:c r="BH461" s="122"/>
      <x:c r="BI461" s="120"/>
      <x:c r="BJ461" s="121"/>
    </x:row>
    <x:row r="462" ht="15.75" customHeight="1">
      <x:c r="N462" s="120"/>
      <x:c r="P462" s="120"/>
      <x:c r="Q462" s="121"/>
      <x:c r="S462" s="120"/>
      <x:c r="U462" s="120"/>
      <x:c r="V462" s="121"/>
      <x:c r="W462" s="122"/>
      <x:c r="X462" s="120"/>
      <x:c r="Y462" s="122"/>
      <x:c r="Z462" s="120"/>
      <x:c r="AA462" s="121"/>
      <x:c r="AB462" s="122"/>
      <x:c r="AC462" s="120"/>
      <x:c r="AD462" s="122"/>
      <x:c r="AE462" s="120"/>
      <x:c r="AF462" s="121"/>
      <x:c r="AG462" s="122"/>
      <x:c r="AH462" s="120"/>
      <x:c r="AI462" s="122"/>
      <x:c r="AJ462" s="120"/>
      <x:c r="AK462" s="121"/>
      <x:c r="AL462" s="122"/>
      <x:c r="AM462" s="120"/>
      <x:c r="AN462" s="122"/>
      <x:c r="AO462" s="120"/>
      <x:c r="AP462" s="121"/>
      <x:c r="AQ462" s="122"/>
      <x:c r="AR462" s="120"/>
      <x:c r="AS462" s="122"/>
      <x:c r="AT462" s="120"/>
      <x:c r="AU462" s="121"/>
      <x:c r="AV462" s="122"/>
      <x:c r="AW462" s="120"/>
      <x:c r="AX462" s="122"/>
      <x:c r="AY462" s="120"/>
      <x:c r="AZ462" s="121"/>
      <x:c r="BA462" s="122"/>
      <x:c r="BB462" s="120"/>
      <x:c r="BC462" s="122"/>
      <x:c r="BD462" s="120"/>
      <x:c r="BE462" s="121"/>
      <x:c r="BF462" s="122"/>
      <x:c r="BG462" s="120"/>
      <x:c r="BH462" s="122"/>
      <x:c r="BI462" s="120"/>
      <x:c r="BJ462" s="121"/>
    </x:row>
    <x:row r="463" ht="15.75" customHeight="1">
      <x:c r="N463" s="120"/>
      <x:c r="P463" s="120"/>
      <x:c r="Q463" s="121"/>
      <x:c r="S463" s="120"/>
      <x:c r="U463" s="120"/>
      <x:c r="V463" s="121"/>
      <x:c r="W463" s="122"/>
      <x:c r="X463" s="120"/>
      <x:c r="Y463" s="122"/>
      <x:c r="Z463" s="120"/>
      <x:c r="AA463" s="121"/>
      <x:c r="AB463" s="122"/>
      <x:c r="AC463" s="120"/>
      <x:c r="AD463" s="122"/>
      <x:c r="AE463" s="120"/>
      <x:c r="AF463" s="121"/>
      <x:c r="AG463" s="122"/>
      <x:c r="AH463" s="120"/>
      <x:c r="AI463" s="122"/>
      <x:c r="AJ463" s="120"/>
      <x:c r="AK463" s="121"/>
      <x:c r="AL463" s="122"/>
      <x:c r="AM463" s="120"/>
      <x:c r="AN463" s="122"/>
      <x:c r="AO463" s="120"/>
      <x:c r="AP463" s="121"/>
      <x:c r="AQ463" s="122"/>
      <x:c r="AR463" s="120"/>
      <x:c r="AS463" s="122"/>
      <x:c r="AT463" s="120"/>
      <x:c r="AU463" s="121"/>
      <x:c r="AV463" s="122"/>
      <x:c r="AW463" s="120"/>
      <x:c r="AX463" s="122"/>
      <x:c r="AY463" s="120"/>
      <x:c r="AZ463" s="121"/>
      <x:c r="BA463" s="122"/>
      <x:c r="BB463" s="120"/>
      <x:c r="BC463" s="122"/>
      <x:c r="BD463" s="120"/>
      <x:c r="BE463" s="121"/>
      <x:c r="BF463" s="122"/>
      <x:c r="BG463" s="120"/>
      <x:c r="BH463" s="122"/>
      <x:c r="BI463" s="120"/>
      <x:c r="BJ463" s="121"/>
    </x:row>
    <x:row r="464" ht="15.75" customHeight="1">
      <x:c r="N464" s="120"/>
      <x:c r="P464" s="120"/>
      <x:c r="Q464" s="121"/>
      <x:c r="S464" s="120"/>
      <x:c r="U464" s="120"/>
      <x:c r="V464" s="121"/>
      <x:c r="W464" s="122"/>
      <x:c r="X464" s="120"/>
      <x:c r="Y464" s="122"/>
      <x:c r="Z464" s="120"/>
      <x:c r="AA464" s="121"/>
      <x:c r="AB464" s="122"/>
      <x:c r="AC464" s="120"/>
      <x:c r="AD464" s="122"/>
      <x:c r="AE464" s="120"/>
      <x:c r="AF464" s="121"/>
      <x:c r="AG464" s="122"/>
      <x:c r="AH464" s="120"/>
      <x:c r="AI464" s="122"/>
      <x:c r="AJ464" s="120"/>
      <x:c r="AK464" s="121"/>
      <x:c r="AL464" s="122"/>
      <x:c r="AM464" s="120"/>
      <x:c r="AN464" s="122"/>
      <x:c r="AO464" s="120"/>
      <x:c r="AP464" s="121"/>
      <x:c r="AQ464" s="122"/>
      <x:c r="AR464" s="120"/>
      <x:c r="AS464" s="122"/>
      <x:c r="AT464" s="120"/>
      <x:c r="AU464" s="121"/>
      <x:c r="AV464" s="122"/>
      <x:c r="AW464" s="120"/>
      <x:c r="AX464" s="122"/>
      <x:c r="AY464" s="120"/>
      <x:c r="AZ464" s="121"/>
      <x:c r="BA464" s="122"/>
      <x:c r="BB464" s="120"/>
      <x:c r="BC464" s="122"/>
      <x:c r="BD464" s="120"/>
      <x:c r="BE464" s="121"/>
      <x:c r="BF464" s="122"/>
      <x:c r="BG464" s="120"/>
      <x:c r="BH464" s="122"/>
      <x:c r="BI464" s="120"/>
      <x:c r="BJ464" s="121"/>
    </x:row>
    <x:row r="465" ht="15.75" customHeight="1">
      <x:c r="N465" s="120"/>
      <x:c r="P465" s="120"/>
      <x:c r="Q465" s="121"/>
      <x:c r="S465" s="120"/>
      <x:c r="U465" s="120"/>
      <x:c r="V465" s="121"/>
      <x:c r="W465" s="122"/>
      <x:c r="X465" s="120"/>
      <x:c r="Y465" s="122"/>
      <x:c r="Z465" s="120"/>
      <x:c r="AA465" s="121"/>
      <x:c r="AB465" s="122"/>
      <x:c r="AC465" s="120"/>
      <x:c r="AD465" s="122"/>
      <x:c r="AE465" s="120"/>
      <x:c r="AF465" s="121"/>
      <x:c r="AG465" s="122"/>
      <x:c r="AH465" s="120"/>
      <x:c r="AI465" s="122"/>
      <x:c r="AJ465" s="120"/>
      <x:c r="AK465" s="121"/>
      <x:c r="AL465" s="122"/>
      <x:c r="AM465" s="120"/>
      <x:c r="AN465" s="122"/>
      <x:c r="AO465" s="120"/>
      <x:c r="AP465" s="121"/>
      <x:c r="AQ465" s="122"/>
      <x:c r="AR465" s="120"/>
      <x:c r="AS465" s="122"/>
      <x:c r="AT465" s="120"/>
      <x:c r="AU465" s="121"/>
      <x:c r="AV465" s="122"/>
      <x:c r="AW465" s="120"/>
      <x:c r="AX465" s="122"/>
      <x:c r="AY465" s="120"/>
      <x:c r="AZ465" s="121"/>
      <x:c r="BA465" s="122"/>
      <x:c r="BB465" s="120"/>
      <x:c r="BC465" s="122"/>
      <x:c r="BD465" s="120"/>
      <x:c r="BE465" s="121"/>
      <x:c r="BF465" s="122"/>
      <x:c r="BG465" s="120"/>
      <x:c r="BH465" s="122"/>
      <x:c r="BI465" s="120"/>
      <x:c r="BJ465" s="121"/>
    </x:row>
    <x:row r="466" ht="15.75" customHeight="1">
      <x:c r="N466" s="120"/>
      <x:c r="P466" s="120"/>
      <x:c r="Q466" s="121"/>
      <x:c r="S466" s="120"/>
      <x:c r="U466" s="120"/>
      <x:c r="V466" s="121"/>
      <x:c r="W466" s="122"/>
      <x:c r="X466" s="120"/>
      <x:c r="Y466" s="122"/>
      <x:c r="Z466" s="120"/>
      <x:c r="AA466" s="121"/>
      <x:c r="AB466" s="122"/>
      <x:c r="AC466" s="120"/>
      <x:c r="AD466" s="122"/>
      <x:c r="AE466" s="120"/>
      <x:c r="AF466" s="121"/>
      <x:c r="AG466" s="122"/>
      <x:c r="AH466" s="120"/>
      <x:c r="AI466" s="122"/>
      <x:c r="AJ466" s="120"/>
      <x:c r="AK466" s="121"/>
      <x:c r="AL466" s="122"/>
      <x:c r="AM466" s="120"/>
      <x:c r="AN466" s="122"/>
      <x:c r="AO466" s="120"/>
      <x:c r="AP466" s="121"/>
      <x:c r="AQ466" s="122"/>
      <x:c r="AR466" s="120"/>
      <x:c r="AS466" s="122"/>
      <x:c r="AT466" s="120"/>
      <x:c r="AU466" s="121"/>
      <x:c r="AV466" s="122"/>
      <x:c r="AW466" s="120"/>
      <x:c r="AX466" s="122"/>
      <x:c r="AY466" s="120"/>
      <x:c r="AZ466" s="121"/>
      <x:c r="BA466" s="122"/>
      <x:c r="BB466" s="120"/>
      <x:c r="BC466" s="122"/>
      <x:c r="BD466" s="120"/>
      <x:c r="BE466" s="121"/>
      <x:c r="BF466" s="122"/>
      <x:c r="BG466" s="120"/>
      <x:c r="BH466" s="122"/>
      <x:c r="BI466" s="120"/>
      <x:c r="BJ466" s="121"/>
    </x:row>
    <x:row r="467" ht="15.75" customHeight="1">
      <x:c r="N467" s="120"/>
      <x:c r="P467" s="120"/>
      <x:c r="Q467" s="121"/>
      <x:c r="S467" s="120"/>
      <x:c r="U467" s="120"/>
      <x:c r="V467" s="121"/>
      <x:c r="W467" s="122"/>
      <x:c r="X467" s="120"/>
      <x:c r="Y467" s="122"/>
      <x:c r="Z467" s="120"/>
      <x:c r="AA467" s="121"/>
      <x:c r="AB467" s="122"/>
      <x:c r="AC467" s="120"/>
      <x:c r="AD467" s="122"/>
      <x:c r="AE467" s="120"/>
      <x:c r="AF467" s="121"/>
      <x:c r="AG467" s="122"/>
      <x:c r="AH467" s="120"/>
      <x:c r="AI467" s="122"/>
      <x:c r="AJ467" s="120"/>
      <x:c r="AK467" s="121"/>
      <x:c r="AL467" s="122"/>
      <x:c r="AM467" s="120"/>
      <x:c r="AN467" s="122"/>
      <x:c r="AO467" s="120"/>
      <x:c r="AP467" s="121"/>
      <x:c r="AQ467" s="122"/>
      <x:c r="AR467" s="120"/>
      <x:c r="AS467" s="122"/>
      <x:c r="AT467" s="120"/>
      <x:c r="AU467" s="121"/>
      <x:c r="AV467" s="122"/>
      <x:c r="AW467" s="120"/>
      <x:c r="AX467" s="122"/>
      <x:c r="AY467" s="120"/>
      <x:c r="AZ467" s="121"/>
      <x:c r="BA467" s="122"/>
      <x:c r="BB467" s="120"/>
      <x:c r="BC467" s="122"/>
      <x:c r="BD467" s="120"/>
      <x:c r="BE467" s="121"/>
      <x:c r="BF467" s="122"/>
      <x:c r="BG467" s="120"/>
      <x:c r="BH467" s="122"/>
      <x:c r="BI467" s="120"/>
      <x:c r="BJ467" s="121"/>
    </x:row>
    <x:row r="468" ht="15.75" customHeight="1">
      <x:c r="N468" s="120"/>
      <x:c r="P468" s="120"/>
      <x:c r="Q468" s="121"/>
      <x:c r="S468" s="120"/>
      <x:c r="U468" s="120"/>
      <x:c r="V468" s="121"/>
      <x:c r="W468" s="122"/>
      <x:c r="X468" s="120"/>
      <x:c r="Y468" s="122"/>
      <x:c r="Z468" s="120"/>
      <x:c r="AA468" s="121"/>
      <x:c r="AB468" s="122"/>
      <x:c r="AC468" s="120"/>
      <x:c r="AD468" s="122"/>
      <x:c r="AE468" s="120"/>
      <x:c r="AF468" s="121"/>
      <x:c r="AG468" s="122"/>
      <x:c r="AH468" s="120"/>
      <x:c r="AI468" s="122"/>
      <x:c r="AJ468" s="120"/>
      <x:c r="AK468" s="121"/>
      <x:c r="AL468" s="122"/>
      <x:c r="AM468" s="120"/>
      <x:c r="AN468" s="122"/>
      <x:c r="AO468" s="120"/>
      <x:c r="AP468" s="121"/>
      <x:c r="AQ468" s="122"/>
      <x:c r="AR468" s="120"/>
      <x:c r="AS468" s="122"/>
      <x:c r="AT468" s="120"/>
      <x:c r="AU468" s="121"/>
      <x:c r="AV468" s="122"/>
      <x:c r="AW468" s="120"/>
      <x:c r="AX468" s="122"/>
      <x:c r="AY468" s="120"/>
      <x:c r="AZ468" s="121"/>
      <x:c r="BA468" s="122"/>
      <x:c r="BB468" s="120"/>
      <x:c r="BC468" s="122"/>
      <x:c r="BD468" s="120"/>
      <x:c r="BE468" s="121"/>
      <x:c r="BF468" s="122"/>
      <x:c r="BG468" s="120"/>
      <x:c r="BH468" s="122"/>
      <x:c r="BI468" s="120"/>
      <x:c r="BJ468" s="121"/>
    </x:row>
    <x:row r="469" ht="15.75" customHeight="1">
      <x:c r="N469" s="120"/>
      <x:c r="P469" s="120"/>
      <x:c r="Q469" s="121"/>
      <x:c r="S469" s="120"/>
      <x:c r="U469" s="120"/>
      <x:c r="V469" s="121"/>
      <x:c r="W469" s="122"/>
      <x:c r="X469" s="120"/>
      <x:c r="Y469" s="122"/>
      <x:c r="Z469" s="120"/>
      <x:c r="AA469" s="121"/>
      <x:c r="AB469" s="122"/>
      <x:c r="AC469" s="120"/>
      <x:c r="AD469" s="122"/>
      <x:c r="AE469" s="120"/>
      <x:c r="AF469" s="121"/>
      <x:c r="AG469" s="122"/>
      <x:c r="AH469" s="120"/>
      <x:c r="AI469" s="122"/>
      <x:c r="AJ469" s="120"/>
      <x:c r="AK469" s="121"/>
      <x:c r="AL469" s="122"/>
      <x:c r="AM469" s="120"/>
      <x:c r="AN469" s="122"/>
      <x:c r="AO469" s="120"/>
      <x:c r="AP469" s="121"/>
      <x:c r="AQ469" s="122"/>
      <x:c r="AR469" s="120"/>
      <x:c r="AS469" s="122"/>
      <x:c r="AT469" s="120"/>
      <x:c r="AU469" s="121"/>
      <x:c r="AV469" s="122"/>
      <x:c r="AW469" s="120"/>
      <x:c r="AX469" s="122"/>
      <x:c r="AY469" s="120"/>
      <x:c r="AZ469" s="121"/>
      <x:c r="BA469" s="122"/>
      <x:c r="BB469" s="120"/>
      <x:c r="BC469" s="122"/>
      <x:c r="BD469" s="120"/>
      <x:c r="BE469" s="121"/>
      <x:c r="BF469" s="122"/>
      <x:c r="BG469" s="120"/>
      <x:c r="BH469" s="122"/>
      <x:c r="BI469" s="120"/>
      <x:c r="BJ469" s="121"/>
    </x:row>
    <x:row r="470" ht="15.75" customHeight="1">
      <x:c r="N470" s="120"/>
      <x:c r="P470" s="120"/>
      <x:c r="Q470" s="121"/>
      <x:c r="S470" s="120"/>
      <x:c r="U470" s="120"/>
      <x:c r="V470" s="121"/>
      <x:c r="W470" s="122"/>
      <x:c r="X470" s="120"/>
      <x:c r="Y470" s="122"/>
      <x:c r="Z470" s="120"/>
      <x:c r="AA470" s="121"/>
      <x:c r="AB470" s="122"/>
      <x:c r="AC470" s="120"/>
      <x:c r="AD470" s="122"/>
      <x:c r="AE470" s="120"/>
      <x:c r="AF470" s="121"/>
      <x:c r="AG470" s="122"/>
      <x:c r="AH470" s="120"/>
      <x:c r="AI470" s="122"/>
      <x:c r="AJ470" s="120"/>
      <x:c r="AK470" s="121"/>
      <x:c r="AL470" s="122"/>
      <x:c r="AM470" s="120"/>
      <x:c r="AN470" s="122"/>
      <x:c r="AO470" s="120"/>
      <x:c r="AP470" s="121"/>
      <x:c r="AQ470" s="122"/>
      <x:c r="AR470" s="120"/>
      <x:c r="AS470" s="122"/>
      <x:c r="AT470" s="120"/>
      <x:c r="AU470" s="121"/>
      <x:c r="AV470" s="122"/>
      <x:c r="AW470" s="120"/>
      <x:c r="AX470" s="122"/>
      <x:c r="AY470" s="120"/>
      <x:c r="AZ470" s="121"/>
      <x:c r="BA470" s="122"/>
      <x:c r="BB470" s="120"/>
      <x:c r="BC470" s="122"/>
      <x:c r="BD470" s="120"/>
      <x:c r="BE470" s="121"/>
      <x:c r="BF470" s="122"/>
      <x:c r="BG470" s="120"/>
      <x:c r="BH470" s="122"/>
      <x:c r="BI470" s="120"/>
      <x:c r="BJ470" s="121"/>
    </x:row>
    <x:row r="471" ht="15.75" customHeight="1">
      <x:c r="N471" s="120"/>
      <x:c r="P471" s="120"/>
      <x:c r="Q471" s="121"/>
      <x:c r="S471" s="120"/>
      <x:c r="U471" s="120"/>
      <x:c r="V471" s="121"/>
      <x:c r="W471" s="122"/>
      <x:c r="X471" s="120"/>
      <x:c r="Y471" s="122"/>
      <x:c r="Z471" s="120"/>
      <x:c r="AA471" s="121"/>
      <x:c r="AB471" s="122"/>
      <x:c r="AC471" s="120"/>
      <x:c r="AD471" s="122"/>
      <x:c r="AE471" s="120"/>
      <x:c r="AF471" s="121"/>
      <x:c r="AG471" s="122"/>
      <x:c r="AH471" s="120"/>
      <x:c r="AI471" s="122"/>
      <x:c r="AJ471" s="120"/>
      <x:c r="AK471" s="121"/>
      <x:c r="AL471" s="122"/>
      <x:c r="AM471" s="120"/>
      <x:c r="AN471" s="122"/>
      <x:c r="AO471" s="120"/>
      <x:c r="AP471" s="121"/>
      <x:c r="AQ471" s="122"/>
      <x:c r="AR471" s="120"/>
      <x:c r="AS471" s="122"/>
      <x:c r="AT471" s="120"/>
      <x:c r="AU471" s="121"/>
      <x:c r="AV471" s="122"/>
      <x:c r="AW471" s="120"/>
      <x:c r="AX471" s="122"/>
      <x:c r="AY471" s="120"/>
      <x:c r="AZ471" s="121"/>
      <x:c r="BA471" s="122"/>
      <x:c r="BB471" s="120"/>
      <x:c r="BC471" s="122"/>
      <x:c r="BD471" s="120"/>
      <x:c r="BE471" s="121"/>
      <x:c r="BF471" s="122"/>
      <x:c r="BG471" s="120"/>
      <x:c r="BH471" s="122"/>
      <x:c r="BI471" s="120"/>
      <x:c r="BJ471" s="121"/>
    </x:row>
    <x:row r="472" ht="15.75" customHeight="1">
      <x:c r="N472" s="120"/>
      <x:c r="P472" s="120"/>
      <x:c r="Q472" s="121"/>
      <x:c r="S472" s="120"/>
      <x:c r="U472" s="120"/>
      <x:c r="V472" s="121"/>
      <x:c r="W472" s="122"/>
      <x:c r="X472" s="120"/>
      <x:c r="Y472" s="122"/>
      <x:c r="Z472" s="120"/>
      <x:c r="AA472" s="121"/>
      <x:c r="AB472" s="122"/>
      <x:c r="AC472" s="120"/>
      <x:c r="AD472" s="122"/>
      <x:c r="AE472" s="120"/>
      <x:c r="AF472" s="121"/>
      <x:c r="AG472" s="122"/>
      <x:c r="AH472" s="120"/>
      <x:c r="AI472" s="122"/>
      <x:c r="AJ472" s="120"/>
      <x:c r="AK472" s="121"/>
      <x:c r="AL472" s="122"/>
      <x:c r="AM472" s="120"/>
      <x:c r="AN472" s="122"/>
      <x:c r="AO472" s="120"/>
      <x:c r="AP472" s="121"/>
      <x:c r="AQ472" s="122"/>
      <x:c r="AR472" s="120"/>
      <x:c r="AS472" s="122"/>
      <x:c r="AT472" s="120"/>
      <x:c r="AU472" s="121"/>
      <x:c r="AV472" s="122"/>
      <x:c r="AW472" s="120"/>
      <x:c r="AX472" s="122"/>
      <x:c r="AY472" s="120"/>
      <x:c r="AZ472" s="121"/>
      <x:c r="BA472" s="122"/>
      <x:c r="BB472" s="120"/>
      <x:c r="BC472" s="122"/>
      <x:c r="BD472" s="120"/>
      <x:c r="BE472" s="121"/>
      <x:c r="BF472" s="122"/>
      <x:c r="BG472" s="120"/>
      <x:c r="BH472" s="122"/>
      <x:c r="BI472" s="120"/>
      <x:c r="BJ472" s="121"/>
    </x:row>
    <x:row r="473" ht="15.75" customHeight="1">
      <x:c r="N473" s="120"/>
      <x:c r="P473" s="120"/>
      <x:c r="Q473" s="121"/>
      <x:c r="S473" s="120"/>
      <x:c r="U473" s="120"/>
      <x:c r="V473" s="121"/>
      <x:c r="W473" s="122"/>
      <x:c r="X473" s="120"/>
      <x:c r="Y473" s="122"/>
      <x:c r="Z473" s="120"/>
      <x:c r="AA473" s="121"/>
      <x:c r="AB473" s="122"/>
      <x:c r="AC473" s="120"/>
      <x:c r="AD473" s="122"/>
      <x:c r="AE473" s="120"/>
      <x:c r="AF473" s="121"/>
      <x:c r="AG473" s="122"/>
      <x:c r="AH473" s="120"/>
      <x:c r="AI473" s="122"/>
      <x:c r="AJ473" s="120"/>
      <x:c r="AK473" s="121"/>
      <x:c r="AL473" s="122"/>
      <x:c r="AM473" s="120"/>
      <x:c r="AN473" s="122"/>
      <x:c r="AO473" s="120"/>
      <x:c r="AP473" s="121"/>
      <x:c r="AQ473" s="122"/>
      <x:c r="AR473" s="120"/>
      <x:c r="AS473" s="122"/>
      <x:c r="AT473" s="120"/>
      <x:c r="AU473" s="121"/>
      <x:c r="AV473" s="122"/>
      <x:c r="AW473" s="120"/>
      <x:c r="AX473" s="122"/>
      <x:c r="AY473" s="120"/>
      <x:c r="AZ473" s="121"/>
      <x:c r="BA473" s="122"/>
      <x:c r="BB473" s="120"/>
      <x:c r="BC473" s="122"/>
      <x:c r="BD473" s="120"/>
      <x:c r="BE473" s="121"/>
      <x:c r="BF473" s="122"/>
      <x:c r="BG473" s="120"/>
      <x:c r="BH473" s="122"/>
      <x:c r="BI473" s="120"/>
      <x:c r="BJ473" s="121"/>
    </x:row>
    <x:row r="474" ht="15.75" customHeight="1">
      <x:c r="N474" s="120"/>
      <x:c r="P474" s="120"/>
      <x:c r="Q474" s="121"/>
      <x:c r="S474" s="120"/>
      <x:c r="U474" s="120"/>
      <x:c r="V474" s="121"/>
      <x:c r="W474" s="122"/>
      <x:c r="X474" s="120"/>
      <x:c r="Y474" s="122"/>
      <x:c r="Z474" s="120"/>
      <x:c r="AA474" s="121"/>
      <x:c r="AB474" s="122"/>
      <x:c r="AC474" s="120"/>
      <x:c r="AD474" s="122"/>
      <x:c r="AE474" s="120"/>
      <x:c r="AF474" s="121"/>
      <x:c r="AG474" s="122"/>
      <x:c r="AH474" s="120"/>
      <x:c r="AI474" s="122"/>
      <x:c r="AJ474" s="120"/>
      <x:c r="AK474" s="121"/>
      <x:c r="AL474" s="122"/>
      <x:c r="AM474" s="120"/>
      <x:c r="AN474" s="122"/>
      <x:c r="AO474" s="120"/>
      <x:c r="AP474" s="121"/>
      <x:c r="AQ474" s="122"/>
      <x:c r="AR474" s="120"/>
      <x:c r="AS474" s="122"/>
      <x:c r="AT474" s="120"/>
      <x:c r="AU474" s="121"/>
      <x:c r="AV474" s="122"/>
      <x:c r="AW474" s="120"/>
      <x:c r="AX474" s="122"/>
      <x:c r="AY474" s="120"/>
      <x:c r="AZ474" s="121"/>
      <x:c r="BA474" s="122"/>
      <x:c r="BB474" s="120"/>
      <x:c r="BC474" s="122"/>
      <x:c r="BD474" s="120"/>
      <x:c r="BE474" s="121"/>
      <x:c r="BF474" s="122"/>
      <x:c r="BG474" s="120"/>
      <x:c r="BH474" s="122"/>
      <x:c r="BI474" s="120"/>
      <x:c r="BJ474" s="121"/>
    </x:row>
    <x:row r="475" ht="15.75" customHeight="1">
      <x:c r="N475" s="120"/>
      <x:c r="P475" s="120"/>
      <x:c r="Q475" s="121"/>
      <x:c r="S475" s="120"/>
      <x:c r="U475" s="120"/>
      <x:c r="V475" s="121"/>
      <x:c r="W475" s="122"/>
      <x:c r="X475" s="120"/>
      <x:c r="Y475" s="122"/>
      <x:c r="Z475" s="120"/>
      <x:c r="AA475" s="121"/>
      <x:c r="AB475" s="122"/>
      <x:c r="AC475" s="120"/>
      <x:c r="AD475" s="122"/>
      <x:c r="AE475" s="120"/>
      <x:c r="AF475" s="121"/>
      <x:c r="AG475" s="122"/>
      <x:c r="AH475" s="120"/>
      <x:c r="AI475" s="122"/>
      <x:c r="AJ475" s="120"/>
      <x:c r="AK475" s="121"/>
      <x:c r="AL475" s="122"/>
      <x:c r="AM475" s="120"/>
      <x:c r="AN475" s="122"/>
      <x:c r="AO475" s="120"/>
      <x:c r="AP475" s="121"/>
      <x:c r="AQ475" s="122"/>
      <x:c r="AR475" s="120"/>
      <x:c r="AS475" s="122"/>
      <x:c r="AT475" s="120"/>
      <x:c r="AU475" s="121"/>
      <x:c r="AV475" s="122"/>
      <x:c r="AW475" s="120"/>
      <x:c r="AX475" s="122"/>
      <x:c r="AY475" s="120"/>
      <x:c r="AZ475" s="121"/>
      <x:c r="BA475" s="122"/>
      <x:c r="BB475" s="120"/>
      <x:c r="BC475" s="122"/>
      <x:c r="BD475" s="120"/>
      <x:c r="BE475" s="121"/>
      <x:c r="BF475" s="122"/>
      <x:c r="BG475" s="120"/>
      <x:c r="BH475" s="122"/>
      <x:c r="BI475" s="120"/>
      <x:c r="BJ475" s="121"/>
    </x:row>
    <x:row r="476" ht="15.75" customHeight="1">
      <x:c r="N476" s="120"/>
      <x:c r="P476" s="120"/>
      <x:c r="Q476" s="121"/>
      <x:c r="S476" s="120"/>
      <x:c r="U476" s="120"/>
      <x:c r="V476" s="121"/>
      <x:c r="W476" s="122"/>
      <x:c r="X476" s="120"/>
      <x:c r="Y476" s="122"/>
      <x:c r="Z476" s="120"/>
      <x:c r="AA476" s="121"/>
      <x:c r="AB476" s="122"/>
      <x:c r="AC476" s="120"/>
      <x:c r="AD476" s="122"/>
      <x:c r="AE476" s="120"/>
      <x:c r="AF476" s="121"/>
      <x:c r="AG476" s="122"/>
      <x:c r="AH476" s="120"/>
      <x:c r="AI476" s="122"/>
      <x:c r="AJ476" s="120"/>
      <x:c r="AK476" s="121"/>
      <x:c r="AL476" s="122"/>
      <x:c r="AM476" s="120"/>
      <x:c r="AN476" s="122"/>
      <x:c r="AO476" s="120"/>
      <x:c r="AP476" s="121"/>
      <x:c r="AQ476" s="122"/>
      <x:c r="AR476" s="120"/>
      <x:c r="AS476" s="122"/>
      <x:c r="AT476" s="120"/>
      <x:c r="AU476" s="121"/>
      <x:c r="AV476" s="122"/>
      <x:c r="AW476" s="120"/>
      <x:c r="AX476" s="122"/>
      <x:c r="AY476" s="120"/>
      <x:c r="AZ476" s="121"/>
      <x:c r="BA476" s="122"/>
      <x:c r="BB476" s="120"/>
      <x:c r="BC476" s="122"/>
      <x:c r="BD476" s="120"/>
      <x:c r="BE476" s="121"/>
      <x:c r="BF476" s="122"/>
      <x:c r="BG476" s="120"/>
      <x:c r="BH476" s="122"/>
      <x:c r="BI476" s="120"/>
      <x:c r="BJ476" s="121"/>
    </x:row>
    <x:row r="477" ht="15.75" customHeight="1">
      <x:c r="N477" s="120"/>
      <x:c r="P477" s="120"/>
      <x:c r="Q477" s="121"/>
      <x:c r="S477" s="120"/>
      <x:c r="U477" s="120"/>
      <x:c r="V477" s="121"/>
      <x:c r="W477" s="122"/>
      <x:c r="X477" s="120"/>
      <x:c r="Y477" s="122"/>
      <x:c r="Z477" s="120"/>
      <x:c r="AA477" s="121"/>
      <x:c r="AB477" s="122"/>
      <x:c r="AC477" s="120"/>
      <x:c r="AD477" s="122"/>
      <x:c r="AE477" s="120"/>
      <x:c r="AF477" s="121"/>
      <x:c r="AG477" s="122"/>
      <x:c r="AH477" s="120"/>
      <x:c r="AI477" s="122"/>
      <x:c r="AJ477" s="120"/>
      <x:c r="AK477" s="121"/>
      <x:c r="AL477" s="122"/>
      <x:c r="AM477" s="120"/>
      <x:c r="AN477" s="122"/>
      <x:c r="AO477" s="120"/>
      <x:c r="AP477" s="121"/>
      <x:c r="AQ477" s="122"/>
      <x:c r="AR477" s="120"/>
      <x:c r="AS477" s="122"/>
      <x:c r="AT477" s="120"/>
      <x:c r="AU477" s="121"/>
      <x:c r="AV477" s="122"/>
      <x:c r="AW477" s="120"/>
      <x:c r="AX477" s="122"/>
      <x:c r="AY477" s="120"/>
      <x:c r="AZ477" s="121"/>
      <x:c r="BA477" s="122"/>
      <x:c r="BB477" s="120"/>
      <x:c r="BC477" s="122"/>
      <x:c r="BD477" s="120"/>
      <x:c r="BE477" s="121"/>
      <x:c r="BF477" s="122"/>
      <x:c r="BG477" s="120"/>
      <x:c r="BH477" s="122"/>
      <x:c r="BI477" s="120"/>
      <x:c r="BJ477" s="121"/>
    </x:row>
    <x:row r="478" ht="15.75" customHeight="1">
      <x:c r="N478" s="120"/>
      <x:c r="P478" s="120"/>
      <x:c r="Q478" s="121"/>
      <x:c r="S478" s="120"/>
      <x:c r="U478" s="120"/>
      <x:c r="V478" s="121"/>
      <x:c r="W478" s="122"/>
      <x:c r="X478" s="120"/>
      <x:c r="Y478" s="122"/>
      <x:c r="Z478" s="120"/>
      <x:c r="AA478" s="121"/>
      <x:c r="AB478" s="122"/>
      <x:c r="AC478" s="120"/>
      <x:c r="AD478" s="122"/>
      <x:c r="AE478" s="120"/>
      <x:c r="AF478" s="121"/>
      <x:c r="AG478" s="122"/>
      <x:c r="AH478" s="120"/>
      <x:c r="AI478" s="122"/>
      <x:c r="AJ478" s="120"/>
      <x:c r="AK478" s="121"/>
      <x:c r="AL478" s="122"/>
      <x:c r="AM478" s="120"/>
      <x:c r="AN478" s="122"/>
      <x:c r="AO478" s="120"/>
      <x:c r="AP478" s="121"/>
      <x:c r="AQ478" s="122"/>
      <x:c r="AR478" s="120"/>
      <x:c r="AS478" s="122"/>
      <x:c r="AT478" s="120"/>
      <x:c r="AU478" s="121"/>
      <x:c r="AV478" s="122"/>
      <x:c r="AW478" s="120"/>
      <x:c r="AX478" s="122"/>
      <x:c r="AY478" s="120"/>
      <x:c r="AZ478" s="121"/>
      <x:c r="BA478" s="122"/>
      <x:c r="BB478" s="120"/>
      <x:c r="BC478" s="122"/>
      <x:c r="BD478" s="120"/>
      <x:c r="BE478" s="121"/>
      <x:c r="BF478" s="122"/>
      <x:c r="BG478" s="120"/>
      <x:c r="BH478" s="122"/>
      <x:c r="BI478" s="120"/>
      <x:c r="BJ478" s="121"/>
    </x:row>
    <x:row r="479" ht="15.75" customHeight="1">
      <x:c r="N479" s="120"/>
      <x:c r="P479" s="120"/>
      <x:c r="Q479" s="121"/>
      <x:c r="S479" s="120"/>
      <x:c r="U479" s="120"/>
      <x:c r="V479" s="121"/>
      <x:c r="W479" s="122"/>
      <x:c r="X479" s="120"/>
      <x:c r="Y479" s="122"/>
      <x:c r="Z479" s="120"/>
      <x:c r="AA479" s="121"/>
      <x:c r="AB479" s="122"/>
      <x:c r="AC479" s="120"/>
      <x:c r="AD479" s="122"/>
      <x:c r="AE479" s="120"/>
      <x:c r="AF479" s="121"/>
      <x:c r="AG479" s="122"/>
      <x:c r="AH479" s="120"/>
      <x:c r="AI479" s="122"/>
      <x:c r="AJ479" s="120"/>
      <x:c r="AK479" s="121"/>
      <x:c r="AL479" s="122"/>
      <x:c r="AM479" s="120"/>
      <x:c r="AN479" s="122"/>
      <x:c r="AO479" s="120"/>
      <x:c r="AP479" s="121"/>
      <x:c r="AQ479" s="122"/>
      <x:c r="AR479" s="120"/>
      <x:c r="AS479" s="122"/>
      <x:c r="AT479" s="120"/>
      <x:c r="AU479" s="121"/>
      <x:c r="AV479" s="122"/>
      <x:c r="AW479" s="120"/>
      <x:c r="AX479" s="122"/>
      <x:c r="AY479" s="120"/>
      <x:c r="AZ479" s="121"/>
      <x:c r="BA479" s="122"/>
      <x:c r="BB479" s="120"/>
      <x:c r="BC479" s="122"/>
      <x:c r="BD479" s="120"/>
      <x:c r="BE479" s="121"/>
      <x:c r="BF479" s="122"/>
      <x:c r="BG479" s="120"/>
      <x:c r="BH479" s="122"/>
      <x:c r="BI479" s="120"/>
      <x:c r="BJ479" s="121"/>
    </x:row>
    <x:row r="480" ht="15.75" customHeight="1">
      <x:c r="N480" s="120"/>
      <x:c r="P480" s="120"/>
      <x:c r="Q480" s="121"/>
      <x:c r="S480" s="120"/>
      <x:c r="U480" s="120"/>
      <x:c r="V480" s="121"/>
      <x:c r="W480" s="122"/>
      <x:c r="X480" s="120"/>
      <x:c r="Y480" s="122"/>
      <x:c r="Z480" s="120"/>
      <x:c r="AA480" s="121"/>
      <x:c r="AB480" s="122"/>
      <x:c r="AC480" s="120"/>
      <x:c r="AD480" s="122"/>
      <x:c r="AE480" s="120"/>
      <x:c r="AF480" s="121"/>
      <x:c r="AG480" s="122"/>
      <x:c r="AH480" s="120"/>
      <x:c r="AI480" s="122"/>
      <x:c r="AJ480" s="120"/>
      <x:c r="AK480" s="121"/>
      <x:c r="AL480" s="122"/>
      <x:c r="AM480" s="120"/>
      <x:c r="AN480" s="122"/>
      <x:c r="AO480" s="120"/>
      <x:c r="AP480" s="121"/>
      <x:c r="AQ480" s="122"/>
      <x:c r="AR480" s="120"/>
      <x:c r="AS480" s="122"/>
      <x:c r="AT480" s="120"/>
      <x:c r="AU480" s="121"/>
      <x:c r="AV480" s="122"/>
      <x:c r="AW480" s="120"/>
      <x:c r="AX480" s="122"/>
      <x:c r="AY480" s="120"/>
      <x:c r="AZ480" s="121"/>
      <x:c r="BA480" s="122"/>
      <x:c r="BB480" s="120"/>
      <x:c r="BC480" s="122"/>
      <x:c r="BD480" s="120"/>
      <x:c r="BE480" s="121"/>
      <x:c r="BF480" s="122"/>
      <x:c r="BG480" s="120"/>
      <x:c r="BH480" s="122"/>
      <x:c r="BI480" s="120"/>
      <x:c r="BJ480" s="121"/>
    </x:row>
    <x:row r="481" ht="15.75" customHeight="1">
      <x:c r="N481" s="120"/>
      <x:c r="P481" s="120"/>
      <x:c r="Q481" s="121"/>
      <x:c r="S481" s="120"/>
      <x:c r="U481" s="120"/>
      <x:c r="V481" s="121"/>
      <x:c r="W481" s="122"/>
      <x:c r="X481" s="120"/>
      <x:c r="Y481" s="122"/>
      <x:c r="Z481" s="120"/>
      <x:c r="AA481" s="121"/>
      <x:c r="AB481" s="122"/>
      <x:c r="AC481" s="120"/>
      <x:c r="AD481" s="122"/>
      <x:c r="AE481" s="120"/>
      <x:c r="AF481" s="121"/>
      <x:c r="AG481" s="122"/>
      <x:c r="AH481" s="120"/>
      <x:c r="AI481" s="122"/>
      <x:c r="AJ481" s="120"/>
      <x:c r="AK481" s="121"/>
      <x:c r="AL481" s="122"/>
      <x:c r="AM481" s="120"/>
      <x:c r="AN481" s="122"/>
      <x:c r="AO481" s="120"/>
      <x:c r="AP481" s="121"/>
      <x:c r="AQ481" s="122"/>
      <x:c r="AR481" s="120"/>
      <x:c r="AS481" s="122"/>
      <x:c r="AT481" s="120"/>
      <x:c r="AU481" s="121"/>
      <x:c r="AV481" s="122"/>
      <x:c r="AW481" s="120"/>
      <x:c r="AX481" s="122"/>
      <x:c r="AY481" s="120"/>
      <x:c r="AZ481" s="121"/>
      <x:c r="BA481" s="122"/>
      <x:c r="BB481" s="120"/>
      <x:c r="BC481" s="122"/>
      <x:c r="BD481" s="120"/>
      <x:c r="BE481" s="121"/>
      <x:c r="BF481" s="122"/>
      <x:c r="BG481" s="120"/>
      <x:c r="BH481" s="122"/>
      <x:c r="BI481" s="120"/>
      <x:c r="BJ481" s="121"/>
    </x:row>
    <x:row r="482" ht="15.75" customHeight="1">
      <x:c r="N482" s="120"/>
      <x:c r="P482" s="120"/>
      <x:c r="Q482" s="121"/>
      <x:c r="S482" s="120"/>
      <x:c r="U482" s="120"/>
      <x:c r="V482" s="121"/>
      <x:c r="W482" s="122"/>
      <x:c r="X482" s="120"/>
      <x:c r="Y482" s="122"/>
      <x:c r="Z482" s="120"/>
      <x:c r="AA482" s="121"/>
      <x:c r="AB482" s="122"/>
      <x:c r="AC482" s="120"/>
      <x:c r="AD482" s="122"/>
      <x:c r="AE482" s="120"/>
      <x:c r="AF482" s="121"/>
      <x:c r="AG482" s="122"/>
      <x:c r="AH482" s="120"/>
      <x:c r="AI482" s="122"/>
      <x:c r="AJ482" s="120"/>
      <x:c r="AK482" s="121"/>
      <x:c r="AL482" s="122"/>
      <x:c r="AM482" s="120"/>
      <x:c r="AN482" s="122"/>
      <x:c r="AO482" s="120"/>
      <x:c r="AP482" s="121"/>
      <x:c r="AQ482" s="122"/>
      <x:c r="AR482" s="120"/>
      <x:c r="AS482" s="122"/>
      <x:c r="AT482" s="120"/>
      <x:c r="AU482" s="121"/>
      <x:c r="AV482" s="122"/>
      <x:c r="AW482" s="120"/>
      <x:c r="AX482" s="122"/>
      <x:c r="AY482" s="120"/>
      <x:c r="AZ482" s="121"/>
      <x:c r="BA482" s="122"/>
      <x:c r="BB482" s="120"/>
      <x:c r="BC482" s="122"/>
      <x:c r="BD482" s="120"/>
      <x:c r="BE482" s="121"/>
      <x:c r="BF482" s="122"/>
      <x:c r="BG482" s="120"/>
      <x:c r="BH482" s="122"/>
      <x:c r="BI482" s="120"/>
      <x:c r="BJ482" s="121"/>
    </x:row>
    <x:row r="483" ht="15.75" customHeight="1">
      <x:c r="N483" s="120"/>
      <x:c r="P483" s="120"/>
      <x:c r="Q483" s="121"/>
      <x:c r="S483" s="120"/>
      <x:c r="U483" s="120"/>
      <x:c r="V483" s="121"/>
      <x:c r="W483" s="122"/>
      <x:c r="X483" s="120"/>
      <x:c r="Y483" s="122"/>
      <x:c r="Z483" s="120"/>
      <x:c r="AA483" s="121"/>
      <x:c r="AB483" s="122"/>
      <x:c r="AC483" s="120"/>
      <x:c r="AD483" s="122"/>
      <x:c r="AE483" s="120"/>
      <x:c r="AF483" s="121"/>
      <x:c r="AG483" s="122"/>
      <x:c r="AH483" s="120"/>
      <x:c r="AI483" s="122"/>
      <x:c r="AJ483" s="120"/>
      <x:c r="AK483" s="121"/>
      <x:c r="AL483" s="122"/>
      <x:c r="AM483" s="120"/>
      <x:c r="AN483" s="122"/>
      <x:c r="AO483" s="120"/>
      <x:c r="AP483" s="121"/>
      <x:c r="AQ483" s="122"/>
      <x:c r="AR483" s="120"/>
      <x:c r="AS483" s="122"/>
      <x:c r="AT483" s="120"/>
      <x:c r="AU483" s="121"/>
      <x:c r="AV483" s="122"/>
      <x:c r="AW483" s="120"/>
      <x:c r="AX483" s="122"/>
      <x:c r="AY483" s="120"/>
      <x:c r="AZ483" s="121"/>
      <x:c r="BA483" s="122"/>
      <x:c r="BB483" s="120"/>
      <x:c r="BC483" s="122"/>
      <x:c r="BD483" s="120"/>
      <x:c r="BE483" s="121"/>
      <x:c r="BF483" s="122"/>
      <x:c r="BG483" s="120"/>
      <x:c r="BH483" s="122"/>
      <x:c r="BI483" s="120"/>
      <x:c r="BJ483" s="121"/>
    </x:row>
    <x:row r="484" ht="15.75" customHeight="1">
      <x:c r="N484" s="120"/>
      <x:c r="P484" s="120"/>
      <x:c r="Q484" s="121"/>
      <x:c r="S484" s="120"/>
      <x:c r="U484" s="120"/>
      <x:c r="V484" s="121"/>
      <x:c r="W484" s="122"/>
      <x:c r="X484" s="120"/>
      <x:c r="Y484" s="122"/>
      <x:c r="Z484" s="120"/>
      <x:c r="AA484" s="121"/>
      <x:c r="AB484" s="122"/>
      <x:c r="AC484" s="120"/>
      <x:c r="AD484" s="122"/>
      <x:c r="AE484" s="120"/>
      <x:c r="AF484" s="121"/>
      <x:c r="AG484" s="122"/>
      <x:c r="AH484" s="120"/>
      <x:c r="AI484" s="122"/>
      <x:c r="AJ484" s="120"/>
      <x:c r="AK484" s="121"/>
      <x:c r="AL484" s="122"/>
      <x:c r="AM484" s="120"/>
      <x:c r="AN484" s="122"/>
      <x:c r="AO484" s="120"/>
      <x:c r="AP484" s="121"/>
      <x:c r="AQ484" s="122"/>
      <x:c r="AR484" s="120"/>
      <x:c r="AS484" s="122"/>
      <x:c r="AT484" s="120"/>
      <x:c r="AU484" s="121"/>
      <x:c r="AV484" s="122"/>
      <x:c r="AW484" s="120"/>
      <x:c r="AX484" s="122"/>
      <x:c r="AY484" s="120"/>
      <x:c r="AZ484" s="121"/>
      <x:c r="BA484" s="122"/>
      <x:c r="BB484" s="120"/>
      <x:c r="BC484" s="122"/>
      <x:c r="BD484" s="120"/>
      <x:c r="BE484" s="121"/>
      <x:c r="BF484" s="122"/>
      <x:c r="BG484" s="120"/>
      <x:c r="BH484" s="122"/>
      <x:c r="BI484" s="120"/>
      <x:c r="BJ484" s="121"/>
    </x:row>
    <x:row r="485" ht="15.75" customHeight="1">
      <x:c r="N485" s="120"/>
      <x:c r="P485" s="120"/>
      <x:c r="Q485" s="121"/>
      <x:c r="S485" s="120"/>
      <x:c r="U485" s="120"/>
      <x:c r="V485" s="121"/>
      <x:c r="W485" s="122"/>
      <x:c r="X485" s="120"/>
      <x:c r="Y485" s="122"/>
      <x:c r="Z485" s="120"/>
      <x:c r="AA485" s="121"/>
      <x:c r="AB485" s="122"/>
      <x:c r="AC485" s="120"/>
      <x:c r="AD485" s="122"/>
      <x:c r="AE485" s="120"/>
      <x:c r="AF485" s="121"/>
      <x:c r="AG485" s="122"/>
      <x:c r="AH485" s="120"/>
      <x:c r="AI485" s="122"/>
      <x:c r="AJ485" s="120"/>
      <x:c r="AK485" s="121"/>
      <x:c r="AL485" s="122"/>
      <x:c r="AM485" s="120"/>
      <x:c r="AN485" s="122"/>
      <x:c r="AO485" s="120"/>
      <x:c r="AP485" s="121"/>
      <x:c r="AQ485" s="122"/>
      <x:c r="AR485" s="120"/>
      <x:c r="AS485" s="122"/>
      <x:c r="AT485" s="120"/>
      <x:c r="AU485" s="121"/>
      <x:c r="AV485" s="122"/>
      <x:c r="AW485" s="120"/>
      <x:c r="AX485" s="122"/>
      <x:c r="AY485" s="120"/>
      <x:c r="AZ485" s="121"/>
      <x:c r="BA485" s="122"/>
      <x:c r="BB485" s="120"/>
      <x:c r="BC485" s="122"/>
      <x:c r="BD485" s="120"/>
      <x:c r="BE485" s="121"/>
      <x:c r="BF485" s="122"/>
      <x:c r="BG485" s="120"/>
      <x:c r="BH485" s="122"/>
      <x:c r="BI485" s="120"/>
      <x:c r="BJ485" s="121"/>
    </x:row>
    <x:row r="486" ht="15.75" customHeight="1">
      <x:c r="N486" s="120"/>
      <x:c r="P486" s="120"/>
      <x:c r="Q486" s="121"/>
      <x:c r="S486" s="120"/>
      <x:c r="U486" s="120"/>
      <x:c r="V486" s="121"/>
      <x:c r="W486" s="122"/>
      <x:c r="X486" s="120"/>
      <x:c r="Y486" s="122"/>
      <x:c r="Z486" s="120"/>
      <x:c r="AA486" s="121"/>
      <x:c r="AB486" s="122"/>
      <x:c r="AC486" s="120"/>
      <x:c r="AD486" s="122"/>
      <x:c r="AE486" s="120"/>
      <x:c r="AF486" s="121"/>
      <x:c r="AG486" s="122"/>
      <x:c r="AH486" s="120"/>
      <x:c r="AI486" s="122"/>
      <x:c r="AJ486" s="120"/>
      <x:c r="AK486" s="121"/>
      <x:c r="AL486" s="122"/>
      <x:c r="AM486" s="120"/>
      <x:c r="AN486" s="122"/>
      <x:c r="AO486" s="120"/>
      <x:c r="AP486" s="121"/>
      <x:c r="AQ486" s="122"/>
      <x:c r="AR486" s="120"/>
      <x:c r="AS486" s="122"/>
      <x:c r="AT486" s="120"/>
      <x:c r="AU486" s="121"/>
      <x:c r="AV486" s="122"/>
      <x:c r="AW486" s="120"/>
      <x:c r="AX486" s="122"/>
      <x:c r="AY486" s="120"/>
      <x:c r="AZ486" s="121"/>
      <x:c r="BA486" s="122"/>
      <x:c r="BB486" s="120"/>
      <x:c r="BC486" s="122"/>
      <x:c r="BD486" s="120"/>
      <x:c r="BE486" s="121"/>
      <x:c r="BF486" s="122"/>
      <x:c r="BG486" s="120"/>
      <x:c r="BH486" s="122"/>
      <x:c r="BI486" s="120"/>
      <x:c r="BJ486" s="121"/>
    </x:row>
    <x:row r="487" ht="15.75" customHeight="1">
      <x:c r="N487" s="120"/>
      <x:c r="P487" s="120"/>
      <x:c r="Q487" s="121"/>
      <x:c r="S487" s="120"/>
      <x:c r="U487" s="120"/>
      <x:c r="V487" s="121"/>
      <x:c r="W487" s="122"/>
      <x:c r="X487" s="120"/>
      <x:c r="Y487" s="122"/>
      <x:c r="Z487" s="120"/>
      <x:c r="AA487" s="121"/>
      <x:c r="AB487" s="122"/>
      <x:c r="AC487" s="120"/>
      <x:c r="AD487" s="122"/>
      <x:c r="AE487" s="120"/>
      <x:c r="AF487" s="121"/>
      <x:c r="AG487" s="122"/>
      <x:c r="AH487" s="120"/>
      <x:c r="AI487" s="122"/>
      <x:c r="AJ487" s="120"/>
      <x:c r="AK487" s="121"/>
      <x:c r="AL487" s="122"/>
      <x:c r="AM487" s="120"/>
      <x:c r="AN487" s="122"/>
      <x:c r="AO487" s="120"/>
      <x:c r="AP487" s="121"/>
      <x:c r="AQ487" s="122"/>
      <x:c r="AR487" s="120"/>
      <x:c r="AS487" s="122"/>
      <x:c r="AT487" s="120"/>
      <x:c r="AU487" s="121"/>
      <x:c r="AV487" s="122"/>
      <x:c r="AW487" s="120"/>
      <x:c r="AX487" s="122"/>
      <x:c r="AY487" s="120"/>
      <x:c r="AZ487" s="121"/>
      <x:c r="BA487" s="122"/>
      <x:c r="BB487" s="120"/>
      <x:c r="BC487" s="122"/>
      <x:c r="BD487" s="120"/>
      <x:c r="BE487" s="121"/>
      <x:c r="BF487" s="122"/>
      <x:c r="BG487" s="120"/>
      <x:c r="BH487" s="122"/>
      <x:c r="BI487" s="120"/>
      <x:c r="BJ487" s="121"/>
    </x:row>
    <x:row r="488" ht="15.75" customHeight="1">
      <x:c r="N488" s="120"/>
      <x:c r="P488" s="120"/>
      <x:c r="Q488" s="121"/>
      <x:c r="S488" s="120"/>
      <x:c r="U488" s="120"/>
      <x:c r="V488" s="121"/>
      <x:c r="W488" s="122"/>
      <x:c r="X488" s="120"/>
      <x:c r="Y488" s="122"/>
      <x:c r="Z488" s="120"/>
      <x:c r="AA488" s="121"/>
      <x:c r="AB488" s="122"/>
      <x:c r="AC488" s="120"/>
      <x:c r="AD488" s="122"/>
      <x:c r="AE488" s="120"/>
      <x:c r="AF488" s="121"/>
      <x:c r="AG488" s="122"/>
      <x:c r="AH488" s="120"/>
      <x:c r="AI488" s="122"/>
      <x:c r="AJ488" s="120"/>
      <x:c r="AK488" s="121"/>
      <x:c r="AL488" s="122"/>
      <x:c r="AM488" s="120"/>
      <x:c r="AN488" s="122"/>
      <x:c r="AO488" s="120"/>
      <x:c r="AP488" s="121"/>
      <x:c r="AQ488" s="122"/>
      <x:c r="AR488" s="120"/>
      <x:c r="AS488" s="122"/>
      <x:c r="AT488" s="120"/>
      <x:c r="AU488" s="121"/>
      <x:c r="AV488" s="122"/>
      <x:c r="AW488" s="120"/>
      <x:c r="AX488" s="122"/>
      <x:c r="AY488" s="120"/>
      <x:c r="AZ488" s="121"/>
      <x:c r="BA488" s="122"/>
      <x:c r="BB488" s="120"/>
      <x:c r="BC488" s="122"/>
      <x:c r="BD488" s="120"/>
      <x:c r="BE488" s="121"/>
      <x:c r="BF488" s="122"/>
      <x:c r="BG488" s="120"/>
      <x:c r="BH488" s="122"/>
      <x:c r="BI488" s="120"/>
      <x:c r="BJ488" s="121"/>
    </x:row>
    <x:row r="489" ht="15.75" customHeight="1">
      <x:c r="N489" s="120"/>
      <x:c r="P489" s="120"/>
      <x:c r="Q489" s="121"/>
      <x:c r="S489" s="120"/>
      <x:c r="U489" s="120"/>
      <x:c r="V489" s="121"/>
      <x:c r="W489" s="122"/>
      <x:c r="X489" s="120"/>
      <x:c r="Y489" s="122"/>
      <x:c r="Z489" s="120"/>
      <x:c r="AA489" s="121"/>
      <x:c r="AB489" s="122"/>
      <x:c r="AC489" s="120"/>
      <x:c r="AD489" s="122"/>
      <x:c r="AE489" s="120"/>
      <x:c r="AF489" s="121"/>
      <x:c r="AG489" s="122"/>
      <x:c r="AH489" s="120"/>
      <x:c r="AI489" s="122"/>
      <x:c r="AJ489" s="120"/>
      <x:c r="AK489" s="121"/>
      <x:c r="AL489" s="122"/>
      <x:c r="AM489" s="120"/>
      <x:c r="AN489" s="122"/>
      <x:c r="AO489" s="120"/>
      <x:c r="AP489" s="121"/>
      <x:c r="AQ489" s="122"/>
      <x:c r="AR489" s="120"/>
      <x:c r="AS489" s="122"/>
      <x:c r="AT489" s="120"/>
      <x:c r="AU489" s="121"/>
      <x:c r="AV489" s="122"/>
      <x:c r="AW489" s="120"/>
      <x:c r="AX489" s="122"/>
      <x:c r="AY489" s="120"/>
      <x:c r="AZ489" s="121"/>
      <x:c r="BA489" s="122"/>
      <x:c r="BB489" s="120"/>
      <x:c r="BC489" s="122"/>
      <x:c r="BD489" s="120"/>
      <x:c r="BE489" s="121"/>
      <x:c r="BF489" s="122"/>
      <x:c r="BG489" s="120"/>
      <x:c r="BH489" s="122"/>
      <x:c r="BI489" s="120"/>
      <x:c r="BJ489" s="121"/>
    </x:row>
    <x:row r="490" ht="15.75" customHeight="1">
      <x:c r="N490" s="120"/>
      <x:c r="P490" s="120"/>
      <x:c r="Q490" s="121"/>
      <x:c r="S490" s="120"/>
      <x:c r="U490" s="120"/>
      <x:c r="V490" s="121"/>
      <x:c r="W490" s="122"/>
      <x:c r="X490" s="120"/>
      <x:c r="Y490" s="122"/>
      <x:c r="Z490" s="120"/>
      <x:c r="AA490" s="121"/>
      <x:c r="AB490" s="122"/>
      <x:c r="AC490" s="120"/>
      <x:c r="AD490" s="122"/>
      <x:c r="AE490" s="120"/>
      <x:c r="AF490" s="121"/>
      <x:c r="AG490" s="122"/>
      <x:c r="AH490" s="120"/>
      <x:c r="AI490" s="122"/>
      <x:c r="AJ490" s="120"/>
      <x:c r="AK490" s="121"/>
      <x:c r="AL490" s="122"/>
      <x:c r="AM490" s="120"/>
      <x:c r="AN490" s="122"/>
      <x:c r="AO490" s="120"/>
      <x:c r="AP490" s="121"/>
      <x:c r="AQ490" s="122"/>
      <x:c r="AR490" s="120"/>
      <x:c r="AS490" s="122"/>
      <x:c r="AT490" s="120"/>
      <x:c r="AU490" s="121"/>
      <x:c r="AV490" s="122"/>
      <x:c r="AW490" s="120"/>
      <x:c r="AX490" s="122"/>
      <x:c r="AY490" s="120"/>
      <x:c r="AZ490" s="121"/>
      <x:c r="BA490" s="122"/>
      <x:c r="BB490" s="120"/>
      <x:c r="BC490" s="122"/>
      <x:c r="BD490" s="120"/>
      <x:c r="BE490" s="121"/>
      <x:c r="BF490" s="122"/>
      <x:c r="BG490" s="120"/>
      <x:c r="BH490" s="122"/>
      <x:c r="BI490" s="120"/>
      <x:c r="BJ490" s="121"/>
    </x:row>
    <x:row r="491" ht="15.75" customHeight="1">
      <x:c r="N491" s="120"/>
      <x:c r="P491" s="120"/>
      <x:c r="Q491" s="121"/>
      <x:c r="S491" s="120"/>
      <x:c r="U491" s="120"/>
      <x:c r="V491" s="121"/>
      <x:c r="W491" s="122"/>
      <x:c r="X491" s="120"/>
      <x:c r="Y491" s="122"/>
      <x:c r="Z491" s="120"/>
      <x:c r="AA491" s="121"/>
      <x:c r="AB491" s="122"/>
      <x:c r="AC491" s="120"/>
      <x:c r="AD491" s="122"/>
      <x:c r="AE491" s="120"/>
      <x:c r="AF491" s="121"/>
      <x:c r="AG491" s="122"/>
      <x:c r="AH491" s="120"/>
      <x:c r="AI491" s="122"/>
      <x:c r="AJ491" s="120"/>
      <x:c r="AK491" s="121"/>
      <x:c r="AL491" s="122"/>
      <x:c r="AM491" s="120"/>
      <x:c r="AN491" s="122"/>
      <x:c r="AO491" s="120"/>
      <x:c r="AP491" s="121"/>
      <x:c r="AQ491" s="122"/>
      <x:c r="AR491" s="120"/>
      <x:c r="AS491" s="122"/>
      <x:c r="AT491" s="120"/>
      <x:c r="AU491" s="121"/>
      <x:c r="AV491" s="122"/>
      <x:c r="AW491" s="120"/>
      <x:c r="AX491" s="122"/>
      <x:c r="AY491" s="120"/>
      <x:c r="AZ491" s="121"/>
      <x:c r="BA491" s="122"/>
      <x:c r="BB491" s="120"/>
      <x:c r="BC491" s="122"/>
      <x:c r="BD491" s="120"/>
      <x:c r="BE491" s="121"/>
      <x:c r="BF491" s="122"/>
      <x:c r="BG491" s="120"/>
      <x:c r="BH491" s="122"/>
      <x:c r="BI491" s="120"/>
      <x:c r="BJ491" s="121"/>
    </x:row>
    <x:row r="492" ht="15.75" customHeight="1">
      <x:c r="N492" s="120"/>
      <x:c r="P492" s="120"/>
      <x:c r="Q492" s="121"/>
      <x:c r="S492" s="120"/>
      <x:c r="U492" s="120"/>
      <x:c r="V492" s="121"/>
      <x:c r="W492" s="122"/>
      <x:c r="X492" s="120"/>
      <x:c r="Y492" s="122"/>
      <x:c r="Z492" s="120"/>
      <x:c r="AA492" s="121"/>
      <x:c r="AB492" s="122"/>
      <x:c r="AC492" s="120"/>
      <x:c r="AD492" s="122"/>
      <x:c r="AE492" s="120"/>
      <x:c r="AF492" s="121"/>
      <x:c r="AG492" s="122"/>
      <x:c r="AH492" s="120"/>
      <x:c r="AI492" s="122"/>
      <x:c r="AJ492" s="120"/>
      <x:c r="AK492" s="121"/>
      <x:c r="AL492" s="122"/>
      <x:c r="AM492" s="120"/>
      <x:c r="AN492" s="122"/>
      <x:c r="AO492" s="120"/>
      <x:c r="AP492" s="121"/>
      <x:c r="AQ492" s="122"/>
      <x:c r="AR492" s="120"/>
      <x:c r="AS492" s="122"/>
      <x:c r="AT492" s="120"/>
      <x:c r="AU492" s="121"/>
      <x:c r="AV492" s="122"/>
      <x:c r="AW492" s="120"/>
      <x:c r="AX492" s="122"/>
      <x:c r="AY492" s="120"/>
      <x:c r="AZ492" s="121"/>
      <x:c r="BA492" s="122"/>
      <x:c r="BB492" s="120"/>
      <x:c r="BC492" s="122"/>
      <x:c r="BD492" s="120"/>
      <x:c r="BE492" s="121"/>
      <x:c r="BF492" s="122"/>
      <x:c r="BG492" s="120"/>
      <x:c r="BH492" s="122"/>
      <x:c r="BI492" s="120"/>
      <x:c r="BJ492" s="121"/>
    </x:row>
    <x:row r="493" ht="15.75" customHeight="1">
      <x:c r="N493" s="120"/>
      <x:c r="P493" s="120"/>
      <x:c r="Q493" s="121"/>
      <x:c r="S493" s="120"/>
      <x:c r="U493" s="120"/>
      <x:c r="V493" s="121"/>
      <x:c r="W493" s="122"/>
      <x:c r="X493" s="120"/>
      <x:c r="Y493" s="122"/>
      <x:c r="Z493" s="120"/>
      <x:c r="AA493" s="121"/>
      <x:c r="AB493" s="122"/>
      <x:c r="AC493" s="120"/>
      <x:c r="AD493" s="122"/>
      <x:c r="AE493" s="120"/>
      <x:c r="AF493" s="121"/>
      <x:c r="AG493" s="122"/>
      <x:c r="AH493" s="120"/>
      <x:c r="AI493" s="122"/>
      <x:c r="AJ493" s="120"/>
      <x:c r="AK493" s="121"/>
      <x:c r="AL493" s="122"/>
      <x:c r="AM493" s="120"/>
      <x:c r="AN493" s="122"/>
      <x:c r="AO493" s="120"/>
      <x:c r="AP493" s="121"/>
      <x:c r="AQ493" s="122"/>
      <x:c r="AR493" s="120"/>
      <x:c r="AS493" s="122"/>
      <x:c r="AT493" s="120"/>
      <x:c r="AU493" s="121"/>
      <x:c r="AV493" s="122"/>
      <x:c r="AW493" s="120"/>
      <x:c r="AX493" s="122"/>
      <x:c r="AY493" s="120"/>
      <x:c r="AZ493" s="121"/>
      <x:c r="BA493" s="122"/>
      <x:c r="BB493" s="120"/>
      <x:c r="BC493" s="122"/>
      <x:c r="BD493" s="120"/>
      <x:c r="BE493" s="121"/>
      <x:c r="BF493" s="122"/>
      <x:c r="BG493" s="120"/>
      <x:c r="BH493" s="122"/>
      <x:c r="BI493" s="120"/>
      <x:c r="BJ493" s="121"/>
    </x:row>
    <x:row r="494" ht="15.75" customHeight="1">
      <x:c r="N494" s="120"/>
      <x:c r="P494" s="120"/>
      <x:c r="Q494" s="121"/>
      <x:c r="S494" s="120"/>
      <x:c r="U494" s="120"/>
      <x:c r="V494" s="121"/>
      <x:c r="W494" s="122"/>
      <x:c r="X494" s="120"/>
      <x:c r="Y494" s="122"/>
      <x:c r="Z494" s="120"/>
      <x:c r="AA494" s="121"/>
      <x:c r="AB494" s="122"/>
      <x:c r="AC494" s="120"/>
      <x:c r="AD494" s="122"/>
      <x:c r="AE494" s="120"/>
      <x:c r="AF494" s="121"/>
      <x:c r="AG494" s="122"/>
      <x:c r="AH494" s="120"/>
      <x:c r="AI494" s="122"/>
      <x:c r="AJ494" s="120"/>
      <x:c r="AK494" s="121"/>
      <x:c r="AL494" s="122"/>
      <x:c r="AM494" s="120"/>
      <x:c r="AN494" s="122"/>
      <x:c r="AO494" s="120"/>
      <x:c r="AP494" s="121"/>
      <x:c r="AQ494" s="122"/>
      <x:c r="AR494" s="120"/>
      <x:c r="AS494" s="122"/>
      <x:c r="AT494" s="120"/>
      <x:c r="AU494" s="121"/>
      <x:c r="AV494" s="122"/>
      <x:c r="AW494" s="120"/>
      <x:c r="AX494" s="122"/>
      <x:c r="AY494" s="120"/>
      <x:c r="AZ494" s="121"/>
      <x:c r="BA494" s="122"/>
      <x:c r="BB494" s="120"/>
      <x:c r="BC494" s="122"/>
      <x:c r="BD494" s="120"/>
      <x:c r="BE494" s="121"/>
      <x:c r="BF494" s="122"/>
      <x:c r="BG494" s="120"/>
      <x:c r="BH494" s="122"/>
      <x:c r="BI494" s="120"/>
      <x:c r="BJ494" s="121"/>
    </x:row>
    <x:row r="495" ht="15.75" customHeight="1">
      <x:c r="N495" s="120"/>
      <x:c r="P495" s="120"/>
      <x:c r="Q495" s="121"/>
      <x:c r="S495" s="120"/>
      <x:c r="U495" s="120"/>
      <x:c r="V495" s="121"/>
      <x:c r="W495" s="122"/>
      <x:c r="X495" s="120"/>
      <x:c r="Y495" s="122"/>
      <x:c r="Z495" s="120"/>
      <x:c r="AA495" s="121"/>
      <x:c r="AB495" s="122"/>
      <x:c r="AC495" s="120"/>
      <x:c r="AD495" s="122"/>
      <x:c r="AE495" s="120"/>
      <x:c r="AF495" s="121"/>
      <x:c r="AG495" s="122"/>
      <x:c r="AH495" s="120"/>
      <x:c r="AI495" s="122"/>
      <x:c r="AJ495" s="120"/>
      <x:c r="AK495" s="121"/>
      <x:c r="AL495" s="122"/>
      <x:c r="AM495" s="120"/>
      <x:c r="AN495" s="122"/>
      <x:c r="AO495" s="120"/>
      <x:c r="AP495" s="121"/>
      <x:c r="AQ495" s="122"/>
      <x:c r="AR495" s="120"/>
      <x:c r="AS495" s="122"/>
      <x:c r="AT495" s="120"/>
      <x:c r="AU495" s="121"/>
      <x:c r="AV495" s="122"/>
      <x:c r="AW495" s="120"/>
      <x:c r="AX495" s="122"/>
      <x:c r="AY495" s="120"/>
      <x:c r="AZ495" s="121"/>
      <x:c r="BA495" s="122"/>
      <x:c r="BB495" s="120"/>
      <x:c r="BC495" s="122"/>
      <x:c r="BD495" s="120"/>
      <x:c r="BE495" s="121"/>
      <x:c r="BF495" s="122"/>
      <x:c r="BG495" s="120"/>
      <x:c r="BH495" s="122"/>
      <x:c r="BI495" s="120"/>
      <x:c r="BJ495" s="121"/>
    </x:row>
    <x:row r="496" ht="15.75" customHeight="1">
      <x:c r="N496" s="120"/>
      <x:c r="P496" s="120"/>
      <x:c r="Q496" s="121"/>
      <x:c r="S496" s="120"/>
      <x:c r="U496" s="120"/>
      <x:c r="V496" s="121"/>
      <x:c r="W496" s="122"/>
      <x:c r="X496" s="120"/>
      <x:c r="Y496" s="122"/>
      <x:c r="Z496" s="120"/>
      <x:c r="AA496" s="121"/>
      <x:c r="AB496" s="122"/>
      <x:c r="AC496" s="120"/>
      <x:c r="AD496" s="122"/>
      <x:c r="AE496" s="120"/>
      <x:c r="AF496" s="121"/>
      <x:c r="AG496" s="122"/>
      <x:c r="AH496" s="120"/>
      <x:c r="AI496" s="122"/>
      <x:c r="AJ496" s="120"/>
      <x:c r="AK496" s="121"/>
      <x:c r="AL496" s="122"/>
      <x:c r="AM496" s="120"/>
      <x:c r="AN496" s="122"/>
      <x:c r="AO496" s="120"/>
      <x:c r="AP496" s="121"/>
      <x:c r="AQ496" s="122"/>
      <x:c r="AR496" s="120"/>
      <x:c r="AS496" s="122"/>
      <x:c r="AT496" s="120"/>
      <x:c r="AU496" s="121"/>
      <x:c r="AV496" s="122"/>
      <x:c r="AW496" s="120"/>
      <x:c r="AX496" s="122"/>
      <x:c r="AY496" s="120"/>
      <x:c r="AZ496" s="121"/>
      <x:c r="BA496" s="122"/>
      <x:c r="BB496" s="120"/>
      <x:c r="BC496" s="122"/>
      <x:c r="BD496" s="120"/>
      <x:c r="BE496" s="121"/>
      <x:c r="BF496" s="122"/>
      <x:c r="BG496" s="120"/>
      <x:c r="BH496" s="122"/>
      <x:c r="BI496" s="120"/>
      <x:c r="BJ496" s="121"/>
    </x:row>
    <x:row r="497" ht="15.75" customHeight="1">
      <x:c r="N497" s="120"/>
      <x:c r="P497" s="120"/>
      <x:c r="Q497" s="121"/>
      <x:c r="S497" s="120"/>
      <x:c r="U497" s="120"/>
      <x:c r="V497" s="121"/>
      <x:c r="W497" s="122"/>
      <x:c r="X497" s="120"/>
      <x:c r="Y497" s="122"/>
      <x:c r="Z497" s="120"/>
      <x:c r="AA497" s="121"/>
      <x:c r="AB497" s="122"/>
      <x:c r="AC497" s="120"/>
      <x:c r="AD497" s="122"/>
      <x:c r="AE497" s="120"/>
      <x:c r="AF497" s="121"/>
      <x:c r="AG497" s="122"/>
      <x:c r="AH497" s="120"/>
      <x:c r="AI497" s="122"/>
      <x:c r="AJ497" s="120"/>
      <x:c r="AK497" s="121"/>
      <x:c r="AL497" s="122"/>
      <x:c r="AM497" s="120"/>
      <x:c r="AN497" s="122"/>
      <x:c r="AO497" s="120"/>
      <x:c r="AP497" s="121"/>
      <x:c r="AQ497" s="122"/>
      <x:c r="AR497" s="120"/>
      <x:c r="AS497" s="122"/>
      <x:c r="AT497" s="120"/>
      <x:c r="AU497" s="121"/>
      <x:c r="AV497" s="122"/>
      <x:c r="AW497" s="120"/>
      <x:c r="AX497" s="122"/>
      <x:c r="AY497" s="120"/>
      <x:c r="AZ497" s="121"/>
      <x:c r="BA497" s="122"/>
      <x:c r="BB497" s="120"/>
      <x:c r="BC497" s="122"/>
      <x:c r="BD497" s="120"/>
      <x:c r="BE497" s="121"/>
      <x:c r="BF497" s="122"/>
      <x:c r="BG497" s="120"/>
      <x:c r="BH497" s="122"/>
      <x:c r="BI497" s="120"/>
      <x:c r="BJ497" s="121"/>
    </x:row>
    <x:row r="498" ht="15.75" customHeight="1">
      <x:c r="N498" s="120"/>
      <x:c r="P498" s="120"/>
      <x:c r="Q498" s="121"/>
      <x:c r="S498" s="120"/>
      <x:c r="U498" s="120"/>
      <x:c r="V498" s="121"/>
      <x:c r="W498" s="122"/>
      <x:c r="X498" s="120"/>
      <x:c r="Y498" s="122"/>
      <x:c r="Z498" s="120"/>
      <x:c r="AA498" s="121"/>
      <x:c r="AB498" s="122"/>
      <x:c r="AC498" s="120"/>
      <x:c r="AD498" s="122"/>
      <x:c r="AE498" s="120"/>
      <x:c r="AF498" s="121"/>
      <x:c r="AG498" s="122"/>
      <x:c r="AH498" s="120"/>
      <x:c r="AI498" s="122"/>
      <x:c r="AJ498" s="120"/>
      <x:c r="AK498" s="121"/>
      <x:c r="AL498" s="122"/>
      <x:c r="AM498" s="120"/>
      <x:c r="AN498" s="122"/>
      <x:c r="AO498" s="120"/>
      <x:c r="AP498" s="121"/>
      <x:c r="AQ498" s="122"/>
      <x:c r="AR498" s="120"/>
      <x:c r="AS498" s="122"/>
      <x:c r="AT498" s="120"/>
      <x:c r="AU498" s="121"/>
      <x:c r="AV498" s="122"/>
      <x:c r="AW498" s="120"/>
      <x:c r="AX498" s="122"/>
      <x:c r="AY498" s="120"/>
      <x:c r="AZ498" s="121"/>
      <x:c r="BA498" s="122"/>
      <x:c r="BB498" s="120"/>
      <x:c r="BC498" s="122"/>
      <x:c r="BD498" s="120"/>
      <x:c r="BE498" s="121"/>
      <x:c r="BF498" s="122"/>
      <x:c r="BG498" s="120"/>
      <x:c r="BH498" s="122"/>
      <x:c r="BI498" s="120"/>
      <x:c r="BJ498" s="121"/>
    </x:row>
    <x:row r="499" ht="15.75" customHeight="1">
      <x:c r="N499" s="120"/>
      <x:c r="P499" s="120"/>
      <x:c r="Q499" s="121"/>
      <x:c r="S499" s="120"/>
      <x:c r="U499" s="120"/>
      <x:c r="V499" s="121"/>
      <x:c r="W499" s="122"/>
      <x:c r="X499" s="120"/>
      <x:c r="Y499" s="122"/>
      <x:c r="Z499" s="120"/>
      <x:c r="AA499" s="121"/>
      <x:c r="AB499" s="122"/>
      <x:c r="AC499" s="120"/>
      <x:c r="AD499" s="122"/>
      <x:c r="AE499" s="120"/>
      <x:c r="AF499" s="121"/>
      <x:c r="AG499" s="122"/>
      <x:c r="AH499" s="120"/>
      <x:c r="AI499" s="122"/>
      <x:c r="AJ499" s="120"/>
      <x:c r="AK499" s="121"/>
      <x:c r="AL499" s="122"/>
      <x:c r="AM499" s="120"/>
      <x:c r="AN499" s="122"/>
      <x:c r="AO499" s="120"/>
      <x:c r="AP499" s="121"/>
      <x:c r="AQ499" s="122"/>
      <x:c r="AR499" s="120"/>
      <x:c r="AS499" s="122"/>
      <x:c r="AT499" s="120"/>
      <x:c r="AU499" s="121"/>
      <x:c r="AV499" s="122"/>
      <x:c r="AW499" s="120"/>
      <x:c r="AX499" s="122"/>
      <x:c r="AY499" s="120"/>
      <x:c r="AZ499" s="121"/>
      <x:c r="BA499" s="122"/>
      <x:c r="BB499" s="120"/>
      <x:c r="BC499" s="122"/>
      <x:c r="BD499" s="120"/>
      <x:c r="BE499" s="121"/>
      <x:c r="BF499" s="122"/>
      <x:c r="BG499" s="120"/>
      <x:c r="BH499" s="122"/>
      <x:c r="BI499" s="120"/>
      <x:c r="BJ499" s="121"/>
    </x:row>
    <x:row r="500" ht="15.75" customHeight="1">
      <x:c r="N500" s="120"/>
      <x:c r="P500" s="120"/>
      <x:c r="Q500" s="121"/>
      <x:c r="S500" s="120"/>
      <x:c r="U500" s="120"/>
      <x:c r="V500" s="121"/>
      <x:c r="W500" s="122"/>
      <x:c r="X500" s="120"/>
      <x:c r="Y500" s="122"/>
      <x:c r="Z500" s="120"/>
      <x:c r="AA500" s="121"/>
      <x:c r="AB500" s="122"/>
      <x:c r="AC500" s="120"/>
      <x:c r="AD500" s="122"/>
      <x:c r="AE500" s="120"/>
      <x:c r="AF500" s="121"/>
      <x:c r="AG500" s="122"/>
      <x:c r="AH500" s="120"/>
      <x:c r="AI500" s="122"/>
      <x:c r="AJ500" s="120"/>
      <x:c r="AK500" s="121"/>
      <x:c r="AL500" s="122"/>
      <x:c r="AM500" s="120"/>
      <x:c r="AN500" s="122"/>
      <x:c r="AO500" s="120"/>
      <x:c r="AP500" s="121"/>
      <x:c r="AQ500" s="122"/>
      <x:c r="AR500" s="120"/>
      <x:c r="AS500" s="122"/>
      <x:c r="AT500" s="120"/>
      <x:c r="AU500" s="121"/>
      <x:c r="AV500" s="122"/>
      <x:c r="AW500" s="120"/>
      <x:c r="AX500" s="122"/>
      <x:c r="AY500" s="120"/>
      <x:c r="AZ500" s="121"/>
      <x:c r="BA500" s="122"/>
      <x:c r="BB500" s="120"/>
      <x:c r="BC500" s="122"/>
      <x:c r="BD500" s="120"/>
      <x:c r="BE500" s="121"/>
      <x:c r="BF500" s="122"/>
      <x:c r="BG500" s="120"/>
      <x:c r="BH500" s="122"/>
      <x:c r="BI500" s="120"/>
      <x:c r="BJ500" s="121"/>
    </x:row>
    <x:row r="501" ht="15.75" customHeight="1">
      <x:c r="N501" s="120"/>
      <x:c r="P501" s="120"/>
      <x:c r="Q501" s="121"/>
      <x:c r="S501" s="120"/>
      <x:c r="U501" s="120"/>
      <x:c r="V501" s="121"/>
      <x:c r="W501" s="122"/>
      <x:c r="X501" s="120"/>
      <x:c r="Y501" s="122"/>
      <x:c r="Z501" s="120"/>
      <x:c r="AA501" s="121"/>
      <x:c r="AB501" s="122"/>
      <x:c r="AC501" s="120"/>
      <x:c r="AD501" s="122"/>
      <x:c r="AE501" s="120"/>
      <x:c r="AF501" s="121"/>
      <x:c r="AG501" s="122"/>
      <x:c r="AH501" s="120"/>
      <x:c r="AI501" s="122"/>
      <x:c r="AJ501" s="120"/>
      <x:c r="AK501" s="121"/>
      <x:c r="AL501" s="122"/>
      <x:c r="AM501" s="120"/>
      <x:c r="AN501" s="122"/>
      <x:c r="AO501" s="120"/>
      <x:c r="AP501" s="121"/>
      <x:c r="AQ501" s="122"/>
      <x:c r="AR501" s="120"/>
      <x:c r="AS501" s="122"/>
      <x:c r="AT501" s="120"/>
      <x:c r="AU501" s="121"/>
      <x:c r="AV501" s="122"/>
      <x:c r="AW501" s="120"/>
      <x:c r="AX501" s="122"/>
      <x:c r="AY501" s="120"/>
      <x:c r="AZ501" s="121"/>
      <x:c r="BA501" s="122"/>
      <x:c r="BB501" s="120"/>
      <x:c r="BC501" s="122"/>
      <x:c r="BD501" s="120"/>
      <x:c r="BE501" s="121"/>
      <x:c r="BF501" s="122"/>
      <x:c r="BG501" s="120"/>
      <x:c r="BH501" s="122"/>
      <x:c r="BI501" s="120"/>
      <x:c r="BJ501" s="121"/>
    </x:row>
    <x:row r="502" ht="15.75" customHeight="1">
      <x:c r="N502" s="120"/>
      <x:c r="P502" s="120"/>
      <x:c r="Q502" s="121"/>
      <x:c r="S502" s="120"/>
      <x:c r="U502" s="120"/>
      <x:c r="V502" s="121"/>
      <x:c r="W502" s="122"/>
      <x:c r="X502" s="120"/>
      <x:c r="Y502" s="122"/>
      <x:c r="Z502" s="120"/>
      <x:c r="AA502" s="121"/>
      <x:c r="AB502" s="122"/>
      <x:c r="AC502" s="120"/>
      <x:c r="AD502" s="122"/>
      <x:c r="AE502" s="120"/>
      <x:c r="AF502" s="121"/>
      <x:c r="AG502" s="122"/>
      <x:c r="AH502" s="120"/>
      <x:c r="AI502" s="122"/>
      <x:c r="AJ502" s="120"/>
      <x:c r="AK502" s="121"/>
      <x:c r="AL502" s="122"/>
      <x:c r="AM502" s="120"/>
      <x:c r="AN502" s="122"/>
      <x:c r="AO502" s="120"/>
      <x:c r="AP502" s="121"/>
      <x:c r="AQ502" s="122"/>
      <x:c r="AR502" s="120"/>
      <x:c r="AS502" s="122"/>
      <x:c r="AT502" s="120"/>
      <x:c r="AU502" s="121"/>
      <x:c r="AV502" s="122"/>
      <x:c r="AW502" s="120"/>
      <x:c r="AX502" s="122"/>
      <x:c r="AY502" s="120"/>
      <x:c r="AZ502" s="121"/>
      <x:c r="BA502" s="122"/>
      <x:c r="BB502" s="120"/>
      <x:c r="BC502" s="122"/>
      <x:c r="BD502" s="120"/>
      <x:c r="BE502" s="121"/>
      <x:c r="BF502" s="122"/>
      <x:c r="BG502" s="120"/>
      <x:c r="BH502" s="122"/>
      <x:c r="BI502" s="120"/>
      <x:c r="BJ502" s="121"/>
    </x:row>
    <x:row r="503" ht="15.75" customHeight="1">
      <x:c r="N503" s="120"/>
      <x:c r="P503" s="120"/>
      <x:c r="Q503" s="121"/>
      <x:c r="S503" s="120"/>
      <x:c r="U503" s="120"/>
      <x:c r="V503" s="121"/>
      <x:c r="W503" s="122"/>
      <x:c r="X503" s="120"/>
      <x:c r="Y503" s="122"/>
      <x:c r="Z503" s="120"/>
      <x:c r="AA503" s="121"/>
      <x:c r="AB503" s="122"/>
      <x:c r="AC503" s="120"/>
      <x:c r="AD503" s="122"/>
      <x:c r="AE503" s="120"/>
      <x:c r="AF503" s="121"/>
      <x:c r="AG503" s="122"/>
      <x:c r="AH503" s="120"/>
      <x:c r="AI503" s="122"/>
      <x:c r="AJ503" s="120"/>
      <x:c r="AK503" s="121"/>
      <x:c r="AL503" s="122"/>
      <x:c r="AM503" s="120"/>
      <x:c r="AN503" s="122"/>
      <x:c r="AO503" s="120"/>
      <x:c r="AP503" s="121"/>
      <x:c r="AQ503" s="122"/>
      <x:c r="AR503" s="120"/>
      <x:c r="AS503" s="122"/>
      <x:c r="AT503" s="120"/>
      <x:c r="AU503" s="121"/>
      <x:c r="AV503" s="122"/>
      <x:c r="AW503" s="120"/>
      <x:c r="AX503" s="122"/>
      <x:c r="AY503" s="120"/>
      <x:c r="AZ503" s="121"/>
      <x:c r="BA503" s="122"/>
      <x:c r="BB503" s="120"/>
      <x:c r="BC503" s="122"/>
      <x:c r="BD503" s="120"/>
      <x:c r="BE503" s="121"/>
      <x:c r="BF503" s="122"/>
      <x:c r="BG503" s="120"/>
      <x:c r="BH503" s="122"/>
      <x:c r="BI503" s="120"/>
      <x:c r="BJ503" s="121"/>
    </x:row>
    <x:row r="504" ht="15.75" customHeight="1">
      <x:c r="N504" s="120"/>
      <x:c r="P504" s="120"/>
      <x:c r="Q504" s="121"/>
      <x:c r="S504" s="120"/>
      <x:c r="U504" s="120"/>
      <x:c r="V504" s="121"/>
      <x:c r="W504" s="122"/>
      <x:c r="X504" s="120"/>
      <x:c r="Y504" s="122"/>
      <x:c r="Z504" s="120"/>
      <x:c r="AA504" s="121"/>
      <x:c r="AB504" s="122"/>
      <x:c r="AC504" s="120"/>
      <x:c r="AD504" s="122"/>
      <x:c r="AE504" s="120"/>
      <x:c r="AF504" s="121"/>
      <x:c r="AG504" s="122"/>
      <x:c r="AH504" s="120"/>
      <x:c r="AI504" s="122"/>
      <x:c r="AJ504" s="120"/>
      <x:c r="AK504" s="121"/>
      <x:c r="AL504" s="122"/>
      <x:c r="AM504" s="120"/>
      <x:c r="AN504" s="122"/>
      <x:c r="AO504" s="120"/>
      <x:c r="AP504" s="121"/>
      <x:c r="AQ504" s="122"/>
      <x:c r="AR504" s="120"/>
      <x:c r="AS504" s="122"/>
      <x:c r="AT504" s="120"/>
      <x:c r="AU504" s="121"/>
      <x:c r="AV504" s="122"/>
      <x:c r="AW504" s="120"/>
      <x:c r="AX504" s="122"/>
      <x:c r="AY504" s="120"/>
      <x:c r="AZ504" s="121"/>
      <x:c r="BA504" s="122"/>
      <x:c r="BB504" s="120"/>
      <x:c r="BC504" s="122"/>
      <x:c r="BD504" s="120"/>
      <x:c r="BE504" s="121"/>
      <x:c r="BF504" s="122"/>
      <x:c r="BG504" s="120"/>
      <x:c r="BH504" s="122"/>
      <x:c r="BI504" s="120"/>
      <x:c r="BJ504" s="121"/>
    </x:row>
    <x:row r="505" ht="15.75" customHeight="1">
      <x:c r="N505" s="120"/>
      <x:c r="P505" s="120"/>
      <x:c r="Q505" s="121"/>
      <x:c r="S505" s="120"/>
      <x:c r="U505" s="120"/>
      <x:c r="V505" s="121"/>
      <x:c r="W505" s="122"/>
      <x:c r="X505" s="120"/>
      <x:c r="Y505" s="122"/>
      <x:c r="Z505" s="120"/>
      <x:c r="AA505" s="121"/>
      <x:c r="AB505" s="122"/>
      <x:c r="AC505" s="120"/>
      <x:c r="AD505" s="122"/>
      <x:c r="AE505" s="120"/>
      <x:c r="AF505" s="121"/>
      <x:c r="AG505" s="122"/>
      <x:c r="AH505" s="120"/>
      <x:c r="AI505" s="122"/>
      <x:c r="AJ505" s="120"/>
      <x:c r="AK505" s="121"/>
      <x:c r="AL505" s="122"/>
      <x:c r="AM505" s="120"/>
      <x:c r="AN505" s="122"/>
      <x:c r="AO505" s="120"/>
      <x:c r="AP505" s="121"/>
      <x:c r="AQ505" s="122"/>
      <x:c r="AR505" s="120"/>
      <x:c r="AS505" s="122"/>
      <x:c r="AT505" s="120"/>
      <x:c r="AU505" s="121"/>
      <x:c r="AV505" s="122"/>
      <x:c r="AW505" s="120"/>
      <x:c r="AX505" s="122"/>
      <x:c r="AY505" s="120"/>
      <x:c r="AZ505" s="121"/>
      <x:c r="BA505" s="122"/>
      <x:c r="BB505" s="120"/>
      <x:c r="BC505" s="122"/>
      <x:c r="BD505" s="120"/>
      <x:c r="BE505" s="121"/>
      <x:c r="BF505" s="122"/>
      <x:c r="BG505" s="120"/>
      <x:c r="BH505" s="122"/>
      <x:c r="BI505" s="120"/>
      <x:c r="BJ505" s="121"/>
    </x:row>
    <x:row r="506" ht="15.75" customHeight="1">
      <x:c r="N506" s="120"/>
      <x:c r="P506" s="120"/>
      <x:c r="Q506" s="121"/>
      <x:c r="S506" s="120"/>
      <x:c r="U506" s="120"/>
      <x:c r="V506" s="121"/>
      <x:c r="W506" s="122"/>
      <x:c r="X506" s="120"/>
      <x:c r="Y506" s="122"/>
      <x:c r="Z506" s="120"/>
      <x:c r="AA506" s="121"/>
      <x:c r="AB506" s="122"/>
      <x:c r="AC506" s="120"/>
      <x:c r="AD506" s="122"/>
      <x:c r="AE506" s="120"/>
      <x:c r="AF506" s="121"/>
      <x:c r="AG506" s="122"/>
      <x:c r="AH506" s="120"/>
      <x:c r="AI506" s="122"/>
      <x:c r="AJ506" s="120"/>
      <x:c r="AK506" s="121"/>
      <x:c r="AL506" s="122"/>
      <x:c r="AM506" s="120"/>
      <x:c r="AN506" s="122"/>
      <x:c r="AO506" s="120"/>
      <x:c r="AP506" s="121"/>
      <x:c r="AQ506" s="122"/>
      <x:c r="AR506" s="120"/>
      <x:c r="AS506" s="122"/>
      <x:c r="AT506" s="120"/>
      <x:c r="AU506" s="121"/>
      <x:c r="AV506" s="122"/>
      <x:c r="AW506" s="120"/>
      <x:c r="AX506" s="122"/>
      <x:c r="AY506" s="120"/>
      <x:c r="AZ506" s="121"/>
      <x:c r="BA506" s="122"/>
      <x:c r="BB506" s="120"/>
      <x:c r="BC506" s="122"/>
      <x:c r="BD506" s="120"/>
      <x:c r="BE506" s="121"/>
      <x:c r="BF506" s="122"/>
      <x:c r="BG506" s="120"/>
      <x:c r="BH506" s="122"/>
      <x:c r="BI506" s="120"/>
      <x:c r="BJ506" s="121"/>
    </x:row>
    <x:row r="507" ht="15.75" customHeight="1">
      <x:c r="N507" s="120"/>
      <x:c r="P507" s="120"/>
      <x:c r="Q507" s="121"/>
      <x:c r="S507" s="120"/>
      <x:c r="U507" s="120"/>
      <x:c r="V507" s="121"/>
      <x:c r="W507" s="122"/>
      <x:c r="X507" s="120"/>
      <x:c r="Y507" s="122"/>
      <x:c r="Z507" s="120"/>
      <x:c r="AA507" s="121"/>
      <x:c r="AB507" s="122"/>
      <x:c r="AC507" s="120"/>
      <x:c r="AD507" s="122"/>
      <x:c r="AE507" s="120"/>
      <x:c r="AF507" s="121"/>
      <x:c r="AG507" s="122"/>
      <x:c r="AH507" s="120"/>
      <x:c r="AI507" s="122"/>
      <x:c r="AJ507" s="120"/>
      <x:c r="AK507" s="121"/>
      <x:c r="AL507" s="122"/>
      <x:c r="AM507" s="120"/>
      <x:c r="AN507" s="122"/>
      <x:c r="AO507" s="120"/>
      <x:c r="AP507" s="121"/>
      <x:c r="AQ507" s="122"/>
      <x:c r="AR507" s="120"/>
      <x:c r="AS507" s="122"/>
      <x:c r="AT507" s="120"/>
      <x:c r="AU507" s="121"/>
      <x:c r="AV507" s="122"/>
      <x:c r="AW507" s="120"/>
      <x:c r="AX507" s="122"/>
      <x:c r="AY507" s="120"/>
      <x:c r="AZ507" s="121"/>
      <x:c r="BA507" s="122"/>
      <x:c r="BB507" s="120"/>
      <x:c r="BC507" s="122"/>
      <x:c r="BD507" s="120"/>
      <x:c r="BE507" s="121"/>
      <x:c r="BF507" s="122"/>
      <x:c r="BG507" s="120"/>
      <x:c r="BH507" s="122"/>
      <x:c r="BI507" s="120"/>
      <x:c r="BJ507" s="121"/>
    </x:row>
    <x:row r="508" ht="15.75" customHeight="1">
      <x:c r="N508" s="120"/>
      <x:c r="P508" s="120"/>
      <x:c r="Q508" s="121"/>
      <x:c r="S508" s="120"/>
      <x:c r="U508" s="120"/>
      <x:c r="V508" s="121"/>
      <x:c r="W508" s="122"/>
      <x:c r="X508" s="120"/>
      <x:c r="Y508" s="122"/>
      <x:c r="Z508" s="120"/>
      <x:c r="AA508" s="121"/>
      <x:c r="AB508" s="122"/>
      <x:c r="AC508" s="120"/>
      <x:c r="AD508" s="122"/>
      <x:c r="AE508" s="120"/>
      <x:c r="AF508" s="121"/>
      <x:c r="AG508" s="122"/>
      <x:c r="AH508" s="120"/>
      <x:c r="AI508" s="122"/>
      <x:c r="AJ508" s="120"/>
      <x:c r="AK508" s="121"/>
      <x:c r="AL508" s="122"/>
      <x:c r="AM508" s="120"/>
      <x:c r="AN508" s="122"/>
      <x:c r="AO508" s="120"/>
      <x:c r="AP508" s="121"/>
      <x:c r="AQ508" s="122"/>
      <x:c r="AR508" s="120"/>
      <x:c r="AS508" s="122"/>
      <x:c r="AT508" s="120"/>
      <x:c r="AU508" s="121"/>
      <x:c r="AV508" s="122"/>
      <x:c r="AW508" s="120"/>
      <x:c r="AX508" s="122"/>
      <x:c r="AY508" s="120"/>
      <x:c r="AZ508" s="121"/>
      <x:c r="BA508" s="122"/>
      <x:c r="BB508" s="120"/>
      <x:c r="BC508" s="122"/>
      <x:c r="BD508" s="120"/>
      <x:c r="BE508" s="121"/>
      <x:c r="BF508" s="122"/>
      <x:c r="BG508" s="120"/>
      <x:c r="BH508" s="122"/>
      <x:c r="BI508" s="120"/>
      <x:c r="BJ508" s="121"/>
    </x:row>
    <x:row r="509" ht="15.75" customHeight="1">
      <x:c r="N509" s="120"/>
      <x:c r="P509" s="120"/>
      <x:c r="Q509" s="121"/>
      <x:c r="S509" s="120"/>
      <x:c r="U509" s="120"/>
      <x:c r="V509" s="121"/>
      <x:c r="W509" s="122"/>
      <x:c r="X509" s="120"/>
      <x:c r="Y509" s="122"/>
      <x:c r="Z509" s="120"/>
      <x:c r="AA509" s="121"/>
      <x:c r="AB509" s="122"/>
      <x:c r="AC509" s="120"/>
      <x:c r="AD509" s="122"/>
      <x:c r="AE509" s="120"/>
      <x:c r="AF509" s="121"/>
      <x:c r="AG509" s="122"/>
      <x:c r="AH509" s="120"/>
      <x:c r="AI509" s="122"/>
      <x:c r="AJ509" s="120"/>
      <x:c r="AK509" s="121"/>
      <x:c r="AL509" s="122"/>
      <x:c r="AM509" s="120"/>
      <x:c r="AN509" s="122"/>
      <x:c r="AO509" s="120"/>
      <x:c r="AP509" s="121"/>
      <x:c r="AQ509" s="122"/>
      <x:c r="AR509" s="120"/>
      <x:c r="AS509" s="122"/>
      <x:c r="AT509" s="120"/>
      <x:c r="AU509" s="121"/>
      <x:c r="AV509" s="122"/>
      <x:c r="AW509" s="120"/>
      <x:c r="AX509" s="122"/>
      <x:c r="AY509" s="120"/>
      <x:c r="AZ509" s="121"/>
      <x:c r="BA509" s="122"/>
      <x:c r="BB509" s="120"/>
      <x:c r="BC509" s="122"/>
      <x:c r="BD509" s="120"/>
      <x:c r="BE509" s="121"/>
      <x:c r="BF509" s="122"/>
      <x:c r="BG509" s="120"/>
      <x:c r="BH509" s="122"/>
      <x:c r="BI509" s="120"/>
      <x:c r="BJ509" s="121"/>
    </x:row>
    <x:row r="510" ht="15.75" customHeight="1">
      <x:c r="N510" s="120"/>
      <x:c r="P510" s="120"/>
      <x:c r="Q510" s="121"/>
      <x:c r="S510" s="120"/>
      <x:c r="U510" s="120"/>
      <x:c r="V510" s="121"/>
      <x:c r="W510" s="122"/>
      <x:c r="X510" s="120"/>
      <x:c r="Y510" s="122"/>
      <x:c r="Z510" s="120"/>
      <x:c r="AA510" s="121"/>
      <x:c r="AB510" s="122"/>
      <x:c r="AC510" s="120"/>
      <x:c r="AD510" s="122"/>
      <x:c r="AE510" s="120"/>
      <x:c r="AF510" s="121"/>
      <x:c r="AG510" s="122"/>
      <x:c r="AH510" s="120"/>
      <x:c r="AI510" s="122"/>
      <x:c r="AJ510" s="120"/>
      <x:c r="AK510" s="121"/>
      <x:c r="AL510" s="122"/>
      <x:c r="AM510" s="120"/>
      <x:c r="AN510" s="122"/>
      <x:c r="AO510" s="120"/>
      <x:c r="AP510" s="121"/>
      <x:c r="AQ510" s="122"/>
      <x:c r="AR510" s="120"/>
      <x:c r="AS510" s="122"/>
      <x:c r="AT510" s="120"/>
      <x:c r="AU510" s="121"/>
      <x:c r="AV510" s="122"/>
      <x:c r="AW510" s="120"/>
      <x:c r="AX510" s="122"/>
      <x:c r="AY510" s="120"/>
      <x:c r="AZ510" s="121"/>
      <x:c r="BA510" s="122"/>
      <x:c r="BB510" s="120"/>
      <x:c r="BC510" s="122"/>
      <x:c r="BD510" s="120"/>
      <x:c r="BE510" s="121"/>
      <x:c r="BF510" s="122"/>
      <x:c r="BG510" s="120"/>
      <x:c r="BH510" s="122"/>
      <x:c r="BI510" s="120"/>
      <x:c r="BJ510" s="121"/>
    </x:row>
    <x:row r="511" ht="15.75" customHeight="1">
      <x:c r="N511" s="120"/>
      <x:c r="P511" s="120"/>
      <x:c r="Q511" s="121"/>
      <x:c r="S511" s="120"/>
      <x:c r="U511" s="120"/>
      <x:c r="V511" s="121"/>
      <x:c r="W511" s="122"/>
      <x:c r="X511" s="120"/>
      <x:c r="Y511" s="122"/>
      <x:c r="Z511" s="120"/>
      <x:c r="AA511" s="121"/>
      <x:c r="AB511" s="122"/>
      <x:c r="AC511" s="120"/>
      <x:c r="AD511" s="122"/>
      <x:c r="AE511" s="120"/>
      <x:c r="AF511" s="121"/>
      <x:c r="AG511" s="122"/>
      <x:c r="AH511" s="120"/>
      <x:c r="AI511" s="122"/>
      <x:c r="AJ511" s="120"/>
      <x:c r="AK511" s="121"/>
      <x:c r="AL511" s="122"/>
      <x:c r="AM511" s="120"/>
      <x:c r="AN511" s="122"/>
      <x:c r="AO511" s="120"/>
      <x:c r="AP511" s="121"/>
      <x:c r="AQ511" s="122"/>
      <x:c r="AR511" s="120"/>
      <x:c r="AS511" s="122"/>
      <x:c r="AT511" s="120"/>
      <x:c r="AU511" s="121"/>
      <x:c r="AV511" s="122"/>
      <x:c r="AW511" s="120"/>
      <x:c r="AX511" s="122"/>
      <x:c r="AY511" s="120"/>
      <x:c r="AZ511" s="121"/>
      <x:c r="BA511" s="122"/>
      <x:c r="BB511" s="120"/>
      <x:c r="BC511" s="122"/>
      <x:c r="BD511" s="120"/>
      <x:c r="BE511" s="121"/>
      <x:c r="BF511" s="122"/>
      <x:c r="BG511" s="120"/>
      <x:c r="BH511" s="122"/>
      <x:c r="BI511" s="120"/>
      <x:c r="BJ511" s="121"/>
    </x:row>
    <x:row r="512" ht="15.75" customHeight="1">
      <x:c r="N512" s="120"/>
      <x:c r="P512" s="120"/>
      <x:c r="Q512" s="121"/>
      <x:c r="S512" s="120"/>
      <x:c r="U512" s="120"/>
      <x:c r="V512" s="121"/>
      <x:c r="W512" s="122"/>
      <x:c r="X512" s="120"/>
      <x:c r="Y512" s="122"/>
      <x:c r="Z512" s="120"/>
      <x:c r="AA512" s="121"/>
      <x:c r="AB512" s="122"/>
      <x:c r="AC512" s="120"/>
      <x:c r="AD512" s="122"/>
      <x:c r="AE512" s="120"/>
      <x:c r="AF512" s="121"/>
      <x:c r="AG512" s="122"/>
      <x:c r="AH512" s="120"/>
      <x:c r="AI512" s="122"/>
      <x:c r="AJ512" s="120"/>
      <x:c r="AK512" s="121"/>
      <x:c r="AL512" s="122"/>
      <x:c r="AM512" s="120"/>
      <x:c r="AN512" s="122"/>
      <x:c r="AO512" s="120"/>
      <x:c r="AP512" s="121"/>
      <x:c r="AQ512" s="122"/>
      <x:c r="AR512" s="120"/>
      <x:c r="AS512" s="122"/>
      <x:c r="AT512" s="120"/>
      <x:c r="AU512" s="121"/>
      <x:c r="AV512" s="122"/>
      <x:c r="AW512" s="120"/>
      <x:c r="AX512" s="122"/>
      <x:c r="AY512" s="120"/>
      <x:c r="AZ512" s="121"/>
      <x:c r="BA512" s="122"/>
      <x:c r="BB512" s="120"/>
      <x:c r="BC512" s="122"/>
      <x:c r="BD512" s="120"/>
      <x:c r="BE512" s="121"/>
      <x:c r="BF512" s="122"/>
      <x:c r="BG512" s="120"/>
      <x:c r="BH512" s="122"/>
      <x:c r="BI512" s="120"/>
      <x:c r="BJ512" s="121"/>
    </x:row>
    <x:row r="513" ht="15.75" customHeight="1">
      <x:c r="N513" s="120"/>
      <x:c r="P513" s="120"/>
      <x:c r="Q513" s="121"/>
      <x:c r="S513" s="120"/>
      <x:c r="U513" s="120"/>
      <x:c r="V513" s="121"/>
      <x:c r="W513" s="122"/>
      <x:c r="X513" s="120"/>
      <x:c r="Y513" s="122"/>
      <x:c r="Z513" s="120"/>
      <x:c r="AA513" s="121"/>
      <x:c r="AB513" s="122"/>
      <x:c r="AC513" s="120"/>
      <x:c r="AD513" s="122"/>
      <x:c r="AE513" s="120"/>
      <x:c r="AF513" s="121"/>
      <x:c r="AG513" s="122"/>
      <x:c r="AH513" s="120"/>
      <x:c r="AI513" s="122"/>
      <x:c r="AJ513" s="120"/>
      <x:c r="AK513" s="121"/>
      <x:c r="AL513" s="122"/>
      <x:c r="AM513" s="120"/>
      <x:c r="AN513" s="122"/>
      <x:c r="AO513" s="120"/>
      <x:c r="AP513" s="121"/>
      <x:c r="AQ513" s="122"/>
      <x:c r="AR513" s="120"/>
      <x:c r="AS513" s="122"/>
      <x:c r="AT513" s="120"/>
      <x:c r="AU513" s="121"/>
      <x:c r="AV513" s="122"/>
      <x:c r="AW513" s="120"/>
      <x:c r="AX513" s="122"/>
      <x:c r="AY513" s="120"/>
      <x:c r="AZ513" s="121"/>
      <x:c r="BA513" s="122"/>
      <x:c r="BB513" s="120"/>
      <x:c r="BC513" s="122"/>
      <x:c r="BD513" s="120"/>
      <x:c r="BE513" s="121"/>
      <x:c r="BF513" s="122"/>
      <x:c r="BG513" s="120"/>
      <x:c r="BH513" s="122"/>
      <x:c r="BI513" s="120"/>
      <x:c r="BJ513" s="121"/>
    </x:row>
    <x:row r="514" ht="15.75" customHeight="1">
      <x:c r="N514" s="120"/>
      <x:c r="P514" s="120"/>
      <x:c r="Q514" s="121"/>
      <x:c r="S514" s="120"/>
      <x:c r="U514" s="120"/>
      <x:c r="V514" s="121"/>
      <x:c r="W514" s="122"/>
      <x:c r="X514" s="120"/>
      <x:c r="Y514" s="122"/>
      <x:c r="Z514" s="120"/>
      <x:c r="AA514" s="121"/>
      <x:c r="AB514" s="122"/>
      <x:c r="AC514" s="120"/>
      <x:c r="AD514" s="122"/>
      <x:c r="AE514" s="120"/>
      <x:c r="AF514" s="121"/>
      <x:c r="AG514" s="122"/>
      <x:c r="AH514" s="120"/>
      <x:c r="AI514" s="122"/>
      <x:c r="AJ514" s="120"/>
      <x:c r="AK514" s="121"/>
      <x:c r="AL514" s="122"/>
      <x:c r="AM514" s="120"/>
      <x:c r="AN514" s="122"/>
      <x:c r="AO514" s="120"/>
      <x:c r="AP514" s="121"/>
      <x:c r="AQ514" s="122"/>
      <x:c r="AR514" s="120"/>
      <x:c r="AS514" s="122"/>
      <x:c r="AT514" s="120"/>
      <x:c r="AU514" s="121"/>
      <x:c r="AV514" s="122"/>
      <x:c r="AW514" s="120"/>
      <x:c r="AX514" s="122"/>
      <x:c r="AY514" s="120"/>
      <x:c r="AZ514" s="121"/>
      <x:c r="BA514" s="122"/>
      <x:c r="BB514" s="120"/>
      <x:c r="BC514" s="122"/>
      <x:c r="BD514" s="120"/>
      <x:c r="BE514" s="121"/>
      <x:c r="BF514" s="122"/>
      <x:c r="BG514" s="120"/>
      <x:c r="BH514" s="122"/>
      <x:c r="BI514" s="120"/>
      <x:c r="BJ514" s="121"/>
    </x:row>
    <x:row r="515" ht="15.75" customHeight="1">
      <x:c r="N515" s="120"/>
      <x:c r="P515" s="120"/>
      <x:c r="Q515" s="121"/>
      <x:c r="S515" s="120"/>
      <x:c r="U515" s="120"/>
      <x:c r="V515" s="121"/>
      <x:c r="W515" s="122"/>
      <x:c r="X515" s="120"/>
      <x:c r="Y515" s="122"/>
      <x:c r="Z515" s="120"/>
      <x:c r="AA515" s="121"/>
      <x:c r="AB515" s="122"/>
      <x:c r="AC515" s="120"/>
      <x:c r="AD515" s="122"/>
      <x:c r="AE515" s="120"/>
      <x:c r="AF515" s="121"/>
      <x:c r="AG515" s="122"/>
      <x:c r="AH515" s="120"/>
      <x:c r="AI515" s="122"/>
      <x:c r="AJ515" s="120"/>
      <x:c r="AK515" s="121"/>
      <x:c r="AL515" s="122"/>
      <x:c r="AM515" s="120"/>
      <x:c r="AN515" s="122"/>
      <x:c r="AO515" s="120"/>
      <x:c r="AP515" s="121"/>
      <x:c r="AQ515" s="122"/>
      <x:c r="AR515" s="120"/>
      <x:c r="AS515" s="122"/>
      <x:c r="AT515" s="120"/>
      <x:c r="AU515" s="121"/>
      <x:c r="AV515" s="122"/>
      <x:c r="AW515" s="120"/>
      <x:c r="AX515" s="122"/>
      <x:c r="AY515" s="120"/>
      <x:c r="AZ515" s="121"/>
      <x:c r="BA515" s="122"/>
      <x:c r="BB515" s="120"/>
      <x:c r="BC515" s="122"/>
      <x:c r="BD515" s="120"/>
      <x:c r="BE515" s="121"/>
      <x:c r="BF515" s="122"/>
      <x:c r="BG515" s="120"/>
      <x:c r="BH515" s="122"/>
      <x:c r="BI515" s="120"/>
      <x:c r="BJ515" s="121"/>
    </x:row>
    <x:row r="516" ht="15.75" customHeight="1">
      <x:c r="N516" s="120"/>
      <x:c r="P516" s="120"/>
      <x:c r="Q516" s="121"/>
      <x:c r="S516" s="120"/>
      <x:c r="U516" s="120"/>
      <x:c r="V516" s="121"/>
      <x:c r="W516" s="122"/>
      <x:c r="X516" s="120"/>
      <x:c r="Y516" s="122"/>
      <x:c r="Z516" s="120"/>
      <x:c r="AA516" s="121"/>
      <x:c r="AB516" s="122"/>
      <x:c r="AC516" s="120"/>
      <x:c r="AD516" s="122"/>
      <x:c r="AE516" s="120"/>
      <x:c r="AF516" s="121"/>
      <x:c r="AG516" s="122"/>
      <x:c r="AH516" s="120"/>
      <x:c r="AI516" s="122"/>
      <x:c r="AJ516" s="120"/>
      <x:c r="AK516" s="121"/>
      <x:c r="AL516" s="122"/>
      <x:c r="AM516" s="120"/>
      <x:c r="AN516" s="122"/>
      <x:c r="AO516" s="120"/>
      <x:c r="AP516" s="121"/>
      <x:c r="AQ516" s="122"/>
      <x:c r="AR516" s="120"/>
      <x:c r="AS516" s="122"/>
      <x:c r="AT516" s="120"/>
      <x:c r="AU516" s="121"/>
      <x:c r="AV516" s="122"/>
      <x:c r="AW516" s="120"/>
      <x:c r="AX516" s="122"/>
      <x:c r="AY516" s="120"/>
      <x:c r="AZ516" s="121"/>
      <x:c r="BA516" s="122"/>
      <x:c r="BB516" s="120"/>
      <x:c r="BC516" s="122"/>
      <x:c r="BD516" s="120"/>
      <x:c r="BE516" s="121"/>
      <x:c r="BF516" s="122"/>
      <x:c r="BG516" s="120"/>
      <x:c r="BH516" s="122"/>
      <x:c r="BI516" s="120"/>
      <x:c r="BJ516" s="121"/>
    </x:row>
    <x:row r="517" ht="15.75" customHeight="1">
      <x:c r="N517" s="120"/>
      <x:c r="P517" s="120"/>
      <x:c r="Q517" s="121"/>
      <x:c r="S517" s="120"/>
      <x:c r="U517" s="120"/>
      <x:c r="V517" s="121"/>
      <x:c r="W517" s="122"/>
      <x:c r="X517" s="120"/>
      <x:c r="Y517" s="122"/>
      <x:c r="Z517" s="120"/>
      <x:c r="AA517" s="121"/>
      <x:c r="AB517" s="122"/>
      <x:c r="AC517" s="120"/>
      <x:c r="AD517" s="122"/>
      <x:c r="AE517" s="120"/>
      <x:c r="AF517" s="121"/>
      <x:c r="AG517" s="122"/>
      <x:c r="AH517" s="120"/>
      <x:c r="AI517" s="122"/>
      <x:c r="AJ517" s="120"/>
      <x:c r="AK517" s="121"/>
      <x:c r="AL517" s="122"/>
      <x:c r="AM517" s="120"/>
      <x:c r="AN517" s="122"/>
      <x:c r="AO517" s="120"/>
      <x:c r="AP517" s="121"/>
      <x:c r="AQ517" s="122"/>
      <x:c r="AR517" s="120"/>
      <x:c r="AS517" s="122"/>
      <x:c r="AT517" s="120"/>
      <x:c r="AU517" s="121"/>
      <x:c r="AV517" s="122"/>
      <x:c r="AW517" s="120"/>
      <x:c r="AX517" s="122"/>
      <x:c r="AY517" s="120"/>
      <x:c r="AZ517" s="121"/>
      <x:c r="BA517" s="122"/>
      <x:c r="BB517" s="120"/>
      <x:c r="BC517" s="122"/>
      <x:c r="BD517" s="120"/>
      <x:c r="BE517" s="121"/>
      <x:c r="BF517" s="122"/>
      <x:c r="BG517" s="120"/>
      <x:c r="BH517" s="122"/>
      <x:c r="BI517" s="120"/>
      <x:c r="BJ517" s="121"/>
    </x:row>
    <x:row r="518" ht="15.75" customHeight="1">
      <x:c r="N518" s="120"/>
      <x:c r="P518" s="120"/>
      <x:c r="Q518" s="121"/>
      <x:c r="S518" s="120"/>
      <x:c r="U518" s="120"/>
      <x:c r="V518" s="121"/>
      <x:c r="W518" s="122"/>
      <x:c r="X518" s="120"/>
      <x:c r="Y518" s="122"/>
      <x:c r="Z518" s="120"/>
      <x:c r="AA518" s="121"/>
      <x:c r="AB518" s="122"/>
      <x:c r="AC518" s="120"/>
      <x:c r="AD518" s="122"/>
      <x:c r="AE518" s="120"/>
      <x:c r="AF518" s="121"/>
      <x:c r="AG518" s="122"/>
      <x:c r="AH518" s="120"/>
      <x:c r="AI518" s="122"/>
      <x:c r="AJ518" s="120"/>
      <x:c r="AK518" s="121"/>
      <x:c r="AL518" s="122"/>
      <x:c r="AM518" s="120"/>
      <x:c r="AN518" s="122"/>
      <x:c r="AO518" s="120"/>
      <x:c r="AP518" s="121"/>
      <x:c r="AQ518" s="122"/>
      <x:c r="AR518" s="120"/>
      <x:c r="AS518" s="122"/>
      <x:c r="AT518" s="120"/>
      <x:c r="AU518" s="121"/>
      <x:c r="AV518" s="122"/>
      <x:c r="AW518" s="120"/>
      <x:c r="AX518" s="122"/>
      <x:c r="AY518" s="120"/>
      <x:c r="AZ518" s="121"/>
      <x:c r="BA518" s="122"/>
      <x:c r="BB518" s="120"/>
      <x:c r="BC518" s="122"/>
      <x:c r="BD518" s="120"/>
      <x:c r="BE518" s="121"/>
      <x:c r="BF518" s="122"/>
      <x:c r="BG518" s="120"/>
      <x:c r="BH518" s="122"/>
      <x:c r="BI518" s="120"/>
      <x:c r="BJ518" s="121"/>
    </x:row>
    <x:row r="519" ht="15.75" customHeight="1">
      <x:c r="N519" s="120"/>
      <x:c r="P519" s="120"/>
      <x:c r="Q519" s="121"/>
      <x:c r="S519" s="120"/>
      <x:c r="U519" s="120"/>
      <x:c r="V519" s="121"/>
      <x:c r="W519" s="122"/>
      <x:c r="X519" s="120"/>
      <x:c r="Y519" s="122"/>
      <x:c r="Z519" s="120"/>
      <x:c r="AA519" s="121"/>
      <x:c r="AB519" s="122"/>
      <x:c r="AC519" s="120"/>
      <x:c r="AD519" s="122"/>
      <x:c r="AE519" s="120"/>
      <x:c r="AF519" s="121"/>
      <x:c r="AG519" s="122"/>
      <x:c r="AH519" s="120"/>
      <x:c r="AI519" s="122"/>
      <x:c r="AJ519" s="120"/>
      <x:c r="AK519" s="121"/>
      <x:c r="AL519" s="122"/>
      <x:c r="AM519" s="120"/>
      <x:c r="AN519" s="122"/>
      <x:c r="AO519" s="120"/>
      <x:c r="AP519" s="121"/>
      <x:c r="AQ519" s="122"/>
      <x:c r="AR519" s="120"/>
      <x:c r="AS519" s="122"/>
      <x:c r="AT519" s="120"/>
      <x:c r="AU519" s="121"/>
      <x:c r="AV519" s="122"/>
      <x:c r="AW519" s="120"/>
      <x:c r="AX519" s="122"/>
      <x:c r="AY519" s="120"/>
      <x:c r="AZ519" s="121"/>
      <x:c r="BA519" s="122"/>
      <x:c r="BB519" s="120"/>
      <x:c r="BC519" s="122"/>
      <x:c r="BD519" s="120"/>
      <x:c r="BE519" s="121"/>
      <x:c r="BF519" s="122"/>
      <x:c r="BG519" s="120"/>
      <x:c r="BH519" s="122"/>
      <x:c r="BI519" s="120"/>
      <x:c r="BJ519" s="121"/>
    </x:row>
    <x:row r="520" ht="15.75" customHeight="1">
      <x:c r="N520" s="120"/>
      <x:c r="P520" s="120"/>
      <x:c r="Q520" s="121"/>
      <x:c r="S520" s="120"/>
      <x:c r="U520" s="120"/>
      <x:c r="V520" s="121"/>
      <x:c r="W520" s="122"/>
      <x:c r="X520" s="120"/>
      <x:c r="Y520" s="122"/>
      <x:c r="Z520" s="120"/>
      <x:c r="AA520" s="121"/>
      <x:c r="AB520" s="122"/>
      <x:c r="AC520" s="120"/>
      <x:c r="AD520" s="122"/>
      <x:c r="AE520" s="120"/>
      <x:c r="AF520" s="121"/>
      <x:c r="AG520" s="122"/>
      <x:c r="AH520" s="120"/>
      <x:c r="AI520" s="122"/>
      <x:c r="AJ520" s="120"/>
      <x:c r="AK520" s="121"/>
      <x:c r="AL520" s="122"/>
      <x:c r="AM520" s="120"/>
      <x:c r="AN520" s="122"/>
      <x:c r="AO520" s="120"/>
      <x:c r="AP520" s="121"/>
      <x:c r="AQ520" s="122"/>
      <x:c r="AR520" s="120"/>
      <x:c r="AS520" s="122"/>
      <x:c r="AT520" s="120"/>
      <x:c r="AU520" s="121"/>
      <x:c r="AV520" s="122"/>
      <x:c r="AW520" s="120"/>
      <x:c r="AX520" s="122"/>
      <x:c r="AY520" s="120"/>
      <x:c r="AZ520" s="121"/>
      <x:c r="BA520" s="122"/>
      <x:c r="BB520" s="120"/>
      <x:c r="BC520" s="122"/>
      <x:c r="BD520" s="120"/>
      <x:c r="BE520" s="121"/>
      <x:c r="BF520" s="122"/>
      <x:c r="BG520" s="120"/>
      <x:c r="BH520" s="122"/>
      <x:c r="BI520" s="120"/>
      <x:c r="BJ520" s="121"/>
    </x:row>
    <x:row r="521" ht="15.75" customHeight="1">
      <x:c r="N521" s="120"/>
      <x:c r="P521" s="120"/>
      <x:c r="Q521" s="121"/>
      <x:c r="S521" s="120"/>
      <x:c r="U521" s="120"/>
      <x:c r="V521" s="121"/>
      <x:c r="W521" s="122"/>
      <x:c r="X521" s="120"/>
      <x:c r="Y521" s="122"/>
      <x:c r="Z521" s="120"/>
      <x:c r="AA521" s="121"/>
      <x:c r="AB521" s="122"/>
      <x:c r="AC521" s="120"/>
      <x:c r="AD521" s="122"/>
      <x:c r="AE521" s="120"/>
      <x:c r="AF521" s="121"/>
      <x:c r="AG521" s="122"/>
      <x:c r="AH521" s="120"/>
      <x:c r="AI521" s="122"/>
      <x:c r="AJ521" s="120"/>
      <x:c r="AK521" s="121"/>
      <x:c r="AL521" s="122"/>
      <x:c r="AM521" s="120"/>
      <x:c r="AN521" s="122"/>
      <x:c r="AO521" s="120"/>
      <x:c r="AP521" s="121"/>
      <x:c r="AQ521" s="122"/>
      <x:c r="AR521" s="120"/>
      <x:c r="AS521" s="122"/>
      <x:c r="AT521" s="120"/>
      <x:c r="AU521" s="121"/>
      <x:c r="AV521" s="122"/>
      <x:c r="AW521" s="120"/>
      <x:c r="AX521" s="122"/>
      <x:c r="AY521" s="120"/>
      <x:c r="AZ521" s="121"/>
      <x:c r="BA521" s="122"/>
      <x:c r="BB521" s="120"/>
      <x:c r="BC521" s="122"/>
      <x:c r="BD521" s="120"/>
      <x:c r="BE521" s="121"/>
      <x:c r="BF521" s="122"/>
      <x:c r="BG521" s="120"/>
      <x:c r="BH521" s="122"/>
      <x:c r="BI521" s="120"/>
      <x:c r="BJ521" s="121"/>
    </x:row>
    <x:row r="522" ht="15.75" customHeight="1">
      <x:c r="N522" s="120"/>
      <x:c r="P522" s="120"/>
      <x:c r="Q522" s="121"/>
      <x:c r="S522" s="120"/>
      <x:c r="U522" s="120"/>
      <x:c r="V522" s="121"/>
      <x:c r="W522" s="122"/>
      <x:c r="X522" s="120"/>
      <x:c r="Y522" s="122"/>
      <x:c r="Z522" s="120"/>
      <x:c r="AA522" s="121"/>
      <x:c r="AB522" s="122"/>
      <x:c r="AC522" s="120"/>
      <x:c r="AD522" s="122"/>
      <x:c r="AE522" s="120"/>
      <x:c r="AF522" s="121"/>
      <x:c r="AG522" s="122"/>
      <x:c r="AH522" s="120"/>
      <x:c r="AI522" s="122"/>
      <x:c r="AJ522" s="120"/>
      <x:c r="AK522" s="121"/>
      <x:c r="AL522" s="122"/>
      <x:c r="AM522" s="120"/>
      <x:c r="AN522" s="122"/>
      <x:c r="AO522" s="120"/>
      <x:c r="AP522" s="121"/>
      <x:c r="AQ522" s="122"/>
      <x:c r="AR522" s="120"/>
      <x:c r="AS522" s="122"/>
      <x:c r="AT522" s="120"/>
      <x:c r="AU522" s="121"/>
      <x:c r="AV522" s="122"/>
      <x:c r="AW522" s="120"/>
      <x:c r="AX522" s="122"/>
      <x:c r="AY522" s="120"/>
      <x:c r="AZ522" s="121"/>
      <x:c r="BA522" s="122"/>
      <x:c r="BB522" s="120"/>
      <x:c r="BC522" s="122"/>
      <x:c r="BD522" s="120"/>
      <x:c r="BE522" s="121"/>
      <x:c r="BF522" s="122"/>
      <x:c r="BG522" s="120"/>
      <x:c r="BH522" s="122"/>
      <x:c r="BI522" s="120"/>
      <x:c r="BJ522" s="121"/>
    </x:row>
    <x:row r="523" ht="15.75" customHeight="1">
      <x:c r="N523" s="120"/>
      <x:c r="P523" s="120"/>
      <x:c r="Q523" s="121"/>
      <x:c r="S523" s="120"/>
      <x:c r="U523" s="120"/>
      <x:c r="V523" s="121"/>
      <x:c r="W523" s="122"/>
      <x:c r="X523" s="120"/>
      <x:c r="Y523" s="122"/>
      <x:c r="Z523" s="120"/>
      <x:c r="AA523" s="121"/>
      <x:c r="AB523" s="122"/>
      <x:c r="AC523" s="120"/>
      <x:c r="AD523" s="122"/>
      <x:c r="AE523" s="120"/>
      <x:c r="AF523" s="121"/>
      <x:c r="AG523" s="122"/>
      <x:c r="AH523" s="120"/>
      <x:c r="AI523" s="122"/>
      <x:c r="AJ523" s="120"/>
      <x:c r="AK523" s="121"/>
      <x:c r="AL523" s="122"/>
      <x:c r="AM523" s="120"/>
      <x:c r="AN523" s="122"/>
      <x:c r="AO523" s="120"/>
      <x:c r="AP523" s="121"/>
      <x:c r="AQ523" s="122"/>
      <x:c r="AR523" s="120"/>
      <x:c r="AS523" s="122"/>
      <x:c r="AT523" s="120"/>
      <x:c r="AU523" s="121"/>
      <x:c r="AV523" s="122"/>
      <x:c r="AW523" s="120"/>
      <x:c r="AX523" s="122"/>
      <x:c r="AY523" s="120"/>
      <x:c r="AZ523" s="121"/>
      <x:c r="BA523" s="122"/>
      <x:c r="BB523" s="120"/>
      <x:c r="BC523" s="122"/>
      <x:c r="BD523" s="120"/>
      <x:c r="BE523" s="121"/>
      <x:c r="BF523" s="122"/>
      <x:c r="BG523" s="120"/>
      <x:c r="BH523" s="122"/>
      <x:c r="BI523" s="120"/>
      <x:c r="BJ523" s="121"/>
    </x:row>
    <x:row r="524" ht="15.75" customHeight="1">
      <x:c r="N524" s="120"/>
      <x:c r="P524" s="120"/>
      <x:c r="Q524" s="121"/>
      <x:c r="S524" s="120"/>
      <x:c r="U524" s="120"/>
      <x:c r="V524" s="121"/>
      <x:c r="W524" s="122"/>
      <x:c r="X524" s="120"/>
      <x:c r="Y524" s="122"/>
      <x:c r="Z524" s="120"/>
      <x:c r="AA524" s="121"/>
      <x:c r="AB524" s="122"/>
      <x:c r="AC524" s="120"/>
      <x:c r="AD524" s="122"/>
      <x:c r="AE524" s="120"/>
      <x:c r="AF524" s="121"/>
      <x:c r="AG524" s="122"/>
      <x:c r="AH524" s="120"/>
      <x:c r="AI524" s="122"/>
      <x:c r="AJ524" s="120"/>
      <x:c r="AK524" s="121"/>
      <x:c r="AL524" s="122"/>
      <x:c r="AM524" s="120"/>
      <x:c r="AN524" s="122"/>
      <x:c r="AO524" s="120"/>
      <x:c r="AP524" s="121"/>
      <x:c r="AQ524" s="122"/>
      <x:c r="AR524" s="120"/>
      <x:c r="AS524" s="122"/>
      <x:c r="AT524" s="120"/>
      <x:c r="AU524" s="121"/>
      <x:c r="AV524" s="122"/>
      <x:c r="AW524" s="120"/>
      <x:c r="AX524" s="122"/>
      <x:c r="AY524" s="120"/>
      <x:c r="AZ524" s="121"/>
      <x:c r="BA524" s="122"/>
      <x:c r="BB524" s="120"/>
      <x:c r="BC524" s="122"/>
      <x:c r="BD524" s="120"/>
      <x:c r="BE524" s="121"/>
      <x:c r="BF524" s="122"/>
      <x:c r="BG524" s="120"/>
      <x:c r="BH524" s="122"/>
      <x:c r="BI524" s="120"/>
      <x:c r="BJ524" s="121"/>
    </x:row>
    <x:row r="525" ht="15.75" customHeight="1">
      <x:c r="N525" s="120"/>
      <x:c r="P525" s="120"/>
      <x:c r="Q525" s="121"/>
      <x:c r="S525" s="120"/>
      <x:c r="U525" s="120"/>
      <x:c r="V525" s="121"/>
      <x:c r="W525" s="122"/>
      <x:c r="X525" s="120"/>
      <x:c r="Y525" s="122"/>
      <x:c r="Z525" s="120"/>
      <x:c r="AA525" s="121"/>
      <x:c r="AB525" s="122"/>
      <x:c r="AC525" s="120"/>
      <x:c r="AD525" s="122"/>
      <x:c r="AE525" s="120"/>
      <x:c r="AF525" s="121"/>
      <x:c r="AG525" s="122"/>
      <x:c r="AH525" s="120"/>
      <x:c r="AI525" s="122"/>
      <x:c r="AJ525" s="120"/>
      <x:c r="AK525" s="121"/>
      <x:c r="AL525" s="122"/>
      <x:c r="AM525" s="120"/>
      <x:c r="AN525" s="122"/>
      <x:c r="AO525" s="120"/>
      <x:c r="AP525" s="121"/>
      <x:c r="AQ525" s="122"/>
      <x:c r="AR525" s="120"/>
      <x:c r="AS525" s="122"/>
      <x:c r="AT525" s="120"/>
      <x:c r="AU525" s="121"/>
      <x:c r="AV525" s="122"/>
      <x:c r="AW525" s="120"/>
      <x:c r="AX525" s="122"/>
      <x:c r="AY525" s="120"/>
      <x:c r="AZ525" s="121"/>
      <x:c r="BA525" s="122"/>
      <x:c r="BB525" s="120"/>
      <x:c r="BC525" s="122"/>
      <x:c r="BD525" s="120"/>
      <x:c r="BE525" s="121"/>
      <x:c r="BF525" s="122"/>
      <x:c r="BG525" s="120"/>
      <x:c r="BH525" s="122"/>
      <x:c r="BI525" s="120"/>
      <x:c r="BJ525" s="121"/>
    </x:row>
    <x:row r="526" ht="15.75" customHeight="1">
      <x:c r="N526" s="120"/>
      <x:c r="P526" s="120"/>
      <x:c r="Q526" s="121"/>
      <x:c r="S526" s="120"/>
      <x:c r="U526" s="120"/>
      <x:c r="V526" s="121"/>
      <x:c r="W526" s="122"/>
      <x:c r="X526" s="120"/>
      <x:c r="Y526" s="122"/>
      <x:c r="Z526" s="120"/>
      <x:c r="AA526" s="121"/>
      <x:c r="AB526" s="122"/>
      <x:c r="AC526" s="120"/>
      <x:c r="AD526" s="122"/>
      <x:c r="AE526" s="120"/>
      <x:c r="AF526" s="121"/>
      <x:c r="AG526" s="122"/>
      <x:c r="AH526" s="120"/>
      <x:c r="AI526" s="122"/>
      <x:c r="AJ526" s="120"/>
      <x:c r="AK526" s="121"/>
      <x:c r="AL526" s="122"/>
      <x:c r="AM526" s="120"/>
      <x:c r="AN526" s="122"/>
      <x:c r="AO526" s="120"/>
      <x:c r="AP526" s="121"/>
      <x:c r="AQ526" s="122"/>
      <x:c r="AR526" s="120"/>
      <x:c r="AS526" s="122"/>
      <x:c r="AT526" s="120"/>
      <x:c r="AU526" s="121"/>
      <x:c r="AV526" s="122"/>
      <x:c r="AW526" s="120"/>
      <x:c r="AX526" s="122"/>
      <x:c r="AY526" s="120"/>
      <x:c r="AZ526" s="121"/>
      <x:c r="BA526" s="122"/>
      <x:c r="BB526" s="120"/>
      <x:c r="BC526" s="122"/>
      <x:c r="BD526" s="120"/>
      <x:c r="BE526" s="121"/>
      <x:c r="BF526" s="122"/>
      <x:c r="BG526" s="120"/>
      <x:c r="BH526" s="122"/>
      <x:c r="BI526" s="120"/>
      <x:c r="BJ526" s="121"/>
    </x:row>
    <x:row r="527" ht="15.75" customHeight="1">
      <x:c r="N527" s="120"/>
      <x:c r="P527" s="120"/>
      <x:c r="Q527" s="121"/>
      <x:c r="S527" s="120"/>
      <x:c r="U527" s="120"/>
      <x:c r="V527" s="121"/>
      <x:c r="W527" s="122"/>
      <x:c r="X527" s="120"/>
      <x:c r="Y527" s="122"/>
      <x:c r="Z527" s="120"/>
      <x:c r="AA527" s="121"/>
      <x:c r="AB527" s="122"/>
      <x:c r="AC527" s="120"/>
      <x:c r="AD527" s="122"/>
      <x:c r="AE527" s="120"/>
      <x:c r="AF527" s="121"/>
      <x:c r="AG527" s="122"/>
      <x:c r="AH527" s="120"/>
      <x:c r="AI527" s="122"/>
      <x:c r="AJ527" s="120"/>
      <x:c r="AK527" s="121"/>
      <x:c r="AL527" s="122"/>
      <x:c r="AM527" s="120"/>
      <x:c r="AN527" s="122"/>
      <x:c r="AO527" s="120"/>
      <x:c r="AP527" s="121"/>
      <x:c r="AQ527" s="122"/>
      <x:c r="AR527" s="120"/>
      <x:c r="AS527" s="122"/>
      <x:c r="AT527" s="120"/>
      <x:c r="AU527" s="121"/>
      <x:c r="AV527" s="122"/>
      <x:c r="AW527" s="120"/>
      <x:c r="AX527" s="122"/>
      <x:c r="AY527" s="120"/>
      <x:c r="AZ527" s="121"/>
      <x:c r="BA527" s="122"/>
      <x:c r="BB527" s="120"/>
      <x:c r="BC527" s="122"/>
      <x:c r="BD527" s="120"/>
      <x:c r="BE527" s="121"/>
      <x:c r="BF527" s="122"/>
      <x:c r="BG527" s="120"/>
      <x:c r="BH527" s="122"/>
      <x:c r="BI527" s="120"/>
      <x:c r="BJ527" s="121"/>
    </x:row>
    <x:row r="528" ht="15.75" customHeight="1">
      <x:c r="N528" s="120"/>
      <x:c r="P528" s="120"/>
      <x:c r="Q528" s="121"/>
      <x:c r="S528" s="120"/>
      <x:c r="U528" s="120"/>
      <x:c r="V528" s="121"/>
      <x:c r="W528" s="122"/>
      <x:c r="X528" s="120"/>
      <x:c r="Y528" s="122"/>
      <x:c r="Z528" s="120"/>
      <x:c r="AA528" s="121"/>
      <x:c r="AB528" s="122"/>
      <x:c r="AC528" s="120"/>
      <x:c r="AD528" s="122"/>
      <x:c r="AE528" s="120"/>
      <x:c r="AF528" s="121"/>
      <x:c r="AG528" s="122"/>
      <x:c r="AH528" s="120"/>
      <x:c r="AI528" s="122"/>
      <x:c r="AJ528" s="120"/>
      <x:c r="AK528" s="121"/>
      <x:c r="AL528" s="122"/>
      <x:c r="AM528" s="120"/>
      <x:c r="AN528" s="122"/>
      <x:c r="AO528" s="120"/>
      <x:c r="AP528" s="121"/>
      <x:c r="AQ528" s="122"/>
      <x:c r="AR528" s="120"/>
      <x:c r="AS528" s="122"/>
      <x:c r="AT528" s="120"/>
      <x:c r="AU528" s="121"/>
      <x:c r="AV528" s="122"/>
      <x:c r="AW528" s="120"/>
      <x:c r="AX528" s="122"/>
      <x:c r="AY528" s="120"/>
      <x:c r="AZ528" s="121"/>
      <x:c r="BA528" s="122"/>
      <x:c r="BB528" s="120"/>
      <x:c r="BC528" s="122"/>
      <x:c r="BD528" s="120"/>
      <x:c r="BE528" s="121"/>
      <x:c r="BF528" s="122"/>
      <x:c r="BG528" s="120"/>
      <x:c r="BH528" s="122"/>
      <x:c r="BI528" s="120"/>
      <x:c r="BJ528" s="121"/>
    </x:row>
    <x:row r="529" ht="15.75" customHeight="1">
      <x:c r="N529" s="120"/>
      <x:c r="P529" s="120"/>
      <x:c r="Q529" s="121"/>
      <x:c r="S529" s="120"/>
      <x:c r="U529" s="120"/>
      <x:c r="V529" s="121"/>
      <x:c r="W529" s="122"/>
      <x:c r="X529" s="120"/>
      <x:c r="Y529" s="122"/>
      <x:c r="Z529" s="120"/>
      <x:c r="AA529" s="121"/>
      <x:c r="AB529" s="122"/>
      <x:c r="AC529" s="120"/>
      <x:c r="AD529" s="122"/>
      <x:c r="AE529" s="120"/>
      <x:c r="AF529" s="121"/>
      <x:c r="AG529" s="122"/>
      <x:c r="AH529" s="120"/>
      <x:c r="AI529" s="122"/>
      <x:c r="AJ529" s="120"/>
      <x:c r="AK529" s="121"/>
      <x:c r="AL529" s="122"/>
      <x:c r="AM529" s="120"/>
      <x:c r="AN529" s="122"/>
      <x:c r="AO529" s="120"/>
      <x:c r="AP529" s="121"/>
      <x:c r="AQ529" s="122"/>
      <x:c r="AR529" s="120"/>
      <x:c r="AS529" s="122"/>
      <x:c r="AT529" s="120"/>
      <x:c r="AU529" s="121"/>
      <x:c r="AV529" s="122"/>
      <x:c r="AW529" s="120"/>
      <x:c r="AX529" s="122"/>
      <x:c r="AY529" s="120"/>
      <x:c r="AZ529" s="121"/>
      <x:c r="BA529" s="122"/>
      <x:c r="BB529" s="120"/>
      <x:c r="BC529" s="122"/>
      <x:c r="BD529" s="120"/>
      <x:c r="BE529" s="121"/>
      <x:c r="BF529" s="122"/>
      <x:c r="BG529" s="120"/>
      <x:c r="BH529" s="122"/>
      <x:c r="BI529" s="120"/>
      <x:c r="BJ529" s="121"/>
    </x:row>
    <x:row r="530" ht="15.75" customHeight="1">
      <x:c r="N530" s="120"/>
      <x:c r="P530" s="120"/>
      <x:c r="Q530" s="121"/>
      <x:c r="S530" s="120"/>
      <x:c r="U530" s="120"/>
      <x:c r="V530" s="121"/>
      <x:c r="W530" s="122"/>
      <x:c r="X530" s="120"/>
      <x:c r="Y530" s="122"/>
      <x:c r="Z530" s="120"/>
      <x:c r="AA530" s="121"/>
      <x:c r="AB530" s="122"/>
      <x:c r="AC530" s="120"/>
      <x:c r="AD530" s="122"/>
      <x:c r="AE530" s="120"/>
      <x:c r="AF530" s="121"/>
      <x:c r="AG530" s="122"/>
      <x:c r="AH530" s="120"/>
      <x:c r="AI530" s="122"/>
      <x:c r="AJ530" s="120"/>
      <x:c r="AK530" s="121"/>
      <x:c r="AL530" s="122"/>
      <x:c r="AM530" s="120"/>
      <x:c r="AN530" s="122"/>
      <x:c r="AO530" s="120"/>
      <x:c r="AP530" s="121"/>
      <x:c r="AQ530" s="122"/>
      <x:c r="AR530" s="120"/>
      <x:c r="AS530" s="122"/>
      <x:c r="AT530" s="120"/>
      <x:c r="AU530" s="121"/>
      <x:c r="AV530" s="122"/>
      <x:c r="AW530" s="120"/>
      <x:c r="AX530" s="122"/>
      <x:c r="AY530" s="120"/>
      <x:c r="AZ530" s="121"/>
      <x:c r="BA530" s="122"/>
      <x:c r="BB530" s="120"/>
      <x:c r="BC530" s="122"/>
      <x:c r="BD530" s="120"/>
      <x:c r="BE530" s="121"/>
      <x:c r="BF530" s="122"/>
      <x:c r="BG530" s="120"/>
      <x:c r="BH530" s="122"/>
      <x:c r="BI530" s="120"/>
      <x:c r="BJ530" s="121"/>
    </x:row>
    <x:row r="531" ht="15.75" customHeight="1">
      <x:c r="N531" s="120"/>
      <x:c r="P531" s="120"/>
      <x:c r="Q531" s="121"/>
      <x:c r="S531" s="120"/>
      <x:c r="U531" s="120"/>
      <x:c r="V531" s="121"/>
      <x:c r="W531" s="122"/>
      <x:c r="X531" s="120"/>
      <x:c r="Y531" s="122"/>
      <x:c r="Z531" s="120"/>
      <x:c r="AA531" s="121"/>
      <x:c r="AB531" s="122"/>
      <x:c r="AC531" s="120"/>
      <x:c r="AD531" s="122"/>
      <x:c r="AE531" s="120"/>
      <x:c r="AF531" s="121"/>
      <x:c r="AG531" s="122"/>
      <x:c r="AH531" s="120"/>
      <x:c r="AI531" s="122"/>
      <x:c r="AJ531" s="120"/>
      <x:c r="AK531" s="121"/>
      <x:c r="AL531" s="122"/>
      <x:c r="AM531" s="120"/>
      <x:c r="AN531" s="122"/>
      <x:c r="AO531" s="120"/>
      <x:c r="AP531" s="121"/>
      <x:c r="AQ531" s="122"/>
      <x:c r="AR531" s="120"/>
      <x:c r="AS531" s="122"/>
      <x:c r="AT531" s="120"/>
      <x:c r="AU531" s="121"/>
      <x:c r="AV531" s="122"/>
      <x:c r="AW531" s="120"/>
      <x:c r="AX531" s="122"/>
      <x:c r="AY531" s="120"/>
      <x:c r="AZ531" s="121"/>
      <x:c r="BA531" s="122"/>
      <x:c r="BB531" s="120"/>
      <x:c r="BC531" s="122"/>
      <x:c r="BD531" s="120"/>
      <x:c r="BE531" s="121"/>
      <x:c r="BF531" s="122"/>
      <x:c r="BG531" s="120"/>
      <x:c r="BH531" s="122"/>
      <x:c r="BI531" s="120"/>
      <x:c r="BJ531" s="121"/>
    </x:row>
    <x:row r="532" ht="15.75" customHeight="1">
      <x:c r="N532" s="120"/>
      <x:c r="P532" s="120"/>
      <x:c r="Q532" s="121"/>
      <x:c r="S532" s="120"/>
      <x:c r="U532" s="120"/>
      <x:c r="V532" s="121"/>
      <x:c r="W532" s="122"/>
      <x:c r="X532" s="120"/>
      <x:c r="Y532" s="122"/>
      <x:c r="Z532" s="120"/>
      <x:c r="AA532" s="121"/>
      <x:c r="AB532" s="122"/>
      <x:c r="AC532" s="120"/>
      <x:c r="AD532" s="122"/>
      <x:c r="AE532" s="120"/>
      <x:c r="AF532" s="121"/>
      <x:c r="AG532" s="122"/>
      <x:c r="AH532" s="120"/>
      <x:c r="AI532" s="122"/>
      <x:c r="AJ532" s="120"/>
      <x:c r="AK532" s="121"/>
      <x:c r="AL532" s="122"/>
      <x:c r="AM532" s="120"/>
      <x:c r="AN532" s="122"/>
      <x:c r="AO532" s="120"/>
      <x:c r="AP532" s="121"/>
      <x:c r="AQ532" s="122"/>
      <x:c r="AR532" s="120"/>
      <x:c r="AS532" s="122"/>
      <x:c r="AT532" s="120"/>
      <x:c r="AU532" s="121"/>
      <x:c r="AV532" s="122"/>
      <x:c r="AW532" s="120"/>
      <x:c r="AX532" s="122"/>
      <x:c r="AY532" s="120"/>
      <x:c r="AZ532" s="121"/>
      <x:c r="BA532" s="122"/>
      <x:c r="BB532" s="120"/>
      <x:c r="BC532" s="122"/>
      <x:c r="BD532" s="120"/>
      <x:c r="BE532" s="121"/>
      <x:c r="BF532" s="122"/>
      <x:c r="BG532" s="120"/>
      <x:c r="BH532" s="122"/>
      <x:c r="BI532" s="120"/>
      <x:c r="BJ532" s="121"/>
    </x:row>
    <x:row r="533" ht="15.75" customHeight="1">
      <x:c r="N533" s="120"/>
      <x:c r="P533" s="120"/>
      <x:c r="Q533" s="121"/>
      <x:c r="S533" s="120"/>
      <x:c r="U533" s="120"/>
      <x:c r="V533" s="121"/>
      <x:c r="W533" s="122"/>
      <x:c r="X533" s="120"/>
      <x:c r="Y533" s="122"/>
      <x:c r="Z533" s="120"/>
      <x:c r="AA533" s="121"/>
      <x:c r="AB533" s="122"/>
      <x:c r="AC533" s="120"/>
      <x:c r="AD533" s="122"/>
      <x:c r="AE533" s="120"/>
      <x:c r="AF533" s="121"/>
      <x:c r="AG533" s="122"/>
      <x:c r="AH533" s="120"/>
      <x:c r="AI533" s="122"/>
      <x:c r="AJ533" s="120"/>
      <x:c r="AK533" s="121"/>
      <x:c r="AL533" s="122"/>
      <x:c r="AM533" s="120"/>
      <x:c r="AN533" s="122"/>
      <x:c r="AO533" s="120"/>
      <x:c r="AP533" s="121"/>
      <x:c r="AQ533" s="122"/>
      <x:c r="AR533" s="120"/>
      <x:c r="AS533" s="122"/>
      <x:c r="AT533" s="120"/>
      <x:c r="AU533" s="121"/>
      <x:c r="AV533" s="122"/>
      <x:c r="AW533" s="120"/>
      <x:c r="AX533" s="122"/>
      <x:c r="AY533" s="120"/>
      <x:c r="AZ533" s="121"/>
      <x:c r="BA533" s="122"/>
      <x:c r="BB533" s="120"/>
      <x:c r="BC533" s="122"/>
      <x:c r="BD533" s="120"/>
      <x:c r="BE533" s="121"/>
      <x:c r="BF533" s="122"/>
      <x:c r="BG533" s="120"/>
      <x:c r="BH533" s="122"/>
      <x:c r="BI533" s="120"/>
      <x:c r="BJ533" s="121"/>
    </x:row>
    <x:row r="534" ht="15.75" customHeight="1">
      <x:c r="N534" s="120"/>
      <x:c r="P534" s="120"/>
      <x:c r="Q534" s="121"/>
      <x:c r="S534" s="120"/>
      <x:c r="U534" s="120"/>
      <x:c r="V534" s="121"/>
      <x:c r="W534" s="122"/>
      <x:c r="X534" s="120"/>
      <x:c r="Y534" s="122"/>
      <x:c r="Z534" s="120"/>
      <x:c r="AA534" s="121"/>
      <x:c r="AB534" s="122"/>
      <x:c r="AC534" s="120"/>
      <x:c r="AD534" s="122"/>
      <x:c r="AE534" s="120"/>
      <x:c r="AF534" s="121"/>
      <x:c r="AG534" s="122"/>
      <x:c r="AH534" s="120"/>
      <x:c r="AI534" s="122"/>
      <x:c r="AJ534" s="120"/>
      <x:c r="AK534" s="121"/>
      <x:c r="AL534" s="122"/>
      <x:c r="AM534" s="120"/>
      <x:c r="AN534" s="122"/>
      <x:c r="AO534" s="120"/>
      <x:c r="AP534" s="121"/>
      <x:c r="AQ534" s="122"/>
      <x:c r="AR534" s="120"/>
      <x:c r="AS534" s="122"/>
      <x:c r="AT534" s="120"/>
      <x:c r="AU534" s="121"/>
      <x:c r="AV534" s="122"/>
      <x:c r="AW534" s="120"/>
      <x:c r="AX534" s="122"/>
      <x:c r="AY534" s="120"/>
      <x:c r="AZ534" s="121"/>
      <x:c r="BA534" s="122"/>
      <x:c r="BB534" s="120"/>
      <x:c r="BC534" s="122"/>
      <x:c r="BD534" s="120"/>
      <x:c r="BE534" s="121"/>
      <x:c r="BF534" s="122"/>
      <x:c r="BG534" s="120"/>
      <x:c r="BH534" s="122"/>
      <x:c r="BI534" s="120"/>
      <x:c r="BJ534" s="121"/>
    </x:row>
    <x:row r="535" ht="15.75" customHeight="1">
      <x:c r="N535" s="120"/>
      <x:c r="P535" s="120"/>
      <x:c r="Q535" s="121"/>
      <x:c r="S535" s="120"/>
      <x:c r="U535" s="120"/>
      <x:c r="V535" s="121"/>
      <x:c r="W535" s="122"/>
      <x:c r="X535" s="120"/>
      <x:c r="Y535" s="122"/>
      <x:c r="Z535" s="120"/>
      <x:c r="AA535" s="121"/>
      <x:c r="AB535" s="122"/>
      <x:c r="AC535" s="120"/>
      <x:c r="AD535" s="122"/>
      <x:c r="AE535" s="120"/>
      <x:c r="AF535" s="121"/>
      <x:c r="AG535" s="122"/>
      <x:c r="AH535" s="120"/>
      <x:c r="AI535" s="122"/>
      <x:c r="AJ535" s="120"/>
      <x:c r="AK535" s="121"/>
      <x:c r="AL535" s="122"/>
      <x:c r="AM535" s="120"/>
      <x:c r="AN535" s="122"/>
      <x:c r="AO535" s="120"/>
      <x:c r="AP535" s="121"/>
      <x:c r="AQ535" s="122"/>
      <x:c r="AR535" s="120"/>
      <x:c r="AS535" s="122"/>
      <x:c r="AT535" s="120"/>
      <x:c r="AU535" s="121"/>
      <x:c r="AV535" s="122"/>
      <x:c r="AW535" s="120"/>
      <x:c r="AX535" s="122"/>
      <x:c r="AY535" s="120"/>
      <x:c r="AZ535" s="121"/>
      <x:c r="BA535" s="122"/>
      <x:c r="BB535" s="120"/>
      <x:c r="BC535" s="122"/>
      <x:c r="BD535" s="120"/>
      <x:c r="BE535" s="121"/>
      <x:c r="BF535" s="122"/>
      <x:c r="BG535" s="120"/>
      <x:c r="BH535" s="122"/>
      <x:c r="BI535" s="120"/>
      <x:c r="BJ535" s="121"/>
    </x:row>
    <x:row r="536" ht="15.75" customHeight="1">
      <x:c r="N536" s="120"/>
      <x:c r="P536" s="120"/>
      <x:c r="Q536" s="121"/>
      <x:c r="S536" s="120"/>
      <x:c r="U536" s="120"/>
      <x:c r="V536" s="121"/>
      <x:c r="W536" s="122"/>
      <x:c r="X536" s="120"/>
      <x:c r="Y536" s="122"/>
      <x:c r="Z536" s="120"/>
      <x:c r="AA536" s="121"/>
      <x:c r="AB536" s="122"/>
      <x:c r="AC536" s="120"/>
      <x:c r="AD536" s="122"/>
      <x:c r="AE536" s="120"/>
      <x:c r="AF536" s="121"/>
      <x:c r="AG536" s="122"/>
      <x:c r="AH536" s="120"/>
      <x:c r="AI536" s="122"/>
      <x:c r="AJ536" s="120"/>
      <x:c r="AK536" s="121"/>
      <x:c r="AL536" s="122"/>
      <x:c r="AM536" s="120"/>
      <x:c r="AN536" s="122"/>
      <x:c r="AO536" s="120"/>
      <x:c r="AP536" s="121"/>
      <x:c r="AQ536" s="122"/>
      <x:c r="AR536" s="120"/>
      <x:c r="AS536" s="122"/>
      <x:c r="AT536" s="120"/>
      <x:c r="AU536" s="121"/>
      <x:c r="AV536" s="122"/>
      <x:c r="AW536" s="120"/>
      <x:c r="AX536" s="122"/>
      <x:c r="AY536" s="120"/>
      <x:c r="AZ536" s="121"/>
      <x:c r="BA536" s="122"/>
      <x:c r="BB536" s="120"/>
      <x:c r="BC536" s="122"/>
      <x:c r="BD536" s="120"/>
      <x:c r="BE536" s="121"/>
      <x:c r="BF536" s="122"/>
      <x:c r="BG536" s="120"/>
      <x:c r="BH536" s="122"/>
      <x:c r="BI536" s="120"/>
      <x:c r="BJ536" s="121"/>
    </x:row>
    <x:row r="537" ht="15.75" customHeight="1">
      <x:c r="N537" s="120"/>
      <x:c r="P537" s="120"/>
      <x:c r="Q537" s="121"/>
      <x:c r="S537" s="120"/>
      <x:c r="U537" s="120"/>
      <x:c r="V537" s="121"/>
      <x:c r="W537" s="122"/>
      <x:c r="X537" s="120"/>
      <x:c r="Y537" s="122"/>
      <x:c r="Z537" s="120"/>
      <x:c r="AA537" s="121"/>
      <x:c r="AB537" s="122"/>
      <x:c r="AC537" s="120"/>
      <x:c r="AD537" s="122"/>
      <x:c r="AE537" s="120"/>
      <x:c r="AF537" s="121"/>
      <x:c r="AG537" s="122"/>
      <x:c r="AH537" s="120"/>
      <x:c r="AI537" s="122"/>
      <x:c r="AJ537" s="120"/>
      <x:c r="AK537" s="121"/>
      <x:c r="AL537" s="122"/>
      <x:c r="AM537" s="120"/>
      <x:c r="AN537" s="122"/>
      <x:c r="AO537" s="120"/>
      <x:c r="AP537" s="121"/>
      <x:c r="AQ537" s="122"/>
      <x:c r="AR537" s="120"/>
      <x:c r="AS537" s="122"/>
      <x:c r="AT537" s="120"/>
      <x:c r="AU537" s="121"/>
      <x:c r="AV537" s="122"/>
      <x:c r="AW537" s="120"/>
      <x:c r="AX537" s="122"/>
      <x:c r="AY537" s="120"/>
      <x:c r="AZ537" s="121"/>
      <x:c r="BA537" s="122"/>
      <x:c r="BB537" s="120"/>
      <x:c r="BC537" s="122"/>
      <x:c r="BD537" s="120"/>
      <x:c r="BE537" s="121"/>
      <x:c r="BF537" s="122"/>
      <x:c r="BG537" s="120"/>
      <x:c r="BH537" s="122"/>
      <x:c r="BI537" s="120"/>
      <x:c r="BJ537" s="121"/>
    </x:row>
    <x:row r="538" ht="15.75" customHeight="1">
      <x:c r="N538" s="120"/>
      <x:c r="P538" s="120"/>
      <x:c r="Q538" s="121"/>
      <x:c r="S538" s="120"/>
      <x:c r="U538" s="120"/>
      <x:c r="V538" s="121"/>
      <x:c r="W538" s="122"/>
      <x:c r="X538" s="120"/>
      <x:c r="Y538" s="122"/>
      <x:c r="Z538" s="120"/>
      <x:c r="AA538" s="121"/>
      <x:c r="AB538" s="122"/>
      <x:c r="AC538" s="120"/>
      <x:c r="AD538" s="122"/>
      <x:c r="AE538" s="120"/>
      <x:c r="AF538" s="121"/>
      <x:c r="AG538" s="122"/>
      <x:c r="AH538" s="120"/>
      <x:c r="AI538" s="122"/>
      <x:c r="AJ538" s="120"/>
      <x:c r="AK538" s="121"/>
      <x:c r="AL538" s="122"/>
      <x:c r="AM538" s="120"/>
      <x:c r="AN538" s="122"/>
      <x:c r="AO538" s="120"/>
      <x:c r="AP538" s="121"/>
      <x:c r="AQ538" s="122"/>
      <x:c r="AR538" s="120"/>
      <x:c r="AS538" s="122"/>
      <x:c r="AT538" s="120"/>
      <x:c r="AU538" s="121"/>
      <x:c r="AV538" s="122"/>
      <x:c r="AW538" s="120"/>
      <x:c r="AX538" s="122"/>
      <x:c r="AY538" s="120"/>
      <x:c r="AZ538" s="121"/>
      <x:c r="BA538" s="122"/>
      <x:c r="BB538" s="120"/>
      <x:c r="BC538" s="122"/>
      <x:c r="BD538" s="120"/>
      <x:c r="BE538" s="121"/>
      <x:c r="BF538" s="122"/>
      <x:c r="BG538" s="120"/>
      <x:c r="BH538" s="122"/>
      <x:c r="BI538" s="120"/>
      <x:c r="BJ538" s="121"/>
    </x:row>
    <x:row r="539" ht="15.75" customHeight="1">
      <x:c r="N539" s="120"/>
      <x:c r="P539" s="120"/>
      <x:c r="Q539" s="121"/>
      <x:c r="S539" s="120"/>
      <x:c r="U539" s="120"/>
      <x:c r="V539" s="121"/>
      <x:c r="W539" s="122"/>
      <x:c r="X539" s="120"/>
      <x:c r="Y539" s="122"/>
      <x:c r="Z539" s="120"/>
      <x:c r="AA539" s="121"/>
      <x:c r="AB539" s="122"/>
      <x:c r="AC539" s="120"/>
      <x:c r="AD539" s="122"/>
      <x:c r="AE539" s="120"/>
      <x:c r="AF539" s="121"/>
      <x:c r="AG539" s="122"/>
      <x:c r="AH539" s="120"/>
      <x:c r="AI539" s="122"/>
      <x:c r="AJ539" s="120"/>
      <x:c r="AK539" s="121"/>
      <x:c r="AL539" s="122"/>
      <x:c r="AM539" s="120"/>
      <x:c r="AN539" s="122"/>
      <x:c r="AO539" s="120"/>
      <x:c r="AP539" s="121"/>
      <x:c r="AQ539" s="122"/>
      <x:c r="AR539" s="120"/>
      <x:c r="AS539" s="122"/>
      <x:c r="AT539" s="120"/>
      <x:c r="AU539" s="121"/>
      <x:c r="AV539" s="122"/>
      <x:c r="AW539" s="120"/>
      <x:c r="AX539" s="122"/>
      <x:c r="AY539" s="120"/>
      <x:c r="AZ539" s="121"/>
      <x:c r="BA539" s="122"/>
      <x:c r="BB539" s="120"/>
      <x:c r="BC539" s="122"/>
      <x:c r="BD539" s="120"/>
      <x:c r="BE539" s="121"/>
      <x:c r="BF539" s="122"/>
      <x:c r="BG539" s="120"/>
      <x:c r="BH539" s="122"/>
      <x:c r="BI539" s="120"/>
      <x:c r="BJ539" s="121"/>
    </x:row>
    <x:row r="540" ht="15.75" customHeight="1">
      <x:c r="N540" s="120"/>
      <x:c r="P540" s="120"/>
      <x:c r="Q540" s="121"/>
      <x:c r="S540" s="120"/>
      <x:c r="U540" s="120"/>
      <x:c r="V540" s="121"/>
      <x:c r="W540" s="122"/>
      <x:c r="X540" s="120"/>
      <x:c r="Y540" s="122"/>
      <x:c r="Z540" s="120"/>
      <x:c r="AA540" s="121"/>
      <x:c r="AB540" s="122"/>
      <x:c r="AC540" s="120"/>
      <x:c r="AD540" s="122"/>
      <x:c r="AE540" s="120"/>
      <x:c r="AF540" s="121"/>
      <x:c r="AG540" s="122"/>
      <x:c r="AH540" s="120"/>
      <x:c r="AI540" s="122"/>
      <x:c r="AJ540" s="120"/>
      <x:c r="AK540" s="121"/>
      <x:c r="AL540" s="122"/>
      <x:c r="AM540" s="120"/>
      <x:c r="AN540" s="122"/>
      <x:c r="AO540" s="120"/>
      <x:c r="AP540" s="121"/>
      <x:c r="AQ540" s="122"/>
      <x:c r="AR540" s="120"/>
      <x:c r="AS540" s="122"/>
      <x:c r="AT540" s="120"/>
      <x:c r="AU540" s="121"/>
      <x:c r="AV540" s="122"/>
      <x:c r="AW540" s="120"/>
      <x:c r="AX540" s="122"/>
      <x:c r="AY540" s="120"/>
      <x:c r="AZ540" s="121"/>
      <x:c r="BA540" s="122"/>
      <x:c r="BB540" s="120"/>
      <x:c r="BC540" s="122"/>
      <x:c r="BD540" s="120"/>
      <x:c r="BE540" s="121"/>
      <x:c r="BF540" s="122"/>
      <x:c r="BG540" s="120"/>
      <x:c r="BH540" s="122"/>
      <x:c r="BI540" s="120"/>
      <x:c r="BJ540" s="121"/>
    </x:row>
    <x:row r="541" ht="15.75" customHeight="1">
      <x:c r="N541" s="120"/>
      <x:c r="P541" s="120"/>
      <x:c r="Q541" s="121"/>
      <x:c r="S541" s="120"/>
      <x:c r="U541" s="120"/>
      <x:c r="V541" s="121"/>
      <x:c r="W541" s="122"/>
      <x:c r="X541" s="120"/>
      <x:c r="Y541" s="122"/>
      <x:c r="Z541" s="120"/>
      <x:c r="AA541" s="121"/>
      <x:c r="AB541" s="122"/>
      <x:c r="AC541" s="120"/>
      <x:c r="AD541" s="122"/>
      <x:c r="AE541" s="120"/>
      <x:c r="AF541" s="121"/>
      <x:c r="AG541" s="122"/>
      <x:c r="AH541" s="120"/>
      <x:c r="AI541" s="122"/>
      <x:c r="AJ541" s="120"/>
      <x:c r="AK541" s="121"/>
      <x:c r="AL541" s="122"/>
      <x:c r="AM541" s="120"/>
      <x:c r="AN541" s="122"/>
      <x:c r="AO541" s="120"/>
      <x:c r="AP541" s="121"/>
      <x:c r="AQ541" s="122"/>
      <x:c r="AR541" s="120"/>
      <x:c r="AS541" s="122"/>
      <x:c r="AT541" s="120"/>
      <x:c r="AU541" s="121"/>
      <x:c r="AV541" s="122"/>
      <x:c r="AW541" s="120"/>
      <x:c r="AX541" s="122"/>
      <x:c r="AY541" s="120"/>
      <x:c r="AZ541" s="121"/>
      <x:c r="BA541" s="122"/>
      <x:c r="BB541" s="120"/>
      <x:c r="BC541" s="122"/>
      <x:c r="BD541" s="120"/>
      <x:c r="BE541" s="121"/>
      <x:c r="BF541" s="122"/>
      <x:c r="BG541" s="120"/>
      <x:c r="BH541" s="122"/>
      <x:c r="BI541" s="120"/>
      <x:c r="BJ541" s="121"/>
    </x:row>
    <x:row r="542" ht="15.75" customHeight="1">
      <x:c r="N542" s="120"/>
      <x:c r="P542" s="120"/>
      <x:c r="Q542" s="121"/>
      <x:c r="S542" s="120"/>
      <x:c r="U542" s="120"/>
      <x:c r="V542" s="121"/>
      <x:c r="W542" s="122"/>
      <x:c r="X542" s="120"/>
      <x:c r="Y542" s="122"/>
      <x:c r="Z542" s="120"/>
      <x:c r="AA542" s="121"/>
      <x:c r="AB542" s="122"/>
      <x:c r="AC542" s="120"/>
      <x:c r="AD542" s="122"/>
      <x:c r="AE542" s="120"/>
      <x:c r="AF542" s="121"/>
      <x:c r="AG542" s="122"/>
      <x:c r="AH542" s="120"/>
      <x:c r="AI542" s="122"/>
      <x:c r="AJ542" s="120"/>
      <x:c r="AK542" s="121"/>
      <x:c r="AL542" s="122"/>
      <x:c r="AM542" s="120"/>
      <x:c r="AN542" s="122"/>
      <x:c r="AO542" s="120"/>
      <x:c r="AP542" s="121"/>
      <x:c r="AQ542" s="122"/>
      <x:c r="AR542" s="120"/>
      <x:c r="AS542" s="122"/>
      <x:c r="AT542" s="120"/>
      <x:c r="AU542" s="121"/>
      <x:c r="AV542" s="122"/>
      <x:c r="AW542" s="120"/>
      <x:c r="AX542" s="122"/>
      <x:c r="AY542" s="120"/>
      <x:c r="AZ542" s="121"/>
      <x:c r="BA542" s="122"/>
      <x:c r="BB542" s="120"/>
      <x:c r="BC542" s="122"/>
      <x:c r="BD542" s="120"/>
      <x:c r="BE542" s="121"/>
      <x:c r="BF542" s="122"/>
      <x:c r="BG542" s="120"/>
      <x:c r="BH542" s="122"/>
      <x:c r="BI542" s="120"/>
      <x:c r="BJ542" s="121"/>
    </x:row>
    <x:row r="543" ht="15.75" customHeight="1">
      <x:c r="N543" s="120"/>
      <x:c r="P543" s="120"/>
      <x:c r="Q543" s="121"/>
      <x:c r="S543" s="120"/>
      <x:c r="U543" s="120"/>
      <x:c r="V543" s="121"/>
      <x:c r="W543" s="122"/>
      <x:c r="X543" s="120"/>
      <x:c r="Y543" s="122"/>
      <x:c r="Z543" s="120"/>
      <x:c r="AA543" s="121"/>
      <x:c r="AB543" s="122"/>
      <x:c r="AC543" s="120"/>
      <x:c r="AD543" s="122"/>
      <x:c r="AE543" s="120"/>
      <x:c r="AF543" s="121"/>
      <x:c r="AG543" s="122"/>
      <x:c r="AH543" s="120"/>
      <x:c r="AI543" s="122"/>
      <x:c r="AJ543" s="120"/>
      <x:c r="AK543" s="121"/>
      <x:c r="AL543" s="122"/>
      <x:c r="AM543" s="120"/>
      <x:c r="AN543" s="122"/>
      <x:c r="AO543" s="120"/>
      <x:c r="AP543" s="121"/>
      <x:c r="AQ543" s="122"/>
      <x:c r="AR543" s="120"/>
      <x:c r="AS543" s="122"/>
      <x:c r="AT543" s="120"/>
      <x:c r="AU543" s="121"/>
      <x:c r="AV543" s="122"/>
      <x:c r="AW543" s="120"/>
      <x:c r="AX543" s="122"/>
      <x:c r="AY543" s="120"/>
      <x:c r="AZ543" s="121"/>
      <x:c r="BA543" s="122"/>
      <x:c r="BB543" s="120"/>
      <x:c r="BC543" s="122"/>
      <x:c r="BD543" s="120"/>
      <x:c r="BE543" s="121"/>
      <x:c r="BF543" s="122"/>
      <x:c r="BG543" s="120"/>
      <x:c r="BH543" s="122"/>
      <x:c r="BI543" s="120"/>
      <x:c r="BJ543" s="121"/>
    </x:row>
    <x:row r="544" ht="15.75" customHeight="1">
      <x:c r="N544" s="120"/>
      <x:c r="P544" s="120"/>
      <x:c r="Q544" s="121"/>
      <x:c r="S544" s="120"/>
      <x:c r="U544" s="120"/>
      <x:c r="V544" s="121"/>
      <x:c r="W544" s="122"/>
      <x:c r="X544" s="120"/>
      <x:c r="Y544" s="122"/>
      <x:c r="Z544" s="120"/>
      <x:c r="AA544" s="121"/>
      <x:c r="AB544" s="122"/>
      <x:c r="AC544" s="120"/>
      <x:c r="AD544" s="122"/>
      <x:c r="AE544" s="120"/>
      <x:c r="AF544" s="121"/>
      <x:c r="AG544" s="122"/>
      <x:c r="AH544" s="120"/>
      <x:c r="AI544" s="122"/>
      <x:c r="AJ544" s="120"/>
      <x:c r="AK544" s="121"/>
      <x:c r="AL544" s="122"/>
      <x:c r="AM544" s="120"/>
      <x:c r="AN544" s="122"/>
      <x:c r="AO544" s="120"/>
      <x:c r="AP544" s="121"/>
      <x:c r="AQ544" s="122"/>
      <x:c r="AR544" s="120"/>
      <x:c r="AS544" s="122"/>
      <x:c r="AT544" s="120"/>
      <x:c r="AU544" s="121"/>
      <x:c r="AV544" s="122"/>
      <x:c r="AW544" s="120"/>
      <x:c r="AX544" s="122"/>
      <x:c r="AY544" s="120"/>
      <x:c r="AZ544" s="121"/>
      <x:c r="BA544" s="122"/>
      <x:c r="BB544" s="120"/>
      <x:c r="BC544" s="122"/>
      <x:c r="BD544" s="120"/>
      <x:c r="BE544" s="121"/>
      <x:c r="BF544" s="122"/>
      <x:c r="BG544" s="120"/>
      <x:c r="BH544" s="122"/>
      <x:c r="BI544" s="120"/>
      <x:c r="BJ544" s="121"/>
    </x:row>
    <x:row r="545" ht="15.75" customHeight="1">
      <x:c r="N545" s="120"/>
      <x:c r="P545" s="120"/>
      <x:c r="Q545" s="121"/>
      <x:c r="S545" s="120"/>
      <x:c r="U545" s="120"/>
      <x:c r="V545" s="121"/>
      <x:c r="W545" s="122"/>
      <x:c r="X545" s="120"/>
      <x:c r="Y545" s="122"/>
      <x:c r="Z545" s="120"/>
      <x:c r="AA545" s="121"/>
      <x:c r="AB545" s="122"/>
      <x:c r="AC545" s="120"/>
      <x:c r="AD545" s="122"/>
      <x:c r="AE545" s="120"/>
      <x:c r="AF545" s="121"/>
      <x:c r="AG545" s="122"/>
      <x:c r="AH545" s="120"/>
      <x:c r="AI545" s="122"/>
      <x:c r="AJ545" s="120"/>
      <x:c r="AK545" s="121"/>
      <x:c r="AL545" s="122"/>
      <x:c r="AM545" s="120"/>
      <x:c r="AN545" s="122"/>
      <x:c r="AO545" s="120"/>
      <x:c r="AP545" s="121"/>
      <x:c r="AQ545" s="122"/>
      <x:c r="AR545" s="120"/>
      <x:c r="AS545" s="122"/>
      <x:c r="AT545" s="120"/>
      <x:c r="AU545" s="121"/>
      <x:c r="AV545" s="122"/>
      <x:c r="AW545" s="120"/>
      <x:c r="AX545" s="122"/>
      <x:c r="AY545" s="120"/>
      <x:c r="AZ545" s="121"/>
      <x:c r="BA545" s="122"/>
      <x:c r="BB545" s="120"/>
      <x:c r="BC545" s="122"/>
      <x:c r="BD545" s="120"/>
      <x:c r="BE545" s="121"/>
      <x:c r="BF545" s="122"/>
      <x:c r="BG545" s="120"/>
      <x:c r="BH545" s="122"/>
      <x:c r="BI545" s="120"/>
      <x:c r="BJ545" s="121"/>
    </x:row>
    <x:row r="546" ht="15.75" customHeight="1">
      <x:c r="N546" s="120"/>
      <x:c r="P546" s="120"/>
      <x:c r="Q546" s="121"/>
      <x:c r="S546" s="120"/>
      <x:c r="U546" s="120"/>
      <x:c r="V546" s="121"/>
      <x:c r="W546" s="122"/>
      <x:c r="X546" s="120"/>
      <x:c r="Y546" s="122"/>
      <x:c r="Z546" s="120"/>
      <x:c r="AA546" s="121"/>
      <x:c r="AB546" s="122"/>
      <x:c r="AC546" s="120"/>
      <x:c r="AD546" s="122"/>
      <x:c r="AE546" s="120"/>
      <x:c r="AF546" s="121"/>
      <x:c r="AG546" s="122"/>
      <x:c r="AH546" s="120"/>
      <x:c r="AI546" s="122"/>
      <x:c r="AJ546" s="120"/>
      <x:c r="AK546" s="121"/>
      <x:c r="AL546" s="122"/>
      <x:c r="AM546" s="120"/>
      <x:c r="AN546" s="122"/>
      <x:c r="AO546" s="120"/>
      <x:c r="AP546" s="121"/>
      <x:c r="AQ546" s="122"/>
      <x:c r="AR546" s="120"/>
      <x:c r="AS546" s="122"/>
      <x:c r="AT546" s="120"/>
      <x:c r="AU546" s="121"/>
      <x:c r="AV546" s="122"/>
      <x:c r="AW546" s="120"/>
      <x:c r="AX546" s="122"/>
      <x:c r="AY546" s="120"/>
      <x:c r="AZ546" s="121"/>
      <x:c r="BA546" s="122"/>
      <x:c r="BB546" s="120"/>
      <x:c r="BC546" s="122"/>
      <x:c r="BD546" s="120"/>
      <x:c r="BE546" s="121"/>
      <x:c r="BF546" s="122"/>
      <x:c r="BG546" s="120"/>
      <x:c r="BH546" s="122"/>
      <x:c r="BI546" s="120"/>
      <x:c r="BJ546" s="121"/>
    </x:row>
    <x:row r="547" ht="15.75" customHeight="1">
      <x:c r="N547" s="120"/>
      <x:c r="P547" s="120"/>
      <x:c r="Q547" s="121"/>
      <x:c r="S547" s="120"/>
      <x:c r="U547" s="120"/>
      <x:c r="V547" s="121"/>
      <x:c r="W547" s="122"/>
      <x:c r="X547" s="120"/>
      <x:c r="Y547" s="122"/>
      <x:c r="Z547" s="120"/>
      <x:c r="AA547" s="121"/>
      <x:c r="AB547" s="122"/>
      <x:c r="AC547" s="120"/>
      <x:c r="AD547" s="122"/>
      <x:c r="AE547" s="120"/>
      <x:c r="AF547" s="121"/>
      <x:c r="AG547" s="122"/>
      <x:c r="AH547" s="120"/>
      <x:c r="AI547" s="122"/>
      <x:c r="AJ547" s="120"/>
      <x:c r="AK547" s="121"/>
      <x:c r="AL547" s="122"/>
      <x:c r="AM547" s="120"/>
      <x:c r="AN547" s="122"/>
      <x:c r="AO547" s="120"/>
      <x:c r="AP547" s="121"/>
      <x:c r="AQ547" s="122"/>
      <x:c r="AR547" s="120"/>
      <x:c r="AS547" s="122"/>
      <x:c r="AT547" s="120"/>
      <x:c r="AU547" s="121"/>
      <x:c r="AV547" s="122"/>
      <x:c r="AW547" s="120"/>
      <x:c r="AX547" s="122"/>
      <x:c r="AY547" s="120"/>
      <x:c r="AZ547" s="121"/>
      <x:c r="BA547" s="122"/>
      <x:c r="BB547" s="120"/>
      <x:c r="BC547" s="122"/>
      <x:c r="BD547" s="120"/>
      <x:c r="BE547" s="121"/>
      <x:c r="BF547" s="122"/>
      <x:c r="BG547" s="120"/>
      <x:c r="BH547" s="122"/>
      <x:c r="BI547" s="120"/>
      <x:c r="BJ547" s="121"/>
    </x:row>
    <x:row r="548" ht="15.75" customHeight="1">
      <x:c r="N548" s="120"/>
      <x:c r="P548" s="120"/>
      <x:c r="Q548" s="121"/>
      <x:c r="S548" s="120"/>
      <x:c r="U548" s="120"/>
      <x:c r="V548" s="121"/>
      <x:c r="W548" s="122"/>
      <x:c r="X548" s="120"/>
      <x:c r="Y548" s="122"/>
      <x:c r="Z548" s="120"/>
      <x:c r="AA548" s="121"/>
      <x:c r="AB548" s="122"/>
      <x:c r="AC548" s="120"/>
      <x:c r="AD548" s="122"/>
      <x:c r="AE548" s="120"/>
      <x:c r="AF548" s="121"/>
      <x:c r="AG548" s="122"/>
      <x:c r="AH548" s="120"/>
      <x:c r="AI548" s="122"/>
      <x:c r="AJ548" s="120"/>
      <x:c r="AK548" s="121"/>
      <x:c r="AL548" s="122"/>
      <x:c r="AM548" s="120"/>
      <x:c r="AN548" s="122"/>
      <x:c r="AO548" s="120"/>
      <x:c r="AP548" s="121"/>
      <x:c r="AQ548" s="122"/>
      <x:c r="AR548" s="120"/>
      <x:c r="AS548" s="122"/>
      <x:c r="AT548" s="120"/>
      <x:c r="AU548" s="121"/>
      <x:c r="AV548" s="122"/>
      <x:c r="AW548" s="120"/>
      <x:c r="AX548" s="122"/>
      <x:c r="AY548" s="120"/>
      <x:c r="AZ548" s="121"/>
      <x:c r="BA548" s="122"/>
      <x:c r="BB548" s="120"/>
      <x:c r="BC548" s="122"/>
      <x:c r="BD548" s="120"/>
      <x:c r="BE548" s="121"/>
      <x:c r="BF548" s="122"/>
      <x:c r="BG548" s="120"/>
      <x:c r="BH548" s="122"/>
      <x:c r="BI548" s="120"/>
      <x:c r="BJ548" s="121"/>
    </x:row>
    <x:row r="549" ht="15.75" customHeight="1">
      <x:c r="N549" s="120"/>
      <x:c r="P549" s="120"/>
      <x:c r="Q549" s="121"/>
      <x:c r="S549" s="120"/>
      <x:c r="U549" s="120"/>
      <x:c r="V549" s="121"/>
      <x:c r="W549" s="122"/>
      <x:c r="X549" s="120"/>
      <x:c r="Y549" s="122"/>
      <x:c r="Z549" s="120"/>
      <x:c r="AA549" s="121"/>
      <x:c r="AB549" s="122"/>
      <x:c r="AC549" s="120"/>
      <x:c r="AD549" s="122"/>
      <x:c r="AE549" s="120"/>
      <x:c r="AF549" s="121"/>
      <x:c r="AG549" s="122"/>
      <x:c r="AH549" s="120"/>
      <x:c r="AI549" s="122"/>
      <x:c r="AJ549" s="120"/>
      <x:c r="AK549" s="121"/>
      <x:c r="AL549" s="122"/>
      <x:c r="AM549" s="120"/>
      <x:c r="AN549" s="122"/>
      <x:c r="AO549" s="120"/>
      <x:c r="AP549" s="121"/>
      <x:c r="AQ549" s="122"/>
      <x:c r="AR549" s="120"/>
      <x:c r="AS549" s="122"/>
      <x:c r="AT549" s="120"/>
      <x:c r="AU549" s="121"/>
      <x:c r="AV549" s="122"/>
      <x:c r="AW549" s="120"/>
      <x:c r="AX549" s="122"/>
      <x:c r="AY549" s="120"/>
      <x:c r="AZ549" s="121"/>
      <x:c r="BA549" s="122"/>
      <x:c r="BB549" s="120"/>
      <x:c r="BC549" s="122"/>
      <x:c r="BD549" s="120"/>
      <x:c r="BE549" s="121"/>
      <x:c r="BF549" s="122"/>
      <x:c r="BG549" s="120"/>
      <x:c r="BH549" s="122"/>
      <x:c r="BI549" s="120"/>
      <x:c r="BJ549" s="121"/>
    </x:row>
    <x:row r="550" ht="15.75" customHeight="1">
      <x:c r="N550" s="120"/>
      <x:c r="P550" s="120"/>
      <x:c r="Q550" s="121"/>
      <x:c r="S550" s="120"/>
      <x:c r="U550" s="120"/>
      <x:c r="V550" s="121"/>
      <x:c r="W550" s="122"/>
      <x:c r="X550" s="120"/>
      <x:c r="Y550" s="122"/>
      <x:c r="Z550" s="120"/>
      <x:c r="AA550" s="121"/>
      <x:c r="AB550" s="122"/>
      <x:c r="AC550" s="120"/>
      <x:c r="AD550" s="122"/>
      <x:c r="AE550" s="120"/>
      <x:c r="AF550" s="121"/>
      <x:c r="AG550" s="122"/>
      <x:c r="AH550" s="120"/>
      <x:c r="AI550" s="122"/>
      <x:c r="AJ550" s="120"/>
      <x:c r="AK550" s="121"/>
      <x:c r="AL550" s="122"/>
      <x:c r="AM550" s="120"/>
      <x:c r="AN550" s="122"/>
      <x:c r="AO550" s="120"/>
      <x:c r="AP550" s="121"/>
      <x:c r="AQ550" s="122"/>
      <x:c r="AR550" s="120"/>
      <x:c r="AS550" s="122"/>
      <x:c r="AT550" s="120"/>
      <x:c r="AU550" s="121"/>
      <x:c r="AV550" s="122"/>
      <x:c r="AW550" s="120"/>
      <x:c r="AX550" s="122"/>
      <x:c r="AY550" s="120"/>
      <x:c r="AZ550" s="121"/>
      <x:c r="BA550" s="122"/>
      <x:c r="BB550" s="120"/>
      <x:c r="BC550" s="122"/>
      <x:c r="BD550" s="120"/>
      <x:c r="BE550" s="121"/>
      <x:c r="BF550" s="122"/>
      <x:c r="BG550" s="120"/>
      <x:c r="BH550" s="122"/>
      <x:c r="BI550" s="120"/>
      <x:c r="BJ550" s="121"/>
    </x:row>
    <x:row r="551" ht="15.75" customHeight="1">
      <x:c r="N551" s="120"/>
      <x:c r="P551" s="120"/>
      <x:c r="Q551" s="121"/>
      <x:c r="S551" s="120"/>
      <x:c r="U551" s="120"/>
      <x:c r="V551" s="121"/>
      <x:c r="W551" s="122"/>
      <x:c r="X551" s="120"/>
      <x:c r="Y551" s="122"/>
      <x:c r="Z551" s="120"/>
      <x:c r="AA551" s="121"/>
      <x:c r="AB551" s="122"/>
      <x:c r="AC551" s="120"/>
      <x:c r="AD551" s="122"/>
      <x:c r="AE551" s="120"/>
      <x:c r="AF551" s="121"/>
      <x:c r="AG551" s="122"/>
      <x:c r="AH551" s="120"/>
      <x:c r="AI551" s="122"/>
      <x:c r="AJ551" s="120"/>
      <x:c r="AK551" s="121"/>
      <x:c r="AL551" s="122"/>
      <x:c r="AM551" s="120"/>
      <x:c r="AN551" s="122"/>
      <x:c r="AO551" s="120"/>
      <x:c r="AP551" s="121"/>
      <x:c r="AQ551" s="122"/>
      <x:c r="AR551" s="120"/>
      <x:c r="AS551" s="122"/>
      <x:c r="AT551" s="120"/>
      <x:c r="AU551" s="121"/>
      <x:c r="AV551" s="122"/>
      <x:c r="AW551" s="120"/>
      <x:c r="AX551" s="122"/>
      <x:c r="AY551" s="120"/>
      <x:c r="AZ551" s="121"/>
      <x:c r="BA551" s="122"/>
      <x:c r="BB551" s="120"/>
      <x:c r="BC551" s="122"/>
      <x:c r="BD551" s="120"/>
      <x:c r="BE551" s="121"/>
      <x:c r="BF551" s="122"/>
      <x:c r="BG551" s="120"/>
      <x:c r="BH551" s="122"/>
      <x:c r="BI551" s="120"/>
      <x:c r="BJ551" s="121"/>
    </x:row>
    <x:row r="552" ht="15.75" customHeight="1">
      <x:c r="N552" s="120"/>
      <x:c r="P552" s="120"/>
      <x:c r="Q552" s="121"/>
      <x:c r="S552" s="120"/>
      <x:c r="U552" s="120"/>
      <x:c r="V552" s="121"/>
      <x:c r="W552" s="122"/>
      <x:c r="X552" s="120"/>
      <x:c r="Y552" s="122"/>
      <x:c r="Z552" s="120"/>
      <x:c r="AA552" s="121"/>
      <x:c r="AB552" s="122"/>
      <x:c r="AC552" s="120"/>
      <x:c r="AD552" s="122"/>
      <x:c r="AE552" s="120"/>
      <x:c r="AF552" s="121"/>
      <x:c r="AG552" s="122"/>
      <x:c r="AH552" s="120"/>
      <x:c r="AI552" s="122"/>
      <x:c r="AJ552" s="120"/>
      <x:c r="AK552" s="121"/>
      <x:c r="AL552" s="122"/>
      <x:c r="AM552" s="120"/>
      <x:c r="AN552" s="122"/>
      <x:c r="AO552" s="120"/>
      <x:c r="AP552" s="121"/>
      <x:c r="AQ552" s="122"/>
      <x:c r="AR552" s="120"/>
      <x:c r="AS552" s="122"/>
      <x:c r="AT552" s="120"/>
      <x:c r="AU552" s="121"/>
      <x:c r="AV552" s="122"/>
      <x:c r="AW552" s="120"/>
      <x:c r="AX552" s="122"/>
      <x:c r="AY552" s="120"/>
      <x:c r="AZ552" s="121"/>
      <x:c r="BA552" s="122"/>
      <x:c r="BB552" s="120"/>
      <x:c r="BC552" s="122"/>
      <x:c r="BD552" s="120"/>
      <x:c r="BE552" s="121"/>
      <x:c r="BF552" s="122"/>
      <x:c r="BG552" s="120"/>
      <x:c r="BH552" s="122"/>
      <x:c r="BI552" s="120"/>
      <x:c r="BJ552" s="121"/>
    </x:row>
    <x:row r="553" ht="15.75" customHeight="1">
      <x:c r="N553" s="120"/>
      <x:c r="P553" s="120"/>
      <x:c r="Q553" s="121"/>
      <x:c r="S553" s="120"/>
      <x:c r="U553" s="120"/>
      <x:c r="V553" s="121"/>
      <x:c r="W553" s="122"/>
      <x:c r="X553" s="120"/>
      <x:c r="Y553" s="122"/>
      <x:c r="Z553" s="120"/>
      <x:c r="AA553" s="121"/>
      <x:c r="AB553" s="122"/>
      <x:c r="AC553" s="120"/>
      <x:c r="AD553" s="122"/>
      <x:c r="AE553" s="120"/>
      <x:c r="AF553" s="121"/>
      <x:c r="AG553" s="122"/>
      <x:c r="AH553" s="120"/>
      <x:c r="AI553" s="122"/>
      <x:c r="AJ553" s="120"/>
      <x:c r="AK553" s="121"/>
      <x:c r="AL553" s="122"/>
      <x:c r="AM553" s="120"/>
      <x:c r="AN553" s="122"/>
      <x:c r="AO553" s="120"/>
      <x:c r="AP553" s="121"/>
      <x:c r="AQ553" s="122"/>
      <x:c r="AR553" s="120"/>
      <x:c r="AS553" s="122"/>
      <x:c r="AT553" s="120"/>
      <x:c r="AU553" s="121"/>
      <x:c r="AV553" s="122"/>
      <x:c r="AW553" s="120"/>
      <x:c r="AX553" s="122"/>
      <x:c r="AY553" s="120"/>
      <x:c r="AZ553" s="121"/>
      <x:c r="BA553" s="122"/>
      <x:c r="BB553" s="120"/>
      <x:c r="BC553" s="122"/>
      <x:c r="BD553" s="120"/>
      <x:c r="BE553" s="121"/>
      <x:c r="BF553" s="122"/>
      <x:c r="BG553" s="120"/>
      <x:c r="BH553" s="122"/>
      <x:c r="BI553" s="120"/>
      <x:c r="BJ553" s="121"/>
    </x:row>
    <x:row r="554" ht="15.75" customHeight="1">
      <x:c r="N554" s="120"/>
      <x:c r="P554" s="120"/>
      <x:c r="Q554" s="121"/>
      <x:c r="S554" s="120"/>
      <x:c r="U554" s="120"/>
      <x:c r="V554" s="121"/>
      <x:c r="W554" s="122"/>
      <x:c r="X554" s="120"/>
      <x:c r="Y554" s="122"/>
      <x:c r="Z554" s="120"/>
      <x:c r="AA554" s="121"/>
      <x:c r="AB554" s="122"/>
      <x:c r="AC554" s="120"/>
      <x:c r="AD554" s="122"/>
      <x:c r="AE554" s="120"/>
      <x:c r="AF554" s="121"/>
      <x:c r="AG554" s="122"/>
      <x:c r="AH554" s="120"/>
      <x:c r="AI554" s="122"/>
      <x:c r="AJ554" s="120"/>
      <x:c r="AK554" s="121"/>
      <x:c r="AL554" s="122"/>
      <x:c r="AM554" s="120"/>
      <x:c r="AN554" s="122"/>
      <x:c r="AO554" s="120"/>
      <x:c r="AP554" s="121"/>
      <x:c r="AQ554" s="122"/>
      <x:c r="AR554" s="120"/>
      <x:c r="AS554" s="122"/>
      <x:c r="AT554" s="120"/>
      <x:c r="AU554" s="121"/>
      <x:c r="AV554" s="122"/>
      <x:c r="AW554" s="120"/>
      <x:c r="AX554" s="122"/>
      <x:c r="AY554" s="120"/>
      <x:c r="AZ554" s="121"/>
      <x:c r="BA554" s="122"/>
      <x:c r="BB554" s="120"/>
      <x:c r="BC554" s="122"/>
      <x:c r="BD554" s="120"/>
      <x:c r="BE554" s="121"/>
      <x:c r="BF554" s="122"/>
      <x:c r="BG554" s="120"/>
      <x:c r="BH554" s="122"/>
      <x:c r="BI554" s="120"/>
      <x:c r="BJ554" s="121"/>
    </x:row>
    <x:row r="555" ht="15.75" customHeight="1">
      <x:c r="N555" s="120"/>
      <x:c r="P555" s="120"/>
      <x:c r="Q555" s="121"/>
      <x:c r="S555" s="120"/>
      <x:c r="U555" s="120"/>
      <x:c r="V555" s="121"/>
      <x:c r="W555" s="122"/>
      <x:c r="X555" s="120"/>
      <x:c r="Y555" s="122"/>
      <x:c r="Z555" s="120"/>
      <x:c r="AA555" s="121"/>
      <x:c r="AB555" s="122"/>
      <x:c r="AC555" s="120"/>
      <x:c r="AD555" s="122"/>
      <x:c r="AE555" s="120"/>
      <x:c r="AF555" s="121"/>
      <x:c r="AG555" s="122"/>
      <x:c r="AH555" s="120"/>
      <x:c r="AI555" s="122"/>
      <x:c r="AJ555" s="120"/>
      <x:c r="AK555" s="121"/>
      <x:c r="AL555" s="122"/>
      <x:c r="AM555" s="120"/>
      <x:c r="AN555" s="122"/>
      <x:c r="AO555" s="120"/>
      <x:c r="AP555" s="121"/>
      <x:c r="AQ555" s="122"/>
      <x:c r="AR555" s="120"/>
      <x:c r="AS555" s="122"/>
      <x:c r="AT555" s="120"/>
      <x:c r="AU555" s="121"/>
      <x:c r="AV555" s="122"/>
      <x:c r="AW555" s="120"/>
      <x:c r="AX555" s="122"/>
      <x:c r="AY555" s="120"/>
      <x:c r="AZ555" s="121"/>
      <x:c r="BA555" s="122"/>
      <x:c r="BB555" s="120"/>
      <x:c r="BC555" s="122"/>
      <x:c r="BD555" s="120"/>
      <x:c r="BE555" s="121"/>
      <x:c r="BF555" s="122"/>
      <x:c r="BG555" s="120"/>
      <x:c r="BH555" s="122"/>
      <x:c r="BI555" s="120"/>
      <x:c r="BJ555" s="121"/>
    </x:row>
    <x:row r="556" ht="15.75" customHeight="1">
      <x:c r="N556" s="120"/>
      <x:c r="P556" s="120"/>
      <x:c r="Q556" s="121"/>
      <x:c r="S556" s="120"/>
      <x:c r="U556" s="120"/>
      <x:c r="V556" s="121"/>
      <x:c r="W556" s="122"/>
      <x:c r="X556" s="120"/>
      <x:c r="Y556" s="122"/>
      <x:c r="Z556" s="120"/>
      <x:c r="AA556" s="121"/>
      <x:c r="AB556" s="122"/>
      <x:c r="AC556" s="120"/>
      <x:c r="AD556" s="122"/>
      <x:c r="AE556" s="120"/>
      <x:c r="AF556" s="121"/>
      <x:c r="AG556" s="122"/>
      <x:c r="AH556" s="120"/>
      <x:c r="AI556" s="122"/>
      <x:c r="AJ556" s="120"/>
      <x:c r="AK556" s="121"/>
      <x:c r="AL556" s="122"/>
      <x:c r="AM556" s="120"/>
      <x:c r="AN556" s="122"/>
      <x:c r="AO556" s="120"/>
      <x:c r="AP556" s="121"/>
      <x:c r="AQ556" s="122"/>
      <x:c r="AR556" s="120"/>
      <x:c r="AS556" s="122"/>
      <x:c r="AT556" s="120"/>
      <x:c r="AU556" s="121"/>
      <x:c r="AV556" s="122"/>
      <x:c r="AW556" s="120"/>
      <x:c r="AX556" s="122"/>
      <x:c r="AY556" s="120"/>
      <x:c r="AZ556" s="121"/>
      <x:c r="BA556" s="122"/>
      <x:c r="BB556" s="120"/>
      <x:c r="BC556" s="122"/>
      <x:c r="BD556" s="120"/>
      <x:c r="BE556" s="121"/>
      <x:c r="BF556" s="122"/>
      <x:c r="BG556" s="120"/>
      <x:c r="BH556" s="122"/>
      <x:c r="BI556" s="120"/>
      <x:c r="BJ556" s="121"/>
    </x:row>
    <x:row r="557" ht="15.75" customHeight="1">
      <x:c r="N557" s="120"/>
      <x:c r="P557" s="120"/>
      <x:c r="Q557" s="121"/>
      <x:c r="S557" s="120"/>
      <x:c r="U557" s="120"/>
      <x:c r="V557" s="121"/>
      <x:c r="W557" s="122"/>
      <x:c r="X557" s="120"/>
      <x:c r="Y557" s="122"/>
      <x:c r="Z557" s="120"/>
      <x:c r="AA557" s="121"/>
      <x:c r="AB557" s="122"/>
      <x:c r="AC557" s="120"/>
      <x:c r="AD557" s="122"/>
      <x:c r="AE557" s="120"/>
      <x:c r="AF557" s="121"/>
      <x:c r="AG557" s="122"/>
      <x:c r="AH557" s="120"/>
      <x:c r="AI557" s="122"/>
      <x:c r="AJ557" s="120"/>
      <x:c r="AK557" s="121"/>
      <x:c r="AL557" s="122"/>
      <x:c r="AM557" s="120"/>
      <x:c r="AN557" s="122"/>
      <x:c r="AO557" s="120"/>
      <x:c r="AP557" s="121"/>
      <x:c r="AQ557" s="122"/>
      <x:c r="AR557" s="120"/>
      <x:c r="AS557" s="122"/>
      <x:c r="AT557" s="120"/>
      <x:c r="AU557" s="121"/>
      <x:c r="AV557" s="122"/>
      <x:c r="AW557" s="120"/>
      <x:c r="AX557" s="122"/>
      <x:c r="AY557" s="120"/>
      <x:c r="AZ557" s="121"/>
      <x:c r="BA557" s="122"/>
      <x:c r="BB557" s="120"/>
      <x:c r="BC557" s="122"/>
      <x:c r="BD557" s="120"/>
      <x:c r="BE557" s="121"/>
      <x:c r="BF557" s="122"/>
      <x:c r="BG557" s="120"/>
      <x:c r="BH557" s="122"/>
      <x:c r="BI557" s="120"/>
      <x:c r="BJ557" s="121"/>
    </x:row>
    <x:row r="558" ht="15.75" customHeight="1">
      <x:c r="N558" s="120"/>
      <x:c r="P558" s="120"/>
      <x:c r="Q558" s="121"/>
      <x:c r="S558" s="120"/>
      <x:c r="U558" s="120"/>
      <x:c r="V558" s="121"/>
      <x:c r="W558" s="122"/>
      <x:c r="X558" s="120"/>
      <x:c r="Y558" s="122"/>
      <x:c r="Z558" s="120"/>
      <x:c r="AA558" s="121"/>
      <x:c r="AB558" s="122"/>
      <x:c r="AC558" s="120"/>
      <x:c r="AD558" s="122"/>
      <x:c r="AE558" s="120"/>
      <x:c r="AF558" s="121"/>
      <x:c r="AG558" s="122"/>
      <x:c r="AH558" s="120"/>
      <x:c r="AI558" s="122"/>
      <x:c r="AJ558" s="120"/>
      <x:c r="AK558" s="121"/>
      <x:c r="AL558" s="122"/>
      <x:c r="AM558" s="120"/>
      <x:c r="AN558" s="122"/>
      <x:c r="AO558" s="120"/>
      <x:c r="AP558" s="121"/>
      <x:c r="AQ558" s="122"/>
      <x:c r="AR558" s="120"/>
      <x:c r="AS558" s="122"/>
      <x:c r="AT558" s="120"/>
      <x:c r="AU558" s="121"/>
      <x:c r="AV558" s="122"/>
      <x:c r="AW558" s="120"/>
      <x:c r="AX558" s="122"/>
      <x:c r="AY558" s="120"/>
      <x:c r="AZ558" s="121"/>
      <x:c r="BA558" s="122"/>
      <x:c r="BB558" s="120"/>
      <x:c r="BC558" s="122"/>
      <x:c r="BD558" s="120"/>
      <x:c r="BE558" s="121"/>
      <x:c r="BF558" s="122"/>
      <x:c r="BG558" s="120"/>
      <x:c r="BH558" s="122"/>
      <x:c r="BI558" s="120"/>
      <x:c r="BJ558" s="121"/>
    </x:row>
    <x:row r="559" ht="15.75" customHeight="1">
      <x:c r="N559" s="120"/>
      <x:c r="P559" s="120"/>
      <x:c r="Q559" s="121"/>
      <x:c r="S559" s="120"/>
      <x:c r="U559" s="120"/>
      <x:c r="V559" s="121"/>
      <x:c r="W559" s="122"/>
      <x:c r="X559" s="120"/>
      <x:c r="Y559" s="122"/>
      <x:c r="Z559" s="120"/>
      <x:c r="AA559" s="121"/>
      <x:c r="AB559" s="122"/>
      <x:c r="AC559" s="120"/>
      <x:c r="AD559" s="122"/>
      <x:c r="AE559" s="120"/>
      <x:c r="AF559" s="121"/>
      <x:c r="AG559" s="122"/>
      <x:c r="AH559" s="120"/>
      <x:c r="AI559" s="122"/>
      <x:c r="AJ559" s="120"/>
      <x:c r="AK559" s="121"/>
      <x:c r="AL559" s="122"/>
      <x:c r="AM559" s="120"/>
      <x:c r="AN559" s="122"/>
      <x:c r="AO559" s="120"/>
      <x:c r="AP559" s="121"/>
      <x:c r="AQ559" s="122"/>
      <x:c r="AR559" s="120"/>
      <x:c r="AS559" s="122"/>
      <x:c r="AT559" s="120"/>
      <x:c r="AU559" s="121"/>
      <x:c r="AV559" s="122"/>
      <x:c r="AW559" s="120"/>
      <x:c r="AX559" s="122"/>
      <x:c r="AY559" s="120"/>
      <x:c r="AZ559" s="121"/>
      <x:c r="BA559" s="122"/>
      <x:c r="BB559" s="120"/>
      <x:c r="BC559" s="122"/>
      <x:c r="BD559" s="120"/>
      <x:c r="BE559" s="121"/>
      <x:c r="BF559" s="122"/>
      <x:c r="BG559" s="120"/>
      <x:c r="BH559" s="122"/>
      <x:c r="BI559" s="120"/>
      <x:c r="BJ559" s="121"/>
    </x:row>
    <x:row r="560" ht="15.75" customHeight="1">
      <x:c r="N560" s="120"/>
      <x:c r="P560" s="120"/>
      <x:c r="Q560" s="121"/>
      <x:c r="S560" s="120"/>
      <x:c r="U560" s="120"/>
      <x:c r="V560" s="121"/>
      <x:c r="W560" s="122"/>
      <x:c r="X560" s="120"/>
      <x:c r="Y560" s="122"/>
      <x:c r="Z560" s="120"/>
      <x:c r="AA560" s="121"/>
      <x:c r="AB560" s="122"/>
      <x:c r="AC560" s="120"/>
      <x:c r="AD560" s="122"/>
      <x:c r="AE560" s="120"/>
      <x:c r="AF560" s="121"/>
      <x:c r="AG560" s="122"/>
      <x:c r="AH560" s="120"/>
      <x:c r="AI560" s="122"/>
      <x:c r="AJ560" s="120"/>
      <x:c r="AK560" s="121"/>
      <x:c r="AL560" s="122"/>
      <x:c r="AM560" s="120"/>
      <x:c r="AN560" s="122"/>
      <x:c r="AO560" s="120"/>
      <x:c r="AP560" s="121"/>
      <x:c r="AQ560" s="122"/>
      <x:c r="AR560" s="120"/>
      <x:c r="AS560" s="122"/>
      <x:c r="AT560" s="120"/>
      <x:c r="AU560" s="121"/>
      <x:c r="AV560" s="122"/>
      <x:c r="AW560" s="120"/>
      <x:c r="AX560" s="122"/>
      <x:c r="AY560" s="120"/>
      <x:c r="AZ560" s="121"/>
      <x:c r="BA560" s="122"/>
      <x:c r="BB560" s="120"/>
      <x:c r="BC560" s="122"/>
      <x:c r="BD560" s="120"/>
      <x:c r="BE560" s="121"/>
      <x:c r="BF560" s="122"/>
      <x:c r="BG560" s="120"/>
      <x:c r="BH560" s="122"/>
      <x:c r="BI560" s="120"/>
      <x:c r="BJ560" s="121"/>
    </x:row>
    <x:row r="561" ht="15.75" customHeight="1">
      <x:c r="N561" s="120"/>
      <x:c r="P561" s="120"/>
      <x:c r="Q561" s="121"/>
      <x:c r="S561" s="120"/>
      <x:c r="U561" s="120"/>
      <x:c r="V561" s="121"/>
      <x:c r="W561" s="122"/>
      <x:c r="X561" s="120"/>
      <x:c r="Y561" s="122"/>
      <x:c r="Z561" s="120"/>
      <x:c r="AA561" s="121"/>
      <x:c r="AB561" s="122"/>
      <x:c r="AC561" s="120"/>
      <x:c r="AD561" s="122"/>
      <x:c r="AE561" s="120"/>
      <x:c r="AF561" s="121"/>
      <x:c r="AG561" s="122"/>
      <x:c r="AH561" s="120"/>
      <x:c r="AI561" s="122"/>
      <x:c r="AJ561" s="120"/>
      <x:c r="AK561" s="121"/>
      <x:c r="AL561" s="122"/>
      <x:c r="AM561" s="120"/>
      <x:c r="AN561" s="122"/>
      <x:c r="AO561" s="120"/>
      <x:c r="AP561" s="121"/>
      <x:c r="AQ561" s="122"/>
      <x:c r="AR561" s="120"/>
      <x:c r="AS561" s="122"/>
      <x:c r="AT561" s="120"/>
      <x:c r="AU561" s="121"/>
      <x:c r="AV561" s="122"/>
      <x:c r="AW561" s="120"/>
      <x:c r="AX561" s="122"/>
      <x:c r="AY561" s="120"/>
      <x:c r="AZ561" s="121"/>
      <x:c r="BA561" s="122"/>
      <x:c r="BB561" s="120"/>
      <x:c r="BC561" s="122"/>
      <x:c r="BD561" s="120"/>
      <x:c r="BE561" s="121"/>
      <x:c r="BF561" s="122"/>
      <x:c r="BG561" s="120"/>
      <x:c r="BH561" s="122"/>
      <x:c r="BI561" s="120"/>
      <x:c r="BJ561" s="121"/>
    </x:row>
    <x:row r="562" ht="15.75" customHeight="1">
      <x:c r="N562" s="120"/>
      <x:c r="P562" s="120"/>
      <x:c r="Q562" s="121"/>
      <x:c r="S562" s="120"/>
      <x:c r="U562" s="120"/>
      <x:c r="V562" s="121"/>
      <x:c r="W562" s="122"/>
      <x:c r="X562" s="120"/>
      <x:c r="Y562" s="122"/>
      <x:c r="Z562" s="120"/>
      <x:c r="AA562" s="121"/>
      <x:c r="AB562" s="122"/>
      <x:c r="AC562" s="120"/>
      <x:c r="AD562" s="122"/>
      <x:c r="AE562" s="120"/>
      <x:c r="AF562" s="121"/>
      <x:c r="AG562" s="122"/>
      <x:c r="AH562" s="120"/>
      <x:c r="AI562" s="122"/>
      <x:c r="AJ562" s="120"/>
      <x:c r="AK562" s="121"/>
      <x:c r="AL562" s="122"/>
      <x:c r="AM562" s="120"/>
      <x:c r="AN562" s="122"/>
      <x:c r="AO562" s="120"/>
      <x:c r="AP562" s="121"/>
      <x:c r="AQ562" s="122"/>
      <x:c r="AR562" s="120"/>
      <x:c r="AS562" s="122"/>
      <x:c r="AT562" s="120"/>
      <x:c r="AU562" s="121"/>
      <x:c r="AV562" s="122"/>
      <x:c r="AW562" s="120"/>
      <x:c r="AX562" s="122"/>
      <x:c r="AY562" s="120"/>
      <x:c r="AZ562" s="121"/>
      <x:c r="BA562" s="122"/>
      <x:c r="BB562" s="120"/>
      <x:c r="BC562" s="122"/>
      <x:c r="BD562" s="120"/>
      <x:c r="BE562" s="121"/>
      <x:c r="BF562" s="122"/>
      <x:c r="BG562" s="120"/>
      <x:c r="BH562" s="122"/>
      <x:c r="BI562" s="120"/>
      <x:c r="BJ562" s="121"/>
    </x:row>
    <x:row r="563" ht="15.75" customHeight="1">
      <x:c r="N563" s="120"/>
      <x:c r="P563" s="120"/>
      <x:c r="Q563" s="121"/>
      <x:c r="S563" s="120"/>
      <x:c r="U563" s="120"/>
      <x:c r="V563" s="121"/>
      <x:c r="W563" s="122"/>
      <x:c r="X563" s="120"/>
      <x:c r="Y563" s="122"/>
      <x:c r="Z563" s="120"/>
      <x:c r="AA563" s="121"/>
      <x:c r="AB563" s="122"/>
      <x:c r="AC563" s="120"/>
      <x:c r="AD563" s="122"/>
      <x:c r="AE563" s="120"/>
      <x:c r="AF563" s="121"/>
      <x:c r="AG563" s="122"/>
      <x:c r="AH563" s="120"/>
      <x:c r="AI563" s="122"/>
      <x:c r="AJ563" s="120"/>
      <x:c r="AK563" s="121"/>
      <x:c r="AL563" s="122"/>
      <x:c r="AM563" s="120"/>
      <x:c r="AN563" s="122"/>
      <x:c r="AO563" s="120"/>
      <x:c r="AP563" s="121"/>
      <x:c r="AQ563" s="122"/>
      <x:c r="AR563" s="120"/>
      <x:c r="AS563" s="122"/>
      <x:c r="AT563" s="120"/>
      <x:c r="AU563" s="121"/>
      <x:c r="AV563" s="122"/>
      <x:c r="AW563" s="120"/>
      <x:c r="AX563" s="122"/>
      <x:c r="AY563" s="120"/>
      <x:c r="AZ563" s="121"/>
      <x:c r="BA563" s="122"/>
      <x:c r="BB563" s="120"/>
      <x:c r="BC563" s="122"/>
      <x:c r="BD563" s="120"/>
      <x:c r="BE563" s="121"/>
      <x:c r="BF563" s="122"/>
      <x:c r="BG563" s="120"/>
      <x:c r="BH563" s="122"/>
      <x:c r="BI563" s="120"/>
      <x:c r="BJ563" s="121"/>
    </x:row>
    <x:row r="564" ht="15.75" customHeight="1">
      <x:c r="N564" s="120"/>
      <x:c r="P564" s="120"/>
      <x:c r="Q564" s="121"/>
      <x:c r="S564" s="120"/>
      <x:c r="U564" s="120"/>
      <x:c r="V564" s="121"/>
      <x:c r="W564" s="122"/>
      <x:c r="X564" s="120"/>
      <x:c r="Y564" s="122"/>
      <x:c r="Z564" s="120"/>
      <x:c r="AA564" s="121"/>
      <x:c r="AB564" s="122"/>
      <x:c r="AC564" s="120"/>
      <x:c r="AD564" s="122"/>
      <x:c r="AE564" s="120"/>
      <x:c r="AF564" s="121"/>
      <x:c r="AG564" s="122"/>
      <x:c r="AH564" s="120"/>
      <x:c r="AI564" s="122"/>
      <x:c r="AJ564" s="120"/>
      <x:c r="AK564" s="121"/>
      <x:c r="AL564" s="122"/>
      <x:c r="AM564" s="120"/>
      <x:c r="AN564" s="122"/>
      <x:c r="AO564" s="120"/>
      <x:c r="AP564" s="121"/>
      <x:c r="AQ564" s="122"/>
      <x:c r="AR564" s="120"/>
      <x:c r="AS564" s="122"/>
      <x:c r="AT564" s="120"/>
      <x:c r="AU564" s="121"/>
      <x:c r="AV564" s="122"/>
      <x:c r="AW564" s="120"/>
      <x:c r="AX564" s="122"/>
      <x:c r="AY564" s="120"/>
      <x:c r="AZ564" s="121"/>
      <x:c r="BA564" s="122"/>
      <x:c r="BB564" s="120"/>
      <x:c r="BC564" s="122"/>
      <x:c r="BD564" s="120"/>
      <x:c r="BE564" s="121"/>
      <x:c r="BF564" s="122"/>
      <x:c r="BG564" s="120"/>
      <x:c r="BH564" s="122"/>
      <x:c r="BI564" s="120"/>
      <x:c r="BJ564" s="121"/>
    </x:row>
    <x:row r="565" ht="15.75" customHeight="1">
      <x:c r="N565" s="120"/>
      <x:c r="P565" s="120"/>
      <x:c r="Q565" s="121"/>
      <x:c r="S565" s="120"/>
      <x:c r="U565" s="120"/>
      <x:c r="V565" s="121"/>
      <x:c r="W565" s="122"/>
      <x:c r="X565" s="120"/>
      <x:c r="Y565" s="122"/>
      <x:c r="Z565" s="120"/>
      <x:c r="AA565" s="121"/>
      <x:c r="AB565" s="122"/>
      <x:c r="AC565" s="120"/>
      <x:c r="AD565" s="122"/>
      <x:c r="AE565" s="120"/>
      <x:c r="AF565" s="121"/>
      <x:c r="AG565" s="122"/>
      <x:c r="AH565" s="120"/>
      <x:c r="AI565" s="122"/>
      <x:c r="AJ565" s="120"/>
      <x:c r="AK565" s="121"/>
      <x:c r="AL565" s="122"/>
      <x:c r="AM565" s="120"/>
      <x:c r="AN565" s="122"/>
      <x:c r="AO565" s="120"/>
      <x:c r="AP565" s="121"/>
      <x:c r="AQ565" s="122"/>
      <x:c r="AR565" s="120"/>
      <x:c r="AS565" s="122"/>
      <x:c r="AT565" s="120"/>
      <x:c r="AU565" s="121"/>
      <x:c r="AV565" s="122"/>
      <x:c r="AW565" s="120"/>
      <x:c r="AX565" s="122"/>
      <x:c r="AY565" s="120"/>
      <x:c r="AZ565" s="121"/>
      <x:c r="BA565" s="122"/>
      <x:c r="BB565" s="120"/>
      <x:c r="BC565" s="122"/>
      <x:c r="BD565" s="120"/>
      <x:c r="BE565" s="121"/>
      <x:c r="BF565" s="122"/>
      <x:c r="BG565" s="120"/>
      <x:c r="BH565" s="122"/>
      <x:c r="BI565" s="120"/>
      <x:c r="BJ565" s="121"/>
    </x:row>
    <x:row r="566" ht="15.75" customHeight="1">
      <x:c r="N566" s="120"/>
      <x:c r="P566" s="120"/>
      <x:c r="Q566" s="121"/>
      <x:c r="S566" s="120"/>
      <x:c r="U566" s="120"/>
      <x:c r="V566" s="121"/>
      <x:c r="W566" s="122"/>
      <x:c r="X566" s="120"/>
      <x:c r="Y566" s="122"/>
      <x:c r="Z566" s="120"/>
      <x:c r="AA566" s="121"/>
      <x:c r="AB566" s="122"/>
      <x:c r="AC566" s="120"/>
      <x:c r="AD566" s="122"/>
      <x:c r="AE566" s="120"/>
      <x:c r="AF566" s="121"/>
      <x:c r="AG566" s="122"/>
      <x:c r="AH566" s="120"/>
      <x:c r="AI566" s="122"/>
      <x:c r="AJ566" s="120"/>
      <x:c r="AK566" s="121"/>
      <x:c r="AL566" s="122"/>
      <x:c r="AM566" s="120"/>
      <x:c r="AN566" s="122"/>
      <x:c r="AO566" s="120"/>
      <x:c r="AP566" s="121"/>
      <x:c r="AQ566" s="122"/>
      <x:c r="AR566" s="120"/>
      <x:c r="AS566" s="122"/>
      <x:c r="AT566" s="120"/>
      <x:c r="AU566" s="121"/>
      <x:c r="AV566" s="122"/>
      <x:c r="AW566" s="120"/>
      <x:c r="AX566" s="122"/>
      <x:c r="AY566" s="120"/>
      <x:c r="AZ566" s="121"/>
      <x:c r="BA566" s="122"/>
      <x:c r="BB566" s="120"/>
      <x:c r="BC566" s="122"/>
      <x:c r="BD566" s="120"/>
      <x:c r="BE566" s="121"/>
      <x:c r="BF566" s="122"/>
      <x:c r="BG566" s="120"/>
      <x:c r="BH566" s="122"/>
      <x:c r="BI566" s="120"/>
      <x:c r="BJ566" s="121"/>
    </x:row>
    <x:row r="567" ht="15.75" customHeight="1">
      <x:c r="N567" s="120"/>
      <x:c r="P567" s="120"/>
      <x:c r="Q567" s="121"/>
      <x:c r="S567" s="120"/>
      <x:c r="U567" s="120"/>
      <x:c r="V567" s="121"/>
      <x:c r="W567" s="122"/>
      <x:c r="X567" s="120"/>
      <x:c r="Y567" s="122"/>
      <x:c r="Z567" s="120"/>
      <x:c r="AA567" s="121"/>
      <x:c r="AB567" s="122"/>
      <x:c r="AC567" s="120"/>
      <x:c r="AD567" s="122"/>
      <x:c r="AE567" s="120"/>
      <x:c r="AF567" s="121"/>
      <x:c r="AG567" s="122"/>
      <x:c r="AH567" s="120"/>
      <x:c r="AI567" s="122"/>
      <x:c r="AJ567" s="120"/>
      <x:c r="AK567" s="121"/>
      <x:c r="AL567" s="122"/>
      <x:c r="AM567" s="120"/>
      <x:c r="AN567" s="122"/>
      <x:c r="AO567" s="120"/>
      <x:c r="AP567" s="121"/>
      <x:c r="AQ567" s="122"/>
      <x:c r="AR567" s="120"/>
      <x:c r="AS567" s="122"/>
      <x:c r="AT567" s="120"/>
      <x:c r="AU567" s="121"/>
      <x:c r="AV567" s="122"/>
      <x:c r="AW567" s="120"/>
      <x:c r="AX567" s="122"/>
      <x:c r="AY567" s="120"/>
      <x:c r="AZ567" s="121"/>
      <x:c r="BA567" s="122"/>
      <x:c r="BB567" s="120"/>
      <x:c r="BC567" s="122"/>
      <x:c r="BD567" s="120"/>
      <x:c r="BE567" s="121"/>
      <x:c r="BF567" s="122"/>
      <x:c r="BG567" s="120"/>
      <x:c r="BH567" s="122"/>
      <x:c r="BI567" s="120"/>
      <x:c r="BJ567" s="121"/>
    </x:row>
    <x:row r="568" ht="15.75" customHeight="1">
      <x:c r="N568" s="120"/>
      <x:c r="P568" s="120"/>
      <x:c r="Q568" s="121"/>
      <x:c r="S568" s="120"/>
      <x:c r="U568" s="120"/>
      <x:c r="V568" s="121"/>
      <x:c r="W568" s="122"/>
      <x:c r="X568" s="120"/>
      <x:c r="Y568" s="122"/>
      <x:c r="Z568" s="120"/>
      <x:c r="AA568" s="121"/>
      <x:c r="AB568" s="122"/>
      <x:c r="AC568" s="120"/>
      <x:c r="AD568" s="122"/>
      <x:c r="AE568" s="120"/>
      <x:c r="AF568" s="121"/>
      <x:c r="AG568" s="122"/>
      <x:c r="AH568" s="120"/>
      <x:c r="AI568" s="122"/>
      <x:c r="AJ568" s="120"/>
      <x:c r="AK568" s="121"/>
      <x:c r="AL568" s="122"/>
      <x:c r="AM568" s="120"/>
      <x:c r="AN568" s="122"/>
      <x:c r="AO568" s="120"/>
      <x:c r="AP568" s="121"/>
      <x:c r="AQ568" s="122"/>
      <x:c r="AR568" s="120"/>
      <x:c r="AS568" s="122"/>
      <x:c r="AT568" s="120"/>
      <x:c r="AU568" s="121"/>
      <x:c r="AV568" s="122"/>
      <x:c r="AW568" s="120"/>
      <x:c r="AX568" s="122"/>
      <x:c r="AY568" s="120"/>
      <x:c r="AZ568" s="121"/>
      <x:c r="BA568" s="122"/>
      <x:c r="BB568" s="120"/>
      <x:c r="BC568" s="122"/>
      <x:c r="BD568" s="120"/>
      <x:c r="BE568" s="121"/>
      <x:c r="BF568" s="122"/>
      <x:c r="BG568" s="120"/>
      <x:c r="BH568" s="122"/>
      <x:c r="BI568" s="120"/>
      <x:c r="BJ568" s="121"/>
    </x:row>
    <x:row r="569" ht="15.75" customHeight="1">
      <x:c r="N569" s="120"/>
      <x:c r="P569" s="120"/>
      <x:c r="Q569" s="121"/>
      <x:c r="S569" s="120"/>
      <x:c r="U569" s="120"/>
      <x:c r="V569" s="121"/>
      <x:c r="W569" s="122"/>
      <x:c r="X569" s="120"/>
      <x:c r="Y569" s="122"/>
      <x:c r="Z569" s="120"/>
      <x:c r="AA569" s="121"/>
      <x:c r="AB569" s="122"/>
      <x:c r="AC569" s="120"/>
      <x:c r="AD569" s="122"/>
      <x:c r="AE569" s="120"/>
      <x:c r="AF569" s="121"/>
      <x:c r="AG569" s="122"/>
      <x:c r="AH569" s="120"/>
      <x:c r="AI569" s="122"/>
      <x:c r="AJ569" s="120"/>
      <x:c r="AK569" s="121"/>
      <x:c r="AL569" s="122"/>
      <x:c r="AM569" s="120"/>
      <x:c r="AN569" s="122"/>
      <x:c r="AO569" s="120"/>
      <x:c r="AP569" s="121"/>
      <x:c r="AQ569" s="122"/>
      <x:c r="AR569" s="120"/>
      <x:c r="AS569" s="122"/>
      <x:c r="AT569" s="120"/>
      <x:c r="AU569" s="121"/>
      <x:c r="AV569" s="122"/>
      <x:c r="AW569" s="120"/>
      <x:c r="AX569" s="122"/>
      <x:c r="AY569" s="120"/>
      <x:c r="AZ569" s="121"/>
      <x:c r="BA569" s="122"/>
      <x:c r="BB569" s="120"/>
      <x:c r="BC569" s="122"/>
      <x:c r="BD569" s="120"/>
      <x:c r="BE569" s="121"/>
      <x:c r="BF569" s="122"/>
      <x:c r="BG569" s="120"/>
      <x:c r="BH569" s="122"/>
      <x:c r="BI569" s="120"/>
      <x:c r="BJ569" s="121"/>
    </x:row>
    <x:row r="570" ht="15.75" customHeight="1">
      <x:c r="N570" s="120"/>
      <x:c r="P570" s="120"/>
      <x:c r="Q570" s="121"/>
      <x:c r="S570" s="120"/>
      <x:c r="U570" s="120"/>
      <x:c r="V570" s="121"/>
      <x:c r="W570" s="122"/>
      <x:c r="X570" s="120"/>
      <x:c r="Y570" s="122"/>
      <x:c r="Z570" s="120"/>
      <x:c r="AA570" s="121"/>
      <x:c r="AB570" s="122"/>
      <x:c r="AC570" s="120"/>
      <x:c r="AD570" s="122"/>
      <x:c r="AE570" s="120"/>
      <x:c r="AF570" s="121"/>
      <x:c r="AG570" s="122"/>
      <x:c r="AH570" s="120"/>
      <x:c r="AI570" s="122"/>
      <x:c r="AJ570" s="120"/>
      <x:c r="AK570" s="121"/>
      <x:c r="AL570" s="122"/>
      <x:c r="AM570" s="120"/>
      <x:c r="AN570" s="122"/>
      <x:c r="AO570" s="120"/>
      <x:c r="AP570" s="121"/>
      <x:c r="AQ570" s="122"/>
      <x:c r="AR570" s="120"/>
      <x:c r="AS570" s="122"/>
      <x:c r="AT570" s="120"/>
      <x:c r="AU570" s="121"/>
      <x:c r="AV570" s="122"/>
      <x:c r="AW570" s="120"/>
      <x:c r="AX570" s="122"/>
      <x:c r="AY570" s="120"/>
      <x:c r="AZ570" s="121"/>
      <x:c r="BA570" s="122"/>
      <x:c r="BB570" s="120"/>
      <x:c r="BC570" s="122"/>
      <x:c r="BD570" s="120"/>
      <x:c r="BE570" s="121"/>
      <x:c r="BF570" s="122"/>
      <x:c r="BG570" s="120"/>
      <x:c r="BH570" s="122"/>
      <x:c r="BI570" s="120"/>
      <x:c r="BJ570" s="121"/>
    </x:row>
    <x:row r="571" ht="15.75" customHeight="1">
      <x:c r="N571" s="120"/>
      <x:c r="P571" s="120"/>
      <x:c r="Q571" s="121"/>
      <x:c r="S571" s="120"/>
      <x:c r="U571" s="120"/>
      <x:c r="V571" s="121"/>
      <x:c r="W571" s="122"/>
      <x:c r="X571" s="120"/>
      <x:c r="Y571" s="122"/>
      <x:c r="Z571" s="120"/>
      <x:c r="AA571" s="121"/>
      <x:c r="AB571" s="122"/>
      <x:c r="AC571" s="120"/>
      <x:c r="AD571" s="122"/>
      <x:c r="AE571" s="120"/>
      <x:c r="AF571" s="121"/>
      <x:c r="AG571" s="122"/>
      <x:c r="AH571" s="120"/>
      <x:c r="AI571" s="122"/>
      <x:c r="AJ571" s="120"/>
      <x:c r="AK571" s="121"/>
      <x:c r="AL571" s="122"/>
      <x:c r="AM571" s="120"/>
      <x:c r="AN571" s="122"/>
      <x:c r="AO571" s="120"/>
      <x:c r="AP571" s="121"/>
      <x:c r="AQ571" s="122"/>
      <x:c r="AR571" s="120"/>
      <x:c r="AS571" s="122"/>
      <x:c r="AT571" s="120"/>
      <x:c r="AU571" s="121"/>
      <x:c r="AV571" s="122"/>
      <x:c r="AW571" s="120"/>
      <x:c r="AX571" s="122"/>
      <x:c r="AY571" s="120"/>
      <x:c r="AZ571" s="121"/>
      <x:c r="BA571" s="122"/>
      <x:c r="BB571" s="120"/>
      <x:c r="BC571" s="122"/>
      <x:c r="BD571" s="120"/>
      <x:c r="BE571" s="121"/>
      <x:c r="BF571" s="122"/>
      <x:c r="BG571" s="120"/>
      <x:c r="BH571" s="122"/>
      <x:c r="BI571" s="120"/>
      <x:c r="BJ571" s="121"/>
    </x:row>
    <x:row r="572" ht="15.75" customHeight="1">
      <x:c r="N572" s="120"/>
      <x:c r="P572" s="120"/>
      <x:c r="Q572" s="121"/>
      <x:c r="S572" s="120"/>
      <x:c r="U572" s="120"/>
      <x:c r="V572" s="121"/>
      <x:c r="W572" s="122"/>
      <x:c r="X572" s="120"/>
      <x:c r="Y572" s="122"/>
      <x:c r="Z572" s="120"/>
      <x:c r="AA572" s="121"/>
      <x:c r="AB572" s="122"/>
      <x:c r="AC572" s="120"/>
      <x:c r="AD572" s="122"/>
      <x:c r="AE572" s="120"/>
      <x:c r="AF572" s="121"/>
      <x:c r="AG572" s="122"/>
      <x:c r="AH572" s="120"/>
      <x:c r="AI572" s="122"/>
      <x:c r="AJ572" s="120"/>
      <x:c r="AK572" s="121"/>
      <x:c r="AL572" s="122"/>
      <x:c r="AM572" s="120"/>
      <x:c r="AN572" s="122"/>
      <x:c r="AO572" s="120"/>
      <x:c r="AP572" s="121"/>
      <x:c r="AQ572" s="122"/>
      <x:c r="AR572" s="120"/>
      <x:c r="AS572" s="122"/>
      <x:c r="AT572" s="120"/>
      <x:c r="AU572" s="121"/>
      <x:c r="AV572" s="122"/>
      <x:c r="AW572" s="120"/>
      <x:c r="AX572" s="122"/>
      <x:c r="AY572" s="120"/>
      <x:c r="AZ572" s="121"/>
      <x:c r="BA572" s="122"/>
      <x:c r="BB572" s="120"/>
      <x:c r="BC572" s="122"/>
      <x:c r="BD572" s="120"/>
      <x:c r="BE572" s="121"/>
      <x:c r="BF572" s="122"/>
      <x:c r="BG572" s="120"/>
      <x:c r="BH572" s="122"/>
      <x:c r="BI572" s="120"/>
      <x:c r="BJ572" s="121"/>
    </x:row>
    <x:row r="573" ht="15.75" customHeight="1">
      <x:c r="N573" s="120"/>
      <x:c r="P573" s="120"/>
      <x:c r="Q573" s="121"/>
      <x:c r="S573" s="120"/>
      <x:c r="U573" s="120"/>
      <x:c r="V573" s="121"/>
      <x:c r="W573" s="122"/>
      <x:c r="X573" s="120"/>
      <x:c r="Y573" s="122"/>
      <x:c r="Z573" s="120"/>
      <x:c r="AA573" s="121"/>
      <x:c r="AB573" s="122"/>
      <x:c r="AC573" s="120"/>
      <x:c r="AD573" s="122"/>
      <x:c r="AE573" s="120"/>
      <x:c r="AF573" s="121"/>
      <x:c r="AG573" s="122"/>
      <x:c r="AH573" s="120"/>
      <x:c r="AI573" s="122"/>
      <x:c r="AJ573" s="120"/>
      <x:c r="AK573" s="121"/>
      <x:c r="AL573" s="122"/>
      <x:c r="AM573" s="120"/>
      <x:c r="AN573" s="122"/>
      <x:c r="AO573" s="120"/>
      <x:c r="AP573" s="121"/>
      <x:c r="AQ573" s="122"/>
      <x:c r="AR573" s="120"/>
      <x:c r="AS573" s="122"/>
      <x:c r="AT573" s="120"/>
      <x:c r="AU573" s="121"/>
      <x:c r="AV573" s="122"/>
      <x:c r="AW573" s="120"/>
      <x:c r="AX573" s="122"/>
      <x:c r="AY573" s="120"/>
      <x:c r="AZ573" s="121"/>
      <x:c r="BA573" s="122"/>
      <x:c r="BB573" s="120"/>
      <x:c r="BC573" s="122"/>
      <x:c r="BD573" s="120"/>
      <x:c r="BE573" s="121"/>
      <x:c r="BF573" s="122"/>
      <x:c r="BG573" s="120"/>
      <x:c r="BH573" s="122"/>
      <x:c r="BI573" s="120"/>
      <x:c r="BJ573" s="121"/>
    </x:row>
    <x:row r="574" ht="15.75" customHeight="1">
      <x:c r="N574" s="120"/>
      <x:c r="P574" s="120"/>
      <x:c r="Q574" s="121"/>
      <x:c r="S574" s="120"/>
      <x:c r="U574" s="120"/>
      <x:c r="V574" s="121"/>
      <x:c r="W574" s="122"/>
      <x:c r="X574" s="120"/>
      <x:c r="Y574" s="122"/>
      <x:c r="Z574" s="120"/>
      <x:c r="AA574" s="121"/>
      <x:c r="AB574" s="122"/>
      <x:c r="AC574" s="120"/>
      <x:c r="AD574" s="122"/>
      <x:c r="AE574" s="120"/>
      <x:c r="AF574" s="121"/>
      <x:c r="AG574" s="122"/>
      <x:c r="AH574" s="120"/>
      <x:c r="AI574" s="122"/>
      <x:c r="AJ574" s="120"/>
      <x:c r="AK574" s="121"/>
      <x:c r="AL574" s="122"/>
      <x:c r="AM574" s="120"/>
      <x:c r="AN574" s="122"/>
      <x:c r="AO574" s="120"/>
      <x:c r="AP574" s="121"/>
      <x:c r="AQ574" s="122"/>
      <x:c r="AR574" s="120"/>
      <x:c r="AS574" s="122"/>
      <x:c r="AT574" s="120"/>
      <x:c r="AU574" s="121"/>
      <x:c r="AV574" s="122"/>
      <x:c r="AW574" s="120"/>
      <x:c r="AX574" s="122"/>
      <x:c r="AY574" s="120"/>
      <x:c r="AZ574" s="121"/>
      <x:c r="BA574" s="122"/>
      <x:c r="BB574" s="120"/>
      <x:c r="BC574" s="122"/>
      <x:c r="BD574" s="120"/>
      <x:c r="BE574" s="121"/>
      <x:c r="BF574" s="122"/>
      <x:c r="BG574" s="120"/>
      <x:c r="BH574" s="122"/>
      <x:c r="BI574" s="120"/>
      <x:c r="BJ574" s="121"/>
    </x:row>
    <x:row r="575" ht="15.75" customHeight="1">
      <x:c r="N575" s="120"/>
      <x:c r="P575" s="120"/>
      <x:c r="Q575" s="121"/>
      <x:c r="S575" s="120"/>
      <x:c r="U575" s="120"/>
      <x:c r="V575" s="121"/>
      <x:c r="W575" s="122"/>
      <x:c r="X575" s="120"/>
      <x:c r="Y575" s="122"/>
      <x:c r="Z575" s="120"/>
      <x:c r="AA575" s="121"/>
      <x:c r="AB575" s="122"/>
      <x:c r="AC575" s="120"/>
      <x:c r="AD575" s="122"/>
      <x:c r="AE575" s="120"/>
      <x:c r="AF575" s="121"/>
      <x:c r="AG575" s="122"/>
      <x:c r="AH575" s="120"/>
      <x:c r="AI575" s="122"/>
      <x:c r="AJ575" s="120"/>
      <x:c r="AK575" s="121"/>
      <x:c r="AL575" s="122"/>
      <x:c r="AM575" s="120"/>
      <x:c r="AN575" s="122"/>
      <x:c r="AO575" s="120"/>
      <x:c r="AP575" s="121"/>
      <x:c r="AQ575" s="122"/>
      <x:c r="AR575" s="120"/>
      <x:c r="AS575" s="122"/>
      <x:c r="AT575" s="120"/>
      <x:c r="AU575" s="121"/>
      <x:c r="AV575" s="122"/>
      <x:c r="AW575" s="120"/>
      <x:c r="AX575" s="122"/>
      <x:c r="AY575" s="120"/>
      <x:c r="AZ575" s="121"/>
      <x:c r="BA575" s="122"/>
      <x:c r="BB575" s="120"/>
      <x:c r="BC575" s="122"/>
      <x:c r="BD575" s="120"/>
      <x:c r="BE575" s="121"/>
      <x:c r="BF575" s="122"/>
      <x:c r="BG575" s="120"/>
      <x:c r="BH575" s="122"/>
      <x:c r="BI575" s="120"/>
      <x:c r="BJ575" s="121"/>
    </x:row>
    <x:row r="576" ht="15.75" customHeight="1">
      <x:c r="N576" s="120"/>
      <x:c r="P576" s="120"/>
      <x:c r="Q576" s="121"/>
      <x:c r="S576" s="120"/>
      <x:c r="U576" s="120"/>
      <x:c r="V576" s="121"/>
      <x:c r="W576" s="122"/>
      <x:c r="X576" s="120"/>
      <x:c r="Y576" s="122"/>
      <x:c r="Z576" s="120"/>
      <x:c r="AA576" s="121"/>
      <x:c r="AB576" s="122"/>
      <x:c r="AC576" s="120"/>
      <x:c r="AD576" s="122"/>
      <x:c r="AE576" s="120"/>
      <x:c r="AF576" s="121"/>
      <x:c r="AG576" s="122"/>
      <x:c r="AH576" s="120"/>
      <x:c r="AI576" s="122"/>
      <x:c r="AJ576" s="120"/>
      <x:c r="AK576" s="121"/>
      <x:c r="AL576" s="122"/>
      <x:c r="AM576" s="120"/>
      <x:c r="AN576" s="122"/>
      <x:c r="AO576" s="120"/>
      <x:c r="AP576" s="121"/>
      <x:c r="AQ576" s="122"/>
      <x:c r="AR576" s="120"/>
      <x:c r="AS576" s="122"/>
      <x:c r="AT576" s="120"/>
      <x:c r="AU576" s="121"/>
      <x:c r="AV576" s="122"/>
      <x:c r="AW576" s="120"/>
      <x:c r="AX576" s="122"/>
      <x:c r="AY576" s="120"/>
      <x:c r="AZ576" s="121"/>
      <x:c r="BA576" s="122"/>
      <x:c r="BB576" s="120"/>
      <x:c r="BC576" s="122"/>
      <x:c r="BD576" s="120"/>
      <x:c r="BE576" s="121"/>
      <x:c r="BF576" s="122"/>
      <x:c r="BG576" s="120"/>
      <x:c r="BH576" s="122"/>
      <x:c r="BI576" s="120"/>
      <x:c r="BJ576" s="121"/>
    </x:row>
    <x:row r="577" ht="15.75" customHeight="1">
      <x:c r="N577" s="120"/>
      <x:c r="P577" s="120"/>
      <x:c r="Q577" s="121"/>
      <x:c r="S577" s="120"/>
      <x:c r="U577" s="120"/>
      <x:c r="V577" s="121"/>
      <x:c r="W577" s="122"/>
      <x:c r="X577" s="120"/>
      <x:c r="Y577" s="122"/>
      <x:c r="Z577" s="120"/>
      <x:c r="AA577" s="121"/>
      <x:c r="AB577" s="122"/>
      <x:c r="AC577" s="120"/>
      <x:c r="AD577" s="122"/>
      <x:c r="AE577" s="120"/>
      <x:c r="AF577" s="121"/>
      <x:c r="AG577" s="122"/>
      <x:c r="AH577" s="120"/>
      <x:c r="AI577" s="122"/>
      <x:c r="AJ577" s="120"/>
      <x:c r="AK577" s="121"/>
      <x:c r="AL577" s="122"/>
      <x:c r="AM577" s="120"/>
      <x:c r="AN577" s="122"/>
      <x:c r="AO577" s="120"/>
      <x:c r="AP577" s="121"/>
      <x:c r="AQ577" s="122"/>
      <x:c r="AR577" s="120"/>
      <x:c r="AS577" s="122"/>
      <x:c r="AT577" s="120"/>
      <x:c r="AU577" s="121"/>
      <x:c r="AV577" s="122"/>
      <x:c r="AW577" s="120"/>
      <x:c r="AX577" s="122"/>
      <x:c r="AY577" s="120"/>
      <x:c r="AZ577" s="121"/>
      <x:c r="BA577" s="122"/>
      <x:c r="BB577" s="120"/>
      <x:c r="BC577" s="122"/>
      <x:c r="BD577" s="120"/>
      <x:c r="BE577" s="121"/>
      <x:c r="BF577" s="122"/>
      <x:c r="BG577" s="120"/>
      <x:c r="BH577" s="122"/>
      <x:c r="BI577" s="120"/>
      <x:c r="BJ577" s="121"/>
    </x:row>
    <x:row r="578" ht="15.75" customHeight="1">
      <x:c r="N578" s="120"/>
      <x:c r="P578" s="120"/>
      <x:c r="Q578" s="121"/>
      <x:c r="S578" s="120"/>
      <x:c r="U578" s="120"/>
      <x:c r="V578" s="121"/>
      <x:c r="W578" s="122"/>
      <x:c r="X578" s="120"/>
      <x:c r="Y578" s="122"/>
      <x:c r="Z578" s="120"/>
      <x:c r="AA578" s="121"/>
      <x:c r="AB578" s="122"/>
      <x:c r="AC578" s="120"/>
      <x:c r="AD578" s="122"/>
      <x:c r="AE578" s="120"/>
      <x:c r="AF578" s="121"/>
      <x:c r="AG578" s="122"/>
      <x:c r="AH578" s="120"/>
      <x:c r="AI578" s="122"/>
      <x:c r="AJ578" s="120"/>
      <x:c r="AK578" s="121"/>
      <x:c r="AL578" s="122"/>
      <x:c r="AM578" s="120"/>
      <x:c r="AN578" s="122"/>
      <x:c r="AO578" s="120"/>
      <x:c r="AP578" s="121"/>
      <x:c r="AQ578" s="122"/>
      <x:c r="AR578" s="120"/>
      <x:c r="AS578" s="122"/>
      <x:c r="AT578" s="120"/>
      <x:c r="AU578" s="121"/>
      <x:c r="AV578" s="122"/>
      <x:c r="AW578" s="120"/>
      <x:c r="AX578" s="122"/>
      <x:c r="AY578" s="120"/>
      <x:c r="AZ578" s="121"/>
      <x:c r="BA578" s="122"/>
      <x:c r="BB578" s="120"/>
      <x:c r="BC578" s="122"/>
      <x:c r="BD578" s="120"/>
      <x:c r="BE578" s="121"/>
      <x:c r="BF578" s="122"/>
      <x:c r="BG578" s="120"/>
      <x:c r="BH578" s="122"/>
      <x:c r="BI578" s="120"/>
      <x:c r="BJ578" s="121"/>
    </x:row>
    <x:row r="579" ht="15.75" customHeight="1">
      <x:c r="N579" s="120"/>
      <x:c r="P579" s="120"/>
      <x:c r="Q579" s="121"/>
      <x:c r="S579" s="120"/>
      <x:c r="U579" s="120"/>
      <x:c r="V579" s="121"/>
      <x:c r="W579" s="122"/>
      <x:c r="X579" s="120"/>
      <x:c r="Y579" s="122"/>
      <x:c r="Z579" s="120"/>
      <x:c r="AA579" s="121"/>
      <x:c r="AB579" s="122"/>
      <x:c r="AC579" s="120"/>
      <x:c r="AD579" s="122"/>
      <x:c r="AE579" s="120"/>
      <x:c r="AF579" s="121"/>
      <x:c r="AG579" s="122"/>
      <x:c r="AH579" s="120"/>
      <x:c r="AI579" s="122"/>
      <x:c r="AJ579" s="120"/>
      <x:c r="AK579" s="121"/>
      <x:c r="AL579" s="122"/>
      <x:c r="AM579" s="120"/>
      <x:c r="AN579" s="122"/>
      <x:c r="AO579" s="120"/>
      <x:c r="AP579" s="121"/>
      <x:c r="AQ579" s="122"/>
      <x:c r="AR579" s="120"/>
      <x:c r="AS579" s="122"/>
      <x:c r="AT579" s="120"/>
      <x:c r="AU579" s="121"/>
      <x:c r="AV579" s="122"/>
      <x:c r="AW579" s="120"/>
      <x:c r="AX579" s="122"/>
      <x:c r="AY579" s="120"/>
      <x:c r="AZ579" s="121"/>
      <x:c r="BA579" s="122"/>
      <x:c r="BB579" s="120"/>
      <x:c r="BC579" s="122"/>
      <x:c r="BD579" s="120"/>
      <x:c r="BE579" s="121"/>
      <x:c r="BF579" s="122"/>
      <x:c r="BG579" s="120"/>
      <x:c r="BH579" s="122"/>
      <x:c r="BI579" s="120"/>
      <x:c r="BJ579" s="121"/>
    </x:row>
    <x:row r="580" ht="15.75" customHeight="1">
      <x:c r="N580" s="120"/>
      <x:c r="P580" s="120"/>
      <x:c r="Q580" s="121"/>
      <x:c r="S580" s="120"/>
      <x:c r="U580" s="120"/>
      <x:c r="V580" s="121"/>
      <x:c r="W580" s="122"/>
      <x:c r="X580" s="120"/>
      <x:c r="Y580" s="122"/>
      <x:c r="Z580" s="120"/>
      <x:c r="AA580" s="121"/>
      <x:c r="AB580" s="122"/>
      <x:c r="AC580" s="120"/>
      <x:c r="AD580" s="122"/>
      <x:c r="AE580" s="120"/>
      <x:c r="AF580" s="121"/>
      <x:c r="AG580" s="122"/>
      <x:c r="AH580" s="120"/>
      <x:c r="AI580" s="122"/>
      <x:c r="AJ580" s="120"/>
      <x:c r="AK580" s="121"/>
      <x:c r="AL580" s="122"/>
      <x:c r="AM580" s="120"/>
      <x:c r="AN580" s="122"/>
      <x:c r="AO580" s="120"/>
      <x:c r="AP580" s="121"/>
      <x:c r="AQ580" s="122"/>
      <x:c r="AR580" s="120"/>
      <x:c r="AS580" s="122"/>
      <x:c r="AT580" s="120"/>
      <x:c r="AU580" s="121"/>
      <x:c r="AV580" s="122"/>
      <x:c r="AW580" s="120"/>
      <x:c r="AX580" s="122"/>
      <x:c r="AY580" s="120"/>
      <x:c r="AZ580" s="121"/>
      <x:c r="BA580" s="122"/>
      <x:c r="BB580" s="120"/>
      <x:c r="BC580" s="122"/>
      <x:c r="BD580" s="120"/>
      <x:c r="BE580" s="121"/>
      <x:c r="BF580" s="122"/>
      <x:c r="BG580" s="120"/>
      <x:c r="BH580" s="122"/>
      <x:c r="BI580" s="120"/>
      <x:c r="BJ580" s="121"/>
    </x:row>
    <x:row r="581" ht="15.75" customHeight="1">
      <x:c r="N581" s="120"/>
      <x:c r="P581" s="120"/>
      <x:c r="Q581" s="121"/>
      <x:c r="S581" s="120"/>
      <x:c r="U581" s="120"/>
      <x:c r="V581" s="121"/>
      <x:c r="W581" s="122"/>
      <x:c r="X581" s="120"/>
      <x:c r="Y581" s="122"/>
      <x:c r="Z581" s="120"/>
      <x:c r="AA581" s="121"/>
      <x:c r="AB581" s="122"/>
      <x:c r="AC581" s="120"/>
      <x:c r="AD581" s="122"/>
      <x:c r="AE581" s="120"/>
      <x:c r="AF581" s="121"/>
      <x:c r="AG581" s="122"/>
      <x:c r="AH581" s="120"/>
      <x:c r="AI581" s="122"/>
      <x:c r="AJ581" s="120"/>
      <x:c r="AK581" s="121"/>
      <x:c r="AL581" s="122"/>
      <x:c r="AM581" s="120"/>
      <x:c r="AN581" s="122"/>
      <x:c r="AO581" s="120"/>
      <x:c r="AP581" s="121"/>
      <x:c r="AQ581" s="122"/>
      <x:c r="AR581" s="120"/>
      <x:c r="AS581" s="122"/>
      <x:c r="AT581" s="120"/>
      <x:c r="AU581" s="121"/>
      <x:c r="AV581" s="122"/>
      <x:c r="AW581" s="120"/>
      <x:c r="AX581" s="122"/>
      <x:c r="AY581" s="120"/>
      <x:c r="AZ581" s="121"/>
      <x:c r="BA581" s="122"/>
      <x:c r="BB581" s="120"/>
      <x:c r="BC581" s="122"/>
      <x:c r="BD581" s="120"/>
      <x:c r="BE581" s="121"/>
      <x:c r="BF581" s="122"/>
      <x:c r="BG581" s="120"/>
      <x:c r="BH581" s="122"/>
      <x:c r="BI581" s="120"/>
      <x:c r="BJ581" s="121"/>
    </x:row>
    <x:row r="582" ht="15.75" customHeight="1">
      <x:c r="N582" s="120"/>
      <x:c r="P582" s="120"/>
      <x:c r="Q582" s="121"/>
      <x:c r="S582" s="120"/>
      <x:c r="U582" s="120"/>
      <x:c r="V582" s="121"/>
      <x:c r="W582" s="122"/>
      <x:c r="X582" s="120"/>
      <x:c r="Y582" s="122"/>
      <x:c r="Z582" s="120"/>
      <x:c r="AA582" s="121"/>
      <x:c r="AB582" s="122"/>
      <x:c r="AC582" s="120"/>
      <x:c r="AD582" s="122"/>
      <x:c r="AE582" s="120"/>
      <x:c r="AF582" s="121"/>
      <x:c r="AG582" s="122"/>
      <x:c r="AH582" s="120"/>
      <x:c r="AI582" s="122"/>
      <x:c r="AJ582" s="120"/>
      <x:c r="AK582" s="121"/>
      <x:c r="AL582" s="122"/>
      <x:c r="AM582" s="120"/>
      <x:c r="AN582" s="122"/>
      <x:c r="AO582" s="120"/>
      <x:c r="AP582" s="121"/>
      <x:c r="AQ582" s="122"/>
      <x:c r="AR582" s="120"/>
      <x:c r="AS582" s="122"/>
      <x:c r="AT582" s="120"/>
      <x:c r="AU582" s="121"/>
      <x:c r="AV582" s="122"/>
      <x:c r="AW582" s="120"/>
      <x:c r="AX582" s="122"/>
      <x:c r="AY582" s="120"/>
      <x:c r="AZ582" s="121"/>
      <x:c r="BA582" s="122"/>
      <x:c r="BB582" s="120"/>
      <x:c r="BC582" s="122"/>
      <x:c r="BD582" s="120"/>
      <x:c r="BE582" s="121"/>
      <x:c r="BF582" s="122"/>
      <x:c r="BG582" s="120"/>
      <x:c r="BH582" s="122"/>
      <x:c r="BI582" s="120"/>
      <x:c r="BJ582" s="121"/>
    </x:row>
    <x:row r="583" ht="15.75" customHeight="1">
      <x:c r="N583" s="120"/>
      <x:c r="P583" s="120"/>
      <x:c r="Q583" s="121"/>
      <x:c r="S583" s="120"/>
      <x:c r="U583" s="120"/>
      <x:c r="V583" s="121"/>
      <x:c r="W583" s="122"/>
      <x:c r="X583" s="120"/>
      <x:c r="Y583" s="122"/>
      <x:c r="Z583" s="120"/>
      <x:c r="AA583" s="121"/>
      <x:c r="AB583" s="122"/>
      <x:c r="AC583" s="120"/>
      <x:c r="AD583" s="122"/>
      <x:c r="AE583" s="120"/>
      <x:c r="AF583" s="121"/>
      <x:c r="AG583" s="122"/>
      <x:c r="AH583" s="120"/>
      <x:c r="AI583" s="122"/>
      <x:c r="AJ583" s="120"/>
      <x:c r="AK583" s="121"/>
      <x:c r="AL583" s="122"/>
      <x:c r="AM583" s="120"/>
      <x:c r="AN583" s="122"/>
      <x:c r="AO583" s="120"/>
      <x:c r="AP583" s="121"/>
      <x:c r="AQ583" s="122"/>
      <x:c r="AR583" s="120"/>
      <x:c r="AS583" s="122"/>
      <x:c r="AT583" s="120"/>
      <x:c r="AU583" s="121"/>
      <x:c r="AV583" s="122"/>
      <x:c r="AW583" s="120"/>
      <x:c r="AX583" s="122"/>
      <x:c r="AY583" s="120"/>
      <x:c r="AZ583" s="121"/>
      <x:c r="BA583" s="122"/>
      <x:c r="BB583" s="120"/>
      <x:c r="BC583" s="122"/>
      <x:c r="BD583" s="120"/>
      <x:c r="BE583" s="121"/>
      <x:c r="BF583" s="122"/>
      <x:c r="BG583" s="120"/>
      <x:c r="BH583" s="122"/>
      <x:c r="BI583" s="120"/>
      <x:c r="BJ583" s="121"/>
    </x:row>
    <x:row r="584" ht="15.75" customHeight="1">
      <x:c r="N584" s="120"/>
      <x:c r="P584" s="120"/>
      <x:c r="Q584" s="121"/>
      <x:c r="S584" s="120"/>
      <x:c r="U584" s="120"/>
      <x:c r="V584" s="121"/>
      <x:c r="W584" s="122"/>
      <x:c r="X584" s="120"/>
      <x:c r="Y584" s="122"/>
      <x:c r="Z584" s="120"/>
      <x:c r="AA584" s="121"/>
      <x:c r="AB584" s="122"/>
      <x:c r="AC584" s="120"/>
      <x:c r="AD584" s="122"/>
      <x:c r="AE584" s="120"/>
      <x:c r="AF584" s="121"/>
      <x:c r="AG584" s="122"/>
      <x:c r="AH584" s="120"/>
      <x:c r="AI584" s="122"/>
      <x:c r="AJ584" s="120"/>
      <x:c r="AK584" s="121"/>
      <x:c r="AL584" s="122"/>
      <x:c r="AM584" s="120"/>
      <x:c r="AN584" s="122"/>
      <x:c r="AO584" s="120"/>
      <x:c r="AP584" s="121"/>
      <x:c r="AQ584" s="122"/>
      <x:c r="AR584" s="120"/>
      <x:c r="AS584" s="122"/>
      <x:c r="AT584" s="120"/>
      <x:c r="AU584" s="121"/>
      <x:c r="AV584" s="122"/>
      <x:c r="AW584" s="120"/>
      <x:c r="AX584" s="122"/>
      <x:c r="AY584" s="120"/>
      <x:c r="AZ584" s="121"/>
      <x:c r="BA584" s="122"/>
      <x:c r="BB584" s="120"/>
      <x:c r="BC584" s="122"/>
      <x:c r="BD584" s="120"/>
      <x:c r="BE584" s="121"/>
      <x:c r="BF584" s="122"/>
      <x:c r="BG584" s="120"/>
      <x:c r="BH584" s="122"/>
      <x:c r="BI584" s="120"/>
      <x:c r="BJ584" s="121"/>
    </x:row>
    <x:row r="585" ht="15.75" customHeight="1">
      <x:c r="N585" s="120"/>
      <x:c r="P585" s="120"/>
      <x:c r="Q585" s="121"/>
      <x:c r="S585" s="120"/>
      <x:c r="U585" s="120"/>
      <x:c r="V585" s="121"/>
      <x:c r="W585" s="122"/>
      <x:c r="X585" s="120"/>
      <x:c r="Y585" s="122"/>
      <x:c r="Z585" s="120"/>
      <x:c r="AA585" s="121"/>
      <x:c r="AB585" s="122"/>
      <x:c r="AC585" s="120"/>
      <x:c r="AD585" s="122"/>
      <x:c r="AE585" s="120"/>
      <x:c r="AF585" s="121"/>
      <x:c r="AG585" s="122"/>
      <x:c r="AH585" s="120"/>
      <x:c r="AI585" s="122"/>
      <x:c r="AJ585" s="120"/>
      <x:c r="AK585" s="121"/>
      <x:c r="AL585" s="122"/>
      <x:c r="AM585" s="120"/>
      <x:c r="AN585" s="122"/>
      <x:c r="AO585" s="120"/>
      <x:c r="AP585" s="121"/>
      <x:c r="AQ585" s="122"/>
      <x:c r="AR585" s="120"/>
      <x:c r="AS585" s="122"/>
      <x:c r="AT585" s="120"/>
      <x:c r="AU585" s="121"/>
      <x:c r="AV585" s="122"/>
      <x:c r="AW585" s="120"/>
      <x:c r="AX585" s="122"/>
      <x:c r="AY585" s="120"/>
      <x:c r="AZ585" s="121"/>
      <x:c r="BA585" s="122"/>
      <x:c r="BB585" s="120"/>
      <x:c r="BC585" s="122"/>
      <x:c r="BD585" s="120"/>
      <x:c r="BE585" s="121"/>
      <x:c r="BF585" s="122"/>
      <x:c r="BG585" s="120"/>
      <x:c r="BH585" s="122"/>
      <x:c r="BI585" s="120"/>
      <x:c r="BJ585" s="121"/>
    </x:row>
    <x:row r="586" ht="15.75" customHeight="1">
      <x:c r="N586" s="120"/>
      <x:c r="P586" s="120"/>
      <x:c r="Q586" s="121"/>
      <x:c r="S586" s="120"/>
      <x:c r="U586" s="120"/>
      <x:c r="V586" s="121"/>
      <x:c r="W586" s="122"/>
      <x:c r="X586" s="120"/>
      <x:c r="Y586" s="122"/>
      <x:c r="Z586" s="120"/>
      <x:c r="AA586" s="121"/>
      <x:c r="AB586" s="122"/>
      <x:c r="AC586" s="120"/>
      <x:c r="AD586" s="122"/>
      <x:c r="AE586" s="120"/>
      <x:c r="AF586" s="121"/>
      <x:c r="AG586" s="122"/>
      <x:c r="AH586" s="120"/>
      <x:c r="AI586" s="122"/>
      <x:c r="AJ586" s="120"/>
      <x:c r="AK586" s="121"/>
      <x:c r="AL586" s="122"/>
      <x:c r="AM586" s="120"/>
      <x:c r="AN586" s="122"/>
      <x:c r="AO586" s="120"/>
      <x:c r="AP586" s="121"/>
      <x:c r="AQ586" s="122"/>
      <x:c r="AR586" s="120"/>
      <x:c r="AS586" s="122"/>
      <x:c r="AT586" s="120"/>
      <x:c r="AU586" s="121"/>
      <x:c r="AV586" s="122"/>
      <x:c r="AW586" s="120"/>
      <x:c r="AX586" s="122"/>
      <x:c r="AY586" s="120"/>
      <x:c r="AZ586" s="121"/>
      <x:c r="BA586" s="122"/>
      <x:c r="BB586" s="120"/>
      <x:c r="BC586" s="122"/>
      <x:c r="BD586" s="120"/>
      <x:c r="BE586" s="121"/>
      <x:c r="BF586" s="122"/>
      <x:c r="BG586" s="120"/>
      <x:c r="BH586" s="122"/>
      <x:c r="BI586" s="120"/>
      <x:c r="BJ586" s="121"/>
    </x:row>
    <x:row r="587" ht="15.75" customHeight="1">
      <x:c r="N587" s="120"/>
      <x:c r="P587" s="120"/>
      <x:c r="Q587" s="121"/>
      <x:c r="S587" s="120"/>
      <x:c r="U587" s="120"/>
      <x:c r="V587" s="121"/>
      <x:c r="W587" s="122"/>
      <x:c r="X587" s="120"/>
      <x:c r="Y587" s="122"/>
      <x:c r="Z587" s="120"/>
      <x:c r="AA587" s="121"/>
      <x:c r="AB587" s="122"/>
      <x:c r="AC587" s="120"/>
      <x:c r="AD587" s="122"/>
      <x:c r="AE587" s="120"/>
      <x:c r="AF587" s="121"/>
      <x:c r="AG587" s="122"/>
      <x:c r="AH587" s="120"/>
      <x:c r="AI587" s="122"/>
      <x:c r="AJ587" s="120"/>
      <x:c r="AK587" s="121"/>
      <x:c r="AL587" s="122"/>
      <x:c r="AM587" s="120"/>
      <x:c r="AN587" s="122"/>
      <x:c r="AO587" s="120"/>
      <x:c r="AP587" s="121"/>
      <x:c r="AQ587" s="122"/>
      <x:c r="AR587" s="120"/>
      <x:c r="AS587" s="122"/>
      <x:c r="AT587" s="120"/>
      <x:c r="AU587" s="121"/>
      <x:c r="AV587" s="122"/>
      <x:c r="AW587" s="120"/>
      <x:c r="AX587" s="122"/>
      <x:c r="AY587" s="120"/>
      <x:c r="AZ587" s="121"/>
      <x:c r="BA587" s="122"/>
      <x:c r="BB587" s="120"/>
      <x:c r="BC587" s="122"/>
      <x:c r="BD587" s="120"/>
      <x:c r="BE587" s="121"/>
      <x:c r="BF587" s="122"/>
      <x:c r="BG587" s="120"/>
      <x:c r="BH587" s="122"/>
      <x:c r="BI587" s="120"/>
      <x:c r="BJ587" s="121"/>
    </x:row>
    <x:row r="588" ht="15.75" customHeight="1">
      <x:c r="N588" s="120"/>
      <x:c r="P588" s="120"/>
      <x:c r="Q588" s="121"/>
      <x:c r="S588" s="120"/>
      <x:c r="U588" s="120"/>
      <x:c r="V588" s="121"/>
      <x:c r="W588" s="122"/>
      <x:c r="X588" s="120"/>
      <x:c r="Y588" s="122"/>
      <x:c r="Z588" s="120"/>
      <x:c r="AA588" s="121"/>
      <x:c r="AB588" s="122"/>
      <x:c r="AC588" s="120"/>
      <x:c r="AD588" s="122"/>
      <x:c r="AE588" s="120"/>
      <x:c r="AF588" s="121"/>
      <x:c r="AG588" s="122"/>
      <x:c r="AH588" s="120"/>
      <x:c r="AI588" s="122"/>
      <x:c r="AJ588" s="120"/>
      <x:c r="AK588" s="121"/>
      <x:c r="AL588" s="122"/>
      <x:c r="AM588" s="120"/>
      <x:c r="AN588" s="122"/>
      <x:c r="AO588" s="120"/>
      <x:c r="AP588" s="121"/>
      <x:c r="AQ588" s="122"/>
      <x:c r="AR588" s="120"/>
      <x:c r="AS588" s="122"/>
      <x:c r="AT588" s="120"/>
      <x:c r="AU588" s="121"/>
      <x:c r="AV588" s="122"/>
      <x:c r="AW588" s="120"/>
      <x:c r="AX588" s="122"/>
      <x:c r="AY588" s="120"/>
      <x:c r="AZ588" s="121"/>
      <x:c r="BA588" s="122"/>
      <x:c r="BB588" s="120"/>
      <x:c r="BC588" s="122"/>
      <x:c r="BD588" s="120"/>
      <x:c r="BE588" s="121"/>
      <x:c r="BF588" s="122"/>
      <x:c r="BG588" s="120"/>
      <x:c r="BH588" s="122"/>
      <x:c r="BI588" s="120"/>
      <x:c r="BJ588" s="121"/>
    </x:row>
    <x:row r="589" ht="15.75" customHeight="1">
      <x:c r="N589" s="120"/>
      <x:c r="P589" s="120"/>
      <x:c r="Q589" s="121"/>
      <x:c r="S589" s="120"/>
      <x:c r="U589" s="120"/>
      <x:c r="V589" s="121"/>
      <x:c r="W589" s="122"/>
      <x:c r="X589" s="120"/>
      <x:c r="Y589" s="122"/>
      <x:c r="Z589" s="120"/>
      <x:c r="AA589" s="121"/>
      <x:c r="AB589" s="122"/>
      <x:c r="AC589" s="120"/>
      <x:c r="AD589" s="122"/>
      <x:c r="AE589" s="120"/>
      <x:c r="AF589" s="121"/>
      <x:c r="AG589" s="122"/>
      <x:c r="AH589" s="120"/>
      <x:c r="AI589" s="122"/>
      <x:c r="AJ589" s="120"/>
      <x:c r="AK589" s="121"/>
      <x:c r="AL589" s="122"/>
      <x:c r="AM589" s="120"/>
      <x:c r="AN589" s="122"/>
      <x:c r="AO589" s="120"/>
      <x:c r="AP589" s="121"/>
      <x:c r="AQ589" s="122"/>
      <x:c r="AR589" s="120"/>
      <x:c r="AS589" s="122"/>
      <x:c r="AT589" s="120"/>
      <x:c r="AU589" s="121"/>
      <x:c r="AV589" s="122"/>
      <x:c r="AW589" s="120"/>
      <x:c r="AX589" s="122"/>
      <x:c r="AY589" s="120"/>
      <x:c r="AZ589" s="121"/>
      <x:c r="BA589" s="122"/>
      <x:c r="BB589" s="120"/>
      <x:c r="BC589" s="122"/>
      <x:c r="BD589" s="120"/>
      <x:c r="BE589" s="121"/>
      <x:c r="BF589" s="122"/>
      <x:c r="BG589" s="120"/>
      <x:c r="BH589" s="122"/>
      <x:c r="BI589" s="120"/>
      <x:c r="BJ589" s="121"/>
    </x:row>
    <x:row r="590" ht="15.75" customHeight="1">
      <x:c r="N590" s="120"/>
      <x:c r="P590" s="120"/>
      <x:c r="Q590" s="121"/>
      <x:c r="S590" s="120"/>
      <x:c r="U590" s="120"/>
      <x:c r="V590" s="121"/>
      <x:c r="W590" s="122"/>
      <x:c r="X590" s="120"/>
      <x:c r="Y590" s="122"/>
      <x:c r="Z590" s="120"/>
      <x:c r="AA590" s="121"/>
      <x:c r="AB590" s="122"/>
      <x:c r="AC590" s="120"/>
      <x:c r="AD590" s="122"/>
      <x:c r="AE590" s="120"/>
      <x:c r="AF590" s="121"/>
      <x:c r="AG590" s="122"/>
      <x:c r="AH590" s="120"/>
      <x:c r="AI590" s="122"/>
      <x:c r="AJ590" s="120"/>
      <x:c r="AK590" s="121"/>
      <x:c r="AL590" s="122"/>
      <x:c r="AM590" s="120"/>
      <x:c r="AN590" s="122"/>
      <x:c r="AO590" s="120"/>
      <x:c r="AP590" s="121"/>
      <x:c r="AQ590" s="122"/>
      <x:c r="AR590" s="120"/>
      <x:c r="AS590" s="122"/>
      <x:c r="AT590" s="120"/>
      <x:c r="AU590" s="121"/>
      <x:c r="AV590" s="122"/>
      <x:c r="AW590" s="120"/>
      <x:c r="AX590" s="122"/>
      <x:c r="AY590" s="120"/>
      <x:c r="AZ590" s="121"/>
      <x:c r="BA590" s="122"/>
      <x:c r="BB590" s="120"/>
      <x:c r="BC590" s="122"/>
      <x:c r="BD590" s="120"/>
      <x:c r="BE590" s="121"/>
      <x:c r="BF590" s="122"/>
      <x:c r="BG590" s="120"/>
      <x:c r="BH590" s="122"/>
      <x:c r="BI590" s="120"/>
      <x:c r="BJ590" s="121"/>
    </x:row>
    <x:row r="591" ht="15.75" customHeight="1">
      <x:c r="N591" s="120"/>
      <x:c r="P591" s="120"/>
      <x:c r="Q591" s="121"/>
      <x:c r="S591" s="120"/>
      <x:c r="U591" s="120"/>
      <x:c r="V591" s="121"/>
      <x:c r="W591" s="122"/>
      <x:c r="X591" s="120"/>
      <x:c r="Y591" s="122"/>
      <x:c r="Z591" s="120"/>
      <x:c r="AA591" s="121"/>
      <x:c r="AB591" s="122"/>
      <x:c r="AC591" s="120"/>
      <x:c r="AD591" s="122"/>
      <x:c r="AE591" s="120"/>
      <x:c r="AF591" s="121"/>
      <x:c r="AG591" s="122"/>
      <x:c r="AH591" s="120"/>
      <x:c r="AI591" s="122"/>
      <x:c r="AJ591" s="120"/>
      <x:c r="AK591" s="121"/>
      <x:c r="AL591" s="122"/>
      <x:c r="AM591" s="120"/>
      <x:c r="AN591" s="122"/>
      <x:c r="AO591" s="120"/>
      <x:c r="AP591" s="121"/>
      <x:c r="AQ591" s="122"/>
      <x:c r="AR591" s="120"/>
      <x:c r="AS591" s="122"/>
      <x:c r="AT591" s="120"/>
      <x:c r="AU591" s="121"/>
      <x:c r="AV591" s="122"/>
      <x:c r="AW591" s="120"/>
      <x:c r="AX591" s="122"/>
      <x:c r="AY591" s="120"/>
      <x:c r="AZ591" s="121"/>
      <x:c r="BA591" s="122"/>
      <x:c r="BB591" s="120"/>
      <x:c r="BC591" s="122"/>
      <x:c r="BD591" s="120"/>
      <x:c r="BE591" s="121"/>
      <x:c r="BF591" s="122"/>
      <x:c r="BG591" s="120"/>
      <x:c r="BH591" s="122"/>
      <x:c r="BI591" s="120"/>
      <x:c r="BJ591" s="121"/>
    </x:row>
    <x:row r="592" ht="15.75" customHeight="1">
      <x:c r="N592" s="120"/>
      <x:c r="P592" s="120"/>
      <x:c r="Q592" s="121"/>
      <x:c r="S592" s="120"/>
      <x:c r="U592" s="120"/>
      <x:c r="V592" s="121"/>
      <x:c r="W592" s="122"/>
      <x:c r="X592" s="120"/>
      <x:c r="Y592" s="122"/>
      <x:c r="Z592" s="120"/>
      <x:c r="AA592" s="121"/>
      <x:c r="AB592" s="122"/>
      <x:c r="AC592" s="120"/>
      <x:c r="AD592" s="122"/>
      <x:c r="AE592" s="120"/>
      <x:c r="AF592" s="121"/>
      <x:c r="AG592" s="122"/>
      <x:c r="AH592" s="120"/>
      <x:c r="AI592" s="122"/>
      <x:c r="AJ592" s="120"/>
      <x:c r="AK592" s="121"/>
      <x:c r="AL592" s="122"/>
      <x:c r="AM592" s="120"/>
      <x:c r="AN592" s="122"/>
      <x:c r="AO592" s="120"/>
      <x:c r="AP592" s="121"/>
      <x:c r="AQ592" s="122"/>
      <x:c r="AR592" s="120"/>
      <x:c r="AS592" s="122"/>
      <x:c r="AT592" s="120"/>
      <x:c r="AU592" s="121"/>
      <x:c r="AV592" s="122"/>
      <x:c r="AW592" s="120"/>
      <x:c r="AX592" s="122"/>
      <x:c r="AY592" s="120"/>
      <x:c r="AZ592" s="121"/>
      <x:c r="BA592" s="122"/>
      <x:c r="BB592" s="120"/>
      <x:c r="BC592" s="122"/>
      <x:c r="BD592" s="120"/>
      <x:c r="BE592" s="121"/>
      <x:c r="BF592" s="122"/>
      <x:c r="BG592" s="120"/>
      <x:c r="BH592" s="122"/>
      <x:c r="BI592" s="120"/>
      <x:c r="BJ592" s="121"/>
    </x:row>
    <x:row r="593" ht="15.75" customHeight="1">
      <x:c r="N593" s="120"/>
      <x:c r="P593" s="120"/>
      <x:c r="Q593" s="121"/>
      <x:c r="S593" s="120"/>
      <x:c r="U593" s="120"/>
      <x:c r="V593" s="121"/>
      <x:c r="W593" s="122"/>
      <x:c r="X593" s="120"/>
      <x:c r="Y593" s="122"/>
      <x:c r="Z593" s="120"/>
      <x:c r="AA593" s="121"/>
      <x:c r="AB593" s="122"/>
      <x:c r="AC593" s="120"/>
      <x:c r="AD593" s="122"/>
      <x:c r="AE593" s="120"/>
      <x:c r="AF593" s="121"/>
      <x:c r="AG593" s="122"/>
      <x:c r="AH593" s="120"/>
      <x:c r="AI593" s="122"/>
      <x:c r="AJ593" s="120"/>
      <x:c r="AK593" s="121"/>
      <x:c r="AL593" s="122"/>
      <x:c r="AM593" s="120"/>
      <x:c r="AN593" s="122"/>
      <x:c r="AO593" s="120"/>
      <x:c r="AP593" s="121"/>
      <x:c r="AQ593" s="122"/>
      <x:c r="AR593" s="120"/>
      <x:c r="AS593" s="122"/>
      <x:c r="AT593" s="120"/>
      <x:c r="AU593" s="121"/>
      <x:c r="AV593" s="122"/>
      <x:c r="AW593" s="120"/>
      <x:c r="AX593" s="122"/>
      <x:c r="AY593" s="120"/>
      <x:c r="AZ593" s="121"/>
      <x:c r="BA593" s="122"/>
      <x:c r="BB593" s="120"/>
      <x:c r="BC593" s="122"/>
      <x:c r="BD593" s="120"/>
      <x:c r="BE593" s="121"/>
      <x:c r="BF593" s="122"/>
      <x:c r="BG593" s="120"/>
      <x:c r="BH593" s="122"/>
      <x:c r="BI593" s="120"/>
      <x:c r="BJ593" s="121"/>
    </x:row>
    <x:row r="594" ht="15.75" customHeight="1">
      <x:c r="N594" s="120"/>
      <x:c r="P594" s="120"/>
      <x:c r="Q594" s="121"/>
      <x:c r="S594" s="120"/>
      <x:c r="U594" s="120"/>
      <x:c r="V594" s="121"/>
      <x:c r="W594" s="122"/>
      <x:c r="X594" s="120"/>
      <x:c r="Y594" s="122"/>
      <x:c r="Z594" s="120"/>
      <x:c r="AA594" s="121"/>
      <x:c r="AB594" s="122"/>
      <x:c r="AC594" s="120"/>
      <x:c r="AD594" s="122"/>
      <x:c r="AE594" s="120"/>
      <x:c r="AF594" s="121"/>
      <x:c r="AG594" s="122"/>
      <x:c r="AH594" s="120"/>
      <x:c r="AI594" s="122"/>
      <x:c r="AJ594" s="120"/>
      <x:c r="AK594" s="121"/>
      <x:c r="AL594" s="122"/>
      <x:c r="AM594" s="120"/>
      <x:c r="AN594" s="122"/>
      <x:c r="AO594" s="120"/>
      <x:c r="AP594" s="121"/>
      <x:c r="AQ594" s="122"/>
      <x:c r="AR594" s="120"/>
      <x:c r="AS594" s="122"/>
      <x:c r="AT594" s="120"/>
      <x:c r="AU594" s="121"/>
      <x:c r="AV594" s="122"/>
      <x:c r="AW594" s="120"/>
      <x:c r="AX594" s="122"/>
      <x:c r="AY594" s="120"/>
      <x:c r="AZ594" s="121"/>
      <x:c r="BA594" s="122"/>
      <x:c r="BB594" s="120"/>
      <x:c r="BC594" s="122"/>
      <x:c r="BD594" s="120"/>
      <x:c r="BE594" s="121"/>
      <x:c r="BF594" s="122"/>
      <x:c r="BG594" s="120"/>
      <x:c r="BH594" s="122"/>
      <x:c r="BI594" s="120"/>
      <x:c r="BJ594" s="121"/>
    </x:row>
    <x:row r="595" ht="15.75" customHeight="1">
      <x:c r="N595" s="120"/>
      <x:c r="P595" s="120"/>
      <x:c r="Q595" s="121"/>
      <x:c r="S595" s="120"/>
      <x:c r="U595" s="120"/>
      <x:c r="V595" s="121"/>
      <x:c r="W595" s="122"/>
      <x:c r="X595" s="120"/>
      <x:c r="Y595" s="122"/>
      <x:c r="Z595" s="120"/>
      <x:c r="AA595" s="121"/>
      <x:c r="AB595" s="122"/>
      <x:c r="AC595" s="120"/>
      <x:c r="AD595" s="122"/>
      <x:c r="AE595" s="120"/>
      <x:c r="AF595" s="121"/>
      <x:c r="AG595" s="122"/>
      <x:c r="AH595" s="120"/>
      <x:c r="AI595" s="122"/>
      <x:c r="AJ595" s="120"/>
      <x:c r="AK595" s="121"/>
      <x:c r="AL595" s="122"/>
      <x:c r="AM595" s="120"/>
      <x:c r="AN595" s="122"/>
      <x:c r="AO595" s="120"/>
      <x:c r="AP595" s="121"/>
      <x:c r="AQ595" s="122"/>
      <x:c r="AR595" s="120"/>
      <x:c r="AS595" s="122"/>
      <x:c r="AT595" s="120"/>
      <x:c r="AU595" s="121"/>
      <x:c r="AV595" s="122"/>
      <x:c r="AW595" s="120"/>
      <x:c r="AX595" s="122"/>
      <x:c r="AY595" s="120"/>
      <x:c r="AZ595" s="121"/>
      <x:c r="BA595" s="122"/>
      <x:c r="BB595" s="120"/>
      <x:c r="BC595" s="122"/>
      <x:c r="BD595" s="120"/>
      <x:c r="BE595" s="121"/>
      <x:c r="BF595" s="122"/>
      <x:c r="BG595" s="120"/>
      <x:c r="BH595" s="122"/>
      <x:c r="BI595" s="120"/>
      <x:c r="BJ595" s="121"/>
    </x:row>
    <x:row r="596" ht="15.75" customHeight="1">
      <x:c r="N596" s="120"/>
      <x:c r="P596" s="120"/>
      <x:c r="Q596" s="121"/>
      <x:c r="S596" s="120"/>
      <x:c r="U596" s="120"/>
      <x:c r="V596" s="121"/>
      <x:c r="W596" s="122"/>
      <x:c r="X596" s="120"/>
      <x:c r="Y596" s="122"/>
      <x:c r="Z596" s="120"/>
      <x:c r="AA596" s="121"/>
      <x:c r="AB596" s="122"/>
      <x:c r="AC596" s="120"/>
      <x:c r="AD596" s="122"/>
      <x:c r="AE596" s="120"/>
      <x:c r="AF596" s="121"/>
      <x:c r="AG596" s="122"/>
      <x:c r="AH596" s="120"/>
      <x:c r="AI596" s="122"/>
      <x:c r="AJ596" s="120"/>
      <x:c r="AK596" s="121"/>
      <x:c r="AL596" s="122"/>
      <x:c r="AM596" s="120"/>
      <x:c r="AN596" s="122"/>
      <x:c r="AO596" s="120"/>
      <x:c r="AP596" s="121"/>
      <x:c r="AQ596" s="122"/>
      <x:c r="AR596" s="120"/>
      <x:c r="AS596" s="122"/>
      <x:c r="AT596" s="120"/>
      <x:c r="AU596" s="121"/>
      <x:c r="AV596" s="122"/>
      <x:c r="AW596" s="120"/>
      <x:c r="AX596" s="122"/>
      <x:c r="AY596" s="120"/>
      <x:c r="AZ596" s="121"/>
      <x:c r="BA596" s="122"/>
      <x:c r="BB596" s="120"/>
      <x:c r="BC596" s="122"/>
      <x:c r="BD596" s="120"/>
      <x:c r="BE596" s="121"/>
      <x:c r="BF596" s="122"/>
      <x:c r="BG596" s="120"/>
      <x:c r="BH596" s="122"/>
      <x:c r="BI596" s="120"/>
      <x:c r="BJ596" s="121"/>
    </x:row>
    <x:row r="597" ht="15.75" customHeight="1">
      <x:c r="N597" s="120"/>
      <x:c r="P597" s="120"/>
      <x:c r="Q597" s="121"/>
      <x:c r="S597" s="120"/>
      <x:c r="U597" s="120"/>
      <x:c r="V597" s="121"/>
      <x:c r="W597" s="122"/>
      <x:c r="X597" s="120"/>
      <x:c r="Y597" s="122"/>
      <x:c r="Z597" s="120"/>
      <x:c r="AA597" s="121"/>
      <x:c r="AB597" s="122"/>
      <x:c r="AC597" s="120"/>
      <x:c r="AD597" s="122"/>
      <x:c r="AE597" s="120"/>
      <x:c r="AF597" s="121"/>
      <x:c r="AG597" s="122"/>
      <x:c r="AH597" s="120"/>
      <x:c r="AI597" s="122"/>
      <x:c r="AJ597" s="120"/>
      <x:c r="AK597" s="121"/>
      <x:c r="AL597" s="122"/>
      <x:c r="AM597" s="120"/>
      <x:c r="AN597" s="122"/>
      <x:c r="AO597" s="120"/>
      <x:c r="AP597" s="121"/>
      <x:c r="AQ597" s="122"/>
      <x:c r="AR597" s="120"/>
      <x:c r="AS597" s="122"/>
      <x:c r="AT597" s="120"/>
      <x:c r="AU597" s="121"/>
      <x:c r="AV597" s="122"/>
      <x:c r="AW597" s="120"/>
      <x:c r="AX597" s="122"/>
      <x:c r="AY597" s="120"/>
      <x:c r="AZ597" s="121"/>
      <x:c r="BA597" s="122"/>
      <x:c r="BB597" s="120"/>
      <x:c r="BC597" s="122"/>
      <x:c r="BD597" s="120"/>
      <x:c r="BE597" s="121"/>
      <x:c r="BF597" s="122"/>
      <x:c r="BG597" s="120"/>
      <x:c r="BH597" s="122"/>
      <x:c r="BI597" s="120"/>
      <x:c r="BJ597" s="121"/>
    </x:row>
    <x:row r="598" ht="15.75" customHeight="1">
      <x:c r="N598" s="120"/>
      <x:c r="P598" s="120"/>
      <x:c r="Q598" s="121"/>
      <x:c r="S598" s="120"/>
      <x:c r="U598" s="120"/>
      <x:c r="V598" s="121"/>
      <x:c r="W598" s="122"/>
      <x:c r="X598" s="120"/>
      <x:c r="Y598" s="122"/>
      <x:c r="Z598" s="120"/>
      <x:c r="AA598" s="121"/>
      <x:c r="AB598" s="122"/>
      <x:c r="AC598" s="120"/>
      <x:c r="AD598" s="122"/>
      <x:c r="AE598" s="120"/>
      <x:c r="AF598" s="121"/>
      <x:c r="AG598" s="122"/>
      <x:c r="AH598" s="120"/>
      <x:c r="AI598" s="122"/>
      <x:c r="AJ598" s="120"/>
      <x:c r="AK598" s="121"/>
      <x:c r="AL598" s="122"/>
      <x:c r="AM598" s="120"/>
      <x:c r="AN598" s="122"/>
      <x:c r="AO598" s="120"/>
      <x:c r="AP598" s="121"/>
      <x:c r="AQ598" s="122"/>
      <x:c r="AR598" s="120"/>
      <x:c r="AS598" s="122"/>
      <x:c r="AT598" s="120"/>
      <x:c r="AU598" s="121"/>
      <x:c r="AV598" s="122"/>
      <x:c r="AW598" s="120"/>
      <x:c r="AX598" s="122"/>
      <x:c r="AY598" s="120"/>
      <x:c r="AZ598" s="121"/>
      <x:c r="BA598" s="122"/>
      <x:c r="BB598" s="120"/>
      <x:c r="BC598" s="122"/>
      <x:c r="BD598" s="120"/>
      <x:c r="BE598" s="121"/>
      <x:c r="BF598" s="122"/>
      <x:c r="BG598" s="120"/>
      <x:c r="BH598" s="122"/>
      <x:c r="BI598" s="120"/>
      <x:c r="BJ598" s="121"/>
    </x:row>
    <x:row r="599" ht="15.75" customHeight="1">
      <x:c r="N599" s="120"/>
      <x:c r="P599" s="120"/>
      <x:c r="Q599" s="121"/>
      <x:c r="S599" s="120"/>
      <x:c r="U599" s="120"/>
      <x:c r="V599" s="121"/>
      <x:c r="W599" s="122"/>
      <x:c r="X599" s="120"/>
      <x:c r="Y599" s="122"/>
      <x:c r="Z599" s="120"/>
      <x:c r="AA599" s="121"/>
      <x:c r="AB599" s="122"/>
      <x:c r="AC599" s="120"/>
      <x:c r="AD599" s="122"/>
      <x:c r="AE599" s="120"/>
      <x:c r="AF599" s="121"/>
      <x:c r="AG599" s="122"/>
      <x:c r="AH599" s="120"/>
      <x:c r="AI599" s="122"/>
      <x:c r="AJ599" s="120"/>
      <x:c r="AK599" s="121"/>
      <x:c r="AL599" s="122"/>
      <x:c r="AM599" s="120"/>
      <x:c r="AN599" s="122"/>
      <x:c r="AO599" s="120"/>
      <x:c r="AP599" s="121"/>
      <x:c r="AQ599" s="122"/>
      <x:c r="AR599" s="120"/>
      <x:c r="AS599" s="122"/>
      <x:c r="AT599" s="120"/>
      <x:c r="AU599" s="121"/>
      <x:c r="AV599" s="122"/>
      <x:c r="AW599" s="120"/>
      <x:c r="AX599" s="122"/>
      <x:c r="AY599" s="120"/>
      <x:c r="AZ599" s="121"/>
      <x:c r="BA599" s="122"/>
      <x:c r="BB599" s="120"/>
      <x:c r="BC599" s="122"/>
      <x:c r="BD599" s="120"/>
      <x:c r="BE599" s="121"/>
      <x:c r="BF599" s="122"/>
      <x:c r="BG599" s="120"/>
      <x:c r="BH599" s="122"/>
      <x:c r="BI599" s="120"/>
      <x:c r="BJ599" s="121"/>
    </x:row>
    <x:row r="600" ht="15.75" customHeight="1">
      <x:c r="N600" s="120"/>
      <x:c r="P600" s="120"/>
      <x:c r="Q600" s="121"/>
      <x:c r="S600" s="120"/>
      <x:c r="U600" s="120"/>
      <x:c r="V600" s="121"/>
      <x:c r="W600" s="122"/>
      <x:c r="X600" s="120"/>
      <x:c r="Y600" s="122"/>
      <x:c r="Z600" s="120"/>
      <x:c r="AA600" s="121"/>
      <x:c r="AB600" s="122"/>
      <x:c r="AC600" s="120"/>
      <x:c r="AD600" s="122"/>
      <x:c r="AE600" s="120"/>
      <x:c r="AF600" s="121"/>
      <x:c r="AG600" s="122"/>
      <x:c r="AH600" s="120"/>
      <x:c r="AI600" s="122"/>
      <x:c r="AJ600" s="120"/>
      <x:c r="AK600" s="121"/>
      <x:c r="AL600" s="122"/>
      <x:c r="AM600" s="120"/>
      <x:c r="AN600" s="122"/>
      <x:c r="AO600" s="120"/>
      <x:c r="AP600" s="121"/>
      <x:c r="AQ600" s="122"/>
      <x:c r="AR600" s="120"/>
      <x:c r="AS600" s="122"/>
      <x:c r="AT600" s="120"/>
      <x:c r="AU600" s="121"/>
      <x:c r="AV600" s="122"/>
      <x:c r="AW600" s="120"/>
      <x:c r="AX600" s="122"/>
      <x:c r="AY600" s="120"/>
      <x:c r="AZ600" s="121"/>
      <x:c r="BA600" s="122"/>
      <x:c r="BB600" s="120"/>
      <x:c r="BC600" s="122"/>
      <x:c r="BD600" s="120"/>
      <x:c r="BE600" s="121"/>
      <x:c r="BF600" s="122"/>
      <x:c r="BG600" s="120"/>
      <x:c r="BH600" s="122"/>
      <x:c r="BI600" s="120"/>
      <x:c r="BJ600" s="121"/>
    </x:row>
    <x:row r="601" ht="15.75" customHeight="1">
      <x:c r="N601" s="120"/>
      <x:c r="P601" s="120"/>
      <x:c r="Q601" s="121"/>
      <x:c r="S601" s="120"/>
      <x:c r="U601" s="120"/>
      <x:c r="V601" s="121"/>
      <x:c r="W601" s="122"/>
      <x:c r="X601" s="120"/>
      <x:c r="Y601" s="122"/>
      <x:c r="Z601" s="120"/>
      <x:c r="AA601" s="121"/>
      <x:c r="AB601" s="122"/>
      <x:c r="AC601" s="120"/>
      <x:c r="AD601" s="122"/>
      <x:c r="AE601" s="120"/>
      <x:c r="AF601" s="121"/>
      <x:c r="AG601" s="122"/>
      <x:c r="AH601" s="120"/>
      <x:c r="AI601" s="122"/>
      <x:c r="AJ601" s="120"/>
      <x:c r="AK601" s="121"/>
      <x:c r="AL601" s="122"/>
      <x:c r="AM601" s="120"/>
      <x:c r="AN601" s="122"/>
      <x:c r="AO601" s="120"/>
      <x:c r="AP601" s="121"/>
      <x:c r="AQ601" s="122"/>
      <x:c r="AR601" s="120"/>
      <x:c r="AS601" s="122"/>
      <x:c r="AT601" s="120"/>
      <x:c r="AU601" s="121"/>
      <x:c r="AV601" s="122"/>
      <x:c r="AW601" s="120"/>
      <x:c r="AX601" s="122"/>
      <x:c r="AY601" s="120"/>
      <x:c r="AZ601" s="121"/>
      <x:c r="BA601" s="122"/>
      <x:c r="BB601" s="120"/>
      <x:c r="BC601" s="122"/>
      <x:c r="BD601" s="120"/>
      <x:c r="BE601" s="121"/>
      <x:c r="BF601" s="122"/>
      <x:c r="BG601" s="120"/>
      <x:c r="BH601" s="122"/>
      <x:c r="BI601" s="120"/>
      <x:c r="BJ601" s="121"/>
    </x:row>
    <x:row r="602" ht="15.75" customHeight="1">
      <x:c r="N602" s="120"/>
      <x:c r="P602" s="120"/>
      <x:c r="Q602" s="121"/>
      <x:c r="S602" s="120"/>
      <x:c r="U602" s="120"/>
      <x:c r="V602" s="121"/>
      <x:c r="W602" s="122"/>
      <x:c r="X602" s="120"/>
      <x:c r="Y602" s="122"/>
      <x:c r="Z602" s="120"/>
      <x:c r="AA602" s="121"/>
      <x:c r="AB602" s="122"/>
      <x:c r="AC602" s="120"/>
      <x:c r="AD602" s="122"/>
      <x:c r="AE602" s="120"/>
      <x:c r="AF602" s="121"/>
      <x:c r="AG602" s="122"/>
      <x:c r="AH602" s="120"/>
      <x:c r="AI602" s="122"/>
      <x:c r="AJ602" s="120"/>
      <x:c r="AK602" s="121"/>
      <x:c r="AL602" s="122"/>
      <x:c r="AM602" s="120"/>
      <x:c r="AN602" s="122"/>
      <x:c r="AO602" s="120"/>
      <x:c r="AP602" s="121"/>
      <x:c r="AQ602" s="122"/>
      <x:c r="AR602" s="120"/>
      <x:c r="AS602" s="122"/>
      <x:c r="AT602" s="120"/>
      <x:c r="AU602" s="121"/>
      <x:c r="AV602" s="122"/>
      <x:c r="AW602" s="120"/>
      <x:c r="AX602" s="122"/>
      <x:c r="AY602" s="120"/>
      <x:c r="AZ602" s="121"/>
      <x:c r="BA602" s="122"/>
      <x:c r="BB602" s="120"/>
      <x:c r="BC602" s="122"/>
      <x:c r="BD602" s="120"/>
      <x:c r="BE602" s="121"/>
      <x:c r="BF602" s="122"/>
      <x:c r="BG602" s="120"/>
      <x:c r="BH602" s="122"/>
      <x:c r="BI602" s="120"/>
      <x:c r="BJ602" s="121"/>
    </x:row>
    <x:row r="603" ht="15.75" customHeight="1">
      <x:c r="N603" s="120"/>
      <x:c r="P603" s="120"/>
      <x:c r="Q603" s="121"/>
      <x:c r="S603" s="120"/>
      <x:c r="U603" s="120"/>
      <x:c r="V603" s="121"/>
      <x:c r="W603" s="122"/>
      <x:c r="X603" s="120"/>
      <x:c r="Y603" s="122"/>
      <x:c r="Z603" s="120"/>
      <x:c r="AA603" s="121"/>
      <x:c r="AB603" s="122"/>
      <x:c r="AC603" s="120"/>
      <x:c r="AD603" s="122"/>
      <x:c r="AE603" s="120"/>
      <x:c r="AF603" s="121"/>
      <x:c r="AG603" s="122"/>
      <x:c r="AH603" s="120"/>
      <x:c r="AI603" s="122"/>
      <x:c r="AJ603" s="120"/>
      <x:c r="AK603" s="121"/>
      <x:c r="AL603" s="122"/>
      <x:c r="AM603" s="120"/>
      <x:c r="AN603" s="122"/>
      <x:c r="AO603" s="120"/>
      <x:c r="AP603" s="121"/>
      <x:c r="AQ603" s="122"/>
      <x:c r="AR603" s="120"/>
      <x:c r="AS603" s="122"/>
      <x:c r="AT603" s="120"/>
      <x:c r="AU603" s="121"/>
      <x:c r="AV603" s="122"/>
      <x:c r="AW603" s="120"/>
      <x:c r="AX603" s="122"/>
      <x:c r="AY603" s="120"/>
      <x:c r="AZ603" s="121"/>
      <x:c r="BA603" s="122"/>
      <x:c r="BB603" s="120"/>
      <x:c r="BC603" s="122"/>
      <x:c r="BD603" s="120"/>
      <x:c r="BE603" s="121"/>
      <x:c r="BF603" s="122"/>
      <x:c r="BG603" s="120"/>
      <x:c r="BH603" s="122"/>
      <x:c r="BI603" s="120"/>
      <x:c r="BJ603" s="121"/>
    </x:row>
    <x:row r="604" ht="15.75" customHeight="1">
      <x:c r="N604" s="120"/>
      <x:c r="P604" s="120"/>
      <x:c r="Q604" s="121"/>
      <x:c r="S604" s="120"/>
      <x:c r="U604" s="120"/>
      <x:c r="V604" s="121"/>
      <x:c r="W604" s="122"/>
      <x:c r="X604" s="120"/>
      <x:c r="Y604" s="122"/>
      <x:c r="Z604" s="120"/>
      <x:c r="AA604" s="121"/>
      <x:c r="AB604" s="122"/>
      <x:c r="AC604" s="120"/>
      <x:c r="AD604" s="122"/>
      <x:c r="AE604" s="120"/>
      <x:c r="AF604" s="121"/>
      <x:c r="AG604" s="122"/>
      <x:c r="AH604" s="120"/>
      <x:c r="AI604" s="122"/>
      <x:c r="AJ604" s="120"/>
      <x:c r="AK604" s="121"/>
      <x:c r="AL604" s="122"/>
      <x:c r="AM604" s="120"/>
      <x:c r="AN604" s="122"/>
      <x:c r="AO604" s="120"/>
      <x:c r="AP604" s="121"/>
      <x:c r="AQ604" s="122"/>
      <x:c r="AR604" s="120"/>
      <x:c r="AS604" s="122"/>
      <x:c r="AT604" s="120"/>
      <x:c r="AU604" s="121"/>
      <x:c r="AV604" s="122"/>
      <x:c r="AW604" s="120"/>
      <x:c r="AX604" s="122"/>
      <x:c r="AY604" s="120"/>
      <x:c r="AZ604" s="121"/>
      <x:c r="BA604" s="122"/>
      <x:c r="BB604" s="120"/>
      <x:c r="BC604" s="122"/>
      <x:c r="BD604" s="120"/>
      <x:c r="BE604" s="121"/>
      <x:c r="BF604" s="122"/>
      <x:c r="BG604" s="120"/>
      <x:c r="BH604" s="122"/>
      <x:c r="BI604" s="120"/>
      <x:c r="BJ604" s="121"/>
    </x:row>
    <x:row r="605" ht="15.75" customHeight="1">
      <x:c r="N605" s="120"/>
      <x:c r="P605" s="120"/>
      <x:c r="Q605" s="121"/>
      <x:c r="S605" s="120"/>
      <x:c r="U605" s="120"/>
      <x:c r="V605" s="121"/>
      <x:c r="W605" s="122"/>
      <x:c r="X605" s="120"/>
      <x:c r="Y605" s="122"/>
      <x:c r="Z605" s="120"/>
      <x:c r="AA605" s="121"/>
      <x:c r="AB605" s="122"/>
      <x:c r="AC605" s="120"/>
      <x:c r="AD605" s="122"/>
      <x:c r="AE605" s="120"/>
      <x:c r="AF605" s="121"/>
      <x:c r="AG605" s="122"/>
      <x:c r="AH605" s="120"/>
      <x:c r="AI605" s="122"/>
      <x:c r="AJ605" s="120"/>
      <x:c r="AK605" s="121"/>
      <x:c r="AL605" s="122"/>
      <x:c r="AM605" s="120"/>
      <x:c r="AN605" s="122"/>
      <x:c r="AO605" s="120"/>
      <x:c r="AP605" s="121"/>
      <x:c r="AQ605" s="122"/>
      <x:c r="AR605" s="120"/>
      <x:c r="AS605" s="122"/>
      <x:c r="AT605" s="120"/>
      <x:c r="AU605" s="121"/>
      <x:c r="AV605" s="122"/>
      <x:c r="AW605" s="120"/>
      <x:c r="AX605" s="122"/>
      <x:c r="AY605" s="120"/>
      <x:c r="AZ605" s="121"/>
      <x:c r="BA605" s="122"/>
      <x:c r="BB605" s="120"/>
      <x:c r="BC605" s="122"/>
      <x:c r="BD605" s="120"/>
      <x:c r="BE605" s="121"/>
      <x:c r="BF605" s="122"/>
      <x:c r="BG605" s="120"/>
      <x:c r="BH605" s="122"/>
      <x:c r="BI605" s="120"/>
      <x:c r="BJ605" s="121"/>
    </x:row>
    <x:row r="606" ht="15.75" customHeight="1">
      <x:c r="N606" s="120"/>
      <x:c r="P606" s="120"/>
      <x:c r="Q606" s="121"/>
      <x:c r="S606" s="120"/>
      <x:c r="U606" s="120"/>
      <x:c r="V606" s="121"/>
      <x:c r="W606" s="122"/>
      <x:c r="X606" s="120"/>
      <x:c r="Y606" s="122"/>
      <x:c r="Z606" s="120"/>
      <x:c r="AA606" s="121"/>
      <x:c r="AB606" s="122"/>
      <x:c r="AC606" s="120"/>
      <x:c r="AD606" s="122"/>
      <x:c r="AE606" s="120"/>
      <x:c r="AF606" s="121"/>
      <x:c r="AG606" s="122"/>
      <x:c r="AH606" s="120"/>
      <x:c r="AI606" s="122"/>
      <x:c r="AJ606" s="120"/>
      <x:c r="AK606" s="121"/>
      <x:c r="AL606" s="122"/>
      <x:c r="AM606" s="120"/>
      <x:c r="AN606" s="122"/>
      <x:c r="AO606" s="120"/>
      <x:c r="AP606" s="121"/>
      <x:c r="AQ606" s="122"/>
      <x:c r="AR606" s="120"/>
      <x:c r="AS606" s="122"/>
      <x:c r="AT606" s="120"/>
      <x:c r="AU606" s="121"/>
      <x:c r="AV606" s="122"/>
      <x:c r="AW606" s="120"/>
      <x:c r="AX606" s="122"/>
      <x:c r="AY606" s="120"/>
      <x:c r="AZ606" s="121"/>
      <x:c r="BA606" s="122"/>
      <x:c r="BB606" s="120"/>
      <x:c r="BC606" s="122"/>
      <x:c r="BD606" s="120"/>
      <x:c r="BE606" s="121"/>
      <x:c r="BF606" s="122"/>
      <x:c r="BG606" s="120"/>
      <x:c r="BH606" s="122"/>
      <x:c r="BI606" s="120"/>
      <x:c r="BJ606" s="121"/>
    </x:row>
    <x:row r="607" ht="15.75" customHeight="1">
      <x:c r="N607" s="120"/>
      <x:c r="P607" s="120"/>
      <x:c r="Q607" s="121"/>
      <x:c r="S607" s="120"/>
      <x:c r="U607" s="120"/>
      <x:c r="V607" s="121"/>
      <x:c r="W607" s="122"/>
      <x:c r="X607" s="120"/>
      <x:c r="Y607" s="122"/>
      <x:c r="Z607" s="120"/>
      <x:c r="AA607" s="121"/>
      <x:c r="AB607" s="122"/>
      <x:c r="AC607" s="120"/>
      <x:c r="AD607" s="122"/>
      <x:c r="AE607" s="120"/>
      <x:c r="AF607" s="121"/>
      <x:c r="AG607" s="122"/>
      <x:c r="AH607" s="120"/>
      <x:c r="AI607" s="122"/>
      <x:c r="AJ607" s="120"/>
      <x:c r="AK607" s="121"/>
      <x:c r="AL607" s="122"/>
      <x:c r="AM607" s="120"/>
      <x:c r="AN607" s="122"/>
      <x:c r="AO607" s="120"/>
      <x:c r="AP607" s="121"/>
      <x:c r="AQ607" s="122"/>
      <x:c r="AR607" s="120"/>
      <x:c r="AS607" s="122"/>
      <x:c r="AT607" s="120"/>
      <x:c r="AU607" s="121"/>
      <x:c r="AV607" s="122"/>
      <x:c r="AW607" s="120"/>
      <x:c r="AX607" s="122"/>
      <x:c r="AY607" s="120"/>
      <x:c r="AZ607" s="121"/>
      <x:c r="BA607" s="122"/>
      <x:c r="BB607" s="120"/>
      <x:c r="BC607" s="122"/>
      <x:c r="BD607" s="120"/>
      <x:c r="BE607" s="121"/>
      <x:c r="BF607" s="122"/>
      <x:c r="BG607" s="120"/>
      <x:c r="BH607" s="122"/>
      <x:c r="BI607" s="120"/>
      <x:c r="BJ607" s="121"/>
    </x:row>
    <x:row r="608" ht="15.75" customHeight="1">
      <x:c r="N608" s="120"/>
      <x:c r="P608" s="120"/>
      <x:c r="Q608" s="121"/>
      <x:c r="S608" s="120"/>
      <x:c r="U608" s="120"/>
      <x:c r="V608" s="121"/>
      <x:c r="W608" s="122"/>
      <x:c r="X608" s="120"/>
      <x:c r="Y608" s="122"/>
      <x:c r="Z608" s="120"/>
      <x:c r="AA608" s="121"/>
      <x:c r="AB608" s="122"/>
      <x:c r="AC608" s="120"/>
      <x:c r="AD608" s="122"/>
      <x:c r="AE608" s="120"/>
      <x:c r="AF608" s="121"/>
      <x:c r="AG608" s="122"/>
      <x:c r="AH608" s="120"/>
      <x:c r="AI608" s="122"/>
      <x:c r="AJ608" s="120"/>
      <x:c r="AK608" s="121"/>
      <x:c r="AL608" s="122"/>
      <x:c r="AM608" s="120"/>
      <x:c r="AN608" s="122"/>
      <x:c r="AO608" s="120"/>
      <x:c r="AP608" s="121"/>
      <x:c r="AQ608" s="122"/>
      <x:c r="AR608" s="120"/>
      <x:c r="AS608" s="122"/>
      <x:c r="AT608" s="120"/>
      <x:c r="AU608" s="121"/>
      <x:c r="AV608" s="122"/>
      <x:c r="AW608" s="120"/>
      <x:c r="AX608" s="122"/>
      <x:c r="AY608" s="120"/>
      <x:c r="AZ608" s="121"/>
      <x:c r="BA608" s="122"/>
      <x:c r="BB608" s="120"/>
      <x:c r="BC608" s="122"/>
      <x:c r="BD608" s="120"/>
      <x:c r="BE608" s="121"/>
      <x:c r="BF608" s="122"/>
      <x:c r="BG608" s="120"/>
      <x:c r="BH608" s="122"/>
      <x:c r="BI608" s="120"/>
      <x:c r="BJ608" s="121"/>
    </x:row>
    <x:row r="609" ht="15.75" customHeight="1">
      <x:c r="N609" s="120"/>
      <x:c r="P609" s="120"/>
      <x:c r="Q609" s="121"/>
      <x:c r="S609" s="120"/>
      <x:c r="U609" s="120"/>
      <x:c r="V609" s="121"/>
      <x:c r="W609" s="122"/>
      <x:c r="X609" s="120"/>
      <x:c r="Y609" s="122"/>
      <x:c r="Z609" s="120"/>
      <x:c r="AA609" s="121"/>
      <x:c r="AB609" s="122"/>
      <x:c r="AC609" s="120"/>
      <x:c r="AD609" s="122"/>
      <x:c r="AE609" s="120"/>
      <x:c r="AF609" s="121"/>
      <x:c r="AG609" s="122"/>
      <x:c r="AH609" s="120"/>
      <x:c r="AI609" s="122"/>
      <x:c r="AJ609" s="120"/>
      <x:c r="AK609" s="121"/>
      <x:c r="AL609" s="122"/>
      <x:c r="AM609" s="120"/>
      <x:c r="AN609" s="122"/>
      <x:c r="AO609" s="120"/>
      <x:c r="AP609" s="121"/>
      <x:c r="AQ609" s="122"/>
      <x:c r="AR609" s="120"/>
      <x:c r="AS609" s="122"/>
      <x:c r="AT609" s="120"/>
      <x:c r="AU609" s="121"/>
      <x:c r="AV609" s="122"/>
      <x:c r="AW609" s="120"/>
      <x:c r="AX609" s="122"/>
      <x:c r="AY609" s="120"/>
      <x:c r="AZ609" s="121"/>
      <x:c r="BA609" s="122"/>
      <x:c r="BB609" s="120"/>
      <x:c r="BC609" s="122"/>
      <x:c r="BD609" s="120"/>
      <x:c r="BE609" s="121"/>
      <x:c r="BF609" s="122"/>
      <x:c r="BG609" s="120"/>
      <x:c r="BH609" s="122"/>
      <x:c r="BI609" s="120"/>
      <x:c r="BJ609" s="121"/>
    </x:row>
    <x:row r="610" ht="15.75" customHeight="1">
      <x:c r="N610" s="120"/>
      <x:c r="P610" s="120"/>
      <x:c r="Q610" s="121"/>
      <x:c r="S610" s="120"/>
      <x:c r="U610" s="120"/>
      <x:c r="V610" s="121"/>
      <x:c r="W610" s="122"/>
      <x:c r="X610" s="120"/>
      <x:c r="Y610" s="122"/>
      <x:c r="Z610" s="120"/>
      <x:c r="AA610" s="121"/>
      <x:c r="AB610" s="122"/>
      <x:c r="AC610" s="120"/>
      <x:c r="AD610" s="122"/>
      <x:c r="AE610" s="120"/>
      <x:c r="AF610" s="121"/>
      <x:c r="AG610" s="122"/>
      <x:c r="AH610" s="120"/>
      <x:c r="AI610" s="122"/>
      <x:c r="AJ610" s="120"/>
      <x:c r="AK610" s="121"/>
      <x:c r="AL610" s="122"/>
      <x:c r="AM610" s="120"/>
      <x:c r="AN610" s="122"/>
      <x:c r="AO610" s="120"/>
      <x:c r="AP610" s="121"/>
      <x:c r="AQ610" s="122"/>
      <x:c r="AR610" s="120"/>
      <x:c r="AS610" s="122"/>
      <x:c r="AT610" s="120"/>
      <x:c r="AU610" s="121"/>
      <x:c r="AV610" s="122"/>
      <x:c r="AW610" s="120"/>
      <x:c r="AX610" s="122"/>
      <x:c r="AY610" s="120"/>
      <x:c r="AZ610" s="121"/>
      <x:c r="BA610" s="122"/>
      <x:c r="BB610" s="120"/>
      <x:c r="BC610" s="122"/>
      <x:c r="BD610" s="120"/>
      <x:c r="BE610" s="121"/>
      <x:c r="BF610" s="122"/>
      <x:c r="BG610" s="120"/>
      <x:c r="BH610" s="122"/>
      <x:c r="BI610" s="120"/>
      <x:c r="BJ610" s="121"/>
    </x:row>
    <x:row r="611" ht="15.75" customHeight="1">
      <x:c r="N611" s="120"/>
      <x:c r="P611" s="120"/>
      <x:c r="Q611" s="121"/>
      <x:c r="S611" s="120"/>
      <x:c r="U611" s="120"/>
      <x:c r="V611" s="121"/>
      <x:c r="W611" s="122"/>
      <x:c r="X611" s="120"/>
      <x:c r="Y611" s="122"/>
      <x:c r="Z611" s="120"/>
      <x:c r="AA611" s="121"/>
      <x:c r="AB611" s="122"/>
      <x:c r="AC611" s="120"/>
      <x:c r="AD611" s="122"/>
      <x:c r="AE611" s="120"/>
      <x:c r="AF611" s="121"/>
      <x:c r="AG611" s="122"/>
      <x:c r="AH611" s="120"/>
      <x:c r="AI611" s="122"/>
      <x:c r="AJ611" s="120"/>
      <x:c r="AK611" s="121"/>
      <x:c r="AL611" s="122"/>
      <x:c r="AM611" s="120"/>
      <x:c r="AN611" s="122"/>
      <x:c r="AO611" s="120"/>
      <x:c r="AP611" s="121"/>
      <x:c r="AQ611" s="122"/>
      <x:c r="AR611" s="120"/>
      <x:c r="AS611" s="122"/>
      <x:c r="AT611" s="120"/>
      <x:c r="AU611" s="121"/>
      <x:c r="AV611" s="122"/>
      <x:c r="AW611" s="120"/>
      <x:c r="AX611" s="122"/>
      <x:c r="AY611" s="120"/>
      <x:c r="AZ611" s="121"/>
      <x:c r="BA611" s="122"/>
      <x:c r="BB611" s="120"/>
      <x:c r="BC611" s="122"/>
      <x:c r="BD611" s="120"/>
      <x:c r="BE611" s="121"/>
      <x:c r="BF611" s="122"/>
      <x:c r="BG611" s="120"/>
      <x:c r="BH611" s="122"/>
      <x:c r="BI611" s="120"/>
      <x:c r="BJ611" s="121"/>
    </x:row>
    <x:row r="612" ht="15.75" customHeight="1">
      <x:c r="N612" s="120"/>
      <x:c r="P612" s="120"/>
      <x:c r="Q612" s="121"/>
      <x:c r="S612" s="120"/>
      <x:c r="U612" s="120"/>
      <x:c r="V612" s="121"/>
      <x:c r="W612" s="122"/>
      <x:c r="X612" s="120"/>
      <x:c r="Y612" s="122"/>
      <x:c r="Z612" s="120"/>
      <x:c r="AA612" s="121"/>
      <x:c r="AB612" s="122"/>
      <x:c r="AC612" s="120"/>
      <x:c r="AD612" s="122"/>
      <x:c r="AE612" s="120"/>
      <x:c r="AF612" s="121"/>
      <x:c r="AG612" s="122"/>
      <x:c r="AH612" s="120"/>
      <x:c r="AI612" s="122"/>
      <x:c r="AJ612" s="120"/>
      <x:c r="AK612" s="121"/>
      <x:c r="AL612" s="122"/>
      <x:c r="AM612" s="120"/>
      <x:c r="AN612" s="122"/>
      <x:c r="AO612" s="120"/>
      <x:c r="AP612" s="121"/>
      <x:c r="AQ612" s="122"/>
      <x:c r="AR612" s="120"/>
      <x:c r="AS612" s="122"/>
      <x:c r="AT612" s="120"/>
      <x:c r="AU612" s="121"/>
      <x:c r="AV612" s="122"/>
      <x:c r="AW612" s="120"/>
      <x:c r="AX612" s="122"/>
      <x:c r="AY612" s="120"/>
      <x:c r="AZ612" s="121"/>
      <x:c r="BA612" s="122"/>
      <x:c r="BB612" s="120"/>
      <x:c r="BC612" s="122"/>
      <x:c r="BD612" s="120"/>
      <x:c r="BE612" s="121"/>
      <x:c r="BF612" s="122"/>
      <x:c r="BG612" s="120"/>
      <x:c r="BH612" s="122"/>
      <x:c r="BI612" s="120"/>
      <x:c r="BJ612" s="121"/>
    </x:row>
    <x:row r="613" ht="15.75" customHeight="1">
      <x:c r="N613" s="120"/>
      <x:c r="P613" s="120"/>
      <x:c r="Q613" s="121"/>
      <x:c r="S613" s="120"/>
      <x:c r="U613" s="120"/>
      <x:c r="V613" s="121"/>
      <x:c r="W613" s="122"/>
      <x:c r="X613" s="120"/>
      <x:c r="Y613" s="122"/>
      <x:c r="Z613" s="120"/>
      <x:c r="AA613" s="121"/>
      <x:c r="AB613" s="122"/>
      <x:c r="AC613" s="120"/>
      <x:c r="AD613" s="122"/>
      <x:c r="AE613" s="120"/>
      <x:c r="AF613" s="121"/>
      <x:c r="AG613" s="122"/>
      <x:c r="AH613" s="120"/>
      <x:c r="AI613" s="122"/>
      <x:c r="AJ613" s="120"/>
      <x:c r="AK613" s="121"/>
      <x:c r="AL613" s="122"/>
      <x:c r="AM613" s="120"/>
      <x:c r="AN613" s="122"/>
      <x:c r="AO613" s="120"/>
      <x:c r="AP613" s="121"/>
      <x:c r="AQ613" s="122"/>
      <x:c r="AR613" s="120"/>
      <x:c r="AS613" s="122"/>
      <x:c r="AT613" s="120"/>
      <x:c r="AU613" s="121"/>
      <x:c r="AV613" s="122"/>
      <x:c r="AW613" s="120"/>
      <x:c r="AX613" s="122"/>
      <x:c r="AY613" s="120"/>
      <x:c r="AZ613" s="121"/>
      <x:c r="BA613" s="122"/>
      <x:c r="BB613" s="120"/>
      <x:c r="BC613" s="122"/>
      <x:c r="BD613" s="120"/>
      <x:c r="BE613" s="121"/>
      <x:c r="BF613" s="122"/>
      <x:c r="BG613" s="120"/>
      <x:c r="BH613" s="122"/>
      <x:c r="BI613" s="120"/>
      <x:c r="BJ613" s="121"/>
    </x:row>
    <x:row r="614" ht="15.75" customHeight="1">
      <x:c r="N614" s="120"/>
      <x:c r="P614" s="120"/>
      <x:c r="Q614" s="121"/>
      <x:c r="S614" s="120"/>
      <x:c r="U614" s="120"/>
      <x:c r="V614" s="121"/>
      <x:c r="W614" s="122"/>
      <x:c r="X614" s="120"/>
      <x:c r="Y614" s="122"/>
      <x:c r="Z614" s="120"/>
      <x:c r="AA614" s="121"/>
      <x:c r="AB614" s="122"/>
      <x:c r="AC614" s="120"/>
      <x:c r="AD614" s="122"/>
      <x:c r="AE614" s="120"/>
      <x:c r="AF614" s="121"/>
      <x:c r="AG614" s="122"/>
      <x:c r="AH614" s="120"/>
      <x:c r="AI614" s="122"/>
      <x:c r="AJ614" s="120"/>
      <x:c r="AK614" s="121"/>
      <x:c r="AL614" s="122"/>
      <x:c r="AM614" s="120"/>
      <x:c r="AN614" s="122"/>
      <x:c r="AO614" s="120"/>
      <x:c r="AP614" s="121"/>
      <x:c r="AQ614" s="122"/>
      <x:c r="AR614" s="120"/>
      <x:c r="AS614" s="122"/>
      <x:c r="AT614" s="120"/>
      <x:c r="AU614" s="121"/>
      <x:c r="AV614" s="122"/>
      <x:c r="AW614" s="120"/>
      <x:c r="AX614" s="122"/>
      <x:c r="AY614" s="120"/>
      <x:c r="AZ614" s="121"/>
      <x:c r="BA614" s="122"/>
      <x:c r="BB614" s="120"/>
      <x:c r="BC614" s="122"/>
      <x:c r="BD614" s="120"/>
      <x:c r="BE614" s="121"/>
      <x:c r="BF614" s="122"/>
      <x:c r="BG614" s="120"/>
      <x:c r="BH614" s="122"/>
      <x:c r="BI614" s="120"/>
      <x:c r="BJ614" s="121"/>
    </x:row>
    <x:row r="615" ht="15.75" customHeight="1">
      <x:c r="N615" s="120"/>
      <x:c r="P615" s="120"/>
      <x:c r="Q615" s="121"/>
      <x:c r="S615" s="120"/>
      <x:c r="U615" s="120"/>
      <x:c r="V615" s="121"/>
      <x:c r="W615" s="122"/>
      <x:c r="X615" s="120"/>
      <x:c r="Y615" s="122"/>
      <x:c r="Z615" s="120"/>
      <x:c r="AA615" s="121"/>
      <x:c r="AB615" s="122"/>
      <x:c r="AC615" s="120"/>
      <x:c r="AD615" s="122"/>
      <x:c r="AE615" s="120"/>
      <x:c r="AF615" s="121"/>
      <x:c r="AG615" s="122"/>
      <x:c r="AH615" s="120"/>
      <x:c r="AI615" s="122"/>
      <x:c r="AJ615" s="120"/>
      <x:c r="AK615" s="121"/>
      <x:c r="AL615" s="122"/>
      <x:c r="AM615" s="120"/>
      <x:c r="AN615" s="122"/>
      <x:c r="AO615" s="120"/>
      <x:c r="AP615" s="121"/>
      <x:c r="AQ615" s="122"/>
      <x:c r="AR615" s="120"/>
      <x:c r="AS615" s="122"/>
      <x:c r="AT615" s="120"/>
      <x:c r="AU615" s="121"/>
      <x:c r="AV615" s="122"/>
      <x:c r="AW615" s="120"/>
      <x:c r="AX615" s="122"/>
      <x:c r="AY615" s="120"/>
      <x:c r="AZ615" s="121"/>
      <x:c r="BA615" s="122"/>
      <x:c r="BB615" s="120"/>
      <x:c r="BC615" s="122"/>
      <x:c r="BD615" s="120"/>
      <x:c r="BE615" s="121"/>
      <x:c r="BF615" s="122"/>
      <x:c r="BG615" s="120"/>
      <x:c r="BH615" s="122"/>
      <x:c r="BI615" s="120"/>
      <x:c r="BJ615" s="121"/>
    </x:row>
    <x:row r="616" ht="15.75" customHeight="1">
      <x:c r="N616" s="120"/>
      <x:c r="P616" s="120"/>
      <x:c r="Q616" s="121"/>
      <x:c r="S616" s="120"/>
      <x:c r="U616" s="120"/>
      <x:c r="V616" s="121"/>
      <x:c r="W616" s="122"/>
      <x:c r="X616" s="120"/>
      <x:c r="Y616" s="122"/>
      <x:c r="Z616" s="120"/>
      <x:c r="AA616" s="121"/>
      <x:c r="AB616" s="122"/>
      <x:c r="AC616" s="120"/>
      <x:c r="AD616" s="122"/>
      <x:c r="AE616" s="120"/>
      <x:c r="AF616" s="121"/>
      <x:c r="AG616" s="122"/>
      <x:c r="AH616" s="120"/>
      <x:c r="AI616" s="122"/>
      <x:c r="AJ616" s="120"/>
      <x:c r="AK616" s="121"/>
      <x:c r="AL616" s="122"/>
      <x:c r="AM616" s="120"/>
      <x:c r="AN616" s="122"/>
      <x:c r="AO616" s="120"/>
      <x:c r="AP616" s="121"/>
      <x:c r="AQ616" s="122"/>
      <x:c r="AR616" s="120"/>
      <x:c r="AS616" s="122"/>
      <x:c r="AT616" s="120"/>
      <x:c r="AU616" s="121"/>
      <x:c r="AV616" s="122"/>
      <x:c r="AW616" s="120"/>
      <x:c r="AX616" s="122"/>
      <x:c r="AY616" s="120"/>
      <x:c r="AZ616" s="121"/>
      <x:c r="BA616" s="122"/>
      <x:c r="BB616" s="120"/>
      <x:c r="BC616" s="122"/>
      <x:c r="BD616" s="120"/>
      <x:c r="BE616" s="121"/>
      <x:c r="BF616" s="122"/>
      <x:c r="BG616" s="120"/>
      <x:c r="BH616" s="122"/>
      <x:c r="BI616" s="120"/>
      <x:c r="BJ616" s="121"/>
    </x:row>
    <x:row r="617" ht="15.75" customHeight="1">
      <x:c r="N617" s="120"/>
      <x:c r="P617" s="120"/>
      <x:c r="Q617" s="121"/>
      <x:c r="S617" s="120"/>
      <x:c r="U617" s="120"/>
      <x:c r="V617" s="121"/>
      <x:c r="W617" s="122"/>
      <x:c r="X617" s="120"/>
      <x:c r="Y617" s="122"/>
      <x:c r="Z617" s="120"/>
      <x:c r="AA617" s="121"/>
      <x:c r="AB617" s="122"/>
      <x:c r="AC617" s="120"/>
      <x:c r="AD617" s="122"/>
      <x:c r="AE617" s="120"/>
      <x:c r="AF617" s="121"/>
      <x:c r="AG617" s="122"/>
      <x:c r="AH617" s="120"/>
      <x:c r="AI617" s="122"/>
      <x:c r="AJ617" s="120"/>
      <x:c r="AK617" s="121"/>
      <x:c r="AL617" s="122"/>
      <x:c r="AM617" s="120"/>
      <x:c r="AN617" s="122"/>
      <x:c r="AO617" s="120"/>
      <x:c r="AP617" s="121"/>
      <x:c r="AQ617" s="122"/>
      <x:c r="AR617" s="120"/>
      <x:c r="AS617" s="122"/>
      <x:c r="AT617" s="120"/>
      <x:c r="AU617" s="121"/>
      <x:c r="AV617" s="122"/>
      <x:c r="AW617" s="120"/>
      <x:c r="AX617" s="122"/>
      <x:c r="AY617" s="120"/>
      <x:c r="AZ617" s="121"/>
      <x:c r="BA617" s="122"/>
      <x:c r="BB617" s="120"/>
      <x:c r="BC617" s="122"/>
      <x:c r="BD617" s="120"/>
      <x:c r="BE617" s="121"/>
      <x:c r="BF617" s="122"/>
      <x:c r="BG617" s="120"/>
      <x:c r="BH617" s="122"/>
      <x:c r="BI617" s="120"/>
      <x:c r="BJ617" s="121"/>
    </x:row>
    <x:row r="618" ht="15.75" customHeight="1">
      <x:c r="N618" s="120"/>
      <x:c r="P618" s="120"/>
      <x:c r="Q618" s="121"/>
      <x:c r="S618" s="120"/>
      <x:c r="U618" s="120"/>
      <x:c r="V618" s="121"/>
      <x:c r="W618" s="122"/>
      <x:c r="X618" s="120"/>
      <x:c r="Y618" s="122"/>
      <x:c r="Z618" s="120"/>
      <x:c r="AA618" s="121"/>
      <x:c r="AB618" s="122"/>
      <x:c r="AC618" s="120"/>
      <x:c r="AD618" s="122"/>
      <x:c r="AE618" s="120"/>
      <x:c r="AF618" s="121"/>
      <x:c r="AG618" s="122"/>
      <x:c r="AH618" s="120"/>
      <x:c r="AI618" s="122"/>
      <x:c r="AJ618" s="120"/>
      <x:c r="AK618" s="121"/>
      <x:c r="AL618" s="122"/>
      <x:c r="AM618" s="120"/>
      <x:c r="AN618" s="122"/>
      <x:c r="AO618" s="120"/>
      <x:c r="AP618" s="121"/>
      <x:c r="AQ618" s="122"/>
      <x:c r="AR618" s="120"/>
      <x:c r="AS618" s="122"/>
      <x:c r="AT618" s="120"/>
      <x:c r="AU618" s="121"/>
      <x:c r="AV618" s="122"/>
      <x:c r="AW618" s="120"/>
      <x:c r="AX618" s="122"/>
      <x:c r="AY618" s="120"/>
      <x:c r="AZ618" s="121"/>
      <x:c r="BA618" s="122"/>
      <x:c r="BB618" s="120"/>
      <x:c r="BC618" s="122"/>
      <x:c r="BD618" s="120"/>
      <x:c r="BE618" s="121"/>
      <x:c r="BF618" s="122"/>
      <x:c r="BG618" s="120"/>
      <x:c r="BH618" s="122"/>
      <x:c r="BI618" s="120"/>
      <x:c r="BJ618" s="121"/>
    </x:row>
    <x:row r="619" ht="15.75" customHeight="1">
      <x:c r="N619" s="120"/>
      <x:c r="P619" s="120"/>
      <x:c r="Q619" s="121"/>
      <x:c r="S619" s="120"/>
      <x:c r="U619" s="120"/>
      <x:c r="V619" s="121"/>
      <x:c r="W619" s="122"/>
      <x:c r="X619" s="120"/>
      <x:c r="Y619" s="122"/>
      <x:c r="Z619" s="120"/>
      <x:c r="AA619" s="121"/>
      <x:c r="AB619" s="122"/>
      <x:c r="AC619" s="120"/>
      <x:c r="AD619" s="122"/>
      <x:c r="AE619" s="120"/>
      <x:c r="AF619" s="121"/>
      <x:c r="AG619" s="122"/>
      <x:c r="AH619" s="120"/>
      <x:c r="AI619" s="122"/>
      <x:c r="AJ619" s="120"/>
      <x:c r="AK619" s="121"/>
      <x:c r="AL619" s="122"/>
      <x:c r="AM619" s="120"/>
      <x:c r="AN619" s="122"/>
      <x:c r="AO619" s="120"/>
      <x:c r="AP619" s="121"/>
      <x:c r="AQ619" s="122"/>
      <x:c r="AR619" s="120"/>
      <x:c r="AS619" s="122"/>
      <x:c r="AT619" s="120"/>
      <x:c r="AU619" s="121"/>
      <x:c r="AV619" s="122"/>
      <x:c r="AW619" s="120"/>
      <x:c r="AX619" s="122"/>
      <x:c r="AY619" s="120"/>
      <x:c r="AZ619" s="121"/>
      <x:c r="BA619" s="122"/>
      <x:c r="BB619" s="120"/>
      <x:c r="BC619" s="122"/>
      <x:c r="BD619" s="120"/>
      <x:c r="BE619" s="121"/>
      <x:c r="BF619" s="122"/>
      <x:c r="BG619" s="120"/>
      <x:c r="BH619" s="122"/>
      <x:c r="BI619" s="120"/>
      <x:c r="BJ619" s="121"/>
    </x:row>
    <x:row r="620" ht="15.75" customHeight="1">
      <x:c r="N620" s="120"/>
      <x:c r="P620" s="120"/>
      <x:c r="Q620" s="121"/>
      <x:c r="S620" s="120"/>
      <x:c r="U620" s="120"/>
      <x:c r="V620" s="121"/>
      <x:c r="W620" s="122"/>
      <x:c r="X620" s="120"/>
      <x:c r="Y620" s="122"/>
      <x:c r="Z620" s="120"/>
      <x:c r="AA620" s="121"/>
      <x:c r="AB620" s="122"/>
      <x:c r="AC620" s="120"/>
      <x:c r="AD620" s="122"/>
      <x:c r="AE620" s="120"/>
      <x:c r="AF620" s="121"/>
      <x:c r="AG620" s="122"/>
      <x:c r="AH620" s="120"/>
      <x:c r="AI620" s="122"/>
      <x:c r="AJ620" s="120"/>
      <x:c r="AK620" s="121"/>
      <x:c r="AL620" s="122"/>
      <x:c r="AM620" s="120"/>
      <x:c r="AN620" s="122"/>
      <x:c r="AO620" s="120"/>
      <x:c r="AP620" s="121"/>
      <x:c r="AQ620" s="122"/>
      <x:c r="AR620" s="120"/>
      <x:c r="AS620" s="122"/>
      <x:c r="AT620" s="120"/>
      <x:c r="AU620" s="121"/>
      <x:c r="AV620" s="122"/>
      <x:c r="AW620" s="120"/>
      <x:c r="AX620" s="122"/>
      <x:c r="AY620" s="120"/>
      <x:c r="AZ620" s="121"/>
      <x:c r="BA620" s="122"/>
      <x:c r="BB620" s="120"/>
      <x:c r="BC620" s="122"/>
      <x:c r="BD620" s="120"/>
      <x:c r="BE620" s="121"/>
      <x:c r="BF620" s="122"/>
      <x:c r="BG620" s="120"/>
      <x:c r="BH620" s="122"/>
      <x:c r="BI620" s="120"/>
      <x:c r="BJ620" s="121"/>
    </x:row>
    <x:row r="621" ht="15.75" customHeight="1">
      <x:c r="N621" s="120"/>
      <x:c r="P621" s="120"/>
      <x:c r="Q621" s="121"/>
      <x:c r="S621" s="120"/>
      <x:c r="U621" s="120"/>
      <x:c r="V621" s="121"/>
      <x:c r="W621" s="122"/>
      <x:c r="X621" s="120"/>
      <x:c r="Y621" s="122"/>
      <x:c r="Z621" s="120"/>
      <x:c r="AA621" s="121"/>
      <x:c r="AB621" s="122"/>
      <x:c r="AC621" s="120"/>
      <x:c r="AD621" s="122"/>
      <x:c r="AE621" s="120"/>
      <x:c r="AF621" s="121"/>
      <x:c r="AG621" s="122"/>
      <x:c r="AH621" s="120"/>
      <x:c r="AI621" s="122"/>
      <x:c r="AJ621" s="120"/>
      <x:c r="AK621" s="121"/>
      <x:c r="AL621" s="122"/>
      <x:c r="AM621" s="120"/>
      <x:c r="AN621" s="122"/>
      <x:c r="AO621" s="120"/>
      <x:c r="AP621" s="121"/>
      <x:c r="AQ621" s="122"/>
      <x:c r="AR621" s="120"/>
      <x:c r="AS621" s="122"/>
      <x:c r="AT621" s="120"/>
      <x:c r="AU621" s="121"/>
      <x:c r="AV621" s="122"/>
      <x:c r="AW621" s="120"/>
      <x:c r="AX621" s="122"/>
      <x:c r="AY621" s="120"/>
      <x:c r="AZ621" s="121"/>
      <x:c r="BA621" s="122"/>
      <x:c r="BB621" s="120"/>
      <x:c r="BC621" s="122"/>
      <x:c r="BD621" s="120"/>
      <x:c r="BE621" s="121"/>
      <x:c r="BF621" s="122"/>
      <x:c r="BG621" s="120"/>
      <x:c r="BH621" s="122"/>
      <x:c r="BI621" s="120"/>
      <x:c r="BJ621" s="121"/>
    </x:row>
    <x:row r="622" ht="15.75" customHeight="1">
      <x:c r="N622" s="120"/>
      <x:c r="P622" s="120"/>
      <x:c r="Q622" s="121"/>
      <x:c r="S622" s="120"/>
      <x:c r="U622" s="120"/>
      <x:c r="V622" s="121"/>
      <x:c r="W622" s="122"/>
      <x:c r="X622" s="120"/>
      <x:c r="Y622" s="122"/>
      <x:c r="Z622" s="120"/>
      <x:c r="AA622" s="121"/>
      <x:c r="AB622" s="122"/>
      <x:c r="AC622" s="120"/>
      <x:c r="AD622" s="122"/>
      <x:c r="AE622" s="120"/>
      <x:c r="AF622" s="121"/>
      <x:c r="AG622" s="122"/>
      <x:c r="AH622" s="120"/>
      <x:c r="AI622" s="122"/>
      <x:c r="AJ622" s="120"/>
      <x:c r="AK622" s="121"/>
      <x:c r="AL622" s="122"/>
      <x:c r="AM622" s="120"/>
      <x:c r="AN622" s="122"/>
      <x:c r="AO622" s="120"/>
      <x:c r="AP622" s="121"/>
      <x:c r="AQ622" s="122"/>
      <x:c r="AR622" s="120"/>
      <x:c r="AS622" s="122"/>
      <x:c r="AT622" s="120"/>
      <x:c r="AU622" s="121"/>
      <x:c r="AV622" s="122"/>
      <x:c r="AW622" s="120"/>
      <x:c r="AX622" s="122"/>
      <x:c r="AY622" s="120"/>
      <x:c r="AZ622" s="121"/>
      <x:c r="BA622" s="122"/>
      <x:c r="BB622" s="120"/>
      <x:c r="BC622" s="122"/>
      <x:c r="BD622" s="120"/>
      <x:c r="BE622" s="121"/>
      <x:c r="BF622" s="122"/>
      <x:c r="BG622" s="120"/>
      <x:c r="BH622" s="122"/>
      <x:c r="BI622" s="120"/>
      <x:c r="BJ622" s="121"/>
    </x:row>
    <x:row r="623" ht="15.75" customHeight="1">
      <x:c r="N623" s="120"/>
      <x:c r="P623" s="120"/>
      <x:c r="Q623" s="121"/>
      <x:c r="S623" s="120"/>
      <x:c r="U623" s="120"/>
      <x:c r="V623" s="121"/>
      <x:c r="W623" s="122"/>
      <x:c r="X623" s="120"/>
      <x:c r="Y623" s="122"/>
      <x:c r="Z623" s="120"/>
      <x:c r="AA623" s="121"/>
      <x:c r="AB623" s="122"/>
      <x:c r="AC623" s="120"/>
      <x:c r="AD623" s="122"/>
      <x:c r="AE623" s="120"/>
      <x:c r="AF623" s="121"/>
      <x:c r="AG623" s="122"/>
      <x:c r="AH623" s="120"/>
      <x:c r="AI623" s="122"/>
      <x:c r="AJ623" s="120"/>
      <x:c r="AK623" s="121"/>
      <x:c r="AL623" s="122"/>
      <x:c r="AM623" s="120"/>
      <x:c r="AN623" s="122"/>
      <x:c r="AO623" s="120"/>
      <x:c r="AP623" s="121"/>
      <x:c r="AQ623" s="122"/>
      <x:c r="AR623" s="120"/>
      <x:c r="AS623" s="122"/>
      <x:c r="AT623" s="120"/>
      <x:c r="AU623" s="121"/>
      <x:c r="AV623" s="122"/>
      <x:c r="AW623" s="120"/>
      <x:c r="AX623" s="122"/>
      <x:c r="AY623" s="120"/>
      <x:c r="AZ623" s="121"/>
      <x:c r="BA623" s="122"/>
      <x:c r="BB623" s="120"/>
      <x:c r="BC623" s="122"/>
      <x:c r="BD623" s="120"/>
      <x:c r="BE623" s="121"/>
      <x:c r="BF623" s="122"/>
      <x:c r="BG623" s="120"/>
      <x:c r="BH623" s="122"/>
      <x:c r="BI623" s="120"/>
      <x:c r="BJ623" s="121"/>
    </x:row>
    <x:row r="624" ht="15.75" customHeight="1">
      <x:c r="N624" s="120"/>
      <x:c r="P624" s="120"/>
      <x:c r="Q624" s="121"/>
      <x:c r="S624" s="120"/>
      <x:c r="U624" s="120"/>
      <x:c r="V624" s="121"/>
      <x:c r="W624" s="122"/>
      <x:c r="X624" s="120"/>
      <x:c r="Y624" s="122"/>
      <x:c r="Z624" s="120"/>
      <x:c r="AA624" s="121"/>
      <x:c r="AB624" s="122"/>
      <x:c r="AC624" s="120"/>
      <x:c r="AD624" s="122"/>
      <x:c r="AE624" s="120"/>
      <x:c r="AF624" s="121"/>
      <x:c r="AG624" s="122"/>
      <x:c r="AH624" s="120"/>
      <x:c r="AI624" s="122"/>
      <x:c r="AJ624" s="120"/>
      <x:c r="AK624" s="121"/>
      <x:c r="AL624" s="122"/>
      <x:c r="AM624" s="120"/>
      <x:c r="AN624" s="122"/>
      <x:c r="AO624" s="120"/>
      <x:c r="AP624" s="121"/>
      <x:c r="AQ624" s="122"/>
      <x:c r="AR624" s="120"/>
      <x:c r="AS624" s="122"/>
      <x:c r="AT624" s="120"/>
      <x:c r="AU624" s="121"/>
      <x:c r="AV624" s="122"/>
      <x:c r="AW624" s="120"/>
      <x:c r="AX624" s="122"/>
      <x:c r="AY624" s="120"/>
      <x:c r="AZ624" s="121"/>
      <x:c r="BA624" s="122"/>
      <x:c r="BB624" s="120"/>
      <x:c r="BC624" s="122"/>
      <x:c r="BD624" s="120"/>
      <x:c r="BE624" s="121"/>
      <x:c r="BF624" s="122"/>
      <x:c r="BG624" s="120"/>
      <x:c r="BH624" s="122"/>
      <x:c r="BI624" s="120"/>
      <x:c r="BJ624" s="121"/>
    </x:row>
    <x:row r="625" ht="15.75" customHeight="1">
      <x:c r="N625" s="120"/>
      <x:c r="P625" s="120"/>
      <x:c r="Q625" s="121"/>
      <x:c r="S625" s="120"/>
      <x:c r="U625" s="120"/>
      <x:c r="V625" s="121"/>
      <x:c r="W625" s="122"/>
      <x:c r="X625" s="120"/>
      <x:c r="Y625" s="122"/>
      <x:c r="Z625" s="120"/>
      <x:c r="AA625" s="121"/>
      <x:c r="AB625" s="122"/>
      <x:c r="AC625" s="120"/>
      <x:c r="AD625" s="122"/>
      <x:c r="AE625" s="120"/>
      <x:c r="AF625" s="121"/>
      <x:c r="AG625" s="122"/>
      <x:c r="AH625" s="120"/>
      <x:c r="AI625" s="122"/>
      <x:c r="AJ625" s="120"/>
      <x:c r="AK625" s="121"/>
      <x:c r="AL625" s="122"/>
      <x:c r="AM625" s="120"/>
      <x:c r="AN625" s="122"/>
      <x:c r="AO625" s="120"/>
      <x:c r="AP625" s="121"/>
      <x:c r="AQ625" s="122"/>
      <x:c r="AR625" s="120"/>
      <x:c r="AS625" s="122"/>
      <x:c r="AT625" s="120"/>
      <x:c r="AU625" s="121"/>
      <x:c r="AV625" s="122"/>
      <x:c r="AW625" s="120"/>
      <x:c r="AX625" s="122"/>
      <x:c r="AY625" s="120"/>
      <x:c r="AZ625" s="121"/>
      <x:c r="BA625" s="122"/>
      <x:c r="BB625" s="120"/>
      <x:c r="BC625" s="122"/>
      <x:c r="BD625" s="120"/>
      <x:c r="BE625" s="121"/>
      <x:c r="BF625" s="122"/>
      <x:c r="BG625" s="120"/>
      <x:c r="BH625" s="122"/>
      <x:c r="BI625" s="120"/>
      <x:c r="BJ625" s="121"/>
    </x:row>
    <x:row r="626" ht="15.75" customHeight="1">
      <x:c r="N626" s="120"/>
      <x:c r="P626" s="120"/>
      <x:c r="Q626" s="121"/>
      <x:c r="S626" s="120"/>
      <x:c r="U626" s="120"/>
      <x:c r="V626" s="121"/>
      <x:c r="W626" s="122"/>
      <x:c r="X626" s="120"/>
      <x:c r="Y626" s="122"/>
      <x:c r="Z626" s="120"/>
      <x:c r="AA626" s="121"/>
      <x:c r="AB626" s="122"/>
      <x:c r="AC626" s="120"/>
      <x:c r="AD626" s="122"/>
      <x:c r="AE626" s="120"/>
      <x:c r="AF626" s="121"/>
      <x:c r="AG626" s="122"/>
      <x:c r="AH626" s="120"/>
      <x:c r="AI626" s="122"/>
      <x:c r="AJ626" s="120"/>
      <x:c r="AK626" s="121"/>
      <x:c r="AL626" s="122"/>
      <x:c r="AM626" s="120"/>
      <x:c r="AN626" s="122"/>
      <x:c r="AO626" s="120"/>
      <x:c r="AP626" s="121"/>
      <x:c r="AQ626" s="122"/>
      <x:c r="AR626" s="120"/>
      <x:c r="AS626" s="122"/>
      <x:c r="AT626" s="120"/>
      <x:c r="AU626" s="121"/>
      <x:c r="AV626" s="122"/>
      <x:c r="AW626" s="120"/>
      <x:c r="AX626" s="122"/>
      <x:c r="AY626" s="120"/>
      <x:c r="AZ626" s="121"/>
      <x:c r="BA626" s="122"/>
      <x:c r="BB626" s="120"/>
      <x:c r="BC626" s="122"/>
      <x:c r="BD626" s="120"/>
      <x:c r="BE626" s="121"/>
      <x:c r="BF626" s="122"/>
      <x:c r="BG626" s="120"/>
      <x:c r="BH626" s="122"/>
      <x:c r="BI626" s="120"/>
      <x:c r="BJ626" s="121"/>
    </x:row>
    <x:row r="627" ht="15.75" customHeight="1">
      <x:c r="N627" s="120"/>
      <x:c r="P627" s="120"/>
      <x:c r="Q627" s="121"/>
      <x:c r="S627" s="120"/>
      <x:c r="U627" s="120"/>
      <x:c r="V627" s="121"/>
      <x:c r="W627" s="122"/>
      <x:c r="X627" s="120"/>
      <x:c r="Y627" s="122"/>
      <x:c r="Z627" s="120"/>
      <x:c r="AA627" s="121"/>
      <x:c r="AB627" s="122"/>
      <x:c r="AC627" s="120"/>
      <x:c r="AD627" s="122"/>
      <x:c r="AE627" s="120"/>
      <x:c r="AF627" s="121"/>
      <x:c r="AG627" s="122"/>
      <x:c r="AH627" s="120"/>
      <x:c r="AI627" s="122"/>
      <x:c r="AJ627" s="120"/>
      <x:c r="AK627" s="121"/>
      <x:c r="AL627" s="122"/>
      <x:c r="AM627" s="120"/>
      <x:c r="AN627" s="122"/>
      <x:c r="AO627" s="120"/>
      <x:c r="AP627" s="121"/>
      <x:c r="AQ627" s="122"/>
      <x:c r="AR627" s="120"/>
      <x:c r="AS627" s="122"/>
      <x:c r="AT627" s="120"/>
      <x:c r="AU627" s="121"/>
      <x:c r="AV627" s="122"/>
      <x:c r="AW627" s="120"/>
      <x:c r="AX627" s="122"/>
      <x:c r="AY627" s="120"/>
      <x:c r="AZ627" s="121"/>
      <x:c r="BA627" s="122"/>
      <x:c r="BB627" s="120"/>
      <x:c r="BC627" s="122"/>
      <x:c r="BD627" s="120"/>
      <x:c r="BE627" s="121"/>
      <x:c r="BF627" s="122"/>
      <x:c r="BG627" s="120"/>
      <x:c r="BH627" s="122"/>
      <x:c r="BI627" s="120"/>
      <x:c r="BJ627" s="121"/>
    </x:row>
    <x:row r="628" ht="15.75" customHeight="1">
      <x:c r="N628" s="120"/>
      <x:c r="P628" s="120"/>
      <x:c r="Q628" s="121"/>
      <x:c r="S628" s="120"/>
      <x:c r="U628" s="120"/>
      <x:c r="V628" s="121"/>
      <x:c r="W628" s="122"/>
      <x:c r="X628" s="120"/>
      <x:c r="Y628" s="122"/>
      <x:c r="Z628" s="120"/>
      <x:c r="AA628" s="121"/>
      <x:c r="AB628" s="122"/>
      <x:c r="AC628" s="120"/>
      <x:c r="AD628" s="122"/>
      <x:c r="AE628" s="120"/>
      <x:c r="AF628" s="121"/>
      <x:c r="AG628" s="122"/>
      <x:c r="AH628" s="120"/>
      <x:c r="AI628" s="122"/>
      <x:c r="AJ628" s="120"/>
      <x:c r="AK628" s="121"/>
      <x:c r="AL628" s="122"/>
      <x:c r="AM628" s="120"/>
      <x:c r="AN628" s="122"/>
      <x:c r="AO628" s="120"/>
      <x:c r="AP628" s="121"/>
      <x:c r="AQ628" s="122"/>
      <x:c r="AR628" s="120"/>
      <x:c r="AS628" s="122"/>
      <x:c r="AT628" s="120"/>
      <x:c r="AU628" s="121"/>
      <x:c r="AV628" s="122"/>
      <x:c r="AW628" s="120"/>
      <x:c r="AX628" s="122"/>
      <x:c r="AY628" s="120"/>
      <x:c r="AZ628" s="121"/>
      <x:c r="BA628" s="122"/>
      <x:c r="BB628" s="120"/>
      <x:c r="BC628" s="122"/>
      <x:c r="BD628" s="120"/>
      <x:c r="BE628" s="121"/>
      <x:c r="BF628" s="122"/>
      <x:c r="BG628" s="120"/>
      <x:c r="BH628" s="122"/>
      <x:c r="BI628" s="120"/>
      <x:c r="BJ628" s="121"/>
    </x:row>
    <x:row r="629" ht="15.75" customHeight="1">
      <x:c r="N629" s="120"/>
      <x:c r="P629" s="120"/>
      <x:c r="Q629" s="121"/>
      <x:c r="S629" s="120"/>
      <x:c r="U629" s="120"/>
      <x:c r="V629" s="121"/>
      <x:c r="W629" s="122"/>
      <x:c r="X629" s="120"/>
      <x:c r="Y629" s="122"/>
      <x:c r="Z629" s="120"/>
      <x:c r="AA629" s="121"/>
      <x:c r="AB629" s="122"/>
      <x:c r="AC629" s="120"/>
      <x:c r="AD629" s="122"/>
      <x:c r="AE629" s="120"/>
      <x:c r="AF629" s="121"/>
      <x:c r="AG629" s="122"/>
      <x:c r="AH629" s="120"/>
      <x:c r="AI629" s="122"/>
      <x:c r="AJ629" s="120"/>
      <x:c r="AK629" s="121"/>
      <x:c r="AL629" s="122"/>
      <x:c r="AM629" s="120"/>
      <x:c r="AN629" s="122"/>
      <x:c r="AO629" s="120"/>
      <x:c r="AP629" s="121"/>
      <x:c r="AQ629" s="122"/>
      <x:c r="AR629" s="120"/>
      <x:c r="AS629" s="122"/>
      <x:c r="AT629" s="120"/>
      <x:c r="AU629" s="121"/>
      <x:c r="AV629" s="122"/>
      <x:c r="AW629" s="120"/>
      <x:c r="AX629" s="122"/>
      <x:c r="AY629" s="120"/>
      <x:c r="AZ629" s="121"/>
      <x:c r="BA629" s="122"/>
      <x:c r="BB629" s="120"/>
      <x:c r="BC629" s="122"/>
      <x:c r="BD629" s="120"/>
      <x:c r="BE629" s="121"/>
      <x:c r="BF629" s="122"/>
      <x:c r="BG629" s="120"/>
      <x:c r="BH629" s="122"/>
      <x:c r="BI629" s="120"/>
      <x:c r="BJ629" s="121"/>
    </x:row>
    <x:row r="630" ht="15.75" customHeight="1">
      <x:c r="N630" s="120"/>
      <x:c r="P630" s="120"/>
      <x:c r="Q630" s="121"/>
      <x:c r="S630" s="120"/>
      <x:c r="U630" s="120"/>
      <x:c r="V630" s="121"/>
      <x:c r="W630" s="122"/>
      <x:c r="X630" s="120"/>
      <x:c r="Y630" s="122"/>
      <x:c r="Z630" s="120"/>
      <x:c r="AA630" s="121"/>
      <x:c r="AB630" s="122"/>
      <x:c r="AC630" s="120"/>
      <x:c r="AD630" s="122"/>
      <x:c r="AE630" s="120"/>
      <x:c r="AF630" s="121"/>
      <x:c r="AG630" s="122"/>
      <x:c r="AH630" s="120"/>
      <x:c r="AI630" s="122"/>
      <x:c r="AJ630" s="120"/>
      <x:c r="AK630" s="121"/>
      <x:c r="AL630" s="122"/>
      <x:c r="AM630" s="120"/>
      <x:c r="AN630" s="122"/>
      <x:c r="AO630" s="120"/>
      <x:c r="AP630" s="121"/>
      <x:c r="AQ630" s="122"/>
      <x:c r="AR630" s="120"/>
      <x:c r="AS630" s="122"/>
      <x:c r="AT630" s="120"/>
      <x:c r="AU630" s="121"/>
      <x:c r="AV630" s="122"/>
      <x:c r="AW630" s="120"/>
      <x:c r="AX630" s="122"/>
      <x:c r="AY630" s="120"/>
      <x:c r="AZ630" s="121"/>
      <x:c r="BA630" s="122"/>
      <x:c r="BB630" s="120"/>
      <x:c r="BC630" s="122"/>
      <x:c r="BD630" s="120"/>
      <x:c r="BE630" s="121"/>
      <x:c r="BF630" s="122"/>
      <x:c r="BG630" s="120"/>
      <x:c r="BH630" s="122"/>
      <x:c r="BI630" s="120"/>
      <x:c r="BJ630" s="121"/>
    </x:row>
    <x:row r="631" ht="15.75" customHeight="1">
      <x:c r="N631" s="120"/>
      <x:c r="P631" s="120"/>
      <x:c r="Q631" s="121"/>
      <x:c r="S631" s="120"/>
      <x:c r="U631" s="120"/>
      <x:c r="V631" s="121"/>
      <x:c r="W631" s="122"/>
      <x:c r="X631" s="120"/>
      <x:c r="Y631" s="122"/>
      <x:c r="Z631" s="120"/>
      <x:c r="AA631" s="121"/>
      <x:c r="AB631" s="122"/>
      <x:c r="AC631" s="120"/>
      <x:c r="AD631" s="122"/>
      <x:c r="AE631" s="120"/>
      <x:c r="AF631" s="121"/>
      <x:c r="AG631" s="122"/>
      <x:c r="AH631" s="120"/>
      <x:c r="AI631" s="122"/>
      <x:c r="AJ631" s="120"/>
      <x:c r="AK631" s="121"/>
      <x:c r="AL631" s="122"/>
      <x:c r="AM631" s="120"/>
      <x:c r="AN631" s="122"/>
      <x:c r="AO631" s="120"/>
      <x:c r="AP631" s="121"/>
      <x:c r="AQ631" s="122"/>
      <x:c r="AR631" s="120"/>
      <x:c r="AS631" s="122"/>
      <x:c r="AT631" s="120"/>
      <x:c r="AU631" s="121"/>
      <x:c r="AV631" s="122"/>
      <x:c r="AW631" s="120"/>
      <x:c r="AX631" s="122"/>
      <x:c r="AY631" s="120"/>
      <x:c r="AZ631" s="121"/>
      <x:c r="BA631" s="122"/>
      <x:c r="BB631" s="120"/>
      <x:c r="BC631" s="122"/>
      <x:c r="BD631" s="120"/>
      <x:c r="BE631" s="121"/>
      <x:c r="BF631" s="122"/>
      <x:c r="BG631" s="120"/>
      <x:c r="BH631" s="122"/>
      <x:c r="BI631" s="120"/>
      <x:c r="BJ631" s="121"/>
    </x:row>
    <x:row r="632" ht="15.75" customHeight="1">
      <x:c r="N632" s="120"/>
      <x:c r="P632" s="120"/>
      <x:c r="Q632" s="121"/>
      <x:c r="S632" s="120"/>
      <x:c r="U632" s="120"/>
      <x:c r="V632" s="121"/>
      <x:c r="W632" s="122"/>
      <x:c r="X632" s="120"/>
      <x:c r="Y632" s="122"/>
      <x:c r="Z632" s="120"/>
      <x:c r="AA632" s="121"/>
      <x:c r="AB632" s="122"/>
      <x:c r="AC632" s="120"/>
      <x:c r="AD632" s="122"/>
      <x:c r="AE632" s="120"/>
      <x:c r="AF632" s="121"/>
      <x:c r="AG632" s="122"/>
      <x:c r="AH632" s="120"/>
      <x:c r="AI632" s="122"/>
      <x:c r="AJ632" s="120"/>
      <x:c r="AK632" s="121"/>
      <x:c r="AL632" s="122"/>
      <x:c r="AM632" s="120"/>
      <x:c r="AN632" s="122"/>
      <x:c r="AO632" s="120"/>
      <x:c r="AP632" s="121"/>
      <x:c r="AQ632" s="122"/>
      <x:c r="AR632" s="120"/>
      <x:c r="AS632" s="122"/>
      <x:c r="AT632" s="120"/>
      <x:c r="AU632" s="121"/>
      <x:c r="AV632" s="122"/>
      <x:c r="AW632" s="120"/>
      <x:c r="AX632" s="122"/>
      <x:c r="AY632" s="120"/>
      <x:c r="AZ632" s="121"/>
      <x:c r="BA632" s="122"/>
      <x:c r="BB632" s="120"/>
      <x:c r="BC632" s="122"/>
      <x:c r="BD632" s="120"/>
      <x:c r="BE632" s="121"/>
      <x:c r="BF632" s="122"/>
      <x:c r="BG632" s="120"/>
      <x:c r="BH632" s="122"/>
      <x:c r="BI632" s="120"/>
      <x:c r="BJ632" s="121"/>
    </x:row>
    <x:row r="633" ht="15.75" customHeight="1">
      <x:c r="N633" s="120"/>
      <x:c r="P633" s="120"/>
      <x:c r="Q633" s="121"/>
      <x:c r="S633" s="120"/>
      <x:c r="U633" s="120"/>
      <x:c r="V633" s="121"/>
      <x:c r="W633" s="122"/>
      <x:c r="X633" s="120"/>
      <x:c r="Y633" s="122"/>
      <x:c r="Z633" s="120"/>
      <x:c r="AA633" s="121"/>
      <x:c r="AB633" s="122"/>
      <x:c r="AC633" s="120"/>
      <x:c r="AD633" s="122"/>
      <x:c r="AE633" s="120"/>
      <x:c r="AF633" s="121"/>
      <x:c r="AG633" s="122"/>
      <x:c r="AH633" s="120"/>
      <x:c r="AI633" s="122"/>
      <x:c r="AJ633" s="120"/>
      <x:c r="AK633" s="121"/>
      <x:c r="AL633" s="122"/>
      <x:c r="AM633" s="120"/>
      <x:c r="AN633" s="122"/>
      <x:c r="AO633" s="120"/>
      <x:c r="AP633" s="121"/>
      <x:c r="AQ633" s="122"/>
      <x:c r="AR633" s="120"/>
      <x:c r="AS633" s="122"/>
      <x:c r="AT633" s="120"/>
      <x:c r="AU633" s="121"/>
      <x:c r="AV633" s="122"/>
      <x:c r="AW633" s="120"/>
      <x:c r="AX633" s="122"/>
      <x:c r="AY633" s="120"/>
      <x:c r="AZ633" s="121"/>
      <x:c r="BA633" s="122"/>
      <x:c r="BB633" s="120"/>
      <x:c r="BC633" s="122"/>
      <x:c r="BD633" s="120"/>
      <x:c r="BE633" s="121"/>
      <x:c r="BF633" s="122"/>
      <x:c r="BG633" s="120"/>
      <x:c r="BH633" s="122"/>
      <x:c r="BI633" s="120"/>
      <x:c r="BJ633" s="121"/>
    </x:row>
    <x:row r="634" ht="15.75" customHeight="1">
      <x:c r="N634" s="120"/>
      <x:c r="P634" s="120"/>
      <x:c r="Q634" s="121"/>
      <x:c r="S634" s="120"/>
      <x:c r="U634" s="120"/>
      <x:c r="V634" s="121"/>
      <x:c r="W634" s="122"/>
      <x:c r="X634" s="120"/>
      <x:c r="Y634" s="122"/>
      <x:c r="Z634" s="120"/>
      <x:c r="AA634" s="121"/>
      <x:c r="AB634" s="122"/>
      <x:c r="AC634" s="120"/>
      <x:c r="AD634" s="122"/>
      <x:c r="AE634" s="120"/>
      <x:c r="AF634" s="121"/>
      <x:c r="AG634" s="122"/>
      <x:c r="AH634" s="120"/>
      <x:c r="AI634" s="122"/>
      <x:c r="AJ634" s="120"/>
      <x:c r="AK634" s="121"/>
      <x:c r="AL634" s="122"/>
      <x:c r="AM634" s="120"/>
      <x:c r="AN634" s="122"/>
      <x:c r="AO634" s="120"/>
      <x:c r="AP634" s="121"/>
      <x:c r="AQ634" s="122"/>
      <x:c r="AR634" s="120"/>
      <x:c r="AS634" s="122"/>
      <x:c r="AT634" s="120"/>
      <x:c r="AU634" s="121"/>
      <x:c r="AV634" s="122"/>
      <x:c r="AW634" s="120"/>
      <x:c r="AX634" s="122"/>
      <x:c r="AY634" s="120"/>
      <x:c r="AZ634" s="121"/>
      <x:c r="BA634" s="122"/>
      <x:c r="BB634" s="120"/>
      <x:c r="BC634" s="122"/>
      <x:c r="BD634" s="120"/>
      <x:c r="BE634" s="121"/>
      <x:c r="BF634" s="122"/>
      <x:c r="BG634" s="120"/>
      <x:c r="BH634" s="122"/>
      <x:c r="BI634" s="120"/>
      <x:c r="BJ634" s="121"/>
    </x:row>
    <x:row r="635" ht="15.75" customHeight="1">
      <x:c r="N635" s="120"/>
      <x:c r="P635" s="120"/>
      <x:c r="Q635" s="121"/>
      <x:c r="S635" s="120"/>
      <x:c r="U635" s="120"/>
      <x:c r="V635" s="121"/>
      <x:c r="W635" s="122"/>
      <x:c r="X635" s="120"/>
      <x:c r="Y635" s="122"/>
      <x:c r="Z635" s="120"/>
      <x:c r="AA635" s="121"/>
      <x:c r="AB635" s="122"/>
      <x:c r="AC635" s="120"/>
      <x:c r="AD635" s="122"/>
      <x:c r="AE635" s="120"/>
      <x:c r="AF635" s="121"/>
      <x:c r="AG635" s="122"/>
      <x:c r="AH635" s="120"/>
      <x:c r="AI635" s="122"/>
      <x:c r="AJ635" s="120"/>
      <x:c r="AK635" s="121"/>
      <x:c r="AL635" s="122"/>
      <x:c r="AM635" s="120"/>
      <x:c r="AN635" s="122"/>
      <x:c r="AO635" s="120"/>
      <x:c r="AP635" s="121"/>
      <x:c r="AQ635" s="122"/>
      <x:c r="AR635" s="120"/>
      <x:c r="AS635" s="122"/>
      <x:c r="AT635" s="120"/>
      <x:c r="AU635" s="121"/>
      <x:c r="AV635" s="122"/>
      <x:c r="AW635" s="120"/>
      <x:c r="AX635" s="122"/>
      <x:c r="AY635" s="120"/>
      <x:c r="AZ635" s="121"/>
      <x:c r="BA635" s="122"/>
      <x:c r="BB635" s="120"/>
      <x:c r="BC635" s="122"/>
      <x:c r="BD635" s="120"/>
      <x:c r="BE635" s="121"/>
      <x:c r="BF635" s="122"/>
      <x:c r="BG635" s="120"/>
      <x:c r="BH635" s="122"/>
      <x:c r="BI635" s="120"/>
      <x:c r="BJ635" s="121"/>
    </x:row>
    <x:row r="636" ht="15.75" customHeight="1">
      <x:c r="N636" s="120"/>
      <x:c r="P636" s="120"/>
      <x:c r="Q636" s="121"/>
      <x:c r="S636" s="120"/>
      <x:c r="U636" s="120"/>
      <x:c r="V636" s="121"/>
      <x:c r="W636" s="122"/>
      <x:c r="X636" s="120"/>
      <x:c r="Y636" s="122"/>
      <x:c r="Z636" s="120"/>
      <x:c r="AA636" s="121"/>
      <x:c r="AB636" s="122"/>
      <x:c r="AC636" s="120"/>
      <x:c r="AD636" s="122"/>
      <x:c r="AE636" s="120"/>
      <x:c r="AF636" s="121"/>
      <x:c r="AG636" s="122"/>
      <x:c r="AH636" s="120"/>
      <x:c r="AI636" s="122"/>
      <x:c r="AJ636" s="120"/>
      <x:c r="AK636" s="121"/>
      <x:c r="AL636" s="122"/>
      <x:c r="AM636" s="120"/>
      <x:c r="AN636" s="122"/>
      <x:c r="AO636" s="120"/>
      <x:c r="AP636" s="121"/>
      <x:c r="AQ636" s="122"/>
      <x:c r="AR636" s="120"/>
      <x:c r="AS636" s="122"/>
      <x:c r="AT636" s="120"/>
      <x:c r="AU636" s="121"/>
      <x:c r="AV636" s="122"/>
      <x:c r="AW636" s="120"/>
      <x:c r="AX636" s="122"/>
      <x:c r="AY636" s="120"/>
      <x:c r="AZ636" s="121"/>
      <x:c r="BA636" s="122"/>
      <x:c r="BB636" s="120"/>
      <x:c r="BC636" s="122"/>
      <x:c r="BD636" s="120"/>
      <x:c r="BE636" s="121"/>
      <x:c r="BF636" s="122"/>
      <x:c r="BG636" s="120"/>
      <x:c r="BH636" s="122"/>
      <x:c r="BI636" s="120"/>
      <x:c r="BJ636" s="121"/>
    </x:row>
    <x:row r="637" ht="15.75" customHeight="1">
      <x:c r="N637" s="120"/>
      <x:c r="P637" s="120"/>
      <x:c r="Q637" s="121"/>
      <x:c r="S637" s="120"/>
      <x:c r="U637" s="120"/>
      <x:c r="V637" s="121"/>
      <x:c r="W637" s="122"/>
      <x:c r="X637" s="120"/>
      <x:c r="Y637" s="122"/>
      <x:c r="Z637" s="120"/>
      <x:c r="AA637" s="121"/>
      <x:c r="AB637" s="122"/>
      <x:c r="AC637" s="120"/>
      <x:c r="AD637" s="122"/>
      <x:c r="AE637" s="120"/>
      <x:c r="AF637" s="121"/>
      <x:c r="AG637" s="122"/>
      <x:c r="AH637" s="120"/>
      <x:c r="AI637" s="122"/>
      <x:c r="AJ637" s="120"/>
      <x:c r="AK637" s="121"/>
      <x:c r="AL637" s="122"/>
      <x:c r="AM637" s="120"/>
      <x:c r="AN637" s="122"/>
      <x:c r="AO637" s="120"/>
      <x:c r="AP637" s="121"/>
      <x:c r="AQ637" s="122"/>
      <x:c r="AR637" s="120"/>
      <x:c r="AS637" s="122"/>
      <x:c r="AT637" s="120"/>
      <x:c r="AU637" s="121"/>
      <x:c r="AV637" s="122"/>
      <x:c r="AW637" s="120"/>
      <x:c r="AX637" s="122"/>
      <x:c r="AY637" s="120"/>
      <x:c r="AZ637" s="121"/>
      <x:c r="BA637" s="122"/>
      <x:c r="BB637" s="120"/>
      <x:c r="BC637" s="122"/>
      <x:c r="BD637" s="120"/>
      <x:c r="BE637" s="121"/>
      <x:c r="BF637" s="122"/>
      <x:c r="BG637" s="120"/>
      <x:c r="BH637" s="122"/>
      <x:c r="BI637" s="120"/>
      <x:c r="BJ637" s="121"/>
    </x:row>
    <x:row r="638" ht="15.75" customHeight="1">
      <x:c r="N638" s="120"/>
      <x:c r="P638" s="120"/>
      <x:c r="Q638" s="121"/>
      <x:c r="S638" s="120"/>
      <x:c r="U638" s="120"/>
      <x:c r="V638" s="121"/>
      <x:c r="W638" s="122"/>
      <x:c r="X638" s="120"/>
      <x:c r="Y638" s="122"/>
      <x:c r="Z638" s="120"/>
      <x:c r="AA638" s="121"/>
      <x:c r="AB638" s="122"/>
      <x:c r="AC638" s="120"/>
      <x:c r="AD638" s="122"/>
      <x:c r="AE638" s="120"/>
      <x:c r="AF638" s="121"/>
      <x:c r="AG638" s="122"/>
      <x:c r="AH638" s="120"/>
      <x:c r="AI638" s="122"/>
      <x:c r="AJ638" s="120"/>
      <x:c r="AK638" s="121"/>
      <x:c r="AL638" s="122"/>
      <x:c r="AM638" s="120"/>
      <x:c r="AN638" s="122"/>
      <x:c r="AO638" s="120"/>
      <x:c r="AP638" s="121"/>
      <x:c r="AQ638" s="122"/>
      <x:c r="AR638" s="120"/>
      <x:c r="AS638" s="122"/>
      <x:c r="AT638" s="120"/>
      <x:c r="AU638" s="121"/>
      <x:c r="AV638" s="122"/>
      <x:c r="AW638" s="120"/>
      <x:c r="AX638" s="122"/>
      <x:c r="AY638" s="120"/>
      <x:c r="AZ638" s="121"/>
      <x:c r="BA638" s="122"/>
      <x:c r="BB638" s="120"/>
      <x:c r="BC638" s="122"/>
      <x:c r="BD638" s="120"/>
      <x:c r="BE638" s="121"/>
      <x:c r="BF638" s="122"/>
      <x:c r="BG638" s="120"/>
      <x:c r="BH638" s="122"/>
      <x:c r="BI638" s="120"/>
      <x:c r="BJ638" s="121"/>
    </x:row>
    <x:row r="639" ht="15.75" customHeight="1">
      <x:c r="N639" s="120"/>
      <x:c r="P639" s="120"/>
      <x:c r="Q639" s="121"/>
      <x:c r="S639" s="120"/>
      <x:c r="U639" s="120"/>
      <x:c r="V639" s="121"/>
      <x:c r="W639" s="122"/>
      <x:c r="X639" s="120"/>
      <x:c r="Y639" s="122"/>
      <x:c r="Z639" s="120"/>
      <x:c r="AA639" s="121"/>
      <x:c r="AB639" s="122"/>
      <x:c r="AC639" s="120"/>
      <x:c r="AD639" s="122"/>
      <x:c r="AE639" s="120"/>
      <x:c r="AF639" s="121"/>
      <x:c r="AG639" s="122"/>
      <x:c r="AH639" s="120"/>
      <x:c r="AI639" s="122"/>
      <x:c r="AJ639" s="120"/>
      <x:c r="AK639" s="121"/>
      <x:c r="AL639" s="122"/>
      <x:c r="AM639" s="120"/>
      <x:c r="AN639" s="122"/>
      <x:c r="AO639" s="120"/>
      <x:c r="AP639" s="121"/>
      <x:c r="AQ639" s="122"/>
      <x:c r="AR639" s="120"/>
      <x:c r="AS639" s="122"/>
      <x:c r="AT639" s="120"/>
      <x:c r="AU639" s="121"/>
      <x:c r="AV639" s="122"/>
      <x:c r="AW639" s="120"/>
      <x:c r="AX639" s="122"/>
      <x:c r="AY639" s="120"/>
      <x:c r="AZ639" s="121"/>
      <x:c r="BA639" s="122"/>
      <x:c r="BB639" s="120"/>
      <x:c r="BC639" s="122"/>
      <x:c r="BD639" s="120"/>
      <x:c r="BE639" s="121"/>
      <x:c r="BF639" s="122"/>
      <x:c r="BG639" s="120"/>
      <x:c r="BH639" s="122"/>
      <x:c r="BI639" s="120"/>
      <x:c r="BJ639" s="121"/>
    </x:row>
    <x:row r="640" ht="15.75" customHeight="1">
      <x:c r="N640" s="120"/>
      <x:c r="P640" s="120"/>
      <x:c r="Q640" s="121"/>
      <x:c r="S640" s="120"/>
      <x:c r="U640" s="120"/>
      <x:c r="V640" s="121"/>
      <x:c r="W640" s="122"/>
      <x:c r="X640" s="120"/>
      <x:c r="Y640" s="122"/>
      <x:c r="Z640" s="120"/>
      <x:c r="AA640" s="121"/>
      <x:c r="AB640" s="122"/>
      <x:c r="AC640" s="120"/>
      <x:c r="AD640" s="122"/>
      <x:c r="AE640" s="120"/>
      <x:c r="AF640" s="121"/>
      <x:c r="AG640" s="122"/>
      <x:c r="AH640" s="120"/>
      <x:c r="AI640" s="122"/>
      <x:c r="AJ640" s="120"/>
      <x:c r="AK640" s="121"/>
      <x:c r="AL640" s="122"/>
      <x:c r="AM640" s="120"/>
      <x:c r="AN640" s="122"/>
      <x:c r="AO640" s="120"/>
      <x:c r="AP640" s="121"/>
      <x:c r="AQ640" s="122"/>
      <x:c r="AR640" s="120"/>
      <x:c r="AS640" s="122"/>
      <x:c r="AT640" s="120"/>
      <x:c r="AU640" s="121"/>
      <x:c r="AV640" s="122"/>
      <x:c r="AW640" s="120"/>
      <x:c r="AX640" s="122"/>
      <x:c r="AY640" s="120"/>
      <x:c r="AZ640" s="121"/>
      <x:c r="BA640" s="122"/>
      <x:c r="BB640" s="120"/>
      <x:c r="BC640" s="122"/>
      <x:c r="BD640" s="120"/>
      <x:c r="BE640" s="121"/>
      <x:c r="BF640" s="122"/>
      <x:c r="BG640" s="120"/>
      <x:c r="BH640" s="122"/>
      <x:c r="BI640" s="120"/>
      <x:c r="BJ640" s="121"/>
    </x:row>
    <x:row r="641" ht="15.75" customHeight="1">
      <x:c r="N641" s="120"/>
      <x:c r="P641" s="120"/>
      <x:c r="Q641" s="121"/>
      <x:c r="S641" s="120"/>
      <x:c r="U641" s="120"/>
      <x:c r="V641" s="121"/>
      <x:c r="W641" s="122"/>
      <x:c r="X641" s="120"/>
      <x:c r="Y641" s="122"/>
      <x:c r="Z641" s="120"/>
      <x:c r="AA641" s="121"/>
      <x:c r="AB641" s="122"/>
      <x:c r="AC641" s="120"/>
      <x:c r="AD641" s="122"/>
      <x:c r="AE641" s="120"/>
      <x:c r="AF641" s="121"/>
      <x:c r="AG641" s="122"/>
      <x:c r="AH641" s="120"/>
      <x:c r="AI641" s="122"/>
      <x:c r="AJ641" s="120"/>
      <x:c r="AK641" s="121"/>
      <x:c r="AL641" s="122"/>
      <x:c r="AM641" s="120"/>
      <x:c r="AN641" s="122"/>
      <x:c r="AO641" s="120"/>
      <x:c r="AP641" s="121"/>
      <x:c r="AQ641" s="122"/>
      <x:c r="AR641" s="120"/>
      <x:c r="AS641" s="122"/>
      <x:c r="AT641" s="120"/>
      <x:c r="AU641" s="121"/>
      <x:c r="AV641" s="122"/>
      <x:c r="AW641" s="120"/>
      <x:c r="AX641" s="122"/>
      <x:c r="AY641" s="120"/>
      <x:c r="AZ641" s="121"/>
      <x:c r="BA641" s="122"/>
      <x:c r="BB641" s="120"/>
      <x:c r="BC641" s="122"/>
      <x:c r="BD641" s="120"/>
      <x:c r="BE641" s="121"/>
      <x:c r="BF641" s="122"/>
      <x:c r="BG641" s="120"/>
      <x:c r="BH641" s="122"/>
      <x:c r="BI641" s="120"/>
      <x:c r="BJ641" s="121"/>
    </x:row>
    <x:row r="642" ht="15.75" customHeight="1">
      <x:c r="N642" s="120"/>
      <x:c r="P642" s="120"/>
      <x:c r="Q642" s="121"/>
      <x:c r="S642" s="120"/>
      <x:c r="U642" s="120"/>
      <x:c r="V642" s="121"/>
      <x:c r="W642" s="122"/>
      <x:c r="X642" s="120"/>
      <x:c r="Y642" s="122"/>
      <x:c r="Z642" s="120"/>
      <x:c r="AA642" s="121"/>
      <x:c r="AB642" s="122"/>
      <x:c r="AC642" s="120"/>
      <x:c r="AD642" s="122"/>
      <x:c r="AE642" s="120"/>
      <x:c r="AF642" s="121"/>
      <x:c r="AG642" s="122"/>
      <x:c r="AH642" s="120"/>
      <x:c r="AI642" s="122"/>
      <x:c r="AJ642" s="120"/>
      <x:c r="AK642" s="121"/>
      <x:c r="AL642" s="122"/>
      <x:c r="AM642" s="120"/>
      <x:c r="AN642" s="122"/>
      <x:c r="AO642" s="120"/>
      <x:c r="AP642" s="121"/>
      <x:c r="AQ642" s="122"/>
      <x:c r="AR642" s="120"/>
      <x:c r="AS642" s="122"/>
      <x:c r="AT642" s="120"/>
      <x:c r="AU642" s="121"/>
      <x:c r="AV642" s="122"/>
      <x:c r="AW642" s="120"/>
      <x:c r="AX642" s="122"/>
      <x:c r="AY642" s="120"/>
      <x:c r="AZ642" s="121"/>
      <x:c r="BA642" s="122"/>
      <x:c r="BB642" s="120"/>
      <x:c r="BC642" s="122"/>
      <x:c r="BD642" s="120"/>
      <x:c r="BE642" s="121"/>
      <x:c r="BF642" s="122"/>
      <x:c r="BG642" s="120"/>
      <x:c r="BH642" s="122"/>
      <x:c r="BI642" s="120"/>
      <x:c r="BJ642" s="121"/>
    </x:row>
    <x:row r="643" ht="15.75" customHeight="1">
      <x:c r="N643" s="120"/>
      <x:c r="P643" s="120"/>
      <x:c r="Q643" s="121"/>
      <x:c r="S643" s="120"/>
      <x:c r="U643" s="120"/>
      <x:c r="V643" s="121"/>
      <x:c r="W643" s="122"/>
      <x:c r="X643" s="120"/>
      <x:c r="Y643" s="122"/>
      <x:c r="Z643" s="120"/>
      <x:c r="AA643" s="121"/>
      <x:c r="AB643" s="122"/>
      <x:c r="AC643" s="120"/>
      <x:c r="AD643" s="122"/>
      <x:c r="AE643" s="120"/>
      <x:c r="AF643" s="121"/>
      <x:c r="AG643" s="122"/>
      <x:c r="AH643" s="120"/>
      <x:c r="AI643" s="122"/>
      <x:c r="AJ643" s="120"/>
      <x:c r="AK643" s="121"/>
      <x:c r="AL643" s="122"/>
      <x:c r="AM643" s="120"/>
      <x:c r="AN643" s="122"/>
      <x:c r="AO643" s="120"/>
      <x:c r="AP643" s="121"/>
      <x:c r="AQ643" s="122"/>
      <x:c r="AR643" s="120"/>
      <x:c r="AS643" s="122"/>
      <x:c r="AT643" s="120"/>
      <x:c r="AU643" s="121"/>
      <x:c r="AV643" s="122"/>
      <x:c r="AW643" s="120"/>
      <x:c r="AX643" s="122"/>
      <x:c r="AY643" s="120"/>
      <x:c r="AZ643" s="121"/>
      <x:c r="BA643" s="122"/>
      <x:c r="BB643" s="120"/>
      <x:c r="BC643" s="122"/>
      <x:c r="BD643" s="120"/>
      <x:c r="BE643" s="121"/>
      <x:c r="BF643" s="122"/>
      <x:c r="BG643" s="120"/>
      <x:c r="BH643" s="122"/>
      <x:c r="BI643" s="120"/>
      <x:c r="BJ643" s="121"/>
    </x:row>
    <x:row r="644" ht="15.75" customHeight="1">
      <x:c r="N644" s="120"/>
      <x:c r="P644" s="120"/>
      <x:c r="Q644" s="121"/>
      <x:c r="S644" s="120"/>
      <x:c r="U644" s="120"/>
      <x:c r="V644" s="121"/>
      <x:c r="W644" s="122"/>
      <x:c r="X644" s="120"/>
      <x:c r="Y644" s="122"/>
      <x:c r="Z644" s="120"/>
      <x:c r="AA644" s="121"/>
      <x:c r="AB644" s="122"/>
      <x:c r="AC644" s="120"/>
      <x:c r="AD644" s="122"/>
      <x:c r="AE644" s="120"/>
      <x:c r="AF644" s="121"/>
      <x:c r="AG644" s="122"/>
      <x:c r="AH644" s="120"/>
      <x:c r="AI644" s="122"/>
      <x:c r="AJ644" s="120"/>
      <x:c r="AK644" s="121"/>
      <x:c r="AL644" s="122"/>
      <x:c r="AM644" s="120"/>
      <x:c r="AN644" s="122"/>
      <x:c r="AO644" s="120"/>
      <x:c r="AP644" s="121"/>
      <x:c r="AQ644" s="122"/>
      <x:c r="AR644" s="120"/>
      <x:c r="AS644" s="122"/>
      <x:c r="AT644" s="120"/>
      <x:c r="AU644" s="121"/>
      <x:c r="AV644" s="122"/>
      <x:c r="AW644" s="120"/>
      <x:c r="AX644" s="122"/>
      <x:c r="AY644" s="120"/>
      <x:c r="AZ644" s="121"/>
      <x:c r="BA644" s="122"/>
      <x:c r="BB644" s="120"/>
      <x:c r="BC644" s="122"/>
      <x:c r="BD644" s="120"/>
      <x:c r="BE644" s="121"/>
      <x:c r="BF644" s="122"/>
      <x:c r="BG644" s="120"/>
      <x:c r="BH644" s="122"/>
      <x:c r="BI644" s="120"/>
      <x:c r="BJ644" s="121"/>
    </x:row>
    <x:row r="645" ht="15.75" customHeight="1">
      <x:c r="N645" s="120"/>
      <x:c r="P645" s="120"/>
      <x:c r="Q645" s="121"/>
      <x:c r="S645" s="120"/>
      <x:c r="U645" s="120"/>
      <x:c r="V645" s="121"/>
      <x:c r="W645" s="122"/>
      <x:c r="X645" s="120"/>
      <x:c r="Y645" s="122"/>
      <x:c r="Z645" s="120"/>
      <x:c r="AA645" s="121"/>
      <x:c r="AB645" s="122"/>
      <x:c r="AC645" s="120"/>
      <x:c r="AD645" s="122"/>
      <x:c r="AE645" s="120"/>
      <x:c r="AF645" s="121"/>
      <x:c r="AG645" s="122"/>
      <x:c r="AH645" s="120"/>
      <x:c r="AI645" s="122"/>
      <x:c r="AJ645" s="120"/>
      <x:c r="AK645" s="121"/>
      <x:c r="AL645" s="122"/>
      <x:c r="AM645" s="120"/>
      <x:c r="AN645" s="122"/>
      <x:c r="AO645" s="120"/>
      <x:c r="AP645" s="121"/>
      <x:c r="AQ645" s="122"/>
      <x:c r="AR645" s="120"/>
      <x:c r="AS645" s="122"/>
      <x:c r="AT645" s="120"/>
      <x:c r="AU645" s="121"/>
      <x:c r="AV645" s="122"/>
      <x:c r="AW645" s="120"/>
      <x:c r="AX645" s="122"/>
      <x:c r="AY645" s="120"/>
      <x:c r="AZ645" s="121"/>
      <x:c r="BA645" s="122"/>
      <x:c r="BB645" s="120"/>
      <x:c r="BC645" s="122"/>
      <x:c r="BD645" s="120"/>
      <x:c r="BE645" s="121"/>
      <x:c r="BF645" s="122"/>
      <x:c r="BG645" s="120"/>
      <x:c r="BH645" s="122"/>
      <x:c r="BI645" s="120"/>
      <x:c r="BJ645" s="121"/>
    </x:row>
    <x:row r="646" ht="15.75" customHeight="1">
      <x:c r="N646" s="120"/>
      <x:c r="P646" s="120"/>
      <x:c r="Q646" s="121"/>
      <x:c r="S646" s="120"/>
      <x:c r="U646" s="120"/>
      <x:c r="V646" s="121"/>
      <x:c r="W646" s="122"/>
      <x:c r="X646" s="120"/>
      <x:c r="Y646" s="122"/>
      <x:c r="Z646" s="120"/>
      <x:c r="AA646" s="121"/>
      <x:c r="AB646" s="122"/>
      <x:c r="AC646" s="120"/>
      <x:c r="AD646" s="122"/>
      <x:c r="AE646" s="120"/>
      <x:c r="AF646" s="121"/>
      <x:c r="AG646" s="122"/>
      <x:c r="AH646" s="120"/>
      <x:c r="AI646" s="122"/>
      <x:c r="AJ646" s="120"/>
      <x:c r="AK646" s="121"/>
      <x:c r="AL646" s="122"/>
      <x:c r="AM646" s="120"/>
      <x:c r="AN646" s="122"/>
      <x:c r="AO646" s="120"/>
      <x:c r="AP646" s="121"/>
      <x:c r="AQ646" s="122"/>
      <x:c r="AR646" s="120"/>
      <x:c r="AS646" s="122"/>
      <x:c r="AT646" s="120"/>
      <x:c r="AU646" s="121"/>
      <x:c r="AV646" s="122"/>
      <x:c r="AW646" s="120"/>
      <x:c r="AX646" s="122"/>
      <x:c r="AY646" s="120"/>
      <x:c r="AZ646" s="121"/>
      <x:c r="BA646" s="122"/>
      <x:c r="BB646" s="120"/>
      <x:c r="BC646" s="122"/>
      <x:c r="BD646" s="120"/>
      <x:c r="BE646" s="121"/>
      <x:c r="BF646" s="122"/>
      <x:c r="BG646" s="120"/>
      <x:c r="BH646" s="122"/>
      <x:c r="BI646" s="120"/>
      <x:c r="BJ646" s="121"/>
    </x:row>
    <x:row r="647" ht="15.75" customHeight="1">
      <x:c r="N647" s="120"/>
      <x:c r="P647" s="120"/>
      <x:c r="Q647" s="121"/>
      <x:c r="S647" s="120"/>
      <x:c r="U647" s="120"/>
      <x:c r="V647" s="121"/>
      <x:c r="W647" s="122"/>
      <x:c r="X647" s="120"/>
      <x:c r="Y647" s="122"/>
      <x:c r="Z647" s="120"/>
      <x:c r="AA647" s="121"/>
      <x:c r="AB647" s="122"/>
      <x:c r="AC647" s="120"/>
      <x:c r="AD647" s="122"/>
      <x:c r="AE647" s="120"/>
      <x:c r="AF647" s="121"/>
      <x:c r="AG647" s="122"/>
      <x:c r="AH647" s="120"/>
      <x:c r="AI647" s="122"/>
      <x:c r="AJ647" s="120"/>
      <x:c r="AK647" s="121"/>
      <x:c r="AL647" s="122"/>
      <x:c r="AM647" s="120"/>
      <x:c r="AN647" s="122"/>
      <x:c r="AO647" s="120"/>
      <x:c r="AP647" s="121"/>
      <x:c r="AQ647" s="122"/>
      <x:c r="AR647" s="120"/>
      <x:c r="AS647" s="122"/>
      <x:c r="AT647" s="120"/>
      <x:c r="AU647" s="121"/>
      <x:c r="AV647" s="122"/>
      <x:c r="AW647" s="120"/>
      <x:c r="AX647" s="122"/>
      <x:c r="AY647" s="120"/>
      <x:c r="AZ647" s="121"/>
      <x:c r="BA647" s="122"/>
      <x:c r="BB647" s="120"/>
      <x:c r="BC647" s="122"/>
      <x:c r="BD647" s="120"/>
      <x:c r="BE647" s="121"/>
      <x:c r="BF647" s="122"/>
      <x:c r="BG647" s="120"/>
      <x:c r="BH647" s="122"/>
      <x:c r="BI647" s="120"/>
      <x:c r="BJ647" s="121"/>
    </x:row>
    <x:row r="648" ht="15.75" customHeight="1">
      <x:c r="N648" s="120"/>
      <x:c r="P648" s="120"/>
      <x:c r="Q648" s="121"/>
      <x:c r="S648" s="120"/>
      <x:c r="U648" s="120"/>
      <x:c r="V648" s="121"/>
      <x:c r="W648" s="122"/>
      <x:c r="X648" s="120"/>
      <x:c r="Y648" s="122"/>
      <x:c r="Z648" s="120"/>
      <x:c r="AA648" s="121"/>
      <x:c r="AB648" s="122"/>
      <x:c r="AC648" s="120"/>
      <x:c r="AD648" s="122"/>
      <x:c r="AE648" s="120"/>
      <x:c r="AF648" s="121"/>
      <x:c r="AG648" s="122"/>
      <x:c r="AH648" s="120"/>
      <x:c r="AI648" s="122"/>
      <x:c r="AJ648" s="120"/>
      <x:c r="AK648" s="121"/>
      <x:c r="AL648" s="122"/>
      <x:c r="AM648" s="120"/>
      <x:c r="AN648" s="122"/>
      <x:c r="AO648" s="120"/>
      <x:c r="AP648" s="121"/>
      <x:c r="AQ648" s="122"/>
      <x:c r="AR648" s="120"/>
      <x:c r="AS648" s="122"/>
      <x:c r="AT648" s="120"/>
      <x:c r="AU648" s="121"/>
      <x:c r="AV648" s="122"/>
      <x:c r="AW648" s="120"/>
      <x:c r="AX648" s="122"/>
      <x:c r="AY648" s="120"/>
      <x:c r="AZ648" s="121"/>
      <x:c r="BA648" s="122"/>
      <x:c r="BB648" s="120"/>
      <x:c r="BC648" s="122"/>
      <x:c r="BD648" s="120"/>
      <x:c r="BE648" s="121"/>
      <x:c r="BF648" s="122"/>
      <x:c r="BG648" s="120"/>
      <x:c r="BH648" s="122"/>
      <x:c r="BI648" s="120"/>
      <x:c r="BJ648" s="121"/>
    </x:row>
    <x:row r="649" ht="15.75" customHeight="1">
      <x:c r="N649" s="120"/>
      <x:c r="P649" s="120"/>
      <x:c r="Q649" s="121"/>
      <x:c r="S649" s="120"/>
      <x:c r="U649" s="120"/>
      <x:c r="V649" s="121"/>
      <x:c r="W649" s="122"/>
      <x:c r="X649" s="120"/>
      <x:c r="Y649" s="122"/>
      <x:c r="Z649" s="120"/>
      <x:c r="AA649" s="121"/>
      <x:c r="AB649" s="122"/>
      <x:c r="AC649" s="120"/>
      <x:c r="AD649" s="122"/>
      <x:c r="AE649" s="120"/>
      <x:c r="AF649" s="121"/>
      <x:c r="AG649" s="122"/>
      <x:c r="AH649" s="120"/>
      <x:c r="AI649" s="122"/>
      <x:c r="AJ649" s="120"/>
      <x:c r="AK649" s="121"/>
      <x:c r="AL649" s="122"/>
      <x:c r="AM649" s="120"/>
      <x:c r="AN649" s="122"/>
      <x:c r="AO649" s="120"/>
      <x:c r="AP649" s="121"/>
      <x:c r="AQ649" s="122"/>
      <x:c r="AR649" s="120"/>
      <x:c r="AS649" s="122"/>
      <x:c r="AT649" s="120"/>
      <x:c r="AU649" s="121"/>
      <x:c r="AV649" s="122"/>
      <x:c r="AW649" s="120"/>
      <x:c r="AX649" s="122"/>
      <x:c r="AY649" s="120"/>
      <x:c r="AZ649" s="121"/>
      <x:c r="BA649" s="122"/>
      <x:c r="BB649" s="120"/>
      <x:c r="BC649" s="122"/>
      <x:c r="BD649" s="120"/>
      <x:c r="BE649" s="121"/>
      <x:c r="BF649" s="122"/>
      <x:c r="BG649" s="120"/>
      <x:c r="BH649" s="122"/>
      <x:c r="BI649" s="120"/>
      <x:c r="BJ649" s="121"/>
    </x:row>
    <x:row r="650" ht="15.75" customHeight="1">
      <x:c r="N650" s="120"/>
      <x:c r="P650" s="120"/>
      <x:c r="Q650" s="121"/>
      <x:c r="S650" s="120"/>
      <x:c r="U650" s="120"/>
      <x:c r="V650" s="121"/>
      <x:c r="W650" s="122"/>
      <x:c r="X650" s="120"/>
      <x:c r="Y650" s="122"/>
      <x:c r="Z650" s="120"/>
      <x:c r="AA650" s="121"/>
      <x:c r="AB650" s="122"/>
      <x:c r="AC650" s="120"/>
      <x:c r="AD650" s="122"/>
      <x:c r="AE650" s="120"/>
      <x:c r="AF650" s="121"/>
      <x:c r="AG650" s="122"/>
      <x:c r="AH650" s="120"/>
      <x:c r="AI650" s="122"/>
      <x:c r="AJ650" s="120"/>
      <x:c r="AK650" s="121"/>
      <x:c r="AL650" s="122"/>
      <x:c r="AM650" s="120"/>
      <x:c r="AN650" s="122"/>
      <x:c r="AO650" s="120"/>
      <x:c r="AP650" s="121"/>
      <x:c r="AQ650" s="122"/>
      <x:c r="AR650" s="120"/>
      <x:c r="AS650" s="122"/>
      <x:c r="AT650" s="120"/>
      <x:c r="AU650" s="121"/>
      <x:c r="AV650" s="122"/>
      <x:c r="AW650" s="120"/>
      <x:c r="AX650" s="122"/>
      <x:c r="AY650" s="120"/>
      <x:c r="AZ650" s="121"/>
      <x:c r="BA650" s="122"/>
      <x:c r="BB650" s="120"/>
      <x:c r="BC650" s="122"/>
      <x:c r="BD650" s="120"/>
      <x:c r="BE650" s="121"/>
      <x:c r="BF650" s="122"/>
      <x:c r="BG650" s="120"/>
      <x:c r="BH650" s="122"/>
      <x:c r="BI650" s="120"/>
      <x:c r="BJ650" s="121"/>
    </x:row>
    <x:row r="651" ht="15.75" customHeight="1">
      <x:c r="N651" s="120"/>
      <x:c r="P651" s="120"/>
      <x:c r="Q651" s="121"/>
      <x:c r="S651" s="120"/>
      <x:c r="U651" s="120"/>
      <x:c r="V651" s="121"/>
      <x:c r="W651" s="122"/>
      <x:c r="X651" s="120"/>
      <x:c r="Y651" s="122"/>
      <x:c r="Z651" s="120"/>
      <x:c r="AA651" s="121"/>
      <x:c r="AB651" s="122"/>
      <x:c r="AC651" s="120"/>
      <x:c r="AD651" s="122"/>
      <x:c r="AE651" s="120"/>
      <x:c r="AF651" s="121"/>
      <x:c r="AG651" s="122"/>
      <x:c r="AH651" s="120"/>
      <x:c r="AI651" s="122"/>
      <x:c r="AJ651" s="120"/>
      <x:c r="AK651" s="121"/>
      <x:c r="AL651" s="122"/>
      <x:c r="AM651" s="120"/>
      <x:c r="AN651" s="122"/>
      <x:c r="AO651" s="120"/>
      <x:c r="AP651" s="121"/>
      <x:c r="AQ651" s="122"/>
      <x:c r="AR651" s="120"/>
      <x:c r="AS651" s="122"/>
      <x:c r="AT651" s="120"/>
      <x:c r="AU651" s="121"/>
      <x:c r="AV651" s="122"/>
      <x:c r="AW651" s="120"/>
      <x:c r="AX651" s="122"/>
      <x:c r="AY651" s="120"/>
      <x:c r="AZ651" s="121"/>
      <x:c r="BA651" s="122"/>
      <x:c r="BB651" s="120"/>
      <x:c r="BC651" s="122"/>
      <x:c r="BD651" s="120"/>
      <x:c r="BE651" s="121"/>
      <x:c r="BF651" s="122"/>
      <x:c r="BG651" s="120"/>
      <x:c r="BH651" s="122"/>
      <x:c r="BI651" s="120"/>
      <x:c r="BJ651" s="121"/>
    </x:row>
    <x:row r="652" ht="15.75" customHeight="1">
      <x:c r="N652" s="120"/>
      <x:c r="P652" s="120"/>
      <x:c r="Q652" s="121"/>
      <x:c r="S652" s="120"/>
      <x:c r="U652" s="120"/>
      <x:c r="V652" s="121"/>
      <x:c r="W652" s="122"/>
      <x:c r="X652" s="120"/>
      <x:c r="Y652" s="122"/>
      <x:c r="Z652" s="120"/>
      <x:c r="AA652" s="121"/>
      <x:c r="AB652" s="122"/>
      <x:c r="AC652" s="120"/>
      <x:c r="AD652" s="122"/>
      <x:c r="AE652" s="120"/>
      <x:c r="AF652" s="121"/>
      <x:c r="AG652" s="122"/>
      <x:c r="AH652" s="120"/>
      <x:c r="AI652" s="122"/>
      <x:c r="AJ652" s="120"/>
      <x:c r="AK652" s="121"/>
      <x:c r="AL652" s="122"/>
      <x:c r="AM652" s="120"/>
      <x:c r="AN652" s="122"/>
      <x:c r="AO652" s="120"/>
      <x:c r="AP652" s="121"/>
      <x:c r="AQ652" s="122"/>
      <x:c r="AR652" s="120"/>
      <x:c r="AS652" s="122"/>
      <x:c r="AT652" s="120"/>
      <x:c r="AU652" s="121"/>
      <x:c r="AV652" s="122"/>
      <x:c r="AW652" s="120"/>
      <x:c r="AX652" s="122"/>
      <x:c r="AY652" s="120"/>
      <x:c r="AZ652" s="121"/>
      <x:c r="BA652" s="122"/>
      <x:c r="BB652" s="120"/>
      <x:c r="BC652" s="122"/>
      <x:c r="BD652" s="120"/>
      <x:c r="BE652" s="121"/>
      <x:c r="BF652" s="122"/>
      <x:c r="BG652" s="120"/>
      <x:c r="BH652" s="122"/>
      <x:c r="BI652" s="120"/>
      <x:c r="BJ652" s="121"/>
    </x:row>
    <x:row r="653" ht="15.75" customHeight="1">
      <x:c r="N653" s="120"/>
      <x:c r="P653" s="120"/>
      <x:c r="Q653" s="121"/>
      <x:c r="S653" s="120"/>
      <x:c r="U653" s="120"/>
      <x:c r="V653" s="121"/>
      <x:c r="W653" s="122"/>
      <x:c r="X653" s="120"/>
      <x:c r="Y653" s="122"/>
      <x:c r="Z653" s="120"/>
      <x:c r="AA653" s="121"/>
      <x:c r="AB653" s="122"/>
      <x:c r="AC653" s="120"/>
      <x:c r="AD653" s="122"/>
      <x:c r="AE653" s="120"/>
      <x:c r="AF653" s="121"/>
      <x:c r="AG653" s="122"/>
      <x:c r="AH653" s="120"/>
      <x:c r="AI653" s="122"/>
      <x:c r="AJ653" s="120"/>
      <x:c r="AK653" s="121"/>
      <x:c r="AL653" s="122"/>
      <x:c r="AM653" s="120"/>
      <x:c r="AN653" s="122"/>
      <x:c r="AO653" s="120"/>
      <x:c r="AP653" s="121"/>
      <x:c r="AQ653" s="122"/>
      <x:c r="AR653" s="120"/>
      <x:c r="AS653" s="122"/>
      <x:c r="AT653" s="120"/>
      <x:c r="AU653" s="121"/>
      <x:c r="AV653" s="122"/>
      <x:c r="AW653" s="120"/>
      <x:c r="AX653" s="122"/>
      <x:c r="AY653" s="120"/>
      <x:c r="AZ653" s="121"/>
      <x:c r="BA653" s="122"/>
      <x:c r="BB653" s="120"/>
      <x:c r="BC653" s="122"/>
      <x:c r="BD653" s="120"/>
      <x:c r="BE653" s="121"/>
      <x:c r="BF653" s="122"/>
      <x:c r="BG653" s="120"/>
      <x:c r="BH653" s="122"/>
      <x:c r="BI653" s="120"/>
      <x:c r="BJ653" s="121"/>
    </x:row>
    <x:row r="654" ht="15.75" customHeight="1">
      <x:c r="N654" s="120"/>
      <x:c r="P654" s="120"/>
      <x:c r="Q654" s="121"/>
      <x:c r="S654" s="120"/>
      <x:c r="U654" s="120"/>
      <x:c r="V654" s="121"/>
      <x:c r="W654" s="122"/>
      <x:c r="X654" s="120"/>
      <x:c r="Y654" s="122"/>
      <x:c r="Z654" s="120"/>
      <x:c r="AA654" s="121"/>
      <x:c r="AB654" s="122"/>
      <x:c r="AC654" s="120"/>
      <x:c r="AD654" s="122"/>
      <x:c r="AE654" s="120"/>
      <x:c r="AF654" s="121"/>
      <x:c r="AG654" s="122"/>
      <x:c r="AH654" s="120"/>
      <x:c r="AI654" s="122"/>
      <x:c r="AJ654" s="120"/>
      <x:c r="AK654" s="121"/>
      <x:c r="AL654" s="122"/>
      <x:c r="AM654" s="120"/>
      <x:c r="AN654" s="122"/>
      <x:c r="AO654" s="120"/>
      <x:c r="AP654" s="121"/>
      <x:c r="AQ654" s="122"/>
      <x:c r="AR654" s="120"/>
      <x:c r="AS654" s="122"/>
      <x:c r="AT654" s="120"/>
      <x:c r="AU654" s="121"/>
      <x:c r="AV654" s="122"/>
      <x:c r="AW654" s="120"/>
      <x:c r="AX654" s="122"/>
      <x:c r="AY654" s="120"/>
      <x:c r="AZ654" s="121"/>
      <x:c r="BA654" s="122"/>
      <x:c r="BB654" s="120"/>
      <x:c r="BC654" s="122"/>
      <x:c r="BD654" s="120"/>
      <x:c r="BE654" s="121"/>
      <x:c r="BF654" s="122"/>
      <x:c r="BG654" s="120"/>
      <x:c r="BH654" s="122"/>
      <x:c r="BI654" s="120"/>
      <x:c r="BJ654" s="121"/>
    </x:row>
    <x:row r="655" ht="15.75" customHeight="1">
      <x:c r="N655" s="120"/>
      <x:c r="P655" s="120"/>
      <x:c r="Q655" s="121"/>
      <x:c r="S655" s="120"/>
      <x:c r="U655" s="120"/>
      <x:c r="V655" s="121"/>
      <x:c r="W655" s="122"/>
      <x:c r="X655" s="120"/>
      <x:c r="Y655" s="122"/>
      <x:c r="Z655" s="120"/>
      <x:c r="AA655" s="121"/>
      <x:c r="AB655" s="122"/>
      <x:c r="AC655" s="120"/>
      <x:c r="AD655" s="122"/>
      <x:c r="AE655" s="120"/>
      <x:c r="AF655" s="121"/>
      <x:c r="AG655" s="122"/>
      <x:c r="AH655" s="120"/>
      <x:c r="AI655" s="122"/>
      <x:c r="AJ655" s="120"/>
      <x:c r="AK655" s="121"/>
      <x:c r="AL655" s="122"/>
      <x:c r="AM655" s="120"/>
      <x:c r="AN655" s="122"/>
      <x:c r="AO655" s="120"/>
      <x:c r="AP655" s="121"/>
      <x:c r="AQ655" s="122"/>
      <x:c r="AR655" s="120"/>
      <x:c r="AS655" s="122"/>
      <x:c r="AT655" s="120"/>
      <x:c r="AU655" s="121"/>
      <x:c r="AV655" s="122"/>
      <x:c r="AW655" s="120"/>
      <x:c r="AX655" s="122"/>
      <x:c r="AY655" s="120"/>
      <x:c r="AZ655" s="121"/>
      <x:c r="BA655" s="122"/>
      <x:c r="BB655" s="120"/>
      <x:c r="BC655" s="122"/>
      <x:c r="BD655" s="120"/>
      <x:c r="BE655" s="121"/>
      <x:c r="BF655" s="122"/>
      <x:c r="BG655" s="120"/>
      <x:c r="BH655" s="122"/>
      <x:c r="BI655" s="120"/>
      <x:c r="BJ655" s="121"/>
    </x:row>
    <x:row r="656" ht="15.75" customHeight="1">
      <x:c r="N656" s="120"/>
      <x:c r="P656" s="120"/>
      <x:c r="Q656" s="121"/>
      <x:c r="S656" s="120"/>
      <x:c r="U656" s="120"/>
      <x:c r="V656" s="121"/>
      <x:c r="W656" s="122"/>
      <x:c r="X656" s="120"/>
      <x:c r="Y656" s="122"/>
      <x:c r="Z656" s="120"/>
      <x:c r="AA656" s="121"/>
      <x:c r="AB656" s="122"/>
      <x:c r="AC656" s="120"/>
      <x:c r="AD656" s="122"/>
      <x:c r="AE656" s="120"/>
      <x:c r="AF656" s="121"/>
      <x:c r="AG656" s="122"/>
      <x:c r="AH656" s="120"/>
      <x:c r="AI656" s="122"/>
      <x:c r="AJ656" s="120"/>
      <x:c r="AK656" s="121"/>
      <x:c r="AL656" s="122"/>
      <x:c r="AM656" s="120"/>
      <x:c r="AN656" s="122"/>
      <x:c r="AO656" s="120"/>
      <x:c r="AP656" s="121"/>
      <x:c r="AQ656" s="122"/>
      <x:c r="AR656" s="120"/>
      <x:c r="AS656" s="122"/>
      <x:c r="AT656" s="120"/>
      <x:c r="AU656" s="121"/>
      <x:c r="AV656" s="122"/>
      <x:c r="AW656" s="120"/>
      <x:c r="AX656" s="122"/>
      <x:c r="AY656" s="120"/>
      <x:c r="AZ656" s="121"/>
      <x:c r="BA656" s="122"/>
      <x:c r="BB656" s="120"/>
      <x:c r="BC656" s="122"/>
      <x:c r="BD656" s="120"/>
      <x:c r="BE656" s="121"/>
      <x:c r="BF656" s="122"/>
      <x:c r="BG656" s="120"/>
      <x:c r="BH656" s="122"/>
      <x:c r="BI656" s="120"/>
      <x:c r="BJ656" s="121"/>
    </x:row>
    <x:row r="657" ht="15.75" customHeight="1">
      <x:c r="N657" s="120"/>
      <x:c r="P657" s="120"/>
      <x:c r="Q657" s="121"/>
      <x:c r="S657" s="120"/>
      <x:c r="U657" s="120"/>
      <x:c r="V657" s="121"/>
      <x:c r="W657" s="122"/>
      <x:c r="X657" s="120"/>
      <x:c r="Y657" s="122"/>
      <x:c r="Z657" s="120"/>
      <x:c r="AA657" s="121"/>
      <x:c r="AB657" s="122"/>
      <x:c r="AC657" s="120"/>
      <x:c r="AD657" s="122"/>
      <x:c r="AE657" s="120"/>
      <x:c r="AF657" s="121"/>
      <x:c r="AG657" s="122"/>
      <x:c r="AH657" s="120"/>
      <x:c r="AI657" s="122"/>
      <x:c r="AJ657" s="120"/>
      <x:c r="AK657" s="121"/>
      <x:c r="AL657" s="122"/>
      <x:c r="AM657" s="120"/>
      <x:c r="AN657" s="122"/>
      <x:c r="AO657" s="120"/>
      <x:c r="AP657" s="121"/>
      <x:c r="AQ657" s="122"/>
      <x:c r="AR657" s="120"/>
      <x:c r="AS657" s="122"/>
      <x:c r="AT657" s="120"/>
      <x:c r="AU657" s="121"/>
      <x:c r="AV657" s="122"/>
      <x:c r="AW657" s="120"/>
      <x:c r="AX657" s="122"/>
      <x:c r="AY657" s="120"/>
      <x:c r="AZ657" s="121"/>
      <x:c r="BA657" s="122"/>
      <x:c r="BB657" s="120"/>
      <x:c r="BC657" s="122"/>
      <x:c r="BD657" s="120"/>
      <x:c r="BE657" s="121"/>
      <x:c r="BF657" s="122"/>
      <x:c r="BG657" s="120"/>
      <x:c r="BH657" s="122"/>
      <x:c r="BI657" s="120"/>
      <x:c r="BJ657" s="121"/>
    </x:row>
    <x:row r="658" ht="15.75" customHeight="1">
      <x:c r="N658" s="120"/>
      <x:c r="P658" s="120"/>
      <x:c r="Q658" s="121"/>
      <x:c r="S658" s="120"/>
      <x:c r="U658" s="120"/>
      <x:c r="V658" s="121"/>
      <x:c r="W658" s="122"/>
      <x:c r="X658" s="120"/>
      <x:c r="Y658" s="122"/>
      <x:c r="Z658" s="120"/>
      <x:c r="AA658" s="121"/>
      <x:c r="AB658" s="122"/>
      <x:c r="AC658" s="120"/>
      <x:c r="AD658" s="122"/>
      <x:c r="AE658" s="120"/>
      <x:c r="AF658" s="121"/>
      <x:c r="AG658" s="122"/>
      <x:c r="AH658" s="120"/>
      <x:c r="AI658" s="122"/>
      <x:c r="AJ658" s="120"/>
      <x:c r="AK658" s="121"/>
      <x:c r="AL658" s="122"/>
      <x:c r="AM658" s="120"/>
      <x:c r="AN658" s="122"/>
      <x:c r="AO658" s="120"/>
      <x:c r="AP658" s="121"/>
      <x:c r="AQ658" s="122"/>
      <x:c r="AR658" s="120"/>
      <x:c r="AS658" s="122"/>
      <x:c r="AT658" s="120"/>
      <x:c r="AU658" s="121"/>
      <x:c r="AV658" s="122"/>
      <x:c r="AW658" s="120"/>
      <x:c r="AX658" s="122"/>
      <x:c r="AY658" s="120"/>
      <x:c r="AZ658" s="121"/>
      <x:c r="BA658" s="122"/>
      <x:c r="BB658" s="120"/>
      <x:c r="BC658" s="122"/>
      <x:c r="BD658" s="120"/>
      <x:c r="BE658" s="121"/>
      <x:c r="BF658" s="122"/>
      <x:c r="BG658" s="120"/>
      <x:c r="BH658" s="122"/>
      <x:c r="BI658" s="120"/>
      <x:c r="BJ658" s="121"/>
    </x:row>
    <x:row r="659" ht="15.75" customHeight="1">
      <x:c r="N659" s="120"/>
      <x:c r="P659" s="120"/>
      <x:c r="Q659" s="121"/>
      <x:c r="S659" s="120"/>
      <x:c r="U659" s="120"/>
      <x:c r="V659" s="121"/>
      <x:c r="W659" s="122"/>
      <x:c r="X659" s="120"/>
      <x:c r="Y659" s="122"/>
      <x:c r="Z659" s="120"/>
      <x:c r="AA659" s="121"/>
      <x:c r="AB659" s="122"/>
      <x:c r="AC659" s="120"/>
      <x:c r="AD659" s="122"/>
      <x:c r="AE659" s="120"/>
      <x:c r="AF659" s="121"/>
      <x:c r="AG659" s="122"/>
      <x:c r="AH659" s="120"/>
      <x:c r="AI659" s="122"/>
      <x:c r="AJ659" s="120"/>
      <x:c r="AK659" s="121"/>
      <x:c r="AL659" s="122"/>
      <x:c r="AM659" s="120"/>
      <x:c r="AN659" s="122"/>
      <x:c r="AO659" s="120"/>
      <x:c r="AP659" s="121"/>
      <x:c r="AQ659" s="122"/>
      <x:c r="AR659" s="120"/>
      <x:c r="AS659" s="122"/>
      <x:c r="AT659" s="120"/>
      <x:c r="AU659" s="121"/>
      <x:c r="AV659" s="122"/>
      <x:c r="AW659" s="120"/>
      <x:c r="AX659" s="122"/>
      <x:c r="AY659" s="120"/>
      <x:c r="AZ659" s="121"/>
      <x:c r="BA659" s="122"/>
      <x:c r="BB659" s="120"/>
      <x:c r="BC659" s="122"/>
      <x:c r="BD659" s="120"/>
      <x:c r="BE659" s="121"/>
      <x:c r="BF659" s="122"/>
      <x:c r="BG659" s="120"/>
      <x:c r="BH659" s="122"/>
      <x:c r="BI659" s="120"/>
      <x:c r="BJ659" s="121"/>
    </x:row>
    <x:row r="660" ht="15.75" customHeight="1">
      <x:c r="N660" s="120"/>
      <x:c r="P660" s="120"/>
      <x:c r="Q660" s="121"/>
      <x:c r="S660" s="120"/>
      <x:c r="U660" s="120"/>
      <x:c r="V660" s="121"/>
      <x:c r="W660" s="122"/>
      <x:c r="X660" s="120"/>
      <x:c r="Y660" s="122"/>
      <x:c r="Z660" s="120"/>
      <x:c r="AA660" s="121"/>
      <x:c r="AB660" s="122"/>
      <x:c r="AC660" s="120"/>
      <x:c r="AD660" s="122"/>
      <x:c r="AE660" s="120"/>
      <x:c r="AF660" s="121"/>
      <x:c r="AG660" s="122"/>
      <x:c r="AH660" s="120"/>
      <x:c r="AI660" s="122"/>
      <x:c r="AJ660" s="120"/>
      <x:c r="AK660" s="121"/>
      <x:c r="AL660" s="122"/>
      <x:c r="AM660" s="120"/>
      <x:c r="AN660" s="122"/>
      <x:c r="AO660" s="120"/>
      <x:c r="AP660" s="121"/>
      <x:c r="AQ660" s="122"/>
      <x:c r="AR660" s="120"/>
      <x:c r="AS660" s="122"/>
      <x:c r="AT660" s="120"/>
      <x:c r="AU660" s="121"/>
      <x:c r="AV660" s="122"/>
      <x:c r="AW660" s="120"/>
      <x:c r="AX660" s="122"/>
      <x:c r="AY660" s="120"/>
      <x:c r="AZ660" s="121"/>
      <x:c r="BA660" s="122"/>
      <x:c r="BB660" s="120"/>
      <x:c r="BC660" s="122"/>
      <x:c r="BD660" s="120"/>
      <x:c r="BE660" s="121"/>
      <x:c r="BF660" s="122"/>
      <x:c r="BG660" s="120"/>
      <x:c r="BH660" s="122"/>
      <x:c r="BI660" s="120"/>
      <x:c r="BJ660" s="121"/>
    </x:row>
    <x:row r="661" ht="15.75" customHeight="1">
      <x:c r="N661" s="120"/>
      <x:c r="P661" s="120"/>
      <x:c r="Q661" s="121"/>
      <x:c r="S661" s="120"/>
      <x:c r="U661" s="120"/>
      <x:c r="V661" s="121"/>
      <x:c r="W661" s="122"/>
      <x:c r="X661" s="120"/>
      <x:c r="Y661" s="122"/>
      <x:c r="Z661" s="120"/>
      <x:c r="AA661" s="121"/>
      <x:c r="AB661" s="122"/>
      <x:c r="AC661" s="120"/>
      <x:c r="AD661" s="122"/>
      <x:c r="AE661" s="120"/>
      <x:c r="AF661" s="121"/>
      <x:c r="AG661" s="122"/>
      <x:c r="AH661" s="120"/>
      <x:c r="AI661" s="122"/>
      <x:c r="AJ661" s="120"/>
      <x:c r="AK661" s="121"/>
      <x:c r="AL661" s="122"/>
      <x:c r="AM661" s="120"/>
      <x:c r="AN661" s="122"/>
      <x:c r="AO661" s="120"/>
      <x:c r="AP661" s="121"/>
      <x:c r="AQ661" s="122"/>
      <x:c r="AR661" s="120"/>
      <x:c r="AS661" s="122"/>
      <x:c r="AT661" s="120"/>
      <x:c r="AU661" s="121"/>
      <x:c r="AV661" s="122"/>
      <x:c r="AW661" s="120"/>
      <x:c r="AX661" s="122"/>
      <x:c r="AY661" s="120"/>
      <x:c r="AZ661" s="121"/>
      <x:c r="BA661" s="122"/>
      <x:c r="BB661" s="120"/>
      <x:c r="BC661" s="122"/>
      <x:c r="BD661" s="120"/>
      <x:c r="BE661" s="121"/>
      <x:c r="BF661" s="122"/>
      <x:c r="BG661" s="120"/>
      <x:c r="BH661" s="122"/>
      <x:c r="BI661" s="120"/>
      <x:c r="BJ661" s="121"/>
    </x:row>
    <x:row r="662" ht="15.75" customHeight="1">
      <x:c r="N662" s="120"/>
      <x:c r="P662" s="120"/>
      <x:c r="Q662" s="121"/>
      <x:c r="S662" s="120"/>
      <x:c r="U662" s="120"/>
      <x:c r="V662" s="121"/>
      <x:c r="W662" s="122"/>
      <x:c r="X662" s="120"/>
      <x:c r="Y662" s="122"/>
      <x:c r="Z662" s="120"/>
      <x:c r="AA662" s="121"/>
      <x:c r="AB662" s="122"/>
      <x:c r="AC662" s="120"/>
      <x:c r="AD662" s="122"/>
      <x:c r="AE662" s="120"/>
      <x:c r="AF662" s="121"/>
      <x:c r="AG662" s="122"/>
      <x:c r="AH662" s="120"/>
      <x:c r="AI662" s="122"/>
      <x:c r="AJ662" s="120"/>
      <x:c r="AK662" s="121"/>
      <x:c r="AL662" s="122"/>
      <x:c r="AM662" s="120"/>
      <x:c r="AN662" s="122"/>
      <x:c r="AO662" s="120"/>
      <x:c r="AP662" s="121"/>
      <x:c r="AQ662" s="122"/>
      <x:c r="AR662" s="120"/>
      <x:c r="AS662" s="122"/>
      <x:c r="AT662" s="120"/>
      <x:c r="AU662" s="121"/>
      <x:c r="AV662" s="122"/>
      <x:c r="AW662" s="120"/>
      <x:c r="AX662" s="122"/>
      <x:c r="AY662" s="120"/>
      <x:c r="AZ662" s="121"/>
      <x:c r="BA662" s="122"/>
      <x:c r="BB662" s="120"/>
      <x:c r="BC662" s="122"/>
      <x:c r="BD662" s="120"/>
      <x:c r="BE662" s="121"/>
      <x:c r="BF662" s="122"/>
      <x:c r="BG662" s="120"/>
      <x:c r="BH662" s="122"/>
      <x:c r="BI662" s="120"/>
      <x:c r="BJ662" s="121"/>
    </x:row>
    <x:row r="663" ht="15.75" customHeight="1">
      <x:c r="N663" s="120"/>
      <x:c r="P663" s="120"/>
      <x:c r="Q663" s="121"/>
      <x:c r="S663" s="120"/>
      <x:c r="U663" s="120"/>
      <x:c r="V663" s="121"/>
      <x:c r="W663" s="122"/>
      <x:c r="X663" s="120"/>
      <x:c r="Y663" s="122"/>
      <x:c r="Z663" s="120"/>
      <x:c r="AA663" s="121"/>
      <x:c r="AB663" s="122"/>
      <x:c r="AC663" s="120"/>
      <x:c r="AD663" s="122"/>
      <x:c r="AE663" s="120"/>
      <x:c r="AF663" s="121"/>
      <x:c r="AG663" s="122"/>
      <x:c r="AH663" s="120"/>
      <x:c r="AI663" s="122"/>
      <x:c r="AJ663" s="120"/>
      <x:c r="AK663" s="121"/>
      <x:c r="AL663" s="122"/>
      <x:c r="AM663" s="120"/>
      <x:c r="AN663" s="122"/>
      <x:c r="AO663" s="120"/>
      <x:c r="AP663" s="121"/>
      <x:c r="AQ663" s="122"/>
      <x:c r="AR663" s="120"/>
      <x:c r="AS663" s="122"/>
      <x:c r="AT663" s="120"/>
      <x:c r="AU663" s="121"/>
      <x:c r="AV663" s="122"/>
      <x:c r="AW663" s="120"/>
      <x:c r="AX663" s="122"/>
      <x:c r="AY663" s="120"/>
      <x:c r="AZ663" s="121"/>
      <x:c r="BA663" s="122"/>
      <x:c r="BB663" s="120"/>
      <x:c r="BC663" s="122"/>
      <x:c r="BD663" s="120"/>
      <x:c r="BE663" s="121"/>
      <x:c r="BF663" s="122"/>
      <x:c r="BG663" s="120"/>
      <x:c r="BH663" s="122"/>
      <x:c r="BI663" s="120"/>
      <x:c r="BJ663" s="121"/>
    </x:row>
    <x:row r="664" ht="15.75" customHeight="1">
      <x:c r="N664" s="120"/>
      <x:c r="P664" s="120"/>
      <x:c r="Q664" s="121"/>
      <x:c r="S664" s="120"/>
      <x:c r="U664" s="120"/>
      <x:c r="V664" s="121"/>
      <x:c r="W664" s="122"/>
      <x:c r="X664" s="120"/>
      <x:c r="Y664" s="122"/>
      <x:c r="Z664" s="120"/>
      <x:c r="AA664" s="121"/>
      <x:c r="AB664" s="122"/>
      <x:c r="AC664" s="120"/>
      <x:c r="AD664" s="122"/>
      <x:c r="AE664" s="120"/>
      <x:c r="AF664" s="121"/>
      <x:c r="AG664" s="122"/>
      <x:c r="AH664" s="120"/>
      <x:c r="AI664" s="122"/>
      <x:c r="AJ664" s="120"/>
      <x:c r="AK664" s="121"/>
      <x:c r="AL664" s="122"/>
      <x:c r="AM664" s="120"/>
      <x:c r="AN664" s="122"/>
      <x:c r="AO664" s="120"/>
      <x:c r="AP664" s="121"/>
      <x:c r="AQ664" s="122"/>
      <x:c r="AR664" s="120"/>
      <x:c r="AS664" s="122"/>
      <x:c r="AT664" s="120"/>
      <x:c r="AU664" s="121"/>
      <x:c r="AV664" s="122"/>
      <x:c r="AW664" s="120"/>
      <x:c r="AX664" s="122"/>
      <x:c r="AY664" s="120"/>
      <x:c r="AZ664" s="121"/>
      <x:c r="BA664" s="122"/>
      <x:c r="BB664" s="120"/>
      <x:c r="BC664" s="122"/>
      <x:c r="BD664" s="120"/>
      <x:c r="BE664" s="121"/>
      <x:c r="BF664" s="122"/>
      <x:c r="BG664" s="120"/>
      <x:c r="BH664" s="122"/>
      <x:c r="BI664" s="120"/>
      <x:c r="BJ664" s="121"/>
    </x:row>
    <x:row r="665" ht="15.75" customHeight="1">
      <x:c r="N665" s="120"/>
      <x:c r="P665" s="120"/>
      <x:c r="Q665" s="121"/>
      <x:c r="S665" s="120"/>
      <x:c r="U665" s="120"/>
      <x:c r="V665" s="121"/>
      <x:c r="W665" s="122"/>
      <x:c r="X665" s="120"/>
      <x:c r="Y665" s="122"/>
      <x:c r="Z665" s="120"/>
      <x:c r="AA665" s="121"/>
      <x:c r="AB665" s="122"/>
      <x:c r="AC665" s="120"/>
      <x:c r="AD665" s="122"/>
      <x:c r="AE665" s="120"/>
      <x:c r="AF665" s="121"/>
      <x:c r="AG665" s="122"/>
      <x:c r="AH665" s="120"/>
      <x:c r="AI665" s="122"/>
      <x:c r="AJ665" s="120"/>
      <x:c r="AK665" s="121"/>
      <x:c r="AL665" s="122"/>
      <x:c r="AM665" s="120"/>
      <x:c r="AN665" s="122"/>
      <x:c r="AO665" s="120"/>
      <x:c r="AP665" s="121"/>
      <x:c r="AQ665" s="122"/>
      <x:c r="AR665" s="120"/>
      <x:c r="AS665" s="122"/>
      <x:c r="AT665" s="120"/>
      <x:c r="AU665" s="121"/>
      <x:c r="AV665" s="122"/>
      <x:c r="AW665" s="120"/>
      <x:c r="AX665" s="122"/>
      <x:c r="AY665" s="120"/>
      <x:c r="AZ665" s="121"/>
      <x:c r="BA665" s="122"/>
      <x:c r="BB665" s="120"/>
      <x:c r="BC665" s="122"/>
      <x:c r="BD665" s="120"/>
      <x:c r="BE665" s="121"/>
      <x:c r="BF665" s="122"/>
      <x:c r="BG665" s="120"/>
      <x:c r="BH665" s="122"/>
      <x:c r="BI665" s="120"/>
      <x:c r="BJ665" s="121"/>
    </x:row>
    <x:row r="666" ht="15.75" customHeight="1">
      <x:c r="N666" s="120"/>
      <x:c r="P666" s="120"/>
      <x:c r="Q666" s="121"/>
      <x:c r="S666" s="120"/>
      <x:c r="U666" s="120"/>
      <x:c r="V666" s="121"/>
      <x:c r="W666" s="122"/>
      <x:c r="X666" s="120"/>
      <x:c r="Y666" s="122"/>
      <x:c r="Z666" s="120"/>
      <x:c r="AA666" s="121"/>
      <x:c r="AB666" s="122"/>
      <x:c r="AC666" s="120"/>
      <x:c r="AD666" s="122"/>
      <x:c r="AE666" s="120"/>
      <x:c r="AF666" s="121"/>
      <x:c r="AG666" s="122"/>
      <x:c r="AH666" s="120"/>
      <x:c r="AI666" s="122"/>
      <x:c r="AJ666" s="120"/>
      <x:c r="AK666" s="121"/>
      <x:c r="AL666" s="122"/>
      <x:c r="AM666" s="120"/>
      <x:c r="AN666" s="122"/>
      <x:c r="AO666" s="120"/>
      <x:c r="AP666" s="121"/>
      <x:c r="AQ666" s="122"/>
      <x:c r="AR666" s="120"/>
      <x:c r="AS666" s="122"/>
      <x:c r="AT666" s="120"/>
      <x:c r="AU666" s="121"/>
      <x:c r="AV666" s="122"/>
      <x:c r="AW666" s="120"/>
      <x:c r="AX666" s="122"/>
      <x:c r="AY666" s="120"/>
      <x:c r="AZ666" s="121"/>
      <x:c r="BA666" s="122"/>
      <x:c r="BB666" s="120"/>
      <x:c r="BC666" s="122"/>
      <x:c r="BD666" s="120"/>
      <x:c r="BE666" s="121"/>
      <x:c r="BF666" s="122"/>
      <x:c r="BG666" s="120"/>
      <x:c r="BH666" s="122"/>
      <x:c r="BI666" s="120"/>
      <x:c r="BJ666" s="121"/>
    </x:row>
    <x:row r="667" ht="15.75" customHeight="1">
      <x:c r="N667" s="120"/>
      <x:c r="P667" s="120"/>
      <x:c r="Q667" s="121"/>
      <x:c r="S667" s="120"/>
      <x:c r="U667" s="120"/>
      <x:c r="V667" s="121"/>
      <x:c r="W667" s="122"/>
      <x:c r="X667" s="120"/>
      <x:c r="Y667" s="122"/>
      <x:c r="Z667" s="120"/>
      <x:c r="AA667" s="121"/>
      <x:c r="AB667" s="122"/>
      <x:c r="AC667" s="120"/>
      <x:c r="AD667" s="122"/>
      <x:c r="AE667" s="120"/>
      <x:c r="AF667" s="121"/>
      <x:c r="AG667" s="122"/>
      <x:c r="AH667" s="120"/>
      <x:c r="AI667" s="122"/>
      <x:c r="AJ667" s="120"/>
      <x:c r="AK667" s="121"/>
      <x:c r="AL667" s="122"/>
      <x:c r="AM667" s="120"/>
      <x:c r="AN667" s="122"/>
      <x:c r="AO667" s="120"/>
      <x:c r="AP667" s="121"/>
      <x:c r="AQ667" s="122"/>
      <x:c r="AR667" s="120"/>
      <x:c r="AS667" s="122"/>
      <x:c r="AT667" s="120"/>
      <x:c r="AU667" s="121"/>
      <x:c r="AV667" s="122"/>
      <x:c r="AW667" s="120"/>
      <x:c r="AX667" s="122"/>
      <x:c r="AY667" s="120"/>
      <x:c r="AZ667" s="121"/>
      <x:c r="BA667" s="122"/>
      <x:c r="BB667" s="120"/>
      <x:c r="BC667" s="122"/>
      <x:c r="BD667" s="120"/>
      <x:c r="BE667" s="121"/>
      <x:c r="BF667" s="122"/>
      <x:c r="BG667" s="120"/>
      <x:c r="BH667" s="122"/>
      <x:c r="BI667" s="120"/>
      <x:c r="BJ667" s="121"/>
    </x:row>
    <x:row r="668" ht="15.75" customHeight="1">
      <x:c r="N668" s="120"/>
      <x:c r="P668" s="120"/>
      <x:c r="Q668" s="121"/>
      <x:c r="S668" s="120"/>
      <x:c r="U668" s="120"/>
      <x:c r="V668" s="121"/>
      <x:c r="W668" s="122"/>
      <x:c r="X668" s="120"/>
      <x:c r="Y668" s="122"/>
      <x:c r="Z668" s="120"/>
      <x:c r="AA668" s="121"/>
      <x:c r="AB668" s="122"/>
      <x:c r="AC668" s="120"/>
      <x:c r="AD668" s="122"/>
      <x:c r="AE668" s="120"/>
      <x:c r="AF668" s="121"/>
      <x:c r="AG668" s="122"/>
      <x:c r="AH668" s="120"/>
      <x:c r="AI668" s="122"/>
      <x:c r="AJ668" s="120"/>
      <x:c r="AK668" s="121"/>
      <x:c r="AL668" s="122"/>
      <x:c r="AM668" s="120"/>
      <x:c r="AN668" s="122"/>
      <x:c r="AO668" s="120"/>
      <x:c r="AP668" s="121"/>
      <x:c r="AQ668" s="122"/>
      <x:c r="AR668" s="120"/>
      <x:c r="AS668" s="122"/>
      <x:c r="AT668" s="120"/>
      <x:c r="AU668" s="121"/>
      <x:c r="AV668" s="122"/>
      <x:c r="AW668" s="120"/>
      <x:c r="AX668" s="122"/>
      <x:c r="AY668" s="120"/>
      <x:c r="AZ668" s="121"/>
      <x:c r="BA668" s="122"/>
      <x:c r="BB668" s="120"/>
      <x:c r="BC668" s="122"/>
      <x:c r="BD668" s="120"/>
      <x:c r="BE668" s="121"/>
      <x:c r="BF668" s="122"/>
      <x:c r="BG668" s="120"/>
      <x:c r="BH668" s="122"/>
      <x:c r="BI668" s="120"/>
      <x:c r="BJ668" s="121"/>
    </x:row>
    <x:row r="669" ht="15.75" customHeight="1">
      <x:c r="N669" s="120"/>
      <x:c r="P669" s="120"/>
      <x:c r="Q669" s="121"/>
      <x:c r="S669" s="120"/>
      <x:c r="U669" s="120"/>
      <x:c r="V669" s="121"/>
      <x:c r="W669" s="122"/>
      <x:c r="X669" s="120"/>
      <x:c r="Y669" s="122"/>
      <x:c r="Z669" s="120"/>
      <x:c r="AA669" s="121"/>
      <x:c r="AB669" s="122"/>
      <x:c r="AC669" s="120"/>
      <x:c r="AD669" s="122"/>
      <x:c r="AE669" s="120"/>
      <x:c r="AF669" s="121"/>
      <x:c r="AG669" s="122"/>
      <x:c r="AH669" s="120"/>
      <x:c r="AI669" s="122"/>
      <x:c r="AJ669" s="120"/>
      <x:c r="AK669" s="121"/>
      <x:c r="AL669" s="122"/>
      <x:c r="AM669" s="120"/>
      <x:c r="AN669" s="122"/>
      <x:c r="AO669" s="120"/>
      <x:c r="AP669" s="121"/>
      <x:c r="AQ669" s="122"/>
      <x:c r="AR669" s="120"/>
      <x:c r="AS669" s="122"/>
      <x:c r="AT669" s="120"/>
      <x:c r="AU669" s="121"/>
      <x:c r="AV669" s="122"/>
      <x:c r="AW669" s="120"/>
      <x:c r="AX669" s="122"/>
      <x:c r="AY669" s="120"/>
      <x:c r="AZ669" s="121"/>
      <x:c r="BA669" s="122"/>
      <x:c r="BB669" s="120"/>
      <x:c r="BC669" s="122"/>
      <x:c r="BD669" s="120"/>
      <x:c r="BE669" s="121"/>
      <x:c r="BF669" s="122"/>
      <x:c r="BG669" s="120"/>
      <x:c r="BH669" s="122"/>
      <x:c r="BI669" s="120"/>
      <x:c r="BJ669" s="121"/>
    </x:row>
    <x:row r="670" ht="15.75" customHeight="1">
      <x:c r="N670" s="120"/>
      <x:c r="P670" s="120"/>
      <x:c r="Q670" s="121"/>
      <x:c r="S670" s="120"/>
      <x:c r="U670" s="120"/>
      <x:c r="V670" s="121"/>
      <x:c r="W670" s="122"/>
      <x:c r="X670" s="120"/>
      <x:c r="Y670" s="122"/>
      <x:c r="Z670" s="120"/>
      <x:c r="AA670" s="121"/>
      <x:c r="AB670" s="122"/>
      <x:c r="AC670" s="120"/>
      <x:c r="AD670" s="122"/>
      <x:c r="AE670" s="120"/>
      <x:c r="AF670" s="121"/>
      <x:c r="AG670" s="122"/>
      <x:c r="AH670" s="120"/>
      <x:c r="AI670" s="122"/>
      <x:c r="AJ670" s="120"/>
      <x:c r="AK670" s="121"/>
      <x:c r="AL670" s="122"/>
      <x:c r="AM670" s="120"/>
      <x:c r="AN670" s="122"/>
      <x:c r="AO670" s="120"/>
      <x:c r="AP670" s="121"/>
      <x:c r="AQ670" s="122"/>
      <x:c r="AR670" s="120"/>
      <x:c r="AS670" s="122"/>
      <x:c r="AT670" s="120"/>
      <x:c r="AU670" s="121"/>
      <x:c r="AV670" s="122"/>
      <x:c r="AW670" s="120"/>
      <x:c r="AX670" s="122"/>
      <x:c r="AY670" s="120"/>
      <x:c r="AZ670" s="121"/>
      <x:c r="BA670" s="122"/>
      <x:c r="BB670" s="120"/>
      <x:c r="BC670" s="122"/>
      <x:c r="BD670" s="120"/>
      <x:c r="BE670" s="121"/>
      <x:c r="BF670" s="122"/>
      <x:c r="BG670" s="120"/>
      <x:c r="BH670" s="122"/>
      <x:c r="BI670" s="120"/>
      <x:c r="BJ670" s="121"/>
    </x:row>
    <x:row r="671" ht="15.75" customHeight="1">
      <x:c r="N671" s="120"/>
      <x:c r="P671" s="120"/>
      <x:c r="Q671" s="121"/>
      <x:c r="S671" s="120"/>
      <x:c r="U671" s="120"/>
      <x:c r="V671" s="121"/>
      <x:c r="W671" s="122"/>
      <x:c r="X671" s="120"/>
      <x:c r="Y671" s="122"/>
      <x:c r="Z671" s="120"/>
      <x:c r="AA671" s="121"/>
      <x:c r="AB671" s="122"/>
      <x:c r="AC671" s="120"/>
      <x:c r="AD671" s="122"/>
      <x:c r="AE671" s="120"/>
      <x:c r="AF671" s="121"/>
      <x:c r="AG671" s="122"/>
      <x:c r="AH671" s="120"/>
      <x:c r="AI671" s="122"/>
      <x:c r="AJ671" s="120"/>
      <x:c r="AK671" s="121"/>
      <x:c r="AL671" s="122"/>
      <x:c r="AM671" s="120"/>
      <x:c r="AN671" s="122"/>
      <x:c r="AO671" s="120"/>
      <x:c r="AP671" s="121"/>
      <x:c r="AQ671" s="122"/>
      <x:c r="AR671" s="120"/>
      <x:c r="AS671" s="122"/>
      <x:c r="AT671" s="120"/>
      <x:c r="AU671" s="121"/>
      <x:c r="AV671" s="122"/>
      <x:c r="AW671" s="120"/>
      <x:c r="AX671" s="122"/>
      <x:c r="AY671" s="120"/>
      <x:c r="AZ671" s="121"/>
      <x:c r="BA671" s="122"/>
      <x:c r="BB671" s="120"/>
      <x:c r="BC671" s="122"/>
      <x:c r="BD671" s="120"/>
      <x:c r="BE671" s="121"/>
      <x:c r="BF671" s="122"/>
      <x:c r="BG671" s="120"/>
      <x:c r="BH671" s="122"/>
      <x:c r="BI671" s="120"/>
      <x:c r="BJ671" s="121"/>
    </x:row>
    <x:row r="672" ht="15.75" customHeight="1">
      <x:c r="N672" s="120"/>
      <x:c r="P672" s="120"/>
      <x:c r="Q672" s="121"/>
      <x:c r="S672" s="120"/>
      <x:c r="U672" s="120"/>
      <x:c r="V672" s="121"/>
      <x:c r="W672" s="122"/>
      <x:c r="X672" s="120"/>
      <x:c r="Y672" s="122"/>
      <x:c r="Z672" s="120"/>
      <x:c r="AA672" s="121"/>
      <x:c r="AB672" s="122"/>
      <x:c r="AC672" s="120"/>
      <x:c r="AD672" s="122"/>
      <x:c r="AE672" s="120"/>
      <x:c r="AF672" s="121"/>
      <x:c r="AG672" s="122"/>
      <x:c r="AH672" s="120"/>
      <x:c r="AI672" s="122"/>
      <x:c r="AJ672" s="120"/>
      <x:c r="AK672" s="121"/>
      <x:c r="AL672" s="122"/>
      <x:c r="AM672" s="120"/>
      <x:c r="AN672" s="122"/>
      <x:c r="AO672" s="120"/>
      <x:c r="AP672" s="121"/>
      <x:c r="AQ672" s="122"/>
      <x:c r="AR672" s="120"/>
      <x:c r="AS672" s="122"/>
      <x:c r="AT672" s="120"/>
      <x:c r="AU672" s="121"/>
      <x:c r="AV672" s="122"/>
      <x:c r="AW672" s="120"/>
      <x:c r="AX672" s="122"/>
      <x:c r="AY672" s="120"/>
      <x:c r="AZ672" s="121"/>
      <x:c r="BA672" s="122"/>
      <x:c r="BB672" s="120"/>
      <x:c r="BC672" s="122"/>
      <x:c r="BD672" s="120"/>
      <x:c r="BE672" s="121"/>
      <x:c r="BF672" s="122"/>
      <x:c r="BG672" s="120"/>
      <x:c r="BH672" s="122"/>
      <x:c r="BI672" s="120"/>
      <x:c r="BJ672" s="121"/>
    </x:row>
    <x:row r="673" ht="15.75" customHeight="1">
      <x:c r="N673" s="120"/>
      <x:c r="P673" s="120"/>
      <x:c r="Q673" s="121"/>
      <x:c r="S673" s="120"/>
      <x:c r="U673" s="120"/>
      <x:c r="V673" s="121"/>
      <x:c r="W673" s="122"/>
      <x:c r="X673" s="120"/>
      <x:c r="Y673" s="122"/>
      <x:c r="Z673" s="120"/>
      <x:c r="AA673" s="121"/>
      <x:c r="AB673" s="122"/>
      <x:c r="AC673" s="120"/>
      <x:c r="AD673" s="122"/>
      <x:c r="AE673" s="120"/>
      <x:c r="AF673" s="121"/>
      <x:c r="AG673" s="122"/>
      <x:c r="AH673" s="120"/>
      <x:c r="AI673" s="122"/>
      <x:c r="AJ673" s="120"/>
      <x:c r="AK673" s="121"/>
      <x:c r="AL673" s="122"/>
      <x:c r="AM673" s="120"/>
      <x:c r="AN673" s="122"/>
      <x:c r="AO673" s="120"/>
      <x:c r="AP673" s="121"/>
      <x:c r="AQ673" s="122"/>
      <x:c r="AR673" s="120"/>
      <x:c r="AS673" s="122"/>
      <x:c r="AT673" s="120"/>
      <x:c r="AU673" s="121"/>
      <x:c r="AV673" s="122"/>
      <x:c r="AW673" s="120"/>
      <x:c r="AX673" s="122"/>
      <x:c r="AY673" s="120"/>
      <x:c r="AZ673" s="121"/>
      <x:c r="BA673" s="122"/>
      <x:c r="BB673" s="120"/>
      <x:c r="BC673" s="122"/>
      <x:c r="BD673" s="120"/>
      <x:c r="BE673" s="121"/>
      <x:c r="BF673" s="122"/>
      <x:c r="BG673" s="120"/>
      <x:c r="BH673" s="122"/>
      <x:c r="BI673" s="120"/>
      <x:c r="BJ673" s="121"/>
    </x:row>
    <x:row r="674" ht="15.75" customHeight="1">
      <x:c r="N674" s="120"/>
      <x:c r="P674" s="120"/>
      <x:c r="Q674" s="121"/>
      <x:c r="S674" s="120"/>
      <x:c r="U674" s="120"/>
      <x:c r="V674" s="121"/>
      <x:c r="W674" s="122"/>
      <x:c r="X674" s="120"/>
      <x:c r="Y674" s="122"/>
      <x:c r="Z674" s="120"/>
      <x:c r="AA674" s="121"/>
      <x:c r="AB674" s="122"/>
      <x:c r="AC674" s="120"/>
      <x:c r="AD674" s="122"/>
      <x:c r="AE674" s="120"/>
      <x:c r="AF674" s="121"/>
      <x:c r="AG674" s="122"/>
      <x:c r="AH674" s="120"/>
      <x:c r="AI674" s="122"/>
      <x:c r="AJ674" s="120"/>
      <x:c r="AK674" s="121"/>
      <x:c r="AL674" s="122"/>
      <x:c r="AM674" s="120"/>
      <x:c r="AN674" s="122"/>
      <x:c r="AO674" s="120"/>
      <x:c r="AP674" s="121"/>
      <x:c r="AQ674" s="122"/>
      <x:c r="AR674" s="120"/>
      <x:c r="AS674" s="122"/>
      <x:c r="AT674" s="120"/>
      <x:c r="AU674" s="121"/>
      <x:c r="AV674" s="122"/>
      <x:c r="AW674" s="120"/>
      <x:c r="AX674" s="122"/>
      <x:c r="AY674" s="120"/>
      <x:c r="AZ674" s="121"/>
      <x:c r="BA674" s="122"/>
      <x:c r="BB674" s="120"/>
      <x:c r="BC674" s="122"/>
      <x:c r="BD674" s="120"/>
      <x:c r="BE674" s="121"/>
      <x:c r="BF674" s="122"/>
      <x:c r="BG674" s="120"/>
      <x:c r="BH674" s="122"/>
      <x:c r="BI674" s="120"/>
      <x:c r="BJ674" s="121"/>
    </x:row>
    <x:row r="675" ht="15.75" customHeight="1">
      <x:c r="N675" s="120"/>
      <x:c r="P675" s="120"/>
      <x:c r="Q675" s="121"/>
      <x:c r="S675" s="120"/>
      <x:c r="U675" s="120"/>
      <x:c r="V675" s="121"/>
      <x:c r="W675" s="122"/>
      <x:c r="X675" s="120"/>
      <x:c r="Y675" s="122"/>
      <x:c r="Z675" s="120"/>
      <x:c r="AA675" s="121"/>
      <x:c r="AB675" s="122"/>
      <x:c r="AC675" s="120"/>
      <x:c r="AD675" s="122"/>
      <x:c r="AE675" s="120"/>
      <x:c r="AF675" s="121"/>
      <x:c r="AG675" s="122"/>
      <x:c r="AH675" s="120"/>
      <x:c r="AI675" s="122"/>
      <x:c r="AJ675" s="120"/>
      <x:c r="AK675" s="121"/>
      <x:c r="AL675" s="122"/>
      <x:c r="AM675" s="120"/>
      <x:c r="AN675" s="122"/>
      <x:c r="AO675" s="120"/>
      <x:c r="AP675" s="121"/>
      <x:c r="AQ675" s="122"/>
      <x:c r="AR675" s="120"/>
      <x:c r="AS675" s="122"/>
      <x:c r="AT675" s="120"/>
      <x:c r="AU675" s="121"/>
      <x:c r="AV675" s="122"/>
      <x:c r="AW675" s="120"/>
      <x:c r="AX675" s="122"/>
      <x:c r="AY675" s="120"/>
      <x:c r="AZ675" s="121"/>
      <x:c r="BA675" s="122"/>
      <x:c r="BB675" s="120"/>
      <x:c r="BC675" s="122"/>
      <x:c r="BD675" s="120"/>
      <x:c r="BE675" s="121"/>
      <x:c r="BF675" s="122"/>
      <x:c r="BG675" s="120"/>
      <x:c r="BH675" s="122"/>
      <x:c r="BI675" s="120"/>
      <x:c r="BJ675" s="121"/>
    </x:row>
    <x:row r="676" ht="15.75" customHeight="1">
      <x:c r="N676" s="120"/>
      <x:c r="P676" s="120"/>
      <x:c r="Q676" s="121"/>
      <x:c r="S676" s="120"/>
      <x:c r="U676" s="120"/>
      <x:c r="V676" s="121"/>
      <x:c r="W676" s="122"/>
      <x:c r="X676" s="120"/>
      <x:c r="Y676" s="122"/>
      <x:c r="Z676" s="120"/>
      <x:c r="AA676" s="121"/>
      <x:c r="AB676" s="122"/>
      <x:c r="AC676" s="120"/>
      <x:c r="AD676" s="122"/>
      <x:c r="AE676" s="120"/>
      <x:c r="AF676" s="121"/>
      <x:c r="AG676" s="122"/>
      <x:c r="AH676" s="120"/>
      <x:c r="AI676" s="122"/>
      <x:c r="AJ676" s="120"/>
      <x:c r="AK676" s="121"/>
      <x:c r="AL676" s="122"/>
      <x:c r="AM676" s="120"/>
      <x:c r="AN676" s="122"/>
      <x:c r="AO676" s="120"/>
      <x:c r="AP676" s="121"/>
      <x:c r="AQ676" s="122"/>
      <x:c r="AR676" s="120"/>
      <x:c r="AS676" s="122"/>
      <x:c r="AT676" s="120"/>
      <x:c r="AU676" s="121"/>
      <x:c r="AV676" s="122"/>
      <x:c r="AW676" s="120"/>
      <x:c r="AX676" s="122"/>
      <x:c r="AY676" s="120"/>
      <x:c r="AZ676" s="121"/>
      <x:c r="BA676" s="122"/>
      <x:c r="BB676" s="120"/>
      <x:c r="BC676" s="122"/>
      <x:c r="BD676" s="120"/>
      <x:c r="BE676" s="121"/>
      <x:c r="BF676" s="122"/>
      <x:c r="BG676" s="120"/>
      <x:c r="BH676" s="122"/>
      <x:c r="BI676" s="120"/>
      <x:c r="BJ676" s="121"/>
    </x:row>
    <x:row r="677" ht="15.75" customHeight="1">
      <x:c r="N677" s="120"/>
      <x:c r="P677" s="120"/>
      <x:c r="Q677" s="121"/>
      <x:c r="S677" s="120"/>
      <x:c r="U677" s="120"/>
      <x:c r="V677" s="121"/>
      <x:c r="W677" s="122"/>
      <x:c r="X677" s="120"/>
      <x:c r="Y677" s="122"/>
      <x:c r="Z677" s="120"/>
      <x:c r="AA677" s="121"/>
      <x:c r="AB677" s="122"/>
      <x:c r="AC677" s="120"/>
      <x:c r="AD677" s="122"/>
      <x:c r="AE677" s="120"/>
      <x:c r="AF677" s="121"/>
      <x:c r="AG677" s="122"/>
      <x:c r="AH677" s="120"/>
      <x:c r="AI677" s="122"/>
      <x:c r="AJ677" s="120"/>
      <x:c r="AK677" s="121"/>
      <x:c r="AL677" s="122"/>
      <x:c r="AM677" s="120"/>
      <x:c r="AN677" s="122"/>
      <x:c r="AO677" s="120"/>
      <x:c r="AP677" s="121"/>
      <x:c r="AQ677" s="122"/>
      <x:c r="AR677" s="120"/>
      <x:c r="AS677" s="122"/>
      <x:c r="AT677" s="120"/>
      <x:c r="AU677" s="121"/>
      <x:c r="AV677" s="122"/>
      <x:c r="AW677" s="120"/>
      <x:c r="AX677" s="122"/>
      <x:c r="AY677" s="120"/>
      <x:c r="AZ677" s="121"/>
      <x:c r="BA677" s="122"/>
      <x:c r="BB677" s="120"/>
      <x:c r="BC677" s="122"/>
      <x:c r="BD677" s="120"/>
      <x:c r="BE677" s="121"/>
      <x:c r="BF677" s="122"/>
      <x:c r="BG677" s="120"/>
      <x:c r="BH677" s="122"/>
      <x:c r="BI677" s="120"/>
      <x:c r="BJ677" s="121"/>
    </x:row>
    <x:row r="678" ht="15.75" customHeight="1">
      <x:c r="N678" s="120"/>
      <x:c r="P678" s="120"/>
      <x:c r="Q678" s="121"/>
      <x:c r="S678" s="120"/>
      <x:c r="U678" s="120"/>
      <x:c r="V678" s="121"/>
      <x:c r="W678" s="122"/>
      <x:c r="X678" s="120"/>
      <x:c r="Y678" s="122"/>
      <x:c r="Z678" s="120"/>
      <x:c r="AA678" s="121"/>
      <x:c r="AB678" s="122"/>
      <x:c r="AC678" s="120"/>
      <x:c r="AD678" s="122"/>
      <x:c r="AE678" s="120"/>
      <x:c r="AF678" s="121"/>
      <x:c r="AG678" s="122"/>
      <x:c r="AH678" s="120"/>
      <x:c r="AI678" s="122"/>
      <x:c r="AJ678" s="120"/>
      <x:c r="AK678" s="121"/>
      <x:c r="AL678" s="122"/>
      <x:c r="AM678" s="120"/>
      <x:c r="AN678" s="122"/>
      <x:c r="AO678" s="120"/>
      <x:c r="AP678" s="121"/>
      <x:c r="AQ678" s="122"/>
      <x:c r="AR678" s="120"/>
      <x:c r="AS678" s="122"/>
      <x:c r="AT678" s="120"/>
      <x:c r="AU678" s="121"/>
      <x:c r="AV678" s="122"/>
      <x:c r="AW678" s="120"/>
      <x:c r="AX678" s="122"/>
      <x:c r="AY678" s="120"/>
      <x:c r="AZ678" s="121"/>
      <x:c r="BA678" s="122"/>
      <x:c r="BB678" s="120"/>
      <x:c r="BC678" s="122"/>
      <x:c r="BD678" s="120"/>
      <x:c r="BE678" s="121"/>
      <x:c r="BF678" s="122"/>
      <x:c r="BG678" s="120"/>
      <x:c r="BH678" s="122"/>
      <x:c r="BI678" s="120"/>
      <x:c r="BJ678" s="121"/>
    </x:row>
    <x:row r="679" ht="15.75" customHeight="1">
      <x:c r="N679" s="120"/>
      <x:c r="P679" s="120"/>
      <x:c r="Q679" s="121"/>
      <x:c r="S679" s="120"/>
      <x:c r="U679" s="120"/>
      <x:c r="V679" s="121"/>
      <x:c r="W679" s="122"/>
      <x:c r="X679" s="120"/>
      <x:c r="Y679" s="122"/>
      <x:c r="Z679" s="120"/>
      <x:c r="AA679" s="121"/>
      <x:c r="AB679" s="122"/>
      <x:c r="AC679" s="120"/>
      <x:c r="AD679" s="122"/>
      <x:c r="AE679" s="120"/>
      <x:c r="AF679" s="121"/>
      <x:c r="AG679" s="122"/>
      <x:c r="AH679" s="120"/>
      <x:c r="AI679" s="122"/>
      <x:c r="AJ679" s="120"/>
      <x:c r="AK679" s="121"/>
      <x:c r="AL679" s="122"/>
      <x:c r="AM679" s="120"/>
      <x:c r="AN679" s="122"/>
      <x:c r="AO679" s="120"/>
      <x:c r="AP679" s="121"/>
      <x:c r="AQ679" s="122"/>
      <x:c r="AR679" s="120"/>
      <x:c r="AS679" s="122"/>
      <x:c r="AT679" s="120"/>
      <x:c r="AU679" s="121"/>
      <x:c r="AV679" s="122"/>
      <x:c r="AW679" s="120"/>
      <x:c r="AX679" s="122"/>
      <x:c r="AY679" s="120"/>
      <x:c r="AZ679" s="121"/>
      <x:c r="BA679" s="122"/>
      <x:c r="BB679" s="120"/>
      <x:c r="BC679" s="122"/>
      <x:c r="BD679" s="120"/>
      <x:c r="BE679" s="121"/>
      <x:c r="BF679" s="122"/>
      <x:c r="BG679" s="120"/>
      <x:c r="BH679" s="122"/>
      <x:c r="BI679" s="120"/>
      <x:c r="BJ679" s="121"/>
    </x:row>
    <x:row r="680" ht="15.75" customHeight="1">
      <x:c r="N680" s="120"/>
      <x:c r="P680" s="120"/>
      <x:c r="Q680" s="121"/>
      <x:c r="S680" s="120"/>
      <x:c r="U680" s="120"/>
      <x:c r="V680" s="121"/>
      <x:c r="W680" s="122"/>
      <x:c r="X680" s="120"/>
      <x:c r="Y680" s="122"/>
      <x:c r="Z680" s="120"/>
      <x:c r="AA680" s="121"/>
      <x:c r="AB680" s="122"/>
      <x:c r="AC680" s="120"/>
      <x:c r="AD680" s="122"/>
      <x:c r="AE680" s="120"/>
      <x:c r="AF680" s="121"/>
      <x:c r="AG680" s="122"/>
      <x:c r="AH680" s="120"/>
      <x:c r="AI680" s="122"/>
      <x:c r="AJ680" s="120"/>
      <x:c r="AK680" s="121"/>
      <x:c r="AL680" s="122"/>
      <x:c r="AM680" s="120"/>
      <x:c r="AN680" s="122"/>
      <x:c r="AO680" s="120"/>
      <x:c r="AP680" s="121"/>
      <x:c r="AQ680" s="122"/>
      <x:c r="AR680" s="120"/>
      <x:c r="AS680" s="122"/>
      <x:c r="AT680" s="120"/>
      <x:c r="AU680" s="121"/>
      <x:c r="AV680" s="122"/>
      <x:c r="AW680" s="120"/>
      <x:c r="AX680" s="122"/>
      <x:c r="AY680" s="120"/>
      <x:c r="AZ680" s="121"/>
      <x:c r="BA680" s="122"/>
      <x:c r="BB680" s="120"/>
      <x:c r="BC680" s="122"/>
      <x:c r="BD680" s="120"/>
      <x:c r="BE680" s="121"/>
      <x:c r="BF680" s="122"/>
      <x:c r="BG680" s="120"/>
      <x:c r="BH680" s="122"/>
      <x:c r="BI680" s="120"/>
      <x:c r="BJ680" s="121"/>
    </x:row>
    <x:row r="681" ht="15.75" customHeight="1">
      <x:c r="N681" s="120"/>
      <x:c r="P681" s="120"/>
      <x:c r="Q681" s="121"/>
      <x:c r="S681" s="120"/>
      <x:c r="U681" s="120"/>
      <x:c r="V681" s="121"/>
      <x:c r="W681" s="122"/>
      <x:c r="X681" s="120"/>
      <x:c r="Y681" s="122"/>
      <x:c r="Z681" s="120"/>
      <x:c r="AA681" s="121"/>
      <x:c r="AB681" s="122"/>
      <x:c r="AC681" s="120"/>
      <x:c r="AD681" s="122"/>
      <x:c r="AE681" s="120"/>
      <x:c r="AF681" s="121"/>
      <x:c r="AG681" s="122"/>
      <x:c r="AH681" s="120"/>
      <x:c r="AI681" s="122"/>
      <x:c r="AJ681" s="120"/>
      <x:c r="AK681" s="121"/>
      <x:c r="AL681" s="122"/>
      <x:c r="AM681" s="120"/>
      <x:c r="AN681" s="122"/>
      <x:c r="AO681" s="120"/>
      <x:c r="AP681" s="121"/>
      <x:c r="AQ681" s="122"/>
      <x:c r="AR681" s="120"/>
      <x:c r="AS681" s="122"/>
      <x:c r="AT681" s="120"/>
      <x:c r="AU681" s="121"/>
      <x:c r="AV681" s="122"/>
      <x:c r="AW681" s="120"/>
      <x:c r="AX681" s="122"/>
      <x:c r="AY681" s="120"/>
      <x:c r="AZ681" s="121"/>
      <x:c r="BA681" s="122"/>
      <x:c r="BB681" s="120"/>
      <x:c r="BC681" s="122"/>
      <x:c r="BD681" s="120"/>
      <x:c r="BE681" s="121"/>
      <x:c r="BF681" s="122"/>
      <x:c r="BG681" s="120"/>
      <x:c r="BH681" s="122"/>
      <x:c r="BI681" s="120"/>
      <x:c r="BJ681" s="121"/>
    </x:row>
    <x:row r="682" ht="15.75" customHeight="1">
      <x:c r="N682" s="120"/>
      <x:c r="P682" s="120"/>
      <x:c r="Q682" s="121"/>
      <x:c r="S682" s="120"/>
      <x:c r="U682" s="120"/>
      <x:c r="V682" s="121"/>
      <x:c r="W682" s="122"/>
      <x:c r="X682" s="120"/>
      <x:c r="Y682" s="122"/>
      <x:c r="Z682" s="120"/>
      <x:c r="AA682" s="121"/>
      <x:c r="AB682" s="122"/>
      <x:c r="AC682" s="120"/>
      <x:c r="AD682" s="122"/>
      <x:c r="AE682" s="120"/>
      <x:c r="AF682" s="121"/>
      <x:c r="AG682" s="122"/>
      <x:c r="AH682" s="120"/>
      <x:c r="AI682" s="122"/>
      <x:c r="AJ682" s="120"/>
      <x:c r="AK682" s="121"/>
      <x:c r="AL682" s="122"/>
      <x:c r="AM682" s="120"/>
      <x:c r="AN682" s="122"/>
      <x:c r="AO682" s="120"/>
      <x:c r="AP682" s="121"/>
      <x:c r="AQ682" s="122"/>
      <x:c r="AR682" s="120"/>
      <x:c r="AS682" s="122"/>
      <x:c r="AT682" s="120"/>
      <x:c r="AU682" s="121"/>
      <x:c r="AV682" s="122"/>
      <x:c r="AW682" s="120"/>
      <x:c r="AX682" s="122"/>
      <x:c r="AY682" s="120"/>
      <x:c r="AZ682" s="121"/>
      <x:c r="BA682" s="122"/>
      <x:c r="BB682" s="120"/>
      <x:c r="BC682" s="122"/>
      <x:c r="BD682" s="120"/>
      <x:c r="BE682" s="121"/>
      <x:c r="BF682" s="122"/>
      <x:c r="BG682" s="120"/>
      <x:c r="BH682" s="122"/>
      <x:c r="BI682" s="120"/>
      <x:c r="BJ682" s="121"/>
    </x:row>
    <x:row r="683" ht="15.75" customHeight="1">
      <x:c r="N683" s="120"/>
      <x:c r="P683" s="120"/>
      <x:c r="Q683" s="121"/>
      <x:c r="S683" s="120"/>
      <x:c r="U683" s="120"/>
      <x:c r="V683" s="121"/>
      <x:c r="W683" s="122"/>
      <x:c r="X683" s="120"/>
      <x:c r="Y683" s="122"/>
      <x:c r="Z683" s="120"/>
      <x:c r="AA683" s="121"/>
      <x:c r="AB683" s="122"/>
      <x:c r="AC683" s="120"/>
      <x:c r="AD683" s="122"/>
      <x:c r="AE683" s="120"/>
      <x:c r="AF683" s="121"/>
      <x:c r="AG683" s="122"/>
      <x:c r="AH683" s="120"/>
      <x:c r="AI683" s="122"/>
      <x:c r="AJ683" s="120"/>
      <x:c r="AK683" s="121"/>
      <x:c r="AL683" s="122"/>
      <x:c r="AM683" s="120"/>
      <x:c r="AN683" s="122"/>
      <x:c r="AO683" s="120"/>
      <x:c r="AP683" s="121"/>
      <x:c r="AQ683" s="122"/>
      <x:c r="AR683" s="120"/>
      <x:c r="AS683" s="122"/>
      <x:c r="AT683" s="120"/>
      <x:c r="AU683" s="121"/>
      <x:c r="AV683" s="122"/>
      <x:c r="AW683" s="120"/>
      <x:c r="AX683" s="122"/>
      <x:c r="AY683" s="120"/>
      <x:c r="AZ683" s="121"/>
      <x:c r="BA683" s="122"/>
      <x:c r="BB683" s="120"/>
      <x:c r="BC683" s="122"/>
      <x:c r="BD683" s="120"/>
      <x:c r="BE683" s="121"/>
      <x:c r="BF683" s="122"/>
      <x:c r="BG683" s="120"/>
      <x:c r="BH683" s="122"/>
      <x:c r="BI683" s="120"/>
      <x:c r="BJ683" s="121"/>
    </x:row>
    <x:row r="684" ht="15.75" customHeight="1">
      <x:c r="N684" s="120"/>
      <x:c r="P684" s="120"/>
      <x:c r="Q684" s="121"/>
      <x:c r="S684" s="120"/>
      <x:c r="U684" s="120"/>
      <x:c r="V684" s="121"/>
      <x:c r="W684" s="122"/>
      <x:c r="X684" s="120"/>
      <x:c r="Y684" s="122"/>
      <x:c r="Z684" s="120"/>
      <x:c r="AA684" s="121"/>
      <x:c r="AB684" s="122"/>
      <x:c r="AC684" s="120"/>
      <x:c r="AD684" s="122"/>
      <x:c r="AE684" s="120"/>
      <x:c r="AF684" s="121"/>
      <x:c r="AG684" s="122"/>
      <x:c r="AH684" s="120"/>
      <x:c r="AI684" s="122"/>
      <x:c r="AJ684" s="120"/>
      <x:c r="AK684" s="121"/>
      <x:c r="AL684" s="122"/>
      <x:c r="AM684" s="120"/>
      <x:c r="AN684" s="122"/>
      <x:c r="AO684" s="120"/>
      <x:c r="AP684" s="121"/>
      <x:c r="AQ684" s="122"/>
      <x:c r="AR684" s="120"/>
      <x:c r="AS684" s="122"/>
      <x:c r="AT684" s="120"/>
      <x:c r="AU684" s="121"/>
      <x:c r="AV684" s="122"/>
      <x:c r="AW684" s="120"/>
      <x:c r="AX684" s="122"/>
      <x:c r="AY684" s="120"/>
      <x:c r="AZ684" s="121"/>
      <x:c r="BA684" s="122"/>
      <x:c r="BB684" s="120"/>
      <x:c r="BC684" s="122"/>
      <x:c r="BD684" s="120"/>
      <x:c r="BE684" s="121"/>
      <x:c r="BF684" s="122"/>
      <x:c r="BG684" s="120"/>
      <x:c r="BH684" s="122"/>
      <x:c r="BI684" s="120"/>
      <x:c r="BJ684" s="121"/>
    </x:row>
    <x:row r="685" ht="15.75" customHeight="1">
      <x:c r="N685" s="120"/>
      <x:c r="P685" s="120"/>
      <x:c r="Q685" s="121"/>
      <x:c r="S685" s="120"/>
      <x:c r="U685" s="120"/>
      <x:c r="V685" s="121"/>
      <x:c r="W685" s="122"/>
      <x:c r="X685" s="120"/>
      <x:c r="Y685" s="122"/>
      <x:c r="Z685" s="120"/>
      <x:c r="AA685" s="121"/>
      <x:c r="AB685" s="122"/>
      <x:c r="AC685" s="120"/>
      <x:c r="AD685" s="122"/>
      <x:c r="AE685" s="120"/>
      <x:c r="AF685" s="121"/>
      <x:c r="AG685" s="122"/>
      <x:c r="AH685" s="120"/>
      <x:c r="AI685" s="122"/>
      <x:c r="AJ685" s="120"/>
      <x:c r="AK685" s="121"/>
      <x:c r="AL685" s="122"/>
      <x:c r="AM685" s="120"/>
      <x:c r="AN685" s="122"/>
      <x:c r="AO685" s="120"/>
      <x:c r="AP685" s="121"/>
      <x:c r="AQ685" s="122"/>
      <x:c r="AR685" s="120"/>
      <x:c r="AS685" s="122"/>
      <x:c r="AT685" s="120"/>
      <x:c r="AU685" s="121"/>
      <x:c r="AV685" s="122"/>
      <x:c r="AW685" s="120"/>
      <x:c r="AX685" s="122"/>
      <x:c r="AY685" s="120"/>
      <x:c r="AZ685" s="121"/>
      <x:c r="BA685" s="122"/>
      <x:c r="BB685" s="120"/>
      <x:c r="BC685" s="122"/>
      <x:c r="BD685" s="120"/>
      <x:c r="BE685" s="121"/>
      <x:c r="BF685" s="122"/>
      <x:c r="BG685" s="120"/>
      <x:c r="BH685" s="122"/>
      <x:c r="BI685" s="120"/>
      <x:c r="BJ685" s="121"/>
    </x:row>
    <x:row r="686" ht="15.75" customHeight="1">
      <x:c r="N686" s="120"/>
      <x:c r="P686" s="120"/>
      <x:c r="Q686" s="121"/>
      <x:c r="S686" s="120"/>
      <x:c r="U686" s="120"/>
      <x:c r="V686" s="121"/>
      <x:c r="W686" s="122"/>
      <x:c r="X686" s="120"/>
      <x:c r="Y686" s="122"/>
      <x:c r="Z686" s="120"/>
      <x:c r="AA686" s="121"/>
      <x:c r="AB686" s="122"/>
      <x:c r="AC686" s="120"/>
      <x:c r="AD686" s="122"/>
      <x:c r="AE686" s="120"/>
      <x:c r="AF686" s="121"/>
      <x:c r="AG686" s="122"/>
      <x:c r="AH686" s="120"/>
      <x:c r="AI686" s="122"/>
      <x:c r="AJ686" s="120"/>
      <x:c r="AK686" s="121"/>
      <x:c r="AL686" s="122"/>
      <x:c r="AM686" s="120"/>
      <x:c r="AN686" s="122"/>
      <x:c r="AO686" s="120"/>
      <x:c r="AP686" s="121"/>
      <x:c r="AQ686" s="122"/>
      <x:c r="AR686" s="120"/>
      <x:c r="AS686" s="122"/>
      <x:c r="AT686" s="120"/>
      <x:c r="AU686" s="121"/>
      <x:c r="AV686" s="122"/>
      <x:c r="AW686" s="120"/>
      <x:c r="AX686" s="122"/>
      <x:c r="AY686" s="120"/>
      <x:c r="AZ686" s="121"/>
      <x:c r="BA686" s="122"/>
      <x:c r="BB686" s="120"/>
      <x:c r="BC686" s="122"/>
      <x:c r="BD686" s="120"/>
      <x:c r="BE686" s="121"/>
      <x:c r="BF686" s="122"/>
      <x:c r="BG686" s="120"/>
      <x:c r="BH686" s="122"/>
      <x:c r="BI686" s="120"/>
      <x:c r="BJ686" s="121"/>
    </x:row>
    <x:row r="687" ht="15.75" customHeight="1">
      <x:c r="N687" s="120"/>
      <x:c r="P687" s="120"/>
      <x:c r="Q687" s="121"/>
      <x:c r="S687" s="120"/>
      <x:c r="U687" s="120"/>
      <x:c r="V687" s="121"/>
      <x:c r="W687" s="122"/>
      <x:c r="X687" s="120"/>
      <x:c r="Y687" s="122"/>
      <x:c r="Z687" s="120"/>
      <x:c r="AA687" s="121"/>
      <x:c r="AB687" s="122"/>
      <x:c r="AC687" s="120"/>
      <x:c r="AD687" s="122"/>
      <x:c r="AE687" s="120"/>
      <x:c r="AF687" s="121"/>
      <x:c r="AG687" s="122"/>
      <x:c r="AH687" s="120"/>
      <x:c r="AI687" s="122"/>
      <x:c r="AJ687" s="120"/>
      <x:c r="AK687" s="121"/>
      <x:c r="AL687" s="122"/>
      <x:c r="AM687" s="120"/>
      <x:c r="AN687" s="122"/>
      <x:c r="AO687" s="120"/>
      <x:c r="AP687" s="121"/>
      <x:c r="AQ687" s="122"/>
      <x:c r="AR687" s="120"/>
      <x:c r="AS687" s="122"/>
      <x:c r="AT687" s="120"/>
      <x:c r="AU687" s="121"/>
      <x:c r="AV687" s="122"/>
      <x:c r="AW687" s="120"/>
      <x:c r="AX687" s="122"/>
      <x:c r="AY687" s="120"/>
      <x:c r="AZ687" s="121"/>
      <x:c r="BA687" s="122"/>
      <x:c r="BB687" s="120"/>
      <x:c r="BC687" s="122"/>
      <x:c r="BD687" s="120"/>
      <x:c r="BE687" s="121"/>
      <x:c r="BF687" s="122"/>
      <x:c r="BG687" s="120"/>
      <x:c r="BH687" s="122"/>
      <x:c r="BI687" s="120"/>
      <x:c r="BJ687" s="121"/>
    </x:row>
    <x:row r="688" ht="15.75" customHeight="1">
      <x:c r="N688" s="120"/>
      <x:c r="P688" s="120"/>
      <x:c r="Q688" s="121"/>
      <x:c r="S688" s="120"/>
      <x:c r="U688" s="120"/>
      <x:c r="V688" s="121"/>
      <x:c r="W688" s="122"/>
      <x:c r="X688" s="120"/>
      <x:c r="Y688" s="122"/>
      <x:c r="Z688" s="120"/>
      <x:c r="AA688" s="121"/>
      <x:c r="AB688" s="122"/>
      <x:c r="AC688" s="120"/>
      <x:c r="AD688" s="122"/>
      <x:c r="AE688" s="120"/>
      <x:c r="AF688" s="121"/>
      <x:c r="AG688" s="122"/>
      <x:c r="AH688" s="120"/>
      <x:c r="AI688" s="122"/>
      <x:c r="AJ688" s="120"/>
      <x:c r="AK688" s="121"/>
      <x:c r="AL688" s="122"/>
      <x:c r="AM688" s="120"/>
      <x:c r="AN688" s="122"/>
      <x:c r="AO688" s="120"/>
      <x:c r="AP688" s="121"/>
      <x:c r="AQ688" s="122"/>
      <x:c r="AR688" s="120"/>
      <x:c r="AS688" s="122"/>
      <x:c r="AT688" s="120"/>
      <x:c r="AU688" s="121"/>
      <x:c r="AV688" s="122"/>
      <x:c r="AW688" s="120"/>
      <x:c r="AX688" s="122"/>
      <x:c r="AY688" s="120"/>
      <x:c r="AZ688" s="121"/>
      <x:c r="BA688" s="122"/>
      <x:c r="BB688" s="120"/>
      <x:c r="BC688" s="122"/>
      <x:c r="BD688" s="120"/>
      <x:c r="BE688" s="121"/>
      <x:c r="BF688" s="122"/>
      <x:c r="BG688" s="120"/>
      <x:c r="BH688" s="122"/>
      <x:c r="BI688" s="120"/>
      <x:c r="BJ688" s="121"/>
    </x:row>
    <x:row r="689" ht="15.75" customHeight="1">
      <x:c r="N689" s="120"/>
      <x:c r="P689" s="120"/>
      <x:c r="Q689" s="121"/>
      <x:c r="S689" s="120"/>
      <x:c r="U689" s="120"/>
      <x:c r="V689" s="121"/>
      <x:c r="W689" s="122"/>
      <x:c r="X689" s="120"/>
      <x:c r="Y689" s="122"/>
      <x:c r="Z689" s="120"/>
      <x:c r="AA689" s="121"/>
      <x:c r="AB689" s="122"/>
      <x:c r="AC689" s="120"/>
      <x:c r="AD689" s="122"/>
      <x:c r="AE689" s="120"/>
      <x:c r="AF689" s="121"/>
      <x:c r="AG689" s="122"/>
      <x:c r="AH689" s="120"/>
      <x:c r="AI689" s="122"/>
      <x:c r="AJ689" s="120"/>
      <x:c r="AK689" s="121"/>
      <x:c r="AL689" s="122"/>
      <x:c r="AM689" s="120"/>
      <x:c r="AN689" s="122"/>
      <x:c r="AO689" s="120"/>
      <x:c r="AP689" s="121"/>
      <x:c r="AQ689" s="122"/>
      <x:c r="AR689" s="120"/>
      <x:c r="AS689" s="122"/>
      <x:c r="AT689" s="120"/>
      <x:c r="AU689" s="121"/>
      <x:c r="AV689" s="122"/>
      <x:c r="AW689" s="120"/>
      <x:c r="AX689" s="122"/>
      <x:c r="AY689" s="120"/>
      <x:c r="AZ689" s="121"/>
      <x:c r="BA689" s="122"/>
      <x:c r="BB689" s="120"/>
      <x:c r="BC689" s="122"/>
      <x:c r="BD689" s="120"/>
      <x:c r="BE689" s="121"/>
      <x:c r="BF689" s="122"/>
      <x:c r="BG689" s="120"/>
      <x:c r="BH689" s="122"/>
      <x:c r="BI689" s="120"/>
      <x:c r="BJ689" s="121"/>
    </x:row>
    <x:row r="690" ht="15.75" customHeight="1">
      <x:c r="N690" s="120"/>
      <x:c r="P690" s="120"/>
      <x:c r="Q690" s="121"/>
      <x:c r="S690" s="120"/>
      <x:c r="U690" s="120"/>
      <x:c r="V690" s="121"/>
      <x:c r="W690" s="122"/>
      <x:c r="X690" s="120"/>
      <x:c r="Y690" s="122"/>
      <x:c r="Z690" s="120"/>
      <x:c r="AA690" s="121"/>
      <x:c r="AB690" s="122"/>
      <x:c r="AC690" s="120"/>
      <x:c r="AD690" s="122"/>
      <x:c r="AE690" s="120"/>
      <x:c r="AF690" s="121"/>
      <x:c r="AG690" s="122"/>
      <x:c r="AH690" s="120"/>
      <x:c r="AI690" s="122"/>
      <x:c r="AJ690" s="120"/>
      <x:c r="AK690" s="121"/>
      <x:c r="AL690" s="122"/>
      <x:c r="AM690" s="120"/>
      <x:c r="AN690" s="122"/>
      <x:c r="AO690" s="120"/>
      <x:c r="AP690" s="121"/>
      <x:c r="AQ690" s="122"/>
      <x:c r="AR690" s="120"/>
      <x:c r="AS690" s="122"/>
      <x:c r="AT690" s="120"/>
      <x:c r="AU690" s="121"/>
      <x:c r="AV690" s="122"/>
      <x:c r="AW690" s="120"/>
      <x:c r="AX690" s="122"/>
      <x:c r="AY690" s="120"/>
      <x:c r="AZ690" s="121"/>
      <x:c r="BA690" s="122"/>
      <x:c r="BB690" s="120"/>
      <x:c r="BC690" s="122"/>
      <x:c r="BD690" s="120"/>
      <x:c r="BE690" s="121"/>
      <x:c r="BF690" s="122"/>
      <x:c r="BG690" s="120"/>
      <x:c r="BH690" s="122"/>
      <x:c r="BI690" s="120"/>
      <x:c r="BJ690" s="121"/>
    </x:row>
    <x:row r="691" ht="15.75" customHeight="1">
      <x:c r="N691" s="120"/>
      <x:c r="P691" s="120"/>
      <x:c r="Q691" s="121"/>
      <x:c r="S691" s="120"/>
      <x:c r="U691" s="120"/>
      <x:c r="V691" s="121"/>
      <x:c r="W691" s="122"/>
      <x:c r="X691" s="120"/>
      <x:c r="Y691" s="122"/>
      <x:c r="Z691" s="120"/>
      <x:c r="AA691" s="121"/>
      <x:c r="AB691" s="122"/>
      <x:c r="AC691" s="120"/>
      <x:c r="AD691" s="122"/>
      <x:c r="AE691" s="120"/>
      <x:c r="AF691" s="121"/>
      <x:c r="AG691" s="122"/>
      <x:c r="AH691" s="120"/>
      <x:c r="AI691" s="122"/>
      <x:c r="AJ691" s="120"/>
      <x:c r="AK691" s="121"/>
      <x:c r="AL691" s="122"/>
      <x:c r="AM691" s="120"/>
      <x:c r="AN691" s="122"/>
      <x:c r="AO691" s="120"/>
      <x:c r="AP691" s="121"/>
      <x:c r="AQ691" s="122"/>
      <x:c r="AR691" s="120"/>
      <x:c r="AS691" s="122"/>
      <x:c r="AT691" s="120"/>
      <x:c r="AU691" s="121"/>
      <x:c r="AV691" s="122"/>
      <x:c r="AW691" s="120"/>
      <x:c r="AX691" s="122"/>
      <x:c r="AY691" s="120"/>
      <x:c r="AZ691" s="121"/>
      <x:c r="BA691" s="122"/>
      <x:c r="BB691" s="120"/>
      <x:c r="BC691" s="122"/>
      <x:c r="BD691" s="120"/>
      <x:c r="BE691" s="121"/>
      <x:c r="BF691" s="122"/>
      <x:c r="BG691" s="120"/>
      <x:c r="BH691" s="122"/>
      <x:c r="BI691" s="120"/>
      <x:c r="BJ691" s="121"/>
    </x:row>
    <x:row r="692" ht="15.75" customHeight="1">
      <x:c r="N692" s="120"/>
      <x:c r="P692" s="120"/>
      <x:c r="Q692" s="121"/>
      <x:c r="S692" s="120"/>
      <x:c r="U692" s="120"/>
      <x:c r="V692" s="121"/>
      <x:c r="W692" s="122"/>
      <x:c r="X692" s="120"/>
      <x:c r="Y692" s="122"/>
      <x:c r="Z692" s="120"/>
      <x:c r="AA692" s="121"/>
      <x:c r="AB692" s="122"/>
      <x:c r="AC692" s="120"/>
      <x:c r="AD692" s="122"/>
      <x:c r="AE692" s="120"/>
      <x:c r="AF692" s="121"/>
      <x:c r="AG692" s="122"/>
      <x:c r="AH692" s="120"/>
      <x:c r="AI692" s="122"/>
      <x:c r="AJ692" s="120"/>
      <x:c r="AK692" s="121"/>
      <x:c r="AL692" s="122"/>
      <x:c r="AM692" s="120"/>
      <x:c r="AN692" s="122"/>
      <x:c r="AO692" s="120"/>
      <x:c r="AP692" s="121"/>
      <x:c r="AQ692" s="122"/>
      <x:c r="AR692" s="120"/>
      <x:c r="AS692" s="122"/>
      <x:c r="AT692" s="120"/>
      <x:c r="AU692" s="121"/>
      <x:c r="AV692" s="122"/>
      <x:c r="AW692" s="120"/>
      <x:c r="AX692" s="122"/>
      <x:c r="AY692" s="120"/>
      <x:c r="AZ692" s="121"/>
      <x:c r="BA692" s="122"/>
      <x:c r="BB692" s="120"/>
      <x:c r="BC692" s="122"/>
      <x:c r="BD692" s="120"/>
      <x:c r="BE692" s="121"/>
      <x:c r="BF692" s="122"/>
      <x:c r="BG692" s="120"/>
      <x:c r="BH692" s="122"/>
      <x:c r="BI692" s="120"/>
      <x:c r="BJ692" s="121"/>
    </x:row>
    <x:row r="693" ht="15.75" customHeight="1">
      <x:c r="N693" s="120"/>
      <x:c r="P693" s="120"/>
      <x:c r="Q693" s="121"/>
      <x:c r="S693" s="120"/>
      <x:c r="U693" s="120"/>
      <x:c r="V693" s="121"/>
      <x:c r="W693" s="122"/>
      <x:c r="X693" s="120"/>
      <x:c r="Y693" s="122"/>
      <x:c r="Z693" s="120"/>
      <x:c r="AA693" s="121"/>
      <x:c r="AB693" s="122"/>
      <x:c r="AC693" s="120"/>
      <x:c r="AD693" s="122"/>
      <x:c r="AE693" s="120"/>
      <x:c r="AF693" s="121"/>
      <x:c r="AG693" s="122"/>
      <x:c r="AH693" s="120"/>
      <x:c r="AI693" s="122"/>
      <x:c r="AJ693" s="120"/>
      <x:c r="AK693" s="121"/>
      <x:c r="AL693" s="122"/>
      <x:c r="AM693" s="120"/>
      <x:c r="AN693" s="122"/>
      <x:c r="AO693" s="120"/>
      <x:c r="AP693" s="121"/>
      <x:c r="AQ693" s="122"/>
      <x:c r="AR693" s="120"/>
      <x:c r="AS693" s="122"/>
      <x:c r="AT693" s="120"/>
      <x:c r="AU693" s="121"/>
      <x:c r="AV693" s="122"/>
      <x:c r="AW693" s="120"/>
      <x:c r="AX693" s="122"/>
      <x:c r="AY693" s="120"/>
      <x:c r="AZ693" s="121"/>
      <x:c r="BA693" s="122"/>
      <x:c r="BB693" s="120"/>
      <x:c r="BC693" s="122"/>
      <x:c r="BD693" s="120"/>
      <x:c r="BE693" s="121"/>
      <x:c r="BF693" s="122"/>
      <x:c r="BG693" s="120"/>
      <x:c r="BH693" s="122"/>
      <x:c r="BI693" s="120"/>
      <x:c r="BJ693" s="121"/>
    </x:row>
    <x:row r="694" ht="15.75" customHeight="1">
      <x:c r="N694" s="120"/>
      <x:c r="P694" s="120"/>
      <x:c r="Q694" s="121"/>
      <x:c r="S694" s="120"/>
      <x:c r="U694" s="120"/>
      <x:c r="V694" s="121"/>
      <x:c r="W694" s="122"/>
      <x:c r="X694" s="120"/>
      <x:c r="Y694" s="122"/>
      <x:c r="Z694" s="120"/>
      <x:c r="AA694" s="121"/>
      <x:c r="AB694" s="122"/>
      <x:c r="AC694" s="120"/>
      <x:c r="AD694" s="122"/>
      <x:c r="AE694" s="120"/>
      <x:c r="AF694" s="121"/>
      <x:c r="AG694" s="122"/>
      <x:c r="AH694" s="120"/>
      <x:c r="AI694" s="122"/>
      <x:c r="AJ694" s="120"/>
      <x:c r="AK694" s="121"/>
      <x:c r="AL694" s="122"/>
      <x:c r="AM694" s="120"/>
      <x:c r="AN694" s="122"/>
      <x:c r="AO694" s="120"/>
      <x:c r="AP694" s="121"/>
      <x:c r="AQ694" s="122"/>
      <x:c r="AR694" s="120"/>
      <x:c r="AS694" s="122"/>
      <x:c r="AT694" s="120"/>
      <x:c r="AU694" s="121"/>
      <x:c r="AV694" s="122"/>
      <x:c r="AW694" s="120"/>
      <x:c r="AX694" s="122"/>
      <x:c r="AY694" s="120"/>
      <x:c r="AZ694" s="121"/>
      <x:c r="BA694" s="122"/>
      <x:c r="BB694" s="120"/>
      <x:c r="BC694" s="122"/>
      <x:c r="BD694" s="120"/>
      <x:c r="BE694" s="121"/>
      <x:c r="BF694" s="122"/>
      <x:c r="BG694" s="120"/>
      <x:c r="BH694" s="122"/>
      <x:c r="BI694" s="120"/>
      <x:c r="BJ694" s="121"/>
    </x:row>
    <x:row r="695" ht="15.75" customHeight="1">
      <x:c r="N695" s="120"/>
      <x:c r="P695" s="120"/>
      <x:c r="Q695" s="121"/>
      <x:c r="S695" s="120"/>
      <x:c r="U695" s="120"/>
      <x:c r="V695" s="121"/>
      <x:c r="W695" s="122"/>
      <x:c r="X695" s="120"/>
      <x:c r="Y695" s="122"/>
      <x:c r="Z695" s="120"/>
      <x:c r="AA695" s="121"/>
      <x:c r="AB695" s="122"/>
      <x:c r="AC695" s="120"/>
      <x:c r="AD695" s="122"/>
      <x:c r="AE695" s="120"/>
      <x:c r="AF695" s="121"/>
      <x:c r="AG695" s="122"/>
      <x:c r="AH695" s="120"/>
      <x:c r="AI695" s="122"/>
      <x:c r="AJ695" s="120"/>
      <x:c r="AK695" s="121"/>
      <x:c r="AL695" s="122"/>
      <x:c r="AM695" s="120"/>
      <x:c r="AN695" s="122"/>
      <x:c r="AO695" s="120"/>
      <x:c r="AP695" s="121"/>
      <x:c r="AQ695" s="122"/>
      <x:c r="AR695" s="120"/>
      <x:c r="AS695" s="122"/>
      <x:c r="AT695" s="120"/>
      <x:c r="AU695" s="121"/>
      <x:c r="AV695" s="122"/>
      <x:c r="AW695" s="120"/>
      <x:c r="AX695" s="122"/>
      <x:c r="AY695" s="120"/>
      <x:c r="AZ695" s="121"/>
      <x:c r="BA695" s="122"/>
      <x:c r="BB695" s="120"/>
      <x:c r="BC695" s="122"/>
      <x:c r="BD695" s="120"/>
      <x:c r="BE695" s="121"/>
      <x:c r="BF695" s="122"/>
      <x:c r="BG695" s="120"/>
      <x:c r="BH695" s="122"/>
      <x:c r="BI695" s="120"/>
      <x:c r="BJ695" s="121"/>
    </x:row>
    <x:row r="696" ht="15.75" customHeight="1">
      <x:c r="N696" s="120"/>
      <x:c r="P696" s="120"/>
      <x:c r="Q696" s="121"/>
      <x:c r="S696" s="120"/>
      <x:c r="U696" s="120"/>
      <x:c r="V696" s="121"/>
      <x:c r="W696" s="122"/>
      <x:c r="X696" s="120"/>
      <x:c r="Y696" s="122"/>
      <x:c r="Z696" s="120"/>
      <x:c r="AA696" s="121"/>
      <x:c r="AB696" s="122"/>
      <x:c r="AC696" s="120"/>
      <x:c r="AD696" s="122"/>
      <x:c r="AE696" s="120"/>
      <x:c r="AF696" s="121"/>
      <x:c r="AG696" s="122"/>
      <x:c r="AH696" s="120"/>
      <x:c r="AI696" s="122"/>
      <x:c r="AJ696" s="120"/>
      <x:c r="AK696" s="121"/>
      <x:c r="AL696" s="122"/>
      <x:c r="AM696" s="120"/>
      <x:c r="AN696" s="122"/>
      <x:c r="AO696" s="120"/>
      <x:c r="AP696" s="121"/>
      <x:c r="AQ696" s="122"/>
      <x:c r="AR696" s="120"/>
      <x:c r="AS696" s="122"/>
      <x:c r="AT696" s="120"/>
      <x:c r="AU696" s="121"/>
      <x:c r="AV696" s="122"/>
      <x:c r="AW696" s="120"/>
      <x:c r="AX696" s="122"/>
      <x:c r="AY696" s="120"/>
      <x:c r="AZ696" s="121"/>
      <x:c r="BA696" s="122"/>
      <x:c r="BB696" s="120"/>
      <x:c r="BC696" s="122"/>
      <x:c r="BD696" s="120"/>
      <x:c r="BE696" s="121"/>
      <x:c r="BF696" s="122"/>
      <x:c r="BG696" s="120"/>
      <x:c r="BH696" s="122"/>
      <x:c r="BI696" s="120"/>
      <x:c r="BJ696" s="121"/>
    </x:row>
    <x:row r="697" ht="15.75" customHeight="1">
      <x:c r="N697" s="120"/>
      <x:c r="P697" s="120"/>
      <x:c r="Q697" s="121"/>
      <x:c r="S697" s="120"/>
      <x:c r="U697" s="120"/>
      <x:c r="V697" s="121"/>
      <x:c r="W697" s="122"/>
      <x:c r="X697" s="120"/>
      <x:c r="Y697" s="122"/>
      <x:c r="Z697" s="120"/>
      <x:c r="AA697" s="121"/>
      <x:c r="AB697" s="122"/>
      <x:c r="AC697" s="120"/>
      <x:c r="AD697" s="122"/>
      <x:c r="AE697" s="120"/>
      <x:c r="AF697" s="121"/>
      <x:c r="AG697" s="122"/>
      <x:c r="AH697" s="120"/>
      <x:c r="AI697" s="122"/>
      <x:c r="AJ697" s="120"/>
      <x:c r="AK697" s="121"/>
      <x:c r="AL697" s="122"/>
      <x:c r="AM697" s="120"/>
      <x:c r="AN697" s="122"/>
      <x:c r="AO697" s="120"/>
      <x:c r="AP697" s="121"/>
      <x:c r="AQ697" s="122"/>
      <x:c r="AR697" s="120"/>
      <x:c r="AS697" s="122"/>
      <x:c r="AT697" s="120"/>
      <x:c r="AU697" s="121"/>
      <x:c r="AV697" s="122"/>
      <x:c r="AW697" s="120"/>
      <x:c r="AX697" s="122"/>
      <x:c r="AY697" s="120"/>
      <x:c r="AZ697" s="121"/>
      <x:c r="BA697" s="122"/>
      <x:c r="BB697" s="120"/>
      <x:c r="BC697" s="122"/>
      <x:c r="BD697" s="120"/>
      <x:c r="BE697" s="121"/>
      <x:c r="BF697" s="122"/>
      <x:c r="BG697" s="120"/>
      <x:c r="BH697" s="122"/>
      <x:c r="BI697" s="120"/>
      <x:c r="BJ697" s="121"/>
    </x:row>
    <x:row r="698" ht="15.75" customHeight="1">
      <x:c r="N698" s="120"/>
      <x:c r="P698" s="120"/>
      <x:c r="Q698" s="121"/>
      <x:c r="S698" s="120"/>
      <x:c r="U698" s="120"/>
      <x:c r="V698" s="121"/>
      <x:c r="W698" s="122"/>
      <x:c r="X698" s="120"/>
      <x:c r="Y698" s="122"/>
      <x:c r="Z698" s="120"/>
      <x:c r="AA698" s="121"/>
      <x:c r="AB698" s="122"/>
      <x:c r="AC698" s="120"/>
      <x:c r="AD698" s="122"/>
      <x:c r="AE698" s="120"/>
      <x:c r="AF698" s="121"/>
      <x:c r="AG698" s="122"/>
      <x:c r="AH698" s="120"/>
      <x:c r="AI698" s="122"/>
      <x:c r="AJ698" s="120"/>
      <x:c r="AK698" s="121"/>
      <x:c r="AL698" s="122"/>
      <x:c r="AM698" s="120"/>
      <x:c r="AN698" s="122"/>
      <x:c r="AO698" s="120"/>
      <x:c r="AP698" s="121"/>
      <x:c r="AQ698" s="122"/>
      <x:c r="AR698" s="120"/>
      <x:c r="AS698" s="122"/>
      <x:c r="AT698" s="120"/>
      <x:c r="AU698" s="121"/>
      <x:c r="AV698" s="122"/>
      <x:c r="AW698" s="120"/>
      <x:c r="AX698" s="122"/>
      <x:c r="AY698" s="120"/>
      <x:c r="AZ698" s="121"/>
      <x:c r="BA698" s="122"/>
      <x:c r="BB698" s="120"/>
      <x:c r="BC698" s="122"/>
      <x:c r="BD698" s="120"/>
      <x:c r="BE698" s="121"/>
      <x:c r="BF698" s="122"/>
      <x:c r="BG698" s="120"/>
      <x:c r="BH698" s="122"/>
      <x:c r="BI698" s="120"/>
      <x:c r="BJ698" s="121"/>
    </x:row>
    <x:row r="699" ht="15.75" customHeight="1">
      <x:c r="N699" s="120"/>
      <x:c r="P699" s="120"/>
      <x:c r="Q699" s="121"/>
      <x:c r="S699" s="120"/>
      <x:c r="U699" s="120"/>
      <x:c r="V699" s="121"/>
      <x:c r="W699" s="122"/>
      <x:c r="X699" s="120"/>
      <x:c r="Y699" s="122"/>
      <x:c r="Z699" s="120"/>
      <x:c r="AA699" s="121"/>
      <x:c r="AB699" s="122"/>
      <x:c r="AC699" s="120"/>
      <x:c r="AD699" s="122"/>
      <x:c r="AE699" s="120"/>
      <x:c r="AF699" s="121"/>
      <x:c r="AG699" s="122"/>
      <x:c r="AH699" s="120"/>
      <x:c r="AI699" s="122"/>
      <x:c r="AJ699" s="120"/>
      <x:c r="AK699" s="121"/>
      <x:c r="AL699" s="122"/>
      <x:c r="AM699" s="120"/>
      <x:c r="AN699" s="122"/>
      <x:c r="AO699" s="120"/>
      <x:c r="AP699" s="121"/>
      <x:c r="AQ699" s="122"/>
      <x:c r="AR699" s="120"/>
      <x:c r="AS699" s="122"/>
      <x:c r="AT699" s="120"/>
      <x:c r="AU699" s="121"/>
      <x:c r="AV699" s="122"/>
      <x:c r="AW699" s="120"/>
      <x:c r="AX699" s="122"/>
      <x:c r="AY699" s="120"/>
      <x:c r="AZ699" s="121"/>
      <x:c r="BA699" s="122"/>
      <x:c r="BB699" s="120"/>
      <x:c r="BC699" s="122"/>
      <x:c r="BD699" s="120"/>
      <x:c r="BE699" s="121"/>
      <x:c r="BF699" s="122"/>
      <x:c r="BG699" s="120"/>
      <x:c r="BH699" s="122"/>
      <x:c r="BI699" s="120"/>
      <x:c r="BJ699" s="121"/>
    </x:row>
    <x:row r="700" ht="15.75" customHeight="1">
      <x:c r="N700" s="120"/>
      <x:c r="P700" s="120"/>
      <x:c r="Q700" s="121"/>
      <x:c r="S700" s="120"/>
      <x:c r="U700" s="120"/>
      <x:c r="V700" s="121"/>
      <x:c r="W700" s="122"/>
      <x:c r="X700" s="120"/>
      <x:c r="Y700" s="122"/>
      <x:c r="Z700" s="120"/>
      <x:c r="AA700" s="121"/>
      <x:c r="AB700" s="122"/>
      <x:c r="AC700" s="120"/>
      <x:c r="AD700" s="122"/>
      <x:c r="AE700" s="120"/>
      <x:c r="AF700" s="121"/>
      <x:c r="AG700" s="122"/>
      <x:c r="AH700" s="120"/>
      <x:c r="AI700" s="122"/>
      <x:c r="AJ700" s="120"/>
      <x:c r="AK700" s="121"/>
      <x:c r="AL700" s="122"/>
      <x:c r="AM700" s="120"/>
      <x:c r="AN700" s="122"/>
      <x:c r="AO700" s="120"/>
      <x:c r="AP700" s="121"/>
      <x:c r="AQ700" s="122"/>
      <x:c r="AR700" s="120"/>
      <x:c r="AS700" s="122"/>
      <x:c r="AT700" s="120"/>
      <x:c r="AU700" s="121"/>
      <x:c r="AV700" s="122"/>
      <x:c r="AW700" s="120"/>
      <x:c r="AX700" s="122"/>
      <x:c r="AY700" s="120"/>
      <x:c r="AZ700" s="121"/>
      <x:c r="BA700" s="122"/>
      <x:c r="BB700" s="120"/>
      <x:c r="BC700" s="122"/>
      <x:c r="BD700" s="120"/>
      <x:c r="BE700" s="121"/>
      <x:c r="BF700" s="122"/>
      <x:c r="BG700" s="120"/>
      <x:c r="BH700" s="122"/>
      <x:c r="BI700" s="120"/>
      <x:c r="BJ700" s="121"/>
    </x:row>
    <x:row r="701" ht="15.75" customHeight="1">
      <x:c r="N701" s="120"/>
      <x:c r="P701" s="120"/>
      <x:c r="Q701" s="121"/>
      <x:c r="S701" s="120"/>
      <x:c r="U701" s="120"/>
      <x:c r="V701" s="121"/>
      <x:c r="W701" s="122"/>
      <x:c r="X701" s="120"/>
      <x:c r="Y701" s="122"/>
      <x:c r="Z701" s="120"/>
      <x:c r="AA701" s="121"/>
      <x:c r="AB701" s="122"/>
      <x:c r="AC701" s="120"/>
      <x:c r="AD701" s="122"/>
      <x:c r="AE701" s="120"/>
      <x:c r="AF701" s="121"/>
      <x:c r="AG701" s="122"/>
      <x:c r="AH701" s="120"/>
      <x:c r="AI701" s="122"/>
      <x:c r="AJ701" s="120"/>
      <x:c r="AK701" s="121"/>
      <x:c r="AL701" s="122"/>
      <x:c r="AM701" s="120"/>
      <x:c r="AN701" s="122"/>
      <x:c r="AO701" s="120"/>
      <x:c r="AP701" s="121"/>
      <x:c r="AQ701" s="122"/>
      <x:c r="AR701" s="120"/>
      <x:c r="AS701" s="122"/>
      <x:c r="AT701" s="120"/>
      <x:c r="AU701" s="121"/>
      <x:c r="AV701" s="122"/>
      <x:c r="AW701" s="120"/>
      <x:c r="AX701" s="122"/>
      <x:c r="AY701" s="120"/>
      <x:c r="AZ701" s="121"/>
      <x:c r="BA701" s="122"/>
      <x:c r="BB701" s="120"/>
      <x:c r="BC701" s="122"/>
      <x:c r="BD701" s="120"/>
      <x:c r="BE701" s="121"/>
      <x:c r="BF701" s="122"/>
      <x:c r="BG701" s="120"/>
      <x:c r="BH701" s="122"/>
      <x:c r="BI701" s="120"/>
      <x:c r="BJ701" s="121"/>
    </x:row>
    <x:row r="702" ht="15.75" customHeight="1">
      <x:c r="N702" s="120"/>
      <x:c r="P702" s="120"/>
      <x:c r="Q702" s="121"/>
      <x:c r="S702" s="120"/>
      <x:c r="U702" s="120"/>
      <x:c r="V702" s="121"/>
      <x:c r="W702" s="122"/>
      <x:c r="X702" s="120"/>
      <x:c r="Y702" s="122"/>
      <x:c r="Z702" s="120"/>
      <x:c r="AA702" s="121"/>
      <x:c r="AB702" s="122"/>
      <x:c r="AC702" s="120"/>
      <x:c r="AD702" s="122"/>
      <x:c r="AE702" s="120"/>
      <x:c r="AF702" s="121"/>
      <x:c r="AG702" s="122"/>
      <x:c r="AH702" s="120"/>
      <x:c r="AI702" s="122"/>
      <x:c r="AJ702" s="120"/>
      <x:c r="AK702" s="121"/>
      <x:c r="AL702" s="122"/>
      <x:c r="AM702" s="120"/>
      <x:c r="AN702" s="122"/>
      <x:c r="AO702" s="120"/>
      <x:c r="AP702" s="121"/>
      <x:c r="AQ702" s="122"/>
      <x:c r="AR702" s="120"/>
      <x:c r="AS702" s="122"/>
      <x:c r="AT702" s="120"/>
      <x:c r="AU702" s="121"/>
      <x:c r="AV702" s="122"/>
      <x:c r="AW702" s="120"/>
      <x:c r="AX702" s="122"/>
      <x:c r="AY702" s="120"/>
      <x:c r="AZ702" s="121"/>
      <x:c r="BA702" s="122"/>
      <x:c r="BB702" s="120"/>
      <x:c r="BC702" s="122"/>
      <x:c r="BD702" s="120"/>
      <x:c r="BE702" s="121"/>
      <x:c r="BF702" s="122"/>
      <x:c r="BG702" s="120"/>
      <x:c r="BH702" s="122"/>
      <x:c r="BI702" s="120"/>
      <x:c r="BJ702" s="121"/>
    </x:row>
    <x:row r="703" ht="15.75" customHeight="1">
      <x:c r="N703" s="120"/>
      <x:c r="P703" s="120"/>
      <x:c r="Q703" s="121"/>
      <x:c r="S703" s="120"/>
      <x:c r="U703" s="120"/>
      <x:c r="V703" s="121"/>
      <x:c r="W703" s="122"/>
      <x:c r="X703" s="120"/>
      <x:c r="Y703" s="122"/>
      <x:c r="Z703" s="120"/>
      <x:c r="AA703" s="121"/>
      <x:c r="AB703" s="122"/>
      <x:c r="AC703" s="120"/>
      <x:c r="AD703" s="122"/>
      <x:c r="AE703" s="120"/>
      <x:c r="AF703" s="121"/>
      <x:c r="AG703" s="122"/>
      <x:c r="AH703" s="120"/>
      <x:c r="AI703" s="122"/>
      <x:c r="AJ703" s="120"/>
      <x:c r="AK703" s="121"/>
      <x:c r="AL703" s="122"/>
      <x:c r="AM703" s="120"/>
      <x:c r="AN703" s="122"/>
      <x:c r="AO703" s="120"/>
      <x:c r="AP703" s="121"/>
      <x:c r="AQ703" s="122"/>
      <x:c r="AR703" s="120"/>
      <x:c r="AS703" s="122"/>
      <x:c r="AT703" s="120"/>
      <x:c r="AU703" s="121"/>
      <x:c r="AV703" s="122"/>
      <x:c r="AW703" s="120"/>
      <x:c r="AX703" s="122"/>
      <x:c r="AY703" s="120"/>
      <x:c r="AZ703" s="121"/>
      <x:c r="BA703" s="122"/>
      <x:c r="BB703" s="120"/>
      <x:c r="BC703" s="122"/>
      <x:c r="BD703" s="120"/>
      <x:c r="BE703" s="121"/>
      <x:c r="BF703" s="122"/>
      <x:c r="BG703" s="120"/>
      <x:c r="BH703" s="122"/>
      <x:c r="BI703" s="120"/>
      <x:c r="BJ703" s="121"/>
    </x:row>
    <x:row r="704" ht="15.75" customHeight="1">
      <x:c r="N704" s="120"/>
      <x:c r="P704" s="120"/>
      <x:c r="Q704" s="121"/>
      <x:c r="S704" s="120"/>
      <x:c r="U704" s="120"/>
      <x:c r="V704" s="121"/>
      <x:c r="W704" s="122"/>
      <x:c r="X704" s="120"/>
      <x:c r="Y704" s="122"/>
      <x:c r="Z704" s="120"/>
      <x:c r="AA704" s="121"/>
      <x:c r="AB704" s="122"/>
      <x:c r="AC704" s="120"/>
      <x:c r="AD704" s="122"/>
      <x:c r="AE704" s="120"/>
      <x:c r="AF704" s="121"/>
      <x:c r="AG704" s="122"/>
      <x:c r="AH704" s="120"/>
      <x:c r="AI704" s="122"/>
      <x:c r="AJ704" s="120"/>
      <x:c r="AK704" s="121"/>
      <x:c r="AL704" s="122"/>
      <x:c r="AM704" s="120"/>
      <x:c r="AN704" s="122"/>
      <x:c r="AO704" s="120"/>
      <x:c r="AP704" s="121"/>
      <x:c r="AQ704" s="122"/>
      <x:c r="AR704" s="120"/>
      <x:c r="AS704" s="122"/>
      <x:c r="AT704" s="120"/>
      <x:c r="AU704" s="121"/>
      <x:c r="AV704" s="122"/>
      <x:c r="AW704" s="120"/>
      <x:c r="AX704" s="122"/>
      <x:c r="AY704" s="120"/>
      <x:c r="AZ704" s="121"/>
      <x:c r="BA704" s="122"/>
      <x:c r="BB704" s="120"/>
      <x:c r="BC704" s="122"/>
      <x:c r="BD704" s="120"/>
      <x:c r="BE704" s="121"/>
      <x:c r="BF704" s="122"/>
      <x:c r="BG704" s="120"/>
      <x:c r="BH704" s="122"/>
      <x:c r="BI704" s="120"/>
      <x:c r="BJ704" s="121"/>
    </x:row>
    <x:row r="705" ht="15.75" customHeight="1">
      <x:c r="N705" s="120"/>
      <x:c r="P705" s="120"/>
      <x:c r="Q705" s="121"/>
      <x:c r="S705" s="120"/>
      <x:c r="U705" s="120"/>
      <x:c r="V705" s="121"/>
      <x:c r="W705" s="122"/>
      <x:c r="X705" s="120"/>
      <x:c r="Y705" s="122"/>
      <x:c r="Z705" s="120"/>
      <x:c r="AA705" s="121"/>
      <x:c r="AB705" s="122"/>
      <x:c r="AC705" s="120"/>
      <x:c r="AD705" s="122"/>
      <x:c r="AE705" s="120"/>
      <x:c r="AF705" s="121"/>
      <x:c r="AG705" s="122"/>
      <x:c r="AH705" s="120"/>
      <x:c r="AI705" s="122"/>
      <x:c r="AJ705" s="120"/>
      <x:c r="AK705" s="121"/>
      <x:c r="AL705" s="122"/>
      <x:c r="AM705" s="120"/>
      <x:c r="AN705" s="122"/>
      <x:c r="AO705" s="120"/>
      <x:c r="AP705" s="121"/>
      <x:c r="AQ705" s="122"/>
      <x:c r="AR705" s="120"/>
      <x:c r="AS705" s="122"/>
      <x:c r="AT705" s="120"/>
      <x:c r="AU705" s="121"/>
      <x:c r="AV705" s="122"/>
      <x:c r="AW705" s="120"/>
      <x:c r="AX705" s="122"/>
      <x:c r="AY705" s="120"/>
      <x:c r="AZ705" s="121"/>
      <x:c r="BA705" s="122"/>
      <x:c r="BB705" s="120"/>
      <x:c r="BC705" s="122"/>
      <x:c r="BD705" s="120"/>
      <x:c r="BE705" s="121"/>
      <x:c r="BF705" s="122"/>
      <x:c r="BG705" s="120"/>
      <x:c r="BH705" s="122"/>
      <x:c r="BI705" s="120"/>
      <x:c r="BJ705" s="121"/>
    </x:row>
    <x:row r="706" ht="15.75" customHeight="1">
      <x:c r="N706" s="120"/>
      <x:c r="P706" s="120"/>
      <x:c r="Q706" s="121"/>
      <x:c r="S706" s="120"/>
      <x:c r="U706" s="120"/>
      <x:c r="V706" s="121"/>
      <x:c r="W706" s="122"/>
      <x:c r="X706" s="120"/>
      <x:c r="Y706" s="122"/>
      <x:c r="Z706" s="120"/>
      <x:c r="AA706" s="121"/>
      <x:c r="AB706" s="122"/>
      <x:c r="AC706" s="120"/>
      <x:c r="AD706" s="122"/>
      <x:c r="AE706" s="120"/>
      <x:c r="AF706" s="121"/>
      <x:c r="AG706" s="122"/>
      <x:c r="AH706" s="120"/>
      <x:c r="AI706" s="122"/>
      <x:c r="AJ706" s="120"/>
      <x:c r="AK706" s="121"/>
      <x:c r="AL706" s="122"/>
      <x:c r="AM706" s="120"/>
      <x:c r="AN706" s="122"/>
      <x:c r="AO706" s="120"/>
      <x:c r="AP706" s="121"/>
      <x:c r="AQ706" s="122"/>
      <x:c r="AR706" s="120"/>
      <x:c r="AS706" s="122"/>
      <x:c r="AT706" s="120"/>
      <x:c r="AU706" s="121"/>
      <x:c r="AV706" s="122"/>
      <x:c r="AW706" s="120"/>
      <x:c r="AX706" s="122"/>
      <x:c r="AY706" s="120"/>
      <x:c r="AZ706" s="121"/>
      <x:c r="BA706" s="122"/>
      <x:c r="BB706" s="120"/>
      <x:c r="BC706" s="122"/>
      <x:c r="BD706" s="120"/>
      <x:c r="BE706" s="121"/>
      <x:c r="BF706" s="122"/>
      <x:c r="BG706" s="120"/>
      <x:c r="BH706" s="122"/>
      <x:c r="BI706" s="120"/>
      <x:c r="BJ706" s="121"/>
    </x:row>
    <x:row r="707" ht="15.75" customHeight="1">
      <x:c r="N707" s="120"/>
      <x:c r="P707" s="120"/>
      <x:c r="Q707" s="121"/>
      <x:c r="S707" s="120"/>
      <x:c r="U707" s="120"/>
      <x:c r="V707" s="121"/>
      <x:c r="W707" s="122"/>
      <x:c r="X707" s="120"/>
      <x:c r="Y707" s="122"/>
      <x:c r="Z707" s="120"/>
      <x:c r="AA707" s="121"/>
      <x:c r="AB707" s="122"/>
      <x:c r="AC707" s="120"/>
      <x:c r="AD707" s="122"/>
      <x:c r="AE707" s="120"/>
      <x:c r="AF707" s="121"/>
      <x:c r="AG707" s="122"/>
      <x:c r="AH707" s="120"/>
      <x:c r="AI707" s="122"/>
      <x:c r="AJ707" s="120"/>
      <x:c r="AK707" s="121"/>
      <x:c r="AL707" s="122"/>
      <x:c r="AM707" s="120"/>
      <x:c r="AN707" s="122"/>
      <x:c r="AO707" s="120"/>
      <x:c r="AP707" s="121"/>
      <x:c r="AQ707" s="122"/>
      <x:c r="AR707" s="120"/>
      <x:c r="AS707" s="122"/>
      <x:c r="AT707" s="120"/>
      <x:c r="AU707" s="121"/>
      <x:c r="AV707" s="122"/>
      <x:c r="AW707" s="120"/>
      <x:c r="AX707" s="122"/>
      <x:c r="AY707" s="120"/>
      <x:c r="AZ707" s="121"/>
      <x:c r="BA707" s="122"/>
      <x:c r="BB707" s="120"/>
      <x:c r="BC707" s="122"/>
      <x:c r="BD707" s="120"/>
      <x:c r="BE707" s="121"/>
      <x:c r="BF707" s="122"/>
      <x:c r="BG707" s="120"/>
      <x:c r="BH707" s="122"/>
      <x:c r="BI707" s="120"/>
      <x:c r="BJ707" s="121"/>
    </x:row>
    <x:row r="708" ht="15.75" customHeight="1">
      <x:c r="N708" s="120"/>
      <x:c r="P708" s="120"/>
      <x:c r="Q708" s="121"/>
      <x:c r="S708" s="120"/>
      <x:c r="U708" s="120"/>
      <x:c r="V708" s="121"/>
      <x:c r="W708" s="122"/>
      <x:c r="X708" s="120"/>
      <x:c r="Y708" s="122"/>
      <x:c r="Z708" s="120"/>
      <x:c r="AA708" s="121"/>
      <x:c r="AB708" s="122"/>
      <x:c r="AC708" s="120"/>
      <x:c r="AD708" s="122"/>
      <x:c r="AE708" s="120"/>
      <x:c r="AF708" s="121"/>
      <x:c r="AG708" s="122"/>
      <x:c r="AH708" s="120"/>
      <x:c r="AI708" s="122"/>
      <x:c r="AJ708" s="120"/>
      <x:c r="AK708" s="121"/>
      <x:c r="AL708" s="122"/>
      <x:c r="AM708" s="120"/>
      <x:c r="AN708" s="122"/>
      <x:c r="AO708" s="120"/>
      <x:c r="AP708" s="121"/>
      <x:c r="AQ708" s="122"/>
      <x:c r="AR708" s="120"/>
      <x:c r="AS708" s="122"/>
      <x:c r="AT708" s="120"/>
      <x:c r="AU708" s="121"/>
      <x:c r="AV708" s="122"/>
      <x:c r="AW708" s="120"/>
      <x:c r="AX708" s="122"/>
      <x:c r="AY708" s="120"/>
      <x:c r="AZ708" s="121"/>
      <x:c r="BA708" s="122"/>
      <x:c r="BB708" s="120"/>
      <x:c r="BC708" s="122"/>
      <x:c r="BD708" s="120"/>
      <x:c r="BE708" s="121"/>
      <x:c r="BF708" s="122"/>
      <x:c r="BG708" s="120"/>
      <x:c r="BH708" s="122"/>
      <x:c r="BI708" s="120"/>
      <x:c r="BJ708" s="121"/>
    </x:row>
    <x:row r="709" ht="15.75" customHeight="1">
      <x:c r="N709" s="120"/>
      <x:c r="P709" s="120"/>
      <x:c r="Q709" s="121"/>
      <x:c r="S709" s="120"/>
      <x:c r="U709" s="120"/>
      <x:c r="V709" s="121"/>
      <x:c r="W709" s="122"/>
      <x:c r="X709" s="120"/>
      <x:c r="Y709" s="122"/>
      <x:c r="Z709" s="120"/>
      <x:c r="AA709" s="121"/>
      <x:c r="AB709" s="122"/>
      <x:c r="AC709" s="120"/>
      <x:c r="AD709" s="122"/>
      <x:c r="AE709" s="120"/>
      <x:c r="AF709" s="121"/>
      <x:c r="AG709" s="122"/>
      <x:c r="AH709" s="120"/>
      <x:c r="AI709" s="122"/>
      <x:c r="AJ709" s="120"/>
      <x:c r="AK709" s="121"/>
      <x:c r="AL709" s="122"/>
      <x:c r="AM709" s="120"/>
      <x:c r="AN709" s="122"/>
      <x:c r="AO709" s="120"/>
      <x:c r="AP709" s="121"/>
      <x:c r="AQ709" s="122"/>
      <x:c r="AR709" s="120"/>
      <x:c r="AS709" s="122"/>
      <x:c r="AT709" s="120"/>
      <x:c r="AU709" s="121"/>
      <x:c r="AV709" s="122"/>
      <x:c r="AW709" s="120"/>
      <x:c r="AX709" s="122"/>
      <x:c r="AY709" s="120"/>
      <x:c r="AZ709" s="121"/>
      <x:c r="BA709" s="122"/>
      <x:c r="BB709" s="120"/>
      <x:c r="BC709" s="122"/>
      <x:c r="BD709" s="120"/>
      <x:c r="BE709" s="121"/>
      <x:c r="BF709" s="122"/>
      <x:c r="BG709" s="120"/>
      <x:c r="BH709" s="122"/>
      <x:c r="BI709" s="120"/>
      <x:c r="BJ709" s="121"/>
    </x:row>
    <x:row r="710" ht="15.75" customHeight="1">
      <x:c r="N710" s="120"/>
      <x:c r="P710" s="120"/>
      <x:c r="Q710" s="121"/>
      <x:c r="S710" s="120"/>
      <x:c r="U710" s="120"/>
      <x:c r="V710" s="121"/>
      <x:c r="W710" s="122"/>
      <x:c r="X710" s="120"/>
      <x:c r="Y710" s="122"/>
      <x:c r="Z710" s="120"/>
      <x:c r="AA710" s="121"/>
      <x:c r="AB710" s="122"/>
      <x:c r="AC710" s="120"/>
      <x:c r="AD710" s="122"/>
      <x:c r="AE710" s="120"/>
      <x:c r="AF710" s="121"/>
      <x:c r="AG710" s="122"/>
      <x:c r="AH710" s="120"/>
      <x:c r="AI710" s="122"/>
      <x:c r="AJ710" s="120"/>
      <x:c r="AK710" s="121"/>
      <x:c r="AL710" s="122"/>
      <x:c r="AM710" s="120"/>
      <x:c r="AN710" s="122"/>
      <x:c r="AO710" s="120"/>
      <x:c r="AP710" s="121"/>
      <x:c r="AQ710" s="122"/>
      <x:c r="AR710" s="120"/>
      <x:c r="AS710" s="122"/>
      <x:c r="AT710" s="120"/>
      <x:c r="AU710" s="121"/>
      <x:c r="AV710" s="122"/>
      <x:c r="AW710" s="120"/>
      <x:c r="AX710" s="122"/>
      <x:c r="AY710" s="120"/>
      <x:c r="AZ710" s="121"/>
      <x:c r="BA710" s="122"/>
      <x:c r="BB710" s="120"/>
      <x:c r="BC710" s="122"/>
      <x:c r="BD710" s="120"/>
      <x:c r="BE710" s="121"/>
      <x:c r="BF710" s="122"/>
      <x:c r="BG710" s="120"/>
      <x:c r="BH710" s="122"/>
      <x:c r="BI710" s="120"/>
      <x:c r="BJ710" s="121"/>
    </x:row>
    <x:row r="711" ht="15.75" customHeight="1">
      <x:c r="N711" s="120"/>
      <x:c r="P711" s="120"/>
      <x:c r="Q711" s="121"/>
      <x:c r="S711" s="120"/>
      <x:c r="U711" s="120"/>
      <x:c r="V711" s="121"/>
      <x:c r="W711" s="122"/>
      <x:c r="X711" s="120"/>
      <x:c r="Y711" s="122"/>
      <x:c r="Z711" s="120"/>
      <x:c r="AA711" s="121"/>
      <x:c r="AB711" s="122"/>
      <x:c r="AC711" s="120"/>
      <x:c r="AD711" s="122"/>
      <x:c r="AE711" s="120"/>
      <x:c r="AF711" s="121"/>
      <x:c r="AG711" s="122"/>
      <x:c r="AH711" s="120"/>
      <x:c r="AI711" s="122"/>
      <x:c r="AJ711" s="120"/>
      <x:c r="AK711" s="121"/>
      <x:c r="AL711" s="122"/>
      <x:c r="AM711" s="120"/>
      <x:c r="AN711" s="122"/>
      <x:c r="AO711" s="120"/>
      <x:c r="AP711" s="121"/>
      <x:c r="AQ711" s="122"/>
      <x:c r="AR711" s="120"/>
      <x:c r="AS711" s="122"/>
      <x:c r="AT711" s="120"/>
      <x:c r="AU711" s="121"/>
      <x:c r="AV711" s="122"/>
      <x:c r="AW711" s="120"/>
      <x:c r="AX711" s="122"/>
      <x:c r="AY711" s="120"/>
      <x:c r="AZ711" s="121"/>
      <x:c r="BA711" s="122"/>
      <x:c r="BB711" s="120"/>
      <x:c r="BC711" s="122"/>
      <x:c r="BD711" s="120"/>
      <x:c r="BE711" s="121"/>
      <x:c r="BF711" s="122"/>
      <x:c r="BG711" s="120"/>
      <x:c r="BH711" s="122"/>
      <x:c r="BI711" s="120"/>
      <x:c r="BJ711" s="121"/>
    </x:row>
    <x:row r="712" ht="15.75" customHeight="1">
      <x:c r="N712" s="120"/>
      <x:c r="P712" s="120"/>
      <x:c r="Q712" s="121"/>
      <x:c r="S712" s="120"/>
      <x:c r="U712" s="120"/>
      <x:c r="V712" s="121"/>
      <x:c r="W712" s="122"/>
      <x:c r="X712" s="120"/>
      <x:c r="Y712" s="122"/>
      <x:c r="Z712" s="120"/>
      <x:c r="AA712" s="121"/>
      <x:c r="AB712" s="122"/>
      <x:c r="AC712" s="120"/>
      <x:c r="AD712" s="122"/>
      <x:c r="AE712" s="120"/>
      <x:c r="AF712" s="121"/>
      <x:c r="AG712" s="122"/>
      <x:c r="AH712" s="120"/>
      <x:c r="AI712" s="122"/>
      <x:c r="AJ712" s="120"/>
      <x:c r="AK712" s="121"/>
      <x:c r="AL712" s="122"/>
      <x:c r="AM712" s="120"/>
      <x:c r="AN712" s="122"/>
      <x:c r="AO712" s="120"/>
      <x:c r="AP712" s="121"/>
      <x:c r="AQ712" s="122"/>
      <x:c r="AR712" s="120"/>
      <x:c r="AS712" s="122"/>
      <x:c r="AT712" s="120"/>
      <x:c r="AU712" s="121"/>
      <x:c r="AV712" s="122"/>
      <x:c r="AW712" s="120"/>
      <x:c r="AX712" s="122"/>
      <x:c r="AY712" s="120"/>
      <x:c r="AZ712" s="121"/>
      <x:c r="BA712" s="122"/>
      <x:c r="BB712" s="120"/>
      <x:c r="BC712" s="122"/>
      <x:c r="BD712" s="120"/>
      <x:c r="BE712" s="121"/>
      <x:c r="BF712" s="122"/>
      <x:c r="BG712" s="120"/>
      <x:c r="BH712" s="122"/>
      <x:c r="BI712" s="120"/>
      <x:c r="BJ712" s="121"/>
    </x:row>
    <x:row r="713" ht="15.75" customHeight="1">
      <x:c r="N713" s="120"/>
      <x:c r="P713" s="120"/>
      <x:c r="Q713" s="121"/>
      <x:c r="S713" s="120"/>
      <x:c r="U713" s="120"/>
      <x:c r="V713" s="121"/>
      <x:c r="W713" s="122"/>
      <x:c r="X713" s="120"/>
      <x:c r="Y713" s="122"/>
      <x:c r="Z713" s="120"/>
      <x:c r="AA713" s="121"/>
      <x:c r="AB713" s="122"/>
      <x:c r="AC713" s="120"/>
      <x:c r="AD713" s="122"/>
      <x:c r="AE713" s="120"/>
      <x:c r="AF713" s="121"/>
      <x:c r="AG713" s="122"/>
      <x:c r="AH713" s="120"/>
      <x:c r="AI713" s="122"/>
      <x:c r="AJ713" s="120"/>
      <x:c r="AK713" s="121"/>
      <x:c r="AL713" s="122"/>
      <x:c r="AM713" s="120"/>
      <x:c r="AN713" s="122"/>
      <x:c r="AO713" s="120"/>
      <x:c r="AP713" s="121"/>
      <x:c r="AQ713" s="122"/>
      <x:c r="AR713" s="120"/>
      <x:c r="AS713" s="122"/>
      <x:c r="AT713" s="120"/>
      <x:c r="AU713" s="121"/>
      <x:c r="AV713" s="122"/>
      <x:c r="AW713" s="120"/>
      <x:c r="AX713" s="122"/>
      <x:c r="AY713" s="120"/>
      <x:c r="AZ713" s="121"/>
      <x:c r="BA713" s="122"/>
      <x:c r="BB713" s="120"/>
      <x:c r="BC713" s="122"/>
      <x:c r="BD713" s="120"/>
      <x:c r="BE713" s="121"/>
      <x:c r="BF713" s="122"/>
      <x:c r="BG713" s="120"/>
      <x:c r="BH713" s="122"/>
      <x:c r="BI713" s="120"/>
      <x:c r="BJ713" s="121"/>
    </x:row>
    <x:row r="714" ht="15.75" customHeight="1">
      <x:c r="N714" s="120"/>
      <x:c r="P714" s="120"/>
      <x:c r="Q714" s="121"/>
      <x:c r="S714" s="120"/>
      <x:c r="U714" s="120"/>
      <x:c r="V714" s="121"/>
      <x:c r="W714" s="122"/>
      <x:c r="X714" s="120"/>
      <x:c r="Y714" s="122"/>
      <x:c r="Z714" s="120"/>
      <x:c r="AA714" s="121"/>
      <x:c r="AB714" s="122"/>
      <x:c r="AC714" s="120"/>
      <x:c r="AD714" s="122"/>
      <x:c r="AE714" s="120"/>
      <x:c r="AF714" s="121"/>
      <x:c r="AG714" s="122"/>
      <x:c r="AH714" s="120"/>
      <x:c r="AI714" s="122"/>
      <x:c r="AJ714" s="120"/>
      <x:c r="AK714" s="121"/>
      <x:c r="AL714" s="122"/>
      <x:c r="AM714" s="120"/>
      <x:c r="AN714" s="122"/>
      <x:c r="AO714" s="120"/>
      <x:c r="AP714" s="121"/>
      <x:c r="AQ714" s="122"/>
      <x:c r="AR714" s="120"/>
      <x:c r="AS714" s="122"/>
      <x:c r="AT714" s="120"/>
      <x:c r="AU714" s="121"/>
      <x:c r="AV714" s="122"/>
      <x:c r="AW714" s="120"/>
      <x:c r="AX714" s="122"/>
      <x:c r="AY714" s="120"/>
      <x:c r="AZ714" s="121"/>
      <x:c r="BA714" s="122"/>
      <x:c r="BB714" s="120"/>
      <x:c r="BC714" s="122"/>
      <x:c r="BD714" s="120"/>
      <x:c r="BE714" s="121"/>
      <x:c r="BF714" s="122"/>
      <x:c r="BG714" s="120"/>
      <x:c r="BH714" s="122"/>
      <x:c r="BI714" s="120"/>
      <x:c r="BJ714" s="121"/>
    </x:row>
    <x:row r="715" ht="15.75" customHeight="1">
      <x:c r="N715" s="120"/>
      <x:c r="P715" s="120"/>
      <x:c r="Q715" s="121"/>
      <x:c r="S715" s="120"/>
      <x:c r="U715" s="120"/>
      <x:c r="V715" s="121"/>
      <x:c r="W715" s="122"/>
      <x:c r="X715" s="120"/>
      <x:c r="Y715" s="122"/>
      <x:c r="Z715" s="120"/>
      <x:c r="AA715" s="121"/>
      <x:c r="AB715" s="122"/>
      <x:c r="AC715" s="120"/>
      <x:c r="AD715" s="122"/>
      <x:c r="AE715" s="120"/>
      <x:c r="AF715" s="121"/>
      <x:c r="AG715" s="122"/>
      <x:c r="AH715" s="120"/>
      <x:c r="AI715" s="122"/>
      <x:c r="AJ715" s="120"/>
      <x:c r="AK715" s="121"/>
      <x:c r="AL715" s="122"/>
      <x:c r="AM715" s="120"/>
      <x:c r="AN715" s="122"/>
      <x:c r="AO715" s="120"/>
      <x:c r="AP715" s="121"/>
      <x:c r="AQ715" s="122"/>
      <x:c r="AR715" s="120"/>
      <x:c r="AS715" s="122"/>
      <x:c r="AT715" s="120"/>
      <x:c r="AU715" s="121"/>
      <x:c r="AV715" s="122"/>
      <x:c r="AW715" s="120"/>
      <x:c r="AX715" s="122"/>
      <x:c r="AY715" s="120"/>
      <x:c r="AZ715" s="121"/>
      <x:c r="BA715" s="122"/>
      <x:c r="BB715" s="120"/>
      <x:c r="BC715" s="122"/>
      <x:c r="BD715" s="120"/>
      <x:c r="BE715" s="121"/>
      <x:c r="BF715" s="122"/>
      <x:c r="BG715" s="120"/>
      <x:c r="BH715" s="122"/>
      <x:c r="BI715" s="120"/>
      <x:c r="BJ715" s="121"/>
    </x:row>
    <x:row r="716" ht="15.75" customHeight="1">
      <x:c r="N716" s="120"/>
      <x:c r="P716" s="120"/>
      <x:c r="Q716" s="121"/>
      <x:c r="S716" s="120"/>
      <x:c r="U716" s="120"/>
      <x:c r="V716" s="121"/>
      <x:c r="W716" s="122"/>
      <x:c r="X716" s="120"/>
      <x:c r="Y716" s="122"/>
      <x:c r="Z716" s="120"/>
      <x:c r="AA716" s="121"/>
      <x:c r="AB716" s="122"/>
      <x:c r="AC716" s="120"/>
      <x:c r="AD716" s="122"/>
      <x:c r="AE716" s="120"/>
      <x:c r="AF716" s="121"/>
      <x:c r="AG716" s="122"/>
      <x:c r="AH716" s="120"/>
      <x:c r="AI716" s="122"/>
      <x:c r="AJ716" s="120"/>
      <x:c r="AK716" s="121"/>
      <x:c r="AL716" s="122"/>
      <x:c r="AM716" s="120"/>
      <x:c r="AN716" s="122"/>
      <x:c r="AO716" s="120"/>
      <x:c r="AP716" s="121"/>
      <x:c r="AQ716" s="122"/>
      <x:c r="AR716" s="120"/>
      <x:c r="AS716" s="122"/>
      <x:c r="AT716" s="120"/>
      <x:c r="AU716" s="121"/>
      <x:c r="AV716" s="122"/>
      <x:c r="AW716" s="120"/>
      <x:c r="AX716" s="122"/>
      <x:c r="AY716" s="120"/>
      <x:c r="AZ716" s="121"/>
      <x:c r="BA716" s="122"/>
      <x:c r="BB716" s="120"/>
      <x:c r="BC716" s="122"/>
      <x:c r="BD716" s="120"/>
      <x:c r="BE716" s="121"/>
      <x:c r="BF716" s="122"/>
      <x:c r="BG716" s="120"/>
      <x:c r="BH716" s="122"/>
      <x:c r="BI716" s="120"/>
      <x:c r="BJ716" s="121"/>
    </x:row>
    <x:row r="717" ht="15.75" customHeight="1">
      <x:c r="N717" s="120"/>
      <x:c r="P717" s="120"/>
      <x:c r="Q717" s="121"/>
      <x:c r="S717" s="120"/>
      <x:c r="U717" s="120"/>
      <x:c r="V717" s="121"/>
      <x:c r="W717" s="122"/>
      <x:c r="X717" s="120"/>
      <x:c r="Y717" s="122"/>
      <x:c r="Z717" s="120"/>
      <x:c r="AA717" s="121"/>
      <x:c r="AB717" s="122"/>
      <x:c r="AC717" s="120"/>
      <x:c r="AD717" s="122"/>
      <x:c r="AE717" s="120"/>
      <x:c r="AF717" s="121"/>
      <x:c r="AG717" s="122"/>
      <x:c r="AH717" s="120"/>
      <x:c r="AI717" s="122"/>
      <x:c r="AJ717" s="120"/>
      <x:c r="AK717" s="121"/>
      <x:c r="AL717" s="122"/>
      <x:c r="AM717" s="120"/>
      <x:c r="AN717" s="122"/>
      <x:c r="AO717" s="120"/>
      <x:c r="AP717" s="121"/>
      <x:c r="AQ717" s="122"/>
      <x:c r="AR717" s="120"/>
      <x:c r="AS717" s="122"/>
      <x:c r="AT717" s="120"/>
      <x:c r="AU717" s="121"/>
      <x:c r="AV717" s="122"/>
      <x:c r="AW717" s="120"/>
      <x:c r="AX717" s="122"/>
      <x:c r="AY717" s="120"/>
      <x:c r="AZ717" s="121"/>
      <x:c r="BA717" s="122"/>
      <x:c r="BB717" s="120"/>
      <x:c r="BC717" s="122"/>
      <x:c r="BD717" s="120"/>
      <x:c r="BE717" s="121"/>
      <x:c r="BF717" s="122"/>
      <x:c r="BG717" s="120"/>
      <x:c r="BH717" s="122"/>
      <x:c r="BI717" s="120"/>
      <x:c r="BJ717" s="121"/>
    </x:row>
    <x:row r="718" ht="15.75" customHeight="1">
      <x:c r="N718" s="120"/>
      <x:c r="P718" s="120"/>
      <x:c r="Q718" s="121"/>
      <x:c r="S718" s="120"/>
      <x:c r="U718" s="120"/>
      <x:c r="V718" s="121"/>
      <x:c r="W718" s="122"/>
      <x:c r="X718" s="120"/>
      <x:c r="Y718" s="122"/>
      <x:c r="Z718" s="120"/>
      <x:c r="AA718" s="121"/>
      <x:c r="AB718" s="122"/>
      <x:c r="AC718" s="120"/>
      <x:c r="AD718" s="122"/>
      <x:c r="AE718" s="120"/>
      <x:c r="AF718" s="121"/>
      <x:c r="AG718" s="122"/>
      <x:c r="AH718" s="120"/>
      <x:c r="AI718" s="122"/>
      <x:c r="AJ718" s="120"/>
      <x:c r="AK718" s="121"/>
      <x:c r="AL718" s="122"/>
      <x:c r="AM718" s="120"/>
      <x:c r="AN718" s="122"/>
      <x:c r="AO718" s="120"/>
      <x:c r="AP718" s="121"/>
      <x:c r="AQ718" s="122"/>
      <x:c r="AR718" s="120"/>
      <x:c r="AS718" s="122"/>
      <x:c r="AT718" s="120"/>
      <x:c r="AU718" s="121"/>
      <x:c r="AV718" s="122"/>
      <x:c r="AW718" s="120"/>
      <x:c r="AX718" s="122"/>
      <x:c r="AY718" s="120"/>
      <x:c r="AZ718" s="121"/>
      <x:c r="BA718" s="122"/>
      <x:c r="BB718" s="120"/>
      <x:c r="BC718" s="122"/>
      <x:c r="BD718" s="120"/>
      <x:c r="BE718" s="121"/>
      <x:c r="BF718" s="122"/>
      <x:c r="BG718" s="120"/>
      <x:c r="BH718" s="122"/>
      <x:c r="BI718" s="120"/>
      <x:c r="BJ718" s="121"/>
    </x:row>
    <x:row r="719" ht="15.75" customHeight="1">
      <x:c r="N719" s="120"/>
      <x:c r="P719" s="120"/>
      <x:c r="Q719" s="121"/>
      <x:c r="S719" s="120"/>
      <x:c r="U719" s="120"/>
      <x:c r="V719" s="121"/>
      <x:c r="W719" s="122"/>
      <x:c r="X719" s="120"/>
      <x:c r="Y719" s="122"/>
      <x:c r="Z719" s="120"/>
      <x:c r="AA719" s="121"/>
      <x:c r="AB719" s="122"/>
      <x:c r="AC719" s="120"/>
      <x:c r="AD719" s="122"/>
      <x:c r="AE719" s="120"/>
      <x:c r="AF719" s="121"/>
      <x:c r="AG719" s="122"/>
      <x:c r="AH719" s="120"/>
      <x:c r="AI719" s="122"/>
      <x:c r="AJ719" s="120"/>
      <x:c r="AK719" s="121"/>
      <x:c r="AL719" s="122"/>
      <x:c r="AM719" s="120"/>
      <x:c r="AN719" s="122"/>
      <x:c r="AO719" s="120"/>
      <x:c r="AP719" s="121"/>
      <x:c r="AQ719" s="122"/>
      <x:c r="AR719" s="120"/>
      <x:c r="AS719" s="122"/>
      <x:c r="AT719" s="120"/>
      <x:c r="AU719" s="121"/>
      <x:c r="AV719" s="122"/>
      <x:c r="AW719" s="120"/>
      <x:c r="AX719" s="122"/>
      <x:c r="AY719" s="120"/>
      <x:c r="AZ719" s="121"/>
      <x:c r="BA719" s="122"/>
      <x:c r="BB719" s="120"/>
      <x:c r="BC719" s="122"/>
      <x:c r="BD719" s="120"/>
      <x:c r="BE719" s="121"/>
      <x:c r="BF719" s="122"/>
      <x:c r="BG719" s="120"/>
      <x:c r="BH719" s="122"/>
      <x:c r="BI719" s="120"/>
      <x:c r="BJ719" s="121"/>
    </x:row>
    <x:row r="720" ht="15.75" customHeight="1">
      <x:c r="N720" s="120"/>
      <x:c r="P720" s="120"/>
      <x:c r="Q720" s="121"/>
      <x:c r="S720" s="120"/>
      <x:c r="U720" s="120"/>
      <x:c r="V720" s="121"/>
      <x:c r="W720" s="122"/>
      <x:c r="X720" s="120"/>
      <x:c r="Y720" s="122"/>
      <x:c r="Z720" s="120"/>
      <x:c r="AA720" s="121"/>
      <x:c r="AB720" s="122"/>
      <x:c r="AC720" s="120"/>
      <x:c r="AD720" s="122"/>
      <x:c r="AE720" s="120"/>
      <x:c r="AF720" s="121"/>
      <x:c r="AG720" s="122"/>
      <x:c r="AH720" s="120"/>
      <x:c r="AI720" s="122"/>
      <x:c r="AJ720" s="120"/>
      <x:c r="AK720" s="121"/>
      <x:c r="AL720" s="122"/>
      <x:c r="AM720" s="120"/>
      <x:c r="AN720" s="122"/>
      <x:c r="AO720" s="120"/>
      <x:c r="AP720" s="121"/>
      <x:c r="AQ720" s="122"/>
      <x:c r="AR720" s="120"/>
      <x:c r="AS720" s="122"/>
      <x:c r="AT720" s="120"/>
      <x:c r="AU720" s="121"/>
      <x:c r="AV720" s="122"/>
      <x:c r="AW720" s="120"/>
      <x:c r="AX720" s="122"/>
      <x:c r="AY720" s="120"/>
      <x:c r="AZ720" s="121"/>
      <x:c r="BA720" s="122"/>
      <x:c r="BB720" s="120"/>
      <x:c r="BC720" s="122"/>
      <x:c r="BD720" s="120"/>
      <x:c r="BE720" s="121"/>
      <x:c r="BF720" s="122"/>
      <x:c r="BG720" s="120"/>
      <x:c r="BH720" s="122"/>
      <x:c r="BI720" s="120"/>
      <x:c r="BJ720" s="121"/>
    </x:row>
    <x:row r="721" ht="15.75" customHeight="1">
      <x:c r="N721" s="120"/>
      <x:c r="P721" s="120"/>
      <x:c r="Q721" s="121"/>
      <x:c r="S721" s="120"/>
      <x:c r="U721" s="120"/>
      <x:c r="V721" s="121"/>
      <x:c r="W721" s="122"/>
      <x:c r="X721" s="120"/>
      <x:c r="Y721" s="122"/>
      <x:c r="Z721" s="120"/>
      <x:c r="AA721" s="121"/>
      <x:c r="AB721" s="122"/>
      <x:c r="AC721" s="120"/>
      <x:c r="AD721" s="122"/>
      <x:c r="AE721" s="120"/>
      <x:c r="AF721" s="121"/>
      <x:c r="AG721" s="122"/>
      <x:c r="AH721" s="120"/>
      <x:c r="AI721" s="122"/>
      <x:c r="AJ721" s="120"/>
      <x:c r="AK721" s="121"/>
      <x:c r="AL721" s="122"/>
      <x:c r="AM721" s="120"/>
      <x:c r="AN721" s="122"/>
      <x:c r="AO721" s="120"/>
      <x:c r="AP721" s="121"/>
      <x:c r="AQ721" s="122"/>
      <x:c r="AR721" s="120"/>
      <x:c r="AS721" s="122"/>
      <x:c r="AT721" s="120"/>
      <x:c r="AU721" s="121"/>
      <x:c r="AV721" s="122"/>
      <x:c r="AW721" s="120"/>
      <x:c r="AX721" s="122"/>
      <x:c r="AY721" s="120"/>
      <x:c r="AZ721" s="121"/>
      <x:c r="BA721" s="122"/>
      <x:c r="BB721" s="120"/>
      <x:c r="BC721" s="122"/>
      <x:c r="BD721" s="120"/>
      <x:c r="BE721" s="121"/>
      <x:c r="BF721" s="122"/>
      <x:c r="BG721" s="120"/>
      <x:c r="BH721" s="122"/>
      <x:c r="BI721" s="120"/>
      <x:c r="BJ721" s="121"/>
    </x:row>
    <x:row r="722" ht="15.75" customHeight="1">
      <x:c r="N722" s="120"/>
      <x:c r="P722" s="120"/>
      <x:c r="Q722" s="121"/>
      <x:c r="S722" s="120"/>
      <x:c r="U722" s="120"/>
      <x:c r="V722" s="121"/>
      <x:c r="W722" s="122"/>
      <x:c r="X722" s="120"/>
      <x:c r="Y722" s="122"/>
      <x:c r="Z722" s="120"/>
      <x:c r="AA722" s="121"/>
      <x:c r="AB722" s="122"/>
      <x:c r="AC722" s="120"/>
      <x:c r="AD722" s="122"/>
      <x:c r="AE722" s="120"/>
      <x:c r="AF722" s="121"/>
      <x:c r="AG722" s="122"/>
      <x:c r="AH722" s="120"/>
      <x:c r="AI722" s="122"/>
      <x:c r="AJ722" s="120"/>
      <x:c r="AK722" s="121"/>
      <x:c r="AL722" s="122"/>
      <x:c r="AM722" s="120"/>
      <x:c r="AN722" s="122"/>
      <x:c r="AO722" s="120"/>
      <x:c r="AP722" s="121"/>
      <x:c r="AQ722" s="122"/>
      <x:c r="AR722" s="120"/>
      <x:c r="AS722" s="122"/>
      <x:c r="AT722" s="120"/>
      <x:c r="AU722" s="121"/>
      <x:c r="AV722" s="122"/>
      <x:c r="AW722" s="120"/>
      <x:c r="AX722" s="122"/>
      <x:c r="AY722" s="120"/>
      <x:c r="AZ722" s="121"/>
      <x:c r="BA722" s="122"/>
      <x:c r="BB722" s="120"/>
      <x:c r="BC722" s="122"/>
      <x:c r="BD722" s="120"/>
      <x:c r="BE722" s="121"/>
      <x:c r="BF722" s="122"/>
      <x:c r="BG722" s="120"/>
      <x:c r="BH722" s="122"/>
      <x:c r="BI722" s="120"/>
      <x:c r="BJ722" s="121"/>
    </x:row>
    <x:row r="723" ht="15.75" customHeight="1">
      <x:c r="N723" s="120"/>
      <x:c r="P723" s="120"/>
      <x:c r="Q723" s="121"/>
      <x:c r="S723" s="120"/>
      <x:c r="U723" s="120"/>
      <x:c r="V723" s="121"/>
      <x:c r="W723" s="122"/>
      <x:c r="X723" s="120"/>
      <x:c r="Y723" s="122"/>
      <x:c r="Z723" s="120"/>
      <x:c r="AA723" s="121"/>
      <x:c r="AB723" s="122"/>
      <x:c r="AC723" s="120"/>
      <x:c r="AD723" s="122"/>
      <x:c r="AE723" s="120"/>
      <x:c r="AF723" s="121"/>
      <x:c r="AG723" s="122"/>
      <x:c r="AH723" s="120"/>
      <x:c r="AI723" s="122"/>
      <x:c r="AJ723" s="120"/>
      <x:c r="AK723" s="121"/>
      <x:c r="AL723" s="122"/>
      <x:c r="AM723" s="120"/>
      <x:c r="AN723" s="122"/>
      <x:c r="AO723" s="120"/>
      <x:c r="AP723" s="121"/>
      <x:c r="AQ723" s="122"/>
      <x:c r="AR723" s="120"/>
      <x:c r="AS723" s="122"/>
      <x:c r="AT723" s="120"/>
      <x:c r="AU723" s="121"/>
      <x:c r="AV723" s="122"/>
      <x:c r="AW723" s="120"/>
      <x:c r="AX723" s="122"/>
      <x:c r="AY723" s="120"/>
      <x:c r="AZ723" s="121"/>
      <x:c r="BA723" s="122"/>
      <x:c r="BB723" s="120"/>
      <x:c r="BC723" s="122"/>
      <x:c r="BD723" s="120"/>
      <x:c r="BE723" s="121"/>
      <x:c r="BF723" s="122"/>
      <x:c r="BG723" s="120"/>
      <x:c r="BH723" s="122"/>
      <x:c r="BI723" s="120"/>
      <x:c r="BJ723" s="121"/>
    </x:row>
    <x:row r="724" ht="15.75" customHeight="1">
      <x:c r="N724" s="120"/>
      <x:c r="P724" s="120"/>
      <x:c r="Q724" s="121"/>
      <x:c r="S724" s="120"/>
      <x:c r="U724" s="120"/>
      <x:c r="V724" s="121"/>
      <x:c r="W724" s="122"/>
      <x:c r="X724" s="120"/>
      <x:c r="Y724" s="122"/>
      <x:c r="Z724" s="120"/>
      <x:c r="AA724" s="121"/>
      <x:c r="AB724" s="122"/>
      <x:c r="AC724" s="120"/>
      <x:c r="AD724" s="122"/>
      <x:c r="AE724" s="120"/>
      <x:c r="AF724" s="121"/>
      <x:c r="AG724" s="122"/>
      <x:c r="AH724" s="120"/>
      <x:c r="AI724" s="122"/>
      <x:c r="AJ724" s="120"/>
      <x:c r="AK724" s="121"/>
      <x:c r="AL724" s="122"/>
      <x:c r="AM724" s="120"/>
      <x:c r="AN724" s="122"/>
      <x:c r="AO724" s="120"/>
      <x:c r="AP724" s="121"/>
      <x:c r="AQ724" s="122"/>
      <x:c r="AR724" s="120"/>
      <x:c r="AS724" s="122"/>
      <x:c r="AT724" s="120"/>
      <x:c r="AU724" s="121"/>
      <x:c r="AV724" s="122"/>
      <x:c r="AW724" s="120"/>
      <x:c r="AX724" s="122"/>
      <x:c r="AY724" s="120"/>
      <x:c r="AZ724" s="121"/>
      <x:c r="BA724" s="122"/>
      <x:c r="BB724" s="120"/>
      <x:c r="BC724" s="122"/>
      <x:c r="BD724" s="120"/>
      <x:c r="BE724" s="121"/>
      <x:c r="BF724" s="122"/>
      <x:c r="BG724" s="120"/>
      <x:c r="BH724" s="122"/>
      <x:c r="BI724" s="120"/>
      <x:c r="BJ724" s="121"/>
    </x:row>
    <x:row r="725" ht="15.75" customHeight="1">
      <x:c r="N725" s="120"/>
      <x:c r="P725" s="120"/>
      <x:c r="Q725" s="121"/>
      <x:c r="S725" s="120"/>
      <x:c r="U725" s="120"/>
      <x:c r="V725" s="121"/>
      <x:c r="W725" s="122"/>
      <x:c r="X725" s="120"/>
      <x:c r="Y725" s="122"/>
      <x:c r="Z725" s="120"/>
      <x:c r="AA725" s="121"/>
      <x:c r="AB725" s="122"/>
      <x:c r="AC725" s="120"/>
      <x:c r="AD725" s="122"/>
      <x:c r="AE725" s="120"/>
      <x:c r="AF725" s="121"/>
      <x:c r="AG725" s="122"/>
      <x:c r="AH725" s="120"/>
      <x:c r="AI725" s="122"/>
      <x:c r="AJ725" s="120"/>
      <x:c r="AK725" s="121"/>
      <x:c r="AL725" s="122"/>
      <x:c r="AM725" s="120"/>
      <x:c r="AN725" s="122"/>
      <x:c r="AO725" s="120"/>
      <x:c r="AP725" s="121"/>
      <x:c r="AQ725" s="122"/>
      <x:c r="AR725" s="120"/>
      <x:c r="AS725" s="122"/>
      <x:c r="AT725" s="120"/>
      <x:c r="AU725" s="121"/>
      <x:c r="AV725" s="122"/>
      <x:c r="AW725" s="120"/>
      <x:c r="AX725" s="122"/>
      <x:c r="AY725" s="120"/>
      <x:c r="AZ725" s="121"/>
      <x:c r="BA725" s="122"/>
      <x:c r="BB725" s="120"/>
      <x:c r="BC725" s="122"/>
      <x:c r="BD725" s="120"/>
      <x:c r="BE725" s="121"/>
      <x:c r="BF725" s="122"/>
      <x:c r="BG725" s="120"/>
      <x:c r="BH725" s="122"/>
      <x:c r="BI725" s="120"/>
      <x:c r="BJ725" s="121"/>
    </x:row>
    <x:row r="726" ht="15.75" customHeight="1">
      <x:c r="N726" s="120"/>
      <x:c r="P726" s="120"/>
      <x:c r="Q726" s="121"/>
      <x:c r="S726" s="120"/>
      <x:c r="U726" s="120"/>
      <x:c r="V726" s="121"/>
      <x:c r="W726" s="122"/>
      <x:c r="X726" s="120"/>
      <x:c r="Y726" s="122"/>
      <x:c r="Z726" s="120"/>
      <x:c r="AA726" s="121"/>
      <x:c r="AB726" s="122"/>
      <x:c r="AC726" s="120"/>
      <x:c r="AD726" s="122"/>
      <x:c r="AE726" s="120"/>
      <x:c r="AF726" s="121"/>
      <x:c r="AG726" s="122"/>
      <x:c r="AH726" s="120"/>
      <x:c r="AI726" s="122"/>
      <x:c r="AJ726" s="120"/>
      <x:c r="AK726" s="121"/>
      <x:c r="AL726" s="122"/>
      <x:c r="AM726" s="120"/>
      <x:c r="AN726" s="122"/>
      <x:c r="AO726" s="120"/>
      <x:c r="AP726" s="121"/>
      <x:c r="AQ726" s="122"/>
      <x:c r="AR726" s="120"/>
      <x:c r="AS726" s="122"/>
      <x:c r="AT726" s="120"/>
      <x:c r="AU726" s="121"/>
      <x:c r="AV726" s="122"/>
      <x:c r="AW726" s="120"/>
      <x:c r="AX726" s="122"/>
      <x:c r="AY726" s="120"/>
      <x:c r="AZ726" s="121"/>
      <x:c r="BA726" s="122"/>
      <x:c r="BB726" s="120"/>
      <x:c r="BC726" s="122"/>
      <x:c r="BD726" s="120"/>
      <x:c r="BE726" s="121"/>
      <x:c r="BF726" s="122"/>
      <x:c r="BG726" s="120"/>
      <x:c r="BH726" s="122"/>
      <x:c r="BI726" s="120"/>
      <x:c r="BJ726" s="121"/>
    </x:row>
    <x:row r="727" ht="15.75" customHeight="1">
      <x:c r="N727" s="120"/>
      <x:c r="P727" s="120"/>
      <x:c r="Q727" s="121"/>
      <x:c r="S727" s="120"/>
      <x:c r="U727" s="120"/>
      <x:c r="V727" s="121"/>
      <x:c r="W727" s="122"/>
      <x:c r="X727" s="120"/>
      <x:c r="Y727" s="122"/>
      <x:c r="Z727" s="120"/>
      <x:c r="AA727" s="121"/>
      <x:c r="AB727" s="122"/>
      <x:c r="AC727" s="120"/>
      <x:c r="AD727" s="122"/>
      <x:c r="AE727" s="120"/>
      <x:c r="AF727" s="121"/>
      <x:c r="AG727" s="122"/>
      <x:c r="AH727" s="120"/>
      <x:c r="AI727" s="122"/>
      <x:c r="AJ727" s="120"/>
      <x:c r="AK727" s="121"/>
      <x:c r="AL727" s="122"/>
      <x:c r="AM727" s="120"/>
      <x:c r="AN727" s="122"/>
      <x:c r="AO727" s="120"/>
      <x:c r="AP727" s="121"/>
      <x:c r="AQ727" s="122"/>
      <x:c r="AR727" s="120"/>
      <x:c r="AS727" s="122"/>
      <x:c r="AT727" s="120"/>
      <x:c r="AU727" s="121"/>
      <x:c r="AV727" s="122"/>
      <x:c r="AW727" s="120"/>
      <x:c r="AX727" s="122"/>
      <x:c r="AY727" s="120"/>
      <x:c r="AZ727" s="121"/>
      <x:c r="BA727" s="122"/>
      <x:c r="BB727" s="120"/>
      <x:c r="BC727" s="122"/>
      <x:c r="BD727" s="120"/>
      <x:c r="BE727" s="121"/>
      <x:c r="BF727" s="122"/>
      <x:c r="BG727" s="120"/>
      <x:c r="BH727" s="122"/>
      <x:c r="BI727" s="120"/>
      <x:c r="BJ727" s="121"/>
    </x:row>
    <x:row r="728" ht="15.75" customHeight="1">
      <x:c r="N728" s="120"/>
      <x:c r="P728" s="120"/>
      <x:c r="Q728" s="121"/>
      <x:c r="S728" s="120"/>
      <x:c r="U728" s="120"/>
      <x:c r="V728" s="121"/>
      <x:c r="W728" s="122"/>
      <x:c r="X728" s="120"/>
      <x:c r="Y728" s="122"/>
      <x:c r="Z728" s="120"/>
      <x:c r="AA728" s="121"/>
      <x:c r="AB728" s="122"/>
      <x:c r="AC728" s="120"/>
      <x:c r="AD728" s="122"/>
      <x:c r="AE728" s="120"/>
      <x:c r="AF728" s="121"/>
      <x:c r="AG728" s="122"/>
      <x:c r="AH728" s="120"/>
      <x:c r="AI728" s="122"/>
      <x:c r="AJ728" s="120"/>
      <x:c r="AK728" s="121"/>
      <x:c r="AL728" s="122"/>
      <x:c r="AM728" s="120"/>
      <x:c r="AN728" s="122"/>
      <x:c r="AO728" s="120"/>
      <x:c r="AP728" s="121"/>
      <x:c r="AQ728" s="122"/>
      <x:c r="AR728" s="120"/>
      <x:c r="AS728" s="122"/>
      <x:c r="AT728" s="120"/>
      <x:c r="AU728" s="121"/>
      <x:c r="AV728" s="122"/>
      <x:c r="AW728" s="120"/>
      <x:c r="AX728" s="122"/>
      <x:c r="AY728" s="120"/>
      <x:c r="AZ728" s="121"/>
      <x:c r="BA728" s="122"/>
      <x:c r="BB728" s="120"/>
      <x:c r="BC728" s="122"/>
      <x:c r="BD728" s="120"/>
      <x:c r="BE728" s="121"/>
      <x:c r="BF728" s="122"/>
      <x:c r="BG728" s="120"/>
      <x:c r="BH728" s="122"/>
      <x:c r="BI728" s="120"/>
      <x:c r="BJ728" s="121"/>
    </x:row>
    <x:row r="729" ht="15.75" customHeight="1">
      <x:c r="N729" s="120"/>
      <x:c r="P729" s="120"/>
      <x:c r="Q729" s="121"/>
      <x:c r="S729" s="120"/>
      <x:c r="U729" s="120"/>
      <x:c r="V729" s="121"/>
      <x:c r="W729" s="122"/>
      <x:c r="X729" s="120"/>
      <x:c r="Y729" s="122"/>
      <x:c r="Z729" s="120"/>
      <x:c r="AA729" s="121"/>
      <x:c r="AB729" s="122"/>
      <x:c r="AC729" s="120"/>
      <x:c r="AD729" s="122"/>
      <x:c r="AE729" s="120"/>
      <x:c r="AF729" s="121"/>
      <x:c r="AG729" s="122"/>
      <x:c r="AH729" s="120"/>
      <x:c r="AI729" s="122"/>
      <x:c r="AJ729" s="120"/>
      <x:c r="AK729" s="121"/>
      <x:c r="AL729" s="122"/>
      <x:c r="AM729" s="120"/>
      <x:c r="AN729" s="122"/>
      <x:c r="AO729" s="120"/>
      <x:c r="AP729" s="121"/>
      <x:c r="AQ729" s="122"/>
      <x:c r="AR729" s="120"/>
      <x:c r="AS729" s="122"/>
      <x:c r="AT729" s="120"/>
      <x:c r="AU729" s="121"/>
      <x:c r="AV729" s="122"/>
      <x:c r="AW729" s="120"/>
      <x:c r="AX729" s="122"/>
      <x:c r="AY729" s="120"/>
      <x:c r="AZ729" s="121"/>
      <x:c r="BA729" s="122"/>
      <x:c r="BB729" s="120"/>
      <x:c r="BC729" s="122"/>
      <x:c r="BD729" s="120"/>
      <x:c r="BE729" s="121"/>
      <x:c r="BF729" s="122"/>
      <x:c r="BG729" s="120"/>
      <x:c r="BH729" s="122"/>
      <x:c r="BI729" s="120"/>
      <x:c r="BJ729" s="121"/>
    </x:row>
    <x:row r="730" ht="15.75" customHeight="1">
      <x:c r="N730" s="120"/>
      <x:c r="P730" s="120"/>
      <x:c r="Q730" s="121"/>
      <x:c r="S730" s="120"/>
      <x:c r="U730" s="120"/>
      <x:c r="V730" s="121"/>
      <x:c r="W730" s="122"/>
      <x:c r="X730" s="120"/>
      <x:c r="Y730" s="122"/>
      <x:c r="Z730" s="120"/>
      <x:c r="AA730" s="121"/>
      <x:c r="AB730" s="122"/>
      <x:c r="AC730" s="120"/>
      <x:c r="AD730" s="122"/>
      <x:c r="AE730" s="120"/>
      <x:c r="AF730" s="121"/>
      <x:c r="AG730" s="122"/>
      <x:c r="AH730" s="120"/>
      <x:c r="AI730" s="122"/>
      <x:c r="AJ730" s="120"/>
      <x:c r="AK730" s="121"/>
      <x:c r="AL730" s="122"/>
      <x:c r="AM730" s="120"/>
      <x:c r="AN730" s="122"/>
      <x:c r="AO730" s="120"/>
      <x:c r="AP730" s="121"/>
      <x:c r="AQ730" s="122"/>
      <x:c r="AR730" s="120"/>
      <x:c r="AS730" s="122"/>
      <x:c r="AT730" s="120"/>
      <x:c r="AU730" s="121"/>
      <x:c r="AV730" s="122"/>
      <x:c r="AW730" s="120"/>
      <x:c r="AX730" s="122"/>
      <x:c r="AY730" s="120"/>
      <x:c r="AZ730" s="121"/>
      <x:c r="BA730" s="122"/>
      <x:c r="BB730" s="120"/>
      <x:c r="BC730" s="122"/>
      <x:c r="BD730" s="120"/>
      <x:c r="BE730" s="121"/>
      <x:c r="BF730" s="122"/>
      <x:c r="BG730" s="120"/>
      <x:c r="BH730" s="122"/>
      <x:c r="BI730" s="120"/>
      <x:c r="BJ730" s="121"/>
    </x:row>
    <x:row r="731" ht="15.75" customHeight="1">
      <x:c r="N731" s="120"/>
      <x:c r="P731" s="120"/>
      <x:c r="Q731" s="121"/>
      <x:c r="S731" s="120"/>
      <x:c r="U731" s="120"/>
      <x:c r="V731" s="121"/>
      <x:c r="W731" s="122"/>
      <x:c r="X731" s="120"/>
      <x:c r="Y731" s="122"/>
      <x:c r="Z731" s="120"/>
      <x:c r="AA731" s="121"/>
      <x:c r="AB731" s="122"/>
      <x:c r="AC731" s="120"/>
      <x:c r="AD731" s="122"/>
      <x:c r="AE731" s="120"/>
      <x:c r="AF731" s="121"/>
      <x:c r="AG731" s="122"/>
      <x:c r="AH731" s="120"/>
      <x:c r="AI731" s="122"/>
      <x:c r="AJ731" s="120"/>
      <x:c r="AK731" s="121"/>
      <x:c r="AL731" s="122"/>
      <x:c r="AM731" s="120"/>
      <x:c r="AN731" s="122"/>
      <x:c r="AO731" s="120"/>
      <x:c r="AP731" s="121"/>
      <x:c r="AQ731" s="122"/>
      <x:c r="AR731" s="120"/>
      <x:c r="AS731" s="122"/>
      <x:c r="AT731" s="120"/>
      <x:c r="AU731" s="121"/>
      <x:c r="AV731" s="122"/>
      <x:c r="AW731" s="120"/>
      <x:c r="AX731" s="122"/>
      <x:c r="AY731" s="120"/>
      <x:c r="AZ731" s="121"/>
      <x:c r="BA731" s="122"/>
      <x:c r="BB731" s="120"/>
      <x:c r="BC731" s="122"/>
      <x:c r="BD731" s="120"/>
      <x:c r="BE731" s="121"/>
      <x:c r="BF731" s="122"/>
      <x:c r="BG731" s="120"/>
      <x:c r="BH731" s="122"/>
      <x:c r="BI731" s="120"/>
      <x:c r="BJ731" s="121"/>
    </x:row>
    <x:row r="732" ht="15.75" customHeight="1">
      <x:c r="N732" s="120"/>
      <x:c r="P732" s="120"/>
      <x:c r="Q732" s="121"/>
      <x:c r="S732" s="120"/>
      <x:c r="U732" s="120"/>
      <x:c r="V732" s="121"/>
      <x:c r="W732" s="122"/>
      <x:c r="X732" s="120"/>
      <x:c r="Y732" s="122"/>
      <x:c r="Z732" s="120"/>
      <x:c r="AA732" s="121"/>
      <x:c r="AB732" s="122"/>
      <x:c r="AC732" s="120"/>
      <x:c r="AD732" s="122"/>
      <x:c r="AE732" s="120"/>
      <x:c r="AF732" s="121"/>
      <x:c r="AG732" s="122"/>
      <x:c r="AH732" s="120"/>
      <x:c r="AI732" s="122"/>
      <x:c r="AJ732" s="120"/>
      <x:c r="AK732" s="121"/>
      <x:c r="AL732" s="122"/>
      <x:c r="AM732" s="120"/>
      <x:c r="AN732" s="122"/>
      <x:c r="AO732" s="120"/>
      <x:c r="AP732" s="121"/>
      <x:c r="AQ732" s="122"/>
      <x:c r="AR732" s="120"/>
      <x:c r="AS732" s="122"/>
      <x:c r="AT732" s="120"/>
      <x:c r="AU732" s="121"/>
      <x:c r="AV732" s="122"/>
      <x:c r="AW732" s="120"/>
      <x:c r="AX732" s="122"/>
      <x:c r="AY732" s="120"/>
      <x:c r="AZ732" s="121"/>
      <x:c r="BA732" s="122"/>
      <x:c r="BB732" s="120"/>
      <x:c r="BC732" s="122"/>
      <x:c r="BD732" s="120"/>
      <x:c r="BE732" s="121"/>
      <x:c r="BF732" s="122"/>
      <x:c r="BG732" s="120"/>
      <x:c r="BH732" s="122"/>
      <x:c r="BI732" s="120"/>
      <x:c r="BJ732" s="121"/>
    </x:row>
    <x:row r="733" ht="15.75" customHeight="1">
      <x:c r="N733" s="120"/>
      <x:c r="P733" s="120"/>
      <x:c r="Q733" s="121"/>
      <x:c r="S733" s="120"/>
      <x:c r="U733" s="120"/>
      <x:c r="V733" s="121"/>
      <x:c r="W733" s="122"/>
      <x:c r="X733" s="120"/>
      <x:c r="Y733" s="122"/>
      <x:c r="Z733" s="120"/>
      <x:c r="AA733" s="121"/>
      <x:c r="AB733" s="122"/>
      <x:c r="AC733" s="120"/>
      <x:c r="AD733" s="122"/>
      <x:c r="AE733" s="120"/>
      <x:c r="AF733" s="121"/>
      <x:c r="AG733" s="122"/>
      <x:c r="AH733" s="120"/>
      <x:c r="AI733" s="122"/>
      <x:c r="AJ733" s="120"/>
      <x:c r="AK733" s="121"/>
      <x:c r="AL733" s="122"/>
      <x:c r="AM733" s="120"/>
      <x:c r="AN733" s="122"/>
      <x:c r="AO733" s="120"/>
      <x:c r="AP733" s="121"/>
      <x:c r="AQ733" s="122"/>
      <x:c r="AR733" s="120"/>
      <x:c r="AS733" s="122"/>
      <x:c r="AT733" s="120"/>
      <x:c r="AU733" s="121"/>
      <x:c r="AV733" s="122"/>
      <x:c r="AW733" s="120"/>
      <x:c r="AX733" s="122"/>
      <x:c r="AY733" s="120"/>
      <x:c r="AZ733" s="121"/>
      <x:c r="BA733" s="122"/>
      <x:c r="BB733" s="120"/>
      <x:c r="BC733" s="122"/>
      <x:c r="BD733" s="120"/>
      <x:c r="BE733" s="121"/>
      <x:c r="BF733" s="122"/>
      <x:c r="BG733" s="120"/>
      <x:c r="BH733" s="122"/>
      <x:c r="BI733" s="120"/>
      <x:c r="BJ733" s="121"/>
    </x:row>
    <x:row r="734" ht="15.75" customHeight="1">
      <x:c r="N734" s="120"/>
      <x:c r="P734" s="120"/>
      <x:c r="Q734" s="121"/>
      <x:c r="S734" s="120"/>
      <x:c r="U734" s="120"/>
      <x:c r="V734" s="121"/>
      <x:c r="W734" s="122"/>
      <x:c r="X734" s="120"/>
      <x:c r="Y734" s="122"/>
      <x:c r="Z734" s="120"/>
      <x:c r="AA734" s="121"/>
      <x:c r="AB734" s="122"/>
      <x:c r="AC734" s="120"/>
      <x:c r="AD734" s="122"/>
      <x:c r="AE734" s="120"/>
      <x:c r="AF734" s="121"/>
      <x:c r="AG734" s="122"/>
      <x:c r="AH734" s="120"/>
      <x:c r="AI734" s="122"/>
      <x:c r="AJ734" s="120"/>
      <x:c r="AK734" s="121"/>
      <x:c r="AL734" s="122"/>
      <x:c r="AM734" s="120"/>
      <x:c r="AN734" s="122"/>
      <x:c r="AO734" s="120"/>
      <x:c r="AP734" s="121"/>
      <x:c r="AQ734" s="122"/>
      <x:c r="AR734" s="120"/>
      <x:c r="AS734" s="122"/>
      <x:c r="AT734" s="120"/>
      <x:c r="AU734" s="121"/>
      <x:c r="AV734" s="122"/>
      <x:c r="AW734" s="120"/>
      <x:c r="AX734" s="122"/>
      <x:c r="AY734" s="120"/>
      <x:c r="AZ734" s="121"/>
      <x:c r="BA734" s="122"/>
      <x:c r="BB734" s="120"/>
      <x:c r="BC734" s="122"/>
      <x:c r="BD734" s="120"/>
      <x:c r="BE734" s="121"/>
      <x:c r="BF734" s="122"/>
      <x:c r="BG734" s="120"/>
      <x:c r="BH734" s="122"/>
      <x:c r="BI734" s="120"/>
      <x:c r="BJ734" s="121"/>
    </x:row>
    <x:row r="735" ht="15.75" customHeight="1">
      <x:c r="N735" s="120"/>
      <x:c r="P735" s="120"/>
      <x:c r="Q735" s="121"/>
      <x:c r="S735" s="120"/>
      <x:c r="U735" s="120"/>
      <x:c r="V735" s="121"/>
      <x:c r="W735" s="122"/>
      <x:c r="X735" s="120"/>
      <x:c r="Y735" s="122"/>
      <x:c r="Z735" s="120"/>
      <x:c r="AA735" s="121"/>
      <x:c r="AB735" s="122"/>
      <x:c r="AC735" s="120"/>
      <x:c r="AD735" s="122"/>
      <x:c r="AE735" s="120"/>
      <x:c r="AF735" s="121"/>
      <x:c r="AG735" s="122"/>
      <x:c r="AH735" s="120"/>
      <x:c r="AI735" s="122"/>
      <x:c r="AJ735" s="120"/>
      <x:c r="AK735" s="121"/>
      <x:c r="AL735" s="122"/>
      <x:c r="AM735" s="120"/>
      <x:c r="AN735" s="122"/>
      <x:c r="AO735" s="120"/>
      <x:c r="AP735" s="121"/>
      <x:c r="AQ735" s="122"/>
      <x:c r="AR735" s="120"/>
      <x:c r="AS735" s="122"/>
      <x:c r="AT735" s="120"/>
      <x:c r="AU735" s="121"/>
      <x:c r="AV735" s="122"/>
      <x:c r="AW735" s="120"/>
      <x:c r="AX735" s="122"/>
      <x:c r="AY735" s="120"/>
      <x:c r="AZ735" s="121"/>
      <x:c r="BA735" s="122"/>
      <x:c r="BB735" s="120"/>
      <x:c r="BC735" s="122"/>
      <x:c r="BD735" s="120"/>
      <x:c r="BE735" s="121"/>
      <x:c r="BF735" s="122"/>
      <x:c r="BG735" s="120"/>
      <x:c r="BH735" s="122"/>
      <x:c r="BI735" s="120"/>
      <x:c r="BJ735" s="121"/>
    </x:row>
    <x:row r="736" ht="15.75" customHeight="1">
      <x:c r="N736" s="120"/>
      <x:c r="P736" s="120"/>
      <x:c r="Q736" s="121"/>
      <x:c r="S736" s="120"/>
      <x:c r="U736" s="120"/>
      <x:c r="V736" s="121"/>
      <x:c r="W736" s="122"/>
      <x:c r="X736" s="120"/>
      <x:c r="Y736" s="122"/>
      <x:c r="Z736" s="120"/>
      <x:c r="AA736" s="121"/>
      <x:c r="AB736" s="122"/>
      <x:c r="AC736" s="120"/>
      <x:c r="AD736" s="122"/>
      <x:c r="AE736" s="120"/>
      <x:c r="AF736" s="121"/>
      <x:c r="AG736" s="122"/>
      <x:c r="AH736" s="120"/>
      <x:c r="AI736" s="122"/>
      <x:c r="AJ736" s="120"/>
      <x:c r="AK736" s="121"/>
      <x:c r="AL736" s="122"/>
      <x:c r="AM736" s="120"/>
      <x:c r="AN736" s="122"/>
      <x:c r="AO736" s="120"/>
      <x:c r="AP736" s="121"/>
      <x:c r="AQ736" s="122"/>
      <x:c r="AR736" s="120"/>
      <x:c r="AS736" s="122"/>
      <x:c r="AT736" s="120"/>
      <x:c r="AU736" s="121"/>
      <x:c r="AV736" s="122"/>
      <x:c r="AW736" s="120"/>
      <x:c r="AX736" s="122"/>
      <x:c r="AY736" s="120"/>
      <x:c r="AZ736" s="121"/>
      <x:c r="BA736" s="122"/>
      <x:c r="BB736" s="120"/>
      <x:c r="BC736" s="122"/>
      <x:c r="BD736" s="120"/>
      <x:c r="BE736" s="121"/>
      <x:c r="BF736" s="122"/>
      <x:c r="BG736" s="120"/>
      <x:c r="BH736" s="122"/>
      <x:c r="BI736" s="120"/>
      <x:c r="BJ736" s="121"/>
    </x:row>
    <x:row r="737" ht="15.75" customHeight="1">
      <x:c r="N737" s="120"/>
      <x:c r="P737" s="120"/>
      <x:c r="Q737" s="121"/>
      <x:c r="S737" s="120"/>
      <x:c r="U737" s="120"/>
      <x:c r="V737" s="121"/>
      <x:c r="W737" s="122"/>
      <x:c r="X737" s="120"/>
      <x:c r="Y737" s="122"/>
      <x:c r="Z737" s="120"/>
      <x:c r="AA737" s="121"/>
      <x:c r="AB737" s="122"/>
      <x:c r="AC737" s="120"/>
      <x:c r="AD737" s="122"/>
      <x:c r="AE737" s="120"/>
      <x:c r="AF737" s="121"/>
      <x:c r="AG737" s="122"/>
      <x:c r="AH737" s="120"/>
      <x:c r="AI737" s="122"/>
      <x:c r="AJ737" s="120"/>
      <x:c r="AK737" s="121"/>
      <x:c r="AL737" s="122"/>
      <x:c r="AM737" s="120"/>
      <x:c r="AN737" s="122"/>
      <x:c r="AO737" s="120"/>
      <x:c r="AP737" s="121"/>
      <x:c r="AQ737" s="122"/>
      <x:c r="AR737" s="120"/>
      <x:c r="AS737" s="122"/>
      <x:c r="AT737" s="120"/>
      <x:c r="AU737" s="121"/>
      <x:c r="AV737" s="122"/>
      <x:c r="AW737" s="120"/>
      <x:c r="AX737" s="122"/>
      <x:c r="AY737" s="120"/>
      <x:c r="AZ737" s="121"/>
      <x:c r="BA737" s="122"/>
      <x:c r="BB737" s="120"/>
      <x:c r="BC737" s="122"/>
      <x:c r="BD737" s="120"/>
      <x:c r="BE737" s="121"/>
      <x:c r="BF737" s="122"/>
      <x:c r="BG737" s="120"/>
      <x:c r="BH737" s="122"/>
      <x:c r="BI737" s="120"/>
      <x:c r="BJ737" s="121"/>
    </x:row>
    <x:row r="738" ht="15.75" customHeight="1">
      <x:c r="N738" s="120"/>
      <x:c r="P738" s="120"/>
      <x:c r="Q738" s="121"/>
      <x:c r="S738" s="120"/>
      <x:c r="U738" s="120"/>
      <x:c r="V738" s="121"/>
      <x:c r="W738" s="122"/>
      <x:c r="X738" s="120"/>
      <x:c r="Y738" s="122"/>
      <x:c r="Z738" s="120"/>
      <x:c r="AA738" s="121"/>
      <x:c r="AB738" s="122"/>
      <x:c r="AC738" s="120"/>
      <x:c r="AD738" s="122"/>
      <x:c r="AE738" s="120"/>
      <x:c r="AF738" s="121"/>
      <x:c r="AG738" s="122"/>
      <x:c r="AH738" s="120"/>
      <x:c r="AI738" s="122"/>
      <x:c r="AJ738" s="120"/>
      <x:c r="AK738" s="121"/>
      <x:c r="AL738" s="122"/>
      <x:c r="AM738" s="120"/>
      <x:c r="AN738" s="122"/>
      <x:c r="AO738" s="120"/>
      <x:c r="AP738" s="121"/>
      <x:c r="AQ738" s="122"/>
      <x:c r="AR738" s="120"/>
      <x:c r="AS738" s="122"/>
      <x:c r="AT738" s="120"/>
      <x:c r="AU738" s="121"/>
      <x:c r="AV738" s="122"/>
      <x:c r="AW738" s="120"/>
      <x:c r="AX738" s="122"/>
      <x:c r="AY738" s="120"/>
      <x:c r="AZ738" s="121"/>
      <x:c r="BA738" s="122"/>
      <x:c r="BB738" s="120"/>
      <x:c r="BC738" s="122"/>
      <x:c r="BD738" s="120"/>
      <x:c r="BE738" s="121"/>
      <x:c r="BF738" s="122"/>
      <x:c r="BG738" s="120"/>
      <x:c r="BH738" s="122"/>
      <x:c r="BI738" s="120"/>
      <x:c r="BJ738" s="121"/>
    </x:row>
    <x:row r="739" ht="15.75" customHeight="1">
      <x:c r="N739" s="120"/>
      <x:c r="P739" s="120"/>
      <x:c r="Q739" s="121"/>
      <x:c r="S739" s="120"/>
      <x:c r="U739" s="120"/>
      <x:c r="V739" s="121"/>
      <x:c r="W739" s="122"/>
      <x:c r="X739" s="120"/>
      <x:c r="Y739" s="122"/>
      <x:c r="Z739" s="120"/>
      <x:c r="AA739" s="121"/>
      <x:c r="AB739" s="122"/>
      <x:c r="AC739" s="120"/>
      <x:c r="AD739" s="122"/>
      <x:c r="AE739" s="120"/>
      <x:c r="AF739" s="121"/>
      <x:c r="AG739" s="122"/>
      <x:c r="AH739" s="120"/>
      <x:c r="AI739" s="122"/>
      <x:c r="AJ739" s="120"/>
      <x:c r="AK739" s="121"/>
      <x:c r="AL739" s="122"/>
      <x:c r="AM739" s="120"/>
      <x:c r="AN739" s="122"/>
      <x:c r="AO739" s="120"/>
      <x:c r="AP739" s="121"/>
      <x:c r="AQ739" s="122"/>
      <x:c r="AR739" s="120"/>
      <x:c r="AS739" s="122"/>
      <x:c r="AT739" s="120"/>
      <x:c r="AU739" s="121"/>
      <x:c r="AV739" s="122"/>
      <x:c r="AW739" s="120"/>
      <x:c r="AX739" s="122"/>
      <x:c r="AY739" s="120"/>
      <x:c r="AZ739" s="121"/>
      <x:c r="BA739" s="122"/>
      <x:c r="BB739" s="120"/>
      <x:c r="BC739" s="122"/>
      <x:c r="BD739" s="120"/>
      <x:c r="BE739" s="121"/>
      <x:c r="BF739" s="122"/>
      <x:c r="BG739" s="120"/>
      <x:c r="BH739" s="122"/>
      <x:c r="BI739" s="120"/>
      <x:c r="BJ739" s="121"/>
    </x:row>
    <x:row r="740" ht="15.75" customHeight="1">
      <x:c r="N740" s="120"/>
      <x:c r="P740" s="120"/>
      <x:c r="Q740" s="121"/>
      <x:c r="S740" s="120"/>
      <x:c r="U740" s="120"/>
      <x:c r="V740" s="121"/>
      <x:c r="W740" s="122"/>
      <x:c r="X740" s="120"/>
      <x:c r="Y740" s="122"/>
      <x:c r="Z740" s="120"/>
      <x:c r="AA740" s="121"/>
      <x:c r="AB740" s="122"/>
      <x:c r="AC740" s="120"/>
      <x:c r="AD740" s="122"/>
      <x:c r="AE740" s="120"/>
      <x:c r="AF740" s="121"/>
      <x:c r="AG740" s="122"/>
      <x:c r="AH740" s="120"/>
      <x:c r="AI740" s="122"/>
      <x:c r="AJ740" s="120"/>
      <x:c r="AK740" s="121"/>
      <x:c r="AL740" s="122"/>
      <x:c r="AM740" s="120"/>
      <x:c r="AN740" s="122"/>
      <x:c r="AO740" s="120"/>
      <x:c r="AP740" s="121"/>
      <x:c r="AQ740" s="122"/>
      <x:c r="AR740" s="120"/>
      <x:c r="AS740" s="122"/>
      <x:c r="AT740" s="120"/>
      <x:c r="AU740" s="121"/>
      <x:c r="AV740" s="122"/>
      <x:c r="AW740" s="120"/>
      <x:c r="AX740" s="122"/>
      <x:c r="AY740" s="120"/>
      <x:c r="AZ740" s="121"/>
      <x:c r="BA740" s="122"/>
      <x:c r="BB740" s="120"/>
      <x:c r="BC740" s="122"/>
      <x:c r="BD740" s="120"/>
      <x:c r="BE740" s="121"/>
      <x:c r="BF740" s="122"/>
      <x:c r="BG740" s="120"/>
      <x:c r="BH740" s="122"/>
      <x:c r="BI740" s="120"/>
      <x:c r="BJ740" s="121"/>
    </x:row>
    <x:row r="741" ht="15.75" customHeight="1">
      <x:c r="N741" s="120"/>
      <x:c r="P741" s="120"/>
      <x:c r="Q741" s="121"/>
      <x:c r="S741" s="120"/>
      <x:c r="U741" s="120"/>
      <x:c r="V741" s="121"/>
      <x:c r="W741" s="122"/>
      <x:c r="X741" s="120"/>
      <x:c r="Y741" s="122"/>
      <x:c r="Z741" s="120"/>
      <x:c r="AA741" s="121"/>
      <x:c r="AB741" s="122"/>
      <x:c r="AC741" s="120"/>
      <x:c r="AD741" s="122"/>
      <x:c r="AE741" s="120"/>
      <x:c r="AF741" s="121"/>
      <x:c r="AG741" s="122"/>
      <x:c r="AH741" s="120"/>
      <x:c r="AI741" s="122"/>
      <x:c r="AJ741" s="120"/>
      <x:c r="AK741" s="121"/>
      <x:c r="AL741" s="122"/>
      <x:c r="AM741" s="120"/>
      <x:c r="AN741" s="122"/>
      <x:c r="AO741" s="120"/>
      <x:c r="AP741" s="121"/>
      <x:c r="AQ741" s="122"/>
      <x:c r="AR741" s="120"/>
      <x:c r="AS741" s="122"/>
      <x:c r="AT741" s="120"/>
      <x:c r="AU741" s="121"/>
      <x:c r="AV741" s="122"/>
      <x:c r="AW741" s="120"/>
      <x:c r="AX741" s="122"/>
      <x:c r="AY741" s="120"/>
      <x:c r="AZ741" s="121"/>
      <x:c r="BA741" s="122"/>
      <x:c r="BB741" s="120"/>
      <x:c r="BC741" s="122"/>
      <x:c r="BD741" s="120"/>
      <x:c r="BE741" s="121"/>
      <x:c r="BF741" s="122"/>
      <x:c r="BG741" s="120"/>
      <x:c r="BH741" s="122"/>
      <x:c r="BI741" s="120"/>
      <x:c r="BJ741" s="121"/>
    </x:row>
    <x:row r="742" ht="15.75" customHeight="1">
      <x:c r="N742" s="120"/>
      <x:c r="P742" s="120"/>
      <x:c r="Q742" s="121"/>
      <x:c r="S742" s="120"/>
      <x:c r="U742" s="120"/>
      <x:c r="V742" s="121"/>
      <x:c r="W742" s="122"/>
      <x:c r="X742" s="120"/>
      <x:c r="Y742" s="122"/>
      <x:c r="Z742" s="120"/>
      <x:c r="AA742" s="121"/>
      <x:c r="AB742" s="122"/>
      <x:c r="AC742" s="120"/>
      <x:c r="AD742" s="122"/>
      <x:c r="AE742" s="120"/>
      <x:c r="AF742" s="121"/>
      <x:c r="AG742" s="122"/>
      <x:c r="AH742" s="120"/>
      <x:c r="AI742" s="122"/>
      <x:c r="AJ742" s="120"/>
      <x:c r="AK742" s="121"/>
      <x:c r="AL742" s="122"/>
      <x:c r="AM742" s="120"/>
      <x:c r="AN742" s="122"/>
      <x:c r="AO742" s="120"/>
      <x:c r="AP742" s="121"/>
      <x:c r="AQ742" s="122"/>
      <x:c r="AR742" s="120"/>
      <x:c r="AS742" s="122"/>
      <x:c r="AT742" s="120"/>
      <x:c r="AU742" s="121"/>
      <x:c r="AV742" s="122"/>
      <x:c r="AW742" s="120"/>
      <x:c r="AX742" s="122"/>
      <x:c r="AY742" s="120"/>
      <x:c r="AZ742" s="121"/>
      <x:c r="BA742" s="122"/>
      <x:c r="BB742" s="120"/>
      <x:c r="BC742" s="122"/>
      <x:c r="BD742" s="120"/>
      <x:c r="BE742" s="121"/>
      <x:c r="BF742" s="122"/>
      <x:c r="BG742" s="120"/>
      <x:c r="BH742" s="122"/>
      <x:c r="BI742" s="120"/>
      <x:c r="BJ742" s="121"/>
    </x:row>
    <x:row r="743" ht="15.75" customHeight="1">
      <x:c r="N743" s="120"/>
      <x:c r="P743" s="120"/>
      <x:c r="Q743" s="121"/>
      <x:c r="S743" s="120"/>
      <x:c r="U743" s="120"/>
      <x:c r="V743" s="121"/>
      <x:c r="W743" s="122"/>
      <x:c r="X743" s="120"/>
      <x:c r="Y743" s="122"/>
      <x:c r="Z743" s="120"/>
      <x:c r="AA743" s="121"/>
      <x:c r="AB743" s="122"/>
      <x:c r="AC743" s="120"/>
      <x:c r="AD743" s="122"/>
      <x:c r="AE743" s="120"/>
      <x:c r="AF743" s="121"/>
      <x:c r="AG743" s="122"/>
      <x:c r="AH743" s="120"/>
      <x:c r="AI743" s="122"/>
      <x:c r="AJ743" s="120"/>
      <x:c r="AK743" s="121"/>
      <x:c r="AL743" s="122"/>
      <x:c r="AM743" s="120"/>
      <x:c r="AN743" s="122"/>
      <x:c r="AO743" s="120"/>
      <x:c r="AP743" s="121"/>
      <x:c r="AQ743" s="122"/>
      <x:c r="AR743" s="120"/>
      <x:c r="AS743" s="122"/>
      <x:c r="AT743" s="120"/>
      <x:c r="AU743" s="121"/>
      <x:c r="AV743" s="122"/>
      <x:c r="AW743" s="120"/>
      <x:c r="AX743" s="122"/>
      <x:c r="AY743" s="120"/>
      <x:c r="AZ743" s="121"/>
      <x:c r="BA743" s="122"/>
      <x:c r="BB743" s="120"/>
      <x:c r="BC743" s="122"/>
      <x:c r="BD743" s="120"/>
      <x:c r="BE743" s="121"/>
      <x:c r="BF743" s="122"/>
      <x:c r="BG743" s="120"/>
      <x:c r="BH743" s="122"/>
      <x:c r="BI743" s="120"/>
      <x:c r="BJ743" s="121"/>
    </x:row>
    <x:row r="744" ht="15.75" customHeight="1">
      <x:c r="N744" s="120"/>
      <x:c r="P744" s="120"/>
      <x:c r="Q744" s="121"/>
      <x:c r="S744" s="120"/>
      <x:c r="U744" s="120"/>
      <x:c r="V744" s="121"/>
      <x:c r="W744" s="122"/>
      <x:c r="X744" s="120"/>
      <x:c r="Y744" s="122"/>
      <x:c r="Z744" s="120"/>
      <x:c r="AA744" s="121"/>
      <x:c r="AB744" s="122"/>
      <x:c r="AC744" s="120"/>
      <x:c r="AD744" s="122"/>
      <x:c r="AE744" s="120"/>
      <x:c r="AF744" s="121"/>
      <x:c r="AG744" s="122"/>
      <x:c r="AH744" s="120"/>
      <x:c r="AI744" s="122"/>
      <x:c r="AJ744" s="120"/>
      <x:c r="AK744" s="121"/>
      <x:c r="AL744" s="122"/>
      <x:c r="AM744" s="120"/>
      <x:c r="AN744" s="122"/>
      <x:c r="AO744" s="120"/>
      <x:c r="AP744" s="121"/>
      <x:c r="AQ744" s="122"/>
      <x:c r="AR744" s="120"/>
      <x:c r="AS744" s="122"/>
      <x:c r="AT744" s="120"/>
      <x:c r="AU744" s="121"/>
      <x:c r="AV744" s="122"/>
      <x:c r="AW744" s="120"/>
      <x:c r="AX744" s="122"/>
      <x:c r="AY744" s="120"/>
      <x:c r="AZ744" s="121"/>
      <x:c r="BA744" s="122"/>
      <x:c r="BB744" s="120"/>
      <x:c r="BC744" s="122"/>
      <x:c r="BD744" s="120"/>
      <x:c r="BE744" s="121"/>
      <x:c r="BF744" s="122"/>
      <x:c r="BG744" s="120"/>
      <x:c r="BH744" s="122"/>
      <x:c r="BI744" s="120"/>
      <x:c r="BJ744" s="121"/>
    </x:row>
    <x:row r="745" ht="15.75" customHeight="1">
      <x:c r="N745" s="120"/>
      <x:c r="P745" s="120"/>
      <x:c r="Q745" s="121"/>
      <x:c r="S745" s="120"/>
      <x:c r="U745" s="120"/>
      <x:c r="V745" s="121"/>
      <x:c r="W745" s="122"/>
      <x:c r="X745" s="120"/>
      <x:c r="Y745" s="122"/>
      <x:c r="Z745" s="120"/>
      <x:c r="AA745" s="121"/>
      <x:c r="AB745" s="122"/>
      <x:c r="AC745" s="120"/>
      <x:c r="AD745" s="122"/>
      <x:c r="AE745" s="120"/>
      <x:c r="AF745" s="121"/>
      <x:c r="AG745" s="122"/>
      <x:c r="AH745" s="120"/>
      <x:c r="AI745" s="122"/>
      <x:c r="AJ745" s="120"/>
      <x:c r="AK745" s="121"/>
      <x:c r="AL745" s="122"/>
      <x:c r="AM745" s="120"/>
      <x:c r="AN745" s="122"/>
      <x:c r="AO745" s="120"/>
      <x:c r="AP745" s="121"/>
      <x:c r="AQ745" s="122"/>
      <x:c r="AR745" s="120"/>
      <x:c r="AS745" s="122"/>
      <x:c r="AT745" s="120"/>
      <x:c r="AU745" s="121"/>
      <x:c r="AV745" s="122"/>
      <x:c r="AW745" s="120"/>
      <x:c r="AX745" s="122"/>
      <x:c r="AY745" s="120"/>
      <x:c r="AZ745" s="121"/>
      <x:c r="BA745" s="122"/>
      <x:c r="BB745" s="120"/>
      <x:c r="BC745" s="122"/>
      <x:c r="BD745" s="120"/>
      <x:c r="BE745" s="121"/>
      <x:c r="BF745" s="122"/>
      <x:c r="BG745" s="120"/>
      <x:c r="BH745" s="122"/>
      <x:c r="BI745" s="120"/>
      <x:c r="BJ745" s="121"/>
    </x:row>
    <x:row r="746" ht="15.75" customHeight="1">
      <x:c r="N746" s="120"/>
      <x:c r="P746" s="120"/>
      <x:c r="Q746" s="121"/>
      <x:c r="S746" s="120"/>
      <x:c r="U746" s="120"/>
      <x:c r="V746" s="121"/>
      <x:c r="W746" s="122"/>
      <x:c r="X746" s="120"/>
      <x:c r="Y746" s="122"/>
      <x:c r="Z746" s="120"/>
      <x:c r="AA746" s="121"/>
      <x:c r="AB746" s="122"/>
      <x:c r="AC746" s="120"/>
      <x:c r="AD746" s="122"/>
      <x:c r="AE746" s="120"/>
      <x:c r="AF746" s="121"/>
      <x:c r="AG746" s="122"/>
      <x:c r="AH746" s="120"/>
      <x:c r="AI746" s="122"/>
      <x:c r="AJ746" s="120"/>
      <x:c r="AK746" s="121"/>
      <x:c r="AL746" s="122"/>
      <x:c r="AM746" s="120"/>
      <x:c r="AN746" s="122"/>
      <x:c r="AO746" s="120"/>
      <x:c r="AP746" s="121"/>
      <x:c r="AQ746" s="122"/>
      <x:c r="AR746" s="120"/>
      <x:c r="AS746" s="122"/>
      <x:c r="AT746" s="120"/>
      <x:c r="AU746" s="121"/>
      <x:c r="AV746" s="122"/>
      <x:c r="AW746" s="120"/>
      <x:c r="AX746" s="122"/>
      <x:c r="AY746" s="120"/>
      <x:c r="AZ746" s="121"/>
      <x:c r="BA746" s="122"/>
      <x:c r="BB746" s="120"/>
      <x:c r="BC746" s="122"/>
      <x:c r="BD746" s="120"/>
      <x:c r="BE746" s="121"/>
      <x:c r="BF746" s="122"/>
      <x:c r="BG746" s="120"/>
      <x:c r="BH746" s="122"/>
      <x:c r="BI746" s="120"/>
      <x:c r="BJ746" s="121"/>
    </x:row>
    <x:row r="747" ht="15.75" customHeight="1">
      <x:c r="N747" s="120"/>
      <x:c r="P747" s="120"/>
      <x:c r="Q747" s="121"/>
      <x:c r="S747" s="120"/>
      <x:c r="U747" s="120"/>
      <x:c r="V747" s="121"/>
      <x:c r="W747" s="122"/>
      <x:c r="X747" s="120"/>
      <x:c r="Y747" s="122"/>
      <x:c r="Z747" s="120"/>
      <x:c r="AA747" s="121"/>
      <x:c r="AB747" s="122"/>
      <x:c r="AC747" s="120"/>
      <x:c r="AD747" s="122"/>
      <x:c r="AE747" s="120"/>
      <x:c r="AF747" s="121"/>
      <x:c r="AG747" s="122"/>
      <x:c r="AH747" s="120"/>
      <x:c r="AI747" s="122"/>
      <x:c r="AJ747" s="120"/>
      <x:c r="AK747" s="121"/>
      <x:c r="AL747" s="122"/>
      <x:c r="AM747" s="120"/>
      <x:c r="AN747" s="122"/>
      <x:c r="AO747" s="120"/>
      <x:c r="AP747" s="121"/>
      <x:c r="AQ747" s="122"/>
      <x:c r="AR747" s="120"/>
      <x:c r="AS747" s="122"/>
      <x:c r="AT747" s="120"/>
      <x:c r="AU747" s="121"/>
      <x:c r="AV747" s="122"/>
      <x:c r="AW747" s="120"/>
      <x:c r="AX747" s="122"/>
      <x:c r="AY747" s="120"/>
      <x:c r="AZ747" s="121"/>
      <x:c r="BA747" s="122"/>
      <x:c r="BB747" s="120"/>
      <x:c r="BC747" s="122"/>
      <x:c r="BD747" s="120"/>
      <x:c r="BE747" s="121"/>
      <x:c r="BF747" s="122"/>
      <x:c r="BG747" s="120"/>
      <x:c r="BH747" s="122"/>
      <x:c r="BI747" s="120"/>
      <x:c r="BJ747" s="121"/>
    </x:row>
    <x:row r="748" ht="15.75" customHeight="1">
      <x:c r="N748" s="120"/>
      <x:c r="P748" s="120"/>
      <x:c r="Q748" s="121"/>
      <x:c r="S748" s="120"/>
      <x:c r="U748" s="120"/>
      <x:c r="V748" s="121"/>
      <x:c r="W748" s="122"/>
      <x:c r="X748" s="120"/>
      <x:c r="Y748" s="122"/>
      <x:c r="Z748" s="120"/>
      <x:c r="AA748" s="121"/>
      <x:c r="AB748" s="122"/>
      <x:c r="AC748" s="120"/>
      <x:c r="AD748" s="122"/>
      <x:c r="AE748" s="120"/>
      <x:c r="AF748" s="121"/>
      <x:c r="AG748" s="122"/>
      <x:c r="AH748" s="120"/>
      <x:c r="AI748" s="122"/>
      <x:c r="AJ748" s="120"/>
      <x:c r="AK748" s="121"/>
      <x:c r="AL748" s="122"/>
      <x:c r="AM748" s="120"/>
      <x:c r="AN748" s="122"/>
      <x:c r="AO748" s="120"/>
      <x:c r="AP748" s="121"/>
      <x:c r="AQ748" s="122"/>
      <x:c r="AR748" s="120"/>
      <x:c r="AS748" s="122"/>
      <x:c r="AT748" s="120"/>
      <x:c r="AU748" s="121"/>
      <x:c r="AV748" s="122"/>
      <x:c r="AW748" s="120"/>
      <x:c r="AX748" s="122"/>
      <x:c r="AY748" s="120"/>
      <x:c r="AZ748" s="121"/>
      <x:c r="BA748" s="122"/>
      <x:c r="BB748" s="120"/>
      <x:c r="BC748" s="122"/>
      <x:c r="BD748" s="120"/>
      <x:c r="BE748" s="121"/>
      <x:c r="BF748" s="122"/>
      <x:c r="BG748" s="120"/>
      <x:c r="BH748" s="122"/>
      <x:c r="BI748" s="120"/>
      <x:c r="BJ748" s="121"/>
    </x:row>
    <x:row r="749" ht="15.75" customHeight="1">
      <x:c r="N749" s="120"/>
      <x:c r="P749" s="120"/>
      <x:c r="Q749" s="121"/>
      <x:c r="S749" s="120"/>
      <x:c r="U749" s="120"/>
      <x:c r="V749" s="121"/>
      <x:c r="W749" s="122"/>
      <x:c r="X749" s="120"/>
      <x:c r="Y749" s="122"/>
      <x:c r="Z749" s="120"/>
      <x:c r="AA749" s="121"/>
      <x:c r="AB749" s="122"/>
      <x:c r="AC749" s="120"/>
      <x:c r="AD749" s="122"/>
      <x:c r="AE749" s="120"/>
      <x:c r="AF749" s="121"/>
      <x:c r="AG749" s="122"/>
      <x:c r="AH749" s="120"/>
      <x:c r="AI749" s="122"/>
      <x:c r="AJ749" s="120"/>
      <x:c r="AK749" s="121"/>
      <x:c r="AL749" s="122"/>
      <x:c r="AM749" s="120"/>
      <x:c r="AN749" s="122"/>
      <x:c r="AO749" s="120"/>
      <x:c r="AP749" s="121"/>
      <x:c r="AQ749" s="122"/>
      <x:c r="AR749" s="120"/>
      <x:c r="AS749" s="122"/>
      <x:c r="AT749" s="120"/>
      <x:c r="AU749" s="121"/>
      <x:c r="AV749" s="122"/>
      <x:c r="AW749" s="120"/>
      <x:c r="AX749" s="122"/>
      <x:c r="AY749" s="120"/>
      <x:c r="AZ749" s="121"/>
      <x:c r="BA749" s="122"/>
      <x:c r="BB749" s="120"/>
      <x:c r="BC749" s="122"/>
      <x:c r="BD749" s="120"/>
      <x:c r="BE749" s="121"/>
      <x:c r="BF749" s="122"/>
      <x:c r="BG749" s="120"/>
      <x:c r="BH749" s="122"/>
      <x:c r="BI749" s="120"/>
      <x:c r="BJ749" s="121"/>
    </x:row>
    <x:row r="750" ht="15.75" customHeight="1">
      <x:c r="N750" s="120"/>
      <x:c r="P750" s="120"/>
      <x:c r="Q750" s="121"/>
      <x:c r="S750" s="120"/>
      <x:c r="U750" s="120"/>
      <x:c r="V750" s="121"/>
      <x:c r="W750" s="122"/>
      <x:c r="X750" s="120"/>
      <x:c r="Y750" s="122"/>
      <x:c r="Z750" s="120"/>
      <x:c r="AA750" s="121"/>
      <x:c r="AB750" s="122"/>
      <x:c r="AC750" s="120"/>
      <x:c r="AD750" s="122"/>
      <x:c r="AE750" s="120"/>
      <x:c r="AF750" s="121"/>
      <x:c r="AG750" s="122"/>
      <x:c r="AH750" s="120"/>
      <x:c r="AI750" s="122"/>
      <x:c r="AJ750" s="120"/>
      <x:c r="AK750" s="121"/>
      <x:c r="AL750" s="122"/>
      <x:c r="AM750" s="120"/>
      <x:c r="AN750" s="122"/>
      <x:c r="AO750" s="120"/>
      <x:c r="AP750" s="121"/>
      <x:c r="AQ750" s="122"/>
      <x:c r="AR750" s="120"/>
      <x:c r="AS750" s="122"/>
      <x:c r="AT750" s="120"/>
      <x:c r="AU750" s="121"/>
      <x:c r="AV750" s="122"/>
      <x:c r="AW750" s="120"/>
      <x:c r="AX750" s="122"/>
      <x:c r="AY750" s="120"/>
      <x:c r="AZ750" s="121"/>
      <x:c r="BA750" s="122"/>
      <x:c r="BB750" s="120"/>
      <x:c r="BC750" s="122"/>
      <x:c r="BD750" s="120"/>
      <x:c r="BE750" s="121"/>
      <x:c r="BF750" s="122"/>
      <x:c r="BG750" s="120"/>
      <x:c r="BH750" s="122"/>
      <x:c r="BI750" s="120"/>
      <x:c r="BJ750" s="121"/>
    </x:row>
    <x:row r="751" ht="15.75" customHeight="1">
      <x:c r="N751" s="120"/>
      <x:c r="P751" s="120"/>
      <x:c r="Q751" s="121"/>
      <x:c r="S751" s="120"/>
      <x:c r="U751" s="120"/>
      <x:c r="V751" s="121"/>
      <x:c r="W751" s="122"/>
      <x:c r="X751" s="120"/>
      <x:c r="Y751" s="122"/>
      <x:c r="Z751" s="120"/>
      <x:c r="AA751" s="121"/>
      <x:c r="AB751" s="122"/>
      <x:c r="AC751" s="120"/>
      <x:c r="AD751" s="122"/>
      <x:c r="AE751" s="120"/>
      <x:c r="AF751" s="121"/>
      <x:c r="AG751" s="122"/>
      <x:c r="AH751" s="120"/>
      <x:c r="AI751" s="122"/>
      <x:c r="AJ751" s="120"/>
      <x:c r="AK751" s="121"/>
      <x:c r="AL751" s="122"/>
      <x:c r="AM751" s="120"/>
      <x:c r="AN751" s="122"/>
      <x:c r="AO751" s="120"/>
      <x:c r="AP751" s="121"/>
      <x:c r="AQ751" s="122"/>
      <x:c r="AR751" s="120"/>
      <x:c r="AS751" s="122"/>
      <x:c r="AT751" s="120"/>
      <x:c r="AU751" s="121"/>
      <x:c r="AV751" s="122"/>
      <x:c r="AW751" s="120"/>
      <x:c r="AX751" s="122"/>
      <x:c r="AY751" s="120"/>
      <x:c r="AZ751" s="121"/>
      <x:c r="BA751" s="122"/>
      <x:c r="BB751" s="120"/>
      <x:c r="BC751" s="122"/>
      <x:c r="BD751" s="120"/>
      <x:c r="BE751" s="121"/>
      <x:c r="BF751" s="122"/>
      <x:c r="BG751" s="120"/>
      <x:c r="BH751" s="122"/>
      <x:c r="BI751" s="120"/>
      <x:c r="BJ751" s="121"/>
    </x:row>
    <x:row r="752" ht="15.75" customHeight="1">
      <x:c r="N752" s="120"/>
      <x:c r="P752" s="120"/>
      <x:c r="Q752" s="121"/>
      <x:c r="S752" s="120"/>
      <x:c r="U752" s="120"/>
      <x:c r="V752" s="121"/>
      <x:c r="W752" s="122"/>
      <x:c r="X752" s="120"/>
      <x:c r="Y752" s="122"/>
      <x:c r="Z752" s="120"/>
      <x:c r="AA752" s="121"/>
      <x:c r="AB752" s="122"/>
      <x:c r="AC752" s="120"/>
      <x:c r="AD752" s="122"/>
      <x:c r="AE752" s="120"/>
      <x:c r="AF752" s="121"/>
      <x:c r="AG752" s="122"/>
      <x:c r="AH752" s="120"/>
      <x:c r="AI752" s="122"/>
      <x:c r="AJ752" s="120"/>
      <x:c r="AK752" s="121"/>
      <x:c r="AL752" s="122"/>
      <x:c r="AM752" s="120"/>
      <x:c r="AN752" s="122"/>
      <x:c r="AO752" s="120"/>
      <x:c r="AP752" s="121"/>
      <x:c r="AQ752" s="122"/>
      <x:c r="AR752" s="120"/>
      <x:c r="AS752" s="122"/>
      <x:c r="AT752" s="120"/>
      <x:c r="AU752" s="121"/>
      <x:c r="AV752" s="122"/>
      <x:c r="AW752" s="120"/>
      <x:c r="AX752" s="122"/>
      <x:c r="AY752" s="120"/>
      <x:c r="AZ752" s="121"/>
      <x:c r="BA752" s="122"/>
      <x:c r="BB752" s="120"/>
      <x:c r="BC752" s="122"/>
      <x:c r="BD752" s="120"/>
      <x:c r="BE752" s="121"/>
      <x:c r="BF752" s="122"/>
      <x:c r="BG752" s="120"/>
      <x:c r="BH752" s="122"/>
      <x:c r="BI752" s="120"/>
      <x:c r="BJ752" s="121"/>
    </x:row>
    <x:row r="753" ht="15.75" customHeight="1">
      <x:c r="N753" s="120"/>
      <x:c r="P753" s="120"/>
      <x:c r="Q753" s="121"/>
      <x:c r="S753" s="120"/>
      <x:c r="U753" s="120"/>
      <x:c r="V753" s="121"/>
      <x:c r="W753" s="122"/>
      <x:c r="X753" s="120"/>
      <x:c r="Y753" s="122"/>
      <x:c r="Z753" s="120"/>
      <x:c r="AA753" s="121"/>
      <x:c r="AB753" s="122"/>
      <x:c r="AC753" s="120"/>
      <x:c r="AD753" s="122"/>
      <x:c r="AE753" s="120"/>
      <x:c r="AF753" s="121"/>
      <x:c r="AG753" s="122"/>
      <x:c r="AH753" s="120"/>
      <x:c r="AI753" s="122"/>
      <x:c r="AJ753" s="120"/>
      <x:c r="AK753" s="121"/>
      <x:c r="AL753" s="122"/>
      <x:c r="AM753" s="120"/>
      <x:c r="AN753" s="122"/>
      <x:c r="AO753" s="120"/>
      <x:c r="AP753" s="121"/>
      <x:c r="AQ753" s="122"/>
      <x:c r="AR753" s="120"/>
      <x:c r="AS753" s="122"/>
      <x:c r="AT753" s="120"/>
      <x:c r="AU753" s="121"/>
      <x:c r="AV753" s="122"/>
      <x:c r="AW753" s="120"/>
      <x:c r="AX753" s="122"/>
      <x:c r="AY753" s="120"/>
      <x:c r="AZ753" s="121"/>
      <x:c r="BA753" s="122"/>
      <x:c r="BB753" s="120"/>
      <x:c r="BC753" s="122"/>
      <x:c r="BD753" s="120"/>
      <x:c r="BE753" s="121"/>
      <x:c r="BF753" s="122"/>
      <x:c r="BG753" s="120"/>
      <x:c r="BH753" s="122"/>
      <x:c r="BI753" s="120"/>
      <x:c r="BJ753" s="121"/>
    </x:row>
    <x:row r="754" ht="15.75" customHeight="1">
      <x:c r="N754" s="120"/>
      <x:c r="P754" s="120"/>
      <x:c r="Q754" s="121"/>
      <x:c r="S754" s="120"/>
      <x:c r="U754" s="120"/>
      <x:c r="V754" s="121"/>
      <x:c r="W754" s="122"/>
      <x:c r="X754" s="120"/>
      <x:c r="Y754" s="122"/>
      <x:c r="Z754" s="120"/>
      <x:c r="AA754" s="121"/>
      <x:c r="AB754" s="122"/>
      <x:c r="AC754" s="120"/>
      <x:c r="AD754" s="122"/>
      <x:c r="AE754" s="120"/>
      <x:c r="AF754" s="121"/>
      <x:c r="AG754" s="122"/>
      <x:c r="AH754" s="120"/>
      <x:c r="AI754" s="122"/>
      <x:c r="AJ754" s="120"/>
      <x:c r="AK754" s="121"/>
      <x:c r="AL754" s="122"/>
      <x:c r="AM754" s="120"/>
      <x:c r="AN754" s="122"/>
      <x:c r="AO754" s="120"/>
      <x:c r="AP754" s="121"/>
      <x:c r="AQ754" s="122"/>
      <x:c r="AR754" s="120"/>
      <x:c r="AS754" s="122"/>
      <x:c r="AT754" s="120"/>
      <x:c r="AU754" s="121"/>
      <x:c r="AV754" s="122"/>
      <x:c r="AW754" s="120"/>
      <x:c r="AX754" s="122"/>
      <x:c r="AY754" s="120"/>
      <x:c r="AZ754" s="121"/>
      <x:c r="BA754" s="122"/>
      <x:c r="BB754" s="120"/>
      <x:c r="BC754" s="122"/>
      <x:c r="BD754" s="120"/>
      <x:c r="BE754" s="121"/>
      <x:c r="BF754" s="122"/>
      <x:c r="BG754" s="120"/>
      <x:c r="BH754" s="122"/>
      <x:c r="BI754" s="120"/>
      <x:c r="BJ754" s="121"/>
    </x:row>
    <x:row r="755" ht="15.75" customHeight="1">
      <x:c r="N755" s="120"/>
      <x:c r="P755" s="120"/>
      <x:c r="Q755" s="121"/>
      <x:c r="S755" s="120"/>
      <x:c r="U755" s="120"/>
      <x:c r="V755" s="121"/>
      <x:c r="W755" s="122"/>
      <x:c r="X755" s="120"/>
      <x:c r="Y755" s="122"/>
      <x:c r="Z755" s="120"/>
      <x:c r="AA755" s="121"/>
      <x:c r="AB755" s="122"/>
      <x:c r="AC755" s="120"/>
      <x:c r="AD755" s="122"/>
      <x:c r="AE755" s="120"/>
      <x:c r="AF755" s="121"/>
      <x:c r="AG755" s="122"/>
      <x:c r="AH755" s="120"/>
      <x:c r="AI755" s="122"/>
      <x:c r="AJ755" s="120"/>
      <x:c r="AK755" s="121"/>
      <x:c r="AL755" s="122"/>
      <x:c r="AM755" s="120"/>
      <x:c r="AN755" s="122"/>
      <x:c r="AO755" s="120"/>
      <x:c r="AP755" s="121"/>
      <x:c r="AQ755" s="122"/>
      <x:c r="AR755" s="120"/>
      <x:c r="AS755" s="122"/>
      <x:c r="AT755" s="120"/>
      <x:c r="AU755" s="121"/>
      <x:c r="AV755" s="122"/>
      <x:c r="AW755" s="120"/>
      <x:c r="AX755" s="122"/>
      <x:c r="AY755" s="120"/>
      <x:c r="AZ755" s="121"/>
      <x:c r="BA755" s="122"/>
      <x:c r="BB755" s="120"/>
      <x:c r="BC755" s="122"/>
      <x:c r="BD755" s="120"/>
      <x:c r="BE755" s="121"/>
      <x:c r="BF755" s="122"/>
      <x:c r="BG755" s="120"/>
      <x:c r="BH755" s="122"/>
      <x:c r="BI755" s="120"/>
      <x:c r="BJ755" s="121"/>
    </x:row>
    <x:row r="756" ht="15.75" customHeight="1">
      <x:c r="N756" s="120"/>
      <x:c r="P756" s="120"/>
      <x:c r="Q756" s="121"/>
      <x:c r="S756" s="120"/>
      <x:c r="U756" s="120"/>
      <x:c r="V756" s="121"/>
      <x:c r="W756" s="122"/>
      <x:c r="X756" s="120"/>
      <x:c r="Y756" s="122"/>
      <x:c r="Z756" s="120"/>
      <x:c r="AA756" s="121"/>
      <x:c r="AB756" s="122"/>
      <x:c r="AC756" s="120"/>
      <x:c r="AD756" s="122"/>
      <x:c r="AE756" s="120"/>
      <x:c r="AF756" s="121"/>
      <x:c r="AG756" s="122"/>
      <x:c r="AH756" s="120"/>
      <x:c r="AI756" s="122"/>
      <x:c r="AJ756" s="120"/>
      <x:c r="AK756" s="121"/>
      <x:c r="AL756" s="122"/>
      <x:c r="AM756" s="120"/>
      <x:c r="AN756" s="122"/>
      <x:c r="AO756" s="120"/>
      <x:c r="AP756" s="121"/>
      <x:c r="AQ756" s="122"/>
      <x:c r="AR756" s="120"/>
      <x:c r="AS756" s="122"/>
      <x:c r="AT756" s="120"/>
      <x:c r="AU756" s="121"/>
      <x:c r="AV756" s="122"/>
      <x:c r="AW756" s="120"/>
      <x:c r="AX756" s="122"/>
      <x:c r="AY756" s="120"/>
      <x:c r="AZ756" s="121"/>
      <x:c r="BA756" s="122"/>
      <x:c r="BB756" s="120"/>
      <x:c r="BC756" s="122"/>
      <x:c r="BD756" s="120"/>
      <x:c r="BE756" s="121"/>
      <x:c r="BF756" s="122"/>
      <x:c r="BG756" s="120"/>
      <x:c r="BH756" s="122"/>
      <x:c r="BI756" s="120"/>
      <x:c r="BJ756" s="121"/>
    </x:row>
    <x:row r="757" ht="15.75" customHeight="1">
      <x:c r="N757" s="120"/>
      <x:c r="P757" s="120"/>
      <x:c r="Q757" s="121"/>
      <x:c r="S757" s="120"/>
      <x:c r="U757" s="120"/>
      <x:c r="V757" s="121"/>
      <x:c r="W757" s="122"/>
      <x:c r="X757" s="120"/>
      <x:c r="Y757" s="122"/>
      <x:c r="Z757" s="120"/>
      <x:c r="AA757" s="121"/>
      <x:c r="AB757" s="122"/>
      <x:c r="AC757" s="120"/>
      <x:c r="AD757" s="122"/>
      <x:c r="AE757" s="120"/>
      <x:c r="AF757" s="121"/>
      <x:c r="AG757" s="122"/>
      <x:c r="AH757" s="120"/>
      <x:c r="AI757" s="122"/>
      <x:c r="AJ757" s="120"/>
      <x:c r="AK757" s="121"/>
      <x:c r="AL757" s="122"/>
      <x:c r="AM757" s="120"/>
      <x:c r="AN757" s="122"/>
      <x:c r="AO757" s="120"/>
      <x:c r="AP757" s="121"/>
      <x:c r="AQ757" s="122"/>
      <x:c r="AR757" s="120"/>
      <x:c r="AS757" s="122"/>
      <x:c r="AT757" s="120"/>
      <x:c r="AU757" s="121"/>
      <x:c r="AV757" s="122"/>
      <x:c r="AW757" s="120"/>
      <x:c r="AX757" s="122"/>
      <x:c r="AY757" s="120"/>
      <x:c r="AZ757" s="121"/>
      <x:c r="BA757" s="122"/>
      <x:c r="BB757" s="120"/>
      <x:c r="BC757" s="122"/>
      <x:c r="BD757" s="120"/>
      <x:c r="BE757" s="121"/>
      <x:c r="BF757" s="122"/>
      <x:c r="BG757" s="120"/>
      <x:c r="BH757" s="122"/>
      <x:c r="BI757" s="120"/>
      <x:c r="BJ757" s="121"/>
    </x:row>
    <x:row r="758" ht="15.75" customHeight="1">
      <x:c r="N758" s="120"/>
      <x:c r="P758" s="120"/>
      <x:c r="Q758" s="121"/>
      <x:c r="S758" s="120"/>
      <x:c r="U758" s="120"/>
      <x:c r="V758" s="121"/>
      <x:c r="W758" s="122"/>
      <x:c r="X758" s="120"/>
      <x:c r="Y758" s="122"/>
      <x:c r="Z758" s="120"/>
      <x:c r="AA758" s="121"/>
      <x:c r="AB758" s="122"/>
      <x:c r="AC758" s="120"/>
      <x:c r="AD758" s="122"/>
      <x:c r="AE758" s="120"/>
      <x:c r="AF758" s="121"/>
      <x:c r="AG758" s="122"/>
      <x:c r="AH758" s="120"/>
      <x:c r="AI758" s="122"/>
      <x:c r="AJ758" s="120"/>
      <x:c r="AK758" s="121"/>
      <x:c r="AL758" s="122"/>
      <x:c r="AM758" s="120"/>
      <x:c r="AN758" s="122"/>
      <x:c r="AO758" s="120"/>
      <x:c r="AP758" s="121"/>
      <x:c r="AQ758" s="122"/>
      <x:c r="AR758" s="120"/>
      <x:c r="AS758" s="122"/>
      <x:c r="AT758" s="120"/>
      <x:c r="AU758" s="121"/>
      <x:c r="AV758" s="122"/>
      <x:c r="AW758" s="120"/>
      <x:c r="AX758" s="122"/>
      <x:c r="AY758" s="120"/>
      <x:c r="AZ758" s="121"/>
      <x:c r="BA758" s="122"/>
      <x:c r="BB758" s="120"/>
      <x:c r="BC758" s="122"/>
      <x:c r="BD758" s="120"/>
      <x:c r="BE758" s="121"/>
      <x:c r="BF758" s="122"/>
      <x:c r="BG758" s="120"/>
      <x:c r="BH758" s="122"/>
      <x:c r="BI758" s="120"/>
      <x:c r="BJ758" s="121"/>
    </x:row>
    <x:row r="759" ht="15.75" customHeight="1">
      <x:c r="N759" s="120"/>
      <x:c r="P759" s="120"/>
      <x:c r="Q759" s="121"/>
      <x:c r="S759" s="120"/>
      <x:c r="U759" s="120"/>
      <x:c r="V759" s="121"/>
      <x:c r="W759" s="122"/>
      <x:c r="X759" s="120"/>
      <x:c r="Y759" s="122"/>
      <x:c r="Z759" s="120"/>
      <x:c r="AA759" s="121"/>
      <x:c r="AB759" s="122"/>
      <x:c r="AC759" s="120"/>
      <x:c r="AD759" s="122"/>
      <x:c r="AE759" s="120"/>
      <x:c r="AF759" s="121"/>
      <x:c r="AG759" s="122"/>
      <x:c r="AH759" s="120"/>
      <x:c r="AI759" s="122"/>
      <x:c r="AJ759" s="120"/>
      <x:c r="AK759" s="121"/>
      <x:c r="AL759" s="122"/>
      <x:c r="AM759" s="120"/>
      <x:c r="AN759" s="122"/>
      <x:c r="AO759" s="120"/>
      <x:c r="AP759" s="121"/>
      <x:c r="AQ759" s="122"/>
      <x:c r="AR759" s="120"/>
      <x:c r="AS759" s="122"/>
      <x:c r="AT759" s="120"/>
      <x:c r="AU759" s="121"/>
      <x:c r="AV759" s="122"/>
      <x:c r="AW759" s="120"/>
      <x:c r="AX759" s="122"/>
      <x:c r="AY759" s="120"/>
      <x:c r="AZ759" s="121"/>
      <x:c r="BA759" s="122"/>
      <x:c r="BB759" s="120"/>
      <x:c r="BC759" s="122"/>
      <x:c r="BD759" s="120"/>
      <x:c r="BE759" s="121"/>
      <x:c r="BF759" s="122"/>
      <x:c r="BG759" s="120"/>
      <x:c r="BH759" s="122"/>
      <x:c r="BI759" s="120"/>
      <x:c r="BJ759" s="121"/>
    </x:row>
    <x:row r="760" ht="15.75" customHeight="1">
      <x:c r="N760" s="120"/>
      <x:c r="P760" s="120"/>
      <x:c r="Q760" s="121"/>
      <x:c r="S760" s="120"/>
      <x:c r="U760" s="120"/>
      <x:c r="V760" s="121"/>
      <x:c r="W760" s="122"/>
      <x:c r="X760" s="120"/>
      <x:c r="Y760" s="122"/>
      <x:c r="Z760" s="120"/>
      <x:c r="AA760" s="121"/>
      <x:c r="AB760" s="122"/>
      <x:c r="AC760" s="120"/>
      <x:c r="AD760" s="122"/>
      <x:c r="AE760" s="120"/>
      <x:c r="AF760" s="121"/>
      <x:c r="AG760" s="122"/>
      <x:c r="AH760" s="120"/>
      <x:c r="AI760" s="122"/>
      <x:c r="AJ760" s="120"/>
      <x:c r="AK760" s="121"/>
      <x:c r="AL760" s="122"/>
      <x:c r="AM760" s="120"/>
      <x:c r="AN760" s="122"/>
      <x:c r="AO760" s="120"/>
      <x:c r="AP760" s="121"/>
      <x:c r="AQ760" s="122"/>
      <x:c r="AR760" s="120"/>
      <x:c r="AS760" s="122"/>
      <x:c r="AT760" s="120"/>
      <x:c r="AU760" s="121"/>
      <x:c r="AV760" s="122"/>
      <x:c r="AW760" s="120"/>
      <x:c r="AX760" s="122"/>
      <x:c r="AY760" s="120"/>
      <x:c r="AZ760" s="121"/>
      <x:c r="BA760" s="122"/>
      <x:c r="BB760" s="120"/>
      <x:c r="BC760" s="122"/>
      <x:c r="BD760" s="120"/>
      <x:c r="BE760" s="121"/>
      <x:c r="BF760" s="122"/>
      <x:c r="BG760" s="120"/>
      <x:c r="BH760" s="122"/>
      <x:c r="BI760" s="120"/>
      <x:c r="BJ760" s="121"/>
    </x:row>
    <x:row r="761" ht="15.75" customHeight="1">
      <x:c r="N761" s="120"/>
      <x:c r="P761" s="120"/>
      <x:c r="Q761" s="121"/>
      <x:c r="S761" s="120"/>
      <x:c r="U761" s="120"/>
      <x:c r="V761" s="121"/>
      <x:c r="W761" s="122"/>
      <x:c r="X761" s="120"/>
      <x:c r="Y761" s="122"/>
      <x:c r="Z761" s="120"/>
      <x:c r="AA761" s="121"/>
      <x:c r="AB761" s="122"/>
      <x:c r="AC761" s="120"/>
      <x:c r="AD761" s="122"/>
      <x:c r="AE761" s="120"/>
      <x:c r="AF761" s="121"/>
      <x:c r="AG761" s="122"/>
      <x:c r="AH761" s="120"/>
      <x:c r="AI761" s="122"/>
      <x:c r="AJ761" s="120"/>
      <x:c r="AK761" s="121"/>
      <x:c r="AL761" s="122"/>
      <x:c r="AM761" s="120"/>
      <x:c r="AN761" s="122"/>
      <x:c r="AO761" s="120"/>
      <x:c r="AP761" s="121"/>
      <x:c r="AQ761" s="122"/>
      <x:c r="AR761" s="120"/>
      <x:c r="AS761" s="122"/>
      <x:c r="AT761" s="120"/>
      <x:c r="AU761" s="121"/>
      <x:c r="AV761" s="122"/>
      <x:c r="AW761" s="120"/>
      <x:c r="AX761" s="122"/>
      <x:c r="AY761" s="120"/>
      <x:c r="AZ761" s="121"/>
      <x:c r="BA761" s="122"/>
      <x:c r="BB761" s="120"/>
      <x:c r="BC761" s="122"/>
      <x:c r="BD761" s="120"/>
      <x:c r="BE761" s="121"/>
      <x:c r="BF761" s="122"/>
      <x:c r="BG761" s="120"/>
      <x:c r="BH761" s="122"/>
      <x:c r="BI761" s="120"/>
      <x:c r="BJ761" s="121"/>
    </x:row>
    <x:row r="762" ht="15.75" customHeight="1">
      <x:c r="N762" s="120"/>
      <x:c r="P762" s="120"/>
      <x:c r="Q762" s="121"/>
      <x:c r="S762" s="120"/>
      <x:c r="U762" s="120"/>
      <x:c r="V762" s="121"/>
      <x:c r="W762" s="122"/>
      <x:c r="X762" s="120"/>
      <x:c r="Y762" s="122"/>
      <x:c r="Z762" s="120"/>
      <x:c r="AA762" s="121"/>
      <x:c r="AB762" s="122"/>
      <x:c r="AC762" s="120"/>
      <x:c r="AD762" s="122"/>
      <x:c r="AE762" s="120"/>
      <x:c r="AF762" s="121"/>
      <x:c r="AG762" s="122"/>
      <x:c r="AH762" s="120"/>
      <x:c r="AI762" s="122"/>
      <x:c r="AJ762" s="120"/>
      <x:c r="AK762" s="121"/>
      <x:c r="AL762" s="122"/>
      <x:c r="AM762" s="120"/>
      <x:c r="AN762" s="122"/>
      <x:c r="AO762" s="120"/>
      <x:c r="AP762" s="121"/>
      <x:c r="AQ762" s="122"/>
      <x:c r="AR762" s="120"/>
      <x:c r="AS762" s="122"/>
      <x:c r="AT762" s="120"/>
      <x:c r="AU762" s="121"/>
      <x:c r="AV762" s="122"/>
      <x:c r="AW762" s="120"/>
      <x:c r="AX762" s="122"/>
      <x:c r="AY762" s="120"/>
      <x:c r="AZ762" s="121"/>
      <x:c r="BA762" s="122"/>
      <x:c r="BB762" s="120"/>
      <x:c r="BC762" s="122"/>
      <x:c r="BD762" s="120"/>
      <x:c r="BE762" s="121"/>
      <x:c r="BF762" s="122"/>
      <x:c r="BG762" s="120"/>
      <x:c r="BH762" s="122"/>
      <x:c r="BI762" s="120"/>
      <x:c r="BJ762" s="121"/>
    </x:row>
    <x:row r="763" ht="15.75" customHeight="1">
      <x:c r="N763" s="120"/>
      <x:c r="P763" s="120"/>
      <x:c r="Q763" s="121"/>
      <x:c r="S763" s="120"/>
      <x:c r="U763" s="120"/>
      <x:c r="V763" s="121"/>
      <x:c r="W763" s="122"/>
      <x:c r="X763" s="120"/>
      <x:c r="Y763" s="122"/>
      <x:c r="Z763" s="120"/>
      <x:c r="AA763" s="121"/>
      <x:c r="AB763" s="122"/>
      <x:c r="AC763" s="120"/>
      <x:c r="AD763" s="122"/>
      <x:c r="AE763" s="120"/>
      <x:c r="AF763" s="121"/>
      <x:c r="AG763" s="122"/>
      <x:c r="AH763" s="120"/>
      <x:c r="AI763" s="122"/>
      <x:c r="AJ763" s="120"/>
      <x:c r="AK763" s="121"/>
      <x:c r="AL763" s="122"/>
      <x:c r="AM763" s="120"/>
      <x:c r="AN763" s="122"/>
      <x:c r="AO763" s="120"/>
      <x:c r="AP763" s="121"/>
      <x:c r="AQ763" s="122"/>
      <x:c r="AR763" s="120"/>
      <x:c r="AS763" s="122"/>
      <x:c r="AT763" s="120"/>
      <x:c r="AU763" s="121"/>
      <x:c r="AV763" s="122"/>
      <x:c r="AW763" s="120"/>
      <x:c r="AX763" s="122"/>
      <x:c r="AY763" s="120"/>
      <x:c r="AZ763" s="121"/>
      <x:c r="BA763" s="122"/>
      <x:c r="BB763" s="120"/>
      <x:c r="BC763" s="122"/>
      <x:c r="BD763" s="120"/>
      <x:c r="BE763" s="121"/>
      <x:c r="BF763" s="122"/>
      <x:c r="BG763" s="120"/>
      <x:c r="BH763" s="122"/>
      <x:c r="BI763" s="120"/>
      <x:c r="BJ763" s="121"/>
    </x:row>
    <x:row r="764" ht="15.75" customHeight="1">
      <x:c r="N764" s="120"/>
      <x:c r="P764" s="120"/>
      <x:c r="Q764" s="121"/>
      <x:c r="S764" s="120"/>
      <x:c r="U764" s="120"/>
      <x:c r="V764" s="121"/>
      <x:c r="W764" s="122"/>
      <x:c r="X764" s="120"/>
      <x:c r="Y764" s="122"/>
      <x:c r="Z764" s="120"/>
      <x:c r="AA764" s="121"/>
      <x:c r="AB764" s="122"/>
      <x:c r="AC764" s="120"/>
      <x:c r="AD764" s="122"/>
      <x:c r="AE764" s="120"/>
      <x:c r="AF764" s="121"/>
      <x:c r="AG764" s="122"/>
      <x:c r="AH764" s="120"/>
      <x:c r="AI764" s="122"/>
      <x:c r="AJ764" s="120"/>
      <x:c r="AK764" s="121"/>
      <x:c r="AL764" s="122"/>
      <x:c r="AM764" s="120"/>
      <x:c r="AN764" s="122"/>
      <x:c r="AO764" s="120"/>
      <x:c r="AP764" s="121"/>
      <x:c r="AQ764" s="122"/>
      <x:c r="AR764" s="120"/>
      <x:c r="AS764" s="122"/>
      <x:c r="AT764" s="120"/>
      <x:c r="AU764" s="121"/>
      <x:c r="AV764" s="122"/>
      <x:c r="AW764" s="120"/>
      <x:c r="AX764" s="122"/>
      <x:c r="AY764" s="120"/>
      <x:c r="AZ764" s="121"/>
      <x:c r="BA764" s="122"/>
      <x:c r="BB764" s="120"/>
      <x:c r="BC764" s="122"/>
      <x:c r="BD764" s="120"/>
      <x:c r="BE764" s="121"/>
      <x:c r="BF764" s="122"/>
      <x:c r="BG764" s="120"/>
      <x:c r="BH764" s="122"/>
      <x:c r="BI764" s="120"/>
      <x:c r="BJ764" s="121"/>
    </x:row>
    <x:row r="765" ht="15.75" customHeight="1">
      <x:c r="N765" s="120"/>
      <x:c r="P765" s="120"/>
      <x:c r="Q765" s="121"/>
      <x:c r="S765" s="120"/>
      <x:c r="U765" s="120"/>
      <x:c r="V765" s="121"/>
      <x:c r="W765" s="122"/>
      <x:c r="X765" s="120"/>
      <x:c r="Y765" s="122"/>
      <x:c r="Z765" s="120"/>
      <x:c r="AA765" s="121"/>
      <x:c r="AB765" s="122"/>
      <x:c r="AC765" s="120"/>
      <x:c r="AD765" s="122"/>
      <x:c r="AE765" s="120"/>
      <x:c r="AF765" s="121"/>
      <x:c r="AG765" s="122"/>
      <x:c r="AH765" s="120"/>
      <x:c r="AI765" s="122"/>
      <x:c r="AJ765" s="120"/>
      <x:c r="AK765" s="121"/>
      <x:c r="AL765" s="122"/>
      <x:c r="AM765" s="120"/>
      <x:c r="AN765" s="122"/>
      <x:c r="AO765" s="120"/>
      <x:c r="AP765" s="121"/>
      <x:c r="AQ765" s="122"/>
      <x:c r="AR765" s="120"/>
      <x:c r="AS765" s="122"/>
      <x:c r="AT765" s="120"/>
      <x:c r="AU765" s="121"/>
      <x:c r="AV765" s="122"/>
      <x:c r="AW765" s="120"/>
      <x:c r="AX765" s="122"/>
      <x:c r="AY765" s="120"/>
      <x:c r="AZ765" s="121"/>
      <x:c r="BA765" s="122"/>
      <x:c r="BB765" s="120"/>
      <x:c r="BC765" s="122"/>
      <x:c r="BD765" s="120"/>
      <x:c r="BE765" s="121"/>
      <x:c r="BF765" s="122"/>
      <x:c r="BG765" s="120"/>
      <x:c r="BH765" s="122"/>
      <x:c r="BI765" s="120"/>
      <x:c r="BJ765" s="121"/>
    </x:row>
    <x:row r="766" ht="15.75" customHeight="1">
      <x:c r="N766" s="120"/>
      <x:c r="P766" s="120"/>
      <x:c r="Q766" s="121"/>
      <x:c r="S766" s="120"/>
      <x:c r="U766" s="120"/>
      <x:c r="V766" s="121"/>
      <x:c r="W766" s="122"/>
      <x:c r="X766" s="120"/>
      <x:c r="Y766" s="122"/>
      <x:c r="Z766" s="120"/>
      <x:c r="AA766" s="121"/>
      <x:c r="AB766" s="122"/>
      <x:c r="AC766" s="120"/>
      <x:c r="AD766" s="122"/>
      <x:c r="AE766" s="120"/>
      <x:c r="AF766" s="121"/>
      <x:c r="AG766" s="122"/>
      <x:c r="AH766" s="120"/>
      <x:c r="AI766" s="122"/>
      <x:c r="AJ766" s="120"/>
      <x:c r="AK766" s="121"/>
      <x:c r="AL766" s="122"/>
      <x:c r="AM766" s="120"/>
      <x:c r="AN766" s="122"/>
      <x:c r="AO766" s="120"/>
      <x:c r="AP766" s="121"/>
      <x:c r="AQ766" s="122"/>
      <x:c r="AR766" s="120"/>
      <x:c r="AS766" s="122"/>
      <x:c r="AT766" s="120"/>
      <x:c r="AU766" s="121"/>
      <x:c r="AV766" s="122"/>
      <x:c r="AW766" s="120"/>
      <x:c r="AX766" s="122"/>
      <x:c r="AY766" s="120"/>
      <x:c r="AZ766" s="121"/>
      <x:c r="BA766" s="122"/>
      <x:c r="BB766" s="120"/>
      <x:c r="BC766" s="122"/>
      <x:c r="BD766" s="120"/>
      <x:c r="BE766" s="121"/>
      <x:c r="BF766" s="122"/>
      <x:c r="BG766" s="120"/>
      <x:c r="BH766" s="122"/>
      <x:c r="BI766" s="120"/>
      <x:c r="BJ766" s="121"/>
    </x:row>
    <x:row r="767" ht="15.75" customHeight="1">
      <x:c r="N767" s="120"/>
      <x:c r="P767" s="120"/>
      <x:c r="Q767" s="121"/>
      <x:c r="S767" s="120"/>
      <x:c r="U767" s="120"/>
      <x:c r="V767" s="121"/>
      <x:c r="W767" s="122"/>
      <x:c r="X767" s="120"/>
      <x:c r="Y767" s="122"/>
      <x:c r="Z767" s="120"/>
      <x:c r="AA767" s="121"/>
      <x:c r="AB767" s="122"/>
      <x:c r="AC767" s="120"/>
      <x:c r="AD767" s="122"/>
      <x:c r="AE767" s="120"/>
      <x:c r="AF767" s="121"/>
      <x:c r="AG767" s="122"/>
      <x:c r="AH767" s="120"/>
      <x:c r="AI767" s="122"/>
      <x:c r="AJ767" s="120"/>
      <x:c r="AK767" s="121"/>
      <x:c r="AL767" s="122"/>
      <x:c r="AM767" s="120"/>
      <x:c r="AN767" s="122"/>
      <x:c r="AO767" s="120"/>
      <x:c r="AP767" s="121"/>
      <x:c r="AQ767" s="122"/>
      <x:c r="AR767" s="120"/>
      <x:c r="AS767" s="122"/>
      <x:c r="AT767" s="120"/>
      <x:c r="AU767" s="121"/>
      <x:c r="AV767" s="122"/>
      <x:c r="AW767" s="120"/>
      <x:c r="AX767" s="122"/>
      <x:c r="AY767" s="120"/>
      <x:c r="AZ767" s="121"/>
      <x:c r="BA767" s="122"/>
      <x:c r="BB767" s="120"/>
      <x:c r="BC767" s="122"/>
      <x:c r="BD767" s="120"/>
      <x:c r="BE767" s="121"/>
      <x:c r="BF767" s="122"/>
      <x:c r="BG767" s="120"/>
      <x:c r="BH767" s="122"/>
      <x:c r="BI767" s="120"/>
      <x:c r="BJ767" s="121"/>
    </x:row>
    <x:row r="768" ht="15.75" customHeight="1">
      <x:c r="N768" s="120"/>
      <x:c r="P768" s="120"/>
      <x:c r="Q768" s="121"/>
      <x:c r="S768" s="120"/>
      <x:c r="U768" s="120"/>
      <x:c r="V768" s="121"/>
      <x:c r="W768" s="122"/>
      <x:c r="X768" s="120"/>
      <x:c r="Y768" s="122"/>
      <x:c r="Z768" s="120"/>
      <x:c r="AA768" s="121"/>
      <x:c r="AB768" s="122"/>
      <x:c r="AC768" s="120"/>
      <x:c r="AD768" s="122"/>
      <x:c r="AE768" s="120"/>
      <x:c r="AF768" s="121"/>
      <x:c r="AG768" s="122"/>
      <x:c r="AH768" s="120"/>
      <x:c r="AI768" s="122"/>
      <x:c r="AJ768" s="120"/>
      <x:c r="AK768" s="121"/>
      <x:c r="AL768" s="122"/>
      <x:c r="AM768" s="120"/>
      <x:c r="AN768" s="122"/>
      <x:c r="AO768" s="120"/>
      <x:c r="AP768" s="121"/>
      <x:c r="AQ768" s="122"/>
      <x:c r="AR768" s="120"/>
      <x:c r="AS768" s="122"/>
      <x:c r="AT768" s="120"/>
      <x:c r="AU768" s="121"/>
      <x:c r="AV768" s="122"/>
      <x:c r="AW768" s="120"/>
      <x:c r="AX768" s="122"/>
      <x:c r="AY768" s="120"/>
      <x:c r="AZ768" s="121"/>
      <x:c r="BA768" s="122"/>
      <x:c r="BB768" s="120"/>
      <x:c r="BC768" s="122"/>
      <x:c r="BD768" s="120"/>
      <x:c r="BE768" s="121"/>
      <x:c r="BF768" s="122"/>
      <x:c r="BG768" s="120"/>
      <x:c r="BH768" s="122"/>
      <x:c r="BI768" s="120"/>
      <x:c r="BJ768" s="121"/>
    </x:row>
    <x:row r="769" ht="15.75" customHeight="1">
      <x:c r="N769" s="120"/>
      <x:c r="P769" s="120"/>
      <x:c r="Q769" s="121"/>
      <x:c r="S769" s="120"/>
      <x:c r="U769" s="120"/>
      <x:c r="V769" s="121"/>
      <x:c r="W769" s="122"/>
      <x:c r="X769" s="120"/>
      <x:c r="Y769" s="122"/>
      <x:c r="Z769" s="120"/>
      <x:c r="AA769" s="121"/>
      <x:c r="AB769" s="122"/>
      <x:c r="AC769" s="120"/>
      <x:c r="AD769" s="122"/>
      <x:c r="AE769" s="120"/>
      <x:c r="AF769" s="121"/>
      <x:c r="AG769" s="122"/>
      <x:c r="AH769" s="120"/>
      <x:c r="AI769" s="122"/>
      <x:c r="AJ769" s="120"/>
      <x:c r="AK769" s="121"/>
      <x:c r="AL769" s="122"/>
      <x:c r="AM769" s="120"/>
      <x:c r="AN769" s="122"/>
      <x:c r="AO769" s="120"/>
      <x:c r="AP769" s="121"/>
      <x:c r="AQ769" s="122"/>
      <x:c r="AR769" s="120"/>
      <x:c r="AS769" s="122"/>
      <x:c r="AT769" s="120"/>
      <x:c r="AU769" s="121"/>
      <x:c r="AV769" s="122"/>
      <x:c r="AW769" s="120"/>
      <x:c r="AX769" s="122"/>
      <x:c r="AY769" s="120"/>
      <x:c r="AZ769" s="121"/>
      <x:c r="BA769" s="122"/>
      <x:c r="BB769" s="120"/>
      <x:c r="BC769" s="122"/>
      <x:c r="BD769" s="120"/>
      <x:c r="BE769" s="121"/>
      <x:c r="BF769" s="122"/>
      <x:c r="BG769" s="120"/>
      <x:c r="BH769" s="122"/>
      <x:c r="BI769" s="120"/>
      <x:c r="BJ769" s="121"/>
    </x:row>
    <x:row r="770" ht="15.75" customHeight="1">
      <x:c r="N770" s="120"/>
      <x:c r="P770" s="120"/>
      <x:c r="Q770" s="121"/>
      <x:c r="S770" s="120"/>
      <x:c r="U770" s="120"/>
      <x:c r="V770" s="121"/>
      <x:c r="W770" s="122"/>
      <x:c r="X770" s="120"/>
      <x:c r="Y770" s="122"/>
      <x:c r="Z770" s="120"/>
      <x:c r="AA770" s="121"/>
      <x:c r="AB770" s="122"/>
      <x:c r="AC770" s="120"/>
      <x:c r="AD770" s="122"/>
      <x:c r="AE770" s="120"/>
      <x:c r="AF770" s="121"/>
      <x:c r="AG770" s="122"/>
      <x:c r="AH770" s="120"/>
      <x:c r="AI770" s="122"/>
      <x:c r="AJ770" s="120"/>
      <x:c r="AK770" s="121"/>
      <x:c r="AL770" s="122"/>
      <x:c r="AM770" s="120"/>
      <x:c r="AN770" s="122"/>
      <x:c r="AO770" s="120"/>
      <x:c r="AP770" s="121"/>
      <x:c r="AQ770" s="122"/>
      <x:c r="AR770" s="120"/>
      <x:c r="AS770" s="122"/>
      <x:c r="AT770" s="120"/>
      <x:c r="AU770" s="121"/>
      <x:c r="AV770" s="122"/>
      <x:c r="AW770" s="120"/>
      <x:c r="AX770" s="122"/>
      <x:c r="AY770" s="120"/>
      <x:c r="AZ770" s="121"/>
      <x:c r="BA770" s="122"/>
      <x:c r="BB770" s="120"/>
      <x:c r="BC770" s="122"/>
      <x:c r="BD770" s="120"/>
      <x:c r="BE770" s="121"/>
      <x:c r="BF770" s="122"/>
      <x:c r="BG770" s="120"/>
      <x:c r="BH770" s="122"/>
      <x:c r="BI770" s="120"/>
      <x:c r="BJ770" s="121"/>
    </x:row>
    <x:row r="771" ht="15.75" customHeight="1">
      <x:c r="N771" s="120"/>
      <x:c r="P771" s="120"/>
      <x:c r="Q771" s="121"/>
      <x:c r="S771" s="120"/>
      <x:c r="U771" s="120"/>
      <x:c r="V771" s="121"/>
      <x:c r="W771" s="122"/>
      <x:c r="X771" s="120"/>
      <x:c r="Y771" s="122"/>
      <x:c r="Z771" s="120"/>
      <x:c r="AA771" s="121"/>
      <x:c r="AB771" s="122"/>
      <x:c r="AC771" s="120"/>
      <x:c r="AD771" s="122"/>
      <x:c r="AE771" s="120"/>
      <x:c r="AF771" s="121"/>
      <x:c r="AG771" s="122"/>
      <x:c r="AH771" s="120"/>
      <x:c r="AI771" s="122"/>
      <x:c r="AJ771" s="120"/>
      <x:c r="AK771" s="121"/>
      <x:c r="AL771" s="122"/>
      <x:c r="AM771" s="120"/>
      <x:c r="AN771" s="122"/>
      <x:c r="AO771" s="120"/>
      <x:c r="AP771" s="121"/>
      <x:c r="AQ771" s="122"/>
      <x:c r="AR771" s="120"/>
      <x:c r="AS771" s="122"/>
      <x:c r="AT771" s="120"/>
      <x:c r="AU771" s="121"/>
      <x:c r="AV771" s="122"/>
      <x:c r="AW771" s="120"/>
      <x:c r="AX771" s="122"/>
      <x:c r="AY771" s="120"/>
      <x:c r="AZ771" s="121"/>
      <x:c r="BA771" s="122"/>
      <x:c r="BB771" s="120"/>
      <x:c r="BC771" s="122"/>
      <x:c r="BD771" s="120"/>
      <x:c r="BE771" s="121"/>
      <x:c r="BF771" s="122"/>
      <x:c r="BG771" s="120"/>
      <x:c r="BH771" s="122"/>
      <x:c r="BI771" s="120"/>
      <x:c r="BJ771" s="121"/>
    </x:row>
    <x:row r="772" ht="15.75" customHeight="1">
      <x:c r="N772" s="120"/>
      <x:c r="P772" s="120"/>
      <x:c r="Q772" s="121"/>
      <x:c r="S772" s="120"/>
      <x:c r="U772" s="120"/>
      <x:c r="V772" s="121"/>
      <x:c r="W772" s="122"/>
      <x:c r="X772" s="120"/>
      <x:c r="Y772" s="122"/>
      <x:c r="Z772" s="120"/>
      <x:c r="AA772" s="121"/>
      <x:c r="AB772" s="122"/>
      <x:c r="AC772" s="120"/>
      <x:c r="AD772" s="122"/>
      <x:c r="AE772" s="120"/>
      <x:c r="AF772" s="121"/>
      <x:c r="AG772" s="122"/>
      <x:c r="AH772" s="120"/>
      <x:c r="AI772" s="122"/>
      <x:c r="AJ772" s="120"/>
      <x:c r="AK772" s="121"/>
      <x:c r="AL772" s="122"/>
      <x:c r="AM772" s="120"/>
      <x:c r="AN772" s="122"/>
      <x:c r="AO772" s="120"/>
      <x:c r="AP772" s="121"/>
      <x:c r="AQ772" s="122"/>
      <x:c r="AR772" s="120"/>
      <x:c r="AS772" s="122"/>
      <x:c r="AT772" s="120"/>
      <x:c r="AU772" s="121"/>
      <x:c r="AV772" s="122"/>
      <x:c r="AW772" s="120"/>
      <x:c r="AX772" s="122"/>
      <x:c r="AY772" s="120"/>
      <x:c r="AZ772" s="121"/>
      <x:c r="BA772" s="122"/>
      <x:c r="BB772" s="120"/>
      <x:c r="BC772" s="122"/>
      <x:c r="BD772" s="120"/>
      <x:c r="BE772" s="121"/>
      <x:c r="BF772" s="122"/>
      <x:c r="BG772" s="120"/>
      <x:c r="BH772" s="122"/>
      <x:c r="BI772" s="120"/>
      <x:c r="BJ772" s="121"/>
    </x:row>
    <x:row r="773" ht="15.75" customHeight="1">
      <x:c r="N773" s="120"/>
      <x:c r="P773" s="120"/>
      <x:c r="Q773" s="121"/>
      <x:c r="S773" s="120"/>
      <x:c r="U773" s="120"/>
      <x:c r="V773" s="121"/>
      <x:c r="W773" s="122"/>
      <x:c r="X773" s="120"/>
      <x:c r="Y773" s="122"/>
      <x:c r="Z773" s="120"/>
      <x:c r="AA773" s="121"/>
      <x:c r="AB773" s="122"/>
      <x:c r="AC773" s="120"/>
      <x:c r="AD773" s="122"/>
      <x:c r="AE773" s="120"/>
      <x:c r="AF773" s="121"/>
      <x:c r="AG773" s="122"/>
      <x:c r="AH773" s="120"/>
      <x:c r="AI773" s="122"/>
      <x:c r="AJ773" s="120"/>
      <x:c r="AK773" s="121"/>
      <x:c r="AL773" s="122"/>
      <x:c r="AM773" s="120"/>
      <x:c r="AN773" s="122"/>
      <x:c r="AO773" s="120"/>
      <x:c r="AP773" s="121"/>
      <x:c r="AQ773" s="122"/>
      <x:c r="AR773" s="120"/>
      <x:c r="AS773" s="122"/>
      <x:c r="AT773" s="120"/>
      <x:c r="AU773" s="121"/>
      <x:c r="AV773" s="122"/>
      <x:c r="AW773" s="120"/>
      <x:c r="AX773" s="122"/>
      <x:c r="AY773" s="120"/>
      <x:c r="AZ773" s="121"/>
      <x:c r="BA773" s="122"/>
      <x:c r="BB773" s="120"/>
      <x:c r="BC773" s="122"/>
      <x:c r="BD773" s="120"/>
      <x:c r="BE773" s="121"/>
      <x:c r="BF773" s="122"/>
      <x:c r="BG773" s="120"/>
      <x:c r="BH773" s="122"/>
      <x:c r="BI773" s="120"/>
      <x:c r="BJ773" s="121"/>
    </x:row>
    <x:row r="774" ht="15.75" customHeight="1">
      <x:c r="N774" s="120"/>
      <x:c r="P774" s="120"/>
      <x:c r="Q774" s="121"/>
      <x:c r="S774" s="120"/>
      <x:c r="U774" s="120"/>
      <x:c r="V774" s="121"/>
      <x:c r="W774" s="122"/>
      <x:c r="X774" s="120"/>
      <x:c r="Y774" s="122"/>
      <x:c r="Z774" s="120"/>
      <x:c r="AA774" s="121"/>
      <x:c r="AB774" s="122"/>
      <x:c r="AC774" s="120"/>
      <x:c r="AD774" s="122"/>
      <x:c r="AE774" s="120"/>
      <x:c r="AF774" s="121"/>
      <x:c r="AG774" s="122"/>
      <x:c r="AH774" s="120"/>
      <x:c r="AI774" s="122"/>
      <x:c r="AJ774" s="120"/>
      <x:c r="AK774" s="121"/>
      <x:c r="AL774" s="122"/>
      <x:c r="AM774" s="120"/>
      <x:c r="AN774" s="122"/>
      <x:c r="AO774" s="120"/>
      <x:c r="AP774" s="121"/>
      <x:c r="AQ774" s="122"/>
      <x:c r="AR774" s="120"/>
      <x:c r="AS774" s="122"/>
      <x:c r="AT774" s="120"/>
      <x:c r="AU774" s="121"/>
      <x:c r="AV774" s="122"/>
      <x:c r="AW774" s="120"/>
      <x:c r="AX774" s="122"/>
      <x:c r="AY774" s="120"/>
      <x:c r="AZ774" s="121"/>
      <x:c r="BA774" s="122"/>
      <x:c r="BB774" s="120"/>
      <x:c r="BC774" s="122"/>
      <x:c r="BD774" s="120"/>
      <x:c r="BE774" s="121"/>
      <x:c r="BF774" s="122"/>
      <x:c r="BG774" s="120"/>
      <x:c r="BH774" s="122"/>
      <x:c r="BI774" s="120"/>
      <x:c r="BJ774" s="121"/>
    </x:row>
    <x:row r="775" ht="15.75" customHeight="1">
      <x:c r="N775" s="120"/>
      <x:c r="P775" s="120"/>
      <x:c r="Q775" s="121"/>
      <x:c r="S775" s="120"/>
      <x:c r="U775" s="120"/>
      <x:c r="V775" s="121"/>
      <x:c r="W775" s="122"/>
      <x:c r="X775" s="120"/>
      <x:c r="Y775" s="122"/>
      <x:c r="Z775" s="120"/>
      <x:c r="AA775" s="121"/>
      <x:c r="AB775" s="122"/>
      <x:c r="AC775" s="120"/>
      <x:c r="AD775" s="122"/>
      <x:c r="AE775" s="120"/>
      <x:c r="AF775" s="121"/>
      <x:c r="AG775" s="122"/>
      <x:c r="AH775" s="120"/>
      <x:c r="AI775" s="122"/>
      <x:c r="AJ775" s="120"/>
      <x:c r="AK775" s="121"/>
      <x:c r="AL775" s="122"/>
      <x:c r="AM775" s="120"/>
      <x:c r="AN775" s="122"/>
      <x:c r="AO775" s="120"/>
      <x:c r="AP775" s="121"/>
      <x:c r="AQ775" s="122"/>
      <x:c r="AR775" s="120"/>
      <x:c r="AS775" s="122"/>
      <x:c r="AT775" s="120"/>
      <x:c r="AU775" s="121"/>
      <x:c r="AV775" s="122"/>
      <x:c r="AW775" s="120"/>
      <x:c r="AX775" s="122"/>
      <x:c r="AY775" s="120"/>
      <x:c r="AZ775" s="121"/>
      <x:c r="BA775" s="122"/>
      <x:c r="BB775" s="120"/>
      <x:c r="BC775" s="122"/>
      <x:c r="BD775" s="120"/>
      <x:c r="BE775" s="121"/>
      <x:c r="BF775" s="122"/>
      <x:c r="BG775" s="120"/>
      <x:c r="BH775" s="122"/>
      <x:c r="BI775" s="120"/>
      <x:c r="BJ775" s="121"/>
    </x:row>
    <x:row r="776" ht="15.75" customHeight="1">
      <x:c r="N776" s="120"/>
      <x:c r="P776" s="120"/>
      <x:c r="Q776" s="121"/>
      <x:c r="S776" s="120"/>
      <x:c r="U776" s="120"/>
      <x:c r="V776" s="121"/>
      <x:c r="W776" s="122"/>
      <x:c r="X776" s="120"/>
      <x:c r="Y776" s="122"/>
      <x:c r="Z776" s="120"/>
      <x:c r="AA776" s="121"/>
      <x:c r="AB776" s="122"/>
      <x:c r="AC776" s="120"/>
      <x:c r="AD776" s="122"/>
      <x:c r="AE776" s="120"/>
      <x:c r="AF776" s="121"/>
      <x:c r="AG776" s="122"/>
      <x:c r="AH776" s="120"/>
      <x:c r="AI776" s="122"/>
      <x:c r="AJ776" s="120"/>
      <x:c r="AK776" s="121"/>
      <x:c r="AL776" s="122"/>
      <x:c r="AM776" s="120"/>
      <x:c r="AN776" s="122"/>
      <x:c r="AO776" s="120"/>
      <x:c r="AP776" s="121"/>
      <x:c r="AQ776" s="122"/>
      <x:c r="AR776" s="120"/>
      <x:c r="AS776" s="122"/>
      <x:c r="AT776" s="120"/>
      <x:c r="AU776" s="121"/>
      <x:c r="AV776" s="122"/>
      <x:c r="AW776" s="120"/>
      <x:c r="AX776" s="122"/>
      <x:c r="AY776" s="120"/>
      <x:c r="AZ776" s="121"/>
      <x:c r="BA776" s="122"/>
      <x:c r="BB776" s="120"/>
      <x:c r="BC776" s="122"/>
      <x:c r="BD776" s="120"/>
      <x:c r="BE776" s="121"/>
      <x:c r="BF776" s="122"/>
      <x:c r="BG776" s="120"/>
      <x:c r="BH776" s="122"/>
      <x:c r="BI776" s="120"/>
      <x:c r="BJ776" s="121"/>
    </x:row>
    <x:row r="777" ht="15.75" customHeight="1">
      <x:c r="N777" s="120"/>
      <x:c r="P777" s="120"/>
      <x:c r="Q777" s="121"/>
      <x:c r="S777" s="120"/>
      <x:c r="U777" s="120"/>
      <x:c r="V777" s="121"/>
      <x:c r="W777" s="122"/>
      <x:c r="X777" s="120"/>
      <x:c r="Y777" s="122"/>
      <x:c r="Z777" s="120"/>
      <x:c r="AA777" s="121"/>
      <x:c r="AB777" s="122"/>
      <x:c r="AC777" s="120"/>
      <x:c r="AD777" s="122"/>
      <x:c r="AE777" s="120"/>
      <x:c r="AF777" s="121"/>
      <x:c r="AG777" s="122"/>
      <x:c r="AH777" s="120"/>
      <x:c r="AI777" s="122"/>
      <x:c r="AJ777" s="120"/>
      <x:c r="AK777" s="121"/>
      <x:c r="AL777" s="122"/>
      <x:c r="AM777" s="120"/>
      <x:c r="AN777" s="122"/>
      <x:c r="AO777" s="120"/>
      <x:c r="AP777" s="121"/>
      <x:c r="AQ777" s="122"/>
      <x:c r="AR777" s="120"/>
      <x:c r="AS777" s="122"/>
      <x:c r="AT777" s="120"/>
      <x:c r="AU777" s="121"/>
      <x:c r="AV777" s="122"/>
      <x:c r="AW777" s="120"/>
      <x:c r="AX777" s="122"/>
      <x:c r="AY777" s="120"/>
      <x:c r="AZ777" s="121"/>
      <x:c r="BA777" s="122"/>
      <x:c r="BB777" s="120"/>
      <x:c r="BC777" s="122"/>
      <x:c r="BD777" s="120"/>
      <x:c r="BE777" s="121"/>
      <x:c r="BF777" s="122"/>
      <x:c r="BG777" s="120"/>
      <x:c r="BH777" s="122"/>
      <x:c r="BI777" s="120"/>
      <x:c r="BJ777" s="121"/>
    </x:row>
    <x:row r="778" ht="15.75" customHeight="1">
      <x:c r="N778" s="120"/>
      <x:c r="P778" s="120"/>
      <x:c r="Q778" s="121"/>
      <x:c r="S778" s="120"/>
      <x:c r="U778" s="120"/>
      <x:c r="V778" s="121"/>
      <x:c r="W778" s="122"/>
      <x:c r="X778" s="120"/>
      <x:c r="Y778" s="122"/>
      <x:c r="Z778" s="120"/>
      <x:c r="AA778" s="121"/>
      <x:c r="AB778" s="122"/>
      <x:c r="AC778" s="120"/>
      <x:c r="AD778" s="122"/>
      <x:c r="AE778" s="120"/>
      <x:c r="AF778" s="121"/>
      <x:c r="AG778" s="122"/>
      <x:c r="AH778" s="120"/>
      <x:c r="AI778" s="122"/>
      <x:c r="AJ778" s="120"/>
      <x:c r="AK778" s="121"/>
      <x:c r="AL778" s="122"/>
      <x:c r="AM778" s="120"/>
      <x:c r="AN778" s="122"/>
      <x:c r="AO778" s="120"/>
      <x:c r="AP778" s="121"/>
      <x:c r="AQ778" s="122"/>
      <x:c r="AR778" s="120"/>
      <x:c r="AS778" s="122"/>
      <x:c r="AT778" s="120"/>
      <x:c r="AU778" s="121"/>
      <x:c r="AV778" s="122"/>
      <x:c r="AW778" s="120"/>
      <x:c r="AX778" s="122"/>
      <x:c r="AY778" s="120"/>
      <x:c r="AZ778" s="121"/>
      <x:c r="BA778" s="122"/>
      <x:c r="BB778" s="120"/>
      <x:c r="BC778" s="122"/>
      <x:c r="BD778" s="120"/>
      <x:c r="BE778" s="121"/>
      <x:c r="BF778" s="122"/>
      <x:c r="BG778" s="120"/>
      <x:c r="BH778" s="122"/>
      <x:c r="BI778" s="120"/>
      <x:c r="BJ778" s="121"/>
    </x:row>
    <x:row r="779" ht="15.75" customHeight="1">
      <x:c r="N779" s="120"/>
      <x:c r="P779" s="120"/>
      <x:c r="Q779" s="121"/>
      <x:c r="S779" s="120"/>
      <x:c r="U779" s="120"/>
      <x:c r="V779" s="121"/>
      <x:c r="W779" s="122"/>
      <x:c r="X779" s="120"/>
      <x:c r="Y779" s="122"/>
      <x:c r="Z779" s="120"/>
      <x:c r="AA779" s="121"/>
      <x:c r="AB779" s="122"/>
      <x:c r="AC779" s="120"/>
      <x:c r="AD779" s="122"/>
      <x:c r="AE779" s="120"/>
      <x:c r="AF779" s="121"/>
      <x:c r="AG779" s="122"/>
      <x:c r="AH779" s="120"/>
      <x:c r="AI779" s="122"/>
      <x:c r="AJ779" s="120"/>
      <x:c r="AK779" s="121"/>
      <x:c r="AL779" s="122"/>
      <x:c r="AM779" s="120"/>
      <x:c r="AN779" s="122"/>
      <x:c r="AO779" s="120"/>
      <x:c r="AP779" s="121"/>
      <x:c r="AQ779" s="122"/>
      <x:c r="AR779" s="120"/>
      <x:c r="AS779" s="122"/>
      <x:c r="AT779" s="120"/>
      <x:c r="AU779" s="121"/>
      <x:c r="AV779" s="122"/>
      <x:c r="AW779" s="120"/>
      <x:c r="AX779" s="122"/>
      <x:c r="AY779" s="120"/>
      <x:c r="AZ779" s="121"/>
      <x:c r="BA779" s="122"/>
      <x:c r="BB779" s="120"/>
      <x:c r="BC779" s="122"/>
      <x:c r="BD779" s="120"/>
      <x:c r="BE779" s="121"/>
      <x:c r="BF779" s="122"/>
      <x:c r="BG779" s="120"/>
      <x:c r="BH779" s="122"/>
      <x:c r="BI779" s="120"/>
      <x:c r="BJ779" s="121"/>
    </x:row>
    <x:row r="780" ht="15.75" customHeight="1">
      <x:c r="N780" s="120"/>
      <x:c r="P780" s="120"/>
      <x:c r="Q780" s="121"/>
      <x:c r="S780" s="120"/>
      <x:c r="U780" s="120"/>
      <x:c r="V780" s="121"/>
      <x:c r="W780" s="122"/>
      <x:c r="X780" s="120"/>
      <x:c r="Y780" s="122"/>
      <x:c r="Z780" s="120"/>
      <x:c r="AA780" s="121"/>
      <x:c r="AB780" s="122"/>
      <x:c r="AC780" s="120"/>
      <x:c r="AD780" s="122"/>
      <x:c r="AE780" s="120"/>
      <x:c r="AF780" s="121"/>
      <x:c r="AG780" s="122"/>
      <x:c r="AH780" s="120"/>
      <x:c r="AI780" s="122"/>
      <x:c r="AJ780" s="120"/>
      <x:c r="AK780" s="121"/>
      <x:c r="AL780" s="122"/>
      <x:c r="AM780" s="120"/>
      <x:c r="AN780" s="122"/>
      <x:c r="AO780" s="120"/>
      <x:c r="AP780" s="121"/>
      <x:c r="AQ780" s="122"/>
      <x:c r="AR780" s="120"/>
      <x:c r="AS780" s="122"/>
      <x:c r="AT780" s="120"/>
      <x:c r="AU780" s="121"/>
      <x:c r="AV780" s="122"/>
      <x:c r="AW780" s="120"/>
      <x:c r="AX780" s="122"/>
      <x:c r="AY780" s="120"/>
      <x:c r="AZ780" s="121"/>
      <x:c r="BA780" s="122"/>
      <x:c r="BB780" s="120"/>
      <x:c r="BC780" s="122"/>
      <x:c r="BD780" s="120"/>
      <x:c r="BE780" s="121"/>
      <x:c r="BF780" s="122"/>
      <x:c r="BG780" s="120"/>
      <x:c r="BH780" s="122"/>
      <x:c r="BI780" s="120"/>
      <x:c r="BJ780" s="121"/>
    </x:row>
    <x:row r="781" ht="15.75" customHeight="1">
      <x:c r="N781" s="120"/>
      <x:c r="P781" s="120"/>
      <x:c r="Q781" s="121"/>
      <x:c r="S781" s="120"/>
      <x:c r="U781" s="120"/>
      <x:c r="V781" s="121"/>
      <x:c r="W781" s="122"/>
      <x:c r="X781" s="120"/>
      <x:c r="Y781" s="122"/>
      <x:c r="Z781" s="120"/>
      <x:c r="AA781" s="121"/>
      <x:c r="AB781" s="122"/>
      <x:c r="AC781" s="120"/>
      <x:c r="AD781" s="122"/>
      <x:c r="AE781" s="120"/>
      <x:c r="AF781" s="121"/>
      <x:c r="AG781" s="122"/>
      <x:c r="AH781" s="120"/>
      <x:c r="AI781" s="122"/>
      <x:c r="AJ781" s="120"/>
      <x:c r="AK781" s="121"/>
      <x:c r="AL781" s="122"/>
      <x:c r="AM781" s="120"/>
      <x:c r="AN781" s="122"/>
      <x:c r="AO781" s="120"/>
      <x:c r="AP781" s="121"/>
      <x:c r="AQ781" s="122"/>
      <x:c r="AR781" s="120"/>
      <x:c r="AS781" s="122"/>
      <x:c r="AT781" s="120"/>
      <x:c r="AU781" s="121"/>
      <x:c r="AV781" s="122"/>
      <x:c r="AW781" s="120"/>
      <x:c r="AX781" s="122"/>
      <x:c r="AY781" s="120"/>
      <x:c r="AZ781" s="121"/>
      <x:c r="BA781" s="122"/>
      <x:c r="BB781" s="120"/>
      <x:c r="BC781" s="122"/>
      <x:c r="BD781" s="120"/>
      <x:c r="BE781" s="121"/>
      <x:c r="BF781" s="122"/>
      <x:c r="BG781" s="120"/>
      <x:c r="BH781" s="122"/>
      <x:c r="BI781" s="120"/>
      <x:c r="BJ781" s="121"/>
    </x:row>
    <x:row r="782" ht="15.75" customHeight="1">
      <x:c r="N782" s="120"/>
      <x:c r="P782" s="120"/>
      <x:c r="Q782" s="121"/>
      <x:c r="S782" s="120"/>
      <x:c r="U782" s="120"/>
      <x:c r="V782" s="121"/>
      <x:c r="W782" s="122"/>
      <x:c r="X782" s="120"/>
      <x:c r="Y782" s="122"/>
      <x:c r="Z782" s="120"/>
      <x:c r="AA782" s="121"/>
      <x:c r="AB782" s="122"/>
      <x:c r="AC782" s="120"/>
      <x:c r="AD782" s="122"/>
      <x:c r="AE782" s="120"/>
      <x:c r="AF782" s="121"/>
      <x:c r="AG782" s="122"/>
      <x:c r="AH782" s="120"/>
      <x:c r="AI782" s="122"/>
      <x:c r="AJ782" s="120"/>
      <x:c r="AK782" s="121"/>
      <x:c r="AL782" s="122"/>
      <x:c r="AM782" s="120"/>
      <x:c r="AN782" s="122"/>
      <x:c r="AO782" s="120"/>
      <x:c r="AP782" s="121"/>
      <x:c r="AQ782" s="122"/>
      <x:c r="AR782" s="120"/>
      <x:c r="AS782" s="122"/>
      <x:c r="AT782" s="120"/>
      <x:c r="AU782" s="121"/>
      <x:c r="AV782" s="122"/>
      <x:c r="AW782" s="120"/>
      <x:c r="AX782" s="122"/>
      <x:c r="AY782" s="120"/>
      <x:c r="AZ782" s="121"/>
      <x:c r="BA782" s="122"/>
      <x:c r="BB782" s="120"/>
      <x:c r="BC782" s="122"/>
      <x:c r="BD782" s="120"/>
      <x:c r="BE782" s="121"/>
      <x:c r="BF782" s="122"/>
      <x:c r="BG782" s="120"/>
      <x:c r="BH782" s="122"/>
      <x:c r="BI782" s="120"/>
      <x:c r="BJ782" s="121"/>
    </x:row>
    <x:row r="783" ht="15.75" customHeight="1">
      <x:c r="N783" s="120"/>
      <x:c r="P783" s="120"/>
      <x:c r="Q783" s="121"/>
      <x:c r="S783" s="120"/>
      <x:c r="U783" s="120"/>
      <x:c r="V783" s="121"/>
      <x:c r="W783" s="122"/>
      <x:c r="X783" s="120"/>
      <x:c r="Y783" s="122"/>
      <x:c r="Z783" s="120"/>
      <x:c r="AA783" s="121"/>
      <x:c r="AB783" s="122"/>
      <x:c r="AC783" s="120"/>
      <x:c r="AD783" s="122"/>
      <x:c r="AE783" s="120"/>
      <x:c r="AF783" s="121"/>
      <x:c r="AG783" s="122"/>
      <x:c r="AH783" s="120"/>
      <x:c r="AI783" s="122"/>
      <x:c r="AJ783" s="120"/>
      <x:c r="AK783" s="121"/>
      <x:c r="AL783" s="122"/>
      <x:c r="AM783" s="120"/>
      <x:c r="AN783" s="122"/>
      <x:c r="AO783" s="120"/>
      <x:c r="AP783" s="121"/>
      <x:c r="AQ783" s="122"/>
      <x:c r="AR783" s="120"/>
      <x:c r="AS783" s="122"/>
      <x:c r="AT783" s="120"/>
      <x:c r="AU783" s="121"/>
      <x:c r="AV783" s="122"/>
      <x:c r="AW783" s="120"/>
      <x:c r="AX783" s="122"/>
      <x:c r="AY783" s="120"/>
      <x:c r="AZ783" s="121"/>
      <x:c r="BA783" s="122"/>
      <x:c r="BB783" s="120"/>
      <x:c r="BC783" s="122"/>
      <x:c r="BD783" s="120"/>
      <x:c r="BE783" s="121"/>
      <x:c r="BF783" s="122"/>
      <x:c r="BG783" s="120"/>
      <x:c r="BH783" s="122"/>
      <x:c r="BI783" s="120"/>
      <x:c r="BJ783" s="121"/>
    </x:row>
    <x:row r="784" ht="15.75" customHeight="1">
      <x:c r="N784" s="120"/>
      <x:c r="P784" s="120"/>
      <x:c r="Q784" s="121"/>
      <x:c r="S784" s="120"/>
      <x:c r="U784" s="120"/>
      <x:c r="V784" s="121"/>
      <x:c r="W784" s="122"/>
      <x:c r="X784" s="120"/>
      <x:c r="Y784" s="122"/>
      <x:c r="Z784" s="120"/>
      <x:c r="AA784" s="121"/>
      <x:c r="AB784" s="122"/>
      <x:c r="AC784" s="120"/>
      <x:c r="AD784" s="122"/>
      <x:c r="AE784" s="120"/>
      <x:c r="AF784" s="121"/>
      <x:c r="AG784" s="122"/>
      <x:c r="AH784" s="120"/>
      <x:c r="AI784" s="122"/>
      <x:c r="AJ784" s="120"/>
      <x:c r="AK784" s="121"/>
      <x:c r="AL784" s="122"/>
      <x:c r="AM784" s="120"/>
      <x:c r="AN784" s="122"/>
      <x:c r="AO784" s="120"/>
      <x:c r="AP784" s="121"/>
      <x:c r="AQ784" s="122"/>
      <x:c r="AR784" s="120"/>
      <x:c r="AS784" s="122"/>
      <x:c r="AT784" s="120"/>
      <x:c r="AU784" s="121"/>
      <x:c r="AV784" s="122"/>
      <x:c r="AW784" s="120"/>
      <x:c r="AX784" s="122"/>
      <x:c r="AY784" s="120"/>
      <x:c r="AZ784" s="121"/>
      <x:c r="BA784" s="122"/>
      <x:c r="BB784" s="120"/>
      <x:c r="BC784" s="122"/>
      <x:c r="BD784" s="120"/>
      <x:c r="BE784" s="121"/>
      <x:c r="BF784" s="122"/>
      <x:c r="BG784" s="120"/>
      <x:c r="BH784" s="122"/>
      <x:c r="BI784" s="120"/>
      <x:c r="BJ784" s="121"/>
    </x:row>
    <x:row r="785" ht="15.75" customHeight="1">
      <x:c r="N785" s="120"/>
      <x:c r="P785" s="120"/>
      <x:c r="Q785" s="121"/>
      <x:c r="S785" s="120"/>
      <x:c r="U785" s="120"/>
      <x:c r="V785" s="121"/>
      <x:c r="W785" s="122"/>
      <x:c r="X785" s="120"/>
      <x:c r="Y785" s="122"/>
      <x:c r="Z785" s="120"/>
      <x:c r="AA785" s="121"/>
      <x:c r="AB785" s="122"/>
      <x:c r="AC785" s="120"/>
      <x:c r="AD785" s="122"/>
      <x:c r="AE785" s="120"/>
      <x:c r="AF785" s="121"/>
      <x:c r="AG785" s="122"/>
      <x:c r="AH785" s="120"/>
      <x:c r="AI785" s="122"/>
      <x:c r="AJ785" s="120"/>
      <x:c r="AK785" s="121"/>
      <x:c r="AL785" s="122"/>
      <x:c r="AM785" s="120"/>
      <x:c r="AN785" s="122"/>
      <x:c r="AO785" s="120"/>
      <x:c r="AP785" s="121"/>
      <x:c r="AQ785" s="122"/>
      <x:c r="AR785" s="120"/>
      <x:c r="AS785" s="122"/>
      <x:c r="AT785" s="120"/>
      <x:c r="AU785" s="121"/>
      <x:c r="AV785" s="122"/>
      <x:c r="AW785" s="120"/>
      <x:c r="AX785" s="122"/>
      <x:c r="AY785" s="120"/>
      <x:c r="AZ785" s="121"/>
      <x:c r="BA785" s="122"/>
      <x:c r="BB785" s="120"/>
      <x:c r="BC785" s="122"/>
      <x:c r="BD785" s="120"/>
      <x:c r="BE785" s="121"/>
      <x:c r="BF785" s="122"/>
      <x:c r="BG785" s="120"/>
      <x:c r="BH785" s="122"/>
      <x:c r="BI785" s="120"/>
      <x:c r="BJ785" s="121"/>
    </x:row>
    <x:row r="786" ht="15.75" customHeight="1">
      <x:c r="N786" s="120"/>
      <x:c r="P786" s="120"/>
      <x:c r="Q786" s="121"/>
      <x:c r="S786" s="120"/>
      <x:c r="U786" s="120"/>
      <x:c r="V786" s="121"/>
      <x:c r="W786" s="122"/>
      <x:c r="X786" s="120"/>
      <x:c r="Y786" s="122"/>
      <x:c r="Z786" s="120"/>
      <x:c r="AA786" s="121"/>
      <x:c r="AB786" s="122"/>
      <x:c r="AC786" s="120"/>
      <x:c r="AD786" s="122"/>
      <x:c r="AE786" s="120"/>
      <x:c r="AF786" s="121"/>
      <x:c r="AG786" s="122"/>
      <x:c r="AH786" s="120"/>
      <x:c r="AI786" s="122"/>
      <x:c r="AJ786" s="120"/>
      <x:c r="AK786" s="121"/>
      <x:c r="AL786" s="122"/>
      <x:c r="AM786" s="120"/>
      <x:c r="AN786" s="122"/>
      <x:c r="AO786" s="120"/>
      <x:c r="AP786" s="121"/>
      <x:c r="AQ786" s="122"/>
      <x:c r="AR786" s="120"/>
      <x:c r="AS786" s="122"/>
      <x:c r="AT786" s="120"/>
      <x:c r="AU786" s="121"/>
      <x:c r="AV786" s="122"/>
      <x:c r="AW786" s="120"/>
      <x:c r="AX786" s="122"/>
      <x:c r="AY786" s="120"/>
      <x:c r="AZ786" s="121"/>
      <x:c r="BA786" s="122"/>
      <x:c r="BB786" s="120"/>
      <x:c r="BC786" s="122"/>
      <x:c r="BD786" s="120"/>
      <x:c r="BE786" s="121"/>
      <x:c r="BF786" s="122"/>
      <x:c r="BG786" s="120"/>
      <x:c r="BH786" s="122"/>
      <x:c r="BI786" s="120"/>
      <x:c r="BJ786" s="121"/>
    </x:row>
    <x:row r="787" ht="15.75" customHeight="1">
      <x:c r="N787" s="120"/>
      <x:c r="P787" s="120"/>
      <x:c r="Q787" s="121"/>
      <x:c r="S787" s="120"/>
      <x:c r="U787" s="120"/>
      <x:c r="V787" s="121"/>
      <x:c r="W787" s="122"/>
      <x:c r="X787" s="120"/>
      <x:c r="Y787" s="122"/>
      <x:c r="Z787" s="120"/>
      <x:c r="AA787" s="121"/>
      <x:c r="AB787" s="122"/>
      <x:c r="AC787" s="120"/>
      <x:c r="AD787" s="122"/>
      <x:c r="AE787" s="120"/>
      <x:c r="AF787" s="121"/>
      <x:c r="AG787" s="122"/>
      <x:c r="AH787" s="120"/>
      <x:c r="AI787" s="122"/>
      <x:c r="AJ787" s="120"/>
      <x:c r="AK787" s="121"/>
      <x:c r="AL787" s="122"/>
      <x:c r="AM787" s="120"/>
      <x:c r="AN787" s="122"/>
      <x:c r="AO787" s="120"/>
      <x:c r="AP787" s="121"/>
      <x:c r="AQ787" s="122"/>
      <x:c r="AR787" s="120"/>
      <x:c r="AS787" s="122"/>
      <x:c r="AT787" s="120"/>
      <x:c r="AU787" s="121"/>
      <x:c r="AV787" s="122"/>
      <x:c r="AW787" s="120"/>
      <x:c r="AX787" s="122"/>
      <x:c r="AY787" s="120"/>
      <x:c r="AZ787" s="121"/>
      <x:c r="BA787" s="122"/>
      <x:c r="BB787" s="120"/>
      <x:c r="BC787" s="122"/>
      <x:c r="BD787" s="120"/>
      <x:c r="BE787" s="121"/>
      <x:c r="BF787" s="122"/>
      <x:c r="BG787" s="120"/>
      <x:c r="BH787" s="122"/>
      <x:c r="BI787" s="120"/>
      <x:c r="BJ787" s="121"/>
    </x:row>
    <x:row r="788" ht="15.75" customHeight="1">
      <x:c r="N788" s="120"/>
      <x:c r="P788" s="120"/>
      <x:c r="Q788" s="121"/>
      <x:c r="S788" s="120"/>
      <x:c r="U788" s="120"/>
      <x:c r="V788" s="121"/>
      <x:c r="W788" s="122"/>
      <x:c r="X788" s="120"/>
      <x:c r="Y788" s="122"/>
      <x:c r="Z788" s="120"/>
      <x:c r="AA788" s="121"/>
      <x:c r="AB788" s="122"/>
      <x:c r="AC788" s="120"/>
      <x:c r="AD788" s="122"/>
      <x:c r="AE788" s="120"/>
      <x:c r="AF788" s="121"/>
      <x:c r="AG788" s="122"/>
      <x:c r="AH788" s="120"/>
      <x:c r="AI788" s="122"/>
      <x:c r="AJ788" s="120"/>
      <x:c r="AK788" s="121"/>
      <x:c r="AL788" s="122"/>
      <x:c r="AM788" s="120"/>
      <x:c r="AN788" s="122"/>
      <x:c r="AO788" s="120"/>
      <x:c r="AP788" s="121"/>
      <x:c r="AQ788" s="122"/>
      <x:c r="AR788" s="120"/>
      <x:c r="AS788" s="122"/>
      <x:c r="AT788" s="120"/>
      <x:c r="AU788" s="121"/>
      <x:c r="AV788" s="122"/>
      <x:c r="AW788" s="120"/>
      <x:c r="AX788" s="122"/>
      <x:c r="AY788" s="120"/>
      <x:c r="AZ788" s="121"/>
      <x:c r="BA788" s="122"/>
      <x:c r="BB788" s="120"/>
      <x:c r="BC788" s="122"/>
      <x:c r="BD788" s="120"/>
      <x:c r="BE788" s="121"/>
      <x:c r="BF788" s="122"/>
      <x:c r="BG788" s="120"/>
      <x:c r="BH788" s="122"/>
      <x:c r="BI788" s="120"/>
      <x:c r="BJ788" s="121"/>
    </x:row>
    <x:row r="789" ht="15.75" customHeight="1">
      <x:c r="N789" s="120"/>
      <x:c r="P789" s="120"/>
      <x:c r="Q789" s="121"/>
      <x:c r="S789" s="120"/>
      <x:c r="U789" s="120"/>
      <x:c r="V789" s="121"/>
      <x:c r="W789" s="122"/>
      <x:c r="X789" s="120"/>
      <x:c r="Y789" s="122"/>
      <x:c r="Z789" s="120"/>
      <x:c r="AA789" s="121"/>
      <x:c r="AB789" s="122"/>
      <x:c r="AC789" s="120"/>
      <x:c r="AD789" s="122"/>
      <x:c r="AE789" s="120"/>
      <x:c r="AF789" s="121"/>
      <x:c r="AG789" s="122"/>
      <x:c r="AH789" s="120"/>
      <x:c r="AI789" s="122"/>
      <x:c r="AJ789" s="120"/>
      <x:c r="AK789" s="121"/>
      <x:c r="AL789" s="122"/>
      <x:c r="AM789" s="120"/>
      <x:c r="AN789" s="122"/>
      <x:c r="AO789" s="120"/>
      <x:c r="AP789" s="121"/>
      <x:c r="AQ789" s="122"/>
      <x:c r="AR789" s="120"/>
      <x:c r="AS789" s="122"/>
      <x:c r="AT789" s="120"/>
      <x:c r="AU789" s="121"/>
      <x:c r="AV789" s="122"/>
      <x:c r="AW789" s="120"/>
      <x:c r="AX789" s="122"/>
      <x:c r="AY789" s="120"/>
      <x:c r="AZ789" s="121"/>
      <x:c r="BA789" s="122"/>
      <x:c r="BB789" s="120"/>
      <x:c r="BC789" s="122"/>
      <x:c r="BD789" s="120"/>
      <x:c r="BE789" s="121"/>
      <x:c r="BF789" s="122"/>
      <x:c r="BG789" s="120"/>
      <x:c r="BH789" s="122"/>
      <x:c r="BI789" s="120"/>
      <x:c r="BJ789" s="121"/>
    </x:row>
    <x:row r="790" ht="15.75" customHeight="1">
      <x:c r="N790" s="120"/>
      <x:c r="P790" s="120"/>
      <x:c r="Q790" s="121"/>
      <x:c r="S790" s="120"/>
      <x:c r="U790" s="120"/>
      <x:c r="V790" s="121"/>
      <x:c r="W790" s="122"/>
      <x:c r="X790" s="120"/>
      <x:c r="Y790" s="122"/>
      <x:c r="Z790" s="120"/>
      <x:c r="AA790" s="121"/>
      <x:c r="AB790" s="122"/>
      <x:c r="AC790" s="120"/>
      <x:c r="AD790" s="122"/>
      <x:c r="AE790" s="120"/>
      <x:c r="AF790" s="121"/>
      <x:c r="AG790" s="122"/>
      <x:c r="AH790" s="120"/>
      <x:c r="AI790" s="122"/>
      <x:c r="AJ790" s="120"/>
      <x:c r="AK790" s="121"/>
      <x:c r="AL790" s="122"/>
      <x:c r="AM790" s="120"/>
      <x:c r="AN790" s="122"/>
      <x:c r="AO790" s="120"/>
      <x:c r="AP790" s="121"/>
      <x:c r="AQ790" s="122"/>
      <x:c r="AR790" s="120"/>
      <x:c r="AS790" s="122"/>
      <x:c r="AT790" s="120"/>
      <x:c r="AU790" s="121"/>
      <x:c r="AV790" s="122"/>
      <x:c r="AW790" s="120"/>
      <x:c r="AX790" s="122"/>
      <x:c r="AY790" s="120"/>
      <x:c r="AZ790" s="121"/>
      <x:c r="BA790" s="122"/>
      <x:c r="BB790" s="120"/>
      <x:c r="BC790" s="122"/>
      <x:c r="BD790" s="120"/>
      <x:c r="BE790" s="121"/>
      <x:c r="BF790" s="122"/>
      <x:c r="BG790" s="120"/>
      <x:c r="BH790" s="122"/>
      <x:c r="BI790" s="120"/>
      <x:c r="BJ790" s="121"/>
    </x:row>
    <x:row r="791" ht="15.75" customHeight="1">
      <x:c r="N791" s="120"/>
      <x:c r="P791" s="120"/>
      <x:c r="Q791" s="121"/>
      <x:c r="S791" s="120"/>
      <x:c r="U791" s="120"/>
      <x:c r="V791" s="121"/>
      <x:c r="W791" s="122"/>
      <x:c r="X791" s="120"/>
      <x:c r="Y791" s="122"/>
      <x:c r="Z791" s="120"/>
      <x:c r="AA791" s="121"/>
      <x:c r="AB791" s="122"/>
      <x:c r="AC791" s="120"/>
      <x:c r="AD791" s="122"/>
      <x:c r="AE791" s="120"/>
      <x:c r="AF791" s="121"/>
      <x:c r="AG791" s="122"/>
      <x:c r="AH791" s="120"/>
      <x:c r="AI791" s="122"/>
      <x:c r="AJ791" s="120"/>
      <x:c r="AK791" s="121"/>
      <x:c r="AL791" s="122"/>
      <x:c r="AM791" s="120"/>
      <x:c r="AN791" s="122"/>
      <x:c r="AO791" s="120"/>
      <x:c r="AP791" s="121"/>
      <x:c r="AQ791" s="122"/>
      <x:c r="AR791" s="120"/>
      <x:c r="AS791" s="122"/>
      <x:c r="AT791" s="120"/>
      <x:c r="AU791" s="121"/>
      <x:c r="AV791" s="122"/>
      <x:c r="AW791" s="120"/>
      <x:c r="AX791" s="122"/>
      <x:c r="AY791" s="120"/>
      <x:c r="AZ791" s="121"/>
      <x:c r="BA791" s="122"/>
      <x:c r="BB791" s="120"/>
      <x:c r="BC791" s="122"/>
      <x:c r="BD791" s="120"/>
      <x:c r="BE791" s="121"/>
      <x:c r="BF791" s="122"/>
      <x:c r="BG791" s="120"/>
      <x:c r="BH791" s="122"/>
      <x:c r="BI791" s="120"/>
      <x:c r="BJ791" s="121"/>
    </x:row>
    <x:row r="792" ht="15.75" customHeight="1">
      <x:c r="N792" s="120"/>
      <x:c r="P792" s="120"/>
      <x:c r="Q792" s="121"/>
      <x:c r="S792" s="120"/>
      <x:c r="U792" s="120"/>
      <x:c r="V792" s="121"/>
      <x:c r="W792" s="122"/>
      <x:c r="X792" s="120"/>
      <x:c r="Y792" s="122"/>
      <x:c r="Z792" s="120"/>
      <x:c r="AA792" s="121"/>
      <x:c r="AB792" s="122"/>
      <x:c r="AC792" s="120"/>
      <x:c r="AD792" s="122"/>
      <x:c r="AE792" s="120"/>
      <x:c r="AF792" s="121"/>
      <x:c r="AG792" s="122"/>
      <x:c r="AH792" s="120"/>
      <x:c r="AI792" s="122"/>
      <x:c r="AJ792" s="120"/>
      <x:c r="AK792" s="121"/>
      <x:c r="AL792" s="122"/>
      <x:c r="AM792" s="120"/>
      <x:c r="AN792" s="122"/>
      <x:c r="AO792" s="120"/>
      <x:c r="AP792" s="121"/>
      <x:c r="AQ792" s="122"/>
      <x:c r="AR792" s="120"/>
      <x:c r="AS792" s="122"/>
      <x:c r="AT792" s="120"/>
      <x:c r="AU792" s="121"/>
      <x:c r="AV792" s="122"/>
      <x:c r="AW792" s="120"/>
      <x:c r="AX792" s="122"/>
      <x:c r="AY792" s="120"/>
      <x:c r="AZ792" s="121"/>
      <x:c r="BA792" s="122"/>
      <x:c r="BB792" s="120"/>
      <x:c r="BC792" s="122"/>
      <x:c r="BD792" s="120"/>
      <x:c r="BE792" s="121"/>
      <x:c r="BF792" s="122"/>
      <x:c r="BG792" s="120"/>
      <x:c r="BH792" s="122"/>
      <x:c r="BI792" s="120"/>
      <x:c r="BJ792" s="121"/>
    </x:row>
    <x:row r="793" ht="15.75" customHeight="1">
      <x:c r="N793" s="120"/>
      <x:c r="P793" s="120"/>
      <x:c r="Q793" s="121"/>
      <x:c r="S793" s="120"/>
      <x:c r="U793" s="120"/>
      <x:c r="V793" s="121"/>
      <x:c r="W793" s="122"/>
      <x:c r="X793" s="120"/>
      <x:c r="Y793" s="122"/>
      <x:c r="Z793" s="120"/>
      <x:c r="AA793" s="121"/>
      <x:c r="AB793" s="122"/>
      <x:c r="AC793" s="120"/>
      <x:c r="AD793" s="122"/>
      <x:c r="AE793" s="120"/>
      <x:c r="AF793" s="121"/>
      <x:c r="AG793" s="122"/>
      <x:c r="AH793" s="120"/>
      <x:c r="AI793" s="122"/>
      <x:c r="AJ793" s="120"/>
      <x:c r="AK793" s="121"/>
      <x:c r="AL793" s="122"/>
      <x:c r="AM793" s="120"/>
      <x:c r="AN793" s="122"/>
      <x:c r="AO793" s="120"/>
      <x:c r="AP793" s="121"/>
      <x:c r="AQ793" s="122"/>
      <x:c r="AR793" s="120"/>
      <x:c r="AS793" s="122"/>
      <x:c r="AT793" s="120"/>
      <x:c r="AU793" s="121"/>
      <x:c r="AV793" s="122"/>
      <x:c r="AW793" s="120"/>
      <x:c r="AX793" s="122"/>
      <x:c r="AY793" s="120"/>
      <x:c r="AZ793" s="121"/>
      <x:c r="BA793" s="122"/>
      <x:c r="BB793" s="120"/>
      <x:c r="BC793" s="122"/>
      <x:c r="BD793" s="120"/>
      <x:c r="BE793" s="121"/>
      <x:c r="BF793" s="122"/>
      <x:c r="BG793" s="120"/>
      <x:c r="BH793" s="122"/>
      <x:c r="BI793" s="120"/>
      <x:c r="BJ793" s="121"/>
    </x:row>
    <x:row r="794" ht="15.75" customHeight="1">
      <x:c r="N794" s="120"/>
      <x:c r="P794" s="120"/>
      <x:c r="Q794" s="121"/>
      <x:c r="S794" s="120"/>
      <x:c r="U794" s="120"/>
      <x:c r="V794" s="121"/>
      <x:c r="W794" s="122"/>
      <x:c r="X794" s="120"/>
      <x:c r="Y794" s="122"/>
      <x:c r="Z794" s="120"/>
      <x:c r="AA794" s="121"/>
      <x:c r="AB794" s="122"/>
      <x:c r="AC794" s="120"/>
      <x:c r="AD794" s="122"/>
      <x:c r="AE794" s="120"/>
      <x:c r="AF794" s="121"/>
      <x:c r="AG794" s="122"/>
      <x:c r="AH794" s="120"/>
      <x:c r="AI794" s="122"/>
      <x:c r="AJ794" s="120"/>
      <x:c r="AK794" s="121"/>
      <x:c r="AL794" s="122"/>
      <x:c r="AM794" s="120"/>
      <x:c r="AN794" s="122"/>
      <x:c r="AO794" s="120"/>
      <x:c r="AP794" s="121"/>
      <x:c r="AQ794" s="122"/>
      <x:c r="AR794" s="120"/>
      <x:c r="AS794" s="122"/>
      <x:c r="AT794" s="120"/>
      <x:c r="AU794" s="121"/>
      <x:c r="AV794" s="122"/>
      <x:c r="AW794" s="120"/>
      <x:c r="AX794" s="122"/>
      <x:c r="AY794" s="120"/>
      <x:c r="AZ794" s="121"/>
      <x:c r="BA794" s="122"/>
      <x:c r="BB794" s="120"/>
      <x:c r="BC794" s="122"/>
      <x:c r="BD794" s="120"/>
      <x:c r="BE794" s="121"/>
      <x:c r="BF794" s="122"/>
      <x:c r="BG794" s="120"/>
      <x:c r="BH794" s="122"/>
      <x:c r="BI794" s="120"/>
      <x:c r="BJ794" s="121"/>
    </x:row>
    <x:row r="795" ht="15.75" customHeight="1">
      <x:c r="N795" s="120"/>
      <x:c r="P795" s="120"/>
      <x:c r="Q795" s="121"/>
      <x:c r="S795" s="120"/>
      <x:c r="U795" s="120"/>
      <x:c r="V795" s="121"/>
      <x:c r="W795" s="122"/>
      <x:c r="X795" s="120"/>
      <x:c r="Y795" s="122"/>
      <x:c r="Z795" s="120"/>
      <x:c r="AA795" s="121"/>
      <x:c r="AB795" s="122"/>
      <x:c r="AC795" s="120"/>
      <x:c r="AD795" s="122"/>
      <x:c r="AE795" s="120"/>
      <x:c r="AF795" s="121"/>
      <x:c r="AG795" s="122"/>
      <x:c r="AH795" s="120"/>
      <x:c r="AI795" s="122"/>
      <x:c r="AJ795" s="120"/>
      <x:c r="AK795" s="121"/>
      <x:c r="AL795" s="122"/>
      <x:c r="AM795" s="120"/>
      <x:c r="AN795" s="122"/>
      <x:c r="AO795" s="120"/>
      <x:c r="AP795" s="121"/>
      <x:c r="AQ795" s="122"/>
      <x:c r="AR795" s="120"/>
      <x:c r="AS795" s="122"/>
      <x:c r="AT795" s="120"/>
      <x:c r="AU795" s="121"/>
      <x:c r="AV795" s="122"/>
      <x:c r="AW795" s="120"/>
      <x:c r="AX795" s="122"/>
      <x:c r="AY795" s="120"/>
      <x:c r="AZ795" s="121"/>
      <x:c r="BA795" s="122"/>
      <x:c r="BB795" s="120"/>
      <x:c r="BC795" s="122"/>
      <x:c r="BD795" s="120"/>
      <x:c r="BE795" s="121"/>
      <x:c r="BF795" s="122"/>
      <x:c r="BG795" s="120"/>
      <x:c r="BH795" s="122"/>
      <x:c r="BI795" s="120"/>
      <x:c r="BJ795" s="121"/>
    </x:row>
    <x:row r="796" ht="15.75" customHeight="1">
      <x:c r="N796" s="120"/>
      <x:c r="P796" s="120"/>
      <x:c r="Q796" s="121"/>
      <x:c r="S796" s="120"/>
      <x:c r="U796" s="120"/>
      <x:c r="V796" s="121"/>
      <x:c r="W796" s="122"/>
      <x:c r="X796" s="120"/>
      <x:c r="Y796" s="122"/>
      <x:c r="Z796" s="120"/>
      <x:c r="AA796" s="121"/>
      <x:c r="AB796" s="122"/>
      <x:c r="AC796" s="120"/>
      <x:c r="AD796" s="122"/>
      <x:c r="AE796" s="120"/>
      <x:c r="AF796" s="121"/>
      <x:c r="AG796" s="122"/>
      <x:c r="AH796" s="120"/>
      <x:c r="AI796" s="122"/>
      <x:c r="AJ796" s="120"/>
      <x:c r="AK796" s="121"/>
      <x:c r="AL796" s="122"/>
      <x:c r="AM796" s="120"/>
      <x:c r="AN796" s="122"/>
      <x:c r="AO796" s="120"/>
      <x:c r="AP796" s="121"/>
      <x:c r="AQ796" s="122"/>
      <x:c r="AR796" s="120"/>
      <x:c r="AS796" s="122"/>
      <x:c r="AT796" s="120"/>
      <x:c r="AU796" s="121"/>
      <x:c r="AV796" s="122"/>
      <x:c r="AW796" s="120"/>
      <x:c r="AX796" s="122"/>
      <x:c r="AY796" s="120"/>
      <x:c r="AZ796" s="121"/>
      <x:c r="BA796" s="122"/>
      <x:c r="BB796" s="120"/>
      <x:c r="BC796" s="122"/>
      <x:c r="BD796" s="120"/>
      <x:c r="BE796" s="121"/>
      <x:c r="BF796" s="122"/>
      <x:c r="BG796" s="120"/>
      <x:c r="BH796" s="122"/>
      <x:c r="BI796" s="120"/>
      <x:c r="BJ796" s="121"/>
    </x:row>
    <x:row r="797" ht="15.75" customHeight="1">
      <x:c r="N797" s="120"/>
      <x:c r="P797" s="120"/>
      <x:c r="Q797" s="121"/>
      <x:c r="S797" s="120"/>
      <x:c r="U797" s="120"/>
      <x:c r="V797" s="121"/>
      <x:c r="W797" s="122"/>
      <x:c r="X797" s="120"/>
      <x:c r="Y797" s="122"/>
      <x:c r="Z797" s="120"/>
      <x:c r="AA797" s="121"/>
      <x:c r="AB797" s="122"/>
      <x:c r="AC797" s="120"/>
      <x:c r="AD797" s="122"/>
      <x:c r="AE797" s="120"/>
      <x:c r="AF797" s="121"/>
      <x:c r="AG797" s="122"/>
      <x:c r="AH797" s="120"/>
      <x:c r="AI797" s="122"/>
      <x:c r="AJ797" s="120"/>
      <x:c r="AK797" s="121"/>
      <x:c r="AL797" s="122"/>
      <x:c r="AM797" s="120"/>
      <x:c r="AN797" s="122"/>
      <x:c r="AO797" s="120"/>
      <x:c r="AP797" s="121"/>
      <x:c r="AQ797" s="122"/>
      <x:c r="AR797" s="120"/>
      <x:c r="AS797" s="122"/>
      <x:c r="AT797" s="120"/>
      <x:c r="AU797" s="121"/>
      <x:c r="AV797" s="122"/>
      <x:c r="AW797" s="120"/>
      <x:c r="AX797" s="122"/>
      <x:c r="AY797" s="120"/>
      <x:c r="AZ797" s="121"/>
      <x:c r="BA797" s="122"/>
      <x:c r="BB797" s="120"/>
      <x:c r="BC797" s="122"/>
      <x:c r="BD797" s="120"/>
      <x:c r="BE797" s="121"/>
      <x:c r="BF797" s="122"/>
      <x:c r="BG797" s="120"/>
      <x:c r="BH797" s="122"/>
      <x:c r="BI797" s="120"/>
      <x:c r="BJ797" s="121"/>
    </x:row>
    <x:row r="798" ht="15.75" customHeight="1">
      <x:c r="N798" s="120"/>
      <x:c r="P798" s="120"/>
      <x:c r="Q798" s="121"/>
      <x:c r="S798" s="120"/>
      <x:c r="U798" s="120"/>
      <x:c r="V798" s="121"/>
      <x:c r="W798" s="122"/>
      <x:c r="X798" s="120"/>
      <x:c r="Y798" s="122"/>
      <x:c r="Z798" s="120"/>
      <x:c r="AA798" s="121"/>
      <x:c r="AB798" s="122"/>
      <x:c r="AC798" s="120"/>
      <x:c r="AD798" s="122"/>
      <x:c r="AE798" s="120"/>
      <x:c r="AF798" s="121"/>
      <x:c r="AG798" s="122"/>
      <x:c r="AH798" s="120"/>
      <x:c r="AI798" s="122"/>
      <x:c r="AJ798" s="120"/>
      <x:c r="AK798" s="121"/>
      <x:c r="AL798" s="122"/>
      <x:c r="AM798" s="120"/>
      <x:c r="AN798" s="122"/>
      <x:c r="AO798" s="120"/>
      <x:c r="AP798" s="121"/>
      <x:c r="AQ798" s="122"/>
      <x:c r="AR798" s="120"/>
      <x:c r="AS798" s="122"/>
      <x:c r="AT798" s="120"/>
      <x:c r="AU798" s="121"/>
      <x:c r="AV798" s="122"/>
      <x:c r="AW798" s="120"/>
      <x:c r="AX798" s="122"/>
      <x:c r="AY798" s="120"/>
      <x:c r="AZ798" s="121"/>
      <x:c r="BA798" s="122"/>
      <x:c r="BB798" s="120"/>
      <x:c r="BC798" s="122"/>
      <x:c r="BD798" s="120"/>
      <x:c r="BE798" s="121"/>
      <x:c r="BF798" s="122"/>
      <x:c r="BG798" s="120"/>
      <x:c r="BH798" s="122"/>
      <x:c r="BI798" s="120"/>
      <x:c r="BJ798" s="121"/>
    </x:row>
    <x:row r="799" ht="15.75" customHeight="1">
      <x:c r="N799" s="120"/>
      <x:c r="P799" s="120"/>
      <x:c r="Q799" s="121"/>
      <x:c r="S799" s="120"/>
      <x:c r="U799" s="120"/>
      <x:c r="V799" s="121"/>
      <x:c r="W799" s="122"/>
      <x:c r="X799" s="120"/>
      <x:c r="Y799" s="122"/>
      <x:c r="Z799" s="120"/>
      <x:c r="AA799" s="121"/>
      <x:c r="AB799" s="122"/>
      <x:c r="AC799" s="120"/>
      <x:c r="AD799" s="122"/>
      <x:c r="AE799" s="120"/>
      <x:c r="AF799" s="121"/>
      <x:c r="AG799" s="122"/>
      <x:c r="AH799" s="120"/>
      <x:c r="AI799" s="122"/>
      <x:c r="AJ799" s="120"/>
      <x:c r="AK799" s="121"/>
      <x:c r="AL799" s="122"/>
      <x:c r="AM799" s="120"/>
      <x:c r="AN799" s="122"/>
      <x:c r="AO799" s="120"/>
      <x:c r="AP799" s="121"/>
      <x:c r="AQ799" s="122"/>
      <x:c r="AR799" s="120"/>
      <x:c r="AS799" s="122"/>
      <x:c r="AT799" s="120"/>
      <x:c r="AU799" s="121"/>
      <x:c r="AV799" s="122"/>
      <x:c r="AW799" s="120"/>
      <x:c r="AX799" s="122"/>
      <x:c r="AY799" s="120"/>
      <x:c r="AZ799" s="121"/>
      <x:c r="BA799" s="122"/>
      <x:c r="BB799" s="120"/>
      <x:c r="BC799" s="122"/>
      <x:c r="BD799" s="120"/>
      <x:c r="BE799" s="121"/>
      <x:c r="BF799" s="122"/>
      <x:c r="BG799" s="120"/>
      <x:c r="BH799" s="122"/>
      <x:c r="BI799" s="120"/>
      <x:c r="BJ799" s="121"/>
    </x:row>
    <x:row r="800" ht="15.75" customHeight="1">
      <x:c r="N800" s="120"/>
      <x:c r="P800" s="120"/>
      <x:c r="Q800" s="121"/>
      <x:c r="S800" s="120"/>
      <x:c r="U800" s="120"/>
      <x:c r="V800" s="121"/>
      <x:c r="W800" s="122"/>
      <x:c r="X800" s="120"/>
      <x:c r="Y800" s="122"/>
      <x:c r="Z800" s="120"/>
      <x:c r="AA800" s="121"/>
      <x:c r="AB800" s="122"/>
      <x:c r="AC800" s="120"/>
      <x:c r="AD800" s="122"/>
      <x:c r="AE800" s="120"/>
      <x:c r="AF800" s="121"/>
      <x:c r="AG800" s="122"/>
      <x:c r="AH800" s="120"/>
      <x:c r="AI800" s="122"/>
      <x:c r="AJ800" s="120"/>
      <x:c r="AK800" s="121"/>
      <x:c r="AL800" s="122"/>
      <x:c r="AM800" s="120"/>
      <x:c r="AN800" s="122"/>
      <x:c r="AO800" s="120"/>
      <x:c r="AP800" s="121"/>
      <x:c r="AQ800" s="122"/>
      <x:c r="AR800" s="120"/>
      <x:c r="AS800" s="122"/>
      <x:c r="AT800" s="120"/>
      <x:c r="AU800" s="121"/>
      <x:c r="AV800" s="122"/>
      <x:c r="AW800" s="120"/>
      <x:c r="AX800" s="122"/>
      <x:c r="AY800" s="120"/>
      <x:c r="AZ800" s="121"/>
      <x:c r="BA800" s="122"/>
      <x:c r="BB800" s="120"/>
      <x:c r="BC800" s="122"/>
      <x:c r="BD800" s="120"/>
      <x:c r="BE800" s="121"/>
      <x:c r="BF800" s="122"/>
      <x:c r="BG800" s="120"/>
      <x:c r="BH800" s="122"/>
      <x:c r="BI800" s="120"/>
      <x:c r="BJ800" s="121"/>
    </x:row>
    <x:row r="801" ht="15.75" customHeight="1">
      <x:c r="N801" s="120"/>
      <x:c r="P801" s="120"/>
      <x:c r="Q801" s="121"/>
      <x:c r="S801" s="120"/>
      <x:c r="U801" s="120"/>
      <x:c r="V801" s="121"/>
      <x:c r="W801" s="122"/>
      <x:c r="X801" s="120"/>
      <x:c r="Y801" s="122"/>
      <x:c r="Z801" s="120"/>
      <x:c r="AA801" s="121"/>
      <x:c r="AB801" s="122"/>
      <x:c r="AC801" s="120"/>
      <x:c r="AD801" s="122"/>
      <x:c r="AE801" s="120"/>
      <x:c r="AF801" s="121"/>
      <x:c r="AG801" s="122"/>
      <x:c r="AH801" s="120"/>
      <x:c r="AI801" s="122"/>
      <x:c r="AJ801" s="120"/>
      <x:c r="AK801" s="121"/>
      <x:c r="AL801" s="122"/>
      <x:c r="AM801" s="120"/>
      <x:c r="AN801" s="122"/>
      <x:c r="AO801" s="120"/>
      <x:c r="AP801" s="121"/>
      <x:c r="AQ801" s="122"/>
      <x:c r="AR801" s="120"/>
      <x:c r="AS801" s="122"/>
      <x:c r="AT801" s="120"/>
      <x:c r="AU801" s="121"/>
      <x:c r="AV801" s="122"/>
      <x:c r="AW801" s="120"/>
      <x:c r="AX801" s="122"/>
      <x:c r="AY801" s="120"/>
      <x:c r="AZ801" s="121"/>
      <x:c r="BA801" s="122"/>
      <x:c r="BB801" s="120"/>
      <x:c r="BC801" s="122"/>
      <x:c r="BD801" s="120"/>
      <x:c r="BE801" s="121"/>
      <x:c r="BF801" s="122"/>
      <x:c r="BG801" s="120"/>
      <x:c r="BH801" s="122"/>
      <x:c r="BI801" s="120"/>
      <x:c r="BJ801" s="121"/>
    </x:row>
    <x:row r="802" ht="15.75" customHeight="1">
      <x:c r="N802" s="120"/>
      <x:c r="P802" s="120"/>
      <x:c r="Q802" s="121"/>
      <x:c r="S802" s="120"/>
      <x:c r="U802" s="120"/>
      <x:c r="V802" s="121"/>
      <x:c r="W802" s="122"/>
      <x:c r="X802" s="120"/>
      <x:c r="Y802" s="122"/>
      <x:c r="Z802" s="120"/>
      <x:c r="AA802" s="121"/>
      <x:c r="AB802" s="122"/>
      <x:c r="AC802" s="120"/>
      <x:c r="AD802" s="122"/>
      <x:c r="AE802" s="120"/>
      <x:c r="AF802" s="121"/>
      <x:c r="AG802" s="122"/>
      <x:c r="AH802" s="120"/>
      <x:c r="AI802" s="122"/>
      <x:c r="AJ802" s="120"/>
      <x:c r="AK802" s="121"/>
      <x:c r="AL802" s="122"/>
      <x:c r="AM802" s="120"/>
      <x:c r="AN802" s="122"/>
      <x:c r="AO802" s="120"/>
      <x:c r="AP802" s="121"/>
      <x:c r="AQ802" s="122"/>
      <x:c r="AR802" s="120"/>
      <x:c r="AS802" s="122"/>
      <x:c r="AT802" s="120"/>
      <x:c r="AU802" s="121"/>
      <x:c r="AV802" s="122"/>
      <x:c r="AW802" s="120"/>
      <x:c r="AX802" s="122"/>
      <x:c r="AY802" s="120"/>
      <x:c r="AZ802" s="121"/>
      <x:c r="BA802" s="122"/>
      <x:c r="BB802" s="120"/>
      <x:c r="BC802" s="122"/>
      <x:c r="BD802" s="120"/>
      <x:c r="BE802" s="121"/>
      <x:c r="BF802" s="122"/>
      <x:c r="BG802" s="120"/>
      <x:c r="BH802" s="122"/>
      <x:c r="BI802" s="120"/>
      <x:c r="BJ802" s="121"/>
    </x:row>
    <x:row r="803" ht="15.75" customHeight="1">
      <x:c r="N803" s="120"/>
      <x:c r="P803" s="120"/>
      <x:c r="Q803" s="121"/>
      <x:c r="S803" s="120"/>
      <x:c r="U803" s="120"/>
      <x:c r="V803" s="121"/>
      <x:c r="W803" s="122"/>
      <x:c r="X803" s="120"/>
      <x:c r="Y803" s="122"/>
      <x:c r="Z803" s="120"/>
      <x:c r="AA803" s="121"/>
      <x:c r="AB803" s="122"/>
      <x:c r="AC803" s="120"/>
      <x:c r="AD803" s="122"/>
      <x:c r="AE803" s="120"/>
      <x:c r="AF803" s="121"/>
      <x:c r="AG803" s="122"/>
      <x:c r="AH803" s="120"/>
      <x:c r="AI803" s="122"/>
      <x:c r="AJ803" s="120"/>
      <x:c r="AK803" s="121"/>
      <x:c r="AL803" s="122"/>
      <x:c r="AM803" s="120"/>
      <x:c r="AN803" s="122"/>
      <x:c r="AO803" s="120"/>
      <x:c r="AP803" s="121"/>
      <x:c r="AQ803" s="122"/>
      <x:c r="AR803" s="120"/>
      <x:c r="AS803" s="122"/>
      <x:c r="AT803" s="120"/>
      <x:c r="AU803" s="121"/>
      <x:c r="AV803" s="122"/>
      <x:c r="AW803" s="120"/>
      <x:c r="AX803" s="122"/>
      <x:c r="AY803" s="120"/>
      <x:c r="AZ803" s="121"/>
      <x:c r="BA803" s="122"/>
      <x:c r="BB803" s="120"/>
      <x:c r="BC803" s="122"/>
      <x:c r="BD803" s="120"/>
      <x:c r="BE803" s="121"/>
      <x:c r="BF803" s="122"/>
      <x:c r="BG803" s="120"/>
      <x:c r="BH803" s="122"/>
      <x:c r="BI803" s="120"/>
      <x:c r="BJ803" s="121"/>
    </x:row>
    <x:row r="804" ht="15.75" customHeight="1">
      <x:c r="N804" s="120"/>
      <x:c r="P804" s="120"/>
      <x:c r="Q804" s="121"/>
      <x:c r="S804" s="120"/>
      <x:c r="U804" s="120"/>
      <x:c r="V804" s="121"/>
      <x:c r="W804" s="122"/>
      <x:c r="X804" s="120"/>
      <x:c r="Y804" s="122"/>
      <x:c r="Z804" s="120"/>
      <x:c r="AA804" s="121"/>
      <x:c r="AB804" s="122"/>
      <x:c r="AC804" s="120"/>
      <x:c r="AD804" s="122"/>
      <x:c r="AE804" s="120"/>
      <x:c r="AF804" s="121"/>
      <x:c r="AG804" s="122"/>
      <x:c r="AH804" s="120"/>
      <x:c r="AI804" s="122"/>
      <x:c r="AJ804" s="120"/>
      <x:c r="AK804" s="121"/>
      <x:c r="AL804" s="122"/>
      <x:c r="AM804" s="120"/>
      <x:c r="AN804" s="122"/>
      <x:c r="AO804" s="120"/>
      <x:c r="AP804" s="121"/>
      <x:c r="AQ804" s="122"/>
      <x:c r="AR804" s="120"/>
      <x:c r="AS804" s="122"/>
      <x:c r="AT804" s="120"/>
      <x:c r="AU804" s="121"/>
      <x:c r="AV804" s="122"/>
      <x:c r="AW804" s="120"/>
      <x:c r="AX804" s="122"/>
      <x:c r="AY804" s="120"/>
      <x:c r="AZ804" s="121"/>
      <x:c r="BA804" s="122"/>
      <x:c r="BB804" s="120"/>
      <x:c r="BC804" s="122"/>
      <x:c r="BD804" s="120"/>
      <x:c r="BE804" s="121"/>
      <x:c r="BF804" s="122"/>
      <x:c r="BG804" s="120"/>
      <x:c r="BH804" s="122"/>
      <x:c r="BI804" s="120"/>
      <x:c r="BJ804" s="121"/>
    </x:row>
    <x:row r="805" ht="15.75" customHeight="1">
      <x:c r="N805" s="120"/>
      <x:c r="P805" s="120"/>
      <x:c r="Q805" s="121"/>
      <x:c r="S805" s="120"/>
      <x:c r="U805" s="120"/>
      <x:c r="V805" s="121"/>
      <x:c r="W805" s="122"/>
      <x:c r="X805" s="120"/>
      <x:c r="Y805" s="122"/>
      <x:c r="Z805" s="120"/>
      <x:c r="AA805" s="121"/>
      <x:c r="AB805" s="122"/>
      <x:c r="AC805" s="120"/>
      <x:c r="AD805" s="122"/>
      <x:c r="AE805" s="120"/>
      <x:c r="AF805" s="121"/>
      <x:c r="AG805" s="122"/>
      <x:c r="AH805" s="120"/>
      <x:c r="AI805" s="122"/>
      <x:c r="AJ805" s="120"/>
      <x:c r="AK805" s="121"/>
      <x:c r="AL805" s="122"/>
      <x:c r="AM805" s="120"/>
      <x:c r="AN805" s="122"/>
      <x:c r="AO805" s="120"/>
      <x:c r="AP805" s="121"/>
      <x:c r="AQ805" s="122"/>
      <x:c r="AR805" s="120"/>
      <x:c r="AS805" s="122"/>
      <x:c r="AT805" s="120"/>
      <x:c r="AU805" s="121"/>
      <x:c r="AV805" s="122"/>
      <x:c r="AW805" s="120"/>
      <x:c r="AX805" s="122"/>
      <x:c r="AY805" s="120"/>
      <x:c r="AZ805" s="121"/>
      <x:c r="BA805" s="122"/>
      <x:c r="BB805" s="120"/>
      <x:c r="BC805" s="122"/>
      <x:c r="BD805" s="120"/>
      <x:c r="BE805" s="121"/>
      <x:c r="BF805" s="122"/>
      <x:c r="BG805" s="120"/>
      <x:c r="BH805" s="122"/>
      <x:c r="BI805" s="120"/>
      <x:c r="BJ805" s="121"/>
    </x:row>
    <x:row r="806" ht="15.75" customHeight="1">
      <x:c r="N806" s="120"/>
      <x:c r="P806" s="120"/>
      <x:c r="Q806" s="121"/>
      <x:c r="S806" s="120"/>
      <x:c r="U806" s="120"/>
      <x:c r="V806" s="121"/>
      <x:c r="W806" s="122"/>
      <x:c r="X806" s="120"/>
      <x:c r="Y806" s="122"/>
      <x:c r="Z806" s="120"/>
      <x:c r="AA806" s="121"/>
      <x:c r="AB806" s="122"/>
      <x:c r="AC806" s="120"/>
      <x:c r="AD806" s="122"/>
      <x:c r="AE806" s="120"/>
      <x:c r="AF806" s="121"/>
      <x:c r="AG806" s="122"/>
      <x:c r="AH806" s="120"/>
      <x:c r="AI806" s="122"/>
      <x:c r="AJ806" s="120"/>
      <x:c r="AK806" s="121"/>
      <x:c r="AL806" s="122"/>
      <x:c r="AM806" s="120"/>
      <x:c r="AN806" s="122"/>
      <x:c r="AO806" s="120"/>
      <x:c r="AP806" s="121"/>
      <x:c r="AQ806" s="122"/>
      <x:c r="AR806" s="120"/>
      <x:c r="AS806" s="122"/>
      <x:c r="AT806" s="120"/>
      <x:c r="AU806" s="121"/>
      <x:c r="AV806" s="122"/>
      <x:c r="AW806" s="120"/>
      <x:c r="AX806" s="122"/>
      <x:c r="AY806" s="120"/>
      <x:c r="AZ806" s="121"/>
      <x:c r="BA806" s="122"/>
      <x:c r="BB806" s="120"/>
      <x:c r="BC806" s="122"/>
      <x:c r="BD806" s="120"/>
      <x:c r="BE806" s="121"/>
      <x:c r="BF806" s="122"/>
      <x:c r="BG806" s="120"/>
      <x:c r="BH806" s="122"/>
      <x:c r="BI806" s="120"/>
      <x:c r="BJ806" s="121"/>
    </x:row>
    <x:row r="807" ht="15.75" customHeight="1">
      <x:c r="N807" s="120"/>
      <x:c r="P807" s="120"/>
      <x:c r="Q807" s="121"/>
      <x:c r="S807" s="120"/>
      <x:c r="U807" s="120"/>
      <x:c r="V807" s="121"/>
      <x:c r="W807" s="122"/>
      <x:c r="X807" s="120"/>
      <x:c r="Y807" s="122"/>
      <x:c r="Z807" s="120"/>
      <x:c r="AA807" s="121"/>
      <x:c r="AB807" s="122"/>
      <x:c r="AC807" s="120"/>
      <x:c r="AD807" s="122"/>
      <x:c r="AE807" s="120"/>
      <x:c r="AF807" s="121"/>
      <x:c r="AG807" s="122"/>
      <x:c r="AH807" s="120"/>
      <x:c r="AI807" s="122"/>
      <x:c r="AJ807" s="120"/>
      <x:c r="AK807" s="121"/>
      <x:c r="AL807" s="122"/>
      <x:c r="AM807" s="120"/>
      <x:c r="AN807" s="122"/>
      <x:c r="AO807" s="120"/>
      <x:c r="AP807" s="121"/>
      <x:c r="AQ807" s="122"/>
      <x:c r="AR807" s="120"/>
      <x:c r="AS807" s="122"/>
      <x:c r="AT807" s="120"/>
      <x:c r="AU807" s="121"/>
      <x:c r="AV807" s="122"/>
      <x:c r="AW807" s="120"/>
      <x:c r="AX807" s="122"/>
      <x:c r="AY807" s="120"/>
      <x:c r="AZ807" s="121"/>
      <x:c r="BA807" s="122"/>
      <x:c r="BB807" s="120"/>
      <x:c r="BC807" s="122"/>
      <x:c r="BD807" s="120"/>
      <x:c r="BE807" s="121"/>
      <x:c r="BF807" s="122"/>
      <x:c r="BG807" s="120"/>
      <x:c r="BH807" s="122"/>
      <x:c r="BI807" s="120"/>
      <x:c r="BJ807" s="121"/>
    </x:row>
    <x:row r="808" ht="15.75" customHeight="1">
      <x:c r="N808" s="120"/>
      <x:c r="P808" s="120"/>
      <x:c r="Q808" s="121"/>
      <x:c r="S808" s="120"/>
      <x:c r="U808" s="120"/>
      <x:c r="V808" s="121"/>
      <x:c r="W808" s="122"/>
      <x:c r="X808" s="120"/>
      <x:c r="Y808" s="122"/>
      <x:c r="Z808" s="120"/>
      <x:c r="AA808" s="121"/>
      <x:c r="AB808" s="122"/>
      <x:c r="AC808" s="120"/>
      <x:c r="AD808" s="122"/>
      <x:c r="AE808" s="120"/>
      <x:c r="AF808" s="121"/>
      <x:c r="AG808" s="122"/>
      <x:c r="AH808" s="120"/>
      <x:c r="AI808" s="122"/>
      <x:c r="AJ808" s="120"/>
      <x:c r="AK808" s="121"/>
      <x:c r="AL808" s="122"/>
      <x:c r="AM808" s="120"/>
      <x:c r="AN808" s="122"/>
      <x:c r="AO808" s="120"/>
      <x:c r="AP808" s="121"/>
      <x:c r="AQ808" s="122"/>
      <x:c r="AR808" s="120"/>
      <x:c r="AS808" s="122"/>
      <x:c r="AT808" s="120"/>
      <x:c r="AU808" s="121"/>
      <x:c r="AV808" s="122"/>
      <x:c r="AW808" s="120"/>
      <x:c r="AX808" s="122"/>
      <x:c r="AY808" s="120"/>
      <x:c r="AZ808" s="121"/>
      <x:c r="BA808" s="122"/>
      <x:c r="BB808" s="120"/>
      <x:c r="BC808" s="122"/>
      <x:c r="BD808" s="120"/>
      <x:c r="BE808" s="121"/>
      <x:c r="BF808" s="122"/>
      <x:c r="BG808" s="120"/>
      <x:c r="BH808" s="122"/>
      <x:c r="BI808" s="120"/>
      <x:c r="BJ808" s="121"/>
    </x:row>
    <x:row r="809" ht="15.75" customHeight="1">
      <x:c r="N809" s="120"/>
      <x:c r="P809" s="120"/>
      <x:c r="Q809" s="121"/>
      <x:c r="S809" s="120"/>
      <x:c r="U809" s="120"/>
      <x:c r="V809" s="121"/>
      <x:c r="W809" s="122"/>
      <x:c r="X809" s="120"/>
      <x:c r="Y809" s="122"/>
      <x:c r="Z809" s="120"/>
      <x:c r="AA809" s="121"/>
      <x:c r="AB809" s="122"/>
      <x:c r="AC809" s="120"/>
      <x:c r="AD809" s="122"/>
      <x:c r="AE809" s="120"/>
      <x:c r="AF809" s="121"/>
      <x:c r="AG809" s="122"/>
      <x:c r="AH809" s="120"/>
      <x:c r="AI809" s="122"/>
      <x:c r="AJ809" s="120"/>
      <x:c r="AK809" s="121"/>
      <x:c r="AL809" s="122"/>
      <x:c r="AM809" s="120"/>
      <x:c r="AN809" s="122"/>
      <x:c r="AO809" s="120"/>
      <x:c r="AP809" s="121"/>
      <x:c r="AQ809" s="122"/>
      <x:c r="AR809" s="120"/>
      <x:c r="AS809" s="122"/>
      <x:c r="AT809" s="120"/>
      <x:c r="AU809" s="121"/>
      <x:c r="AV809" s="122"/>
      <x:c r="AW809" s="120"/>
      <x:c r="AX809" s="122"/>
      <x:c r="AY809" s="120"/>
      <x:c r="AZ809" s="121"/>
      <x:c r="BA809" s="122"/>
      <x:c r="BB809" s="120"/>
      <x:c r="BC809" s="122"/>
      <x:c r="BD809" s="120"/>
      <x:c r="BE809" s="121"/>
      <x:c r="BF809" s="122"/>
      <x:c r="BG809" s="120"/>
      <x:c r="BH809" s="122"/>
      <x:c r="BI809" s="120"/>
      <x:c r="BJ809" s="121"/>
    </x:row>
    <x:row r="810" ht="15.75" customHeight="1">
      <x:c r="N810" s="120"/>
      <x:c r="P810" s="120"/>
      <x:c r="Q810" s="121"/>
      <x:c r="S810" s="120"/>
      <x:c r="U810" s="120"/>
      <x:c r="V810" s="121"/>
      <x:c r="W810" s="122"/>
      <x:c r="X810" s="120"/>
      <x:c r="Y810" s="122"/>
      <x:c r="Z810" s="120"/>
      <x:c r="AA810" s="121"/>
      <x:c r="AB810" s="122"/>
      <x:c r="AC810" s="120"/>
      <x:c r="AD810" s="122"/>
      <x:c r="AE810" s="120"/>
      <x:c r="AF810" s="121"/>
      <x:c r="AG810" s="122"/>
      <x:c r="AH810" s="120"/>
      <x:c r="AI810" s="122"/>
      <x:c r="AJ810" s="120"/>
      <x:c r="AK810" s="121"/>
      <x:c r="AL810" s="122"/>
      <x:c r="AM810" s="120"/>
      <x:c r="AN810" s="122"/>
      <x:c r="AO810" s="120"/>
      <x:c r="AP810" s="121"/>
      <x:c r="AQ810" s="122"/>
      <x:c r="AR810" s="120"/>
      <x:c r="AS810" s="122"/>
      <x:c r="AT810" s="120"/>
      <x:c r="AU810" s="121"/>
      <x:c r="AV810" s="122"/>
      <x:c r="AW810" s="120"/>
      <x:c r="AX810" s="122"/>
      <x:c r="AY810" s="120"/>
      <x:c r="AZ810" s="121"/>
      <x:c r="BA810" s="122"/>
      <x:c r="BB810" s="120"/>
      <x:c r="BC810" s="122"/>
      <x:c r="BD810" s="120"/>
      <x:c r="BE810" s="121"/>
      <x:c r="BF810" s="122"/>
      <x:c r="BG810" s="120"/>
      <x:c r="BH810" s="122"/>
      <x:c r="BI810" s="120"/>
      <x:c r="BJ810" s="121"/>
    </x:row>
    <x:row r="811" ht="15.75" customHeight="1">
      <x:c r="N811" s="120"/>
      <x:c r="P811" s="120"/>
      <x:c r="Q811" s="121"/>
      <x:c r="S811" s="120"/>
      <x:c r="U811" s="120"/>
      <x:c r="V811" s="121"/>
      <x:c r="W811" s="122"/>
      <x:c r="X811" s="120"/>
      <x:c r="Y811" s="122"/>
      <x:c r="Z811" s="120"/>
      <x:c r="AA811" s="121"/>
      <x:c r="AB811" s="122"/>
      <x:c r="AC811" s="120"/>
      <x:c r="AD811" s="122"/>
      <x:c r="AE811" s="120"/>
      <x:c r="AF811" s="121"/>
      <x:c r="AG811" s="122"/>
      <x:c r="AH811" s="120"/>
      <x:c r="AI811" s="122"/>
      <x:c r="AJ811" s="120"/>
      <x:c r="AK811" s="121"/>
      <x:c r="AL811" s="122"/>
      <x:c r="AM811" s="120"/>
      <x:c r="AN811" s="122"/>
      <x:c r="AO811" s="120"/>
      <x:c r="AP811" s="121"/>
      <x:c r="AQ811" s="122"/>
      <x:c r="AR811" s="120"/>
      <x:c r="AS811" s="122"/>
      <x:c r="AT811" s="120"/>
      <x:c r="AU811" s="121"/>
      <x:c r="AV811" s="122"/>
      <x:c r="AW811" s="120"/>
      <x:c r="AX811" s="122"/>
      <x:c r="AY811" s="120"/>
      <x:c r="AZ811" s="121"/>
      <x:c r="BA811" s="122"/>
      <x:c r="BB811" s="120"/>
      <x:c r="BC811" s="122"/>
      <x:c r="BD811" s="120"/>
      <x:c r="BE811" s="121"/>
      <x:c r="BF811" s="122"/>
      <x:c r="BG811" s="120"/>
      <x:c r="BH811" s="122"/>
      <x:c r="BI811" s="120"/>
      <x:c r="BJ811" s="121"/>
    </x:row>
    <x:row r="812" ht="15.75" customHeight="1">
      <x:c r="N812" s="120"/>
      <x:c r="P812" s="120"/>
      <x:c r="Q812" s="121"/>
      <x:c r="S812" s="120"/>
      <x:c r="U812" s="120"/>
      <x:c r="V812" s="121"/>
      <x:c r="W812" s="122"/>
      <x:c r="X812" s="120"/>
      <x:c r="Y812" s="122"/>
      <x:c r="Z812" s="120"/>
      <x:c r="AA812" s="121"/>
      <x:c r="AB812" s="122"/>
      <x:c r="AC812" s="120"/>
      <x:c r="AD812" s="122"/>
      <x:c r="AE812" s="120"/>
      <x:c r="AF812" s="121"/>
      <x:c r="AG812" s="122"/>
      <x:c r="AH812" s="120"/>
      <x:c r="AI812" s="122"/>
      <x:c r="AJ812" s="120"/>
      <x:c r="AK812" s="121"/>
      <x:c r="AL812" s="122"/>
      <x:c r="AM812" s="120"/>
      <x:c r="AN812" s="122"/>
      <x:c r="AO812" s="120"/>
      <x:c r="AP812" s="121"/>
      <x:c r="AQ812" s="122"/>
      <x:c r="AR812" s="120"/>
      <x:c r="AS812" s="122"/>
      <x:c r="AT812" s="120"/>
      <x:c r="AU812" s="121"/>
      <x:c r="AV812" s="122"/>
      <x:c r="AW812" s="120"/>
      <x:c r="AX812" s="122"/>
      <x:c r="AY812" s="120"/>
      <x:c r="AZ812" s="121"/>
      <x:c r="BA812" s="122"/>
      <x:c r="BB812" s="120"/>
      <x:c r="BC812" s="122"/>
      <x:c r="BD812" s="120"/>
      <x:c r="BE812" s="121"/>
      <x:c r="BF812" s="122"/>
      <x:c r="BG812" s="120"/>
      <x:c r="BH812" s="122"/>
      <x:c r="BI812" s="120"/>
      <x:c r="BJ812" s="121"/>
    </x:row>
    <x:row r="813" ht="15.75" customHeight="1">
      <x:c r="N813" s="120"/>
      <x:c r="P813" s="120"/>
      <x:c r="Q813" s="121"/>
      <x:c r="S813" s="120"/>
      <x:c r="U813" s="120"/>
      <x:c r="V813" s="121"/>
      <x:c r="W813" s="122"/>
      <x:c r="X813" s="120"/>
      <x:c r="Y813" s="122"/>
      <x:c r="Z813" s="120"/>
      <x:c r="AA813" s="121"/>
      <x:c r="AB813" s="122"/>
      <x:c r="AC813" s="120"/>
      <x:c r="AD813" s="122"/>
      <x:c r="AE813" s="120"/>
      <x:c r="AF813" s="121"/>
      <x:c r="AG813" s="122"/>
      <x:c r="AH813" s="120"/>
      <x:c r="AI813" s="122"/>
      <x:c r="AJ813" s="120"/>
      <x:c r="AK813" s="121"/>
      <x:c r="AL813" s="122"/>
      <x:c r="AM813" s="120"/>
      <x:c r="AN813" s="122"/>
      <x:c r="AO813" s="120"/>
      <x:c r="AP813" s="121"/>
      <x:c r="AQ813" s="122"/>
      <x:c r="AR813" s="120"/>
      <x:c r="AS813" s="122"/>
      <x:c r="AT813" s="120"/>
      <x:c r="AU813" s="121"/>
      <x:c r="AV813" s="122"/>
      <x:c r="AW813" s="120"/>
      <x:c r="AX813" s="122"/>
      <x:c r="AY813" s="120"/>
      <x:c r="AZ813" s="121"/>
      <x:c r="BA813" s="122"/>
      <x:c r="BB813" s="120"/>
      <x:c r="BC813" s="122"/>
      <x:c r="BD813" s="120"/>
      <x:c r="BE813" s="121"/>
      <x:c r="BF813" s="122"/>
      <x:c r="BG813" s="120"/>
      <x:c r="BH813" s="122"/>
      <x:c r="BI813" s="120"/>
      <x:c r="BJ813" s="121"/>
    </x:row>
    <x:row r="814" ht="15.75" customHeight="1">
      <x:c r="N814" s="120"/>
      <x:c r="P814" s="120"/>
      <x:c r="Q814" s="121"/>
      <x:c r="S814" s="120"/>
      <x:c r="U814" s="120"/>
      <x:c r="V814" s="121"/>
      <x:c r="W814" s="122"/>
      <x:c r="X814" s="120"/>
      <x:c r="Y814" s="122"/>
      <x:c r="Z814" s="120"/>
      <x:c r="AA814" s="121"/>
      <x:c r="AB814" s="122"/>
      <x:c r="AC814" s="120"/>
      <x:c r="AD814" s="122"/>
      <x:c r="AE814" s="120"/>
      <x:c r="AF814" s="121"/>
      <x:c r="AG814" s="122"/>
      <x:c r="AH814" s="120"/>
      <x:c r="AI814" s="122"/>
      <x:c r="AJ814" s="120"/>
      <x:c r="AK814" s="121"/>
      <x:c r="AL814" s="122"/>
      <x:c r="AM814" s="120"/>
      <x:c r="AN814" s="122"/>
      <x:c r="AO814" s="120"/>
      <x:c r="AP814" s="121"/>
      <x:c r="AQ814" s="122"/>
      <x:c r="AR814" s="120"/>
      <x:c r="AS814" s="122"/>
      <x:c r="AT814" s="120"/>
      <x:c r="AU814" s="121"/>
      <x:c r="AV814" s="122"/>
      <x:c r="AW814" s="120"/>
      <x:c r="AX814" s="122"/>
      <x:c r="AY814" s="120"/>
      <x:c r="AZ814" s="121"/>
      <x:c r="BA814" s="122"/>
      <x:c r="BB814" s="120"/>
      <x:c r="BC814" s="122"/>
      <x:c r="BD814" s="120"/>
      <x:c r="BE814" s="121"/>
      <x:c r="BF814" s="122"/>
      <x:c r="BG814" s="120"/>
      <x:c r="BH814" s="122"/>
      <x:c r="BI814" s="120"/>
      <x:c r="BJ814" s="121"/>
    </x:row>
    <x:row r="815" ht="15.75" customHeight="1">
      <x:c r="N815" s="120"/>
      <x:c r="P815" s="120"/>
      <x:c r="Q815" s="121"/>
      <x:c r="S815" s="120"/>
      <x:c r="U815" s="120"/>
      <x:c r="V815" s="121"/>
      <x:c r="W815" s="122"/>
      <x:c r="X815" s="120"/>
      <x:c r="Y815" s="122"/>
      <x:c r="Z815" s="120"/>
      <x:c r="AA815" s="121"/>
      <x:c r="AB815" s="122"/>
      <x:c r="AC815" s="120"/>
      <x:c r="AD815" s="122"/>
      <x:c r="AE815" s="120"/>
      <x:c r="AF815" s="121"/>
      <x:c r="AG815" s="122"/>
      <x:c r="AH815" s="120"/>
      <x:c r="AI815" s="122"/>
      <x:c r="AJ815" s="120"/>
      <x:c r="AK815" s="121"/>
      <x:c r="AL815" s="122"/>
      <x:c r="AM815" s="120"/>
      <x:c r="AN815" s="122"/>
      <x:c r="AO815" s="120"/>
      <x:c r="AP815" s="121"/>
      <x:c r="AQ815" s="122"/>
      <x:c r="AR815" s="120"/>
      <x:c r="AS815" s="122"/>
      <x:c r="AT815" s="120"/>
      <x:c r="AU815" s="121"/>
      <x:c r="AV815" s="122"/>
      <x:c r="AW815" s="120"/>
      <x:c r="AX815" s="122"/>
      <x:c r="AY815" s="120"/>
      <x:c r="AZ815" s="121"/>
      <x:c r="BA815" s="122"/>
      <x:c r="BB815" s="120"/>
      <x:c r="BC815" s="122"/>
      <x:c r="BD815" s="120"/>
      <x:c r="BE815" s="121"/>
      <x:c r="BF815" s="122"/>
      <x:c r="BG815" s="120"/>
      <x:c r="BH815" s="122"/>
      <x:c r="BI815" s="120"/>
      <x:c r="BJ815" s="121"/>
    </x:row>
    <x:row r="816" ht="15.75" customHeight="1">
      <x:c r="N816" s="120"/>
      <x:c r="P816" s="120"/>
      <x:c r="Q816" s="121"/>
      <x:c r="S816" s="120"/>
      <x:c r="U816" s="120"/>
      <x:c r="V816" s="121"/>
      <x:c r="W816" s="122"/>
      <x:c r="X816" s="120"/>
      <x:c r="Y816" s="122"/>
      <x:c r="Z816" s="120"/>
      <x:c r="AA816" s="121"/>
      <x:c r="AB816" s="122"/>
      <x:c r="AC816" s="120"/>
      <x:c r="AD816" s="122"/>
      <x:c r="AE816" s="120"/>
      <x:c r="AF816" s="121"/>
      <x:c r="AG816" s="122"/>
      <x:c r="AH816" s="120"/>
      <x:c r="AI816" s="122"/>
      <x:c r="AJ816" s="120"/>
      <x:c r="AK816" s="121"/>
      <x:c r="AL816" s="122"/>
      <x:c r="AM816" s="120"/>
      <x:c r="AN816" s="122"/>
      <x:c r="AO816" s="120"/>
      <x:c r="AP816" s="121"/>
      <x:c r="AQ816" s="122"/>
      <x:c r="AR816" s="120"/>
      <x:c r="AS816" s="122"/>
      <x:c r="AT816" s="120"/>
      <x:c r="AU816" s="121"/>
      <x:c r="AV816" s="122"/>
      <x:c r="AW816" s="120"/>
      <x:c r="AX816" s="122"/>
      <x:c r="AY816" s="120"/>
      <x:c r="AZ816" s="121"/>
      <x:c r="BA816" s="122"/>
      <x:c r="BB816" s="120"/>
      <x:c r="BC816" s="122"/>
      <x:c r="BD816" s="120"/>
      <x:c r="BE816" s="121"/>
      <x:c r="BF816" s="122"/>
      <x:c r="BG816" s="120"/>
      <x:c r="BH816" s="122"/>
      <x:c r="BI816" s="120"/>
      <x:c r="BJ816" s="121"/>
    </x:row>
    <x:row r="817" ht="15.75" customHeight="1">
      <x:c r="N817" s="120"/>
      <x:c r="P817" s="120"/>
      <x:c r="Q817" s="121"/>
      <x:c r="S817" s="120"/>
      <x:c r="U817" s="120"/>
      <x:c r="V817" s="121"/>
      <x:c r="W817" s="122"/>
      <x:c r="X817" s="120"/>
      <x:c r="Y817" s="122"/>
      <x:c r="Z817" s="120"/>
      <x:c r="AA817" s="121"/>
      <x:c r="AB817" s="122"/>
      <x:c r="AC817" s="120"/>
      <x:c r="AD817" s="122"/>
      <x:c r="AE817" s="120"/>
      <x:c r="AF817" s="121"/>
      <x:c r="AG817" s="122"/>
      <x:c r="AH817" s="120"/>
      <x:c r="AI817" s="122"/>
      <x:c r="AJ817" s="120"/>
      <x:c r="AK817" s="121"/>
      <x:c r="AL817" s="122"/>
      <x:c r="AM817" s="120"/>
      <x:c r="AN817" s="122"/>
      <x:c r="AO817" s="120"/>
      <x:c r="AP817" s="121"/>
      <x:c r="AQ817" s="122"/>
      <x:c r="AR817" s="120"/>
      <x:c r="AS817" s="122"/>
      <x:c r="AT817" s="120"/>
      <x:c r="AU817" s="121"/>
      <x:c r="AV817" s="122"/>
      <x:c r="AW817" s="120"/>
      <x:c r="AX817" s="122"/>
      <x:c r="AY817" s="120"/>
      <x:c r="AZ817" s="121"/>
      <x:c r="BA817" s="122"/>
      <x:c r="BB817" s="120"/>
      <x:c r="BC817" s="122"/>
      <x:c r="BD817" s="120"/>
      <x:c r="BE817" s="121"/>
      <x:c r="BF817" s="122"/>
      <x:c r="BG817" s="120"/>
      <x:c r="BH817" s="122"/>
      <x:c r="BI817" s="120"/>
      <x:c r="BJ817" s="121"/>
    </x:row>
    <x:row r="818" ht="15.75" customHeight="1">
      <x:c r="N818" s="120"/>
      <x:c r="P818" s="120"/>
      <x:c r="Q818" s="121"/>
      <x:c r="S818" s="120"/>
      <x:c r="U818" s="120"/>
      <x:c r="V818" s="121"/>
      <x:c r="W818" s="122"/>
      <x:c r="X818" s="120"/>
      <x:c r="Y818" s="122"/>
      <x:c r="Z818" s="120"/>
      <x:c r="AA818" s="121"/>
      <x:c r="AB818" s="122"/>
      <x:c r="AC818" s="120"/>
      <x:c r="AD818" s="122"/>
      <x:c r="AE818" s="120"/>
      <x:c r="AF818" s="121"/>
      <x:c r="AG818" s="122"/>
      <x:c r="AH818" s="120"/>
      <x:c r="AI818" s="122"/>
      <x:c r="AJ818" s="120"/>
      <x:c r="AK818" s="121"/>
      <x:c r="AL818" s="122"/>
      <x:c r="AM818" s="120"/>
      <x:c r="AN818" s="122"/>
      <x:c r="AO818" s="120"/>
      <x:c r="AP818" s="121"/>
      <x:c r="AQ818" s="122"/>
      <x:c r="AR818" s="120"/>
      <x:c r="AS818" s="122"/>
      <x:c r="AT818" s="120"/>
      <x:c r="AU818" s="121"/>
      <x:c r="AV818" s="122"/>
      <x:c r="AW818" s="120"/>
      <x:c r="AX818" s="122"/>
      <x:c r="AY818" s="120"/>
      <x:c r="AZ818" s="121"/>
      <x:c r="BA818" s="122"/>
      <x:c r="BB818" s="120"/>
      <x:c r="BC818" s="122"/>
      <x:c r="BD818" s="120"/>
      <x:c r="BE818" s="121"/>
      <x:c r="BF818" s="122"/>
      <x:c r="BG818" s="120"/>
      <x:c r="BH818" s="122"/>
      <x:c r="BI818" s="120"/>
      <x:c r="BJ818" s="121"/>
    </x:row>
    <x:row r="819" ht="15.75" customHeight="1">
      <x:c r="N819" s="120"/>
      <x:c r="P819" s="120"/>
      <x:c r="Q819" s="121"/>
      <x:c r="S819" s="120"/>
      <x:c r="U819" s="120"/>
      <x:c r="V819" s="121"/>
      <x:c r="W819" s="122"/>
      <x:c r="X819" s="120"/>
      <x:c r="Y819" s="122"/>
      <x:c r="Z819" s="120"/>
      <x:c r="AA819" s="121"/>
      <x:c r="AB819" s="122"/>
      <x:c r="AC819" s="120"/>
      <x:c r="AD819" s="122"/>
      <x:c r="AE819" s="120"/>
      <x:c r="AF819" s="121"/>
      <x:c r="AG819" s="122"/>
      <x:c r="AH819" s="120"/>
      <x:c r="AI819" s="122"/>
      <x:c r="AJ819" s="120"/>
      <x:c r="AK819" s="121"/>
      <x:c r="AL819" s="122"/>
      <x:c r="AM819" s="120"/>
      <x:c r="AN819" s="122"/>
      <x:c r="AO819" s="120"/>
      <x:c r="AP819" s="121"/>
      <x:c r="AQ819" s="122"/>
      <x:c r="AR819" s="120"/>
      <x:c r="AS819" s="122"/>
      <x:c r="AT819" s="120"/>
      <x:c r="AU819" s="121"/>
      <x:c r="AV819" s="122"/>
      <x:c r="AW819" s="120"/>
      <x:c r="AX819" s="122"/>
      <x:c r="AY819" s="120"/>
      <x:c r="AZ819" s="121"/>
      <x:c r="BA819" s="122"/>
      <x:c r="BB819" s="120"/>
      <x:c r="BC819" s="122"/>
      <x:c r="BD819" s="120"/>
      <x:c r="BE819" s="121"/>
      <x:c r="BF819" s="122"/>
      <x:c r="BG819" s="120"/>
      <x:c r="BH819" s="122"/>
      <x:c r="BI819" s="120"/>
      <x:c r="BJ819" s="121"/>
    </x:row>
    <x:row r="820" ht="15.75" customHeight="1">
      <x:c r="N820" s="120"/>
      <x:c r="P820" s="120"/>
      <x:c r="Q820" s="121"/>
      <x:c r="S820" s="120"/>
      <x:c r="U820" s="120"/>
      <x:c r="V820" s="121"/>
      <x:c r="W820" s="122"/>
      <x:c r="X820" s="120"/>
      <x:c r="Y820" s="122"/>
      <x:c r="Z820" s="120"/>
      <x:c r="AA820" s="121"/>
      <x:c r="AB820" s="122"/>
      <x:c r="AC820" s="120"/>
      <x:c r="AD820" s="122"/>
      <x:c r="AE820" s="120"/>
      <x:c r="AF820" s="121"/>
      <x:c r="AG820" s="122"/>
      <x:c r="AH820" s="120"/>
      <x:c r="AI820" s="122"/>
      <x:c r="AJ820" s="120"/>
      <x:c r="AK820" s="121"/>
      <x:c r="AL820" s="122"/>
      <x:c r="AM820" s="120"/>
      <x:c r="AN820" s="122"/>
      <x:c r="AO820" s="120"/>
      <x:c r="AP820" s="121"/>
      <x:c r="AQ820" s="122"/>
      <x:c r="AR820" s="120"/>
      <x:c r="AS820" s="122"/>
      <x:c r="AT820" s="120"/>
      <x:c r="AU820" s="121"/>
      <x:c r="AV820" s="122"/>
      <x:c r="AW820" s="120"/>
      <x:c r="AX820" s="122"/>
      <x:c r="AY820" s="120"/>
      <x:c r="AZ820" s="121"/>
      <x:c r="BA820" s="122"/>
      <x:c r="BB820" s="120"/>
      <x:c r="BC820" s="122"/>
      <x:c r="BD820" s="120"/>
      <x:c r="BE820" s="121"/>
      <x:c r="BF820" s="122"/>
      <x:c r="BG820" s="120"/>
      <x:c r="BH820" s="122"/>
      <x:c r="BI820" s="120"/>
      <x:c r="BJ820" s="121"/>
    </x:row>
    <x:row r="821" ht="15.75" customHeight="1">
      <x:c r="N821" s="120"/>
      <x:c r="P821" s="120"/>
      <x:c r="Q821" s="121"/>
      <x:c r="S821" s="120"/>
      <x:c r="U821" s="120"/>
      <x:c r="V821" s="121"/>
      <x:c r="W821" s="122"/>
      <x:c r="X821" s="120"/>
      <x:c r="Y821" s="122"/>
      <x:c r="Z821" s="120"/>
      <x:c r="AA821" s="121"/>
      <x:c r="AB821" s="122"/>
      <x:c r="AC821" s="120"/>
      <x:c r="AD821" s="122"/>
      <x:c r="AE821" s="120"/>
      <x:c r="AF821" s="121"/>
      <x:c r="AG821" s="122"/>
      <x:c r="AH821" s="120"/>
      <x:c r="AI821" s="122"/>
      <x:c r="AJ821" s="120"/>
      <x:c r="AK821" s="121"/>
      <x:c r="AL821" s="122"/>
      <x:c r="AM821" s="120"/>
      <x:c r="AN821" s="122"/>
      <x:c r="AO821" s="120"/>
      <x:c r="AP821" s="121"/>
      <x:c r="AQ821" s="122"/>
      <x:c r="AR821" s="120"/>
      <x:c r="AS821" s="122"/>
      <x:c r="AT821" s="120"/>
      <x:c r="AU821" s="121"/>
      <x:c r="AV821" s="122"/>
      <x:c r="AW821" s="120"/>
      <x:c r="AX821" s="122"/>
      <x:c r="AY821" s="120"/>
      <x:c r="AZ821" s="121"/>
      <x:c r="BA821" s="122"/>
      <x:c r="BB821" s="120"/>
      <x:c r="BC821" s="122"/>
      <x:c r="BD821" s="120"/>
      <x:c r="BE821" s="121"/>
      <x:c r="BF821" s="122"/>
      <x:c r="BG821" s="120"/>
      <x:c r="BH821" s="122"/>
      <x:c r="BI821" s="120"/>
      <x:c r="BJ821" s="121"/>
    </x:row>
    <x:row r="822" ht="15.75" customHeight="1">
      <x:c r="N822" s="120"/>
      <x:c r="P822" s="120"/>
      <x:c r="Q822" s="121"/>
      <x:c r="S822" s="120"/>
      <x:c r="U822" s="120"/>
      <x:c r="V822" s="121"/>
      <x:c r="W822" s="122"/>
      <x:c r="X822" s="120"/>
      <x:c r="Y822" s="122"/>
      <x:c r="Z822" s="120"/>
      <x:c r="AA822" s="121"/>
      <x:c r="AB822" s="122"/>
      <x:c r="AC822" s="120"/>
      <x:c r="AD822" s="122"/>
      <x:c r="AE822" s="120"/>
      <x:c r="AF822" s="121"/>
      <x:c r="AG822" s="122"/>
      <x:c r="AH822" s="120"/>
      <x:c r="AI822" s="122"/>
      <x:c r="AJ822" s="120"/>
      <x:c r="AK822" s="121"/>
      <x:c r="AL822" s="122"/>
      <x:c r="AM822" s="120"/>
      <x:c r="AN822" s="122"/>
      <x:c r="AO822" s="120"/>
      <x:c r="AP822" s="121"/>
      <x:c r="AQ822" s="122"/>
      <x:c r="AR822" s="120"/>
      <x:c r="AS822" s="122"/>
      <x:c r="AT822" s="120"/>
      <x:c r="AU822" s="121"/>
      <x:c r="AV822" s="122"/>
      <x:c r="AW822" s="120"/>
      <x:c r="AX822" s="122"/>
      <x:c r="AY822" s="120"/>
      <x:c r="AZ822" s="121"/>
      <x:c r="BA822" s="122"/>
      <x:c r="BB822" s="120"/>
      <x:c r="BC822" s="122"/>
      <x:c r="BD822" s="120"/>
      <x:c r="BE822" s="121"/>
      <x:c r="BF822" s="122"/>
      <x:c r="BG822" s="120"/>
      <x:c r="BH822" s="122"/>
      <x:c r="BI822" s="120"/>
      <x:c r="BJ822" s="121"/>
    </x:row>
    <x:row r="823" ht="15.75" customHeight="1">
      <x:c r="N823" s="120"/>
      <x:c r="P823" s="120"/>
      <x:c r="Q823" s="121"/>
      <x:c r="S823" s="120"/>
      <x:c r="U823" s="120"/>
      <x:c r="V823" s="121"/>
      <x:c r="W823" s="122"/>
      <x:c r="X823" s="120"/>
      <x:c r="Y823" s="122"/>
      <x:c r="Z823" s="120"/>
      <x:c r="AA823" s="121"/>
      <x:c r="AB823" s="122"/>
      <x:c r="AC823" s="120"/>
      <x:c r="AD823" s="122"/>
      <x:c r="AE823" s="120"/>
      <x:c r="AF823" s="121"/>
      <x:c r="AG823" s="122"/>
      <x:c r="AH823" s="120"/>
      <x:c r="AI823" s="122"/>
      <x:c r="AJ823" s="120"/>
      <x:c r="AK823" s="121"/>
      <x:c r="AL823" s="122"/>
      <x:c r="AM823" s="120"/>
      <x:c r="AN823" s="122"/>
      <x:c r="AO823" s="120"/>
      <x:c r="AP823" s="121"/>
      <x:c r="AQ823" s="122"/>
      <x:c r="AR823" s="120"/>
      <x:c r="AS823" s="122"/>
      <x:c r="AT823" s="120"/>
      <x:c r="AU823" s="121"/>
      <x:c r="AV823" s="122"/>
      <x:c r="AW823" s="120"/>
      <x:c r="AX823" s="122"/>
      <x:c r="AY823" s="120"/>
      <x:c r="AZ823" s="121"/>
      <x:c r="BA823" s="122"/>
      <x:c r="BB823" s="120"/>
      <x:c r="BC823" s="122"/>
      <x:c r="BD823" s="120"/>
      <x:c r="BE823" s="121"/>
      <x:c r="BF823" s="122"/>
      <x:c r="BG823" s="120"/>
      <x:c r="BH823" s="122"/>
      <x:c r="BI823" s="120"/>
      <x:c r="BJ823" s="121"/>
    </x:row>
    <x:row r="824" ht="15.75" customHeight="1">
      <x:c r="N824" s="120"/>
      <x:c r="P824" s="120"/>
      <x:c r="Q824" s="121"/>
      <x:c r="S824" s="120"/>
      <x:c r="U824" s="120"/>
      <x:c r="V824" s="121"/>
      <x:c r="W824" s="122"/>
      <x:c r="X824" s="120"/>
      <x:c r="Y824" s="122"/>
      <x:c r="Z824" s="120"/>
      <x:c r="AA824" s="121"/>
      <x:c r="AB824" s="122"/>
      <x:c r="AC824" s="120"/>
      <x:c r="AD824" s="122"/>
      <x:c r="AE824" s="120"/>
      <x:c r="AF824" s="121"/>
      <x:c r="AG824" s="122"/>
      <x:c r="AH824" s="120"/>
      <x:c r="AI824" s="122"/>
      <x:c r="AJ824" s="120"/>
      <x:c r="AK824" s="121"/>
      <x:c r="AL824" s="122"/>
      <x:c r="AM824" s="120"/>
      <x:c r="AN824" s="122"/>
      <x:c r="AO824" s="120"/>
      <x:c r="AP824" s="121"/>
      <x:c r="AQ824" s="122"/>
      <x:c r="AR824" s="120"/>
      <x:c r="AS824" s="122"/>
      <x:c r="AT824" s="120"/>
      <x:c r="AU824" s="121"/>
      <x:c r="AV824" s="122"/>
      <x:c r="AW824" s="120"/>
      <x:c r="AX824" s="122"/>
      <x:c r="AY824" s="120"/>
      <x:c r="AZ824" s="121"/>
      <x:c r="BA824" s="122"/>
      <x:c r="BB824" s="120"/>
      <x:c r="BC824" s="122"/>
      <x:c r="BD824" s="120"/>
      <x:c r="BE824" s="121"/>
      <x:c r="BF824" s="122"/>
      <x:c r="BG824" s="120"/>
      <x:c r="BH824" s="122"/>
      <x:c r="BI824" s="120"/>
      <x:c r="BJ824" s="121"/>
    </x:row>
    <x:row r="825" ht="15.75" customHeight="1">
      <x:c r="N825" s="120"/>
      <x:c r="P825" s="120"/>
      <x:c r="Q825" s="121"/>
      <x:c r="S825" s="120"/>
      <x:c r="U825" s="120"/>
      <x:c r="V825" s="121"/>
      <x:c r="W825" s="122"/>
      <x:c r="X825" s="120"/>
      <x:c r="Y825" s="122"/>
      <x:c r="Z825" s="120"/>
      <x:c r="AA825" s="121"/>
      <x:c r="AB825" s="122"/>
      <x:c r="AC825" s="120"/>
      <x:c r="AD825" s="122"/>
      <x:c r="AE825" s="120"/>
      <x:c r="AF825" s="121"/>
      <x:c r="AG825" s="122"/>
      <x:c r="AH825" s="120"/>
      <x:c r="AI825" s="122"/>
      <x:c r="AJ825" s="120"/>
      <x:c r="AK825" s="121"/>
      <x:c r="AL825" s="122"/>
      <x:c r="AM825" s="120"/>
      <x:c r="AN825" s="122"/>
      <x:c r="AO825" s="120"/>
      <x:c r="AP825" s="121"/>
      <x:c r="AQ825" s="122"/>
      <x:c r="AR825" s="120"/>
      <x:c r="AS825" s="122"/>
      <x:c r="AT825" s="120"/>
      <x:c r="AU825" s="121"/>
      <x:c r="AV825" s="122"/>
      <x:c r="AW825" s="120"/>
      <x:c r="AX825" s="122"/>
      <x:c r="AY825" s="120"/>
      <x:c r="AZ825" s="121"/>
      <x:c r="BA825" s="122"/>
      <x:c r="BB825" s="120"/>
      <x:c r="BC825" s="122"/>
      <x:c r="BD825" s="120"/>
      <x:c r="BE825" s="121"/>
      <x:c r="BF825" s="122"/>
      <x:c r="BG825" s="120"/>
      <x:c r="BH825" s="122"/>
      <x:c r="BI825" s="120"/>
      <x:c r="BJ825" s="121"/>
    </x:row>
    <x:row r="826" ht="15.75" customHeight="1">
      <x:c r="N826" s="120"/>
      <x:c r="P826" s="120"/>
      <x:c r="Q826" s="121"/>
      <x:c r="S826" s="120"/>
      <x:c r="U826" s="120"/>
      <x:c r="V826" s="121"/>
      <x:c r="W826" s="122"/>
      <x:c r="X826" s="120"/>
      <x:c r="Y826" s="122"/>
      <x:c r="Z826" s="120"/>
      <x:c r="AA826" s="121"/>
      <x:c r="AB826" s="122"/>
      <x:c r="AC826" s="120"/>
      <x:c r="AD826" s="122"/>
      <x:c r="AE826" s="120"/>
      <x:c r="AF826" s="121"/>
      <x:c r="AG826" s="122"/>
      <x:c r="AH826" s="120"/>
      <x:c r="AI826" s="122"/>
      <x:c r="AJ826" s="120"/>
      <x:c r="AK826" s="121"/>
      <x:c r="AL826" s="122"/>
      <x:c r="AM826" s="120"/>
      <x:c r="AN826" s="122"/>
      <x:c r="AO826" s="120"/>
      <x:c r="AP826" s="121"/>
      <x:c r="AQ826" s="122"/>
      <x:c r="AR826" s="120"/>
      <x:c r="AS826" s="122"/>
      <x:c r="AT826" s="120"/>
      <x:c r="AU826" s="121"/>
      <x:c r="AV826" s="122"/>
      <x:c r="AW826" s="120"/>
      <x:c r="AX826" s="122"/>
      <x:c r="AY826" s="120"/>
      <x:c r="AZ826" s="121"/>
      <x:c r="BA826" s="122"/>
      <x:c r="BB826" s="120"/>
      <x:c r="BC826" s="122"/>
      <x:c r="BD826" s="120"/>
      <x:c r="BE826" s="121"/>
      <x:c r="BF826" s="122"/>
      <x:c r="BG826" s="120"/>
      <x:c r="BH826" s="122"/>
      <x:c r="BI826" s="120"/>
      <x:c r="BJ826" s="121"/>
    </x:row>
    <x:row r="827" ht="15.75" customHeight="1">
      <x:c r="N827" s="120"/>
      <x:c r="P827" s="120"/>
      <x:c r="Q827" s="121"/>
      <x:c r="S827" s="120"/>
      <x:c r="U827" s="120"/>
      <x:c r="V827" s="121"/>
      <x:c r="W827" s="122"/>
      <x:c r="X827" s="120"/>
      <x:c r="Y827" s="122"/>
      <x:c r="Z827" s="120"/>
      <x:c r="AA827" s="121"/>
      <x:c r="AB827" s="122"/>
      <x:c r="AC827" s="120"/>
      <x:c r="AD827" s="122"/>
      <x:c r="AE827" s="120"/>
      <x:c r="AF827" s="121"/>
      <x:c r="AG827" s="122"/>
      <x:c r="AH827" s="120"/>
      <x:c r="AI827" s="122"/>
      <x:c r="AJ827" s="120"/>
      <x:c r="AK827" s="121"/>
      <x:c r="AL827" s="122"/>
      <x:c r="AM827" s="120"/>
      <x:c r="AN827" s="122"/>
      <x:c r="AO827" s="120"/>
      <x:c r="AP827" s="121"/>
      <x:c r="AQ827" s="122"/>
      <x:c r="AR827" s="120"/>
      <x:c r="AS827" s="122"/>
      <x:c r="AT827" s="120"/>
      <x:c r="AU827" s="121"/>
      <x:c r="AV827" s="122"/>
      <x:c r="AW827" s="120"/>
      <x:c r="AX827" s="122"/>
      <x:c r="AY827" s="120"/>
      <x:c r="AZ827" s="121"/>
      <x:c r="BA827" s="122"/>
      <x:c r="BB827" s="120"/>
      <x:c r="BC827" s="122"/>
      <x:c r="BD827" s="120"/>
      <x:c r="BE827" s="121"/>
      <x:c r="BF827" s="122"/>
      <x:c r="BG827" s="120"/>
      <x:c r="BH827" s="122"/>
      <x:c r="BI827" s="120"/>
      <x:c r="BJ827" s="121"/>
    </x:row>
    <x:row r="828" ht="15.75" customHeight="1">
      <x:c r="N828" s="120"/>
      <x:c r="P828" s="120"/>
      <x:c r="Q828" s="121"/>
      <x:c r="S828" s="120"/>
      <x:c r="U828" s="120"/>
      <x:c r="V828" s="121"/>
      <x:c r="W828" s="122"/>
      <x:c r="X828" s="120"/>
      <x:c r="Y828" s="122"/>
      <x:c r="Z828" s="120"/>
      <x:c r="AA828" s="121"/>
      <x:c r="AB828" s="122"/>
      <x:c r="AC828" s="120"/>
      <x:c r="AD828" s="122"/>
      <x:c r="AE828" s="120"/>
      <x:c r="AF828" s="121"/>
      <x:c r="AG828" s="122"/>
      <x:c r="AH828" s="120"/>
      <x:c r="AI828" s="122"/>
      <x:c r="AJ828" s="120"/>
      <x:c r="AK828" s="121"/>
      <x:c r="AL828" s="122"/>
      <x:c r="AM828" s="120"/>
      <x:c r="AN828" s="122"/>
      <x:c r="AO828" s="120"/>
      <x:c r="AP828" s="121"/>
      <x:c r="AQ828" s="122"/>
      <x:c r="AR828" s="120"/>
      <x:c r="AS828" s="122"/>
      <x:c r="AT828" s="120"/>
      <x:c r="AU828" s="121"/>
      <x:c r="AV828" s="122"/>
      <x:c r="AW828" s="120"/>
      <x:c r="AX828" s="122"/>
      <x:c r="AY828" s="120"/>
      <x:c r="AZ828" s="121"/>
      <x:c r="BA828" s="122"/>
      <x:c r="BB828" s="120"/>
      <x:c r="BC828" s="122"/>
      <x:c r="BD828" s="120"/>
      <x:c r="BE828" s="121"/>
      <x:c r="BF828" s="122"/>
      <x:c r="BG828" s="120"/>
      <x:c r="BH828" s="122"/>
      <x:c r="BI828" s="120"/>
      <x:c r="BJ828" s="121"/>
    </x:row>
    <x:row r="829" ht="15.75" customHeight="1">
      <x:c r="N829" s="120"/>
      <x:c r="P829" s="120"/>
      <x:c r="Q829" s="121"/>
      <x:c r="S829" s="120"/>
      <x:c r="U829" s="120"/>
      <x:c r="V829" s="121"/>
      <x:c r="W829" s="122"/>
      <x:c r="X829" s="120"/>
      <x:c r="Y829" s="122"/>
      <x:c r="Z829" s="120"/>
      <x:c r="AA829" s="121"/>
      <x:c r="AB829" s="122"/>
      <x:c r="AC829" s="120"/>
      <x:c r="AD829" s="122"/>
      <x:c r="AE829" s="120"/>
      <x:c r="AF829" s="121"/>
      <x:c r="AG829" s="122"/>
      <x:c r="AH829" s="120"/>
      <x:c r="AI829" s="122"/>
      <x:c r="AJ829" s="120"/>
      <x:c r="AK829" s="121"/>
      <x:c r="AL829" s="122"/>
      <x:c r="AM829" s="120"/>
      <x:c r="AN829" s="122"/>
      <x:c r="AO829" s="120"/>
      <x:c r="AP829" s="121"/>
      <x:c r="AQ829" s="122"/>
      <x:c r="AR829" s="120"/>
      <x:c r="AS829" s="122"/>
      <x:c r="AT829" s="120"/>
      <x:c r="AU829" s="121"/>
      <x:c r="AV829" s="122"/>
      <x:c r="AW829" s="120"/>
      <x:c r="AX829" s="122"/>
      <x:c r="AY829" s="120"/>
      <x:c r="AZ829" s="121"/>
      <x:c r="BA829" s="122"/>
      <x:c r="BB829" s="120"/>
      <x:c r="BC829" s="122"/>
      <x:c r="BD829" s="120"/>
      <x:c r="BE829" s="121"/>
      <x:c r="BF829" s="122"/>
      <x:c r="BG829" s="120"/>
      <x:c r="BH829" s="122"/>
      <x:c r="BI829" s="120"/>
      <x:c r="BJ829" s="121"/>
    </x:row>
    <x:row r="830" ht="15.75" customHeight="1">
      <x:c r="N830" s="120"/>
      <x:c r="P830" s="120"/>
      <x:c r="Q830" s="121"/>
      <x:c r="S830" s="120"/>
      <x:c r="U830" s="120"/>
      <x:c r="V830" s="121"/>
      <x:c r="W830" s="122"/>
      <x:c r="X830" s="120"/>
      <x:c r="Y830" s="122"/>
      <x:c r="Z830" s="120"/>
      <x:c r="AA830" s="121"/>
      <x:c r="AB830" s="122"/>
      <x:c r="AC830" s="120"/>
      <x:c r="AD830" s="122"/>
      <x:c r="AE830" s="120"/>
      <x:c r="AF830" s="121"/>
      <x:c r="AG830" s="122"/>
      <x:c r="AH830" s="120"/>
      <x:c r="AI830" s="122"/>
      <x:c r="AJ830" s="120"/>
      <x:c r="AK830" s="121"/>
      <x:c r="AL830" s="122"/>
      <x:c r="AM830" s="120"/>
      <x:c r="AN830" s="122"/>
      <x:c r="AO830" s="120"/>
      <x:c r="AP830" s="121"/>
      <x:c r="AQ830" s="122"/>
      <x:c r="AR830" s="120"/>
      <x:c r="AS830" s="122"/>
      <x:c r="AT830" s="120"/>
      <x:c r="AU830" s="121"/>
      <x:c r="AV830" s="122"/>
      <x:c r="AW830" s="120"/>
      <x:c r="AX830" s="122"/>
      <x:c r="AY830" s="120"/>
      <x:c r="AZ830" s="121"/>
      <x:c r="BA830" s="122"/>
      <x:c r="BB830" s="120"/>
      <x:c r="BC830" s="122"/>
      <x:c r="BD830" s="120"/>
      <x:c r="BE830" s="121"/>
      <x:c r="BF830" s="122"/>
      <x:c r="BG830" s="120"/>
      <x:c r="BH830" s="122"/>
      <x:c r="BI830" s="120"/>
      <x:c r="BJ830" s="121"/>
    </x:row>
    <x:row r="831" ht="15.75" customHeight="1">
      <x:c r="N831" s="120"/>
      <x:c r="P831" s="120"/>
      <x:c r="Q831" s="121"/>
      <x:c r="S831" s="120"/>
      <x:c r="U831" s="120"/>
      <x:c r="V831" s="121"/>
      <x:c r="W831" s="122"/>
      <x:c r="X831" s="120"/>
      <x:c r="Y831" s="122"/>
      <x:c r="Z831" s="120"/>
      <x:c r="AA831" s="121"/>
      <x:c r="AB831" s="122"/>
      <x:c r="AC831" s="120"/>
      <x:c r="AD831" s="122"/>
      <x:c r="AE831" s="120"/>
      <x:c r="AF831" s="121"/>
      <x:c r="AG831" s="122"/>
      <x:c r="AH831" s="120"/>
      <x:c r="AI831" s="122"/>
      <x:c r="AJ831" s="120"/>
      <x:c r="AK831" s="121"/>
      <x:c r="AL831" s="122"/>
      <x:c r="AM831" s="120"/>
      <x:c r="AN831" s="122"/>
      <x:c r="AO831" s="120"/>
      <x:c r="AP831" s="121"/>
      <x:c r="AQ831" s="122"/>
      <x:c r="AR831" s="120"/>
      <x:c r="AS831" s="122"/>
      <x:c r="AT831" s="120"/>
      <x:c r="AU831" s="121"/>
      <x:c r="AV831" s="122"/>
      <x:c r="AW831" s="120"/>
      <x:c r="AX831" s="122"/>
      <x:c r="AY831" s="120"/>
      <x:c r="AZ831" s="121"/>
      <x:c r="BA831" s="122"/>
      <x:c r="BB831" s="120"/>
      <x:c r="BC831" s="122"/>
      <x:c r="BD831" s="120"/>
      <x:c r="BE831" s="121"/>
      <x:c r="BF831" s="122"/>
      <x:c r="BG831" s="120"/>
      <x:c r="BH831" s="122"/>
      <x:c r="BI831" s="120"/>
      <x:c r="BJ831" s="121"/>
    </x:row>
    <x:row r="832" ht="15.75" customHeight="1">
      <x:c r="N832" s="120"/>
      <x:c r="P832" s="120"/>
      <x:c r="Q832" s="121"/>
      <x:c r="S832" s="120"/>
      <x:c r="U832" s="120"/>
      <x:c r="V832" s="121"/>
      <x:c r="W832" s="122"/>
      <x:c r="X832" s="120"/>
      <x:c r="Y832" s="122"/>
      <x:c r="Z832" s="120"/>
      <x:c r="AA832" s="121"/>
      <x:c r="AB832" s="122"/>
      <x:c r="AC832" s="120"/>
      <x:c r="AD832" s="122"/>
      <x:c r="AE832" s="120"/>
      <x:c r="AF832" s="121"/>
      <x:c r="AG832" s="122"/>
      <x:c r="AH832" s="120"/>
      <x:c r="AI832" s="122"/>
      <x:c r="AJ832" s="120"/>
      <x:c r="AK832" s="121"/>
      <x:c r="AL832" s="122"/>
      <x:c r="AM832" s="120"/>
      <x:c r="AN832" s="122"/>
      <x:c r="AO832" s="120"/>
      <x:c r="AP832" s="121"/>
      <x:c r="AQ832" s="122"/>
      <x:c r="AR832" s="120"/>
      <x:c r="AS832" s="122"/>
      <x:c r="AT832" s="120"/>
      <x:c r="AU832" s="121"/>
      <x:c r="AV832" s="122"/>
      <x:c r="AW832" s="120"/>
      <x:c r="AX832" s="122"/>
      <x:c r="AY832" s="120"/>
      <x:c r="AZ832" s="121"/>
      <x:c r="BA832" s="122"/>
      <x:c r="BB832" s="120"/>
      <x:c r="BC832" s="122"/>
      <x:c r="BD832" s="120"/>
      <x:c r="BE832" s="121"/>
      <x:c r="BF832" s="122"/>
      <x:c r="BG832" s="120"/>
      <x:c r="BH832" s="122"/>
      <x:c r="BI832" s="120"/>
      <x:c r="BJ832" s="121"/>
    </x:row>
    <x:row r="833" ht="15.75" customHeight="1">
      <x:c r="N833" s="120"/>
      <x:c r="P833" s="120"/>
      <x:c r="Q833" s="121"/>
      <x:c r="S833" s="120"/>
      <x:c r="U833" s="120"/>
      <x:c r="V833" s="121"/>
      <x:c r="W833" s="122"/>
      <x:c r="X833" s="120"/>
      <x:c r="Y833" s="122"/>
      <x:c r="Z833" s="120"/>
      <x:c r="AA833" s="121"/>
      <x:c r="AB833" s="122"/>
      <x:c r="AC833" s="120"/>
      <x:c r="AD833" s="122"/>
      <x:c r="AE833" s="120"/>
      <x:c r="AF833" s="121"/>
      <x:c r="AG833" s="122"/>
      <x:c r="AH833" s="120"/>
      <x:c r="AI833" s="122"/>
      <x:c r="AJ833" s="120"/>
      <x:c r="AK833" s="121"/>
      <x:c r="AL833" s="122"/>
      <x:c r="AM833" s="120"/>
      <x:c r="AN833" s="122"/>
      <x:c r="AO833" s="120"/>
      <x:c r="AP833" s="121"/>
      <x:c r="AQ833" s="122"/>
      <x:c r="AR833" s="120"/>
      <x:c r="AS833" s="122"/>
      <x:c r="AT833" s="120"/>
      <x:c r="AU833" s="121"/>
      <x:c r="AV833" s="122"/>
      <x:c r="AW833" s="120"/>
      <x:c r="AX833" s="122"/>
      <x:c r="AY833" s="120"/>
      <x:c r="AZ833" s="121"/>
      <x:c r="BA833" s="122"/>
      <x:c r="BB833" s="120"/>
      <x:c r="BC833" s="122"/>
      <x:c r="BD833" s="120"/>
      <x:c r="BE833" s="121"/>
      <x:c r="BF833" s="122"/>
      <x:c r="BG833" s="120"/>
      <x:c r="BH833" s="122"/>
      <x:c r="BI833" s="120"/>
      <x:c r="BJ833" s="121"/>
    </x:row>
    <x:row r="834" ht="15.75" customHeight="1">
      <x:c r="N834" s="120"/>
      <x:c r="P834" s="120"/>
      <x:c r="Q834" s="121"/>
      <x:c r="S834" s="120"/>
      <x:c r="U834" s="120"/>
      <x:c r="V834" s="121"/>
      <x:c r="W834" s="122"/>
      <x:c r="X834" s="120"/>
      <x:c r="Y834" s="122"/>
      <x:c r="Z834" s="120"/>
      <x:c r="AA834" s="121"/>
      <x:c r="AB834" s="122"/>
      <x:c r="AC834" s="120"/>
      <x:c r="AD834" s="122"/>
      <x:c r="AE834" s="120"/>
      <x:c r="AF834" s="121"/>
      <x:c r="AG834" s="122"/>
      <x:c r="AH834" s="120"/>
      <x:c r="AI834" s="122"/>
      <x:c r="AJ834" s="120"/>
      <x:c r="AK834" s="121"/>
      <x:c r="AL834" s="122"/>
      <x:c r="AM834" s="120"/>
      <x:c r="AN834" s="122"/>
      <x:c r="AO834" s="120"/>
      <x:c r="AP834" s="121"/>
      <x:c r="AQ834" s="122"/>
      <x:c r="AR834" s="120"/>
      <x:c r="AS834" s="122"/>
      <x:c r="AT834" s="120"/>
      <x:c r="AU834" s="121"/>
      <x:c r="AV834" s="122"/>
      <x:c r="AW834" s="120"/>
      <x:c r="AX834" s="122"/>
      <x:c r="AY834" s="120"/>
      <x:c r="AZ834" s="121"/>
      <x:c r="BA834" s="122"/>
      <x:c r="BB834" s="120"/>
      <x:c r="BC834" s="122"/>
      <x:c r="BD834" s="120"/>
      <x:c r="BE834" s="121"/>
      <x:c r="BF834" s="122"/>
      <x:c r="BG834" s="120"/>
      <x:c r="BH834" s="122"/>
      <x:c r="BI834" s="120"/>
      <x:c r="BJ834" s="121"/>
    </x:row>
    <x:row r="835" ht="15.75" customHeight="1">
      <x:c r="N835" s="120"/>
      <x:c r="P835" s="120"/>
      <x:c r="Q835" s="121"/>
      <x:c r="S835" s="120"/>
      <x:c r="U835" s="120"/>
      <x:c r="V835" s="121"/>
      <x:c r="W835" s="122"/>
      <x:c r="X835" s="120"/>
      <x:c r="Y835" s="122"/>
      <x:c r="Z835" s="120"/>
      <x:c r="AA835" s="121"/>
      <x:c r="AB835" s="122"/>
      <x:c r="AC835" s="120"/>
      <x:c r="AD835" s="122"/>
      <x:c r="AE835" s="120"/>
      <x:c r="AF835" s="121"/>
      <x:c r="AG835" s="122"/>
      <x:c r="AH835" s="120"/>
      <x:c r="AI835" s="122"/>
      <x:c r="AJ835" s="120"/>
      <x:c r="AK835" s="121"/>
      <x:c r="AL835" s="122"/>
      <x:c r="AM835" s="120"/>
      <x:c r="AN835" s="122"/>
      <x:c r="AO835" s="120"/>
      <x:c r="AP835" s="121"/>
      <x:c r="AQ835" s="122"/>
      <x:c r="AR835" s="120"/>
      <x:c r="AS835" s="122"/>
      <x:c r="AT835" s="120"/>
      <x:c r="AU835" s="121"/>
      <x:c r="AV835" s="122"/>
      <x:c r="AW835" s="120"/>
      <x:c r="AX835" s="122"/>
      <x:c r="AY835" s="120"/>
      <x:c r="AZ835" s="121"/>
      <x:c r="BA835" s="122"/>
      <x:c r="BB835" s="120"/>
      <x:c r="BC835" s="122"/>
      <x:c r="BD835" s="120"/>
      <x:c r="BE835" s="121"/>
      <x:c r="BF835" s="122"/>
      <x:c r="BG835" s="120"/>
      <x:c r="BH835" s="122"/>
      <x:c r="BI835" s="120"/>
      <x:c r="BJ835" s="121"/>
    </x:row>
    <x:row r="836" ht="15.75" customHeight="1">
      <x:c r="N836" s="120"/>
      <x:c r="P836" s="120"/>
      <x:c r="Q836" s="121"/>
      <x:c r="S836" s="120"/>
      <x:c r="U836" s="120"/>
      <x:c r="V836" s="121"/>
      <x:c r="W836" s="122"/>
      <x:c r="X836" s="120"/>
      <x:c r="Y836" s="122"/>
      <x:c r="Z836" s="120"/>
      <x:c r="AA836" s="121"/>
      <x:c r="AB836" s="122"/>
      <x:c r="AC836" s="120"/>
      <x:c r="AD836" s="122"/>
      <x:c r="AE836" s="120"/>
      <x:c r="AF836" s="121"/>
      <x:c r="AG836" s="122"/>
      <x:c r="AH836" s="120"/>
      <x:c r="AI836" s="122"/>
      <x:c r="AJ836" s="120"/>
      <x:c r="AK836" s="121"/>
      <x:c r="AL836" s="122"/>
      <x:c r="AM836" s="120"/>
      <x:c r="AN836" s="122"/>
      <x:c r="AO836" s="120"/>
      <x:c r="AP836" s="121"/>
      <x:c r="AQ836" s="122"/>
      <x:c r="AR836" s="120"/>
      <x:c r="AS836" s="122"/>
      <x:c r="AT836" s="120"/>
      <x:c r="AU836" s="121"/>
      <x:c r="AV836" s="122"/>
      <x:c r="AW836" s="120"/>
      <x:c r="AX836" s="122"/>
      <x:c r="AY836" s="120"/>
      <x:c r="AZ836" s="121"/>
      <x:c r="BA836" s="122"/>
      <x:c r="BB836" s="120"/>
      <x:c r="BC836" s="122"/>
      <x:c r="BD836" s="120"/>
      <x:c r="BE836" s="121"/>
      <x:c r="BF836" s="122"/>
      <x:c r="BG836" s="120"/>
      <x:c r="BH836" s="122"/>
      <x:c r="BI836" s="120"/>
      <x:c r="BJ836" s="121"/>
    </x:row>
    <x:row r="837" ht="15.75" customHeight="1">
      <x:c r="N837" s="120"/>
      <x:c r="P837" s="120"/>
      <x:c r="Q837" s="121"/>
      <x:c r="S837" s="120"/>
      <x:c r="U837" s="120"/>
      <x:c r="V837" s="121"/>
      <x:c r="W837" s="122"/>
      <x:c r="X837" s="120"/>
      <x:c r="Y837" s="122"/>
      <x:c r="Z837" s="120"/>
      <x:c r="AA837" s="121"/>
      <x:c r="AB837" s="122"/>
      <x:c r="AC837" s="120"/>
      <x:c r="AD837" s="122"/>
      <x:c r="AE837" s="120"/>
      <x:c r="AF837" s="121"/>
      <x:c r="AG837" s="122"/>
      <x:c r="AH837" s="120"/>
      <x:c r="AI837" s="122"/>
      <x:c r="AJ837" s="120"/>
      <x:c r="AK837" s="121"/>
      <x:c r="AL837" s="122"/>
      <x:c r="AM837" s="120"/>
      <x:c r="AN837" s="122"/>
      <x:c r="AO837" s="120"/>
      <x:c r="AP837" s="121"/>
      <x:c r="AQ837" s="122"/>
      <x:c r="AR837" s="120"/>
      <x:c r="AS837" s="122"/>
      <x:c r="AT837" s="120"/>
      <x:c r="AU837" s="121"/>
      <x:c r="AV837" s="122"/>
      <x:c r="AW837" s="120"/>
      <x:c r="AX837" s="122"/>
      <x:c r="AY837" s="120"/>
      <x:c r="AZ837" s="121"/>
      <x:c r="BA837" s="122"/>
      <x:c r="BB837" s="120"/>
      <x:c r="BC837" s="122"/>
      <x:c r="BD837" s="120"/>
      <x:c r="BE837" s="121"/>
      <x:c r="BF837" s="122"/>
      <x:c r="BG837" s="120"/>
      <x:c r="BH837" s="122"/>
      <x:c r="BI837" s="120"/>
      <x:c r="BJ837" s="121"/>
    </x:row>
    <x:row r="838" ht="15.75" customHeight="1">
      <x:c r="N838" s="120"/>
      <x:c r="P838" s="120"/>
      <x:c r="Q838" s="121"/>
      <x:c r="S838" s="120"/>
      <x:c r="U838" s="120"/>
      <x:c r="V838" s="121"/>
      <x:c r="W838" s="122"/>
      <x:c r="X838" s="120"/>
      <x:c r="Y838" s="122"/>
      <x:c r="Z838" s="120"/>
      <x:c r="AA838" s="121"/>
      <x:c r="AB838" s="122"/>
      <x:c r="AC838" s="120"/>
      <x:c r="AD838" s="122"/>
      <x:c r="AE838" s="120"/>
      <x:c r="AF838" s="121"/>
      <x:c r="AG838" s="122"/>
      <x:c r="AH838" s="120"/>
      <x:c r="AI838" s="122"/>
      <x:c r="AJ838" s="120"/>
      <x:c r="AK838" s="121"/>
      <x:c r="AL838" s="122"/>
      <x:c r="AM838" s="120"/>
      <x:c r="AN838" s="122"/>
      <x:c r="AO838" s="120"/>
      <x:c r="AP838" s="121"/>
      <x:c r="AQ838" s="122"/>
      <x:c r="AR838" s="120"/>
      <x:c r="AS838" s="122"/>
      <x:c r="AT838" s="120"/>
      <x:c r="AU838" s="121"/>
      <x:c r="AV838" s="122"/>
      <x:c r="AW838" s="120"/>
      <x:c r="AX838" s="122"/>
      <x:c r="AY838" s="120"/>
      <x:c r="AZ838" s="121"/>
      <x:c r="BA838" s="122"/>
      <x:c r="BB838" s="120"/>
      <x:c r="BC838" s="122"/>
      <x:c r="BD838" s="120"/>
      <x:c r="BE838" s="121"/>
      <x:c r="BF838" s="122"/>
      <x:c r="BG838" s="120"/>
      <x:c r="BH838" s="122"/>
      <x:c r="BI838" s="120"/>
      <x:c r="BJ838" s="121"/>
    </x:row>
    <x:row r="839" ht="15.75" customHeight="1">
      <x:c r="N839" s="120"/>
      <x:c r="P839" s="120"/>
      <x:c r="Q839" s="121"/>
      <x:c r="S839" s="120"/>
      <x:c r="U839" s="120"/>
      <x:c r="V839" s="121"/>
      <x:c r="W839" s="122"/>
      <x:c r="X839" s="120"/>
      <x:c r="Y839" s="122"/>
      <x:c r="Z839" s="120"/>
      <x:c r="AA839" s="121"/>
      <x:c r="AB839" s="122"/>
      <x:c r="AC839" s="120"/>
      <x:c r="AD839" s="122"/>
      <x:c r="AE839" s="120"/>
      <x:c r="AF839" s="121"/>
      <x:c r="AG839" s="122"/>
      <x:c r="AH839" s="120"/>
      <x:c r="AI839" s="122"/>
      <x:c r="AJ839" s="120"/>
      <x:c r="AK839" s="121"/>
      <x:c r="AL839" s="122"/>
      <x:c r="AM839" s="120"/>
      <x:c r="AN839" s="122"/>
      <x:c r="AO839" s="120"/>
      <x:c r="AP839" s="121"/>
      <x:c r="AQ839" s="122"/>
      <x:c r="AR839" s="120"/>
      <x:c r="AS839" s="122"/>
      <x:c r="AT839" s="120"/>
      <x:c r="AU839" s="121"/>
      <x:c r="AV839" s="122"/>
      <x:c r="AW839" s="120"/>
      <x:c r="AX839" s="122"/>
      <x:c r="AY839" s="120"/>
      <x:c r="AZ839" s="121"/>
      <x:c r="BA839" s="122"/>
      <x:c r="BB839" s="120"/>
      <x:c r="BC839" s="122"/>
      <x:c r="BD839" s="120"/>
      <x:c r="BE839" s="121"/>
      <x:c r="BF839" s="122"/>
      <x:c r="BG839" s="120"/>
      <x:c r="BH839" s="122"/>
      <x:c r="BI839" s="120"/>
      <x:c r="BJ839" s="121"/>
    </x:row>
    <x:row r="840" ht="15.75" customHeight="1">
      <x:c r="N840" s="120"/>
      <x:c r="P840" s="120"/>
      <x:c r="Q840" s="121"/>
      <x:c r="S840" s="120"/>
      <x:c r="U840" s="120"/>
      <x:c r="V840" s="121"/>
      <x:c r="W840" s="122"/>
      <x:c r="X840" s="120"/>
      <x:c r="Y840" s="122"/>
      <x:c r="Z840" s="120"/>
      <x:c r="AA840" s="121"/>
      <x:c r="AB840" s="122"/>
      <x:c r="AC840" s="120"/>
      <x:c r="AD840" s="122"/>
      <x:c r="AE840" s="120"/>
      <x:c r="AF840" s="121"/>
      <x:c r="AG840" s="122"/>
      <x:c r="AH840" s="120"/>
      <x:c r="AI840" s="122"/>
      <x:c r="AJ840" s="120"/>
      <x:c r="AK840" s="121"/>
      <x:c r="AL840" s="122"/>
      <x:c r="AM840" s="120"/>
      <x:c r="AN840" s="122"/>
      <x:c r="AO840" s="120"/>
      <x:c r="AP840" s="121"/>
      <x:c r="AQ840" s="122"/>
      <x:c r="AR840" s="120"/>
      <x:c r="AS840" s="122"/>
      <x:c r="AT840" s="120"/>
      <x:c r="AU840" s="121"/>
      <x:c r="AV840" s="122"/>
      <x:c r="AW840" s="120"/>
      <x:c r="AX840" s="122"/>
      <x:c r="AY840" s="120"/>
      <x:c r="AZ840" s="121"/>
      <x:c r="BA840" s="122"/>
      <x:c r="BB840" s="120"/>
      <x:c r="BC840" s="122"/>
      <x:c r="BD840" s="120"/>
      <x:c r="BE840" s="121"/>
      <x:c r="BF840" s="122"/>
      <x:c r="BG840" s="120"/>
      <x:c r="BH840" s="122"/>
      <x:c r="BI840" s="120"/>
      <x:c r="BJ840" s="121"/>
    </x:row>
    <x:row r="841" ht="15.75" customHeight="1">
      <x:c r="N841" s="120"/>
      <x:c r="P841" s="120"/>
      <x:c r="Q841" s="121"/>
      <x:c r="S841" s="120"/>
      <x:c r="U841" s="120"/>
      <x:c r="V841" s="121"/>
      <x:c r="W841" s="122"/>
      <x:c r="X841" s="120"/>
      <x:c r="Y841" s="122"/>
      <x:c r="Z841" s="120"/>
      <x:c r="AA841" s="121"/>
      <x:c r="AB841" s="122"/>
      <x:c r="AC841" s="120"/>
      <x:c r="AD841" s="122"/>
      <x:c r="AE841" s="120"/>
      <x:c r="AF841" s="121"/>
      <x:c r="AG841" s="122"/>
      <x:c r="AH841" s="120"/>
      <x:c r="AI841" s="122"/>
      <x:c r="AJ841" s="120"/>
      <x:c r="AK841" s="121"/>
      <x:c r="AL841" s="122"/>
      <x:c r="AM841" s="120"/>
      <x:c r="AN841" s="122"/>
      <x:c r="AO841" s="120"/>
      <x:c r="AP841" s="121"/>
      <x:c r="AQ841" s="122"/>
      <x:c r="AR841" s="120"/>
      <x:c r="AS841" s="122"/>
      <x:c r="AT841" s="120"/>
      <x:c r="AU841" s="121"/>
      <x:c r="AV841" s="122"/>
      <x:c r="AW841" s="120"/>
      <x:c r="AX841" s="122"/>
      <x:c r="AY841" s="120"/>
      <x:c r="AZ841" s="121"/>
      <x:c r="BA841" s="122"/>
      <x:c r="BB841" s="120"/>
      <x:c r="BC841" s="122"/>
      <x:c r="BD841" s="120"/>
      <x:c r="BE841" s="121"/>
      <x:c r="BF841" s="122"/>
      <x:c r="BG841" s="120"/>
      <x:c r="BH841" s="122"/>
      <x:c r="BI841" s="120"/>
      <x:c r="BJ841" s="121"/>
    </x:row>
    <x:row r="842" ht="15.75" customHeight="1">
      <x:c r="N842" s="120"/>
      <x:c r="P842" s="120"/>
      <x:c r="Q842" s="121"/>
      <x:c r="S842" s="120"/>
      <x:c r="U842" s="120"/>
      <x:c r="V842" s="121"/>
      <x:c r="W842" s="122"/>
      <x:c r="X842" s="120"/>
      <x:c r="Y842" s="122"/>
      <x:c r="Z842" s="120"/>
      <x:c r="AA842" s="121"/>
      <x:c r="AB842" s="122"/>
      <x:c r="AC842" s="120"/>
      <x:c r="AD842" s="122"/>
      <x:c r="AE842" s="120"/>
      <x:c r="AF842" s="121"/>
      <x:c r="AG842" s="122"/>
      <x:c r="AH842" s="120"/>
      <x:c r="AI842" s="122"/>
      <x:c r="AJ842" s="120"/>
      <x:c r="AK842" s="121"/>
      <x:c r="AL842" s="122"/>
      <x:c r="AM842" s="120"/>
      <x:c r="AN842" s="122"/>
      <x:c r="AO842" s="120"/>
      <x:c r="AP842" s="121"/>
      <x:c r="AQ842" s="122"/>
      <x:c r="AR842" s="120"/>
      <x:c r="AS842" s="122"/>
      <x:c r="AT842" s="120"/>
      <x:c r="AU842" s="121"/>
      <x:c r="AV842" s="122"/>
      <x:c r="AW842" s="120"/>
      <x:c r="AX842" s="122"/>
      <x:c r="AY842" s="120"/>
      <x:c r="AZ842" s="121"/>
      <x:c r="BA842" s="122"/>
      <x:c r="BB842" s="120"/>
      <x:c r="BC842" s="122"/>
      <x:c r="BD842" s="120"/>
      <x:c r="BE842" s="121"/>
      <x:c r="BF842" s="122"/>
      <x:c r="BG842" s="120"/>
      <x:c r="BH842" s="122"/>
      <x:c r="BI842" s="120"/>
      <x:c r="BJ842" s="121"/>
    </x:row>
    <x:row r="843" ht="15.75" customHeight="1">
      <x:c r="N843" s="120"/>
      <x:c r="P843" s="120"/>
      <x:c r="Q843" s="121"/>
      <x:c r="S843" s="120"/>
      <x:c r="U843" s="120"/>
      <x:c r="V843" s="121"/>
      <x:c r="W843" s="122"/>
      <x:c r="X843" s="120"/>
      <x:c r="Y843" s="122"/>
      <x:c r="Z843" s="120"/>
      <x:c r="AA843" s="121"/>
      <x:c r="AB843" s="122"/>
      <x:c r="AC843" s="120"/>
      <x:c r="AD843" s="122"/>
      <x:c r="AE843" s="120"/>
      <x:c r="AF843" s="121"/>
      <x:c r="AG843" s="122"/>
      <x:c r="AH843" s="120"/>
      <x:c r="AI843" s="122"/>
      <x:c r="AJ843" s="120"/>
      <x:c r="AK843" s="121"/>
      <x:c r="AL843" s="122"/>
      <x:c r="AM843" s="120"/>
      <x:c r="AN843" s="122"/>
      <x:c r="AO843" s="120"/>
      <x:c r="AP843" s="121"/>
      <x:c r="AQ843" s="122"/>
      <x:c r="AR843" s="120"/>
      <x:c r="AS843" s="122"/>
      <x:c r="AT843" s="120"/>
      <x:c r="AU843" s="121"/>
      <x:c r="AV843" s="122"/>
      <x:c r="AW843" s="120"/>
      <x:c r="AX843" s="122"/>
      <x:c r="AY843" s="120"/>
      <x:c r="AZ843" s="121"/>
      <x:c r="BA843" s="122"/>
      <x:c r="BB843" s="120"/>
      <x:c r="BC843" s="122"/>
      <x:c r="BD843" s="120"/>
      <x:c r="BE843" s="121"/>
      <x:c r="BF843" s="122"/>
      <x:c r="BG843" s="120"/>
      <x:c r="BH843" s="122"/>
      <x:c r="BI843" s="120"/>
      <x:c r="BJ843" s="121"/>
    </x:row>
    <x:row r="844" ht="15.75" customHeight="1">
      <x:c r="N844" s="120"/>
      <x:c r="P844" s="120"/>
      <x:c r="Q844" s="121"/>
      <x:c r="S844" s="120"/>
      <x:c r="U844" s="120"/>
      <x:c r="V844" s="121"/>
      <x:c r="W844" s="122"/>
      <x:c r="X844" s="120"/>
      <x:c r="Y844" s="122"/>
      <x:c r="Z844" s="120"/>
      <x:c r="AA844" s="121"/>
      <x:c r="AB844" s="122"/>
      <x:c r="AC844" s="120"/>
      <x:c r="AD844" s="122"/>
      <x:c r="AE844" s="120"/>
      <x:c r="AF844" s="121"/>
      <x:c r="AG844" s="122"/>
      <x:c r="AH844" s="120"/>
      <x:c r="AI844" s="122"/>
      <x:c r="AJ844" s="120"/>
      <x:c r="AK844" s="121"/>
      <x:c r="AL844" s="122"/>
      <x:c r="AM844" s="120"/>
      <x:c r="AN844" s="122"/>
      <x:c r="AO844" s="120"/>
      <x:c r="AP844" s="121"/>
      <x:c r="AQ844" s="122"/>
      <x:c r="AR844" s="120"/>
      <x:c r="AS844" s="122"/>
      <x:c r="AT844" s="120"/>
      <x:c r="AU844" s="121"/>
      <x:c r="AV844" s="122"/>
      <x:c r="AW844" s="120"/>
      <x:c r="AX844" s="122"/>
      <x:c r="AY844" s="120"/>
      <x:c r="AZ844" s="121"/>
      <x:c r="BA844" s="122"/>
      <x:c r="BB844" s="120"/>
      <x:c r="BC844" s="122"/>
      <x:c r="BD844" s="120"/>
      <x:c r="BE844" s="121"/>
      <x:c r="BF844" s="122"/>
      <x:c r="BG844" s="120"/>
      <x:c r="BH844" s="122"/>
      <x:c r="BI844" s="120"/>
      <x:c r="BJ844" s="121"/>
    </x:row>
    <x:row r="845" ht="15.75" customHeight="1">
      <x:c r="N845" s="120"/>
      <x:c r="P845" s="120"/>
      <x:c r="Q845" s="121"/>
      <x:c r="S845" s="120"/>
      <x:c r="U845" s="120"/>
      <x:c r="V845" s="121"/>
      <x:c r="W845" s="122"/>
      <x:c r="X845" s="120"/>
      <x:c r="Y845" s="122"/>
      <x:c r="Z845" s="120"/>
      <x:c r="AA845" s="121"/>
      <x:c r="AB845" s="122"/>
      <x:c r="AC845" s="120"/>
      <x:c r="AD845" s="122"/>
      <x:c r="AE845" s="120"/>
      <x:c r="AF845" s="121"/>
      <x:c r="AG845" s="122"/>
      <x:c r="AH845" s="120"/>
      <x:c r="AI845" s="122"/>
      <x:c r="AJ845" s="120"/>
      <x:c r="AK845" s="121"/>
      <x:c r="AL845" s="122"/>
      <x:c r="AM845" s="120"/>
      <x:c r="AN845" s="122"/>
      <x:c r="AO845" s="120"/>
      <x:c r="AP845" s="121"/>
      <x:c r="AQ845" s="122"/>
      <x:c r="AR845" s="120"/>
      <x:c r="AS845" s="122"/>
      <x:c r="AT845" s="120"/>
      <x:c r="AU845" s="121"/>
      <x:c r="AV845" s="122"/>
      <x:c r="AW845" s="120"/>
      <x:c r="AX845" s="122"/>
      <x:c r="AY845" s="120"/>
      <x:c r="AZ845" s="121"/>
      <x:c r="BA845" s="122"/>
      <x:c r="BB845" s="120"/>
      <x:c r="BC845" s="122"/>
      <x:c r="BD845" s="120"/>
      <x:c r="BE845" s="121"/>
      <x:c r="BF845" s="122"/>
      <x:c r="BG845" s="120"/>
      <x:c r="BH845" s="122"/>
      <x:c r="BI845" s="120"/>
      <x:c r="BJ845" s="121"/>
    </x:row>
    <x:row r="846" ht="15.75" customHeight="1">
      <x:c r="N846" s="120"/>
      <x:c r="P846" s="120"/>
      <x:c r="Q846" s="121"/>
      <x:c r="S846" s="120"/>
      <x:c r="U846" s="120"/>
      <x:c r="V846" s="121"/>
      <x:c r="W846" s="122"/>
      <x:c r="X846" s="120"/>
      <x:c r="Y846" s="122"/>
      <x:c r="Z846" s="120"/>
      <x:c r="AA846" s="121"/>
      <x:c r="AB846" s="122"/>
      <x:c r="AC846" s="120"/>
      <x:c r="AD846" s="122"/>
      <x:c r="AE846" s="120"/>
      <x:c r="AF846" s="121"/>
      <x:c r="AG846" s="122"/>
      <x:c r="AH846" s="120"/>
      <x:c r="AI846" s="122"/>
      <x:c r="AJ846" s="120"/>
      <x:c r="AK846" s="121"/>
      <x:c r="AL846" s="122"/>
      <x:c r="AM846" s="120"/>
      <x:c r="AN846" s="122"/>
      <x:c r="AO846" s="120"/>
      <x:c r="AP846" s="121"/>
      <x:c r="AQ846" s="122"/>
      <x:c r="AR846" s="120"/>
      <x:c r="AS846" s="122"/>
      <x:c r="AT846" s="120"/>
      <x:c r="AU846" s="121"/>
      <x:c r="AV846" s="122"/>
      <x:c r="AW846" s="120"/>
      <x:c r="AX846" s="122"/>
      <x:c r="AY846" s="120"/>
      <x:c r="AZ846" s="121"/>
      <x:c r="BA846" s="122"/>
      <x:c r="BB846" s="120"/>
      <x:c r="BC846" s="122"/>
      <x:c r="BD846" s="120"/>
      <x:c r="BE846" s="121"/>
      <x:c r="BF846" s="122"/>
      <x:c r="BG846" s="120"/>
      <x:c r="BH846" s="122"/>
      <x:c r="BI846" s="120"/>
      <x:c r="BJ846" s="121"/>
    </x:row>
    <x:row r="847" ht="15.75" customHeight="1">
      <x:c r="N847" s="120"/>
      <x:c r="P847" s="120"/>
      <x:c r="Q847" s="121"/>
      <x:c r="S847" s="120"/>
      <x:c r="U847" s="120"/>
      <x:c r="V847" s="121"/>
      <x:c r="W847" s="122"/>
      <x:c r="X847" s="120"/>
      <x:c r="Y847" s="122"/>
      <x:c r="Z847" s="120"/>
      <x:c r="AA847" s="121"/>
      <x:c r="AB847" s="122"/>
      <x:c r="AC847" s="120"/>
      <x:c r="AD847" s="122"/>
      <x:c r="AE847" s="120"/>
      <x:c r="AF847" s="121"/>
      <x:c r="AG847" s="122"/>
      <x:c r="AH847" s="120"/>
      <x:c r="AI847" s="122"/>
      <x:c r="AJ847" s="120"/>
      <x:c r="AK847" s="121"/>
      <x:c r="AL847" s="122"/>
      <x:c r="AM847" s="120"/>
      <x:c r="AN847" s="122"/>
      <x:c r="AO847" s="120"/>
      <x:c r="AP847" s="121"/>
      <x:c r="AQ847" s="122"/>
      <x:c r="AR847" s="120"/>
      <x:c r="AS847" s="122"/>
      <x:c r="AT847" s="120"/>
      <x:c r="AU847" s="121"/>
      <x:c r="AV847" s="122"/>
      <x:c r="AW847" s="120"/>
      <x:c r="AX847" s="122"/>
      <x:c r="AY847" s="120"/>
      <x:c r="AZ847" s="121"/>
      <x:c r="BA847" s="122"/>
      <x:c r="BB847" s="120"/>
      <x:c r="BC847" s="122"/>
      <x:c r="BD847" s="120"/>
      <x:c r="BE847" s="121"/>
      <x:c r="BF847" s="122"/>
      <x:c r="BG847" s="120"/>
      <x:c r="BH847" s="122"/>
      <x:c r="BI847" s="120"/>
      <x:c r="BJ847" s="121"/>
    </x:row>
    <x:row r="848" ht="15.75" customHeight="1">
      <x:c r="N848" s="120"/>
      <x:c r="P848" s="120"/>
      <x:c r="Q848" s="121"/>
      <x:c r="S848" s="120"/>
      <x:c r="U848" s="120"/>
      <x:c r="V848" s="121"/>
      <x:c r="W848" s="122"/>
      <x:c r="X848" s="120"/>
      <x:c r="Y848" s="122"/>
      <x:c r="Z848" s="120"/>
      <x:c r="AA848" s="121"/>
      <x:c r="AB848" s="122"/>
      <x:c r="AC848" s="120"/>
      <x:c r="AD848" s="122"/>
      <x:c r="AE848" s="120"/>
      <x:c r="AF848" s="121"/>
      <x:c r="AG848" s="122"/>
      <x:c r="AH848" s="120"/>
      <x:c r="AI848" s="122"/>
      <x:c r="AJ848" s="120"/>
      <x:c r="AK848" s="121"/>
      <x:c r="AL848" s="122"/>
      <x:c r="AM848" s="120"/>
      <x:c r="AN848" s="122"/>
      <x:c r="AO848" s="120"/>
      <x:c r="AP848" s="121"/>
      <x:c r="AQ848" s="122"/>
      <x:c r="AR848" s="120"/>
      <x:c r="AS848" s="122"/>
      <x:c r="AT848" s="120"/>
      <x:c r="AU848" s="121"/>
      <x:c r="AV848" s="122"/>
      <x:c r="AW848" s="120"/>
      <x:c r="AX848" s="122"/>
      <x:c r="AY848" s="120"/>
      <x:c r="AZ848" s="121"/>
      <x:c r="BA848" s="122"/>
      <x:c r="BB848" s="120"/>
      <x:c r="BC848" s="122"/>
      <x:c r="BD848" s="120"/>
      <x:c r="BE848" s="121"/>
      <x:c r="BF848" s="122"/>
      <x:c r="BG848" s="120"/>
      <x:c r="BH848" s="122"/>
      <x:c r="BI848" s="120"/>
      <x:c r="BJ848" s="121"/>
    </x:row>
    <x:row r="849" ht="15.75" customHeight="1">
      <x:c r="N849" s="120"/>
      <x:c r="P849" s="120"/>
      <x:c r="Q849" s="121"/>
      <x:c r="S849" s="120"/>
      <x:c r="U849" s="120"/>
      <x:c r="V849" s="121"/>
      <x:c r="W849" s="122"/>
      <x:c r="X849" s="120"/>
      <x:c r="Y849" s="122"/>
      <x:c r="Z849" s="120"/>
      <x:c r="AA849" s="121"/>
      <x:c r="AB849" s="122"/>
      <x:c r="AC849" s="120"/>
      <x:c r="AD849" s="122"/>
      <x:c r="AE849" s="120"/>
      <x:c r="AF849" s="121"/>
      <x:c r="AG849" s="122"/>
      <x:c r="AH849" s="120"/>
      <x:c r="AI849" s="122"/>
      <x:c r="AJ849" s="120"/>
      <x:c r="AK849" s="121"/>
      <x:c r="AL849" s="122"/>
      <x:c r="AM849" s="120"/>
      <x:c r="AN849" s="122"/>
      <x:c r="AO849" s="120"/>
      <x:c r="AP849" s="121"/>
      <x:c r="AQ849" s="122"/>
      <x:c r="AR849" s="120"/>
      <x:c r="AS849" s="122"/>
      <x:c r="AT849" s="120"/>
      <x:c r="AU849" s="121"/>
      <x:c r="AV849" s="122"/>
      <x:c r="AW849" s="120"/>
      <x:c r="AX849" s="122"/>
      <x:c r="AY849" s="120"/>
      <x:c r="AZ849" s="121"/>
      <x:c r="BA849" s="122"/>
      <x:c r="BB849" s="120"/>
      <x:c r="BC849" s="122"/>
      <x:c r="BD849" s="120"/>
      <x:c r="BE849" s="121"/>
      <x:c r="BF849" s="122"/>
      <x:c r="BG849" s="120"/>
      <x:c r="BH849" s="122"/>
      <x:c r="BI849" s="120"/>
      <x:c r="BJ849" s="121"/>
    </x:row>
    <x:row r="850" ht="15.75" customHeight="1">
      <x:c r="N850" s="120"/>
      <x:c r="P850" s="120"/>
      <x:c r="Q850" s="121"/>
      <x:c r="S850" s="120"/>
      <x:c r="U850" s="120"/>
      <x:c r="V850" s="121"/>
      <x:c r="W850" s="122"/>
      <x:c r="X850" s="120"/>
      <x:c r="Y850" s="122"/>
      <x:c r="Z850" s="120"/>
      <x:c r="AA850" s="121"/>
      <x:c r="AB850" s="122"/>
      <x:c r="AC850" s="120"/>
      <x:c r="AD850" s="122"/>
      <x:c r="AE850" s="120"/>
      <x:c r="AF850" s="121"/>
      <x:c r="AG850" s="122"/>
      <x:c r="AH850" s="120"/>
      <x:c r="AI850" s="122"/>
      <x:c r="AJ850" s="120"/>
      <x:c r="AK850" s="121"/>
      <x:c r="AL850" s="122"/>
      <x:c r="AM850" s="120"/>
      <x:c r="AN850" s="122"/>
      <x:c r="AO850" s="120"/>
      <x:c r="AP850" s="121"/>
      <x:c r="AQ850" s="122"/>
      <x:c r="AR850" s="120"/>
      <x:c r="AS850" s="122"/>
      <x:c r="AT850" s="120"/>
      <x:c r="AU850" s="121"/>
      <x:c r="AV850" s="122"/>
      <x:c r="AW850" s="120"/>
      <x:c r="AX850" s="122"/>
      <x:c r="AY850" s="120"/>
      <x:c r="AZ850" s="121"/>
      <x:c r="BA850" s="122"/>
      <x:c r="BB850" s="120"/>
      <x:c r="BC850" s="122"/>
      <x:c r="BD850" s="120"/>
      <x:c r="BE850" s="121"/>
      <x:c r="BF850" s="122"/>
      <x:c r="BG850" s="120"/>
      <x:c r="BH850" s="122"/>
      <x:c r="BI850" s="120"/>
      <x:c r="BJ850" s="121"/>
    </x:row>
    <x:row r="851" ht="15.75" customHeight="1">
      <x:c r="N851" s="120"/>
      <x:c r="P851" s="120"/>
      <x:c r="Q851" s="121"/>
      <x:c r="S851" s="120"/>
      <x:c r="U851" s="120"/>
      <x:c r="V851" s="121"/>
      <x:c r="W851" s="122"/>
      <x:c r="X851" s="120"/>
      <x:c r="Y851" s="122"/>
      <x:c r="Z851" s="120"/>
      <x:c r="AA851" s="121"/>
      <x:c r="AB851" s="122"/>
      <x:c r="AC851" s="120"/>
      <x:c r="AD851" s="122"/>
      <x:c r="AE851" s="120"/>
      <x:c r="AF851" s="121"/>
      <x:c r="AG851" s="122"/>
      <x:c r="AH851" s="120"/>
      <x:c r="AI851" s="122"/>
      <x:c r="AJ851" s="120"/>
      <x:c r="AK851" s="121"/>
      <x:c r="AL851" s="122"/>
      <x:c r="AM851" s="120"/>
      <x:c r="AN851" s="122"/>
      <x:c r="AO851" s="120"/>
      <x:c r="AP851" s="121"/>
      <x:c r="AQ851" s="122"/>
      <x:c r="AR851" s="120"/>
      <x:c r="AS851" s="122"/>
      <x:c r="AT851" s="120"/>
      <x:c r="AU851" s="121"/>
      <x:c r="AV851" s="122"/>
      <x:c r="AW851" s="120"/>
      <x:c r="AX851" s="122"/>
      <x:c r="AY851" s="120"/>
      <x:c r="AZ851" s="121"/>
      <x:c r="BA851" s="122"/>
      <x:c r="BB851" s="120"/>
      <x:c r="BC851" s="122"/>
      <x:c r="BD851" s="120"/>
      <x:c r="BE851" s="121"/>
      <x:c r="BF851" s="122"/>
      <x:c r="BG851" s="120"/>
      <x:c r="BH851" s="122"/>
      <x:c r="BI851" s="120"/>
      <x:c r="BJ851" s="121"/>
    </x:row>
    <x:row r="852" ht="15.75" customHeight="1">
      <x:c r="N852" s="120"/>
      <x:c r="P852" s="120"/>
      <x:c r="Q852" s="121"/>
      <x:c r="S852" s="120"/>
      <x:c r="U852" s="120"/>
      <x:c r="V852" s="121"/>
      <x:c r="W852" s="122"/>
      <x:c r="X852" s="120"/>
      <x:c r="Y852" s="122"/>
      <x:c r="Z852" s="120"/>
      <x:c r="AA852" s="121"/>
      <x:c r="AB852" s="122"/>
      <x:c r="AC852" s="120"/>
      <x:c r="AD852" s="122"/>
      <x:c r="AE852" s="120"/>
      <x:c r="AF852" s="121"/>
      <x:c r="AG852" s="122"/>
      <x:c r="AH852" s="120"/>
      <x:c r="AI852" s="122"/>
      <x:c r="AJ852" s="120"/>
      <x:c r="AK852" s="121"/>
      <x:c r="AL852" s="122"/>
      <x:c r="AM852" s="120"/>
      <x:c r="AN852" s="122"/>
      <x:c r="AO852" s="120"/>
      <x:c r="AP852" s="121"/>
      <x:c r="AQ852" s="122"/>
      <x:c r="AR852" s="120"/>
      <x:c r="AS852" s="122"/>
      <x:c r="AT852" s="120"/>
      <x:c r="AU852" s="121"/>
      <x:c r="AV852" s="122"/>
      <x:c r="AW852" s="120"/>
      <x:c r="AX852" s="122"/>
      <x:c r="AY852" s="120"/>
      <x:c r="AZ852" s="121"/>
      <x:c r="BA852" s="122"/>
      <x:c r="BB852" s="120"/>
      <x:c r="BC852" s="122"/>
      <x:c r="BD852" s="120"/>
      <x:c r="BE852" s="121"/>
      <x:c r="BF852" s="122"/>
      <x:c r="BG852" s="120"/>
      <x:c r="BH852" s="122"/>
      <x:c r="BI852" s="120"/>
      <x:c r="BJ852" s="121"/>
    </x:row>
    <x:row r="853" ht="15.75" customHeight="1">
      <x:c r="N853" s="120"/>
      <x:c r="P853" s="120"/>
      <x:c r="Q853" s="121"/>
      <x:c r="S853" s="120"/>
      <x:c r="U853" s="120"/>
      <x:c r="V853" s="121"/>
      <x:c r="W853" s="122"/>
      <x:c r="X853" s="120"/>
      <x:c r="Y853" s="122"/>
      <x:c r="Z853" s="120"/>
      <x:c r="AA853" s="121"/>
      <x:c r="AB853" s="122"/>
      <x:c r="AC853" s="120"/>
      <x:c r="AD853" s="122"/>
      <x:c r="AE853" s="120"/>
      <x:c r="AF853" s="121"/>
      <x:c r="AG853" s="122"/>
      <x:c r="AH853" s="120"/>
      <x:c r="AI853" s="122"/>
      <x:c r="AJ853" s="120"/>
      <x:c r="AK853" s="121"/>
      <x:c r="AL853" s="122"/>
      <x:c r="AM853" s="120"/>
      <x:c r="AN853" s="122"/>
      <x:c r="AO853" s="120"/>
      <x:c r="AP853" s="121"/>
      <x:c r="AQ853" s="122"/>
      <x:c r="AR853" s="120"/>
      <x:c r="AS853" s="122"/>
      <x:c r="AT853" s="120"/>
      <x:c r="AU853" s="121"/>
      <x:c r="AV853" s="122"/>
      <x:c r="AW853" s="120"/>
      <x:c r="AX853" s="122"/>
      <x:c r="AY853" s="120"/>
      <x:c r="AZ853" s="121"/>
      <x:c r="BA853" s="122"/>
      <x:c r="BB853" s="120"/>
      <x:c r="BC853" s="122"/>
      <x:c r="BD853" s="120"/>
      <x:c r="BE853" s="121"/>
      <x:c r="BF853" s="122"/>
      <x:c r="BG853" s="120"/>
      <x:c r="BH853" s="122"/>
      <x:c r="BI853" s="120"/>
      <x:c r="BJ853" s="121"/>
    </x:row>
    <x:row r="854" ht="15.75" customHeight="1">
      <x:c r="N854" s="120"/>
      <x:c r="P854" s="120"/>
      <x:c r="Q854" s="121"/>
      <x:c r="S854" s="120"/>
      <x:c r="U854" s="120"/>
      <x:c r="V854" s="121"/>
      <x:c r="W854" s="122"/>
      <x:c r="X854" s="120"/>
      <x:c r="Y854" s="122"/>
      <x:c r="Z854" s="120"/>
      <x:c r="AA854" s="121"/>
      <x:c r="AB854" s="122"/>
      <x:c r="AC854" s="120"/>
      <x:c r="AD854" s="122"/>
      <x:c r="AE854" s="120"/>
      <x:c r="AF854" s="121"/>
      <x:c r="AG854" s="122"/>
      <x:c r="AH854" s="120"/>
      <x:c r="AI854" s="122"/>
      <x:c r="AJ854" s="120"/>
      <x:c r="AK854" s="121"/>
      <x:c r="AL854" s="122"/>
      <x:c r="AM854" s="120"/>
      <x:c r="AN854" s="122"/>
      <x:c r="AO854" s="120"/>
      <x:c r="AP854" s="121"/>
      <x:c r="AQ854" s="122"/>
      <x:c r="AR854" s="120"/>
      <x:c r="AS854" s="122"/>
      <x:c r="AT854" s="120"/>
      <x:c r="AU854" s="121"/>
      <x:c r="AV854" s="122"/>
      <x:c r="AW854" s="120"/>
      <x:c r="AX854" s="122"/>
      <x:c r="AY854" s="120"/>
      <x:c r="AZ854" s="121"/>
      <x:c r="BA854" s="122"/>
      <x:c r="BB854" s="120"/>
      <x:c r="BC854" s="122"/>
      <x:c r="BD854" s="120"/>
      <x:c r="BE854" s="121"/>
      <x:c r="BF854" s="122"/>
      <x:c r="BG854" s="120"/>
      <x:c r="BH854" s="122"/>
      <x:c r="BI854" s="120"/>
      <x:c r="BJ854" s="121"/>
    </x:row>
    <x:row r="855" ht="15.75" customHeight="1">
      <x:c r="N855" s="120"/>
      <x:c r="P855" s="120"/>
      <x:c r="Q855" s="121"/>
      <x:c r="S855" s="120"/>
      <x:c r="U855" s="120"/>
      <x:c r="V855" s="121"/>
      <x:c r="W855" s="122"/>
      <x:c r="X855" s="120"/>
      <x:c r="Y855" s="122"/>
      <x:c r="Z855" s="120"/>
      <x:c r="AA855" s="121"/>
      <x:c r="AB855" s="122"/>
      <x:c r="AC855" s="120"/>
      <x:c r="AD855" s="122"/>
      <x:c r="AE855" s="120"/>
      <x:c r="AF855" s="121"/>
      <x:c r="AG855" s="122"/>
      <x:c r="AH855" s="120"/>
      <x:c r="AI855" s="122"/>
      <x:c r="AJ855" s="120"/>
      <x:c r="AK855" s="121"/>
      <x:c r="AL855" s="122"/>
      <x:c r="AM855" s="120"/>
      <x:c r="AN855" s="122"/>
      <x:c r="AO855" s="120"/>
      <x:c r="AP855" s="121"/>
      <x:c r="AQ855" s="122"/>
      <x:c r="AR855" s="120"/>
      <x:c r="AS855" s="122"/>
      <x:c r="AT855" s="120"/>
      <x:c r="AU855" s="121"/>
      <x:c r="AV855" s="122"/>
      <x:c r="AW855" s="120"/>
      <x:c r="AX855" s="122"/>
      <x:c r="AY855" s="120"/>
      <x:c r="AZ855" s="121"/>
      <x:c r="BA855" s="122"/>
      <x:c r="BB855" s="120"/>
      <x:c r="BC855" s="122"/>
      <x:c r="BD855" s="120"/>
      <x:c r="BE855" s="121"/>
      <x:c r="BF855" s="122"/>
      <x:c r="BG855" s="120"/>
      <x:c r="BH855" s="122"/>
      <x:c r="BI855" s="120"/>
      <x:c r="BJ855" s="121"/>
    </x:row>
    <x:row r="856" ht="15.75" customHeight="1">
      <x:c r="N856" s="120"/>
      <x:c r="P856" s="120"/>
      <x:c r="Q856" s="121"/>
      <x:c r="S856" s="120"/>
      <x:c r="U856" s="120"/>
      <x:c r="V856" s="121"/>
      <x:c r="W856" s="122"/>
      <x:c r="X856" s="120"/>
      <x:c r="Y856" s="122"/>
      <x:c r="Z856" s="120"/>
      <x:c r="AA856" s="121"/>
      <x:c r="AB856" s="122"/>
      <x:c r="AC856" s="120"/>
      <x:c r="AD856" s="122"/>
      <x:c r="AE856" s="120"/>
      <x:c r="AF856" s="121"/>
      <x:c r="AG856" s="122"/>
      <x:c r="AH856" s="120"/>
      <x:c r="AI856" s="122"/>
      <x:c r="AJ856" s="120"/>
      <x:c r="AK856" s="121"/>
      <x:c r="AL856" s="122"/>
      <x:c r="AM856" s="120"/>
      <x:c r="AN856" s="122"/>
      <x:c r="AO856" s="120"/>
      <x:c r="AP856" s="121"/>
      <x:c r="AQ856" s="122"/>
      <x:c r="AR856" s="120"/>
      <x:c r="AS856" s="122"/>
      <x:c r="AT856" s="120"/>
      <x:c r="AU856" s="121"/>
      <x:c r="AV856" s="122"/>
      <x:c r="AW856" s="120"/>
      <x:c r="AX856" s="122"/>
      <x:c r="AY856" s="120"/>
      <x:c r="AZ856" s="121"/>
      <x:c r="BA856" s="122"/>
      <x:c r="BB856" s="120"/>
      <x:c r="BC856" s="122"/>
      <x:c r="BD856" s="120"/>
      <x:c r="BE856" s="121"/>
      <x:c r="BF856" s="122"/>
      <x:c r="BG856" s="120"/>
      <x:c r="BH856" s="122"/>
      <x:c r="BI856" s="120"/>
      <x:c r="BJ856" s="121"/>
    </x:row>
    <x:row r="857" ht="15.75" customHeight="1">
      <x:c r="N857" s="120"/>
      <x:c r="P857" s="120"/>
      <x:c r="Q857" s="121"/>
      <x:c r="S857" s="120"/>
      <x:c r="U857" s="120"/>
      <x:c r="V857" s="121"/>
      <x:c r="W857" s="122"/>
      <x:c r="X857" s="120"/>
      <x:c r="Y857" s="122"/>
      <x:c r="Z857" s="120"/>
      <x:c r="AA857" s="121"/>
      <x:c r="AB857" s="122"/>
      <x:c r="AC857" s="120"/>
      <x:c r="AD857" s="122"/>
      <x:c r="AE857" s="120"/>
      <x:c r="AF857" s="121"/>
      <x:c r="AG857" s="122"/>
      <x:c r="AH857" s="120"/>
      <x:c r="AI857" s="122"/>
      <x:c r="AJ857" s="120"/>
      <x:c r="AK857" s="121"/>
      <x:c r="AL857" s="122"/>
      <x:c r="AM857" s="120"/>
      <x:c r="AN857" s="122"/>
      <x:c r="AO857" s="120"/>
      <x:c r="AP857" s="121"/>
      <x:c r="AQ857" s="122"/>
      <x:c r="AR857" s="120"/>
      <x:c r="AS857" s="122"/>
      <x:c r="AT857" s="120"/>
      <x:c r="AU857" s="121"/>
      <x:c r="AV857" s="122"/>
      <x:c r="AW857" s="120"/>
      <x:c r="AX857" s="122"/>
      <x:c r="AY857" s="120"/>
      <x:c r="AZ857" s="121"/>
      <x:c r="BA857" s="122"/>
      <x:c r="BB857" s="120"/>
      <x:c r="BC857" s="122"/>
      <x:c r="BD857" s="120"/>
      <x:c r="BE857" s="121"/>
      <x:c r="BF857" s="122"/>
      <x:c r="BG857" s="120"/>
      <x:c r="BH857" s="122"/>
      <x:c r="BI857" s="120"/>
      <x:c r="BJ857" s="121"/>
    </x:row>
    <x:row r="858" ht="15.75" customHeight="1">
      <x:c r="N858" s="120"/>
      <x:c r="P858" s="120"/>
      <x:c r="Q858" s="121"/>
      <x:c r="S858" s="120"/>
      <x:c r="U858" s="120"/>
      <x:c r="V858" s="121"/>
      <x:c r="W858" s="122"/>
      <x:c r="X858" s="120"/>
      <x:c r="Y858" s="122"/>
      <x:c r="Z858" s="120"/>
      <x:c r="AA858" s="121"/>
      <x:c r="AB858" s="122"/>
      <x:c r="AC858" s="120"/>
      <x:c r="AD858" s="122"/>
      <x:c r="AE858" s="120"/>
      <x:c r="AF858" s="121"/>
      <x:c r="AG858" s="122"/>
      <x:c r="AH858" s="120"/>
      <x:c r="AI858" s="122"/>
      <x:c r="AJ858" s="120"/>
      <x:c r="AK858" s="121"/>
      <x:c r="AL858" s="122"/>
      <x:c r="AM858" s="120"/>
      <x:c r="AN858" s="122"/>
      <x:c r="AO858" s="120"/>
      <x:c r="AP858" s="121"/>
      <x:c r="AQ858" s="122"/>
      <x:c r="AR858" s="120"/>
      <x:c r="AS858" s="122"/>
      <x:c r="AT858" s="120"/>
      <x:c r="AU858" s="121"/>
      <x:c r="AV858" s="122"/>
      <x:c r="AW858" s="120"/>
      <x:c r="AX858" s="122"/>
      <x:c r="AY858" s="120"/>
      <x:c r="AZ858" s="121"/>
      <x:c r="BA858" s="122"/>
      <x:c r="BB858" s="120"/>
      <x:c r="BC858" s="122"/>
      <x:c r="BD858" s="120"/>
      <x:c r="BE858" s="121"/>
      <x:c r="BF858" s="122"/>
      <x:c r="BG858" s="120"/>
      <x:c r="BH858" s="122"/>
      <x:c r="BI858" s="120"/>
      <x:c r="BJ858" s="121"/>
    </x:row>
    <x:row r="859" ht="15.75" customHeight="1">
      <x:c r="N859" s="120"/>
      <x:c r="P859" s="120"/>
      <x:c r="Q859" s="121"/>
      <x:c r="S859" s="120"/>
      <x:c r="U859" s="120"/>
      <x:c r="V859" s="121"/>
      <x:c r="W859" s="122"/>
      <x:c r="X859" s="120"/>
      <x:c r="Y859" s="122"/>
      <x:c r="Z859" s="120"/>
      <x:c r="AA859" s="121"/>
      <x:c r="AB859" s="122"/>
      <x:c r="AC859" s="120"/>
      <x:c r="AD859" s="122"/>
      <x:c r="AE859" s="120"/>
      <x:c r="AF859" s="121"/>
      <x:c r="AG859" s="122"/>
      <x:c r="AH859" s="120"/>
      <x:c r="AI859" s="122"/>
      <x:c r="AJ859" s="120"/>
      <x:c r="AK859" s="121"/>
      <x:c r="AL859" s="122"/>
      <x:c r="AM859" s="120"/>
      <x:c r="AN859" s="122"/>
      <x:c r="AO859" s="120"/>
      <x:c r="AP859" s="121"/>
      <x:c r="AQ859" s="122"/>
      <x:c r="AR859" s="120"/>
      <x:c r="AS859" s="122"/>
      <x:c r="AT859" s="120"/>
      <x:c r="AU859" s="121"/>
      <x:c r="AV859" s="122"/>
      <x:c r="AW859" s="120"/>
      <x:c r="AX859" s="122"/>
      <x:c r="AY859" s="120"/>
      <x:c r="AZ859" s="121"/>
      <x:c r="BA859" s="122"/>
      <x:c r="BB859" s="120"/>
      <x:c r="BC859" s="122"/>
      <x:c r="BD859" s="120"/>
      <x:c r="BE859" s="121"/>
      <x:c r="BF859" s="122"/>
      <x:c r="BG859" s="120"/>
      <x:c r="BH859" s="122"/>
      <x:c r="BI859" s="120"/>
      <x:c r="BJ859" s="121"/>
    </x:row>
    <x:row r="860" ht="15.75" customHeight="1">
      <x:c r="N860" s="120"/>
      <x:c r="P860" s="120"/>
      <x:c r="Q860" s="121"/>
      <x:c r="S860" s="120"/>
      <x:c r="U860" s="120"/>
      <x:c r="V860" s="121"/>
      <x:c r="W860" s="122"/>
      <x:c r="X860" s="120"/>
      <x:c r="Y860" s="122"/>
      <x:c r="Z860" s="120"/>
      <x:c r="AA860" s="121"/>
      <x:c r="AB860" s="122"/>
      <x:c r="AC860" s="120"/>
      <x:c r="AD860" s="122"/>
      <x:c r="AE860" s="120"/>
      <x:c r="AF860" s="121"/>
      <x:c r="AG860" s="122"/>
      <x:c r="AH860" s="120"/>
      <x:c r="AI860" s="122"/>
      <x:c r="AJ860" s="120"/>
      <x:c r="AK860" s="121"/>
      <x:c r="AL860" s="122"/>
      <x:c r="AM860" s="120"/>
      <x:c r="AN860" s="122"/>
      <x:c r="AO860" s="120"/>
      <x:c r="AP860" s="121"/>
      <x:c r="AQ860" s="122"/>
      <x:c r="AR860" s="120"/>
      <x:c r="AS860" s="122"/>
      <x:c r="AT860" s="120"/>
      <x:c r="AU860" s="121"/>
      <x:c r="AV860" s="122"/>
      <x:c r="AW860" s="120"/>
      <x:c r="AX860" s="122"/>
      <x:c r="AY860" s="120"/>
      <x:c r="AZ860" s="121"/>
      <x:c r="BA860" s="122"/>
      <x:c r="BB860" s="120"/>
      <x:c r="BC860" s="122"/>
      <x:c r="BD860" s="120"/>
      <x:c r="BE860" s="121"/>
      <x:c r="BF860" s="122"/>
      <x:c r="BG860" s="120"/>
      <x:c r="BH860" s="122"/>
      <x:c r="BI860" s="120"/>
      <x:c r="BJ860" s="121"/>
    </x:row>
    <x:row r="861" ht="15.75" customHeight="1">
      <x:c r="N861" s="120"/>
      <x:c r="P861" s="120"/>
      <x:c r="Q861" s="121"/>
      <x:c r="S861" s="120"/>
      <x:c r="U861" s="120"/>
      <x:c r="V861" s="121"/>
      <x:c r="W861" s="122"/>
      <x:c r="X861" s="120"/>
      <x:c r="Y861" s="122"/>
      <x:c r="Z861" s="120"/>
      <x:c r="AA861" s="121"/>
      <x:c r="AB861" s="122"/>
      <x:c r="AC861" s="120"/>
      <x:c r="AD861" s="122"/>
      <x:c r="AE861" s="120"/>
      <x:c r="AF861" s="121"/>
      <x:c r="AG861" s="122"/>
      <x:c r="AH861" s="120"/>
      <x:c r="AI861" s="122"/>
      <x:c r="AJ861" s="120"/>
      <x:c r="AK861" s="121"/>
      <x:c r="AL861" s="122"/>
      <x:c r="AM861" s="120"/>
      <x:c r="AN861" s="122"/>
      <x:c r="AO861" s="120"/>
      <x:c r="AP861" s="121"/>
      <x:c r="AQ861" s="122"/>
      <x:c r="AR861" s="120"/>
      <x:c r="AS861" s="122"/>
      <x:c r="AT861" s="120"/>
      <x:c r="AU861" s="121"/>
      <x:c r="AV861" s="122"/>
      <x:c r="AW861" s="120"/>
      <x:c r="AX861" s="122"/>
      <x:c r="AY861" s="120"/>
      <x:c r="AZ861" s="121"/>
      <x:c r="BA861" s="122"/>
      <x:c r="BB861" s="120"/>
      <x:c r="BC861" s="122"/>
      <x:c r="BD861" s="120"/>
      <x:c r="BE861" s="121"/>
      <x:c r="BF861" s="122"/>
      <x:c r="BG861" s="120"/>
      <x:c r="BH861" s="122"/>
      <x:c r="BI861" s="120"/>
      <x:c r="BJ861" s="121"/>
    </x:row>
    <x:row r="862" ht="15.75" customHeight="1">
      <x:c r="N862" s="120"/>
      <x:c r="P862" s="120"/>
      <x:c r="Q862" s="121"/>
      <x:c r="S862" s="120"/>
      <x:c r="U862" s="120"/>
      <x:c r="V862" s="121"/>
      <x:c r="W862" s="122"/>
      <x:c r="X862" s="120"/>
      <x:c r="Y862" s="122"/>
      <x:c r="Z862" s="120"/>
      <x:c r="AA862" s="121"/>
      <x:c r="AB862" s="122"/>
      <x:c r="AC862" s="120"/>
      <x:c r="AD862" s="122"/>
      <x:c r="AE862" s="120"/>
      <x:c r="AF862" s="121"/>
      <x:c r="AG862" s="122"/>
      <x:c r="AH862" s="120"/>
      <x:c r="AI862" s="122"/>
      <x:c r="AJ862" s="120"/>
      <x:c r="AK862" s="121"/>
      <x:c r="AL862" s="122"/>
      <x:c r="AM862" s="120"/>
      <x:c r="AN862" s="122"/>
      <x:c r="AO862" s="120"/>
      <x:c r="AP862" s="121"/>
      <x:c r="AQ862" s="122"/>
      <x:c r="AR862" s="120"/>
      <x:c r="AS862" s="122"/>
      <x:c r="AT862" s="120"/>
      <x:c r="AU862" s="121"/>
      <x:c r="AV862" s="122"/>
      <x:c r="AW862" s="120"/>
      <x:c r="AX862" s="122"/>
      <x:c r="AY862" s="120"/>
      <x:c r="AZ862" s="121"/>
      <x:c r="BA862" s="122"/>
      <x:c r="BB862" s="120"/>
      <x:c r="BC862" s="122"/>
      <x:c r="BD862" s="120"/>
      <x:c r="BE862" s="121"/>
      <x:c r="BF862" s="122"/>
      <x:c r="BG862" s="120"/>
      <x:c r="BH862" s="122"/>
      <x:c r="BI862" s="120"/>
      <x:c r="BJ862" s="121"/>
    </x:row>
    <x:row r="863" ht="15.75" customHeight="1">
      <x:c r="N863" s="120"/>
      <x:c r="P863" s="120"/>
      <x:c r="Q863" s="121"/>
      <x:c r="S863" s="120"/>
      <x:c r="U863" s="120"/>
      <x:c r="V863" s="121"/>
      <x:c r="W863" s="122"/>
      <x:c r="X863" s="120"/>
      <x:c r="Y863" s="122"/>
      <x:c r="Z863" s="120"/>
      <x:c r="AA863" s="121"/>
      <x:c r="AB863" s="122"/>
      <x:c r="AC863" s="120"/>
      <x:c r="AD863" s="122"/>
      <x:c r="AE863" s="120"/>
      <x:c r="AF863" s="121"/>
      <x:c r="AG863" s="122"/>
      <x:c r="AH863" s="120"/>
      <x:c r="AI863" s="122"/>
      <x:c r="AJ863" s="120"/>
      <x:c r="AK863" s="121"/>
      <x:c r="AL863" s="122"/>
      <x:c r="AM863" s="120"/>
      <x:c r="AN863" s="122"/>
      <x:c r="AO863" s="120"/>
      <x:c r="AP863" s="121"/>
      <x:c r="AQ863" s="122"/>
      <x:c r="AR863" s="120"/>
      <x:c r="AS863" s="122"/>
      <x:c r="AT863" s="120"/>
      <x:c r="AU863" s="121"/>
      <x:c r="AV863" s="122"/>
      <x:c r="AW863" s="120"/>
      <x:c r="AX863" s="122"/>
      <x:c r="AY863" s="120"/>
      <x:c r="AZ863" s="121"/>
      <x:c r="BA863" s="122"/>
      <x:c r="BB863" s="120"/>
      <x:c r="BC863" s="122"/>
      <x:c r="BD863" s="120"/>
      <x:c r="BE863" s="121"/>
      <x:c r="BF863" s="122"/>
      <x:c r="BG863" s="120"/>
      <x:c r="BH863" s="122"/>
      <x:c r="BI863" s="120"/>
      <x:c r="BJ863" s="121"/>
    </x:row>
    <x:row r="864" ht="15.75" customHeight="1">
      <x:c r="N864" s="120"/>
      <x:c r="P864" s="120"/>
      <x:c r="Q864" s="121"/>
      <x:c r="S864" s="120"/>
      <x:c r="U864" s="120"/>
      <x:c r="V864" s="121"/>
      <x:c r="W864" s="122"/>
      <x:c r="X864" s="120"/>
      <x:c r="Y864" s="122"/>
      <x:c r="Z864" s="120"/>
      <x:c r="AA864" s="121"/>
      <x:c r="AB864" s="122"/>
      <x:c r="AC864" s="120"/>
      <x:c r="AD864" s="122"/>
      <x:c r="AE864" s="120"/>
      <x:c r="AF864" s="121"/>
      <x:c r="AG864" s="122"/>
      <x:c r="AH864" s="120"/>
      <x:c r="AI864" s="122"/>
      <x:c r="AJ864" s="120"/>
      <x:c r="AK864" s="121"/>
      <x:c r="AL864" s="122"/>
      <x:c r="AM864" s="120"/>
      <x:c r="AN864" s="122"/>
      <x:c r="AO864" s="120"/>
      <x:c r="AP864" s="121"/>
      <x:c r="AQ864" s="122"/>
      <x:c r="AR864" s="120"/>
      <x:c r="AS864" s="122"/>
      <x:c r="AT864" s="120"/>
      <x:c r="AU864" s="121"/>
      <x:c r="AV864" s="122"/>
      <x:c r="AW864" s="120"/>
      <x:c r="AX864" s="122"/>
      <x:c r="AY864" s="120"/>
      <x:c r="AZ864" s="121"/>
      <x:c r="BA864" s="122"/>
      <x:c r="BB864" s="120"/>
      <x:c r="BC864" s="122"/>
      <x:c r="BD864" s="120"/>
      <x:c r="BE864" s="121"/>
      <x:c r="BF864" s="122"/>
      <x:c r="BG864" s="120"/>
      <x:c r="BH864" s="122"/>
      <x:c r="BI864" s="120"/>
      <x:c r="BJ864" s="121"/>
    </x:row>
    <x:row r="865" ht="15.75" customHeight="1">
      <x:c r="N865" s="120"/>
      <x:c r="P865" s="120"/>
      <x:c r="Q865" s="121"/>
      <x:c r="S865" s="120"/>
      <x:c r="U865" s="120"/>
      <x:c r="V865" s="121"/>
      <x:c r="W865" s="122"/>
      <x:c r="X865" s="120"/>
      <x:c r="Y865" s="122"/>
      <x:c r="Z865" s="120"/>
      <x:c r="AA865" s="121"/>
      <x:c r="AB865" s="122"/>
      <x:c r="AC865" s="120"/>
      <x:c r="AD865" s="122"/>
      <x:c r="AE865" s="120"/>
      <x:c r="AF865" s="121"/>
      <x:c r="AG865" s="122"/>
      <x:c r="AH865" s="120"/>
      <x:c r="AI865" s="122"/>
      <x:c r="AJ865" s="120"/>
      <x:c r="AK865" s="121"/>
      <x:c r="AL865" s="122"/>
      <x:c r="AM865" s="120"/>
      <x:c r="AN865" s="122"/>
      <x:c r="AO865" s="120"/>
      <x:c r="AP865" s="121"/>
      <x:c r="AQ865" s="122"/>
      <x:c r="AR865" s="120"/>
      <x:c r="AS865" s="122"/>
      <x:c r="AT865" s="120"/>
      <x:c r="AU865" s="121"/>
      <x:c r="AV865" s="122"/>
      <x:c r="AW865" s="120"/>
      <x:c r="AX865" s="122"/>
      <x:c r="AY865" s="120"/>
      <x:c r="AZ865" s="121"/>
      <x:c r="BA865" s="122"/>
      <x:c r="BB865" s="120"/>
      <x:c r="BC865" s="122"/>
      <x:c r="BD865" s="120"/>
      <x:c r="BE865" s="121"/>
      <x:c r="BF865" s="122"/>
      <x:c r="BG865" s="120"/>
      <x:c r="BH865" s="122"/>
      <x:c r="BI865" s="120"/>
      <x:c r="BJ865" s="121"/>
    </x:row>
    <x:row r="866" ht="15.75" customHeight="1">
      <x:c r="N866" s="120"/>
      <x:c r="P866" s="120"/>
      <x:c r="Q866" s="121"/>
      <x:c r="S866" s="120"/>
      <x:c r="U866" s="120"/>
      <x:c r="V866" s="121"/>
      <x:c r="W866" s="122"/>
      <x:c r="X866" s="120"/>
      <x:c r="Y866" s="122"/>
      <x:c r="Z866" s="120"/>
      <x:c r="AA866" s="121"/>
      <x:c r="AB866" s="122"/>
      <x:c r="AC866" s="120"/>
      <x:c r="AD866" s="122"/>
      <x:c r="AE866" s="120"/>
      <x:c r="AF866" s="121"/>
      <x:c r="AG866" s="122"/>
      <x:c r="AH866" s="120"/>
      <x:c r="AI866" s="122"/>
      <x:c r="AJ866" s="120"/>
      <x:c r="AK866" s="121"/>
      <x:c r="AL866" s="122"/>
      <x:c r="AM866" s="120"/>
      <x:c r="AN866" s="122"/>
      <x:c r="AO866" s="120"/>
      <x:c r="AP866" s="121"/>
      <x:c r="AQ866" s="122"/>
      <x:c r="AR866" s="120"/>
      <x:c r="AS866" s="122"/>
      <x:c r="AT866" s="120"/>
      <x:c r="AU866" s="121"/>
      <x:c r="AV866" s="122"/>
      <x:c r="AW866" s="120"/>
      <x:c r="AX866" s="122"/>
      <x:c r="AY866" s="120"/>
      <x:c r="AZ866" s="121"/>
      <x:c r="BA866" s="122"/>
      <x:c r="BB866" s="120"/>
      <x:c r="BC866" s="122"/>
      <x:c r="BD866" s="120"/>
      <x:c r="BE866" s="121"/>
      <x:c r="BF866" s="122"/>
      <x:c r="BG866" s="120"/>
      <x:c r="BH866" s="122"/>
      <x:c r="BI866" s="120"/>
      <x:c r="BJ866" s="121"/>
    </x:row>
    <x:row r="867" ht="15.75" customHeight="1">
      <x:c r="N867" s="120"/>
      <x:c r="P867" s="120"/>
      <x:c r="Q867" s="121"/>
      <x:c r="S867" s="120"/>
      <x:c r="U867" s="120"/>
      <x:c r="V867" s="121"/>
      <x:c r="W867" s="122"/>
      <x:c r="X867" s="120"/>
      <x:c r="Y867" s="122"/>
      <x:c r="Z867" s="120"/>
      <x:c r="AA867" s="121"/>
      <x:c r="AB867" s="122"/>
      <x:c r="AC867" s="120"/>
      <x:c r="AD867" s="122"/>
      <x:c r="AE867" s="120"/>
      <x:c r="AF867" s="121"/>
      <x:c r="AG867" s="122"/>
      <x:c r="AH867" s="120"/>
      <x:c r="AI867" s="122"/>
      <x:c r="AJ867" s="120"/>
      <x:c r="AK867" s="121"/>
      <x:c r="AL867" s="122"/>
      <x:c r="AM867" s="120"/>
      <x:c r="AN867" s="122"/>
      <x:c r="AO867" s="120"/>
      <x:c r="AP867" s="121"/>
      <x:c r="AQ867" s="122"/>
      <x:c r="AR867" s="120"/>
      <x:c r="AS867" s="122"/>
      <x:c r="AT867" s="120"/>
      <x:c r="AU867" s="121"/>
      <x:c r="AV867" s="122"/>
      <x:c r="AW867" s="120"/>
      <x:c r="AX867" s="122"/>
      <x:c r="AY867" s="120"/>
      <x:c r="AZ867" s="121"/>
      <x:c r="BA867" s="122"/>
      <x:c r="BB867" s="120"/>
      <x:c r="BC867" s="122"/>
      <x:c r="BD867" s="120"/>
      <x:c r="BE867" s="121"/>
      <x:c r="BF867" s="122"/>
      <x:c r="BG867" s="120"/>
      <x:c r="BH867" s="122"/>
      <x:c r="BI867" s="120"/>
      <x:c r="BJ867" s="121"/>
    </x:row>
    <x:row r="868" ht="15.75" customHeight="1">
      <x:c r="N868" s="120"/>
      <x:c r="P868" s="120"/>
      <x:c r="Q868" s="121"/>
      <x:c r="S868" s="120"/>
      <x:c r="U868" s="120"/>
      <x:c r="V868" s="121"/>
      <x:c r="W868" s="122"/>
      <x:c r="X868" s="120"/>
      <x:c r="Y868" s="122"/>
      <x:c r="Z868" s="120"/>
      <x:c r="AA868" s="121"/>
      <x:c r="AB868" s="122"/>
      <x:c r="AC868" s="120"/>
      <x:c r="AD868" s="122"/>
      <x:c r="AE868" s="120"/>
      <x:c r="AF868" s="121"/>
      <x:c r="AG868" s="122"/>
      <x:c r="AH868" s="120"/>
      <x:c r="AI868" s="122"/>
      <x:c r="AJ868" s="120"/>
      <x:c r="AK868" s="121"/>
      <x:c r="AL868" s="122"/>
      <x:c r="AM868" s="120"/>
      <x:c r="AN868" s="122"/>
      <x:c r="AO868" s="120"/>
      <x:c r="AP868" s="121"/>
      <x:c r="AQ868" s="122"/>
      <x:c r="AR868" s="120"/>
      <x:c r="AS868" s="122"/>
      <x:c r="AT868" s="120"/>
      <x:c r="AU868" s="121"/>
      <x:c r="AV868" s="122"/>
      <x:c r="AW868" s="120"/>
      <x:c r="AX868" s="122"/>
      <x:c r="AY868" s="120"/>
      <x:c r="AZ868" s="121"/>
      <x:c r="BA868" s="122"/>
      <x:c r="BB868" s="120"/>
      <x:c r="BC868" s="122"/>
      <x:c r="BD868" s="120"/>
      <x:c r="BE868" s="121"/>
      <x:c r="BF868" s="122"/>
      <x:c r="BG868" s="120"/>
      <x:c r="BH868" s="122"/>
      <x:c r="BI868" s="120"/>
      <x:c r="BJ868" s="121"/>
    </x:row>
    <x:row r="869" ht="15.75" customHeight="1">
      <x:c r="N869" s="120"/>
      <x:c r="P869" s="120"/>
      <x:c r="Q869" s="121"/>
      <x:c r="S869" s="120"/>
      <x:c r="U869" s="120"/>
      <x:c r="V869" s="121"/>
      <x:c r="W869" s="122"/>
      <x:c r="X869" s="120"/>
      <x:c r="Y869" s="122"/>
      <x:c r="Z869" s="120"/>
      <x:c r="AA869" s="121"/>
      <x:c r="AB869" s="122"/>
      <x:c r="AC869" s="120"/>
      <x:c r="AD869" s="122"/>
      <x:c r="AE869" s="120"/>
      <x:c r="AF869" s="121"/>
      <x:c r="AG869" s="122"/>
      <x:c r="AH869" s="120"/>
      <x:c r="AI869" s="122"/>
      <x:c r="AJ869" s="120"/>
      <x:c r="AK869" s="121"/>
      <x:c r="AL869" s="122"/>
      <x:c r="AM869" s="120"/>
      <x:c r="AN869" s="122"/>
      <x:c r="AO869" s="120"/>
      <x:c r="AP869" s="121"/>
      <x:c r="AQ869" s="122"/>
      <x:c r="AR869" s="120"/>
      <x:c r="AS869" s="122"/>
      <x:c r="AT869" s="120"/>
      <x:c r="AU869" s="121"/>
      <x:c r="AV869" s="122"/>
      <x:c r="AW869" s="120"/>
      <x:c r="AX869" s="122"/>
      <x:c r="AY869" s="120"/>
      <x:c r="AZ869" s="121"/>
      <x:c r="BA869" s="122"/>
      <x:c r="BB869" s="120"/>
      <x:c r="BC869" s="122"/>
      <x:c r="BD869" s="120"/>
      <x:c r="BE869" s="121"/>
      <x:c r="BF869" s="122"/>
      <x:c r="BG869" s="120"/>
      <x:c r="BH869" s="122"/>
      <x:c r="BI869" s="120"/>
      <x:c r="BJ869" s="121"/>
    </x:row>
    <x:row r="870" ht="15.75" customHeight="1">
      <x:c r="N870" s="120"/>
      <x:c r="P870" s="120"/>
      <x:c r="Q870" s="121"/>
      <x:c r="S870" s="120"/>
      <x:c r="U870" s="120"/>
      <x:c r="V870" s="121"/>
      <x:c r="W870" s="122"/>
      <x:c r="X870" s="120"/>
      <x:c r="Y870" s="122"/>
      <x:c r="Z870" s="120"/>
      <x:c r="AA870" s="121"/>
      <x:c r="AB870" s="122"/>
      <x:c r="AC870" s="120"/>
      <x:c r="AD870" s="122"/>
      <x:c r="AE870" s="120"/>
      <x:c r="AF870" s="121"/>
      <x:c r="AG870" s="122"/>
      <x:c r="AH870" s="120"/>
      <x:c r="AI870" s="122"/>
      <x:c r="AJ870" s="120"/>
      <x:c r="AK870" s="121"/>
      <x:c r="AL870" s="122"/>
      <x:c r="AM870" s="120"/>
      <x:c r="AN870" s="122"/>
      <x:c r="AO870" s="120"/>
      <x:c r="AP870" s="121"/>
      <x:c r="AQ870" s="122"/>
      <x:c r="AR870" s="120"/>
      <x:c r="AS870" s="122"/>
      <x:c r="AT870" s="120"/>
      <x:c r="AU870" s="121"/>
      <x:c r="AV870" s="122"/>
      <x:c r="AW870" s="120"/>
      <x:c r="AX870" s="122"/>
      <x:c r="AY870" s="120"/>
      <x:c r="AZ870" s="121"/>
      <x:c r="BA870" s="122"/>
      <x:c r="BB870" s="120"/>
      <x:c r="BC870" s="122"/>
      <x:c r="BD870" s="120"/>
      <x:c r="BE870" s="121"/>
      <x:c r="BF870" s="122"/>
      <x:c r="BG870" s="120"/>
      <x:c r="BH870" s="122"/>
      <x:c r="BI870" s="120"/>
      <x:c r="BJ870" s="121"/>
    </x:row>
    <x:row r="871" ht="15.75" customHeight="1">
      <x:c r="N871" s="120"/>
      <x:c r="P871" s="120"/>
      <x:c r="Q871" s="121"/>
      <x:c r="S871" s="120"/>
      <x:c r="U871" s="120"/>
      <x:c r="V871" s="121"/>
      <x:c r="W871" s="122"/>
      <x:c r="X871" s="120"/>
      <x:c r="Y871" s="122"/>
      <x:c r="Z871" s="120"/>
      <x:c r="AA871" s="121"/>
      <x:c r="AB871" s="122"/>
      <x:c r="AC871" s="120"/>
      <x:c r="AD871" s="122"/>
      <x:c r="AE871" s="120"/>
      <x:c r="AF871" s="121"/>
      <x:c r="AG871" s="122"/>
      <x:c r="AH871" s="120"/>
      <x:c r="AI871" s="122"/>
      <x:c r="AJ871" s="120"/>
      <x:c r="AK871" s="121"/>
      <x:c r="AL871" s="122"/>
      <x:c r="AM871" s="120"/>
      <x:c r="AN871" s="122"/>
      <x:c r="AO871" s="120"/>
      <x:c r="AP871" s="121"/>
      <x:c r="AQ871" s="122"/>
      <x:c r="AR871" s="120"/>
      <x:c r="AS871" s="122"/>
      <x:c r="AT871" s="120"/>
      <x:c r="AU871" s="121"/>
      <x:c r="AV871" s="122"/>
      <x:c r="AW871" s="120"/>
      <x:c r="AX871" s="122"/>
      <x:c r="AY871" s="120"/>
      <x:c r="AZ871" s="121"/>
      <x:c r="BA871" s="122"/>
      <x:c r="BB871" s="120"/>
      <x:c r="BC871" s="122"/>
      <x:c r="BD871" s="120"/>
      <x:c r="BE871" s="121"/>
      <x:c r="BF871" s="122"/>
      <x:c r="BG871" s="120"/>
      <x:c r="BH871" s="122"/>
      <x:c r="BI871" s="120"/>
      <x:c r="BJ871" s="121"/>
    </x:row>
    <x:row r="872" ht="15.75" customHeight="1">
      <x:c r="N872" s="120"/>
      <x:c r="P872" s="120"/>
      <x:c r="Q872" s="121"/>
      <x:c r="S872" s="120"/>
      <x:c r="U872" s="120"/>
      <x:c r="V872" s="121"/>
      <x:c r="W872" s="122"/>
      <x:c r="X872" s="120"/>
      <x:c r="Y872" s="122"/>
      <x:c r="Z872" s="120"/>
      <x:c r="AA872" s="121"/>
      <x:c r="AB872" s="122"/>
      <x:c r="AC872" s="120"/>
      <x:c r="AD872" s="122"/>
      <x:c r="AE872" s="120"/>
      <x:c r="AF872" s="121"/>
      <x:c r="AG872" s="122"/>
      <x:c r="AH872" s="120"/>
      <x:c r="AI872" s="122"/>
      <x:c r="AJ872" s="120"/>
      <x:c r="AK872" s="121"/>
      <x:c r="AL872" s="122"/>
      <x:c r="AM872" s="120"/>
      <x:c r="AN872" s="122"/>
      <x:c r="AO872" s="120"/>
      <x:c r="AP872" s="121"/>
      <x:c r="AQ872" s="122"/>
      <x:c r="AR872" s="120"/>
      <x:c r="AS872" s="122"/>
      <x:c r="AT872" s="120"/>
      <x:c r="AU872" s="121"/>
      <x:c r="AV872" s="122"/>
      <x:c r="AW872" s="120"/>
      <x:c r="AX872" s="122"/>
      <x:c r="AY872" s="120"/>
      <x:c r="AZ872" s="121"/>
      <x:c r="BA872" s="122"/>
      <x:c r="BB872" s="120"/>
      <x:c r="BC872" s="122"/>
      <x:c r="BD872" s="120"/>
      <x:c r="BE872" s="121"/>
      <x:c r="BF872" s="122"/>
      <x:c r="BG872" s="120"/>
      <x:c r="BH872" s="122"/>
      <x:c r="BI872" s="120"/>
      <x:c r="BJ872" s="121"/>
    </x:row>
    <x:row r="873" ht="15.75" customHeight="1">
      <x:c r="N873" s="120"/>
      <x:c r="P873" s="120"/>
      <x:c r="Q873" s="121"/>
      <x:c r="S873" s="120"/>
      <x:c r="U873" s="120"/>
      <x:c r="V873" s="121"/>
      <x:c r="W873" s="122"/>
      <x:c r="X873" s="120"/>
      <x:c r="Y873" s="122"/>
      <x:c r="Z873" s="120"/>
      <x:c r="AA873" s="121"/>
      <x:c r="AB873" s="122"/>
      <x:c r="AC873" s="120"/>
      <x:c r="AD873" s="122"/>
      <x:c r="AE873" s="120"/>
      <x:c r="AF873" s="121"/>
      <x:c r="AG873" s="122"/>
      <x:c r="AH873" s="120"/>
      <x:c r="AI873" s="122"/>
      <x:c r="AJ873" s="120"/>
      <x:c r="AK873" s="121"/>
      <x:c r="AL873" s="122"/>
      <x:c r="AM873" s="120"/>
      <x:c r="AN873" s="122"/>
      <x:c r="AO873" s="120"/>
      <x:c r="AP873" s="121"/>
      <x:c r="AQ873" s="122"/>
      <x:c r="AR873" s="120"/>
      <x:c r="AS873" s="122"/>
      <x:c r="AT873" s="120"/>
      <x:c r="AU873" s="121"/>
      <x:c r="AV873" s="122"/>
      <x:c r="AW873" s="120"/>
      <x:c r="AX873" s="122"/>
      <x:c r="AY873" s="120"/>
      <x:c r="AZ873" s="121"/>
      <x:c r="BA873" s="122"/>
      <x:c r="BB873" s="120"/>
      <x:c r="BC873" s="122"/>
      <x:c r="BD873" s="120"/>
      <x:c r="BE873" s="121"/>
      <x:c r="BF873" s="122"/>
      <x:c r="BG873" s="120"/>
      <x:c r="BH873" s="122"/>
      <x:c r="BI873" s="120"/>
      <x:c r="BJ873" s="121"/>
    </x:row>
    <x:row r="874" ht="15.75" customHeight="1">
      <x:c r="N874" s="120"/>
      <x:c r="P874" s="120"/>
      <x:c r="Q874" s="121"/>
      <x:c r="S874" s="120"/>
      <x:c r="U874" s="120"/>
      <x:c r="V874" s="121"/>
      <x:c r="W874" s="122"/>
      <x:c r="X874" s="120"/>
      <x:c r="Y874" s="122"/>
      <x:c r="Z874" s="120"/>
      <x:c r="AA874" s="121"/>
      <x:c r="AB874" s="122"/>
      <x:c r="AC874" s="120"/>
      <x:c r="AD874" s="122"/>
      <x:c r="AE874" s="120"/>
      <x:c r="AF874" s="121"/>
      <x:c r="AG874" s="122"/>
      <x:c r="AH874" s="120"/>
      <x:c r="AI874" s="122"/>
      <x:c r="AJ874" s="120"/>
      <x:c r="AK874" s="121"/>
      <x:c r="AL874" s="122"/>
      <x:c r="AM874" s="120"/>
      <x:c r="AN874" s="122"/>
      <x:c r="AO874" s="120"/>
      <x:c r="AP874" s="121"/>
      <x:c r="AQ874" s="122"/>
      <x:c r="AR874" s="120"/>
      <x:c r="AS874" s="122"/>
      <x:c r="AT874" s="120"/>
      <x:c r="AU874" s="121"/>
      <x:c r="AV874" s="122"/>
      <x:c r="AW874" s="120"/>
      <x:c r="AX874" s="122"/>
      <x:c r="AY874" s="120"/>
      <x:c r="AZ874" s="121"/>
      <x:c r="BA874" s="122"/>
      <x:c r="BB874" s="120"/>
      <x:c r="BC874" s="122"/>
      <x:c r="BD874" s="120"/>
      <x:c r="BE874" s="121"/>
      <x:c r="BF874" s="122"/>
      <x:c r="BG874" s="120"/>
      <x:c r="BH874" s="122"/>
      <x:c r="BI874" s="120"/>
      <x:c r="BJ874" s="121"/>
    </x:row>
    <x:row r="875" ht="15.75" customHeight="1">
      <x:c r="N875" s="120"/>
      <x:c r="P875" s="120"/>
      <x:c r="Q875" s="121"/>
      <x:c r="S875" s="120"/>
      <x:c r="U875" s="120"/>
      <x:c r="V875" s="121"/>
      <x:c r="W875" s="122"/>
      <x:c r="X875" s="120"/>
      <x:c r="Y875" s="122"/>
      <x:c r="Z875" s="120"/>
      <x:c r="AA875" s="121"/>
      <x:c r="AB875" s="122"/>
      <x:c r="AC875" s="120"/>
      <x:c r="AD875" s="122"/>
      <x:c r="AE875" s="120"/>
      <x:c r="AF875" s="121"/>
      <x:c r="AG875" s="122"/>
      <x:c r="AH875" s="120"/>
      <x:c r="AI875" s="122"/>
      <x:c r="AJ875" s="120"/>
      <x:c r="AK875" s="121"/>
      <x:c r="AL875" s="122"/>
      <x:c r="AM875" s="120"/>
      <x:c r="AN875" s="122"/>
      <x:c r="AO875" s="120"/>
      <x:c r="AP875" s="121"/>
      <x:c r="AQ875" s="122"/>
      <x:c r="AR875" s="120"/>
      <x:c r="AS875" s="122"/>
      <x:c r="AT875" s="120"/>
      <x:c r="AU875" s="121"/>
      <x:c r="AV875" s="122"/>
      <x:c r="AW875" s="120"/>
      <x:c r="AX875" s="122"/>
      <x:c r="AY875" s="120"/>
      <x:c r="AZ875" s="121"/>
      <x:c r="BA875" s="122"/>
      <x:c r="BB875" s="120"/>
      <x:c r="BC875" s="122"/>
      <x:c r="BD875" s="120"/>
      <x:c r="BE875" s="121"/>
      <x:c r="BF875" s="122"/>
      <x:c r="BG875" s="120"/>
      <x:c r="BH875" s="122"/>
      <x:c r="BI875" s="120"/>
      <x:c r="BJ875" s="121"/>
    </x:row>
    <x:row r="876" ht="15.75" customHeight="1">
      <x:c r="N876" s="120"/>
      <x:c r="P876" s="120"/>
      <x:c r="Q876" s="121"/>
      <x:c r="S876" s="120"/>
      <x:c r="U876" s="120"/>
      <x:c r="V876" s="121"/>
      <x:c r="W876" s="122"/>
      <x:c r="X876" s="120"/>
      <x:c r="Y876" s="122"/>
      <x:c r="Z876" s="120"/>
      <x:c r="AA876" s="121"/>
      <x:c r="AB876" s="122"/>
      <x:c r="AC876" s="120"/>
      <x:c r="AD876" s="122"/>
      <x:c r="AE876" s="120"/>
      <x:c r="AF876" s="121"/>
      <x:c r="AG876" s="122"/>
      <x:c r="AH876" s="120"/>
      <x:c r="AI876" s="122"/>
      <x:c r="AJ876" s="120"/>
      <x:c r="AK876" s="121"/>
      <x:c r="AL876" s="122"/>
      <x:c r="AM876" s="120"/>
      <x:c r="AN876" s="122"/>
      <x:c r="AO876" s="120"/>
      <x:c r="AP876" s="121"/>
      <x:c r="AQ876" s="122"/>
      <x:c r="AR876" s="120"/>
      <x:c r="AS876" s="122"/>
      <x:c r="AT876" s="120"/>
      <x:c r="AU876" s="121"/>
      <x:c r="AV876" s="122"/>
      <x:c r="AW876" s="120"/>
      <x:c r="AX876" s="122"/>
      <x:c r="AY876" s="120"/>
      <x:c r="AZ876" s="121"/>
      <x:c r="BA876" s="122"/>
      <x:c r="BB876" s="120"/>
      <x:c r="BC876" s="122"/>
      <x:c r="BD876" s="120"/>
      <x:c r="BE876" s="121"/>
      <x:c r="BF876" s="122"/>
      <x:c r="BG876" s="120"/>
      <x:c r="BH876" s="122"/>
      <x:c r="BI876" s="120"/>
      <x:c r="BJ876" s="121"/>
    </x:row>
    <x:row r="877" ht="15.75" customHeight="1">
      <x:c r="N877" s="120"/>
      <x:c r="P877" s="120"/>
      <x:c r="Q877" s="121"/>
      <x:c r="S877" s="120"/>
      <x:c r="U877" s="120"/>
      <x:c r="V877" s="121"/>
      <x:c r="W877" s="122"/>
      <x:c r="X877" s="120"/>
      <x:c r="Y877" s="122"/>
      <x:c r="Z877" s="120"/>
      <x:c r="AA877" s="121"/>
      <x:c r="AB877" s="122"/>
      <x:c r="AC877" s="120"/>
      <x:c r="AD877" s="122"/>
      <x:c r="AE877" s="120"/>
      <x:c r="AF877" s="121"/>
      <x:c r="AG877" s="122"/>
      <x:c r="AH877" s="120"/>
      <x:c r="AI877" s="122"/>
      <x:c r="AJ877" s="120"/>
      <x:c r="AK877" s="121"/>
      <x:c r="AL877" s="122"/>
      <x:c r="AM877" s="120"/>
      <x:c r="AN877" s="122"/>
      <x:c r="AO877" s="120"/>
      <x:c r="AP877" s="121"/>
      <x:c r="AQ877" s="122"/>
      <x:c r="AR877" s="120"/>
      <x:c r="AS877" s="122"/>
      <x:c r="AT877" s="120"/>
      <x:c r="AU877" s="121"/>
      <x:c r="AV877" s="122"/>
      <x:c r="AW877" s="120"/>
      <x:c r="AX877" s="122"/>
      <x:c r="AY877" s="120"/>
      <x:c r="AZ877" s="121"/>
      <x:c r="BA877" s="122"/>
      <x:c r="BB877" s="120"/>
      <x:c r="BC877" s="122"/>
      <x:c r="BD877" s="120"/>
      <x:c r="BE877" s="121"/>
      <x:c r="BF877" s="122"/>
      <x:c r="BG877" s="120"/>
      <x:c r="BH877" s="122"/>
      <x:c r="BI877" s="120"/>
      <x:c r="BJ877" s="121"/>
    </x:row>
    <x:row r="878" ht="15.75" customHeight="1">
      <x:c r="N878" s="120"/>
      <x:c r="P878" s="120"/>
      <x:c r="Q878" s="121"/>
      <x:c r="S878" s="120"/>
      <x:c r="U878" s="120"/>
      <x:c r="V878" s="121"/>
      <x:c r="W878" s="122"/>
      <x:c r="X878" s="120"/>
      <x:c r="Y878" s="122"/>
      <x:c r="Z878" s="120"/>
      <x:c r="AA878" s="121"/>
      <x:c r="AB878" s="122"/>
      <x:c r="AC878" s="120"/>
      <x:c r="AD878" s="122"/>
      <x:c r="AE878" s="120"/>
      <x:c r="AF878" s="121"/>
      <x:c r="AG878" s="122"/>
      <x:c r="AH878" s="120"/>
      <x:c r="AI878" s="122"/>
      <x:c r="AJ878" s="120"/>
      <x:c r="AK878" s="121"/>
      <x:c r="AL878" s="122"/>
      <x:c r="AM878" s="120"/>
      <x:c r="AN878" s="122"/>
      <x:c r="AO878" s="120"/>
      <x:c r="AP878" s="121"/>
      <x:c r="AQ878" s="122"/>
      <x:c r="AR878" s="120"/>
      <x:c r="AS878" s="122"/>
      <x:c r="AT878" s="120"/>
      <x:c r="AU878" s="121"/>
      <x:c r="AV878" s="122"/>
      <x:c r="AW878" s="120"/>
      <x:c r="AX878" s="122"/>
      <x:c r="AY878" s="120"/>
      <x:c r="AZ878" s="121"/>
      <x:c r="BA878" s="122"/>
      <x:c r="BB878" s="120"/>
      <x:c r="BC878" s="122"/>
      <x:c r="BD878" s="120"/>
      <x:c r="BE878" s="121"/>
      <x:c r="BF878" s="122"/>
      <x:c r="BG878" s="120"/>
      <x:c r="BH878" s="122"/>
      <x:c r="BI878" s="120"/>
      <x:c r="BJ878" s="121"/>
    </x:row>
    <x:row r="879" ht="15.75" customHeight="1">
      <x:c r="N879" s="120"/>
      <x:c r="P879" s="120"/>
      <x:c r="Q879" s="121"/>
      <x:c r="S879" s="120"/>
      <x:c r="U879" s="120"/>
      <x:c r="V879" s="121"/>
      <x:c r="W879" s="122"/>
      <x:c r="X879" s="120"/>
      <x:c r="Y879" s="122"/>
      <x:c r="Z879" s="120"/>
      <x:c r="AA879" s="121"/>
      <x:c r="AB879" s="122"/>
      <x:c r="AC879" s="120"/>
      <x:c r="AD879" s="122"/>
      <x:c r="AE879" s="120"/>
      <x:c r="AF879" s="121"/>
      <x:c r="AG879" s="122"/>
      <x:c r="AH879" s="120"/>
      <x:c r="AI879" s="122"/>
      <x:c r="AJ879" s="120"/>
      <x:c r="AK879" s="121"/>
      <x:c r="AL879" s="122"/>
      <x:c r="AM879" s="120"/>
      <x:c r="AN879" s="122"/>
      <x:c r="AO879" s="120"/>
      <x:c r="AP879" s="121"/>
      <x:c r="AQ879" s="122"/>
      <x:c r="AR879" s="120"/>
      <x:c r="AS879" s="122"/>
      <x:c r="AT879" s="120"/>
      <x:c r="AU879" s="121"/>
      <x:c r="AV879" s="122"/>
      <x:c r="AW879" s="120"/>
      <x:c r="AX879" s="122"/>
      <x:c r="AY879" s="120"/>
      <x:c r="AZ879" s="121"/>
      <x:c r="BA879" s="122"/>
      <x:c r="BB879" s="120"/>
      <x:c r="BC879" s="122"/>
      <x:c r="BD879" s="120"/>
      <x:c r="BE879" s="121"/>
      <x:c r="BF879" s="122"/>
      <x:c r="BG879" s="120"/>
      <x:c r="BH879" s="122"/>
      <x:c r="BI879" s="120"/>
      <x:c r="BJ879" s="121"/>
    </x:row>
    <x:row r="880" ht="15.75" customHeight="1">
      <x:c r="N880" s="120"/>
      <x:c r="P880" s="120"/>
      <x:c r="Q880" s="121"/>
      <x:c r="S880" s="120"/>
      <x:c r="U880" s="120"/>
      <x:c r="V880" s="121"/>
      <x:c r="W880" s="122"/>
      <x:c r="X880" s="120"/>
      <x:c r="Y880" s="122"/>
      <x:c r="Z880" s="120"/>
      <x:c r="AA880" s="121"/>
      <x:c r="AB880" s="122"/>
      <x:c r="AC880" s="120"/>
      <x:c r="AD880" s="122"/>
      <x:c r="AE880" s="120"/>
      <x:c r="AF880" s="121"/>
      <x:c r="AG880" s="122"/>
      <x:c r="AH880" s="120"/>
      <x:c r="AI880" s="122"/>
      <x:c r="AJ880" s="120"/>
      <x:c r="AK880" s="121"/>
      <x:c r="AL880" s="122"/>
      <x:c r="AM880" s="120"/>
      <x:c r="AN880" s="122"/>
      <x:c r="AO880" s="120"/>
      <x:c r="AP880" s="121"/>
      <x:c r="AQ880" s="122"/>
      <x:c r="AR880" s="120"/>
      <x:c r="AS880" s="122"/>
      <x:c r="AT880" s="120"/>
      <x:c r="AU880" s="121"/>
      <x:c r="AV880" s="122"/>
      <x:c r="AW880" s="120"/>
      <x:c r="AX880" s="122"/>
      <x:c r="AY880" s="120"/>
      <x:c r="AZ880" s="121"/>
      <x:c r="BA880" s="122"/>
      <x:c r="BB880" s="120"/>
      <x:c r="BC880" s="122"/>
      <x:c r="BD880" s="120"/>
      <x:c r="BE880" s="121"/>
      <x:c r="BF880" s="122"/>
      <x:c r="BG880" s="120"/>
      <x:c r="BH880" s="122"/>
      <x:c r="BI880" s="120"/>
      <x:c r="BJ880" s="121"/>
    </x:row>
    <x:row r="881" ht="15.75" customHeight="1">
      <x:c r="N881" s="120"/>
      <x:c r="P881" s="120"/>
      <x:c r="Q881" s="121"/>
      <x:c r="S881" s="120"/>
      <x:c r="U881" s="120"/>
      <x:c r="V881" s="121"/>
      <x:c r="W881" s="122"/>
      <x:c r="X881" s="120"/>
      <x:c r="Y881" s="122"/>
      <x:c r="Z881" s="120"/>
      <x:c r="AA881" s="121"/>
      <x:c r="AB881" s="122"/>
      <x:c r="AC881" s="120"/>
      <x:c r="AD881" s="122"/>
      <x:c r="AE881" s="120"/>
      <x:c r="AF881" s="121"/>
      <x:c r="AG881" s="122"/>
      <x:c r="AH881" s="120"/>
      <x:c r="AI881" s="122"/>
      <x:c r="AJ881" s="120"/>
      <x:c r="AK881" s="121"/>
      <x:c r="AL881" s="122"/>
      <x:c r="AM881" s="120"/>
      <x:c r="AN881" s="122"/>
      <x:c r="AO881" s="120"/>
      <x:c r="AP881" s="121"/>
      <x:c r="AQ881" s="122"/>
      <x:c r="AR881" s="120"/>
      <x:c r="AS881" s="122"/>
      <x:c r="AT881" s="120"/>
      <x:c r="AU881" s="121"/>
      <x:c r="AV881" s="122"/>
      <x:c r="AW881" s="120"/>
      <x:c r="AX881" s="122"/>
      <x:c r="AY881" s="120"/>
      <x:c r="AZ881" s="121"/>
      <x:c r="BA881" s="122"/>
      <x:c r="BB881" s="120"/>
      <x:c r="BC881" s="122"/>
      <x:c r="BD881" s="120"/>
      <x:c r="BE881" s="121"/>
      <x:c r="BF881" s="122"/>
      <x:c r="BG881" s="120"/>
      <x:c r="BH881" s="122"/>
      <x:c r="BI881" s="120"/>
      <x:c r="BJ881" s="121"/>
    </x:row>
    <x:row r="882" ht="15.75" customHeight="1">
      <x:c r="N882" s="120"/>
      <x:c r="P882" s="120"/>
      <x:c r="Q882" s="121"/>
      <x:c r="S882" s="120"/>
      <x:c r="U882" s="120"/>
      <x:c r="V882" s="121"/>
      <x:c r="W882" s="122"/>
      <x:c r="X882" s="120"/>
      <x:c r="Y882" s="122"/>
      <x:c r="Z882" s="120"/>
      <x:c r="AA882" s="121"/>
      <x:c r="AB882" s="122"/>
      <x:c r="AC882" s="120"/>
      <x:c r="AD882" s="122"/>
      <x:c r="AE882" s="120"/>
      <x:c r="AF882" s="121"/>
      <x:c r="AG882" s="122"/>
      <x:c r="AH882" s="120"/>
      <x:c r="AI882" s="122"/>
      <x:c r="AJ882" s="120"/>
      <x:c r="AK882" s="121"/>
      <x:c r="AL882" s="122"/>
      <x:c r="AM882" s="120"/>
      <x:c r="AN882" s="122"/>
      <x:c r="AO882" s="120"/>
      <x:c r="AP882" s="121"/>
      <x:c r="AQ882" s="122"/>
      <x:c r="AR882" s="120"/>
      <x:c r="AS882" s="122"/>
      <x:c r="AT882" s="120"/>
      <x:c r="AU882" s="121"/>
      <x:c r="AV882" s="122"/>
      <x:c r="AW882" s="120"/>
      <x:c r="AX882" s="122"/>
      <x:c r="AY882" s="120"/>
      <x:c r="AZ882" s="121"/>
      <x:c r="BA882" s="122"/>
      <x:c r="BB882" s="120"/>
      <x:c r="BC882" s="122"/>
      <x:c r="BD882" s="120"/>
      <x:c r="BE882" s="121"/>
      <x:c r="BF882" s="122"/>
      <x:c r="BG882" s="120"/>
      <x:c r="BH882" s="122"/>
      <x:c r="BI882" s="120"/>
      <x:c r="BJ882" s="121"/>
    </x:row>
    <x:row r="883" ht="15.75" customHeight="1">
      <x:c r="N883" s="120"/>
      <x:c r="P883" s="120"/>
      <x:c r="Q883" s="121"/>
      <x:c r="S883" s="120"/>
      <x:c r="U883" s="120"/>
      <x:c r="V883" s="121"/>
      <x:c r="W883" s="122"/>
      <x:c r="X883" s="120"/>
      <x:c r="Y883" s="122"/>
      <x:c r="Z883" s="120"/>
      <x:c r="AA883" s="121"/>
      <x:c r="AB883" s="122"/>
      <x:c r="AC883" s="120"/>
      <x:c r="AD883" s="122"/>
      <x:c r="AE883" s="120"/>
      <x:c r="AF883" s="121"/>
      <x:c r="AG883" s="122"/>
      <x:c r="AH883" s="120"/>
      <x:c r="AI883" s="122"/>
      <x:c r="AJ883" s="120"/>
      <x:c r="AK883" s="121"/>
      <x:c r="AL883" s="122"/>
      <x:c r="AM883" s="120"/>
      <x:c r="AN883" s="122"/>
      <x:c r="AO883" s="120"/>
      <x:c r="AP883" s="121"/>
      <x:c r="AQ883" s="122"/>
      <x:c r="AR883" s="120"/>
      <x:c r="AS883" s="122"/>
      <x:c r="AT883" s="120"/>
      <x:c r="AU883" s="121"/>
      <x:c r="AV883" s="122"/>
      <x:c r="AW883" s="120"/>
      <x:c r="AX883" s="122"/>
      <x:c r="AY883" s="120"/>
      <x:c r="AZ883" s="121"/>
      <x:c r="BA883" s="122"/>
      <x:c r="BB883" s="120"/>
      <x:c r="BC883" s="122"/>
      <x:c r="BD883" s="120"/>
      <x:c r="BE883" s="121"/>
      <x:c r="BF883" s="122"/>
      <x:c r="BG883" s="120"/>
      <x:c r="BH883" s="122"/>
      <x:c r="BI883" s="120"/>
      <x:c r="BJ883" s="121"/>
    </x:row>
    <x:row r="884" ht="15.75" customHeight="1">
      <x:c r="N884" s="120"/>
      <x:c r="P884" s="120"/>
      <x:c r="Q884" s="121"/>
      <x:c r="S884" s="120"/>
      <x:c r="U884" s="120"/>
      <x:c r="V884" s="121"/>
      <x:c r="W884" s="122"/>
      <x:c r="X884" s="120"/>
      <x:c r="Y884" s="122"/>
      <x:c r="Z884" s="120"/>
      <x:c r="AA884" s="121"/>
      <x:c r="AB884" s="122"/>
      <x:c r="AC884" s="120"/>
      <x:c r="AD884" s="122"/>
      <x:c r="AE884" s="120"/>
      <x:c r="AF884" s="121"/>
      <x:c r="AG884" s="122"/>
      <x:c r="AH884" s="120"/>
      <x:c r="AI884" s="122"/>
      <x:c r="AJ884" s="120"/>
      <x:c r="AK884" s="121"/>
      <x:c r="AL884" s="122"/>
      <x:c r="AM884" s="120"/>
      <x:c r="AN884" s="122"/>
      <x:c r="AO884" s="120"/>
      <x:c r="AP884" s="121"/>
      <x:c r="AQ884" s="122"/>
      <x:c r="AR884" s="120"/>
      <x:c r="AS884" s="122"/>
      <x:c r="AT884" s="120"/>
      <x:c r="AU884" s="121"/>
      <x:c r="AV884" s="122"/>
      <x:c r="AW884" s="120"/>
      <x:c r="AX884" s="122"/>
      <x:c r="AY884" s="120"/>
      <x:c r="AZ884" s="121"/>
      <x:c r="BA884" s="122"/>
      <x:c r="BB884" s="120"/>
      <x:c r="BC884" s="122"/>
      <x:c r="BD884" s="120"/>
      <x:c r="BE884" s="121"/>
      <x:c r="BF884" s="122"/>
      <x:c r="BG884" s="120"/>
      <x:c r="BH884" s="122"/>
      <x:c r="BI884" s="120"/>
      <x:c r="BJ884" s="121"/>
    </x:row>
    <x:row r="885" ht="15.75" customHeight="1">
      <x:c r="N885" s="120"/>
      <x:c r="P885" s="120"/>
      <x:c r="Q885" s="121"/>
      <x:c r="S885" s="120"/>
      <x:c r="U885" s="120"/>
      <x:c r="V885" s="121"/>
      <x:c r="W885" s="122"/>
      <x:c r="X885" s="120"/>
      <x:c r="Y885" s="122"/>
      <x:c r="Z885" s="120"/>
      <x:c r="AA885" s="121"/>
      <x:c r="AB885" s="122"/>
      <x:c r="AC885" s="120"/>
      <x:c r="AD885" s="122"/>
      <x:c r="AE885" s="120"/>
      <x:c r="AF885" s="121"/>
      <x:c r="AG885" s="122"/>
      <x:c r="AH885" s="120"/>
      <x:c r="AI885" s="122"/>
      <x:c r="AJ885" s="120"/>
      <x:c r="AK885" s="121"/>
      <x:c r="AL885" s="122"/>
      <x:c r="AM885" s="120"/>
      <x:c r="AN885" s="122"/>
      <x:c r="AO885" s="120"/>
      <x:c r="AP885" s="121"/>
      <x:c r="AQ885" s="122"/>
      <x:c r="AR885" s="120"/>
      <x:c r="AS885" s="122"/>
      <x:c r="AT885" s="120"/>
      <x:c r="AU885" s="121"/>
      <x:c r="AV885" s="122"/>
      <x:c r="AW885" s="120"/>
      <x:c r="AX885" s="122"/>
      <x:c r="AY885" s="120"/>
      <x:c r="AZ885" s="121"/>
      <x:c r="BA885" s="122"/>
      <x:c r="BB885" s="120"/>
      <x:c r="BC885" s="122"/>
      <x:c r="BD885" s="120"/>
      <x:c r="BE885" s="121"/>
      <x:c r="BF885" s="122"/>
      <x:c r="BG885" s="120"/>
      <x:c r="BH885" s="122"/>
      <x:c r="BI885" s="120"/>
      <x:c r="BJ885" s="121"/>
    </x:row>
    <x:row r="886" ht="15.75" customHeight="1">
      <x:c r="N886" s="120"/>
      <x:c r="P886" s="120"/>
      <x:c r="Q886" s="121"/>
      <x:c r="S886" s="120"/>
      <x:c r="U886" s="120"/>
      <x:c r="V886" s="121"/>
      <x:c r="W886" s="122"/>
      <x:c r="X886" s="120"/>
      <x:c r="Y886" s="122"/>
      <x:c r="Z886" s="120"/>
      <x:c r="AA886" s="121"/>
      <x:c r="AB886" s="122"/>
      <x:c r="AC886" s="120"/>
      <x:c r="AD886" s="122"/>
      <x:c r="AE886" s="120"/>
      <x:c r="AF886" s="121"/>
      <x:c r="AG886" s="122"/>
      <x:c r="AH886" s="120"/>
      <x:c r="AI886" s="122"/>
      <x:c r="AJ886" s="120"/>
      <x:c r="AK886" s="121"/>
      <x:c r="AL886" s="122"/>
      <x:c r="AM886" s="120"/>
      <x:c r="AN886" s="122"/>
      <x:c r="AO886" s="120"/>
      <x:c r="AP886" s="121"/>
      <x:c r="AQ886" s="122"/>
      <x:c r="AR886" s="120"/>
      <x:c r="AS886" s="122"/>
      <x:c r="AT886" s="120"/>
      <x:c r="AU886" s="121"/>
      <x:c r="AV886" s="122"/>
      <x:c r="AW886" s="120"/>
      <x:c r="AX886" s="122"/>
      <x:c r="AY886" s="120"/>
      <x:c r="AZ886" s="121"/>
      <x:c r="BA886" s="122"/>
      <x:c r="BB886" s="120"/>
      <x:c r="BC886" s="122"/>
      <x:c r="BD886" s="120"/>
      <x:c r="BE886" s="121"/>
      <x:c r="BF886" s="122"/>
      <x:c r="BG886" s="120"/>
      <x:c r="BH886" s="122"/>
      <x:c r="BI886" s="120"/>
      <x:c r="BJ886" s="121"/>
    </x:row>
    <x:row r="887" ht="15.75" customHeight="1">
      <x:c r="N887" s="120"/>
      <x:c r="P887" s="120"/>
      <x:c r="Q887" s="121"/>
      <x:c r="S887" s="120"/>
      <x:c r="U887" s="120"/>
      <x:c r="V887" s="121"/>
      <x:c r="W887" s="122"/>
      <x:c r="X887" s="120"/>
      <x:c r="Y887" s="122"/>
      <x:c r="Z887" s="120"/>
      <x:c r="AA887" s="121"/>
      <x:c r="AB887" s="122"/>
      <x:c r="AC887" s="120"/>
      <x:c r="AD887" s="122"/>
      <x:c r="AE887" s="120"/>
      <x:c r="AF887" s="121"/>
      <x:c r="AG887" s="122"/>
      <x:c r="AH887" s="120"/>
      <x:c r="AI887" s="122"/>
      <x:c r="AJ887" s="120"/>
      <x:c r="AK887" s="121"/>
      <x:c r="AL887" s="122"/>
      <x:c r="AM887" s="120"/>
      <x:c r="AN887" s="122"/>
      <x:c r="AO887" s="120"/>
      <x:c r="AP887" s="121"/>
      <x:c r="AQ887" s="122"/>
      <x:c r="AR887" s="120"/>
      <x:c r="AS887" s="122"/>
      <x:c r="AT887" s="120"/>
      <x:c r="AU887" s="121"/>
      <x:c r="AV887" s="122"/>
      <x:c r="AW887" s="120"/>
      <x:c r="AX887" s="122"/>
      <x:c r="AY887" s="120"/>
      <x:c r="AZ887" s="121"/>
      <x:c r="BA887" s="122"/>
      <x:c r="BB887" s="120"/>
      <x:c r="BC887" s="122"/>
      <x:c r="BD887" s="120"/>
      <x:c r="BE887" s="121"/>
      <x:c r="BF887" s="122"/>
      <x:c r="BG887" s="120"/>
      <x:c r="BH887" s="122"/>
      <x:c r="BI887" s="120"/>
      <x:c r="BJ887" s="121"/>
    </x:row>
    <x:row r="888" ht="15.75" customHeight="1">
      <x:c r="N888" s="120"/>
      <x:c r="P888" s="120"/>
      <x:c r="Q888" s="121"/>
      <x:c r="S888" s="120"/>
      <x:c r="U888" s="120"/>
      <x:c r="V888" s="121"/>
      <x:c r="W888" s="122"/>
      <x:c r="X888" s="120"/>
      <x:c r="Y888" s="122"/>
      <x:c r="Z888" s="120"/>
      <x:c r="AA888" s="121"/>
      <x:c r="AB888" s="122"/>
      <x:c r="AC888" s="120"/>
      <x:c r="AD888" s="122"/>
      <x:c r="AE888" s="120"/>
      <x:c r="AF888" s="121"/>
      <x:c r="AG888" s="122"/>
      <x:c r="AH888" s="120"/>
      <x:c r="AI888" s="122"/>
      <x:c r="AJ888" s="120"/>
      <x:c r="AK888" s="121"/>
      <x:c r="AL888" s="122"/>
      <x:c r="AM888" s="120"/>
      <x:c r="AN888" s="122"/>
      <x:c r="AO888" s="120"/>
      <x:c r="AP888" s="121"/>
      <x:c r="AQ888" s="122"/>
      <x:c r="AR888" s="120"/>
      <x:c r="AS888" s="122"/>
      <x:c r="AT888" s="120"/>
      <x:c r="AU888" s="121"/>
      <x:c r="AV888" s="122"/>
      <x:c r="AW888" s="120"/>
      <x:c r="AX888" s="122"/>
      <x:c r="AY888" s="120"/>
      <x:c r="AZ888" s="121"/>
      <x:c r="BA888" s="122"/>
      <x:c r="BB888" s="120"/>
      <x:c r="BC888" s="122"/>
      <x:c r="BD888" s="120"/>
      <x:c r="BE888" s="121"/>
      <x:c r="BF888" s="122"/>
      <x:c r="BG888" s="120"/>
      <x:c r="BH888" s="122"/>
      <x:c r="BI888" s="120"/>
      <x:c r="BJ888" s="121"/>
    </x:row>
    <x:row r="889" ht="15.75" customHeight="1">
      <x:c r="N889" s="120"/>
      <x:c r="P889" s="120"/>
      <x:c r="Q889" s="121"/>
      <x:c r="S889" s="120"/>
      <x:c r="U889" s="120"/>
      <x:c r="V889" s="121"/>
      <x:c r="W889" s="122"/>
      <x:c r="X889" s="120"/>
      <x:c r="Y889" s="122"/>
      <x:c r="Z889" s="120"/>
      <x:c r="AA889" s="121"/>
      <x:c r="AB889" s="122"/>
      <x:c r="AC889" s="120"/>
      <x:c r="AD889" s="122"/>
      <x:c r="AE889" s="120"/>
      <x:c r="AF889" s="121"/>
      <x:c r="AG889" s="122"/>
      <x:c r="AH889" s="120"/>
      <x:c r="AI889" s="122"/>
      <x:c r="AJ889" s="120"/>
      <x:c r="AK889" s="121"/>
      <x:c r="AL889" s="122"/>
      <x:c r="AM889" s="120"/>
      <x:c r="AN889" s="122"/>
      <x:c r="AO889" s="120"/>
      <x:c r="AP889" s="121"/>
      <x:c r="AQ889" s="122"/>
      <x:c r="AR889" s="120"/>
      <x:c r="AS889" s="122"/>
      <x:c r="AT889" s="120"/>
      <x:c r="AU889" s="121"/>
      <x:c r="AV889" s="122"/>
      <x:c r="AW889" s="120"/>
      <x:c r="AX889" s="122"/>
      <x:c r="AY889" s="120"/>
      <x:c r="AZ889" s="121"/>
      <x:c r="BA889" s="122"/>
      <x:c r="BB889" s="120"/>
      <x:c r="BC889" s="122"/>
      <x:c r="BD889" s="120"/>
      <x:c r="BE889" s="121"/>
      <x:c r="BF889" s="122"/>
      <x:c r="BG889" s="120"/>
      <x:c r="BH889" s="122"/>
      <x:c r="BI889" s="120"/>
      <x:c r="BJ889" s="121"/>
    </x:row>
    <x:row r="890" ht="15.75" customHeight="1">
      <x:c r="N890" s="120"/>
      <x:c r="P890" s="120"/>
      <x:c r="Q890" s="121"/>
      <x:c r="S890" s="120"/>
      <x:c r="U890" s="120"/>
      <x:c r="V890" s="121"/>
      <x:c r="W890" s="122"/>
      <x:c r="X890" s="120"/>
      <x:c r="Y890" s="122"/>
      <x:c r="Z890" s="120"/>
      <x:c r="AA890" s="121"/>
      <x:c r="AB890" s="122"/>
      <x:c r="AC890" s="120"/>
      <x:c r="AD890" s="122"/>
      <x:c r="AE890" s="120"/>
      <x:c r="AF890" s="121"/>
      <x:c r="AG890" s="122"/>
      <x:c r="AH890" s="120"/>
      <x:c r="AI890" s="122"/>
      <x:c r="AJ890" s="120"/>
      <x:c r="AK890" s="121"/>
      <x:c r="AL890" s="122"/>
      <x:c r="AM890" s="120"/>
      <x:c r="AN890" s="122"/>
      <x:c r="AO890" s="120"/>
      <x:c r="AP890" s="121"/>
      <x:c r="AQ890" s="122"/>
      <x:c r="AR890" s="120"/>
      <x:c r="AS890" s="122"/>
      <x:c r="AT890" s="120"/>
      <x:c r="AU890" s="121"/>
      <x:c r="AV890" s="122"/>
      <x:c r="AW890" s="120"/>
      <x:c r="AX890" s="122"/>
      <x:c r="AY890" s="120"/>
      <x:c r="AZ890" s="121"/>
      <x:c r="BA890" s="122"/>
      <x:c r="BB890" s="120"/>
      <x:c r="BC890" s="122"/>
      <x:c r="BD890" s="120"/>
      <x:c r="BE890" s="121"/>
      <x:c r="BF890" s="122"/>
      <x:c r="BG890" s="120"/>
      <x:c r="BH890" s="122"/>
      <x:c r="BI890" s="120"/>
      <x:c r="BJ890" s="121"/>
    </x:row>
    <x:row r="891" ht="15.75" customHeight="1">
      <x:c r="N891" s="120"/>
      <x:c r="P891" s="120"/>
      <x:c r="Q891" s="121"/>
      <x:c r="S891" s="120"/>
      <x:c r="U891" s="120"/>
      <x:c r="V891" s="121"/>
      <x:c r="W891" s="122"/>
      <x:c r="X891" s="120"/>
      <x:c r="Y891" s="122"/>
      <x:c r="Z891" s="120"/>
      <x:c r="AA891" s="121"/>
      <x:c r="AB891" s="122"/>
      <x:c r="AC891" s="120"/>
      <x:c r="AD891" s="122"/>
      <x:c r="AE891" s="120"/>
      <x:c r="AF891" s="121"/>
      <x:c r="AG891" s="122"/>
      <x:c r="AH891" s="120"/>
      <x:c r="AI891" s="122"/>
      <x:c r="AJ891" s="120"/>
      <x:c r="AK891" s="121"/>
      <x:c r="AL891" s="122"/>
      <x:c r="AM891" s="120"/>
      <x:c r="AN891" s="122"/>
      <x:c r="AO891" s="120"/>
      <x:c r="AP891" s="121"/>
      <x:c r="AQ891" s="122"/>
      <x:c r="AR891" s="120"/>
      <x:c r="AS891" s="122"/>
      <x:c r="AT891" s="120"/>
      <x:c r="AU891" s="121"/>
      <x:c r="AV891" s="122"/>
      <x:c r="AW891" s="120"/>
      <x:c r="AX891" s="122"/>
      <x:c r="AY891" s="120"/>
      <x:c r="AZ891" s="121"/>
      <x:c r="BA891" s="122"/>
      <x:c r="BB891" s="120"/>
      <x:c r="BC891" s="122"/>
      <x:c r="BD891" s="120"/>
      <x:c r="BE891" s="121"/>
      <x:c r="BF891" s="122"/>
      <x:c r="BG891" s="120"/>
      <x:c r="BH891" s="122"/>
      <x:c r="BI891" s="120"/>
      <x:c r="BJ891" s="121"/>
    </x:row>
    <x:row r="892" ht="15.75" customHeight="1">
      <x:c r="N892" s="120"/>
      <x:c r="P892" s="120"/>
      <x:c r="Q892" s="121"/>
      <x:c r="S892" s="120"/>
      <x:c r="U892" s="120"/>
      <x:c r="V892" s="121"/>
      <x:c r="W892" s="122"/>
      <x:c r="X892" s="120"/>
      <x:c r="Y892" s="122"/>
      <x:c r="Z892" s="120"/>
      <x:c r="AA892" s="121"/>
      <x:c r="AB892" s="122"/>
      <x:c r="AC892" s="120"/>
      <x:c r="AD892" s="122"/>
      <x:c r="AE892" s="120"/>
      <x:c r="AF892" s="121"/>
      <x:c r="AG892" s="122"/>
      <x:c r="AH892" s="120"/>
      <x:c r="AI892" s="122"/>
      <x:c r="AJ892" s="120"/>
      <x:c r="AK892" s="121"/>
      <x:c r="AL892" s="122"/>
      <x:c r="AM892" s="120"/>
      <x:c r="AN892" s="122"/>
      <x:c r="AO892" s="120"/>
      <x:c r="AP892" s="121"/>
      <x:c r="AQ892" s="122"/>
      <x:c r="AR892" s="120"/>
      <x:c r="AS892" s="122"/>
      <x:c r="AT892" s="120"/>
      <x:c r="AU892" s="121"/>
      <x:c r="AV892" s="122"/>
      <x:c r="AW892" s="120"/>
      <x:c r="AX892" s="122"/>
      <x:c r="AY892" s="120"/>
      <x:c r="AZ892" s="121"/>
      <x:c r="BA892" s="122"/>
      <x:c r="BB892" s="120"/>
      <x:c r="BC892" s="122"/>
      <x:c r="BD892" s="120"/>
      <x:c r="BE892" s="121"/>
      <x:c r="BF892" s="122"/>
      <x:c r="BG892" s="120"/>
      <x:c r="BH892" s="122"/>
      <x:c r="BI892" s="120"/>
      <x:c r="BJ892" s="121"/>
    </x:row>
    <x:row r="893" ht="15.75" customHeight="1">
      <x:c r="N893" s="120"/>
      <x:c r="P893" s="120"/>
      <x:c r="Q893" s="121"/>
      <x:c r="S893" s="120"/>
      <x:c r="U893" s="120"/>
      <x:c r="V893" s="121"/>
      <x:c r="W893" s="122"/>
      <x:c r="X893" s="120"/>
      <x:c r="Y893" s="122"/>
      <x:c r="Z893" s="120"/>
      <x:c r="AA893" s="121"/>
      <x:c r="AB893" s="122"/>
      <x:c r="AC893" s="120"/>
      <x:c r="AD893" s="122"/>
      <x:c r="AE893" s="120"/>
      <x:c r="AF893" s="121"/>
      <x:c r="AG893" s="122"/>
      <x:c r="AH893" s="120"/>
      <x:c r="AI893" s="122"/>
      <x:c r="AJ893" s="120"/>
      <x:c r="AK893" s="121"/>
      <x:c r="AL893" s="122"/>
      <x:c r="AM893" s="120"/>
      <x:c r="AN893" s="122"/>
      <x:c r="AO893" s="120"/>
      <x:c r="AP893" s="121"/>
      <x:c r="AQ893" s="122"/>
      <x:c r="AR893" s="120"/>
      <x:c r="AS893" s="122"/>
      <x:c r="AT893" s="120"/>
      <x:c r="AU893" s="121"/>
      <x:c r="AV893" s="122"/>
      <x:c r="AW893" s="120"/>
      <x:c r="AX893" s="122"/>
      <x:c r="AY893" s="120"/>
      <x:c r="AZ893" s="121"/>
      <x:c r="BA893" s="122"/>
      <x:c r="BB893" s="120"/>
      <x:c r="BC893" s="122"/>
      <x:c r="BD893" s="120"/>
      <x:c r="BE893" s="121"/>
      <x:c r="BF893" s="122"/>
      <x:c r="BG893" s="120"/>
      <x:c r="BH893" s="122"/>
      <x:c r="BI893" s="120"/>
      <x:c r="BJ893" s="121"/>
    </x:row>
    <x:row r="894" ht="15.75" customHeight="1">
      <x:c r="N894" s="120"/>
      <x:c r="P894" s="120"/>
      <x:c r="Q894" s="121"/>
      <x:c r="S894" s="120"/>
      <x:c r="U894" s="120"/>
      <x:c r="V894" s="121"/>
      <x:c r="W894" s="122"/>
      <x:c r="X894" s="120"/>
      <x:c r="Y894" s="122"/>
      <x:c r="Z894" s="120"/>
      <x:c r="AA894" s="121"/>
      <x:c r="AB894" s="122"/>
      <x:c r="AC894" s="120"/>
      <x:c r="AD894" s="122"/>
      <x:c r="AE894" s="120"/>
      <x:c r="AF894" s="121"/>
      <x:c r="AG894" s="122"/>
      <x:c r="AH894" s="120"/>
      <x:c r="AI894" s="122"/>
      <x:c r="AJ894" s="120"/>
      <x:c r="AK894" s="121"/>
      <x:c r="AL894" s="122"/>
      <x:c r="AM894" s="120"/>
      <x:c r="AN894" s="122"/>
      <x:c r="AO894" s="120"/>
      <x:c r="AP894" s="121"/>
      <x:c r="AQ894" s="122"/>
      <x:c r="AR894" s="120"/>
      <x:c r="AS894" s="122"/>
      <x:c r="AT894" s="120"/>
      <x:c r="AU894" s="121"/>
      <x:c r="AV894" s="122"/>
      <x:c r="AW894" s="120"/>
      <x:c r="AX894" s="122"/>
      <x:c r="AY894" s="120"/>
      <x:c r="AZ894" s="121"/>
      <x:c r="BA894" s="122"/>
      <x:c r="BB894" s="120"/>
      <x:c r="BC894" s="122"/>
      <x:c r="BD894" s="120"/>
      <x:c r="BE894" s="121"/>
      <x:c r="BF894" s="122"/>
      <x:c r="BG894" s="120"/>
      <x:c r="BH894" s="122"/>
      <x:c r="BI894" s="120"/>
      <x:c r="BJ894" s="121"/>
    </x:row>
    <x:row r="895" ht="15.75" customHeight="1">
      <x:c r="N895" s="120"/>
      <x:c r="P895" s="120"/>
      <x:c r="Q895" s="121"/>
      <x:c r="S895" s="120"/>
      <x:c r="U895" s="120"/>
      <x:c r="V895" s="121"/>
      <x:c r="W895" s="122"/>
      <x:c r="X895" s="120"/>
      <x:c r="Y895" s="122"/>
      <x:c r="Z895" s="120"/>
      <x:c r="AA895" s="121"/>
      <x:c r="AB895" s="122"/>
      <x:c r="AC895" s="120"/>
      <x:c r="AD895" s="122"/>
      <x:c r="AE895" s="120"/>
      <x:c r="AF895" s="121"/>
      <x:c r="AG895" s="122"/>
      <x:c r="AH895" s="120"/>
      <x:c r="AI895" s="122"/>
      <x:c r="AJ895" s="120"/>
      <x:c r="AK895" s="121"/>
      <x:c r="AL895" s="122"/>
      <x:c r="AM895" s="120"/>
      <x:c r="AN895" s="122"/>
      <x:c r="AO895" s="120"/>
      <x:c r="AP895" s="121"/>
      <x:c r="AQ895" s="122"/>
      <x:c r="AR895" s="120"/>
      <x:c r="AS895" s="122"/>
      <x:c r="AT895" s="120"/>
      <x:c r="AU895" s="121"/>
      <x:c r="AV895" s="122"/>
      <x:c r="AW895" s="120"/>
      <x:c r="AX895" s="122"/>
      <x:c r="AY895" s="120"/>
      <x:c r="AZ895" s="121"/>
      <x:c r="BA895" s="122"/>
      <x:c r="BB895" s="120"/>
      <x:c r="BC895" s="122"/>
      <x:c r="BD895" s="120"/>
      <x:c r="BE895" s="121"/>
      <x:c r="BF895" s="122"/>
      <x:c r="BG895" s="120"/>
      <x:c r="BH895" s="122"/>
      <x:c r="BI895" s="120"/>
      <x:c r="BJ895" s="121"/>
    </x:row>
    <x:row r="896" ht="15.75" customHeight="1">
      <x:c r="N896" s="120"/>
      <x:c r="P896" s="120"/>
      <x:c r="Q896" s="121"/>
      <x:c r="S896" s="120"/>
      <x:c r="U896" s="120"/>
      <x:c r="V896" s="121"/>
      <x:c r="W896" s="122"/>
      <x:c r="X896" s="120"/>
      <x:c r="Y896" s="122"/>
      <x:c r="Z896" s="120"/>
      <x:c r="AA896" s="121"/>
      <x:c r="AB896" s="122"/>
      <x:c r="AC896" s="120"/>
      <x:c r="AD896" s="122"/>
      <x:c r="AE896" s="120"/>
      <x:c r="AF896" s="121"/>
      <x:c r="AG896" s="122"/>
      <x:c r="AH896" s="120"/>
      <x:c r="AI896" s="122"/>
      <x:c r="AJ896" s="120"/>
      <x:c r="AK896" s="121"/>
      <x:c r="AL896" s="122"/>
      <x:c r="AM896" s="120"/>
      <x:c r="AN896" s="122"/>
      <x:c r="AO896" s="120"/>
      <x:c r="AP896" s="121"/>
      <x:c r="AQ896" s="122"/>
      <x:c r="AR896" s="120"/>
      <x:c r="AS896" s="122"/>
      <x:c r="AT896" s="120"/>
      <x:c r="AU896" s="121"/>
      <x:c r="AV896" s="122"/>
      <x:c r="AW896" s="120"/>
      <x:c r="AX896" s="122"/>
      <x:c r="AY896" s="120"/>
      <x:c r="AZ896" s="121"/>
      <x:c r="BA896" s="122"/>
      <x:c r="BB896" s="120"/>
      <x:c r="BC896" s="122"/>
      <x:c r="BD896" s="120"/>
      <x:c r="BE896" s="121"/>
      <x:c r="BF896" s="122"/>
      <x:c r="BG896" s="120"/>
      <x:c r="BH896" s="122"/>
      <x:c r="BI896" s="120"/>
      <x:c r="BJ896" s="121"/>
    </x:row>
    <x:row r="897" ht="15.75" customHeight="1">
      <x:c r="N897" s="120"/>
      <x:c r="P897" s="120"/>
      <x:c r="Q897" s="121"/>
      <x:c r="S897" s="120"/>
      <x:c r="U897" s="120"/>
      <x:c r="V897" s="121"/>
      <x:c r="W897" s="122"/>
      <x:c r="X897" s="120"/>
      <x:c r="Y897" s="122"/>
      <x:c r="Z897" s="120"/>
      <x:c r="AA897" s="121"/>
      <x:c r="AB897" s="122"/>
      <x:c r="AC897" s="120"/>
      <x:c r="AD897" s="122"/>
      <x:c r="AE897" s="120"/>
      <x:c r="AF897" s="121"/>
      <x:c r="AG897" s="122"/>
      <x:c r="AH897" s="120"/>
      <x:c r="AI897" s="122"/>
      <x:c r="AJ897" s="120"/>
      <x:c r="AK897" s="121"/>
      <x:c r="AL897" s="122"/>
      <x:c r="AM897" s="120"/>
      <x:c r="AN897" s="122"/>
      <x:c r="AO897" s="120"/>
      <x:c r="AP897" s="121"/>
      <x:c r="AQ897" s="122"/>
      <x:c r="AR897" s="120"/>
      <x:c r="AS897" s="122"/>
      <x:c r="AT897" s="120"/>
      <x:c r="AU897" s="121"/>
      <x:c r="AV897" s="122"/>
      <x:c r="AW897" s="120"/>
      <x:c r="AX897" s="122"/>
      <x:c r="AY897" s="120"/>
      <x:c r="AZ897" s="121"/>
      <x:c r="BA897" s="122"/>
      <x:c r="BB897" s="120"/>
      <x:c r="BC897" s="122"/>
      <x:c r="BD897" s="120"/>
      <x:c r="BE897" s="121"/>
      <x:c r="BF897" s="122"/>
      <x:c r="BG897" s="120"/>
      <x:c r="BH897" s="122"/>
      <x:c r="BI897" s="120"/>
      <x:c r="BJ897" s="121"/>
    </x:row>
    <x:row r="898" ht="15.75" customHeight="1">
      <x:c r="N898" s="120"/>
      <x:c r="P898" s="120"/>
      <x:c r="Q898" s="121"/>
      <x:c r="S898" s="120"/>
      <x:c r="U898" s="120"/>
      <x:c r="V898" s="121"/>
      <x:c r="W898" s="122"/>
      <x:c r="X898" s="120"/>
      <x:c r="Y898" s="122"/>
      <x:c r="Z898" s="120"/>
      <x:c r="AA898" s="121"/>
      <x:c r="AB898" s="122"/>
      <x:c r="AC898" s="120"/>
      <x:c r="AD898" s="122"/>
      <x:c r="AE898" s="120"/>
      <x:c r="AF898" s="121"/>
      <x:c r="AG898" s="122"/>
      <x:c r="AH898" s="120"/>
      <x:c r="AI898" s="122"/>
      <x:c r="AJ898" s="120"/>
      <x:c r="AK898" s="121"/>
      <x:c r="AL898" s="122"/>
      <x:c r="AM898" s="120"/>
      <x:c r="AN898" s="122"/>
      <x:c r="AO898" s="120"/>
      <x:c r="AP898" s="121"/>
      <x:c r="AQ898" s="122"/>
      <x:c r="AR898" s="120"/>
      <x:c r="AS898" s="122"/>
      <x:c r="AT898" s="120"/>
      <x:c r="AU898" s="121"/>
      <x:c r="AV898" s="122"/>
      <x:c r="AW898" s="120"/>
      <x:c r="AX898" s="122"/>
      <x:c r="AY898" s="120"/>
      <x:c r="AZ898" s="121"/>
      <x:c r="BA898" s="122"/>
      <x:c r="BB898" s="120"/>
      <x:c r="BC898" s="122"/>
      <x:c r="BD898" s="120"/>
      <x:c r="BE898" s="121"/>
      <x:c r="BF898" s="122"/>
      <x:c r="BG898" s="120"/>
      <x:c r="BH898" s="122"/>
      <x:c r="BI898" s="120"/>
      <x:c r="BJ898" s="121"/>
    </x:row>
    <x:row r="899" ht="15.75" customHeight="1">
      <x:c r="N899" s="120"/>
      <x:c r="P899" s="120"/>
      <x:c r="Q899" s="121"/>
      <x:c r="S899" s="120"/>
      <x:c r="U899" s="120"/>
      <x:c r="V899" s="121"/>
      <x:c r="W899" s="122"/>
      <x:c r="X899" s="120"/>
      <x:c r="Y899" s="122"/>
      <x:c r="Z899" s="120"/>
      <x:c r="AA899" s="121"/>
      <x:c r="AB899" s="122"/>
      <x:c r="AC899" s="120"/>
      <x:c r="AD899" s="122"/>
      <x:c r="AE899" s="120"/>
      <x:c r="AF899" s="121"/>
      <x:c r="AG899" s="122"/>
      <x:c r="AH899" s="120"/>
      <x:c r="AI899" s="122"/>
      <x:c r="AJ899" s="120"/>
      <x:c r="AK899" s="121"/>
      <x:c r="AL899" s="122"/>
      <x:c r="AM899" s="120"/>
      <x:c r="AN899" s="122"/>
      <x:c r="AO899" s="120"/>
      <x:c r="AP899" s="121"/>
      <x:c r="AQ899" s="122"/>
      <x:c r="AR899" s="120"/>
      <x:c r="AS899" s="122"/>
      <x:c r="AT899" s="120"/>
      <x:c r="AU899" s="121"/>
      <x:c r="AV899" s="122"/>
      <x:c r="AW899" s="120"/>
      <x:c r="AX899" s="122"/>
      <x:c r="AY899" s="120"/>
      <x:c r="AZ899" s="121"/>
      <x:c r="BA899" s="122"/>
      <x:c r="BB899" s="120"/>
      <x:c r="BC899" s="122"/>
      <x:c r="BD899" s="120"/>
      <x:c r="BE899" s="121"/>
      <x:c r="BF899" s="122"/>
      <x:c r="BG899" s="120"/>
      <x:c r="BH899" s="122"/>
      <x:c r="BI899" s="120"/>
      <x:c r="BJ899" s="121"/>
    </x:row>
    <x:row r="900" ht="15.75" customHeight="1">
      <x:c r="N900" s="120"/>
      <x:c r="P900" s="120"/>
      <x:c r="Q900" s="121"/>
      <x:c r="S900" s="120"/>
      <x:c r="U900" s="120"/>
      <x:c r="V900" s="121"/>
      <x:c r="W900" s="122"/>
      <x:c r="X900" s="120"/>
      <x:c r="Y900" s="122"/>
      <x:c r="Z900" s="120"/>
      <x:c r="AA900" s="121"/>
      <x:c r="AB900" s="122"/>
      <x:c r="AC900" s="120"/>
      <x:c r="AD900" s="122"/>
      <x:c r="AE900" s="120"/>
      <x:c r="AF900" s="121"/>
      <x:c r="AG900" s="122"/>
      <x:c r="AH900" s="120"/>
      <x:c r="AI900" s="122"/>
      <x:c r="AJ900" s="120"/>
      <x:c r="AK900" s="121"/>
      <x:c r="AL900" s="122"/>
      <x:c r="AM900" s="120"/>
      <x:c r="AN900" s="122"/>
      <x:c r="AO900" s="120"/>
      <x:c r="AP900" s="121"/>
      <x:c r="AQ900" s="122"/>
      <x:c r="AR900" s="120"/>
      <x:c r="AS900" s="122"/>
      <x:c r="AT900" s="120"/>
      <x:c r="AU900" s="121"/>
      <x:c r="AV900" s="122"/>
      <x:c r="AW900" s="120"/>
      <x:c r="AX900" s="122"/>
      <x:c r="AY900" s="120"/>
      <x:c r="AZ900" s="121"/>
      <x:c r="BA900" s="122"/>
      <x:c r="BB900" s="120"/>
      <x:c r="BC900" s="122"/>
      <x:c r="BD900" s="120"/>
      <x:c r="BE900" s="121"/>
      <x:c r="BF900" s="122"/>
      <x:c r="BG900" s="120"/>
      <x:c r="BH900" s="122"/>
      <x:c r="BI900" s="120"/>
      <x:c r="BJ900" s="121"/>
    </x:row>
    <x:row r="901" ht="15.75" customHeight="1">
      <x:c r="N901" s="120"/>
      <x:c r="P901" s="120"/>
      <x:c r="Q901" s="121"/>
      <x:c r="S901" s="120"/>
      <x:c r="U901" s="120"/>
      <x:c r="V901" s="121"/>
      <x:c r="W901" s="122"/>
      <x:c r="X901" s="120"/>
      <x:c r="Y901" s="122"/>
      <x:c r="Z901" s="120"/>
      <x:c r="AA901" s="121"/>
      <x:c r="AB901" s="122"/>
      <x:c r="AC901" s="120"/>
      <x:c r="AD901" s="122"/>
      <x:c r="AE901" s="120"/>
      <x:c r="AF901" s="121"/>
      <x:c r="AG901" s="122"/>
      <x:c r="AH901" s="120"/>
      <x:c r="AI901" s="122"/>
      <x:c r="AJ901" s="120"/>
      <x:c r="AK901" s="121"/>
      <x:c r="AL901" s="122"/>
      <x:c r="AM901" s="120"/>
      <x:c r="AN901" s="122"/>
      <x:c r="AO901" s="120"/>
      <x:c r="AP901" s="121"/>
      <x:c r="AQ901" s="122"/>
      <x:c r="AR901" s="120"/>
      <x:c r="AS901" s="122"/>
      <x:c r="AT901" s="120"/>
      <x:c r="AU901" s="121"/>
      <x:c r="AV901" s="122"/>
      <x:c r="AW901" s="120"/>
      <x:c r="AX901" s="122"/>
      <x:c r="AY901" s="120"/>
      <x:c r="AZ901" s="121"/>
      <x:c r="BA901" s="122"/>
      <x:c r="BB901" s="120"/>
      <x:c r="BC901" s="122"/>
      <x:c r="BD901" s="120"/>
      <x:c r="BE901" s="121"/>
      <x:c r="BF901" s="122"/>
      <x:c r="BG901" s="120"/>
      <x:c r="BH901" s="122"/>
      <x:c r="BI901" s="120"/>
      <x:c r="BJ901" s="121"/>
    </x:row>
    <x:row r="902" ht="15.75" customHeight="1">
      <x:c r="N902" s="120"/>
      <x:c r="P902" s="120"/>
      <x:c r="Q902" s="121"/>
      <x:c r="S902" s="120"/>
      <x:c r="U902" s="120"/>
      <x:c r="V902" s="121"/>
      <x:c r="W902" s="122"/>
      <x:c r="X902" s="120"/>
      <x:c r="Y902" s="122"/>
      <x:c r="Z902" s="120"/>
      <x:c r="AA902" s="121"/>
      <x:c r="AB902" s="122"/>
      <x:c r="AC902" s="120"/>
      <x:c r="AD902" s="122"/>
      <x:c r="AE902" s="120"/>
      <x:c r="AF902" s="121"/>
      <x:c r="AG902" s="122"/>
      <x:c r="AH902" s="120"/>
      <x:c r="AI902" s="122"/>
      <x:c r="AJ902" s="120"/>
      <x:c r="AK902" s="121"/>
      <x:c r="AL902" s="122"/>
      <x:c r="AM902" s="120"/>
      <x:c r="AN902" s="122"/>
      <x:c r="AO902" s="120"/>
      <x:c r="AP902" s="121"/>
      <x:c r="AQ902" s="122"/>
      <x:c r="AR902" s="120"/>
      <x:c r="AS902" s="122"/>
      <x:c r="AT902" s="120"/>
      <x:c r="AU902" s="121"/>
      <x:c r="AV902" s="122"/>
      <x:c r="AW902" s="120"/>
      <x:c r="AX902" s="122"/>
      <x:c r="AY902" s="120"/>
      <x:c r="AZ902" s="121"/>
      <x:c r="BA902" s="122"/>
      <x:c r="BB902" s="120"/>
      <x:c r="BC902" s="122"/>
      <x:c r="BD902" s="120"/>
      <x:c r="BE902" s="121"/>
      <x:c r="BF902" s="122"/>
      <x:c r="BG902" s="120"/>
      <x:c r="BH902" s="122"/>
      <x:c r="BI902" s="120"/>
      <x:c r="BJ902" s="121"/>
    </x:row>
    <x:row r="903" ht="15.75" customHeight="1">
      <x:c r="N903" s="120"/>
      <x:c r="P903" s="120"/>
      <x:c r="Q903" s="121"/>
      <x:c r="S903" s="120"/>
      <x:c r="U903" s="120"/>
      <x:c r="V903" s="121"/>
      <x:c r="W903" s="122"/>
      <x:c r="X903" s="120"/>
      <x:c r="Y903" s="122"/>
      <x:c r="Z903" s="120"/>
      <x:c r="AA903" s="121"/>
      <x:c r="AB903" s="122"/>
      <x:c r="AC903" s="120"/>
      <x:c r="AD903" s="122"/>
      <x:c r="AE903" s="120"/>
      <x:c r="AF903" s="121"/>
      <x:c r="AG903" s="122"/>
      <x:c r="AH903" s="120"/>
      <x:c r="AI903" s="122"/>
      <x:c r="AJ903" s="120"/>
      <x:c r="AK903" s="121"/>
      <x:c r="AL903" s="122"/>
      <x:c r="AM903" s="120"/>
      <x:c r="AN903" s="122"/>
      <x:c r="AO903" s="120"/>
      <x:c r="AP903" s="121"/>
      <x:c r="AQ903" s="122"/>
      <x:c r="AR903" s="120"/>
      <x:c r="AS903" s="122"/>
      <x:c r="AT903" s="120"/>
      <x:c r="AU903" s="121"/>
      <x:c r="AV903" s="122"/>
      <x:c r="AW903" s="120"/>
      <x:c r="AX903" s="122"/>
      <x:c r="AY903" s="120"/>
      <x:c r="AZ903" s="121"/>
      <x:c r="BA903" s="122"/>
      <x:c r="BB903" s="120"/>
      <x:c r="BC903" s="122"/>
      <x:c r="BD903" s="120"/>
      <x:c r="BE903" s="121"/>
      <x:c r="BF903" s="122"/>
      <x:c r="BG903" s="120"/>
      <x:c r="BH903" s="122"/>
      <x:c r="BI903" s="120"/>
      <x:c r="BJ903" s="121"/>
    </x:row>
    <x:row r="904" ht="15.75" customHeight="1">
      <x:c r="N904" s="120"/>
      <x:c r="P904" s="120"/>
      <x:c r="Q904" s="121"/>
      <x:c r="S904" s="120"/>
      <x:c r="U904" s="120"/>
      <x:c r="V904" s="121"/>
      <x:c r="W904" s="122"/>
      <x:c r="X904" s="120"/>
      <x:c r="Y904" s="122"/>
      <x:c r="Z904" s="120"/>
      <x:c r="AA904" s="121"/>
      <x:c r="AB904" s="122"/>
      <x:c r="AC904" s="120"/>
      <x:c r="AD904" s="122"/>
      <x:c r="AE904" s="120"/>
      <x:c r="AF904" s="121"/>
      <x:c r="AG904" s="122"/>
      <x:c r="AH904" s="120"/>
      <x:c r="AI904" s="122"/>
      <x:c r="AJ904" s="120"/>
      <x:c r="AK904" s="121"/>
      <x:c r="AL904" s="122"/>
      <x:c r="AM904" s="120"/>
      <x:c r="AN904" s="122"/>
      <x:c r="AO904" s="120"/>
      <x:c r="AP904" s="121"/>
      <x:c r="AQ904" s="122"/>
      <x:c r="AR904" s="120"/>
      <x:c r="AS904" s="122"/>
      <x:c r="AT904" s="120"/>
      <x:c r="AU904" s="121"/>
      <x:c r="AV904" s="122"/>
      <x:c r="AW904" s="120"/>
      <x:c r="AX904" s="122"/>
      <x:c r="AY904" s="120"/>
      <x:c r="AZ904" s="121"/>
      <x:c r="BA904" s="122"/>
      <x:c r="BB904" s="120"/>
      <x:c r="BC904" s="122"/>
      <x:c r="BD904" s="120"/>
      <x:c r="BE904" s="121"/>
      <x:c r="BF904" s="122"/>
      <x:c r="BG904" s="120"/>
      <x:c r="BH904" s="122"/>
      <x:c r="BI904" s="120"/>
      <x:c r="BJ904" s="121"/>
    </x:row>
    <x:row r="905" ht="15.75" customHeight="1">
      <x:c r="N905" s="120"/>
      <x:c r="P905" s="120"/>
      <x:c r="Q905" s="121"/>
      <x:c r="S905" s="120"/>
      <x:c r="U905" s="120"/>
      <x:c r="V905" s="121"/>
      <x:c r="W905" s="122"/>
      <x:c r="X905" s="120"/>
      <x:c r="Y905" s="122"/>
      <x:c r="Z905" s="120"/>
      <x:c r="AA905" s="121"/>
      <x:c r="AB905" s="122"/>
      <x:c r="AC905" s="120"/>
      <x:c r="AD905" s="122"/>
      <x:c r="AE905" s="120"/>
      <x:c r="AF905" s="121"/>
      <x:c r="AG905" s="122"/>
      <x:c r="AH905" s="120"/>
      <x:c r="AI905" s="122"/>
      <x:c r="AJ905" s="120"/>
      <x:c r="AK905" s="121"/>
      <x:c r="AL905" s="122"/>
      <x:c r="AM905" s="120"/>
      <x:c r="AN905" s="122"/>
      <x:c r="AO905" s="120"/>
      <x:c r="AP905" s="121"/>
      <x:c r="AQ905" s="122"/>
      <x:c r="AR905" s="120"/>
      <x:c r="AS905" s="122"/>
      <x:c r="AT905" s="120"/>
      <x:c r="AU905" s="121"/>
      <x:c r="AV905" s="122"/>
      <x:c r="AW905" s="120"/>
      <x:c r="AX905" s="122"/>
      <x:c r="AY905" s="120"/>
      <x:c r="AZ905" s="121"/>
      <x:c r="BA905" s="122"/>
      <x:c r="BB905" s="120"/>
      <x:c r="BC905" s="122"/>
      <x:c r="BD905" s="120"/>
      <x:c r="BE905" s="121"/>
      <x:c r="BF905" s="122"/>
      <x:c r="BG905" s="120"/>
      <x:c r="BH905" s="122"/>
      <x:c r="BI905" s="120"/>
      <x:c r="BJ905" s="121"/>
    </x:row>
    <x:row r="906" ht="15.75" customHeight="1">
      <x:c r="N906" s="120"/>
      <x:c r="P906" s="120"/>
      <x:c r="Q906" s="121"/>
      <x:c r="S906" s="120"/>
      <x:c r="U906" s="120"/>
      <x:c r="V906" s="121"/>
      <x:c r="W906" s="122"/>
      <x:c r="X906" s="120"/>
      <x:c r="Y906" s="122"/>
      <x:c r="Z906" s="120"/>
      <x:c r="AA906" s="121"/>
      <x:c r="AB906" s="122"/>
      <x:c r="AC906" s="120"/>
      <x:c r="AD906" s="122"/>
      <x:c r="AE906" s="120"/>
      <x:c r="AF906" s="121"/>
      <x:c r="AG906" s="122"/>
      <x:c r="AH906" s="120"/>
      <x:c r="AI906" s="122"/>
      <x:c r="AJ906" s="120"/>
      <x:c r="AK906" s="121"/>
      <x:c r="AL906" s="122"/>
      <x:c r="AM906" s="120"/>
      <x:c r="AN906" s="122"/>
      <x:c r="AO906" s="120"/>
      <x:c r="AP906" s="121"/>
      <x:c r="AQ906" s="122"/>
      <x:c r="AR906" s="120"/>
      <x:c r="AS906" s="122"/>
      <x:c r="AT906" s="120"/>
      <x:c r="AU906" s="121"/>
      <x:c r="AV906" s="122"/>
      <x:c r="AW906" s="120"/>
      <x:c r="AX906" s="122"/>
      <x:c r="AY906" s="120"/>
      <x:c r="AZ906" s="121"/>
      <x:c r="BA906" s="122"/>
      <x:c r="BB906" s="120"/>
      <x:c r="BC906" s="122"/>
      <x:c r="BD906" s="120"/>
      <x:c r="BE906" s="121"/>
      <x:c r="BF906" s="122"/>
      <x:c r="BG906" s="120"/>
      <x:c r="BH906" s="122"/>
      <x:c r="BI906" s="120"/>
      <x:c r="BJ906" s="121"/>
    </x:row>
    <x:row r="907" ht="15.75" customHeight="1">
      <x:c r="N907" s="120"/>
      <x:c r="P907" s="120"/>
      <x:c r="Q907" s="121"/>
      <x:c r="S907" s="120"/>
      <x:c r="U907" s="120"/>
      <x:c r="V907" s="121"/>
      <x:c r="W907" s="122"/>
      <x:c r="X907" s="120"/>
      <x:c r="Y907" s="122"/>
      <x:c r="Z907" s="120"/>
      <x:c r="AA907" s="121"/>
      <x:c r="AB907" s="122"/>
      <x:c r="AC907" s="120"/>
      <x:c r="AD907" s="122"/>
      <x:c r="AE907" s="120"/>
      <x:c r="AF907" s="121"/>
      <x:c r="AG907" s="122"/>
      <x:c r="AH907" s="120"/>
      <x:c r="AI907" s="122"/>
      <x:c r="AJ907" s="120"/>
      <x:c r="AK907" s="121"/>
      <x:c r="AL907" s="122"/>
      <x:c r="AM907" s="120"/>
      <x:c r="AN907" s="122"/>
      <x:c r="AO907" s="120"/>
      <x:c r="AP907" s="121"/>
      <x:c r="AQ907" s="122"/>
      <x:c r="AR907" s="120"/>
      <x:c r="AS907" s="122"/>
      <x:c r="AT907" s="120"/>
      <x:c r="AU907" s="121"/>
      <x:c r="AV907" s="122"/>
      <x:c r="AW907" s="120"/>
      <x:c r="AX907" s="122"/>
      <x:c r="AY907" s="120"/>
      <x:c r="AZ907" s="121"/>
      <x:c r="BA907" s="122"/>
      <x:c r="BB907" s="120"/>
      <x:c r="BC907" s="122"/>
      <x:c r="BD907" s="120"/>
      <x:c r="BE907" s="121"/>
      <x:c r="BF907" s="122"/>
      <x:c r="BG907" s="120"/>
      <x:c r="BH907" s="122"/>
      <x:c r="BI907" s="120"/>
      <x:c r="BJ907" s="121"/>
    </x:row>
    <x:row r="908" ht="15.75" customHeight="1">
      <x:c r="N908" s="120"/>
      <x:c r="P908" s="120"/>
      <x:c r="Q908" s="121"/>
      <x:c r="S908" s="120"/>
      <x:c r="U908" s="120"/>
      <x:c r="V908" s="121"/>
      <x:c r="W908" s="122"/>
      <x:c r="X908" s="120"/>
      <x:c r="Y908" s="122"/>
      <x:c r="Z908" s="120"/>
      <x:c r="AA908" s="121"/>
      <x:c r="AB908" s="122"/>
      <x:c r="AC908" s="120"/>
      <x:c r="AD908" s="122"/>
      <x:c r="AE908" s="120"/>
      <x:c r="AF908" s="121"/>
      <x:c r="AG908" s="122"/>
      <x:c r="AH908" s="120"/>
      <x:c r="AI908" s="122"/>
      <x:c r="AJ908" s="120"/>
      <x:c r="AK908" s="121"/>
      <x:c r="AL908" s="122"/>
      <x:c r="AM908" s="120"/>
      <x:c r="AN908" s="122"/>
      <x:c r="AO908" s="120"/>
      <x:c r="AP908" s="121"/>
      <x:c r="AQ908" s="122"/>
      <x:c r="AR908" s="120"/>
      <x:c r="AS908" s="122"/>
      <x:c r="AT908" s="120"/>
      <x:c r="AU908" s="121"/>
      <x:c r="AV908" s="122"/>
      <x:c r="AW908" s="120"/>
      <x:c r="AX908" s="122"/>
      <x:c r="AY908" s="120"/>
      <x:c r="AZ908" s="121"/>
      <x:c r="BA908" s="122"/>
      <x:c r="BB908" s="120"/>
      <x:c r="BC908" s="122"/>
      <x:c r="BD908" s="120"/>
      <x:c r="BE908" s="121"/>
      <x:c r="BF908" s="122"/>
      <x:c r="BG908" s="120"/>
      <x:c r="BH908" s="122"/>
      <x:c r="BI908" s="120"/>
      <x:c r="BJ908" s="121"/>
    </x:row>
    <x:row r="909" ht="15.75" customHeight="1">
      <x:c r="N909" s="120"/>
      <x:c r="P909" s="120"/>
      <x:c r="Q909" s="121"/>
      <x:c r="S909" s="120"/>
      <x:c r="U909" s="120"/>
      <x:c r="V909" s="121"/>
      <x:c r="W909" s="122"/>
      <x:c r="X909" s="120"/>
      <x:c r="Y909" s="122"/>
      <x:c r="Z909" s="120"/>
      <x:c r="AA909" s="121"/>
      <x:c r="AB909" s="122"/>
      <x:c r="AC909" s="120"/>
      <x:c r="AD909" s="122"/>
      <x:c r="AE909" s="120"/>
      <x:c r="AF909" s="121"/>
      <x:c r="AG909" s="122"/>
      <x:c r="AH909" s="120"/>
      <x:c r="AI909" s="122"/>
      <x:c r="AJ909" s="120"/>
      <x:c r="AK909" s="121"/>
      <x:c r="AL909" s="122"/>
      <x:c r="AM909" s="120"/>
      <x:c r="AN909" s="122"/>
      <x:c r="AO909" s="120"/>
      <x:c r="AP909" s="121"/>
      <x:c r="AQ909" s="122"/>
      <x:c r="AR909" s="120"/>
      <x:c r="AS909" s="122"/>
      <x:c r="AT909" s="120"/>
      <x:c r="AU909" s="121"/>
      <x:c r="AV909" s="122"/>
      <x:c r="AW909" s="120"/>
      <x:c r="AX909" s="122"/>
      <x:c r="AY909" s="120"/>
      <x:c r="AZ909" s="121"/>
      <x:c r="BA909" s="122"/>
      <x:c r="BB909" s="120"/>
      <x:c r="BC909" s="122"/>
      <x:c r="BD909" s="120"/>
      <x:c r="BE909" s="121"/>
      <x:c r="BF909" s="122"/>
      <x:c r="BG909" s="120"/>
      <x:c r="BH909" s="122"/>
      <x:c r="BI909" s="120"/>
      <x:c r="BJ909" s="121"/>
    </x:row>
    <x:row r="910" ht="15.75" customHeight="1">
      <x:c r="N910" s="120"/>
      <x:c r="P910" s="120"/>
      <x:c r="Q910" s="121"/>
      <x:c r="S910" s="120"/>
      <x:c r="U910" s="120"/>
      <x:c r="V910" s="121"/>
      <x:c r="W910" s="122"/>
      <x:c r="X910" s="120"/>
      <x:c r="Y910" s="122"/>
      <x:c r="Z910" s="120"/>
      <x:c r="AA910" s="121"/>
      <x:c r="AB910" s="122"/>
      <x:c r="AC910" s="120"/>
      <x:c r="AD910" s="122"/>
      <x:c r="AE910" s="120"/>
      <x:c r="AF910" s="121"/>
      <x:c r="AG910" s="122"/>
      <x:c r="AH910" s="120"/>
      <x:c r="AI910" s="122"/>
      <x:c r="AJ910" s="120"/>
      <x:c r="AK910" s="121"/>
      <x:c r="AL910" s="122"/>
      <x:c r="AM910" s="120"/>
      <x:c r="AN910" s="122"/>
      <x:c r="AO910" s="120"/>
      <x:c r="AP910" s="121"/>
      <x:c r="AQ910" s="122"/>
      <x:c r="AR910" s="120"/>
      <x:c r="AS910" s="122"/>
      <x:c r="AT910" s="120"/>
      <x:c r="AU910" s="121"/>
      <x:c r="AV910" s="122"/>
      <x:c r="AW910" s="120"/>
      <x:c r="AX910" s="122"/>
      <x:c r="AY910" s="120"/>
      <x:c r="AZ910" s="121"/>
      <x:c r="BA910" s="122"/>
      <x:c r="BB910" s="120"/>
      <x:c r="BC910" s="122"/>
      <x:c r="BD910" s="120"/>
      <x:c r="BE910" s="121"/>
      <x:c r="BF910" s="122"/>
      <x:c r="BG910" s="120"/>
      <x:c r="BH910" s="122"/>
      <x:c r="BI910" s="120"/>
      <x:c r="BJ910" s="121"/>
    </x:row>
    <x:row r="911" ht="15.75" customHeight="1">
      <x:c r="N911" s="120"/>
      <x:c r="P911" s="120"/>
      <x:c r="Q911" s="121"/>
      <x:c r="S911" s="120"/>
      <x:c r="U911" s="120"/>
      <x:c r="V911" s="121"/>
      <x:c r="W911" s="122"/>
      <x:c r="X911" s="120"/>
      <x:c r="Y911" s="122"/>
      <x:c r="Z911" s="120"/>
      <x:c r="AA911" s="121"/>
      <x:c r="AB911" s="122"/>
      <x:c r="AC911" s="120"/>
      <x:c r="AD911" s="122"/>
      <x:c r="AE911" s="120"/>
      <x:c r="AF911" s="121"/>
      <x:c r="AG911" s="122"/>
      <x:c r="AH911" s="120"/>
      <x:c r="AI911" s="122"/>
      <x:c r="AJ911" s="120"/>
      <x:c r="AK911" s="121"/>
      <x:c r="AL911" s="122"/>
      <x:c r="AM911" s="120"/>
      <x:c r="AN911" s="122"/>
      <x:c r="AO911" s="120"/>
      <x:c r="AP911" s="121"/>
      <x:c r="AQ911" s="122"/>
      <x:c r="AR911" s="120"/>
      <x:c r="AS911" s="122"/>
      <x:c r="AT911" s="120"/>
      <x:c r="AU911" s="121"/>
      <x:c r="AV911" s="122"/>
      <x:c r="AW911" s="120"/>
      <x:c r="AX911" s="122"/>
      <x:c r="AY911" s="120"/>
      <x:c r="AZ911" s="121"/>
      <x:c r="BA911" s="122"/>
      <x:c r="BB911" s="120"/>
      <x:c r="BC911" s="122"/>
      <x:c r="BD911" s="120"/>
      <x:c r="BE911" s="121"/>
      <x:c r="BF911" s="122"/>
      <x:c r="BG911" s="120"/>
      <x:c r="BH911" s="122"/>
      <x:c r="BI911" s="120"/>
      <x:c r="BJ911" s="121"/>
    </x:row>
    <x:row r="912" ht="15.75" customHeight="1">
      <x:c r="N912" s="120"/>
      <x:c r="P912" s="120"/>
      <x:c r="Q912" s="121"/>
      <x:c r="S912" s="120"/>
      <x:c r="U912" s="120"/>
      <x:c r="V912" s="121"/>
      <x:c r="W912" s="122"/>
      <x:c r="X912" s="120"/>
      <x:c r="Y912" s="122"/>
      <x:c r="Z912" s="120"/>
      <x:c r="AA912" s="121"/>
      <x:c r="AB912" s="122"/>
      <x:c r="AC912" s="120"/>
      <x:c r="AD912" s="122"/>
      <x:c r="AE912" s="120"/>
      <x:c r="AF912" s="121"/>
      <x:c r="AG912" s="122"/>
      <x:c r="AH912" s="120"/>
      <x:c r="AI912" s="122"/>
      <x:c r="AJ912" s="120"/>
      <x:c r="AK912" s="121"/>
      <x:c r="AL912" s="122"/>
      <x:c r="AM912" s="120"/>
      <x:c r="AN912" s="122"/>
      <x:c r="AO912" s="120"/>
      <x:c r="AP912" s="121"/>
      <x:c r="AQ912" s="122"/>
      <x:c r="AR912" s="120"/>
      <x:c r="AS912" s="122"/>
      <x:c r="AT912" s="120"/>
      <x:c r="AU912" s="121"/>
      <x:c r="AV912" s="122"/>
      <x:c r="AW912" s="120"/>
      <x:c r="AX912" s="122"/>
      <x:c r="AY912" s="120"/>
      <x:c r="AZ912" s="121"/>
      <x:c r="BA912" s="122"/>
      <x:c r="BB912" s="120"/>
      <x:c r="BC912" s="122"/>
      <x:c r="BD912" s="120"/>
      <x:c r="BE912" s="121"/>
      <x:c r="BF912" s="122"/>
      <x:c r="BG912" s="120"/>
      <x:c r="BH912" s="122"/>
      <x:c r="BI912" s="120"/>
      <x:c r="BJ912" s="121"/>
    </x:row>
    <x:row r="913" ht="15.75" customHeight="1">
      <x:c r="N913" s="120"/>
      <x:c r="P913" s="120"/>
      <x:c r="Q913" s="121"/>
      <x:c r="S913" s="120"/>
      <x:c r="U913" s="120"/>
      <x:c r="V913" s="121"/>
      <x:c r="W913" s="122"/>
      <x:c r="X913" s="120"/>
      <x:c r="Y913" s="122"/>
      <x:c r="Z913" s="120"/>
      <x:c r="AA913" s="121"/>
      <x:c r="AB913" s="122"/>
      <x:c r="AC913" s="120"/>
      <x:c r="AD913" s="122"/>
      <x:c r="AE913" s="120"/>
      <x:c r="AF913" s="121"/>
      <x:c r="AG913" s="122"/>
      <x:c r="AH913" s="120"/>
      <x:c r="AI913" s="122"/>
      <x:c r="AJ913" s="120"/>
      <x:c r="AK913" s="121"/>
      <x:c r="AL913" s="122"/>
      <x:c r="AM913" s="120"/>
      <x:c r="AN913" s="122"/>
      <x:c r="AO913" s="120"/>
      <x:c r="AP913" s="121"/>
      <x:c r="AQ913" s="122"/>
      <x:c r="AR913" s="120"/>
      <x:c r="AS913" s="122"/>
      <x:c r="AT913" s="120"/>
      <x:c r="AU913" s="121"/>
      <x:c r="AV913" s="122"/>
      <x:c r="AW913" s="120"/>
      <x:c r="AX913" s="122"/>
      <x:c r="AY913" s="120"/>
      <x:c r="AZ913" s="121"/>
      <x:c r="BA913" s="122"/>
      <x:c r="BB913" s="120"/>
      <x:c r="BC913" s="122"/>
      <x:c r="BD913" s="120"/>
      <x:c r="BE913" s="121"/>
      <x:c r="BF913" s="122"/>
      <x:c r="BG913" s="120"/>
      <x:c r="BH913" s="122"/>
      <x:c r="BI913" s="120"/>
      <x:c r="BJ913" s="121"/>
    </x:row>
    <x:row r="914" ht="15.75" customHeight="1">
      <x:c r="N914" s="120"/>
      <x:c r="P914" s="120"/>
      <x:c r="Q914" s="121"/>
      <x:c r="S914" s="120"/>
      <x:c r="U914" s="120"/>
      <x:c r="V914" s="121"/>
      <x:c r="W914" s="122"/>
      <x:c r="X914" s="120"/>
      <x:c r="Y914" s="122"/>
      <x:c r="Z914" s="120"/>
      <x:c r="AA914" s="121"/>
      <x:c r="AB914" s="122"/>
      <x:c r="AC914" s="120"/>
      <x:c r="AD914" s="122"/>
      <x:c r="AE914" s="120"/>
      <x:c r="AF914" s="121"/>
      <x:c r="AG914" s="122"/>
      <x:c r="AH914" s="120"/>
      <x:c r="AI914" s="122"/>
      <x:c r="AJ914" s="120"/>
      <x:c r="AK914" s="121"/>
      <x:c r="AL914" s="122"/>
      <x:c r="AM914" s="120"/>
      <x:c r="AN914" s="122"/>
      <x:c r="AO914" s="120"/>
      <x:c r="AP914" s="121"/>
      <x:c r="AQ914" s="122"/>
      <x:c r="AR914" s="120"/>
      <x:c r="AS914" s="122"/>
      <x:c r="AT914" s="120"/>
      <x:c r="AU914" s="121"/>
      <x:c r="AV914" s="122"/>
      <x:c r="AW914" s="120"/>
      <x:c r="AX914" s="122"/>
      <x:c r="AY914" s="120"/>
      <x:c r="AZ914" s="121"/>
      <x:c r="BA914" s="122"/>
      <x:c r="BB914" s="120"/>
      <x:c r="BC914" s="122"/>
      <x:c r="BD914" s="120"/>
      <x:c r="BE914" s="121"/>
      <x:c r="BF914" s="122"/>
      <x:c r="BG914" s="120"/>
      <x:c r="BH914" s="122"/>
      <x:c r="BI914" s="120"/>
      <x:c r="BJ914" s="121"/>
    </x:row>
    <x:row r="915" ht="15.75" customHeight="1">
      <x:c r="N915" s="120"/>
      <x:c r="P915" s="120"/>
      <x:c r="Q915" s="121"/>
      <x:c r="S915" s="120"/>
      <x:c r="U915" s="120"/>
      <x:c r="V915" s="121"/>
      <x:c r="W915" s="122"/>
      <x:c r="X915" s="120"/>
      <x:c r="Y915" s="122"/>
      <x:c r="Z915" s="120"/>
      <x:c r="AA915" s="121"/>
      <x:c r="AB915" s="122"/>
      <x:c r="AC915" s="120"/>
      <x:c r="AD915" s="122"/>
      <x:c r="AE915" s="120"/>
      <x:c r="AF915" s="121"/>
      <x:c r="AG915" s="122"/>
      <x:c r="AH915" s="120"/>
      <x:c r="AI915" s="122"/>
      <x:c r="AJ915" s="120"/>
      <x:c r="AK915" s="121"/>
      <x:c r="AL915" s="122"/>
      <x:c r="AM915" s="120"/>
      <x:c r="AN915" s="122"/>
      <x:c r="AO915" s="120"/>
      <x:c r="AP915" s="121"/>
      <x:c r="AQ915" s="122"/>
      <x:c r="AR915" s="120"/>
      <x:c r="AS915" s="122"/>
      <x:c r="AT915" s="120"/>
      <x:c r="AU915" s="121"/>
      <x:c r="AV915" s="122"/>
      <x:c r="AW915" s="120"/>
      <x:c r="AX915" s="122"/>
      <x:c r="AY915" s="120"/>
      <x:c r="AZ915" s="121"/>
      <x:c r="BA915" s="122"/>
      <x:c r="BB915" s="120"/>
      <x:c r="BC915" s="122"/>
      <x:c r="BD915" s="120"/>
      <x:c r="BE915" s="121"/>
      <x:c r="BF915" s="122"/>
      <x:c r="BG915" s="120"/>
      <x:c r="BH915" s="122"/>
      <x:c r="BI915" s="120"/>
      <x:c r="BJ915" s="121"/>
    </x:row>
    <x:row r="916" ht="15.75" customHeight="1">
      <x:c r="N916" s="120"/>
      <x:c r="P916" s="120"/>
      <x:c r="Q916" s="121"/>
      <x:c r="S916" s="120"/>
      <x:c r="U916" s="120"/>
      <x:c r="V916" s="121"/>
      <x:c r="W916" s="122"/>
      <x:c r="X916" s="120"/>
      <x:c r="Y916" s="122"/>
      <x:c r="Z916" s="120"/>
      <x:c r="AA916" s="121"/>
      <x:c r="AB916" s="122"/>
      <x:c r="AC916" s="120"/>
      <x:c r="AD916" s="122"/>
      <x:c r="AE916" s="120"/>
      <x:c r="AF916" s="121"/>
      <x:c r="AG916" s="122"/>
      <x:c r="AH916" s="120"/>
      <x:c r="AI916" s="122"/>
      <x:c r="AJ916" s="120"/>
      <x:c r="AK916" s="121"/>
      <x:c r="AL916" s="122"/>
      <x:c r="AM916" s="120"/>
      <x:c r="AN916" s="122"/>
      <x:c r="AO916" s="120"/>
      <x:c r="AP916" s="121"/>
      <x:c r="AQ916" s="122"/>
      <x:c r="AR916" s="120"/>
      <x:c r="AS916" s="122"/>
      <x:c r="AT916" s="120"/>
      <x:c r="AU916" s="121"/>
      <x:c r="AV916" s="122"/>
      <x:c r="AW916" s="120"/>
      <x:c r="AX916" s="122"/>
      <x:c r="AY916" s="120"/>
      <x:c r="AZ916" s="121"/>
      <x:c r="BA916" s="122"/>
      <x:c r="BB916" s="120"/>
      <x:c r="BC916" s="122"/>
      <x:c r="BD916" s="120"/>
      <x:c r="BE916" s="121"/>
      <x:c r="BF916" s="122"/>
      <x:c r="BG916" s="120"/>
      <x:c r="BH916" s="122"/>
      <x:c r="BI916" s="120"/>
      <x:c r="BJ916" s="121"/>
    </x:row>
    <x:row r="917" ht="15.75" customHeight="1">
      <x:c r="N917" s="120"/>
      <x:c r="P917" s="120"/>
      <x:c r="Q917" s="121"/>
      <x:c r="S917" s="120"/>
      <x:c r="U917" s="120"/>
      <x:c r="V917" s="121"/>
      <x:c r="W917" s="122"/>
      <x:c r="X917" s="120"/>
      <x:c r="Y917" s="122"/>
      <x:c r="Z917" s="120"/>
      <x:c r="AA917" s="121"/>
      <x:c r="AB917" s="122"/>
      <x:c r="AC917" s="120"/>
      <x:c r="AD917" s="122"/>
      <x:c r="AE917" s="120"/>
      <x:c r="AF917" s="121"/>
      <x:c r="AG917" s="122"/>
      <x:c r="AH917" s="120"/>
      <x:c r="AI917" s="122"/>
      <x:c r="AJ917" s="120"/>
      <x:c r="AK917" s="121"/>
      <x:c r="AL917" s="122"/>
      <x:c r="AM917" s="120"/>
      <x:c r="AN917" s="122"/>
      <x:c r="AO917" s="120"/>
      <x:c r="AP917" s="121"/>
      <x:c r="AQ917" s="122"/>
      <x:c r="AR917" s="120"/>
      <x:c r="AS917" s="122"/>
      <x:c r="AT917" s="120"/>
      <x:c r="AU917" s="121"/>
      <x:c r="AV917" s="122"/>
      <x:c r="AW917" s="120"/>
      <x:c r="AX917" s="122"/>
      <x:c r="AY917" s="120"/>
      <x:c r="AZ917" s="121"/>
      <x:c r="BA917" s="122"/>
      <x:c r="BB917" s="120"/>
      <x:c r="BC917" s="122"/>
      <x:c r="BD917" s="120"/>
      <x:c r="BE917" s="121"/>
      <x:c r="BF917" s="122"/>
      <x:c r="BG917" s="120"/>
      <x:c r="BH917" s="122"/>
      <x:c r="BI917" s="120"/>
      <x:c r="BJ917" s="121"/>
    </x:row>
    <x:row r="918" ht="15.75" customHeight="1">
      <x:c r="N918" s="120"/>
      <x:c r="P918" s="120"/>
      <x:c r="Q918" s="121"/>
      <x:c r="S918" s="120"/>
      <x:c r="U918" s="120"/>
      <x:c r="V918" s="121"/>
      <x:c r="W918" s="122"/>
      <x:c r="X918" s="120"/>
      <x:c r="Y918" s="122"/>
      <x:c r="Z918" s="120"/>
      <x:c r="AA918" s="121"/>
      <x:c r="AB918" s="122"/>
      <x:c r="AC918" s="120"/>
      <x:c r="AD918" s="122"/>
      <x:c r="AE918" s="120"/>
      <x:c r="AF918" s="121"/>
      <x:c r="AG918" s="122"/>
      <x:c r="AH918" s="120"/>
      <x:c r="AI918" s="122"/>
      <x:c r="AJ918" s="120"/>
      <x:c r="AK918" s="121"/>
      <x:c r="AL918" s="122"/>
      <x:c r="AM918" s="120"/>
      <x:c r="AN918" s="122"/>
      <x:c r="AO918" s="120"/>
      <x:c r="AP918" s="121"/>
      <x:c r="AQ918" s="122"/>
      <x:c r="AR918" s="120"/>
      <x:c r="AS918" s="122"/>
      <x:c r="AT918" s="120"/>
      <x:c r="AU918" s="121"/>
      <x:c r="AV918" s="122"/>
      <x:c r="AW918" s="120"/>
      <x:c r="AX918" s="122"/>
      <x:c r="AY918" s="120"/>
      <x:c r="AZ918" s="121"/>
      <x:c r="BA918" s="122"/>
      <x:c r="BB918" s="120"/>
      <x:c r="BC918" s="122"/>
      <x:c r="BD918" s="120"/>
      <x:c r="BE918" s="121"/>
      <x:c r="BF918" s="122"/>
      <x:c r="BG918" s="120"/>
      <x:c r="BH918" s="122"/>
      <x:c r="BI918" s="120"/>
      <x:c r="BJ918" s="121"/>
    </x:row>
    <x:row r="919" ht="15.75" customHeight="1">
      <x:c r="N919" s="120"/>
      <x:c r="P919" s="120"/>
      <x:c r="Q919" s="121"/>
      <x:c r="S919" s="120"/>
      <x:c r="U919" s="120"/>
      <x:c r="V919" s="121"/>
      <x:c r="W919" s="122"/>
      <x:c r="X919" s="120"/>
      <x:c r="Y919" s="122"/>
      <x:c r="Z919" s="120"/>
      <x:c r="AA919" s="121"/>
      <x:c r="AB919" s="122"/>
      <x:c r="AC919" s="120"/>
      <x:c r="AD919" s="122"/>
      <x:c r="AE919" s="120"/>
      <x:c r="AF919" s="121"/>
      <x:c r="AG919" s="122"/>
      <x:c r="AH919" s="120"/>
      <x:c r="AI919" s="122"/>
      <x:c r="AJ919" s="120"/>
      <x:c r="AK919" s="121"/>
      <x:c r="AL919" s="122"/>
      <x:c r="AM919" s="120"/>
      <x:c r="AN919" s="122"/>
      <x:c r="AO919" s="120"/>
      <x:c r="AP919" s="121"/>
      <x:c r="AQ919" s="122"/>
      <x:c r="AR919" s="120"/>
      <x:c r="AS919" s="122"/>
      <x:c r="AT919" s="120"/>
      <x:c r="AU919" s="121"/>
      <x:c r="AV919" s="122"/>
      <x:c r="AW919" s="120"/>
      <x:c r="AX919" s="122"/>
      <x:c r="AY919" s="120"/>
      <x:c r="AZ919" s="121"/>
      <x:c r="BA919" s="122"/>
      <x:c r="BB919" s="120"/>
      <x:c r="BC919" s="122"/>
      <x:c r="BD919" s="120"/>
      <x:c r="BE919" s="121"/>
      <x:c r="BF919" s="122"/>
      <x:c r="BG919" s="120"/>
      <x:c r="BH919" s="122"/>
      <x:c r="BI919" s="120"/>
      <x:c r="BJ919" s="121"/>
    </x:row>
    <x:row r="920" ht="15.75" customHeight="1">
      <x:c r="N920" s="120"/>
      <x:c r="P920" s="120"/>
      <x:c r="Q920" s="121"/>
      <x:c r="S920" s="120"/>
      <x:c r="U920" s="120"/>
      <x:c r="V920" s="121"/>
      <x:c r="W920" s="122"/>
      <x:c r="X920" s="120"/>
      <x:c r="Y920" s="122"/>
      <x:c r="Z920" s="120"/>
      <x:c r="AA920" s="121"/>
      <x:c r="AB920" s="122"/>
      <x:c r="AC920" s="120"/>
      <x:c r="AD920" s="122"/>
      <x:c r="AE920" s="120"/>
      <x:c r="AF920" s="121"/>
      <x:c r="AG920" s="122"/>
      <x:c r="AH920" s="120"/>
      <x:c r="AI920" s="122"/>
      <x:c r="AJ920" s="120"/>
      <x:c r="AK920" s="121"/>
      <x:c r="AL920" s="122"/>
      <x:c r="AM920" s="120"/>
      <x:c r="AN920" s="122"/>
      <x:c r="AO920" s="120"/>
      <x:c r="AP920" s="121"/>
      <x:c r="AQ920" s="122"/>
      <x:c r="AR920" s="120"/>
      <x:c r="AS920" s="122"/>
      <x:c r="AT920" s="120"/>
      <x:c r="AU920" s="121"/>
      <x:c r="AV920" s="122"/>
      <x:c r="AW920" s="120"/>
      <x:c r="AX920" s="122"/>
      <x:c r="AY920" s="120"/>
      <x:c r="AZ920" s="121"/>
      <x:c r="BA920" s="122"/>
      <x:c r="BB920" s="120"/>
      <x:c r="BC920" s="122"/>
      <x:c r="BD920" s="120"/>
      <x:c r="BE920" s="121"/>
      <x:c r="BF920" s="122"/>
      <x:c r="BG920" s="120"/>
      <x:c r="BH920" s="122"/>
      <x:c r="BI920" s="120"/>
      <x:c r="BJ920" s="121"/>
    </x:row>
    <x:row r="921" ht="15.75" customHeight="1">
      <x:c r="N921" s="120"/>
      <x:c r="P921" s="120"/>
      <x:c r="Q921" s="121"/>
      <x:c r="S921" s="120"/>
      <x:c r="U921" s="120"/>
      <x:c r="V921" s="121"/>
      <x:c r="W921" s="122"/>
      <x:c r="X921" s="120"/>
      <x:c r="Y921" s="122"/>
      <x:c r="Z921" s="120"/>
      <x:c r="AA921" s="121"/>
      <x:c r="AB921" s="122"/>
      <x:c r="AC921" s="120"/>
      <x:c r="AD921" s="122"/>
      <x:c r="AE921" s="120"/>
      <x:c r="AF921" s="121"/>
      <x:c r="AG921" s="122"/>
      <x:c r="AH921" s="120"/>
      <x:c r="AI921" s="122"/>
      <x:c r="AJ921" s="120"/>
      <x:c r="AK921" s="121"/>
      <x:c r="AL921" s="122"/>
      <x:c r="AM921" s="120"/>
      <x:c r="AN921" s="122"/>
      <x:c r="AO921" s="120"/>
      <x:c r="AP921" s="121"/>
      <x:c r="AQ921" s="122"/>
      <x:c r="AR921" s="120"/>
      <x:c r="AS921" s="122"/>
      <x:c r="AT921" s="120"/>
      <x:c r="AU921" s="121"/>
      <x:c r="AV921" s="122"/>
      <x:c r="AW921" s="120"/>
      <x:c r="AX921" s="122"/>
      <x:c r="AY921" s="120"/>
      <x:c r="AZ921" s="121"/>
      <x:c r="BA921" s="122"/>
      <x:c r="BB921" s="120"/>
      <x:c r="BC921" s="122"/>
      <x:c r="BD921" s="120"/>
      <x:c r="BE921" s="121"/>
      <x:c r="BF921" s="122"/>
      <x:c r="BG921" s="120"/>
      <x:c r="BH921" s="122"/>
      <x:c r="BI921" s="120"/>
      <x:c r="BJ921" s="121"/>
    </x:row>
    <x:row r="922" ht="15.75" customHeight="1">
      <x:c r="N922" s="120"/>
      <x:c r="P922" s="120"/>
      <x:c r="Q922" s="121"/>
      <x:c r="S922" s="120"/>
      <x:c r="U922" s="120"/>
      <x:c r="V922" s="121"/>
      <x:c r="W922" s="122"/>
      <x:c r="X922" s="120"/>
      <x:c r="Y922" s="122"/>
      <x:c r="Z922" s="120"/>
      <x:c r="AA922" s="121"/>
      <x:c r="AB922" s="122"/>
      <x:c r="AC922" s="120"/>
      <x:c r="AD922" s="122"/>
      <x:c r="AE922" s="120"/>
      <x:c r="AF922" s="121"/>
      <x:c r="AG922" s="122"/>
      <x:c r="AH922" s="120"/>
      <x:c r="AI922" s="122"/>
      <x:c r="AJ922" s="120"/>
      <x:c r="AK922" s="121"/>
      <x:c r="AL922" s="122"/>
      <x:c r="AM922" s="120"/>
      <x:c r="AN922" s="122"/>
      <x:c r="AO922" s="120"/>
      <x:c r="AP922" s="121"/>
      <x:c r="AQ922" s="122"/>
      <x:c r="AR922" s="120"/>
      <x:c r="AS922" s="122"/>
      <x:c r="AT922" s="120"/>
      <x:c r="AU922" s="121"/>
      <x:c r="AV922" s="122"/>
      <x:c r="AW922" s="120"/>
      <x:c r="AX922" s="122"/>
      <x:c r="AY922" s="120"/>
      <x:c r="AZ922" s="121"/>
      <x:c r="BA922" s="122"/>
      <x:c r="BB922" s="120"/>
      <x:c r="BC922" s="122"/>
      <x:c r="BD922" s="120"/>
      <x:c r="BE922" s="121"/>
      <x:c r="BF922" s="122"/>
      <x:c r="BG922" s="120"/>
      <x:c r="BH922" s="122"/>
      <x:c r="BI922" s="120"/>
      <x:c r="BJ922" s="121"/>
    </x:row>
    <x:row r="923" ht="15.75" customHeight="1">
      <x:c r="N923" s="120"/>
      <x:c r="P923" s="120"/>
      <x:c r="Q923" s="121"/>
      <x:c r="S923" s="120"/>
      <x:c r="U923" s="120"/>
      <x:c r="V923" s="121"/>
      <x:c r="W923" s="122"/>
      <x:c r="X923" s="120"/>
      <x:c r="Y923" s="122"/>
      <x:c r="Z923" s="120"/>
      <x:c r="AA923" s="121"/>
      <x:c r="AB923" s="122"/>
      <x:c r="AC923" s="120"/>
      <x:c r="AD923" s="122"/>
      <x:c r="AE923" s="120"/>
      <x:c r="AF923" s="121"/>
      <x:c r="AG923" s="122"/>
      <x:c r="AH923" s="120"/>
      <x:c r="AI923" s="122"/>
      <x:c r="AJ923" s="120"/>
      <x:c r="AK923" s="121"/>
      <x:c r="AL923" s="122"/>
      <x:c r="AM923" s="120"/>
      <x:c r="AN923" s="122"/>
      <x:c r="AO923" s="120"/>
      <x:c r="AP923" s="121"/>
      <x:c r="AQ923" s="122"/>
      <x:c r="AR923" s="120"/>
      <x:c r="AS923" s="122"/>
      <x:c r="AT923" s="120"/>
      <x:c r="AU923" s="121"/>
      <x:c r="AV923" s="122"/>
      <x:c r="AW923" s="120"/>
      <x:c r="AX923" s="122"/>
      <x:c r="AY923" s="120"/>
      <x:c r="AZ923" s="121"/>
      <x:c r="BA923" s="122"/>
      <x:c r="BB923" s="120"/>
      <x:c r="BC923" s="122"/>
      <x:c r="BD923" s="120"/>
      <x:c r="BE923" s="121"/>
      <x:c r="BF923" s="122"/>
      <x:c r="BG923" s="120"/>
      <x:c r="BH923" s="122"/>
      <x:c r="BI923" s="120"/>
      <x:c r="BJ923" s="121"/>
    </x:row>
    <x:row r="924" ht="15.75" customHeight="1">
      <x:c r="N924" s="120"/>
      <x:c r="P924" s="120"/>
      <x:c r="Q924" s="121"/>
      <x:c r="S924" s="120"/>
      <x:c r="U924" s="120"/>
      <x:c r="V924" s="121"/>
      <x:c r="W924" s="122"/>
      <x:c r="X924" s="120"/>
      <x:c r="Y924" s="122"/>
      <x:c r="Z924" s="120"/>
      <x:c r="AA924" s="121"/>
      <x:c r="AB924" s="122"/>
      <x:c r="AC924" s="120"/>
      <x:c r="AD924" s="122"/>
      <x:c r="AE924" s="120"/>
      <x:c r="AF924" s="121"/>
      <x:c r="AG924" s="122"/>
      <x:c r="AH924" s="120"/>
      <x:c r="AI924" s="122"/>
      <x:c r="AJ924" s="120"/>
      <x:c r="AK924" s="121"/>
      <x:c r="AL924" s="122"/>
      <x:c r="AM924" s="120"/>
      <x:c r="AN924" s="122"/>
      <x:c r="AO924" s="120"/>
      <x:c r="AP924" s="121"/>
      <x:c r="AQ924" s="122"/>
      <x:c r="AR924" s="120"/>
      <x:c r="AS924" s="122"/>
      <x:c r="AT924" s="120"/>
      <x:c r="AU924" s="121"/>
      <x:c r="AV924" s="122"/>
      <x:c r="AW924" s="120"/>
      <x:c r="AX924" s="122"/>
      <x:c r="AY924" s="120"/>
      <x:c r="AZ924" s="121"/>
      <x:c r="BA924" s="122"/>
      <x:c r="BB924" s="120"/>
      <x:c r="BC924" s="122"/>
      <x:c r="BD924" s="120"/>
      <x:c r="BE924" s="121"/>
      <x:c r="BF924" s="122"/>
      <x:c r="BG924" s="120"/>
      <x:c r="BH924" s="122"/>
      <x:c r="BI924" s="120"/>
      <x:c r="BJ924" s="121"/>
    </x:row>
    <x:row r="925" ht="15.75" customHeight="1">
      <x:c r="N925" s="120"/>
      <x:c r="P925" s="120"/>
      <x:c r="Q925" s="121"/>
      <x:c r="S925" s="120"/>
      <x:c r="U925" s="120"/>
      <x:c r="V925" s="121"/>
      <x:c r="W925" s="122"/>
      <x:c r="X925" s="120"/>
      <x:c r="Y925" s="122"/>
      <x:c r="Z925" s="120"/>
      <x:c r="AA925" s="121"/>
      <x:c r="AB925" s="122"/>
      <x:c r="AC925" s="120"/>
      <x:c r="AD925" s="122"/>
      <x:c r="AE925" s="120"/>
      <x:c r="AF925" s="121"/>
      <x:c r="AG925" s="122"/>
      <x:c r="AH925" s="120"/>
      <x:c r="AI925" s="122"/>
      <x:c r="AJ925" s="120"/>
      <x:c r="AK925" s="121"/>
      <x:c r="AL925" s="122"/>
      <x:c r="AM925" s="120"/>
      <x:c r="AN925" s="122"/>
      <x:c r="AO925" s="120"/>
      <x:c r="AP925" s="121"/>
      <x:c r="AQ925" s="122"/>
      <x:c r="AR925" s="120"/>
      <x:c r="AS925" s="122"/>
      <x:c r="AT925" s="120"/>
      <x:c r="AU925" s="121"/>
      <x:c r="AV925" s="122"/>
      <x:c r="AW925" s="120"/>
      <x:c r="AX925" s="122"/>
      <x:c r="AY925" s="120"/>
      <x:c r="AZ925" s="121"/>
      <x:c r="BA925" s="122"/>
      <x:c r="BB925" s="120"/>
      <x:c r="BC925" s="122"/>
      <x:c r="BD925" s="120"/>
      <x:c r="BE925" s="121"/>
      <x:c r="BF925" s="122"/>
      <x:c r="BG925" s="120"/>
      <x:c r="BH925" s="122"/>
      <x:c r="BI925" s="120"/>
      <x:c r="BJ925" s="121"/>
    </x:row>
    <x:row r="926" ht="15.75" customHeight="1">
      <x:c r="N926" s="120"/>
      <x:c r="P926" s="120"/>
      <x:c r="Q926" s="121"/>
      <x:c r="S926" s="120"/>
      <x:c r="U926" s="120"/>
      <x:c r="V926" s="121"/>
      <x:c r="W926" s="122"/>
      <x:c r="X926" s="120"/>
      <x:c r="Y926" s="122"/>
      <x:c r="Z926" s="120"/>
      <x:c r="AA926" s="121"/>
      <x:c r="AB926" s="122"/>
      <x:c r="AC926" s="120"/>
      <x:c r="AD926" s="122"/>
      <x:c r="AE926" s="120"/>
      <x:c r="AF926" s="121"/>
      <x:c r="AG926" s="122"/>
      <x:c r="AH926" s="120"/>
      <x:c r="AI926" s="122"/>
      <x:c r="AJ926" s="120"/>
      <x:c r="AK926" s="121"/>
      <x:c r="AL926" s="122"/>
      <x:c r="AM926" s="120"/>
      <x:c r="AN926" s="122"/>
      <x:c r="AO926" s="120"/>
      <x:c r="AP926" s="121"/>
      <x:c r="AQ926" s="122"/>
      <x:c r="AR926" s="120"/>
      <x:c r="AS926" s="122"/>
      <x:c r="AT926" s="120"/>
      <x:c r="AU926" s="121"/>
      <x:c r="AV926" s="122"/>
      <x:c r="AW926" s="120"/>
      <x:c r="AX926" s="122"/>
      <x:c r="AY926" s="120"/>
      <x:c r="AZ926" s="121"/>
      <x:c r="BA926" s="122"/>
      <x:c r="BB926" s="120"/>
      <x:c r="BC926" s="122"/>
      <x:c r="BD926" s="120"/>
      <x:c r="BE926" s="121"/>
      <x:c r="BF926" s="122"/>
      <x:c r="BG926" s="120"/>
      <x:c r="BH926" s="122"/>
      <x:c r="BI926" s="120"/>
      <x:c r="BJ926" s="121"/>
    </x:row>
    <x:row r="927" ht="15.75" customHeight="1">
      <x:c r="N927" s="120"/>
      <x:c r="P927" s="120"/>
      <x:c r="Q927" s="121"/>
      <x:c r="S927" s="120"/>
      <x:c r="U927" s="120"/>
      <x:c r="V927" s="121"/>
      <x:c r="W927" s="122"/>
      <x:c r="X927" s="120"/>
      <x:c r="Y927" s="122"/>
      <x:c r="Z927" s="120"/>
      <x:c r="AA927" s="121"/>
      <x:c r="AB927" s="122"/>
      <x:c r="AC927" s="120"/>
      <x:c r="AD927" s="122"/>
      <x:c r="AE927" s="120"/>
      <x:c r="AF927" s="121"/>
      <x:c r="AG927" s="122"/>
      <x:c r="AH927" s="120"/>
      <x:c r="AI927" s="122"/>
      <x:c r="AJ927" s="120"/>
      <x:c r="AK927" s="121"/>
      <x:c r="AL927" s="122"/>
      <x:c r="AM927" s="120"/>
      <x:c r="AN927" s="122"/>
      <x:c r="AO927" s="120"/>
      <x:c r="AP927" s="121"/>
      <x:c r="AQ927" s="122"/>
      <x:c r="AR927" s="120"/>
      <x:c r="AS927" s="122"/>
      <x:c r="AT927" s="120"/>
      <x:c r="AU927" s="121"/>
      <x:c r="AV927" s="122"/>
      <x:c r="AW927" s="120"/>
      <x:c r="AX927" s="122"/>
      <x:c r="AY927" s="120"/>
      <x:c r="AZ927" s="121"/>
      <x:c r="BA927" s="122"/>
      <x:c r="BB927" s="120"/>
      <x:c r="BC927" s="122"/>
      <x:c r="BD927" s="120"/>
      <x:c r="BE927" s="121"/>
      <x:c r="BF927" s="122"/>
      <x:c r="BG927" s="120"/>
      <x:c r="BH927" s="122"/>
      <x:c r="BI927" s="120"/>
      <x:c r="BJ927" s="121"/>
    </x:row>
    <x:row r="928" ht="15.75" customHeight="1">
      <x:c r="N928" s="120"/>
      <x:c r="P928" s="120"/>
      <x:c r="Q928" s="121"/>
      <x:c r="S928" s="120"/>
      <x:c r="U928" s="120"/>
      <x:c r="V928" s="121"/>
      <x:c r="W928" s="122"/>
      <x:c r="X928" s="120"/>
      <x:c r="Y928" s="122"/>
      <x:c r="Z928" s="120"/>
      <x:c r="AA928" s="121"/>
      <x:c r="AB928" s="122"/>
      <x:c r="AC928" s="120"/>
      <x:c r="AD928" s="122"/>
      <x:c r="AE928" s="120"/>
      <x:c r="AF928" s="121"/>
      <x:c r="AG928" s="122"/>
      <x:c r="AH928" s="120"/>
      <x:c r="AI928" s="122"/>
      <x:c r="AJ928" s="120"/>
      <x:c r="AK928" s="121"/>
      <x:c r="AL928" s="122"/>
      <x:c r="AM928" s="120"/>
      <x:c r="AN928" s="122"/>
      <x:c r="AO928" s="120"/>
      <x:c r="AP928" s="121"/>
      <x:c r="AQ928" s="122"/>
      <x:c r="AR928" s="120"/>
      <x:c r="AS928" s="122"/>
      <x:c r="AT928" s="120"/>
      <x:c r="AU928" s="121"/>
      <x:c r="AV928" s="122"/>
      <x:c r="AW928" s="120"/>
      <x:c r="AX928" s="122"/>
      <x:c r="AY928" s="120"/>
      <x:c r="AZ928" s="121"/>
      <x:c r="BA928" s="122"/>
      <x:c r="BB928" s="120"/>
      <x:c r="BC928" s="122"/>
      <x:c r="BD928" s="120"/>
      <x:c r="BE928" s="121"/>
      <x:c r="BF928" s="122"/>
      <x:c r="BG928" s="120"/>
      <x:c r="BH928" s="122"/>
      <x:c r="BI928" s="120"/>
      <x:c r="BJ928" s="121"/>
    </x:row>
    <x:row r="929" ht="15.75" customHeight="1">
      <x:c r="N929" s="120"/>
      <x:c r="P929" s="120"/>
      <x:c r="Q929" s="121"/>
      <x:c r="S929" s="120"/>
      <x:c r="U929" s="120"/>
      <x:c r="V929" s="121"/>
      <x:c r="W929" s="122"/>
      <x:c r="X929" s="120"/>
      <x:c r="Y929" s="122"/>
      <x:c r="Z929" s="120"/>
      <x:c r="AA929" s="121"/>
      <x:c r="AB929" s="122"/>
      <x:c r="AC929" s="120"/>
      <x:c r="AD929" s="122"/>
      <x:c r="AE929" s="120"/>
      <x:c r="AF929" s="121"/>
      <x:c r="AG929" s="122"/>
      <x:c r="AH929" s="120"/>
      <x:c r="AI929" s="122"/>
      <x:c r="AJ929" s="120"/>
      <x:c r="AK929" s="121"/>
      <x:c r="AL929" s="122"/>
      <x:c r="AM929" s="120"/>
      <x:c r="AN929" s="122"/>
      <x:c r="AO929" s="120"/>
      <x:c r="AP929" s="121"/>
      <x:c r="AQ929" s="122"/>
      <x:c r="AR929" s="120"/>
      <x:c r="AS929" s="122"/>
      <x:c r="AT929" s="120"/>
      <x:c r="AU929" s="121"/>
      <x:c r="AV929" s="122"/>
      <x:c r="AW929" s="120"/>
      <x:c r="AX929" s="122"/>
      <x:c r="AY929" s="120"/>
      <x:c r="AZ929" s="121"/>
      <x:c r="BA929" s="122"/>
      <x:c r="BB929" s="120"/>
      <x:c r="BC929" s="122"/>
      <x:c r="BD929" s="120"/>
      <x:c r="BE929" s="121"/>
      <x:c r="BF929" s="122"/>
      <x:c r="BG929" s="120"/>
      <x:c r="BH929" s="122"/>
      <x:c r="BI929" s="120"/>
      <x:c r="BJ929" s="121"/>
    </x:row>
    <x:row r="930" ht="15.75" customHeight="1">
      <x:c r="N930" s="120"/>
      <x:c r="P930" s="120"/>
      <x:c r="Q930" s="121"/>
      <x:c r="S930" s="120"/>
      <x:c r="U930" s="120"/>
      <x:c r="V930" s="121"/>
      <x:c r="W930" s="122"/>
      <x:c r="X930" s="120"/>
      <x:c r="Y930" s="122"/>
      <x:c r="Z930" s="120"/>
      <x:c r="AA930" s="121"/>
      <x:c r="AB930" s="122"/>
      <x:c r="AC930" s="120"/>
      <x:c r="AD930" s="122"/>
      <x:c r="AE930" s="120"/>
      <x:c r="AF930" s="121"/>
      <x:c r="AG930" s="122"/>
      <x:c r="AH930" s="120"/>
      <x:c r="AI930" s="122"/>
      <x:c r="AJ930" s="120"/>
      <x:c r="AK930" s="121"/>
      <x:c r="AL930" s="122"/>
      <x:c r="AM930" s="120"/>
      <x:c r="AN930" s="122"/>
      <x:c r="AO930" s="120"/>
      <x:c r="AP930" s="121"/>
      <x:c r="AQ930" s="122"/>
      <x:c r="AR930" s="120"/>
      <x:c r="AS930" s="122"/>
      <x:c r="AT930" s="120"/>
      <x:c r="AU930" s="121"/>
      <x:c r="AV930" s="122"/>
      <x:c r="AW930" s="120"/>
      <x:c r="AX930" s="122"/>
      <x:c r="AY930" s="120"/>
      <x:c r="AZ930" s="121"/>
      <x:c r="BA930" s="122"/>
      <x:c r="BB930" s="120"/>
      <x:c r="BC930" s="122"/>
      <x:c r="BD930" s="120"/>
      <x:c r="BE930" s="121"/>
      <x:c r="BF930" s="122"/>
      <x:c r="BG930" s="120"/>
      <x:c r="BH930" s="122"/>
      <x:c r="BI930" s="120"/>
      <x:c r="BJ930" s="121"/>
    </x:row>
    <x:row r="931" ht="15.75" customHeight="1">
      <x:c r="N931" s="120"/>
      <x:c r="P931" s="120"/>
      <x:c r="Q931" s="121"/>
      <x:c r="S931" s="120"/>
      <x:c r="U931" s="120"/>
      <x:c r="V931" s="121"/>
      <x:c r="W931" s="122"/>
      <x:c r="X931" s="120"/>
      <x:c r="Y931" s="122"/>
      <x:c r="Z931" s="120"/>
      <x:c r="AA931" s="121"/>
      <x:c r="AB931" s="122"/>
      <x:c r="AC931" s="120"/>
      <x:c r="AD931" s="122"/>
      <x:c r="AE931" s="120"/>
      <x:c r="AF931" s="121"/>
      <x:c r="AG931" s="122"/>
      <x:c r="AH931" s="120"/>
      <x:c r="AI931" s="122"/>
      <x:c r="AJ931" s="120"/>
      <x:c r="AK931" s="121"/>
      <x:c r="AL931" s="122"/>
      <x:c r="AM931" s="120"/>
      <x:c r="AN931" s="122"/>
      <x:c r="AO931" s="120"/>
      <x:c r="AP931" s="121"/>
      <x:c r="AQ931" s="122"/>
      <x:c r="AR931" s="120"/>
      <x:c r="AS931" s="122"/>
      <x:c r="AT931" s="120"/>
      <x:c r="AU931" s="121"/>
      <x:c r="AV931" s="122"/>
      <x:c r="AW931" s="120"/>
      <x:c r="AX931" s="122"/>
      <x:c r="AY931" s="120"/>
      <x:c r="AZ931" s="121"/>
      <x:c r="BA931" s="122"/>
      <x:c r="BB931" s="120"/>
      <x:c r="BC931" s="122"/>
      <x:c r="BD931" s="120"/>
      <x:c r="BE931" s="121"/>
      <x:c r="BF931" s="122"/>
      <x:c r="BG931" s="120"/>
      <x:c r="BH931" s="122"/>
      <x:c r="BI931" s="120"/>
      <x:c r="BJ931" s="121"/>
    </x:row>
    <x:row r="932" ht="15.75" customHeight="1">
      <x:c r="N932" s="120"/>
      <x:c r="P932" s="120"/>
      <x:c r="Q932" s="121"/>
      <x:c r="S932" s="120"/>
      <x:c r="U932" s="120"/>
      <x:c r="V932" s="121"/>
      <x:c r="W932" s="122"/>
      <x:c r="X932" s="120"/>
      <x:c r="Y932" s="122"/>
      <x:c r="Z932" s="120"/>
      <x:c r="AA932" s="121"/>
      <x:c r="AB932" s="122"/>
      <x:c r="AC932" s="120"/>
      <x:c r="AD932" s="122"/>
      <x:c r="AE932" s="120"/>
      <x:c r="AF932" s="121"/>
      <x:c r="AG932" s="122"/>
      <x:c r="AH932" s="120"/>
      <x:c r="AI932" s="122"/>
      <x:c r="AJ932" s="120"/>
      <x:c r="AK932" s="121"/>
      <x:c r="AL932" s="122"/>
      <x:c r="AM932" s="120"/>
      <x:c r="AN932" s="122"/>
      <x:c r="AO932" s="120"/>
      <x:c r="AP932" s="121"/>
      <x:c r="AQ932" s="122"/>
      <x:c r="AR932" s="120"/>
      <x:c r="AS932" s="122"/>
      <x:c r="AT932" s="120"/>
      <x:c r="AU932" s="121"/>
      <x:c r="AV932" s="122"/>
      <x:c r="AW932" s="120"/>
      <x:c r="AX932" s="122"/>
      <x:c r="AY932" s="120"/>
      <x:c r="AZ932" s="121"/>
      <x:c r="BA932" s="122"/>
      <x:c r="BB932" s="120"/>
      <x:c r="BC932" s="122"/>
      <x:c r="BD932" s="120"/>
      <x:c r="BE932" s="121"/>
      <x:c r="BF932" s="122"/>
      <x:c r="BG932" s="120"/>
      <x:c r="BH932" s="122"/>
      <x:c r="BI932" s="120"/>
      <x:c r="BJ932" s="121"/>
    </x:row>
    <x:row r="933" ht="15.75" customHeight="1">
      <x:c r="N933" s="120"/>
      <x:c r="P933" s="120"/>
      <x:c r="Q933" s="121"/>
      <x:c r="S933" s="120"/>
      <x:c r="U933" s="120"/>
      <x:c r="V933" s="121"/>
      <x:c r="W933" s="122"/>
      <x:c r="X933" s="120"/>
      <x:c r="Y933" s="122"/>
      <x:c r="Z933" s="120"/>
      <x:c r="AA933" s="121"/>
      <x:c r="AB933" s="122"/>
      <x:c r="AC933" s="120"/>
      <x:c r="AD933" s="122"/>
      <x:c r="AE933" s="120"/>
      <x:c r="AF933" s="121"/>
      <x:c r="AG933" s="122"/>
      <x:c r="AH933" s="120"/>
      <x:c r="AI933" s="122"/>
      <x:c r="AJ933" s="120"/>
      <x:c r="AK933" s="121"/>
      <x:c r="AL933" s="122"/>
      <x:c r="AM933" s="120"/>
      <x:c r="AN933" s="122"/>
      <x:c r="AO933" s="120"/>
      <x:c r="AP933" s="121"/>
      <x:c r="AQ933" s="122"/>
      <x:c r="AR933" s="120"/>
      <x:c r="AS933" s="122"/>
      <x:c r="AT933" s="120"/>
      <x:c r="AU933" s="121"/>
      <x:c r="AV933" s="122"/>
      <x:c r="AW933" s="120"/>
      <x:c r="AX933" s="122"/>
      <x:c r="AY933" s="120"/>
      <x:c r="AZ933" s="121"/>
      <x:c r="BA933" s="122"/>
      <x:c r="BB933" s="120"/>
      <x:c r="BC933" s="122"/>
      <x:c r="BD933" s="120"/>
      <x:c r="BE933" s="121"/>
      <x:c r="BF933" s="122"/>
      <x:c r="BG933" s="120"/>
      <x:c r="BH933" s="122"/>
      <x:c r="BI933" s="120"/>
      <x:c r="BJ933" s="121"/>
    </x:row>
    <x:row r="934" ht="15.75" customHeight="1">
      <x:c r="N934" s="120"/>
      <x:c r="P934" s="120"/>
      <x:c r="Q934" s="121"/>
      <x:c r="S934" s="120"/>
      <x:c r="U934" s="120"/>
      <x:c r="V934" s="121"/>
      <x:c r="W934" s="122"/>
      <x:c r="X934" s="120"/>
      <x:c r="Y934" s="122"/>
      <x:c r="Z934" s="120"/>
      <x:c r="AA934" s="121"/>
      <x:c r="AB934" s="122"/>
      <x:c r="AC934" s="120"/>
      <x:c r="AD934" s="122"/>
      <x:c r="AE934" s="120"/>
      <x:c r="AF934" s="121"/>
      <x:c r="AG934" s="122"/>
      <x:c r="AH934" s="120"/>
      <x:c r="AI934" s="122"/>
      <x:c r="AJ934" s="120"/>
      <x:c r="AK934" s="121"/>
      <x:c r="AL934" s="122"/>
      <x:c r="AM934" s="120"/>
      <x:c r="AN934" s="122"/>
      <x:c r="AO934" s="120"/>
      <x:c r="AP934" s="121"/>
      <x:c r="AQ934" s="122"/>
      <x:c r="AR934" s="120"/>
      <x:c r="AS934" s="122"/>
      <x:c r="AT934" s="120"/>
      <x:c r="AU934" s="121"/>
      <x:c r="AV934" s="122"/>
      <x:c r="AW934" s="120"/>
      <x:c r="AX934" s="122"/>
      <x:c r="AY934" s="120"/>
      <x:c r="AZ934" s="121"/>
      <x:c r="BA934" s="122"/>
      <x:c r="BB934" s="120"/>
      <x:c r="BC934" s="122"/>
      <x:c r="BD934" s="120"/>
      <x:c r="BE934" s="121"/>
      <x:c r="BF934" s="122"/>
      <x:c r="BG934" s="120"/>
      <x:c r="BH934" s="122"/>
      <x:c r="BI934" s="120"/>
      <x:c r="BJ934" s="121"/>
    </x:row>
    <x:row r="935" ht="15.75" customHeight="1">
      <x:c r="N935" s="120"/>
      <x:c r="P935" s="120"/>
      <x:c r="Q935" s="121"/>
      <x:c r="S935" s="120"/>
      <x:c r="U935" s="120"/>
      <x:c r="V935" s="121"/>
      <x:c r="W935" s="122"/>
      <x:c r="X935" s="120"/>
      <x:c r="Y935" s="122"/>
      <x:c r="Z935" s="120"/>
      <x:c r="AA935" s="121"/>
      <x:c r="AB935" s="122"/>
      <x:c r="AC935" s="120"/>
      <x:c r="AD935" s="122"/>
      <x:c r="AE935" s="120"/>
      <x:c r="AF935" s="121"/>
      <x:c r="AG935" s="122"/>
      <x:c r="AH935" s="120"/>
      <x:c r="AI935" s="122"/>
      <x:c r="AJ935" s="120"/>
      <x:c r="AK935" s="121"/>
      <x:c r="AL935" s="122"/>
      <x:c r="AM935" s="120"/>
      <x:c r="AN935" s="122"/>
      <x:c r="AO935" s="120"/>
      <x:c r="AP935" s="121"/>
      <x:c r="AQ935" s="122"/>
      <x:c r="AR935" s="120"/>
      <x:c r="AS935" s="122"/>
      <x:c r="AT935" s="120"/>
      <x:c r="AU935" s="121"/>
      <x:c r="AV935" s="122"/>
      <x:c r="AW935" s="120"/>
      <x:c r="AX935" s="122"/>
      <x:c r="AY935" s="120"/>
      <x:c r="AZ935" s="121"/>
      <x:c r="BA935" s="122"/>
      <x:c r="BB935" s="120"/>
      <x:c r="BC935" s="122"/>
      <x:c r="BD935" s="120"/>
      <x:c r="BE935" s="121"/>
      <x:c r="BF935" s="122"/>
      <x:c r="BG935" s="120"/>
      <x:c r="BH935" s="122"/>
      <x:c r="BI935" s="120"/>
      <x:c r="BJ935" s="121"/>
    </x:row>
    <x:row r="936" ht="15.75" customHeight="1">
      <x:c r="N936" s="120"/>
      <x:c r="P936" s="120"/>
      <x:c r="Q936" s="121"/>
      <x:c r="S936" s="120"/>
      <x:c r="U936" s="120"/>
      <x:c r="V936" s="121"/>
      <x:c r="W936" s="122"/>
      <x:c r="X936" s="120"/>
      <x:c r="Y936" s="122"/>
      <x:c r="Z936" s="120"/>
      <x:c r="AA936" s="121"/>
      <x:c r="AB936" s="122"/>
      <x:c r="AC936" s="120"/>
      <x:c r="AD936" s="122"/>
      <x:c r="AE936" s="120"/>
      <x:c r="AF936" s="121"/>
      <x:c r="AG936" s="122"/>
      <x:c r="AH936" s="120"/>
      <x:c r="AI936" s="122"/>
      <x:c r="AJ936" s="120"/>
      <x:c r="AK936" s="121"/>
      <x:c r="AL936" s="122"/>
      <x:c r="AM936" s="120"/>
      <x:c r="AN936" s="122"/>
      <x:c r="AO936" s="120"/>
      <x:c r="AP936" s="121"/>
      <x:c r="AQ936" s="122"/>
      <x:c r="AR936" s="120"/>
      <x:c r="AS936" s="122"/>
      <x:c r="AT936" s="120"/>
      <x:c r="AU936" s="121"/>
      <x:c r="AV936" s="122"/>
      <x:c r="AW936" s="120"/>
      <x:c r="AX936" s="122"/>
      <x:c r="AY936" s="120"/>
      <x:c r="AZ936" s="121"/>
      <x:c r="BA936" s="122"/>
      <x:c r="BB936" s="120"/>
      <x:c r="BC936" s="122"/>
      <x:c r="BD936" s="120"/>
      <x:c r="BE936" s="121"/>
      <x:c r="BF936" s="122"/>
      <x:c r="BG936" s="120"/>
      <x:c r="BH936" s="122"/>
      <x:c r="BI936" s="120"/>
      <x:c r="BJ936" s="121"/>
    </x:row>
    <x:row r="937" ht="15.75" customHeight="1">
      <x:c r="N937" s="120"/>
      <x:c r="P937" s="120"/>
      <x:c r="Q937" s="121"/>
      <x:c r="S937" s="120"/>
      <x:c r="U937" s="120"/>
      <x:c r="V937" s="121"/>
      <x:c r="W937" s="122"/>
      <x:c r="X937" s="120"/>
      <x:c r="Y937" s="122"/>
      <x:c r="Z937" s="120"/>
      <x:c r="AA937" s="121"/>
      <x:c r="AB937" s="122"/>
      <x:c r="AC937" s="120"/>
      <x:c r="AD937" s="122"/>
      <x:c r="AE937" s="120"/>
      <x:c r="AF937" s="121"/>
      <x:c r="AG937" s="122"/>
      <x:c r="AH937" s="120"/>
      <x:c r="AI937" s="122"/>
      <x:c r="AJ937" s="120"/>
      <x:c r="AK937" s="121"/>
      <x:c r="AL937" s="122"/>
      <x:c r="AM937" s="120"/>
      <x:c r="AN937" s="122"/>
      <x:c r="AO937" s="120"/>
      <x:c r="AP937" s="121"/>
      <x:c r="AQ937" s="122"/>
      <x:c r="AR937" s="120"/>
      <x:c r="AS937" s="122"/>
      <x:c r="AT937" s="120"/>
      <x:c r="AU937" s="121"/>
      <x:c r="AV937" s="122"/>
      <x:c r="AW937" s="120"/>
      <x:c r="AX937" s="122"/>
      <x:c r="AY937" s="120"/>
      <x:c r="AZ937" s="121"/>
      <x:c r="BA937" s="122"/>
      <x:c r="BB937" s="120"/>
      <x:c r="BC937" s="122"/>
      <x:c r="BD937" s="120"/>
      <x:c r="BE937" s="121"/>
      <x:c r="BF937" s="122"/>
      <x:c r="BG937" s="120"/>
      <x:c r="BH937" s="122"/>
      <x:c r="BI937" s="120"/>
      <x:c r="BJ937" s="121"/>
    </x:row>
    <x:row r="938" ht="15.75" customHeight="1">
      <x:c r="N938" s="120"/>
      <x:c r="P938" s="120"/>
      <x:c r="Q938" s="121"/>
      <x:c r="S938" s="120"/>
      <x:c r="U938" s="120"/>
      <x:c r="V938" s="121"/>
      <x:c r="W938" s="122"/>
      <x:c r="X938" s="120"/>
      <x:c r="Y938" s="122"/>
      <x:c r="Z938" s="120"/>
      <x:c r="AA938" s="121"/>
      <x:c r="AB938" s="122"/>
      <x:c r="AC938" s="120"/>
      <x:c r="AD938" s="122"/>
      <x:c r="AE938" s="120"/>
      <x:c r="AF938" s="121"/>
      <x:c r="AG938" s="122"/>
      <x:c r="AH938" s="120"/>
      <x:c r="AI938" s="122"/>
      <x:c r="AJ938" s="120"/>
      <x:c r="AK938" s="121"/>
      <x:c r="AL938" s="122"/>
      <x:c r="AM938" s="120"/>
      <x:c r="AN938" s="122"/>
      <x:c r="AO938" s="120"/>
      <x:c r="AP938" s="121"/>
      <x:c r="AQ938" s="122"/>
      <x:c r="AR938" s="120"/>
      <x:c r="AS938" s="122"/>
      <x:c r="AT938" s="120"/>
      <x:c r="AU938" s="121"/>
      <x:c r="AV938" s="122"/>
      <x:c r="AW938" s="120"/>
      <x:c r="AX938" s="122"/>
      <x:c r="AY938" s="120"/>
      <x:c r="AZ938" s="121"/>
      <x:c r="BA938" s="122"/>
      <x:c r="BB938" s="120"/>
      <x:c r="BC938" s="122"/>
      <x:c r="BD938" s="120"/>
      <x:c r="BE938" s="121"/>
      <x:c r="BF938" s="122"/>
      <x:c r="BG938" s="120"/>
      <x:c r="BH938" s="122"/>
      <x:c r="BI938" s="120"/>
      <x:c r="BJ938" s="121"/>
    </x:row>
    <x:row r="939" ht="15.75" customHeight="1">
      <x:c r="N939" s="120"/>
      <x:c r="P939" s="120"/>
      <x:c r="Q939" s="121"/>
      <x:c r="S939" s="120"/>
      <x:c r="U939" s="120"/>
      <x:c r="V939" s="121"/>
      <x:c r="W939" s="122"/>
      <x:c r="X939" s="120"/>
      <x:c r="Y939" s="122"/>
      <x:c r="Z939" s="120"/>
      <x:c r="AA939" s="121"/>
      <x:c r="AB939" s="122"/>
      <x:c r="AC939" s="120"/>
      <x:c r="AD939" s="122"/>
      <x:c r="AE939" s="120"/>
      <x:c r="AF939" s="121"/>
      <x:c r="AG939" s="122"/>
      <x:c r="AH939" s="120"/>
      <x:c r="AI939" s="122"/>
      <x:c r="AJ939" s="120"/>
      <x:c r="AK939" s="121"/>
      <x:c r="AL939" s="122"/>
      <x:c r="AM939" s="120"/>
      <x:c r="AN939" s="122"/>
      <x:c r="AO939" s="120"/>
      <x:c r="AP939" s="121"/>
      <x:c r="AQ939" s="122"/>
      <x:c r="AR939" s="120"/>
      <x:c r="AS939" s="122"/>
      <x:c r="AT939" s="120"/>
      <x:c r="AU939" s="121"/>
      <x:c r="AV939" s="122"/>
      <x:c r="AW939" s="120"/>
      <x:c r="AX939" s="122"/>
      <x:c r="AY939" s="120"/>
      <x:c r="AZ939" s="121"/>
      <x:c r="BA939" s="122"/>
      <x:c r="BB939" s="120"/>
      <x:c r="BC939" s="122"/>
      <x:c r="BD939" s="120"/>
      <x:c r="BE939" s="121"/>
      <x:c r="BF939" s="122"/>
      <x:c r="BG939" s="120"/>
      <x:c r="BH939" s="122"/>
      <x:c r="BI939" s="120"/>
      <x:c r="BJ939" s="121"/>
    </x:row>
    <x:row r="940" ht="15.75" customHeight="1">
      <x:c r="N940" s="120"/>
      <x:c r="P940" s="120"/>
      <x:c r="Q940" s="121"/>
      <x:c r="S940" s="120"/>
      <x:c r="U940" s="120"/>
      <x:c r="V940" s="121"/>
      <x:c r="W940" s="122"/>
      <x:c r="X940" s="120"/>
      <x:c r="Y940" s="122"/>
      <x:c r="Z940" s="120"/>
      <x:c r="AA940" s="121"/>
      <x:c r="AB940" s="122"/>
      <x:c r="AC940" s="120"/>
      <x:c r="AD940" s="122"/>
      <x:c r="AE940" s="120"/>
      <x:c r="AF940" s="121"/>
      <x:c r="AG940" s="122"/>
      <x:c r="AH940" s="120"/>
      <x:c r="AI940" s="122"/>
      <x:c r="AJ940" s="120"/>
      <x:c r="AK940" s="121"/>
      <x:c r="AL940" s="122"/>
      <x:c r="AM940" s="120"/>
      <x:c r="AN940" s="122"/>
      <x:c r="AO940" s="120"/>
      <x:c r="AP940" s="121"/>
      <x:c r="AQ940" s="122"/>
      <x:c r="AR940" s="120"/>
      <x:c r="AS940" s="122"/>
      <x:c r="AT940" s="120"/>
      <x:c r="AU940" s="121"/>
      <x:c r="AV940" s="122"/>
      <x:c r="AW940" s="120"/>
      <x:c r="AX940" s="122"/>
      <x:c r="AY940" s="120"/>
      <x:c r="AZ940" s="121"/>
      <x:c r="BA940" s="122"/>
      <x:c r="BB940" s="120"/>
      <x:c r="BC940" s="122"/>
      <x:c r="BD940" s="120"/>
      <x:c r="BE940" s="121"/>
      <x:c r="BF940" s="122"/>
      <x:c r="BG940" s="120"/>
      <x:c r="BH940" s="122"/>
      <x:c r="BI940" s="120"/>
      <x:c r="BJ940" s="121"/>
    </x:row>
    <x:row r="941" ht="15.75" customHeight="1">
      <x:c r="N941" s="120"/>
      <x:c r="P941" s="120"/>
      <x:c r="Q941" s="121"/>
      <x:c r="S941" s="120"/>
      <x:c r="U941" s="120"/>
      <x:c r="V941" s="121"/>
      <x:c r="W941" s="122"/>
      <x:c r="X941" s="120"/>
      <x:c r="Y941" s="122"/>
      <x:c r="Z941" s="120"/>
      <x:c r="AA941" s="121"/>
      <x:c r="AB941" s="122"/>
      <x:c r="AC941" s="120"/>
      <x:c r="AD941" s="122"/>
      <x:c r="AE941" s="120"/>
      <x:c r="AF941" s="121"/>
      <x:c r="AG941" s="122"/>
      <x:c r="AH941" s="120"/>
      <x:c r="AI941" s="122"/>
      <x:c r="AJ941" s="120"/>
      <x:c r="AK941" s="121"/>
      <x:c r="AL941" s="122"/>
      <x:c r="AM941" s="120"/>
      <x:c r="AN941" s="122"/>
      <x:c r="AO941" s="120"/>
      <x:c r="AP941" s="121"/>
      <x:c r="AQ941" s="122"/>
      <x:c r="AR941" s="120"/>
      <x:c r="AS941" s="122"/>
      <x:c r="AT941" s="120"/>
      <x:c r="AU941" s="121"/>
      <x:c r="AV941" s="122"/>
      <x:c r="AW941" s="120"/>
      <x:c r="AX941" s="122"/>
      <x:c r="AY941" s="120"/>
      <x:c r="AZ941" s="121"/>
      <x:c r="BA941" s="122"/>
      <x:c r="BB941" s="120"/>
      <x:c r="BC941" s="122"/>
      <x:c r="BD941" s="120"/>
      <x:c r="BE941" s="121"/>
      <x:c r="BF941" s="122"/>
      <x:c r="BG941" s="120"/>
      <x:c r="BH941" s="122"/>
      <x:c r="BI941" s="120"/>
      <x:c r="BJ941" s="121"/>
    </x:row>
    <x:row r="942" ht="15.75" customHeight="1">
      <x:c r="N942" s="120"/>
      <x:c r="P942" s="120"/>
      <x:c r="Q942" s="121"/>
      <x:c r="S942" s="120"/>
      <x:c r="U942" s="120"/>
      <x:c r="V942" s="121"/>
      <x:c r="W942" s="122"/>
      <x:c r="X942" s="120"/>
      <x:c r="Y942" s="122"/>
      <x:c r="Z942" s="120"/>
      <x:c r="AA942" s="121"/>
      <x:c r="AB942" s="122"/>
      <x:c r="AC942" s="120"/>
      <x:c r="AD942" s="122"/>
      <x:c r="AE942" s="120"/>
      <x:c r="AF942" s="121"/>
      <x:c r="AG942" s="122"/>
      <x:c r="AH942" s="120"/>
      <x:c r="AI942" s="122"/>
      <x:c r="AJ942" s="120"/>
      <x:c r="AK942" s="121"/>
      <x:c r="AL942" s="122"/>
      <x:c r="AM942" s="120"/>
      <x:c r="AN942" s="122"/>
      <x:c r="AO942" s="120"/>
      <x:c r="AP942" s="121"/>
      <x:c r="AQ942" s="122"/>
      <x:c r="AR942" s="120"/>
      <x:c r="AS942" s="122"/>
      <x:c r="AT942" s="120"/>
      <x:c r="AU942" s="121"/>
      <x:c r="AV942" s="122"/>
      <x:c r="AW942" s="120"/>
      <x:c r="AX942" s="122"/>
      <x:c r="AY942" s="120"/>
      <x:c r="AZ942" s="121"/>
      <x:c r="BA942" s="122"/>
      <x:c r="BB942" s="120"/>
      <x:c r="BC942" s="122"/>
      <x:c r="BD942" s="120"/>
      <x:c r="BE942" s="121"/>
      <x:c r="BF942" s="122"/>
      <x:c r="BG942" s="120"/>
      <x:c r="BH942" s="122"/>
      <x:c r="BI942" s="120"/>
      <x:c r="BJ942" s="121"/>
    </x:row>
    <x:row r="943" ht="15.75" customHeight="1">
      <x:c r="N943" s="120"/>
      <x:c r="P943" s="120"/>
      <x:c r="Q943" s="121"/>
      <x:c r="S943" s="120"/>
      <x:c r="U943" s="120"/>
      <x:c r="V943" s="121"/>
      <x:c r="W943" s="122"/>
      <x:c r="X943" s="120"/>
      <x:c r="Y943" s="122"/>
      <x:c r="Z943" s="120"/>
      <x:c r="AA943" s="121"/>
      <x:c r="AB943" s="122"/>
      <x:c r="AC943" s="120"/>
      <x:c r="AD943" s="122"/>
      <x:c r="AE943" s="120"/>
      <x:c r="AF943" s="121"/>
      <x:c r="AG943" s="122"/>
      <x:c r="AH943" s="120"/>
      <x:c r="AI943" s="122"/>
      <x:c r="AJ943" s="120"/>
      <x:c r="AK943" s="121"/>
      <x:c r="AL943" s="122"/>
      <x:c r="AM943" s="120"/>
      <x:c r="AN943" s="122"/>
      <x:c r="AO943" s="120"/>
      <x:c r="AP943" s="121"/>
      <x:c r="AQ943" s="122"/>
      <x:c r="AR943" s="120"/>
      <x:c r="AS943" s="122"/>
      <x:c r="AT943" s="120"/>
      <x:c r="AU943" s="121"/>
      <x:c r="AV943" s="122"/>
      <x:c r="AW943" s="120"/>
      <x:c r="AX943" s="122"/>
      <x:c r="AY943" s="120"/>
      <x:c r="AZ943" s="121"/>
      <x:c r="BA943" s="122"/>
      <x:c r="BB943" s="120"/>
      <x:c r="BC943" s="122"/>
      <x:c r="BD943" s="120"/>
      <x:c r="BE943" s="121"/>
      <x:c r="BF943" s="122"/>
      <x:c r="BG943" s="120"/>
      <x:c r="BH943" s="122"/>
      <x:c r="BI943" s="120"/>
      <x:c r="BJ943" s="121"/>
    </x:row>
    <x:row r="944" ht="15.75" customHeight="1">
      <x:c r="N944" s="120"/>
      <x:c r="P944" s="120"/>
      <x:c r="Q944" s="121"/>
      <x:c r="S944" s="120"/>
      <x:c r="U944" s="120"/>
      <x:c r="V944" s="121"/>
      <x:c r="W944" s="122"/>
      <x:c r="X944" s="120"/>
      <x:c r="Y944" s="122"/>
      <x:c r="Z944" s="120"/>
      <x:c r="AA944" s="121"/>
      <x:c r="AB944" s="122"/>
      <x:c r="AC944" s="120"/>
      <x:c r="AD944" s="122"/>
      <x:c r="AE944" s="120"/>
      <x:c r="AF944" s="121"/>
      <x:c r="AG944" s="122"/>
      <x:c r="AH944" s="120"/>
      <x:c r="AI944" s="122"/>
      <x:c r="AJ944" s="120"/>
      <x:c r="AK944" s="121"/>
      <x:c r="AL944" s="122"/>
      <x:c r="AM944" s="120"/>
      <x:c r="AN944" s="122"/>
      <x:c r="AO944" s="120"/>
      <x:c r="AP944" s="121"/>
      <x:c r="AQ944" s="122"/>
      <x:c r="AR944" s="120"/>
      <x:c r="AS944" s="122"/>
      <x:c r="AT944" s="120"/>
      <x:c r="AU944" s="121"/>
      <x:c r="AV944" s="122"/>
      <x:c r="AW944" s="120"/>
      <x:c r="AX944" s="122"/>
      <x:c r="AY944" s="120"/>
      <x:c r="AZ944" s="121"/>
      <x:c r="BA944" s="122"/>
      <x:c r="BB944" s="120"/>
      <x:c r="BC944" s="122"/>
      <x:c r="BD944" s="120"/>
      <x:c r="BE944" s="121"/>
      <x:c r="BF944" s="122"/>
      <x:c r="BG944" s="120"/>
      <x:c r="BH944" s="122"/>
      <x:c r="BI944" s="120"/>
      <x:c r="BJ944" s="121"/>
    </x:row>
    <x:row r="945" ht="15.75" customHeight="1">
      <x:c r="N945" s="120"/>
      <x:c r="P945" s="120"/>
      <x:c r="Q945" s="121"/>
      <x:c r="S945" s="120"/>
      <x:c r="U945" s="120"/>
      <x:c r="V945" s="121"/>
      <x:c r="W945" s="122"/>
      <x:c r="X945" s="120"/>
      <x:c r="Y945" s="122"/>
      <x:c r="Z945" s="120"/>
      <x:c r="AA945" s="121"/>
      <x:c r="AB945" s="122"/>
      <x:c r="AC945" s="120"/>
      <x:c r="AD945" s="122"/>
      <x:c r="AE945" s="120"/>
      <x:c r="AF945" s="121"/>
      <x:c r="AG945" s="122"/>
      <x:c r="AH945" s="120"/>
      <x:c r="AI945" s="122"/>
      <x:c r="AJ945" s="120"/>
      <x:c r="AK945" s="121"/>
      <x:c r="AL945" s="122"/>
      <x:c r="AM945" s="120"/>
      <x:c r="AN945" s="122"/>
      <x:c r="AO945" s="120"/>
      <x:c r="AP945" s="121"/>
      <x:c r="AQ945" s="122"/>
      <x:c r="AR945" s="120"/>
      <x:c r="AS945" s="122"/>
      <x:c r="AT945" s="120"/>
      <x:c r="AU945" s="121"/>
      <x:c r="AV945" s="122"/>
      <x:c r="AW945" s="120"/>
      <x:c r="AX945" s="122"/>
      <x:c r="AY945" s="120"/>
      <x:c r="AZ945" s="121"/>
      <x:c r="BA945" s="122"/>
      <x:c r="BB945" s="120"/>
      <x:c r="BC945" s="122"/>
      <x:c r="BD945" s="120"/>
      <x:c r="BE945" s="121"/>
      <x:c r="BF945" s="122"/>
      <x:c r="BG945" s="120"/>
      <x:c r="BH945" s="122"/>
      <x:c r="BI945" s="120"/>
      <x:c r="BJ945" s="121"/>
    </x:row>
    <x:row r="946" ht="15.75" customHeight="1">
      <x:c r="N946" s="120"/>
      <x:c r="P946" s="120"/>
      <x:c r="Q946" s="121"/>
      <x:c r="S946" s="120"/>
      <x:c r="U946" s="120"/>
      <x:c r="V946" s="121"/>
      <x:c r="W946" s="122"/>
      <x:c r="X946" s="120"/>
      <x:c r="Y946" s="122"/>
      <x:c r="Z946" s="120"/>
      <x:c r="AA946" s="121"/>
      <x:c r="AB946" s="122"/>
      <x:c r="AC946" s="120"/>
      <x:c r="AD946" s="122"/>
      <x:c r="AE946" s="120"/>
      <x:c r="AF946" s="121"/>
      <x:c r="AG946" s="122"/>
      <x:c r="AH946" s="120"/>
      <x:c r="AI946" s="122"/>
      <x:c r="AJ946" s="120"/>
      <x:c r="AK946" s="121"/>
      <x:c r="AL946" s="122"/>
      <x:c r="AM946" s="120"/>
      <x:c r="AN946" s="122"/>
      <x:c r="AO946" s="120"/>
      <x:c r="AP946" s="121"/>
      <x:c r="AQ946" s="122"/>
      <x:c r="AR946" s="120"/>
      <x:c r="AS946" s="122"/>
      <x:c r="AT946" s="120"/>
      <x:c r="AU946" s="121"/>
      <x:c r="AV946" s="122"/>
      <x:c r="AW946" s="120"/>
      <x:c r="AX946" s="122"/>
      <x:c r="AY946" s="120"/>
      <x:c r="AZ946" s="121"/>
      <x:c r="BA946" s="122"/>
      <x:c r="BB946" s="120"/>
      <x:c r="BC946" s="122"/>
      <x:c r="BD946" s="120"/>
      <x:c r="BE946" s="121"/>
      <x:c r="BF946" s="122"/>
      <x:c r="BG946" s="120"/>
      <x:c r="BH946" s="122"/>
      <x:c r="BI946" s="120"/>
      <x:c r="BJ946" s="121"/>
    </x:row>
    <x:row r="947" ht="15.75" customHeight="1">
      <x:c r="N947" s="120"/>
      <x:c r="P947" s="120"/>
      <x:c r="Q947" s="121"/>
      <x:c r="S947" s="120"/>
      <x:c r="U947" s="120"/>
      <x:c r="V947" s="121"/>
      <x:c r="W947" s="122"/>
      <x:c r="X947" s="120"/>
      <x:c r="Y947" s="122"/>
      <x:c r="Z947" s="120"/>
      <x:c r="AA947" s="121"/>
      <x:c r="AB947" s="122"/>
      <x:c r="AC947" s="120"/>
      <x:c r="AD947" s="122"/>
      <x:c r="AE947" s="120"/>
      <x:c r="AF947" s="121"/>
      <x:c r="AG947" s="122"/>
      <x:c r="AH947" s="120"/>
      <x:c r="AI947" s="122"/>
      <x:c r="AJ947" s="120"/>
      <x:c r="AK947" s="121"/>
      <x:c r="AL947" s="122"/>
      <x:c r="AM947" s="120"/>
      <x:c r="AN947" s="122"/>
      <x:c r="AO947" s="120"/>
      <x:c r="AP947" s="121"/>
      <x:c r="AQ947" s="122"/>
      <x:c r="AR947" s="120"/>
      <x:c r="AS947" s="122"/>
      <x:c r="AT947" s="120"/>
      <x:c r="AU947" s="121"/>
      <x:c r="AV947" s="122"/>
      <x:c r="AW947" s="120"/>
      <x:c r="AX947" s="122"/>
      <x:c r="AY947" s="120"/>
      <x:c r="AZ947" s="121"/>
      <x:c r="BA947" s="122"/>
      <x:c r="BB947" s="120"/>
      <x:c r="BC947" s="122"/>
      <x:c r="BD947" s="120"/>
      <x:c r="BE947" s="121"/>
      <x:c r="BF947" s="122"/>
      <x:c r="BG947" s="120"/>
      <x:c r="BH947" s="122"/>
      <x:c r="BI947" s="120"/>
      <x:c r="BJ947" s="121"/>
    </x:row>
    <x:row r="948" ht="15.75" customHeight="1">
      <x:c r="N948" s="120"/>
      <x:c r="P948" s="120"/>
      <x:c r="Q948" s="121"/>
      <x:c r="S948" s="120"/>
      <x:c r="U948" s="120"/>
      <x:c r="V948" s="121"/>
      <x:c r="W948" s="122"/>
      <x:c r="X948" s="120"/>
      <x:c r="Y948" s="122"/>
      <x:c r="Z948" s="120"/>
      <x:c r="AA948" s="121"/>
      <x:c r="AB948" s="122"/>
      <x:c r="AC948" s="120"/>
      <x:c r="AD948" s="122"/>
      <x:c r="AE948" s="120"/>
      <x:c r="AF948" s="121"/>
      <x:c r="AG948" s="122"/>
      <x:c r="AH948" s="120"/>
      <x:c r="AI948" s="122"/>
      <x:c r="AJ948" s="120"/>
      <x:c r="AK948" s="121"/>
      <x:c r="AL948" s="122"/>
      <x:c r="AM948" s="120"/>
      <x:c r="AN948" s="122"/>
      <x:c r="AO948" s="120"/>
      <x:c r="AP948" s="121"/>
      <x:c r="AQ948" s="122"/>
      <x:c r="AR948" s="120"/>
      <x:c r="AS948" s="122"/>
      <x:c r="AT948" s="120"/>
      <x:c r="AU948" s="121"/>
      <x:c r="AV948" s="122"/>
      <x:c r="AW948" s="120"/>
      <x:c r="AX948" s="122"/>
      <x:c r="AY948" s="120"/>
      <x:c r="AZ948" s="121"/>
      <x:c r="BA948" s="122"/>
      <x:c r="BB948" s="120"/>
      <x:c r="BC948" s="122"/>
      <x:c r="BD948" s="120"/>
      <x:c r="BE948" s="121"/>
      <x:c r="BF948" s="122"/>
      <x:c r="BG948" s="120"/>
      <x:c r="BH948" s="122"/>
      <x:c r="BI948" s="120"/>
      <x:c r="BJ948" s="121"/>
    </x:row>
    <x:row r="949" ht="15.75" customHeight="1">
      <x:c r="N949" s="120"/>
      <x:c r="P949" s="120"/>
      <x:c r="Q949" s="121"/>
      <x:c r="S949" s="120"/>
      <x:c r="U949" s="120"/>
      <x:c r="V949" s="121"/>
      <x:c r="W949" s="122"/>
      <x:c r="X949" s="120"/>
      <x:c r="Y949" s="122"/>
      <x:c r="Z949" s="120"/>
      <x:c r="AA949" s="121"/>
      <x:c r="AB949" s="122"/>
      <x:c r="AC949" s="120"/>
      <x:c r="AD949" s="122"/>
      <x:c r="AE949" s="120"/>
      <x:c r="AF949" s="121"/>
      <x:c r="AG949" s="122"/>
      <x:c r="AH949" s="120"/>
      <x:c r="AI949" s="122"/>
      <x:c r="AJ949" s="120"/>
      <x:c r="AK949" s="121"/>
      <x:c r="AL949" s="122"/>
      <x:c r="AM949" s="120"/>
      <x:c r="AN949" s="122"/>
      <x:c r="AO949" s="120"/>
      <x:c r="AP949" s="121"/>
      <x:c r="AQ949" s="122"/>
      <x:c r="AR949" s="120"/>
      <x:c r="AS949" s="122"/>
      <x:c r="AT949" s="120"/>
      <x:c r="AU949" s="121"/>
      <x:c r="AV949" s="122"/>
      <x:c r="AW949" s="120"/>
      <x:c r="AX949" s="122"/>
      <x:c r="AY949" s="120"/>
      <x:c r="AZ949" s="121"/>
      <x:c r="BA949" s="122"/>
      <x:c r="BB949" s="120"/>
      <x:c r="BC949" s="122"/>
      <x:c r="BD949" s="120"/>
      <x:c r="BE949" s="121"/>
      <x:c r="BF949" s="122"/>
      <x:c r="BG949" s="120"/>
      <x:c r="BH949" s="122"/>
      <x:c r="BI949" s="120"/>
      <x:c r="BJ949" s="121"/>
    </x:row>
    <x:row r="950" ht="15.75" customHeight="1">
      <x:c r="N950" s="120"/>
      <x:c r="P950" s="120"/>
      <x:c r="Q950" s="121"/>
      <x:c r="S950" s="120"/>
      <x:c r="U950" s="120"/>
      <x:c r="V950" s="121"/>
      <x:c r="W950" s="122"/>
      <x:c r="X950" s="120"/>
      <x:c r="Y950" s="122"/>
      <x:c r="Z950" s="120"/>
      <x:c r="AA950" s="121"/>
      <x:c r="AB950" s="122"/>
      <x:c r="AC950" s="120"/>
      <x:c r="AD950" s="122"/>
      <x:c r="AE950" s="120"/>
      <x:c r="AF950" s="121"/>
      <x:c r="AG950" s="122"/>
      <x:c r="AH950" s="120"/>
      <x:c r="AI950" s="122"/>
      <x:c r="AJ950" s="120"/>
      <x:c r="AK950" s="121"/>
      <x:c r="AL950" s="122"/>
      <x:c r="AM950" s="120"/>
      <x:c r="AN950" s="122"/>
      <x:c r="AO950" s="120"/>
      <x:c r="AP950" s="121"/>
      <x:c r="AQ950" s="122"/>
      <x:c r="AR950" s="120"/>
      <x:c r="AS950" s="122"/>
      <x:c r="AT950" s="120"/>
      <x:c r="AU950" s="121"/>
      <x:c r="AV950" s="122"/>
      <x:c r="AW950" s="120"/>
      <x:c r="AX950" s="122"/>
      <x:c r="AY950" s="120"/>
      <x:c r="AZ950" s="121"/>
      <x:c r="BA950" s="122"/>
      <x:c r="BB950" s="120"/>
      <x:c r="BC950" s="122"/>
      <x:c r="BD950" s="120"/>
      <x:c r="BE950" s="121"/>
      <x:c r="BF950" s="122"/>
      <x:c r="BG950" s="120"/>
      <x:c r="BH950" s="122"/>
      <x:c r="BI950" s="120"/>
      <x:c r="BJ950" s="121"/>
    </x:row>
    <x:row r="951" ht="15.75" customHeight="1">
      <x:c r="N951" s="120"/>
      <x:c r="P951" s="120"/>
      <x:c r="Q951" s="121"/>
      <x:c r="S951" s="120"/>
      <x:c r="U951" s="120"/>
      <x:c r="V951" s="121"/>
      <x:c r="W951" s="122"/>
      <x:c r="X951" s="120"/>
      <x:c r="Y951" s="122"/>
      <x:c r="Z951" s="120"/>
      <x:c r="AA951" s="121"/>
      <x:c r="AB951" s="122"/>
      <x:c r="AC951" s="120"/>
      <x:c r="AD951" s="122"/>
      <x:c r="AE951" s="120"/>
      <x:c r="AF951" s="121"/>
      <x:c r="AG951" s="122"/>
      <x:c r="AH951" s="120"/>
      <x:c r="AI951" s="122"/>
      <x:c r="AJ951" s="120"/>
      <x:c r="AK951" s="121"/>
      <x:c r="AL951" s="122"/>
      <x:c r="AM951" s="120"/>
      <x:c r="AN951" s="122"/>
      <x:c r="AO951" s="120"/>
      <x:c r="AP951" s="121"/>
      <x:c r="AQ951" s="122"/>
      <x:c r="AR951" s="120"/>
      <x:c r="AS951" s="122"/>
      <x:c r="AT951" s="120"/>
      <x:c r="AU951" s="121"/>
      <x:c r="AV951" s="122"/>
      <x:c r="AW951" s="120"/>
      <x:c r="AX951" s="122"/>
      <x:c r="AY951" s="120"/>
      <x:c r="AZ951" s="121"/>
      <x:c r="BA951" s="122"/>
      <x:c r="BB951" s="120"/>
      <x:c r="BC951" s="122"/>
      <x:c r="BD951" s="120"/>
      <x:c r="BE951" s="121"/>
      <x:c r="BF951" s="122"/>
      <x:c r="BG951" s="120"/>
      <x:c r="BH951" s="122"/>
      <x:c r="BI951" s="120"/>
      <x:c r="BJ951" s="121"/>
    </x:row>
    <x:row r="952" ht="15.75" customHeight="1">
      <x:c r="N952" s="120"/>
      <x:c r="P952" s="120"/>
      <x:c r="Q952" s="121"/>
      <x:c r="S952" s="120"/>
      <x:c r="U952" s="120"/>
      <x:c r="V952" s="121"/>
      <x:c r="W952" s="122"/>
      <x:c r="X952" s="120"/>
      <x:c r="Y952" s="122"/>
      <x:c r="Z952" s="120"/>
      <x:c r="AA952" s="121"/>
      <x:c r="AB952" s="122"/>
      <x:c r="AC952" s="120"/>
      <x:c r="AD952" s="122"/>
      <x:c r="AE952" s="120"/>
      <x:c r="AF952" s="121"/>
      <x:c r="AG952" s="122"/>
      <x:c r="AH952" s="120"/>
      <x:c r="AI952" s="122"/>
      <x:c r="AJ952" s="120"/>
      <x:c r="AK952" s="121"/>
      <x:c r="AL952" s="122"/>
      <x:c r="AM952" s="120"/>
      <x:c r="AN952" s="122"/>
      <x:c r="AO952" s="120"/>
      <x:c r="AP952" s="121"/>
      <x:c r="AQ952" s="122"/>
      <x:c r="AR952" s="120"/>
      <x:c r="AS952" s="122"/>
      <x:c r="AT952" s="120"/>
      <x:c r="AU952" s="121"/>
      <x:c r="AV952" s="122"/>
      <x:c r="AW952" s="120"/>
      <x:c r="AX952" s="122"/>
      <x:c r="AY952" s="120"/>
      <x:c r="AZ952" s="121"/>
      <x:c r="BA952" s="122"/>
      <x:c r="BB952" s="120"/>
      <x:c r="BC952" s="122"/>
      <x:c r="BD952" s="120"/>
      <x:c r="BE952" s="121"/>
      <x:c r="BF952" s="122"/>
      <x:c r="BG952" s="120"/>
      <x:c r="BH952" s="122"/>
      <x:c r="BI952" s="120"/>
      <x:c r="BJ952" s="121"/>
    </x:row>
    <x:row r="953" ht="15.75" customHeight="1">
      <x:c r="N953" s="120"/>
      <x:c r="P953" s="120"/>
      <x:c r="Q953" s="121"/>
      <x:c r="S953" s="120"/>
      <x:c r="U953" s="120"/>
      <x:c r="V953" s="121"/>
      <x:c r="W953" s="122"/>
      <x:c r="X953" s="120"/>
      <x:c r="Y953" s="122"/>
      <x:c r="Z953" s="120"/>
      <x:c r="AA953" s="121"/>
      <x:c r="AB953" s="122"/>
      <x:c r="AC953" s="120"/>
      <x:c r="AD953" s="122"/>
      <x:c r="AE953" s="120"/>
      <x:c r="AF953" s="121"/>
      <x:c r="AG953" s="122"/>
      <x:c r="AH953" s="120"/>
      <x:c r="AI953" s="122"/>
      <x:c r="AJ953" s="120"/>
      <x:c r="AK953" s="121"/>
      <x:c r="AL953" s="122"/>
      <x:c r="AM953" s="120"/>
      <x:c r="AN953" s="122"/>
      <x:c r="AO953" s="120"/>
      <x:c r="AP953" s="121"/>
      <x:c r="AQ953" s="122"/>
      <x:c r="AR953" s="120"/>
      <x:c r="AS953" s="122"/>
      <x:c r="AT953" s="120"/>
      <x:c r="AU953" s="121"/>
      <x:c r="AV953" s="122"/>
      <x:c r="AW953" s="120"/>
      <x:c r="AX953" s="122"/>
      <x:c r="AY953" s="120"/>
      <x:c r="AZ953" s="121"/>
      <x:c r="BA953" s="122"/>
      <x:c r="BB953" s="120"/>
      <x:c r="BC953" s="122"/>
      <x:c r="BD953" s="120"/>
      <x:c r="BE953" s="121"/>
      <x:c r="BF953" s="122"/>
      <x:c r="BG953" s="120"/>
      <x:c r="BH953" s="122"/>
      <x:c r="BI953" s="120"/>
      <x:c r="BJ953" s="121"/>
    </x:row>
    <x:row r="954" ht="15.75" customHeight="1">
      <x:c r="N954" s="120"/>
      <x:c r="P954" s="120"/>
      <x:c r="Q954" s="121"/>
      <x:c r="S954" s="120"/>
      <x:c r="U954" s="120"/>
      <x:c r="V954" s="121"/>
      <x:c r="W954" s="122"/>
      <x:c r="X954" s="120"/>
      <x:c r="Y954" s="122"/>
      <x:c r="Z954" s="120"/>
      <x:c r="AA954" s="121"/>
      <x:c r="AB954" s="122"/>
      <x:c r="AC954" s="120"/>
      <x:c r="AD954" s="122"/>
      <x:c r="AE954" s="120"/>
      <x:c r="AF954" s="121"/>
      <x:c r="AG954" s="122"/>
      <x:c r="AH954" s="120"/>
      <x:c r="AI954" s="122"/>
      <x:c r="AJ954" s="120"/>
      <x:c r="AK954" s="121"/>
      <x:c r="AL954" s="122"/>
      <x:c r="AM954" s="120"/>
      <x:c r="AN954" s="122"/>
      <x:c r="AO954" s="120"/>
      <x:c r="AP954" s="121"/>
      <x:c r="AQ954" s="122"/>
      <x:c r="AR954" s="120"/>
      <x:c r="AS954" s="122"/>
      <x:c r="AT954" s="120"/>
      <x:c r="AU954" s="121"/>
      <x:c r="AV954" s="122"/>
      <x:c r="AW954" s="120"/>
      <x:c r="AX954" s="122"/>
      <x:c r="AY954" s="120"/>
      <x:c r="AZ954" s="121"/>
      <x:c r="BA954" s="122"/>
      <x:c r="BB954" s="120"/>
      <x:c r="BC954" s="122"/>
      <x:c r="BD954" s="120"/>
      <x:c r="BE954" s="121"/>
      <x:c r="BF954" s="122"/>
      <x:c r="BG954" s="120"/>
      <x:c r="BH954" s="122"/>
      <x:c r="BI954" s="120"/>
      <x:c r="BJ954" s="121"/>
    </x:row>
    <x:row r="955" ht="15.75" customHeight="1">
      <x:c r="N955" s="120"/>
      <x:c r="P955" s="120"/>
      <x:c r="Q955" s="121"/>
      <x:c r="S955" s="120"/>
      <x:c r="U955" s="120"/>
      <x:c r="V955" s="121"/>
      <x:c r="W955" s="122"/>
      <x:c r="X955" s="120"/>
      <x:c r="Y955" s="122"/>
      <x:c r="Z955" s="120"/>
      <x:c r="AA955" s="121"/>
      <x:c r="AB955" s="122"/>
      <x:c r="AC955" s="120"/>
      <x:c r="AD955" s="122"/>
      <x:c r="AE955" s="120"/>
      <x:c r="AF955" s="121"/>
      <x:c r="AG955" s="122"/>
      <x:c r="AH955" s="120"/>
      <x:c r="AI955" s="122"/>
      <x:c r="AJ955" s="120"/>
      <x:c r="AK955" s="121"/>
      <x:c r="AL955" s="122"/>
      <x:c r="AM955" s="120"/>
      <x:c r="AN955" s="122"/>
      <x:c r="AO955" s="120"/>
      <x:c r="AP955" s="121"/>
      <x:c r="AQ955" s="122"/>
      <x:c r="AR955" s="120"/>
      <x:c r="AS955" s="122"/>
      <x:c r="AT955" s="120"/>
      <x:c r="AU955" s="121"/>
      <x:c r="AV955" s="122"/>
      <x:c r="AW955" s="120"/>
      <x:c r="AX955" s="122"/>
      <x:c r="AY955" s="120"/>
      <x:c r="AZ955" s="121"/>
      <x:c r="BA955" s="122"/>
      <x:c r="BB955" s="120"/>
      <x:c r="BC955" s="122"/>
      <x:c r="BD955" s="120"/>
      <x:c r="BE955" s="121"/>
      <x:c r="BF955" s="122"/>
      <x:c r="BG955" s="120"/>
      <x:c r="BH955" s="122"/>
      <x:c r="BI955" s="120"/>
      <x:c r="BJ955" s="121"/>
    </x:row>
    <x:row r="956" ht="15.75" customHeight="1">
      <x:c r="N956" s="120"/>
      <x:c r="P956" s="120"/>
      <x:c r="Q956" s="121"/>
      <x:c r="S956" s="120"/>
      <x:c r="U956" s="120"/>
      <x:c r="V956" s="121"/>
      <x:c r="W956" s="122"/>
      <x:c r="X956" s="120"/>
      <x:c r="Y956" s="122"/>
      <x:c r="Z956" s="120"/>
      <x:c r="AA956" s="121"/>
      <x:c r="AB956" s="122"/>
      <x:c r="AC956" s="120"/>
      <x:c r="AD956" s="122"/>
      <x:c r="AE956" s="120"/>
      <x:c r="AF956" s="121"/>
      <x:c r="AG956" s="122"/>
      <x:c r="AH956" s="120"/>
      <x:c r="AI956" s="122"/>
      <x:c r="AJ956" s="120"/>
      <x:c r="AK956" s="121"/>
      <x:c r="AL956" s="122"/>
      <x:c r="AM956" s="120"/>
      <x:c r="AN956" s="122"/>
      <x:c r="AO956" s="120"/>
      <x:c r="AP956" s="121"/>
      <x:c r="AQ956" s="122"/>
      <x:c r="AR956" s="120"/>
      <x:c r="AS956" s="122"/>
      <x:c r="AT956" s="120"/>
      <x:c r="AU956" s="121"/>
      <x:c r="AV956" s="122"/>
      <x:c r="AW956" s="120"/>
      <x:c r="AX956" s="122"/>
      <x:c r="AY956" s="120"/>
      <x:c r="AZ956" s="121"/>
      <x:c r="BA956" s="122"/>
      <x:c r="BB956" s="120"/>
      <x:c r="BC956" s="122"/>
      <x:c r="BD956" s="120"/>
      <x:c r="BE956" s="121"/>
      <x:c r="BF956" s="122"/>
      <x:c r="BG956" s="120"/>
      <x:c r="BH956" s="122"/>
      <x:c r="BI956" s="120"/>
      <x:c r="BJ956" s="121"/>
    </x:row>
    <x:row r="957" ht="15.75" customHeight="1">
      <x:c r="N957" s="120"/>
      <x:c r="P957" s="120"/>
      <x:c r="Q957" s="121"/>
      <x:c r="S957" s="120"/>
      <x:c r="U957" s="120"/>
      <x:c r="V957" s="121"/>
      <x:c r="W957" s="122"/>
      <x:c r="X957" s="120"/>
      <x:c r="Y957" s="122"/>
      <x:c r="Z957" s="120"/>
      <x:c r="AA957" s="121"/>
      <x:c r="AB957" s="122"/>
      <x:c r="AC957" s="120"/>
      <x:c r="AD957" s="122"/>
      <x:c r="AE957" s="120"/>
      <x:c r="AF957" s="121"/>
      <x:c r="AG957" s="122"/>
      <x:c r="AH957" s="120"/>
      <x:c r="AI957" s="122"/>
      <x:c r="AJ957" s="120"/>
      <x:c r="AK957" s="121"/>
      <x:c r="AL957" s="122"/>
      <x:c r="AM957" s="120"/>
      <x:c r="AN957" s="122"/>
      <x:c r="AO957" s="120"/>
      <x:c r="AP957" s="121"/>
      <x:c r="AQ957" s="122"/>
      <x:c r="AR957" s="120"/>
      <x:c r="AS957" s="122"/>
      <x:c r="AT957" s="120"/>
      <x:c r="AU957" s="121"/>
      <x:c r="AV957" s="122"/>
      <x:c r="AW957" s="120"/>
      <x:c r="AX957" s="122"/>
      <x:c r="AY957" s="120"/>
      <x:c r="AZ957" s="121"/>
      <x:c r="BA957" s="122"/>
      <x:c r="BB957" s="120"/>
      <x:c r="BC957" s="122"/>
      <x:c r="BD957" s="120"/>
      <x:c r="BE957" s="121"/>
      <x:c r="BF957" s="122"/>
      <x:c r="BG957" s="120"/>
      <x:c r="BH957" s="122"/>
      <x:c r="BI957" s="120"/>
      <x:c r="BJ957" s="121"/>
    </x:row>
    <x:row r="958" ht="15.75" customHeight="1">
      <x:c r="N958" s="120"/>
      <x:c r="P958" s="120"/>
      <x:c r="Q958" s="121"/>
      <x:c r="S958" s="120"/>
      <x:c r="U958" s="120"/>
      <x:c r="V958" s="121"/>
      <x:c r="W958" s="122"/>
      <x:c r="X958" s="120"/>
      <x:c r="Y958" s="122"/>
      <x:c r="Z958" s="120"/>
      <x:c r="AA958" s="121"/>
      <x:c r="AB958" s="122"/>
      <x:c r="AC958" s="120"/>
      <x:c r="AD958" s="122"/>
      <x:c r="AE958" s="120"/>
      <x:c r="AF958" s="121"/>
      <x:c r="AG958" s="122"/>
      <x:c r="AH958" s="120"/>
      <x:c r="AI958" s="122"/>
      <x:c r="AJ958" s="120"/>
      <x:c r="AK958" s="121"/>
      <x:c r="AL958" s="122"/>
      <x:c r="AM958" s="120"/>
      <x:c r="AN958" s="122"/>
      <x:c r="AO958" s="120"/>
      <x:c r="AP958" s="121"/>
      <x:c r="AQ958" s="122"/>
      <x:c r="AR958" s="120"/>
      <x:c r="AS958" s="122"/>
      <x:c r="AT958" s="120"/>
      <x:c r="AU958" s="121"/>
      <x:c r="AV958" s="122"/>
      <x:c r="AW958" s="120"/>
      <x:c r="AX958" s="122"/>
      <x:c r="AY958" s="120"/>
      <x:c r="AZ958" s="121"/>
      <x:c r="BA958" s="122"/>
      <x:c r="BB958" s="120"/>
      <x:c r="BC958" s="122"/>
      <x:c r="BD958" s="120"/>
      <x:c r="BE958" s="121"/>
      <x:c r="BF958" s="122"/>
      <x:c r="BG958" s="120"/>
      <x:c r="BH958" s="122"/>
      <x:c r="BI958" s="120"/>
      <x:c r="BJ958" s="121"/>
    </x:row>
    <x:row r="959" ht="15.75" customHeight="1">
      <x:c r="N959" s="120"/>
      <x:c r="P959" s="120"/>
      <x:c r="Q959" s="121"/>
      <x:c r="S959" s="120"/>
      <x:c r="U959" s="120"/>
      <x:c r="V959" s="121"/>
      <x:c r="W959" s="122"/>
      <x:c r="X959" s="120"/>
      <x:c r="Y959" s="122"/>
      <x:c r="Z959" s="120"/>
      <x:c r="AA959" s="121"/>
      <x:c r="AB959" s="122"/>
      <x:c r="AC959" s="120"/>
      <x:c r="AD959" s="122"/>
      <x:c r="AE959" s="120"/>
      <x:c r="AF959" s="121"/>
      <x:c r="AG959" s="122"/>
      <x:c r="AH959" s="120"/>
      <x:c r="AI959" s="122"/>
      <x:c r="AJ959" s="120"/>
      <x:c r="AK959" s="121"/>
      <x:c r="AL959" s="122"/>
      <x:c r="AM959" s="120"/>
      <x:c r="AN959" s="122"/>
      <x:c r="AO959" s="120"/>
      <x:c r="AP959" s="121"/>
      <x:c r="AQ959" s="122"/>
      <x:c r="AR959" s="120"/>
      <x:c r="AS959" s="122"/>
      <x:c r="AT959" s="120"/>
      <x:c r="AU959" s="121"/>
      <x:c r="AV959" s="122"/>
      <x:c r="AW959" s="120"/>
      <x:c r="AX959" s="122"/>
      <x:c r="AY959" s="120"/>
      <x:c r="AZ959" s="121"/>
      <x:c r="BA959" s="122"/>
      <x:c r="BB959" s="120"/>
      <x:c r="BC959" s="122"/>
      <x:c r="BD959" s="120"/>
      <x:c r="BE959" s="121"/>
      <x:c r="BF959" s="122"/>
      <x:c r="BG959" s="120"/>
      <x:c r="BH959" s="122"/>
      <x:c r="BI959" s="120"/>
      <x:c r="BJ959" s="121"/>
    </x:row>
    <x:row r="960" ht="15.75" customHeight="1">
      <x:c r="N960" s="120"/>
      <x:c r="P960" s="120"/>
      <x:c r="Q960" s="121"/>
      <x:c r="S960" s="120"/>
      <x:c r="U960" s="120"/>
      <x:c r="V960" s="121"/>
      <x:c r="W960" s="122"/>
      <x:c r="X960" s="120"/>
      <x:c r="Y960" s="122"/>
      <x:c r="Z960" s="120"/>
      <x:c r="AA960" s="121"/>
      <x:c r="AB960" s="122"/>
      <x:c r="AC960" s="120"/>
      <x:c r="AD960" s="122"/>
      <x:c r="AE960" s="120"/>
      <x:c r="AF960" s="121"/>
      <x:c r="AG960" s="122"/>
      <x:c r="AH960" s="120"/>
      <x:c r="AI960" s="122"/>
      <x:c r="AJ960" s="120"/>
      <x:c r="AK960" s="121"/>
      <x:c r="AL960" s="122"/>
      <x:c r="AM960" s="120"/>
      <x:c r="AN960" s="122"/>
      <x:c r="AO960" s="120"/>
      <x:c r="AP960" s="121"/>
      <x:c r="AQ960" s="122"/>
      <x:c r="AR960" s="120"/>
      <x:c r="AS960" s="122"/>
      <x:c r="AT960" s="120"/>
      <x:c r="AU960" s="121"/>
      <x:c r="AV960" s="122"/>
      <x:c r="AW960" s="120"/>
      <x:c r="AX960" s="122"/>
      <x:c r="AY960" s="120"/>
      <x:c r="AZ960" s="121"/>
      <x:c r="BA960" s="122"/>
      <x:c r="BB960" s="120"/>
      <x:c r="BC960" s="122"/>
      <x:c r="BD960" s="120"/>
      <x:c r="BE960" s="121"/>
      <x:c r="BF960" s="122"/>
      <x:c r="BG960" s="120"/>
      <x:c r="BH960" s="122"/>
      <x:c r="BI960" s="120"/>
      <x:c r="BJ960" s="121"/>
    </x:row>
    <x:row r="961" ht="15.75" customHeight="1">
      <x:c r="N961" s="120"/>
      <x:c r="P961" s="120"/>
      <x:c r="Q961" s="121"/>
      <x:c r="S961" s="120"/>
      <x:c r="U961" s="120"/>
      <x:c r="V961" s="121"/>
      <x:c r="W961" s="122"/>
      <x:c r="X961" s="120"/>
      <x:c r="Y961" s="122"/>
      <x:c r="Z961" s="120"/>
      <x:c r="AA961" s="121"/>
      <x:c r="AB961" s="122"/>
      <x:c r="AC961" s="120"/>
      <x:c r="AD961" s="122"/>
      <x:c r="AE961" s="120"/>
      <x:c r="AF961" s="121"/>
      <x:c r="AG961" s="122"/>
      <x:c r="AH961" s="120"/>
      <x:c r="AI961" s="122"/>
      <x:c r="AJ961" s="120"/>
      <x:c r="AK961" s="121"/>
      <x:c r="AL961" s="122"/>
      <x:c r="AM961" s="120"/>
      <x:c r="AN961" s="122"/>
      <x:c r="AO961" s="120"/>
      <x:c r="AP961" s="121"/>
      <x:c r="AQ961" s="122"/>
      <x:c r="AR961" s="120"/>
      <x:c r="AS961" s="122"/>
      <x:c r="AT961" s="120"/>
      <x:c r="AU961" s="121"/>
      <x:c r="AV961" s="122"/>
      <x:c r="AW961" s="120"/>
      <x:c r="AX961" s="122"/>
      <x:c r="AY961" s="120"/>
      <x:c r="AZ961" s="121"/>
      <x:c r="BA961" s="122"/>
      <x:c r="BB961" s="120"/>
      <x:c r="BC961" s="122"/>
      <x:c r="BD961" s="120"/>
      <x:c r="BE961" s="121"/>
      <x:c r="BF961" s="122"/>
      <x:c r="BG961" s="120"/>
      <x:c r="BH961" s="122"/>
      <x:c r="BI961" s="120"/>
      <x:c r="BJ961" s="121"/>
    </x:row>
    <x:row r="962" ht="15.75" customHeight="1">
      <x:c r="N962" s="120"/>
      <x:c r="P962" s="120"/>
      <x:c r="Q962" s="121"/>
      <x:c r="S962" s="120"/>
      <x:c r="U962" s="120"/>
      <x:c r="V962" s="121"/>
      <x:c r="W962" s="122"/>
      <x:c r="X962" s="120"/>
      <x:c r="Y962" s="122"/>
      <x:c r="Z962" s="120"/>
      <x:c r="AA962" s="121"/>
      <x:c r="AB962" s="122"/>
      <x:c r="AC962" s="120"/>
      <x:c r="AD962" s="122"/>
      <x:c r="AE962" s="120"/>
      <x:c r="AF962" s="121"/>
      <x:c r="AG962" s="122"/>
      <x:c r="AH962" s="120"/>
      <x:c r="AI962" s="122"/>
      <x:c r="AJ962" s="120"/>
      <x:c r="AK962" s="121"/>
      <x:c r="AL962" s="122"/>
      <x:c r="AM962" s="120"/>
      <x:c r="AN962" s="122"/>
      <x:c r="AO962" s="120"/>
      <x:c r="AP962" s="121"/>
      <x:c r="AQ962" s="122"/>
      <x:c r="AR962" s="120"/>
      <x:c r="AS962" s="122"/>
      <x:c r="AT962" s="120"/>
      <x:c r="AU962" s="121"/>
      <x:c r="AV962" s="122"/>
      <x:c r="AW962" s="120"/>
      <x:c r="AX962" s="122"/>
      <x:c r="AY962" s="120"/>
      <x:c r="AZ962" s="121"/>
      <x:c r="BA962" s="122"/>
      <x:c r="BB962" s="120"/>
      <x:c r="BC962" s="122"/>
      <x:c r="BD962" s="120"/>
      <x:c r="BE962" s="121"/>
      <x:c r="BF962" s="122"/>
      <x:c r="BG962" s="120"/>
      <x:c r="BH962" s="122"/>
      <x:c r="BI962" s="120"/>
      <x:c r="BJ962" s="121"/>
    </x:row>
    <x:row r="963" ht="15.75" customHeight="1">
      <x:c r="N963" s="120"/>
      <x:c r="P963" s="120"/>
      <x:c r="Q963" s="121"/>
      <x:c r="S963" s="120"/>
      <x:c r="U963" s="120"/>
      <x:c r="V963" s="121"/>
      <x:c r="W963" s="122"/>
      <x:c r="X963" s="120"/>
      <x:c r="Y963" s="122"/>
      <x:c r="Z963" s="120"/>
      <x:c r="AA963" s="121"/>
      <x:c r="AB963" s="122"/>
      <x:c r="AC963" s="120"/>
      <x:c r="AD963" s="122"/>
      <x:c r="AE963" s="120"/>
      <x:c r="AF963" s="121"/>
      <x:c r="AG963" s="122"/>
      <x:c r="AH963" s="120"/>
      <x:c r="AI963" s="122"/>
      <x:c r="AJ963" s="120"/>
      <x:c r="AK963" s="121"/>
      <x:c r="AL963" s="122"/>
      <x:c r="AM963" s="120"/>
      <x:c r="AN963" s="122"/>
      <x:c r="AO963" s="120"/>
      <x:c r="AP963" s="121"/>
      <x:c r="AQ963" s="122"/>
      <x:c r="AR963" s="120"/>
      <x:c r="AS963" s="122"/>
      <x:c r="AT963" s="120"/>
      <x:c r="AU963" s="121"/>
      <x:c r="AV963" s="122"/>
      <x:c r="AW963" s="120"/>
      <x:c r="AX963" s="122"/>
      <x:c r="AY963" s="120"/>
      <x:c r="AZ963" s="121"/>
      <x:c r="BA963" s="122"/>
      <x:c r="BB963" s="120"/>
      <x:c r="BC963" s="122"/>
      <x:c r="BD963" s="120"/>
      <x:c r="BE963" s="121"/>
      <x:c r="BF963" s="122"/>
      <x:c r="BG963" s="120"/>
      <x:c r="BH963" s="122"/>
      <x:c r="BI963" s="120"/>
      <x:c r="BJ963" s="121"/>
    </x:row>
    <x:row r="964" ht="15.75" customHeight="1">
      <x:c r="N964" s="120"/>
      <x:c r="P964" s="120"/>
      <x:c r="Q964" s="121"/>
      <x:c r="S964" s="120"/>
      <x:c r="U964" s="120"/>
      <x:c r="V964" s="121"/>
      <x:c r="W964" s="122"/>
      <x:c r="X964" s="120"/>
      <x:c r="Y964" s="122"/>
      <x:c r="Z964" s="120"/>
      <x:c r="AA964" s="121"/>
      <x:c r="AB964" s="122"/>
      <x:c r="AC964" s="120"/>
      <x:c r="AD964" s="122"/>
      <x:c r="AE964" s="120"/>
      <x:c r="AF964" s="121"/>
      <x:c r="AG964" s="122"/>
      <x:c r="AH964" s="120"/>
      <x:c r="AI964" s="122"/>
      <x:c r="AJ964" s="120"/>
      <x:c r="AK964" s="121"/>
      <x:c r="AL964" s="122"/>
      <x:c r="AM964" s="120"/>
      <x:c r="AN964" s="122"/>
      <x:c r="AO964" s="120"/>
      <x:c r="AP964" s="121"/>
      <x:c r="AQ964" s="122"/>
      <x:c r="AR964" s="120"/>
      <x:c r="AS964" s="122"/>
      <x:c r="AT964" s="120"/>
      <x:c r="AU964" s="121"/>
      <x:c r="AV964" s="122"/>
      <x:c r="AW964" s="120"/>
      <x:c r="AX964" s="122"/>
      <x:c r="AY964" s="120"/>
      <x:c r="AZ964" s="121"/>
      <x:c r="BA964" s="122"/>
      <x:c r="BB964" s="120"/>
      <x:c r="BC964" s="122"/>
      <x:c r="BD964" s="120"/>
      <x:c r="BE964" s="121"/>
      <x:c r="BF964" s="122"/>
      <x:c r="BG964" s="120"/>
      <x:c r="BH964" s="122"/>
      <x:c r="BI964" s="120"/>
      <x:c r="BJ964" s="121"/>
    </x:row>
    <x:row r="965" ht="15.75" customHeight="1">
      <x:c r="N965" s="120"/>
      <x:c r="P965" s="120"/>
      <x:c r="Q965" s="121"/>
      <x:c r="S965" s="120"/>
      <x:c r="U965" s="120"/>
      <x:c r="V965" s="121"/>
      <x:c r="W965" s="122"/>
      <x:c r="X965" s="120"/>
      <x:c r="Y965" s="122"/>
      <x:c r="Z965" s="120"/>
      <x:c r="AA965" s="121"/>
      <x:c r="AB965" s="122"/>
      <x:c r="AC965" s="120"/>
      <x:c r="AD965" s="122"/>
      <x:c r="AE965" s="120"/>
      <x:c r="AF965" s="121"/>
      <x:c r="AG965" s="122"/>
      <x:c r="AH965" s="120"/>
      <x:c r="AI965" s="122"/>
      <x:c r="AJ965" s="120"/>
      <x:c r="AK965" s="121"/>
      <x:c r="AL965" s="122"/>
      <x:c r="AM965" s="120"/>
      <x:c r="AN965" s="122"/>
      <x:c r="AO965" s="120"/>
      <x:c r="AP965" s="121"/>
      <x:c r="AQ965" s="122"/>
      <x:c r="AR965" s="120"/>
      <x:c r="AS965" s="122"/>
      <x:c r="AT965" s="120"/>
      <x:c r="AU965" s="121"/>
      <x:c r="AV965" s="122"/>
      <x:c r="AW965" s="120"/>
      <x:c r="AX965" s="122"/>
      <x:c r="AY965" s="120"/>
      <x:c r="AZ965" s="121"/>
      <x:c r="BA965" s="122"/>
      <x:c r="BB965" s="120"/>
      <x:c r="BC965" s="122"/>
      <x:c r="BD965" s="120"/>
      <x:c r="BE965" s="121"/>
      <x:c r="BF965" s="122"/>
      <x:c r="BG965" s="120"/>
      <x:c r="BH965" s="122"/>
      <x:c r="BI965" s="120"/>
      <x:c r="BJ965" s="121"/>
    </x:row>
    <x:row r="966" ht="15.75" customHeight="1">
      <x:c r="N966" s="120"/>
      <x:c r="P966" s="120"/>
      <x:c r="Q966" s="121"/>
      <x:c r="S966" s="120"/>
      <x:c r="U966" s="120"/>
      <x:c r="V966" s="121"/>
      <x:c r="W966" s="122"/>
      <x:c r="X966" s="120"/>
      <x:c r="Y966" s="122"/>
      <x:c r="Z966" s="120"/>
      <x:c r="AA966" s="121"/>
      <x:c r="AB966" s="122"/>
      <x:c r="AC966" s="120"/>
      <x:c r="AD966" s="122"/>
      <x:c r="AE966" s="120"/>
      <x:c r="AF966" s="121"/>
      <x:c r="AG966" s="122"/>
      <x:c r="AH966" s="120"/>
      <x:c r="AI966" s="122"/>
      <x:c r="AJ966" s="120"/>
      <x:c r="AK966" s="121"/>
      <x:c r="AL966" s="122"/>
      <x:c r="AM966" s="120"/>
      <x:c r="AN966" s="122"/>
      <x:c r="AO966" s="120"/>
      <x:c r="AP966" s="121"/>
      <x:c r="AQ966" s="122"/>
      <x:c r="AR966" s="120"/>
      <x:c r="AS966" s="122"/>
      <x:c r="AT966" s="120"/>
      <x:c r="AU966" s="121"/>
      <x:c r="AV966" s="122"/>
      <x:c r="AW966" s="120"/>
      <x:c r="AX966" s="122"/>
      <x:c r="AY966" s="120"/>
      <x:c r="AZ966" s="121"/>
      <x:c r="BA966" s="122"/>
      <x:c r="BB966" s="120"/>
      <x:c r="BC966" s="122"/>
      <x:c r="BD966" s="120"/>
      <x:c r="BE966" s="121"/>
      <x:c r="BF966" s="122"/>
      <x:c r="BG966" s="120"/>
      <x:c r="BH966" s="122"/>
      <x:c r="BI966" s="120"/>
      <x:c r="BJ966" s="121"/>
    </x:row>
    <x:row r="967" ht="15.75" customHeight="1">
      <x:c r="N967" s="120"/>
      <x:c r="P967" s="120"/>
      <x:c r="Q967" s="121"/>
      <x:c r="S967" s="120"/>
      <x:c r="U967" s="120"/>
      <x:c r="V967" s="121"/>
      <x:c r="W967" s="122"/>
      <x:c r="X967" s="120"/>
      <x:c r="Y967" s="122"/>
      <x:c r="Z967" s="120"/>
      <x:c r="AA967" s="121"/>
      <x:c r="AB967" s="122"/>
      <x:c r="AC967" s="120"/>
      <x:c r="AD967" s="122"/>
      <x:c r="AE967" s="120"/>
      <x:c r="AF967" s="121"/>
      <x:c r="AG967" s="122"/>
      <x:c r="AH967" s="120"/>
      <x:c r="AI967" s="122"/>
      <x:c r="AJ967" s="120"/>
      <x:c r="AK967" s="121"/>
      <x:c r="AL967" s="122"/>
      <x:c r="AM967" s="120"/>
      <x:c r="AN967" s="122"/>
      <x:c r="AO967" s="120"/>
      <x:c r="AP967" s="121"/>
      <x:c r="AQ967" s="122"/>
      <x:c r="AR967" s="120"/>
      <x:c r="AS967" s="122"/>
      <x:c r="AT967" s="120"/>
      <x:c r="AU967" s="121"/>
      <x:c r="AV967" s="122"/>
      <x:c r="AW967" s="120"/>
      <x:c r="AX967" s="122"/>
      <x:c r="AY967" s="120"/>
      <x:c r="AZ967" s="121"/>
      <x:c r="BA967" s="122"/>
      <x:c r="BB967" s="120"/>
      <x:c r="BC967" s="122"/>
      <x:c r="BD967" s="120"/>
      <x:c r="BE967" s="121"/>
      <x:c r="BF967" s="122"/>
      <x:c r="BG967" s="120"/>
      <x:c r="BH967" s="122"/>
      <x:c r="BI967" s="120"/>
      <x:c r="BJ967" s="121"/>
    </x:row>
    <x:row r="968" ht="15.75" customHeight="1">
      <x:c r="N968" s="120"/>
      <x:c r="P968" s="120"/>
      <x:c r="Q968" s="121"/>
      <x:c r="S968" s="120"/>
      <x:c r="U968" s="120"/>
      <x:c r="V968" s="121"/>
      <x:c r="W968" s="122"/>
      <x:c r="X968" s="120"/>
      <x:c r="Y968" s="122"/>
      <x:c r="Z968" s="120"/>
      <x:c r="AA968" s="121"/>
      <x:c r="AB968" s="122"/>
      <x:c r="AC968" s="120"/>
      <x:c r="AD968" s="122"/>
      <x:c r="AE968" s="120"/>
      <x:c r="AF968" s="121"/>
      <x:c r="AG968" s="122"/>
      <x:c r="AH968" s="120"/>
      <x:c r="AI968" s="122"/>
      <x:c r="AJ968" s="120"/>
      <x:c r="AK968" s="121"/>
      <x:c r="AL968" s="122"/>
      <x:c r="AM968" s="120"/>
      <x:c r="AN968" s="122"/>
      <x:c r="AO968" s="120"/>
      <x:c r="AP968" s="121"/>
      <x:c r="AQ968" s="122"/>
      <x:c r="AR968" s="120"/>
      <x:c r="AS968" s="122"/>
      <x:c r="AT968" s="120"/>
      <x:c r="AU968" s="121"/>
      <x:c r="AV968" s="122"/>
      <x:c r="AW968" s="120"/>
      <x:c r="AX968" s="122"/>
      <x:c r="AY968" s="120"/>
      <x:c r="AZ968" s="121"/>
      <x:c r="BA968" s="122"/>
      <x:c r="BB968" s="120"/>
      <x:c r="BC968" s="122"/>
      <x:c r="BD968" s="120"/>
      <x:c r="BE968" s="121"/>
      <x:c r="BF968" s="122"/>
      <x:c r="BG968" s="120"/>
      <x:c r="BH968" s="122"/>
      <x:c r="BI968" s="120"/>
      <x:c r="BJ968" s="121"/>
    </x:row>
    <x:row r="969" ht="15.75" customHeight="1">
      <x:c r="N969" s="120"/>
      <x:c r="P969" s="120"/>
      <x:c r="Q969" s="121"/>
      <x:c r="S969" s="120"/>
      <x:c r="U969" s="120"/>
      <x:c r="V969" s="121"/>
      <x:c r="W969" s="122"/>
      <x:c r="X969" s="120"/>
      <x:c r="Y969" s="122"/>
      <x:c r="Z969" s="120"/>
      <x:c r="AA969" s="121"/>
      <x:c r="AB969" s="122"/>
      <x:c r="AC969" s="120"/>
      <x:c r="AD969" s="122"/>
      <x:c r="AE969" s="120"/>
      <x:c r="AF969" s="121"/>
      <x:c r="AG969" s="122"/>
      <x:c r="AH969" s="120"/>
      <x:c r="AI969" s="122"/>
      <x:c r="AJ969" s="120"/>
      <x:c r="AK969" s="121"/>
      <x:c r="AL969" s="122"/>
      <x:c r="AM969" s="120"/>
      <x:c r="AN969" s="122"/>
      <x:c r="AO969" s="120"/>
      <x:c r="AP969" s="121"/>
      <x:c r="AQ969" s="122"/>
      <x:c r="AR969" s="120"/>
      <x:c r="AS969" s="122"/>
      <x:c r="AT969" s="120"/>
      <x:c r="AU969" s="121"/>
      <x:c r="AV969" s="122"/>
      <x:c r="AW969" s="120"/>
      <x:c r="AX969" s="122"/>
      <x:c r="AY969" s="120"/>
      <x:c r="AZ969" s="121"/>
      <x:c r="BA969" s="122"/>
      <x:c r="BB969" s="120"/>
      <x:c r="BC969" s="122"/>
      <x:c r="BD969" s="120"/>
      <x:c r="BE969" s="121"/>
      <x:c r="BF969" s="122"/>
      <x:c r="BG969" s="120"/>
      <x:c r="BH969" s="122"/>
      <x:c r="BI969" s="120"/>
      <x:c r="BJ969" s="121"/>
    </x:row>
    <x:row r="970" ht="15.75" customHeight="1">
      <x:c r="N970" s="120"/>
      <x:c r="P970" s="120"/>
      <x:c r="Q970" s="121"/>
      <x:c r="S970" s="120"/>
      <x:c r="U970" s="120"/>
      <x:c r="V970" s="121"/>
      <x:c r="W970" s="122"/>
      <x:c r="X970" s="120"/>
      <x:c r="Y970" s="122"/>
      <x:c r="Z970" s="120"/>
      <x:c r="AA970" s="121"/>
      <x:c r="AB970" s="122"/>
      <x:c r="AC970" s="120"/>
      <x:c r="AD970" s="122"/>
      <x:c r="AE970" s="120"/>
      <x:c r="AF970" s="121"/>
      <x:c r="AG970" s="122"/>
      <x:c r="AH970" s="120"/>
      <x:c r="AI970" s="122"/>
      <x:c r="AJ970" s="120"/>
      <x:c r="AK970" s="121"/>
      <x:c r="AL970" s="122"/>
      <x:c r="AM970" s="120"/>
      <x:c r="AN970" s="122"/>
      <x:c r="AO970" s="120"/>
      <x:c r="AP970" s="121"/>
      <x:c r="AQ970" s="122"/>
      <x:c r="AR970" s="120"/>
      <x:c r="AS970" s="122"/>
      <x:c r="AT970" s="120"/>
      <x:c r="AU970" s="121"/>
      <x:c r="AV970" s="122"/>
      <x:c r="AW970" s="120"/>
      <x:c r="AX970" s="122"/>
      <x:c r="AY970" s="120"/>
      <x:c r="AZ970" s="121"/>
      <x:c r="BA970" s="122"/>
      <x:c r="BB970" s="120"/>
      <x:c r="BC970" s="122"/>
      <x:c r="BD970" s="120"/>
      <x:c r="BE970" s="121"/>
      <x:c r="BF970" s="122"/>
      <x:c r="BG970" s="120"/>
      <x:c r="BH970" s="122"/>
      <x:c r="BI970" s="120"/>
      <x:c r="BJ970" s="121"/>
    </x:row>
    <x:row r="971" ht="15.75" customHeight="1">
      <x:c r="N971" s="120"/>
      <x:c r="P971" s="120"/>
      <x:c r="Q971" s="121"/>
      <x:c r="S971" s="120"/>
      <x:c r="U971" s="120"/>
      <x:c r="V971" s="121"/>
      <x:c r="W971" s="122"/>
      <x:c r="X971" s="120"/>
      <x:c r="Y971" s="122"/>
      <x:c r="Z971" s="120"/>
      <x:c r="AA971" s="121"/>
      <x:c r="AB971" s="122"/>
      <x:c r="AC971" s="120"/>
      <x:c r="AD971" s="122"/>
      <x:c r="AE971" s="120"/>
      <x:c r="AF971" s="121"/>
      <x:c r="AG971" s="122"/>
      <x:c r="AH971" s="120"/>
      <x:c r="AI971" s="122"/>
      <x:c r="AJ971" s="120"/>
      <x:c r="AK971" s="121"/>
      <x:c r="AL971" s="122"/>
      <x:c r="AM971" s="120"/>
      <x:c r="AN971" s="122"/>
      <x:c r="AO971" s="120"/>
      <x:c r="AP971" s="121"/>
      <x:c r="AQ971" s="122"/>
      <x:c r="AR971" s="120"/>
      <x:c r="AS971" s="122"/>
      <x:c r="AT971" s="120"/>
      <x:c r="AU971" s="121"/>
      <x:c r="AV971" s="122"/>
      <x:c r="AW971" s="120"/>
      <x:c r="AX971" s="122"/>
      <x:c r="AY971" s="120"/>
      <x:c r="AZ971" s="121"/>
      <x:c r="BA971" s="122"/>
      <x:c r="BB971" s="120"/>
      <x:c r="BC971" s="122"/>
      <x:c r="BD971" s="120"/>
      <x:c r="BE971" s="121"/>
      <x:c r="BF971" s="122"/>
      <x:c r="BG971" s="120"/>
      <x:c r="BH971" s="122"/>
      <x:c r="BI971" s="120"/>
      <x:c r="BJ971" s="121"/>
    </x:row>
    <x:row r="972" ht="15.75" customHeight="1">
      <x:c r="N972" s="120"/>
      <x:c r="P972" s="120"/>
      <x:c r="Q972" s="121"/>
      <x:c r="S972" s="120"/>
      <x:c r="U972" s="120"/>
      <x:c r="V972" s="121"/>
      <x:c r="W972" s="122"/>
      <x:c r="X972" s="120"/>
      <x:c r="Y972" s="122"/>
      <x:c r="Z972" s="120"/>
      <x:c r="AA972" s="121"/>
      <x:c r="AB972" s="122"/>
      <x:c r="AC972" s="120"/>
      <x:c r="AD972" s="122"/>
      <x:c r="AE972" s="120"/>
      <x:c r="AF972" s="121"/>
      <x:c r="AG972" s="122"/>
      <x:c r="AH972" s="120"/>
      <x:c r="AI972" s="122"/>
      <x:c r="AJ972" s="120"/>
      <x:c r="AK972" s="121"/>
      <x:c r="AL972" s="122"/>
      <x:c r="AM972" s="120"/>
      <x:c r="AN972" s="122"/>
      <x:c r="AO972" s="120"/>
      <x:c r="AP972" s="121"/>
      <x:c r="AQ972" s="122"/>
      <x:c r="AR972" s="120"/>
      <x:c r="AS972" s="122"/>
      <x:c r="AT972" s="120"/>
      <x:c r="AU972" s="121"/>
      <x:c r="AV972" s="122"/>
      <x:c r="AW972" s="120"/>
      <x:c r="AX972" s="122"/>
      <x:c r="AY972" s="120"/>
      <x:c r="AZ972" s="121"/>
      <x:c r="BA972" s="122"/>
      <x:c r="BB972" s="120"/>
      <x:c r="BC972" s="122"/>
      <x:c r="BD972" s="120"/>
      <x:c r="BE972" s="121"/>
      <x:c r="BF972" s="122"/>
      <x:c r="BG972" s="120"/>
      <x:c r="BH972" s="122"/>
      <x:c r="BI972" s="120"/>
      <x:c r="BJ972" s="121"/>
    </x:row>
    <x:row r="973" ht="15.75" customHeight="1">
      <x:c r="N973" s="120"/>
      <x:c r="P973" s="120"/>
      <x:c r="Q973" s="121"/>
      <x:c r="S973" s="120"/>
      <x:c r="U973" s="120"/>
      <x:c r="V973" s="121"/>
      <x:c r="W973" s="122"/>
      <x:c r="X973" s="120"/>
      <x:c r="Y973" s="122"/>
      <x:c r="Z973" s="120"/>
      <x:c r="AA973" s="121"/>
      <x:c r="AB973" s="122"/>
      <x:c r="AC973" s="120"/>
      <x:c r="AD973" s="122"/>
      <x:c r="AE973" s="120"/>
      <x:c r="AF973" s="121"/>
      <x:c r="AG973" s="122"/>
      <x:c r="AH973" s="120"/>
      <x:c r="AI973" s="122"/>
      <x:c r="AJ973" s="120"/>
      <x:c r="AK973" s="121"/>
      <x:c r="AL973" s="122"/>
      <x:c r="AM973" s="120"/>
      <x:c r="AN973" s="122"/>
      <x:c r="AO973" s="120"/>
      <x:c r="AP973" s="121"/>
      <x:c r="AQ973" s="122"/>
      <x:c r="AR973" s="120"/>
      <x:c r="AS973" s="122"/>
      <x:c r="AT973" s="120"/>
      <x:c r="AU973" s="121"/>
      <x:c r="AV973" s="122"/>
      <x:c r="AW973" s="120"/>
      <x:c r="AX973" s="122"/>
      <x:c r="AY973" s="120"/>
      <x:c r="AZ973" s="121"/>
      <x:c r="BA973" s="122"/>
      <x:c r="BB973" s="120"/>
      <x:c r="BC973" s="122"/>
      <x:c r="BD973" s="120"/>
      <x:c r="BE973" s="121"/>
      <x:c r="BF973" s="122"/>
      <x:c r="BG973" s="120"/>
      <x:c r="BH973" s="122"/>
      <x:c r="BI973" s="120"/>
      <x:c r="BJ973" s="121"/>
    </x:row>
    <x:row r="974" ht="15.75" customHeight="1">
      <x:c r="N974" s="120"/>
      <x:c r="P974" s="120"/>
      <x:c r="Q974" s="121"/>
      <x:c r="S974" s="120"/>
      <x:c r="U974" s="120"/>
      <x:c r="V974" s="121"/>
      <x:c r="W974" s="122"/>
      <x:c r="X974" s="120"/>
      <x:c r="Y974" s="122"/>
      <x:c r="Z974" s="120"/>
      <x:c r="AA974" s="121"/>
      <x:c r="AB974" s="122"/>
      <x:c r="AC974" s="120"/>
      <x:c r="AD974" s="122"/>
      <x:c r="AE974" s="120"/>
      <x:c r="AF974" s="121"/>
      <x:c r="AG974" s="122"/>
      <x:c r="AH974" s="120"/>
      <x:c r="AI974" s="122"/>
      <x:c r="AJ974" s="120"/>
      <x:c r="AK974" s="121"/>
      <x:c r="AL974" s="122"/>
      <x:c r="AM974" s="120"/>
      <x:c r="AN974" s="122"/>
      <x:c r="AO974" s="120"/>
      <x:c r="AP974" s="121"/>
      <x:c r="AQ974" s="122"/>
      <x:c r="AR974" s="120"/>
      <x:c r="AS974" s="122"/>
      <x:c r="AT974" s="120"/>
      <x:c r="AU974" s="121"/>
      <x:c r="AV974" s="122"/>
      <x:c r="AW974" s="120"/>
      <x:c r="AX974" s="122"/>
      <x:c r="AY974" s="120"/>
      <x:c r="AZ974" s="121"/>
      <x:c r="BA974" s="122"/>
      <x:c r="BB974" s="120"/>
      <x:c r="BC974" s="122"/>
      <x:c r="BD974" s="120"/>
      <x:c r="BE974" s="121"/>
      <x:c r="BF974" s="122"/>
      <x:c r="BG974" s="120"/>
      <x:c r="BH974" s="122"/>
      <x:c r="BI974" s="120"/>
      <x:c r="BJ974" s="121"/>
    </x:row>
    <x:row r="975" ht="15.75" customHeight="1">
      <x:c r="N975" s="120"/>
      <x:c r="P975" s="120"/>
      <x:c r="Q975" s="121"/>
      <x:c r="S975" s="120"/>
      <x:c r="U975" s="120"/>
      <x:c r="V975" s="121"/>
      <x:c r="W975" s="122"/>
      <x:c r="X975" s="120"/>
      <x:c r="Y975" s="122"/>
      <x:c r="Z975" s="120"/>
      <x:c r="AA975" s="121"/>
      <x:c r="AB975" s="122"/>
      <x:c r="AC975" s="120"/>
      <x:c r="AD975" s="122"/>
      <x:c r="AE975" s="120"/>
      <x:c r="AF975" s="121"/>
      <x:c r="AG975" s="122"/>
      <x:c r="AH975" s="120"/>
      <x:c r="AI975" s="122"/>
      <x:c r="AJ975" s="120"/>
      <x:c r="AK975" s="121"/>
      <x:c r="AL975" s="122"/>
      <x:c r="AM975" s="120"/>
      <x:c r="AN975" s="122"/>
      <x:c r="AO975" s="120"/>
      <x:c r="AP975" s="121"/>
      <x:c r="AQ975" s="122"/>
      <x:c r="AR975" s="120"/>
      <x:c r="AS975" s="122"/>
      <x:c r="AT975" s="120"/>
      <x:c r="AU975" s="121"/>
      <x:c r="AV975" s="122"/>
      <x:c r="AW975" s="120"/>
      <x:c r="AX975" s="122"/>
      <x:c r="AY975" s="120"/>
      <x:c r="AZ975" s="121"/>
      <x:c r="BA975" s="122"/>
      <x:c r="BB975" s="120"/>
      <x:c r="BC975" s="122"/>
      <x:c r="BD975" s="120"/>
      <x:c r="BE975" s="121"/>
      <x:c r="BF975" s="122"/>
      <x:c r="BG975" s="120"/>
      <x:c r="BH975" s="122"/>
      <x:c r="BI975" s="120"/>
      <x:c r="BJ975" s="121"/>
    </x:row>
    <x:row r="976" ht="15.75" customHeight="1">
      <x:c r="N976" s="120"/>
      <x:c r="P976" s="120"/>
      <x:c r="Q976" s="121"/>
      <x:c r="S976" s="120"/>
      <x:c r="U976" s="120"/>
      <x:c r="V976" s="121"/>
      <x:c r="W976" s="122"/>
      <x:c r="X976" s="120"/>
      <x:c r="Y976" s="122"/>
      <x:c r="Z976" s="120"/>
      <x:c r="AA976" s="121"/>
      <x:c r="AB976" s="122"/>
      <x:c r="AC976" s="120"/>
      <x:c r="AD976" s="122"/>
      <x:c r="AE976" s="120"/>
      <x:c r="AF976" s="121"/>
      <x:c r="AG976" s="122"/>
      <x:c r="AH976" s="120"/>
      <x:c r="AI976" s="122"/>
      <x:c r="AJ976" s="120"/>
      <x:c r="AK976" s="121"/>
      <x:c r="AL976" s="122"/>
      <x:c r="AM976" s="120"/>
      <x:c r="AN976" s="122"/>
      <x:c r="AO976" s="120"/>
      <x:c r="AP976" s="121"/>
      <x:c r="AQ976" s="122"/>
      <x:c r="AR976" s="120"/>
      <x:c r="AS976" s="122"/>
      <x:c r="AT976" s="120"/>
      <x:c r="AU976" s="121"/>
      <x:c r="AV976" s="122"/>
      <x:c r="AW976" s="120"/>
      <x:c r="AX976" s="122"/>
      <x:c r="AY976" s="120"/>
      <x:c r="AZ976" s="121"/>
      <x:c r="BA976" s="122"/>
      <x:c r="BB976" s="120"/>
      <x:c r="BC976" s="122"/>
      <x:c r="BD976" s="120"/>
      <x:c r="BE976" s="121"/>
      <x:c r="BF976" s="122"/>
      <x:c r="BG976" s="120"/>
      <x:c r="BH976" s="122"/>
      <x:c r="BI976" s="120"/>
      <x:c r="BJ976" s="121"/>
    </x:row>
    <x:row r="977" ht="15.75" customHeight="1">
      <x:c r="N977" s="120"/>
      <x:c r="P977" s="120"/>
      <x:c r="Q977" s="121"/>
      <x:c r="S977" s="120"/>
      <x:c r="U977" s="120"/>
      <x:c r="V977" s="121"/>
      <x:c r="W977" s="122"/>
      <x:c r="X977" s="120"/>
      <x:c r="Y977" s="122"/>
      <x:c r="Z977" s="120"/>
      <x:c r="AA977" s="121"/>
      <x:c r="AB977" s="122"/>
      <x:c r="AC977" s="120"/>
      <x:c r="AD977" s="122"/>
      <x:c r="AE977" s="120"/>
      <x:c r="AF977" s="121"/>
      <x:c r="AG977" s="122"/>
      <x:c r="AH977" s="120"/>
      <x:c r="AI977" s="122"/>
      <x:c r="AJ977" s="120"/>
      <x:c r="AK977" s="121"/>
      <x:c r="AL977" s="122"/>
      <x:c r="AM977" s="120"/>
      <x:c r="AN977" s="122"/>
      <x:c r="AO977" s="120"/>
      <x:c r="AP977" s="121"/>
      <x:c r="AQ977" s="122"/>
      <x:c r="AR977" s="120"/>
      <x:c r="AS977" s="122"/>
      <x:c r="AT977" s="120"/>
      <x:c r="AU977" s="121"/>
      <x:c r="AV977" s="122"/>
      <x:c r="AW977" s="120"/>
      <x:c r="AX977" s="122"/>
      <x:c r="AY977" s="120"/>
      <x:c r="AZ977" s="121"/>
      <x:c r="BA977" s="122"/>
      <x:c r="BB977" s="120"/>
      <x:c r="BC977" s="122"/>
      <x:c r="BD977" s="120"/>
      <x:c r="BE977" s="121"/>
      <x:c r="BF977" s="122"/>
      <x:c r="BG977" s="120"/>
      <x:c r="BH977" s="122"/>
      <x:c r="BI977" s="120"/>
      <x:c r="BJ977" s="121"/>
    </x:row>
    <x:row r="978" ht="15.75" customHeight="1">
      <x:c r="N978" s="120"/>
      <x:c r="P978" s="120"/>
      <x:c r="Q978" s="121"/>
      <x:c r="S978" s="120"/>
      <x:c r="U978" s="120"/>
      <x:c r="V978" s="121"/>
      <x:c r="W978" s="122"/>
      <x:c r="X978" s="120"/>
      <x:c r="Y978" s="122"/>
      <x:c r="Z978" s="120"/>
      <x:c r="AA978" s="121"/>
      <x:c r="AB978" s="122"/>
      <x:c r="AC978" s="120"/>
      <x:c r="AD978" s="122"/>
      <x:c r="AE978" s="120"/>
      <x:c r="AF978" s="121"/>
      <x:c r="AG978" s="122"/>
      <x:c r="AH978" s="120"/>
      <x:c r="AI978" s="122"/>
      <x:c r="AJ978" s="120"/>
      <x:c r="AK978" s="121"/>
      <x:c r="AL978" s="122"/>
      <x:c r="AM978" s="120"/>
      <x:c r="AN978" s="122"/>
      <x:c r="AO978" s="120"/>
      <x:c r="AP978" s="121"/>
      <x:c r="AQ978" s="122"/>
      <x:c r="AR978" s="120"/>
      <x:c r="AS978" s="122"/>
      <x:c r="AT978" s="120"/>
      <x:c r="AU978" s="121"/>
      <x:c r="AV978" s="122"/>
      <x:c r="AW978" s="120"/>
      <x:c r="AX978" s="122"/>
      <x:c r="AY978" s="120"/>
      <x:c r="AZ978" s="121"/>
      <x:c r="BA978" s="122"/>
      <x:c r="BB978" s="120"/>
      <x:c r="BC978" s="122"/>
      <x:c r="BD978" s="120"/>
      <x:c r="BE978" s="121"/>
      <x:c r="BF978" s="122"/>
      <x:c r="BG978" s="120"/>
      <x:c r="BH978" s="122"/>
      <x:c r="BI978" s="120"/>
      <x:c r="BJ978" s="121"/>
    </x:row>
    <x:row r="979" ht="15.75" customHeight="1">
      <x:c r="N979" s="120"/>
      <x:c r="P979" s="120"/>
      <x:c r="Q979" s="121"/>
      <x:c r="S979" s="120"/>
      <x:c r="U979" s="120"/>
      <x:c r="V979" s="121"/>
      <x:c r="W979" s="122"/>
      <x:c r="X979" s="120"/>
      <x:c r="Y979" s="122"/>
      <x:c r="Z979" s="120"/>
      <x:c r="AA979" s="121"/>
      <x:c r="AB979" s="122"/>
      <x:c r="AC979" s="120"/>
      <x:c r="AD979" s="122"/>
      <x:c r="AE979" s="120"/>
      <x:c r="AF979" s="121"/>
      <x:c r="AG979" s="122"/>
      <x:c r="AH979" s="120"/>
      <x:c r="AI979" s="122"/>
      <x:c r="AJ979" s="120"/>
      <x:c r="AK979" s="121"/>
      <x:c r="AL979" s="122"/>
      <x:c r="AM979" s="120"/>
      <x:c r="AN979" s="122"/>
      <x:c r="AO979" s="120"/>
      <x:c r="AP979" s="121"/>
      <x:c r="AQ979" s="122"/>
      <x:c r="AR979" s="120"/>
      <x:c r="AS979" s="122"/>
      <x:c r="AT979" s="120"/>
      <x:c r="AU979" s="121"/>
      <x:c r="AV979" s="122"/>
      <x:c r="AW979" s="120"/>
      <x:c r="AX979" s="122"/>
      <x:c r="AY979" s="120"/>
      <x:c r="AZ979" s="121"/>
      <x:c r="BA979" s="122"/>
      <x:c r="BB979" s="120"/>
      <x:c r="BC979" s="122"/>
      <x:c r="BD979" s="120"/>
      <x:c r="BE979" s="121"/>
      <x:c r="BF979" s="122"/>
      <x:c r="BG979" s="120"/>
      <x:c r="BH979" s="122"/>
      <x:c r="BI979" s="120"/>
      <x:c r="BJ979" s="121"/>
    </x:row>
    <x:row r="980" ht="15.75" customHeight="1">
      <x:c r="N980" s="120"/>
      <x:c r="P980" s="120"/>
      <x:c r="Q980" s="121"/>
      <x:c r="S980" s="120"/>
      <x:c r="U980" s="120"/>
      <x:c r="V980" s="121"/>
      <x:c r="W980" s="122"/>
      <x:c r="X980" s="120"/>
      <x:c r="Y980" s="122"/>
      <x:c r="Z980" s="120"/>
      <x:c r="AA980" s="121"/>
      <x:c r="AB980" s="122"/>
      <x:c r="AC980" s="120"/>
      <x:c r="AD980" s="122"/>
      <x:c r="AE980" s="120"/>
      <x:c r="AF980" s="121"/>
      <x:c r="AG980" s="122"/>
      <x:c r="AH980" s="120"/>
      <x:c r="AI980" s="122"/>
      <x:c r="AJ980" s="120"/>
      <x:c r="AK980" s="121"/>
      <x:c r="AL980" s="122"/>
      <x:c r="AM980" s="120"/>
      <x:c r="AN980" s="122"/>
      <x:c r="AO980" s="120"/>
      <x:c r="AP980" s="121"/>
      <x:c r="AQ980" s="122"/>
      <x:c r="AR980" s="120"/>
      <x:c r="AS980" s="122"/>
      <x:c r="AT980" s="120"/>
      <x:c r="AU980" s="121"/>
      <x:c r="AV980" s="122"/>
      <x:c r="AW980" s="120"/>
      <x:c r="AX980" s="122"/>
      <x:c r="AY980" s="120"/>
      <x:c r="AZ980" s="121"/>
      <x:c r="BA980" s="122"/>
      <x:c r="BB980" s="120"/>
      <x:c r="BC980" s="122"/>
      <x:c r="BD980" s="120"/>
      <x:c r="BE980" s="121"/>
      <x:c r="BF980" s="122"/>
      <x:c r="BG980" s="120"/>
      <x:c r="BH980" s="122"/>
      <x:c r="BI980" s="120"/>
      <x:c r="BJ980" s="121"/>
    </x:row>
    <x:row r="981" ht="15.75" customHeight="1">
      <x:c r="N981" s="120"/>
      <x:c r="P981" s="120"/>
      <x:c r="Q981" s="121"/>
      <x:c r="S981" s="120"/>
      <x:c r="U981" s="120"/>
      <x:c r="V981" s="121"/>
      <x:c r="W981" s="122"/>
      <x:c r="X981" s="120"/>
      <x:c r="Y981" s="122"/>
      <x:c r="Z981" s="120"/>
      <x:c r="AA981" s="121"/>
      <x:c r="AB981" s="122"/>
      <x:c r="AC981" s="120"/>
      <x:c r="AD981" s="122"/>
      <x:c r="AE981" s="120"/>
      <x:c r="AF981" s="121"/>
      <x:c r="AG981" s="122"/>
      <x:c r="AH981" s="120"/>
      <x:c r="AI981" s="122"/>
      <x:c r="AJ981" s="120"/>
      <x:c r="AK981" s="121"/>
      <x:c r="AL981" s="122"/>
      <x:c r="AM981" s="120"/>
      <x:c r="AN981" s="122"/>
      <x:c r="AO981" s="120"/>
      <x:c r="AP981" s="121"/>
      <x:c r="AQ981" s="122"/>
      <x:c r="AR981" s="120"/>
      <x:c r="AS981" s="122"/>
      <x:c r="AT981" s="120"/>
      <x:c r="AU981" s="121"/>
      <x:c r="AV981" s="122"/>
      <x:c r="AW981" s="120"/>
      <x:c r="AX981" s="122"/>
      <x:c r="AY981" s="120"/>
      <x:c r="AZ981" s="121"/>
      <x:c r="BA981" s="122"/>
      <x:c r="BB981" s="120"/>
      <x:c r="BC981" s="122"/>
      <x:c r="BD981" s="120"/>
      <x:c r="BE981" s="121"/>
      <x:c r="BF981" s="122"/>
      <x:c r="BG981" s="120"/>
      <x:c r="BH981" s="122"/>
      <x:c r="BI981" s="120"/>
      <x:c r="BJ981" s="121"/>
    </x:row>
    <x:row r="982" ht="15.75" customHeight="1">
      <x:c r="N982" s="120"/>
      <x:c r="P982" s="120"/>
      <x:c r="Q982" s="121"/>
      <x:c r="S982" s="120"/>
      <x:c r="U982" s="120"/>
      <x:c r="V982" s="121"/>
      <x:c r="W982" s="122"/>
      <x:c r="X982" s="120"/>
      <x:c r="Y982" s="122"/>
      <x:c r="Z982" s="120"/>
      <x:c r="AA982" s="121"/>
      <x:c r="AB982" s="122"/>
      <x:c r="AC982" s="120"/>
      <x:c r="AD982" s="122"/>
      <x:c r="AE982" s="120"/>
      <x:c r="AF982" s="121"/>
      <x:c r="AG982" s="122"/>
      <x:c r="AH982" s="120"/>
      <x:c r="AI982" s="122"/>
      <x:c r="AJ982" s="120"/>
      <x:c r="AK982" s="121"/>
      <x:c r="AL982" s="122"/>
      <x:c r="AM982" s="120"/>
      <x:c r="AN982" s="122"/>
      <x:c r="AO982" s="120"/>
      <x:c r="AP982" s="121"/>
      <x:c r="AQ982" s="122"/>
      <x:c r="AR982" s="120"/>
      <x:c r="AS982" s="122"/>
      <x:c r="AT982" s="120"/>
      <x:c r="AU982" s="121"/>
      <x:c r="AV982" s="122"/>
      <x:c r="AW982" s="120"/>
      <x:c r="AX982" s="122"/>
      <x:c r="AY982" s="120"/>
      <x:c r="AZ982" s="121"/>
      <x:c r="BA982" s="122"/>
      <x:c r="BB982" s="120"/>
      <x:c r="BC982" s="122"/>
      <x:c r="BD982" s="120"/>
      <x:c r="BE982" s="121"/>
      <x:c r="BF982" s="122"/>
      <x:c r="BG982" s="120"/>
      <x:c r="BH982" s="122"/>
      <x:c r="BI982" s="120"/>
      <x:c r="BJ982" s="121"/>
    </x:row>
    <x:row r="983" ht="15.75" customHeight="1">
      <x:c r="N983" s="120"/>
      <x:c r="P983" s="120"/>
      <x:c r="Q983" s="121"/>
      <x:c r="S983" s="120"/>
      <x:c r="U983" s="120"/>
      <x:c r="V983" s="121"/>
      <x:c r="W983" s="122"/>
      <x:c r="X983" s="120"/>
      <x:c r="Y983" s="122"/>
      <x:c r="Z983" s="120"/>
      <x:c r="AA983" s="121"/>
      <x:c r="AB983" s="122"/>
      <x:c r="AC983" s="120"/>
      <x:c r="AD983" s="122"/>
      <x:c r="AE983" s="120"/>
      <x:c r="AF983" s="121"/>
      <x:c r="AG983" s="122"/>
      <x:c r="AH983" s="120"/>
      <x:c r="AI983" s="122"/>
      <x:c r="AJ983" s="120"/>
      <x:c r="AK983" s="121"/>
      <x:c r="AL983" s="122"/>
      <x:c r="AM983" s="120"/>
      <x:c r="AN983" s="122"/>
      <x:c r="AO983" s="120"/>
      <x:c r="AP983" s="121"/>
      <x:c r="AQ983" s="122"/>
      <x:c r="AR983" s="120"/>
      <x:c r="AS983" s="122"/>
      <x:c r="AT983" s="120"/>
      <x:c r="AU983" s="121"/>
      <x:c r="AV983" s="122"/>
      <x:c r="AW983" s="120"/>
      <x:c r="AX983" s="122"/>
      <x:c r="AY983" s="120"/>
      <x:c r="AZ983" s="121"/>
      <x:c r="BA983" s="122"/>
      <x:c r="BB983" s="120"/>
      <x:c r="BC983" s="122"/>
      <x:c r="BD983" s="120"/>
      <x:c r="BE983" s="121"/>
      <x:c r="BF983" s="122"/>
      <x:c r="BG983" s="120"/>
      <x:c r="BH983" s="122"/>
      <x:c r="BI983" s="120"/>
      <x:c r="BJ983" s="121"/>
    </x:row>
    <x:row r="984" ht="15.75" customHeight="1">
      <x:c r="N984" s="120"/>
      <x:c r="P984" s="120"/>
      <x:c r="Q984" s="121"/>
      <x:c r="S984" s="120"/>
      <x:c r="U984" s="120"/>
      <x:c r="V984" s="121"/>
      <x:c r="W984" s="122"/>
      <x:c r="X984" s="120"/>
      <x:c r="Y984" s="122"/>
      <x:c r="Z984" s="120"/>
      <x:c r="AA984" s="121"/>
      <x:c r="AB984" s="122"/>
      <x:c r="AC984" s="120"/>
      <x:c r="AD984" s="122"/>
      <x:c r="AE984" s="120"/>
      <x:c r="AF984" s="121"/>
      <x:c r="AG984" s="122"/>
      <x:c r="AH984" s="120"/>
      <x:c r="AI984" s="122"/>
      <x:c r="AJ984" s="120"/>
      <x:c r="AK984" s="121"/>
      <x:c r="AL984" s="122"/>
      <x:c r="AM984" s="120"/>
      <x:c r="AN984" s="122"/>
      <x:c r="AO984" s="120"/>
      <x:c r="AP984" s="121"/>
      <x:c r="AQ984" s="122"/>
      <x:c r="AR984" s="120"/>
      <x:c r="AS984" s="122"/>
      <x:c r="AT984" s="120"/>
      <x:c r="AU984" s="121"/>
      <x:c r="AV984" s="122"/>
      <x:c r="AW984" s="120"/>
      <x:c r="AX984" s="122"/>
      <x:c r="AY984" s="120"/>
      <x:c r="AZ984" s="121"/>
      <x:c r="BA984" s="122"/>
      <x:c r="BB984" s="120"/>
      <x:c r="BC984" s="122"/>
      <x:c r="BD984" s="120"/>
      <x:c r="BE984" s="121"/>
      <x:c r="BF984" s="122"/>
      <x:c r="BG984" s="120"/>
      <x:c r="BH984" s="122"/>
      <x:c r="BI984" s="120"/>
      <x:c r="BJ984" s="121"/>
    </x:row>
    <x:row r="985" ht="15.75" customHeight="1">
      <x:c r="N985" s="120"/>
      <x:c r="P985" s="120"/>
      <x:c r="Q985" s="121"/>
      <x:c r="S985" s="120"/>
      <x:c r="U985" s="120"/>
      <x:c r="V985" s="121"/>
      <x:c r="W985" s="122"/>
      <x:c r="X985" s="120"/>
      <x:c r="Y985" s="122"/>
      <x:c r="Z985" s="120"/>
      <x:c r="AA985" s="121"/>
      <x:c r="AB985" s="122"/>
      <x:c r="AC985" s="120"/>
      <x:c r="AD985" s="122"/>
      <x:c r="AE985" s="120"/>
      <x:c r="AF985" s="121"/>
      <x:c r="AG985" s="122"/>
      <x:c r="AH985" s="120"/>
      <x:c r="AI985" s="122"/>
      <x:c r="AJ985" s="120"/>
      <x:c r="AK985" s="121"/>
      <x:c r="AL985" s="122"/>
      <x:c r="AM985" s="120"/>
      <x:c r="AN985" s="122"/>
      <x:c r="AO985" s="120"/>
      <x:c r="AP985" s="121"/>
      <x:c r="AQ985" s="122"/>
      <x:c r="AR985" s="120"/>
      <x:c r="AS985" s="122"/>
      <x:c r="AT985" s="120"/>
      <x:c r="AU985" s="121"/>
      <x:c r="AV985" s="122"/>
      <x:c r="AW985" s="120"/>
      <x:c r="AX985" s="122"/>
      <x:c r="AY985" s="120"/>
      <x:c r="AZ985" s="121"/>
      <x:c r="BA985" s="122"/>
      <x:c r="BB985" s="120"/>
      <x:c r="BC985" s="122"/>
      <x:c r="BD985" s="120"/>
      <x:c r="BE985" s="121"/>
      <x:c r="BF985" s="122"/>
      <x:c r="BG985" s="120"/>
      <x:c r="BH985" s="122"/>
      <x:c r="BI985" s="120"/>
      <x:c r="BJ985" s="121"/>
    </x:row>
    <x:row r="986" ht="15.75" customHeight="1">
      <x:c r="N986" s="120"/>
      <x:c r="P986" s="120"/>
      <x:c r="Q986" s="121"/>
      <x:c r="S986" s="120"/>
      <x:c r="U986" s="120"/>
      <x:c r="V986" s="121"/>
      <x:c r="W986" s="122"/>
      <x:c r="X986" s="120"/>
      <x:c r="Y986" s="122"/>
      <x:c r="Z986" s="120"/>
      <x:c r="AA986" s="121"/>
      <x:c r="AB986" s="122"/>
      <x:c r="AC986" s="120"/>
      <x:c r="AD986" s="122"/>
      <x:c r="AE986" s="120"/>
      <x:c r="AF986" s="121"/>
      <x:c r="AG986" s="122"/>
      <x:c r="AH986" s="120"/>
      <x:c r="AI986" s="122"/>
      <x:c r="AJ986" s="120"/>
      <x:c r="AK986" s="121"/>
      <x:c r="AL986" s="122"/>
      <x:c r="AM986" s="120"/>
      <x:c r="AN986" s="122"/>
      <x:c r="AO986" s="120"/>
      <x:c r="AP986" s="121"/>
      <x:c r="AQ986" s="122"/>
      <x:c r="AR986" s="120"/>
      <x:c r="AS986" s="122"/>
      <x:c r="AT986" s="120"/>
      <x:c r="AU986" s="121"/>
      <x:c r="AV986" s="122"/>
      <x:c r="AW986" s="120"/>
      <x:c r="AX986" s="122"/>
      <x:c r="AY986" s="120"/>
      <x:c r="AZ986" s="121"/>
      <x:c r="BA986" s="122"/>
      <x:c r="BB986" s="120"/>
      <x:c r="BC986" s="122"/>
      <x:c r="BD986" s="120"/>
      <x:c r="BE986" s="121"/>
      <x:c r="BF986" s="122"/>
      <x:c r="BG986" s="120"/>
      <x:c r="BH986" s="122"/>
      <x:c r="BI986" s="120"/>
      <x:c r="BJ986" s="121"/>
    </x:row>
    <x:row r="987" ht="15.75" customHeight="1">
      <x:c r="N987" s="120"/>
      <x:c r="P987" s="120"/>
      <x:c r="Q987" s="121"/>
      <x:c r="S987" s="120"/>
      <x:c r="U987" s="120"/>
      <x:c r="V987" s="121"/>
      <x:c r="W987" s="122"/>
      <x:c r="X987" s="120"/>
      <x:c r="Y987" s="122"/>
      <x:c r="Z987" s="120"/>
      <x:c r="AA987" s="121"/>
      <x:c r="AB987" s="122"/>
      <x:c r="AC987" s="120"/>
      <x:c r="AD987" s="122"/>
      <x:c r="AE987" s="120"/>
      <x:c r="AF987" s="121"/>
      <x:c r="AG987" s="122"/>
      <x:c r="AH987" s="120"/>
      <x:c r="AI987" s="122"/>
      <x:c r="AJ987" s="120"/>
      <x:c r="AK987" s="121"/>
      <x:c r="AL987" s="122"/>
      <x:c r="AM987" s="120"/>
      <x:c r="AN987" s="122"/>
      <x:c r="AO987" s="120"/>
      <x:c r="AP987" s="121"/>
      <x:c r="AQ987" s="122"/>
      <x:c r="AR987" s="120"/>
      <x:c r="AS987" s="122"/>
      <x:c r="AT987" s="120"/>
      <x:c r="AU987" s="121"/>
      <x:c r="AV987" s="122"/>
      <x:c r="AW987" s="120"/>
      <x:c r="AX987" s="122"/>
      <x:c r="AY987" s="120"/>
      <x:c r="AZ987" s="121"/>
      <x:c r="BA987" s="122"/>
      <x:c r="BB987" s="120"/>
      <x:c r="BC987" s="122"/>
      <x:c r="BD987" s="120"/>
      <x:c r="BE987" s="121"/>
      <x:c r="BF987" s="122"/>
      <x:c r="BG987" s="120"/>
      <x:c r="BH987" s="122"/>
      <x:c r="BI987" s="120"/>
      <x:c r="BJ987" s="121"/>
    </x:row>
    <x:row r="988" ht="15.75" customHeight="1">
      <x:c r="N988" s="120"/>
      <x:c r="P988" s="120"/>
      <x:c r="Q988" s="121"/>
      <x:c r="S988" s="120"/>
      <x:c r="U988" s="120"/>
      <x:c r="V988" s="121"/>
      <x:c r="W988" s="122"/>
      <x:c r="X988" s="120"/>
      <x:c r="Y988" s="122"/>
      <x:c r="Z988" s="120"/>
      <x:c r="AA988" s="121"/>
      <x:c r="AB988" s="122"/>
      <x:c r="AC988" s="120"/>
      <x:c r="AD988" s="122"/>
      <x:c r="AE988" s="120"/>
      <x:c r="AF988" s="121"/>
      <x:c r="AG988" s="122"/>
      <x:c r="AH988" s="120"/>
      <x:c r="AI988" s="122"/>
      <x:c r="AJ988" s="120"/>
      <x:c r="AK988" s="121"/>
      <x:c r="AL988" s="122"/>
      <x:c r="AM988" s="120"/>
      <x:c r="AN988" s="122"/>
      <x:c r="AO988" s="120"/>
      <x:c r="AP988" s="121"/>
      <x:c r="AQ988" s="122"/>
      <x:c r="AR988" s="120"/>
      <x:c r="AS988" s="122"/>
      <x:c r="AT988" s="120"/>
      <x:c r="AU988" s="121"/>
      <x:c r="AV988" s="122"/>
      <x:c r="AW988" s="120"/>
      <x:c r="AX988" s="122"/>
      <x:c r="AY988" s="120"/>
      <x:c r="AZ988" s="121"/>
      <x:c r="BA988" s="122"/>
      <x:c r="BB988" s="120"/>
      <x:c r="BC988" s="122"/>
      <x:c r="BD988" s="120"/>
      <x:c r="BE988" s="121"/>
      <x:c r="BF988" s="122"/>
      <x:c r="BG988" s="120"/>
      <x:c r="BH988" s="122"/>
      <x:c r="BI988" s="120"/>
      <x:c r="BJ988" s="121"/>
    </x:row>
    <x:row r="989" ht="15.75" customHeight="1">
      <x:c r="N989" s="120"/>
      <x:c r="P989" s="120"/>
      <x:c r="Q989" s="121"/>
      <x:c r="S989" s="120"/>
      <x:c r="U989" s="120"/>
      <x:c r="V989" s="121"/>
      <x:c r="W989" s="122"/>
      <x:c r="X989" s="120"/>
      <x:c r="Y989" s="122"/>
      <x:c r="Z989" s="120"/>
      <x:c r="AA989" s="121"/>
      <x:c r="AB989" s="122"/>
      <x:c r="AC989" s="120"/>
      <x:c r="AD989" s="122"/>
      <x:c r="AE989" s="120"/>
      <x:c r="AF989" s="121"/>
      <x:c r="AG989" s="122"/>
      <x:c r="AH989" s="120"/>
      <x:c r="AI989" s="122"/>
      <x:c r="AJ989" s="120"/>
      <x:c r="AK989" s="121"/>
      <x:c r="AL989" s="122"/>
      <x:c r="AM989" s="120"/>
      <x:c r="AN989" s="122"/>
      <x:c r="AO989" s="120"/>
      <x:c r="AP989" s="121"/>
      <x:c r="AQ989" s="122"/>
      <x:c r="AR989" s="120"/>
      <x:c r="AS989" s="122"/>
      <x:c r="AT989" s="120"/>
      <x:c r="AU989" s="121"/>
      <x:c r="AV989" s="122"/>
      <x:c r="AW989" s="120"/>
      <x:c r="AX989" s="122"/>
      <x:c r="AY989" s="120"/>
      <x:c r="AZ989" s="121"/>
      <x:c r="BA989" s="122"/>
      <x:c r="BB989" s="120"/>
      <x:c r="BC989" s="122"/>
      <x:c r="BD989" s="120"/>
      <x:c r="BE989" s="121"/>
      <x:c r="BF989" s="122"/>
      <x:c r="BG989" s="120"/>
      <x:c r="BH989" s="122"/>
      <x:c r="BI989" s="120"/>
      <x:c r="BJ989" s="121"/>
    </x:row>
    <x:row r="990" ht="15.75" customHeight="1">
      <x:c r="N990" s="120"/>
      <x:c r="P990" s="120"/>
      <x:c r="Q990" s="121"/>
      <x:c r="S990" s="120"/>
      <x:c r="U990" s="120"/>
      <x:c r="V990" s="121"/>
      <x:c r="W990" s="122"/>
      <x:c r="X990" s="120"/>
      <x:c r="Y990" s="122"/>
      <x:c r="Z990" s="120"/>
      <x:c r="AA990" s="121"/>
      <x:c r="AB990" s="122"/>
      <x:c r="AC990" s="120"/>
      <x:c r="AD990" s="122"/>
      <x:c r="AE990" s="120"/>
      <x:c r="AF990" s="121"/>
      <x:c r="AG990" s="122"/>
      <x:c r="AH990" s="120"/>
      <x:c r="AI990" s="122"/>
      <x:c r="AJ990" s="120"/>
      <x:c r="AK990" s="121"/>
      <x:c r="AL990" s="122"/>
      <x:c r="AM990" s="120"/>
      <x:c r="AN990" s="122"/>
      <x:c r="AO990" s="120"/>
      <x:c r="AP990" s="121"/>
      <x:c r="AQ990" s="122"/>
      <x:c r="AR990" s="120"/>
      <x:c r="AS990" s="122"/>
      <x:c r="AT990" s="120"/>
      <x:c r="AU990" s="121"/>
      <x:c r="AV990" s="122"/>
      <x:c r="AW990" s="120"/>
      <x:c r="AX990" s="122"/>
      <x:c r="AY990" s="120"/>
      <x:c r="AZ990" s="121"/>
      <x:c r="BA990" s="122"/>
      <x:c r="BB990" s="120"/>
      <x:c r="BC990" s="122"/>
      <x:c r="BD990" s="120"/>
      <x:c r="BE990" s="121"/>
      <x:c r="BF990" s="122"/>
      <x:c r="BG990" s="120"/>
      <x:c r="BH990" s="122"/>
      <x:c r="BI990" s="120"/>
      <x:c r="BJ990" s="121"/>
    </x:row>
    <x:row r="991" ht="15.75" customHeight="1">
      <x:c r="N991" s="120"/>
      <x:c r="P991" s="120"/>
      <x:c r="Q991" s="121"/>
      <x:c r="S991" s="120"/>
      <x:c r="U991" s="120"/>
      <x:c r="V991" s="121"/>
      <x:c r="W991" s="122"/>
      <x:c r="X991" s="120"/>
      <x:c r="Y991" s="122"/>
      <x:c r="Z991" s="120"/>
      <x:c r="AA991" s="121"/>
      <x:c r="AB991" s="122"/>
      <x:c r="AC991" s="120"/>
      <x:c r="AD991" s="122"/>
      <x:c r="AE991" s="120"/>
      <x:c r="AF991" s="121"/>
      <x:c r="AG991" s="122"/>
      <x:c r="AH991" s="120"/>
      <x:c r="AI991" s="122"/>
      <x:c r="AJ991" s="120"/>
      <x:c r="AK991" s="121"/>
      <x:c r="AL991" s="122"/>
      <x:c r="AM991" s="120"/>
      <x:c r="AN991" s="122"/>
      <x:c r="AO991" s="120"/>
      <x:c r="AP991" s="121"/>
      <x:c r="AQ991" s="122"/>
      <x:c r="AR991" s="120"/>
      <x:c r="AS991" s="122"/>
      <x:c r="AT991" s="120"/>
      <x:c r="AU991" s="121"/>
      <x:c r="AV991" s="122"/>
      <x:c r="AW991" s="120"/>
      <x:c r="AX991" s="122"/>
      <x:c r="AY991" s="120"/>
      <x:c r="AZ991" s="121"/>
      <x:c r="BA991" s="122"/>
      <x:c r="BB991" s="120"/>
      <x:c r="BC991" s="122"/>
      <x:c r="BD991" s="120"/>
      <x:c r="BE991" s="121"/>
      <x:c r="BF991" s="122"/>
      <x:c r="BG991" s="120"/>
      <x:c r="BH991" s="122"/>
      <x:c r="BI991" s="120"/>
      <x:c r="BJ991" s="121"/>
    </x:row>
    <x:row r="992" ht="15.75" customHeight="1">
      <x:c r="N992" s="120"/>
      <x:c r="P992" s="120"/>
      <x:c r="Q992" s="121"/>
      <x:c r="S992" s="120"/>
      <x:c r="U992" s="120"/>
      <x:c r="V992" s="121"/>
      <x:c r="W992" s="122"/>
      <x:c r="X992" s="120"/>
      <x:c r="Y992" s="122"/>
      <x:c r="Z992" s="120"/>
      <x:c r="AA992" s="121"/>
      <x:c r="AB992" s="122"/>
      <x:c r="AC992" s="120"/>
      <x:c r="AD992" s="122"/>
      <x:c r="AE992" s="120"/>
      <x:c r="AF992" s="121"/>
      <x:c r="AG992" s="122"/>
      <x:c r="AH992" s="120"/>
      <x:c r="AI992" s="122"/>
      <x:c r="AJ992" s="120"/>
      <x:c r="AK992" s="121"/>
      <x:c r="AL992" s="122"/>
      <x:c r="AM992" s="120"/>
      <x:c r="AN992" s="122"/>
      <x:c r="AO992" s="120"/>
      <x:c r="AP992" s="121"/>
      <x:c r="AQ992" s="122"/>
      <x:c r="AR992" s="120"/>
      <x:c r="AS992" s="122"/>
      <x:c r="AT992" s="120"/>
      <x:c r="AU992" s="121"/>
      <x:c r="AV992" s="122"/>
      <x:c r="AW992" s="120"/>
      <x:c r="AX992" s="122"/>
      <x:c r="AY992" s="120"/>
      <x:c r="AZ992" s="121"/>
      <x:c r="BA992" s="122"/>
      <x:c r="BB992" s="120"/>
      <x:c r="BC992" s="122"/>
      <x:c r="BD992" s="120"/>
      <x:c r="BE992" s="121"/>
      <x:c r="BF992" s="122"/>
      <x:c r="BG992" s="120"/>
      <x:c r="BH992" s="122"/>
      <x:c r="BI992" s="120"/>
      <x:c r="BJ992" s="121"/>
    </x:row>
    <x:row r="993" ht="15.75" customHeight="1">
      <x:c r="N993" s="120"/>
      <x:c r="P993" s="120"/>
      <x:c r="Q993" s="121"/>
      <x:c r="S993" s="120"/>
      <x:c r="U993" s="120"/>
      <x:c r="V993" s="121"/>
      <x:c r="W993" s="122"/>
      <x:c r="X993" s="120"/>
      <x:c r="Y993" s="122"/>
      <x:c r="Z993" s="120"/>
      <x:c r="AA993" s="121"/>
      <x:c r="AB993" s="122"/>
      <x:c r="AC993" s="120"/>
      <x:c r="AD993" s="122"/>
      <x:c r="AE993" s="120"/>
      <x:c r="AF993" s="121"/>
      <x:c r="AG993" s="122"/>
      <x:c r="AH993" s="120"/>
      <x:c r="AI993" s="122"/>
      <x:c r="AJ993" s="120"/>
      <x:c r="AK993" s="121"/>
      <x:c r="AL993" s="122"/>
      <x:c r="AM993" s="120"/>
      <x:c r="AN993" s="122"/>
      <x:c r="AO993" s="120"/>
      <x:c r="AP993" s="121"/>
      <x:c r="AQ993" s="122"/>
      <x:c r="AR993" s="120"/>
      <x:c r="AS993" s="122"/>
      <x:c r="AT993" s="120"/>
      <x:c r="AU993" s="121"/>
      <x:c r="AV993" s="122"/>
      <x:c r="AW993" s="120"/>
      <x:c r="AX993" s="122"/>
      <x:c r="AY993" s="120"/>
      <x:c r="AZ993" s="121"/>
      <x:c r="BA993" s="122"/>
      <x:c r="BB993" s="120"/>
      <x:c r="BC993" s="122"/>
      <x:c r="BD993" s="120"/>
      <x:c r="BE993" s="121"/>
      <x:c r="BF993" s="122"/>
      <x:c r="BG993" s="120"/>
      <x:c r="BH993" s="122"/>
      <x:c r="BI993" s="120"/>
      <x:c r="BJ993" s="121"/>
    </x:row>
    <x:row r="994" ht="15.75" customHeight="1">
      <x:c r="N994" s="120"/>
      <x:c r="P994" s="120"/>
      <x:c r="Q994" s="121"/>
      <x:c r="S994" s="120"/>
      <x:c r="U994" s="120"/>
      <x:c r="V994" s="121"/>
      <x:c r="W994" s="122"/>
      <x:c r="X994" s="120"/>
      <x:c r="Y994" s="122"/>
      <x:c r="Z994" s="120"/>
      <x:c r="AA994" s="121"/>
      <x:c r="AB994" s="122"/>
      <x:c r="AC994" s="120"/>
      <x:c r="AD994" s="122"/>
      <x:c r="AE994" s="120"/>
      <x:c r="AF994" s="121"/>
      <x:c r="AG994" s="122"/>
      <x:c r="AH994" s="120"/>
      <x:c r="AI994" s="122"/>
      <x:c r="AJ994" s="120"/>
      <x:c r="AK994" s="121"/>
      <x:c r="AL994" s="122"/>
      <x:c r="AM994" s="120"/>
      <x:c r="AN994" s="122"/>
      <x:c r="AO994" s="120"/>
      <x:c r="AP994" s="121"/>
      <x:c r="AQ994" s="122"/>
      <x:c r="AR994" s="120"/>
      <x:c r="AS994" s="122"/>
      <x:c r="AT994" s="120"/>
      <x:c r="AU994" s="121"/>
      <x:c r="AV994" s="122"/>
      <x:c r="AW994" s="120"/>
      <x:c r="AX994" s="122"/>
      <x:c r="AY994" s="120"/>
      <x:c r="AZ994" s="121"/>
      <x:c r="BA994" s="122"/>
      <x:c r="BB994" s="120"/>
      <x:c r="BC994" s="122"/>
      <x:c r="BD994" s="120"/>
      <x:c r="BE994" s="121"/>
      <x:c r="BF994" s="122"/>
      <x:c r="BG994" s="120"/>
      <x:c r="BH994" s="122"/>
      <x:c r="BI994" s="120"/>
      <x:c r="BJ994" s="121"/>
    </x:row>
    <x:row r="995" ht="15.75" customHeight="1">
      <x:c r="N995" s="120"/>
      <x:c r="P995" s="120"/>
      <x:c r="Q995" s="121"/>
      <x:c r="S995" s="120"/>
      <x:c r="U995" s="120"/>
      <x:c r="V995" s="121"/>
      <x:c r="W995" s="122"/>
      <x:c r="X995" s="120"/>
      <x:c r="Y995" s="122"/>
      <x:c r="Z995" s="120"/>
      <x:c r="AA995" s="121"/>
      <x:c r="AB995" s="122"/>
      <x:c r="AC995" s="120"/>
      <x:c r="AD995" s="122"/>
      <x:c r="AE995" s="120"/>
      <x:c r="AF995" s="121"/>
      <x:c r="AG995" s="122"/>
      <x:c r="AH995" s="120"/>
      <x:c r="AI995" s="122"/>
      <x:c r="AJ995" s="120"/>
      <x:c r="AK995" s="121"/>
      <x:c r="AL995" s="122"/>
      <x:c r="AM995" s="120"/>
      <x:c r="AN995" s="122"/>
      <x:c r="AO995" s="120"/>
      <x:c r="AP995" s="121"/>
      <x:c r="AQ995" s="122"/>
      <x:c r="AR995" s="120"/>
      <x:c r="AS995" s="122"/>
      <x:c r="AT995" s="120"/>
      <x:c r="AU995" s="121"/>
      <x:c r="AV995" s="122"/>
      <x:c r="AW995" s="120"/>
      <x:c r="AX995" s="122"/>
      <x:c r="AY995" s="120"/>
      <x:c r="AZ995" s="121"/>
      <x:c r="BA995" s="122"/>
      <x:c r="BB995" s="120"/>
      <x:c r="BC995" s="122"/>
      <x:c r="BD995" s="120"/>
      <x:c r="BE995" s="121"/>
      <x:c r="BF995" s="122"/>
      <x:c r="BG995" s="120"/>
      <x:c r="BH995" s="122"/>
      <x:c r="BI995" s="120"/>
      <x:c r="BJ995" s="121"/>
    </x:row>
    <x:row r="996" ht="15.75" customHeight="1">
      <x:c r="N996" s="120"/>
      <x:c r="P996" s="120"/>
      <x:c r="Q996" s="121"/>
      <x:c r="S996" s="120"/>
      <x:c r="U996" s="120"/>
      <x:c r="V996" s="121"/>
      <x:c r="W996" s="122"/>
      <x:c r="X996" s="120"/>
      <x:c r="Y996" s="122"/>
      <x:c r="Z996" s="120"/>
      <x:c r="AA996" s="121"/>
      <x:c r="AB996" s="122"/>
      <x:c r="AC996" s="120"/>
      <x:c r="AD996" s="122"/>
      <x:c r="AE996" s="120"/>
      <x:c r="AF996" s="121"/>
      <x:c r="AG996" s="122"/>
      <x:c r="AH996" s="120"/>
      <x:c r="AI996" s="122"/>
      <x:c r="AJ996" s="120"/>
      <x:c r="AK996" s="121"/>
      <x:c r="AL996" s="122"/>
      <x:c r="AM996" s="120"/>
      <x:c r="AN996" s="122"/>
      <x:c r="AO996" s="120"/>
      <x:c r="AP996" s="121"/>
      <x:c r="AQ996" s="122"/>
      <x:c r="AR996" s="120"/>
      <x:c r="AS996" s="122"/>
      <x:c r="AT996" s="120"/>
      <x:c r="AU996" s="121"/>
      <x:c r="AV996" s="122"/>
      <x:c r="AW996" s="120"/>
      <x:c r="AX996" s="122"/>
      <x:c r="AY996" s="120"/>
      <x:c r="AZ996" s="121"/>
      <x:c r="BA996" s="122"/>
      <x:c r="BB996" s="120"/>
      <x:c r="BC996" s="122"/>
      <x:c r="BD996" s="120"/>
      <x:c r="BE996" s="121"/>
      <x:c r="BF996" s="122"/>
      <x:c r="BG996" s="120"/>
      <x:c r="BH996" s="122"/>
      <x:c r="BI996" s="120"/>
      <x:c r="BJ996" s="121"/>
    </x:row>
    <x:row r="997" ht="15.75" customHeight="1">
      <x:c r="N997" s="120"/>
      <x:c r="P997" s="120"/>
      <x:c r="Q997" s="121"/>
      <x:c r="S997" s="120"/>
      <x:c r="U997" s="120"/>
      <x:c r="V997" s="121"/>
      <x:c r="W997" s="122"/>
      <x:c r="X997" s="120"/>
      <x:c r="Y997" s="122"/>
      <x:c r="Z997" s="120"/>
      <x:c r="AA997" s="121"/>
      <x:c r="AB997" s="122"/>
      <x:c r="AC997" s="120"/>
      <x:c r="AD997" s="122"/>
      <x:c r="AE997" s="120"/>
      <x:c r="AF997" s="121"/>
      <x:c r="AG997" s="122"/>
      <x:c r="AH997" s="120"/>
      <x:c r="AI997" s="122"/>
      <x:c r="AJ997" s="120"/>
      <x:c r="AK997" s="121"/>
      <x:c r="AL997" s="122"/>
      <x:c r="AM997" s="120"/>
      <x:c r="AN997" s="122"/>
      <x:c r="AO997" s="120"/>
      <x:c r="AP997" s="121"/>
      <x:c r="AQ997" s="122"/>
      <x:c r="AR997" s="120"/>
      <x:c r="AS997" s="122"/>
      <x:c r="AT997" s="120"/>
      <x:c r="AU997" s="121"/>
      <x:c r="AV997" s="122"/>
      <x:c r="AW997" s="120"/>
      <x:c r="AX997" s="122"/>
      <x:c r="AY997" s="120"/>
      <x:c r="AZ997" s="121"/>
      <x:c r="BA997" s="122"/>
      <x:c r="BB997" s="120"/>
      <x:c r="BC997" s="122"/>
      <x:c r="BD997" s="120"/>
      <x:c r="BE997" s="121"/>
      <x:c r="BF997" s="122"/>
      <x:c r="BG997" s="120"/>
      <x:c r="BH997" s="122"/>
      <x:c r="BI997" s="120"/>
      <x:c r="BJ997" s="121"/>
    </x:row>
    <x:row r="998" ht="15.75" customHeight="1">
      <x:c r="N998" s="120"/>
      <x:c r="P998" s="120"/>
      <x:c r="Q998" s="121"/>
      <x:c r="S998" s="120"/>
      <x:c r="U998" s="120"/>
      <x:c r="V998" s="121"/>
      <x:c r="W998" s="122"/>
      <x:c r="X998" s="120"/>
      <x:c r="Y998" s="122"/>
      <x:c r="Z998" s="120"/>
      <x:c r="AA998" s="121"/>
      <x:c r="AB998" s="122"/>
      <x:c r="AC998" s="120"/>
      <x:c r="AD998" s="122"/>
      <x:c r="AE998" s="120"/>
      <x:c r="AF998" s="121"/>
      <x:c r="AG998" s="122"/>
      <x:c r="AH998" s="120"/>
      <x:c r="AI998" s="122"/>
      <x:c r="AJ998" s="120"/>
      <x:c r="AK998" s="121"/>
      <x:c r="AL998" s="122"/>
      <x:c r="AM998" s="120"/>
      <x:c r="AN998" s="122"/>
      <x:c r="AO998" s="120"/>
      <x:c r="AP998" s="121"/>
      <x:c r="AQ998" s="122"/>
      <x:c r="AR998" s="120"/>
      <x:c r="AS998" s="122"/>
      <x:c r="AT998" s="120"/>
      <x:c r="AU998" s="121"/>
      <x:c r="AV998" s="122"/>
      <x:c r="AW998" s="120"/>
      <x:c r="AX998" s="122"/>
      <x:c r="AY998" s="120"/>
      <x:c r="AZ998" s="121"/>
      <x:c r="BA998" s="122"/>
      <x:c r="BB998" s="120"/>
      <x:c r="BC998" s="122"/>
      <x:c r="BD998" s="120"/>
      <x:c r="BE998" s="121"/>
      <x:c r="BF998" s="122"/>
      <x:c r="BG998" s="120"/>
      <x:c r="BH998" s="122"/>
      <x:c r="BI998" s="120"/>
      <x:c r="BJ998" s="121"/>
    </x:row>
    <x:row r="999" ht="15.75" customHeight="1">
      <x:c r="N999" s="120"/>
      <x:c r="P999" s="120"/>
      <x:c r="Q999" s="121"/>
      <x:c r="S999" s="120"/>
      <x:c r="U999" s="120"/>
      <x:c r="V999" s="121"/>
      <x:c r="W999" s="122"/>
      <x:c r="X999" s="120"/>
      <x:c r="Y999" s="122"/>
      <x:c r="Z999" s="120"/>
      <x:c r="AA999" s="121"/>
      <x:c r="AB999" s="122"/>
      <x:c r="AC999" s="120"/>
      <x:c r="AD999" s="122"/>
      <x:c r="AE999" s="120"/>
      <x:c r="AF999" s="121"/>
      <x:c r="AG999" s="122"/>
      <x:c r="AH999" s="120"/>
      <x:c r="AI999" s="122"/>
      <x:c r="AJ999" s="120"/>
      <x:c r="AK999" s="121"/>
      <x:c r="AL999" s="122"/>
      <x:c r="AM999" s="120"/>
      <x:c r="AN999" s="122"/>
      <x:c r="AO999" s="120"/>
      <x:c r="AP999" s="121"/>
      <x:c r="AQ999" s="122"/>
      <x:c r="AR999" s="120"/>
      <x:c r="AS999" s="122"/>
      <x:c r="AT999" s="120"/>
      <x:c r="AU999" s="121"/>
      <x:c r="AV999" s="122"/>
      <x:c r="AW999" s="120"/>
      <x:c r="AX999" s="122"/>
      <x:c r="AY999" s="120"/>
      <x:c r="AZ999" s="121"/>
      <x:c r="BA999" s="122"/>
      <x:c r="BB999" s="120"/>
      <x:c r="BC999" s="122"/>
      <x:c r="BD999" s="120"/>
      <x:c r="BE999" s="121"/>
      <x:c r="BF999" s="122"/>
      <x:c r="BG999" s="120"/>
      <x:c r="BH999" s="122"/>
      <x:c r="BI999" s="120"/>
      <x:c r="BJ999" s="121"/>
    </x:row>
    <x:row r="1000" ht="15.75" customHeight="1">
      <x:c r="N1000" s="120"/>
      <x:c r="P1000" s="120"/>
      <x:c r="Q1000" s="121"/>
      <x:c r="S1000" s="120"/>
      <x:c r="U1000" s="120"/>
      <x:c r="V1000" s="121"/>
      <x:c r="W1000" s="122"/>
      <x:c r="X1000" s="120"/>
      <x:c r="Y1000" s="122"/>
      <x:c r="Z1000" s="120"/>
      <x:c r="AA1000" s="121"/>
      <x:c r="AB1000" s="122"/>
      <x:c r="AC1000" s="120"/>
      <x:c r="AD1000" s="122"/>
      <x:c r="AE1000" s="120"/>
      <x:c r="AF1000" s="121"/>
      <x:c r="AG1000" s="122"/>
      <x:c r="AH1000" s="120"/>
      <x:c r="AI1000" s="122"/>
      <x:c r="AJ1000" s="120"/>
      <x:c r="AK1000" s="121"/>
      <x:c r="AL1000" s="122"/>
      <x:c r="AM1000" s="120"/>
      <x:c r="AN1000" s="122"/>
      <x:c r="AO1000" s="120"/>
      <x:c r="AP1000" s="121"/>
      <x:c r="AQ1000" s="122"/>
      <x:c r="AR1000" s="120"/>
      <x:c r="AS1000" s="122"/>
      <x:c r="AT1000" s="120"/>
      <x:c r="AU1000" s="121"/>
      <x:c r="AV1000" s="122"/>
      <x:c r="AW1000" s="120"/>
      <x:c r="AX1000" s="122"/>
      <x:c r="AY1000" s="120"/>
      <x:c r="AZ1000" s="121"/>
      <x:c r="BA1000" s="122"/>
      <x:c r="BB1000" s="120"/>
      <x:c r="BC1000" s="122"/>
      <x:c r="BD1000" s="120"/>
      <x:c r="BE1000" s="121"/>
      <x:c r="BF1000" s="122"/>
      <x:c r="BG1000" s="120"/>
      <x:c r="BH1000" s="122"/>
      <x:c r="BI1000" s="120"/>
      <x:c r="BJ1000" s="121"/>
    </x:row>
  </x:sheetData>
  <x:mergeCells>
    <x:mergeCell ref="B1:L1"/>
    <x:mergeCell ref="B2:L2"/>
    <x:mergeCell ref="B4:I4"/>
    <x:mergeCell ref="J4:L4"/>
    <x:mergeCell ref="D6:H6"/>
    <x:mergeCell ref="D7:E9"/>
    <x:mergeCell ref="F7:H9"/>
    <x:mergeCell ref="A16:A19"/>
    <x:mergeCell ref="B16:B19"/>
    <x:mergeCell ref="C16:F17"/>
    <x:mergeCell ref="G16:G18"/>
    <x:mergeCell ref="H16:H18"/>
    <x:mergeCell ref="I16:I18"/>
    <x:mergeCell ref="J16:J19"/>
    <x:mergeCell ref="K16:L19"/>
    <x:mergeCell ref="D18:D19"/>
    <x:mergeCell ref="F18:F19"/>
    <x:mergeCell ref="BF18:BJ18"/>
    <x:mergeCell ref="K20:L20"/>
    <x:mergeCell ref="K21:L21"/>
    <x:mergeCell ref="K22:L22"/>
    <x:mergeCell ref="K23:L23"/>
    <x:mergeCell ref="K24:L24"/>
    <x:mergeCell ref="K25:L25"/>
    <x:mergeCell ref="K26:L26"/>
    <x:mergeCell ref="K27:L27"/>
    <x:mergeCell ref="M18:Q18"/>
    <x:mergeCell ref="R18:V18"/>
    <x:mergeCell ref="W18:AA18"/>
    <x:mergeCell ref="AB18:AF18"/>
    <x:mergeCell ref="AG18:AK18"/>
    <x:mergeCell ref="AL18:AP18"/>
    <x:mergeCell ref="AQ18:AU18"/>
    <x:mergeCell ref="AV18:AZ18"/>
    <x:mergeCell ref="BA18:BE18"/>
    <x:mergeCell ref="K28:L28"/>
    <x:mergeCell ref="K29:L29"/>
    <x:mergeCell ref="K30:L30"/>
    <x:mergeCell ref="K31:L31"/>
    <x:mergeCell ref="K32:L32"/>
    <x:mergeCell ref="K33:L33"/>
    <x:mergeCell ref="K34:L34"/>
    <x:mergeCell ref="K35:L35"/>
    <x:mergeCell ref="K36:L36"/>
    <x:mergeCell ref="K37:L37"/>
    <x:mergeCell ref="K38:L38"/>
    <x:mergeCell ref="K39:L39"/>
    <x:mergeCell ref="K40:L40"/>
    <x:mergeCell ref="K41:L41"/>
    <x:mergeCell ref="K42:L42"/>
    <x:mergeCell ref="K43:L43"/>
    <x:mergeCell ref="K44:L44"/>
    <x:mergeCell ref="K45:L45"/>
    <x:mergeCell ref="K46:L46"/>
    <x:mergeCell ref="K47:L47"/>
    <x:mergeCell ref="K48:L48"/>
    <x:mergeCell ref="K49:L49"/>
    <x:mergeCell ref="K50:L50"/>
    <x:mergeCell ref="K51:L51"/>
    <x:mergeCell ref="K52:L52"/>
    <x:mergeCell ref="K53:L53"/>
    <x:mergeCell ref="K54:L54"/>
    <x:mergeCell ref="K55:L55"/>
    <x:mergeCell ref="K56:L56"/>
    <x:mergeCell ref="K57:L57"/>
    <x:mergeCell ref="K58:L58"/>
    <x:mergeCell ref="K59:L59"/>
    <x:mergeCell ref="K60:L60"/>
    <x:mergeCell ref="K61:L61"/>
    <x:mergeCell ref="K62:L62"/>
    <x:mergeCell ref="K63:L63"/>
    <x:mergeCell ref="K64:L64"/>
    <x:mergeCell ref="K65:L65"/>
    <x:mergeCell ref="K66:L66"/>
    <x:mergeCell ref="K67:L67"/>
    <x:mergeCell ref="K68:L68"/>
    <x:mergeCell ref="K69:L69"/>
    <x:mergeCell ref="K70:L70"/>
    <x:mergeCell ref="K71:L71"/>
    <x:mergeCell ref="K72:L72"/>
    <x:mergeCell ref="K73:L73"/>
    <x:mergeCell ref="K74:L74"/>
    <x:mergeCell ref="K75:L75"/>
    <x:mergeCell ref="K76:L76"/>
    <x:mergeCell ref="K77:L77"/>
    <x:mergeCell ref="K78:L78"/>
    <x:mergeCell ref="K79:L79"/>
    <x:mergeCell ref="K80:L80"/>
    <x:mergeCell ref="K81:L81"/>
    <x:mergeCell ref="K82:L82"/>
    <x:mergeCell ref="K83:L83"/>
    <x:mergeCell ref="K84:L84"/>
    <x:mergeCell ref="K85:L85"/>
    <x:mergeCell ref="K86:L86"/>
    <x:mergeCell ref="K87:L87"/>
    <x:mergeCell ref="K88:L88"/>
    <x:mergeCell ref="K89:L89"/>
    <x:mergeCell ref="K90:L90"/>
    <x:mergeCell ref="K91:L91"/>
    <x:mergeCell ref="K92:L92"/>
    <x:mergeCell ref="K93:L93"/>
    <x:mergeCell ref="K94:L94"/>
    <x:mergeCell ref="K95:L95"/>
    <x:mergeCell ref="K96:L96"/>
    <x:mergeCell ref="K97:L97"/>
    <x:mergeCell ref="K98:L98"/>
    <x:mergeCell ref="K99:L99"/>
    <x:mergeCell ref="K100:L100"/>
    <x:mergeCell ref="K101:L101"/>
    <x:mergeCell ref="K102:L102"/>
    <x:mergeCell ref="K103:L103"/>
    <x:mergeCell ref="K104:L104"/>
    <x:mergeCell ref="K105:L105"/>
    <x:mergeCell ref="K106:L106"/>
    <x:mergeCell ref="K107:L107"/>
    <x:mergeCell ref="K108:L108"/>
    <x:mergeCell ref="K109:L109"/>
    <x:mergeCell ref="K110:L110"/>
    <x:mergeCell ref="K111:L111"/>
    <x:mergeCell ref="K112:L112"/>
    <x:mergeCell ref="K113:L113"/>
    <x:mergeCell ref="K114:L114"/>
    <x:mergeCell ref="K115:L115"/>
    <x:mergeCell ref="K116:L116"/>
    <x:mergeCell ref="K117:L117"/>
    <x:mergeCell ref="K118:L118"/>
    <x:mergeCell ref="K119:L119"/>
    <x:mergeCell ref="K120:L120"/>
    <x:mergeCell ref="K121:L121"/>
    <x:mergeCell ref="K122:L122"/>
    <x:mergeCell ref="K123:L123"/>
    <x:mergeCell ref="K124:L124"/>
    <x:mergeCell ref="K125:L125"/>
    <x:mergeCell ref="K126:L126"/>
    <x:mergeCell ref="K127:L127"/>
    <x:mergeCell ref="K128:L128"/>
    <x:mergeCell ref="K129:L129"/>
    <x:mergeCell ref="K130:L130"/>
    <x:mergeCell ref="K131:L131"/>
    <x:mergeCell ref="K132:L132"/>
    <x:mergeCell ref="K133:L133"/>
    <x:mergeCell ref="K134:L134"/>
    <x:mergeCell ref="K135:L135"/>
    <x:mergeCell ref="K136:L136"/>
    <x:mergeCell ref="K137:L137"/>
    <x:mergeCell ref="K138:L138"/>
    <x:mergeCell ref="K139:L139"/>
    <x:mergeCell ref="K140:L140"/>
    <x:mergeCell ref="K141:L141"/>
    <x:mergeCell ref="K142:L142"/>
    <x:mergeCell ref="K143:L143"/>
    <x:mergeCell ref="K144:L144"/>
    <x:mergeCell ref="K145:L145"/>
    <x:mergeCell ref="K146:L146"/>
    <x:mergeCell ref="K147:L147"/>
    <x:mergeCell ref="K148:L148"/>
    <x:mergeCell ref="K149:L149"/>
    <x:mergeCell ref="K150:L150"/>
    <x:mergeCell ref="K151:L151"/>
    <x:mergeCell ref="K152:L152"/>
    <x:mergeCell ref="K153:L153"/>
    <x:mergeCell ref="K154:L154"/>
    <x:mergeCell ref="K155:L155"/>
    <x:mergeCell ref="K156:L156"/>
    <x:mergeCell ref="K157:L157"/>
    <x:mergeCell ref="K158:L158"/>
    <x:mergeCell ref="K159:L159"/>
    <x:mergeCell ref="K160:L160"/>
    <x:mergeCell ref="K161:L161"/>
    <x:mergeCell ref="K162:L162"/>
    <x:mergeCell ref="K163:L163"/>
    <x:mergeCell ref="K164:L164"/>
    <x:mergeCell ref="K165:L165"/>
    <x:mergeCell ref="K166:L166"/>
    <x:mergeCell ref="K167:L167"/>
    <x:mergeCell ref="K168:L168"/>
    <x:mergeCell ref="K169:L169"/>
    <x:mergeCell ref="K170:L170"/>
    <x:mergeCell ref="K171:L171"/>
    <x:mergeCell ref="K172:L172"/>
    <x:mergeCell ref="K173:L173"/>
    <x:mergeCell ref="K174:L174"/>
    <x:mergeCell ref="K175:L175"/>
    <x:mergeCell ref="K176:L176"/>
    <x:mergeCell ref="K177:L177"/>
    <x:mergeCell ref="K178:L178"/>
    <x:mergeCell ref="K179:L179"/>
    <x:mergeCell ref="K180:L180"/>
    <x:mergeCell ref="K181:L181"/>
    <x:mergeCell ref="K182:L182"/>
    <x:mergeCell ref="K183:L183"/>
    <x:mergeCell ref="K184:L184"/>
    <x:mergeCell ref="K185:L185"/>
    <x:mergeCell ref="K186:L186"/>
    <x:mergeCell ref="K187:L187"/>
    <x:mergeCell ref="K188:L188"/>
    <x:mergeCell ref="K189:L189"/>
    <x:mergeCell ref="K190:L190"/>
    <x:mergeCell ref="K191:L191"/>
    <x:mergeCell ref="K192:L192"/>
    <x:mergeCell ref="K193:L193"/>
    <x:mergeCell ref="K194:L194"/>
    <x:mergeCell ref="K195:L195"/>
    <x:mergeCell ref="K196:L196"/>
    <x:mergeCell ref="K197:L197"/>
    <x:mergeCell ref="K198:L198"/>
    <x:mergeCell ref="K199:L199"/>
    <x:mergeCell ref="K200:L200"/>
    <x:mergeCell ref="K201:L201"/>
    <x:mergeCell ref="K202:L202"/>
    <x:mergeCell ref="K203:L203"/>
    <x:mergeCell ref="K204:L204"/>
    <x:mergeCell ref="K205:L205"/>
    <x:mergeCell ref="K206:L206"/>
    <x:mergeCell ref="K207:L207"/>
    <x:mergeCell ref="K208:L208"/>
    <x:mergeCell ref="K209:L209"/>
    <x:mergeCell ref="K210:L210"/>
    <x:mergeCell ref="K211:L211"/>
    <x:mergeCell ref="K212:L212"/>
    <x:mergeCell ref="K213:L213"/>
    <x:mergeCell ref="K214:L214"/>
    <x:mergeCell ref="K215:L215"/>
    <x:mergeCell ref="K216:L216"/>
    <x:mergeCell ref="K217:L217"/>
    <x:mergeCell ref="K218:L218"/>
    <x:mergeCell ref="K219:L219"/>
    <x:mergeCell ref="K220:L220"/>
    <x:mergeCell ref="K221:L221"/>
    <x:mergeCell ref="K222:L222"/>
    <x:mergeCell ref="K223:L223"/>
    <x:mergeCell ref="K224:L224"/>
    <x:mergeCell ref="K225:L225"/>
    <x:mergeCell ref="K226:L226"/>
    <x:mergeCell ref="K227:L227"/>
    <x:mergeCell ref="K228:L228"/>
    <x:mergeCell ref="K229:L229"/>
    <x:mergeCell ref="K230:L230"/>
    <x:mergeCell ref="K231:L231"/>
    <x:mergeCell ref="K232:L232"/>
    <x:mergeCell ref="K233:L233"/>
    <x:mergeCell ref="K234:L234"/>
    <x:mergeCell ref="K235:L235"/>
    <x:mergeCell ref="K236:L236"/>
    <x:mergeCell ref="K237:L237"/>
    <x:mergeCell ref="K238:L238"/>
    <x:mergeCell ref="K239:L239"/>
    <x:mergeCell ref="K240:L240"/>
    <x:mergeCell ref="K241:L241"/>
    <x:mergeCell ref="K242:L242"/>
    <x:mergeCell ref="K243:L243"/>
    <x:mergeCell ref="K244:L244"/>
    <x:mergeCell ref="K245:L245"/>
    <x:mergeCell ref="K246:L246"/>
    <x:mergeCell ref="K247:L247"/>
    <x:mergeCell ref="K248:L248"/>
    <x:mergeCell ref="K249:L249"/>
    <x:mergeCell ref="K250:L250"/>
    <x:mergeCell ref="K251:L251"/>
    <x:mergeCell ref="K252:L252"/>
    <x:mergeCell ref="K253:L253"/>
    <x:mergeCell ref="K254:L254"/>
    <x:mergeCell ref="K255:L255"/>
    <x:mergeCell ref="K256:L256"/>
    <x:mergeCell ref="K257:L257"/>
    <x:mergeCell ref="K258:L258"/>
    <x:mergeCell ref="K259:L259"/>
    <x:mergeCell ref="K260:L260"/>
    <x:mergeCell ref="K261:L261"/>
    <x:mergeCell ref="K262:L262"/>
    <x:mergeCell ref="K263:L263"/>
    <x:mergeCell ref="K264:L264"/>
    <x:mergeCell ref="K265:L265"/>
    <x:mergeCell ref="K266:L266"/>
    <x:mergeCell ref="K267:L267"/>
    <x:mergeCell ref="K268:L268"/>
    <x:mergeCell ref="K269:L269"/>
    <x:mergeCell ref="K270:L270"/>
    <x:mergeCell ref="K271:L271"/>
    <x:mergeCell ref="K272:L272"/>
    <x:mergeCell ref="K273:L273"/>
    <x:mergeCell ref="K274:L274"/>
    <x:mergeCell ref="K275:L275"/>
    <x:mergeCell ref="K276:L276"/>
    <x:mergeCell ref="K277:L277"/>
    <x:mergeCell ref="K278:L278"/>
    <x:mergeCell ref="K279:L279"/>
    <x:mergeCell ref="K280:L280"/>
    <x:mergeCell ref="K281:L281"/>
    <x:mergeCell ref="K282:L282"/>
    <x:mergeCell ref="K283:L283"/>
    <x:mergeCell ref="K284:L284"/>
    <x:mergeCell ref="K285:L285"/>
    <x:mergeCell ref="K286:L286"/>
    <x:mergeCell ref="K287:L287"/>
    <x:mergeCell ref="K288:L288"/>
    <x:mergeCell ref="K289:L289"/>
    <x:mergeCell ref="K290:L290"/>
    <x:mergeCell ref="K291:L291"/>
    <x:mergeCell ref="K292:L292"/>
    <x:mergeCell ref="K293:L293"/>
    <x:mergeCell ref="K294:L294"/>
    <x:mergeCell ref="K295:L295"/>
    <x:mergeCell ref="K296:L296"/>
    <x:mergeCell ref="K297:L297"/>
    <x:mergeCell ref="K298:L298"/>
    <x:mergeCell ref="K299:L299"/>
    <x:mergeCell ref="K300:L300"/>
    <x:mergeCell ref="K301:L301"/>
    <x:mergeCell ref="K302:L302"/>
    <x:mergeCell ref="K303:L303"/>
    <x:mergeCell ref="K304:L304"/>
    <x:mergeCell ref="K305:L305"/>
    <x:mergeCell ref="K306:L306"/>
    <x:mergeCell ref="K316:L316"/>
    <x:mergeCell ref="K317:L317"/>
    <x:mergeCell ref="K318:L318"/>
    <x:mergeCell ref="K319:L319"/>
    <x:mergeCell ref="P339:Q339"/>
    <x:mergeCell ref="K307:L307"/>
    <x:mergeCell ref="K308:L308"/>
    <x:mergeCell ref="K309:L309"/>
    <x:mergeCell ref="K310:L310"/>
    <x:mergeCell ref="K311:L311"/>
    <x:mergeCell ref="K312:L312"/>
    <x:mergeCell ref="K313:L313"/>
    <x:mergeCell ref="K314:L314"/>
    <x:mergeCell ref="K315:L315"/>
  </x:mergeCells>
  <x:conditionalFormatting sqref="K20:K319">
    <x:cfRule type="containsText" dxfId="5" priority="2" operator="containsText" text="FAILED">
      <x:formula>NOT(ISERROR(SEARCH("FAILED",K20)))</x:formula>
    </x:cfRule>
    <x:cfRule type="containsText" dxfId="4" priority="3" operator="containsText" text="FAILED">
      <x:formula>NOT(ISERROR(SEARCH("FAILED",K20)))</x:formula>
    </x:cfRule>
  </x:conditionalFormatting>
  <x:dataValidations count="1">
    <x:dataValidation type="list" allowBlank="1" showErrorMessage="1" sqref="B13">
      <x:formula1>$V$5:$V$8</x:formula1>
      <x:formula2>0</x:formula2>
    </x:dataValidation>
  </x:dataValidations>
  <x:pageMargins left="0.7" right="0.7" top="0.75" bottom="0.75" header="0.3" footer="0.3"/>
  <x:drawing xmlns:r="http://schemas.openxmlformats.org/officeDocument/2006/relationships" r:id="R9a769820254641bf"/>
</x:worksheet>
</file>

<file path=xl/worksheets/sheet9.xml><?xml version="1.0" encoding="utf-8"?>
<x:worksheet xmlns:x="http://schemas.openxmlformats.org/spreadsheetml/2006/main">
  <x:sheetPr>
    <x:tabColor rgb="FFFFC000"/>
  </x:sheetPr>
  <x:sheetViews>
    <x:sheetView showGridLines="0" workbookViewId="0"/>
  </x:sheetViews>
  <x:sheetFormatPr defaultRowHeight="15.75"/>
  <x:cols>
    <x:col min="1" max="1" width="20.7109375" style="118" customWidth="1"/>
    <x:col min="2" max="2" width="62.85546875" style="118" customWidth="1"/>
    <x:col min="3" max="5" width="18.42578125" style="118" customWidth="1"/>
    <x:col min="6" max="6" width="20.140625" style="118" customWidth="1"/>
    <x:col min="7" max="7" width="11.7109375" style="118" customWidth="1"/>
    <x:col min="8" max="8" width="12.7109375" style="118" customWidth="1"/>
    <x:col min="9" max="9" width="5.7109375" style="118" customWidth="1"/>
    <x:col min="10" max="11" width="7.28515625" style="118" hidden="1" customWidth="1"/>
    <x:col min="12" max="12" width="9" style="118" hidden="1" customWidth="1"/>
    <x:col min="13" max="13" width="7.140625" style="118" hidden="1" customWidth="1"/>
    <x:col min="14" max="42" width="6.28515625" style="118" hidden="1" customWidth="1"/>
    <x:col min="43" max="16384" width="12.28515625" style="118" hidden="1" customWidth="0"/>
  </x:cols>
  <x:sheetData>
    <x:row r="1" ht="42" customHeight="1">
      <x:c r="A1" s="119"/>
      <x:c r="B1" s="240" t="s">
        <x:v>248</x:v>
      </x:c>
      <x:c r="C1" s="240"/>
      <x:c r="D1" s="240"/>
      <x:c r="E1" s="240"/>
      <x:c r="F1" s="240"/>
      <x:c r="G1" s="240"/>
      <x:c r="H1" s="240"/>
      <x:c r="I1" s="240"/>
      <x:c r="K1" s="120"/>
      <x:c r="M1" s="120"/>
      <x:c r="N1" s="121"/>
      <x:c r="P1" s="120"/>
      <x:c r="R1" s="120"/>
      <x:c r="S1" s="121"/>
      <x:c r="T1" s="122"/>
      <x:c r="U1" s="120"/>
      <x:c r="V1" s="122"/>
      <x:c r="W1" s="120"/>
      <x:c r="X1" s="121"/>
      <x:c r="Y1" s="122"/>
      <x:c r="Z1" s="120"/>
      <x:c r="AA1" s="122"/>
      <x:c r="AB1" s="120"/>
      <x:c r="AC1" s="121"/>
      <x:c r="AD1" s="122"/>
      <x:c r="AE1" s="120"/>
      <x:c r="AF1" s="122"/>
      <x:c r="AG1" s="120"/>
      <x:c r="AH1" s="121"/>
      <x:c r="AI1" s="122"/>
      <x:c r="AJ1" s="120"/>
      <x:c r="AK1" s="122"/>
      <x:c r="AL1" s="120"/>
      <x:c r="AM1" s="121"/>
      <x:c r="AN1" s="122"/>
      <x:c r="AO1" s="120"/>
      <x:c r="AP1" s="122"/>
    </x:row>
    <x:row r="2" ht="15.75" customHeight="1">
      <x:c r="A2" s="119"/>
      <x:c r="B2" s="241" t="s">
        <x:v>249</x:v>
      </x:c>
      <x:c r="C2" s="241"/>
      <x:c r="D2" s="241"/>
      <x:c r="E2" s="241"/>
      <x:c r="F2" s="241"/>
      <x:c r="G2" s="241"/>
      <x:c r="H2" s="241"/>
      <x:c r="I2" s="241"/>
      <x:c r="K2" s="120"/>
      <x:c r="M2" s="123"/>
      <x:c r="N2" s="124"/>
      <x:c r="O2" s="125"/>
      <x:c r="P2" s="123"/>
      <x:c r="Q2" s="125"/>
      <x:c r="R2" s="123"/>
      <x:c r="S2" s="124"/>
      <x:c r="T2" s="126"/>
      <x:c r="U2" s="123"/>
      <x:c r="V2" s="126"/>
      <x:c r="W2" s="123"/>
      <x:c r="X2" s="124"/>
      <x:c r="Y2" s="122"/>
      <x:c r="Z2" s="120"/>
      <x:c r="AA2" s="122"/>
      <x:c r="AB2" s="120"/>
      <x:c r="AC2" s="121"/>
      <x:c r="AD2" s="122"/>
      <x:c r="AE2" s="120"/>
      <x:c r="AF2" s="122"/>
      <x:c r="AG2" s="120"/>
      <x:c r="AH2" s="121"/>
      <x:c r="AI2" s="122"/>
      <x:c r="AJ2" s="120"/>
      <x:c r="AK2" s="122"/>
      <x:c r="AL2" s="120"/>
      <x:c r="AM2" s="121"/>
      <x:c r="AN2" s="122"/>
      <x:c r="AO2" s="120"/>
      <x:c r="AP2" s="122"/>
    </x:row>
    <x:row r="3" s="134" customFormat="1" ht="4.5" customHeight="1">
      <x:c r="A3" s="127"/>
      <x:c r="B3" s="127"/>
      <x:c r="C3" s="127"/>
      <x:c r="D3" s="127"/>
      <x:c r="E3" s="127"/>
      <x:c r="F3" s="127"/>
      <x:c r="G3" s="127"/>
      <x:c r="H3" s="127"/>
      <x:c r="I3" s="127"/>
      <x:c r="J3" s="128"/>
      <x:c r="K3" s="128"/>
      <x:c r="L3" s="128"/>
      <x:c r="M3" s="128"/>
      <x:c r="N3" s="129"/>
      <x:c r="O3" s="130"/>
      <x:c r="P3" s="130"/>
      <x:c r="Q3" s="130"/>
      <x:c r="R3" s="130"/>
      <x:c r="S3" s="131"/>
      <x:c r="T3" s="132"/>
      <x:c r="U3" s="130"/>
      <x:c r="V3" s="132"/>
      <x:c r="W3" s="130"/>
      <x:c r="X3" s="131"/>
      <x:c r="Y3" s="133"/>
      <x:c r="AA3" s="133"/>
      <x:c r="AC3" s="135"/>
      <x:c r="AD3" s="133"/>
      <x:c r="AF3" s="133"/>
      <x:c r="AH3" s="135"/>
      <x:c r="AI3" s="133"/>
      <x:c r="AK3" s="133"/>
      <x:c r="AM3" s="135"/>
      <x:c r="AN3" s="133"/>
      <x:c r="AP3" s="133"/>
    </x:row>
    <x:row r="4" ht="33.75" customHeight="1">
      <x:c r="A4" s="119"/>
      <x:c r="B4" s="256" t="s">
        <x:v>290</x:v>
      </x:c>
      <x:c r="C4" s="256"/>
      <x:c r="D4" s="256"/>
      <x:c r="E4" s="256"/>
      <x:c r="F4" s="256"/>
      <x:c r="G4" s="194" t="s">
        <x:v>251</x:v>
      </x:c>
      <x:c r="H4" s="195"/>
      <x:c r="I4" s="196"/>
      <x:c r="J4" s="125"/>
      <x:c r="K4" s="123"/>
      <x:c r="L4" s="125"/>
      <x:c r="M4" s="123"/>
      <x:c r="N4" s="124"/>
      <x:c r="O4" s="125"/>
      <x:c r="P4" s="123"/>
      <x:c r="Q4" s="125"/>
      <x:c r="R4" s="123"/>
      <x:c r="S4" s="125"/>
      <x:c r="T4" s="125"/>
      <x:c r="U4" s="125"/>
      <x:c r="V4" s="125"/>
      <x:c r="W4" s="125"/>
      <x:c r="X4" s="125"/>
      <x:c r="Y4" s="126"/>
      <x:c r="Z4" s="120"/>
      <x:c r="AA4" s="122"/>
      <x:c r="AB4" s="120"/>
      <x:c r="AC4" s="121"/>
      <x:c r="AD4" s="122"/>
      <x:c r="AE4" s="120"/>
      <x:c r="AF4" s="122"/>
      <x:c r="AG4" s="120"/>
      <x:c r="AH4" s="121"/>
      <x:c r="AI4" s="122"/>
      <x:c r="AJ4" s="120"/>
      <x:c r="AK4" s="122"/>
      <x:c r="AL4" s="120"/>
      <x:c r="AM4" s="121"/>
      <x:c r="AN4" s="122"/>
      <x:c r="AO4" s="120"/>
      <x:c r="AP4" s="122"/>
    </x:row>
    <x:row r="5" ht="15.75" customHeight="1">
      <x:c r="A5" s="136" t="s">
        <x:v>252</x:v>
      </x:c>
      <x:c r="B5" s="137"/>
      <x:c r="C5" s="119"/>
      <x:c r="D5" s="119"/>
      <x:c r="E5" s="119"/>
      <x:c r="F5" s="119"/>
      <x:c r="G5" s="138" t="s">
        <x:v>16</x:v>
      </x:c>
      <x:c r="H5" s="139"/>
      <x:c r="I5" s="140"/>
      <x:c r="J5" s="141" t="s">
        <x:v>253</x:v>
      </x:c>
      <x:c r="K5" s="142"/>
      <x:c r="L5" s="141" t="s">
        <x:v>254</x:v>
      </x:c>
      <x:c r="M5" s="142"/>
      <x:c r="N5" s="141"/>
      <x:c r="O5" s="141"/>
      <x:c r="P5" s="142"/>
      <x:c r="Q5" s="124"/>
      <x:c r="R5" s="120"/>
      <x:c r="S5" s="143" t="s">
        <x:v>133</x:v>
      </x:c>
      <x:c r="T5" s="144">
        <x:v>0.1</x:v>
      </x:c>
      <x:c r="U5" s="144" t="s">
        <x:v>255</x:v>
      </x:c>
      <x:c r="V5" s="144" t="s">
        <x:v>256</x:v>
      </x:c>
      <x:c r="W5" s="125"/>
      <x:c r="X5" s="125"/>
      <x:c r="Y5" s="126"/>
      <x:c r="Z5" s="145"/>
      <x:c r="AA5" s="122"/>
      <x:c r="AB5" s="120"/>
      <x:c r="AC5" s="121"/>
      <x:c r="AD5" s="122"/>
      <x:c r="AE5" s="120"/>
      <x:c r="AF5" s="122"/>
      <x:c r="AG5" s="120"/>
      <x:c r="AH5" s="121"/>
      <x:c r="AI5" s="122"/>
      <x:c r="AJ5" s="120"/>
      <x:c r="AK5" s="122"/>
      <x:c r="AL5" s="120"/>
      <x:c r="AM5" s="121"/>
      <x:c r="AN5" s="122"/>
      <x:c r="AO5" s="120"/>
      <x:c r="AP5" s="122"/>
    </x:row>
    <x:row r="6" ht="15.75" customHeight="1">
      <x:c r="A6" s="136" t="s">
        <x:v>90</x:v>
      </x:c>
      <x:c r="B6" s="146"/>
      <x:c r="C6" s="119"/>
      <x:c r="D6" s="244" t="s">
        <x:v>291</x:v>
      </x:c>
      <x:c r="E6" s="244"/>
      <x:c r="F6" s="197"/>
      <x:c r="G6" s="138" t="s">
        <x:v>17</x:v>
      </x:c>
      <x:c r="H6" s="139"/>
      <x:c r="I6" s="140"/>
      <x:c r="J6" s="147">
        <x:v>0</x:v>
      </x:c>
      <x:c r="K6" s="148"/>
      <x:c r="L6" s="143">
        <x:v>2</x:v>
      </x:c>
      <x:c r="M6" s="149" t="s">
        <x:v>258</x:v>
      </x:c>
      <x:c r="N6" s="143"/>
      <x:c r="O6" s="143"/>
      <x:c r="P6" s="149"/>
      <x:c r="Q6" s="124"/>
      <x:c r="R6" s="120"/>
      <x:c r="S6" s="143" t="s">
        <x:v>134</x:v>
      </x:c>
      <x:c r="T6" s="125">
        <x:v>0.2</x:v>
      </x:c>
      <x:c r="U6" s="125">
        <x:v>80</x:v>
      </x:c>
      <x:c r="V6" s="125">
        <x:v>60</x:v>
      </x:c>
      <x:c r="W6" s="125"/>
      <x:c r="X6" s="125"/>
      <x:c r="Y6" s="126"/>
      <x:c r="Z6" s="145"/>
      <x:c r="AA6" s="122"/>
      <x:c r="AB6" s="120"/>
      <x:c r="AC6" s="121"/>
      <x:c r="AD6" s="122"/>
      <x:c r="AE6" s="120"/>
      <x:c r="AF6" s="122"/>
      <x:c r="AG6" s="120"/>
      <x:c r="AH6" s="121"/>
      <x:c r="AI6" s="122"/>
      <x:c r="AJ6" s="120"/>
      <x:c r="AK6" s="122"/>
      <x:c r="AL6" s="120"/>
      <x:c r="AM6" s="121"/>
      <x:c r="AN6" s="122"/>
      <x:c r="AO6" s="120"/>
      <x:c r="AP6" s="122"/>
    </x:row>
    <x:row r="7" ht="16.5" customHeight="1">
      <x:c r="A7" s="136" t="s">
        <x:v>88</x:v>
      </x:c>
      <x:c r="B7" s="146"/>
      <x:c r="C7" s="119"/>
      <x:c r="D7" s="245"/>
      <x:c r="E7" s="257"/>
      <x:c r="F7" s="119"/>
      <x:c r="G7" s="138" t="s">
        <x:v>18</x:v>
      </x:c>
      <x:c r="H7" s="139"/>
      <x:c r="I7" s="140"/>
      <x:c r="J7" s="147">
        <x:v>2</x:v>
      </x:c>
      <x:c r="K7" s="148"/>
      <x:c r="L7" s="143">
        <x:v>3</x:v>
      </x:c>
      <x:c r="M7" s="150" t="s">
        <x:v>259</x:v>
      </x:c>
      <x:c r="N7" s="151"/>
      <x:c r="O7" s="151"/>
      <x:c r="P7" s="150"/>
      <x:c r="Q7" s="124"/>
      <x:c r="R7" s="120"/>
      <x:c r="S7" s="143" t="s">
        <x:v>135</x:v>
      </x:c>
      <x:c r="T7" s="125">
        <x:v>0.3</x:v>
      </x:c>
      <x:c r="U7" s="125">
        <x:v>20</x:v>
      </x:c>
      <x:c r="V7" s="125">
        <x:v>40</x:v>
      </x:c>
      <x:c r="W7" s="125"/>
      <x:c r="X7" s="125"/>
      <x:c r="Y7" s="126"/>
      <x:c r="Z7" s="145"/>
      <x:c r="AA7" s="122"/>
      <x:c r="AB7" s="120"/>
      <x:c r="AC7" s="121"/>
      <x:c r="AD7" s="122"/>
      <x:c r="AE7" s="120"/>
      <x:c r="AF7" s="122"/>
      <x:c r="AG7" s="120"/>
      <x:c r="AH7" s="121"/>
      <x:c r="AI7" s="122"/>
      <x:c r="AJ7" s="120"/>
      <x:c r="AK7" s="122"/>
      <x:c r="AL7" s="120"/>
      <x:c r="AM7" s="121"/>
      <x:c r="AN7" s="122"/>
      <x:c r="AO7" s="120"/>
      <x:c r="AP7" s="122"/>
    </x:row>
    <x:row r="8" ht="16.5" customHeight="1">
      <x:c r="A8" s="136" t="s">
        <x:v>260</x:v>
      </x:c>
      <x:c r="B8" s="146"/>
      <x:c r="C8" s="119"/>
      <x:c r="D8" s="245"/>
      <x:c r="E8" s="245"/>
      <x:c r="F8" s="198"/>
      <x:c r="G8" s="138" t="s">
        <x:v>19</x:v>
      </x:c>
      <x:c r="H8" s="139"/>
      <x:c r="I8" s="140" t="str">
        <x:f t="shared" ref="I8:I14" si="0">IF(H8&lt;&gt;"",IFERROR(IF(H8&gt;=0.6,"Y","N"),""),"")</x:f>
      </x:c>
      <x:c r="J8" s="147">
        <x:v>3</x:v>
      </x:c>
      <x:c r="K8" s="148"/>
      <x:c r="L8" s="143"/>
      <x:c r="M8" s="149" t="s">
        <x:v>261</x:v>
      </x:c>
      <x:c r="N8" s="143"/>
      <x:c r="O8" s="143"/>
      <x:c r="P8" s="149"/>
      <x:c r="Q8" s="124"/>
      <x:c r="R8" s="120"/>
      <x:c r="S8" s="125"/>
      <x:c r="T8" s="125">
        <x:v>0.4</x:v>
      </x:c>
      <x:c r="U8" s="125"/>
      <x:c r="V8" s="125"/>
      <x:c r="W8" s="125"/>
      <x:c r="X8" s="125"/>
      <x:c r="Y8" s="126"/>
      <x:c r="Z8" s="145"/>
      <x:c r="AA8" s="122"/>
      <x:c r="AB8" s="120"/>
      <x:c r="AC8" s="121"/>
      <x:c r="AD8" s="122"/>
      <x:c r="AE8" s="120"/>
      <x:c r="AF8" s="122"/>
      <x:c r="AG8" s="120"/>
      <x:c r="AH8" s="121"/>
      <x:c r="AI8" s="122"/>
      <x:c r="AJ8" s="120"/>
      <x:c r="AK8" s="122"/>
      <x:c r="AL8" s="120"/>
      <x:c r="AM8" s="121"/>
      <x:c r="AN8" s="122"/>
      <x:c r="AO8" s="120"/>
      <x:c r="AP8" s="122"/>
    </x:row>
    <x:row r="9" ht="16.5" customHeight="1">
      <x:c r="A9" s="136" t="s">
        <x:v>92</x:v>
      </x:c>
      <x:c r="B9" s="146"/>
      <x:c r="C9" s="119"/>
      <x:c r="D9" s="245"/>
      <x:c r="E9" s="245"/>
      <x:c r="F9" s="198"/>
      <x:c r="G9" s="138" t="s">
        <x:v>20</x:v>
      </x:c>
      <x:c r="H9" s="139"/>
      <x:c r="I9" s="140" t="str">
        <x:f t="shared" si="0"/>
      </x:c>
      <x:c r="K9" s="120"/>
      <x:c r="M9" s="123"/>
      <x:c r="N9" s="124"/>
      <x:c r="O9" s="125"/>
      <x:c r="P9" s="123"/>
      <x:c r="Q9" s="125"/>
      <x:c r="R9" s="123"/>
      <x:c r="S9" s="125"/>
      <x:c r="T9" s="125">
        <x:v>0.5</x:v>
      </x:c>
      <x:c r="U9" s="125"/>
      <x:c r="V9" s="125"/>
      <x:c r="W9" s="125"/>
      <x:c r="X9" s="125"/>
      <x:c r="Y9" s="126"/>
      <x:c r="Z9" s="120"/>
      <x:c r="AA9" s="122"/>
      <x:c r="AB9" s="120"/>
      <x:c r="AC9" s="121"/>
      <x:c r="AD9" s="122"/>
      <x:c r="AE9" s="120"/>
      <x:c r="AF9" s="122"/>
      <x:c r="AG9" s="120"/>
      <x:c r="AH9" s="121"/>
      <x:c r="AI9" s="122"/>
      <x:c r="AJ9" s="120"/>
      <x:c r="AK9" s="122"/>
      <x:c r="AL9" s="120"/>
      <x:c r="AM9" s="121"/>
      <x:c r="AN9" s="122"/>
      <x:c r="AO9" s="120"/>
      <x:c r="AP9" s="122"/>
    </x:row>
    <x:row r="10" ht="15.75" customHeight="1">
      <x:c r="A10" s="136" t="s">
        <x:v>262</x:v>
      </x:c>
      <x:c r="B10" s="152"/>
      <x:c r="C10" s="119"/>
      <x:c r="D10" s="119"/>
      <x:c r="E10" s="119"/>
      <x:c r="F10" s="119"/>
      <x:c r="G10" s="138" t="s">
        <x:v>117</x:v>
      </x:c>
      <x:c r="H10" s="139"/>
      <x:c r="I10" s="140" t="str">
        <x:f t="shared" si="0"/>
      </x:c>
      <x:c r="K10" s="120"/>
      <x:c r="M10" s="120"/>
      <x:c r="N10" s="121"/>
      <x:c r="P10" s="120"/>
      <x:c r="R10" s="120"/>
      <x:c r="S10" s="125"/>
      <x:c r="T10" s="125">
        <x:v>0.6</x:v>
      </x:c>
      <x:c r="U10" s="125"/>
      <x:c r="V10" s="125"/>
      <x:c r="W10" s="125"/>
      <x:c r="X10" s="125"/>
      <x:c r="Y10" s="126"/>
      <x:c r="Z10" s="120"/>
      <x:c r="AA10" s="122"/>
      <x:c r="AB10" s="120"/>
      <x:c r="AC10" s="121"/>
      <x:c r="AD10" s="122"/>
      <x:c r="AE10" s="120"/>
      <x:c r="AF10" s="122"/>
      <x:c r="AG10" s="120"/>
      <x:c r="AH10" s="121"/>
      <x:c r="AI10" s="122"/>
      <x:c r="AJ10" s="120"/>
      <x:c r="AK10" s="122"/>
      <x:c r="AL10" s="120"/>
      <x:c r="AM10" s="121"/>
      <x:c r="AN10" s="122"/>
      <x:c r="AO10" s="120"/>
      <x:c r="AP10" s="122"/>
    </x:row>
    <x:row r="11" ht="15.75" customHeight="1">
      <x:c r="A11" s="136" t="s">
        <x:v>232</x:v>
      </x:c>
      <x:c r="B11" s="146"/>
      <x:c r="C11" s="119"/>
      <x:c r="D11" s="119"/>
      <x:c r="E11" s="119"/>
      <x:c r="F11" s="119"/>
      <x:c r="G11" s="138" t="s">
        <x:v>118</x:v>
      </x:c>
      <x:c r="H11" s="139"/>
      <x:c r="I11" s="140" t="str">
        <x:f t="shared" si="0"/>
      </x:c>
      <x:c r="K11" s="120"/>
      <x:c r="M11" s="120"/>
      <x:c r="N11" s="121"/>
      <x:c r="P11" s="120"/>
      <x:c r="R11" s="120"/>
      <x:c r="S11" s="125"/>
      <x:c r="T11" s="125"/>
      <x:c r="U11" s="125"/>
      <x:c r="V11" s="125"/>
      <x:c r="W11" s="125"/>
      <x:c r="X11" s="125"/>
      <x:c r="Y11" s="126"/>
      <x:c r="Z11" s="120"/>
      <x:c r="AA11" s="122"/>
      <x:c r="AB11" s="120"/>
      <x:c r="AC11" s="121"/>
      <x:c r="AD11" s="122"/>
      <x:c r="AE11" s="120"/>
      <x:c r="AF11" s="122"/>
      <x:c r="AG11" s="120"/>
      <x:c r="AH11" s="121"/>
      <x:c r="AI11" s="122"/>
      <x:c r="AJ11" s="120"/>
      <x:c r="AK11" s="122"/>
      <x:c r="AL11" s="120"/>
      <x:c r="AM11" s="121"/>
      <x:c r="AN11" s="122"/>
      <x:c r="AO11" s="120"/>
      <x:c r="AP11" s="122"/>
    </x:row>
    <x:row r="12" ht="15.75" customHeight="1">
      <x:c r="A12" s="136" t="s">
        <x:v>264</x:v>
      </x:c>
      <x:c r="B12" s="146"/>
      <x:c r="C12" s="119"/>
      <x:c r="D12" s="119"/>
      <x:c r="E12" s="119"/>
      <x:c r="F12" s="119"/>
      <x:c r="G12" s="138" t="s">
        <x:v>119</x:v>
      </x:c>
      <x:c r="H12" s="139"/>
      <x:c r="I12" s="140" t="str">
        <x:f t="shared" si="0"/>
      </x:c>
      <x:c r="K12" s="120"/>
      <x:c r="M12" s="120"/>
      <x:c r="N12" s="121"/>
      <x:c r="P12" s="120"/>
      <x:c r="R12" s="120"/>
      <x:c r="S12" s="121"/>
      <x:c r="T12" s="122"/>
      <x:c r="U12" s="120"/>
      <x:c r="V12" s="122"/>
      <x:c r="W12" s="120"/>
      <x:c r="X12" s="121"/>
      <x:c r="Y12" s="122"/>
      <x:c r="Z12" s="120"/>
      <x:c r="AA12" s="122"/>
      <x:c r="AB12" s="120"/>
      <x:c r="AC12" s="121"/>
      <x:c r="AD12" s="122"/>
      <x:c r="AE12" s="120"/>
      <x:c r="AF12" s="122"/>
      <x:c r="AG12" s="120"/>
      <x:c r="AH12" s="121"/>
      <x:c r="AI12" s="122"/>
      <x:c r="AJ12" s="120"/>
      <x:c r="AK12" s="122"/>
      <x:c r="AL12" s="120"/>
      <x:c r="AM12" s="121"/>
      <x:c r="AN12" s="122"/>
      <x:c r="AO12" s="120"/>
      <x:c r="AP12" s="122"/>
    </x:row>
    <x:row r="13" ht="15.75" customHeight="1">
      <x:c r="A13" s="136" t="s">
        <x:v>266</x:v>
      </x:c>
      <x:c r="B13" s="155" t="n">
        <x:f ca="1">TODAY()</x:f>
        <x:v>46304</x:v>
      </x:c>
      <x:c r="C13" s="119"/>
      <x:c r="D13" s="119"/>
      <x:c r="E13" s="119"/>
      <x:c r="F13" s="119"/>
      <x:c r="G13" s="138" t="s">
        <x:v>121</x:v>
      </x:c>
      <x:c r="H13" s="139"/>
      <x:c r="I13" s="140" t="str">
        <x:f t="shared" si="0"/>
      </x:c>
      <x:c r="K13" s="120"/>
      <x:c r="M13" s="120"/>
      <x:c r="N13" s="121"/>
      <x:c r="P13" s="120"/>
      <x:c r="R13" s="120"/>
      <x:c r="S13" s="121"/>
      <x:c r="T13" s="122"/>
      <x:c r="U13" s="120"/>
      <x:c r="V13" s="122"/>
      <x:c r="W13" s="120"/>
      <x:c r="X13" s="121"/>
      <x:c r="Y13" s="122"/>
      <x:c r="Z13" s="120"/>
      <x:c r="AA13" s="122"/>
      <x:c r="AB13" s="120"/>
      <x:c r="AC13" s="121"/>
      <x:c r="AD13" s="122"/>
      <x:c r="AE13" s="120"/>
      <x:c r="AF13" s="122"/>
      <x:c r="AG13" s="120"/>
      <x:c r="AH13" s="121"/>
      <x:c r="AI13" s="122"/>
      <x:c r="AJ13" s="120"/>
      <x:c r="AK13" s="122"/>
      <x:c r="AL13" s="120"/>
      <x:c r="AM13" s="121"/>
      <x:c r="AN13" s="122"/>
      <x:c r="AO13" s="120"/>
      <x:c r="AP13" s="122"/>
    </x:row>
    <x:row r="14" ht="15.75" customHeight="1">
      <x:c r="A14" s="136"/>
      <x:c r="B14" s="199"/>
      <x:c r="C14" s="119"/>
      <x:c r="D14" s="119"/>
      <x:c r="E14" s="119"/>
      <x:c r="F14" s="119"/>
      <x:c r="G14" s="156" t="s">
        <x:v>123</x:v>
      </x:c>
      <x:c r="H14" s="157"/>
      <x:c r="I14" s="158" t="str">
        <x:f t="shared" si="0"/>
      </x:c>
      <x:c r="K14" s="120"/>
      <x:c r="M14" s="120"/>
      <x:c r="N14" s="121"/>
      <x:c r="P14" s="120"/>
      <x:c r="R14" s="120"/>
      <x:c r="S14" s="121"/>
      <x:c r="T14" s="122"/>
      <x:c r="U14" s="120"/>
      <x:c r="V14" s="122"/>
      <x:c r="W14" s="120"/>
      <x:c r="X14" s="121"/>
      <x:c r="Y14" s="122"/>
      <x:c r="Z14" s="120"/>
      <x:c r="AA14" s="122"/>
      <x:c r="AB14" s="120"/>
      <x:c r="AC14" s="121"/>
      <x:c r="AD14" s="122"/>
      <x:c r="AE14" s="120"/>
      <x:c r="AF14" s="122"/>
      <x:c r="AG14" s="120"/>
      <x:c r="AH14" s="121"/>
      <x:c r="AI14" s="122"/>
      <x:c r="AJ14" s="120"/>
      <x:c r="AK14" s="122"/>
      <x:c r="AL14" s="120"/>
      <x:c r="AM14" s="121"/>
      <x:c r="AN14" s="122"/>
      <x:c r="AO14" s="120"/>
      <x:c r="AP14" s="122"/>
    </x:row>
    <x:row r="15" ht="15.75" customHeight="1">
      <x:c r="A15" s="119"/>
      <x:c r="B15" s="119"/>
      <x:c r="C15" s="119"/>
      <x:c r="D15" s="119"/>
      <x:c r="E15" s="119"/>
      <x:c r="F15" s="119"/>
      <x:c r="G15" s="119"/>
      <x:c r="H15" s="119"/>
      <x:c r="I15" s="119"/>
      <x:c r="K15" s="120"/>
      <x:c r="M15" s="120"/>
      <x:c r="N15" s="121"/>
      <x:c r="P15" s="120"/>
      <x:c r="R15" s="120"/>
      <x:c r="S15" s="121"/>
      <x:c r="T15" s="122"/>
      <x:c r="U15" s="120"/>
      <x:c r="V15" s="122"/>
      <x:c r="W15" s="120"/>
      <x:c r="X15" s="121"/>
      <x:c r="Y15" s="122"/>
      <x:c r="Z15" s="120"/>
      <x:c r="AA15" s="122"/>
      <x:c r="AB15" s="120"/>
      <x:c r="AC15" s="121"/>
      <x:c r="AD15" s="122"/>
      <x:c r="AE15" s="120"/>
      <x:c r="AF15" s="122"/>
      <x:c r="AG15" s="120"/>
      <x:c r="AH15" s="121"/>
      <x:c r="AI15" s="122"/>
      <x:c r="AJ15" s="120"/>
      <x:c r="AK15" s="122"/>
      <x:c r="AL15" s="120"/>
      <x:c r="AM15" s="121"/>
      <x:c r="AN15" s="122"/>
      <x:c r="AO15" s="120"/>
      <x:c r="AP15" s="122"/>
    </x:row>
    <x:row r="16" ht="15.75" customHeight="1">
      <x:c r="A16" s="247" t="s">
        <x:v>267</x:v>
      </x:c>
      <x:c r="B16" s="248" t="s">
        <x:v>268</x:v>
      </x:c>
      <x:c r="C16" s="258" t="s">
        <x:v>236</x:v>
      </x:c>
      <x:c r="D16" s="258" t="s">
        <x:v>237</x:v>
      </x:c>
      <x:c r="E16" s="258" t="s">
        <x:v>238</x:v>
      </x:c>
      <x:c r="F16" s="259" t="s">
        <x:v>292</x:v>
      </x:c>
      <x:c r="G16" s="260" t="s">
        <x:v>243</x:v>
      </x:c>
      <x:c r="H16" s="260"/>
      <x:c r="I16" s="260"/>
      <x:c r="K16" s="120"/>
      <x:c r="M16" s="120"/>
      <x:c r="N16" s="121"/>
      <x:c r="P16" s="120"/>
      <x:c r="R16" s="120"/>
      <x:c r="S16" s="121"/>
      <x:c r="T16" s="122"/>
      <x:c r="U16" s="120"/>
      <x:c r="V16" s="122"/>
      <x:c r="W16" s="120"/>
      <x:c r="X16" s="121"/>
      <x:c r="Y16" s="122"/>
      <x:c r="Z16" s="120"/>
      <x:c r="AA16" s="122"/>
      <x:c r="AB16" s="120"/>
      <x:c r="AC16" s="121"/>
      <x:c r="AD16" s="122"/>
      <x:c r="AE16" s="120"/>
      <x:c r="AF16" s="122"/>
      <x:c r="AG16" s="120"/>
      <x:c r="AH16" s="121"/>
      <x:c r="AI16" s="122"/>
      <x:c r="AJ16" s="120"/>
      <x:c r="AK16" s="122"/>
      <x:c r="AL16" s="120"/>
      <x:c r="AM16" s="121"/>
      <x:c r="AN16" s="122"/>
      <x:c r="AO16" s="120"/>
      <x:c r="AP16" s="122"/>
    </x:row>
    <x:row r="17" ht="15.75" customHeight="1">
      <x:c r="A17" s="247"/>
      <x:c r="B17" s="248"/>
      <x:c r="C17" s="248"/>
      <x:c r="D17" s="248"/>
      <x:c r="E17" s="248"/>
      <x:c r="F17" s="259"/>
      <x:c r="G17" s="259"/>
      <x:c r="H17" s="260"/>
      <x:c r="I17" s="260"/>
      <x:c r="K17" s="120"/>
      <x:c r="M17" s="120"/>
      <x:c r="N17" s="121"/>
      <x:c r="P17" s="120"/>
      <x:c r="R17" s="120"/>
      <x:c r="S17" s="121"/>
      <x:c r="T17" s="122"/>
      <x:c r="U17" s="120"/>
      <x:c r="V17" s="122"/>
      <x:c r="W17" s="120"/>
      <x:c r="X17" s="121"/>
      <x:c r="Y17" s="122"/>
      <x:c r="Z17" s="120"/>
      <x:c r="AA17" s="122"/>
      <x:c r="AB17" s="120"/>
      <x:c r="AC17" s="121"/>
      <x:c r="AD17" s="122"/>
      <x:c r="AE17" s="120"/>
      <x:c r="AF17" s="122"/>
      <x:c r="AG17" s="120"/>
      <x:c r="AH17" s="121"/>
      <x:c r="AI17" s="122"/>
      <x:c r="AJ17" s="120"/>
      <x:c r="AK17" s="122"/>
      <x:c r="AL17" s="120"/>
      <x:c r="AM17" s="121"/>
      <x:c r="AN17" s="122"/>
      <x:c r="AO17" s="120"/>
      <x:c r="AP17" s="122"/>
    </x:row>
    <x:row r="18" ht="16.5" customHeight="1">
      <x:c r="A18" s="247"/>
      <x:c r="B18" s="248"/>
      <x:c r="C18" s="248"/>
      <x:c r="D18" s="248"/>
      <x:c r="E18" s="248"/>
      <x:c r="F18" s="259"/>
      <x:c r="G18" s="259"/>
      <x:c r="H18" s="260"/>
      <x:c r="I18" s="260"/>
      <x:c r="J18" s="235"/>
      <x:c r="K18" s="235"/>
      <x:c r="L18" s="235"/>
      <x:c r="M18" s="235"/>
      <x:c r="N18" s="235"/>
      <x:c r="O18" s="237"/>
      <x:c r="P18" s="237"/>
      <x:c r="Q18" s="237"/>
      <x:c r="R18" s="237"/>
      <x:c r="S18" s="237"/>
      <x:c r="T18" s="235"/>
      <x:c r="U18" s="235"/>
      <x:c r="V18" s="235"/>
      <x:c r="W18" s="235"/>
      <x:c r="X18" s="235"/>
      <x:c r="Y18" s="237"/>
      <x:c r="Z18" s="237"/>
      <x:c r="AA18" s="237"/>
      <x:c r="AB18" s="237"/>
      <x:c r="AC18" s="237"/>
      <x:c r="AD18" s="238"/>
      <x:c r="AE18" s="238"/>
      <x:c r="AF18" s="238"/>
      <x:c r="AG18" s="238"/>
      <x:c r="AH18" s="238"/>
      <x:c r="AI18" s="239"/>
      <x:c r="AJ18" s="239"/>
      <x:c r="AK18" s="239"/>
      <x:c r="AL18" s="239"/>
      <x:c r="AM18" s="239"/>
      <x:c r="AN18" s="237"/>
      <x:c r="AO18" s="237"/>
      <x:c r="AP18" s="237"/>
    </x:row>
    <x:row r="19" ht="16.5" customHeight="1">
      <x:c r="A19" s="247"/>
      <x:c r="B19" s="248"/>
      <x:c r="C19" s="248"/>
      <x:c r="D19" s="248"/>
      <x:c r="E19" s="248"/>
      <x:c r="F19" s="259"/>
      <x:c r="G19" s="260"/>
      <x:c r="H19" s="260"/>
      <x:c r="I19" s="260"/>
      <x:c r="J19" s="165"/>
      <x:c r="K19" s="166"/>
      <x:c r="L19" s="165"/>
      <x:c r="M19" s="166"/>
      <x:c r="N19" s="167"/>
      <x:c r="O19" s="165"/>
      <x:c r="P19" s="166"/>
      <x:c r="Q19" s="165"/>
      <x:c r="R19" s="166"/>
      <x:c r="S19" s="165"/>
      <x:c r="T19" s="168"/>
      <x:c r="U19" s="166"/>
      <x:c r="V19" s="168"/>
      <x:c r="W19" s="166"/>
      <x:c r="X19" s="167"/>
      <x:c r="Y19" s="168"/>
      <x:c r="Z19" s="166"/>
      <x:c r="AA19" s="168"/>
      <x:c r="AB19" s="166"/>
      <x:c r="AC19" s="167"/>
      <x:c r="AD19" s="168"/>
      <x:c r="AE19" s="166"/>
      <x:c r="AF19" s="168"/>
      <x:c r="AG19" s="166"/>
      <x:c r="AH19" s="167"/>
      <x:c r="AI19" s="168"/>
      <x:c r="AJ19" s="166"/>
      <x:c r="AK19" s="168"/>
      <x:c r="AL19" s="166"/>
      <x:c r="AM19" s="167"/>
      <x:c r="AN19" s="168"/>
      <x:c r="AO19" s="166"/>
      <x:c r="AP19" s="168"/>
    </x:row>
    <x:row r="20" ht="19.5" customHeight="1">
      <x:c r="A20" s="169"/>
      <x:c r="B20" s="170"/>
      <x:c r="C20" s="200"/>
      <x:c r="D20" s="200"/>
      <x:c r="E20" s="200"/>
      <x:c r="F20" s="201"/>
      <x:c r="G20" s="255"/>
      <x:c r="H20" s="255"/>
      <x:c r="I20" s="174"/>
      <x:c r="J20" s="122"/>
      <x:c r="K20" s="177"/>
      <x:c r="L20" s="122"/>
      <x:c r="M20" s="177"/>
      <x:c r="N20" s="178"/>
      <x:c r="O20" s="122"/>
      <x:c r="P20" s="177"/>
      <x:c r="Q20" s="122"/>
      <x:c r="R20" s="177"/>
      <x:c r="S20" s="178"/>
      <x:c r="T20" s="122"/>
      <x:c r="U20" s="177"/>
      <x:c r="V20" s="122"/>
      <x:c r="W20" s="177"/>
      <x:c r="X20" s="178"/>
      <x:c r="Y20" s="122"/>
      <x:c r="Z20" s="177"/>
      <x:c r="AA20" s="122"/>
      <x:c r="AB20" s="177"/>
      <x:c r="AC20" s="178"/>
      <x:c r="AD20" s="122"/>
      <x:c r="AE20" s="177"/>
      <x:c r="AF20" s="122"/>
      <x:c r="AG20" s="177"/>
      <x:c r="AH20" s="178"/>
      <x:c r="AI20" s="122"/>
      <x:c r="AJ20" s="177"/>
      <x:c r="AK20" s="122"/>
      <x:c r="AL20" s="177"/>
      <x:c r="AM20" s="178"/>
      <x:c r="AN20" s="122"/>
      <x:c r="AO20" s="177"/>
      <x:c r="AP20" s="122"/>
    </x:row>
    <x:row r="21" ht="19.5" customHeight="1">
      <x:c r="A21" s="160"/>
      <x:c r="B21" s="179"/>
      <x:c r="C21" s="200"/>
      <x:c r="D21" s="200"/>
      <x:c r="E21" s="200"/>
      <x:c r="F21" s="201"/>
      <x:c r="G21" s="255"/>
      <x:c r="H21" s="255"/>
      <x:c r="I21" s="174"/>
      <x:c r="J21" s="122"/>
      <x:c r="K21" s="177"/>
      <x:c r="L21" s="122"/>
      <x:c r="M21" s="177"/>
      <x:c r="N21" s="178"/>
      <x:c r="O21" s="122"/>
      <x:c r="P21" s="177"/>
      <x:c r="Q21" s="122"/>
      <x:c r="R21" s="177"/>
      <x:c r="S21" s="178"/>
      <x:c r="T21" s="122"/>
      <x:c r="U21" s="177"/>
      <x:c r="V21" s="122"/>
      <x:c r="W21" s="177"/>
      <x:c r="X21" s="178"/>
      <x:c r="Y21" s="122"/>
      <x:c r="Z21" s="177"/>
      <x:c r="AA21" s="122"/>
      <x:c r="AB21" s="177"/>
      <x:c r="AC21" s="178"/>
      <x:c r="AD21" s="122"/>
      <x:c r="AE21" s="177"/>
      <x:c r="AF21" s="122"/>
      <x:c r="AG21" s="177"/>
      <x:c r="AH21" s="178"/>
      <x:c r="AI21" s="122"/>
      <x:c r="AJ21" s="177"/>
      <x:c r="AK21" s="122"/>
      <x:c r="AL21" s="177"/>
      <x:c r="AM21" s="178"/>
      <x:c r="AN21" s="122"/>
      <x:c r="AO21" s="177"/>
      <x:c r="AP21" s="122"/>
    </x:row>
    <x:row r="22" ht="19.5" customHeight="1">
      <x:c r="A22" s="169"/>
      <x:c r="B22" s="170"/>
      <x:c r="C22" s="200"/>
      <x:c r="D22" s="200"/>
      <x:c r="E22" s="200"/>
      <x:c r="F22" s="201"/>
      <x:c r="G22" s="255"/>
      <x:c r="H22" s="255"/>
      <x:c r="I22" s="174"/>
      <x:c r="J22" s="122"/>
      <x:c r="K22" s="177"/>
      <x:c r="L22" s="122"/>
      <x:c r="M22" s="177"/>
      <x:c r="N22" s="178"/>
      <x:c r="O22" s="122"/>
      <x:c r="P22" s="177"/>
      <x:c r="Q22" s="122"/>
      <x:c r="R22" s="177"/>
      <x:c r="S22" s="178"/>
      <x:c r="T22" s="122"/>
      <x:c r="U22" s="177"/>
      <x:c r="V22" s="122"/>
      <x:c r="W22" s="177"/>
      <x:c r="X22" s="178"/>
      <x:c r="Y22" s="122"/>
      <x:c r="Z22" s="177"/>
      <x:c r="AA22" s="122"/>
      <x:c r="AB22" s="177"/>
      <x:c r="AC22" s="178"/>
      <x:c r="AD22" s="122"/>
      <x:c r="AE22" s="177"/>
      <x:c r="AF22" s="122"/>
      <x:c r="AG22" s="177"/>
      <x:c r="AH22" s="178"/>
      <x:c r="AI22" s="122"/>
      <x:c r="AJ22" s="177"/>
      <x:c r="AK22" s="122"/>
      <x:c r="AL22" s="177"/>
      <x:c r="AM22" s="178"/>
      <x:c r="AN22" s="122"/>
      <x:c r="AO22" s="177"/>
      <x:c r="AP22" s="122"/>
    </x:row>
    <x:row r="23" ht="19.5" customHeight="1">
      <x:c r="A23" s="160"/>
      <x:c r="B23" s="179"/>
      <x:c r="C23" s="200"/>
      <x:c r="D23" s="200"/>
      <x:c r="E23" s="200"/>
      <x:c r="F23" s="201"/>
      <x:c r="G23" s="255"/>
      <x:c r="H23" s="255"/>
      <x:c r="I23" s="174"/>
      <x:c r="J23" s="122"/>
      <x:c r="K23" s="177"/>
      <x:c r="L23" s="122"/>
      <x:c r="M23" s="177"/>
      <x:c r="N23" s="178"/>
      <x:c r="O23" s="122"/>
      <x:c r="P23" s="177"/>
      <x:c r="Q23" s="122"/>
      <x:c r="R23" s="177"/>
      <x:c r="S23" s="178"/>
      <x:c r="T23" s="122"/>
      <x:c r="U23" s="177"/>
      <x:c r="V23" s="122"/>
      <x:c r="W23" s="177"/>
      <x:c r="X23" s="178"/>
      <x:c r="Y23" s="122"/>
      <x:c r="Z23" s="177"/>
      <x:c r="AA23" s="122"/>
      <x:c r="AB23" s="177"/>
      <x:c r="AC23" s="178"/>
      <x:c r="AD23" s="122"/>
      <x:c r="AE23" s="177"/>
      <x:c r="AF23" s="122"/>
      <x:c r="AG23" s="177"/>
      <x:c r="AH23" s="178"/>
      <x:c r="AI23" s="122"/>
      <x:c r="AJ23" s="177"/>
      <x:c r="AK23" s="122"/>
      <x:c r="AL23" s="177"/>
      <x:c r="AM23" s="178"/>
      <x:c r="AN23" s="122"/>
      <x:c r="AO23" s="177"/>
      <x:c r="AP23" s="122"/>
    </x:row>
    <x:row r="24" ht="19.5" customHeight="1">
      <x:c r="A24" s="169"/>
      <x:c r="B24" s="170"/>
      <x:c r="C24" s="200"/>
      <x:c r="D24" s="200"/>
      <x:c r="E24" s="200"/>
      <x:c r="F24" s="201"/>
      <x:c r="G24" s="255"/>
      <x:c r="H24" s="255"/>
      <x:c r="I24" s="174"/>
      <x:c r="J24" s="122"/>
      <x:c r="K24" s="177"/>
      <x:c r="L24" s="122"/>
      <x:c r="M24" s="177"/>
      <x:c r="N24" s="178"/>
      <x:c r="O24" s="122"/>
      <x:c r="P24" s="177"/>
      <x:c r="Q24" s="122"/>
      <x:c r="R24" s="177"/>
      <x:c r="S24" s="178"/>
      <x:c r="T24" s="122"/>
      <x:c r="U24" s="177"/>
      <x:c r="V24" s="122"/>
      <x:c r="W24" s="177"/>
      <x:c r="X24" s="178"/>
      <x:c r="Y24" s="122"/>
      <x:c r="Z24" s="177"/>
      <x:c r="AA24" s="122"/>
      <x:c r="AB24" s="177"/>
      <x:c r="AC24" s="178"/>
      <x:c r="AD24" s="122"/>
      <x:c r="AE24" s="177"/>
      <x:c r="AF24" s="122"/>
      <x:c r="AG24" s="177"/>
      <x:c r="AH24" s="178"/>
      <x:c r="AI24" s="122"/>
      <x:c r="AJ24" s="177"/>
      <x:c r="AK24" s="122"/>
      <x:c r="AL24" s="177"/>
      <x:c r="AM24" s="178"/>
      <x:c r="AN24" s="122"/>
      <x:c r="AO24" s="177"/>
      <x:c r="AP24" s="122"/>
    </x:row>
    <x:row r="25" ht="19.5" customHeight="1">
      <x:c r="A25" s="160"/>
      <x:c r="B25" s="179"/>
      <x:c r="C25" s="200"/>
      <x:c r="D25" s="200"/>
      <x:c r="E25" s="200"/>
      <x:c r="F25" s="201"/>
      <x:c r="G25" s="255"/>
      <x:c r="H25" s="255"/>
      <x:c r="I25" s="174"/>
      <x:c r="J25" s="122"/>
      <x:c r="K25" s="177"/>
      <x:c r="L25" s="122"/>
      <x:c r="M25" s="177"/>
      <x:c r="N25" s="178"/>
      <x:c r="O25" s="122"/>
      <x:c r="P25" s="177"/>
      <x:c r="Q25" s="122"/>
      <x:c r="R25" s="177"/>
      <x:c r="S25" s="178"/>
      <x:c r="T25" s="122"/>
      <x:c r="U25" s="177"/>
      <x:c r="V25" s="122"/>
      <x:c r="W25" s="177"/>
      <x:c r="X25" s="178"/>
      <x:c r="Y25" s="122"/>
      <x:c r="Z25" s="177"/>
      <x:c r="AA25" s="122"/>
      <x:c r="AB25" s="177"/>
      <x:c r="AC25" s="178"/>
      <x:c r="AD25" s="122"/>
      <x:c r="AE25" s="177"/>
      <x:c r="AF25" s="122"/>
      <x:c r="AG25" s="177"/>
      <x:c r="AH25" s="178"/>
      <x:c r="AI25" s="122"/>
      <x:c r="AJ25" s="177"/>
      <x:c r="AK25" s="122"/>
      <x:c r="AL25" s="177"/>
      <x:c r="AM25" s="178"/>
      <x:c r="AN25" s="122"/>
      <x:c r="AO25" s="177"/>
      <x:c r="AP25" s="122"/>
    </x:row>
    <x:row r="26" ht="19.5" customHeight="1">
      <x:c r="A26" s="169"/>
      <x:c r="B26" s="170"/>
      <x:c r="C26" s="200"/>
      <x:c r="D26" s="200"/>
      <x:c r="E26" s="200"/>
      <x:c r="F26" s="201"/>
      <x:c r="G26" s="255"/>
      <x:c r="H26" s="255"/>
      <x:c r="I26" s="174"/>
      <x:c r="J26" s="122"/>
      <x:c r="K26" s="177"/>
      <x:c r="L26" s="122"/>
      <x:c r="M26" s="177"/>
      <x:c r="N26" s="178"/>
      <x:c r="O26" s="122"/>
      <x:c r="P26" s="177"/>
      <x:c r="Q26" s="122"/>
      <x:c r="R26" s="177"/>
      <x:c r="S26" s="178"/>
      <x:c r="T26" s="122"/>
      <x:c r="U26" s="177"/>
      <x:c r="V26" s="122"/>
      <x:c r="W26" s="177"/>
      <x:c r="X26" s="178"/>
      <x:c r="Y26" s="122"/>
      <x:c r="Z26" s="177"/>
      <x:c r="AA26" s="122"/>
      <x:c r="AB26" s="177"/>
      <x:c r="AC26" s="178"/>
      <x:c r="AD26" s="122"/>
      <x:c r="AE26" s="177"/>
      <x:c r="AF26" s="122"/>
      <x:c r="AG26" s="177"/>
      <x:c r="AH26" s="178"/>
      <x:c r="AI26" s="122"/>
      <x:c r="AJ26" s="177"/>
      <x:c r="AK26" s="122"/>
      <x:c r="AL26" s="177"/>
      <x:c r="AM26" s="178"/>
      <x:c r="AN26" s="122"/>
      <x:c r="AO26" s="177"/>
      <x:c r="AP26" s="122"/>
    </x:row>
    <x:row r="27" ht="19.5" customHeight="1">
      <x:c r="A27" s="160"/>
      <x:c r="B27" s="179"/>
      <x:c r="C27" s="200"/>
      <x:c r="D27" s="200"/>
      <x:c r="E27" s="200"/>
      <x:c r="F27" s="201"/>
      <x:c r="G27" s="255"/>
      <x:c r="H27" s="255"/>
      <x:c r="I27" s="174"/>
      <x:c r="J27" s="122"/>
      <x:c r="K27" s="177"/>
      <x:c r="L27" s="122"/>
      <x:c r="M27" s="177"/>
      <x:c r="N27" s="178"/>
      <x:c r="O27" s="122"/>
      <x:c r="P27" s="177"/>
      <x:c r="Q27" s="122"/>
      <x:c r="R27" s="177"/>
      <x:c r="S27" s="178"/>
      <x:c r="T27" s="122"/>
      <x:c r="U27" s="177"/>
      <x:c r="V27" s="122"/>
      <x:c r="W27" s="177"/>
      <x:c r="X27" s="178"/>
      <x:c r="Y27" s="122"/>
      <x:c r="Z27" s="177"/>
      <x:c r="AA27" s="122"/>
      <x:c r="AB27" s="177"/>
      <x:c r="AC27" s="178"/>
      <x:c r="AD27" s="122"/>
      <x:c r="AE27" s="177"/>
      <x:c r="AF27" s="122"/>
      <x:c r="AG27" s="177"/>
      <x:c r="AH27" s="178"/>
      <x:c r="AI27" s="122"/>
      <x:c r="AJ27" s="177"/>
      <x:c r="AK27" s="122"/>
      <x:c r="AL27" s="177"/>
      <x:c r="AM27" s="178"/>
      <x:c r="AN27" s="122"/>
      <x:c r="AO27" s="177"/>
      <x:c r="AP27" s="122"/>
    </x:row>
    <x:row r="28" ht="19.5" customHeight="1">
      <x:c r="A28" s="169"/>
      <x:c r="B28" s="170"/>
      <x:c r="C28" s="200"/>
      <x:c r="D28" s="200"/>
      <x:c r="E28" s="200"/>
      <x:c r="F28" s="201"/>
      <x:c r="G28" s="255"/>
      <x:c r="H28" s="255"/>
      <x:c r="I28" s="174"/>
      <x:c r="J28" s="122"/>
      <x:c r="K28" s="177"/>
      <x:c r="L28" s="122"/>
      <x:c r="M28" s="177"/>
      <x:c r="N28" s="178"/>
      <x:c r="O28" s="122"/>
      <x:c r="P28" s="177"/>
      <x:c r="Q28" s="122"/>
      <x:c r="R28" s="177"/>
      <x:c r="S28" s="178"/>
      <x:c r="T28" s="122"/>
      <x:c r="U28" s="177"/>
      <x:c r="V28" s="122"/>
      <x:c r="W28" s="177"/>
      <x:c r="X28" s="178"/>
      <x:c r="Y28" s="122"/>
      <x:c r="Z28" s="177"/>
      <x:c r="AA28" s="122"/>
      <x:c r="AB28" s="177"/>
      <x:c r="AC28" s="178"/>
      <x:c r="AD28" s="122"/>
      <x:c r="AE28" s="177"/>
      <x:c r="AF28" s="122"/>
      <x:c r="AG28" s="177"/>
      <x:c r="AH28" s="178"/>
      <x:c r="AI28" s="122"/>
      <x:c r="AJ28" s="177"/>
      <x:c r="AK28" s="122"/>
      <x:c r="AL28" s="177"/>
      <x:c r="AM28" s="178"/>
      <x:c r="AN28" s="122"/>
      <x:c r="AO28" s="177"/>
      <x:c r="AP28" s="122"/>
    </x:row>
    <x:row r="29" ht="19.5" customHeight="1">
      <x:c r="A29" s="160"/>
      <x:c r="B29" s="179"/>
      <x:c r="C29" s="200"/>
      <x:c r="D29" s="200"/>
      <x:c r="E29" s="200"/>
      <x:c r="F29" s="201"/>
      <x:c r="G29" s="255"/>
      <x:c r="H29" s="255"/>
      <x:c r="I29" s="174"/>
      <x:c r="J29" s="122"/>
      <x:c r="K29" s="177"/>
      <x:c r="L29" s="122"/>
      <x:c r="M29" s="177"/>
      <x:c r="N29" s="178"/>
      <x:c r="O29" s="122"/>
      <x:c r="P29" s="177"/>
      <x:c r="Q29" s="122"/>
      <x:c r="R29" s="177"/>
      <x:c r="S29" s="178"/>
      <x:c r="T29" s="122"/>
      <x:c r="U29" s="177"/>
      <x:c r="V29" s="122"/>
      <x:c r="W29" s="177"/>
      <x:c r="X29" s="178"/>
      <x:c r="Y29" s="122"/>
      <x:c r="Z29" s="177"/>
      <x:c r="AA29" s="122"/>
      <x:c r="AB29" s="177"/>
      <x:c r="AC29" s="178"/>
      <x:c r="AD29" s="122"/>
      <x:c r="AE29" s="177"/>
      <x:c r="AF29" s="122"/>
      <x:c r="AG29" s="177"/>
      <x:c r="AH29" s="178"/>
      <x:c r="AI29" s="122"/>
      <x:c r="AJ29" s="177"/>
      <x:c r="AK29" s="122"/>
      <x:c r="AL29" s="177"/>
      <x:c r="AM29" s="178"/>
      <x:c r="AN29" s="122"/>
      <x:c r="AO29" s="177"/>
      <x:c r="AP29" s="122"/>
    </x:row>
    <x:row r="30" ht="19.5" customHeight="1">
      <x:c r="A30" s="169"/>
      <x:c r="B30" s="170"/>
      <x:c r="C30" s="200"/>
      <x:c r="D30" s="200"/>
      <x:c r="E30" s="200"/>
      <x:c r="F30" s="201"/>
      <x:c r="G30" s="255"/>
      <x:c r="H30" s="255"/>
      <x:c r="I30" s="174"/>
      <x:c r="J30" s="122"/>
      <x:c r="K30" s="177"/>
      <x:c r="L30" s="122"/>
      <x:c r="M30" s="177"/>
      <x:c r="N30" s="178"/>
      <x:c r="O30" s="122"/>
      <x:c r="P30" s="177"/>
      <x:c r="Q30" s="122"/>
      <x:c r="R30" s="177"/>
      <x:c r="S30" s="178"/>
      <x:c r="T30" s="122"/>
      <x:c r="U30" s="177"/>
      <x:c r="V30" s="122"/>
      <x:c r="W30" s="177"/>
      <x:c r="X30" s="178"/>
      <x:c r="Y30" s="122"/>
      <x:c r="Z30" s="177"/>
      <x:c r="AA30" s="122"/>
      <x:c r="AB30" s="177"/>
      <x:c r="AC30" s="178"/>
      <x:c r="AD30" s="122"/>
      <x:c r="AE30" s="177"/>
      <x:c r="AF30" s="122"/>
      <x:c r="AG30" s="177"/>
      <x:c r="AH30" s="178"/>
      <x:c r="AI30" s="122"/>
      <x:c r="AJ30" s="177"/>
      <x:c r="AK30" s="122"/>
      <x:c r="AL30" s="177"/>
      <x:c r="AM30" s="178"/>
      <x:c r="AN30" s="122"/>
      <x:c r="AO30" s="177"/>
      <x:c r="AP30" s="122"/>
    </x:row>
    <x:row r="31" ht="19.5" customHeight="1">
      <x:c r="A31" s="160"/>
      <x:c r="B31" s="179"/>
      <x:c r="C31" s="200"/>
      <x:c r="D31" s="200"/>
      <x:c r="E31" s="200"/>
      <x:c r="F31" s="201"/>
      <x:c r="G31" s="255"/>
      <x:c r="H31" s="255"/>
      <x:c r="I31" s="174"/>
      <x:c r="J31" s="122"/>
      <x:c r="K31" s="177"/>
      <x:c r="L31" s="122"/>
      <x:c r="M31" s="177"/>
      <x:c r="N31" s="178"/>
      <x:c r="O31" s="122"/>
      <x:c r="P31" s="177"/>
      <x:c r="Q31" s="122"/>
      <x:c r="R31" s="177"/>
      <x:c r="S31" s="178"/>
      <x:c r="T31" s="122"/>
      <x:c r="U31" s="177"/>
      <x:c r="V31" s="122"/>
      <x:c r="W31" s="177"/>
      <x:c r="X31" s="178"/>
      <x:c r="Y31" s="122"/>
      <x:c r="Z31" s="177"/>
      <x:c r="AA31" s="122"/>
      <x:c r="AB31" s="177"/>
      <x:c r="AC31" s="178"/>
      <x:c r="AD31" s="122"/>
      <x:c r="AE31" s="177"/>
      <x:c r="AF31" s="122"/>
      <x:c r="AG31" s="177"/>
      <x:c r="AH31" s="178"/>
      <x:c r="AI31" s="122"/>
      <x:c r="AJ31" s="177"/>
      <x:c r="AK31" s="122"/>
      <x:c r="AL31" s="177"/>
      <x:c r="AM31" s="178"/>
      <x:c r="AN31" s="122"/>
      <x:c r="AO31" s="177"/>
      <x:c r="AP31" s="122"/>
    </x:row>
    <x:row r="32" ht="19.5" customHeight="1">
      <x:c r="A32" s="169"/>
      <x:c r="B32" s="170"/>
      <x:c r="C32" s="200"/>
      <x:c r="D32" s="200"/>
      <x:c r="E32" s="200"/>
      <x:c r="F32" s="201"/>
      <x:c r="G32" s="255"/>
      <x:c r="H32" s="255"/>
      <x:c r="I32" s="174"/>
      <x:c r="J32" s="122"/>
      <x:c r="K32" s="177"/>
      <x:c r="L32" s="122"/>
      <x:c r="M32" s="177"/>
      <x:c r="N32" s="178"/>
      <x:c r="O32" s="122"/>
      <x:c r="P32" s="177"/>
      <x:c r="Q32" s="122"/>
      <x:c r="R32" s="177"/>
      <x:c r="S32" s="178"/>
      <x:c r="T32" s="122"/>
      <x:c r="U32" s="177"/>
      <x:c r="V32" s="122"/>
      <x:c r="W32" s="177"/>
      <x:c r="X32" s="178"/>
      <x:c r="Y32" s="122"/>
      <x:c r="Z32" s="177"/>
      <x:c r="AA32" s="122"/>
      <x:c r="AB32" s="177"/>
      <x:c r="AC32" s="178"/>
      <x:c r="AD32" s="122"/>
      <x:c r="AE32" s="177"/>
      <x:c r="AF32" s="122"/>
      <x:c r="AG32" s="177"/>
      <x:c r="AH32" s="178"/>
      <x:c r="AI32" s="122"/>
      <x:c r="AJ32" s="177"/>
      <x:c r="AK32" s="122"/>
      <x:c r="AL32" s="177"/>
      <x:c r="AM32" s="178"/>
      <x:c r="AN32" s="122"/>
      <x:c r="AO32" s="177"/>
      <x:c r="AP32" s="122"/>
    </x:row>
    <x:row r="33" ht="19.5" customHeight="1">
      <x:c r="A33" s="160"/>
      <x:c r="B33" s="179"/>
      <x:c r="C33" s="200"/>
      <x:c r="D33" s="200"/>
      <x:c r="E33" s="200"/>
      <x:c r="F33" s="201"/>
      <x:c r="G33" s="255"/>
      <x:c r="H33" s="255"/>
      <x:c r="I33" s="174"/>
      <x:c r="J33" s="122"/>
      <x:c r="K33" s="177"/>
      <x:c r="L33" s="122"/>
      <x:c r="M33" s="177"/>
      <x:c r="N33" s="178"/>
      <x:c r="O33" s="122"/>
      <x:c r="P33" s="177"/>
      <x:c r="Q33" s="122"/>
      <x:c r="R33" s="177"/>
      <x:c r="S33" s="178"/>
      <x:c r="T33" s="122"/>
      <x:c r="U33" s="177"/>
      <x:c r="V33" s="122"/>
      <x:c r="W33" s="177"/>
      <x:c r="X33" s="178"/>
      <x:c r="Y33" s="122"/>
      <x:c r="Z33" s="177"/>
      <x:c r="AA33" s="122"/>
      <x:c r="AB33" s="177"/>
      <x:c r="AC33" s="178"/>
      <x:c r="AD33" s="122"/>
      <x:c r="AE33" s="177"/>
      <x:c r="AF33" s="122"/>
      <x:c r="AG33" s="177"/>
      <x:c r="AH33" s="178"/>
      <x:c r="AI33" s="122"/>
      <x:c r="AJ33" s="177"/>
      <x:c r="AK33" s="122"/>
      <x:c r="AL33" s="177"/>
      <x:c r="AM33" s="178"/>
      <x:c r="AN33" s="122"/>
      <x:c r="AO33" s="177"/>
      <x:c r="AP33" s="122"/>
    </x:row>
    <x:row r="34" ht="19.5" customHeight="1">
      <x:c r="A34" s="169"/>
      <x:c r="B34" s="170"/>
      <x:c r="C34" s="200"/>
      <x:c r="D34" s="200"/>
      <x:c r="E34" s="200"/>
      <x:c r="F34" s="201"/>
      <x:c r="G34" s="255"/>
      <x:c r="H34" s="255"/>
      <x:c r="I34" s="174"/>
      <x:c r="J34" s="122"/>
      <x:c r="K34" s="177"/>
      <x:c r="L34" s="122"/>
      <x:c r="M34" s="177"/>
      <x:c r="N34" s="178"/>
      <x:c r="O34" s="122"/>
      <x:c r="P34" s="177"/>
      <x:c r="Q34" s="122"/>
      <x:c r="R34" s="177"/>
      <x:c r="S34" s="178"/>
      <x:c r="T34" s="122"/>
      <x:c r="U34" s="177"/>
      <x:c r="V34" s="122"/>
      <x:c r="W34" s="177"/>
      <x:c r="X34" s="178"/>
      <x:c r="Y34" s="122"/>
      <x:c r="Z34" s="177"/>
      <x:c r="AA34" s="122"/>
      <x:c r="AB34" s="177"/>
      <x:c r="AC34" s="178"/>
      <x:c r="AD34" s="122"/>
      <x:c r="AE34" s="177"/>
      <x:c r="AF34" s="122"/>
      <x:c r="AG34" s="177"/>
      <x:c r="AH34" s="178"/>
      <x:c r="AI34" s="122"/>
      <x:c r="AJ34" s="177"/>
      <x:c r="AK34" s="122"/>
      <x:c r="AL34" s="177"/>
      <x:c r="AM34" s="178"/>
      <x:c r="AN34" s="122"/>
      <x:c r="AO34" s="177"/>
      <x:c r="AP34" s="122"/>
    </x:row>
    <x:row r="35" ht="19.5" customHeight="1">
      <x:c r="A35" s="160"/>
      <x:c r="B35" s="179"/>
      <x:c r="C35" s="200"/>
      <x:c r="D35" s="200"/>
      <x:c r="E35" s="200"/>
      <x:c r="F35" s="201"/>
      <x:c r="G35" s="255"/>
      <x:c r="H35" s="255"/>
      <x:c r="I35" s="174"/>
      <x:c r="J35" s="122"/>
      <x:c r="K35" s="177"/>
      <x:c r="L35" s="122"/>
      <x:c r="M35" s="177"/>
      <x:c r="N35" s="178"/>
      <x:c r="O35" s="122"/>
      <x:c r="P35" s="177"/>
      <x:c r="Q35" s="122"/>
      <x:c r="R35" s="177"/>
      <x:c r="S35" s="178"/>
      <x:c r="T35" s="122"/>
      <x:c r="U35" s="177"/>
      <x:c r="V35" s="122"/>
      <x:c r="W35" s="177"/>
      <x:c r="X35" s="178"/>
      <x:c r="Y35" s="122"/>
      <x:c r="Z35" s="177"/>
      <x:c r="AA35" s="122"/>
      <x:c r="AB35" s="177"/>
      <x:c r="AC35" s="178"/>
      <x:c r="AD35" s="122"/>
      <x:c r="AE35" s="177"/>
      <x:c r="AF35" s="122"/>
      <x:c r="AG35" s="177"/>
      <x:c r="AH35" s="178"/>
      <x:c r="AI35" s="122"/>
      <x:c r="AJ35" s="177"/>
      <x:c r="AK35" s="122"/>
      <x:c r="AL35" s="177"/>
      <x:c r="AM35" s="178"/>
      <x:c r="AN35" s="122"/>
      <x:c r="AO35" s="177"/>
      <x:c r="AP35" s="122"/>
    </x:row>
    <x:row r="36" ht="19.5" customHeight="1">
      <x:c r="A36" s="169"/>
      <x:c r="B36" s="170"/>
      <x:c r="C36" s="200"/>
      <x:c r="D36" s="200"/>
      <x:c r="E36" s="200"/>
      <x:c r="F36" s="201"/>
      <x:c r="G36" s="255"/>
      <x:c r="H36" s="255"/>
      <x:c r="I36" s="174"/>
      <x:c r="J36" s="122"/>
      <x:c r="K36" s="177"/>
      <x:c r="L36" s="122"/>
      <x:c r="M36" s="177"/>
      <x:c r="N36" s="178"/>
      <x:c r="O36" s="122"/>
      <x:c r="P36" s="177"/>
      <x:c r="Q36" s="122"/>
      <x:c r="R36" s="177"/>
      <x:c r="S36" s="178"/>
      <x:c r="T36" s="122"/>
      <x:c r="U36" s="177"/>
      <x:c r="V36" s="122"/>
      <x:c r="W36" s="177"/>
      <x:c r="X36" s="178"/>
      <x:c r="Y36" s="122"/>
      <x:c r="Z36" s="177"/>
      <x:c r="AA36" s="122"/>
      <x:c r="AB36" s="177"/>
      <x:c r="AC36" s="178"/>
      <x:c r="AD36" s="122"/>
      <x:c r="AE36" s="177"/>
      <x:c r="AF36" s="122"/>
      <x:c r="AG36" s="177"/>
      <x:c r="AH36" s="178"/>
      <x:c r="AI36" s="122"/>
      <x:c r="AJ36" s="177"/>
      <x:c r="AK36" s="122"/>
      <x:c r="AL36" s="177"/>
      <x:c r="AM36" s="178"/>
      <x:c r="AN36" s="122"/>
      <x:c r="AO36" s="177"/>
      <x:c r="AP36" s="122"/>
    </x:row>
    <x:row r="37" ht="19.5" customHeight="1">
      <x:c r="A37" s="160"/>
      <x:c r="B37" s="179"/>
      <x:c r="C37" s="200"/>
      <x:c r="D37" s="200"/>
      <x:c r="E37" s="200"/>
      <x:c r="F37" s="201"/>
      <x:c r="G37" s="255"/>
      <x:c r="H37" s="255"/>
      <x:c r="I37" s="174"/>
      <x:c r="J37" s="122"/>
      <x:c r="K37" s="177"/>
      <x:c r="L37" s="122"/>
      <x:c r="M37" s="177"/>
      <x:c r="N37" s="178"/>
      <x:c r="O37" s="122"/>
      <x:c r="P37" s="177"/>
      <x:c r="Q37" s="122"/>
      <x:c r="R37" s="177"/>
      <x:c r="S37" s="178"/>
      <x:c r="T37" s="122"/>
      <x:c r="U37" s="177"/>
      <x:c r="V37" s="122"/>
      <x:c r="W37" s="177"/>
      <x:c r="X37" s="178"/>
      <x:c r="Y37" s="122"/>
      <x:c r="Z37" s="177"/>
      <x:c r="AA37" s="122"/>
      <x:c r="AB37" s="177"/>
      <x:c r="AC37" s="178"/>
      <x:c r="AD37" s="122"/>
      <x:c r="AE37" s="177"/>
      <x:c r="AF37" s="122"/>
      <x:c r="AG37" s="177"/>
      <x:c r="AH37" s="178"/>
      <x:c r="AI37" s="122"/>
      <x:c r="AJ37" s="177"/>
      <x:c r="AK37" s="122"/>
      <x:c r="AL37" s="177"/>
      <x:c r="AM37" s="178"/>
      <x:c r="AN37" s="122"/>
      <x:c r="AO37" s="177"/>
      <x:c r="AP37" s="122"/>
    </x:row>
    <x:row r="38" ht="19.5" customHeight="1">
      <x:c r="A38" s="169"/>
      <x:c r="B38" s="170"/>
      <x:c r="C38" s="200"/>
      <x:c r="D38" s="200"/>
      <x:c r="E38" s="200"/>
      <x:c r="F38" s="201"/>
      <x:c r="G38" s="255"/>
      <x:c r="H38" s="255"/>
      <x:c r="I38" s="174"/>
      <x:c r="J38" s="122"/>
      <x:c r="K38" s="177"/>
      <x:c r="L38" s="122"/>
      <x:c r="M38" s="177"/>
      <x:c r="N38" s="178"/>
      <x:c r="O38" s="122"/>
      <x:c r="P38" s="177"/>
      <x:c r="Q38" s="122"/>
      <x:c r="R38" s="177"/>
      <x:c r="S38" s="178"/>
      <x:c r="T38" s="122"/>
      <x:c r="U38" s="177"/>
      <x:c r="V38" s="122"/>
      <x:c r="W38" s="177"/>
      <x:c r="X38" s="178"/>
      <x:c r="Y38" s="122"/>
      <x:c r="Z38" s="177"/>
      <x:c r="AA38" s="122"/>
      <x:c r="AB38" s="177"/>
      <x:c r="AC38" s="178"/>
      <x:c r="AD38" s="122"/>
      <x:c r="AE38" s="177"/>
      <x:c r="AF38" s="122"/>
      <x:c r="AG38" s="177"/>
      <x:c r="AH38" s="178"/>
      <x:c r="AI38" s="122"/>
      <x:c r="AJ38" s="177"/>
      <x:c r="AK38" s="122"/>
      <x:c r="AL38" s="177"/>
      <x:c r="AM38" s="178"/>
      <x:c r="AN38" s="122"/>
      <x:c r="AO38" s="177"/>
      <x:c r="AP38" s="122"/>
    </x:row>
    <x:row r="39" ht="19.5" customHeight="1">
      <x:c r="A39" s="160"/>
      <x:c r="B39" s="179"/>
      <x:c r="C39" s="200"/>
      <x:c r="D39" s="200"/>
      <x:c r="E39" s="200"/>
      <x:c r="F39" s="201"/>
      <x:c r="G39" s="255"/>
      <x:c r="H39" s="255"/>
      <x:c r="I39" s="174"/>
      <x:c r="J39" s="122"/>
      <x:c r="K39" s="177"/>
      <x:c r="L39" s="122"/>
      <x:c r="M39" s="177"/>
      <x:c r="N39" s="178"/>
      <x:c r="O39" s="122"/>
      <x:c r="P39" s="177"/>
      <x:c r="Q39" s="122"/>
      <x:c r="R39" s="177"/>
      <x:c r="S39" s="178"/>
      <x:c r="T39" s="122"/>
      <x:c r="U39" s="177"/>
      <x:c r="V39" s="122"/>
      <x:c r="W39" s="177"/>
      <x:c r="X39" s="178"/>
      <x:c r="Y39" s="122"/>
      <x:c r="Z39" s="177"/>
      <x:c r="AA39" s="122"/>
      <x:c r="AB39" s="177"/>
      <x:c r="AC39" s="178"/>
      <x:c r="AD39" s="122"/>
      <x:c r="AE39" s="177"/>
      <x:c r="AF39" s="122"/>
      <x:c r="AG39" s="177"/>
      <x:c r="AH39" s="178"/>
      <x:c r="AI39" s="122"/>
      <x:c r="AJ39" s="177"/>
      <x:c r="AK39" s="122"/>
      <x:c r="AL39" s="177"/>
      <x:c r="AM39" s="178"/>
      <x:c r="AN39" s="122"/>
      <x:c r="AO39" s="177"/>
      <x:c r="AP39" s="122"/>
    </x:row>
    <x:row r="40" ht="19.5" customHeight="1">
      <x:c r="A40" s="169"/>
      <x:c r="B40" s="170"/>
      <x:c r="C40" s="200"/>
      <x:c r="D40" s="200"/>
      <x:c r="E40" s="200"/>
      <x:c r="F40" s="201"/>
      <x:c r="G40" s="255"/>
      <x:c r="H40" s="255"/>
      <x:c r="I40" s="174"/>
      <x:c r="J40" s="122"/>
      <x:c r="K40" s="177"/>
      <x:c r="L40" s="122"/>
      <x:c r="M40" s="177"/>
      <x:c r="N40" s="178"/>
      <x:c r="O40" s="122"/>
      <x:c r="P40" s="177"/>
      <x:c r="Q40" s="122"/>
      <x:c r="R40" s="177"/>
      <x:c r="S40" s="178"/>
      <x:c r="T40" s="122"/>
      <x:c r="U40" s="177"/>
      <x:c r="V40" s="122"/>
      <x:c r="W40" s="177"/>
      <x:c r="X40" s="178"/>
      <x:c r="Y40" s="122"/>
      <x:c r="Z40" s="177"/>
      <x:c r="AA40" s="122"/>
      <x:c r="AB40" s="177"/>
      <x:c r="AC40" s="178"/>
      <x:c r="AD40" s="122"/>
      <x:c r="AE40" s="177"/>
      <x:c r="AF40" s="122"/>
      <x:c r="AG40" s="177"/>
      <x:c r="AH40" s="178"/>
      <x:c r="AI40" s="122"/>
      <x:c r="AJ40" s="177"/>
      <x:c r="AK40" s="122"/>
      <x:c r="AL40" s="177"/>
      <x:c r="AM40" s="178"/>
      <x:c r="AN40" s="122"/>
      <x:c r="AO40" s="177"/>
      <x:c r="AP40" s="122"/>
    </x:row>
    <x:row r="41" ht="19.5" customHeight="1">
      <x:c r="A41" s="160"/>
      <x:c r="B41" s="179"/>
      <x:c r="C41" s="200"/>
      <x:c r="D41" s="200"/>
      <x:c r="E41" s="200"/>
      <x:c r="F41" s="201"/>
      <x:c r="G41" s="255"/>
      <x:c r="H41" s="255"/>
      <x:c r="I41" s="174"/>
      <x:c r="J41" s="122"/>
      <x:c r="K41" s="177"/>
      <x:c r="L41" s="122"/>
      <x:c r="M41" s="177"/>
      <x:c r="N41" s="178"/>
      <x:c r="O41" s="122"/>
      <x:c r="P41" s="177"/>
      <x:c r="Q41" s="122"/>
      <x:c r="R41" s="177"/>
      <x:c r="S41" s="178"/>
      <x:c r="T41" s="122"/>
      <x:c r="U41" s="177"/>
      <x:c r="V41" s="122"/>
      <x:c r="W41" s="177"/>
      <x:c r="X41" s="178"/>
      <x:c r="Y41" s="122"/>
      <x:c r="Z41" s="177"/>
      <x:c r="AA41" s="122"/>
      <x:c r="AB41" s="177"/>
      <x:c r="AC41" s="178"/>
      <x:c r="AD41" s="122"/>
      <x:c r="AE41" s="177"/>
      <x:c r="AF41" s="122"/>
      <x:c r="AG41" s="177"/>
      <x:c r="AH41" s="178"/>
      <x:c r="AI41" s="122"/>
      <x:c r="AJ41" s="177"/>
      <x:c r="AK41" s="122"/>
      <x:c r="AL41" s="177"/>
      <x:c r="AM41" s="178"/>
      <x:c r="AN41" s="122"/>
      <x:c r="AO41" s="177"/>
      <x:c r="AP41" s="122"/>
    </x:row>
    <x:row r="42" ht="19.5" customHeight="1">
      <x:c r="A42" s="169"/>
      <x:c r="B42" s="170"/>
      <x:c r="C42" s="200"/>
      <x:c r="D42" s="200"/>
      <x:c r="E42" s="200"/>
      <x:c r="F42" s="201"/>
      <x:c r="G42" s="255"/>
      <x:c r="H42" s="255"/>
      <x:c r="I42" s="174"/>
      <x:c r="J42" s="122"/>
      <x:c r="K42" s="177"/>
      <x:c r="L42" s="122"/>
      <x:c r="M42" s="177"/>
      <x:c r="N42" s="178"/>
      <x:c r="O42" s="122"/>
      <x:c r="P42" s="177"/>
      <x:c r="Q42" s="122"/>
      <x:c r="R42" s="177"/>
      <x:c r="S42" s="178"/>
      <x:c r="T42" s="122"/>
      <x:c r="U42" s="177"/>
      <x:c r="V42" s="122"/>
      <x:c r="W42" s="177"/>
      <x:c r="X42" s="178"/>
      <x:c r="Y42" s="122"/>
      <x:c r="Z42" s="177"/>
      <x:c r="AA42" s="122"/>
      <x:c r="AB42" s="177"/>
      <x:c r="AC42" s="178"/>
      <x:c r="AD42" s="122"/>
      <x:c r="AE42" s="177"/>
      <x:c r="AF42" s="122"/>
      <x:c r="AG42" s="177"/>
      <x:c r="AH42" s="178"/>
      <x:c r="AI42" s="122"/>
      <x:c r="AJ42" s="177"/>
      <x:c r="AK42" s="122"/>
      <x:c r="AL42" s="177"/>
      <x:c r="AM42" s="178"/>
      <x:c r="AN42" s="122"/>
      <x:c r="AO42" s="177"/>
      <x:c r="AP42" s="122"/>
    </x:row>
    <x:row r="43" ht="19.5" customHeight="1">
      <x:c r="A43" s="160"/>
      <x:c r="B43" s="179"/>
      <x:c r="C43" s="200"/>
      <x:c r="D43" s="200"/>
      <x:c r="E43" s="200"/>
      <x:c r="F43" s="201"/>
      <x:c r="G43" s="255"/>
      <x:c r="H43" s="255"/>
      <x:c r="I43" s="174"/>
      <x:c r="J43" s="122"/>
      <x:c r="K43" s="177"/>
      <x:c r="L43" s="122"/>
      <x:c r="M43" s="177"/>
      <x:c r="N43" s="178"/>
      <x:c r="O43" s="122"/>
      <x:c r="P43" s="177"/>
      <x:c r="Q43" s="122"/>
      <x:c r="R43" s="177"/>
      <x:c r="S43" s="178"/>
      <x:c r="T43" s="122"/>
      <x:c r="U43" s="177"/>
      <x:c r="V43" s="122"/>
      <x:c r="W43" s="177"/>
      <x:c r="X43" s="178"/>
      <x:c r="Y43" s="122"/>
      <x:c r="Z43" s="177"/>
      <x:c r="AA43" s="122"/>
      <x:c r="AB43" s="177"/>
      <x:c r="AC43" s="178"/>
      <x:c r="AD43" s="122"/>
      <x:c r="AE43" s="177"/>
      <x:c r="AF43" s="122"/>
      <x:c r="AG43" s="177"/>
      <x:c r="AH43" s="178"/>
      <x:c r="AI43" s="122"/>
      <x:c r="AJ43" s="177"/>
      <x:c r="AK43" s="122"/>
      <x:c r="AL43" s="177"/>
      <x:c r="AM43" s="178"/>
      <x:c r="AN43" s="122"/>
      <x:c r="AO43" s="177"/>
      <x:c r="AP43" s="122"/>
    </x:row>
    <x:row r="44" ht="19.5" customHeight="1">
      <x:c r="A44" s="169"/>
      <x:c r="B44" s="170"/>
      <x:c r="C44" s="200"/>
      <x:c r="D44" s="200"/>
      <x:c r="E44" s="200"/>
      <x:c r="F44" s="201"/>
      <x:c r="G44" s="255"/>
      <x:c r="H44" s="255"/>
      <x:c r="I44" s="174"/>
      <x:c r="J44" s="122"/>
      <x:c r="K44" s="177"/>
      <x:c r="L44" s="122"/>
      <x:c r="M44" s="177"/>
      <x:c r="N44" s="178"/>
      <x:c r="O44" s="122"/>
      <x:c r="P44" s="177"/>
      <x:c r="Q44" s="122"/>
      <x:c r="R44" s="177"/>
      <x:c r="S44" s="178"/>
      <x:c r="T44" s="122"/>
      <x:c r="U44" s="177"/>
      <x:c r="V44" s="122"/>
      <x:c r="W44" s="177"/>
      <x:c r="X44" s="178"/>
      <x:c r="Y44" s="122"/>
      <x:c r="Z44" s="177"/>
      <x:c r="AA44" s="122"/>
      <x:c r="AB44" s="177"/>
      <x:c r="AC44" s="178"/>
      <x:c r="AD44" s="122"/>
      <x:c r="AE44" s="177"/>
      <x:c r="AF44" s="122"/>
      <x:c r="AG44" s="177"/>
      <x:c r="AH44" s="178"/>
      <x:c r="AI44" s="122"/>
      <x:c r="AJ44" s="177"/>
      <x:c r="AK44" s="122"/>
      <x:c r="AL44" s="177"/>
      <x:c r="AM44" s="178"/>
      <x:c r="AN44" s="122"/>
      <x:c r="AO44" s="177"/>
      <x:c r="AP44" s="122"/>
    </x:row>
    <x:row r="45" ht="19.5" customHeight="1">
      <x:c r="A45" s="160"/>
      <x:c r="B45" s="170"/>
      <x:c r="C45" s="200"/>
      <x:c r="D45" s="200"/>
      <x:c r="E45" s="200"/>
      <x:c r="F45" s="201"/>
      <x:c r="G45" s="255"/>
      <x:c r="H45" s="255"/>
      <x:c r="I45" s="174"/>
      <x:c r="J45" s="122"/>
      <x:c r="K45" s="177"/>
      <x:c r="L45" s="122"/>
      <x:c r="M45" s="177"/>
      <x:c r="N45" s="178"/>
      <x:c r="O45" s="122"/>
      <x:c r="P45" s="177"/>
      <x:c r="Q45" s="122"/>
      <x:c r="R45" s="177"/>
      <x:c r="S45" s="178"/>
      <x:c r="T45" s="122"/>
      <x:c r="U45" s="177"/>
      <x:c r="V45" s="122"/>
      <x:c r="W45" s="177"/>
      <x:c r="X45" s="178"/>
      <x:c r="Y45" s="122"/>
      <x:c r="Z45" s="177"/>
      <x:c r="AA45" s="122"/>
      <x:c r="AB45" s="177"/>
      <x:c r="AC45" s="178"/>
      <x:c r="AD45" s="122"/>
      <x:c r="AE45" s="177"/>
      <x:c r="AF45" s="122"/>
      <x:c r="AG45" s="177"/>
      <x:c r="AH45" s="178"/>
      <x:c r="AI45" s="122"/>
      <x:c r="AJ45" s="177"/>
      <x:c r="AK45" s="122"/>
      <x:c r="AL45" s="177"/>
      <x:c r="AM45" s="178"/>
      <x:c r="AN45" s="122"/>
      <x:c r="AO45" s="177"/>
      <x:c r="AP45" s="122"/>
    </x:row>
    <x:row r="46" ht="19.5" customHeight="1">
      <x:c r="A46" s="169"/>
      <x:c r="B46" s="170"/>
      <x:c r="C46" s="200"/>
      <x:c r="D46" s="200"/>
      <x:c r="E46" s="200"/>
      <x:c r="F46" s="201"/>
      <x:c r="G46" s="255"/>
      <x:c r="H46" s="255"/>
      <x:c r="I46" s="174"/>
      <x:c r="J46" s="122"/>
      <x:c r="K46" s="177"/>
      <x:c r="L46" s="122"/>
      <x:c r="M46" s="177"/>
      <x:c r="N46" s="178"/>
      <x:c r="O46" s="122"/>
      <x:c r="P46" s="177"/>
      <x:c r="Q46" s="122"/>
      <x:c r="R46" s="177"/>
      <x:c r="S46" s="178"/>
      <x:c r="T46" s="122"/>
      <x:c r="U46" s="177"/>
      <x:c r="V46" s="122"/>
      <x:c r="W46" s="177"/>
      <x:c r="X46" s="178"/>
      <x:c r="Y46" s="122"/>
      <x:c r="Z46" s="177"/>
      <x:c r="AA46" s="122"/>
      <x:c r="AB46" s="177"/>
      <x:c r="AC46" s="178"/>
      <x:c r="AD46" s="122"/>
      <x:c r="AE46" s="177"/>
      <x:c r="AF46" s="122"/>
      <x:c r="AG46" s="177"/>
      <x:c r="AH46" s="178"/>
      <x:c r="AI46" s="122"/>
      <x:c r="AJ46" s="177"/>
      <x:c r="AK46" s="122"/>
      <x:c r="AL46" s="177"/>
      <x:c r="AM46" s="178"/>
      <x:c r="AN46" s="122"/>
      <x:c r="AO46" s="177"/>
      <x:c r="AP46" s="122"/>
    </x:row>
    <x:row r="47" ht="19.5" customHeight="1">
      <x:c r="A47" s="160"/>
      <x:c r="B47" s="179"/>
      <x:c r="C47" s="200"/>
      <x:c r="D47" s="200"/>
      <x:c r="E47" s="200"/>
      <x:c r="F47" s="201"/>
      <x:c r="G47" s="255"/>
      <x:c r="H47" s="255"/>
      <x:c r="I47" s="174"/>
      <x:c r="J47" s="122"/>
      <x:c r="K47" s="177"/>
      <x:c r="L47" s="122"/>
      <x:c r="M47" s="177"/>
      <x:c r="N47" s="178"/>
      <x:c r="O47" s="122"/>
      <x:c r="P47" s="177"/>
      <x:c r="Q47" s="122"/>
      <x:c r="R47" s="177"/>
      <x:c r="S47" s="178"/>
      <x:c r="T47" s="122"/>
      <x:c r="U47" s="177"/>
      <x:c r="V47" s="122"/>
      <x:c r="W47" s="177"/>
      <x:c r="X47" s="178"/>
      <x:c r="Y47" s="122"/>
      <x:c r="Z47" s="177"/>
      <x:c r="AA47" s="122"/>
      <x:c r="AB47" s="177"/>
      <x:c r="AC47" s="178"/>
      <x:c r="AD47" s="122"/>
      <x:c r="AE47" s="177"/>
      <x:c r="AF47" s="122"/>
      <x:c r="AG47" s="177"/>
      <x:c r="AH47" s="178"/>
      <x:c r="AI47" s="122"/>
      <x:c r="AJ47" s="177"/>
      <x:c r="AK47" s="122"/>
      <x:c r="AL47" s="177"/>
      <x:c r="AM47" s="178"/>
      <x:c r="AN47" s="122"/>
      <x:c r="AO47" s="177"/>
      <x:c r="AP47" s="122"/>
    </x:row>
    <x:row r="48" ht="19.5" customHeight="1">
      <x:c r="A48" s="169"/>
      <x:c r="B48" s="170"/>
      <x:c r="C48" s="200"/>
      <x:c r="D48" s="200"/>
      <x:c r="E48" s="200"/>
      <x:c r="F48" s="201"/>
      <x:c r="G48" s="255"/>
      <x:c r="H48" s="255"/>
      <x:c r="I48" s="174"/>
      <x:c r="J48" s="122"/>
      <x:c r="K48" s="177"/>
      <x:c r="L48" s="122"/>
      <x:c r="M48" s="177"/>
      <x:c r="N48" s="178"/>
      <x:c r="O48" s="122"/>
      <x:c r="P48" s="177"/>
      <x:c r="Q48" s="122"/>
      <x:c r="R48" s="177"/>
      <x:c r="S48" s="178"/>
      <x:c r="T48" s="122"/>
      <x:c r="U48" s="177"/>
      <x:c r="V48" s="122"/>
      <x:c r="W48" s="177"/>
      <x:c r="X48" s="178"/>
      <x:c r="Y48" s="122"/>
      <x:c r="Z48" s="177"/>
      <x:c r="AA48" s="122"/>
      <x:c r="AB48" s="177"/>
      <x:c r="AC48" s="178"/>
      <x:c r="AD48" s="122"/>
      <x:c r="AE48" s="177"/>
      <x:c r="AF48" s="122"/>
      <x:c r="AG48" s="177"/>
      <x:c r="AH48" s="178"/>
      <x:c r="AI48" s="122"/>
      <x:c r="AJ48" s="177"/>
      <x:c r="AK48" s="122"/>
      <x:c r="AL48" s="177"/>
      <x:c r="AM48" s="178"/>
      <x:c r="AN48" s="122"/>
      <x:c r="AO48" s="177"/>
      <x:c r="AP48" s="122"/>
    </x:row>
    <x:row r="49" ht="19.5" customHeight="1">
      <x:c r="A49" s="160"/>
      <x:c r="B49" s="179"/>
      <x:c r="C49" s="200"/>
      <x:c r="D49" s="200"/>
      <x:c r="E49" s="200"/>
      <x:c r="F49" s="201"/>
      <x:c r="G49" s="255"/>
      <x:c r="H49" s="255"/>
      <x:c r="I49" s="174"/>
      <x:c r="J49" s="122"/>
      <x:c r="K49" s="177"/>
      <x:c r="L49" s="122"/>
      <x:c r="M49" s="177"/>
      <x:c r="N49" s="178"/>
      <x:c r="O49" s="122"/>
      <x:c r="P49" s="177"/>
      <x:c r="Q49" s="122"/>
      <x:c r="R49" s="177"/>
      <x:c r="S49" s="178"/>
      <x:c r="T49" s="122"/>
      <x:c r="U49" s="177"/>
      <x:c r="V49" s="122"/>
      <x:c r="W49" s="177"/>
      <x:c r="X49" s="178"/>
      <x:c r="Y49" s="122"/>
      <x:c r="Z49" s="177"/>
      <x:c r="AA49" s="122"/>
      <x:c r="AB49" s="177"/>
      <x:c r="AC49" s="178"/>
      <x:c r="AD49" s="122"/>
      <x:c r="AE49" s="177"/>
      <x:c r="AF49" s="122"/>
      <x:c r="AG49" s="177"/>
      <x:c r="AH49" s="178"/>
      <x:c r="AI49" s="122"/>
      <x:c r="AJ49" s="177"/>
      <x:c r="AK49" s="122"/>
      <x:c r="AL49" s="177"/>
      <x:c r="AM49" s="178"/>
      <x:c r="AN49" s="122"/>
      <x:c r="AO49" s="177"/>
      <x:c r="AP49" s="122"/>
    </x:row>
    <x:row r="50" ht="19.5" customHeight="1">
      <x:c r="A50" s="169"/>
      <x:c r="B50" s="170"/>
      <x:c r="C50" s="200"/>
      <x:c r="D50" s="200"/>
      <x:c r="E50" s="200"/>
      <x:c r="F50" s="201"/>
      <x:c r="G50" s="255"/>
      <x:c r="H50" s="255"/>
      <x:c r="I50" s="174"/>
      <x:c r="J50" s="122"/>
      <x:c r="K50" s="177"/>
      <x:c r="L50" s="122"/>
      <x:c r="M50" s="177"/>
      <x:c r="N50" s="178"/>
      <x:c r="O50" s="122"/>
      <x:c r="P50" s="177"/>
      <x:c r="Q50" s="122"/>
      <x:c r="R50" s="177"/>
      <x:c r="S50" s="178"/>
      <x:c r="T50" s="122"/>
      <x:c r="U50" s="177"/>
      <x:c r="V50" s="122"/>
      <x:c r="W50" s="177"/>
      <x:c r="X50" s="178"/>
      <x:c r="Y50" s="122"/>
      <x:c r="Z50" s="177"/>
      <x:c r="AA50" s="122"/>
      <x:c r="AB50" s="177"/>
      <x:c r="AC50" s="178"/>
      <x:c r="AD50" s="122"/>
      <x:c r="AE50" s="177"/>
      <x:c r="AF50" s="122"/>
      <x:c r="AG50" s="177"/>
      <x:c r="AH50" s="178"/>
      <x:c r="AI50" s="122"/>
      <x:c r="AJ50" s="177"/>
      <x:c r="AK50" s="122"/>
      <x:c r="AL50" s="177"/>
      <x:c r="AM50" s="178"/>
      <x:c r="AN50" s="122"/>
      <x:c r="AO50" s="177"/>
      <x:c r="AP50" s="122"/>
    </x:row>
    <x:row r="51" ht="19.5" customHeight="1">
      <x:c r="A51" s="160"/>
      <x:c r="B51" s="179"/>
      <x:c r="C51" s="200"/>
      <x:c r="D51" s="200"/>
      <x:c r="E51" s="200"/>
      <x:c r="F51" s="201"/>
      <x:c r="G51" s="255"/>
      <x:c r="H51" s="255"/>
      <x:c r="I51" s="174"/>
      <x:c r="J51" s="122"/>
      <x:c r="K51" s="177"/>
      <x:c r="L51" s="122"/>
      <x:c r="M51" s="177"/>
      <x:c r="N51" s="178"/>
      <x:c r="O51" s="122"/>
      <x:c r="P51" s="177"/>
      <x:c r="Q51" s="122"/>
      <x:c r="R51" s="177"/>
      <x:c r="S51" s="178"/>
      <x:c r="T51" s="122"/>
      <x:c r="U51" s="177"/>
      <x:c r="V51" s="122"/>
      <x:c r="W51" s="177"/>
      <x:c r="X51" s="178"/>
      <x:c r="Y51" s="122"/>
      <x:c r="Z51" s="177"/>
      <x:c r="AA51" s="122"/>
      <x:c r="AB51" s="177"/>
      <x:c r="AC51" s="178"/>
      <x:c r="AD51" s="122"/>
      <x:c r="AE51" s="177"/>
      <x:c r="AF51" s="122"/>
      <x:c r="AG51" s="177"/>
      <x:c r="AH51" s="178"/>
      <x:c r="AI51" s="122"/>
      <x:c r="AJ51" s="177"/>
      <x:c r="AK51" s="122"/>
      <x:c r="AL51" s="177"/>
      <x:c r="AM51" s="178"/>
      <x:c r="AN51" s="122"/>
      <x:c r="AO51" s="177"/>
      <x:c r="AP51" s="122"/>
    </x:row>
    <x:row r="52" ht="19.5" customHeight="1">
      <x:c r="A52" s="169"/>
      <x:c r="B52" s="170"/>
      <x:c r="C52" s="200"/>
      <x:c r="D52" s="200"/>
      <x:c r="E52" s="200"/>
      <x:c r="F52" s="201"/>
      <x:c r="G52" s="255"/>
      <x:c r="H52" s="255"/>
      <x:c r="I52" s="174"/>
      <x:c r="J52" s="122"/>
      <x:c r="K52" s="177"/>
      <x:c r="L52" s="122"/>
      <x:c r="M52" s="177"/>
      <x:c r="N52" s="178"/>
      <x:c r="O52" s="122"/>
      <x:c r="P52" s="177"/>
      <x:c r="Q52" s="122"/>
      <x:c r="R52" s="177"/>
      <x:c r="S52" s="178"/>
      <x:c r="T52" s="122"/>
      <x:c r="U52" s="177"/>
      <x:c r="V52" s="122"/>
      <x:c r="W52" s="177"/>
      <x:c r="X52" s="178"/>
      <x:c r="Y52" s="122"/>
      <x:c r="Z52" s="177"/>
      <x:c r="AA52" s="122"/>
      <x:c r="AB52" s="177"/>
      <x:c r="AC52" s="178"/>
      <x:c r="AD52" s="122"/>
      <x:c r="AE52" s="177"/>
      <x:c r="AF52" s="122"/>
      <x:c r="AG52" s="177"/>
      <x:c r="AH52" s="178"/>
      <x:c r="AI52" s="122"/>
      <x:c r="AJ52" s="177"/>
      <x:c r="AK52" s="122"/>
      <x:c r="AL52" s="177"/>
      <x:c r="AM52" s="178"/>
      <x:c r="AN52" s="122"/>
      <x:c r="AO52" s="177"/>
      <x:c r="AP52" s="122"/>
    </x:row>
    <x:row r="53" ht="19.5" customHeight="1">
      <x:c r="A53" s="160"/>
      <x:c r="B53" s="179"/>
      <x:c r="C53" s="200"/>
      <x:c r="D53" s="200"/>
      <x:c r="E53" s="200"/>
      <x:c r="F53" s="201"/>
      <x:c r="G53" s="255"/>
      <x:c r="H53" s="255"/>
      <x:c r="I53" s="174"/>
      <x:c r="J53" s="122"/>
      <x:c r="K53" s="177"/>
      <x:c r="L53" s="122"/>
      <x:c r="M53" s="177"/>
      <x:c r="N53" s="178"/>
      <x:c r="O53" s="122"/>
      <x:c r="P53" s="177"/>
      <x:c r="Q53" s="122"/>
      <x:c r="R53" s="177"/>
      <x:c r="S53" s="178"/>
      <x:c r="T53" s="122"/>
      <x:c r="U53" s="177"/>
      <x:c r="V53" s="122"/>
      <x:c r="W53" s="177"/>
      <x:c r="X53" s="178"/>
      <x:c r="Y53" s="122"/>
      <x:c r="Z53" s="177"/>
      <x:c r="AA53" s="122"/>
      <x:c r="AB53" s="177"/>
      <x:c r="AC53" s="178"/>
      <x:c r="AD53" s="122"/>
      <x:c r="AE53" s="177"/>
      <x:c r="AF53" s="122"/>
      <x:c r="AG53" s="177"/>
      <x:c r="AH53" s="178"/>
      <x:c r="AI53" s="122"/>
      <x:c r="AJ53" s="177"/>
      <x:c r="AK53" s="122"/>
      <x:c r="AL53" s="177"/>
      <x:c r="AM53" s="178"/>
      <x:c r="AN53" s="122"/>
      <x:c r="AO53" s="177"/>
      <x:c r="AP53" s="122"/>
    </x:row>
    <x:row r="54" ht="19.5" customHeight="1">
      <x:c r="A54" s="169"/>
      <x:c r="B54" s="170"/>
      <x:c r="C54" s="200"/>
      <x:c r="D54" s="200"/>
      <x:c r="E54" s="200"/>
      <x:c r="F54" s="201"/>
      <x:c r="G54" s="255"/>
      <x:c r="H54" s="255"/>
      <x:c r="I54" s="174"/>
      <x:c r="J54" s="122"/>
      <x:c r="K54" s="177"/>
      <x:c r="L54" s="122"/>
      <x:c r="M54" s="177"/>
      <x:c r="N54" s="178"/>
      <x:c r="O54" s="122"/>
      <x:c r="P54" s="177"/>
      <x:c r="Q54" s="122"/>
      <x:c r="R54" s="177"/>
      <x:c r="S54" s="178"/>
      <x:c r="T54" s="122"/>
      <x:c r="U54" s="177"/>
      <x:c r="V54" s="122"/>
      <x:c r="W54" s="177"/>
      <x:c r="X54" s="178"/>
      <x:c r="Y54" s="122"/>
      <x:c r="Z54" s="177"/>
      <x:c r="AA54" s="122"/>
      <x:c r="AB54" s="177"/>
      <x:c r="AC54" s="178"/>
      <x:c r="AD54" s="122"/>
      <x:c r="AE54" s="177"/>
      <x:c r="AF54" s="122"/>
      <x:c r="AG54" s="177"/>
      <x:c r="AH54" s="178"/>
      <x:c r="AI54" s="122"/>
      <x:c r="AJ54" s="177"/>
      <x:c r="AK54" s="122"/>
      <x:c r="AL54" s="177"/>
      <x:c r="AM54" s="178"/>
      <x:c r="AN54" s="122"/>
      <x:c r="AO54" s="177"/>
      <x:c r="AP54" s="122"/>
    </x:row>
    <x:row r="55" ht="19.5" customHeight="1">
      <x:c r="A55" s="160"/>
      <x:c r="B55" s="179"/>
      <x:c r="C55" s="200"/>
      <x:c r="D55" s="200"/>
      <x:c r="E55" s="200"/>
      <x:c r="F55" s="201"/>
      <x:c r="G55" s="255"/>
      <x:c r="H55" s="255"/>
      <x:c r="I55" s="174"/>
      <x:c r="J55" s="122"/>
      <x:c r="K55" s="177"/>
      <x:c r="L55" s="122"/>
      <x:c r="M55" s="177"/>
      <x:c r="N55" s="178"/>
      <x:c r="O55" s="122"/>
      <x:c r="P55" s="177"/>
      <x:c r="Q55" s="122"/>
      <x:c r="R55" s="177"/>
      <x:c r="S55" s="178"/>
      <x:c r="T55" s="122"/>
      <x:c r="U55" s="177"/>
      <x:c r="V55" s="122"/>
      <x:c r="W55" s="177"/>
      <x:c r="X55" s="178"/>
      <x:c r="Y55" s="122"/>
      <x:c r="Z55" s="177"/>
      <x:c r="AA55" s="122"/>
      <x:c r="AB55" s="177"/>
      <x:c r="AC55" s="178"/>
      <x:c r="AD55" s="122"/>
      <x:c r="AE55" s="177"/>
      <x:c r="AF55" s="122"/>
      <x:c r="AG55" s="177"/>
      <x:c r="AH55" s="178"/>
      <x:c r="AI55" s="122"/>
      <x:c r="AJ55" s="177"/>
      <x:c r="AK55" s="122"/>
      <x:c r="AL55" s="177"/>
      <x:c r="AM55" s="178"/>
      <x:c r="AN55" s="122"/>
      <x:c r="AO55" s="177"/>
      <x:c r="AP55" s="122"/>
    </x:row>
    <x:row r="56" ht="19.5" customHeight="1">
      <x:c r="A56" s="169"/>
      <x:c r="B56" s="170"/>
      <x:c r="C56" s="200"/>
      <x:c r="D56" s="200"/>
      <x:c r="E56" s="200"/>
      <x:c r="F56" s="201"/>
      <x:c r="G56" s="255"/>
      <x:c r="H56" s="255"/>
      <x:c r="I56" s="174"/>
      <x:c r="J56" s="122"/>
      <x:c r="K56" s="177"/>
      <x:c r="L56" s="122"/>
      <x:c r="M56" s="177"/>
      <x:c r="N56" s="178"/>
      <x:c r="O56" s="122"/>
      <x:c r="P56" s="177"/>
      <x:c r="Q56" s="122"/>
      <x:c r="R56" s="177"/>
      <x:c r="S56" s="178"/>
      <x:c r="T56" s="122"/>
      <x:c r="U56" s="177"/>
      <x:c r="V56" s="122"/>
      <x:c r="W56" s="177"/>
      <x:c r="X56" s="178"/>
      <x:c r="Y56" s="122"/>
      <x:c r="Z56" s="177"/>
      <x:c r="AA56" s="122"/>
      <x:c r="AB56" s="177"/>
      <x:c r="AC56" s="178"/>
      <x:c r="AD56" s="122"/>
      <x:c r="AE56" s="177"/>
      <x:c r="AF56" s="122"/>
      <x:c r="AG56" s="177"/>
      <x:c r="AH56" s="178"/>
      <x:c r="AI56" s="122"/>
      <x:c r="AJ56" s="177"/>
      <x:c r="AK56" s="122"/>
      <x:c r="AL56" s="177"/>
      <x:c r="AM56" s="178"/>
      <x:c r="AN56" s="122"/>
      <x:c r="AO56" s="177"/>
      <x:c r="AP56" s="122"/>
    </x:row>
    <x:row r="57" ht="19.5" customHeight="1">
      <x:c r="A57" s="160"/>
      <x:c r="B57" s="179"/>
      <x:c r="C57" s="200"/>
      <x:c r="D57" s="200"/>
      <x:c r="E57" s="200"/>
      <x:c r="F57" s="201"/>
      <x:c r="G57" s="255"/>
      <x:c r="H57" s="255"/>
      <x:c r="I57" s="174"/>
      <x:c r="J57" s="122"/>
      <x:c r="K57" s="177"/>
      <x:c r="L57" s="122"/>
      <x:c r="M57" s="177"/>
      <x:c r="N57" s="178"/>
      <x:c r="O57" s="122"/>
      <x:c r="P57" s="177"/>
      <x:c r="Q57" s="122"/>
      <x:c r="R57" s="177"/>
      <x:c r="S57" s="178"/>
      <x:c r="T57" s="122"/>
      <x:c r="U57" s="177"/>
      <x:c r="V57" s="122"/>
      <x:c r="W57" s="177"/>
      <x:c r="X57" s="178"/>
      <x:c r="Y57" s="122"/>
      <x:c r="Z57" s="177"/>
      <x:c r="AA57" s="122"/>
      <x:c r="AB57" s="177"/>
      <x:c r="AC57" s="178"/>
      <x:c r="AD57" s="122"/>
      <x:c r="AE57" s="177"/>
      <x:c r="AF57" s="122"/>
      <x:c r="AG57" s="177"/>
      <x:c r="AH57" s="178"/>
      <x:c r="AI57" s="122"/>
      <x:c r="AJ57" s="177"/>
      <x:c r="AK57" s="122"/>
      <x:c r="AL57" s="177"/>
      <x:c r="AM57" s="178"/>
      <x:c r="AN57" s="122"/>
      <x:c r="AO57" s="177"/>
      <x:c r="AP57" s="122"/>
    </x:row>
    <x:row r="58" ht="19.5" customHeight="1">
      <x:c r="A58" s="169"/>
      <x:c r="B58" s="170"/>
      <x:c r="C58" s="200"/>
      <x:c r="D58" s="200"/>
      <x:c r="E58" s="200"/>
      <x:c r="F58" s="201"/>
      <x:c r="G58" s="255"/>
      <x:c r="H58" s="255"/>
      <x:c r="I58" s="174"/>
      <x:c r="J58" s="122"/>
      <x:c r="K58" s="177"/>
      <x:c r="L58" s="122"/>
      <x:c r="M58" s="177"/>
      <x:c r="N58" s="178"/>
      <x:c r="O58" s="122"/>
      <x:c r="P58" s="177"/>
      <x:c r="Q58" s="122"/>
      <x:c r="R58" s="177"/>
      <x:c r="S58" s="178"/>
      <x:c r="T58" s="122"/>
      <x:c r="U58" s="177"/>
      <x:c r="V58" s="122"/>
      <x:c r="W58" s="177"/>
      <x:c r="X58" s="178"/>
      <x:c r="Y58" s="122"/>
      <x:c r="Z58" s="177"/>
      <x:c r="AA58" s="122"/>
      <x:c r="AB58" s="177"/>
      <x:c r="AC58" s="178"/>
      <x:c r="AD58" s="122"/>
      <x:c r="AE58" s="177"/>
      <x:c r="AF58" s="122"/>
      <x:c r="AG58" s="177"/>
      <x:c r="AH58" s="178"/>
      <x:c r="AI58" s="122"/>
      <x:c r="AJ58" s="177"/>
      <x:c r="AK58" s="122"/>
      <x:c r="AL58" s="177"/>
      <x:c r="AM58" s="178"/>
      <x:c r="AN58" s="122"/>
      <x:c r="AO58" s="177"/>
      <x:c r="AP58" s="122"/>
    </x:row>
    <x:row r="59" ht="19.5" customHeight="1">
      <x:c r="A59" s="160"/>
      <x:c r="B59" s="179"/>
      <x:c r="C59" s="200"/>
      <x:c r="D59" s="200"/>
      <x:c r="E59" s="200"/>
      <x:c r="F59" s="201"/>
      <x:c r="G59" s="255"/>
      <x:c r="H59" s="255"/>
      <x:c r="I59" s="174"/>
      <x:c r="J59" s="122"/>
      <x:c r="K59" s="177"/>
      <x:c r="L59" s="122"/>
      <x:c r="M59" s="177"/>
      <x:c r="N59" s="178"/>
      <x:c r="O59" s="122"/>
      <x:c r="P59" s="177"/>
      <x:c r="Q59" s="122"/>
      <x:c r="R59" s="177"/>
      <x:c r="S59" s="178"/>
      <x:c r="T59" s="122"/>
      <x:c r="U59" s="177"/>
      <x:c r="V59" s="122"/>
      <x:c r="W59" s="177"/>
      <x:c r="X59" s="178"/>
      <x:c r="Y59" s="122"/>
      <x:c r="Z59" s="177"/>
      <x:c r="AA59" s="122"/>
      <x:c r="AB59" s="177"/>
      <x:c r="AC59" s="178"/>
      <x:c r="AD59" s="122"/>
      <x:c r="AE59" s="177"/>
      <x:c r="AF59" s="122"/>
      <x:c r="AG59" s="177"/>
      <x:c r="AH59" s="178"/>
      <x:c r="AI59" s="122"/>
      <x:c r="AJ59" s="177"/>
      <x:c r="AK59" s="122"/>
      <x:c r="AL59" s="177"/>
      <x:c r="AM59" s="178"/>
      <x:c r="AN59" s="122"/>
      <x:c r="AO59" s="177"/>
      <x:c r="AP59" s="122"/>
    </x:row>
    <x:row r="60" ht="19.5" customHeight="1">
      <x:c r="A60" s="169"/>
      <x:c r="B60" s="170"/>
      <x:c r="C60" s="200"/>
      <x:c r="D60" s="200"/>
      <x:c r="E60" s="200"/>
      <x:c r="F60" s="201"/>
      <x:c r="G60" s="255"/>
      <x:c r="H60" s="255"/>
      <x:c r="I60" s="174"/>
      <x:c r="J60" s="122"/>
      <x:c r="K60" s="177"/>
      <x:c r="L60" s="122"/>
      <x:c r="M60" s="177"/>
      <x:c r="N60" s="178"/>
      <x:c r="O60" s="122"/>
      <x:c r="P60" s="177"/>
      <x:c r="Q60" s="122"/>
      <x:c r="R60" s="177"/>
      <x:c r="S60" s="178"/>
      <x:c r="T60" s="122"/>
      <x:c r="U60" s="177"/>
      <x:c r="V60" s="122"/>
      <x:c r="W60" s="177"/>
      <x:c r="X60" s="178"/>
      <x:c r="Y60" s="122"/>
      <x:c r="Z60" s="177"/>
      <x:c r="AA60" s="122"/>
      <x:c r="AB60" s="177"/>
      <x:c r="AC60" s="178"/>
      <x:c r="AD60" s="122"/>
      <x:c r="AE60" s="177"/>
      <x:c r="AF60" s="122"/>
      <x:c r="AG60" s="177"/>
      <x:c r="AH60" s="178"/>
      <x:c r="AI60" s="122"/>
      <x:c r="AJ60" s="177"/>
      <x:c r="AK60" s="122"/>
      <x:c r="AL60" s="177"/>
      <x:c r="AM60" s="178"/>
      <x:c r="AN60" s="122"/>
      <x:c r="AO60" s="177"/>
      <x:c r="AP60" s="122"/>
    </x:row>
    <x:row r="61" ht="19.5" customHeight="1">
      <x:c r="A61" s="160"/>
      <x:c r="B61" s="179"/>
      <x:c r="C61" s="200"/>
      <x:c r="D61" s="200"/>
      <x:c r="E61" s="200"/>
      <x:c r="F61" s="201"/>
      <x:c r="G61" s="255"/>
      <x:c r="H61" s="255"/>
      <x:c r="I61" s="174"/>
      <x:c r="J61" s="122"/>
      <x:c r="K61" s="177"/>
      <x:c r="L61" s="122"/>
      <x:c r="M61" s="177"/>
      <x:c r="N61" s="178"/>
      <x:c r="O61" s="122"/>
      <x:c r="P61" s="177"/>
      <x:c r="Q61" s="122"/>
      <x:c r="R61" s="177"/>
      <x:c r="S61" s="178"/>
      <x:c r="T61" s="122"/>
      <x:c r="U61" s="177"/>
      <x:c r="V61" s="122"/>
      <x:c r="W61" s="177"/>
      <x:c r="X61" s="178"/>
      <x:c r="Y61" s="122"/>
      <x:c r="Z61" s="177"/>
      <x:c r="AA61" s="122"/>
      <x:c r="AB61" s="177"/>
      <x:c r="AC61" s="178"/>
      <x:c r="AD61" s="122"/>
      <x:c r="AE61" s="177"/>
      <x:c r="AF61" s="122"/>
      <x:c r="AG61" s="177"/>
      <x:c r="AH61" s="178"/>
      <x:c r="AI61" s="122"/>
      <x:c r="AJ61" s="177"/>
      <x:c r="AK61" s="122"/>
      <x:c r="AL61" s="177"/>
      <x:c r="AM61" s="178"/>
      <x:c r="AN61" s="122"/>
      <x:c r="AO61" s="177"/>
      <x:c r="AP61" s="122"/>
    </x:row>
    <x:row r="62" ht="19.5" hidden="1" customHeight="1">
      <x:c r="A62" s="169"/>
      <x:c r="B62" s="170"/>
      <x:c r="C62" s="200"/>
      <x:c r="D62" s="200"/>
      <x:c r="E62" s="200"/>
      <x:c r="F62" s="201"/>
      <x:c r="G62" s="255"/>
      <x:c r="H62" s="255"/>
      <x:c r="I62" s="174"/>
      <x:c r="J62" s="122"/>
      <x:c r="K62" s="177"/>
      <x:c r="L62" s="122"/>
      <x:c r="M62" s="177"/>
      <x:c r="N62" s="178"/>
      <x:c r="O62" s="122"/>
      <x:c r="P62" s="177"/>
      <x:c r="Q62" s="122"/>
      <x:c r="R62" s="177"/>
      <x:c r="S62" s="178"/>
      <x:c r="T62" s="122"/>
      <x:c r="U62" s="177"/>
      <x:c r="V62" s="122"/>
      <x:c r="W62" s="177"/>
      <x:c r="X62" s="178"/>
      <x:c r="Y62" s="122"/>
      <x:c r="Z62" s="177"/>
      <x:c r="AA62" s="122"/>
      <x:c r="AB62" s="177"/>
      <x:c r="AC62" s="178"/>
      <x:c r="AD62" s="122"/>
      <x:c r="AE62" s="177"/>
      <x:c r="AF62" s="122"/>
      <x:c r="AG62" s="177"/>
      <x:c r="AH62" s="178"/>
      <x:c r="AI62" s="122"/>
      <x:c r="AJ62" s="177"/>
      <x:c r="AK62" s="122"/>
      <x:c r="AL62" s="177"/>
      <x:c r="AM62" s="178"/>
      <x:c r="AN62" s="122"/>
      <x:c r="AO62" s="177"/>
      <x:c r="AP62" s="122"/>
    </x:row>
    <x:row r="63" ht="19.5" hidden="1" customHeight="1">
      <x:c r="A63" s="160"/>
      <x:c r="B63" s="179"/>
      <x:c r="C63" s="200"/>
      <x:c r="D63" s="200"/>
      <x:c r="E63" s="200"/>
      <x:c r="F63" s="201"/>
      <x:c r="G63" s="255"/>
      <x:c r="H63" s="255"/>
      <x:c r="I63" s="174"/>
      <x:c r="J63" s="122"/>
      <x:c r="K63" s="177"/>
      <x:c r="L63" s="122"/>
      <x:c r="M63" s="177"/>
      <x:c r="N63" s="178"/>
      <x:c r="O63" s="122"/>
      <x:c r="P63" s="177"/>
      <x:c r="Q63" s="122"/>
      <x:c r="R63" s="177"/>
      <x:c r="S63" s="178"/>
      <x:c r="T63" s="122"/>
      <x:c r="U63" s="177"/>
      <x:c r="V63" s="122"/>
      <x:c r="W63" s="177"/>
      <x:c r="X63" s="178"/>
      <x:c r="Y63" s="122"/>
      <x:c r="Z63" s="177"/>
      <x:c r="AA63" s="122"/>
      <x:c r="AB63" s="177"/>
      <x:c r="AC63" s="178"/>
      <x:c r="AD63" s="122"/>
      <x:c r="AE63" s="177"/>
      <x:c r="AF63" s="122"/>
      <x:c r="AG63" s="177"/>
      <x:c r="AH63" s="178"/>
      <x:c r="AI63" s="122"/>
      <x:c r="AJ63" s="177"/>
      <x:c r="AK63" s="122"/>
      <x:c r="AL63" s="177"/>
      <x:c r="AM63" s="178"/>
      <x:c r="AN63" s="122"/>
      <x:c r="AO63" s="177"/>
      <x:c r="AP63" s="122"/>
    </x:row>
    <x:row r="64" ht="19.5" hidden="1" customHeight="1">
      <x:c r="A64" s="169"/>
      <x:c r="B64" s="170"/>
      <x:c r="C64" s="200"/>
      <x:c r="D64" s="200"/>
      <x:c r="E64" s="200"/>
      <x:c r="F64" s="201"/>
      <x:c r="G64" s="255"/>
      <x:c r="H64" s="255"/>
      <x:c r="I64" s="174"/>
      <x:c r="J64" s="122"/>
      <x:c r="K64" s="177"/>
      <x:c r="L64" s="122"/>
      <x:c r="M64" s="177"/>
      <x:c r="N64" s="178"/>
      <x:c r="O64" s="122"/>
      <x:c r="P64" s="177"/>
      <x:c r="Q64" s="122"/>
      <x:c r="R64" s="177"/>
      <x:c r="S64" s="178"/>
      <x:c r="T64" s="122"/>
      <x:c r="U64" s="177"/>
      <x:c r="V64" s="122"/>
      <x:c r="W64" s="177"/>
      <x:c r="X64" s="178"/>
      <x:c r="Y64" s="122"/>
      <x:c r="Z64" s="177"/>
      <x:c r="AA64" s="122"/>
      <x:c r="AB64" s="177"/>
      <x:c r="AC64" s="178"/>
      <x:c r="AD64" s="122"/>
      <x:c r="AE64" s="177"/>
      <x:c r="AF64" s="122"/>
      <x:c r="AG64" s="177"/>
      <x:c r="AH64" s="178"/>
      <x:c r="AI64" s="122"/>
      <x:c r="AJ64" s="177"/>
      <x:c r="AK64" s="122"/>
      <x:c r="AL64" s="177"/>
      <x:c r="AM64" s="178"/>
      <x:c r="AN64" s="122"/>
      <x:c r="AO64" s="177"/>
      <x:c r="AP64" s="122"/>
    </x:row>
    <x:row r="65" ht="19.5" hidden="1" customHeight="1">
      <x:c r="A65" s="160"/>
      <x:c r="B65" s="179"/>
      <x:c r="C65" s="200"/>
      <x:c r="D65" s="200"/>
      <x:c r="E65" s="200"/>
      <x:c r="F65" s="201"/>
      <x:c r="G65" s="255"/>
      <x:c r="H65" s="255"/>
      <x:c r="I65" s="174"/>
      <x:c r="J65" s="122"/>
      <x:c r="K65" s="177"/>
      <x:c r="L65" s="122"/>
      <x:c r="M65" s="177"/>
      <x:c r="N65" s="178"/>
      <x:c r="O65" s="122"/>
      <x:c r="P65" s="177"/>
      <x:c r="Q65" s="122"/>
      <x:c r="R65" s="177"/>
      <x:c r="S65" s="178"/>
      <x:c r="T65" s="122"/>
      <x:c r="U65" s="177"/>
      <x:c r="V65" s="122"/>
      <x:c r="W65" s="177"/>
      <x:c r="X65" s="178"/>
      <x:c r="Y65" s="122"/>
      <x:c r="Z65" s="177"/>
      <x:c r="AA65" s="122"/>
      <x:c r="AB65" s="177"/>
      <x:c r="AC65" s="178"/>
      <x:c r="AD65" s="122"/>
      <x:c r="AE65" s="177"/>
      <x:c r="AF65" s="122"/>
      <x:c r="AG65" s="177"/>
      <x:c r="AH65" s="178"/>
      <x:c r="AI65" s="122"/>
      <x:c r="AJ65" s="177"/>
      <x:c r="AK65" s="122"/>
      <x:c r="AL65" s="177"/>
      <x:c r="AM65" s="178"/>
      <x:c r="AN65" s="122"/>
      <x:c r="AO65" s="177"/>
      <x:c r="AP65" s="122"/>
    </x:row>
    <x:row r="66" ht="19.5" hidden="1" customHeight="1">
      <x:c r="A66" s="169"/>
      <x:c r="B66" s="170"/>
      <x:c r="C66" s="200"/>
      <x:c r="D66" s="200"/>
      <x:c r="E66" s="200"/>
      <x:c r="F66" s="201"/>
      <x:c r="G66" s="255"/>
      <x:c r="H66" s="255"/>
      <x:c r="I66" s="174"/>
      <x:c r="J66" s="122"/>
      <x:c r="K66" s="177"/>
      <x:c r="L66" s="122"/>
      <x:c r="M66" s="177"/>
      <x:c r="N66" s="178"/>
      <x:c r="O66" s="122"/>
      <x:c r="P66" s="177"/>
      <x:c r="Q66" s="122"/>
      <x:c r="R66" s="177"/>
      <x:c r="S66" s="178"/>
      <x:c r="T66" s="122"/>
      <x:c r="U66" s="177"/>
      <x:c r="V66" s="122"/>
      <x:c r="W66" s="177"/>
      <x:c r="X66" s="178"/>
      <x:c r="Y66" s="122"/>
      <x:c r="Z66" s="177"/>
      <x:c r="AA66" s="122"/>
      <x:c r="AB66" s="177"/>
      <x:c r="AC66" s="178"/>
      <x:c r="AD66" s="122"/>
      <x:c r="AE66" s="177"/>
      <x:c r="AF66" s="122"/>
      <x:c r="AG66" s="177"/>
      <x:c r="AH66" s="178"/>
      <x:c r="AI66" s="122"/>
      <x:c r="AJ66" s="177"/>
      <x:c r="AK66" s="122"/>
      <x:c r="AL66" s="177"/>
      <x:c r="AM66" s="178"/>
      <x:c r="AN66" s="122"/>
      <x:c r="AO66" s="177"/>
      <x:c r="AP66" s="122"/>
    </x:row>
    <x:row r="67" ht="19.5" hidden="1" customHeight="1">
      <x:c r="A67" s="160"/>
      <x:c r="B67" s="179"/>
      <x:c r="C67" s="200"/>
      <x:c r="D67" s="200"/>
      <x:c r="E67" s="200"/>
      <x:c r="F67" s="201"/>
      <x:c r="G67" s="255"/>
      <x:c r="H67" s="255"/>
      <x:c r="I67" s="174"/>
      <x:c r="J67" s="122"/>
      <x:c r="K67" s="177"/>
      <x:c r="L67" s="122"/>
      <x:c r="M67" s="177"/>
      <x:c r="N67" s="178"/>
      <x:c r="O67" s="122"/>
      <x:c r="P67" s="177"/>
      <x:c r="Q67" s="122"/>
      <x:c r="R67" s="177"/>
      <x:c r="S67" s="178"/>
      <x:c r="T67" s="122"/>
      <x:c r="U67" s="177"/>
      <x:c r="V67" s="122"/>
      <x:c r="W67" s="177"/>
      <x:c r="X67" s="178"/>
      <x:c r="Y67" s="122"/>
      <x:c r="Z67" s="177"/>
      <x:c r="AA67" s="122"/>
      <x:c r="AB67" s="177"/>
      <x:c r="AC67" s="178"/>
      <x:c r="AD67" s="122"/>
      <x:c r="AE67" s="177"/>
      <x:c r="AF67" s="122"/>
      <x:c r="AG67" s="177"/>
      <x:c r="AH67" s="178"/>
      <x:c r="AI67" s="122"/>
      <x:c r="AJ67" s="177"/>
      <x:c r="AK67" s="122"/>
      <x:c r="AL67" s="177"/>
      <x:c r="AM67" s="178"/>
      <x:c r="AN67" s="122"/>
      <x:c r="AO67" s="177"/>
      <x:c r="AP67" s="122"/>
    </x:row>
    <x:row r="68" ht="19.5" hidden="1" customHeight="1">
      <x:c r="A68" s="169"/>
      <x:c r="B68" s="170"/>
      <x:c r="C68" s="200"/>
      <x:c r="D68" s="200"/>
      <x:c r="E68" s="200"/>
      <x:c r="F68" s="201"/>
      <x:c r="G68" s="255"/>
      <x:c r="H68" s="255"/>
      <x:c r="I68" s="174"/>
      <x:c r="J68" s="122"/>
      <x:c r="K68" s="177"/>
      <x:c r="L68" s="122"/>
      <x:c r="M68" s="177"/>
      <x:c r="N68" s="178"/>
      <x:c r="O68" s="122"/>
      <x:c r="P68" s="177"/>
      <x:c r="Q68" s="122"/>
      <x:c r="R68" s="177"/>
      <x:c r="S68" s="178"/>
      <x:c r="T68" s="122"/>
      <x:c r="U68" s="177"/>
      <x:c r="V68" s="122"/>
      <x:c r="W68" s="177"/>
      <x:c r="X68" s="178"/>
      <x:c r="Y68" s="122"/>
      <x:c r="Z68" s="177"/>
      <x:c r="AA68" s="122"/>
      <x:c r="AB68" s="177"/>
      <x:c r="AC68" s="178"/>
      <x:c r="AD68" s="122"/>
      <x:c r="AE68" s="177"/>
      <x:c r="AF68" s="122"/>
      <x:c r="AG68" s="177"/>
      <x:c r="AH68" s="178"/>
      <x:c r="AI68" s="122"/>
      <x:c r="AJ68" s="177"/>
      <x:c r="AK68" s="122"/>
      <x:c r="AL68" s="177"/>
      <x:c r="AM68" s="178"/>
      <x:c r="AN68" s="122"/>
      <x:c r="AO68" s="177"/>
      <x:c r="AP68" s="122"/>
    </x:row>
    <x:row r="69" ht="19.5" hidden="1" customHeight="1">
      <x:c r="A69" s="160"/>
      <x:c r="B69" s="179"/>
      <x:c r="C69" s="200"/>
      <x:c r="D69" s="200"/>
      <x:c r="E69" s="200"/>
      <x:c r="F69" s="201"/>
      <x:c r="G69" s="255"/>
      <x:c r="H69" s="255"/>
      <x:c r="I69" s="174"/>
      <x:c r="J69" s="122"/>
      <x:c r="K69" s="177"/>
      <x:c r="L69" s="122"/>
      <x:c r="M69" s="177"/>
      <x:c r="N69" s="178"/>
      <x:c r="O69" s="122"/>
      <x:c r="P69" s="177"/>
      <x:c r="Q69" s="122"/>
      <x:c r="R69" s="177"/>
      <x:c r="S69" s="178"/>
      <x:c r="T69" s="122"/>
      <x:c r="U69" s="177"/>
      <x:c r="V69" s="122"/>
      <x:c r="W69" s="177"/>
      <x:c r="X69" s="178"/>
      <x:c r="Y69" s="122"/>
      <x:c r="Z69" s="177"/>
      <x:c r="AA69" s="122"/>
      <x:c r="AB69" s="177"/>
      <x:c r="AC69" s="178"/>
      <x:c r="AD69" s="122"/>
      <x:c r="AE69" s="177"/>
      <x:c r="AF69" s="122"/>
      <x:c r="AG69" s="177"/>
      <x:c r="AH69" s="178"/>
      <x:c r="AI69" s="122"/>
      <x:c r="AJ69" s="177"/>
      <x:c r="AK69" s="122"/>
      <x:c r="AL69" s="177"/>
      <x:c r="AM69" s="178"/>
      <x:c r="AN69" s="122"/>
      <x:c r="AO69" s="177"/>
      <x:c r="AP69" s="122"/>
    </x:row>
    <x:row r="70" ht="19.5" hidden="1" customHeight="1">
      <x:c r="A70" s="169"/>
      <x:c r="B70" s="170"/>
      <x:c r="C70" s="200"/>
      <x:c r="D70" s="200"/>
      <x:c r="E70" s="200"/>
      <x:c r="F70" s="201"/>
      <x:c r="G70" s="255"/>
      <x:c r="H70" s="255"/>
      <x:c r="I70" s="174"/>
      <x:c r="J70" s="122"/>
      <x:c r="K70" s="177"/>
      <x:c r="L70" s="122"/>
      <x:c r="M70" s="177"/>
      <x:c r="N70" s="178"/>
      <x:c r="O70" s="122"/>
      <x:c r="P70" s="177"/>
      <x:c r="Q70" s="122"/>
      <x:c r="R70" s="177"/>
      <x:c r="S70" s="178"/>
      <x:c r="T70" s="122"/>
      <x:c r="U70" s="177"/>
      <x:c r="V70" s="122"/>
      <x:c r="W70" s="177"/>
      <x:c r="X70" s="178"/>
      <x:c r="Y70" s="122"/>
      <x:c r="Z70" s="177"/>
      <x:c r="AA70" s="122"/>
      <x:c r="AB70" s="177"/>
      <x:c r="AC70" s="178"/>
      <x:c r="AD70" s="122"/>
      <x:c r="AE70" s="177"/>
      <x:c r="AF70" s="122"/>
      <x:c r="AG70" s="177"/>
      <x:c r="AH70" s="178"/>
      <x:c r="AI70" s="122"/>
      <x:c r="AJ70" s="177"/>
      <x:c r="AK70" s="122"/>
      <x:c r="AL70" s="177"/>
      <x:c r="AM70" s="178"/>
      <x:c r="AN70" s="122"/>
      <x:c r="AO70" s="177"/>
      <x:c r="AP70" s="122"/>
    </x:row>
    <x:row r="71" ht="19.5" hidden="1" customHeight="1">
      <x:c r="A71" s="160"/>
      <x:c r="B71" s="179"/>
      <x:c r="C71" s="200"/>
      <x:c r="D71" s="200"/>
      <x:c r="E71" s="200"/>
      <x:c r="F71" s="201"/>
      <x:c r="G71" s="255"/>
      <x:c r="H71" s="255"/>
      <x:c r="I71" s="174"/>
      <x:c r="J71" s="122"/>
      <x:c r="K71" s="177"/>
      <x:c r="L71" s="122"/>
      <x:c r="M71" s="177"/>
      <x:c r="N71" s="178"/>
      <x:c r="O71" s="122"/>
      <x:c r="P71" s="177"/>
      <x:c r="Q71" s="122"/>
      <x:c r="R71" s="177"/>
      <x:c r="S71" s="178"/>
      <x:c r="T71" s="122"/>
      <x:c r="U71" s="177"/>
      <x:c r="V71" s="122"/>
      <x:c r="W71" s="177"/>
      <x:c r="X71" s="178"/>
      <x:c r="Y71" s="122"/>
      <x:c r="Z71" s="177"/>
      <x:c r="AA71" s="122"/>
      <x:c r="AB71" s="177"/>
      <x:c r="AC71" s="178"/>
      <x:c r="AD71" s="122"/>
      <x:c r="AE71" s="177"/>
      <x:c r="AF71" s="122"/>
      <x:c r="AG71" s="177"/>
      <x:c r="AH71" s="178"/>
      <x:c r="AI71" s="122"/>
      <x:c r="AJ71" s="177"/>
      <x:c r="AK71" s="122"/>
      <x:c r="AL71" s="177"/>
      <x:c r="AM71" s="178"/>
      <x:c r="AN71" s="122"/>
      <x:c r="AO71" s="177"/>
      <x:c r="AP71" s="122"/>
    </x:row>
    <x:row r="72" ht="19.5" hidden="1" customHeight="1">
      <x:c r="A72" s="169"/>
      <x:c r="B72" s="170"/>
      <x:c r="C72" s="200"/>
      <x:c r="D72" s="200"/>
      <x:c r="E72" s="200"/>
      <x:c r="F72" s="201"/>
      <x:c r="G72" s="255"/>
      <x:c r="H72" s="255"/>
      <x:c r="I72" s="174"/>
      <x:c r="J72" s="122"/>
      <x:c r="K72" s="177"/>
      <x:c r="L72" s="122"/>
      <x:c r="M72" s="177"/>
      <x:c r="N72" s="178"/>
      <x:c r="O72" s="122"/>
      <x:c r="P72" s="177"/>
      <x:c r="Q72" s="122"/>
      <x:c r="R72" s="177"/>
      <x:c r="S72" s="178"/>
      <x:c r="T72" s="122"/>
      <x:c r="U72" s="177"/>
      <x:c r="V72" s="122"/>
      <x:c r="W72" s="177"/>
      <x:c r="X72" s="178"/>
      <x:c r="Y72" s="122"/>
      <x:c r="Z72" s="177"/>
      <x:c r="AA72" s="122"/>
      <x:c r="AB72" s="177"/>
      <x:c r="AC72" s="178"/>
      <x:c r="AD72" s="122"/>
      <x:c r="AE72" s="177"/>
      <x:c r="AF72" s="122"/>
      <x:c r="AG72" s="177"/>
      <x:c r="AH72" s="178"/>
      <x:c r="AI72" s="122"/>
      <x:c r="AJ72" s="177"/>
      <x:c r="AK72" s="122"/>
      <x:c r="AL72" s="177"/>
      <x:c r="AM72" s="178"/>
      <x:c r="AN72" s="122"/>
      <x:c r="AO72" s="177"/>
      <x:c r="AP72" s="122"/>
    </x:row>
    <x:row r="73" ht="19.5" hidden="1" customHeight="1">
      <x:c r="A73" s="160"/>
      <x:c r="B73" s="179"/>
      <x:c r="C73" s="200"/>
      <x:c r="D73" s="200"/>
      <x:c r="E73" s="200"/>
      <x:c r="F73" s="201"/>
      <x:c r="G73" s="255"/>
      <x:c r="H73" s="255"/>
      <x:c r="I73" s="174"/>
      <x:c r="J73" s="122"/>
      <x:c r="K73" s="177"/>
      <x:c r="L73" s="122"/>
      <x:c r="M73" s="177"/>
      <x:c r="N73" s="178"/>
      <x:c r="O73" s="122"/>
      <x:c r="P73" s="177"/>
      <x:c r="Q73" s="122"/>
      <x:c r="R73" s="177"/>
      <x:c r="S73" s="178"/>
      <x:c r="T73" s="122"/>
      <x:c r="U73" s="177"/>
      <x:c r="V73" s="122"/>
      <x:c r="W73" s="177"/>
      <x:c r="X73" s="178"/>
      <x:c r="Y73" s="122"/>
      <x:c r="Z73" s="177"/>
      <x:c r="AA73" s="122"/>
      <x:c r="AB73" s="177"/>
      <x:c r="AC73" s="178"/>
      <x:c r="AD73" s="122"/>
      <x:c r="AE73" s="177"/>
      <x:c r="AF73" s="122"/>
      <x:c r="AG73" s="177"/>
      <x:c r="AH73" s="178"/>
      <x:c r="AI73" s="122"/>
      <x:c r="AJ73" s="177"/>
      <x:c r="AK73" s="122"/>
      <x:c r="AL73" s="177"/>
      <x:c r="AM73" s="178"/>
      <x:c r="AN73" s="122"/>
      <x:c r="AO73" s="177"/>
      <x:c r="AP73" s="122"/>
    </x:row>
    <x:row r="74" ht="19.5" hidden="1" customHeight="1">
      <x:c r="A74" s="169"/>
      <x:c r="B74" s="170"/>
      <x:c r="C74" s="200"/>
      <x:c r="D74" s="200"/>
      <x:c r="E74" s="200"/>
      <x:c r="F74" s="201"/>
      <x:c r="G74" s="255"/>
      <x:c r="H74" s="255"/>
      <x:c r="I74" s="174"/>
      <x:c r="J74" s="122"/>
      <x:c r="K74" s="177"/>
      <x:c r="L74" s="122"/>
      <x:c r="M74" s="177"/>
      <x:c r="N74" s="178"/>
      <x:c r="O74" s="122"/>
      <x:c r="P74" s="177"/>
      <x:c r="Q74" s="122"/>
      <x:c r="R74" s="177"/>
      <x:c r="S74" s="178"/>
      <x:c r="T74" s="122"/>
      <x:c r="U74" s="177"/>
      <x:c r="V74" s="122"/>
      <x:c r="W74" s="177"/>
      <x:c r="X74" s="178"/>
      <x:c r="Y74" s="122"/>
      <x:c r="Z74" s="177"/>
      <x:c r="AA74" s="122"/>
      <x:c r="AB74" s="177"/>
      <x:c r="AC74" s="178"/>
      <x:c r="AD74" s="122"/>
      <x:c r="AE74" s="177"/>
      <x:c r="AF74" s="122"/>
      <x:c r="AG74" s="177"/>
      <x:c r="AH74" s="178"/>
      <x:c r="AI74" s="122"/>
      <x:c r="AJ74" s="177"/>
      <x:c r="AK74" s="122"/>
      <x:c r="AL74" s="177"/>
      <x:c r="AM74" s="178"/>
      <x:c r="AN74" s="122"/>
      <x:c r="AO74" s="177"/>
      <x:c r="AP74" s="122"/>
    </x:row>
    <x:row r="75" ht="19.5" hidden="1" customHeight="1">
      <x:c r="A75" s="160"/>
      <x:c r="B75" s="179"/>
      <x:c r="C75" s="200"/>
      <x:c r="D75" s="200"/>
      <x:c r="E75" s="200"/>
      <x:c r="F75" s="201"/>
      <x:c r="G75" s="255"/>
      <x:c r="H75" s="255"/>
      <x:c r="I75" s="174"/>
      <x:c r="J75" s="122"/>
      <x:c r="K75" s="177"/>
      <x:c r="L75" s="122"/>
      <x:c r="M75" s="177"/>
      <x:c r="N75" s="178"/>
      <x:c r="O75" s="122"/>
      <x:c r="P75" s="177"/>
      <x:c r="Q75" s="122"/>
      <x:c r="R75" s="177"/>
      <x:c r="S75" s="178"/>
      <x:c r="T75" s="122"/>
      <x:c r="U75" s="177"/>
      <x:c r="V75" s="122"/>
      <x:c r="W75" s="177"/>
      <x:c r="X75" s="178"/>
      <x:c r="Y75" s="122"/>
      <x:c r="Z75" s="177"/>
      <x:c r="AA75" s="122"/>
      <x:c r="AB75" s="177"/>
      <x:c r="AC75" s="178"/>
      <x:c r="AD75" s="122"/>
      <x:c r="AE75" s="177"/>
      <x:c r="AF75" s="122"/>
      <x:c r="AG75" s="177"/>
      <x:c r="AH75" s="178"/>
      <x:c r="AI75" s="122"/>
      <x:c r="AJ75" s="177"/>
      <x:c r="AK75" s="122"/>
      <x:c r="AL75" s="177"/>
      <x:c r="AM75" s="178"/>
      <x:c r="AN75" s="122"/>
      <x:c r="AO75" s="177"/>
      <x:c r="AP75" s="122"/>
    </x:row>
    <x:row r="76" ht="19.5" hidden="1" customHeight="1">
      <x:c r="A76" s="169"/>
      <x:c r="B76" s="170"/>
      <x:c r="C76" s="200"/>
      <x:c r="D76" s="200"/>
      <x:c r="E76" s="200"/>
      <x:c r="F76" s="201"/>
      <x:c r="G76" s="255"/>
      <x:c r="H76" s="255"/>
      <x:c r="I76" s="174"/>
      <x:c r="J76" s="122"/>
      <x:c r="K76" s="177"/>
      <x:c r="L76" s="122"/>
      <x:c r="M76" s="177"/>
      <x:c r="N76" s="178"/>
      <x:c r="O76" s="122"/>
      <x:c r="P76" s="177"/>
      <x:c r="Q76" s="122"/>
      <x:c r="R76" s="177"/>
      <x:c r="S76" s="178"/>
      <x:c r="T76" s="122"/>
      <x:c r="U76" s="177"/>
      <x:c r="V76" s="122"/>
      <x:c r="W76" s="177"/>
      <x:c r="X76" s="178"/>
      <x:c r="Y76" s="122"/>
      <x:c r="Z76" s="177"/>
      <x:c r="AA76" s="122"/>
      <x:c r="AB76" s="177"/>
      <x:c r="AC76" s="178"/>
      <x:c r="AD76" s="122"/>
      <x:c r="AE76" s="177"/>
      <x:c r="AF76" s="122"/>
      <x:c r="AG76" s="177"/>
      <x:c r="AH76" s="178"/>
      <x:c r="AI76" s="122"/>
      <x:c r="AJ76" s="177"/>
      <x:c r="AK76" s="122"/>
      <x:c r="AL76" s="177"/>
      <x:c r="AM76" s="178"/>
      <x:c r="AN76" s="122"/>
      <x:c r="AO76" s="177"/>
      <x:c r="AP76" s="122"/>
    </x:row>
    <x:row r="77" ht="19.5" hidden="1" customHeight="1">
      <x:c r="A77" s="160"/>
      <x:c r="B77" s="179"/>
      <x:c r="C77" s="200"/>
      <x:c r="D77" s="200"/>
      <x:c r="E77" s="200"/>
      <x:c r="F77" s="201"/>
      <x:c r="G77" s="255"/>
      <x:c r="H77" s="255"/>
      <x:c r="I77" s="174"/>
      <x:c r="J77" s="122"/>
      <x:c r="K77" s="177"/>
      <x:c r="L77" s="122"/>
      <x:c r="M77" s="177"/>
      <x:c r="N77" s="178"/>
      <x:c r="O77" s="122"/>
      <x:c r="P77" s="177"/>
      <x:c r="Q77" s="122"/>
      <x:c r="R77" s="177"/>
      <x:c r="S77" s="178"/>
      <x:c r="T77" s="122"/>
      <x:c r="U77" s="177"/>
      <x:c r="V77" s="122"/>
      <x:c r="W77" s="177"/>
      <x:c r="X77" s="178"/>
      <x:c r="Y77" s="122"/>
      <x:c r="Z77" s="177"/>
      <x:c r="AA77" s="122"/>
      <x:c r="AB77" s="177"/>
      <x:c r="AC77" s="178"/>
      <x:c r="AD77" s="122"/>
      <x:c r="AE77" s="177"/>
      <x:c r="AF77" s="122"/>
      <x:c r="AG77" s="177"/>
      <x:c r="AH77" s="178"/>
      <x:c r="AI77" s="122"/>
      <x:c r="AJ77" s="177"/>
      <x:c r="AK77" s="122"/>
      <x:c r="AL77" s="177"/>
      <x:c r="AM77" s="178"/>
      <x:c r="AN77" s="122"/>
      <x:c r="AO77" s="177"/>
      <x:c r="AP77" s="122"/>
    </x:row>
    <x:row r="78" ht="19.5" hidden="1" customHeight="1">
      <x:c r="A78" s="169"/>
      <x:c r="B78" s="170"/>
      <x:c r="C78" s="200"/>
      <x:c r="D78" s="200"/>
      <x:c r="E78" s="200"/>
      <x:c r="F78" s="201"/>
      <x:c r="G78" s="255"/>
      <x:c r="H78" s="255"/>
      <x:c r="I78" s="174"/>
      <x:c r="J78" s="122"/>
      <x:c r="K78" s="177"/>
      <x:c r="L78" s="122"/>
      <x:c r="M78" s="177"/>
      <x:c r="N78" s="178"/>
      <x:c r="O78" s="122"/>
      <x:c r="P78" s="177"/>
      <x:c r="Q78" s="122"/>
      <x:c r="R78" s="177"/>
      <x:c r="S78" s="178"/>
      <x:c r="T78" s="122"/>
      <x:c r="U78" s="177"/>
      <x:c r="V78" s="122"/>
      <x:c r="W78" s="177"/>
      <x:c r="X78" s="178"/>
      <x:c r="Y78" s="122"/>
      <x:c r="Z78" s="177"/>
      <x:c r="AA78" s="122"/>
      <x:c r="AB78" s="177"/>
      <x:c r="AC78" s="178"/>
      <x:c r="AD78" s="122"/>
      <x:c r="AE78" s="177"/>
      <x:c r="AF78" s="122"/>
      <x:c r="AG78" s="177"/>
      <x:c r="AH78" s="178"/>
      <x:c r="AI78" s="122"/>
      <x:c r="AJ78" s="177"/>
      <x:c r="AK78" s="122"/>
      <x:c r="AL78" s="177"/>
      <x:c r="AM78" s="178"/>
      <x:c r="AN78" s="122"/>
      <x:c r="AO78" s="177"/>
      <x:c r="AP78" s="122"/>
    </x:row>
    <x:row r="79" ht="19.5" hidden="1" customHeight="1">
      <x:c r="A79" s="160"/>
      <x:c r="B79" s="179"/>
      <x:c r="C79" s="200"/>
      <x:c r="D79" s="200"/>
      <x:c r="E79" s="200"/>
      <x:c r="F79" s="201"/>
      <x:c r="G79" s="255"/>
      <x:c r="H79" s="255"/>
      <x:c r="I79" s="174"/>
      <x:c r="J79" s="122"/>
      <x:c r="K79" s="177"/>
      <x:c r="L79" s="122"/>
      <x:c r="M79" s="177"/>
      <x:c r="N79" s="178"/>
      <x:c r="O79" s="122"/>
      <x:c r="P79" s="177"/>
      <x:c r="Q79" s="122"/>
      <x:c r="R79" s="177"/>
      <x:c r="S79" s="178"/>
      <x:c r="T79" s="122"/>
      <x:c r="U79" s="177"/>
      <x:c r="V79" s="122"/>
      <x:c r="W79" s="177"/>
      <x:c r="X79" s="178"/>
      <x:c r="Y79" s="122"/>
      <x:c r="Z79" s="177"/>
      <x:c r="AA79" s="122"/>
      <x:c r="AB79" s="177"/>
      <x:c r="AC79" s="178"/>
      <x:c r="AD79" s="122"/>
      <x:c r="AE79" s="177"/>
      <x:c r="AF79" s="122"/>
      <x:c r="AG79" s="177"/>
      <x:c r="AH79" s="178"/>
      <x:c r="AI79" s="122"/>
      <x:c r="AJ79" s="177"/>
      <x:c r="AK79" s="122"/>
      <x:c r="AL79" s="177"/>
      <x:c r="AM79" s="178"/>
      <x:c r="AN79" s="122"/>
      <x:c r="AO79" s="177"/>
      <x:c r="AP79" s="122"/>
    </x:row>
    <x:row r="80" ht="19.5" hidden="1" customHeight="1">
      <x:c r="A80" s="169"/>
      <x:c r="B80" s="170"/>
      <x:c r="C80" s="200"/>
      <x:c r="D80" s="200"/>
      <x:c r="E80" s="200"/>
      <x:c r="F80" s="201"/>
      <x:c r="G80" s="255"/>
      <x:c r="H80" s="255"/>
      <x:c r="I80" s="174"/>
      <x:c r="J80" s="122"/>
      <x:c r="K80" s="177"/>
      <x:c r="L80" s="122"/>
      <x:c r="M80" s="177"/>
      <x:c r="N80" s="178"/>
      <x:c r="O80" s="122"/>
      <x:c r="P80" s="177"/>
      <x:c r="Q80" s="122"/>
      <x:c r="R80" s="177"/>
      <x:c r="S80" s="178"/>
      <x:c r="T80" s="122"/>
      <x:c r="U80" s="177"/>
      <x:c r="V80" s="122"/>
      <x:c r="W80" s="177"/>
      <x:c r="X80" s="178"/>
      <x:c r="Y80" s="122"/>
      <x:c r="Z80" s="177"/>
      <x:c r="AA80" s="122"/>
      <x:c r="AB80" s="177"/>
      <x:c r="AC80" s="178"/>
      <x:c r="AD80" s="122"/>
      <x:c r="AE80" s="177"/>
      <x:c r="AF80" s="122"/>
      <x:c r="AG80" s="177"/>
      <x:c r="AH80" s="178"/>
      <x:c r="AI80" s="122"/>
      <x:c r="AJ80" s="177"/>
      <x:c r="AK80" s="122"/>
      <x:c r="AL80" s="177"/>
      <x:c r="AM80" s="178"/>
      <x:c r="AN80" s="122"/>
      <x:c r="AO80" s="177"/>
      <x:c r="AP80" s="122"/>
    </x:row>
    <x:row r="81" ht="19.5" hidden="1" customHeight="1">
      <x:c r="A81" s="160"/>
      <x:c r="B81" s="179"/>
      <x:c r="C81" s="200"/>
      <x:c r="D81" s="200"/>
      <x:c r="E81" s="200"/>
      <x:c r="F81" s="201"/>
      <x:c r="G81" s="255"/>
      <x:c r="H81" s="255"/>
      <x:c r="I81" s="174"/>
      <x:c r="J81" s="122"/>
      <x:c r="K81" s="177"/>
      <x:c r="L81" s="122"/>
      <x:c r="M81" s="177"/>
      <x:c r="N81" s="178"/>
      <x:c r="O81" s="122"/>
      <x:c r="P81" s="177"/>
      <x:c r="Q81" s="122"/>
      <x:c r="R81" s="177"/>
      <x:c r="S81" s="178"/>
      <x:c r="T81" s="122"/>
      <x:c r="U81" s="177"/>
      <x:c r="V81" s="122"/>
      <x:c r="W81" s="177"/>
      <x:c r="X81" s="178"/>
      <x:c r="Y81" s="122"/>
      <x:c r="Z81" s="177"/>
      <x:c r="AA81" s="122"/>
      <x:c r="AB81" s="177"/>
      <x:c r="AC81" s="178"/>
      <x:c r="AD81" s="122"/>
      <x:c r="AE81" s="177"/>
      <x:c r="AF81" s="122"/>
      <x:c r="AG81" s="177"/>
      <x:c r="AH81" s="178"/>
      <x:c r="AI81" s="122"/>
      <x:c r="AJ81" s="177"/>
      <x:c r="AK81" s="122"/>
      <x:c r="AL81" s="177"/>
      <x:c r="AM81" s="178"/>
      <x:c r="AN81" s="122"/>
      <x:c r="AO81" s="177"/>
      <x:c r="AP81" s="122"/>
    </x:row>
    <x:row r="82" ht="19.5" hidden="1" customHeight="1">
      <x:c r="A82" s="169"/>
      <x:c r="B82" s="170"/>
      <x:c r="C82" s="200"/>
      <x:c r="D82" s="200"/>
      <x:c r="E82" s="200"/>
      <x:c r="F82" s="201"/>
      <x:c r="G82" s="255"/>
      <x:c r="H82" s="255"/>
      <x:c r="I82" s="174"/>
      <x:c r="J82" s="122"/>
      <x:c r="K82" s="177"/>
      <x:c r="L82" s="122"/>
      <x:c r="M82" s="177"/>
      <x:c r="N82" s="178"/>
      <x:c r="O82" s="122"/>
      <x:c r="P82" s="177"/>
      <x:c r="Q82" s="122"/>
      <x:c r="R82" s="177"/>
      <x:c r="S82" s="178"/>
      <x:c r="T82" s="122"/>
      <x:c r="U82" s="177"/>
      <x:c r="V82" s="122"/>
      <x:c r="W82" s="177"/>
      <x:c r="X82" s="178"/>
      <x:c r="Y82" s="122"/>
      <x:c r="Z82" s="177"/>
      <x:c r="AA82" s="122"/>
      <x:c r="AB82" s="177"/>
      <x:c r="AC82" s="178"/>
      <x:c r="AD82" s="122"/>
      <x:c r="AE82" s="177"/>
      <x:c r="AF82" s="122"/>
      <x:c r="AG82" s="177"/>
      <x:c r="AH82" s="178"/>
      <x:c r="AI82" s="122"/>
      <x:c r="AJ82" s="177"/>
      <x:c r="AK82" s="122"/>
      <x:c r="AL82" s="177"/>
      <x:c r="AM82" s="178"/>
      <x:c r="AN82" s="122"/>
      <x:c r="AO82" s="177"/>
      <x:c r="AP82" s="122"/>
    </x:row>
    <x:row r="83" ht="19.5" hidden="1" customHeight="1">
      <x:c r="A83" s="160"/>
      <x:c r="B83" s="179"/>
      <x:c r="C83" s="200"/>
      <x:c r="D83" s="200"/>
      <x:c r="E83" s="200"/>
      <x:c r="F83" s="201"/>
      <x:c r="G83" s="255"/>
      <x:c r="H83" s="255"/>
      <x:c r="I83" s="174"/>
      <x:c r="J83" s="122"/>
      <x:c r="K83" s="177"/>
      <x:c r="L83" s="122"/>
      <x:c r="M83" s="177"/>
      <x:c r="N83" s="178"/>
      <x:c r="O83" s="122"/>
      <x:c r="P83" s="177"/>
      <x:c r="Q83" s="122"/>
      <x:c r="R83" s="177"/>
      <x:c r="S83" s="178"/>
      <x:c r="T83" s="122"/>
      <x:c r="U83" s="177"/>
      <x:c r="V83" s="122"/>
      <x:c r="W83" s="177"/>
      <x:c r="X83" s="178"/>
      <x:c r="Y83" s="122"/>
      <x:c r="Z83" s="177"/>
      <x:c r="AA83" s="122"/>
      <x:c r="AB83" s="177"/>
      <x:c r="AC83" s="178"/>
      <x:c r="AD83" s="122"/>
      <x:c r="AE83" s="177"/>
      <x:c r="AF83" s="122"/>
      <x:c r="AG83" s="177"/>
      <x:c r="AH83" s="178"/>
      <x:c r="AI83" s="122"/>
      <x:c r="AJ83" s="177"/>
      <x:c r="AK83" s="122"/>
      <x:c r="AL83" s="177"/>
      <x:c r="AM83" s="178"/>
      <x:c r="AN83" s="122"/>
      <x:c r="AO83" s="177"/>
      <x:c r="AP83" s="122"/>
    </x:row>
    <x:row r="84" ht="19.5" hidden="1" customHeight="1">
      <x:c r="A84" s="169"/>
      <x:c r="B84" s="170"/>
      <x:c r="C84" s="200"/>
      <x:c r="D84" s="200"/>
      <x:c r="E84" s="200"/>
      <x:c r="F84" s="201"/>
      <x:c r="G84" s="255"/>
      <x:c r="H84" s="255"/>
      <x:c r="I84" s="174"/>
      <x:c r="J84" s="122"/>
      <x:c r="K84" s="177"/>
      <x:c r="L84" s="122"/>
      <x:c r="M84" s="177"/>
      <x:c r="N84" s="178"/>
      <x:c r="O84" s="122"/>
      <x:c r="P84" s="177"/>
      <x:c r="Q84" s="122"/>
      <x:c r="R84" s="177"/>
      <x:c r="S84" s="178"/>
      <x:c r="T84" s="122"/>
      <x:c r="U84" s="177"/>
      <x:c r="V84" s="122"/>
      <x:c r="W84" s="177"/>
      <x:c r="X84" s="178"/>
      <x:c r="Y84" s="122"/>
      <x:c r="Z84" s="177"/>
      <x:c r="AA84" s="122"/>
      <x:c r="AB84" s="177"/>
      <x:c r="AC84" s="178"/>
      <x:c r="AD84" s="122"/>
      <x:c r="AE84" s="177"/>
      <x:c r="AF84" s="122"/>
      <x:c r="AG84" s="177"/>
      <x:c r="AH84" s="178"/>
      <x:c r="AI84" s="122"/>
      <x:c r="AJ84" s="177"/>
      <x:c r="AK84" s="122"/>
      <x:c r="AL84" s="177"/>
      <x:c r="AM84" s="178"/>
      <x:c r="AN84" s="122"/>
      <x:c r="AO84" s="177"/>
      <x:c r="AP84" s="122"/>
    </x:row>
    <x:row r="85" ht="19.5" hidden="1" customHeight="1">
      <x:c r="A85" s="160"/>
      <x:c r="B85" s="179"/>
      <x:c r="C85" s="200"/>
      <x:c r="D85" s="200"/>
      <x:c r="E85" s="200"/>
      <x:c r="F85" s="201"/>
      <x:c r="G85" s="255"/>
      <x:c r="H85" s="255"/>
      <x:c r="I85" s="174"/>
      <x:c r="J85" s="122"/>
      <x:c r="K85" s="177"/>
      <x:c r="L85" s="122"/>
      <x:c r="M85" s="177"/>
      <x:c r="N85" s="178"/>
      <x:c r="O85" s="122"/>
      <x:c r="P85" s="177"/>
      <x:c r="Q85" s="122"/>
      <x:c r="R85" s="177"/>
      <x:c r="S85" s="178"/>
      <x:c r="T85" s="122"/>
      <x:c r="U85" s="177"/>
      <x:c r="V85" s="122"/>
      <x:c r="W85" s="177"/>
      <x:c r="X85" s="178"/>
      <x:c r="Y85" s="122"/>
      <x:c r="Z85" s="177"/>
      <x:c r="AA85" s="122"/>
      <x:c r="AB85" s="177"/>
      <x:c r="AC85" s="178"/>
      <x:c r="AD85" s="122"/>
      <x:c r="AE85" s="177"/>
      <x:c r="AF85" s="122"/>
      <x:c r="AG85" s="177"/>
      <x:c r="AH85" s="178"/>
      <x:c r="AI85" s="122"/>
      <x:c r="AJ85" s="177"/>
      <x:c r="AK85" s="122"/>
      <x:c r="AL85" s="177"/>
      <x:c r="AM85" s="178"/>
      <x:c r="AN85" s="122"/>
      <x:c r="AO85" s="177"/>
      <x:c r="AP85" s="122"/>
    </x:row>
    <x:row r="86" ht="19.5" hidden="1" customHeight="1">
      <x:c r="A86" s="169"/>
      <x:c r="B86" s="170"/>
      <x:c r="C86" s="200"/>
      <x:c r="D86" s="200"/>
      <x:c r="E86" s="200"/>
      <x:c r="F86" s="201"/>
      <x:c r="G86" s="255"/>
      <x:c r="H86" s="255"/>
      <x:c r="I86" s="174"/>
      <x:c r="J86" s="122"/>
      <x:c r="K86" s="177"/>
      <x:c r="L86" s="122"/>
      <x:c r="M86" s="177"/>
      <x:c r="N86" s="178"/>
      <x:c r="O86" s="122"/>
      <x:c r="P86" s="177"/>
      <x:c r="Q86" s="122"/>
      <x:c r="R86" s="177"/>
      <x:c r="S86" s="178"/>
      <x:c r="T86" s="122"/>
      <x:c r="U86" s="177"/>
      <x:c r="V86" s="122"/>
      <x:c r="W86" s="177"/>
      <x:c r="X86" s="178"/>
      <x:c r="Y86" s="122"/>
      <x:c r="Z86" s="177"/>
      <x:c r="AA86" s="122"/>
      <x:c r="AB86" s="177"/>
      <x:c r="AC86" s="178"/>
      <x:c r="AD86" s="122"/>
      <x:c r="AE86" s="177"/>
      <x:c r="AF86" s="122"/>
      <x:c r="AG86" s="177"/>
      <x:c r="AH86" s="178"/>
      <x:c r="AI86" s="122"/>
      <x:c r="AJ86" s="177"/>
      <x:c r="AK86" s="122"/>
      <x:c r="AL86" s="177"/>
      <x:c r="AM86" s="178"/>
      <x:c r="AN86" s="122"/>
      <x:c r="AO86" s="177"/>
      <x:c r="AP86" s="122"/>
    </x:row>
    <x:row r="87" ht="19.5" hidden="1" customHeight="1">
      <x:c r="A87" s="160"/>
      <x:c r="B87" s="179"/>
      <x:c r="C87" s="200"/>
      <x:c r="D87" s="200"/>
      <x:c r="E87" s="200"/>
      <x:c r="F87" s="201"/>
      <x:c r="G87" s="255"/>
      <x:c r="H87" s="255"/>
      <x:c r="I87" s="174"/>
      <x:c r="J87" s="122"/>
      <x:c r="K87" s="177"/>
      <x:c r="L87" s="122"/>
      <x:c r="M87" s="177"/>
      <x:c r="N87" s="178"/>
      <x:c r="O87" s="122"/>
      <x:c r="P87" s="177"/>
      <x:c r="Q87" s="122"/>
      <x:c r="R87" s="177"/>
      <x:c r="S87" s="178"/>
      <x:c r="T87" s="122"/>
      <x:c r="U87" s="177"/>
      <x:c r="V87" s="122"/>
      <x:c r="W87" s="177"/>
      <x:c r="X87" s="178"/>
      <x:c r="Y87" s="122"/>
      <x:c r="Z87" s="177"/>
      <x:c r="AA87" s="122"/>
      <x:c r="AB87" s="177"/>
      <x:c r="AC87" s="178"/>
      <x:c r="AD87" s="122"/>
      <x:c r="AE87" s="177"/>
      <x:c r="AF87" s="122"/>
      <x:c r="AG87" s="177"/>
      <x:c r="AH87" s="178"/>
      <x:c r="AI87" s="122"/>
      <x:c r="AJ87" s="177"/>
      <x:c r="AK87" s="122"/>
      <x:c r="AL87" s="177"/>
      <x:c r="AM87" s="178"/>
      <x:c r="AN87" s="122"/>
      <x:c r="AO87" s="177"/>
      <x:c r="AP87" s="122"/>
    </x:row>
    <x:row r="88" ht="19.5" hidden="1" customHeight="1">
      <x:c r="A88" s="169"/>
      <x:c r="B88" s="170"/>
      <x:c r="C88" s="200"/>
      <x:c r="D88" s="200"/>
      <x:c r="E88" s="200"/>
      <x:c r="F88" s="201"/>
      <x:c r="G88" s="255"/>
      <x:c r="H88" s="255"/>
      <x:c r="I88" s="174"/>
      <x:c r="J88" s="122"/>
      <x:c r="K88" s="177"/>
      <x:c r="L88" s="122"/>
      <x:c r="M88" s="177"/>
      <x:c r="N88" s="178"/>
      <x:c r="O88" s="122"/>
      <x:c r="P88" s="177"/>
      <x:c r="Q88" s="122"/>
      <x:c r="R88" s="177"/>
      <x:c r="S88" s="178"/>
      <x:c r="T88" s="122"/>
      <x:c r="U88" s="177"/>
      <x:c r="V88" s="122"/>
      <x:c r="W88" s="177"/>
      <x:c r="X88" s="178"/>
      <x:c r="Y88" s="122"/>
      <x:c r="Z88" s="177"/>
      <x:c r="AA88" s="122"/>
      <x:c r="AB88" s="177"/>
      <x:c r="AC88" s="178"/>
      <x:c r="AD88" s="122"/>
      <x:c r="AE88" s="177"/>
      <x:c r="AF88" s="122"/>
      <x:c r="AG88" s="177"/>
      <x:c r="AH88" s="178"/>
      <x:c r="AI88" s="122"/>
      <x:c r="AJ88" s="177"/>
      <x:c r="AK88" s="122"/>
      <x:c r="AL88" s="177"/>
      <x:c r="AM88" s="178"/>
      <x:c r="AN88" s="122"/>
      <x:c r="AO88" s="177"/>
      <x:c r="AP88" s="122"/>
    </x:row>
    <x:row r="89" ht="19.5" hidden="1" customHeight="1">
      <x:c r="A89" s="160"/>
      <x:c r="B89" s="179"/>
      <x:c r="C89" s="200"/>
      <x:c r="D89" s="200"/>
      <x:c r="E89" s="200"/>
      <x:c r="F89" s="201"/>
      <x:c r="G89" s="255"/>
      <x:c r="H89" s="255"/>
      <x:c r="I89" s="174"/>
      <x:c r="J89" s="122"/>
      <x:c r="K89" s="177"/>
      <x:c r="L89" s="122"/>
      <x:c r="M89" s="177"/>
      <x:c r="N89" s="178"/>
      <x:c r="O89" s="122"/>
      <x:c r="P89" s="177"/>
      <x:c r="Q89" s="122"/>
      <x:c r="R89" s="177"/>
      <x:c r="S89" s="178"/>
      <x:c r="T89" s="122"/>
      <x:c r="U89" s="177"/>
      <x:c r="V89" s="122"/>
      <x:c r="W89" s="177"/>
      <x:c r="X89" s="178"/>
      <x:c r="Y89" s="122"/>
      <x:c r="Z89" s="177"/>
      <x:c r="AA89" s="122"/>
      <x:c r="AB89" s="177"/>
      <x:c r="AC89" s="178"/>
      <x:c r="AD89" s="122"/>
      <x:c r="AE89" s="177"/>
      <x:c r="AF89" s="122"/>
      <x:c r="AG89" s="177"/>
      <x:c r="AH89" s="178"/>
      <x:c r="AI89" s="122"/>
      <x:c r="AJ89" s="177"/>
      <x:c r="AK89" s="122"/>
      <x:c r="AL89" s="177"/>
      <x:c r="AM89" s="178"/>
      <x:c r="AN89" s="122"/>
      <x:c r="AO89" s="177"/>
      <x:c r="AP89" s="122"/>
    </x:row>
    <x:row r="90" ht="19.5" hidden="1" customHeight="1">
      <x:c r="A90" s="169"/>
      <x:c r="B90" s="170"/>
      <x:c r="C90" s="200"/>
      <x:c r="D90" s="200"/>
      <x:c r="E90" s="200"/>
      <x:c r="F90" s="201"/>
      <x:c r="G90" s="255"/>
      <x:c r="H90" s="255"/>
      <x:c r="I90" s="174"/>
      <x:c r="J90" s="122"/>
      <x:c r="K90" s="177"/>
      <x:c r="L90" s="122"/>
      <x:c r="M90" s="177"/>
      <x:c r="N90" s="178"/>
      <x:c r="O90" s="122"/>
      <x:c r="P90" s="177"/>
      <x:c r="Q90" s="122"/>
      <x:c r="R90" s="177"/>
      <x:c r="S90" s="178"/>
      <x:c r="T90" s="122"/>
      <x:c r="U90" s="177"/>
      <x:c r="V90" s="122"/>
      <x:c r="W90" s="177"/>
      <x:c r="X90" s="178"/>
      <x:c r="Y90" s="122"/>
      <x:c r="Z90" s="177"/>
      <x:c r="AA90" s="122"/>
      <x:c r="AB90" s="177"/>
      <x:c r="AC90" s="178"/>
      <x:c r="AD90" s="122"/>
      <x:c r="AE90" s="177"/>
      <x:c r="AF90" s="122"/>
      <x:c r="AG90" s="177"/>
      <x:c r="AH90" s="178"/>
      <x:c r="AI90" s="122"/>
      <x:c r="AJ90" s="177"/>
      <x:c r="AK90" s="122"/>
      <x:c r="AL90" s="177"/>
      <x:c r="AM90" s="178"/>
      <x:c r="AN90" s="122"/>
      <x:c r="AO90" s="177"/>
      <x:c r="AP90" s="122"/>
    </x:row>
    <x:row r="91" ht="19.5" hidden="1" customHeight="1">
      <x:c r="A91" s="160"/>
      <x:c r="B91" s="179"/>
      <x:c r="C91" s="200"/>
      <x:c r="D91" s="200"/>
      <x:c r="E91" s="200"/>
      <x:c r="F91" s="201"/>
      <x:c r="G91" s="255"/>
      <x:c r="H91" s="255"/>
      <x:c r="I91" s="174"/>
      <x:c r="J91" s="122"/>
      <x:c r="K91" s="177"/>
      <x:c r="L91" s="122"/>
      <x:c r="M91" s="177"/>
      <x:c r="N91" s="178"/>
      <x:c r="O91" s="122"/>
      <x:c r="P91" s="177"/>
      <x:c r="Q91" s="122"/>
      <x:c r="R91" s="177"/>
      <x:c r="S91" s="178"/>
      <x:c r="T91" s="122"/>
      <x:c r="U91" s="177"/>
      <x:c r="V91" s="122"/>
      <x:c r="W91" s="177"/>
      <x:c r="X91" s="178"/>
      <x:c r="Y91" s="122"/>
      <x:c r="Z91" s="177"/>
      <x:c r="AA91" s="122"/>
      <x:c r="AB91" s="177"/>
      <x:c r="AC91" s="178"/>
      <x:c r="AD91" s="122"/>
      <x:c r="AE91" s="177"/>
      <x:c r="AF91" s="122"/>
      <x:c r="AG91" s="177"/>
      <x:c r="AH91" s="178"/>
      <x:c r="AI91" s="122"/>
      <x:c r="AJ91" s="177"/>
      <x:c r="AK91" s="122"/>
      <x:c r="AL91" s="177"/>
      <x:c r="AM91" s="178"/>
      <x:c r="AN91" s="122"/>
      <x:c r="AO91" s="177"/>
      <x:c r="AP91" s="122"/>
    </x:row>
    <x:row r="92" ht="19.5" hidden="1" customHeight="1">
      <x:c r="A92" s="169"/>
      <x:c r="B92" s="170"/>
      <x:c r="C92" s="200"/>
      <x:c r="D92" s="200"/>
      <x:c r="E92" s="200"/>
      <x:c r="F92" s="201"/>
      <x:c r="G92" s="255"/>
      <x:c r="H92" s="255"/>
      <x:c r="I92" s="174"/>
      <x:c r="J92" s="122"/>
      <x:c r="K92" s="177"/>
      <x:c r="L92" s="122"/>
      <x:c r="M92" s="177"/>
      <x:c r="N92" s="178"/>
      <x:c r="O92" s="122"/>
      <x:c r="P92" s="177"/>
      <x:c r="Q92" s="122"/>
      <x:c r="R92" s="177"/>
      <x:c r="S92" s="178"/>
      <x:c r="T92" s="122"/>
      <x:c r="U92" s="177"/>
      <x:c r="V92" s="122"/>
      <x:c r="W92" s="177"/>
      <x:c r="X92" s="178"/>
      <x:c r="Y92" s="122"/>
      <x:c r="Z92" s="177"/>
      <x:c r="AA92" s="122"/>
      <x:c r="AB92" s="177"/>
      <x:c r="AC92" s="178"/>
      <x:c r="AD92" s="122"/>
      <x:c r="AE92" s="177"/>
      <x:c r="AF92" s="122"/>
      <x:c r="AG92" s="177"/>
      <x:c r="AH92" s="178"/>
      <x:c r="AI92" s="122"/>
      <x:c r="AJ92" s="177"/>
      <x:c r="AK92" s="122"/>
      <x:c r="AL92" s="177"/>
      <x:c r="AM92" s="178"/>
      <x:c r="AN92" s="122"/>
      <x:c r="AO92" s="177"/>
      <x:c r="AP92" s="122"/>
    </x:row>
    <x:row r="93" ht="19.5" hidden="1" customHeight="1">
      <x:c r="A93" s="160"/>
      <x:c r="B93" s="179"/>
      <x:c r="C93" s="200"/>
      <x:c r="D93" s="200"/>
      <x:c r="E93" s="200"/>
      <x:c r="F93" s="201"/>
      <x:c r="G93" s="255"/>
      <x:c r="H93" s="255"/>
      <x:c r="I93" s="174"/>
      <x:c r="J93" s="122"/>
      <x:c r="K93" s="177"/>
      <x:c r="L93" s="122"/>
      <x:c r="M93" s="177"/>
      <x:c r="N93" s="178"/>
      <x:c r="O93" s="122"/>
      <x:c r="P93" s="177"/>
      <x:c r="Q93" s="122"/>
      <x:c r="R93" s="177"/>
      <x:c r="S93" s="178"/>
      <x:c r="T93" s="122"/>
      <x:c r="U93" s="177"/>
      <x:c r="V93" s="122"/>
      <x:c r="W93" s="177"/>
      <x:c r="X93" s="178"/>
      <x:c r="Y93" s="122"/>
      <x:c r="Z93" s="177"/>
      <x:c r="AA93" s="122"/>
      <x:c r="AB93" s="177"/>
      <x:c r="AC93" s="178"/>
      <x:c r="AD93" s="122"/>
      <x:c r="AE93" s="177"/>
      <x:c r="AF93" s="122"/>
      <x:c r="AG93" s="177"/>
      <x:c r="AH93" s="178"/>
      <x:c r="AI93" s="122"/>
      <x:c r="AJ93" s="177"/>
      <x:c r="AK93" s="122"/>
      <x:c r="AL93" s="177"/>
      <x:c r="AM93" s="178"/>
      <x:c r="AN93" s="122"/>
      <x:c r="AO93" s="177"/>
      <x:c r="AP93" s="122"/>
    </x:row>
    <x:row r="94" ht="19.5" hidden="1" customHeight="1">
      <x:c r="A94" s="169"/>
      <x:c r="B94" s="170"/>
      <x:c r="C94" s="200"/>
      <x:c r="D94" s="200"/>
      <x:c r="E94" s="200"/>
      <x:c r="F94" s="201"/>
      <x:c r="G94" s="255"/>
      <x:c r="H94" s="255"/>
      <x:c r="I94" s="174"/>
      <x:c r="J94" s="122"/>
      <x:c r="K94" s="177"/>
      <x:c r="L94" s="122"/>
      <x:c r="M94" s="177"/>
      <x:c r="N94" s="178"/>
      <x:c r="O94" s="122"/>
      <x:c r="P94" s="177"/>
      <x:c r="Q94" s="122"/>
      <x:c r="R94" s="177"/>
      <x:c r="S94" s="178"/>
      <x:c r="T94" s="122"/>
      <x:c r="U94" s="177"/>
      <x:c r="V94" s="122"/>
      <x:c r="W94" s="177"/>
      <x:c r="X94" s="178"/>
      <x:c r="Y94" s="122"/>
      <x:c r="Z94" s="177"/>
      <x:c r="AA94" s="122"/>
      <x:c r="AB94" s="177"/>
      <x:c r="AC94" s="178"/>
      <x:c r="AD94" s="122"/>
      <x:c r="AE94" s="177"/>
      <x:c r="AF94" s="122"/>
      <x:c r="AG94" s="177"/>
      <x:c r="AH94" s="178"/>
      <x:c r="AI94" s="122"/>
      <x:c r="AJ94" s="177"/>
      <x:c r="AK94" s="122"/>
      <x:c r="AL94" s="177"/>
      <x:c r="AM94" s="178"/>
      <x:c r="AN94" s="122"/>
      <x:c r="AO94" s="177"/>
      <x:c r="AP94" s="122"/>
    </x:row>
    <x:row r="95" ht="19.5" hidden="1" customHeight="1">
      <x:c r="A95" s="160"/>
      <x:c r="B95" s="179"/>
      <x:c r="C95" s="200"/>
      <x:c r="D95" s="200"/>
      <x:c r="E95" s="200"/>
      <x:c r="F95" s="201"/>
      <x:c r="G95" s="255"/>
      <x:c r="H95" s="255"/>
      <x:c r="I95" s="174"/>
      <x:c r="J95" s="122"/>
      <x:c r="K95" s="177"/>
      <x:c r="L95" s="122"/>
      <x:c r="M95" s="177"/>
      <x:c r="N95" s="178"/>
      <x:c r="O95" s="122"/>
      <x:c r="P95" s="177"/>
      <x:c r="Q95" s="122"/>
      <x:c r="R95" s="177"/>
      <x:c r="S95" s="178"/>
      <x:c r="T95" s="122"/>
      <x:c r="U95" s="177"/>
      <x:c r="V95" s="122"/>
      <x:c r="W95" s="177"/>
      <x:c r="X95" s="178"/>
      <x:c r="Y95" s="122"/>
      <x:c r="Z95" s="177"/>
      <x:c r="AA95" s="122"/>
      <x:c r="AB95" s="177"/>
      <x:c r="AC95" s="178"/>
      <x:c r="AD95" s="122"/>
      <x:c r="AE95" s="177"/>
      <x:c r="AF95" s="122"/>
      <x:c r="AG95" s="177"/>
      <x:c r="AH95" s="178"/>
      <x:c r="AI95" s="122"/>
      <x:c r="AJ95" s="177"/>
      <x:c r="AK95" s="122"/>
      <x:c r="AL95" s="177"/>
      <x:c r="AM95" s="178"/>
      <x:c r="AN95" s="122"/>
      <x:c r="AO95" s="177"/>
      <x:c r="AP95" s="122"/>
    </x:row>
    <x:row r="96" ht="19.5" hidden="1" customHeight="1">
      <x:c r="A96" s="169"/>
      <x:c r="B96" s="170"/>
      <x:c r="C96" s="200"/>
      <x:c r="D96" s="200"/>
      <x:c r="E96" s="200"/>
      <x:c r="F96" s="201"/>
      <x:c r="G96" s="255"/>
      <x:c r="H96" s="255"/>
      <x:c r="I96" s="174"/>
      <x:c r="J96" s="122"/>
      <x:c r="K96" s="177"/>
      <x:c r="L96" s="122"/>
      <x:c r="M96" s="177"/>
      <x:c r="N96" s="178"/>
      <x:c r="O96" s="122"/>
      <x:c r="P96" s="177"/>
      <x:c r="Q96" s="122"/>
      <x:c r="R96" s="177"/>
      <x:c r="S96" s="178"/>
      <x:c r="T96" s="122"/>
      <x:c r="U96" s="177"/>
      <x:c r="V96" s="122"/>
      <x:c r="W96" s="177"/>
      <x:c r="X96" s="178"/>
      <x:c r="Y96" s="122"/>
      <x:c r="Z96" s="177"/>
      <x:c r="AA96" s="122"/>
      <x:c r="AB96" s="177"/>
      <x:c r="AC96" s="178"/>
      <x:c r="AD96" s="122"/>
      <x:c r="AE96" s="177"/>
      <x:c r="AF96" s="122"/>
      <x:c r="AG96" s="177"/>
      <x:c r="AH96" s="178"/>
      <x:c r="AI96" s="122"/>
      <x:c r="AJ96" s="177"/>
      <x:c r="AK96" s="122"/>
      <x:c r="AL96" s="177"/>
      <x:c r="AM96" s="178"/>
      <x:c r="AN96" s="122"/>
      <x:c r="AO96" s="177"/>
      <x:c r="AP96" s="122"/>
    </x:row>
    <x:row r="97" ht="19.5" hidden="1" customHeight="1">
      <x:c r="A97" s="160"/>
      <x:c r="B97" s="179"/>
      <x:c r="C97" s="200"/>
      <x:c r="D97" s="200"/>
      <x:c r="E97" s="200"/>
      <x:c r="F97" s="201"/>
      <x:c r="G97" s="255"/>
      <x:c r="H97" s="255"/>
      <x:c r="I97" s="174"/>
      <x:c r="J97" s="122"/>
      <x:c r="K97" s="177"/>
      <x:c r="L97" s="122"/>
      <x:c r="M97" s="177"/>
      <x:c r="N97" s="178"/>
      <x:c r="O97" s="122"/>
      <x:c r="P97" s="177"/>
      <x:c r="Q97" s="122"/>
      <x:c r="R97" s="177"/>
      <x:c r="S97" s="178"/>
      <x:c r="T97" s="122"/>
      <x:c r="U97" s="177"/>
      <x:c r="V97" s="122"/>
      <x:c r="W97" s="177"/>
      <x:c r="X97" s="178"/>
      <x:c r="Y97" s="122"/>
      <x:c r="Z97" s="177"/>
      <x:c r="AA97" s="122"/>
      <x:c r="AB97" s="177"/>
      <x:c r="AC97" s="178"/>
      <x:c r="AD97" s="122"/>
      <x:c r="AE97" s="177"/>
      <x:c r="AF97" s="122"/>
      <x:c r="AG97" s="177"/>
      <x:c r="AH97" s="178"/>
      <x:c r="AI97" s="122"/>
      <x:c r="AJ97" s="177"/>
      <x:c r="AK97" s="122"/>
      <x:c r="AL97" s="177"/>
      <x:c r="AM97" s="178"/>
      <x:c r="AN97" s="122"/>
      <x:c r="AO97" s="177"/>
      <x:c r="AP97" s="122"/>
    </x:row>
    <x:row r="98" ht="19.5" hidden="1" customHeight="1">
      <x:c r="A98" s="169"/>
      <x:c r="B98" s="170"/>
      <x:c r="C98" s="200"/>
      <x:c r="D98" s="200"/>
      <x:c r="E98" s="200"/>
      <x:c r="F98" s="201"/>
      <x:c r="G98" s="255"/>
      <x:c r="H98" s="255"/>
      <x:c r="I98" s="174"/>
      <x:c r="J98" s="122"/>
      <x:c r="K98" s="177"/>
      <x:c r="L98" s="122"/>
      <x:c r="M98" s="177"/>
      <x:c r="N98" s="178"/>
      <x:c r="O98" s="122"/>
      <x:c r="P98" s="177"/>
      <x:c r="Q98" s="122"/>
      <x:c r="R98" s="177"/>
      <x:c r="S98" s="178"/>
      <x:c r="T98" s="122"/>
      <x:c r="U98" s="177"/>
      <x:c r="V98" s="122"/>
      <x:c r="W98" s="177"/>
      <x:c r="X98" s="178"/>
      <x:c r="Y98" s="122"/>
      <x:c r="Z98" s="177"/>
      <x:c r="AA98" s="122"/>
      <x:c r="AB98" s="177"/>
      <x:c r="AC98" s="178"/>
      <x:c r="AD98" s="122"/>
      <x:c r="AE98" s="177"/>
      <x:c r="AF98" s="122"/>
      <x:c r="AG98" s="177"/>
      <x:c r="AH98" s="178"/>
      <x:c r="AI98" s="122"/>
      <x:c r="AJ98" s="177"/>
      <x:c r="AK98" s="122"/>
      <x:c r="AL98" s="177"/>
      <x:c r="AM98" s="178"/>
      <x:c r="AN98" s="122"/>
      <x:c r="AO98" s="177"/>
      <x:c r="AP98" s="122"/>
    </x:row>
    <x:row r="99" ht="19.5" hidden="1" customHeight="1">
      <x:c r="A99" s="160"/>
      <x:c r="B99" s="179"/>
      <x:c r="C99" s="200"/>
      <x:c r="D99" s="200"/>
      <x:c r="E99" s="200"/>
      <x:c r="F99" s="201"/>
      <x:c r="G99" s="255"/>
      <x:c r="H99" s="255"/>
      <x:c r="I99" s="174"/>
      <x:c r="J99" s="122"/>
      <x:c r="K99" s="177"/>
      <x:c r="L99" s="122"/>
      <x:c r="M99" s="177"/>
      <x:c r="N99" s="178"/>
      <x:c r="O99" s="122"/>
      <x:c r="P99" s="177"/>
      <x:c r="Q99" s="122"/>
      <x:c r="R99" s="177"/>
      <x:c r="S99" s="178"/>
      <x:c r="T99" s="122"/>
      <x:c r="U99" s="177"/>
      <x:c r="V99" s="122"/>
      <x:c r="W99" s="177"/>
      <x:c r="X99" s="178"/>
      <x:c r="Y99" s="122"/>
      <x:c r="Z99" s="177"/>
      <x:c r="AA99" s="122"/>
      <x:c r="AB99" s="177"/>
      <x:c r="AC99" s="178"/>
      <x:c r="AD99" s="122"/>
      <x:c r="AE99" s="177"/>
      <x:c r="AF99" s="122"/>
      <x:c r="AG99" s="177"/>
      <x:c r="AH99" s="178"/>
      <x:c r="AI99" s="122"/>
      <x:c r="AJ99" s="177"/>
      <x:c r="AK99" s="122"/>
      <x:c r="AL99" s="177"/>
      <x:c r="AM99" s="178"/>
      <x:c r="AN99" s="122"/>
      <x:c r="AO99" s="177"/>
      <x:c r="AP99" s="122"/>
    </x:row>
    <x:row r="100" ht="19.5" hidden="1" customHeight="1">
      <x:c r="A100" s="169"/>
      <x:c r="B100" s="170"/>
      <x:c r="C100" s="200"/>
      <x:c r="D100" s="200"/>
      <x:c r="E100" s="200"/>
      <x:c r="F100" s="201"/>
      <x:c r="G100" s="255"/>
      <x:c r="H100" s="255"/>
      <x:c r="I100" s="174"/>
      <x:c r="J100" s="122"/>
      <x:c r="K100" s="177"/>
      <x:c r="L100" s="122"/>
      <x:c r="M100" s="177"/>
      <x:c r="N100" s="178"/>
      <x:c r="O100" s="122"/>
      <x:c r="P100" s="177"/>
      <x:c r="Q100" s="122"/>
      <x:c r="R100" s="177"/>
      <x:c r="S100" s="178"/>
      <x:c r="T100" s="122"/>
      <x:c r="U100" s="177"/>
      <x:c r="V100" s="122"/>
      <x:c r="W100" s="177"/>
      <x:c r="X100" s="178"/>
      <x:c r="Y100" s="122"/>
      <x:c r="Z100" s="177"/>
      <x:c r="AA100" s="122"/>
      <x:c r="AB100" s="177"/>
      <x:c r="AC100" s="178"/>
      <x:c r="AD100" s="122"/>
      <x:c r="AE100" s="177"/>
      <x:c r="AF100" s="122"/>
      <x:c r="AG100" s="177"/>
      <x:c r="AH100" s="178"/>
      <x:c r="AI100" s="122"/>
      <x:c r="AJ100" s="177"/>
      <x:c r="AK100" s="122"/>
      <x:c r="AL100" s="177"/>
      <x:c r="AM100" s="178"/>
      <x:c r="AN100" s="122"/>
      <x:c r="AO100" s="177"/>
      <x:c r="AP100" s="122"/>
    </x:row>
    <x:row r="101" ht="19.5" hidden="1" customHeight="1">
      <x:c r="A101" s="160"/>
      <x:c r="B101" s="179"/>
      <x:c r="C101" s="200"/>
      <x:c r="D101" s="200"/>
      <x:c r="E101" s="200"/>
      <x:c r="F101" s="201"/>
      <x:c r="G101" s="255"/>
      <x:c r="H101" s="255"/>
      <x:c r="I101" s="174"/>
      <x:c r="J101" s="122"/>
      <x:c r="K101" s="177"/>
      <x:c r="L101" s="122"/>
      <x:c r="M101" s="177"/>
      <x:c r="N101" s="178"/>
      <x:c r="O101" s="122"/>
      <x:c r="P101" s="177"/>
      <x:c r="Q101" s="122"/>
      <x:c r="R101" s="177"/>
      <x:c r="S101" s="178"/>
      <x:c r="T101" s="122"/>
      <x:c r="U101" s="177"/>
      <x:c r="V101" s="122"/>
      <x:c r="W101" s="177"/>
      <x:c r="X101" s="178"/>
      <x:c r="Y101" s="122"/>
      <x:c r="Z101" s="177"/>
      <x:c r="AA101" s="122"/>
      <x:c r="AB101" s="177"/>
      <x:c r="AC101" s="178"/>
      <x:c r="AD101" s="122"/>
      <x:c r="AE101" s="177"/>
      <x:c r="AF101" s="122"/>
      <x:c r="AG101" s="177"/>
      <x:c r="AH101" s="178"/>
      <x:c r="AI101" s="122"/>
      <x:c r="AJ101" s="177"/>
      <x:c r="AK101" s="122"/>
      <x:c r="AL101" s="177"/>
      <x:c r="AM101" s="178"/>
      <x:c r="AN101" s="122"/>
      <x:c r="AO101" s="177"/>
      <x:c r="AP101" s="122"/>
    </x:row>
    <x:row r="102" ht="19.5" hidden="1" customHeight="1">
      <x:c r="A102" s="169"/>
      <x:c r="B102" s="170"/>
      <x:c r="C102" s="200"/>
      <x:c r="D102" s="200"/>
      <x:c r="E102" s="200"/>
      <x:c r="F102" s="201"/>
      <x:c r="G102" s="255"/>
      <x:c r="H102" s="255"/>
      <x:c r="I102" s="174"/>
      <x:c r="J102" s="122"/>
      <x:c r="K102" s="177"/>
      <x:c r="L102" s="122"/>
      <x:c r="M102" s="177"/>
      <x:c r="N102" s="178"/>
      <x:c r="O102" s="122"/>
      <x:c r="P102" s="177"/>
      <x:c r="Q102" s="122"/>
      <x:c r="R102" s="177"/>
      <x:c r="S102" s="178"/>
      <x:c r="T102" s="122"/>
      <x:c r="U102" s="177"/>
      <x:c r="V102" s="122"/>
      <x:c r="W102" s="177"/>
      <x:c r="X102" s="178"/>
      <x:c r="Y102" s="122"/>
      <x:c r="Z102" s="177"/>
      <x:c r="AA102" s="122"/>
      <x:c r="AB102" s="177"/>
      <x:c r="AC102" s="178"/>
      <x:c r="AD102" s="122"/>
      <x:c r="AE102" s="177"/>
      <x:c r="AF102" s="122"/>
      <x:c r="AG102" s="177"/>
      <x:c r="AH102" s="178"/>
      <x:c r="AI102" s="122"/>
      <x:c r="AJ102" s="177"/>
      <x:c r="AK102" s="122"/>
      <x:c r="AL102" s="177"/>
      <x:c r="AM102" s="178"/>
      <x:c r="AN102" s="122"/>
      <x:c r="AO102" s="177"/>
      <x:c r="AP102" s="122"/>
    </x:row>
    <x:row r="103" ht="19.5" hidden="1" customHeight="1">
      <x:c r="A103" s="160"/>
      <x:c r="B103" s="179"/>
      <x:c r="C103" s="200"/>
      <x:c r="D103" s="200"/>
      <x:c r="E103" s="200"/>
      <x:c r="F103" s="201"/>
      <x:c r="G103" s="255"/>
      <x:c r="H103" s="255"/>
      <x:c r="I103" s="174"/>
      <x:c r="J103" s="122"/>
      <x:c r="K103" s="177"/>
      <x:c r="L103" s="122"/>
      <x:c r="M103" s="177"/>
      <x:c r="N103" s="178"/>
      <x:c r="O103" s="122"/>
      <x:c r="P103" s="177"/>
      <x:c r="Q103" s="122"/>
      <x:c r="R103" s="177"/>
      <x:c r="S103" s="178"/>
      <x:c r="T103" s="122"/>
      <x:c r="U103" s="177"/>
      <x:c r="V103" s="122"/>
      <x:c r="W103" s="177"/>
      <x:c r="X103" s="178"/>
      <x:c r="Y103" s="122"/>
      <x:c r="Z103" s="177"/>
      <x:c r="AA103" s="122"/>
      <x:c r="AB103" s="177"/>
      <x:c r="AC103" s="178"/>
      <x:c r="AD103" s="122"/>
      <x:c r="AE103" s="177"/>
      <x:c r="AF103" s="122"/>
      <x:c r="AG103" s="177"/>
      <x:c r="AH103" s="178"/>
      <x:c r="AI103" s="122"/>
      <x:c r="AJ103" s="177"/>
      <x:c r="AK103" s="122"/>
      <x:c r="AL103" s="177"/>
      <x:c r="AM103" s="178"/>
      <x:c r="AN103" s="122"/>
      <x:c r="AO103" s="177"/>
      <x:c r="AP103" s="122"/>
    </x:row>
    <x:row r="104" ht="19.5" hidden="1" customHeight="1">
      <x:c r="A104" s="169"/>
      <x:c r="B104" s="170"/>
      <x:c r="C104" s="200"/>
      <x:c r="D104" s="200"/>
      <x:c r="E104" s="200"/>
      <x:c r="F104" s="201"/>
      <x:c r="G104" s="255"/>
      <x:c r="H104" s="255"/>
      <x:c r="I104" s="174"/>
      <x:c r="J104" s="122"/>
      <x:c r="K104" s="177"/>
      <x:c r="L104" s="122"/>
      <x:c r="M104" s="177"/>
      <x:c r="N104" s="178"/>
      <x:c r="O104" s="122"/>
      <x:c r="P104" s="177"/>
      <x:c r="Q104" s="122"/>
      <x:c r="R104" s="177"/>
      <x:c r="S104" s="178"/>
      <x:c r="T104" s="122"/>
      <x:c r="U104" s="177"/>
      <x:c r="V104" s="122"/>
      <x:c r="W104" s="177"/>
      <x:c r="X104" s="178"/>
      <x:c r="Y104" s="122"/>
      <x:c r="Z104" s="177"/>
      <x:c r="AA104" s="122"/>
      <x:c r="AB104" s="177"/>
      <x:c r="AC104" s="178"/>
      <x:c r="AD104" s="122"/>
      <x:c r="AE104" s="177"/>
      <x:c r="AF104" s="122"/>
      <x:c r="AG104" s="177"/>
      <x:c r="AH104" s="178"/>
      <x:c r="AI104" s="122"/>
      <x:c r="AJ104" s="177"/>
      <x:c r="AK104" s="122"/>
      <x:c r="AL104" s="177"/>
      <x:c r="AM104" s="178"/>
      <x:c r="AN104" s="122"/>
      <x:c r="AO104" s="177"/>
      <x:c r="AP104" s="122"/>
    </x:row>
    <x:row r="105" ht="19.5" hidden="1" customHeight="1">
      <x:c r="A105" s="160"/>
      <x:c r="B105" s="179"/>
      <x:c r="C105" s="200"/>
      <x:c r="D105" s="200"/>
      <x:c r="E105" s="200"/>
      <x:c r="F105" s="201"/>
      <x:c r="G105" s="255"/>
      <x:c r="H105" s="255"/>
      <x:c r="I105" s="174"/>
      <x:c r="J105" s="122"/>
      <x:c r="K105" s="177"/>
      <x:c r="L105" s="122"/>
      <x:c r="M105" s="177"/>
      <x:c r="N105" s="178"/>
      <x:c r="O105" s="122"/>
      <x:c r="P105" s="177"/>
      <x:c r="Q105" s="122"/>
      <x:c r="R105" s="177"/>
      <x:c r="S105" s="178"/>
      <x:c r="T105" s="122"/>
      <x:c r="U105" s="177"/>
      <x:c r="V105" s="122"/>
      <x:c r="W105" s="177"/>
      <x:c r="X105" s="178"/>
      <x:c r="Y105" s="122"/>
      <x:c r="Z105" s="177"/>
      <x:c r="AA105" s="122"/>
      <x:c r="AB105" s="177"/>
      <x:c r="AC105" s="178"/>
      <x:c r="AD105" s="122"/>
      <x:c r="AE105" s="177"/>
      <x:c r="AF105" s="122"/>
      <x:c r="AG105" s="177"/>
      <x:c r="AH105" s="178"/>
      <x:c r="AI105" s="122"/>
      <x:c r="AJ105" s="177"/>
      <x:c r="AK105" s="122"/>
      <x:c r="AL105" s="177"/>
      <x:c r="AM105" s="178"/>
      <x:c r="AN105" s="122"/>
      <x:c r="AO105" s="177"/>
      <x:c r="AP105" s="122"/>
    </x:row>
    <x:row r="106" ht="19.5" hidden="1" customHeight="1">
      <x:c r="A106" s="169"/>
      <x:c r="B106" s="170"/>
      <x:c r="C106" s="200"/>
      <x:c r="D106" s="200"/>
      <x:c r="E106" s="200"/>
      <x:c r="F106" s="201"/>
      <x:c r="G106" s="255"/>
      <x:c r="H106" s="255"/>
      <x:c r="I106" s="174"/>
      <x:c r="J106" s="122"/>
      <x:c r="K106" s="177"/>
      <x:c r="L106" s="122"/>
      <x:c r="M106" s="177"/>
      <x:c r="N106" s="178"/>
      <x:c r="O106" s="122"/>
      <x:c r="P106" s="177"/>
      <x:c r="Q106" s="122"/>
      <x:c r="R106" s="177"/>
      <x:c r="S106" s="178"/>
      <x:c r="T106" s="122"/>
      <x:c r="U106" s="177"/>
      <x:c r="V106" s="122"/>
      <x:c r="W106" s="177"/>
      <x:c r="X106" s="178"/>
      <x:c r="Y106" s="122"/>
      <x:c r="Z106" s="177"/>
      <x:c r="AA106" s="122"/>
      <x:c r="AB106" s="177"/>
      <x:c r="AC106" s="178"/>
      <x:c r="AD106" s="122"/>
      <x:c r="AE106" s="177"/>
      <x:c r="AF106" s="122"/>
      <x:c r="AG106" s="177"/>
      <x:c r="AH106" s="178"/>
      <x:c r="AI106" s="122"/>
      <x:c r="AJ106" s="177"/>
      <x:c r="AK106" s="122"/>
      <x:c r="AL106" s="177"/>
      <x:c r="AM106" s="178"/>
      <x:c r="AN106" s="122"/>
      <x:c r="AO106" s="177"/>
      <x:c r="AP106" s="122"/>
    </x:row>
    <x:row r="107" ht="19.5" hidden="1" customHeight="1">
      <x:c r="A107" s="160"/>
      <x:c r="B107" s="179"/>
      <x:c r="C107" s="200"/>
      <x:c r="D107" s="200"/>
      <x:c r="E107" s="200"/>
      <x:c r="F107" s="201"/>
      <x:c r="G107" s="255"/>
      <x:c r="H107" s="255"/>
      <x:c r="I107" s="174"/>
      <x:c r="J107" s="122"/>
      <x:c r="K107" s="177"/>
      <x:c r="L107" s="122"/>
      <x:c r="M107" s="177"/>
      <x:c r="N107" s="178"/>
      <x:c r="O107" s="122"/>
      <x:c r="P107" s="177"/>
      <x:c r="Q107" s="122"/>
      <x:c r="R107" s="177"/>
      <x:c r="S107" s="178"/>
      <x:c r="T107" s="122"/>
      <x:c r="U107" s="177"/>
      <x:c r="V107" s="122"/>
      <x:c r="W107" s="177"/>
      <x:c r="X107" s="178"/>
      <x:c r="Y107" s="122"/>
      <x:c r="Z107" s="177"/>
      <x:c r="AA107" s="122"/>
      <x:c r="AB107" s="177"/>
      <x:c r="AC107" s="178"/>
      <x:c r="AD107" s="122"/>
      <x:c r="AE107" s="177"/>
      <x:c r="AF107" s="122"/>
      <x:c r="AG107" s="177"/>
      <x:c r="AH107" s="178"/>
      <x:c r="AI107" s="122"/>
      <x:c r="AJ107" s="177"/>
      <x:c r="AK107" s="122"/>
      <x:c r="AL107" s="177"/>
      <x:c r="AM107" s="178"/>
      <x:c r="AN107" s="122"/>
      <x:c r="AO107" s="177"/>
      <x:c r="AP107" s="122"/>
    </x:row>
    <x:row r="108" ht="19.5" hidden="1" customHeight="1">
      <x:c r="A108" s="169"/>
      <x:c r="B108" s="170"/>
      <x:c r="C108" s="200"/>
      <x:c r="D108" s="200"/>
      <x:c r="E108" s="200"/>
      <x:c r="F108" s="201"/>
      <x:c r="G108" s="255"/>
      <x:c r="H108" s="255"/>
      <x:c r="I108" s="174"/>
      <x:c r="J108" s="122"/>
      <x:c r="K108" s="177"/>
      <x:c r="L108" s="122"/>
      <x:c r="M108" s="177"/>
      <x:c r="N108" s="178"/>
      <x:c r="O108" s="122"/>
      <x:c r="P108" s="177"/>
      <x:c r="Q108" s="122"/>
      <x:c r="R108" s="177"/>
      <x:c r="S108" s="178"/>
      <x:c r="T108" s="122"/>
      <x:c r="U108" s="177"/>
      <x:c r="V108" s="122"/>
      <x:c r="W108" s="177"/>
      <x:c r="X108" s="178"/>
      <x:c r="Y108" s="122"/>
      <x:c r="Z108" s="177"/>
      <x:c r="AA108" s="122"/>
      <x:c r="AB108" s="177"/>
      <x:c r="AC108" s="178"/>
      <x:c r="AD108" s="122"/>
      <x:c r="AE108" s="177"/>
      <x:c r="AF108" s="122"/>
      <x:c r="AG108" s="177"/>
      <x:c r="AH108" s="178"/>
      <x:c r="AI108" s="122"/>
      <x:c r="AJ108" s="177"/>
      <x:c r="AK108" s="122"/>
      <x:c r="AL108" s="177"/>
      <x:c r="AM108" s="178"/>
      <x:c r="AN108" s="122"/>
      <x:c r="AO108" s="177"/>
      <x:c r="AP108" s="122"/>
    </x:row>
    <x:row r="109" ht="19.5" hidden="1" customHeight="1">
      <x:c r="A109" s="160"/>
      <x:c r="B109" s="179"/>
      <x:c r="C109" s="200"/>
      <x:c r="D109" s="200"/>
      <x:c r="E109" s="200"/>
      <x:c r="F109" s="201"/>
      <x:c r="G109" s="255"/>
      <x:c r="H109" s="255"/>
      <x:c r="I109" s="174"/>
      <x:c r="J109" s="122"/>
      <x:c r="K109" s="177"/>
      <x:c r="L109" s="122"/>
      <x:c r="M109" s="177"/>
      <x:c r="N109" s="178"/>
      <x:c r="O109" s="122"/>
      <x:c r="P109" s="177"/>
      <x:c r="Q109" s="122"/>
      <x:c r="R109" s="177"/>
      <x:c r="S109" s="178"/>
      <x:c r="T109" s="122"/>
      <x:c r="U109" s="177"/>
      <x:c r="V109" s="122"/>
      <x:c r="W109" s="177"/>
      <x:c r="X109" s="178"/>
      <x:c r="Y109" s="122"/>
      <x:c r="Z109" s="177"/>
      <x:c r="AA109" s="122"/>
      <x:c r="AB109" s="177"/>
      <x:c r="AC109" s="178"/>
      <x:c r="AD109" s="122"/>
      <x:c r="AE109" s="177"/>
      <x:c r="AF109" s="122"/>
      <x:c r="AG109" s="177"/>
      <x:c r="AH109" s="178"/>
      <x:c r="AI109" s="122"/>
      <x:c r="AJ109" s="177"/>
      <x:c r="AK109" s="122"/>
      <x:c r="AL109" s="177"/>
      <x:c r="AM109" s="178"/>
      <x:c r="AN109" s="122"/>
      <x:c r="AO109" s="177"/>
      <x:c r="AP109" s="122"/>
    </x:row>
    <x:row r="110" ht="19.5" hidden="1" customHeight="1">
      <x:c r="A110" s="169"/>
      <x:c r="B110" s="170"/>
      <x:c r="C110" s="200"/>
      <x:c r="D110" s="200"/>
      <x:c r="E110" s="200"/>
      <x:c r="F110" s="201"/>
      <x:c r="G110" s="255"/>
      <x:c r="H110" s="255"/>
      <x:c r="I110" s="174"/>
      <x:c r="J110" s="122"/>
      <x:c r="K110" s="177"/>
      <x:c r="L110" s="122"/>
      <x:c r="M110" s="177"/>
      <x:c r="N110" s="178"/>
      <x:c r="O110" s="122"/>
      <x:c r="P110" s="177"/>
      <x:c r="Q110" s="122"/>
      <x:c r="R110" s="177"/>
      <x:c r="S110" s="178"/>
      <x:c r="T110" s="122"/>
      <x:c r="U110" s="177"/>
      <x:c r="V110" s="122"/>
      <x:c r="W110" s="177"/>
      <x:c r="X110" s="178"/>
      <x:c r="Y110" s="122"/>
      <x:c r="Z110" s="177"/>
      <x:c r="AA110" s="122"/>
      <x:c r="AB110" s="177"/>
      <x:c r="AC110" s="178"/>
      <x:c r="AD110" s="122"/>
      <x:c r="AE110" s="177"/>
      <x:c r="AF110" s="122"/>
      <x:c r="AG110" s="177"/>
      <x:c r="AH110" s="178"/>
      <x:c r="AI110" s="122"/>
      <x:c r="AJ110" s="177"/>
      <x:c r="AK110" s="122"/>
      <x:c r="AL110" s="177"/>
      <x:c r="AM110" s="178"/>
      <x:c r="AN110" s="122"/>
      <x:c r="AO110" s="177"/>
      <x:c r="AP110" s="122"/>
    </x:row>
    <x:row r="111" ht="19.5" hidden="1" customHeight="1">
      <x:c r="A111" s="160"/>
      <x:c r="B111" s="179"/>
      <x:c r="C111" s="200"/>
      <x:c r="D111" s="200"/>
      <x:c r="E111" s="200"/>
      <x:c r="F111" s="201"/>
      <x:c r="G111" s="255"/>
      <x:c r="H111" s="255"/>
      <x:c r="I111" s="174"/>
      <x:c r="J111" s="122"/>
      <x:c r="K111" s="177"/>
      <x:c r="L111" s="122"/>
      <x:c r="M111" s="177"/>
      <x:c r="N111" s="178"/>
      <x:c r="O111" s="122"/>
      <x:c r="P111" s="177"/>
      <x:c r="Q111" s="122"/>
      <x:c r="R111" s="177"/>
      <x:c r="S111" s="178"/>
      <x:c r="T111" s="122"/>
      <x:c r="U111" s="177"/>
      <x:c r="V111" s="122"/>
      <x:c r="W111" s="177"/>
      <x:c r="X111" s="178"/>
      <x:c r="Y111" s="122"/>
      <x:c r="Z111" s="177"/>
      <x:c r="AA111" s="122"/>
      <x:c r="AB111" s="177"/>
      <x:c r="AC111" s="178"/>
      <x:c r="AD111" s="122"/>
      <x:c r="AE111" s="177"/>
      <x:c r="AF111" s="122"/>
      <x:c r="AG111" s="177"/>
      <x:c r="AH111" s="178"/>
      <x:c r="AI111" s="122"/>
      <x:c r="AJ111" s="177"/>
      <x:c r="AK111" s="122"/>
      <x:c r="AL111" s="177"/>
      <x:c r="AM111" s="178"/>
      <x:c r="AN111" s="122"/>
      <x:c r="AO111" s="177"/>
      <x:c r="AP111" s="122"/>
    </x:row>
    <x:row r="112" ht="19.5" hidden="1" customHeight="1">
      <x:c r="A112" s="169"/>
      <x:c r="B112" s="170"/>
      <x:c r="C112" s="200"/>
      <x:c r="D112" s="200"/>
      <x:c r="E112" s="200"/>
      <x:c r="F112" s="201"/>
      <x:c r="G112" s="255"/>
      <x:c r="H112" s="255"/>
      <x:c r="I112" s="174"/>
      <x:c r="J112" s="122"/>
      <x:c r="K112" s="177"/>
      <x:c r="L112" s="122"/>
      <x:c r="M112" s="177"/>
      <x:c r="N112" s="178"/>
      <x:c r="O112" s="122"/>
      <x:c r="P112" s="177"/>
      <x:c r="Q112" s="122"/>
      <x:c r="R112" s="177"/>
      <x:c r="S112" s="178"/>
      <x:c r="T112" s="122"/>
      <x:c r="U112" s="177"/>
      <x:c r="V112" s="122"/>
      <x:c r="W112" s="177"/>
      <x:c r="X112" s="178"/>
      <x:c r="Y112" s="122"/>
      <x:c r="Z112" s="177"/>
      <x:c r="AA112" s="122"/>
      <x:c r="AB112" s="177"/>
      <x:c r="AC112" s="178"/>
      <x:c r="AD112" s="122"/>
      <x:c r="AE112" s="177"/>
      <x:c r="AF112" s="122"/>
      <x:c r="AG112" s="177"/>
      <x:c r="AH112" s="178"/>
      <x:c r="AI112" s="122"/>
      <x:c r="AJ112" s="177"/>
      <x:c r="AK112" s="122"/>
      <x:c r="AL112" s="177"/>
      <x:c r="AM112" s="178"/>
      <x:c r="AN112" s="122"/>
      <x:c r="AO112" s="177"/>
      <x:c r="AP112" s="122"/>
    </x:row>
    <x:row r="113" ht="19.5" hidden="1" customHeight="1">
      <x:c r="A113" s="160"/>
      <x:c r="B113" s="179"/>
      <x:c r="C113" s="200"/>
      <x:c r="D113" s="200"/>
      <x:c r="E113" s="200"/>
      <x:c r="F113" s="201"/>
      <x:c r="G113" s="255"/>
      <x:c r="H113" s="255"/>
      <x:c r="I113" s="174"/>
      <x:c r="J113" s="122"/>
      <x:c r="K113" s="177"/>
      <x:c r="L113" s="122"/>
      <x:c r="M113" s="177"/>
      <x:c r="N113" s="178"/>
      <x:c r="O113" s="122"/>
      <x:c r="P113" s="177"/>
      <x:c r="Q113" s="122"/>
      <x:c r="R113" s="177"/>
      <x:c r="S113" s="178"/>
      <x:c r="T113" s="122"/>
      <x:c r="U113" s="177"/>
      <x:c r="V113" s="122"/>
      <x:c r="W113" s="177"/>
      <x:c r="X113" s="178"/>
      <x:c r="Y113" s="122"/>
      <x:c r="Z113" s="177"/>
      <x:c r="AA113" s="122"/>
      <x:c r="AB113" s="177"/>
      <x:c r="AC113" s="178"/>
      <x:c r="AD113" s="122"/>
      <x:c r="AE113" s="177"/>
      <x:c r="AF113" s="122"/>
      <x:c r="AG113" s="177"/>
      <x:c r="AH113" s="178"/>
      <x:c r="AI113" s="122"/>
      <x:c r="AJ113" s="177"/>
      <x:c r="AK113" s="122"/>
      <x:c r="AL113" s="177"/>
      <x:c r="AM113" s="178"/>
      <x:c r="AN113" s="122"/>
      <x:c r="AO113" s="177"/>
      <x:c r="AP113" s="122"/>
    </x:row>
    <x:row r="114" ht="19.5" hidden="1" customHeight="1">
      <x:c r="A114" s="169"/>
      <x:c r="B114" s="170"/>
      <x:c r="C114" s="200"/>
      <x:c r="D114" s="200"/>
      <x:c r="E114" s="200"/>
      <x:c r="F114" s="201"/>
      <x:c r="G114" s="255"/>
      <x:c r="H114" s="255"/>
      <x:c r="I114" s="174"/>
      <x:c r="J114" s="122"/>
      <x:c r="K114" s="177"/>
      <x:c r="L114" s="122"/>
      <x:c r="M114" s="177"/>
      <x:c r="N114" s="178"/>
      <x:c r="O114" s="122"/>
      <x:c r="P114" s="177"/>
      <x:c r="Q114" s="122"/>
      <x:c r="R114" s="177"/>
      <x:c r="S114" s="178"/>
      <x:c r="T114" s="122"/>
      <x:c r="U114" s="177"/>
      <x:c r="V114" s="122"/>
      <x:c r="W114" s="177"/>
      <x:c r="X114" s="178"/>
      <x:c r="Y114" s="122"/>
      <x:c r="Z114" s="177"/>
      <x:c r="AA114" s="122"/>
      <x:c r="AB114" s="177"/>
      <x:c r="AC114" s="178"/>
      <x:c r="AD114" s="122"/>
      <x:c r="AE114" s="177"/>
      <x:c r="AF114" s="122"/>
      <x:c r="AG114" s="177"/>
      <x:c r="AH114" s="178"/>
      <x:c r="AI114" s="122"/>
      <x:c r="AJ114" s="177"/>
      <x:c r="AK114" s="122"/>
      <x:c r="AL114" s="177"/>
      <x:c r="AM114" s="178"/>
      <x:c r="AN114" s="122"/>
      <x:c r="AO114" s="177"/>
      <x:c r="AP114" s="122"/>
    </x:row>
    <x:row r="115" ht="19.5" hidden="1" customHeight="1">
      <x:c r="A115" s="160"/>
      <x:c r="B115" s="179"/>
      <x:c r="C115" s="200"/>
      <x:c r="D115" s="200"/>
      <x:c r="E115" s="200"/>
      <x:c r="F115" s="201"/>
      <x:c r="G115" s="255"/>
      <x:c r="H115" s="255"/>
      <x:c r="I115" s="174"/>
      <x:c r="J115" s="122"/>
      <x:c r="K115" s="177"/>
      <x:c r="L115" s="122"/>
      <x:c r="M115" s="177"/>
      <x:c r="N115" s="178"/>
      <x:c r="O115" s="122"/>
      <x:c r="P115" s="177"/>
      <x:c r="Q115" s="122"/>
      <x:c r="R115" s="177"/>
      <x:c r="S115" s="178"/>
      <x:c r="T115" s="122"/>
      <x:c r="U115" s="177"/>
      <x:c r="V115" s="122"/>
      <x:c r="W115" s="177"/>
      <x:c r="X115" s="178"/>
      <x:c r="Y115" s="122"/>
      <x:c r="Z115" s="177"/>
      <x:c r="AA115" s="122"/>
      <x:c r="AB115" s="177"/>
      <x:c r="AC115" s="178"/>
      <x:c r="AD115" s="122"/>
      <x:c r="AE115" s="177"/>
      <x:c r="AF115" s="122"/>
      <x:c r="AG115" s="177"/>
      <x:c r="AH115" s="178"/>
      <x:c r="AI115" s="122"/>
      <x:c r="AJ115" s="177"/>
      <x:c r="AK115" s="122"/>
      <x:c r="AL115" s="177"/>
      <x:c r="AM115" s="178"/>
      <x:c r="AN115" s="122"/>
      <x:c r="AO115" s="177"/>
      <x:c r="AP115" s="122"/>
    </x:row>
    <x:row r="116" ht="19.5" hidden="1" customHeight="1">
      <x:c r="A116" s="169"/>
      <x:c r="B116" s="170"/>
      <x:c r="C116" s="200"/>
      <x:c r="D116" s="200"/>
      <x:c r="E116" s="200"/>
      <x:c r="F116" s="201"/>
      <x:c r="G116" s="255"/>
      <x:c r="H116" s="255"/>
      <x:c r="I116" s="174"/>
      <x:c r="J116" s="122"/>
      <x:c r="K116" s="177"/>
      <x:c r="L116" s="122"/>
      <x:c r="M116" s="177"/>
      <x:c r="N116" s="178"/>
      <x:c r="O116" s="122"/>
      <x:c r="P116" s="177"/>
      <x:c r="Q116" s="122"/>
      <x:c r="R116" s="177"/>
      <x:c r="S116" s="178"/>
      <x:c r="T116" s="122"/>
      <x:c r="U116" s="177"/>
      <x:c r="V116" s="122"/>
      <x:c r="W116" s="177"/>
      <x:c r="X116" s="178"/>
      <x:c r="Y116" s="122"/>
      <x:c r="Z116" s="177"/>
      <x:c r="AA116" s="122"/>
      <x:c r="AB116" s="177"/>
      <x:c r="AC116" s="178"/>
      <x:c r="AD116" s="122"/>
      <x:c r="AE116" s="177"/>
      <x:c r="AF116" s="122"/>
      <x:c r="AG116" s="177"/>
      <x:c r="AH116" s="178"/>
      <x:c r="AI116" s="122"/>
      <x:c r="AJ116" s="177"/>
      <x:c r="AK116" s="122"/>
      <x:c r="AL116" s="177"/>
      <x:c r="AM116" s="178"/>
      <x:c r="AN116" s="122"/>
      <x:c r="AO116" s="177"/>
      <x:c r="AP116" s="122"/>
    </x:row>
    <x:row r="117" ht="19.5" hidden="1" customHeight="1">
      <x:c r="A117" s="160"/>
      <x:c r="B117" s="179"/>
      <x:c r="C117" s="200"/>
      <x:c r="D117" s="200"/>
      <x:c r="E117" s="200"/>
      <x:c r="F117" s="201"/>
      <x:c r="G117" s="255"/>
      <x:c r="H117" s="255"/>
      <x:c r="I117" s="174"/>
      <x:c r="J117" s="122"/>
      <x:c r="K117" s="177"/>
      <x:c r="L117" s="122"/>
      <x:c r="M117" s="177"/>
      <x:c r="N117" s="178"/>
      <x:c r="O117" s="122"/>
      <x:c r="P117" s="177"/>
      <x:c r="Q117" s="122"/>
      <x:c r="R117" s="177"/>
      <x:c r="S117" s="178"/>
      <x:c r="T117" s="122"/>
      <x:c r="U117" s="177"/>
      <x:c r="V117" s="122"/>
      <x:c r="W117" s="177"/>
      <x:c r="X117" s="178"/>
      <x:c r="Y117" s="122"/>
      <x:c r="Z117" s="177"/>
      <x:c r="AA117" s="122"/>
      <x:c r="AB117" s="177"/>
      <x:c r="AC117" s="178"/>
      <x:c r="AD117" s="122"/>
      <x:c r="AE117" s="177"/>
      <x:c r="AF117" s="122"/>
      <x:c r="AG117" s="177"/>
      <x:c r="AH117" s="178"/>
      <x:c r="AI117" s="122"/>
      <x:c r="AJ117" s="177"/>
      <x:c r="AK117" s="122"/>
      <x:c r="AL117" s="177"/>
      <x:c r="AM117" s="178"/>
      <x:c r="AN117" s="122"/>
      <x:c r="AO117" s="177"/>
      <x:c r="AP117" s="122"/>
    </x:row>
    <x:row r="118" ht="19.5" hidden="1" customHeight="1">
      <x:c r="A118" s="169"/>
      <x:c r="B118" s="170"/>
      <x:c r="C118" s="200"/>
      <x:c r="D118" s="200"/>
      <x:c r="E118" s="200"/>
      <x:c r="F118" s="201"/>
      <x:c r="G118" s="255"/>
      <x:c r="H118" s="255"/>
      <x:c r="I118" s="174"/>
      <x:c r="J118" s="122"/>
      <x:c r="K118" s="177"/>
      <x:c r="L118" s="122"/>
      <x:c r="M118" s="177"/>
      <x:c r="N118" s="178"/>
      <x:c r="O118" s="122"/>
      <x:c r="P118" s="177"/>
      <x:c r="Q118" s="122"/>
      <x:c r="R118" s="177"/>
      <x:c r="S118" s="178"/>
      <x:c r="T118" s="122"/>
      <x:c r="U118" s="177"/>
      <x:c r="V118" s="122"/>
      <x:c r="W118" s="177"/>
      <x:c r="X118" s="178"/>
      <x:c r="Y118" s="122"/>
      <x:c r="Z118" s="177"/>
      <x:c r="AA118" s="122"/>
      <x:c r="AB118" s="177"/>
      <x:c r="AC118" s="178"/>
      <x:c r="AD118" s="122"/>
      <x:c r="AE118" s="177"/>
      <x:c r="AF118" s="122"/>
      <x:c r="AG118" s="177"/>
      <x:c r="AH118" s="178"/>
      <x:c r="AI118" s="122"/>
      <x:c r="AJ118" s="177"/>
      <x:c r="AK118" s="122"/>
      <x:c r="AL118" s="177"/>
      <x:c r="AM118" s="178"/>
      <x:c r="AN118" s="122"/>
      <x:c r="AO118" s="177"/>
      <x:c r="AP118" s="122"/>
    </x:row>
    <x:row r="119" ht="19.5" hidden="1" customHeight="1">
      <x:c r="A119" s="160"/>
      <x:c r="B119" s="179"/>
      <x:c r="C119" s="200"/>
      <x:c r="D119" s="200"/>
      <x:c r="E119" s="200"/>
      <x:c r="F119" s="201"/>
      <x:c r="G119" s="255"/>
      <x:c r="H119" s="255"/>
      <x:c r="I119" s="174"/>
      <x:c r="J119" s="122"/>
      <x:c r="K119" s="177"/>
      <x:c r="L119" s="122"/>
      <x:c r="M119" s="177"/>
      <x:c r="N119" s="178"/>
      <x:c r="O119" s="122"/>
      <x:c r="P119" s="177"/>
      <x:c r="Q119" s="122"/>
      <x:c r="R119" s="177"/>
      <x:c r="S119" s="178"/>
      <x:c r="T119" s="122"/>
      <x:c r="U119" s="177"/>
      <x:c r="V119" s="122"/>
      <x:c r="W119" s="177"/>
      <x:c r="X119" s="178"/>
      <x:c r="Y119" s="122"/>
      <x:c r="Z119" s="177"/>
      <x:c r="AA119" s="122"/>
      <x:c r="AB119" s="177"/>
      <x:c r="AC119" s="178"/>
      <x:c r="AD119" s="122"/>
      <x:c r="AE119" s="177"/>
      <x:c r="AF119" s="122"/>
      <x:c r="AG119" s="177"/>
      <x:c r="AH119" s="178"/>
      <x:c r="AI119" s="122"/>
      <x:c r="AJ119" s="177"/>
      <x:c r="AK119" s="122"/>
      <x:c r="AL119" s="177"/>
      <x:c r="AM119" s="178"/>
      <x:c r="AN119" s="122"/>
      <x:c r="AO119" s="177"/>
      <x:c r="AP119" s="122"/>
    </x:row>
    <x:row r="120" ht="19.5" hidden="1" customHeight="1">
      <x:c r="A120" s="169"/>
      <x:c r="B120" s="170"/>
      <x:c r="C120" s="200"/>
      <x:c r="D120" s="200"/>
      <x:c r="E120" s="200"/>
      <x:c r="F120" s="201"/>
      <x:c r="G120" s="255"/>
      <x:c r="H120" s="255"/>
      <x:c r="I120" s="174"/>
      <x:c r="J120" s="122"/>
      <x:c r="K120" s="177"/>
      <x:c r="L120" s="122"/>
      <x:c r="M120" s="177"/>
      <x:c r="N120" s="178"/>
      <x:c r="O120" s="122"/>
      <x:c r="P120" s="177"/>
      <x:c r="Q120" s="122"/>
      <x:c r="R120" s="177"/>
      <x:c r="S120" s="178"/>
      <x:c r="T120" s="122"/>
      <x:c r="U120" s="177"/>
      <x:c r="V120" s="122"/>
      <x:c r="W120" s="177"/>
      <x:c r="X120" s="178"/>
      <x:c r="Y120" s="122"/>
      <x:c r="Z120" s="177"/>
      <x:c r="AA120" s="122"/>
      <x:c r="AB120" s="177"/>
      <x:c r="AC120" s="178"/>
      <x:c r="AD120" s="122"/>
      <x:c r="AE120" s="177"/>
      <x:c r="AF120" s="122"/>
      <x:c r="AG120" s="177"/>
      <x:c r="AH120" s="178"/>
      <x:c r="AI120" s="122"/>
      <x:c r="AJ120" s="177"/>
      <x:c r="AK120" s="122"/>
      <x:c r="AL120" s="177"/>
      <x:c r="AM120" s="178"/>
      <x:c r="AN120" s="122"/>
      <x:c r="AO120" s="177"/>
      <x:c r="AP120" s="122"/>
    </x:row>
    <x:row r="121" ht="19.5" hidden="1" customHeight="1">
      <x:c r="A121" s="160"/>
      <x:c r="B121" s="179"/>
      <x:c r="C121" s="200"/>
      <x:c r="D121" s="200"/>
      <x:c r="E121" s="200"/>
      <x:c r="F121" s="201"/>
      <x:c r="G121" s="255"/>
      <x:c r="H121" s="255"/>
      <x:c r="I121" s="174"/>
      <x:c r="J121" s="122"/>
      <x:c r="K121" s="177"/>
      <x:c r="L121" s="122"/>
      <x:c r="M121" s="177"/>
      <x:c r="N121" s="178"/>
      <x:c r="O121" s="122"/>
      <x:c r="P121" s="177"/>
      <x:c r="Q121" s="122"/>
      <x:c r="R121" s="177"/>
      <x:c r="S121" s="178"/>
      <x:c r="T121" s="122"/>
      <x:c r="U121" s="177"/>
      <x:c r="V121" s="122"/>
      <x:c r="W121" s="177"/>
      <x:c r="X121" s="178"/>
      <x:c r="Y121" s="122"/>
      <x:c r="Z121" s="177"/>
      <x:c r="AA121" s="122"/>
      <x:c r="AB121" s="177"/>
      <x:c r="AC121" s="178"/>
      <x:c r="AD121" s="122"/>
      <x:c r="AE121" s="177"/>
      <x:c r="AF121" s="122"/>
      <x:c r="AG121" s="177"/>
      <x:c r="AH121" s="178"/>
      <x:c r="AI121" s="122"/>
      <x:c r="AJ121" s="177"/>
      <x:c r="AK121" s="122"/>
      <x:c r="AL121" s="177"/>
      <x:c r="AM121" s="178"/>
      <x:c r="AN121" s="122"/>
      <x:c r="AO121" s="177"/>
      <x:c r="AP121" s="122"/>
    </x:row>
    <x:row r="122" ht="19.5" hidden="1" customHeight="1">
      <x:c r="A122" s="169"/>
      <x:c r="B122" s="170"/>
      <x:c r="C122" s="200"/>
      <x:c r="D122" s="200"/>
      <x:c r="E122" s="200"/>
      <x:c r="F122" s="201"/>
      <x:c r="G122" s="255"/>
      <x:c r="H122" s="255"/>
      <x:c r="I122" s="174"/>
      <x:c r="J122" s="122"/>
      <x:c r="K122" s="177"/>
      <x:c r="L122" s="122"/>
      <x:c r="M122" s="177"/>
      <x:c r="N122" s="178"/>
      <x:c r="O122" s="122"/>
      <x:c r="P122" s="177"/>
      <x:c r="Q122" s="122"/>
      <x:c r="R122" s="177"/>
      <x:c r="S122" s="178"/>
      <x:c r="T122" s="122"/>
      <x:c r="U122" s="177"/>
      <x:c r="V122" s="122"/>
      <x:c r="W122" s="177"/>
      <x:c r="X122" s="178"/>
      <x:c r="Y122" s="122"/>
      <x:c r="Z122" s="177"/>
      <x:c r="AA122" s="122"/>
      <x:c r="AB122" s="177"/>
      <x:c r="AC122" s="178"/>
      <x:c r="AD122" s="122"/>
      <x:c r="AE122" s="177"/>
      <x:c r="AF122" s="122"/>
      <x:c r="AG122" s="177"/>
      <x:c r="AH122" s="178"/>
      <x:c r="AI122" s="122"/>
      <x:c r="AJ122" s="177"/>
      <x:c r="AK122" s="122"/>
      <x:c r="AL122" s="177"/>
      <x:c r="AM122" s="178"/>
      <x:c r="AN122" s="122"/>
      <x:c r="AO122" s="177"/>
      <x:c r="AP122" s="122"/>
    </x:row>
    <x:row r="123" ht="19.5" hidden="1" customHeight="1">
      <x:c r="A123" s="160"/>
      <x:c r="B123" s="179"/>
      <x:c r="C123" s="200"/>
      <x:c r="D123" s="200"/>
      <x:c r="E123" s="200"/>
      <x:c r="F123" s="201"/>
      <x:c r="G123" s="255"/>
      <x:c r="H123" s="255"/>
      <x:c r="I123" s="174"/>
      <x:c r="J123" s="122"/>
      <x:c r="K123" s="177"/>
      <x:c r="L123" s="122"/>
      <x:c r="M123" s="177"/>
      <x:c r="N123" s="178"/>
      <x:c r="O123" s="122"/>
      <x:c r="P123" s="177"/>
      <x:c r="Q123" s="122"/>
      <x:c r="R123" s="177"/>
      <x:c r="S123" s="178"/>
      <x:c r="T123" s="122"/>
      <x:c r="U123" s="177"/>
      <x:c r="V123" s="122"/>
      <x:c r="W123" s="177"/>
      <x:c r="X123" s="178"/>
      <x:c r="Y123" s="122"/>
      <x:c r="Z123" s="177"/>
      <x:c r="AA123" s="122"/>
      <x:c r="AB123" s="177"/>
      <x:c r="AC123" s="178"/>
      <x:c r="AD123" s="122"/>
      <x:c r="AE123" s="177"/>
      <x:c r="AF123" s="122"/>
      <x:c r="AG123" s="177"/>
      <x:c r="AH123" s="178"/>
      <x:c r="AI123" s="122"/>
      <x:c r="AJ123" s="177"/>
      <x:c r="AK123" s="122"/>
      <x:c r="AL123" s="177"/>
      <x:c r="AM123" s="178"/>
      <x:c r="AN123" s="122"/>
      <x:c r="AO123" s="177"/>
      <x:c r="AP123" s="122"/>
    </x:row>
    <x:row r="124" ht="19.5" hidden="1" customHeight="1">
      <x:c r="A124" s="169"/>
      <x:c r="B124" s="170"/>
      <x:c r="C124" s="200"/>
      <x:c r="D124" s="200"/>
      <x:c r="E124" s="200"/>
      <x:c r="F124" s="201"/>
      <x:c r="G124" s="255"/>
      <x:c r="H124" s="255"/>
      <x:c r="I124" s="174"/>
      <x:c r="J124" s="122"/>
      <x:c r="K124" s="177"/>
      <x:c r="L124" s="122"/>
      <x:c r="M124" s="177"/>
      <x:c r="N124" s="178"/>
      <x:c r="O124" s="122"/>
      <x:c r="P124" s="177"/>
      <x:c r="Q124" s="122"/>
      <x:c r="R124" s="177"/>
      <x:c r="S124" s="178"/>
      <x:c r="T124" s="122"/>
      <x:c r="U124" s="177"/>
      <x:c r="V124" s="122"/>
      <x:c r="W124" s="177"/>
      <x:c r="X124" s="178"/>
      <x:c r="Y124" s="122"/>
      <x:c r="Z124" s="177"/>
      <x:c r="AA124" s="122"/>
      <x:c r="AB124" s="177"/>
      <x:c r="AC124" s="178"/>
      <x:c r="AD124" s="122"/>
      <x:c r="AE124" s="177"/>
      <x:c r="AF124" s="122"/>
      <x:c r="AG124" s="177"/>
      <x:c r="AH124" s="178"/>
      <x:c r="AI124" s="122"/>
      <x:c r="AJ124" s="177"/>
      <x:c r="AK124" s="122"/>
      <x:c r="AL124" s="177"/>
      <x:c r="AM124" s="178"/>
      <x:c r="AN124" s="122"/>
      <x:c r="AO124" s="177"/>
      <x:c r="AP124" s="122"/>
    </x:row>
    <x:row r="125" ht="19.5" hidden="1" customHeight="1">
      <x:c r="A125" s="160"/>
      <x:c r="B125" s="179"/>
      <x:c r="C125" s="200"/>
      <x:c r="D125" s="200"/>
      <x:c r="E125" s="200"/>
      <x:c r="F125" s="201"/>
      <x:c r="G125" s="255"/>
      <x:c r="H125" s="255"/>
      <x:c r="I125" s="174"/>
      <x:c r="J125" s="122"/>
      <x:c r="K125" s="177"/>
      <x:c r="L125" s="122"/>
      <x:c r="M125" s="177"/>
      <x:c r="N125" s="178"/>
      <x:c r="O125" s="122"/>
      <x:c r="P125" s="177"/>
      <x:c r="Q125" s="122"/>
      <x:c r="R125" s="177"/>
      <x:c r="S125" s="178"/>
      <x:c r="T125" s="122"/>
      <x:c r="U125" s="177"/>
      <x:c r="V125" s="122"/>
      <x:c r="W125" s="177"/>
      <x:c r="X125" s="178"/>
      <x:c r="Y125" s="122"/>
      <x:c r="Z125" s="177"/>
      <x:c r="AA125" s="122"/>
      <x:c r="AB125" s="177"/>
      <x:c r="AC125" s="178"/>
      <x:c r="AD125" s="122"/>
      <x:c r="AE125" s="177"/>
      <x:c r="AF125" s="122"/>
      <x:c r="AG125" s="177"/>
      <x:c r="AH125" s="178"/>
      <x:c r="AI125" s="122"/>
      <x:c r="AJ125" s="177"/>
      <x:c r="AK125" s="122"/>
      <x:c r="AL125" s="177"/>
      <x:c r="AM125" s="178"/>
      <x:c r="AN125" s="122"/>
      <x:c r="AO125" s="177"/>
      <x:c r="AP125" s="122"/>
    </x:row>
    <x:row r="126" ht="19.5" hidden="1" customHeight="1">
      <x:c r="A126" s="169"/>
      <x:c r="B126" s="170"/>
      <x:c r="C126" s="200"/>
      <x:c r="D126" s="200"/>
      <x:c r="E126" s="200"/>
      <x:c r="F126" s="201"/>
      <x:c r="G126" s="255"/>
      <x:c r="H126" s="255"/>
      <x:c r="I126" s="174"/>
      <x:c r="J126" s="122"/>
      <x:c r="K126" s="177"/>
      <x:c r="L126" s="122"/>
      <x:c r="M126" s="177"/>
      <x:c r="N126" s="178"/>
      <x:c r="O126" s="122"/>
      <x:c r="P126" s="177"/>
      <x:c r="Q126" s="122"/>
      <x:c r="R126" s="177"/>
      <x:c r="S126" s="178"/>
      <x:c r="T126" s="122"/>
      <x:c r="U126" s="177"/>
      <x:c r="V126" s="122"/>
      <x:c r="W126" s="177"/>
      <x:c r="X126" s="178"/>
      <x:c r="Y126" s="122"/>
      <x:c r="Z126" s="177"/>
      <x:c r="AA126" s="122"/>
      <x:c r="AB126" s="177"/>
      <x:c r="AC126" s="178"/>
      <x:c r="AD126" s="122"/>
      <x:c r="AE126" s="177"/>
      <x:c r="AF126" s="122"/>
      <x:c r="AG126" s="177"/>
      <x:c r="AH126" s="178"/>
      <x:c r="AI126" s="122"/>
      <x:c r="AJ126" s="177"/>
      <x:c r="AK126" s="122"/>
      <x:c r="AL126" s="177"/>
      <x:c r="AM126" s="178"/>
      <x:c r="AN126" s="122"/>
      <x:c r="AO126" s="177"/>
      <x:c r="AP126" s="122"/>
    </x:row>
    <x:row r="127" ht="19.5" hidden="1" customHeight="1">
      <x:c r="A127" s="160"/>
      <x:c r="B127" s="179"/>
      <x:c r="C127" s="200"/>
      <x:c r="D127" s="200"/>
      <x:c r="E127" s="200"/>
      <x:c r="F127" s="201"/>
      <x:c r="G127" s="255"/>
      <x:c r="H127" s="255"/>
      <x:c r="I127" s="174"/>
      <x:c r="J127" s="122"/>
      <x:c r="K127" s="177"/>
      <x:c r="L127" s="122"/>
      <x:c r="M127" s="177"/>
      <x:c r="N127" s="178"/>
      <x:c r="O127" s="122"/>
      <x:c r="P127" s="177"/>
      <x:c r="Q127" s="122"/>
      <x:c r="R127" s="177"/>
      <x:c r="S127" s="178"/>
      <x:c r="T127" s="122"/>
      <x:c r="U127" s="177"/>
      <x:c r="V127" s="122"/>
      <x:c r="W127" s="177"/>
      <x:c r="X127" s="178"/>
      <x:c r="Y127" s="122"/>
      <x:c r="Z127" s="177"/>
      <x:c r="AA127" s="122"/>
      <x:c r="AB127" s="177"/>
      <x:c r="AC127" s="178"/>
      <x:c r="AD127" s="122"/>
      <x:c r="AE127" s="177"/>
      <x:c r="AF127" s="122"/>
      <x:c r="AG127" s="177"/>
      <x:c r="AH127" s="178"/>
      <x:c r="AI127" s="122"/>
      <x:c r="AJ127" s="177"/>
      <x:c r="AK127" s="122"/>
      <x:c r="AL127" s="177"/>
      <x:c r="AM127" s="178"/>
      <x:c r="AN127" s="122"/>
      <x:c r="AO127" s="177"/>
      <x:c r="AP127" s="122"/>
    </x:row>
    <x:row r="128" ht="19.5" hidden="1" customHeight="1">
      <x:c r="A128" s="169"/>
      <x:c r="B128" s="170"/>
      <x:c r="C128" s="200"/>
      <x:c r="D128" s="200"/>
      <x:c r="E128" s="200"/>
      <x:c r="F128" s="201"/>
      <x:c r="G128" s="255"/>
      <x:c r="H128" s="255"/>
      <x:c r="I128" s="174"/>
      <x:c r="J128" s="122"/>
      <x:c r="K128" s="177"/>
      <x:c r="L128" s="122"/>
      <x:c r="M128" s="177"/>
      <x:c r="N128" s="178"/>
      <x:c r="O128" s="122"/>
      <x:c r="P128" s="177"/>
      <x:c r="Q128" s="122"/>
      <x:c r="R128" s="177"/>
      <x:c r="S128" s="178"/>
      <x:c r="T128" s="122"/>
      <x:c r="U128" s="177"/>
      <x:c r="V128" s="122"/>
      <x:c r="W128" s="177"/>
      <x:c r="X128" s="178"/>
      <x:c r="Y128" s="122"/>
      <x:c r="Z128" s="177"/>
      <x:c r="AA128" s="122"/>
      <x:c r="AB128" s="177"/>
      <x:c r="AC128" s="178"/>
      <x:c r="AD128" s="122"/>
      <x:c r="AE128" s="177"/>
      <x:c r="AF128" s="122"/>
      <x:c r="AG128" s="177"/>
      <x:c r="AH128" s="178"/>
      <x:c r="AI128" s="122"/>
      <x:c r="AJ128" s="177"/>
      <x:c r="AK128" s="122"/>
      <x:c r="AL128" s="177"/>
      <x:c r="AM128" s="178"/>
      <x:c r="AN128" s="122"/>
      <x:c r="AO128" s="177"/>
      <x:c r="AP128" s="122"/>
    </x:row>
    <x:row r="129" ht="19.5" hidden="1" customHeight="1">
      <x:c r="A129" s="160"/>
      <x:c r="B129" s="179"/>
      <x:c r="C129" s="200"/>
      <x:c r="D129" s="200"/>
      <x:c r="E129" s="200"/>
      <x:c r="F129" s="201"/>
      <x:c r="G129" s="255"/>
      <x:c r="H129" s="255"/>
      <x:c r="I129" s="174"/>
      <x:c r="J129" s="122"/>
      <x:c r="K129" s="177"/>
      <x:c r="L129" s="122"/>
      <x:c r="M129" s="177"/>
      <x:c r="N129" s="178"/>
      <x:c r="O129" s="122"/>
      <x:c r="P129" s="177"/>
      <x:c r="Q129" s="122"/>
      <x:c r="R129" s="177"/>
      <x:c r="S129" s="178"/>
      <x:c r="T129" s="122"/>
      <x:c r="U129" s="177"/>
      <x:c r="V129" s="122"/>
      <x:c r="W129" s="177"/>
      <x:c r="X129" s="178"/>
      <x:c r="Y129" s="122"/>
      <x:c r="Z129" s="177"/>
      <x:c r="AA129" s="122"/>
      <x:c r="AB129" s="177"/>
      <x:c r="AC129" s="178"/>
      <x:c r="AD129" s="122"/>
      <x:c r="AE129" s="177"/>
      <x:c r="AF129" s="122"/>
      <x:c r="AG129" s="177"/>
      <x:c r="AH129" s="178"/>
      <x:c r="AI129" s="122"/>
      <x:c r="AJ129" s="177"/>
      <x:c r="AK129" s="122"/>
      <x:c r="AL129" s="177"/>
      <x:c r="AM129" s="178"/>
      <x:c r="AN129" s="122"/>
      <x:c r="AO129" s="177"/>
      <x:c r="AP129" s="122"/>
    </x:row>
    <x:row r="130" ht="19.5" hidden="1" customHeight="1">
      <x:c r="A130" s="169"/>
      <x:c r="B130" s="170"/>
      <x:c r="C130" s="200"/>
      <x:c r="D130" s="200"/>
      <x:c r="E130" s="200"/>
      <x:c r="F130" s="201"/>
      <x:c r="G130" s="255"/>
      <x:c r="H130" s="255"/>
      <x:c r="I130" s="174"/>
      <x:c r="J130" s="122"/>
      <x:c r="K130" s="177"/>
      <x:c r="L130" s="122"/>
      <x:c r="M130" s="177"/>
      <x:c r="N130" s="178"/>
      <x:c r="O130" s="122"/>
      <x:c r="P130" s="177"/>
      <x:c r="Q130" s="122"/>
      <x:c r="R130" s="177"/>
      <x:c r="S130" s="178"/>
      <x:c r="T130" s="122"/>
      <x:c r="U130" s="177"/>
      <x:c r="V130" s="122"/>
      <x:c r="W130" s="177"/>
      <x:c r="X130" s="178"/>
      <x:c r="Y130" s="122"/>
      <x:c r="Z130" s="177"/>
      <x:c r="AA130" s="122"/>
      <x:c r="AB130" s="177"/>
      <x:c r="AC130" s="178"/>
      <x:c r="AD130" s="122"/>
      <x:c r="AE130" s="177"/>
      <x:c r="AF130" s="122"/>
      <x:c r="AG130" s="177"/>
      <x:c r="AH130" s="178"/>
      <x:c r="AI130" s="122"/>
      <x:c r="AJ130" s="177"/>
      <x:c r="AK130" s="122"/>
      <x:c r="AL130" s="177"/>
      <x:c r="AM130" s="178"/>
      <x:c r="AN130" s="122"/>
      <x:c r="AO130" s="177"/>
      <x:c r="AP130" s="122"/>
    </x:row>
    <x:row r="131" ht="19.5" hidden="1" customHeight="1">
      <x:c r="A131" s="160"/>
      <x:c r="B131" s="179"/>
      <x:c r="C131" s="200"/>
      <x:c r="D131" s="200"/>
      <x:c r="E131" s="200"/>
      <x:c r="F131" s="201"/>
      <x:c r="G131" s="255"/>
      <x:c r="H131" s="255"/>
      <x:c r="I131" s="174"/>
      <x:c r="J131" s="122"/>
      <x:c r="K131" s="177"/>
      <x:c r="L131" s="122"/>
      <x:c r="M131" s="177"/>
      <x:c r="N131" s="178"/>
      <x:c r="O131" s="122"/>
      <x:c r="P131" s="177"/>
      <x:c r="Q131" s="122"/>
      <x:c r="R131" s="177"/>
      <x:c r="S131" s="178"/>
      <x:c r="T131" s="122"/>
      <x:c r="U131" s="177"/>
      <x:c r="V131" s="122"/>
      <x:c r="W131" s="177"/>
      <x:c r="X131" s="178"/>
      <x:c r="Y131" s="122"/>
      <x:c r="Z131" s="177"/>
      <x:c r="AA131" s="122"/>
      <x:c r="AB131" s="177"/>
      <x:c r="AC131" s="178"/>
      <x:c r="AD131" s="122"/>
      <x:c r="AE131" s="177"/>
      <x:c r="AF131" s="122"/>
      <x:c r="AG131" s="177"/>
      <x:c r="AH131" s="178"/>
      <x:c r="AI131" s="122"/>
      <x:c r="AJ131" s="177"/>
      <x:c r="AK131" s="122"/>
      <x:c r="AL131" s="177"/>
      <x:c r="AM131" s="178"/>
      <x:c r="AN131" s="122"/>
      <x:c r="AO131" s="177"/>
      <x:c r="AP131" s="122"/>
    </x:row>
    <x:row r="132" ht="19.5" hidden="1" customHeight="1">
      <x:c r="A132" s="169"/>
      <x:c r="B132" s="170"/>
      <x:c r="C132" s="200"/>
      <x:c r="D132" s="200"/>
      <x:c r="E132" s="200"/>
      <x:c r="F132" s="201"/>
      <x:c r="G132" s="255"/>
      <x:c r="H132" s="255"/>
      <x:c r="I132" s="174"/>
      <x:c r="J132" s="122"/>
      <x:c r="K132" s="177"/>
      <x:c r="L132" s="122"/>
      <x:c r="M132" s="177"/>
      <x:c r="N132" s="178"/>
      <x:c r="O132" s="122"/>
      <x:c r="P132" s="177"/>
      <x:c r="Q132" s="122"/>
      <x:c r="R132" s="177"/>
      <x:c r="S132" s="178"/>
      <x:c r="T132" s="122"/>
      <x:c r="U132" s="177"/>
      <x:c r="V132" s="122"/>
      <x:c r="W132" s="177"/>
      <x:c r="X132" s="178"/>
      <x:c r="Y132" s="122"/>
      <x:c r="Z132" s="177"/>
      <x:c r="AA132" s="122"/>
      <x:c r="AB132" s="177"/>
      <x:c r="AC132" s="178"/>
      <x:c r="AD132" s="122"/>
      <x:c r="AE132" s="177"/>
      <x:c r="AF132" s="122"/>
      <x:c r="AG132" s="177"/>
      <x:c r="AH132" s="178"/>
      <x:c r="AI132" s="122"/>
      <x:c r="AJ132" s="177"/>
      <x:c r="AK132" s="122"/>
      <x:c r="AL132" s="177"/>
      <x:c r="AM132" s="178"/>
      <x:c r="AN132" s="122"/>
      <x:c r="AO132" s="177"/>
      <x:c r="AP132" s="122"/>
    </x:row>
    <x:row r="133" ht="19.5" hidden="1" customHeight="1">
      <x:c r="A133" s="160"/>
      <x:c r="B133" s="179"/>
      <x:c r="C133" s="200"/>
      <x:c r="D133" s="200"/>
      <x:c r="E133" s="200"/>
      <x:c r="F133" s="201"/>
      <x:c r="G133" s="255"/>
      <x:c r="H133" s="255"/>
      <x:c r="I133" s="174"/>
      <x:c r="J133" s="122"/>
      <x:c r="K133" s="177"/>
      <x:c r="L133" s="122"/>
      <x:c r="M133" s="177"/>
      <x:c r="N133" s="178"/>
      <x:c r="O133" s="122"/>
      <x:c r="P133" s="177"/>
      <x:c r="Q133" s="122"/>
      <x:c r="R133" s="177"/>
      <x:c r="S133" s="178"/>
      <x:c r="T133" s="122"/>
      <x:c r="U133" s="177"/>
      <x:c r="V133" s="122"/>
      <x:c r="W133" s="177"/>
      <x:c r="X133" s="178"/>
      <x:c r="Y133" s="122"/>
      <x:c r="Z133" s="177"/>
      <x:c r="AA133" s="122"/>
      <x:c r="AB133" s="177"/>
      <x:c r="AC133" s="178"/>
      <x:c r="AD133" s="122"/>
      <x:c r="AE133" s="177"/>
      <x:c r="AF133" s="122"/>
      <x:c r="AG133" s="177"/>
      <x:c r="AH133" s="178"/>
      <x:c r="AI133" s="122"/>
      <x:c r="AJ133" s="177"/>
      <x:c r="AK133" s="122"/>
      <x:c r="AL133" s="177"/>
      <x:c r="AM133" s="178"/>
      <x:c r="AN133" s="122"/>
      <x:c r="AO133" s="177"/>
      <x:c r="AP133" s="122"/>
    </x:row>
    <x:row r="134" ht="19.5" hidden="1" customHeight="1">
      <x:c r="A134" s="169"/>
      <x:c r="B134" s="170"/>
      <x:c r="C134" s="200"/>
      <x:c r="D134" s="200"/>
      <x:c r="E134" s="200"/>
      <x:c r="F134" s="201"/>
      <x:c r="G134" s="255"/>
      <x:c r="H134" s="255"/>
      <x:c r="I134" s="174"/>
      <x:c r="J134" s="122"/>
      <x:c r="K134" s="177"/>
      <x:c r="L134" s="122"/>
      <x:c r="M134" s="177"/>
      <x:c r="N134" s="178"/>
      <x:c r="O134" s="122"/>
      <x:c r="P134" s="177"/>
      <x:c r="Q134" s="122"/>
      <x:c r="R134" s="177"/>
      <x:c r="S134" s="178"/>
      <x:c r="T134" s="122"/>
      <x:c r="U134" s="177"/>
      <x:c r="V134" s="122"/>
      <x:c r="W134" s="177"/>
      <x:c r="X134" s="178"/>
      <x:c r="Y134" s="122"/>
      <x:c r="Z134" s="177"/>
      <x:c r="AA134" s="122"/>
      <x:c r="AB134" s="177"/>
      <x:c r="AC134" s="178"/>
      <x:c r="AD134" s="122"/>
      <x:c r="AE134" s="177"/>
      <x:c r="AF134" s="122"/>
      <x:c r="AG134" s="177"/>
      <x:c r="AH134" s="178"/>
      <x:c r="AI134" s="122"/>
      <x:c r="AJ134" s="177"/>
      <x:c r="AK134" s="122"/>
      <x:c r="AL134" s="177"/>
      <x:c r="AM134" s="178"/>
      <x:c r="AN134" s="122"/>
      <x:c r="AO134" s="177"/>
      <x:c r="AP134" s="122"/>
    </x:row>
    <x:row r="135" ht="19.5" hidden="1" customHeight="1">
      <x:c r="A135" s="160"/>
      <x:c r="B135" s="179"/>
      <x:c r="C135" s="200"/>
      <x:c r="D135" s="200"/>
      <x:c r="E135" s="200"/>
      <x:c r="F135" s="201"/>
      <x:c r="G135" s="255"/>
      <x:c r="H135" s="255"/>
      <x:c r="I135" s="174"/>
      <x:c r="J135" s="122"/>
      <x:c r="K135" s="177"/>
      <x:c r="L135" s="122"/>
      <x:c r="M135" s="177"/>
      <x:c r="N135" s="178"/>
      <x:c r="O135" s="122"/>
      <x:c r="P135" s="177"/>
      <x:c r="Q135" s="122"/>
      <x:c r="R135" s="177"/>
      <x:c r="S135" s="178"/>
      <x:c r="T135" s="122"/>
      <x:c r="U135" s="177"/>
      <x:c r="V135" s="122"/>
      <x:c r="W135" s="177"/>
      <x:c r="X135" s="178"/>
      <x:c r="Y135" s="122"/>
      <x:c r="Z135" s="177"/>
      <x:c r="AA135" s="122"/>
      <x:c r="AB135" s="177"/>
      <x:c r="AC135" s="178"/>
      <x:c r="AD135" s="122"/>
      <x:c r="AE135" s="177"/>
      <x:c r="AF135" s="122"/>
      <x:c r="AG135" s="177"/>
      <x:c r="AH135" s="178"/>
      <x:c r="AI135" s="122"/>
      <x:c r="AJ135" s="177"/>
      <x:c r="AK135" s="122"/>
      <x:c r="AL135" s="177"/>
      <x:c r="AM135" s="178"/>
      <x:c r="AN135" s="122"/>
      <x:c r="AO135" s="177"/>
      <x:c r="AP135" s="122"/>
    </x:row>
    <x:row r="136" ht="19.5" hidden="1" customHeight="1">
      <x:c r="A136" s="169"/>
      <x:c r="B136" s="170"/>
      <x:c r="C136" s="200"/>
      <x:c r="D136" s="200"/>
      <x:c r="E136" s="200"/>
      <x:c r="F136" s="201"/>
      <x:c r="G136" s="255"/>
      <x:c r="H136" s="255"/>
      <x:c r="I136" s="174"/>
      <x:c r="J136" s="122"/>
      <x:c r="K136" s="177"/>
      <x:c r="L136" s="122"/>
      <x:c r="M136" s="177"/>
      <x:c r="N136" s="178"/>
      <x:c r="O136" s="122"/>
      <x:c r="P136" s="177"/>
      <x:c r="Q136" s="122"/>
      <x:c r="R136" s="177"/>
      <x:c r="S136" s="178"/>
      <x:c r="T136" s="122"/>
      <x:c r="U136" s="177"/>
      <x:c r="V136" s="122"/>
      <x:c r="W136" s="177"/>
      <x:c r="X136" s="178"/>
      <x:c r="Y136" s="122"/>
      <x:c r="Z136" s="177"/>
      <x:c r="AA136" s="122"/>
      <x:c r="AB136" s="177"/>
      <x:c r="AC136" s="178"/>
      <x:c r="AD136" s="122"/>
      <x:c r="AE136" s="177"/>
      <x:c r="AF136" s="122"/>
      <x:c r="AG136" s="177"/>
      <x:c r="AH136" s="178"/>
      <x:c r="AI136" s="122"/>
      <x:c r="AJ136" s="177"/>
      <x:c r="AK136" s="122"/>
      <x:c r="AL136" s="177"/>
      <x:c r="AM136" s="178"/>
      <x:c r="AN136" s="122"/>
      <x:c r="AO136" s="177"/>
      <x:c r="AP136" s="122"/>
    </x:row>
    <x:row r="137" ht="19.5" hidden="1" customHeight="1">
      <x:c r="A137" s="160"/>
      <x:c r="B137" s="179"/>
      <x:c r="C137" s="200"/>
      <x:c r="D137" s="200"/>
      <x:c r="E137" s="200"/>
      <x:c r="F137" s="201"/>
      <x:c r="G137" s="255"/>
      <x:c r="H137" s="255"/>
      <x:c r="I137" s="174"/>
      <x:c r="J137" s="122"/>
      <x:c r="K137" s="177"/>
      <x:c r="L137" s="122"/>
      <x:c r="M137" s="177"/>
      <x:c r="N137" s="178"/>
      <x:c r="O137" s="122"/>
      <x:c r="P137" s="177"/>
      <x:c r="Q137" s="122"/>
      <x:c r="R137" s="177"/>
      <x:c r="S137" s="178"/>
      <x:c r="T137" s="122"/>
      <x:c r="U137" s="177"/>
      <x:c r="V137" s="122"/>
      <x:c r="W137" s="177"/>
      <x:c r="X137" s="178"/>
      <x:c r="Y137" s="122"/>
      <x:c r="Z137" s="177"/>
      <x:c r="AA137" s="122"/>
      <x:c r="AB137" s="177"/>
      <x:c r="AC137" s="178"/>
      <x:c r="AD137" s="122"/>
      <x:c r="AE137" s="177"/>
      <x:c r="AF137" s="122"/>
      <x:c r="AG137" s="177"/>
      <x:c r="AH137" s="178"/>
      <x:c r="AI137" s="122"/>
      <x:c r="AJ137" s="177"/>
      <x:c r="AK137" s="122"/>
      <x:c r="AL137" s="177"/>
      <x:c r="AM137" s="178"/>
      <x:c r="AN137" s="122"/>
      <x:c r="AO137" s="177"/>
      <x:c r="AP137" s="122"/>
    </x:row>
    <x:row r="138" ht="19.5" hidden="1" customHeight="1">
      <x:c r="A138" s="169"/>
      <x:c r="B138" s="170"/>
      <x:c r="C138" s="200"/>
      <x:c r="D138" s="200"/>
      <x:c r="E138" s="200"/>
      <x:c r="F138" s="201"/>
      <x:c r="G138" s="255"/>
      <x:c r="H138" s="255"/>
      <x:c r="I138" s="174"/>
      <x:c r="J138" s="122"/>
      <x:c r="K138" s="177"/>
      <x:c r="L138" s="122"/>
      <x:c r="M138" s="177"/>
      <x:c r="N138" s="178"/>
      <x:c r="O138" s="122"/>
      <x:c r="P138" s="177"/>
      <x:c r="Q138" s="122"/>
      <x:c r="R138" s="177"/>
      <x:c r="S138" s="178"/>
      <x:c r="T138" s="122"/>
      <x:c r="U138" s="177"/>
      <x:c r="V138" s="122"/>
      <x:c r="W138" s="177"/>
      <x:c r="X138" s="178"/>
      <x:c r="Y138" s="122"/>
      <x:c r="Z138" s="177"/>
      <x:c r="AA138" s="122"/>
      <x:c r="AB138" s="177"/>
      <x:c r="AC138" s="178"/>
      <x:c r="AD138" s="122"/>
      <x:c r="AE138" s="177"/>
      <x:c r="AF138" s="122"/>
      <x:c r="AG138" s="177"/>
      <x:c r="AH138" s="178"/>
      <x:c r="AI138" s="122"/>
      <x:c r="AJ138" s="177"/>
      <x:c r="AK138" s="122"/>
      <x:c r="AL138" s="177"/>
      <x:c r="AM138" s="178"/>
      <x:c r="AN138" s="122"/>
      <x:c r="AO138" s="177"/>
      <x:c r="AP138" s="122"/>
    </x:row>
    <x:row r="139" ht="19.5" hidden="1" customHeight="1">
      <x:c r="A139" s="160"/>
      <x:c r="B139" s="179"/>
      <x:c r="C139" s="200"/>
      <x:c r="D139" s="200"/>
      <x:c r="E139" s="200"/>
      <x:c r="F139" s="201"/>
      <x:c r="G139" s="255"/>
      <x:c r="H139" s="255"/>
      <x:c r="I139" s="174"/>
      <x:c r="J139" s="122"/>
      <x:c r="K139" s="177"/>
      <x:c r="L139" s="122"/>
      <x:c r="M139" s="177"/>
      <x:c r="N139" s="178"/>
      <x:c r="O139" s="122"/>
      <x:c r="P139" s="177"/>
      <x:c r="Q139" s="122"/>
      <x:c r="R139" s="177"/>
      <x:c r="S139" s="178"/>
      <x:c r="T139" s="122"/>
      <x:c r="U139" s="177"/>
      <x:c r="V139" s="122"/>
      <x:c r="W139" s="177"/>
      <x:c r="X139" s="178"/>
      <x:c r="Y139" s="122"/>
      <x:c r="Z139" s="177"/>
      <x:c r="AA139" s="122"/>
      <x:c r="AB139" s="177"/>
      <x:c r="AC139" s="178"/>
      <x:c r="AD139" s="122"/>
      <x:c r="AE139" s="177"/>
      <x:c r="AF139" s="122"/>
      <x:c r="AG139" s="177"/>
      <x:c r="AH139" s="178"/>
      <x:c r="AI139" s="122"/>
      <x:c r="AJ139" s="177"/>
      <x:c r="AK139" s="122"/>
      <x:c r="AL139" s="177"/>
      <x:c r="AM139" s="178"/>
      <x:c r="AN139" s="122"/>
      <x:c r="AO139" s="177"/>
      <x:c r="AP139" s="122"/>
    </x:row>
    <x:row r="140" ht="19.5" hidden="1" customHeight="1">
      <x:c r="A140" s="169"/>
      <x:c r="B140" s="170"/>
      <x:c r="C140" s="200"/>
      <x:c r="D140" s="200"/>
      <x:c r="E140" s="200"/>
      <x:c r="F140" s="201"/>
      <x:c r="G140" s="255"/>
      <x:c r="H140" s="255"/>
      <x:c r="I140" s="174"/>
      <x:c r="J140" s="122"/>
      <x:c r="K140" s="177"/>
      <x:c r="L140" s="122"/>
      <x:c r="M140" s="177"/>
      <x:c r="N140" s="178"/>
      <x:c r="O140" s="122"/>
      <x:c r="P140" s="177"/>
      <x:c r="Q140" s="122"/>
      <x:c r="R140" s="177"/>
      <x:c r="S140" s="178"/>
      <x:c r="T140" s="122"/>
      <x:c r="U140" s="177"/>
      <x:c r="V140" s="122"/>
      <x:c r="W140" s="177"/>
      <x:c r="X140" s="178"/>
      <x:c r="Y140" s="122"/>
      <x:c r="Z140" s="177"/>
      <x:c r="AA140" s="122"/>
      <x:c r="AB140" s="177"/>
      <x:c r="AC140" s="178"/>
      <x:c r="AD140" s="122"/>
      <x:c r="AE140" s="177"/>
      <x:c r="AF140" s="122"/>
      <x:c r="AG140" s="177"/>
      <x:c r="AH140" s="178"/>
      <x:c r="AI140" s="122"/>
      <x:c r="AJ140" s="177"/>
      <x:c r="AK140" s="122"/>
      <x:c r="AL140" s="177"/>
      <x:c r="AM140" s="178"/>
      <x:c r="AN140" s="122"/>
      <x:c r="AO140" s="177"/>
      <x:c r="AP140" s="122"/>
    </x:row>
    <x:row r="141" ht="19.5" hidden="1" customHeight="1">
      <x:c r="A141" s="160"/>
      <x:c r="B141" s="179"/>
      <x:c r="C141" s="200"/>
      <x:c r="D141" s="200"/>
      <x:c r="E141" s="200"/>
      <x:c r="F141" s="201"/>
      <x:c r="G141" s="255"/>
      <x:c r="H141" s="255"/>
      <x:c r="I141" s="174"/>
      <x:c r="J141" s="122"/>
      <x:c r="K141" s="177"/>
      <x:c r="L141" s="122"/>
      <x:c r="M141" s="177"/>
      <x:c r="N141" s="178"/>
      <x:c r="O141" s="122"/>
      <x:c r="P141" s="177"/>
      <x:c r="Q141" s="122"/>
      <x:c r="R141" s="177"/>
      <x:c r="S141" s="178"/>
      <x:c r="T141" s="122"/>
      <x:c r="U141" s="177"/>
      <x:c r="V141" s="122"/>
      <x:c r="W141" s="177"/>
      <x:c r="X141" s="178"/>
      <x:c r="Y141" s="122"/>
      <x:c r="Z141" s="177"/>
      <x:c r="AA141" s="122"/>
      <x:c r="AB141" s="177"/>
      <x:c r="AC141" s="178"/>
      <x:c r="AD141" s="122"/>
      <x:c r="AE141" s="177"/>
      <x:c r="AF141" s="122"/>
      <x:c r="AG141" s="177"/>
      <x:c r="AH141" s="178"/>
      <x:c r="AI141" s="122"/>
      <x:c r="AJ141" s="177"/>
      <x:c r="AK141" s="122"/>
      <x:c r="AL141" s="177"/>
      <x:c r="AM141" s="178"/>
      <x:c r="AN141" s="122"/>
      <x:c r="AO141" s="177"/>
      <x:c r="AP141" s="122"/>
    </x:row>
    <x:row r="142" ht="19.5" hidden="1" customHeight="1">
      <x:c r="A142" s="169"/>
      <x:c r="B142" s="170"/>
      <x:c r="C142" s="200"/>
      <x:c r="D142" s="200"/>
      <x:c r="E142" s="200"/>
      <x:c r="F142" s="201"/>
      <x:c r="G142" s="255"/>
      <x:c r="H142" s="255"/>
      <x:c r="I142" s="174"/>
      <x:c r="J142" s="122"/>
      <x:c r="K142" s="177"/>
      <x:c r="L142" s="122"/>
      <x:c r="M142" s="177"/>
      <x:c r="N142" s="178"/>
      <x:c r="O142" s="122"/>
      <x:c r="P142" s="177"/>
      <x:c r="Q142" s="122"/>
      <x:c r="R142" s="177"/>
      <x:c r="S142" s="178"/>
      <x:c r="T142" s="122"/>
      <x:c r="U142" s="177"/>
      <x:c r="V142" s="122"/>
      <x:c r="W142" s="177"/>
      <x:c r="X142" s="178"/>
      <x:c r="Y142" s="122"/>
      <x:c r="Z142" s="177"/>
      <x:c r="AA142" s="122"/>
      <x:c r="AB142" s="177"/>
      <x:c r="AC142" s="178"/>
      <x:c r="AD142" s="122"/>
      <x:c r="AE142" s="177"/>
      <x:c r="AF142" s="122"/>
      <x:c r="AG142" s="177"/>
      <x:c r="AH142" s="178"/>
      <x:c r="AI142" s="122"/>
      <x:c r="AJ142" s="177"/>
      <x:c r="AK142" s="122"/>
      <x:c r="AL142" s="177"/>
      <x:c r="AM142" s="178"/>
      <x:c r="AN142" s="122"/>
      <x:c r="AO142" s="177"/>
      <x:c r="AP142" s="122"/>
    </x:row>
    <x:row r="143" ht="19.5" hidden="1" customHeight="1">
      <x:c r="A143" s="160"/>
      <x:c r="B143" s="179"/>
      <x:c r="C143" s="200"/>
      <x:c r="D143" s="200"/>
      <x:c r="E143" s="200"/>
      <x:c r="F143" s="201"/>
      <x:c r="G143" s="255"/>
      <x:c r="H143" s="255"/>
      <x:c r="I143" s="174"/>
      <x:c r="J143" s="122"/>
      <x:c r="K143" s="177"/>
      <x:c r="L143" s="122"/>
      <x:c r="M143" s="177"/>
      <x:c r="N143" s="178"/>
      <x:c r="O143" s="122"/>
      <x:c r="P143" s="177"/>
      <x:c r="Q143" s="122"/>
      <x:c r="R143" s="177"/>
      <x:c r="S143" s="178"/>
      <x:c r="T143" s="122"/>
      <x:c r="U143" s="177"/>
      <x:c r="V143" s="122"/>
      <x:c r="W143" s="177"/>
      <x:c r="X143" s="178"/>
      <x:c r="Y143" s="122"/>
      <x:c r="Z143" s="177"/>
      <x:c r="AA143" s="122"/>
      <x:c r="AB143" s="177"/>
      <x:c r="AC143" s="178"/>
      <x:c r="AD143" s="122"/>
      <x:c r="AE143" s="177"/>
      <x:c r="AF143" s="122"/>
      <x:c r="AG143" s="177"/>
      <x:c r="AH143" s="178"/>
      <x:c r="AI143" s="122"/>
      <x:c r="AJ143" s="177"/>
      <x:c r="AK143" s="122"/>
      <x:c r="AL143" s="177"/>
      <x:c r="AM143" s="178"/>
      <x:c r="AN143" s="122"/>
      <x:c r="AO143" s="177"/>
      <x:c r="AP143" s="122"/>
    </x:row>
    <x:row r="144" ht="19.5" hidden="1" customHeight="1">
      <x:c r="A144" s="169"/>
      <x:c r="B144" s="170"/>
      <x:c r="C144" s="200"/>
      <x:c r="D144" s="200"/>
      <x:c r="E144" s="200"/>
      <x:c r="F144" s="201"/>
      <x:c r="G144" s="255"/>
      <x:c r="H144" s="255"/>
      <x:c r="I144" s="174"/>
      <x:c r="J144" s="122"/>
      <x:c r="K144" s="177"/>
      <x:c r="L144" s="122"/>
      <x:c r="M144" s="177"/>
      <x:c r="N144" s="178"/>
      <x:c r="O144" s="122"/>
      <x:c r="P144" s="177"/>
      <x:c r="Q144" s="122"/>
      <x:c r="R144" s="177"/>
      <x:c r="S144" s="178"/>
      <x:c r="T144" s="122"/>
      <x:c r="U144" s="177"/>
      <x:c r="V144" s="122"/>
      <x:c r="W144" s="177"/>
      <x:c r="X144" s="178"/>
      <x:c r="Y144" s="122"/>
      <x:c r="Z144" s="177"/>
      <x:c r="AA144" s="122"/>
      <x:c r="AB144" s="177"/>
      <x:c r="AC144" s="178"/>
      <x:c r="AD144" s="122"/>
      <x:c r="AE144" s="177"/>
      <x:c r="AF144" s="122"/>
      <x:c r="AG144" s="177"/>
      <x:c r="AH144" s="178"/>
      <x:c r="AI144" s="122"/>
      <x:c r="AJ144" s="177"/>
      <x:c r="AK144" s="122"/>
      <x:c r="AL144" s="177"/>
      <x:c r="AM144" s="178"/>
      <x:c r="AN144" s="122"/>
      <x:c r="AO144" s="177"/>
      <x:c r="AP144" s="122"/>
    </x:row>
    <x:row r="145" ht="19.5" hidden="1" customHeight="1">
      <x:c r="A145" s="160"/>
      <x:c r="B145" s="179"/>
      <x:c r="C145" s="200"/>
      <x:c r="D145" s="200"/>
      <x:c r="E145" s="200"/>
      <x:c r="F145" s="201"/>
      <x:c r="G145" s="255"/>
      <x:c r="H145" s="255"/>
      <x:c r="I145" s="174"/>
      <x:c r="J145" s="122"/>
      <x:c r="K145" s="177"/>
      <x:c r="L145" s="122"/>
      <x:c r="M145" s="177"/>
      <x:c r="N145" s="178"/>
      <x:c r="O145" s="122"/>
      <x:c r="P145" s="177"/>
      <x:c r="Q145" s="122"/>
      <x:c r="R145" s="177"/>
      <x:c r="S145" s="178"/>
      <x:c r="T145" s="122"/>
      <x:c r="U145" s="177"/>
      <x:c r="V145" s="122"/>
      <x:c r="W145" s="177"/>
      <x:c r="X145" s="178"/>
      <x:c r="Y145" s="122"/>
      <x:c r="Z145" s="177"/>
      <x:c r="AA145" s="122"/>
      <x:c r="AB145" s="177"/>
      <x:c r="AC145" s="178"/>
      <x:c r="AD145" s="122"/>
      <x:c r="AE145" s="177"/>
      <x:c r="AF145" s="122"/>
      <x:c r="AG145" s="177"/>
      <x:c r="AH145" s="178"/>
      <x:c r="AI145" s="122"/>
      <x:c r="AJ145" s="177"/>
      <x:c r="AK145" s="122"/>
      <x:c r="AL145" s="177"/>
      <x:c r="AM145" s="178"/>
      <x:c r="AN145" s="122"/>
      <x:c r="AO145" s="177"/>
      <x:c r="AP145" s="122"/>
    </x:row>
    <x:row r="146" ht="19.5" hidden="1" customHeight="1">
      <x:c r="A146" s="169"/>
      <x:c r="B146" s="170"/>
      <x:c r="C146" s="200"/>
      <x:c r="D146" s="200"/>
      <x:c r="E146" s="200"/>
      <x:c r="F146" s="201"/>
      <x:c r="G146" s="255"/>
      <x:c r="H146" s="255"/>
      <x:c r="I146" s="174"/>
      <x:c r="J146" s="122"/>
      <x:c r="K146" s="177"/>
      <x:c r="L146" s="122"/>
      <x:c r="M146" s="177"/>
      <x:c r="N146" s="178"/>
      <x:c r="O146" s="122"/>
      <x:c r="P146" s="177"/>
      <x:c r="Q146" s="122"/>
      <x:c r="R146" s="177"/>
      <x:c r="S146" s="178"/>
      <x:c r="T146" s="122"/>
      <x:c r="U146" s="177"/>
      <x:c r="V146" s="122"/>
      <x:c r="W146" s="177"/>
      <x:c r="X146" s="178"/>
      <x:c r="Y146" s="122"/>
      <x:c r="Z146" s="177"/>
      <x:c r="AA146" s="122"/>
      <x:c r="AB146" s="177"/>
      <x:c r="AC146" s="178"/>
      <x:c r="AD146" s="122"/>
      <x:c r="AE146" s="177"/>
      <x:c r="AF146" s="122"/>
      <x:c r="AG146" s="177"/>
      <x:c r="AH146" s="178"/>
      <x:c r="AI146" s="122"/>
      <x:c r="AJ146" s="177"/>
      <x:c r="AK146" s="122"/>
      <x:c r="AL146" s="177"/>
      <x:c r="AM146" s="178"/>
      <x:c r="AN146" s="122"/>
      <x:c r="AO146" s="177"/>
      <x:c r="AP146" s="122"/>
    </x:row>
    <x:row r="147" ht="19.5" hidden="1" customHeight="1">
      <x:c r="A147" s="160"/>
      <x:c r="B147" s="179"/>
      <x:c r="C147" s="200"/>
      <x:c r="D147" s="200"/>
      <x:c r="E147" s="200"/>
      <x:c r="F147" s="201"/>
      <x:c r="G147" s="255"/>
      <x:c r="H147" s="255"/>
      <x:c r="I147" s="174"/>
      <x:c r="J147" s="122"/>
      <x:c r="K147" s="177"/>
      <x:c r="L147" s="122"/>
      <x:c r="M147" s="177"/>
      <x:c r="N147" s="178"/>
      <x:c r="O147" s="122"/>
      <x:c r="P147" s="177"/>
      <x:c r="Q147" s="122"/>
      <x:c r="R147" s="177"/>
      <x:c r="S147" s="178"/>
      <x:c r="T147" s="122"/>
      <x:c r="U147" s="177"/>
      <x:c r="V147" s="122"/>
      <x:c r="W147" s="177"/>
      <x:c r="X147" s="178"/>
      <x:c r="Y147" s="122"/>
      <x:c r="Z147" s="177"/>
      <x:c r="AA147" s="122"/>
      <x:c r="AB147" s="177"/>
      <x:c r="AC147" s="178"/>
      <x:c r="AD147" s="122"/>
      <x:c r="AE147" s="177"/>
      <x:c r="AF147" s="122"/>
      <x:c r="AG147" s="177"/>
      <x:c r="AH147" s="178"/>
      <x:c r="AI147" s="122"/>
      <x:c r="AJ147" s="177"/>
      <x:c r="AK147" s="122"/>
      <x:c r="AL147" s="177"/>
      <x:c r="AM147" s="178"/>
      <x:c r="AN147" s="122"/>
      <x:c r="AO147" s="177"/>
      <x:c r="AP147" s="122"/>
    </x:row>
    <x:row r="148" ht="19.5" hidden="1" customHeight="1">
      <x:c r="A148" s="169"/>
      <x:c r="B148" s="170"/>
      <x:c r="C148" s="200"/>
      <x:c r="D148" s="200"/>
      <x:c r="E148" s="200"/>
      <x:c r="F148" s="201"/>
      <x:c r="G148" s="255"/>
      <x:c r="H148" s="255"/>
      <x:c r="I148" s="174"/>
      <x:c r="J148" s="122"/>
      <x:c r="K148" s="177"/>
      <x:c r="L148" s="122"/>
      <x:c r="M148" s="177"/>
      <x:c r="N148" s="178"/>
      <x:c r="O148" s="122"/>
      <x:c r="P148" s="177"/>
      <x:c r="Q148" s="122"/>
      <x:c r="R148" s="177"/>
      <x:c r="S148" s="178"/>
      <x:c r="T148" s="122"/>
      <x:c r="U148" s="177"/>
      <x:c r="V148" s="122"/>
      <x:c r="W148" s="177"/>
      <x:c r="X148" s="178"/>
      <x:c r="Y148" s="122"/>
      <x:c r="Z148" s="177"/>
      <x:c r="AA148" s="122"/>
      <x:c r="AB148" s="177"/>
      <x:c r="AC148" s="178"/>
      <x:c r="AD148" s="122"/>
      <x:c r="AE148" s="177"/>
      <x:c r="AF148" s="122"/>
      <x:c r="AG148" s="177"/>
      <x:c r="AH148" s="178"/>
      <x:c r="AI148" s="122"/>
      <x:c r="AJ148" s="177"/>
      <x:c r="AK148" s="122"/>
      <x:c r="AL148" s="177"/>
      <x:c r="AM148" s="178"/>
      <x:c r="AN148" s="122"/>
      <x:c r="AO148" s="177"/>
      <x:c r="AP148" s="122"/>
    </x:row>
    <x:row r="149" ht="19.5" hidden="1" customHeight="1">
      <x:c r="A149" s="160"/>
      <x:c r="B149" s="179"/>
      <x:c r="C149" s="200"/>
      <x:c r="D149" s="200"/>
      <x:c r="E149" s="200"/>
      <x:c r="F149" s="201"/>
      <x:c r="G149" s="255"/>
      <x:c r="H149" s="255"/>
      <x:c r="I149" s="174"/>
      <x:c r="J149" s="122"/>
      <x:c r="K149" s="177"/>
      <x:c r="L149" s="122"/>
      <x:c r="M149" s="177"/>
      <x:c r="N149" s="178"/>
      <x:c r="O149" s="122"/>
      <x:c r="P149" s="177"/>
      <x:c r="Q149" s="122"/>
      <x:c r="R149" s="177"/>
      <x:c r="S149" s="178"/>
      <x:c r="T149" s="122"/>
      <x:c r="U149" s="177"/>
      <x:c r="V149" s="122"/>
      <x:c r="W149" s="177"/>
      <x:c r="X149" s="178"/>
      <x:c r="Y149" s="122"/>
      <x:c r="Z149" s="177"/>
      <x:c r="AA149" s="122"/>
      <x:c r="AB149" s="177"/>
      <x:c r="AC149" s="178"/>
      <x:c r="AD149" s="122"/>
      <x:c r="AE149" s="177"/>
      <x:c r="AF149" s="122"/>
      <x:c r="AG149" s="177"/>
      <x:c r="AH149" s="178"/>
      <x:c r="AI149" s="122"/>
      <x:c r="AJ149" s="177"/>
      <x:c r="AK149" s="122"/>
      <x:c r="AL149" s="177"/>
      <x:c r="AM149" s="178"/>
      <x:c r="AN149" s="122"/>
      <x:c r="AO149" s="177"/>
      <x:c r="AP149" s="122"/>
    </x:row>
    <x:row r="150" ht="19.5" hidden="1" customHeight="1">
      <x:c r="A150" s="169"/>
      <x:c r="B150" s="170"/>
      <x:c r="C150" s="200"/>
      <x:c r="D150" s="200"/>
      <x:c r="E150" s="200"/>
      <x:c r="F150" s="201"/>
      <x:c r="G150" s="255"/>
      <x:c r="H150" s="255"/>
      <x:c r="I150" s="174"/>
      <x:c r="J150" s="122"/>
      <x:c r="K150" s="177"/>
      <x:c r="L150" s="122"/>
      <x:c r="M150" s="177"/>
      <x:c r="N150" s="178"/>
      <x:c r="O150" s="122"/>
      <x:c r="P150" s="177"/>
      <x:c r="Q150" s="122"/>
      <x:c r="R150" s="177"/>
      <x:c r="S150" s="178"/>
      <x:c r="T150" s="122"/>
      <x:c r="U150" s="177"/>
      <x:c r="V150" s="122"/>
      <x:c r="W150" s="177"/>
      <x:c r="X150" s="178"/>
      <x:c r="Y150" s="122"/>
      <x:c r="Z150" s="177"/>
      <x:c r="AA150" s="122"/>
      <x:c r="AB150" s="177"/>
      <x:c r="AC150" s="178"/>
      <x:c r="AD150" s="122"/>
      <x:c r="AE150" s="177"/>
      <x:c r="AF150" s="122"/>
      <x:c r="AG150" s="177"/>
      <x:c r="AH150" s="178"/>
      <x:c r="AI150" s="122"/>
      <x:c r="AJ150" s="177"/>
      <x:c r="AK150" s="122"/>
      <x:c r="AL150" s="177"/>
      <x:c r="AM150" s="178"/>
      <x:c r="AN150" s="122"/>
      <x:c r="AO150" s="177"/>
      <x:c r="AP150" s="122"/>
    </x:row>
    <x:row r="151" ht="19.5" hidden="1" customHeight="1">
      <x:c r="A151" s="160"/>
      <x:c r="B151" s="179"/>
      <x:c r="C151" s="200"/>
      <x:c r="D151" s="200"/>
      <x:c r="E151" s="200"/>
      <x:c r="F151" s="201"/>
      <x:c r="G151" s="255"/>
      <x:c r="H151" s="255"/>
      <x:c r="I151" s="174"/>
      <x:c r="J151" s="122"/>
      <x:c r="K151" s="177"/>
      <x:c r="L151" s="122"/>
      <x:c r="M151" s="177"/>
      <x:c r="N151" s="178"/>
      <x:c r="O151" s="122"/>
      <x:c r="P151" s="177"/>
      <x:c r="Q151" s="122"/>
      <x:c r="R151" s="177"/>
      <x:c r="S151" s="178"/>
      <x:c r="T151" s="122"/>
      <x:c r="U151" s="177"/>
      <x:c r="V151" s="122"/>
      <x:c r="W151" s="177"/>
      <x:c r="X151" s="178"/>
      <x:c r="Y151" s="122"/>
      <x:c r="Z151" s="177"/>
      <x:c r="AA151" s="122"/>
      <x:c r="AB151" s="177"/>
      <x:c r="AC151" s="178"/>
      <x:c r="AD151" s="122"/>
      <x:c r="AE151" s="177"/>
      <x:c r="AF151" s="122"/>
      <x:c r="AG151" s="177"/>
      <x:c r="AH151" s="178"/>
      <x:c r="AI151" s="122"/>
      <x:c r="AJ151" s="177"/>
      <x:c r="AK151" s="122"/>
      <x:c r="AL151" s="177"/>
      <x:c r="AM151" s="178"/>
      <x:c r="AN151" s="122"/>
      <x:c r="AO151" s="177"/>
      <x:c r="AP151" s="122"/>
    </x:row>
    <x:row r="152" ht="19.5" hidden="1" customHeight="1">
      <x:c r="A152" s="169"/>
      <x:c r="B152" s="170"/>
      <x:c r="C152" s="200"/>
      <x:c r="D152" s="200"/>
      <x:c r="E152" s="200"/>
      <x:c r="F152" s="201"/>
      <x:c r="G152" s="255"/>
      <x:c r="H152" s="255"/>
      <x:c r="I152" s="174"/>
      <x:c r="J152" s="122"/>
      <x:c r="K152" s="177"/>
      <x:c r="L152" s="122"/>
      <x:c r="M152" s="177"/>
      <x:c r="N152" s="178"/>
      <x:c r="O152" s="122"/>
      <x:c r="P152" s="177"/>
      <x:c r="Q152" s="122"/>
      <x:c r="R152" s="177"/>
      <x:c r="S152" s="178"/>
      <x:c r="T152" s="122"/>
      <x:c r="U152" s="177"/>
      <x:c r="V152" s="122"/>
      <x:c r="W152" s="177"/>
      <x:c r="X152" s="178"/>
      <x:c r="Y152" s="122"/>
      <x:c r="Z152" s="177"/>
      <x:c r="AA152" s="122"/>
      <x:c r="AB152" s="177"/>
      <x:c r="AC152" s="178"/>
      <x:c r="AD152" s="122"/>
      <x:c r="AE152" s="177"/>
      <x:c r="AF152" s="122"/>
      <x:c r="AG152" s="177"/>
      <x:c r="AH152" s="178"/>
      <x:c r="AI152" s="122"/>
      <x:c r="AJ152" s="177"/>
      <x:c r="AK152" s="122"/>
      <x:c r="AL152" s="177"/>
      <x:c r="AM152" s="178"/>
      <x:c r="AN152" s="122"/>
      <x:c r="AO152" s="177"/>
      <x:c r="AP152" s="122"/>
    </x:row>
    <x:row r="153" ht="19.5" hidden="1" customHeight="1">
      <x:c r="A153" s="160"/>
      <x:c r="B153" s="179"/>
      <x:c r="C153" s="200"/>
      <x:c r="D153" s="200"/>
      <x:c r="E153" s="200"/>
      <x:c r="F153" s="201"/>
      <x:c r="G153" s="255"/>
      <x:c r="H153" s="255"/>
      <x:c r="I153" s="174"/>
      <x:c r="J153" s="122"/>
      <x:c r="K153" s="177"/>
      <x:c r="L153" s="122"/>
      <x:c r="M153" s="177"/>
      <x:c r="N153" s="178"/>
      <x:c r="O153" s="122"/>
      <x:c r="P153" s="177"/>
      <x:c r="Q153" s="122"/>
      <x:c r="R153" s="177"/>
      <x:c r="S153" s="178"/>
      <x:c r="T153" s="122"/>
      <x:c r="U153" s="177"/>
      <x:c r="V153" s="122"/>
      <x:c r="W153" s="177"/>
      <x:c r="X153" s="178"/>
      <x:c r="Y153" s="122"/>
      <x:c r="Z153" s="177"/>
      <x:c r="AA153" s="122"/>
      <x:c r="AB153" s="177"/>
      <x:c r="AC153" s="178"/>
      <x:c r="AD153" s="122"/>
      <x:c r="AE153" s="177"/>
      <x:c r="AF153" s="122"/>
      <x:c r="AG153" s="177"/>
      <x:c r="AH153" s="178"/>
      <x:c r="AI153" s="122"/>
      <x:c r="AJ153" s="177"/>
      <x:c r="AK153" s="122"/>
      <x:c r="AL153" s="177"/>
      <x:c r="AM153" s="178"/>
      <x:c r="AN153" s="122"/>
      <x:c r="AO153" s="177"/>
      <x:c r="AP153" s="122"/>
    </x:row>
    <x:row r="154" ht="19.5" hidden="1" customHeight="1">
      <x:c r="A154" s="169"/>
      <x:c r="B154" s="170"/>
      <x:c r="C154" s="200"/>
      <x:c r="D154" s="200"/>
      <x:c r="E154" s="200"/>
      <x:c r="F154" s="201"/>
      <x:c r="G154" s="255"/>
      <x:c r="H154" s="255"/>
      <x:c r="I154" s="174"/>
      <x:c r="J154" s="122"/>
      <x:c r="K154" s="177"/>
      <x:c r="L154" s="122"/>
      <x:c r="M154" s="177"/>
      <x:c r="N154" s="178"/>
      <x:c r="O154" s="122"/>
      <x:c r="P154" s="177"/>
      <x:c r="Q154" s="122"/>
      <x:c r="R154" s="177"/>
      <x:c r="S154" s="178"/>
      <x:c r="T154" s="122"/>
      <x:c r="U154" s="177"/>
      <x:c r="V154" s="122"/>
      <x:c r="W154" s="177"/>
      <x:c r="X154" s="178"/>
      <x:c r="Y154" s="122"/>
      <x:c r="Z154" s="177"/>
      <x:c r="AA154" s="122"/>
      <x:c r="AB154" s="177"/>
      <x:c r="AC154" s="178"/>
      <x:c r="AD154" s="122"/>
      <x:c r="AE154" s="177"/>
      <x:c r="AF154" s="122"/>
      <x:c r="AG154" s="177"/>
      <x:c r="AH154" s="178"/>
      <x:c r="AI154" s="122"/>
      <x:c r="AJ154" s="177"/>
      <x:c r="AK154" s="122"/>
      <x:c r="AL154" s="177"/>
      <x:c r="AM154" s="178"/>
      <x:c r="AN154" s="122"/>
      <x:c r="AO154" s="177"/>
      <x:c r="AP154" s="122"/>
    </x:row>
    <x:row r="155" ht="19.5" hidden="1" customHeight="1">
      <x:c r="A155" s="160"/>
      <x:c r="B155" s="179"/>
      <x:c r="C155" s="200"/>
      <x:c r="D155" s="200"/>
      <x:c r="E155" s="200"/>
      <x:c r="F155" s="201"/>
      <x:c r="G155" s="255"/>
      <x:c r="H155" s="255"/>
      <x:c r="I155" s="174"/>
      <x:c r="J155" s="122"/>
      <x:c r="K155" s="177"/>
      <x:c r="L155" s="122"/>
      <x:c r="M155" s="177"/>
      <x:c r="N155" s="178"/>
      <x:c r="O155" s="122"/>
      <x:c r="P155" s="177"/>
      <x:c r="Q155" s="122"/>
      <x:c r="R155" s="177"/>
      <x:c r="S155" s="178"/>
      <x:c r="T155" s="122"/>
      <x:c r="U155" s="177"/>
      <x:c r="V155" s="122"/>
      <x:c r="W155" s="177"/>
      <x:c r="X155" s="178"/>
      <x:c r="Y155" s="122"/>
      <x:c r="Z155" s="177"/>
      <x:c r="AA155" s="122"/>
      <x:c r="AB155" s="177"/>
      <x:c r="AC155" s="178"/>
      <x:c r="AD155" s="122"/>
      <x:c r="AE155" s="177"/>
      <x:c r="AF155" s="122"/>
      <x:c r="AG155" s="177"/>
      <x:c r="AH155" s="178"/>
      <x:c r="AI155" s="122"/>
      <x:c r="AJ155" s="177"/>
      <x:c r="AK155" s="122"/>
      <x:c r="AL155" s="177"/>
      <x:c r="AM155" s="178"/>
      <x:c r="AN155" s="122"/>
      <x:c r="AO155" s="177"/>
      <x:c r="AP155" s="122"/>
    </x:row>
    <x:row r="156" ht="19.5" hidden="1" customHeight="1">
      <x:c r="A156" s="169"/>
      <x:c r="B156" s="170"/>
      <x:c r="C156" s="200"/>
      <x:c r="D156" s="200"/>
      <x:c r="E156" s="200"/>
      <x:c r="F156" s="201"/>
      <x:c r="G156" s="255"/>
      <x:c r="H156" s="255"/>
      <x:c r="I156" s="174"/>
      <x:c r="J156" s="122"/>
      <x:c r="K156" s="177"/>
      <x:c r="L156" s="122"/>
      <x:c r="M156" s="177"/>
      <x:c r="N156" s="178"/>
      <x:c r="O156" s="122"/>
      <x:c r="P156" s="177"/>
      <x:c r="Q156" s="122"/>
      <x:c r="R156" s="177"/>
      <x:c r="S156" s="178"/>
      <x:c r="T156" s="122"/>
      <x:c r="U156" s="177"/>
      <x:c r="V156" s="122"/>
      <x:c r="W156" s="177"/>
      <x:c r="X156" s="178"/>
      <x:c r="Y156" s="122"/>
      <x:c r="Z156" s="177"/>
      <x:c r="AA156" s="122"/>
      <x:c r="AB156" s="177"/>
      <x:c r="AC156" s="178"/>
      <x:c r="AD156" s="122"/>
      <x:c r="AE156" s="177"/>
      <x:c r="AF156" s="122"/>
      <x:c r="AG156" s="177"/>
      <x:c r="AH156" s="178"/>
      <x:c r="AI156" s="122"/>
      <x:c r="AJ156" s="177"/>
      <x:c r="AK156" s="122"/>
      <x:c r="AL156" s="177"/>
      <x:c r="AM156" s="178"/>
      <x:c r="AN156" s="122"/>
      <x:c r="AO156" s="177"/>
      <x:c r="AP156" s="122"/>
    </x:row>
    <x:row r="157" ht="19.5" hidden="1" customHeight="1">
      <x:c r="A157" s="160"/>
      <x:c r="B157" s="179"/>
      <x:c r="C157" s="200"/>
      <x:c r="D157" s="200"/>
      <x:c r="E157" s="200"/>
      <x:c r="F157" s="201"/>
      <x:c r="G157" s="255"/>
      <x:c r="H157" s="255"/>
      <x:c r="I157" s="174"/>
      <x:c r="J157" s="122"/>
      <x:c r="K157" s="177"/>
      <x:c r="L157" s="122"/>
      <x:c r="M157" s="177"/>
      <x:c r="N157" s="178"/>
      <x:c r="O157" s="122"/>
      <x:c r="P157" s="177"/>
      <x:c r="Q157" s="122"/>
      <x:c r="R157" s="177"/>
      <x:c r="S157" s="178"/>
      <x:c r="T157" s="122"/>
      <x:c r="U157" s="177"/>
      <x:c r="V157" s="122"/>
      <x:c r="W157" s="177"/>
      <x:c r="X157" s="178"/>
      <x:c r="Y157" s="122"/>
      <x:c r="Z157" s="177"/>
      <x:c r="AA157" s="122"/>
      <x:c r="AB157" s="177"/>
      <x:c r="AC157" s="178"/>
      <x:c r="AD157" s="122"/>
      <x:c r="AE157" s="177"/>
      <x:c r="AF157" s="122"/>
      <x:c r="AG157" s="177"/>
      <x:c r="AH157" s="178"/>
      <x:c r="AI157" s="122"/>
      <x:c r="AJ157" s="177"/>
      <x:c r="AK157" s="122"/>
      <x:c r="AL157" s="177"/>
      <x:c r="AM157" s="178"/>
      <x:c r="AN157" s="122"/>
      <x:c r="AO157" s="177"/>
      <x:c r="AP157" s="122"/>
    </x:row>
    <x:row r="158" ht="19.5" hidden="1" customHeight="1">
      <x:c r="A158" s="169"/>
      <x:c r="B158" s="170"/>
      <x:c r="C158" s="200"/>
      <x:c r="D158" s="200"/>
      <x:c r="E158" s="200"/>
      <x:c r="F158" s="201"/>
      <x:c r="G158" s="255"/>
      <x:c r="H158" s="255"/>
      <x:c r="I158" s="174"/>
      <x:c r="J158" s="122"/>
      <x:c r="K158" s="177"/>
      <x:c r="L158" s="122"/>
      <x:c r="M158" s="177"/>
      <x:c r="N158" s="178"/>
      <x:c r="O158" s="122"/>
      <x:c r="P158" s="177"/>
      <x:c r="Q158" s="122"/>
      <x:c r="R158" s="177"/>
      <x:c r="S158" s="178"/>
      <x:c r="T158" s="122"/>
      <x:c r="U158" s="177"/>
      <x:c r="V158" s="122"/>
      <x:c r="W158" s="177"/>
      <x:c r="X158" s="178"/>
      <x:c r="Y158" s="122"/>
      <x:c r="Z158" s="177"/>
      <x:c r="AA158" s="122"/>
      <x:c r="AB158" s="177"/>
      <x:c r="AC158" s="178"/>
      <x:c r="AD158" s="122"/>
      <x:c r="AE158" s="177"/>
      <x:c r="AF158" s="122"/>
      <x:c r="AG158" s="177"/>
      <x:c r="AH158" s="178"/>
      <x:c r="AI158" s="122"/>
      <x:c r="AJ158" s="177"/>
      <x:c r="AK158" s="122"/>
      <x:c r="AL158" s="177"/>
      <x:c r="AM158" s="178"/>
      <x:c r="AN158" s="122"/>
      <x:c r="AO158" s="177"/>
      <x:c r="AP158" s="122"/>
    </x:row>
    <x:row r="159" ht="19.5" hidden="1" customHeight="1">
      <x:c r="A159" s="160"/>
      <x:c r="B159" s="179"/>
      <x:c r="C159" s="200"/>
      <x:c r="D159" s="200"/>
      <x:c r="E159" s="200"/>
      <x:c r="F159" s="201"/>
      <x:c r="G159" s="255"/>
      <x:c r="H159" s="255"/>
      <x:c r="I159" s="174"/>
      <x:c r="J159" s="122"/>
      <x:c r="K159" s="177"/>
      <x:c r="L159" s="122"/>
      <x:c r="M159" s="177"/>
      <x:c r="N159" s="178"/>
      <x:c r="O159" s="122"/>
      <x:c r="P159" s="177"/>
      <x:c r="Q159" s="122"/>
      <x:c r="R159" s="177"/>
      <x:c r="S159" s="178"/>
      <x:c r="T159" s="122"/>
      <x:c r="U159" s="177"/>
      <x:c r="V159" s="122"/>
      <x:c r="W159" s="177"/>
      <x:c r="X159" s="178"/>
      <x:c r="Y159" s="122"/>
      <x:c r="Z159" s="177"/>
      <x:c r="AA159" s="122"/>
      <x:c r="AB159" s="177"/>
      <x:c r="AC159" s="178"/>
      <x:c r="AD159" s="122"/>
      <x:c r="AE159" s="177"/>
      <x:c r="AF159" s="122"/>
      <x:c r="AG159" s="177"/>
      <x:c r="AH159" s="178"/>
      <x:c r="AI159" s="122"/>
      <x:c r="AJ159" s="177"/>
      <x:c r="AK159" s="122"/>
      <x:c r="AL159" s="177"/>
      <x:c r="AM159" s="178"/>
      <x:c r="AN159" s="122"/>
      <x:c r="AO159" s="177"/>
      <x:c r="AP159" s="122"/>
    </x:row>
    <x:row r="160" ht="19.5" hidden="1" customHeight="1">
      <x:c r="A160" s="169"/>
      <x:c r="B160" s="170"/>
      <x:c r="C160" s="200"/>
      <x:c r="D160" s="200"/>
      <x:c r="E160" s="200"/>
      <x:c r="F160" s="201"/>
      <x:c r="G160" s="255"/>
      <x:c r="H160" s="255"/>
      <x:c r="I160" s="174"/>
      <x:c r="J160" s="122"/>
      <x:c r="K160" s="177"/>
      <x:c r="L160" s="122"/>
      <x:c r="M160" s="177"/>
      <x:c r="N160" s="178"/>
      <x:c r="O160" s="122"/>
      <x:c r="P160" s="177"/>
      <x:c r="Q160" s="122"/>
      <x:c r="R160" s="177"/>
      <x:c r="S160" s="178"/>
      <x:c r="T160" s="122"/>
      <x:c r="U160" s="177"/>
      <x:c r="V160" s="122"/>
      <x:c r="W160" s="177"/>
      <x:c r="X160" s="178"/>
      <x:c r="Y160" s="122"/>
      <x:c r="Z160" s="177"/>
      <x:c r="AA160" s="122"/>
      <x:c r="AB160" s="177"/>
      <x:c r="AC160" s="178"/>
      <x:c r="AD160" s="122"/>
      <x:c r="AE160" s="177"/>
      <x:c r="AF160" s="122"/>
      <x:c r="AG160" s="177"/>
      <x:c r="AH160" s="178"/>
      <x:c r="AI160" s="122"/>
      <x:c r="AJ160" s="177"/>
      <x:c r="AK160" s="122"/>
      <x:c r="AL160" s="177"/>
      <x:c r="AM160" s="178"/>
      <x:c r="AN160" s="122"/>
      <x:c r="AO160" s="177"/>
      <x:c r="AP160" s="122"/>
    </x:row>
    <x:row r="161" ht="19.5" hidden="1" customHeight="1">
      <x:c r="A161" s="160"/>
      <x:c r="B161" s="179"/>
      <x:c r="C161" s="200"/>
      <x:c r="D161" s="200"/>
      <x:c r="E161" s="200"/>
      <x:c r="F161" s="201"/>
      <x:c r="G161" s="255"/>
      <x:c r="H161" s="255"/>
      <x:c r="I161" s="174"/>
      <x:c r="J161" s="122"/>
      <x:c r="K161" s="177"/>
      <x:c r="L161" s="122"/>
      <x:c r="M161" s="177"/>
      <x:c r="N161" s="178"/>
      <x:c r="O161" s="122"/>
      <x:c r="P161" s="177"/>
      <x:c r="Q161" s="122"/>
      <x:c r="R161" s="177"/>
      <x:c r="S161" s="178"/>
      <x:c r="T161" s="122"/>
      <x:c r="U161" s="177"/>
      <x:c r="V161" s="122"/>
      <x:c r="W161" s="177"/>
      <x:c r="X161" s="178"/>
      <x:c r="Y161" s="122"/>
      <x:c r="Z161" s="177"/>
      <x:c r="AA161" s="122"/>
      <x:c r="AB161" s="177"/>
      <x:c r="AC161" s="178"/>
      <x:c r="AD161" s="122"/>
      <x:c r="AE161" s="177"/>
      <x:c r="AF161" s="122"/>
      <x:c r="AG161" s="177"/>
      <x:c r="AH161" s="178"/>
      <x:c r="AI161" s="122"/>
      <x:c r="AJ161" s="177"/>
      <x:c r="AK161" s="122"/>
      <x:c r="AL161" s="177"/>
      <x:c r="AM161" s="178"/>
      <x:c r="AN161" s="122"/>
      <x:c r="AO161" s="177"/>
      <x:c r="AP161" s="122"/>
    </x:row>
    <x:row r="162" ht="19.5" hidden="1" customHeight="1">
      <x:c r="A162" s="169"/>
      <x:c r="B162" s="170"/>
      <x:c r="C162" s="200"/>
      <x:c r="D162" s="200"/>
      <x:c r="E162" s="200"/>
      <x:c r="F162" s="201"/>
      <x:c r="G162" s="255"/>
      <x:c r="H162" s="255"/>
      <x:c r="I162" s="174"/>
      <x:c r="J162" s="122"/>
      <x:c r="K162" s="177"/>
      <x:c r="L162" s="122"/>
      <x:c r="M162" s="177"/>
      <x:c r="N162" s="178"/>
      <x:c r="O162" s="122"/>
      <x:c r="P162" s="177"/>
      <x:c r="Q162" s="122"/>
      <x:c r="R162" s="177"/>
      <x:c r="S162" s="178"/>
      <x:c r="T162" s="122"/>
      <x:c r="U162" s="177"/>
      <x:c r="V162" s="122"/>
      <x:c r="W162" s="177"/>
      <x:c r="X162" s="178"/>
      <x:c r="Y162" s="122"/>
      <x:c r="Z162" s="177"/>
      <x:c r="AA162" s="122"/>
      <x:c r="AB162" s="177"/>
      <x:c r="AC162" s="178"/>
      <x:c r="AD162" s="122"/>
      <x:c r="AE162" s="177"/>
      <x:c r="AF162" s="122"/>
      <x:c r="AG162" s="177"/>
      <x:c r="AH162" s="178"/>
      <x:c r="AI162" s="122"/>
      <x:c r="AJ162" s="177"/>
      <x:c r="AK162" s="122"/>
      <x:c r="AL162" s="177"/>
      <x:c r="AM162" s="178"/>
      <x:c r="AN162" s="122"/>
      <x:c r="AO162" s="177"/>
      <x:c r="AP162" s="122"/>
    </x:row>
    <x:row r="163" ht="19.5" hidden="1" customHeight="1">
      <x:c r="A163" s="160"/>
      <x:c r="B163" s="179"/>
      <x:c r="C163" s="200"/>
      <x:c r="D163" s="200"/>
      <x:c r="E163" s="200"/>
      <x:c r="F163" s="201"/>
      <x:c r="G163" s="255"/>
      <x:c r="H163" s="255"/>
      <x:c r="I163" s="174"/>
      <x:c r="J163" s="122"/>
      <x:c r="K163" s="177"/>
      <x:c r="L163" s="122"/>
      <x:c r="M163" s="177"/>
      <x:c r="N163" s="178"/>
      <x:c r="O163" s="122"/>
      <x:c r="P163" s="177"/>
      <x:c r="Q163" s="122"/>
      <x:c r="R163" s="177"/>
      <x:c r="S163" s="178"/>
      <x:c r="T163" s="122"/>
      <x:c r="U163" s="177"/>
      <x:c r="V163" s="122"/>
      <x:c r="W163" s="177"/>
      <x:c r="X163" s="178"/>
      <x:c r="Y163" s="122"/>
      <x:c r="Z163" s="177"/>
      <x:c r="AA163" s="122"/>
      <x:c r="AB163" s="177"/>
      <x:c r="AC163" s="178"/>
      <x:c r="AD163" s="122"/>
      <x:c r="AE163" s="177"/>
      <x:c r="AF163" s="122"/>
      <x:c r="AG163" s="177"/>
      <x:c r="AH163" s="178"/>
      <x:c r="AI163" s="122"/>
      <x:c r="AJ163" s="177"/>
      <x:c r="AK163" s="122"/>
      <x:c r="AL163" s="177"/>
      <x:c r="AM163" s="178"/>
      <x:c r="AN163" s="122"/>
      <x:c r="AO163" s="177"/>
      <x:c r="AP163" s="122"/>
    </x:row>
    <x:row r="164" ht="19.5" hidden="1" customHeight="1">
      <x:c r="A164" s="169"/>
      <x:c r="B164" s="170"/>
      <x:c r="C164" s="200"/>
      <x:c r="D164" s="200"/>
      <x:c r="E164" s="200"/>
      <x:c r="F164" s="201"/>
      <x:c r="G164" s="255"/>
      <x:c r="H164" s="255"/>
      <x:c r="I164" s="174"/>
      <x:c r="J164" s="122"/>
      <x:c r="K164" s="177"/>
      <x:c r="L164" s="122"/>
      <x:c r="M164" s="177"/>
      <x:c r="N164" s="178"/>
      <x:c r="O164" s="122"/>
      <x:c r="P164" s="177"/>
      <x:c r="Q164" s="122"/>
      <x:c r="R164" s="177"/>
      <x:c r="S164" s="178"/>
      <x:c r="T164" s="122"/>
      <x:c r="U164" s="177"/>
      <x:c r="V164" s="122"/>
      <x:c r="W164" s="177"/>
      <x:c r="X164" s="178"/>
      <x:c r="Y164" s="122"/>
      <x:c r="Z164" s="177"/>
      <x:c r="AA164" s="122"/>
      <x:c r="AB164" s="177"/>
      <x:c r="AC164" s="178"/>
      <x:c r="AD164" s="122"/>
      <x:c r="AE164" s="177"/>
      <x:c r="AF164" s="122"/>
      <x:c r="AG164" s="177"/>
      <x:c r="AH164" s="178"/>
      <x:c r="AI164" s="122"/>
      <x:c r="AJ164" s="177"/>
      <x:c r="AK164" s="122"/>
      <x:c r="AL164" s="177"/>
      <x:c r="AM164" s="178"/>
      <x:c r="AN164" s="122"/>
      <x:c r="AO164" s="177"/>
      <x:c r="AP164" s="122"/>
    </x:row>
    <x:row r="165" ht="19.5" hidden="1" customHeight="1">
      <x:c r="A165" s="160"/>
      <x:c r="B165" s="179"/>
      <x:c r="C165" s="200"/>
      <x:c r="D165" s="200"/>
      <x:c r="E165" s="200"/>
      <x:c r="F165" s="201"/>
      <x:c r="G165" s="255"/>
      <x:c r="H165" s="255"/>
      <x:c r="I165" s="174"/>
      <x:c r="J165" s="122"/>
      <x:c r="K165" s="177"/>
      <x:c r="L165" s="122"/>
      <x:c r="M165" s="177"/>
      <x:c r="N165" s="178"/>
      <x:c r="O165" s="122"/>
      <x:c r="P165" s="177"/>
      <x:c r="Q165" s="122"/>
      <x:c r="R165" s="177"/>
      <x:c r="S165" s="178"/>
      <x:c r="T165" s="122"/>
      <x:c r="U165" s="177"/>
      <x:c r="V165" s="122"/>
      <x:c r="W165" s="177"/>
      <x:c r="X165" s="178"/>
      <x:c r="Y165" s="122"/>
      <x:c r="Z165" s="177"/>
      <x:c r="AA165" s="122"/>
      <x:c r="AB165" s="177"/>
      <x:c r="AC165" s="178"/>
      <x:c r="AD165" s="122"/>
      <x:c r="AE165" s="177"/>
      <x:c r="AF165" s="122"/>
      <x:c r="AG165" s="177"/>
      <x:c r="AH165" s="178"/>
      <x:c r="AI165" s="122"/>
      <x:c r="AJ165" s="177"/>
      <x:c r="AK165" s="122"/>
      <x:c r="AL165" s="177"/>
      <x:c r="AM165" s="178"/>
      <x:c r="AN165" s="122"/>
      <x:c r="AO165" s="177"/>
      <x:c r="AP165" s="122"/>
    </x:row>
    <x:row r="166" ht="19.5" hidden="1" customHeight="1">
      <x:c r="A166" s="169"/>
      <x:c r="B166" s="170"/>
      <x:c r="C166" s="200"/>
      <x:c r="D166" s="200"/>
      <x:c r="E166" s="200"/>
      <x:c r="F166" s="201"/>
      <x:c r="G166" s="255"/>
      <x:c r="H166" s="255"/>
      <x:c r="I166" s="174"/>
      <x:c r="J166" s="122"/>
      <x:c r="K166" s="177"/>
      <x:c r="L166" s="122"/>
      <x:c r="M166" s="177"/>
      <x:c r="N166" s="178"/>
      <x:c r="O166" s="122"/>
      <x:c r="P166" s="177"/>
      <x:c r="Q166" s="122"/>
      <x:c r="R166" s="177"/>
      <x:c r="S166" s="178"/>
      <x:c r="T166" s="122"/>
      <x:c r="U166" s="177"/>
      <x:c r="V166" s="122"/>
      <x:c r="W166" s="177"/>
      <x:c r="X166" s="178"/>
      <x:c r="Y166" s="122"/>
      <x:c r="Z166" s="177"/>
      <x:c r="AA166" s="122"/>
      <x:c r="AB166" s="177"/>
      <x:c r="AC166" s="178"/>
      <x:c r="AD166" s="122"/>
      <x:c r="AE166" s="177"/>
      <x:c r="AF166" s="122"/>
      <x:c r="AG166" s="177"/>
      <x:c r="AH166" s="178"/>
      <x:c r="AI166" s="122"/>
      <x:c r="AJ166" s="177"/>
      <x:c r="AK166" s="122"/>
      <x:c r="AL166" s="177"/>
      <x:c r="AM166" s="178"/>
      <x:c r="AN166" s="122"/>
      <x:c r="AO166" s="177"/>
      <x:c r="AP166" s="122"/>
    </x:row>
    <x:row r="167" ht="19.5" hidden="1" customHeight="1">
      <x:c r="A167" s="160"/>
      <x:c r="B167" s="179"/>
      <x:c r="C167" s="200"/>
      <x:c r="D167" s="200"/>
      <x:c r="E167" s="200"/>
      <x:c r="F167" s="201"/>
      <x:c r="G167" s="255"/>
      <x:c r="H167" s="255"/>
      <x:c r="I167" s="174"/>
      <x:c r="J167" s="122"/>
      <x:c r="K167" s="177"/>
      <x:c r="L167" s="122"/>
      <x:c r="M167" s="177"/>
      <x:c r="N167" s="178"/>
      <x:c r="O167" s="122"/>
      <x:c r="P167" s="177"/>
      <x:c r="Q167" s="122"/>
      <x:c r="R167" s="177"/>
      <x:c r="S167" s="178"/>
      <x:c r="T167" s="122"/>
      <x:c r="U167" s="177"/>
      <x:c r="V167" s="122"/>
      <x:c r="W167" s="177"/>
      <x:c r="X167" s="178"/>
      <x:c r="Y167" s="122"/>
      <x:c r="Z167" s="177"/>
      <x:c r="AA167" s="122"/>
      <x:c r="AB167" s="177"/>
      <x:c r="AC167" s="178"/>
      <x:c r="AD167" s="122"/>
      <x:c r="AE167" s="177"/>
      <x:c r="AF167" s="122"/>
      <x:c r="AG167" s="177"/>
      <x:c r="AH167" s="178"/>
      <x:c r="AI167" s="122"/>
      <x:c r="AJ167" s="177"/>
      <x:c r="AK167" s="122"/>
      <x:c r="AL167" s="177"/>
      <x:c r="AM167" s="178"/>
      <x:c r="AN167" s="122"/>
      <x:c r="AO167" s="177"/>
      <x:c r="AP167" s="122"/>
    </x:row>
    <x:row r="168" ht="19.5" hidden="1" customHeight="1">
      <x:c r="A168" s="169"/>
      <x:c r="B168" s="170"/>
      <x:c r="C168" s="200"/>
      <x:c r="D168" s="200"/>
      <x:c r="E168" s="200"/>
      <x:c r="F168" s="201"/>
      <x:c r="G168" s="255"/>
      <x:c r="H168" s="255"/>
      <x:c r="I168" s="174"/>
      <x:c r="J168" s="122"/>
      <x:c r="K168" s="177"/>
      <x:c r="L168" s="122"/>
      <x:c r="M168" s="177"/>
      <x:c r="N168" s="178"/>
      <x:c r="O168" s="122"/>
      <x:c r="P168" s="177"/>
      <x:c r="Q168" s="122"/>
      <x:c r="R168" s="177"/>
      <x:c r="S168" s="178"/>
      <x:c r="T168" s="122"/>
      <x:c r="U168" s="177"/>
      <x:c r="V168" s="122"/>
      <x:c r="W168" s="177"/>
      <x:c r="X168" s="178"/>
      <x:c r="Y168" s="122"/>
      <x:c r="Z168" s="177"/>
      <x:c r="AA168" s="122"/>
      <x:c r="AB168" s="177"/>
      <x:c r="AC168" s="178"/>
      <x:c r="AD168" s="122"/>
      <x:c r="AE168" s="177"/>
      <x:c r="AF168" s="122"/>
      <x:c r="AG168" s="177"/>
      <x:c r="AH168" s="178"/>
      <x:c r="AI168" s="122"/>
      <x:c r="AJ168" s="177"/>
      <x:c r="AK168" s="122"/>
      <x:c r="AL168" s="177"/>
      <x:c r="AM168" s="178"/>
      <x:c r="AN168" s="122"/>
      <x:c r="AO168" s="177"/>
      <x:c r="AP168" s="122"/>
    </x:row>
    <x:row r="169" ht="19.5" hidden="1" customHeight="1">
      <x:c r="A169" s="160"/>
      <x:c r="B169" s="179"/>
      <x:c r="C169" s="200"/>
      <x:c r="D169" s="200"/>
      <x:c r="E169" s="200"/>
      <x:c r="F169" s="201"/>
      <x:c r="G169" s="255"/>
      <x:c r="H169" s="255"/>
      <x:c r="I169" s="174"/>
      <x:c r="J169" s="122"/>
      <x:c r="K169" s="177"/>
      <x:c r="L169" s="122"/>
      <x:c r="M169" s="177"/>
      <x:c r="N169" s="178"/>
      <x:c r="O169" s="122"/>
      <x:c r="P169" s="177"/>
      <x:c r="Q169" s="122"/>
      <x:c r="R169" s="177"/>
      <x:c r="S169" s="178"/>
      <x:c r="T169" s="122"/>
      <x:c r="U169" s="177"/>
      <x:c r="V169" s="122"/>
      <x:c r="W169" s="177"/>
      <x:c r="X169" s="178"/>
      <x:c r="Y169" s="122"/>
      <x:c r="Z169" s="177"/>
      <x:c r="AA169" s="122"/>
      <x:c r="AB169" s="177"/>
      <x:c r="AC169" s="178"/>
      <x:c r="AD169" s="122"/>
      <x:c r="AE169" s="177"/>
      <x:c r="AF169" s="122"/>
      <x:c r="AG169" s="177"/>
      <x:c r="AH169" s="178"/>
      <x:c r="AI169" s="122"/>
      <x:c r="AJ169" s="177"/>
      <x:c r="AK169" s="122"/>
      <x:c r="AL169" s="177"/>
      <x:c r="AM169" s="178"/>
      <x:c r="AN169" s="122"/>
      <x:c r="AO169" s="177"/>
      <x:c r="AP169" s="122"/>
    </x:row>
    <x:row r="170" ht="19.5" hidden="1" customHeight="1">
      <x:c r="A170" s="169"/>
      <x:c r="B170" s="170"/>
      <x:c r="C170" s="200"/>
      <x:c r="D170" s="200"/>
      <x:c r="E170" s="200"/>
      <x:c r="F170" s="201"/>
      <x:c r="G170" s="255"/>
      <x:c r="H170" s="255"/>
      <x:c r="I170" s="174"/>
      <x:c r="J170" s="122"/>
      <x:c r="K170" s="177"/>
      <x:c r="L170" s="122"/>
      <x:c r="M170" s="177"/>
      <x:c r="N170" s="178"/>
      <x:c r="O170" s="122"/>
      <x:c r="P170" s="177"/>
      <x:c r="Q170" s="122"/>
      <x:c r="R170" s="177"/>
      <x:c r="S170" s="178"/>
      <x:c r="T170" s="122"/>
      <x:c r="U170" s="177"/>
      <x:c r="V170" s="122"/>
      <x:c r="W170" s="177"/>
      <x:c r="X170" s="178"/>
      <x:c r="Y170" s="122"/>
      <x:c r="Z170" s="177"/>
      <x:c r="AA170" s="122"/>
      <x:c r="AB170" s="177"/>
      <x:c r="AC170" s="178"/>
      <x:c r="AD170" s="122"/>
      <x:c r="AE170" s="177"/>
      <x:c r="AF170" s="122"/>
      <x:c r="AG170" s="177"/>
      <x:c r="AH170" s="178"/>
      <x:c r="AI170" s="122"/>
      <x:c r="AJ170" s="177"/>
      <x:c r="AK170" s="122"/>
      <x:c r="AL170" s="177"/>
      <x:c r="AM170" s="178"/>
      <x:c r="AN170" s="122"/>
      <x:c r="AO170" s="177"/>
      <x:c r="AP170" s="122"/>
    </x:row>
    <x:row r="171" ht="19.5" hidden="1" customHeight="1">
      <x:c r="A171" s="160"/>
      <x:c r="B171" s="179"/>
      <x:c r="C171" s="200"/>
      <x:c r="D171" s="200"/>
      <x:c r="E171" s="200"/>
      <x:c r="F171" s="201"/>
      <x:c r="G171" s="255"/>
      <x:c r="H171" s="255"/>
      <x:c r="I171" s="174"/>
      <x:c r="J171" s="122"/>
      <x:c r="K171" s="177"/>
      <x:c r="L171" s="122"/>
      <x:c r="M171" s="177"/>
      <x:c r="N171" s="178"/>
      <x:c r="O171" s="122"/>
      <x:c r="P171" s="177"/>
      <x:c r="Q171" s="122"/>
      <x:c r="R171" s="177"/>
      <x:c r="S171" s="178"/>
      <x:c r="T171" s="122"/>
      <x:c r="U171" s="177"/>
      <x:c r="V171" s="122"/>
      <x:c r="W171" s="177"/>
      <x:c r="X171" s="178"/>
      <x:c r="Y171" s="122"/>
      <x:c r="Z171" s="177"/>
      <x:c r="AA171" s="122"/>
      <x:c r="AB171" s="177"/>
      <x:c r="AC171" s="178"/>
      <x:c r="AD171" s="122"/>
      <x:c r="AE171" s="177"/>
      <x:c r="AF171" s="122"/>
      <x:c r="AG171" s="177"/>
      <x:c r="AH171" s="178"/>
      <x:c r="AI171" s="122"/>
      <x:c r="AJ171" s="177"/>
      <x:c r="AK171" s="122"/>
      <x:c r="AL171" s="177"/>
      <x:c r="AM171" s="178"/>
      <x:c r="AN171" s="122"/>
      <x:c r="AO171" s="177"/>
      <x:c r="AP171" s="122"/>
    </x:row>
    <x:row r="172" ht="19.5" hidden="1" customHeight="1">
      <x:c r="A172" s="169"/>
      <x:c r="B172" s="170"/>
      <x:c r="C172" s="200"/>
      <x:c r="D172" s="200"/>
      <x:c r="E172" s="200"/>
      <x:c r="F172" s="201"/>
      <x:c r="G172" s="255"/>
      <x:c r="H172" s="255"/>
      <x:c r="I172" s="174"/>
      <x:c r="J172" s="122"/>
      <x:c r="K172" s="177"/>
      <x:c r="L172" s="122"/>
      <x:c r="M172" s="177"/>
      <x:c r="N172" s="178"/>
      <x:c r="O172" s="122"/>
      <x:c r="P172" s="177"/>
      <x:c r="Q172" s="122"/>
      <x:c r="R172" s="177"/>
      <x:c r="S172" s="178"/>
      <x:c r="T172" s="122"/>
      <x:c r="U172" s="177"/>
      <x:c r="V172" s="122"/>
      <x:c r="W172" s="177"/>
      <x:c r="X172" s="178"/>
      <x:c r="Y172" s="122"/>
      <x:c r="Z172" s="177"/>
      <x:c r="AA172" s="122"/>
      <x:c r="AB172" s="177"/>
      <x:c r="AC172" s="178"/>
      <x:c r="AD172" s="122"/>
      <x:c r="AE172" s="177"/>
      <x:c r="AF172" s="122"/>
      <x:c r="AG172" s="177"/>
      <x:c r="AH172" s="178"/>
      <x:c r="AI172" s="122"/>
      <x:c r="AJ172" s="177"/>
      <x:c r="AK172" s="122"/>
      <x:c r="AL172" s="177"/>
      <x:c r="AM172" s="178"/>
      <x:c r="AN172" s="122"/>
      <x:c r="AO172" s="177"/>
      <x:c r="AP172" s="122"/>
    </x:row>
    <x:row r="173" ht="19.5" hidden="1" customHeight="1">
      <x:c r="A173" s="160"/>
      <x:c r="B173" s="179"/>
      <x:c r="C173" s="200"/>
      <x:c r="D173" s="200"/>
      <x:c r="E173" s="200"/>
      <x:c r="F173" s="201"/>
      <x:c r="G173" s="255"/>
      <x:c r="H173" s="255"/>
      <x:c r="I173" s="174"/>
      <x:c r="J173" s="122"/>
      <x:c r="K173" s="177"/>
      <x:c r="L173" s="122"/>
      <x:c r="M173" s="177"/>
      <x:c r="N173" s="178"/>
      <x:c r="O173" s="122"/>
      <x:c r="P173" s="177"/>
      <x:c r="Q173" s="122"/>
      <x:c r="R173" s="177"/>
      <x:c r="S173" s="178"/>
      <x:c r="T173" s="122"/>
      <x:c r="U173" s="177"/>
      <x:c r="V173" s="122"/>
      <x:c r="W173" s="177"/>
      <x:c r="X173" s="178"/>
      <x:c r="Y173" s="122"/>
      <x:c r="Z173" s="177"/>
      <x:c r="AA173" s="122"/>
      <x:c r="AB173" s="177"/>
      <x:c r="AC173" s="178"/>
      <x:c r="AD173" s="122"/>
      <x:c r="AE173" s="177"/>
      <x:c r="AF173" s="122"/>
      <x:c r="AG173" s="177"/>
      <x:c r="AH173" s="178"/>
      <x:c r="AI173" s="122"/>
      <x:c r="AJ173" s="177"/>
      <x:c r="AK173" s="122"/>
      <x:c r="AL173" s="177"/>
      <x:c r="AM173" s="178"/>
      <x:c r="AN173" s="122"/>
      <x:c r="AO173" s="177"/>
      <x:c r="AP173" s="122"/>
    </x:row>
    <x:row r="174" ht="19.5" hidden="1" customHeight="1">
      <x:c r="A174" s="169"/>
      <x:c r="B174" s="170"/>
      <x:c r="C174" s="200"/>
      <x:c r="D174" s="200"/>
      <x:c r="E174" s="200"/>
      <x:c r="F174" s="201"/>
      <x:c r="G174" s="255"/>
      <x:c r="H174" s="255"/>
      <x:c r="I174" s="174"/>
      <x:c r="J174" s="122"/>
      <x:c r="K174" s="177"/>
      <x:c r="L174" s="122"/>
      <x:c r="M174" s="177"/>
      <x:c r="N174" s="178"/>
      <x:c r="O174" s="122"/>
      <x:c r="P174" s="177"/>
      <x:c r="Q174" s="122"/>
      <x:c r="R174" s="177"/>
      <x:c r="S174" s="178"/>
      <x:c r="T174" s="122"/>
      <x:c r="U174" s="177"/>
      <x:c r="V174" s="122"/>
      <x:c r="W174" s="177"/>
      <x:c r="X174" s="178"/>
      <x:c r="Y174" s="122"/>
      <x:c r="Z174" s="177"/>
      <x:c r="AA174" s="122"/>
      <x:c r="AB174" s="177"/>
      <x:c r="AC174" s="178"/>
      <x:c r="AD174" s="122"/>
      <x:c r="AE174" s="177"/>
      <x:c r="AF174" s="122"/>
      <x:c r="AG174" s="177"/>
      <x:c r="AH174" s="178"/>
      <x:c r="AI174" s="122"/>
      <x:c r="AJ174" s="177"/>
      <x:c r="AK174" s="122"/>
      <x:c r="AL174" s="177"/>
      <x:c r="AM174" s="178"/>
      <x:c r="AN174" s="122"/>
      <x:c r="AO174" s="177"/>
      <x:c r="AP174" s="122"/>
    </x:row>
    <x:row r="175" ht="19.5" hidden="1" customHeight="1">
      <x:c r="A175" s="160"/>
      <x:c r="B175" s="179"/>
      <x:c r="C175" s="200"/>
      <x:c r="D175" s="200"/>
      <x:c r="E175" s="200"/>
      <x:c r="F175" s="201"/>
      <x:c r="G175" s="255"/>
      <x:c r="H175" s="255"/>
      <x:c r="I175" s="174"/>
      <x:c r="J175" s="122"/>
      <x:c r="K175" s="177"/>
      <x:c r="L175" s="122"/>
      <x:c r="M175" s="177"/>
      <x:c r="N175" s="178"/>
      <x:c r="O175" s="122"/>
      <x:c r="P175" s="177"/>
      <x:c r="Q175" s="122"/>
      <x:c r="R175" s="177"/>
      <x:c r="S175" s="178"/>
      <x:c r="T175" s="122"/>
      <x:c r="U175" s="177"/>
      <x:c r="V175" s="122"/>
      <x:c r="W175" s="177"/>
      <x:c r="X175" s="178"/>
      <x:c r="Y175" s="122"/>
      <x:c r="Z175" s="177"/>
      <x:c r="AA175" s="122"/>
      <x:c r="AB175" s="177"/>
      <x:c r="AC175" s="178"/>
      <x:c r="AD175" s="122"/>
      <x:c r="AE175" s="177"/>
      <x:c r="AF175" s="122"/>
      <x:c r="AG175" s="177"/>
      <x:c r="AH175" s="178"/>
      <x:c r="AI175" s="122"/>
      <x:c r="AJ175" s="177"/>
      <x:c r="AK175" s="122"/>
      <x:c r="AL175" s="177"/>
      <x:c r="AM175" s="178"/>
      <x:c r="AN175" s="122"/>
      <x:c r="AO175" s="177"/>
      <x:c r="AP175" s="122"/>
    </x:row>
    <x:row r="176" ht="19.5" hidden="1" customHeight="1">
      <x:c r="A176" s="169"/>
      <x:c r="B176" s="170"/>
      <x:c r="C176" s="200"/>
      <x:c r="D176" s="200"/>
      <x:c r="E176" s="200"/>
      <x:c r="F176" s="201"/>
      <x:c r="G176" s="255"/>
      <x:c r="H176" s="255"/>
      <x:c r="I176" s="174"/>
      <x:c r="J176" s="122"/>
      <x:c r="K176" s="177"/>
      <x:c r="L176" s="122"/>
      <x:c r="M176" s="177"/>
      <x:c r="N176" s="178"/>
      <x:c r="O176" s="122"/>
      <x:c r="P176" s="177"/>
      <x:c r="Q176" s="122"/>
      <x:c r="R176" s="177"/>
      <x:c r="S176" s="178"/>
      <x:c r="T176" s="122"/>
      <x:c r="U176" s="177"/>
      <x:c r="V176" s="122"/>
      <x:c r="W176" s="177"/>
      <x:c r="X176" s="178"/>
      <x:c r="Y176" s="122"/>
      <x:c r="Z176" s="177"/>
      <x:c r="AA176" s="122"/>
      <x:c r="AB176" s="177"/>
      <x:c r="AC176" s="178"/>
      <x:c r="AD176" s="122"/>
      <x:c r="AE176" s="177"/>
      <x:c r="AF176" s="122"/>
      <x:c r="AG176" s="177"/>
      <x:c r="AH176" s="178"/>
      <x:c r="AI176" s="122"/>
      <x:c r="AJ176" s="177"/>
      <x:c r="AK176" s="122"/>
      <x:c r="AL176" s="177"/>
      <x:c r="AM176" s="178"/>
      <x:c r="AN176" s="122"/>
      <x:c r="AO176" s="177"/>
      <x:c r="AP176" s="122"/>
    </x:row>
    <x:row r="177" ht="19.5" hidden="1" customHeight="1">
      <x:c r="A177" s="160"/>
      <x:c r="B177" s="179"/>
      <x:c r="C177" s="200"/>
      <x:c r="D177" s="200"/>
      <x:c r="E177" s="200"/>
      <x:c r="F177" s="201"/>
      <x:c r="G177" s="255"/>
      <x:c r="H177" s="255"/>
      <x:c r="I177" s="174"/>
      <x:c r="J177" s="122"/>
      <x:c r="K177" s="177"/>
      <x:c r="L177" s="122"/>
      <x:c r="M177" s="177"/>
      <x:c r="N177" s="178"/>
      <x:c r="O177" s="122"/>
      <x:c r="P177" s="177"/>
      <x:c r="Q177" s="122"/>
      <x:c r="R177" s="177"/>
      <x:c r="S177" s="178"/>
      <x:c r="T177" s="122"/>
      <x:c r="U177" s="177"/>
      <x:c r="V177" s="122"/>
      <x:c r="W177" s="177"/>
      <x:c r="X177" s="178"/>
      <x:c r="Y177" s="122"/>
      <x:c r="Z177" s="177"/>
      <x:c r="AA177" s="122"/>
      <x:c r="AB177" s="177"/>
      <x:c r="AC177" s="178"/>
      <x:c r="AD177" s="122"/>
      <x:c r="AE177" s="177"/>
      <x:c r="AF177" s="122"/>
      <x:c r="AG177" s="177"/>
      <x:c r="AH177" s="178"/>
      <x:c r="AI177" s="122"/>
      <x:c r="AJ177" s="177"/>
      <x:c r="AK177" s="122"/>
      <x:c r="AL177" s="177"/>
      <x:c r="AM177" s="178"/>
      <x:c r="AN177" s="122"/>
      <x:c r="AO177" s="177"/>
      <x:c r="AP177" s="122"/>
    </x:row>
    <x:row r="178" ht="19.5" hidden="1" customHeight="1">
      <x:c r="A178" s="169"/>
      <x:c r="B178" s="170"/>
      <x:c r="C178" s="200"/>
      <x:c r="D178" s="200"/>
      <x:c r="E178" s="200"/>
      <x:c r="F178" s="201"/>
      <x:c r="G178" s="255"/>
      <x:c r="H178" s="255"/>
      <x:c r="I178" s="174"/>
      <x:c r="J178" s="122"/>
      <x:c r="K178" s="177"/>
      <x:c r="L178" s="122"/>
      <x:c r="M178" s="177"/>
      <x:c r="N178" s="178"/>
      <x:c r="O178" s="122"/>
      <x:c r="P178" s="177"/>
      <x:c r="Q178" s="122"/>
      <x:c r="R178" s="177"/>
      <x:c r="S178" s="178"/>
      <x:c r="T178" s="122"/>
      <x:c r="U178" s="177"/>
      <x:c r="V178" s="122"/>
      <x:c r="W178" s="177"/>
      <x:c r="X178" s="178"/>
      <x:c r="Y178" s="122"/>
      <x:c r="Z178" s="177"/>
      <x:c r="AA178" s="122"/>
      <x:c r="AB178" s="177"/>
      <x:c r="AC178" s="178"/>
      <x:c r="AD178" s="122"/>
      <x:c r="AE178" s="177"/>
      <x:c r="AF178" s="122"/>
      <x:c r="AG178" s="177"/>
      <x:c r="AH178" s="178"/>
      <x:c r="AI178" s="122"/>
      <x:c r="AJ178" s="177"/>
      <x:c r="AK178" s="122"/>
      <x:c r="AL178" s="177"/>
      <x:c r="AM178" s="178"/>
      <x:c r="AN178" s="122"/>
      <x:c r="AO178" s="177"/>
      <x:c r="AP178" s="122"/>
    </x:row>
    <x:row r="179" ht="19.5" hidden="1" customHeight="1">
      <x:c r="A179" s="160"/>
      <x:c r="B179" s="179"/>
      <x:c r="C179" s="200"/>
      <x:c r="D179" s="200"/>
      <x:c r="E179" s="200"/>
      <x:c r="F179" s="201"/>
      <x:c r="G179" s="255"/>
      <x:c r="H179" s="255"/>
      <x:c r="I179" s="174"/>
      <x:c r="J179" s="122"/>
      <x:c r="K179" s="177"/>
      <x:c r="L179" s="122"/>
      <x:c r="M179" s="177"/>
      <x:c r="N179" s="178"/>
      <x:c r="O179" s="122"/>
      <x:c r="P179" s="177"/>
      <x:c r="Q179" s="122"/>
      <x:c r="R179" s="177"/>
      <x:c r="S179" s="178"/>
      <x:c r="T179" s="122"/>
      <x:c r="U179" s="177"/>
      <x:c r="V179" s="122"/>
      <x:c r="W179" s="177"/>
      <x:c r="X179" s="178"/>
      <x:c r="Y179" s="122"/>
      <x:c r="Z179" s="177"/>
      <x:c r="AA179" s="122"/>
      <x:c r="AB179" s="177"/>
      <x:c r="AC179" s="178"/>
      <x:c r="AD179" s="122"/>
      <x:c r="AE179" s="177"/>
      <x:c r="AF179" s="122"/>
      <x:c r="AG179" s="177"/>
      <x:c r="AH179" s="178"/>
      <x:c r="AI179" s="122"/>
      <x:c r="AJ179" s="177"/>
      <x:c r="AK179" s="122"/>
      <x:c r="AL179" s="177"/>
      <x:c r="AM179" s="178"/>
      <x:c r="AN179" s="122"/>
      <x:c r="AO179" s="177"/>
      <x:c r="AP179" s="122"/>
    </x:row>
    <x:row r="180" ht="19.5" hidden="1" customHeight="1">
      <x:c r="A180" s="169"/>
      <x:c r="B180" s="170"/>
      <x:c r="C180" s="200"/>
      <x:c r="D180" s="200"/>
      <x:c r="E180" s="200"/>
      <x:c r="F180" s="201"/>
      <x:c r="G180" s="255"/>
      <x:c r="H180" s="255"/>
      <x:c r="I180" s="174"/>
      <x:c r="J180" s="122"/>
      <x:c r="K180" s="177"/>
      <x:c r="L180" s="122"/>
      <x:c r="M180" s="177"/>
      <x:c r="N180" s="178"/>
      <x:c r="O180" s="122"/>
      <x:c r="P180" s="177"/>
      <x:c r="Q180" s="122"/>
      <x:c r="R180" s="177"/>
      <x:c r="S180" s="178"/>
      <x:c r="T180" s="122"/>
      <x:c r="U180" s="177"/>
      <x:c r="V180" s="122"/>
      <x:c r="W180" s="177"/>
      <x:c r="X180" s="178"/>
      <x:c r="Y180" s="122"/>
      <x:c r="Z180" s="177"/>
      <x:c r="AA180" s="122"/>
      <x:c r="AB180" s="177"/>
      <x:c r="AC180" s="178"/>
      <x:c r="AD180" s="122"/>
      <x:c r="AE180" s="177"/>
      <x:c r="AF180" s="122"/>
      <x:c r="AG180" s="177"/>
      <x:c r="AH180" s="178"/>
      <x:c r="AI180" s="122"/>
      <x:c r="AJ180" s="177"/>
      <x:c r="AK180" s="122"/>
      <x:c r="AL180" s="177"/>
      <x:c r="AM180" s="178"/>
      <x:c r="AN180" s="122"/>
      <x:c r="AO180" s="177"/>
      <x:c r="AP180" s="122"/>
    </x:row>
    <x:row r="181" ht="19.5" hidden="1" customHeight="1">
      <x:c r="A181" s="160"/>
      <x:c r="B181" s="179"/>
      <x:c r="C181" s="200"/>
      <x:c r="D181" s="200"/>
      <x:c r="E181" s="200"/>
      <x:c r="F181" s="201"/>
      <x:c r="G181" s="255"/>
      <x:c r="H181" s="255"/>
      <x:c r="I181" s="174"/>
      <x:c r="J181" s="122"/>
      <x:c r="K181" s="177"/>
      <x:c r="L181" s="122"/>
      <x:c r="M181" s="177"/>
      <x:c r="N181" s="178"/>
      <x:c r="O181" s="122"/>
      <x:c r="P181" s="177"/>
      <x:c r="Q181" s="122"/>
      <x:c r="R181" s="177"/>
      <x:c r="S181" s="178"/>
      <x:c r="T181" s="122"/>
      <x:c r="U181" s="177"/>
      <x:c r="V181" s="122"/>
      <x:c r="W181" s="177"/>
      <x:c r="X181" s="178"/>
      <x:c r="Y181" s="122"/>
      <x:c r="Z181" s="177"/>
      <x:c r="AA181" s="122"/>
      <x:c r="AB181" s="177"/>
      <x:c r="AC181" s="178"/>
      <x:c r="AD181" s="122"/>
      <x:c r="AE181" s="177"/>
      <x:c r="AF181" s="122"/>
      <x:c r="AG181" s="177"/>
      <x:c r="AH181" s="178"/>
      <x:c r="AI181" s="122"/>
      <x:c r="AJ181" s="177"/>
      <x:c r="AK181" s="122"/>
      <x:c r="AL181" s="177"/>
      <x:c r="AM181" s="178"/>
      <x:c r="AN181" s="122"/>
      <x:c r="AO181" s="177"/>
      <x:c r="AP181" s="122"/>
    </x:row>
    <x:row r="182" ht="19.5" hidden="1" customHeight="1">
      <x:c r="A182" s="169"/>
      <x:c r="B182" s="170"/>
      <x:c r="C182" s="200"/>
      <x:c r="D182" s="200"/>
      <x:c r="E182" s="200"/>
      <x:c r="F182" s="201"/>
      <x:c r="G182" s="255"/>
      <x:c r="H182" s="255"/>
      <x:c r="I182" s="174"/>
      <x:c r="J182" s="122"/>
      <x:c r="K182" s="177"/>
      <x:c r="L182" s="122"/>
      <x:c r="M182" s="177"/>
      <x:c r="N182" s="178"/>
      <x:c r="O182" s="122"/>
      <x:c r="P182" s="177"/>
      <x:c r="Q182" s="122"/>
      <x:c r="R182" s="177"/>
      <x:c r="S182" s="178"/>
      <x:c r="T182" s="122"/>
      <x:c r="U182" s="177"/>
      <x:c r="V182" s="122"/>
      <x:c r="W182" s="177"/>
      <x:c r="X182" s="178"/>
      <x:c r="Y182" s="122"/>
      <x:c r="Z182" s="177"/>
      <x:c r="AA182" s="122"/>
      <x:c r="AB182" s="177"/>
      <x:c r="AC182" s="178"/>
      <x:c r="AD182" s="122"/>
      <x:c r="AE182" s="177"/>
      <x:c r="AF182" s="122"/>
      <x:c r="AG182" s="177"/>
      <x:c r="AH182" s="178"/>
      <x:c r="AI182" s="122"/>
      <x:c r="AJ182" s="177"/>
      <x:c r="AK182" s="122"/>
      <x:c r="AL182" s="177"/>
      <x:c r="AM182" s="178"/>
      <x:c r="AN182" s="122"/>
      <x:c r="AO182" s="177"/>
      <x:c r="AP182" s="122"/>
    </x:row>
    <x:row r="183" ht="19.5" hidden="1" customHeight="1">
      <x:c r="A183" s="160"/>
      <x:c r="B183" s="179"/>
      <x:c r="C183" s="200"/>
      <x:c r="D183" s="200"/>
      <x:c r="E183" s="200"/>
      <x:c r="F183" s="201"/>
      <x:c r="G183" s="255"/>
      <x:c r="H183" s="255"/>
      <x:c r="I183" s="174"/>
      <x:c r="J183" s="122"/>
      <x:c r="K183" s="177"/>
      <x:c r="L183" s="122"/>
      <x:c r="M183" s="177"/>
      <x:c r="N183" s="178"/>
      <x:c r="O183" s="122"/>
      <x:c r="P183" s="177"/>
      <x:c r="Q183" s="122"/>
      <x:c r="R183" s="177"/>
      <x:c r="S183" s="178"/>
      <x:c r="T183" s="122"/>
      <x:c r="U183" s="177"/>
      <x:c r="V183" s="122"/>
      <x:c r="W183" s="177"/>
      <x:c r="X183" s="178"/>
      <x:c r="Y183" s="122"/>
      <x:c r="Z183" s="177"/>
      <x:c r="AA183" s="122"/>
      <x:c r="AB183" s="177"/>
      <x:c r="AC183" s="178"/>
      <x:c r="AD183" s="122"/>
      <x:c r="AE183" s="177"/>
      <x:c r="AF183" s="122"/>
      <x:c r="AG183" s="177"/>
      <x:c r="AH183" s="178"/>
      <x:c r="AI183" s="122"/>
      <x:c r="AJ183" s="177"/>
      <x:c r="AK183" s="122"/>
      <x:c r="AL183" s="177"/>
      <x:c r="AM183" s="178"/>
      <x:c r="AN183" s="122"/>
      <x:c r="AO183" s="177"/>
      <x:c r="AP183" s="122"/>
    </x:row>
    <x:row r="184" ht="19.5" hidden="1" customHeight="1">
      <x:c r="A184" s="169"/>
      <x:c r="B184" s="170"/>
      <x:c r="C184" s="200"/>
      <x:c r="D184" s="200"/>
      <x:c r="E184" s="200"/>
      <x:c r="F184" s="201"/>
      <x:c r="G184" s="255"/>
      <x:c r="H184" s="255"/>
      <x:c r="I184" s="174"/>
      <x:c r="J184" s="122"/>
      <x:c r="K184" s="177"/>
      <x:c r="L184" s="122"/>
      <x:c r="M184" s="177"/>
      <x:c r="N184" s="178"/>
      <x:c r="O184" s="122"/>
      <x:c r="P184" s="177"/>
      <x:c r="Q184" s="122"/>
      <x:c r="R184" s="177"/>
      <x:c r="S184" s="178"/>
      <x:c r="T184" s="122"/>
      <x:c r="U184" s="177"/>
      <x:c r="V184" s="122"/>
      <x:c r="W184" s="177"/>
      <x:c r="X184" s="178"/>
      <x:c r="Y184" s="122"/>
      <x:c r="Z184" s="177"/>
      <x:c r="AA184" s="122"/>
      <x:c r="AB184" s="177"/>
      <x:c r="AC184" s="178"/>
      <x:c r="AD184" s="122"/>
      <x:c r="AE184" s="177"/>
      <x:c r="AF184" s="122"/>
      <x:c r="AG184" s="177"/>
      <x:c r="AH184" s="178"/>
      <x:c r="AI184" s="122"/>
      <x:c r="AJ184" s="177"/>
      <x:c r="AK184" s="122"/>
      <x:c r="AL184" s="177"/>
      <x:c r="AM184" s="178"/>
      <x:c r="AN184" s="122"/>
      <x:c r="AO184" s="177"/>
      <x:c r="AP184" s="122"/>
    </x:row>
    <x:row r="185" ht="19.5" hidden="1" customHeight="1">
      <x:c r="A185" s="160"/>
      <x:c r="B185" s="179"/>
      <x:c r="C185" s="200"/>
      <x:c r="D185" s="200"/>
      <x:c r="E185" s="200"/>
      <x:c r="F185" s="201"/>
      <x:c r="G185" s="255"/>
      <x:c r="H185" s="255"/>
      <x:c r="I185" s="174"/>
      <x:c r="J185" s="122"/>
      <x:c r="K185" s="177"/>
      <x:c r="L185" s="122"/>
      <x:c r="M185" s="177"/>
      <x:c r="N185" s="178"/>
      <x:c r="O185" s="122"/>
      <x:c r="P185" s="177"/>
      <x:c r="Q185" s="122"/>
      <x:c r="R185" s="177"/>
      <x:c r="S185" s="178"/>
      <x:c r="T185" s="122"/>
      <x:c r="U185" s="177"/>
      <x:c r="V185" s="122"/>
      <x:c r="W185" s="177"/>
      <x:c r="X185" s="178"/>
      <x:c r="Y185" s="122"/>
      <x:c r="Z185" s="177"/>
      <x:c r="AA185" s="122"/>
      <x:c r="AB185" s="177"/>
      <x:c r="AC185" s="178"/>
      <x:c r="AD185" s="122"/>
      <x:c r="AE185" s="177"/>
      <x:c r="AF185" s="122"/>
      <x:c r="AG185" s="177"/>
      <x:c r="AH185" s="178"/>
      <x:c r="AI185" s="122"/>
      <x:c r="AJ185" s="177"/>
      <x:c r="AK185" s="122"/>
      <x:c r="AL185" s="177"/>
      <x:c r="AM185" s="178"/>
      <x:c r="AN185" s="122"/>
      <x:c r="AO185" s="177"/>
      <x:c r="AP185" s="122"/>
    </x:row>
    <x:row r="186" ht="19.5" hidden="1" customHeight="1">
      <x:c r="A186" s="169"/>
      <x:c r="B186" s="170"/>
      <x:c r="C186" s="200"/>
      <x:c r="D186" s="200"/>
      <x:c r="E186" s="200"/>
      <x:c r="F186" s="201"/>
      <x:c r="G186" s="255"/>
      <x:c r="H186" s="255"/>
      <x:c r="I186" s="174"/>
      <x:c r="J186" s="122"/>
      <x:c r="K186" s="177"/>
      <x:c r="L186" s="122"/>
      <x:c r="M186" s="177"/>
      <x:c r="N186" s="178"/>
      <x:c r="O186" s="122"/>
      <x:c r="P186" s="177"/>
      <x:c r="Q186" s="122"/>
      <x:c r="R186" s="177"/>
      <x:c r="S186" s="178"/>
      <x:c r="T186" s="122"/>
      <x:c r="U186" s="177"/>
      <x:c r="V186" s="122"/>
      <x:c r="W186" s="177"/>
      <x:c r="X186" s="178"/>
      <x:c r="Y186" s="122"/>
      <x:c r="Z186" s="177"/>
      <x:c r="AA186" s="122"/>
      <x:c r="AB186" s="177"/>
      <x:c r="AC186" s="178"/>
      <x:c r="AD186" s="122"/>
      <x:c r="AE186" s="177"/>
      <x:c r="AF186" s="122"/>
      <x:c r="AG186" s="177"/>
      <x:c r="AH186" s="178"/>
      <x:c r="AI186" s="122"/>
      <x:c r="AJ186" s="177"/>
      <x:c r="AK186" s="122"/>
      <x:c r="AL186" s="177"/>
      <x:c r="AM186" s="178"/>
      <x:c r="AN186" s="122"/>
      <x:c r="AO186" s="177"/>
      <x:c r="AP186" s="122"/>
    </x:row>
    <x:row r="187" ht="19.5" hidden="1" customHeight="1">
      <x:c r="A187" s="160"/>
      <x:c r="B187" s="179"/>
      <x:c r="C187" s="200"/>
      <x:c r="D187" s="200"/>
      <x:c r="E187" s="200"/>
      <x:c r="F187" s="201"/>
      <x:c r="G187" s="255"/>
      <x:c r="H187" s="255"/>
      <x:c r="I187" s="174"/>
      <x:c r="J187" s="122"/>
      <x:c r="K187" s="177"/>
      <x:c r="L187" s="122"/>
      <x:c r="M187" s="177"/>
      <x:c r="N187" s="178"/>
      <x:c r="O187" s="122"/>
      <x:c r="P187" s="177"/>
      <x:c r="Q187" s="122"/>
      <x:c r="R187" s="177"/>
      <x:c r="S187" s="178"/>
      <x:c r="T187" s="122"/>
      <x:c r="U187" s="177"/>
      <x:c r="V187" s="122"/>
      <x:c r="W187" s="177"/>
      <x:c r="X187" s="178"/>
      <x:c r="Y187" s="122"/>
      <x:c r="Z187" s="177"/>
      <x:c r="AA187" s="122"/>
      <x:c r="AB187" s="177"/>
      <x:c r="AC187" s="178"/>
      <x:c r="AD187" s="122"/>
      <x:c r="AE187" s="177"/>
      <x:c r="AF187" s="122"/>
      <x:c r="AG187" s="177"/>
      <x:c r="AH187" s="178"/>
      <x:c r="AI187" s="122"/>
      <x:c r="AJ187" s="177"/>
      <x:c r="AK187" s="122"/>
      <x:c r="AL187" s="177"/>
      <x:c r="AM187" s="178"/>
      <x:c r="AN187" s="122"/>
      <x:c r="AO187" s="177"/>
      <x:c r="AP187" s="122"/>
    </x:row>
    <x:row r="188" ht="19.5" hidden="1" customHeight="1">
      <x:c r="A188" s="169"/>
      <x:c r="B188" s="170"/>
      <x:c r="C188" s="200"/>
      <x:c r="D188" s="200"/>
      <x:c r="E188" s="200"/>
      <x:c r="F188" s="201"/>
      <x:c r="G188" s="255"/>
      <x:c r="H188" s="255"/>
      <x:c r="I188" s="174"/>
      <x:c r="J188" s="122"/>
      <x:c r="K188" s="177"/>
      <x:c r="L188" s="122"/>
      <x:c r="M188" s="177"/>
      <x:c r="N188" s="178"/>
      <x:c r="O188" s="122"/>
      <x:c r="P188" s="177"/>
      <x:c r="Q188" s="122"/>
      <x:c r="R188" s="177"/>
      <x:c r="S188" s="178"/>
      <x:c r="T188" s="122"/>
      <x:c r="U188" s="177"/>
      <x:c r="V188" s="122"/>
      <x:c r="W188" s="177"/>
      <x:c r="X188" s="178"/>
      <x:c r="Y188" s="122"/>
      <x:c r="Z188" s="177"/>
      <x:c r="AA188" s="122"/>
      <x:c r="AB188" s="177"/>
      <x:c r="AC188" s="178"/>
      <x:c r="AD188" s="122"/>
      <x:c r="AE188" s="177"/>
      <x:c r="AF188" s="122"/>
      <x:c r="AG188" s="177"/>
      <x:c r="AH188" s="178"/>
      <x:c r="AI188" s="122"/>
      <x:c r="AJ188" s="177"/>
      <x:c r="AK188" s="122"/>
      <x:c r="AL188" s="177"/>
      <x:c r="AM188" s="178"/>
      <x:c r="AN188" s="122"/>
      <x:c r="AO188" s="177"/>
      <x:c r="AP188" s="122"/>
    </x:row>
    <x:row r="189" ht="19.5" hidden="1" customHeight="1">
      <x:c r="A189" s="160"/>
      <x:c r="B189" s="179"/>
      <x:c r="C189" s="200"/>
      <x:c r="D189" s="200"/>
      <x:c r="E189" s="200"/>
      <x:c r="F189" s="201"/>
      <x:c r="G189" s="255"/>
      <x:c r="H189" s="255"/>
      <x:c r="I189" s="174"/>
      <x:c r="J189" s="122"/>
      <x:c r="K189" s="177"/>
      <x:c r="L189" s="122"/>
      <x:c r="M189" s="177"/>
      <x:c r="N189" s="178"/>
      <x:c r="O189" s="122"/>
      <x:c r="P189" s="177"/>
      <x:c r="Q189" s="122"/>
      <x:c r="R189" s="177"/>
      <x:c r="S189" s="178"/>
      <x:c r="T189" s="122"/>
      <x:c r="U189" s="177"/>
      <x:c r="V189" s="122"/>
      <x:c r="W189" s="177"/>
      <x:c r="X189" s="178"/>
      <x:c r="Y189" s="122"/>
      <x:c r="Z189" s="177"/>
      <x:c r="AA189" s="122"/>
      <x:c r="AB189" s="177"/>
      <x:c r="AC189" s="178"/>
      <x:c r="AD189" s="122"/>
      <x:c r="AE189" s="177"/>
      <x:c r="AF189" s="122"/>
      <x:c r="AG189" s="177"/>
      <x:c r="AH189" s="178"/>
      <x:c r="AI189" s="122"/>
      <x:c r="AJ189" s="177"/>
      <x:c r="AK189" s="122"/>
      <x:c r="AL189" s="177"/>
      <x:c r="AM189" s="178"/>
      <x:c r="AN189" s="122"/>
      <x:c r="AO189" s="177"/>
      <x:c r="AP189" s="122"/>
    </x:row>
    <x:row r="190" ht="19.5" hidden="1" customHeight="1">
      <x:c r="A190" s="169"/>
      <x:c r="B190" s="170"/>
      <x:c r="C190" s="200"/>
      <x:c r="D190" s="200"/>
      <x:c r="E190" s="200"/>
      <x:c r="F190" s="201"/>
      <x:c r="G190" s="255"/>
      <x:c r="H190" s="255"/>
      <x:c r="I190" s="174"/>
      <x:c r="J190" s="122"/>
      <x:c r="K190" s="177"/>
      <x:c r="L190" s="122"/>
      <x:c r="M190" s="177"/>
      <x:c r="N190" s="178"/>
      <x:c r="O190" s="122"/>
      <x:c r="P190" s="177"/>
      <x:c r="Q190" s="122"/>
      <x:c r="R190" s="177"/>
      <x:c r="S190" s="178"/>
      <x:c r="T190" s="122"/>
      <x:c r="U190" s="177"/>
      <x:c r="V190" s="122"/>
      <x:c r="W190" s="177"/>
      <x:c r="X190" s="178"/>
      <x:c r="Y190" s="122"/>
      <x:c r="Z190" s="177"/>
      <x:c r="AA190" s="122"/>
      <x:c r="AB190" s="177"/>
      <x:c r="AC190" s="178"/>
      <x:c r="AD190" s="122"/>
      <x:c r="AE190" s="177"/>
      <x:c r="AF190" s="122"/>
      <x:c r="AG190" s="177"/>
      <x:c r="AH190" s="178"/>
      <x:c r="AI190" s="122"/>
      <x:c r="AJ190" s="177"/>
      <x:c r="AK190" s="122"/>
      <x:c r="AL190" s="177"/>
      <x:c r="AM190" s="178"/>
      <x:c r="AN190" s="122"/>
      <x:c r="AO190" s="177"/>
      <x:c r="AP190" s="122"/>
    </x:row>
    <x:row r="191" ht="19.5" hidden="1" customHeight="1">
      <x:c r="A191" s="160"/>
      <x:c r="B191" s="179"/>
      <x:c r="C191" s="200"/>
      <x:c r="D191" s="200"/>
      <x:c r="E191" s="200"/>
      <x:c r="F191" s="201"/>
      <x:c r="G191" s="255"/>
      <x:c r="H191" s="255"/>
      <x:c r="I191" s="174"/>
      <x:c r="J191" s="122"/>
      <x:c r="K191" s="177"/>
      <x:c r="L191" s="122"/>
      <x:c r="M191" s="177"/>
      <x:c r="N191" s="178"/>
      <x:c r="O191" s="122"/>
      <x:c r="P191" s="177"/>
      <x:c r="Q191" s="122"/>
      <x:c r="R191" s="177"/>
      <x:c r="S191" s="178"/>
      <x:c r="T191" s="122"/>
      <x:c r="U191" s="177"/>
      <x:c r="V191" s="122"/>
      <x:c r="W191" s="177"/>
      <x:c r="X191" s="178"/>
      <x:c r="Y191" s="122"/>
      <x:c r="Z191" s="177"/>
      <x:c r="AA191" s="122"/>
      <x:c r="AB191" s="177"/>
      <x:c r="AC191" s="178"/>
      <x:c r="AD191" s="122"/>
      <x:c r="AE191" s="177"/>
      <x:c r="AF191" s="122"/>
      <x:c r="AG191" s="177"/>
      <x:c r="AH191" s="178"/>
      <x:c r="AI191" s="122"/>
      <x:c r="AJ191" s="177"/>
      <x:c r="AK191" s="122"/>
      <x:c r="AL191" s="177"/>
      <x:c r="AM191" s="178"/>
      <x:c r="AN191" s="122"/>
      <x:c r="AO191" s="177"/>
      <x:c r="AP191" s="122"/>
    </x:row>
    <x:row r="192" ht="19.5" hidden="1" customHeight="1">
      <x:c r="A192" s="169"/>
      <x:c r="B192" s="170"/>
      <x:c r="C192" s="200"/>
      <x:c r="D192" s="200"/>
      <x:c r="E192" s="200"/>
      <x:c r="F192" s="201"/>
      <x:c r="G192" s="255"/>
      <x:c r="H192" s="255"/>
      <x:c r="I192" s="174"/>
      <x:c r="J192" s="122"/>
      <x:c r="K192" s="177"/>
      <x:c r="L192" s="122"/>
      <x:c r="M192" s="177"/>
      <x:c r="N192" s="178"/>
      <x:c r="O192" s="122"/>
      <x:c r="P192" s="177"/>
      <x:c r="Q192" s="122"/>
      <x:c r="R192" s="177"/>
      <x:c r="S192" s="178"/>
      <x:c r="T192" s="122"/>
      <x:c r="U192" s="177"/>
      <x:c r="V192" s="122"/>
      <x:c r="W192" s="177"/>
      <x:c r="X192" s="178"/>
      <x:c r="Y192" s="122"/>
      <x:c r="Z192" s="177"/>
      <x:c r="AA192" s="122"/>
      <x:c r="AB192" s="177"/>
      <x:c r="AC192" s="178"/>
      <x:c r="AD192" s="122"/>
      <x:c r="AE192" s="177"/>
      <x:c r="AF192" s="122"/>
      <x:c r="AG192" s="177"/>
      <x:c r="AH192" s="178"/>
      <x:c r="AI192" s="122"/>
      <x:c r="AJ192" s="177"/>
      <x:c r="AK192" s="122"/>
      <x:c r="AL192" s="177"/>
      <x:c r="AM192" s="178"/>
      <x:c r="AN192" s="122"/>
      <x:c r="AO192" s="177"/>
      <x:c r="AP192" s="122"/>
    </x:row>
    <x:row r="193" ht="19.5" hidden="1" customHeight="1">
      <x:c r="A193" s="160"/>
      <x:c r="B193" s="179"/>
      <x:c r="C193" s="200"/>
      <x:c r="D193" s="200"/>
      <x:c r="E193" s="200"/>
      <x:c r="F193" s="201"/>
      <x:c r="G193" s="255"/>
      <x:c r="H193" s="255"/>
      <x:c r="I193" s="174"/>
      <x:c r="J193" s="122"/>
      <x:c r="K193" s="177"/>
      <x:c r="L193" s="122"/>
      <x:c r="M193" s="177"/>
      <x:c r="N193" s="178"/>
      <x:c r="O193" s="122"/>
      <x:c r="P193" s="177"/>
      <x:c r="Q193" s="122"/>
      <x:c r="R193" s="177"/>
      <x:c r="S193" s="178"/>
      <x:c r="T193" s="122"/>
      <x:c r="U193" s="177"/>
      <x:c r="V193" s="122"/>
      <x:c r="W193" s="177"/>
      <x:c r="X193" s="178"/>
      <x:c r="Y193" s="122"/>
      <x:c r="Z193" s="177"/>
      <x:c r="AA193" s="122"/>
      <x:c r="AB193" s="177"/>
      <x:c r="AC193" s="178"/>
      <x:c r="AD193" s="122"/>
      <x:c r="AE193" s="177"/>
      <x:c r="AF193" s="122"/>
      <x:c r="AG193" s="177"/>
      <x:c r="AH193" s="178"/>
      <x:c r="AI193" s="122"/>
      <x:c r="AJ193" s="177"/>
      <x:c r="AK193" s="122"/>
      <x:c r="AL193" s="177"/>
      <x:c r="AM193" s="178"/>
      <x:c r="AN193" s="122"/>
      <x:c r="AO193" s="177"/>
      <x:c r="AP193" s="122"/>
    </x:row>
    <x:row r="194" ht="19.5" hidden="1" customHeight="1">
      <x:c r="A194" s="169"/>
      <x:c r="B194" s="170"/>
      <x:c r="C194" s="200"/>
      <x:c r="D194" s="200"/>
      <x:c r="E194" s="200"/>
      <x:c r="F194" s="201"/>
      <x:c r="G194" s="255"/>
      <x:c r="H194" s="255"/>
      <x:c r="I194" s="174"/>
      <x:c r="J194" s="122"/>
      <x:c r="K194" s="177"/>
      <x:c r="L194" s="122"/>
      <x:c r="M194" s="177"/>
      <x:c r="N194" s="178"/>
      <x:c r="O194" s="122"/>
      <x:c r="P194" s="177"/>
      <x:c r="Q194" s="122"/>
      <x:c r="R194" s="177"/>
      <x:c r="S194" s="178"/>
      <x:c r="T194" s="122"/>
      <x:c r="U194" s="177"/>
      <x:c r="V194" s="122"/>
      <x:c r="W194" s="177"/>
      <x:c r="X194" s="178"/>
      <x:c r="Y194" s="122"/>
      <x:c r="Z194" s="177"/>
      <x:c r="AA194" s="122"/>
      <x:c r="AB194" s="177"/>
      <x:c r="AC194" s="178"/>
      <x:c r="AD194" s="122"/>
      <x:c r="AE194" s="177"/>
      <x:c r="AF194" s="122"/>
      <x:c r="AG194" s="177"/>
      <x:c r="AH194" s="178"/>
      <x:c r="AI194" s="122"/>
      <x:c r="AJ194" s="177"/>
      <x:c r="AK194" s="122"/>
      <x:c r="AL194" s="177"/>
      <x:c r="AM194" s="178"/>
      <x:c r="AN194" s="122"/>
      <x:c r="AO194" s="177"/>
      <x:c r="AP194" s="122"/>
    </x:row>
    <x:row r="195" ht="19.5" hidden="1" customHeight="1">
      <x:c r="A195" s="160"/>
      <x:c r="B195" s="179"/>
      <x:c r="C195" s="200"/>
      <x:c r="D195" s="200"/>
      <x:c r="E195" s="200"/>
      <x:c r="F195" s="201"/>
      <x:c r="G195" s="255"/>
      <x:c r="H195" s="255"/>
      <x:c r="I195" s="174"/>
      <x:c r="J195" s="122"/>
      <x:c r="K195" s="177"/>
      <x:c r="L195" s="122"/>
      <x:c r="M195" s="177"/>
      <x:c r="N195" s="178"/>
      <x:c r="O195" s="122"/>
      <x:c r="P195" s="177"/>
      <x:c r="Q195" s="122"/>
      <x:c r="R195" s="177"/>
      <x:c r="S195" s="178"/>
      <x:c r="T195" s="122"/>
      <x:c r="U195" s="177"/>
      <x:c r="V195" s="122"/>
      <x:c r="W195" s="177"/>
      <x:c r="X195" s="178"/>
      <x:c r="Y195" s="122"/>
      <x:c r="Z195" s="177"/>
      <x:c r="AA195" s="122"/>
      <x:c r="AB195" s="177"/>
      <x:c r="AC195" s="178"/>
      <x:c r="AD195" s="122"/>
      <x:c r="AE195" s="177"/>
      <x:c r="AF195" s="122"/>
      <x:c r="AG195" s="177"/>
      <x:c r="AH195" s="178"/>
      <x:c r="AI195" s="122"/>
      <x:c r="AJ195" s="177"/>
      <x:c r="AK195" s="122"/>
      <x:c r="AL195" s="177"/>
      <x:c r="AM195" s="178"/>
      <x:c r="AN195" s="122"/>
      <x:c r="AO195" s="177"/>
      <x:c r="AP195" s="122"/>
    </x:row>
    <x:row r="196" ht="19.5" hidden="1" customHeight="1">
      <x:c r="A196" s="169"/>
      <x:c r="B196" s="170"/>
      <x:c r="C196" s="200"/>
      <x:c r="D196" s="200"/>
      <x:c r="E196" s="200"/>
      <x:c r="F196" s="201"/>
      <x:c r="G196" s="255"/>
      <x:c r="H196" s="255"/>
      <x:c r="I196" s="174"/>
      <x:c r="J196" s="122"/>
      <x:c r="K196" s="177"/>
      <x:c r="L196" s="122"/>
      <x:c r="M196" s="177"/>
      <x:c r="N196" s="178"/>
      <x:c r="O196" s="122"/>
      <x:c r="P196" s="177"/>
      <x:c r="Q196" s="122"/>
      <x:c r="R196" s="177"/>
      <x:c r="S196" s="178"/>
      <x:c r="T196" s="122"/>
      <x:c r="U196" s="177"/>
      <x:c r="V196" s="122"/>
      <x:c r="W196" s="177"/>
      <x:c r="X196" s="178"/>
      <x:c r="Y196" s="122"/>
      <x:c r="Z196" s="177"/>
      <x:c r="AA196" s="122"/>
      <x:c r="AB196" s="177"/>
      <x:c r="AC196" s="178"/>
      <x:c r="AD196" s="122"/>
      <x:c r="AE196" s="177"/>
      <x:c r="AF196" s="122"/>
      <x:c r="AG196" s="177"/>
      <x:c r="AH196" s="178"/>
      <x:c r="AI196" s="122"/>
      <x:c r="AJ196" s="177"/>
      <x:c r="AK196" s="122"/>
      <x:c r="AL196" s="177"/>
      <x:c r="AM196" s="178"/>
      <x:c r="AN196" s="122"/>
      <x:c r="AO196" s="177"/>
      <x:c r="AP196" s="122"/>
    </x:row>
    <x:row r="197" ht="19.5" hidden="1" customHeight="1">
      <x:c r="A197" s="160"/>
      <x:c r="B197" s="179"/>
      <x:c r="C197" s="200"/>
      <x:c r="D197" s="200"/>
      <x:c r="E197" s="200"/>
      <x:c r="F197" s="201"/>
      <x:c r="G197" s="255"/>
      <x:c r="H197" s="255"/>
      <x:c r="I197" s="174"/>
      <x:c r="J197" s="122"/>
      <x:c r="K197" s="177"/>
      <x:c r="L197" s="122"/>
      <x:c r="M197" s="177"/>
      <x:c r="N197" s="178"/>
      <x:c r="O197" s="122"/>
      <x:c r="P197" s="177"/>
      <x:c r="Q197" s="122"/>
      <x:c r="R197" s="177"/>
      <x:c r="S197" s="178"/>
      <x:c r="T197" s="122"/>
      <x:c r="U197" s="177"/>
      <x:c r="V197" s="122"/>
      <x:c r="W197" s="177"/>
      <x:c r="X197" s="178"/>
      <x:c r="Y197" s="122"/>
      <x:c r="Z197" s="177"/>
      <x:c r="AA197" s="122"/>
      <x:c r="AB197" s="177"/>
      <x:c r="AC197" s="178"/>
      <x:c r="AD197" s="122"/>
      <x:c r="AE197" s="177"/>
      <x:c r="AF197" s="122"/>
      <x:c r="AG197" s="177"/>
      <x:c r="AH197" s="178"/>
      <x:c r="AI197" s="122"/>
      <x:c r="AJ197" s="177"/>
      <x:c r="AK197" s="122"/>
      <x:c r="AL197" s="177"/>
      <x:c r="AM197" s="178"/>
      <x:c r="AN197" s="122"/>
      <x:c r="AO197" s="177"/>
      <x:c r="AP197" s="122"/>
    </x:row>
    <x:row r="198" ht="19.5" hidden="1" customHeight="1">
      <x:c r="A198" s="169"/>
      <x:c r="B198" s="170"/>
      <x:c r="C198" s="200"/>
      <x:c r="D198" s="200"/>
      <x:c r="E198" s="200"/>
      <x:c r="F198" s="201"/>
      <x:c r="G198" s="255"/>
      <x:c r="H198" s="255"/>
      <x:c r="I198" s="174"/>
      <x:c r="J198" s="122"/>
      <x:c r="K198" s="177"/>
      <x:c r="L198" s="122"/>
      <x:c r="M198" s="177"/>
      <x:c r="N198" s="178"/>
      <x:c r="O198" s="122"/>
      <x:c r="P198" s="177"/>
      <x:c r="Q198" s="122"/>
      <x:c r="R198" s="177"/>
      <x:c r="S198" s="178"/>
      <x:c r="T198" s="122"/>
      <x:c r="U198" s="177"/>
      <x:c r="V198" s="122"/>
      <x:c r="W198" s="177"/>
      <x:c r="X198" s="178"/>
      <x:c r="Y198" s="122"/>
      <x:c r="Z198" s="177"/>
      <x:c r="AA198" s="122"/>
      <x:c r="AB198" s="177"/>
      <x:c r="AC198" s="178"/>
      <x:c r="AD198" s="122"/>
      <x:c r="AE198" s="177"/>
      <x:c r="AF198" s="122"/>
      <x:c r="AG198" s="177"/>
      <x:c r="AH198" s="178"/>
      <x:c r="AI198" s="122"/>
      <x:c r="AJ198" s="177"/>
      <x:c r="AK198" s="122"/>
      <x:c r="AL198" s="177"/>
      <x:c r="AM198" s="178"/>
      <x:c r="AN198" s="122"/>
      <x:c r="AO198" s="177"/>
      <x:c r="AP198" s="122"/>
    </x:row>
    <x:row r="199" ht="19.5" hidden="1" customHeight="1">
      <x:c r="A199" s="160"/>
      <x:c r="B199" s="179"/>
      <x:c r="C199" s="200"/>
      <x:c r="D199" s="200"/>
      <x:c r="E199" s="200"/>
      <x:c r="F199" s="201"/>
      <x:c r="G199" s="255"/>
      <x:c r="H199" s="255"/>
      <x:c r="I199" s="174"/>
      <x:c r="J199" s="122"/>
      <x:c r="K199" s="177"/>
      <x:c r="L199" s="122"/>
      <x:c r="M199" s="177"/>
      <x:c r="N199" s="178"/>
      <x:c r="O199" s="122"/>
      <x:c r="P199" s="177"/>
      <x:c r="Q199" s="122"/>
      <x:c r="R199" s="177"/>
      <x:c r="S199" s="178"/>
      <x:c r="T199" s="122"/>
      <x:c r="U199" s="177"/>
      <x:c r="V199" s="122"/>
      <x:c r="W199" s="177"/>
      <x:c r="X199" s="178"/>
      <x:c r="Y199" s="122"/>
      <x:c r="Z199" s="177"/>
      <x:c r="AA199" s="122"/>
      <x:c r="AB199" s="177"/>
      <x:c r="AC199" s="178"/>
      <x:c r="AD199" s="122"/>
      <x:c r="AE199" s="177"/>
      <x:c r="AF199" s="122"/>
      <x:c r="AG199" s="177"/>
      <x:c r="AH199" s="178"/>
      <x:c r="AI199" s="122"/>
      <x:c r="AJ199" s="177"/>
      <x:c r="AK199" s="122"/>
      <x:c r="AL199" s="177"/>
      <x:c r="AM199" s="178"/>
      <x:c r="AN199" s="122"/>
      <x:c r="AO199" s="177"/>
      <x:c r="AP199" s="122"/>
    </x:row>
    <x:row r="200" ht="19.5" hidden="1" customHeight="1">
      <x:c r="A200" s="169"/>
      <x:c r="B200" s="170"/>
      <x:c r="C200" s="200"/>
      <x:c r="D200" s="200"/>
      <x:c r="E200" s="200"/>
      <x:c r="F200" s="201"/>
      <x:c r="G200" s="255"/>
      <x:c r="H200" s="255"/>
      <x:c r="I200" s="174"/>
      <x:c r="J200" s="122"/>
      <x:c r="K200" s="177"/>
      <x:c r="L200" s="122"/>
      <x:c r="M200" s="177"/>
      <x:c r="N200" s="178"/>
      <x:c r="O200" s="122"/>
      <x:c r="P200" s="177"/>
      <x:c r="Q200" s="122"/>
      <x:c r="R200" s="177"/>
      <x:c r="S200" s="178"/>
      <x:c r="T200" s="122"/>
      <x:c r="U200" s="177"/>
      <x:c r="V200" s="122"/>
      <x:c r="W200" s="177"/>
      <x:c r="X200" s="178"/>
      <x:c r="Y200" s="122"/>
      <x:c r="Z200" s="177"/>
      <x:c r="AA200" s="122"/>
      <x:c r="AB200" s="177"/>
      <x:c r="AC200" s="178"/>
      <x:c r="AD200" s="122"/>
      <x:c r="AE200" s="177"/>
      <x:c r="AF200" s="122"/>
      <x:c r="AG200" s="177"/>
      <x:c r="AH200" s="178"/>
      <x:c r="AI200" s="122"/>
      <x:c r="AJ200" s="177"/>
      <x:c r="AK200" s="122"/>
      <x:c r="AL200" s="177"/>
      <x:c r="AM200" s="178"/>
      <x:c r="AN200" s="122"/>
      <x:c r="AO200" s="177"/>
      <x:c r="AP200" s="122"/>
    </x:row>
    <x:row r="201" ht="19.5" hidden="1" customHeight="1">
      <x:c r="A201" s="160"/>
      <x:c r="B201" s="179"/>
      <x:c r="C201" s="200"/>
      <x:c r="D201" s="200"/>
      <x:c r="E201" s="200"/>
      <x:c r="F201" s="201"/>
      <x:c r="G201" s="255"/>
      <x:c r="H201" s="255"/>
      <x:c r="I201" s="174"/>
      <x:c r="J201" s="122"/>
      <x:c r="K201" s="177"/>
      <x:c r="L201" s="122"/>
      <x:c r="M201" s="177"/>
      <x:c r="N201" s="178"/>
      <x:c r="O201" s="122"/>
      <x:c r="P201" s="177"/>
      <x:c r="Q201" s="122"/>
      <x:c r="R201" s="177"/>
      <x:c r="S201" s="178"/>
      <x:c r="T201" s="122"/>
      <x:c r="U201" s="177"/>
      <x:c r="V201" s="122"/>
      <x:c r="W201" s="177"/>
      <x:c r="X201" s="178"/>
      <x:c r="Y201" s="122"/>
      <x:c r="Z201" s="177"/>
      <x:c r="AA201" s="122"/>
      <x:c r="AB201" s="177"/>
      <x:c r="AC201" s="178"/>
      <x:c r="AD201" s="122"/>
      <x:c r="AE201" s="177"/>
      <x:c r="AF201" s="122"/>
      <x:c r="AG201" s="177"/>
      <x:c r="AH201" s="178"/>
      <x:c r="AI201" s="122"/>
      <x:c r="AJ201" s="177"/>
      <x:c r="AK201" s="122"/>
      <x:c r="AL201" s="177"/>
      <x:c r="AM201" s="178"/>
      <x:c r="AN201" s="122"/>
      <x:c r="AO201" s="177"/>
      <x:c r="AP201" s="122"/>
    </x:row>
    <x:row r="202" ht="19.5" hidden="1" customHeight="1">
      <x:c r="A202" s="169"/>
      <x:c r="B202" s="170"/>
      <x:c r="C202" s="200"/>
      <x:c r="D202" s="200"/>
      <x:c r="E202" s="200"/>
      <x:c r="F202" s="201"/>
      <x:c r="G202" s="255"/>
      <x:c r="H202" s="255"/>
      <x:c r="I202" s="174"/>
      <x:c r="J202" s="122"/>
      <x:c r="K202" s="177"/>
      <x:c r="L202" s="122"/>
      <x:c r="M202" s="177"/>
      <x:c r="N202" s="178"/>
      <x:c r="O202" s="122"/>
      <x:c r="P202" s="177"/>
      <x:c r="Q202" s="122"/>
      <x:c r="R202" s="177"/>
      <x:c r="S202" s="178"/>
      <x:c r="T202" s="122"/>
      <x:c r="U202" s="177"/>
      <x:c r="V202" s="122"/>
      <x:c r="W202" s="177"/>
      <x:c r="X202" s="178"/>
      <x:c r="Y202" s="122"/>
      <x:c r="Z202" s="177"/>
      <x:c r="AA202" s="122"/>
      <x:c r="AB202" s="177"/>
      <x:c r="AC202" s="178"/>
      <x:c r="AD202" s="122"/>
      <x:c r="AE202" s="177"/>
      <x:c r="AF202" s="122"/>
      <x:c r="AG202" s="177"/>
      <x:c r="AH202" s="178"/>
      <x:c r="AI202" s="122"/>
      <x:c r="AJ202" s="177"/>
      <x:c r="AK202" s="122"/>
      <x:c r="AL202" s="177"/>
      <x:c r="AM202" s="178"/>
      <x:c r="AN202" s="122"/>
      <x:c r="AO202" s="177"/>
      <x:c r="AP202" s="122"/>
    </x:row>
    <x:row r="203" ht="19.5" hidden="1" customHeight="1">
      <x:c r="A203" s="160"/>
      <x:c r="B203" s="179"/>
      <x:c r="C203" s="200"/>
      <x:c r="D203" s="200"/>
      <x:c r="E203" s="200"/>
      <x:c r="F203" s="201"/>
      <x:c r="G203" s="255"/>
      <x:c r="H203" s="255"/>
      <x:c r="I203" s="174"/>
      <x:c r="J203" s="122"/>
      <x:c r="K203" s="177"/>
      <x:c r="L203" s="122"/>
      <x:c r="M203" s="177"/>
      <x:c r="N203" s="178"/>
      <x:c r="O203" s="122"/>
      <x:c r="P203" s="177"/>
      <x:c r="Q203" s="122"/>
      <x:c r="R203" s="177"/>
      <x:c r="S203" s="178"/>
      <x:c r="T203" s="122"/>
      <x:c r="U203" s="177"/>
      <x:c r="V203" s="122"/>
      <x:c r="W203" s="177"/>
      <x:c r="X203" s="178"/>
      <x:c r="Y203" s="122"/>
      <x:c r="Z203" s="177"/>
      <x:c r="AA203" s="122"/>
      <x:c r="AB203" s="177"/>
      <x:c r="AC203" s="178"/>
      <x:c r="AD203" s="122"/>
      <x:c r="AE203" s="177"/>
      <x:c r="AF203" s="122"/>
      <x:c r="AG203" s="177"/>
      <x:c r="AH203" s="178"/>
      <x:c r="AI203" s="122"/>
      <x:c r="AJ203" s="177"/>
      <x:c r="AK203" s="122"/>
      <x:c r="AL203" s="177"/>
      <x:c r="AM203" s="178"/>
      <x:c r="AN203" s="122"/>
      <x:c r="AO203" s="177"/>
      <x:c r="AP203" s="122"/>
    </x:row>
    <x:row r="204" ht="19.5" hidden="1" customHeight="1">
      <x:c r="A204" s="169"/>
      <x:c r="B204" s="170"/>
      <x:c r="C204" s="200"/>
      <x:c r="D204" s="200"/>
      <x:c r="E204" s="200"/>
      <x:c r="F204" s="201"/>
      <x:c r="G204" s="255"/>
      <x:c r="H204" s="255"/>
      <x:c r="I204" s="174"/>
      <x:c r="J204" s="122"/>
      <x:c r="K204" s="177"/>
      <x:c r="L204" s="122"/>
      <x:c r="M204" s="177"/>
      <x:c r="N204" s="178"/>
      <x:c r="O204" s="122"/>
      <x:c r="P204" s="177"/>
      <x:c r="Q204" s="122"/>
      <x:c r="R204" s="177"/>
      <x:c r="S204" s="178"/>
      <x:c r="T204" s="122"/>
      <x:c r="U204" s="177"/>
      <x:c r="V204" s="122"/>
      <x:c r="W204" s="177"/>
      <x:c r="X204" s="178"/>
      <x:c r="Y204" s="122"/>
      <x:c r="Z204" s="177"/>
      <x:c r="AA204" s="122"/>
      <x:c r="AB204" s="177"/>
      <x:c r="AC204" s="178"/>
      <x:c r="AD204" s="122"/>
      <x:c r="AE204" s="177"/>
      <x:c r="AF204" s="122"/>
      <x:c r="AG204" s="177"/>
      <x:c r="AH204" s="178"/>
      <x:c r="AI204" s="122"/>
      <x:c r="AJ204" s="177"/>
      <x:c r="AK204" s="122"/>
      <x:c r="AL204" s="177"/>
      <x:c r="AM204" s="178"/>
      <x:c r="AN204" s="122"/>
      <x:c r="AO204" s="177"/>
      <x:c r="AP204" s="122"/>
    </x:row>
    <x:row r="205" ht="19.5" hidden="1" customHeight="1">
      <x:c r="A205" s="160"/>
      <x:c r="B205" s="179"/>
      <x:c r="C205" s="200"/>
      <x:c r="D205" s="200"/>
      <x:c r="E205" s="200"/>
      <x:c r="F205" s="201"/>
      <x:c r="G205" s="255"/>
      <x:c r="H205" s="255"/>
      <x:c r="I205" s="174"/>
      <x:c r="J205" s="122"/>
      <x:c r="K205" s="177"/>
      <x:c r="L205" s="122"/>
      <x:c r="M205" s="177"/>
      <x:c r="N205" s="178"/>
      <x:c r="O205" s="122"/>
      <x:c r="P205" s="177"/>
      <x:c r="Q205" s="122"/>
      <x:c r="R205" s="177"/>
      <x:c r="S205" s="178"/>
      <x:c r="T205" s="122"/>
      <x:c r="U205" s="177"/>
      <x:c r="V205" s="122"/>
      <x:c r="W205" s="177"/>
      <x:c r="X205" s="178"/>
      <x:c r="Y205" s="122"/>
      <x:c r="Z205" s="177"/>
      <x:c r="AA205" s="122"/>
      <x:c r="AB205" s="177"/>
      <x:c r="AC205" s="178"/>
      <x:c r="AD205" s="122"/>
      <x:c r="AE205" s="177"/>
      <x:c r="AF205" s="122"/>
      <x:c r="AG205" s="177"/>
      <x:c r="AH205" s="178"/>
      <x:c r="AI205" s="122"/>
      <x:c r="AJ205" s="177"/>
      <x:c r="AK205" s="122"/>
      <x:c r="AL205" s="177"/>
      <x:c r="AM205" s="178"/>
      <x:c r="AN205" s="122"/>
      <x:c r="AO205" s="177"/>
      <x:c r="AP205" s="122"/>
    </x:row>
    <x:row r="206" ht="19.5" hidden="1" customHeight="1">
      <x:c r="A206" s="169"/>
      <x:c r="B206" s="170"/>
      <x:c r="C206" s="200"/>
      <x:c r="D206" s="200"/>
      <x:c r="E206" s="200"/>
      <x:c r="F206" s="201"/>
      <x:c r="G206" s="255"/>
      <x:c r="H206" s="255"/>
      <x:c r="I206" s="174"/>
      <x:c r="J206" s="122"/>
      <x:c r="K206" s="177"/>
      <x:c r="L206" s="122"/>
      <x:c r="M206" s="177"/>
      <x:c r="N206" s="178"/>
      <x:c r="O206" s="122"/>
      <x:c r="P206" s="177"/>
      <x:c r="Q206" s="122"/>
      <x:c r="R206" s="177"/>
      <x:c r="S206" s="178"/>
      <x:c r="T206" s="122"/>
      <x:c r="U206" s="177"/>
      <x:c r="V206" s="122"/>
      <x:c r="W206" s="177"/>
      <x:c r="X206" s="178"/>
      <x:c r="Y206" s="122"/>
      <x:c r="Z206" s="177"/>
      <x:c r="AA206" s="122"/>
      <x:c r="AB206" s="177"/>
      <x:c r="AC206" s="178"/>
      <x:c r="AD206" s="122"/>
      <x:c r="AE206" s="177"/>
      <x:c r="AF206" s="122"/>
      <x:c r="AG206" s="177"/>
      <x:c r="AH206" s="178"/>
      <x:c r="AI206" s="122"/>
      <x:c r="AJ206" s="177"/>
      <x:c r="AK206" s="122"/>
      <x:c r="AL206" s="177"/>
      <x:c r="AM206" s="178"/>
      <x:c r="AN206" s="122"/>
      <x:c r="AO206" s="177"/>
      <x:c r="AP206" s="122"/>
    </x:row>
    <x:row r="207" ht="19.5" hidden="1" customHeight="1">
      <x:c r="A207" s="160"/>
      <x:c r="B207" s="179"/>
      <x:c r="C207" s="200"/>
      <x:c r="D207" s="200"/>
      <x:c r="E207" s="200"/>
      <x:c r="F207" s="201"/>
      <x:c r="G207" s="255"/>
      <x:c r="H207" s="255"/>
      <x:c r="I207" s="174"/>
      <x:c r="J207" s="122"/>
      <x:c r="K207" s="177"/>
      <x:c r="L207" s="122"/>
      <x:c r="M207" s="177"/>
      <x:c r="N207" s="178"/>
      <x:c r="O207" s="122"/>
      <x:c r="P207" s="177"/>
      <x:c r="Q207" s="122"/>
      <x:c r="R207" s="177"/>
      <x:c r="S207" s="178"/>
      <x:c r="T207" s="122"/>
      <x:c r="U207" s="177"/>
      <x:c r="V207" s="122"/>
      <x:c r="W207" s="177"/>
      <x:c r="X207" s="178"/>
      <x:c r="Y207" s="122"/>
      <x:c r="Z207" s="177"/>
      <x:c r="AA207" s="122"/>
      <x:c r="AB207" s="177"/>
      <x:c r="AC207" s="178"/>
      <x:c r="AD207" s="122"/>
      <x:c r="AE207" s="177"/>
      <x:c r="AF207" s="122"/>
      <x:c r="AG207" s="177"/>
      <x:c r="AH207" s="178"/>
      <x:c r="AI207" s="122"/>
      <x:c r="AJ207" s="177"/>
      <x:c r="AK207" s="122"/>
      <x:c r="AL207" s="177"/>
      <x:c r="AM207" s="178"/>
      <x:c r="AN207" s="122"/>
      <x:c r="AO207" s="177"/>
      <x:c r="AP207" s="122"/>
    </x:row>
    <x:row r="208" ht="19.5" hidden="1" customHeight="1">
      <x:c r="A208" s="169"/>
      <x:c r="B208" s="170"/>
      <x:c r="C208" s="200"/>
      <x:c r="D208" s="200"/>
      <x:c r="E208" s="200"/>
      <x:c r="F208" s="201"/>
      <x:c r="G208" s="255"/>
      <x:c r="H208" s="255"/>
      <x:c r="I208" s="174"/>
      <x:c r="J208" s="122"/>
      <x:c r="K208" s="177"/>
      <x:c r="L208" s="122"/>
      <x:c r="M208" s="177"/>
      <x:c r="N208" s="178"/>
      <x:c r="O208" s="122"/>
      <x:c r="P208" s="177"/>
      <x:c r="Q208" s="122"/>
      <x:c r="R208" s="177"/>
      <x:c r="S208" s="178"/>
      <x:c r="T208" s="122"/>
      <x:c r="U208" s="177"/>
      <x:c r="V208" s="122"/>
      <x:c r="W208" s="177"/>
      <x:c r="X208" s="178"/>
      <x:c r="Y208" s="122"/>
      <x:c r="Z208" s="177"/>
      <x:c r="AA208" s="122"/>
      <x:c r="AB208" s="177"/>
      <x:c r="AC208" s="178"/>
      <x:c r="AD208" s="122"/>
      <x:c r="AE208" s="177"/>
      <x:c r="AF208" s="122"/>
      <x:c r="AG208" s="177"/>
      <x:c r="AH208" s="178"/>
      <x:c r="AI208" s="122"/>
      <x:c r="AJ208" s="177"/>
      <x:c r="AK208" s="122"/>
      <x:c r="AL208" s="177"/>
      <x:c r="AM208" s="178"/>
      <x:c r="AN208" s="122"/>
      <x:c r="AO208" s="177"/>
      <x:c r="AP208" s="122"/>
    </x:row>
    <x:row r="209" ht="19.5" hidden="1" customHeight="1">
      <x:c r="A209" s="160"/>
      <x:c r="B209" s="179"/>
      <x:c r="C209" s="200"/>
      <x:c r="D209" s="200"/>
      <x:c r="E209" s="200"/>
      <x:c r="F209" s="201"/>
      <x:c r="G209" s="255"/>
      <x:c r="H209" s="255"/>
      <x:c r="I209" s="174"/>
      <x:c r="J209" s="122"/>
      <x:c r="K209" s="177"/>
      <x:c r="L209" s="122"/>
      <x:c r="M209" s="177"/>
      <x:c r="N209" s="178"/>
      <x:c r="O209" s="122"/>
      <x:c r="P209" s="177"/>
      <x:c r="Q209" s="122"/>
      <x:c r="R209" s="177"/>
      <x:c r="S209" s="178"/>
      <x:c r="T209" s="122"/>
      <x:c r="U209" s="177"/>
      <x:c r="V209" s="122"/>
      <x:c r="W209" s="177"/>
      <x:c r="X209" s="178"/>
      <x:c r="Y209" s="122"/>
      <x:c r="Z209" s="177"/>
      <x:c r="AA209" s="122"/>
      <x:c r="AB209" s="177"/>
      <x:c r="AC209" s="178"/>
      <x:c r="AD209" s="122"/>
      <x:c r="AE209" s="177"/>
      <x:c r="AF209" s="122"/>
      <x:c r="AG209" s="177"/>
      <x:c r="AH209" s="178"/>
      <x:c r="AI209" s="122"/>
      <x:c r="AJ209" s="177"/>
      <x:c r="AK209" s="122"/>
      <x:c r="AL209" s="177"/>
      <x:c r="AM209" s="178"/>
      <x:c r="AN209" s="122"/>
      <x:c r="AO209" s="177"/>
      <x:c r="AP209" s="122"/>
    </x:row>
    <x:row r="210" ht="19.5" hidden="1" customHeight="1">
      <x:c r="A210" s="169"/>
      <x:c r="B210" s="170"/>
      <x:c r="C210" s="200"/>
      <x:c r="D210" s="200"/>
      <x:c r="E210" s="200"/>
      <x:c r="F210" s="201"/>
      <x:c r="G210" s="255"/>
      <x:c r="H210" s="255"/>
      <x:c r="I210" s="174"/>
      <x:c r="J210" s="122"/>
      <x:c r="K210" s="177"/>
      <x:c r="L210" s="122"/>
      <x:c r="M210" s="177"/>
      <x:c r="N210" s="178"/>
      <x:c r="O210" s="122"/>
      <x:c r="P210" s="177"/>
      <x:c r="Q210" s="122"/>
      <x:c r="R210" s="177"/>
      <x:c r="S210" s="178"/>
      <x:c r="T210" s="122"/>
      <x:c r="U210" s="177"/>
      <x:c r="V210" s="122"/>
      <x:c r="W210" s="177"/>
      <x:c r="X210" s="178"/>
      <x:c r="Y210" s="122"/>
      <x:c r="Z210" s="177"/>
      <x:c r="AA210" s="122"/>
      <x:c r="AB210" s="177"/>
      <x:c r="AC210" s="178"/>
      <x:c r="AD210" s="122"/>
      <x:c r="AE210" s="177"/>
      <x:c r="AF210" s="122"/>
      <x:c r="AG210" s="177"/>
      <x:c r="AH210" s="178"/>
      <x:c r="AI210" s="122"/>
      <x:c r="AJ210" s="177"/>
      <x:c r="AK210" s="122"/>
      <x:c r="AL210" s="177"/>
      <x:c r="AM210" s="178"/>
      <x:c r="AN210" s="122"/>
      <x:c r="AO210" s="177"/>
      <x:c r="AP210" s="122"/>
    </x:row>
    <x:row r="211" ht="19.5" hidden="1" customHeight="1">
      <x:c r="A211" s="160"/>
      <x:c r="B211" s="179"/>
      <x:c r="C211" s="200"/>
      <x:c r="D211" s="200"/>
      <x:c r="E211" s="200"/>
      <x:c r="F211" s="201"/>
      <x:c r="G211" s="255"/>
      <x:c r="H211" s="255"/>
      <x:c r="I211" s="174"/>
      <x:c r="J211" s="122"/>
      <x:c r="K211" s="177"/>
      <x:c r="L211" s="122"/>
      <x:c r="M211" s="177"/>
      <x:c r="N211" s="178"/>
      <x:c r="O211" s="122"/>
      <x:c r="P211" s="177"/>
      <x:c r="Q211" s="122"/>
      <x:c r="R211" s="177"/>
      <x:c r="S211" s="178"/>
      <x:c r="T211" s="122"/>
      <x:c r="U211" s="177"/>
      <x:c r="V211" s="122"/>
      <x:c r="W211" s="177"/>
      <x:c r="X211" s="178"/>
      <x:c r="Y211" s="122"/>
      <x:c r="Z211" s="177"/>
      <x:c r="AA211" s="122"/>
      <x:c r="AB211" s="177"/>
      <x:c r="AC211" s="178"/>
      <x:c r="AD211" s="122"/>
      <x:c r="AE211" s="177"/>
      <x:c r="AF211" s="122"/>
      <x:c r="AG211" s="177"/>
      <x:c r="AH211" s="178"/>
      <x:c r="AI211" s="122"/>
      <x:c r="AJ211" s="177"/>
      <x:c r="AK211" s="122"/>
      <x:c r="AL211" s="177"/>
      <x:c r="AM211" s="178"/>
      <x:c r="AN211" s="122"/>
      <x:c r="AO211" s="177"/>
      <x:c r="AP211" s="122"/>
    </x:row>
    <x:row r="212" ht="19.5" hidden="1" customHeight="1">
      <x:c r="A212" s="169"/>
      <x:c r="B212" s="170"/>
      <x:c r="C212" s="200"/>
      <x:c r="D212" s="200"/>
      <x:c r="E212" s="200"/>
      <x:c r="F212" s="201"/>
      <x:c r="G212" s="255"/>
      <x:c r="H212" s="255"/>
      <x:c r="I212" s="174"/>
      <x:c r="J212" s="122"/>
      <x:c r="K212" s="177"/>
      <x:c r="L212" s="122"/>
      <x:c r="M212" s="177"/>
      <x:c r="N212" s="178"/>
      <x:c r="O212" s="122"/>
      <x:c r="P212" s="177"/>
      <x:c r="Q212" s="122"/>
      <x:c r="R212" s="177"/>
      <x:c r="S212" s="178"/>
      <x:c r="T212" s="122"/>
      <x:c r="U212" s="177"/>
      <x:c r="V212" s="122"/>
      <x:c r="W212" s="177"/>
      <x:c r="X212" s="178"/>
      <x:c r="Y212" s="122"/>
      <x:c r="Z212" s="177"/>
      <x:c r="AA212" s="122"/>
      <x:c r="AB212" s="177"/>
      <x:c r="AC212" s="178"/>
      <x:c r="AD212" s="122"/>
      <x:c r="AE212" s="177"/>
      <x:c r="AF212" s="122"/>
      <x:c r="AG212" s="177"/>
      <x:c r="AH212" s="178"/>
      <x:c r="AI212" s="122"/>
      <x:c r="AJ212" s="177"/>
      <x:c r="AK212" s="122"/>
      <x:c r="AL212" s="177"/>
      <x:c r="AM212" s="178"/>
      <x:c r="AN212" s="122"/>
      <x:c r="AO212" s="177"/>
      <x:c r="AP212" s="122"/>
    </x:row>
    <x:row r="213" ht="19.5" hidden="1" customHeight="1">
      <x:c r="A213" s="160"/>
      <x:c r="B213" s="179"/>
      <x:c r="C213" s="200"/>
      <x:c r="D213" s="200"/>
      <x:c r="E213" s="200"/>
      <x:c r="F213" s="201"/>
      <x:c r="G213" s="255"/>
      <x:c r="H213" s="255"/>
      <x:c r="I213" s="174"/>
      <x:c r="J213" s="122"/>
      <x:c r="K213" s="177"/>
      <x:c r="L213" s="122"/>
      <x:c r="M213" s="177"/>
      <x:c r="N213" s="178"/>
      <x:c r="O213" s="122"/>
      <x:c r="P213" s="177"/>
      <x:c r="Q213" s="122"/>
      <x:c r="R213" s="177"/>
      <x:c r="S213" s="178"/>
      <x:c r="T213" s="122"/>
      <x:c r="U213" s="177"/>
      <x:c r="V213" s="122"/>
      <x:c r="W213" s="177"/>
      <x:c r="X213" s="178"/>
      <x:c r="Y213" s="122"/>
      <x:c r="Z213" s="177"/>
      <x:c r="AA213" s="122"/>
      <x:c r="AB213" s="177"/>
      <x:c r="AC213" s="178"/>
      <x:c r="AD213" s="122"/>
      <x:c r="AE213" s="177"/>
      <x:c r="AF213" s="122"/>
      <x:c r="AG213" s="177"/>
      <x:c r="AH213" s="178"/>
      <x:c r="AI213" s="122"/>
      <x:c r="AJ213" s="177"/>
      <x:c r="AK213" s="122"/>
      <x:c r="AL213" s="177"/>
      <x:c r="AM213" s="178"/>
      <x:c r="AN213" s="122"/>
      <x:c r="AO213" s="177"/>
      <x:c r="AP213" s="122"/>
    </x:row>
    <x:row r="214" ht="19.5" hidden="1" customHeight="1">
      <x:c r="A214" s="169"/>
      <x:c r="B214" s="170"/>
      <x:c r="C214" s="200"/>
      <x:c r="D214" s="200"/>
      <x:c r="E214" s="200"/>
      <x:c r="F214" s="201"/>
      <x:c r="G214" s="255"/>
      <x:c r="H214" s="255"/>
      <x:c r="I214" s="174"/>
      <x:c r="J214" s="122"/>
      <x:c r="K214" s="177"/>
      <x:c r="L214" s="122"/>
      <x:c r="M214" s="177"/>
      <x:c r="N214" s="178"/>
      <x:c r="O214" s="122"/>
      <x:c r="P214" s="177"/>
      <x:c r="Q214" s="122"/>
      <x:c r="R214" s="177"/>
      <x:c r="S214" s="178"/>
      <x:c r="T214" s="122"/>
      <x:c r="U214" s="177"/>
      <x:c r="V214" s="122"/>
      <x:c r="W214" s="177"/>
      <x:c r="X214" s="178"/>
      <x:c r="Y214" s="122"/>
      <x:c r="Z214" s="177"/>
      <x:c r="AA214" s="122"/>
      <x:c r="AB214" s="177"/>
      <x:c r="AC214" s="178"/>
      <x:c r="AD214" s="122"/>
      <x:c r="AE214" s="177"/>
      <x:c r="AF214" s="122"/>
      <x:c r="AG214" s="177"/>
      <x:c r="AH214" s="178"/>
      <x:c r="AI214" s="122"/>
      <x:c r="AJ214" s="177"/>
      <x:c r="AK214" s="122"/>
      <x:c r="AL214" s="177"/>
      <x:c r="AM214" s="178"/>
      <x:c r="AN214" s="122"/>
      <x:c r="AO214" s="177"/>
      <x:c r="AP214" s="122"/>
    </x:row>
    <x:row r="215" ht="19.5" hidden="1" customHeight="1">
      <x:c r="A215" s="160"/>
      <x:c r="B215" s="179"/>
      <x:c r="C215" s="200"/>
      <x:c r="D215" s="200"/>
      <x:c r="E215" s="200"/>
      <x:c r="F215" s="201"/>
      <x:c r="G215" s="255"/>
      <x:c r="H215" s="255"/>
      <x:c r="I215" s="174"/>
      <x:c r="J215" s="122"/>
      <x:c r="K215" s="177"/>
      <x:c r="L215" s="122"/>
      <x:c r="M215" s="177"/>
      <x:c r="N215" s="178"/>
      <x:c r="O215" s="122"/>
      <x:c r="P215" s="177"/>
      <x:c r="Q215" s="122"/>
      <x:c r="R215" s="177"/>
      <x:c r="S215" s="178"/>
      <x:c r="T215" s="122"/>
      <x:c r="U215" s="177"/>
      <x:c r="V215" s="122"/>
      <x:c r="W215" s="177"/>
      <x:c r="X215" s="178"/>
      <x:c r="Y215" s="122"/>
      <x:c r="Z215" s="177"/>
      <x:c r="AA215" s="122"/>
      <x:c r="AB215" s="177"/>
      <x:c r="AC215" s="178"/>
      <x:c r="AD215" s="122"/>
      <x:c r="AE215" s="177"/>
      <x:c r="AF215" s="122"/>
      <x:c r="AG215" s="177"/>
      <x:c r="AH215" s="178"/>
      <x:c r="AI215" s="122"/>
      <x:c r="AJ215" s="177"/>
      <x:c r="AK215" s="122"/>
      <x:c r="AL215" s="177"/>
      <x:c r="AM215" s="178"/>
      <x:c r="AN215" s="122"/>
      <x:c r="AO215" s="177"/>
      <x:c r="AP215" s="122"/>
    </x:row>
    <x:row r="216" ht="19.5" hidden="1" customHeight="1">
      <x:c r="A216" s="169"/>
      <x:c r="B216" s="170"/>
      <x:c r="C216" s="200"/>
      <x:c r="D216" s="200"/>
      <x:c r="E216" s="200"/>
      <x:c r="F216" s="201"/>
      <x:c r="G216" s="255"/>
      <x:c r="H216" s="255"/>
      <x:c r="I216" s="174"/>
      <x:c r="J216" s="122"/>
      <x:c r="K216" s="177"/>
      <x:c r="L216" s="122"/>
      <x:c r="M216" s="177"/>
      <x:c r="N216" s="178"/>
      <x:c r="O216" s="122"/>
      <x:c r="P216" s="177"/>
      <x:c r="Q216" s="122"/>
      <x:c r="R216" s="177"/>
      <x:c r="S216" s="178"/>
      <x:c r="T216" s="122"/>
      <x:c r="U216" s="177"/>
      <x:c r="V216" s="122"/>
      <x:c r="W216" s="177"/>
      <x:c r="X216" s="178"/>
      <x:c r="Y216" s="122"/>
      <x:c r="Z216" s="177"/>
      <x:c r="AA216" s="122"/>
      <x:c r="AB216" s="177"/>
      <x:c r="AC216" s="178"/>
      <x:c r="AD216" s="122"/>
      <x:c r="AE216" s="177"/>
      <x:c r="AF216" s="122"/>
      <x:c r="AG216" s="177"/>
      <x:c r="AH216" s="178"/>
      <x:c r="AI216" s="122"/>
      <x:c r="AJ216" s="177"/>
      <x:c r="AK216" s="122"/>
      <x:c r="AL216" s="177"/>
      <x:c r="AM216" s="178"/>
      <x:c r="AN216" s="122"/>
      <x:c r="AO216" s="177"/>
      <x:c r="AP216" s="122"/>
    </x:row>
    <x:row r="217" ht="19.5" hidden="1" customHeight="1">
      <x:c r="A217" s="160"/>
      <x:c r="B217" s="179"/>
      <x:c r="C217" s="200"/>
      <x:c r="D217" s="200"/>
      <x:c r="E217" s="200"/>
      <x:c r="F217" s="201"/>
      <x:c r="G217" s="255"/>
      <x:c r="H217" s="255"/>
      <x:c r="I217" s="174"/>
      <x:c r="J217" s="122"/>
      <x:c r="K217" s="177"/>
      <x:c r="L217" s="122"/>
      <x:c r="M217" s="177"/>
      <x:c r="N217" s="178"/>
      <x:c r="O217" s="122"/>
      <x:c r="P217" s="177"/>
      <x:c r="Q217" s="122"/>
      <x:c r="R217" s="177"/>
      <x:c r="S217" s="178"/>
      <x:c r="T217" s="122"/>
      <x:c r="U217" s="177"/>
      <x:c r="V217" s="122"/>
      <x:c r="W217" s="177"/>
      <x:c r="X217" s="178"/>
      <x:c r="Y217" s="122"/>
      <x:c r="Z217" s="177"/>
      <x:c r="AA217" s="122"/>
      <x:c r="AB217" s="177"/>
      <x:c r="AC217" s="178"/>
      <x:c r="AD217" s="122"/>
      <x:c r="AE217" s="177"/>
      <x:c r="AF217" s="122"/>
      <x:c r="AG217" s="177"/>
      <x:c r="AH217" s="178"/>
      <x:c r="AI217" s="122"/>
      <x:c r="AJ217" s="177"/>
      <x:c r="AK217" s="122"/>
      <x:c r="AL217" s="177"/>
      <x:c r="AM217" s="178"/>
      <x:c r="AN217" s="122"/>
      <x:c r="AO217" s="177"/>
      <x:c r="AP217" s="122"/>
    </x:row>
    <x:row r="218" ht="19.5" hidden="1" customHeight="1">
      <x:c r="A218" s="169"/>
      <x:c r="B218" s="170"/>
      <x:c r="C218" s="200"/>
      <x:c r="D218" s="200"/>
      <x:c r="E218" s="200"/>
      <x:c r="F218" s="201"/>
      <x:c r="G218" s="255"/>
      <x:c r="H218" s="255"/>
      <x:c r="I218" s="174"/>
      <x:c r="J218" s="122"/>
      <x:c r="K218" s="177"/>
      <x:c r="L218" s="122"/>
      <x:c r="M218" s="177"/>
      <x:c r="N218" s="178"/>
      <x:c r="O218" s="122"/>
      <x:c r="P218" s="177"/>
      <x:c r="Q218" s="122"/>
      <x:c r="R218" s="177"/>
      <x:c r="S218" s="178"/>
      <x:c r="T218" s="122"/>
      <x:c r="U218" s="177"/>
      <x:c r="V218" s="122"/>
      <x:c r="W218" s="177"/>
      <x:c r="X218" s="178"/>
      <x:c r="Y218" s="122"/>
      <x:c r="Z218" s="177"/>
      <x:c r="AA218" s="122"/>
      <x:c r="AB218" s="177"/>
      <x:c r="AC218" s="178"/>
      <x:c r="AD218" s="122"/>
      <x:c r="AE218" s="177"/>
      <x:c r="AF218" s="122"/>
      <x:c r="AG218" s="177"/>
      <x:c r="AH218" s="178"/>
      <x:c r="AI218" s="122"/>
      <x:c r="AJ218" s="177"/>
      <x:c r="AK218" s="122"/>
      <x:c r="AL218" s="177"/>
      <x:c r="AM218" s="178"/>
      <x:c r="AN218" s="122"/>
      <x:c r="AO218" s="177"/>
      <x:c r="AP218" s="122"/>
    </x:row>
    <x:row r="219" ht="19.5" hidden="1" customHeight="1">
      <x:c r="A219" s="160"/>
      <x:c r="B219" s="179"/>
      <x:c r="C219" s="200"/>
      <x:c r="D219" s="200"/>
      <x:c r="E219" s="200"/>
      <x:c r="F219" s="201"/>
      <x:c r="G219" s="255"/>
      <x:c r="H219" s="255"/>
      <x:c r="I219" s="174"/>
      <x:c r="J219" s="122"/>
      <x:c r="K219" s="177"/>
      <x:c r="L219" s="122"/>
      <x:c r="M219" s="177"/>
      <x:c r="N219" s="178"/>
      <x:c r="O219" s="122"/>
      <x:c r="P219" s="177"/>
      <x:c r="Q219" s="122"/>
      <x:c r="R219" s="177"/>
      <x:c r="S219" s="178"/>
      <x:c r="T219" s="122"/>
      <x:c r="U219" s="177"/>
      <x:c r="V219" s="122"/>
      <x:c r="W219" s="177"/>
      <x:c r="X219" s="178"/>
      <x:c r="Y219" s="122"/>
      <x:c r="Z219" s="177"/>
      <x:c r="AA219" s="122"/>
      <x:c r="AB219" s="177"/>
      <x:c r="AC219" s="178"/>
      <x:c r="AD219" s="122"/>
      <x:c r="AE219" s="177"/>
      <x:c r="AF219" s="122"/>
      <x:c r="AG219" s="177"/>
      <x:c r="AH219" s="178"/>
      <x:c r="AI219" s="122"/>
      <x:c r="AJ219" s="177"/>
      <x:c r="AK219" s="122"/>
      <x:c r="AL219" s="177"/>
      <x:c r="AM219" s="178"/>
      <x:c r="AN219" s="122"/>
      <x:c r="AO219" s="177"/>
      <x:c r="AP219" s="122"/>
    </x:row>
    <x:row r="220" ht="19.5" hidden="1" customHeight="1">
      <x:c r="A220" s="169"/>
      <x:c r="B220" s="170"/>
      <x:c r="C220" s="200"/>
      <x:c r="D220" s="200"/>
      <x:c r="E220" s="200"/>
      <x:c r="F220" s="201"/>
      <x:c r="G220" s="255"/>
      <x:c r="H220" s="255"/>
      <x:c r="I220" s="174"/>
      <x:c r="J220" s="122"/>
      <x:c r="K220" s="177"/>
      <x:c r="L220" s="122"/>
      <x:c r="M220" s="177"/>
      <x:c r="N220" s="178"/>
      <x:c r="O220" s="122"/>
      <x:c r="P220" s="177"/>
      <x:c r="Q220" s="122"/>
      <x:c r="R220" s="177"/>
      <x:c r="S220" s="178"/>
      <x:c r="T220" s="122"/>
      <x:c r="U220" s="177"/>
      <x:c r="V220" s="122"/>
      <x:c r="W220" s="177"/>
      <x:c r="X220" s="178"/>
      <x:c r="Y220" s="122"/>
      <x:c r="Z220" s="177"/>
      <x:c r="AA220" s="122"/>
      <x:c r="AB220" s="177"/>
      <x:c r="AC220" s="178"/>
      <x:c r="AD220" s="122"/>
      <x:c r="AE220" s="177"/>
      <x:c r="AF220" s="122"/>
      <x:c r="AG220" s="177"/>
      <x:c r="AH220" s="178"/>
      <x:c r="AI220" s="122"/>
      <x:c r="AJ220" s="177"/>
      <x:c r="AK220" s="122"/>
      <x:c r="AL220" s="177"/>
      <x:c r="AM220" s="178"/>
      <x:c r="AN220" s="122"/>
      <x:c r="AO220" s="177"/>
      <x:c r="AP220" s="122"/>
    </x:row>
    <x:row r="221" ht="19.5" hidden="1" customHeight="1">
      <x:c r="A221" s="160"/>
      <x:c r="B221" s="179"/>
      <x:c r="C221" s="200"/>
      <x:c r="D221" s="200"/>
      <x:c r="E221" s="200"/>
      <x:c r="F221" s="201"/>
      <x:c r="G221" s="255"/>
      <x:c r="H221" s="255"/>
      <x:c r="I221" s="174"/>
      <x:c r="J221" s="122"/>
      <x:c r="K221" s="177"/>
      <x:c r="L221" s="122"/>
      <x:c r="M221" s="177"/>
      <x:c r="N221" s="178"/>
      <x:c r="O221" s="122"/>
      <x:c r="P221" s="177"/>
      <x:c r="Q221" s="122"/>
      <x:c r="R221" s="177"/>
      <x:c r="S221" s="178"/>
      <x:c r="T221" s="122"/>
      <x:c r="U221" s="177"/>
      <x:c r="V221" s="122"/>
      <x:c r="W221" s="177"/>
      <x:c r="X221" s="178"/>
      <x:c r="Y221" s="122"/>
      <x:c r="Z221" s="177"/>
      <x:c r="AA221" s="122"/>
      <x:c r="AB221" s="177"/>
      <x:c r="AC221" s="178"/>
      <x:c r="AD221" s="122"/>
      <x:c r="AE221" s="177"/>
      <x:c r="AF221" s="122"/>
      <x:c r="AG221" s="177"/>
      <x:c r="AH221" s="178"/>
      <x:c r="AI221" s="122"/>
      <x:c r="AJ221" s="177"/>
      <x:c r="AK221" s="122"/>
      <x:c r="AL221" s="177"/>
      <x:c r="AM221" s="178"/>
      <x:c r="AN221" s="122"/>
      <x:c r="AO221" s="177"/>
      <x:c r="AP221" s="122"/>
    </x:row>
    <x:row r="222" ht="19.5" hidden="1" customHeight="1">
      <x:c r="A222" s="169"/>
      <x:c r="B222" s="170"/>
      <x:c r="C222" s="200"/>
      <x:c r="D222" s="200"/>
      <x:c r="E222" s="200"/>
      <x:c r="F222" s="201"/>
      <x:c r="G222" s="255"/>
      <x:c r="H222" s="255"/>
      <x:c r="I222" s="174"/>
      <x:c r="J222" s="122"/>
      <x:c r="K222" s="177"/>
      <x:c r="L222" s="122"/>
      <x:c r="M222" s="177"/>
      <x:c r="N222" s="178"/>
      <x:c r="O222" s="122"/>
      <x:c r="P222" s="177"/>
      <x:c r="Q222" s="122"/>
      <x:c r="R222" s="177"/>
      <x:c r="S222" s="178"/>
      <x:c r="T222" s="122"/>
      <x:c r="U222" s="177"/>
      <x:c r="V222" s="122"/>
      <x:c r="W222" s="177"/>
      <x:c r="X222" s="178"/>
      <x:c r="Y222" s="122"/>
      <x:c r="Z222" s="177"/>
      <x:c r="AA222" s="122"/>
      <x:c r="AB222" s="177"/>
      <x:c r="AC222" s="178"/>
      <x:c r="AD222" s="122"/>
      <x:c r="AE222" s="177"/>
      <x:c r="AF222" s="122"/>
      <x:c r="AG222" s="177"/>
      <x:c r="AH222" s="178"/>
      <x:c r="AI222" s="122"/>
      <x:c r="AJ222" s="177"/>
      <x:c r="AK222" s="122"/>
      <x:c r="AL222" s="177"/>
      <x:c r="AM222" s="178"/>
      <x:c r="AN222" s="122"/>
      <x:c r="AO222" s="177"/>
      <x:c r="AP222" s="122"/>
    </x:row>
    <x:row r="223" ht="19.5" hidden="1" customHeight="1">
      <x:c r="A223" s="160"/>
      <x:c r="B223" s="179"/>
      <x:c r="C223" s="200"/>
      <x:c r="D223" s="200"/>
      <x:c r="E223" s="200"/>
      <x:c r="F223" s="201"/>
      <x:c r="G223" s="255"/>
      <x:c r="H223" s="255"/>
      <x:c r="I223" s="174"/>
      <x:c r="J223" s="122"/>
      <x:c r="K223" s="177"/>
      <x:c r="L223" s="122"/>
      <x:c r="M223" s="177"/>
      <x:c r="N223" s="178"/>
      <x:c r="O223" s="122"/>
      <x:c r="P223" s="177"/>
      <x:c r="Q223" s="122"/>
      <x:c r="R223" s="177"/>
      <x:c r="S223" s="178"/>
      <x:c r="T223" s="122"/>
      <x:c r="U223" s="177"/>
      <x:c r="V223" s="122"/>
      <x:c r="W223" s="177"/>
      <x:c r="X223" s="178"/>
      <x:c r="Y223" s="122"/>
      <x:c r="Z223" s="177"/>
      <x:c r="AA223" s="122"/>
      <x:c r="AB223" s="177"/>
      <x:c r="AC223" s="178"/>
      <x:c r="AD223" s="122"/>
      <x:c r="AE223" s="177"/>
      <x:c r="AF223" s="122"/>
      <x:c r="AG223" s="177"/>
      <x:c r="AH223" s="178"/>
      <x:c r="AI223" s="122"/>
      <x:c r="AJ223" s="177"/>
      <x:c r="AK223" s="122"/>
      <x:c r="AL223" s="177"/>
      <x:c r="AM223" s="178"/>
      <x:c r="AN223" s="122"/>
      <x:c r="AO223" s="177"/>
      <x:c r="AP223" s="122"/>
    </x:row>
    <x:row r="224" ht="19.5" hidden="1" customHeight="1">
      <x:c r="A224" s="169"/>
      <x:c r="B224" s="170"/>
      <x:c r="C224" s="200"/>
      <x:c r="D224" s="200"/>
      <x:c r="E224" s="200"/>
      <x:c r="F224" s="201"/>
      <x:c r="G224" s="255"/>
      <x:c r="H224" s="255"/>
      <x:c r="I224" s="174"/>
      <x:c r="J224" s="122"/>
      <x:c r="K224" s="177"/>
      <x:c r="L224" s="122"/>
      <x:c r="M224" s="177"/>
      <x:c r="N224" s="178"/>
      <x:c r="O224" s="122"/>
      <x:c r="P224" s="177"/>
      <x:c r="Q224" s="122"/>
      <x:c r="R224" s="177"/>
      <x:c r="S224" s="178"/>
      <x:c r="T224" s="122"/>
      <x:c r="U224" s="177"/>
      <x:c r="V224" s="122"/>
      <x:c r="W224" s="177"/>
      <x:c r="X224" s="178"/>
      <x:c r="Y224" s="122"/>
      <x:c r="Z224" s="177"/>
      <x:c r="AA224" s="122"/>
      <x:c r="AB224" s="177"/>
      <x:c r="AC224" s="178"/>
      <x:c r="AD224" s="122"/>
      <x:c r="AE224" s="177"/>
      <x:c r="AF224" s="122"/>
      <x:c r="AG224" s="177"/>
      <x:c r="AH224" s="178"/>
      <x:c r="AI224" s="122"/>
      <x:c r="AJ224" s="177"/>
      <x:c r="AK224" s="122"/>
      <x:c r="AL224" s="177"/>
      <x:c r="AM224" s="178"/>
      <x:c r="AN224" s="122"/>
      <x:c r="AO224" s="177"/>
      <x:c r="AP224" s="122"/>
    </x:row>
    <x:row r="225" ht="19.5" hidden="1" customHeight="1">
      <x:c r="A225" s="160"/>
      <x:c r="B225" s="179"/>
      <x:c r="C225" s="200"/>
      <x:c r="D225" s="200"/>
      <x:c r="E225" s="200"/>
      <x:c r="F225" s="201"/>
      <x:c r="G225" s="255"/>
      <x:c r="H225" s="255"/>
      <x:c r="I225" s="174"/>
      <x:c r="J225" s="122"/>
      <x:c r="K225" s="177"/>
      <x:c r="L225" s="122"/>
      <x:c r="M225" s="177"/>
      <x:c r="N225" s="178"/>
      <x:c r="O225" s="122"/>
      <x:c r="P225" s="177"/>
      <x:c r="Q225" s="122"/>
      <x:c r="R225" s="177"/>
      <x:c r="S225" s="178"/>
      <x:c r="T225" s="122"/>
      <x:c r="U225" s="177"/>
      <x:c r="V225" s="122"/>
      <x:c r="W225" s="177"/>
      <x:c r="X225" s="178"/>
      <x:c r="Y225" s="122"/>
      <x:c r="Z225" s="177"/>
      <x:c r="AA225" s="122"/>
      <x:c r="AB225" s="177"/>
      <x:c r="AC225" s="178"/>
      <x:c r="AD225" s="122"/>
      <x:c r="AE225" s="177"/>
      <x:c r="AF225" s="122"/>
      <x:c r="AG225" s="177"/>
      <x:c r="AH225" s="178"/>
      <x:c r="AI225" s="122"/>
      <x:c r="AJ225" s="177"/>
      <x:c r="AK225" s="122"/>
      <x:c r="AL225" s="177"/>
      <x:c r="AM225" s="178"/>
      <x:c r="AN225" s="122"/>
      <x:c r="AO225" s="177"/>
      <x:c r="AP225" s="122"/>
    </x:row>
    <x:row r="226" ht="19.5" hidden="1" customHeight="1">
      <x:c r="A226" s="169"/>
      <x:c r="B226" s="170"/>
      <x:c r="C226" s="200"/>
      <x:c r="D226" s="200"/>
      <x:c r="E226" s="200"/>
      <x:c r="F226" s="201"/>
      <x:c r="G226" s="255"/>
      <x:c r="H226" s="255"/>
      <x:c r="I226" s="174"/>
      <x:c r="J226" s="122"/>
      <x:c r="K226" s="177"/>
      <x:c r="L226" s="122"/>
      <x:c r="M226" s="177"/>
      <x:c r="N226" s="178"/>
      <x:c r="O226" s="122"/>
      <x:c r="P226" s="177"/>
      <x:c r="Q226" s="122"/>
      <x:c r="R226" s="177"/>
      <x:c r="S226" s="178"/>
      <x:c r="T226" s="122"/>
      <x:c r="U226" s="177"/>
      <x:c r="V226" s="122"/>
      <x:c r="W226" s="177"/>
      <x:c r="X226" s="178"/>
      <x:c r="Y226" s="122"/>
      <x:c r="Z226" s="177"/>
      <x:c r="AA226" s="122"/>
      <x:c r="AB226" s="177"/>
      <x:c r="AC226" s="178"/>
      <x:c r="AD226" s="122"/>
      <x:c r="AE226" s="177"/>
      <x:c r="AF226" s="122"/>
      <x:c r="AG226" s="177"/>
      <x:c r="AH226" s="178"/>
      <x:c r="AI226" s="122"/>
      <x:c r="AJ226" s="177"/>
      <x:c r="AK226" s="122"/>
      <x:c r="AL226" s="177"/>
      <x:c r="AM226" s="178"/>
      <x:c r="AN226" s="122"/>
      <x:c r="AO226" s="177"/>
      <x:c r="AP226" s="122"/>
    </x:row>
    <x:row r="227" ht="19.5" hidden="1" customHeight="1">
      <x:c r="A227" s="160"/>
      <x:c r="B227" s="179"/>
      <x:c r="C227" s="200"/>
      <x:c r="D227" s="200"/>
      <x:c r="E227" s="200"/>
      <x:c r="F227" s="201"/>
      <x:c r="G227" s="255"/>
      <x:c r="H227" s="255"/>
      <x:c r="I227" s="174"/>
      <x:c r="J227" s="122"/>
      <x:c r="K227" s="177"/>
      <x:c r="L227" s="122"/>
      <x:c r="M227" s="177"/>
      <x:c r="N227" s="178"/>
      <x:c r="O227" s="122"/>
      <x:c r="P227" s="177"/>
      <x:c r="Q227" s="122"/>
      <x:c r="R227" s="177"/>
      <x:c r="S227" s="178"/>
      <x:c r="T227" s="122"/>
      <x:c r="U227" s="177"/>
      <x:c r="V227" s="122"/>
      <x:c r="W227" s="177"/>
      <x:c r="X227" s="178"/>
      <x:c r="Y227" s="122"/>
      <x:c r="Z227" s="177"/>
      <x:c r="AA227" s="122"/>
      <x:c r="AB227" s="177"/>
      <x:c r="AC227" s="178"/>
      <x:c r="AD227" s="122"/>
      <x:c r="AE227" s="177"/>
      <x:c r="AF227" s="122"/>
      <x:c r="AG227" s="177"/>
      <x:c r="AH227" s="178"/>
      <x:c r="AI227" s="122"/>
      <x:c r="AJ227" s="177"/>
      <x:c r="AK227" s="122"/>
      <x:c r="AL227" s="177"/>
      <x:c r="AM227" s="178"/>
      <x:c r="AN227" s="122"/>
      <x:c r="AO227" s="177"/>
      <x:c r="AP227" s="122"/>
    </x:row>
    <x:row r="228" ht="19.5" hidden="1" customHeight="1">
      <x:c r="A228" s="169"/>
      <x:c r="B228" s="170"/>
      <x:c r="C228" s="200"/>
      <x:c r="D228" s="200"/>
      <x:c r="E228" s="200"/>
      <x:c r="F228" s="201"/>
      <x:c r="G228" s="255"/>
      <x:c r="H228" s="255"/>
      <x:c r="I228" s="174"/>
      <x:c r="J228" s="122"/>
      <x:c r="K228" s="177"/>
      <x:c r="L228" s="122"/>
      <x:c r="M228" s="177"/>
      <x:c r="N228" s="178"/>
      <x:c r="O228" s="122"/>
      <x:c r="P228" s="177"/>
      <x:c r="Q228" s="122"/>
      <x:c r="R228" s="177"/>
      <x:c r="S228" s="178"/>
      <x:c r="T228" s="122"/>
      <x:c r="U228" s="177"/>
      <x:c r="V228" s="122"/>
      <x:c r="W228" s="177"/>
      <x:c r="X228" s="178"/>
      <x:c r="Y228" s="122"/>
      <x:c r="Z228" s="177"/>
      <x:c r="AA228" s="122"/>
      <x:c r="AB228" s="177"/>
      <x:c r="AC228" s="178"/>
      <x:c r="AD228" s="122"/>
      <x:c r="AE228" s="177"/>
      <x:c r="AF228" s="122"/>
      <x:c r="AG228" s="177"/>
      <x:c r="AH228" s="178"/>
      <x:c r="AI228" s="122"/>
      <x:c r="AJ228" s="177"/>
      <x:c r="AK228" s="122"/>
      <x:c r="AL228" s="177"/>
      <x:c r="AM228" s="178"/>
      <x:c r="AN228" s="122"/>
      <x:c r="AO228" s="177"/>
      <x:c r="AP228" s="122"/>
    </x:row>
    <x:row r="229" ht="19.5" hidden="1" customHeight="1">
      <x:c r="A229" s="160"/>
      <x:c r="B229" s="179"/>
      <x:c r="C229" s="200"/>
      <x:c r="D229" s="200"/>
      <x:c r="E229" s="200"/>
      <x:c r="F229" s="201"/>
      <x:c r="G229" s="255"/>
      <x:c r="H229" s="255"/>
      <x:c r="I229" s="174"/>
      <x:c r="J229" s="122"/>
      <x:c r="K229" s="177"/>
      <x:c r="L229" s="122"/>
      <x:c r="M229" s="177"/>
      <x:c r="N229" s="178"/>
      <x:c r="O229" s="122"/>
      <x:c r="P229" s="177"/>
      <x:c r="Q229" s="122"/>
      <x:c r="R229" s="177"/>
      <x:c r="S229" s="178"/>
      <x:c r="T229" s="122"/>
      <x:c r="U229" s="177"/>
      <x:c r="V229" s="122"/>
      <x:c r="W229" s="177"/>
      <x:c r="X229" s="178"/>
      <x:c r="Y229" s="122"/>
      <x:c r="Z229" s="177"/>
      <x:c r="AA229" s="122"/>
      <x:c r="AB229" s="177"/>
      <x:c r="AC229" s="178"/>
      <x:c r="AD229" s="122"/>
      <x:c r="AE229" s="177"/>
      <x:c r="AF229" s="122"/>
      <x:c r="AG229" s="177"/>
      <x:c r="AH229" s="178"/>
      <x:c r="AI229" s="122"/>
      <x:c r="AJ229" s="177"/>
      <x:c r="AK229" s="122"/>
      <x:c r="AL229" s="177"/>
      <x:c r="AM229" s="178"/>
      <x:c r="AN229" s="122"/>
      <x:c r="AO229" s="177"/>
      <x:c r="AP229" s="122"/>
    </x:row>
    <x:row r="230" ht="19.5" hidden="1" customHeight="1">
      <x:c r="A230" s="169"/>
      <x:c r="B230" s="170"/>
      <x:c r="C230" s="200"/>
      <x:c r="D230" s="200"/>
      <x:c r="E230" s="200"/>
      <x:c r="F230" s="201"/>
      <x:c r="G230" s="255"/>
      <x:c r="H230" s="255"/>
      <x:c r="I230" s="174"/>
      <x:c r="J230" s="122"/>
      <x:c r="K230" s="177"/>
      <x:c r="L230" s="122"/>
      <x:c r="M230" s="177"/>
      <x:c r="N230" s="178"/>
      <x:c r="O230" s="122"/>
      <x:c r="P230" s="177"/>
      <x:c r="Q230" s="122"/>
      <x:c r="R230" s="177"/>
      <x:c r="S230" s="178"/>
      <x:c r="T230" s="122"/>
      <x:c r="U230" s="177"/>
      <x:c r="V230" s="122"/>
      <x:c r="W230" s="177"/>
      <x:c r="X230" s="178"/>
      <x:c r="Y230" s="122"/>
      <x:c r="Z230" s="177"/>
      <x:c r="AA230" s="122"/>
      <x:c r="AB230" s="177"/>
      <x:c r="AC230" s="178"/>
      <x:c r="AD230" s="122"/>
      <x:c r="AE230" s="177"/>
      <x:c r="AF230" s="122"/>
      <x:c r="AG230" s="177"/>
      <x:c r="AH230" s="178"/>
      <x:c r="AI230" s="122"/>
      <x:c r="AJ230" s="177"/>
      <x:c r="AK230" s="122"/>
      <x:c r="AL230" s="177"/>
      <x:c r="AM230" s="178"/>
      <x:c r="AN230" s="122"/>
      <x:c r="AO230" s="177"/>
      <x:c r="AP230" s="122"/>
    </x:row>
    <x:row r="231" ht="19.5" hidden="1" customHeight="1">
      <x:c r="A231" s="160"/>
      <x:c r="B231" s="179"/>
      <x:c r="C231" s="200"/>
      <x:c r="D231" s="200"/>
      <x:c r="E231" s="200"/>
      <x:c r="F231" s="201"/>
      <x:c r="G231" s="255"/>
      <x:c r="H231" s="255"/>
      <x:c r="I231" s="174"/>
      <x:c r="J231" s="122"/>
      <x:c r="K231" s="177"/>
      <x:c r="L231" s="122"/>
      <x:c r="M231" s="177"/>
      <x:c r="N231" s="178"/>
      <x:c r="O231" s="122"/>
      <x:c r="P231" s="177"/>
      <x:c r="Q231" s="122"/>
      <x:c r="R231" s="177"/>
      <x:c r="S231" s="178"/>
      <x:c r="T231" s="122"/>
      <x:c r="U231" s="177"/>
      <x:c r="V231" s="122"/>
      <x:c r="W231" s="177"/>
      <x:c r="X231" s="178"/>
      <x:c r="Y231" s="122"/>
      <x:c r="Z231" s="177"/>
      <x:c r="AA231" s="122"/>
      <x:c r="AB231" s="177"/>
      <x:c r="AC231" s="178"/>
      <x:c r="AD231" s="122"/>
      <x:c r="AE231" s="177"/>
      <x:c r="AF231" s="122"/>
      <x:c r="AG231" s="177"/>
      <x:c r="AH231" s="178"/>
      <x:c r="AI231" s="122"/>
      <x:c r="AJ231" s="177"/>
      <x:c r="AK231" s="122"/>
      <x:c r="AL231" s="177"/>
      <x:c r="AM231" s="178"/>
      <x:c r="AN231" s="122"/>
      <x:c r="AO231" s="177"/>
      <x:c r="AP231" s="122"/>
    </x:row>
    <x:row r="232" ht="19.5" hidden="1" customHeight="1">
      <x:c r="A232" s="169"/>
      <x:c r="B232" s="170"/>
      <x:c r="C232" s="200"/>
      <x:c r="D232" s="200"/>
      <x:c r="E232" s="200"/>
      <x:c r="F232" s="201"/>
      <x:c r="G232" s="255"/>
      <x:c r="H232" s="255"/>
      <x:c r="I232" s="174"/>
      <x:c r="J232" s="122"/>
      <x:c r="K232" s="177"/>
      <x:c r="L232" s="122"/>
      <x:c r="M232" s="177"/>
      <x:c r="N232" s="178"/>
      <x:c r="O232" s="122"/>
      <x:c r="P232" s="177"/>
      <x:c r="Q232" s="122"/>
      <x:c r="R232" s="177"/>
      <x:c r="S232" s="178"/>
      <x:c r="T232" s="122"/>
      <x:c r="U232" s="177"/>
      <x:c r="V232" s="122"/>
      <x:c r="W232" s="177"/>
      <x:c r="X232" s="178"/>
      <x:c r="Y232" s="122"/>
      <x:c r="Z232" s="177"/>
      <x:c r="AA232" s="122"/>
      <x:c r="AB232" s="177"/>
      <x:c r="AC232" s="178"/>
      <x:c r="AD232" s="122"/>
      <x:c r="AE232" s="177"/>
      <x:c r="AF232" s="122"/>
      <x:c r="AG232" s="177"/>
      <x:c r="AH232" s="178"/>
      <x:c r="AI232" s="122"/>
      <x:c r="AJ232" s="177"/>
      <x:c r="AK232" s="122"/>
      <x:c r="AL232" s="177"/>
      <x:c r="AM232" s="178"/>
      <x:c r="AN232" s="122"/>
      <x:c r="AO232" s="177"/>
      <x:c r="AP232" s="122"/>
    </x:row>
    <x:row r="233" ht="19.5" hidden="1" customHeight="1">
      <x:c r="A233" s="160"/>
      <x:c r="B233" s="179"/>
      <x:c r="C233" s="200"/>
      <x:c r="D233" s="200"/>
      <x:c r="E233" s="200"/>
      <x:c r="F233" s="201"/>
      <x:c r="G233" s="255"/>
      <x:c r="H233" s="255"/>
      <x:c r="I233" s="174"/>
      <x:c r="J233" s="122"/>
      <x:c r="K233" s="177"/>
      <x:c r="L233" s="122"/>
      <x:c r="M233" s="177"/>
      <x:c r="N233" s="178"/>
      <x:c r="O233" s="122"/>
      <x:c r="P233" s="177"/>
      <x:c r="Q233" s="122"/>
      <x:c r="R233" s="177"/>
      <x:c r="S233" s="178"/>
      <x:c r="T233" s="122"/>
      <x:c r="U233" s="177"/>
      <x:c r="V233" s="122"/>
      <x:c r="W233" s="177"/>
      <x:c r="X233" s="178"/>
      <x:c r="Y233" s="122"/>
      <x:c r="Z233" s="177"/>
      <x:c r="AA233" s="122"/>
      <x:c r="AB233" s="177"/>
      <x:c r="AC233" s="178"/>
      <x:c r="AD233" s="122"/>
      <x:c r="AE233" s="177"/>
      <x:c r="AF233" s="122"/>
      <x:c r="AG233" s="177"/>
      <x:c r="AH233" s="178"/>
      <x:c r="AI233" s="122"/>
      <x:c r="AJ233" s="177"/>
      <x:c r="AK233" s="122"/>
      <x:c r="AL233" s="177"/>
      <x:c r="AM233" s="178"/>
      <x:c r="AN233" s="122"/>
      <x:c r="AO233" s="177"/>
      <x:c r="AP233" s="122"/>
    </x:row>
    <x:row r="234" ht="19.5" hidden="1" customHeight="1">
      <x:c r="A234" s="169"/>
      <x:c r="B234" s="170"/>
      <x:c r="C234" s="200"/>
      <x:c r="D234" s="200"/>
      <x:c r="E234" s="200"/>
      <x:c r="F234" s="201"/>
      <x:c r="G234" s="255"/>
      <x:c r="H234" s="255"/>
      <x:c r="I234" s="174"/>
      <x:c r="J234" s="122"/>
      <x:c r="K234" s="177"/>
      <x:c r="L234" s="122"/>
      <x:c r="M234" s="177"/>
      <x:c r="N234" s="178"/>
      <x:c r="O234" s="122"/>
      <x:c r="P234" s="177"/>
      <x:c r="Q234" s="122"/>
      <x:c r="R234" s="177"/>
      <x:c r="S234" s="178"/>
      <x:c r="T234" s="122"/>
      <x:c r="U234" s="177"/>
      <x:c r="V234" s="122"/>
      <x:c r="W234" s="177"/>
      <x:c r="X234" s="178"/>
      <x:c r="Y234" s="122"/>
      <x:c r="Z234" s="177"/>
      <x:c r="AA234" s="122"/>
      <x:c r="AB234" s="177"/>
      <x:c r="AC234" s="178"/>
      <x:c r="AD234" s="122"/>
      <x:c r="AE234" s="177"/>
      <x:c r="AF234" s="122"/>
      <x:c r="AG234" s="177"/>
      <x:c r="AH234" s="178"/>
      <x:c r="AI234" s="122"/>
      <x:c r="AJ234" s="177"/>
      <x:c r="AK234" s="122"/>
      <x:c r="AL234" s="177"/>
      <x:c r="AM234" s="178"/>
      <x:c r="AN234" s="122"/>
      <x:c r="AO234" s="177"/>
      <x:c r="AP234" s="122"/>
    </x:row>
    <x:row r="235" ht="19.5" hidden="1" customHeight="1">
      <x:c r="A235" s="160"/>
      <x:c r="B235" s="179"/>
      <x:c r="C235" s="200"/>
      <x:c r="D235" s="200"/>
      <x:c r="E235" s="200"/>
      <x:c r="F235" s="201"/>
      <x:c r="G235" s="255"/>
      <x:c r="H235" s="255"/>
      <x:c r="I235" s="174"/>
      <x:c r="J235" s="122"/>
      <x:c r="K235" s="177"/>
      <x:c r="L235" s="122"/>
      <x:c r="M235" s="177"/>
      <x:c r="N235" s="178"/>
      <x:c r="O235" s="122"/>
      <x:c r="P235" s="177"/>
      <x:c r="Q235" s="122"/>
      <x:c r="R235" s="177"/>
      <x:c r="S235" s="178"/>
      <x:c r="T235" s="122"/>
      <x:c r="U235" s="177"/>
      <x:c r="V235" s="122"/>
      <x:c r="W235" s="177"/>
      <x:c r="X235" s="178"/>
      <x:c r="Y235" s="122"/>
      <x:c r="Z235" s="177"/>
      <x:c r="AA235" s="122"/>
      <x:c r="AB235" s="177"/>
      <x:c r="AC235" s="178"/>
      <x:c r="AD235" s="122"/>
      <x:c r="AE235" s="177"/>
      <x:c r="AF235" s="122"/>
      <x:c r="AG235" s="177"/>
      <x:c r="AH235" s="178"/>
      <x:c r="AI235" s="122"/>
      <x:c r="AJ235" s="177"/>
      <x:c r="AK235" s="122"/>
      <x:c r="AL235" s="177"/>
      <x:c r="AM235" s="178"/>
      <x:c r="AN235" s="122"/>
      <x:c r="AO235" s="177"/>
      <x:c r="AP235" s="122"/>
    </x:row>
    <x:row r="236" ht="19.5" hidden="1" customHeight="1">
      <x:c r="A236" s="169"/>
      <x:c r="B236" s="170"/>
      <x:c r="C236" s="200"/>
      <x:c r="D236" s="200"/>
      <x:c r="E236" s="200"/>
      <x:c r="F236" s="201"/>
      <x:c r="G236" s="255"/>
      <x:c r="H236" s="255"/>
      <x:c r="I236" s="174"/>
      <x:c r="J236" s="122"/>
      <x:c r="K236" s="177"/>
      <x:c r="L236" s="122"/>
      <x:c r="M236" s="177"/>
      <x:c r="N236" s="178"/>
      <x:c r="O236" s="122"/>
      <x:c r="P236" s="177"/>
      <x:c r="Q236" s="122"/>
      <x:c r="R236" s="177"/>
      <x:c r="S236" s="178"/>
      <x:c r="T236" s="122"/>
      <x:c r="U236" s="177"/>
      <x:c r="V236" s="122"/>
      <x:c r="W236" s="177"/>
      <x:c r="X236" s="178"/>
      <x:c r="Y236" s="122"/>
      <x:c r="Z236" s="177"/>
      <x:c r="AA236" s="122"/>
      <x:c r="AB236" s="177"/>
      <x:c r="AC236" s="178"/>
      <x:c r="AD236" s="122"/>
      <x:c r="AE236" s="177"/>
      <x:c r="AF236" s="122"/>
      <x:c r="AG236" s="177"/>
      <x:c r="AH236" s="178"/>
      <x:c r="AI236" s="122"/>
      <x:c r="AJ236" s="177"/>
      <x:c r="AK236" s="122"/>
      <x:c r="AL236" s="177"/>
      <x:c r="AM236" s="178"/>
      <x:c r="AN236" s="122"/>
      <x:c r="AO236" s="177"/>
      <x:c r="AP236" s="122"/>
    </x:row>
    <x:row r="237" ht="19.5" hidden="1" customHeight="1">
      <x:c r="A237" s="160"/>
      <x:c r="B237" s="179"/>
      <x:c r="C237" s="200"/>
      <x:c r="D237" s="200"/>
      <x:c r="E237" s="200"/>
      <x:c r="F237" s="201"/>
      <x:c r="G237" s="255"/>
      <x:c r="H237" s="255"/>
      <x:c r="I237" s="174"/>
      <x:c r="J237" s="122"/>
      <x:c r="K237" s="177"/>
      <x:c r="L237" s="122"/>
      <x:c r="M237" s="177"/>
      <x:c r="N237" s="178"/>
      <x:c r="O237" s="122"/>
      <x:c r="P237" s="177"/>
      <x:c r="Q237" s="122"/>
      <x:c r="R237" s="177"/>
      <x:c r="S237" s="178"/>
      <x:c r="T237" s="122"/>
      <x:c r="U237" s="177"/>
      <x:c r="V237" s="122"/>
      <x:c r="W237" s="177"/>
      <x:c r="X237" s="178"/>
      <x:c r="Y237" s="122"/>
      <x:c r="Z237" s="177"/>
      <x:c r="AA237" s="122"/>
      <x:c r="AB237" s="177"/>
      <x:c r="AC237" s="178"/>
      <x:c r="AD237" s="122"/>
      <x:c r="AE237" s="177"/>
      <x:c r="AF237" s="122"/>
      <x:c r="AG237" s="177"/>
      <x:c r="AH237" s="178"/>
      <x:c r="AI237" s="122"/>
      <x:c r="AJ237" s="177"/>
      <x:c r="AK237" s="122"/>
      <x:c r="AL237" s="177"/>
      <x:c r="AM237" s="178"/>
      <x:c r="AN237" s="122"/>
      <x:c r="AO237" s="177"/>
      <x:c r="AP237" s="122"/>
    </x:row>
    <x:row r="238" ht="19.5" hidden="1" customHeight="1">
      <x:c r="A238" s="169"/>
      <x:c r="B238" s="170"/>
      <x:c r="C238" s="200"/>
      <x:c r="D238" s="200"/>
      <x:c r="E238" s="200"/>
      <x:c r="F238" s="201"/>
      <x:c r="G238" s="255"/>
      <x:c r="H238" s="255"/>
      <x:c r="I238" s="174"/>
      <x:c r="J238" s="122"/>
      <x:c r="K238" s="177"/>
      <x:c r="L238" s="122"/>
      <x:c r="M238" s="177"/>
      <x:c r="N238" s="178"/>
      <x:c r="O238" s="122"/>
      <x:c r="P238" s="177"/>
      <x:c r="Q238" s="122"/>
      <x:c r="R238" s="177"/>
      <x:c r="S238" s="178"/>
      <x:c r="T238" s="122"/>
      <x:c r="U238" s="177"/>
      <x:c r="V238" s="122"/>
      <x:c r="W238" s="177"/>
      <x:c r="X238" s="178"/>
      <x:c r="Y238" s="122"/>
      <x:c r="Z238" s="177"/>
      <x:c r="AA238" s="122"/>
      <x:c r="AB238" s="177"/>
      <x:c r="AC238" s="178"/>
      <x:c r="AD238" s="122"/>
      <x:c r="AE238" s="177"/>
      <x:c r="AF238" s="122"/>
      <x:c r="AG238" s="177"/>
      <x:c r="AH238" s="178"/>
      <x:c r="AI238" s="122"/>
      <x:c r="AJ238" s="177"/>
      <x:c r="AK238" s="122"/>
      <x:c r="AL238" s="177"/>
      <x:c r="AM238" s="178"/>
      <x:c r="AN238" s="122"/>
      <x:c r="AO238" s="177"/>
      <x:c r="AP238" s="122"/>
    </x:row>
    <x:row r="239" ht="19.5" hidden="1" customHeight="1">
      <x:c r="A239" s="160"/>
      <x:c r="B239" s="179"/>
      <x:c r="C239" s="200"/>
      <x:c r="D239" s="200"/>
      <x:c r="E239" s="200"/>
      <x:c r="F239" s="201"/>
      <x:c r="G239" s="255"/>
      <x:c r="H239" s="255"/>
      <x:c r="I239" s="174"/>
      <x:c r="J239" s="122"/>
      <x:c r="K239" s="177"/>
      <x:c r="L239" s="122"/>
      <x:c r="M239" s="177"/>
      <x:c r="N239" s="178"/>
      <x:c r="O239" s="122"/>
      <x:c r="P239" s="177"/>
      <x:c r="Q239" s="122"/>
      <x:c r="R239" s="177"/>
      <x:c r="S239" s="178"/>
      <x:c r="T239" s="122"/>
      <x:c r="U239" s="177"/>
      <x:c r="V239" s="122"/>
      <x:c r="W239" s="177"/>
      <x:c r="X239" s="178"/>
      <x:c r="Y239" s="122"/>
      <x:c r="Z239" s="177"/>
      <x:c r="AA239" s="122"/>
      <x:c r="AB239" s="177"/>
      <x:c r="AC239" s="178"/>
      <x:c r="AD239" s="122"/>
      <x:c r="AE239" s="177"/>
      <x:c r="AF239" s="122"/>
      <x:c r="AG239" s="177"/>
      <x:c r="AH239" s="178"/>
      <x:c r="AI239" s="122"/>
      <x:c r="AJ239" s="177"/>
      <x:c r="AK239" s="122"/>
      <x:c r="AL239" s="177"/>
      <x:c r="AM239" s="178"/>
      <x:c r="AN239" s="122"/>
      <x:c r="AO239" s="177"/>
      <x:c r="AP239" s="122"/>
    </x:row>
    <x:row r="240" ht="19.5" hidden="1" customHeight="1">
      <x:c r="A240" s="169"/>
      <x:c r="B240" s="170"/>
      <x:c r="C240" s="200"/>
      <x:c r="D240" s="200"/>
      <x:c r="E240" s="200"/>
      <x:c r="F240" s="201"/>
      <x:c r="G240" s="255"/>
      <x:c r="H240" s="255"/>
      <x:c r="I240" s="174"/>
      <x:c r="J240" s="122"/>
      <x:c r="K240" s="177"/>
      <x:c r="L240" s="122"/>
      <x:c r="M240" s="177"/>
      <x:c r="N240" s="178"/>
      <x:c r="O240" s="122"/>
      <x:c r="P240" s="177"/>
      <x:c r="Q240" s="122"/>
      <x:c r="R240" s="177"/>
      <x:c r="S240" s="178"/>
      <x:c r="T240" s="122"/>
      <x:c r="U240" s="177"/>
      <x:c r="V240" s="122"/>
      <x:c r="W240" s="177"/>
      <x:c r="X240" s="178"/>
      <x:c r="Y240" s="122"/>
      <x:c r="Z240" s="177"/>
      <x:c r="AA240" s="122"/>
      <x:c r="AB240" s="177"/>
      <x:c r="AC240" s="178"/>
      <x:c r="AD240" s="122"/>
      <x:c r="AE240" s="177"/>
      <x:c r="AF240" s="122"/>
      <x:c r="AG240" s="177"/>
      <x:c r="AH240" s="178"/>
      <x:c r="AI240" s="122"/>
      <x:c r="AJ240" s="177"/>
      <x:c r="AK240" s="122"/>
      <x:c r="AL240" s="177"/>
      <x:c r="AM240" s="178"/>
      <x:c r="AN240" s="122"/>
      <x:c r="AO240" s="177"/>
      <x:c r="AP240" s="122"/>
    </x:row>
    <x:row r="241" ht="19.5" hidden="1" customHeight="1">
      <x:c r="A241" s="160"/>
      <x:c r="B241" s="179"/>
      <x:c r="C241" s="200"/>
      <x:c r="D241" s="200"/>
      <x:c r="E241" s="200"/>
      <x:c r="F241" s="201"/>
      <x:c r="G241" s="255"/>
      <x:c r="H241" s="255"/>
      <x:c r="I241" s="174"/>
      <x:c r="J241" s="122"/>
      <x:c r="K241" s="177"/>
      <x:c r="L241" s="122"/>
      <x:c r="M241" s="177"/>
      <x:c r="N241" s="178"/>
      <x:c r="O241" s="122"/>
      <x:c r="P241" s="177"/>
      <x:c r="Q241" s="122"/>
      <x:c r="R241" s="177"/>
      <x:c r="S241" s="178"/>
      <x:c r="T241" s="122"/>
      <x:c r="U241" s="177"/>
      <x:c r="V241" s="122"/>
      <x:c r="W241" s="177"/>
      <x:c r="X241" s="178"/>
      <x:c r="Y241" s="122"/>
      <x:c r="Z241" s="177"/>
      <x:c r="AA241" s="122"/>
      <x:c r="AB241" s="177"/>
      <x:c r="AC241" s="178"/>
      <x:c r="AD241" s="122"/>
      <x:c r="AE241" s="177"/>
      <x:c r="AF241" s="122"/>
      <x:c r="AG241" s="177"/>
      <x:c r="AH241" s="178"/>
      <x:c r="AI241" s="122"/>
      <x:c r="AJ241" s="177"/>
      <x:c r="AK241" s="122"/>
      <x:c r="AL241" s="177"/>
      <x:c r="AM241" s="178"/>
      <x:c r="AN241" s="122"/>
      <x:c r="AO241" s="177"/>
      <x:c r="AP241" s="122"/>
    </x:row>
    <x:row r="242" ht="19.5" hidden="1" customHeight="1">
      <x:c r="A242" s="169"/>
      <x:c r="B242" s="170"/>
      <x:c r="C242" s="200"/>
      <x:c r="D242" s="200"/>
      <x:c r="E242" s="200"/>
      <x:c r="F242" s="201"/>
      <x:c r="G242" s="255"/>
      <x:c r="H242" s="255"/>
      <x:c r="I242" s="174"/>
      <x:c r="J242" s="122"/>
      <x:c r="K242" s="177"/>
      <x:c r="L242" s="122"/>
      <x:c r="M242" s="177"/>
      <x:c r="N242" s="178"/>
      <x:c r="O242" s="122"/>
      <x:c r="P242" s="177"/>
      <x:c r="Q242" s="122"/>
      <x:c r="R242" s="177"/>
      <x:c r="S242" s="178"/>
      <x:c r="T242" s="122"/>
      <x:c r="U242" s="177"/>
      <x:c r="V242" s="122"/>
      <x:c r="W242" s="177"/>
      <x:c r="X242" s="178"/>
      <x:c r="Y242" s="122"/>
      <x:c r="Z242" s="177"/>
      <x:c r="AA242" s="122"/>
      <x:c r="AB242" s="177"/>
      <x:c r="AC242" s="178"/>
      <x:c r="AD242" s="122"/>
      <x:c r="AE242" s="177"/>
      <x:c r="AF242" s="122"/>
      <x:c r="AG242" s="177"/>
      <x:c r="AH242" s="178"/>
      <x:c r="AI242" s="122"/>
      <x:c r="AJ242" s="177"/>
      <x:c r="AK242" s="122"/>
      <x:c r="AL242" s="177"/>
      <x:c r="AM242" s="178"/>
      <x:c r="AN242" s="122"/>
      <x:c r="AO242" s="177"/>
      <x:c r="AP242" s="122"/>
    </x:row>
    <x:row r="243" ht="19.5" hidden="1" customHeight="1">
      <x:c r="A243" s="160"/>
      <x:c r="B243" s="179"/>
      <x:c r="C243" s="200"/>
      <x:c r="D243" s="200"/>
      <x:c r="E243" s="200"/>
      <x:c r="F243" s="201"/>
      <x:c r="G243" s="255"/>
      <x:c r="H243" s="255"/>
      <x:c r="I243" s="174"/>
      <x:c r="J243" s="122"/>
      <x:c r="K243" s="177"/>
      <x:c r="L243" s="122"/>
      <x:c r="M243" s="177"/>
      <x:c r="N243" s="178"/>
      <x:c r="O243" s="122"/>
      <x:c r="P243" s="177"/>
      <x:c r="Q243" s="122"/>
      <x:c r="R243" s="177"/>
      <x:c r="S243" s="178"/>
      <x:c r="T243" s="122"/>
      <x:c r="U243" s="177"/>
      <x:c r="V243" s="122"/>
      <x:c r="W243" s="177"/>
      <x:c r="X243" s="178"/>
      <x:c r="Y243" s="122"/>
      <x:c r="Z243" s="177"/>
      <x:c r="AA243" s="122"/>
      <x:c r="AB243" s="177"/>
      <x:c r="AC243" s="178"/>
      <x:c r="AD243" s="122"/>
      <x:c r="AE243" s="177"/>
      <x:c r="AF243" s="122"/>
      <x:c r="AG243" s="177"/>
      <x:c r="AH243" s="178"/>
      <x:c r="AI243" s="122"/>
      <x:c r="AJ243" s="177"/>
      <x:c r="AK243" s="122"/>
      <x:c r="AL243" s="177"/>
      <x:c r="AM243" s="178"/>
      <x:c r="AN243" s="122"/>
      <x:c r="AO243" s="177"/>
      <x:c r="AP243" s="122"/>
    </x:row>
    <x:row r="244" ht="19.5" hidden="1" customHeight="1">
      <x:c r="A244" s="169"/>
      <x:c r="B244" s="170"/>
      <x:c r="C244" s="200"/>
      <x:c r="D244" s="200"/>
      <x:c r="E244" s="200"/>
      <x:c r="F244" s="201"/>
      <x:c r="G244" s="255"/>
      <x:c r="H244" s="255"/>
      <x:c r="I244" s="174"/>
      <x:c r="J244" s="122"/>
      <x:c r="K244" s="177"/>
      <x:c r="L244" s="122"/>
      <x:c r="M244" s="177"/>
      <x:c r="N244" s="178"/>
      <x:c r="O244" s="122"/>
      <x:c r="P244" s="177"/>
      <x:c r="Q244" s="122"/>
      <x:c r="R244" s="177"/>
      <x:c r="S244" s="178"/>
      <x:c r="T244" s="122"/>
      <x:c r="U244" s="177"/>
      <x:c r="V244" s="122"/>
      <x:c r="W244" s="177"/>
      <x:c r="X244" s="178"/>
      <x:c r="Y244" s="122"/>
      <x:c r="Z244" s="177"/>
      <x:c r="AA244" s="122"/>
      <x:c r="AB244" s="177"/>
      <x:c r="AC244" s="178"/>
      <x:c r="AD244" s="122"/>
      <x:c r="AE244" s="177"/>
      <x:c r="AF244" s="122"/>
      <x:c r="AG244" s="177"/>
      <x:c r="AH244" s="178"/>
      <x:c r="AI244" s="122"/>
      <x:c r="AJ244" s="177"/>
      <x:c r="AK244" s="122"/>
      <x:c r="AL244" s="177"/>
      <x:c r="AM244" s="178"/>
      <x:c r="AN244" s="122"/>
      <x:c r="AO244" s="177"/>
      <x:c r="AP244" s="122"/>
    </x:row>
    <x:row r="245" ht="19.5" hidden="1" customHeight="1">
      <x:c r="A245" s="160"/>
      <x:c r="B245" s="179"/>
      <x:c r="C245" s="200"/>
      <x:c r="D245" s="200"/>
      <x:c r="E245" s="200"/>
      <x:c r="F245" s="201"/>
      <x:c r="G245" s="255"/>
      <x:c r="H245" s="255"/>
      <x:c r="I245" s="174"/>
      <x:c r="J245" s="122"/>
      <x:c r="K245" s="177"/>
      <x:c r="L245" s="122"/>
      <x:c r="M245" s="177"/>
      <x:c r="N245" s="178"/>
      <x:c r="O245" s="122"/>
      <x:c r="P245" s="177"/>
      <x:c r="Q245" s="122"/>
      <x:c r="R245" s="177"/>
      <x:c r="S245" s="178"/>
      <x:c r="T245" s="122"/>
      <x:c r="U245" s="177"/>
      <x:c r="V245" s="122"/>
      <x:c r="W245" s="177"/>
      <x:c r="X245" s="178"/>
      <x:c r="Y245" s="122"/>
      <x:c r="Z245" s="177"/>
      <x:c r="AA245" s="122"/>
      <x:c r="AB245" s="177"/>
      <x:c r="AC245" s="178"/>
      <x:c r="AD245" s="122"/>
      <x:c r="AE245" s="177"/>
      <x:c r="AF245" s="122"/>
      <x:c r="AG245" s="177"/>
      <x:c r="AH245" s="178"/>
      <x:c r="AI245" s="122"/>
      <x:c r="AJ245" s="177"/>
      <x:c r="AK245" s="122"/>
      <x:c r="AL245" s="177"/>
      <x:c r="AM245" s="178"/>
      <x:c r="AN245" s="122"/>
      <x:c r="AO245" s="177"/>
      <x:c r="AP245" s="122"/>
    </x:row>
    <x:row r="246" ht="19.5" hidden="1" customHeight="1">
      <x:c r="A246" s="169"/>
      <x:c r="B246" s="170"/>
      <x:c r="C246" s="200"/>
      <x:c r="D246" s="200"/>
      <x:c r="E246" s="200"/>
      <x:c r="F246" s="201"/>
      <x:c r="G246" s="255"/>
      <x:c r="H246" s="255"/>
      <x:c r="I246" s="174"/>
      <x:c r="J246" s="122"/>
      <x:c r="K246" s="177"/>
      <x:c r="L246" s="122"/>
      <x:c r="M246" s="177"/>
      <x:c r="N246" s="178"/>
      <x:c r="O246" s="122"/>
      <x:c r="P246" s="177"/>
      <x:c r="Q246" s="122"/>
      <x:c r="R246" s="177"/>
      <x:c r="S246" s="178"/>
      <x:c r="T246" s="122"/>
      <x:c r="U246" s="177"/>
      <x:c r="V246" s="122"/>
      <x:c r="W246" s="177"/>
      <x:c r="X246" s="178"/>
      <x:c r="Y246" s="122"/>
      <x:c r="Z246" s="177"/>
      <x:c r="AA246" s="122"/>
      <x:c r="AB246" s="177"/>
      <x:c r="AC246" s="178"/>
      <x:c r="AD246" s="122"/>
      <x:c r="AE246" s="177"/>
      <x:c r="AF246" s="122"/>
      <x:c r="AG246" s="177"/>
      <x:c r="AH246" s="178"/>
      <x:c r="AI246" s="122"/>
      <x:c r="AJ246" s="177"/>
      <x:c r="AK246" s="122"/>
      <x:c r="AL246" s="177"/>
      <x:c r="AM246" s="178"/>
      <x:c r="AN246" s="122"/>
      <x:c r="AO246" s="177"/>
      <x:c r="AP246" s="122"/>
    </x:row>
    <x:row r="247" ht="19.5" hidden="1" customHeight="1">
      <x:c r="A247" s="160"/>
      <x:c r="B247" s="179"/>
      <x:c r="C247" s="200"/>
      <x:c r="D247" s="200"/>
      <x:c r="E247" s="200"/>
      <x:c r="F247" s="201"/>
      <x:c r="G247" s="255"/>
      <x:c r="H247" s="255"/>
      <x:c r="I247" s="174"/>
      <x:c r="J247" s="122"/>
      <x:c r="K247" s="177"/>
      <x:c r="L247" s="122"/>
      <x:c r="M247" s="177"/>
      <x:c r="N247" s="178"/>
      <x:c r="O247" s="122"/>
      <x:c r="P247" s="177"/>
      <x:c r="Q247" s="122"/>
      <x:c r="R247" s="177"/>
      <x:c r="S247" s="178"/>
      <x:c r="T247" s="122"/>
      <x:c r="U247" s="177"/>
      <x:c r="V247" s="122"/>
      <x:c r="W247" s="177"/>
      <x:c r="X247" s="178"/>
      <x:c r="Y247" s="122"/>
      <x:c r="Z247" s="177"/>
      <x:c r="AA247" s="122"/>
      <x:c r="AB247" s="177"/>
      <x:c r="AC247" s="178"/>
      <x:c r="AD247" s="122"/>
      <x:c r="AE247" s="177"/>
      <x:c r="AF247" s="122"/>
      <x:c r="AG247" s="177"/>
      <x:c r="AH247" s="178"/>
      <x:c r="AI247" s="122"/>
      <x:c r="AJ247" s="177"/>
      <x:c r="AK247" s="122"/>
      <x:c r="AL247" s="177"/>
      <x:c r="AM247" s="178"/>
      <x:c r="AN247" s="122"/>
      <x:c r="AO247" s="177"/>
      <x:c r="AP247" s="122"/>
    </x:row>
    <x:row r="248" ht="19.5" hidden="1" customHeight="1">
      <x:c r="A248" s="169"/>
      <x:c r="B248" s="170"/>
      <x:c r="C248" s="200"/>
      <x:c r="D248" s="200"/>
      <x:c r="E248" s="200"/>
      <x:c r="F248" s="201"/>
      <x:c r="G248" s="255"/>
      <x:c r="H248" s="255"/>
      <x:c r="I248" s="174"/>
      <x:c r="J248" s="122"/>
      <x:c r="K248" s="177"/>
      <x:c r="L248" s="122"/>
      <x:c r="M248" s="177"/>
      <x:c r="N248" s="178"/>
      <x:c r="O248" s="122"/>
      <x:c r="P248" s="177"/>
      <x:c r="Q248" s="122"/>
      <x:c r="R248" s="177"/>
      <x:c r="S248" s="178"/>
      <x:c r="T248" s="122"/>
      <x:c r="U248" s="177"/>
      <x:c r="V248" s="122"/>
      <x:c r="W248" s="177"/>
      <x:c r="X248" s="178"/>
      <x:c r="Y248" s="122"/>
      <x:c r="Z248" s="177"/>
      <x:c r="AA248" s="122"/>
      <x:c r="AB248" s="177"/>
      <x:c r="AC248" s="178"/>
      <x:c r="AD248" s="122"/>
      <x:c r="AE248" s="177"/>
      <x:c r="AF248" s="122"/>
      <x:c r="AG248" s="177"/>
      <x:c r="AH248" s="178"/>
      <x:c r="AI248" s="122"/>
      <x:c r="AJ248" s="177"/>
      <x:c r="AK248" s="122"/>
      <x:c r="AL248" s="177"/>
      <x:c r="AM248" s="178"/>
      <x:c r="AN248" s="122"/>
      <x:c r="AO248" s="177"/>
      <x:c r="AP248" s="122"/>
    </x:row>
    <x:row r="249" ht="19.5" hidden="1" customHeight="1">
      <x:c r="A249" s="160"/>
      <x:c r="B249" s="179"/>
      <x:c r="C249" s="200"/>
      <x:c r="D249" s="200"/>
      <x:c r="E249" s="200"/>
      <x:c r="F249" s="201"/>
      <x:c r="G249" s="255"/>
      <x:c r="H249" s="255"/>
      <x:c r="I249" s="174"/>
      <x:c r="J249" s="122"/>
      <x:c r="K249" s="177"/>
      <x:c r="L249" s="122"/>
      <x:c r="M249" s="177"/>
      <x:c r="N249" s="178"/>
      <x:c r="O249" s="122"/>
      <x:c r="P249" s="177"/>
      <x:c r="Q249" s="122"/>
      <x:c r="R249" s="177"/>
      <x:c r="S249" s="178"/>
      <x:c r="T249" s="122"/>
      <x:c r="U249" s="177"/>
      <x:c r="V249" s="122"/>
      <x:c r="W249" s="177"/>
      <x:c r="X249" s="178"/>
      <x:c r="Y249" s="122"/>
      <x:c r="Z249" s="177"/>
      <x:c r="AA249" s="122"/>
      <x:c r="AB249" s="177"/>
      <x:c r="AC249" s="178"/>
      <x:c r="AD249" s="122"/>
      <x:c r="AE249" s="177"/>
      <x:c r="AF249" s="122"/>
      <x:c r="AG249" s="177"/>
      <x:c r="AH249" s="178"/>
      <x:c r="AI249" s="122"/>
      <x:c r="AJ249" s="177"/>
      <x:c r="AK249" s="122"/>
      <x:c r="AL249" s="177"/>
      <x:c r="AM249" s="178"/>
      <x:c r="AN249" s="122"/>
      <x:c r="AO249" s="177"/>
      <x:c r="AP249" s="122"/>
    </x:row>
    <x:row r="250" ht="19.5" hidden="1" customHeight="1">
      <x:c r="A250" s="169"/>
      <x:c r="B250" s="170"/>
      <x:c r="C250" s="200"/>
      <x:c r="D250" s="200"/>
      <x:c r="E250" s="200"/>
      <x:c r="F250" s="201"/>
      <x:c r="G250" s="255"/>
      <x:c r="H250" s="255"/>
      <x:c r="I250" s="174"/>
      <x:c r="J250" s="122"/>
      <x:c r="K250" s="177"/>
      <x:c r="L250" s="122"/>
      <x:c r="M250" s="177"/>
      <x:c r="N250" s="178"/>
      <x:c r="O250" s="122"/>
      <x:c r="P250" s="177"/>
      <x:c r="Q250" s="122"/>
      <x:c r="R250" s="177"/>
      <x:c r="S250" s="178"/>
      <x:c r="T250" s="122"/>
      <x:c r="U250" s="177"/>
      <x:c r="V250" s="122"/>
      <x:c r="W250" s="177"/>
      <x:c r="X250" s="178"/>
      <x:c r="Y250" s="122"/>
      <x:c r="Z250" s="177"/>
      <x:c r="AA250" s="122"/>
      <x:c r="AB250" s="177"/>
      <x:c r="AC250" s="178"/>
      <x:c r="AD250" s="122"/>
      <x:c r="AE250" s="177"/>
      <x:c r="AF250" s="122"/>
      <x:c r="AG250" s="177"/>
      <x:c r="AH250" s="178"/>
      <x:c r="AI250" s="122"/>
      <x:c r="AJ250" s="177"/>
      <x:c r="AK250" s="122"/>
      <x:c r="AL250" s="177"/>
      <x:c r="AM250" s="178"/>
      <x:c r="AN250" s="122"/>
      <x:c r="AO250" s="177"/>
      <x:c r="AP250" s="122"/>
    </x:row>
    <x:row r="251" ht="19.5" hidden="1" customHeight="1">
      <x:c r="A251" s="160"/>
      <x:c r="B251" s="179"/>
      <x:c r="C251" s="200"/>
      <x:c r="D251" s="200"/>
      <x:c r="E251" s="200"/>
      <x:c r="F251" s="201"/>
      <x:c r="G251" s="255"/>
      <x:c r="H251" s="255"/>
      <x:c r="I251" s="174"/>
      <x:c r="J251" s="122"/>
      <x:c r="K251" s="177"/>
      <x:c r="L251" s="122"/>
      <x:c r="M251" s="177"/>
      <x:c r="N251" s="178"/>
      <x:c r="O251" s="122"/>
      <x:c r="P251" s="177"/>
      <x:c r="Q251" s="122"/>
      <x:c r="R251" s="177"/>
      <x:c r="S251" s="178"/>
      <x:c r="T251" s="122"/>
      <x:c r="U251" s="177"/>
      <x:c r="V251" s="122"/>
      <x:c r="W251" s="177"/>
      <x:c r="X251" s="178"/>
      <x:c r="Y251" s="122"/>
      <x:c r="Z251" s="177"/>
      <x:c r="AA251" s="122"/>
      <x:c r="AB251" s="177"/>
      <x:c r="AC251" s="178"/>
      <x:c r="AD251" s="122"/>
      <x:c r="AE251" s="177"/>
      <x:c r="AF251" s="122"/>
      <x:c r="AG251" s="177"/>
      <x:c r="AH251" s="178"/>
      <x:c r="AI251" s="122"/>
      <x:c r="AJ251" s="177"/>
      <x:c r="AK251" s="122"/>
      <x:c r="AL251" s="177"/>
      <x:c r="AM251" s="178"/>
      <x:c r="AN251" s="122"/>
      <x:c r="AO251" s="177"/>
      <x:c r="AP251" s="122"/>
    </x:row>
    <x:row r="252" ht="19.5" hidden="1" customHeight="1">
      <x:c r="A252" s="169"/>
      <x:c r="B252" s="170"/>
      <x:c r="C252" s="200"/>
      <x:c r="D252" s="200"/>
      <x:c r="E252" s="200"/>
      <x:c r="F252" s="201"/>
      <x:c r="G252" s="255"/>
      <x:c r="H252" s="255"/>
      <x:c r="I252" s="174"/>
      <x:c r="J252" s="122"/>
      <x:c r="K252" s="177"/>
      <x:c r="L252" s="122"/>
      <x:c r="M252" s="177"/>
      <x:c r="N252" s="178"/>
      <x:c r="O252" s="122"/>
      <x:c r="P252" s="177"/>
      <x:c r="Q252" s="122"/>
      <x:c r="R252" s="177"/>
      <x:c r="S252" s="178"/>
      <x:c r="T252" s="122"/>
      <x:c r="U252" s="177"/>
      <x:c r="V252" s="122"/>
      <x:c r="W252" s="177"/>
      <x:c r="X252" s="178"/>
      <x:c r="Y252" s="122"/>
      <x:c r="Z252" s="177"/>
      <x:c r="AA252" s="122"/>
      <x:c r="AB252" s="177"/>
      <x:c r="AC252" s="178"/>
      <x:c r="AD252" s="122"/>
      <x:c r="AE252" s="177"/>
      <x:c r="AF252" s="122"/>
      <x:c r="AG252" s="177"/>
      <x:c r="AH252" s="178"/>
      <x:c r="AI252" s="122"/>
      <x:c r="AJ252" s="177"/>
      <x:c r="AK252" s="122"/>
      <x:c r="AL252" s="177"/>
      <x:c r="AM252" s="178"/>
      <x:c r="AN252" s="122"/>
      <x:c r="AO252" s="177"/>
      <x:c r="AP252" s="122"/>
    </x:row>
    <x:row r="253" ht="19.5" hidden="1" customHeight="1">
      <x:c r="A253" s="160"/>
      <x:c r="B253" s="179"/>
      <x:c r="C253" s="200"/>
      <x:c r="D253" s="200"/>
      <x:c r="E253" s="200"/>
      <x:c r="F253" s="201"/>
      <x:c r="G253" s="255"/>
      <x:c r="H253" s="255"/>
      <x:c r="I253" s="174"/>
      <x:c r="J253" s="122"/>
      <x:c r="K253" s="177"/>
      <x:c r="L253" s="122"/>
      <x:c r="M253" s="177"/>
      <x:c r="N253" s="178"/>
      <x:c r="O253" s="122"/>
      <x:c r="P253" s="177"/>
      <x:c r="Q253" s="122"/>
      <x:c r="R253" s="177"/>
      <x:c r="S253" s="178"/>
      <x:c r="T253" s="122"/>
      <x:c r="U253" s="177"/>
      <x:c r="V253" s="122"/>
      <x:c r="W253" s="177"/>
      <x:c r="X253" s="178"/>
      <x:c r="Y253" s="122"/>
      <x:c r="Z253" s="177"/>
      <x:c r="AA253" s="122"/>
      <x:c r="AB253" s="177"/>
      <x:c r="AC253" s="178"/>
      <x:c r="AD253" s="122"/>
      <x:c r="AE253" s="177"/>
      <x:c r="AF253" s="122"/>
      <x:c r="AG253" s="177"/>
      <x:c r="AH253" s="178"/>
      <x:c r="AI253" s="122"/>
      <x:c r="AJ253" s="177"/>
      <x:c r="AK253" s="122"/>
      <x:c r="AL253" s="177"/>
      <x:c r="AM253" s="178"/>
      <x:c r="AN253" s="122"/>
      <x:c r="AO253" s="177"/>
      <x:c r="AP253" s="122"/>
    </x:row>
    <x:row r="254" ht="19.5" hidden="1" customHeight="1">
      <x:c r="A254" s="169"/>
      <x:c r="B254" s="170"/>
      <x:c r="C254" s="200"/>
      <x:c r="D254" s="200"/>
      <x:c r="E254" s="200"/>
      <x:c r="F254" s="201"/>
      <x:c r="G254" s="255"/>
      <x:c r="H254" s="255"/>
      <x:c r="I254" s="174"/>
      <x:c r="J254" s="122"/>
      <x:c r="K254" s="177"/>
      <x:c r="L254" s="122"/>
      <x:c r="M254" s="177"/>
      <x:c r="N254" s="178"/>
      <x:c r="O254" s="122"/>
      <x:c r="P254" s="177"/>
      <x:c r="Q254" s="122"/>
      <x:c r="R254" s="177"/>
      <x:c r="S254" s="178"/>
      <x:c r="T254" s="122"/>
      <x:c r="U254" s="177"/>
      <x:c r="V254" s="122"/>
      <x:c r="W254" s="177"/>
      <x:c r="X254" s="178"/>
      <x:c r="Y254" s="122"/>
      <x:c r="Z254" s="177"/>
      <x:c r="AA254" s="122"/>
      <x:c r="AB254" s="177"/>
      <x:c r="AC254" s="178"/>
      <x:c r="AD254" s="122"/>
      <x:c r="AE254" s="177"/>
      <x:c r="AF254" s="122"/>
      <x:c r="AG254" s="177"/>
      <x:c r="AH254" s="178"/>
      <x:c r="AI254" s="122"/>
      <x:c r="AJ254" s="177"/>
      <x:c r="AK254" s="122"/>
      <x:c r="AL254" s="177"/>
      <x:c r="AM254" s="178"/>
      <x:c r="AN254" s="122"/>
      <x:c r="AO254" s="177"/>
      <x:c r="AP254" s="122"/>
    </x:row>
    <x:row r="255" ht="19.5" hidden="1" customHeight="1">
      <x:c r="A255" s="160"/>
      <x:c r="B255" s="179"/>
      <x:c r="C255" s="200"/>
      <x:c r="D255" s="200"/>
      <x:c r="E255" s="200"/>
      <x:c r="F255" s="201"/>
      <x:c r="G255" s="255"/>
      <x:c r="H255" s="255"/>
      <x:c r="I255" s="174"/>
      <x:c r="J255" s="122"/>
      <x:c r="K255" s="177"/>
      <x:c r="L255" s="122"/>
      <x:c r="M255" s="177"/>
      <x:c r="N255" s="178"/>
      <x:c r="O255" s="122"/>
      <x:c r="P255" s="177"/>
      <x:c r="Q255" s="122"/>
      <x:c r="R255" s="177"/>
      <x:c r="S255" s="178"/>
      <x:c r="T255" s="122"/>
      <x:c r="U255" s="177"/>
      <x:c r="V255" s="122"/>
      <x:c r="W255" s="177"/>
      <x:c r="X255" s="178"/>
      <x:c r="Y255" s="122"/>
      <x:c r="Z255" s="177"/>
      <x:c r="AA255" s="122"/>
      <x:c r="AB255" s="177"/>
      <x:c r="AC255" s="178"/>
      <x:c r="AD255" s="122"/>
      <x:c r="AE255" s="177"/>
      <x:c r="AF255" s="122"/>
      <x:c r="AG255" s="177"/>
      <x:c r="AH255" s="178"/>
      <x:c r="AI255" s="122"/>
      <x:c r="AJ255" s="177"/>
      <x:c r="AK255" s="122"/>
      <x:c r="AL255" s="177"/>
      <x:c r="AM255" s="178"/>
      <x:c r="AN255" s="122"/>
      <x:c r="AO255" s="177"/>
      <x:c r="AP255" s="122"/>
    </x:row>
    <x:row r="256" ht="19.5" hidden="1" customHeight="1">
      <x:c r="A256" s="169"/>
      <x:c r="B256" s="170"/>
      <x:c r="C256" s="200"/>
      <x:c r="D256" s="200"/>
      <x:c r="E256" s="200"/>
      <x:c r="F256" s="201"/>
      <x:c r="G256" s="255"/>
      <x:c r="H256" s="255"/>
      <x:c r="I256" s="174"/>
      <x:c r="J256" s="122"/>
      <x:c r="K256" s="177"/>
      <x:c r="L256" s="122"/>
      <x:c r="M256" s="177"/>
      <x:c r="N256" s="178"/>
      <x:c r="O256" s="122"/>
      <x:c r="P256" s="177"/>
      <x:c r="Q256" s="122"/>
      <x:c r="R256" s="177"/>
      <x:c r="S256" s="178"/>
      <x:c r="T256" s="122"/>
      <x:c r="U256" s="177"/>
      <x:c r="V256" s="122"/>
      <x:c r="W256" s="177"/>
      <x:c r="X256" s="178"/>
      <x:c r="Y256" s="122"/>
      <x:c r="Z256" s="177"/>
      <x:c r="AA256" s="122"/>
      <x:c r="AB256" s="177"/>
      <x:c r="AC256" s="178"/>
      <x:c r="AD256" s="122"/>
      <x:c r="AE256" s="177"/>
      <x:c r="AF256" s="122"/>
      <x:c r="AG256" s="177"/>
      <x:c r="AH256" s="178"/>
      <x:c r="AI256" s="122"/>
      <x:c r="AJ256" s="177"/>
      <x:c r="AK256" s="122"/>
      <x:c r="AL256" s="177"/>
      <x:c r="AM256" s="178"/>
      <x:c r="AN256" s="122"/>
      <x:c r="AO256" s="177"/>
      <x:c r="AP256" s="122"/>
    </x:row>
    <x:row r="257" ht="19.5" hidden="1" customHeight="1">
      <x:c r="A257" s="160"/>
      <x:c r="B257" s="179"/>
      <x:c r="C257" s="200"/>
      <x:c r="D257" s="200"/>
      <x:c r="E257" s="200"/>
      <x:c r="F257" s="201"/>
      <x:c r="G257" s="255"/>
      <x:c r="H257" s="255"/>
      <x:c r="I257" s="174"/>
      <x:c r="J257" s="122"/>
      <x:c r="K257" s="177"/>
      <x:c r="L257" s="122"/>
      <x:c r="M257" s="177"/>
      <x:c r="N257" s="178"/>
      <x:c r="O257" s="122"/>
      <x:c r="P257" s="177"/>
      <x:c r="Q257" s="122"/>
      <x:c r="R257" s="177"/>
      <x:c r="S257" s="178"/>
      <x:c r="T257" s="122"/>
      <x:c r="U257" s="177"/>
      <x:c r="V257" s="122"/>
      <x:c r="W257" s="177"/>
      <x:c r="X257" s="178"/>
      <x:c r="Y257" s="122"/>
      <x:c r="Z257" s="177"/>
      <x:c r="AA257" s="122"/>
      <x:c r="AB257" s="177"/>
      <x:c r="AC257" s="178"/>
      <x:c r="AD257" s="122"/>
      <x:c r="AE257" s="177"/>
      <x:c r="AF257" s="122"/>
      <x:c r="AG257" s="177"/>
      <x:c r="AH257" s="178"/>
      <x:c r="AI257" s="122"/>
      <x:c r="AJ257" s="177"/>
      <x:c r="AK257" s="122"/>
      <x:c r="AL257" s="177"/>
      <x:c r="AM257" s="178"/>
      <x:c r="AN257" s="122"/>
      <x:c r="AO257" s="177"/>
      <x:c r="AP257" s="122"/>
    </x:row>
    <x:row r="258" ht="19.5" hidden="1" customHeight="1">
      <x:c r="A258" s="169"/>
      <x:c r="B258" s="170"/>
      <x:c r="C258" s="200"/>
      <x:c r="D258" s="200"/>
      <x:c r="E258" s="200"/>
      <x:c r="F258" s="201"/>
      <x:c r="G258" s="255"/>
      <x:c r="H258" s="255"/>
      <x:c r="I258" s="174"/>
      <x:c r="J258" s="122"/>
      <x:c r="K258" s="177"/>
      <x:c r="L258" s="122"/>
      <x:c r="M258" s="177"/>
      <x:c r="N258" s="178"/>
      <x:c r="O258" s="122"/>
      <x:c r="P258" s="177"/>
      <x:c r="Q258" s="122"/>
      <x:c r="R258" s="177"/>
      <x:c r="S258" s="178"/>
      <x:c r="T258" s="122"/>
      <x:c r="U258" s="177"/>
      <x:c r="V258" s="122"/>
      <x:c r="W258" s="177"/>
      <x:c r="X258" s="178"/>
      <x:c r="Y258" s="122"/>
      <x:c r="Z258" s="177"/>
      <x:c r="AA258" s="122"/>
      <x:c r="AB258" s="177"/>
      <x:c r="AC258" s="178"/>
      <x:c r="AD258" s="122"/>
      <x:c r="AE258" s="177"/>
      <x:c r="AF258" s="122"/>
      <x:c r="AG258" s="177"/>
      <x:c r="AH258" s="178"/>
      <x:c r="AI258" s="122"/>
      <x:c r="AJ258" s="177"/>
      <x:c r="AK258" s="122"/>
      <x:c r="AL258" s="177"/>
      <x:c r="AM258" s="178"/>
      <x:c r="AN258" s="122"/>
      <x:c r="AO258" s="177"/>
      <x:c r="AP258" s="122"/>
    </x:row>
    <x:row r="259" ht="19.5" hidden="1" customHeight="1">
      <x:c r="A259" s="160"/>
      <x:c r="B259" s="179"/>
      <x:c r="C259" s="200"/>
      <x:c r="D259" s="200"/>
      <x:c r="E259" s="200"/>
      <x:c r="F259" s="201"/>
      <x:c r="G259" s="255"/>
      <x:c r="H259" s="255"/>
      <x:c r="I259" s="174"/>
      <x:c r="J259" s="122"/>
      <x:c r="K259" s="177"/>
      <x:c r="L259" s="122"/>
      <x:c r="M259" s="177"/>
      <x:c r="N259" s="178"/>
      <x:c r="O259" s="122"/>
      <x:c r="P259" s="177"/>
      <x:c r="Q259" s="122"/>
      <x:c r="R259" s="177"/>
      <x:c r="S259" s="178"/>
      <x:c r="T259" s="122"/>
      <x:c r="U259" s="177"/>
      <x:c r="V259" s="122"/>
      <x:c r="W259" s="177"/>
      <x:c r="X259" s="178"/>
      <x:c r="Y259" s="122"/>
      <x:c r="Z259" s="177"/>
      <x:c r="AA259" s="122"/>
      <x:c r="AB259" s="177"/>
      <x:c r="AC259" s="178"/>
      <x:c r="AD259" s="122"/>
      <x:c r="AE259" s="177"/>
      <x:c r="AF259" s="122"/>
      <x:c r="AG259" s="177"/>
      <x:c r="AH259" s="178"/>
      <x:c r="AI259" s="122"/>
      <x:c r="AJ259" s="177"/>
      <x:c r="AK259" s="122"/>
      <x:c r="AL259" s="177"/>
      <x:c r="AM259" s="178"/>
      <x:c r="AN259" s="122"/>
      <x:c r="AO259" s="177"/>
      <x:c r="AP259" s="122"/>
    </x:row>
    <x:row r="260" ht="19.5" hidden="1" customHeight="1">
      <x:c r="A260" s="169"/>
      <x:c r="B260" s="170"/>
      <x:c r="C260" s="200"/>
      <x:c r="D260" s="200"/>
      <x:c r="E260" s="200"/>
      <x:c r="F260" s="201"/>
      <x:c r="G260" s="255"/>
      <x:c r="H260" s="255"/>
      <x:c r="I260" s="174"/>
      <x:c r="J260" s="122"/>
      <x:c r="K260" s="177"/>
      <x:c r="L260" s="122"/>
      <x:c r="M260" s="177"/>
      <x:c r="N260" s="178"/>
      <x:c r="O260" s="122"/>
      <x:c r="P260" s="177"/>
      <x:c r="Q260" s="122"/>
      <x:c r="R260" s="177"/>
      <x:c r="S260" s="178"/>
      <x:c r="T260" s="122"/>
      <x:c r="U260" s="177"/>
      <x:c r="V260" s="122"/>
      <x:c r="W260" s="177"/>
      <x:c r="X260" s="178"/>
      <x:c r="Y260" s="122"/>
      <x:c r="Z260" s="177"/>
      <x:c r="AA260" s="122"/>
      <x:c r="AB260" s="177"/>
      <x:c r="AC260" s="178"/>
      <x:c r="AD260" s="122"/>
      <x:c r="AE260" s="177"/>
      <x:c r="AF260" s="122"/>
      <x:c r="AG260" s="177"/>
      <x:c r="AH260" s="178"/>
      <x:c r="AI260" s="122"/>
      <x:c r="AJ260" s="177"/>
      <x:c r="AK260" s="122"/>
      <x:c r="AL260" s="177"/>
      <x:c r="AM260" s="178"/>
      <x:c r="AN260" s="122"/>
      <x:c r="AO260" s="177"/>
      <x:c r="AP260" s="122"/>
    </x:row>
    <x:row r="261" ht="19.5" hidden="1" customHeight="1">
      <x:c r="A261" s="160"/>
      <x:c r="B261" s="179"/>
      <x:c r="C261" s="200"/>
      <x:c r="D261" s="200"/>
      <x:c r="E261" s="200"/>
      <x:c r="F261" s="201"/>
      <x:c r="G261" s="255"/>
      <x:c r="H261" s="255"/>
      <x:c r="I261" s="174"/>
      <x:c r="J261" s="122"/>
      <x:c r="K261" s="177"/>
      <x:c r="L261" s="122"/>
      <x:c r="M261" s="177"/>
      <x:c r="N261" s="178"/>
      <x:c r="O261" s="122"/>
      <x:c r="P261" s="177"/>
      <x:c r="Q261" s="122"/>
      <x:c r="R261" s="177"/>
      <x:c r="S261" s="178"/>
      <x:c r="T261" s="122"/>
      <x:c r="U261" s="177"/>
      <x:c r="V261" s="122"/>
      <x:c r="W261" s="177"/>
      <x:c r="X261" s="178"/>
      <x:c r="Y261" s="122"/>
      <x:c r="Z261" s="177"/>
      <x:c r="AA261" s="122"/>
      <x:c r="AB261" s="177"/>
      <x:c r="AC261" s="178"/>
      <x:c r="AD261" s="122"/>
      <x:c r="AE261" s="177"/>
      <x:c r="AF261" s="122"/>
      <x:c r="AG261" s="177"/>
      <x:c r="AH261" s="178"/>
      <x:c r="AI261" s="122"/>
      <x:c r="AJ261" s="177"/>
      <x:c r="AK261" s="122"/>
      <x:c r="AL261" s="177"/>
      <x:c r="AM261" s="178"/>
      <x:c r="AN261" s="122"/>
      <x:c r="AO261" s="177"/>
      <x:c r="AP261" s="122"/>
    </x:row>
    <x:row r="262" ht="19.5" hidden="1" customHeight="1">
      <x:c r="A262" s="169"/>
      <x:c r="B262" s="170"/>
      <x:c r="C262" s="200"/>
      <x:c r="D262" s="200"/>
      <x:c r="E262" s="200"/>
      <x:c r="F262" s="201"/>
      <x:c r="G262" s="255"/>
      <x:c r="H262" s="255"/>
      <x:c r="I262" s="174"/>
      <x:c r="J262" s="122"/>
      <x:c r="K262" s="177"/>
      <x:c r="L262" s="122"/>
      <x:c r="M262" s="177"/>
      <x:c r="N262" s="178"/>
      <x:c r="O262" s="122"/>
      <x:c r="P262" s="177"/>
      <x:c r="Q262" s="122"/>
      <x:c r="R262" s="177"/>
      <x:c r="S262" s="178"/>
      <x:c r="T262" s="122"/>
      <x:c r="U262" s="177"/>
      <x:c r="V262" s="122"/>
      <x:c r="W262" s="177"/>
      <x:c r="X262" s="178"/>
      <x:c r="Y262" s="122"/>
      <x:c r="Z262" s="177"/>
      <x:c r="AA262" s="122"/>
      <x:c r="AB262" s="177"/>
      <x:c r="AC262" s="178"/>
      <x:c r="AD262" s="122"/>
      <x:c r="AE262" s="177"/>
      <x:c r="AF262" s="122"/>
      <x:c r="AG262" s="177"/>
      <x:c r="AH262" s="178"/>
      <x:c r="AI262" s="122"/>
      <x:c r="AJ262" s="177"/>
      <x:c r="AK262" s="122"/>
      <x:c r="AL262" s="177"/>
      <x:c r="AM262" s="178"/>
      <x:c r="AN262" s="122"/>
      <x:c r="AO262" s="177"/>
      <x:c r="AP262" s="122"/>
    </x:row>
    <x:row r="263" ht="19.5" hidden="1" customHeight="1">
      <x:c r="A263" s="160"/>
      <x:c r="B263" s="179"/>
      <x:c r="C263" s="200"/>
      <x:c r="D263" s="200"/>
      <x:c r="E263" s="200"/>
      <x:c r="F263" s="201"/>
      <x:c r="G263" s="255"/>
      <x:c r="H263" s="255"/>
      <x:c r="I263" s="174"/>
      <x:c r="J263" s="122"/>
      <x:c r="K263" s="177"/>
      <x:c r="L263" s="122"/>
      <x:c r="M263" s="177"/>
      <x:c r="N263" s="178"/>
      <x:c r="O263" s="122"/>
      <x:c r="P263" s="177"/>
      <x:c r="Q263" s="122"/>
      <x:c r="R263" s="177"/>
      <x:c r="S263" s="178"/>
      <x:c r="T263" s="122"/>
      <x:c r="U263" s="177"/>
      <x:c r="V263" s="122"/>
      <x:c r="W263" s="177"/>
      <x:c r="X263" s="178"/>
      <x:c r="Y263" s="122"/>
      <x:c r="Z263" s="177"/>
      <x:c r="AA263" s="122"/>
      <x:c r="AB263" s="177"/>
      <x:c r="AC263" s="178"/>
      <x:c r="AD263" s="122"/>
      <x:c r="AE263" s="177"/>
      <x:c r="AF263" s="122"/>
      <x:c r="AG263" s="177"/>
      <x:c r="AH263" s="178"/>
      <x:c r="AI263" s="122"/>
      <x:c r="AJ263" s="177"/>
      <x:c r="AK263" s="122"/>
      <x:c r="AL263" s="177"/>
      <x:c r="AM263" s="178"/>
      <x:c r="AN263" s="122"/>
      <x:c r="AO263" s="177"/>
      <x:c r="AP263" s="122"/>
    </x:row>
    <x:row r="264" ht="19.5" hidden="1" customHeight="1">
      <x:c r="A264" s="169"/>
      <x:c r="B264" s="170"/>
      <x:c r="C264" s="200"/>
      <x:c r="D264" s="200"/>
      <x:c r="E264" s="200"/>
      <x:c r="F264" s="201"/>
      <x:c r="G264" s="255"/>
      <x:c r="H264" s="255"/>
      <x:c r="I264" s="174"/>
      <x:c r="J264" s="122"/>
      <x:c r="K264" s="177"/>
      <x:c r="L264" s="122"/>
      <x:c r="M264" s="177"/>
      <x:c r="N264" s="178"/>
      <x:c r="O264" s="122"/>
      <x:c r="P264" s="177"/>
      <x:c r="Q264" s="122"/>
      <x:c r="R264" s="177"/>
      <x:c r="S264" s="178"/>
      <x:c r="T264" s="122"/>
      <x:c r="U264" s="177"/>
      <x:c r="V264" s="122"/>
      <x:c r="W264" s="177"/>
      <x:c r="X264" s="178"/>
      <x:c r="Y264" s="122"/>
      <x:c r="Z264" s="177"/>
      <x:c r="AA264" s="122"/>
      <x:c r="AB264" s="177"/>
      <x:c r="AC264" s="178"/>
      <x:c r="AD264" s="122"/>
      <x:c r="AE264" s="177"/>
      <x:c r="AF264" s="122"/>
      <x:c r="AG264" s="177"/>
      <x:c r="AH264" s="178"/>
      <x:c r="AI264" s="122"/>
      <x:c r="AJ264" s="177"/>
      <x:c r="AK264" s="122"/>
      <x:c r="AL264" s="177"/>
      <x:c r="AM264" s="178"/>
      <x:c r="AN264" s="122"/>
      <x:c r="AO264" s="177"/>
      <x:c r="AP264" s="122"/>
    </x:row>
    <x:row r="265" ht="19.5" hidden="1" customHeight="1">
      <x:c r="A265" s="160"/>
      <x:c r="B265" s="179"/>
      <x:c r="C265" s="200"/>
      <x:c r="D265" s="200"/>
      <x:c r="E265" s="200"/>
      <x:c r="F265" s="201"/>
      <x:c r="G265" s="255"/>
      <x:c r="H265" s="255"/>
      <x:c r="I265" s="174"/>
      <x:c r="J265" s="122"/>
      <x:c r="K265" s="177"/>
      <x:c r="L265" s="122"/>
      <x:c r="M265" s="177"/>
      <x:c r="N265" s="178"/>
      <x:c r="O265" s="122"/>
      <x:c r="P265" s="177"/>
      <x:c r="Q265" s="122"/>
      <x:c r="R265" s="177"/>
      <x:c r="S265" s="178"/>
      <x:c r="T265" s="122"/>
      <x:c r="U265" s="177"/>
      <x:c r="V265" s="122"/>
      <x:c r="W265" s="177"/>
      <x:c r="X265" s="178"/>
      <x:c r="Y265" s="122"/>
      <x:c r="Z265" s="177"/>
      <x:c r="AA265" s="122"/>
      <x:c r="AB265" s="177"/>
      <x:c r="AC265" s="178"/>
      <x:c r="AD265" s="122"/>
      <x:c r="AE265" s="177"/>
      <x:c r="AF265" s="122"/>
      <x:c r="AG265" s="177"/>
      <x:c r="AH265" s="178"/>
      <x:c r="AI265" s="122"/>
      <x:c r="AJ265" s="177"/>
      <x:c r="AK265" s="122"/>
      <x:c r="AL265" s="177"/>
      <x:c r="AM265" s="178"/>
      <x:c r="AN265" s="122"/>
      <x:c r="AO265" s="177"/>
      <x:c r="AP265" s="122"/>
    </x:row>
    <x:row r="266" ht="19.5" hidden="1" customHeight="1">
      <x:c r="A266" s="169"/>
      <x:c r="B266" s="170"/>
      <x:c r="C266" s="200"/>
      <x:c r="D266" s="200"/>
      <x:c r="E266" s="200"/>
      <x:c r="F266" s="201"/>
      <x:c r="G266" s="255"/>
      <x:c r="H266" s="255"/>
      <x:c r="I266" s="174"/>
      <x:c r="J266" s="122"/>
      <x:c r="K266" s="177"/>
      <x:c r="L266" s="122"/>
      <x:c r="M266" s="177"/>
      <x:c r="N266" s="178"/>
      <x:c r="O266" s="122"/>
      <x:c r="P266" s="177"/>
      <x:c r="Q266" s="122"/>
      <x:c r="R266" s="177"/>
      <x:c r="S266" s="178"/>
      <x:c r="T266" s="122"/>
      <x:c r="U266" s="177"/>
      <x:c r="V266" s="122"/>
      <x:c r="W266" s="177"/>
      <x:c r="X266" s="178"/>
      <x:c r="Y266" s="122"/>
      <x:c r="Z266" s="177"/>
      <x:c r="AA266" s="122"/>
      <x:c r="AB266" s="177"/>
      <x:c r="AC266" s="178"/>
      <x:c r="AD266" s="122"/>
      <x:c r="AE266" s="177"/>
      <x:c r="AF266" s="122"/>
      <x:c r="AG266" s="177"/>
      <x:c r="AH266" s="178"/>
      <x:c r="AI266" s="122"/>
      <x:c r="AJ266" s="177"/>
      <x:c r="AK266" s="122"/>
      <x:c r="AL266" s="177"/>
      <x:c r="AM266" s="178"/>
      <x:c r="AN266" s="122"/>
      <x:c r="AO266" s="177"/>
      <x:c r="AP266" s="122"/>
    </x:row>
    <x:row r="267" ht="19.5" hidden="1" customHeight="1">
      <x:c r="A267" s="160"/>
      <x:c r="B267" s="179"/>
      <x:c r="C267" s="200"/>
      <x:c r="D267" s="200"/>
      <x:c r="E267" s="200"/>
      <x:c r="F267" s="201"/>
      <x:c r="G267" s="255"/>
      <x:c r="H267" s="255"/>
      <x:c r="I267" s="174"/>
      <x:c r="J267" s="122"/>
      <x:c r="K267" s="177"/>
      <x:c r="L267" s="122"/>
      <x:c r="M267" s="177"/>
      <x:c r="N267" s="178"/>
      <x:c r="O267" s="122"/>
      <x:c r="P267" s="177"/>
      <x:c r="Q267" s="122"/>
      <x:c r="R267" s="177"/>
      <x:c r="S267" s="178"/>
      <x:c r="T267" s="122"/>
      <x:c r="U267" s="177"/>
      <x:c r="V267" s="122"/>
      <x:c r="W267" s="177"/>
      <x:c r="X267" s="178"/>
      <x:c r="Y267" s="122"/>
      <x:c r="Z267" s="177"/>
      <x:c r="AA267" s="122"/>
      <x:c r="AB267" s="177"/>
      <x:c r="AC267" s="178"/>
      <x:c r="AD267" s="122"/>
      <x:c r="AE267" s="177"/>
      <x:c r="AF267" s="122"/>
      <x:c r="AG267" s="177"/>
      <x:c r="AH267" s="178"/>
      <x:c r="AI267" s="122"/>
      <x:c r="AJ267" s="177"/>
      <x:c r="AK267" s="122"/>
      <x:c r="AL267" s="177"/>
      <x:c r="AM267" s="178"/>
      <x:c r="AN267" s="122"/>
      <x:c r="AO267" s="177"/>
      <x:c r="AP267" s="122"/>
    </x:row>
    <x:row r="268" ht="19.5" hidden="1" customHeight="1">
      <x:c r="A268" s="169"/>
      <x:c r="B268" s="170"/>
      <x:c r="C268" s="200"/>
      <x:c r="D268" s="200"/>
      <x:c r="E268" s="200"/>
      <x:c r="F268" s="201"/>
      <x:c r="G268" s="255"/>
      <x:c r="H268" s="255"/>
      <x:c r="I268" s="174"/>
      <x:c r="J268" s="122"/>
      <x:c r="K268" s="177"/>
      <x:c r="L268" s="122"/>
      <x:c r="M268" s="177"/>
      <x:c r="N268" s="178"/>
      <x:c r="O268" s="122"/>
      <x:c r="P268" s="177"/>
      <x:c r="Q268" s="122"/>
      <x:c r="R268" s="177"/>
      <x:c r="S268" s="178"/>
      <x:c r="T268" s="122"/>
      <x:c r="U268" s="177"/>
      <x:c r="V268" s="122"/>
      <x:c r="W268" s="177"/>
      <x:c r="X268" s="178"/>
      <x:c r="Y268" s="122"/>
      <x:c r="Z268" s="177"/>
      <x:c r="AA268" s="122"/>
      <x:c r="AB268" s="177"/>
      <x:c r="AC268" s="178"/>
      <x:c r="AD268" s="122"/>
      <x:c r="AE268" s="177"/>
      <x:c r="AF268" s="122"/>
      <x:c r="AG268" s="177"/>
      <x:c r="AH268" s="178"/>
      <x:c r="AI268" s="122"/>
      <x:c r="AJ268" s="177"/>
      <x:c r="AK268" s="122"/>
      <x:c r="AL268" s="177"/>
      <x:c r="AM268" s="178"/>
      <x:c r="AN268" s="122"/>
      <x:c r="AO268" s="177"/>
      <x:c r="AP268" s="122"/>
    </x:row>
    <x:row r="269" ht="19.5" hidden="1" customHeight="1">
      <x:c r="A269" s="160"/>
      <x:c r="B269" s="179"/>
      <x:c r="C269" s="200"/>
      <x:c r="D269" s="200"/>
      <x:c r="E269" s="200"/>
      <x:c r="F269" s="201"/>
      <x:c r="G269" s="255"/>
      <x:c r="H269" s="255"/>
      <x:c r="I269" s="174"/>
      <x:c r="J269" s="122"/>
      <x:c r="K269" s="177"/>
      <x:c r="L269" s="122"/>
      <x:c r="M269" s="177"/>
      <x:c r="N269" s="178"/>
      <x:c r="O269" s="122"/>
      <x:c r="P269" s="177"/>
      <x:c r="Q269" s="122"/>
      <x:c r="R269" s="177"/>
      <x:c r="S269" s="178"/>
      <x:c r="T269" s="122"/>
      <x:c r="U269" s="177"/>
      <x:c r="V269" s="122"/>
      <x:c r="W269" s="177"/>
      <x:c r="X269" s="178"/>
      <x:c r="Y269" s="122"/>
      <x:c r="Z269" s="177"/>
      <x:c r="AA269" s="122"/>
      <x:c r="AB269" s="177"/>
      <x:c r="AC269" s="178"/>
      <x:c r="AD269" s="122"/>
      <x:c r="AE269" s="177"/>
      <x:c r="AF269" s="122"/>
      <x:c r="AG269" s="177"/>
      <x:c r="AH269" s="178"/>
      <x:c r="AI269" s="122"/>
      <x:c r="AJ269" s="177"/>
      <x:c r="AK269" s="122"/>
      <x:c r="AL269" s="177"/>
      <x:c r="AM269" s="178"/>
      <x:c r="AN269" s="122"/>
      <x:c r="AO269" s="177"/>
      <x:c r="AP269" s="122"/>
    </x:row>
    <x:row r="270" ht="19.5" hidden="1" customHeight="1">
      <x:c r="A270" s="169"/>
      <x:c r="B270" s="170"/>
      <x:c r="C270" s="200"/>
      <x:c r="D270" s="200"/>
      <x:c r="E270" s="200"/>
      <x:c r="F270" s="201"/>
      <x:c r="G270" s="255"/>
      <x:c r="H270" s="255"/>
      <x:c r="I270" s="174"/>
      <x:c r="J270" s="122"/>
      <x:c r="K270" s="177"/>
      <x:c r="L270" s="122"/>
      <x:c r="M270" s="177"/>
      <x:c r="N270" s="178"/>
      <x:c r="O270" s="122"/>
      <x:c r="P270" s="177"/>
      <x:c r="Q270" s="122"/>
      <x:c r="R270" s="177"/>
      <x:c r="S270" s="178"/>
      <x:c r="T270" s="122"/>
      <x:c r="U270" s="177"/>
      <x:c r="V270" s="122"/>
      <x:c r="W270" s="177"/>
      <x:c r="X270" s="178"/>
      <x:c r="Y270" s="122"/>
      <x:c r="Z270" s="177"/>
      <x:c r="AA270" s="122"/>
      <x:c r="AB270" s="177"/>
      <x:c r="AC270" s="178"/>
      <x:c r="AD270" s="122"/>
      <x:c r="AE270" s="177"/>
      <x:c r="AF270" s="122"/>
      <x:c r="AG270" s="177"/>
      <x:c r="AH270" s="178"/>
      <x:c r="AI270" s="122"/>
      <x:c r="AJ270" s="177"/>
      <x:c r="AK270" s="122"/>
      <x:c r="AL270" s="177"/>
      <x:c r="AM270" s="178"/>
      <x:c r="AN270" s="122"/>
      <x:c r="AO270" s="177"/>
      <x:c r="AP270" s="122"/>
    </x:row>
    <x:row r="271" ht="19.5" hidden="1" customHeight="1">
      <x:c r="A271" s="160"/>
      <x:c r="B271" s="179"/>
      <x:c r="C271" s="200"/>
      <x:c r="D271" s="200"/>
      <x:c r="E271" s="200"/>
      <x:c r="F271" s="201"/>
      <x:c r="G271" s="255"/>
      <x:c r="H271" s="255"/>
      <x:c r="I271" s="174"/>
      <x:c r="J271" s="122"/>
      <x:c r="K271" s="177"/>
      <x:c r="L271" s="122"/>
      <x:c r="M271" s="177"/>
      <x:c r="N271" s="178"/>
      <x:c r="O271" s="122"/>
      <x:c r="P271" s="177"/>
      <x:c r="Q271" s="122"/>
      <x:c r="R271" s="177"/>
      <x:c r="S271" s="178"/>
      <x:c r="T271" s="122"/>
      <x:c r="U271" s="177"/>
      <x:c r="V271" s="122"/>
      <x:c r="W271" s="177"/>
      <x:c r="X271" s="178"/>
      <x:c r="Y271" s="122"/>
      <x:c r="Z271" s="177"/>
      <x:c r="AA271" s="122"/>
      <x:c r="AB271" s="177"/>
      <x:c r="AC271" s="178"/>
      <x:c r="AD271" s="122"/>
      <x:c r="AE271" s="177"/>
      <x:c r="AF271" s="122"/>
      <x:c r="AG271" s="177"/>
      <x:c r="AH271" s="178"/>
      <x:c r="AI271" s="122"/>
      <x:c r="AJ271" s="177"/>
      <x:c r="AK271" s="122"/>
      <x:c r="AL271" s="177"/>
      <x:c r="AM271" s="178"/>
      <x:c r="AN271" s="122"/>
      <x:c r="AO271" s="177"/>
      <x:c r="AP271" s="122"/>
    </x:row>
    <x:row r="272" ht="19.5" hidden="1" customHeight="1">
      <x:c r="A272" s="169"/>
      <x:c r="B272" s="170"/>
      <x:c r="C272" s="200"/>
      <x:c r="D272" s="200"/>
      <x:c r="E272" s="200"/>
      <x:c r="F272" s="201"/>
      <x:c r="G272" s="255"/>
      <x:c r="H272" s="255"/>
      <x:c r="I272" s="174"/>
      <x:c r="J272" s="122"/>
      <x:c r="K272" s="177"/>
      <x:c r="L272" s="122"/>
      <x:c r="M272" s="177"/>
      <x:c r="N272" s="178"/>
      <x:c r="O272" s="122"/>
      <x:c r="P272" s="177"/>
      <x:c r="Q272" s="122"/>
      <x:c r="R272" s="177"/>
      <x:c r="S272" s="178"/>
      <x:c r="T272" s="122"/>
      <x:c r="U272" s="177"/>
      <x:c r="V272" s="122"/>
      <x:c r="W272" s="177"/>
      <x:c r="X272" s="178"/>
      <x:c r="Y272" s="122"/>
      <x:c r="Z272" s="177"/>
      <x:c r="AA272" s="122"/>
      <x:c r="AB272" s="177"/>
      <x:c r="AC272" s="178"/>
      <x:c r="AD272" s="122"/>
      <x:c r="AE272" s="177"/>
      <x:c r="AF272" s="122"/>
      <x:c r="AG272" s="177"/>
      <x:c r="AH272" s="178"/>
      <x:c r="AI272" s="122"/>
      <x:c r="AJ272" s="177"/>
      <x:c r="AK272" s="122"/>
      <x:c r="AL272" s="177"/>
      <x:c r="AM272" s="178"/>
      <x:c r="AN272" s="122"/>
      <x:c r="AO272" s="177"/>
      <x:c r="AP272" s="122"/>
    </x:row>
    <x:row r="273" ht="19.5" hidden="1" customHeight="1">
      <x:c r="A273" s="160"/>
      <x:c r="B273" s="179"/>
      <x:c r="C273" s="200"/>
      <x:c r="D273" s="200"/>
      <x:c r="E273" s="200"/>
      <x:c r="F273" s="201"/>
      <x:c r="G273" s="255"/>
      <x:c r="H273" s="255"/>
      <x:c r="I273" s="174"/>
      <x:c r="J273" s="122"/>
      <x:c r="K273" s="177"/>
      <x:c r="L273" s="122"/>
      <x:c r="M273" s="177"/>
      <x:c r="N273" s="178"/>
      <x:c r="O273" s="122"/>
      <x:c r="P273" s="177"/>
      <x:c r="Q273" s="122"/>
      <x:c r="R273" s="177"/>
      <x:c r="S273" s="178"/>
      <x:c r="T273" s="122"/>
      <x:c r="U273" s="177"/>
      <x:c r="V273" s="122"/>
      <x:c r="W273" s="177"/>
      <x:c r="X273" s="178"/>
      <x:c r="Y273" s="122"/>
      <x:c r="Z273" s="177"/>
      <x:c r="AA273" s="122"/>
      <x:c r="AB273" s="177"/>
      <x:c r="AC273" s="178"/>
      <x:c r="AD273" s="122"/>
      <x:c r="AE273" s="177"/>
      <x:c r="AF273" s="122"/>
      <x:c r="AG273" s="177"/>
      <x:c r="AH273" s="178"/>
      <x:c r="AI273" s="122"/>
      <x:c r="AJ273" s="177"/>
      <x:c r="AK273" s="122"/>
      <x:c r="AL273" s="177"/>
      <x:c r="AM273" s="178"/>
      <x:c r="AN273" s="122"/>
      <x:c r="AO273" s="177"/>
      <x:c r="AP273" s="122"/>
    </x:row>
    <x:row r="274" ht="19.5" hidden="1" customHeight="1">
      <x:c r="A274" s="169"/>
      <x:c r="B274" s="170"/>
      <x:c r="C274" s="200"/>
      <x:c r="D274" s="200"/>
      <x:c r="E274" s="200"/>
      <x:c r="F274" s="201"/>
      <x:c r="G274" s="255"/>
      <x:c r="H274" s="255"/>
      <x:c r="I274" s="174"/>
      <x:c r="J274" s="122"/>
      <x:c r="K274" s="177"/>
      <x:c r="L274" s="122"/>
      <x:c r="M274" s="177"/>
      <x:c r="N274" s="178"/>
      <x:c r="O274" s="122"/>
      <x:c r="P274" s="177"/>
      <x:c r="Q274" s="122"/>
      <x:c r="R274" s="177"/>
      <x:c r="S274" s="178"/>
      <x:c r="T274" s="122"/>
      <x:c r="U274" s="177"/>
      <x:c r="V274" s="122"/>
      <x:c r="W274" s="177"/>
      <x:c r="X274" s="178"/>
      <x:c r="Y274" s="122"/>
      <x:c r="Z274" s="177"/>
      <x:c r="AA274" s="122"/>
      <x:c r="AB274" s="177"/>
      <x:c r="AC274" s="178"/>
      <x:c r="AD274" s="122"/>
      <x:c r="AE274" s="177"/>
      <x:c r="AF274" s="122"/>
      <x:c r="AG274" s="177"/>
      <x:c r="AH274" s="178"/>
      <x:c r="AI274" s="122"/>
      <x:c r="AJ274" s="177"/>
      <x:c r="AK274" s="122"/>
      <x:c r="AL274" s="177"/>
      <x:c r="AM274" s="178"/>
      <x:c r="AN274" s="122"/>
      <x:c r="AO274" s="177"/>
      <x:c r="AP274" s="122"/>
    </x:row>
    <x:row r="275" ht="19.5" hidden="1" customHeight="1">
      <x:c r="A275" s="160"/>
      <x:c r="B275" s="179"/>
      <x:c r="C275" s="200"/>
      <x:c r="D275" s="200"/>
      <x:c r="E275" s="200"/>
      <x:c r="F275" s="201"/>
      <x:c r="G275" s="255"/>
      <x:c r="H275" s="255"/>
      <x:c r="I275" s="174"/>
      <x:c r="J275" s="122"/>
      <x:c r="K275" s="177"/>
      <x:c r="L275" s="122"/>
      <x:c r="M275" s="177"/>
      <x:c r="N275" s="178"/>
      <x:c r="O275" s="122"/>
      <x:c r="P275" s="177"/>
      <x:c r="Q275" s="122"/>
      <x:c r="R275" s="177"/>
      <x:c r="S275" s="178"/>
      <x:c r="T275" s="122"/>
      <x:c r="U275" s="177"/>
      <x:c r="V275" s="122"/>
      <x:c r="W275" s="177"/>
      <x:c r="X275" s="178"/>
      <x:c r="Y275" s="122"/>
      <x:c r="Z275" s="177"/>
      <x:c r="AA275" s="122"/>
      <x:c r="AB275" s="177"/>
      <x:c r="AC275" s="178"/>
      <x:c r="AD275" s="122"/>
      <x:c r="AE275" s="177"/>
      <x:c r="AF275" s="122"/>
      <x:c r="AG275" s="177"/>
      <x:c r="AH275" s="178"/>
      <x:c r="AI275" s="122"/>
      <x:c r="AJ275" s="177"/>
      <x:c r="AK275" s="122"/>
      <x:c r="AL275" s="177"/>
      <x:c r="AM275" s="178"/>
      <x:c r="AN275" s="122"/>
      <x:c r="AO275" s="177"/>
      <x:c r="AP275" s="122"/>
    </x:row>
    <x:row r="276" ht="19.5" hidden="1" customHeight="1">
      <x:c r="A276" s="169"/>
      <x:c r="B276" s="170"/>
      <x:c r="C276" s="200"/>
      <x:c r="D276" s="200"/>
      <x:c r="E276" s="200"/>
      <x:c r="F276" s="201"/>
      <x:c r="G276" s="255"/>
      <x:c r="H276" s="255"/>
      <x:c r="I276" s="174"/>
      <x:c r="J276" s="122"/>
      <x:c r="K276" s="177"/>
      <x:c r="L276" s="122"/>
      <x:c r="M276" s="177"/>
      <x:c r="N276" s="178"/>
      <x:c r="O276" s="122"/>
      <x:c r="P276" s="177"/>
      <x:c r="Q276" s="122"/>
      <x:c r="R276" s="177"/>
      <x:c r="S276" s="178"/>
      <x:c r="T276" s="122"/>
      <x:c r="U276" s="177"/>
      <x:c r="V276" s="122"/>
      <x:c r="W276" s="177"/>
      <x:c r="X276" s="178"/>
      <x:c r="Y276" s="122"/>
      <x:c r="Z276" s="177"/>
      <x:c r="AA276" s="122"/>
      <x:c r="AB276" s="177"/>
      <x:c r="AC276" s="178"/>
      <x:c r="AD276" s="122"/>
      <x:c r="AE276" s="177"/>
      <x:c r="AF276" s="122"/>
      <x:c r="AG276" s="177"/>
      <x:c r="AH276" s="178"/>
      <x:c r="AI276" s="122"/>
      <x:c r="AJ276" s="177"/>
      <x:c r="AK276" s="122"/>
      <x:c r="AL276" s="177"/>
      <x:c r="AM276" s="178"/>
      <x:c r="AN276" s="122"/>
      <x:c r="AO276" s="177"/>
      <x:c r="AP276" s="122"/>
    </x:row>
    <x:row r="277" ht="19.5" hidden="1" customHeight="1">
      <x:c r="A277" s="160"/>
      <x:c r="B277" s="179"/>
      <x:c r="C277" s="200"/>
      <x:c r="D277" s="200"/>
      <x:c r="E277" s="200"/>
      <x:c r="F277" s="201"/>
      <x:c r="G277" s="255"/>
      <x:c r="H277" s="255"/>
      <x:c r="I277" s="174"/>
      <x:c r="J277" s="122"/>
      <x:c r="K277" s="177"/>
      <x:c r="L277" s="122"/>
      <x:c r="M277" s="177"/>
      <x:c r="N277" s="178"/>
      <x:c r="O277" s="122"/>
      <x:c r="P277" s="177"/>
      <x:c r="Q277" s="122"/>
      <x:c r="R277" s="177"/>
      <x:c r="S277" s="178"/>
      <x:c r="T277" s="122"/>
      <x:c r="U277" s="177"/>
      <x:c r="V277" s="122"/>
      <x:c r="W277" s="177"/>
      <x:c r="X277" s="178"/>
      <x:c r="Y277" s="122"/>
      <x:c r="Z277" s="177"/>
      <x:c r="AA277" s="122"/>
      <x:c r="AB277" s="177"/>
      <x:c r="AC277" s="178"/>
      <x:c r="AD277" s="122"/>
      <x:c r="AE277" s="177"/>
      <x:c r="AF277" s="122"/>
      <x:c r="AG277" s="177"/>
      <x:c r="AH277" s="178"/>
      <x:c r="AI277" s="122"/>
      <x:c r="AJ277" s="177"/>
      <x:c r="AK277" s="122"/>
      <x:c r="AL277" s="177"/>
      <x:c r="AM277" s="178"/>
      <x:c r="AN277" s="122"/>
      <x:c r="AO277" s="177"/>
      <x:c r="AP277" s="122"/>
    </x:row>
    <x:row r="278" ht="19.5" hidden="1" customHeight="1">
      <x:c r="A278" s="169"/>
      <x:c r="B278" s="170"/>
      <x:c r="C278" s="200"/>
      <x:c r="D278" s="200"/>
      <x:c r="E278" s="200"/>
      <x:c r="F278" s="201"/>
      <x:c r="G278" s="255"/>
      <x:c r="H278" s="255"/>
      <x:c r="I278" s="174"/>
      <x:c r="J278" s="122"/>
      <x:c r="K278" s="177"/>
      <x:c r="L278" s="122"/>
      <x:c r="M278" s="177"/>
      <x:c r="N278" s="178"/>
      <x:c r="O278" s="122"/>
      <x:c r="P278" s="177"/>
      <x:c r="Q278" s="122"/>
      <x:c r="R278" s="177"/>
      <x:c r="S278" s="178"/>
      <x:c r="T278" s="122"/>
      <x:c r="U278" s="177"/>
      <x:c r="V278" s="122"/>
      <x:c r="W278" s="177"/>
      <x:c r="X278" s="178"/>
      <x:c r="Y278" s="122"/>
      <x:c r="Z278" s="177"/>
      <x:c r="AA278" s="122"/>
      <x:c r="AB278" s="177"/>
      <x:c r="AC278" s="178"/>
      <x:c r="AD278" s="122"/>
      <x:c r="AE278" s="177"/>
      <x:c r="AF278" s="122"/>
      <x:c r="AG278" s="177"/>
      <x:c r="AH278" s="178"/>
      <x:c r="AI278" s="122"/>
      <x:c r="AJ278" s="177"/>
      <x:c r="AK278" s="122"/>
      <x:c r="AL278" s="177"/>
      <x:c r="AM278" s="178"/>
      <x:c r="AN278" s="122"/>
      <x:c r="AO278" s="177"/>
      <x:c r="AP278" s="122"/>
    </x:row>
    <x:row r="279" ht="19.5" hidden="1" customHeight="1">
      <x:c r="A279" s="160"/>
      <x:c r="B279" s="179"/>
      <x:c r="C279" s="200"/>
      <x:c r="D279" s="200"/>
      <x:c r="E279" s="200"/>
      <x:c r="F279" s="201"/>
      <x:c r="G279" s="255"/>
      <x:c r="H279" s="255"/>
      <x:c r="I279" s="174"/>
      <x:c r="J279" s="122"/>
      <x:c r="K279" s="177"/>
      <x:c r="L279" s="122"/>
      <x:c r="M279" s="177"/>
      <x:c r="N279" s="178"/>
      <x:c r="O279" s="122"/>
      <x:c r="P279" s="177"/>
      <x:c r="Q279" s="122"/>
      <x:c r="R279" s="177"/>
      <x:c r="S279" s="178"/>
      <x:c r="T279" s="122"/>
      <x:c r="U279" s="177"/>
      <x:c r="V279" s="122"/>
      <x:c r="W279" s="177"/>
      <x:c r="X279" s="178"/>
      <x:c r="Y279" s="122"/>
      <x:c r="Z279" s="177"/>
      <x:c r="AA279" s="122"/>
      <x:c r="AB279" s="177"/>
      <x:c r="AC279" s="178"/>
      <x:c r="AD279" s="122"/>
      <x:c r="AE279" s="177"/>
      <x:c r="AF279" s="122"/>
      <x:c r="AG279" s="177"/>
      <x:c r="AH279" s="178"/>
      <x:c r="AI279" s="122"/>
      <x:c r="AJ279" s="177"/>
      <x:c r="AK279" s="122"/>
      <x:c r="AL279" s="177"/>
      <x:c r="AM279" s="178"/>
      <x:c r="AN279" s="122"/>
      <x:c r="AO279" s="177"/>
      <x:c r="AP279" s="122"/>
    </x:row>
    <x:row r="280" ht="19.5" hidden="1" customHeight="1">
      <x:c r="A280" s="169"/>
      <x:c r="B280" s="170"/>
      <x:c r="C280" s="200"/>
      <x:c r="D280" s="200"/>
      <x:c r="E280" s="200"/>
      <x:c r="F280" s="201"/>
      <x:c r="G280" s="255"/>
      <x:c r="H280" s="255"/>
      <x:c r="I280" s="174"/>
      <x:c r="J280" s="122"/>
      <x:c r="K280" s="177"/>
      <x:c r="L280" s="122"/>
      <x:c r="M280" s="177"/>
      <x:c r="N280" s="178"/>
      <x:c r="O280" s="122"/>
      <x:c r="P280" s="177"/>
      <x:c r="Q280" s="122"/>
      <x:c r="R280" s="177"/>
      <x:c r="S280" s="178"/>
      <x:c r="T280" s="122"/>
      <x:c r="U280" s="177"/>
      <x:c r="V280" s="122"/>
      <x:c r="W280" s="177"/>
      <x:c r="X280" s="178"/>
      <x:c r="Y280" s="122"/>
      <x:c r="Z280" s="177"/>
      <x:c r="AA280" s="122"/>
      <x:c r="AB280" s="177"/>
      <x:c r="AC280" s="178"/>
      <x:c r="AD280" s="122"/>
      <x:c r="AE280" s="177"/>
      <x:c r="AF280" s="122"/>
      <x:c r="AG280" s="177"/>
      <x:c r="AH280" s="178"/>
      <x:c r="AI280" s="122"/>
      <x:c r="AJ280" s="177"/>
      <x:c r="AK280" s="122"/>
      <x:c r="AL280" s="177"/>
      <x:c r="AM280" s="178"/>
      <x:c r="AN280" s="122"/>
      <x:c r="AO280" s="177"/>
      <x:c r="AP280" s="122"/>
    </x:row>
    <x:row r="281" ht="19.5" hidden="1" customHeight="1">
      <x:c r="A281" s="160"/>
      <x:c r="B281" s="179"/>
      <x:c r="C281" s="200"/>
      <x:c r="D281" s="200"/>
      <x:c r="E281" s="200"/>
      <x:c r="F281" s="201"/>
      <x:c r="G281" s="255"/>
      <x:c r="H281" s="255"/>
      <x:c r="I281" s="174"/>
      <x:c r="J281" s="122"/>
      <x:c r="K281" s="177"/>
      <x:c r="L281" s="122"/>
      <x:c r="M281" s="177"/>
      <x:c r="N281" s="178"/>
      <x:c r="O281" s="122"/>
      <x:c r="P281" s="177"/>
      <x:c r="Q281" s="122"/>
      <x:c r="R281" s="177"/>
      <x:c r="S281" s="178"/>
      <x:c r="T281" s="122"/>
      <x:c r="U281" s="177"/>
      <x:c r="V281" s="122"/>
      <x:c r="W281" s="177"/>
      <x:c r="X281" s="178"/>
      <x:c r="Y281" s="122"/>
      <x:c r="Z281" s="177"/>
      <x:c r="AA281" s="122"/>
      <x:c r="AB281" s="177"/>
      <x:c r="AC281" s="178"/>
      <x:c r="AD281" s="122"/>
      <x:c r="AE281" s="177"/>
      <x:c r="AF281" s="122"/>
      <x:c r="AG281" s="177"/>
      <x:c r="AH281" s="178"/>
      <x:c r="AI281" s="122"/>
      <x:c r="AJ281" s="177"/>
      <x:c r="AK281" s="122"/>
      <x:c r="AL281" s="177"/>
      <x:c r="AM281" s="178"/>
      <x:c r="AN281" s="122"/>
      <x:c r="AO281" s="177"/>
      <x:c r="AP281" s="122"/>
    </x:row>
    <x:row r="282" ht="19.5" hidden="1" customHeight="1">
      <x:c r="A282" s="169"/>
      <x:c r="B282" s="170"/>
      <x:c r="C282" s="200"/>
      <x:c r="D282" s="200"/>
      <x:c r="E282" s="200"/>
      <x:c r="F282" s="201"/>
      <x:c r="G282" s="255"/>
      <x:c r="H282" s="255"/>
      <x:c r="I282" s="174"/>
      <x:c r="J282" s="122"/>
      <x:c r="K282" s="177"/>
      <x:c r="L282" s="122"/>
      <x:c r="M282" s="177"/>
      <x:c r="N282" s="178"/>
      <x:c r="O282" s="122"/>
      <x:c r="P282" s="177"/>
      <x:c r="Q282" s="122"/>
      <x:c r="R282" s="177"/>
      <x:c r="S282" s="178"/>
      <x:c r="T282" s="122"/>
      <x:c r="U282" s="177"/>
      <x:c r="V282" s="122"/>
      <x:c r="W282" s="177"/>
      <x:c r="X282" s="178"/>
      <x:c r="Y282" s="122"/>
      <x:c r="Z282" s="177"/>
      <x:c r="AA282" s="122"/>
      <x:c r="AB282" s="177"/>
      <x:c r="AC282" s="178"/>
      <x:c r="AD282" s="122"/>
      <x:c r="AE282" s="177"/>
      <x:c r="AF282" s="122"/>
      <x:c r="AG282" s="177"/>
      <x:c r="AH282" s="178"/>
      <x:c r="AI282" s="122"/>
      <x:c r="AJ282" s="177"/>
      <x:c r="AK282" s="122"/>
      <x:c r="AL282" s="177"/>
      <x:c r="AM282" s="178"/>
      <x:c r="AN282" s="122"/>
      <x:c r="AO282" s="177"/>
      <x:c r="AP282" s="122"/>
    </x:row>
    <x:row r="283" ht="19.5" hidden="1" customHeight="1">
      <x:c r="A283" s="160"/>
      <x:c r="B283" s="179"/>
      <x:c r="C283" s="200"/>
      <x:c r="D283" s="200"/>
      <x:c r="E283" s="200"/>
      <x:c r="F283" s="201"/>
      <x:c r="G283" s="255"/>
      <x:c r="H283" s="255"/>
      <x:c r="I283" s="174"/>
      <x:c r="J283" s="122"/>
      <x:c r="K283" s="177"/>
      <x:c r="L283" s="122"/>
      <x:c r="M283" s="177"/>
      <x:c r="N283" s="178"/>
      <x:c r="O283" s="122"/>
      <x:c r="P283" s="177"/>
      <x:c r="Q283" s="122"/>
      <x:c r="R283" s="177"/>
      <x:c r="S283" s="178"/>
      <x:c r="T283" s="122"/>
      <x:c r="U283" s="177"/>
      <x:c r="V283" s="122"/>
      <x:c r="W283" s="177"/>
      <x:c r="X283" s="178"/>
      <x:c r="Y283" s="122"/>
      <x:c r="Z283" s="177"/>
      <x:c r="AA283" s="122"/>
      <x:c r="AB283" s="177"/>
      <x:c r="AC283" s="178"/>
      <x:c r="AD283" s="122"/>
      <x:c r="AE283" s="177"/>
      <x:c r="AF283" s="122"/>
      <x:c r="AG283" s="177"/>
      <x:c r="AH283" s="178"/>
      <x:c r="AI283" s="122"/>
      <x:c r="AJ283" s="177"/>
      <x:c r="AK283" s="122"/>
      <x:c r="AL283" s="177"/>
      <x:c r="AM283" s="178"/>
      <x:c r="AN283" s="122"/>
      <x:c r="AO283" s="177"/>
      <x:c r="AP283" s="122"/>
    </x:row>
    <x:row r="284" ht="19.5" hidden="1" customHeight="1">
      <x:c r="A284" s="169"/>
      <x:c r="B284" s="170"/>
      <x:c r="C284" s="200"/>
      <x:c r="D284" s="200"/>
      <x:c r="E284" s="200"/>
      <x:c r="F284" s="201"/>
      <x:c r="G284" s="255"/>
      <x:c r="H284" s="255"/>
      <x:c r="I284" s="174"/>
      <x:c r="J284" s="122"/>
      <x:c r="K284" s="177"/>
      <x:c r="L284" s="122"/>
      <x:c r="M284" s="177"/>
      <x:c r="N284" s="178"/>
      <x:c r="O284" s="122"/>
      <x:c r="P284" s="177"/>
      <x:c r="Q284" s="122"/>
      <x:c r="R284" s="177"/>
      <x:c r="S284" s="178"/>
      <x:c r="T284" s="122"/>
      <x:c r="U284" s="177"/>
      <x:c r="V284" s="122"/>
      <x:c r="W284" s="177"/>
      <x:c r="X284" s="178"/>
      <x:c r="Y284" s="122"/>
      <x:c r="Z284" s="177"/>
      <x:c r="AA284" s="122"/>
      <x:c r="AB284" s="177"/>
      <x:c r="AC284" s="178"/>
      <x:c r="AD284" s="122"/>
      <x:c r="AE284" s="177"/>
      <x:c r="AF284" s="122"/>
      <x:c r="AG284" s="177"/>
      <x:c r="AH284" s="178"/>
      <x:c r="AI284" s="122"/>
      <x:c r="AJ284" s="177"/>
      <x:c r="AK284" s="122"/>
      <x:c r="AL284" s="177"/>
      <x:c r="AM284" s="178"/>
      <x:c r="AN284" s="122"/>
      <x:c r="AO284" s="177"/>
      <x:c r="AP284" s="122"/>
    </x:row>
    <x:row r="285" ht="19.5" hidden="1" customHeight="1">
      <x:c r="A285" s="160"/>
      <x:c r="B285" s="179"/>
      <x:c r="C285" s="200"/>
      <x:c r="D285" s="200"/>
      <x:c r="E285" s="200"/>
      <x:c r="F285" s="201"/>
      <x:c r="G285" s="255"/>
      <x:c r="H285" s="255"/>
      <x:c r="I285" s="174"/>
      <x:c r="J285" s="122"/>
      <x:c r="K285" s="177"/>
      <x:c r="L285" s="122"/>
      <x:c r="M285" s="177"/>
      <x:c r="N285" s="178"/>
      <x:c r="O285" s="122"/>
      <x:c r="P285" s="177"/>
      <x:c r="Q285" s="122"/>
      <x:c r="R285" s="177"/>
      <x:c r="S285" s="178"/>
      <x:c r="T285" s="122"/>
      <x:c r="U285" s="177"/>
      <x:c r="V285" s="122"/>
      <x:c r="W285" s="177"/>
      <x:c r="X285" s="178"/>
      <x:c r="Y285" s="122"/>
      <x:c r="Z285" s="177"/>
      <x:c r="AA285" s="122"/>
      <x:c r="AB285" s="177"/>
      <x:c r="AC285" s="178"/>
      <x:c r="AD285" s="122"/>
      <x:c r="AE285" s="177"/>
      <x:c r="AF285" s="122"/>
      <x:c r="AG285" s="177"/>
      <x:c r="AH285" s="178"/>
      <x:c r="AI285" s="122"/>
      <x:c r="AJ285" s="177"/>
      <x:c r="AK285" s="122"/>
      <x:c r="AL285" s="177"/>
      <x:c r="AM285" s="178"/>
      <x:c r="AN285" s="122"/>
      <x:c r="AO285" s="177"/>
      <x:c r="AP285" s="122"/>
    </x:row>
    <x:row r="286" ht="19.5" hidden="1" customHeight="1">
      <x:c r="A286" s="169"/>
      <x:c r="B286" s="170"/>
      <x:c r="C286" s="200"/>
      <x:c r="D286" s="200"/>
      <x:c r="E286" s="200"/>
      <x:c r="F286" s="201"/>
      <x:c r="G286" s="255"/>
      <x:c r="H286" s="255"/>
      <x:c r="I286" s="174"/>
      <x:c r="J286" s="122"/>
      <x:c r="K286" s="177"/>
      <x:c r="L286" s="122"/>
      <x:c r="M286" s="177"/>
      <x:c r="N286" s="178"/>
      <x:c r="O286" s="122"/>
      <x:c r="P286" s="177"/>
      <x:c r="Q286" s="122"/>
      <x:c r="R286" s="177"/>
      <x:c r="S286" s="178"/>
      <x:c r="T286" s="122"/>
      <x:c r="U286" s="177"/>
      <x:c r="V286" s="122"/>
      <x:c r="W286" s="177"/>
      <x:c r="X286" s="178"/>
      <x:c r="Y286" s="122"/>
      <x:c r="Z286" s="177"/>
      <x:c r="AA286" s="122"/>
      <x:c r="AB286" s="177"/>
      <x:c r="AC286" s="178"/>
      <x:c r="AD286" s="122"/>
      <x:c r="AE286" s="177"/>
      <x:c r="AF286" s="122"/>
      <x:c r="AG286" s="177"/>
      <x:c r="AH286" s="178"/>
      <x:c r="AI286" s="122"/>
      <x:c r="AJ286" s="177"/>
      <x:c r="AK286" s="122"/>
      <x:c r="AL286" s="177"/>
      <x:c r="AM286" s="178"/>
      <x:c r="AN286" s="122"/>
      <x:c r="AO286" s="177"/>
      <x:c r="AP286" s="122"/>
    </x:row>
    <x:row r="287" ht="19.5" hidden="1" customHeight="1">
      <x:c r="A287" s="160"/>
      <x:c r="B287" s="179"/>
      <x:c r="C287" s="200"/>
      <x:c r="D287" s="200"/>
      <x:c r="E287" s="200"/>
      <x:c r="F287" s="201"/>
      <x:c r="G287" s="255"/>
      <x:c r="H287" s="255"/>
      <x:c r="I287" s="174"/>
      <x:c r="J287" s="122"/>
      <x:c r="K287" s="177"/>
      <x:c r="L287" s="122"/>
      <x:c r="M287" s="177"/>
      <x:c r="N287" s="178"/>
      <x:c r="O287" s="122"/>
      <x:c r="P287" s="177"/>
      <x:c r="Q287" s="122"/>
      <x:c r="R287" s="177"/>
      <x:c r="S287" s="178"/>
      <x:c r="T287" s="122"/>
      <x:c r="U287" s="177"/>
      <x:c r="V287" s="122"/>
      <x:c r="W287" s="177"/>
      <x:c r="X287" s="178"/>
      <x:c r="Y287" s="122"/>
      <x:c r="Z287" s="177"/>
      <x:c r="AA287" s="122"/>
      <x:c r="AB287" s="177"/>
      <x:c r="AC287" s="178"/>
      <x:c r="AD287" s="122"/>
      <x:c r="AE287" s="177"/>
      <x:c r="AF287" s="122"/>
      <x:c r="AG287" s="177"/>
      <x:c r="AH287" s="178"/>
      <x:c r="AI287" s="122"/>
      <x:c r="AJ287" s="177"/>
      <x:c r="AK287" s="122"/>
      <x:c r="AL287" s="177"/>
      <x:c r="AM287" s="178"/>
      <x:c r="AN287" s="122"/>
      <x:c r="AO287" s="177"/>
      <x:c r="AP287" s="122"/>
    </x:row>
    <x:row r="288" ht="19.5" hidden="1" customHeight="1">
      <x:c r="A288" s="169"/>
      <x:c r="B288" s="170"/>
      <x:c r="C288" s="200"/>
      <x:c r="D288" s="200"/>
      <x:c r="E288" s="200"/>
      <x:c r="F288" s="201"/>
      <x:c r="G288" s="255"/>
      <x:c r="H288" s="255"/>
      <x:c r="I288" s="174"/>
      <x:c r="J288" s="122"/>
      <x:c r="K288" s="177"/>
      <x:c r="L288" s="122"/>
      <x:c r="M288" s="177"/>
      <x:c r="N288" s="178"/>
      <x:c r="O288" s="122"/>
      <x:c r="P288" s="177"/>
      <x:c r="Q288" s="122"/>
      <x:c r="R288" s="177"/>
      <x:c r="S288" s="178"/>
      <x:c r="T288" s="122"/>
      <x:c r="U288" s="177"/>
      <x:c r="V288" s="122"/>
      <x:c r="W288" s="177"/>
      <x:c r="X288" s="178"/>
      <x:c r="Y288" s="122"/>
      <x:c r="Z288" s="177"/>
      <x:c r="AA288" s="122"/>
      <x:c r="AB288" s="177"/>
      <x:c r="AC288" s="178"/>
      <x:c r="AD288" s="122"/>
      <x:c r="AE288" s="177"/>
      <x:c r="AF288" s="122"/>
      <x:c r="AG288" s="177"/>
      <x:c r="AH288" s="178"/>
      <x:c r="AI288" s="122"/>
      <x:c r="AJ288" s="177"/>
      <x:c r="AK288" s="122"/>
      <x:c r="AL288" s="177"/>
      <x:c r="AM288" s="178"/>
      <x:c r="AN288" s="122"/>
      <x:c r="AO288" s="177"/>
      <x:c r="AP288" s="122"/>
    </x:row>
    <x:row r="289" ht="19.5" hidden="1" customHeight="1">
      <x:c r="A289" s="160"/>
      <x:c r="B289" s="179"/>
      <x:c r="C289" s="200"/>
      <x:c r="D289" s="200"/>
      <x:c r="E289" s="200"/>
      <x:c r="F289" s="201"/>
      <x:c r="G289" s="255"/>
      <x:c r="H289" s="255"/>
      <x:c r="I289" s="174"/>
      <x:c r="J289" s="122"/>
      <x:c r="K289" s="177"/>
      <x:c r="L289" s="122"/>
      <x:c r="M289" s="177"/>
      <x:c r="N289" s="178"/>
      <x:c r="O289" s="122"/>
      <x:c r="P289" s="177"/>
      <x:c r="Q289" s="122"/>
      <x:c r="R289" s="177"/>
      <x:c r="S289" s="178"/>
      <x:c r="T289" s="122"/>
      <x:c r="U289" s="177"/>
      <x:c r="V289" s="122"/>
      <x:c r="W289" s="177"/>
      <x:c r="X289" s="178"/>
      <x:c r="Y289" s="122"/>
      <x:c r="Z289" s="177"/>
      <x:c r="AA289" s="122"/>
      <x:c r="AB289" s="177"/>
      <x:c r="AC289" s="178"/>
      <x:c r="AD289" s="122"/>
      <x:c r="AE289" s="177"/>
      <x:c r="AF289" s="122"/>
      <x:c r="AG289" s="177"/>
      <x:c r="AH289" s="178"/>
      <x:c r="AI289" s="122"/>
      <x:c r="AJ289" s="177"/>
      <x:c r="AK289" s="122"/>
      <x:c r="AL289" s="177"/>
      <x:c r="AM289" s="178"/>
      <x:c r="AN289" s="122"/>
      <x:c r="AO289" s="177"/>
      <x:c r="AP289" s="122"/>
    </x:row>
    <x:row r="290" ht="19.5" hidden="1" customHeight="1">
      <x:c r="A290" s="169"/>
      <x:c r="B290" s="170"/>
      <x:c r="C290" s="200"/>
      <x:c r="D290" s="200"/>
      <x:c r="E290" s="200"/>
      <x:c r="F290" s="201"/>
      <x:c r="G290" s="255"/>
      <x:c r="H290" s="255"/>
      <x:c r="I290" s="174"/>
      <x:c r="J290" s="122"/>
      <x:c r="K290" s="177"/>
      <x:c r="L290" s="122"/>
      <x:c r="M290" s="177"/>
      <x:c r="N290" s="178"/>
      <x:c r="O290" s="122"/>
      <x:c r="P290" s="177"/>
      <x:c r="Q290" s="122"/>
      <x:c r="R290" s="177"/>
      <x:c r="S290" s="178"/>
      <x:c r="T290" s="122"/>
      <x:c r="U290" s="177"/>
      <x:c r="V290" s="122"/>
      <x:c r="W290" s="177"/>
      <x:c r="X290" s="178"/>
      <x:c r="Y290" s="122"/>
      <x:c r="Z290" s="177"/>
      <x:c r="AA290" s="122"/>
      <x:c r="AB290" s="177"/>
      <x:c r="AC290" s="178"/>
      <x:c r="AD290" s="122"/>
      <x:c r="AE290" s="177"/>
      <x:c r="AF290" s="122"/>
      <x:c r="AG290" s="177"/>
      <x:c r="AH290" s="178"/>
      <x:c r="AI290" s="122"/>
      <x:c r="AJ290" s="177"/>
      <x:c r="AK290" s="122"/>
      <x:c r="AL290" s="177"/>
      <x:c r="AM290" s="178"/>
      <x:c r="AN290" s="122"/>
      <x:c r="AO290" s="177"/>
      <x:c r="AP290" s="122"/>
    </x:row>
    <x:row r="291" ht="19.5" hidden="1" customHeight="1">
      <x:c r="A291" s="160"/>
      <x:c r="B291" s="179"/>
      <x:c r="C291" s="200"/>
      <x:c r="D291" s="200"/>
      <x:c r="E291" s="200"/>
      <x:c r="F291" s="201"/>
      <x:c r="G291" s="255"/>
      <x:c r="H291" s="255"/>
      <x:c r="I291" s="174"/>
      <x:c r="J291" s="122"/>
      <x:c r="K291" s="177"/>
      <x:c r="L291" s="122"/>
      <x:c r="M291" s="177"/>
      <x:c r="N291" s="178"/>
      <x:c r="O291" s="122"/>
      <x:c r="P291" s="177"/>
      <x:c r="Q291" s="122"/>
      <x:c r="R291" s="177"/>
      <x:c r="S291" s="178"/>
      <x:c r="T291" s="122"/>
      <x:c r="U291" s="177"/>
      <x:c r="V291" s="122"/>
      <x:c r="W291" s="177"/>
      <x:c r="X291" s="178"/>
      <x:c r="Y291" s="122"/>
      <x:c r="Z291" s="177"/>
      <x:c r="AA291" s="122"/>
      <x:c r="AB291" s="177"/>
      <x:c r="AC291" s="178"/>
      <x:c r="AD291" s="122"/>
      <x:c r="AE291" s="177"/>
      <x:c r="AF291" s="122"/>
      <x:c r="AG291" s="177"/>
      <x:c r="AH291" s="178"/>
      <x:c r="AI291" s="122"/>
      <x:c r="AJ291" s="177"/>
      <x:c r="AK291" s="122"/>
      <x:c r="AL291" s="177"/>
      <x:c r="AM291" s="178"/>
      <x:c r="AN291" s="122"/>
      <x:c r="AO291" s="177"/>
      <x:c r="AP291" s="122"/>
    </x:row>
    <x:row r="292" ht="19.5" hidden="1" customHeight="1">
      <x:c r="A292" s="169"/>
      <x:c r="B292" s="170"/>
      <x:c r="C292" s="200"/>
      <x:c r="D292" s="200"/>
      <x:c r="E292" s="200"/>
      <x:c r="F292" s="201"/>
      <x:c r="G292" s="255"/>
      <x:c r="H292" s="255"/>
      <x:c r="I292" s="174"/>
      <x:c r="J292" s="122"/>
      <x:c r="K292" s="177"/>
      <x:c r="L292" s="122"/>
      <x:c r="M292" s="177"/>
      <x:c r="N292" s="178"/>
      <x:c r="O292" s="122"/>
      <x:c r="P292" s="177"/>
      <x:c r="Q292" s="122"/>
      <x:c r="R292" s="177"/>
      <x:c r="S292" s="178"/>
      <x:c r="T292" s="122"/>
      <x:c r="U292" s="177"/>
      <x:c r="V292" s="122"/>
      <x:c r="W292" s="177"/>
      <x:c r="X292" s="178"/>
      <x:c r="Y292" s="122"/>
      <x:c r="Z292" s="177"/>
      <x:c r="AA292" s="122"/>
      <x:c r="AB292" s="177"/>
      <x:c r="AC292" s="178"/>
      <x:c r="AD292" s="122"/>
      <x:c r="AE292" s="177"/>
      <x:c r="AF292" s="122"/>
      <x:c r="AG292" s="177"/>
      <x:c r="AH292" s="178"/>
      <x:c r="AI292" s="122"/>
      <x:c r="AJ292" s="177"/>
      <x:c r="AK292" s="122"/>
      <x:c r="AL292" s="177"/>
      <x:c r="AM292" s="178"/>
      <x:c r="AN292" s="122"/>
      <x:c r="AO292" s="177"/>
      <x:c r="AP292" s="122"/>
    </x:row>
    <x:row r="293" ht="19.5" hidden="1" customHeight="1">
      <x:c r="A293" s="160"/>
      <x:c r="B293" s="179"/>
      <x:c r="C293" s="200"/>
      <x:c r="D293" s="200"/>
      <x:c r="E293" s="200"/>
      <x:c r="F293" s="201"/>
      <x:c r="G293" s="255"/>
      <x:c r="H293" s="255"/>
      <x:c r="I293" s="174"/>
      <x:c r="J293" s="122"/>
      <x:c r="K293" s="177"/>
      <x:c r="L293" s="122"/>
      <x:c r="M293" s="177"/>
      <x:c r="N293" s="178"/>
      <x:c r="O293" s="122"/>
      <x:c r="P293" s="177"/>
      <x:c r="Q293" s="122"/>
      <x:c r="R293" s="177"/>
      <x:c r="S293" s="178"/>
      <x:c r="T293" s="122"/>
      <x:c r="U293" s="177"/>
      <x:c r="V293" s="122"/>
      <x:c r="W293" s="177"/>
      <x:c r="X293" s="178"/>
      <x:c r="Y293" s="122"/>
      <x:c r="Z293" s="177"/>
      <x:c r="AA293" s="122"/>
      <x:c r="AB293" s="177"/>
      <x:c r="AC293" s="178"/>
      <x:c r="AD293" s="122"/>
      <x:c r="AE293" s="177"/>
      <x:c r="AF293" s="122"/>
      <x:c r="AG293" s="177"/>
      <x:c r="AH293" s="178"/>
      <x:c r="AI293" s="122"/>
      <x:c r="AJ293" s="177"/>
      <x:c r="AK293" s="122"/>
      <x:c r="AL293" s="177"/>
      <x:c r="AM293" s="178"/>
      <x:c r="AN293" s="122"/>
      <x:c r="AO293" s="177"/>
      <x:c r="AP293" s="122"/>
    </x:row>
    <x:row r="294" ht="19.5" hidden="1" customHeight="1">
      <x:c r="A294" s="169"/>
      <x:c r="B294" s="170"/>
      <x:c r="C294" s="200"/>
      <x:c r="D294" s="200"/>
      <x:c r="E294" s="200"/>
      <x:c r="F294" s="201"/>
      <x:c r="G294" s="255"/>
      <x:c r="H294" s="255"/>
      <x:c r="I294" s="174"/>
      <x:c r="J294" s="122"/>
      <x:c r="K294" s="177"/>
      <x:c r="L294" s="122"/>
      <x:c r="M294" s="177"/>
      <x:c r="N294" s="178"/>
      <x:c r="O294" s="122"/>
      <x:c r="P294" s="177"/>
      <x:c r="Q294" s="122"/>
      <x:c r="R294" s="177"/>
      <x:c r="S294" s="178"/>
      <x:c r="T294" s="122"/>
      <x:c r="U294" s="177"/>
      <x:c r="V294" s="122"/>
      <x:c r="W294" s="177"/>
      <x:c r="X294" s="178"/>
      <x:c r="Y294" s="122"/>
      <x:c r="Z294" s="177"/>
      <x:c r="AA294" s="122"/>
      <x:c r="AB294" s="177"/>
      <x:c r="AC294" s="178"/>
      <x:c r="AD294" s="122"/>
      <x:c r="AE294" s="177"/>
      <x:c r="AF294" s="122"/>
      <x:c r="AG294" s="177"/>
      <x:c r="AH294" s="178"/>
      <x:c r="AI294" s="122"/>
      <x:c r="AJ294" s="177"/>
      <x:c r="AK294" s="122"/>
      <x:c r="AL294" s="177"/>
      <x:c r="AM294" s="178"/>
      <x:c r="AN294" s="122"/>
      <x:c r="AO294" s="177"/>
      <x:c r="AP294" s="122"/>
    </x:row>
    <x:row r="295" ht="19.5" hidden="1" customHeight="1">
      <x:c r="A295" s="160"/>
      <x:c r="B295" s="179"/>
      <x:c r="C295" s="200"/>
      <x:c r="D295" s="200"/>
      <x:c r="E295" s="200"/>
      <x:c r="F295" s="201"/>
      <x:c r="G295" s="255"/>
      <x:c r="H295" s="255"/>
      <x:c r="I295" s="174"/>
      <x:c r="J295" s="122"/>
      <x:c r="K295" s="177"/>
      <x:c r="L295" s="122"/>
      <x:c r="M295" s="177"/>
      <x:c r="N295" s="178"/>
      <x:c r="O295" s="122"/>
      <x:c r="P295" s="177"/>
      <x:c r="Q295" s="122"/>
      <x:c r="R295" s="177"/>
      <x:c r="S295" s="178"/>
      <x:c r="T295" s="122"/>
      <x:c r="U295" s="177"/>
      <x:c r="V295" s="122"/>
      <x:c r="W295" s="177"/>
      <x:c r="X295" s="178"/>
      <x:c r="Y295" s="122"/>
      <x:c r="Z295" s="177"/>
      <x:c r="AA295" s="122"/>
      <x:c r="AB295" s="177"/>
      <x:c r="AC295" s="178"/>
      <x:c r="AD295" s="122"/>
      <x:c r="AE295" s="177"/>
      <x:c r="AF295" s="122"/>
      <x:c r="AG295" s="177"/>
      <x:c r="AH295" s="178"/>
      <x:c r="AI295" s="122"/>
      <x:c r="AJ295" s="177"/>
      <x:c r="AK295" s="122"/>
      <x:c r="AL295" s="177"/>
      <x:c r="AM295" s="178"/>
      <x:c r="AN295" s="122"/>
      <x:c r="AO295" s="177"/>
      <x:c r="AP295" s="122"/>
    </x:row>
    <x:row r="296" ht="19.5" hidden="1" customHeight="1">
      <x:c r="A296" s="169"/>
      <x:c r="B296" s="170"/>
      <x:c r="C296" s="200"/>
      <x:c r="D296" s="200"/>
      <x:c r="E296" s="200"/>
      <x:c r="F296" s="201"/>
      <x:c r="G296" s="255"/>
      <x:c r="H296" s="255"/>
      <x:c r="I296" s="174"/>
      <x:c r="J296" s="122"/>
      <x:c r="K296" s="177"/>
      <x:c r="L296" s="122"/>
      <x:c r="M296" s="177"/>
      <x:c r="N296" s="178"/>
      <x:c r="O296" s="122"/>
      <x:c r="P296" s="177"/>
      <x:c r="Q296" s="122"/>
      <x:c r="R296" s="177"/>
      <x:c r="S296" s="178"/>
      <x:c r="T296" s="122"/>
      <x:c r="U296" s="177"/>
      <x:c r="V296" s="122"/>
      <x:c r="W296" s="177"/>
      <x:c r="X296" s="178"/>
      <x:c r="Y296" s="122"/>
      <x:c r="Z296" s="177"/>
      <x:c r="AA296" s="122"/>
      <x:c r="AB296" s="177"/>
      <x:c r="AC296" s="178"/>
      <x:c r="AD296" s="122"/>
      <x:c r="AE296" s="177"/>
      <x:c r="AF296" s="122"/>
      <x:c r="AG296" s="177"/>
      <x:c r="AH296" s="178"/>
      <x:c r="AI296" s="122"/>
      <x:c r="AJ296" s="177"/>
      <x:c r="AK296" s="122"/>
      <x:c r="AL296" s="177"/>
      <x:c r="AM296" s="178"/>
      <x:c r="AN296" s="122"/>
      <x:c r="AO296" s="177"/>
      <x:c r="AP296" s="122"/>
    </x:row>
    <x:row r="297" ht="19.5" hidden="1" customHeight="1">
      <x:c r="A297" s="160"/>
      <x:c r="B297" s="179"/>
      <x:c r="C297" s="200"/>
      <x:c r="D297" s="200"/>
      <x:c r="E297" s="200"/>
      <x:c r="F297" s="201"/>
      <x:c r="G297" s="255"/>
      <x:c r="H297" s="255"/>
      <x:c r="I297" s="174"/>
      <x:c r="J297" s="122"/>
      <x:c r="K297" s="177"/>
      <x:c r="L297" s="122"/>
      <x:c r="M297" s="177"/>
      <x:c r="N297" s="178"/>
      <x:c r="O297" s="122"/>
      <x:c r="P297" s="177"/>
      <x:c r="Q297" s="122"/>
      <x:c r="R297" s="177"/>
      <x:c r="S297" s="178"/>
      <x:c r="T297" s="122"/>
      <x:c r="U297" s="177"/>
      <x:c r="V297" s="122"/>
      <x:c r="W297" s="177"/>
      <x:c r="X297" s="178"/>
      <x:c r="Y297" s="122"/>
      <x:c r="Z297" s="177"/>
      <x:c r="AA297" s="122"/>
      <x:c r="AB297" s="177"/>
      <x:c r="AC297" s="178"/>
      <x:c r="AD297" s="122"/>
      <x:c r="AE297" s="177"/>
      <x:c r="AF297" s="122"/>
      <x:c r="AG297" s="177"/>
      <x:c r="AH297" s="178"/>
      <x:c r="AI297" s="122"/>
      <x:c r="AJ297" s="177"/>
      <x:c r="AK297" s="122"/>
      <x:c r="AL297" s="177"/>
      <x:c r="AM297" s="178"/>
      <x:c r="AN297" s="122"/>
      <x:c r="AO297" s="177"/>
      <x:c r="AP297" s="122"/>
    </x:row>
    <x:row r="298" ht="19.5" hidden="1" customHeight="1">
      <x:c r="A298" s="169"/>
      <x:c r="B298" s="170"/>
      <x:c r="C298" s="200"/>
      <x:c r="D298" s="200"/>
      <x:c r="E298" s="200"/>
      <x:c r="F298" s="201"/>
      <x:c r="G298" s="255"/>
      <x:c r="H298" s="255"/>
      <x:c r="I298" s="174"/>
      <x:c r="J298" s="122"/>
      <x:c r="K298" s="177"/>
      <x:c r="L298" s="122"/>
      <x:c r="M298" s="177"/>
      <x:c r="N298" s="178"/>
      <x:c r="O298" s="122"/>
      <x:c r="P298" s="177"/>
      <x:c r="Q298" s="122"/>
      <x:c r="R298" s="177"/>
      <x:c r="S298" s="178"/>
      <x:c r="T298" s="122"/>
      <x:c r="U298" s="177"/>
      <x:c r="V298" s="122"/>
      <x:c r="W298" s="177"/>
      <x:c r="X298" s="178"/>
      <x:c r="Y298" s="122"/>
      <x:c r="Z298" s="177"/>
      <x:c r="AA298" s="122"/>
      <x:c r="AB298" s="177"/>
      <x:c r="AC298" s="178"/>
      <x:c r="AD298" s="122"/>
      <x:c r="AE298" s="177"/>
      <x:c r="AF298" s="122"/>
      <x:c r="AG298" s="177"/>
      <x:c r="AH298" s="178"/>
      <x:c r="AI298" s="122"/>
      <x:c r="AJ298" s="177"/>
      <x:c r="AK298" s="122"/>
      <x:c r="AL298" s="177"/>
      <x:c r="AM298" s="178"/>
      <x:c r="AN298" s="122"/>
      <x:c r="AO298" s="177"/>
      <x:c r="AP298" s="122"/>
    </x:row>
    <x:row r="299" ht="19.5" hidden="1" customHeight="1">
      <x:c r="A299" s="160"/>
      <x:c r="B299" s="179"/>
      <x:c r="C299" s="200"/>
      <x:c r="D299" s="200"/>
      <x:c r="E299" s="200"/>
      <x:c r="F299" s="201"/>
      <x:c r="G299" s="255"/>
      <x:c r="H299" s="255"/>
      <x:c r="I299" s="174"/>
      <x:c r="J299" s="122"/>
      <x:c r="K299" s="177"/>
      <x:c r="L299" s="122"/>
      <x:c r="M299" s="177"/>
      <x:c r="N299" s="178"/>
      <x:c r="O299" s="122"/>
      <x:c r="P299" s="177"/>
      <x:c r="Q299" s="122"/>
      <x:c r="R299" s="177"/>
      <x:c r="S299" s="178"/>
      <x:c r="T299" s="122"/>
      <x:c r="U299" s="177"/>
      <x:c r="V299" s="122"/>
      <x:c r="W299" s="177"/>
      <x:c r="X299" s="178"/>
      <x:c r="Y299" s="122"/>
      <x:c r="Z299" s="177"/>
      <x:c r="AA299" s="122"/>
      <x:c r="AB299" s="177"/>
      <x:c r="AC299" s="178"/>
      <x:c r="AD299" s="122"/>
      <x:c r="AE299" s="177"/>
      <x:c r="AF299" s="122"/>
      <x:c r="AG299" s="177"/>
      <x:c r="AH299" s="178"/>
      <x:c r="AI299" s="122"/>
      <x:c r="AJ299" s="177"/>
      <x:c r="AK299" s="122"/>
      <x:c r="AL299" s="177"/>
      <x:c r="AM299" s="178"/>
      <x:c r="AN299" s="122"/>
      <x:c r="AO299" s="177"/>
      <x:c r="AP299" s="122"/>
    </x:row>
    <x:row r="300" ht="19.5" hidden="1" customHeight="1">
      <x:c r="A300" s="169"/>
      <x:c r="B300" s="170"/>
      <x:c r="C300" s="200"/>
      <x:c r="D300" s="200"/>
      <x:c r="E300" s="200"/>
      <x:c r="F300" s="201"/>
      <x:c r="G300" s="255"/>
      <x:c r="H300" s="255"/>
      <x:c r="I300" s="174"/>
      <x:c r="J300" s="122"/>
      <x:c r="K300" s="177"/>
      <x:c r="L300" s="122"/>
      <x:c r="M300" s="177"/>
      <x:c r="N300" s="178"/>
      <x:c r="O300" s="122"/>
      <x:c r="P300" s="177"/>
      <x:c r="Q300" s="122"/>
      <x:c r="R300" s="177"/>
      <x:c r="S300" s="178"/>
      <x:c r="T300" s="122"/>
      <x:c r="U300" s="177"/>
      <x:c r="V300" s="122"/>
      <x:c r="W300" s="177"/>
      <x:c r="X300" s="178"/>
      <x:c r="Y300" s="122"/>
      <x:c r="Z300" s="177"/>
      <x:c r="AA300" s="122"/>
      <x:c r="AB300" s="177"/>
      <x:c r="AC300" s="178"/>
      <x:c r="AD300" s="122"/>
      <x:c r="AE300" s="177"/>
      <x:c r="AF300" s="122"/>
      <x:c r="AG300" s="177"/>
      <x:c r="AH300" s="178"/>
      <x:c r="AI300" s="122"/>
      <x:c r="AJ300" s="177"/>
      <x:c r="AK300" s="122"/>
      <x:c r="AL300" s="177"/>
      <x:c r="AM300" s="178"/>
      <x:c r="AN300" s="122"/>
      <x:c r="AO300" s="177"/>
      <x:c r="AP300" s="122"/>
    </x:row>
    <x:row r="301" ht="19.5" hidden="1" customHeight="1">
      <x:c r="A301" s="160"/>
      <x:c r="B301" s="179"/>
      <x:c r="C301" s="200"/>
      <x:c r="D301" s="200"/>
      <x:c r="E301" s="200"/>
      <x:c r="F301" s="201"/>
      <x:c r="G301" s="255"/>
      <x:c r="H301" s="255"/>
      <x:c r="I301" s="174"/>
      <x:c r="J301" s="122"/>
      <x:c r="K301" s="177"/>
      <x:c r="L301" s="122"/>
      <x:c r="M301" s="177"/>
      <x:c r="N301" s="178"/>
      <x:c r="O301" s="122"/>
      <x:c r="P301" s="177"/>
      <x:c r="Q301" s="122"/>
      <x:c r="R301" s="177"/>
      <x:c r="S301" s="178"/>
      <x:c r="T301" s="122"/>
      <x:c r="U301" s="177"/>
      <x:c r="V301" s="122"/>
      <x:c r="W301" s="177"/>
      <x:c r="X301" s="178"/>
      <x:c r="Y301" s="122"/>
      <x:c r="Z301" s="177"/>
      <x:c r="AA301" s="122"/>
      <x:c r="AB301" s="177"/>
      <x:c r="AC301" s="178"/>
      <x:c r="AD301" s="122"/>
      <x:c r="AE301" s="177"/>
      <x:c r="AF301" s="122"/>
      <x:c r="AG301" s="177"/>
      <x:c r="AH301" s="178"/>
      <x:c r="AI301" s="122"/>
      <x:c r="AJ301" s="177"/>
      <x:c r="AK301" s="122"/>
      <x:c r="AL301" s="177"/>
      <x:c r="AM301" s="178"/>
      <x:c r="AN301" s="122"/>
      <x:c r="AO301" s="177"/>
      <x:c r="AP301" s="122"/>
    </x:row>
    <x:row r="302" ht="19.5" hidden="1" customHeight="1">
      <x:c r="A302" s="169"/>
      <x:c r="B302" s="170"/>
      <x:c r="C302" s="200"/>
      <x:c r="D302" s="200"/>
      <x:c r="E302" s="200"/>
      <x:c r="F302" s="201"/>
      <x:c r="G302" s="255"/>
      <x:c r="H302" s="255"/>
      <x:c r="I302" s="174"/>
      <x:c r="J302" s="122"/>
      <x:c r="K302" s="177"/>
      <x:c r="L302" s="122"/>
      <x:c r="M302" s="177"/>
      <x:c r="N302" s="178"/>
      <x:c r="O302" s="122"/>
      <x:c r="P302" s="177"/>
      <x:c r="Q302" s="122"/>
      <x:c r="R302" s="177"/>
      <x:c r="S302" s="178"/>
      <x:c r="T302" s="122"/>
      <x:c r="U302" s="177"/>
      <x:c r="V302" s="122"/>
      <x:c r="W302" s="177"/>
      <x:c r="X302" s="178"/>
      <x:c r="Y302" s="122"/>
      <x:c r="Z302" s="177"/>
      <x:c r="AA302" s="122"/>
      <x:c r="AB302" s="177"/>
      <x:c r="AC302" s="178"/>
      <x:c r="AD302" s="122"/>
      <x:c r="AE302" s="177"/>
      <x:c r="AF302" s="122"/>
      <x:c r="AG302" s="177"/>
      <x:c r="AH302" s="178"/>
      <x:c r="AI302" s="122"/>
      <x:c r="AJ302" s="177"/>
      <x:c r="AK302" s="122"/>
      <x:c r="AL302" s="177"/>
      <x:c r="AM302" s="178"/>
      <x:c r="AN302" s="122"/>
      <x:c r="AO302" s="177"/>
      <x:c r="AP302" s="122"/>
    </x:row>
    <x:row r="303" ht="19.5" hidden="1" customHeight="1">
      <x:c r="A303" s="160"/>
      <x:c r="B303" s="179"/>
      <x:c r="C303" s="200"/>
      <x:c r="D303" s="200"/>
      <x:c r="E303" s="200"/>
      <x:c r="F303" s="201"/>
      <x:c r="G303" s="255"/>
      <x:c r="H303" s="255"/>
      <x:c r="I303" s="174"/>
      <x:c r="J303" s="122"/>
      <x:c r="K303" s="177"/>
      <x:c r="L303" s="122"/>
      <x:c r="M303" s="177"/>
      <x:c r="N303" s="178"/>
      <x:c r="O303" s="122"/>
      <x:c r="P303" s="177"/>
      <x:c r="Q303" s="122"/>
      <x:c r="R303" s="177"/>
      <x:c r="S303" s="178"/>
      <x:c r="T303" s="122"/>
      <x:c r="U303" s="177"/>
      <x:c r="V303" s="122"/>
      <x:c r="W303" s="177"/>
      <x:c r="X303" s="178"/>
      <x:c r="Y303" s="122"/>
      <x:c r="Z303" s="177"/>
      <x:c r="AA303" s="122"/>
      <x:c r="AB303" s="177"/>
      <x:c r="AC303" s="178"/>
      <x:c r="AD303" s="122"/>
      <x:c r="AE303" s="177"/>
      <x:c r="AF303" s="122"/>
      <x:c r="AG303" s="177"/>
      <x:c r="AH303" s="178"/>
      <x:c r="AI303" s="122"/>
      <x:c r="AJ303" s="177"/>
      <x:c r="AK303" s="122"/>
      <x:c r="AL303" s="177"/>
      <x:c r="AM303" s="178"/>
      <x:c r="AN303" s="122"/>
      <x:c r="AO303" s="177"/>
      <x:c r="AP303" s="122"/>
    </x:row>
    <x:row r="304" ht="19.5" hidden="1" customHeight="1">
      <x:c r="A304" s="169"/>
      <x:c r="B304" s="170"/>
      <x:c r="C304" s="200"/>
      <x:c r="D304" s="200"/>
      <x:c r="E304" s="200"/>
      <x:c r="F304" s="201"/>
      <x:c r="G304" s="255"/>
      <x:c r="H304" s="255"/>
      <x:c r="I304" s="174"/>
      <x:c r="J304" s="122"/>
      <x:c r="K304" s="177"/>
      <x:c r="L304" s="122"/>
      <x:c r="M304" s="177"/>
      <x:c r="N304" s="178"/>
      <x:c r="O304" s="122"/>
      <x:c r="P304" s="177"/>
      <x:c r="Q304" s="122"/>
      <x:c r="R304" s="177"/>
      <x:c r="S304" s="178"/>
      <x:c r="T304" s="122"/>
      <x:c r="U304" s="177"/>
      <x:c r="V304" s="122"/>
      <x:c r="W304" s="177"/>
      <x:c r="X304" s="178"/>
      <x:c r="Y304" s="122"/>
      <x:c r="Z304" s="177"/>
      <x:c r="AA304" s="122"/>
      <x:c r="AB304" s="177"/>
      <x:c r="AC304" s="178"/>
      <x:c r="AD304" s="122"/>
      <x:c r="AE304" s="177"/>
      <x:c r="AF304" s="122"/>
      <x:c r="AG304" s="177"/>
      <x:c r="AH304" s="178"/>
      <x:c r="AI304" s="122"/>
      <x:c r="AJ304" s="177"/>
      <x:c r="AK304" s="122"/>
      <x:c r="AL304" s="177"/>
      <x:c r="AM304" s="178"/>
      <x:c r="AN304" s="122"/>
      <x:c r="AO304" s="177"/>
      <x:c r="AP304" s="122"/>
    </x:row>
    <x:row r="305" ht="19.5" hidden="1" customHeight="1">
      <x:c r="A305" s="160"/>
      <x:c r="B305" s="179"/>
      <x:c r="C305" s="200"/>
      <x:c r="D305" s="200"/>
      <x:c r="E305" s="200"/>
      <x:c r="F305" s="201"/>
      <x:c r="G305" s="255"/>
      <x:c r="H305" s="255"/>
      <x:c r="I305" s="174"/>
      <x:c r="J305" s="122"/>
      <x:c r="K305" s="177"/>
      <x:c r="L305" s="122"/>
      <x:c r="M305" s="177"/>
      <x:c r="N305" s="178"/>
      <x:c r="O305" s="122"/>
      <x:c r="P305" s="177"/>
      <x:c r="Q305" s="122"/>
      <x:c r="R305" s="177"/>
      <x:c r="S305" s="178"/>
      <x:c r="T305" s="122"/>
      <x:c r="U305" s="177"/>
      <x:c r="V305" s="122"/>
      <x:c r="W305" s="177"/>
      <x:c r="X305" s="178"/>
      <x:c r="Y305" s="122"/>
      <x:c r="Z305" s="177"/>
      <x:c r="AA305" s="122"/>
      <x:c r="AB305" s="177"/>
      <x:c r="AC305" s="178"/>
      <x:c r="AD305" s="122"/>
      <x:c r="AE305" s="177"/>
      <x:c r="AF305" s="122"/>
      <x:c r="AG305" s="177"/>
      <x:c r="AH305" s="178"/>
      <x:c r="AI305" s="122"/>
      <x:c r="AJ305" s="177"/>
      <x:c r="AK305" s="122"/>
      <x:c r="AL305" s="177"/>
      <x:c r="AM305" s="178"/>
      <x:c r="AN305" s="122"/>
      <x:c r="AO305" s="177"/>
      <x:c r="AP305" s="122"/>
    </x:row>
    <x:row r="306" ht="19.5" hidden="1" customHeight="1">
      <x:c r="A306" s="169"/>
      <x:c r="B306" s="170"/>
      <x:c r="C306" s="200"/>
      <x:c r="D306" s="200"/>
      <x:c r="E306" s="200"/>
      <x:c r="F306" s="201"/>
      <x:c r="G306" s="255"/>
      <x:c r="H306" s="255"/>
      <x:c r="I306" s="174"/>
      <x:c r="J306" s="122"/>
      <x:c r="K306" s="177"/>
      <x:c r="L306" s="122"/>
      <x:c r="M306" s="177"/>
      <x:c r="N306" s="178"/>
      <x:c r="O306" s="122"/>
      <x:c r="P306" s="177"/>
      <x:c r="Q306" s="122"/>
      <x:c r="R306" s="177"/>
      <x:c r="S306" s="178"/>
      <x:c r="T306" s="122"/>
      <x:c r="U306" s="177"/>
      <x:c r="V306" s="122"/>
      <x:c r="W306" s="177"/>
      <x:c r="X306" s="178"/>
      <x:c r="Y306" s="122"/>
      <x:c r="Z306" s="177"/>
      <x:c r="AA306" s="122"/>
      <x:c r="AB306" s="177"/>
      <x:c r="AC306" s="178"/>
      <x:c r="AD306" s="122"/>
      <x:c r="AE306" s="177"/>
      <x:c r="AF306" s="122"/>
      <x:c r="AG306" s="177"/>
      <x:c r="AH306" s="178"/>
      <x:c r="AI306" s="122"/>
      <x:c r="AJ306" s="177"/>
      <x:c r="AK306" s="122"/>
      <x:c r="AL306" s="177"/>
      <x:c r="AM306" s="178"/>
      <x:c r="AN306" s="122"/>
      <x:c r="AO306" s="177"/>
      <x:c r="AP306" s="122"/>
    </x:row>
    <x:row r="307" ht="19.5" hidden="1" customHeight="1">
      <x:c r="A307" s="160"/>
      <x:c r="B307" s="179"/>
      <x:c r="C307" s="200"/>
      <x:c r="D307" s="200"/>
      <x:c r="E307" s="200"/>
      <x:c r="F307" s="201"/>
      <x:c r="G307" s="255"/>
      <x:c r="H307" s="255"/>
      <x:c r="I307" s="174"/>
      <x:c r="J307" s="122"/>
      <x:c r="K307" s="177"/>
      <x:c r="L307" s="122"/>
      <x:c r="M307" s="177"/>
      <x:c r="N307" s="178"/>
      <x:c r="O307" s="122"/>
      <x:c r="P307" s="177"/>
      <x:c r="Q307" s="122"/>
      <x:c r="R307" s="177"/>
      <x:c r="S307" s="178"/>
      <x:c r="T307" s="122"/>
      <x:c r="U307" s="177"/>
      <x:c r="V307" s="122"/>
      <x:c r="W307" s="177"/>
      <x:c r="X307" s="178"/>
      <x:c r="Y307" s="122"/>
      <x:c r="Z307" s="177"/>
      <x:c r="AA307" s="122"/>
      <x:c r="AB307" s="177"/>
      <x:c r="AC307" s="178"/>
      <x:c r="AD307" s="122"/>
      <x:c r="AE307" s="177"/>
      <x:c r="AF307" s="122"/>
      <x:c r="AG307" s="177"/>
      <x:c r="AH307" s="178"/>
      <x:c r="AI307" s="122"/>
      <x:c r="AJ307" s="177"/>
      <x:c r="AK307" s="122"/>
      <x:c r="AL307" s="177"/>
      <x:c r="AM307" s="178"/>
      <x:c r="AN307" s="122"/>
      <x:c r="AO307" s="177"/>
      <x:c r="AP307" s="122"/>
    </x:row>
    <x:row r="308" ht="19.5" hidden="1" customHeight="1">
      <x:c r="A308" s="169"/>
      <x:c r="B308" s="170"/>
      <x:c r="C308" s="200"/>
      <x:c r="D308" s="200"/>
      <x:c r="E308" s="200"/>
      <x:c r="F308" s="201"/>
      <x:c r="G308" s="255"/>
      <x:c r="H308" s="255"/>
      <x:c r="I308" s="174"/>
      <x:c r="J308" s="122"/>
      <x:c r="K308" s="177"/>
      <x:c r="L308" s="122"/>
      <x:c r="M308" s="177"/>
      <x:c r="N308" s="178"/>
      <x:c r="O308" s="122"/>
      <x:c r="P308" s="177"/>
      <x:c r="Q308" s="122"/>
      <x:c r="R308" s="177"/>
      <x:c r="S308" s="178"/>
      <x:c r="T308" s="122"/>
      <x:c r="U308" s="177"/>
      <x:c r="V308" s="122"/>
      <x:c r="W308" s="177"/>
      <x:c r="X308" s="178"/>
      <x:c r="Y308" s="122"/>
      <x:c r="Z308" s="177"/>
      <x:c r="AA308" s="122"/>
      <x:c r="AB308" s="177"/>
      <x:c r="AC308" s="178"/>
      <x:c r="AD308" s="122"/>
      <x:c r="AE308" s="177"/>
      <x:c r="AF308" s="122"/>
      <x:c r="AG308" s="177"/>
      <x:c r="AH308" s="178"/>
      <x:c r="AI308" s="122"/>
      <x:c r="AJ308" s="177"/>
      <x:c r="AK308" s="122"/>
      <x:c r="AL308" s="177"/>
      <x:c r="AM308" s="178"/>
      <x:c r="AN308" s="122"/>
      <x:c r="AO308" s="177"/>
      <x:c r="AP308" s="122"/>
    </x:row>
    <x:row r="309" ht="19.5" hidden="1" customHeight="1">
      <x:c r="A309" s="160"/>
      <x:c r="B309" s="179"/>
      <x:c r="C309" s="200"/>
      <x:c r="D309" s="200"/>
      <x:c r="E309" s="200"/>
      <x:c r="F309" s="201"/>
      <x:c r="G309" s="255"/>
      <x:c r="H309" s="255"/>
      <x:c r="I309" s="174"/>
      <x:c r="J309" s="122"/>
      <x:c r="K309" s="177"/>
      <x:c r="L309" s="122"/>
      <x:c r="M309" s="177"/>
      <x:c r="N309" s="178"/>
      <x:c r="O309" s="122"/>
      <x:c r="P309" s="177"/>
      <x:c r="Q309" s="122"/>
      <x:c r="R309" s="177"/>
      <x:c r="S309" s="178"/>
      <x:c r="T309" s="122"/>
      <x:c r="U309" s="177"/>
      <x:c r="V309" s="122"/>
      <x:c r="W309" s="177"/>
      <x:c r="X309" s="178"/>
      <x:c r="Y309" s="122"/>
      <x:c r="Z309" s="177"/>
      <x:c r="AA309" s="122"/>
      <x:c r="AB309" s="177"/>
      <x:c r="AC309" s="178"/>
      <x:c r="AD309" s="122"/>
      <x:c r="AE309" s="177"/>
      <x:c r="AF309" s="122"/>
      <x:c r="AG309" s="177"/>
      <x:c r="AH309" s="178"/>
      <x:c r="AI309" s="122"/>
      <x:c r="AJ309" s="177"/>
      <x:c r="AK309" s="122"/>
      <x:c r="AL309" s="177"/>
      <x:c r="AM309" s="178"/>
      <x:c r="AN309" s="122"/>
      <x:c r="AO309" s="177"/>
      <x:c r="AP309" s="122"/>
    </x:row>
    <x:row r="310" ht="19.5" hidden="1" customHeight="1">
      <x:c r="A310" s="169"/>
      <x:c r="B310" s="170"/>
      <x:c r="C310" s="200"/>
      <x:c r="D310" s="200"/>
      <x:c r="E310" s="200"/>
      <x:c r="F310" s="201"/>
      <x:c r="G310" s="255"/>
      <x:c r="H310" s="255"/>
      <x:c r="I310" s="174"/>
      <x:c r="J310" s="122"/>
      <x:c r="K310" s="177"/>
      <x:c r="L310" s="122"/>
      <x:c r="M310" s="177"/>
      <x:c r="N310" s="178"/>
      <x:c r="O310" s="122"/>
      <x:c r="P310" s="177"/>
      <x:c r="Q310" s="122"/>
      <x:c r="R310" s="177"/>
      <x:c r="S310" s="178"/>
      <x:c r="T310" s="122"/>
      <x:c r="U310" s="177"/>
      <x:c r="V310" s="122"/>
      <x:c r="W310" s="177"/>
      <x:c r="X310" s="178"/>
      <x:c r="Y310" s="122"/>
      <x:c r="Z310" s="177"/>
      <x:c r="AA310" s="122"/>
      <x:c r="AB310" s="177"/>
      <x:c r="AC310" s="178"/>
      <x:c r="AD310" s="122"/>
      <x:c r="AE310" s="177"/>
      <x:c r="AF310" s="122"/>
      <x:c r="AG310" s="177"/>
      <x:c r="AH310" s="178"/>
      <x:c r="AI310" s="122"/>
      <x:c r="AJ310" s="177"/>
      <x:c r="AK310" s="122"/>
      <x:c r="AL310" s="177"/>
      <x:c r="AM310" s="178"/>
      <x:c r="AN310" s="122"/>
      <x:c r="AO310" s="177"/>
      <x:c r="AP310" s="122"/>
    </x:row>
    <x:row r="311" ht="19.5" hidden="1" customHeight="1">
      <x:c r="A311" s="160"/>
      <x:c r="B311" s="179"/>
      <x:c r="C311" s="200"/>
      <x:c r="D311" s="200"/>
      <x:c r="E311" s="200"/>
      <x:c r="F311" s="201"/>
      <x:c r="G311" s="255"/>
      <x:c r="H311" s="255"/>
      <x:c r="I311" s="174"/>
      <x:c r="J311" s="122"/>
      <x:c r="K311" s="177"/>
      <x:c r="L311" s="122"/>
      <x:c r="M311" s="177"/>
      <x:c r="N311" s="178"/>
      <x:c r="O311" s="122"/>
      <x:c r="P311" s="177"/>
      <x:c r="Q311" s="122"/>
      <x:c r="R311" s="177"/>
      <x:c r="S311" s="178"/>
      <x:c r="T311" s="122"/>
      <x:c r="U311" s="177"/>
      <x:c r="V311" s="122"/>
      <x:c r="W311" s="177"/>
      <x:c r="X311" s="178"/>
      <x:c r="Y311" s="122"/>
      <x:c r="Z311" s="177"/>
      <x:c r="AA311" s="122"/>
      <x:c r="AB311" s="177"/>
      <x:c r="AC311" s="178"/>
      <x:c r="AD311" s="122"/>
      <x:c r="AE311" s="177"/>
      <x:c r="AF311" s="122"/>
      <x:c r="AG311" s="177"/>
      <x:c r="AH311" s="178"/>
      <x:c r="AI311" s="122"/>
      <x:c r="AJ311" s="177"/>
      <x:c r="AK311" s="122"/>
      <x:c r="AL311" s="177"/>
      <x:c r="AM311" s="178"/>
      <x:c r="AN311" s="122"/>
      <x:c r="AO311" s="177"/>
      <x:c r="AP311" s="122"/>
    </x:row>
    <x:row r="312" ht="19.5" hidden="1" customHeight="1">
      <x:c r="A312" s="169"/>
      <x:c r="B312" s="170"/>
      <x:c r="C312" s="200"/>
      <x:c r="D312" s="200"/>
      <x:c r="E312" s="200"/>
      <x:c r="F312" s="201"/>
      <x:c r="G312" s="255"/>
      <x:c r="H312" s="255"/>
      <x:c r="I312" s="174"/>
      <x:c r="J312" s="122"/>
      <x:c r="K312" s="177"/>
      <x:c r="L312" s="122"/>
      <x:c r="M312" s="177"/>
      <x:c r="N312" s="178"/>
      <x:c r="O312" s="122"/>
      <x:c r="P312" s="177"/>
      <x:c r="Q312" s="122"/>
      <x:c r="R312" s="177"/>
      <x:c r="S312" s="178"/>
      <x:c r="T312" s="122"/>
      <x:c r="U312" s="177"/>
      <x:c r="V312" s="122"/>
      <x:c r="W312" s="177"/>
      <x:c r="X312" s="178"/>
      <x:c r="Y312" s="122"/>
      <x:c r="Z312" s="177"/>
      <x:c r="AA312" s="122"/>
      <x:c r="AB312" s="177"/>
      <x:c r="AC312" s="178"/>
      <x:c r="AD312" s="122"/>
      <x:c r="AE312" s="177"/>
      <x:c r="AF312" s="122"/>
      <x:c r="AG312" s="177"/>
      <x:c r="AH312" s="178"/>
      <x:c r="AI312" s="122"/>
      <x:c r="AJ312" s="177"/>
      <x:c r="AK312" s="122"/>
      <x:c r="AL312" s="177"/>
      <x:c r="AM312" s="178"/>
      <x:c r="AN312" s="122"/>
      <x:c r="AO312" s="177"/>
      <x:c r="AP312" s="122"/>
    </x:row>
    <x:row r="313" ht="19.5" hidden="1" customHeight="1">
      <x:c r="A313" s="160"/>
      <x:c r="B313" s="179"/>
      <x:c r="C313" s="200"/>
      <x:c r="D313" s="200"/>
      <x:c r="E313" s="200"/>
      <x:c r="F313" s="201"/>
      <x:c r="G313" s="255"/>
      <x:c r="H313" s="255"/>
      <x:c r="I313" s="174"/>
      <x:c r="J313" s="122"/>
      <x:c r="K313" s="177"/>
      <x:c r="L313" s="122"/>
      <x:c r="M313" s="177"/>
      <x:c r="N313" s="178"/>
      <x:c r="O313" s="122"/>
      <x:c r="P313" s="177"/>
      <x:c r="Q313" s="122"/>
      <x:c r="R313" s="177"/>
      <x:c r="S313" s="178"/>
      <x:c r="T313" s="122"/>
      <x:c r="U313" s="177"/>
      <x:c r="V313" s="122"/>
      <x:c r="W313" s="177"/>
      <x:c r="X313" s="178"/>
      <x:c r="Y313" s="122"/>
      <x:c r="Z313" s="177"/>
      <x:c r="AA313" s="122"/>
      <x:c r="AB313" s="177"/>
      <x:c r="AC313" s="178"/>
      <x:c r="AD313" s="122"/>
      <x:c r="AE313" s="177"/>
      <x:c r="AF313" s="122"/>
      <x:c r="AG313" s="177"/>
      <x:c r="AH313" s="178"/>
      <x:c r="AI313" s="122"/>
      <x:c r="AJ313" s="177"/>
      <x:c r="AK313" s="122"/>
      <x:c r="AL313" s="177"/>
      <x:c r="AM313" s="178"/>
      <x:c r="AN313" s="122"/>
      <x:c r="AO313" s="177"/>
      <x:c r="AP313" s="122"/>
    </x:row>
    <x:row r="314" ht="19.5" hidden="1" customHeight="1">
      <x:c r="A314" s="169"/>
      <x:c r="B314" s="170"/>
      <x:c r="C314" s="200"/>
      <x:c r="D314" s="200"/>
      <x:c r="E314" s="200"/>
      <x:c r="F314" s="201"/>
      <x:c r="G314" s="255"/>
      <x:c r="H314" s="255"/>
      <x:c r="I314" s="174"/>
      <x:c r="J314" s="122"/>
      <x:c r="K314" s="177"/>
      <x:c r="L314" s="122"/>
      <x:c r="M314" s="177"/>
      <x:c r="N314" s="178"/>
      <x:c r="O314" s="122"/>
      <x:c r="P314" s="177"/>
      <x:c r="Q314" s="122"/>
      <x:c r="R314" s="177"/>
      <x:c r="S314" s="178"/>
      <x:c r="T314" s="122"/>
      <x:c r="U314" s="177"/>
      <x:c r="V314" s="122"/>
      <x:c r="W314" s="177"/>
      <x:c r="X314" s="178"/>
      <x:c r="Y314" s="122"/>
      <x:c r="Z314" s="177"/>
      <x:c r="AA314" s="122"/>
      <x:c r="AB314" s="177"/>
      <x:c r="AC314" s="178"/>
      <x:c r="AD314" s="122"/>
      <x:c r="AE314" s="177"/>
      <x:c r="AF314" s="122"/>
      <x:c r="AG314" s="177"/>
      <x:c r="AH314" s="178"/>
      <x:c r="AI314" s="122"/>
      <x:c r="AJ314" s="177"/>
      <x:c r="AK314" s="122"/>
      <x:c r="AL314" s="177"/>
      <x:c r="AM314" s="178"/>
      <x:c r="AN314" s="122"/>
      <x:c r="AO314" s="177"/>
      <x:c r="AP314" s="122"/>
    </x:row>
    <x:row r="315" ht="19.5" hidden="1" customHeight="1">
      <x:c r="A315" s="160"/>
      <x:c r="B315" s="179"/>
      <x:c r="C315" s="200"/>
      <x:c r="D315" s="200"/>
      <x:c r="E315" s="200"/>
      <x:c r="F315" s="201"/>
      <x:c r="G315" s="255"/>
      <x:c r="H315" s="255"/>
      <x:c r="I315" s="174"/>
      <x:c r="J315" s="122"/>
      <x:c r="K315" s="177"/>
      <x:c r="L315" s="122"/>
      <x:c r="M315" s="177"/>
      <x:c r="N315" s="178"/>
      <x:c r="O315" s="122"/>
      <x:c r="P315" s="177"/>
      <x:c r="Q315" s="122"/>
      <x:c r="R315" s="177"/>
      <x:c r="S315" s="178"/>
      <x:c r="T315" s="122"/>
      <x:c r="U315" s="177"/>
      <x:c r="V315" s="122"/>
      <x:c r="W315" s="177"/>
      <x:c r="X315" s="178"/>
      <x:c r="Y315" s="122"/>
      <x:c r="Z315" s="177"/>
      <x:c r="AA315" s="122"/>
      <x:c r="AB315" s="177"/>
      <x:c r="AC315" s="178"/>
      <x:c r="AD315" s="122"/>
      <x:c r="AE315" s="177"/>
      <x:c r="AF315" s="122"/>
      <x:c r="AG315" s="177"/>
      <x:c r="AH315" s="178"/>
      <x:c r="AI315" s="122"/>
      <x:c r="AJ315" s="177"/>
      <x:c r="AK315" s="122"/>
      <x:c r="AL315" s="177"/>
      <x:c r="AM315" s="178"/>
      <x:c r="AN315" s="122"/>
      <x:c r="AO315" s="177"/>
      <x:c r="AP315" s="122"/>
    </x:row>
    <x:row r="316" ht="19.5" hidden="1" customHeight="1">
      <x:c r="A316" s="169"/>
      <x:c r="B316" s="170"/>
      <x:c r="C316" s="200"/>
      <x:c r="D316" s="200"/>
      <x:c r="E316" s="200"/>
      <x:c r="F316" s="201"/>
      <x:c r="G316" s="255"/>
      <x:c r="H316" s="255"/>
      <x:c r="I316" s="174"/>
      <x:c r="J316" s="122"/>
      <x:c r="K316" s="177"/>
      <x:c r="L316" s="122"/>
      <x:c r="M316" s="177"/>
      <x:c r="N316" s="178"/>
      <x:c r="O316" s="122"/>
      <x:c r="P316" s="177"/>
      <x:c r="Q316" s="122"/>
      <x:c r="R316" s="177"/>
      <x:c r="S316" s="178"/>
      <x:c r="T316" s="122"/>
      <x:c r="U316" s="177"/>
      <x:c r="V316" s="122"/>
      <x:c r="W316" s="177"/>
      <x:c r="X316" s="178"/>
      <x:c r="Y316" s="122"/>
      <x:c r="Z316" s="177"/>
      <x:c r="AA316" s="122"/>
      <x:c r="AB316" s="177"/>
      <x:c r="AC316" s="178"/>
      <x:c r="AD316" s="122"/>
      <x:c r="AE316" s="177"/>
      <x:c r="AF316" s="122"/>
      <x:c r="AG316" s="177"/>
      <x:c r="AH316" s="178"/>
      <x:c r="AI316" s="122"/>
      <x:c r="AJ316" s="177"/>
      <x:c r="AK316" s="122"/>
      <x:c r="AL316" s="177"/>
      <x:c r="AM316" s="178"/>
      <x:c r="AN316" s="122"/>
      <x:c r="AO316" s="177"/>
      <x:c r="AP316" s="122"/>
    </x:row>
    <x:row r="317" ht="19.5" hidden="1" customHeight="1">
      <x:c r="A317" s="160"/>
      <x:c r="B317" s="179"/>
      <x:c r="C317" s="200"/>
      <x:c r="D317" s="200"/>
      <x:c r="E317" s="200"/>
      <x:c r="F317" s="201"/>
      <x:c r="G317" s="255"/>
      <x:c r="H317" s="255"/>
      <x:c r="I317" s="174"/>
      <x:c r="J317" s="122"/>
      <x:c r="K317" s="177"/>
      <x:c r="L317" s="122"/>
      <x:c r="M317" s="177"/>
      <x:c r="N317" s="178"/>
      <x:c r="O317" s="122"/>
      <x:c r="P317" s="177"/>
      <x:c r="Q317" s="122"/>
      <x:c r="R317" s="177"/>
      <x:c r="S317" s="178"/>
      <x:c r="T317" s="122"/>
      <x:c r="U317" s="177"/>
      <x:c r="V317" s="122"/>
      <x:c r="W317" s="177"/>
      <x:c r="X317" s="178"/>
      <x:c r="Y317" s="122"/>
      <x:c r="Z317" s="177"/>
      <x:c r="AA317" s="122"/>
      <x:c r="AB317" s="177"/>
      <x:c r="AC317" s="178"/>
      <x:c r="AD317" s="122"/>
      <x:c r="AE317" s="177"/>
      <x:c r="AF317" s="122"/>
      <x:c r="AG317" s="177"/>
      <x:c r="AH317" s="178"/>
      <x:c r="AI317" s="122"/>
      <x:c r="AJ317" s="177"/>
      <x:c r="AK317" s="122"/>
      <x:c r="AL317" s="177"/>
      <x:c r="AM317" s="178"/>
      <x:c r="AN317" s="122"/>
      <x:c r="AO317" s="177"/>
      <x:c r="AP317" s="122"/>
    </x:row>
    <x:row r="318" ht="19.5" hidden="1" customHeight="1">
      <x:c r="A318" s="169"/>
      <x:c r="B318" s="170"/>
      <x:c r="C318" s="200"/>
      <x:c r="D318" s="200"/>
      <x:c r="E318" s="200"/>
      <x:c r="F318" s="201"/>
      <x:c r="G318" s="255"/>
      <x:c r="H318" s="255"/>
      <x:c r="I318" s="174"/>
      <x:c r="J318" s="122"/>
      <x:c r="K318" s="177"/>
      <x:c r="L318" s="122"/>
      <x:c r="M318" s="177"/>
      <x:c r="N318" s="178"/>
      <x:c r="O318" s="122"/>
      <x:c r="P318" s="177"/>
      <x:c r="Q318" s="122"/>
      <x:c r="R318" s="177"/>
      <x:c r="S318" s="178"/>
      <x:c r="T318" s="122"/>
      <x:c r="U318" s="177"/>
      <x:c r="V318" s="122"/>
      <x:c r="W318" s="177"/>
      <x:c r="X318" s="178"/>
      <x:c r="Y318" s="122"/>
      <x:c r="Z318" s="177"/>
      <x:c r="AA318" s="122"/>
      <x:c r="AB318" s="177"/>
      <x:c r="AC318" s="178"/>
      <x:c r="AD318" s="122"/>
      <x:c r="AE318" s="177"/>
      <x:c r="AF318" s="122"/>
      <x:c r="AG318" s="177"/>
      <x:c r="AH318" s="178"/>
      <x:c r="AI318" s="122"/>
      <x:c r="AJ318" s="177"/>
      <x:c r="AK318" s="122"/>
      <x:c r="AL318" s="177"/>
      <x:c r="AM318" s="178"/>
      <x:c r="AN318" s="122"/>
      <x:c r="AO318" s="177"/>
      <x:c r="AP318" s="122"/>
    </x:row>
    <x:row r="319" ht="19.5" hidden="1" customHeight="1">
      <x:c r="A319" s="160"/>
      <x:c r="B319" s="179"/>
      <x:c r="C319" s="200"/>
      <x:c r="D319" s="200"/>
      <x:c r="E319" s="200"/>
      <x:c r="F319" s="201"/>
      <x:c r="G319" s="255"/>
      <x:c r="H319" s="255"/>
      <x:c r="I319" s="174"/>
      <x:c r="J319" s="122"/>
      <x:c r="K319" s="177"/>
      <x:c r="L319" s="122"/>
      <x:c r="M319" s="177"/>
      <x:c r="N319" s="178"/>
      <x:c r="O319" s="122"/>
      <x:c r="P319" s="177"/>
      <x:c r="Q319" s="122"/>
      <x:c r="R319" s="177"/>
      <x:c r="S319" s="178"/>
      <x:c r="T319" s="122"/>
      <x:c r="U319" s="177"/>
      <x:c r="V319" s="122"/>
      <x:c r="W319" s="177"/>
      <x:c r="X319" s="178"/>
      <x:c r="Y319" s="122"/>
      <x:c r="Z319" s="177"/>
      <x:c r="AA319" s="122"/>
      <x:c r="AB319" s="177"/>
      <x:c r="AC319" s="178"/>
      <x:c r="AD319" s="122"/>
      <x:c r="AE319" s="177"/>
      <x:c r="AF319" s="122"/>
      <x:c r="AG319" s="177"/>
      <x:c r="AH319" s="178"/>
      <x:c r="AI319" s="122"/>
      <x:c r="AJ319" s="177"/>
      <x:c r="AK319" s="122"/>
      <x:c r="AL319" s="177"/>
      <x:c r="AM319" s="178"/>
      <x:c r="AN319" s="122"/>
      <x:c r="AO319" s="177"/>
      <x:c r="AP319" s="122"/>
    </x:row>
    <x:row r="320" ht="15.75" customHeight="1">
      <x:c r="A320" s="119"/>
      <x:c r="B320" s="119"/>
      <x:c r="C320" s="119"/>
      <x:c r="D320" s="119"/>
      <x:c r="E320" s="119"/>
      <x:c r="F320" s="119"/>
      <x:c r="G320" s="119"/>
      <x:c r="H320" s="119"/>
      <x:c r="I320" s="119"/>
      <x:c r="K320" s="120"/>
      <x:c r="M320" s="120"/>
      <x:c r="N320" s="121"/>
      <x:c r="O320" s="122"/>
      <x:c r="P320" s="177"/>
      <x:c r="Q320" s="122"/>
      <x:c r="R320" s="177"/>
      <x:c r="S320" s="178"/>
      <x:c r="T320" s="122"/>
      <x:c r="U320" s="120"/>
      <x:c r="V320" s="122"/>
      <x:c r="W320" s="120"/>
      <x:c r="X320" s="121"/>
      <x:c r="Y320" s="122"/>
      <x:c r="Z320" s="120"/>
      <x:c r="AA320" s="122"/>
      <x:c r="AB320" s="120"/>
      <x:c r="AC320" s="121"/>
      <x:c r="AD320" s="122"/>
      <x:c r="AE320" s="120"/>
      <x:c r="AF320" s="122"/>
      <x:c r="AG320" s="120"/>
      <x:c r="AH320" s="121"/>
      <x:c r="AI320" s="122"/>
      <x:c r="AJ320" s="120"/>
      <x:c r="AK320" s="122"/>
      <x:c r="AL320" s="120"/>
      <x:c r="AM320" s="121"/>
      <x:c r="AN320" s="122"/>
      <x:c r="AO320" s="120"/>
      <x:c r="AP320" s="122"/>
    </x:row>
    <x:row r="321" ht="51" customHeight="1">
      <x:c r="A321" s="119" t="s">
        <x:v>279</x:v>
      </x:c>
      <x:c r="B321" s="184"/>
      <x:c r="C321" s="119"/>
      <x:c r="D321" s="119"/>
      <x:c r="E321" s="119"/>
      <x:c r="F321" s="119"/>
      <x:c r="G321" s="119"/>
      <x:c r="H321" s="119"/>
      <x:c r="I321" s="119"/>
      <x:c r="K321" s="120"/>
      <x:c r="M321" s="120"/>
      <x:c r="N321" s="121"/>
      <x:c r="P321" s="120"/>
      <x:c r="R321" s="120"/>
      <x:c r="S321" s="121"/>
      <x:c r="T321" s="122"/>
      <x:c r="U321" s="120"/>
      <x:c r="V321" s="122"/>
      <x:c r="W321" s="120"/>
      <x:c r="X321" s="121"/>
      <x:c r="Y321" s="122"/>
      <x:c r="Z321" s="120"/>
      <x:c r="AA321" s="122"/>
      <x:c r="AB321" s="120"/>
      <x:c r="AC321" s="121"/>
      <x:c r="AD321" s="122"/>
      <x:c r="AE321" s="120"/>
      <x:c r="AF321" s="122"/>
      <x:c r="AG321" s="120"/>
      <x:c r="AH321" s="121"/>
      <x:c r="AI321" s="122"/>
      <x:c r="AJ321" s="120"/>
      <x:c r="AK321" s="122"/>
      <x:c r="AL321" s="120"/>
      <x:c r="AM321" s="121"/>
      <x:c r="AN321" s="122"/>
      <x:c r="AO321" s="120"/>
      <x:c r="AP321" s="122"/>
    </x:row>
    <x:row r="322" ht="18" customHeight="1">
      <x:c r="A322" s="119"/>
      <x:c r="B322" s="185" t="s">
        <x:v>280</x:v>
      </x:c>
      <x:c r="C322" s="119"/>
      <x:c r="D322" s="119"/>
      <x:c r="E322" s="119"/>
      <x:c r="F322" s="119"/>
      <x:c r="G322" s="119"/>
      <x:c r="H322" s="119"/>
      <x:c r="I322" s="119"/>
      <x:c r="K322" s="120"/>
      <x:c r="M322" s="120"/>
      <x:c r="N322" s="121"/>
      <x:c r="P322" s="120"/>
      <x:c r="R322" s="120"/>
      <x:c r="S322" s="121"/>
      <x:c r="T322" s="122"/>
      <x:c r="U322" s="120"/>
      <x:c r="V322" s="122"/>
      <x:c r="W322" s="120"/>
      <x:c r="X322" s="121"/>
      <x:c r="Y322" s="122"/>
      <x:c r="Z322" s="120"/>
      <x:c r="AA322" s="122"/>
      <x:c r="AB322" s="120"/>
      <x:c r="AC322" s="121"/>
      <x:c r="AD322" s="122"/>
      <x:c r="AE322" s="120"/>
      <x:c r="AF322" s="122"/>
      <x:c r="AG322" s="120"/>
      <x:c r="AH322" s="121"/>
      <x:c r="AI322" s="122"/>
      <x:c r="AJ322" s="120"/>
      <x:c r="AK322" s="122"/>
      <x:c r="AL322" s="120"/>
      <x:c r="AM322" s="121"/>
      <x:c r="AN322" s="122"/>
      <x:c r="AO322" s="120"/>
      <x:c r="AP322" s="122"/>
    </x:row>
    <x:row r="323" ht="51" customHeight="1">
      <x:c r="A323" s="119" t="s">
        <x:v>281</x:v>
      </x:c>
      <x:c r="B323" s="184"/>
      <x:c r="C323" s="119"/>
      <x:c r="D323" s="119"/>
      <x:c r="E323" s="119"/>
      <x:c r="F323" s="119"/>
      <x:c r="G323" s="119"/>
      <x:c r="H323" s="119"/>
      <x:c r="I323" s="119"/>
      <x:c r="K323" s="120"/>
      <x:c r="M323" s="120"/>
      <x:c r="N323" s="121"/>
      <x:c r="P323" s="120"/>
      <x:c r="R323" s="120"/>
      <x:c r="S323" s="121"/>
      <x:c r="T323" s="122"/>
      <x:c r="U323" s="120"/>
      <x:c r="V323" s="122"/>
      <x:c r="W323" s="120"/>
      <x:c r="X323" s="121"/>
      <x:c r="Y323" s="122"/>
      <x:c r="Z323" s="120"/>
      <x:c r="AA323" s="122"/>
      <x:c r="AB323" s="120"/>
      <x:c r="AC323" s="121"/>
      <x:c r="AD323" s="122"/>
      <x:c r="AE323" s="120"/>
      <x:c r="AF323" s="122"/>
      <x:c r="AG323" s="120"/>
      <x:c r="AH323" s="121"/>
      <x:c r="AI323" s="122"/>
      <x:c r="AJ323" s="120"/>
      <x:c r="AK323" s="122"/>
      <x:c r="AL323" s="120"/>
      <x:c r="AM323" s="121"/>
      <x:c r="AN323" s="122"/>
      <x:c r="AO323" s="120"/>
      <x:c r="AP323" s="122"/>
    </x:row>
    <x:row r="324" ht="18.75" customHeight="1">
      <x:c r="A324" s="119"/>
      <x:c r="B324" s="186" t="s">
        <x:v>282</x:v>
      </x:c>
      <x:c r="C324" s="119"/>
      <x:c r="D324" s="119"/>
      <x:c r="E324" s="119"/>
      <x:c r="F324" s="119"/>
      <x:c r="G324" s="119"/>
      <x:c r="H324" s="119"/>
      <x:c r="I324" s="119"/>
      <x:c r="K324" s="120"/>
      <x:c r="M324" s="120"/>
      <x:c r="P324" s="120"/>
      <x:c r="R324" s="120"/>
      <x:c r="S324" s="121"/>
      <x:c r="T324" s="122"/>
      <x:c r="U324" s="120"/>
      <x:c r="V324" s="122"/>
      <x:c r="W324" s="120"/>
      <x:c r="X324" s="121"/>
      <x:c r="Y324" s="122"/>
      <x:c r="Z324" s="120"/>
      <x:c r="AA324" s="122"/>
      <x:c r="AB324" s="120"/>
      <x:c r="AC324" s="121"/>
      <x:c r="AD324" s="122"/>
      <x:c r="AE324" s="120"/>
      <x:c r="AF324" s="122"/>
      <x:c r="AG324" s="120"/>
      <x:c r="AH324" s="121"/>
      <x:c r="AI324" s="122"/>
      <x:c r="AJ324" s="120"/>
      <x:c r="AK324" s="122"/>
      <x:c r="AL324" s="120"/>
      <x:c r="AM324" s="121"/>
      <x:c r="AN324" s="122"/>
      <x:c r="AO324" s="120"/>
      <x:c r="AP324" s="122"/>
    </x:row>
    <x:row r="325" ht="57.75" customHeight="1">
      <x:c r="A325" s="119" t="s">
        <x:v>283</x:v>
      </x:c>
      <x:c r="B325" s="184"/>
      <x:c r="C325" s="119"/>
      <x:c r="D325" s="119"/>
      <x:c r="E325" s="119"/>
      <x:c r="F325" s="119"/>
      <x:c r="G325" s="119"/>
      <x:c r="H325" s="119"/>
      <x:c r="I325" s="119"/>
      <x:c r="K325" s="120"/>
      <x:c r="M325" s="187"/>
      <x:c r="N325" s="188"/>
      <x:c r="P325" s="120"/>
      <x:c r="R325" s="120"/>
      <x:c r="S325" s="121"/>
      <x:c r="T325" s="122"/>
      <x:c r="U325" s="120"/>
      <x:c r="V325" s="122"/>
      <x:c r="W325" s="120"/>
      <x:c r="X325" s="121"/>
      <x:c r="Y325" s="122"/>
      <x:c r="Z325" s="120"/>
      <x:c r="AA325" s="122"/>
      <x:c r="AB325" s="120"/>
      <x:c r="AC325" s="121"/>
      <x:c r="AD325" s="122"/>
      <x:c r="AE325" s="120"/>
      <x:c r="AF325" s="122"/>
      <x:c r="AG325" s="120"/>
      <x:c r="AH325" s="121"/>
      <x:c r="AI325" s="122"/>
      <x:c r="AJ325" s="120"/>
      <x:c r="AK325" s="122"/>
      <x:c r="AL325" s="120"/>
      <x:c r="AM325" s="121"/>
      <x:c r="AN325" s="122"/>
      <x:c r="AO325" s="120"/>
      <x:c r="AP325" s="122"/>
    </x:row>
    <x:row r="326" ht="18.75" customHeight="1">
      <x:c r="A326" s="119"/>
      <x:c r="B326" s="186" t="s">
        <x:v>286</x:v>
      </x:c>
      <x:c r="C326" s="119"/>
      <x:c r="D326" s="119"/>
      <x:c r="E326" s="119"/>
      <x:c r="F326" s="119"/>
      <x:c r="G326" s="119"/>
      <x:c r="H326" s="119"/>
      <x:c r="I326" s="119"/>
      <x:c r="K326" s="120"/>
      <x:c r="M326" s="177"/>
      <x:c r="N326" s="189"/>
      <x:c r="P326" s="120"/>
      <x:c r="R326" s="120"/>
      <x:c r="S326" s="121"/>
      <x:c r="T326" s="122"/>
      <x:c r="U326" s="120"/>
      <x:c r="V326" s="122"/>
      <x:c r="W326" s="120"/>
      <x:c r="X326" s="121"/>
      <x:c r="Y326" s="122"/>
      <x:c r="Z326" s="120"/>
      <x:c r="AA326" s="122"/>
      <x:c r="AB326" s="120"/>
      <x:c r="AC326" s="121"/>
      <x:c r="AD326" s="122"/>
      <x:c r="AE326" s="120"/>
      <x:c r="AF326" s="122"/>
      <x:c r="AG326" s="120"/>
      <x:c r="AH326" s="121"/>
      <x:c r="AI326" s="122"/>
      <x:c r="AJ326" s="120"/>
      <x:c r="AK326" s="122"/>
      <x:c r="AL326" s="120"/>
      <x:c r="AM326" s="121"/>
      <x:c r="AN326" s="122"/>
      <x:c r="AO326" s="120"/>
      <x:c r="AP326" s="122"/>
    </x:row>
    <x:row r="327" ht="18.75" customHeight="1">
      <x:c r="A327" s="119"/>
      <x:c r="B327" s="119"/>
      <x:c r="C327" s="119"/>
      <x:c r="D327" s="119"/>
      <x:c r="E327" s="119"/>
      <x:c r="F327" s="119"/>
      <x:c r="G327" s="119"/>
      <x:c r="H327" s="119"/>
      <x:c r="I327" s="119"/>
      <x:c r="K327" s="120"/>
      <x:c r="M327" s="177"/>
      <x:c r="N327" s="189"/>
      <x:c r="P327" s="120"/>
      <x:c r="R327" s="120"/>
      <x:c r="S327" s="121"/>
      <x:c r="T327" s="122"/>
      <x:c r="U327" s="120"/>
      <x:c r="V327" s="122"/>
      <x:c r="W327" s="120"/>
      <x:c r="X327" s="121"/>
      <x:c r="Y327" s="122"/>
      <x:c r="Z327" s="120"/>
      <x:c r="AA327" s="122"/>
      <x:c r="AB327" s="120"/>
      <x:c r="AC327" s="121"/>
      <x:c r="AD327" s="122"/>
      <x:c r="AE327" s="120"/>
      <x:c r="AF327" s="122"/>
      <x:c r="AG327" s="120"/>
      <x:c r="AH327" s="121"/>
      <x:c r="AI327" s="122"/>
      <x:c r="AJ327" s="120"/>
      <x:c r="AK327" s="122"/>
      <x:c r="AL327" s="120"/>
      <x:c r="AM327" s="121"/>
      <x:c r="AN327" s="122"/>
      <x:c r="AO327" s="120"/>
      <x:c r="AP327" s="122"/>
    </x:row>
    <x:row r="328" ht="18.75" customHeight="1">
      <x:c r="K328" s="120"/>
      <x:c r="M328" s="177"/>
      <x:c r="N328" s="189"/>
      <x:c r="P328" s="120"/>
      <x:c r="R328" s="120"/>
      <x:c r="S328" s="121"/>
      <x:c r="T328" s="122"/>
      <x:c r="U328" s="120"/>
      <x:c r="V328" s="122"/>
      <x:c r="W328" s="120"/>
      <x:c r="X328" s="121"/>
      <x:c r="Y328" s="122"/>
      <x:c r="Z328" s="120"/>
      <x:c r="AA328" s="122"/>
      <x:c r="AB328" s="120"/>
      <x:c r="AC328" s="121"/>
      <x:c r="AD328" s="122"/>
      <x:c r="AE328" s="120"/>
      <x:c r="AF328" s="122"/>
      <x:c r="AG328" s="120"/>
      <x:c r="AH328" s="121"/>
      <x:c r="AI328" s="122"/>
      <x:c r="AJ328" s="120"/>
      <x:c r="AK328" s="122"/>
      <x:c r="AL328" s="120"/>
      <x:c r="AM328" s="121"/>
      <x:c r="AN328" s="122"/>
      <x:c r="AO328" s="120"/>
      <x:c r="AP328" s="122"/>
    </x:row>
    <x:row r="329" ht="18.75" customHeight="1">
      <x:c r="K329" s="120"/>
      <x:c r="M329" s="177"/>
      <x:c r="N329" s="189"/>
      <x:c r="P329" s="120"/>
      <x:c r="R329" s="120"/>
      <x:c r="S329" s="121"/>
      <x:c r="T329" s="122"/>
      <x:c r="U329" s="120"/>
      <x:c r="V329" s="122"/>
      <x:c r="W329" s="120"/>
      <x:c r="X329" s="121"/>
      <x:c r="Y329" s="122"/>
      <x:c r="Z329" s="120"/>
      <x:c r="AA329" s="122"/>
      <x:c r="AB329" s="120"/>
      <x:c r="AC329" s="121"/>
      <x:c r="AD329" s="122"/>
      <x:c r="AE329" s="120"/>
      <x:c r="AF329" s="122"/>
      <x:c r="AG329" s="120"/>
      <x:c r="AH329" s="121"/>
      <x:c r="AI329" s="122"/>
      <x:c r="AJ329" s="120"/>
      <x:c r="AK329" s="122"/>
      <x:c r="AL329" s="120"/>
      <x:c r="AM329" s="121"/>
      <x:c r="AN329" s="122"/>
      <x:c r="AO329" s="120"/>
      <x:c r="AP329" s="122"/>
    </x:row>
    <x:row r="330" ht="18.75" customHeight="1">
      <x:c r="K330" s="120"/>
      <x:c r="M330" s="177"/>
      <x:c r="N330" s="189"/>
      <x:c r="P330" s="120"/>
      <x:c r="R330" s="120"/>
      <x:c r="S330" s="121"/>
      <x:c r="T330" s="122"/>
      <x:c r="U330" s="120"/>
      <x:c r="V330" s="122"/>
      <x:c r="W330" s="120"/>
      <x:c r="X330" s="121"/>
      <x:c r="Y330" s="122"/>
      <x:c r="Z330" s="120"/>
      <x:c r="AA330" s="122"/>
      <x:c r="AB330" s="120"/>
      <x:c r="AC330" s="121"/>
      <x:c r="AD330" s="122"/>
      <x:c r="AE330" s="120"/>
      <x:c r="AF330" s="122"/>
      <x:c r="AG330" s="120"/>
      <x:c r="AH330" s="121"/>
      <x:c r="AI330" s="122"/>
      <x:c r="AJ330" s="120"/>
      <x:c r="AK330" s="122"/>
      <x:c r="AL330" s="120"/>
      <x:c r="AM330" s="121"/>
      <x:c r="AN330" s="122"/>
      <x:c r="AO330" s="120"/>
      <x:c r="AP330" s="122"/>
    </x:row>
    <x:row r="331" ht="18.75" customHeight="1">
      <x:c r="K331" s="120"/>
      <x:c r="M331" s="177"/>
      <x:c r="N331" s="189"/>
      <x:c r="P331" s="120"/>
      <x:c r="R331" s="120"/>
      <x:c r="S331" s="121"/>
      <x:c r="T331" s="122"/>
      <x:c r="U331" s="120"/>
      <x:c r="V331" s="122"/>
      <x:c r="W331" s="120"/>
      <x:c r="X331" s="121"/>
      <x:c r="Y331" s="122"/>
      <x:c r="Z331" s="120"/>
      <x:c r="AA331" s="122"/>
      <x:c r="AB331" s="120"/>
      <x:c r="AC331" s="121"/>
      <x:c r="AD331" s="122"/>
      <x:c r="AE331" s="120"/>
      <x:c r="AF331" s="122"/>
      <x:c r="AG331" s="120"/>
      <x:c r="AH331" s="121"/>
      <x:c r="AI331" s="122"/>
      <x:c r="AJ331" s="120"/>
      <x:c r="AK331" s="122"/>
      <x:c r="AL331" s="120"/>
      <x:c r="AM331" s="121"/>
      <x:c r="AN331" s="122"/>
      <x:c r="AO331" s="120"/>
      <x:c r="AP331" s="122"/>
    </x:row>
    <x:row r="332" ht="18.75" customHeight="1">
      <x:c r="K332" s="120"/>
      <x:c r="M332" s="177"/>
      <x:c r="N332" s="189"/>
      <x:c r="P332" s="120"/>
      <x:c r="R332" s="120"/>
      <x:c r="S332" s="121"/>
      <x:c r="T332" s="122"/>
      <x:c r="U332" s="120"/>
      <x:c r="V332" s="122"/>
      <x:c r="W332" s="120"/>
      <x:c r="X332" s="121"/>
      <x:c r="Y332" s="122"/>
      <x:c r="Z332" s="120"/>
      <x:c r="AA332" s="122"/>
      <x:c r="AB332" s="120"/>
      <x:c r="AC332" s="121"/>
      <x:c r="AD332" s="122"/>
      <x:c r="AE332" s="120"/>
      <x:c r="AF332" s="122"/>
      <x:c r="AG332" s="120"/>
      <x:c r="AH332" s="121"/>
      <x:c r="AI332" s="122"/>
      <x:c r="AJ332" s="120"/>
      <x:c r="AK332" s="122"/>
      <x:c r="AL332" s="120"/>
      <x:c r="AM332" s="121"/>
      <x:c r="AN332" s="122"/>
      <x:c r="AO332" s="120"/>
      <x:c r="AP332" s="122"/>
    </x:row>
    <x:row r="333" ht="18.75" customHeight="1">
      <x:c r="K333" s="120"/>
      <x:c r="M333" s="177"/>
      <x:c r="N333" s="189"/>
      <x:c r="P333" s="120"/>
      <x:c r="R333" s="120"/>
      <x:c r="S333" s="121"/>
      <x:c r="T333" s="122"/>
      <x:c r="U333" s="120"/>
      <x:c r="V333" s="122"/>
      <x:c r="W333" s="120"/>
      <x:c r="X333" s="121"/>
      <x:c r="Y333" s="122"/>
      <x:c r="Z333" s="120"/>
      <x:c r="AA333" s="122"/>
      <x:c r="AB333" s="120"/>
      <x:c r="AC333" s="121"/>
      <x:c r="AD333" s="122"/>
      <x:c r="AE333" s="120"/>
      <x:c r="AF333" s="122"/>
      <x:c r="AG333" s="120"/>
      <x:c r="AH333" s="121"/>
      <x:c r="AI333" s="122"/>
      <x:c r="AJ333" s="120"/>
      <x:c r="AK333" s="122"/>
      <x:c r="AL333" s="120"/>
      <x:c r="AM333" s="121"/>
      <x:c r="AN333" s="122"/>
      <x:c r="AO333" s="120"/>
      <x:c r="AP333" s="122"/>
    </x:row>
    <x:row r="334" ht="15.75" customHeight="1">
      <x:c r="K334" s="120"/>
      <x:c r="M334" s="177"/>
      <x:c r="N334" s="189"/>
      <x:c r="P334" s="120"/>
      <x:c r="R334" s="120"/>
      <x:c r="S334" s="121"/>
      <x:c r="T334" s="122"/>
      <x:c r="U334" s="120"/>
      <x:c r="V334" s="122"/>
      <x:c r="W334" s="120"/>
      <x:c r="X334" s="121"/>
      <x:c r="Y334" s="122"/>
      <x:c r="Z334" s="120"/>
      <x:c r="AA334" s="122"/>
      <x:c r="AB334" s="120"/>
      <x:c r="AC334" s="121"/>
      <x:c r="AD334" s="122"/>
      <x:c r="AE334" s="120"/>
      <x:c r="AF334" s="122"/>
      <x:c r="AG334" s="120"/>
      <x:c r="AH334" s="121"/>
      <x:c r="AI334" s="122"/>
      <x:c r="AJ334" s="120"/>
      <x:c r="AK334" s="122"/>
      <x:c r="AL334" s="120"/>
      <x:c r="AM334" s="121"/>
      <x:c r="AN334" s="122"/>
      <x:c r="AO334" s="120"/>
      <x:c r="AP334" s="122"/>
    </x:row>
    <x:row r="335" ht="15.75" customHeight="1">
      <x:c r="K335" s="120"/>
      <x:c r="M335" s="177"/>
      <x:c r="N335" s="189"/>
      <x:c r="P335" s="120"/>
      <x:c r="R335" s="120"/>
      <x:c r="S335" s="121"/>
      <x:c r="T335" s="122"/>
      <x:c r="U335" s="120"/>
      <x:c r="V335" s="122"/>
      <x:c r="W335" s="120"/>
      <x:c r="X335" s="121"/>
      <x:c r="Y335" s="122"/>
      <x:c r="Z335" s="120"/>
      <x:c r="AA335" s="122"/>
      <x:c r="AB335" s="120"/>
      <x:c r="AC335" s="121"/>
      <x:c r="AD335" s="122"/>
      <x:c r="AE335" s="120"/>
      <x:c r="AF335" s="122"/>
      <x:c r="AG335" s="120"/>
      <x:c r="AH335" s="121"/>
      <x:c r="AI335" s="122"/>
      <x:c r="AJ335" s="120"/>
      <x:c r="AK335" s="122"/>
      <x:c r="AL335" s="120"/>
      <x:c r="AM335" s="121"/>
      <x:c r="AN335" s="122"/>
      <x:c r="AO335" s="120"/>
      <x:c r="AP335" s="122"/>
    </x:row>
    <x:row r="336" ht="15.75" customHeight="1">
      <x:c r="K336" s="120"/>
      <x:c r="L336" s="125"/>
      <x:c r="M336" s="190"/>
      <x:c r="N336" s="191"/>
      <x:c r="P336" s="120"/>
      <x:c r="R336" s="120"/>
      <x:c r="S336" s="121"/>
      <x:c r="T336" s="122"/>
      <x:c r="U336" s="120"/>
      <x:c r="V336" s="122"/>
      <x:c r="W336" s="120"/>
      <x:c r="X336" s="121"/>
      <x:c r="Y336" s="122"/>
      <x:c r="Z336" s="120"/>
      <x:c r="AA336" s="122"/>
      <x:c r="AB336" s="120"/>
      <x:c r="AC336" s="121"/>
      <x:c r="AD336" s="122"/>
      <x:c r="AE336" s="120"/>
      <x:c r="AF336" s="122"/>
      <x:c r="AG336" s="120"/>
      <x:c r="AH336" s="121"/>
      <x:c r="AI336" s="122"/>
      <x:c r="AJ336" s="120"/>
      <x:c r="AK336" s="122"/>
      <x:c r="AL336" s="120"/>
      <x:c r="AM336" s="121"/>
      <x:c r="AN336" s="122"/>
      <x:c r="AO336" s="120"/>
      <x:c r="AP336" s="122"/>
    </x:row>
    <x:row r="337" ht="15.75" customHeight="1">
      <x:c r="K337" s="120"/>
      <x:c r="M337" s="153"/>
      <x:c r="N337" s="122"/>
      <x:c r="P337" s="120"/>
      <x:c r="R337" s="120"/>
      <x:c r="S337" s="121"/>
      <x:c r="T337" s="122"/>
      <x:c r="U337" s="120"/>
      <x:c r="V337" s="122"/>
      <x:c r="W337" s="120"/>
      <x:c r="X337" s="121"/>
      <x:c r="Y337" s="122"/>
      <x:c r="Z337" s="120"/>
      <x:c r="AA337" s="122"/>
      <x:c r="AB337" s="120"/>
      <x:c r="AC337" s="121"/>
      <x:c r="AD337" s="122"/>
      <x:c r="AE337" s="120"/>
      <x:c r="AF337" s="122"/>
      <x:c r="AG337" s="120"/>
      <x:c r="AH337" s="121"/>
      <x:c r="AI337" s="122"/>
      <x:c r="AJ337" s="120"/>
      <x:c r="AK337" s="122"/>
      <x:c r="AL337" s="120"/>
      <x:c r="AM337" s="121"/>
      <x:c r="AN337" s="122"/>
      <x:c r="AO337" s="120"/>
      <x:c r="AP337" s="122"/>
    </x:row>
    <x:row r="338" ht="15.75" customHeight="1">
      <x:c r="K338" s="120"/>
      <x:c r="L338" s="125"/>
      <x:c r="M338" s="192"/>
      <x:c r="N338" s="193"/>
      <x:c r="P338" s="120"/>
      <x:c r="R338" s="120"/>
      <x:c r="S338" s="121"/>
      <x:c r="T338" s="122"/>
      <x:c r="U338" s="120"/>
      <x:c r="V338" s="122"/>
      <x:c r="W338" s="120"/>
      <x:c r="X338" s="121"/>
      <x:c r="Y338" s="122"/>
      <x:c r="Z338" s="120"/>
      <x:c r="AA338" s="122"/>
      <x:c r="AB338" s="120"/>
      <x:c r="AC338" s="121"/>
      <x:c r="AD338" s="122"/>
      <x:c r="AE338" s="120"/>
      <x:c r="AF338" s="122"/>
      <x:c r="AG338" s="120"/>
      <x:c r="AH338" s="121"/>
      <x:c r="AI338" s="122"/>
      <x:c r="AJ338" s="120"/>
      <x:c r="AK338" s="122"/>
      <x:c r="AL338" s="120"/>
      <x:c r="AM338" s="121"/>
      <x:c r="AN338" s="122"/>
      <x:c r="AO338" s="120"/>
      <x:c r="AP338" s="122"/>
    </x:row>
    <x:row r="339" ht="15.75" customHeight="1">
      <x:c r="K339" s="120"/>
      <x:c r="M339" s="234"/>
      <x:c r="N339" s="234"/>
      <x:c r="P339" s="120"/>
      <x:c r="R339" s="120"/>
      <x:c r="S339" s="121"/>
      <x:c r="T339" s="122"/>
      <x:c r="U339" s="120"/>
      <x:c r="V339" s="122"/>
      <x:c r="W339" s="120"/>
      <x:c r="X339" s="121"/>
      <x:c r="Y339" s="122"/>
      <x:c r="Z339" s="120"/>
      <x:c r="AA339" s="122"/>
      <x:c r="AB339" s="120"/>
      <x:c r="AC339" s="121"/>
      <x:c r="AD339" s="122"/>
      <x:c r="AE339" s="120"/>
      <x:c r="AF339" s="122"/>
      <x:c r="AG339" s="120"/>
      <x:c r="AH339" s="121"/>
      <x:c r="AI339" s="122"/>
      <x:c r="AJ339" s="120"/>
      <x:c r="AK339" s="122"/>
      <x:c r="AL339" s="120"/>
      <x:c r="AM339" s="121"/>
      <x:c r="AN339" s="122"/>
      <x:c r="AO339" s="120"/>
      <x:c r="AP339" s="122"/>
    </x:row>
    <x:row r="340" ht="15.75" customHeight="1">
      <x:c r="K340" s="120"/>
      <x:c r="M340" s="120"/>
      <x:c r="N340" s="121"/>
      <x:c r="P340" s="120"/>
      <x:c r="R340" s="120"/>
      <x:c r="S340" s="121"/>
      <x:c r="T340" s="122"/>
      <x:c r="U340" s="120"/>
      <x:c r="V340" s="122"/>
      <x:c r="W340" s="120"/>
      <x:c r="X340" s="121"/>
      <x:c r="Y340" s="122"/>
      <x:c r="Z340" s="120"/>
      <x:c r="AA340" s="122"/>
      <x:c r="AB340" s="120"/>
      <x:c r="AC340" s="121"/>
      <x:c r="AD340" s="122"/>
      <x:c r="AE340" s="120"/>
      <x:c r="AF340" s="122"/>
      <x:c r="AG340" s="120"/>
      <x:c r="AH340" s="121"/>
      <x:c r="AI340" s="122"/>
      <x:c r="AJ340" s="120"/>
      <x:c r="AK340" s="122"/>
      <x:c r="AL340" s="120"/>
      <x:c r="AM340" s="121"/>
      <x:c r="AN340" s="122"/>
      <x:c r="AO340" s="120"/>
      <x:c r="AP340" s="122"/>
    </x:row>
    <x:row r="341" ht="15.75" customHeight="1">
      <x:c r="K341" s="120"/>
      <x:c r="M341" s="120"/>
      <x:c r="N341" s="121"/>
      <x:c r="P341" s="120"/>
      <x:c r="R341" s="120"/>
      <x:c r="S341" s="121"/>
      <x:c r="T341" s="122"/>
      <x:c r="U341" s="120"/>
      <x:c r="V341" s="122"/>
      <x:c r="W341" s="120"/>
      <x:c r="X341" s="121"/>
      <x:c r="Y341" s="122"/>
      <x:c r="Z341" s="120"/>
      <x:c r="AA341" s="122"/>
      <x:c r="AB341" s="120"/>
      <x:c r="AC341" s="121"/>
      <x:c r="AD341" s="122"/>
      <x:c r="AE341" s="120"/>
      <x:c r="AF341" s="122"/>
      <x:c r="AG341" s="120"/>
      <x:c r="AH341" s="121"/>
      <x:c r="AI341" s="122"/>
      <x:c r="AJ341" s="120"/>
      <x:c r="AK341" s="122"/>
      <x:c r="AL341" s="120"/>
      <x:c r="AM341" s="121"/>
      <x:c r="AN341" s="122"/>
      <x:c r="AO341" s="120"/>
      <x:c r="AP341" s="122"/>
    </x:row>
    <x:row r="342" ht="15.75" customHeight="1">
      <x:c r="K342" s="120"/>
      <x:c r="M342" s="120"/>
      <x:c r="N342" s="121"/>
      <x:c r="P342" s="120"/>
      <x:c r="R342" s="120"/>
      <x:c r="S342" s="121"/>
      <x:c r="T342" s="122"/>
      <x:c r="U342" s="120"/>
      <x:c r="V342" s="122"/>
      <x:c r="W342" s="120"/>
      <x:c r="X342" s="121"/>
      <x:c r="Y342" s="122"/>
      <x:c r="Z342" s="120"/>
      <x:c r="AA342" s="122"/>
      <x:c r="AB342" s="120"/>
      <x:c r="AC342" s="121"/>
      <x:c r="AD342" s="122"/>
      <x:c r="AE342" s="120"/>
      <x:c r="AF342" s="122"/>
      <x:c r="AG342" s="120"/>
      <x:c r="AH342" s="121"/>
      <x:c r="AI342" s="122"/>
      <x:c r="AJ342" s="120"/>
      <x:c r="AK342" s="122"/>
      <x:c r="AL342" s="120"/>
      <x:c r="AM342" s="121"/>
      <x:c r="AN342" s="122"/>
      <x:c r="AO342" s="120"/>
      <x:c r="AP342" s="122"/>
    </x:row>
    <x:row r="343" ht="15.75" customHeight="1">
      <x:c r="K343" s="120"/>
      <x:c r="M343" s="120"/>
      <x:c r="N343" s="121"/>
      <x:c r="P343" s="120"/>
      <x:c r="R343" s="120"/>
      <x:c r="S343" s="121"/>
      <x:c r="T343" s="122"/>
      <x:c r="U343" s="120"/>
      <x:c r="V343" s="122"/>
      <x:c r="W343" s="120"/>
      <x:c r="X343" s="121"/>
      <x:c r="Y343" s="122"/>
      <x:c r="Z343" s="120"/>
      <x:c r="AA343" s="122"/>
      <x:c r="AB343" s="120"/>
      <x:c r="AC343" s="121"/>
      <x:c r="AD343" s="122"/>
      <x:c r="AE343" s="120"/>
      <x:c r="AF343" s="122"/>
      <x:c r="AG343" s="120"/>
      <x:c r="AH343" s="121"/>
      <x:c r="AI343" s="122"/>
      <x:c r="AJ343" s="120"/>
      <x:c r="AK343" s="122"/>
      <x:c r="AL343" s="120"/>
      <x:c r="AM343" s="121"/>
      <x:c r="AN343" s="122"/>
      <x:c r="AO343" s="120"/>
      <x:c r="AP343" s="122"/>
    </x:row>
    <x:row r="344" ht="15.75" customHeight="1">
      <x:c r="K344" s="120"/>
      <x:c r="M344" s="120"/>
      <x:c r="N344" s="121"/>
      <x:c r="P344" s="120"/>
      <x:c r="R344" s="120"/>
      <x:c r="S344" s="121"/>
      <x:c r="T344" s="122"/>
      <x:c r="U344" s="120"/>
      <x:c r="V344" s="122"/>
      <x:c r="W344" s="120"/>
      <x:c r="X344" s="121"/>
      <x:c r="Y344" s="122"/>
      <x:c r="Z344" s="120"/>
      <x:c r="AA344" s="122"/>
      <x:c r="AB344" s="120"/>
      <x:c r="AC344" s="121"/>
      <x:c r="AD344" s="122"/>
      <x:c r="AE344" s="120"/>
      <x:c r="AF344" s="122"/>
      <x:c r="AG344" s="120"/>
      <x:c r="AH344" s="121"/>
      <x:c r="AI344" s="122"/>
      <x:c r="AJ344" s="120"/>
      <x:c r="AK344" s="122"/>
      <x:c r="AL344" s="120"/>
      <x:c r="AM344" s="121"/>
      <x:c r="AN344" s="122"/>
      <x:c r="AO344" s="120"/>
      <x:c r="AP344" s="122"/>
    </x:row>
    <x:row r="345" ht="15.75" customHeight="1">
      <x:c r="K345" s="120"/>
      <x:c r="M345" s="120"/>
      <x:c r="N345" s="121"/>
      <x:c r="P345" s="120"/>
      <x:c r="R345" s="120"/>
      <x:c r="S345" s="121"/>
      <x:c r="T345" s="122"/>
      <x:c r="U345" s="120"/>
      <x:c r="V345" s="122"/>
      <x:c r="W345" s="120"/>
      <x:c r="X345" s="121"/>
      <x:c r="Y345" s="122"/>
      <x:c r="Z345" s="120"/>
      <x:c r="AA345" s="122"/>
      <x:c r="AB345" s="120"/>
      <x:c r="AC345" s="121"/>
      <x:c r="AD345" s="122"/>
      <x:c r="AE345" s="120"/>
      <x:c r="AF345" s="122"/>
      <x:c r="AG345" s="120"/>
      <x:c r="AH345" s="121"/>
      <x:c r="AI345" s="122"/>
      <x:c r="AJ345" s="120"/>
      <x:c r="AK345" s="122"/>
      <x:c r="AL345" s="120"/>
      <x:c r="AM345" s="121"/>
      <x:c r="AN345" s="122"/>
      <x:c r="AO345" s="120"/>
      <x:c r="AP345" s="122"/>
    </x:row>
    <x:row r="346" ht="15.75" customHeight="1">
      <x:c r="K346" s="120"/>
      <x:c r="M346" s="120"/>
      <x:c r="N346" s="121"/>
      <x:c r="P346" s="120"/>
      <x:c r="R346" s="120"/>
      <x:c r="S346" s="121"/>
      <x:c r="T346" s="122"/>
      <x:c r="U346" s="120"/>
      <x:c r="V346" s="122"/>
      <x:c r="W346" s="120"/>
      <x:c r="X346" s="121"/>
      <x:c r="Y346" s="122"/>
      <x:c r="Z346" s="120"/>
      <x:c r="AA346" s="122"/>
      <x:c r="AB346" s="120"/>
      <x:c r="AC346" s="121"/>
      <x:c r="AD346" s="122"/>
      <x:c r="AE346" s="120"/>
      <x:c r="AF346" s="122"/>
      <x:c r="AG346" s="120"/>
      <x:c r="AH346" s="121"/>
      <x:c r="AI346" s="122"/>
      <x:c r="AJ346" s="120"/>
      <x:c r="AK346" s="122"/>
      <x:c r="AL346" s="120"/>
      <x:c r="AM346" s="121"/>
      <x:c r="AN346" s="122"/>
      <x:c r="AO346" s="120"/>
      <x:c r="AP346" s="122"/>
    </x:row>
    <x:row r="347" ht="15.75" customHeight="1">
      <x:c r="K347" s="120"/>
      <x:c r="M347" s="120"/>
      <x:c r="N347" s="121"/>
      <x:c r="P347" s="120"/>
      <x:c r="R347" s="120"/>
      <x:c r="S347" s="121"/>
      <x:c r="T347" s="122"/>
      <x:c r="U347" s="120"/>
      <x:c r="V347" s="122"/>
      <x:c r="W347" s="120"/>
      <x:c r="X347" s="121"/>
      <x:c r="Y347" s="122"/>
      <x:c r="Z347" s="120"/>
      <x:c r="AA347" s="122"/>
      <x:c r="AB347" s="120"/>
      <x:c r="AC347" s="121"/>
      <x:c r="AD347" s="122"/>
      <x:c r="AE347" s="120"/>
      <x:c r="AF347" s="122"/>
      <x:c r="AG347" s="120"/>
      <x:c r="AH347" s="121"/>
      <x:c r="AI347" s="122"/>
      <x:c r="AJ347" s="120"/>
      <x:c r="AK347" s="122"/>
      <x:c r="AL347" s="120"/>
      <x:c r="AM347" s="121"/>
      <x:c r="AN347" s="122"/>
      <x:c r="AO347" s="120"/>
      <x:c r="AP347" s="122"/>
    </x:row>
    <x:row r="348" ht="15.75" customHeight="1">
      <x:c r="K348" s="120"/>
      <x:c r="M348" s="120"/>
      <x:c r="N348" s="121"/>
      <x:c r="P348" s="120"/>
      <x:c r="R348" s="120"/>
      <x:c r="S348" s="121"/>
      <x:c r="T348" s="122"/>
      <x:c r="U348" s="120"/>
      <x:c r="V348" s="122"/>
      <x:c r="W348" s="120"/>
      <x:c r="X348" s="121"/>
      <x:c r="Y348" s="122"/>
      <x:c r="Z348" s="120"/>
      <x:c r="AA348" s="122"/>
      <x:c r="AB348" s="120"/>
      <x:c r="AC348" s="121"/>
      <x:c r="AD348" s="122"/>
      <x:c r="AE348" s="120"/>
      <x:c r="AF348" s="122"/>
      <x:c r="AG348" s="120"/>
      <x:c r="AH348" s="121"/>
      <x:c r="AI348" s="122"/>
      <x:c r="AJ348" s="120"/>
      <x:c r="AK348" s="122"/>
      <x:c r="AL348" s="120"/>
      <x:c r="AM348" s="121"/>
      <x:c r="AN348" s="122"/>
      <x:c r="AO348" s="120"/>
      <x:c r="AP348" s="122"/>
    </x:row>
    <x:row r="349" ht="15.75" customHeight="1">
      <x:c r="K349" s="120"/>
      <x:c r="M349" s="120"/>
      <x:c r="N349" s="121"/>
      <x:c r="P349" s="120"/>
      <x:c r="R349" s="120"/>
      <x:c r="S349" s="121"/>
      <x:c r="T349" s="122"/>
      <x:c r="U349" s="120"/>
      <x:c r="V349" s="122"/>
      <x:c r="W349" s="120"/>
      <x:c r="X349" s="121"/>
      <x:c r="Y349" s="122"/>
      <x:c r="Z349" s="120"/>
      <x:c r="AA349" s="122"/>
      <x:c r="AB349" s="120"/>
      <x:c r="AC349" s="121"/>
      <x:c r="AD349" s="122"/>
      <x:c r="AE349" s="120"/>
      <x:c r="AF349" s="122"/>
      <x:c r="AG349" s="120"/>
      <x:c r="AH349" s="121"/>
      <x:c r="AI349" s="122"/>
      <x:c r="AJ349" s="120"/>
      <x:c r="AK349" s="122"/>
      <x:c r="AL349" s="120"/>
      <x:c r="AM349" s="121"/>
      <x:c r="AN349" s="122"/>
      <x:c r="AO349" s="120"/>
      <x:c r="AP349" s="122"/>
    </x:row>
    <x:row r="350" ht="15.75" customHeight="1">
      <x:c r="K350" s="120"/>
      <x:c r="M350" s="120"/>
      <x:c r="N350" s="121"/>
      <x:c r="P350" s="120"/>
      <x:c r="R350" s="120"/>
      <x:c r="S350" s="121"/>
      <x:c r="T350" s="122"/>
      <x:c r="U350" s="120"/>
      <x:c r="V350" s="122"/>
      <x:c r="W350" s="120"/>
      <x:c r="X350" s="121"/>
      <x:c r="Y350" s="122"/>
      <x:c r="Z350" s="120"/>
      <x:c r="AA350" s="122"/>
      <x:c r="AB350" s="120"/>
      <x:c r="AC350" s="121"/>
      <x:c r="AD350" s="122"/>
      <x:c r="AE350" s="120"/>
      <x:c r="AF350" s="122"/>
      <x:c r="AG350" s="120"/>
      <x:c r="AH350" s="121"/>
      <x:c r="AI350" s="122"/>
      <x:c r="AJ350" s="120"/>
      <x:c r="AK350" s="122"/>
      <x:c r="AL350" s="120"/>
      <x:c r="AM350" s="121"/>
      <x:c r="AN350" s="122"/>
      <x:c r="AO350" s="120"/>
      <x:c r="AP350" s="122"/>
    </x:row>
    <x:row r="351" ht="15.75" customHeight="1">
      <x:c r="K351" s="120"/>
      <x:c r="M351" s="120"/>
      <x:c r="N351" s="121"/>
      <x:c r="P351" s="120"/>
      <x:c r="R351" s="120"/>
      <x:c r="S351" s="121"/>
      <x:c r="T351" s="122"/>
      <x:c r="U351" s="120"/>
      <x:c r="V351" s="122"/>
      <x:c r="W351" s="120"/>
      <x:c r="X351" s="121"/>
      <x:c r="Y351" s="122"/>
      <x:c r="Z351" s="120"/>
      <x:c r="AA351" s="122"/>
      <x:c r="AB351" s="120"/>
      <x:c r="AC351" s="121"/>
      <x:c r="AD351" s="122"/>
      <x:c r="AE351" s="120"/>
      <x:c r="AF351" s="122"/>
      <x:c r="AG351" s="120"/>
      <x:c r="AH351" s="121"/>
      <x:c r="AI351" s="122"/>
      <x:c r="AJ351" s="120"/>
      <x:c r="AK351" s="122"/>
      <x:c r="AL351" s="120"/>
      <x:c r="AM351" s="121"/>
      <x:c r="AN351" s="122"/>
      <x:c r="AO351" s="120"/>
      <x:c r="AP351" s="122"/>
    </x:row>
    <x:row r="352" ht="15.75" customHeight="1">
      <x:c r="K352" s="120"/>
      <x:c r="M352" s="120"/>
      <x:c r="N352" s="121"/>
      <x:c r="P352" s="120"/>
      <x:c r="R352" s="120"/>
      <x:c r="S352" s="121"/>
      <x:c r="T352" s="122"/>
      <x:c r="U352" s="120"/>
      <x:c r="V352" s="122"/>
      <x:c r="W352" s="120"/>
      <x:c r="X352" s="121"/>
      <x:c r="Y352" s="122"/>
      <x:c r="Z352" s="120"/>
      <x:c r="AA352" s="122"/>
      <x:c r="AB352" s="120"/>
      <x:c r="AC352" s="121"/>
      <x:c r="AD352" s="122"/>
      <x:c r="AE352" s="120"/>
      <x:c r="AF352" s="122"/>
      <x:c r="AG352" s="120"/>
      <x:c r="AH352" s="121"/>
      <x:c r="AI352" s="122"/>
      <x:c r="AJ352" s="120"/>
      <x:c r="AK352" s="122"/>
      <x:c r="AL352" s="120"/>
      <x:c r="AM352" s="121"/>
      <x:c r="AN352" s="122"/>
      <x:c r="AO352" s="120"/>
      <x:c r="AP352" s="122"/>
    </x:row>
    <x:row r="353" ht="15.75" customHeight="1">
      <x:c r="K353" s="120"/>
      <x:c r="M353" s="120"/>
      <x:c r="N353" s="121"/>
      <x:c r="P353" s="120"/>
      <x:c r="R353" s="120"/>
      <x:c r="S353" s="121"/>
      <x:c r="T353" s="122"/>
      <x:c r="U353" s="120"/>
      <x:c r="V353" s="122"/>
      <x:c r="W353" s="120"/>
      <x:c r="X353" s="121"/>
      <x:c r="Y353" s="122"/>
      <x:c r="Z353" s="120"/>
      <x:c r="AA353" s="122"/>
      <x:c r="AB353" s="120"/>
      <x:c r="AC353" s="121"/>
      <x:c r="AD353" s="122"/>
      <x:c r="AE353" s="120"/>
      <x:c r="AF353" s="122"/>
      <x:c r="AG353" s="120"/>
      <x:c r="AH353" s="121"/>
      <x:c r="AI353" s="122"/>
      <x:c r="AJ353" s="120"/>
      <x:c r="AK353" s="122"/>
      <x:c r="AL353" s="120"/>
      <x:c r="AM353" s="121"/>
      <x:c r="AN353" s="122"/>
      <x:c r="AO353" s="120"/>
      <x:c r="AP353" s="122"/>
    </x:row>
    <x:row r="354" ht="15.75" customHeight="1">
      <x:c r="K354" s="120"/>
      <x:c r="M354" s="120"/>
      <x:c r="N354" s="121"/>
      <x:c r="P354" s="120"/>
      <x:c r="R354" s="120"/>
      <x:c r="S354" s="121"/>
      <x:c r="T354" s="122"/>
      <x:c r="U354" s="120"/>
      <x:c r="V354" s="122"/>
      <x:c r="W354" s="120"/>
      <x:c r="X354" s="121"/>
      <x:c r="Y354" s="122"/>
      <x:c r="Z354" s="120"/>
      <x:c r="AA354" s="122"/>
      <x:c r="AB354" s="120"/>
      <x:c r="AC354" s="121"/>
      <x:c r="AD354" s="122"/>
      <x:c r="AE354" s="120"/>
      <x:c r="AF354" s="122"/>
      <x:c r="AG354" s="120"/>
      <x:c r="AH354" s="121"/>
      <x:c r="AI354" s="122"/>
      <x:c r="AJ354" s="120"/>
      <x:c r="AK354" s="122"/>
      <x:c r="AL354" s="120"/>
      <x:c r="AM354" s="121"/>
      <x:c r="AN354" s="122"/>
      <x:c r="AO354" s="120"/>
      <x:c r="AP354" s="122"/>
    </x:row>
    <x:row r="355" ht="15.75" customHeight="1">
      <x:c r="K355" s="120"/>
      <x:c r="M355" s="120"/>
      <x:c r="N355" s="121"/>
      <x:c r="P355" s="120"/>
      <x:c r="R355" s="120"/>
      <x:c r="S355" s="121"/>
      <x:c r="T355" s="122"/>
      <x:c r="U355" s="120"/>
      <x:c r="V355" s="122"/>
      <x:c r="W355" s="120"/>
      <x:c r="X355" s="121"/>
      <x:c r="Y355" s="122"/>
      <x:c r="Z355" s="120"/>
      <x:c r="AA355" s="122"/>
      <x:c r="AB355" s="120"/>
      <x:c r="AC355" s="121"/>
      <x:c r="AD355" s="122"/>
      <x:c r="AE355" s="120"/>
      <x:c r="AF355" s="122"/>
      <x:c r="AG355" s="120"/>
      <x:c r="AH355" s="121"/>
      <x:c r="AI355" s="122"/>
      <x:c r="AJ355" s="120"/>
      <x:c r="AK355" s="122"/>
      <x:c r="AL355" s="120"/>
      <x:c r="AM355" s="121"/>
      <x:c r="AN355" s="122"/>
      <x:c r="AO355" s="120"/>
      <x:c r="AP355" s="122"/>
    </x:row>
    <x:row r="356" ht="15.75" customHeight="1">
      <x:c r="K356" s="120"/>
      <x:c r="M356" s="120"/>
      <x:c r="N356" s="121"/>
      <x:c r="P356" s="120"/>
      <x:c r="R356" s="120"/>
      <x:c r="S356" s="121"/>
      <x:c r="T356" s="122"/>
      <x:c r="U356" s="120"/>
      <x:c r="V356" s="122"/>
      <x:c r="W356" s="120"/>
      <x:c r="X356" s="121"/>
      <x:c r="Y356" s="122"/>
      <x:c r="Z356" s="120"/>
      <x:c r="AA356" s="122"/>
      <x:c r="AB356" s="120"/>
      <x:c r="AC356" s="121"/>
      <x:c r="AD356" s="122"/>
      <x:c r="AE356" s="120"/>
      <x:c r="AF356" s="122"/>
      <x:c r="AG356" s="120"/>
      <x:c r="AH356" s="121"/>
      <x:c r="AI356" s="122"/>
      <x:c r="AJ356" s="120"/>
      <x:c r="AK356" s="122"/>
      <x:c r="AL356" s="120"/>
      <x:c r="AM356" s="121"/>
      <x:c r="AN356" s="122"/>
      <x:c r="AO356" s="120"/>
      <x:c r="AP356" s="122"/>
    </x:row>
    <x:row r="357" ht="15.75" customHeight="1">
      <x:c r="K357" s="120"/>
      <x:c r="M357" s="120"/>
      <x:c r="N357" s="121"/>
      <x:c r="P357" s="120"/>
      <x:c r="R357" s="120"/>
      <x:c r="S357" s="121"/>
      <x:c r="T357" s="122"/>
      <x:c r="U357" s="120"/>
      <x:c r="V357" s="122"/>
      <x:c r="W357" s="120"/>
      <x:c r="X357" s="121"/>
      <x:c r="Y357" s="122"/>
      <x:c r="Z357" s="120"/>
      <x:c r="AA357" s="122"/>
      <x:c r="AB357" s="120"/>
      <x:c r="AC357" s="121"/>
      <x:c r="AD357" s="122"/>
      <x:c r="AE357" s="120"/>
      <x:c r="AF357" s="122"/>
      <x:c r="AG357" s="120"/>
      <x:c r="AH357" s="121"/>
      <x:c r="AI357" s="122"/>
      <x:c r="AJ357" s="120"/>
      <x:c r="AK357" s="122"/>
      <x:c r="AL357" s="120"/>
      <x:c r="AM357" s="121"/>
      <x:c r="AN357" s="122"/>
      <x:c r="AO357" s="120"/>
      <x:c r="AP357" s="122"/>
    </x:row>
    <x:row r="358" ht="15.75" customHeight="1">
      <x:c r="K358" s="120"/>
      <x:c r="M358" s="120"/>
      <x:c r="N358" s="121"/>
      <x:c r="P358" s="120"/>
      <x:c r="R358" s="120"/>
      <x:c r="S358" s="121"/>
      <x:c r="T358" s="122"/>
      <x:c r="U358" s="120"/>
      <x:c r="V358" s="122"/>
      <x:c r="W358" s="120"/>
      <x:c r="X358" s="121"/>
      <x:c r="Y358" s="122"/>
      <x:c r="Z358" s="120"/>
      <x:c r="AA358" s="122"/>
      <x:c r="AB358" s="120"/>
      <x:c r="AC358" s="121"/>
      <x:c r="AD358" s="122"/>
      <x:c r="AE358" s="120"/>
      <x:c r="AF358" s="122"/>
      <x:c r="AG358" s="120"/>
      <x:c r="AH358" s="121"/>
      <x:c r="AI358" s="122"/>
      <x:c r="AJ358" s="120"/>
      <x:c r="AK358" s="122"/>
      <x:c r="AL358" s="120"/>
      <x:c r="AM358" s="121"/>
      <x:c r="AN358" s="122"/>
      <x:c r="AO358" s="120"/>
      <x:c r="AP358" s="122"/>
    </x:row>
    <x:row r="359" ht="15.75" customHeight="1">
      <x:c r="K359" s="120"/>
      <x:c r="M359" s="120"/>
      <x:c r="N359" s="121"/>
      <x:c r="P359" s="120"/>
      <x:c r="R359" s="120"/>
      <x:c r="S359" s="121"/>
      <x:c r="T359" s="122"/>
      <x:c r="U359" s="120"/>
      <x:c r="V359" s="122"/>
      <x:c r="W359" s="120"/>
      <x:c r="X359" s="121"/>
      <x:c r="Y359" s="122"/>
      <x:c r="Z359" s="120"/>
      <x:c r="AA359" s="122"/>
      <x:c r="AB359" s="120"/>
      <x:c r="AC359" s="121"/>
      <x:c r="AD359" s="122"/>
      <x:c r="AE359" s="120"/>
      <x:c r="AF359" s="122"/>
      <x:c r="AG359" s="120"/>
      <x:c r="AH359" s="121"/>
      <x:c r="AI359" s="122"/>
      <x:c r="AJ359" s="120"/>
      <x:c r="AK359" s="122"/>
      <x:c r="AL359" s="120"/>
      <x:c r="AM359" s="121"/>
      <x:c r="AN359" s="122"/>
      <x:c r="AO359" s="120"/>
      <x:c r="AP359" s="122"/>
    </x:row>
    <x:row r="360" ht="15.75" customHeight="1">
      <x:c r="K360" s="120"/>
      <x:c r="M360" s="120"/>
      <x:c r="N360" s="121"/>
      <x:c r="P360" s="120"/>
      <x:c r="R360" s="120"/>
      <x:c r="S360" s="121"/>
      <x:c r="T360" s="122"/>
      <x:c r="U360" s="120"/>
      <x:c r="V360" s="122"/>
      <x:c r="W360" s="120"/>
      <x:c r="X360" s="121"/>
      <x:c r="Y360" s="122"/>
      <x:c r="Z360" s="120"/>
      <x:c r="AA360" s="122"/>
      <x:c r="AB360" s="120"/>
      <x:c r="AC360" s="121"/>
      <x:c r="AD360" s="122"/>
      <x:c r="AE360" s="120"/>
      <x:c r="AF360" s="122"/>
      <x:c r="AG360" s="120"/>
      <x:c r="AH360" s="121"/>
      <x:c r="AI360" s="122"/>
      <x:c r="AJ360" s="120"/>
      <x:c r="AK360" s="122"/>
      <x:c r="AL360" s="120"/>
      <x:c r="AM360" s="121"/>
      <x:c r="AN360" s="122"/>
      <x:c r="AO360" s="120"/>
      <x:c r="AP360" s="122"/>
    </x:row>
    <x:row r="361" ht="15.75" customHeight="1">
      <x:c r="K361" s="120"/>
      <x:c r="M361" s="120"/>
      <x:c r="N361" s="121"/>
      <x:c r="P361" s="120"/>
      <x:c r="R361" s="120"/>
      <x:c r="S361" s="121"/>
      <x:c r="T361" s="122"/>
      <x:c r="U361" s="120"/>
      <x:c r="V361" s="122"/>
      <x:c r="W361" s="120"/>
      <x:c r="X361" s="121"/>
      <x:c r="Y361" s="122"/>
      <x:c r="Z361" s="120"/>
      <x:c r="AA361" s="122"/>
      <x:c r="AB361" s="120"/>
      <x:c r="AC361" s="121"/>
      <x:c r="AD361" s="122"/>
      <x:c r="AE361" s="120"/>
      <x:c r="AF361" s="122"/>
      <x:c r="AG361" s="120"/>
      <x:c r="AH361" s="121"/>
      <x:c r="AI361" s="122"/>
      <x:c r="AJ361" s="120"/>
      <x:c r="AK361" s="122"/>
      <x:c r="AL361" s="120"/>
      <x:c r="AM361" s="121"/>
      <x:c r="AN361" s="122"/>
      <x:c r="AO361" s="120"/>
      <x:c r="AP361" s="122"/>
    </x:row>
    <x:row r="362" ht="15.75" customHeight="1">
      <x:c r="K362" s="120"/>
      <x:c r="M362" s="120"/>
      <x:c r="N362" s="121"/>
      <x:c r="P362" s="120"/>
      <x:c r="R362" s="120"/>
      <x:c r="S362" s="121"/>
      <x:c r="T362" s="122"/>
      <x:c r="U362" s="120"/>
      <x:c r="V362" s="122"/>
      <x:c r="W362" s="120"/>
      <x:c r="X362" s="121"/>
      <x:c r="Y362" s="122"/>
      <x:c r="Z362" s="120"/>
      <x:c r="AA362" s="122"/>
      <x:c r="AB362" s="120"/>
      <x:c r="AC362" s="121"/>
      <x:c r="AD362" s="122"/>
      <x:c r="AE362" s="120"/>
      <x:c r="AF362" s="122"/>
      <x:c r="AG362" s="120"/>
      <x:c r="AH362" s="121"/>
      <x:c r="AI362" s="122"/>
      <x:c r="AJ362" s="120"/>
      <x:c r="AK362" s="122"/>
      <x:c r="AL362" s="120"/>
      <x:c r="AM362" s="121"/>
      <x:c r="AN362" s="122"/>
      <x:c r="AO362" s="120"/>
      <x:c r="AP362" s="122"/>
    </x:row>
    <x:row r="363" ht="15.75" customHeight="1">
      <x:c r="K363" s="120"/>
      <x:c r="M363" s="120"/>
      <x:c r="N363" s="121"/>
      <x:c r="P363" s="120"/>
      <x:c r="R363" s="120"/>
      <x:c r="S363" s="121"/>
      <x:c r="T363" s="122"/>
      <x:c r="U363" s="120"/>
      <x:c r="V363" s="122"/>
      <x:c r="W363" s="120"/>
      <x:c r="X363" s="121"/>
      <x:c r="Y363" s="122"/>
      <x:c r="Z363" s="120"/>
      <x:c r="AA363" s="122"/>
      <x:c r="AB363" s="120"/>
      <x:c r="AC363" s="121"/>
      <x:c r="AD363" s="122"/>
      <x:c r="AE363" s="120"/>
      <x:c r="AF363" s="122"/>
      <x:c r="AG363" s="120"/>
      <x:c r="AH363" s="121"/>
      <x:c r="AI363" s="122"/>
      <x:c r="AJ363" s="120"/>
      <x:c r="AK363" s="122"/>
      <x:c r="AL363" s="120"/>
      <x:c r="AM363" s="121"/>
      <x:c r="AN363" s="122"/>
      <x:c r="AO363" s="120"/>
      <x:c r="AP363" s="122"/>
    </x:row>
    <x:row r="364" ht="15.75" customHeight="1">
      <x:c r="K364" s="120"/>
      <x:c r="M364" s="120"/>
      <x:c r="N364" s="121"/>
      <x:c r="P364" s="120"/>
      <x:c r="R364" s="120"/>
      <x:c r="S364" s="121"/>
      <x:c r="T364" s="122"/>
      <x:c r="U364" s="120"/>
      <x:c r="V364" s="122"/>
      <x:c r="W364" s="120"/>
      <x:c r="X364" s="121"/>
      <x:c r="Y364" s="122"/>
      <x:c r="Z364" s="120"/>
      <x:c r="AA364" s="122"/>
      <x:c r="AB364" s="120"/>
      <x:c r="AC364" s="121"/>
      <x:c r="AD364" s="122"/>
      <x:c r="AE364" s="120"/>
      <x:c r="AF364" s="122"/>
      <x:c r="AG364" s="120"/>
      <x:c r="AH364" s="121"/>
      <x:c r="AI364" s="122"/>
      <x:c r="AJ364" s="120"/>
      <x:c r="AK364" s="122"/>
      <x:c r="AL364" s="120"/>
      <x:c r="AM364" s="121"/>
      <x:c r="AN364" s="122"/>
      <x:c r="AO364" s="120"/>
      <x:c r="AP364" s="122"/>
    </x:row>
    <x:row r="365" ht="15.75" customHeight="1">
      <x:c r="K365" s="120"/>
      <x:c r="M365" s="120"/>
      <x:c r="N365" s="121"/>
      <x:c r="P365" s="120"/>
      <x:c r="R365" s="120"/>
      <x:c r="S365" s="121"/>
      <x:c r="T365" s="122"/>
      <x:c r="U365" s="120"/>
      <x:c r="V365" s="122"/>
      <x:c r="W365" s="120"/>
      <x:c r="X365" s="121"/>
      <x:c r="Y365" s="122"/>
      <x:c r="Z365" s="120"/>
      <x:c r="AA365" s="122"/>
      <x:c r="AB365" s="120"/>
      <x:c r="AC365" s="121"/>
      <x:c r="AD365" s="122"/>
      <x:c r="AE365" s="120"/>
      <x:c r="AF365" s="122"/>
      <x:c r="AG365" s="120"/>
      <x:c r="AH365" s="121"/>
      <x:c r="AI365" s="122"/>
      <x:c r="AJ365" s="120"/>
      <x:c r="AK365" s="122"/>
      <x:c r="AL365" s="120"/>
      <x:c r="AM365" s="121"/>
      <x:c r="AN365" s="122"/>
      <x:c r="AO365" s="120"/>
      <x:c r="AP365" s="122"/>
    </x:row>
    <x:row r="366" ht="15.75" customHeight="1">
      <x:c r="K366" s="120"/>
      <x:c r="M366" s="120"/>
      <x:c r="N366" s="121"/>
      <x:c r="P366" s="120"/>
      <x:c r="R366" s="120"/>
      <x:c r="S366" s="121"/>
      <x:c r="T366" s="122"/>
      <x:c r="U366" s="120"/>
      <x:c r="V366" s="122"/>
      <x:c r="W366" s="120"/>
      <x:c r="X366" s="121"/>
      <x:c r="Y366" s="122"/>
      <x:c r="Z366" s="120"/>
      <x:c r="AA366" s="122"/>
      <x:c r="AB366" s="120"/>
      <x:c r="AC366" s="121"/>
      <x:c r="AD366" s="122"/>
      <x:c r="AE366" s="120"/>
      <x:c r="AF366" s="122"/>
      <x:c r="AG366" s="120"/>
      <x:c r="AH366" s="121"/>
      <x:c r="AI366" s="122"/>
      <x:c r="AJ366" s="120"/>
      <x:c r="AK366" s="122"/>
      <x:c r="AL366" s="120"/>
      <x:c r="AM366" s="121"/>
      <x:c r="AN366" s="122"/>
      <x:c r="AO366" s="120"/>
      <x:c r="AP366" s="122"/>
    </x:row>
    <x:row r="367" ht="15.75" customHeight="1">
      <x:c r="K367" s="120"/>
      <x:c r="M367" s="120"/>
      <x:c r="N367" s="121"/>
      <x:c r="P367" s="120"/>
      <x:c r="R367" s="120"/>
      <x:c r="S367" s="121"/>
      <x:c r="T367" s="122"/>
      <x:c r="U367" s="120"/>
      <x:c r="V367" s="122"/>
      <x:c r="W367" s="120"/>
      <x:c r="X367" s="121"/>
      <x:c r="Y367" s="122"/>
      <x:c r="Z367" s="120"/>
      <x:c r="AA367" s="122"/>
      <x:c r="AB367" s="120"/>
      <x:c r="AC367" s="121"/>
      <x:c r="AD367" s="122"/>
      <x:c r="AE367" s="120"/>
      <x:c r="AF367" s="122"/>
      <x:c r="AG367" s="120"/>
      <x:c r="AH367" s="121"/>
      <x:c r="AI367" s="122"/>
      <x:c r="AJ367" s="120"/>
      <x:c r="AK367" s="122"/>
      <x:c r="AL367" s="120"/>
      <x:c r="AM367" s="121"/>
      <x:c r="AN367" s="122"/>
      <x:c r="AO367" s="120"/>
      <x:c r="AP367" s="122"/>
    </x:row>
    <x:row r="368" ht="15.75" customHeight="1">
      <x:c r="K368" s="120"/>
      <x:c r="M368" s="120"/>
      <x:c r="N368" s="121"/>
      <x:c r="P368" s="120"/>
      <x:c r="R368" s="120"/>
      <x:c r="S368" s="121"/>
      <x:c r="T368" s="122"/>
      <x:c r="U368" s="120"/>
      <x:c r="V368" s="122"/>
      <x:c r="W368" s="120"/>
      <x:c r="X368" s="121"/>
      <x:c r="Y368" s="122"/>
      <x:c r="Z368" s="120"/>
      <x:c r="AA368" s="122"/>
      <x:c r="AB368" s="120"/>
      <x:c r="AC368" s="121"/>
      <x:c r="AD368" s="122"/>
      <x:c r="AE368" s="120"/>
      <x:c r="AF368" s="122"/>
      <x:c r="AG368" s="120"/>
      <x:c r="AH368" s="121"/>
      <x:c r="AI368" s="122"/>
      <x:c r="AJ368" s="120"/>
      <x:c r="AK368" s="122"/>
      <x:c r="AL368" s="120"/>
      <x:c r="AM368" s="121"/>
      <x:c r="AN368" s="122"/>
      <x:c r="AO368" s="120"/>
      <x:c r="AP368" s="122"/>
    </x:row>
    <x:row r="369" ht="15.75" customHeight="1">
      <x:c r="K369" s="120"/>
      <x:c r="M369" s="120"/>
      <x:c r="N369" s="121"/>
      <x:c r="P369" s="120"/>
      <x:c r="R369" s="120"/>
      <x:c r="S369" s="121"/>
      <x:c r="T369" s="122"/>
      <x:c r="U369" s="120"/>
      <x:c r="V369" s="122"/>
      <x:c r="W369" s="120"/>
      <x:c r="X369" s="121"/>
      <x:c r="Y369" s="122"/>
      <x:c r="Z369" s="120"/>
      <x:c r="AA369" s="122"/>
      <x:c r="AB369" s="120"/>
      <x:c r="AC369" s="121"/>
      <x:c r="AD369" s="122"/>
      <x:c r="AE369" s="120"/>
      <x:c r="AF369" s="122"/>
      <x:c r="AG369" s="120"/>
      <x:c r="AH369" s="121"/>
      <x:c r="AI369" s="122"/>
      <x:c r="AJ369" s="120"/>
      <x:c r="AK369" s="122"/>
      <x:c r="AL369" s="120"/>
      <x:c r="AM369" s="121"/>
      <x:c r="AN369" s="122"/>
      <x:c r="AO369" s="120"/>
      <x:c r="AP369" s="122"/>
    </x:row>
    <x:row r="370" ht="15.75" customHeight="1">
      <x:c r="K370" s="120"/>
      <x:c r="M370" s="120"/>
      <x:c r="N370" s="121"/>
      <x:c r="P370" s="120"/>
      <x:c r="R370" s="120"/>
      <x:c r="S370" s="121"/>
      <x:c r="T370" s="122"/>
      <x:c r="U370" s="120"/>
      <x:c r="V370" s="122"/>
      <x:c r="W370" s="120"/>
      <x:c r="X370" s="121"/>
      <x:c r="Y370" s="122"/>
      <x:c r="Z370" s="120"/>
      <x:c r="AA370" s="122"/>
      <x:c r="AB370" s="120"/>
      <x:c r="AC370" s="121"/>
      <x:c r="AD370" s="122"/>
      <x:c r="AE370" s="120"/>
      <x:c r="AF370" s="122"/>
      <x:c r="AG370" s="120"/>
      <x:c r="AH370" s="121"/>
      <x:c r="AI370" s="122"/>
      <x:c r="AJ370" s="120"/>
      <x:c r="AK370" s="122"/>
      <x:c r="AL370" s="120"/>
      <x:c r="AM370" s="121"/>
      <x:c r="AN370" s="122"/>
      <x:c r="AO370" s="120"/>
      <x:c r="AP370" s="122"/>
    </x:row>
    <x:row r="371" ht="15.75" customHeight="1">
      <x:c r="K371" s="120"/>
      <x:c r="M371" s="120"/>
      <x:c r="N371" s="121"/>
      <x:c r="P371" s="120"/>
      <x:c r="R371" s="120"/>
      <x:c r="S371" s="121"/>
      <x:c r="T371" s="122"/>
      <x:c r="U371" s="120"/>
      <x:c r="V371" s="122"/>
      <x:c r="W371" s="120"/>
      <x:c r="X371" s="121"/>
      <x:c r="Y371" s="122"/>
      <x:c r="Z371" s="120"/>
      <x:c r="AA371" s="122"/>
      <x:c r="AB371" s="120"/>
      <x:c r="AC371" s="121"/>
      <x:c r="AD371" s="122"/>
      <x:c r="AE371" s="120"/>
      <x:c r="AF371" s="122"/>
      <x:c r="AG371" s="120"/>
      <x:c r="AH371" s="121"/>
      <x:c r="AI371" s="122"/>
      <x:c r="AJ371" s="120"/>
      <x:c r="AK371" s="122"/>
      <x:c r="AL371" s="120"/>
      <x:c r="AM371" s="121"/>
      <x:c r="AN371" s="122"/>
      <x:c r="AO371" s="120"/>
      <x:c r="AP371" s="122"/>
    </x:row>
    <x:row r="372" ht="15.75" customHeight="1">
      <x:c r="K372" s="120"/>
      <x:c r="M372" s="120"/>
      <x:c r="N372" s="121"/>
      <x:c r="P372" s="120"/>
      <x:c r="R372" s="120"/>
      <x:c r="S372" s="121"/>
      <x:c r="T372" s="122"/>
      <x:c r="U372" s="120"/>
      <x:c r="V372" s="122"/>
      <x:c r="W372" s="120"/>
      <x:c r="X372" s="121"/>
      <x:c r="Y372" s="122"/>
      <x:c r="Z372" s="120"/>
      <x:c r="AA372" s="122"/>
      <x:c r="AB372" s="120"/>
      <x:c r="AC372" s="121"/>
      <x:c r="AD372" s="122"/>
      <x:c r="AE372" s="120"/>
      <x:c r="AF372" s="122"/>
      <x:c r="AG372" s="120"/>
      <x:c r="AH372" s="121"/>
      <x:c r="AI372" s="122"/>
      <x:c r="AJ372" s="120"/>
      <x:c r="AK372" s="122"/>
      <x:c r="AL372" s="120"/>
      <x:c r="AM372" s="121"/>
      <x:c r="AN372" s="122"/>
      <x:c r="AO372" s="120"/>
      <x:c r="AP372" s="122"/>
    </x:row>
    <x:row r="373" ht="15.75" customHeight="1">
      <x:c r="K373" s="120"/>
      <x:c r="M373" s="120"/>
      <x:c r="N373" s="121"/>
      <x:c r="P373" s="120"/>
      <x:c r="R373" s="120"/>
      <x:c r="S373" s="121"/>
      <x:c r="T373" s="122"/>
      <x:c r="U373" s="120"/>
      <x:c r="V373" s="122"/>
      <x:c r="W373" s="120"/>
      <x:c r="X373" s="121"/>
      <x:c r="Y373" s="122"/>
      <x:c r="Z373" s="120"/>
      <x:c r="AA373" s="122"/>
      <x:c r="AB373" s="120"/>
      <x:c r="AC373" s="121"/>
      <x:c r="AD373" s="122"/>
      <x:c r="AE373" s="120"/>
      <x:c r="AF373" s="122"/>
      <x:c r="AG373" s="120"/>
      <x:c r="AH373" s="121"/>
      <x:c r="AI373" s="122"/>
      <x:c r="AJ373" s="120"/>
      <x:c r="AK373" s="122"/>
      <x:c r="AL373" s="120"/>
      <x:c r="AM373" s="121"/>
      <x:c r="AN373" s="122"/>
      <x:c r="AO373" s="120"/>
      <x:c r="AP373" s="122"/>
    </x:row>
    <x:row r="374" ht="15.75" customHeight="1">
      <x:c r="K374" s="120"/>
      <x:c r="M374" s="120"/>
      <x:c r="N374" s="121"/>
      <x:c r="P374" s="120"/>
      <x:c r="R374" s="120"/>
      <x:c r="S374" s="121"/>
      <x:c r="T374" s="122"/>
      <x:c r="U374" s="120"/>
      <x:c r="V374" s="122"/>
      <x:c r="W374" s="120"/>
      <x:c r="X374" s="121"/>
      <x:c r="Y374" s="122"/>
      <x:c r="Z374" s="120"/>
      <x:c r="AA374" s="122"/>
      <x:c r="AB374" s="120"/>
      <x:c r="AC374" s="121"/>
      <x:c r="AD374" s="122"/>
      <x:c r="AE374" s="120"/>
      <x:c r="AF374" s="122"/>
      <x:c r="AG374" s="120"/>
      <x:c r="AH374" s="121"/>
      <x:c r="AI374" s="122"/>
      <x:c r="AJ374" s="120"/>
      <x:c r="AK374" s="122"/>
      <x:c r="AL374" s="120"/>
      <x:c r="AM374" s="121"/>
      <x:c r="AN374" s="122"/>
      <x:c r="AO374" s="120"/>
      <x:c r="AP374" s="122"/>
    </x:row>
    <x:row r="375" ht="15.75" customHeight="1">
      <x:c r="K375" s="120"/>
      <x:c r="M375" s="120"/>
      <x:c r="N375" s="121"/>
      <x:c r="P375" s="120"/>
      <x:c r="R375" s="120"/>
      <x:c r="S375" s="121"/>
      <x:c r="T375" s="122"/>
      <x:c r="U375" s="120"/>
      <x:c r="V375" s="122"/>
      <x:c r="W375" s="120"/>
      <x:c r="X375" s="121"/>
      <x:c r="Y375" s="122"/>
      <x:c r="Z375" s="120"/>
      <x:c r="AA375" s="122"/>
      <x:c r="AB375" s="120"/>
      <x:c r="AC375" s="121"/>
      <x:c r="AD375" s="122"/>
      <x:c r="AE375" s="120"/>
      <x:c r="AF375" s="122"/>
      <x:c r="AG375" s="120"/>
      <x:c r="AH375" s="121"/>
      <x:c r="AI375" s="122"/>
      <x:c r="AJ375" s="120"/>
      <x:c r="AK375" s="122"/>
      <x:c r="AL375" s="120"/>
      <x:c r="AM375" s="121"/>
      <x:c r="AN375" s="122"/>
      <x:c r="AO375" s="120"/>
      <x:c r="AP375" s="122"/>
    </x:row>
    <x:row r="376" ht="15.75" customHeight="1">
      <x:c r="K376" s="120"/>
      <x:c r="M376" s="120"/>
      <x:c r="N376" s="121"/>
      <x:c r="P376" s="120"/>
      <x:c r="R376" s="120"/>
      <x:c r="S376" s="121"/>
      <x:c r="T376" s="122"/>
      <x:c r="U376" s="120"/>
      <x:c r="V376" s="122"/>
      <x:c r="W376" s="120"/>
      <x:c r="X376" s="121"/>
      <x:c r="Y376" s="122"/>
      <x:c r="Z376" s="120"/>
      <x:c r="AA376" s="122"/>
      <x:c r="AB376" s="120"/>
      <x:c r="AC376" s="121"/>
      <x:c r="AD376" s="122"/>
      <x:c r="AE376" s="120"/>
      <x:c r="AF376" s="122"/>
      <x:c r="AG376" s="120"/>
      <x:c r="AH376" s="121"/>
      <x:c r="AI376" s="122"/>
      <x:c r="AJ376" s="120"/>
      <x:c r="AK376" s="122"/>
      <x:c r="AL376" s="120"/>
      <x:c r="AM376" s="121"/>
      <x:c r="AN376" s="122"/>
      <x:c r="AO376" s="120"/>
      <x:c r="AP376" s="122"/>
    </x:row>
    <x:row r="377" ht="15.75" customHeight="1">
      <x:c r="K377" s="120"/>
      <x:c r="M377" s="120"/>
      <x:c r="N377" s="121"/>
      <x:c r="P377" s="120"/>
      <x:c r="R377" s="120"/>
      <x:c r="S377" s="121"/>
      <x:c r="T377" s="122"/>
      <x:c r="U377" s="120"/>
      <x:c r="V377" s="122"/>
      <x:c r="W377" s="120"/>
      <x:c r="X377" s="121"/>
      <x:c r="Y377" s="122"/>
      <x:c r="Z377" s="120"/>
      <x:c r="AA377" s="122"/>
      <x:c r="AB377" s="120"/>
      <x:c r="AC377" s="121"/>
      <x:c r="AD377" s="122"/>
      <x:c r="AE377" s="120"/>
      <x:c r="AF377" s="122"/>
      <x:c r="AG377" s="120"/>
      <x:c r="AH377" s="121"/>
      <x:c r="AI377" s="122"/>
      <x:c r="AJ377" s="120"/>
      <x:c r="AK377" s="122"/>
      <x:c r="AL377" s="120"/>
      <x:c r="AM377" s="121"/>
      <x:c r="AN377" s="122"/>
      <x:c r="AO377" s="120"/>
      <x:c r="AP377" s="122"/>
    </x:row>
    <x:row r="378" ht="15.75" customHeight="1">
      <x:c r="K378" s="120"/>
      <x:c r="M378" s="120"/>
      <x:c r="N378" s="121"/>
      <x:c r="P378" s="120"/>
      <x:c r="R378" s="120"/>
      <x:c r="S378" s="121"/>
      <x:c r="T378" s="122"/>
      <x:c r="U378" s="120"/>
      <x:c r="V378" s="122"/>
      <x:c r="W378" s="120"/>
      <x:c r="X378" s="121"/>
      <x:c r="Y378" s="122"/>
      <x:c r="Z378" s="120"/>
      <x:c r="AA378" s="122"/>
      <x:c r="AB378" s="120"/>
      <x:c r="AC378" s="121"/>
      <x:c r="AD378" s="122"/>
      <x:c r="AE378" s="120"/>
      <x:c r="AF378" s="122"/>
      <x:c r="AG378" s="120"/>
      <x:c r="AH378" s="121"/>
      <x:c r="AI378" s="122"/>
      <x:c r="AJ378" s="120"/>
      <x:c r="AK378" s="122"/>
      <x:c r="AL378" s="120"/>
      <x:c r="AM378" s="121"/>
      <x:c r="AN378" s="122"/>
      <x:c r="AO378" s="120"/>
      <x:c r="AP378" s="122"/>
    </x:row>
    <x:row r="379" ht="15.75" customHeight="1">
      <x:c r="K379" s="120"/>
      <x:c r="M379" s="120"/>
      <x:c r="N379" s="121"/>
      <x:c r="P379" s="120"/>
      <x:c r="R379" s="120"/>
      <x:c r="S379" s="121"/>
      <x:c r="T379" s="122"/>
      <x:c r="U379" s="120"/>
      <x:c r="V379" s="122"/>
      <x:c r="W379" s="120"/>
      <x:c r="X379" s="121"/>
      <x:c r="Y379" s="122"/>
      <x:c r="Z379" s="120"/>
      <x:c r="AA379" s="122"/>
      <x:c r="AB379" s="120"/>
      <x:c r="AC379" s="121"/>
      <x:c r="AD379" s="122"/>
      <x:c r="AE379" s="120"/>
      <x:c r="AF379" s="122"/>
      <x:c r="AG379" s="120"/>
      <x:c r="AH379" s="121"/>
      <x:c r="AI379" s="122"/>
      <x:c r="AJ379" s="120"/>
      <x:c r="AK379" s="122"/>
      <x:c r="AL379" s="120"/>
      <x:c r="AM379" s="121"/>
      <x:c r="AN379" s="122"/>
      <x:c r="AO379" s="120"/>
      <x:c r="AP379" s="122"/>
    </x:row>
    <x:row r="380" ht="15.75" customHeight="1">
      <x:c r="K380" s="120"/>
      <x:c r="M380" s="120"/>
      <x:c r="N380" s="121"/>
      <x:c r="P380" s="120"/>
      <x:c r="R380" s="120"/>
      <x:c r="S380" s="121"/>
      <x:c r="T380" s="122"/>
      <x:c r="U380" s="120"/>
      <x:c r="V380" s="122"/>
      <x:c r="W380" s="120"/>
      <x:c r="X380" s="121"/>
      <x:c r="Y380" s="122"/>
      <x:c r="Z380" s="120"/>
      <x:c r="AA380" s="122"/>
      <x:c r="AB380" s="120"/>
      <x:c r="AC380" s="121"/>
      <x:c r="AD380" s="122"/>
      <x:c r="AE380" s="120"/>
      <x:c r="AF380" s="122"/>
      <x:c r="AG380" s="120"/>
      <x:c r="AH380" s="121"/>
      <x:c r="AI380" s="122"/>
      <x:c r="AJ380" s="120"/>
      <x:c r="AK380" s="122"/>
      <x:c r="AL380" s="120"/>
      <x:c r="AM380" s="121"/>
      <x:c r="AN380" s="122"/>
      <x:c r="AO380" s="120"/>
      <x:c r="AP380" s="122"/>
    </x:row>
    <x:row r="381" ht="15.75" customHeight="1">
      <x:c r="K381" s="120"/>
      <x:c r="M381" s="120"/>
      <x:c r="N381" s="121"/>
      <x:c r="P381" s="120"/>
      <x:c r="R381" s="120"/>
      <x:c r="S381" s="121"/>
      <x:c r="T381" s="122"/>
      <x:c r="U381" s="120"/>
      <x:c r="V381" s="122"/>
      <x:c r="W381" s="120"/>
      <x:c r="X381" s="121"/>
      <x:c r="Y381" s="122"/>
      <x:c r="Z381" s="120"/>
      <x:c r="AA381" s="122"/>
      <x:c r="AB381" s="120"/>
      <x:c r="AC381" s="121"/>
      <x:c r="AD381" s="122"/>
      <x:c r="AE381" s="120"/>
      <x:c r="AF381" s="122"/>
      <x:c r="AG381" s="120"/>
      <x:c r="AH381" s="121"/>
      <x:c r="AI381" s="122"/>
      <x:c r="AJ381" s="120"/>
      <x:c r="AK381" s="122"/>
      <x:c r="AL381" s="120"/>
      <x:c r="AM381" s="121"/>
      <x:c r="AN381" s="122"/>
      <x:c r="AO381" s="120"/>
      <x:c r="AP381" s="122"/>
    </x:row>
    <x:row r="382" ht="15.75" customHeight="1">
      <x:c r="K382" s="120"/>
      <x:c r="M382" s="120"/>
      <x:c r="N382" s="121"/>
      <x:c r="P382" s="120"/>
      <x:c r="R382" s="120"/>
      <x:c r="S382" s="121"/>
      <x:c r="T382" s="122"/>
      <x:c r="U382" s="120"/>
      <x:c r="V382" s="122"/>
      <x:c r="W382" s="120"/>
      <x:c r="X382" s="121"/>
      <x:c r="Y382" s="122"/>
      <x:c r="Z382" s="120"/>
      <x:c r="AA382" s="122"/>
      <x:c r="AB382" s="120"/>
      <x:c r="AC382" s="121"/>
      <x:c r="AD382" s="122"/>
      <x:c r="AE382" s="120"/>
      <x:c r="AF382" s="122"/>
      <x:c r="AG382" s="120"/>
      <x:c r="AH382" s="121"/>
      <x:c r="AI382" s="122"/>
      <x:c r="AJ382" s="120"/>
      <x:c r="AK382" s="122"/>
      <x:c r="AL382" s="120"/>
      <x:c r="AM382" s="121"/>
      <x:c r="AN382" s="122"/>
      <x:c r="AO382" s="120"/>
      <x:c r="AP382" s="122"/>
    </x:row>
    <x:row r="383" ht="15.75" customHeight="1">
      <x:c r="K383" s="120"/>
      <x:c r="M383" s="120"/>
      <x:c r="N383" s="121"/>
      <x:c r="P383" s="120"/>
      <x:c r="R383" s="120"/>
      <x:c r="S383" s="121"/>
      <x:c r="T383" s="122"/>
      <x:c r="U383" s="120"/>
      <x:c r="V383" s="122"/>
      <x:c r="W383" s="120"/>
      <x:c r="X383" s="121"/>
      <x:c r="Y383" s="122"/>
      <x:c r="Z383" s="120"/>
      <x:c r="AA383" s="122"/>
      <x:c r="AB383" s="120"/>
      <x:c r="AC383" s="121"/>
      <x:c r="AD383" s="122"/>
      <x:c r="AE383" s="120"/>
      <x:c r="AF383" s="122"/>
      <x:c r="AG383" s="120"/>
      <x:c r="AH383" s="121"/>
      <x:c r="AI383" s="122"/>
      <x:c r="AJ383" s="120"/>
      <x:c r="AK383" s="122"/>
      <x:c r="AL383" s="120"/>
      <x:c r="AM383" s="121"/>
      <x:c r="AN383" s="122"/>
      <x:c r="AO383" s="120"/>
      <x:c r="AP383" s="122"/>
    </x:row>
    <x:row r="384" ht="15.75" customHeight="1">
      <x:c r="K384" s="120"/>
      <x:c r="M384" s="120"/>
      <x:c r="N384" s="121"/>
      <x:c r="P384" s="120"/>
      <x:c r="R384" s="120"/>
      <x:c r="S384" s="121"/>
      <x:c r="T384" s="122"/>
      <x:c r="U384" s="120"/>
      <x:c r="V384" s="122"/>
      <x:c r="W384" s="120"/>
      <x:c r="X384" s="121"/>
      <x:c r="Y384" s="122"/>
      <x:c r="Z384" s="120"/>
      <x:c r="AA384" s="122"/>
      <x:c r="AB384" s="120"/>
      <x:c r="AC384" s="121"/>
      <x:c r="AD384" s="122"/>
      <x:c r="AE384" s="120"/>
      <x:c r="AF384" s="122"/>
      <x:c r="AG384" s="120"/>
      <x:c r="AH384" s="121"/>
      <x:c r="AI384" s="122"/>
      <x:c r="AJ384" s="120"/>
      <x:c r="AK384" s="122"/>
      <x:c r="AL384" s="120"/>
      <x:c r="AM384" s="121"/>
      <x:c r="AN384" s="122"/>
      <x:c r="AO384" s="120"/>
      <x:c r="AP384" s="122"/>
    </x:row>
    <x:row r="385" ht="15.75" customHeight="1">
      <x:c r="K385" s="120"/>
      <x:c r="M385" s="120"/>
      <x:c r="N385" s="121"/>
      <x:c r="P385" s="120"/>
      <x:c r="R385" s="120"/>
      <x:c r="S385" s="121"/>
      <x:c r="T385" s="122"/>
      <x:c r="U385" s="120"/>
      <x:c r="V385" s="122"/>
      <x:c r="W385" s="120"/>
      <x:c r="X385" s="121"/>
      <x:c r="Y385" s="122"/>
      <x:c r="Z385" s="120"/>
      <x:c r="AA385" s="122"/>
      <x:c r="AB385" s="120"/>
      <x:c r="AC385" s="121"/>
      <x:c r="AD385" s="122"/>
      <x:c r="AE385" s="120"/>
      <x:c r="AF385" s="122"/>
      <x:c r="AG385" s="120"/>
      <x:c r="AH385" s="121"/>
      <x:c r="AI385" s="122"/>
      <x:c r="AJ385" s="120"/>
      <x:c r="AK385" s="122"/>
      <x:c r="AL385" s="120"/>
      <x:c r="AM385" s="121"/>
      <x:c r="AN385" s="122"/>
      <x:c r="AO385" s="120"/>
      <x:c r="AP385" s="122"/>
    </x:row>
    <x:row r="386" ht="15.75" customHeight="1">
      <x:c r="K386" s="120"/>
      <x:c r="M386" s="120"/>
      <x:c r="N386" s="121"/>
      <x:c r="P386" s="120"/>
      <x:c r="R386" s="120"/>
      <x:c r="S386" s="121"/>
      <x:c r="T386" s="122"/>
      <x:c r="U386" s="120"/>
      <x:c r="V386" s="122"/>
      <x:c r="W386" s="120"/>
      <x:c r="X386" s="121"/>
      <x:c r="Y386" s="122"/>
      <x:c r="Z386" s="120"/>
      <x:c r="AA386" s="122"/>
      <x:c r="AB386" s="120"/>
      <x:c r="AC386" s="121"/>
      <x:c r="AD386" s="122"/>
      <x:c r="AE386" s="120"/>
      <x:c r="AF386" s="122"/>
      <x:c r="AG386" s="120"/>
      <x:c r="AH386" s="121"/>
      <x:c r="AI386" s="122"/>
      <x:c r="AJ386" s="120"/>
      <x:c r="AK386" s="122"/>
      <x:c r="AL386" s="120"/>
      <x:c r="AM386" s="121"/>
      <x:c r="AN386" s="122"/>
      <x:c r="AO386" s="120"/>
      <x:c r="AP386" s="122"/>
    </x:row>
    <x:row r="387" ht="15.75" customHeight="1">
      <x:c r="K387" s="120"/>
      <x:c r="M387" s="120"/>
      <x:c r="N387" s="121"/>
      <x:c r="P387" s="120"/>
      <x:c r="R387" s="120"/>
      <x:c r="S387" s="121"/>
      <x:c r="T387" s="122"/>
      <x:c r="U387" s="120"/>
      <x:c r="V387" s="122"/>
      <x:c r="W387" s="120"/>
      <x:c r="X387" s="121"/>
      <x:c r="Y387" s="122"/>
      <x:c r="Z387" s="120"/>
      <x:c r="AA387" s="122"/>
      <x:c r="AB387" s="120"/>
      <x:c r="AC387" s="121"/>
      <x:c r="AD387" s="122"/>
      <x:c r="AE387" s="120"/>
      <x:c r="AF387" s="122"/>
      <x:c r="AG387" s="120"/>
      <x:c r="AH387" s="121"/>
      <x:c r="AI387" s="122"/>
      <x:c r="AJ387" s="120"/>
      <x:c r="AK387" s="122"/>
      <x:c r="AL387" s="120"/>
      <x:c r="AM387" s="121"/>
      <x:c r="AN387" s="122"/>
      <x:c r="AO387" s="120"/>
      <x:c r="AP387" s="122"/>
    </x:row>
    <x:row r="388" ht="15.75" customHeight="1">
      <x:c r="K388" s="120"/>
      <x:c r="M388" s="120"/>
      <x:c r="N388" s="121"/>
      <x:c r="P388" s="120"/>
      <x:c r="R388" s="120"/>
      <x:c r="S388" s="121"/>
      <x:c r="T388" s="122"/>
      <x:c r="U388" s="120"/>
      <x:c r="V388" s="122"/>
      <x:c r="W388" s="120"/>
      <x:c r="X388" s="121"/>
      <x:c r="Y388" s="122"/>
      <x:c r="Z388" s="120"/>
      <x:c r="AA388" s="122"/>
      <x:c r="AB388" s="120"/>
      <x:c r="AC388" s="121"/>
      <x:c r="AD388" s="122"/>
      <x:c r="AE388" s="120"/>
      <x:c r="AF388" s="122"/>
      <x:c r="AG388" s="120"/>
      <x:c r="AH388" s="121"/>
      <x:c r="AI388" s="122"/>
      <x:c r="AJ388" s="120"/>
      <x:c r="AK388" s="122"/>
      <x:c r="AL388" s="120"/>
      <x:c r="AM388" s="121"/>
      <x:c r="AN388" s="122"/>
      <x:c r="AO388" s="120"/>
      <x:c r="AP388" s="122"/>
    </x:row>
    <x:row r="389" ht="15.75" customHeight="1">
      <x:c r="K389" s="120"/>
      <x:c r="M389" s="120"/>
      <x:c r="N389" s="121"/>
      <x:c r="P389" s="120"/>
      <x:c r="R389" s="120"/>
      <x:c r="S389" s="121"/>
      <x:c r="T389" s="122"/>
      <x:c r="U389" s="120"/>
      <x:c r="V389" s="122"/>
      <x:c r="W389" s="120"/>
      <x:c r="X389" s="121"/>
      <x:c r="Y389" s="122"/>
      <x:c r="Z389" s="120"/>
      <x:c r="AA389" s="122"/>
      <x:c r="AB389" s="120"/>
      <x:c r="AC389" s="121"/>
      <x:c r="AD389" s="122"/>
      <x:c r="AE389" s="120"/>
      <x:c r="AF389" s="122"/>
      <x:c r="AG389" s="120"/>
      <x:c r="AH389" s="121"/>
      <x:c r="AI389" s="122"/>
      <x:c r="AJ389" s="120"/>
      <x:c r="AK389" s="122"/>
      <x:c r="AL389" s="120"/>
      <x:c r="AM389" s="121"/>
      <x:c r="AN389" s="122"/>
      <x:c r="AO389" s="120"/>
      <x:c r="AP389" s="122"/>
    </x:row>
    <x:row r="390" ht="15.75" customHeight="1">
      <x:c r="K390" s="120"/>
      <x:c r="M390" s="120"/>
      <x:c r="N390" s="121"/>
      <x:c r="P390" s="120"/>
      <x:c r="R390" s="120"/>
      <x:c r="S390" s="121"/>
      <x:c r="T390" s="122"/>
      <x:c r="U390" s="120"/>
      <x:c r="V390" s="122"/>
      <x:c r="W390" s="120"/>
      <x:c r="X390" s="121"/>
      <x:c r="Y390" s="122"/>
      <x:c r="Z390" s="120"/>
      <x:c r="AA390" s="122"/>
      <x:c r="AB390" s="120"/>
      <x:c r="AC390" s="121"/>
      <x:c r="AD390" s="122"/>
      <x:c r="AE390" s="120"/>
      <x:c r="AF390" s="122"/>
      <x:c r="AG390" s="120"/>
      <x:c r="AH390" s="121"/>
      <x:c r="AI390" s="122"/>
      <x:c r="AJ390" s="120"/>
      <x:c r="AK390" s="122"/>
      <x:c r="AL390" s="120"/>
      <x:c r="AM390" s="121"/>
      <x:c r="AN390" s="122"/>
      <x:c r="AO390" s="120"/>
      <x:c r="AP390" s="122"/>
    </x:row>
    <x:row r="391" ht="15.75" customHeight="1">
      <x:c r="K391" s="120"/>
      <x:c r="M391" s="120"/>
      <x:c r="N391" s="121"/>
      <x:c r="P391" s="120"/>
      <x:c r="R391" s="120"/>
      <x:c r="S391" s="121"/>
      <x:c r="T391" s="122"/>
      <x:c r="U391" s="120"/>
      <x:c r="V391" s="122"/>
      <x:c r="W391" s="120"/>
      <x:c r="X391" s="121"/>
      <x:c r="Y391" s="122"/>
      <x:c r="Z391" s="120"/>
      <x:c r="AA391" s="122"/>
      <x:c r="AB391" s="120"/>
      <x:c r="AC391" s="121"/>
      <x:c r="AD391" s="122"/>
      <x:c r="AE391" s="120"/>
      <x:c r="AF391" s="122"/>
      <x:c r="AG391" s="120"/>
      <x:c r="AH391" s="121"/>
      <x:c r="AI391" s="122"/>
      <x:c r="AJ391" s="120"/>
      <x:c r="AK391" s="122"/>
      <x:c r="AL391" s="120"/>
      <x:c r="AM391" s="121"/>
      <x:c r="AN391" s="122"/>
      <x:c r="AO391" s="120"/>
      <x:c r="AP391" s="122"/>
    </x:row>
    <x:row r="392" ht="15.75" customHeight="1">
      <x:c r="K392" s="120"/>
      <x:c r="M392" s="120"/>
      <x:c r="N392" s="121"/>
      <x:c r="P392" s="120"/>
      <x:c r="R392" s="120"/>
      <x:c r="S392" s="121"/>
      <x:c r="T392" s="122"/>
      <x:c r="U392" s="120"/>
      <x:c r="V392" s="122"/>
      <x:c r="W392" s="120"/>
      <x:c r="X392" s="121"/>
      <x:c r="Y392" s="122"/>
      <x:c r="Z392" s="120"/>
      <x:c r="AA392" s="122"/>
      <x:c r="AB392" s="120"/>
      <x:c r="AC392" s="121"/>
      <x:c r="AD392" s="122"/>
      <x:c r="AE392" s="120"/>
      <x:c r="AF392" s="122"/>
      <x:c r="AG392" s="120"/>
      <x:c r="AH392" s="121"/>
      <x:c r="AI392" s="122"/>
      <x:c r="AJ392" s="120"/>
      <x:c r="AK392" s="122"/>
      <x:c r="AL392" s="120"/>
      <x:c r="AM392" s="121"/>
      <x:c r="AN392" s="122"/>
      <x:c r="AO392" s="120"/>
      <x:c r="AP392" s="122"/>
    </x:row>
    <x:row r="393" ht="15.75" customHeight="1">
      <x:c r="K393" s="120"/>
      <x:c r="M393" s="120"/>
      <x:c r="N393" s="121"/>
      <x:c r="P393" s="120"/>
      <x:c r="R393" s="120"/>
      <x:c r="S393" s="121"/>
      <x:c r="T393" s="122"/>
      <x:c r="U393" s="120"/>
      <x:c r="V393" s="122"/>
      <x:c r="W393" s="120"/>
      <x:c r="X393" s="121"/>
      <x:c r="Y393" s="122"/>
      <x:c r="Z393" s="120"/>
      <x:c r="AA393" s="122"/>
      <x:c r="AB393" s="120"/>
      <x:c r="AC393" s="121"/>
      <x:c r="AD393" s="122"/>
      <x:c r="AE393" s="120"/>
      <x:c r="AF393" s="122"/>
      <x:c r="AG393" s="120"/>
      <x:c r="AH393" s="121"/>
      <x:c r="AI393" s="122"/>
      <x:c r="AJ393" s="120"/>
      <x:c r="AK393" s="122"/>
      <x:c r="AL393" s="120"/>
      <x:c r="AM393" s="121"/>
      <x:c r="AN393" s="122"/>
      <x:c r="AO393" s="120"/>
      <x:c r="AP393" s="122"/>
    </x:row>
    <x:row r="394" ht="15.75" customHeight="1">
      <x:c r="K394" s="120"/>
      <x:c r="M394" s="120"/>
      <x:c r="N394" s="121"/>
      <x:c r="P394" s="120"/>
      <x:c r="R394" s="120"/>
      <x:c r="S394" s="121"/>
      <x:c r="T394" s="122"/>
      <x:c r="U394" s="120"/>
      <x:c r="V394" s="122"/>
      <x:c r="W394" s="120"/>
      <x:c r="X394" s="121"/>
      <x:c r="Y394" s="122"/>
      <x:c r="Z394" s="120"/>
      <x:c r="AA394" s="122"/>
      <x:c r="AB394" s="120"/>
      <x:c r="AC394" s="121"/>
      <x:c r="AD394" s="122"/>
      <x:c r="AE394" s="120"/>
      <x:c r="AF394" s="122"/>
      <x:c r="AG394" s="120"/>
      <x:c r="AH394" s="121"/>
      <x:c r="AI394" s="122"/>
      <x:c r="AJ394" s="120"/>
      <x:c r="AK394" s="122"/>
      <x:c r="AL394" s="120"/>
      <x:c r="AM394" s="121"/>
      <x:c r="AN394" s="122"/>
      <x:c r="AO394" s="120"/>
      <x:c r="AP394" s="122"/>
    </x:row>
    <x:row r="395" ht="15.75" customHeight="1">
      <x:c r="K395" s="120"/>
      <x:c r="M395" s="120"/>
      <x:c r="N395" s="121"/>
      <x:c r="P395" s="120"/>
      <x:c r="R395" s="120"/>
      <x:c r="S395" s="121"/>
      <x:c r="T395" s="122"/>
      <x:c r="U395" s="120"/>
      <x:c r="V395" s="122"/>
      <x:c r="W395" s="120"/>
      <x:c r="X395" s="121"/>
      <x:c r="Y395" s="122"/>
      <x:c r="Z395" s="120"/>
      <x:c r="AA395" s="122"/>
      <x:c r="AB395" s="120"/>
      <x:c r="AC395" s="121"/>
      <x:c r="AD395" s="122"/>
      <x:c r="AE395" s="120"/>
      <x:c r="AF395" s="122"/>
      <x:c r="AG395" s="120"/>
      <x:c r="AH395" s="121"/>
      <x:c r="AI395" s="122"/>
      <x:c r="AJ395" s="120"/>
      <x:c r="AK395" s="122"/>
      <x:c r="AL395" s="120"/>
      <x:c r="AM395" s="121"/>
      <x:c r="AN395" s="122"/>
      <x:c r="AO395" s="120"/>
      <x:c r="AP395" s="122"/>
    </x:row>
    <x:row r="396" ht="15.75" customHeight="1">
      <x:c r="K396" s="120"/>
      <x:c r="M396" s="120"/>
      <x:c r="N396" s="121"/>
      <x:c r="P396" s="120"/>
      <x:c r="R396" s="120"/>
      <x:c r="S396" s="121"/>
      <x:c r="T396" s="122"/>
      <x:c r="U396" s="120"/>
      <x:c r="V396" s="122"/>
      <x:c r="W396" s="120"/>
      <x:c r="X396" s="121"/>
      <x:c r="Y396" s="122"/>
      <x:c r="Z396" s="120"/>
      <x:c r="AA396" s="122"/>
      <x:c r="AB396" s="120"/>
      <x:c r="AC396" s="121"/>
      <x:c r="AD396" s="122"/>
      <x:c r="AE396" s="120"/>
      <x:c r="AF396" s="122"/>
      <x:c r="AG396" s="120"/>
      <x:c r="AH396" s="121"/>
      <x:c r="AI396" s="122"/>
      <x:c r="AJ396" s="120"/>
      <x:c r="AK396" s="122"/>
      <x:c r="AL396" s="120"/>
      <x:c r="AM396" s="121"/>
      <x:c r="AN396" s="122"/>
      <x:c r="AO396" s="120"/>
      <x:c r="AP396" s="122"/>
    </x:row>
    <x:row r="397" ht="15.75" customHeight="1">
      <x:c r="K397" s="120"/>
      <x:c r="M397" s="120"/>
      <x:c r="N397" s="121"/>
      <x:c r="P397" s="120"/>
      <x:c r="R397" s="120"/>
      <x:c r="S397" s="121"/>
      <x:c r="T397" s="122"/>
      <x:c r="U397" s="120"/>
      <x:c r="V397" s="122"/>
      <x:c r="W397" s="120"/>
      <x:c r="X397" s="121"/>
      <x:c r="Y397" s="122"/>
      <x:c r="Z397" s="120"/>
      <x:c r="AA397" s="122"/>
      <x:c r="AB397" s="120"/>
      <x:c r="AC397" s="121"/>
      <x:c r="AD397" s="122"/>
      <x:c r="AE397" s="120"/>
      <x:c r="AF397" s="122"/>
      <x:c r="AG397" s="120"/>
      <x:c r="AH397" s="121"/>
      <x:c r="AI397" s="122"/>
      <x:c r="AJ397" s="120"/>
      <x:c r="AK397" s="122"/>
      <x:c r="AL397" s="120"/>
      <x:c r="AM397" s="121"/>
      <x:c r="AN397" s="122"/>
      <x:c r="AO397" s="120"/>
      <x:c r="AP397" s="122"/>
    </x:row>
    <x:row r="398" ht="15.75" customHeight="1">
      <x:c r="K398" s="120"/>
      <x:c r="M398" s="120"/>
      <x:c r="N398" s="121"/>
      <x:c r="P398" s="120"/>
      <x:c r="R398" s="120"/>
      <x:c r="S398" s="121"/>
      <x:c r="T398" s="122"/>
      <x:c r="U398" s="120"/>
      <x:c r="V398" s="122"/>
      <x:c r="W398" s="120"/>
      <x:c r="X398" s="121"/>
      <x:c r="Y398" s="122"/>
      <x:c r="Z398" s="120"/>
      <x:c r="AA398" s="122"/>
      <x:c r="AB398" s="120"/>
      <x:c r="AC398" s="121"/>
      <x:c r="AD398" s="122"/>
      <x:c r="AE398" s="120"/>
      <x:c r="AF398" s="122"/>
      <x:c r="AG398" s="120"/>
      <x:c r="AH398" s="121"/>
      <x:c r="AI398" s="122"/>
      <x:c r="AJ398" s="120"/>
      <x:c r="AK398" s="122"/>
      <x:c r="AL398" s="120"/>
      <x:c r="AM398" s="121"/>
      <x:c r="AN398" s="122"/>
      <x:c r="AO398" s="120"/>
      <x:c r="AP398" s="122"/>
    </x:row>
    <x:row r="399" ht="15.75" customHeight="1">
      <x:c r="K399" s="120"/>
      <x:c r="M399" s="120"/>
      <x:c r="N399" s="121"/>
      <x:c r="P399" s="120"/>
      <x:c r="R399" s="120"/>
      <x:c r="S399" s="121"/>
      <x:c r="T399" s="122"/>
      <x:c r="U399" s="120"/>
      <x:c r="V399" s="122"/>
      <x:c r="W399" s="120"/>
      <x:c r="X399" s="121"/>
      <x:c r="Y399" s="122"/>
      <x:c r="Z399" s="120"/>
      <x:c r="AA399" s="122"/>
      <x:c r="AB399" s="120"/>
      <x:c r="AC399" s="121"/>
      <x:c r="AD399" s="122"/>
      <x:c r="AE399" s="120"/>
      <x:c r="AF399" s="122"/>
      <x:c r="AG399" s="120"/>
      <x:c r="AH399" s="121"/>
      <x:c r="AI399" s="122"/>
      <x:c r="AJ399" s="120"/>
      <x:c r="AK399" s="122"/>
      <x:c r="AL399" s="120"/>
      <x:c r="AM399" s="121"/>
      <x:c r="AN399" s="122"/>
      <x:c r="AO399" s="120"/>
      <x:c r="AP399" s="122"/>
    </x:row>
    <x:row r="400" ht="15.75" customHeight="1">
      <x:c r="K400" s="120"/>
      <x:c r="M400" s="120"/>
      <x:c r="N400" s="121"/>
      <x:c r="P400" s="120"/>
      <x:c r="R400" s="120"/>
      <x:c r="S400" s="121"/>
      <x:c r="T400" s="122"/>
      <x:c r="U400" s="120"/>
      <x:c r="V400" s="122"/>
      <x:c r="W400" s="120"/>
      <x:c r="X400" s="121"/>
      <x:c r="Y400" s="122"/>
      <x:c r="Z400" s="120"/>
      <x:c r="AA400" s="122"/>
      <x:c r="AB400" s="120"/>
      <x:c r="AC400" s="121"/>
      <x:c r="AD400" s="122"/>
      <x:c r="AE400" s="120"/>
      <x:c r="AF400" s="122"/>
      <x:c r="AG400" s="120"/>
      <x:c r="AH400" s="121"/>
      <x:c r="AI400" s="122"/>
      <x:c r="AJ400" s="120"/>
      <x:c r="AK400" s="122"/>
      <x:c r="AL400" s="120"/>
      <x:c r="AM400" s="121"/>
      <x:c r="AN400" s="122"/>
      <x:c r="AO400" s="120"/>
      <x:c r="AP400" s="122"/>
    </x:row>
    <x:row r="401" ht="15.75" customHeight="1">
      <x:c r="K401" s="120"/>
      <x:c r="M401" s="120"/>
      <x:c r="N401" s="121"/>
      <x:c r="P401" s="120"/>
      <x:c r="R401" s="120"/>
      <x:c r="S401" s="121"/>
      <x:c r="T401" s="122"/>
      <x:c r="U401" s="120"/>
      <x:c r="V401" s="122"/>
      <x:c r="W401" s="120"/>
      <x:c r="X401" s="121"/>
      <x:c r="Y401" s="122"/>
      <x:c r="Z401" s="120"/>
      <x:c r="AA401" s="122"/>
      <x:c r="AB401" s="120"/>
      <x:c r="AC401" s="121"/>
      <x:c r="AD401" s="122"/>
      <x:c r="AE401" s="120"/>
      <x:c r="AF401" s="122"/>
      <x:c r="AG401" s="120"/>
      <x:c r="AH401" s="121"/>
      <x:c r="AI401" s="122"/>
      <x:c r="AJ401" s="120"/>
      <x:c r="AK401" s="122"/>
      <x:c r="AL401" s="120"/>
      <x:c r="AM401" s="121"/>
      <x:c r="AN401" s="122"/>
      <x:c r="AO401" s="120"/>
      <x:c r="AP401" s="122"/>
    </x:row>
    <x:row r="402" ht="15.75" customHeight="1">
      <x:c r="K402" s="120"/>
      <x:c r="M402" s="120"/>
      <x:c r="N402" s="121"/>
      <x:c r="P402" s="120"/>
      <x:c r="R402" s="120"/>
      <x:c r="S402" s="121"/>
      <x:c r="T402" s="122"/>
      <x:c r="U402" s="120"/>
      <x:c r="V402" s="122"/>
      <x:c r="W402" s="120"/>
      <x:c r="X402" s="121"/>
      <x:c r="Y402" s="122"/>
      <x:c r="Z402" s="120"/>
      <x:c r="AA402" s="122"/>
      <x:c r="AB402" s="120"/>
      <x:c r="AC402" s="121"/>
      <x:c r="AD402" s="122"/>
      <x:c r="AE402" s="120"/>
      <x:c r="AF402" s="122"/>
      <x:c r="AG402" s="120"/>
      <x:c r="AH402" s="121"/>
      <x:c r="AI402" s="122"/>
      <x:c r="AJ402" s="120"/>
      <x:c r="AK402" s="122"/>
      <x:c r="AL402" s="120"/>
      <x:c r="AM402" s="121"/>
      <x:c r="AN402" s="122"/>
      <x:c r="AO402" s="120"/>
      <x:c r="AP402" s="122"/>
    </x:row>
    <x:row r="403" ht="15.75" customHeight="1">
      <x:c r="K403" s="120"/>
      <x:c r="M403" s="120"/>
      <x:c r="N403" s="121"/>
      <x:c r="P403" s="120"/>
      <x:c r="R403" s="120"/>
      <x:c r="S403" s="121"/>
      <x:c r="T403" s="122"/>
      <x:c r="U403" s="120"/>
      <x:c r="V403" s="122"/>
      <x:c r="W403" s="120"/>
      <x:c r="X403" s="121"/>
      <x:c r="Y403" s="122"/>
      <x:c r="Z403" s="120"/>
      <x:c r="AA403" s="122"/>
      <x:c r="AB403" s="120"/>
      <x:c r="AC403" s="121"/>
      <x:c r="AD403" s="122"/>
      <x:c r="AE403" s="120"/>
      <x:c r="AF403" s="122"/>
      <x:c r="AG403" s="120"/>
      <x:c r="AH403" s="121"/>
      <x:c r="AI403" s="122"/>
      <x:c r="AJ403" s="120"/>
      <x:c r="AK403" s="122"/>
      <x:c r="AL403" s="120"/>
      <x:c r="AM403" s="121"/>
      <x:c r="AN403" s="122"/>
      <x:c r="AO403" s="120"/>
      <x:c r="AP403" s="122"/>
    </x:row>
    <x:row r="404" ht="15.75" customHeight="1">
      <x:c r="K404" s="120"/>
      <x:c r="M404" s="120"/>
      <x:c r="N404" s="121"/>
      <x:c r="P404" s="120"/>
      <x:c r="R404" s="120"/>
      <x:c r="S404" s="121"/>
      <x:c r="T404" s="122"/>
      <x:c r="U404" s="120"/>
      <x:c r="V404" s="122"/>
      <x:c r="W404" s="120"/>
      <x:c r="X404" s="121"/>
      <x:c r="Y404" s="122"/>
      <x:c r="Z404" s="120"/>
      <x:c r="AA404" s="122"/>
      <x:c r="AB404" s="120"/>
      <x:c r="AC404" s="121"/>
      <x:c r="AD404" s="122"/>
      <x:c r="AE404" s="120"/>
      <x:c r="AF404" s="122"/>
      <x:c r="AG404" s="120"/>
      <x:c r="AH404" s="121"/>
      <x:c r="AI404" s="122"/>
      <x:c r="AJ404" s="120"/>
      <x:c r="AK404" s="122"/>
      <x:c r="AL404" s="120"/>
      <x:c r="AM404" s="121"/>
      <x:c r="AN404" s="122"/>
      <x:c r="AO404" s="120"/>
      <x:c r="AP404" s="122"/>
    </x:row>
    <x:row r="405" ht="15.75" customHeight="1">
      <x:c r="K405" s="120"/>
      <x:c r="M405" s="120"/>
      <x:c r="N405" s="121"/>
      <x:c r="P405" s="120"/>
      <x:c r="R405" s="120"/>
      <x:c r="S405" s="121"/>
      <x:c r="T405" s="122"/>
      <x:c r="U405" s="120"/>
      <x:c r="V405" s="122"/>
      <x:c r="W405" s="120"/>
      <x:c r="X405" s="121"/>
      <x:c r="Y405" s="122"/>
      <x:c r="Z405" s="120"/>
      <x:c r="AA405" s="122"/>
      <x:c r="AB405" s="120"/>
      <x:c r="AC405" s="121"/>
      <x:c r="AD405" s="122"/>
      <x:c r="AE405" s="120"/>
      <x:c r="AF405" s="122"/>
      <x:c r="AG405" s="120"/>
      <x:c r="AH405" s="121"/>
      <x:c r="AI405" s="122"/>
      <x:c r="AJ405" s="120"/>
      <x:c r="AK405" s="122"/>
      <x:c r="AL405" s="120"/>
      <x:c r="AM405" s="121"/>
      <x:c r="AN405" s="122"/>
      <x:c r="AO405" s="120"/>
      <x:c r="AP405" s="122"/>
    </x:row>
    <x:row r="406" ht="15.75" customHeight="1">
      <x:c r="K406" s="120"/>
      <x:c r="M406" s="120"/>
      <x:c r="N406" s="121"/>
      <x:c r="P406" s="120"/>
      <x:c r="R406" s="120"/>
      <x:c r="S406" s="121"/>
      <x:c r="T406" s="122"/>
      <x:c r="U406" s="120"/>
      <x:c r="V406" s="122"/>
      <x:c r="W406" s="120"/>
      <x:c r="X406" s="121"/>
      <x:c r="Y406" s="122"/>
      <x:c r="Z406" s="120"/>
      <x:c r="AA406" s="122"/>
      <x:c r="AB406" s="120"/>
      <x:c r="AC406" s="121"/>
      <x:c r="AD406" s="122"/>
      <x:c r="AE406" s="120"/>
      <x:c r="AF406" s="122"/>
      <x:c r="AG406" s="120"/>
      <x:c r="AH406" s="121"/>
      <x:c r="AI406" s="122"/>
      <x:c r="AJ406" s="120"/>
      <x:c r="AK406" s="122"/>
      <x:c r="AL406" s="120"/>
      <x:c r="AM406" s="121"/>
      <x:c r="AN406" s="122"/>
      <x:c r="AO406" s="120"/>
      <x:c r="AP406" s="122"/>
    </x:row>
    <x:row r="407" ht="15.75" customHeight="1">
      <x:c r="K407" s="120"/>
      <x:c r="M407" s="120"/>
      <x:c r="N407" s="121"/>
      <x:c r="P407" s="120"/>
      <x:c r="R407" s="120"/>
      <x:c r="S407" s="121"/>
      <x:c r="T407" s="122"/>
      <x:c r="U407" s="120"/>
      <x:c r="V407" s="122"/>
      <x:c r="W407" s="120"/>
      <x:c r="X407" s="121"/>
      <x:c r="Y407" s="122"/>
      <x:c r="Z407" s="120"/>
      <x:c r="AA407" s="122"/>
      <x:c r="AB407" s="120"/>
      <x:c r="AC407" s="121"/>
      <x:c r="AD407" s="122"/>
      <x:c r="AE407" s="120"/>
      <x:c r="AF407" s="122"/>
      <x:c r="AG407" s="120"/>
      <x:c r="AH407" s="121"/>
      <x:c r="AI407" s="122"/>
      <x:c r="AJ407" s="120"/>
      <x:c r="AK407" s="122"/>
      <x:c r="AL407" s="120"/>
      <x:c r="AM407" s="121"/>
      <x:c r="AN407" s="122"/>
      <x:c r="AO407" s="120"/>
      <x:c r="AP407" s="122"/>
    </x:row>
    <x:row r="408" ht="15.75" customHeight="1">
      <x:c r="K408" s="120"/>
      <x:c r="M408" s="120"/>
      <x:c r="N408" s="121"/>
      <x:c r="P408" s="120"/>
      <x:c r="R408" s="120"/>
      <x:c r="S408" s="121"/>
      <x:c r="T408" s="122"/>
      <x:c r="U408" s="120"/>
      <x:c r="V408" s="122"/>
      <x:c r="W408" s="120"/>
      <x:c r="X408" s="121"/>
      <x:c r="Y408" s="122"/>
      <x:c r="Z408" s="120"/>
      <x:c r="AA408" s="122"/>
      <x:c r="AB408" s="120"/>
      <x:c r="AC408" s="121"/>
      <x:c r="AD408" s="122"/>
      <x:c r="AE408" s="120"/>
      <x:c r="AF408" s="122"/>
      <x:c r="AG408" s="120"/>
      <x:c r="AH408" s="121"/>
      <x:c r="AI408" s="122"/>
      <x:c r="AJ408" s="120"/>
      <x:c r="AK408" s="122"/>
      <x:c r="AL408" s="120"/>
      <x:c r="AM408" s="121"/>
      <x:c r="AN408" s="122"/>
      <x:c r="AO408" s="120"/>
      <x:c r="AP408" s="122"/>
    </x:row>
    <x:row r="409" ht="15.75" customHeight="1">
      <x:c r="K409" s="120"/>
      <x:c r="M409" s="120"/>
      <x:c r="N409" s="121"/>
      <x:c r="P409" s="120"/>
      <x:c r="R409" s="120"/>
      <x:c r="S409" s="121"/>
      <x:c r="T409" s="122"/>
      <x:c r="U409" s="120"/>
      <x:c r="V409" s="122"/>
      <x:c r="W409" s="120"/>
      <x:c r="X409" s="121"/>
      <x:c r="Y409" s="122"/>
      <x:c r="Z409" s="120"/>
      <x:c r="AA409" s="122"/>
      <x:c r="AB409" s="120"/>
      <x:c r="AC409" s="121"/>
      <x:c r="AD409" s="122"/>
      <x:c r="AE409" s="120"/>
      <x:c r="AF409" s="122"/>
      <x:c r="AG409" s="120"/>
      <x:c r="AH409" s="121"/>
      <x:c r="AI409" s="122"/>
      <x:c r="AJ409" s="120"/>
      <x:c r="AK409" s="122"/>
      <x:c r="AL409" s="120"/>
      <x:c r="AM409" s="121"/>
      <x:c r="AN409" s="122"/>
      <x:c r="AO409" s="120"/>
      <x:c r="AP409" s="122"/>
    </x:row>
    <x:row r="410" ht="15.75" customHeight="1">
      <x:c r="K410" s="120"/>
      <x:c r="M410" s="120"/>
      <x:c r="N410" s="121"/>
      <x:c r="P410" s="120"/>
      <x:c r="R410" s="120"/>
      <x:c r="S410" s="121"/>
      <x:c r="T410" s="122"/>
      <x:c r="U410" s="120"/>
      <x:c r="V410" s="122"/>
      <x:c r="W410" s="120"/>
      <x:c r="X410" s="121"/>
      <x:c r="Y410" s="122"/>
      <x:c r="Z410" s="120"/>
      <x:c r="AA410" s="122"/>
      <x:c r="AB410" s="120"/>
      <x:c r="AC410" s="121"/>
      <x:c r="AD410" s="122"/>
      <x:c r="AE410" s="120"/>
      <x:c r="AF410" s="122"/>
      <x:c r="AG410" s="120"/>
      <x:c r="AH410" s="121"/>
      <x:c r="AI410" s="122"/>
      <x:c r="AJ410" s="120"/>
      <x:c r="AK410" s="122"/>
      <x:c r="AL410" s="120"/>
      <x:c r="AM410" s="121"/>
      <x:c r="AN410" s="122"/>
      <x:c r="AO410" s="120"/>
      <x:c r="AP410" s="122"/>
    </x:row>
    <x:row r="411" ht="15.75" customHeight="1">
      <x:c r="K411" s="120"/>
      <x:c r="M411" s="120"/>
      <x:c r="N411" s="121"/>
      <x:c r="P411" s="120"/>
      <x:c r="R411" s="120"/>
      <x:c r="S411" s="121"/>
      <x:c r="T411" s="122"/>
      <x:c r="U411" s="120"/>
      <x:c r="V411" s="122"/>
      <x:c r="W411" s="120"/>
      <x:c r="X411" s="121"/>
      <x:c r="Y411" s="122"/>
      <x:c r="Z411" s="120"/>
      <x:c r="AA411" s="122"/>
      <x:c r="AB411" s="120"/>
      <x:c r="AC411" s="121"/>
      <x:c r="AD411" s="122"/>
      <x:c r="AE411" s="120"/>
      <x:c r="AF411" s="122"/>
      <x:c r="AG411" s="120"/>
      <x:c r="AH411" s="121"/>
      <x:c r="AI411" s="122"/>
      <x:c r="AJ411" s="120"/>
      <x:c r="AK411" s="122"/>
      <x:c r="AL411" s="120"/>
      <x:c r="AM411" s="121"/>
      <x:c r="AN411" s="122"/>
      <x:c r="AO411" s="120"/>
      <x:c r="AP411" s="122"/>
    </x:row>
    <x:row r="412" ht="15.75" customHeight="1">
      <x:c r="K412" s="120"/>
      <x:c r="M412" s="120"/>
      <x:c r="N412" s="121"/>
      <x:c r="P412" s="120"/>
      <x:c r="R412" s="120"/>
      <x:c r="S412" s="121"/>
      <x:c r="T412" s="122"/>
      <x:c r="U412" s="120"/>
      <x:c r="V412" s="122"/>
      <x:c r="W412" s="120"/>
      <x:c r="X412" s="121"/>
      <x:c r="Y412" s="122"/>
      <x:c r="Z412" s="120"/>
      <x:c r="AA412" s="122"/>
      <x:c r="AB412" s="120"/>
      <x:c r="AC412" s="121"/>
      <x:c r="AD412" s="122"/>
      <x:c r="AE412" s="120"/>
      <x:c r="AF412" s="122"/>
      <x:c r="AG412" s="120"/>
      <x:c r="AH412" s="121"/>
      <x:c r="AI412" s="122"/>
      <x:c r="AJ412" s="120"/>
      <x:c r="AK412" s="122"/>
      <x:c r="AL412" s="120"/>
      <x:c r="AM412" s="121"/>
      <x:c r="AN412" s="122"/>
      <x:c r="AO412" s="120"/>
      <x:c r="AP412" s="122"/>
    </x:row>
    <x:row r="413" ht="15.75" customHeight="1">
      <x:c r="K413" s="120"/>
      <x:c r="M413" s="120"/>
      <x:c r="N413" s="121"/>
      <x:c r="P413" s="120"/>
      <x:c r="R413" s="120"/>
      <x:c r="S413" s="121"/>
      <x:c r="T413" s="122"/>
      <x:c r="U413" s="120"/>
      <x:c r="V413" s="122"/>
      <x:c r="W413" s="120"/>
      <x:c r="X413" s="121"/>
      <x:c r="Y413" s="122"/>
      <x:c r="Z413" s="120"/>
      <x:c r="AA413" s="122"/>
      <x:c r="AB413" s="120"/>
      <x:c r="AC413" s="121"/>
      <x:c r="AD413" s="122"/>
      <x:c r="AE413" s="120"/>
      <x:c r="AF413" s="122"/>
      <x:c r="AG413" s="120"/>
      <x:c r="AH413" s="121"/>
      <x:c r="AI413" s="122"/>
      <x:c r="AJ413" s="120"/>
      <x:c r="AK413" s="122"/>
      <x:c r="AL413" s="120"/>
      <x:c r="AM413" s="121"/>
      <x:c r="AN413" s="122"/>
      <x:c r="AO413" s="120"/>
      <x:c r="AP413" s="122"/>
    </x:row>
    <x:row r="414" ht="15.75" customHeight="1">
      <x:c r="K414" s="120"/>
      <x:c r="M414" s="120"/>
      <x:c r="N414" s="121"/>
      <x:c r="P414" s="120"/>
      <x:c r="R414" s="120"/>
      <x:c r="S414" s="121"/>
      <x:c r="T414" s="122"/>
      <x:c r="U414" s="120"/>
      <x:c r="V414" s="122"/>
      <x:c r="W414" s="120"/>
      <x:c r="X414" s="121"/>
      <x:c r="Y414" s="122"/>
      <x:c r="Z414" s="120"/>
      <x:c r="AA414" s="122"/>
      <x:c r="AB414" s="120"/>
      <x:c r="AC414" s="121"/>
      <x:c r="AD414" s="122"/>
      <x:c r="AE414" s="120"/>
      <x:c r="AF414" s="122"/>
      <x:c r="AG414" s="120"/>
      <x:c r="AH414" s="121"/>
      <x:c r="AI414" s="122"/>
      <x:c r="AJ414" s="120"/>
      <x:c r="AK414" s="122"/>
      <x:c r="AL414" s="120"/>
      <x:c r="AM414" s="121"/>
      <x:c r="AN414" s="122"/>
      <x:c r="AO414" s="120"/>
      <x:c r="AP414" s="122"/>
    </x:row>
    <x:row r="415" ht="15.75" customHeight="1">
      <x:c r="K415" s="120"/>
      <x:c r="M415" s="120"/>
      <x:c r="N415" s="121"/>
      <x:c r="P415" s="120"/>
      <x:c r="R415" s="120"/>
      <x:c r="S415" s="121"/>
      <x:c r="T415" s="122"/>
      <x:c r="U415" s="120"/>
      <x:c r="V415" s="122"/>
      <x:c r="W415" s="120"/>
      <x:c r="X415" s="121"/>
      <x:c r="Y415" s="122"/>
      <x:c r="Z415" s="120"/>
      <x:c r="AA415" s="122"/>
      <x:c r="AB415" s="120"/>
      <x:c r="AC415" s="121"/>
      <x:c r="AD415" s="122"/>
      <x:c r="AE415" s="120"/>
      <x:c r="AF415" s="122"/>
      <x:c r="AG415" s="120"/>
      <x:c r="AH415" s="121"/>
      <x:c r="AI415" s="122"/>
      <x:c r="AJ415" s="120"/>
      <x:c r="AK415" s="122"/>
      <x:c r="AL415" s="120"/>
      <x:c r="AM415" s="121"/>
      <x:c r="AN415" s="122"/>
      <x:c r="AO415" s="120"/>
      <x:c r="AP415" s="122"/>
    </x:row>
    <x:row r="416" ht="15.75" customHeight="1">
      <x:c r="K416" s="120"/>
      <x:c r="M416" s="120"/>
      <x:c r="N416" s="121"/>
      <x:c r="P416" s="120"/>
      <x:c r="R416" s="120"/>
      <x:c r="S416" s="121"/>
      <x:c r="T416" s="122"/>
      <x:c r="U416" s="120"/>
      <x:c r="V416" s="122"/>
      <x:c r="W416" s="120"/>
      <x:c r="X416" s="121"/>
      <x:c r="Y416" s="122"/>
      <x:c r="Z416" s="120"/>
      <x:c r="AA416" s="122"/>
      <x:c r="AB416" s="120"/>
      <x:c r="AC416" s="121"/>
      <x:c r="AD416" s="122"/>
      <x:c r="AE416" s="120"/>
      <x:c r="AF416" s="122"/>
      <x:c r="AG416" s="120"/>
      <x:c r="AH416" s="121"/>
      <x:c r="AI416" s="122"/>
      <x:c r="AJ416" s="120"/>
      <x:c r="AK416" s="122"/>
      <x:c r="AL416" s="120"/>
      <x:c r="AM416" s="121"/>
      <x:c r="AN416" s="122"/>
      <x:c r="AO416" s="120"/>
      <x:c r="AP416" s="122"/>
    </x:row>
    <x:row r="417" ht="15.75" customHeight="1">
      <x:c r="K417" s="120"/>
      <x:c r="M417" s="120"/>
      <x:c r="N417" s="121"/>
      <x:c r="P417" s="120"/>
      <x:c r="R417" s="120"/>
      <x:c r="S417" s="121"/>
      <x:c r="T417" s="122"/>
      <x:c r="U417" s="120"/>
      <x:c r="V417" s="122"/>
      <x:c r="W417" s="120"/>
      <x:c r="X417" s="121"/>
      <x:c r="Y417" s="122"/>
      <x:c r="Z417" s="120"/>
      <x:c r="AA417" s="122"/>
      <x:c r="AB417" s="120"/>
      <x:c r="AC417" s="121"/>
      <x:c r="AD417" s="122"/>
      <x:c r="AE417" s="120"/>
      <x:c r="AF417" s="122"/>
      <x:c r="AG417" s="120"/>
      <x:c r="AH417" s="121"/>
      <x:c r="AI417" s="122"/>
      <x:c r="AJ417" s="120"/>
      <x:c r="AK417" s="122"/>
      <x:c r="AL417" s="120"/>
      <x:c r="AM417" s="121"/>
      <x:c r="AN417" s="122"/>
      <x:c r="AO417" s="120"/>
      <x:c r="AP417" s="122"/>
    </x:row>
    <x:row r="418" ht="15.75" customHeight="1">
      <x:c r="K418" s="120"/>
      <x:c r="M418" s="120"/>
      <x:c r="N418" s="121"/>
      <x:c r="P418" s="120"/>
      <x:c r="R418" s="120"/>
      <x:c r="S418" s="121"/>
      <x:c r="T418" s="122"/>
      <x:c r="U418" s="120"/>
      <x:c r="V418" s="122"/>
      <x:c r="W418" s="120"/>
      <x:c r="X418" s="121"/>
      <x:c r="Y418" s="122"/>
      <x:c r="Z418" s="120"/>
      <x:c r="AA418" s="122"/>
      <x:c r="AB418" s="120"/>
      <x:c r="AC418" s="121"/>
      <x:c r="AD418" s="122"/>
      <x:c r="AE418" s="120"/>
      <x:c r="AF418" s="122"/>
      <x:c r="AG418" s="120"/>
      <x:c r="AH418" s="121"/>
      <x:c r="AI418" s="122"/>
      <x:c r="AJ418" s="120"/>
      <x:c r="AK418" s="122"/>
      <x:c r="AL418" s="120"/>
      <x:c r="AM418" s="121"/>
      <x:c r="AN418" s="122"/>
      <x:c r="AO418" s="120"/>
      <x:c r="AP418" s="122"/>
    </x:row>
    <x:row r="419" ht="15.75" customHeight="1">
      <x:c r="K419" s="120"/>
      <x:c r="M419" s="120"/>
      <x:c r="N419" s="121"/>
      <x:c r="P419" s="120"/>
      <x:c r="R419" s="120"/>
      <x:c r="S419" s="121"/>
      <x:c r="T419" s="122"/>
      <x:c r="U419" s="120"/>
      <x:c r="V419" s="122"/>
      <x:c r="W419" s="120"/>
      <x:c r="X419" s="121"/>
      <x:c r="Y419" s="122"/>
      <x:c r="Z419" s="120"/>
      <x:c r="AA419" s="122"/>
      <x:c r="AB419" s="120"/>
      <x:c r="AC419" s="121"/>
      <x:c r="AD419" s="122"/>
      <x:c r="AE419" s="120"/>
      <x:c r="AF419" s="122"/>
      <x:c r="AG419" s="120"/>
      <x:c r="AH419" s="121"/>
      <x:c r="AI419" s="122"/>
      <x:c r="AJ419" s="120"/>
      <x:c r="AK419" s="122"/>
      <x:c r="AL419" s="120"/>
      <x:c r="AM419" s="121"/>
      <x:c r="AN419" s="122"/>
      <x:c r="AO419" s="120"/>
      <x:c r="AP419" s="122"/>
    </x:row>
    <x:row r="420" ht="15.75" customHeight="1">
      <x:c r="K420" s="120"/>
      <x:c r="M420" s="120"/>
      <x:c r="N420" s="121"/>
      <x:c r="P420" s="120"/>
      <x:c r="R420" s="120"/>
      <x:c r="S420" s="121"/>
      <x:c r="T420" s="122"/>
      <x:c r="U420" s="120"/>
      <x:c r="V420" s="122"/>
      <x:c r="W420" s="120"/>
      <x:c r="X420" s="121"/>
      <x:c r="Y420" s="122"/>
      <x:c r="Z420" s="120"/>
      <x:c r="AA420" s="122"/>
      <x:c r="AB420" s="120"/>
      <x:c r="AC420" s="121"/>
      <x:c r="AD420" s="122"/>
      <x:c r="AE420" s="120"/>
      <x:c r="AF420" s="122"/>
      <x:c r="AG420" s="120"/>
      <x:c r="AH420" s="121"/>
      <x:c r="AI420" s="122"/>
      <x:c r="AJ420" s="120"/>
      <x:c r="AK420" s="122"/>
      <x:c r="AL420" s="120"/>
      <x:c r="AM420" s="121"/>
      <x:c r="AN420" s="122"/>
      <x:c r="AO420" s="120"/>
      <x:c r="AP420" s="122"/>
    </x:row>
    <x:row r="421" ht="15.75" customHeight="1">
      <x:c r="K421" s="120"/>
      <x:c r="M421" s="120"/>
      <x:c r="N421" s="121"/>
      <x:c r="P421" s="120"/>
      <x:c r="R421" s="120"/>
      <x:c r="S421" s="121"/>
      <x:c r="T421" s="122"/>
      <x:c r="U421" s="120"/>
      <x:c r="V421" s="122"/>
      <x:c r="W421" s="120"/>
      <x:c r="X421" s="121"/>
      <x:c r="Y421" s="122"/>
      <x:c r="Z421" s="120"/>
      <x:c r="AA421" s="122"/>
      <x:c r="AB421" s="120"/>
      <x:c r="AC421" s="121"/>
      <x:c r="AD421" s="122"/>
      <x:c r="AE421" s="120"/>
      <x:c r="AF421" s="122"/>
      <x:c r="AG421" s="120"/>
      <x:c r="AH421" s="121"/>
      <x:c r="AI421" s="122"/>
      <x:c r="AJ421" s="120"/>
      <x:c r="AK421" s="122"/>
      <x:c r="AL421" s="120"/>
      <x:c r="AM421" s="121"/>
      <x:c r="AN421" s="122"/>
      <x:c r="AO421" s="120"/>
      <x:c r="AP421" s="122"/>
    </x:row>
    <x:row r="422" ht="15.75" customHeight="1">
      <x:c r="K422" s="120"/>
      <x:c r="M422" s="120"/>
      <x:c r="N422" s="121"/>
      <x:c r="P422" s="120"/>
      <x:c r="R422" s="120"/>
      <x:c r="S422" s="121"/>
      <x:c r="T422" s="122"/>
      <x:c r="U422" s="120"/>
      <x:c r="V422" s="122"/>
      <x:c r="W422" s="120"/>
      <x:c r="X422" s="121"/>
      <x:c r="Y422" s="122"/>
      <x:c r="Z422" s="120"/>
      <x:c r="AA422" s="122"/>
      <x:c r="AB422" s="120"/>
      <x:c r="AC422" s="121"/>
      <x:c r="AD422" s="122"/>
      <x:c r="AE422" s="120"/>
      <x:c r="AF422" s="122"/>
      <x:c r="AG422" s="120"/>
      <x:c r="AH422" s="121"/>
      <x:c r="AI422" s="122"/>
      <x:c r="AJ422" s="120"/>
      <x:c r="AK422" s="122"/>
      <x:c r="AL422" s="120"/>
      <x:c r="AM422" s="121"/>
      <x:c r="AN422" s="122"/>
      <x:c r="AO422" s="120"/>
      <x:c r="AP422" s="122"/>
    </x:row>
    <x:row r="423" ht="15.75" customHeight="1">
      <x:c r="K423" s="120"/>
      <x:c r="M423" s="120"/>
      <x:c r="N423" s="121"/>
      <x:c r="P423" s="120"/>
      <x:c r="R423" s="120"/>
      <x:c r="S423" s="121"/>
      <x:c r="T423" s="122"/>
      <x:c r="U423" s="120"/>
      <x:c r="V423" s="122"/>
      <x:c r="W423" s="120"/>
      <x:c r="X423" s="121"/>
      <x:c r="Y423" s="122"/>
      <x:c r="Z423" s="120"/>
      <x:c r="AA423" s="122"/>
      <x:c r="AB423" s="120"/>
      <x:c r="AC423" s="121"/>
      <x:c r="AD423" s="122"/>
      <x:c r="AE423" s="120"/>
      <x:c r="AF423" s="122"/>
      <x:c r="AG423" s="120"/>
      <x:c r="AH423" s="121"/>
      <x:c r="AI423" s="122"/>
      <x:c r="AJ423" s="120"/>
      <x:c r="AK423" s="122"/>
      <x:c r="AL423" s="120"/>
      <x:c r="AM423" s="121"/>
      <x:c r="AN423" s="122"/>
      <x:c r="AO423" s="120"/>
      <x:c r="AP423" s="122"/>
    </x:row>
    <x:row r="424" ht="15.75" customHeight="1">
      <x:c r="K424" s="120"/>
      <x:c r="M424" s="120"/>
      <x:c r="N424" s="121"/>
      <x:c r="P424" s="120"/>
      <x:c r="R424" s="120"/>
      <x:c r="S424" s="121"/>
      <x:c r="T424" s="122"/>
      <x:c r="U424" s="120"/>
      <x:c r="V424" s="122"/>
      <x:c r="W424" s="120"/>
      <x:c r="X424" s="121"/>
      <x:c r="Y424" s="122"/>
      <x:c r="Z424" s="120"/>
      <x:c r="AA424" s="122"/>
      <x:c r="AB424" s="120"/>
      <x:c r="AC424" s="121"/>
      <x:c r="AD424" s="122"/>
      <x:c r="AE424" s="120"/>
      <x:c r="AF424" s="122"/>
      <x:c r="AG424" s="120"/>
      <x:c r="AH424" s="121"/>
      <x:c r="AI424" s="122"/>
      <x:c r="AJ424" s="120"/>
      <x:c r="AK424" s="122"/>
      <x:c r="AL424" s="120"/>
      <x:c r="AM424" s="121"/>
      <x:c r="AN424" s="122"/>
      <x:c r="AO424" s="120"/>
      <x:c r="AP424" s="122"/>
    </x:row>
    <x:row r="425" ht="15.75" customHeight="1">
      <x:c r="K425" s="120"/>
      <x:c r="M425" s="120"/>
      <x:c r="N425" s="121"/>
      <x:c r="P425" s="120"/>
      <x:c r="R425" s="120"/>
      <x:c r="S425" s="121"/>
      <x:c r="T425" s="122"/>
      <x:c r="U425" s="120"/>
      <x:c r="V425" s="122"/>
      <x:c r="W425" s="120"/>
      <x:c r="X425" s="121"/>
      <x:c r="Y425" s="122"/>
      <x:c r="Z425" s="120"/>
      <x:c r="AA425" s="122"/>
      <x:c r="AB425" s="120"/>
      <x:c r="AC425" s="121"/>
      <x:c r="AD425" s="122"/>
      <x:c r="AE425" s="120"/>
      <x:c r="AF425" s="122"/>
      <x:c r="AG425" s="120"/>
      <x:c r="AH425" s="121"/>
      <x:c r="AI425" s="122"/>
      <x:c r="AJ425" s="120"/>
      <x:c r="AK425" s="122"/>
      <x:c r="AL425" s="120"/>
      <x:c r="AM425" s="121"/>
      <x:c r="AN425" s="122"/>
      <x:c r="AO425" s="120"/>
      <x:c r="AP425" s="122"/>
    </x:row>
    <x:row r="426" ht="15.75" customHeight="1">
      <x:c r="K426" s="120"/>
      <x:c r="M426" s="120"/>
      <x:c r="N426" s="121"/>
      <x:c r="P426" s="120"/>
      <x:c r="R426" s="120"/>
      <x:c r="S426" s="121"/>
      <x:c r="T426" s="122"/>
      <x:c r="U426" s="120"/>
      <x:c r="V426" s="122"/>
      <x:c r="W426" s="120"/>
      <x:c r="X426" s="121"/>
      <x:c r="Y426" s="122"/>
      <x:c r="Z426" s="120"/>
      <x:c r="AA426" s="122"/>
      <x:c r="AB426" s="120"/>
      <x:c r="AC426" s="121"/>
      <x:c r="AD426" s="122"/>
      <x:c r="AE426" s="120"/>
      <x:c r="AF426" s="122"/>
      <x:c r="AG426" s="120"/>
      <x:c r="AH426" s="121"/>
      <x:c r="AI426" s="122"/>
      <x:c r="AJ426" s="120"/>
      <x:c r="AK426" s="122"/>
      <x:c r="AL426" s="120"/>
      <x:c r="AM426" s="121"/>
      <x:c r="AN426" s="122"/>
      <x:c r="AO426" s="120"/>
      <x:c r="AP426" s="122"/>
    </x:row>
    <x:row r="427" ht="15.75" customHeight="1">
      <x:c r="K427" s="120"/>
      <x:c r="M427" s="120"/>
      <x:c r="N427" s="121"/>
      <x:c r="P427" s="120"/>
      <x:c r="R427" s="120"/>
      <x:c r="S427" s="121"/>
      <x:c r="T427" s="122"/>
      <x:c r="U427" s="120"/>
      <x:c r="V427" s="122"/>
      <x:c r="W427" s="120"/>
      <x:c r="X427" s="121"/>
      <x:c r="Y427" s="122"/>
      <x:c r="Z427" s="120"/>
      <x:c r="AA427" s="122"/>
      <x:c r="AB427" s="120"/>
      <x:c r="AC427" s="121"/>
      <x:c r="AD427" s="122"/>
      <x:c r="AE427" s="120"/>
      <x:c r="AF427" s="122"/>
      <x:c r="AG427" s="120"/>
      <x:c r="AH427" s="121"/>
      <x:c r="AI427" s="122"/>
      <x:c r="AJ427" s="120"/>
      <x:c r="AK427" s="122"/>
      <x:c r="AL427" s="120"/>
      <x:c r="AM427" s="121"/>
      <x:c r="AN427" s="122"/>
      <x:c r="AO427" s="120"/>
      <x:c r="AP427" s="122"/>
    </x:row>
    <x:row r="428" ht="15.75" customHeight="1">
      <x:c r="K428" s="120"/>
      <x:c r="M428" s="120"/>
      <x:c r="N428" s="121"/>
      <x:c r="P428" s="120"/>
      <x:c r="R428" s="120"/>
      <x:c r="S428" s="121"/>
      <x:c r="T428" s="122"/>
      <x:c r="U428" s="120"/>
      <x:c r="V428" s="122"/>
      <x:c r="W428" s="120"/>
      <x:c r="X428" s="121"/>
      <x:c r="Y428" s="122"/>
      <x:c r="Z428" s="120"/>
      <x:c r="AA428" s="122"/>
      <x:c r="AB428" s="120"/>
      <x:c r="AC428" s="121"/>
      <x:c r="AD428" s="122"/>
      <x:c r="AE428" s="120"/>
      <x:c r="AF428" s="122"/>
      <x:c r="AG428" s="120"/>
      <x:c r="AH428" s="121"/>
      <x:c r="AI428" s="122"/>
      <x:c r="AJ428" s="120"/>
      <x:c r="AK428" s="122"/>
      <x:c r="AL428" s="120"/>
      <x:c r="AM428" s="121"/>
      <x:c r="AN428" s="122"/>
      <x:c r="AO428" s="120"/>
      <x:c r="AP428" s="122"/>
    </x:row>
    <x:row r="429" ht="15.75" customHeight="1">
      <x:c r="K429" s="120"/>
      <x:c r="M429" s="120"/>
      <x:c r="N429" s="121"/>
      <x:c r="P429" s="120"/>
      <x:c r="R429" s="120"/>
      <x:c r="S429" s="121"/>
      <x:c r="T429" s="122"/>
      <x:c r="U429" s="120"/>
      <x:c r="V429" s="122"/>
      <x:c r="W429" s="120"/>
      <x:c r="X429" s="121"/>
      <x:c r="Y429" s="122"/>
      <x:c r="Z429" s="120"/>
      <x:c r="AA429" s="122"/>
      <x:c r="AB429" s="120"/>
      <x:c r="AC429" s="121"/>
      <x:c r="AD429" s="122"/>
      <x:c r="AE429" s="120"/>
      <x:c r="AF429" s="122"/>
      <x:c r="AG429" s="120"/>
      <x:c r="AH429" s="121"/>
      <x:c r="AI429" s="122"/>
      <x:c r="AJ429" s="120"/>
      <x:c r="AK429" s="122"/>
      <x:c r="AL429" s="120"/>
      <x:c r="AM429" s="121"/>
      <x:c r="AN429" s="122"/>
      <x:c r="AO429" s="120"/>
      <x:c r="AP429" s="122"/>
    </x:row>
    <x:row r="430" ht="15.75" customHeight="1">
      <x:c r="K430" s="120"/>
      <x:c r="M430" s="120"/>
      <x:c r="N430" s="121"/>
      <x:c r="P430" s="120"/>
      <x:c r="R430" s="120"/>
      <x:c r="S430" s="121"/>
      <x:c r="T430" s="122"/>
      <x:c r="U430" s="120"/>
      <x:c r="V430" s="122"/>
      <x:c r="W430" s="120"/>
      <x:c r="X430" s="121"/>
      <x:c r="Y430" s="122"/>
      <x:c r="Z430" s="120"/>
      <x:c r="AA430" s="122"/>
      <x:c r="AB430" s="120"/>
      <x:c r="AC430" s="121"/>
      <x:c r="AD430" s="122"/>
      <x:c r="AE430" s="120"/>
      <x:c r="AF430" s="122"/>
      <x:c r="AG430" s="120"/>
      <x:c r="AH430" s="121"/>
      <x:c r="AI430" s="122"/>
      <x:c r="AJ430" s="120"/>
      <x:c r="AK430" s="122"/>
      <x:c r="AL430" s="120"/>
      <x:c r="AM430" s="121"/>
      <x:c r="AN430" s="122"/>
      <x:c r="AO430" s="120"/>
      <x:c r="AP430" s="122"/>
    </x:row>
    <x:row r="431" ht="15.75" customHeight="1">
      <x:c r="K431" s="120"/>
      <x:c r="M431" s="120"/>
      <x:c r="N431" s="121"/>
      <x:c r="P431" s="120"/>
      <x:c r="R431" s="120"/>
      <x:c r="S431" s="121"/>
      <x:c r="T431" s="122"/>
      <x:c r="U431" s="120"/>
      <x:c r="V431" s="122"/>
      <x:c r="W431" s="120"/>
      <x:c r="X431" s="121"/>
      <x:c r="Y431" s="122"/>
      <x:c r="Z431" s="120"/>
      <x:c r="AA431" s="122"/>
      <x:c r="AB431" s="120"/>
      <x:c r="AC431" s="121"/>
      <x:c r="AD431" s="122"/>
      <x:c r="AE431" s="120"/>
      <x:c r="AF431" s="122"/>
      <x:c r="AG431" s="120"/>
      <x:c r="AH431" s="121"/>
      <x:c r="AI431" s="122"/>
      <x:c r="AJ431" s="120"/>
      <x:c r="AK431" s="122"/>
      <x:c r="AL431" s="120"/>
      <x:c r="AM431" s="121"/>
      <x:c r="AN431" s="122"/>
      <x:c r="AO431" s="120"/>
      <x:c r="AP431" s="122"/>
    </x:row>
    <x:row r="432" ht="15.75" customHeight="1">
      <x:c r="K432" s="120"/>
      <x:c r="M432" s="120"/>
      <x:c r="N432" s="121"/>
      <x:c r="P432" s="120"/>
      <x:c r="R432" s="120"/>
      <x:c r="S432" s="121"/>
      <x:c r="T432" s="122"/>
      <x:c r="U432" s="120"/>
      <x:c r="V432" s="122"/>
      <x:c r="W432" s="120"/>
      <x:c r="X432" s="121"/>
      <x:c r="Y432" s="122"/>
      <x:c r="Z432" s="120"/>
      <x:c r="AA432" s="122"/>
      <x:c r="AB432" s="120"/>
      <x:c r="AC432" s="121"/>
      <x:c r="AD432" s="122"/>
      <x:c r="AE432" s="120"/>
      <x:c r="AF432" s="122"/>
      <x:c r="AG432" s="120"/>
      <x:c r="AH432" s="121"/>
      <x:c r="AI432" s="122"/>
      <x:c r="AJ432" s="120"/>
      <x:c r="AK432" s="122"/>
      <x:c r="AL432" s="120"/>
      <x:c r="AM432" s="121"/>
      <x:c r="AN432" s="122"/>
      <x:c r="AO432" s="120"/>
      <x:c r="AP432" s="122"/>
    </x:row>
    <x:row r="433" ht="15.75" customHeight="1">
      <x:c r="K433" s="120"/>
      <x:c r="M433" s="120"/>
      <x:c r="N433" s="121"/>
      <x:c r="P433" s="120"/>
      <x:c r="R433" s="120"/>
      <x:c r="S433" s="121"/>
      <x:c r="T433" s="122"/>
      <x:c r="U433" s="120"/>
      <x:c r="V433" s="122"/>
      <x:c r="W433" s="120"/>
      <x:c r="X433" s="121"/>
      <x:c r="Y433" s="122"/>
      <x:c r="Z433" s="120"/>
      <x:c r="AA433" s="122"/>
      <x:c r="AB433" s="120"/>
      <x:c r="AC433" s="121"/>
      <x:c r="AD433" s="122"/>
      <x:c r="AE433" s="120"/>
      <x:c r="AF433" s="122"/>
      <x:c r="AG433" s="120"/>
      <x:c r="AH433" s="121"/>
      <x:c r="AI433" s="122"/>
      <x:c r="AJ433" s="120"/>
      <x:c r="AK433" s="122"/>
      <x:c r="AL433" s="120"/>
      <x:c r="AM433" s="121"/>
      <x:c r="AN433" s="122"/>
      <x:c r="AO433" s="120"/>
      <x:c r="AP433" s="122"/>
    </x:row>
    <x:row r="434" ht="15.75" customHeight="1">
      <x:c r="K434" s="120"/>
      <x:c r="M434" s="120"/>
      <x:c r="N434" s="121"/>
      <x:c r="P434" s="120"/>
      <x:c r="R434" s="120"/>
      <x:c r="S434" s="121"/>
      <x:c r="T434" s="122"/>
      <x:c r="U434" s="120"/>
      <x:c r="V434" s="122"/>
      <x:c r="W434" s="120"/>
      <x:c r="X434" s="121"/>
      <x:c r="Y434" s="122"/>
      <x:c r="Z434" s="120"/>
      <x:c r="AA434" s="122"/>
      <x:c r="AB434" s="120"/>
      <x:c r="AC434" s="121"/>
      <x:c r="AD434" s="122"/>
      <x:c r="AE434" s="120"/>
      <x:c r="AF434" s="122"/>
      <x:c r="AG434" s="120"/>
      <x:c r="AH434" s="121"/>
      <x:c r="AI434" s="122"/>
      <x:c r="AJ434" s="120"/>
      <x:c r="AK434" s="122"/>
      <x:c r="AL434" s="120"/>
      <x:c r="AM434" s="121"/>
      <x:c r="AN434" s="122"/>
      <x:c r="AO434" s="120"/>
      <x:c r="AP434" s="122"/>
    </x:row>
    <x:row r="435" ht="15.75" customHeight="1">
      <x:c r="K435" s="120"/>
      <x:c r="M435" s="120"/>
      <x:c r="N435" s="121"/>
      <x:c r="P435" s="120"/>
      <x:c r="R435" s="120"/>
      <x:c r="S435" s="121"/>
      <x:c r="T435" s="122"/>
      <x:c r="U435" s="120"/>
      <x:c r="V435" s="122"/>
      <x:c r="W435" s="120"/>
      <x:c r="X435" s="121"/>
      <x:c r="Y435" s="122"/>
      <x:c r="Z435" s="120"/>
      <x:c r="AA435" s="122"/>
      <x:c r="AB435" s="120"/>
      <x:c r="AC435" s="121"/>
      <x:c r="AD435" s="122"/>
      <x:c r="AE435" s="120"/>
      <x:c r="AF435" s="122"/>
      <x:c r="AG435" s="120"/>
      <x:c r="AH435" s="121"/>
      <x:c r="AI435" s="122"/>
      <x:c r="AJ435" s="120"/>
      <x:c r="AK435" s="122"/>
      <x:c r="AL435" s="120"/>
      <x:c r="AM435" s="121"/>
      <x:c r="AN435" s="122"/>
      <x:c r="AO435" s="120"/>
      <x:c r="AP435" s="122"/>
    </x:row>
    <x:row r="436" ht="15.75" customHeight="1">
      <x:c r="K436" s="120"/>
      <x:c r="M436" s="120"/>
      <x:c r="N436" s="121"/>
      <x:c r="P436" s="120"/>
      <x:c r="R436" s="120"/>
      <x:c r="S436" s="121"/>
      <x:c r="T436" s="122"/>
      <x:c r="U436" s="120"/>
      <x:c r="V436" s="122"/>
      <x:c r="W436" s="120"/>
      <x:c r="X436" s="121"/>
      <x:c r="Y436" s="122"/>
      <x:c r="Z436" s="120"/>
      <x:c r="AA436" s="122"/>
      <x:c r="AB436" s="120"/>
      <x:c r="AC436" s="121"/>
      <x:c r="AD436" s="122"/>
      <x:c r="AE436" s="120"/>
      <x:c r="AF436" s="122"/>
      <x:c r="AG436" s="120"/>
      <x:c r="AH436" s="121"/>
      <x:c r="AI436" s="122"/>
      <x:c r="AJ436" s="120"/>
      <x:c r="AK436" s="122"/>
      <x:c r="AL436" s="120"/>
      <x:c r="AM436" s="121"/>
      <x:c r="AN436" s="122"/>
      <x:c r="AO436" s="120"/>
      <x:c r="AP436" s="122"/>
    </x:row>
    <x:row r="437" ht="15.75" customHeight="1">
      <x:c r="K437" s="120"/>
      <x:c r="M437" s="120"/>
      <x:c r="N437" s="121"/>
      <x:c r="P437" s="120"/>
      <x:c r="R437" s="120"/>
      <x:c r="S437" s="121"/>
      <x:c r="T437" s="122"/>
      <x:c r="U437" s="120"/>
      <x:c r="V437" s="122"/>
      <x:c r="W437" s="120"/>
      <x:c r="X437" s="121"/>
      <x:c r="Y437" s="122"/>
      <x:c r="Z437" s="120"/>
      <x:c r="AA437" s="122"/>
      <x:c r="AB437" s="120"/>
      <x:c r="AC437" s="121"/>
      <x:c r="AD437" s="122"/>
      <x:c r="AE437" s="120"/>
      <x:c r="AF437" s="122"/>
      <x:c r="AG437" s="120"/>
      <x:c r="AH437" s="121"/>
      <x:c r="AI437" s="122"/>
      <x:c r="AJ437" s="120"/>
      <x:c r="AK437" s="122"/>
      <x:c r="AL437" s="120"/>
      <x:c r="AM437" s="121"/>
      <x:c r="AN437" s="122"/>
      <x:c r="AO437" s="120"/>
      <x:c r="AP437" s="122"/>
    </x:row>
    <x:row r="438" ht="15.75" customHeight="1">
      <x:c r="K438" s="120"/>
      <x:c r="M438" s="120"/>
      <x:c r="N438" s="121"/>
      <x:c r="P438" s="120"/>
      <x:c r="R438" s="120"/>
      <x:c r="S438" s="121"/>
      <x:c r="T438" s="122"/>
      <x:c r="U438" s="120"/>
      <x:c r="V438" s="122"/>
      <x:c r="W438" s="120"/>
      <x:c r="X438" s="121"/>
      <x:c r="Y438" s="122"/>
      <x:c r="Z438" s="120"/>
      <x:c r="AA438" s="122"/>
      <x:c r="AB438" s="120"/>
      <x:c r="AC438" s="121"/>
      <x:c r="AD438" s="122"/>
      <x:c r="AE438" s="120"/>
      <x:c r="AF438" s="122"/>
      <x:c r="AG438" s="120"/>
      <x:c r="AH438" s="121"/>
      <x:c r="AI438" s="122"/>
      <x:c r="AJ438" s="120"/>
      <x:c r="AK438" s="122"/>
      <x:c r="AL438" s="120"/>
      <x:c r="AM438" s="121"/>
      <x:c r="AN438" s="122"/>
      <x:c r="AO438" s="120"/>
      <x:c r="AP438" s="122"/>
    </x:row>
    <x:row r="439" ht="15.75" customHeight="1">
      <x:c r="K439" s="120"/>
      <x:c r="M439" s="120"/>
      <x:c r="N439" s="121"/>
      <x:c r="P439" s="120"/>
      <x:c r="R439" s="120"/>
      <x:c r="S439" s="121"/>
      <x:c r="T439" s="122"/>
      <x:c r="U439" s="120"/>
      <x:c r="V439" s="122"/>
      <x:c r="W439" s="120"/>
      <x:c r="X439" s="121"/>
      <x:c r="Y439" s="122"/>
      <x:c r="Z439" s="120"/>
      <x:c r="AA439" s="122"/>
      <x:c r="AB439" s="120"/>
      <x:c r="AC439" s="121"/>
      <x:c r="AD439" s="122"/>
      <x:c r="AE439" s="120"/>
      <x:c r="AF439" s="122"/>
      <x:c r="AG439" s="120"/>
      <x:c r="AH439" s="121"/>
      <x:c r="AI439" s="122"/>
      <x:c r="AJ439" s="120"/>
      <x:c r="AK439" s="122"/>
      <x:c r="AL439" s="120"/>
      <x:c r="AM439" s="121"/>
      <x:c r="AN439" s="122"/>
      <x:c r="AO439" s="120"/>
      <x:c r="AP439" s="122"/>
    </x:row>
    <x:row r="440" ht="15.75" customHeight="1">
      <x:c r="K440" s="120"/>
      <x:c r="M440" s="120"/>
      <x:c r="N440" s="121"/>
      <x:c r="P440" s="120"/>
      <x:c r="R440" s="120"/>
      <x:c r="S440" s="121"/>
      <x:c r="T440" s="122"/>
      <x:c r="U440" s="120"/>
      <x:c r="V440" s="122"/>
      <x:c r="W440" s="120"/>
      <x:c r="X440" s="121"/>
      <x:c r="Y440" s="122"/>
      <x:c r="Z440" s="120"/>
      <x:c r="AA440" s="122"/>
      <x:c r="AB440" s="120"/>
      <x:c r="AC440" s="121"/>
      <x:c r="AD440" s="122"/>
      <x:c r="AE440" s="120"/>
      <x:c r="AF440" s="122"/>
      <x:c r="AG440" s="120"/>
      <x:c r="AH440" s="121"/>
      <x:c r="AI440" s="122"/>
      <x:c r="AJ440" s="120"/>
      <x:c r="AK440" s="122"/>
      <x:c r="AL440" s="120"/>
      <x:c r="AM440" s="121"/>
      <x:c r="AN440" s="122"/>
      <x:c r="AO440" s="120"/>
      <x:c r="AP440" s="122"/>
    </x:row>
    <x:row r="441" ht="15.75" customHeight="1">
      <x:c r="K441" s="120"/>
      <x:c r="M441" s="120"/>
      <x:c r="N441" s="121"/>
      <x:c r="P441" s="120"/>
      <x:c r="R441" s="120"/>
      <x:c r="S441" s="121"/>
      <x:c r="T441" s="122"/>
      <x:c r="U441" s="120"/>
      <x:c r="V441" s="122"/>
      <x:c r="W441" s="120"/>
      <x:c r="X441" s="121"/>
      <x:c r="Y441" s="122"/>
      <x:c r="Z441" s="120"/>
      <x:c r="AA441" s="122"/>
      <x:c r="AB441" s="120"/>
      <x:c r="AC441" s="121"/>
      <x:c r="AD441" s="122"/>
      <x:c r="AE441" s="120"/>
      <x:c r="AF441" s="122"/>
      <x:c r="AG441" s="120"/>
      <x:c r="AH441" s="121"/>
      <x:c r="AI441" s="122"/>
      <x:c r="AJ441" s="120"/>
      <x:c r="AK441" s="122"/>
      <x:c r="AL441" s="120"/>
      <x:c r="AM441" s="121"/>
      <x:c r="AN441" s="122"/>
      <x:c r="AO441" s="120"/>
      <x:c r="AP441" s="122"/>
    </x:row>
    <x:row r="442" ht="15.75" customHeight="1">
      <x:c r="K442" s="120"/>
      <x:c r="M442" s="120"/>
      <x:c r="N442" s="121"/>
      <x:c r="P442" s="120"/>
      <x:c r="R442" s="120"/>
      <x:c r="S442" s="121"/>
      <x:c r="T442" s="122"/>
      <x:c r="U442" s="120"/>
      <x:c r="V442" s="122"/>
      <x:c r="W442" s="120"/>
      <x:c r="X442" s="121"/>
      <x:c r="Y442" s="122"/>
      <x:c r="Z442" s="120"/>
      <x:c r="AA442" s="122"/>
      <x:c r="AB442" s="120"/>
      <x:c r="AC442" s="121"/>
      <x:c r="AD442" s="122"/>
      <x:c r="AE442" s="120"/>
      <x:c r="AF442" s="122"/>
      <x:c r="AG442" s="120"/>
      <x:c r="AH442" s="121"/>
      <x:c r="AI442" s="122"/>
      <x:c r="AJ442" s="120"/>
      <x:c r="AK442" s="122"/>
      <x:c r="AL442" s="120"/>
      <x:c r="AM442" s="121"/>
      <x:c r="AN442" s="122"/>
      <x:c r="AO442" s="120"/>
      <x:c r="AP442" s="122"/>
    </x:row>
    <x:row r="443" ht="15.75" customHeight="1">
      <x:c r="K443" s="120"/>
      <x:c r="M443" s="120"/>
      <x:c r="N443" s="121"/>
      <x:c r="P443" s="120"/>
      <x:c r="R443" s="120"/>
      <x:c r="S443" s="121"/>
      <x:c r="T443" s="122"/>
      <x:c r="U443" s="120"/>
      <x:c r="V443" s="122"/>
      <x:c r="W443" s="120"/>
      <x:c r="X443" s="121"/>
      <x:c r="Y443" s="122"/>
      <x:c r="Z443" s="120"/>
      <x:c r="AA443" s="122"/>
      <x:c r="AB443" s="120"/>
      <x:c r="AC443" s="121"/>
      <x:c r="AD443" s="122"/>
      <x:c r="AE443" s="120"/>
      <x:c r="AF443" s="122"/>
      <x:c r="AG443" s="120"/>
      <x:c r="AH443" s="121"/>
      <x:c r="AI443" s="122"/>
      <x:c r="AJ443" s="120"/>
      <x:c r="AK443" s="122"/>
      <x:c r="AL443" s="120"/>
      <x:c r="AM443" s="121"/>
      <x:c r="AN443" s="122"/>
      <x:c r="AO443" s="120"/>
      <x:c r="AP443" s="122"/>
    </x:row>
    <x:row r="444" ht="15.75" customHeight="1">
      <x:c r="K444" s="120"/>
      <x:c r="M444" s="120"/>
      <x:c r="N444" s="121"/>
      <x:c r="P444" s="120"/>
      <x:c r="R444" s="120"/>
      <x:c r="S444" s="121"/>
      <x:c r="T444" s="122"/>
      <x:c r="U444" s="120"/>
      <x:c r="V444" s="122"/>
      <x:c r="W444" s="120"/>
      <x:c r="X444" s="121"/>
      <x:c r="Y444" s="122"/>
      <x:c r="Z444" s="120"/>
      <x:c r="AA444" s="122"/>
      <x:c r="AB444" s="120"/>
      <x:c r="AC444" s="121"/>
      <x:c r="AD444" s="122"/>
      <x:c r="AE444" s="120"/>
      <x:c r="AF444" s="122"/>
      <x:c r="AG444" s="120"/>
      <x:c r="AH444" s="121"/>
      <x:c r="AI444" s="122"/>
      <x:c r="AJ444" s="120"/>
      <x:c r="AK444" s="122"/>
      <x:c r="AL444" s="120"/>
      <x:c r="AM444" s="121"/>
      <x:c r="AN444" s="122"/>
      <x:c r="AO444" s="120"/>
      <x:c r="AP444" s="122"/>
    </x:row>
    <x:row r="445" ht="15.75" customHeight="1">
      <x:c r="K445" s="120"/>
      <x:c r="M445" s="120"/>
      <x:c r="N445" s="121"/>
      <x:c r="P445" s="120"/>
      <x:c r="R445" s="120"/>
      <x:c r="S445" s="121"/>
      <x:c r="T445" s="122"/>
      <x:c r="U445" s="120"/>
      <x:c r="V445" s="122"/>
      <x:c r="W445" s="120"/>
      <x:c r="X445" s="121"/>
      <x:c r="Y445" s="122"/>
      <x:c r="Z445" s="120"/>
      <x:c r="AA445" s="122"/>
      <x:c r="AB445" s="120"/>
      <x:c r="AC445" s="121"/>
      <x:c r="AD445" s="122"/>
      <x:c r="AE445" s="120"/>
      <x:c r="AF445" s="122"/>
      <x:c r="AG445" s="120"/>
      <x:c r="AH445" s="121"/>
      <x:c r="AI445" s="122"/>
      <x:c r="AJ445" s="120"/>
      <x:c r="AK445" s="122"/>
      <x:c r="AL445" s="120"/>
      <x:c r="AM445" s="121"/>
      <x:c r="AN445" s="122"/>
      <x:c r="AO445" s="120"/>
      <x:c r="AP445" s="122"/>
    </x:row>
    <x:row r="446" ht="15.75" customHeight="1">
      <x:c r="K446" s="120"/>
      <x:c r="M446" s="120"/>
      <x:c r="N446" s="121"/>
      <x:c r="P446" s="120"/>
      <x:c r="R446" s="120"/>
      <x:c r="S446" s="121"/>
      <x:c r="T446" s="122"/>
      <x:c r="U446" s="120"/>
      <x:c r="V446" s="122"/>
      <x:c r="W446" s="120"/>
      <x:c r="X446" s="121"/>
      <x:c r="Y446" s="122"/>
      <x:c r="Z446" s="120"/>
      <x:c r="AA446" s="122"/>
      <x:c r="AB446" s="120"/>
      <x:c r="AC446" s="121"/>
      <x:c r="AD446" s="122"/>
      <x:c r="AE446" s="120"/>
      <x:c r="AF446" s="122"/>
      <x:c r="AG446" s="120"/>
      <x:c r="AH446" s="121"/>
      <x:c r="AI446" s="122"/>
      <x:c r="AJ446" s="120"/>
      <x:c r="AK446" s="122"/>
      <x:c r="AL446" s="120"/>
      <x:c r="AM446" s="121"/>
      <x:c r="AN446" s="122"/>
      <x:c r="AO446" s="120"/>
      <x:c r="AP446" s="122"/>
    </x:row>
    <x:row r="447" ht="15.75" customHeight="1">
      <x:c r="K447" s="120"/>
      <x:c r="M447" s="120"/>
      <x:c r="N447" s="121"/>
      <x:c r="P447" s="120"/>
      <x:c r="R447" s="120"/>
      <x:c r="S447" s="121"/>
      <x:c r="T447" s="122"/>
      <x:c r="U447" s="120"/>
      <x:c r="V447" s="122"/>
      <x:c r="W447" s="120"/>
      <x:c r="X447" s="121"/>
      <x:c r="Y447" s="122"/>
      <x:c r="Z447" s="120"/>
      <x:c r="AA447" s="122"/>
      <x:c r="AB447" s="120"/>
      <x:c r="AC447" s="121"/>
      <x:c r="AD447" s="122"/>
      <x:c r="AE447" s="120"/>
      <x:c r="AF447" s="122"/>
      <x:c r="AG447" s="120"/>
      <x:c r="AH447" s="121"/>
      <x:c r="AI447" s="122"/>
      <x:c r="AJ447" s="120"/>
      <x:c r="AK447" s="122"/>
      <x:c r="AL447" s="120"/>
      <x:c r="AM447" s="121"/>
      <x:c r="AN447" s="122"/>
      <x:c r="AO447" s="120"/>
      <x:c r="AP447" s="122"/>
    </x:row>
    <x:row r="448" ht="15.75" customHeight="1">
      <x:c r="K448" s="120"/>
      <x:c r="M448" s="120"/>
      <x:c r="N448" s="121"/>
      <x:c r="P448" s="120"/>
      <x:c r="R448" s="120"/>
      <x:c r="S448" s="121"/>
      <x:c r="T448" s="122"/>
      <x:c r="U448" s="120"/>
      <x:c r="V448" s="122"/>
      <x:c r="W448" s="120"/>
      <x:c r="X448" s="121"/>
      <x:c r="Y448" s="122"/>
      <x:c r="Z448" s="120"/>
      <x:c r="AA448" s="122"/>
      <x:c r="AB448" s="120"/>
      <x:c r="AC448" s="121"/>
      <x:c r="AD448" s="122"/>
      <x:c r="AE448" s="120"/>
      <x:c r="AF448" s="122"/>
      <x:c r="AG448" s="120"/>
      <x:c r="AH448" s="121"/>
      <x:c r="AI448" s="122"/>
      <x:c r="AJ448" s="120"/>
      <x:c r="AK448" s="122"/>
      <x:c r="AL448" s="120"/>
      <x:c r="AM448" s="121"/>
      <x:c r="AN448" s="122"/>
      <x:c r="AO448" s="120"/>
      <x:c r="AP448" s="122"/>
    </x:row>
    <x:row r="449" ht="15.75" customHeight="1">
      <x:c r="K449" s="120"/>
      <x:c r="M449" s="120"/>
      <x:c r="N449" s="121"/>
      <x:c r="P449" s="120"/>
      <x:c r="R449" s="120"/>
      <x:c r="S449" s="121"/>
      <x:c r="T449" s="122"/>
      <x:c r="U449" s="120"/>
      <x:c r="V449" s="122"/>
      <x:c r="W449" s="120"/>
      <x:c r="X449" s="121"/>
      <x:c r="Y449" s="122"/>
      <x:c r="Z449" s="120"/>
      <x:c r="AA449" s="122"/>
      <x:c r="AB449" s="120"/>
      <x:c r="AC449" s="121"/>
      <x:c r="AD449" s="122"/>
      <x:c r="AE449" s="120"/>
      <x:c r="AF449" s="122"/>
      <x:c r="AG449" s="120"/>
      <x:c r="AH449" s="121"/>
      <x:c r="AI449" s="122"/>
      <x:c r="AJ449" s="120"/>
      <x:c r="AK449" s="122"/>
      <x:c r="AL449" s="120"/>
      <x:c r="AM449" s="121"/>
      <x:c r="AN449" s="122"/>
      <x:c r="AO449" s="120"/>
      <x:c r="AP449" s="122"/>
    </x:row>
    <x:row r="450" ht="15.75" customHeight="1">
      <x:c r="K450" s="120"/>
      <x:c r="M450" s="120"/>
      <x:c r="N450" s="121"/>
      <x:c r="P450" s="120"/>
      <x:c r="R450" s="120"/>
      <x:c r="S450" s="121"/>
      <x:c r="T450" s="122"/>
      <x:c r="U450" s="120"/>
      <x:c r="V450" s="122"/>
      <x:c r="W450" s="120"/>
      <x:c r="X450" s="121"/>
      <x:c r="Y450" s="122"/>
      <x:c r="Z450" s="120"/>
      <x:c r="AA450" s="122"/>
      <x:c r="AB450" s="120"/>
      <x:c r="AC450" s="121"/>
      <x:c r="AD450" s="122"/>
      <x:c r="AE450" s="120"/>
      <x:c r="AF450" s="122"/>
      <x:c r="AG450" s="120"/>
      <x:c r="AH450" s="121"/>
      <x:c r="AI450" s="122"/>
      <x:c r="AJ450" s="120"/>
      <x:c r="AK450" s="122"/>
      <x:c r="AL450" s="120"/>
      <x:c r="AM450" s="121"/>
      <x:c r="AN450" s="122"/>
      <x:c r="AO450" s="120"/>
      <x:c r="AP450" s="122"/>
    </x:row>
    <x:row r="451" ht="15.75" customHeight="1">
      <x:c r="K451" s="120"/>
      <x:c r="M451" s="120"/>
      <x:c r="N451" s="121"/>
      <x:c r="P451" s="120"/>
      <x:c r="R451" s="120"/>
      <x:c r="S451" s="121"/>
      <x:c r="T451" s="122"/>
      <x:c r="U451" s="120"/>
      <x:c r="V451" s="122"/>
      <x:c r="W451" s="120"/>
      <x:c r="X451" s="121"/>
      <x:c r="Y451" s="122"/>
      <x:c r="Z451" s="120"/>
      <x:c r="AA451" s="122"/>
      <x:c r="AB451" s="120"/>
      <x:c r="AC451" s="121"/>
      <x:c r="AD451" s="122"/>
      <x:c r="AE451" s="120"/>
      <x:c r="AF451" s="122"/>
      <x:c r="AG451" s="120"/>
      <x:c r="AH451" s="121"/>
      <x:c r="AI451" s="122"/>
      <x:c r="AJ451" s="120"/>
      <x:c r="AK451" s="122"/>
      <x:c r="AL451" s="120"/>
      <x:c r="AM451" s="121"/>
      <x:c r="AN451" s="122"/>
      <x:c r="AO451" s="120"/>
      <x:c r="AP451" s="122"/>
    </x:row>
    <x:row r="452" ht="15.75" customHeight="1">
      <x:c r="K452" s="120"/>
      <x:c r="M452" s="120"/>
      <x:c r="N452" s="121"/>
      <x:c r="P452" s="120"/>
      <x:c r="R452" s="120"/>
      <x:c r="S452" s="121"/>
      <x:c r="T452" s="122"/>
      <x:c r="U452" s="120"/>
      <x:c r="V452" s="122"/>
      <x:c r="W452" s="120"/>
      <x:c r="X452" s="121"/>
      <x:c r="Y452" s="122"/>
      <x:c r="Z452" s="120"/>
      <x:c r="AA452" s="122"/>
      <x:c r="AB452" s="120"/>
      <x:c r="AC452" s="121"/>
      <x:c r="AD452" s="122"/>
      <x:c r="AE452" s="120"/>
      <x:c r="AF452" s="122"/>
      <x:c r="AG452" s="120"/>
      <x:c r="AH452" s="121"/>
      <x:c r="AI452" s="122"/>
      <x:c r="AJ452" s="120"/>
      <x:c r="AK452" s="122"/>
      <x:c r="AL452" s="120"/>
      <x:c r="AM452" s="121"/>
      <x:c r="AN452" s="122"/>
      <x:c r="AO452" s="120"/>
      <x:c r="AP452" s="122"/>
    </x:row>
    <x:row r="453" ht="15.75" customHeight="1">
      <x:c r="K453" s="120"/>
      <x:c r="M453" s="120"/>
      <x:c r="N453" s="121"/>
      <x:c r="P453" s="120"/>
      <x:c r="R453" s="120"/>
      <x:c r="S453" s="121"/>
      <x:c r="T453" s="122"/>
      <x:c r="U453" s="120"/>
      <x:c r="V453" s="122"/>
      <x:c r="W453" s="120"/>
      <x:c r="X453" s="121"/>
      <x:c r="Y453" s="122"/>
      <x:c r="Z453" s="120"/>
      <x:c r="AA453" s="122"/>
      <x:c r="AB453" s="120"/>
      <x:c r="AC453" s="121"/>
      <x:c r="AD453" s="122"/>
      <x:c r="AE453" s="120"/>
      <x:c r="AF453" s="122"/>
      <x:c r="AG453" s="120"/>
      <x:c r="AH453" s="121"/>
      <x:c r="AI453" s="122"/>
      <x:c r="AJ453" s="120"/>
      <x:c r="AK453" s="122"/>
      <x:c r="AL453" s="120"/>
      <x:c r="AM453" s="121"/>
      <x:c r="AN453" s="122"/>
      <x:c r="AO453" s="120"/>
      <x:c r="AP453" s="122"/>
    </x:row>
    <x:row r="454" ht="15.75" customHeight="1">
      <x:c r="K454" s="120"/>
      <x:c r="M454" s="120"/>
      <x:c r="N454" s="121"/>
      <x:c r="P454" s="120"/>
      <x:c r="R454" s="120"/>
      <x:c r="S454" s="121"/>
      <x:c r="T454" s="122"/>
      <x:c r="U454" s="120"/>
      <x:c r="V454" s="122"/>
      <x:c r="W454" s="120"/>
      <x:c r="X454" s="121"/>
      <x:c r="Y454" s="122"/>
      <x:c r="Z454" s="120"/>
      <x:c r="AA454" s="122"/>
      <x:c r="AB454" s="120"/>
      <x:c r="AC454" s="121"/>
      <x:c r="AD454" s="122"/>
      <x:c r="AE454" s="120"/>
      <x:c r="AF454" s="122"/>
      <x:c r="AG454" s="120"/>
      <x:c r="AH454" s="121"/>
      <x:c r="AI454" s="122"/>
      <x:c r="AJ454" s="120"/>
      <x:c r="AK454" s="122"/>
      <x:c r="AL454" s="120"/>
      <x:c r="AM454" s="121"/>
      <x:c r="AN454" s="122"/>
      <x:c r="AO454" s="120"/>
      <x:c r="AP454" s="122"/>
    </x:row>
    <x:row r="455" ht="15.75" customHeight="1">
      <x:c r="K455" s="120"/>
      <x:c r="M455" s="120"/>
      <x:c r="N455" s="121"/>
      <x:c r="P455" s="120"/>
      <x:c r="R455" s="120"/>
      <x:c r="S455" s="121"/>
      <x:c r="T455" s="122"/>
      <x:c r="U455" s="120"/>
      <x:c r="V455" s="122"/>
      <x:c r="W455" s="120"/>
      <x:c r="X455" s="121"/>
      <x:c r="Y455" s="122"/>
      <x:c r="Z455" s="120"/>
      <x:c r="AA455" s="122"/>
      <x:c r="AB455" s="120"/>
      <x:c r="AC455" s="121"/>
      <x:c r="AD455" s="122"/>
      <x:c r="AE455" s="120"/>
      <x:c r="AF455" s="122"/>
      <x:c r="AG455" s="120"/>
      <x:c r="AH455" s="121"/>
      <x:c r="AI455" s="122"/>
      <x:c r="AJ455" s="120"/>
      <x:c r="AK455" s="122"/>
      <x:c r="AL455" s="120"/>
      <x:c r="AM455" s="121"/>
      <x:c r="AN455" s="122"/>
      <x:c r="AO455" s="120"/>
      <x:c r="AP455" s="122"/>
    </x:row>
    <x:row r="456" ht="15.75" customHeight="1">
      <x:c r="K456" s="120"/>
      <x:c r="M456" s="120"/>
      <x:c r="N456" s="121"/>
      <x:c r="P456" s="120"/>
      <x:c r="R456" s="120"/>
      <x:c r="S456" s="121"/>
      <x:c r="T456" s="122"/>
      <x:c r="U456" s="120"/>
      <x:c r="V456" s="122"/>
      <x:c r="W456" s="120"/>
      <x:c r="X456" s="121"/>
      <x:c r="Y456" s="122"/>
      <x:c r="Z456" s="120"/>
      <x:c r="AA456" s="122"/>
      <x:c r="AB456" s="120"/>
      <x:c r="AC456" s="121"/>
      <x:c r="AD456" s="122"/>
      <x:c r="AE456" s="120"/>
      <x:c r="AF456" s="122"/>
      <x:c r="AG456" s="120"/>
      <x:c r="AH456" s="121"/>
      <x:c r="AI456" s="122"/>
      <x:c r="AJ456" s="120"/>
      <x:c r="AK456" s="122"/>
      <x:c r="AL456" s="120"/>
      <x:c r="AM456" s="121"/>
      <x:c r="AN456" s="122"/>
      <x:c r="AO456" s="120"/>
      <x:c r="AP456" s="122"/>
    </x:row>
    <x:row r="457" ht="15.75" customHeight="1">
      <x:c r="K457" s="120"/>
      <x:c r="M457" s="120"/>
      <x:c r="N457" s="121"/>
      <x:c r="P457" s="120"/>
      <x:c r="R457" s="120"/>
      <x:c r="S457" s="121"/>
      <x:c r="T457" s="122"/>
      <x:c r="U457" s="120"/>
      <x:c r="V457" s="122"/>
      <x:c r="W457" s="120"/>
      <x:c r="X457" s="121"/>
      <x:c r="Y457" s="122"/>
      <x:c r="Z457" s="120"/>
      <x:c r="AA457" s="122"/>
      <x:c r="AB457" s="120"/>
      <x:c r="AC457" s="121"/>
      <x:c r="AD457" s="122"/>
      <x:c r="AE457" s="120"/>
      <x:c r="AF457" s="122"/>
      <x:c r="AG457" s="120"/>
      <x:c r="AH457" s="121"/>
      <x:c r="AI457" s="122"/>
      <x:c r="AJ457" s="120"/>
      <x:c r="AK457" s="122"/>
      <x:c r="AL457" s="120"/>
      <x:c r="AM457" s="121"/>
      <x:c r="AN457" s="122"/>
      <x:c r="AO457" s="120"/>
      <x:c r="AP457" s="122"/>
    </x:row>
    <x:row r="458" ht="15.75" customHeight="1">
      <x:c r="K458" s="120"/>
      <x:c r="M458" s="120"/>
      <x:c r="N458" s="121"/>
      <x:c r="P458" s="120"/>
      <x:c r="R458" s="120"/>
      <x:c r="S458" s="121"/>
      <x:c r="T458" s="122"/>
      <x:c r="U458" s="120"/>
      <x:c r="V458" s="122"/>
      <x:c r="W458" s="120"/>
      <x:c r="X458" s="121"/>
      <x:c r="Y458" s="122"/>
      <x:c r="Z458" s="120"/>
      <x:c r="AA458" s="122"/>
      <x:c r="AB458" s="120"/>
      <x:c r="AC458" s="121"/>
      <x:c r="AD458" s="122"/>
      <x:c r="AE458" s="120"/>
      <x:c r="AF458" s="122"/>
      <x:c r="AG458" s="120"/>
      <x:c r="AH458" s="121"/>
      <x:c r="AI458" s="122"/>
      <x:c r="AJ458" s="120"/>
      <x:c r="AK458" s="122"/>
      <x:c r="AL458" s="120"/>
      <x:c r="AM458" s="121"/>
      <x:c r="AN458" s="122"/>
      <x:c r="AO458" s="120"/>
      <x:c r="AP458" s="122"/>
    </x:row>
    <x:row r="459" ht="15.75" customHeight="1">
      <x:c r="K459" s="120"/>
      <x:c r="M459" s="120"/>
      <x:c r="N459" s="121"/>
      <x:c r="P459" s="120"/>
      <x:c r="R459" s="120"/>
      <x:c r="S459" s="121"/>
      <x:c r="T459" s="122"/>
      <x:c r="U459" s="120"/>
      <x:c r="V459" s="122"/>
      <x:c r="W459" s="120"/>
      <x:c r="X459" s="121"/>
      <x:c r="Y459" s="122"/>
      <x:c r="Z459" s="120"/>
      <x:c r="AA459" s="122"/>
      <x:c r="AB459" s="120"/>
      <x:c r="AC459" s="121"/>
      <x:c r="AD459" s="122"/>
      <x:c r="AE459" s="120"/>
      <x:c r="AF459" s="122"/>
      <x:c r="AG459" s="120"/>
      <x:c r="AH459" s="121"/>
      <x:c r="AI459" s="122"/>
      <x:c r="AJ459" s="120"/>
      <x:c r="AK459" s="122"/>
      <x:c r="AL459" s="120"/>
      <x:c r="AM459" s="121"/>
      <x:c r="AN459" s="122"/>
      <x:c r="AO459" s="120"/>
      <x:c r="AP459" s="122"/>
    </x:row>
    <x:row r="460" ht="15.75" customHeight="1">
      <x:c r="K460" s="120"/>
      <x:c r="M460" s="120"/>
      <x:c r="N460" s="121"/>
      <x:c r="P460" s="120"/>
      <x:c r="R460" s="120"/>
      <x:c r="S460" s="121"/>
      <x:c r="T460" s="122"/>
      <x:c r="U460" s="120"/>
      <x:c r="V460" s="122"/>
      <x:c r="W460" s="120"/>
      <x:c r="X460" s="121"/>
      <x:c r="Y460" s="122"/>
      <x:c r="Z460" s="120"/>
      <x:c r="AA460" s="122"/>
      <x:c r="AB460" s="120"/>
      <x:c r="AC460" s="121"/>
      <x:c r="AD460" s="122"/>
      <x:c r="AE460" s="120"/>
      <x:c r="AF460" s="122"/>
      <x:c r="AG460" s="120"/>
      <x:c r="AH460" s="121"/>
      <x:c r="AI460" s="122"/>
      <x:c r="AJ460" s="120"/>
      <x:c r="AK460" s="122"/>
      <x:c r="AL460" s="120"/>
      <x:c r="AM460" s="121"/>
      <x:c r="AN460" s="122"/>
      <x:c r="AO460" s="120"/>
      <x:c r="AP460" s="122"/>
    </x:row>
    <x:row r="461" ht="15.75" customHeight="1">
      <x:c r="K461" s="120"/>
      <x:c r="M461" s="120"/>
      <x:c r="N461" s="121"/>
      <x:c r="P461" s="120"/>
      <x:c r="R461" s="120"/>
      <x:c r="S461" s="121"/>
      <x:c r="T461" s="122"/>
      <x:c r="U461" s="120"/>
      <x:c r="V461" s="122"/>
      <x:c r="W461" s="120"/>
      <x:c r="X461" s="121"/>
      <x:c r="Y461" s="122"/>
      <x:c r="Z461" s="120"/>
      <x:c r="AA461" s="122"/>
      <x:c r="AB461" s="120"/>
      <x:c r="AC461" s="121"/>
      <x:c r="AD461" s="122"/>
      <x:c r="AE461" s="120"/>
      <x:c r="AF461" s="122"/>
      <x:c r="AG461" s="120"/>
      <x:c r="AH461" s="121"/>
      <x:c r="AI461" s="122"/>
      <x:c r="AJ461" s="120"/>
      <x:c r="AK461" s="122"/>
      <x:c r="AL461" s="120"/>
      <x:c r="AM461" s="121"/>
      <x:c r="AN461" s="122"/>
      <x:c r="AO461" s="120"/>
      <x:c r="AP461" s="122"/>
    </x:row>
    <x:row r="462" ht="15.75" customHeight="1">
      <x:c r="K462" s="120"/>
      <x:c r="M462" s="120"/>
      <x:c r="N462" s="121"/>
      <x:c r="P462" s="120"/>
      <x:c r="R462" s="120"/>
      <x:c r="S462" s="121"/>
      <x:c r="T462" s="122"/>
      <x:c r="U462" s="120"/>
      <x:c r="V462" s="122"/>
      <x:c r="W462" s="120"/>
      <x:c r="X462" s="121"/>
      <x:c r="Y462" s="122"/>
      <x:c r="Z462" s="120"/>
      <x:c r="AA462" s="122"/>
      <x:c r="AB462" s="120"/>
      <x:c r="AC462" s="121"/>
      <x:c r="AD462" s="122"/>
      <x:c r="AE462" s="120"/>
      <x:c r="AF462" s="122"/>
      <x:c r="AG462" s="120"/>
      <x:c r="AH462" s="121"/>
      <x:c r="AI462" s="122"/>
      <x:c r="AJ462" s="120"/>
      <x:c r="AK462" s="122"/>
      <x:c r="AL462" s="120"/>
      <x:c r="AM462" s="121"/>
      <x:c r="AN462" s="122"/>
      <x:c r="AO462" s="120"/>
      <x:c r="AP462" s="122"/>
    </x:row>
    <x:row r="463" ht="15.75" customHeight="1">
      <x:c r="K463" s="120"/>
      <x:c r="M463" s="120"/>
      <x:c r="N463" s="121"/>
      <x:c r="P463" s="120"/>
      <x:c r="R463" s="120"/>
      <x:c r="S463" s="121"/>
      <x:c r="T463" s="122"/>
      <x:c r="U463" s="120"/>
      <x:c r="V463" s="122"/>
      <x:c r="W463" s="120"/>
      <x:c r="X463" s="121"/>
      <x:c r="Y463" s="122"/>
      <x:c r="Z463" s="120"/>
      <x:c r="AA463" s="122"/>
      <x:c r="AB463" s="120"/>
      <x:c r="AC463" s="121"/>
      <x:c r="AD463" s="122"/>
      <x:c r="AE463" s="120"/>
      <x:c r="AF463" s="122"/>
      <x:c r="AG463" s="120"/>
      <x:c r="AH463" s="121"/>
      <x:c r="AI463" s="122"/>
      <x:c r="AJ463" s="120"/>
      <x:c r="AK463" s="122"/>
      <x:c r="AL463" s="120"/>
      <x:c r="AM463" s="121"/>
      <x:c r="AN463" s="122"/>
      <x:c r="AO463" s="120"/>
      <x:c r="AP463" s="122"/>
    </x:row>
    <x:row r="464" ht="15.75" customHeight="1">
      <x:c r="K464" s="120"/>
      <x:c r="M464" s="120"/>
      <x:c r="N464" s="121"/>
      <x:c r="P464" s="120"/>
      <x:c r="R464" s="120"/>
      <x:c r="S464" s="121"/>
      <x:c r="T464" s="122"/>
      <x:c r="U464" s="120"/>
      <x:c r="V464" s="122"/>
      <x:c r="W464" s="120"/>
      <x:c r="X464" s="121"/>
      <x:c r="Y464" s="122"/>
      <x:c r="Z464" s="120"/>
      <x:c r="AA464" s="122"/>
      <x:c r="AB464" s="120"/>
      <x:c r="AC464" s="121"/>
      <x:c r="AD464" s="122"/>
      <x:c r="AE464" s="120"/>
      <x:c r="AF464" s="122"/>
      <x:c r="AG464" s="120"/>
      <x:c r="AH464" s="121"/>
      <x:c r="AI464" s="122"/>
      <x:c r="AJ464" s="120"/>
      <x:c r="AK464" s="122"/>
      <x:c r="AL464" s="120"/>
      <x:c r="AM464" s="121"/>
      <x:c r="AN464" s="122"/>
      <x:c r="AO464" s="120"/>
      <x:c r="AP464" s="122"/>
    </x:row>
    <x:row r="465" ht="15.75" customHeight="1">
      <x:c r="K465" s="120"/>
      <x:c r="M465" s="120"/>
      <x:c r="N465" s="121"/>
      <x:c r="P465" s="120"/>
      <x:c r="R465" s="120"/>
      <x:c r="S465" s="121"/>
      <x:c r="T465" s="122"/>
      <x:c r="U465" s="120"/>
      <x:c r="V465" s="122"/>
      <x:c r="W465" s="120"/>
      <x:c r="X465" s="121"/>
      <x:c r="Y465" s="122"/>
      <x:c r="Z465" s="120"/>
      <x:c r="AA465" s="122"/>
      <x:c r="AB465" s="120"/>
      <x:c r="AC465" s="121"/>
      <x:c r="AD465" s="122"/>
      <x:c r="AE465" s="120"/>
      <x:c r="AF465" s="122"/>
      <x:c r="AG465" s="120"/>
      <x:c r="AH465" s="121"/>
      <x:c r="AI465" s="122"/>
      <x:c r="AJ465" s="120"/>
      <x:c r="AK465" s="122"/>
      <x:c r="AL465" s="120"/>
      <x:c r="AM465" s="121"/>
      <x:c r="AN465" s="122"/>
      <x:c r="AO465" s="120"/>
      <x:c r="AP465" s="122"/>
    </x:row>
    <x:row r="466" ht="15.75" customHeight="1">
      <x:c r="K466" s="120"/>
      <x:c r="M466" s="120"/>
      <x:c r="N466" s="121"/>
      <x:c r="P466" s="120"/>
      <x:c r="R466" s="120"/>
      <x:c r="S466" s="121"/>
      <x:c r="T466" s="122"/>
      <x:c r="U466" s="120"/>
      <x:c r="V466" s="122"/>
      <x:c r="W466" s="120"/>
      <x:c r="X466" s="121"/>
      <x:c r="Y466" s="122"/>
      <x:c r="Z466" s="120"/>
      <x:c r="AA466" s="122"/>
      <x:c r="AB466" s="120"/>
      <x:c r="AC466" s="121"/>
      <x:c r="AD466" s="122"/>
      <x:c r="AE466" s="120"/>
      <x:c r="AF466" s="122"/>
      <x:c r="AG466" s="120"/>
      <x:c r="AH466" s="121"/>
      <x:c r="AI466" s="122"/>
      <x:c r="AJ466" s="120"/>
      <x:c r="AK466" s="122"/>
      <x:c r="AL466" s="120"/>
      <x:c r="AM466" s="121"/>
      <x:c r="AN466" s="122"/>
      <x:c r="AO466" s="120"/>
      <x:c r="AP466" s="122"/>
    </x:row>
    <x:row r="467" ht="15.75" customHeight="1">
      <x:c r="K467" s="120"/>
      <x:c r="M467" s="120"/>
      <x:c r="N467" s="121"/>
      <x:c r="P467" s="120"/>
      <x:c r="R467" s="120"/>
      <x:c r="S467" s="121"/>
      <x:c r="T467" s="122"/>
      <x:c r="U467" s="120"/>
      <x:c r="V467" s="122"/>
      <x:c r="W467" s="120"/>
      <x:c r="X467" s="121"/>
      <x:c r="Y467" s="122"/>
      <x:c r="Z467" s="120"/>
      <x:c r="AA467" s="122"/>
      <x:c r="AB467" s="120"/>
      <x:c r="AC467" s="121"/>
      <x:c r="AD467" s="122"/>
      <x:c r="AE467" s="120"/>
      <x:c r="AF467" s="122"/>
      <x:c r="AG467" s="120"/>
      <x:c r="AH467" s="121"/>
      <x:c r="AI467" s="122"/>
      <x:c r="AJ467" s="120"/>
      <x:c r="AK467" s="122"/>
      <x:c r="AL467" s="120"/>
      <x:c r="AM467" s="121"/>
      <x:c r="AN467" s="122"/>
      <x:c r="AO467" s="120"/>
      <x:c r="AP467" s="122"/>
    </x:row>
    <x:row r="468" ht="15.75" customHeight="1">
      <x:c r="K468" s="120"/>
      <x:c r="M468" s="120"/>
      <x:c r="N468" s="121"/>
      <x:c r="P468" s="120"/>
      <x:c r="R468" s="120"/>
      <x:c r="S468" s="121"/>
      <x:c r="T468" s="122"/>
      <x:c r="U468" s="120"/>
      <x:c r="V468" s="122"/>
      <x:c r="W468" s="120"/>
      <x:c r="X468" s="121"/>
      <x:c r="Y468" s="122"/>
      <x:c r="Z468" s="120"/>
      <x:c r="AA468" s="122"/>
      <x:c r="AB468" s="120"/>
      <x:c r="AC468" s="121"/>
      <x:c r="AD468" s="122"/>
      <x:c r="AE468" s="120"/>
      <x:c r="AF468" s="122"/>
      <x:c r="AG468" s="120"/>
      <x:c r="AH468" s="121"/>
      <x:c r="AI468" s="122"/>
      <x:c r="AJ468" s="120"/>
      <x:c r="AK468" s="122"/>
      <x:c r="AL468" s="120"/>
      <x:c r="AM468" s="121"/>
      <x:c r="AN468" s="122"/>
      <x:c r="AO468" s="120"/>
      <x:c r="AP468" s="122"/>
    </x:row>
    <x:row r="469" ht="15.75" customHeight="1">
      <x:c r="K469" s="120"/>
      <x:c r="M469" s="120"/>
      <x:c r="N469" s="121"/>
      <x:c r="P469" s="120"/>
      <x:c r="R469" s="120"/>
      <x:c r="S469" s="121"/>
      <x:c r="T469" s="122"/>
      <x:c r="U469" s="120"/>
      <x:c r="V469" s="122"/>
      <x:c r="W469" s="120"/>
      <x:c r="X469" s="121"/>
      <x:c r="Y469" s="122"/>
      <x:c r="Z469" s="120"/>
      <x:c r="AA469" s="122"/>
      <x:c r="AB469" s="120"/>
      <x:c r="AC469" s="121"/>
      <x:c r="AD469" s="122"/>
      <x:c r="AE469" s="120"/>
      <x:c r="AF469" s="122"/>
      <x:c r="AG469" s="120"/>
      <x:c r="AH469" s="121"/>
      <x:c r="AI469" s="122"/>
      <x:c r="AJ469" s="120"/>
      <x:c r="AK469" s="122"/>
      <x:c r="AL469" s="120"/>
      <x:c r="AM469" s="121"/>
      <x:c r="AN469" s="122"/>
      <x:c r="AO469" s="120"/>
      <x:c r="AP469" s="122"/>
    </x:row>
    <x:row r="470" ht="15.75" customHeight="1">
      <x:c r="K470" s="120"/>
      <x:c r="M470" s="120"/>
      <x:c r="N470" s="121"/>
      <x:c r="P470" s="120"/>
      <x:c r="R470" s="120"/>
      <x:c r="S470" s="121"/>
      <x:c r="T470" s="122"/>
      <x:c r="U470" s="120"/>
      <x:c r="V470" s="122"/>
      <x:c r="W470" s="120"/>
      <x:c r="X470" s="121"/>
      <x:c r="Y470" s="122"/>
      <x:c r="Z470" s="120"/>
      <x:c r="AA470" s="122"/>
      <x:c r="AB470" s="120"/>
      <x:c r="AC470" s="121"/>
      <x:c r="AD470" s="122"/>
      <x:c r="AE470" s="120"/>
      <x:c r="AF470" s="122"/>
      <x:c r="AG470" s="120"/>
      <x:c r="AH470" s="121"/>
      <x:c r="AI470" s="122"/>
      <x:c r="AJ470" s="120"/>
      <x:c r="AK470" s="122"/>
      <x:c r="AL470" s="120"/>
      <x:c r="AM470" s="121"/>
      <x:c r="AN470" s="122"/>
      <x:c r="AO470" s="120"/>
      <x:c r="AP470" s="122"/>
    </x:row>
    <x:row r="471" ht="15.75" customHeight="1">
      <x:c r="K471" s="120"/>
      <x:c r="M471" s="120"/>
      <x:c r="N471" s="121"/>
      <x:c r="P471" s="120"/>
      <x:c r="R471" s="120"/>
      <x:c r="S471" s="121"/>
      <x:c r="T471" s="122"/>
      <x:c r="U471" s="120"/>
      <x:c r="V471" s="122"/>
      <x:c r="W471" s="120"/>
      <x:c r="X471" s="121"/>
      <x:c r="Y471" s="122"/>
      <x:c r="Z471" s="120"/>
      <x:c r="AA471" s="122"/>
      <x:c r="AB471" s="120"/>
      <x:c r="AC471" s="121"/>
      <x:c r="AD471" s="122"/>
      <x:c r="AE471" s="120"/>
      <x:c r="AF471" s="122"/>
      <x:c r="AG471" s="120"/>
      <x:c r="AH471" s="121"/>
      <x:c r="AI471" s="122"/>
      <x:c r="AJ471" s="120"/>
      <x:c r="AK471" s="122"/>
      <x:c r="AL471" s="120"/>
      <x:c r="AM471" s="121"/>
      <x:c r="AN471" s="122"/>
      <x:c r="AO471" s="120"/>
      <x:c r="AP471" s="122"/>
    </x:row>
    <x:row r="472" ht="15.75" customHeight="1">
      <x:c r="K472" s="120"/>
      <x:c r="M472" s="120"/>
      <x:c r="N472" s="121"/>
      <x:c r="P472" s="120"/>
      <x:c r="R472" s="120"/>
      <x:c r="S472" s="121"/>
      <x:c r="T472" s="122"/>
      <x:c r="U472" s="120"/>
      <x:c r="V472" s="122"/>
      <x:c r="W472" s="120"/>
      <x:c r="X472" s="121"/>
      <x:c r="Y472" s="122"/>
      <x:c r="Z472" s="120"/>
      <x:c r="AA472" s="122"/>
      <x:c r="AB472" s="120"/>
      <x:c r="AC472" s="121"/>
      <x:c r="AD472" s="122"/>
      <x:c r="AE472" s="120"/>
      <x:c r="AF472" s="122"/>
      <x:c r="AG472" s="120"/>
      <x:c r="AH472" s="121"/>
      <x:c r="AI472" s="122"/>
      <x:c r="AJ472" s="120"/>
      <x:c r="AK472" s="122"/>
      <x:c r="AL472" s="120"/>
      <x:c r="AM472" s="121"/>
      <x:c r="AN472" s="122"/>
      <x:c r="AO472" s="120"/>
      <x:c r="AP472" s="122"/>
    </x:row>
    <x:row r="473" ht="15.75" customHeight="1">
      <x:c r="K473" s="120"/>
      <x:c r="M473" s="120"/>
      <x:c r="N473" s="121"/>
      <x:c r="P473" s="120"/>
      <x:c r="R473" s="120"/>
      <x:c r="S473" s="121"/>
      <x:c r="T473" s="122"/>
      <x:c r="U473" s="120"/>
      <x:c r="V473" s="122"/>
      <x:c r="W473" s="120"/>
      <x:c r="X473" s="121"/>
      <x:c r="Y473" s="122"/>
      <x:c r="Z473" s="120"/>
      <x:c r="AA473" s="122"/>
      <x:c r="AB473" s="120"/>
      <x:c r="AC473" s="121"/>
      <x:c r="AD473" s="122"/>
      <x:c r="AE473" s="120"/>
      <x:c r="AF473" s="122"/>
      <x:c r="AG473" s="120"/>
      <x:c r="AH473" s="121"/>
      <x:c r="AI473" s="122"/>
      <x:c r="AJ473" s="120"/>
      <x:c r="AK473" s="122"/>
      <x:c r="AL473" s="120"/>
      <x:c r="AM473" s="121"/>
      <x:c r="AN473" s="122"/>
      <x:c r="AO473" s="120"/>
      <x:c r="AP473" s="122"/>
    </x:row>
    <x:row r="474" ht="15.75" customHeight="1">
      <x:c r="K474" s="120"/>
      <x:c r="M474" s="120"/>
      <x:c r="N474" s="121"/>
      <x:c r="P474" s="120"/>
      <x:c r="R474" s="120"/>
      <x:c r="S474" s="121"/>
      <x:c r="T474" s="122"/>
      <x:c r="U474" s="120"/>
      <x:c r="V474" s="122"/>
      <x:c r="W474" s="120"/>
      <x:c r="X474" s="121"/>
      <x:c r="Y474" s="122"/>
      <x:c r="Z474" s="120"/>
      <x:c r="AA474" s="122"/>
      <x:c r="AB474" s="120"/>
      <x:c r="AC474" s="121"/>
      <x:c r="AD474" s="122"/>
      <x:c r="AE474" s="120"/>
      <x:c r="AF474" s="122"/>
      <x:c r="AG474" s="120"/>
      <x:c r="AH474" s="121"/>
      <x:c r="AI474" s="122"/>
      <x:c r="AJ474" s="120"/>
      <x:c r="AK474" s="122"/>
      <x:c r="AL474" s="120"/>
      <x:c r="AM474" s="121"/>
      <x:c r="AN474" s="122"/>
      <x:c r="AO474" s="120"/>
      <x:c r="AP474" s="122"/>
    </x:row>
    <x:row r="475" ht="15.75" customHeight="1">
      <x:c r="K475" s="120"/>
      <x:c r="M475" s="120"/>
      <x:c r="N475" s="121"/>
      <x:c r="P475" s="120"/>
      <x:c r="R475" s="120"/>
      <x:c r="S475" s="121"/>
      <x:c r="T475" s="122"/>
      <x:c r="U475" s="120"/>
      <x:c r="V475" s="122"/>
      <x:c r="W475" s="120"/>
      <x:c r="X475" s="121"/>
      <x:c r="Y475" s="122"/>
      <x:c r="Z475" s="120"/>
      <x:c r="AA475" s="122"/>
      <x:c r="AB475" s="120"/>
      <x:c r="AC475" s="121"/>
      <x:c r="AD475" s="122"/>
      <x:c r="AE475" s="120"/>
      <x:c r="AF475" s="122"/>
      <x:c r="AG475" s="120"/>
      <x:c r="AH475" s="121"/>
      <x:c r="AI475" s="122"/>
      <x:c r="AJ475" s="120"/>
      <x:c r="AK475" s="122"/>
      <x:c r="AL475" s="120"/>
      <x:c r="AM475" s="121"/>
      <x:c r="AN475" s="122"/>
      <x:c r="AO475" s="120"/>
      <x:c r="AP475" s="122"/>
    </x:row>
    <x:row r="476" ht="15.75" customHeight="1">
      <x:c r="K476" s="120"/>
      <x:c r="M476" s="120"/>
      <x:c r="N476" s="121"/>
      <x:c r="P476" s="120"/>
      <x:c r="R476" s="120"/>
      <x:c r="S476" s="121"/>
      <x:c r="T476" s="122"/>
      <x:c r="U476" s="120"/>
      <x:c r="V476" s="122"/>
      <x:c r="W476" s="120"/>
      <x:c r="X476" s="121"/>
      <x:c r="Y476" s="122"/>
      <x:c r="Z476" s="120"/>
      <x:c r="AA476" s="122"/>
      <x:c r="AB476" s="120"/>
      <x:c r="AC476" s="121"/>
      <x:c r="AD476" s="122"/>
      <x:c r="AE476" s="120"/>
      <x:c r="AF476" s="122"/>
      <x:c r="AG476" s="120"/>
      <x:c r="AH476" s="121"/>
      <x:c r="AI476" s="122"/>
      <x:c r="AJ476" s="120"/>
      <x:c r="AK476" s="122"/>
      <x:c r="AL476" s="120"/>
      <x:c r="AM476" s="121"/>
      <x:c r="AN476" s="122"/>
      <x:c r="AO476" s="120"/>
      <x:c r="AP476" s="122"/>
    </x:row>
    <x:row r="477" ht="15.75" customHeight="1">
      <x:c r="K477" s="120"/>
      <x:c r="M477" s="120"/>
      <x:c r="N477" s="121"/>
      <x:c r="P477" s="120"/>
      <x:c r="R477" s="120"/>
      <x:c r="S477" s="121"/>
      <x:c r="T477" s="122"/>
      <x:c r="U477" s="120"/>
      <x:c r="V477" s="122"/>
      <x:c r="W477" s="120"/>
      <x:c r="X477" s="121"/>
      <x:c r="Y477" s="122"/>
      <x:c r="Z477" s="120"/>
      <x:c r="AA477" s="122"/>
      <x:c r="AB477" s="120"/>
      <x:c r="AC477" s="121"/>
      <x:c r="AD477" s="122"/>
      <x:c r="AE477" s="120"/>
      <x:c r="AF477" s="122"/>
      <x:c r="AG477" s="120"/>
      <x:c r="AH477" s="121"/>
      <x:c r="AI477" s="122"/>
      <x:c r="AJ477" s="120"/>
      <x:c r="AK477" s="122"/>
      <x:c r="AL477" s="120"/>
      <x:c r="AM477" s="121"/>
      <x:c r="AN477" s="122"/>
      <x:c r="AO477" s="120"/>
      <x:c r="AP477" s="122"/>
    </x:row>
    <x:row r="478" ht="15.75" customHeight="1">
      <x:c r="K478" s="120"/>
      <x:c r="M478" s="120"/>
      <x:c r="N478" s="121"/>
      <x:c r="P478" s="120"/>
      <x:c r="R478" s="120"/>
      <x:c r="S478" s="121"/>
      <x:c r="T478" s="122"/>
      <x:c r="U478" s="120"/>
      <x:c r="V478" s="122"/>
      <x:c r="W478" s="120"/>
      <x:c r="X478" s="121"/>
      <x:c r="Y478" s="122"/>
      <x:c r="Z478" s="120"/>
      <x:c r="AA478" s="122"/>
      <x:c r="AB478" s="120"/>
      <x:c r="AC478" s="121"/>
      <x:c r="AD478" s="122"/>
      <x:c r="AE478" s="120"/>
      <x:c r="AF478" s="122"/>
      <x:c r="AG478" s="120"/>
      <x:c r="AH478" s="121"/>
      <x:c r="AI478" s="122"/>
      <x:c r="AJ478" s="120"/>
      <x:c r="AK478" s="122"/>
      <x:c r="AL478" s="120"/>
      <x:c r="AM478" s="121"/>
      <x:c r="AN478" s="122"/>
      <x:c r="AO478" s="120"/>
      <x:c r="AP478" s="122"/>
    </x:row>
    <x:row r="479" ht="15.75" customHeight="1">
      <x:c r="K479" s="120"/>
      <x:c r="M479" s="120"/>
      <x:c r="N479" s="121"/>
      <x:c r="P479" s="120"/>
      <x:c r="R479" s="120"/>
      <x:c r="S479" s="121"/>
      <x:c r="T479" s="122"/>
      <x:c r="U479" s="120"/>
      <x:c r="V479" s="122"/>
      <x:c r="W479" s="120"/>
      <x:c r="X479" s="121"/>
      <x:c r="Y479" s="122"/>
      <x:c r="Z479" s="120"/>
      <x:c r="AA479" s="122"/>
      <x:c r="AB479" s="120"/>
      <x:c r="AC479" s="121"/>
      <x:c r="AD479" s="122"/>
      <x:c r="AE479" s="120"/>
      <x:c r="AF479" s="122"/>
      <x:c r="AG479" s="120"/>
      <x:c r="AH479" s="121"/>
      <x:c r="AI479" s="122"/>
      <x:c r="AJ479" s="120"/>
      <x:c r="AK479" s="122"/>
      <x:c r="AL479" s="120"/>
      <x:c r="AM479" s="121"/>
      <x:c r="AN479" s="122"/>
      <x:c r="AO479" s="120"/>
      <x:c r="AP479" s="122"/>
    </x:row>
    <x:row r="480" ht="15.75" customHeight="1">
      <x:c r="K480" s="120"/>
      <x:c r="M480" s="120"/>
      <x:c r="N480" s="121"/>
      <x:c r="P480" s="120"/>
      <x:c r="R480" s="120"/>
      <x:c r="S480" s="121"/>
      <x:c r="T480" s="122"/>
      <x:c r="U480" s="120"/>
      <x:c r="V480" s="122"/>
      <x:c r="W480" s="120"/>
      <x:c r="X480" s="121"/>
      <x:c r="Y480" s="122"/>
      <x:c r="Z480" s="120"/>
      <x:c r="AA480" s="122"/>
      <x:c r="AB480" s="120"/>
      <x:c r="AC480" s="121"/>
      <x:c r="AD480" s="122"/>
      <x:c r="AE480" s="120"/>
      <x:c r="AF480" s="122"/>
      <x:c r="AG480" s="120"/>
      <x:c r="AH480" s="121"/>
      <x:c r="AI480" s="122"/>
      <x:c r="AJ480" s="120"/>
      <x:c r="AK480" s="122"/>
      <x:c r="AL480" s="120"/>
      <x:c r="AM480" s="121"/>
      <x:c r="AN480" s="122"/>
      <x:c r="AO480" s="120"/>
      <x:c r="AP480" s="122"/>
    </x:row>
    <x:row r="481" ht="15.75" customHeight="1">
      <x:c r="K481" s="120"/>
      <x:c r="M481" s="120"/>
      <x:c r="N481" s="121"/>
      <x:c r="P481" s="120"/>
      <x:c r="R481" s="120"/>
      <x:c r="S481" s="121"/>
      <x:c r="T481" s="122"/>
      <x:c r="U481" s="120"/>
      <x:c r="V481" s="122"/>
      <x:c r="W481" s="120"/>
      <x:c r="X481" s="121"/>
      <x:c r="Y481" s="122"/>
      <x:c r="Z481" s="120"/>
      <x:c r="AA481" s="122"/>
      <x:c r="AB481" s="120"/>
      <x:c r="AC481" s="121"/>
      <x:c r="AD481" s="122"/>
      <x:c r="AE481" s="120"/>
      <x:c r="AF481" s="122"/>
      <x:c r="AG481" s="120"/>
      <x:c r="AH481" s="121"/>
      <x:c r="AI481" s="122"/>
      <x:c r="AJ481" s="120"/>
      <x:c r="AK481" s="122"/>
      <x:c r="AL481" s="120"/>
      <x:c r="AM481" s="121"/>
      <x:c r="AN481" s="122"/>
      <x:c r="AO481" s="120"/>
      <x:c r="AP481" s="122"/>
    </x:row>
    <x:row r="482" ht="15.75" customHeight="1">
      <x:c r="K482" s="120"/>
      <x:c r="M482" s="120"/>
      <x:c r="N482" s="121"/>
      <x:c r="P482" s="120"/>
      <x:c r="R482" s="120"/>
      <x:c r="S482" s="121"/>
      <x:c r="T482" s="122"/>
      <x:c r="U482" s="120"/>
      <x:c r="V482" s="122"/>
      <x:c r="W482" s="120"/>
      <x:c r="X482" s="121"/>
      <x:c r="Y482" s="122"/>
      <x:c r="Z482" s="120"/>
      <x:c r="AA482" s="122"/>
      <x:c r="AB482" s="120"/>
      <x:c r="AC482" s="121"/>
      <x:c r="AD482" s="122"/>
      <x:c r="AE482" s="120"/>
      <x:c r="AF482" s="122"/>
      <x:c r="AG482" s="120"/>
      <x:c r="AH482" s="121"/>
      <x:c r="AI482" s="122"/>
      <x:c r="AJ482" s="120"/>
      <x:c r="AK482" s="122"/>
      <x:c r="AL482" s="120"/>
      <x:c r="AM482" s="121"/>
      <x:c r="AN482" s="122"/>
      <x:c r="AO482" s="120"/>
      <x:c r="AP482" s="122"/>
    </x:row>
    <x:row r="483" ht="15.75" customHeight="1">
      <x:c r="K483" s="120"/>
      <x:c r="M483" s="120"/>
      <x:c r="N483" s="121"/>
      <x:c r="P483" s="120"/>
      <x:c r="R483" s="120"/>
      <x:c r="S483" s="121"/>
      <x:c r="T483" s="122"/>
      <x:c r="U483" s="120"/>
      <x:c r="V483" s="122"/>
      <x:c r="W483" s="120"/>
      <x:c r="X483" s="121"/>
      <x:c r="Y483" s="122"/>
      <x:c r="Z483" s="120"/>
      <x:c r="AA483" s="122"/>
      <x:c r="AB483" s="120"/>
      <x:c r="AC483" s="121"/>
      <x:c r="AD483" s="122"/>
      <x:c r="AE483" s="120"/>
      <x:c r="AF483" s="122"/>
      <x:c r="AG483" s="120"/>
      <x:c r="AH483" s="121"/>
      <x:c r="AI483" s="122"/>
      <x:c r="AJ483" s="120"/>
      <x:c r="AK483" s="122"/>
      <x:c r="AL483" s="120"/>
      <x:c r="AM483" s="121"/>
      <x:c r="AN483" s="122"/>
      <x:c r="AO483" s="120"/>
      <x:c r="AP483" s="122"/>
    </x:row>
    <x:row r="484" ht="15.75" customHeight="1">
      <x:c r="K484" s="120"/>
      <x:c r="M484" s="120"/>
      <x:c r="N484" s="121"/>
      <x:c r="P484" s="120"/>
      <x:c r="R484" s="120"/>
      <x:c r="S484" s="121"/>
      <x:c r="T484" s="122"/>
      <x:c r="U484" s="120"/>
      <x:c r="V484" s="122"/>
      <x:c r="W484" s="120"/>
      <x:c r="X484" s="121"/>
      <x:c r="Y484" s="122"/>
      <x:c r="Z484" s="120"/>
      <x:c r="AA484" s="122"/>
      <x:c r="AB484" s="120"/>
      <x:c r="AC484" s="121"/>
      <x:c r="AD484" s="122"/>
      <x:c r="AE484" s="120"/>
      <x:c r="AF484" s="122"/>
      <x:c r="AG484" s="120"/>
      <x:c r="AH484" s="121"/>
      <x:c r="AI484" s="122"/>
      <x:c r="AJ484" s="120"/>
      <x:c r="AK484" s="122"/>
      <x:c r="AL484" s="120"/>
      <x:c r="AM484" s="121"/>
      <x:c r="AN484" s="122"/>
      <x:c r="AO484" s="120"/>
      <x:c r="AP484" s="122"/>
    </x:row>
    <x:row r="485" ht="15.75" customHeight="1">
      <x:c r="K485" s="120"/>
      <x:c r="M485" s="120"/>
      <x:c r="N485" s="121"/>
      <x:c r="P485" s="120"/>
      <x:c r="R485" s="120"/>
      <x:c r="S485" s="121"/>
      <x:c r="T485" s="122"/>
      <x:c r="U485" s="120"/>
      <x:c r="V485" s="122"/>
      <x:c r="W485" s="120"/>
      <x:c r="X485" s="121"/>
      <x:c r="Y485" s="122"/>
      <x:c r="Z485" s="120"/>
      <x:c r="AA485" s="122"/>
      <x:c r="AB485" s="120"/>
      <x:c r="AC485" s="121"/>
      <x:c r="AD485" s="122"/>
      <x:c r="AE485" s="120"/>
      <x:c r="AF485" s="122"/>
      <x:c r="AG485" s="120"/>
      <x:c r="AH485" s="121"/>
      <x:c r="AI485" s="122"/>
      <x:c r="AJ485" s="120"/>
      <x:c r="AK485" s="122"/>
      <x:c r="AL485" s="120"/>
      <x:c r="AM485" s="121"/>
      <x:c r="AN485" s="122"/>
      <x:c r="AO485" s="120"/>
      <x:c r="AP485" s="122"/>
    </x:row>
    <x:row r="486" ht="15.75" customHeight="1">
      <x:c r="K486" s="120"/>
      <x:c r="M486" s="120"/>
      <x:c r="N486" s="121"/>
      <x:c r="P486" s="120"/>
      <x:c r="R486" s="120"/>
      <x:c r="S486" s="121"/>
      <x:c r="T486" s="122"/>
      <x:c r="U486" s="120"/>
      <x:c r="V486" s="122"/>
      <x:c r="W486" s="120"/>
      <x:c r="X486" s="121"/>
      <x:c r="Y486" s="122"/>
      <x:c r="Z486" s="120"/>
      <x:c r="AA486" s="122"/>
      <x:c r="AB486" s="120"/>
      <x:c r="AC486" s="121"/>
      <x:c r="AD486" s="122"/>
      <x:c r="AE486" s="120"/>
      <x:c r="AF486" s="122"/>
      <x:c r="AG486" s="120"/>
      <x:c r="AH486" s="121"/>
      <x:c r="AI486" s="122"/>
      <x:c r="AJ486" s="120"/>
      <x:c r="AK486" s="122"/>
      <x:c r="AL486" s="120"/>
      <x:c r="AM486" s="121"/>
      <x:c r="AN486" s="122"/>
      <x:c r="AO486" s="120"/>
      <x:c r="AP486" s="122"/>
    </x:row>
    <x:row r="487" ht="15.75" customHeight="1">
      <x:c r="K487" s="120"/>
      <x:c r="M487" s="120"/>
      <x:c r="N487" s="121"/>
      <x:c r="P487" s="120"/>
      <x:c r="R487" s="120"/>
      <x:c r="S487" s="121"/>
      <x:c r="T487" s="122"/>
      <x:c r="U487" s="120"/>
      <x:c r="V487" s="122"/>
      <x:c r="W487" s="120"/>
      <x:c r="X487" s="121"/>
      <x:c r="Y487" s="122"/>
      <x:c r="Z487" s="120"/>
      <x:c r="AA487" s="122"/>
      <x:c r="AB487" s="120"/>
      <x:c r="AC487" s="121"/>
      <x:c r="AD487" s="122"/>
      <x:c r="AE487" s="120"/>
      <x:c r="AF487" s="122"/>
      <x:c r="AG487" s="120"/>
      <x:c r="AH487" s="121"/>
      <x:c r="AI487" s="122"/>
      <x:c r="AJ487" s="120"/>
      <x:c r="AK487" s="122"/>
      <x:c r="AL487" s="120"/>
      <x:c r="AM487" s="121"/>
      <x:c r="AN487" s="122"/>
      <x:c r="AO487" s="120"/>
      <x:c r="AP487" s="122"/>
    </x:row>
    <x:row r="488" ht="15.75" customHeight="1">
      <x:c r="K488" s="120"/>
      <x:c r="M488" s="120"/>
      <x:c r="N488" s="121"/>
      <x:c r="P488" s="120"/>
      <x:c r="R488" s="120"/>
      <x:c r="S488" s="121"/>
      <x:c r="T488" s="122"/>
      <x:c r="U488" s="120"/>
      <x:c r="V488" s="122"/>
      <x:c r="W488" s="120"/>
      <x:c r="X488" s="121"/>
      <x:c r="Y488" s="122"/>
      <x:c r="Z488" s="120"/>
      <x:c r="AA488" s="122"/>
      <x:c r="AB488" s="120"/>
      <x:c r="AC488" s="121"/>
      <x:c r="AD488" s="122"/>
      <x:c r="AE488" s="120"/>
      <x:c r="AF488" s="122"/>
      <x:c r="AG488" s="120"/>
      <x:c r="AH488" s="121"/>
      <x:c r="AI488" s="122"/>
      <x:c r="AJ488" s="120"/>
      <x:c r="AK488" s="122"/>
      <x:c r="AL488" s="120"/>
      <x:c r="AM488" s="121"/>
      <x:c r="AN488" s="122"/>
      <x:c r="AO488" s="120"/>
      <x:c r="AP488" s="122"/>
    </x:row>
    <x:row r="489" ht="15.75" customHeight="1">
      <x:c r="K489" s="120"/>
      <x:c r="M489" s="120"/>
      <x:c r="N489" s="121"/>
      <x:c r="P489" s="120"/>
      <x:c r="R489" s="120"/>
      <x:c r="S489" s="121"/>
      <x:c r="T489" s="122"/>
      <x:c r="U489" s="120"/>
      <x:c r="V489" s="122"/>
      <x:c r="W489" s="120"/>
      <x:c r="X489" s="121"/>
      <x:c r="Y489" s="122"/>
      <x:c r="Z489" s="120"/>
      <x:c r="AA489" s="122"/>
      <x:c r="AB489" s="120"/>
      <x:c r="AC489" s="121"/>
      <x:c r="AD489" s="122"/>
      <x:c r="AE489" s="120"/>
      <x:c r="AF489" s="122"/>
      <x:c r="AG489" s="120"/>
      <x:c r="AH489" s="121"/>
      <x:c r="AI489" s="122"/>
      <x:c r="AJ489" s="120"/>
      <x:c r="AK489" s="122"/>
      <x:c r="AL489" s="120"/>
      <x:c r="AM489" s="121"/>
      <x:c r="AN489" s="122"/>
      <x:c r="AO489" s="120"/>
      <x:c r="AP489" s="122"/>
    </x:row>
    <x:row r="490" ht="15.75" customHeight="1">
      <x:c r="K490" s="120"/>
      <x:c r="M490" s="120"/>
      <x:c r="N490" s="121"/>
      <x:c r="P490" s="120"/>
      <x:c r="R490" s="120"/>
      <x:c r="S490" s="121"/>
      <x:c r="T490" s="122"/>
      <x:c r="U490" s="120"/>
      <x:c r="V490" s="122"/>
      <x:c r="W490" s="120"/>
      <x:c r="X490" s="121"/>
      <x:c r="Y490" s="122"/>
      <x:c r="Z490" s="120"/>
      <x:c r="AA490" s="122"/>
      <x:c r="AB490" s="120"/>
      <x:c r="AC490" s="121"/>
      <x:c r="AD490" s="122"/>
      <x:c r="AE490" s="120"/>
      <x:c r="AF490" s="122"/>
      <x:c r="AG490" s="120"/>
      <x:c r="AH490" s="121"/>
      <x:c r="AI490" s="122"/>
      <x:c r="AJ490" s="120"/>
      <x:c r="AK490" s="122"/>
      <x:c r="AL490" s="120"/>
      <x:c r="AM490" s="121"/>
      <x:c r="AN490" s="122"/>
      <x:c r="AO490" s="120"/>
      <x:c r="AP490" s="122"/>
    </x:row>
    <x:row r="491" ht="15.75" customHeight="1">
      <x:c r="K491" s="120"/>
      <x:c r="M491" s="120"/>
      <x:c r="N491" s="121"/>
      <x:c r="P491" s="120"/>
      <x:c r="R491" s="120"/>
      <x:c r="S491" s="121"/>
      <x:c r="T491" s="122"/>
      <x:c r="U491" s="120"/>
      <x:c r="V491" s="122"/>
      <x:c r="W491" s="120"/>
      <x:c r="X491" s="121"/>
      <x:c r="Y491" s="122"/>
      <x:c r="Z491" s="120"/>
      <x:c r="AA491" s="122"/>
      <x:c r="AB491" s="120"/>
      <x:c r="AC491" s="121"/>
      <x:c r="AD491" s="122"/>
      <x:c r="AE491" s="120"/>
      <x:c r="AF491" s="122"/>
      <x:c r="AG491" s="120"/>
      <x:c r="AH491" s="121"/>
      <x:c r="AI491" s="122"/>
      <x:c r="AJ491" s="120"/>
      <x:c r="AK491" s="122"/>
      <x:c r="AL491" s="120"/>
      <x:c r="AM491" s="121"/>
      <x:c r="AN491" s="122"/>
      <x:c r="AO491" s="120"/>
      <x:c r="AP491" s="122"/>
    </x:row>
    <x:row r="492" ht="15.75" customHeight="1">
      <x:c r="K492" s="120"/>
      <x:c r="M492" s="120"/>
      <x:c r="N492" s="121"/>
      <x:c r="P492" s="120"/>
      <x:c r="R492" s="120"/>
      <x:c r="S492" s="121"/>
      <x:c r="T492" s="122"/>
      <x:c r="U492" s="120"/>
      <x:c r="V492" s="122"/>
      <x:c r="W492" s="120"/>
      <x:c r="X492" s="121"/>
      <x:c r="Y492" s="122"/>
      <x:c r="Z492" s="120"/>
      <x:c r="AA492" s="122"/>
      <x:c r="AB492" s="120"/>
      <x:c r="AC492" s="121"/>
      <x:c r="AD492" s="122"/>
      <x:c r="AE492" s="120"/>
      <x:c r="AF492" s="122"/>
      <x:c r="AG492" s="120"/>
      <x:c r="AH492" s="121"/>
      <x:c r="AI492" s="122"/>
      <x:c r="AJ492" s="120"/>
      <x:c r="AK492" s="122"/>
      <x:c r="AL492" s="120"/>
      <x:c r="AM492" s="121"/>
      <x:c r="AN492" s="122"/>
      <x:c r="AO492" s="120"/>
      <x:c r="AP492" s="122"/>
    </x:row>
    <x:row r="493" ht="15.75" customHeight="1">
      <x:c r="K493" s="120"/>
      <x:c r="M493" s="120"/>
      <x:c r="N493" s="121"/>
      <x:c r="P493" s="120"/>
      <x:c r="R493" s="120"/>
      <x:c r="S493" s="121"/>
      <x:c r="T493" s="122"/>
      <x:c r="U493" s="120"/>
      <x:c r="V493" s="122"/>
      <x:c r="W493" s="120"/>
      <x:c r="X493" s="121"/>
      <x:c r="Y493" s="122"/>
      <x:c r="Z493" s="120"/>
      <x:c r="AA493" s="122"/>
      <x:c r="AB493" s="120"/>
      <x:c r="AC493" s="121"/>
      <x:c r="AD493" s="122"/>
      <x:c r="AE493" s="120"/>
      <x:c r="AF493" s="122"/>
      <x:c r="AG493" s="120"/>
      <x:c r="AH493" s="121"/>
      <x:c r="AI493" s="122"/>
      <x:c r="AJ493" s="120"/>
      <x:c r="AK493" s="122"/>
      <x:c r="AL493" s="120"/>
      <x:c r="AM493" s="121"/>
      <x:c r="AN493" s="122"/>
      <x:c r="AO493" s="120"/>
      <x:c r="AP493" s="122"/>
    </x:row>
    <x:row r="494" ht="15.75" customHeight="1">
      <x:c r="K494" s="120"/>
      <x:c r="M494" s="120"/>
      <x:c r="N494" s="121"/>
      <x:c r="P494" s="120"/>
      <x:c r="R494" s="120"/>
      <x:c r="S494" s="121"/>
      <x:c r="T494" s="122"/>
      <x:c r="U494" s="120"/>
      <x:c r="V494" s="122"/>
      <x:c r="W494" s="120"/>
      <x:c r="X494" s="121"/>
      <x:c r="Y494" s="122"/>
      <x:c r="Z494" s="120"/>
      <x:c r="AA494" s="122"/>
      <x:c r="AB494" s="120"/>
      <x:c r="AC494" s="121"/>
      <x:c r="AD494" s="122"/>
      <x:c r="AE494" s="120"/>
      <x:c r="AF494" s="122"/>
      <x:c r="AG494" s="120"/>
      <x:c r="AH494" s="121"/>
      <x:c r="AI494" s="122"/>
      <x:c r="AJ494" s="120"/>
      <x:c r="AK494" s="122"/>
      <x:c r="AL494" s="120"/>
      <x:c r="AM494" s="121"/>
      <x:c r="AN494" s="122"/>
      <x:c r="AO494" s="120"/>
      <x:c r="AP494" s="122"/>
    </x:row>
    <x:row r="495" ht="15.75" customHeight="1">
      <x:c r="K495" s="120"/>
      <x:c r="M495" s="120"/>
      <x:c r="N495" s="121"/>
      <x:c r="P495" s="120"/>
      <x:c r="R495" s="120"/>
      <x:c r="S495" s="121"/>
      <x:c r="T495" s="122"/>
      <x:c r="U495" s="120"/>
      <x:c r="V495" s="122"/>
      <x:c r="W495" s="120"/>
      <x:c r="X495" s="121"/>
      <x:c r="Y495" s="122"/>
      <x:c r="Z495" s="120"/>
      <x:c r="AA495" s="122"/>
      <x:c r="AB495" s="120"/>
      <x:c r="AC495" s="121"/>
      <x:c r="AD495" s="122"/>
      <x:c r="AE495" s="120"/>
      <x:c r="AF495" s="122"/>
      <x:c r="AG495" s="120"/>
      <x:c r="AH495" s="121"/>
      <x:c r="AI495" s="122"/>
      <x:c r="AJ495" s="120"/>
      <x:c r="AK495" s="122"/>
      <x:c r="AL495" s="120"/>
      <x:c r="AM495" s="121"/>
      <x:c r="AN495" s="122"/>
      <x:c r="AO495" s="120"/>
      <x:c r="AP495" s="122"/>
    </x:row>
    <x:row r="496" ht="15.75" customHeight="1">
      <x:c r="K496" s="120"/>
      <x:c r="M496" s="120"/>
      <x:c r="N496" s="121"/>
      <x:c r="P496" s="120"/>
      <x:c r="R496" s="120"/>
      <x:c r="S496" s="121"/>
      <x:c r="T496" s="122"/>
      <x:c r="U496" s="120"/>
      <x:c r="V496" s="122"/>
      <x:c r="W496" s="120"/>
      <x:c r="X496" s="121"/>
      <x:c r="Y496" s="122"/>
      <x:c r="Z496" s="120"/>
      <x:c r="AA496" s="122"/>
      <x:c r="AB496" s="120"/>
      <x:c r="AC496" s="121"/>
      <x:c r="AD496" s="122"/>
      <x:c r="AE496" s="120"/>
      <x:c r="AF496" s="122"/>
      <x:c r="AG496" s="120"/>
      <x:c r="AH496" s="121"/>
      <x:c r="AI496" s="122"/>
      <x:c r="AJ496" s="120"/>
      <x:c r="AK496" s="122"/>
      <x:c r="AL496" s="120"/>
      <x:c r="AM496" s="121"/>
      <x:c r="AN496" s="122"/>
      <x:c r="AO496" s="120"/>
      <x:c r="AP496" s="122"/>
    </x:row>
    <x:row r="497" ht="15.75" customHeight="1">
      <x:c r="K497" s="120"/>
      <x:c r="M497" s="120"/>
      <x:c r="N497" s="121"/>
      <x:c r="P497" s="120"/>
      <x:c r="R497" s="120"/>
      <x:c r="S497" s="121"/>
      <x:c r="T497" s="122"/>
      <x:c r="U497" s="120"/>
      <x:c r="V497" s="122"/>
      <x:c r="W497" s="120"/>
      <x:c r="X497" s="121"/>
      <x:c r="Y497" s="122"/>
      <x:c r="Z497" s="120"/>
      <x:c r="AA497" s="122"/>
      <x:c r="AB497" s="120"/>
      <x:c r="AC497" s="121"/>
      <x:c r="AD497" s="122"/>
      <x:c r="AE497" s="120"/>
      <x:c r="AF497" s="122"/>
      <x:c r="AG497" s="120"/>
      <x:c r="AH497" s="121"/>
      <x:c r="AI497" s="122"/>
      <x:c r="AJ497" s="120"/>
      <x:c r="AK497" s="122"/>
      <x:c r="AL497" s="120"/>
      <x:c r="AM497" s="121"/>
      <x:c r="AN497" s="122"/>
      <x:c r="AO497" s="120"/>
      <x:c r="AP497" s="122"/>
    </x:row>
    <x:row r="498" ht="15.75" customHeight="1">
      <x:c r="K498" s="120"/>
      <x:c r="M498" s="120"/>
      <x:c r="N498" s="121"/>
      <x:c r="P498" s="120"/>
      <x:c r="R498" s="120"/>
      <x:c r="S498" s="121"/>
      <x:c r="T498" s="122"/>
      <x:c r="U498" s="120"/>
      <x:c r="V498" s="122"/>
      <x:c r="W498" s="120"/>
      <x:c r="X498" s="121"/>
      <x:c r="Y498" s="122"/>
      <x:c r="Z498" s="120"/>
      <x:c r="AA498" s="122"/>
      <x:c r="AB498" s="120"/>
      <x:c r="AC498" s="121"/>
      <x:c r="AD498" s="122"/>
      <x:c r="AE498" s="120"/>
      <x:c r="AF498" s="122"/>
      <x:c r="AG498" s="120"/>
      <x:c r="AH498" s="121"/>
      <x:c r="AI498" s="122"/>
      <x:c r="AJ498" s="120"/>
      <x:c r="AK498" s="122"/>
      <x:c r="AL498" s="120"/>
      <x:c r="AM498" s="121"/>
      <x:c r="AN498" s="122"/>
      <x:c r="AO498" s="120"/>
      <x:c r="AP498" s="122"/>
    </x:row>
    <x:row r="499" ht="15.75" customHeight="1">
      <x:c r="K499" s="120"/>
      <x:c r="M499" s="120"/>
      <x:c r="N499" s="121"/>
      <x:c r="P499" s="120"/>
      <x:c r="R499" s="120"/>
      <x:c r="S499" s="121"/>
      <x:c r="T499" s="122"/>
      <x:c r="U499" s="120"/>
      <x:c r="V499" s="122"/>
      <x:c r="W499" s="120"/>
      <x:c r="X499" s="121"/>
      <x:c r="Y499" s="122"/>
      <x:c r="Z499" s="120"/>
      <x:c r="AA499" s="122"/>
      <x:c r="AB499" s="120"/>
      <x:c r="AC499" s="121"/>
      <x:c r="AD499" s="122"/>
      <x:c r="AE499" s="120"/>
      <x:c r="AF499" s="122"/>
      <x:c r="AG499" s="120"/>
      <x:c r="AH499" s="121"/>
      <x:c r="AI499" s="122"/>
      <x:c r="AJ499" s="120"/>
      <x:c r="AK499" s="122"/>
      <x:c r="AL499" s="120"/>
      <x:c r="AM499" s="121"/>
      <x:c r="AN499" s="122"/>
      <x:c r="AO499" s="120"/>
      <x:c r="AP499" s="122"/>
    </x:row>
    <x:row r="500" ht="15.75" customHeight="1">
      <x:c r="K500" s="120"/>
      <x:c r="M500" s="120"/>
      <x:c r="N500" s="121"/>
      <x:c r="P500" s="120"/>
      <x:c r="R500" s="120"/>
      <x:c r="S500" s="121"/>
      <x:c r="T500" s="122"/>
      <x:c r="U500" s="120"/>
      <x:c r="V500" s="122"/>
      <x:c r="W500" s="120"/>
      <x:c r="X500" s="121"/>
      <x:c r="Y500" s="122"/>
      <x:c r="Z500" s="120"/>
      <x:c r="AA500" s="122"/>
      <x:c r="AB500" s="120"/>
      <x:c r="AC500" s="121"/>
      <x:c r="AD500" s="122"/>
      <x:c r="AE500" s="120"/>
      <x:c r="AF500" s="122"/>
      <x:c r="AG500" s="120"/>
      <x:c r="AH500" s="121"/>
      <x:c r="AI500" s="122"/>
      <x:c r="AJ500" s="120"/>
      <x:c r="AK500" s="122"/>
      <x:c r="AL500" s="120"/>
      <x:c r="AM500" s="121"/>
      <x:c r="AN500" s="122"/>
      <x:c r="AO500" s="120"/>
      <x:c r="AP500" s="122"/>
    </x:row>
    <x:row r="501" ht="15.75" customHeight="1">
      <x:c r="K501" s="120"/>
      <x:c r="M501" s="120"/>
      <x:c r="N501" s="121"/>
      <x:c r="P501" s="120"/>
      <x:c r="R501" s="120"/>
      <x:c r="S501" s="121"/>
      <x:c r="T501" s="122"/>
      <x:c r="U501" s="120"/>
      <x:c r="V501" s="122"/>
      <x:c r="W501" s="120"/>
      <x:c r="X501" s="121"/>
      <x:c r="Y501" s="122"/>
      <x:c r="Z501" s="120"/>
      <x:c r="AA501" s="122"/>
      <x:c r="AB501" s="120"/>
      <x:c r="AC501" s="121"/>
      <x:c r="AD501" s="122"/>
      <x:c r="AE501" s="120"/>
      <x:c r="AF501" s="122"/>
      <x:c r="AG501" s="120"/>
      <x:c r="AH501" s="121"/>
      <x:c r="AI501" s="122"/>
      <x:c r="AJ501" s="120"/>
      <x:c r="AK501" s="122"/>
      <x:c r="AL501" s="120"/>
      <x:c r="AM501" s="121"/>
      <x:c r="AN501" s="122"/>
      <x:c r="AO501" s="120"/>
      <x:c r="AP501" s="122"/>
    </x:row>
    <x:row r="502" ht="15.75" customHeight="1">
      <x:c r="K502" s="120"/>
      <x:c r="M502" s="120"/>
      <x:c r="N502" s="121"/>
      <x:c r="P502" s="120"/>
      <x:c r="R502" s="120"/>
      <x:c r="S502" s="121"/>
      <x:c r="T502" s="122"/>
      <x:c r="U502" s="120"/>
      <x:c r="V502" s="122"/>
      <x:c r="W502" s="120"/>
      <x:c r="X502" s="121"/>
      <x:c r="Y502" s="122"/>
      <x:c r="Z502" s="120"/>
      <x:c r="AA502" s="122"/>
      <x:c r="AB502" s="120"/>
      <x:c r="AC502" s="121"/>
      <x:c r="AD502" s="122"/>
      <x:c r="AE502" s="120"/>
      <x:c r="AF502" s="122"/>
      <x:c r="AG502" s="120"/>
      <x:c r="AH502" s="121"/>
      <x:c r="AI502" s="122"/>
      <x:c r="AJ502" s="120"/>
      <x:c r="AK502" s="122"/>
      <x:c r="AL502" s="120"/>
      <x:c r="AM502" s="121"/>
      <x:c r="AN502" s="122"/>
      <x:c r="AO502" s="120"/>
      <x:c r="AP502" s="122"/>
    </x:row>
    <x:row r="503" ht="15.75" customHeight="1">
      <x:c r="K503" s="120"/>
      <x:c r="M503" s="120"/>
      <x:c r="N503" s="121"/>
      <x:c r="P503" s="120"/>
      <x:c r="R503" s="120"/>
      <x:c r="S503" s="121"/>
      <x:c r="T503" s="122"/>
      <x:c r="U503" s="120"/>
      <x:c r="V503" s="122"/>
      <x:c r="W503" s="120"/>
      <x:c r="X503" s="121"/>
      <x:c r="Y503" s="122"/>
      <x:c r="Z503" s="120"/>
      <x:c r="AA503" s="122"/>
      <x:c r="AB503" s="120"/>
      <x:c r="AC503" s="121"/>
      <x:c r="AD503" s="122"/>
      <x:c r="AE503" s="120"/>
      <x:c r="AF503" s="122"/>
      <x:c r="AG503" s="120"/>
      <x:c r="AH503" s="121"/>
      <x:c r="AI503" s="122"/>
      <x:c r="AJ503" s="120"/>
      <x:c r="AK503" s="122"/>
      <x:c r="AL503" s="120"/>
      <x:c r="AM503" s="121"/>
      <x:c r="AN503" s="122"/>
      <x:c r="AO503" s="120"/>
      <x:c r="AP503" s="122"/>
    </x:row>
    <x:row r="504" ht="15.75" customHeight="1">
      <x:c r="K504" s="120"/>
      <x:c r="M504" s="120"/>
      <x:c r="N504" s="121"/>
      <x:c r="P504" s="120"/>
      <x:c r="R504" s="120"/>
      <x:c r="S504" s="121"/>
      <x:c r="T504" s="122"/>
      <x:c r="U504" s="120"/>
      <x:c r="V504" s="122"/>
      <x:c r="W504" s="120"/>
      <x:c r="X504" s="121"/>
      <x:c r="Y504" s="122"/>
      <x:c r="Z504" s="120"/>
      <x:c r="AA504" s="122"/>
      <x:c r="AB504" s="120"/>
      <x:c r="AC504" s="121"/>
      <x:c r="AD504" s="122"/>
      <x:c r="AE504" s="120"/>
      <x:c r="AF504" s="122"/>
      <x:c r="AG504" s="120"/>
      <x:c r="AH504" s="121"/>
      <x:c r="AI504" s="122"/>
      <x:c r="AJ504" s="120"/>
      <x:c r="AK504" s="122"/>
      <x:c r="AL504" s="120"/>
      <x:c r="AM504" s="121"/>
      <x:c r="AN504" s="122"/>
      <x:c r="AO504" s="120"/>
      <x:c r="AP504" s="122"/>
    </x:row>
    <x:row r="505" ht="15.75" customHeight="1">
      <x:c r="K505" s="120"/>
      <x:c r="M505" s="120"/>
      <x:c r="N505" s="121"/>
      <x:c r="P505" s="120"/>
      <x:c r="R505" s="120"/>
      <x:c r="S505" s="121"/>
      <x:c r="T505" s="122"/>
      <x:c r="U505" s="120"/>
      <x:c r="V505" s="122"/>
      <x:c r="W505" s="120"/>
      <x:c r="X505" s="121"/>
      <x:c r="Y505" s="122"/>
      <x:c r="Z505" s="120"/>
      <x:c r="AA505" s="122"/>
      <x:c r="AB505" s="120"/>
      <x:c r="AC505" s="121"/>
      <x:c r="AD505" s="122"/>
      <x:c r="AE505" s="120"/>
      <x:c r="AF505" s="122"/>
      <x:c r="AG505" s="120"/>
      <x:c r="AH505" s="121"/>
      <x:c r="AI505" s="122"/>
      <x:c r="AJ505" s="120"/>
      <x:c r="AK505" s="122"/>
      <x:c r="AL505" s="120"/>
      <x:c r="AM505" s="121"/>
      <x:c r="AN505" s="122"/>
      <x:c r="AO505" s="120"/>
      <x:c r="AP505" s="122"/>
    </x:row>
    <x:row r="506" ht="15.75" customHeight="1">
      <x:c r="K506" s="120"/>
      <x:c r="M506" s="120"/>
      <x:c r="N506" s="121"/>
      <x:c r="P506" s="120"/>
      <x:c r="R506" s="120"/>
      <x:c r="S506" s="121"/>
      <x:c r="T506" s="122"/>
      <x:c r="U506" s="120"/>
      <x:c r="V506" s="122"/>
      <x:c r="W506" s="120"/>
      <x:c r="X506" s="121"/>
      <x:c r="Y506" s="122"/>
      <x:c r="Z506" s="120"/>
      <x:c r="AA506" s="122"/>
      <x:c r="AB506" s="120"/>
      <x:c r="AC506" s="121"/>
      <x:c r="AD506" s="122"/>
      <x:c r="AE506" s="120"/>
      <x:c r="AF506" s="122"/>
      <x:c r="AG506" s="120"/>
      <x:c r="AH506" s="121"/>
      <x:c r="AI506" s="122"/>
      <x:c r="AJ506" s="120"/>
      <x:c r="AK506" s="122"/>
      <x:c r="AL506" s="120"/>
      <x:c r="AM506" s="121"/>
      <x:c r="AN506" s="122"/>
      <x:c r="AO506" s="120"/>
      <x:c r="AP506" s="122"/>
    </x:row>
    <x:row r="507" ht="15.75" customHeight="1">
      <x:c r="K507" s="120"/>
      <x:c r="M507" s="120"/>
      <x:c r="N507" s="121"/>
      <x:c r="P507" s="120"/>
      <x:c r="R507" s="120"/>
      <x:c r="S507" s="121"/>
      <x:c r="T507" s="122"/>
      <x:c r="U507" s="120"/>
      <x:c r="V507" s="122"/>
      <x:c r="W507" s="120"/>
      <x:c r="X507" s="121"/>
      <x:c r="Y507" s="122"/>
      <x:c r="Z507" s="120"/>
      <x:c r="AA507" s="122"/>
      <x:c r="AB507" s="120"/>
      <x:c r="AC507" s="121"/>
      <x:c r="AD507" s="122"/>
      <x:c r="AE507" s="120"/>
      <x:c r="AF507" s="122"/>
      <x:c r="AG507" s="120"/>
      <x:c r="AH507" s="121"/>
      <x:c r="AI507" s="122"/>
      <x:c r="AJ507" s="120"/>
      <x:c r="AK507" s="122"/>
      <x:c r="AL507" s="120"/>
      <x:c r="AM507" s="121"/>
      <x:c r="AN507" s="122"/>
      <x:c r="AO507" s="120"/>
      <x:c r="AP507" s="122"/>
    </x:row>
    <x:row r="508" ht="15.75" customHeight="1">
      <x:c r="K508" s="120"/>
      <x:c r="M508" s="120"/>
      <x:c r="N508" s="121"/>
      <x:c r="P508" s="120"/>
      <x:c r="R508" s="120"/>
      <x:c r="S508" s="121"/>
      <x:c r="T508" s="122"/>
      <x:c r="U508" s="120"/>
      <x:c r="V508" s="122"/>
      <x:c r="W508" s="120"/>
      <x:c r="X508" s="121"/>
      <x:c r="Y508" s="122"/>
      <x:c r="Z508" s="120"/>
      <x:c r="AA508" s="122"/>
      <x:c r="AB508" s="120"/>
      <x:c r="AC508" s="121"/>
      <x:c r="AD508" s="122"/>
      <x:c r="AE508" s="120"/>
      <x:c r="AF508" s="122"/>
      <x:c r="AG508" s="120"/>
      <x:c r="AH508" s="121"/>
      <x:c r="AI508" s="122"/>
      <x:c r="AJ508" s="120"/>
      <x:c r="AK508" s="122"/>
      <x:c r="AL508" s="120"/>
      <x:c r="AM508" s="121"/>
      <x:c r="AN508" s="122"/>
      <x:c r="AO508" s="120"/>
      <x:c r="AP508" s="122"/>
    </x:row>
    <x:row r="509" ht="15.75" customHeight="1">
      <x:c r="K509" s="120"/>
      <x:c r="M509" s="120"/>
      <x:c r="N509" s="121"/>
      <x:c r="P509" s="120"/>
      <x:c r="R509" s="120"/>
      <x:c r="S509" s="121"/>
      <x:c r="T509" s="122"/>
      <x:c r="U509" s="120"/>
      <x:c r="V509" s="122"/>
      <x:c r="W509" s="120"/>
      <x:c r="X509" s="121"/>
      <x:c r="Y509" s="122"/>
      <x:c r="Z509" s="120"/>
      <x:c r="AA509" s="122"/>
      <x:c r="AB509" s="120"/>
      <x:c r="AC509" s="121"/>
      <x:c r="AD509" s="122"/>
      <x:c r="AE509" s="120"/>
      <x:c r="AF509" s="122"/>
      <x:c r="AG509" s="120"/>
      <x:c r="AH509" s="121"/>
      <x:c r="AI509" s="122"/>
      <x:c r="AJ509" s="120"/>
      <x:c r="AK509" s="122"/>
      <x:c r="AL509" s="120"/>
      <x:c r="AM509" s="121"/>
      <x:c r="AN509" s="122"/>
      <x:c r="AO509" s="120"/>
      <x:c r="AP509" s="122"/>
    </x:row>
    <x:row r="510" ht="15.75" customHeight="1">
      <x:c r="K510" s="120"/>
      <x:c r="M510" s="120"/>
      <x:c r="N510" s="121"/>
      <x:c r="P510" s="120"/>
      <x:c r="R510" s="120"/>
      <x:c r="S510" s="121"/>
      <x:c r="T510" s="122"/>
      <x:c r="U510" s="120"/>
      <x:c r="V510" s="122"/>
      <x:c r="W510" s="120"/>
      <x:c r="X510" s="121"/>
      <x:c r="Y510" s="122"/>
      <x:c r="Z510" s="120"/>
      <x:c r="AA510" s="122"/>
      <x:c r="AB510" s="120"/>
      <x:c r="AC510" s="121"/>
      <x:c r="AD510" s="122"/>
      <x:c r="AE510" s="120"/>
      <x:c r="AF510" s="122"/>
      <x:c r="AG510" s="120"/>
      <x:c r="AH510" s="121"/>
      <x:c r="AI510" s="122"/>
      <x:c r="AJ510" s="120"/>
      <x:c r="AK510" s="122"/>
      <x:c r="AL510" s="120"/>
      <x:c r="AM510" s="121"/>
      <x:c r="AN510" s="122"/>
      <x:c r="AO510" s="120"/>
      <x:c r="AP510" s="122"/>
    </x:row>
    <x:row r="511" ht="15.75" customHeight="1">
      <x:c r="K511" s="120"/>
      <x:c r="M511" s="120"/>
      <x:c r="N511" s="121"/>
      <x:c r="P511" s="120"/>
      <x:c r="R511" s="120"/>
      <x:c r="S511" s="121"/>
      <x:c r="T511" s="122"/>
      <x:c r="U511" s="120"/>
      <x:c r="V511" s="122"/>
      <x:c r="W511" s="120"/>
      <x:c r="X511" s="121"/>
      <x:c r="Y511" s="122"/>
      <x:c r="Z511" s="120"/>
      <x:c r="AA511" s="122"/>
      <x:c r="AB511" s="120"/>
      <x:c r="AC511" s="121"/>
      <x:c r="AD511" s="122"/>
      <x:c r="AE511" s="120"/>
      <x:c r="AF511" s="122"/>
      <x:c r="AG511" s="120"/>
      <x:c r="AH511" s="121"/>
      <x:c r="AI511" s="122"/>
      <x:c r="AJ511" s="120"/>
      <x:c r="AK511" s="122"/>
      <x:c r="AL511" s="120"/>
      <x:c r="AM511" s="121"/>
      <x:c r="AN511" s="122"/>
      <x:c r="AO511" s="120"/>
      <x:c r="AP511" s="122"/>
    </x:row>
    <x:row r="512" ht="15.75" customHeight="1">
      <x:c r="K512" s="120"/>
      <x:c r="M512" s="120"/>
      <x:c r="N512" s="121"/>
      <x:c r="P512" s="120"/>
      <x:c r="R512" s="120"/>
      <x:c r="S512" s="121"/>
      <x:c r="T512" s="122"/>
      <x:c r="U512" s="120"/>
      <x:c r="V512" s="122"/>
      <x:c r="W512" s="120"/>
      <x:c r="X512" s="121"/>
      <x:c r="Y512" s="122"/>
      <x:c r="Z512" s="120"/>
      <x:c r="AA512" s="122"/>
      <x:c r="AB512" s="120"/>
      <x:c r="AC512" s="121"/>
      <x:c r="AD512" s="122"/>
      <x:c r="AE512" s="120"/>
      <x:c r="AF512" s="122"/>
      <x:c r="AG512" s="120"/>
      <x:c r="AH512" s="121"/>
      <x:c r="AI512" s="122"/>
      <x:c r="AJ512" s="120"/>
      <x:c r="AK512" s="122"/>
      <x:c r="AL512" s="120"/>
      <x:c r="AM512" s="121"/>
      <x:c r="AN512" s="122"/>
      <x:c r="AO512" s="120"/>
      <x:c r="AP512" s="122"/>
    </x:row>
    <x:row r="513" ht="15.75" customHeight="1">
      <x:c r="K513" s="120"/>
      <x:c r="M513" s="120"/>
      <x:c r="N513" s="121"/>
      <x:c r="P513" s="120"/>
      <x:c r="R513" s="120"/>
      <x:c r="S513" s="121"/>
      <x:c r="T513" s="122"/>
      <x:c r="U513" s="120"/>
      <x:c r="V513" s="122"/>
      <x:c r="W513" s="120"/>
      <x:c r="X513" s="121"/>
      <x:c r="Y513" s="122"/>
      <x:c r="Z513" s="120"/>
      <x:c r="AA513" s="122"/>
      <x:c r="AB513" s="120"/>
      <x:c r="AC513" s="121"/>
      <x:c r="AD513" s="122"/>
      <x:c r="AE513" s="120"/>
      <x:c r="AF513" s="122"/>
      <x:c r="AG513" s="120"/>
      <x:c r="AH513" s="121"/>
      <x:c r="AI513" s="122"/>
      <x:c r="AJ513" s="120"/>
      <x:c r="AK513" s="122"/>
      <x:c r="AL513" s="120"/>
      <x:c r="AM513" s="121"/>
      <x:c r="AN513" s="122"/>
      <x:c r="AO513" s="120"/>
      <x:c r="AP513" s="122"/>
    </x:row>
    <x:row r="514" ht="15.75" customHeight="1">
      <x:c r="K514" s="120"/>
      <x:c r="M514" s="120"/>
      <x:c r="N514" s="121"/>
      <x:c r="P514" s="120"/>
      <x:c r="R514" s="120"/>
      <x:c r="S514" s="121"/>
      <x:c r="T514" s="122"/>
      <x:c r="U514" s="120"/>
      <x:c r="V514" s="122"/>
      <x:c r="W514" s="120"/>
      <x:c r="X514" s="121"/>
      <x:c r="Y514" s="122"/>
      <x:c r="Z514" s="120"/>
      <x:c r="AA514" s="122"/>
      <x:c r="AB514" s="120"/>
      <x:c r="AC514" s="121"/>
      <x:c r="AD514" s="122"/>
      <x:c r="AE514" s="120"/>
      <x:c r="AF514" s="122"/>
      <x:c r="AG514" s="120"/>
      <x:c r="AH514" s="121"/>
      <x:c r="AI514" s="122"/>
      <x:c r="AJ514" s="120"/>
      <x:c r="AK514" s="122"/>
      <x:c r="AL514" s="120"/>
      <x:c r="AM514" s="121"/>
      <x:c r="AN514" s="122"/>
      <x:c r="AO514" s="120"/>
      <x:c r="AP514" s="122"/>
    </x:row>
    <x:row r="515" ht="15.75" customHeight="1">
      <x:c r="K515" s="120"/>
      <x:c r="M515" s="120"/>
      <x:c r="N515" s="121"/>
      <x:c r="P515" s="120"/>
      <x:c r="R515" s="120"/>
      <x:c r="S515" s="121"/>
      <x:c r="T515" s="122"/>
      <x:c r="U515" s="120"/>
      <x:c r="V515" s="122"/>
      <x:c r="W515" s="120"/>
      <x:c r="X515" s="121"/>
      <x:c r="Y515" s="122"/>
      <x:c r="Z515" s="120"/>
      <x:c r="AA515" s="122"/>
      <x:c r="AB515" s="120"/>
      <x:c r="AC515" s="121"/>
      <x:c r="AD515" s="122"/>
      <x:c r="AE515" s="120"/>
      <x:c r="AF515" s="122"/>
      <x:c r="AG515" s="120"/>
      <x:c r="AH515" s="121"/>
      <x:c r="AI515" s="122"/>
      <x:c r="AJ515" s="120"/>
      <x:c r="AK515" s="122"/>
      <x:c r="AL515" s="120"/>
      <x:c r="AM515" s="121"/>
      <x:c r="AN515" s="122"/>
      <x:c r="AO515" s="120"/>
      <x:c r="AP515" s="122"/>
    </x:row>
    <x:row r="516" ht="15.75" customHeight="1">
      <x:c r="K516" s="120"/>
      <x:c r="M516" s="120"/>
      <x:c r="N516" s="121"/>
      <x:c r="P516" s="120"/>
      <x:c r="R516" s="120"/>
      <x:c r="S516" s="121"/>
      <x:c r="T516" s="122"/>
      <x:c r="U516" s="120"/>
      <x:c r="V516" s="122"/>
      <x:c r="W516" s="120"/>
      <x:c r="X516" s="121"/>
      <x:c r="Y516" s="122"/>
      <x:c r="Z516" s="120"/>
      <x:c r="AA516" s="122"/>
      <x:c r="AB516" s="120"/>
      <x:c r="AC516" s="121"/>
      <x:c r="AD516" s="122"/>
      <x:c r="AE516" s="120"/>
      <x:c r="AF516" s="122"/>
      <x:c r="AG516" s="120"/>
      <x:c r="AH516" s="121"/>
      <x:c r="AI516" s="122"/>
      <x:c r="AJ516" s="120"/>
      <x:c r="AK516" s="122"/>
      <x:c r="AL516" s="120"/>
      <x:c r="AM516" s="121"/>
      <x:c r="AN516" s="122"/>
      <x:c r="AO516" s="120"/>
      <x:c r="AP516" s="122"/>
    </x:row>
    <x:row r="517" ht="15.75" customHeight="1">
      <x:c r="K517" s="120"/>
      <x:c r="M517" s="120"/>
      <x:c r="N517" s="121"/>
      <x:c r="P517" s="120"/>
      <x:c r="R517" s="120"/>
      <x:c r="S517" s="121"/>
      <x:c r="T517" s="122"/>
      <x:c r="U517" s="120"/>
      <x:c r="V517" s="122"/>
      <x:c r="W517" s="120"/>
      <x:c r="X517" s="121"/>
      <x:c r="Y517" s="122"/>
      <x:c r="Z517" s="120"/>
      <x:c r="AA517" s="122"/>
      <x:c r="AB517" s="120"/>
      <x:c r="AC517" s="121"/>
      <x:c r="AD517" s="122"/>
      <x:c r="AE517" s="120"/>
      <x:c r="AF517" s="122"/>
      <x:c r="AG517" s="120"/>
      <x:c r="AH517" s="121"/>
      <x:c r="AI517" s="122"/>
      <x:c r="AJ517" s="120"/>
      <x:c r="AK517" s="122"/>
      <x:c r="AL517" s="120"/>
      <x:c r="AM517" s="121"/>
      <x:c r="AN517" s="122"/>
      <x:c r="AO517" s="120"/>
      <x:c r="AP517" s="122"/>
    </x:row>
    <x:row r="518" ht="15.75" customHeight="1">
      <x:c r="K518" s="120"/>
      <x:c r="M518" s="120"/>
      <x:c r="N518" s="121"/>
      <x:c r="P518" s="120"/>
      <x:c r="R518" s="120"/>
      <x:c r="S518" s="121"/>
      <x:c r="T518" s="122"/>
      <x:c r="U518" s="120"/>
      <x:c r="V518" s="122"/>
      <x:c r="W518" s="120"/>
      <x:c r="X518" s="121"/>
      <x:c r="Y518" s="122"/>
      <x:c r="Z518" s="120"/>
      <x:c r="AA518" s="122"/>
      <x:c r="AB518" s="120"/>
      <x:c r="AC518" s="121"/>
      <x:c r="AD518" s="122"/>
      <x:c r="AE518" s="120"/>
      <x:c r="AF518" s="122"/>
      <x:c r="AG518" s="120"/>
      <x:c r="AH518" s="121"/>
      <x:c r="AI518" s="122"/>
      <x:c r="AJ518" s="120"/>
      <x:c r="AK518" s="122"/>
      <x:c r="AL518" s="120"/>
      <x:c r="AM518" s="121"/>
      <x:c r="AN518" s="122"/>
      <x:c r="AO518" s="120"/>
      <x:c r="AP518" s="122"/>
    </x:row>
    <x:row r="519" ht="15.75" customHeight="1">
      <x:c r="K519" s="120"/>
      <x:c r="M519" s="120"/>
      <x:c r="N519" s="121"/>
      <x:c r="P519" s="120"/>
      <x:c r="R519" s="120"/>
      <x:c r="S519" s="121"/>
      <x:c r="T519" s="122"/>
      <x:c r="U519" s="120"/>
      <x:c r="V519" s="122"/>
      <x:c r="W519" s="120"/>
      <x:c r="X519" s="121"/>
      <x:c r="Y519" s="122"/>
      <x:c r="Z519" s="120"/>
      <x:c r="AA519" s="122"/>
      <x:c r="AB519" s="120"/>
      <x:c r="AC519" s="121"/>
      <x:c r="AD519" s="122"/>
      <x:c r="AE519" s="120"/>
      <x:c r="AF519" s="122"/>
      <x:c r="AG519" s="120"/>
      <x:c r="AH519" s="121"/>
      <x:c r="AI519" s="122"/>
      <x:c r="AJ519" s="120"/>
      <x:c r="AK519" s="122"/>
      <x:c r="AL519" s="120"/>
      <x:c r="AM519" s="121"/>
      <x:c r="AN519" s="122"/>
      <x:c r="AO519" s="120"/>
      <x:c r="AP519" s="122"/>
    </x:row>
    <x:row r="520" ht="15.75" customHeight="1">
      <x:c r="K520" s="120"/>
      <x:c r="M520" s="120"/>
      <x:c r="N520" s="121"/>
      <x:c r="P520" s="120"/>
      <x:c r="R520" s="120"/>
      <x:c r="S520" s="121"/>
      <x:c r="T520" s="122"/>
      <x:c r="U520" s="120"/>
      <x:c r="V520" s="122"/>
      <x:c r="W520" s="120"/>
      <x:c r="X520" s="121"/>
      <x:c r="Y520" s="122"/>
      <x:c r="Z520" s="120"/>
      <x:c r="AA520" s="122"/>
      <x:c r="AB520" s="120"/>
      <x:c r="AC520" s="121"/>
      <x:c r="AD520" s="122"/>
      <x:c r="AE520" s="120"/>
      <x:c r="AF520" s="122"/>
      <x:c r="AG520" s="120"/>
      <x:c r="AH520" s="121"/>
      <x:c r="AI520" s="122"/>
      <x:c r="AJ520" s="120"/>
      <x:c r="AK520" s="122"/>
      <x:c r="AL520" s="120"/>
      <x:c r="AM520" s="121"/>
      <x:c r="AN520" s="122"/>
      <x:c r="AO520" s="120"/>
      <x:c r="AP520" s="122"/>
    </x:row>
    <x:row r="521" ht="15.75" customHeight="1">
      <x:c r="K521" s="120"/>
      <x:c r="M521" s="120"/>
      <x:c r="N521" s="121"/>
      <x:c r="P521" s="120"/>
      <x:c r="R521" s="120"/>
      <x:c r="S521" s="121"/>
      <x:c r="T521" s="122"/>
      <x:c r="U521" s="120"/>
      <x:c r="V521" s="122"/>
      <x:c r="W521" s="120"/>
      <x:c r="X521" s="121"/>
      <x:c r="Y521" s="122"/>
      <x:c r="Z521" s="120"/>
      <x:c r="AA521" s="122"/>
      <x:c r="AB521" s="120"/>
      <x:c r="AC521" s="121"/>
      <x:c r="AD521" s="122"/>
      <x:c r="AE521" s="120"/>
      <x:c r="AF521" s="122"/>
      <x:c r="AG521" s="120"/>
      <x:c r="AH521" s="121"/>
      <x:c r="AI521" s="122"/>
      <x:c r="AJ521" s="120"/>
      <x:c r="AK521" s="122"/>
      <x:c r="AL521" s="120"/>
      <x:c r="AM521" s="121"/>
      <x:c r="AN521" s="122"/>
      <x:c r="AO521" s="120"/>
      <x:c r="AP521" s="122"/>
    </x:row>
    <x:row r="522" ht="15.75" customHeight="1">
      <x:c r="K522" s="120"/>
      <x:c r="M522" s="120"/>
      <x:c r="N522" s="121"/>
      <x:c r="P522" s="120"/>
      <x:c r="R522" s="120"/>
      <x:c r="S522" s="121"/>
      <x:c r="T522" s="122"/>
      <x:c r="U522" s="120"/>
      <x:c r="V522" s="122"/>
      <x:c r="W522" s="120"/>
      <x:c r="X522" s="121"/>
      <x:c r="Y522" s="122"/>
      <x:c r="Z522" s="120"/>
      <x:c r="AA522" s="122"/>
      <x:c r="AB522" s="120"/>
      <x:c r="AC522" s="121"/>
      <x:c r="AD522" s="122"/>
      <x:c r="AE522" s="120"/>
      <x:c r="AF522" s="122"/>
      <x:c r="AG522" s="120"/>
      <x:c r="AH522" s="121"/>
      <x:c r="AI522" s="122"/>
      <x:c r="AJ522" s="120"/>
      <x:c r="AK522" s="122"/>
      <x:c r="AL522" s="120"/>
      <x:c r="AM522" s="121"/>
      <x:c r="AN522" s="122"/>
      <x:c r="AO522" s="120"/>
      <x:c r="AP522" s="122"/>
    </x:row>
    <x:row r="523" ht="15.75" customHeight="1">
      <x:c r="K523" s="120"/>
      <x:c r="M523" s="120"/>
      <x:c r="N523" s="121"/>
      <x:c r="P523" s="120"/>
      <x:c r="R523" s="120"/>
      <x:c r="S523" s="121"/>
      <x:c r="T523" s="122"/>
      <x:c r="U523" s="120"/>
      <x:c r="V523" s="122"/>
      <x:c r="W523" s="120"/>
      <x:c r="X523" s="121"/>
      <x:c r="Y523" s="122"/>
      <x:c r="Z523" s="120"/>
      <x:c r="AA523" s="122"/>
      <x:c r="AB523" s="120"/>
      <x:c r="AC523" s="121"/>
      <x:c r="AD523" s="122"/>
      <x:c r="AE523" s="120"/>
      <x:c r="AF523" s="122"/>
      <x:c r="AG523" s="120"/>
      <x:c r="AH523" s="121"/>
      <x:c r="AI523" s="122"/>
      <x:c r="AJ523" s="120"/>
      <x:c r="AK523" s="122"/>
      <x:c r="AL523" s="120"/>
      <x:c r="AM523" s="121"/>
      <x:c r="AN523" s="122"/>
      <x:c r="AO523" s="120"/>
      <x:c r="AP523" s="122"/>
    </x:row>
    <x:row r="524" ht="15.75" customHeight="1">
      <x:c r="K524" s="120"/>
      <x:c r="M524" s="120"/>
      <x:c r="N524" s="121"/>
      <x:c r="P524" s="120"/>
      <x:c r="R524" s="120"/>
      <x:c r="S524" s="121"/>
      <x:c r="T524" s="122"/>
      <x:c r="U524" s="120"/>
      <x:c r="V524" s="122"/>
      <x:c r="W524" s="120"/>
      <x:c r="X524" s="121"/>
      <x:c r="Y524" s="122"/>
      <x:c r="Z524" s="120"/>
      <x:c r="AA524" s="122"/>
      <x:c r="AB524" s="120"/>
      <x:c r="AC524" s="121"/>
      <x:c r="AD524" s="122"/>
      <x:c r="AE524" s="120"/>
      <x:c r="AF524" s="122"/>
      <x:c r="AG524" s="120"/>
      <x:c r="AH524" s="121"/>
      <x:c r="AI524" s="122"/>
      <x:c r="AJ524" s="120"/>
      <x:c r="AK524" s="122"/>
      <x:c r="AL524" s="120"/>
      <x:c r="AM524" s="121"/>
      <x:c r="AN524" s="122"/>
      <x:c r="AO524" s="120"/>
      <x:c r="AP524" s="122"/>
    </x:row>
    <x:row r="525" ht="15.75" customHeight="1">
      <x:c r="K525" s="120"/>
      <x:c r="M525" s="120"/>
      <x:c r="N525" s="121"/>
      <x:c r="P525" s="120"/>
      <x:c r="R525" s="120"/>
      <x:c r="S525" s="121"/>
      <x:c r="T525" s="122"/>
      <x:c r="U525" s="120"/>
      <x:c r="V525" s="122"/>
      <x:c r="W525" s="120"/>
      <x:c r="X525" s="121"/>
      <x:c r="Y525" s="122"/>
      <x:c r="Z525" s="120"/>
      <x:c r="AA525" s="122"/>
      <x:c r="AB525" s="120"/>
      <x:c r="AC525" s="121"/>
      <x:c r="AD525" s="122"/>
      <x:c r="AE525" s="120"/>
      <x:c r="AF525" s="122"/>
      <x:c r="AG525" s="120"/>
      <x:c r="AH525" s="121"/>
      <x:c r="AI525" s="122"/>
      <x:c r="AJ525" s="120"/>
      <x:c r="AK525" s="122"/>
      <x:c r="AL525" s="120"/>
      <x:c r="AM525" s="121"/>
      <x:c r="AN525" s="122"/>
      <x:c r="AO525" s="120"/>
      <x:c r="AP525" s="122"/>
    </x:row>
    <x:row r="526" ht="15.75" customHeight="1">
      <x:c r="K526" s="120"/>
      <x:c r="M526" s="120"/>
      <x:c r="N526" s="121"/>
      <x:c r="P526" s="120"/>
      <x:c r="R526" s="120"/>
      <x:c r="S526" s="121"/>
      <x:c r="T526" s="122"/>
      <x:c r="U526" s="120"/>
      <x:c r="V526" s="122"/>
      <x:c r="W526" s="120"/>
      <x:c r="X526" s="121"/>
      <x:c r="Y526" s="122"/>
      <x:c r="Z526" s="120"/>
      <x:c r="AA526" s="122"/>
      <x:c r="AB526" s="120"/>
      <x:c r="AC526" s="121"/>
      <x:c r="AD526" s="122"/>
      <x:c r="AE526" s="120"/>
      <x:c r="AF526" s="122"/>
      <x:c r="AG526" s="120"/>
      <x:c r="AH526" s="121"/>
      <x:c r="AI526" s="122"/>
      <x:c r="AJ526" s="120"/>
      <x:c r="AK526" s="122"/>
      <x:c r="AL526" s="120"/>
      <x:c r="AM526" s="121"/>
      <x:c r="AN526" s="122"/>
      <x:c r="AO526" s="120"/>
      <x:c r="AP526" s="122"/>
    </x:row>
    <x:row r="527" ht="15.75" customHeight="1">
      <x:c r="K527" s="120"/>
      <x:c r="M527" s="120"/>
      <x:c r="N527" s="121"/>
      <x:c r="P527" s="120"/>
      <x:c r="R527" s="120"/>
      <x:c r="S527" s="121"/>
      <x:c r="T527" s="122"/>
      <x:c r="U527" s="120"/>
      <x:c r="V527" s="122"/>
      <x:c r="W527" s="120"/>
      <x:c r="X527" s="121"/>
      <x:c r="Y527" s="122"/>
      <x:c r="Z527" s="120"/>
      <x:c r="AA527" s="122"/>
      <x:c r="AB527" s="120"/>
      <x:c r="AC527" s="121"/>
      <x:c r="AD527" s="122"/>
      <x:c r="AE527" s="120"/>
      <x:c r="AF527" s="122"/>
      <x:c r="AG527" s="120"/>
      <x:c r="AH527" s="121"/>
      <x:c r="AI527" s="122"/>
      <x:c r="AJ527" s="120"/>
      <x:c r="AK527" s="122"/>
      <x:c r="AL527" s="120"/>
      <x:c r="AM527" s="121"/>
      <x:c r="AN527" s="122"/>
      <x:c r="AO527" s="120"/>
      <x:c r="AP527" s="122"/>
    </x:row>
    <x:row r="528" ht="15.75" customHeight="1">
      <x:c r="K528" s="120"/>
      <x:c r="M528" s="120"/>
      <x:c r="N528" s="121"/>
      <x:c r="P528" s="120"/>
      <x:c r="R528" s="120"/>
      <x:c r="S528" s="121"/>
      <x:c r="T528" s="122"/>
      <x:c r="U528" s="120"/>
      <x:c r="V528" s="122"/>
      <x:c r="W528" s="120"/>
      <x:c r="X528" s="121"/>
      <x:c r="Y528" s="122"/>
      <x:c r="Z528" s="120"/>
      <x:c r="AA528" s="122"/>
      <x:c r="AB528" s="120"/>
      <x:c r="AC528" s="121"/>
      <x:c r="AD528" s="122"/>
      <x:c r="AE528" s="120"/>
      <x:c r="AF528" s="122"/>
      <x:c r="AG528" s="120"/>
      <x:c r="AH528" s="121"/>
      <x:c r="AI528" s="122"/>
      <x:c r="AJ528" s="120"/>
      <x:c r="AK528" s="122"/>
      <x:c r="AL528" s="120"/>
      <x:c r="AM528" s="121"/>
      <x:c r="AN528" s="122"/>
      <x:c r="AO528" s="120"/>
      <x:c r="AP528" s="122"/>
    </x:row>
    <x:row r="529" ht="15.75" customHeight="1">
      <x:c r="K529" s="120"/>
      <x:c r="M529" s="120"/>
      <x:c r="N529" s="121"/>
      <x:c r="P529" s="120"/>
      <x:c r="R529" s="120"/>
      <x:c r="S529" s="121"/>
      <x:c r="T529" s="122"/>
      <x:c r="U529" s="120"/>
      <x:c r="V529" s="122"/>
      <x:c r="W529" s="120"/>
      <x:c r="X529" s="121"/>
      <x:c r="Y529" s="122"/>
      <x:c r="Z529" s="120"/>
      <x:c r="AA529" s="122"/>
      <x:c r="AB529" s="120"/>
      <x:c r="AC529" s="121"/>
      <x:c r="AD529" s="122"/>
      <x:c r="AE529" s="120"/>
      <x:c r="AF529" s="122"/>
      <x:c r="AG529" s="120"/>
      <x:c r="AH529" s="121"/>
      <x:c r="AI529" s="122"/>
      <x:c r="AJ529" s="120"/>
      <x:c r="AK529" s="122"/>
      <x:c r="AL529" s="120"/>
      <x:c r="AM529" s="121"/>
      <x:c r="AN529" s="122"/>
      <x:c r="AO529" s="120"/>
      <x:c r="AP529" s="122"/>
    </x:row>
    <x:row r="530" ht="15.75" customHeight="1">
      <x:c r="K530" s="120"/>
      <x:c r="M530" s="120"/>
      <x:c r="N530" s="121"/>
      <x:c r="P530" s="120"/>
      <x:c r="R530" s="120"/>
      <x:c r="S530" s="121"/>
      <x:c r="T530" s="122"/>
      <x:c r="U530" s="120"/>
      <x:c r="V530" s="122"/>
      <x:c r="W530" s="120"/>
      <x:c r="X530" s="121"/>
      <x:c r="Y530" s="122"/>
      <x:c r="Z530" s="120"/>
      <x:c r="AA530" s="122"/>
      <x:c r="AB530" s="120"/>
      <x:c r="AC530" s="121"/>
      <x:c r="AD530" s="122"/>
      <x:c r="AE530" s="120"/>
      <x:c r="AF530" s="122"/>
      <x:c r="AG530" s="120"/>
      <x:c r="AH530" s="121"/>
      <x:c r="AI530" s="122"/>
      <x:c r="AJ530" s="120"/>
      <x:c r="AK530" s="122"/>
      <x:c r="AL530" s="120"/>
      <x:c r="AM530" s="121"/>
      <x:c r="AN530" s="122"/>
      <x:c r="AO530" s="120"/>
      <x:c r="AP530" s="122"/>
    </x:row>
    <x:row r="531" ht="15.75" customHeight="1">
      <x:c r="K531" s="120"/>
      <x:c r="M531" s="120"/>
      <x:c r="N531" s="121"/>
      <x:c r="P531" s="120"/>
      <x:c r="R531" s="120"/>
      <x:c r="S531" s="121"/>
      <x:c r="T531" s="122"/>
      <x:c r="U531" s="120"/>
      <x:c r="V531" s="122"/>
      <x:c r="W531" s="120"/>
      <x:c r="X531" s="121"/>
      <x:c r="Y531" s="122"/>
      <x:c r="Z531" s="120"/>
      <x:c r="AA531" s="122"/>
      <x:c r="AB531" s="120"/>
      <x:c r="AC531" s="121"/>
      <x:c r="AD531" s="122"/>
      <x:c r="AE531" s="120"/>
      <x:c r="AF531" s="122"/>
      <x:c r="AG531" s="120"/>
      <x:c r="AH531" s="121"/>
      <x:c r="AI531" s="122"/>
      <x:c r="AJ531" s="120"/>
      <x:c r="AK531" s="122"/>
      <x:c r="AL531" s="120"/>
      <x:c r="AM531" s="121"/>
      <x:c r="AN531" s="122"/>
      <x:c r="AO531" s="120"/>
      <x:c r="AP531" s="122"/>
    </x:row>
    <x:row r="532" ht="15.75" customHeight="1">
      <x:c r="K532" s="120"/>
      <x:c r="M532" s="120"/>
      <x:c r="N532" s="121"/>
      <x:c r="P532" s="120"/>
      <x:c r="R532" s="120"/>
      <x:c r="S532" s="121"/>
      <x:c r="T532" s="122"/>
      <x:c r="U532" s="120"/>
      <x:c r="V532" s="122"/>
      <x:c r="W532" s="120"/>
      <x:c r="X532" s="121"/>
      <x:c r="Y532" s="122"/>
      <x:c r="Z532" s="120"/>
      <x:c r="AA532" s="122"/>
      <x:c r="AB532" s="120"/>
      <x:c r="AC532" s="121"/>
      <x:c r="AD532" s="122"/>
      <x:c r="AE532" s="120"/>
      <x:c r="AF532" s="122"/>
      <x:c r="AG532" s="120"/>
      <x:c r="AH532" s="121"/>
      <x:c r="AI532" s="122"/>
      <x:c r="AJ532" s="120"/>
      <x:c r="AK532" s="122"/>
      <x:c r="AL532" s="120"/>
      <x:c r="AM532" s="121"/>
      <x:c r="AN532" s="122"/>
      <x:c r="AO532" s="120"/>
      <x:c r="AP532" s="122"/>
    </x:row>
    <x:row r="533" ht="15.75" customHeight="1">
      <x:c r="K533" s="120"/>
      <x:c r="M533" s="120"/>
      <x:c r="N533" s="121"/>
      <x:c r="P533" s="120"/>
      <x:c r="R533" s="120"/>
      <x:c r="S533" s="121"/>
      <x:c r="T533" s="122"/>
      <x:c r="U533" s="120"/>
      <x:c r="V533" s="122"/>
      <x:c r="W533" s="120"/>
      <x:c r="X533" s="121"/>
      <x:c r="Y533" s="122"/>
      <x:c r="Z533" s="120"/>
      <x:c r="AA533" s="122"/>
      <x:c r="AB533" s="120"/>
      <x:c r="AC533" s="121"/>
      <x:c r="AD533" s="122"/>
      <x:c r="AE533" s="120"/>
      <x:c r="AF533" s="122"/>
      <x:c r="AG533" s="120"/>
      <x:c r="AH533" s="121"/>
      <x:c r="AI533" s="122"/>
      <x:c r="AJ533" s="120"/>
      <x:c r="AK533" s="122"/>
      <x:c r="AL533" s="120"/>
      <x:c r="AM533" s="121"/>
      <x:c r="AN533" s="122"/>
      <x:c r="AO533" s="120"/>
      <x:c r="AP533" s="122"/>
    </x:row>
    <x:row r="534" ht="15.75" customHeight="1">
      <x:c r="K534" s="120"/>
      <x:c r="M534" s="120"/>
      <x:c r="N534" s="121"/>
      <x:c r="P534" s="120"/>
      <x:c r="R534" s="120"/>
      <x:c r="S534" s="121"/>
      <x:c r="T534" s="122"/>
      <x:c r="U534" s="120"/>
      <x:c r="V534" s="122"/>
      <x:c r="W534" s="120"/>
      <x:c r="X534" s="121"/>
      <x:c r="Y534" s="122"/>
      <x:c r="Z534" s="120"/>
      <x:c r="AA534" s="122"/>
      <x:c r="AB534" s="120"/>
      <x:c r="AC534" s="121"/>
      <x:c r="AD534" s="122"/>
      <x:c r="AE534" s="120"/>
      <x:c r="AF534" s="122"/>
      <x:c r="AG534" s="120"/>
      <x:c r="AH534" s="121"/>
      <x:c r="AI534" s="122"/>
      <x:c r="AJ534" s="120"/>
      <x:c r="AK534" s="122"/>
      <x:c r="AL534" s="120"/>
      <x:c r="AM534" s="121"/>
      <x:c r="AN534" s="122"/>
      <x:c r="AO534" s="120"/>
      <x:c r="AP534" s="122"/>
    </x:row>
    <x:row r="535" ht="15.75" customHeight="1">
      <x:c r="K535" s="120"/>
      <x:c r="M535" s="120"/>
      <x:c r="N535" s="121"/>
      <x:c r="P535" s="120"/>
      <x:c r="R535" s="120"/>
      <x:c r="S535" s="121"/>
      <x:c r="T535" s="122"/>
      <x:c r="U535" s="120"/>
      <x:c r="V535" s="122"/>
      <x:c r="W535" s="120"/>
      <x:c r="X535" s="121"/>
      <x:c r="Y535" s="122"/>
      <x:c r="Z535" s="120"/>
      <x:c r="AA535" s="122"/>
      <x:c r="AB535" s="120"/>
      <x:c r="AC535" s="121"/>
      <x:c r="AD535" s="122"/>
      <x:c r="AE535" s="120"/>
      <x:c r="AF535" s="122"/>
      <x:c r="AG535" s="120"/>
      <x:c r="AH535" s="121"/>
      <x:c r="AI535" s="122"/>
      <x:c r="AJ535" s="120"/>
      <x:c r="AK535" s="122"/>
      <x:c r="AL535" s="120"/>
      <x:c r="AM535" s="121"/>
      <x:c r="AN535" s="122"/>
      <x:c r="AO535" s="120"/>
      <x:c r="AP535" s="122"/>
    </x:row>
    <x:row r="536" ht="15.75" customHeight="1">
      <x:c r="K536" s="120"/>
      <x:c r="M536" s="120"/>
      <x:c r="N536" s="121"/>
      <x:c r="P536" s="120"/>
      <x:c r="R536" s="120"/>
      <x:c r="S536" s="121"/>
      <x:c r="T536" s="122"/>
      <x:c r="U536" s="120"/>
      <x:c r="V536" s="122"/>
      <x:c r="W536" s="120"/>
      <x:c r="X536" s="121"/>
      <x:c r="Y536" s="122"/>
      <x:c r="Z536" s="120"/>
      <x:c r="AA536" s="122"/>
      <x:c r="AB536" s="120"/>
      <x:c r="AC536" s="121"/>
      <x:c r="AD536" s="122"/>
      <x:c r="AE536" s="120"/>
      <x:c r="AF536" s="122"/>
      <x:c r="AG536" s="120"/>
      <x:c r="AH536" s="121"/>
      <x:c r="AI536" s="122"/>
      <x:c r="AJ536" s="120"/>
      <x:c r="AK536" s="122"/>
      <x:c r="AL536" s="120"/>
      <x:c r="AM536" s="121"/>
      <x:c r="AN536" s="122"/>
      <x:c r="AO536" s="120"/>
      <x:c r="AP536" s="122"/>
    </x:row>
    <x:row r="537" ht="15.75" customHeight="1">
      <x:c r="K537" s="120"/>
      <x:c r="M537" s="120"/>
      <x:c r="N537" s="121"/>
      <x:c r="P537" s="120"/>
      <x:c r="R537" s="120"/>
      <x:c r="S537" s="121"/>
      <x:c r="T537" s="122"/>
      <x:c r="U537" s="120"/>
      <x:c r="V537" s="122"/>
      <x:c r="W537" s="120"/>
      <x:c r="X537" s="121"/>
      <x:c r="Y537" s="122"/>
      <x:c r="Z537" s="120"/>
      <x:c r="AA537" s="122"/>
      <x:c r="AB537" s="120"/>
      <x:c r="AC537" s="121"/>
      <x:c r="AD537" s="122"/>
      <x:c r="AE537" s="120"/>
      <x:c r="AF537" s="122"/>
      <x:c r="AG537" s="120"/>
      <x:c r="AH537" s="121"/>
      <x:c r="AI537" s="122"/>
      <x:c r="AJ537" s="120"/>
      <x:c r="AK537" s="122"/>
      <x:c r="AL537" s="120"/>
      <x:c r="AM537" s="121"/>
      <x:c r="AN537" s="122"/>
      <x:c r="AO537" s="120"/>
      <x:c r="AP537" s="122"/>
    </x:row>
    <x:row r="538" ht="15.75" customHeight="1">
      <x:c r="K538" s="120"/>
      <x:c r="M538" s="120"/>
      <x:c r="N538" s="121"/>
      <x:c r="P538" s="120"/>
      <x:c r="R538" s="120"/>
      <x:c r="S538" s="121"/>
      <x:c r="T538" s="122"/>
      <x:c r="U538" s="120"/>
      <x:c r="V538" s="122"/>
      <x:c r="W538" s="120"/>
      <x:c r="X538" s="121"/>
      <x:c r="Y538" s="122"/>
      <x:c r="Z538" s="120"/>
      <x:c r="AA538" s="122"/>
      <x:c r="AB538" s="120"/>
      <x:c r="AC538" s="121"/>
      <x:c r="AD538" s="122"/>
      <x:c r="AE538" s="120"/>
      <x:c r="AF538" s="122"/>
      <x:c r="AG538" s="120"/>
      <x:c r="AH538" s="121"/>
      <x:c r="AI538" s="122"/>
      <x:c r="AJ538" s="120"/>
      <x:c r="AK538" s="122"/>
      <x:c r="AL538" s="120"/>
      <x:c r="AM538" s="121"/>
      <x:c r="AN538" s="122"/>
      <x:c r="AO538" s="120"/>
      <x:c r="AP538" s="122"/>
    </x:row>
    <x:row r="539" ht="15.75" customHeight="1">
      <x:c r="K539" s="120"/>
      <x:c r="M539" s="120"/>
      <x:c r="N539" s="121"/>
      <x:c r="P539" s="120"/>
      <x:c r="R539" s="120"/>
      <x:c r="S539" s="121"/>
      <x:c r="T539" s="122"/>
      <x:c r="U539" s="120"/>
      <x:c r="V539" s="122"/>
      <x:c r="W539" s="120"/>
      <x:c r="X539" s="121"/>
      <x:c r="Y539" s="122"/>
      <x:c r="Z539" s="120"/>
      <x:c r="AA539" s="122"/>
      <x:c r="AB539" s="120"/>
      <x:c r="AC539" s="121"/>
      <x:c r="AD539" s="122"/>
      <x:c r="AE539" s="120"/>
      <x:c r="AF539" s="122"/>
      <x:c r="AG539" s="120"/>
      <x:c r="AH539" s="121"/>
      <x:c r="AI539" s="122"/>
      <x:c r="AJ539" s="120"/>
      <x:c r="AK539" s="122"/>
      <x:c r="AL539" s="120"/>
      <x:c r="AM539" s="121"/>
      <x:c r="AN539" s="122"/>
      <x:c r="AO539" s="120"/>
      <x:c r="AP539" s="122"/>
    </x:row>
    <x:row r="540" ht="15.75" customHeight="1">
      <x:c r="K540" s="120"/>
      <x:c r="M540" s="120"/>
      <x:c r="N540" s="121"/>
      <x:c r="P540" s="120"/>
      <x:c r="R540" s="120"/>
      <x:c r="S540" s="121"/>
      <x:c r="T540" s="122"/>
      <x:c r="U540" s="120"/>
      <x:c r="V540" s="122"/>
      <x:c r="W540" s="120"/>
      <x:c r="X540" s="121"/>
      <x:c r="Y540" s="122"/>
      <x:c r="Z540" s="120"/>
      <x:c r="AA540" s="122"/>
      <x:c r="AB540" s="120"/>
      <x:c r="AC540" s="121"/>
      <x:c r="AD540" s="122"/>
      <x:c r="AE540" s="120"/>
      <x:c r="AF540" s="122"/>
      <x:c r="AG540" s="120"/>
      <x:c r="AH540" s="121"/>
      <x:c r="AI540" s="122"/>
      <x:c r="AJ540" s="120"/>
      <x:c r="AK540" s="122"/>
      <x:c r="AL540" s="120"/>
      <x:c r="AM540" s="121"/>
      <x:c r="AN540" s="122"/>
      <x:c r="AO540" s="120"/>
      <x:c r="AP540" s="122"/>
    </x:row>
    <x:row r="541" ht="15.75" customHeight="1">
      <x:c r="K541" s="120"/>
      <x:c r="M541" s="120"/>
      <x:c r="N541" s="121"/>
      <x:c r="P541" s="120"/>
      <x:c r="R541" s="120"/>
      <x:c r="S541" s="121"/>
      <x:c r="T541" s="122"/>
      <x:c r="U541" s="120"/>
      <x:c r="V541" s="122"/>
      <x:c r="W541" s="120"/>
      <x:c r="X541" s="121"/>
      <x:c r="Y541" s="122"/>
      <x:c r="Z541" s="120"/>
      <x:c r="AA541" s="122"/>
      <x:c r="AB541" s="120"/>
      <x:c r="AC541" s="121"/>
      <x:c r="AD541" s="122"/>
      <x:c r="AE541" s="120"/>
      <x:c r="AF541" s="122"/>
      <x:c r="AG541" s="120"/>
      <x:c r="AH541" s="121"/>
      <x:c r="AI541" s="122"/>
      <x:c r="AJ541" s="120"/>
      <x:c r="AK541" s="122"/>
      <x:c r="AL541" s="120"/>
      <x:c r="AM541" s="121"/>
      <x:c r="AN541" s="122"/>
      <x:c r="AO541" s="120"/>
      <x:c r="AP541" s="122"/>
    </x:row>
    <x:row r="542" ht="15.75" customHeight="1">
      <x:c r="K542" s="120"/>
      <x:c r="M542" s="120"/>
      <x:c r="N542" s="121"/>
      <x:c r="P542" s="120"/>
      <x:c r="R542" s="120"/>
      <x:c r="S542" s="121"/>
      <x:c r="T542" s="122"/>
      <x:c r="U542" s="120"/>
      <x:c r="V542" s="122"/>
      <x:c r="W542" s="120"/>
      <x:c r="X542" s="121"/>
      <x:c r="Y542" s="122"/>
      <x:c r="Z542" s="120"/>
      <x:c r="AA542" s="122"/>
      <x:c r="AB542" s="120"/>
      <x:c r="AC542" s="121"/>
      <x:c r="AD542" s="122"/>
      <x:c r="AE542" s="120"/>
      <x:c r="AF542" s="122"/>
      <x:c r="AG542" s="120"/>
      <x:c r="AH542" s="121"/>
      <x:c r="AI542" s="122"/>
      <x:c r="AJ542" s="120"/>
      <x:c r="AK542" s="122"/>
      <x:c r="AL542" s="120"/>
      <x:c r="AM542" s="121"/>
      <x:c r="AN542" s="122"/>
      <x:c r="AO542" s="120"/>
      <x:c r="AP542" s="122"/>
    </x:row>
    <x:row r="543" ht="15.75" customHeight="1">
      <x:c r="K543" s="120"/>
      <x:c r="M543" s="120"/>
      <x:c r="N543" s="121"/>
      <x:c r="P543" s="120"/>
      <x:c r="R543" s="120"/>
      <x:c r="S543" s="121"/>
      <x:c r="T543" s="122"/>
      <x:c r="U543" s="120"/>
      <x:c r="V543" s="122"/>
      <x:c r="W543" s="120"/>
      <x:c r="X543" s="121"/>
      <x:c r="Y543" s="122"/>
      <x:c r="Z543" s="120"/>
      <x:c r="AA543" s="122"/>
      <x:c r="AB543" s="120"/>
      <x:c r="AC543" s="121"/>
      <x:c r="AD543" s="122"/>
      <x:c r="AE543" s="120"/>
      <x:c r="AF543" s="122"/>
      <x:c r="AG543" s="120"/>
      <x:c r="AH543" s="121"/>
      <x:c r="AI543" s="122"/>
      <x:c r="AJ543" s="120"/>
      <x:c r="AK543" s="122"/>
      <x:c r="AL543" s="120"/>
      <x:c r="AM543" s="121"/>
      <x:c r="AN543" s="122"/>
      <x:c r="AO543" s="120"/>
      <x:c r="AP543" s="122"/>
    </x:row>
    <x:row r="544" ht="15.75" customHeight="1">
      <x:c r="K544" s="120"/>
      <x:c r="M544" s="120"/>
      <x:c r="N544" s="121"/>
      <x:c r="P544" s="120"/>
      <x:c r="R544" s="120"/>
      <x:c r="S544" s="121"/>
      <x:c r="T544" s="122"/>
      <x:c r="U544" s="120"/>
      <x:c r="V544" s="122"/>
      <x:c r="W544" s="120"/>
      <x:c r="X544" s="121"/>
      <x:c r="Y544" s="122"/>
      <x:c r="Z544" s="120"/>
      <x:c r="AA544" s="122"/>
      <x:c r="AB544" s="120"/>
      <x:c r="AC544" s="121"/>
      <x:c r="AD544" s="122"/>
      <x:c r="AE544" s="120"/>
      <x:c r="AF544" s="122"/>
      <x:c r="AG544" s="120"/>
      <x:c r="AH544" s="121"/>
      <x:c r="AI544" s="122"/>
      <x:c r="AJ544" s="120"/>
      <x:c r="AK544" s="122"/>
      <x:c r="AL544" s="120"/>
      <x:c r="AM544" s="121"/>
      <x:c r="AN544" s="122"/>
      <x:c r="AO544" s="120"/>
      <x:c r="AP544" s="122"/>
    </x:row>
    <x:row r="545" ht="15.75" customHeight="1">
      <x:c r="K545" s="120"/>
      <x:c r="M545" s="120"/>
      <x:c r="N545" s="121"/>
      <x:c r="P545" s="120"/>
      <x:c r="R545" s="120"/>
      <x:c r="S545" s="121"/>
      <x:c r="T545" s="122"/>
      <x:c r="U545" s="120"/>
      <x:c r="V545" s="122"/>
      <x:c r="W545" s="120"/>
      <x:c r="X545" s="121"/>
      <x:c r="Y545" s="122"/>
      <x:c r="Z545" s="120"/>
      <x:c r="AA545" s="122"/>
      <x:c r="AB545" s="120"/>
      <x:c r="AC545" s="121"/>
      <x:c r="AD545" s="122"/>
      <x:c r="AE545" s="120"/>
      <x:c r="AF545" s="122"/>
      <x:c r="AG545" s="120"/>
      <x:c r="AH545" s="121"/>
      <x:c r="AI545" s="122"/>
      <x:c r="AJ545" s="120"/>
      <x:c r="AK545" s="122"/>
      <x:c r="AL545" s="120"/>
      <x:c r="AM545" s="121"/>
      <x:c r="AN545" s="122"/>
      <x:c r="AO545" s="120"/>
      <x:c r="AP545" s="122"/>
    </x:row>
    <x:row r="546" ht="15.75" customHeight="1">
      <x:c r="K546" s="120"/>
      <x:c r="M546" s="120"/>
      <x:c r="N546" s="121"/>
      <x:c r="P546" s="120"/>
      <x:c r="R546" s="120"/>
      <x:c r="S546" s="121"/>
      <x:c r="T546" s="122"/>
      <x:c r="U546" s="120"/>
      <x:c r="V546" s="122"/>
      <x:c r="W546" s="120"/>
      <x:c r="X546" s="121"/>
      <x:c r="Y546" s="122"/>
      <x:c r="Z546" s="120"/>
      <x:c r="AA546" s="122"/>
      <x:c r="AB546" s="120"/>
      <x:c r="AC546" s="121"/>
      <x:c r="AD546" s="122"/>
      <x:c r="AE546" s="120"/>
      <x:c r="AF546" s="122"/>
      <x:c r="AG546" s="120"/>
      <x:c r="AH546" s="121"/>
      <x:c r="AI546" s="122"/>
      <x:c r="AJ546" s="120"/>
      <x:c r="AK546" s="122"/>
      <x:c r="AL546" s="120"/>
      <x:c r="AM546" s="121"/>
      <x:c r="AN546" s="122"/>
      <x:c r="AO546" s="120"/>
      <x:c r="AP546" s="122"/>
    </x:row>
    <x:row r="547" ht="15.75" customHeight="1">
      <x:c r="K547" s="120"/>
      <x:c r="M547" s="120"/>
      <x:c r="N547" s="121"/>
      <x:c r="P547" s="120"/>
      <x:c r="R547" s="120"/>
      <x:c r="S547" s="121"/>
      <x:c r="T547" s="122"/>
      <x:c r="U547" s="120"/>
      <x:c r="V547" s="122"/>
      <x:c r="W547" s="120"/>
      <x:c r="X547" s="121"/>
      <x:c r="Y547" s="122"/>
      <x:c r="Z547" s="120"/>
      <x:c r="AA547" s="122"/>
      <x:c r="AB547" s="120"/>
      <x:c r="AC547" s="121"/>
      <x:c r="AD547" s="122"/>
      <x:c r="AE547" s="120"/>
      <x:c r="AF547" s="122"/>
      <x:c r="AG547" s="120"/>
      <x:c r="AH547" s="121"/>
      <x:c r="AI547" s="122"/>
      <x:c r="AJ547" s="120"/>
      <x:c r="AK547" s="122"/>
      <x:c r="AL547" s="120"/>
      <x:c r="AM547" s="121"/>
      <x:c r="AN547" s="122"/>
      <x:c r="AO547" s="120"/>
      <x:c r="AP547" s="122"/>
    </x:row>
    <x:row r="548" ht="15.75" customHeight="1">
      <x:c r="K548" s="120"/>
      <x:c r="M548" s="120"/>
      <x:c r="N548" s="121"/>
      <x:c r="P548" s="120"/>
      <x:c r="R548" s="120"/>
      <x:c r="S548" s="121"/>
      <x:c r="T548" s="122"/>
      <x:c r="U548" s="120"/>
      <x:c r="V548" s="122"/>
      <x:c r="W548" s="120"/>
      <x:c r="X548" s="121"/>
      <x:c r="Y548" s="122"/>
      <x:c r="Z548" s="120"/>
      <x:c r="AA548" s="122"/>
      <x:c r="AB548" s="120"/>
      <x:c r="AC548" s="121"/>
      <x:c r="AD548" s="122"/>
      <x:c r="AE548" s="120"/>
      <x:c r="AF548" s="122"/>
      <x:c r="AG548" s="120"/>
      <x:c r="AH548" s="121"/>
      <x:c r="AI548" s="122"/>
      <x:c r="AJ548" s="120"/>
      <x:c r="AK548" s="122"/>
      <x:c r="AL548" s="120"/>
      <x:c r="AM548" s="121"/>
      <x:c r="AN548" s="122"/>
      <x:c r="AO548" s="120"/>
      <x:c r="AP548" s="122"/>
    </x:row>
    <x:row r="549" ht="15.75" customHeight="1">
      <x:c r="K549" s="120"/>
      <x:c r="M549" s="120"/>
      <x:c r="N549" s="121"/>
      <x:c r="P549" s="120"/>
      <x:c r="R549" s="120"/>
      <x:c r="S549" s="121"/>
      <x:c r="T549" s="122"/>
      <x:c r="U549" s="120"/>
      <x:c r="V549" s="122"/>
      <x:c r="W549" s="120"/>
      <x:c r="X549" s="121"/>
      <x:c r="Y549" s="122"/>
      <x:c r="Z549" s="120"/>
      <x:c r="AA549" s="122"/>
      <x:c r="AB549" s="120"/>
      <x:c r="AC549" s="121"/>
      <x:c r="AD549" s="122"/>
      <x:c r="AE549" s="120"/>
      <x:c r="AF549" s="122"/>
      <x:c r="AG549" s="120"/>
      <x:c r="AH549" s="121"/>
      <x:c r="AI549" s="122"/>
      <x:c r="AJ549" s="120"/>
      <x:c r="AK549" s="122"/>
      <x:c r="AL549" s="120"/>
      <x:c r="AM549" s="121"/>
      <x:c r="AN549" s="122"/>
      <x:c r="AO549" s="120"/>
      <x:c r="AP549" s="122"/>
    </x:row>
    <x:row r="550" ht="15.75" customHeight="1">
      <x:c r="K550" s="120"/>
      <x:c r="M550" s="120"/>
      <x:c r="N550" s="121"/>
      <x:c r="P550" s="120"/>
      <x:c r="R550" s="120"/>
      <x:c r="S550" s="121"/>
      <x:c r="T550" s="122"/>
      <x:c r="U550" s="120"/>
      <x:c r="V550" s="122"/>
      <x:c r="W550" s="120"/>
      <x:c r="X550" s="121"/>
      <x:c r="Y550" s="122"/>
      <x:c r="Z550" s="120"/>
      <x:c r="AA550" s="122"/>
      <x:c r="AB550" s="120"/>
      <x:c r="AC550" s="121"/>
      <x:c r="AD550" s="122"/>
      <x:c r="AE550" s="120"/>
      <x:c r="AF550" s="122"/>
      <x:c r="AG550" s="120"/>
      <x:c r="AH550" s="121"/>
      <x:c r="AI550" s="122"/>
      <x:c r="AJ550" s="120"/>
      <x:c r="AK550" s="122"/>
      <x:c r="AL550" s="120"/>
      <x:c r="AM550" s="121"/>
      <x:c r="AN550" s="122"/>
      <x:c r="AO550" s="120"/>
      <x:c r="AP550" s="122"/>
    </x:row>
    <x:row r="551" ht="15.75" customHeight="1">
      <x:c r="K551" s="120"/>
      <x:c r="M551" s="120"/>
      <x:c r="N551" s="121"/>
      <x:c r="P551" s="120"/>
      <x:c r="R551" s="120"/>
      <x:c r="S551" s="121"/>
      <x:c r="T551" s="122"/>
      <x:c r="U551" s="120"/>
      <x:c r="V551" s="122"/>
      <x:c r="W551" s="120"/>
      <x:c r="X551" s="121"/>
      <x:c r="Y551" s="122"/>
      <x:c r="Z551" s="120"/>
      <x:c r="AA551" s="122"/>
      <x:c r="AB551" s="120"/>
      <x:c r="AC551" s="121"/>
      <x:c r="AD551" s="122"/>
      <x:c r="AE551" s="120"/>
      <x:c r="AF551" s="122"/>
      <x:c r="AG551" s="120"/>
      <x:c r="AH551" s="121"/>
      <x:c r="AI551" s="122"/>
      <x:c r="AJ551" s="120"/>
      <x:c r="AK551" s="122"/>
      <x:c r="AL551" s="120"/>
      <x:c r="AM551" s="121"/>
      <x:c r="AN551" s="122"/>
      <x:c r="AO551" s="120"/>
      <x:c r="AP551" s="122"/>
    </x:row>
    <x:row r="552" ht="15.75" customHeight="1">
      <x:c r="K552" s="120"/>
      <x:c r="M552" s="120"/>
      <x:c r="N552" s="121"/>
      <x:c r="P552" s="120"/>
      <x:c r="R552" s="120"/>
      <x:c r="S552" s="121"/>
      <x:c r="T552" s="122"/>
      <x:c r="U552" s="120"/>
      <x:c r="V552" s="122"/>
      <x:c r="W552" s="120"/>
      <x:c r="X552" s="121"/>
      <x:c r="Y552" s="122"/>
      <x:c r="Z552" s="120"/>
      <x:c r="AA552" s="122"/>
      <x:c r="AB552" s="120"/>
      <x:c r="AC552" s="121"/>
      <x:c r="AD552" s="122"/>
      <x:c r="AE552" s="120"/>
      <x:c r="AF552" s="122"/>
      <x:c r="AG552" s="120"/>
      <x:c r="AH552" s="121"/>
      <x:c r="AI552" s="122"/>
      <x:c r="AJ552" s="120"/>
      <x:c r="AK552" s="122"/>
      <x:c r="AL552" s="120"/>
      <x:c r="AM552" s="121"/>
      <x:c r="AN552" s="122"/>
      <x:c r="AO552" s="120"/>
      <x:c r="AP552" s="122"/>
    </x:row>
    <x:row r="553" ht="15.75" customHeight="1">
      <x:c r="K553" s="120"/>
      <x:c r="M553" s="120"/>
      <x:c r="N553" s="121"/>
      <x:c r="P553" s="120"/>
      <x:c r="R553" s="120"/>
      <x:c r="S553" s="121"/>
      <x:c r="T553" s="122"/>
      <x:c r="U553" s="120"/>
      <x:c r="V553" s="122"/>
      <x:c r="W553" s="120"/>
      <x:c r="X553" s="121"/>
      <x:c r="Y553" s="122"/>
      <x:c r="Z553" s="120"/>
      <x:c r="AA553" s="122"/>
      <x:c r="AB553" s="120"/>
      <x:c r="AC553" s="121"/>
      <x:c r="AD553" s="122"/>
      <x:c r="AE553" s="120"/>
      <x:c r="AF553" s="122"/>
      <x:c r="AG553" s="120"/>
      <x:c r="AH553" s="121"/>
      <x:c r="AI553" s="122"/>
      <x:c r="AJ553" s="120"/>
      <x:c r="AK553" s="122"/>
      <x:c r="AL553" s="120"/>
      <x:c r="AM553" s="121"/>
      <x:c r="AN553" s="122"/>
      <x:c r="AO553" s="120"/>
      <x:c r="AP553" s="122"/>
    </x:row>
    <x:row r="554" ht="15.75" customHeight="1">
      <x:c r="K554" s="120"/>
      <x:c r="M554" s="120"/>
      <x:c r="N554" s="121"/>
      <x:c r="P554" s="120"/>
      <x:c r="R554" s="120"/>
      <x:c r="S554" s="121"/>
      <x:c r="T554" s="122"/>
      <x:c r="U554" s="120"/>
      <x:c r="V554" s="122"/>
      <x:c r="W554" s="120"/>
      <x:c r="X554" s="121"/>
      <x:c r="Y554" s="122"/>
      <x:c r="Z554" s="120"/>
      <x:c r="AA554" s="122"/>
      <x:c r="AB554" s="120"/>
      <x:c r="AC554" s="121"/>
      <x:c r="AD554" s="122"/>
      <x:c r="AE554" s="120"/>
      <x:c r="AF554" s="122"/>
      <x:c r="AG554" s="120"/>
      <x:c r="AH554" s="121"/>
      <x:c r="AI554" s="122"/>
      <x:c r="AJ554" s="120"/>
      <x:c r="AK554" s="122"/>
      <x:c r="AL554" s="120"/>
      <x:c r="AM554" s="121"/>
      <x:c r="AN554" s="122"/>
      <x:c r="AO554" s="120"/>
      <x:c r="AP554" s="122"/>
    </x:row>
    <x:row r="555" ht="15.75" customHeight="1">
      <x:c r="K555" s="120"/>
      <x:c r="M555" s="120"/>
      <x:c r="N555" s="121"/>
      <x:c r="P555" s="120"/>
      <x:c r="R555" s="120"/>
      <x:c r="S555" s="121"/>
      <x:c r="T555" s="122"/>
      <x:c r="U555" s="120"/>
      <x:c r="V555" s="122"/>
      <x:c r="W555" s="120"/>
      <x:c r="X555" s="121"/>
      <x:c r="Y555" s="122"/>
      <x:c r="Z555" s="120"/>
      <x:c r="AA555" s="122"/>
      <x:c r="AB555" s="120"/>
      <x:c r="AC555" s="121"/>
      <x:c r="AD555" s="122"/>
      <x:c r="AE555" s="120"/>
      <x:c r="AF555" s="122"/>
      <x:c r="AG555" s="120"/>
      <x:c r="AH555" s="121"/>
      <x:c r="AI555" s="122"/>
      <x:c r="AJ555" s="120"/>
      <x:c r="AK555" s="122"/>
      <x:c r="AL555" s="120"/>
      <x:c r="AM555" s="121"/>
      <x:c r="AN555" s="122"/>
      <x:c r="AO555" s="120"/>
      <x:c r="AP555" s="122"/>
    </x:row>
    <x:row r="556" ht="15.75" customHeight="1">
      <x:c r="K556" s="120"/>
      <x:c r="M556" s="120"/>
      <x:c r="N556" s="121"/>
      <x:c r="P556" s="120"/>
      <x:c r="R556" s="120"/>
      <x:c r="S556" s="121"/>
      <x:c r="T556" s="122"/>
      <x:c r="U556" s="120"/>
      <x:c r="V556" s="122"/>
      <x:c r="W556" s="120"/>
      <x:c r="X556" s="121"/>
      <x:c r="Y556" s="122"/>
      <x:c r="Z556" s="120"/>
      <x:c r="AA556" s="122"/>
      <x:c r="AB556" s="120"/>
      <x:c r="AC556" s="121"/>
      <x:c r="AD556" s="122"/>
      <x:c r="AE556" s="120"/>
      <x:c r="AF556" s="122"/>
      <x:c r="AG556" s="120"/>
      <x:c r="AH556" s="121"/>
      <x:c r="AI556" s="122"/>
      <x:c r="AJ556" s="120"/>
      <x:c r="AK556" s="122"/>
      <x:c r="AL556" s="120"/>
      <x:c r="AM556" s="121"/>
      <x:c r="AN556" s="122"/>
      <x:c r="AO556" s="120"/>
      <x:c r="AP556" s="122"/>
    </x:row>
    <x:row r="557" ht="15.75" customHeight="1">
      <x:c r="K557" s="120"/>
      <x:c r="M557" s="120"/>
      <x:c r="N557" s="121"/>
      <x:c r="P557" s="120"/>
      <x:c r="R557" s="120"/>
      <x:c r="S557" s="121"/>
      <x:c r="T557" s="122"/>
      <x:c r="U557" s="120"/>
      <x:c r="V557" s="122"/>
      <x:c r="W557" s="120"/>
      <x:c r="X557" s="121"/>
      <x:c r="Y557" s="122"/>
      <x:c r="Z557" s="120"/>
      <x:c r="AA557" s="122"/>
      <x:c r="AB557" s="120"/>
      <x:c r="AC557" s="121"/>
      <x:c r="AD557" s="122"/>
      <x:c r="AE557" s="120"/>
      <x:c r="AF557" s="122"/>
      <x:c r="AG557" s="120"/>
      <x:c r="AH557" s="121"/>
      <x:c r="AI557" s="122"/>
      <x:c r="AJ557" s="120"/>
      <x:c r="AK557" s="122"/>
      <x:c r="AL557" s="120"/>
      <x:c r="AM557" s="121"/>
      <x:c r="AN557" s="122"/>
      <x:c r="AO557" s="120"/>
      <x:c r="AP557" s="122"/>
    </x:row>
    <x:row r="558" ht="15.75" customHeight="1">
      <x:c r="K558" s="120"/>
      <x:c r="M558" s="120"/>
      <x:c r="N558" s="121"/>
      <x:c r="P558" s="120"/>
      <x:c r="R558" s="120"/>
      <x:c r="S558" s="121"/>
      <x:c r="T558" s="122"/>
      <x:c r="U558" s="120"/>
      <x:c r="V558" s="122"/>
      <x:c r="W558" s="120"/>
      <x:c r="X558" s="121"/>
      <x:c r="Y558" s="122"/>
      <x:c r="Z558" s="120"/>
      <x:c r="AA558" s="122"/>
      <x:c r="AB558" s="120"/>
      <x:c r="AC558" s="121"/>
      <x:c r="AD558" s="122"/>
      <x:c r="AE558" s="120"/>
      <x:c r="AF558" s="122"/>
      <x:c r="AG558" s="120"/>
      <x:c r="AH558" s="121"/>
      <x:c r="AI558" s="122"/>
      <x:c r="AJ558" s="120"/>
      <x:c r="AK558" s="122"/>
      <x:c r="AL558" s="120"/>
      <x:c r="AM558" s="121"/>
      <x:c r="AN558" s="122"/>
      <x:c r="AO558" s="120"/>
      <x:c r="AP558" s="122"/>
    </x:row>
    <x:row r="559" ht="15.75" customHeight="1">
      <x:c r="K559" s="120"/>
      <x:c r="M559" s="120"/>
      <x:c r="N559" s="121"/>
      <x:c r="P559" s="120"/>
      <x:c r="R559" s="120"/>
      <x:c r="S559" s="121"/>
      <x:c r="T559" s="122"/>
      <x:c r="U559" s="120"/>
      <x:c r="V559" s="122"/>
      <x:c r="W559" s="120"/>
      <x:c r="X559" s="121"/>
      <x:c r="Y559" s="122"/>
      <x:c r="Z559" s="120"/>
      <x:c r="AA559" s="122"/>
      <x:c r="AB559" s="120"/>
      <x:c r="AC559" s="121"/>
      <x:c r="AD559" s="122"/>
      <x:c r="AE559" s="120"/>
      <x:c r="AF559" s="122"/>
      <x:c r="AG559" s="120"/>
      <x:c r="AH559" s="121"/>
      <x:c r="AI559" s="122"/>
      <x:c r="AJ559" s="120"/>
      <x:c r="AK559" s="122"/>
      <x:c r="AL559" s="120"/>
      <x:c r="AM559" s="121"/>
      <x:c r="AN559" s="122"/>
      <x:c r="AO559" s="120"/>
      <x:c r="AP559" s="122"/>
    </x:row>
    <x:row r="560" ht="15.75" customHeight="1">
      <x:c r="K560" s="120"/>
      <x:c r="M560" s="120"/>
      <x:c r="N560" s="121"/>
      <x:c r="P560" s="120"/>
      <x:c r="R560" s="120"/>
      <x:c r="S560" s="121"/>
      <x:c r="T560" s="122"/>
      <x:c r="U560" s="120"/>
      <x:c r="V560" s="122"/>
      <x:c r="W560" s="120"/>
      <x:c r="X560" s="121"/>
      <x:c r="Y560" s="122"/>
      <x:c r="Z560" s="120"/>
      <x:c r="AA560" s="122"/>
      <x:c r="AB560" s="120"/>
      <x:c r="AC560" s="121"/>
      <x:c r="AD560" s="122"/>
      <x:c r="AE560" s="120"/>
      <x:c r="AF560" s="122"/>
      <x:c r="AG560" s="120"/>
      <x:c r="AH560" s="121"/>
      <x:c r="AI560" s="122"/>
      <x:c r="AJ560" s="120"/>
      <x:c r="AK560" s="122"/>
      <x:c r="AL560" s="120"/>
      <x:c r="AM560" s="121"/>
      <x:c r="AN560" s="122"/>
      <x:c r="AO560" s="120"/>
      <x:c r="AP560" s="122"/>
    </x:row>
    <x:row r="561" ht="15.75" customHeight="1">
      <x:c r="K561" s="120"/>
      <x:c r="M561" s="120"/>
      <x:c r="N561" s="121"/>
      <x:c r="P561" s="120"/>
      <x:c r="R561" s="120"/>
      <x:c r="S561" s="121"/>
      <x:c r="T561" s="122"/>
      <x:c r="U561" s="120"/>
      <x:c r="V561" s="122"/>
      <x:c r="W561" s="120"/>
      <x:c r="X561" s="121"/>
      <x:c r="Y561" s="122"/>
      <x:c r="Z561" s="120"/>
      <x:c r="AA561" s="122"/>
      <x:c r="AB561" s="120"/>
      <x:c r="AC561" s="121"/>
      <x:c r="AD561" s="122"/>
      <x:c r="AE561" s="120"/>
      <x:c r="AF561" s="122"/>
      <x:c r="AG561" s="120"/>
      <x:c r="AH561" s="121"/>
      <x:c r="AI561" s="122"/>
      <x:c r="AJ561" s="120"/>
      <x:c r="AK561" s="122"/>
      <x:c r="AL561" s="120"/>
      <x:c r="AM561" s="121"/>
      <x:c r="AN561" s="122"/>
      <x:c r="AO561" s="120"/>
      <x:c r="AP561" s="122"/>
    </x:row>
    <x:row r="562" ht="15.75" customHeight="1">
      <x:c r="K562" s="120"/>
      <x:c r="M562" s="120"/>
      <x:c r="N562" s="121"/>
      <x:c r="P562" s="120"/>
      <x:c r="R562" s="120"/>
      <x:c r="S562" s="121"/>
      <x:c r="T562" s="122"/>
      <x:c r="U562" s="120"/>
      <x:c r="V562" s="122"/>
      <x:c r="W562" s="120"/>
      <x:c r="X562" s="121"/>
      <x:c r="Y562" s="122"/>
      <x:c r="Z562" s="120"/>
      <x:c r="AA562" s="122"/>
      <x:c r="AB562" s="120"/>
      <x:c r="AC562" s="121"/>
      <x:c r="AD562" s="122"/>
      <x:c r="AE562" s="120"/>
      <x:c r="AF562" s="122"/>
      <x:c r="AG562" s="120"/>
      <x:c r="AH562" s="121"/>
      <x:c r="AI562" s="122"/>
      <x:c r="AJ562" s="120"/>
      <x:c r="AK562" s="122"/>
      <x:c r="AL562" s="120"/>
      <x:c r="AM562" s="121"/>
      <x:c r="AN562" s="122"/>
      <x:c r="AO562" s="120"/>
      <x:c r="AP562" s="122"/>
    </x:row>
    <x:row r="563" ht="15.75" customHeight="1">
      <x:c r="K563" s="120"/>
      <x:c r="M563" s="120"/>
      <x:c r="N563" s="121"/>
      <x:c r="P563" s="120"/>
      <x:c r="R563" s="120"/>
      <x:c r="S563" s="121"/>
      <x:c r="T563" s="122"/>
      <x:c r="U563" s="120"/>
      <x:c r="V563" s="122"/>
      <x:c r="W563" s="120"/>
      <x:c r="X563" s="121"/>
      <x:c r="Y563" s="122"/>
      <x:c r="Z563" s="120"/>
      <x:c r="AA563" s="122"/>
      <x:c r="AB563" s="120"/>
      <x:c r="AC563" s="121"/>
      <x:c r="AD563" s="122"/>
      <x:c r="AE563" s="120"/>
      <x:c r="AF563" s="122"/>
      <x:c r="AG563" s="120"/>
      <x:c r="AH563" s="121"/>
      <x:c r="AI563" s="122"/>
      <x:c r="AJ563" s="120"/>
      <x:c r="AK563" s="122"/>
      <x:c r="AL563" s="120"/>
      <x:c r="AM563" s="121"/>
      <x:c r="AN563" s="122"/>
      <x:c r="AO563" s="120"/>
      <x:c r="AP563" s="122"/>
    </x:row>
    <x:row r="564" ht="15.75" customHeight="1">
      <x:c r="K564" s="120"/>
      <x:c r="M564" s="120"/>
      <x:c r="N564" s="121"/>
      <x:c r="P564" s="120"/>
      <x:c r="R564" s="120"/>
      <x:c r="S564" s="121"/>
      <x:c r="T564" s="122"/>
      <x:c r="U564" s="120"/>
      <x:c r="V564" s="122"/>
      <x:c r="W564" s="120"/>
      <x:c r="X564" s="121"/>
      <x:c r="Y564" s="122"/>
      <x:c r="Z564" s="120"/>
      <x:c r="AA564" s="122"/>
      <x:c r="AB564" s="120"/>
      <x:c r="AC564" s="121"/>
      <x:c r="AD564" s="122"/>
      <x:c r="AE564" s="120"/>
      <x:c r="AF564" s="122"/>
      <x:c r="AG564" s="120"/>
      <x:c r="AH564" s="121"/>
      <x:c r="AI564" s="122"/>
      <x:c r="AJ564" s="120"/>
      <x:c r="AK564" s="122"/>
      <x:c r="AL564" s="120"/>
      <x:c r="AM564" s="121"/>
      <x:c r="AN564" s="122"/>
      <x:c r="AO564" s="120"/>
      <x:c r="AP564" s="122"/>
    </x:row>
    <x:row r="565" ht="15.75" customHeight="1">
      <x:c r="K565" s="120"/>
      <x:c r="M565" s="120"/>
      <x:c r="N565" s="121"/>
      <x:c r="P565" s="120"/>
      <x:c r="R565" s="120"/>
      <x:c r="S565" s="121"/>
      <x:c r="T565" s="122"/>
      <x:c r="U565" s="120"/>
      <x:c r="V565" s="122"/>
      <x:c r="W565" s="120"/>
      <x:c r="X565" s="121"/>
      <x:c r="Y565" s="122"/>
      <x:c r="Z565" s="120"/>
      <x:c r="AA565" s="122"/>
      <x:c r="AB565" s="120"/>
      <x:c r="AC565" s="121"/>
      <x:c r="AD565" s="122"/>
      <x:c r="AE565" s="120"/>
      <x:c r="AF565" s="122"/>
      <x:c r="AG565" s="120"/>
      <x:c r="AH565" s="121"/>
      <x:c r="AI565" s="122"/>
      <x:c r="AJ565" s="120"/>
      <x:c r="AK565" s="122"/>
      <x:c r="AL565" s="120"/>
      <x:c r="AM565" s="121"/>
      <x:c r="AN565" s="122"/>
      <x:c r="AO565" s="120"/>
      <x:c r="AP565" s="122"/>
    </x:row>
    <x:row r="566" ht="15.75" customHeight="1">
      <x:c r="K566" s="120"/>
      <x:c r="M566" s="120"/>
      <x:c r="N566" s="121"/>
      <x:c r="P566" s="120"/>
      <x:c r="R566" s="120"/>
      <x:c r="S566" s="121"/>
      <x:c r="T566" s="122"/>
      <x:c r="U566" s="120"/>
      <x:c r="V566" s="122"/>
      <x:c r="W566" s="120"/>
      <x:c r="X566" s="121"/>
      <x:c r="Y566" s="122"/>
      <x:c r="Z566" s="120"/>
      <x:c r="AA566" s="122"/>
      <x:c r="AB566" s="120"/>
      <x:c r="AC566" s="121"/>
      <x:c r="AD566" s="122"/>
      <x:c r="AE566" s="120"/>
      <x:c r="AF566" s="122"/>
      <x:c r="AG566" s="120"/>
      <x:c r="AH566" s="121"/>
      <x:c r="AI566" s="122"/>
      <x:c r="AJ566" s="120"/>
      <x:c r="AK566" s="122"/>
      <x:c r="AL566" s="120"/>
      <x:c r="AM566" s="121"/>
      <x:c r="AN566" s="122"/>
      <x:c r="AO566" s="120"/>
      <x:c r="AP566" s="122"/>
    </x:row>
    <x:row r="567" ht="15.75" customHeight="1">
      <x:c r="K567" s="120"/>
      <x:c r="M567" s="120"/>
      <x:c r="N567" s="121"/>
      <x:c r="P567" s="120"/>
      <x:c r="R567" s="120"/>
      <x:c r="S567" s="121"/>
      <x:c r="T567" s="122"/>
      <x:c r="U567" s="120"/>
      <x:c r="V567" s="122"/>
      <x:c r="W567" s="120"/>
      <x:c r="X567" s="121"/>
      <x:c r="Y567" s="122"/>
      <x:c r="Z567" s="120"/>
      <x:c r="AA567" s="122"/>
      <x:c r="AB567" s="120"/>
      <x:c r="AC567" s="121"/>
      <x:c r="AD567" s="122"/>
      <x:c r="AE567" s="120"/>
      <x:c r="AF567" s="122"/>
      <x:c r="AG567" s="120"/>
      <x:c r="AH567" s="121"/>
      <x:c r="AI567" s="122"/>
      <x:c r="AJ567" s="120"/>
      <x:c r="AK567" s="122"/>
      <x:c r="AL567" s="120"/>
      <x:c r="AM567" s="121"/>
      <x:c r="AN567" s="122"/>
      <x:c r="AO567" s="120"/>
      <x:c r="AP567" s="122"/>
    </x:row>
    <x:row r="568" ht="15.75" customHeight="1">
      <x:c r="K568" s="120"/>
      <x:c r="M568" s="120"/>
      <x:c r="N568" s="121"/>
      <x:c r="P568" s="120"/>
      <x:c r="R568" s="120"/>
      <x:c r="S568" s="121"/>
      <x:c r="T568" s="122"/>
      <x:c r="U568" s="120"/>
      <x:c r="V568" s="122"/>
      <x:c r="W568" s="120"/>
      <x:c r="X568" s="121"/>
      <x:c r="Y568" s="122"/>
      <x:c r="Z568" s="120"/>
      <x:c r="AA568" s="122"/>
      <x:c r="AB568" s="120"/>
      <x:c r="AC568" s="121"/>
      <x:c r="AD568" s="122"/>
      <x:c r="AE568" s="120"/>
      <x:c r="AF568" s="122"/>
      <x:c r="AG568" s="120"/>
      <x:c r="AH568" s="121"/>
      <x:c r="AI568" s="122"/>
      <x:c r="AJ568" s="120"/>
      <x:c r="AK568" s="122"/>
      <x:c r="AL568" s="120"/>
      <x:c r="AM568" s="121"/>
      <x:c r="AN568" s="122"/>
      <x:c r="AO568" s="120"/>
      <x:c r="AP568" s="122"/>
    </x:row>
    <x:row r="569" ht="15.75" customHeight="1">
      <x:c r="K569" s="120"/>
      <x:c r="M569" s="120"/>
      <x:c r="N569" s="121"/>
      <x:c r="P569" s="120"/>
      <x:c r="R569" s="120"/>
      <x:c r="S569" s="121"/>
      <x:c r="T569" s="122"/>
      <x:c r="U569" s="120"/>
      <x:c r="V569" s="122"/>
      <x:c r="W569" s="120"/>
      <x:c r="X569" s="121"/>
      <x:c r="Y569" s="122"/>
      <x:c r="Z569" s="120"/>
      <x:c r="AA569" s="122"/>
      <x:c r="AB569" s="120"/>
      <x:c r="AC569" s="121"/>
      <x:c r="AD569" s="122"/>
      <x:c r="AE569" s="120"/>
      <x:c r="AF569" s="122"/>
      <x:c r="AG569" s="120"/>
      <x:c r="AH569" s="121"/>
      <x:c r="AI569" s="122"/>
      <x:c r="AJ569" s="120"/>
      <x:c r="AK569" s="122"/>
      <x:c r="AL569" s="120"/>
      <x:c r="AM569" s="121"/>
      <x:c r="AN569" s="122"/>
      <x:c r="AO569" s="120"/>
      <x:c r="AP569" s="122"/>
    </x:row>
    <x:row r="570" ht="15.75" customHeight="1">
      <x:c r="K570" s="120"/>
      <x:c r="M570" s="120"/>
      <x:c r="N570" s="121"/>
      <x:c r="P570" s="120"/>
      <x:c r="R570" s="120"/>
      <x:c r="S570" s="121"/>
      <x:c r="T570" s="122"/>
      <x:c r="U570" s="120"/>
      <x:c r="V570" s="122"/>
      <x:c r="W570" s="120"/>
      <x:c r="X570" s="121"/>
      <x:c r="Y570" s="122"/>
      <x:c r="Z570" s="120"/>
      <x:c r="AA570" s="122"/>
      <x:c r="AB570" s="120"/>
      <x:c r="AC570" s="121"/>
      <x:c r="AD570" s="122"/>
      <x:c r="AE570" s="120"/>
      <x:c r="AF570" s="122"/>
      <x:c r="AG570" s="120"/>
      <x:c r="AH570" s="121"/>
      <x:c r="AI570" s="122"/>
      <x:c r="AJ570" s="120"/>
      <x:c r="AK570" s="122"/>
      <x:c r="AL570" s="120"/>
      <x:c r="AM570" s="121"/>
      <x:c r="AN570" s="122"/>
      <x:c r="AO570" s="120"/>
      <x:c r="AP570" s="122"/>
    </x:row>
    <x:row r="571" ht="15.75" customHeight="1">
      <x:c r="K571" s="120"/>
      <x:c r="M571" s="120"/>
      <x:c r="N571" s="121"/>
      <x:c r="P571" s="120"/>
      <x:c r="R571" s="120"/>
      <x:c r="S571" s="121"/>
      <x:c r="T571" s="122"/>
      <x:c r="U571" s="120"/>
      <x:c r="V571" s="122"/>
      <x:c r="W571" s="120"/>
      <x:c r="X571" s="121"/>
      <x:c r="Y571" s="122"/>
      <x:c r="Z571" s="120"/>
      <x:c r="AA571" s="122"/>
      <x:c r="AB571" s="120"/>
      <x:c r="AC571" s="121"/>
      <x:c r="AD571" s="122"/>
      <x:c r="AE571" s="120"/>
      <x:c r="AF571" s="122"/>
      <x:c r="AG571" s="120"/>
      <x:c r="AH571" s="121"/>
      <x:c r="AI571" s="122"/>
      <x:c r="AJ571" s="120"/>
      <x:c r="AK571" s="122"/>
      <x:c r="AL571" s="120"/>
      <x:c r="AM571" s="121"/>
      <x:c r="AN571" s="122"/>
      <x:c r="AO571" s="120"/>
      <x:c r="AP571" s="122"/>
    </x:row>
    <x:row r="572" ht="15.75" customHeight="1">
      <x:c r="K572" s="120"/>
      <x:c r="M572" s="120"/>
      <x:c r="N572" s="121"/>
      <x:c r="P572" s="120"/>
      <x:c r="R572" s="120"/>
      <x:c r="S572" s="121"/>
      <x:c r="T572" s="122"/>
      <x:c r="U572" s="120"/>
      <x:c r="V572" s="122"/>
      <x:c r="W572" s="120"/>
      <x:c r="X572" s="121"/>
      <x:c r="Y572" s="122"/>
      <x:c r="Z572" s="120"/>
      <x:c r="AA572" s="122"/>
      <x:c r="AB572" s="120"/>
      <x:c r="AC572" s="121"/>
      <x:c r="AD572" s="122"/>
      <x:c r="AE572" s="120"/>
      <x:c r="AF572" s="122"/>
      <x:c r="AG572" s="120"/>
      <x:c r="AH572" s="121"/>
      <x:c r="AI572" s="122"/>
      <x:c r="AJ572" s="120"/>
      <x:c r="AK572" s="122"/>
      <x:c r="AL572" s="120"/>
      <x:c r="AM572" s="121"/>
      <x:c r="AN572" s="122"/>
      <x:c r="AO572" s="120"/>
      <x:c r="AP572" s="122"/>
    </x:row>
    <x:row r="573" ht="15.75" customHeight="1">
      <x:c r="K573" s="120"/>
      <x:c r="M573" s="120"/>
      <x:c r="N573" s="121"/>
      <x:c r="P573" s="120"/>
      <x:c r="R573" s="120"/>
      <x:c r="S573" s="121"/>
      <x:c r="T573" s="122"/>
      <x:c r="U573" s="120"/>
      <x:c r="V573" s="122"/>
      <x:c r="W573" s="120"/>
      <x:c r="X573" s="121"/>
      <x:c r="Y573" s="122"/>
      <x:c r="Z573" s="120"/>
      <x:c r="AA573" s="122"/>
      <x:c r="AB573" s="120"/>
      <x:c r="AC573" s="121"/>
      <x:c r="AD573" s="122"/>
      <x:c r="AE573" s="120"/>
      <x:c r="AF573" s="122"/>
      <x:c r="AG573" s="120"/>
      <x:c r="AH573" s="121"/>
      <x:c r="AI573" s="122"/>
      <x:c r="AJ573" s="120"/>
      <x:c r="AK573" s="122"/>
      <x:c r="AL573" s="120"/>
      <x:c r="AM573" s="121"/>
      <x:c r="AN573" s="122"/>
      <x:c r="AO573" s="120"/>
      <x:c r="AP573" s="122"/>
    </x:row>
    <x:row r="574" ht="15.75" customHeight="1">
      <x:c r="K574" s="120"/>
      <x:c r="M574" s="120"/>
      <x:c r="N574" s="121"/>
      <x:c r="P574" s="120"/>
      <x:c r="R574" s="120"/>
      <x:c r="S574" s="121"/>
      <x:c r="T574" s="122"/>
      <x:c r="U574" s="120"/>
      <x:c r="V574" s="122"/>
      <x:c r="W574" s="120"/>
      <x:c r="X574" s="121"/>
      <x:c r="Y574" s="122"/>
      <x:c r="Z574" s="120"/>
      <x:c r="AA574" s="122"/>
      <x:c r="AB574" s="120"/>
      <x:c r="AC574" s="121"/>
      <x:c r="AD574" s="122"/>
      <x:c r="AE574" s="120"/>
      <x:c r="AF574" s="122"/>
      <x:c r="AG574" s="120"/>
      <x:c r="AH574" s="121"/>
      <x:c r="AI574" s="122"/>
      <x:c r="AJ574" s="120"/>
      <x:c r="AK574" s="122"/>
      <x:c r="AL574" s="120"/>
      <x:c r="AM574" s="121"/>
      <x:c r="AN574" s="122"/>
      <x:c r="AO574" s="120"/>
      <x:c r="AP574" s="122"/>
    </x:row>
    <x:row r="575" ht="15.75" customHeight="1">
      <x:c r="K575" s="120"/>
      <x:c r="M575" s="120"/>
      <x:c r="N575" s="121"/>
      <x:c r="P575" s="120"/>
      <x:c r="R575" s="120"/>
      <x:c r="S575" s="121"/>
      <x:c r="T575" s="122"/>
      <x:c r="U575" s="120"/>
      <x:c r="V575" s="122"/>
      <x:c r="W575" s="120"/>
      <x:c r="X575" s="121"/>
      <x:c r="Y575" s="122"/>
      <x:c r="Z575" s="120"/>
      <x:c r="AA575" s="122"/>
      <x:c r="AB575" s="120"/>
      <x:c r="AC575" s="121"/>
      <x:c r="AD575" s="122"/>
      <x:c r="AE575" s="120"/>
      <x:c r="AF575" s="122"/>
      <x:c r="AG575" s="120"/>
      <x:c r="AH575" s="121"/>
      <x:c r="AI575" s="122"/>
      <x:c r="AJ575" s="120"/>
      <x:c r="AK575" s="122"/>
      <x:c r="AL575" s="120"/>
      <x:c r="AM575" s="121"/>
      <x:c r="AN575" s="122"/>
      <x:c r="AO575" s="120"/>
      <x:c r="AP575" s="122"/>
    </x:row>
    <x:row r="576" ht="15.75" customHeight="1">
      <x:c r="K576" s="120"/>
      <x:c r="M576" s="120"/>
      <x:c r="N576" s="121"/>
      <x:c r="P576" s="120"/>
      <x:c r="R576" s="120"/>
      <x:c r="S576" s="121"/>
      <x:c r="T576" s="122"/>
      <x:c r="U576" s="120"/>
      <x:c r="V576" s="122"/>
      <x:c r="W576" s="120"/>
      <x:c r="X576" s="121"/>
      <x:c r="Y576" s="122"/>
      <x:c r="Z576" s="120"/>
      <x:c r="AA576" s="122"/>
      <x:c r="AB576" s="120"/>
      <x:c r="AC576" s="121"/>
      <x:c r="AD576" s="122"/>
      <x:c r="AE576" s="120"/>
      <x:c r="AF576" s="122"/>
      <x:c r="AG576" s="120"/>
      <x:c r="AH576" s="121"/>
      <x:c r="AI576" s="122"/>
      <x:c r="AJ576" s="120"/>
      <x:c r="AK576" s="122"/>
      <x:c r="AL576" s="120"/>
      <x:c r="AM576" s="121"/>
      <x:c r="AN576" s="122"/>
      <x:c r="AO576" s="120"/>
      <x:c r="AP576" s="122"/>
    </x:row>
    <x:row r="577" ht="15.75" customHeight="1">
      <x:c r="K577" s="120"/>
      <x:c r="M577" s="120"/>
      <x:c r="N577" s="121"/>
      <x:c r="P577" s="120"/>
      <x:c r="R577" s="120"/>
      <x:c r="S577" s="121"/>
      <x:c r="T577" s="122"/>
      <x:c r="U577" s="120"/>
      <x:c r="V577" s="122"/>
      <x:c r="W577" s="120"/>
      <x:c r="X577" s="121"/>
      <x:c r="Y577" s="122"/>
      <x:c r="Z577" s="120"/>
      <x:c r="AA577" s="122"/>
      <x:c r="AB577" s="120"/>
      <x:c r="AC577" s="121"/>
      <x:c r="AD577" s="122"/>
      <x:c r="AE577" s="120"/>
      <x:c r="AF577" s="122"/>
      <x:c r="AG577" s="120"/>
      <x:c r="AH577" s="121"/>
      <x:c r="AI577" s="122"/>
      <x:c r="AJ577" s="120"/>
      <x:c r="AK577" s="122"/>
      <x:c r="AL577" s="120"/>
      <x:c r="AM577" s="121"/>
      <x:c r="AN577" s="122"/>
      <x:c r="AO577" s="120"/>
      <x:c r="AP577" s="122"/>
    </x:row>
    <x:row r="578" ht="15.75" customHeight="1">
      <x:c r="K578" s="120"/>
      <x:c r="M578" s="120"/>
      <x:c r="N578" s="121"/>
      <x:c r="P578" s="120"/>
      <x:c r="R578" s="120"/>
      <x:c r="S578" s="121"/>
      <x:c r="T578" s="122"/>
      <x:c r="U578" s="120"/>
      <x:c r="V578" s="122"/>
      <x:c r="W578" s="120"/>
      <x:c r="X578" s="121"/>
      <x:c r="Y578" s="122"/>
      <x:c r="Z578" s="120"/>
      <x:c r="AA578" s="122"/>
      <x:c r="AB578" s="120"/>
      <x:c r="AC578" s="121"/>
      <x:c r="AD578" s="122"/>
      <x:c r="AE578" s="120"/>
      <x:c r="AF578" s="122"/>
      <x:c r="AG578" s="120"/>
      <x:c r="AH578" s="121"/>
      <x:c r="AI578" s="122"/>
      <x:c r="AJ578" s="120"/>
      <x:c r="AK578" s="122"/>
      <x:c r="AL578" s="120"/>
      <x:c r="AM578" s="121"/>
      <x:c r="AN578" s="122"/>
      <x:c r="AO578" s="120"/>
      <x:c r="AP578" s="122"/>
    </x:row>
    <x:row r="579" ht="15.75" customHeight="1">
      <x:c r="K579" s="120"/>
      <x:c r="M579" s="120"/>
      <x:c r="N579" s="121"/>
      <x:c r="P579" s="120"/>
      <x:c r="R579" s="120"/>
      <x:c r="S579" s="121"/>
      <x:c r="T579" s="122"/>
      <x:c r="U579" s="120"/>
      <x:c r="V579" s="122"/>
      <x:c r="W579" s="120"/>
      <x:c r="X579" s="121"/>
      <x:c r="Y579" s="122"/>
      <x:c r="Z579" s="120"/>
      <x:c r="AA579" s="122"/>
      <x:c r="AB579" s="120"/>
      <x:c r="AC579" s="121"/>
      <x:c r="AD579" s="122"/>
      <x:c r="AE579" s="120"/>
      <x:c r="AF579" s="122"/>
      <x:c r="AG579" s="120"/>
      <x:c r="AH579" s="121"/>
      <x:c r="AI579" s="122"/>
      <x:c r="AJ579" s="120"/>
      <x:c r="AK579" s="122"/>
      <x:c r="AL579" s="120"/>
      <x:c r="AM579" s="121"/>
      <x:c r="AN579" s="122"/>
      <x:c r="AO579" s="120"/>
      <x:c r="AP579" s="122"/>
    </x:row>
    <x:row r="580" ht="15.75" customHeight="1">
      <x:c r="K580" s="120"/>
      <x:c r="M580" s="120"/>
      <x:c r="N580" s="121"/>
      <x:c r="P580" s="120"/>
      <x:c r="R580" s="120"/>
      <x:c r="S580" s="121"/>
      <x:c r="T580" s="122"/>
      <x:c r="U580" s="120"/>
      <x:c r="V580" s="122"/>
      <x:c r="W580" s="120"/>
      <x:c r="X580" s="121"/>
      <x:c r="Y580" s="122"/>
      <x:c r="Z580" s="120"/>
      <x:c r="AA580" s="122"/>
      <x:c r="AB580" s="120"/>
      <x:c r="AC580" s="121"/>
      <x:c r="AD580" s="122"/>
      <x:c r="AE580" s="120"/>
      <x:c r="AF580" s="122"/>
      <x:c r="AG580" s="120"/>
      <x:c r="AH580" s="121"/>
      <x:c r="AI580" s="122"/>
      <x:c r="AJ580" s="120"/>
      <x:c r="AK580" s="122"/>
      <x:c r="AL580" s="120"/>
      <x:c r="AM580" s="121"/>
      <x:c r="AN580" s="122"/>
      <x:c r="AO580" s="120"/>
      <x:c r="AP580" s="122"/>
    </x:row>
    <x:row r="581" ht="15.75" customHeight="1">
      <x:c r="K581" s="120"/>
      <x:c r="M581" s="120"/>
      <x:c r="N581" s="121"/>
      <x:c r="P581" s="120"/>
      <x:c r="R581" s="120"/>
      <x:c r="S581" s="121"/>
      <x:c r="T581" s="122"/>
      <x:c r="U581" s="120"/>
      <x:c r="V581" s="122"/>
      <x:c r="W581" s="120"/>
      <x:c r="X581" s="121"/>
      <x:c r="Y581" s="122"/>
      <x:c r="Z581" s="120"/>
      <x:c r="AA581" s="122"/>
      <x:c r="AB581" s="120"/>
      <x:c r="AC581" s="121"/>
      <x:c r="AD581" s="122"/>
      <x:c r="AE581" s="120"/>
      <x:c r="AF581" s="122"/>
      <x:c r="AG581" s="120"/>
      <x:c r="AH581" s="121"/>
      <x:c r="AI581" s="122"/>
      <x:c r="AJ581" s="120"/>
      <x:c r="AK581" s="122"/>
      <x:c r="AL581" s="120"/>
      <x:c r="AM581" s="121"/>
      <x:c r="AN581" s="122"/>
      <x:c r="AO581" s="120"/>
      <x:c r="AP581" s="122"/>
    </x:row>
    <x:row r="582" ht="15.75" customHeight="1">
      <x:c r="K582" s="120"/>
      <x:c r="M582" s="120"/>
      <x:c r="N582" s="121"/>
      <x:c r="P582" s="120"/>
      <x:c r="R582" s="120"/>
      <x:c r="S582" s="121"/>
      <x:c r="T582" s="122"/>
      <x:c r="U582" s="120"/>
      <x:c r="V582" s="122"/>
      <x:c r="W582" s="120"/>
      <x:c r="X582" s="121"/>
      <x:c r="Y582" s="122"/>
      <x:c r="Z582" s="120"/>
      <x:c r="AA582" s="122"/>
      <x:c r="AB582" s="120"/>
      <x:c r="AC582" s="121"/>
      <x:c r="AD582" s="122"/>
      <x:c r="AE582" s="120"/>
      <x:c r="AF582" s="122"/>
      <x:c r="AG582" s="120"/>
      <x:c r="AH582" s="121"/>
      <x:c r="AI582" s="122"/>
      <x:c r="AJ582" s="120"/>
      <x:c r="AK582" s="122"/>
      <x:c r="AL582" s="120"/>
      <x:c r="AM582" s="121"/>
      <x:c r="AN582" s="122"/>
      <x:c r="AO582" s="120"/>
      <x:c r="AP582" s="122"/>
    </x:row>
    <x:row r="583" ht="15.75" customHeight="1">
      <x:c r="K583" s="120"/>
      <x:c r="M583" s="120"/>
      <x:c r="N583" s="121"/>
      <x:c r="P583" s="120"/>
      <x:c r="R583" s="120"/>
      <x:c r="S583" s="121"/>
      <x:c r="T583" s="122"/>
      <x:c r="U583" s="120"/>
      <x:c r="V583" s="122"/>
      <x:c r="W583" s="120"/>
      <x:c r="X583" s="121"/>
      <x:c r="Y583" s="122"/>
      <x:c r="Z583" s="120"/>
      <x:c r="AA583" s="122"/>
      <x:c r="AB583" s="120"/>
      <x:c r="AC583" s="121"/>
      <x:c r="AD583" s="122"/>
      <x:c r="AE583" s="120"/>
      <x:c r="AF583" s="122"/>
      <x:c r="AG583" s="120"/>
      <x:c r="AH583" s="121"/>
      <x:c r="AI583" s="122"/>
      <x:c r="AJ583" s="120"/>
      <x:c r="AK583" s="122"/>
      <x:c r="AL583" s="120"/>
      <x:c r="AM583" s="121"/>
      <x:c r="AN583" s="122"/>
      <x:c r="AO583" s="120"/>
      <x:c r="AP583" s="122"/>
    </x:row>
    <x:row r="584" ht="15.75" customHeight="1">
      <x:c r="K584" s="120"/>
      <x:c r="M584" s="120"/>
      <x:c r="N584" s="121"/>
      <x:c r="P584" s="120"/>
      <x:c r="R584" s="120"/>
      <x:c r="S584" s="121"/>
      <x:c r="T584" s="122"/>
      <x:c r="U584" s="120"/>
      <x:c r="V584" s="122"/>
      <x:c r="W584" s="120"/>
      <x:c r="X584" s="121"/>
      <x:c r="Y584" s="122"/>
      <x:c r="Z584" s="120"/>
      <x:c r="AA584" s="122"/>
      <x:c r="AB584" s="120"/>
      <x:c r="AC584" s="121"/>
      <x:c r="AD584" s="122"/>
      <x:c r="AE584" s="120"/>
      <x:c r="AF584" s="122"/>
      <x:c r="AG584" s="120"/>
      <x:c r="AH584" s="121"/>
      <x:c r="AI584" s="122"/>
      <x:c r="AJ584" s="120"/>
      <x:c r="AK584" s="122"/>
      <x:c r="AL584" s="120"/>
      <x:c r="AM584" s="121"/>
      <x:c r="AN584" s="122"/>
      <x:c r="AO584" s="120"/>
      <x:c r="AP584" s="122"/>
    </x:row>
    <x:row r="585" ht="15.75" customHeight="1">
      <x:c r="K585" s="120"/>
      <x:c r="M585" s="120"/>
      <x:c r="N585" s="121"/>
      <x:c r="P585" s="120"/>
      <x:c r="R585" s="120"/>
      <x:c r="S585" s="121"/>
      <x:c r="T585" s="122"/>
      <x:c r="U585" s="120"/>
      <x:c r="V585" s="122"/>
      <x:c r="W585" s="120"/>
      <x:c r="X585" s="121"/>
      <x:c r="Y585" s="122"/>
      <x:c r="Z585" s="120"/>
      <x:c r="AA585" s="122"/>
      <x:c r="AB585" s="120"/>
      <x:c r="AC585" s="121"/>
      <x:c r="AD585" s="122"/>
      <x:c r="AE585" s="120"/>
      <x:c r="AF585" s="122"/>
      <x:c r="AG585" s="120"/>
      <x:c r="AH585" s="121"/>
      <x:c r="AI585" s="122"/>
      <x:c r="AJ585" s="120"/>
      <x:c r="AK585" s="122"/>
      <x:c r="AL585" s="120"/>
      <x:c r="AM585" s="121"/>
      <x:c r="AN585" s="122"/>
      <x:c r="AO585" s="120"/>
      <x:c r="AP585" s="122"/>
    </x:row>
    <x:row r="586" ht="15.75" customHeight="1">
      <x:c r="K586" s="120"/>
      <x:c r="M586" s="120"/>
      <x:c r="N586" s="121"/>
      <x:c r="P586" s="120"/>
      <x:c r="R586" s="120"/>
      <x:c r="S586" s="121"/>
      <x:c r="T586" s="122"/>
      <x:c r="U586" s="120"/>
      <x:c r="V586" s="122"/>
      <x:c r="W586" s="120"/>
      <x:c r="X586" s="121"/>
      <x:c r="Y586" s="122"/>
      <x:c r="Z586" s="120"/>
      <x:c r="AA586" s="122"/>
      <x:c r="AB586" s="120"/>
      <x:c r="AC586" s="121"/>
      <x:c r="AD586" s="122"/>
      <x:c r="AE586" s="120"/>
      <x:c r="AF586" s="122"/>
      <x:c r="AG586" s="120"/>
      <x:c r="AH586" s="121"/>
      <x:c r="AI586" s="122"/>
      <x:c r="AJ586" s="120"/>
      <x:c r="AK586" s="122"/>
      <x:c r="AL586" s="120"/>
      <x:c r="AM586" s="121"/>
      <x:c r="AN586" s="122"/>
      <x:c r="AO586" s="120"/>
      <x:c r="AP586" s="122"/>
    </x:row>
    <x:row r="587" ht="15.75" customHeight="1">
      <x:c r="K587" s="120"/>
      <x:c r="M587" s="120"/>
      <x:c r="N587" s="121"/>
      <x:c r="P587" s="120"/>
      <x:c r="R587" s="120"/>
      <x:c r="S587" s="121"/>
      <x:c r="T587" s="122"/>
      <x:c r="U587" s="120"/>
      <x:c r="V587" s="122"/>
      <x:c r="W587" s="120"/>
      <x:c r="X587" s="121"/>
      <x:c r="Y587" s="122"/>
      <x:c r="Z587" s="120"/>
      <x:c r="AA587" s="122"/>
      <x:c r="AB587" s="120"/>
      <x:c r="AC587" s="121"/>
      <x:c r="AD587" s="122"/>
      <x:c r="AE587" s="120"/>
      <x:c r="AF587" s="122"/>
      <x:c r="AG587" s="120"/>
      <x:c r="AH587" s="121"/>
      <x:c r="AI587" s="122"/>
      <x:c r="AJ587" s="120"/>
      <x:c r="AK587" s="122"/>
      <x:c r="AL587" s="120"/>
      <x:c r="AM587" s="121"/>
      <x:c r="AN587" s="122"/>
      <x:c r="AO587" s="120"/>
      <x:c r="AP587" s="122"/>
    </x:row>
    <x:row r="588" ht="15.75" customHeight="1">
      <x:c r="K588" s="120"/>
      <x:c r="M588" s="120"/>
      <x:c r="N588" s="121"/>
      <x:c r="P588" s="120"/>
      <x:c r="R588" s="120"/>
      <x:c r="S588" s="121"/>
      <x:c r="T588" s="122"/>
      <x:c r="U588" s="120"/>
      <x:c r="V588" s="122"/>
      <x:c r="W588" s="120"/>
      <x:c r="X588" s="121"/>
      <x:c r="Y588" s="122"/>
      <x:c r="Z588" s="120"/>
      <x:c r="AA588" s="122"/>
      <x:c r="AB588" s="120"/>
      <x:c r="AC588" s="121"/>
      <x:c r="AD588" s="122"/>
      <x:c r="AE588" s="120"/>
      <x:c r="AF588" s="122"/>
      <x:c r="AG588" s="120"/>
      <x:c r="AH588" s="121"/>
      <x:c r="AI588" s="122"/>
      <x:c r="AJ588" s="120"/>
      <x:c r="AK588" s="122"/>
      <x:c r="AL588" s="120"/>
      <x:c r="AM588" s="121"/>
      <x:c r="AN588" s="122"/>
      <x:c r="AO588" s="120"/>
      <x:c r="AP588" s="122"/>
    </x:row>
    <x:row r="589" ht="15.75" customHeight="1">
      <x:c r="K589" s="120"/>
      <x:c r="M589" s="120"/>
      <x:c r="N589" s="121"/>
      <x:c r="P589" s="120"/>
      <x:c r="R589" s="120"/>
      <x:c r="S589" s="121"/>
      <x:c r="T589" s="122"/>
      <x:c r="U589" s="120"/>
      <x:c r="V589" s="122"/>
      <x:c r="W589" s="120"/>
      <x:c r="X589" s="121"/>
      <x:c r="Y589" s="122"/>
      <x:c r="Z589" s="120"/>
      <x:c r="AA589" s="122"/>
      <x:c r="AB589" s="120"/>
      <x:c r="AC589" s="121"/>
      <x:c r="AD589" s="122"/>
      <x:c r="AE589" s="120"/>
      <x:c r="AF589" s="122"/>
      <x:c r="AG589" s="120"/>
      <x:c r="AH589" s="121"/>
      <x:c r="AI589" s="122"/>
      <x:c r="AJ589" s="120"/>
      <x:c r="AK589" s="122"/>
      <x:c r="AL589" s="120"/>
      <x:c r="AM589" s="121"/>
      <x:c r="AN589" s="122"/>
      <x:c r="AO589" s="120"/>
      <x:c r="AP589" s="122"/>
    </x:row>
    <x:row r="590" ht="15.75" customHeight="1">
      <x:c r="K590" s="120"/>
      <x:c r="M590" s="120"/>
      <x:c r="N590" s="121"/>
      <x:c r="P590" s="120"/>
      <x:c r="R590" s="120"/>
      <x:c r="S590" s="121"/>
      <x:c r="T590" s="122"/>
      <x:c r="U590" s="120"/>
      <x:c r="V590" s="122"/>
      <x:c r="W590" s="120"/>
      <x:c r="X590" s="121"/>
      <x:c r="Y590" s="122"/>
      <x:c r="Z590" s="120"/>
      <x:c r="AA590" s="122"/>
      <x:c r="AB590" s="120"/>
      <x:c r="AC590" s="121"/>
      <x:c r="AD590" s="122"/>
      <x:c r="AE590" s="120"/>
      <x:c r="AF590" s="122"/>
      <x:c r="AG590" s="120"/>
      <x:c r="AH590" s="121"/>
      <x:c r="AI590" s="122"/>
      <x:c r="AJ590" s="120"/>
      <x:c r="AK590" s="122"/>
      <x:c r="AL590" s="120"/>
      <x:c r="AM590" s="121"/>
      <x:c r="AN590" s="122"/>
      <x:c r="AO590" s="120"/>
      <x:c r="AP590" s="122"/>
    </x:row>
    <x:row r="591" ht="15.75" customHeight="1">
      <x:c r="K591" s="120"/>
      <x:c r="M591" s="120"/>
      <x:c r="N591" s="121"/>
      <x:c r="P591" s="120"/>
      <x:c r="R591" s="120"/>
      <x:c r="S591" s="121"/>
      <x:c r="T591" s="122"/>
      <x:c r="U591" s="120"/>
      <x:c r="V591" s="122"/>
      <x:c r="W591" s="120"/>
      <x:c r="X591" s="121"/>
      <x:c r="Y591" s="122"/>
      <x:c r="Z591" s="120"/>
      <x:c r="AA591" s="122"/>
      <x:c r="AB591" s="120"/>
      <x:c r="AC591" s="121"/>
      <x:c r="AD591" s="122"/>
      <x:c r="AE591" s="120"/>
      <x:c r="AF591" s="122"/>
      <x:c r="AG591" s="120"/>
      <x:c r="AH591" s="121"/>
      <x:c r="AI591" s="122"/>
      <x:c r="AJ591" s="120"/>
      <x:c r="AK591" s="122"/>
      <x:c r="AL591" s="120"/>
      <x:c r="AM591" s="121"/>
      <x:c r="AN591" s="122"/>
      <x:c r="AO591" s="120"/>
      <x:c r="AP591" s="122"/>
    </x:row>
    <x:row r="592" ht="15.75" customHeight="1">
      <x:c r="K592" s="120"/>
      <x:c r="M592" s="120"/>
      <x:c r="N592" s="121"/>
      <x:c r="P592" s="120"/>
      <x:c r="R592" s="120"/>
      <x:c r="S592" s="121"/>
      <x:c r="T592" s="122"/>
      <x:c r="U592" s="120"/>
      <x:c r="V592" s="122"/>
      <x:c r="W592" s="120"/>
      <x:c r="X592" s="121"/>
      <x:c r="Y592" s="122"/>
      <x:c r="Z592" s="120"/>
      <x:c r="AA592" s="122"/>
      <x:c r="AB592" s="120"/>
      <x:c r="AC592" s="121"/>
      <x:c r="AD592" s="122"/>
      <x:c r="AE592" s="120"/>
      <x:c r="AF592" s="122"/>
      <x:c r="AG592" s="120"/>
      <x:c r="AH592" s="121"/>
      <x:c r="AI592" s="122"/>
      <x:c r="AJ592" s="120"/>
      <x:c r="AK592" s="122"/>
      <x:c r="AL592" s="120"/>
      <x:c r="AM592" s="121"/>
      <x:c r="AN592" s="122"/>
      <x:c r="AO592" s="120"/>
      <x:c r="AP592" s="122"/>
    </x:row>
    <x:row r="593" ht="15.75" customHeight="1">
      <x:c r="K593" s="120"/>
      <x:c r="M593" s="120"/>
      <x:c r="N593" s="121"/>
      <x:c r="P593" s="120"/>
      <x:c r="R593" s="120"/>
      <x:c r="S593" s="121"/>
      <x:c r="T593" s="122"/>
      <x:c r="U593" s="120"/>
      <x:c r="V593" s="122"/>
      <x:c r="W593" s="120"/>
      <x:c r="X593" s="121"/>
      <x:c r="Y593" s="122"/>
      <x:c r="Z593" s="120"/>
      <x:c r="AA593" s="122"/>
      <x:c r="AB593" s="120"/>
      <x:c r="AC593" s="121"/>
      <x:c r="AD593" s="122"/>
      <x:c r="AE593" s="120"/>
      <x:c r="AF593" s="122"/>
      <x:c r="AG593" s="120"/>
      <x:c r="AH593" s="121"/>
      <x:c r="AI593" s="122"/>
      <x:c r="AJ593" s="120"/>
      <x:c r="AK593" s="122"/>
      <x:c r="AL593" s="120"/>
      <x:c r="AM593" s="121"/>
      <x:c r="AN593" s="122"/>
      <x:c r="AO593" s="120"/>
      <x:c r="AP593" s="122"/>
    </x:row>
    <x:row r="594" ht="15.75" customHeight="1">
      <x:c r="K594" s="120"/>
      <x:c r="M594" s="120"/>
      <x:c r="N594" s="121"/>
      <x:c r="P594" s="120"/>
      <x:c r="R594" s="120"/>
      <x:c r="S594" s="121"/>
      <x:c r="T594" s="122"/>
      <x:c r="U594" s="120"/>
      <x:c r="V594" s="122"/>
      <x:c r="W594" s="120"/>
      <x:c r="X594" s="121"/>
      <x:c r="Y594" s="122"/>
      <x:c r="Z594" s="120"/>
      <x:c r="AA594" s="122"/>
      <x:c r="AB594" s="120"/>
      <x:c r="AC594" s="121"/>
      <x:c r="AD594" s="122"/>
      <x:c r="AE594" s="120"/>
      <x:c r="AF594" s="122"/>
      <x:c r="AG594" s="120"/>
      <x:c r="AH594" s="121"/>
      <x:c r="AI594" s="122"/>
      <x:c r="AJ594" s="120"/>
      <x:c r="AK594" s="122"/>
      <x:c r="AL594" s="120"/>
      <x:c r="AM594" s="121"/>
      <x:c r="AN594" s="122"/>
      <x:c r="AO594" s="120"/>
      <x:c r="AP594" s="122"/>
    </x:row>
    <x:row r="595" ht="15.75" customHeight="1">
      <x:c r="K595" s="120"/>
      <x:c r="M595" s="120"/>
      <x:c r="N595" s="121"/>
      <x:c r="P595" s="120"/>
      <x:c r="R595" s="120"/>
      <x:c r="S595" s="121"/>
      <x:c r="T595" s="122"/>
      <x:c r="U595" s="120"/>
      <x:c r="V595" s="122"/>
      <x:c r="W595" s="120"/>
      <x:c r="X595" s="121"/>
      <x:c r="Y595" s="122"/>
      <x:c r="Z595" s="120"/>
      <x:c r="AA595" s="122"/>
      <x:c r="AB595" s="120"/>
      <x:c r="AC595" s="121"/>
      <x:c r="AD595" s="122"/>
      <x:c r="AE595" s="120"/>
      <x:c r="AF595" s="122"/>
      <x:c r="AG595" s="120"/>
      <x:c r="AH595" s="121"/>
      <x:c r="AI595" s="122"/>
      <x:c r="AJ595" s="120"/>
      <x:c r="AK595" s="122"/>
      <x:c r="AL595" s="120"/>
      <x:c r="AM595" s="121"/>
      <x:c r="AN595" s="122"/>
      <x:c r="AO595" s="120"/>
      <x:c r="AP595" s="122"/>
    </x:row>
    <x:row r="596" ht="15.75" customHeight="1">
      <x:c r="K596" s="120"/>
      <x:c r="M596" s="120"/>
      <x:c r="N596" s="121"/>
      <x:c r="P596" s="120"/>
      <x:c r="R596" s="120"/>
      <x:c r="S596" s="121"/>
      <x:c r="T596" s="122"/>
      <x:c r="U596" s="120"/>
      <x:c r="V596" s="122"/>
      <x:c r="W596" s="120"/>
      <x:c r="X596" s="121"/>
      <x:c r="Y596" s="122"/>
      <x:c r="Z596" s="120"/>
      <x:c r="AA596" s="122"/>
      <x:c r="AB596" s="120"/>
      <x:c r="AC596" s="121"/>
      <x:c r="AD596" s="122"/>
      <x:c r="AE596" s="120"/>
      <x:c r="AF596" s="122"/>
      <x:c r="AG596" s="120"/>
      <x:c r="AH596" s="121"/>
      <x:c r="AI596" s="122"/>
      <x:c r="AJ596" s="120"/>
      <x:c r="AK596" s="122"/>
      <x:c r="AL596" s="120"/>
      <x:c r="AM596" s="121"/>
      <x:c r="AN596" s="122"/>
      <x:c r="AO596" s="120"/>
      <x:c r="AP596" s="122"/>
    </x:row>
    <x:row r="597" ht="15.75" customHeight="1">
      <x:c r="K597" s="120"/>
      <x:c r="M597" s="120"/>
      <x:c r="N597" s="121"/>
      <x:c r="P597" s="120"/>
      <x:c r="R597" s="120"/>
      <x:c r="S597" s="121"/>
      <x:c r="T597" s="122"/>
      <x:c r="U597" s="120"/>
      <x:c r="V597" s="122"/>
      <x:c r="W597" s="120"/>
      <x:c r="X597" s="121"/>
      <x:c r="Y597" s="122"/>
      <x:c r="Z597" s="120"/>
      <x:c r="AA597" s="122"/>
      <x:c r="AB597" s="120"/>
      <x:c r="AC597" s="121"/>
      <x:c r="AD597" s="122"/>
      <x:c r="AE597" s="120"/>
      <x:c r="AF597" s="122"/>
      <x:c r="AG597" s="120"/>
      <x:c r="AH597" s="121"/>
      <x:c r="AI597" s="122"/>
      <x:c r="AJ597" s="120"/>
      <x:c r="AK597" s="122"/>
      <x:c r="AL597" s="120"/>
      <x:c r="AM597" s="121"/>
      <x:c r="AN597" s="122"/>
      <x:c r="AO597" s="120"/>
      <x:c r="AP597" s="122"/>
    </x:row>
    <x:row r="598" ht="15.75" customHeight="1">
      <x:c r="K598" s="120"/>
      <x:c r="M598" s="120"/>
      <x:c r="N598" s="121"/>
      <x:c r="P598" s="120"/>
      <x:c r="R598" s="120"/>
      <x:c r="S598" s="121"/>
      <x:c r="T598" s="122"/>
      <x:c r="U598" s="120"/>
      <x:c r="V598" s="122"/>
      <x:c r="W598" s="120"/>
      <x:c r="X598" s="121"/>
      <x:c r="Y598" s="122"/>
      <x:c r="Z598" s="120"/>
      <x:c r="AA598" s="122"/>
      <x:c r="AB598" s="120"/>
      <x:c r="AC598" s="121"/>
      <x:c r="AD598" s="122"/>
      <x:c r="AE598" s="120"/>
      <x:c r="AF598" s="122"/>
      <x:c r="AG598" s="120"/>
      <x:c r="AH598" s="121"/>
      <x:c r="AI598" s="122"/>
      <x:c r="AJ598" s="120"/>
      <x:c r="AK598" s="122"/>
      <x:c r="AL598" s="120"/>
      <x:c r="AM598" s="121"/>
      <x:c r="AN598" s="122"/>
      <x:c r="AO598" s="120"/>
      <x:c r="AP598" s="122"/>
    </x:row>
    <x:row r="599" ht="15.75" customHeight="1">
      <x:c r="K599" s="120"/>
      <x:c r="M599" s="120"/>
      <x:c r="N599" s="121"/>
      <x:c r="P599" s="120"/>
      <x:c r="R599" s="120"/>
      <x:c r="S599" s="121"/>
      <x:c r="T599" s="122"/>
      <x:c r="U599" s="120"/>
      <x:c r="V599" s="122"/>
      <x:c r="W599" s="120"/>
      <x:c r="X599" s="121"/>
      <x:c r="Y599" s="122"/>
      <x:c r="Z599" s="120"/>
      <x:c r="AA599" s="122"/>
      <x:c r="AB599" s="120"/>
      <x:c r="AC599" s="121"/>
      <x:c r="AD599" s="122"/>
      <x:c r="AE599" s="120"/>
      <x:c r="AF599" s="122"/>
      <x:c r="AG599" s="120"/>
      <x:c r="AH599" s="121"/>
      <x:c r="AI599" s="122"/>
      <x:c r="AJ599" s="120"/>
      <x:c r="AK599" s="122"/>
      <x:c r="AL599" s="120"/>
      <x:c r="AM599" s="121"/>
      <x:c r="AN599" s="122"/>
      <x:c r="AO599" s="120"/>
      <x:c r="AP599" s="122"/>
    </x:row>
    <x:row r="600" ht="15.75" customHeight="1">
      <x:c r="K600" s="120"/>
      <x:c r="M600" s="120"/>
      <x:c r="N600" s="121"/>
      <x:c r="P600" s="120"/>
      <x:c r="R600" s="120"/>
      <x:c r="S600" s="121"/>
      <x:c r="T600" s="122"/>
      <x:c r="U600" s="120"/>
      <x:c r="V600" s="122"/>
      <x:c r="W600" s="120"/>
      <x:c r="X600" s="121"/>
      <x:c r="Y600" s="122"/>
      <x:c r="Z600" s="120"/>
      <x:c r="AA600" s="122"/>
      <x:c r="AB600" s="120"/>
      <x:c r="AC600" s="121"/>
      <x:c r="AD600" s="122"/>
      <x:c r="AE600" s="120"/>
      <x:c r="AF600" s="122"/>
      <x:c r="AG600" s="120"/>
      <x:c r="AH600" s="121"/>
      <x:c r="AI600" s="122"/>
      <x:c r="AJ600" s="120"/>
      <x:c r="AK600" s="122"/>
      <x:c r="AL600" s="120"/>
      <x:c r="AM600" s="121"/>
      <x:c r="AN600" s="122"/>
      <x:c r="AO600" s="120"/>
      <x:c r="AP600" s="122"/>
    </x:row>
    <x:row r="601" ht="15.75" customHeight="1">
      <x:c r="K601" s="120"/>
      <x:c r="M601" s="120"/>
      <x:c r="N601" s="121"/>
      <x:c r="P601" s="120"/>
      <x:c r="R601" s="120"/>
      <x:c r="S601" s="121"/>
      <x:c r="T601" s="122"/>
      <x:c r="U601" s="120"/>
      <x:c r="V601" s="122"/>
      <x:c r="W601" s="120"/>
      <x:c r="X601" s="121"/>
      <x:c r="Y601" s="122"/>
      <x:c r="Z601" s="120"/>
      <x:c r="AA601" s="122"/>
      <x:c r="AB601" s="120"/>
      <x:c r="AC601" s="121"/>
      <x:c r="AD601" s="122"/>
      <x:c r="AE601" s="120"/>
      <x:c r="AF601" s="122"/>
      <x:c r="AG601" s="120"/>
      <x:c r="AH601" s="121"/>
      <x:c r="AI601" s="122"/>
      <x:c r="AJ601" s="120"/>
      <x:c r="AK601" s="122"/>
      <x:c r="AL601" s="120"/>
      <x:c r="AM601" s="121"/>
      <x:c r="AN601" s="122"/>
      <x:c r="AO601" s="120"/>
      <x:c r="AP601" s="122"/>
    </x:row>
    <x:row r="602" ht="15.75" customHeight="1">
      <x:c r="K602" s="120"/>
      <x:c r="M602" s="120"/>
      <x:c r="N602" s="121"/>
      <x:c r="P602" s="120"/>
      <x:c r="R602" s="120"/>
      <x:c r="S602" s="121"/>
      <x:c r="T602" s="122"/>
      <x:c r="U602" s="120"/>
      <x:c r="V602" s="122"/>
      <x:c r="W602" s="120"/>
      <x:c r="X602" s="121"/>
      <x:c r="Y602" s="122"/>
      <x:c r="Z602" s="120"/>
      <x:c r="AA602" s="122"/>
      <x:c r="AB602" s="120"/>
      <x:c r="AC602" s="121"/>
      <x:c r="AD602" s="122"/>
      <x:c r="AE602" s="120"/>
      <x:c r="AF602" s="122"/>
      <x:c r="AG602" s="120"/>
      <x:c r="AH602" s="121"/>
      <x:c r="AI602" s="122"/>
      <x:c r="AJ602" s="120"/>
      <x:c r="AK602" s="122"/>
      <x:c r="AL602" s="120"/>
      <x:c r="AM602" s="121"/>
      <x:c r="AN602" s="122"/>
      <x:c r="AO602" s="120"/>
      <x:c r="AP602" s="122"/>
    </x:row>
    <x:row r="603" ht="15.75" customHeight="1">
      <x:c r="K603" s="120"/>
      <x:c r="M603" s="120"/>
      <x:c r="N603" s="121"/>
      <x:c r="P603" s="120"/>
      <x:c r="R603" s="120"/>
      <x:c r="S603" s="121"/>
      <x:c r="T603" s="122"/>
      <x:c r="U603" s="120"/>
      <x:c r="V603" s="122"/>
      <x:c r="W603" s="120"/>
      <x:c r="X603" s="121"/>
      <x:c r="Y603" s="122"/>
      <x:c r="Z603" s="120"/>
      <x:c r="AA603" s="122"/>
      <x:c r="AB603" s="120"/>
      <x:c r="AC603" s="121"/>
      <x:c r="AD603" s="122"/>
      <x:c r="AE603" s="120"/>
      <x:c r="AF603" s="122"/>
      <x:c r="AG603" s="120"/>
      <x:c r="AH603" s="121"/>
      <x:c r="AI603" s="122"/>
      <x:c r="AJ603" s="120"/>
      <x:c r="AK603" s="122"/>
      <x:c r="AL603" s="120"/>
      <x:c r="AM603" s="121"/>
      <x:c r="AN603" s="122"/>
      <x:c r="AO603" s="120"/>
      <x:c r="AP603" s="122"/>
    </x:row>
    <x:row r="604" ht="15.75" customHeight="1">
      <x:c r="K604" s="120"/>
      <x:c r="M604" s="120"/>
      <x:c r="N604" s="121"/>
      <x:c r="P604" s="120"/>
      <x:c r="R604" s="120"/>
      <x:c r="S604" s="121"/>
      <x:c r="T604" s="122"/>
      <x:c r="U604" s="120"/>
      <x:c r="V604" s="122"/>
      <x:c r="W604" s="120"/>
      <x:c r="X604" s="121"/>
      <x:c r="Y604" s="122"/>
      <x:c r="Z604" s="120"/>
      <x:c r="AA604" s="122"/>
      <x:c r="AB604" s="120"/>
      <x:c r="AC604" s="121"/>
      <x:c r="AD604" s="122"/>
      <x:c r="AE604" s="120"/>
      <x:c r="AF604" s="122"/>
      <x:c r="AG604" s="120"/>
      <x:c r="AH604" s="121"/>
      <x:c r="AI604" s="122"/>
      <x:c r="AJ604" s="120"/>
      <x:c r="AK604" s="122"/>
      <x:c r="AL604" s="120"/>
      <x:c r="AM604" s="121"/>
      <x:c r="AN604" s="122"/>
      <x:c r="AO604" s="120"/>
      <x:c r="AP604" s="122"/>
    </x:row>
    <x:row r="605" ht="15.75" customHeight="1">
      <x:c r="K605" s="120"/>
      <x:c r="M605" s="120"/>
      <x:c r="N605" s="121"/>
      <x:c r="P605" s="120"/>
      <x:c r="R605" s="120"/>
      <x:c r="S605" s="121"/>
      <x:c r="T605" s="122"/>
      <x:c r="U605" s="120"/>
      <x:c r="V605" s="122"/>
      <x:c r="W605" s="120"/>
      <x:c r="X605" s="121"/>
      <x:c r="Y605" s="122"/>
      <x:c r="Z605" s="120"/>
      <x:c r="AA605" s="122"/>
      <x:c r="AB605" s="120"/>
      <x:c r="AC605" s="121"/>
      <x:c r="AD605" s="122"/>
      <x:c r="AE605" s="120"/>
      <x:c r="AF605" s="122"/>
      <x:c r="AG605" s="120"/>
      <x:c r="AH605" s="121"/>
      <x:c r="AI605" s="122"/>
      <x:c r="AJ605" s="120"/>
      <x:c r="AK605" s="122"/>
      <x:c r="AL605" s="120"/>
      <x:c r="AM605" s="121"/>
      <x:c r="AN605" s="122"/>
      <x:c r="AO605" s="120"/>
      <x:c r="AP605" s="122"/>
    </x:row>
    <x:row r="606" ht="15.75" customHeight="1">
      <x:c r="K606" s="120"/>
      <x:c r="M606" s="120"/>
      <x:c r="N606" s="121"/>
      <x:c r="P606" s="120"/>
      <x:c r="R606" s="120"/>
      <x:c r="S606" s="121"/>
      <x:c r="T606" s="122"/>
      <x:c r="U606" s="120"/>
      <x:c r="V606" s="122"/>
      <x:c r="W606" s="120"/>
      <x:c r="X606" s="121"/>
      <x:c r="Y606" s="122"/>
      <x:c r="Z606" s="120"/>
      <x:c r="AA606" s="122"/>
      <x:c r="AB606" s="120"/>
      <x:c r="AC606" s="121"/>
      <x:c r="AD606" s="122"/>
      <x:c r="AE606" s="120"/>
      <x:c r="AF606" s="122"/>
      <x:c r="AG606" s="120"/>
      <x:c r="AH606" s="121"/>
      <x:c r="AI606" s="122"/>
      <x:c r="AJ606" s="120"/>
      <x:c r="AK606" s="122"/>
      <x:c r="AL606" s="120"/>
      <x:c r="AM606" s="121"/>
      <x:c r="AN606" s="122"/>
      <x:c r="AO606" s="120"/>
      <x:c r="AP606" s="122"/>
    </x:row>
    <x:row r="607" ht="15.75" customHeight="1">
      <x:c r="K607" s="120"/>
      <x:c r="M607" s="120"/>
      <x:c r="N607" s="121"/>
      <x:c r="P607" s="120"/>
      <x:c r="R607" s="120"/>
      <x:c r="S607" s="121"/>
      <x:c r="T607" s="122"/>
      <x:c r="U607" s="120"/>
      <x:c r="V607" s="122"/>
      <x:c r="W607" s="120"/>
      <x:c r="X607" s="121"/>
      <x:c r="Y607" s="122"/>
      <x:c r="Z607" s="120"/>
      <x:c r="AA607" s="122"/>
      <x:c r="AB607" s="120"/>
      <x:c r="AC607" s="121"/>
      <x:c r="AD607" s="122"/>
      <x:c r="AE607" s="120"/>
      <x:c r="AF607" s="122"/>
      <x:c r="AG607" s="120"/>
      <x:c r="AH607" s="121"/>
      <x:c r="AI607" s="122"/>
      <x:c r="AJ607" s="120"/>
      <x:c r="AK607" s="122"/>
      <x:c r="AL607" s="120"/>
      <x:c r="AM607" s="121"/>
      <x:c r="AN607" s="122"/>
      <x:c r="AO607" s="120"/>
      <x:c r="AP607" s="122"/>
    </x:row>
    <x:row r="608" ht="15.75" customHeight="1">
      <x:c r="K608" s="120"/>
      <x:c r="M608" s="120"/>
      <x:c r="N608" s="121"/>
      <x:c r="P608" s="120"/>
      <x:c r="R608" s="120"/>
      <x:c r="S608" s="121"/>
      <x:c r="T608" s="122"/>
      <x:c r="U608" s="120"/>
      <x:c r="V608" s="122"/>
      <x:c r="W608" s="120"/>
      <x:c r="X608" s="121"/>
      <x:c r="Y608" s="122"/>
      <x:c r="Z608" s="120"/>
      <x:c r="AA608" s="122"/>
      <x:c r="AB608" s="120"/>
      <x:c r="AC608" s="121"/>
      <x:c r="AD608" s="122"/>
      <x:c r="AE608" s="120"/>
      <x:c r="AF608" s="122"/>
      <x:c r="AG608" s="120"/>
      <x:c r="AH608" s="121"/>
      <x:c r="AI608" s="122"/>
      <x:c r="AJ608" s="120"/>
      <x:c r="AK608" s="122"/>
      <x:c r="AL608" s="120"/>
      <x:c r="AM608" s="121"/>
      <x:c r="AN608" s="122"/>
      <x:c r="AO608" s="120"/>
      <x:c r="AP608" s="122"/>
    </x:row>
    <x:row r="609" ht="15.75" customHeight="1">
      <x:c r="K609" s="120"/>
      <x:c r="M609" s="120"/>
      <x:c r="N609" s="121"/>
      <x:c r="P609" s="120"/>
      <x:c r="R609" s="120"/>
      <x:c r="S609" s="121"/>
      <x:c r="T609" s="122"/>
      <x:c r="U609" s="120"/>
      <x:c r="V609" s="122"/>
      <x:c r="W609" s="120"/>
      <x:c r="X609" s="121"/>
      <x:c r="Y609" s="122"/>
      <x:c r="Z609" s="120"/>
      <x:c r="AA609" s="122"/>
      <x:c r="AB609" s="120"/>
      <x:c r="AC609" s="121"/>
      <x:c r="AD609" s="122"/>
      <x:c r="AE609" s="120"/>
      <x:c r="AF609" s="122"/>
      <x:c r="AG609" s="120"/>
      <x:c r="AH609" s="121"/>
      <x:c r="AI609" s="122"/>
      <x:c r="AJ609" s="120"/>
      <x:c r="AK609" s="122"/>
      <x:c r="AL609" s="120"/>
      <x:c r="AM609" s="121"/>
      <x:c r="AN609" s="122"/>
      <x:c r="AO609" s="120"/>
      <x:c r="AP609" s="122"/>
    </x:row>
    <x:row r="610" ht="15.75" customHeight="1">
      <x:c r="K610" s="120"/>
      <x:c r="M610" s="120"/>
      <x:c r="N610" s="121"/>
      <x:c r="P610" s="120"/>
      <x:c r="R610" s="120"/>
      <x:c r="S610" s="121"/>
      <x:c r="T610" s="122"/>
      <x:c r="U610" s="120"/>
      <x:c r="V610" s="122"/>
      <x:c r="W610" s="120"/>
      <x:c r="X610" s="121"/>
      <x:c r="Y610" s="122"/>
      <x:c r="Z610" s="120"/>
      <x:c r="AA610" s="122"/>
      <x:c r="AB610" s="120"/>
      <x:c r="AC610" s="121"/>
      <x:c r="AD610" s="122"/>
      <x:c r="AE610" s="120"/>
      <x:c r="AF610" s="122"/>
      <x:c r="AG610" s="120"/>
      <x:c r="AH610" s="121"/>
      <x:c r="AI610" s="122"/>
      <x:c r="AJ610" s="120"/>
      <x:c r="AK610" s="122"/>
      <x:c r="AL610" s="120"/>
      <x:c r="AM610" s="121"/>
      <x:c r="AN610" s="122"/>
      <x:c r="AO610" s="120"/>
      <x:c r="AP610" s="122"/>
    </x:row>
    <x:row r="611" ht="15.75" customHeight="1">
      <x:c r="K611" s="120"/>
      <x:c r="M611" s="120"/>
      <x:c r="N611" s="121"/>
      <x:c r="P611" s="120"/>
      <x:c r="R611" s="120"/>
      <x:c r="S611" s="121"/>
      <x:c r="T611" s="122"/>
      <x:c r="U611" s="120"/>
      <x:c r="V611" s="122"/>
      <x:c r="W611" s="120"/>
      <x:c r="X611" s="121"/>
      <x:c r="Y611" s="122"/>
      <x:c r="Z611" s="120"/>
      <x:c r="AA611" s="122"/>
      <x:c r="AB611" s="120"/>
      <x:c r="AC611" s="121"/>
      <x:c r="AD611" s="122"/>
      <x:c r="AE611" s="120"/>
      <x:c r="AF611" s="122"/>
      <x:c r="AG611" s="120"/>
      <x:c r="AH611" s="121"/>
      <x:c r="AI611" s="122"/>
      <x:c r="AJ611" s="120"/>
      <x:c r="AK611" s="122"/>
      <x:c r="AL611" s="120"/>
      <x:c r="AM611" s="121"/>
      <x:c r="AN611" s="122"/>
      <x:c r="AO611" s="120"/>
      <x:c r="AP611" s="122"/>
    </x:row>
    <x:row r="612" ht="15.75" customHeight="1">
      <x:c r="K612" s="120"/>
      <x:c r="M612" s="120"/>
      <x:c r="N612" s="121"/>
      <x:c r="P612" s="120"/>
      <x:c r="R612" s="120"/>
      <x:c r="S612" s="121"/>
      <x:c r="T612" s="122"/>
      <x:c r="U612" s="120"/>
      <x:c r="V612" s="122"/>
      <x:c r="W612" s="120"/>
      <x:c r="X612" s="121"/>
      <x:c r="Y612" s="122"/>
      <x:c r="Z612" s="120"/>
      <x:c r="AA612" s="122"/>
      <x:c r="AB612" s="120"/>
      <x:c r="AC612" s="121"/>
      <x:c r="AD612" s="122"/>
      <x:c r="AE612" s="120"/>
      <x:c r="AF612" s="122"/>
      <x:c r="AG612" s="120"/>
      <x:c r="AH612" s="121"/>
      <x:c r="AI612" s="122"/>
      <x:c r="AJ612" s="120"/>
      <x:c r="AK612" s="122"/>
      <x:c r="AL612" s="120"/>
      <x:c r="AM612" s="121"/>
      <x:c r="AN612" s="122"/>
      <x:c r="AO612" s="120"/>
      <x:c r="AP612" s="122"/>
    </x:row>
    <x:row r="613" ht="15.75" customHeight="1">
      <x:c r="K613" s="120"/>
      <x:c r="M613" s="120"/>
      <x:c r="N613" s="121"/>
      <x:c r="P613" s="120"/>
      <x:c r="R613" s="120"/>
      <x:c r="S613" s="121"/>
      <x:c r="T613" s="122"/>
      <x:c r="U613" s="120"/>
      <x:c r="V613" s="122"/>
      <x:c r="W613" s="120"/>
      <x:c r="X613" s="121"/>
      <x:c r="Y613" s="122"/>
      <x:c r="Z613" s="120"/>
      <x:c r="AA613" s="122"/>
      <x:c r="AB613" s="120"/>
      <x:c r="AC613" s="121"/>
      <x:c r="AD613" s="122"/>
      <x:c r="AE613" s="120"/>
      <x:c r="AF613" s="122"/>
      <x:c r="AG613" s="120"/>
      <x:c r="AH613" s="121"/>
      <x:c r="AI613" s="122"/>
      <x:c r="AJ613" s="120"/>
      <x:c r="AK613" s="122"/>
      <x:c r="AL613" s="120"/>
      <x:c r="AM613" s="121"/>
      <x:c r="AN613" s="122"/>
      <x:c r="AO613" s="120"/>
      <x:c r="AP613" s="122"/>
    </x:row>
    <x:row r="614" ht="15.75" customHeight="1">
      <x:c r="K614" s="120"/>
      <x:c r="M614" s="120"/>
      <x:c r="N614" s="121"/>
      <x:c r="P614" s="120"/>
      <x:c r="R614" s="120"/>
      <x:c r="S614" s="121"/>
      <x:c r="T614" s="122"/>
      <x:c r="U614" s="120"/>
      <x:c r="V614" s="122"/>
      <x:c r="W614" s="120"/>
      <x:c r="X614" s="121"/>
      <x:c r="Y614" s="122"/>
      <x:c r="Z614" s="120"/>
      <x:c r="AA614" s="122"/>
      <x:c r="AB614" s="120"/>
      <x:c r="AC614" s="121"/>
      <x:c r="AD614" s="122"/>
      <x:c r="AE614" s="120"/>
      <x:c r="AF614" s="122"/>
      <x:c r="AG614" s="120"/>
      <x:c r="AH614" s="121"/>
      <x:c r="AI614" s="122"/>
      <x:c r="AJ614" s="120"/>
      <x:c r="AK614" s="122"/>
      <x:c r="AL614" s="120"/>
      <x:c r="AM614" s="121"/>
      <x:c r="AN614" s="122"/>
      <x:c r="AO614" s="120"/>
      <x:c r="AP614" s="122"/>
    </x:row>
    <x:row r="615" ht="15.75" customHeight="1">
      <x:c r="K615" s="120"/>
      <x:c r="M615" s="120"/>
      <x:c r="N615" s="121"/>
      <x:c r="P615" s="120"/>
      <x:c r="R615" s="120"/>
      <x:c r="S615" s="121"/>
      <x:c r="T615" s="122"/>
      <x:c r="U615" s="120"/>
      <x:c r="V615" s="122"/>
      <x:c r="W615" s="120"/>
      <x:c r="X615" s="121"/>
      <x:c r="Y615" s="122"/>
      <x:c r="Z615" s="120"/>
      <x:c r="AA615" s="122"/>
      <x:c r="AB615" s="120"/>
      <x:c r="AC615" s="121"/>
      <x:c r="AD615" s="122"/>
      <x:c r="AE615" s="120"/>
      <x:c r="AF615" s="122"/>
      <x:c r="AG615" s="120"/>
      <x:c r="AH615" s="121"/>
      <x:c r="AI615" s="122"/>
      <x:c r="AJ615" s="120"/>
      <x:c r="AK615" s="122"/>
      <x:c r="AL615" s="120"/>
      <x:c r="AM615" s="121"/>
      <x:c r="AN615" s="122"/>
      <x:c r="AO615" s="120"/>
      <x:c r="AP615" s="122"/>
    </x:row>
    <x:row r="616" ht="15.75" customHeight="1">
      <x:c r="K616" s="120"/>
      <x:c r="M616" s="120"/>
      <x:c r="N616" s="121"/>
      <x:c r="P616" s="120"/>
      <x:c r="R616" s="120"/>
      <x:c r="S616" s="121"/>
      <x:c r="T616" s="122"/>
      <x:c r="U616" s="120"/>
      <x:c r="V616" s="122"/>
      <x:c r="W616" s="120"/>
      <x:c r="X616" s="121"/>
      <x:c r="Y616" s="122"/>
      <x:c r="Z616" s="120"/>
      <x:c r="AA616" s="122"/>
      <x:c r="AB616" s="120"/>
      <x:c r="AC616" s="121"/>
      <x:c r="AD616" s="122"/>
      <x:c r="AE616" s="120"/>
      <x:c r="AF616" s="122"/>
      <x:c r="AG616" s="120"/>
      <x:c r="AH616" s="121"/>
      <x:c r="AI616" s="122"/>
      <x:c r="AJ616" s="120"/>
      <x:c r="AK616" s="122"/>
      <x:c r="AL616" s="120"/>
      <x:c r="AM616" s="121"/>
      <x:c r="AN616" s="122"/>
      <x:c r="AO616" s="120"/>
      <x:c r="AP616" s="122"/>
    </x:row>
    <x:row r="617" ht="15.75" customHeight="1">
      <x:c r="K617" s="120"/>
      <x:c r="M617" s="120"/>
      <x:c r="N617" s="121"/>
      <x:c r="P617" s="120"/>
      <x:c r="R617" s="120"/>
      <x:c r="S617" s="121"/>
      <x:c r="T617" s="122"/>
      <x:c r="U617" s="120"/>
      <x:c r="V617" s="122"/>
      <x:c r="W617" s="120"/>
      <x:c r="X617" s="121"/>
      <x:c r="Y617" s="122"/>
      <x:c r="Z617" s="120"/>
      <x:c r="AA617" s="122"/>
      <x:c r="AB617" s="120"/>
      <x:c r="AC617" s="121"/>
      <x:c r="AD617" s="122"/>
      <x:c r="AE617" s="120"/>
      <x:c r="AF617" s="122"/>
      <x:c r="AG617" s="120"/>
      <x:c r="AH617" s="121"/>
      <x:c r="AI617" s="122"/>
      <x:c r="AJ617" s="120"/>
      <x:c r="AK617" s="122"/>
      <x:c r="AL617" s="120"/>
      <x:c r="AM617" s="121"/>
      <x:c r="AN617" s="122"/>
      <x:c r="AO617" s="120"/>
      <x:c r="AP617" s="122"/>
    </x:row>
    <x:row r="618" ht="15.75" customHeight="1">
      <x:c r="K618" s="120"/>
      <x:c r="M618" s="120"/>
      <x:c r="N618" s="121"/>
      <x:c r="P618" s="120"/>
      <x:c r="R618" s="120"/>
      <x:c r="S618" s="121"/>
      <x:c r="T618" s="122"/>
      <x:c r="U618" s="120"/>
      <x:c r="V618" s="122"/>
      <x:c r="W618" s="120"/>
      <x:c r="X618" s="121"/>
      <x:c r="Y618" s="122"/>
      <x:c r="Z618" s="120"/>
      <x:c r="AA618" s="122"/>
      <x:c r="AB618" s="120"/>
      <x:c r="AC618" s="121"/>
      <x:c r="AD618" s="122"/>
      <x:c r="AE618" s="120"/>
      <x:c r="AF618" s="122"/>
      <x:c r="AG618" s="120"/>
      <x:c r="AH618" s="121"/>
      <x:c r="AI618" s="122"/>
      <x:c r="AJ618" s="120"/>
      <x:c r="AK618" s="122"/>
      <x:c r="AL618" s="120"/>
      <x:c r="AM618" s="121"/>
      <x:c r="AN618" s="122"/>
      <x:c r="AO618" s="120"/>
      <x:c r="AP618" s="122"/>
    </x:row>
    <x:row r="619" ht="15.75" customHeight="1">
      <x:c r="K619" s="120"/>
      <x:c r="M619" s="120"/>
      <x:c r="N619" s="121"/>
      <x:c r="P619" s="120"/>
      <x:c r="R619" s="120"/>
      <x:c r="S619" s="121"/>
      <x:c r="T619" s="122"/>
      <x:c r="U619" s="120"/>
      <x:c r="V619" s="122"/>
      <x:c r="W619" s="120"/>
      <x:c r="X619" s="121"/>
      <x:c r="Y619" s="122"/>
      <x:c r="Z619" s="120"/>
      <x:c r="AA619" s="122"/>
      <x:c r="AB619" s="120"/>
      <x:c r="AC619" s="121"/>
      <x:c r="AD619" s="122"/>
      <x:c r="AE619" s="120"/>
      <x:c r="AF619" s="122"/>
      <x:c r="AG619" s="120"/>
      <x:c r="AH619" s="121"/>
      <x:c r="AI619" s="122"/>
      <x:c r="AJ619" s="120"/>
      <x:c r="AK619" s="122"/>
      <x:c r="AL619" s="120"/>
      <x:c r="AM619" s="121"/>
      <x:c r="AN619" s="122"/>
      <x:c r="AO619" s="120"/>
      <x:c r="AP619" s="122"/>
    </x:row>
    <x:row r="620" ht="15.75" customHeight="1">
      <x:c r="K620" s="120"/>
      <x:c r="M620" s="120"/>
      <x:c r="N620" s="121"/>
      <x:c r="P620" s="120"/>
      <x:c r="R620" s="120"/>
      <x:c r="S620" s="121"/>
      <x:c r="T620" s="122"/>
      <x:c r="U620" s="120"/>
      <x:c r="V620" s="122"/>
      <x:c r="W620" s="120"/>
      <x:c r="X620" s="121"/>
      <x:c r="Y620" s="122"/>
      <x:c r="Z620" s="120"/>
      <x:c r="AA620" s="122"/>
      <x:c r="AB620" s="120"/>
      <x:c r="AC620" s="121"/>
      <x:c r="AD620" s="122"/>
      <x:c r="AE620" s="120"/>
      <x:c r="AF620" s="122"/>
      <x:c r="AG620" s="120"/>
      <x:c r="AH620" s="121"/>
      <x:c r="AI620" s="122"/>
      <x:c r="AJ620" s="120"/>
      <x:c r="AK620" s="122"/>
      <x:c r="AL620" s="120"/>
      <x:c r="AM620" s="121"/>
      <x:c r="AN620" s="122"/>
      <x:c r="AO620" s="120"/>
      <x:c r="AP620" s="122"/>
    </x:row>
    <x:row r="621" ht="15.75" customHeight="1">
      <x:c r="K621" s="120"/>
      <x:c r="M621" s="120"/>
      <x:c r="N621" s="121"/>
      <x:c r="P621" s="120"/>
      <x:c r="R621" s="120"/>
      <x:c r="S621" s="121"/>
      <x:c r="T621" s="122"/>
      <x:c r="U621" s="120"/>
      <x:c r="V621" s="122"/>
      <x:c r="W621" s="120"/>
      <x:c r="X621" s="121"/>
      <x:c r="Y621" s="122"/>
      <x:c r="Z621" s="120"/>
      <x:c r="AA621" s="122"/>
      <x:c r="AB621" s="120"/>
      <x:c r="AC621" s="121"/>
      <x:c r="AD621" s="122"/>
      <x:c r="AE621" s="120"/>
      <x:c r="AF621" s="122"/>
      <x:c r="AG621" s="120"/>
      <x:c r="AH621" s="121"/>
      <x:c r="AI621" s="122"/>
      <x:c r="AJ621" s="120"/>
      <x:c r="AK621" s="122"/>
      <x:c r="AL621" s="120"/>
      <x:c r="AM621" s="121"/>
      <x:c r="AN621" s="122"/>
      <x:c r="AO621" s="120"/>
      <x:c r="AP621" s="122"/>
    </x:row>
    <x:row r="622" ht="15.75" customHeight="1">
      <x:c r="K622" s="120"/>
      <x:c r="M622" s="120"/>
      <x:c r="N622" s="121"/>
      <x:c r="P622" s="120"/>
      <x:c r="R622" s="120"/>
      <x:c r="S622" s="121"/>
      <x:c r="T622" s="122"/>
      <x:c r="U622" s="120"/>
      <x:c r="V622" s="122"/>
      <x:c r="W622" s="120"/>
      <x:c r="X622" s="121"/>
      <x:c r="Y622" s="122"/>
      <x:c r="Z622" s="120"/>
      <x:c r="AA622" s="122"/>
      <x:c r="AB622" s="120"/>
      <x:c r="AC622" s="121"/>
      <x:c r="AD622" s="122"/>
      <x:c r="AE622" s="120"/>
      <x:c r="AF622" s="122"/>
      <x:c r="AG622" s="120"/>
      <x:c r="AH622" s="121"/>
      <x:c r="AI622" s="122"/>
      <x:c r="AJ622" s="120"/>
      <x:c r="AK622" s="122"/>
      <x:c r="AL622" s="120"/>
      <x:c r="AM622" s="121"/>
      <x:c r="AN622" s="122"/>
      <x:c r="AO622" s="120"/>
      <x:c r="AP622" s="122"/>
    </x:row>
    <x:row r="623" ht="15.75" customHeight="1">
      <x:c r="K623" s="120"/>
      <x:c r="M623" s="120"/>
      <x:c r="N623" s="121"/>
      <x:c r="P623" s="120"/>
      <x:c r="R623" s="120"/>
      <x:c r="S623" s="121"/>
      <x:c r="T623" s="122"/>
      <x:c r="U623" s="120"/>
      <x:c r="V623" s="122"/>
      <x:c r="W623" s="120"/>
      <x:c r="X623" s="121"/>
      <x:c r="Y623" s="122"/>
      <x:c r="Z623" s="120"/>
      <x:c r="AA623" s="122"/>
      <x:c r="AB623" s="120"/>
      <x:c r="AC623" s="121"/>
      <x:c r="AD623" s="122"/>
      <x:c r="AE623" s="120"/>
      <x:c r="AF623" s="122"/>
      <x:c r="AG623" s="120"/>
      <x:c r="AH623" s="121"/>
      <x:c r="AI623" s="122"/>
      <x:c r="AJ623" s="120"/>
      <x:c r="AK623" s="122"/>
      <x:c r="AL623" s="120"/>
      <x:c r="AM623" s="121"/>
      <x:c r="AN623" s="122"/>
      <x:c r="AO623" s="120"/>
      <x:c r="AP623" s="122"/>
    </x:row>
    <x:row r="624" ht="15.75" customHeight="1">
      <x:c r="K624" s="120"/>
      <x:c r="M624" s="120"/>
      <x:c r="N624" s="121"/>
      <x:c r="P624" s="120"/>
      <x:c r="R624" s="120"/>
      <x:c r="S624" s="121"/>
      <x:c r="T624" s="122"/>
      <x:c r="U624" s="120"/>
      <x:c r="V624" s="122"/>
      <x:c r="W624" s="120"/>
      <x:c r="X624" s="121"/>
      <x:c r="Y624" s="122"/>
      <x:c r="Z624" s="120"/>
      <x:c r="AA624" s="122"/>
      <x:c r="AB624" s="120"/>
      <x:c r="AC624" s="121"/>
      <x:c r="AD624" s="122"/>
      <x:c r="AE624" s="120"/>
      <x:c r="AF624" s="122"/>
      <x:c r="AG624" s="120"/>
      <x:c r="AH624" s="121"/>
      <x:c r="AI624" s="122"/>
      <x:c r="AJ624" s="120"/>
      <x:c r="AK624" s="122"/>
      <x:c r="AL624" s="120"/>
      <x:c r="AM624" s="121"/>
      <x:c r="AN624" s="122"/>
      <x:c r="AO624" s="120"/>
      <x:c r="AP624" s="122"/>
    </x:row>
    <x:row r="625" ht="15.75" customHeight="1">
      <x:c r="K625" s="120"/>
      <x:c r="M625" s="120"/>
      <x:c r="N625" s="121"/>
      <x:c r="P625" s="120"/>
      <x:c r="R625" s="120"/>
      <x:c r="S625" s="121"/>
      <x:c r="T625" s="122"/>
      <x:c r="U625" s="120"/>
      <x:c r="V625" s="122"/>
      <x:c r="W625" s="120"/>
      <x:c r="X625" s="121"/>
      <x:c r="Y625" s="122"/>
      <x:c r="Z625" s="120"/>
      <x:c r="AA625" s="122"/>
      <x:c r="AB625" s="120"/>
      <x:c r="AC625" s="121"/>
      <x:c r="AD625" s="122"/>
      <x:c r="AE625" s="120"/>
      <x:c r="AF625" s="122"/>
      <x:c r="AG625" s="120"/>
      <x:c r="AH625" s="121"/>
      <x:c r="AI625" s="122"/>
      <x:c r="AJ625" s="120"/>
      <x:c r="AK625" s="122"/>
      <x:c r="AL625" s="120"/>
      <x:c r="AM625" s="121"/>
      <x:c r="AN625" s="122"/>
      <x:c r="AO625" s="120"/>
      <x:c r="AP625" s="122"/>
    </x:row>
    <x:row r="626" ht="15.75" customHeight="1">
      <x:c r="K626" s="120"/>
      <x:c r="M626" s="120"/>
      <x:c r="N626" s="121"/>
      <x:c r="P626" s="120"/>
      <x:c r="R626" s="120"/>
      <x:c r="S626" s="121"/>
      <x:c r="T626" s="122"/>
      <x:c r="U626" s="120"/>
      <x:c r="V626" s="122"/>
      <x:c r="W626" s="120"/>
      <x:c r="X626" s="121"/>
      <x:c r="Y626" s="122"/>
      <x:c r="Z626" s="120"/>
      <x:c r="AA626" s="122"/>
      <x:c r="AB626" s="120"/>
      <x:c r="AC626" s="121"/>
      <x:c r="AD626" s="122"/>
      <x:c r="AE626" s="120"/>
      <x:c r="AF626" s="122"/>
      <x:c r="AG626" s="120"/>
      <x:c r="AH626" s="121"/>
      <x:c r="AI626" s="122"/>
      <x:c r="AJ626" s="120"/>
      <x:c r="AK626" s="122"/>
      <x:c r="AL626" s="120"/>
      <x:c r="AM626" s="121"/>
      <x:c r="AN626" s="122"/>
      <x:c r="AO626" s="120"/>
      <x:c r="AP626" s="122"/>
    </x:row>
    <x:row r="627" ht="15.75" customHeight="1">
      <x:c r="K627" s="120"/>
      <x:c r="M627" s="120"/>
      <x:c r="N627" s="121"/>
      <x:c r="P627" s="120"/>
      <x:c r="R627" s="120"/>
      <x:c r="S627" s="121"/>
      <x:c r="T627" s="122"/>
      <x:c r="U627" s="120"/>
      <x:c r="V627" s="122"/>
      <x:c r="W627" s="120"/>
      <x:c r="X627" s="121"/>
      <x:c r="Y627" s="122"/>
      <x:c r="Z627" s="120"/>
      <x:c r="AA627" s="122"/>
      <x:c r="AB627" s="120"/>
      <x:c r="AC627" s="121"/>
      <x:c r="AD627" s="122"/>
      <x:c r="AE627" s="120"/>
      <x:c r="AF627" s="122"/>
      <x:c r="AG627" s="120"/>
      <x:c r="AH627" s="121"/>
      <x:c r="AI627" s="122"/>
      <x:c r="AJ627" s="120"/>
      <x:c r="AK627" s="122"/>
      <x:c r="AL627" s="120"/>
      <x:c r="AM627" s="121"/>
      <x:c r="AN627" s="122"/>
      <x:c r="AO627" s="120"/>
      <x:c r="AP627" s="122"/>
    </x:row>
    <x:row r="628" ht="15.75" customHeight="1">
      <x:c r="K628" s="120"/>
      <x:c r="M628" s="120"/>
      <x:c r="N628" s="121"/>
      <x:c r="P628" s="120"/>
      <x:c r="R628" s="120"/>
      <x:c r="S628" s="121"/>
      <x:c r="T628" s="122"/>
      <x:c r="U628" s="120"/>
      <x:c r="V628" s="122"/>
      <x:c r="W628" s="120"/>
      <x:c r="X628" s="121"/>
      <x:c r="Y628" s="122"/>
      <x:c r="Z628" s="120"/>
      <x:c r="AA628" s="122"/>
      <x:c r="AB628" s="120"/>
      <x:c r="AC628" s="121"/>
      <x:c r="AD628" s="122"/>
      <x:c r="AE628" s="120"/>
      <x:c r="AF628" s="122"/>
      <x:c r="AG628" s="120"/>
      <x:c r="AH628" s="121"/>
      <x:c r="AI628" s="122"/>
      <x:c r="AJ628" s="120"/>
      <x:c r="AK628" s="122"/>
      <x:c r="AL628" s="120"/>
      <x:c r="AM628" s="121"/>
      <x:c r="AN628" s="122"/>
      <x:c r="AO628" s="120"/>
      <x:c r="AP628" s="122"/>
    </x:row>
    <x:row r="629" ht="15.75" customHeight="1">
      <x:c r="K629" s="120"/>
      <x:c r="M629" s="120"/>
      <x:c r="N629" s="121"/>
      <x:c r="P629" s="120"/>
      <x:c r="R629" s="120"/>
      <x:c r="S629" s="121"/>
      <x:c r="T629" s="122"/>
      <x:c r="U629" s="120"/>
      <x:c r="V629" s="122"/>
      <x:c r="W629" s="120"/>
      <x:c r="X629" s="121"/>
      <x:c r="Y629" s="122"/>
      <x:c r="Z629" s="120"/>
      <x:c r="AA629" s="122"/>
      <x:c r="AB629" s="120"/>
      <x:c r="AC629" s="121"/>
      <x:c r="AD629" s="122"/>
      <x:c r="AE629" s="120"/>
      <x:c r="AF629" s="122"/>
      <x:c r="AG629" s="120"/>
      <x:c r="AH629" s="121"/>
      <x:c r="AI629" s="122"/>
      <x:c r="AJ629" s="120"/>
      <x:c r="AK629" s="122"/>
      <x:c r="AL629" s="120"/>
      <x:c r="AM629" s="121"/>
      <x:c r="AN629" s="122"/>
      <x:c r="AO629" s="120"/>
      <x:c r="AP629" s="122"/>
    </x:row>
    <x:row r="630" ht="15.75" customHeight="1">
      <x:c r="K630" s="120"/>
      <x:c r="M630" s="120"/>
      <x:c r="N630" s="121"/>
      <x:c r="P630" s="120"/>
      <x:c r="R630" s="120"/>
      <x:c r="S630" s="121"/>
      <x:c r="T630" s="122"/>
      <x:c r="U630" s="120"/>
      <x:c r="V630" s="122"/>
      <x:c r="W630" s="120"/>
      <x:c r="X630" s="121"/>
      <x:c r="Y630" s="122"/>
      <x:c r="Z630" s="120"/>
      <x:c r="AA630" s="122"/>
      <x:c r="AB630" s="120"/>
      <x:c r="AC630" s="121"/>
      <x:c r="AD630" s="122"/>
      <x:c r="AE630" s="120"/>
      <x:c r="AF630" s="122"/>
      <x:c r="AG630" s="120"/>
      <x:c r="AH630" s="121"/>
      <x:c r="AI630" s="122"/>
      <x:c r="AJ630" s="120"/>
      <x:c r="AK630" s="122"/>
      <x:c r="AL630" s="120"/>
      <x:c r="AM630" s="121"/>
      <x:c r="AN630" s="122"/>
      <x:c r="AO630" s="120"/>
      <x:c r="AP630" s="122"/>
    </x:row>
    <x:row r="631" ht="15.75" customHeight="1">
      <x:c r="K631" s="120"/>
      <x:c r="M631" s="120"/>
      <x:c r="N631" s="121"/>
      <x:c r="P631" s="120"/>
      <x:c r="R631" s="120"/>
      <x:c r="S631" s="121"/>
      <x:c r="T631" s="122"/>
      <x:c r="U631" s="120"/>
      <x:c r="V631" s="122"/>
      <x:c r="W631" s="120"/>
      <x:c r="X631" s="121"/>
      <x:c r="Y631" s="122"/>
      <x:c r="Z631" s="120"/>
      <x:c r="AA631" s="122"/>
      <x:c r="AB631" s="120"/>
      <x:c r="AC631" s="121"/>
      <x:c r="AD631" s="122"/>
      <x:c r="AE631" s="120"/>
      <x:c r="AF631" s="122"/>
      <x:c r="AG631" s="120"/>
      <x:c r="AH631" s="121"/>
      <x:c r="AI631" s="122"/>
      <x:c r="AJ631" s="120"/>
      <x:c r="AK631" s="122"/>
      <x:c r="AL631" s="120"/>
      <x:c r="AM631" s="121"/>
      <x:c r="AN631" s="122"/>
      <x:c r="AO631" s="120"/>
      <x:c r="AP631" s="122"/>
    </x:row>
    <x:row r="632" ht="15.75" customHeight="1">
      <x:c r="K632" s="120"/>
      <x:c r="M632" s="120"/>
      <x:c r="N632" s="121"/>
      <x:c r="P632" s="120"/>
      <x:c r="R632" s="120"/>
      <x:c r="S632" s="121"/>
      <x:c r="T632" s="122"/>
      <x:c r="U632" s="120"/>
      <x:c r="V632" s="122"/>
      <x:c r="W632" s="120"/>
      <x:c r="X632" s="121"/>
      <x:c r="Y632" s="122"/>
      <x:c r="Z632" s="120"/>
      <x:c r="AA632" s="122"/>
      <x:c r="AB632" s="120"/>
      <x:c r="AC632" s="121"/>
      <x:c r="AD632" s="122"/>
      <x:c r="AE632" s="120"/>
      <x:c r="AF632" s="122"/>
      <x:c r="AG632" s="120"/>
      <x:c r="AH632" s="121"/>
      <x:c r="AI632" s="122"/>
      <x:c r="AJ632" s="120"/>
      <x:c r="AK632" s="122"/>
      <x:c r="AL632" s="120"/>
      <x:c r="AM632" s="121"/>
      <x:c r="AN632" s="122"/>
      <x:c r="AO632" s="120"/>
      <x:c r="AP632" s="122"/>
    </x:row>
    <x:row r="633" ht="15.75" customHeight="1">
      <x:c r="K633" s="120"/>
      <x:c r="M633" s="120"/>
      <x:c r="N633" s="121"/>
      <x:c r="P633" s="120"/>
      <x:c r="R633" s="120"/>
      <x:c r="S633" s="121"/>
      <x:c r="T633" s="122"/>
      <x:c r="U633" s="120"/>
      <x:c r="V633" s="122"/>
      <x:c r="W633" s="120"/>
      <x:c r="X633" s="121"/>
      <x:c r="Y633" s="122"/>
      <x:c r="Z633" s="120"/>
      <x:c r="AA633" s="122"/>
      <x:c r="AB633" s="120"/>
      <x:c r="AC633" s="121"/>
      <x:c r="AD633" s="122"/>
      <x:c r="AE633" s="120"/>
      <x:c r="AF633" s="122"/>
      <x:c r="AG633" s="120"/>
      <x:c r="AH633" s="121"/>
      <x:c r="AI633" s="122"/>
      <x:c r="AJ633" s="120"/>
      <x:c r="AK633" s="122"/>
      <x:c r="AL633" s="120"/>
      <x:c r="AM633" s="121"/>
      <x:c r="AN633" s="122"/>
      <x:c r="AO633" s="120"/>
      <x:c r="AP633" s="122"/>
    </x:row>
    <x:row r="634" ht="15.75" customHeight="1">
      <x:c r="K634" s="120"/>
      <x:c r="M634" s="120"/>
      <x:c r="N634" s="121"/>
      <x:c r="P634" s="120"/>
      <x:c r="R634" s="120"/>
      <x:c r="S634" s="121"/>
      <x:c r="T634" s="122"/>
      <x:c r="U634" s="120"/>
      <x:c r="V634" s="122"/>
      <x:c r="W634" s="120"/>
      <x:c r="X634" s="121"/>
      <x:c r="Y634" s="122"/>
      <x:c r="Z634" s="120"/>
      <x:c r="AA634" s="122"/>
      <x:c r="AB634" s="120"/>
      <x:c r="AC634" s="121"/>
      <x:c r="AD634" s="122"/>
      <x:c r="AE634" s="120"/>
      <x:c r="AF634" s="122"/>
      <x:c r="AG634" s="120"/>
      <x:c r="AH634" s="121"/>
      <x:c r="AI634" s="122"/>
      <x:c r="AJ634" s="120"/>
      <x:c r="AK634" s="122"/>
      <x:c r="AL634" s="120"/>
      <x:c r="AM634" s="121"/>
      <x:c r="AN634" s="122"/>
      <x:c r="AO634" s="120"/>
      <x:c r="AP634" s="122"/>
    </x:row>
    <x:row r="635" ht="15.75" customHeight="1">
      <x:c r="K635" s="120"/>
      <x:c r="M635" s="120"/>
      <x:c r="N635" s="121"/>
      <x:c r="P635" s="120"/>
      <x:c r="R635" s="120"/>
      <x:c r="S635" s="121"/>
      <x:c r="T635" s="122"/>
      <x:c r="U635" s="120"/>
      <x:c r="V635" s="122"/>
      <x:c r="W635" s="120"/>
      <x:c r="X635" s="121"/>
      <x:c r="Y635" s="122"/>
      <x:c r="Z635" s="120"/>
      <x:c r="AA635" s="122"/>
      <x:c r="AB635" s="120"/>
      <x:c r="AC635" s="121"/>
      <x:c r="AD635" s="122"/>
      <x:c r="AE635" s="120"/>
      <x:c r="AF635" s="122"/>
      <x:c r="AG635" s="120"/>
      <x:c r="AH635" s="121"/>
      <x:c r="AI635" s="122"/>
      <x:c r="AJ635" s="120"/>
      <x:c r="AK635" s="122"/>
      <x:c r="AL635" s="120"/>
      <x:c r="AM635" s="121"/>
      <x:c r="AN635" s="122"/>
      <x:c r="AO635" s="120"/>
      <x:c r="AP635" s="122"/>
    </x:row>
    <x:row r="636" ht="15.75" customHeight="1">
      <x:c r="K636" s="120"/>
      <x:c r="M636" s="120"/>
      <x:c r="N636" s="121"/>
      <x:c r="P636" s="120"/>
      <x:c r="R636" s="120"/>
      <x:c r="S636" s="121"/>
      <x:c r="T636" s="122"/>
      <x:c r="U636" s="120"/>
      <x:c r="V636" s="122"/>
      <x:c r="W636" s="120"/>
      <x:c r="X636" s="121"/>
      <x:c r="Y636" s="122"/>
      <x:c r="Z636" s="120"/>
      <x:c r="AA636" s="122"/>
      <x:c r="AB636" s="120"/>
      <x:c r="AC636" s="121"/>
      <x:c r="AD636" s="122"/>
      <x:c r="AE636" s="120"/>
      <x:c r="AF636" s="122"/>
      <x:c r="AG636" s="120"/>
      <x:c r="AH636" s="121"/>
      <x:c r="AI636" s="122"/>
      <x:c r="AJ636" s="120"/>
      <x:c r="AK636" s="122"/>
      <x:c r="AL636" s="120"/>
      <x:c r="AM636" s="121"/>
      <x:c r="AN636" s="122"/>
      <x:c r="AO636" s="120"/>
      <x:c r="AP636" s="122"/>
    </x:row>
    <x:row r="637" ht="15.75" customHeight="1">
      <x:c r="K637" s="120"/>
      <x:c r="M637" s="120"/>
      <x:c r="N637" s="121"/>
      <x:c r="P637" s="120"/>
      <x:c r="R637" s="120"/>
      <x:c r="S637" s="121"/>
      <x:c r="T637" s="122"/>
      <x:c r="U637" s="120"/>
      <x:c r="V637" s="122"/>
      <x:c r="W637" s="120"/>
      <x:c r="X637" s="121"/>
      <x:c r="Y637" s="122"/>
      <x:c r="Z637" s="120"/>
      <x:c r="AA637" s="122"/>
      <x:c r="AB637" s="120"/>
      <x:c r="AC637" s="121"/>
      <x:c r="AD637" s="122"/>
      <x:c r="AE637" s="120"/>
      <x:c r="AF637" s="122"/>
      <x:c r="AG637" s="120"/>
      <x:c r="AH637" s="121"/>
      <x:c r="AI637" s="122"/>
      <x:c r="AJ637" s="120"/>
      <x:c r="AK637" s="122"/>
      <x:c r="AL637" s="120"/>
      <x:c r="AM637" s="121"/>
      <x:c r="AN637" s="122"/>
      <x:c r="AO637" s="120"/>
      <x:c r="AP637" s="122"/>
    </x:row>
    <x:row r="638" ht="15.75" customHeight="1">
      <x:c r="K638" s="120"/>
      <x:c r="M638" s="120"/>
      <x:c r="N638" s="121"/>
      <x:c r="P638" s="120"/>
      <x:c r="R638" s="120"/>
      <x:c r="S638" s="121"/>
      <x:c r="T638" s="122"/>
      <x:c r="U638" s="120"/>
      <x:c r="V638" s="122"/>
      <x:c r="W638" s="120"/>
      <x:c r="X638" s="121"/>
      <x:c r="Y638" s="122"/>
      <x:c r="Z638" s="120"/>
      <x:c r="AA638" s="122"/>
      <x:c r="AB638" s="120"/>
      <x:c r="AC638" s="121"/>
      <x:c r="AD638" s="122"/>
      <x:c r="AE638" s="120"/>
      <x:c r="AF638" s="122"/>
      <x:c r="AG638" s="120"/>
      <x:c r="AH638" s="121"/>
      <x:c r="AI638" s="122"/>
      <x:c r="AJ638" s="120"/>
      <x:c r="AK638" s="122"/>
      <x:c r="AL638" s="120"/>
      <x:c r="AM638" s="121"/>
      <x:c r="AN638" s="122"/>
      <x:c r="AO638" s="120"/>
      <x:c r="AP638" s="122"/>
    </x:row>
    <x:row r="639" ht="15.75" customHeight="1">
      <x:c r="K639" s="120"/>
      <x:c r="M639" s="120"/>
      <x:c r="N639" s="121"/>
      <x:c r="P639" s="120"/>
      <x:c r="R639" s="120"/>
      <x:c r="S639" s="121"/>
      <x:c r="T639" s="122"/>
      <x:c r="U639" s="120"/>
      <x:c r="V639" s="122"/>
      <x:c r="W639" s="120"/>
      <x:c r="X639" s="121"/>
      <x:c r="Y639" s="122"/>
      <x:c r="Z639" s="120"/>
      <x:c r="AA639" s="122"/>
      <x:c r="AB639" s="120"/>
      <x:c r="AC639" s="121"/>
      <x:c r="AD639" s="122"/>
      <x:c r="AE639" s="120"/>
      <x:c r="AF639" s="122"/>
      <x:c r="AG639" s="120"/>
      <x:c r="AH639" s="121"/>
      <x:c r="AI639" s="122"/>
      <x:c r="AJ639" s="120"/>
      <x:c r="AK639" s="122"/>
      <x:c r="AL639" s="120"/>
      <x:c r="AM639" s="121"/>
      <x:c r="AN639" s="122"/>
      <x:c r="AO639" s="120"/>
      <x:c r="AP639" s="122"/>
    </x:row>
    <x:row r="640" ht="15.75" customHeight="1">
      <x:c r="K640" s="120"/>
      <x:c r="M640" s="120"/>
      <x:c r="N640" s="121"/>
      <x:c r="P640" s="120"/>
      <x:c r="R640" s="120"/>
      <x:c r="S640" s="121"/>
      <x:c r="T640" s="122"/>
      <x:c r="U640" s="120"/>
      <x:c r="V640" s="122"/>
      <x:c r="W640" s="120"/>
      <x:c r="X640" s="121"/>
      <x:c r="Y640" s="122"/>
      <x:c r="Z640" s="120"/>
      <x:c r="AA640" s="122"/>
      <x:c r="AB640" s="120"/>
      <x:c r="AC640" s="121"/>
      <x:c r="AD640" s="122"/>
      <x:c r="AE640" s="120"/>
      <x:c r="AF640" s="122"/>
      <x:c r="AG640" s="120"/>
      <x:c r="AH640" s="121"/>
      <x:c r="AI640" s="122"/>
      <x:c r="AJ640" s="120"/>
      <x:c r="AK640" s="122"/>
      <x:c r="AL640" s="120"/>
      <x:c r="AM640" s="121"/>
      <x:c r="AN640" s="122"/>
      <x:c r="AO640" s="120"/>
      <x:c r="AP640" s="122"/>
    </x:row>
    <x:row r="641" ht="15.75" customHeight="1">
      <x:c r="K641" s="120"/>
      <x:c r="M641" s="120"/>
      <x:c r="N641" s="121"/>
      <x:c r="P641" s="120"/>
      <x:c r="R641" s="120"/>
      <x:c r="S641" s="121"/>
      <x:c r="T641" s="122"/>
      <x:c r="U641" s="120"/>
      <x:c r="V641" s="122"/>
      <x:c r="W641" s="120"/>
      <x:c r="X641" s="121"/>
      <x:c r="Y641" s="122"/>
      <x:c r="Z641" s="120"/>
      <x:c r="AA641" s="122"/>
      <x:c r="AB641" s="120"/>
      <x:c r="AC641" s="121"/>
      <x:c r="AD641" s="122"/>
      <x:c r="AE641" s="120"/>
      <x:c r="AF641" s="122"/>
      <x:c r="AG641" s="120"/>
      <x:c r="AH641" s="121"/>
      <x:c r="AI641" s="122"/>
      <x:c r="AJ641" s="120"/>
      <x:c r="AK641" s="122"/>
      <x:c r="AL641" s="120"/>
      <x:c r="AM641" s="121"/>
      <x:c r="AN641" s="122"/>
      <x:c r="AO641" s="120"/>
      <x:c r="AP641" s="122"/>
    </x:row>
    <x:row r="642" ht="15.75" customHeight="1">
      <x:c r="K642" s="120"/>
      <x:c r="M642" s="120"/>
      <x:c r="N642" s="121"/>
      <x:c r="P642" s="120"/>
      <x:c r="R642" s="120"/>
      <x:c r="S642" s="121"/>
      <x:c r="T642" s="122"/>
      <x:c r="U642" s="120"/>
      <x:c r="V642" s="122"/>
      <x:c r="W642" s="120"/>
      <x:c r="X642" s="121"/>
      <x:c r="Y642" s="122"/>
      <x:c r="Z642" s="120"/>
      <x:c r="AA642" s="122"/>
      <x:c r="AB642" s="120"/>
      <x:c r="AC642" s="121"/>
      <x:c r="AD642" s="122"/>
      <x:c r="AE642" s="120"/>
      <x:c r="AF642" s="122"/>
      <x:c r="AG642" s="120"/>
      <x:c r="AH642" s="121"/>
      <x:c r="AI642" s="122"/>
      <x:c r="AJ642" s="120"/>
      <x:c r="AK642" s="122"/>
      <x:c r="AL642" s="120"/>
      <x:c r="AM642" s="121"/>
      <x:c r="AN642" s="122"/>
      <x:c r="AO642" s="120"/>
      <x:c r="AP642" s="122"/>
    </x:row>
    <x:row r="643" ht="15.75" customHeight="1">
      <x:c r="K643" s="120"/>
      <x:c r="M643" s="120"/>
      <x:c r="N643" s="121"/>
      <x:c r="P643" s="120"/>
      <x:c r="R643" s="120"/>
      <x:c r="S643" s="121"/>
      <x:c r="T643" s="122"/>
      <x:c r="U643" s="120"/>
      <x:c r="V643" s="122"/>
      <x:c r="W643" s="120"/>
      <x:c r="X643" s="121"/>
      <x:c r="Y643" s="122"/>
      <x:c r="Z643" s="120"/>
      <x:c r="AA643" s="122"/>
      <x:c r="AB643" s="120"/>
      <x:c r="AC643" s="121"/>
      <x:c r="AD643" s="122"/>
      <x:c r="AE643" s="120"/>
      <x:c r="AF643" s="122"/>
      <x:c r="AG643" s="120"/>
      <x:c r="AH643" s="121"/>
      <x:c r="AI643" s="122"/>
      <x:c r="AJ643" s="120"/>
      <x:c r="AK643" s="122"/>
      <x:c r="AL643" s="120"/>
      <x:c r="AM643" s="121"/>
      <x:c r="AN643" s="122"/>
      <x:c r="AO643" s="120"/>
      <x:c r="AP643" s="122"/>
    </x:row>
    <x:row r="644" ht="15.75" customHeight="1">
      <x:c r="K644" s="120"/>
      <x:c r="M644" s="120"/>
      <x:c r="N644" s="121"/>
      <x:c r="P644" s="120"/>
      <x:c r="R644" s="120"/>
      <x:c r="S644" s="121"/>
      <x:c r="T644" s="122"/>
      <x:c r="U644" s="120"/>
      <x:c r="V644" s="122"/>
      <x:c r="W644" s="120"/>
      <x:c r="X644" s="121"/>
      <x:c r="Y644" s="122"/>
      <x:c r="Z644" s="120"/>
      <x:c r="AA644" s="122"/>
      <x:c r="AB644" s="120"/>
      <x:c r="AC644" s="121"/>
      <x:c r="AD644" s="122"/>
      <x:c r="AE644" s="120"/>
      <x:c r="AF644" s="122"/>
      <x:c r="AG644" s="120"/>
      <x:c r="AH644" s="121"/>
      <x:c r="AI644" s="122"/>
      <x:c r="AJ644" s="120"/>
      <x:c r="AK644" s="122"/>
      <x:c r="AL644" s="120"/>
      <x:c r="AM644" s="121"/>
      <x:c r="AN644" s="122"/>
      <x:c r="AO644" s="120"/>
      <x:c r="AP644" s="122"/>
    </x:row>
    <x:row r="645" ht="15.75" customHeight="1">
      <x:c r="K645" s="120"/>
      <x:c r="M645" s="120"/>
      <x:c r="N645" s="121"/>
      <x:c r="P645" s="120"/>
      <x:c r="R645" s="120"/>
      <x:c r="S645" s="121"/>
      <x:c r="T645" s="122"/>
      <x:c r="U645" s="120"/>
      <x:c r="V645" s="122"/>
      <x:c r="W645" s="120"/>
      <x:c r="X645" s="121"/>
      <x:c r="Y645" s="122"/>
      <x:c r="Z645" s="120"/>
      <x:c r="AA645" s="122"/>
      <x:c r="AB645" s="120"/>
      <x:c r="AC645" s="121"/>
      <x:c r="AD645" s="122"/>
      <x:c r="AE645" s="120"/>
      <x:c r="AF645" s="122"/>
      <x:c r="AG645" s="120"/>
      <x:c r="AH645" s="121"/>
      <x:c r="AI645" s="122"/>
      <x:c r="AJ645" s="120"/>
      <x:c r="AK645" s="122"/>
      <x:c r="AL645" s="120"/>
      <x:c r="AM645" s="121"/>
      <x:c r="AN645" s="122"/>
      <x:c r="AO645" s="120"/>
      <x:c r="AP645" s="122"/>
    </x:row>
    <x:row r="646" ht="15.75" customHeight="1">
      <x:c r="K646" s="120"/>
      <x:c r="M646" s="120"/>
      <x:c r="N646" s="121"/>
      <x:c r="P646" s="120"/>
      <x:c r="R646" s="120"/>
      <x:c r="S646" s="121"/>
      <x:c r="T646" s="122"/>
      <x:c r="U646" s="120"/>
      <x:c r="V646" s="122"/>
      <x:c r="W646" s="120"/>
      <x:c r="X646" s="121"/>
      <x:c r="Y646" s="122"/>
      <x:c r="Z646" s="120"/>
      <x:c r="AA646" s="122"/>
      <x:c r="AB646" s="120"/>
      <x:c r="AC646" s="121"/>
      <x:c r="AD646" s="122"/>
      <x:c r="AE646" s="120"/>
      <x:c r="AF646" s="122"/>
      <x:c r="AG646" s="120"/>
      <x:c r="AH646" s="121"/>
      <x:c r="AI646" s="122"/>
      <x:c r="AJ646" s="120"/>
      <x:c r="AK646" s="122"/>
      <x:c r="AL646" s="120"/>
      <x:c r="AM646" s="121"/>
      <x:c r="AN646" s="122"/>
      <x:c r="AO646" s="120"/>
      <x:c r="AP646" s="122"/>
    </x:row>
    <x:row r="647" ht="15.75" customHeight="1">
      <x:c r="K647" s="120"/>
      <x:c r="M647" s="120"/>
      <x:c r="N647" s="121"/>
      <x:c r="P647" s="120"/>
      <x:c r="R647" s="120"/>
      <x:c r="S647" s="121"/>
      <x:c r="T647" s="122"/>
      <x:c r="U647" s="120"/>
      <x:c r="V647" s="122"/>
      <x:c r="W647" s="120"/>
      <x:c r="X647" s="121"/>
      <x:c r="Y647" s="122"/>
      <x:c r="Z647" s="120"/>
      <x:c r="AA647" s="122"/>
      <x:c r="AB647" s="120"/>
      <x:c r="AC647" s="121"/>
      <x:c r="AD647" s="122"/>
      <x:c r="AE647" s="120"/>
      <x:c r="AF647" s="122"/>
      <x:c r="AG647" s="120"/>
      <x:c r="AH647" s="121"/>
      <x:c r="AI647" s="122"/>
      <x:c r="AJ647" s="120"/>
      <x:c r="AK647" s="122"/>
      <x:c r="AL647" s="120"/>
      <x:c r="AM647" s="121"/>
      <x:c r="AN647" s="122"/>
      <x:c r="AO647" s="120"/>
      <x:c r="AP647" s="122"/>
    </x:row>
    <x:row r="648" ht="15.75" customHeight="1">
      <x:c r="K648" s="120"/>
      <x:c r="M648" s="120"/>
      <x:c r="N648" s="121"/>
      <x:c r="P648" s="120"/>
      <x:c r="R648" s="120"/>
      <x:c r="S648" s="121"/>
      <x:c r="T648" s="122"/>
      <x:c r="U648" s="120"/>
      <x:c r="V648" s="122"/>
      <x:c r="W648" s="120"/>
      <x:c r="X648" s="121"/>
      <x:c r="Y648" s="122"/>
      <x:c r="Z648" s="120"/>
      <x:c r="AA648" s="122"/>
      <x:c r="AB648" s="120"/>
      <x:c r="AC648" s="121"/>
      <x:c r="AD648" s="122"/>
      <x:c r="AE648" s="120"/>
      <x:c r="AF648" s="122"/>
      <x:c r="AG648" s="120"/>
      <x:c r="AH648" s="121"/>
      <x:c r="AI648" s="122"/>
      <x:c r="AJ648" s="120"/>
      <x:c r="AK648" s="122"/>
      <x:c r="AL648" s="120"/>
      <x:c r="AM648" s="121"/>
      <x:c r="AN648" s="122"/>
      <x:c r="AO648" s="120"/>
      <x:c r="AP648" s="122"/>
    </x:row>
    <x:row r="649" ht="15.75" customHeight="1">
      <x:c r="K649" s="120"/>
      <x:c r="M649" s="120"/>
      <x:c r="N649" s="121"/>
      <x:c r="P649" s="120"/>
      <x:c r="R649" s="120"/>
      <x:c r="S649" s="121"/>
      <x:c r="T649" s="122"/>
      <x:c r="U649" s="120"/>
      <x:c r="V649" s="122"/>
      <x:c r="W649" s="120"/>
      <x:c r="X649" s="121"/>
      <x:c r="Y649" s="122"/>
      <x:c r="Z649" s="120"/>
      <x:c r="AA649" s="122"/>
      <x:c r="AB649" s="120"/>
      <x:c r="AC649" s="121"/>
      <x:c r="AD649" s="122"/>
      <x:c r="AE649" s="120"/>
      <x:c r="AF649" s="122"/>
      <x:c r="AG649" s="120"/>
      <x:c r="AH649" s="121"/>
      <x:c r="AI649" s="122"/>
      <x:c r="AJ649" s="120"/>
      <x:c r="AK649" s="122"/>
      <x:c r="AL649" s="120"/>
      <x:c r="AM649" s="121"/>
      <x:c r="AN649" s="122"/>
      <x:c r="AO649" s="120"/>
      <x:c r="AP649" s="122"/>
    </x:row>
    <x:row r="650" ht="15.75" customHeight="1">
      <x:c r="K650" s="120"/>
      <x:c r="M650" s="120"/>
      <x:c r="N650" s="121"/>
      <x:c r="P650" s="120"/>
      <x:c r="R650" s="120"/>
      <x:c r="S650" s="121"/>
      <x:c r="T650" s="122"/>
      <x:c r="U650" s="120"/>
      <x:c r="V650" s="122"/>
      <x:c r="W650" s="120"/>
      <x:c r="X650" s="121"/>
      <x:c r="Y650" s="122"/>
      <x:c r="Z650" s="120"/>
      <x:c r="AA650" s="122"/>
      <x:c r="AB650" s="120"/>
      <x:c r="AC650" s="121"/>
      <x:c r="AD650" s="122"/>
      <x:c r="AE650" s="120"/>
      <x:c r="AF650" s="122"/>
      <x:c r="AG650" s="120"/>
      <x:c r="AH650" s="121"/>
      <x:c r="AI650" s="122"/>
      <x:c r="AJ650" s="120"/>
      <x:c r="AK650" s="122"/>
      <x:c r="AL650" s="120"/>
      <x:c r="AM650" s="121"/>
      <x:c r="AN650" s="122"/>
      <x:c r="AO650" s="120"/>
      <x:c r="AP650" s="122"/>
    </x:row>
    <x:row r="651" ht="15.75" customHeight="1">
      <x:c r="K651" s="120"/>
      <x:c r="M651" s="120"/>
      <x:c r="N651" s="121"/>
      <x:c r="P651" s="120"/>
      <x:c r="R651" s="120"/>
      <x:c r="S651" s="121"/>
      <x:c r="T651" s="122"/>
      <x:c r="U651" s="120"/>
      <x:c r="V651" s="122"/>
      <x:c r="W651" s="120"/>
      <x:c r="X651" s="121"/>
      <x:c r="Y651" s="122"/>
      <x:c r="Z651" s="120"/>
      <x:c r="AA651" s="122"/>
      <x:c r="AB651" s="120"/>
      <x:c r="AC651" s="121"/>
      <x:c r="AD651" s="122"/>
      <x:c r="AE651" s="120"/>
      <x:c r="AF651" s="122"/>
      <x:c r="AG651" s="120"/>
      <x:c r="AH651" s="121"/>
      <x:c r="AI651" s="122"/>
      <x:c r="AJ651" s="120"/>
      <x:c r="AK651" s="122"/>
      <x:c r="AL651" s="120"/>
      <x:c r="AM651" s="121"/>
      <x:c r="AN651" s="122"/>
      <x:c r="AO651" s="120"/>
      <x:c r="AP651" s="122"/>
    </x:row>
    <x:row r="652" ht="15.75" customHeight="1">
      <x:c r="K652" s="120"/>
      <x:c r="M652" s="120"/>
      <x:c r="N652" s="121"/>
      <x:c r="P652" s="120"/>
      <x:c r="R652" s="120"/>
      <x:c r="S652" s="121"/>
      <x:c r="T652" s="122"/>
      <x:c r="U652" s="120"/>
      <x:c r="V652" s="122"/>
      <x:c r="W652" s="120"/>
      <x:c r="X652" s="121"/>
      <x:c r="Y652" s="122"/>
      <x:c r="Z652" s="120"/>
      <x:c r="AA652" s="122"/>
      <x:c r="AB652" s="120"/>
      <x:c r="AC652" s="121"/>
      <x:c r="AD652" s="122"/>
      <x:c r="AE652" s="120"/>
      <x:c r="AF652" s="122"/>
      <x:c r="AG652" s="120"/>
      <x:c r="AH652" s="121"/>
      <x:c r="AI652" s="122"/>
      <x:c r="AJ652" s="120"/>
      <x:c r="AK652" s="122"/>
      <x:c r="AL652" s="120"/>
      <x:c r="AM652" s="121"/>
      <x:c r="AN652" s="122"/>
      <x:c r="AO652" s="120"/>
      <x:c r="AP652" s="122"/>
    </x:row>
    <x:row r="653" ht="15.75" customHeight="1">
      <x:c r="K653" s="120"/>
      <x:c r="M653" s="120"/>
      <x:c r="N653" s="121"/>
      <x:c r="P653" s="120"/>
      <x:c r="R653" s="120"/>
      <x:c r="S653" s="121"/>
      <x:c r="T653" s="122"/>
      <x:c r="U653" s="120"/>
      <x:c r="V653" s="122"/>
      <x:c r="W653" s="120"/>
      <x:c r="X653" s="121"/>
      <x:c r="Y653" s="122"/>
      <x:c r="Z653" s="120"/>
      <x:c r="AA653" s="122"/>
      <x:c r="AB653" s="120"/>
      <x:c r="AC653" s="121"/>
      <x:c r="AD653" s="122"/>
      <x:c r="AE653" s="120"/>
      <x:c r="AF653" s="122"/>
      <x:c r="AG653" s="120"/>
      <x:c r="AH653" s="121"/>
      <x:c r="AI653" s="122"/>
      <x:c r="AJ653" s="120"/>
      <x:c r="AK653" s="122"/>
      <x:c r="AL653" s="120"/>
      <x:c r="AM653" s="121"/>
      <x:c r="AN653" s="122"/>
      <x:c r="AO653" s="120"/>
      <x:c r="AP653" s="122"/>
    </x:row>
    <x:row r="654" ht="15.75" customHeight="1">
      <x:c r="K654" s="120"/>
      <x:c r="M654" s="120"/>
      <x:c r="N654" s="121"/>
      <x:c r="P654" s="120"/>
      <x:c r="R654" s="120"/>
      <x:c r="S654" s="121"/>
      <x:c r="T654" s="122"/>
      <x:c r="U654" s="120"/>
      <x:c r="V654" s="122"/>
      <x:c r="W654" s="120"/>
      <x:c r="X654" s="121"/>
      <x:c r="Y654" s="122"/>
      <x:c r="Z654" s="120"/>
      <x:c r="AA654" s="122"/>
      <x:c r="AB654" s="120"/>
      <x:c r="AC654" s="121"/>
      <x:c r="AD654" s="122"/>
      <x:c r="AE654" s="120"/>
      <x:c r="AF654" s="122"/>
      <x:c r="AG654" s="120"/>
      <x:c r="AH654" s="121"/>
      <x:c r="AI654" s="122"/>
      <x:c r="AJ654" s="120"/>
      <x:c r="AK654" s="122"/>
      <x:c r="AL654" s="120"/>
      <x:c r="AM654" s="121"/>
      <x:c r="AN654" s="122"/>
      <x:c r="AO654" s="120"/>
      <x:c r="AP654" s="122"/>
    </x:row>
    <x:row r="655" ht="15.75" customHeight="1">
      <x:c r="K655" s="120"/>
      <x:c r="M655" s="120"/>
      <x:c r="N655" s="121"/>
      <x:c r="P655" s="120"/>
      <x:c r="R655" s="120"/>
      <x:c r="S655" s="121"/>
      <x:c r="T655" s="122"/>
      <x:c r="U655" s="120"/>
      <x:c r="V655" s="122"/>
      <x:c r="W655" s="120"/>
      <x:c r="X655" s="121"/>
      <x:c r="Y655" s="122"/>
      <x:c r="Z655" s="120"/>
      <x:c r="AA655" s="122"/>
      <x:c r="AB655" s="120"/>
      <x:c r="AC655" s="121"/>
      <x:c r="AD655" s="122"/>
      <x:c r="AE655" s="120"/>
      <x:c r="AF655" s="122"/>
      <x:c r="AG655" s="120"/>
      <x:c r="AH655" s="121"/>
      <x:c r="AI655" s="122"/>
      <x:c r="AJ655" s="120"/>
      <x:c r="AK655" s="122"/>
      <x:c r="AL655" s="120"/>
      <x:c r="AM655" s="121"/>
      <x:c r="AN655" s="122"/>
      <x:c r="AO655" s="120"/>
      <x:c r="AP655" s="122"/>
    </x:row>
    <x:row r="656" ht="15.75" customHeight="1">
      <x:c r="K656" s="120"/>
      <x:c r="M656" s="120"/>
      <x:c r="N656" s="121"/>
      <x:c r="P656" s="120"/>
      <x:c r="R656" s="120"/>
      <x:c r="S656" s="121"/>
      <x:c r="T656" s="122"/>
      <x:c r="U656" s="120"/>
      <x:c r="V656" s="122"/>
      <x:c r="W656" s="120"/>
      <x:c r="X656" s="121"/>
      <x:c r="Y656" s="122"/>
      <x:c r="Z656" s="120"/>
      <x:c r="AA656" s="122"/>
      <x:c r="AB656" s="120"/>
      <x:c r="AC656" s="121"/>
      <x:c r="AD656" s="122"/>
      <x:c r="AE656" s="120"/>
      <x:c r="AF656" s="122"/>
      <x:c r="AG656" s="120"/>
      <x:c r="AH656" s="121"/>
      <x:c r="AI656" s="122"/>
      <x:c r="AJ656" s="120"/>
      <x:c r="AK656" s="122"/>
      <x:c r="AL656" s="120"/>
      <x:c r="AM656" s="121"/>
      <x:c r="AN656" s="122"/>
      <x:c r="AO656" s="120"/>
      <x:c r="AP656" s="122"/>
    </x:row>
    <x:row r="657" ht="15.75" customHeight="1">
      <x:c r="K657" s="120"/>
      <x:c r="M657" s="120"/>
      <x:c r="N657" s="121"/>
      <x:c r="P657" s="120"/>
      <x:c r="R657" s="120"/>
      <x:c r="S657" s="121"/>
      <x:c r="T657" s="122"/>
      <x:c r="U657" s="120"/>
      <x:c r="V657" s="122"/>
      <x:c r="W657" s="120"/>
      <x:c r="X657" s="121"/>
      <x:c r="Y657" s="122"/>
      <x:c r="Z657" s="120"/>
      <x:c r="AA657" s="122"/>
      <x:c r="AB657" s="120"/>
      <x:c r="AC657" s="121"/>
      <x:c r="AD657" s="122"/>
      <x:c r="AE657" s="120"/>
      <x:c r="AF657" s="122"/>
      <x:c r="AG657" s="120"/>
      <x:c r="AH657" s="121"/>
      <x:c r="AI657" s="122"/>
      <x:c r="AJ657" s="120"/>
      <x:c r="AK657" s="122"/>
      <x:c r="AL657" s="120"/>
      <x:c r="AM657" s="121"/>
      <x:c r="AN657" s="122"/>
      <x:c r="AO657" s="120"/>
      <x:c r="AP657" s="122"/>
    </x:row>
    <x:row r="658" ht="15.75" customHeight="1">
      <x:c r="K658" s="120"/>
      <x:c r="M658" s="120"/>
      <x:c r="N658" s="121"/>
      <x:c r="P658" s="120"/>
      <x:c r="R658" s="120"/>
      <x:c r="S658" s="121"/>
      <x:c r="T658" s="122"/>
      <x:c r="U658" s="120"/>
      <x:c r="V658" s="122"/>
      <x:c r="W658" s="120"/>
      <x:c r="X658" s="121"/>
      <x:c r="Y658" s="122"/>
      <x:c r="Z658" s="120"/>
      <x:c r="AA658" s="122"/>
      <x:c r="AB658" s="120"/>
      <x:c r="AC658" s="121"/>
      <x:c r="AD658" s="122"/>
      <x:c r="AE658" s="120"/>
      <x:c r="AF658" s="122"/>
      <x:c r="AG658" s="120"/>
      <x:c r="AH658" s="121"/>
      <x:c r="AI658" s="122"/>
      <x:c r="AJ658" s="120"/>
      <x:c r="AK658" s="122"/>
      <x:c r="AL658" s="120"/>
      <x:c r="AM658" s="121"/>
      <x:c r="AN658" s="122"/>
      <x:c r="AO658" s="120"/>
      <x:c r="AP658" s="122"/>
    </x:row>
    <x:row r="659" ht="15.75" customHeight="1">
      <x:c r="K659" s="120"/>
      <x:c r="M659" s="120"/>
      <x:c r="N659" s="121"/>
      <x:c r="P659" s="120"/>
      <x:c r="R659" s="120"/>
      <x:c r="S659" s="121"/>
      <x:c r="T659" s="122"/>
      <x:c r="U659" s="120"/>
      <x:c r="V659" s="122"/>
      <x:c r="W659" s="120"/>
      <x:c r="X659" s="121"/>
      <x:c r="Y659" s="122"/>
      <x:c r="Z659" s="120"/>
      <x:c r="AA659" s="122"/>
      <x:c r="AB659" s="120"/>
      <x:c r="AC659" s="121"/>
      <x:c r="AD659" s="122"/>
      <x:c r="AE659" s="120"/>
      <x:c r="AF659" s="122"/>
      <x:c r="AG659" s="120"/>
      <x:c r="AH659" s="121"/>
      <x:c r="AI659" s="122"/>
      <x:c r="AJ659" s="120"/>
      <x:c r="AK659" s="122"/>
      <x:c r="AL659" s="120"/>
      <x:c r="AM659" s="121"/>
      <x:c r="AN659" s="122"/>
      <x:c r="AO659" s="120"/>
      <x:c r="AP659" s="122"/>
    </x:row>
    <x:row r="660" ht="15.75" customHeight="1">
      <x:c r="K660" s="120"/>
      <x:c r="M660" s="120"/>
      <x:c r="N660" s="121"/>
      <x:c r="P660" s="120"/>
      <x:c r="R660" s="120"/>
      <x:c r="S660" s="121"/>
      <x:c r="T660" s="122"/>
      <x:c r="U660" s="120"/>
      <x:c r="V660" s="122"/>
      <x:c r="W660" s="120"/>
      <x:c r="X660" s="121"/>
      <x:c r="Y660" s="122"/>
      <x:c r="Z660" s="120"/>
      <x:c r="AA660" s="122"/>
      <x:c r="AB660" s="120"/>
      <x:c r="AC660" s="121"/>
      <x:c r="AD660" s="122"/>
      <x:c r="AE660" s="120"/>
      <x:c r="AF660" s="122"/>
      <x:c r="AG660" s="120"/>
      <x:c r="AH660" s="121"/>
      <x:c r="AI660" s="122"/>
      <x:c r="AJ660" s="120"/>
      <x:c r="AK660" s="122"/>
      <x:c r="AL660" s="120"/>
      <x:c r="AM660" s="121"/>
      <x:c r="AN660" s="122"/>
      <x:c r="AO660" s="120"/>
      <x:c r="AP660" s="122"/>
    </x:row>
    <x:row r="661" ht="15.75" customHeight="1">
      <x:c r="K661" s="120"/>
      <x:c r="M661" s="120"/>
      <x:c r="N661" s="121"/>
      <x:c r="P661" s="120"/>
      <x:c r="R661" s="120"/>
      <x:c r="S661" s="121"/>
      <x:c r="T661" s="122"/>
      <x:c r="U661" s="120"/>
      <x:c r="V661" s="122"/>
      <x:c r="W661" s="120"/>
      <x:c r="X661" s="121"/>
      <x:c r="Y661" s="122"/>
      <x:c r="Z661" s="120"/>
      <x:c r="AA661" s="122"/>
      <x:c r="AB661" s="120"/>
      <x:c r="AC661" s="121"/>
      <x:c r="AD661" s="122"/>
      <x:c r="AE661" s="120"/>
      <x:c r="AF661" s="122"/>
      <x:c r="AG661" s="120"/>
      <x:c r="AH661" s="121"/>
      <x:c r="AI661" s="122"/>
      <x:c r="AJ661" s="120"/>
      <x:c r="AK661" s="122"/>
      <x:c r="AL661" s="120"/>
      <x:c r="AM661" s="121"/>
      <x:c r="AN661" s="122"/>
      <x:c r="AO661" s="120"/>
      <x:c r="AP661" s="122"/>
    </x:row>
    <x:row r="662" ht="15.75" customHeight="1">
      <x:c r="K662" s="120"/>
      <x:c r="M662" s="120"/>
      <x:c r="N662" s="121"/>
      <x:c r="P662" s="120"/>
      <x:c r="R662" s="120"/>
      <x:c r="S662" s="121"/>
      <x:c r="T662" s="122"/>
      <x:c r="U662" s="120"/>
      <x:c r="V662" s="122"/>
      <x:c r="W662" s="120"/>
      <x:c r="X662" s="121"/>
      <x:c r="Y662" s="122"/>
      <x:c r="Z662" s="120"/>
      <x:c r="AA662" s="122"/>
      <x:c r="AB662" s="120"/>
      <x:c r="AC662" s="121"/>
      <x:c r="AD662" s="122"/>
      <x:c r="AE662" s="120"/>
      <x:c r="AF662" s="122"/>
      <x:c r="AG662" s="120"/>
      <x:c r="AH662" s="121"/>
      <x:c r="AI662" s="122"/>
      <x:c r="AJ662" s="120"/>
      <x:c r="AK662" s="122"/>
      <x:c r="AL662" s="120"/>
      <x:c r="AM662" s="121"/>
      <x:c r="AN662" s="122"/>
      <x:c r="AO662" s="120"/>
      <x:c r="AP662" s="122"/>
    </x:row>
    <x:row r="663" ht="15.75" customHeight="1">
      <x:c r="K663" s="120"/>
      <x:c r="M663" s="120"/>
      <x:c r="N663" s="121"/>
      <x:c r="P663" s="120"/>
      <x:c r="R663" s="120"/>
      <x:c r="S663" s="121"/>
      <x:c r="T663" s="122"/>
      <x:c r="U663" s="120"/>
      <x:c r="V663" s="122"/>
      <x:c r="W663" s="120"/>
      <x:c r="X663" s="121"/>
      <x:c r="Y663" s="122"/>
      <x:c r="Z663" s="120"/>
      <x:c r="AA663" s="122"/>
      <x:c r="AB663" s="120"/>
      <x:c r="AC663" s="121"/>
      <x:c r="AD663" s="122"/>
      <x:c r="AE663" s="120"/>
      <x:c r="AF663" s="122"/>
      <x:c r="AG663" s="120"/>
      <x:c r="AH663" s="121"/>
      <x:c r="AI663" s="122"/>
      <x:c r="AJ663" s="120"/>
      <x:c r="AK663" s="122"/>
      <x:c r="AL663" s="120"/>
      <x:c r="AM663" s="121"/>
      <x:c r="AN663" s="122"/>
      <x:c r="AO663" s="120"/>
      <x:c r="AP663" s="122"/>
    </x:row>
    <x:row r="664" ht="15.75" customHeight="1">
      <x:c r="K664" s="120"/>
      <x:c r="M664" s="120"/>
      <x:c r="N664" s="121"/>
      <x:c r="P664" s="120"/>
      <x:c r="R664" s="120"/>
      <x:c r="S664" s="121"/>
      <x:c r="T664" s="122"/>
      <x:c r="U664" s="120"/>
      <x:c r="V664" s="122"/>
      <x:c r="W664" s="120"/>
      <x:c r="X664" s="121"/>
      <x:c r="Y664" s="122"/>
      <x:c r="Z664" s="120"/>
      <x:c r="AA664" s="122"/>
      <x:c r="AB664" s="120"/>
      <x:c r="AC664" s="121"/>
      <x:c r="AD664" s="122"/>
      <x:c r="AE664" s="120"/>
      <x:c r="AF664" s="122"/>
      <x:c r="AG664" s="120"/>
      <x:c r="AH664" s="121"/>
      <x:c r="AI664" s="122"/>
      <x:c r="AJ664" s="120"/>
      <x:c r="AK664" s="122"/>
      <x:c r="AL664" s="120"/>
      <x:c r="AM664" s="121"/>
      <x:c r="AN664" s="122"/>
      <x:c r="AO664" s="120"/>
      <x:c r="AP664" s="122"/>
    </x:row>
    <x:row r="665" ht="15.75" customHeight="1">
      <x:c r="K665" s="120"/>
      <x:c r="M665" s="120"/>
      <x:c r="N665" s="121"/>
      <x:c r="P665" s="120"/>
      <x:c r="R665" s="120"/>
      <x:c r="S665" s="121"/>
      <x:c r="T665" s="122"/>
      <x:c r="U665" s="120"/>
      <x:c r="V665" s="122"/>
      <x:c r="W665" s="120"/>
      <x:c r="X665" s="121"/>
      <x:c r="Y665" s="122"/>
      <x:c r="Z665" s="120"/>
      <x:c r="AA665" s="122"/>
      <x:c r="AB665" s="120"/>
      <x:c r="AC665" s="121"/>
      <x:c r="AD665" s="122"/>
      <x:c r="AE665" s="120"/>
      <x:c r="AF665" s="122"/>
      <x:c r="AG665" s="120"/>
      <x:c r="AH665" s="121"/>
      <x:c r="AI665" s="122"/>
      <x:c r="AJ665" s="120"/>
      <x:c r="AK665" s="122"/>
      <x:c r="AL665" s="120"/>
      <x:c r="AM665" s="121"/>
      <x:c r="AN665" s="122"/>
      <x:c r="AO665" s="120"/>
      <x:c r="AP665" s="122"/>
    </x:row>
    <x:row r="666" ht="15.75" customHeight="1">
      <x:c r="K666" s="120"/>
      <x:c r="M666" s="120"/>
      <x:c r="N666" s="121"/>
      <x:c r="P666" s="120"/>
      <x:c r="R666" s="120"/>
      <x:c r="S666" s="121"/>
      <x:c r="T666" s="122"/>
      <x:c r="U666" s="120"/>
      <x:c r="V666" s="122"/>
      <x:c r="W666" s="120"/>
      <x:c r="X666" s="121"/>
      <x:c r="Y666" s="122"/>
      <x:c r="Z666" s="120"/>
      <x:c r="AA666" s="122"/>
      <x:c r="AB666" s="120"/>
      <x:c r="AC666" s="121"/>
      <x:c r="AD666" s="122"/>
      <x:c r="AE666" s="120"/>
      <x:c r="AF666" s="122"/>
      <x:c r="AG666" s="120"/>
      <x:c r="AH666" s="121"/>
      <x:c r="AI666" s="122"/>
      <x:c r="AJ666" s="120"/>
      <x:c r="AK666" s="122"/>
      <x:c r="AL666" s="120"/>
      <x:c r="AM666" s="121"/>
      <x:c r="AN666" s="122"/>
      <x:c r="AO666" s="120"/>
      <x:c r="AP666" s="122"/>
    </x:row>
    <x:row r="667" ht="15.75" customHeight="1">
      <x:c r="K667" s="120"/>
      <x:c r="M667" s="120"/>
      <x:c r="N667" s="121"/>
      <x:c r="P667" s="120"/>
      <x:c r="R667" s="120"/>
      <x:c r="S667" s="121"/>
      <x:c r="T667" s="122"/>
      <x:c r="U667" s="120"/>
      <x:c r="V667" s="122"/>
      <x:c r="W667" s="120"/>
      <x:c r="X667" s="121"/>
      <x:c r="Y667" s="122"/>
      <x:c r="Z667" s="120"/>
      <x:c r="AA667" s="122"/>
      <x:c r="AB667" s="120"/>
      <x:c r="AC667" s="121"/>
      <x:c r="AD667" s="122"/>
      <x:c r="AE667" s="120"/>
      <x:c r="AF667" s="122"/>
      <x:c r="AG667" s="120"/>
      <x:c r="AH667" s="121"/>
      <x:c r="AI667" s="122"/>
      <x:c r="AJ667" s="120"/>
      <x:c r="AK667" s="122"/>
      <x:c r="AL667" s="120"/>
      <x:c r="AM667" s="121"/>
      <x:c r="AN667" s="122"/>
      <x:c r="AO667" s="120"/>
      <x:c r="AP667" s="122"/>
    </x:row>
    <x:row r="668" ht="15.75" customHeight="1">
      <x:c r="K668" s="120"/>
      <x:c r="M668" s="120"/>
      <x:c r="N668" s="121"/>
      <x:c r="P668" s="120"/>
      <x:c r="R668" s="120"/>
      <x:c r="S668" s="121"/>
      <x:c r="T668" s="122"/>
      <x:c r="U668" s="120"/>
      <x:c r="V668" s="122"/>
      <x:c r="W668" s="120"/>
      <x:c r="X668" s="121"/>
      <x:c r="Y668" s="122"/>
      <x:c r="Z668" s="120"/>
      <x:c r="AA668" s="122"/>
      <x:c r="AB668" s="120"/>
      <x:c r="AC668" s="121"/>
      <x:c r="AD668" s="122"/>
      <x:c r="AE668" s="120"/>
      <x:c r="AF668" s="122"/>
      <x:c r="AG668" s="120"/>
      <x:c r="AH668" s="121"/>
      <x:c r="AI668" s="122"/>
      <x:c r="AJ668" s="120"/>
      <x:c r="AK668" s="122"/>
      <x:c r="AL668" s="120"/>
      <x:c r="AM668" s="121"/>
      <x:c r="AN668" s="122"/>
      <x:c r="AO668" s="120"/>
      <x:c r="AP668" s="122"/>
    </x:row>
    <x:row r="669" ht="15.75" customHeight="1">
      <x:c r="K669" s="120"/>
      <x:c r="M669" s="120"/>
      <x:c r="N669" s="121"/>
      <x:c r="P669" s="120"/>
      <x:c r="R669" s="120"/>
      <x:c r="S669" s="121"/>
      <x:c r="T669" s="122"/>
      <x:c r="U669" s="120"/>
      <x:c r="V669" s="122"/>
      <x:c r="W669" s="120"/>
      <x:c r="X669" s="121"/>
      <x:c r="Y669" s="122"/>
      <x:c r="Z669" s="120"/>
      <x:c r="AA669" s="122"/>
      <x:c r="AB669" s="120"/>
      <x:c r="AC669" s="121"/>
      <x:c r="AD669" s="122"/>
      <x:c r="AE669" s="120"/>
      <x:c r="AF669" s="122"/>
      <x:c r="AG669" s="120"/>
      <x:c r="AH669" s="121"/>
      <x:c r="AI669" s="122"/>
      <x:c r="AJ669" s="120"/>
      <x:c r="AK669" s="122"/>
      <x:c r="AL669" s="120"/>
      <x:c r="AM669" s="121"/>
      <x:c r="AN669" s="122"/>
      <x:c r="AO669" s="120"/>
      <x:c r="AP669" s="122"/>
    </x:row>
    <x:row r="670" ht="15.75" customHeight="1">
      <x:c r="K670" s="120"/>
      <x:c r="M670" s="120"/>
      <x:c r="N670" s="121"/>
      <x:c r="P670" s="120"/>
      <x:c r="R670" s="120"/>
      <x:c r="S670" s="121"/>
      <x:c r="T670" s="122"/>
      <x:c r="U670" s="120"/>
      <x:c r="V670" s="122"/>
      <x:c r="W670" s="120"/>
      <x:c r="X670" s="121"/>
      <x:c r="Y670" s="122"/>
      <x:c r="Z670" s="120"/>
      <x:c r="AA670" s="122"/>
      <x:c r="AB670" s="120"/>
      <x:c r="AC670" s="121"/>
      <x:c r="AD670" s="122"/>
      <x:c r="AE670" s="120"/>
      <x:c r="AF670" s="122"/>
      <x:c r="AG670" s="120"/>
      <x:c r="AH670" s="121"/>
      <x:c r="AI670" s="122"/>
      <x:c r="AJ670" s="120"/>
      <x:c r="AK670" s="122"/>
      <x:c r="AL670" s="120"/>
      <x:c r="AM670" s="121"/>
      <x:c r="AN670" s="122"/>
      <x:c r="AO670" s="120"/>
      <x:c r="AP670" s="122"/>
    </x:row>
    <x:row r="671" ht="15.75" customHeight="1">
      <x:c r="K671" s="120"/>
      <x:c r="M671" s="120"/>
      <x:c r="N671" s="121"/>
      <x:c r="P671" s="120"/>
      <x:c r="R671" s="120"/>
      <x:c r="S671" s="121"/>
      <x:c r="T671" s="122"/>
      <x:c r="U671" s="120"/>
      <x:c r="V671" s="122"/>
      <x:c r="W671" s="120"/>
      <x:c r="X671" s="121"/>
      <x:c r="Y671" s="122"/>
      <x:c r="Z671" s="120"/>
      <x:c r="AA671" s="122"/>
      <x:c r="AB671" s="120"/>
      <x:c r="AC671" s="121"/>
      <x:c r="AD671" s="122"/>
      <x:c r="AE671" s="120"/>
      <x:c r="AF671" s="122"/>
      <x:c r="AG671" s="120"/>
      <x:c r="AH671" s="121"/>
      <x:c r="AI671" s="122"/>
      <x:c r="AJ671" s="120"/>
      <x:c r="AK671" s="122"/>
      <x:c r="AL671" s="120"/>
      <x:c r="AM671" s="121"/>
      <x:c r="AN671" s="122"/>
      <x:c r="AO671" s="120"/>
      <x:c r="AP671" s="122"/>
    </x:row>
    <x:row r="672" ht="15.75" customHeight="1">
      <x:c r="K672" s="120"/>
      <x:c r="M672" s="120"/>
      <x:c r="N672" s="121"/>
      <x:c r="P672" s="120"/>
      <x:c r="R672" s="120"/>
      <x:c r="S672" s="121"/>
      <x:c r="T672" s="122"/>
      <x:c r="U672" s="120"/>
      <x:c r="V672" s="122"/>
      <x:c r="W672" s="120"/>
      <x:c r="X672" s="121"/>
      <x:c r="Y672" s="122"/>
      <x:c r="Z672" s="120"/>
      <x:c r="AA672" s="122"/>
      <x:c r="AB672" s="120"/>
      <x:c r="AC672" s="121"/>
      <x:c r="AD672" s="122"/>
      <x:c r="AE672" s="120"/>
      <x:c r="AF672" s="122"/>
      <x:c r="AG672" s="120"/>
      <x:c r="AH672" s="121"/>
      <x:c r="AI672" s="122"/>
      <x:c r="AJ672" s="120"/>
      <x:c r="AK672" s="122"/>
      <x:c r="AL672" s="120"/>
      <x:c r="AM672" s="121"/>
      <x:c r="AN672" s="122"/>
      <x:c r="AO672" s="120"/>
      <x:c r="AP672" s="122"/>
    </x:row>
    <x:row r="673" ht="15.75" customHeight="1">
      <x:c r="K673" s="120"/>
      <x:c r="M673" s="120"/>
      <x:c r="N673" s="121"/>
      <x:c r="P673" s="120"/>
      <x:c r="R673" s="120"/>
      <x:c r="S673" s="121"/>
      <x:c r="T673" s="122"/>
      <x:c r="U673" s="120"/>
      <x:c r="V673" s="122"/>
      <x:c r="W673" s="120"/>
      <x:c r="X673" s="121"/>
      <x:c r="Y673" s="122"/>
      <x:c r="Z673" s="120"/>
      <x:c r="AA673" s="122"/>
      <x:c r="AB673" s="120"/>
      <x:c r="AC673" s="121"/>
      <x:c r="AD673" s="122"/>
      <x:c r="AE673" s="120"/>
      <x:c r="AF673" s="122"/>
      <x:c r="AG673" s="120"/>
      <x:c r="AH673" s="121"/>
      <x:c r="AI673" s="122"/>
      <x:c r="AJ673" s="120"/>
      <x:c r="AK673" s="122"/>
      <x:c r="AL673" s="120"/>
      <x:c r="AM673" s="121"/>
      <x:c r="AN673" s="122"/>
      <x:c r="AO673" s="120"/>
      <x:c r="AP673" s="122"/>
    </x:row>
    <x:row r="674" ht="15.75" customHeight="1">
      <x:c r="K674" s="120"/>
      <x:c r="M674" s="120"/>
      <x:c r="N674" s="121"/>
      <x:c r="P674" s="120"/>
      <x:c r="R674" s="120"/>
      <x:c r="S674" s="121"/>
      <x:c r="T674" s="122"/>
      <x:c r="U674" s="120"/>
      <x:c r="V674" s="122"/>
      <x:c r="W674" s="120"/>
      <x:c r="X674" s="121"/>
      <x:c r="Y674" s="122"/>
      <x:c r="Z674" s="120"/>
      <x:c r="AA674" s="122"/>
      <x:c r="AB674" s="120"/>
      <x:c r="AC674" s="121"/>
      <x:c r="AD674" s="122"/>
      <x:c r="AE674" s="120"/>
      <x:c r="AF674" s="122"/>
      <x:c r="AG674" s="120"/>
      <x:c r="AH674" s="121"/>
      <x:c r="AI674" s="122"/>
      <x:c r="AJ674" s="120"/>
      <x:c r="AK674" s="122"/>
      <x:c r="AL674" s="120"/>
      <x:c r="AM674" s="121"/>
      <x:c r="AN674" s="122"/>
      <x:c r="AO674" s="120"/>
      <x:c r="AP674" s="122"/>
    </x:row>
    <x:row r="675" ht="15.75" customHeight="1">
      <x:c r="K675" s="120"/>
      <x:c r="M675" s="120"/>
      <x:c r="N675" s="121"/>
      <x:c r="P675" s="120"/>
      <x:c r="R675" s="120"/>
      <x:c r="S675" s="121"/>
      <x:c r="T675" s="122"/>
      <x:c r="U675" s="120"/>
      <x:c r="V675" s="122"/>
      <x:c r="W675" s="120"/>
      <x:c r="X675" s="121"/>
      <x:c r="Y675" s="122"/>
      <x:c r="Z675" s="120"/>
      <x:c r="AA675" s="122"/>
      <x:c r="AB675" s="120"/>
      <x:c r="AC675" s="121"/>
      <x:c r="AD675" s="122"/>
      <x:c r="AE675" s="120"/>
      <x:c r="AF675" s="122"/>
      <x:c r="AG675" s="120"/>
      <x:c r="AH675" s="121"/>
      <x:c r="AI675" s="122"/>
      <x:c r="AJ675" s="120"/>
      <x:c r="AK675" s="122"/>
      <x:c r="AL675" s="120"/>
      <x:c r="AM675" s="121"/>
      <x:c r="AN675" s="122"/>
      <x:c r="AO675" s="120"/>
      <x:c r="AP675" s="122"/>
    </x:row>
    <x:row r="676" ht="15.75" customHeight="1">
      <x:c r="K676" s="120"/>
      <x:c r="M676" s="120"/>
      <x:c r="N676" s="121"/>
      <x:c r="P676" s="120"/>
      <x:c r="R676" s="120"/>
      <x:c r="S676" s="121"/>
      <x:c r="T676" s="122"/>
      <x:c r="U676" s="120"/>
      <x:c r="V676" s="122"/>
      <x:c r="W676" s="120"/>
      <x:c r="X676" s="121"/>
      <x:c r="Y676" s="122"/>
      <x:c r="Z676" s="120"/>
      <x:c r="AA676" s="122"/>
      <x:c r="AB676" s="120"/>
      <x:c r="AC676" s="121"/>
      <x:c r="AD676" s="122"/>
      <x:c r="AE676" s="120"/>
      <x:c r="AF676" s="122"/>
      <x:c r="AG676" s="120"/>
      <x:c r="AH676" s="121"/>
      <x:c r="AI676" s="122"/>
      <x:c r="AJ676" s="120"/>
      <x:c r="AK676" s="122"/>
      <x:c r="AL676" s="120"/>
      <x:c r="AM676" s="121"/>
      <x:c r="AN676" s="122"/>
      <x:c r="AO676" s="120"/>
      <x:c r="AP676" s="122"/>
    </x:row>
    <x:row r="677" ht="15.75" customHeight="1">
      <x:c r="K677" s="120"/>
      <x:c r="M677" s="120"/>
      <x:c r="N677" s="121"/>
      <x:c r="P677" s="120"/>
      <x:c r="R677" s="120"/>
      <x:c r="S677" s="121"/>
      <x:c r="T677" s="122"/>
      <x:c r="U677" s="120"/>
      <x:c r="V677" s="122"/>
      <x:c r="W677" s="120"/>
      <x:c r="X677" s="121"/>
      <x:c r="Y677" s="122"/>
      <x:c r="Z677" s="120"/>
      <x:c r="AA677" s="122"/>
      <x:c r="AB677" s="120"/>
      <x:c r="AC677" s="121"/>
      <x:c r="AD677" s="122"/>
      <x:c r="AE677" s="120"/>
      <x:c r="AF677" s="122"/>
      <x:c r="AG677" s="120"/>
      <x:c r="AH677" s="121"/>
      <x:c r="AI677" s="122"/>
      <x:c r="AJ677" s="120"/>
      <x:c r="AK677" s="122"/>
      <x:c r="AL677" s="120"/>
      <x:c r="AM677" s="121"/>
      <x:c r="AN677" s="122"/>
      <x:c r="AO677" s="120"/>
      <x:c r="AP677" s="122"/>
    </x:row>
    <x:row r="678" ht="15.75" customHeight="1">
      <x:c r="K678" s="120"/>
      <x:c r="M678" s="120"/>
      <x:c r="N678" s="121"/>
      <x:c r="P678" s="120"/>
      <x:c r="R678" s="120"/>
      <x:c r="S678" s="121"/>
      <x:c r="T678" s="122"/>
      <x:c r="U678" s="120"/>
      <x:c r="V678" s="122"/>
      <x:c r="W678" s="120"/>
      <x:c r="X678" s="121"/>
      <x:c r="Y678" s="122"/>
      <x:c r="Z678" s="120"/>
      <x:c r="AA678" s="122"/>
      <x:c r="AB678" s="120"/>
      <x:c r="AC678" s="121"/>
      <x:c r="AD678" s="122"/>
      <x:c r="AE678" s="120"/>
      <x:c r="AF678" s="122"/>
      <x:c r="AG678" s="120"/>
      <x:c r="AH678" s="121"/>
      <x:c r="AI678" s="122"/>
      <x:c r="AJ678" s="120"/>
      <x:c r="AK678" s="122"/>
      <x:c r="AL678" s="120"/>
      <x:c r="AM678" s="121"/>
      <x:c r="AN678" s="122"/>
      <x:c r="AO678" s="120"/>
      <x:c r="AP678" s="122"/>
    </x:row>
    <x:row r="679" ht="15.75" customHeight="1">
      <x:c r="K679" s="120"/>
      <x:c r="M679" s="120"/>
      <x:c r="N679" s="121"/>
      <x:c r="P679" s="120"/>
      <x:c r="R679" s="120"/>
      <x:c r="S679" s="121"/>
      <x:c r="T679" s="122"/>
      <x:c r="U679" s="120"/>
      <x:c r="V679" s="122"/>
      <x:c r="W679" s="120"/>
      <x:c r="X679" s="121"/>
      <x:c r="Y679" s="122"/>
      <x:c r="Z679" s="120"/>
      <x:c r="AA679" s="122"/>
      <x:c r="AB679" s="120"/>
      <x:c r="AC679" s="121"/>
      <x:c r="AD679" s="122"/>
      <x:c r="AE679" s="120"/>
      <x:c r="AF679" s="122"/>
      <x:c r="AG679" s="120"/>
      <x:c r="AH679" s="121"/>
      <x:c r="AI679" s="122"/>
      <x:c r="AJ679" s="120"/>
      <x:c r="AK679" s="122"/>
      <x:c r="AL679" s="120"/>
      <x:c r="AM679" s="121"/>
      <x:c r="AN679" s="122"/>
      <x:c r="AO679" s="120"/>
      <x:c r="AP679" s="122"/>
    </x:row>
    <x:row r="680" ht="15.75" customHeight="1">
      <x:c r="K680" s="120"/>
      <x:c r="M680" s="120"/>
      <x:c r="N680" s="121"/>
      <x:c r="P680" s="120"/>
      <x:c r="R680" s="120"/>
      <x:c r="S680" s="121"/>
      <x:c r="T680" s="122"/>
      <x:c r="U680" s="120"/>
      <x:c r="V680" s="122"/>
      <x:c r="W680" s="120"/>
      <x:c r="X680" s="121"/>
      <x:c r="Y680" s="122"/>
      <x:c r="Z680" s="120"/>
      <x:c r="AA680" s="122"/>
      <x:c r="AB680" s="120"/>
      <x:c r="AC680" s="121"/>
      <x:c r="AD680" s="122"/>
      <x:c r="AE680" s="120"/>
      <x:c r="AF680" s="122"/>
      <x:c r="AG680" s="120"/>
      <x:c r="AH680" s="121"/>
      <x:c r="AI680" s="122"/>
      <x:c r="AJ680" s="120"/>
      <x:c r="AK680" s="122"/>
      <x:c r="AL680" s="120"/>
      <x:c r="AM680" s="121"/>
      <x:c r="AN680" s="122"/>
      <x:c r="AO680" s="120"/>
      <x:c r="AP680" s="122"/>
    </x:row>
    <x:row r="681" ht="15.75" customHeight="1">
      <x:c r="K681" s="120"/>
      <x:c r="M681" s="120"/>
      <x:c r="N681" s="121"/>
      <x:c r="P681" s="120"/>
      <x:c r="R681" s="120"/>
      <x:c r="S681" s="121"/>
      <x:c r="T681" s="122"/>
      <x:c r="U681" s="120"/>
      <x:c r="V681" s="122"/>
      <x:c r="W681" s="120"/>
      <x:c r="X681" s="121"/>
      <x:c r="Y681" s="122"/>
      <x:c r="Z681" s="120"/>
      <x:c r="AA681" s="122"/>
      <x:c r="AB681" s="120"/>
      <x:c r="AC681" s="121"/>
      <x:c r="AD681" s="122"/>
      <x:c r="AE681" s="120"/>
      <x:c r="AF681" s="122"/>
      <x:c r="AG681" s="120"/>
      <x:c r="AH681" s="121"/>
      <x:c r="AI681" s="122"/>
      <x:c r="AJ681" s="120"/>
      <x:c r="AK681" s="122"/>
      <x:c r="AL681" s="120"/>
      <x:c r="AM681" s="121"/>
      <x:c r="AN681" s="122"/>
      <x:c r="AO681" s="120"/>
      <x:c r="AP681" s="122"/>
    </x:row>
    <x:row r="682" ht="15.75" customHeight="1">
      <x:c r="K682" s="120"/>
      <x:c r="M682" s="120"/>
      <x:c r="N682" s="121"/>
      <x:c r="P682" s="120"/>
      <x:c r="R682" s="120"/>
      <x:c r="S682" s="121"/>
      <x:c r="T682" s="122"/>
      <x:c r="U682" s="120"/>
      <x:c r="V682" s="122"/>
      <x:c r="W682" s="120"/>
      <x:c r="X682" s="121"/>
      <x:c r="Y682" s="122"/>
      <x:c r="Z682" s="120"/>
      <x:c r="AA682" s="122"/>
      <x:c r="AB682" s="120"/>
      <x:c r="AC682" s="121"/>
      <x:c r="AD682" s="122"/>
      <x:c r="AE682" s="120"/>
      <x:c r="AF682" s="122"/>
      <x:c r="AG682" s="120"/>
      <x:c r="AH682" s="121"/>
      <x:c r="AI682" s="122"/>
      <x:c r="AJ682" s="120"/>
      <x:c r="AK682" s="122"/>
      <x:c r="AL682" s="120"/>
      <x:c r="AM682" s="121"/>
      <x:c r="AN682" s="122"/>
      <x:c r="AO682" s="120"/>
      <x:c r="AP682" s="122"/>
    </x:row>
    <x:row r="683" ht="15.75" customHeight="1">
      <x:c r="K683" s="120"/>
      <x:c r="M683" s="120"/>
      <x:c r="N683" s="121"/>
      <x:c r="P683" s="120"/>
      <x:c r="R683" s="120"/>
      <x:c r="S683" s="121"/>
      <x:c r="T683" s="122"/>
      <x:c r="U683" s="120"/>
      <x:c r="V683" s="122"/>
      <x:c r="W683" s="120"/>
      <x:c r="X683" s="121"/>
      <x:c r="Y683" s="122"/>
      <x:c r="Z683" s="120"/>
      <x:c r="AA683" s="122"/>
      <x:c r="AB683" s="120"/>
      <x:c r="AC683" s="121"/>
      <x:c r="AD683" s="122"/>
      <x:c r="AE683" s="120"/>
      <x:c r="AF683" s="122"/>
      <x:c r="AG683" s="120"/>
      <x:c r="AH683" s="121"/>
      <x:c r="AI683" s="122"/>
      <x:c r="AJ683" s="120"/>
      <x:c r="AK683" s="122"/>
      <x:c r="AL683" s="120"/>
      <x:c r="AM683" s="121"/>
      <x:c r="AN683" s="122"/>
      <x:c r="AO683" s="120"/>
      <x:c r="AP683" s="122"/>
    </x:row>
    <x:row r="684" ht="15.75" customHeight="1">
      <x:c r="K684" s="120"/>
      <x:c r="M684" s="120"/>
      <x:c r="N684" s="121"/>
      <x:c r="P684" s="120"/>
      <x:c r="R684" s="120"/>
      <x:c r="S684" s="121"/>
      <x:c r="T684" s="122"/>
      <x:c r="U684" s="120"/>
      <x:c r="V684" s="122"/>
      <x:c r="W684" s="120"/>
      <x:c r="X684" s="121"/>
      <x:c r="Y684" s="122"/>
      <x:c r="Z684" s="120"/>
      <x:c r="AA684" s="122"/>
      <x:c r="AB684" s="120"/>
      <x:c r="AC684" s="121"/>
      <x:c r="AD684" s="122"/>
      <x:c r="AE684" s="120"/>
      <x:c r="AF684" s="122"/>
      <x:c r="AG684" s="120"/>
      <x:c r="AH684" s="121"/>
      <x:c r="AI684" s="122"/>
      <x:c r="AJ684" s="120"/>
      <x:c r="AK684" s="122"/>
      <x:c r="AL684" s="120"/>
      <x:c r="AM684" s="121"/>
      <x:c r="AN684" s="122"/>
      <x:c r="AO684" s="120"/>
      <x:c r="AP684" s="122"/>
    </x:row>
    <x:row r="685" ht="15.75" customHeight="1">
      <x:c r="K685" s="120"/>
      <x:c r="M685" s="120"/>
      <x:c r="N685" s="121"/>
      <x:c r="P685" s="120"/>
      <x:c r="R685" s="120"/>
      <x:c r="S685" s="121"/>
      <x:c r="T685" s="122"/>
      <x:c r="U685" s="120"/>
      <x:c r="V685" s="122"/>
      <x:c r="W685" s="120"/>
      <x:c r="X685" s="121"/>
      <x:c r="Y685" s="122"/>
      <x:c r="Z685" s="120"/>
      <x:c r="AA685" s="122"/>
      <x:c r="AB685" s="120"/>
      <x:c r="AC685" s="121"/>
      <x:c r="AD685" s="122"/>
      <x:c r="AE685" s="120"/>
      <x:c r="AF685" s="122"/>
      <x:c r="AG685" s="120"/>
      <x:c r="AH685" s="121"/>
      <x:c r="AI685" s="122"/>
      <x:c r="AJ685" s="120"/>
      <x:c r="AK685" s="122"/>
      <x:c r="AL685" s="120"/>
      <x:c r="AM685" s="121"/>
      <x:c r="AN685" s="122"/>
      <x:c r="AO685" s="120"/>
      <x:c r="AP685" s="122"/>
    </x:row>
    <x:row r="686" ht="15.75" customHeight="1">
      <x:c r="K686" s="120"/>
      <x:c r="M686" s="120"/>
      <x:c r="N686" s="121"/>
      <x:c r="P686" s="120"/>
      <x:c r="R686" s="120"/>
      <x:c r="S686" s="121"/>
      <x:c r="T686" s="122"/>
      <x:c r="U686" s="120"/>
      <x:c r="V686" s="122"/>
      <x:c r="W686" s="120"/>
      <x:c r="X686" s="121"/>
      <x:c r="Y686" s="122"/>
      <x:c r="Z686" s="120"/>
      <x:c r="AA686" s="122"/>
      <x:c r="AB686" s="120"/>
      <x:c r="AC686" s="121"/>
      <x:c r="AD686" s="122"/>
      <x:c r="AE686" s="120"/>
      <x:c r="AF686" s="122"/>
      <x:c r="AG686" s="120"/>
      <x:c r="AH686" s="121"/>
      <x:c r="AI686" s="122"/>
      <x:c r="AJ686" s="120"/>
      <x:c r="AK686" s="122"/>
      <x:c r="AL686" s="120"/>
      <x:c r="AM686" s="121"/>
      <x:c r="AN686" s="122"/>
      <x:c r="AO686" s="120"/>
      <x:c r="AP686" s="122"/>
    </x:row>
    <x:row r="687" ht="15.75" customHeight="1">
      <x:c r="K687" s="120"/>
      <x:c r="M687" s="120"/>
      <x:c r="N687" s="121"/>
      <x:c r="P687" s="120"/>
      <x:c r="R687" s="120"/>
      <x:c r="S687" s="121"/>
      <x:c r="T687" s="122"/>
      <x:c r="U687" s="120"/>
      <x:c r="V687" s="122"/>
      <x:c r="W687" s="120"/>
      <x:c r="X687" s="121"/>
      <x:c r="Y687" s="122"/>
      <x:c r="Z687" s="120"/>
      <x:c r="AA687" s="122"/>
      <x:c r="AB687" s="120"/>
      <x:c r="AC687" s="121"/>
      <x:c r="AD687" s="122"/>
      <x:c r="AE687" s="120"/>
      <x:c r="AF687" s="122"/>
      <x:c r="AG687" s="120"/>
      <x:c r="AH687" s="121"/>
      <x:c r="AI687" s="122"/>
      <x:c r="AJ687" s="120"/>
      <x:c r="AK687" s="122"/>
      <x:c r="AL687" s="120"/>
      <x:c r="AM687" s="121"/>
      <x:c r="AN687" s="122"/>
      <x:c r="AO687" s="120"/>
      <x:c r="AP687" s="122"/>
    </x:row>
    <x:row r="688" ht="15.75" customHeight="1">
      <x:c r="K688" s="120"/>
      <x:c r="M688" s="120"/>
      <x:c r="N688" s="121"/>
      <x:c r="P688" s="120"/>
      <x:c r="R688" s="120"/>
      <x:c r="S688" s="121"/>
      <x:c r="T688" s="122"/>
      <x:c r="U688" s="120"/>
      <x:c r="V688" s="122"/>
      <x:c r="W688" s="120"/>
      <x:c r="X688" s="121"/>
      <x:c r="Y688" s="122"/>
      <x:c r="Z688" s="120"/>
      <x:c r="AA688" s="122"/>
      <x:c r="AB688" s="120"/>
      <x:c r="AC688" s="121"/>
      <x:c r="AD688" s="122"/>
      <x:c r="AE688" s="120"/>
      <x:c r="AF688" s="122"/>
      <x:c r="AG688" s="120"/>
      <x:c r="AH688" s="121"/>
      <x:c r="AI688" s="122"/>
      <x:c r="AJ688" s="120"/>
      <x:c r="AK688" s="122"/>
      <x:c r="AL688" s="120"/>
      <x:c r="AM688" s="121"/>
      <x:c r="AN688" s="122"/>
      <x:c r="AO688" s="120"/>
      <x:c r="AP688" s="122"/>
    </x:row>
    <x:row r="689" ht="15.75" customHeight="1">
      <x:c r="K689" s="120"/>
      <x:c r="M689" s="120"/>
      <x:c r="N689" s="121"/>
      <x:c r="P689" s="120"/>
      <x:c r="R689" s="120"/>
      <x:c r="S689" s="121"/>
      <x:c r="T689" s="122"/>
      <x:c r="U689" s="120"/>
      <x:c r="V689" s="122"/>
      <x:c r="W689" s="120"/>
      <x:c r="X689" s="121"/>
      <x:c r="Y689" s="122"/>
      <x:c r="Z689" s="120"/>
      <x:c r="AA689" s="122"/>
      <x:c r="AB689" s="120"/>
      <x:c r="AC689" s="121"/>
      <x:c r="AD689" s="122"/>
      <x:c r="AE689" s="120"/>
      <x:c r="AF689" s="122"/>
      <x:c r="AG689" s="120"/>
      <x:c r="AH689" s="121"/>
      <x:c r="AI689" s="122"/>
      <x:c r="AJ689" s="120"/>
      <x:c r="AK689" s="122"/>
      <x:c r="AL689" s="120"/>
      <x:c r="AM689" s="121"/>
      <x:c r="AN689" s="122"/>
      <x:c r="AO689" s="120"/>
      <x:c r="AP689" s="122"/>
    </x:row>
    <x:row r="690" ht="15.75" customHeight="1">
      <x:c r="K690" s="120"/>
      <x:c r="M690" s="120"/>
      <x:c r="N690" s="121"/>
      <x:c r="P690" s="120"/>
      <x:c r="R690" s="120"/>
      <x:c r="S690" s="121"/>
      <x:c r="T690" s="122"/>
      <x:c r="U690" s="120"/>
      <x:c r="V690" s="122"/>
      <x:c r="W690" s="120"/>
      <x:c r="X690" s="121"/>
      <x:c r="Y690" s="122"/>
      <x:c r="Z690" s="120"/>
      <x:c r="AA690" s="122"/>
      <x:c r="AB690" s="120"/>
      <x:c r="AC690" s="121"/>
      <x:c r="AD690" s="122"/>
      <x:c r="AE690" s="120"/>
      <x:c r="AF690" s="122"/>
      <x:c r="AG690" s="120"/>
      <x:c r="AH690" s="121"/>
      <x:c r="AI690" s="122"/>
      <x:c r="AJ690" s="120"/>
      <x:c r="AK690" s="122"/>
      <x:c r="AL690" s="120"/>
      <x:c r="AM690" s="121"/>
      <x:c r="AN690" s="122"/>
      <x:c r="AO690" s="120"/>
      <x:c r="AP690" s="122"/>
    </x:row>
    <x:row r="691" ht="15.75" customHeight="1">
      <x:c r="K691" s="120"/>
      <x:c r="M691" s="120"/>
      <x:c r="N691" s="121"/>
      <x:c r="P691" s="120"/>
      <x:c r="R691" s="120"/>
      <x:c r="S691" s="121"/>
      <x:c r="T691" s="122"/>
      <x:c r="U691" s="120"/>
      <x:c r="V691" s="122"/>
      <x:c r="W691" s="120"/>
      <x:c r="X691" s="121"/>
      <x:c r="Y691" s="122"/>
      <x:c r="Z691" s="120"/>
      <x:c r="AA691" s="122"/>
      <x:c r="AB691" s="120"/>
      <x:c r="AC691" s="121"/>
      <x:c r="AD691" s="122"/>
      <x:c r="AE691" s="120"/>
      <x:c r="AF691" s="122"/>
      <x:c r="AG691" s="120"/>
      <x:c r="AH691" s="121"/>
      <x:c r="AI691" s="122"/>
      <x:c r="AJ691" s="120"/>
      <x:c r="AK691" s="122"/>
      <x:c r="AL691" s="120"/>
      <x:c r="AM691" s="121"/>
      <x:c r="AN691" s="122"/>
      <x:c r="AO691" s="120"/>
      <x:c r="AP691" s="122"/>
    </x:row>
    <x:row r="692" ht="15.75" customHeight="1">
      <x:c r="K692" s="120"/>
      <x:c r="M692" s="120"/>
      <x:c r="N692" s="121"/>
      <x:c r="P692" s="120"/>
      <x:c r="R692" s="120"/>
      <x:c r="S692" s="121"/>
      <x:c r="T692" s="122"/>
      <x:c r="U692" s="120"/>
      <x:c r="V692" s="122"/>
      <x:c r="W692" s="120"/>
      <x:c r="X692" s="121"/>
      <x:c r="Y692" s="122"/>
      <x:c r="Z692" s="120"/>
      <x:c r="AA692" s="122"/>
      <x:c r="AB692" s="120"/>
      <x:c r="AC692" s="121"/>
      <x:c r="AD692" s="122"/>
      <x:c r="AE692" s="120"/>
      <x:c r="AF692" s="122"/>
      <x:c r="AG692" s="120"/>
      <x:c r="AH692" s="121"/>
      <x:c r="AI692" s="122"/>
      <x:c r="AJ692" s="120"/>
      <x:c r="AK692" s="122"/>
      <x:c r="AL692" s="120"/>
      <x:c r="AM692" s="121"/>
      <x:c r="AN692" s="122"/>
      <x:c r="AO692" s="120"/>
      <x:c r="AP692" s="122"/>
    </x:row>
    <x:row r="693" ht="15.75" customHeight="1">
      <x:c r="K693" s="120"/>
      <x:c r="M693" s="120"/>
      <x:c r="N693" s="121"/>
      <x:c r="P693" s="120"/>
      <x:c r="R693" s="120"/>
      <x:c r="S693" s="121"/>
      <x:c r="T693" s="122"/>
      <x:c r="U693" s="120"/>
      <x:c r="V693" s="122"/>
      <x:c r="W693" s="120"/>
      <x:c r="X693" s="121"/>
      <x:c r="Y693" s="122"/>
      <x:c r="Z693" s="120"/>
      <x:c r="AA693" s="122"/>
      <x:c r="AB693" s="120"/>
      <x:c r="AC693" s="121"/>
      <x:c r="AD693" s="122"/>
      <x:c r="AE693" s="120"/>
      <x:c r="AF693" s="122"/>
      <x:c r="AG693" s="120"/>
      <x:c r="AH693" s="121"/>
      <x:c r="AI693" s="122"/>
      <x:c r="AJ693" s="120"/>
      <x:c r="AK693" s="122"/>
      <x:c r="AL693" s="120"/>
      <x:c r="AM693" s="121"/>
      <x:c r="AN693" s="122"/>
      <x:c r="AO693" s="120"/>
      <x:c r="AP693" s="122"/>
    </x:row>
    <x:row r="694" ht="15.75" customHeight="1">
      <x:c r="K694" s="120"/>
      <x:c r="M694" s="120"/>
      <x:c r="N694" s="121"/>
      <x:c r="P694" s="120"/>
      <x:c r="R694" s="120"/>
      <x:c r="S694" s="121"/>
      <x:c r="T694" s="122"/>
      <x:c r="U694" s="120"/>
      <x:c r="V694" s="122"/>
      <x:c r="W694" s="120"/>
      <x:c r="X694" s="121"/>
      <x:c r="Y694" s="122"/>
      <x:c r="Z694" s="120"/>
      <x:c r="AA694" s="122"/>
      <x:c r="AB694" s="120"/>
      <x:c r="AC694" s="121"/>
      <x:c r="AD694" s="122"/>
      <x:c r="AE694" s="120"/>
      <x:c r="AF694" s="122"/>
      <x:c r="AG694" s="120"/>
      <x:c r="AH694" s="121"/>
      <x:c r="AI694" s="122"/>
      <x:c r="AJ694" s="120"/>
      <x:c r="AK694" s="122"/>
      <x:c r="AL694" s="120"/>
      <x:c r="AM694" s="121"/>
      <x:c r="AN694" s="122"/>
      <x:c r="AO694" s="120"/>
      <x:c r="AP694" s="122"/>
    </x:row>
    <x:row r="695" ht="15.75" customHeight="1">
      <x:c r="K695" s="120"/>
      <x:c r="M695" s="120"/>
      <x:c r="N695" s="121"/>
      <x:c r="P695" s="120"/>
      <x:c r="R695" s="120"/>
      <x:c r="S695" s="121"/>
      <x:c r="T695" s="122"/>
      <x:c r="U695" s="120"/>
      <x:c r="V695" s="122"/>
      <x:c r="W695" s="120"/>
      <x:c r="X695" s="121"/>
      <x:c r="Y695" s="122"/>
      <x:c r="Z695" s="120"/>
      <x:c r="AA695" s="122"/>
      <x:c r="AB695" s="120"/>
      <x:c r="AC695" s="121"/>
      <x:c r="AD695" s="122"/>
      <x:c r="AE695" s="120"/>
      <x:c r="AF695" s="122"/>
      <x:c r="AG695" s="120"/>
      <x:c r="AH695" s="121"/>
      <x:c r="AI695" s="122"/>
      <x:c r="AJ695" s="120"/>
      <x:c r="AK695" s="122"/>
      <x:c r="AL695" s="120"/>
      <x:c r="AM695" s="121"/>
      <x:c r="AN695" s="122"/>
      <x:c r="AO695" s="120"/>
      <x:c r="AP695" s="122"/>
    </x:row>
    <x:row r="696" ht="15.75" customHeight="1">
      <x:c r="K696" s="120"/>
      <x:c r="M696" s="120"/>
      <x:c r="N696" s="121"/>
      <x:c r="P696" s="120"/>
      <x:c r="R696" s="120"/>
      <x:c r="S696" s="121"/>
      <x:c r="T696" s="122"/>
      <x:c r="U696" s="120"/>
      <x:c r="V696" s="122"/>
      <x:c r="W696" s="120"/>
      <x:c r="X696" s="121"/>
      <x:c r="Y696" s="122"/>
      <x:c r="Z696" s="120"/>
      <x:c r="AA696" s="122"/>
      <x:c r="AB696" s="120"/>
      <x:c r="AC696" s="121"/>
      <x:c r="AD696" s="122"/>
      <x:c r="AE696" s="120"/>
      <x:c r="AF696" s="122"/>
      <x:c r="AG696" s="120"/>
      <x:c r="AH696" s="121"/>
      <x:c r="AI696" s="122"/>
      <x:c r="AJ696" s="120"/>
      <x:c r="AK696" s="122"/>
      <x:c r="AL696" s="120"/>
      <x:c r="AM696" s="121"/>
      <x:c r="AN696" s="122"/>
      <x:c r="AO696" s="120"/>
      <x:c r="AP696" s="122"/>
    </x:row>
    <x:row r="697" ht="15.75" customHeight="1">
      <x:c r="K697" s="120"/>
      <x:c r="M697" s="120"/>
      <x:c r="N697" s="121"/>
      <x:c r="P697" s="120"/>
      <x:c r="R697" s="120"/>
      <x:c r="S697" s="121"/>
      <x:c r="T697" s="122"/>
      <x:c r="U697" s="120"/>
      <x:c r="V697" s="122"/>
      <x:c r="W697" s="120"/>
      <x:c r="X697" s="121"/>
      <x:c r="Y697" s="122"/>
      <x:c r="Z697" s="120"/>
      <x:c r="AA697" s="122"/>
      <x:c r="AB697" s="120"/>
      <x:c r="AC697" s="121"/>
      <x:c r="AD697" s="122"/>
      <x:c r="AE697" s="120"/>
      <x:c r="AF697" s="122"/>
      <x:c r="AG697" s="120"/>
      <x:c r="AH697" s="121"/>
      <x:c r="AI697" s="122"/>
      <x:c r="AJ697" s="120"/>
      <x:c r="AK697" s="122"/>
      <x:c r="AL697" s="120"/>
      <x:c r="AM697" s="121"/>
      <x:c r="AN697" s="122"/>
      <x:c r="AO697" s="120"/>
      <x:c r="AP697" s="122"/>
    </x:row>
    <x:row r="698" ht="15.75" customHeight="1">
      <x:c r="K698" s="120"/>
      <x:c r="M698" s="120"/>
      <x:c r="N698" s="121"/>
      <x:c r="P698" s="120"/>
      <x:c r="R698" s="120"/>
      <x:c r="S698" s="121"/>
      <x:c r="T698" s="122"/>
      <x:c r="U698" s="120"/>
      <x:c r="V698" s="122"/>
      <x:c r="W698" s="120"/>
      <x:c r="X698" s="121"/>
      <x:c r="Y698" s="122"/>
      <x:c r="Z698" s="120"/>
      <x:c r="AA698" s="122"/>
      <x:c r="AB698" s="120"/>
      <x:c r="AC698" s="121"/>
      <x:c r="AD698" s="122"/>
      <x:c r="AE698" s="120"/>
      <x:c r="AF698" s="122"/>
      <x:c r="AG698" s="120"/>
      <x:c r="AH698" s="121"/>
      <x:c r="AI698" s="122"/>
      <x:c r="AJ698" s="120"/>
      <x:c r="AK698" s="122"/>
      <x:c r="AL698" s="120"/>
      <x:c r="AM698" s="121"/>
      <x:c r="AN698" s="122"/>
      <x:c r="AO698" s="120"/>
      <x:c r="AP698" s="122"/>
    </x:row>
    <x:row r="699" ht="15.75" customHeight="1">
      <x:c r="K699" s="120"/>
      <x:c r="M699" s="120"/>
      <x:c r="N699" s="121"/>
      <x:c r="P699" s="120"/>
      <x:c r="R699" s="120"/>
      <x:c r="S699" s="121"/>
      <x:c r="T699" s="122"/>
      <x:c r="U699" s="120"/>
      <x:c r="V699" s="122"/>
      <x:c r="W699" s="120"/>
      <x:c r="X699" s="121"/>
      <x:c r="Y699" s="122"/>
      <x:c r="Z699" s="120"/>
      <x:c r="AA699" s="122"/>
      <x:c r="AB699" s="120"/>
      <x:c r="AC699" s="121"/>
      <x:c r="AD699" s="122"/>
      <x:c r="AE699" s="120"/>
      <x:c r="AF699" s="122"/>
      <x:c r="AG699" s="120"/>
      <x:c r="AH699" s="121"/>
      <x:c r="AI699" s="122"/>
      <x:c r="AJ699" s="120"/>
      <x:c r="AK699" s="122"/>
      <x:c r="AL699" s="120"/>
      <x:c r="AM699" s="121"/>
      <x:c r="AN699" s="122"/>
      <x:c r="AO699" s="120"/>
      <x:c r="AP699" s="122"/>
    </x:row>
    <x:row r="700" ht="15.75" customHeight="1">
      <x:c r="K700" s="120"/>
      <x:c r="M700" s="120"/>
      <x:c r="N700" s="121"/>
      <x:c r="P700" s="120"/>
      <x:c r="R700" s="120"/>
      <x:c r="S700" s="121"/>
      <x:c r="T700" s="122"/>
      <x:c r="U700" s="120"/>
      <x:c r="V700" s="122"/>
      <x:c r="W700" s="120"/>
      <x:c r="X700" s="121"/>
      <x:c r="Y700" s="122"/>
      <x:c r="Z700" s="120"/>
      <x:c r="AA700" s="122"/>
      <x:c r="AB700" s="120"/>
      <x:c r="AC700" s="121"/>
      <x:c r="AD700" s="122"/>
      <x:c r="AE700" s="120"/>
      <x:c r="AF700" s="122"/>
      <x:c r="AG700" s="120"/>
      <x:c r="AH700" s="121"/>
      <x:c r="AI700" s="122"/>
      <x:c r="AJ700" s="120"/>
      <x:c r="AK700" s="122"/>
      <x:c r="AL700" s="120"/>
      <x:c r="AM700" s="121"/>
      <x:c r="AN700" s="122"/>
      <x:c r="AO700" s="120"/>
      <x:c r="AP700" s="122"/>
    </x:row>
    <x:row r="701" ht="15.75" customHeight="1">
      <x:c r="K701" s="120"/>
      <x:c r="M701" s="120"/>
      <x:c r="N701" s="121"/>
      <x:c r="P701" s="120"/>
      <x:c r="R701" s="120"/>
      <x:c r="S701" s="121"/>
      <x:c r="T701" s="122"/>
      <x:c r="U701" s="120"/>
      <x:c r="V701" s="122"/>
      <x:c r="W701" s="120"/>
      <x:c r="X701" s="121"/>
      <x:c r="Y701" s="122"/>
      <x:c r="Z701" s="120"/>
      <x:c r="AA701" s="122"/>
      <x:c r="AB701" s="120"/>
      <x:c r="AC701" s="121"/>
      <x:c r="AD701" s="122"/>
      <x:c r="AE701" s="120"/>
      <x:c r="AF701" s="122"/>
      <x:c r="AG701" s="120"/>
      <x:c r="AH701" s="121"/>
      <x:c r="AI701" s="122"/>
      <x:c r="AJ701" s="120"/>
      <x:c r="AK701" s="122"/>
      <x:c r="AL701" s="120"/>
      <x:c r="AM701" s="121"/>
      <x:c r="AN701" s="122"/>
      <x:c r="AO701" s="120"/>
      <x:c r="AP701" s="122"/>
    </x:row>
    <x:row r="702" ht="15.75" customHeight="1">
      <x:c r="K702" s="120"/>
      <x:c r="M702" s="120"/>
      <x:c r="N702" s="121"/>
      <x:c r="P702" s="120"/>
      <x:c r="R702" s="120"/>
      <x:c r="S702" s="121"/>
      <x:c r="T702" s="122"/>
      <x:c r="U702" s="120"/>
      <x:c r="V702" s="122"/>
      <x:c r="W702" s="120"/>
      <x:c r="X702" s="121"/>
      <x:c r="Y702" s="122"/>
      <x:c r="Z702" s="120"/>
      <x:c r="AA702" s="122"/>
      <x:c r="AB702" s="120"/>
      <x:c r="AC702" s="121"/>
      <x:c r="AD702" s="122"/>
      <x:c r="AE702" s="120"/>
      <x:c r="AF702" s="122"/>
      <x:c r="AG702" s="120"/>
      <x:c r="AH702" s="121"/>
      <x:c r="AI702" s="122"/>
      <x:c r="AJ702" s="120"/>
      <x:c r="AK702" s="122"/>
      <x:c r="AL702" s="120"/>
      <x:c r="AM702" s="121"/>
      <x:c r="AN702" s="122"/>
      <x:c r="AO702" s="120"/>
      <x:c r="AP702" s="122"/>
    </x:row>
    <x:row r="703" ht="15.75" customHeight="1">
      <x:c r="K703" s="120"/>
      <x:c r="M703" s="120"/>
      <x:c r="N703" s="121"/>
      <x:c r="P703" s="120"/>
      <x:c r="R703" s="120"/>
      <x:c r="S703" s="121"/>
      <x:c r="T703" s="122"/>
      <x:c r="U703" s="120"/>
      <x:c r="V703" s="122"/>
      <x:c r="W703" s="120"/>
      <x:c r="X703" s="121"/>
      <x:c r="Y703" s="122"/>
      <x:c r="Z703" s="120"/>
      <x:c r="AA703" s="122"/>
      <x:c r="AB703" s="120"/>
      <x:c r="AC703" s="121"/>
      <x:c r="AD703" s="122"/>
      <x:c r="AE703" s="120"/>
      <x:c r="AF703" s="122"/>
      <x:c r="AG703" s="120"/>
      <x:c r="AH703" s="121"/>
      <x:c r="AI703" s="122"/>
      <x:c r="AJ703" s="120"/>
      <x:c r="AK703" s="122"/>
      <x:c r="AL703" s="120"/>
      <x:c r="AM703" s="121"/>
      <x:c r="AN703" s="122"/>
      <x:c r="AO703" s="120"/>
      <x:c r="AP703" s="122"/>
    </x:row>
    <x:row r="704" ht="15.75" customHeight="1">
      <x:c r="K704" s="120"/>
      <x:c r="M704" s="120"/>
      <x:c r="N704" s="121"/>
      <x:c r="P704" s="120"/>
      <x:c r="R704" s="120"/>
      <x:c r="S704" s="121"/>
      <x:c r="T704" s="122"/>
      <x:c r="U704" s="120"/>
      <x:c r="V704" s="122"/>
      <x:c r="W704" s="120"/>
      <x:c r="X704" s="121"/>
      <x:c r="Y704" s="122"/>
      <x:c r="Z704" s="120"/>
      <x:c r="AA704" s="122"/>
      <x:c r="AB704" s="120"/>
      <x:c r="AC704" s="121"/>
      <x:c r="AD704" s="122"/>
      <x:c r="AE704" s="120"/>
      <x:c r="AF704" s="122"/>
      <x:c r="AG704" s="120"/>
      <x:c r="AH704" s="121"/>
      <x:c r="AI704" s="122"/>
      <x:c r="AJ704" s="120"/>
      <x:c r="AK704" s="122"/>
      <x:c r="AL704" s="120"/>
      <x:c r="AM704" s="121"/>
      <x:c r="AN704" s="122"/>
      <x:c r="AO704" s="120"/>
      <x:c r="AP704" s="122"/>
    </x:row>
    <x:row r="705" ht="15.75" customHeight="1">
      <x:c r="K705" s="120"/>
      <x:c r="M705" s="120"/>
      <x:c r="N705" s="121"/>
      <x:c r="P705" s="120"/>
      <x:c r="R705" s="120"/>
      <x:c r="S705" s="121"/>
      <x:c r="T705" s="122"/>
      <x:c r="U705" s="120"/>
      <x:c r="V705" s="122"/>
      <x:c r="W705" s="120"/>
      <x:c r="X705" s="121"/>
      <x:c r="Y705" s="122"/>
      <x:c r="Z705" s="120"/>
      <x:c r="AA705" s="122"/>
      <x:c r="AB705" s="120"/>
      <x:c r="AC705" s="121"/>
      <x:c r="AD705" s="122"/>
      <x:c r="AE705" s="120"/>
      <x:c r="AF705" s="122"/>
      <x:c r="AG705" s="120"/>
      <x:c r="AH705" s="121"/>
      <x:c r="AI705" s="122"/>
      <x:c r="AJ705" s="120"/>
      <x:c r="AK705" s="122"/>
      <x:c r="AL705" s="120"/>
      <x:c r="AM705" s="121"/>
      <x:c r="AN705" s="122"/>
      <x:c r="AO705" s="120"/>
      <x:c r="AP705" s="122"/>
    </x:row>
    <x:row r="706" ht="15.75" customHeight="1">
      <x:c r="K706" s="120"/>
      <x:c r="M706" s="120"/>
      <x:c r="N706" s="121"/>
      <x:c r="P706" s="120"/>
      <x:c r="R706" s="120"/>
      <x:c r="S706" s="121"/>
      <x:c r="T706" s="122"/>
      <x:c r="U706" s="120"/>
      <x:c r="V706" s="122"/>
      <x:c r="W706" s="120"/>
      <x:c r="X706" s="121"/>
      <x:c r="Y706" s="122"/>
      <x:c r="Z706" s="120"/>
      <x:c r="AA706" s="122"/>
      <x:c r="AB706" s="120"/>
      <x:c r="AC706" s="121"/>
      <x:c r="AD706" s="122"/>
      <x:c r="AE706" s="120"/>
      <x:c r="AF706" s="122"/>
      <x:c r="AG706" s="120"/>
      <x:c r="AH706" s="121"/>
      <x:c r="AI706" s="122"/>
      <x:c r="AJ706" s="120"/>
      <x:c r="AK706" s="122"/>
      <x:c r="AL706" s="120"/>
      <x:c r="AM706" s="121"/>
      <x:c r="AN706" s="122"/>
      <x:c r="AO706" s="120"/>
      <x:c r="AP706" s="122"/>
    </x:row>
    <x:row r="707" ht="15.75" customHeight="1">
      <x:c r="K707" s="120"/>
      <x:c r="M707" s="120"/>
      <x:c r="N707" s="121"/>
      <x:c r="P707" s="120"/>
      <x:c r="R707" s="120"/>
      <x:c r="S707" s="121"/>
      <x:c r="T707" s="122"/>
      <x:c r="U707" s="120"/>
      <x:c r="V707" s="122"/>
      <x:c r="W707" s="120"/>
      <x:c r="X707" s="121"/>
      <x:c r="Y707" s="122"/>
      <x:c r="Z707" s="120"/>
      <x:c r="AA707" s="122"/>
      <x:c r="AB707" s="120"/>
      <x:c r="AC707" s="121"/>
      <x:c r="AD707" s="122"/>
      <x:c r="AE707" s="120"/>
      <x:c r="AF707" s="122"/>
      <x:c r="AG707" s="120"/>
      <x:c r="AH707" s="121"/>
      <x:c r="AI707" s="122"/>
      <x:c r="AJ707" s="120"/>
      <x:c r="AK707" s="122"/>
      <x:c r="AL707" s="120"/>
      <x:c r="AM707" s="121"/>
      <x:c r="AN707" s="122"/>
      <x:c r="AO707" s="120"/>
      <x:c r="AP707" s="122"/>
    </x:row>
    <x:row r="708" ht="15.75" customHeight="1">
      <x:c r="K708" s="120"/>
      <x:c r="M708" s="120"/>
      <x:c r="N708" s="121"/>
      <x:c r="P708" s="120"/>
      <x:c r="R708" s="120"/>
      <x:c r="S708" s="121"/>
      <x:c r="T708" s="122"/>
      <x:c r="U708" s="120"/>
      <x:c r="V708" s="122"/>
      <x:c r="W708" s="120"/>
      <x:c r="X708" s="121"/>
      <x:c r="Y708" s="122"/>
      <x:c r="Z708" s="120"/>
      <x:c r="AA708" s="122"/>
      <x:c r="AB708" s="120"/>
      <x:c r="AC708" s="121"/>
      <x:c r="AD708" s="122"/>
      <x:c r="AE708" s="120"/>
      <x:c r="AF708" s="122"/>
      <x:c r="AG708" s="120"/>
      <x:c r="AH708" s="121"/>
      <x:c r="AI708" s="122"/>
      <x:c r="AJ708" s="120"/>
      <x:c r="AK708" s="122"/>
      <x:c r="AL708" s="120"/>
      <x:c r="AM708" s="121"/>
      <x:c r="AN708" s="122"/>
      <x:c r="AO708" s="120"/>
      <x:c r="AP708" s="122"/>
    </x:row>
    <x:row r="709" ht="15.75" customHeight="1">
      <x:c r="K709" s="120"/>
      <x:c r="M709" s="120"/>
      <x:c r="N709" s="121"/>
      <x:c r="P709" s="120"/>
      <x:c r="R709" s="120"/>
      <x:c r="S709" s="121"/>
      <x:c r="T709" s="122"/>
      <x:c r="U709" s="120"/>
      <x:c r="V709" s="122"/>
      <x:c r="W709" s="120"/>
      <x:c r="X709" s="121"/>
      <x:c r="Y709" s="122"/>
      <x:c r="Z709" s="120"/>
      <x:c r="AA709" s="122"/>
      <x:c r="AB709" s="120"/>
      <x:c r="AC709" s="121"/>
      <x:c r="AD709" s="122"/>
      <x:c r="AE709" s="120"/>
      <x:c r="AF709" s="122"/>
      <x:c r="AG709" s="120"/>
      <x:c r="AH709" s="121"/>
      <x:c r="AI709" s="122"/>
      <x:c r="AJ709" s="120"/>
      <x:c r="AK709" s="122"/>
      <x:c r="AL709" s="120"/>
      <x:c r="AM709" s="121"/>
      <x:c r="AN709" s="122"/>
      <x:c r="AO709" s="120"/>
      <x:c r="AP709" s="122"/>
    </x:row>
    <x:row r="710" ht="15.75" customHeight="1">
      <x:c r="K710" s="120"/>
      <x:c r="M710" s="120"/>
      <x:c r="N710" s="121"/>
      <x:c r="P710" s="120"/>
      <x:c r="R710" s="120"/>
      <x:c r="S710" s="121"/>
      <x:c r="T710" s="122"/>
      <x:c r="U710" s="120"/>
      <x:c r="V710" s="122"/>
      <x:c r="W710" s="120"/>
      <x:c r="X710" s="121"/>
      <x:c r="Y710" s="122"/>
      <x:c r="Z710" s="120"/>
      <x:c r="AA710" s="122"/>
      <x:c r="AB710" s="120"/>
      <x:c r="AC710" s="121"/>
      <x:c r="AD710" s="122"/>
      <x:c r="AE710" s="120"/>
      <x:c r="AF710" s="122"/>
      <x:c r="AG710" s="120"/>
      <x:c r="AH710" s="121"/>
      <x:c r="AI710" s="122"/>
      <x:c r="AJ710" s="120"/>
      <x:c r="AK710" s="122"/>
      <x:c r="AL710" s="120"/>
      <x:c r="AM710" s="121"/>
      <x:c r="AN710" s="122"/>
      <x:c r="AO710" s="120"/>
      <x:c r="AP710" s="122"/>
    </x:row>
    <x:row r="711" ht="15.75" customHeight="1">
      <x:c r="K711" s="120"/>
      <x:c r="M711" s="120"/>
      <x:c r="N711" s="121"/>
      <x:c r="P711" s="120"/>
      <x:c r="R711" s="120"/>
      <x:c r="S711" s="121"/>
      <x:c r="T711" s="122"/>
      <x:c r="U711" s="120"/>
      <x:c r="V711" s="122"/>
      <x:c r="W711" s="120"/>
      <x:c r="X711" s="121"/>
      <x:c r="Y711" s="122"/>
      <x:c r="Z711" s="120"/>
      <x:c r="AA711" s="122"/>
      <x:c r="AB711" s="120"/>
      <x:c r="AC711" s="121"/>
      <x:c r="AD711" s="122"/>
      <x:c r="AE711" s="120"/>
      <x:c r="AF711" s="122"/>
      <x:c r="AG711" s="120"/>
      <x:c r="AH711" s="121"/>
      <x:c r="AI711" s="122"/>
      <x:c r="AJ711" s="120"/>
      <x:c r="AK711" s="122"/>
      <x:c r="AL711" s="120"/>
      <x:c r="AM711" s="121"/>
      <x:c r="AN711" s="122"/>
      <x:c r="AO711" s="120"/>
      <x:c r="AP711" s="122"/>
    </x:row>
    <x:row r="712" ht="15.75" customHeight="1">
      <x:c r="K712" s="120"/>
      <x:c r="M712" s="120"/>
      <x:c r="N712" s="121"/>
      <x:c r="P712" s="120"/>
      <x:c r="R712" s="120"/>
      <x:c r="S712" s="121"/>
      <x:c r="T712" s="122"/>
      <x:c r="U712" s="120"/>
      <x:c r="V712" s="122"/>
      <x:c r="W712" s="120"/>
      <x:c r="X712" s="121"/>
      <x:c r="Y712" s="122"/>
      <x:c r="Z712" s="120"/>
      <x:c r="AA712" s="122"/>
      <x:c r="AB712" s="120"/>
      <x:c r="AC712" s="121"/>
      <x:c r="AD712" s="122"/>
      <x:c r="AE712" s="120"/>
      <x:c r="AF712" s="122"/>
      <x:c r="AG712" s="120"/>
      <x:c r="AH712" s="121"/>
      <x:c r="AI712" s="122"/>
      <x:c r="AJ712" s="120"/>
      <x:c r="AK712" s="122"/>
      <x:c r="AL712" s="120"/>
      <x:c r="AM712" s="121"/>
      <x:c r="AN712" s="122"/>
      <x:c r="AO712" s="120"/>
      <x:c r="AP712" s="122"/>
    </x:row>
    <x:row r="713" ht="15.75" customHeight="1">
      <x:c r="K713" s="120"/>
      <x:c r="M713" s="120"/>
      <x:c r="N713" s="121"/>
      <x:c r="P713" s="120"/>
      <x:c r="R713" s="120"/>
      <x:c r="S713" s="121"/>
      <x:c r="T713" s="122"/>
      <x:c r="U713" s="120"/>
      <x:c r="V713" s="122"/>
      <x:c r="W713" s="120"/>
      <x:c r="X713" s="121"/>
      <x:c r="Y713" s="122"/>
      <x:c r="Z713" s="120"/>
      <x:c r="AA713" s="122"/>
      <x:c r="AB713" s="120"/>
      <x:c r="AC713" s="121"/>
      <x:c r="AD713" s="122"/>
      <x:c r="AE713" s="120"/>
      <x:c r="AF713" s="122"/>
      <x:c r="AG713" s="120"/>
      <x:c r="AH713" s="121"/>
      <x:c r="AI713" s="122"/>
      <x:c r="AJ713" s="120"/>
      <x:c r="AK713" s="122"/>
      <x:c r="AL713" s="120"/>
      <x:c r="AM713" s="121"/>
      <x:c r="AN713" s="122"/>
      <x:c r="AO713" s="120"/>
      <x:c r="AP713" s="122"/>
    </x:row>
    <x:row r="714" ht="15.75" customHeight="1">
      <x:c r="K714" s="120"/>
      <x:c r="M714" s="120"/>
      <x:c r="N714" s="121"/>
      <x:c r="P714" s="120"/>
      <x:c r="R714" s="120"/>
      <x:c r="S714" s="121"/>
      <x:c r="T714" s="122"/>
      <x:c r="U714" s="120"/>
      <x:c r="V714" s="122"/>
      <x:c r="W714" s="120"/>
      <x:c r="X714" s="121"/>
      <x:c r="Y714" s="122"/>
      <x:c r="Z714" s="120"/>
      <x:c r="AA714" s="122"/>
      <x:c r="AB714" s="120"/>
      <x:c r="AC714" s="121"/>
      <x:c r="AD714" s="122"/>
      <x:c r="AE714" s="120"/>
      <x:c r="AF714" s="122"/>
      <x:c r="AG714" s="120"/>
      <x:c r="AH714" s="121"/>
      <x:c r="AI714" s="122"/>
      <x:c r="AJ714" s="120"/>
      <x:c r="AK714" s="122"/>
      <x:c r="AL714" s="120"/>
      <x:c r="AM714" s="121"/>
      <x:c r="AN714" s="122"/>
      <x:c r="AO714" s="120"/>
      <x:c r="AP714" s="122"/>
    </x:row>
    <x:row r="715" ht="15.75" customHeight="1">
      <x:c r="K715" s="120"/>
      <x:c r="M715" s="120"/>
      <x:c r="N715" s="121"/>
      <x:c r="P715" s="120"/>
      <x:c r="R715" s="120"/>
      <x:c r="S715" s="121"/>
      <x:c r="T715" s="122"/>
      <x:c r="U715" s="120"/>
      <x:c r="V715" s="122"/>
      <x:c r="W715" s="120"/>
      <x:c r="X715" s="121"/>
      <x:c r="Y715" s="122"/>
      <x:c r="Z715" s="120"/>
      <x:c r="AA715" s="122"/>
      <x:c r="AB715" s="120"/>
      <x:c r="AC715" s="121"/>
      <x:c r="AD715" s="122"/>
      <x:c r="AE715" s="120"/>
      <x:c r="AF715" s="122"/>
      <x:c r="AG715" s="120"/>
      <x:c r="AH715" s="121"/>
      <x:c r="AI715" s="122"/>
      <x:c r="AJ715" s="120"/>
      <x:c r="AK715" s="122"/>
      <x:c r="AL715" s="120"/>
      <x:c r="AM715" s="121"/>
      <x:c r="AN715" s="122"/>
      <x:c r="AO715" s="120"/>
      <x:c r="AP715" s="122"/>
    </x:row>
    <x:row r="716" ht="15.75" customHeight="1">
      <x:c r="K716" s="120"/>
      <x:c r="M716" s="120"/>
      <x:c r="N716" s="121"/>
      <x:c r="P716" s="120"/>
      <x:c r="R716" s="120"/>
      <x:c r="S716" s="121"/>
      <x:c r="T716" s="122"/>
      <x:c r="U716" s="120"/>
      <x:c r="V716" s="122"/>
      <x:c r="W716" s="120"/>
      <x:c r="X716" s="121"/>
      <x:c r="Y716" s="122"/>
      <x:c r="Z716" s="120"/>
      <x:c r="AA716" s="122"/>
      <x:c r="AB716" s="120"/>
      <x:c r="AC716" s="121"/>
      <x:c r="AD716" s="122"/>
      <x:c r="AE716" s="120"/>
      <x:c r="AF716" s="122"/>
      <x:c r="AG716" s="120"/>
      <x:c r="AH716" s="121"/>
      <x:c r="AI716" s="122"/>
      <x:c r="AJ716" s="120"/>
      <x:c r="AK716" s="122"/>
      <x:c r="AL716" s="120"/>
      <x:c r="AM716" s="121"/>
      <x:c r="AN716" s="122"/>
      <x:c r="AO716" s="120"/>
      <x:c r="AP716" s="122"/>
    </x:row>
    <x:row r="717" ht="15.75" customHeight="1">
      <x:c r="K717" s="120"/>
      <x:c r="M717" s="120"/>
      <x:c r="N717" s="121"/>
      <x:c r="P717" s="120"/>
      <x:c r="R717" s="120"/>
      <x:c r="S717" s="121"/>
      <x:c r="T717" s="122"/>
      <x:c r="U717" s="120"/>
      <x:c r="V717" s="122"/>
      <x:c r="W717" s="120"/>
      <x:c r="X717" s="121"/>
      <x:c r="Y717" s="122"/>
      <x:c r="Z717" s="120"/>
      <x:c r="AA717" s="122"/>
      <x:c r="AB717" s="120"/>
      <x:c r="AC717" s="121"/>
      <x:c r="AD717" s="122"/>
      <x:c r="AE717" s="120"/>
      <x:c r="AF717" s="122"/>
      <x:c r="AG717" s="120"/>
      <x:c r="AH717" s="121"/>
      <x:c r="AI717" s="122"/>
      <x:c r="AJ717" s="120"/>
      <x:c r="AK717" s="122"/>
      <x:c r="AL717" s="120"/>
      <x:c r="AM717" s="121"/>
      <x:c r="AN717" s="122"/>
      <x:c r="AO717" s="120"/>
      <x:c r="AP717" s="122"/>
    </x:row>
    <x:row r="718" ht="15.75" customHeight="1">
      <x:c r="K718" s="120"/>
      <x:c r="M718" s="120"/>
      <x:c r="N718" s="121"/>
      <x:c r="P718" s="120"/>
      <x:c r="R718" s="120"/>
      <x:c r="S718" s="121"/>
      <x:c r="T718" s="122"/>
      <x:c r="U718" s="120"/>
      <x:c r="V718" s="122"/>
      <x:c r="W718" s="120"/>
      <x:c r="X718" s="121"/>
      <x:c r="Y718" s="122"/>
      <x:c r="Z718" s="120"/>
      <x:c r="AA718" s="122"/>
      <x:c r="AB718" s="120"/>
      <x:c r="AC718" s="121"/>
      <x:c r="AD718" s="122"/>
      <x:c r="AE718" s="120"/>
      <x:c r="AF718" s="122"/>
      <x:c r="AG718" s="120"/>
      <x:c r="AH718" s="121"/>
      <x:c r="AI718" s="122"/>
      <x:c r="AJ718" s="120"/>
      <x:c r="AK718" s="122"/>
      <x:c r="AL718" s="120"/>
      <x:c r="AM718" s="121"/>
      <x:c r="AN718" s="122"/>
      <x:c r="AO718" s="120"/>
      <x:c r="AP718" s="122"/>
    </x:row>
    <x:row r="719" ht="15.75" customHeight="1">
      <x:c r="K719" s="120"/>
      <x:c r="M719" s="120"/>
      <x:c r="N719" s="121"/>
      <x:c r="P719" s="120"/>
      <x:c r="R719" s="120"/>
      <x:c r="S719" s="121"/>
      <x:c r="T719" s="122"/>
      <x:c r="U719" s="120"/>
      <x:c r="V719" s="122"/>
      <x:c r="W719" s="120"/>
      <x:c r="X719" s="121"/>
      <x:c r="Y719" s="122"/>
      <x:c r="Z719" s="120"/>
      <x:c r="AA719" s="122"/>
      <x:c r="AB719" s="120"/>
      <x:c r="AC719" s="121"/>
      <x:c r="AD719" s="122"/>
      <x:c r="AE719" s="120"/>
      <x:c r="AF719" s="122"/>
      <x:c r="AG719" s="120"/>
      <x:c r="AH719" s="121"/>
      <x:c r="AI719" s="122"/>
      <x:c r="AJ719" s="120"/>
      <x:c r="AK719" s="122"/>
      <x:c r="AL719" s="120"/>
      <x:c r="AM719" s="121"/>
      <x:c r="AN719" s="122"/>
      <x:c r="AO719" s="120"/>
      <x:c r="AP719" s="122"/>
    </x:row>
    <x:row r="720" ht="15.75" customHeight="1">
      <x:c r="K720" s="120"/>
      <x:c r="M720" s="120"/>
      <x:c r="N720" s="121"/>
      <x:c r="P720" s="120"/>
      <x:c r="R720" s="120"/>
      <x:c r="S720" s="121"/>
      <x:c r="T720" s="122"/>
      <x:c r="U720" s="120"/>
      <x:c r="V720" s="122"/>
      <x:c r="W720" s="120"/>
      <x:c r="X720" s="121"/>
      <x:c r="Y720" s="122"/>
      <x:c r="Z720" s="120"/>
      <x:c r="AA720" s="122"/>
      <x:c r="AB720" s="120"/>
      <x:c r="AC720" s="121"/>
      <x:c r="AD720" s="122"/>
      <x:c r="AE720" s="120"/>
      <x:c r="AF720" s="122"/>
      <x:c r="AG720" s="120"/>
      <x:c r="AH720" s="121"/>
      <x:c r="AI720" s="122"/>
      <x:c r="AJ720" s="120"/>
      <x:c r="AK720" s="122"/>
      <x:c r="AL720" s="120"/>
      <x:c r="AM720" s="121"/>
      <x:c r="AN720" s="122"/>
      <x:c r="AO720" s="120"/>
      <x:c r="AP720" s="122"/>
    </x:row>
    <x:row r="721" ht="15.75" customHeight="1">
      <x:c r="K721" s="120"/>
      <x:c r="M721" s="120"/>
      <x:c r="N721" s="121"/>
      <x:c r="P721" s="120"/>
      <x:c r="R721" s="120"/>
      <x:c r="S721" s="121"/>
      <x:c r="T721" s="122"/>
      <x:c r="U721" s="120"/>
      <x:c r="V721" s="122"/>
      <x:c r="W721" s="120"/>
      <x:c r="X721" s="121"/>
      <x:c r="Y721" s="122"/>
      <x:c r="Z721" s="120"/>
      <x:c r="AA721" s="122"/>
      <x:c r="AB721" s="120"/>
      <x:c r="AC721" s="121"/>
      <x:c r="AD721" s="122"/>
      <x:c r="AE721" s="120"/>
      <x:c r="AF721" s="122"/>
      <x:c r="AG721" s="120"/>
      <x:c r="AH721" s="121"/>
      <x:c r="AI721" s="122"/>
      <x:c r="AJ721" s="120"/>
      <x:c r="AK721" s="122"/>
      <x:c r="AL721" s="120"/>
      <x:c r="AM721" s="121"/>
      <x:c r="AN721" s="122"/>
      <x:c r="AO721" s="120"/>
      <x:c r="AP721" s="122"/>
    </x:row>
    <x:row r="722" ht="15.75" customHeight="1">
      <x:c r="K722" s="120"/>
      <x:c r="M722" s="120"/>
      <x:c r="N722" s="121"/>
      <x:c r="P722" s="120"/>
      <x:c r="R722" s="120"/>
      <x:c r="S722" s="121"/>
      <x:c r="T722" s="122"/>
      <x:c r="U722" s="120"/>
      <x:c r="V722" s="122"/>
      <x:c r="W722" s="120"/>
      <x:c r="X722" s="121"/>
      <x:c r="Y722" s="122"/>
      <x:c r="Z722" s="120"/>
      <x:c r="AA722" s="122"/>
      <x:c r="AB722" s="120"/>
      <x:c r="AC722" s="121"/>
      <x:c r="AD722" s="122"/>
      <x:c r="AE722" s="120"/>
      <x:c r="AF722" s="122"/>
      <x:c r="AG722" s="120"/>
      <x:c r="AH722" s="121"/>
      <x:c r="AI722" s="122"/>
      <x:c r="AJ722" s="120"/>
      <x:c r="AK722" s="122"/>
      <x:c r="AL722" s="120"/>
      <x:c r="AM722" s="121"/>
      <x:c r="AN722" s="122"/>
      <x:c r="AO722" s="120"/>
      <x:c r="AP722" s="122"/>
    </x:row>
    <x:row r="723" ht="15.75" customHeight="1">
      <x:c r="K723" s="120"/>
      <x:c r="M723" s="120"/>
      <x:c r="N723" s="121"/>
      <x:c r="P723" s="120"/>
      <x:c r="R723" s="120"/>
      <x:c r="S723" s="121"/>
      <x:c r="T723" s="122"/>
      <x:c r="U723" s="120"/>
      <x:c r="V723" s="122"/>
      <x:c r="W723" s="120"/>
      <x:c r="X723" s="121"/>
      <x:c r="Y723" s="122"/>
      <x:c r="Z723" s="120"/>
      <x:c r="AA723" s="122"/>
      <x:c r="AB723" s="120"/>
      <x:c r="AC723" s="121"/>
      <x:c r="AD723" s="122"/>
      <x:c r="AE723" s="120"/>
      <x:c r="AF723" s="122"/>
      <x:c r="AG723" s="120"/>
      <x:c r="AH723" s="121"/>
      <x:c r="AI723" s="122"/>
      <x:c r="AJ723" s="120"/>
      <x:c r="AK723" s="122"/>
      <x:c r="AL723" s="120"/>
      <x:c r="AM723" s="121"/>
      <x:c r="AN723" s="122"/>
      <x:c r="AO723" s="120"/>
      <x:c r="AP723" s="122"/>
    </x:row>
    <x:row r="724" ht="15.75" customHeight="1">
      <x:c r="K724" s="120"/>
      <x:c r="M724" s="120"/>
      <x:c r="N724" s="121"/>
      <x:c r="P724" s="120"/>
      <x:c r="R724" s="120"/>
      <x:c r="S724" s="121"/>
      <x:c r="T724" s="122"/>
      <x:c r="U724" s="120"/>
      <x:c r="V724" s="122"/>
      <x:c r="W724" s="120"/>
      <x:c r="X724" s="121"/>
      <x:c r="Y724" s="122"/>
      <x:c r="Z724" s="120"/>
      <x:c r="AA724" s="122"/>
      <x:c r="AB724" s="120"/>
      <x:c r="AC724" s="121"/>
      <x:c r="AD724" s="122"/>
      <x:c r="AE724" s="120"/>
      <x:c r="AF724" s="122"/>
      <x:c r="AG724" s="120"/>
      <x:c r="AH724" s="121"/>
      <x:c r="AI724" s="122"/>
      <x:c r="AJ724" s="120"/>
      <x:c r="AK724" s="122"/>
      <x:c r="AL724" s="120"/>
      <x:c r="AM724" s="121"/>
      <x:c r="AN724" s="122"/>
      <x:c r="AO724" s="120"/>
      <x:c r="AP724" s="122"/>
    </x:row>
    <x:row r="725" ht="15.75" customHeight="1">
      <x:c r="K725" s="120"/>
      <x:c r="M725" s="120"/>
      <x:c r="N725" s="121"/>
      <x:c r="P725" s="120"/>
      <x:c r="R725" s="120"/>
      <x:c r="S725" s="121"/>
      <x:c r="T725" s="122"/>
      <x:c r="U725" s="120"/>
      <x:c r="V725" s="122"/>
      <x:c r="W725" s="120"/>
      <x:c r="X725" s="121"/>
      <x:c r="Y725" s="122"/>
      <x:c r="Z725" s="120"/>
      <x:c r="AA725" s="122"/>
      <x:c r="AB725" s="120"/>
      <x:c r="AC725" s="121"/>
      <x:c r="AD725" s="122"/>
      <x:c r="AE725" s="120"/>
      <x:c r="AF725" s="122"/>
      <x:c r="AG725" s="120"/>
      <x:c r="AH725" s="121"/>
      <x:c r="AI725" s="122"/>
      <x:c r="AJ725" s="120"/>
      <x:c r="AK725" s="122"/>
      <x:c r="AL725" s="120"/>
      <x:c r="AM725" s="121"/>
      <x:c r="AN725" s="122"/>
      <x:c r="AO725" s="120"/>
      <x:c r="AP725" s="122"/>
    </x:row>
    <x:row r="726" ht="15.75" customHeight="1">
      <x:c r="K726" s="120"/>
      <x:c r="M726" s="120"/>
      <x:c r="N726" s="121"/>
      <x:c r="P726" s="120"/>
      <x:c r="R726" s="120"/>
      <x:c r="S726" s="121"/>
      <x:c r="T726" s="122"/>
      <x:c r="U726" s="120"/>
      <x:c r="V726" s="122"/>
      <x:c r="W726" s="120"/>
      <x:c r="X726" s="121"/>
      <x:c r="Y726" s="122"/>
      <x:c r="Z726" s="120"/>
      <x:c r="AA726" s="122"/>
      <x:c r="AB726" s="120"/>
      <x:c r="AC726" s="121"/>
      <x:c r="AD726" s="122"/>
      <x:c r="AE726" s="120"/>
      <x:c r="AF726" s="122"/>
      <x:c r="AG726" s="120"/>
      <x:c r="AH726" s="121"/>
      <x:c r="AI726" s="122"/>
      <x:c r="AJ726" s="120"/>
      <x:c r="AK726" s="122"/>
      <x:c r="AL726" s="120"/>
      <x:c r="AM726" s="121"/>
      <x:c r="AN726" s="122"/>
      <x:c r="AO726" s="120"/>
      <x:c r="AP726" s="122"/>
    </x:row>
    <x:row r="727" ht="15.75" customHeight="1">
      <x:c r="K727" s="120"/>
      <x:c r="M727" s="120"/>
      <x:c r="N727" s="121"/>
      <x:c r="P727" s="120"/>
      <x:c r="R727" s="120"/>
      <x:c r="S727" s="121"/>
      <x:c r="T727" s="122"/>
      <x:c r="U727" s="120"/>
      <x:c r="V727" s="122"/>
      <x:c r="W727" s="120"/>
      <x:c r="X727" s="121"/>
      <x:c r="Y727" s="122"/>
      <x:c r="Z727" s="120"/>
      <x:c r="AA727" s="122"/>
      <x:c r="AB727" s="120"/>
      <x:c r="AC727" s="121"/>
      <x:c r="AD727" s="122"/>
      <x:c r="AE727" s="120"/>
      <x:c r="AF727" s="122"/>
      <x:c r="AG727" s="120"/>
      <x:c r="AH727" s="121"/>
      <x:c r="AI727" s="122"/>
      <x:c r="AJ727" s="120"/>
      <x:c r="AK727" s="122"/>
      <x:c r="AL727" s="120"/>
      <x:c r="AM727" s="121"/>
      <x:c r="AN727" s="122"/>
      <x:c r="AO727" s="120"/>
      <x:c r="AP727" s="122"/>
    </x:row>
    <x:row r="728" ht="15.75" customHeight="1">
      <x:c r="K728" s="120"/>
      <x:c r="M728" s="120"/>
      <x:c r="N728" s="121"/>
      <x:c r="P728" s="120"/>
      <x:c r="R728" s="120"/>
      <x:c r="S728" s="121"/>
      <x:c r="T728" s="122"/>
      <x:c r="U728" s="120"/>
      <x:c r="V728" s="122"/>
      <x:c r="W728" s="120"/>
      <x:c r="X728" s="121"/>
      <x:c r="Y728" s="122"/>
      <x:c r="Z728" s="120"/>
      <x:c r="AA728" s="122"/>
      <x:c r="AB728" s="120"/>
      <x:c r="AC728" s="121"/>
      <x:c r="AD728" s="122"/>
      <x:c r="AE728" s="120"/>
      <x:c r="AF728" s="122"/>
      <x:c r="AG728" s="120"/>
      <x:c r="AH728" s="121"/>
      <x:c r="AI728" s="122"/>
      <x:c r="AJ728" s="120"/>
      <x:c r="AK728" s="122"/>
      <x:c r="AL728" s="120"/>
      <x:c r="AM728" s="121"/>
      <x:c r="AN728" s="122"/>
      <x:c r="AO728" s="120"/>
      <x:c r="AP728" s="122"/>
    </x:row>
    <x:row r="729" ht="15.75" customHeight="1">
      <x:c r="K729" s="120"/>
      <x:c r="M729" s="120"/>
      <x:c r="N729" s="121"/>
      <x:c r="P729" s="120"/>
      <x:c r="R729" s="120"/>
      <x:c r="S729" s="121"/>
      <x:c r="T729" s="122"/>
      <x:c r="U729" s="120"/>
      <x:c r="V729" s="122"/>
      <x:c r="W729" s="120"/>
      <x:c r="X729" s="121"/>
      <x:c r="Y729" s="122"/>
      <x:c r="Z729" s="120"/>
      <x:c r="AA729" s="122"/>
      <x:c r="AB729" s="120"/>
      <x:c r="AC729" s="121"/>
      <x:c r="AD729" s="122"/>
      <x:c r="AE729" s="120"/>
      <x:c r="AF729" s="122"/>
      <x:c r="AG729" s="120"/>
      <x:c r="AH729" s="121"/>
      <x:c r="AI729" s="122"/>
      <x:c r="AJ729" s="120"/>
      <x:c r="AK729" s="122"/>
      <x:c r="AL729" s="120"/>
      <x:c r="AM729" s="121"/>
      <x:c r="AN729" s="122"/>
      <x:c r="AO729" s="120"/>
      <x:c r="AP729" s="122"/>
    </x:row>
    <x:row r="730" ht="15.75" customHeight="1">
      <x:c r="K730" s="120"/>
      <x:c r="M730" s="120"/>
      <x:c r="N730" s="121"/>
      <x:c r="P730" s="120"/>
      <x:c r="R730" s="120"/>
      <x:c r="S730" s="121"/>
      <x:c r="T730" s="122"/>
      <x:c r="U730" s="120"/>
      <x:c r="V730" s="122"/>
      <x:c r="W730" s="120"/>
      <x:c r="X730" s="121"/>
      <x:c r="Y730" s="122"/>
      <x:c r="Z730" s="120"/>
      <x:c r="AA730" s="122"/>
      <x:c r="AB730" s="120"/>
      <x:c r="AC730" s="121"/>
      <x:c r="AD730" s="122"/>
      <x:c r="AE730" s="120"/>
      <x:c r="AF730" s="122"/>
      <x:c r="AG730" s="120"/>
      <x:c r="AH730" s="121"/>
      <x:c r="AI730" s="122"/>
      <x:c r="AJ730" s="120"/>
      <x:c r="AK730" s="122"/>
      <x:c r="AL730" s="120"/>
      <x:c r="AM730" s="121"/>
      <x:c r="AN730" s="122"/>
      <x:c r="AO730" s="120"/>
      <x:c r="AP730" s="122"/>
    </x:row>
    <x:row r="731" ht="15.75" customHeight="1">
      <x:c r="K731" s="120"/>
      <x:c r="M731" s="120"/>
      <x:c r="N731" s="121"/>
      <x:c r="P731" s="120"/>
      <x:c r="R731" s="120"/>
      <x:c r="S731" s="121"/>
      <x:c r="T731" s="122"/>
      <x:c r="U731" s="120"/>
      <x:c r="V731" s="122"/>
      <x:c r="W731" s="120"/>
      <x:c r="X731" s="121"/>
      <x:c r="Y731" s="122"/>
      <x:c r="Z731" s="120"/>
      <x:c r="AA731" s="122"/>
      <x:c r="AB731" s="120"/>
      <x:c r="AC731" s="121"/>
      <x:c r="AD731" s="122"/>
      <x:c r="AE731" s="120"/>
      <x:c r="AF731" s="122"/>
      <x:c r="AG731" s="120"/>
      <x:c r="AH731" s="121"/>
      <x:c r="AI731" s="122"/>
      <x:c r="AJ731" s="120"/>
      <x:c r="AK731" s="122"/>
      <x:c r="AL731" s="120"/>
      <x:c r="AM731" s="121"/>
      <x:c r="AN731" s="122"/>
      <x:c r="AO731" s="120"/>
      <x:c r="AP731" s="122"/>
    </x:row>
    <x:row r="732" ht="15.75" customHeight="1">
      <x:c r="K732" s="120"/>
      <x:c r="M732" s="120"/>
      <x:c r="N732" s="121"/>
      <x:c r="P732" s="120"/>
      <x:c r="R732" s="120"/>
      <x:c r="S732" s="121"/>
      <x:c r="T732" s="122"/>
      <x:c r="U732" s="120"/>
      <x:c r="V732" s="122"/>
      <x:c r="W732" s="120"/>
      <x:c r="X732" s="121"/>
      <x:c r="Y732" s="122"/>
      <x:c r="Z732" s="120"/>
      <x:c r="AA732" s="122"/>
      <x:c r="AB732" s="120"/>
      <x:c r="AC732" s="121"/>
      <x:c r="AD732" s="122"/>
      <x:c r="AE732" s="120"/>
      <x:c r="AF732" s="122"/>
      <x:c r="AG732" s="120"/>
      <x:c r="AH732" s="121"/>
      <x:c r="AI732" s="122"/>
      <x:c r="AJ732" s="120"/>
      <x:c r="AK732" s="122"/>
      <x:c r="AL732" s="120"/>
      <x:c r="AM732" s="121"/>
      <x:c r="AN732" s="122"/>
      <x:c r="AO732" s="120"/>
      <x:c r="AP732" s="122"/>
    </x:row>
    <x:row r="733" ht="15.75" customHeight="1">
      <x:c r="K733" s="120"/>
      <x:c r="M733" s="120"/>
      <x:c r="N733" s="121"/>
      <x:c r="P733" s="120"/>
      <x:c r="R733" s="120"/>
      <x:c r="S733" s="121"/>
      <x:c r="T733" s="122"/>
      <x:c r="U733" s="120"/>
      <x:c r="V733" s="122"/>
      <x:c r="W733" s="120"/>
      <x:c r="X733" s="121"/>
      <x:c r="Y733" s="122"/>
      <x:c r="Z733" s="120"/>
      <x:c r="AA733" s="122"/>
      <x:c r="AB733" s="120"/>
      <x:c r="AC733" s="121"/>
      <x:c r="AD733" s="122"/>
      <x:c r="AE733" s="120"/>
      <x:c r="AF733" s="122"/>
      <x:c r="AG733" s="120"/>
      <x:c r="AH733" s="121"/>
      <x:c r="AI733" s="122"/>
      <x:c r="AJ733" s="120"/>
      <x:c r="AK733" s="122"/>
      <x:c r="AL733" s="120"/>
      <x:c r="AM733" s="121"/>
      <x:c r="AN733" s="122"/>
      <x:c r="AO733" s="120"/>
      <x:c r="AP733" s="122"/>
    </x:row>
    <x:row r="734" ht="15.75" customHeight="1">
      <x:c r="K734" s="120"/>
      <x:c r="M734" s="120"/>
      <x:c r="N734" s="121"/>
      <x:c r="P734" s="120"/>
      <x:c r="R734" s="120"/>
      <x:c r="S734" s="121"/>
      <x:c r="T734" s="122"/>
      <x:c r="U734" s="120"/>
      <x:c r="V734" s="122"/>
      <x:c r="W734" s="120"/>
      <x:c r="X734" s="121"/>
      <x:c r="Y734" s="122"/>
      <x:c r="Z734" s="120"/>
      <x:c r="AA734" s="122"/>
      <x:c r="AB734" s="120"/>
      <x:c r="AC734" s="121"/>
      <x:c r="AD734" s="122"/>
      <x:c r="AE734" s="120"/>
      <x:c r="AF734" s="122"/>
      <x:c r="AG734" s="120"/>
      <x:c r="AH734" s="121"/>
      <x:c r="AI734" s="122"/>
      <x:c r="AJ734" s="120"/>
      <x:c r="AK734" s="122"/>
      <x:c r="AL734" s="120"/>
      <x:c r="AM734" s="121"/>
      <x:c r="AN734" s="122"/>
      <x:c r="AO734" s="120"/>
      <x:c r="AP734" s="122"/>
    </x:row>
    <x:row r="735" ht="15.75" customHeight="1">
      <x:c r="K735" s="120"/>
      <x:c r="M735" s="120"/>
      <x:c r="N735" s="121"/>
      <x:c r="P735" s="120"/>
      <x:c r="R735" s="120"/>
      <x:c r="S735" s="121"/>
      <x:c r="T735" s="122"/>
      <x:c r="U735" s="120"/>
      <x:c r="V735" s="122"/>
      <x:c r="W735" s="120"/>
      <x:c r="X735" s="121"/>
      <x:c r="Y735" s="122"/>
      <x:c r="Z735" s="120"/>
      <x:c r="AA735" s="122"/>
      <x:c r="AB735" s="120"/>
      <x:c r="AC735" s="121"/>
      <x:c r="AD735" s="122"/>
      <x:c r="AE735" s="120"/>
      <x:c r="AF735" s="122"/>
      <x:c r="AG735" s="120"/>
      <x:c r="AH735" s="121"/>
      <x:c r="AI735" s="122"/>
      <x:c r="AJ735" s="120"/>
      <x:c r="AK735" s="122"/>
      <x:c r="AL735" s="120"/>
      <x:c r="AM735" s="121"/>
      <x:c r="AN735" s="122"/>
      <x:c r="AO735" s="120"/>
      <x:c r="AP735" s="122"/>
    </x:row>
    <x:row r="736" ht="15.75" customHeight="1">
      <x:c r="K736" s="120"/>
      <x:c r="M736" s="120"/>
      <x:c r="N736" s="121"/>
      <x:c r="P736" s="120"/>
      <x:c r="R736" s="120"/>
      <x:c r="S736" s="121"/>
      <x:c r="T736" s="122"/>
      <x:c r="U736" s="120"/>
      <x:c r="V736" s="122"/>
      <x:c r="W736" s="120"/>
      <x:c r="X736" s="121"/>
      <x:c r="Y736" s="122"/>
      <x:c r="Z736" s="120"/>
      <x:c r="AA736" s="122"/>
      <x:c r="AB736" s="120"/>
      <x:c r="AC736" s="121"/>
      <x:c r="AD736" s="122"/>
      <x:c r="AE736" s="120"/>
      <x:c r="AF736" s="122"/>
      <x:c r="AG736" s="120"/>
      <x:c r="AH736" s="121"/>
      <x:c r="AI736" s="122"/>
      <x:c r="AJ736" s="120"/>
      <x:c r="AK736" s="122"/>
      <x:c r="AL736" s="120"/>
      <x:c r="AM736" s="121"/>
      <x:c r="AN736" s="122"/>
      <x:c r="AO736" s="120"/>
      <x:c r="AP736" s="122"/>
    </x:row>
    <x:row r="737" ht="15.75" customHeight="1">
      <x:c r="K737" s="120"/>
      <x:c r="M737" s="120"/>
      <x:c r="N737" s="121"/>
      <x:c r="P737" s="120"/>
      <x:c r="R737" s="120"/>
      <x:c r="S737" s="121"/>
      <x:c r="T737" s="122"/>
      <x:c r="U737" s="120"/>
      <x:c r="V737" s="122"/>
      <x:c r="W737" s="120"/>
      <x:c r="X737" s="121"/>
      <x:c r="Y737" s="122"/>
      <x:c r="Z737" s="120"/>
      <x:c r="AA737" s="122"/>
      <x:c r="AB737" s="120"/>
      <x:c r="AC737" s="121"/>
      <x:c r="AD737" s="122"/>
      <x:c r="AE737" s="120"/>
      <x:c r="AF737" s="122"/>
      <x:c r="AG737" s="120"/>
      <x:c r="AH737" s="121"/>
      <x:c r="AI737" s="122"/>
      <x:c r="AJ737" s="120"/>
      <x:c r="AK737" s="122"/>
      <x:c r="AL737" s="120"/>
      <x:c r="AM737" s="121"/>
      <x:c r="AN737" s="122"/>
      <x:c r="AO737" s="120"/>
      <x:c r="AP737" s="122"/>
    </x:row>
    <x:row r="738" ht="15.75" customHeight="1">
      <x:c r="K738" s="120"/>
      <x:c r="M738" s="120"/>
      <x:c r="N738" s="121"/>
      <x:c r="P738" s="120"/>
      <x:c r="R738" s="120"/>
      <x:c r="S738" s="121"/>
      <x:c r="T738" s="122"/>
      <x:c r="U738" s="120"/>
      <x:c r="V738" s="122"/>
      <x:c r="W738" s="120"/>
      <x:c r="X738" s="121"/>
      <x:c r="Y738" s="122"/>
      <x:c r="Z738" s="120"/>
      <x:c r="AA738" s="122"/>
      <x:c r="AB738" s="120"/>
      <x:c r="AC738" s="121"/>
      <x:c r="AD738" s="122"/>
      <x:c r="AE738" s="120"/>
      <x:c r="AF738" s="122"/>
      <x:c r="AG738" s="120"/>
      <x:c r="AH738" s="121"/>
      <x:c r="AI738" s="122"/>
      <x:c r="AJ738" s="120"/>
      <x:c r="AK738" s="122"/>
      <x:c r="AL738" s="120"/>
      <x:c r="AM738" s="121"/>
      <x:c r="AN738" s="122"/>
      <x:c r="AO738" s="120"/>
      <x:c r="AP738" s="122"/>
    </x:row>
    <x:row r="739" ht="15.75" customHeight="1">
      <x:c r="K739" s="120"/>
      <x:c r="M739" s="120"/>
      <x:c r="N739" s="121"/>
      <x:c r="P739" s="120"/>
      <x:c r="R739" s="120"/>
      <x:c r="S739" s="121"/>
      <x:c r="T739" s="122"/>
      <x:c r="U739" s="120"/>
      <x:c r="V739" s="122"/>
      <x:c r="W739" s="120"/>
      <x:c r="X739" s="121"/>
      <x:c r="Y739" s="122"/>
      <x:c r="Z739" s="120"/>
      <x:c r="AA739" s="122"/>
      <x:c r="AB739" s="120"/>
      <x:c r="AC739" s="121"/>
      <x:c r="AD739" s="122"/>
      <x:c r="AE739" s="120"/>
      <x:c r="AF739" s="122"/>
      <x:c r="AG739" s="120"/>
      <x:c r="AH739" s="121"/>
      <x:c r="AI739" s="122"/>
      <x:c r="AJ739" s="120"/>
      <x:c r="AK739" s="122"/>
      <x:c r="AL739" s="120"/>
      <x:c r="AM739" s="121"/>
      <x:c r="AN739" s="122"/>
      <x:c r="AO739" s="120"/>
      <x:c r="AP739" s="122"/>
    </x:row>
    <x:row r="740" ht="15.75" customHeight="1">
      <x:c r="K740" s="120"/>
      <x:c r="M740" s="120"/>
      <x:c r="N740" s="121"/>
      <x:c r="P740" s="120"/>
      <x:c r="R740" s="120"/>
      <x:c r="S740" s="121"/>
      <x:c r="T740" s="122"/>
      <x:c r="U740" s="120"/>
      <x:c r="V740" s="122"/>
      <x:c r="W740" s="120"/>
      <x:c r="X740" s="121"/>
      <x:c r="Y740" s="122"/>
      <x:c r="Z740" s="120"/>
      <x:c r="AA740" s="122"/>
      <x:c r="AB740" s="120"/>
      <x:c r="AC740" s="121"/>
      <x:c r="AD740" s="122"/>
      <x:c r="AE740" s="120"/>
      <x:c r="AF740" s="122"/>
      <x:c r="AG740" s="120"/>
      <x:c r="AH740" s="121"/>
      <x:c r="AI740" s="122"/>
      <x:c r="AJ740" s="120"/>
      <x:c r="AK740" s="122"/>
      <x:c r="AL740" s="120"/>
      <x:c r="AM740" s="121"/>
      <x:c r="AN740" s="122"/>
      <x:c r="AO740" s="120"/>
      <x:c r="AP740" s="122"/>
    </x:row>
    <x:row r="741" ht="15.75" customHeight="1">
      <x:c r="K741" s="120"/>
      <x:c r="M741" s="120"/>
      <x:c r="N741" s="121"/>
      <x:c r="P741" s="120"/>
      <x:c r="R741" s="120"/>
      <x:c r="S741" s="121"/>
      <x:c r="T741" s="122"/>
      <x:c r="U741" s="120"/>
      <x:c r="V741" s="122"/>
      <x:c r="W741" s="120"/>
      <x:c r="X741" s="121"/>
      <x:c r="Y741" s="122"/>
      <x:c r="Z741" s="120"/>
      <x:c r="AA741" s="122"/>
      <x:c r="AB741" s="120"/>
      <x:c r="AC741" s="121"/>
      <x:c r="AD741" s="122"/>
      <x:c r="AE741" s="120"/>
      <x:c r="AF741" s="122"/>
      <x:c r="AG741" s="120"/>
      <x:c r="AH741" s="121"/>
      <x:c r="AI741" s="122"/>
      <x:c r="AJ741" s="120"/>
      <x:c r="AK741" s="122"/>
      <x:c r="AL741" s="120"/>
      <x:c r="AM741" s="121"/>
      <x:c r="AN741" s="122"/>
      <x:c r="AO741" s="120"/>
      <x:c r="AP741" s="122"/>
    </x:row>
    <x:row r="742" ht="15.75" customHeight="1">
      <x:c r="K742" s="120"/>
      <x:c r="M742" s="120"/>
      <x:c r="N742" s="121"/>
      <x:c r="P742" s="120"/>
      <x:c r="R742" s="120"/>
      <x:c r="S742" s="121"/>
      <x:c r="T742" s="122"/>
      <x:c r="U742" s="120"/>
      <x:c r="V742" s="122"/>
      <x:c r="W742" s="120"/>
      <x:c r="X742" s="121"/>
      <x:c r="Y742" s="122"/>
      <x:c r="Z742" s="120"/>
      <x:c r="AA742" s="122"/>
      <x:c r="AB742" s="120"/>
      <x:c r="AC742" s="121"/>
      <x:c r="AD742" s="122"/>
      <x:c r="AE742" s="120"/>
      <x:c r="AF742" s="122"/>
      <x:c r="AG742" s="120"/>
      <x:c r="AH742" s="121"/>
      <x:c r="AI742" s="122"/>
      <x:c r="AJ742" s="120"/>
      <x:c r="AK742" s="122"/>
      <x:c r="AL742" s="120"/>
      <x:c r="AM742" s="121"/>
      <x:c r="AN742" s="122"/>
      <x:c r="AO742" s="120"/>
      <x:c r="AP742" s="122"/>
    </x:row>
    <x:row r="743" ht="15.75" customHeight="1">
      <x:c r="K743" s="120"/>
      <x:c r="M743" s="120"/>
      <x:c r="N743" s="121"/>
      <x:c r="P743" s="120"/>
      <x:c r="R743" s="120"/>
      <x:c r="S743" s="121"/>
      <x:c r="T743" s="122"/>
      <x:c r="U743" s="120"/>
      <x:c r="V743" s="122"/>
      <x:c r="W743" s="120"/>
      <x:c r="X743" s="121"/>
      <x:c r="Y743" s="122"/>
      <x:c r="Z743" s="120"/>
      <x:c r="AA743" s="122"/>
      <x:c r="AB743" s="120"/>
      <x:c r="AC743" s="121"/>
      <x:c r="AD743" s="122"/>
      <x:c r="AE743" s="120"/>
      <x:c r="AF743" s="122"/>
      <x:c r="AG743" s="120"/>
      <x:c r="AH743" s="121"/>
      <x:c r="AI743" s="122"/>
      <x:c r="AJ743" s="120"/>
      <x:c r="AK743" s="122"/>
      <x:c r="AL743" s="120"/>
      <x:c r="AM743" s="121"/>
      <x:c r="AN743" s="122"/>
      <x:c r="AO743" s="120"/>
      <x:c r="AP743" s="122"/>
    </x:row>
    <x:row r="744" ht="15.75" customHeight="1">
      <x:c r="K744" s="120"/>
      <x:c r="M744" s="120"/>
      <x:c r="N744" s="121"/>
      <x:c r="P744" s="120"/>
      <x:c r="R744" s="120"/>
      <x:c r="S744" s="121"/>
      <x:c r="T744" s="122"/>
      <x:c r="U744" s="120"/>
      <x:c r="V744" s="122"/>
      <x:c r="W744" s="120"/>
      <x:c r="X744" s="121"/>
      <x:c r="Y744" s="122"/>
      <x:c r="Z744" s="120"/>
      <x:c r="AA744" s="122"/>
      <x:c r="AB744" s="120"/>
      <x:c r="AC744" s="121"/>
      <x:c r="AD744" s="122"/>
      <x:c r="AE744" s="120"/>
      <x:c r="AF744" s="122"/>
      <x:c r="AG744" s="120"/>
      <x:c r="AH744" s="121"/>
      <x:c r="AI744" s="122"/>
      <x:c r="AJ744" s="120"/>
      <x:c r="AK744" s="122"/>
      <x:c r="AL744" s="120"/>
      <x:c r="AM744" s="121"/>
      <x:c r="AN744" s="122"/>
      <x:c r="AO744" s="120"/>
      <x:c r="AP744" s="122"/>
    </x:row>
    <x:row r="745" ht="15.75" customHeight="1">
      <x:c r="K745" s="120"/>
      <x:c r="M745" s="120"/>
      <x:c r="N745" s="121"/>
      <x:c r="P745" s="120"/>
      <x:c r="R745" s="120"/>
      <x:c r="S745" s="121"/>
      <x:c r="T745" s="122"/>
      <x:c r="U745" s="120"/>
      <x:c r="V745" s="122"/>
      <x:c r="W745" s="120"/>
      <x:c r="X745" s="121"/>
      <x:c r="Y745" s="122"/>
      <x:c r="Z745" s="120"/>
      <x:c r="AA745" s="122"/>
      <x:c r="AB745" s="120"/>
      <x:c r="AC745" s="121"/>
      <x:c r="AD745" s="122"/>
      <x:c r="AE745" s="120"/>
      <x:c r="AF745" s="122"/>
      <x:c r="AG745" s="120"/>
      <x:c r="AH745" s="121"/>
      <x:c r="AI745" s="122"/>
      <x:c r="AJ745" s="120"/>
      <x:c r="AK745" s="122"/>
      <x:c r="AL745" s="120"/>
      <x:c r="AM745" s="121"/>
      <x:c r="AN745" s="122"/>
      <x:c r="AO745" s="120"/>
      <x:c r="AP745" s="122"/>
    </x:row>
    <x:row r="746" ht="15.75" customHeight="1">
      <x:c r="K746" s="120"/>
      <x:c r="M746" s="120"/>
      <x:c r="N746" s="121"/>
      <x:c r="P746" s="120"/>
      <x:c r="R746" s="120"/>
      <x:c r="S746" s="121"/>
      <x:c r="T746" s="122"/>
      <x:c r="U746" s="120"/>
      <x:c r="V746" s="122"/>
      <x:c r="W746" s="120"/>
      <x:c r="X746" s="121"/>
      <x:c r="Y746" s="122"/>
      <x:c r="Z746" s="120"/>
      <x:c r="AA746" s="122"/>
      <x:c r="AB746" s="120"/>
      <x:c r="AC746" s="121"/>
      <x:c r="AD746" s="122"/>
      <x:c r="AE746" s="120"/>
      <x:c r="AF746" s="122"/>
      <x:c r="AG746" s="120"/>
      <x:c r="AH746" s="121"/>
      <x:c r="AI746" s="122"/>
      <x:c r="AJ746" s="120"/>
      <x:c r="AK746" s="122"/>
      <x:c r="AL746" s="120"/>
      <x:c r="AM746" s="121"/>
      <x:c r="AN746" s="122"/>
      <x:c r="AO746" s="120"/>
      <x:c r="AP746" s="122"/>
    </x:row>
    <x:row r="747" ht="15.75" customHeight="1">
      <x:c r="K747" s="120"/>
      <x:c r="M747" s="120"/>
      <x:c r="N747" s="121"/>
      <x:c r="P747" s="120"/>
      <x:c r="R747" s="120"/>
      <x:c r="S747" s="121"/>
      <x:c r="T747" s="122"/>
      <x:c r="U747" s="120"/>
      <x:c r="V747" s="122"/>
      <x:c r="W747" s="120"/>
      <x:c r="X747" s="121"/>
      <x:c r="Y747" s="122"/>
      <x:c r="Z747" s="120"/>
      <x:c r="AA747" s="122"/>
      <x:c r="AB747" s="120"/>
      <x:c r="AC747" s="121"/>
      <x:c r="AD747" s="122"/>
      <x:c r="AE747" s="120"/>
      <x:c r="AF747" s="122"/>
      <x:c r="AG747" s="120"/>
      <x:c r="AH747" s="121"/>
      <x:c r="AI747" s="122"/>
      <x:c r="AJ747" s="120"/>
      <x:c r="AK747" s="122"/>
      <x:c r="AL747" s="120"/>
      <x:c r="AM747" s="121"/>
      <x:c r="AN747" s="122"/>
      <x:c r="AO747" s="120"/>
      <x:c r="AP747" s="122"/>
    </x:row>
    <x:row r="748" ht="15.75" customHeight="1">
      <x:c r="K748" s="120"/>
      <x:c r="M748" s="120"/>
      <x:c r="N748" s="121"/>
      <x:c r="P748" s="120"/>
      <x:c r="R748" s="120"/>
      <x:c r="S748" s="121"/>
      <x:c r="T748" s="122"/>
      <x:c r="U748" s="120"/>
      <x:c r="V748" s="122"/>
      <x:c r="W748" s="120"/>
      <x:c r="X748" s="121"/>
      <x:c r="Y748" s="122"/>
      <x:c r="Z748" s="120"/>
      <x:c r="AA748" s="122"/>
      <x:c r="AB748" s="120"/>
      <x:c r="AC748" s="121"/>
      <x:c r="AD748" s="122"/>
      <x:c r="AE748" s="120"/>
      <x:c r="AF748" s="122"/>
      <x:c r="AG748" s="120"/>
      <x:c r="AH748" s="121"/>
      <x:c r="AI748" s="122"/>
      <x:c r="AJ748" s="120"/>
      <x:c r="AK748" s="122"/>
      <x:c r="AL748" s="120"/>
      <x:c r="AM748" s="121"/>
      <x:c r="AN748" s="122"/>
      <x:c r="AO748" s="120"/>
      <x:c r="AP748" s="122"/>
    </x:row>
    <x:row r="749" ht="15.75" customHeight="1">
      <x:c r="K749" s="120"/>
      <x:c r="M749" s="120"/>
      <x:c r="N749" s="121"/>
      <x:c r="P749" s="120"/>
      <x:c r="R749" s="120"/>
      <x:c r="S749" s="121"/>
      <x:c r="T749" s="122"/>
      <x:c r="U749" s="120"/>
      <x:c r="V749" s="122"/>
      <x:c r="W749" s="120"/>
      <x:c r="X749" s="121"/>
      <x:c r="Y749" s="122"/>
      <x:c r="Z749" s="120"/>
      <x:c r="AA749" s="122"/>
      <x:c r="AB749" s="120"/>
      <x:c r="AC749" s="121"/>
      <x:c r="AD749" s="122"/>
      <x:c r="AE749" s="120"/>
      <x:c r="AF749" s="122"/>
      <x:c r="AG749" s="120"/>
      <x:c r="AH749" s="121"/>
      <x:c r="AI749" s="122"/>
      <x:c r="AJ749" s="120"/>
      <x:c r="AK749" s="122"/>
      <x:c r="AL749" s="120"/>
      <x:c r="AM749" s="121"/>
      <x:c r="AN749" s="122"/>
      <x:c r="AO749" s="120"/>
      <x:c r="AP749" s="122"/>
    </x:row>
    <x:row r="750" ht="15.75" customHeight="1">
      <x:c r="K750" s="120"/>
      <x:c r="M750" s="120"/>
      <x:c r="N750" s="121"/>
      <x:c r="P750" s="120"/>
      <x:c r="R750" s="120"/>
      <x:c r="S750" s="121"/>
      <x:c r="T750" s="122"/>
      <x:c r="U750" s="120"/>
      <x:c r="V750" s="122"/>
      <x:c r="W750" s="120"/>
      <x:c r="X750" s="121"/>
      <x:c r="Y750" s="122"/>
      <x:c r="Z750" s="120"/>
      <x:c r="AA750" s="122"/>
      <x:c r="AB750" s="120"/>
      <x:c r="AC750" s="121"/>
      <x:c r="AD750" s="122"/>
      <x:c r="AE750" s="120"/>
      <x:c r="AF750" s="122"/>
      <x:c r="AG750" s="120"/>
      <x:c r="AH750" s="121"/>
      <x:c r="AI750" s="122"/>
      <x:c r="AJ750" s="120"/>
      <x:c r="AK750" s="122"/>
      <x:c r="AL750" s="120"/>
      <x:c r="AM750" s="121"/>
      <x:c r="AN750" s="122"/>
      <x:c r="AO750" s="120"/>
      <x:c r="AP750" s="122"/>
    </x:row>
    <x:row r="751" ht="15.75" customHeight="1">
      <x:c r="K751" s="120"/>
      <x:c r="M751" s="120"/>
      <x:c r="N751" s="121"/>
      <x:c r="P751" s="120"/>
      <x:c r="R751" s="120"/>
      <x:c r="S751" s="121"/>
      <x:c r="T751" s="122"/>
      <x:c r="U751" s="120"/>
      <x:c r="V751" s="122"/>
      <x:c r="W751" s="120"/>
      <x:c r="X751" s="121"/>
      <x:c r="Y751" s="122"/>
      <x:c r="Z751" s="120"/>
      <x:c r="AA751" s="122"/>
      <x:c r="AB751" s="120"/>
      <x:c r="AC751" s="121"/>
      <x:c r="AD751" s="122"/>
      <x:c r="AE751" s="120"/>
      <x:c r="AF751" s="122"/>
      <x:c r="AG751" s="120"/>
      <x:c r="AH751" s="121"/>
      <x:c r="AI751" s="122"/>
      <x:c r="AJ751" s="120"/>
      <x:c r="AK751" s="122"/>
      <x:c r="AL751" s="120"/>
      <x:c r="AM751" s="121"/>
      <x:c r="AN751" s="122"/>
      <x:c r="AO751" s="120"/>
      <x:c r="AP751" s="122"/>
    </x:row>
    <x:row r="752" ht="15.75" customHeight="1">
      <x:c r="K752" s="120"/>
      <x:c r="M752" s="120"/>
      <x:c r="N752" s="121"/>
      <x:c r="P752" s="120"/>
      <x:c r="R752" s="120"/>
      <x:c r="S752" s="121"/>
      <x:c r="T752" s="122"/>
      <x:c r="U752" s="120"/>
      <x:c r="V752" s="122"/>
      <x:c r="W752" s="120"/>
      <x:c r="X752" s="121"/>
      <x:c r="Y752" s="122"/>
      <x:c r="Z752" s="120"/>
      <x:c r="AA752" s="122"/>
      <x:c r="AB752" s="120"/>
      <x:c r="AC752" s="121"/>
      <x:c r="AD752" s="122"/>
      <x:c r="AE752" s="120"/>
      <x:c r="AF752" s="122"/>
      <x:c r="AG752" s="120"/>
      <x:c r="AH752" s="121"/>
      <x:c r="AI752" s="122"/>
      <x:c r="AJ752" s="120"/>
      <x:c r="AK752" s="122"/>
      <x:c r="AL752" s="120"/>
      <x:c r="AM752" s="121"/>
      <x:c r="AN752" s="122"/>
      <x:c r="AO752" s="120"/>
      <x:c r="AP752" s="122"/>
    </x:row>
    <x:row r="753" ht="15.75" customHeight="1">
      <x:c r="K753" s="120"/>
      <x:c r="M753" s="120"/>
      <x:c r="N753" s="121"/>
      <x:c r="P753" s="120"/>
      <x:c r="R753" s="120"/>
      <x:c r="S753" s="121"/>
      <x:c r="T753" s="122"/>
      <x:c r="U753" s="120"/>
      <x:c r="V753" s="122"/>
      <x:c r="W753" s="120"/>
      <x:c r="X753" s="121"/>
      <x:c r="Y753" s="122"/>
      <x:c r="Z753" s="120"/>
      <x:c r="AA753" s="122"/>
      <x:c r="AB753" s="120"/>
      <x:c r="AC753" s="121"/>
      <x:c r="AD753" s="122"/>
      <x:c r="AE753" s="120"/>
      <x:c r="AF753" s="122"/>
      <x:c r="AG753" s="120"/>
      <x:c r="AH753" s="121"/>
      <x:c r="AI753" s="122"/>
      <x:c r="AJ753" s="120"/>
      <x:c r="AK753" s="122"/>
      <x:c r="AL753" s="120"/>
      <x:c r="AM753" s="121"/>
      <x:c r="AN753" s="122"/>
      <x:c r="AO753" s="120"/>
      <x:c r="AP753" s="122"/>
    </x:row>
    <x:row r="754" ht="15.75" customHeight="1">
      <x:c r="K754" s="120"/>
      <x:c r="M754" s="120"/>
      <x:c r="N754" s="121"/>
      <x:c r="P754" s="120"/>
      <x:c r="R754" s="120"/>
      <x:c r="S754" s="121"/>
      <x:c r="T754" s="122"/>
      <x:c r="U754" s="120"/>
      <x:c r="V754" s="122"/>
      <x:c r="W754" s="120"/>
      <x:c r="X754" s="121"/>
      <x:c r="Y754" s="122"/>
      <x:c r="Z754" s="120"/>
      <x:c r="AA754" s="122"/>
      <x:c r="AB754" s="120"/>
      <x:c r="AC754" s="121"/>
      <x:c r="AD754" s="122"/>
      <x:c r="AE754" s="120"/>
      <x:c r="AF754" s="122"/>
      <x:c r="AG754" s="120"/>
      <x:c r="AH754" s="121"/>
      <x:c r="AI754" s="122"/>
      <x:c r="AJ754" s="120"/>
      <x:c r="AK754" s="122"/>
      <x:c r="AL754" s="120"/>
      <x:c r="AM754" s="121"/>
      <x:c r="AN754" s="122"/>
      <x:c r="AO754" s="120"/>
      <x:c r="AP754" s="122"/>
    </x:row>
    <x:row r="755" ht="15.75" customHeight="1">
      <x:c r="K755" s="120"/>
      <x:c r="M755" s="120"/>
      <x:c r="N755" s="121"/>
      <x:c r="P755" s="120"/>
      <x:c r="R755" s="120"/>
      <x:c r="S755" s="121"/>
      <x:c r="T755" s="122"/>
      <x:c r="U755" s="120"/>
      <x:c r="V755" s="122"/>
      <x:c r="W755" s="120"/>
      <x:c r="X755" s="121"/>
      <x:c r="Y755" s="122"/>
      <x:c r="Z755" s="120"/>
      <x:c r="AA755" s="122"/>
      <x:c r="AB755" s="120"/>
      <x:c r="AC755" s="121"/>
      <x:c r="AD755" s="122"/>
      <x:c r="AE755" s="120"/>
      <x:c r="AF755" s="122"/>
      <x:c r="AG755" s="120"/>
      <x:c r="AH755" s="121"/>
      <x:c r="AI755" s="122"/>
      <x:c r="AJ755" s="120"/>
      <x:c r="AK755" s="122"/>
      <x:c r="AL755" s="120"/>
      <x:c r="AM755" s="121"/>
      <x:c r="AN755" s="122"/>
      <x:c r="AO755" s="120"/>
      <x:c r="AP755" s="122"/>
    </x:row>
    <x:row r="756" ht="15.75" customHeight="1">
      <x:c r="K756" s="120"/>
      <x:c r="M756" s="120"/>
      <x:c r="N756" s="121"/>
      <x:c r="P756" s="120"/>
      <x:c r="R756" s="120"/>
      <x:c r="S756" s="121"/>
      <x:c r="T756" s="122"/>
      <x:c r="U756" s="120"/>
      <x:c r="V756" s="122"/>
      <x:c r="W756" s="120"/>
      <x:c r="X756" s="121"/>
      <x:c r="Y756" s="122"/>
      <x:c r="Z756" s="120"/>
      <x:c r="AA756" s="122"/>
      <x:c r="AB756" s="120"/>
      <x:c r="AC756" s="121"/>
      <x:c r="AD756" s="122"/>
      <x:c r="AE756" s="120"/>
      <x:c r="AF756" s="122"/>
      <x:c r="AG756" s="120"/>
      <x:c r="AH756" s="121"/>
      <x:c r="AI756" s="122"/>
      <x:c r="AJ756" s="120"/>
      <x:c r="AK756" s="122"/>
      <x:c r="AL756" s="120"/>
      <x:c r="AM756" s="121"/>
      <x:c r="AN756" s="122"/>
      <x:c r="AO756" s="120"/>
      <x:c r="AP756" s="122"/>
    </x:row>
    <x:row r="757" ht="15.75" customHeight="1">
      <x:c r="K757" s="120"/>
      <x:c r="M757" s="120"/>
      <x:c r="N757" s="121"/>
      <x:c r="P757" s="120"/>
      <x:c r="R757" s="120"/>
      <x:c r="S757" s="121"/>
      <x:c r="T757" s="122"/>
      <x:c r="U757" s="120"/>
      <x:c r="V757" s="122"/>
      <x:c r="W757" s="120"/>
      <x:c r="X757" s="121"/>
      <x:c r="Y757" s="122"/>
      <x:c r="Z757" s="120"/>
      <x:c r="AA757" s="122"/>
      <x:c r="AB757" s="120"/>
      <x:c r="AC757" s="121"/>
      <x:c r="AD757" s="122"/>
      <x:c r="AE757" s="120"/>
      <x:c r="AF757" s="122"/>
      <x:c r="AG757" s="120"/>
      <x:c r="AH757" s="121"/>
      <x:c r="AI757" s="122"/>
      <x:c r="AJ757" s="120"/>
      <x:c r="AK757" s="122"/>
      <x:c r="AL757" s="120"/>
      <x:c r="AM757" s="121"/>
      <x:c r="AN757" s="122"/>
      <x:c r="AO757" s="120"/>
      <x:c r="AP757" s="122"/>
    </x:row>
    <x:row r="758" ht="15.75" customHeight="1">
      <x:c r="K758" s="120"/>
      <x:c r="M758" s="120"/>
      <x:c r="N758" s="121"/>
      <x:c r="P758" s="120"/>
      <x:c r="R758" s="120"/>
      <x:c r="S758" s="121"/>
      <x:c r="T758" s="122"/>
      <x:c r="U758" s="120"/>
      <x:c r="V758" s="122"/>
      <x:c r="W758" s="120"/>
      <x:c r="X758" s="121"/>
      <x:c r="Y758" s="122"/>
      <x:c r="Z758" s="120"/>
      <x:c r="AA758" s="122"/>
      <x:c r="AB758" s="120"/>
      <x:c r="AC758" s="121"/>
      <x:c r="AD758" s="122"/>
      <x:c r="AE758" s="120"/>
      <x:c r="AF758" s="122"/>
      <x:c r="AG758" s="120"/>
      <x:c r="AH758" s="121"/>
      <x:c r="AI758" s="122"/>
      <x:c r="AJ758" s="120"/>
      <x:c r="AK758" s="122"/>
      <x:c r="AL758" s="120"/>
      <x:c r="AM758" s="121"/>
      <x:c r="AN758" s="122"/>
      <x:c r="AO758" s="120"/>
      <x:c r="AP758" s="122"/>
    </x:row>
    <x:row r="759" ht="15.75" customHeight="1">
      <x:c r="K759" s="120"/>
      <x:c r="M759" s="120"/>
      <x:c r="N759" s="121"/>
      <x:c r="P759" s="120"/>
      <x:c r="R759" s="120"/>
      <x:c r="S759" s="121"/>
      <x:c r="T759" s="122"/>
      <x:c r="U759" s="120"/>
      <x:c r="V759" s="122"/>
      <x:c r="W759" s="120"/>
      <x:c r="X759" s="121"/>
      <x:c r="Y759" s="122"/>
      <x:c r="Z759" s="120"/>
      <x:c r="AA759" s="122"/>
      <x:c r="AB759" s="120"/>
      <x:c r="AC759" s="121"/>
      <x:c r="AD759" s="122"/>
      <x:c r="AE759" s="120"/>
      <x:c r="AF759" s="122"/>
      <x:c r="AG759" s="120"/>
      <x:c r="AH759" s="121"/>
      <x:c r="AI759" s="122"/>
      <x:c r="AJ759" s="120"/>
      <x:c r="AK759" s="122"/>
      <x:c r="AL759" s="120"/>
      <x:c r="AM759" s="121"/>
      <x:c r="AN759" s="122"/>
      <x:c r="AO759" s="120"/>
      <x:c r="AP759" s="122"/>
    </x:row>
    <x:row r="760" ht="15.75" customHeight="1">
      <x:c r="K760" s="120"/>
      <x:c r="M760" s="120"/>
      <x:c r="N760" s="121"/>
      <x:c r="P760" s="120"/>
      <x:c r="R760" s="120"/>
      <x:c r="S760" s="121"/>
      <x:c r="T760" s="122"/>
      <x:c r="U760" s="120"/>
      <x:c r="V760" s="122"/>
      <x:c r="W760" s="120"/>
      <x:c r="X760" s="121"/>
      <x:c r="Y760" s="122"/>
      <x:c r="Z760" s="120"/>
      <x:c r="AA760" s="122"/>
      <x:c r="AB760" s="120"/>
      <x:c r="AC760" s="121"/>
      <x:c r="AD760" s="122"/>
      <x:c r="AE760" s="120"/>
      <x:c r="AF760" s="122"/>
      <x:c r="AG760" s="120"/>
      <x:c r="AH760" s="121"/>
      <x:c r="AI760" s="122"/>
      <x:c r="AJ760" s="120"/>
      <x:c r="AK760" s="122"/>
      <x:c r="AL760" s="120"/>
      <x:c r="AM760" s="121"/>
      <x:c r="AN760" s="122"/>
      <x:c r="AO760" s="120"/>
      <x:c r="AP760" s="122"/>
    </x:row>
    <x:row r="761" ht="15.75" customHeight="1">
      <x:c r="K761" s="120"/>
      <x:c r="M761" s="120"/>
      <x:c r="N761" s="121"/>
      <x:c r="P761" s="120"/>
      <x:c r="R761" s="120"/>
      <x:c r="S761" s="121"/>
      <x:c r="T761" s="122"/>
      <x:c r="U761" s="120"/>
      <x:c r="V761" s="122"/>
      <x:c r="W761" s="120"/>
      <x:c r="X761" s="121"/>
      <x:c r="Y761" s="122"/>
      <x:c r="Z761" s="120"/>
      <x:c r="AA761" s="122"/>
      <x:c r="AB761" s="120"/>
      <x:c r="AC761" s="121"/>
      <x:c r="AD761" s="122"/>
      <x:c r="AE761" s="120"/>
      <x:c r="AF761" s="122"/>
      <x:c r="AG761" s="120"/>
      <x:c r="AH761" s="121"/>
      <x:c r="AI761" s="122"/>
      <x:c r="AJ761" s="120"/>
      <x:c r="AK761" s="122"/>
      <x:c r="AL761" s="120"/>
      <x:c r="AM761" s="121"/>
      <x:c r="AN761" s="122"/>
      <x:c r="AO761" s="120"/>
      <x:c r="AP761" s="122"/>
    </x:row>
    <x:row r="762" ht="15.75" customHeight="1">
      <x:c r="K762" s="120"/>
      <x:c r="M762" s="120"/>
      <x:c r="N762" s="121"/>
      <x:c r="P762" s="120"/>
      <x:c r="R762" s="120"/>
      <x:c r="S762" s="121"/>
      <x:c r="T762" s="122"/>
      <x:c r="U762" s="120"/>
      <x:c r="V762" s="122"/>
      <x:c r="W762" s="120"/>
      <x:c r="X762" s="121"/>
      <x:c r="Y762" s="122"/>
      <x:c r="Z762" s="120"/>
      <x:c r="AA762" s="122"/>
      <x:c r="AB762" s="120"/>
      <x:c r="AC762" s="121"/>
      <x:c r="AD762" s="122"/>
      <x:c r="AE762" s="120"/>
      <x:c r="AF762" s="122"/>
      <x:c r="AG762" s="120"/>
      <x:c r="AH762" s="121"/>
      <x:c r="AI762" s="122"/>
      <x:c r="AJ762" s="120"/>
      <x:c r="AK762" s="122"/>
      <x:c r="AL762" s="120"/>
      <x:c r="AM762" s="121"/>
      <x:c r="AN762" s="122"/>
      <x:c r="AO762" s="120"/>
      <x:c r="AP762" s="122"/>
    </x:row>
    <x:row r="763" ht="15.75" customHeight="1">
      <x:c r="K763" s="120"/>
      <x:c r="M763" s="120"/>
      <x:c r="N763" s="121"/>
      <x:c r="P763" s="120"/>
      <x:c r="R763" s="120"/>
      <x:c r="S763" s="121"/>
      <x:c r="T763" s="122"/>
      <x:c r="U763" s="120"/>
      <x:c r="V763" s="122"/>
      <x:c r="W763" s="120"/>
      <x:c r="X763" s="121"/>
      <x:c r="Y763" s="122"/>
      <x:c r="Z763" s="120"/>
      <x:c r="AA763" s="122"/>
      <x:c r="AB763" s="120"/>
      <x:c r="AC763" s="121"/>
      <x:c r="AD763" s="122"/>
      <x:c r="AE763" s="120"/>
      <x:c r="AF763" s="122"/>
      <x:c r="AG763" s="120"/>
      <x:c r="AH763" s="121"/>
      <x:c r="AI763" s="122"/>
      <x:c r="AJ763" s="120"/>
      <x:c r="AK763" s="122"/>
      <x:c r="AL763" s="120"/>
      <x:c r="AM763" s="121"/>
      <x:c r="AN763" s="122"/>
      <x:c r="AO763" s="120"/>
      <x:c r="AP763" s="122"/>
    </x:row>
    <x:row r="764" ht="15.75" customHeight="1">
      <x:c r="K764" s="120"/>
      <x:c r="M764" s="120"/>
      <x:c r="N764" s="121"/>
      <x:c r="P764" s="120"/>
      <x:c r="R764" s="120"/>
      <x:c r="S764" s="121"/>
      <x:c r="T764" s="122"/>
      <x:c r="U764" s="120"/>
      <x:c r="V764" s="122"/>
      <x:c r="W764" s="120"/>
      <x:c r="X764" s="121"/>
      <x:c r="Y764" s="122"/>
      <x:c r="Z764" s="120"/>
      <x:c r="AA764" s="122"/>
      <x:c r="AB764" s="120"/>
      <x:c r="AC764" s="121"/>
      <x:c r="AD764" s="122"/>
      <x:c r="AE764" s="120"/>
      <x:c r="AF764" s="122"/>
      <x:c r="AG764" s="120"/>
      <x:c r="AH764" s="121"/>
      <x:c r="AI764" s="122"/>
      <x:c r="AJ764" s="120"/>
      <x:c r="AK764" s="122"/>
      <x:c r="AL764" s="120"/>
      <x:c r="AM764" s="121"/>
      <x:c r="AN764" s="122"/>
      <x:c r="AO764" s="120"/>
      <x:c r="AP764" s="122"/>
    </x:row>
    <x:row r="765" ht="15.75" customHeight="1">
      <x:c r="K765" s="120"/>
      <x:c r="M765" s="120"/>
      <x:c r="N765" s="121"/>
      <x:c r="P765" s="120"/>
      <x:c r="R765" s="120"/>
      <x:c r="S765" s="121"/>
      <x:c r="T765" s="122"/>
      <x:c r="U765" s="120"/>
      <x:c r="V765" s="122"/>
      <x:c r="W765" s="120"/>
      <x:c r="X765" s="121"/>
      <x:c r="Y765" s="122"/>
      <x:c r="Z765" s="120"/>
      <x:c r="AA765" s="122"/>
      <x:c r="AB765" s="120"/>
      <x:c r="AC765" s="121"/>
      <x:c r="AD765" s="122"/>
      <x:c r="AE765" s="120"/>
      <x:c r="AF765" s="122"/>
      <x:c r="AG765" s="120"/>
      <x:c r="AH765" s="121"/>
      <x:c r="AI765" s="122"/>
      <x:c r="AJ765" s="120"/>
      <x:c r="AK765" s="122"/>
      <x:c r="AL765" s="120"/>
      <x:c r="AM765" s="121"/>
      <x:c r="AN765" s="122"/>
      <x:c r="AO765" s="120"/>
      <x:c r="AP765" s="122"/>
    </x:row>
    <x:row r="766" ht="15.75" customHeight="1">
      <x:c r="K766" s="120"/>
      <x:c r="M766" s="120"/>
      <x:c r="N766" s="121"/>
      <x:c r="P766" s="120"/>
      <x:c r="R766" s="120"/>
      <x:c r="S766" s="121"/>
      <x:c r="T766" s="122"/>
      <x:c r="U766" s="120"/>
      <x:c r="V766" s="122"/>
      <x:c r="W766" s="120"/>
      <x:c r="X766" s="121"/>
      <x:c r="Y766" s="122"/>
      <x:c r="Z766" s="120"/>
      <x:c r="AA766" s="122"/>
      <x:c r="AB766" s="120"/>
      <x:c r="AC766" s="121"/>
      <x:c r="AD766" s="122"/>
      <x:c r="AE766" s="120"/>
      <x:c r="AF766" s="122"/>
      <x:c r="AG766" s="120"/>
      <x:c r="AH766" s="121"/>
      <x:c r="AI766" s="122"/>
      <x:c r="AJ766" s="120"/>
      <x:c r="AK766" s="122"/>
      <x:c r="AL766" s="120"/>
      <x:c r="AM766" s="121"/>
      <x:c r="AN766" s="122"/>
      <x:c r="AO766" s="120"/>
      <x:c r="AP766" s="122"/>
    </x:row>
    <x:row r="767" ht="15.75" customHeight="1">
      <x:c r="K767" s="120"/>
      <x:c r="M767" s="120"/>
      <x:c r="N767" s="121"/>
      <x:c r="P767" s="120"/>
      <x:c r="R767" s="120"/>
      <x:c r="S767" s="121"/>
      <x:c r="T767" s="122"/>
      <x:c r="U767" s="120"/>
      <x:c r="V767" s="122"/>
      <x:c r="W767" s="120"/>
      <x:c r="X767" s="121"/>
      <x:c r="Y767" s="122"/>
      <x:c r="Z767" s="120"/>
      <x:c r="AA767" s="122"/>
      <x:c r="AB767" s="120"/>
      <x:c r="AC767" s="121"/>
      <x:c r="AD767" s="122"/>
      <x:c r="AE767" s="120"/>
      <x:c r="AF767" s="122"/>
      <x:c r="AG767" s="120"/>
      <x:c r="AH767" s="121"/>
      <x:c r="AI767" s="122"/>
      <x:c r="AJ767" s="120"/>
      <x:c r="AK767" s="122"/>
      <x:c r="AL767" s="120"/>
      <x:c r="AM767" s="121"/>
      <x:c r="AN767" s="122"/>
      <x:c r="AO767" s="120"/>
      <x:c r="AP767" s="122"/>
    </x:row>
    <x:row r="768" ht="15.75" customHeight="1">
      <x:c r="K768" s="120"/>
      <x:c r="M768" s="120"/>
      <x:c r="N768" s="121"/>
      <x:c r="P768" s="120"/>
      <x:c r="R768" s="120"/>
      <x:c r="S768" s="121"/>
      <x:c r="T768" s="122"/>
      <x:c r="U768" s="120"/>
      <x:c r="V768" s="122"/>
      <x:c r="W768" s="120"/>
      <x:c r="X768" s="121"/>
      <x:c r="Y768" s="122"/>
      <x:c r="Z768" s="120"/>
      <x:c r="AA768" s="122"/>
      <x:c r="AB768" s="120"/>
      <x:c r="AC768" s="121"/>
      <x:c r="AD768" s="122"/>
      <x:c r="AE768" s="120"/>
      <x:c r="AF768" s="122"/>
      <x:c r="AG768" s="120"/>
      <x:c r="AH768" s="121"/>
      <x:c r="AI768" s="122"/>
      <x:c r="AJ768" s="120"/>
      <x:c r="AK768" s="122"/>
      <x:c r="AL768" s="120"/>
      <x:c r="AM768" s="121"/>
      <x:c r="AN768" s="122"/>
      <x:c r="AO768" s="120"/>
      <x:c r="AP768" s="122"/>
    </x:row>
    <x:row r="769" ht="15.75" customHeight="1">
      <x:c r="K769" s="120"/>
      <x:c r="M769" s="120"/>
      <x:c r="N769" s="121"/>
      <x:c r="P769" s="120"/>
      <x:c r="R769" s="120"/>
      <x:c r="S769" s="121"/>
      <x:c r="T769" s="122"/>
      <x:c r="U769" s="120"/>
      <x:c r="V769" s="122"/>
      <x:c r="W769" s="120"/>
      <x:c r="X769" s="121"/>
      <x:c r="Y769" s="122"/>
      <x:c r="Z769" s="120"/>
      <x:c r="AA769" s="122"/>
      <x:c r="AB769" s="120"/>
      <x:c r="AC769" s="121"/>
      <x:c r="AD769" s="122"/>
      <x:c r="AE769" s="120"/>
      <x:c r="AF769" s="122"/>
      <x:c r="AG769" s="120"/>
      <x:c r="AH769" s="121"/>
      <x:c r="AI769" s="122"/>
      <x:c r="AJ769" s="120"/>
      <x:c r="AK769" s="122"/>
      <x:c r="AL769" s="120"/>
      <x:c r="AM769" s="121"/>
      <x:c r="AN769" s="122"/>
      <x:c r="AO769" s="120"/>
      <x:c r="AP769" s="122"/>
    </x:row>
    <x:row r="770" ht="15.75" customHeight="1">
      <x:c r="K770" s="120"/>
      <x:c r="M770" s="120"/>
      <x:c r="N770" s="121"/>
      <x:c r="P770" s="120"/>
      <x:c r="R770" s="120"/>
      <x:c r="S770" s="121"/>
      <x:c r="T770" s="122"/>
      <x:c r="U770" s="120"/>
      <x:c r="V770" s="122"/>
      <x:c r="W770" s="120"/>
      <x:c r="X770" s="121"/>
      <x:c r="Y770" s="122"/>
      <x:c r="Z770" s="120"/>
      <x:c r="AA770" s="122"/>
      <x:c r="AB770" s="120"/>
      <x:c r="AC770" s="121"/>
      <x:c r="AD770" s="122"/>
      <x:c r="AE770" s="120"/>
      <x:c r="AF770" s="122"/>
      <x:c r="AG770" s="120"/>
      <x:c r="AH770" s="121"/>
      <x:c r="AI770" s="122"/>
      <x:c r="AJ770" s="120"/>
      <x:c r="AK770" s="122"/>
      <x:c r="AL770" s="120"/>
      <x:c r="AM770" s="121"/>
      <x:c r="AN770" s="122"/>
      <x:c r="AO770" s="120"/>
      <x:c r="AP770" s="122"/>
    </x:row>
    <x:row r="771" ht="15.75" customHeight="1">
      <x:c r="K771" s="120"/>
      <x:c r="M771" s="120"/>
      <x:c r="N771" s="121"/>
      <x:c r="P771" s="120"/>
      <x:c r="R771" s="120"/>
      <x:c r="S771" s="121"/>
      <x:c r="T771" s="122"/>
      <x:c r="U771" s="120"/>
      <x:c r="V771" s="122"/>
      <x:c r="W771" s="120"/>
      <x:c r="X771" s="121"/>
      <x:c r="Y771" s="122"/>
      <x:c r="Z771" s="120"/>
      <x:c r="AA771" s="122"/>
      <x:c r="AB771" s="120"/>
      <x:c r="AC771" s="121"/>
      <x:c r="AD771" s="122"/>
      <x:c r="AE771" s="120"/>
      <x:c r="AF771" s="122"/>
      <x:c r="AG771" s="120"/>
      <x:c r="AH771" s="121"/>
      <x:c r="AI771" s="122"/>
      <x:c r="AJ771" s="120"/>
      <x:c r="AK771" s="122"/>
      <x:c r="AL771" s="120"/>
      <x:c r="AM771" s="121"/>
      <x:c r="AN771" s="122"/>
      <x:c r="AO771" s="120"/>
      <x:c r="AP771" s="122"/>
    </x:row>
    <x:row r="772" ht="15.75" customHeight="1">
      <x:c r="K772" s="120"/>
      <x:c r="M772" s="120"/>
      <x:c r="N772" s="121"/>
      <x:c r="P772" s="120"/>
      <x:c r="R772" s="120"/>
      <x:c r="S772" s="121"/>
      <x:c r="T772" s="122"/>
      <x:c r="U772" s="120"/>
      <x:c r="V772" s="122"/>
      <x:c r="W772" s="120"/>
      <x:c r="X772" s="121"/>
      <x:c r="Y772" s="122"/>
      <x:c r="Z772" s="120"/>
      <x:c r="AA772" s="122"/>
      <x:c r="AB772" s="120"/>
      <x:c r="AC772" s="121"/>
      <x:c r="AD772" s="122"/>
      <x:c r="AE772" s="120"/>
      <x:c r="AF772" s="122"/>
      <x:c r="AG772" s="120"/>
      <x:c r="AH772" s="121"/>
      <x:c r="AI772" s="122"/>
      <x:c r="AJ772" s="120"/>
      <x:c r="AK772" s="122"/>
      <x:c r="AL772" s="120"/>
      <x:c r="AM772" s="121"/>
      <x:c r="AN772" s="122"/>
      <x:c r="AO772" s="120"/>
      <x:c r="AP772" s="122"/>
    </x:row>
    <x:row r="773" ht="15.75" customHeight="1">
      <x:c r="K773" s="120"/>
      <x:c r="M773" s="120"/>
      <x:c r="N773" s="121"/>
      <x:c r="P773" s="120"/>
      <x:c r="R773" s="120"/>
      <x:c r="S773" s="121"/>
      <x:c r="T773" s="122"/>
      <x:c r="U773" s="120"/>
      <x:c r="V773" s="122"/>
      <x:c r="W773" s="120"/>
      <x:c r="X773" s="121"/>
      <x:c r="Y773" s="122"/>
      <x:c r="Z773" s="120"/>
      <x:c r="AA773" s="122"/>
      <x:c r="AB773" s="120"/>
      <x:c r="AC773" s="121"/>
      <x:c r="AD773" s="122"/>
      <x:c r="AE773" s="120"/>
      <x:c r="AF773" s="122"/>
      <x:c r="AG773" s="120"/>
      <x:c r="AH773" s="121"/>
      <x:c r="AI773" s="122"/>
      <x:c r="AJ773" s="120"/>
      <x:c r="AK773" s="122"/>
      <x:c r="AL773" s="120"/>
      <x:c r="AM773" s="121"/>
      <x:c r="AN773" s="122"/>
      <x:c r="AO773" s="120"/>
      <x:c r="AP773" s="122"/>
    </x:row>
    <x:row r="774" ht="15.75" customHeight="1">
      <x:c r="K774" s="120"/>
      <x:c r="M774" s="120"/>
      <x:c r="N774" s="121"/>
      <x:c r="P774" s="120"/>
      <x:c r="R774" s="120"/>
      <x:c r="S774" s="121"/>
      <x:c r="T774" s="122"/>
      <x:c r="U774" s="120"/>
      <x:c r="V774" s="122"/>
      <x:c r="W774" s="120"/>
      <x:c r="X774" s="121"/>
      <x:c r="Y774" s="122"/>
      <x:c r="Z774" s="120"/>
      <x:c r="AA774" s="122"/>
      <x:c r="AB774" s="120"/>
      <x:c r="AC774" s="121"/>
      <x:c r="AD774" s="122"/>
      <x:c r="AE774" s="120"/>
      <x:c r="AF774" s="122"/>
      <x:c r="AG774" s="120"/>
      <x:c r="AH774" s="121"/>
      <x:c r="AI774" s="122"/>
      <x:c r="AJ774" s="120"/>
      <x:c r="AK774" s="122"/>
      <x:c r="AL774" s="120"/>
      <x:c r="AM774" s="121"/>
      <x:c r="AN774" s="122"/>
      <x:c r="AO774" s="120"/>
      <x:c r="AP774" s="122"/>
    </x:row>
    <x:row r="775" ht="15.75" customHeight="1">
      <x:c r="K775" s="120"/>
      <x:c r="M775" s="120"/>
      <x:c r="N775" s="121"/>
      <x:c r="P775" s="120"/>
      <x:c r="R775" s="120"/>
      <x:c r="S775" s="121"/>
      <x:c r="T775" s="122"/>
      <x:c r="U775" s="120"/>
      <x:c r="V775" s="122"/>
      <x:c r="W775" s="120"/>
      <x:c r="X775" s="121"/>
      <x:c r="Y775" s="122"/>
      <x:c r="Z775" s="120"/>
      <x:c r="AA775" s="122"/>
      <x:c r="AB775" s="120"/>
      <x:c r="AC775" s="121"/>
      <x:c r="AD775" s="122"/>
      <x:c r="AE775" s="120"/>
      <x:c r="AF775" s="122"/>
      <x:c r="AG775" s="120"/>
      <x:c r="AH775" s="121"/>
      <x:c r="AI775" s="122"/>
      <x:c r="AJ775" s="120"/>
      <x:c r="AK775" s="122"/>
      <x:c r="AL775" s="120"/>
      <x:c r="AM775" s="121"/>
      <x:c r="AN775" s="122"/>
      <x:c r="AO775" s="120"/>
      <x:c r="AP775" s="122"/>
    </x:row>
    <x:row r="776" ht="15.75" customHeight="1">
      <x:c r="K776" s="120"/>
      <x:c r="M776" s="120"/>
      <x:c r="N776" s="121"/>
      <x:c r="P776" s="120"/>
      <x:c r="R776" s="120"/>
      <x:c r="S776" s="121"/>
      <x:c r="T776" s="122"/>
      <x:c r="U776" s="120"/>
      <x:c r="V776" s="122"/>
      <x:c r="W776" s="120"/>
      <x:c r="X776" s="121"/>
      <x:c r="Y776" s="122"/>
      <x:c r="Z776" s="120"/>
      <x:c r="AA776" s="122"/>
      <x:c r="AB776" s="120"/>
      <x:c r="AC776" s="121"/>
      <x:c r="AD776" s="122"/>
      <x:c r="AE776" s="120"/>
      <x:c r="AF776" s="122"/>
      <x:c r="AG776" s="120"/>
      <x:c r="AH776" s="121"/>
      <x:c r="AI776" s="122"/>
      <x:c r="AJ776" s="120"/>
      <x:c r="AK776" s="122"/>
      <x:c r="AL776" s="120"/>
      <x:c r="AM776" s="121"/>
      <x:c r="AN776" s="122"/>
      <x:c r="AO776" s="120"/>
      <x:c r="AP776" s="122"/>
    </x:row>
    <x:row r="777" ht="15.75" customHeight="1">
      <x:c r="K777" s="120"/>
      <x:c r="M777" s="120"/>
      <x:c r="N777" s="121"/>
      <x:c r="P777" s="120"/>
      <x:c r="R777" s="120"/>
      <x:c r="S777" s="121"/>
      <x:c r="T777" s="122"/>
      <x:c r="U777" s="120"/>
      <x:c r="V777" s="122"/>
      <x:c r="W777" s="120"/>
      <x:c r="X777" s="121"/>
      <x:c r="Y777" s="122"/>
      <x:c r="Z777" s="120"/>
      <x:c r="AA777" s="122"/>
      <x:c r="AB777" s="120"/>
      <x:c r="AC777" s="121"/>
      <x:c r="AD777" s="122"/>
      <x:c r="AE777" s="120"/>
      <x:c r="AF777" s="122"/>
      <x:c r="AG777" s="120"/>
      <x:c r="AH777" s="121"/>
      <x:c r="AI777" s="122"/>
      <x:c r="AJ777" s="120"/>
      <x:c r="AK777" s="122"/>
      <x:c r="AL777" s="120"/>
      <x:c r="AM777" s="121"/>
      <x:c r="AN777" s="122"/>
      <x:c r="AO777" s="120"/>
      <x:c r="AP777" s="122"/>
    </x:row>
    <x:row r="778" ht="15.75" customHeight="1">
      <x:c r="K778" s="120"/>
      <x:c r="M778" s="120"/>
      <x:c r="N778" s="121"/>
      <x:c r="P778" s="120"/>
      <x:c r="R778" s="120"/>
      <x:c r="S778" s="121"/>
      <x:c r="T778" s="122"/>
      <x:c r="U778" s="120"/>
      <x:c r="V778" s="122"/>
      <x:c r="W778" s="120"/>
      <x:c r="X778" s="121"/>
      <x:c r="Y778" s="122"/>
      <x:c r="Z778" s="120"/>
      <x:c r="AA778" s="122"/>
      <x:c r="AB778" s="120"/>
      <x:c r="AC778" s="121"/>
      <x:c r="AD778" s="122"/>
      <x:c r="AE778" s="120"/>
      <x:c r="AF778" s="122"/>
      <x:c r="AG778" s="120"/>
      <x:c r="AH778" s="121"/>
      <x:c r="AI778" s="122"/>
      <x:c r="AJ778" s="120"/>
      <x:c r="AK778" s="122"/>
      <x:c r="AL778" s="120"/>
      <x:c r="AM778" s="121"/>
      <x:c r="AN778" s="122"/>
      <x:c r="AO778" s="120"/>
      <x:c r="AP778" s="122"/>
    </x:row>
    <x:row r="779" ht="15.75" customHeight="1">
      <x:c r="K779" s="120"/>
      <x:c r="M779" s="120"/>
      <x:c r="N779" s="121"/>
      <x:c r="P779" s="120"/>
      <x:c r="R779" s="120"/>
      <x:c r="S779" s="121"/>
      <x:c r="T779" s="122"/>
      <x:c r="U779" s="120"/>
      <x:c r="V779" s="122"/>
      <x:c r="W779" s="120"/>
      <x:c r="X779" s="121"/>
      <x:c r="Y779" s="122"/>
      <x:c r="Z779" s="120"/>
      <x:c r="AA779" s="122"/>
      <x:c r="AB779" s="120"/>
      <x:c r="AC779" s="121"/>
      <x:c r="AD779" s="122"/>
      <x:c r="AE779" s="120"/>
      <x:c r="AF779" s="122"/>
      <x:c r="AG779" s="120"/>
      <x:c r="AH779" s="121"/>
      <x:c r="AI779" s="122"/>
      <x:c r="AJ779" s="120"/>
      <x:c r="AK779" s="122"/>
      <x:c r="AL779" s="120"/>
      <x:c r="AM779" s="121"/>
      <x:c r="AN779" s="122"/>
      <x:c r="AO779" s="120"/>
      <x:c r="AP779" s="122"/>
    </x:row>
    <x:row r="780" ht="15.75" customHeight="1">
      <x:c r="K780" s="120"/>
      <x:c r="M780" s="120"/>
      <x:c r="N780" s="121"/>
      <x:c r="P780" s="120"/>
      <x:c r="R780" s="120"/>
      <x:c r="S780" s="121"/>
      <x:c r="T780" s="122"/>
      <x:c r="U780" s="120"/>
      <x:c r="V780" s="122"/>
      <x:c r="W780" s="120"/>
      <x:c r="X780" s="121"/>
      <x:c r="Y780" s="122"/>
      <x:c r="Z780" s="120"/>
      <x:c r="AA780" s="122"/>
      <x:c r="AB780" s="120"/>
      <x:c r="AC780" s="121"/>
      <x:c r="AD780" s="122"/>
      <x:c r="AE780" s="120"/>
      <x:c r="AF780" s="122"/>
      <x:c r="AG780" s="120"/>
      <x:c r="AH780" s="121"/>
      <x:c r="AI780" s="122"/>
      <x:c r="AJ780" s="120"/>
      <x:c r="AK780" s="122"/>
      <x:c r="AL780" s="120"/>
      <x:c r="AM780" s="121"/>
      <x:c r="AN780" s="122"/>
      <x:c r="AO780" s="120"/>
      <x:c r="AP780" s="122"/>
    </x:row>
    <x:row r="781" ht="15.75" customHeight="1">
      <x:c r="K781" s="120"/>
      <x:c r="M781" s="120"/>
      <x:c r="N781" s="121"/>
      <x:c r="P781" s="120"/>
      <x:c r="R781" s="120"/>
      <x:c r="S781" s="121"/>
      <x:c r="T781" s="122"/>
      <x:c r="U781" s="120"/>
      <x:c r="V781" s="122"/>
      <x:c r="W781" s="120"/>
      <x:c r="X781" s="121"/>
      <x:c r="Y781" s="122"/>
      <x:c r="Z781" s="120"/>
      <x:c r="AA781" s="122"/>
      <x:c r="AB781" s="120"/>
      <x:c r="AC781" s="121"/>
      <x:c r="AD781" s="122"/>
      <x:c r="AE781" s="120"/>
      <x:c r="AF781" s="122"/>
      <x:c r="AG781" s="120"/>
      <x:c r="AH781" s="121"/>
      <x:c r="AI781" s="122"/>
      <x:c r="AJ781" s="120"/>
      <x:c r="AK781" s="122"/>
      <x:c r="AL781" s="120"/>
      <x:c r="AM781" s="121"/>
      <x:c r="AN781" s="122"/>
      <x:c r="AO781" s="120"/>
      <x:c r="AP781" s="122"/>
    </x:row>
    <x:row r="782" ht="15.75" customHeight="1">
      <x:c r="K782" s="120"/>
      <x:c r="M782" s="120"/>
      <x:c r="N782" s="121"/>
      <x:c r="P782" s="120"/>
      <x:c r="R782" s="120"/>
      <x:c r="S782" s="121"/>
      <x:c r="T782" s="122"/>
      <x:c r="U782" s="120"/>
      <x:c r="V782" s="122"/>
      <x:c r="W782" s="120"/>
      <x:c r="X782" s="121"/>
      <x:c r="Y782" s="122"/>
      <x:c r="Z782" s="120"/>
      <x:c r="AA782" s="122"/>
      <x:c r="AB782" s="120"/>
      <x:c r="AC782" s="121"/>
      <x:c r="AD782" s="122"/>
      <x:c r="AE782" s="120"/>
      <x:c r="AF782" s="122"/>
      <x:c r="AG782" s="120"/>
      <x:c r="AH782" s="121"/>
      <x:c r="AI782" s="122"/>
      <x:c r="AJ782" s="120"/>
      <x:c r="AK782" s="122"/>
      <x:c r="AL782" s="120"/>
      <x:c r="AM782" s="121"/>
      <x:c r="AN782" s="122"/>
      <x:c r="AO782" s="120"/>
      <x:c r="AP782" s="122"/>
    </x:row>
    <x:row r="783" ht="15.75" customHeight="1">
      <x:c r="K783" s="120"/>
      <x:c r="M783" s="120"/>
      <x:c r="N783" s="121"/>
      <x:c r="P783" s="120"/>
      <x:c r="R783" s="120"/>
      <x:c r="S783" s="121"/>
      <x:c r="T783" s="122"/>
      <x:c r="U783" s="120"/>
      <x:c r="V783" s="122"/>
      <x:c r="W783" s="120"/>
      <x:c r="X783" s="121"/>
      <x:c r="Y783" s="122"/>
      <x:c r="Z783" s="120"/>
      <x:c r="AA783" s="122"/>
      <x:c r="AB783" s="120"/>
      <x:c r="AC783" s="121"/>
      <x:c r="AD783" s="122"/>
      <x:c r="AE783" s="120"/>
      <x:c r="AF783" s="122"/>
      <x:c r="AG783" s="120"/>
      <x:c r="AH783" s="121"/>
      <x:c r="AI783" s="122"/>
      <x:c r="AJ783" s="120"/>
      <x:c r="AK783" s="122"/>
      <x:c r="AL783" s="120"/>
      <x:c r="AM783" s="121"/>
      <x:c r="AN783" s="122"/>
      <x:c r="AO783" s="120"/>
      <x:c r="AP783" s="122"/>
    </x:row>
    <x:row r="784" ht="15.75" customHeight="1">
      <x:c r="K784" s="120"/>
      <x:c r="M784" s="120"/>
      <x:c r="N784" s="121"/>
      <x:c r="P784" s="120"/>
      <x:c r="R784" s="120"/>
      <x:c r="S784" s="121"/>
      <x:c r="T784" s="122"/>
      <x:c r="U784" s="120"/>
      <x:c r="V784" s="122"/>
      <x:c r="W784" s="120"/>
      <x:c r="X784" s="121"/>
      <x:c r="Y784" s="122"/>
      <x:c r="Z784" s="120"/>
      <x:c r="AA784" s="122"/>
      <x:c r="AB784" s="120"/>
      <x:c r="AC784" s="121"/>
      <x:c r="AD784" s="122"/>
      <x:c r="AE784" s="120"/>
      <x:c r="AF784" s="122"/>
      <x:c r="AG784" s="120"/>
      <x:c r="AH784" s="121"/>
      <x:c r="AI784" s="122"/>
      <x:c r="AJ784" s="120"/>
      <x:c r="AK784" s="122"/>
      <x:c r="AL784" s="120"/>
      <x:c r="AM784" s="121"/>
      <x:c r="AN784" s="122"/>
      <x:c r="AO784" s="120"/>
      <x:c r="AP784" s="122"/>
    </x:row>
    <x:row r="785" ht="15.75" customHeight="1">
      <x:c r="K785" s="120"/>
      <x:c r="M785" s="120"/>
      <x:c r="N785" s="121"/>
      <x:c r="P785" s="120"/>
      <x:c r="R785" s="120"/>
      <x:c r="S785" s="121"/>
      <x:c r="T785" s="122"/>
      <x:c r="U785" s="120"/>
      <x:c r="V785" s="122"/>
      <x:c r="W785" s="120"/>
      <x:c r="X785" s="121"/>
      <x:c r="Y785" s="122"/>
      <x:c r="Z785" s="120"/>
      <x:c r="AA785" s="122"/>
      <x:c r="AB785" s="120"/>
      <x:c r="AC785" s="121"/>
      <x:c r="AD785" s="122"/>
      <x:c r="AE785" s="120"/>
      <x:c r="AF785" s="122"/>
      <x:c r="AG785" s="120"/>
      <x:c r="AH785" s="121"/>
      <x:c r="AI785" s="122"/>
      <x:c r="AJ785" s="120"/>
      <x:c r="AK785" s="122"/>
      <x:c r="AL785" s="120"/>
      <x:c r="AM785" s="121"/>
      <x:c r="AN785" s="122"/>
      <x:c r="AO785" s="120"/>
      <x:c r="AP785" s="122"/>
    </x:row>
    <x:row r="786" ht="15.75" customHeight="1">
      <x:c r="K786" s="120"/>
      <x:c r="M786" s="120"/>
      <x:c r="N786" s="121"/>
      <x:c r="P786" s="120"/>
      <x:c r="R786" s="120"/>
      <x:c r="S786" s="121"/>
      <x:c r="T786" s="122"/>
      <x:c r="U786" s="120"/>
      <x:c r="V786" s="122"/>
      <x:c r="W786" s="120"/>
      <x:c r="X786" s="121"/>
      <x:c r="Y786" s="122"/>
      <x:c r="Z786" s="120"/>
      <x:c r="AA786" s="122"/>
      <x:c r="AB786" s="120"/>
      <x:c r="AC786" s="121"/>
      <x:c r="AD786" s="122"/>
      <x:c r="AE786" s="120"/>
      <x:c r="AF786" s="122"/>
      <x:c r="AG786" s="120"/>
      <x:c r="AH786" s="121"/>
      <x:c r="AI786" s="122"/>
      <x:c r="AJ786" s="120"/>
      <x:c r="AK786" s="122"/>
      <x:c r="AL786" s="120"/>
      <x:c r="AM786" s="121"/>
      <x:c r="AN786" s="122"/>
      <x:c r="AO786" s="120"/>
      <x:c r="AP786" s="122"/>
    </x:row>
    <x:row r="787" ht="15.75" customHeight="1">
      <x:c r="K787" s="120"/>
      <x:c r="M787" s="120"/>
      <x:c r="N787" s="121"/>
      <x:c r="P787" s="120"/>
      <x:c r="R787" s="120"/>
      <x:c r="S787" s="121"/>
      <x:c r="T787" s="122"/>
      <x:c r="U787" s="120"/>
      <x:c r="V787" s="122"/>
      <x:c r="W787" s="120"/>
      <x:c r="X787" s="121"/>
      <x:c r="Y787" s="122"/>
      <x:c r="Z787" s="120"/>
      <x:c r="AA787" s="122"/>
      <x:c r="AB787" s="120"/>
      <x:c r="AC787" s="121"/>
      <x:c r="AD787" s="122"/>
      <x:c r="AE787" s="120"/>
      <x:c r="AF787" s="122"/>
      <x:c r="AG787" s="120"/>
      <x:c r="AH787" s="121"/>
      <x:c r="AI787" s="122"/>
      <x:c r="AJ787" s="120"/>
      <x:c r="AK787" s="122"/>
      <x:c r="AL787" s="120"/>
      <x:c r="AM787" s="121"/>
      <x:c r="AN787" s="122"/>
      <x:c r="AO787" s="120"/>
      <x:c r="AP787" s="122"/>
    </x:row>
    <x:row r="788" ht="15.75" customHeight="1">
      <x:c r="K788" s="120"/>
      <x:c r="M788" s="120"/>
      <x:c r="N788" s="121"/>
      <x:c r="P788" s="120"/>
      <x:c r="R788" s="120"/>
      <x:c r="S788" s="121"/>
      <x:c r="T788" s="122"/>
      <x:c r="U788" s="120"/>
      <x:c r="V788" s="122"/>
      <x:c r="W788" s="120"/>
      <x:c r="X788" s="121"/>
      <x:c r="Y788" s="122"/>
      <x:c r="Z788" s="120"/>
      <x:c r="AA788" s="122"/>
      <x:c r="AB788" s="120"/>
      <x:c r="AC788" s="121"/>
      <x:c r="AD788" s="122"/>
      <x:c r="AE788" s="120"/>
      <x:c r="AF788" s="122"/>
      <x:c r="AG788" s="120"/>
      <x:c r="AH788" s="121"/>
      <x:c r="AI788" s="122"/>
      <x:c r="AJ788" s="120"/>
      <x:c r="AK788" s="122"/>
      <x:c r="AL788" s="120"/>
      <x:c r="AM788" s="121"/>
      <x:c r="AN788" s="122"/>
      <x:c r="AO788" s="120"/>
      <x:c r="AP788" s="122"/>
    </x:row>
    <x:row r="789" ht="15.75" customHeight="1">
      <x:c r="K789" s="120"/>
      <x:c r="M789" s="120"/>
      <x:c r="N789" s="121"/>
      <x:c r="P789" s="120"/>
      <x:c r="R789" s="120"/>
      <x:c r="S789" s="121"/>
      <x:c r="T789" s="122"/>
      <x:c r="U789" s="120"/>
      <x:c r="V789" s="122"/>
      <x:c r="W789" s="120"/>
      <x:c r="X789" s="121"/>
      <x:c r="Y789" s="122"/>
      <x:c r="Z789" s="120"/>
      <x:c r="AA789" s="122"/>
      <x:c r="AB789" s="120"/>
      <x:c r="AC789" s="121"/>
      <x:c r="AD789" s="122"/>
      <x:c r="AE789" s="120"/>
      <x:c r="AF789" s="122"/>
      <x:c r="AG789" s="120"/>
      <x:c r="AH789" s="121"/>
      <x:c r="AI789" s="122"/>
      <x:c r="AJ789" s="120"/>
      <x:c r="AK789" s="122"/>
      <x:c r="AL789" s="120"/>
      <x:c r="AM789" s="121"/>
      <x:c r="AN789" s="122"/>
      <x:c r="AO789" s="120"/>
      <x:c r="AP789" s="122"/>
    </x:row>
    <x:row r="790" ht="15.75" customHeight="1">
      <x:c r="K790" s="120"/>
      <x:c r="M790" s="120"/>
      <x:c r="N790" s="121"/>
      <x:c r="P790" s="120"/>
      <x:c r="R790" s="120"/>
      <x:c r="S790" s="121"/>
      <x:c r="T790" s="122"/>
      <x:c r="U790" s="120"/>
      <x:c r="V790" s="122"/>
      <x:c r="W790" s="120"/>
      <x:c r="X790" s="121"/>
      <x:c r="Y790" s="122"/>
      <x:c r="Z790" s="120"/>
      <x:c r="AA790" s="122"/>
      <x:c r="AB790" s="120"/>
      <x:c r="AC790" s="121"/>
      <x:c r="AD790" s="122"/>
      <x:c r="AE790" s="120"/>
      <x:c r="AF790" s="122"/>
      <x:c r="AG790" s="120"/>
      <x:c r="AH790" s="121"/>
      <x:c r="AI790" s="122"/>
      <x:c r="AJ790" s="120"/>
      <x:c r="AK790" s="122"/>
      <x:c r="AL790" s="120"/>
      <x:c r="AM790" s="121"/>
      <x:c r="AN790" s="122"/>
      <x:c r="AO790" s="120"/>
      <x:c r="AP790" s="122"/>
    </x:row>
    <x:row r="791" ht="15.75" customHeight="1">
      <x:c r="K791" s="120"/>
      <x:c r="M791" s="120"/>
      <x:c r="N791" s="121"/>
      <x:c r="P791" s="120"/>
      <x:c r="R791" s="120"/>
      <x:c r="S791" s="121"/>
      <x:c r="T791" s="122"/>
      <x:c r="U791" s="120"/>
      <x:c r="V791" s="122"/>
      <x:c r="W791" s="120"/>
      <x:c r="X791" s="121"/>
      <x:c r="Y791" s="122"/>
      <x:c r="Z791" s="120"/>
      <x:c r="AA791" s="122"/>
      <x:c r="AB791" s="120"/>
      <x:c r="AC791" s="121"/>
      <x:c r="AD791" s="122"/>
      <x:c r="AE791" s="120"/>
      <x:c r="AF791" s="122"/>
      <x:c r="AG791" s="120"/>
      <x:c r="AH791" s="121"/>
      <x:c r="AI791" s="122"/>
      <x:c r="AJ791" s="120"/>
      <x:c r="AK791" s="122"/>
      <x:c r="AL791" s="120"/>
      <x:c r="AM791" s="121"/>
      <x:c r="AN791" s="122"/>
      <x:c r="AO791" s="120"/>
      <x:c r="AP791" s="122"/>
    </x:row>
    <x:row r="792" ht="15.75" customHeight="1">
      <x:c r="K792" s="120"/>
      <x:c r="M792" s="120"/>
      <x:c r="N792" s="121"/>
      <x:c r="P792" s="120"/>
      <x:c r="R792" s="120"/>
      <x:c r="S792" s="121"/>
      <x:c r="T792" s="122"/>
      <x:c r="U792" s="120"/>
      <x:c r="V792" s="122"/>
      <x:c r="W792" s="120"/>
      <x:c r="X792" s="121"/>
      <x:c r="Y792" s="122"/>
      <x:c r="Z792" s="120"/>
      <x:c r="AA792" s="122"/>
      <x:c r="AB792" s="120"/>
      <x:c r="AC792" s="121"/>
      <x:c r="AD792" s="122"/>
      <x:c r="AE792" s="120"/>
      <x:c r="AF792" s="122"/>
      <x:c r="AG792" s="120"/>
      <x:c r="AH792" s="121"/>
      <x:c r="AI792" s="122"/>
      <x:c r="AJ792" s="120"/>
      <x:c r="AK792" s="122"/>
      <x:c r="AL792" s="120"/>
      <x:c r="AM792" s="121"/>
      <x:c r="AN792" s="122"/>
      <x:c r="AO792" s="120"/>
      <x:c r="AP792" s="122"/>
    </x:row>
    <x:row r="793" ht="15.75" customHeight="1">
      <x:c r="K793" s="120"/>
      <x:c r="M793" s="120"/>
      <x:c r="N793" s="121"/>
      <x:c r="P793" s="120"/>
      <x:c r="R793" s="120"/>
      <x:c r="S793" s="121"/>
      <x:c r="T793" s="122"/>
      <x:c r="U793" s="120"/>
      <x:c r="V793" s="122"/>
      <x:c r="W793" s="120"/>
      <x:c r="X793" s="121"/>
      <x:c r="Y793" s="122"/>
      <x:c r="Z793" s="120"/>
      <x:c r="AA793" s="122"/>
      <x:c r="AB793" s="120"/>
      <x:c r="AC793" s="121"/>
      <x:c r="AD793" s="122"/>
      <x:c r="AE793" s="120"/>
      <x:c r="AF793" s="122"/>
      <x:c r="AG793" s="120"/>
      <x:c r="AH793" s="121"/>
      <x:c r="AI793" s="122"/>
      <x:c r="AJ793" s="120"/>
      <x:c r="AK793" s="122"/>
      <x:c r="AL793" s="120"/>
      <x:c r="AM793" s="121"/>
      <x:c r="AN793" s="122"/>
      <x:c r="AO793" s="120"/>
      <x:c r="AP793" s="122"/>
    </x:row>
    <x:row r="794" ht="15.75" customHeight="1">
      <x:c r="K794" s="120"/>
      <x:c r="M794" s="120"/>
      <x:c r="N794" s="121"/>
      <x:c r="P794" s="120"/>
      <x:c r="R794" s="120"/>
      <x:c r="S794" s="121"/>
      <x:c r="T794" s="122"/>
      <x:c r="U794" s="120"/>
      <x:c r="V794" s="122"/>
      <x:c r="W794" s="120"/>
      <x:c r="X794" s="121"/>
      <x:c r="Y794" s="122"/>
      <x:c r="Z794" s="120"/>
      <x:c r="AA794" s="122"/>
      <x:c r="AB794" s="120"/>
      <x:c r="AC794" s="121"/>
      <x:c r="AD794" s="122"/>
      <x:c r="AE794" s="120"/>
      <x:c r="AF794" s="122"/>
      <x:c r="AG794" s="120"/>
      <x:c r="AH794" s="121"/>
      <x:c r="AI794" s="122"/>
      <x:c r="AJ794" s="120"/>
      <x:c r="AK794" s="122"/>
      <x:c r="AL794" s="120"/>
      <x:c r="AM794" s="121"/>
      <x:c r="AN794" s="122"/>
      <x:c r="AO794" s="120"/>
      <x:c r="AP794" s="122"/>
    </x:row>
    <x:row r="795" ht="15.75" customHeight="1">
      <x:c r="K795" s="120"/>
      <x:c r="M795" s="120"/>
      <x:c r="N795" s="121"/>
      <x:c r="P795" s="120"/>
      <x:c r="R795" s="120"/>
      <x:c r="S795" s="121"/>
      <x:c r="T795" s="122"/>
      <x:c r="U795" s="120"/>
      <x:c r="V795" s="122"/>
      <x:c r="W795" s="120"/>
      <x:c r="X795" s="121"/>
      <x:c r="Y795" s="122"/>
      <x:c r="Z795" s="120"/>
      <x:c r="AA795" s="122"/>
      <x:c r="AB795" s="120"/>
      <x:c r="AC795" s="121"/>
      <x:c r="AD795" s="122"/>
      <x:c r="AE795" s="120"/>
      <x:c r="AF795" s="122"/>
      <x:c r="AG795" s="120"/>
      <x:c r="AH795" s="121"/>
      <x:c r="AI795" s="122"/>
      <x:c r="AJ795" s="120"/>
      <x:c r="AK795" s="122"/>
      <x:c r="AL795" s="120"/>
      <x:c r="AM795" s="121"/>
      <x:c r="AN795" s="122"/>
      <x:c r="AO795" s="120"/>
      <x:c r="AP795" s="122"/>
    </x:row>
    <x:row r="796" ht="15.75" customHeight="1">
      <x:c r="K796" s="120"/>
      <x:c r="M796" s="120"/>
      <x:c r="N796" s="121"/>
      <x:c r="P796" s="120"/>
      <x:c r="R796" s="120"/>
      <x:c r="S796" s="121"/>
      <x:c r="T796" s="122"/>
      <x:c r="U796" s="120"/>
      <x:c r="V796" s="122"/>
      <x:c r="W796" s="120"/>
      <x:c r="X796" s="121"/>
      <x:c r="Y796" s="122"/>
      <x:c r="Z796" s="120"/>
      <x:c r="AA796" s="122"/>
      <x:c r="AB796" s="120"/>
      <x:c r="AC796" s="121"/>
      <x:c r="AD796" s="122"/>
      <x:c r="AE796" s="120"/>
      <x:c r="AF796" s="122"/>
      <x:c r="AG796" s="120"/>
      <x:c r="AH796" s="121"/>
      <x:c r="AI796" s="122"/>
      <x:c r="AJ796" s="120"/>
      <x:c r="AK796" s="122"/>
      <x:c r="AL796" s="120"/>
      <x:c r="AM796" s="121"/>
      <x:c r="AN796" s="122"/>
      <x:c r="AO796" s="120"/>
      <x:c r="AP796" s="122"/>
    </x:row>
    <x:row r="797" ht="15.75" customHeight="1">
      <x:c r="K797" s="120"/>
      <x:c r="M797" s="120"/>
      <x:c r="N797" s="121"/>
      <x:c r="P797" s="120"/>
      <x:c r="R797" s="120"/>
      <x:c r="S797" s="121"/>
      <x:c r="T797" s="122"/>
      <x:c r="U797" s="120"/>
      <x:c r="V797" s="122"/>
      <x:c r="W797" s="120"/>
      <x:c r="X797" s="121"/>
      <x:c r="Y797" s="122"/>
      <x:c r="Z797" s="120"/>
      <x:c r="AA797" s="122"/>
      <x:c r="AB797" s="120"/>
      <x:c r="AC797" s="121"/>
      <x:c r="AD797" s="122"/>
      <x:c r="AE797" s="120"/>
      <x:c r="AF797" s="122"/>
      <x:c r="AG797" s="120"/>
      <x:c r="AH797" s="121"/>
      <x:c r="AI797" s="122"/>
      <x:c r="AJ797" s="120"/>
      <x:c r="AK797" s="122"/>
      <x:c r="AL797" s="120"/>
      <x:c r="AM797" s="121"/>
      <x:c r="AN797" s="122"/>
      <x:c r="AO797" s="120"/>
      <x:c r="AP797" s="122"/>
    </x:row>
    <x:row r="798" ht="15.75" customHeight="1">
      <x:c r="K798" s="120"/>
      <x:c r="M798" s="120"/>
      <x:c r="N798" s="121"/>
      <x:c r="P798" s="120"/>
      <x:c r="R798" s="120"/>
      <x:c r="S798" s="121"/>
      <x:c r="T798" s="122"/>
      <x:c r="U798" s="120"/>
      <x:c r="V798" s="122"/>
      <x:c r="W798" s="120"/>
      <x:c r="X798" s="121"/>
      <x:c r="Y798" s="122"/>
      <x:c r="Z798" s="120"/>
      <x:c r="AA798" s="122"/>
      <x:c r="AB798" s="120"/>
      <x:c r="AC798" s="121"/>
      <x:c r="AD798" s="122"/>
      <x:c r="AE798" s="120"/>
      <x:c r="AF798" s="122"/>
      <x:c r="AG798" s="120"/>
      <x:c r="AH798" s="121"/>
      <x:c r="AI798" s="122"/>
      <x:c r="AJ798" s="120"/>
      <x:c r="AK798" s="122"/>
      <x:c r="AL798" s="120"/>
      <x:c r="AM798" s="121"/>
      <x:c r="AN798" s="122"/>
      <x:c r="AO798" s="120"/>
      <x:c r="AP798" s="122"/>
    </x:row>
    <x:row r="799" ht="15.75" customHeight="1">
      <x:c r="K799" s="120"/>
      <x:c r="M799" s="120"/>
      <x:c r="N799" s="121"/>
      <x:c r="P799" s="120"/>
      <x:c r="R799" s="120"/>
      <x:c r="S799" s="121"/>
      <x:c r="T799" s="122"/>
      <x:c r="U799" s="120"/>
      <x:c r="V799" s="122"/>
      <x:c r="W799" s="120"/>
      <x:c r="X799" s="121"/>
      <x:c r="Y799" s="122"/>
      <x:c r="Z799" s="120"/>
      <x:c r="AA799" s="122"/>
      <x:c r="AB799" s="120"/>
      <x:c r="AC799" s="121"/>
      <x:c r="AD799" s="122"/>
      <x:c r="AE799" s="120"/>
      <x:c r="AF799" s="122"/>
      <x:c r="AG799" s="120"/>
      <x:c r="AH799" s="121"/>
      <x:c r="AI799" s="122"/>
      <x:c r="AJ799" s="120"/>
      <x:c r="AK799" s="122"/>
      <x:c r="AL799" s="120"/>
      <x:c r="AM799" s="121"/>
      <x:c r="AN799" s="122"/>
      <x:c r="AO799" s="120"/>
      <x:c r="AP799" s="122"/>
    </x:row>
    <x:row r="800" ht="15.75" customHeight="1">
      <x:c r="K800" s="120"/>
      <x:c r="M800" s="120"/>
      <x:c r="N800" s="121"/>
      <x:c r="P800" s="120"/>
      <x:c r="R800" s="120"/>
      <x:c r="S800" s="121"/>
      <x:c r="T800" s="122"/>
      <x:c r="U800" s="120"/>
      <x:c r="V800" s="122"/>
      <x:c r="W800" s="120"/>
      <x:c r="X800" s="121"/>
      <x:c r="Y800" s="122"/>
      <x:c r="Z800" s="120"/>
      <x:c r="AA800" s="122"/>
      <x:c r="AB800" s="120"/>
      <x:c r="AC800" s="121"/>
      <x:c r="AD800" s="122"/>
      <x:c r="AE800" s="120"/>
      <x:c r="AF800" s="122"/>
      <x:c r="AG800" s="120"/>
      <x:c r="AH800" s="121"/>
      <x:c r="AI800" s="122"/>
      <x:c r="AJ800" s="120"/>
      <x:c r="AK800" s="122"/>
      <x:c r="AL800" s="120"/>
      <x:c r="AM800" s="121"/>
      <x:c r="AN800" s="122"/>
      <x:c r="AO800" s="120"/>
      <x:c r="AP800" s="122"/>
    </x:row>
    <x:row r="801" ht="15.75" customHeight="1">
      <x:c r="K801" s="120"/>
      <x:c r="M801" s="120"/>
      <x:c r="N801" s="121"/>
      <x:c r="P801" s="120"/>
      <x:c r="R801" s="120"/>
      <x:c r="S801" s="121"/>
      <x:c r="T801" s="122"/>
      <x:c r="U801" s="120"/>
      <x:c r="V801" s="122"/>
      <x:c r="W801" s="120"/>
      <x:c r="X801" s="121"/>
      <x:c r="Y801" s="122"/>
      <x:c r="Z801" s="120"/>
      <x:c r="AA801" s="122"/>
      <x:c r="AB801" s="120"/>
      <x:c r="AC801" s="121"/>
      <x:c r="AD801" s="122"/>
      <x:c r="AE801" s="120"/>
      <x:c r="AF801" s="122"/>
      <x:c r="AG801" s="120"/>
      <x:c r="AH801" s="121"/>
      <x:c r="AI801" s="122"/>
      <x:c r="AJ801" s="120"/>
      <x:c r="AK801" s="122"/>
      <x:c r="AL801" s="120"/>
      <x:c r="AM801" s="121"/>
      <x:c r="AN801" s="122"/>
      <x:c r="AO801" s="120"/>
      <x:c r="AP801" s="122"/>
    </x:row>
    <x:row r="802" ht="15.75" customHeight="1">
      <x:c r="K802" s="120"/>
      <x:c r="M802" s="120"/>
      <x:c r="N802" s="121"/>
      <x:c r="P802" s="120"/>
      <x:c r="R802" s="120"/>
      <x:c r="S802" s="121"/>
      <x:c r="T802" s="122"/>
      <x:c r="U802" s="120"/>
      <x:c r="V802" s="122"/>
      <x:c r="W802" s="120"/>
      <x:c r="X802" s="121"/>
      <x:c r="Y802" s="122"/>
      <x:c r="Z802" s="120"/>
      <x:c r="AA802" s="122"/>
      <x:c r="AB802" s="120"/>
      <x:c r="AC802" s="121"/>
      <x:c r="AD802" s="122"/>
      <x:c r="AE802" s="120"/>
      <x:c r="AF802" s="122"/>
      <x:c r="AG802" s="120"/>
      <x:c r="AH802" s="121"/>
      <x:c r="AI802" s="122"/>
      <x:c r="AJ802" s="120"/>
      <x:c r="AK802" s="122"/>
      <x:c r="AL802" s="120"/>
      <x:c r="AM802" s="121"/>
      <x:c r="AN802" s="122"/>
      <x:c r="AO802" s="120"/>
      <x:c r="AP802" s="122"/>
    </x:row>
    <x:row r="803" ht="15.75" customHeight="1">
      <x:c r="K803" s="120"/>
      <x:c r="M803" s="120"/>
      <x:c r="N803" s="121"/>
      <x:c r="P803" s="120"/>
      <x:c r="R803" s="120"/>
      <x:c r="S803" s="121"/>
      <x:c r="T803" s="122"/>
      <x:c r="U803" s="120"/>
      <x:c r="V803" s="122"/>
      <x:c r="W803" s="120"/>
      <x:c r="X803" s="121"/>
      <x:c r="Y803" s="122"/>
      <x:c r="Z803" s="120"/>
      <x:c r="AA803" s="122"/>
      <x:c r="AB803" s="120"/>
      <x:c r="AC803" s="121"/>
      <x:c r="AD803" s="122"/>
      <x:c r="AE803" s="120"/>
      <x:c r="AF803" s="122"/>
      <x:c r="AG803" s="120"/>
      <x:c r="AH803" s="121"/>
      <x:c r="AI803" s="122"/>
      <x:c r="AJ803" s="120"/>
      <x:c r="AK803" s="122"/>
      <x:c r="AL803" s="120"/>
      <x:c r="AM803" s="121"/>
      <x:c r="AN803" s="122"/>
      <x:c r="AO803" s="120"/>
      <x:c r="AP803" s="122"/>
    </x:row>
    <x:row r="804" ht="15.75" customHeight="1">
      <x:c r="K804" s="120"/>
      <x:c r="M804" s="120"/>
      <x:c r="N804" s="121"/>
      <x:c r="P804" s="120"/>
      <x:c r="R804" s="120"/>
      <x:c r="S804" s="121"/>
      <x:c r="T804" s="122"/>
      <x:c r="U804" s="120"/>
      <x:c r="V804" s="122"/>
      <x:c r="W804" s="120"/>
      <x:c r="X804" s="121"/>
      <x:c r="Y804" s="122"/>
      <x:c r="Z804" s="120"/>
      <x:c r="AA804" s="122"/>
      <x:c r="AB804" s="120"/>
      <x:c r="AC804" s="121"/>
      <x:c r="AD804" s="122"/>
      <x:c r="AE804" s="120"/>
      <x:c r="AF804" s="122"/>
      <x:c r="AG804" s="120"/>
      <x:c r="AH804" s="121"/>
      <x:c r="AI804" s="122"/>
      <x:c r="AJ804" s="120"/>
      <x:c r="AK804" s="122"/>
      <x:c r="AL804" s="120"/>
      <x:c r="AM804" s="121"/>
      <x:c r="AN804" s="122"/>
      <x:c r="AO804" s="120"/>
      <x:c r="AP804" s="122"/>
    </x:row>
    <x:row r="805" ht="15.75" customHeight="1">
      <x:c r="K805" s="120"/>
      <x:c r="M805" s="120"/>
      <x:c r="N805" s="121"/>
      <x:c r="P805" s="120"/>
      <x:c r="R805" s="120"/>
      <x:c r="S805" s="121"/>
      <x:c r="T805" s="122"/>
      <x:c r="U805" s="120"/>
      <x:c r="V805" s="122"/>
      <x:c r="W805" s="120"/>
      <x:c r="X805" s="121"/>
      <x:c r="Y805" s="122"/>
      <x:c r="Z805" s="120"/>
      <x:c r="AA805" s="122"/>
      <x:c r="AB805" s="120"/>
      <x:c r="AC805" s="121"/>
      <x:c r="AD805" s="122"/>
      <x:c r="AE805" s="120"/>
      <x:c r="AF805" s="122"/>
      <x:c r="AG805" s="120"/>
      <x:c r="AH805" s="121"/>
      <x:c r="AI805" s="122"/>
      <x:c r="AJ805" s="120"/>
      <x:c r="AK805" s="122"/>
      <x:c r="AL805" s="120"/>
      <x:c r="AM805" s="121"/>
      <x:c r="AN805" s="122"/>
      <x:c r="AO805" s="120"/>
      <x:c r="AP805" s="122"/>
    </x:row>
    <x:row r="806" ht="15.75" customHeight="1">
      <x:c r="K806" s="120"/>
      <x:c r="M806" s="120"/>
      <x:c r="N806" s="121"/>
      <x:c r="P806" s="120"/>
      <x:c r="R806" s="120"/>
      <x:c r="S806" s="121"/>
      <x:c r="T806" s="122"/>
      <x:c r="U806" s="120"/>
      <x:c r="V806" s="122"/>
      <x:c r="W806" s="120"/>
      <x:c r="X806" s="121"/>
      <x:c r="Y806" s="122"/>
      <x:c r="Z806" s="120"/>
      <x:c r="AA806" s="122"/>
      <x:c r="AB806" s="120"/>
      <x:c r="AC806" s="121"/>
      <x:c r="AD806" s="122"/>
      <x:c r="AE806" s="120"/>
      <x:c r="AF806" s="122"/>
      <x:c r="AG806" s="120"/>
      <x:c r="AH806" s="121"/>
      <x:c r="AI806" s="122"/>
      <x:c r="AJ806" s="120"/>
      <x:c r="AK806" s="122"/>
      <x:c r="AL806" s="120"/>
      <x:c r="AM806" s="121"/>
      <x:c r="AN806" s="122"/>
      <x:c r="AO806" s="120"/>
      <x:c r="AP806" s="122"/>
    </x:row>
    <x:row r="807" ht="15.75" customHeight="1">
      <x:c r="K807" s="120"/>
      <x:c r="M807" s="120"/>
      <x:c r="N807" s="121"/>
      <x:c r="P807" s="120"/>
      <x:c r="R807" s="120"/>
      <x:c r="S807" s="121"/>
      <x:c r="T807" s="122"/>
      <x:c r="U807" s="120"/>
      <x:c r="V807" s="122"/>
      <x:c r="W807" s="120"/>
      <x:c r="X807" s="121"/>
      <x:c r="Y807" s="122"/>
      <x:c r="Z807" s="120"/>
      <x:c r="AA807" s="122"/>
      <x:c r="AB807" s="120"/>
      <x:c r="AC807" s="121"/>
      <x:c r="AD807" s="122"/>
      <x:c r="AE807" s="120"/>
      <x:c r="AF807" s="122"/>
      <x:c r="AG807" s="120"/>
      <x:c r="AH807" s="121"/>
      <x:c r="AI807" s="122"/>
      <x:c r="AJ807" s="120"/>
      <x:c r="AK807" s="122"/>
      <x:c r="AL807" s="120"/>
      <x:c r="AM807" s="121"/>
      <x:c r="AN807" s="122"/>
      <x:c r="AO807" s="120"/>
      <x:c r="AP807" s="122"/>
    </x:row>
    <x:row r="808" ht="15.75" customHeight="1">
      <x:c r="K808" s="120"/>
      <x:c r="M808" s="120"/>
      <x:c r="N808" s="121"/>
      <x:c r="P808" s="120"/>
      <x:c r="R808" s="120"/>
      <x:c r="S808" s="121"/>
      <x:c r="T808" s="122"/>
      <x:c r="U808" s="120"/>
      <x:c r="V808" s="122"/>
      <x:c r="W808" s="120"/>
      <x:c r="X808" s="121"/>
      <x:c r="Y808" s="122"/>
      <x:c r="Z808" s="120"/>
      <x:c r="AA808" s="122"/>
      <x:c r="AB808" s="120"/>
      <x:c r="AC808" s="121"/>
      <x:c r="AD808" s="122"/>
      <x:c r="AE808" s="120"/>
      <x:c r="AF808" s="122"/>
      <x:c r="AG808" s="120"/>
      <x:c r="AH808" s="121"/>
      <x:c r="AI808" s="122"/>
      <x:c r="AJ808" s="120"/>
      <x:c r="AK808" s="122"/>
      <x:c r="AL808" s="120"/>
      <x:c r="AM808" s="121"/>
      <x:c r="AN808" s="122"/>
      <x:c r="AO808" s="120"/>
      <x:c r="AP808" s="122"/>
    </x:row>
    <x:row r="809" ht="15.75" customHeight="1">
      <x:c r="K809" s="120"/>
      <x:c r="M809" s="120"/>
      <x:c r="N809" s="121"/>
      <x:c r="P809" s="120"/>
      <x:c r="R809" s="120"/>
      <x:c r="S809" s="121"/>
      <x:c r="T809" s="122"/>
      <x:c r="U809" s="120"/>
      <x:c r="V809" s="122"/>
      <x:c r="W809" s="120"/>
      <x:c r="X809" s="121"/>
      <x:c r="Y809" s="122"/>
      <x:c r="Z809" s="120"/>
      <x:c r="AA809" s="122"/>
      <x:c r="AB809" s="120"/>
      <x:c r="AC809" s="121"/>
      <x:c r="AD809" s="122"/>
      <x:c r="AE809" s="120"/>
      <x:c r="AF809" s="122"/>
      <x:c r="AG809" s="120"/>
      <x:c r="AH809" s="121"/>
      <x:c r="AI809" s="122"/>
      <x:c r="AJ809" s="120"/>
      <x:c r="AK809" s="122"/>
      <x:c r="AL809" s="120"/>
      <x:c r="AM809" s="121"/>
      <x:c r="AN809" s="122"/>
      <x:c r="AO809" s="120"/>
      <x:c r="AP809" s="122"/>
    </x:row>
    <x:row r="810" ht="15.75" customHeight="1">
      <x:c r="K810" s="120"/>
      <x:c r="M810" s="120"/>
      <x:c r="N810" s="121"/>
      <x:c r="P810" s="120"/>
      <x:c r="R810" s="120"/>
      <x:c r="S810" s="121"/>
      <x:c r="T810" s="122"/>
      <x:c r="U810" s="120"/>
      <x:c r="V810" s="122"/>
      <x:c r="W810" s="120"/>
      <x:c r="X810" s="121"/>
      <x:c r="Y810" s="122"/>
      <x:c r="Z810" s="120"/>
      <x:c r="AA810" s="122"/>
      <x:c r="AB810" s="120"/>
      <x:c r="AC810" s="121"/>
      <x:c r="AD810" s="122"/>
      <x:c r="AE810" s="120"/>
      <x:c r="AF810" s="122"/>
      <x:c r="AG810" s="120"/>
      <x:c r="AH810" s="121"/>
      <x:c r="AI810" s="122"/>
      <x:c r="AJ810" s="120"/>
      <x:c r="AK810" s="122"/>
      <x:c r="AL810" s="120"/>
      <x:c r="AM810" s="121"/>
      <x:c r="AN810" s="122"/>
      <x:c r="AO810" s="120"/>
      <x:c r="AP810" s="122"/>
    </x:row>
    <x:row r="811" ht="15.75" customHeight="1">
      <x:c r="K811" s="120"/>
      <x:c r="M811" s="120"/>
      <x:c r="N811" s="121"/>
      <x:c r="P811" s="120"/>
      <x:c r="R811" s="120"/>
      <x:c r="S811" s="121"/>
      <x:c r="T811" s="122"/>
      <x:c r="U811" s="120"/>
      <x:c r="V811" s="122"/>
      <x:c r="W811" s="120"/>
      <x:c r="X811" s="121"/>
      <x:c r="Y811" s="122"/>
      <x:c r="Z811" s="120"/>
      <x:c r="AA811" s="122"/>
      <x:c r="AB811" s="120"/>
      <x:c r="AC811" s="121"/>
      <x:c r="AD811" s="122"/>
      <x:c r="AE811" s="120"/>
      <x:c r="AF811" s="122"/>
      <x:c r="AG811" s="120"/>
      <x:c r="AH811" s="121"/>
      <x:c r="AI811" s="122"/>
      <x:c r="AJ811" s="120"/>
      <x:c r="AK811" s="122"/>
      <x:c r="AL811" s="120"/>
      <x:c r="AM811" s="121"/>
      <x:c r="AN811" s="122"/>
      <x:c r="AO811" s="120"/>
      <x:c r="AP811" s="122"/>
    </x:row>
    <x:row r="812" ht="15.75" customHeight="1">
      <x:c r="K812" s="120"/>
      <x:c r="M812" s="120"/>
      <x:c r="N812" s="121"/>
      <x:c r="P812" s="120"/>
      <x:c r="R812" s="120"/>
      <x:c r="S812" s="121"/>
      <x:c r="T812" s="122"/>
      <x:c r="U812" s="120"/>
      <x:c r="V812" s="122"/>
      <x:c r="W812" s="120"/>
      <x:c r="X812" s="121"/>
      <x:c r="Y812" s="122"/>
      <x:c r="Z812" s="120"/>
      <x:c r="AA812" s="122"/>
      <x:c r="AB812" s="120"/>
      <x:c r="AC812" s="121"/>
      <x:c r="AD812" s="122"/>
      <x:c r="AE812" s="120"/>
      <x:c r="AF812" s="122"/>
      <x:c r="AG812" s="120"/>
      <x:c r="AH812" s="121"/>
      <x:c r="AI812" s="122"/>
      <x:c r="AJ812" s="120"/>
      <x:c r="AK812" s="122"/>
      <x:c r="AL812" s="120"/>
      <x:c r="AM812" s="121"/>
      <x:c r="AN812" s="122"/>
      <x:c r="AO812" s="120"/>
      <x:c r="AP812" s="122"/>
    </x:row>
    <x:row r="813" ht="15.75" customHeight="1">
      <x:c r="K813" s="120"/>
      <x:c r="M813" s="120"/>
      <x:c r="N813" s="121"/>
      <x:c r="P813" s="120"/>
      <x:c r="R813" s="120"/>
      <x:c r="S813" s="121"/>
      <x:c r="T813" s="122"/>
      <x:c r="U813" s="120"/>
      <x:c r="V813" s="122"/>
      <x:c r="W813" s="120"/>
      <x:c r="X813" s="121"/>
      <x:c r="Y813" s="122"/>
      <x:c r="Z813" s="120"/>
      <x:c r="AA813" s="122"/>
      <x:c r="AB813" s="120"/>
      <x:c r="AC813" s="121"/>
      <x:c r="AD813" s="122"/>
      <x:c r="AE813" s="120"/>
      <x:c r="AF813" s="122"/>
      <x:c r="AG813" s="120"/>
      <x:c r="AH813" s="121"/>
      <x:c r="AI813" s="122"/>
      <x:c r="AJ813" s="120"/>
      <x:c r="AK813" s="122"/>
      <x:c r="AL813" s="120"/>
      <x:c r="AM813" s="121"/>
      <x:c r="AN813" s="122"/>
      <x:c r="AO813" s="120"/>
      <x:c r="AP813" s="122"/>
    </x:row>
    <x:row r="814" ht="15.75" customHeight="1">
      <x:c r="K814" s="120"/>
      <x:c r="M814" s="120"/>
      <x:c r="N814" s="121"/>
      <x:c r="P814" s="120"/>
      <x:c r="R814" s="120"/>
      <x:c r="S814" s="121"/>
      <x:c r="T814" s="122"/>
      <x:c r="U814" s="120"/>
      <x:c r="V814" s="122"/>
      <x:c r="W814" s="120"/>
      <x:c r="X814" s="121"/>
      <x:c r="Y814" s="122"/>
      <x:c r="Z814" s="120"/>
      <x:c r="AA814" s="122"/>
      <x:c r="AB814" s="120"/>
      <x:c r="AC814" s="121"/>
      <x:c r="AD814" s="122"/>
      <x:c r="AE814" s="120"/>
      <x:c r="AF814" s="122"/>
      <x:c r="AG814" s="120"/>
      <x:c r="AH814" s="121"/>
      <x:c r="AI814" s="122"/>
      <x:c r="AJ814" s="120"/>
      <x:c r="AK814" s="122"/>
      <x:c r="AL814" s="120"/>
      <x:c r="AM814" s="121"/>
      <x:c r="AN814" s="122"/>
      <x:c r="AO814" s="120"/>
      <x:c r="AP814" s="122"/>
    </x:row>
    <x:row r="815" ht="15.75" customHeight="1">
      <x:c r="K815" s="120"/>
      <x:c r="M815" s="120"/>
      <x:c r="N815" s="121"/>
      <x:c r="P815" s="120"/>
      <x:c r="R815" s="120"/>
      <x:c r="S815" s="121"/>
      <x:c r="T815" s="122"/>
      <x:c r="U815" s="120"/>
      <x:c r="V815" s="122"/>
      <x:c r="W815" s="120"/>
      <x:c r="X815" s="121"/>
      <x:c r="Y815" s="122"/>
      <x:c r="Z815" s="120"/>
      <x:c r="AA815" s="122"/>
      <x:c r="AB815" s="120"/>
      <x:c r="AC815" s="121"/>
      <x:c r="AD815" s="122"/>
      <x:c r="AE815" s="120"/>
      <x:c r="AF815" s="122"/>
      <x:c r="AG815" s="120"/>
      <x:c r="AH815" s="121"/>
      <x:c r="AI815" s="122"/>
      <x:c r="AJ815" s="120"/>
      <x:c r="AK815" s="122"/>
      <x:c r="AL815" s="120"/>
      <x:c r="AM815" s="121"/>
      <x:c r="AN815" s="122"/>
      <x:c r="AO815" s="120"/>
      <x:c r="AP815" s="122"/>
    </x:row>
    <x:row r="816" ht="15.75" customHeight="1">
      <x:c r="K816" s="120"/>
      <x:c r="M816" s="120"/>
      <x:c r="N816" s="121"/>
      <x:c r="P816" s="120"/>
      <x:c r="R816" s="120"/>
      <x:c r="S816" s="121"/>
      <x:c r="T816" s="122"/>
      <x:c r="U816" s="120"/>
      <x:c r="V816" s="122"/>
      <x:c r="W816" s="120"/>
      <x:c r="X816" s="121"/>
      <x:c r="Y816" s="122"/>
      <x:c r="Z816" s="120"/>
      <x:c r="AA816" s="122"/>
      <x:c r="AB816" s="120"/>
      <x:c r="AC816" s="121"/>
      <x:c r="AD816" s="122"/>
      <x:c r="AE816" s="120"/>
      <x:c r="AF816" s="122"/>
      <x:c r="AG816" s="120"/>
      <x:c r="AH816" s="121"/>
      <x:c r="AI816" s="122"/>
      <x:c r="AJ816" s="120"/>
      <x:c r="AK816" s="122"/>
      <x:c r="AL816" s="120"/>
      <x:c r="AM816" s="121"/>
      <x:c r="AN816" s="122"/>
      <x:c r="AO816" s="120"/>
      <x:c r="AP816" s="122"/>
    </x:row>
    <x:row r="817" ht="15.75" customHeight="1">
      <x:c r="K817" s="120"/>
      <x:c r="M817" s="120"/>
      <x:c r="N817" s="121"/>
      <x:c r="P817" s="120"/>
      <x:c r="R817" s="120"/>
      <x:c r="S817" s="121"/>
      <x:c r="T817" s="122"/>
      <x:c r="U817" s="120"/>
      <x:c r="V817" s="122"/>
      <x:c r="W817" s="120"/>
      <x:c r="X817" s="121"/>
      <x:c r="Y817" s="122"/>
      <x:c r="Z817" s="120"/>
      <x:c r="AA817" s="122"/>
      <x:c r="AB817" s="120"/>
      <x:c r="AC817" s="121"/>
      <x:c r="AD817" s="122"/>
      <x:c r="AE817" s="120"/>
      <x:c r="AF817" s="122"/>
      <x:c r="AG817" s="120"/>
      <x:c r="AH817" s="121"/>
      <x:c r="AI817" s="122"/>
      <x:c r="AJ817" s="120"/>
      <x:c r="AK817" s="122"/>
      <x:c r="AL817" s="120"/>
      <x:c r="AM817" s="121"/>
      <x:c r="AN817" s="122"/>
      <x:c r="AO817" s="120"/>
      <x:c r="AP817" s="122"/>
    </x:row>
    <x:row r="818" ht="15.75" customHeight="1">
      <x:c r="K818" s="120"/>
      <x:c r="M818" s="120"/>
      <x:c r="N818" s="121"/>
      <x:c r="P818" s="120"/>
      <x:c r="R818" s="120"/>
      <x:c r="S818" s="121"/>
      <x:c r="T818" s="122"/>
      <x:c r="U818" s="120"/>
      <x:c r="V818" s="122"/>
      <x:c r="W818" s="120"/>
      <x:c r="X818" s="121"/>
      <x:c r="Y818" s="122"/>
      <x:c r="Z818" s="120"/>
      <x:c r="AA818" s="122"/>
      <x:c r="AB818" s="120"/>
      <x:c r="AC818" s="121"/>
      <x:c r="AD818" s="122"/>
      <x:c r="AE818" s="120"/>
      <x:c r="AF818" s="122"/>
      <x:c r="AG818" s="120"/>
      <x:c r="AH818" s="121"/>
      <x:c r="AI818" s="122"/>
      <x:c r="AJ818" s="120"/>
      <x:c r="AK818" s="122"/>
      <x:c r="AL818" s="120"/>
      <x:c r="AM818" s="121"/>
      <x:c r="AN818" s="122"/>
      <x:c r="AO818" s="120"/>
      <x:c r="AP818" s="122"/>
    </x:row>
    <x:row r="819" ht="15.75" customHeight="1">
      <x:c r="K819" s="120"/>
      <x:c r="M819" s="120"/>
      <x:c r="N819" s="121"/>
      <x:c r="P819" s="120"/>
      <x:c r="R819" s="120"/>
      <x:c r="S819" s="121"/>
      <x:c r="T819" s="122"/>
      <x:c r="U819" s="120"/>
      <x:c r="V819" s="122"/>
      <x:c r="W819" s="120"/>
      <x:c r="X819" s="121"/>
      <x:c r="Y819" s="122"/>
      <x:c r="Z819" s="120"/>
      <x:c r="AA819" s="122"/>
      <x:c r="AB819" s="120"/>
      <x:c r="AC819" s="121"/>
      <x:c r="AD819" s="122"/>
      <x:c r="AE819" s="120"/>
      <x:c r="AF819" s="122"/>
      <x:c r="AG819" s="120"/>
      <x:c r="AH819" s="121"/>
      <x:c r="AI819" s="122"/>
      <x:c r="AJ819" s="120"/>
      <x:c r="AK819" s="122"/>
      <x:c r="AL819" s="120"/>
      <x:c r="AM819" s="121"/>
      <x:c r="AN819" s="122"/>
      <x:c r="AO819" s="120"/>
      <x:c r="AP819" s="122"/>
    </x:row>
    <x:row r="820" ht="15.75" customHeight="1">
      <x:c r="K820" s="120"/>
      <x:c r="M820" s="120"/>
      <x:c r="N820" s="121"/>
      <x:c r="P820" s="120"/>
      <x:c r="R820" s="120"/>
      <x:c r="S820" s="121"/>
      <x:c r="T820" s="122"/>
      <x:c r="U820" s="120"/>
      <x:c r="V820" s="122"/>
      <x:c r="W820" s="120"/>
      <x:c r="X820" s="121"/>
      <x:c r="Y820" s="122"/>
      <x:c r="Z820" s="120"/>
      <x:c r="AA820" s="122"/>
      <x:c r="AB820" s="120"/>
      <x:c r="AC820" s="121"/>
      <x:c r="AD820" s="122"/>
      <x:c r="AE820" s="120"/>
      <x:c r="AF820" s="122"/>
      <x:c r="AG820" s="120"/>
      <x:c r="AH820" s="121"/>
      <x:c r="AI820" s="122"/>
      <x:c r="AJ820" s="120"/>
      <x:c r="AK820" s="122"/>
      <x:c r="AL820" s="120"/>
      <x:c r="AM820" s="121"/>
      <x:c r="AN820" s="122"/>
      <x:c r="AO820" s="120"/>
      <x:c r="AP820" s="122"/>
    </x:row>
    <x:row r="821" ht="15.75" customHeight="1">
      <x:c r="K821" s="120"/>
      <x:c r="M821" s="120"/>
      <x:c r="N821" s="121"/>
      <x:c r="P821" s="120"/>
      <x:c r="R821" s="120"/>
      <x:c r="S821" s="121"/>
      <x:c r="T821" s="122"/>
      <x:c r="U821" s="120"/>
      <x:c r="V821" s="122"/>
      <x:c r="W821" s="120"/>
      <x:c r="X821" s="121"/>
      <x:c r="Y821" s="122"/>
      <x:c r="Z821" s="120"/>
      <x:c r="AA821" s="122"/>
      <x:c r="AB821" s="120"/>
      <x:c r="AC821" s="121"/>
      <x:c r="AD821" s="122"/>
      <x:c r="AE821" s="120"/>
      <x:c r="AF821" s="122"/>
      <x:c r="AG821" s="120"/>
      <x:c r="AH821" s="121"/>
      <x:c r="AI821" s="122"/>
      <x:c r="AJ821" s="120"/>
      <x:c r="AK821" s="122"/>
      <x:c r="AL821" s="120"/>
      <x:c r="AM821" s="121"/>
      <x:c r="AN821" s="122"/>
      <x:c r="AO821" s="120"/>
      <x:c r="AP821" s="122"/>
    </x:row>
    <x:row r="822" ht="15.75" customHeight="1">
      <x:c r="K822" s="120"/>
      <x:c r="M822" s="120"/>
      <x:c r="N822" s="121"/>
      <x:c r="P822" s="120"/>
      <x:c r="R822" s="120"/>
      <x:c r="S822" s="121"/>
      <x:c r="T822" s="122"/>
      <x:c r="U822" s="120"/>
      <x:c r="V822" s="122"/>
      <x:c r="W822" s="120"/>
      <x:c r="X822" s="121"/>
      <x:c r="Y822" s="122"/>
      <x:c r="Z822" s="120"/>
      <x:c r="AA822" s="122"/>
      <x:c r="AB822" s="120"/>
      <x:c r="AC822" s="121"/>
      <x:c r="AD822" s="122"/>
      <x:c r="AE822" s="120"/>
      <x:c r="AF822" s="122"/>
      <x:c r="AG822" s="120"/>
      <x:c r="AH822" s="121"/>
      <x:c r="AI822" s="122"/>
      <x:c r="AJ822" s="120"/>
      <x:c r="AK822" s="122"/>
      <x:c r="AL822" s="120"/>
      <x:c r="AM822" s="121"/>
      <x:c r="AN822" s="122"/>
      <x:c r="AO822" s="120"/>
      <x:c r="AP822" s="122"/>
    </x:row>
    <x:row r="823" ht="15.75" customHeight="1">
      <x:c r="K823" s="120"/>
      <x:c r="M823" s="120"/>
      <x:c r="N823" s="121"/>
      <x:c r="P823" s="120"/>
      <x:c r="R823" s="120"/>
      <x:c r="S823" s="121"/>
      <x:c r="T823" s="122"/>
      <x:c r="U823" s="120"/>
      <x:c r="V823" s="122"/>
      <x:c r="W823" s="120"/>
      <x:c r="X823" s="121"/>
      <x:c r="Y823" s="122"/>
      <x:c r="Z823" s="120"/>
      <x:c r="AA823" s="122"/>
      <x:c r="AB823" s="120"/>
      <x:c r="AC823" s="121"/>
      <x:c r="AD823" s="122"/>
      <x:c r="AE823" s="120"/>
      <x:c r="AF823" s="122"/>
      <x:c r="AG823" s="120"/>
      <x:c r="AH823" s="121"/>
      <x:c r="AI823" s="122"/>
      <x:c r="AJ823" s="120"/>
      <x:c r="AK823" s="122"/>
      <x:c r="AL823" s="120"/>
      <x:c r="AM823" s="121"/>
      <x:c r="AN823" s="122"/>
      <x:c r="AO823" s="120"/>
      <x:c r="AP823" s="122"/>
    </x:row>
    <x:row r="824" ht="15.75" customHeight="1">
      <x:c r="K824" s="120"/>
      <x:c r="M824" s="120"/>
      <x:c r="N824" s="121"/>
      <x:c r="P824" s="120"/>
      <x:c r="R824" s="120"/>
      <x:c r="S824" s="121"/>
      <x:c r="T824" s="122"/>
      <x:c r="U824" s="120"/>
      <x:c r="V824" s="122"/>
      <x:c r="W824" s="120"/>
      <x:c r="X824" s="121"/>
      <x:c r="Y824" s="122"/>
      <x:c r="Z824" s="120"/>
      <x:c r="AA824" s="122"/>
      <x:c r="AB824" s="120"/>
      <x:c r="AC824" s="121"/>
      <x:c r="AD824" s="122"/>
      <x:c r="AE824" s="120"/>
      <x:c r="AF824" s="122"/>
      <x:c r="AG824" s="120"/>
      <x:c r="AH824" s="121"/>
      <x:c r="AI824" s="122"/>
      <x:c r="AJ824" s="120"/>
      <x:c r="AK824" s="122"/>
      <x:c r="AL824" s="120"/>
      <x:c r="AM824" s="121"/>
      <x:c r="AN824" s="122"/>
      <x:c r="AO824" s="120"/>
      <x:c r="AP824" s="122"/>
    </x:row>
    <x:row r="825" ht="15.75" customHeight="1">
      <x:c r="K825" s="120"/>
      <x:c r="M825" s="120"/>
      <x:c r="N825" s="121"/>
      <x:c r="P825" s="120"/>
      <x:c r="R825" s="120"/>
      <x:c r="S825" s="121"/>
      <x:c r="T825" s="122"/>
      <x:c r="U825" s="120"/>
      <x:c r="V825" s="122"/>
      <x:c r="W825" s="120"/>
      <x:c r="X825" s="121"/>
      <x:c r="Y825" s="122"/>
      <x:c r="Z825" s="120"/>
      <x:c r="AA825" s="122"/>
      <x:c r="AB825" s="120"/>
      <x:c r="AC825" s="121"/>
      <x:c r="AD825" s="122"/>
      <x:c r="AE825" s="120"/>
      <x:c r="AF825" s="122"/>
      <x:c r="AG825" s="120"/>
      <x:c r="AH825" s="121"/>
      <x:c r="AI825" s="122"/>
      <x:c r="AJ825" s="120"/>
      <x:c r="AK825" s="122"/>
      <x:c r="AL825" s="120"/>
      <x:c r="AM825" s="121"/>
      <x:c r="AN825" s="122"/>
      <x:c r="AO825" s="120"/>
      <x:c r="AP825" s="122"/>
    </x:row>
    <x:row r="826" ht="15.75" customHeight="1">
      <x:c r="K826" s="120"/>
      <x:c r="M826" s="120"/>
      <x:c r="N826" s="121"/>
      <x:c r="P826" s="120"/>
      <x:c r="R826" s="120"/>
      <x:c r="S826" s="121"/>
      <x:c r="T826" s="122"/>
      <x:c r="U826" s="120"/>
      <x:c r="V826" s="122"/>
      <x:c r="W826" s="120"/>
      <x:c r="X826" s="121"/>
      <x:c r="Y826" s="122"/>
      <x:c r="Z826" s="120"/>
      <x:c r="AA826" s="122"/>
      <x:c r="AB826" s="120"/>
      <x:c r="AC826" s="121"/>
      <x:c r="AD826" s="122"/>
      <x:c r="AE826" s="120"/>
      <x:c r="AF826" s="122"/>
      <x:c r="AG826" s="120"/>
      <x:c r="AH826" s="121"/>
      <x:c r="AI826" s="122"/>
      <x:c r="AJ826" s="120"/>
      <x:c r="AK826" s="122"/>
      <x:c r="AL826" s="120"/>
      <x:c r="AM826" s="121"/>
      <x:c r="AN826" s="122"/>
      <x:c r="AO826" s="120"/>
      <x:c r="AP826" s="122"/>
    </x:row>
    <x:row r="827" ht="15.75" customHeight="1">
      <x:c r="K827" s="120"/>
      <x:c r="M827" s="120"/>
      <x:c r="N827" s="121"/>
      <x:c r="P827" s="120"/>
      <x:c r="R827" s="120"/>
      <x:c r="S827" s="121"/>
      <x:c r="T827" s="122"/>
      <x:c r="U827" s="120"/>
      <x:c r="V827" s="122"/>
      <x:c r="W827" s="120"/>
      <x:c r="X827" s="121"/>
      <x:c r="Y827" s="122"/>
      <x:c r="Z827" s="120"/>
      <x:c r="AA827" s="122"/>
      <x:c r="AB827" s="120"/>
      <x:c r="AC827" s="121"/>
      <x:c r="AD827" s="122"/>
      <x:c r="AE827" s="120"/>
      <x:c r="AF827" s="122"/>
      <x:c r="AG827" s="120"/>
      <x:c r="AH827" s="121"/>
      <x:c r="AI827" s="122"/>
      <x:c r="AJ827" s="120"/>
      <x:c r="AK827" s="122"/>
      <x:c r="AL827" s="120"/>
      <x:c r="AM827" s="121"/>
      <x:c r="AN827" s="122"/>
      <x:c r="AO827" s="120"/>
      <x:c r="AP827" s="122"/>
    </x:row>
    <x:row r="828" ht="15.75" customHeight="1">
      <x:c r="K828" s="120"/>
      <x:c r="M828" s="120"/>
      <x:c r="N828" s="121"/>
      <x:c r="P828" s="120"/>
      <x:c r="R828" s="120"/>
      <x:c r="S828" s="121"/>
      <x:c r="T828" s="122"/>
      <x:c r="U828" s="120"/>
      <x:c r="V828" s="122"/>
      <x:c r="W828" s="120"/>
      <x:c r="X828" s="121"/>
      <x:c r="Y828" s="122"/>
      <x:c r="Z828" s="120"/>
      <x:c r="AA828" s="122"/>
      <x:c r="AB828" s="120"/>
      <x:c r="AC828" s="121"/>
      <x:c r="AD828" s="122"/>
      <x:c r="AE828" s="120"/>
      <x:c r="AF828" s="122"/>
      <x:c r="AG828" s="120"/>
      <x:c r="AH828" s="121"/>
      <x:c r="AI828" s="122"/>
      <x:c r="AJ828" s="120"/>
      <x:c r="AK828" s="122"/>
      <x:c r="AL828" s="120"/>
      <x:c r="AM828" s="121"/>
      <x:c r="AN828" s="122"/>
      <x:c r="AO828" s="120"/>
      <x:c r="AP828" s="122"/>
    </x:row>
    <x:row r="829" ht="15.75" customHeight="1">
      <x:c r="K829" s="120"/>
      <x:c r="M829" s="120"/>
      <x:c r="N829" s="121"/>
      <x:c r="P829" s="120"/>
      <x:c r="R829" s="120"/>
      <x:c r="S829" s="121"/>
      <x:c r="T829" s="122"/>
      <x:c r="U829" s="120"/>
      <x:c r="V829" s="122"/>
      <x:c r="W829" s="120"/>
      <x:c r="X829" s="121"/>
      <x:c r="Y829" s="122"/>
      <x:c r="Z829" s="120"/>
      <x:c r="AA829" s="122"/>
      <x:c r="AB829" s="120"/>
      <x:c r="AC829" s="121"/>
      <x:c r="AD829" s="122"/>
      <x:c r="AE829" s="120"/>
      <x:c r="AF829" s="122"/>
      <x:c r="AG829" s="120"/>
      <x:c r="AH829" s="121"/>
      <x:c r="AI829" s="122"/>
      <x:c r="AJ829" s="120"/>
      <x:c r="AK829" s="122"/>
      <x:c r="AL829" s="120"/>
      <x:c r="AM829" s="121"/>
      <x:c r="AN829" s="122"/>
      <x:c r="AO829" s="120"/>
      <x:c r="AP829" s="122"/>
    </x:row>
    <x:row r="830" ht="15.75" customHeight="1">
      <x:c r="K830" s="120"/>
      <x:c r="M830" s="120"/>
      <x:c r="N830" s="121"/>
      <x:c r="P830" s="120"/>
      <x:c r="R830" s="120"/>
      <x:c r="S830" s="121"/>
      <x:c r="T830" s="122"/>
      <x:c r="U830" s="120"/>
      <x:c r="V830" s="122"/>
      <x:c r="W830" s="120"/>
      <x:c r="X830" s="121"/>
      <x:c r="Y830" s="122"/>
      <x:c r="Z830" s="120"/>
      <x:c r="AA830" s="122"/>
      <x:c r="AB830" s="120"/>
      <x:c r="AC830" s="121"/>
      <x:c r="AD830" s="122"/>
      <x:c r="AE830" s="120"/>
      <x:c r="AF830" s="122"/>
      <x:c r="AG830" s="120"/>
      <x:c r="AH830" s="121"/>
      <x:c r="AI830" s="122"/>
      <x:c r="AJ830" s="120"/>
      <x:c r="AK830" s="122"/>
      <x:c r="AL830" s="120"/>
      <x:c r="AM830" s="121"/>
      <x:c r="AN830" s="122"/>
      <x:c r="AO830" s="120"/>
      <x:c r="AP830" s="122"/>
    </x:row>
    <x:row r="831" ht="15.75" customHeight="1">
      <x:c r="K831" s="120"/>
      <x:c r="M831" s="120"/>
      <x:c r="N831" s="121"/>
      <x:c r="P831" s="120"/>
      <x:c r="R831" s="120"/>
      <x:c r="S831" s="121"/>
      <x:c r="T831" s="122"/>
      <x:c r="U831" s="120"/>
      <x:c r="V831" s="122"/>
      <x:c r="W831" s="120"/>
      <x:c r="X831" s="121"/>
      <x:c r="Y831" s="122"/>
      <x:c r="Z831" s="120"/>
      <x:c r="AA831" s="122"/>
      <x:c r="AB831" s="120"/>
      <x:c r="AC831" s="121"/>
      <x:c r="AD831" s="122"/>
      <x:c r="AE831" s="120"/>
      <x:c r="AF831" s="122"/>
      <x:c r="AG831" s="120"/>
      <x:c r="AH831" s="121"/>
      <x:c r="AI831" s="122"/>
      <x:c r="AJ831" s="120"/>
      <x:c r="AK831" s="122"/>
      <x:c r="AL831" s="120"/>
      <x:c r="AM831" s="121"/>
      <x:c r="AN831" s="122"/>
      <x:c r="AO831" s="120"/>
      <x:c r="AP831" s="122"/>
    </x:row>
    <x:row r="832" ht="15.75" customHeight="1">
      <x:c r="K832" s="120"/>
      <x:c r="M832" s="120"/>
      <x:c r="N832" s="121"/>
      <x:c r="P832" s="120"/>
      <x:c r="R832" s="120"/>
      <x:c r="S832" s="121"/>
      <x:c r="T832" s="122"/>
      <x:c r="U832" s="120"/>
      <x:c r="V832" s="122"/>
      <x:c r="W832" s="120"/>
      <x:c r="X832" s="121"/>
      <x:c r="Y832" s="122"/>
      <x:c r="Z832" s="120"/>
      <x:c r="AA832" s="122"/>
      <x:c r="AB832" s="120"/>
      <x:c r="AC832" s="121"/>
      <x:c r="AD832" s="122"/>
      <x:c r="AE832" s="120"/>
      <x:c r="AF832" s="122"/>
      <x:c r="AG832" s="120"/>
      <x:c r="AH832" s="121"/>
      <x:c r="AI832" s="122"/>
      <x:c r="AJ832" s="120"/>
      <x:c r="AK832" s="122"/>
      <x:c r="AL832" s="120"/>
      <x:c r="AM832" s="121"/>
      <x:c r="AN832" s="122"/>
      <x:c r="AO832" s="120"/>
      <x:c r="AP832" s="122"/>
    </x:row>
    <x:row r="833" ht="15.75" customHeight="1">
      <x:c r="K833" s="120"/>
      <x:c r="M833" s="120"/>
      <x:c r="N833" s="121"/>
      <x:c r="P833" s="120"/>
      <x:c r="R833" s="120"/>
      <x:c r="S833" s="121"/>
      <x:c r="T833" s="122"/>
      <x:c r="U833" s="120"/>
      <x:c r="V833" s="122"/>
      <x:c r="W833" s="120"/>
      <x:c r="X833" s="121"/>
      <x:c r="Y833" s="122"/>
      <x:c r="Z833" s="120"/>
      <x:c r="AA833" s="122"/>
      <x:c r="AB833" s="120"/>
      <x:c r="AC833" s="121"/>
      <x:c r="AD833" s="122"/>
      <x:c r="AE833" s="120"/>
      <x:c r="AF833" s="122"/>
      <x:c r="AG833" s="120"/>
      <x:c r="AH833" s="121"/>
      <x:c r="AI833" s="122"/>
      <x:c r="AJ833" s="120"/>
      <x:c r="AK833" s="122"/>
      <x:c r="AL833" s="120"/>
      <x:c r="AM833" s="121"/>
      <x:c r="AN833" s="122"/>
      <x:c r="AO833" s="120"/>
      <x:c r="AP833" s="122"/>
    </x:row>
    <x:row r="834" ht="15.75" customHeight="1">
      <x:c r="K834" s="120"/>
      <x:c r="M834" s="120"/>
      <x:c r="N834" s="121"/>
      <x:c r="P834" s="120"/>
      <x:c r="R834" s="120"/>
      <x:c r="S834" s="121"/>
      <x:c r="T834" s="122"/>
      <x:c r="U834" s="120"/>
      <x:c r="V834" s="122"/>
      <x:c r="W834" s="120"/>
      <x:c r="X834" s="121"/>
      <x:c r="Y834" s="122"/>
      <x:c r="Z834" s="120"/>
      <x:c r="AA834" s="122"/>
      <x:c r="AB834" s="120"/>
      <x:c r="AC834" s="121"/>
      <x:c r="AD834" s="122"/>
      <x:c r="AE834" s="120"/>
      <x:c r="AF834" s="122"/>
      <x:c r="AG834" s="120"/>
      <x:c r="AH834" s="121"/>
      <x:c r="AI834" s="122"/>
      <x:c r="AJ834" s="120"/>
      <x:c r="AK834" s="122"/>
      <x:c r="AL834" s="120"/>
      <x:c r="AM834" s="121"/>
      <x:c r="AN834" s="122"/>
      <x:c r="AO834" s="120"/>
      <x:c r="AP834" s="122"/>
    </x:row>
    <x:row r="835" ht="15.75" customHeight="1">
      <x:c r="K835" s="120"/>
      <x:c r="M835" s="120"/>
      <x:c r="N835" s="121"/>
      <x:c r="P835" s="120"/>
      <x:c r="R835" s="120"/>
      <x:c r="S835" s="121"/>
      <x:c r="T835" s="122"/>
      <x:c r="U835" s="120"/>
      <x:c r="V835" s="122"/>
      <x:c r="W835" s="120"/>
      <x:c r="X835" s="121"/>
      <x:c r="Y835" s="122"/>
      <x:c r="Z835" s="120"/>
      <x:c r="AA835" s="122"/>
      <x:c r="AB835" s="120"/>
      <x:c r="AC835" s="121"/>
      <x:c r="AD835" s="122"/>
      <x:c r="AE835" s="120"/>
      <x:c r="AF835" s="122"/>
      <x:c r="AG835" s="120"/>
      <x:c r="AH835" s="121"/>
      <x:c r="AI835" s="122"/>
      <x:c r="AJ835" s="120"/>
      <x:c r="AK835" s="122"/>
      <x:c r="AL835" s="120"/>
      <x:c r="AM835" s="121"/>
      <x:c r="AN835" s="122"/>
      <x:c r="AO835" s="120"/>
      <x:c r="AP835" s="122"/>
    </x:row>
    <x:row r="836" ht="15.75" customHeight="1">
      <x:c r="K836" s="120"/>
      <x:c r="M836" s="120"/>
      <x:c r="N836" s="121"/>
      <x:c r="P836" s="120"/>
      <x:c r="R836" s="120"/>
      <x:c r="S836" s="121"/>
      <x:c r="T836" s="122"/>
      <x:c r="U836" s="120"/>
      <x:c r="V836" s="122"/>
      <x:c r="W836" s="120"/>
      <x:c r="X836" s="121"/>
      <x:c r="Y836" s="122"/>
      <x:c r="Z836" s="120"/>
      <x:c r="AA836" s="122"/>
      <x:c r="AB836" s="120"/>
      <x:c r="AC836" s="121"/>
      <x:c r="AD836" s="122"/>
      <x:c r="AE836" s="120"/>
      <x:c r="AF836" s="122"/>
      <x:c r="AG836" s="120"/>
      <x:c r="AH836" s="121"/>
      <x:c r="AI836" s="122"/>
      <x:c r="AJ836" s="120"/>
      <x:c r="AK836" s="122"/>
      <x:c r="AL836" s="120"/>
      <x:c r="AM836" s="121"/>
      <x:c r="AN836" s="122"/>
      <x:c r="AO836" s="120"/>
      <x:c r="AP836" s="122"/>
    </x:row>
    <x:row r="837" ht="15.75" customHeight="1">
      <x:c r="K837" s="120"/>
      <x:c r="M837" s="120"/>
      <x:c r="N837" s="121"/>
      <x:c r="P837" s="120"/>
      <x:c r="R837" s="120"/>
      <x:c r="S837" s="121"/>
      <x:c r="T837" s="122"/>
      <x:c r="U837" s="120"/>
      <x:c r="V837" s="122"/>
      <x:c r="W837" s="120"/>
      <x:c r="X837" s="121"/>
      <x:c r="Y837" s="122"/>
      <x:c r="Z837" s="120"/>
      <x:c r="AA837" s="122"/>
      <x:c r="AB837" s="120"/>
      <x:c r="AC837" s="121"/>
      <x:c r="AD837" s="122"/>
      <x:c r="AE837" s="120"/>
      <x:c r="AF837" s="122"/>
      <x:c r="AG837" s="120"/>
      <x:c r="AH837" s="121"/>
      <x:c r="AI837" s="122"/>
      <x:c r="AJ837" s="120"/>
      <x:c r="AK837" s="122"/>
      <x:c r="AL837" s="120"/>
      <x:c r="AM837" s="121"/>
      <x:c r="AN837" s="122"/>
      <x:c r="AO837" s="120"/>
      <x:c r="AP837" s="122"/>
    </x:row>
    <x:row r="838" ht="15.75" customHeight="1">
      <x:c r="K838" s="120"/>
      <x:c r="M838" s="120"/>
      <x:c r="N838" s="121"/>
      <x:c r="P838" s="120"/>
      <x:c r="R838" s="120"/>
      <x:c r="S838" s="121"/>
      <x:c r="T838" s="122"/>
      <x:c r="U838" s="120"/>
      <x:c r="V838" s="122"/>
      <x:c r="W838" s="120"/>
      <x:c r="X838" s="121"/>
      <x:c r="Y838" s="122"/>
      <x:c r="Z838" s="120"/>
      <x:c r="AA838" s="122"/>
      <x:c r="AB838" s="120"/>
      <x:c r="AC838" s="121"/>
      <x:c r="AD838" s="122"/>
      <x:c r="AE838" s="120"/>
      <x:c r="AF838" s="122"/>
      <x:c r="AG838" s="120"/>
      <x:c r="AH838" s="121"/>
      <x:c r="AI838" s="122"/>
      <x:c r="AJ838" s="120"/>
      <x:c r="AK838" s="122"/>
      <x:c r="AL838" s="120"/>
      <x:c r="AM838" s="121"/>
      <x:c r="AN838" s="122"/>
      <x:c r="AO838" s="120"/>
      <x:c r="AP838" s="122"/>
    </x:row>
    <x:row r="839" ht="15.75" customHeight="1">
      <x:c r="K839" s="120"/>
      <x:c r="M839" s="120"/>
      <x:c r="N839" s="121"/>
      <x:c r="P839" s="120"/>
      <x:c r="R839" s="120"/>
      <x:c r="S839" s="121"/>
      <x:c r="T839" s="122"/>
      <x:c r="U839" s="120"/>
      <x:c r="V839" s="122"/>
      <x:c r="W839" s="120"/>
      <x:c r="X839" s="121"/>
      <x:c r="Y839" s="122"/>
      <x:c r="Z839" s="120"/>
      <x:c r="AA839" s="122"/>
      <x:c r="AB839" s="120"/>
      <x:c r="AC839" s="121"/>
      <x:c r="AD839" s="122"/>
      <x:c r="AE839" s="120"/>
      <x:c r="AF839" s="122"/>
      <x:c r="AG839" s="120"/>
      <x:c r="AH839" s="121"/>
      <x:c r="AI839" s="122"/>
      <x:c r="AJ839" s="120"/>
      <x:c r="AK839" s="122"/>
      <x:c r="AL839" s="120"/>
      <x:c r="AM839" s="121"/>
      <x:c r="AN839" s="122"/>
      <x:c r="AO839" s="120"/>
      <x:c r="AP839" s="122"/>
    </x:row>
    <x:row r="840" ht="15.75" customHeight="1">
      <x:c r="K840" s="120"/>
      <x:c r="M840" s="120"/>
      <x:c r="N840" s="121"/>
      <x:c r="P840" s="120"/>
      <x:c r="R840" s="120"/>
      <x:c r="S840" s="121"/>
      <x:c r="T840" s="122"/>
      <x:c r="U840" s="120"/>
      <x:c r="V840" s="122"/>
      <x:c r="W840" s="120"/>
      <x:c r="X840" s="121"/>
      <x:c r="Y840" s="122"/>
      <x:c r="Z840" s="120"/>
      <x:c r="AA840" s="122"/>
      <x:c r="AB840" s="120"/>
      <x:c r="AC840" s="121"/>
      <x:c r="AD840" s="122"/>
      <x:c r="AE840" s="120"/>
      <x:c r="AF840" s="122"/>
      <x:c r="AG840" s="120"/>
      <x:c r="AH840" s="121"/>
      <x:c r="AI840" s="122"/>
      <x:c r="AJ840" s="120"/>
      <x:c r="AK840" s="122"/>
      <x:c r="AL840" s="120"/>
      <x:c r="AM840" s="121"/>
      <x:c r="AN840" s="122"/>
      <x:c r="AO840" s="120"/>
      <x:c r="AP840" s="122"/>
    </x:row>
    <x:row r="841" ht="15.75" customHeight="1">
      <x:c r="K841" s="120"/>
      <x:c r="M841" s="120"/>
      <x:c r="N841" s="121"/>
      <x:c r="P841" s="120"/>
      <x:c r="R841" s="120"/>
      <x:c r="S841" s="121"/>
      <x:c r="T841" s="122"/>
      <x:c r="U841" s="120"/>
      <x:c r="V841" s="122"/>
      <x:c r="W841" s="120"/>
      <x:c r="X841" s="121"/>
      <x:c r="Y841" s="122"/>
      <x:c r="Z841" s="120"/>
      <x:c r="AA841" s="122"/>
      <x:c r="AB841" s="120"/>
      <x:c r="AC841" s="121"/>
      <x:c r="AD841" s="122"/>
      <x:c r="AE841" s="120"/>
      <x:c r="AF841" s="122"/>
      <x:c r="AG841" s="120"/>
      <x:c r="AH841" s="121"/>
      <x:c r="AI841" s="122"/>
      <x:c r="AJ841" s="120"/>
      <x:c r="AK841" s="122"/>
      <x:c r="AL841" s="120"/>
      <x:c r="AM841" s="121"/>
      <x:c r="AN841" s="122"/>
      <x:c r="AO841" s="120"/>
      <x:c r="AP841" s="122"/>
    </x:row>
    <x:row r="842" ht="15.75" customHeight="1">
      <x:c r="K842" s="120"/>
      <x:c r="M842" s="120"/>
      <x:c r="N842" s="121"/>
      <x:c r="P842" s="120"/>
      <x:c r="R842" s="120"/>
      <x:c r="S842" s="121"/>
      <x:c r="T842" s="122"/>
      <x:c r="U842" s="120"/>
      <x:c r="V842" s="122"/>
      <x:c r="W842" s="120"/>
      <x:c r="X842" s="121"/>
      <x:c r="Y842" s="122"/>
      <x:c r="Z842" s="120"/>
      <x:c r="AA842" s="122"/>
      <x:c r="AB842" s="120"/>
      <x:c r="AC842" s="121"/>
      <x:c r="AD842" s="122"/>
      <x:c r="AE842" s="120"/>
      <x:c r="AF842" s="122"/>
      <x:c r="AG842" s="120"/>
      <x:c r="AH842" s="121"/>
      <x:c r="AI842" s="122"/>
      <x:c r="AJ842" s="120"/>
      <x:c r="AK842" s="122"/>
      <x:c r="AL842" s="120"/>
      <x:c r="AM842" s="121"/>
      <x:c r="AN842" s="122"/>
      <x:c r="AO842" s="120"/>
      <x:c r="AP842" s="122"/>
    </x:row>
    <x:row r="843" ht="15.75" customHeight="1">
      <x:c r="K843" s="120"/>
      <x:c r="M843" s="120"/>
      <x:c r="N843" s="121"/>
      <x:c r="P843" s="120"/>
      <x:c r="R843" s="120"/>
      <x:c r="S843" s="121"/>
      <x:c r="T843" s="122"/>
      <x:c r="U843" s="120"/>
      <x:c r="V843" s="122"/>
      <x:c r="W843" s="120"/>
      <x:c r="X843" s="121"/>
      <x:c r="Y843" s="122"/>
      <x:c r="Z843" s="120"/>
      <x:c r="AA843" s="122"/>
      <x:c r="AB843" s="120"/>
      <x:c r="AC843" s="121"/>
      <x:c r="AD843" s="122"/>
      <x:c r="AE843" s="120"/>
      <x:c r="AF843" s="122"/>
      <x:c r="AG843" s="120"/>
      <x:c r="AH843" s="121"/>
      <x:c r="AI843" s="122"/>
      <x:c r="AJ843" s="120"/>
      <x:c r="AK843" s="122"/>
      <x:c r="AL843" s="120"/>
      <x:c r="AM843" s="121"/>
      <x:c r="AN843" s="122"/>
      <x:c r="AO843" s="120"/>
      <x:c r="AP843" s="122"/>
    </x:row>
    <x:row r="844" ht="15.75" customHeight="1">
      <x:c r="K844" s="120"/>
      <x:c r="M844" s="120"/>
      <x:c r="N844" s="121"/>
      <x:c r="P844" s="120"/>
      <x:c r="R844" s="120"/>
      <x:c r="S844" s="121"/>
      <x:c r="T844" s="122"/>
      <x:c r="U844" s="120"/>
      <x:c r="V844" s="122"/>
      <x:c r="W844" s="120"/>
      <x:c r="X844" s="121"/>
      <x:c r="Y844" s="122"/>
      <x:c r="Z844" s="120"/>
      <x:c r="AA844" s="122"/>
      <x:c r="AB844" s="120"/>
      <x:c r="AC844" s="121"/>
      <x:c r="AD844" s="122"/>
      <x:c r="AE844" s="120"/>
      <x:c r="AF844" s="122"/>
      <x:c r="AG844" s="120"/>
      <x:c r="AH844" s="121"/>
      <x:c r="AI844" s="122"/>
      <x:c r="AJ844" s="120"/>
      <x:c r="AK844" s="122"/>
      <x:c r="AL844" s="120"/>
      <x:c r="AM844" s="121"/>
      <x:c r="AN844" s="122"/>
      <x:c r="AO844" s="120"/>
      <x:c r="AP844" s="122"/>
    </x:row>
    <x:row r="845" ht="15.75" customHeight="1">
      <x:c r="K845" s="120"/>
      <x:c r="M845" s="120"/>
      <x:c r="N845" s="121"/>
      <x:c r="P845" s="120"/>
      <x:c r="R845" s="120"/>
      <x:c r="S845" s="121"/>
      <x:c r="T845" s="122"/>
      <x:c r="U845" s="120"/>
      <x:c r="V845" s="122"/>
      <x:c r="W845" s="120"/>
      <x:c r="X845" s="121"/>
      <x:c r="Y845" s="122"/>
      <x:c r="Z845" s="120"/>
      <x:c r="AA845" s="122"/>
      <x:c r="AB845" s="120"/>
      <x:c r="AC845" s="121"/>
      <x:c r="AD845" s="122"/>
      <x:c r="AE845" s="120"/>
      <x:c r="AF845" s="122"/>
      <x:c r="AG845" s="120"/>
      <x:c r="AH845" s="121"/>
      <x:c r="AI845" s="122"/>
      <x:c r="AJ845" s="120"/>
      <x:c r="AK845" s="122"/>
      <x:c r="AL845" s="120"/>
      <x:c r="AM845" s="121"/>
      <x:c r="AN845" s="122"/>
      <x:c r="AO845" s="120"/>
      <x:c r="AP845" s="122"/>
    </x:row>
    <x:row r="846" ht="15.75" customHeight="1">
      <x:c r="K846" s="120"/>
      <x:c r="M846" s="120"/>
      <x:c r="N846" s="121"/>
      <x:c r="P846" s="120"/>
      <x:c r="R846" s="120"/>
      <x:c r="S846" s="121"/>
      <x:c r="T846" s="122"/>
      <x:c r="U846" s="120"/>
      <x:c r="V846" s="122"/>
      <x:c r="W846" s="120"/>
      <x:c r="X846" s="121"/>
      <x:c r="Y846" s="122"/>
      <x:c r="Z846" s="120"/>
      <x:c r="AA846" s="122"/>
      <x:c r="AB846" s="120"/>
      <x:c r="AC846" s="121"/>
      <x:c r="AD846" s="122"/>
      <x:c r="AE846" s="120"/>
      <x:c r="AF846" s="122"/>
      <x:c r="AG846" s="120"/>
      <x:c r="AH846" s="121"/>
      <x:c r="AI846" s="122"/>
      <x:c r="AJ846" s="120"/>
      <x:c r="AK846" s="122"/>
      <x:c r="AL846" s="120"/>
      <x:c r="AM846" s="121"/>
      <x:c r="AN846" s="122"/>
      <x:c r="AO846" s="120"/>
      <x:c r="AP846" s="122"/>
    </x:row>
    <x:row r="847" ht="15.75" customHeight="1">
      <x:c r="K847" s="120"/>
      <x:c r="M847" s="120"/>
      <x:c r="N847" s="121"/>
      <x:c r="P847" s="120"/>
      <x:c r="R847" s="120"/>
      <x:c r="S847" s="121"/>
      <x:c r="T847" s="122"/>
      <x:c r="U847" s="120"/>
      <x:c r="V847" s="122"/>
      <x:c r="W847" s="120"/>
      <x:c r="X847" s="121"/>
      <x:c r="Y847" s="122"/>
      <x:c r="Z847" s="120"/>
      <x:c r="AA847" s="122"/>
      <x:c r="AB847" s="120"/>
      <x:c r="AC847" s="121"/>
      <x:c r="AD847" s="122"/>
      <x:c r="AE847" s="120"/>
      <x:c r="AF847" s="122"/>
      <x:c r="AG847" s="120"/>
      <x:c r="AH847" s="121"/>
      <x:c r="AI847" s="122"/>
      <x:c r="AJ847" s="120"/>
      <x:c r="AK847" s="122"/>
      <x:c r="AL847" s="120"/>
      <x:c r="AM847" s="121"/>
      <x:c r="AN847" s="122"/>
      <x:c r="AO847" s="120"/>
      <x:c r="AP847" s="122"/>
    </x:row>
    <x:row r="848" ht="15.75" customHeight="1">
      <x:c r="K848" s="120"/>
      <x:c r="M848" s="120"/>
      <x:c r="N848" s="121"/>
      <x:c r="P848" s="120"/>
      <x:c r="R848" s="120"/>
      <x:c r="S848" s="121"/>
      <x:c r="T848" s="122"/>
      <x:c r="U848" s="120"/>
      <x:c r="V848" s="122"/>
      <x:c r="W848" s="120"/>
      <x:c r="X848" s="121"/>
      <x:c r="Y848" s="122"/>
      <x:c r="Z848" s="120"/>
      <x:c r="AA848" s="122"/>
      <x:c r="AB848" s="120"/>
      <x:c r="AC848" s="121"/>
      <x:c r="AD848" s="122"/>
      <x:c r="AE848" s="120"/>
      <x:c r="AF848" s="122"/>
      <x:c r="AG848" s="120"/>
      <x:c r="AH848" s="121"/>
      <x:c r="AI848" s="122"/>
      <x:c r="AJ848" s="120"/>
      <x:c r="AK848" s="122"/>
      <x:c r="AL848" s="120"/>
      <x:c r="AM848" s="121"/>
      <x:c r="AN848" s="122"/>
      <x:c r="AO848" s="120"/>
      <x:c r="AP848" s="122"/>
    </x:row>
    <x:row r="849" ht="15.75" customHeight="1">
      <x:c r="K849" s="120"/>
      <x:c r="M849" s="120"/>
      <x:c r="N849" s="121"/>
      <x:c r="P849" s="120"/>
      <x:c r="R849" s="120"/>
      <x:c r="S849" s="121"/>
      <x:c r="T849" s="122"/>
      <x:c r="U849" s="120"/>
      <x:c r="V849" s="122"/>
      <x:c r="W849" s="120"/>
      <x:c r="X849" s="121"/>
      <x:c r="Y849" s="122"/>
      <x:c r="Z849" s="120"/>
      <x:c r="AA849" s="122"/>
      <x:c r="AB849" s="120"/>
      <x:c r="AC849" s="121"/>
      <x:c r="AD849" s="122"/>
      <x:c r="AE849" s="120"/>
      <x:c r="AF849" s="122"/>
      <x:c r="AG849" s="120"/>
      <x:c r="AH849" s="121"/>
      <x:c r="AI849" s="122"/>
      <x:c r="AJ849" s="120"/>
      <x:c r="AK849" s="122"/>
      <x:c r="AL849" s="120"/>
      <x:c r="AM849" s="121"/>
      <x:c r="AN849" s="122"/>
      <x:c r="AO849" s="120"/>
      <x:c r="AP849" s="122"/>
    </x:row>
    <x:row r="850" ht="15.75" customHeight="1">
      <x:c r="K850" s="120"/>
      <x:c r="M850" s="120"/>
      <x:c r="N850" s="121"/>
      <x:c r="P850" s="120"/>
      <x:c r="R850" s="120"/>
      <x:c r="S850" s="121"/>
      <x:c r="T850" s="122"/>
      <x:c r="U850" s="120"/>
      <x:c r="V850" s="122"/>
      <x:c r="W850" s="120"/>
      <x:c r="X850" s="121"/>
      <x:c r="Y850" s="122"/>
      <x:c r="Z850" s="120"/>
      <x:c r="AA850" s="122"/>
      <x:c r="AB850" s="120"/>
      <x:c r="AC850" s="121"/>
      <x:c r="AD850" s="122"/>
      <x:c r="AE850" s="120"/>
      <x:c r="AF850" s="122"/>
      <x:c r="AG850" s="120"/>
      <x:c r="AH850" s="121"/>
      <x:c r="AI850" s="122"/>
      <x:c r="AJ850" s="120"/>
      <x:c r="AK850" s="122"/>
      <x:c r="AL850" s="120"/>
      <x:c r="AM850" s="121"/>
      <x:c r="AN850" s="122"/>
      <x:c r="AO850" s="120"/>
      <x:c r="AP850" s="122"/>
    </x:row>
    <x:row r="851" ht="15.75" customHeight="1">
      <x:c r="K851" s="120"/>
      <x:c r="M851" s="120"/>
      <x:c r="N851" s="121"/>
      <x:c r="P851" s="120"/>
      <x:c r="R851" s="120"/>
      <x:c r="S851" s="121"/>
      <x:c r="T851" s="122"/>
      <x:c r="U851" s="120"/>
      <x:c r="V851" s="122"/>
      <x:c r="W851" s="120"/>
      <x:c r="X851" s="121"/>
      <x:c r="Y851" s="122"/>
      <x:c r="Z851" s="120"/>
      <x:c r="AA851" s="122"/>
      <x:c r="AB851" s="120"/>
      <x:c r="AC851" s="121"/>
      <x:c r="AD851" s="122"/>
      <x:c r="AE851" s="120"/>
      <x:c r="AF851" s="122"/>
      <x:c r="AG851" s="120"/>
      <x:c r="AH851" s="121"/>
      <x:c r="AI851" s="122"/>
      <x:c r="AJ851" s="120"/>
      <x:c r="AK851" s="122"/>
      <x:c r="AL851" s="120"/>
      <x:c r="AM851" s="121"/>
      <x:c r="AN851" s="122"/>
      <x:c r="AO851" s="120"/>
      <x:c r="AP851" s="122"/>
    </x:row>
    <x:row r="852" ht="15.75" customHeight="1">
      <x:c r="K852" s="120"/>
      <x:c r="M852" s="120"/>
      <x:c r="N852" s="121"/>
      <x:c r="P852" s="120"/>
      <x:c r="R852" s="120"/>
      <x:c r="S852" s="121"/>
      <x:c r="T852" s="122"/>
      <x:c r="U852" s="120"/>
      <x:c r="V852" s="122"/>
      <x:c r="W852" s="120"/>
      <x:c r="X852" s="121"/>
      <x:c r="Y852" s="122"/>
      <x:c r="Z852" s="120"/>
      <x:c r="AA852" s="122"/>
      <x:c r="AB852" s="120"/>
      <x:c r="AC852" s="121"/>
      <x:c r="AD852" s="122"/>
      <x:c r="AE852" s="120"/>
      <x:c r="AF852" s="122"/>
      <x:c r="AG852" s="120"/>
      <x:c r="AH852" s="121"/>
      <x:c r="AI852" s="122"/>
      <x:c r="AJ852" s="120"/>
      <x:c r="AK852" s="122"/>
      <x:c r="AL852" s="120"/>
      <x:c r="AM852" s="121"/>
      <x:c r="AN852" s="122"/>
      <x:c r="AO852" s="120"/>
      <x:c r="AP852" s="122"/>
    </x:row>
    <x:row r="853" ht="15.75" customHeight="1">
      <x:c r="K853" s="120"/>
      <x:c r="M853" s="120"/>
      <x:c r="N853" s="121"/>
      <x:c r="P853" s="120"/>
      <x:c r="R853" s="120"/>
      <x:c r="S853" s="121"/>
      <x:c r="T853" s="122"/>
      <x:c r="U853" s="120"/>
      <x:c r="V853" s="122"/>
      <x:c r="W853" s="120"/>
      <x:c r="X853" s="121"/>
      <x:c r="Y853" s="122"/>
      <x:c r="Z853" s="120"/>
      <x:c r="AA853" s="122"/>
      <x:c r="AB853" s="120"/>
      <x:c r="AC853" s="121"/>
      <x:c r="AD853" s="122"/>
      <x:c r="AE853" s="120"/>
      <x:c r="AF853" s="122"/>
      <x:c r="AG853" s="120"/>
      <x:c r="AH853" s="121"/>
      <x:c r="AI853" s="122"/>
      <x:c r="AJ853" s="120"/>
      <x:c r="AK853" s="122"/>
      <x:c r="AL853" s="120"/>
      <x:c r="AM853" s="121"/>
      <x:c r="AN853" s="122"/>
      <x:c r="AO853" s="120"/>
      <x:c r="AP853" s="122"/>
    </x:row>
    <x:row r="854" ht="15.75" customHeight="1">
      <x:c r="K854" s="120"/>
      <x:c r="M854" s="120"/>
      <x:c r="N854" s="121"/>
      <x:c r="P854" s="120"/>
      <x:c r="R854" s="120"/>
      <x:c r="S854" s="121"/>
      <x:c r="T854" s="122"/>
      <x:c r="U854" s="120"/>
      <x:c r="V854" s="122"/>
      <x:c r="W854" s="120"/>
      <x:c r="X854" s="121"/>
      <x:c r="Y854" s="122"/>
      <x:c r="Z854" s="120"/>
      <x:c r="AA854" s="122"/>
      <x:c r="AB854" s="120"/>
      <x:c r="AC854" s="121"/>
      <x:c r="AD854" s="122"/>
      <x:c r="AE854" s="120"/>
      <x:c r="AF854" s="122"/>
      <x:c r="AG854" s="120"/>
      <x:c r="AH854" s="121"/>
      <x:c r="AI854" s="122"/>
      <x:c r="AJ854" s="120"/>
      <x:c r="AK854" s="122"/>
      <x:c r="AL854" s="120"/>
      <x:c r="AM854" s="121"/>
      <x:c r="AN854" s="122"/>
      <x:c r="AO854" s="120"/>
      <x:c r="AP854" s="122"/>
    </x:row>
    <x:row r="855" ht="15.75" customHeight="1">
      <x:c r="K855" s="120"/>
      <x:c r="M855" s="120"/>
      <x:c r="N855" s="121"/>
      <x:c r="P855" s="120"/>
      <x:c r="R855" s="120"/>
      <x:c r="S855" s="121"/>
      <x:c r="T855" s="122"/>
      <x:c r="U855" s="120"/>
      <x:c r="V855" s="122"/>
      <x:c r="W855" s="120"/>
      <x:c r="X855" s="121"/>
      <x:c r="Y855" s="122"/>
      <x:c r="Z855" s="120"/>
      <x:c r="AA855" s="122"/>
      <x:c r="AB855" s="120"/>
      <x:c r="AC855" s="121"/>
      <x:c r="AD855" s="122"/>
      <x:c r="AE855" s="120"/>
      <x:c r="AF855" s="122"/>
      <x:c r="AG855" s="120"/>
      <x:c r="AH855" s="121"/>
      <x:c r="AI855" s="122"/>
      <x:c r="AJ855" s="120"/>
      <x:c r="AK855" s="122"/>
      <x:c r="AL855" s="120"/>
      <x:c r="AM855" s="121"/>
      <x:c r="AN855" s="122"/>
      <x:c r="AO855" s="120"/>
      <x:c r="AP855" s="122"/>
    </x:row>
    <x:row r="856" ht="15.75" customHeight="1">
      <x:c r="K856" s="120"/>
      <x:c r="M856" s="120"/>
      <x:c r="N856" s="121"/>
      <x:c r="P856" s="120"/>
      <x:c r="R856" s="120"/>
      <x:c r="S856" s="121"/>
      <x:c r="T856" s="122"/>
      <x:c r="U856" s="120"/>
      <x:c r="V856" s="122"/>
      <x:c r="W856" s="120"/>
      <x:c r="X856" s="121"/>
      <x:c r="Y856" s="122"/>
      <x:c r="Z856" s="120"/>
      <x:c r="AA856" s="122"/>
      <x:c r="AB856" s="120"/>
      <x:c r="AC856" s="121"/>
      <x:c r="AD856" s="122"/>
      <x:c r="AE856" s="120"/>
      <x:c r="AF856" s="122"/>
      <x:c r="AG856" s="120"/>
      <x:c r="AH856" s="121"/>
      <x:c r="AI856" s="122"/>
      <x:c r="AJ856" s="120"/>
      <x:c r="AK856" s="122"/>
      <x:c r="AL856" s="120"/>
      <x:c r="AM856" s="121"/>
      <x:c r="AN856" s="122"/>
      <x:c r="AO856" s="120"/>
      <x:c r="AP856" s="122"/>
    </x:row>
    <x:row r="857" ht="15.75" customHeight="1">
      <x:c r="K857" s="120"/>
      <x:c r="M857" s="120"/>
      <x:c r="N857" s="121"/>
      <x:c r="P857" s="120"/>
      <x:c r="R857" s="120"/>
      <x:c r="S857" s="121"/>
      <x:c r="T857" s="122"/>
      <x:c r="U857" s="120"/>
      <x:c r="V857" s="122"/>
      <x:c r="W857" s="120"/>
      <x:c r="X857" s="121"/>
      <x:c r="Y857" s="122"/>
      <x:c r="Z857" s="120"/>
      <x:c r="AA857" s="122"/>
      <x:c r="AB857" s="120"/>
      <x:c r="AC857" s="121"/>
      <x:c r="AD857" s="122"/>
      <x:c r="AE857" s="120"/>
      <x:c r="AF857" s="122"/>
      <x:c r="AG857" s="120"/>
      <x:c r="AH857" s="121"/>
      <x:c r="AI857" s="122"/>
      <x:c r="AJ857" s="120"/>
      <x:c r="AK857" s="122"/>
      <x:c r="AL857" s="120"/>
      <x:c r="AM857" s="121"/>
      <x:c r="AN857" s="122"/>
      <x:c r="AO857" s="120"/>
      <x:c r="AP857" s="122"/>
    </x:row>
    <x:row r="858" ht="15.75" customHeight="1">
      <x:c r="K858" s="120"/>
      <x:c r="M858" s="120"/>
      <x:c r="N858" s="121"/>
      <x:c r="P858" s="120"/>
      <x:c r="R858" s="120"/>
      <x:c r="S858" s="121"/>
      <x:c r="T858" s="122"/>
      <x:c r="U858" s="120"/>
      <x:c r="V858" s="122"/>
      <x:c r="W858" s="120"/>
      <x:c r="X858" s="121"/>
      <x:c r="Y858" s="122"/>
      <x:c r="Z858" s="120"/>
      <x:c r="AA858" s="122"/>
      <x:c r="AB858" s="120"/>
      <x:c r="AC858" s="121"/>
      <x:c r="AD858" s="122"/>
      <x:c r="AE858" s="120"/>
      <x:c r="AF858" s="122"/>
      <x:c r="AG858" s="120"/>
      <x:c r="AH858" s="121"/>
      <x:c r="AI858" s="122"/>
      <x:c r="AJ858" s="120"/>
      <x:c r="AK858" s="122"/>
      <x:c r="AL858" s="120"/>
      <x:c r="AM858" s="121"/>
      <x:c r="AN858" s="122"/>
      <x:c r="AO858" s="120"/>
      <x:c r="AP858" s="122"/>
    </x:row>
    <x:row r="859" ht="15.75" customHeight="1">
      <x:c r="K859" s="120"/>
      <x:c r="M859" s="120"/>
      <x:c r="N859" s="121"/>
      <x:c r="P859" s="120"/>
      <x:c r="R859" s="120"/>
      <x:c r="S859" s="121"/>
      <x:c r="T859" s="122"/>
      <x:c r="U859" s="120"/>
      <x:c r="V859" s="122"/>
      <x:c r="W859" s="120"/>
      <x:c r="X859" s="121"/>
      <x:c r="Y859" s="122"/>
      <x:c r="Z859" s="120"/>
      <x:c r="AA859" s="122"/>
      <x:c r="AB859" s="120"/>
      <x:c r="AC859" s="121"/>
      <x:c r="AD859" s="122"/>
      <x:c r="AE859" s="120"/>
      <x:c r="AF859" s="122"/>
      <x:c r="AG859" s="120"/>
      <x:c r="AH859" s="121"/>
      <x:c r="AI859" s="122"/>
      <x:c r="AJ859" s="120"/>
      <x:c r="AK859" s="122"/>
      <x:c r="AL859" s="120"/>
      <x:c r="AM859" s="121"/>
      <x:c r="AN859" s="122"/>
      <x:c r="AO859" s="120"/>
      <x:c r="AP859" s="122"/>
    </x:row>
    <x:row r="860" ht="15.75" customHeight="1">
      <x:c r="K860" s="120"/>
      <x:c r="M860" s="120"/>
      <x:c r="N860" s="121"/>
      <x:c r="P860" s="120"/>
      <x:c r="R860" s="120"/>
      <x:c r="S860" s="121"/>
      <x:c r="T860" s="122"/>
      <x:c r="U860" s="120"/>
      <x:c r="V860" s="122"/>
      <x:c r="W860" s="120"/>
      <x:c r="X860" s="121"/>
      <x:c r="Y860" s="122"/>
      <x:c r="Z860" s="120"/>
      <x:c r="AA860" s="122"/>
      <x:c r="AB860" s="120"/>
      <x:c r="AC860" s="121"/>
      <x:c r="AD860" s="122"/>
      <x:c r="AE860" s="120"/>
      <x:c r="AF860" s="122"/>
      <x:c r="AG860" s="120"/>
      <x:c r="AH860" s="121"/>
      <x:c r="AI860" s="122"/>
      <x:c r="AJ860" s="120"/>
      <x:c r="AK860" s="122"/>
      <x:c r="AL860" s="120"/>
      <x:c r="AM860" s="121"/>
      <x:c r="AN860" s="122"/>
      <x:c r="AO860" s="120"/>
      <x:c r="AP860" s="122"/>
    </x:row>
    <x:row r="861" ht="15.75" customHeight="1">
      <x:c r="K861" s="120"/>
      <x:c r="M861" s="120"/>
      <x:c r="N861" s="121"/>
      <x:c r="P861" s="120"/>
      <x:c r="R861" s="120"/>
      <x:c r="S861" s="121"/>
      <x:c r="T861" s="122"/>
      <x:c r="U861" s="120"/>
      <x:c r="V861" s="122"/>
      <x:c r="W861" s="120"/>
      <x:c r="X861" s="121"/>
      <x:c r="Y861" s="122"/>
      <x:c r="Z861" s="120"/>
      <x:c r="AA861" s="122"/>
      <x:c r="AB861" s="120"/>
      <x:c r="AC861" s="121"/>
      <x:c r="AD861" s="122"/>
      <x:c r="AE861" s="120"/>
      <x:c r="AF861" s="122"/>
      <x:c r="AG861" s="120"/>
      <x:c r="AH861" s="121"/>
      <x:c r="AI861" s="122"/>
      <x:c r="AJ861" s="120"/>
      <x:c r="AK861" s="122"/>
      <x:c r="AL861" s="120"/>
      <x:c r="AM861" s="121"/>
      <x:c r="AN861" s="122"/>
      <x:c r="AO861" s="120"/>
      <x:c r="AP861" s="122"/>
    </x:row>
    <x:row r="862" ht="15.75" customHeight="1">
      <x:c r="K862" s="120"/>
      <x:c r="M862" s="120"/>
      <x:c r="N862" s="121"/>
      <x:c r="P862" s="120"/>
      <x:c r="R862" s="120"/>
      <x:c r="S862" s="121"/>
      <x:c r="T862" s="122"/>
      <x:c r="U862" s="120"/>
      <x:c r="V862" s="122"/>
      <x:c r="W862" s="120"/>
      <x:c r="X862" s="121"/>
      <x:c r="Y862" s="122"/>
      <x:c r="Z862" s="120"/>
      <x:c r="AA862" s="122"/>
      <x:c r="AB862" s="120"/>
      <x:c r="AC862" s="121"/>
      <x:c r="AD862" s="122"/>
      <x:c r="AE862" s="120"/>
      <x:c r="AF862" s="122"/>
      <x:c r="AG862" s="120"/>
      <x:c r="AH862" s="121"/>
      <x:c r="AI862" s="122"/>
      <x:c r="AJ862" s="120"/>
      <x:c r="AK862" s="122"/>
      <x:c r="AL862" s="120"/>
      <x:c r="AM862" s="121"/>
      <x:c r="AN862" s="122"/>
      <x:c r="AO862" s="120"/>
      <x:c r="AP862" s="122"/>
    </x:row>
    <x:row r="863" ht="15.75" customHeight="1">
      <x:c r="K863" s="120"/>
      <x:c r="M863" s="120"/>
      <x:c r="N863" s="121"/>
      <x:c r="P863" s="120"/>
      <x:c r="R863" s="120"/>
      <x:c r="S863" s="121"/>
      <x:c r="T863" s="122"/>
      <x:c r="U863" s="120"/>
      <x:c r="V863" s="122"/>
      <x:c r="W863" s="120"/>
      <x:c r="X863" s="121"/>
      <x:c r="Y863" s="122"/>
      <x:c r="Z863" s="120"/>
      <x:c r="AA863" s="122"/>
      <x:c r="AB863" s="120"/>
      <x:c r="AC863" s="121"/>
      <x:c r="AD863" s="122"/>
      <x:c r="AE863" s="120"/>
      <x:c r="AF863" s="122"/>
      <x:c r="AG863" s="120"/>
      <x:c r="AH863" s="121"/>
      <x:c r="AI863" s="122"/>
      <x:c r="AJ863" s="120"/>
      <x:c r="AK863" s="122"/>
      <x:c r="AL863" s="120"/>
      <x:c r="AM863" s="121"/>
      <x:c r="AN863" s="122"/>
      <x:c r="AO863" s="120"/>
      <x:c r="AP863" s="122"/>
    </x:row>
    <x:row r="864" ht="15.75" customHeight="1">
      <x:c r="K864" s="120"/>
      <x:c r="M864" s="120"/>
      <x:c r="N864" s="121"/>
      <x:c r="P864" s="120"/>
      <x:c r="R864" s="120"/>
      <x:c r="S864" s="121"/>
      <x:c r="T864" s="122"/>
      <x:c r="U864" s="120"/>
      <x:c r="V864" s="122"/>
      <x:c r="W864" s="120"/>
      <x:c r="X864" s="121"/>
      <x:c r="Y864" s="122"/>
      <x:c r="Z864" s="120"/>
      <x:c r="AA864" s="122"/>
      <x:c r="AB864" s="120"/>
      <x:c r="AC864" s="121"/>
      <x:c r="AD864" s="122"/>
      <x:c r="AE864" s="120"/>
      <x:c r="AF864" s="122"/>
      <x:c r="AG864" s="120"/>
      <x:c r="AH864" s="121"/>
      <x:c r="AI864" s="122"/>
      <x:c r="AJ864" s="120"/>
      <x:c r="AK864" s="122"/>
      <x:c r="AL864" s="120"/>
      <x:c r="AM864" s="121"/>
      <x:c r="AN864" s="122"/>
      <x:c r="AO864" s="120"/>
      <x:c r="AP864" s="122"/>
    </x:row>
    <x:row r="865" ht="15.75" customHeight="1">
      <x:c r="K865" s="120"/>
      <x:c r="M865" s="120"/>
      <x:c r="N865" s="121"/>
      <x:c r="P865" s="120"/>
      <x:c r="R865" s="120"/>
      <x:c r="S865" s="121"/>
      <x:c r="T865" s="122"/>
      <x:c r="U865" s="120"/>
      <x:c r="V865" s="122"/>
      <x:c r="W865" s="120"/>
      <x:c r="X865" s="121"/>
      <x:c r="Y865" s="122"/>
      <x:c r="Z865" s="120"/>
      <x:c r="AA865" s="122"/>
      <x:c r="AB865" s="120"/>
      <x:c r="AC865" s="121"/>
      <x:c r="AD865" s="122"/>
      <x:c r="AE865" s="120"/>
      <x:c r="AF865" s="122"/>
      <x:c r="AG865" s="120"/>
      <x:c r="AH865" s="121"/>
      <x:c r="AI865" s="122"/>
      <x:c r="AJ865" s="120"/>
      <x:c r="AK865" s="122"/>
      <x:c r="AL865" s="120"/>
      <x:c r="AM865" s="121"/>
      <x:c r="AN865" s="122"/>
      <x:c r="AO865" s="120"/>
      <x:c r="AP865" s="122"/>
    </x:row>
    <x:row r="866" ht="15.75" customHeight="1">
      <x:c r="K866" s="120"/>
      <x:c r="M866" s="120"/>
      <x:c r="N866" s="121"/>
      <x:c r="P866" s="120"/>
      <x:c r="R866" s="120"/>
      <x:c r="S866" s="121"/>
      <x:c r="T866" s="122"/>
      <x:c r="U866" s="120"/>
      <x:c r="V866" s="122"/>
      <x:c r="W866" s="120"/>
      <x:c r="X866" s="121"/>
      <x:c r="Y866" s="122"/>
      <x:c r="Z866" s="120"/>
      <x:c r="AA866" s="122"/>
      <x:c r="AB866" s="120"/>
      <x:c r="AC866" s="121"/>
      <x:c r="AD866" s="122"/>
      <x:c r="AE866" s="120"/>
      <x:c r="AF866" s="122"/>
      <x:c r="AG866" s="120"/>
      <x:c r="AH866" s="121"/>
      <x:c r="AI866" s="122"/>
      <x:c r="AJ866" s="120"/>
      <x:c r="AK866" s="122"/>
      <x:c r="AL866" s="120"/>
      <x:c r="AM866" s="121"/>
      <x:c r="AN866" s="122"/>
      <x:c r="AO866" s="120"/>
      <x:c r="AP866" s="122"/>
    </x:row>
    <x:row r="867" ht="15.75" customHeight="1">
      <x:c r="K867" s="120"/>
      <x:c r="M867" s="120"/>
      <x:c r="N867" s="121"/>
      <x:c r="P867" s="120"/>
      <x:c r="R867" s="120"/>
      <x:c r="S867" s="121"/>
      <x:c r="T867" s="122"/>
      <x:c r="U867" s="120"/>
      <x:c r="V867" s="122"/>
      <x:c r="W867" s="120"/>
      <x:c r="X867" s="121"/>
      <x:c r="Y867" s="122"/>
      <x:c r="Z867" s="120"/>
      <x:c r="AA867" s="122"/>
      <x:c r="AB867" s="120"/>
      <x:c r="AC867" s="121"/>
      <x:c r="AD867" s="122"/>
      <x:c r="AE867" s="120"/>
      <x:c r="AF867" s="122"/>
      <x:c r="AG867" s="120"/>
      <x:c r="AH867" s="121"/>
      <x:c r="AI867" s="122"/>
      <x:c r="AJ867" s="120"/>
      <x:c r="AK867" s="122"/>
      <x:c r="AL867" s="120"/>
      <x:c r="AM867" s="121"/>
      <x:c r="AN867" s="122"/>
      <x:c r="AO867" s="120"/>
      <x:c r="AP867" s="122"/>
    </x:row>
    <x:row r="868" ht="15.75" customHeight="1">
      <x:c r="K868" s="120"/>
      <x:c r="M868" s="120"/>
      <x:c r="N868" s="121"/>
      <x:c r="P868" s="120"/>
      <x:c r="R868" s="120"/>
      <x:c r="S868" s="121"/>
      <x:c r="T868" s="122"/>
      <x:c r="U868" s="120"/>
      <x:c r="V868" s="122"/>
      <x:c r="W868" s="120"/>
      <x:c r="X868" s="121"/>
      <x:c r="Y868" s="122"/>
      <x:c r="Z868" s="120"/>
      <x:c r="AA868" s="122"/>
      <x:c r="AB868" s="120"/>
      <x:c r="AC868" s="121"/>
      <x:c r="AD868" s="122"/>
      <x:c r="AE868" s="120"/>
      <x:c r="AF868" s="122"/>
      <x:c r="AG868" s="120"/>
      <x:c r="AH868" s="121"/>
      <x:c r="AI868" s="122"/>
      <x:c r="AJ868" s="120"/>
      <x:c r="AK868" s="122"/>
      <x:c r="AL868" s="120"/>
      <x:c r="AM868" s="121"/>
      <x:c r="AN868" s="122"/>
      <x:c r="AO868" s="120"/>
      <x:c r="AP868" s="122"/>
    </x:row>
    <x:row r="869" ht="15.75" customHeight="1">
      <x:c r="K869" s="120"/>
      <x:c r="M869" s="120"/>
      <x:c r="N869" s="121"/>
      <x:c r="P869" s="120"/>
      <x:c r="R869" s="120"/>
      <x:c r="S869" s="121"/>
      <x:c r="T869" s="122"/>
      <x:c r="U869" s="120"/>
      <x:c r="V869" s="122"/>
      <x:c r="W869" s="120"/>
      <x:c r="X869" s="121"/>
      <x:c r="Y869" s="122"/>
      <x:c r="Z869" s="120"/>
      <x:c r="AA869" s="122"/>
      <x:c r="AB869" s="120"/>
      <x:c r="AC869" s="121"/>
      <x:c r="AD869" s="122"/>
      <x:c r="AE869" s="120"/>
      <x:c r="AF869" s="122"/>
      <x:c r="AG869" s="120"/>
      <x:c r="AH869" s="121"/>
      <x:c r="AI869" s="122"/>
      <x:c r="AJ869" s="120"/>
      <x:c r="AK869" s="122"/>
      <x:c r="AL869" s="120"/>
      <x:c r="AM869" s="121"/>
      <x:c r="AN869" s="122"/>
      <x:c r="AO869" s="120"/>
      <x:c r="AP869" s="122"/>
    </x:row>
    <x:row r="870" ht="15.75" customHeight="1">
      <x:c r="K870" s="120"/>
      <x:c r="M870" s="120"/>
      <x:c r="N870" s="121"/>
      <x:c r="P870" s="120"/>
      <x:c r="R870" s="120"/>
      <x:c r="S870" s="121"/>
      <x:c r="T870" s="122"/>
      <x:c r="U870" s="120"/>
      <x:c r="V870" s="122"/>
      <x:c r="W870" s="120"/>
      <x:c r="X870" s="121"/>
      <x:c r="Y870" s="122"/>
      <x:c r="Z870" s="120"/>
      <x:c r="AA870" s="122"/>
      <x:c r="AB870" s="120"/>
      <x:c r="AC870" s="121"/>
      <x:c r="AD870" s="122"/>
      <x:c r="AE870" s="120"/>
      <x:c r="AF870" s="122"/>
      <x:c r="AG870" s="120"/>
      <x:c r="AH870" s="121"/>
      <x:c r="AI870" s="122"/>
      <x:c r="AJ870" s="120"/>
      <x:c r="AK870" s="122"/>
      <x:c r="AL870" s="120"/>
      <x:c r="AM870" s="121"/>
      <x:c r="AN870" s="122"/>
      <x:c r="AO870" s="120"/>
      <x:c r="AP870" s="122"/>
    </x:row>
    <x:row r="871" ht="15.75" customHeight="1">
      <x:c r="K871" s="120"/>
      <x:c r="M871" s="120"/>
      <x:c r="N871" s="121"/>
      <x:c r="P871" s="120"/>
      <x:c r="R871" s="120"/>
      <x:c r="S871" s="121"/>
      <x:c r="T871" s="122"/>
      <x:c r="U871" s="120"/>
      <x:c r="V871" s="122"/>
      <x:c r="W871" s="120"/>
      <x:c r="X871" s="121"/>
      <x:c r="Y871" s="122"/>
      <x:c r="Z871" s="120"/>
      <x:c r="AA871" s="122"/>
      <x:c r="AB871" s="120"/>
      <x:c r="AC871" s="121"/>
      <x:c r="AD871" s="122"/>
      <x:c r="AE871" s="120"/>
      <x:c r="AF871" s="122"/>
      <x:c r="AG871" s="120"/>
      <x:c r="AH871" s="121"/>
      <x:c r="AI871" s="122"/>
      <x:c r="AJ871" s="120"/>
      <x:c r="AK871" s="122"/>
      <x:c r="AL871" s="120"/>
      <x:c r="AM871" s="121"/>
      <x:c r="AN871" s="122"/>
      <x:c r="AO871" s="120"/>
      <x:c r="AP871" s="122"/>
    </x:row>
    <x:row r="872" ht="15.75" customHeight="1">
      <x:c r="K872" s="120"/>
      <x:c r="M872" s="120"/>
      <x:c r="N872" s="121"/>
      <x:c r="P872" s="120"/>
      <x:c r="R872" s="120"/>
      <x:c r="S872" s="121"/>
      <x:c r="T872" s="122"/>
      <x:c r="U872" s="120"/>
      <x:c r="V872" s="122"/>
      <x:c r="W872" s="120"/>
      <x:c r="X872" s="121"/>
      <x:c r="Y872" s="122"/>
      <x:c r="Z872" s="120"/>
      <x:c r="AA872" s="122"/>
      <x:c r="AB872" s="120"/>
      <x:c r="AC872" s="121"/>
      <x:c r="AD872" s="122"/>
      <x:c r="AE872" s="120"/>
      <x:c r="AF872" s="122"/>
      <x:c r="AG872" s="120"/>
      <x:c r="AH872" s="121"/>
      <x:c r="AI872" s="122"/>
      <x:c r="AJ872" s="120"/>
      <x:c r="AK872" s="122"/>
      <x:c r="AL872" s="120"/>
      <x:c r="AM872" s="121"/>
      <x:c r="AN872" s="122"/>
      <x:c r="AO872" s="120"/>
      <x:c r="AP872" s="122"/>
    </x:row>
    <x:row r="873" ht="15.75" customHeight="1">
      <x:c r="K873" s="120"/>
      <x:c r="M873" s="120"/>
      <x:c r="N873" s="121"/>
      <x:c r="P873" s="120"/>
      <x:c r="R873" s="120"/>
      <x:c r="S873" s="121"/>
      <x:c r="T873" s="122"/>
      <x:c r="U873" s="120"/>
      <x:c r="V873" s="122"/>
      <x:c r="W873" s="120"/>
      <x:c r="X873" s="121"/>
      <x:c r="Y873" s="122"/>
      <x:c r="Z873" s="120"/>
      <x:c r="AA873" s="122"/>
      <x:c r="AB873" s="120"/>
      <x:c r="AC873" s="121"/>
      <x:c r="AD873" s="122"/>
      <x:c r="AE873" s="120"/>
      <x:c r="AF873" s="122"/>
      <x:c r="AG873" s="120"/>
      <x:c r="AH873" s="121"/>
      <x:c r="AI873" s="122"/>
      <x:c r="AJ873" s="120"/>
      <x:c r="AK873" s="122"/>
      <x:c r="AL873" s="120"/>
      <x:c r="AM873" s="121"/>
      <x:c r="AN873" s="122"/>
      <x:c r="AO873" s="120"/>
      <x:c r="AP873" s="122"/>
    </x:row>
    <x:row r="874" ht="15.75" customHeight="1">
      <x:c r="K874" s="120"/>
      <x:c r="M874" s="120"/>
      <x:c r="N874" s="121"/>
      <x:c r="P874" s="120"/>
      <x:c r="R874" s="120"/>
      <x:c r="S874" s="121"/>
      <x:c r="T874" s="122"/>
      <x:c r="U874" s="120"/>
      <x:c r="V874" s="122"/>
      <x:c r="W874" s="120"/>
      <x:c r="X874" s="121"/>
      <x:c r="Y874" s="122"/>
      <x:c r="Z874" s="120"/>
      <x:c r="AA874" s="122"/>
      <x:c r="AB874" s="120"/>
      <x:c r="AC874" s="121"/>
      <x:c r="AD874" s="122"/>
      <x:c r="AE874" s="120"/>
      <x:c r="AF874" s="122"/>
      <x:c r="AG874" s="120"/>
      <x:c r="AH874" s="121"/>
      <x:c r="AI874" s="122"/>
      <x:c r="AJ874" s="120"/>
      <x:c r="AK874" s="122"/>
      <x:c r="AL874" s="120"/>
      <x:c r="AM874" s="121"/>
      <x:c r="AN874" s="122"/>
      <x:c r="AO874" s="120"/>
      <x:c r="AP874" s="122"/>
    </x:row>
    <x:row r="875" ht="15.75" customHeight="1">
      <x:c r="K875" s="120"/>
      <x:c r="M875" s="120"/>
      <x:c r="N875" s="121"/>
      <x:c r="P875" s="120"/>
      <x:c r="R875" s="120"/>
      <x:c r="S875" s="121"/>
      <x:c r="T875" s="122"/>
      <x:c r="U875" s="120"/>
      <x:c r="V875" s="122"/>
      <x:c r="W875" s="120"/>
      <x:c r="X875" s="121"/>
      <x:c r="Y875" s="122"/>
      <x:c r="Z875" s="120"/>
      <x:c r="AA875" s="122"/>
      <x:c r="AB875" s="120"/>
      <x:c r="AC875" s="121"/>
      <x:c r="AD875" s="122"/>
      <x:c r="AE875" s="120"/>
      <x:c r="AF875" s="122"/>
      <x:c r="AG875" s="120"/>
      <x:c r="AH875" s="121"/>
      <x:c r="AI875" s="122"/>
      <x:c r="AJ875" s="120"/>
      <x:c r="AK875" s="122"/>
      <x:c r="AL875" s="120"/>
      <x:c r="AM875" s="121"/>
      <x:c r="AN875" s="122"/>
      <x:c r="AO875" s="120"/>
      <x:c r="AP875" s="122"/>
    </x:row>
    <x:row r="876" ht="15.75" customHeight="1">
      <x:c r="K876" s="120"/>
      <x:c r="M876" s="120"/>
      <x:c r="N876" s="121"/>
      <x:c r="P876" s="120"/>
      <x:c r="R876" s="120"/>
      <x:c r="S876" s="121"/>
      <x:c r="T876" s="122"/>
      <x:c r="U876" s="120"/>
      <x:c r="V876" s="122"/>
      <x:c r="W876" s="120"/>
      <x:c r="X876" s="121"/>
      <x:c r="Y876" s="122"/>
      <x:c r="Z876" s="120"/>
      <x:c r="AA876" s="122"/>
      <x:c r="AB876" s="120"/>
      <x:c r="AC876" s="121"/>
      <x:c r="AD876" s="122"/>
      <x:c r="AE876" s="120"/>
      <x:c r="AF876" s="122"/>
      <x:c r="AG876" s="120"/>
      <x:c r="AH876" s="121"/>
      <x:c r="AI876" s="122"/>
      <x:c r="AJ876" s="120"/>
      <x:c r="AK876" s="122"/>
      <x:c r="AL876" s="120"/>
      <x:c r="AM876" s="121"/>
      <x:c r="AN876" s="122"/>
      <x:c r="AO876" s="120"/>
      <x:c r="AP876" s="122"/>
    </x:row>
    <x:row r="877" ht="15.75" customHeight="1">
      <x:c r="K877" s="120"/>
      <x:c r="M877" s="120"/>
      <x:c r="N877" s="121"/>
      <x:c r="P877" s="120"/>
      <x:c r="R877" s="120"/>
      <x:c r="S877" s="121"/>
      <x:c r="T877" s="122"/>
      <x:c r="U877" s="120"/>
      <x:c r="V877" s="122"/>
      <x:c r="W877" s="120"/>
      <x:c r="X877" s="121"/>
      <x:c r="Y877" s="122"/>
      <x:c r="Z877" s="120"/>
      <x:c r="AA877" s="122"/>
      <x:c r="AB877" s="120"/>
      <x:c r="AC877" s="121"/>
      <x:c r="AD877" s="122"/>
      <x:c r="AE877" s="120"/>
      <x:c r="AF877" s="122"/>
      <x:c r="AG877" s="120"/>
      <x:c r="AH877" s="121"/>
      <x:c r="AI877" s="122"/>
      <x:c r="AJ877" s="120"/>
      <x:c r="AK877" s="122"/>
      <x:c r="AL877" s="120"/>
      <x:c r="AM877" s="121"/>
      <x:c r="AN877" s="122"/>
      <x:c r="AO877" s="120"/>
      <x:c r="AP877" s="122"/>
    </x:row>
    <x:row r="878" ht="15.75" customHeight="1">
      <x:c r="K878" s="120"/>
      <x:c r="M878" s="120"/>
      <x:c r="N878" s="121"/>
      <x:c r="P878" s="120"/>
      <x:c r="R878" s="120"/>
      <x:c r="S878" s="121"/>
      <x:c r="T878" s="122"/>
      <x:c r="U878" s="120"/>
      <x:c r="V878" s="122"/>
      <x:c r="W878" s="120"/>
      <x:c r="X878" s="121"/>
      <x:c r="Y878" s="122"/>
      <x:c r="Z878" s="120"/>
      <x:c r="AA878" s="122"/>
      <x:c r="AB878" s="120"/>
      <x:c r="AC878" s="121"/>
      <x:c r="AD878" s="122"/>
      <x:c r="AE878" s="120"/>
      <x:c r="AF878" s="122"/>
      <x:c r="AG878" s="120"/>
      <x:c r="AH878" s="121"/>
      <x:c r="AI878" s="122"/>
      <x:c r="AJ878" s="120"/>
      <x:c r="AK878" s="122"/>
      <x:c r="AL878" s="120"/>
      <x:c r="AM878" s="121"/>
      <x:c r="AN878" s="122"/>
      <x:c r="AO878" s="120"/>
      <x:c r="AP878" s="122"/>
    </x:row>
    <x:row r="879" ht="15.75" customHeight="1">
      <x:c r="K879" s="120"/>
      <x:c r="M879" s="120"/>
      <x:c r="N879" s="121"/>
      <x:c r="P879" s="120"/>
      <x:c r="R879" s="120"/>
      <x:c r="S879" s="121"/>
      <x:c r="T879" s="122"/>
      <x:c r="U879" s="120"/>
      <x:c r="V879" s="122"/>
      <x:c r="W879" s="120"/>
      <x:c r="X879" s="121"/>
      <x:c r="Y879" s="122"/>
      <x:c r="Z879" s="120"/>
      <x:c r="AA879" s="122"/>
      <x:c r="AB879" s="120"/>
      <x:c r="AC879" s="121"/>
      <x:c r="AD879" s="122"/>
      <x:c r="AE879" s="120"/>
      <x:c r="AF879" s="122"/>
      <x:c r="AG879" s="120"/>
      <x:c r="AH879" s="121"/>
      <x:c r="AI879" s="122"/>
      <x:c r="AJ879" s="120"/>
      <x:c r="AK879" s="122"/>
      <x:c r="AL879" s="120"/>
      <x:c r="AM879" s="121"/>
      <x:c r="AN879" s="122"/>
      <x:c r="AO879" s="120"/>
      <x:c r="AP879" s="122"/>
    </x:row>
    <x:row r="880" ht="15.75" customHeight="1">
      <x:c r="K880" s="120"/>
      <x:c r="M880" s="120"/>
      <x:c r="N880" s="121"/>
      <x:c r="P880" s="120"/>
      <x:c r="R880" s="120"/>
      <x:c r="S880" s="121"/>
      <x:c r="T880" s="122"/>
      <x:c r="U880" s="120"/>
      <x:c r="V880" s="122"/>
      <x:c r="W880" s="120"/>
      <x:c r="X880" s="121"/>
      <x:c r="Y880" s="122"/>
      <x:c r="Z880" s="120"/>
      <x:c r="AA880" s="122"/>
      <x:c r="AB880" s="120"/>
      <x:c r="AC880" s="121"/>
      <x:c r="AD880" s="122"/>
      <x:c r="AE880" s="120"/>
      <x:c r="AF880" s="122"/>
      <x:c r="AG880" s="120"/>
      <x:c r="AH880" s="121"/>
      <x:c r="AI880" s="122"/>
      <x:c r="AJ880" s="120"/>
      <x:c r="AK880" s="122"/>
      <x:c r="AL880" s="120"/>
      <x:c r="AM880" s="121"/>
      <x:c r="AN880" s="122"/>
      <x:c r="AO880" s="120"/>
      <x:c r="AP880" s="122"/>
    </x:row>
    <x:row r="881" ht="15.75" customHeight="1">
      <x:c r="K881" s="120"/>
      <x:c r="M881" s="120"/>
      <x:c r="N881" s="121"/>
      <x:c r="P881" s="120"/>
      <x:c r="R881" s="120"/>
      <x:c r="S881" s="121"/>
      <x:c r="T881" s="122"/>
      <x:c r="U881" s="120"/>
      <x:c r="V881" s="122"/>
      <x:c r="W881" s="120"/>
      <x:c r="X881" s="121"/>
      <x:c r="Y881" s="122"/>
      <x:c r="Z881" s="120"/>
      <x:c r="AA881" s="122"/>
      <x:c r="AB881" s="120"/>
      <x:c r="AC881" s="121"/>
      <x:c r="AD881" s="122"/>
      <x:c r="AE881" s="120"/>
      <x:c r="AF881" s="122"/>
      <x:c r="AG881" s="120"/>
      <x:c r="AH881" s="121"/>
      <x:c r="AI881" s="122"/>
      <x:c r="AJ881" s="120"/>
      <x:c r="AK881" s="122"/>
      <x:c r="AL881" s="120"/>
      <x:c r="AM881" s="121"/>
      <x:c r="AN881" s="122"/>
      <x:c r="AO881" s="120"/>
      <x:c r="AP881" s="122"/>
    </x:row>
    <x:row r="882" ht="15.75" customHeight="1">
      <x:c r="K882" s="120"/>
      <x:c r="M882" s="120"/>
      <x:c r="N882" s="121"/>
      <x:c r="P882" s="120"/>
      <x:c r="R882" s="120"/>
      <x:c r="S882" s="121"/>
      <x:c r="T882" s="122"/>
      <x:c r="U882" s="120"/>
      <x:c r="V882" s="122"/>
      <x:c r="W882" s="120"/>
      <x:c r="X882" s="121"/>
      <x:c r="Y882" s="122"/>
      <x:c r="Z882" s="120"/>
      <x:c r="AA882" s="122"/>
      <x:c r="AB882" s="120"/>
      <x:c r="AC882" s="121"/>
      <x:c r="AD882" s="122"/>
      <x:c r="AE882" s="120"/>
      <x:c r="AF882" s="122"/>
      <x:c r="AG882" s="120"/>
      <x:c r="AH882" s="121"/>
      <x:c r="AI882" s="122"/>
      <x:c r="AJ882" s="120"/>
      <x:c r="AK882" s="122"/>
      <x:c r="AL882" s="120"/>
      <x:c r="AM882" s="121"/>
      <x:c r="AN882" s="122"/>
      <x:c r="AO882" s="120"/>
      <x:c r="AP882" s="122"/>
    </x:row>
    <x:row r="883" ht="15.75" customHeight="1">
      <x:c r="K883" s="120"/>
      <x:c r="M883" s="120"/>
      <x:c r="N883" s="121"/>
      <x:c r="P883" s="120"/>
      <x:c r="R883" s="120"/>
      <x:c r="S883" s="121"/>
      <x:c r="T883" s="122"/>
      <x:c r="U883" s="120"/>
      <x:c r="V883" s="122"/>
      <x:c r="W883" s="120"/>
      <x:c r="X883" s="121"/>
      <x:c r="Y883" s="122"/>
      <x:c r="Z883" s="120"/>
      <x:c r="AA883" s="122"/>
      <x:c r="AB883" s="120"/>
      <x:c r="AC883" s="121"/>
      <x:c r="AD883" s="122"/>
      <x:c r="AE883" s="120"/>
      <x:c r="AF883" s="122"/>
      <x:c r="AG883" s="120"/>
      <x:c r="AH883" s="121"/>
      <x:c r="AI883" s="122"/>
      <x:c r="AJ883" s="120"/>
      <x:c r="AK883" s="122"/>
      <x:c r="AL883" s="120"/>
      <x:c r="AM883" s="121"/>
      <x:c r="AN883" s="122"/>
      <x:c r="AO883" s="120"/>
      <x:c r="AP883" s="122"/>
    </x:row>
    <x:row r="884" ht="15.75" customHeight="1">
      <x:c r="K884" s="120"/>
      <x:c r="M884" s="120"/>
      <x:c r="N884" s="121"/>
      <x:c r="P884" s="120"/>
      <x:c r="R884" s="120"/>
      <x:c r="S884" s="121"/>
      <x:c r="T884" s="122"/>
      <x:c r="U884" s="120"/>
      <x:c r="V884" s="122"/>
      <x:c r="W884" s="120"/>
      <x:c r="X884" s="121"/>
      <x:c r="Y884" s="122"/>
      <x:c r="Z884" s="120"/>
      <x:c r="AA884" s="122"/>
      <x:c r="AB884" s="120"/>
      <x:c r="AC884" s="121"/>
      <x:c r="AD884" s="122"/>
      <x:c r="AE884" s="120"/>
      <x:c r="AF884" s="122"/>
      <x:c r="AG884" s="120"/>
      <x:c r="AH884" s="121"/>
      <x:c r="AI884" s="122"/>
      <x:c r="AJ884" s="120"/>
      <x:c r="AK884" s="122"/>
      <x:c r="AL884" s="120"/>
      <x:c r="AM884" s="121"/>
      <x:c r="AN884" s="122"/>
      <x:c r="AO884" s="120"/>
      <x:c r="AP884" s="122"/>
    </x:row>
    <x:row r="885" ht="15.75" customHeight="1">
      <x:c r="K885" s="120"/>
      <x:c r="M885" s="120"/>
      <x:c r="N885" s="121"/>
      <x:c r="P885" s="120"/>
      <x:c r="R885" s="120"/>
      <x:c r="S885" s="121"/>
      <x:c r="T885" s="122"/>
      <x:c r="U885" s="120"/>
      <x:c r="V885" s="122"/>
      <x:c r="W885" s="120"/>
      <x:c r="X885" s="121"/>
      <x:c r="Y885" s="122"/>
      <x:c r="Z885" s="120"/>
      <x:c r="AA885" s="122"/>
      <x:c r="AB885" s="120"/>
      <x:c r="AC885" s="121"/>
      <x:c r="AD885" s="122"/>
      <x:c r="AE885" s="120"/>
      <x:c r="AF885" s="122"/>
      <x:c r="AG885" s="120"/>
      <x:c r="AH885" s="121"/>
      <x:c r="AI885" s="122"/>
      <x:c r="AJ885" s="120"/>
      <x:c r="AK885" s="122"/>
      <x:c r="AL885" s="120"/>
      <x:c r="AM885" s="121"/>
      <x:c r="AN885" s="122"/>
      <x:c r="AO885" s="120"/>
      <x:c r="AP885" s="122"/>
    </x:row>
    <x:row r="886" ht="15.75" customHeight="1">
      <x:c r="K886" s="120"/>
      <x:c r="M886" s="120"/>
      <x:c r="N886" s="121"/>
      <x:c r="P886" s="120"/>
      <x:c r="R886" s="120"/>
      <x:c r="S886" s="121"/>
      <x:c r="T886" s="122"/>
      <x:c r="U886" s="120"/>
      <x:c r="V886" s="122"/>
      <x:c r="W886" s="120"/>
      <x:c r="X886" s="121"/>
      <x:c r="Y886" s="122"/>
      <x:c r="Z886" s="120"/>
      <x:c r="AA886" s="122"/>
      <x:c r="AB886" s="120"/>
      <x:c r="AC886" s="121"/>
      <x:c r="AD886" s="122"/>
      <x:c r="AE886" s="120"/>
      <x:c r="AF886" s="122"/>
      <x:c r="AG886" s="120"/>
      <x:c r="AH886" s="121"/>
      <x:c r="AI886" s="122"/>
      <x:c r="AJ886" s="120"/>
      <x:c r="AK886" s="122"/>
      <x:c r="AL886" s="120"/>
      <x:c r="AM886" s="121"/>
      <x:c r="AN886" s="122"/>
      <x:c r="AO886" s="120"/>
      <x:c r="AP886" s="122"/>
    </x:row>
    <x:row r="887" ht="15.75" customHeight="1">
      <x:c r="K887" s="120"/>
      <x:c r="M887" s="120"/>
      <x:c r="N887" s="121"/>
      <x:c r="P887" s="120"/>
      <x:c r="R887" s="120"/>
      <x:c r="S887" s="121"/>
      <x:c r="T887" s="122"/>
      <x:c r="U887" s="120"/>
      <x:c r="V887" s="122"/>
      <x:c r="W887" s="120"/>
      <x:c r="X887" s="121"/>
      <x:c r="Y887" s="122"/>
      <x:c r="Z887" s="120"/>
      <x:c r="AA887" s="122"/>
      <x:c r="AB887" s="120"/>
      <x:c r="AC887" s="121"/>
      <x:c r="AD887" s="122"/>
      <x:c r="AE887" s="120"/>
      <x:c r="AF887" s="122"/>
      <x:c r="AG887" s="120"/>
      <x:c r="AH887" s="121"/>
      <x:c r="AI887" s="122"/>
      <x:c r="AJ887" s="120"/>
      <x:c r="AK887" s="122"/>
      <x:c r="AL887" s="120"/>
      <x:c r="AM887" s="121"/>
      <x:c r="AN887" s="122"/>
      <x:c r="AO887" s="120"/>
      <x:c r="AP887" s="122"/>
    </x:row>
    <x:row r="888" ht="15.75" customHeight="1">
      <x:c r="K888" s="120"/>
      <x:c r="M888" s="120"/>
      <x:c r="N888" s="121"/>
      <x:c r="P888" s="120"/>
      <x:c r="R888" s="120"/>
      <x:c r="S888" s="121"/>
      <x:c r="T888" s="122"/>
      <x:c r="U888" s="120"/>
      <x:c r="V888" s="122"/>
      <x:c r="W888" s="120"/>
      <x:c r="X888" s="121"/>
      <x:c r="Y888" s="122"/>
      <x:c r="Z888" s="120"/>
      <x:c r="AA888" s="122"/>
      <x:c r="AB888" s="120"/>
      <x:c r="AC888" s="121"/>
      <x:c r="AD888" s="122"/>
      <x:c r="AE888" s="120"/>
      <x:c r="AF888" s="122"/>
      <x:c r="AG888" s="120"/>
      <x:c r="AH888" s="121"/>
      <x:c r="AI888" s="122"/>
      <x:c r="AJ888" s="120"/>
      <x:c r="AK888" s="122"/>
      <x:c r="AL888" s="120"/>
      <x:c r="AM888" s="121"/>
      <x:c r="AN888" s="122"/>
      <x:c r="AO888" s="120"/>
      <x:c r="AP888" s="122"/>
    </x:row>
    <x:row r="889" ht="15.75" customHeight="1">
      <x:c r="K889" s="120"/>
      <x:c r="M889" s="120"/>
      <x:c r="N889" s="121"/>
      <x:c r="P889" s="120"/>
      <x:c r="R889" s="120"/>
      <x:c r="S889" s="121"/>
      <x:c r="T889" s="122"/>
      <x:c r="U889" s="120"/>
      <x:c r="V889" s="122"/>
      <x:c r="W889" s="120"/>
      <x:c r="X889" s="121"/>
      <x:c r="Y889" s="122"/>
      <x:c r="Z889" s="120"/>
      <x:c r="AA889" s="122"/>
      <x:c r="AB889" s="120"/>
      <x:c r="AC889" s="121"/>
      <x:c r="AD889" s="122"/>
      <x:c r="AE889" s="120"/>
      <x:c r="AF889" s="122"/>
      <x:c r="AG889" s="120"/>
      <x:c r="AH889" s="121"/>
      <x:c r="AI889" s="122"/>
      <x:c r="AJ889" s="120"/>
      <x:c r="AK889" s="122"/>
      <x:c r="AL889" s="120"/>
      <x:c r="AM889" s="121"/>
      <x:c r="AN889" s="122"/>
      <x:c r="AO889" s="120"/>
      <x:c r="AP889" s="122"/>
    </x:row>
    <x:row r="890" ht="15.75" customHeight="1">
      <x:c r="K890" s="120"/>
      <x:c r="M890" s="120"/>
      <x:c r="N890" s="121"/>
      <x:c r="P890" s="120"/>
      <x:c r="R890" s="120"/>
      <x:c r="S890" s="121"/>
      <x:c r="T890" s="122"/>
      <x:c r="U890" s="120"/>
      <x:c r="V890" s="122"/>
      <x:c r="W890" s="120"/>
      <x:c r="X890" s="121"/>
      <x:c r="Y890" s="122"/>
      <x:c r="Z890" s="120"/>
      <x:c r="AA890" s="122"/>
      <x:c r="AB890" s="120"/>
      <x:c r="AC890" s="121"/>
      <x:c r="AD890" s="122"/>
      <x:c r="AE890" s="120"/>
      <x:c r="AF890" s="122"/>
      <x:c r="AG890" s="120"/>
      <x:c r="AH890" s="121"/>
      <x:c r="AI890" s="122"/>
      <x:c r="AJ890" s="120"/>
      <x:c r="AK890" s="122"/>
      <x:c r="AL890" s="120"/>
      <x:c r="AM890" s="121"/>
      <x:c r="AN890" s="122"/>
      <x:c r="AO890" s="120"/>
      <x:c r="AP890" s="122"/>
    </x:row>
    <x:row r="891" ht="15.75" customHeight="1">
      <x:c r="K891" s="120"/>
      <x:c r="M891" s="120"/>
      <x:c r="N891" s="121"/>
      <x:c r="P891" s="120"/>
      <x:c r="R891" s="120"/>
      <x:c r="S891" s="121"/>
      <x:c r="T891" s="122"/>
      <x:c r="U891" s="120"/>
      <x:c r="V891" s="122"/>
      <x:c r="W891" s="120"/>
      <x:c r="X891" s="121"/>
      <x:c r="Y891" s="122"/>
      <x:c r="Z891" s="120"/>
      <x:c r="AA891" s="122"/>
      <x:c r="AB891" s="120"/>
      <x:c r="AC891" s="121"/>
      <x:c r="AD891" s="122"/>
      <x:c r="AE891" s="120"/>
      <x:c r="AF891" s="122"/>
      <x:c r="AG891" s="120"/>
      <x:c r="AH891" s="121"/>
      <x:c r="AI891" s="122"/>
      <x:c r="AJ891" s="120"/>
      <x:c r="AK891" s="122"/>
      <x:c r="AL891" s="120"/>
      <x:c r="AM891" s="121"/>
      <x:c r="AN891" s="122"/>
      <x:c r="AO891" s="120"/>
      <x:c r="AP891" s="122"/>
    </x:row>
    <x:row r="892" ht="15.75" customHeight="1">
      <x:c r="K892" s="120"/>
      <x:c r="M892" s="120"/>
      <x:c r="N892" s="121"/>
      <x:c r="P892" s="120"/>
      <x:c r="R892" s="120"/>
      <x:c r="S892" s="121"/>
      <x:c r="T892" s="122"/>
      <x:c r="U892" s="120"/>
      <x:c r="V892" s="122"/>
      <x:c r="W892" s="120"/>
      <x:c r="X892" s="121"/>
      <x:c r="Y892" s="122"/>
      <x:c r="Z892" s="120"/>
      <x:c r="AA892" s="122"/>
      <x:c r="AB892" s="120"/>
      <x:c r="AC892" s="121"/>
      <x:c r="AD892" s="122"/>
      <x:c r="AE892" s="120"/>
      <x:c r="AF892" s="122"/>
      <x:c r="AG892" s="120"/>
      <x:c r="AH892" s="121"/>
      <x:c r="AI892" s="122"/>
      <x:c r="AJ892" s="120"/>
      <x:c r="AK892" s="122"/>
      <x:c r="AL892" s="120"/>
      <x:c r="AM892" s="121"/>
      <x:c r="AN892" s="122"/>
      <x:c r="AO892" s="120"/>
      <x:c r="AP892" s="122"/>
    </x:row>
    <x:row r="893" ht="15.75" customHeight="1">
      <x:c r="K893" s="120"/>
      <x:c r="M893" s="120"/>
      <x:c r="N893" s="121"/>
      <x:c r="P893" s="120"/>
      <x:c r="R893" s="120"/>
      <x:c r="S893" s="121"/>
      <x:c r="T893" s="122"/>
      <x:c r="U893" s="120"/>
      <x:c r="V893" s="122"/>
      <x:c r="W893" s="120"/>
      <x:c r="X893" s="121"/>
      <x:c r="Y893" s="122"/>
      <x:c r="Z893" s="120"/>
      <x:c r="AA893" s="122"/>
      <x:c r="AB893" s="120"/>
      <x:c r="AC893" s="121"/>
      <x:c r="AD893" s="122"/>
      <x:c r="AE893" s="120"/>
      <x:c r="AF893" s="122"/>
      <x:c r="AG893" s="120"/>
      <x:c r="AH893" s="121"/>
      <x:c r="AI893" s="122"/>
      <x:c r="AJ893" s="120"/>
      <x:c r="AK893" s="122"/>
      <x:c r="AL893" s="120"/>
      <x:c r="AM893" s="121"/>
      <x:c r="AN893" s="122"/>
      <x:c r="AO893" s="120"/>
      <x:c r="AP893" s="122"/>
    </x:row>
    <x:row r="894" ht="15.75" customHeight="1">
      <x:c r="K894" s="120"/>
      <x:c r="M894" s="120"/>
      <x:c r="N894" s="121"/>
      <x:c r="P894" s="120"/>
      <x:c r="R894" s="120"/>
      <x:c r="S894" s="121"/>
      <x:c r="T894" s="122"/>
      <x:c r="U894" s="120"/>
      <x:c r="V894" s="122"/>
      <x:c r="W894" s="120"/>
      <x:c r="X894" s="121"/>
      <x:c r="Y894" s="122"/>
      <x:c r="Z894" s="120"/>
      <x:c r="AA894" s="122"/>
      <x:c r="AB894" s="120"/>
      <x:c r="AC894" s="121"/>
      <x:c r="AD894" s="122"/>
      <x:c r="AE894" s="120"/>
      <x:c r="AF894" s="122"/>
      <x:c r="AG894" s="120"/>
      <x:c r="AH894" s="121"/>
      <x:c r="AI894" s="122"/>
      <x:c r="AJ894" s="120"/>
      <x:c r="AK894" s="122"/>
      <x:c r="AL894" s="120"/>
      <x:c r="AM894" s="121"/>
      <x:c r="AN894" s="122"/>
      <x:c r="AO894" s="120"/>
      <x:c r="AP894" s="122"/>
    </x:row>
    <x:row r="895" ht="15.75" customHeight="1">
      <x:c r="K895" s="120"/>
      <x:c r="M895" s="120"/>
      <x:c r="N895" s="121"/>
      <x:c r="P895" s="120"/>
      <x:c r="R895" s="120"/>
      <x:c r="S895" s="121"/>
      <x:c r="T895" s="122"/>
      <x:c r="U895" s="120"/>
      <x:c r="V895" s="122"/>
      <x:c r="W895" s="120"/>
      <x:c r="X895" s="121"/>
      <x:c r="Y895" s="122"/>
      <x:c r="Z895" s="120"/>
      <x:c r="AA895" s="122"/>
      <x:c r="AB895" s="120"/>
      <x:c r="AC895" s="121"/>
      <x:c r="AD895" s="122"/>
      <x:c r="AE895" s="120"/>
      <x:c r="AF895" s="122"/>
      <x:c r="AG895" s="120"/>
      <x:c r="AH895" s="121"/>
      <x:c r="AI895" s="122"/>
      <x:c r="AJ895" s="120"/>
      <x:c r="AK895" s="122"/>
      <x:c r="AL895" s="120"/>
      <x:c r="AM895" s="121"/>
      <x:c r="AN895" s="122"/>
      <x:c r="AO895" s="120"/>
      <x:c r="AP895" s="122"/>
    </x:row>
    <x:row r="896" ht="15.75" customHeight="1">
      <x:c r="K896" s="120"/>
      <x:c r="M896" s="120"/>
      <x:c r="N896" s="121"/>
      <x:c r="P896" s="120"/>
      <x:c r="R896" s="120"/>
      <x:c r="S896" s="121"/>
      <x:c r="T896" s="122"/>
      <x:c r="U896" s="120"/>
      <x:c r="V896" s="122"/>
      <x:c r="W896" s="120"/>
      <x:c r="X896" s="121"/>
      <x:c r="Y896" s="122"/>
      <x:c r="Z896" s="120"/>
      <x:c r="AA896" s="122"/>
      <x:c r="AB896" s="120"/>
      <x:c r="AC896" s="121"/>
      <x:c r="AD896" s="122"/>
      <x:c r="AE896" s="120"/>
      <x:c r="AF896" s="122"/>
      <x:c r="AG896" s="120"/>
      <x:c r="AH896" s="121"/>
      <x:c r="AI896" s="122"/>
      <x:c r="AJ896" s="120"/>
      <x:c r="AK896" s="122"/>
      <x:c r="AL896" s="120"/>
      <x:c r="AM896" s="121"/>
      <x:c r="AN896" s="122"/>
      <x:c r="AO896" s="120"/>
      <x:c r="AP896" s="122"/>
    </x:row>
    <x:row r="897" ht="15.75" customHeight="1">
      <x:c r="K897" s="120"/>
      <x:c r="M897" s="120"/>
      <x:c r="N897" s="121"/>
      <x:c r="P897" s="120"/>
      <x:c r="R897" s="120"/>
      <x:c r="S897" s="121"/>
      <x:c r="T897" s="122"/>
      <x:c r="U897" s="120"/>
      <x:c r="V897" s="122"/>
      <x:c r="W897" s="120"/>
      <x:c r="X897" s="121"/>
      <x:c r="Y897" s="122"/>
      <x:c r="Z897" s="120"/>
      <x:c r="AA897" s="122"/>
      <x:c r="AB897" s="120"/>
      <x:c r="AC897" s="121"/>
      <x:c r="AD897" s="122"/>
      <x:c r="AE897" s="120"/>
      <x:c r="AF897" s="122"/>
      <x:c r="AG897" s="120"/>
      <x:c r="AH897" s="121"/>
      <x:c r="AI897" s="122"/>
      <x:c r="AJ897" s="120"/>
      <x:c r="AK897" s="122"/>
      <x:c r="AL897" s="120"/>
      <x:c r="AM897" s="121"/>
      <x:c r="AN897" s="122"/>
      <x:c r="AO897" s="120"/>
      <x:c r="AP897" s="122"/>
    </x:row>
    <x:row r="898" ht="15.75" customHeight="1">
      <x:c r="K898" s="120"/>
      <x:c r="M898" s="120"/>
      <x:c r="N898" s="121"/>
      <x:c r="P898" s="120"/>
      <x:c r="R898" s="120"/>
      <x:c r="S898" s="121"/>
      <x:c r="T898" s="122"/>
      <x:c r="U898" s="120"/>
      <x:c r="V898" s="122"/>
      <x:c r="W898" s="120"/>
      <x:c r="X898" s="121"/>
      <x:c r="Y898" s="122"/>
      <x:c r="Z898" s="120"/>
      <x:c r="AA898" s="122"/>
      <x:c r="AB898" s="120"/>
      <x:c r="AC898" s="121"/>
      <x:c r="AD898" s="122"/>
      <x:c r="AE898" s="120"/>
      <x:c r="AF898" s="122"/>
      <x:c r="AG898" s="120"/>
      <x:c r="AH898" s="121"/>
      <x:c r="AI898" s="122"/>
      <x:c r="AJ898" s="120"/>
      <x:c r="AK898" s="122"/>
      <x:c r="AL898" s="120"/>
      <x:c r="AM898" s="121"/>
      <x:c r="AN898" s="122"/>
      <x:c r="AO898" s="120"/>
      <x:c r="AP898" s="122"/>
    </x:row>
    <x:row r="899" ht="15.75" customHeight="1">
      <x:c r="K899" s="120"/>
      <x:c r="M899" s="120"/>
      <x:c r="N899" s="121"/>
      <x:c r="P899" s="120"/>
      <x:c r="R899" s="120"/>
      <x:c r="S899" s="121"/>
      <x:c r="T899" s="122"/>
      <x:c r="U899" s="120"/>
      <x:c r="V899" s="122"/>
      <x:c r="W899" s="120"/>
      <x:c r="X899" s="121"/>
      <x:c r="Y899" s="122"/>
      <x:c r="Z899" s="120"/>
      <x:c r="AA899" s="122"/>
      <x:c r="AB899" s="120"/>
      <x:c r="AC899" s="121"/>
      <x:c r="AD899" s="122"/>
      <x:c r="AE899" s="120"/>
      <x:c r="AF899" s="122"/>
      <x:c r="AG899" s="120"/>
      <x:c r="AH899" s="121"/>
      <x:c r="AI899" s="122"/>
      <x:c r="AJ899" s="120"/>
      <x:c r="AK899" s="122"/>
      <x:c r="AL899" s="120"/>
      <x:c r="AM899" s="121"/>
      <x:c r="AN899" s="122"/>
      <x:c r="AO899" s="120"/>
      <x:c r="AP899" s="122"/>
    </x:row>
    <x:row r="900" ht="15.75" customHeight="1">
      <x:c r="K900" s="120"/>
      <x:c r="M900" s="120"/>
      <x:c r="N900" s="121"/>
      <x:c r="P900" s="120"/>
      <x:c r="R900" s="120"/>
      <x:c r="S900" s="121"/>
      <x:c r="T900" s="122"/>
      <x:c r="U900" s="120"/>
      <x:c r="V900" s="122"/>
      <x:c r="W900" s="120"/>
      <x:c r="X900" s="121"/>
      <x:c r="Y900" s="122"/>
      <x:c r="Z900" s="120"/>
      <x:c r="AA900" s="122"/>
      <x:c r="AB900" s="120"/>
      <x:c r="AC900" s="121"/>
      <x:c r="AD900" s="122"/>
      <x:c r="AE900" s="120"/>
      <x:c r="AF900" s="122"/>
      <x:c r="AG900" s="120"/>
      <x:c r="AH900" s="121"/>
      <x:c r="AI900" s="122"/>
      <x:c r="AJ900" s="120"/>
      <x:c r="AK900" s="122"/>
      <x:c r="AL900" s="120"/>
      <x:c r="AM900" s="121"/>
      <x:c r="AN900" s="122"/>
      <x:c r="AO900" s="120"/>
      <x:c r="AP900" s="122"/>
    </x:row>
    <x:row r="901" ht="15.75" customHeight="1">
      <x:c r="K901" s="120"/>
      <x:c r="M901" s="120"/>
      <x:c r="N901" s="121"/>
      <x:c r="P901" s="120"/>
      <x:c r="R901" s="120"/>
      <x:c r="S901" s="121"/>
      <x:c r="T901" s="122"/>
      <x:c r="U901" s="120"/>
      <x:c r="V901" s="122"/>
      <x:c r="W901" s="120"/>
      <x:c r="X901" s="121"/>
      <x:c r="Y901" s="122"/>
      <x:c r="Z901" s="120"/>
      <x:c r="AA901" s="122"/>
      <x:c r="AB901" s="120"/>
      <x:c r="AC901" s="121"/>
      <x:c r="AD901" s="122"/>
      <x:c r="AE901" s="120"/>
      <x:c r="AF901" s="122"/>
      <x:c r="AG901" s="120"/>
      <x:c r="AH901" s="121"/>
      <x:c r="AI901" s="122"/>
      <x:c r="AJ901" s="120"/>
      <x:c r="AK901" s="122"/>
      <x:c r="AL901" s="120"/>
      <x:c r="AM901" s="121"/>
      <x:c r="AN901" s="122"/>
      <x:c r="AO901" s="120"/>
      <x:c r="AP901" s="122"/>
    </x:row>
    <x:row r="902" ht="15.75" customHeight="1">
      <x:c r="K902" s="120"/>
      <x:c r="M902" s="120"/>
      <x:c r="N902" s="121"/>
      <x:c r="P902" s="120"/>
      <x:c r="R902" s="120"/>
      <x:c r="S902" s="121"/>
      <x:c r="T902" s="122"/>
      <x:c r="U902" s="120"/>
      <x:c r="V902" s="122"/>
      <x:c r="W902" s="120"/>
      <x:c r="X902" s="121"/>
      <x:c r="Y902" s="122"/>
      <x:c r="Z902" s="120"/>
      <x:c r="AA902" s="122"/>
      <x:c r="AB902" s="120"/>
      <x:c r="AC902" s="121"/>
      <x:c r="AD902" s="122"/>
      <x:c r="AE902" s="120"/>
      <x:c r="AF902" s="122"/>
      <x:c r="AG902" s="120"/>
      <x:c r="AH902" s="121"/>
      <x:c r="AI902" s="122"/>
      <x:c r="AJ902" s="120"/>
      <x:c r="AK902" s="122"/>
      <x:c r="AL902" s="120"/>
      <x:c r="AM902" s="121"/>
      <x:c r="AN902" s="122"/>
      <x:c r="AO902" s="120"/>
      <x:c r="AP902" s="122"/>
    </x:row>
    <x:row r="903" ht="15.75" customHeight="1">
      <x:c r="K903" s="120"/>
      <x:c r="M903" s="120"/>
      <x:c r="N903" s="121"/>
      <x:c r="P903" s="120"/>
      <x:c r="R903" s="120"/>
      <x:c r="S903" s="121"/>
      <x:c r="T903" s="122"/>
      <x:c r="U903" s="120"/>
      <x:c r="V903" s="122"/>
      <x:c r="W903" s="120"/>
      <x:c r="X903" s="121"/>
      <x:c r="Y903" s="122"/>
      <x:c r="Z903" s="120"/>
      <x:c r="AA903" s="122"/>
      <x:c r="AB903" s="120"/>
      <x:c r="AC903" s="121"/>
      <x:c r="AD903" s="122"/>
      <x:c r="AE903" s="120"/>
      <x:c r="AF903" s="122"/>
      <x:c r="AG903" s="120"/>
      <x:c r="AH903" s="121"/>
      <x:c r="AI903" s="122"/>
      <x:c r="AJ903" s="120"/>
      <x:c r="AK903" s="122"/>
      <x:c r="AL903" s="120"/>
      <x:c r="AM903" s="121"/>
      <x:c r="AN903" s="122"/>
      <x:c r="AO903" s="120"/>
      <x:c r="AP903" s="122"/>
    </x:row>
    <x:row r="904" ht="15.75" customHeight="1">
      <x:c r="K904" s="120"/>
      <x:c r="M904" s="120"/>
      <x:c r="N904" s="121"/>
      <x:c r="P904" s="120"/>
      <x:c r="R904" s="120"/>
      <x:c r="S904" s="121"/>
      <x:c r="T904" s="122"/>
      <x:c r="U904" s="120"/>
      <x:c r="V904" s="122"/>
      <x:c r="W904" s="120"/>
      <x:c r="X904" s="121"/>
      <x:c r="Y904" s="122"/>
      <x:c r="Z904" s="120"/>
      <x:c r="AA904" s="122"/>
      <x:c r="AB904" s="120"/>
      <x:c r="AC904" s="121"/>
      <x:c r="AD904" s="122"/>
      <x:c r="AE904" s="120"/>
      <x:c r="AF904" s="122"/>
      <x:c r="AG904" s="120"/>
      <x:c r="AH904" s="121"/>
      <x:c r="AI904" s="122"/>
      <x:c r="AJ904" s="120"/>
      <x:c r="AK904" s="122"/>
      <x:c r="AL904" s="120"/>
      <x:c r="AM904" s="121"/>
      <x:c r="AN904" s="122"/>
      <x:c r="AO904" s="120"/>
      <x:c r="AP904" s="122"/>
    </x:row>
    <x:row r="905" ht="15.75" customHeight="1">
      <x:c r="K905" s="120"/>
      <x:c r="M905" s="120"/>
      <x:c r="N905" s="121"/>
      <x:c r="P905" s="120"/>
      <x:c r="R905" s="120"/>
      <x:c r="S905" s="121"/>
      <x:c r="T905" s="122"/>
      <x:c r="U905" s="120"/>
      <x:c r="V905" s="122"/>
      <x:c r="W905" s="120"/>
      <x:c r="X905" s="121"/>
      <x:c r="Y905" s="122"/>
      <x:c r="Z905" s="120"/>
      <x:c r="AA905" s="122"/>
      <x:c r="AB905" s="120"/>
      <x:c r="AC905" s="121"/>
      <x:c r="AD905" s="122"/>
      <x:c r="AE905" s="120"/>
      <x:c r="AF905" s="122"/>
      <x:c r="AG905" s="120"/>
      <x:c r="AH905" s="121"/>
      <x:c r="AI905" s="122"/>
      <x:c r="AJ905" s="120"/>
      <x:c r="AK905" s="122"/>
      <x:c r="AL905" s="120"/>
      <x:c r="AM905" s="121"/>
      <x:c r="AN905" s="122"/>
      <x:c r="AO905" s="120"/>
      <x:c r="AP905" s="122"/>
    </x:row>
    <x:row r="906" ht="15.75" customHeight="1">
      <x:c r="K906" s="120"/>
      <x:c r="M906" s="120"/>
      <x:c r="N906" s="121"/>
      <x:c r="P906" s="120"/>
      <x:c r="R906" s="120"/>
      <x:c r="S906" s="121"/>
      <x:c r="T906" s="122"/>
      <x:c r="U906" s="120"/>
      <x:c r="V906" s="122"/>
      <x:c r="W906" s="120"/>
      <x:c r="X906" s="121"/>
      <x:c r="Y906" s="122"/>
      <x:c r="Z906" s="120"/>
      <x:c r="AA906" s="122"/>
      <x:c r="AB906" s="120"/>
      <x:c r="AC906" s="121"/>
      <x:c r="AD906" s="122"/>
      <x:c r="AE906" s="120"/>
      <x:c r="AF906" s="122"/>
      <x:c r="AG906" s="120"/>
      <x:c r="AH906" s="121"/>
      <x:c r="AI906" s="122"/>
      <x:c r="AJ906" s="120"/>
      <x:c r="AK906" s="122"/>
      <x:c r="AL906" s="120"/>
      <x:c r="AM906" s="121"/>
      <x:c r="AN906" s="122"/>
      <x:c r="AO906" s="120"/>
      <x:c r="AP906" s="122"/>
    </x:row>
    <x:row r="907" ht="15.75" customHeight="1">
      <x:c r="K907" s="120"/>
      <x:c r="M907" s="120"/>
      <x:c r="N907" s="121"/>
      <x:c r="P907" s="120"/>
      <x:c r="R907" s="120"/>
      <x:c r="S907" s="121"/>
      <x:c r="T907" s="122"/>
      <x:c r="U907" s="120"/>
      <x:c r="V907" s="122"/>
      <x:c r="W907" s="120"/>
      <x:c r="X907" s="121"/>
      <x:c r="Y907" s="122"/>
      <x:c r="Z907" s="120"/>
      <x:c r="AA907" s="122"/>
      <x:c r="AB907" s="120"/>
      <x:c r="AC907" s="121"/>
      <x:c r="AD907" s="122"/>
      <x:c r="AE907" s="120"/>
      <x:c r="AF907" s="122"/>
      <x:c r="AG907" s="120"/>
      <x:c r="AH907" s="121"/>
      <x:c r="AI907" s="122"/>
      <x:c r="AJ907" s="120"/>
      <x:c r="AK907" s="122"/>
      <x:c r="AL907" s="120"/>
      <x:c r="AM907" s="121"/>
      <x:c r="AN907" s="122"/>
      <x:c r="AO907" s="120"/>
      <x:c r="AP907" s="122"/>
    </x:row>
    <x:row r="908" ht="15.75" customHeight="1">
      <x:c r="K908" s="120"/>
      <x:c r="M908" s="120"/>
      <x:c r="N908" s="121"/>
      <x:c r="P908" s="120"/>
      <x:c r="R908" s="120"/>
      <x:c r="S908" s="121"/>
      <x:c r="T908" s="122"/>
      <x:c r="U908" s="120"/>
      <x:c r="V908" s="122"/>
      <x:c r="W908" s="120"/>
      <x:c r="X908" s="121"/>
      <x:c r="Y908" s="122"/>
      <x:c r="Z908" s="120"/>
      <x:c r="AA908" s="122"/>
      <x:c r="AB908" s="120"/>
      <x:c r="AC908" s="121"/>
      <x:c r="AD908" s="122"/>
      <x:c r="AE908" s="120"/>
      <x:c r="AF908" s="122"/>
      <x:c r="AG908" s="120"/>
      <x:c r="AH908" s="121"/>
      <x:c r="AI908" s="122"/>
      <x:c r="AJ908" s="120"/>
      <x:c r="AK908" s="122"/>
      <x:c r="AL908" s="120"/>
      <x:c r="AM908" s="121"/>
      <x:c r="AN908" s="122"/>
      <x:c r="AO908" s="120"/>
      <x:c r="AP908" s="122"/>
    </x:row>
    <x:row r="909" ht="15.75" customHeight="1">
      <x:c r="K909" s="120"/>
      <x:c r="M909" s="120"/>
      <x:c r="N909" s="121"/>
      <x:c r="P909" s="120"/>
      <x:c r="R909" s="120"/>
      <x:c r="S909" s="121"/>
      <x:c r="T909" s="122"/>
      <x:c r="U909" s="120"/>
      <x:c r="V909" s="122"/>
      <x:c r="W909" s="120"/>
      <x:c r="X909" s="121"/>
      <x:c r="Y909" s="122"/>
      <x:c r="Z909" s="120"/>
      <x:c r="AA909" s="122"/>
      <x:c r="AB909" s="120"/>
      <x:c r="AC909" s="121"/>
      <x:c r="AD909" s="122"/>
      <x:c r="AE909" s="120"/>
      <x:c r="AF909" s="122"/>
      <x:c r="AG909" s="120"/>
      <x:c r="AH909" s="121"/>
      <x:c r="AI909" s="122"/>
      <x:c r="AJ909" s="120"/>
      <x:c r="AK909" s="122"/>
      <x:c r="AL909" s="120"/>
      <x:c r="AM909" s="121"/>
      <x:c r="AN909" s="122"/>
      <x:c r="AO909" s="120"/>
      <x:c r="AP909" s="122"/>
    </x:row>
    <x:row r="910" ht="15.75" customHeight="1">
      <x:c r="K910" s="120"/>
      <x:c r="M910" s="120"/>
      <x:c r="N910" s="121"/>
      <x:c r="P910" s="120"/>
      <x:c r="R910" s="120"/>
      <x:c r="S910" s="121"/>
      <x:c r="T910" s="122"/>
      <x:c r="U910" s="120"/>
      <x:c r="V910" s="122"/>
      <x:c r="W910" s="120"/>
      <x:c r="X910" s="121"/>
      <x:c r="Y910" s="122"/>
      <x:c r="Z910" s="120"/>
      <x:c r="AA910" s="122"/>
      <x:c r="AB910" s="120"/>
      <x:c r="AC910" s="121"/>
      <x:c r="AD910" s="122"/>
      <x:c r="AE910" s="120"/>
      <x:c r="AF910" s="122"/>
      <x:c r="AG910" s="120"/>
      <x:c r="AH910" s="121"/>
      <x:c r="AI910" s="122"/>
      <x:c r="AJ910" s="120"/>
      <x:c r="AK910" s="122"/>
      <x:c r="AL910" s="120"/>
      <x:c r="AM910" s="121"/>
      <x:c r="AN910" s="122"/>
      <x:c r="AO910" s="120"/>
      <x:c r="AP910" s="122"/>
    </x:row>
    <x:row r="911" ht="15.75" customHeight="1">
      <x:c r="K911" s="120"/>
      <x:c r="M911" s="120"/>
      <x:c r="N911" s="121"/>
      <x:c r="P911" s="120"/>
      <x:c r="R911" s="120"/>
      <x:c r="S911" s="121"/>
      <x:c r="T911" s="122"/>
      <x:c r="U911" s="120"/>
      <x:c r="V911" s="122"/>
      <x:c r="W911" s="120"/>
      <x:c r="X911" s="121"/>
      <x:c r="Y911" s="122"/>
      <x:c r="Z911" s="120"/>
      <x:c r="AA911" s="122"/>
      <x:c r="AB911" s="120"/>
      <x:c r="AC911" s="121"/>
      <x:c r="AD911" s="122"/>
      <x:c r="AE911" s="120"/>
      <x:c r="AF911" s="122"/>
      <x:c r="AG911" s="120"/>
      <x:c r="AH911" s="121"/>
      <x:c r="AI911" s="122"/>
      <x:c r="AJ911" s="120"/>
      <x:c r="AK911" s="122"/>
      <x:c r="AL911" s="120"/>
      <x:c r="AM911" s="121"/>
      <x:c r="AN911" s="122"/>
      <x:c r="AO911" s="120"/>
      <x:c r="AP911" s="122"/>
    </x:row>
    <x:row r="912" ht="15.75" customHeight="1">
      <x:c r="K912" s="120"/>
      <x:c r="M912" s="120"/>
      <x:c r="N912" s="121"/>
      <x:c r="P912" s="120"/>
      <x:c r="R912" s="120"/>
      <x:c r="S912" s="121"/>
      <x:c r="T912" s="122"/>
      <x:c r="U912" s="120"/>
      <x:c r="V912" s="122"/>
      <x:c r="W912" s="120"/>
      <x:c r="X912" s="121"/>
      <x:c r="Y912" s="122"/>
      <x:c r="Z912" s="120"/>
      <x:c r="AA912" s="122"/>
      <x:c r="AB912" s="120"/>
      <x:c r="AC912" s="121"/>
      <x:c r="AD912" s="122"/>
      <x:c r="AE912" s="120"/>
      <x:c r="AF912" s="122"/>
      <x:c r="AG912" s="120"/>
      <x:c r="AH912" s="121"/>
      <x:c r="AI912" s="122"/>
      <x:c r="AJ912" s="120"/>
      <x:c r="AK912" s="122"/>
      <x:c r="AL912" s="120"/>
      <x:c r="AM912" s="121"/>
      <x:c r="AN912" s="122"/>
      <x:c r="AO912" s="120"/>
      <x:c r="AP912" s="122"/>
    </x:row>
    <x:row r="913" ht="15.75" customHeight="1">
      <x:c r="K913" s="120"/>
      <x:c r="M913" s="120"/>
      <x:c r="N913" s="121"/>
      <x:c r="P913" s="120"/>
      <x:c r="R913" s="120"/>
      <x:c r="S913" s="121"/>
      <x:c r="T913" s="122"/>
      <x:c r="U913" s="120"/>
      <x:c r="V913" s="122"/>
      <x:c r="W913" s="120"/>
      <x:c r="X913" s="121"/>
      <x:c r="Y913" s="122"/>
      <x:c r="Z913" s="120"/>
      <x:c r="AA913" s="122"/>
      <x:c r="AB913" s="120"/>
      <x:c r="AC913" s="121"/>
      <x:c r="AD913" s="122"/>
      <x:c r="AE913" s="120"/>
      <x:c r="AF913" s="122"/>
      <x:c r="AG913" s="120"/>
      <x:c r="AH913" s="121"/>
      <x:c r="AI913" s="122"/>
      <x:c r="AJ913" s="120"/>
      <x:c r="AK913" s="122"/>
      <x:c r="AL913" s="120"/>
      <x:c r="AM913" s="121"/>
      <x:c r="AN913" s="122"/>
      <x:c r="AO913" s="120"/>
      <x:c r="AP913" s="122"/>
    </x:row>
    <x:row r="914" ht="15.75" customHeight="1">
      <x:c r="K914" s="120"/>
      <x:c r="M914" s="120"/>
      <x:c r="N914" s="121"/>
      <x:c r="P914" s="120"/>
      <x:c r="R914" s="120"/>
      <x:c r="S914" s="121"/>
      <x:c r="T914" s="122"/>
      <x:c r="U914" s="120"/>
      <x:c r="V914" s="122"/>
      <x:c r="W914" s="120"/>
      <x:c r="X914" s="121"/>
      <x:c r="Y914" s="122"/>
      <x:c r="Z914" s="120"/>
      <x:c r="AA914" s="122"/>
      <x:c r="AB914" s="120"/>
      <x:c r="AC914" s="121"/>
      <x:c r="AD914" s="122"/>
      <x:c r="AE914" s="120"/>
      <x:c r="AF914" s="122"/>
      <x:c r="AG914" s="120"/>
      <x:c r="AH914" s="121"/>
      <x:c r="AI914" s="122"/>
      <x:c r="AJ914" s="120"/>
      <x:c r="AK914" s="122"/>
      <x:c r="AL914" s="120"/>
      <x:c r="AM914" s="121"/>
      <x:c r="AN914" s="122"/>
      <x:c r="AO914" s="120"/>
      <x:c r="AP914" s="122"/>
    </x:row>
    <x:row r="915" ht="15.75" customHeight="1">
      <x:c r="K915" s="120"/>
      <x:c r="M915" s="120"/>
      <x:c r="N915" s="121"/>
      <x:c r="P915" s="120"/>
      <x:c r="R915" s="120"/>
      <x:c r="S915" s="121"/>
      <x:c r="T915" s="122"/>
      <x:c r="U915" s="120"/>
      <x:c r="V915" s="122"/>
      <x:c r="W915" s="120"/>
      <x:c r="X915" s="121"/>
      <x:c r="Y915" s="122"/>
      <x:c r="Z915" s="120"/>
      <x:c r="AA915" s="122"/>
      <x:c r="AB915" s="120"/>
      <x:c r="AC915" s="121"/>
      <x:c r="AD915" s="122"/>
      <x:c r="AE915" s="120"/>
      <x:c r="AF915" s="122"/>
      <x:c r="AG915" s="120"/>
      <x:c r="AH915" s="121"/>
      <x:c r="AI915" s="122"/>
      <x:c r="AJ915" s="120"/>
      <x:c r="AK915" s="122"/>
      <x:c r="AL915" s="120"/>
      <x:c r="AM915" s="121"/>
      <x:c r="AN915" s="122"/>
      <x:c r="AO915" s="120"/>
      <x:c r="AP915" s="122"/>
    </x:row>
    <x:row r="916" ht="15.75" customHeight="1">
      <x:c r="K916" s="120"/>
      <x:c r="M916" s="120"/>
      <x:c r="N916" s="121"/>
      <x:c r="P916" s="120"/>
      <x:c r="R916" s="120"/>
      <x:c r="S916" s="121"/>
      <x:c r="T916" s="122"/>
      <x:c r="U916" s="120"/>
      <x:c r="V916" s="122"/>
      <x:c r="W916" s="120"/>
      <x:c r="X916" s="121"/>
      <x:c r="Y916" s="122"/>
      <x:c r="Z916" s="120"/>
      <x:c r="AA916" s="122"/>
      <x:c r="AB916" s="120"/>
      <x:c r="AC916" s="121"/>
      <x:c r="AD916" s="122"/>
      <x:c r="AE916" s="120"/>
      <x:c r="AF916" s="122"/>
      <x:c r="AG916" s="120"/>
      <x:c r="AH916" s="121"/>
      <x:c r="AI916" s="122"/>
      <x:c r="AJ916" s="120"/>
      <x:c r="AK916" s="122"/>
      <x:c r="AL916" s="120"/>
      <x:c r="AM916" s="121"/>
      <x:c r="AN916" s="122"/>
      <x:c r="AO916" s="120"/>
      <x:c r="AP916" s="122"/>
    </x:row>
    <x:row r="917" ht="15.75" customHeight="1">
      <x:c r="K917" s="120"/>
      <x:c r="M917" s="120"/>
      <x:c r="N917" s="121"/>
      <x:c r="P917" s="120"/>
      <x:c r="R917" s="120"/>
      <x:c r="S917" s="121"/>
      <x:c r="T917" s="122"/>
      <x:c r="U917" s="120"/>
      <x:c r="V917" s="122"/>
      <x:c r="W917" s="120"/>
      <x:c r="X917" s="121"/>
      <x:c r="Y917" s="122"/>
      <x:c r="Z917" s="120"/>
      <x:c r="AA917" s="122"/>
      <x:c r="AB917" s="120"/>
      <x:c r="AC917" s="121"/>
      <x:c r="AD917" s="122"/>
      <x:c r="AE917" s="120"/>
      <x:c r="AF917" s="122"/>
      <x:c r="AG917" s="120"/>
      <x:c r="AH917" s="121"/>
      <x:c r="AI917" s="122"/>
      <x:c r="AJ917" s="120"/>
      <x:c r="AK917" s="122"/>
      <x:c r="AL917" s="120"/>
      <x:c r="AM917" s="121"/>
      <x:c r="AN917" s="122"/>
      <x:c r="AO917" s="120"/>
      <x:c r="AP917" s="122"/>
    </x:row>
    <x:row r="918" ht="15.75" customHeight="1">
      <x:c r="K918" s="120"/>
      <x:c r="M918" s="120"/>
      <x:c r="N918" s="121"/>
      <x:c r="P918" s="120"/>
      <x:c r="R918" s="120"/>
      <x:c r="S918" s="121"/>
      <x:c r="T918" s="122"/>
      <x:c r="U918" s="120"/>
      <x:c r="V918" s="122"/>
      <x:c r="W918" s="120"/>
      <x:c r="X918" s="121"/>
      <x:c r="Y918" s="122"/>
      <x:c r="Z918" s="120"/>
      <x:c r="AA918" s="122"/>
      <x:c r="AB918" s="120"/>
      <x:c r="AC918" s="121"/>
      <x:c r="AD918" s="122"/>
      <x:c r="AE918" s="120"/>
      <x:c r="AF918" s="122"/>
      <x:c r="AG918" s="120"/>
      <x:c r="AH918" s="121"/>
      <x:c r="AI918" s="122"/>
      <x:c r="AJ918" s="120"/>
      <x:c r="AK918" s="122"/>
      <x:c r="AL918" s="120"/>
      <x:c r="AM918" s="121"/>
      <x:c r="AN918" s="122"/>
      <x:c r="AO918" s="120"/>
      <x:c r="AP918" s="122"/>
    </x:row>
    <x:row r="919" ht="15.75" customHeight="1">
      <x:c r="K919" s="120"/>
      <x:c r="M919" s="120"/>
      <x:c r="N919" s="121"/>
      <x:c r="P919" s="120"/>
      <x:c r="R919" s="120"/>
      <x:c r="S919" s="121"/>
      <x:c r="T919" s="122"/>
      <x:c r="U919" s="120"/>
      <x:c r="V919" s="122"/>
      <x:c r="W919" s="120"/>
      <x:c r="X919" s="121"/>
      <x:c r="Y919" s="122"/>
      <x:c r="Z919" s="120"/>
      <x:c r="AA919" s="122"/>
      <x:c r="AB919" s="120"/>
      <x:c r="AC919" s="121"/>
      <x:c r="AD919" s="122"/>
      <x:c r="AE919" s="120"/>
      <x:c r="AF919" s="122"/>
      <x:c r="AG919" s="120"/>
      <x:c r="AH919" s="121"/>
      <x:c r="AI919" s="122"/>
      <x:c r="AJ919" s="120"/>
      <x:c r="AK919" s="122"/>
      <x:c r="AL919" s="120"/>
      <x:c r="AM919" s="121"/>
      <x:c r="AN919" s="122"/>
      <x:c r="AO919" s="120"/>
      <x:c r="AP919" s="122"/>
    </x:row>
    <x:row r="920" ht="15.75" customHeight="1">
      <x:c r="K920" s="120"/>
      <x:c r="M920" s="120"/>
      <x:c r="N920" s="121"/>
      <x:c r="P920" s="120"/>
      <x:c r="R920" s="120"/>
      <x:c r="S920" s="121"/>
      <x:c r="T920" s="122"/>
      <x:c r="U920" s="120"/>
      <x:c r="V920" s="122"/>
      <x:c r="W920" s="120"/>
      <x:c r="X920" s="121"/>
      <x:c r="Y920" s="122"/>
      <x:c r="Z920" s="120"/>
      <x:c r="AA920" s="122"/>
      <x:c r="AB920" s="120"/>
      <x:c r="AC920" s="121"/>
      <x:c r="AD920" s="122"/>
      <x:c r="AE920" s="120"/>
      <x:c r="AF920" s="122"/>
      <x:c r="AG920" s="120"/>
      <x:c r="AH920" s="121"/>
      <x:c r="AI920" s="122"/>
      <x:c r="AJ920" s="120"/>
      <x:c r="AK920" s="122"/>
      <x:c r="AL920" s="120"/>
      <x:c r="AM920" s="121"/>
      <x:c r="AN920" s="122"/>
      <x:c r="AO920" s="120"/>
      <x:c r="AP920" s="122"/>
    </x:row>
    <x:row r="921" ht="15.75" customHeight="1">
      <x:c r="K921" s="120"/>
      <x:c r="M921" s="120"/>
      <x:c r="N921" s="121"/>
      <x:c r="P921" s="120"/>
      <x:c r="R921" s="120"/>
      <x:c r="S921" s="121"/>
      <x:c r="T921" s="122"/>
      <x:c r="U921" s="120"/>
      <x:c r="V921" s="122"/>
      <x:c r="W921" s="120"/>
      <x:c r="X921" s="121"/>
      <x:c r="Y921" s="122"/>
      <x:c r="Z921" s="120"/>
      <x:c r="AA921" s="122"/>
      <x:c r="AB921" s="120"/>
      <x:c r="AC921" s="121"/>
      <x:c r="AD921" s="122"/>
      <x:c r="AE921" s="120"/>
      <x:c r="AF921" s="122"/>
      <x:c r="AG921" s="120"/>
      <x:c r="AH921" s="121"/>
      <x:c r="AI921" s="122"/>
      <x:c r="AJ921" s="120"/>
      <x:c r="AK921" s="122"/>
      <x:c r="AL921" s="120"/>
      <x:c r="AM921" s="121"/>
      <x:c r="AN921" s="122"/>
      <x:c r="AO921" s="120"/>
      <x:c r="AP921" s="122"/>
    </x:row>
    <x:row r="922" ht="15.75" customHeight="1">
      <x:c r="K922" s="120"/>
      <x:c r="M922" s="120"/>
      <x:c r="N922" s="121"/>
      <x:c r="P922" s="120"/>
      <x:c r="R922" s="120"/>
      <x:c r="S922" s="121"/>
      <x:c r="T922" s="122"/>
      <x:c r="U922" s="120"/>
      <x:c r="V922" s="122"/>
      <x:c r="W922" s="120"/>
      <x:c r="X922" s="121"/>
      <x:c r="Y922" s="122"/>
      <x:c r="Z922" s="120"/>
      <x:c r="AA922" s="122"/>
      <x:c r="AB922" s="120"/>
      <x:c r="AC922" s="121"/>
      <x:c r="AD922" s="122"/>
      <x:c r="AE922" s="120"/>
      <x:c r="AF922" s="122"/>
      <x:c r="AG922" s="120"/>
      <x:c r="AH922" s="121"/>
      <x:c r="AI922" s="122"/>
      <x:c r="AJ922" s="120"/>
      <x:c r="AK922" s="122"/>
      <x:c r="AL922" s="120"/>
      <x:c r="AM922" s="121"/>
      <x:c r="AN922" s="122"/>
      <x:c r="AO922" s="120"/>
      <x:c r="AP922" s="122"/>
    </x:row>
    <x:row r="923" ht="15.75" customHeight="1">
      <x:c r="K923" s="120"/>
      <x:c r="M923" s="120"/>
      <x:c r="N923" s="121"/>
      <x:c r="P923" s="120"/>
      <x:c r="R923" s="120"/>
      <x:c r="S923" s="121"/>
      <x:c r="T923" s="122"/>
      <x:c r="U923" s="120"/>
      <x:c r="V923" s="122"/>
      <x:c r="W923" s="120"/>
      <x:c r="X923" s="121"/>
      <x:c r="Y923" s="122"/>
      <x:c r="Z923" s="120"/>
      <x:c r="AA923" s="122"/>
      <x:c r="AB923" s="120"/>
      <x:c r="AC923" s="121"/>
      <x:c r="AD923" s="122"/>
      <x:c r="AE923" s="120"/>
      <x:c r="AF923" s="122"/>
      <x:c r="AG923" s="120"/>
      <x:c r="AH923" s="121"/>
      <x:c r="AI923" s="122"/>
      <x:c r="AJ923" s="120"/>
      <x:c r="AK923" s="122"/>
      <x:c r="AL923" s="120"/>
      <x:c r="AM923" s="121"/>
      <x:c r="AN923" s="122"/>
      <x:c r="AO923" s="120"/>
      <x:c r="AP923" s="122"/>
    </x:row>
    <x:row r="924" ht="15.75" customHeight="1">
      <x:c r="K924" s="120"/>
      <x:c r="M924" s="120"/>
      <x:c r="N924" s="121"/>
      <x:c r="P924" s="120"/>
      <x:c r="R924" s="120"/>
      <x:c r="S924" s="121"/>
      <x:c r="T924" s="122"/>
      <x:c r="U924" s="120"/>
      <x:c r="V924" s="122"/>
      <x:c r="W924" s="120"/>
      <x:c r="X924" s="121"/>
      <x:c r="Y924" s="122"/>
      <x:c r="Z924" s="120"/>
      <x:c r="AA924" s="122"/>
      <x:c r="AB924" s="120"/>
      <x:c r="AC924" s="121"/>
      <x:c r="AD924" s="122"/>
      <x:c r="AE924" s="120"/>
      <x:c r="AF924" s="122"/>
      <x:c r="AG924" s="120"/>
      <x:c r="AH924" s="121"/>
      <x:c r="AI924" s="122"/>
      <x:c r="AJ924" s="120"/>
      <x:c r="AK924" s="122"/>
      <x:c r="AL924" s="120"/>
      <x:c r="AM924" s="121"/>
      <x:c r="AN924" s="122"/>
      <x:c r="AO924" s="120"/>
      <x:c r="AP924" s="122"/>
    </x:row>
    <x:row r="925" ht="15.75" customHeight="1">
      <x:c r="K925" s="120"/>
      <x:c r="M925" s="120"/>
      <x:c r="N925" s="121"/>
      <x:c r="P925" s="120"/>
      <x:c r="R925" s="120"/>
      <x:c r="S925" s="121"/>
      <x:c r="T925" s="122"/>
      <x:c r="U925" s="120"/>
      <x:c r="V925" s="122"/>
      <x:c r="W925" s="120"/>
      <x:c r="X925" s="121"/>
      <x:c r="Y925" s="122"/>
      <x:c r="Z925" s="120"/>
      <x:c r="AA925" s="122"/>
      <x:c r="AB925" s="120"/>
      <x:c r="AC925" s="121"/>
      <x:c r="AD925" s="122"/>
      <x:c r="AE925" s="120"/>
      <x:c r="AF925" s="122"/>
      <x:c r="AG925" s="120"/>
      <x:c r="AH925" s="121"/>
      <x:c r="AI925" s="122"/>
      <x:c r="AJ925" s="120"/>
      <x:c r="AK925" s="122"/>
      <x:c r="AL925" s="120"/>
      <x:c r="AM925" s="121"/>
      <x:c r="AN925" s="122"/>
      <x:c r="AO925" s="120"/>
      <x:c r="AP925" s="122"/>
    </x:row>
    <x:row r="926" ht="15.75" customHeight="1">
      <x:c r="K926" s="120"/>
      <x:c r="M926" s="120"/>
      <x:c r="N926" s="121"/>
      <x:c r="P926" s="120"/>
      <x:c r="R926" s="120"/>
      <x:c r="S926" s="121"/>
      <x:c r="T926" s="122"/>
      <x:c r="U926" s="120"/>
      <x:c r="V926" s="122"/>
      <x:c r="W926" s="120"/>
      <x:c r="X926" s="121"/>
      <x:c r="Y926" s="122"/>
      <x:c r="Z926" s="120"/>
      <x:c r="AA926" s="122"/>
      <x:c r="AB926" s="120"/>
      <x:c r="AC926" s="121"/>
      <x:c r="AD926" s="122"/>
      <x:c r="AE926" s="120"/>
      <x:c r="AF926" s="122"/>
      <x:c r="AG926" s="120"/>
      <x:c r="AH926" s="121"/>
      <x:c r="AI926" s="122"/>
      <x:c r="AJ926" s="120"/>
      <x:c r="AK926" s="122"/>
      <x:c r="AL926" s="120"/>
      <x:c r="AM926" s="121"/>
      <x:c r="AN926" s="122"/>
      <x:c r="AO926" s="120"/>
      <x:c r="AP926" s="122"/>
    </x:row>
    <x:row r="927" ht="15.75" customHeight="1">
      <x:c r="K927" s="120"/>
      <x:c r="M927" s="120"/>
      <x:c r="N927" s="121"/>
      <x:c r="P927" s="120"/>
      <x:c r="R927" s="120"/>
      <x:c r="S927" s="121"/>
      <x:c r="T927" s="122"/>
      <x:c r="U927" s="120"/>
      <x:c r="V927" s="122"/>
      <x:c r="W927" s="120"/>
      <x:c r="X927" s="121"/>
      <x:c r="Y927" s="122"/>
      <x:c r="Z927" s="120"/>
      <x:c r="AA927" s="122"/>
      <x:c r="AB927" s="120"/>
      <x:c r="AC927" s="121"/>
      <x:c r="AD927" s="122"/>
      <x:c r="AE927" s="120"/>
      <x:c r="AF927" s="122"/>
      <x:c r="AG927" s="120"/>
      <x:c r="AH927" s="121"/>
      <x:c r="AI927" s="122"/>
      <x:c r="AJ927" s="120"/>
      <x:c r="AK927" s="122"/>
      <x:c r="AL927" s="120"/>
      <x:c r="AM927" s="121"/>
      <x:c r="AN927" s="122"/>
      <x:c r="AO927" s="120"/>
      <x:c r="AP927" s="122"/>
    </x:row>
    <x:row r="928" ht="15.75" customHeight="1">
      <x:c r="K928" s="120"/>
      <x:c r="M928" s="120"/>
      <x:c r="N928" s="121"/>
      <x:c r="P928" s="120"/>
      <x:c r="R928" s="120"/>
      <x:c r="S928" s="121"/>
      <x:c r="T928" s="122"/>
      <x:c r="U928" s="120"/>
      <x:c r="V928" s="122"/>
      <x:c r="W928" s="120"/>
      <x:c r="X928" s="121"/>
      <x:c r="Y928" s="122"/>
      <x:c r="Z928" s="120"/>
      <x:c r="AA928" s="122"/>
      <x:c r="AB928" s="120"/>
      <x:c r="AC928" s="121"/>
      <x:c r="AD928" s="122"/>
      <x:c r="AE928" s="120"/>
      <x:c r="AF928" s="122"/>
      <x:c r="AG928" s="120"/>
      <x:c r="AH928" s="121"/>
      <x:c r="AI928" s="122"/>
      <x:c r="AJ928" s="120"/>
      <x:c r="AK928" s="122"/>
      <x:c r="AL928" s="120"/>
      <x:c r="AM928" s="121"/>
      <x:c r="AN928" s="122"/>
      <x:c r="AO928" s="120"/>
      <x:c r="AP928" s="122"/>
    </x:row>
    <x:row r="929" ht="15.75" customHeight="1">
      <x:c r="K929" s="120"/>
      <x:c r="M929" s="120"/>
      <x:c r="N929" s="121"/>
      <x:c r="P929" s="120"/>
      <x:c r="R929" s="120"/>
      <x:c r="S929" s="121"/>
      <x:c r="T929" s="122"/>
      <x:c r="U929" s="120"/>
      <x:c r="V929" s="122"/>
      <x:c r="W929" s="120"/>
      <x:c r="X929" s="121"/>
      <x:c r="Y929" s="122"/>
      <x:c r="Z929" s="120"/>
      <x:c r="AA929" s="122"/>
      <x:c r="AB929" s="120"/>
      <x:c r="AC929" s="121"/>
      <x:c r="AD929" s="122"/>
      <x:c r="AE929" s="120"/>
      <x:c r="AF929" s="122"/>
      <x:c r="AG929" s="120"/>
      <x:c r="AH929" s="121"/>
      <x:c r="AI929" s="122"/>
      <x:c r="AJ929" s="120"/>
      <x:c r="AK929" s="122"/>
      <x:c r="AL929" s="120"/>
      <x:c r="AM929" s="121"/>
      <x:c r="AN929" s="122"/>
      <x:c r="AO929" s="120"/>
      <x:c r="AP929" s="122"/>
    </x:row>
    <x:row r="930" ht="15.75" customHeight="1">
      <x:c r="K930" s="120"/>
      <x:c r="M930" s="120"/>
      <x:c r="N930" s="121"/>
      <x:c r="P930" s="120"/>
      <x:c r="R930" s="120"/>
      <x:c r="S930" s="121"/>
      <x:c r="T930" s="122"/>
      <x:c r="U930" s="120"/>
      <x:c r="V930" s="122"/>
      <x:c r="W930" s="120"/>
      <x:c r="X930" s="121"/>
      <x:c r="Y930" s="122"/>
      <x:c r="Z930" s="120"/>
      <x:c r="AA930" s="122"/>
      <x:c r="AB930" s="120"/>
      <x:c r="AC930" s="121"/>
      <x:c r="AD930" s="122"/>
      <x:c r="AE930" s="120"/>
      <x:c r="AF930" s="122"/>
      <x:c r="AG930" s="120"/>
      <x:c r="AH930" s="121"/>
      <x:c r="AI930" s="122"/>
      <x:c r="AJ930" s="120"/>
      <x:c r="AK930" s="122"/>
      <x:c r="AL930" s="120"/>
      <x:c r="AM930" s="121"/>
      <x:c r="AN930" s="122"/>
      <x:c r="AO930" s="120"/>
      <x:c r="AP930" s="122"/>
    </x:row>
    <x:row r="931" ht="15.75" customHeight="1">
      <x:c r="K931" s="120"/>
      <x:c r="M931" s="120"/>
      <x:c r="N931" s="121"/>
      <x:c r="P931" s="120"/>
      <x:c r="R931" s="120"/>
      <x:c r="S931" s="121"/>
      <x:c r="T931" s="122"/>
      <x:c r="U931" s="120"/>
      <x:c r="V931" s="122"/>
      <x:c r="W931" s="120"/>
      <x:c r="X931" s="121"/>
      <x:c r="Y931" s="122"/>
      <x:c r="Z931" s="120"/>
      <x:c r="AA931" s="122"/>
      <x:c r="AB931" s="120"/>
      <x:c r="AC931" s="121"/>
      <x:c r="AD931" s="122"/>
      <x:c r="AE931" s="120"/>
      <x:c r="AF931" s="122"/>
      <x:c r="AG931" s="120"/>
      <x:c r="AH931" s="121"/>
      <x:c r="AI931" s="122"/>
      <x:c r="AJ931" s="120"/>
      <x:c r="AK931" s="122"/>
      <x:c r="AL931" s="120"/>
      <x:c r="AM931" s="121"/>
      <x:c r="AN931" s="122"/>
      <x:c r="AO931" s="120"/>
      <x:c r="AP931" s="122"/>
    </x:row>
    <x:row r="932" ht="15.75" customHeight="1">
      <x:c r="K932" s="120"/>
      <x:c r="M932" s="120"/>
      <x:c r="N932" s="121"/>
      <x:c r="P932" s="120"/>
      <x:c r="R932" s="120"/>
      <x:c r="S932" s="121"/>
      <x:c r="T932" s="122"/>
      <x:c r="U932" s="120"/>
      <x:c r="V932" s="122"/>
      <x:c r="W932" s="120"/>
      <x:c r="X932" s="121"/>
      <x:c r="Y932" s="122"/>
      <x:c r="Z932" s="120"/>
      <x:c r="AA932" s="122"/>
      <x:c r="AB932" s="120"/>
      <x:c r="AC932" s="121"/>
      <x:c r="AD932" s="122"/>
      <x:c r="AE932" s="120"/>
      <x:c r="AF932" s="122"/>
      <x:c r="AG932" s="120"/>
      <x:c r="AH932" s="121"/>
      <x:c r="AI932" s="122"/>
      <x:c r="AJ932" s="120"/>
      <x:c r="AK932" s="122"/>
      <x:c r="AL932" s="120"/>
      <x:c r="AM932" s="121"/>
      <x:c r="AN932" s="122"/>
      <x:c r="AO932" s="120"/>
      <x:c r="AP932" s="122"/>
    </x:row>
    <x:row r="933" ht="15.75" customHeight="1">
      <x:c r="K933" s="120"/>
      <x:c r="M933" s="120"/>
      <x:c r="N933" s="121"/>
      <x:c r="P933" s="120"/>
      <x:c r="R933" s="120"/>
      <x:c r="S933" s="121"/>
      <x:c r="T933" s="122"/>
      <x:c r="U933" s="120"/>
      <x:c r="V933" s="122"/>
      <x:c r="W933" s="120"/>
      <x:c r="X933" s="121"/>
      <x:c r="Y933" s="122"/>
      <x:c r="Z933" s="120"/>
      <x:c r="AA933" s="122"/>
      <x:c r="AB933" s="120"/>
      <x:c r="AC933" s="121"/>
      <x:c r="AD933" s="122"/>
      <x:c r="AE933" s="120"/>
      <x:c r="AF933" s="122"/>
      <x:c r="AG933" s="120"/>
      <x:c r="AH933" s="121"/>
      <x:c r="AI933" s="122"/>
      <x:c r="AJ933" s="120"/>
      <x:c r="AK933" s="122"/>
      <x:c r="AL933" s="120"/>
      <x:c r="AM933" s="121"/>
      <x:c r="AN933" s="122"/>
      <x:c r="AO933" s="120"/>
      <x:c r="AP933" s="122"/>
    </x:row>
    <x:row r="934" ht="15.75" customHeight="1">
      <x:c r="K934" s="120"/>
      <x:c r="M934" s="120"/>
      <x:c r="N934" s="121"/>
      <x:c r="P934" s="120"/>
      <x:c r="R934" s="120"/>
      <x:c r="S934" s="121"/>
      <x:c r="T934" s="122"/>
      <x:c r="U934" s="120"/>
      <x:c r="V934" s="122"/>
      <x:c r="W934" s="120"/>
      <x:c r="X934" s="121"/>
      <x:c r="Y934" s="122"/>
      <x:c r="Z934" s="120"/>
      <x:c r="AA934" s="122"/>
      <x:c r="AB934" s="120"/>
      <x:c r="AC934" s="121"/>
      <x:c r="AD934" s="122"/>
      <x:c r="AE934" s="120"/>
      <x:c r="AF934" s="122"/>
      <x:c r="AG934" s="120"/>
      <x:c r="AH934" s="121"/>
      <x:c r="AI934" s="122"/>
      <x:c r="AJ934" s="120"/>
      <x:c r="AK934" s="122"/>
      <x:c r="AL934" s="120"/>
      <x:c r="AM934" s="121"/>
      <x:c r="AN934" s="122"/>
      <x:c r="AO934" s="120"/>
      <x:c r="AP934" s="122"/>
    </x:row>
    <x:row r="935" ht="15.75" customHeight="1">
      <x:c r="K935" s="120"/>
      <x:c r="M935" s="120"/>
      <x:c r="N935" s="121"/>
      <x:c r="P935" s="120"/>
      <x:c r="R935" s="120"/>
      <x:c r="S935" s="121"/>
      <x:c r="T935" s="122"/>
      <x:c r="U935" s="120"/>
      <x:c r="V935" s="122"/>
      <x:c r="W935" s="120"/>
      <x:c r="X935" s="121"/>
      <x:c r="Y935" s="122"/>
      <x:c r="Z935" s="120"/>
      <x:c r="AA935" s="122"/>
      <x:c r="AB935" s="120"/>
      <x:c r="AC935" s="121"/>
      <x:c r="AD935" s="122"/>
      <x:c r="AE935" s="120"/>
      <x:c r="AF935" s="122"/>
      <x:c r="AG935" s="120"/>
      <x:c r="AH935" s="121"/>
      <x:c r="AI935" s="122"/>
      <x:c r="AJ935" s="120"/>
      <x:c r="AK935" s="122"/>
      <x:c r="AL935" s="120"/>
      <x:c r="AM935" s="121"/>
      <x:c r="AN935" s="122"/>
      <x:c r="AO935" s="120"/>
      <x:c r="AP935" s="122"/>
    </x:row>
    <x:row r="936" ht="15.75" customHeight="1">
      <x:c r="K936" s="120"/>
      <x:c r="M936" s="120"/>
      <x:c r="N936" s="121"/>
      <x:c r="P936" s="120"/>
      <x:c r="R936" s="120"/>
      <x:c r="S936" s="121"/>
      <x:c r="T936" s="122"/>
      <x:c r="U936" s="120"/>
      <x:c r="V936" s="122"/>
      <x:c r="W936" s="120"/>
      <x:c r="X936" s="121"/>
      <x:c r="Y936" s="122"/>
      <x:c r="Z936" s="120"/>
      <x:c r="AA936" s="122"/>
      <x:c r="AB936" s="120"/>
      <x:c r="AC936" s="121"/>
      <x:c r="AD936" s="122"/>
      <x:c r="AE936" s="120"/>
      <x:c r="AF936" s="122"/>
      <x:c r="AG936" s="120"/>
      <x:c r="AH936" s="121"/>
      <x:c r="AI936" s="122"/>
      <x:c r="AJ936" s="120"/>
      <x:c r="AK936" s="122"/>
      <x:c r="AL936" s="120"/>
      <x:c r="AM936" s="121"/>
      <x:c r="AN936" s="122"/>
      <x:c r="AO936" s="120"/>
      <x:c r="AP936" s="122"/>
    </x:row>
    <x:row r="937" ht="15.75" customHeight="1">
      <x:c r="K937" s="120"/>
      <x:c r="M937" s="120"/>
      <x:c r="N937" s="121"/>
      <x:c r="P937" s="120"/>
      <x:c r="R937" s="120"/>
      <x:c r="S937" s="121"/>
      <x:c r="T937" s="122"/>
      <x:c r="U937" s="120"/>
      <x:c r="V937" s="122"/>
      <x:c r="W937" s="120"/>
      <x:c r="X937" s="121"/>
      <x:c r="Y937" s="122"/>
      <x:c r="Z937" s="120"/>
      <x:c r="AA937" s="122"/>
      <x:c r="AB937" s="120"/>
      <x:c r="AC937" s="121"/>
      <x:c r="AD937" s="122"/>
      <x:c r="AE937" s="120"/>
      <x:c r="AF937" s="122"/>
      <x:c r="AG937" s="120"/>
      <x:c r="AH937" s="121"/>
      <x:c r="AI937" s="122"/>
      <x:c r="AJ937" s="120"/>
      <x:c r="AK937" s="122"/>
      <x:c r="AL937" s="120"/>
      <x:c r="AM937" s="121"/>
      <x:c r="AN937" s="122"/>
      <x:c r="AO937" s="120"/>
      <x:c r="AP937" s="122"/>
    </x:row>
    <x:row r="938" ht="15.75" customHeight="1">
      <x:c r="K938" s="120"/>
      <x:c r="M938" s="120"/>
      <x:c r="N938" s="121"/>
      <x:c r="P938" s="120"/>
      <x:c r="R938" s="120"/>
      <x:c r="S938" s="121"/>
      <x:c r="T938" s="122"/>
      <x:c r="U938" s="120"/>
      <x:c r="V938" s="122"/>
      <x:c r="W938" s="120"/>
      <x:c r="X938" s="121"/>
      <x:c r="Y938" s="122"/>
      <x:c r="Z938" s="120"/>
      <x:c r="AA938" s="122"/>
      <x:c r="AB938" s="120"/>
      <x:c r="AC938" s="121"/>
      <x:c r="AD938" s="122"/>
      <x:c r="AE938" s="120"/>
      <x:c r="AF938" s="122"/>
      <x:c r="AG938" s="120"/>
      <x:c r="AH938" s="121"/>
      <x:c r="AI938" s="122"/>
      <x:c r="AJ938" s="120"/>
      <x:c r="AK938" s="122"/>
      <x:c r="AL938" s="120"/>
      <x:c r="AM938" s="121"/>
      <x:c r="AN938" s="122"/>
      <x:c r="AO938" s="120"/>
      <x:c r="AP938" s="122"/>
    </x:row>
    <x:row r="939" ht="15.75" customHeight="1">
      <x:c r="K939" s="120"/>
      <x:c r="M939" s="120"/>
      <x:c r="N939" s="121"/>
      <x:c r="P939" s="120"/>
      <x:c r="R939" s="120"/>
      <x:c r="S939" s="121"/>
      <x:c r="T939" s="122"/>
      <x:c r="U939" s="120"/>
      <x:c r="V939" s="122"/>
      <x:c r="W939" s="120"/>
      <x:c r="X939" s="121"/>
      <x:c r="Y939" s="122"/>
      <x:c r="Z939" s="120"/>
      <x:c r="AA939" s="122"/>
      <x:c r="AB939" s="120"/>
      <x:c r="AC939" s="121"/>
      <x:c r="AD939" s="122"/>
      <x:c r="AE939" s="120"/>
      <x:c r="AF939" s="122"/>
      <x:c r="AG939" s="120"/>
      <x:c r="AH939" s="121"/>
      <x:c r="AI939" s="122"/>
      <x:c r="AJ939" s="120"/>
      <x:c r="AK939" s="122"/>
      <x:c r="AL939" s="120"/>
      <x:c r="AM939" s="121"/>
      <x:c r="AN939" s="122"/>
      <x:c r="AO939" s="120"/>
      <x:c r="AP939" s="122"/>
    </x:row>
    <x:row r="940" ht="15.75" customHeight="1">
      <x:c r="K940" s="120"/>
      <x:c r="M940" s="120"/>
      <x:c r="N940" s="121"/>
      <x:c r="P940" s="120"/>
      <x:c r="R940" s="120"/>
      <x:c r="S940" s="121"/>
      <x:c r="T940" s="122"/>
      <x:c r="U940" s="120"/>
      <x:c r="V940" s="122"/>
      <x:c r="W940" s="120"/>
      <x:c r="X940" s="121"/>
      <x:c r="Y940" s="122"/>
      <x:c r="Z940" s="120"/>
      <x:c r="AA940" s="122"/>
      <x:c r="AB940" s="120"/>
      <x:c r="AC940" s="121"/>
      <x:c r="AD940" s="122"/>
      <x:c r="AE940" s="120"/>
      <x:c r="AF940" s="122"/>
      <x:c r="AG940" s="120"/>
      <x:c r="AH940" s="121"/>
      <x:c r="AI940" s="122"/>
      <x:c r="AJ940" s="120"/>
      <x:c r="AK940" s="122"/>
      <x:c r="AL940" s="120"/>
      <x:c r="AM940" s="121"/>
      <x:c r="AN940" s="122"/>
      <x:c r="AO940" s="120"/>
      <x:c r="AP940" s="122"/>
    </x:row>
    <x:row r="941" ht="15.75" customHeight="1">
      <x:c r="K941" s="120"/>
      <x:c r="M941" s="120"/>
      <x:c r="N941" s="121"/>
      <x:c r="P941" s="120"/>
      <x:c r="R941" s="120"/>
      <x:c r="S941" s="121"/>
      <x:c r="T941" s="122"/>
      <x:c r="U941" s="120"/>
      <x:c r="V941" s="122"/>
      <x:c r="W941" s="120"/>
      <x:c r="X941" s="121"/>
      <x:c r="Y941" s="122"/>
      <x:c r="Z941" s="120"/>
      <x:c r="AA941" s="122"/>
      <x:c r="AB941" s="120"/>
      <x:c r="AC941" s="121"/>
      <x:c r="AD941" s="122"/>
      <x:c r="AE941" s="120"/>
      <x:c r="AF941" s="122"/>
      <x:c r="AG941" s="120"/>
      <x:c r="AH941" s="121"/>
      <x:c r="AI941" s="122"/>
      <x:c r="AJ941" s="120"/>
      <x:c r="AK941" s="122"/>
      <x:c r="AL941" s="120"/>
      <x:c r="AM941" s="121"/>
      <x:c r="AN941" s="122"/>
      <x:c r="AO941" s="120"/>
      <x:c r="AP941" s="122"/>
    </x:row>
    <x:row r="942" ht="15.75" customHeight="1">
      <x:c r="K942" s="120"/>
      <x:c r="M942" s="120"/>
      <x:c r="N942" s="121"/>
      <x:c r="P942" s="120"/>
      <x:c r="R942" s="120"/>
      <x:c r="S942" s="121"/>
      <x:c r="T942" s="122"/>
      <x:c r="U942" s="120"/>
      <x:c r="V942" s="122"/>
      <x:c r="W942" s="120"/>
      <x:c r="X942" s="121"/>
      <x:c r="Y942" s="122"/>
      <x:c r="Z942" s="120"/>
      <x:c r="AA942" s="122"/>
      <x:c r="AB942" s="120"/>
      <x:c r="AC942" s="121"/>
      <x:c r="AD942" s="122"/>
      <x:c r="AE942" s="120"/>
      <x:c r="AF942" s="122"/>
      <x:c r="AG942" s="120"/>
      <x:c r="AH942" s="121"/>
      <x:c r="AI942" s="122"/>
      <x:c r="AJ942" s="120"/>
      <x:c r="AK942" s="122"/>
      <x:c r="AL942" s="120"/>
      <x:c r="AM942" s="121"/>
      <x:c r="AN942" s="122"/>
      <x:c r="AO942" s="120"/>
      <x:c r="AP942" s="122"/>
    </x:row>
    <x:row r="943" ht="15.75" customHeight="1">
      <x:c r="K943" s="120"/>
      <x:c r="M943" s="120"/>
      <x:c r="N943" s="121"/>
      <x:c r="P943" s="120"/>
      <x:c r="R943" s="120"/>
      <x:c r="S943" s="121"/>
      <x:c r="T943" s="122"/>
      <x:c r="U943" s="120"/>
      <x:c r="V943" s="122"/>
      <x:c r="W943" s="120"/>
      <x:c r="X943" s="121"/>
      <x:c r="Y943" s="122"/>
      <x:c r="Z943" s="120"/>
      <x:c r="AA943" s="122"/>
      <x:c r="AB943" s="120"/>
      <x:c r="AC943" s="121"/>
      <x:c r="AD943" s="122"/>
      <x:c r="AE943" s="120"/>
      <x:c r="AF943" s="122"/>
      <x:c r="AG943" s="120"/>
      <x:c r="AH943" s="121"/>
      <x:c r="AI943" s="122"/>
      <x:c r="AJ943" s="120"/>
      <x:c r="AK943" s="122"/>
      <x:c r="AL943" s="120"/>
      <x:c r="AM943" s="121"/>
      <x:c r="AN943" s="122"/>
      <x:c r="AO943" s="120"/>
      <x:c r="AP943" s="122"/>
    </x:row>
    <x:row r="944" ht="15.75" customHeight="1">
      <x:c r="K944" s="120"/>
      <x:c r="M944" s="120"/>
      <x:c r="N944" s="121"/>
      <x:c r="P944" s="120"/>
      <x:c r="R944" s="120"/>
      <x:c r="S944" s="121"/>
      <x:c r="T944" s="122"/>
      <x:c r="U944" s="120"/>
      <x:c r="V944" s="122"/>
      <x:c r="W944" s="120"/>
      <x:c r="X944" s="121"/>
      <x:c r="Y944" s="122"/>
      <x:c r="Z944" s="120"/>
      <x:c r="AA944" s="122"/>
      <x:c r="AB944" s="120"/>
      <x:c r="AC944" s="121"/>
      <x:c r="AD944" s="122"/>
      <x:c r="AE944" s="120"/>
      <x:c r="AF944" s="122"/>
      <x:c r="AG944" s="120"/>
      <x:c r="AH944" s="121"/>
      <x:c r="AI944" s="122"/>
      <x:c r="AJ944" s="120"/>
      <x:c r="AK944" s="122"/>
      <x:c r="AL944" s="120"/>
      <x:c r="AM944" s="121"/>
      <x:c r="AN944" s="122"/>
      <x:c r="AO944" s="120"/>
      <x:c r="AP944" s="122"/>
    </x:row>
    <x:row r="945" ht="15.75" customHeight="1">
      <x:c r="K945" s="120"/>
      <x:c r="M945" s="120"/>
      <x:c r="N945" s="121"/>
      <x:c r="P945" s="120"/>
      <x:c r="R945" s="120"/>
      <x:c r="S945" s="121"/>
      <x:c r="T945" s="122"/>
      <x:c r="U945" s="120"/>
      <x:c r="V945" s="122"/>
      <x:c r="W945" s="120"/>
      <x:c r="X945" s="121"/>
      <x:c r="Y945" s="122"/>
      <x:c r="Z945" s="120"/>
      <x:c r="AA945" s="122"/>
      <x:c r="AB945" s="120"/>
      <x:c r="AC945" s="121"/>
      <x:c r="AD945" s="122"/>
      <x:c r="AE945" s="120"/>
      <x:c r="AF945" s="122"/>
      <x:c r="AG945" s="120"/>
      <x:c r="AH945" s="121"/>
      <x:c r="AI945" s="122"/>
      <x:c r="AJ945" s="120"/>
      <x:c r="AK945" s="122"/>
      <x:c r="AL945" s="120"/>
      <x:c r="AM945" s="121"/>
      <x:c r="AN945" s="122"/>
      <x:c r="AO945" s="120"/>
      <x:c r="AP945" s="122"/>
    </x:row>
    <x:row r="946" ht="15.75" customHeight="1">
      <x:c r="K946" s="120"/>
      <x:c r="M946" s="120"/>
      <x:c r="N946" s="121"/>
      <x:c r="P946" s="120"/>
      <x:c r="R946" s="120"/>
      <x:c r="S946" s="121"/>
      <x:c r="T946" s="122"/>
      <x:c r="U946" s="120"/>
      <x:c r="V946" s="122"/>
      <x:c r="W946" s="120"/>
      <x:c r="X946" s="121"/>
      <x:c r="Y946" s="122"/>
      <x:c r="Z946" s="120"/>
      <x:c r="AA946" s="122"/>
      <x:c r="AB946" s="120"/>
      <x:c r="AC946" s="121"/>
      <x:c r="AD946" s="122"/>
      <x:c r="AE946" s="120"/>
      <x:c r="AF946" s="122"/>
      <x:c r="AG946" s="120"/>
      <x:c r="AH946" s="121"/>
      <x:c r="AI946" s="122"/>
      <x:c r="AJ946" s="120"/>
      <x:c r="AK946" s="122"/>
      <x:c r="AL946" s="120"/>
      <x:c r="AM946" s="121"/>
      <x:c r="AN946" s="122"/>
      <x:c r="AO946" s="120"/>
      <x:c r="AP946" s="122"/>
    </x:row>
    <x:row r="947" ht="15.75" customHeight="1">
      <x:c r="K947" s="120"/>
      <x:c r="M947" s="120"/>
      <x:c r="N947" s="121"/>
      <x:c r="P947" s="120"/>
      <x:c r="R947" s="120"/>
      <x:c r="S947" s="121"/>
      <x:c r="T947" s="122"/>
      <x:c r="U947" s="120"/>
      <x:c r="V947" s="122"/>
      <x:c r="W947" s="120"/>
      <x:c r="X947" s="121"/>
      <x:c r="Y947" s="122"/>
      <x:c r="Z947" s="120"/>
      <x:c r="AA947" s="122"/>
      <x:c r="AB947" s="120"/>
      <x:c r="AC947" s="121"/>
      <x:c r="AD947" s="122"/>
      <x:c r="AE947" s="120"/>
      <x:c r="AF947" s="122"/>
      <x:c r="AG947" s="120"/>
      <x:c r="AH947" s="121"/>
      <x:c r="AI947" s="122"/>
      <x:c r="AJ947" s="120"/>
      <x:c r="AK947" s="122"/>
      <x:c r="AL947" s="120"/>
      <x:c r="AM947" s="121"/>
      <x:c r="AN947" s="122"/>
      <x:c r="AO947" s="120"/>
      <x:c r="AP947" s="122"/>
    </x:row>
    <x:row r="948" ht="15.75" customHeight="1">
      <x:c r="K948" s="120"/>
      <x:c r="M948" s="120"/>
      <x:c r="N948" s="121"/>
      <x:c r="P948" s="120"/>
      <x:c r="R948" s="120"/>
      <x:c r="S948" s="121"/>
      <x:c r="T948" s="122"/>
      <x:c r="U948" s="120"/>
      <x:c r="V948" s="122"/>
      <x:c r="W948" s="120"/>
      <x:c r="X948" s="121"/>
      <x:c r="Y948" s="122"/>
      <x:c r="Z948" s="120"/>
      <x:c r="AA948" s="122"/>
      <x:c r="AB948" s="120"/>
      <x:c r="AC948" s="121"/>
      <x:c r="AD948" s="122"/>
      <x:c r="AE948" s="120"/>
      <x:c r="AF948" s="122"/>
      <x:c r="AG948" s="120"/>
      <x:c r="AH948" s="121"/>
      <x:c r="AI948" s="122"/>
      <x:c r="AJ948" s="120"/>
      <x:c r="AK948" s="122"/>
      <x:c r="AL948" s="120"/>
      <x:c r="AM948" s="121"/>
      <x:c r="AN948" s="122"/>
      <x:c r="AO948" s="120"/>
      <x:c r="AP948" s="122"/>
    </x:row>
    <x:row r="949" ht="15.75" customHeight="1">
      <x:c r="K949" s="120"/>
      <x:c r="M949" s="120"/>
      <x:c r="N949" s="121"/>
      <x:c r="P949" s="120"/>
      <x:c r="R949" s="120"/>
      <x:c r="S949" s="121"/>
      <x:c r="T949" s="122"/>
      <x:c r="U949" s="120"/>
      <x:c r="V949" s="122"/>
      <x:c r="W949" s="120"/>
      <x:c r="X949" s="121"/>
      <x:c r="Y949" s="122"/>
      <x:c r="Z949" s="120"/>
      <x:c r="AA949" s="122"/>
      <x:c r="AB949" s="120"/>
      <x:c r="AC949" s="121"/>
      <x:c r="AD949" s="122"/>
      <x:c r="AE949" s="120"/>
      <x:c r="AF949" s="122"/>
      <x:c r="AG949" s="120"/>
      <x:c r="AH949" s="121"/>
      <x:c r="AI949" s="122"/>
      <x:c r="AJ949" s="120"/>
      <x:c r="AK949" s="122"/>
      <x:c r="AL949" s="120"/>
      <x:c r="AM949" s="121"/>
      <x:c r="AN949" s="122"/>
      <x:c r="AO949" s="120"/>
      <x:c r="AP949" s="122"/>
    </x:row>
    <x:row r="950" ht="15.75" customHeight="1">
      <x:c r="K950" s="120"/>
      <x:c r="M950" s="120"/>
      <x:c r="N950" s="121"/>
      <x:c r="P950" s="120"/>
      <x:c r="R950" s="120"/>
      <x:c r="S950" s="121"/>
      <x:c r="T950" s="122"/>
      <x:c r="U950" s="120"/>
      <x:c r="V950" s="122"/>
      <x:c r="W950" s="120"/>
      <x:c r="X950" s="121"/>
      <x:c r="Y950" s="122"/>
      <x:c r="Z950" s="120"/>
      <x:c r="AA950" s="122"/>
      <x:c r="AB950" s="120"/>
      <x:c r="AC950" s="121"/>
      <x:c r="AD950" s="122"/>
      <x:c r="AE950" s="120"/>
      <x:c r="AF950" s="122"/>
      <x:c r="AG950" s="120"/>
      <x:c r="AH950" s="121"/>
      <x:c r="AI950" s="122"/>
      <x:c r="AJ950" s="120"/>
      <x:c r="AK950" s="122"/>
      <x:c r="AL950" s="120"/>
      <x:c r="AM950" s="121"/>
      <x:c r="AN950" s="122"/>
      <x:c r="AO950" s="120"/>
      <x:c r="AP950" s="122"/>
    </x:row>
    <x:row r="951" ht="15.75" customHeight="1">
      <x:c r="K951" s="120"/>
      <x:c r="M951" s="120"/>
      <x:c r="N951" s="121"/>
      <x:c r="P951" s="120"/>
      <x:c r="R951" s="120"/>
      <x:c r="S951" s="121"/>
      <x:c r="T951" s="122"/>
      <x:c r="U951" s="120"/>
      <x:c r="V951" s="122"/>
      <x:c r="W951" s="120"/>
      <x:c r="X951" s="121"/>
      <x:c r="Y951" s="122"/>
      <x:c r="Z951" s="120"/>
      <x:c r="AA951" s="122"/>
      <x:c r="AB951" s="120"/>
      <x:c r="AC951" s="121"/>
      <x:c r="AD951" s="122"/>
      <x:c r="AE951" s="120"/>
      <x:c r="AF951" s="122"/>
      <x:c r="AG951" s="120"/>
      <x:c r="AH951" s="121"/>
      <x:c r="AI951" s="122"/>
      <x:c r="AJ951" s="120"/>
      <x:c r="AK951" s="122"/>
      <x:c r="AL951" s="120"/>
      <x:c r="AM951" s="121"/>
      <x:c r="AN951" s="122"/>
      <x:c r="AO951" s="120"/>
      <x:c r="AP951" s="122"/>
    </x:row>
    <x:row r="952" ht="15.75" customHeight="1">
      <x:c r="K952" s="120"/>
      <x:c r="M952" s="120"/>
      <x:c r="N952" s="121"/>
      <x:c r="P952" s="120"/>
      <x:c r="R952" s="120"/>
      <x:c r="S952" s="121"/>
      <x:c r="T952" s="122"/>
      <x:c r="U952" s="120"/>
      <x:c r="V952" s="122"/>
      <x:c r="W952" s="120"/>
      <x:c r="X952" s="121"/>
      <x:c r="Y952" s="122"/>
      <x:c r="Z952" s="120"/>
      <x:c r="AA952" s="122"/>
      <x:c r="AB952" s="120"/>
      <x:c r="AC952" s="121"/>
      <x:c r="AD952" s="122"/>
      <x:c r="AE952" s="120"/>
      <x:c r="AF952" s="122"/>
      <x:c r="AG952" s="120"/>
      <x:c r="AH952" s="121"/>
      <x:c r="AI952" s="122"/>
      <x:c r="AJ952" s="120"/>
      <x:c r="AK952" s="122"/>
      <x:c r="AL952" s="120"/>
      <x:c r="AM952" s="121"/>
      <x:c r="AN952" s="122"/>
      <x:c r="AO952" s="120"/>
      <x:c r="AP952" s="122"/>
    </x:row>
    <x:row r="953" ht="15.75" customHeight="1">
      <x:c r="K953" s="120"/>
      <x:c r="M953" s="120"/>
      <x:c r="N953" s="121"/>
      <x:c r="P953" s="120"/>
      <x:c r="R953" s="120"/>
      <x:c r="S953" s="121"/>
      <x:c r="T953" s="122"/>
      <x:c r="U953" s="120"/>
      <x:c r="V953" s="122"/>
      <x:c r="W953" s="120"/>
      <x:c r="X953" s="121"/>
      <x:c r="Y953" s="122"/>
      <x:c r="Z953" s="120"/>
      <x:c r="AA953" s="122"/>
      <x:c r="AB953" s="120"/>
      <x:c r="AC953" s="121"/>
      <x:c r="AD953" s="122"/>
      <x:c r="AE953" s="120"/>
      <x:c r="AF953" s="122"/>
      <x:c r="AG953" s="120"/>
      <x:c r="AH953" s="121"/>
      <x:c r="AI953" s="122"/>
      <x:c r="AJ953" s="120"/>
      <x:c r="AK953" s="122"/>
      <x:c r="AL953" s="120"/>
      <x:c r="AM953" s="121"/>
      <x:c r="AN953" s="122"/>
      <x:c r="AO953" s="120"/>
      <x:c r="AP953" s="122"/>
    </x:row>
    <x:row r="954" ht="15.75" customHeight="1">
      <x:c r="K954" s="120"/>
      <x:c r="M954" s="120"/>
      <x:c r="N954" s="121"/>
      <x:c r="P954" s="120"/>
      <x:c r="R954" s="120"/>
      <x:c r="S954" s="121"/>
      <x:c r="T954" s="122"/>
      <x:c r="U954" s="120"/>
      <x:c r="V954" s="122"/>
      <x:c r="W954" s="120"/>
      <x:c r="X954" s="121"/>
      <x:c r="Y954" s="122"/>
      <x:c r="Z954" s="120"/>
      <x:c r="AA954" s="122"/>
      <x:c r="AB954" s="120"/>
      <x:c r="AC954" s="121"/>
      <x:c r="AD954" s="122"/>
      <x:c r="AE954" s="120"/>
      <x:c r="AF954" s="122"/>
      <x:c r="AG954" s="120"/>
      <x:c r="AH954" s="121"/>
      <x:c r="AI954" s="122"/>
      <x:c r="AJ954" s="120"/>
      <x:c r="AK954" s="122"/>
      <x:c r="AL954" s="120"/>
      <x:c r="AM954" s="121"/>
      <x:c r="AN954" s="122"/>
      <x:c r="AO954" s="120"/>
      <x:c r="AP954" s="122"/>
    </x:row>
    <x:row r="955" ht="15.75" customHeight="1">
      <x:c r="K955" s="120"/>
      <x:c r="M955" s="120"/>
      <x:c r="N955" s="121"/>
      <x:c r="P955" s="120"/>
      <x:c r="R955" s="120"/>
      <x:c r="S955" s="121"/>
      <x:c r="T955" s="122"/>
      <x:c r="U955" s="120"/>
      <x:c r="V955" s="122"/>
      <x:c r="W955" s="120"/>
      <x:c r="X955" s="121"/>
      <x:c r="Y955" s="122"/>
      <x:c r="Z955" s="120"/>
      <x:c r="AA955" s="122"/>
      <x:c r="AB955" s="120"/>
      <x:c r="AC955" s="121"/>
      <x:c r="AD955" s="122"/>
      <x:c r="AE955" s="120"/>
      <x:c r="AF955" s="122"/>
      <x:c r="AG955" s="120"/>
      <x:c r="AH955" s="121"/>
      <x:c r="AI955" s="122"/>
      <x:c r="AJ955" s="120"/>
      <x:c r="AK955" s="122"/>
      <x:c r="AL955" s="120"/>
      <x:c r="AM955" s="121"/>
      <x:c r="AN955" s="122"/>
      <x:c r="AO955" s="120"/>
      <x:c r="AP955" s="122"/>
    </x:row>
    <x:row r="956" ht="15.75" customHeight="1">
      <x:c r="K956" s="120"/>
      <x:c r="M956" s="120"/>
      <x:c r="N956" s="121"/>
      <x:c r="P956" s="120"/>
      <x:c r="R956" s="120"/>
      <x:c r="S956" s="121"/>
      <x:c r="T956" s="122"/>
      <x:c r="U956" s="120"/>
      <x:c r="V956" s="122"/>
      <x:c r="W956" s="120"/>
      <x:c r="X956" s="121"/>
      <x:c r="Y956" s="122"/>
      <x:c r="Z956" s="120"/>
      <x:c r="AA956" s="122"/>
      <x:c r="AB956" s="120"/>
      <x:c r="AC956" s="121"/>
      <x:c r="AD956" s="122"/>
      <x:c r="AE956" s="120"/>
      <x:c r="AF956" s="122"/>
      <x:c r="AG956" s="120"/>
      <x:c r="AH956" s="121"/>
      <x:c r="AI956" s="122"/>
      <x:c r="AJ956" s="120"/>
      <x:c r="AK956" s="122"/>
      <x:c r="AL956" s="120"/>
      <x:c r="AM956" s="121"/>
      <x:c r="AN956" s="122"/>
      <x:c r="AO956" s="120"/>
      <x:c r="AP956" s="122"/>
    </x:row>
    <x:row r="957" ht="15.75" customHeight="1">
      <x:c r="K957" s="120"/>
      <x:c r="M957" s="120"/>
      <x:c r="N957" s="121"/>
      <x:c r="P957" s="120"/>
      <x:c r="R957" s="120"/>
      <x:c r="S957" s="121"/>
      <x:c r="T957" s="122"/>
      <x:c r="U957" s="120"/>
      <x:c r="V957" s="122"/>
      <x:c r="W957" s="120"/>
      <x:c r="X957" s="121"/>
      <x:c r="Y957" s="122"/>
      <x:c r="Z957" s="120"/>
      <x:c r="AA957" s="122"/>
      <x:c r="AB957" s="120"/>
      <x:c r="AC957" s="121"/>
      <x:c r="AD957" s="122"/>
      <x:c r="AE957" s="120"/>
      <x:c r="AF957" s="122"/>
      <x:c r="AG957" s="120"/>
      <x:c r="AH957" s="121"/>
      <x:c r="AI957" s="122"/>
      <x:c r="AJ957" s="120"/>
      <x:c r="AK957" s="122"/>
      <x:c r="AL957" s="120"/>
      <x:c r="AM957" s="121"/>
      <x:c r="AN957" s="122"/>
      <x:c r="AO957" s="120"/>
      <x:c r="AP957" s="122"/>
    </x:row>
    <x:row r="958" ht="15.75" customHeight="1">
      <x:c r="K958" s="120"/>
      <x:c r="M958" s="120"/>
      <x:c r="N958" s="121"/>
      <x:c r="P958" s="120"/>
      <x:c r="R958" s="120"/>
      <x:c r="S958" s="121"/>
      <x:c r="T958" s="122"/>
      <x:c r="U958" s="120"/>
      <x:c r="V958" s="122"/>
      <x:c r="W958" s="120"/>
      <x:c r="X958" s="121"/>
      <x:c r="Y958" s="122"/>
      <x:c r="Z958" s="120"/>
      <x:c r="AA958" s="122"/>
      <x:c r="AB958" s="120"/>
      <x:c r="AC958" s="121"/>
      <x:c r="AD958" s="122"/>
      <x:c r="AE958" s="120"/>
      <x:c r="AF958" s="122"/>
      <x:c r="AG958" s="120"/>
      <x:c r="AH958" s="121"/>
      <x:c r="AI958" s="122"/>
      <x:c r="AJ958" s="120"/>
      <x:c r="AK958" s="122"/>
      <x:c r="AL958" s="120"/>
      <x:c r="AM958" s="121"/>
      <x:c r="AN958" s="122"/>
      <x:c r="AO958" s="120"/>
      <x:c r="AP958" s="122"/>
    </x:row>
    <x:row r="959" ht="15.75" customHeight="1">
      <x:c r="K959" s="120"/>
      <x:c r="M959" s="120"/>
      <x:c r="N959" s="121"/>
      <x:c r="P959" s="120"/>
      <x:c r="R959" s="120"/>
      <x:c r="S959" s="121"/>
      <x:c r="T959" s="122"/>
      <x:c r="U959" s="120"/>
      <x:c r="V959" s="122"/>
      <x:c r="W959" s="120"/>
      <x:c r="X959" s="121"/>
      <x:c r="Y959" s="122"/>
      <x:c r="Z959" s="120"/>
      <x:c r="AA959" s="122"/>
      <x:c r="AB959" s="120"/>
      <x:c r="AC959" s="121"/>
      <x:c r="AD959" s="122"/>
      <x:c r="AE959" s="120"/>
      <x:c r="AF959" s="122"/>
      <x:c r="AG959" s="120"/>
      <x:c r="AH959" s="121"/>
      <x:c r="AI959" s="122"/>
      <x:c r="AJ959" s="120"/>
      <x:c r="AK959" s="122"/>
      <x:c r="AL959" s="120"/>
      <x:c r="AM959" s="121"/>
      <x:c r="AN959" s="122"/>
      <x:c r="AO959" s="120"/>
      <x:c r="AP959" s="122"/>
    </x:row>
    <x:row r="960" ht="15.75" customHeight="1">
      <x:c r="K960" s="120"/>
      <x:c r="M960" s="120"/>
      <x:c r="N960" s="121"/>
      <x:c r="P960" s="120"/>
      <x:c r="R960" s="120"/>
      <x:c r="S960" s="121"/>
      <x:c r="T960" s="122"/>
      <x:c r="U960" s="120"/>
      <x:c r="V960" s="122"/>
      <x:c r="W960" s="120"/>
      <x:c r="X960" s="121"/>
      <x:c r="Y960" s="122"/>
      <x:c r="Z960" s="120"/>
      <x:c r="AA960" s="122"/>
      <x:c r="AB960" s="120"/>
      <x:c r="AC960" s="121"/>
      <x:c r="AD960" s="122"/>
      <x:c r="AE960" s="120"/>
      <x:c r="AF960" s="122"/>
      <x:c r="AG960" s="120"/>
      <x:c r="AH960" s="121"/>
      <x:c r="AI960" s="122"/>
      <x:c r="AJ960" s="120"/>
      <x:c r="AK960" s="122"/>
      <x:c r="AL960" s="120"/>
      <x:c r="AM960" s="121"/>
      <x:c r="AN960" s="122"/>
      <x:c r="AO960" s="120"/>
      <x:c r="AP960" s="122"/>
    </x:row>
    <x:row r="961" ht="15.75" customHeight="1">
      <x:c r="K961" s="120"/>
      <x:c r="M961" s="120"/>
      <x:c r="N961" s="121"/>
      <x:c r="P961" s="120"/>
      <x:c r="R961" s="120"/>
      <x:c r="S961" s="121"/>
      <x:c r="T961" s="122"/>
      <x:c r="U961" s="120"/>
      <x:c r="V961" s="122"/>
      <x:c r="W961" s="120"/>
      <x:c r="X961" s="121"/>
      <x:c r="Y961" s="122"/>
      <x:c r="Z961" s="120"/>
      <x:c r="AA961" s="122"/>
      <x:c r="AB961" s="120"/>
      <x:c r="AC961" s="121"/>
      <x:c r="AD961" s="122"/>
      <x:c r="AE961" s="120"/>
      <x:c r="AF961" s="122"/>
      <x:c r="AG961" s="120"/>
      <x:c r="AH961" s="121"/>
      <x:c r="AI961" s="122"/>
      <x:c r="AJ961" s="120"/>
      <x:c r="AK961" s="122"/>
      <x:c r="AL961" s="120"/>
      <x:c r="AM961" s="121"/>
      <x:c r="AN961" s="122"/>
      <x:c r="AO961" s="120"/>
      <x:c r="AP961" s="122"/>
    </x:row>
    <x:row r="962" ht="15.75" customHeight="1">
      <x:c r="K962" s="120"/>
      <x:c r="M962" s="120"/>
      <x:c r="N962" s="121"/>
      <x:c r="P962" s="120"/>
      <x:c r="R962" s="120"/>
      <x:c r="S962" s="121"/>
      <x:c r="T962" s="122"/>
      <x:c r="U962" s="120"/>
      <x:c r="V962" s="122"/>
      <x:c r="W962" s="120"/>
      <x:c r="X962" s="121"/>
      <x:c r="Y962" s="122"/>
      <x:c r="Z962" s="120"/>
      <x:c r="AA962" s="122"/>
      <x:c r="AB962" s="120"/>
      <x:c r="AC962" s="121"/>
      <x:c r="AD962" s="122"/>
      <x:c r="AE962" s="120"/>
      <x:c r="AF962" s="122"/>
      <x:c r="AG962" s="120"/>
      <x:c r="AH962" s="121"/>
      <x:c r="AI962" s="122"/>
      <x:c r="AJ962" s="120"/>
      <x:c r="AK962" s="122"/>
      <x:c r="AL962" s="120"/>
      <x:c r="AM962" s="121"/>
      <x:c r="AN962" s="122"/>
      <x:c r="AO962" s="120"/>
      <x:c r="AP962" s="122"/>
    </x:row>
    <x:row r="963" ht="15.75" customHeight="1">
      <x:c r="K963" s="120"/>
      <x:c r="M963" s="120"/>
      <x:c r="N963" s="121"/>
      <x:c r="P963" s="120"/>
      <x:c r="R963" s="120"/>
      <x:c r="S963" s="121"/>
      <x:c r="T963" s="122"/>
      <x:c r="U963" s="120"/>
      <x:c r="V963" s="122"/>
      <x:c r="W963" s="120"/>
      <x:c r="X963" s="121"/>
      <x:c r="Y963" s="122"/>
      <x:c r="Z963" s="120"/>
      <x:c r="AA963" s="122"/>
      <x:c r="AB963" s="120"/>
      <x:c r="AC963" s="121"/>
      <x:c r="AD963" s="122"/>
      <x:c r="AE963" s="120"/>
      <x:c r="AF963" s="122"/>
      <x:c r="AG963" s="120"/>
      <x:c r="AH963" s="121"/>
      <x:c r="AI963" s="122"/>
      <x:c r="AJ963" s="120"/>
      <x:c r="AK963" s="122"/>
      <x:c r="AL963" s="120"/>
      <x:c r="AM963" s="121"/>
      <x:c r="AN963" s="122"/>
      <x:c r="AO963" s="120"/>
      <x:c r="AP963" s="122"/>
    </x:row>
    <x:row r="964" ht="15.75" customHeight="1">
      <x:c r="K964" s="120"/>
      <x:c r="M964" s="120"/>
      <x:c r="N964" s="121"/>
      <x:c r="P964" s="120"/>
      <x:c r="R964" s="120"/>
      <x:c r="S964" s="121"/>
      <x:c r="T964" s="122"/>
      <x:c r="U964" s="120"/>
      <x:c r="V964" s="122"/>
      <x:c r="W964" s="120"/>
      <x:c r="X964" s="121"/>
      <x:c r="Y964" s="122"/>
      <x:c r="Z964" s="120"/>
      <x:c r="AA964" s="122"/>
      <x:c r="AB964" s="120"/>
      <x:c r="AC964" s="121"/>
      <x:c r="AD964" s="122"/>
      <x:c r="AE964" s="120"/>
      <x:c r="AF964" s="122"/>
      <x:c r="AG964" s="120"/>
      <x:c r="AH964" s="121"/>
      <x:c r="AI964" s="122"/>
      <x:c r="AJ964" s="120"/>
      <x:c r="AK964" s="122"/>
      <x:c r="AL964" s="120"/>
      <x:c r="AM964" s="121"/>
      <x:c r="AN964" s="122"/>
      <x:c r="AO964" s="120"/>
      <x:c r="AP964" s="122"/>
    </x:row>
    <x:row r="965" ht="15.75" customHeight="1">
      <x:c r="K965" s="120"/>
      <x:c r="M965" s="120"/>
      <x:c r="N965" s="121"/>
      <x:c r="P965" s="120"/>
      <x:c r="R965" s="120"/>
      <x:c r="S965" s="121"/>
      <x:c r="T965" s="122"/>
      <x:c r="U965" s="120"/>
      <x:c r="V965" s="122"/>
      <x:c r="W965" s="120"/>
      <x:c r="X965" s="121"/>
      <x:c r="Y965" s="122"/>
      <x:c r="Z965" s="120"/>
      <x:c r="AA965" s="122"/>
      <x:c r="AB965" s="120"/>
      <x:c r="AC965" s="121"/>
      <x:c r="AD965" s="122"/>
      <x:c r="AE965" s="120"/>
      <x:c r="AF965" s="122"/>
      <x:c r="AG965" s="120"/>
      <x:c r="AH965" s="121"/>
      <x:c r="AI965" s="122"/>
      <x:c r="AJ965" s="120"/>
      <x:c r="AK965" s="122"/>
      <x:c r="AL965" s="120"/>
      <x:c r="AM965" s="121"/>
      <x:c r="AN965" s="122"/>
      <x:c r="AO965" s="120"/>
      <x:c r="AP965" s="122"/>
    </x:row>
    <x:row r="966" ht="15.75" customHeight="1">
      <x:c r="K966" s="120"/>
      <x:c r="M966" s="120"/>
      <x:c r="N966" s="121"/>
      <x:c r="P966" s="120"/>
      <x:c r="R966" s="120"/>
      <x:c r="S966" s="121"/>
      <x:c r="T966" s="122"/>
      <x:c r="U966" s="120"/>
      <x:c r="V966" s="122"/>
      <x:c r="W966" s="120"/>
      <x:c r="X966" s="121"/>
      <x:c r="Y966" s="122"/>
      <x:c r="Z966" s="120"/>
      <x:c r="AA966" s="122"/>
      <x:c r="AB966" s="120"/>
      <x:c r="AC966" s="121"/>
      <x:c r="AD966" s="122"/>
      <x:c r="AE966" s="120"/>
      <x:c r="AF966" s="122"/>
      <x:c r="AG966" s="120"/>
      <x:c r="AH966" s="121"/>
      <x:c r="AI966" s="122"/>
      <x:c r="AJ966" s="120"/>
      <x:c r="AK966" s="122"/>
      <x:c r="AL966" s="120"/>
      <x:c r="AM966" s="121"/>
      <x:c r="AN966" s="122"/>
      <x:c r="AO966" s="120"/>
      <x:c r="AP966" s="122"/>
    </x:row>
    <x:row r="967" ht="15.75" customHeight="1">
      <x:c r="K967" s="120"/>
      <x:c r="M967" s="120"/>
      <x:c r="N967" s="121"/>
      <x:c r="P967" s="120"/>
      <x:c r="R967" s="120"/>
      <x:c r="S967" s="121"/>
      <x:c r="T967" s="122"/>
      <x:c r="U967" s="120"/>
      <x:c r="V967" s="122"/>
      <x:c r="W967" s="120"/>
      <x:c r="X967" s="121"/>
      <x:c r="Y967" s="122"/>
      <x:c r="Z967" s="120"/>
      <x:c r="AA967" s="122"/>
      <x:c r="AB967" s="120"/>
      <x:c r="AC967" s="121"/>
      <x:c r="AD967" s="122"/>
      <x:c r="AE967" s="120"/>
      <x:c r="AF967" s="122"/>
      <x:c r="AG967" s="120"/>
      <x:c r="AH967" s="121"/>
      <x:c r="AI967" s="122"/>
      <x:c r="AJ967" s="120"/>
      <x:c r="AK967" s="122"/>
      <x:c r="AL967" s="120"/>
      <x:c r="AM967" s="121"/>
      <x:c r="AN967" s="122"/>
      <x:c r="AO967" s="120"/>
      <x:c r="AP967" s="122"/>
    </x:row>
    <x:row r="968" ht="15.75" customHeight="1">
      <x:c r="K968" s="120"/>
      <x:c r="M968" s="120"/>
      <x:c r="N968" s="121"/>
      <x:c r="P968" s="120"/>
      <x:c r="R968" s="120"/>
      <x:c r="S968" s="121"/>
      <x:c r="T968" s="122"/>
      <x:c r="U968" s="120"/>
      <x:c r="V968" s="122"/>
      <x:c r="W968" s="120"/>
      <x:c r="X968" s="121"/>
      <x:c r="Y968" s="122"/>
      <x:c r="Z968" s="120"/>
      <x:c r="AA968" s="122"/>
      <x:c r="AB968" s="120"/>
      <x:c r="AC968" s="121"/>
      <x:c r="AD968" s="122"/>
      <x:c r="AE968" s="120"/>
      <x:c r="AF968" s="122"/>
      <x:c r="AG968" s="120"/>
      <x:c r="AH968" s="121"/>
      <x:c r="AI968" s="122"/>
      <x:c r="AJ968" s="120"/>
      <x:c r="AK968" s="122"/>
      <x:c r="AL968" s="120"/>
      <x:c r="AM968" s="121"/>
      <x:c r="AN968" s="122"/>
      <x:c r="AO968" s="120"/>
      <x:c r="AP968" s="122"/>
    </x:row>
    <x:row r="969" ht="15.75" customHeight="1">
      <x:c r="K969" s="120"/>
      <x:c r="M969" s="120"/>
      <x:c r="N969" s="121"/>
      <x:c r="P969" s="120"/>
      <x:c r="R969" s="120"/>
      <x:c r="S969" s="121"/>
      <x:c r="T969" s="122"/>
      <x:c r="U969" s="120"/>
      <x:c r="V969" s="122"/>
      <x:c r="W969" s="120"/>
      <x:c r="X969" s="121"/>
      <x:c r="Y969" s="122"/>
      <x:c r="Z969" s="120"/>
      <x:c r="AA969" s="122"/>
      <x:c r="AB969" s="120"/>
      <x:c r="AC969" s="121"/>
      <x:c r="AD969" s="122"/>
      <x:c r="AE969" s="120"/>
      <x:c r="AF969" s="122"/>
      <x:c r="AG969" s="120"/>
      <x:c r="AH969" s="121"/>
      <x:c r="AI969" s="122"/>
      <x:c r="AJ969" s="120"/>
      <x:c r="AK969" s="122"/>
      <x:c r="AL969" s="120"/>
      <x:c r="AM969" s="121"/>
      <x:c r="AN969" s="122"/>
      <x:c r="AO969" s="120"/>
      <x:c r="AP969" s="122"/>
    </x:row>
    <x:row r="970" ht="15.75" customHeight="1">
      <x:c r="K970" s="120"/>
      <x:c r="M970" s="120"/>
      <x:c r="N970" s="121"/>
      <x:c r="P970" s="120"/>
      <x:c r="R970" s="120"/>
      <x:c r="S970" s="121"/>
      <x:c r="T970" s="122"/>
      <x:c r="U970" s="120"/>
      <x:c r="V970" s="122"/>
      <x:c r="W970" s="120"/>
      <x:c r="X970" s="121"/>
      <x:c r="Y970" s="122"/>
      <x:c r="Z970" s="120"/>
      <x:c r="AA970" s="122"/>
      <x:c r="AB970" s="120"/>
      <x:c r="AC970" s="121"/>
      <x:c r="AD970" s="122"/>
      <x:c r="AE970" s="120"/>
      <x:c r="AF970" s="122"/>
      <x:c r="AG970" s="120"/>
      <x:c r="AH970" s="121"/>
      <x:c r="AI970" s="122"/>
      <x:c r="AJ970" s="120"/>
      <x:c r="AK970" s="122"/>
      <x:c r="AL970" s="120"/>
      <x:c r="AM970" s="121"/>
      <x:c r="AN970" s="122"/>
      <x:c r="AO970" s="120"/>
      <x:c r="AP970" s="122"/>
    </x:row>
    <x:row r="971" ht="15.75" customHeight="1">
      <x:c r="K971" s="120"/>
      <x:c r="M971" s="120"/>
      <x:c r="N971" s="121"/>
      <x:c r="P971" s="120"/>
      <x:c r="R971" s="120"/>
      <x:c r="S971" s="121"/>
      <x:c r="T971" s="122"/>
      <x:c r="U971" s="120"/>
      <x:c r="V971" s="122"/>
      <x:c r="W971" s="120"/>
      <x:c r="X971" s="121"/>
      <x:c r="Y971" s="122"/>
      <x:c r="Z971" s="120"/>
      <x:c r="AA971" s="122"/>
      <x:c r="AB971" s="120"/>
      <x:c r="AC971" s="121"/>
      <x:c r="AD971" s="122"/>
      <x:c r="AE971" s="120"/>
      <x:c r="AF971" s="122"/>
      <x:c r="AG971" s="120"/>
      <x:c r="AH971" s="121"/>
      <x:c r="AI971" s="122"/>
      <x:c r="AJ971" s="120"/>
      <x:c r="AK971" s="122"/>
      <x:c r="AL971" s="120"/>
      <x:c r="AM971" s="121"/>
      <x:c r="AN971" s="122"/>
      <x:c r="AO971" s="120"/>
      <x:c r="AP971" s="122"/>
    </x:row>
    <x:row r="972" ht="15.75" customHeight="1">
      <x:c r="K972" s="120"/>
      <x:c r="M972" s="120"/>
      <x:c r="N972" s="121"/>
      <x:c r="P972" s="120"/>
      <x:c r="R972" s="120"/>
      <x:c r="S972" s="121"/>
      <x:c r="T972" s="122"/>
      <x:c r="U972" s="120"/>
      <x:c r="V972" s="122"/>
      <x:c r="W972" s="120"/>
      <x:c r="X972" s="121"/>
      <x:c r="Y972" s="122"/>
      <x:c r="Z972" s="120"/>
      <x:c r="AA972" s="122"/>
      <x:c r="AB972" s="120"/>
      <x:c r="AC972" s="121"/>
      <x:c r="AD972" s="122"/>
      <x:c r="AE972" s="120"/>
      <x:c r="AF972" s="122"/>
      <x:c r="AG972" s="120"/>
      <x:c r="AH972" s="121"/>
      <x:c r="AI972" s="122"/>
      <x:c r="AJ972" s="120"/>
      <x:c r="AK972" s="122"/>
      <x:c r="AL972" s="120"/>
      <x:c r="AM972" s="121"/>
      <x:c r="AN972" s="122"/>
      <x:c r="AO972" s="120"/>
      <x:c r="AP972" s="122"/>
    </x:row>
    <x:row r="973" ht="15.75" customHeight="1">
      <x:c r="K973" s="120"/>
      <x:c r="M973" s="120"/>
      <x:c r="N973" s="121"/>
      <x:c r="P973" s="120"/>
      <x:c r="R973" s="120"/>
      <x:c r="S973" s="121"/>
      <x:c r="T973" s="122"/>
      <x:c r="U973" s="120"/>
      <x:c r="V973" s="122"/>
      <x:c r="W973" s="120"/>
      <x:c r="X973" s="121"/>
      <x:c r="Y973" s="122"/>
      <x:c r="Z973" s="120"/>
      <x:c r="AA973" s="122"/>
      <x:c r="AB973" s="120"/>
      <x:c r="AC973" s="121"/>
      <x:c r="AD973" s="122"/>
      <x:c r="AE973" s="120"/>
      <x:c r="AF973" s="122"/>
      <x:c r="AG973" s="120"/>
      <x:c r="AH973" s="121"/>
      <x:c r="AI973" s="122"/>
      <x:c r="AJ973" s="120"/>
      <x:c r="AK973" s="122"/>
      <x:c r="AL973" s="120"/>
      <x:c r="AM973" s="121"/>
      <x:c r="AN973" s="122"/>
      <x:c r="AO973" s="120"/>
      <x:c r="AP973" s="122"/>
    </x:row>
    <x:row r="974" ht="15.75" customHeight="1">
      <x:c r="K974" s="120"/>
      <x:c r="M974" s="120"/>
      <x:c r="N974" s="121"/>
      <x:c r="P974" s="120"/>
      <x:c r="R974" s="120"/>
      <x:c r="S974" s="121"/>
      <x:c r="T974" s="122"/>
      <x:c r="U974" s="120"/>
      <x:c r="V974" s="122"/>
      <x:c r="W974" s="120"/>
      <x:c r="X974" s="121"/>
      <x:c r="Y974" s="122"/>
      <x:c r="Z974" s="120"/>
      <x:c r="AA974" s="122"/>
      <x:c r="AB974" s="120"/>
      <x:c r="AC974" s="121"/>
      <x:c r="AD974" s="122"/>
      <x:c r="AE974" s="120"/>
      <x:c r="AF974" s="122"/>
      <x:c r="AG974" s="120"/>
      <x:c r="AH974" s="121"/>
      <x:c r="AI974" s="122"/>
      <x:c r="AJ974" s="120"/>
      <x:c r="AK974" s="122"/>
      <x:c r="AL974" s="120"/>
      <x:c r="AM974" s="121"/>
      <x:c r="AN974" s="122"/>
      <x:c r="AO974" s="120"/>
      <x:c r="AP974" s="122"/>
    </x:row>
    <x:row r="975" ht="15.75" customHeight="1">
      <x:c r="K975" s="120"/>
      <x:c r="M975" s="120"/>
      <x:c r="N975" s="121"/>
      <x:c r="P975" s="120"/>
      <x:c r="R975" s="120"/>
      <x:c r="S975" s="121"/>
      <x:c r="T975" s="122"/>
      <x:c r="U975" s="120"/>
      <x:c r="V975" s="122"/>
      <x:c r="W975" s="120"/>
      <x:c r="X975" s="121"/>
      <x:c r="Y975" s="122"/>
      <x:c r="Z975" s="120"/>
      <x:c r="AA975" s="122"/>
      <x:c r="AB975" s="120"/>
      <x:c r="AC975" s="121"/>
      <x:c r="AD975" s="122"/>
      <x:c r="AE975" s="120"/>
      <x:c r="AF975" s="122"/>
      <x:c r="AG975" s="120"/>
      <x:c r="AH975" s="121"/>
      <x:c r="AI975" s="122"/>
      <x:c r="AJ975" s="120"/>
      <x:c r="AK975" s="122"/>
      <x:c r="AL975" s="120"/>
      <x:c r="AM975" s="121"/>
      <x:c r="AN975" s="122"/>
      <x:c r="AO975" s="120"/>
      <x:c r="AP975" s="122"/>
    </x:row>
    <x:row r="976" ht="15.75" customHeight="1">
      <x:c r="K976" s="120"/>
      <x:c r="M976" s="120"/>
      <x:c r="N976" s="121"/>
      <x:c r="P976" s="120"/>
      <x:c r="R976" s="120"/>
      <x:c r="S976" s="121"/>
      <x:c r="T976" s="122"/>
      <x:c r="U976" s="120"/>
      <x:c r="V976" s="122"/>
      <x:c r="W976" s="120"/>
      <x:c r="X976" s="121"/>
      <x:c r="Y976" s="122"/>
      <x:c r="Z976" s="120"/>
      <x:c r="AA976" s="122"/>
      <x:c r="AB976" s="120"/>
      <x:c r="AC976" s="121"/>
      <x:c r="AD976" s="122"/>
      <x:c r="AE976" s="120"/>
      <x:c r="AF976" s="122"/>
      <x:c r="AG976" s="120"/>
      <x:c r="AH976" s="121"/>
      <x:c r="AI976" s="122"/>
      <x:c r="AJ976" s="120"/>
      <x:c r="AK976" s="122"/>
      <x:c r="AL976" s="120"/>
      <x:c r="AM976" s="121"/>
      <x:c r="AN976" s="122"/>
      <x:c r="AO976" s="120"/>
      <x:c r="AP976" s="122"/>
    </x:row>
    <x:row r="977" ht="15.75" customHeight="1">
      <x:c r="K977" s="120"/>
      <x:c r="M977" s="120"/>
      <x:c r="N977" s="121"/>
      <x:c r="P977" s="120"/>
      <x:c r="R977" s="120"/>
      <x:c r="S977" s="121"/>
      <x:c r="T977" s="122"/>
      <x:c r="U977" s="120"/>
      <x:c r="V977" s="122"/>
      <x:c r="W977" s="120"/>
      <x:c r="X977" s="121"/>
      <x:c r="Y977" s="122"/>
      <x:c r="Z977" s="120"/>
      <x:c r="AA977" s="122"/>
      <x:c r="AB977" s="120"/>
      <x:c r="AC977" s="121"/>
      <x:c r="AD977" s="122"/>
      <x:c r="AE977" s="120"/>
      <x:c r="AF977" s="122"/>
      <x:c r="AG977" s="120"/>
      <x:c r="AH977" s="121"/>
      <x:c r="AI977" s="122"/>
      <x:c r="AJ977" s="120"/>
      <x:c r="AK977" s="122"/>
      <x:c r="AL977" s="120"/>
      <x:c r="AM977" s="121"/>
      <x:c r="AN977" s="122"/>
      <x:c r="AO977" s="120"/>
      <x:c r="AP977" s="122"/>
    </x:row>
    <x:row r="978" ht="15.75" customHeight="1">
      <x:c r="K978" s="120"/>
      <x:c r="M978" s="120"/>
      <x:c r="N978" s="121"/>
      <x:c r="P978" s="120"/>
      <x:c r="R978" s="120"/>
      <x:c r="S978" s="121"/>
      <x:c r="T978" s="122"/>
      <x:c r="U978" s="120"/>
      <x:c r="V978" s="122"/>
      <x:c r="W978" s="120"/>
      <x:c r="X978" s="121"/>
      <x:c r="Y978" s="122"/>
      <x:c r="Z978" s="120"/>
      <x:c r="AA978" s="122"/>
      <x:c r="AB978" s="120"/>
      <x:c r="AC978" s="121"/>
      <x:c r="AD978" s="122"/>
      <x:c r="AE978" s="120"/>
      <x:c r="AF978" s="122"/>
      <x:c r="AG978" s="120"/>
      <x:c r="AH978" s="121"/>
      <x:c r="AI978" s="122"/>
      <x:c r="AJ978" s="120"/>
      <x:c r="AK978" s="122"/>
      <x:c r="AL978" s="120"/>
      <x:c r="AM978" s="121"/>
      <x:c r="AN978" s="122"/>
      <x:c r="AO978" s="120"/>
      <x:c r="AP978" s="122"/>
    </x:row>
    <x:row r="979" ht="15.75" customHeight="1">
      <x:c r="K979" s="120"/>
      <x:c r="M979" s="120"/>
      <x:c r="N979" s="121"/>
      <x:c r="P979" s="120"/>
      <x:c r="R979" s="120"/>
      <x:c r="S979" s="121"/>
      <x:c r="T979" s="122"/>
      <x:c r="U979" s="120"/>
      <x:c r="V979" s="122"/>
      <x:c r="W979" s="120"/>
      <x:c r="X979" s="121"/>
      <x:c r="Y979" s="122"/>
      <x:c r="Z979" s="120"/>
      <x:c r="AA979" s="122"/>
      <x:c r="AB979" s="120"/>
      <x:c r="AC979" s="121"/>
      <x:c r="AD979" s="122"/>
      <x:c r="AE979" s="120"/>
      <x:c r="AF979" s="122"/>
      <x:c r="AG979" s="120"/>
      <x:c r="AH979" s="121"/>
      <x:c r="AI979" s="122"/>
      <x:c r="AJ979" s="120"/>
      <x:c r="AK979" s="122"/>
      <x:c r="AL979" s="120"/>
      <x:c r="AM979" s="121"/>
      <x:c r="AN979" s="122"/>
      <x:c r="AO979" s="120"/>
      <x:c r="AP979" s="122"/>
    </x:row>
    <x:row r="980" ht="15.75" customHeight="1">
      <x:c r="K980" s="120"/>
      <x:c r="M980" s="120"/>
      <x:c r="N980" s="121"/>
      <x:c r="P980" s="120"/>
      <x:c r="R980" s="120"/>
      <x:c r="S980" s="121"/>
      <x:c r="T980" s="122"/>
      <x:c r="U980" s="120"/>
      <x:c r="V980" s="122"/>
      <x:c r="W980" s="120"/>
      <x:c r="X980" s="121"/>
      <x:c r="Y980" s="122"/>
      <x:c r="Z980" s="120"/>
      <x:c r="AA980" s="122"/>
      <x:c r="AB980" s="120"/>
      <x:c r="AC980" s="121"/>
      <x:c r="AD980" s="122"/>
      <x:c r="AE980" s="120"/>
      <x:c r="AF980" s="122"/>
      <x:c r="AG980" s="120"/>
      <x:c r="AH980" s="121"/>
      <x:c r="AI980" s="122"/>
      <x:c r="AJ980" s="120"/>
      <x:c r="AK980" s="122"/>
      <x:c r="AL980" s="120"/>
      <x:c r="AM980" s="121"/>
      <x:c r="AN980" s="122"/>
      <x:c r="AO980" s="120"/>
      <x:c r="AP980" s="122"/>
    </x:row>
    <x:row r="981" ht="15.75" customHeight="1">
      <x:c r="K981" s="120"/>
      <x:c r="M981" s="120"/>
      <x:c r="N981" s="121"/>
      <x:c r="P981" s="120"/>
      <x:c r="R981" s="120"/>
      <x:c r="S981" s="121"/>
      <x:c r="T981" s="122"/>
      <x:c r="U981" s="120"/>
      <x:c r="V981" s="122"/>
      <x:c r="W981" s="120"/>
      <x:c r="X981" s="121"/>
      <x:c r="Y981" s="122"/>
      <x:c r="Z981" s="120"/>
      <x:c r="AA981" s="122"/>
      <x:c r="AB981" s="120"/>
      <x:c r="AC981" s="121"/>
      <x:c r="AD981" s="122"/>
      <x:c r="AE981" s="120"/>
      <x:c r="AF981" s="122"/>
      <x:c r="AG981" s="120"/>
      <x:c r="AH981" s="121"/>
      <x:c r="AI981" s="122"/>
      <x:c r="AJ981" s="120"/>
      <x:c r="AK981" s="122"/>
      <x:c r="AL981" s="120"/>
      <x:c r="AM981" s="121"/>
      <x:c r="AN981" s="122"/>
      <x:c r="AO981" s="120"/>
      <x:c r="AP981" s="122"/>
    </x:row>
    <x:row r="982" ht="15.75" customHeight="1">
      <x:c r="K982" s="120"/>
      <x:c r="M982" s="120"/>
      <x:c r="N982" s="121"/>
      <x:c r="P982" s="120"/>
      <x:c r="R982" s="120"/>
      <x:c r="S982" s="121"/>
      <x:c r="T982" s="122"/>
      <x:c r="U982" s="120"/>
      <x:c r="V982" s="122"/>
      <x:c r="W982" s="120"/>
      <x:c r="X982" s="121"/>
      <x:c r="Y982" s="122"/>
      <x:c r="Z982" s="120"/>
      <x:c r="AA982" s="122"/>
      <x:c r="AB982" s="120"/>
      <x:c r="AC982" s="121"/>
      <x:c r="AD982" s="122"/>
      <x:c r="AE982" s="120"/>
      <x:c r="AF982" s="122"/>
      <x:c r="AG982" s="120"/>
      <x:c r="AH982" s="121"/>
      <x:c r="AI982" s="122"/>
      <x:c r="AJ982" s="120"/>
      <x:c r="AK982" s="122"/>
      <x:c r="AL982" s="120"/>
      <x:c r="AM982" s="121"/>
      <x:c r="AN982" s="122"/>
      <x:c r="AO982" s="120"/>
      <x:c r="AP982" s="122"/>
    </x:row>
    <x:row r="983" ht="15.75" customHeight="1">
      <x:c r="K983" s="120"/>
      <x:c r="M983" s="120"/>
      <x:c r="N983" s="121"/>
      <x:c r="P983" s="120"/>
      <x:c r="R983" s="120"/>
      <x:c r="S983" s="121"/>
      <x:c r="T983" s="122"/>
      <x:c r="U983" s="120"/>
      <x:c r="V983" s="122"/>
      <x:c r="W983" s="120"/>
      <x:c r="X983" s="121"/>
      <x:c r="Y983" s="122"/>
      <x:c r="Z983" s="120"/>
      <x:c r="AA983" s="122"/>
      <x:c r="AB983" s="120"/>
      <x:c r="AC983" s="121"/>
      <x:c r="AD983" s="122"/>
      <x:c r="AE983" s="120"/>
      <x:c r="AF983" s="122"/>
      <x:c r="AG983" s="120"/>
      <x:c r="AH983" s="121"/>
      <x:c r="AI983" s="122"/>
      <x:c r="AJ983" s="120"/>
      <x:c r="AK983" s="122"/>
      <x:c r="AL983" s="120"/>
      <x:c r="AM983" s="121"/>
      <x:c r="AN983" s="122"/>
      <x:c r="AO983" s="120"/>
      <x:c r="AP983" s="122"/>
    </x:row>
    <x:row r="984" ht="15.75" customHeight="1">
      <x:c r="K984" s="120"/>
      <x:c r="M984" s="120"/>
      <x:c r="N984" s="121"/>
      <x:c r="P984" s="120"/>
      <x:c r="R984" s="120"/>
      <x:c r="S984" s="121"/>
      <x:c r="T984" s="122"/>
      <x:c r="U984" s="120"/>
      <x:c r="V984" s="122"/>
      <x:c r="W984" s="120"/>
      <x:c r="X984" s="121"/>
      <x:c r="Y984" s="122"/>
      <x:c r="Z984" s="120"/>
      <x:c r="AA984" s="122"/>
      <x:c r="AB984" s="120"/>
      <x:c r="AC984" s="121"/>
      <x:c r="AD984" s="122"/>
      <x:c r="AE984" s="120"/>
      <x:c r="AF984" s="122"/>
      <x:c r="AG984" s="120"/>
      <x:c r="AH984" s="121"/>
      <x:c r="AI984" s="122"/>
      <x:c r="AJ984" s="120"/>
      <x:c r="AK984" s="122"/>
      <x:c r="AL984" s="120"/>
      <x:c r="AM984" s="121"/>
      <x:c r="AN984" s="122"/>
      <x:c r="AO984" s="120"/>
      <x:c r="AP984" s="122"/>
    </x:row>
    <x:row r="985" ht="15.75" customHeight="1">
      <x:c r="K985" s="120"/>
      <x:c r="M985" s="120"/>
      <x:c r="N985" s="121"/>
      <x:c r="P985" s="120"/>
      <x:c r="R985" s="120"/>
      <x:c r="S985" s="121"/>
      <x:c r="T985" s="122"/>
      <x:c r="U985" s="120"/>
      <x:c r="V985" s="122"/>
      <x:c r="W985" s="120"/>
      <x:c r="X985" s="121"/>
      <x:c r="Y985" s="122"/>
      <x:c r="Z985" s="120"/>
      <x:c r="AA985" s="122"/>
      <x:c r="AB985" s="120"/>
      <x:c r="AC985" s="121"/>
      <x:c r="AD985" s="122"/>
      <x:c r="AE985" s="120"/>
      <x:c r="AF985" s="122"/>
      <x:c r="AG985" s="120"/>
      <x:c r="AH985" s="121"/>
      <x:c r="AI985" s="122"/>
      <x:c r="AJ985" s="120"/>
      <x:c r="AK985" s="122"/>
      <x:c r="AL985" s="120"/>
      <x:c r="AM985" s="121"/>
      <x:c r="AN985" s="122"/>
      <x:c r="AO985" s="120"/>
      <x:c r="AP985" s="122"/>
    </x:row>
    <x:row r="986" ht="15.75" customHeight="1">
      <x:c r="K986" s="120"/>
      <x:c r="M986" s="120"/>
      <x:c r="N986" s="121"/>
      <x:c r="P986" s="120"/>
      <x:c r="R986" s="120"/>
      <x:c r="S986" s="121"/>
      <x:c r="T986" s="122"/>
      <x:c r="U986" s="120"/>
      <x:c r="V986" s="122"/>
      <x:c r="W986" s="120"/>
      <x:c r="X986" s="121"/>
      <x:c r="Y986" s="122"/>
      <x:c r="Z986" s="120"/>
      <x:c r="AA986" s="122"/>
      <x:c r="AB986" s="120"/>
      <x:c r="AC986" s="121"/>
      <x:c r="AD986" s="122"/>
      <x:c r="AE986" s="120"/>
      <x:c r="AF986" s="122"/>
      <x:c r="AG986" s="120"/>
      <x:c r="AH986" s="121"/>
      <x:c r="AI986" s="122"/>
      <x:c r="AJ986" s="120"/>
      <x:c r="AK986" s="122"/>
      <x:c r="AL986" s="120"/>
      <x:c r="AM986" s="121"/>
      <x:c r="AN986" s="122"/>
      <x:c r="AO986" s="120"/>
      <x:c r="AP986" s="122"/>
    </x:row>
    <x:row r="987" ht="15.75" customHeight="1">
      <x:c r="K987" s="120"/>
      <x:c r="M987" s="120"/>
      <x:c r="N987" s="121"/>
      <x:c r="P987" s="120"/>
      <x:c r="R987" s="120"/>
      <x:c r="S987" s="121"/>
      <x:c r="T987" s="122"/>
      <x:c r="U987" s="120"/>
      <x:c r="V987" s="122"/>
      <x:c r="W987" s="120"/>
      <x:c r="X987" s="121"/>
      <x:c r="Y987" s="122"/>
      <x:c r="Z987" s="120"/>
      <x:c r="AA987" s="122"/>
      <x:c r="AB987" s="120"/>
      <x:c r="AC987" s="121"/>
      <x:c r="AD987" s="122"/>
      <x:c r="AE987" s="120"/>
      <x:c r="AF987" s="122"/>
      <x:c r="AG987" s="120"/>
      <x:c r="AH987" s="121"/>
      <x:c r="AI987" s="122"/>
      <x:c r="AJ987" s="120"/>
      <x:c r="AK987" s="122"/>
      <x:c r="AL987" s="120"/>
      <x:c r="AM987" s="121"/>
      <x:c r="AN987" s="122"/>
      <x:c r="AO987" s="120"/>
      <x:c r="AP987" s="122"/>
    </x:row>
    <x:row r="988" ht="15.75" customHeight="1">
      <x:c r="K988" s="120"/>
      <x:c r="M988" s="120"/>
      <x:c r="N988" s="121"/>
      <x:c r="P988" s="120"/>
      <x:c r="R988" s="120"/>
      <x:c r="S988" s="121"/>
      <x:c r="T988" s="122"/>
      <x:c r="U988" s="120"/>
      <x:c r="V988" s="122"/>
      <x:c r="W988" s="120"/>
      <x:c r="X988" s="121"/>
      <x:c r="Y988" s="122"/>
      <x:c r="Z988" s="120"/>
      <x:c r="AA988" s="122"/>
      <x:c r="AB988" s="120"/>
      <x:c r="AC988" s="121"/>
      <x:c r="AD988" s="122"/>
      <x:c r="AE988" s="120"/>
      <x:c r="AF988" s="122"/>
      <x:c r="AG988" s="120"/>
      <x:c r="AH988" s="121"/>
      <x:c r="AI988" s="122"/>
      <x:c r="AJ988" s="120"/>
      <x:c r="AK988" s="122"/>
      <x:c r="AL988" s="120"/>
      <x:c r="AM988" s="121"/>
      <x:c r="AN988" s="122"/>
      <x:c r="AO988" s="120"/>
      <x:c r="AP988" s="122"/>
    </x:row>
    <x:row r="989" ht="15.75" customHeight="1">
      <x:c r="K989" s="120"/>
      <x:c r="M989" s="120"/>
      <x:c r="N989" s="121"/>
      <x:c r="P989" s="120"/>
      <x:c r="R989" s="120"/>
      <x:c r="S989" s="121"/>
      <x:c r="T989" s="122"/>
      <x:c r="U989" s="120"/>
      <x:c r="V989" s="122"/>
      <x:c r="W989" s="120"/>
      <x:c r="X989" s="121"/>
      <x:c r="Y989" s="122"/>
      <x:c r="Z989" s="120"/>
      <x:c r="AA989" s="122"/>
      <x:c r="AB989" s="120"/>
      <x:c r="AC989" s="121"/>
      <x:c r="AD989" s="122"/>
      <x:c r="AE989" s="120"/>
      <x:c r="AF989" s="122"/>
      <x:c r="AG989" s="120"/>
      <x:c r="AH989" s="121"/>
      <x:c r="AI989" s="122"/>
      <x:c r="AJ989" s="120"/>
      <x:c r="AK989" s="122"/>
      <x:c r="AL989" s="120"/>
      <x:c r="AM989" s="121"/>
      <x:c r="AN989" s="122"/>
      <x:c r="AO989" s="120"/>
      <x:c r="AP989" s="122"/>
    </x:row>
    <x:row r="990" ht="15.75" customHeight="1">
      <x:c r="K990" s="120"/>
      <x:c r="M990" s="120"/>
      <x:c r="N990" s="121"/>
      <x:c r="P990" s="120"/>
      <x:c r="R990" s="120"/>
      <x:c r="S990" s="121"/>
      <x:c r="T990" s="122"/>
      <x:c r="U990" s="120"/>
      <x:c r="V990" s="122"/>
      <x:c r="W990" s="120"/>
      <x:c r="X990" s="121"/>
      <x:c r="Y990" s="122"/>
      <x:c r="Z990" s="120"/>
      <x:c r="AA990" s="122"/>
      <x:c r="AB990" s="120"/>
      <x:c r="AC990" s="121"/>
      <x:c r="AD990" s="122"/>
      <x:c r="AE990" s="120"/>
      <x:c r="AF990" s="122"/>
      <x:c r="AG990" s="120"/>
      <x:c r="AH990" s="121"/>
      <x:c r="AI990" s="122"/>
      <x:c r="AJ990" s="120"/>
      <x:c r="AK990" s="122"/>
      <x:c r="AL990" s="120"/>
      <x:c r="AM990" s="121"/>
      <x:c r="AN990" s="122"/>
      <x:c r="AO990" s="120"/>
      <x:c r="AP990" s="122"/>
    </x:row>
    <x:row r="991" ht="15.75" customHeight="1">
      <x:c r="K991" s="120"/>
      <x:c r="M991" s="120"/>
      <x:c r="N991" s="121"/>
      <x:c r="P991" s="120"/>
      <x:c r="R991" s="120"/>
      <x:c r="S991" s="121"/>
      <x:c r="T991" s="122"/>
      <x:c r="U991" s="120"/>
      <x:c r="V991" s="122"/>
      <x:c r="W991" s="120"/>
      <x:c r="X991" s="121"/>
      <x:c r="Y991" s="122"/>
      <x:c r="Z991" s="120"/>
      <x:c r="AA991" s="122"/>
      <x:c r="AB991" s="120"/>
      <x:c r="AC991" s="121"/>
      <x:c r="AD991" s="122"/>
      <x:c r="AE991" s="120"/>
      <x:c r="AF991" s="122"/>
      <x:c r="AG991" s="120"/>
      <x:c r="AH991" s="121"/>
      <x:c r="AI991" s="122"/>
      <x:c r="AJ991" s="120"/>
      <x:c r="AK991" s="122"/>
      <x:c r="AL991" s="120"/>
      <x:c r="AM991" s="121"/>
      <x:c r="AN991" s="122"/>
      <x:c r="AO991" s="120"/>
      <x:c r="AP991" s="122"/>
    </x:row>
    <x:row r="992" ht="15.75" customHeight="1">
      <x:c r="K992" s="120"/>
      <x:c r="M992" s="120"/>
      <x:c r="N992" s="121"/>
      <x:c r="P992" s="120"/>
      <x:c r="R992" s="120"/>
      <x:c r="S992" s="121"/>
      <x:c r="T992" s="122"/>
      <x:c r="U992" s="120"/>
      <x:c r="V992" s="122"/>
      <x:c r="W992" s="120"/>
      <x:c r="X992" s="121"/>
      <x:c r="Y992" s="122"/>
      <x:c r="Z992" s="120"/>
      <x:c r="AA992" s="122"/>
      <x:c r="AB992" s="120"/>
      <x:c r="AC992" s="121"/>
      <x:c r="AD992" s="122"/>
      <x:c r="AE992" s="120"/>
      <x:c r="AF992" s="122"/>
      <x:c r="AG992" s="120"/>
      <x:c r="AH992" s="121"/>
      <x:c r="AI992" s="122"/>
      <x:c r="AJ992" s="120"/>
      <x:c r="AK992" s="122"/>
      <x:c r="AL992" s="120"/>
      <x:c r="AM992" s="121"/>
      <x:c r="AN992" s="122"/>
      <x:c r="AO992" s="120"/>
      <x:c r="AP992" s="122"/>
    </x:row>
    <x:row r="993" ht="15.75" customHeight="1">
      <x:c r="K993" s="120"/>
      <x:c r="M993" s="120"/>
      <x:c r="N993" s="121"/>
      <x:c r="P993" s="120"/>
      <x:c r="R993" s="120"/>
      <x:c r="S993" s="121"/>
      <x:c r="T993" s="122"/>
      <x:c r="U993" s="120"/>
      <x:c r="V993" s="122"/>
      <x:c r="W993" s="120"/>
      <x:c r="X993" s="121"/>
      <x:c r="Y993" s="122"/>
      <x:c r="Z993" s="120"/>
      <x:c r="AA993" s="122"/>
      <x:c r="AB993" s="120"/>
      <x:c r="AC993" s="121"/>
      <x:c r="AD993" s="122"/>
      <x:c r="AE993" s="120"/>
      <x:c r="AF993" s="122"/>
      <x:c r="AG993" s="120"/>
      <x:c r="AH993" s="121"/>
      <x:c r="AI993" s="122"/>
      <x:c r="AJ993" s="120"/>
      <x:c r="AK993" s="122"/>
      <x:c r="AL993" s="120"/>
      <x:c r="AM993" s="121"/>
      <x:c r="AN993" s="122"/>
      <x:c r="AO993" s="120"/>
      <x:c r="AP993" s="122"/>
    </x:row>
    <x:row r="994" ht="15.75" customHeight="1">
      <x:c r="K994" s="120"/>
      <x:c r="M994" s="120"/>
      <x:c r="N994" s="121"/>
      <x:c r="P994" s="120"/>
      <x:c r="R994" s="120"/>
      <x:c r="S994" s="121"/>
      <x:c r="T994" s="122"/>
      <x:c r="U994" s="120"/>
      <x:c r="V994" s="122"/>
      <x:c r="W994" s="120"/>
      <x:c r="X994" s="121"/>
      <x:c r="Y994" s="122"/>
      <x:c r="Z994" s="120"/>
      <x:c r="AA994" s="122"/>
      <x:c r="AB994" s="120"/>
      <x:c r="AC994" s="121"/>
      <x:c r="AD994" s="122"/>
      <x:c r="AE994" s="120"/>
      <x:c r="AF994" s="122"/>
      <x:c r="AG994" s="120"/>
      <x:c r="AH994" s="121"/>
      <x:c r="AI994" s="122"/>
      <x:c r="AJ994" s="120"/>
      <x:c r="AK994" s="122"/>
      <x:c r="AL994" s="120"/>
      <x:c r="AM994" s="121"/>
      <x:c r="AN994" s="122"/>
      <x:c r="AO994" s="120"/>
      <x:c r="AP994" s="122"/>
    </x:row>
    <x:row r="995" ht="15.75" customHeight="1">
      <x:c r="K995" s="120"/>
      <x:c r="M995" s="120"/>
      <x:c r="N995" s="121"/>
      <x:c r="P995" s="120"/>
      <x:c r="R995" s="120"/>
      <x:c r="S995" s="121"/>
      <x:c r="T995" s="122"/>
      <x:c r="U995" s="120"/>
      <x:c r="V995" s="122"/>
      <x:c r="W995" s="120"/>
      <x:c r="X995" s="121"/>
      <x:c r="Y995" s="122"/>
      <x:c r="Z995" s="120"/>
      <x:c r="AA995" s="122"/>
      <x:c r="AB995" s="120"/>
      <x:c r="AC995" s="121"/>
      <x:c r="AD995" s="122"/>
      <x:c r="AE995" s="120"/>
      <x:c r="AF995" s="122"/>
      <x:c r="AG995" s="120"/>
      <x:c r="AH995" s="121"/>
      <x:c r="AI995" s="122"/>
      <x:c r="AJ995" s="120"/>
      <x:c r="AK995" s="122"/>
      <x:c r="AL995" s="120"/>
      <x:c r="AM995" s="121"/>
      <x:c r="AN995" s="122"/>
      <x:c r="AO995" s="120"/>
      <x:c r="AP995" s="122"/>
    </x:row>
    <x:row r="996" ht="15.75" customHeight="1">
      <x:c r="K996" s="120"/>
      <x:c r="M996" s="120"/>
      <x:c r="N996" s="121"/>
      <x:c r="P996" s="120"/>
      <x:c r="R996" s="120"/>
      <x:c r="S996" s="121"/>
      <x:c r="T996" s="122"/>
      <x:c r="U996" s="120"/>
      <x:c r="V996" s="122"/>
      <x:c r="W996" s="120"/>
      <x:c r="X996" s="121"/>
      <x:c r="Y996" s="122"/>
      <x:c r="Z996" s="120"/>
      <x:c r="AA996" s="122"/>
      <x:c r="AB996" s="120"/>
      <x:c r="AC996" s="121"/>
      <x:c r="AD996" s="122"/>
      <x:c r="AE996" s="120"/>
      <x:c r="AF996" s="122"/>
      <x:c r="AG996" s="120"/>
      <x:c r="AH996" s="121"/>
      <x:c r="AI996" s="122"/>
      <x:c r="AJ996" s="120"/>
      <x:c r="AK996" s="122"/>
      <x:c r="AL996" s="120"/>
      <x:c r="AM996" s="121"/>
      <x:c r="AN996" s="122"/>
      <x:c r="AO996" s="120"/>
      <x:c r="AP996" s="122"/>
    </x:row>
    <x:row r="997" ht="15.75" customHeight="1">
      <x:c r="K997" s="120"/>
      <x:c r="M997" s="120"/>
      <x:c r="N997" s="121"/>
      <x:c r="P997" s="120"/>
      <x:c r="R997" s="120"/>
      <x:c r="S997" s="121"/>
      <x:c r="T997" s="122"/>
      <x:c r="U997" s="120"/>
      <x:c r="V997" s="122"/>
      <x:c r="W997" s="120"/>
      <x:c r="X997" s="121"/>
      <x:c r="Y997" s="122"/>
      <x:c r="Z997" s="120"/>
      <x:c r="AA997" s="122"/>
      <x:c r="AB997" s="120"/>
      <x:c r="AC997" s="121"/>
      <x:c r="AD997" s="122"/>
      <x:c r="AE997" s="120"/>
      <x:c r="AF997" s="122"/>
      <x:c r="AG997" s="120"/>
      <x:c r="AH997" s="121"/>
      <x:c r="AI997" s="122"/>
      <x:c r="AJ997" s="120"/>
      <x:c r="AK997" s="122"/>
      <x:c r="AL997" s="120"/>
      <x:c r="AM997" s="121"/>
      <x:c r="AN997" s="122"/>
      <x:c r="AO997" s="120"/>
      <x:c r="AP997" s="122"/>
    </x:row>
    <x:row r="998" ht="15.75" customHeight="1">
      <x:c r="K998" s="120"/>
      <x:c r="M998" s="120"/>
      <x:c r="N998" s="121"/>
      <x:c r="P998" s="120"/>
      <x:c r="R998" s="120"/>
      <x:c r="S998" s="121"/>
      <x:c r="T998" s="122"/>
      <x:c r="U998" s="120"/>
      <x:c r="V998" s="122"/>
      <x:c r="W998" s="120"/>
      <x:c r="X998" s="121"/>
      <x:c r="Y998" s="122"/>
      <x:c r="Z998" s="120"/>
      <x:c r="AA998" s="122"/>
      <x:c r="AB998" s="120"/>
      <x:c r="AC998" s="121"/>
      <x:c r="AD998" s="122"/>
      <x:c r="AE998" s="120"/>
      <x:c r="AF998" s="122"/>
      <x:c r="AG998" s="120"/>
      <x:c r="AH998" s="121"/>
      <x:c r="AI998" s="122"/>
      <x:c r="AJ998" s="120"/>
      <x:c r="AK998" s="122"/>
      <x:c r="AL998" s="120"/>
      <x:c r="AM998" s="121"/>
      <x:c r="AN998" s="122"/>
      <x:c r="AO998" s="120"/>
      <x:c r="AP998" s="122"/>
    </x:row>
    <x:row r="999" ht="15.75" customHeight="1">
      <x:c r="K999" s="120"/>
      <x:c r="M999" s="120"/>
      <x:c r="N999" s="121"/>
      <x:c r="P999" s="120"/>
      <x:c r="R999" s="120"/>
      <x:c r="S999" s="121"/>
      <x:c r="T999" s="122"/>
      <x:c r="U999" s="120"/>
      <x:c r="V999" s="122"/>
      <x:c r="W999" s="120"/>
      <x:c r="X999" s="121"/>
      <x:c r="Y999" s="122"/>
      <x:c r="Z999" s="120"/>
      <x:c r="AA999" s="122"/>
      <x:c r="AB999" s="120"/>
      <x:c r="AC999" s="121"/>
      <x:c r="AD999" s="122"/>
      <x:c r="AE999" s="120"/>
      <x:c r="AF999" s="122"/>
      <x:c r="AG999" s="120"/>
      <x:c r="AH999" s="121"/>
      <x:c r="AI999" s="122"/>
      <x:c r="AJ999" s="120"/>
      <x:c r="AK999" s="122"/>
      <x:c r="AL999" s="120"/>
      <x:c r="AM999" s="121"/>
      <x:c r="AN999" s="122"/>
      <x:c r="AO999" s="120"/>
      <x:c r="AP999" s="122"/>
    </x:row>
    <x:row r="1000" ht="15.75" customHeight="1">
      <x:c r="K1000" s="120"/>
      <x:c r="M1000" s="120"/>
      <x:c r="N1000" s="121"/>
      <x:c r="P1000" s="120"/>
      <x:c r="R1000" s="120"/>
      <x:c r="S1000" s="121"/>
      <x:c r="T1000" s="122"/>
      <x:c r="U1000" s="120"/>
      <x:c r="V1000" s="122"/>
      <x:c r="W1000" s="120"/>
      <x:c r="X1000" s="121"/>
      <x:c r="Y1000" s="122"/>
      <x:c r="Z1000" s="120"/>
      <x:c r="AA1000" s="122"/>
      <x:c r="AB1000" s="120"/>
      <x:c r="AC1000" s="121"/>
      <x:c r="AD1000" s="122"/>
      <x:c r="AE1000" s="120"/>
      <x:c r="AF1000" s="122"/>
      <x:c r="AG1000" s="120"/>
      <x:c r="AH1000" s="121"/>
      <x:c r="AI1000" s="122"/>
      <x:c r="AJ1000" s="120"/>
      <x:c r="AK1000" s="122"/>
      <x:c r="AL1000" s="120"/>
      <x:c r="AM1000" s="121"/>
      <x:c r="AN1000" s="122"/>
      <x:c r="AO1000" s="120"/>
      <x:c r="AP1000" s="122"/>
    </x:row>
  </x:sheetData>
  <x:mergeCells>
    <x:mergeCell ref="B1:I1"/>
    <x:mergeCell ref="B2:I2"/>
    <x:mergeCell ref="B4:F4"/>
    <x:mergeCell ref="D6:E6"/>
    <x:mergeCell ref="D7:D9"/>
    <x:mergeCell ref="E7:E9"/>
    <x:mergeCell ref="A16:A19"/>
    <x:mergeCell ref="B16:B19"/>
    <x:mergeCell ref="C16:C19"/>
    <x:mergeCell ref="D16:D19"/>
    <x:mergeCell ref="E16:E19"/>
    <x:mergeCell ref="F16:F19"/>
    <x:mergeCell ref="G16:I19"/>
    <x:mergeCell ref="J18:N18"/>
    <x:mergeCell ref="O18:S18"/>
    <x:mergeCell ref="T18:X18"/>
    <x:mergeCell ref="Y18:AC18"/>
    <x:mergeCell ref="AD18:AH18"/>
    <x:mergeCell ref="AI18:AM18"/>
    <x:mergeCell ref="AN18:AP18"/>
    <x:mergeCell ref="G20:H20"/>
    <x:mergeCell ref="G21:H21"/>
    <x:mergeCell ref="G22:H22"/>
    <x:mergeCell ref="G23:H23"/>
    <x:mergeCell ref="G24:H24"/>
    <x:mergeCell ref="G25:H25"/>
    <x:mergeCell ref="G26:H26"/>
    <x:mergeCell ref="G27:H27"/>
    <x:mergeCell ref="G28:H28"/>
    <x:mergeCell ref="G29:H29"/>
    <x:mergeCell ref="G30:H30"/>
    <x:mergeCell ref="G31:H31"/>
    <x:mergeCell ref="G32:H32"/>
    <x:mergeCell ref="G33:H33"/>
    <x:mergeCell ref="G34:H34"/>
    <x:mergeCell ref="G35:H35"/>
    <x:mergeCell ref="G36:H36"/>
    <x:mergeCell ref="G37:H37"/>
    <x:mergeCell ref="G38:H38"/>
    <x:mergeCell ref="G39:H39"/>
    <x:mergeCell ref="G40:H40"/>
    <x:mergeCell ref="G41:H41"/>
    <x:mergeCell ref="G42:H42"/>
    <x:mergeCell ref="G43:H43"/>
    <x:mergeCell ref="G44:H44"/>
    <x:mergeCell ref="G45:H45"/>
    <x:mergeCell ref="G46:H46"/>
    <x:mergeCell ref="G47:H47"/>
    <x:mergeCell ref="G48:H48"/>
    <x:mergeCell ref="G49:H49"/>
    <x:mergeCell ref="G50:H50"/>
    <x:mergeCell ref="G51:H51"/>
    <x:mergeCell ref="G52:H52"/>
    <x:mergeCell ref="G53:H53"/>
    <x:mergeCell ref="G54:H54"/>
    <x:mergeCell ref="G55:H55"/>
    <x:mergeCell ref="G56:H56"/>
    <x:mergeCell ref="G57:H57"/>
    <x:mergeCell ref="G58:H58"/>
    <x:mergeCell ref="G59:H59"/>
    <x:mergeCell ref="G60:H60"/>
    <x:mergeCell ref="G61:H61"/>
    <x:mergeCell ref="G62:H62"/>
    <x:mergeCell ref="G63:H63"/>
    <x:mergeCell ref="G64:H64"/>
    <x:mergeCell ref="G65:H65"/>
    <x:mergeCell ref="G66:H66"/>
    <x:mergeCell ref="G67:H67"/>
    <x:mergeCell ref="G68:H68"/>
    <x:mergeCell ref="G69:H69"/>
    <x:mergeCell ref="G70:H70"/>
    <x:mergeCell ref="G71:H71"/>
    <x:mergeCell ref="G72:H72"/>
    <x:mergeCell ref="G73:H73"/>
    <x:mergeCell ref="G74:H74"/>
    <x:mergeCell ref="G75:H75"/>
    <x:mergeCell ref="G76:H76"/>
    <x:mergeCell ref="G77:H77"/>
    <x:mergeCell ref="G78:H78"/>
    <x:mergeCell ref="G79:H79"/>
    <x:mergeCell ref="G80:H80"/>
    <x:mergeCell ref="G81:H81"/>
    <x:mergeCell ref="G82:H82"/>
    <x:mergeCell ref="G83:H83"/>
    <x:mergeCell ref="G84:H84"/>
    <x:mergeCell ref="G85:H85"/>
    <x:mergeCell ref="G86:H86"/>
    <x:mergeCell ref="G87:H87"/>
    <x:mergeCell ref="G88:H88"/>
    <x:mergeCell ref="G89:H89"/>
    <x:mergeCell ref="G90:H90"/>
    <x:mergeCell ref="G91:H91"/>
    <x:mergeCell ref="G92:H92"/>
    <x:mergeCell ref="G93:H93"/>
    <x:mergeCell ref="G94:H94"/>
    <x:mergeCell ref="G95:H95"/>
    <x:mergeCell ref="G96:H96"/>
    <x:mergeCell ref="G97:H97"/>
    <x:mergeCell ref="G98:H98"/>
    <x:mergeCell ref="G99:H99"/>
    <x:mergeCell ref="G100:H100"/>
    <x:mergeCell ref="G101:H101"/>
    <x:mergeCell ref="G102:H102"/>
    <x:mergeCell ref="G103:H103"/>
    <x:mergeCell ref="G104:H104"/>
    <x:mergeCell ref="G105:H105"/>
    <x:mergeCell ref="G106:H106"/>
    <x:mergeCell ref="G107:H107"/>
    <x:mergeCell ref="G108:H108"/>
    <x:mergeCell ref="G109:H109"/>
    <x:mergeCell ref="G110:H110"/>
    <x:mergeCell ref="G111:H111"/>
    <x:mergeCell ref="G112:H112"/>
    <x:mergeCell ref="G113:H113"/>
    <x:mergeCell ref="G114:H114"/>
    <x:mergeCell ref="G115:H115"/>
    <x:mergeCell ref="G116:H116"/>
    <x:mergeCell ref="G117:H117"/>
    <x:mergeCell ref="G118:H118"/>
    <x:mergeCell ref="G119:H119"/>
    <x:mergeCell ref="G120:H120"/>
    <x:mergeCell ref="G121:H121"/>
    <x:mergeCell ref="G122:H122"/>
    <x:mergeCell ref="G123:H123"/>
    <x:mergeCell ref="G124:H124"/>
    <x:mergeCell ref="G125:H125"/>
    <x:mergeCell ref="G126:H126"/>
    <x:mergeCell ref="G127:H127"/>
    <x:mergeCell ref="G128:H128"/>
    <x:mergeCell ref="G129:H129"/>
    <x:mergeCell ref="G130:H130"/>
    <x:mergeCell ref="G131:H131"/>
    <x:mergeCell ref="G132:H132"/>
    <x:mergeCell ref="G133:H133"/>
    <x:mergeCell ref="G134:H134"/>
    <x:mergeCell ref="G135:H135"/>
    <x:mergeCell ref="G136:H136"/>
    <x:mergeCell ref="G137:H137"/>
    <x:mergeCell ref="G138:H138"/>
    <x:mergeCell ref="G139:H139"/>
    <x:mergeCell ref="G140:H140"/>
    <x:mergeCell ref="G141:H141"/>
    <x:mergeCell ref="G142:H142"/>
    <x:mergeCell ref="G143:H143"/>
    <x:mergeCell ref="G144:H144"/>
    <x:mergeCell ref="G145:H145"/>
    <x:mergeCell ref="G146:H146"/>
    <x:mergeCell ref="G147:H147"/>
    <x:mergeCell ref="G148:H148"/>
    <x:mergeCell ref="G149:H149"/>
    <x:mergeCell ref="G150:H150"/>
    <x:mergeCell ref="G151:H151"/>
    <x:mergeCell ref="G152:H152"/>
    <x:mergeCell ref="G153:H153"/>
    <x:mergeCell ref="G154:H154"/>
    <x:mergeCell ref="G155:H155"/>
    <x:mergeCell ref="G156:H156"/>
    <x:mergeCell ref="G157:H157"/>
    <x:mergeCell ref="G158:H158"/>
    <x:mergeCell ref="G159:H159"/>
    <x:mergeCell ref="G160:H160"/>
    <x:mergeCell ref="G161:H161"/>
    <x:mergeCell ref="G162:H162"/>
    <x:mergeCell ref="G163:H163"/>
    <x:mergeCell ref="G164:H164"/>
    <x:mergeCell ref="G165:H165"/>
    <x:mergeCell ref="G166:H166"/>
    <x:mergeCell ref="G167:H167"/>
    <x:mergeCell ref="G168:H168"/>
    <x:mergeCell ref="G169:H169"/>
    <x:mergeCell ref="G170:H170"/>
    <x:mergeCell ref="G171:H171"/>
    <x:mergeCell ref="G172:H172"/>
    <x:mergeCell ref="G173:H173"/>
    <x:mergeCell ref="G174:H174"/>
    <x:mergeCell ref="G175:H175"/>
    <x:mergeCell ref="G176:H176"/>
    <x:mergeCell ref="G177:H177"/>
    <x:mergeCell ref="G178:H178"/>
    <x:mergeCell ref="G179:H179"/>
    <x:mergeCell ref="G180:H180"/>
    <x:mergeCell ref="G181:H181"/>
    <x:mergeCell ref="G182:H182"/>
    <x:mergeCell ref="G183:H183"/>
    <x:mergeCell ref="G184:H184"/>
    <x:mergeCell ref="G185:H185"/>
    <x:mergeCell ref="G186:H186"/>
    <x:mergeCell ref="G187:H187"/>
    <x:mergeCell ref="G188:H188"/>
    <x:mergeCell ref="G189:H189"/>
    <x:mergeCell ref="G190:H190"/>
    <x:mergeCell ref="G191:H191"/>
    <x:mergeCell ref="G192:H192"/>
    <x:mergeCell ref="G193:H193"/>
    <x:mergeCell ref="G194:H194"/>
    <x:mergeCell ref="G195:H195"/>
    <x:mergeCell ref="G196:H196"/>
    <x:mergeCell ref="G197:H197"/>
    <x:mergeCell ref="G198:H198"/>
    <x:mergeCell ref="G199:H199"/>
    <x:mergeCell ref="G200:H200"/>
    <x:mergeCell ref="G201:H201"/>
    <x:mergeCell ref="G202:H202"/>
    <x:mergeCell ref="G203:H203"/>
    <x:mergeCell ref="G204:H204"/>
    <x:mergeCell ref="G205:H205"/>
    <x:mergeCell ref="G206:H206"/>
    <x:mergeCell ref="G207:H207"/>
    <x:mergeCell ref="G208:H208"/>
    <x:mergeCell ref="G209:H209"/>
    <x:mergeCell ref="G210:H210"/>
    <x:mergeCell ref="G211:H211"/>
    <x:mergeCell ref="G212:H212"/>
    <x:mergeCell ref="G213:H213"/>
    <x:mergeCell ref="G214:H214"/>
    <x:mergeCell ref="G215:H215"/>
    <x:mergeCell ref="G216:H216"/>
    <x:mergeCell ref="G217:H217"/>
    <x:mergeCell ref="G218:H218"/>
    <x:mergeCell ref="G219:H219"/>
    <x:mergeCell ref="G220:H220"/>
    <x:mergeCell ref="G221:H221"/>
    <x:mergeCell ref="G222:H222"/>
    <x:mergeCell ref="G223:H223"/>
    <x:mergeCell ref="G224:H224"/>
    <x:mergeCell ref="G225:H225"/>
    <x:mergeCell ref="G226:H226"/>
    <x:mergeCell ref="G227:H227"/>
    <x:mergeCell ref="G228:H228"/>
    <x:mergeCell ref="G229:H229"/>
    <x:mergeCell ref="G230:H230"/>
    <x:mergeCell ref="G231:H231"/>
    <x:mergeCell ref="G232:H232"/>
    <x:mergeCell ref="G233:H233"/>
    <x:mergeCell ref="G234:H234"/>
    <x:mergeCell ref="G235:H235"/>
    <x:mergeCell ref="G236:H236"/>
    <x:mergeCell ref="G237:H237"/>
    <x:mergeCell ref="G238:H238"/>
    <x:mergeCell ref="G239:H239"/>
    <x:mergeCell ref="G240:H240"/>
    <x:mergeCell ref="G241:H241"/>
    <x:mergeCell ref="G242:H242"/>
    <x:mergeCell ref="G243:H243"/>
    <x:mergeCell ref="G244:H244"/>
    <x:mergeCell ref="G245:H245"/>
    <x:mergeCell ref="G246:H246"/>
    <x:mergeCell ref="G247:H247"/>
    <x:mergeCell ref="G248:H248"/>
    <x:mergeCell ref="G249:H249"/>
    <x:mergeCell ref="G250:H250"/>
    <x:mergeCell ref="G251:H251"/>
    <x:mergeCell ref="G252:H252"/>
    <x:mergeCell ref="G253:H253"/>
    <x:mergeCell ref="G254:H254"/>
    <x:mergeCell ref="G255:H255"/>
    <x:mergeCell ref="G256:H256"/>
    <x:mergeCell ref="G257:H257"/>
    <x:mergeCell ref="G258:H258"/>
    <x:mergeCell ref="G259:H259"/>
    <x:mergeCell ref="G260:H260"/>
    <x:mergeCell ref="G261:H261"/>
    <x:mergeCell ref="G262:H262"/>
    <x:mergeCell ref="G263:H263"/>
    <x:mergeCell ref="G264:H264"/>
    <x:mergeCell ref="G265:H265"/>
    <x:mergeCell ref="G266:H266"/>
    <x:mergeCell ref="G267:H267"/>
    <x:mergeCell ref="G268:H268"/>
    <x:mergeCell ref="G269:H269"/>
    <x:mergeCell ref="G270:H270"/>
    <x:mergeCell ref="G271:H271"/>
    <x:mergeCell ref="G272:H272"/>
    <x:mergeCell ref="G273:H273"/>
    <x:mergeCell ref="G274:H274"/>
    <x:mergeCell ref="G275:H275"/>
    <x:mergeCell ref="G276:H276"/>
    <x:mergeCell ref="G277:H277"/>
    <x:mergeCell ref="G278:H278"/>
    <x:mergeCell ref="G279:H279"/>
    <x:mergeCell ref="G280:H280"/>
    <x:mergeCell ref="G281:H281"/>
    <x:mergeCell ref="G282:H282"/>
    <x:mergeCell ref="G283:H283"/>
    <x:mergeCell ref="G284:H284"/>
    <x:mergeCell ref="G285:H285"/>
    <x:mergeCell ref="G286:H286"/>
    <x:mergeCell ref="G287:H287"/>
    <x:mergeCell ref="G288:H288"/>
    <x:mergeCell ref="G289:H289"/>
    <x:mergeCell ref="G290:H290"/>
    <x:mergeCell ref="G291:H291"/>
    <x:mergeCell ref="G292:H292"/>
    <x:mergeCell ref="G293:H293"/>
    <x:mergeCell ref="G294:H294"/>
    <x:mergeCell ref="G295:H295"/>
    <x:mergeCell ref="G296:H296"/>
    <x:mergeCell ref="G297:H297"/>
    <x:mergeCell ref="G298:H298"/>
    <x:mergeCell ref="G299:H299"/>
    <x:mergeCell ref="G300:H300"/>
    <x:mergeCell ref="G301:H301"/>
    <x:mergeCell ref="G302:H302"/>
    <x:mergeCell ref="G303:H303"/>
    <x:mergeCell ref="G304:H304"/>
    <x:mergeCell ref="G305:H305"/>
    <x:mergeCell ref="G306:H306"/>
    <x:mergeCell ref="G307:H307"/>
    <x:mergeCell ref="G308:H308"/>
    <x:mergeCell ref="G309:H309"/>
    <x:mergeCell ref="G319:H319"/>
    <x:mergeCell ref="M339:N339"/>
    <x:mergeCell ref="G310:H310"/>
    <x:mergeCell ref="G311:H311"/>
    <x:mergeCell ref="G312:H312"/>
    <x:mergeCell ref="G313:H313"/>
    <x:mergeCell ref="G314:H314"/>
    <x:mergeCell ref="G315:H315"/>
    <x:mergeCell ref="G316:H316"/>
    <x:mergeCell ref="G317:H317"/>
    <x:mergeCell ref="G318:H318"/>
  </x:mergeCells>
  <x:conditionalFormatting sqref="G20:G319">
    <x:cfRule type="containsText" dxfId="3" priority="2" operator="containsText" text="FAILED">
      <x:formula>NOT(ISERROR(SEARCH("FAILED",G20)))</x:formula>
    </x:cfRule>
    <x:cfRule type="containsText" dxfId="2" priority="3" operator="containsText" text="FAILED">
      <x:formula>NOT(ISERROR(SEARCH("FAILED",G20)))</x:formula>
    </x:cfRule>
  </x:conditionalFormatting>
  <x:pageMargins left="0.7" right="0.7" top="0.75" bottom="0.75" header="0.3" footer="0.3"/>
  <x:drawing xmlns:r="http://schemas.openxmlformats.org/officeDocument/2006/relationships" r:id="R531eb2807d354072"/>
</x:worksheet>
</file>

<file path=xl/worksheets/sheet10.xml><?xml version="1.0" encoding="utf-8"?>
<x:worksheet xmlns:x="http://schemas.openxmlformats.org/spreadsheetml/2006/main">
  <x:sheetPr>
    <x:tabColor rgb="FF2E75B6"/>
  </x:sheetPr>
  <x:sheetViews>
    <x:sheetView showGridLines="0" workbookViewId="0"/>
  </x:sheetViews>
  <x:sheetFormatPr defaultColWidth="8.7109375" defaultRowHeight="15"/>
  <x:cols>
    <x:col min="1" max="1" width="5" customWidth="1"/>
    <x:col min="2" max="2" width="14" customWidth="1"/>
    <x:col min="3" max="3" width="48.42578125" customWidth="1"/>
    <x:col min="4" max="8" width="10" customWidth="1"/>
  </x:cols>
  <x:sheetData>
    <x:row r="1" ht="17.25" customHeight="1">
      <x:c r="A1" s="205" t="s">
        <x:v>293</x:v>
      </x:c>
      <x:c r="B1" s="205"/>
      <x:c r="C1" s="205"/>
      <x:c r="D1" s="205"/>
      <x:c r="E1" s="205"/>
      <x:c r="F1" s="205"/>
      <x:c r="G1" s="205"/>
      <x:c r="H1" s="205"/>
    </x:row>
    <x:row r="2">
      <x:c r="A2" s="216" t="str">
        <x:f>CONCATENATE("Course: ",SETUP!B3,"   |   Section: ",SETUP!B4,"   |   Scale: 1=Strongly Disagree, 2=Disagree, 3=Neutral, 4=Agree, 5=Strongly Agree","   |   Item: 'I feel I have achieved [CLO statement] through this course.'")</x:f>
        <x:v>Course: Introduction to Computing   |   Section: BSIT - 1A   |   Scale: 1=Strongly Disagree, 2=Disagree, 3=Neutral, 4=Agree, 5=Strongly Agree   |   Item: 'I feel I have achieved [CLO statement] through this course.'</x:v>
      </x:c>
      <x:c r="B2" s="216"/>
      <x:c r="C2" s="216"/>
      <x:c r="D2" s="216"/>
      <x:c r="E2" s="216"/>
      <x:c r="F2" s="216"/>
      <x:c r="G2" s="216"/>
      <x:c r="H2" s="216"/>
    </x:row>
    <x:row r="4" ht="39" customHeight="1">
      <x:c r="A4" s="1" t="s">
        <x:v>172</x:v>
      </x:c>
      <x:c r="B4" s="1" t="s">
        <x:v>24</x:v>
      </x:c>
      <x:c r="C4" s="1" t="s">
        <x:v>25</x:v>
      </x:c>
      <x:c r="D4" s="1" t="str">
        <x:f>SETUP!A9&amp;" rating (1-5)"</x:f>
        <x:v>CLO1 rating (1-5)</x:v>
      </x:c>
      <x:c r="E4" s="1" t="str">
        <x:f>SETUP!A10&amp;" rating (1-5)"</x:f>
        <x:v>CLO2 rating (1-5)</x:v>
      </x:c>
      <x:c r="F4" s="1" t="str">
        <x:f>SETUP!A11&amp;" rating (1-5)"</x:f>
        <x:v>CLO3 rating (1-5)</x:v>
      </x:c>
      <x:c r="G4" s="1" t="str">
        <x:f>SETUP!A12&amp;" rating (1-5)"</x:f>
        <x:v>CLO4 rating (1-5)</x:v>
      </x:c>
      <x:c r="H4" s="1" t="str">
        <x:f>SETUP!A13&amp;" rating (1-5)"</x:f>
        <x:v>CLO5 rating (1-5)</x:v>
      </x:c>
    </x:row>
    <x:row r="5">
      <x:c r="A5" s="102" t="n">
        <x:f>IF(RECORD!A14="","",RECORD!A14)</x:f>
        <x:v>1</x:v>
      </x:c>
      <x:c r="B5" s="102" t="str">
        <x:f>IF(RECORD!B14="","",RECORD!B14)</x:f>
        <x:v>2024-00123</x:v>
      </x:c>
      <x:c r="C5" s="102" t="str">
        <x:f>IF(RECORD!C14="","",RECORD!C14)</x:f>
        <x:v>Castillo, Danica C.</x:v>
      </x:c>
      <x:c r="D5" s="27" t="n">
        <x:v>3</x:v>
      </x:c>
      <x:c r="E5" s="27" t="n">
        <x:v>3</x:v>
      </x:c>
      <x:c r="F5" s="27" t="n">
        <x:v>3</x:v>
      </x:c>
      <x:c r="G5" s="27" t="n">
        <x:v>1</x:v>
      </x:c>
      <x:c r="H5" s="27" t="n">
        <x:v>1</x:v>
      </x:c>
    </x:row>
    <x:row r="6">
      <x:c r="A6" s="102" t="n">
        <x:f>IF(RECORD!A15="","",RECORD!A15)</x:f>
        <x:v>2</x:v>
      </x:c>
      <x:c r="B6" s="102" t="str">
        <x:f>IF(RECORD!B15="","",RECORD!B15)</x:f>
        <x:v>2024-00145</x:v>
      </x:c>
      <x:c r="C6" s="102" t="str">
        <x:f>IF(RECORD!C15="","",RECORD!C15)</x:f>
        <x:v>Soriano, Kyle G.</x:v>
      </x:c>
      <x:c r="D6" s="27" t="n">
        <x:v>4</x:v>
      </x:c>
      <x:c r="E6" s="27" t="n">
        <x:v>3</x:v>
      </x:c>
      <x:c r="F6" s="27" t="n">
        <x:v>3</x:v>
      </x:c>
      <x:c r="G6" s="27" t="n">
        <x:v>3</x:v>
      </x:c>
      <x:c r="H6" s="27" t="n">
        <x:v>3</x:v>
      </x:c>
    </x:row>
    <x:row r="7">
      <x:c r="A7" s="102" t="n">
        <x:f>IF(RECORD!A16="","",RECORD!A16)</x:f>
        <x:v>3</x:v>
      </x:c>
      <x:c r="B7" s="102" t="str">
        <x:f>IF(RECORD!B16="","",RECORD!B16)</x:f>
        <x:v>2024-00167</x:v>
      </x:c>
      <x:c r="C7" s="102" t="str">
        <x:f>IF(RECORD!C16="","",RECORD!C16)</x:f>
        <x:v>Santiago, Frances J.</x:v>
      </x:c>
      <x:c r="D7" s="27" t="n">
        <x:v>3</x:v>
      </x:c>
      <x:c r="E7" s="27" t="n">
        <x:v>3</x:v>
      </x:c>
      <x:c r="F7" s="27" t="n">
        <x:v>3</x:v>
      </x:c>
      <x:c r="G7" s="27" t="n">
        <x:v>3</x:v>
      </x:c>
      <x:c r="H7" s="27" t="n">
        <x:v>3</x:v>
      </x:c>
    </x:row>
    <x:row r="8">
      <x:c r="A8" s="102" t="n">
        <x:f>IF(RECORD!A17="","",RECORD!A17)</x:f>
        <x:v>4</x:v>
      </x:c>
      <x:c r="B8" s="102" t="str">
        <x:f>IF(RECORD!B17="","",RECORD!B17)</x:f>
        <x:v>2024-00189</x:v>
      </x:c>
      <x:c r="C8" s="102" t="str">
        <x:f>IF(RECORD!C17="","",RECORD!C17)</x:f>
        <x:v>Dizon, Zoe D.</x:v>
      </x:c>
      <x:c r="D8" s="27" t="n">
        <x:v>2</x:v>
      </x:c>
      <x:c r="E8" s="27" t="n">
        <x:v>4</x:v>
      </x:c>
      <x:c r="F8" s="27" t="n">
        <x:v>4</x:v>
      </x:c>
      <x:c r="G8" s="27" t="n">
        <x:v>3</x:v>
      </x:c>
      <x:c r="H8" s="27" t="n">
        <x:v>4</x:v>
      </x:c>
    </x:row>
    <x:row r="9">
      <x:c r="A9" s="102" t="n">
        <x:f>IF(RECORD!A18="","",RECORD!A18)</x:f>
        <x:v>5</x:v>
      </x:c>
      <x:c r="B9" s="102" t="str">
        <x:f>IF(RECORD!B18="","",RECORD!B18)</x:f>
        <x:v>2024-00201</x:v>
      </x:c>
      <x:c r="C9" s="102" t="str">
        <x:f>IF(RECORD!C18="","",RECORD!C18)</x:f>
        <x:v>Pineda, Bianca H.</x:v>
      </x:c>
      <x:c r="D9" s="27" t="n">
        <x:v>3</x:v>
      </x:c>
      <x:c r="E9" s="27" t="n">
        <x:v>3</x:v>
      </x:c>
      <x:c r="F9" s="27" t="n">
        <x:v>3</x:v>
      </x:c>
      <x:c r="G9" s="27" t="n">
        <x:v>3</x:v>
      </x:c>
      <x:c r="H9" s="27" t="n">
        <x:v>1</x:v>
      </x:c>
    </x:row>
    <x:row r="10">
      <x:c r="A10" s="102" t="n">
        <x:f>IF(RECORD!A19="","",RECORD!A19)</x:f>
        <x:v>6</x:v>
      </x:c>
      <x:c r="B10" s="102" t="str">
        <x:f>IF(RECORD!B19="","",RECORD!B19)</x:f>
        <x:v>2024-00223</x:v>
      </x:c>
      <x:c r="C10" s="102" t="str">
        <x:f>IF(RECORD!C19="","",RECORD!C19)</x:f>
        <x:v>Ramos, Amiel E.</x:v>
      </x:c>
      <x:c r="D10" s="27" t="n">
        <x:v>3</x:v>
      </x:c>
      <x:c r="E10" s="27" t="n">
        <x:v>3</x:v>
      </x:c>
      <x:c r="F10" s="27" t="n">
        <x:v>3</x:v>
      </x:c>
      <x:c r="G10" s="27" t="n">
        <x:v>3</x:v>
      </x:c>
      <x:c r="H10" s="27" t="n">
        <x:v>3</x:v>
      </x:c>
    </x:row>
    <x:row r="11">
      <x:c r="A11" s="102" t="n">
        <x:f>IF(RECORD!A20="","",RECORD!A20)</x:f>
        <x:v>7</x:v>
      </x:c>
      <x:c r="B11" s="102" t="str">
        <x:f>IF(RECORD!B20="","",RECORD!B20)</x:f>
        <x:v>2024-00245</x:v>
      </x:c>
      <x:c r="C11" s="102" t="str">
        <x:f>IF(RECORD!C20="","",RECORD!C20)</x:f>
        <x:v>Del Rosario, Beatrice F.</x:v>
      </x:c>
      <x:c r="D11" s="27" t="n">
        <x:v>3</x:v>
      </x:c>
      <x:c r="E11" s="27" t="n">
        <x:v>3</x:v>
      </x:c>
      <x:c r="F11" s="27" t="n">
        <x:v>3</x:v>
      </x:c>
      <x:c r="G11" s="27" t="n">
        <x:v>1</x:v>
      </x:c>
      <x:c r="H11" s="27" t="n">
        <x:v>2</x:v>
      </x:c>
    </x:row>
    <x:row r="12">
      <x:c r="A12" s="102" t="n">
        <x:f>IF(RECORD!A21="","",RECORD!A21)</x:f>
        <x:v>8</x:v>
      </x:c>
      <x:c r="B12" s="102" t="str">
        <x:f>IF(RECORD!B21="","",RECORD!B21)</x:f>
        <x:v>2024-00267</x:v>
      </x:c>
      <x:c r="C12" s="102" t="str">
        <x:f>IF(RECORD!C21="","",RECORD!C21)</x:f>
        <x:v>Rosales, Vanessa A.</x:v>
      </x:c>
      <x:c r="D12" s="27" t="n">
        <x:v>3</x:v>
      </x:c>
      <x:c r="E12" s="27" t="n">
        <x:v>4</x:v>
      </x:c>
      <x:c r="F12" s="27" t="n">
        <x:v>3</x:v>
      </x:c>
      <x:c r="G12" s="27" t="n">
        <x:v>4</x:v>
      </x:c>
      <x:c r="H12" s="27" t="n">
        <x:v>4</x:v>
      </x:c>
    </x:row>
    <x:row r="13">
      <x:c r="A13" s="102" t="n">
        <x:f>IF(RECORD!A22="","",RECORD!A22)</x:f>
        <x:v>9</x:v>
      </x:c>
      <x:c r="B13" s="102" t="str">
        <x:f>IF(RECORD!B22="","",RECORD!B22)</x:f>
        <x:v>2024-00289</x:v>
      </x:c>
      <x:c r="C13" s="102" t="str">
        <x:f>IF(RECORD!C22="","",RECORD!C22)</x:f>
        <x:v>Sarmiento, Daphne C.</x:v>
      </x:c>
      <x:c r="D13" s="27" t="n">
        <x:v>4</x:v>
      </x:c>
      <x:c r="E13" s="27" t="n">
        <x:v>5</x:v>
      </x:c>
      <x:c r="F13" s="27" t="n">
        <x:v>2</x:v>
      </x:c>
      <x:c r="G13" s="27" t="n">
        <x:v>2</x:v>
      </x:c>
      <x:c r="H13" s="27" t="n">
        <x:v>4</x:v>
      </x:c>
    </x:row>
    <x:row r="14">
      <x:c r="A14" s="102" t="n">
        <x:f>IF(RECORD!A23="","",RECORD!A23)</x:f>
        <x:v>10</x:v>
      </x:c>
      <x:c r="B14" s="102" t="str">
        <x:f>IF(RECORD!B23="","",RECORD!B23)</x:f>
        <x:v>2024-00301</x:v>
      </x:c>
      <x:c r="C14" s="102" t="str">
        <x:f>IF(RECORD!C23="","",RECORD!C23)</x:f>
        <x:v>Fernandez, Trisha S.</x:v>
      </x:c>
      <x:c r="D14" s="27" t="n">
        <x:v>3</x:v>
      </x:c>
      <x:c r="E14" s="27" t="n">
        <x:v>2</x:v>
      </x:c>
      <x:c r="F14" s="27" t="n">
        <x:v>3</x:v>
      </x:c>
      <x:c r="G14" s="27" t="n">
        <x:v>1</x:v>
      </x:c>
      <x:c r="H14" s="27" t="n">
        <x:v>2</x:v>
      </x:c>
    </x:row>
    <x:row r="15">
      <x:c r="A15" s="102" t="n">
        <x:f>IF(RECORD!A24="","",RECORD!A24)</x:f>
        <x:v>11</x:v>
      </x:c>
      <x:c r="B15" s="102" t="str">
        <x:f>IF(RECORD!B24="","",RECORD!B24)</x:f>
        <x:v>2024-00323</x:v>
      </x:c>
      <x:c r="C15" s="102" t="str">
        <x:f>IF(RECORD!C24="","",RECORD!C24)</x:f>
        <x:v>Aquino, Hannah R.</x:v>
      </x:c>
      <x:c r="D15" s="27" t="n">
        <x:v>1</x:v>
      </x:c>
      <x:c r="E15" s="27" t="n">
        <x:v>5</x:v>
      </x:c>
      <x:c r="F15" s="27" t="n">
        <x:v>2</x:v>
      </x:c>
      <x:c r="G15" s="27" t="n">
        <x:v>4</x:v>
      </x:c>
      <x:c r="H15" s="27" t="n">
        <x:v>2</x:v>
      </x:c>
    </x:row>
    <x:row r="16">
      <x:c r="A16" s="102" t="n">
        <x:f>IF(RECORD!A25="","",RECORD!A25)</x:f>
        <x:v>12</x:v>
      </x:c>
      <x:c r="B16" s="102" t="str">
        <x:f>IF(RECORD!B25="","",RECORD!B25)</x:f>
        <x:v>2024-00345</x:v>
      </x:c>
      <x:c r="C16" s="102" t="str">
        <x:f>IF(RECORD!C25="","",RECORD!C25)</x:f>
        <x:v>Cabrera, Quentin P.</x:v>
      </x:c>
      <x:c r="D16" s="27" t="n">
        <x:v>2</x:v>
      </x:c>
      <x:c r="E16" s="27" t="n">
        <x:v>3</x:v>
      </x:c>
      <x:c r="F16" s="27" t="n">
        <x:v>1</x:v>
      </x:c>
      <x:c r="G16" s="27" t="n">
        <x:v>4</x:v>
      </x:c>
      <x:c r="H16" s="27" t="n">
        <x:v>2</x:v>
      </x:c>
    </x:row>
    <x:row r="17">
      <x:c r="A17" s="102" t="n">
        <x:f>IF(RECORD!A26="","",RECORD!A26)</x:f>
        <x:v>13</x:v>
      </x:c>
      <x:c r="B17" s="102" t="str">
        <x:f>IF(RECORD!B26="","",RECORD!B26)</x:f>
        <x:v>2024-00367</x:v>
      </x:c>
      <x:c r="C17" s="102" t="str">
        <x:f>IF(RECORD!C26="","",RECORD!C26)</x:f>
        <x:v>Rivera, Caleb T.</x:v>
      </x:c>
      <x:c r="D17" s="27" t="n">
        <x:v>3</x:v>
      </x:c>
      <x:c r="E17" s="27" t="n">
        <x:v>3</x:v>
      </x:c>
      <x:c r="F17" s="27" t="n">
        <x:v>1</x:v>
      </x:c>
      <x:c r="G17" s="27" t="n">
        <x:v>3</x:v>
      </x:c>
      <x:c r="H17" s="27" t="n">
        <x:v>4</x:v>
      </x:c>
    </x:row>
    <x:row r="18">
      <x:c r="A18" s="102" t="n">
        <x:f>IF(RECORD!A27="","",RECORD!A27)</x:f>
        <x:v>14</x:v>
      </x:c>
      <x:c r="B18" s="102" t="str">
        <x:f>IF(RECORD!B27="","",RECORD!B27)</x:f>
        <x:v>2024-00389</x:v>
      </x:c>
      <x:c r="C18" s="102" t="str">
        <x:f>IF(RECORD!C27="","",RECORD!C27)</x:f>
        <x:v>Villamor, Yves E.</x:v>
      </x:c>
      <x:c r="D18" s="27" t="n">
        <x:v>3</x:v>
      </x:c>
      <x:c r="E18" s="27" t="n">
        <x:v>3</x:v>
      </x:c>
      <x:c r="F18" s="27" t="n">
        <x:v>3</x:v>
      </x:c>
      <x:c r="G18" s="27" t="n">
        <x:v>3</x:v>
      </x:c>
      <x:c r="H18" s="27" t="n">
        <x:v>2</x:v>
      </x:c>
    </x:row>
    <x:row r="19">
      <x:c r="A19" s="102" t="n">
        <x:f>IF(RECORD!A28="","",RECORD!A28)</x:f>
        <x:v>15</x:v>
      </x:c>
      <x:c r="B19" s="102" t="str">
        <x:f>IF(RECORD!B28="","",RECORD!B28)</x:f>
        <x:v>2024-00401</x:v>
      </x:c>
      <x:c r="C19" s="102" t="str">
        <x:f>IF(RECORD!C28="","",RECORD!C28)</x:f>
        <x:v>Valdez, Warren R.</x:v>
      </x:c>
      <x:c r="D19" s="27" t="n">
        <x:v>3</x:v>
      </x:c>
      <x:c r="E19" s="27" t="n">
        <x:v>1</x:v>
      </x:c>
      <x:c r="F19" s="27" t="n">
        <x:v>3</x:v>
      </x:c>
      <x:c r="G19" s="27" t="n">
        <x:v>2</x:v>
      </x:c>
      <x:c r="H19" s="27" t="n">
        <x:v>3</x:v>
      </x:c>
    </x:row>
    <x:row r="20">
      <x:c r="A20" s="102" t="n">
        <x:f>IF(RECORD!A29="","",RECORD!A29)</x:f>
        <x:v>16</x:v>
      </x:c>
      <x:c r="B20" s="102" t="str">
        <x:f>IF(RECORD!B29="","",RECORD!B29)</x:f>
        <x:v>2024-00423</x:v>
      </x:c>
      <x:c r="C20" s="102" t="str">
        <x:f>IF(RECORD!C29="","",RECORD!C29)</x:f>
        <x:v>Cordero, Rhea G.</x:v>
      </x:c>
      <x:c r="D20" s="27" t="n">
        <x:v>2</x:v>
      </x:c>
      <x:c r="E20" s="27" t="n">
        <x:v>3</x:v>
      </x:c>
      <x:c r="F20" s="27" t="n">
        <x:v>3</x:v>
      </x:c>
      <x:c r="G20" s="27" t="n">
        <x:v>4</x:v>
      </x:c>
      <x:c r="H20" s="27" t="n">
        <x:v>2</x:v>
      </x:c>
    </x:row>
    <x:row r="21">
      <x:c r="A21" s="102" t="n">
        <x:f>IF(RECORD!A30="","",RECORD!A30)</x:f>
        <x:v>17</x:v>
      </x:c>
      <x:c r="B21" s="102" t="str">
        <x:f>IF(RECORD!B30="","",RECORD!B30)</x:f>
        <x:v>2024-00445</x:v>
      </x:c>
      <x:c r="C21" s="102" t="str">
        <x:f>IF(RECORD!C30="","",RECORD!C30)</x:f>
        <x:v>Montemayor, Leah O.</x:v>
      </x:c>
      <x:c r="D21" s="27" t="n">
        <x:v>1</x:v>
      </x:c>
      <x:c r="E21" s="27" t="n">
        <x:v>2</x:v>
      </x:c>
      <x:c r="F21" s="27" t="n">
        <x:v>2</x:v>
      </x:c>
      <x:c r="G21" s="27" t="n">
        <x:v>1</x:v>
      </x:c>
      <x:c r="H21" s="27" t="n">
        <x:v>4</x:v>
      </x:c>
    </x:row>
    <x:row r="22">
      <x:c r="A22" s="102" t="n">
        <x:f>IF(RECORD!A31="","",RECORD!A31)</x:f>
        <x:v>18</x:v>
      </x:c>
      <x:c r="B22" s="102" t="str">
        <x:f>IF(RECORD!B31="","",RECORD!B31)</x:f>
        <x:v>2024-00467</x:v>
      </x:c>
      <x:c r="C22" s="102" t="str">
        <x:f>IF(RECORD!C31="","",RECORD!C31)</x:f>
        <x:v>Mercado, Marco V.</x:v>
      </x:c>
      <x:c r="D22" s="27" t="n">
        <x:v>3</x:v>
      </x:c>
      <x:c r="E22" s="27" t="n">
        <x:v>3</x:v>
      </x:c>
      <x:c r="F22" s="27" t="n">
        <x:v>4</x:v>
      </x:c>
      <x:c r="G22" s="27" t="n">
        <x:v>4</x:v>
      </x:c>
      <x:c r="H22" s="27" t="n">
        <x:v>2</x:v>
      </x:c>
    </x:row>
    <x:row r="23">
      <x:c r="A23" s="102" t="n">
        <x:f>IF(RECORD!A32="","",RECORD!A32)</x:f>
        <x:v>19</x:v>
      </x:c>
      <x:c r="B23" s="102" t="str">
        <x:f>IF(RECORD!B32="","",RECORD!B32)</x:f>
        <x:v>2024-00489</x:v>
      </x:c>
      <x:c r="C23" s="102" t="str">
        <x:f>IF(RECORD!C32="","",RECORD!C32)</x:f>
        <x:v>Tiongson, Cedric F.</x:v>
      </x:c>
      <x:c r="D23" s="27" t="n">
        <x:v>3</x:v>
      </x:c>
      <x:c r="E23" s="27" t="n">
        <x:v>3</x:v>
      </x:c>
      <x:c r="F23" s="27" t="n">
        <x:v>2</x:v>
      </x:c>
      <x:c r="G23" s="27" t="n">
        <x:v>3</x:v>
      </x:c>
      <x:c r="H23" s="27" t="n">
        <x:v>4</x:v>
      </x:c>
    </x:row>
    <x:row r="24">
      <x:c r="A24" s="102" t="n">
        <x:f>IF(RECORD!A33="","",RECORD!A33)</x:f>
        <x:v>20</x:v>
      </x:c>
      <x:c r="B24" s="102" t="str">
        <x:f>IF(RECORD!B33="","",RECORD!B33)</x:f>
        <x:v>2024-00511</x:v>
      </x:c>
      <x:c r="C24" s="102" t="str">
        <x:f>IF(RECORD!C33="","",RECORD!C33)</x:f>
        <x:v>Lorenzo, Owen M.</x:v>
      </x:c>
      <x:c r="D24" s="27" t="n">
        <x:v>3</x:v>
      </x:c>
      <x:c r="E24" s="27" t="n">
        <x:v>2</x:v>
      </x:c>
      <x:c r="F24" s="27" t="n">
        <x:v>4</x:v>
      </x:c>
      <x:c r="G24" s="27" t="n">
        <x:v>5</x:v>
      </x:c>
      <x:c r="H24" s="27" t="n">
        <x:v>2</x:v>
      </x:c>
    </x:row>
    <x:row r="25">
      <x:c r="A25" s="102" t="n">
        <x:f>IF(RECORD!A34="","",RECORD!A34)</x:f>
        <x:v>21</x:v>
      </x:c>
      <x:c r="B25" s="102" t="str">
        <x:f>IF(RECORD!B34="","",RECORD!B34)</x:f>
        <x:v>2024-00533</x:v>
      </x:c>
      <x:c r="C25" s="102" t="str">
        <x:f>IF(RECORD!C34="","",RECORD!C34)</x:f>
        <x:v>Mendoza, Nina M.</x:v>
      </x:c>
      <x:c r="D25" s="27" t="n">
        <x:v>2</x:v>
      </x:c>
      <x:c r="E25" s="27" t="n">
        <x:v>3</x:v>
      </x:c>
      <x:c r="F25" s="27" t="n">
        <x:v>3</x:v>
      </x:c>
      <x:c r="G25" s="27" t="n">
        <x:v>3</x:v>
      </x:c>
      <x:c r="H25" s="27" t="n">
        <x:v>4</x:v>
      </x:c>
    </x:row>
    <x:row r="26">
      <x:c r="A26" s="102" t="n">
        <x:f>IF(RECORD!A35="","",RECORD!A35)</x:f>
        <x:v>22</x:v>
      </x:c>
      <x:c r="B26" s="102" t="str">
        <x:f>IF(RECORD!B35="","",RECORD!B35)</x:f>
        <x:v>2024-00555</x:v>
      </x:c>
      <x:c r="C26" s="102" t="str">
        <x:f>IF(RECORD!C35="","",RECORD!C35)</x:f>
        <x:v>Robles, Elijah D.</x:v>
      </x:c>
      <x:c r="D26" s="27" t="n">
        <x:v>2</x:v>
      </x:c>
      <x:c r="E26" s="27" t="n">
        <x:v>1</x:v>
      </x:c>
      <x:c r="F26" s="27" t="n">
        <x:v>2</x:v>
      </x:c>
      <x:c r="G26" s="27" t="n">
        <x:v>2</x:v>
      </x:c>
      <x:c r="H26" s="27" t="n">
        <x:v>3</x:v>
      </x:c>
    </x:row>
    <x:row r="27">
      <x:c r="A27" s="102" t="n">
        <x:f>IF(RECORD!A36="","",RECORD!A36)</x:f>
        <x:v>23</x:v>
      </x:c>
      <x:c r="B27" s="102" t="str">
        <x:f>IF(RECORD!B36="","",RECORD!B36)</x:f>
        <x:v>2024-00577</x:v>
      </x:c>
      <x:c r="C27" s="102" t="str">
        <x:f>IF(RECORD!C36="","",RECORD!C36)</x:f>
        <x:v>Marquez, Jasmine B.</x:v>
      </x:c>
      <x:c r="D27" s="27" t="n">
        <x:v>3</x:v>
      </x:c>
      <x:c r="E27" s="27" t="n">
        <x:v>4</x:v>
      </x:c>
      <x:c r="F27" s="27" t="n">
        <x:v>2</x:v>
      </x:c>
      <x:c r="G27" s="27" t="n">
        <x:v>3</x:v>
      </x:c>
      <x:c r="H27" s="27" t="n">
        <x:v>2</x:v>
      </x:c>
    </x:row>
    <x:row r="28">
      <x:c r="A28" s="102" t="n">
        <x:f>IF(RECORD!A37="","",RECORD!A37)</x:f>
        <x:v>24</x:v>
      </x:c>
      <x:c r="B28" s="102" t="str">
        <x:f>IF(RECORD!B37="","",RECORD!B37)</x:f>
        <x:v>2024-00599</x:v>
      </x:c>
      <x:c r="C28" s="102" t="str">
        <x:f>IF(RECORD!C37="","",RECORD!C37)</x:f>
        <x:v>Velasco, Adrian V.</x:v>
      </x:c>
      <x:c r="D28" s="27" t="n">
        <x:v>2</x:v>
      </x:c>
      <x:c r="E28" s="27" t="n">
        <x:v>3</x:v>
      </x:c>
      <x:c r="F28" s="27" t="n">
        <x:v>1</x:v>
      </x:c>
      <x:c r="G28" s="27" t="n">
        <x:v>4</x:v>
      </x:c>
      <x:c r="H28" s="27" t="n">
        <x:v>2</x:v>
      </x:c>
    </x:row>
    <x:row r="29">
      <x:c r="A29" s="102" t="n">
        <x:f>IF(RECORD!A38="","",RECORD!A38)</x:f>
        <x:v>25</x:v>
      </x:c>
      <x:c r="B29" s="102" t="str">
        <x:f>IF(RECORD!B38="","",RECORD!B38)</x:f>
        <x:v>2024-00621</x:v>
      </x:c>
      <x:c r="C29" s="102" t="str">
        <x:f>IF(RECORD!C38="","",RECORD!C38)</x:f>
        <x:v>Palma, Gian K.</x:v>
      </x:c>
      <x:c r="D29" s="27" t="n">
        <x:v>3</x:v>
      </x:c>
      <x:c r="E29" s="27" t="n">
        <x:v>2</x:v>
      </x:c>
      <x:c r="F29" s="27" t="n">
        <x:v>2</x:v>
      </x:c>
      <x:c r="G29" s="27" t="n">
        <x:v>1</x:v>
      </x:c>
      <x:c r="H29" s="27" t="n">
        <x:v>2</x:v>
      </x:c>
    </x:row>
    <x:row r="30">
      <x:c r="A30" s="102" t="n">
        <x:f>IF(RECORD!A39="","",RECORD!A39)</x:f>
        <x:v>26</x:v>
      </x:c>
      <x:c r="B30" s="102" t="str">
        <x:f>IF(RECORD!B39="","",RECORD!B39)</x:f>
        <x:v>2024-00643</x:v>
      </x:c>
      <x:c r="C30" s="102" t="str">
        <x:f>IF(RECORD!C39="","",RECORD!C39)</x:f>
        <x:v>Torres, Sean T.</x:v>
      </x:c>
      <x:c r="D30" s="27" t="n">
        <x:v>3</x:v>
      </x:c>
      <x:c r="E30" s="27" t="n">
        <x:v>2</x:v>
      </x:c>
      <x:c r="F30" s="27" t="n">
        <x:v>2</x:v>
      </x:c>
      <x:c r="G30" s="27" t="n">
        <x:v>4</x:v>
      </x:c>
      <x:c r="H30" s="27" t="n">
        <x:v>4</x:v>
      </x:c>
    </x:row>
    <x:row r="31">
      <x:c r="A31" s="102" t="n">
        <x:f>IF(RECORD!A40="","",RECORD!A40)</x:f>
        <x:v>27</x:v>
      </x:c>
      <x:c r="B31" s="102" t="str">
        <x:f>IF(RECORD!B40="","",RECORD!B40)</x:f>
        <x:v>2024-00665</x:v>
      </x:c>
      <x:c r="C31" s="102" t="str">
        <x:f>IF(RECORD!C40="","",RECORD!C40)</x:f>
        <x:v>Santos, Xandra J.</x:v>
      </x:c>
      <x:c r="D31" s="27" t="n">
        <x:v>1</x:v>
      </x:c>
      <x:c r="E31" s="27" t="n">
        <x:v>3</x:v>
      </x:c>
      <x:c r="F31" s="27" t="n">
        <x:v>3</x:v>
      </x:c>
      <x:c r="G31" s="27" t="n">
        <x:v>3</x:v>
      </x:c>
      <x:c r="H31" s="27" t="n">
        <x:v>1</x:v>
      </x:c>
    </x:row>
    <x:row r="32">
      <x:c r="A32" s="102" t="n">
        <x:f>IF(RECORD!A41="","",RECORD!A41)</x:f>
        <x:v>28</x:v>
      </x:c>
      <x:c r="B32" s="102" t="str">
        <x:f>IF(RECORD!B41="","",RECORD!B41)</x:f>
        <x:v>2024-00687</x:v>
      </x:c>
      <x:c r="C32" s="102" t="str">
        <x:f>IF(RECORD!C41="","",RECORD!C41)</x:f>
        <x:v>Alvarez, Ivan A.</x:v>
      </x:c>
      <x:c r="D32" s="27" t="n">
        <x:v>3</x:v>
      </x:c>
      <x:c r="E32" s="27" t="n">
        <x:v>4</x:v>
      </x:c>
      <x:c r="F32" s="27" t="n">
        <x:v>3</x:v>
      </x:c>
      <x:c r="G32" s="27" t="n">
        <x:v>5</x:v>
      </x:c>
      <x:c r="H32" s="27" t="n">
        <x:v>1</x:v>
      </x:c>
    </x:row>
    <x:row r="33">
      <x:c r="A33" s="102" t="n">
        <x:f>IF(RECORD!A42="","",RECORD!A42)</x:f>
        <x:v>29</x:v>
      </x:c>
      <x:c r="B33" s="102" t="str">
        <x:f>IF(RECORD!B42="","",RECORD!B42)</x:f>
        <x:v>2024-00709</x:v>
      </x:c>
      <x:c r="C33" s="102" t="str">
        <x:f>IF(RECORD!C42="","",RECORD!C42)</x:f>
        <x:v>Pascual, Uriel V.</x:v>
      </x:c>
      <x:c r="D33" s="27" t="n">
        <x:v>1</x:v>
      </x:c>
      <x:c r="E33" s="27" t="n">
        <x:v>3</x:v>
      </x:c>
      <x:c r="F33" s="27" t="n">
        <x:v>3</x:v>
      </x:c>
      <x:c r="G33" s="27" t="n">
        <x:v>3</x:v>
      </x:c>
      <x:c r="H33" s="27" t="n">
        <x:v>2</x:v>
      </x:c>
    </x:row>
    <x:row r="34">
      <x:c r="A34" s="102" t="n">
        <x:f>IF(RECORD!A43="","",RECORD!A43)</x:f>
        <x:v>30</x:v>
      </x:c>
      <x:c r="B34" s="102" t="str">
        <x:f>IF(RECORD!B43="","",RECORD!B43)</x:f>
        <x:v>2024-00731</x:v>
      </x:c>
      <x:c r="C34" s="102" t="str">
        <x:f>IF(RECORD!C43="","",RECORD!C43)</x:f>
        <x:v>De Guzman, Patricia O.</x:v>
      </x:c>
      <x:c r="D34" s="27" t="n">
        <x:v>3</x:v>
      </x:c>
      <x:c r="E34" s="27" t="n">
        <x:v>3</x:v>
      </x:c>
      <x:c r="F34" s="27" t="n">
        <x:v>3</x:v>
      </x:c>
      <x:c r="G34" s="27" t="n">
        <x:v>1</x:v>
      </x:c>
      <x:c r="H34" s="27" t="n">
        <x:v>2</x:v>
      </x:c>
    </x:row>
    <x:row r="35">
      <x:c r="A35" s="102" t="str">
        <x:f>IF(RECORD!A44="","",RECORD!A44)</x:f>
      </x:c>
      <x:c r="B35" s="102" t="str">
        <x:f>IF(RECORD!B44="","",RECORD!B44)</x:f>
      </x:c>
      <x:c r="C35" s="102" t="str">
        <x:f>IF(RECORD!C44="","",RECORD!C44)</x:f>
      </x:c>
      <x:c r="D35" s="27"/>
      <x:c r="E35" s="27"/>
      <x:c r="F35" s="27"/>
      <x:c r="G35" s="27"/>
      <x:c r="H35" s="27"/>
    </x:row>
    <x:row r="36">
      <x:c r="A36" s="102" t="str">
        <x:f>IF(RECORD!A45="","",RECORD!A45)</x:f>
      </x:c>
      <x:c r="B36" s="102" t="str">
        <x:f>IF(RECORD!B45="","",RECORD!B45)</x:f>
      </x:c>
      <x:c r="C36" s="102" t="str">
        <x:f>IF(RECORD!C45="","",RECORD!C45)</x:f>
      </x:c>
      <x:c r="D36" s="27"/>
      <x:c r="E36" s="27"/>
      <x:c r="F36" s="27"/>
      <x:c r="G36" s="27"/>
      <x:c r="H36" s="27"/>
    </x:row>
    <x:row r="37">
      <x:c r="A37" s="102" t="str">
        <x:f>IF(RECORD!A46="","",RECORD!A46)</x:f>
      </x:c>
      <x:c r="B37" s="102" t="str">
        <x:f>IF(RECORD!B46="","",RECORD!B46)</x:f>
      </x:c>
      <x:c r="C37" s="102" t="str">
        <x:f>IF(RECORD!C46="","",RECORD!C46)</x:f>
      </x:c>
      <x:c r="D37" s="27"/>
      <x:c r="E37" s="27"/>
      <x:c r="F37" s="27"/>
      <x:c r="G37" s="27"/>
      <x:c r="H37" s="27"/>
    </x:row>
    <x:row r="38">
      <x:c r="A38" s="102" t="str">
        <x:f>IF(RECORD!A47="","",RECORD!A47)</x:f>
      </x:c>
      <x:c r="B38" s="102" t="str">
        <x:f>IF(RECORD!B47="","",RECORD!B47)</x:f>
      </x:c>
      <x:c r="C38" s="102" t="str">
        <x:f>IF(RECORD!C47="","",RECORD!C47)</x:f>
      </x:c>
      <x:c r="D38" s="27"/>
      <x:c r="E38" s="27"/>
      <x:c r="F38" s="27"/>
      <x:c r="G38" s="27"/>
      <x:c r="H38" s="27"/>
    </x:row>
    <x:row r="39">
      <x:c r="A39" s="102" t="str">
        <x:f>IF(RECORD!A48="","",RECORD!A48)</x:f>
      </x:c>
      <x:c r="B39" s="102" t="str">
        <x:f>IF(RECORD!B48="","",RECORD!B48)</x:f>
      </x:c>
      <x:c r="C39" s="102" t="str">
        <x:f>IF(RECORD!C48="","",RECORD!C48)</x:f>
      </x:c>
      <x:c r="D39" s="27"/>
      <x:c r="E39" s="27"/>
      <x:c r="F39" s="27"/>
      <x:c r="G39" s="27"/>
      <x:c r="H39" s="27"/>
    </x:row>
    <x:row r="40">
      <x:c r="A40" s="102" t="str">
        <x:f>IF(RECORD!A49="","",RECORD!A49)</x:f>
      </x:c>
      <x:c r="B40" s="102" t="str">
        <x:f>IF(RECORD!B49="","",RECORD!B49)</x:f>
      </x:c>
      <x:c r="C40" s="102" t="str">
        <x:f>IF(RECORD!C49="","",RECORD!C49)</x:f>
      </x:c>
      <x:c r="D40" s="27"/>
      <x:c r="E40" s="27"/>
      <x:c r="F40" s="27"/>
      <x:c r="G40" s="27"/>
      <x:c r="H40" s="27"/>
    </x:row>
    <x:row r="41">
      <x:c r="A41" s="102" t="str">
        <x:f>IF(RECORD!A50="","",RECORD!A50)</x:f>
      </x:c>
      <x:c r="B41" s="102" t="str">
        <x:f>IF(RECORD!B50="","",RECORD!B50)</x:f>
      </x:c>
      <x:c r="C41" s="102" t="str">
        <x:f>IF(RECORD!C50="","",RECORD!C50)</x:f>
      </x:c>
      <x:c r="D41" s="27"/>
      <x:c r="E41" s="27"/>
      <x:c r="F41" s="27"/>
      <x:c r="G41" s="27"/>
      <x:c r="H41" s="27"/>
    </x:row>
    <x:row r="42">
      <x:c r="A42" s="102" t="str">
        <x:f>IF(RECORD!A51="","",RECORD!A51)</x:f>
      </x:c>
      <x:c r="B42" s="102" t="str">
        <x:f>IF(RECORD!B51="","",RECORD!B51)</x:f>
      </x:c>
      <x:c r="C42" s="102" t="str">
        <x:f>IF(RECORD!C51="","",RECORD!C51)</x:f>
      </x:c>
      <x:c r="D42" s="27"/>
      <x:c r="E42" s="27"/>
      <x:c r="F42" s="27"/>
      <x:c r="G42" s="27"/>
      <x:c r="H42" s="27"/>
    </x:row>
    <x:row r="43">
      <x:c r="A43" s="102" t="str">
        <x:f>IF(RECORD!A52="","",RECORD!A52)</x:f>
      </x:c>
      <x:c r="B43" s="102" t="str">
        <x:f>IF(RECORD!B52="","",RECORD!B52)</x:f>
      </x:c>
      <x:c r="C43" s="102" t="str">
        <x:f>IF(RECORD!C52="","",RECORD!C52)</x:f>
      </x:c>
      <x:c r="D43" s="27"/>
      <x:c r="E43" s="27"/>
      <x:c r="F43" s="27"/>
      <x:c r="G43" s="27"/>
      <x:c r="H43" s="27"/>
    </x:row>
    <x:row r="44">
      <x:c r="A44" s="102" t="str">
        <x:f>IF(RECORD!A53="","",RECORD!A53)</x:f>
      </x:c>
      <x:c r="B44" s="102" t="str">
        <x:f>IF(RECORD!B53="","",RECORD!B53)</x:f>
      </x:c>
      <x:c r="C44" s="102" t="str">
        <x:f>IF(RECORD!C53="","",RECORD!C53)</x:f>
      </x:c>
      <x:c r="D44" s="27"/>
      <x:c r="E44" s="27"/>
      <x:c r="F44" s="27"/>
      <x:c r="G44" s="27"/>
      <x:c r="H44" s="27"/>
    </x:row>
    <x:row r="45">
      <x:c r="A45" s="102" t="str">
        <x:f>IF(RECORD!A54="","",RECORD!A54)</x:f>
      </x:c>
      <x:c r="B45" s="102" t="str">
        <x:f>IF(RECORD!B54="","",RECORD!B54)</x:f>
      </x:c>
      <x:c r="C45" s="102" t="str">
        <x:f>IF(RECORD!C54="","",RECORD!C54)</x:f>
      </x:c>
      <x:c r="D45" s="27"/>
      <x:c r="E45" s="27"/>
      <x:c r="F45" s="27"/>
      <x:c r="G45" s="27"/>
      <x:c r="H45" s="27"/>
    </x:row>
    <x:row r="46">
      <x:c r="A46" s="102" t="str">
        <x:f>IF(RECORD!A55="","",RECORD!A55)</x:f>
      </x:c>
      <x:c r="B46" s="102" t="str">
        <x:f>IF(RECORD!B55="","",RECORD!B55)</x:f>
      </x:c>
      <x:c r="C46" s="102" t="str">
        <x:f>IF(RECORD!C55="","",RECORD!C55)</x:f>
      </x:c>
      <x:c r="D46" s="27"/>
      <x:c r="E46" s="27"/>
      <x:c r="F46" s="27"/>
      <x:c r="G46" s="27"/>
      <x:c r="H46" s="27"/>
    </x:row>
    <x:row r="47">
      <x:c r="A47" s="102" t="str">
        <x:f>IF(RECORD!A56="","",RECORD!A56)</x:f>
      </x:c>
      <x:c r="B47" s="102" t="str">
        <x:f>IF(RECORD!B56="","",RECORD!B56)</x:f>
      </x:c>
      <x:c r="C47" s="102" t="str">
        <x:f>IF(RECORD!C56="","",RECORD!C56)</x:f>
      </x:c>
      <x:c r="D47" s="27"/>
      <x:c r="E47" s="27"/>
      <x:c r="F47" s="27"/>
      <x:c r="G47" s="27"/>
      <x:c r="H47" s="27"/>
    </x:row>
    <x:row r="48">
      <x:c r="A48" s="102" t="str">
        <x:f>IF(RECORD!A57="","",RECORD!A57)</x:f>
      </x:c>
      <x:c r="B48" s="102" t="str">
        <x:f>IF(RECORD!B57="","",RECORD!B57)</x:f>
      </x:c>
      <x:c r="C48" s="102" t="str">
        <x:f>IF(RECORD!C57="","",RECORD!C57)</x:f>
      </x:c>
      <x:c r="D48" s="27"/>
      <x:c r="E48" s="27"/>
      <x:c r="F48" s="27"/>
      <x:c r="G48" s="27"/>
      <x:c r="H48" s="27"/>
    </x:row>
    <x:row r="49">
      <x:c r="A49" s="102" t="str">
        <x:f>IF(RECORD!A58="","",RECORD!A58)</x:f>
      </x:c>
      <x:c r="B49" s="102" t="str">
        <x:f>IF(RECORD!B58="","",RECORD!B58)</x:f>
      </x:c>
      <x:c r="C49" s="102" t="str">
        <x:f>IF(RECORD!C58="","",RECORD!C58)</x:f>
      </x:c>
      <x:c r="D49" s="27"/>
      <x:c r="E49" s="27"/>
      <x:c r="F49" s="27"/>
      <x:c r="G49" s="27"/>
      <x:c r="H49" s="27"/>
    </x:row>
    <x:row r="50">
      <x:c r="A50" s="102" t="str">
        <x:f>IF(RECORD!A59="","",RECORD!A59)</x:f>
      </x:c>
      <x:c r="B50" s="102" t="str">
        <x:f>IF(RECORD!B59="","",RECORD!B59)</x:f>
      </x:c>
      <x:c r="C50" s="102" t="str">
        <x:f>IF(RECORD!C59="","",RECORD!C59)</x:f>
      </x:c>
      <x:c r="D50" s="27"/>
      <x:c r="E50" s="27"/>
      <x:c r="F50" s="27"/>
      <x:c r="G50" s="27"/>
      <x:c r="H50" s="27"/>
    </x:row>
    <x:row r="51">
      <x:c r="A51" s="102" t="str">
        <x:f>IF(RECORD!A60="","",RECORD!A60)</x:f>
      </x:c>
      <x:c r="B51" s="102" t="str">
        <x:f>IF(RECORD!B60="","",RECORD!B60)</x:f>
      </x:c>
      <x:c r="C51" s="102" t="str">
        <x:f>IF(RECORD!C60="","",RECORD!C60)</x:f>
      </x:c>
      <x:c r="D51" s="27"/>
      <x:c r="E51" s="27"/>
      <x:c r="F51" s="27"/>
      <x:c r="G51" s="27"/>
      <x:c r="H51" s="27"/>
    </x:row>
    <x:row r="52">
      <x:c r="A52" s="102" t="str">
        <x:f>IF(RECORD!A61="","",RECORD!A61)</x:f>
      </x:c>
      <x:c r="B52" s="102" t="str">
        <x:f>IF(RECORD!B61="","",RECORD!B61)</x:f>
      </x:c>
      <x:c r="C52" s="102" t="str">
        <x:f>IF(RECORD!C61="","",RECORD!C61)</x:f>
      </x:c>
      <x:c r="D52" s="27"/>
      <x:c r="E52" s="27"/>
      <x:c r="F52" s="27"/>
      <x:c r="G52" s="27"/>
      <x:c r="H52" s="27"/>
    </x:row>
    <x:row r="53">
      <x:c r="A53" s="102" t="str">
        <x:f>IF(RECORD!A62="","",RECORD!A62)</x:f>
      </x:c>
      <x:c r="B53" s="102" t="str">
        <x:f>IF(RECORD!B62="","",RECORD!B62)</x:f>
      </x:c>
      <x:c r="C53" s="102" t="str">
        <x:f>IF(RECORD!C62="","",RECORD!C62)</x:f>
      </x:c>
      <x:c r="D53" s="27"/>
      <x:c r="E53" s="27"/>
      <x:c r="F53" s="27"/>
      <x:c r="G53" s="27"/>
      <x:c r="H53" s="27"/>
    </x:row>
    <x:row r="54">
      <x:c r="A54" s="102" t="str">
        <x:f>IF(RECORD!A63="","",RECORD!A63)</x:f>
      </x:c>
      <x:c r="B54" s="102" t="str">
        <x:f>IF(RECORD!B63="","",RECORD!B63)</x:f>
      </x:c>
      <x:c r="C54" s="102" t="str">
        <x:f>IF(RECORD!C63="","",RECORD!C63)</x:f>
      </x:c>
      <x:c r="D54" s="27"/>
      <x:c r="E54" s="27"/>
      <x:c r="F54" s="27"/>
      <x:c r="G54" s="27"/>
      <x:c r="H54" s="27"/>
    </x:row>
    <x:row r="55">
      <x:c r="A55" s="102" t="str">
        <x:f>IF(RECORD!A64="","",RECORD!A64)</x:f>
      </x:c>
      <x:c r="B55" s="102" t="str">
        <x:f>IF(RECORD!B64="","",RECORD!B64)</x:f>
      </x:c>
      <x:c r="C55" s="102" t="str">
        <x:f>IF(RECORD!C64="","",RECORD!C64)</x:f>
      </x:c>
      <x:c r="D55" s="27"/>
      <x:c r="E55" s="27"/>
      <x:c r="F55" s="27"/>
      <x:c r="G55" s="27"/>
      <x:c r="H55" s="27"/>
    </x:row>
    <x:row r="56">
      <x:c r="A56" s="102" t="str">
        <x:f>IF(RECORD!A65="","",RECORD!A65)</x:f>
      </x:c>
      <x:c r="B56" s="102" t="str">
        <x:f>IF(RECORD!B65="","",RECORD!B65)</x:f>
      </x:c>
      <x:c r="C56" s="102" t="str">
        <x:f>IF(RECORD!C65="","",RECORD!C65)</x:f>
      </x:c>
      <x:c r="D56" s="27"/>
      <x:c r="E56" s="27"/>
      <x:c r="F56" s="27"/>
      <x:c r="G56" s="27"/>
      <x:c r="H56" s="27"/>
    </x:row>
    <x:row r="57">
      <x:c r="A57" s="102" t="str">
        <x:f>IF(RECORD!A66="","",RECORD!A66)</x:f>
      </x:c>
      <x:c r="B57" s="102" t="str">
        <x:f>IF(RECORD!B66="","",RECORD!B66)</x:f>
      </x:c>
      <x:c r="C57" s="102" t="str">
        <x:f>IF(RECORD!C66="","",RECORD!C66)</x:f>
      </x:c>
      <x:c r="D57" s="27"/>
      <x:c r="E57" s="27"/>
      <x:c r="F57" s="27"/>
      <x:c r="G57" s="27"/>
      <x:c r="H57" s="27"/>
    </x:row>
    <x:row r="58">
      <x:c r="A58" s="102" t="str">
        <x:f>IF(RECORD!A67="","",RECORD!A67)</x:f>
      </x:c>
      <x:c r="B58" s="102" t="str">
        <x:f>IF(RECORD!B67="","",RECORD!B67)</x:f>
      </x:c>
      <x:c r="C58" s="102" t="str">
        <x:f>IF(RECORD!C67="","",RECORD!C67)</x:f>
      </x:c>
      <x:c r="D58" s="27"/>
      <x:c r="E58" s="27"/>
      <x:c r="F58" s="27"/>
      <x:c r="G58" s="27"/>
      <x:c r="H58" s="27"/>
    </x:row>
    <x:row r="59">
      <x:c r="A59" s="102" t="str">
        <x:f>IF(RECORD!A68="","",RECORD!A68)</x:f>
      </x:c>
      <x:c r="B59" s="102" t="str">
        <x:f>IF(RECORD!B68="","",RECORD!B68)</x:f>
      </x:c>
      <x:c r="C59" s="102" t="str">
        <x:f>IF(RECORD!C68="","",RECORD!C68)</x:f>
      </x:c>
      <x:c r="D59" s="27"/>
      <x:c r="E59" s="27"/>
      <x:c r="F59" s="27"/>
      <x:c r="G59" s="27"/>
      <x:c r="H59" s="27"/>
    </x:row>
    <x:row r="60">
      <x:c r="A60" s="102" t="str">
        <x:f>IF(RECORD!A69="","",RECORD!A69)</x:f>
      </x:c>
      <x:c r="B60" s="102" t="str">
        <x:f>IF(RECORD!B69="","",RECORD!B69)</x:f>
      </x:c>
      <x:c r="C60" s="102" t="str">
        <x:f>IF(RECORD!C69="","",RECORD!C69)</x:f>
      </x:c>
      <x:c r="D60" s="27"/>
      <x:c r="E60" s="27"/>
      <x:c r="F60" s="27"/>
      <x:c r="G60" s="27"/>
      <x:c r="H60" s="27"/>
    </x:row>
    <x:row r="61">
      <x:c r="A61" s="102" t="str">
        <x:f>IF(RECORD!A70="","",RECORD!A70)</x:f>
      </x:c>
      <x:c r="B61" s="102" t="str">
        <x:f>IF(RECORD!B70="","",RECORD!B70)</x:f>
      </x:c>
      <x:c r="C61" s="102" t="str">
        <x:f>IF(RECORD!C70="","",RECORD!C70)</x:f>
      </x:c>
      <x:c r="D61" s="27"/>
      <x:c r="E61" s="27"/>
      <x:c r="F61" s="27"/>
      <x:c r="G61" s="27"/>
      <x:c r="H61" s="27"/>
    </x:row>
    <x:row r="62">
      <x:c r="A62" s="102" t="str">
        <x:f>IF(RECORD!A71="","",RECORD!A71)</x:f>
      </x:c>
      <x:c r="B62" s="102" t="str">
        <x:f>IF(RECORD!B71="","",RECORD!B71)</x:f>
      </x:c>
      <x:c r="C62" s="102" t="str">
        <x:f>IF(RECORD!C71="","",RECORD!C71)</x:f>
      </x:c>
      <x:c r="D62" s="27"/>
      <x:c r="E62" s="27"/>
      <x:c r="F62" s="27"/>
      <x:c r="G62" s="27"/>
      <x:c r="H62" s="27"/>
    </x:row>
    <x:row r="63">
      <x:c r="A63" s="102" t="str">
        <x:f>IF(RECORD!A72="","",RECORD!A72)</x:f>
      </x:c>
      <x:c r="B63" s="102" t="str">
        <x:f>IF(RECORD!B72="","",RECORD!B72)</x:f>
      </x:c>
      <x:c r="C63" s="102" t="str">
        <x:f>IF(RECORD!C72="","",RECORD!C72)</x:f>
      </x:c>
      <x:c r="D63" s="27"/>
      <x:c r="E63" s="27"/>
      <x:c r="F63" s="27"/>
      <x:c r="G63" s="27"/>
      <x:c r="H63" s="27"/>
    </x:row>
    <x:row r="64">
      <x:c r="A64" s="102" t="str">
        <x:f>IF(RECORD!A73="","",RECORD!A73)</x:f>
      </x:c>
      <x:c r="B64" s="102" t="str">
        <x:f>IF(RECORD!B73="","",RECORD!B73)</x:f>
      </x:c>
      <x:c r="C64" s="102" t="str">
        <x:f>IF(RECORD!C73="","",RECORD!C73)</x:f>
      </x:c>
      <x:c r="D64" s="27"/>
      <x:c r="E64" s="27"/>
      <x:c r="F64" s="27"/>
      <x:c r="G64" s="27"/>
      <x:c r="H64" s="27"/>
    </x:row>
    <x:row r="65">
      <x:c r="A65" s="102" t="str">
        <x:f>IF(RECORD!A74="","",RECORD!A74)</x:f>
      </x:c>
      <x:c r="B65" s="102" t="str">
        <x:f>IF(RECORD!B74="","",RECORD!B74)</x:f>
      </x:c>
      <x:c r="C65" s="102" t="str">
        <x:f>IF(RECORD!C74="","",RECORD!C74)</x:f>
      </x:c>
      <x:c r="D65" s="27"/>
      <x:c r="E65" s="27"/>
      <x:c r="F65" s="27"/>
      <x:c r="G65" s="27"/>
      <x:c r="H65" s="27"/>
    </x:row>
    <x:row r="66">
      <x:c r="A66" s="102" t="str">
        <x:f>IF(RECORD!A75="","",RECORD!A75)</x:f>
      </x:c>
      <x:c r="B66" s="102" t="str">
        <x:f>IF(RECORD!B75="","",RECORD!B75)</x:f>
      </x:c>
      <x:c r="C66" s="102" t="str">
        <x:f>IF(RECORD!C75="","",RECORD!C75)</x:f>
      </x:c>
      <x:c r="D66" s="27"/>
      <x:c r="E66" s="27"/>
      <x:c r="F66" s="27"/>
      <x:c r="G66" s="27"/>
      <x:c r="H66" s="27"/>
    </x:row>
    <x:row r="67">
      <x:c r="A67" s="102" t="str">
        <x:f>IF(RECORD!A76="","",RECORD!A76)</x:f>
      </x:c>
      <x:c r="B67" s="102" t="str">
        <x:f>IF(RECORD!B76="","",RECORD!B76)</x:f>
      </x:c>
      <x:c r="C67" s="102" t="str">
        <x:f>IF(RECORD!C76="","",RECORD!C76)</x:f>
      </x:c>
      <x:c r="D67" s="27"/>
      <x:c r="E67" s="27"/>
      <x:c r="F67" s="27"/>
      <x:c r="G67" s="27"/>
      <x:c r="H67" s="27"/>
    </x:row>
    <x:row r="68">
      <x:c r="A68" s="102" t="str">
        <x:f>IF(RECORD!A77="","",RECORD!A77)</x:f>
      </x:c>
      <x:c r="B68" s="102" t="str">
        <x:f>IF(RECORD!B77="","",RECORD!B77)</x:f>
      </x:c>
      <x:c r="C68" s="102" t="str">
        <x:f>IF(RECORD!C77="","",RECORD!C77)</x:f>
      </x:c>
      <x:c r="D68" s="27"/>
      <x:c r="E68" s="27"/>
      <x:c r="F68" s="27"/>
      <x:c r="G68" s="27"/>
      <x:c r="H68" s="27"/>
    </x:row>
    <x:row r="69">
      <x:c r="A69" s="102" t="str">
        <x:f>IF(RECORD!A78="","",RECORD!A78)</x:f>
      </x:c>
      <x:c r="B69" s="102" t="str">
        <x:f>IF(RECORD!B78="","",RECORD!B78)</x:f>
      </x:c>
      <x:c r="C69" s="102" t="str">
        <x:f>IF(RECORD!C78="","",RECORD!C78)</x:f>
      </x:c>
      <x:c r="D69" s="27"/>
      <x:c r="E69" s="27"/>
      <x:c r="F69" s="27"/>
      <x:c r="G69" s="27"/>
      <x:c r="H69" s="27"/>
    </x:row>
    <x:row r="70">
      <x:c r="A70" s="102" t="str">
        <x:f>IF(RECORD!A79="","",RECORD!A79)</x:f>
      </x:c>
      <x:c r="B70" s="102" t="str">
        <x:f>IF(RECORD!B79="","",RECORD!B79)</x:f>
      </x:c>
      <x:c r="C70" s="102" t="str">
        <x:f>IF(RECORD!C79="","",RECORD!C79)</x:f>
      </x:c>
      <x:c r="D70" s="27"/>
      <x:c r="E70" s="27"/>
      <x:c r="F70" s="27"/>
      <x:c r="G70" s="27"/>
      <x:c r="H70" s="27"/>
    </x:row>
    <x:row r="72">
      <x:c r="A72" s="261" t="s">
        <x:v>294</x:v>
      </x:c>
      <x:c r="B72" s="261"/>
      <x:c r="C72" s="261"/>
      <x:c r="D72" s="261"/>
      <x:c r="E72" s="261"/>
      <x:c r="F72" s="261"/>
      <x:c r="G72" s="261"/>
      <x:c r="H72" s="261"/>
    </x:row>
    <x:row r="73">
      <x:c r="A73" s="102"/>
      <x:c r="B73" s="102"/>
      <x:c r="C73" s="202" t="s">
        <x:v>295</x:v>
      </x:c>
      <x:c r="D73" s="72" t="n">
        <x:f>COUNT(D5:D70)</x:f>
        <x:v>30</x:v>
      </x:c>
      <x:c r="E73" s="72" t="n">
        <x:f>COUNT(E5:E70)</x:f>
        <x:v>30</x:v>
      </x:c>
      <x:c r="F73" s="72" t="n">
        <x:f>COUNT(F5:F70)</x:f>
        <x:v>30</x:v>
      </x:c>
      <x:c r="G73" s="72" t="n">
        <x:f>COUNT(G5:G70)</x:f>
        <x:v>30</x:v>
      </x:c>
      <x:c r="H73" s="72" t="n">
        <x:f>COUNT(H5:H70)</x:f>
        <x:v>30</x:v>
      </x:c>
    </x:row>
    <x:row r="74">
      <x:c r="A74" s="102"/>
      <x:c r="B74" s="102"/>
      <x:c r="C74" s="202" t="s">
        <x:v>296</x:v>
      </x:c>
      <x:c r="D74" s="72" t="n">
        <x:f>IFERROR(ROUND(AVERAGE(D5:D70),2),"")</x:f>
        <x:v>2.6</x:v>
      </x:c>
      <x:c r="E74" s="72" t="n">
        <x:f>IFERROR(ROUND(AVERAGE(E5:E70),2),"")</x:f>
        <x:v>2.97</x:v>
      </x:c>
      <x:c r="F74" s="72" t="n">
        <x:f>IFERROR(ROUND(AVERAGE(F5:F70),2),"")</x:f>
        <x:v>2.63</x:v>
      </x:c>
      <x:c r="G74" s="72" t="n">
        <x:f>IFERROR(ROUND(AVERAGE(G5:G70),2),"")</x:f>
        <x:v>2.87</x:v>
      </x:c>
      <x:c r="H74" s="72" t="n">
        <x:f>IFERROR(ROUND(AVERAGE(H5:H70),2),"")</x:f>
        <x:v>2.57</x:v>
      </x:c>
    </x:row>
    <x:row r="75">
      <x:c r="A75" s="102"/>
      <x:c r="B75" s="102"/>
      <x:c r="C75" s="202" t="s">
        <x:v>297</x:v>
      </x:c>
      <x:c r="D75" s="203" t="n">
        <x:f>IFERROR(ROUND(COUNTIF(D5:D19,"&gt;=4")/COUNT(D5:D19)*100,1),"")</x:f>
        <x:v>13.3</x:v>
      </x:c>
      <x:c r="E75" s="203" t="n">
        <x:f>IFERROR(ROUND(COUNTIF(E5:E19,"&gt;=4")/COUNT(E5:E19)*100,1),"")</x:f>
        <x:v>26.7</x:v>
      </x:c>
      <x:c r="F75" s="203" t="n">
        <x:f>IFERROR(ROUND(COUNTIF(F5:F19,"&gt;=4")/COUNT(F5:F19)*100,1),"")</x:f>
        <x:v>6.7</x:v>
      </x:c>
      <x:c r="G75" s="203" t="n">
        <x:f>IFERROR(ROUND(COUNTIF(G5:G19,"&gt;=4")/COUNT(G5:G19)*100,1),"")</x:f>
        <x:v>20</x:v>
      </x:c>
      <x:c r="H75" s="203" t="n">
        <x:f>IFERROR(ROUND(COUNTIF(H5:H19,"&gt;=4")/COUNT(H5:H19)*100,1),"")</x:f>
        <x:v>26.7</x:v>
      </x:c>
    </x:row>
    <x:row r="76">
      <x:c r="A76" s="102"/>
      <x:c r="B76" s="102"/>
      <x:c r="C76" s="202" t="s">
        <x:v>298</x:v>
      </x:c>
      <x:c r="D76" s="203" t="str">
        <x:f>IFERROR(ROUND(AVERAGE(#REF!),2),"")</x:f>
      </x:c>
      <x:c r="E76" s="203" t="str">
        <x:f>IFERROR(ROUND(AVERAGE(#REF!),2),"")</x:f>
      </x:c>
      <x:c r="F76" s="203" t="str">
        <x:f>IFERROR(ROUND(AVERAGE(#REF!),2),"")</x:f>
      </x:c>
      <x:c r="G76" s="203" t="str">
        <x:f>IFERROR(ROUND(AVERAGE(#REF!),2),"")</x:f>
      </x:c>
      <x:c r="H76" s="203" t="str">
        <x:f>IFERROR(ROUND(AVERAGE(#REF!),2),"")</x:f>
      </x:c>
    </x:row>
    <x:row r="77">
      <x:c r="A77" s="102"/>
      <x:c r="B77" s="102"/>
      <x:c r="C77" s="202" t="s">
        <x:v>299</x:v>
      </x:c>
      <x:c r="D77" s="72" t="n">
        <x:f>IFERROR(ROUND(ABS(D76-D75),1),"")</x:f>
        <x:v>13.3</x:v>
      </x:c>
      <x:c r="E77" s="72" t="n">
        <x:f>IFERROR(ROUND(ABS(E76-E75),1),"")</x:f>
        <x:v>26.7</x:v>
      </x:c>
      <x:c r="F77" s="72" t="n">
        <x:f>IFERROR(ROUND(ABS(F76-F75),1),"")</x:f>
        <x:v>6.7</x:v>
      </x:c>
      <x:c r="G77" s="72" t="n">
        <x:f>IFERROR(ROUND(ABS(G76-G75),1),"")</x:f>
        <x:v>20</x:v>
      </x:c>
      <x:c r="H77" s="72" t="n">
        <x:f>IFERROR(ROUND(ABS(H76-H75),1),"")</x:f>
        <x:v>26.7</x:v>
      </x:c>
    </x:row>
    <x:row r="78">
      <x:c r="A78" s="102"/>
      <x:c r="B78" s="102"/>
      <x:c r="C78" s="202" t="s">
        <x:v>300</x:v>
      </x:c>
      <x:c r="D78" s="72" t="str">
        <x:f>IF(D77="","",IF(D77&gt;=20,"REVIEW","OK"))</x:f>
        <x:v>OK</x:v>
      </x:c>
      <x:c r="E78" s="72" t="str">
        <x:f>IF(E77="","",IF(E77&gt;=20,"REVIEW","OK"))</x:f>
        <x:v>REVIEW</x:v>
      </x:c>
      <x:c r="F78" s="72" t="str">
        <x:f>IF(F77="","",IF(F77&gt;=20,"REVIEW","OK"))</x:f>
        <x:v>OK</x:v>
      </x:c>
      <x:c r="G78" s="72" t="str">
        <x:f>IF(G77="","",IF(G77&gt;=20,"REVIEW","OK"))</x:f>
        <x:v>REVIEW</x:v>
      </x:c>
      <x:c r="H78" s="72" t="str">
        <x:f>IF(H77="","",IF(H77&gt;=20,"REVIEW","OK"))</x:f>
        <x:v>REVIEW</x:v>
      </x:c>
    </x:row>
  </x:sheetData>
  <x:mergeCells>
    <x:mergeCell ref="A1:H1"/>
    <x:mergeCell ref="A2:H2"/>
    <x:mergeCell ref="A72:H72"/>
  </x:mergeCells>
  <x:conditionalFormatting sqref="D78:H78">
    <x:cfRule type="cellIs" dxfId="1" priority="2" operator="equal">
      <x:formula>"REVIEW"</x:formula>
    </x:cfRule>
    <x:cfRule type="cellIs" dxfId="0" priority="3" operator="equal">
      <x:formula>"OK"</x:formula>
    </x:cfRule>
  </x:conditionalFormatting>
  <x:dataValidations count="1">
    <x:dataValidation type="whole" allowBlank="1" sqref="D5:H70">
      <x:formula1>1</x:formula1>
      <x:formula2>5</x:formula2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ColWidth="8.7109375" defaultRowHeight="15"/>
  <x:sheetData/>
  <x:pageMargins left="0.7" right="0.7" top="0.75" bottom="0.75" header="0.3" footer="0.3"/>
</x:worksheet>
</file>